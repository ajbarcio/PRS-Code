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Override ContentType="application/vnd.openxmlformats-officedocument.spreadsheetml.sheet.main+xml" PartName="/xl/workbook.xml"/>
  <Override ContentType="application/vnd.openxmlformats-officedocument.spreadsheetml.worksheet+xml" PartName="/xl/worksheets/sheet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="http://schemas.openxmlformats.org/spreadsheetml/2006/main" xmlns:r="http://schemas.openxmlformats.org/officeDocument/2006/relationships">
  <fileVersion rupBuild="9303" lowestEdited="5" lastEdited="5" appName="xl"/>
  <workbookPr/>
  <bookViews>
    <workbookView xWindow="480" yWindow="60" windowWidth="18195" windowHeight="8505" activeTab="0"/>
  </bookViews>
  <sheets>
    <sheet r:id="rId1" sheetId="1" name="Sheet1"/>
  </sheets>
  <calcPr fullCalcOnLoad="1"/>
</workbook>
</file>

<file path=xl/sharedStrings.xml><?xml version="1.0" encoding="utf-8"?>
<sst xmlns="http://schemas.openxmlformats.org/spreadsheetml/2006/main" count="76" uniqueCount="60">
  <si>
    <t>x</t>
  </si>
  <si>
    <t>y</t>
  </si>
  <si>
    <t>ID</t>
  </si>
  <si>
    <t>Quartal</t>
  </si>
  <si>
    <t>Metric</t>
  </si>
  <si>
    <t>p0</t>
  </si>
  <si>
    <t>u</t>
  </si>
  <si>
    <t>r</t>
  </si>
  <si>
    <t>tan-x</t>
  </si>
  <si>
    <t>tan-y</t>
  </si>
  <si>
    <t>tan-mag</t>
  </si>
  <si>
    <t>tan-x-n</t>
  </si>
  <si>
    <t>tan-y-n</t>
  </si>
  <si>
    <t>Nx</t>
  </si>
  <si>
    <t>Ny</t>
  </si>
  <si>
    <t>t-lin</t>
  </si>
  <si>
    <t>t-quar</t>
  </si>
  <si>
    <t>tx</t>
  </si>
  <si>
    <t>ty</t>
  </si>
  <si>
    <t>tcx</t>
  </si>
  <si>
    <t>tcy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</si>
  <si>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</si>
  <si>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</si>
  <si>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</si>
  <si>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</si>
  <si>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</si>
  <si>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</si>
  <si>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</si>
  <si>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</si>
  <si>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</si>
  <si>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Desired Thickness</t>
  </si>
  <si>
    <t>u value</t>
  </si>
  <si>
    <t>quartal thickness</t>
  </si>
  <si>
    <t>?</t>
  </si>
  <si>
    <t>Coefficients</t>
  </si>
  <si>
    <t>a</t>
  </si>
  <si>
    <t>b</t>
  </si>
  <si>
    <t>c</t>
  </si>
  <si>
    <t>d</t>
  </si>
  <si>
    <t>f</t>
  </si>
  <si>
    <t>Output Coeffieicnets</t>
  </si>
  <si>
    <t>Parameters</t>
  </si>
  <si>
    <t>Planar Thickness</t>
  </si>
  <si>
    <t>Inflection Radius 1</t>
  </si>
  <si>
    <t>Inflection Radius 2</t>
  </si>
  <si>
    <t>Rotor Thickness</t>
  </si>
  <si>
    <t>Inflection Thickness</t>
  </si>
  <si>
    <t>Control Thickness</t>
  </si>
  <si>
    <t>Secondary Parameters</t>
  </si>
  <si>
    <t>^^ Good enough arc length resolution?</t>
  </si>
  <si>
    <t>Hardstop Altitude</t>
  </si>
  <si>
    <t>INPUT</t>
  </si>
  <si>
    <t>(Driven) Outer Rotor Radius</t>
  </si>
  <si>
    <t>rotorThickness</t>
  </si>
  <si>
    <t>(Driven) Inner Rotor Radius</t>
  </si>
  <si>
    <t>inflectionR1</t>
  </si>
  <si>
    <t>(Driven) Maximum Outer Rotor Thickness</t>
  </si>
  <si>
    <t>inflectionR2</t>
  </si>
  <si>
    <t>controlThickness</t>
  </si>
  <si>
    <t>minimumThickness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</si>
</sst>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 mc:Ignorable="x14ac">
  <numFmts count="0"/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4">
    <xf xfId="0" numFmtId="0" borderId="0" fontId="0" fillId="0"/>
    <xf xfId="0" numFmtId="0" borderId="0" fontId="0" fillId="0" applyAlignment="1">
      <alignment horizontal="general"/>
    </xf>
    <xf xfId="0" numFmtId="4" applyNumberFormat="1" borderId="0" fontId="0" fillId="0" applyAlignment="1">
      <alignment horizontal="general"/>
    </xf>
    <xf xfId="0" numFmtId="3" applyNumberFormat="1" borderId="0" fontId="0" fillId="0" applyAlignment="1">
      <alignment horizontal="right"/>
    </xf>
    <xf xfId="0" numFmtId="4" applyNumberFormat="1" borderId="0" fontId="0" fillId="0" applyAlignment="1">
      <alignment horizontal="right"/>
    </xf>
    <xf xfId="0" numFmtId="4" applyNumberFormat="1" borderId="1" applyBorder="1" fontId="1" applyFont="1" fillId="0" applyAlignment="1">
      <alignment horizontal="center"/>
    </xf>
    <xf xfId="0" numFmtId="0" borderId="1" applyBorder="1" fontId="1" applyFont="1" fillId="0" applyAlignment="1">
      <alignment horizontal="center"/>
    </xf>
    <xf xfId="0" numFmtId="4" applyNumberFormat="1" borderId="1" applyBorder="1" fontId="1" applyFont="1" fillId="0" applyAlignment="1">
      <alignment horizontal="right"/>
    </xf>
    <xf xfId="0" numFmtId="3" applyNumberFormat="1" borderId="1" applyBorder="1" fontId="1" applyFont="1" fillId="0" applyAlignment="1">
      <alignment horizontal="right"/>
    </xf>
    <xf xfId="0" numFmtId="0" borderId="1" applyBorder="1" fontId="1" applyFont="1" fillId="0" applyAlignment="1">
      <alignment horizontal="right"/>
    </xf>
    <xf xfId="0" numFmtId="0" borderId="0" fontId="0" fillId="0" applyAlignment="1">
      <alignment horizontal="general"/>
    </xf>
    <xf xfId="0" numFmtId="4" applyNumberFormat="1" borderId="0" fontId="0" fillId="0" applyAlignment="1">
      <alignment horizontal="general"/>
    </xf>
    <xf xfId="0" numFmtId="3" applyNumberFormat="1" borderId="0" fontId="0" fillId="0" applyAlignment="1">
      <alignment horizontal="right"/>
    </xf>
    <xf xfId="0" numFmtId="4" applyNumberFormat="1" borderId="0" fontId="0" fillId="0" applyAlignment="1">
      <alignment horizontal="right"/>
    </xf>
  </cellXfs>
  <cellStyles count="1">
    <cellStyle xfId="0" builtinId="0" name="Normal"/>
  </cellStyles>
  <dxfs count="0"/>
  <tableStyles count="0" defaultTableStyle="TableStyleMedium9" defaultPivotStyle="PivotStyleLight16"/>
  <extLst>
    <ext uri="{EB79DEF2-80B8-43e5-95BD-54CBDDF9020C}">
      <x14ac:slicerStyles xmlns:x14="http://schemas.microsoft.com/office/spreadsheetml/2009/9/main" defaultSlicerStyle="SlicerStyleLight1"/>
    </ext>
  </extLst>
</styleSheet>
</file>

<file path=xl/_rels/workbook.xml.rels><?xml version="1.0" encoding="UTF-8" standalone="yes"?><Relationships xmlns="http://schemas.openxmlformats.org/package/2006/relationships"><Relationship Target="worksheets/sheet1.xml" Type="http://schemas.openxmlformats.org/officeDocument/2006/relationships/worksheet" Id="rId1"/><Relationship Target="sharedStrings.xml" Type="http://schemas.openxmlformats.org/officeDocument/2006/relationships/sharedStrings" Id="rId2"/><Relationship Target="styles.xml" Type="http://schemas.openxmlformats.org/officeDocument/2006/relationships/styles" Id="rId3"/><Relationship Target="theme/theme1.xml" Type="http://schemas.openxmlformats.org/officeDocument/2006/relationships/theme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Times New Roman" script="Arab"/>
        <a:font typeface="Times New Roman" script="Hebr"/>
        <a:font typeface="Tahoma" script="Thai"/>
        <a:font typeface="Nyala" script="Ethi"/>
        <a:font typeface="Vrinda" script="Beng"/>
        <a:font typeface="Shruti" script="Gujr"/>
        <a:font typeface="MoolBoran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Times New Roman" script="Viet"/>
        <a:font typeface="Microsoft Uighur" script="Uigh"/>
        <a:font typeface="Sylfaen" script="Geor"/>
      </a:majorFont>
      <a:minorFont>
        <a:latin typeface="Calibri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Arial" script="Arab"/>
        <a:font typeface="Arial" script="Hebr"/>
        <a:font typeface="Tahoma" script="Thai"/>
        <a:font typeface="Nyala" script="Ethi"/>
        <a:font typeface="Vrinda" script="Beng"/>
        <a:font typeface="Shruti" script="Gujr"/>
        <a:font typeface="DaunPenh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Arial" script="Viet"/>
        <a:font typeface="Microsoft Uighur" script="Uigh"/>
        <a:font typeface="Sylfaen" script="Geo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scaled="1" ang="16200000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scaled="1" ang="16200000"/>
        </a:gradFill>
      </a:fillStyleLst>
      <a:lnStyleLst>
        <a:ln algn="ctr" cmpd="sng" cap="flat" w="9525">
          <a:solidFill>
            <a:schemeClr val="phClr">
              <a:shade val="9500"/>
              <a:satMod val="105000"/>
            </a:schemeClr>
          </a:solidFill>
          <a:prstDash val="solid"/>
        </a:ln>
        <a:ln algn="ctr" cmpd="sng" cap="flat" w="25400">
          <a:solidFill>
            <a:schemeClr val="phClr"/>
          </a:solidFill>
          <a:prstDash val="solid"/>
        </a:ln>
        <a:ln algn="ctr" cmpd="sng" cap="flat" w="38100">
          <a:solidFill>
            <a:schemeClr val="phClr"/>
          </a:solidFill>
          <a:prstDash val="solid"/>
        </a:ln>
      </a:lnStyleLst>
      <a:effectStyleLst>
        <a:effectStyle>
          <a:effectLst>
            <a:outerShdw dir="5400000" rotWithShape="0" dist="23000" blurRad="40000">
              <a:srgbClr val="000000">
                <a:alpha val="38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  <a:scene3d>
            <a:camera prst="orthographicFront">
              <a:rot rev="0" lon="0" lat="0"/>
            </a:camera>
            <a:lightRig dir="t" rig="threePt">
              <a:rot rev="1200000" lon="0" lat="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E3003"/>
  <sheetViews>
    <sheetView workbookViewId="0" tabSelected="1"/>
  </sheetViews>
  <sheetFormatPr defaultRowHeight="15" x14ac:dyDescent="0.25"/>
  <cols>
    <col min="1" max="1" style="10" width="19.290714285714284" customWidth="1" bestFit="1"/>
    <col min="2" max="2" style="11" width="9.290714285714287" customWidth="1" bestFit="1"/>
    <col min="3" max="3" style="11" width="23.005" customWidth="1" bestFit="1"/>
    <col min="4" max="4" style="11" width="9.290714285714287" customWidth="1" bestFit="1"/>
    <col min="5" max="5" style="11" width="17.290714285714284" customWidth="1" bestFit="1"/>
    <col min="6" max="6" style="11" width="16.290714285714284" customWidth="1" bestFit="1"/>
    <col min="7" max="7" style="10" width="7.576428571428571" customWidth="1" bestFit="1"/>
    <col min="8" max="8" style="10" width="7.2907142857142855" customWidth="1" bestFit="1"/>
    <col min="9" max="9" style="12" width="9.290714285714287" customWidth="1" bestFit="1"/>
    <col min="10" max="10" style="12" width="9.290714285714287" customWidth="1" bestFit="1"/>
    <col min="11" max="11" style="13" width="12.862142857142858" customWidth="1" bestFit="1"/>
    <col min="12" max="12" style="13" width="9.290714285714287" customWidth="1" bestFit="1"/>
    <col min="13" max="13" style="13" width="12.147857142857141" customWidth="1" bestFit="1"/>
    <col min="14" max="14" style="13" width="16.576428571428572" customWidth="1" bestFit="1"/>
    <col min="15" max="15" style="13" width="9.290714285714287" customWidth="1" bestFit="1"/>
    <col min="16" max="16" style="13" width="9.290714285714287" customWidth="1" bestFit="1"/>
    <col min="17" max="17" style="13" width="9.290714285714287" customWidth="1" bestFit="1"/>
    <col min="18" max="18" style="13" width="9.290714285714287" customWidth="1" bestFit="1"/>
    <col min="19" max="19" style="13" width="2.1478571428571427" customWidth="1" bestFit="1"/>
    <col min="20" max="20" style="13" width="9.290714285714287" customWidth="1" bestFit="1"/>
    <col min="21" max="21" style="13" width="9.290714285714287" customWidth="1" bestFit="1"/>
    <col min="22" max="22" style="13" width="13.576428571428572" customWidth="1" bestFit="1" hidden="1"/>
    <col min="23" max="23" style="13" width="9.290714285714287" customWidth="1" bestFit="1"/>
    <col min="24" max="24" style="13" width="9.290714285714287" customWidth="1" bestFit="1"/>
    <col min="25" max="25" style="13" width="9.290714285714287" customWidth="1" bestFit="1"/>
    <col min="26" max="26" style="13" width="9.290714285714287" customWidth="1" bestFit="1"/>
    <col min="27" max="27" style="13" width="12.862142857142858" customWidth="1" bestFit="1"/>
    <col min="28" max="28" style="13" width="9.290714285714287" customWidth="1" bestFit="1"/>
    <col min="29" max="29" style="13" width="9.290714285714287" customWidth="1" bestFit="1"/>
    <col min="30" max="30" style="13" width="12.290714285714287" customWidth="1" bestFit="1"/>
    <col min="31" max="31" style="13" width="12.862142857142858" customWidth="1" bestFit="1"/>
    <col min="32" max="32" style="13" width="12.862142857142858" customWidth="1" bestFit="1"/>
    <col min="33" max="33" style="13" width="12.290714285714287" customWidth="1" bestFit="1"/>
    <col min="34" max="34" style="13" width="12.290714285714287" customWidth="1" bestFit="1"/>
    <col min="35" max="35" style="10" width="12.290714285714287" customWidth="1" bestFit="1"/>
    <col min="36" max="36" style="10" width="12.290714285714287" customWidth="1" bestFit="1"/>
    <col min="37" max="37" style="10" width="12.290714285714287" customWidth="1" bestFit="1"/>
    <col min="38" max="38" style="10" width="39.43357142857143" customWidth="1" bestFit="1"/>
    <col min="39" max="39" style="11" width="13.576428571428572" customWidth="1" bestFit="1"/>
    <col min="40" max="40" style="10" width="13.576428571428572" customWidth="1" bestFit="1"/>
    <col min="41" max="41" style="10" width="13.576428571428572" customWidth="1" bestFit="1"/>
    <col min="42" max="42" style="10" width="13.576428571428572" customWidth="1" bestFit="1"/>
    <col min="43" max="43" style="10" width="13.576428571428572" customWidth="1" bestFit="1"/>
    <col min="44" max="44" style="10" width="13.576428571428572" customWidth="1" bestFit="1"/>
    <col min="45" max="45" style="10" width="13.576428571428572" customWidth="1" bestFit="1"/>
    <col min="46" max="46" style="10" width="13.576428571428572" customWidth="1" bestFit="1"/>
    <col min="47" max="47" style="10" width="13.576428571428572" customWidth="1" bestFit="1"/>
    <col min="48" max="48" style="10" width="13.576428571428572" customWidth="1" bestFit="1"/>
    <col min="49" max="49" style="10" width="13.576428571428572" customWidth="1" bestFit="1"/>
    <col min="50" max="50" style="10" width="13.576428571428572" customWidth="1" bestFit="1"/>
    <col min="51" max="51" style="10" width="13.576428571428572" customWidth="1" bestFit="1"/>
    <col min="52" max="52" style="10" width="13.576428571428572" customWidth="1" bestFit="1"/>
    <col min="53" max="53" style="10" width="13.576428571428572" customWidth="1" bestFit="1"/>
    <col min="54" max="54" style="10" width="13.576428571428572" customWidth="1" bestFit="1"/>
    <col min="55" max="55" style="10" width="13.576428571428572" customWidth="1" bestFit="1"/>
    <col min="56" max="56" style="10" width="13.576428571428572" customWidth="1" bestFit="1"/>
    <col min="57" max="57" style="10" width="13.576428571428572" customWidth="1" bestFit="1"/>
  </cols>
  <sheetData>
    <row x14ac:dyDescent="0.25" r="1" customHeight="1" ht="18.75">
      <c r="A1" s="1"/>
      <c r="B1" s="2"/>
      <c r="C1" s="2" t="s">
        <v>0</v>
      </c>
      <c r="D1" s="2" t="s">
        <v>1</v>
      </c>
      <c r="E1" s="2" t="s">
        <v>2</v>
      </c>
      <c r="F1" s="2"/>
      <c r="G1" s="1"/>
      <c r="H1" s="1"/>
      <c r="I1" s="3"/>
      <c r="J1" s="3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 t="s">
        <v>3</v>
      </c>
      <c r="Y1" s="5"/>
      <c r="Z1" s="5"/>
      <c r="AA1" s="5"/>
      <c r="AB1" s="5"/>
      <c r="AC1" s="5"/>
      <c r="AD1" s="5"/>
      <c r="AE1" s="5" t="s">
        <v>4</v>
      </c>
      <c r="AF1" s="5"/>
      <c r="AG1" s="5"/>
      <c r="AH1" s="5"/>
      <c r="AI1" s="6"/>
      <c r="AJ1" s="6"/>
      <c r="AK1" s="1"/>
      <c r="AL1" s="1"/>
      <c r="AM1" s="2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6"/>
      <c r="BB1" s="6"/>
      <c r="BC1" s="6"/>
      <c r="BD1" s="6"/>
      <c r="BE1" s="6"/>
    </row>
    <row x14ac:dyDescent="0.25" r="2" customHeight="1" ht="18.75">
      <c r="A2" s="1"/>
      <c r="B2" s="2" t="s">
        <v>5</v>
      </c>
      <c r="C2" s="7">
        <v>1.7787511549572173</v>
      </c>
      <c r="D2" s="7">
        <v>0.18958033109069802</v>
      </c>
      <c r="E2" s="8">
        <v>0</v>
      </c>
      <c r="F2" s="2"/>
      <c r="G2" s="1"/>
      <c r="H2" s="1"/>
      <c r="I2" s="3" t="s">
        <v>6</v>
      </c>
      <c r="J2" s="3"/>
      <c r="K2" s="4" t="s">
        <v>0</v>
      </c>
      <c r="L2" s="4" t="s">
        <v>1</v>
      </c>
      <c r="M2" s="4" t="s">
        <v>7</v>
      </c>
      <c r="N2" s="4" t="s">
        <v>8</v>
      </c>
      <c r="O2" s="4" t="s">
        <v>9</v>
      </c>
      <c r="P2" s="4" t="s">
        <v>10</v>
      </c>
      <c r="Q2" s="4" t="s">
        <v>11</v>
      </c>
      <c r="R2" s="4" t="s">
        <v>12</v>
      </c>
      <c r="S2" s="4"/>
      <c r="T2" s="4" t="s">
        <v>13</v>
      </c>
      <c r="U2" s="4" t="s">
        <v>14</v>
      </c>
      <c r="V2" s="4" t="s">
        <v>15</v>
      </c>
      <c r="W2" s="4" t="s">
        <v>16</v>
      </c>
      <c r="X2" s="4" t="s">
        <v>17</v>
      </c>
      <c r="Y2" s="4" t="s">
        <v>18</v>
      </c>
      <c r="Z2" s="4"/>
      <c r="AA2" s="4" t="s">
        <v>19</v>
      </c>
      <c r="AB2" s="4" t="s">
        <v>20</v>
      </c>
      <c r="AC2" s="4" t="s">
        <v>19</v>
      </c>
      <c r="AD2" s="4" t="s">
        <v>20</v>
      </c>
      <c r="AE2" s="4" t="s">
        <v>19</v>
      </c>
      <c r="AF2" s="4" t="s">
        <v>20</v>
      </c>
      <c r="AG2" s="4" t="s">
        <v>19</v>
      </c>
      <c r="AH2" s="4" t="s">
        <v>20</v>
      </c>
      <c r="AI2" s="1"/>
      <c r="AJ2" s="1"/>
      <c r="AK2" s="1"/>
      <c r="AL2" s="1"/>
      <c r="AM2" s="2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</row>
    <row x14ac:dyDescent="0.25" r="3" customHeight="1" ht="18.75">
      <c r="A3" s="1"/>
      <c r="B3" s="2" t="s">
        <v>21</v>
      </c>
      <c r="C3" s="7">
        <v>1.9473543777156743</v>
      </c>
      <c r="D3" s="7">
        <v>0.7484702257574097</v>
      </c>
      <c r="E3" s="8">
        <v>2</v>
      </c>
      <c r="F3" s="2"/>
      <c r="G3" s="1"/>
      <c r="H3" s="1"/>
      <c r="I3" s="8">
        <v>0</v>
      </c>
      <c r="J3" s="8">
        <f>IF((I3-ROUNDDOWN(I3,0))=0, 0, (I3-ROUNDDOWN(I3,0)))</f>
      </c>
      <c r="K3" s="7">
        <f>INDIRECT("C$"&amp;2+MIN(2,ROUNDDOWN(I3,0))*3)*(-$J3^3+3*$J3^2-3*$J3+1)+INDIRECT("C$"&amp;3+MIN(2,ROUNDDOWN(I3,0))*3)*(3*$J3^3-6*$J3^2+3*$J3)+INDIRECT("C$"&amp;4+MIN(2,ROUNDDOWN(I3,0))*3)*(-3*$J3^3+3*$J3^2)+INDIRECT("C$"&amp;5+MIN(2,ROUNDDOWN(I3,0))*3)*$J3^3</f>
      </c>
      <c r="L3" s="7">
        <f>INDIRECT("D$"&amp;2+MIN(2,ROUNDDOWN(I3,0))*3)*(-$J3^3+3*$J3^2-3*$J3+1)+INDIRECT("D$"&amp;3+MIN(2,ROUNDDOWN(I3,0))*3)*(3*$J3^3-6*$J3^2+3*$J3)+INDIRECT("D$"&amp;4+MIN(2,ROUNDDOWN(I3,0))*3)*(-3*$J3^3+3*$J3^2)+INDIRECT("D$"&amp;5+MIN(2,ROUNDDOWN(I3,0))*3)*$J3^3</f>
      </c>
      <c r="M3" s="7">
        <f>SQRT(K3^2+L3^2)</f>
      </c>
      <c r="N3" s="7">
        <f>(K4-K3)</f>
      </c>
      <c r="O3" s="7">
        <f>+(L4-L3)</f>
      </c>
      <c r="P3" s="7">
        <f>SQRT(O3^2+N3^2)</f>
      </c>
      <c r="Q3" s="7">
        <f>N3/$P3</f>
      </c>
      <c r="R3" s="7">
        <f>O3/$P3</f>
      </c>
      <c r="S3" s="7">
        <f>Q3^2+R3^2</f>
      </c>
      <c r="T3" s="7">
        <f>-R3</f>
      </c>
      <c r="U3" s="7">
        <f>Q3</f>
      </c>
      <c r="V3" s="7">
        <f>($C$14+($C$15-$C$14)/($D$15-$D$14)*(I3-$D$14))/2</f>
      </c>
      <c r="W3" s="7">
        <f>($B$22*I3^4+$C$22*I3^3+$D$22*I3^2+$E$22*I3+$F$22)/2</f>
      </c>
      <c r="X3" s="7">
        <f>($W3)*(T3)</f>
      </c>
      <c r="Y3" s="7">
        <f>($W3)*(U3)</f>
      </c>
      <c r="Z3" s="7">
        <f>SQRT(X3^2+Y3^2)</f>
      </c>
      <c r="AA3" s="7">
        <f>$K3+$X3</f>
      </c>
      <c r="AB3" s="7">
        <f>$L3+$Y3</f>
      </c>
      <c r="AC3" s="7">
        <f>$K3-$X3</f>
      </c>
      <c r="AD3" s="7">
        <f>$L3-$Y3</f>
      </c>
      <c r="AE3" s="7">
        <f>AA3/39.3701</f>
      </c>
      <c r="AF3" s="7">
        <f>AB3/39.3701</f>
      </c>
      <c r="AG3" s="7">
        <f>AC3/39.3701</f>
      </c>
      <c r="AH3" s="7">
        <f>AD3/39.3701</f>
      </c>
      <c r="AI3" s="1"/>
      <c r="AJ3" s="1"/>
      <c r="AK3" s="1"/>
      <c r="AL3" s="1"/>
      <c r="AM3" s="2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</row>
    <row x14ac:dyDescent="0.25" r="4" customHeight="1" ht="18.75">
      <c r="A4" s="1"/>
      <c r="B4" s="2" t="s">
        <v>22</v>
      </c>
      <c r="C4" s="7">
        <v>1.6623121633653477</v>
      </c>
      <c r="D4" s="7">
        <v>1.236403649687014</v>
      </c>
      <c r="E4" s="8">
        <v>16</v>
      </c>
      <c r="F4" s="2"/>
      <c r="G4" s="1"/>
      <c r="H4" s="1"/>
      <c r="I4" s="7">
        <v>0.001</v>
      </c>
      <c r="J4" s="7">
        <f>IF((I4-ROUNDDOWN(I4,0))=0, 0, (I4-ROUNDDOWN(I4,0)))</f>
      </c>
      <c r="K4" s="7">
        <f>INDIRECT("C$"&amp;2+MIN(2,ROUNDDOWN(I4,0))*3)*(-$J4^3+3*$J4^2-3*$J4+1)+INDIRECT("C$"&amp;3+MIN(2,ROUNDDOWN(I4,0))*3)*(3*$J4^3-6*$J4^2+3*$J4)+INDIRECT("C$"&amp;4+MIN(2,ROUNDDOWN(I4,0))*3)*(-3*$J4^3+3*$J4^2)+INDIRECT("C$"&amp;5+MIN(2,ROUNDDOWN(I4,0))*3)*$J4^3</f>
      </c>
      <c r="L4" s="7">
        <f>INDIRECT("D$"&amp;2+MIN(2,ROUNDDOWN(I4,0))*3)*(-$J4^3+3*$J4^2-3*$J4+1)+INDIRECT("D$"&amp;3+MIN(2,ROUNDDOWN(I4,0))*3)*(3*$J4^3-6*$J4^2+3*$J4)+INDIRECT("D$"&amp;4+MIN(2,ROUNDDOWN(I4,0))*3)*(-3*$J4^3+3*$J4^2)+INDIRECT("D$"&amp;5+MIN(2,ROUNDDOWN(I4,0))*3)*$J4^3</f>
      </c>
      <c r="M4" s="7">
        <f>SQRT(K4^2+L4^2)</f>
      </c>
      <c r="N4" s="7">
        <f>(K5-K3)</f>
      </c>
      <c r="O4" s="7">
        <f>+(L5-L3)</f>
      </c>
      <c r="P4" s="7">
        <f>SQRT(O4^2+N4^2)</f>
      </c>
      <c r="Q4" s="7">
        <f>N4/$P4</f>
      </c>
      <c r="R4" s="7">
        <f>O4/$P4</f>
      </c>
      <c r="S4" s="7">
        <f>Q4^2+R4^2</f>
      </c>
      <c r="T4" s="7">
        <f>-R4</f>
      </c>
      <c r="U4" s="7">
        <f>Q4</f>
      </c>
      <c r="V4" s="7">
        <f>INDIRECT("D$"&amp;2+MIN(2,ROUNDDOWN(AD3006,0))*3)*(-$J3006^3+3*$J3006^2-3*$J3006+1)+INDIRECT("D$"&amp;3+MIN(2,ROUNDDOWN(AD3006,0))*3)*(3*$J3006^3-6*$J3006^2+3*$J3006)+INDIRECT("D$"&amp;4+MIN(2,ROUNDDOWN(AD3006,0))*3)*(-3*$J3006^3+3*$J3006^2)+INDIRECT("D$"&amp;5+MIN(2,ROUNDDOWN(AD3006,0))*3)*$J3006^3</f>
      </c>
      <c r="W4" s="7">
        <f>($B$22*I4^4+$C$22*I4^3+$D$22*I4^2+$E$22*I4+$F$22)/2</f>
      </c>
      <c r="X4" s="7">
        <f>($W4)*(T4)</f>
      </c>
      <c r="Y4" s="7">
        <f>($W4)*(U4)</f>
      </c>
      <c r="Z4" s="7">
        <f>SQRT(X4^2+Y4^2)</f>
      </c>
      <c r="AA4" s="7">
        <f>$K4+$X4</f>
      </c>
      <c r="AB4" s="7">
        <f>$L4+$Y4</f>
      </c>
      <c r="AC4" s="7">
        <f>$K4-$X4</f>
      </c>
      <c r="AD4" s="7">
        <f>$L4-$Y4</f>
      </c>
      <c r="AE4" s="7">
        <f>AA4/39.3701</f>
      </c>
      <c r="AF4" s="7">
        <f>AB4/39.3701</f>
      </c>
      <c r="AG4" s="7">
        <f>AC4/39.3701</f>
      </c>
      <c r="AH4" s="7">
        <f>AD4/39.3701</f>
      </c>
      <c r="AI4" s="1"/>
      <c r="AJ4" s="1"/>
      <c r="AK4" s="1"/>
      <c r="AL4" s="1"/>
      <c r="AM4" s="2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</row>
    <row x14ac:dyDescent="0.25" r="5" customHeight="1" ht="18.75">
      <c r="A5" s="1"/>
      <c r="B5" s="2" t="s">
        <v>23</v>
      </c>
      <c r="C5" s="7">
        <v>1.1855755956095262</v>
      </c>
      <c r="D5" s="7">
        <v>1.5733119547931733</v>
      </c>
      <c r="E5" s="8">
        <v>17</v>
      </c>
      <c r="F5" s="2"/>
      <c r="G5" s="1"/>
      <c r="H5" s="1"/>
      <c r="I5" s="7">
        <v>0.002</v>
      </c>
      <c r="J5" s="7">
        <f>IF((I5-ROUNDDOWN(I5,0))=0, 0, (I5-ROUNDDOWN(I5,0)))</f>
      </c>
      <c r="K5" s="7">
        <f>INDIRECT("C$"&amp;2+MIN(2,ROUNDDOWN(I5,0))*3)*(-$J5^3+3*$J5^2-3*$J5+1)+INDIRECT("C$"&amp;3+MIN(2,ROUNDDOWN(I5,0))*3)*(3*$J5^3-6*$J5^2+3*$J5)+INDIRECT("C$"&amp;4+MIN(2,ROUNDDOWN(I5,0))*3)*(-3*$J5^3+3*$J5^2)+INDIRECT("C$"&amp;5+MIN(2,ROUNDDOWN(I5,0))*3)*$J5^3</f>
      </c>
      <c r="L5" s="7">
        <f>INDIRECT("D$"&amp;2+MIN(2,ROUNDDOWN(I5,0))*3)*(-$J5^3+3*$J5^2-3*$J5+1)+INDIRECT("D$"&amp;3+MIN(2,ROUNDDOWN(I5,0))*3)*(3*$J5^3-6*$J5^2+3*$J5)+INDIRECT("D$"&amp;4+MIN(2,ROUNDDOWN(I5,0))*3)*(-3*$J5^3+3*$J5^2)+INDIRECT("D$"&amp;5+MIN(2,ROUNDDOWN(I5,0))*3)*$J5^3</f>
      </c>
      <c r="M5" s="7">
        <f>SQRT(K5^2+L5^2)</f>
      </c>
      <c r="N5" s="7">
        <f>(K6-K4)</f>
      </c>
      <c r="O5" s="7">
        <f>+(L6-L4)</f>
      </c>
      <c r="P5" s="7">
        <f>SQRT(O5^2+N5^2)</f>
      </c>
      <c r="Q5" s="7">
        <f>N5/$P5</f>
      </c>
      <c r="R5" s="7">
        <f>O5/$P5</f>
      </c>
      <c r="S5" s="7">
        <f>Q5^2+R5^2</f>
      </c>
      <c r="T5" s="7">
        <f>-R5</f>
      </c>
      <c r="U5" s="7">
        <f>Q5</f>
      </c>
      <c r="V5" s="7">
        <f>INDIRECT("D$"&amp;2+MIN(2,ROUNDDOWN(AD3007,0))*3)*(-$J3007^3+3*$J3007^2-3*$J3007+1)+INDIRECT("D$"&amp;3+MIN(2,ROUNDDOWN(AD3007,0))*3)*(3*$J3007^3-6*$J3007^2+3*$J3007)+INDIRECT("D$"&amp;4+MIN(2,ROUNDDOWN(AD3007,0))*3)*(-3*$J3007^3+3*$J3007^2)+INDIRECT("D$"&amp;5+MIN(2,ROUNDDOWN(AD3007,0))*3)*$J3007^3</f>
      </c>
      <c r="W5" s="7">
        <f>($B$22*I5^4+$C$22*I5^3+$D$22*I5^2+$E$22*I5+$F$22)/2</f>
      </c>
      <c r="X5" s="7">
        <f>($W5)*(T5)</f>
      </c>
      <c r="Y5" s="7">
        <f>($W5)*(U5)</f>
      </c>
      <c r="Z5" s="7">
        <f>SQRT(X5^2+Y5^2)</f>
      </c>
      <c r="AA5" s="7">
        <f>$K5+$X5</f>
      </c>
      <c r="AB5" s="7">
        <f>$L5+$Y5</f>
      </c>
      <c r="AC5" s="7">
        <f>$K5-$X5</f>
      </c>
      <c r="AD5" s="7">
        <f>$L5-$Y5</f>
      </c>
      <c r="AE5" s="7">
        <f>AA5/39.3701</f>
      </c>
      <c r="AF5" s="7">
        <f>AB5/39.3701</f>
      </c>
      <c r="AG5" s="7">
        <f>AC5/39.3701</f>
      </c>
      <c r="AH5" s="7">
        <f>AD5/39.3701</f>
      </c>
      <c r="AI5" s="1"/>
      <c r="AJ5" s="1"/>
      <c r="AK5" s="1"/>
      <c r="AL5" s="1"/>
      <c r="AM5" s="2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</row>
    <row x14ac:dyDescent="0.25" r="6" customHeight="1" ht="18.75">
      <c r="A6" s="1"/>
      <c r="B6" s="2" t="s">
        <v>24</v>
      </c>
      <c r="C6" s="7">
        <v>0.7088390278537051</v>
      </c>
      <c r="D6" s="7">
        <v>1.9102202598993332</v>
      </c>
      <c r="E6" s="8">
        <v>1</v>
      </c>
      <c r="F6" s="2"/>
      <c r="G6" s="1"/>
      <c r="H6" s="1"/>
      <c r="I6" s="7">
        <v>0.003</v>
      </c>
      <c r="J6" s="7">
        <f>IF((I6-ROUNDDOWN(I6,0))=0, 0, (I6-ROUNDDOWN(I6,0)))</f>
      </c>
      <c r="K6" s="7">
        <f>INDIRECT("C$"&amp;2+MIN(2,ROUNDDOWN(I6,0))*3)*(-$J6^3+3*$J6^2-3*$J6+1)+INDIRECT("C$"&amp;3+MIN(2,ROUNDDOWN(I6,0))*3)*(3*$J6^3-6*$J6^2+3*$J6)+INDIRECT("C$"&amp;4+MIN(2,ROUNDDOWN(I6,0))*3)*(-3*$J6^3+3*$J6^2)+INDIRECT("C$"&amp;5+MIN(2,ROUNDDOWN(I6,0))*3)*$J6^3</f>
      </c>
      <c r="L6" s="7">
        <f>INDIRECT("D$"&amp;2+MIN(2,ROUNDDOWN(I6,0))*3)*(-$J6^3+3*$J6^2-3*$J6+1)+INDIRECT("D$"&amp;3+MIN(2,ROUNDDOWN(I6,0))*3)*(3*$J6^3-6*$J6^2+3*$J6)+INDIRECT("D$"&amp;4+MIN(2,ROUNDDOWN(I6,0))*3)*(-3*$J6^3+3*$J6^2)+INDIRECT("D$"&amp;5+MIN(2,ROUNDDOWN(I6,0))*3)*$J6^3</f>
      </c>
      <c r="M6" s="7">
        <f>SQRT(K6^2+L6^2)</f>
      </c>
      <c r="N6" s="7">
        <f>(K7-K5)</f>
      </c>
      <c r="O6" s="7">
        <f>+(L7-L5)</f>
      </c>
      <c r="P6" s="7">
        <f>SQRT(O6^2+N6^2)</f>
      </c>
      <c r="Q6" s="7">
        <f>N6/$P6</f>
      </c>
      <c r="R6" s="7">
        <f>O6/$P6</f>
      </c>
      <c r="S6" s="7">
        <f>Q6^2+R6^2</f>
      </c>
      <c r="T6" s="7">
        <f>-R6</f>
      </c>
      <c r="U6" s="7">
        <f>Q6</f>
      </c>
      <c r="V6" s="7">
        <f>INDIRECT("D$"&amp;2+MIN(2,ROUNDDOWN(AD3008,0))*3)*(-$J3008^3+3*$J3008^2-3*$J3008+1)+INDIRECT("D$"&amp;3+MIN(2,ROUNDDOWN(AD3008,0))*3)*(3*$J3008^3-6*$J3008^2+3*$J3008)+INDIRECT("D$"&amp;4+MIN(2,ROUNDDOWN(AD3008,0))*3)*(-3*$J3008^3+3*$J3008^2)+INDIRECT("D$"&amp;5+MIN(2,ROUNDDOWN(AD3008,0))*3)*$J3008^3</f>
      </c>
      <c r="W6" s="7">
        <f>($B$22*I6^4+$C$22*I6^3+$D$22*I6^2+$E$22*I6+$F$22)/2</f>
      </c>
      <c r="X6" s="7">
        <f>($W6)*(T6)</f>
      </c>
      <c r="Y6" s="7">
        <f>($W6)*(U6)</f>
      </c>
      <c r="Z6" s="7">
        <f>SQRT(X6^2+Y6^2)</f>
      </c>
      <c r="AA6" s="7">
        <f>$K6+$X6</f>
      </c>
      <c r="AB6" s="7">
        <f>$L6+$Y6</f>
      </c>
      <c r="AC6" s="7">
        <f>$K6-$X6</f>
      </c>
      <c r="AD6" s="7">
        <f>$L6-$Y6</f>
      </c>
      <c r="AE6" s="7">
        <f>AA6/39.3701</f>
      </c>
      <c r="AF6" s="7">
        <f>AB6/39.3701</f>
      </c>
      <c r="AG6" s="7">
        <f>AC6/39.3701</f>
      </c>
      <c r="AH6" s="7">
        <f>AD6/39.3701</f>
      </c>
      <c r="AI6" s="1"/>
      <c r="AJ6" s="1"/>
      <c r="AK6" s="1"/>
      <c r="AL6" s="1"/>
      <c r="AM6" s="2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</row>
    <row x14ac:dyDescent="0.25" r="7" customHeight="1" ht="18.75">
      <c r="A7" s="1"/>
      <c r="B7" s="2" t="s">
        <v>25</v>
      </c>
      <c r="C7" s="7">
        <v>0.04040810669238946</v>
      </c>
      <c r="D7" s="7">
        <v>2.0961034461820485</v>
      </c>
      <c r="E7" s="8">
        <v>7</v>
      </c>
      <c r="F7" s="2"/>
      <c r="G7" s="1"/>
      <c r="H7" s="1"/>
      <c r="I7" s="7">
        <v>0.004</v>
      </c>
      <c r="J7" s="7">
        <f>IF((I7-ROUNDDOWN(I7,0))=0, 0, (I7-ROUNDDOWN(I7,0)))</f>
      </c>
      <c r="K7" s="7">
        <f>INDIRECT("C$"&amp;2+MIN(2,ROUNDDOWN(I7,0))*3)*(-$J7^3+3*$J7^2-3*$J7+1)+INDIRECT("C$"&amp;3+MIN(2,ROUNDDOWN(I7,0))*3)*(3*$J7^3-6*$J7^2+3*$J7)+INDIRECT("C$"&amp;4+MIN(2,ROUNDDOWN(I7,0))*3)*(-3*$J7^3+3*$J7^2)+INDIRECT("C$"&amp;5+MIN(2,ROUNDDOWN(I7,0))*3)*$J7^3</f>
      </c>
      <c r="L7" s="7">
        <f>INDIRECT("D$"&amp;2+MIN(2,ROUNDDOWN(I7,0))*3)*(-$J7^3+3*$J7^2-3*$J7+1)+INDIRECT("D$"&amp;3+MIN(2,ROUNDDOWN(I7,0))*3)*(3*$J7^3-6*$J7^2+3*$J7)+INDIRECT("D$"&amp;4+MIN(2,ROUNDDOWN(I7,0))*3)*(-3*$J7^3+3*$J7^2)+INDIRECT("D$"&amp;5+MIN(2,ROUNDDOWN(I7,0))*3)*$J7^3</f>
      </c>
      <c r="M7" s="7">
        <f>SQRT(K7^2+L7^2)</f>
      </c>
      <c r="N7" s="7">
        <f>(K8-K6)</f>
      </c>
      <c r="O7" s="7">
        <f>+(L8-L6)</f>
      </c>
      <c r="P7" s="7">
        <f>SQRT(O7^2+N7^2)</f>
      </c>
      <c r="Q7" s="7">
        <f>N7/$P7</f>
      </c>
      <c r="R7" s="7">
        <f>O7/$P7</f>
      </c>
      <c r="S7" s="7">
        <f>Q7^2+R7^2</f>
      </c>
      <c r="T7" s="7">
        <f>-R7</f>
      </c>
      <c r="U7" s="7">
        <f>Q7</f>
      </c>
      <c r="V7" s="7">
        <f>INDIRECT("D$"&amp;2+MIN(2,ROUNDDOWN(AD3009,0))*3)*(-$J3009^3+3*$J3009^2-3*$J3009+1)+INDIRECT("D$"&amp;3+MIN(2,ROUNDDOWN(AD3009,0))*3)*(3*$J3009^3-6*$J3009^2+3*$J3009)+INDIRECT("D$"&amp;4+MIN(2,ROUNDDOWN(AD3009,0))*3)*(-3*$J3009^3+3*$J3009^2)+INDIRECT("D$"&amp;5+MIN(2,ROUNDDOWN(AD3009,0))*3)*$J3009^3</f>
      </c>
      <c r="W7" s="7">
        <f>($B$22*I7^4+$C$22*I7^3+$D$22*I7^2+$E$22*I7+$F$22)/2</f>
      </c>
      <c r="X7" s="7">
        <f>($W7)*(T7)</f>
      </c>
      <c r="Y7" s="7">
        <f>($W7)*(U7)</f>
      </c>
      <c r="Z7" s="7">
        <f>SQRT(X7^2+Y7^2)</f>
      </c>
      <c r="AA7" s="7">
        <f>$K7+$X7</f>
      </c>
      <c r="AB7" s="7">
        <f>$L7+$Y7</f>
      </c>
      <c r="AC7" s="7">
        <f>$K7-$X7</f>
      </c>
      <c r="AD7" s="7">
        <f>$L7-$Y7</f>
      </c>
      <c r="AE7" s="7">
        <f>AA7/39.3701</f>
      </c>
      <c r="AF7" s="7">
        <f>AB7/39.3701</f>
      </c>
      <c r="AG7" s="7">
        <f>AC7/39.3701</f>
      </c>
      <c r="AH7" s="7">
        <f>AD7/39.3701</f>
      </c>
      <c r="AI7" s="1"/>
      <c r="AJ7" s="1"/>
      <c r="AK7" s="1"/>
      <c r="AL7" s="1"/>
      <c r="AM7" s="2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</row>
    <row x14ac:dyDescent="0.25" r="8" customHeight="1" ht="18.75">
      <c r="A8" s="1"/>
      <c r="B8" s="2" t="s">
        <v>26</v>
      </c>
      <c r="C8" s="7">
        <v>-0.5840421193686519</v>
      </c>
      <c r="D8" s="7">
        <v>1.7974968157978397</v>
      </c>
      <c r="E8" s="8">
        <v>9</v>
      </c>
      <c r="F8" s="2"/>
      <c r="G8" s="1"/>
      <c r="H8" s="1"/>
      <c r="I8" s="7">
        <v>0.005</v>
      </c>
      <c r="J8" s="7">
        <f>IF((I8-ROUNDDOWN(I8,0))=0, 0, (I8-ROUNDDOWN(I8,0)))</f>
      </c>
      <c r="K8" s="7">
        <f>INDIRECT("C$"&amp;2+MIN(2,ROUNDDOWN(I8,0))*3)*(-$J8^3+3*$J8^2-3*$J8+1)+INDIRECT("C$"&amp;3+MIN(2,ROUNDDOWN(I8,0))*3)*(3*$J8^3-6*$J8^2+3*$J8)+INDIRECT("C$"&amp;4+MIN(2,ROUNDDOWN(I8,0))*3)*(-3*$J8^3+3*$J8^2)+INDIRECT("C$"&amp;5+MIN(2,ROUNDDOWN(I8,0))*3)*$J8^3</f>
      </c>
      <c r="L8" s="7">
        <f>INDIRECT("D$"&amp;2+MIN(2,ROUNDDOWN(I8,0))*3)*(-$J8^3+3*$J8^2-3*$J8+1)+INDIRECT("D$"&amp;3+MIN(2,ROUNDDOWN(I8,0))*3)*(3*$J8^3-6*$J8^2+3*$J8)+INDIRECT("D$"&amp;4+MIN(2,ROUNDDOWN(I8,0))*3)*(-3*$J8^3+3*$J8^2)+INDIRECT("D$"&amp;5+MIN(2,ROUNDDOWN(I8,0))*3)*$J8^3</f>
      </c>
      <c r="M8" s="7">
        <f>SQRT(K8^2+L8^2)</f>
      </c>
      <c r="N8" s="7">
        <f>(K9-K7)</f>
      </c>
      <c r="O8" s="7">
        <f>+(L9-L7)</f>
      </c>
      <c r="P8" s="7">
        <f>SQRT(O8^2+N8^2)</f>
      </c>
      <c r="Q8" s="7">
        <f>N8/$P8</f>
      </c>
      <c r="R8" s="7">
        <f>O8/$P8</f>
      </c>
      <c r="S8" s="8">
        <f>Q8^2+R8^2</f>
      </c>
      <c r="T8" s="7">
        <f>-R8</f>
      </c>
      <c r="U8" s="7">
        <f>Q8</f>
      </c>
      <c r="V8" s="7">
        <f>INDIRECT("D$"&amp;2+MIN(2,ROUNDDOWN(AD3010,0))*3)*(-$J3010^3+3*$J3010^2-3*$J3010+1)+INDIRECT("D$"&amp;3+MIN(2,ROUNDDOWN(AD3010,0))*3)*(3*$J3010^3-6*$J3010^2+3*$J3010)+INDIRECT("D$"&amp;4+MIN(2,ROUNDDOWN(AD3010,0))*3)*(-3*$J3010^3+3*$J3010^2)+INDIRECT("D$"&amp;5+MIN(2,ROUNDDOWN(AD3010,0))*3)*$J3010^3</f>
      </c>
      <c r="W8" s="7">
        <f>($B$22*I8^4+$C$22*I8^3+$D$22*I8^2+$E$22*I8+$F$22)/2</f>
      </c>
      <c r="X8" s="7">
        <f>($W8)*(T8)</f>
      </c>
      <c r="Y8" s="7">
        <f>($W8)*(U8)</f>
      </c>
      <c r="Z8" s="7">
        <f>SQRT(X8^2+Y8^2)</f>
      </c>
      <c r="AA8" s="7">
        <f>$K8+$X8</f>
      </c>
      <c r="AB8" s="7">
        <f>$L8+$Y8</f>
      </c>
      <c r="AC8" s="7">
        <f>$K8-$X8</f>
      </c>
      <c r="AD8" s="7">
        <f>$L8-$Y8</f>
      </c>
      <c r="AE8" s="7">
        <f>AA8/39.3701</f>
      </c>
      <c r="AF8" s="7">
        <f>AB8/39.3701</f>
      </c>
      <c r="AG8" s="7">
        <f>AC8/39.3701</f>
      </c>
      <c r="AH8" s="7">
        <f>AD8/39.3701</f>
      </c>
      <c r="AI8" s="1"/>
      <c r="AJ8" s="1"/>
      <c r="AK8" s="1"/>
      <c r="AL8" s="1"/>
      <c r="AM8" s="2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</row>
    <row x14ac:dyDescent="0.25" r="9" customHeight="1" ht="18.75">
      <c r="A9" s="1"/>
      <c r="B9" s="2" t="s">
        <v>27</v>
      </c>
      <c r="C9" s="7">
        <v>-1.2084923454296936</v>
      </c>
      <c r="D9" s="7">
        <v>1.498890185413631</v>
      </c>
      <c r="E9" s="8">
        <v>20</v>
      </c>
      <c r="F9" s="2"/>
      <c r="G9" s="1"/>
      <c r="H9" s="1"/>
      <c r="I9" s="7">
        <v>0.006</v>
      </c>
      <c r="J9" s="7">
        <f>IF((I9-ROUNDDOWN(I9,0))=0, 0, (I9-ROUNDDOWN(I9,0)))</f>
      </c>
      <c r="K9" s="7">
        <f>INDIRECT("C$"&amp;2+MIN(2,ROUNDDOWN(I9,0))*3)*(-$J9^3+3*$J9^2-3*$J9+1)+INDIRECT("C$"&amp;3+MIN(2,ROUNDDOWN(I9,0))*3)*(3*$J9^3-6*$J9^2+3*$J9)+INDIRECT("C$"&amp;4+MIN(2,ROUNDDOWN(I9,0))*3)*(-3*$J9^3+3*$J9^2)+INDIRECT("C$"&amp;5+MIN(2,ROUNDDOWN(I9,0))*3)*$J9^3</f>
      </c>
      <c r="L9" s="7">
        <f>INDIRECT("D$"&amp;2+MIN(2,ROUNDDOWN(I9,0))*3)*(-$J9^3+3*$J9^2-3*$J9+1)+INDIRECT("D$"&amp;3+MIN(2,ROUNDDOWN(I9,0))*3)*(3*$J9^3-6*$J9^2+3*$J9)+INDIRECT("D$"&amp;4+MIN(2,ROUNDDOWN(I9,0))*3)*(-3*$J9^3+3*$J9^2)+INDIRECT("D$"&amp;5+MIN(2,ROUNDDOWN(I9,0))*3)*$J9^3</f>
      </c>
      <c r="M9" s="7">
        <f>SQRT(K9^2+L9^2)</f>
      </c>
      <c r="N9" s="7">
        <f>(K10-K8)</f>
      </c>
      <c r="O9" s="7">
        <f>+(L10-L8)</f>
      </c>
      <c r="P9" s="7">
        <f>SQRT(O9^2+N9^2)</f>
      </c>
      <c r="Q9" s="7">
        <f>N9/$P9</f>
      </c>
      <c r="R9" s="7">
        <f>O9/$P9</f>
      </c>
      <c r="S9" s="8">
        <f>Q9^2+R9^2</f>
      </c>
      <c r="T9" s="7">
        <f>-R9</f>
      </c>
      <c r="U9" s="7">
        <f>Q9</f>
      </c>
      <c r="V9" s="7">
        <f>INDIRECT("D$"&amp;2+MIN(2,ROUNDDOWN(AD3011,0))*3)*(-$J3011^3+3*$J3011^2-3*$J3011+1)+INDIRECT("D$"&amp;3+MIN(2,ROUNDDOWN(AD3011,0))*3)*(3*$J3011^3-6*$J3011^2+3*$J3011)+INDIRECT("D$"&amp;4+MIN(2,ROUNDDOWN(AD3011,0))*3)*(-3*$J3011^3+3*$J3011^2)+INDIRECT("D$"&amp;5+MIN(2,ROUNDDOWN(AD3011,0))*3)*$J3011^3</f>
      </c>
      <c r="W9" s="7">
        <f>($B$22*I9^4+$C$22*I9^3+$D$22*I9^2+$E$22*I9+$F$22)/2</f>
      </c>
      <c r="X9" s="7">
        <f>($W9)*(T9)</f>
      </c>
      <c r="Y9" s="7">
        <f>($W9)*(U9)</f>
      </c>
      <c r="Z9" s="7">
        <f>SQRT(X9^2+Y9^2)</f>
      </c>
      <c r="AA9" s="7">
        <f>$K9+$X9</f>
      </c>
      <c r="AB9" s="7">
        <f>$L9+$Y9</f>
      </c>
      <c r="AC9" s="7">
        <f>$K9-$X9</f>
      </c>
      <c r="AD9" s="7">
        <f>$L9-$Y9</f>
      </c>
      <c r="AE9" s="7">
        <f>AA9/39.3701</f>
      </c>
      <c r="AF9" s="7">
        <f>AB9/39.3701</f>
      </c>
      <c r="AG9" s="7">
        <f>AC9/39.3701</f>
      </c>
      <c r="AH9" s="7">
        <f>AD9/39.3701</f>
      </c>
      <c r="AI9" s="1"/>
      <c r="AJ9" s="1"/>
      <c r="AK9" s="1"/>
      <c r="AL9" s="1"/>
      <c r="AM9" s="2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</row>
    <row x14ac:dyDescent="0.25" r="10" customHeight="1" ht="18.75">
      <c r="A10" s="1"/>
      <c r="B10" s="2" t="s">
        <v>28</v>
      </c>
      <c r="C10" s="7">
        <v>-1.788961876390461</v>
      </c>
      <c r="D10" s="7">
        <v>0.7157937383624979</v>
      </c>
      <c r="E10" s="8">
        <v>19</v>
      </c>
      <c r="F10" s="2"/>
      <c r="G10" s="1"/>
      <c r="H10" s="1"/>
      <c r="I10" s="7">
        <v>0.007</v>
      </c>
      <c r="J10" s="7">
        <f>IF((I10-ROUNDDOWN(I10,0))=0, 0, (I10-ROUNDDOWN(I10,0)))</f>
      </c>
      <c r="K10" s="7">
        <f>INDIRECT("C$"&amp;2+MIN(2,ROUNDDOWN(I10,0))*3)*(-$J10^3+3*$J10^2-3*$J10+1)+INDIRECT("C$"&amp;3+MIN(2,ROUNDDOWN(I10,0))*3)*(3*$J10^3-6*$J10^2+3*$J10)+INDIRECT("C$"&amp;4+MIN(2,ROUNDDOWN(I10,0))*3)*(-3*$J10^3+3*$J10^2)+INDIRECT("C$"&amp;5+MIN(2,ROUNDDOWN(I10,0))*3)*$J10^3</f>
      </c>
      <c r="L10" s="7">
        <f>INDIRECT("D$"&amp;2+MIN(2,ROUNDDOWN(I10,0))*3)*(-$J10^3+3*$J10^2-3*$J10+1)+INDIRECT("D$"&amp;3+MIN(2,ROUNDDOWN(I10,0))*3)*(3*$J10^3-6*$J10^2+3*$J10)+INDIRECT("D$"&amp;4+MIN(2,ROUNDDOWN(I10,0))*3)*(-3*$J10^3+3*$J10^2)+INDIRECT("D$"&amp;5+MIN(2,ROUNDDOWN(I10,0))*3)*$J10^3</f>
      </c>
      <c r="M10" s="7">
        <f>SQRT(K10^2+L10^2)</f>
      </c>
      <c r="N10" s="7">
        <f>(K11-K9)</f>
      </c>
      <c r="O10" s="7">
        <f>+(L11-L9)</f>
      </c>
      <c r="P10" s="7">
        <f>SQRT(O10^2+N10^2)</f>
      </c>
      <c r="Q10" s="7">
        <f>N10/$P10</f>
      </c>
      <c r="R10" s="7">
        <f>O10/$P10</f>
      </c>
      <c r="S10" s="8">
        <f>Q10^2+R10^2</f>
      </c>
      <c r="T10" s="7">
        <f>-R10</f>
      </c>
      <c r="U10" s="7">
        <f>Q10</f>
      </c>
      <c r="V10" s="7">
        <f>INDIRECT("D$"&amp;2+MIN(2,ROUNDDOWN(AD3012,0))*3)*(-$J3012^3+3*$J3012^2-3*$J3012+1)+INDIRECT("D$"&amp;3+MIN(2,ROUNDDOWN(AD3012,0))*3)*(3*$J3012^3-6*$J3012^2+3*$J3012)+INDIRECT("D$"&amp;4+MIN(2,ROUNDDOWN(AD3012,0))*3)*(-3*$J3012^3+3*$J3012^2)+INDIRECT("D$"&amp;5+MIN(2,ROUNDDOWN(AD3012,0))*3)*$J3012^3</f>
      </c>
      <c r="W10" s="7">
        <f>($B$22*I10^4+$C$22*I10^3+$D$22*I10^2+$E$22*I10+$F$22)/2</f>
      </c>
      <c r="X10" s="7">
        <f>($W10)*(T10)</f>
      </c>
      <c r="Y10" s="7">
        <f>($W10)*(U10)</f>
      </c>
      <c r="Z10" s="7">
        <f>SQRT(X10^2+Y10^2)</f>
      </c>
      <c r="AA10" s="7">
        <f>$K10+$X10</f>
      </c>
      <c r="AB10" s="7">
        <f>$L10+$Y10</f>
      </c>
      <c r="AC10" s="7">
        <f>$K10-$X10</f>
      </c>
      <c r="AD10" s="7">
        <f>$L10-$Y10</f>
      </c>
      <c r="AE10" s="7">
        <f>AA10/39.3701</f>
      </c>
      <c r="AF10" s="7">
        <f>AB10/39.3701</f>
      </c>
      <c r="AG10" s="7">
        <f>AC10/39.3701</f>
      </c>
      <c r="AH10" s="7">
        <f>AD10/39.3701</f>
      </c>
      <c r="AI10" s="1"/>
      <c r="AJ10" s="1"/>
      <c r="AK10" s="1"/>
      <c r="AL10" s="1"/>
      <c r="AM10" s="2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</row>
    <row x14ac:dyDescent="0.25" r="11" customHeight="1" ht="18.75">
      <c r="A11" s="1"/>
      <c r="B11" s="2" t="s">
        <v>29</v>
      </c>
      <c r="C11" s="7">
        <v>-2.372729776403048</v>
      </c>
      <c r="D11" s="7">
        <v>0.7157937383624979</v>
      </c>
      <c r="E11" s="8">
        <v>5</v>
      </c>
      <c r="F11" s="2"/>
      <c r="G11" s="1"/>
      <c r="H11" s="1"/>
      <c r="I11" s="7">
        <v>0.008</v>
      </c>
      <c r="J11" s="7">
        <f>IF((I11-ROUNDDOWN(I11,0))=0, 0, (I11-ROUNDDOWN(I11,0)))</f>
      </c>
      <c r="K11" s="7">
        <f>INDIRECT("C$"&amp;2+MIN(2,ROUNDDOWN(I11,0))*3)*(-$J11^3+3*$J11^2-3*$J11+1)+INDIRECT("C$"&amp;3+MIN(2,ROUNDDOWN(I11,0))*3)*(3*$J11^3-6*$J11^2+3*$J11)+INDIRECT("C$"&amp;4+MIN(2,ROUNDDOWN(I11,0))*3)*(-3*$J11^3+3*$J11^2)+INDIRECT("C$"&amp;5+MIN(2,ROUNDDOWN(I11,0))*3)*$J11^3</f>
      </c>
      <c r="L11" s="7">
        <f>INDIRECT("D$"&amp;2+MIN(2,ROUNDDOWN(I11,0))*3)*(-$J11^3+3*$J11^2-3*$J11+1)+INDIRECT("D$"&amp;3+MIN(2,ROUNDDOWN(I11,0))*3)*(3*$J11^3-6*$J11^2+3*$J11)+INDIRECT("D$"&amp;4+MIN(2,ROUNDDOWN(I11,0))*3)*(-3*$J11^3+3*$J11^2)+INDIRECT("D$"&amp;5+MIN(2,ROUNDDOWN(I11,0))*3)*$J11^3</f>
      </c>
      <c r="M11" s="7">
        <f>SQRT(K11^2+L11^2)</f>
      </c>
      <c r="N11" s="7">
        <f>(K12-K10)</f>
      </c>
      <c r="O11" s="7">
        <f>+(L12-L10)</f>
      </c>
      <c r="P11" s="7">
        <f>SQRT(O11^2+N11^2)</f>
      </c>
      <c r="Q11" s="7">
        <f>N11/$P11</f>
      </c>
      <c r="R11" s="7">
        <f>O11/$P11</f>
      </c>
      <c r="S11" s="8">
        <f>Q11^2+R11^2</f>
      </c>
      <c r="T11" s="7">
        <f>-R11</f>
      </c>
      <c r="U11" s="7">
        <f>Q11</f>
      </c>
      <c r="V11" s="7">
        <f>INDIRECT("D$"&amp;2+MIN(2,ROUNDDOWN(AD3013,0))*3)*(-$J3013^3+3*$J3013^2-3*$J3013+1)+INDIRECT("D$"&amp;3+MIN(2,ROUNDDOWN(AD3013,0))*3)*(3*$J3013^3-6*$J3013^2+3*$J3013)+INDIRECT("D$"&amp;4+MIN(2,ROUNDDOWN(AD3013,0))*3)*(-3*$J3013^3+3*$J3013^2)+INDIRECT("D$"&amp;5+MIN(2,ROUNDDOWN(AD3013,0))*3)*$J3013^3</f>
      </c>
      <c r="W11" s="7">
        <f>($B$22*I11^4+$C$22*I11^3+$D$22*I11^2+$E$22*I11+$F$22)/2</f>
      </c>
      <c r="X11" s="7">
        <f>($W11)*(T11)</f>
      </c>
      <c r="Y11" s="7">
        <f>($W11)*(U11)</f>
      </c>
      <c r="Z11" s="7">
        <f>SQRT(X11^2+Y11^2)</f>
      </c>
      <c r="AA11" s="7">
        <f>$K11+$X11</f>
      </c>
      <c r="AB11" s="7">
        <f>$L11+$Y11</f>
      </c>
      <c r="AC11" s="7">
        <f>$K11-$X11</f>
      </c>
      <c r="AD11" s="7">
        <f>$L11-$Y11</f>
      </c>
      <c r="AE11" s="7">
        <f>AA11/39.3701</f>
      </c>
      <c r="AF11" s="7">
        <f>AB11/39.3701</f>
      </c>
      <c r="AG11" s="7">
        <f>AC11/39.3701</f>
      </c>
      <c r="AH11" s="7">
        <f>AD11/39.3701</f>
      </c>
      <c r="AI11" s="1"/>
      <c r="AJ11" s="1"/>
      <c r="AK11" s="1"/>
      <c r="AL11" s="1"/>
      <c r="AM11" s="2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</row>
    <row x14ac:dyDescent="0.25" r="12" customHeight="1" ht="18.75">
      <c r="A12" s="1"/>
      <c r="B12" s="2"/>
      <c r="C12" s="2"/>
      <c r="D12" s="2"/>
      <c r="E12" s="2"/>
      <c r="F12" s="2"/>
      <c r="G12" s="1"/>
      <c r="H12" s="1"/>
      <c r="I12" s="7">
        <v>0.009</v>
      </c>
      <c r="J12" s="7">
        <f>IF((I12-ROUNDDOWN(I12,0))=0, 0, (I12-ROUNDDOWN(I12,0)))</f>
      </c>
      <c r="K12" s="7">
        <f>INDIRECT("C$"&amp;2+MIN(2,ROUNDDOWN(I12,0))*3)*(-$J12^3+3*$J12^2-3*$J12+1)+INDIRECT("C$"&amp;3+MIN(2,ROUNDDOWN(I12,0))*3)*(3*$J12^3-6*$J12^2+3*$J12)+INDIRECT("C$"&amp;4+MIN(2,ROUNDDOWN(I12,0))*3)*(-3*$J12^3+3*$J12^2)+INDIRECT("C$"&amp;5+MIN(2,ROUNDDOWN(I12,0))*3)*$J12^3</f>
      </c>
      <c r="L12" s="7">
        <f>INDIRECT("D$"&amp;2+MIN(2,ROUNDDOWN(I12,0))*3)*(-$J12^3+3*$J12^2-3*$J12+1)+INDIRECT("D$"&amp;3+MIN(2,ROUNDDOWN(I12,0))*3)*(3*$J12^3-6*$J12^2+3*$J12)+INDIRECT("D$"&amp;4+MIN(2,ROUNDDOWN(I12,0))*3)*(-3*$J12^3+3*$J12^2)+INDIRECT("D$"&amp;5+MIN(2,ROUNDDOWN(I12,0))*3)*$J12^3</f>
      </c>
      <c r="M12" s="7">
        <f>SQRT(K12^2+L12^2)</f>
      </c>
      <c r="N12" s="7">
        <f>(K13-K11)</f>
      </c>
      <c r="O12" s="7">
        <f>+(L13-L11)</f>
      </c>
      <c r="P12" s="7">
        <f>SQRT(O12^2+N12^2)</f>
      </c>
      <c r="Q12" s="7">
        <f>N12/$P12</f>
      </c>
      <c r="R12" s="7">
        <f>O12/$P12</f>
      </c>
      <c r="S12" s="8">
        <f>Q12^2+R12^2</f>
      </c>
      <c r="T12" s="7">
        <f>-R12</f>
      </c>
      <c r="U12" s="7">
        <f>Q12</f>
      </c>
      <c r="V12" s="7">
        <f>INDIRECT("D$"&amp;2+MIN(2,ROUNDDOWN(AD3014,0))*3)*(-$J3014^3+3*$J3014^2-3*$J3014+1)+INDIRECT("D$"&amp;3+MIN(2,ROUNDDOWN(AD3014,0))*3)*(3*$J3014^3-6*$J3014^2+3*$J3014)+INDIRECT("D$"&amp;4+MIN(2,ROUNDDOWN(AD3014,0))*3)*(-3*$J3014^3+3*$J3014^2)+INDIRECT("D$"&amp;5+MIN(2,ROUNDDOWN(AD3014,0))*3)*$J3014^3</f>
      </c>
      <c r="W12" s="7">
        <f>($B$22*I12^4+$C$22*I12^3+$D$22*I12^2+$E$22*I12+$F$22)/2</f>
      </c>
      <c r="X12" s="7">
        <f>($W12)*(T12)</f>
      </c>
      <c r="Y12" s="7">
        <f>($W12)*(U12)</f>
      </c>
      <c r="Z12" s="7">
        <f>SQRT(X12^2+Y12^2)</f>
      </c>
      <c r="AA12" s="7">
        <f>$K12+$X12</f>
      </c>
      <c r="AB12" s="7">
        <f>$L12+$Y12</f>
      </c>
      <c r="AC12" s="7">
        <f>$K12-$X12</f>
      </c>
      <c r="AD12" s="7">
        <f>$L12-$Y12</f>
      </c>
      <c r="AE12" s="7">
        <f>AA12/39.3701</f>
      </c>
      <c r="AF12" s="7">
        <f>AB12/39.3701</f>
      </c>
      <c r="AG12" s="7">
        <f>AC12/39.3701</f>
      </c>
      <c r="AH12" s="7">
        <f>AD12/39.3701</f>
      </c>
      <c r="AI12" s="1"/>
      <c r="AJ12" s="1"/>
      <c r="AK12" s="1"/>
      <c r="AL12" s="1"/>
      <c r="AM12" s="2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</row>
    <row x14ac:dyDescent="0.25" r="13" customHeight="1" ht="18.75">
      <c r="A13" s="1"/>
      <c r="B13" s="2"/>
      <c r="C13" s="2" t="s">
        <v>30</v>
      </c>
      <c r="D13" s="2" t="s">
        <v>31</v>
      </c>
      <c r="E13" s="2" t="s">
        <v>32</v>
      </c>
      <c r="F13" s="2"/>
      <c r="G13" s="1"/>
      <c r="H13" s="1"/>
      <c r="I13" s="7">
        <v>0.01</v>
      </c>
      <c r="J13" s="7">
        <f>IF((I13-ROUNDDOWN(I13,0))=0, 0, (I13-ROUNDDOWN(I13,0)))</f>
      </c>
      <c r="K13" s="7">
        <f>INDIRECT("C$"&amp;2+MIN(2,ROUNDDOWN(I13,0))*3)*(-$J13^3+3*$J13^2-3*$J13+1)+INDIRECT("C$"&amp;3+MIN(2,ROUNDDOWN(I13,0))*3)*(3*$J13^3-6*$J13^2+3*$J13)+INDIRECT("C$"&amp;4+MIN(2,ROUNDDOWN(I13,0))*3)*(-3*$J13^3+3*$J13^2)+INDIRECT("C$"&amp;5+MIN(2,ROUNDDOWN(I13,0))*3)*$J13^3</f>
      </c>
      <c r="L13" s="7">
        <f>INDIRECT("D$"&amp;2+MIN(2,ROUNDDOWN(I13,0))*3)*(-$J13^3+3*$J13^2-3*$J13+1)+INDIRECT("D$"&amp;3+MIN(2,ROUNDDOWN(I13,0))*3)*(3*$J13^3-6*$J13^2+3*$J13)+INDIRECT("D$"&amp;4+MIN(2,ROUNDDOWN(I13,0))*3)*(-3*$J13^3+3*$J13^2)+INDIRECT("D$"&amp;5+MIN(2,ROUNDDOWN(I13,0))*3)*$J13^3</f>
      </c>
      <c r="M13" s="7">
        <f>SQRT(K13^2+L13^2)</f>
      </c>
      <c r="N13" s="7">
        <f>(K14-K12)</f>
      </c>
      <c r="O13" s="7">
        <f>+(L14-L12)</f>
      </c>
      <c r="P13" s="7">
        <f>SQRT(O13^2+N13^2)</f>
      </c>
      <c r="Q13" s="7">
        <f>N13/$P13</f>
      </c>
      <c r="R13" s="7">
        <f>O13/$P13</f>
      </c>
      <c r="S13" s="8">
        <f>Q13^2+R13^2</f>
      </c>
      <c r="T13" s="7">
        <f>-R13</f>
      </c>
      <c r="U13" s="7">
        <f>Q13</f>
      </c>
      <c r="V13" s="7">
        <f>INDIRECT("D$"&amp;2+MIN(2,ROUNDDOWN(AD3015,0))*3)*(-$J3015^3+3*$J3015^2-3*$J3015+1)+INDIRECT("D$"&amp;3+MIN(2,ROUNDDOWN(AD3015,0))*3)*(3*$J3015^3-6*$J3015^2+3*$J3015)+INDIRECT("D$"&amp;4+MIN(2,ROUNDDOWN(AD3015,0))*3)*(-3*$J3015^3+3*$J3015^2)+INDIRECT("D$"&amp;5+MIN(2,ROUNDDOWN(AD3015,0))*3)*$J3015^3</f>
      </c>
      <c r="W13" s="7">
        <f>($B$22*I13^4+$C$22*I13^3+$D$22*I13^2+$E$22*I13+$F$22)/2</f>
      </c>
      <c r="X13" s="7">
        <f>($W13)*(T13)</f>
      </c>
      <c r="Y13" s="7">
        <f>($W13)*(U13)</f>
      </c>
      <c r="Z13" s="7">
        <f>SQRT(X13^2+Y13^2)</f>
      </c>
      <c r="AA13" s="7">
        <f>$K13+$X13</f>
      </c>
      <c r="AB13" s="7">
        <f>$L13+$Y13</f>
      </c>
      <c r="AC13" s="7">
        <f>$K13-$X13</f>
      </c>
      <c r="AD13" s="7">
        <f>$L13-$Y13</f>
      </c>
      <c r="AE13" s="7">
        <f>AA13/39.3701</f>
      </c>
      <c r="AF13" s="7">
        <f>AB13/39.3701</f>
      </c>
      <c r="AG13" s="7">
        <f>AC13/39.3701</f>
      </c>
      <c r="AH13" s="7">
        <f>AD13/39.3701</f>
      </c>
      <c r="AI13" s="1"/>
      <c r="AJ13" s="1"/>
      <c r="AK13" s="1"/>
      <c r="AL13" s="1"/>
      <c r="AM13" s="2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</row>
    <row x14ac:dyDescent="0.25" r="14" customHeight="1" ht="18.75">
      <c r="A14" s="1"/>
      <c r="B14" s="2" t="s">
        <v>5</v>
      </c>
      <c r="C14" s="7">
        <v>0.88</v>
      </c>
      <c r="D14" s="8">
        <v>0</v>
      </c>
      <c r="E14" s="7">
        <f>($B$22*D14^4+$C$22*D14^3+$D$22*D14^2+$E$22*D14+$F$22)</f>
      </c>
      <c r="F14" s="2"/>
      <c r="G14" s="1"/>
      <c r="H14" s="1"/>
      <c r="I14" s="7">
        <v>0.011</v>
      </c>
      <c r="J14" s="7">
        <f>IF((I14-ROUNDDOWN(I14,0))=0, 0, (I14-ROUNDDOWN(I14,0)))</f>
      </c>
      <c r="K14" s="7">
        <f>INDIRECT("C$"&amp;2+MIN(2,ROUNDDOWN(I14,0))*3)*(-$J14^3+3*$J14^2-3*$J14+1)+INDIRECT("C$"&amp;3+MIN(2,ROUNDDOWN(I14,0))*3)*(3*$J14^3-6*$J14^2+3*$J14)+INDIRECT("C$"&amp;4+MIN(2,ROUNDDOWN(I14,0))*3)*(-3*$J14^3+3*$J14^2)+INDIRECT("C$"&amp;5+MIN(2,ROUNDDOWN(I14,0))*3)*$J14^3</f>
      </c>
      <c r="L14" s="7">
        <f>INDIRECT("D$"&amp;2+MIN(2,ROUNDDOWN(I14,0))*3)*(-$J14^3+3*$J14^2-3*$J14+1)+INDIRECT("D$"&amp;3+MIN(2,ROUNDDOWN(I14,0))*3)*(3*$J14^3-6*$J14^2+3*$J14)+INDIRECT("D$"&amp;4+MIN(2,ROUNDDOWN(I14,0))*3)*(-3*$J14^3+3*$J14^2)+INDIRECT("D$"&amp;5+MIN(2,ROUNDDOWN(I14,0))*3)*$J14^3</f>
      </c>
      <c r="M14" s="7">
        <f>SQRT(K14^2+L14^2)</f>
      </c>
      <c r="N14" s="7">
        <f>(K15-K13)</f>
      </c>
      <c r="O14" s="7">
        <f>+(L15-L13)</f>
      </c>
      <c r="P14" s="7">
        <f>SQRT(O14^2+N14^2)</f>
      </c>
      <c r="Q14" s="7">
        <f>N14/$P14</f>
      </c>
      <c r="R14" s="7">
        <f>O14/$P14</f>
      </c>
      <c r="S14" s="8">
        <f>Q14^2+R14^2</f>
      </c>
      <c r="T14" s="7">
        <f>-R14</f>
      </c>
      <c r="U14" s="7">
        <f>Q14</f>
      </c>
      <c r="V14" s="7">
        <f>INDIRECT("D$"&amp;2+MIN(2,ROUNDDOWN(AD3016,0))*3)*(-$J3016^3+3*$J3016^2-3*$J3016+1)+INDIRECT("D$"&amp;3+MIN(2,ROUNDDOWN(AD3016,0))*3)*(3*$J3016^3-6*$J3016^2+3*$J3016)+INDIRECT("D$"&amp;4+MIN(2,ROUNDDOWN(AD3016,0))*3)*(-3*$J3016^3+3*$J3016^2)+INDIRECT("D$"&amp;5+MIN(2,ROUNDDOWN(AD3016,0))*3)*$J3016^3</f>
      </c>
      <c r="W14" s="7">
        <f>($B$22*I14^4+$C$22*I14^3+$D$22*I14^2+$E$22*I14+$F$22)/2</f>
      </c>
      <c r="X14" s="7">
        <f>($W14)*(T14)</f>
      </c>
      <c r="Y14" s="7">
        <f>($W14)*(U14)</f>
      </c>
      <c r="Z14" s="7">
        <f>SQRT(X14^2+Y14^2)</f>
      </c>
      <c r="AA14" s="7">
        <f>$K14+$X14</f>
      </c>
      <c r="AB14" s="7">
        <f>$L14+$Y14</f>
      </c>
      <c r="AC14" s="7">
        <f>$K14-$X14</f>
      </c>
      <c r="AD14" s="7">
        <f>$L14-$Y14</f>
      </c>
      <c r="AE14" s="7">
        <f>AA14/39.3701</f>
      </c>
      <c r="AF14" s="7">
        <f>AB14/39.3701</f>
      </c>
      <c r="AG14" s="7">
        <f>AC14/39.3701</f>
      </c>
      <c r="AH14" s="7">
        <f>AD14/39.3701</f>
      </c>
      <c r="AI14" s="1"/>
      <c r="AJ14" s="1"/>
      <c r="AK14" s="1"/>
      <c r="AL14" s="1"/>
      <c r="AM14" s="2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</row>
    <row x14ac:dyDescent="0.25" r="15" customHeight="1" ht="18.75">
      <c r="A15" s="1"/>
      <c r="B15" s="2" t="s">
        <v>23</v>
      </c>
      <c r="C15" s="7">
        <v>0.27</v>
      </c>
      <c r="D15" s="8">
        <v>1</v>
      </c>
      <c r="E15" s="7">
        <f>($B$22*D15^4+$C$22*D15^3+$D$22*D15^2+$E$22*D15+$F$22)</f>
      </c>
      <c r="F15" s="2"/>
      <c r="G15" s="1"/>
      <c r="H15" s="1"/>
      <c r="I15" s="7">
        <v>0.012</v>
      </c>
      <c r="J15" s="7">
        <f>IF((I15-ROUNDDOWN(I15,0))=0, 0, (I15-ROUNDDOWN(I15,0)))</f>
      </c>
      <c r="K15" s="7">
        <f>INDIRECT("C$"&amp;2+MIN(2,ROUNDDOWN(I15,0))*3)*(-$J15^3+3*$J15^2-3*$J15+1)+INDIRECT("C$"&amp;3+MIN(2,ROUNDDOWN(I15,0))*3)*(3*$J15^3-6*$J15^2+3*$J15)+INDIRECT("C$"&amp;4+MIN(2,ROUNDDOWN(I15,0))*3)*(-3*$J15^3+3*$J15^2)+INDIRECT("C$"&amp;5+MIN(2,ROUNDDOWN(I15,0))*3)*$J15^3</f>
      </c>
      <c r="L15" s="7">
        <f>INDIRECT("D$"&amp;2+MIN(2,ROUNDDOWN(I15,0))*3)*(-$J15^3+3*$J15^2-3*$J15+1)+INDIRECT("D$"&amp;3+MIN(2,ROUNDDOWN(I15,0))*3)*(3*$J15^3-6*$J15^2+3*$J15)+INDIRECT("D$"&amp;4+MIN(2,ROUNDDOWN(I15,0))*3)*(-3*$J15^3+3*$J15^2)+INDIRECT("D$"&amp;5+MIN(2,ROUNDDOWN(I15,0))*3)*$J15^3</f>
      </c>
      <c r="M15" s="7">
        <f>SQRT(K15^2+L15^2)</f>
      </c>
      <c r="N15" s="7">
        <f>(K16-K14)</f>
      </c>
      <c r="O15" s="7">
        <f>+(L16-L14)</f>
      </c>
      <c r="P15" s="7">
        <f>SQRT(O15^2+N15^2)</f>
      </c>
      <c r="Q15" s="7">
        <f>N15/$P15</f>
      </c>
      <c r="R15" s="7">
        <f>O15/$P15</f>
      </c>
      <c r="S15" s="7">
        <f>Q15^2+R15^2</f>
      </c>
      <c r="T15" s="7">
        <f>-R15</f>
      </c>
      <c r="U15" s="7">
        <f>Q15</f>
      </c>
      <c r="V15" s="7">
        <f>INDIRECT("D$"&amp;2+MIN(2,ROUNDDOWN(AD3017,0))*3)*(-$J3017^3+3*$J3017^2-3*$J3017+1)+INDIRECT("D$"&amp;3+MIN(2,ROUNDDOWN(AD3017,0))*3)*(3*$J3017^3-6*$J3017^2+3*$J3017)+INDIRECT("D$"&amp;4+MIN(2,ROUNDDOWN(AD3017,0))*3)*(-3*$J3017^3+3*$J3017^2)+INDIRECT("D$"&amp;5+MIN(2,ROUNDDOWN(AD3017,0))*3)*$J3017^3</f>
      </c>
      <c r="W15" s="7">
        <f>($B$22*I15^4+$C$22*I15^3+$D$22*I15^2+$E$22*I15+$F$22)/2</f>
      </c>
      <c r="X15" s="7">
        <f>($W15)*(T15)</f>
      </c>
      <c r="Y15" s="7">
        <f>($W15)*(U15)</f>
      </c>
      <c r="Z15" s="7">
        <f>SQRT(X15^2+Y15^2)</f>
      </c>
      <c r="AA15" s="7">
        <f>$K15+$X15</f>
      </c>
      <c r="AB15" s="7">
        <f>$L15+$Y15</f>
      </c>
      <c r="AC15" s="7">
        <f>$K15-$X15</f>
      </c>
      <c r="AD15" s="7">
        <f>$L15-$Y15</f>
      </c>
      <c r="AE15" s="7">
        <f>AA15/39.3701</f>
      </c>
      <c r="AF15" s="7">
        <f>AB15/39.3701</f>
      </c>
      <c r="AG15" s="7">
        <f>AC15/39.3701</f>
      </c>
      <c r="AH15" s="7">
        <f>AD15/39.3701</f>
      </c>
      <c r="AI15" s="1"/>
      <c r="AJ15" s="1"/>
      <c r="AK15" s="1"/>
      <c r="AL15" s="1"/>
      <c r="AM15" s="2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</row>
    <row x14ac:dyDescent="0.25" r="16" customHeight="1" ht="18.75">
      <c r="A16" s="1"/>
      <c r="B16" s="2" t="s">
        <v>33</v>
      </c>
      <c r="C16" s="7">
        <v>0.23</v>
      </c>
      <c r="D16" s="7">
        <v>1.5</v>
      </c>
      <c r="E16" s="7">
        <f>($B$22*D16^4+$C$22*D16^3+$D$22*D16^2+$E$22*D16+$F$22)</f>
      </c>
      <c r="F16" s="2"/>
      <c r="G16" s="1"/>
      <c r="H16" s="1"/>
      <c r="I16" s="7">
        <v>0.013</v>
      </c>
      <c r="J16" s="7">
        <f>IF((I16-ROUNDDOWN(I16,0))=0, 0, (I16-ROUNDDOWN(I16,0)))</f>
      </c>
      <c r="K16" s="7">
        <f>INDIRECT("C$"&amp;2+MIN(2,ROUNDDOWN(I16,0))*3)*(-$J16^3+3*$J16^2-3*$J16+1)+INDIRECT("C$"&amp;3+MIN(2,ROUNDDOWN(I16,0))*3)*(3*$J16^3-6*$J16^2+3*$J16)+INDIRECT("C$"&amp;4+MIN(2,ROUNDDOWN(I16,0))*3)*(-3*$J16^3+3*$J16^2)+INDIRECT("C$"&amp;5+MIN(2,ROUNDDOWN(I16,0))*3)*$J16^3</f>
      </c>
      <c r="L16" s="7">
        <f>INDIRECT("D$"&amp;2+MIN(2,ROUNDDOWN(I16,0))*3)*(-$J16^3+3*$J16^2-3*$J16+1)+INDIRECT("D$"&amp;3+MIN(2,ROUNDDOWN(I16,0))*3)*(3*$J16^3-6*$J16^2+3*$J16)+INDIRECT("D$"&amp;4+MIN(2,ROUNDDOWN(I16,0))*3)*(-3*$J16^3+3*$J16^2)+INDIRECT("D$"&amp;5+MIN(2,ROUNDDOWN(I16,0))*3)*$J16^3</f>
      </c>
      <c r="M16" s="7">
        <f>SQRT(K16^2+L16^2)</f>
      </c>
      <c r="N16" s="7">
        <f>(K17-K15)</f>
      </c>
      <c r="O16" s="7">
        <f>+(L17-L15)</f>
      </c>
      <c r="P16" s="7">
        <f>SQRT(O16^2+N16^2)</f>
      </c>
      <c r="Q16" s="7">
        <f>N16/$P16</f>
      </c>
      <c r="R16" s="7">
        <f>O16/$P16</f>
      </c>
      <c r="S16" s="7">
        <f>Q16^2+R16^2</f>
      </c>
      <c r="T16" s="7">
        <f>-R16</f>
      </c>
      <c r="U16" s="7">
        <f>Q16</f>
      </c>
      <c r="V16" s="7">
        <f>INDIRECT("D$"&amp;2+MIN(2,ROUNDDOWN(AD3018,0))*3)*(-$J3018^3+3*$J3018^2-3*$J3018+1)+INDIRECT("D$"&amp;3+MIN(2,ROUNDDOWN(AD3018,0))*3)*(3*$J3018^3-6*$J3018^2+3*$J3018)+INDIRECT("D$"&amp;4+MIN(2,ROUNDDOWN(AD3018,0))*3)*(-3*$J3018^3+3*$J3018^2)+INDIRECT("D$"&amp;5+MIN(2,ROUNDDOWN(AD3018,0))*3)*$J3018^3</f>
      </c>
      <c r="W16" s="7">
        <f>($B$22*I16^4+$C$22*I16^3+$D$22*I16^2+$E$22*I16+$F$22)/2</f>
      </c>
      <c r="X16" s="7">
        <f>($W16)*(T16)</f>
      </c>
      <c r="Y16" s="7">
        <f>($W16)*(U16)</f>
      </c>
      <c r="Z16" s="7">
        <f>SQRT(X16^2+Y16^2)</f>
      </c>
      <c r="AA16" s="7">
        <f>$K16+$X16</f>
      </c>
      <c r="AB16" s="7">
        <f>$L16+$Y16</f>
      </c>
      <c r="AC16" s="7">
        <f>$K16-$X16</f>
      </c>
      <c r="AD16" s="7">
        <f>$L16-$Y16</f>
      </c>
      <c r="AE16" s="7">
        <f>AA16/39.3701</f>
      </c>
      <c r="AF16" s="7">
        <f>AB16/39.3701</f>
      </c>
      <c r="AG16" s="7">
        <f>AC16/39.3701</f>
      </c>
      <c r="AH16" s="7">
        <f>AD16/39.3701</f>
      </c>
      <c r="AI16" s="1"/>
      <c r="AJ16" s="1"/>
      <c r="AK16" s="1"/>
      <c r="AL16" s="1"/>
      <c r="AM16" s="2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</row>
    <row x14ac:dyDescent="0.25" r="17" customHeight="1" ht="18.75">
      <c r="A17" s="1"/>
      <c r="B17" s="2" t="s">
        <v>26</v>
      </c>
      <c r="C17" s="7">
        <f>C15</f>
      </c>
      <c r="D17" s="8">
        <v>2</v>
      </c>
      <c r="E17" s="7">
        <f>($B$22*D17^4+$C$22*D17^3+$D$22*D17^2+$E$22*D17+$F$22)</f>
      </c>
      <c r="F17" s="2"/>
      <c r="G17" s="1"/>
      <c r="H17" s="1"/>
      <c r="I17" s="7">
        <v>0.014</v>
      </c>
      <c r="J17" s="7">
        <f>IF((I17-ROUNDDOWN(I17,0))=0, 0, (I17-ROUNDDOWN(I17,0)))</f>
      </c>
      <c r="K17" s="7">
        <f>INDIRECT("C$"&amp;2+MIN(2,ROUNDDOWN(I17,0))*3)*(-$J17^3+3*$J17^2-3*$J17+1)+INDIRECT("C$"&amp;3+MIN(2,ROUNDDOWN(I17,0))*3)*(3*$J17^3-6*$J17^2+3*$J17)+INDIRECT("C$"&amp;4+MIN(2,ROUNDDOWN(I17,0))*3)*(-3*$J17^3+3*$J17^2)+INDIRECT("C$"&amp;5+MIN(2,ROUNDDOWN(I17,0))*3)*$J17^3</f>
      </c>
      <c r="L17" s="7">
        <f>INDIRECT("D$"&amp;2+MIN(2,ROUNDDOWN(I17,0))*3)*(-$J17^3+3*$J17^2-3*$J17+1)+INDIRECT("D$"&amp;3+MIN(2,ROUNDDOWN(I17,0))*3)*(3*$J17^3-6*$J17^2+3*$J17)+INDIRECT("D$"&amp;4+MIN(2,ROUNDDOWN(I17,0))*3)*(-3*$J17^3+3*$J17^2)+INDIRECT("D$"&amp;5+MIN(2,ROUNDDOWN(I17,0))*3)*$J17^3</f>
      </c>
      <c r="M17" s="7">
        <f>SQRT(K17^2+L17^2)</f>
      </c>
      <c r="N17" s="7">
        <f>(K18-K16)</f>
      </c>
      <c r="O17" s="7">
        <f>+(L18-L16)</f>
      </c>
      <c r="P17" s="7">
        <f>SQRT(O17^2+N17^2)</f>
      </c>
      <c r="Q17" s="7">
        <f>N17/$P17</f>
      </c>
      <c r="R17" s="7">
        <f>O17/$P17</f>
      </c>
      <c r="S17" s="8">
        <f>Q17^2+R17^2</f>
      </c>
      <c r="T17" s="7">
        <f>-R17</f>
      </c>
      <c r="U17" s="7">
        <f>Q17</f>
      </c>
      <c r="V17" s="7">
        <f>INDIRECT("D$"&amp;2+MIN(2,ROUNDDOWN(AD3019,0))*3)*(-$J3019^3+3*$J3019^2-3*$J3019+1)+INDIRECT("D$"&amp;3+MIN(2,ROUNDDOWN(AD3019,0))*3)*(3*$J3019^3-6*$J3019^2+3*$J3019)+INDIRECT("D$"&amp;4+MIN(2,ROUNDDOWN(AD3019,0))*3)*(-3*$J3019^3+3*$J3019^2)+INDIRECT("D$"&amp;5+MIN(2,ROUNDDOWN(AD3019,0))*3)*$J3019^3</f>
      </c>
      <c r="W17" s="7">
        <f>($B$22*I17^4+$C$22*I17^3+$D$22*I17^2+$E$22*I17+$F$22)/2</f>
      </c>
      <c r="X17" s="7">
        <f>($W17)*(T17)</f>
      </c>
      <c r="Y17" s="7">
        <f>($W17)*(U17)</f>
      </c>
      <c r="Z17" s="7">
        <f>SQRT(X17^2+Y17^2)</f>
      </c>
      <c r="AA17" s="7">
        <f>$K17+$X17</f>
      </c>
      <c r="AB17" s="7">
        <f>$L17+$Y17</f>
      </c>
      <c r="AC17" s="7">
        <f>$K17-$X17</f>
      </c>
      <c r="AD17" s="7">
        <f>$L17-$Y17</f>
      </c>
      <c r="AE17" s="7">
        <f>AA17/39.3701</f>
      </c>
      <c r="AF17" s="7">
        <f>AB17/39.3701</f>
      </c>
      <c r="AG17" s="7">
        <f>AC17/39.3701</f>
      </c>
      <c r="AH17" s="7">
        <f>AD17/39.3701</f>
      </c>
      <c r="AI17" s="1"/>
      <c r="AJ17" s="1"/>
      <c r="AK17" s="1"/>
      <c r="AL17" s="1"/>
      <c r="AM17" s="2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</row>
    <row x14ac:dyDescent="0.25" r="18" customHeight="1" ht="18.75">
      <c r="A18" s="1"/>
      <c r="B18" s="2" t="s">
        <v>29</v>
      </c>
      <c r="C18" s="7">
        <f>C14</f>
      </c>
      <c r="D18" s="8">
        <v>3</v>
      </c>
      <c r="E18" s="7">
        <f>($B$22*D18^4+$C$22*D18^3+$D$22*D18^2+$E$22*D18+$F$22)</f>
      </c>
      <c r="F18" s="2"/>
      <c r="G18" s="1"/>
      <c r="H18" s="1"/>
      <c r="I18" s="7">
        <v>0.015</v>
      </c>
      <c r="J18" s="7">
        <f>IF((I18-ROUNDDOWN(I18,0))=0, 0, (I18-ROUNDDOWN(I18,0)))</f>
      </c>
      <c r="K18" s="7">
        <f>INDIRECT("C$"&amp;2+MIN(2,ROUNDDOWN(I18,0))*3)*(-$J18^3+3*$J18^2-3*$J18+1)+INDIRECT("C$"&amp;3+MIN(2,ROUNDDOWN(I18,0))*3)*(3*$J18^3-6*$J18^2+3*$J18)+INDIRECT("C$"&amp;4+MIN(2,ROUNDDOWN(I18,0))*3)*(-3*$J18^3+3*$J18^2)+INDIRECT("C$"&amp;5+MIN(2,ROUNDDOWN(I18,0))*3)*$J18^3</f>
      </c>
      <c r="L18" s="7">
        <f>INDIRECT("D$"&amp;2+MIN(2,ROUNDDOWN(I18,0))*3)*(-$J18^3+3*$J18^2-3*$J18+1)+INDIRECT("D$"&amp;3+MIN(2,ROUNDDOWN(I18,0))*3)*(3*$J18^3-6*$J18^2+3*$J18)+INDIRECT("D$"&amp;4+MIN(2,ROUNDDOWN(I18,0))*3)*(-3*$J18^3+3*$J18^2)+INDIRECT("D$"&amp;5+MIN(2,ROUNDDOWN(I18,0))*3)*$J18^3</f>
      </c>
      <c r="M18" s="7">
        <f>SQRT(K18^2+L18^2)</f>
      </c>
      <c r="N18" s="7">
        <f>(K19-K17)</f>
      </c>
      <c r="O18" s="7">
        <f>+(L19-L17)</f>
      </c>
      <c r="P18" s="7">
        <f>SQRT(O18^2+N18^2)</f>
      </c>
      <c r="Q18" s="7">
        <f>N18/$P18</f>
      </c>
      <c r="R18" s="7">
        <f>O18/$P18</f>
      </c>
      <c r="S18" s="7">
        <f>Q18^2+R18^2</f>
      </c>
      <c r="T18" s="7">
        <f>-R18</f>
      </c>
      <c r="U18" s="7">
        <f>Q18</f>
      </c>
      <c r="V18" s="7">
        <f>INDIRECT("D$"&amp;2+MIN(2,ROUNDDOWN(AD3020,0))*3)*(-$J3020^3+3*$J3020^2-3*$J3020+1)+INDIRECT("D$"&amp;3+MIN(2,ROUNDDOWN(AD3020,0))*3)*(3*$J3020^3-6*$J3020^2+3*$J3020)+INDIRECT("D$"&amp;4+MIN(2,ROUNDDOWN(AD3020,0))*3)*(-3*$J3020^3+3*$J3020^2)+INDIRECT("D$"&amp;5+MIN(2,ROUNDDOWN(AD3020,0))*3)*$J3020^3</f>
      </c>
      <c r="W18" s="7">
        <f>($B$22*I18^4+$C$22*I18^3+$D$22*I18^2+$E$22*I18+$F$22)/2</f>
      </c>
      <c r="X18" s="7">
        <f>($W18)*(T18)</f>
      </c>
      <c r="Y18" s="7">
        <f>($W18)*(U18)</f>
      </c>
      <c r="Z18" s="7">
        <f>SQRT(X18^2+Y18^2)</f>
      </c>
      <c r="AA18" s="7">
        <f>$K18+$X18</f>
      </c>
      <c r="AB18" s="7">
        <f>$L18+$Y18</f>
      </c>
      <c r="AC18" s="7">
        <f>$K18-$X18</f>
      </c>
      <c r="AD18" s="7">
        <f>$L18-$Y18</f>
      </c>
      <c r="AE18" s="7">
        <f>AA18/39.3701</f>
      </c>
      <c r="AF18" s="7">
        <f>AB18/39.3701</f>
      </c>
      <c r="AG18" s="7">
        <f>AC18/39.3701</f>
      </c>
      <c r="AH18" s="7">
        <f>AD18/39.3701</f>
      </c>
      <c r="AI18" s="1"/>
      <c r="AJ18" s="1"/>
      <c r="AK18" s="1"/>
      <c r="AL18" s="1"/>
      <c r="AM18" s="2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</row>
    <row x14ac:dyDescent="0.25" r="19" customHeight="1" ht="18.75">
      <c r="A19" s="1"/>
      <c r="B19" s="2"/>
      <c r="C19" s="2"/>
      <c r="D19" s="2"/>
      <c r="E19" s="2"/>
      <c r="F19" s="2"/>
      <c r="G19" s="1"/>
      <c r="H19" s="1"/>
      <c r="I19" s="7">
        <v>0.016</v>
      </c>
      <c r="J19" s="7">
        <f>IF((I19-ROUNDDOWN(I19,0))=0, 0, (I19-ROUNDDOWN(I19,0)))</f>
      </c>
      <c r="K19" s="7">
        <f>INDIRECT("C$"&amp;2+MIN(2,ROUNDDOWN(I19,0))*3)*(-$J19^3+3*$J19^2-3*$J19+1)+INDIRECT("C$"&amp;3+MIN(2,ROUNDDOWN(I19,0))*3)*(3*$J19^3-6*$J19^2+3*$J19)+INDIRECT("C$"&amp;4+MIN(2,ROUNDDOWN(I19,0))*3)*(-3*$J19^3+3*$J19^2)+INDIRECT("C$"&amp;5+MIN(2,ROUNDDOWN(I19,0))*3)*$J19^3</f>
      </c>
      <c r="L19" s="7">
        <f>INDIRECT("D$"&amp;2+MIN(2,ROUNDDOWN(I19,0))*3)*(-$J19^3+3*$J19^2-3*$J19+1)+INDIRECT("D$"&amp;3+MIN(2,ROUNDDOWN(I19,0))*3)*(3*$J19^3-6*$J19^2+3*$J19)+INDIRECT("D$"&amp;4+MIN(2,ROUNDDOWN(I19,0))*3)*(-3*$J19^3+3*$J19^2)+INDIRECT("D$"&amp;5+MIN(2,ROUNDDOWN(I19,0))*3)*$J19^3</f>
      </c>
      <c r="M19" s="7">
        <f>SQRT(K19^2+L19^2)</f>
      </c>
      <c r="N19" s="7">
        <f>(K20-K18)</f>
      </c>
      <c r="O19" s="7">
        <f>+(L20-L18)</f>
      </c>
      <c r="P19" s="7">
        <f>SQRT(O19^2+N19^2)</f>
      </c>
      <c r="Q19" s="7">
        <f>N19/$P19</f>
      </c>
      <c r="R19" s="7">
        <f>O19/$P19</f>
      </c>
      <c r="S19" s="7">
        <f>Q19^2+R19^2</f>
      </c>
      <c r="T19" s="7">
        <f>-R19</f>
      </c>
      <c r="U19" s="7">
        <f>Q19</f>
      </c>
      <c r="V19" s="7">
        <f>INDIRECT("D$"&amp;2+MIN(2,ROUNDDOWN(AD3021,0))*3)*(-$J3021^3+3*$J3021^2-3*$J3021+1)+INDIRECT("D$"&amp;3+MIN(2,ROUNDDOWN(AD3021,0))*3)*(3*$J3021^3-6*$J3021^2+3*$J3021)+INDIRECT("D$"&amp;4+MIN(2,ROUNDDOWN(AD3021,0))*3)*(-3*$J3021^3+3*$J3021^2)+INDIRECT("D$"&amp;5+MIN(2,ROUNDDOWN(AD3021,0))*3)*$J3021^3</f>
      </c>
      <c r="W19" s="7">
        <f>($B$22*I19^4+$C$22*I19^3+$D$22*I19^2+$E$22*I19+$F$22)/2</f>
      </c>
      <c r="X19" s="7">
        <f>($W19)*(T19)</f>
      </c>
      <c r="Y19" s="7">
        <f>($W19)*(U19)</f>
      </c>
      <c r="Z19" s="7">
        <f>SQRT(X19^2+Y19^2)</f>
      </c>
      <c r="AA19" s="7">
        <f>$K19+$X19</f>
      </c>
      <c r="AB19" s="7">
        <f>$L19+$Y19</f>
      </c>
      <c r="AC19" s="7">
        <f>$K19-$X19</f>
      </c>
      <c r="AD19" s="7">
        <f>$L19-$Y19</f>
      </c>
      <c r="AE19" s="7">
        <f>AA19/39.3701</f>
      </c>
      <c r="AF19" s="7">
        <f>AB19/39.3701</f>
      </c>
      <c r="AG19" s="7">
        <f>AC19/39.3701</f>
      </c>
      <c r="AH19" s="7">
        <f>AD19/39.3701</f>
      </c>
      <c r="AI19" s="1"/>
      <c r="AJ19" s="1"/>
      <c r="AK19" s="1"/>
      <c r="AL19" s="1"/>
      <c r="AM19" s="2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</row>
    <row x14ac:dyDescent="0.25" r="20" customHeight="1" ht="18.75">
      <c r="A20" s="1"/>
      <c r="B20" s="2"/>
      <c r="C20" s="2"/>
      <c r="D20" s="2"/>
      <c r="E20" s="2"/>
      <c r="F20" s="2"/>
      <c r="G20" s="1"/>
      <c r="H20" s="1"/>
      <c r="I20" s="7">
        <v>0.017</v>
      </c>
      <c r="J20" s="7">
        <f>IF((I20-ROUNDDOWN(I20,0))=0, 0, (I20-ROUNDDOWN(I20,0)))</f>
      </c>
      <c r="K20" s="7">
        <f>INDIRECT("C$"&amp;2+MIN(2,ROUNDDOWN(I20,0))*3)*(-$J20^3+3*$J20^2-3*$J20+1)+INDIRECT("C$"&amp;3+MIN(2,ROUNDDOWN(I20,0))*3)*(3*$J20^3-6*$J20^2+3*$J20)+INDIRECT("C$"&amp;4+MIN(2,ROUNDDOWN(I20,0))*3)*(-3*$J20^3+3*$J20^2)+INDIRECT("C$"&amp;5+MIN(2,ROUNDDOWN(I20,0))*3)*$J20^3</f>
      </c>
      <c r="L20" s="7">
        <f>INDIRECT("D$"&amp;2+MIN(2,ROUNDDOWN(I20,0))*3)*(-$J20^3+3*$J20^2-3*$J20+1)+INDIRECT("D$"&amp;3+MIN(2,ROUNDDOWN(I20,0))*3)*(3*$J20^3-6*$J20^2+3*$J20)+INDIRECT("D$"&amp;4+MIN(2,ROUNDDOWN(I20,0))*3)*(-3*$J20^3+3*$J20^2)+INDIRECT("D$"&amp;5+MIN(2,ROUNDDOWN(I20,0))*3)*$J20^3</f>
      </c>
      <c r="M20" s="7">
        <f>SQRT(K20^2+L20^2)</f>
      </c>
      <c r="N20" s="7">
        <f>(K21-K19)</f>
      </c>
      <c r="O20" s="7">
        <f>+(L21-L19)</f>
      </c>
      <c r="P20" s="7">
        <f>SQRT(O20^2+N20^2)</f>
      </c>
      <c r="Q20" s="7">
        <f>N20/$P20</f>
      </c>
      <c r="R20" s="7">
        <f>O20/$P20</f>
      </c>
      <c r="S20" s="8">
        <f>Q20^2+R20^2</f>
      </c>
      <c r="T20" s="7">
        <f>-R20</f>
      </c>
      <c r="U20" s="7">
        <f>Q20</f>
      </c>
      <c r="V20" s="7">
        <f>INDIRECT("D$"&amp;2+MIN(2,ROUNDDOWN(AD3022,0))*3)*(-$J3022^3+3*$J3022^2-3*$J3022+1)+INDIRECT("D$"&amp;3+MIN(2,ROUNDDOWN(AD3022,0))*3)*(3*$J3022^3-6*$J3022^2+3*$J3022)+INDIRECT("D$"&amp;4+MIN(2,ROUNDDOWN(AD3022,0))*3)*(-3*$J3022^3+3*$J3022^2)+INDIRECT("D$"&amp;5+MIN(2,ROUNDDOWN(AD3022,0))*3)*$J3022^3</f>
      </c>
      <c r="W20" s="7">
        <f>($B$22*I20^4+$C$22*I20^3+$D$22*I20^2+$E$22*I20+$F$22)/2</f>
      </c>
      <c r="X20" s="7">
        <f>($W20)*(T20)</f>
      </c>
      <c r="Y20" s="7">
        <f>($W20)*(U20)</f>
      </c>
      <c r="Z20" s="7">
        <f>SQRT(X20^2+Y20^2)</f>
      </c>
      <c r="AA20" s="7">
        <f>$K20+$X20</f>
      </c>
      <c r="AB20" s="7">
        <f>$L20+$Y20</f>
      </c>
      <c r="AC20" s="7">
        <f>$K20-$X20</f>
      </c>
      <c r="AD20" s="7">
        <f>$L20-$Y20</f>
      </c>
      <c r="AE20" s="7">
        <f>AA20/39.3701</f>
      </c>
      <c r="AF20" s="7">
        <f>AB20/39.3701</f>
      </c>
      <c r="AG20" s="7">
        <f>AC20/39.3701</f>
      </c>
      <c r="AH20" s="7">
        <f>AD20/39.3701</f>
      </c>
      <c r="AI20" s="1"/>
      <c r="AJ20" s="1"/>
      <c r="AK20" s="1"/>
      <c r="AL20" s="1"/>
      <c r="AM20" s="2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</row>
    <row x14ac:dyDescent="0.25" r="21" customHeight="1" ht="18.75">
      <c r="A21" s="1"/>
      <c r="B21" s="2" t="s">
        <v>34</v>
      </c>
      <c r="C21" s="2"/>
      <c r="D21" s="2"/>
      <c r="E21" s="2"/>
      <c r="F21" s="2"/>
      <c r="G21" s="1"/>
      <c r="H21" s="1"/>
      <c r="I21" s="7">
        <v>0.018</v>
      </c>
      <c r="J21" s="7">
        <f>IF((I21-ROUNDDOWN(I21,0))=0, 0, (I21-ROUNDDOWN(I21,0)))</f>
      </c>
      <c r="K21" s="7">
        <f>INDIRECT("C$"&amp;2+MIN(2,ROUNDDOWN(I21,0))*3)*(-$J21^3+3*$J21^2-3*$J21+1)+INDIRECT("C$"&amp;3+MIN(2,ROUNDDOWN(I21,0))*3)*(3*$J21^3-6*$J21^2+3*$J21)+INDIRECT("C$"&amp;4+MIN(2,ROUNDDOWN(I21,0))*3)*(-3*$J21^3+3*$J21^2)+INDIRECT("C$"&amp;5+MIN(2,ROUNDDOWN(I21,0))*3)*$J21^3</f>
      </c>
      <c r="L21" s="7">
        <f>INDIRECT("D$"&amp;2+MIN(2,ROUNDDOWN(I21,0))*3)*(-$J21^3+3*$J21^2-3*$J21+1)+INDIRECT("D$"&amp;3+MIN(2,ROUNDDOWN(I21,0))*3)*(3*$J21^3-6*$J21^2+3*$J21)+INDIRECT("D$"&amp;4+MIN(2,ROUNDDOWN(I21,0))*3)*(-3*$J21^3+3*$J21^2)+INDIRECT("D$"&amp;5+MIN(2,ROUNDDOWN(I21,0))*3)*$J21^3</f>
      </c>
      <c r="M21" s="7">
        <f>SQRT(K21^2+L21^2)</f>
      </c>
      <c r="N21" s="7">
        <f>(K22-K20)</f>
      </c>
      <c r="O21" s="7">
        <f>+(L22-L20)</f>
      </c>
      <c r="P21" s="7">
        <f>SQRT(O21^2+N21^2)</f>
      </c>
      <c r="Q21" s="7">
        <f>N21/$P21</f>
      </c>
      <c r="R21" s="7">
        <f>O21/$P21</f>
      </c>
      <c r="S21" s="8">
        <f>Q21^2+R21^2</f>
      </c>
      <c r="T21" s="7">
        <f>-R21</f>
      </c>
      <c r="U21" s="7">
        <f>Q21</f>
      </c>
      <c r="V21" s="7">
        <f>INDIRECT("D$"&amp;2+MIN(2,ROUNDDOWN(AD3023,0))*3)*(-$J3023^3+3*$J3023^2-3*$J3023+1)+INDIRECT("D$"&amp;3+MIN(2,ROUNDDOWN(AD3023,0))*3)*(3*$J3023^3-6*$J3023^2+3*$J3023)+INDIRECT("D$"&amp;4+MIN(2,ROUNDDOWN(AD3023,0))*3)*(-3*$J3023^3+3*$J3023^2)+INDIRECT("D$"&amp;5+MIN(2,ROUNDDOWN(AD3023,0))*3)*$J3023^3</f>
      </c>
      <c r="W21" s="7">
        <f>($B$22*I21^4+$C$22*I21^3+$D$22*I21^2+$E$22*I21+$F$22)/2</f>
      </c>
      <c r="X21" s="7">
        <f>($W21)*(T21)</f>
      </c>
      <c r="Y21" s="7">
        <f>($W21)*(U21)</f>
      </c>
      <c r="Z21" s="7">
        <f>SQRT(X21^2+Y21^2)</f>
      </c>
      <c r="AA21" s="7">
        <f>$K21+$X21</f>
      </c>
      <c r="AB21" s="7">
        <f>$L21+$Y21</f>
      </c>
      <c r="AC21" s="7">
        <f>$K21-$X21</f>
      </c>
      <c r="AD21" s="7">
        <f>$L21-$Y21</f>
      </c>
      <c r="AE21" s="7">
        <f>AA21/39.3701</f>
      </c>
      <c r="AF21" s="7">
        <f>AB21/39.3701</f>
      </c>
      <c r="AG21" s="7">
        <f>AC21/39.3701</f>
      </c>
      <c r="AH21" s="7">
        <f>AD21/39.3701</f>
      </c>
      <c r="AI21" s="1"/>
      <c r="AJ21" s="1"/>
      <c r="AK21" s="1"/>
      <c r="AL21" s="1"/>
      <c r="AM21" s="2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</row>
    <row x14ac:dyDescent="0.25" r="22" customHeight="1" ht="18.75">
      <c r="A22" s="1"/>
      <c r="B22" s="7">
        <f>LINEST(C14:C18, D14:D18^{1,2,3,4})</f>
      </c>
      <c r="C22" s="7">
        <v>-0.3866666666666735</v>
      </c>
      <c r="D22" s="7">
        <v>1.0138888888889024</v>
      </c>
      <c r="E22" s="7">
        <v>-1.3016666666666752</v>
      </c>
      <c r="F22" s="7">
        <v>0.8799999999999999</v>
      </c>
      <c r="G22" s="1"/>
      <c r="H22" s="1"/>
      <c r="I22" s="7">
        <v>0.019</v>
      </c>
      <c r="J22" s="7">
        <f>IF((I22-ROUNDDOWN(I22,0))=0, 0, (I22-ROUNDDOWN(I22,0)))</f>
      </c>
      <c r="K22" s="7">
        <f>INDIRECT("C$"&amp;2+MIN(2,ROUNDDOWN(I22,0))*3)*(-$J22^3+3*$J22^2-3*$J22+1)+INDIRECT("C$"&amp;3+MIN(2,ROUNDDOWN(I22,0))*3)*(3*$J22^3-6*$J22^2+3*$J22)+INDIRECT("C$"&amp;4+MIN(2,ROUNDDOWN(I22,0))*3)*(-3*$J22^3+3*$J22^2)+INDIRECT("C$"&amp;5+MIN(2,ROUNDDOWN(I22,0))*3)*$J22^3</f>
      </c>
      <c r="L22" s="7">
        <f>INDIRECT("D$"&amp;2+MIN(2,ROUNDDOWN(I22,0))*3)*(-$J22^3+3*$J22^2-3*$J22+1)+INDIRECT("D$"&amp;3+MIN(2,ROUNDDOWN(I22,0))*3)*(3*$J22^3-6*$J22^2+3*$J22)+INDIRECT("D$"&amp;4+MIN(2,ROUNDDOWN(I22,0))*3)*(-3*$J22^3+3*$J22^2)+INDIRECT("D$"&amp;5+MIN(2,ROUNDDOWN(I22,0))*3)*$J22^3</f>
      </c>
      <c r="M22" s="7">
        <f>SQRT(K22^2+L22^2)</f>
      </c>
      <c r="N22" s="7">
        <f>(K23-K21)</f>
      </c>
      <c r="O22" s="7">
        <f>+(L23-L21)</f>
      </c>
      <c r="P22" s="7">
        <f>SQRT(O22^2+N22^2)</f>
      </c>
      <c r="Q22" s="7">
        <f>N22/$P22</f>
      </c>
      <c r="R22" s="7">
        <f>O22/$P22</f>
      </c>
      <c r="S22" s="7">
        <f>Q22^2+R22^2</f>
      </c>
      <c r="T22" s="7">
        <f>-R22</f>
      </c>
      <c r="U22" s="7">
        <f>Q22</f>
      </c>
      <c r="V22" s="7">
        <f>INDIRECT("D$"&amp;2+MIN(2,ROUNDDOWN(AD3024,0))*3)*(-$J3024^3+3*$J3024^2-3*$J3024+1)+INDIRECT("D$"&amp;3+MIN(2,ROUNDDOWN(AD3024,0))*3)*(3*$J3024^3-6*$J3024^2+3*$J3024)+INDIRECT("D$"&amp;4+MIN(2,ROUNDDOWN(AD3024,0))*3)*(-3*$J3024^3+3*$J3024^2)+INDIRECT("D$"&amp;5+MIN(2,ROUNDDOWN(AD3024,0))*3)*$J3024^3</f>
      </c>
      <c r="W22" s="7">
        <f>($B$22*I22^4+$C$22*I22^3+$D$22*I22^2+$E$22*I22+$F$22)/2</f>
      </c>
      <c r="X22" s="7">
        <f>($W22)*(T22)</f>
      </c>
      <c r="Y22" s="7">
        <f>($W22)*(U22)</f>
      </c>
      <c r="Z22" s="7">
        <f>SQRT(X22^2+Y22^2)</f>
      </c>
      <c r="AA22" s="7">
        <f>$K22+$X22</f>
      </c>
      <c r="AB22" s="7">
        <f>$L22+$Y22</f>
      </c>
      <c r="AC22" s="7">
        <f>$K22-$X22</f>
      </c>
      <c r="AD22" s="7">
        <f>$L22-$Y22</f>
      </c>
      <c r="AE22" s="7">
        <f>AA22/39.3701</f>
      </c>
      <c r="AF22" s="7">
        <f>AB22/39.3701</f>
      </c>
      <c r="AG22" s="7">
        <f>AC22/39.3701</f>
      </c>
      <c r="AH22" s="7">
        <f>AD22/39.3701</f>
      </c>
      <c r="AI22" s="1"/>
      <c r="AJ22" s="1"/>
      <c r="AK22" s="1"/>
      <c r="AL22" s="1"/>
      <c r="AM22" s="2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</row>
    <row x14ac:dyDescent="0.25" r="23" customHeight="1" ht="18.75">
      <c r="A23" s="1"/>
      <c r="B23" s="2" t="s">
        <v>35</v>
      </c>
      <c r="C23" s="2" t="s">
        <v>36</v>
      </c>
      <c r="D23" s="2" t="s">
        <v>37</v>
      </c>
      <c r="E23" s="2" t="s">
        <v>38</v>
      </c>
      <c r="F23" s="2" t="s">
        <v>39</v>
      </c>
      <c r="G23" s="1"/>
      <c r="H23" s="1"/>
      <c r="I23" s="7">
        <v>0.02</v>
      </c>
      <c r="J23" s="7">
        <f>IF((I23-ROUNDDOWN(I23,0))=0, 0, (I23-ROUNDDOWN(I23,0)))</f>
      </c>
      <c r="K23" s="7">
        <f>INDIRECT("C$"&amp;2+MIN(2,ROUNDDOWN(I23,0))*3)*(-$J23^3+3*$J23^2-3*$J23+1)+INDIRECT("C$"&amp;3+MIN(2,ROUNDDOWN(I23,0))*3)*(3*$J23^3-6*$J23^2+3*$J23)+INDIRECT("C$"&amp;4+MIN(2,ROUNDDOWN(I23,0))*3)*(-3*$J23^3+3*$J23^2)+INDIRECT("C$"&amp;5+MIN(2,ROUNDDOWN(I23,0))*3)*$J23^3</f>
      </c>
      <c r="L23" s="7">
        <f>INDIRECT("D$"&amp;2+MIN(2,ROUNDDOWN(I23,0))*3)*(-$J23^3+3*$J23^2-3*$J23+1)+INDIRECT("D$"&amp;3+MIN(2,ROUNDDOWN(I23,0))*3)*(3*$J23^3-6*$J23^2+3*$J23)+INDIRECT("D$"&amp;4+MIN(2,ROUNDDOWN(I23,0))*3)*(-3*$J23^3+3*$J23^2)+INDIRECT("D$"&amp;5+MIN(2,ROUNDDOWN(I23,0))*3)*$J23^3</f>
      </c>
      <c r="M23" s="7">
        <f>SQRT(K23^2+L23^2)</f>
      </c>
      <c r="N23" s="7">
        <f>(K24-K22)</f>
      </c>
      <c r="O23" s="7">
        <f>+(L24-L22)</f>
      </c>
      <c r="P23" s="7">
        <f>SQRT(O23^2+N23^2)</f>
      </c>
      <c r="Q23" s="7">
        <f>N23/$P23</f>
      </c>
      <c r="R23" s="7">
        <f>O23/$P23</f>
      </c>
      <c r="S23" s="7">
        <f>Q23^2+R23^2</f>
      </c>
      <c r="T23" s="7">
        <f>-R23</f>
      </c>
      <c r="U23" s="7">
        <f>Q23</f>
      </c>
      <c r="V23" s="7">
        <f>INDIRECT("D$"&amp;2+MIN(2,ROUNDDOWN(AD3025,0))*3)*(-$J3025^3+3*$J3025^2-3*$J3025+1)+INDIRECT("D$"&amp;3+MIN(2,ROUNDDOWN(AD3025,0))*3)*(3*$J3025^3-6*$J3025^2+3*$J3025)+INDIRECT("D$"&amp;4+MIN(2,ROUNDDOWN(AD3025,0))*3)*(-3*$J3025^3+3*$J3025^2)+INDIRECT("D$"&amp;5+MIN(2,ROUNDDOWN(AD3025,0))*3)*$J3025^3</f>
      </c>
      <c r="W23" s="7">
        <f>($B$22*I23^4+$C$22*I23^3+$D$22*I23^2+$E$22*I23+$F$22)/2</f>
      </c>
      <c r="X23" s="7">
        <f>($W23)*(T23)</f>
      </c>
      <c r="Y23" s="7">
        <f>($W23)*(U23)</f>
      </c>
      <c r="Z23" s="7">
        <f>SQRT(X23^2+Y23^2)</f>
      </c>
      <c r="AA23" s="7">
        <f>$K23+$X23</f>
      </c>
      <c r="AB23" s="7">
        <f>$L23+$Y23</f>
      </c>
      <c r="AC23" s="7">
        <f>$K23-$X23</f>
      </c>
      <c r="AD23" s="7">
        <f>$L23-$Y23</f>
      </c>
      <c r="AE23" s="7">
        <f>AA23/39.3701</f>
      </c>
      <c r="AF23" s="7">
        <f>AB23/39.3701</f>
      </c>
      <c r="AG23" s="7">
        <f>AC23/39.3701</f>
      </c>
      <c r="AH23" s="7">
        <f>AD23/39.3701</f>
      </c>
      <c r="AI23" s="1"/>
      <c r="AJ23" s="1"/>
      <c r="AK23" s="1"/>
      <c r="AL23" s="1"/>
      <c r="AM23" s="2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</row>
    <row x14ac:dyDescent="0.25" r="24" customHeight="1" ht="18.75">
      <c r="A24" s="1"/>
      <c r="B24" s="2"/>
      <c r="C24" s="2"/>
      <c r="D24" s="2"/>
      <c r="E24" s="2"/>
      <c r="F24" s="2"/>
      <c r="G24" s="1"/>
      <c r="H24" s="1"/>
      <c r="I24" s="7">
        <v>0.021</v>
      </c>
      <c r="J24" s="7">
        <f>IF((I24-ROUNDDOWN(I24,0))=0, 0, (I24-ROUNDDOWN(I24,0)))</f>
      </c>
      <c r="K24" s="7">
        <f>INDIRECT("C$"&amp;2+MIN(2,ROUNDDOWN(I24,0))*3)*(-$J24^3+3*$J24^2-3*$J24+1)+INDIRECT("C$"&amp;3+MIN(2,ROUNDDOWN(I24,0))*3)*(3*$J24^3-6*$J24^2+3*$J24)+INDIRECT("C$"&amp;4+MIN(2,ROUNDDOWN(I24,0))*3)*(-3*$J24^3+3*$J24^2)+INDIRECT("C$"&amp;5+MIN(2,ROUNDDOWN(I24,0))*3)*$J24^3</f>
      </c>
      <c r="L24" s="7">
        <f>INDIRECT("D$"&amp;2+MIN(2,ROUNDDOWN(I24,0))*3)*(-$J24^3+3*$J24^2-3*$J24+1)+INDIRECT("D$"&amp;3+MIN(2,ROUNDDOWN(I24,0))*3)*(3*$J24^3-6*$J24^2+3*$J24)+INDIRECT("D$"&amp;4+MIN(2,ROUNDDOWN(I24,0))*3)*(-3*$J24^3+3*$J24^2)+INDIRECT("D$"&amp;5+MIN(2,ROUNDDOWN(I24,0))*3)*$J24^3</f>
      </c>
      <c r="M24" s="7">
        <f>SQRT(K24^2+L24^2)</f>
      </c>
      <c r="N24" s="7">
        <f>(K25-K23)</f>
      </c>
      <c r="O24" s="7">
        <f>+(L25-L23)</f>
      </c>
      <c r="P24" s="7">
        <f>SQRT(O24^2+N24^2)</f>
      </c>
      <c r="Q24" s="7">
        <f>N24/$P24</f>
      </c>
      <c r="R24" s="7">
        <f>O24/$P24</f>
      </c>
      <c r="S24" s="7">
        <f>Q24^2+R24^2</f>
      </c>
      <c r="T24" s="7">
        <f>-R24</f>
      </c>
      <c r="U24" s="7">
        <f>Q24</f>
      </c>
      <c r="V24" s="7">
        <f>INDIRECT("D$"&amp;2+MIN(2,ROUNDDOWN(AD3026,0))*3)*(-$J3026^3+3*$J3026^2-3*$J3026+1)+INDIRECT("D$"&amp;3+MIN(2,ROUNDDOWN(AD3026,0))*3)*(3*$J3026^3-6*$J3026^2+3*$J3026)+INDIRECT("D$"&amp;4+MIN(2,ROUNDDOWN(AD3026,0))*3)*(-3*$J3026^3+3*$J3026^2)+INDIRECT("D$"&amp;5+MIN(2,ROUNDDOWN(AD3026,0))*3)*$J3026^3</f>
      </c>
      <c r="W24" s="7">
        <f>($B$22*I24^4+$C$22*I24^3+$D$22*I24^2+$E$22*I24+$F$22)/2</f>
      </c>
      <c r="X24" s="7">
        <f>($W24)*(T24)</f>
      </c>
      <c r="Y24" s="7">
        <f>($W24)*(U24)</f>
      </c>
      <c r="Z24" s="7">
        <f>SQRT(X24^2+Y24^2)</f>
      </c>
      <c r="AA24" s="7">
        <f>$K24+$X24</f>
      </c>
      <c r="AB24" s="7">
        <f>$L24+$Y24</f>
      </c>
      <c r="AC24" s="7">
        <f>$K24-$X24</f>
      </c>
      <c r="AD24" s="7">
        <f>$L24-$Y24</f>
      </c>
      <c r="AE24" s="7">
        <f>AA24/39.3701</f>
      </c>
      <c r="AF24" s="7">
        <f>AB24/39.3701</f>
      </c>
      <c r="AG24" s="7">
        <f>AC24/39.3701</f>
      </c>
      <c r="AH24" s="7">
        <f>AD24/39.3701</f>
      </c>
      <c r="AI24" s="1"/>
      <c r="AJ24" s="1"/>
      <c r="AK24" s="1"/>
      <c r="AL24" s="1"/>
      <c r="AM24" s="2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</row>
    <row x14ac:dyDescent="0.25" r="25" customHeight="1" ht="18.75">
      <c r="A25" s="1"/>
      <c r="B25" s="2" t="s">
        <v>40</v>
      </c>
      <c r="C25" s="2"/>
      <c r="D25" s="2"/>
      <c r="E25" s="2"/>
      <c r="F25" s="2"/>
      <c r="G25" s="1"/>
      <c r="H25" s="1"/>
      <c r="I25" s="7">
        <v>0.022</v>
      </c>
      <c r="J25" s="7">
        <f>IF((I25-ROUNDDOWN(I25,0))=0, 0, (I25-ROUNDDOWN(I25,0)))</f>
      </c>
      <c r="K25" s="7">
        <f>INDIRECT("C$"&amp;2+MIN(2,ROUNDDOWN(I25,0))*3)*(-$J25^3+3*$J25^2-3*$J25+1)+INDIRECT("C$"&amp;3+MIN(2,ROUNDDOWN(I25,0))*3)*(3*$J25^3-6*$J25^2+3*$J25)+INDIRECT("C$"&amp;4+MIN(2,ROUNDDOWN(I25,0))*3)*(-3*$J25^3+3*$J25^2)+INDIRECT("C$"&amp;5+MIN(2,ROUNDDOWN(I25,0))*3)*$J25^3</f>
      </c>
      <c r="L25" s="7">
        <f>INDIRECT("D$"&amp;2+MIN(2,ROUNDDOWN(I25,0))*3)*(-$J25^3+3*$J25^2-3*$J25+1)+INDIRECT("D$"&amp;3+MIN(2,ROUNDDOWN(I25,0))*3)*(3*$J25^3-6*$J25^2+3*$J25)+INDIRECT("D$"&amp;4+MIN(2,ROUNDDOWN(I25,0))*3)*(-3*$J25^3+3*$J25^2)+INDIRECT("D$"&amp;5+MIN(2,ROUNDDOWN(I25,0))*3)*$J25^3</f>
      </c>
      <c r="M25" s="7">
        <f>SQRT(K25^2+L25^2)</f>
      </c>
      <c r="N25" s="7">
        <f>(K26-K24)</f>
      </c>
      <c r="O25" s="7">
        <f>+(L26-L24)</f>
      </c>
      <c r="P25" s="7">
        <f>SQRT(O25^2+N25^2)</f>
      </c>
      <c r="Q25" s="7">
        <f>N25/$P25</f>
      </c>
      <c r="R25" s="7">
        <f>O25/$P25</f>
      </c>
      <c r="S25" s="7">
        <f>Q25^2+R25^2</f>
      </c>
      <c r="T25" s="7">
        <f>-R25</f>
      </c>
      <c r="U25" s="7">
        <f>Q25</f>
      </c>
      <c r="V25" s="7">
        <f>INDIRECT("D$"&amp;2+MIN(2,ROUNDDOWN(AD3027,0))*3)*(-$J3027^3+3*$J3027^2-3*$J3027+1)+INDIRECT("D$"&amp;3+MIN(2,ROUNDDOWN(AD3027,0))*3)*(3*$J3027^3-6*$J3027^2+3*$J3027)+INDIRECT("D$"&amp;4+MIN(2,ROUNDDOWN(AD3027,0))*3)*(-3*$J3027^3+3*$J3027^2)+INDIRECT("D$"&amp;5+MIN(2,ROUNDDOWN(AD3027,0))*3)*$J3027^3</f>
      </c>
      <c r="W25" s="7">
        <f>($B$22*I25^4+$C$22*I25^3+$D$22*I25^2+$E$22*I25+$F$22)/2</f>
      </c>
      <c r="X25" s="7">
        <f>($W25)*(T25)</f>
      </c>
      <c r="Y25" s="7">
        <f>($W25)*(U25)</f>
      </c>
      <c r="Z25" s="7">
        <f>SQRT(X25^2+Y25^2)</f>
      </c>
      <c r="AA25" s="7">
        <f>$K25+$X25</f>
      </c>
      <c r="AB25" s="7">
        <f>$L25+$Y25</f>
      </c>
      <c r="AC25" s="7">
        <f>$K25-$X25</f>
      </c>
      <c r="AD25" s="7">
        <f>$L25-$Y25</f>
      </c>
      <c r="AE25" s="7">
        <f>AA25/39.3701</f>
      </c>
      <c r="AF25" s="7">
        <f>AB25/39.3701</f>
      </c>
      <c r="AG25" s="7">
        <f>AC25/39.3701</f>
      </c>
      <c r="AH25" s="7">
        <f>AD25/39.3701</f>
      </c>
      <c r="AI25" s="1"/>
      <c r="AJ25" s="1"/>
      <c r="AK25" s="1"/>
      <c r="AL25" s="1"/>
      <c r="AM25" s="2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</row>
    <row x14ac:dyDescent="0.25" r="26" customHeight="1" ht="18.75">
      <c r="A26" s="1" t="s">
        <v>0</v>
      </c>
      <c r="B26" s="7">
        <f>LINEST(AA$3:AA$103, J$3:J$103^{1,2,3,4})</f>
      </c>
      <c r="C26" s="7">
        <v>1.2337727393832494</v>
      </c>
      <c r="D26" s="7">
        <v>-1.3019492115416011</v>
      </c>
      <c r="E26" s="7">
        <v>0.9511039727216307</v>
      </c>
      <c r="F26" s="7">
        <v>1.357482502231735</v>
      </c>
      <c r="G26" s="1"/>
      <c r="H26" s="1"/>
      <c r="I26" s="7">
        <v>0.023</v>
      </c>
      <c r="J26" s="7">
        <f>IF((I26-ROUNDDOWN(I26,0))=0, 0, (I26-ROUNDDOWN(I26,0)))</f>
      </c>
      <c r="K26" s="7">
        <f>INDIRECT("C$"&amp;2+MIN(2,ROUNDDOWN(I26,0))*3)*(-$J26^3+3*$J26^2-3*$J26+1)+INDIRECT("C$"&amp;3+MIN(2,ROUNDDOWN(I26,0))*3)*(3*$J26^3-6*$J26^2+3*$J26)+INDIRECT("C$"&amp;4+MIN(2,ROUNDDOWN(I26,0))*3)*(-3*$J26^3+3*$J26^2)+INDIRECT("C$"&amp;5+MIN(2,ROUNDDOWN(I26,0))*3)*$J26^3</f>
      </c>
      <c r="L26" s="7">
        <f>INDIRECT("D$"&amp;2+MIN(2,ROUNDDOWN(I26,0))*3)*(-$J26^3+3*$J26^2-3*$J26+1)+INDIRECT("D$"&amp;3+MIN(2,ROUNDDOWN(I26,0))*3)*(3*$J26^3-6*$J26^2+3*$J26)+INDIRECT("D$"&amp;4+MIN(2,ROUNDDOWN(I26,0))*3)*(-3*$J26^3+3*$J26^2)+INDIRECT("D$"&amp;5+MIN(2,ROUNDDOWN(I26,0))*3)*$J26^3</f>
      </c>
      <c r="M26" s="7">
        <f>SQRT(K26^2+L26^2)</f>
      </c>
      <c r="N26" s="7">
        <f>(K27-K25)</f>
      </c>
      <c r="O26" s="7">
        <f>+(L27-L25)</f>
      </c>
      <c r="P26" s="7">
        <f>SQRT(O26^2+N26^2)</f>
      </c>
      <c r="Q26" s="7">
        <f>N26/$P26</f>
      </c>
      <c r="R26" s="7">
        <f>O26/$P26</f>
      </c>
      <c r="S26" s="7">
        <f>Q26^2+R26^2</f>
      </c>
      <c r="T26" s="7">
        <f>-R26</f>
      </c>
      <c r="U26" s="7">
        <f>Q26</f>
      </c>
      <c r="V26" s="7">
        <f>INDIRECT("D$"&amp;2+MIN(2,ROUNDDOWN(AD3028,0))*3)*(-$J3028^3+3*$J3028^2-3*$J3028+1)+INDIRECT("D$"&amp;3+MIN(2,ROUNDDOWN(AD3028,0))*3)*(3*$J3028^3-6*$J3028^2+3*$J3028)+INDIRECT("D$"&amp;4+MIN(2,ROUNDDOWN(AD3028,0))*3)*(-3*$J3028^3+3*$J3028^2)+INDIRECT("D$"&amp;5+MIN(2,ROUNDDOWN(AD3028,0))*3)*$J3028^3</f>
      </c>
      <c r="W26" s="7">
        <f>($B$22*I26^4+$C$22*I26^3+$D$22*I26^2+$E$22*I26+$F$22)/2</f>
      </c>
      <c r="X26" s="7">
        <f>($W26)*(T26)</f>
      </c>
      <c r="Y26" s="7">
        <f>($W26)*(U26)</f>
      </c>
      <c r="Z26" s="7">
        <f>SQRT(X26^2+Y26^2)</f>
      </c>
      <c r="AA26" s="7">
        <f>$K26+$X26</f>
      </c>
      <c r="AB26" s="7">
        <f>$L26+$Y26</f>
      </c>
      <c r="AC26" s="7">
        <f>$K26-$X26</f>
      </c>
      <c r="AD26" s="7">
        <f>$L26-$Y26</f>
      </c>
      <c r="AE26" s="7">
        <f>AA26/39.3701</f>
      </c>
      <c r="AF26" s="7">
        <f>AB26/39.3701</f>
      </c>
      <c r="AG26" s="7">
        <f>AC26/39.3701</f>
      </c>
      <c r="AH26" s="7">
        <f>AD26/39.3701</f>
      </c>
      <c r="AI26" s="1"/>
      <c r="AJ26" s="1"/>
      <c r="AK26" s="1"/>
      <c r="AL26" s="1"/>
      <c r="AM26" s="2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</row>
    <row x14ac:dyDescent="0.25" r="27" customHeight="1" ht="18.75">
      <c r="A27" s="1" t="s">
        <v>1</v>
      </c>
      <c r="B27" s="7">
        <f>LINEST(AB$3:AB$103, J$3:J$103^{1,2,3,4})</f>
      </c>
      <c r="C27" s="7">
        <v>3.682176368014221</v>
      </c>
      <c r="D27" s="7">
        <v>0.20586419807824535</v>
      </c>
      <c r="E27" s="7">
        <v>0.8993306303746744</v>
      </c>
      <c r="F27" s="7">
        <v>0.3165948902864832</v>
      </c>
      <c r="G27" s="1"/>
      <c r="H27" s="1"/>
      <c r="I27" s="7">
        <v>0.024</v>
      </c>
      <c r="J27" s="7">
        <f>IF((I27-ROUNDDOWN(I27,0))=0, 0, (I27-ROUNDDOWN(I27,0)))</f>
      </c>
      <c r="K27" s="7">
        <f>INDIRECT("C$"&amp;2+MIN(2,ROUNDDOWN(I27,0))*3)*(-$J27^3+3*$J27^2-3*$J27+1)+INDIRECT("C$"&amp;3+MIN(2,ROUNDDOWN(I27,0))*3)*(3*$J27^3-6*$J27^2+3*$J27)+INDIRECT("C$"&amp;4+MIN(2,ROUNDDOWN(I27,0))*3)*(-3*$J27^3+3*$J27^2)+INDIRECT("C$"&amp;5+MIN(2,ROUNDDOWN(I27,0))*3)*$J27^3</f>
      </c>
      <c r="L27" s="7">
        <f>INDIRECT("D$"&amp;2+MIN(2,ROUNDDOWN(I27,0))*3)*(-$J27^3+3*$J27^2-3*$J27+1)+INDIRECT("D$"&amp;3+MIN(2,ROUNDDOWN(I27,0))*3)*(3*$J27^3-6*$J27^2+3*$J27)+INDIRECT("D$"&amp;4+MIN(2,ROUNDDOWN(I27,0))*3)*(-3*$J27^3+3*$J27^2)+INDIRECT("D$"&amp;5+MIN(2,ROUNDDOWN(I27,0))*3)*$J27^3</f>
      </c>
      <c r="M27" s="7">
        <f>SQRT(K27^2+L27^2)</f>
      </c>
      <c r="N27" s="7">
        <f>(K28-K26)</f>
      </c>
      <c r="O27" s="7">
        <f>+(L28-L26)</f>
      </c>
      <c r="P27" s="7">
        <f>SQRT(O27^2+N27^2)</f>
      </c>
      <c r="Q27" s="7">
        <f>N27/$P27</f>
      </c>
      <c r="R27" s="7">
        <f>O27/$P27</f>
      </c>
      <c r="S27" s="7">
        <f>Q27^2+R27^2</f>
      </c>
      <c r="T27" s="7">
        <f>-R27</f>
      </c>
      <c r="U27" s="7">
        <f>Q27</f>
      </c>
      <c r="V27" s="7">
        <f>INDIRECT("D$"&amp;2+MIN(2,ROUNDDOWN(AD3029,0))*3)*(-$J3029^3+3*$J3029^2-3*$J3029+1)+INDIRECT("D$"&amp;3+MIN(2,ROUNDDOWN(AD3029,0))*3)*(3*$J3029^3-6*$J3029^2+3*$J3029)+INDIRECT("D$"&amp;4+MIN(2,ROUNDDOWN(AD3029,0))*3)*(-3*$J3029^3+3*$J3029^2)+INDIRECT("D$"&amp;5+MIN(2,ROUNDDOWN(AD3029,0))*3)*$J3029^3</f>
      </c>
      <c r="W27" s="7">
        <f>($B$22*I27^4+$C$22*I27^3+$D$22*I27^2+$E$22*I27+$F$22)/2</f>
      </c>
      <c r="X27" s="7">
        <f>($W27)*(T27)</f>
      </c>
      <c r="Y27" s="7">
        <f>($W27)*(U27)</f>
      </c>
      <c r="Z27" s="7">
        <f>SQRT(X27^2+Y27^2)</f>
      </c>
      <c r="AA27" s="7">
        <f>$K27+$X27</f>
      </c>
      <c r="AB27" s="7">
        <f>$L27+$Y27</f>
      </c>
      <c r="AC27" s="7">
        <f>$K27-$X27</f>
      </c>
      <c r="AD27" s="7">
        <f>$L27-$Y27</f>
      </c>
      <c r="AE27" s="7">
        <f>AA27/39.3701</f>
      </c>
      <c r="AF27" s="7">
        <f>AB27/39.3701</f>
      </c>
      <c r="AG27" s="7">
        <f>AC27/39.3701</f>
      </c>
      <c r="AH27" s="7">
        <f>AD27/39.3701</f>
      </c>
      <c r="AI27" s="1"/>
      <c r="AJ27" s="1"/>
      <c r="AK27" s="1"/>
      <c r="AL27" s="6" t="s">
        <v>41</v>
      </c>
      <c r="AM27" s="2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</row>
    <row x14ac:dyDescent="0.25" r="28" customHeight="1" ht="18.75">
      <c r="A28" s="1" t="s">
        <v>0</v>
      </c>
      <c r="B28" s="2"/>
      <c r="C28" s="2"/>
      <c r="D28" s="2"/>
      <c r="E28" s="2"/>
      <c r="F28" s="2"/>
      <c r="G28" s="1"/>
      <c r="H28" s="1"/>
      <c r="I28" s="7">
        <v>0.025</v>
      </c>
      <c r="J28" s="7">
        <f>IF((I28-ROUNDDOWN(I28,0))=0, 0, (I28-ROUNDDOWN(I28,0)))</f>
      </c>
      <c r="K28" s="7">
        <f>INDIRECT("C$"&amp;2+MIN(2,ROUNDDOWN(I28,0))*3)*(-$J28^3+3*$J28^2-3*$J28+1)+INDIRECT("C$"&amp;3+MIN(2,ROUNDDOWN(I28,0))*3)*(3*$J28^3-6*$J28^2+3*$J28)+INDIRECT("C$"&amp;4+MIN(2,ROUNDDOWN(I28,0))*3)*(-3*$J28^3+3*$J28^2)+INDIRECT("C$"&amp;5+MIN(2,ROUNDDOWN(I28,0))*3)*$J28^3</f>
      </c>
      <c r="L28" s="7">
        <f>INDIRECT("D$"&amp;2+MIN(2,ROUNDDOWN(I28,0))*3)*(-$J28^3+3*$J28^2-3*$J28+1)+INDIRECT("D$"&amp;3+MIN(2,ROUNDDOWN(I28,0))*3)*(3*$J28^3-6*$J28^2+3*$J28)+INDIRECT("D$"&amp;4+MIN(2,ROUNDDOWN(I28,0))*3)*(-3*$J28^3+3*$J28^2)+INDIRECT("D$"&amp;5+MIN(2,ROUNDDOWN(I28,0))*3)*$J28^3</f>
      </c>
      <c r="M28" s="7">
        <f>SQRT(K28^2+L28^2)</f>
      </c>
      <c r="N28" s="7">
        <f>(K29-K27)</f>
      </c>
      <c r="O28" s="7">
        <f>+(L29-L27)</f>
      </c>
      <c r="P28" s="7">
        <f>SQRT(O28^2+N28^2)</f>
      </c>
      <c r="Q28" s="7">
        <f>N28/$P28</f>
      </c>
      <c r="R28" s="7">
        <f>O28/$P28</f>
      </c>
      <c r="S28" s="7">
        <f>Q28^2+R28^2</f>
      </c>
      <c r="T28" s="7">
        <f>-R28</f>
      </c>
      <c r="U28" s="7">
        <f>Q28</f>
      </c>
      <c r="V28" s="7">
        <f>INDIRECT("D$"&amp;2+MIN(2,ROUNDDOWN(AD3030,0))*3)*(-$J3030^3+3*$J3030^2-3*$J3030+1)+INDIRECT("D$"&amp;3+MIN(2,ROUNDDOWN(AD3030,0))*3)*(3*$J3030^3-6*$J3030^2+3*$J3030)+INDIRECT("D$"&amp;4+MIN(2,ROUNDDOWN(AD3030,0))*3)*(-3*$J3030^3+3*$J3030^2)+INDIRECT("D$"&amp;5+MIN(2,ROUNDDOWN(AD3030,0))*3)*$J3030^3</f>
      </c>
      <c r="W28" s="7">
        <f>($B$22*I28^4+$C$22*I28^3+$D$22*I28^2+$E$22*I28+$F$22)/2</f>
      </c>
      <c r="X28" s="7">
        <f>($W28)*(T28)</f>
      </c>
      <c r="Y28" s="7">
        <f>($W28)*(U28)</f>
      </c>
      <c r="Z28" s="7">
        <f>SQRT(X28^2+Y28^2)</f>
      </c>
      <c r="AA28" s="7">
        <f>$K28+$X28</f>
      </c>
      <c r="AB28" s="7">
        <f>$L28+$Y28</f>
      </c>
      <c r="AC28" s="7">
        <f>$K28-$X28</f>
      </c>
      <c r="AD28" s="7">
        <f>$L28-$Y28</f>
      </c>
      <c r="AE28" s="7">
        <f>AA28/39.3701</f>
      </c>
      <c r="AF28" s="7">
        <f>AB28/39.3701</f>
      </c>
      <c r="AG28" s="7">
        <f>AC28/39.3701</f>
      </c>
      <c r="AH28" s="7">
        <f>AD28/39.3701</f>
      </c>
      <c r="AI28" s="1"/>
      <c r="AJ28" s="1"/>
      <c r="AK28" s="1"/>
      <c r="AL28" s="1"/>
      <c r="AM28" s="2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</row>
    <row x14ac:dyDescent="0.25" r="29" customHeight="1" ht="18.75">
      <c r="A29" s="1" t="s">
        <v>1</v>
      </c>
      <c r="B29" s="2"/>
      <c r="C29" s="2"/>
      <c r="D29" s="2"/>
      <c r="E29" s="2"/>
      <c r="F29" s="2"/>
      <c r="G29" s="1"/>
      <c r="H29" s="1"/>
      <c r="I29" s="7">
        <v>0.026</v>
      </c>
      <c r="J29" s="7">
        <f>IF((I29-ROUNDDOWN(I29,0))=0, 0, (I29-ROUNDDOWN(I29,0)))</f>
      </c>
      <c r="K29" s="7">
        <f>INDIRECT("C$"&amp;2+MIN(2,ROUNDDOWN(I29,0))*3)*(-$J29^3+3*$J29^2-3*$J29+1)+INDIRECT("C$"&amp;3+MIN(2,ROUNDDOWN(I29,0))*3)*(3*$J29^3-6*$J29^2+3*$J29)+INDIRECT("C$"&amp;4+MIN(2,ROUNDDOWN(I29,0))*3)*(-3*$J29^3+3*$J29^2)+INDIRECT("C$"&amp;5+MIN(2,ROUNDDOWN(I29,0))*3)*$J29^3</f>
      </c>
      <c r="L29" s="7">
        <f>INDIRECT("D$"&amp;2+MIN(2,ROUNDDOWN(I29,0))*3)*(-$J29^3+3*$J29^2-3*$J29+1)+INDIRECT("D$"&amp;3+MIN(2,ROUNDDOWN(I29,0))*3)*(3*$J29^3-6*$J29^2+3*$J29)+INDIRECT("D$"&amp;4+MIN(2,ROUNDDOWN(I29,0))*3)*(-3*$J29^3+3*$J29^2)+INDIRECT("D$"&amp;5+MIN(2,ROUNDDOWN(I29,0))*3)*$J29^3</f>
      </c>
      <c r="M29" s="7">
        <f>SQRT(K29^2+L29^2)</f>
      </c>
      <c r="N29" s="7">
        <f>(K30-K28)</f>
      </c>
      <c r="O29" s="7">
        <f>+(L30-L28)</f>
      </c>
      <c r="P29" s="7">
        <f>SQRT(O29^2+N29^2)</f>
      </c>
      <c r="Q29" s="7">
        <f>N29/$P29</f>
      </c>
      <c r="R29" s="7">
        <f>O29/$P29</f>
      </c>
      <c r="S29" s="8">
        <f>Q29^2+R29^2</f>
      </c>
      <c r="T29" s="7">
        <f>-R29</f>
      </c>
      <c r="U29" s="7">
        <f>Q29</f>
      </c>
      <c r="V29" s="7">
        <f>INDIRECT("D$"&amp;2+MIN(2,ROUNDDOWN(AD3031,0))*3)*(-$J3031^3+3*$J3031^2-3*$J3031+1)+INDIRECT("D$"&amp;3+MIN(2,ROUNDDOWN(AD3031,0))*3)*(3*$J3031^3-6*$J3031^2+3*$J3031)+INDIRECT("D$"&amp;4+MIN(2,ROUNDDOWN(AD3031,0))*3)*(-3*$J3031^3+3*$J3031^2)+INDIRECT("D$"&amp;5+MIN(2,ROUNDDOWN(AD3031,0))*3)*$J3031^3</f>
      </c>
      <c r="W29" s="7">
        <f>($B$22*I29^4+$C$22*I29^3+$D$22*I29^2+$E$22*I29+$F$22)/2</f>
      </c>
      <c r="X29" s="7">
        <f>($W29)*(T29)</f>
      </c>
      <c r="Y29" s="7">
        <f>($W29)*(U29)</f>
      </c>
      <c r="Z29" s="7">
        <f>SQRT(X29^2+Y29^2)</f>
      </c>
      <c r="AA29" s="7">
        <f>$K29+$X29</f>
      </c>
      <c r="AB29" s="7">
        <f>$L29+$Y29</f>
      </c>
      <c r="AC29" s="7">
        <f>$K29-$X29</f>
      </c>
      <c r="AD29" s="7">
        <f>$L29-$Y29</f>
      </c>
      <c r="AE29" s="7">
        <f>AA29/39.3701</f>
      </c>
      <c r="AF29" s="7">
        <f>AB29/39.3701</f>
      </c>
      <c r="AG29" s="7">
        <f>AC29/39.3701</f>
      </c>
      <c r="AH29" s="7">
        <f>AD29/39.3701</f>
      </c>
      <c r="AI29" s="1"/>
      <c r="AJ29" s="1"/>
      <c r="AK29" s="1"/>
      <c r="AL29" s="9" t="s">
        <v>42</v>
      </c>
      <c r="AM29" s="7">
        <v>0.25</v>
      </c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</row>
    <row x14ac:dyDescent="0.25" r="30" customHeight="1" ht="18.75">
      <c r="A30" s="1"/>
      <c r="B30" s="2"/>
      <c r="C30" s="2"/>
      <c r="D30" s="2"/>
      <c r="E30" s="2"/>
      <c r="F30" s="2"/>
      <c r="G30" s="1"/>
      <c r="H30" s="1"/>
      <c r="I30" s="7">
        <v>0.027</v>
      </c>
      <c r="J30" s="7">
        <f>IF((I30-ROUNDDOWN(I30,0))=0, 0, (I30-ROUNDDOWN(I30,0)))</f>
      </c>
      <c r="K30" s="7">
        <f>INDIRECT("C$"&amp;2+MIN(2,ROUNDDOWN(I30,0))*3)*(-$J30^3+3*$J30^2-3*$J30+1)+INDIRECT("C$"&amp;3+MIN(2,ROUNDDOWN(I30,0))*3)*(3*$J30^3-6*$J30^2+3*$J30)+INDIRECT("C$"&amp;4+MIN(2,ROUNDDOWN(I30,0))*3)*(-3*$J30^3+3*$J30^2)+INDIRECT("C$"&amp;5+MIN(2,ROUNDDOWN(I30,0))*3)*$J30^3</f>
      </c>
      <c r="L30" s="7">
        <f>INDIRECT("D$"&amp;2+MIN(2,ROUNDDOWN(I30,0))*3)*(-$J30^3+3*$J30^2-3*$J30+1)+INDIRECT("D$"&amp;3+MIN(2,ROUNDDOWN(I30,0))*3)*(3*$J30^3-6*$J30^2+3*$J30)+INDIRECT("D$"&amp;4+MIN(2,ROUNDDOWN(I30,0))*3)*(-3*$J30^3+3*$J30^2)+INDIRECT("D$"&amp;5+MIN(2,ROUNDDOWN(I30,0))*3)*$J30^3</f>
      </c>
      <c r="M30" s="7">
        <f>SQRT(K30^2+L30^2)</f>
      </c>
      <c r="N30" s="7">
        <f>(K31-K29)</f>
      </c>
      <c r="O30" s="7">
        <f>+(L31-L29)</f>
      </c>
      <c r="P30" s="7">
        <f>SQRT(O30^2+N30^2)</f>
      </c>
      <c r="Q30" s="7">
        <f>N30/$P30</f>
      </c>
      <c r="R30" s="7">
        <f>O30/$P30</f>
      </c>
      <c r="S30" s="8">
        <f>Q30^2+R30^2</f>
      </c>
      <c r="T30" s="7">
        <f>-R30</f>
      </c>
      <c r="U30" s="7">
        <f>Q30</f>
      </c>
      <c r="V30" s="7">
        <f>INDIRECT("D$"&amp;2+MIN(2,ROUNDDOWN(AD3032,0))*3)*(-$J3032^3+3*$J3032^2-3*$J3032+1)+INDIRECT("D$"&amp;3+MIN(2,ROUNDDOWN(AD3032,0))*3)*(3*$J3032^3-6*$J3032^2+3*$J3032)+INDIRECT("D$"&amp;4+MIN(2,ROUNDDOWN(AD3032,0))*3)*(-3*$J3032^3+3*$J3032^2)+INDIRECT("D$"&amp;5+MIN(2,ROUNDDOWN(AD3032,0))*3)*$J3032^3</f>
      </c>
      <c r="W30" s="7">
        <f>($B$22*I30^4+$C$22*I30^3+$D$22*I30^2+$E$22*I30+$F$22)/2</f>
      </c>
      <c r="X30" s="7">
        <f>($W30)*(T30)</f>
      </c>
      <c r="Y30" s="7">
        <f>($W30)*(U30)</f>
      </c>
      <c r="Z30" s="7">
        <f>SQRT(X30^2+Y30^2)</f>
      </c>
      <c r="AA30" s="7">
        <f>$K30+$X30</f>
      </c>
      <c r="AB30" s="7">
        <f>$L30+$Y30</f>
      </c>
      <c r="AC30" s="7">
        <f>$K30-$X30</f>
      </c>
      <c r="AD30" s="7">
        <f>$L30-$Y30</f>
      </c>
      <c r="AE30" s="7">
        <f>AA30/39.3701</f>
      </c>
      <c r="AF30" s="7">
        <f>AB30/39.3701</f>
      </c>
      <c r="AG30" s="7">
        <f>AC30/39.3701</f>
      </c>
      <c r="AH30" s="7">
        <f>AD30/39.3701</f>
      </c>
      <c r="AI30" s="1"/>
      <c r="AJ30" s="1"/>
      <c r="AK30" s="1"/>
      <c r="AL30" s="9" t="s">
        <v>43</v>
      </c>
      <c r="AM30" s="7">
        <v>2.25</v>
      </c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</row>
    <row x14ac:dyDescent="0.25" r="31" customHeight="1" ht="18.75">
      <c r="A31" s="1"/>
      <c r="B31" s="2"/>
      <c r="C31" s="2"/>
      <c r="D31" s="2"/>
      <c r="E31" s="2"/>
      <c r="F31" s="2"/>
      <c r="G31" s="1"/>
      <c r="H31" s="1"/>
      <c r="I31" s="7">
        <v>0.028</v>
      </c>
      <c r="J31" s="7">
        <f>IF((I31-ROUNDDOWN(I31,0))=0, 0, (I31-ROUNDDOWN(I31,0)))</f>
      </c>
      <c r="K31" s="7">
        <f>INDIRECT("C$"&amp;2+MIN(2,ROUNDDOWN(I31,0))*3)*(-$J31^3+3*$J31^2-3*$J31+1)+INDIRECT("C$"&amp;3+MIN(2,ROUNDDOWN(I31,0))*3)*(3*$J31^3-6*$J31^2+3*$J31)+INDIRECT("C$"&amp;4+MIN(2,ROUNDDOWN(I31,0))*3)*(-3*$J31^3+3*$J31^2)+INDIRECT("C$"&amp;5+MIN(2,ROUNDDOWN(I31,0))*3)*$J31^3</f>
      </c>
      <c r="L31" s="7">
        <f>INDIRECT("D$"&amp;2+MIN(2,ROUNDDOWN(I31,0))*3)*(-$J31^3+3*$J31^2-3*$J31+1)+INDIRECT("D$"&amp;3+MIN(2,ROUNDDOWN(I31,0))*3)*(3*$J31^3-6*$J31^2+3*$J31)+INDIRECT("D$"&amp;4+MIN(2,ROUNDDOWN(I31,0))*3)*(-3*$J31^3+3*$J31^2)+INDIRECT("D$"&amp;5+MIN(2,ROUNDDOWN(I31,0))*3)*$J31^3</f>
      </c>
      <c r="M31" s="7">
        <f>SQRT(K31^2+L31^2)</f>
      </c>
      <c r="N31" s="7">
        <f>(K32-K30)</f>
      </c>
      <c r="O31" s="7">
        <f>+(L32-L30)</f>
      </c>
      <c r="P31" s="7">
        <f>SQRT(O31^2+N31^2)</f>
      </c>
      <c r="Q31" s="7">
        <f>N31/$P31</f>
      </c>
      <c r="R31" s="7">
        <f>O31/$P31</f>
      </c>
      <c r="S31" s="7">
        <f>Q31^2+R31^2</f>
      </c>
      <c r="T31" s="7">
        <f>-R31</f>
      </c>
      <c r="U31" s="7">
        <f>Q31</f>
      </c>
      <c r="V31" s="7">
        <f>INDIRECT("D$"&amp;2+MIN(2,ROUNDDOWN(AD3033,0))*3)*(-$J3033^3+3*$J3033^2-3*$J3033+1)+INDIRECT("D$"&amp;3+MIN(2,ROUNDDOWN(AD3033,0))*3)*(3*$J3033^3-6*$J3033^2+3*$J3033)+INDIRECT("D$"&amp;4+MIN(2,ROUNDDOWN(AD3033,0))*3)*(-3*$J3033^3+3*$J3033^2)+INDIRECT("D$"&amp;5+MIN(2,ROUNDDOWN(AD3033,0))*3)*$J3033^3</f>
      </c>
      <c r="W31" s="7">
        <f>($B$22*I31^4+$C$22*I31^3+$D$22*I31^2+$E$22*I31+$F$22)/2</f>
      </c>
      <c r="X31" s="7">
        <f>($W31)*(T31)</f>
      </c>
      <c r="Y31" s="7">
        <f>($W31)*(U31)</f>
      </c>
      <c r="Z31" s="7">
        <f>SQRT(X31^2+Y31^2)</f>
      </c>
      <c r="AA31" s="7">
        <f>$K31+$X31</f>
      </c>
      <c r="AB31" s="7">
        <f>$L31+$Y31</f>
      </c>
      <c r="AC31" s="7">
        <f>$K31-$X31</f>
      </c>
      <c r="AD31" s="7">
        <f>$L31-$Y31</f>
      </c>
      <c r="AE31" s="7">
        <f>AA31/39.3701</f>
      </c>
      <c r="AF31" s="7">
        <f>AB31/39.3701</f>
      </c>
      <c r="AG31" s="7">
        <f>AC31/39.3701</f>
      </c>
      <c r="AH31" s="7">
        <f>AD31/39.3701</f>
      </c>
      <c r="AI31" s="1"/>
      <c r="AJ31" s="1"/>
      <c r="AK31" s="1"/>
      <c r="AL31" s="9" t="s">
        <v>44</v>
      </c>
      <c r="AM31" s="7">
        <v>2.0625</v>
      </c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</row>
    <row x14ac:dyDescent="0.25" r="32" customHeight="1" ht="18.75">
      <c r="A32" s="1"/>
      <c r="B32" s="7">
        <f>LINEST(K$3:K$103, J$3:J$103^{1,2,3})</f>
      </c>
      <c r="C32" s="7">
        <v>-1.360936311326413</v>
      </c>
      <c r="D32" s="7">
        <v>0.5058096682753743</v>
      </c>
      <c r="E32" s="7">
        <v>1.7787511549572161</v>
      </c>
      <c r="F32" s="2"/>
      <c r="G32" s="1"/>
      <c r="H32" s="1"/>
      <c r="I32" s="7">
        <v>0.029</v>
      </c>
      <c r="J32" s="7">
        <f>IF((I32-ROUNDDOWN(I32,0))=0, 0, (I32-ROUNDDOWN(I32,0)))</f>
      </c>
      <c r="K32" s="7">
        <f>INDIRECT("C$"&amp;2+MIN(2,ROUNDDOWN(I32,0))*3)*(-$J32^3+3*$J32^2-3*$J32+1)+INDIRECT("C$"&amp;3+MIN(2,ROUNDDOWN(I32,0))*3)*(3*$J32^3-6*$J32^2+3*$J32)+INDIRECT("C$"&amp;4+MIN(2,ROUNDDOWN(I32,0))*3)*(-3*$J32^3+3*$J32^2)+INDIRECT("C$"&amp;5+MIN(2,ROUNDDOWN(I32,0))*3)*$J32^3</f>
      </c>
      <c r="L32" s="7">
        <f>INDIRECT("D$"&amp;2+MIN(2,ROUNDDOWN(I32,0))*3)*(-$J32^3+3*$J32^2-3*$J32+1)+INDIRECT("D$"&amp;3+MIN(2,ROUNDDOWN(I32,0))*3)*(3*$J32^3-6*$J32^2+3*$J32)+INDIRECT("D$"&amp;4+MIN(2,ROUNDDOWN(I32,0))*3)*(-3*$J32^3+3*$J32^2)+INDIRECT("D$"&amp;5+MIN(2,ROUNDDOWN(I32,0))*3)*$J32^3</f>
      </c>
      <c r="M32" s="7">
        <f>SQRT(K32^2+L32^2)</f>
      </c>
      <c r="N32" s="7">
        <f>(K33-K31)</f>
      </c>
      <c r="O32" s="7">
        <f>+(L33-L31)</f>
      </c>
      <c r="P32" s="7">
        <f>SQRT(O32^2+N32^2)</f>
      </c>
      <c r="Q32" s="7">
        <f>N32/$P32</f>
      </c>
      <c r="R32" s="7">
        <f>O32/$P32</f>
      </c>
      <c r="S32" s="7">
        <f>Q32^2+R32^2</f>
      </c>
      <c r="T32" s="7">
        <f>-R32</f>
      </c>
      <c r="U32" s="7">
        <f>Q32</f>
      </c>
      <c r="V32" s="7">
        <f>INDIRECT("D$"&amp;2+MIN(2,ROUNDDOWN(AD3034,0))*3)*(-$J3034^3+3*$J3034^2-3*$J3034+1)+INDIRECT("D$"&amp;3+MIN(2,ROUNDDOWN(AD3034,0))*3)*(3*$J3034^3-6*$J3034^2+3*$J3034)+INDIRECT("D$"&amp;4+MIN(2,ROUNDDOWN(AD3034,0))*3)*(-3*$J3034^3+3*$J3034^2)+INDIRECT("D$"&amp;5+MIN(2,ROUNDDOWN(AD3034,0))*3)*$J3034^3</f>
      </c>
      <c r="W32" s="7">
        <f>($B$22*I32^4+$C$22*I32^3+$D$22*I32^2+$E$22*I32+$F$22)/2</f>
      </c>
      <c r="X32" s="7">
        <f>($W32)*(T32)</f>
      </c>
      <c r="Y32" s="7">
        <f>($W32)*(U32)</f>
      </c>
      <c r="Z32" s="7">
        <f>SQRT(X32^2+Y32^2)</f>
      </c>
      <c r="AA32" s="7">
        <f>$K32+$X32</f>
      </c>
      <c r="AB32" s="7">
        <f>$L32+$Y32</f>
      </c>
      <c r="AC32" s="7">
        <f>$K32-$X32</f>
      </c>
      <c r="AD32" s="7">
        <f>$L32-$Y32</f>
      </c>
      <c r="AE32" s="7">
        <f>AA32/39.3701</f>
      </c>
      <c r="AF32" s="7">
        <f>AB32/39.3701</f>
      </c>
      <c r="AG32" s="7">
        <f>AC32/39.3701</f>
      </c>
      <c r="AH32" s="7">
        <f>AD32/39.3701</f>
      </c>
      <c r="AI32" s="1"/>
      <c r="AJ32" s="1"/>
      <c r="AK32" s="1"/>
      <c r="AL32" s="9" t="s">
        <v>45</v>
      </c>
      <c r="AM32" s="7">
        <v>0.75</v>
      </c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</row>
    <row x14ac:dyDescent="0.25" r="33" customHeight="1" ht="18.75">
      <c r="A33" s="1"/>
      <c r="B33" s="2"/>
      <c r="C33" s="2"/>
      <c r="D33" s="2"/>
      <c r="E33" s="2"/>
      <c r="F33" s="2"/>
      <c r="G33" s="1"/>
      <c r="H33" s="1"/>
      <c r="I33" s="7">
        <v>0.03</v>
      </c>
      <c r="J33" s="7">
        <f>IF((I33-ROUNDDOWN(I33,0))=0, 0, (I33-ROUNDDOWN(I33,0)))</f>
      </c>
      <c r="K33" s="7">
        <f>INDIRECT("C$"&amp;2+MIN(2,ROUNDDOWN(I33,0))*3)*(-$J33^3+3*$J33^2-3*$J33+1)+INDIRECT("C$"&amp;3+MIN(2,ROUNDDOWN(I33,0))*3)*(3*$J33^3-6*$J33^2+3*$J33)+INDIRECT("C$"&amp;4+MIN(2,ROUNDDOWN(I33,0))*3)*(-3*$J33^3+3*$J33^2)+INDIRECT("C$"&amp;5+MIN(2,ROUNDDOWN(I33,0))*3)*$J33^3</f>
      </c>
      <c r="L33" s="7">
        <f>INDIRECT("D$"&amp;2+MIN(2,ROUNDDOWN(I33,0))*3)*(-$J33^3+3*$J33^2-3*$J33+1)+INDIRECT("D$"&amp;3+MIN(2,ROUNDDOWN(I33,0))*3)*(3*$J33^3-6*$J33^2+3*$J33)+INDIRECT("D$"&amp;4+MIN(2,ROUNDDOWN(I33,0))*3)*(-3*$J33^3+3*$J33^2)+INDIRECT("D$"&amp;5+MIN(2,ROUNDDOWN(I33,0))*3)*$J33^3</f>
      </c>
      <c r="M33" s="7">
        <f>SQRT(K33^2+L33^2)</f>
      </c>
      <c r="N33" s="7">
        <f>(K34-K32)</f>
      </c>
      <c r="O33" s="7">
        <f>+(L34-L32)</f>
      </c>
      <c r="P33" s="7">
        <f>SQRT(O33^2+N33^2)</f>
      </c>
      <c r="Q33" s="7">
        <f>N33/$P33</f>
      </c>
      <c r="R33" s="7">
        <f>O33/$P33</f>
      </c>
      <c r="S33" s="7">
        <f>Q33^2+R33^2</f>
      </c>
      <c r="T33" s="7">
        <f>-R33</f>
      </c>
      <c r="U33" s="7">
        <f>Q33</f>
      </c>
      <c r="V33" s="7">
        <f>INDIRECT("D$"&amp;2+MIN(2,ROUNDDOWN(AD3035,0))*3)*(-$J3035^3+3*$J3035^2-3*$J3035+1)+INDIRECT("D$"&amp;3+MIN(2,ROUNDDOWN(AD3035,0))*3)*(3*$J3035^3-6*$J3035^2+3*$J3035)+INDIRECT("D$"&amp;4+MIN(2,ROUNDDOWN(AD3035,0))*3)*(-3*$J3035^3+3*$J3035^2)+INDIRECT("D$"&amp;5+MIN(2,ROUNDDOWN(AD3035,0))*3)*$J3035^3</f>
      </c>
      <c r="W33" s="7">
        <f>($B$22*I33^4+$C$22*I33^3+$D$22*I33^2+$E$22*I33+$F$22)/2</f>
      </c>
      <c r="X33" s="7">
        <f>($W33)*(T33)</f>
      </c>
      <c r="Y33" s="7">
        <f>($W33)*(U33)</f>
      </c>
      <c r="Z33" s="7">
        <f>SQRT(X33^2+Y33^2)</f>
      </c>
      <c r="AA33" s="7">
        <f>$K33+$X33</f>
      </c>
      <c r="AB33" s="7">
        <f>$L33+$Y33</f>
      </c>
      <c r="AC33" s="7">
        <f>$K33-$X33</f>
      </c>
      <c r="AD33" s="7">
        <f>$L33-$Y33</f>
      </c>
      <c r="AE33" s="7">
        <f>AA33/39.3701</f>
      </c>
      <c r="AF33" s="7">
        <f>AB33/39.3701</f>
      </c>
      <c r="AG33" s="7">
        <f>AC33/39.3701</f>
      </c>
      <c r="AH33" s="7">
        <f>AD33/39.3701</f>
      </c>
      <c r="AI33" s="1"/>
      <c r="AJ33" s="1"/>
      <c r="AK33" s="1"/>
      <c r="AL33" s="9" t="s">
        <v>46</v>
      </c>
      <c r="AM33" s="7">
        <v>0.25</v>
      </c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</row>
    <row x14ac:dyDescent="0.25" r="34" customHeight="1" ht="18.75">
      <c r="A34" s="1"/>
      <c r="B34" s="2"/>
      <c r="C34" s="2"/>
      <c r="D34" s="2"/>
      <c r="E34" s="2"/>
      <c r="F34" s="2"/>
      <c r="G34" s="1"/>
      <c r="H34" s="1"/>
      <c r="I34" s="7">
        <v>0.031</v>
      </c>
      <c r="J34" s="7">
        <f>IF((I34-ROUNDDOWN(I34,0))=0, 0, (I34-ROUNDDOWN(I34,0)))</f>
      </c>
      <c r="K34" s="7">
        <f>INDIRECT("C$"&amp;2+MIN(2,ROUNDDOWN(I34,0))*3)*(-$J34^3+3*$J34^2-3*$J34+1)+INDIRECT("C$"&amp;3+MIN(2,ROUNDDOWN(I34,0))*3)*(3*$J34^3-6*$J34^2+3*$J34)+INDIRECT("C$"&amp;4+MIN(2,ROUNDDOWN(I34,0))*3)*(-3*$J34^3+3*$J34^2)+INDIRECT("C$"&amp;5+MIN(2,ROUNDDOWN(I34,0))*3)*$J34^3</f>
      </c>
      <c r="L34" s="7">
        <f>INDIRECT("D$"&amp;2+MIN(2,ROUNDDOWN(I34,0))*3)*(-$J34^3+3*$J34^2-3*$J34+1)+INDIRECT("D$"&amp;3+MIN(2,ROUNDDOWN(I34,0))*3)*(3*$J34^3-6*$J34^2+3*$J34)+INDIRECT("D$"&amp;4+MIN(2,ROUNDDOWN(I34,0))*3)*(-3*$J34^3+3*$J34^2)+INDIRECT("D$"&amp;5+MIN(2,ROUNDDOWN(I34,0))*3)*$J34^3</f>
      </c>
      <c r="M34" s="7">
        <f>SQRT(K34^2+L34^2)</f>
      </c>
      <c r="N34" s="7">
        <f>(K35-K33)</f>
      </c>
      <c r="O34" s="7">
        <f>+(L35-L33)</f>
      </c>
      <c r="P34" s="7">
        <f>SQRT(O34^2+N34^2)</f>
      </c>
      <c r="Q34" s="7">
        <f>N34/$P34</f>
      </c>
      <c r="R34" s="7">
        <f>O34/$P34</f>
      </c>
      <c r="S34" s="8">
        <f>Q34^2+R34^2</f>
      </c>
      <c r="T34" s="7">
        <f>-R34</f>
      </c>
      <c r="U34" s="7">
        <f>Q34</f>
      </c>
      <c r="V34" s="7">
        <f>INDIRECT("D$"&amp;2+MIN(2,ROUNDDOWN(AD3036,0))*3)*(-$J3036^3+3*$J3036^2-3*$J3036+1)+INDIRECT("D$"&amp;3+MIN(2,ROUNDDOWN(AD3036,0))*3)*(3*$J3036^3-6*$J3036^2+3*$J3036)+INDIRECT("D$"&amp;4+MIN(2,ROUNDDOWN(AD3036,0))*3)*(-3*$J3036^3+3*$J3036^2)+INDIRECT("D$"&amp;5+MIN(2,ROUNDDOWN(AD3036,0))*3)*$J3036^3</f>
      </c>
      <c r="W34" s="7">
        <f>($B$22*I34^4+$C$22*I34^3+$D$22*I34^2+$E$22*I34+$F$22)/2</f>
      </c>
      <c r="X34" s="7">
        <f>($W34)*(T34)</f>
      </c>
      <c r="Y34" s="7">
        <f>($W34)*(U34)</f>
      </c>
      <c r="Z34" s="7">
        <f>SQRT(X34^2+Y34^2)</f>
      </c>
      <c r="AA34" s="7">
        <f>$K34+$X34</f>
      </c>
      <c r="AB34" s="7">
        <f>$L34+$Y34</f>
      </c>
      <c r="AC34" s="7">
        <f>$K34-$X34</f>
      </c>
      <c r="AD34" s="7">
        <f>$L34-$Y34</f>
      </c>
      <c r="AE34" s="7">
        <f>AA34/39.3701</f>
      </c>
      <c r="AF34" s="7">
        <f>AB34/39.3701</f>
      </c>
      <c r="AG34" s="7">
        <f>AC34/39.3701</f>
      </c>
      <c r="AH34" s="7">
        <f>AD34/39.3701</f>
      </c>
      <c r="AI34" s="1"/>
      <c r="AJ34" s="1"/>
      <c r="AK34" s="1"/>
      <c r="AL34" s="9" t="s">
        <v>47</v>
      </c>
      <c r="AM34" s="7">
        <v>0.125</v>
      </c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</row>
    <row x14ac:dyDescent="0.25" r="35" customHeight="1" ht="18.75">
      <c r="A35" s="1"/>
      <c r="B35" s="2"/>
      <c r="C35" s="2"/>
      <c r="D35" s="2"/>
      <c r="E35" s="2"/>
      <c r="F35" s="2"/>
      <c r="G35" s="1"/>
      <c r="H35" s="1"/>
      <c r="I35" s="7">
        <v>0.032</v>
      </c>
      <c r="J35" s="7">
        <f>IF((I35-ROUNDDOWN(I35,0))=0, 0, (I35-ROUNDDOWN(I35,0)))</f>
      </c>
      <c r="K35" s="7">
        <f>INDIRECT("C$"&amp;2+MIN(2,ROUNDDOWN(I35,0))*3)*(-$J35^3+3*$J35^2-3*$J35+1)+INDIRECT("C$"&amp;3+MIN(2,ROUNDDOWN(I35,0))*3)*(3*$J35^3-6*$J35^2+3*$J35)+INDIRECT("C$"&amp;4+MIN(2,ROUNDDOWN(I35,0))*3)*(-3*$J35^3+3*$J35^2)+INDIRECT("C$"&amp;5+MIN(2,ROUNDDOWN(I35,0))*3)*$J35^3</f>
      </c>
      <c r="L35" s="7">
        <f>INDIRECT("D$"&amp;2+MIN(2,ROUNDDOWN(I35,0))*3)*(-$J35^3+3*$J35^2-3*$J35+1)+INDIRECT("D$"&amp;3+MIN(2,ROUNDDOWN(I35,0))*3)*(3*$J35^3-6*$J35^2+3*$J35)+INDIRECT("D$"&amp;4+MIN(2,ROUNDDOWN(I35,0))*3)*(-3*$J35^3+3*$J35^2)+INDIRECT("D$"&amp;5+MIN(2,ROUNDDOWN(I35,0))*3)*$J35^3</f>
      </c>
      <c r="M35" s="7">
        <f>SQRT(K35^2+L35^2)</f>
      </c>
      <c r="N35" s="7">
        <f>(K36-K34)</f>
      </c>
      <c r="O35" s="7">
        <f>+(L36-L34)</f>
      </c>
      <c r="P35" s="7">
        <f>SQRT(O35^2+N35^2)</f>
      </c>
      <c r="Q35" s="7">
        <f>N35/$P35</f>
      </c>
      <c r="R35" s="7">
        <f>O35/$P35</f>
      </c>
      <c r="S35" s="7">
        <f>Q35^2+R35^2</f>
      </c>
      <c r="T35" s="7">
        <f>-R35</f>
      </c>
      <c r="U35" s="7">
        <f>Q35</f>
      </c>
      <c r="V35" s="7">
        <f>INDIRECT("D$"&amp;2+MIN(2,ROUNDDOWN(AD3037,0))*3)*(-$J3037^3+3*$J3037^2-3*$J3037+1)+INDIRECT("D$"&amp;3+MIN(2,ROUNDDOWN(AD3037,0))*3)*(3*$J3037^3-6*$J3037^2+3*$J3037)+INDIRECT("D$"&amp;4+MIN(2,ROUNDDOWN(AD3037,0))*3)*(-3*$J3037^3+3*$J3037^2)+INDIRECT("D$"&amp;5+MIN(2,ROUNDDOWN(AD3037,0))*3)*$J3037^3</f>
      </c>
      <c r="W35" s="7">
        <f>($B$22*I35^4+$C$22*I35^3+$D$22*I35^2+$E$22*I35+$F$22)/2</f>
      </c>
      <c r="X35" s="7">
        <f>($W35)*(T35)</f>
      </c>
      <c r="Y35" s="7">
        <f>($W35)*(U35)</f>
      </c>
      <c r="Z35" s="7">
        <f>SQRT(X35^2+Y35^2)</f>
      </c>
      <c r="AA35" s="7">
        <f>$K35+$X35</f>
      </c>
      <c r="AB35" s="7">
        <f>$L35+$Y35</f>
      </c>
      <c r="AC35" s="7">
        <f>$K35-$X35</f>
      </c>
      <c r="AD35" s="7">
        <f>$L35-$Y35</f>
      </c>
      <c r="AE35" s="7">
        <f>AA35/39.3701</f>
      </c>
      <c r="AF35" s="7">
        <f>AB35/39.3701</f>
      </c>
      <c r="AG35" s="7">
        <f>AC35/39.3701</f>
      </c>
      <c r="AH35" s="7">
        <f>AD35/39.3701</f>
      </c>
      <c r="AI35" s="1"/>
      <c r="AJ35" s="1"/>
      <c r="AK35" s="1"/>
      <c r="AL35" s="1"/>
      <c r="AM35" s="2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</row>
    <row x14ac:dyDescent="0.25" r="36" customHeight="1" ht="18.75">
      <c r="A36" s="1"/>
      <c r="B36" s="2"/>
      <c r="C36" s="7">
        <f>2.12947857/1000</f>
      </c>
      <c r="D36" s="2"/>
      <c r="E36" s="2"/>
      <c r="F36" s="2"/>
      <c r="G36" s="1"/>
      <c r="H36" s="1"/>
      <c r="I36" s="7">
        <v>0.033</v>
      </c>
      <c r="J36" s="7">
        <f>IF((I36-ROUNDDOWN(I36,0))=0, 0, (I36-ROUNDDOWN(I36,0)))</f>
      </c>
      <c r="K36" s="7">
        <f>INDIRECT("C$"&amp;2+MIN(2,ROUNDDOWN(I36,0))*3)*(-$J36^3+3*$J36^2-3*$J36+1)+INDIRECT("C$"&amp;3+MIN(2,ROUNDDOWN(I36,0))*3)*(3*$J36^3-6*$J36^2+3*$J36)+INDIRECT("C$"&amp;4+MIN(2,ROUNDDOWN(I36,0))*3)*(-3*$J36^3+3*$J36^2)+INDIRECT("C$"&amp;5+MIN(2,ROUNDDOWN(I36,0))*3)*$J36^3</f>
      </c>
      <c r="L36" s="7">
        <f>INDIRECT("D$"&amp;2+MIN(2,ROUNDDOWN(I36,0))*3)*(-$J36^3+3*$J36^2-3*$J36+1)+INDIRECT("D$"&amp;3+MIN(2,ROUNDDOWN(I36,0))*3)*(3*$J36^3-6*$J36^2+3*$J36)+INDIRECT("D$"&amp;4+MIN(2,ROUNDDOWN(I36,0))*3)*(-3*$J36^3+3*$J36^2)+INDIRECT("D$"&amp;5+MIN(2,ROUNDDOWN(I36,0))*3)*$J36^3</f>
      </c>
      <c r="M36" s="7">
        <f>SQRT(K36^2+L36^2)</f>
      </c>
      <c r="N36" s="7">
        <f>(K37-K35)</f>
      </c>
      <c r="O36" s="7">
        <f>+(L37-L35)</f>
      </c>
      <c r="P36" s="7">
        <f>SQRT(O36^2+N36^2)</f>
      </c>
      <c r="Q36" s="7">
        <f>N36/$P36</f>
      </c>
      <c r="R36" s="7">
        <f>O36/$P36</f>
      </c>
      <c r="S36" s="7">
        <f>Q36^2+R36^2</f>
      </c>
      <c r="T36" s="7">
        <f>-R36</f>
      </c>
      <c r="U36" s="7">
        <f>Q36</f>
      </c>
      <c r="V36" s="7">
        <f>INDIRECT("D$"&amp;2+MIN(2,ROUNDDOWN(AD3038,0))*3)*(-$J3038^3+3*$J3038^2-3*$J3038+1)+INDIRECT("D$"&amp;3+MIN(2,ROUNDDOWN(AD3038,0))*3)*(3*$J3038^3-6*$J3038^2+3*$J3038)+INDIRECT("D$"&amp;4+MIN(2,ROUNDDOWN(AD3038,0))*3)*(-3*$J3038^3+3*$J3038^2)+INDIRECT("D$"&amp;5+MIN(2,ROUNDDOWN(AD3038,0))*3)*$J3038^3</f>
      </c>
      <c r="W36" s="7">
        <f>($B$22*I36^4+$C$22*I36^3+$D$22*I36^2+$E$22*I36+$F$22)/2</f>
      </c>
      <c r="X36" s="7">
        <f>($W36)*(T36)</f>
      </c>
      <c r="Y36" s="7">
        <f>($W36)*(U36)</f>
      </c>
      <c r="Z36" s="7">
        <f>SQRT(X36^2+Y36^2)</f>
      </c>
      <c r="AA36" s="7">
        <f>$K36+$X36</f>
      </c>
      <c r="AB36" s="7">
        <f>$L36+$Y36</f>
      </c>
      <c r="AC36" s="7">
        <f>$K36-$X36</f>
      </c>
      <c r="AD36" s="7">
        <f>$L36-$Y36</f>
      </c>
      <c r="AE36" s="7">
        <f>AA36/39.3701</f>
      </c>
      <c r="AF36" s="7">
        <f>AB36/39.3701</f>
      </c>
      <c r="AG36" s="7">
        <f>AC36/39.3701</f>
      </c>
      <c r="AH36" s="7">
        <f>AD36/39.3701</f>
      </c>
      <c r="AI36" s="1"/>
      <c r="AJ36" s="1"/>
      <c r="AK36" s="1"/>
      <c r="AL36" s="6" t="s">
        <v>48</v>
      </c>
      <c r="AM36" s="2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</row>
    <row x14ac:dyDescent="0.25" r="37" customHeight="1" ht="18.75">
      <c r="A37" s="1"/>
      <c r="B37" s="2"/>
      <c r="C37" s="2" t="s">
        <v>49</v>
      </c>
      <c r="D37" s="2"/>
      <c r="E37" s="2"/>
      <c r="F37" s="2"/>
      <c r="G37" s="1"/>
      <c r="H37" s="1"/>
      <c r="I37" s="7">
        <v>0.034</v>
      </c>
      <c r="J37" s="7">
        <f>IF((I37-ROUNDDOWN(I37,0))=0, 0, (I37-ROUNDDOWN(I37,0)))</f>
      </c>
      <c r="K37" s="7">
        <f>INDIRECT("C$"&amp;2+MIN(2,ROUNDDOWN(I37,0))*3)*(-$J37^3+3*$J37^2-3*$J37+1)+INDIRECT("C$"&amp;3+MIN(2,ROUNDDOWN(I37,0))*3)*(3*$J37^3-6*$J37^2+3*$J37)+INDIRECT("C$"&amp;4+MIN(2,ROUNDDOWN(I37,0))*3)*(-3*$J37^3+3*$J37^2)+INDIRECT("C$"&amp;5+MIN(2,ROUNDDOWN(I37,0))*3)*$J37^3</f>
      </c>
      <c r="L37" s="7">
        <f>INDIRECT("D$"&amp;2+MIN(2,ROUNDDOWN(I37,0))*3)*(-$J37^3+3*$J37^2-3*$J37+1)+INDIRECT("D$"&amp;3+MIN(2,ROUNDDOWN(I37,0))*3)*(3*$J37^3-6*$J37^2+3*$J37)+INDIRECT("D$"&amp;4+MIN(2,ROUNDDOWN(I37,0))*3)*(-3*$J37^3+3*$J37^2)+INDIRECT("D$"&amp;5+MIN(2,ROUNDDOWN(I37,0))*3)*$J37^3</f>
      </c>
      <c r="M37" s="7">
        <f>SQRT(K37^2+L37^2)</f>
      </c>
      <c r="N37" s="7">
        <f>(K38-K36)</f>
      </c>
      <c r="O37" s="7">
        <f>+(L38-L36)</f>
      </c>
      <c r="P37" s="7">
        <f>SQRT(O37^2+N37^2)</f>
      </c>
      <c r="Q37" s="7">
        <f>N37/$P37</f>
      </c>
      <c r="R37" s="7">
        <f>O37/$P37</f>
      </c>
      <c r="S37" s="8">
        <f>Q37^2+R37^2</f>
      </c>
      <c r="T37" s="7">
        <f>-R37</f>
      </c>
      <c r="U37" s="7">
        <f>Q37</f>
      </c>
      <c r="V37" s="7">
        <f>INDIRECT("D$"&amp;2+MIN(2,ROUNDDOWN(AD3039,0))*3)*(-$J3039^3+3*$J3039^2-3*$J3039+1)+INDIRECT("D$"&amp;3+MIN(2,ROUNDDOWN(AD3039,0))*3)*(3*$J3039^3-6*$J3039^2+3*$J3039)+INDIRECT("D$"&amp;4+MIN(2,ROUNDDOWN(AD3039,0))*3)*(-3*$J3039^3+3*$J3039^2)+INDIRECT("D$"&amp;5+MIN(2,ROUNDDOWN(AD3039,0))*3)*$J3039^3</f>
      </c>
      <c r="W37" s="7">
        <f>($B$22*I37^4+$C$22*I37^3+$D$22*I37^2+$E$22*I37+$F$22)/2</f>
      </c>
      <c r="X37" s="7">
        <f>($W37)*(T37)</f>
      </c>
      <c r="Y37" s="7">
        <f>($W37)*(U37)</f>
      </c>
      <c r="Z37" s="7">
        <f>SQRT(X37^2+Y37^2)</f>
      </c>
      <c r="AA37" s="7">
        <f>$K37+$X37</f>
      </c>
      <c r="AB37" s="7">
        <f>$L37+$Y37</f>
      </c>
      <c r="AC37" s="7">
        <f>$K37-$X37</f>
      </c>
      <c r="AD37" s="7">
        <f>$L37-$Y37</f>
      </c>
      <c r="AE37" s="7">
        <f>AA37/39.3701</f>
      </c>
      <c r="AF37" s="7">
        <f>AB37/39.3701</f>
      </c>
      <c r="AG37" s="7">
        <f>AC37/39.3701</f>
      </c>
      <c r="AH37" s="7">
        <f>AD37/39.3701</f>
      </c>
      <c r="AI37" s="1"/>
      <c r="AJ37" s="1"/>
      <c r="AK37" s="1"/>
      <c r="AL37" s="1"/>
      <c r="AM37" s="2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</row>
    <row x14ac:dyDescent="0.25" r="38" customHeight="1" ht="18.75">
      <c r="A38" s="1"/>
      <c r="B38" s="2"/>
      <c r="C38" s="2"/>
      <c r="D38" s="2"/>
      <c r="E38" s="2"/>
      <c r="F38" s="2"/>
      <c r="G38" s="1"/>
      <c r="H38" s="1"/>
      <c r="I38" s="7">
        <v>0.035</v>
      </c>
      <c r="J38" s="7">
        <f>IF((I38-ROUNDDOWN(I38,0))=0, 0, (I38-ROUNDDOWN(I38,0)))</f>
      </c>
      <c r="K38" s="7">
        <f>INDIRECT("C$"&amp;2+MIN(2,ROUNDDOWN(I38,0))*3)*(-$J38^3+3*$J38^2-3*$J38+1)+INDIRECT("C$"&amp;3+MIN(2,ROUNDDOWN(I38,0))*3)*(3*$J38^3-6*$J38^2+3*$J38)+INDIRECT("C$"&amp;4+MIN(2,ROUNDDOWN(I38,0))*3)*(-3*$J38^3+3*$J38^2)+INDIRECT("C$"&amp;5+MIN(2,ROUNDDOWN(I38,0))*3)*$J38^3</f>
      </c>
      <c r="L38" s="7">
        <f>INDIRECT("D$"&amp;2+MIN(2,ROUNDDOWN(I38,0))*3)*(-$J38^3+3*$J38^2-3*$J38+1)+INDIRECT("D$"&amp;3+MIN(2,ROUNDDOWN(I38,0))*3)*(3*$J38^3-6*$J38^2+3*$J38)+INDIRECT("D$"&amp;4+MIN(2,ROUNDDOWN(I38,0))*3)*(-3*$J38^3+3*$J38^2)+INDIRECT("D$"&amp;5+MIN(2,ROUNDDOWN(I38,0))*3)*$J38^3</f>
      </c>
      <c r="M38" s="7">
        <f>SQRT(K38^2+L38^2)</f>
      </c>
      <c r="N38" s="7">
        <f>(K39-K37)</f>
      </c>
      <c r="O38" s="7">
        <f>+(L39-L37)</f>
      </c>
      <c r="P38" s="7">
        <f>SQRT(O38^2+N38^2)</f>
      </c>
      <c r="Q38" s="7">
        <f>N38/$P38</f>
      </c>
      <c r="R38" s="7">
        <f>O38/$P38</f>
      </c>
      <c r="S38" s="8">
        <f>Q38^2+R38^2</f>
      </c>
      <c r="T38" s="7">
        <f>-R38</f>
      </c>
      <c r="U38" s="7">
        <f>Q38</f>
      </c>
      <c r="V38" s="7">
        <f>INDIRECT("D$"&amp;2+MIN(2,ROUNDDOWN(AD3040,0))*3)*(-$J3040^3+3*$J3040^2-3*$J3040+1)+INDIRECT("D$"&amp;3+MIN(2,ROUNDDOWN(AD3040,0))*3)*(3*$J3040^3-6*$J3040^2+3*$J3040)+INDIRECT("D$"&amp;4+MIN(2,ROUNDDOWN(AD3040,0))*3)*(-3*$J3040^3+3*$J3040^2)+INDIRECT("D$"&amp;5+MIN(2,ROUNDDOWN(AD3040,0))*3)*$J3040^3</f>
      </c>
      <c r="W38" s="7">
        <f>($B$22*I38^4+$C$22*I38^3+$D$22*I38^2+$E$22*I38+$F$22)/2</f>
      </c>
      <c r="X38" s="7">
        <f>($W38)*(T38)</f>
      </c>
      <c r="Y38" s="7">
        <f>($W38)*(U38)</f>
      </c>
      <c r="Z38" s="7">
        <f>SQRT(X38^2+Y38^2)</f>
      </c>
      <c r="AA38" s="7">
        <f>$K38+$X38</f>
      </c>
      <c r="AB38" s="7">
        <f>$L38+$Y38</f>
      </c>
      <c r="AC38" s="7">
        <f>$K38-$X38</f>
      </c>
      <c r="AD38" s="7">
        <f>$L38-$Y38</f>
      </c>
      <c r="AE38" s="7">
        <f>AA38/39.3701</f>
      </c>
      <c r="AF38" s="7">
        <f>AB38/39.3701</f>
      </c>
      <c r="AG38" s="7">
        <f>AC38/39.3701</f>
      </c>
      <c r="AH38" s="7">
        <f>AD38/39.3701</f>
      </c>
      <c r="AI38" s="1"/>
      <c r="AJ38" s="1"/>
      <c r="AK38" s="1"/>
      <c r="AL38" s="1" t="s">
        <v>50</v>
      </c>
      <c r="AM38" s="7">
        <v>0.125</v>
      </c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</row>
    <row x14ac:dyDescent="0.25" r="39" customHeight="1" ht="18.75">
      <c r="A39" s="1" t="s">
        <v>51</v>
      </c>
      <c r="B39" s="2"/>
      <c r="C39" s="2"/>
      <c r="D39" s="2"/>
      <c r="E39" s="2"/>
      <c r="F39" s="2"/>
      <c r="G39" s="1"/>
      <c r="H39" s="1"/>
      <c r="I39" s="7">
        <v>0.036</v>
      </c>
      <c r="J39" s="7">
        <f>IF((I39-ROUNDDOWN(I39,0))=0, 0, (I39-ROUNDDOWN(I39,0)))</f>
      </c>
      <c r="K39" s="7">
        <f>INDIRECT("C$"&amp;2+MIN(2,ROUNDDOWN(I39,0))*3)*(-$J39^3+3*$J39^2-3*$J39+1)+INDIRECT("C$"&amp;3+MIN(2,ROUNDDOWN(I39,0))*3)*(3*$J39^3-6*$J39^2+3*$J39)+INDIRECT("C$"&amp;4+MIN(2,ROUNDDOWN(I39,0))*3)*(-3*$J39^3+3*$J39^2)+INDIRECT("C$"&amp;5+MIN(2,ROUNDDOWN(I39,0))*3)*$J39^3</f>
      </c>
      <c r="L39" s="7">
        <f>INDIRECT("D$"&amp;2+MIN(2,ROUNDDOWN(I39,0))*3)*(-$J39^3+3*$J39^2-3*$J39+1)+INDIRECT("D$"&amp;3+MIN(2,ROUNDDOWN(I39,0))*3)*(3*$J39^3-6*$J39^2+3*$J39)+INDIRECT("D$"&amp;4+MIN(2,ROUNDDOWN(I39,0))*3)*(-3*$J39^3+3*$J39^2)+INDIRECT("D$"&amp;5+MIN(2,ROUNDDOWN(I39,0))*3)*$J39^3</f>
      </c>
      <c r="M39" s="7">
        <f>SQRT(K39^2+L39^2)</f>
      </c>
      <c r="N39" s="7">
        <f>(K40-K38)</f>
      </c>
      <c r="O39" s="7">
        <f>+(L40-L38)</f>
      </c>
      <c r="P39" s="7">
        <f>SQRT(O39^2+N39^2)</f>
      </c>
      <c r="Q39" s="7">
        <f>N39/$P39</f>
      </c>
      <c r="R39" s="7">
        <f>O39/$P39</f>
      </c>
      <c r="S39" s="8">
        <f>Q39^2+R39^2</f>
      </c>
      <c r="T39" s="7">
        <f>-R39</f>
      </c>
      <c r="U39" s="7">
        <f>Q39</f>
      </c>
      <c r="V39" s="7">
        <f>INDIRECT("D$"&amp;2+MIN(2,ROUNDDOWN(AD3041,0))*3)*(-$J3041^3+3*$J3041^2-3*$J3041+1)+INDIRECT("D$"&amp;3+MIN(2,ROUNDDOWN(AD3041,0))*3)*(3*$J3041^3-6*$J3041^2+3*$J3041)+INDIRECT("D$"&amp;4+MIN(2,ROUNDDOWN(AD3041,0))*3)*(-3*$J3041^3+3*$J3041^2)+INDIRECT("D$"&amp;5+MIN(2,ROUNDDOWN(AD3041,0))*3)*$J3041^3</f>
      </c>
      <c r="W39" s="7">
        <f>($B$22*I39^4+$C$22*I39^3+$D$22*I39^2+$E$22*I39+$F$22)/2</f>
      </c>
      <c r="X39" s="7">
        <f>($W39)*(T39)</f>
      </c>
      <c r="Y39" s="7">
        <f>($W39)*(U39)</f>
      </c>
      <c r="Z39" s="7">
        <f>SQRT(X39^2+Y39^2)</f>
      </c>
      <c r="AA39" s="7">
        <f>$K39+$X39</f>
      </c>
      <c r="AB39" s="7">
        <f>$L39+$Y39</f>
      </c>
      <c r="AC39" s="7">
        <f>$K39-$X39</f>
      </c>
      <c r="AD39" s="7">
        <f>$L39-$Y39</f>
      </c>
      <c r="AE39" s="7">
        <f>AA39/39.3701</f>
      </c>
      <c r="AF39" s="7">
        <f>AB39/39.3701</f>
      </c>
      <c r="AG39" s="7">
        <f>AC39/39.3701</f>
      </c>
      <c r="AH39" s="7">
        <f>AD39/39.3701</f>
      </c>
      <c r="AI39" s="1"/>
      <c r="AJ39" s="1"/>
      <c r="AK39" s="1"/>
      <c r="AL39" s="1" t="s">
        <v>52</v>
      </c>
      <c r="AM39" s="7">
        <v>2.571</v>
      </c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</row>
    <row x14ac:dyDescent="0.25" r="40" customHeight="1" ht="18.75">
      <c r="A40" s="1" t="s">
        <v>53</v>
      </c>
      <c r="B40" s="7">
        <v>0.88</v>
      </c>
      <c r="C40" s="2"/>
      <c r="D40" s="2"/>
      <c r="E40" s="2"/>
      <c r="F40" s="2"/>
      <c r="G40" s="1"/>
      <c r="H40" s="1"/>
      <c r="I40" s="7">
        <v>0.037</v>
      </c>
      <c r="J40" s="7">
        <f>IF((I40-ROUNDDOWN(I40,0))=0, 0, (I40-ROUNDDOWN(I40,0)))</f>
      </c>
      <c r="K40" s="7">
        <f>INDIRECT("C$"&amp;2+MIN(2,ROUNDDOWN(I40,0))*3)*(-$J40^3+3*$J40^2-3*$J40+1)+INDIRECT("C$"&amp;3+MIN(2,ROUNDDOWN(I40,0))*3)*(3*$J40^3-6*$J40^2+3*$J40)+INDIRECT("C$"&amp;4+MIN(2,ROUNDDOWN(I40,0))*3)*(-3*$J40^3+3*$J40^2)+INDIRECT("C$"&amp;5+MIN(2,ROUNDDOWN(I40,0))*3)*$J40^3</f>
      </c>
      <c r="L40" s="7">
        <f>INDIRECT("D$"&amp;2+MIN(2,ROUNDDOWN(I40,0))*3)*(-$J40^3+3*$J40^2-3*$J40+1)+INDIRECT("D$"&amp;3+MIN(2,ROUNDDOWN(I40,0))*3)*(3*$J40^3-6*$J40^2+3*$J40)+INDIRECT("D$"&amp;4+MIN(2,ROUNDDOWN(I40,0))*3)*(-3*$J40^3+3*$J40^2)+INDIRECT("D$"&amp;5+MIN(2,ROUNDDOWN(I40,0))*3)*$J40^3</f>
      </c>
      <c r="M40" s="7">
        <f>SQRT(K40^2+L40^2)</f>
      </c>
      <c r="N40" s="7">
        <f>(K41-K39)</f>
      </c>
      <c r="O40" s="7">
        <f>+(L41-L39)</f>
      </c>
      <c r="P40" s="7">
        <f>SQRT(O40^2+N40^2)</f>
      </c>
      <c r="Q40" s="7">
        <f>N40/$P40</f>
      </c>
      <c r="R40" s="7">
        <f>O40/$P40</f>
      </c>
      <c r="S40" s="8">
        <f>Q40^2+R40^2</f>
      </c>
      <c r="T40" s="7">
        <f>-R40</f>
      </c>
      <c r="U40" s="7">
        <f>Q40</f>
      </c>
      <c r="V40" s="7">
        <f>INDIRECT("D$"&amp;2+MIN(2,ROUNDDOWN(AD3042,0))*3)*(-$J3042^3+3*$J3042^2-3*$J3042+1)+INDIRECT("D$"&amp;3+MIN(2,ROUNDDOWN(AD3042,0))*3)*(3*$J3042^3-6*$J3042^2+3*$J3042)+INDIRECT("D$"&amp;4+MIN(2,ROUNDDOWN(AD3042,0))*3)*(-3*$J3042^3+3*$J3042^2)+INDIRECT("D$"&amp;5+MIN(2,ROUNDDOWN(AD3042,0))*3)*$J3042^3</f>
      </c>
      <c r="W40" s="7">
        <f>($B$22*I40^4+$C$22*I40^3+$D$22*I40^2+$E$22*I40+$F$22)/2</f>
      </c>
      <c r="X40" s="7">
        <f>($W40)*(T40)</f>
      </c>
      <c r="Y40" s="7">
        <f>($W40)*(U40)</f>
      </c>
      <c r="Z40" s="7">
        <f>SQRT(X40^2+Y40^2)</f>
      </c>
      <c r="AA40" s="7">
        <f>$K40+$X40</f>
      </c>
      <c r="AB40" s="7">
        <f>$L40+$Y40</f>
      </c>
      <c r="AC40" s="7">
        <f>$K40-$X40</f>
      </c>
      <c r="AD40" s="7">
        <f>$L40-$Y40</f>
      </c>
      <c r="AE40" s="7">
        <f>AA40/39.3701</f>
      </c>
      <c r="AF40" s="7">
        <f>AB40/39.3701</f>
      </c>
      <c r="AG40" s="7">
        <f>AC40/39.3701</f>
      </c>
      <c r="AH40" s="7">
        <f>AD40/39.3701</f>
      </c>
      <c r="AI40" s="1"/>
      <c r="AJ40" s="1"/>
      <c r="AK40" s="1"/>
      <c r="AL40" s="1" t="s">
        <v>54</v>
      </c>
      <c r="AM40" s="7">
        <v>1.957</v>
      </c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</row>
    <row x14ac:dyDescent="0.25" r="41" customHeight="1" ht="18.75">
      <c r="A41" s="1" t="s">
        <v>55</v>
      </c>
      <c r="B41" s="7">
        <v>1.97</v>
      </c>
      <c r="C41" s="2"/>
      <c r="D41" s="2"/>
      <c r="E41" s="2"/>
      <c r="F41" s="2"/>
      <c r="G41" s="1"/>
      <c r="H41" s="1"/>
      <c r="I41" s="7">
        <v>0.038</v>
      </c>
      <c r="J41" s="7">
        <f>IF((I41-ROUNDDOWN(I41,0))=0, 0, (I41-ROUNDDOWN(I41,0)))</f>
      </c>
      <c r="K41" s="7">
        <f>INDIRECT("C$"&amp;2+MIN(2,ROUNDDOWN(I41,0))*3)*(-$J41^3+3*$J41^2-3*$J41+1)+INDIRECT("C$"&amp;3+MIN(2,ROUNDDOWN(I41,0))*3)*(3*$J41^3-6*$J41^2+3*$J41)+INDIRECT("C$"&amp;4+MIN(2,ROUNDDOWN(I41,0))*3)*(-3*$J41^3+3*$J41^2)+INDIRECT("C$"&amp;5+MIN(2,ROUNDDOWN(I41,0))*3)*$J41^3</f>
      </c>
      <c r="L41" s="7">
        <f>INDIRECT("D$"&amp;2+MIN(2,ROUNDDOWN(I41,0))*3)*(-$J41^3+3*$J41^2-3*$J41+1)+INDIRECT("D$"&amp;3+MIN(2,ROUNDDOWN(I41,0))*3)*(3*$J41^3-6*$J41^2+3*$J41)+INDIRECT("D$"&amp;4+MIN(2,ROUNDDOWN(I41,0))*3)*(-3*$J41^3+3*$J41^2)+INDIRECT("D$"&amp;5+MIN(2,ROUNDDOWN(I41,0))*3)*$J41^3</f>
      </c>
      <c r="M41" s="7">
        <f>SQRT(K41^2+L41^2)</f>
      </c>
      <c r="N41" s="7">
        <f>(K42-K40)</f>
      </c>
      <c r="O41" s="7">
        <f>+(L42-L40)</f>
      </c>
      <c r="P41" s="7">
        <f>SQRT(O41^2+N41^2)</f>
      </c>
      <c r="Q41" s="7">
        <f>N41/$P41</f>
      </c>
      <c r="R41" s="7">
        <f>O41/$P41</f>
      </c>
      <c r="S41" s="8">
        <f>Q41^2+R41^2</f>
      </c>
      <c r="T41" s="7">
        <f>-R41</f>
      </c>
      <c r="U41" s="7">
        <f>Q41</f>
      </c>
      <c r="V41" s="7">
        <f>INDIRECT("D$"&amp;2+MIN(2,ROUNDDOWN(AD3043,0))*3)*(-$J3043^3+3*$J3043^2-3*$J3043+1)+INDIRECT("D$"&amp;3+MIN(2,ROUNDDOWN(AD3043,0))*3)*(3*$J3043^3-6*$J3043^2+3*$J3043)+INDIRECT("D$"&amp;4+MIN(2,ROUNDDOWN(AD3043,0))*3)*(-3*$J3043^3+3*$J3043^2)+INDIRECT("D$"&amp;5+MIN(2,ROUNDDOWN(AD3043,0))*3)*$J3043^3</f>
      </c>
      <c r="W41" s="7">
        <f>($B$22*I41^4+$C$22*I41^3+$D$22*I41^2+$E$22*I41+$F$22)/2</f>
      </c>
      <c r="X41" s="7">
        <f>($W41)*(T41)</f>
      </c>
      <c r="Y41" s="7">
        <f>($W41)*(U41)</f>
      </c>
      <c r="Z41" s="7">
        <f>SQRT(X41^2+Y41^2)</f>
      </c>
      <c r="AA41" s="7">
        <f>$K41+$X41</f>
      </c>
      <c r="AB41" s="7">
        <f>$L41+$Y41</f>
      </c>
      <c r="AC41" s="7">
        <f>$K41-$X41</f>
      </c>
      <c r="AD41" s="7">
        <f>$L41-$Y41</f>
      </c>
      <c r="AE41" s="7">
        <f>AA41/39.3701</f>
      </c>
      <c r="AF41" s="7">
        <f>AB41/39.3701</f>
      </c>
      <c r="AG41" s="7">
        <f>AC41/39.3701</f>
      </c>
      <c r="AH41" s="7">
        <f>AD41/39.3701</f>
      </c>
      <c r="AI41" s="1"/>
      <c r="AJ41" s="1"/>
      <c r="AK41" s="1"/>
      <c r="AL41" s="1" t="s">
        <v>56</v>
      </c>
      <c r="AM41" s="7">
        <v>0.793</v>
      </c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</row>
    <row x14ac:dyDescent="0.25" r="42" customHeight="1" ht="18.75">
      <c r="A42" s="1" t="s">
        <v>57</v>
      </c>
      <c r="B42" s="7">
        <v>1.89</v>
      </c>
      <c r="C42" s="2"/>
      <c r="D42" s="2"/>
      <c r="E42" s="2"/>
      <c r="F42" s="2"/>
      <c r="G42" s="1"/>
      <c r="H42" s="1"/>
      <c r="I42" s="7">
        <v>0.039</v>
      </c>
      <c r="J42" s="7">
        <f>IF((I42-ROUNDDOWN(I42,0))=0, 0, (I42-ROUNDDOWN(I42,0)))</f>
      </c>
      <c r="K42" s="7">
        <f>INDIRECT("C$"&amp;2+MIN(2,ROUNDDOWN(I42,0))*3)*(-$J42^3+3*$J42^2-3*$J42+1)+INDIRECT("C$"&amp;3+MIN(2,ROUNDDOWN(I42,0))*3)*(3*$J42^3-6*$J42^2+3*$J42)+INDIRECT("C$"&amp;4+MIN(2,ROUNDDOWN(I42,0))*3)*(-3*$J42^3+3*$J42^2)+INDIRECT("C$"&amp;5+MIN(2,ROUNDDOWN(I42,0))*3)*$J42^3</f>
      </c>
      <c r="L42" s="7">
        <f>INDIRECT("D$"&amp;2+MIN(2,ROUNDDOWN(I42,0))*3)*(-$J42^3+3*$J42^2-3*$J42+1)+INDIRECT("D$"&amp;3+MIN(2,ROUNDDOWN(I42,0))*3)*(3*$J42^3-6*$J42^2+3*$J42)+INDIRECT("D$"&amp;4+MIN(2,ROUNDDOWN(I42,0))*3)*(-3*$J42^3+3*$J42^2)+INDIRECT("D$"&amp;5+MIN(2,ROUNDDOWN(I42,0))*3)*$J42^3</f>
      </c>
      <c r="M42" s="7">
        <f>SQRT(K42^2+L42^2)</f>
      </c>
      <c r="N42" s="7">
        <f>(K43-K41)</f>
      </c>
      <c r="O42" s="7">
        <f>+(L43-L41)</f>
      </c>
      <c r="P42" s="7">
        <f>SQRT(O42^2+N42^2)</f>
      </c>
      <c r="Q42" s="7">
        <f>N42/$P42</f>
      </c>
      <c r="R42" s="7">
        <f>O42/$P42</f>
      </c>
      <c r="S42" s="8">
        <f>Q42^2+R42^2</f>
      </c>
      <c r="T42" s="7">
        <f>-R42</f>
      </c>
      <c r="U42" s="7">
        <f>Q42</f>
      </c>
      <c r="V42" s="7">
        <f>INDIRECT("D$"&amp;2+MIN(2,ROUNDDOWN(AD3044,0))*3)*(-$J3044^3+3*$J3044^2-3*$J3044+1)+INDIRECT("D$"&amp;3+MIN(2,ROUNDDOWN(AD3044,0))*3)*(3*$J3044^3-6*$J3044^2+3*$J3044)+INDIRECT("D$"&amp;4+MIN(2,ROUNDDOWN(AD3044,0))*3)*(-3*$J3044^3+3*$J3044^2)+INDIRECT("D$"&amp;5+MIN(2,ROUNDDOWN(AD3044,0))*3)*$J3044^3</f>
      </c>
      <c r="W42" s="7">
        <f>($B$22*I42^4+$C$22*I42^3+$D$22*I42^2+$E$22*I42+$F$22)/2</f>
      </c>
      <c r="X42" s="7">
        <f>($W42)*(T42)</f>
      </c>
      <c r="Y42" s="7">
        <f>($W42)*(U42)</f>
      </c>
      <c r="Z42" s="7">
        <f>SQRT(X42^2+Y42^2)</f>
      </c>
      <c r="AA42" s="7">
        <f>$K42+$X42</f>
      </c>
      <c r="AB42" s="7">
        <f>$L42+$Y42</f>
      </c>
      <c r="AC42" s="7">
        <f>$K42-$X42</f>
      </c>
      <c r="AD42" s="7">
        <f>$L42-$Y42</f>
      </c>
      <c r="AE42" s="7">
        <f>AA42/39.3701</f>
      </c>
      <c r="AF42" s="7">
        <f>AB42/39.3701</f>
      </c>
      <c r="AG42" s="7">
        <f>AC42/39.3701</f>
      </c>
      <c r="AH42" s="7">
        <f>AD42/39.3701</f>
      </c>
      <c r="AI42" s="1"/>
      <c r="AJ42" s="1"/>
      <c r="AK42" s="1"/>
      <c r="AL42" s="1"/>
      <c r="AM42" s="2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</row>
    <row x14ac:dyDescent="0.25" r="43" customHeight="1" ht="18.75">
      <c r="A43" s="1" t="s">
        <v>58</v>
      </c>
      <c r="B43" s="7">
        <v>0.27</v>
      </c>
      <c r="C43" s="2"/>
      <c r="D43" s="2"/>
      <c r="E43" s="2"/>
      <c r="F43" s="2"/>
      <c r="G43" s="1"/>
      <c r="H43" s="1"/>
      <c r="I43" s="7">
        <v>0.04</v>
      </c>
      <c r="J43" s="7">
        <f>IF((I43-ROUNDDOWN(I43,0))=0, 0, (I43-ROUNDDOWN(I43,0)))</f>
      </c>
      <c r="K43" s="7">
        <f>INDIRECT("C$"&amp;2+MIN(2,ROUNDDOWN(I43,0))*3)*(-$J43^3+3*$J43^2-3*$J43+1)+INDIRECT("C$"&amp;3+MIN(2,ROUNDDOWN(I43,0))*3)*(3*$J43^3-6*$J43^2+3*$J43)+INDIRECT("C$"&amp;4+MIN(2,ROUNDDOWN(I43,0))*3)*(-3*$J43^3+3*$J43^2)+INDIRECT("C$"&amp;5+MIN(2,ROUNDDOWN(I43,0))*3)*$J43^3</f>
      </c>
      <c r="L43" s="7">
        <f>INDIRECT("D$"&amp;2+MIN(2,ROUNDDOWN(I43,0))*3)*(-$J43^3+3*$J43^2-3*$J43+1)+INDIRECT("D$"&amp;3+MIN(2,ROUNDDOWN(I43,0))*3)*(3*$J43^3-6*$J43^2+3*$J43)+INDIRECT("D$"&amp;4+MIN(2,ROUNDDOWN(I43,0))*3)*(-3*$J43^3+3*$J43^2)+INDIRECT("D$"&amp;5+MIN(2,ROUNDDOWN(I43,0))*3)*$J43^3</f>
      </c>
      <c r="M43" s="7">
        <f>SQRT(K43^2+L43^2)</f>
      </c>
      <c r="N43" s="7">
        <f>(K44-K42)</f>
      </c>
      <c r="O43" s="7">
        <f>+(L44-L42)</f>
      </c>
      <c r="P43" s="7">
        <f>SQRT(O43^2+N43^2)</f>
      </c>
      <c r="Q43" s="7">
        <f>N43/$P43</f>
      </c>
      <c r="R43" s="7">
        <f>O43/$P43</f>
      </c>
      <c r="S43" s="7">
        <f>Q43^2+R43^2</f>
      </c>
      <c r="T43" s="7">
        <f>-R43</f>
      </c>
      <c r="U43" s="7">
        <f>Q43</f>
      </c>
      <c r="V43" s="7">
        <f>INDIRECT("D$"&amp;2+MIN(2,ROUNDDOWN(AD3045,0))*3)*(-$J3045^3+3*$J3045^2-3*$J3045+1)+INDIRECT("D$"&amp;3+MIN(2,ROUNDDOWN(AD3045,0))*3)*(3*$J3045^3-6*$J3045^2+3*$J3045)+INDIRECT("D$"&amp;4+MIN(2,ROUNDDOWN(AD3045,0))*3)*(-3*$J3045^3+3*$J3045^2)+INDIRECT("D$"&amp;5+MIN(2,ROUNDDOWN(AD3045,0))*3)*$J3045^3</f>
      </c>
      <c r="W43" s="7">
        <f>($B$22*I43^4+$C$22*I43^3+$D$22*I43^2+$E$22*I43+$F$22)/2</f>
      </c>
      <c r="X43" s="7">
        <f>($W43)*(T43)</f>
      </c>
      <c r="Y43" s="7">
        <f>($W43)*(U43)</f>
      </c>
      <c r="Z43" s="7">
        <f>SQRT(X43^2+Y43^2)</f>
      </c>
      <c r="AA43" s="7">
        <f>$K43+$X43</f>
      </c>
      <c r="AB43" s="7">
        <f>$L43+$Y43</f>
      </c>
      <c r="AC43" s="7">
        <f>$K43-$X43</f>
      </c>
      <c r="AD43" s="7">
        <f>$L43-$Y43</f>
      </c>
      <c r="AE43" s="7">
        <f>AA43/39.3701</f>
      </c>
      <c r="AF43" s="7">
        <f>AB43/39.3701</f>
      </c>
      <c r="AG43" s="7">
        <f>AC43/39.3701</f>
      </c>
      <c r="AH43" s="7">
        <f>AD43/39.3701</f>
      </c>
      <c r="AI43" s="1"/>
      <c r="AJ43" s="1"/>
      <c r="AK43" s="1"/>
      <c r="AL43" s="1"/>
      <c r="AM43" s="2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</row>
    <row x14ac:dyDescent="0.25" r="44" customHeight="1" ht="18.75">
      <c r="A44" s="1" t="s">
        <v>59</v>
      </c>
      <c r="B44" s="7">
        <v>0.23</v>
      </c>
      <c r="C44" s="2"/>
      <c r="D44" s="2"/>
      <c r="E44" s="2"/>
      <c r="F44" s="2"/>
      <c r="G44" s="1"/>
      <c r="H44" s="1"/>
      <c r="I44" s="7">
        <v>0.041</v>
      </c>
      <c r="J44" s="7">
        <f>IF((I44-ROUNDDOWN(I44,0))=0, 0, (I44-ROUNDDOWN(I44,0)))</f>
      </c>
      <c r="K44" s="7">
        <f>INDIRECT("C$"&amp;2+MIN(2,ROUNDDOWN(I44,0))*3)*(-$J44^3+3*$J44^2-3*$J44+1)+INDIRECT("C$"&amp;3+MIN(2,ROUNDDOWN(I44,0))*3)*(3*$J44^3-6*$J44^2+3*$J44)+INDIRECT("C$"&amp;4+MIN(2,ROUNDDOWN(I44,0))*3)*(-3*$J44^3+3*$J44^2)+INDIRECT("C$"&amp;5+MIN(2,ROUNDDOWN(I44,0))*3)*$J44^3</f>
      </c>
      <c r="L44" s="7">
        <f>INDIRECT("D$"&amp;2+MIN(2,ROUNDDOWN(I44,0))*3)*(-$J44^3+3*$J44^2-3*$J44+1)+INDIRECT("D$"&amp;3+MIN(2,ROUNDDOWN(I44,0))*3)*(3*$J44^3-6*$J44^2+3*$J44)+INDIRECT("D$"&amp;4+MIN(2,ROUNDDOWN(I44,0))*3)*(-3*$J44^3+3*$J44^2)+INDIRECT("D$"&amp;5+MIN(2,ROUNDDOWN(I44,0))*3)*$J44^3</f>
      </c>
      <c r="M44" s="7">
        <f>SQRT(K44^2+L44^2)</f>
      </c>
      <c r="N44" s="7">
        <f>(K45-K43)</f>
      </c>
      <c r="O44" s="7">
        <f>+(L45-L43)</f>
      </c>
      <c r="P44" s="7">
        <f>SQRT(O44^2+N44^2)</f>
      </c>
      <c r="Q44" s="7">
        <f>N44/$P44</f>
      </c>
      <c r="R44" s="7">
        <f>O44/$P44</f>
      </c>
      <c r="S44" s="8">
        <f>Q44^2+R44^2</f>
      </c>
      <c r="T44" s="7">
        <f>-R44</f>
      </c>
      <c r="U44" s="7">
        <f>Q44</f>
      </c>
      <c r="V44" s="7">
        <f>INDIRECT("D$"&amp;2+MIN(2,ROUNDDOWN(AD3046,0))*3)*(-$J3046^3+3*$J3046^2-3*$J3046+1)+INDIRECT("D$"&amp;3+MIN(2,ROUNDDOWN(AD3046,0))*3)*(3*$J3046^3-6*$J3046^2+3*$J3046)+INDIRECT("D$"&amp;4+MIN(2,ROUNDDOWN(AD3046,0))*3)*(-3*$J3046^3+3*$J3046^2)+INDIRECT("D$"&amp;5+MIN(2,ROUNDDOWN(AD3046,0))*3)*$J3046^3</f>
      </c>
      <c r="W44" s="7">
        <f>($B$22*I44^4+$C$22*I44^3+$D$22*I44^2+$E$22*I44+$F$22)/2</f>
      </c>
      <c r="X44" s="7">
        <f>($W44)*(T44)</f>
      </c>
      <c r="Y44" s="7">
        <f>($W44)*(U44)</f>
      </c>
      <c r="Z44" s="7">
        <f>SQRT(X44^2+Y44^2)</f>
      </c>
      <c r="AA44" s="7">
        <f>$K44+$X44</f>
      </c>
      <c r="AB44" s="7">
        <f>$L44+$Y44</f>
      </c>
      <c r="AC44" s="7">
        <f>$K44-$X44</f>
      </c>
      <c r="AD44" s="7">
        <f>$L44-$Y44</f>
      </c>
      <c r="AE44" s="7">
        <f>AA44/39.3701</f>
      </c>
      <c r="AF44" s="7">
        <f>AB44/39.3701</f>
      </c>
      <c r="AG44" s="7">
        <f>AC44/39.3701</f>
      </c>
      <c r="AH44" s="7">
        <f>AD44/39.3701</f>
      </c>
      <c r="AI44" s="1"/>
      <c r="AJ44" s="1"/>
      <c r="AK44" s="1"/>
      <c r="AL44" s="1"/>
      <c r="AM44" s="2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</row>
    <row x14ac:dyDescent="0.25" r="45" customHeight="1" ht="18.75">
      <c r="A45" s="1"/>
      <c r="B45" s="2"/>
      <c r="C45" s="2"/>
      <c r="D45" s="2"/>
      <c r="E45" s="2"/>
      <c r="F45" s="2"/>
      <c r="G45" s="1"/>
      <c r="H45" s="1"/>
      <c r="I45" s="7">
        <v>0.042</v>
      </c>
      <c r="J45" s="7">
        <f>IF((I45-ROUNDDOWN(I45,0))=0, 0, (I45-ROUNDDOWN(I45,0)))</f>
      </c>
      <c r="K45" s="7">
        <f>INDIRECT("C$"&amp;2+MIN(2,ROUNDDOWN(I45,0))*3)*(-$J45^3+3*$J45^2-3*$J45+1)+INDIRECT("C$"&amp;3+MIN(2,ROUNDDOWN(I45,0))*3)*(3*$J45^3-6*$J45^2+3*$J45)+INDIRECT("C$"&amp;4+MIN(2,ROUNDDOWN(I45,0))*3)*(-3*$J45^3+3*$J45^2)+INDIRECT("C$"&amp;5+MIN(2,ROUNDDOWN(I45,0))*3)*$J45^3</f>
      </c>
      <c r="L45" s="7">
        <f>INDIRECT("D$"&amp;2+MIN(2,ROUNDDOWN(I45,0))*3)*(-$J45^3+3*$J45^2-3*$J45+1)+INDIRECT("D$"&amp;3+MIN(2,ROUNDDOWN(I45,0))*3)*(3*$J45^3-6*$J45^2+3*$J45)+INDIRECT("D$"&amp;4+MIN(2,ROUNDDOWN(I45,0))*3)*(-3*$J45^3+3*$J45^2)+INDIRECT("D$"&amp;5+MIN(2,ROUNDDOWN(I45,0))*3)*$J45^3</f>
      </c>
      <c r="M45" s="7">
        <f>SQRT(K45^2+L45^2)</f>
      </c>
      <c r="N45" s="7">
        <f>(K46-K44)</f>
      </c>
      <c r="O45" s="7">
        <f>+(L46-L44)</f>
      </c>
      <c r="P45" s="7">
        <f>SQRT(O45^2+N45^2)</f>
      </c>
      <c r="Q45" s="7">
        <f>N45/$P45</f>
      </c>
      <c r="R45" s="7">
        <f>O45/$P45</f>
      </c>
      <c r="S45" s="8">
        <f>Q45^2+R45^2</f>
      </c>
      <c r="T45" s="7">
        <f>-R45</f>
      </c>
      <c r="U45" s="7">
        <f>Q45</f>
      </c>
      <c r="V45" s="7">
        <f>INDIRECT("D$"&amp;2+MIN(2,ROUNDDOWN(AD3047,0))*3)*(-$J3047^3+3*$J3047^2-3*$J3047+1)+INDIRECT("D$"&amp;3+MIN(2,ROUNDDOWN(AD3047,0))*3)*(3*$J3047^3-6*$J3047^2+3*$J3047)+INDIRECT("D$"&amp;4+MIN(2,ROUNDDOWN(AD3047,0))*3)*(-3*$J3047^3+3*$J3047^2)+INDIRECT("D$"&amp;5+MIN(2,ROUNDDOWN(AD3047,0))*3)*$J3047^3</f>
      </c>
      <c r="W45" s="7">
        <f>($B$22*I45^4+$C$22*I45^3+$D$22*I45^2+$E$22*I45+$F$22)/2</f>
      </c>
      <c r="X45" s="7">
        <f>($W45)*(T45)</f>
      </c>
      <c r="Y45" s="7">
        <f>($W45)*(U45)</f>
      </c>
      <c r="Z45" s="7">
        <f>SQRT(X45^2+Y45^2)</f>
      </c>
      <c r="AA45" s="7">
        <f>$K45+$X45</f>
      </c>
      <c r="AB45" s="7">
        <f>$L45+$Y45</f>
      </c>
      <c r="AC45" s="7">
        <f>$K45-$X45</f>
      </c>
      <c r="AD45" s="7">
        <f>$L45-$Y45</f>
      </c>
      <c r="AE45" s="7">
        <f>AA45/39.3701</f>
      </c>
      <c r="AF45" s="7">
        <f>AB45/39.3701</f>
      </c>
      <c r="AG45" s="7">
        <f>AC45/39.3701</f>
      </c>
      <c r="AH45" s="7">
        <f>AD45/39.3701</f>
      </c>
      <c r="AI45" s="1"/>
      <c r="AJ45" s="1"/>
      <c r="AK45" s="1"/>
      <c r="AL45" s="1"/>
      <c r="AM45" s="2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</row>
    <row x14ac:dyDescent="0.25" r="46" customHeight="1" ht="18.75">
      <c r="A46" s="1"/>
      <c r="B46" s="2"/>
      <c r="C46" s="2"/>
      <c r="D46" s="2"/>
      <c r="E46" s="2"/>
      <c r="F46" s="2"/>
      <c r="G46" s="1"/>
      <c r="H46" s="1"/>
      <c r="I46" s="7">
        <v>0.043</v>
      </c>
      <c r="J46" s="7">
        <f>IF((I46-ROUNDDOWN(I46,0))=0, 0, (I46-ROUNDDOWN(I46,0)))</f>
      </c>
      <c r="K46" s="7">
        <f>INDIRECT("C$"&amp;2+MIN(2,ROUNDDOWN(I46,0))*3)*(-$J46^3+3*$J46^2-3*$J46+1)+INDIRECT("C$"&amp;3+MIN(2,ROUNDDOWN(I46,0))*3)*(3*$J46^3-6*$J46^2+3*$J46)+INDIRECT("C$"&amp;4+MIN(2,ROUNDDOWN(I46,0))*3)*(-3*$J46^3+3*$J46^2)+INDIRECT("C$"&amp;5+MIN(2,ROUNDDOWN(I46,0))*3)*$J46^3</f>
      </c>
      <c r="L46" s="7">
        <f>INDIRECT("D$"&amp;2+MIN(2,ROUNDDOWN(I46,0))*3)*(-$J46^3+3*$J46^2-3*$J46+1)+INDIRECT("D$"&amp;3+MIN(2,ROUNDDOWN(I46,0))*3)*(3*$J46^3-6*$J46^2+3*$J46)+INDIRECT("D$"&amp;4+MIN(2,ROUNDDOWN(I46,0))*3)*(-3*$J46^3+3*$J46^2)+INDIRECT("D$"&amp;5+MIN(2,ROUNDDOWN(I46,0))*3)*$J46^3</f>
      </c>
      <c r="M46" s="7">
        <f>SQRT(K46^2+L46^2)</f>
      </c>
      <c r="N46" s="7">
        <f>(K47-K45)</f>
      </c>
      <c r="O46" s="7">
        <f>+(L47-L45)</f>
      </c>
      <c r="P46" s="7">
        <f>SQRT(O46^2+N46^2)</f>
      </c>
      <c r="Q46" s="7">
        <f>N46/$P46</f>
      </c>
      <c r="R46" s="7">
        <f>O46/$P46</f>
      </c>
      <c r="S46" s="7">
        <f>Q46^2+R46^2</f>
      </c>
      <c r="T46" s="7">
        <f>-R46</f>
      </c>
      <c r="U46" s="7">
        <f>Q46</f>
      </c>
      <c r="V46" s="7">
        <f>INDIRECT("D$"&amp;2+MIN(2,ROUNDDOWN(AD3048,0))*3)*(-$J3048^3+3*$J3048^2-3*$J3048+1)+INDIRECT("D$"&amp;3+MIN(2,ROUNDDOWN(AD3048,0))*3)*(3*$J3048^3-6*$J3048^2+3*$J3048)+INDIRECT("D$"&amp;4+MIN(2,ROUNDDOWN(AD3048,0))*3)*(-3*$J3048^3+3*$J3048^2)+INDIRECT("D$"&amp;5+MIN(2,ROUNDDOWN(AD3048,0))*3)*$J3048^3</f>
      </c>
      <c r="W46" s="7">
        <f>($B$22*I46^4+$C$22*I46^3+$D$22*I46^2+$E$22*I46+$F$22)/2</f>
      </c>
      <c r="X46" s="7">
        <f>($W46)*(T46)</f>
      </c>
      <c r="Y46" s="7">
        <f>($W46)*(U46)</f>
      </c>
      <c r="Z46" s="7">
        <f>SQRT(X46^2+Y46^2)</f>
      </c>
      <c r="AA46" s="7">
        <f>$K46+$X46</f>
      </c>
      <c r="AB46" s="7">
        <f>$L46+$Y46</f>
      </c>
      <c r="AC46" s="7">
        <f>$K46-$X46</f>
      </c>
      <c r="AD46" s="7">
        <f>$L46-$Y46</f>
      </c>
      <c r="AE46" s="7">
        <f>AA46/39.3701</f>
      </c>
      <c r="AF46" s="7">
        <f>AB46/39.3701</f>
      </c>
      <c r="AG46" s="7">
        <f>AC46/39.3701</f>
      </c>
      <c r="AH46" s="7">
        <f>AD46/39.3701</f>
      </c>
      <c r="AI46" s="1"/>
      <c r="AJ46" s="1"/>
      <c r="AK46" s="1"/>
      <c r="AL46" s="1"/>
      <c r="AM46" s="2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</row>
    <row x14ac:dyDescent="0.25" r="47" customHeight="1" ht="18.75">
      <c r="A47" s="1"/>
      <c r="B47" s="2"/>
      <c r="C47" s="2"/>
      <c r="D47" s="2"/>
      <c r="E47" s="2"/>
      <c r="F47" s="2"/>
      <c r="G47" s="1"/>
      <c r="H47" s="1"/>
      <c r="I47" s="7">
        <v>0.044</v>
      </c>
      <c r="J47" s="7">
        <f>IF((I47-ROUNDDOWN(I47,0))=0, 0, (I47-ROUNDDOWN(I47,0)))</f>
      </c>
      <c r="K47" s="7">
        <f>INDIRECT("C$"&amp;2+MIN(2,ROUNDDOWN(I47,0))*3)*(-$J47^3+3*$J47^2-3*$J47+1)+INDIRECT("C$"&amp;3+MIN(2,ROUNDDOWN(I47,0))*3)*(3*$J47^3-6*$J47^2+3*$J47)+INDIRECT("C$"&amp;4+MIN(2,ROUNDDOWN(I47,0))*3)*(-3*$J47^3+3*$J47^2)+INDIRECT("C$"&amp;5+MIN(2,ROUNDDOWN(I47,0))*3)*$J47^3</f>
      </c>
      <c r="L47" s="7">
        <f>INDIRECT("D$"&amp;2+MIN(2,ROUNDDOWN(I47,0))*3)*(-$J47^3+3*$J47^2-3*$J47+1)+INDIRECT("D$"&amp;3+MIN(2,ROUNDDOWN(I47,0))*3)*(3*$J47^3-6*$J47^2+3*$J47)+INDIRECT("D$"&amp;4+MIN(2,ROUNDDOWN(I47,0))*3)*(-3*$J47^3+3*$J47^2)+INDIRECT("D$"&amp;5+MIN(2,ROUNDDOWN(I47,0))*3)*$J47^3</f>
      </c>
      <c r="M47" s="7">
        <f>SQRT(K47^2+L47^2)</f>
      </c>
      <c r="N47" s="7">
        <f>(K48-K46)</f>
      </c>
      <c r="O47" s="7">
        <f>+(L48-L46)</f>
      </c>
      <c r="P47" s="7">
        <f>SQRT(O47^2+N47^2)</f>
      </c>
      <c r="Q47" s="7">
        <f>N47/$P47</f>
      </c>
      <c r="R47" s="7">
        <f>O47/$P47</f>
      </c>
      <c r="S47" s="8">
        <f>Q47^2+R47^2</f>
      </c>
      <c r="T47" s="7">
        <f>-R47</f>
      </c>
      <c r="U47" s="7">
        <f>Q47</f>
      </c>
      <c r="V47" s="7">
        <f>INDIRECT("D$"&amp;2+MIN(2,ROUNDDOWN(AD3049,0))*3)*(-$J3049^3+3*$J3049^2-3*$J3049+1)+INDIRECT("D$"&amp;3+MIN(2,ROUNDDOWN(AD3049,0))*3)*(3*$J3049^3-6*$J3049^2+3*$J3049)+INDIRECT("D$"&amp;4+MIN(2,ROUNDDOWN(AD3049,0))*3)*(-3*$J3049^3+3*$J3049^2)+INDIRECT("D$"&amp;5+MIN(2,ROUNDDOWN(AD3049,0))*3)*$J3049^3</f>
      </c>
      <c r="W47" s="7">
        <f>($B$22*I47^4+$C$22*I47^3+$D$22*I47^2+$E$22*I47+$F$22)/2</f>
      </c>
      <c r="X47" s="7">
        <f>($W47)*(T47)</f>
      </c>
      <c r="Y47" s="7">
        <f>($W47)*(U47)</f>
      </c>
      <c r="Z47" s="7">
        <f>SQRT(X47^2+Y47^2)</f>
      </c>
      <c r="AA47" s="7">
        <f>$K47+$X47</f>
      </c>
      <c r="AB47" s="7">
        <f>$L47+$Y47</f>
      </c>
      <c r="AC47" s="7">
        <f>$K47-$X47</f>
      </c>
      <c r="AD47" s="7">
        <f>$L47-$Y47</f>
      </c>
      <c r="AE47" s="7">
        <f>AA47/39.3701</f>
      </c>
      <c r="AF47" s="7">
        <f>AB47/39.3701</f>
      </c>
      <c r="AG47" s="7">
        <f>AC47/39.3701</f>
      </c>
      <c r="AH47" s="7">
        <f>AD47/39.3701</f>
      </c>
      <c r="AI47" s="1"/>
      <c r="AJ47" s="1"/>
      <c r="AK47" s="1"/>
      <c r="AL47" s="1"/>
      <c r="AM47" s="2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</row>
    <row x14ac:dyDescent="0.25" r="48" customHeight="1" ht="18.75">
      <c r="A48" s="1"/>
      <c r="B48" s="2"/>
      <c r="C48" s="2"/>
      <c r="D48" s="2"/>
      <c r="E48" s="2"/>
      <c r="F48" s="2"/>
      <c r="G48" s="1"/>
      <c r="H48" s="1"/>
      <c r="I48" s="7">
        <v>0.045</v>
      </c>
      <c r="J48" s="7">
        <f>IF((I48-ROUNDDOWN(I48,0))=0, 0, (I48-ROUNDDOWN(I48,0)))</f>
      </c>
      <c r="K48" s="7">
        <f>INDIRECT("C$"&amp;2+MIN(2,ROUNDDOWN(I48,0))*3)*(-$J48^3+3*$J48^2-3*$J48+1)+INDIRECT("C$"&amp;3+MIN(2,ROUNDDOWN(I48,0))*3)*(3*$J48^3-6*$J48^2+3*$J48)+INDIRECT("C$"&amp;4+MIN(2,ROUNDDOWN(I48,0))*3)*(-3*$J48^3+3*$J48^2)+INDIRECT("C$"&amp;5+MIN(2,ROUNDDOWN(I48,0))*3)*$J48^3</f>
      </c>
      <c r="L48" s="7">
        <f>INDIRECT("D$"&amp;2+MIN(2,ROUNDDOWN(I48,0))*3)*(-$J48^3+3*$J48^2-3*$J48+1)+INDIRECT("D$"&amp;3+MIN(2,ROUNDDOWN(I48,0))*3)*(3*$J48^3-6*$J48^2+3*$J48)+INDIRECT("D$"&amp;4+MIN(2,ROUNDDOWN(I48,0))*3)*(-3*$J48^3+3*$J48^2)+INDIRECT("D$"&amp;5+MIN(2,ROUNDDOWN(I48,0))*3)*$J48^3</f>
      </c>
      <c r="M48" s="7">
        <f>SQRT(K48^2+L48^2)</f>
      </c>
      <c r="N48" s="7">
        <f>(K49-K47)</f>
      </c>
      <c r="O48" s="7">
        <f>+(L49-L47)</f>
      </c>
      <c r="P48" s="7">
        <f>SQRT(O48^2+N48^2)</f>
      </c>
      <c r="Q48" s="7">
        <f>N48/$P48</f>
      </c>
      <c r="R48" s="7">
        <f>O48/$P48</f>
      </c>
      <c r="S48" s="8">
        <f>Q48^2+R48^2</f>
      </c>
      <c r="T48" s="7">
        <f>-R48</f>
      </c>
      <c r="U48" s="7">
        <f>Q48</f>
      </c>
      <c r="V48" s="7">
        <f>INDIRECT("D$"&amp;2+MIN(2,ROUNDDOWN(AD3050,0))*3)*(-$J3050^3+3*$J3050^2-3*$J3050+1)+INDIRECT("D$"&amp;3+MIN(2,ROUNDDOWN(AD3050,0))*3)*(3*$J3050^3-6*$J3050^2+3*$J3050)+INDIRECT("D$"&amp;4+MIN(2,ROUNDDOWN(AD3050,0))*3)*(-3*$J3050^3+3*$J3050^2)+INDIRECT("D$"&amp;5+MIN(2,ROUNDDOWN(AD3050,0))*3)*$J3050^3</f>
      </c>
      <c r="W48" s="7">
        <f>($B$22*I48^4+$C$22*I48^3+$D$22*I48^2+$E$22*I48+$F$22)/2</f>
      </c>
      <c r="X48" s="7">
        <f>($W48)*(T48)</f>
      </c>
      <c r="Y48" s="7">
        <f>($W48)*(U48)</f>
      </c>
      <c r="Z48" s="7">
        <f>SQRT(X48^2+Y48^2)</f>
      </c>
      <c r="AA48" s="7">
        <f>$K48+$X48</f>
      </c>
      <c r="AB48" s="7">
        <f>$L48+$Y48</f>
      </c>
      <c r="AC48" s="7">
        <f>$K48-$X48</f>
      </c>
      <c r="AD48" s="7">
        <f>$L48-$Y48</f>
      </c>
      <c r="AE48" s="7">
        <f>AA48/39.3701</f>
      </c>
      <c r="AF48" s="7">
        <f>AB48/39.3701</f>
      </c>
      <c r="AG48" s="7">
        <f>AC48/39.3701</f>
      </c>
      <c r="AH48" s="7">
        <f>AD48/39.3701</f>
      </c>
      <c r="AI48" s="1"/>
      <c r="AJ48" s="1"/>
      <c r="AK48" s="1"/>
      <c r="AL48" s="1"/>
      <c r="AM48" s="2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</row>
    <row x14ac:dyDescent="0.25" r="49" customHeight="1" ht="18.75">
      <c r="A49" s="1"/>
      <c r="B49" s="2"/>
      <c r="C49" s="2"/>
      <c r="D49" s="2"/>
      <c r="E49" s="2"/>
      <c r="F49" s="2"/>
      <c r="G49" s="1"/>
      <c r="H49" s="1"/>
      <c r="I49" s="7">
        <v>0.046</v>
      </c>
      <c r="J49" s="7">
        <f>IF((I49-ROUNDDOWN(I49,0))=0, 0, (I49-ROUNDDOWN(I49,0)))</f>
      </c>
      <c r="K49" s="7">
        <f>INDIRECT("C$"&amp;2+MIN(2,ROUNDDOWN(I49,0))*3)*(-$J49^3+3*$J49^2-3*$J49+1)+INDIRECT("C$"&amp;3+MIN(2,ROUNDDOWN(I49,0))*3)*(3*$J49^3-6*$J49^2+3*$J49)+INDIRECT("C$"&amp;4+MIN(2,ROUNDDOWN(I49,0))*3)*(-3*$J49^3+3*$J49^2)+INDIRECT("C$"&amp;5+MIN(2,ROUNDDOWN(I49,0))*3)*$J49^3</f>
      </c>
      <c r="L49" s="7">
        <f>INDIRECT("D$"&amp;2+MIN(2,ROUNDDOWN(I49,0))*3)*(-$J49^3+3*$J49^2-3*$J49+1)+INDIRECT("D$"&amp;3+MIN(2,ROUNDDOWN(I49,0))*3)*(3*$J49^3-6*$J49^2+3*$J49)+INDIRECT("D$"&amp;4+MIN(2,ROUNDDOWN(I49,0))*3)*(-3*$J49^3+3*$J49^2)+INDIRECT("D$"&amp;5+MIN(2,ROUNDDOWN(I49,0))*3)*$J49^3</f>
      </c>
      <c r="M49" s="7">
        <f>SQRT(K49^2+L49^2)</f>
      </c>
      <c r="N49" s="7">
        <f>(K50-K48)</f>
      </c>
      <c r="O49" s="7">
        <f>+(L50-L48)</f>
      </c>
      <c r="P49" s="7">
        <f>SQRT(O49^2+N49^2)</f>
      </c>
      <c r="Q49" s="7">
        <f>N49/$P49</f>
      </c>
      <c r="R49" s="7">
        <f>O49/$P49</f>
      </c>
      <c r="S49" s="8">
        <f>Q49^2+R49^2</f>
      </c>
      <c r="T49" s="7">
        <f>-R49</f>
      </c>
      <c r="U49" s="7">
        <f>Q49</f>
      </c>
      <c r="V49" s="7">
        <f>INDIRECT("D$"&amp;2+MIN(2,ROUNDDOWN(AD3051,0))*3)*(-$J3051^3+3*$J3051^2-3*$J3051+1)+INDIRECT("D$"&amp;3+MIN(2,ROUNDDOWN(AD3051,0))*3)*(3*$J3051^3-6*$J3051^2+3*$J3051)+INDIRECT("D$"&amp;4+MIN(2,ROUNDDOWN(AD3051,0))*3)*(-3*$J3051^3+3*$J3051^2)+INDIRECT("D$"&amp;5+MIN(2,ROUNDDOWN(AD3051,0))*3)*$J3051^3</f>
      </c>
      <c r="W49" s="7">
        <f>($B$22*I49^4+$C$22*I49^3+$D$22*I49^2+$E$22*I49+$F$22)/2</f>
      </c>
      <c r="X49" s="7">
        <f>($W49)*(T49)</f>
      </c>
      <c r="Y49" s="7">
        <f>($W49)*(U49)</f>
      </c>
      <c r="Z49" s="7">
        <f>SQRT(X49^2+Y49^2)</f>
      </c>
      <c r="AA49" s="7">
        <f>$K49+$X49</f>
      </c>
      <c r="AB49" s="7">
        <f>$L49+$Y49</f>
      </c>
      <c r="AC49" s="7">
        <f>$K49-$X49</f>
      </c>
      <c r="AD49" s="7">
        <f>$L49-$Y49</f>
      </c>
      <c r="AE49" s="7">
        <f>AA49/39.3701</f>
      </c>
      <c r="AF49" s="7">
        <f>AB49/39.3701</f>
      </c>
      <c r="AG49" s="7">
        <f>AC49/39.3701</f>
      </c>
      <c r="AH49" s="7">
        <f>AD49/39.3701</f>
      </c>
      <c r="AI49" s="1"/>
      <c r="AJ49" s="1"/>
      <c r="AK49" s="1"/>
      <c r="AL49" s="1"/>
      <c r="AM49" s="2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</row>
    <row x14ac:dyDescent="0.25" r="50" customHeight="1" ht="18.75">
      <c r="A50" s="1"/>
      <c r="B50" s="2"/>
      <c r="C50" s="2"/>
      <c r="D50" s="2"/>
      <c r="E50" s="2"/>
      <c r="F50" s="2"/>
      <c r="G50" s="1"/>
      <c r="H50" s="1"/>
      <c r="I50" s="7">
        <v>0.047</v>
      </c>
      <c r="J50" s="7">
        <f>IF((I50-ROUNDDOWN(I50,0))=0, 0, (I50-ROUNDDOWN(I50,0)))</f>
      </c>
      <c r="K50" s="7">
        <f>INDIRECT("C$"&amp;2+MIN(2,ROUNDDOWN(I50,0))*3)*(-$J50^3+3*$J50^2-3*$J50+1)+INDIRECT("C$"&amp;3+MIN(2,ROUNDDOWN(I50,0))*3)*(3*$J50^3-6*$J50^2+3*$J50)+INDIRECT("C$"&amp;4+MIN(2,ROUNDDOWN(I50,0))*3)*(-3*$J50^3+3*$J50^2)+INDIRECT("C$"&amp;5+MIN(2,ROUNDDOWN(I50,0))*3)*$J50^3</f>
      </c>
      <c r="L50" s="7">
        <f>INDIRECT("D$"&amp;2+MIN(2,ROUNDDOWN(I50,0))*3)*(-$J50^3+3*$J50^2-3*$J50+1)+INDIRECT("D$"&amp;3+MIN(2,ROUNDDOWN(I50,0))*3)*(3*$J50^3-6*$J50^2+3*$J50)+INDIRECT("D$"&amp;4+MIN(2,ROUNDDOWN(I50,0))*3)*(-3*$J50^3+3*$J50^2)+INDIRECT("D$"&amp;5+MIN(2,ROUNDDOWN(I50,0))*3)*$J50^3</f>
      </c>
      <c r="M50" s="7">
        <f>SQRT(K50^2+L50^2)</f>
      </c>
      <c r="N50" s="7">
        <f>(K51-K49)</f>
      </c>
      <c r="O50" s="7">
        <f>+(L51-L49)</f>
      </c>
      <c r="P50" s="7">
        <f>SQRT(O50^2+N50^2)</f>
      </c>
      <c r="Q50" s="7">
        <f>N50/$P50</f>
      </c>
      <c r="R50" s="7">
        <f>O50/$P50</f>
      </c>
      <c r="S50" s="8">
        <f>Q50^2+R50^2</f>
      </c>
      <c r="T50" s="7">
        <f>-R50</f>
      </c>
      <c r="U50" s="7">
        <f>Q50</f>
      </c>
      <c r="V50" s="7">
        <f>INDIRECT("D$"&amp;2+MIN(2,ROUNDDOWN(AD3052,0))*3)*(-$J3052^3+3*$J3052^2-3*$J3052+1)+INDIRECT("D$"&amp;3+MIN(2,ROUNDDOWN(AD3052,0))*3)*(3*$J3052^3-6*$J3052^2+3*$J3052)+INDIRECT("D$"&amp;4+MIN(2,ROUNDDOWN(AD3052,0))*3)*(-3*$J3052^3+3*$J3052^2)+INDIRECT("D$"&amp;5+MIN(2,ROUNDDOWN(AD3052,0))*3)*$J3052^3</f>
      </c>
      <c r="W50" s="7">
        <f>($B$22*I50^4+$C$22*I50^3+$D$22*I50^2+$E$22*I50+$F$22)/2</f>
      </c>
      <c r="X50" s="7">
        <f>($W50)*(T50)</f>
      </c>
      <c r="Y50" s="7">
        <f>($W50)*(U50)</f>
      </c>
      <c r="Z50" s="7">
        <f>SQRT(X50^2+Y50^2)</f>
      </c>
      <c r="AA50" s="7">
        <f>$K50+$X50</f>
      </c>
      <c r="AB50" s="7">
        <f>$L50+$Y50</f>
      </c>
      <c r="AC50" s="7">
        <f>$K50-$X50</f>
      </c>
      <c r="AD50" s="7">
        <f>$L50-$Y50</f>
      </c>
      <c r="AE50" s="7">
        <f>AA50/39.3701</f>
      </c>
      <c r="AF50" s="7">
        <f>AB50/39.3701</f>
      </c>
      <c r="AG50" s="7">
        <f>AC50/39.3701</f>
      </c>
      <c r="AH50" s="7">
        <f>AD50/39.3701</f>
      </c>
      <c r="AI50" s="1"/>
      <c r="AJ50" s="1"/>
      <c r="AK50" s="1"/>
      <c r="AL50" s="1"/>
      <c r="AM50" s="2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</row>
    <row x14ac:dyDescent="0.25" r="51" customHeight="1" ht="18.75">
      <c r="A51" s="1"/>
      <c r="B51" s="2"/>
      <c r="C51" s="2"/>
      <c r="D51" s="2"/>
      <c r="E51" s="2"/>
      <c r="F51" s="2"/>
      <c r="G51" s="1"/>
      <c r="H51" s="1"/>
      <c r="I51" s="7">
        <v>0.048</v>
      </c>
      <c r="J51" s="7">
        <f>IF((I51-ROUNDDOWN(I51,0))=0, 0, (I51-ROUNDDOWN(I51,0)))</f>
      </c>
      <c r="K51" s="7">
        <f>INDIRECT("C$"&amp;2+MIN(2,ROUNDDOWN(I51,0))*3)*(-$J51^3+3*$J51^2-3*$J51+1)+INDIRECT("C$"&amp;3+MIN(2,ROUNDDOWN(I51,0))*3)*(3*$J51^3-6*$J51^2+3*$J51)+INDIRECT("C$"&amp;4+MIN(2,ROUNDDOWN(I51,0))*3)*(-3*$J51^3+3*$J51^2)+INDIRECT("C$"&amp;5+MIN(2,ROUNDDOWN(I51,0))*3)*$J51^3</f>
      </c>
      <c r="L51" s="7">
        <f>INDIRECT("D$"&amp;2+MIN(2,ROUNDDOWN(I51,0))*3)*(-$J51^3+3*$J51^2-3*$J51+1)+INDIRECT("D$"&amp;3+MIN(2,ROUNDDOWN(I51,0))*3)*(3*$J51^3-6*$J51^2+3*$J51)+INDIRECT("D$"&amp;4+MIN(2,ROUNDDOWN(I51,0))*3)*(-3*$J51^3+3*$J51^2)+INDIRECT("D$"&amp;5+MIN(2,ROUNDDOWN(I51,0))*3)*$J51^3</f>
      </c>
      <c r="M51" s="7">
        <f>SQRT(K51^2+L51^2)</f>
      </c>
      <c r="N51" s="7">
        <f>(K52-K50)</f>
      </c>
      <c r="O51" s="7">
        <f>+(L52-L50)</f>
      </c>
      <c r="P51" s="7">
        <f>SQRT(O51^2+N51^2)</f>
      </c>
      <c r="Q51" s="7">
        <f>N51/$P51</f>
      </c>
      <c r="R51" s="7">
        <f>O51/$P51</f>
      </c>
      <c r="S51" s="8">
        <f>Q51^2+R51^2</f>
      </c>
      <c r="T51" s="7">
        <f>-R51</f>
      </c>
      <c r="U51" s="7">
        <f>Q51</f>
      </c>
      <c r="V51" s="7">
        <f>INDIRECT("D$"&amp;2+MIN(2,ROUNDDOWN(AD3053,0))*3)*(-$J3053^3+3*$J3053^2-3*$J3053+1)+INDIRECT("D$"&amp;3+MIN(2,ROUNDDOWN(AD3053,0))*3)*(3*$J3053^3-6*$J3053^2+3*$J3053)+INDIRECT("D$"&amp;4+MIN(2,ROUNDDOWN(AD3053,0))*3)*(-3*$J3053^3+3*$J3053^2)+INDIRECT("D$"&amp;5+MIN(2,ROUNDDOWN(AD3053,0))*3)*$J3053^3</f>
      </c>
      <c r="W51" s="7">
        <f>($B$22*I51^4+$C$22*I51^3+$D$22*I51^2+$E$22*I51+$F$22)/2</f>
      </c>
      <c r="X51" s="7">
        <f>($W51)*(T51)</f>
      </c>
      <c r="Y51" s="7">
        <f>($W51)*(U51)</f>
      </c>
      <c r="Z51" s="7">
        <f>SQRT(X51^2+Y51^2)</f>
      </c>
      <c r="AA51" s="7">
        <f>$K51+$X51</f>
      </c>
      <c r="AB51" s="7">
        <f>$L51+$Y51</f>
      </c>
      <c r="AC51" s="7">
        <f>$K51-$X51</f>
      </c>
      <c r="AD51" s="7">
        <f>$L51-$Y51</f>
      </c>
      <c r="AE51" s="7">
        <f>AA51/39.3701</f>
      </c>
      <c r="AF51" s="7">
        <f>AB51/39.3701</f>
      </c>
      <c r="AG51" s="7">
        <f>AC51/39.3701</f>
      </c>
      <c r="AH51" s="7">
        <f>AD51/39.3701</f>
      </c>
      <c r="AI51" s="1"/>
      <c r="AJ51" s="1"/>
      <c r="AK51" s="1"/>
      <c r="AL51" s="1"/>
      <c r="AM51" s="2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</row>
    <row x14ac:dyDescent="0.25" r="52" customHeight="1" ht="18.75">
      <c r="A52" s="1"/>
      <c r="B52" s="2"/>
      <c r="C52" s="2"/>
      <c r="D52" s="2"/>
      <c r="E52" s="2"/>
      <c r="F52" s="2"/>
      <c r="G52" s="1"/>
      <c r="H52" s="1"/>
      <c r="I52" s="7">
        <v>0.049</v>
      </c>
      <c r="J52" s="7">
        <f>IF((I52-ROUNDDOWN(I52,0))=0, 0, (I52-ROUNDDOWN(I52,0)))</f>
      </c>
      <c r="K52" s="7">
        <f>INDIRECT("C$"&amp;2+MIN(2,ROUNDDOWN(I52,0))*3)*(-$J52^3+3*$J52^2-3*$J52+1)+INDIRECT("C$"&amp;3+MIN(2,ROUNDDOWN(I52,0))*3)*(3*$J52^3-6*$J52^2+3*$J52)+INDIRECT("C$"&amp;4+MIN(2,ROUNDDOWN(I52,0))*3)*(-3*$J52^3+3*$J52^2)+INDIRECT("C$"&amp;5+MIN(2,ROUNDDOWN(I52,0))*3)*$J52^3</f>
      </c>
      <c r="L52" s="7">
        <f>INDIRECT("D$"&amp;2+MIN(2,ROUNDDOWN(I52,0))*3)*(-$J52^3+3*$J52^2-3*$J52+1)+INDIRECT("D$"&amp;3+MIN(2,ROUNDDOWN(I52,0))*3)*(3*$J52^3-6*$J52^2+3*$J52)+INDIRECT("D$"&amp;4+MIN(2,ROUNDDOWN(I52,0))*3)*(-3*$J52^3+3*$J52^2)+INDIRECT("D$"&amp;5+MIN(2,ROUNDDOWN(I52,0))*3)*$J52^3</f>
      </c>
      <c r="M52" s="7">
        <f>SQRT(K52^2+L52^2)</f>
      </c>
      <c r="N52" s="7">
        <f>(K53-K51)</f>
      </c>
      <c r="O52" s="7">
        <f>+(L53-L51)</f>
      </c>
      <c r="P52" s="7">
        <f>SQRT(O52^2+N52^2)</f>
      </c>
      <c r="Q52" s="7">
        <f>N52/$P52</f>
      </c>
      <c r="R52" s="7">
        <f>O52/$P52</f>
      </c>
      <c r="S52" s="8">
        <f>Q52^2+R52^2</f>
      </c>
      <c r="T52" s="7">
        <f>-R52</f>
      </c>
      <c r="U52" s="7">
        <f>Q52</f>
      </c>
      <c r="V52" s="7">
        <f>INDIRECT("D$"&amp;2+MIN(2,ROUNDDOWN(AD3054,0))*3)*(-$J3054^3+3*$J3054^2-3*$J3054+1)+INDIRECT("D$"&amp;3+MIN(2,ROUNDDOWN(AD3054,0))*3)*(3*$J3054^3-6*$J3054^2+3*$J3054)+INDIRECT("D$"&amp;4+MIN(2,ROUNDDOWN(AD3054,0))*3)*(-3*$J3054^3+3*$J3054^2)+INDIRECT("D$"&amp;5+MIN(2,ROUNDDOWN(AD3054,0))*3)*$J3054^3</f>
      </c>
      <c r="W52" s="7">
        <f>($B$22*I52^4+$C$22*I52^3+$D$22*I52^2+$E$22*I52+$F$22)/2</f>
      </c>
      <c r="X52" s="7">
        <f>($W52)*(T52)</f>
      </c>
      <c r="Y52" s="7">
        <f>($W52)*(U52)</f>
      </c>
      <c r="Z52" s="7">
        <f>SQRT(X52^2+Y52^2)</f>
      </c>
      <c r="AA52" s="7">
        <f>$K52+$X52</f>
      </c>
      <c r="AB52" s="7">
        <f>$L52+$Y52</f>
      </c>
      <c r="AC52" s="7">
        <f>$K52-$X52</f>
      </c>
      <c r="AD52" s="7">
        <f>$L52-$Y52</f>
      </c>
      <c r="AE52" s="7">
        <f>AA52/39.3701</f>
      </c>
      <c r="AF52" s="7">
        <f>AB52/39.3701</f>
      </c>
      <c r="AG52" s="7">
        <f>AC52/39.3701</f>
      </c>
      <c r="AH52" s="7">
        <f>AD52/39.3701</f>
      </c>
      <c r="AI52" s="1"/>
      <c r="AJ52" s="1"/>
      <c r="AK52" s="1"/>
      <c r="AL52" s="1"/>
      <c r="AM52" s="2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</row>
    <row x14ac:dyDescent="0.25" r="53" customHeight="1" ht="18.75">
      <c r="A53" s="1"/>
      <c r="B53" s="2"/>
      <c r="C53" s="2"/>
      <c r="D53" s="2"/>
      <c r="E53" s="2"/>
      <c r="F53" s="2"/>
      <c r="G53" s="1"/>
      <c r="H53" s="1"/>
      <c r="I53" s="7">
        <v>0.05</v>
      </c>
      <c r="J53" s="7">
        <f>IF((I53-ROUNDDOWN(I53,0))=0, 0, (I53-ROUNDDOWN(I53,0)))</f>
      </c>
      <c r="K53" s="7">
        <f>INDIRECT("C$"&amp;2+MIN(2,ROUNDDOWN(I53,0))*3)*(-$J53^3+3*$J53^2-3*$J53+1)+INDIRECT("C$"&amp;3+MIN(2,ROUNDDOWN(I53,0))*3)*(3*$J53^3-6*$J53^2+3*$J53)+INDIRECT("C$"&amp;4+MIN(2,ROUNDDOWN(I53,0))*3)*(-3*$J53^3+3*$J53^2)+INDIRECT("C$"&amp;5+MIN(2,ROUNDDOWN(I53,0))*3)*$J53^3</f>
      </c>
      <c r="L53" s="7">
        <f>INDIRECT("D$"&amp;2+MIN(2,ROUNDDOWN(I53,0))*3)*(-$J53^3+3*$J53^2-3*$J53+1)+INDIRECT("D$"&amp;3+MIN(2,ROUNDDOWN(I53,0))*3)*(3*$J53^3-6*$J53^2+3*$J53)+INDIRECT("D$"&amp;4+MIN(2,ROUNDDOWN(I53,0))*3)*(-3*$J53^3+3*$J53^2)+INDIRECT("D$"&amp;5+MIN(2,ROUNDDOWN(I53,0))*3)*$J53^3</f>
      </c>
      <c r="M53" s="7">
        <f>SQRT(K53^2+L53^2)</f>
      </c>
      <c r="N53" s="7">
        <f>(K54-K52)</f>
      </c>
      <c r="O53" s="7">
        <f>+(L54-L52)</f>
      </c>
      <c r="P53" s="7">
        <f>SQRT(O53^2+N53^2)</f>
      </c>
      <c r="Q53" s="7">
        <f>N53/$P53</f>
      </c>
      <c r="R53" s="7">
        <f>O53/$P53</f>
      </c>
      <c r="S53" s="8">
        <f>Q53^2+R53^2</f>
      </c>
      <c r="T53" s="7">
        <f>-R53</f>
      </c>
      <c r="U53" s="7">
        <f>Q53</f>
      </c>
      <c r="V53" s="7">
        <f>INDIRECT("D$"&amp;2+MIN(2,ROUNDDOWN(AD3055,0))*3)*(-$J3055^3+3*$J3055^2-3*$J3055+1)+INDIRECT("D$"&amp;3+MIN(2,ROUNDDOWN(AD3055,0))*3)*(3*$J3055^3-6*$J3055^2+3*$J3055)+INDIRECT("D$"&amp;4+MIN(2,ROUNDDOWN(AD3055,0))*3)*(-3*$J3055^3+3*$J3055^2)+INDIRECT("D$"&amp;5+MIN(2,ROUNDDOWN(AD3055,0))*3)*$J3055^3</f>
      </c>
      <c r="W53" s="7">
        <f>($B$22*I53^4+$C$22*I53^3+$D$22*I53^2+$E$22*I53+$F$22)/2</f>
      </c>
      <c r="X53" s="7">
        <f>($W53)*(T53)</f>
      </c>
      <c r="Y53" s="7">
        <f>($W53)*(U53)</f>
      </c>
      <c r="Z53" s="7">
        <f>SQRT(X53^2+Y53^2)</f>
      </c>
      <c r="AA53" s="7">
        <f>$K53+$X53</f>
      </c>
      <c r="AB53" s="7">
        <f>$L53+$Y53</f>
      </c>
      <c r="AC53" s="7">
        <f>$K53-$X53</f>
      </c>
      <c r="AD53" s="7">
        <f>$L53-$Y53</f>
      </c>
      <c r="AE53" s="7">
        <f>AA53/39.3701</f>
      </c>
      <c r="AF53" s="7">
        <f>AB53/39.3701</f>
      </c>
      <c r="AG53" s="7">
        <f>AC53/39.3701</f>
      </c>
      <c r="AH53" s="7">
        <f>AD53/39.3701</f>
      </c>
      <c r="AI53" s="1"/>
      <c r="AJ53" s="1"/>
      <c r="AK53" s="1"/>
      <c r="AL53" s="1"/>
      <c r="AM53" s="2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</row>
    <row x14ac:dyDescent="0.25" r="54" customHeight="1" ht="18.75">
      <c r="A54" s="1"/>
      <c r="B54" s="2"/>
      <c r="C54" s="2"/>
      <c r="D54" s="2"/>
      <c r="E54" s="2"/>
      <c r="F54" s="2"/>
      <c r="G54" s="1"/>
      <c r="H54" s="1"/>
      <c r="I54" s="7">
        <v>0.051</v>
      </c>
      <c r="J54" s="7">
        <f>IF((I54-ROUNDDOWN(I54,0))=0, 0, (I54-ROUNDDOWN(I54,0)))</f>
      </c>
      <c r="K54" s="7">
        <f>INDIRECT("C$"&amp;2+MIN(2,ROUNDDOWN(I54,0))*3)*(-$J54^3+3*$J54^2-3*$J54+1)+INDIRECT("C$"&amp;3+MIN(2,ROUNDDOWN(I54,0))*3)*(3*$J54^3-6*$J54^2+3*$J54)+INDIRECT("C$"&amp;4+MIN(2,ROUNDDOWN(I54,0))*3)*(-3*$J54^3+3*$J54^2)+INDIRECT("C$"&amp;5+MIN(2,ROUNDDOWN(I54,0))*3)*$J54^3</f>
      </c>
      <c r="L54" s="7">
        <f>INDIRECT("D$"&amp;2+MIN(2,ROUNDDOWN(I54,0))*3)*(-$J54^3+3*$J54^2-3*$J54+1)+INDIRECT("D$"&amp;3+MIN(2,ROUNDDOWN(I54,0))*3)*(3*$J54^3-6*$J54^2+3*$J54)+INDIRECT("D$"&amp;4+MIN(2,ROUNDDOWN(I54,0))*3)*(-3*$J54^3+3*$J54^2)+INDIRECT("D$"&amp;5+MIN(2,ROUNDDOWN(I54,0))*3)*$J54^3</f>
      </c>
      <c r="M54" s="7">
        <f>SQRT(K54^2+L54^2)</f>
      </c>
      <c r="N54" s="7">
        <f>(K55-K53)</f>
      </c>
      <c r="O54" s="7">
        <f>+(L55-L53)</f>
      </c>
      <c r="P54" s="7">
        <f>SQRT(O54^2+N54^2)</f>
      </c>
      <c r="Q54" s="7">
        <f>N54/$P54</f>
      </c>
      <c r="R54" s="7">
        <f>O54/$P54</f>
      </c>
      <c r="S54" s="8">
        <f>Q54^2+R54^2</f>
      </c>
      <c r="T54" s="7">
        <f>-R54</f>
      </c>
      <c r="U54" s="7">
        <f>Q54</f>
      </c>
      <c r="V54" s="7">
        <f>INDIRECT("D$"&amp;2+MIN(2,ROUNDDOWN(AD3056,0))*3)*(-$J3056^3+3*$J3056^2-3*$J3056+1)+INDIRECT("D$"&amp;3+MIN(2,ROUNDDOWN(AD3056,0))*3)*(3*$J3056^3-6*$J3056^2+3*$J3056)+INDIRECT("D$"&amp;4+MIN(2,ROUNDDOWN(AD3056,0))*3)*(-3*$J3056^3+3*$J3056^2)+INDIRECT("D$"&amp;5+MIN(2,ROUNDDOWN(AD3056,0))*3)*$J3056^3</f>
      </c>
      <c r="W54" s="7">
        <f>($B$22*I54^4+$C$22*I54^3+$D$22*I54^2+$E$22*I54+$F$22)/2</f>
      </c>
      <c r="X54" s="7">
        <f>($W54)*(T54)</f>
      </c>
      <c r="Y54" s="7">
        <f>($W54)*(U54)</f>
      </c>
      <c r="Z54" s="7">
        <f>SQRT(X54^2+Y54^2)</f>
      </c>
      <c r="AA54" s="7">
        <f>$K54+$X54</f>
      </c>
      <c r="AB54" s="7">
        <f>$L54+$Y54</f>
      </c>
      <c r="AC54" s="7">
        <f>$K54-$X54</f>
      </c>
      <c r="AD54" s="7">
        <f>$L54-$Y54</f>
      </c>
      <c r="AE54" s="7">
        <f>AA54/39.3701</f>
      </c>
      <c r="AF54" s="7">
        <f>AB54/39.3701</f>
      </c>
      <c r="AG54" s="7">
        <f>AC54/39.3701</f>
      </c>
      <c r="AH54" s="7">
        <f>AD54/39.3701</f>
      </c>
      <c r="AI54" s="1"/>
      <c r="AJ54" s="1"/>
      <c r="AK54" s="1"/>
      <c r="AL54" s="1"/>
      <c r="AM54" s="2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</row>
    <row x14ac:dyDescent="0.25" r="55" customHeight="1" ht="18.75">
      <c r="A55" s="1"/>
      <c r="B55" s="2"/>
      <c r="C55" s="2"/>
      <c r="D55" s="2"/>
      <c r="E55" s="2"/>
      <c r="F55" s="2"/>
      <c r="G55" s="1"/>
      <c r="H55" s="1"/>
      <c r="I55" s="7">
        <v>0.052</v>
      </c>
      <c r="J55" s="7">
        <f>IF((I55-ROUNDDOWN(I55,0))=0, 0, (I55-ROUNDDOWN(I55,0)))</f>
      </c>
      <c r="K55" s="7">
        <f>INDIRECT("C$"&amp;2+MIN(2,ROUNDDOWN(I55,0))*3)*(-$J55^3+3*$J55^2-3*$J55+1)+INDIRECT("C$"&amp;3+MIN(2,ROUNDDOWN(I55,0))*3)*(3*$J55^3-6*$J55^2+3*$J55)+INDIRECT("C$"&amp;4+MIN(2,ROUNDDOWN(I55,0))*3)*(-3*$J55^3+3*$J55^2)+INDIRECT("C$"&amp;5+MIN(2,ROUNDDOWN(I55,0))*3)*$J55^3</f>
      </c>
      <c r="L55" s="7">
        <f>INDIRECT("D$"&amp;2+MIN(2,ROUNDDOWN(I55,0))*3)*(-$J55^3+3*$J55^2-3*$J55+1)+INDIRECT("D$"&amp;3+MIN(2,ROUNDDOWN(I55,0))*3)*(3*$J55^3-6*$J55^2+3*$J55)+INDIRECT("D$"&amp;4+MIN(2,ROUNDDOWN(I55,0))*3)*(-3*$J55^3+3*$J55^2)+INDIRECT("D$"&amp;5+MIN(2,ROUNDDOWN(I55,0))*3)*$J55^3</f>
      </c>
      <c r="M55" s="7">
        <f>SQRT(K55^2+L55^2)</f>
      </c>
      <c r="N55" s="7">
        <f>(K56-K54)</f>
      </c>
      <c r="O55" s="7">
        <f>+(L56-L54)</f>
      </c>
      <c r="P55" s="7">
        <f>SQRT(O55^2+N55^2)</f>
      </c>
      <c r="Q55" s="7">
        <f>N55/$P55</f>
      </c>
      <c r="R55" s="7">
        <f>O55/$P55</f>
      </c>
      <c r="S55" s="7">
        <f>Q55^2+R55^2</f>
      </c>
      <c r="T55" s="7">
        <f>-R55</f>
      </c>
      <c r="U55" s="7">
        <f>Q55</f>
      </c>
      <c r="V55" s="7">
        <f>INDIRECT("D$"&amp;2+MIN(2,ROUNDDOWN(AD3057,0))*3)*(-$J3057^3+3*$J3057^2-3*$J3057+1)+INDIRECT("D$"&amp;3+MIN(2,ROUNDDOWN(AD3057,0))*3)*(3*$J3057^3-6*$J3057^2+3*$J3057)+INDIRECT("D$"&amp;4+MIN(2,ROUNDDOWN(AD3057,0))*3)*(-3*$J3057^3+3*$J3057^2)+INDIRECT("D$"&amp;5+MIN(2,ROUNDDOWN(AD3057,0))*3)*$J3057^3</f>
      </c>
      <c r="W55" s="7">
        <f>($B$22*I55^4+$C$22*I55^3+$D$22*I55^2+$E$22*I55+$F$22)/2</f>
      </c>
      <c r="X55" s="7">
        <f>($W55)*(T55)</f>
      </c>
      <c r="Y55" s="7">
        <f>($W55)*(U55)</f>
      </c>
      <c r="Z55" s="7">
        <f>SQRT(X55^2+Y55^2)</f>
      </c>
      <c r="AA55" s="7">
        <f>$K55+$X55</f>
      </c>
      <c r="AB55" s="7">
        <f>$L55+$Y55</f>
      </c>
      <c r="AC55" s="7">
        <f>$K55-$X55</f>
      </c>
      <c r="AD55" s="7">
        <f>$L55-$Y55</f>
      </c>
      <c r="AE55" s="7">
        <f>AA55/39.3701</f>
      </c>
      <c r="AF55" s="7">
        <f>AB55/39.3701</f>
      </c>
      <c r="AG55" s="7">
        <f>AC55/39.3701</f>
      </c>
      <c r="AH55" s="7">
        <f>AD55/39.3701</f>
      </c>
      <c r="AI55" s="1"/>
      <c r="AJ55" s="1"/>
      <c r="AK55" s="1"/>
      <c r="AL55" s="1"/>
      <c r="AM55" s="2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</row>
    <row x14ac:dyDescent="0.25" r="56" customHeight="1" ht="18.75">
      <c r="A56" s="1"/>
      <c r="B56" s="2"/>
      <c r="C56" s="2"/>
      <c r="D56" s="2"/>
      <c r="E56" s="2"/>
      <c r="F56" s="2"/>
      <c r="G56" s="1"/>
      <c r="H56" s="1"/>
      <c r="I56" s="7">
        <v>0.053</v>
      </c>
      <c r="J56" s="7">
        <f>IF((I56-ROUNDDOWN(I56,0))=0, 0, (I56-ROUNDDOWN(I56,0)))</f>
      </c>
      <c r="K56" s="7">
        <f>INDIRECT("C$"&amp;2+MIN(2,ROUNDDOWN(I56,0))*3)*(-$J56^3+3*$J56^2-3*$J56+1)+INDIRECT("C$"&amp;3+MIN(2,ROUNDDOWN(I56,0))*3)*(3*$J56^3-6*$J56^2+3*$J56)+INDIRECT("C$"&amp;4+MIN(2,ROUNDDOWN(I56,0))*3)*(-3*$J56^3+3*$J56^2)+INDIRECT("C$"&amp;5+MIN(2,ROUNDDOWN(I56,0))*3)*$J56^3</f>
      </c>
      <c r="L56" s="7">
        <f>INDIRECT("D$"&amp;2+MIN(2,ROUNDDOWN(I56,0))*3)*(-$J56^3+3*$J56^2-3*$J56+1)+INDIRECT("D$"&amp;3+MIN(2,ROUNDDOWN(I56,0))*3)*(3*$J56^3-6*$J56^2+3*$J56)+INDIRECT("D$"&amp;4+MIN(2,ROUNDDOWN(I56,0))*3)*(-3*$J56^3+3*$J56^2)+INDIRECT("D$"&amp;5+MIN(2,ROUNDDOWN(I56,0))*3)*$J56^3</f>
      </c>
      <c r="M56" s="7">
        <f>SQRT(K56^2+L56^2)</f>
      </c>
      <c r="N56" s="7">
        <f>(K57-K55)</f>
      </c>
      <c r="O56" s="7">
        <f>+(L57-L55)</f>
      </c>
      <c r="P56" s="7">
        <f>SQRT(O56^2+N56^2)</f>
      </c>
      <c r="Q56" s="7">
        <f>N56/$P56</f>
      </c>
      <c r="R56" s="7">
        <f>O56/$P56</f>
      </c>
      <c r="S56" s="8">
        <f>Q56^2+R56^2</f>
      </c>
      <c r="T56" s="7">
        <f>-R56</f>
      </c>
      <c r="U56" s="7">
        <f>Q56</f>
      </c>
      <c r="V56" s="7">
        <f>INDIRECT("D$"&amp;2+MIN(2,ROUNDDOWN(AD3058,0))*3)*(-$J3058^3+3*$J3058^2-3*$J3058+1)+INDIRECT("D$"&amp;3+MIN(2,ROUNDDOWN(AD3058,0))*3)*(3*$J3058^3-6*$J3058^2+3*$J3058)+INDIRECT("D$"&amp;4+MIN(2,ROUNDDOWN(AD3058,0))*3)*(-3*$J3058^3+3*$J3058^2)+INDIRECT("D$"&amp;5+MIN(2,ROUNDDOWN(AD3058,0))*3)*$J3058^3</f>
      </c>
      <c r="W56" s="7">
        <f>($B$22*I56^4+$C$22*I56^3+$D$22*I56^2+$E$22*I56+$F$22)/2</f>
      </c>
      <c r="X56" s="7">
        <f>($W56)*(T56)</f>
      </c>
      <c r="Y56" s="7">
        <f>($W56)*(U56)</f>
      </c>
      <c r="Z56" s="7">
        <f>SQRT(X56^2+Y56^2)</f>
      </c>
      <c r="AA56" s="7">
        <f>$K56+$X56</f>
      </c>
      <c r="AB56" s="7">
        <f>$L56+$Y56</f>
      </c>
      <c r="AC56" s="7">
        <f>$K56-$X56</f>
      </c>
      <c r="AD56" s="7">
        <f>$L56-$Y56</f>
      </c>
      <c r="AE56" s="7">
        <f>AA56/39.3701</f>
      </c>
      <c r="AF56" s="7">
        <f>AB56/39.3701</f>
      </c>
      <c r="AG56" s="7">
        <f>AC56/39.3701</f>
      </c>
      <c r="AH56" s="7">
        <f>AD56/39.3701</f>
      </c>
      <c r="AI56" s="1"/>
      <c r="AJ56" s="1"/>
      <c r="AK56" s="1"/>
      <c r="AL56" s="1"/>
      <c r="AM56" s="2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</row>
    <row x14ac:dyDescent="0.25" r="57" customHeight="1" ht="18.75">
      <c r="A57" s="1"/>
      <c r="B57" s="2"/>
      <c r="C57" s="2"/>
      <c r="D57" s="2"/>
      <c r="E57" s="2"/>
      <c r="F57" s="2"/>
      <c r="G57" s="1"/>
      <c r="H57" s="1"/>
      <c r="I57" s="7">
        <v>0.054</v>
      </c>
      <c r="J57" s="7">
        <f>IF((I57-ROUNDDOWN(I57,0))=0, 0, (I57-ROUNDDOWN(I57,0)))</f>
      </c>
      <c r="K57" s="7">
        <f>INDIRECT("C$"&amp;2+MIN(2,ROUNDDOWN(I57,0))*3)*(-$J57^3+3*$J57^2-3*$J57+1)+INDIRECT("C$"&amp;3+MIN(2,ROUNDDOWN(I57,0))*3)*(3*$J57^3-6*$J57^2+3*$J57)+INDIRECT("C$"&amp;4+MIN(2,ROUNDDOWN(I57,0))*3)*(-3*$J57^3+3*$J57^2)+INDIRECT("C$"&amp;5+MIN(2,ROUNDDOWN(I57,0))*3)*$J57^3</f>
      </c>
      <c r="L57" s="7">
        <f>INDIRECT("D$"&amp;2+MIN(2,ROUNDDOWN(I57,0))*3)*(-$J57^3+3*$J57^2-3*$J57+1)+INDIRECT("D$"&amp;3+MIN(2,ROUNDDOWN(I57,0))*3)*(3*$J57^3-6*$J57^2+3*$J57)+INDIRECT("D$"&amp;4+MIN(2,ROUNDDOWN(I57,0))*3)*(-3*$J57^3+3*$J57^2)+INDIRECT("D$"&amp;5+MIN(2,ROUNDDOWN(I57,0))*3)*$J57^3</f>
      </c>
      <c r="M57" s="7">
        <f>SQRT(K57^2+L57^2)</f>
      </c>
      <c r="N57" s="7">
        <f>(K58-K56)</f>
      </c>
      <c r="O57" s="7">
        <f>+(L58-L56)</f>
      </c>
      <c r="P57" s="7">
        <f>SQRT(O57^2+N57^2)</f>
      </c>
      <c r="Q57" s="7">
        <f>N57/$P57</f>
      </c>
      <c r="R57" s="7">
        <f>O57/$P57</f>
      </c>
      <c r="S57" s="8">
        <f>Q57^2+R57^2</f>
      </c>
      <c r="T57" s="7">
        <f>-R57</f>
      </c>
      <c r="U57" s="7">
        <f>Q57</f>
      </c>
      <c r="V57" s="7">
        <f>INDIRECT("D$"&amp;2+MIN(2,ROUNDDOWN(AD3059,0))*3)*(-$J3059^3+3*$J3059^2-3*$J3059+1)+INDIRECT("D$"&amp;3+MIN(2,ROUNDDOWN(AD3059,0))*3)*(3*$J3059^3-6*$J3059^2+3*$J3059)+INDIRECT("D$"&amp;4+MIN(2,ROUNDDOWN(AD3059,0))*3)*(-3*$J3059^3+3*$J3059^2)+INDIRECT("D$"&amp;5+MIN(2,ROUNDDOWN(AD3059,0))*3)*$J3059^3</f>
      </c>
      <c r="W57" s="7">
        <f>($B$22*I57^4+$C$22*I57^3+$D$22*I57^2+$E$22*I57+$F$22)/2</f>
      </c>
      <c r="X57" s="7">
        <f>($W57)*(T57)</f>
      </c>
      <c r="Y57" s="7">
        <f>($W57)*(U57)</f>
      </c>
      <c r="Z57" s="7">
        <f>SQRT(X57^2+Y57^2)</f>
      </c>
      <c r="AA57" s="7">
        <f>$K57+$X57</f>
      </c>
      <c r="AB57" s="7">
        <f>$L57+$Y57</f>
      </c>
      <c r="AC57" s="7">
        <f>$K57-$X57</f>
      </c>
      <c r="AD57" s="7">
        <f>$L57-$Y57</f>
      </c>
      <c r="AE57" s="7">
        <f>AA57/39.3701</f>
      </c>
      <c r="AF57" s="7">
        <f>AB57/39.3701</f>
      </c>
      <c r="AG57" s="7">
        <f>AC57/39.3701</f>
      </c>
      <c r="AH57" s="7">
        <f>AD57/39.3701</f>
      </c>
      <c r="AI57" s="1"/>
      <c r="AJ57" s="1"/>
      <c r="AK57" s="1"/>
      <c r="AL57" s="1"/>
      <c r="AM57" s="2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</row>
    <row x14ac:dyDescent="0.25" r="58" customHeight="1" ht="18.75">
      <c r="A58" s="1"/>
      <c r="B58" s="2"/>
      <c r="C58" s="2"/>
      <c r="D58" s="2"/>
      <c r="E58" s="2"/>
      <c r="F58" s="2"/>
      <c r="G58" s="1"/>
      <c r="H58" s="1"/>
      <c r="I58" s="7">
        <v>0.055</v>
      </c>
      <c r="J58" s="7">
        <f>IF((I58-ROUNDDOWN(I58,0))=0, 0, (I58-ROUNDDOWN(I58,0)))</f>
      </c>
      <c r="K58" s="7">
        <f>INDIRECT("C$"&amp;2+MIN(2,ROUNDDOWN(I58,0))*3)*(-$J58^3+3*$J58^2-3*$J58+1)+INDIRECT("C$"&amp;3+MIN(2,ROUNDDOWN(I58,0))*3)*(3*$J58^3-6*$J58^2+3*$J58)+INDIRECT("C$"&amp;4+MIN(2,ROUNDDOWN(I58,0))*3)*(-3*$J58^3+3*$J58^2)+INDIRECT("C$"&amp;5+MIN(2,ROUNDDOWN(I58,0))*3)*$J58^3</f>
      </c>
      <c r="L58" s="7">
        <f>INDIRECT("D$"&amp;2+MIN(2,ROUNDDOWN(I58,0))*3)*(-$J58^3+3*$J58^2-3*$J58+1)+INDIRECT("D$"&amp;3+MIN(2,ROUNDDOWN(I58,0))*3)*(3*$J58^3-6*$J58^2+3*$J58)+INDIRECT("D$"&amp;4+MIN(2,ROUNDDOWN(I58,0))*3)*(-3*$J58^3+3*$J58^2)+INDIRECT("D$"&amp;5+MIN(2,ROUNDDOWN(I58,0))*3)*$J58^3</f>
      </c>
      <c r="M58" s="7">
        <f>SQRT(K58^2+L58^2)</f>
      </c>
      <c r="N58" s="7">
        <f>(K59-K57)</f>
      </c>
      <c r="O58" s="7">
        <f>+(L59-L57)</f>
      </c>
      <c r="P58" s="7">
        <f>SQRT(O58^2+N58^2)</f>
      </c>
      <c r="Q58" s="7">
        <f>N58/$P58</f>
      </c>
      <c r="R58" s="7">
        <f>O58/$P58</f>
      </c>
      <c r="S58" s="7">
        <f>Q58^2+R58^2</f>
      </c>
      <c r="T58" s="7">
        <f>-R58</f>
      </c>
      <c r="U58" s="7">
        <f>Q58</f>
      </c>
      <c r="V58" s="7">
        <f>INDIRECT("D$"&amp;2+MIN(2,ROUNDDOWN(AD3060,0))*3)*(-$J3060^3+3*$J3060^2-3*$J3060+1)+INDIRECT("D$"&amp;3+MIN(2,ROUNDDOWN(AD3060,0))*3)*(3*$J3060^3-6*$J3060^2+3*$J3060)+INDIRECT("D$"&amp;4+MIN(2,ROUNDDOWN(AD3060,0))*3)*(-3*$J3060^3+3*$J3060^2)+INDIRECT("D$"&amp;5+MIN(2,ROUNDDOWN(AD3060,0))*3)*$J3060^3</f>
      </c>
      <c r="W58" s="7">
        <f>($B$22*I58^4+$C$22*I58^3+$D$22*I58^2+$E$22*I58+$F$22)/2</f>
      </c>
      <c r="X58" s="7">
        <f>($W58)*(T58)</f>
      </c>
      <c r="Y58" s="7">
        <f>($W58)*(U58)</f>
      </c>
      <c r="Z58" s="7">
        <f>SQRT(X58^2+Y58^2)</f>
      </c>
      <c r="AA58" s="7">
        <f>$K58+$X58</f>
      </c>
      <c r="AB58" s="7">
        <f>$L58+$Y58</f>
      </c>
      <c r="AC58" s="7">
        <f>$K58-$X58</f>
      </c>
      <c r="AD58" s="7">
        <f>$L58-$Y58</f>
      </c>
      <c r="AE58" s="7">
        <f>AA58/39.3701</f>
      </c>
      <c r="AF58" s="7">
        <f>AB58/39.3701</f>
      </c>
      <c r="AG58" s="7">
        <f>AC58/39.3701</f>
      </c>
      <c r="AH58" s="7">
        <f>AD58/39.3701</f>
      </c>
      <c r="AI58" s="1"/>
      <c r="AJ58" s="1"/>
      <c r="AK58" s="1"/>
      <c r="AL58" s="1"/>
      <c r="AM58" s="2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</row>
    <row x14ac:dyDescent="0.25" r="59" customHeight="1" ht="18.75">
      <c r="A59" s="1"/>
      <c r="B59" s="2"/>
      <c r="C59" s="2"/>
      <c r="D59" s="2"/>
      <c r="E59" s="2"/>
      <c r="F59" s="2"/>
      <c r="G59" s="1"/>
      <c r="H59" s="1"/>
      <c r="I59" s="7">
        <v>0.056</v>
      </c>
      <c r="J59" s="7">
        <f>IF((I59-ROUNDDOWN(I59,0))=0, 0, (I59-ROUNDDOWN(I59,0)))</f>
      </c>
      <c r="K59" s="7">
        <f>INDIRECT("C$"&amp;2+MIN(2,ROUNDDOWN(I59,0))*3)*(-$J59^3+3*$J59^2-3*$J59+1)+INDIRECT("C$"&amp;3+MIN(2,ROUNDDOWN(I59,0))*3)*(3*$J59^3-6*$J59^2+3*$J59)+INDIRECT("C$"&amp;4+MIN(2,ROUNDDOWN(I59,0))*3)*(-3*$J59^3+3*$J59^2)+INDIRECT("C$"&amp;5+MIN(2,ROUNDDOWN(I59,0))*3)*$J59^3</f>
      </c>
      <c r="L59" s="7">
        <f>INDIRECT("D$"&amp;2+MIN(2,ROUNDDOWN(I59,0))*3)*(-$J59^3+3*$J59^2-3*$J59+1)+INDIRECT("D$"&amp;3+MIN(2,ROUNDDOWN(I59,0))*3)*(3*$J59^3-6*$J59^2+3*$J59)+INDIRECT("D$"&amp;4+MIN(2,ROUNDDOWN(I59,0))*3)*(-3*$J59^3+3*$J59^2)+INDIRECT("D$"&amp;5+MIN(2,ROUNDDOWN(I59,0))*3)*$J59^3</f>
      </c>
      <c r="M59" s="7">
        <f>SQRT(K59^2+L59^2)</f>
      </c>
      <c r="N59" s="7">
        <f>(K60-K58)</f>
      </c>
      <c r="O59" s="7">
        <f>+(L60-L58)</f>
      </c>
      <c r="P59" s="7">
        <f>SQRT(O59^2+N59^2)</f>
      </c>
      <c r="Q59" s="7">
        <f>N59/$P59</f>
      </c>
      <c r="R59" s="7">
        <f>O59/$P59</f>
      </c>
      <c r="S59" s="7">
        <f>Q59^2+R59^2</f>
      </c>
      <c r="T59" s="7">
        <f>-R59</f>
      </c>
      <c r="U59" s="7">
        <f>Q59</f>
      </c>
      <c r="V59" s="7">
        <f>INDIRECT("D$"&amp;2+MIN(2,ROUNDDOWN(AD3061,0))*3)*(-$J3061^3+3*$J3061^2-3*$J3061+1)+INDIRECT("D$"&amp;3+MIN(2,ROUNDDOWN(AD3061,0))*3)*(3*$J3061^3-6*$J3061^2+3*$J3061)+INDIRECT("D$"&amp;4+MIN(2,ROUNDDOWN(AD3061,0))*3)*(-3*$J3061^3+3*$J3061^2)+INDIRECT("D$"&amp;5+MIN(2,ROUNDDOWN(AD3061,0))*3)*$J3061^3</f>
      </c>
      <c r="W59" s="7">
        <f>($B$22*I59^4+$C$22*I59^3+$D$22*I59^2+$E$22*I59+$F$22)/2</f>
      </c>
      <c r="X59" s="7">
        <f>($W59)*(T59)</f>
      </c>
      <c r="Y59" s="7">
        <f>($W59)*(U59)</f>
      </c>
      <c r="Z59" s="7">
        <f>SQRT(X59^2+Y59^2)</f>
      </c>
      <c r="AA59" s="7">
        <f>$K59+$X59</f>
      </c>
      <c r="AB59" s="7">
        <f>$L59+$Y59</f>
      </c>
      <c r="AC59" s="7">
        <f>$K59-$X59</f>
      </c>
      <c r="AD59" s="7">
        <f>$L59-$Y59</f>
      </c>
      <c r="AE59" s="7">
        <f>AA59/39.3701</f>
      </c>
      <c r="AF59" s="7">
        <f>AB59/39.3701</f>
      </c>
      <c r="AG59" s="7">
        <f>AC59/39.3701</f>
      </c>
      <c r="AH59" s="7">
        <f>AD59/39.3701</f>
      </c>
      <c r="AI59" s="1"/>
      <c r="AJ59" s="1"/>
      <c r="AK59" s="1"/>
      <c r="AL59" s="1"/>
      <c r="AM59" s="2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</row>
    <row x14ac:dyDescent="0.25" r="60" customHeight="1" ht="18.75">
      <c r="A60" s="1"/>
      <c r="B60" s="2"/>
      <c r="C60" s="2"/>
      <c r="D60" s="2"/>
      <c r="E60" s="2"/>
      <c r="F60" s="2"/>
      <c r="G60" s="1"/>
      <c r="H60" s="1"/>
      <c r="I60" s="7">
        <v>0.057</v>
      </c>
      <c r="J60" s="7">
        <f>IF((I60-ROUNDDOWN(I60,0))=0, 0, (I60-ROUNDDOWN(I60,0)))</f>
      </c>
      <c r="K60" s="7">
        <f>INDIRECT("C$"&amp;2+MIN(2,ROUNDDOWN(I60,0))*3)*(-$J60^3+3*$J60^2-3*$J60+1)+INDIRECT("C$"&amp;3+MIN(2,ROUNDDOWN(I60,0))*3)*(3*$J60^3-6*$J60^2+3*$J60)+INDIRECT("C$"&amp;4+MIN(2,ROUNDDOWN(I60,0))*3)*(-3*$J60^3+3*$J60^2)+INDIRECT("C$"&amp;5+MIN(2,ROUNDDOWN(I60,0))*3)*$J60^3</f>
      </c>
      <c r="L60" s="7">
        <f>INDIRECT("D$"&amp;2+MIN(2,ROUNDDOWN(I60,0))*3)*(-$J60^3+3*$J60^2-3*$J60+1)+INDIRECT("D$"&amp;3+MIN(2,ROUNDDOWN(I60,0))*3)*(3*$J60^3-6*$J60^2+3*$J60)+INDIRECT("D$"&amp;4+MIN(2,ROUNDDOWN(I60,0))*3)*(-3*$J60^3+3*$J60^2)+INDIRECT("D$"&amp;5+MIN(2,ROUNDDOWN(I60,0))*3)*$J60^3</f>
      </c>
      <c r="M60" s="7">
        <f>SQRT(K60^2+L60^2)</f>
      </c>
      <c r="N60" s="7">
        <f>(K61-K59)</f>
      </c>
      <c r="O60" s="7">
        <f>+(L61-L59)</f>
      </c>
      <c r="P60" s="7">
        <f>SQRT(O60^2+N60^2)</f>
      </c>
      <c r="Q60" s="7">
        <f>N60/$P60</f>
      </c>
      <c r="R60" s="7">
        <f>O60/$P60</f>
      </c>
      <c r="S60" s="8">
        <f>Q60^2+R60^2</f>
      </c>
      <c r="T60" s="7">
        <f>-R60</f>
      </c>
      <c r="U60" s="7">
        <f>Q60</f>
      </c>
      <c r="V60" s="7">
        <f>INDIRECT("D$"&amp;2+MIN(2,ROUNDDOWN(AD3062,0))*3)*(-$J3062^3+3*$J3062^2-3*$J3062+1)+INDIRECT("D$"&amp;3+MIN(2,ROUNDDOWN(AD3062,0))*3)*(3*$J3062^3-6*$J3062^2+3*$J3062)+INDIRECT("D$"&amp;4+MIN(2,ROUNDDOWN(AD3062,0))*3)*(-3*$J3062^3+3*$J3062^2)+INDIRECT("D$"&amp;5+MIN(2,ROUNDDOWN(AD3062,0))*3)*$J3062^3</f>
      </c>
      <c r="W60" s="7">
        <f>($B$22*I60^4+$C$22*I60^3+$D$22*I60^2+$E$22*I60+$F$22)/2</f>
      </c>
      <c r="X60" s="7">
        <f>($W60)*(T60)</f>
      </c>
      <c r="Y60" s="7">
        <f>($W60)*(U60)</f>
      </c>
      <c r="Z60" s="7">
        <f>SQRT(X60^2+Y60^2)</f>
      </c>
      <c r="AA60" s="7">
        <f>$K60+$X60</f>
      </c>
      <c r="AB60" s="7">
        <f>$L60+$Y60</f>
      </c>
      <c r="AC60" s="7">
        <f>$K60-$X60</f>
      </c>
      <c r="AD60" s="7">
        <f>$L60-$Y60</f>
      </c>
      <c r="AE60" s="7">
        <f>AA60/39.3701</f>
      </c>
      <c r="AF60" s="7">
        <f>AB60/39.3701</f>
      </c>
      <c r="AG60" s="7">
        <f>AC60/39.3701</f>
      </c>
      <c r="AH60" s="7">
        <f>AD60/39.3701</f>
      </c>
      <c r="AI60" s="1"/>
      <c r="AJ60" s="1"/>
      <c r="AK60" s="1"/>
      <c r="AL60" s="1"/>
      <c r="AM60" s="2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</row>
    <row x14ac:dyDescent="0.25" r="61" customHeight="1" ht="18.75">
      <c r="A61" s="1"/>
      <c r="B61" s="2"/>
      <c r="C61" s="2"/>
      <c r="D61" s="2"/>
      <c r="E61" s="2"/>
      <c r="F61" s="2"/>
      <c r="G61" s="1"/>
      <c r="H61" s="1"/>
      <c r="I61" s="7">
        <v>0.058</v>
      </c>
      <c r="J61" s="7">
        <f>IF((I61-ROUNDDOWN(I61,0))=0, 0, (I61-ROUNDDOWN(I61,0)))</f>
      </c>
      <c r="K61" s="7">
        <f>INDIRECT("C$"&amp;2+MIN(2,ROUNDDOWN(I61,0))*3)*(-$J61^3+3*$J61^2-3*$J61+1)+INDIRECT("C$"&amp;3+MIN(2,ROUNDDOWN(I61,0))*3)*(3*$J61^3-6*$J61^2+3*$J61)+INDIRECT("C$"&amp;4+MIN(2,ROUNDDOWN(I61,0))*3)*(-3*$J61^3+3*$J61^2)+INDIRECT("C$"&amp;5+MIN(2,ROUNDDOWN(I61,0))*3)*$J61^3</f>
      </c>
      <c r="L61" s="7">
        <f>INDIRECT("D$"&amp;2+MIN(2,ROUNDDOWN(I61,0))*3)*(-$J61^3+3*$J61^2-3*$J61+1)+INDIRECT("D$"&amp;3+MIN(2,ROUNDDOWN(I61,0))*3)*(3*$J61^3-6*$J61^2+3*$J61)+INDIRECT("D$"&amp;4+MIN(2,ROUNDDOWN(I61,0))*3)*(-3*$J61^3+3*$J61^2)+INDIRECT("D$"&amp;5+MIN(2,ROUNDDOWN(I61,0))*3)*$J61^3</f>
      </c>
      <c r="M61" s="7">
        <f>SQRT(K61^2+L61^2)</f>
      </c>
      <c r="N61" s="7">
        <f>(K62-K60)</f>
      </c>
      <c r="O61" s="7">
        <f>+(L62-L60)</f>
      </c>
      <c r="P61" s="7">
        <f>SQRT(O61^2+N61^2)</f>
      </c>
      <c r="Q61" s="7">
        <f>N61/$P61</f>
      </c>
      <c r="R61" s="7">
        <f>O61/$P61</f>
      </c>
      <c r="S61" s="7">
        <f>Q61^2+R61^2</f>
      </c>
      <c r="T61" s="7">
        <f>-R61</f>
      </c>
      <c r="U61" s="7">
        <f>Q61</f>
      </c>
      <c r="V61" s="7">
        <f>INDIRECT("D$"&amp;2+MIN(2,ROUNDDOWN(AD3063,0))*3)*(-$J3063^3+3*$J3063^2-3*$J3063+1)+INDIRECT("D$"&amp;3+MIN(2,ROUNDDOWN(AD3063,0))*3)*(3*$J3063^3-6*$J3063^2+3*$J3063)+INDIRECT("D$"&amp;4+MIN(2,ROUNDDOWN(AD3063,0))*3)*(-3*$J3063^3+3*$J3063^2)+INDIRECT("D$"&amp;5+MIN(2,ROUNDDOWN(AD3063,0))*3)*$J3063^3</f>
      </c>
      <c r="W61" s="7">
        <f>($B$22*I61^4+$C$22*I61^3+$D$22*I61^2+$E$22*I61+$F$22)/2</f>
      </c>
      <c r="X61" s="7">
        <f>($W61)*(T61)</f>
      </c>
      <c r="Y61" s="7">
        <f>($W61)*(U61)</f>
      </c>
      <c r="Z61" s="7">
        <f>SQRT(X61^2+Y61^2)</f>
      </c>
      <c r="AA61" s="7">
        <f>$K61+$X61</f>
      </c>
      <c r="AB61" s="7">
        <f>$L61+$Y61</f>
      </c>
      <c r="AC61" s="7">
        <f>$K61-$X61</f>
      </c>
      <c r="AD61" s="7">
        <f>$L61-$Y61</f>
      </c>
      <c r="AE61" s="7">
        <f>AA61/39.3701</f>
      </c>
      <c r="AF61" s="7">
        <f>AB61/39.3701</f>
      </c>
      <c r="AG61" s="7">
        <f>AC61/39.3701</f>
      </c>
      <c r="AH61" s="7">
        <f>AD61/39.3701</f>
      </c>
      <c r="AI61" s="1"/>
      <c r="AJ61" s="1"/>
      <c r="AK61" s="1"/>
      <c r="AL61" s="1"/>
      <c r="AM61" s="2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</row>
    <row x14ac:dyDescent="0.25" r="62" customHeight="1" ht="18.75">
      <c r="A62" s="1"/>
      <c r="B62" s="2"/>
      <c r="C62" s="2"/>
      <c r="D62" s="2"/>
      <c r="E62" s="2"/>
      <c r="F62" s="2"/>
      <c r="G62" s="1"/>
      <c r="H62" s="1"/>
      <c r="I62" s="7">
        <v>0.059</v>
      </c>
      <c r="J62" s="7">
        <f>IF((I62-ROUNDDOWN(I62,0))=0, 0, (I62-ROUNDDOWN(I62,0)))</f>
      </c>
      <c r="K62" s="7">
        <f>INDIRECT("C$"&amp;2+MIN(2,ROUNDDOWN(I62,0))*3)*(-$J62^3+3*$J62^2-3*$J62+1)+INDIRECT("C$"&amp;3+MIN(2,ROUNDDOWN(I62,0))*3)*(3*$J62^3-6*$J62^2+3*$J62)+INDIRECT("C$"&amp;4+MIN(2,ROUNDDOWN(I62,0))*3)*(-3*$J62^3+3*$J62^2)+INDIRECT("C$"&amp;5+MIN(2,ROUNDDOWN(I62,0))*3)*$J62^3</f>
      </c>
      <c r="L62" s="7">
        <f>INDIRECT("D$"&amp;2+MIN(2,ROUNDDOWN(I62,0))*3)*(-$J62^3+3*$J62^2-3*$J62+1)+INDIRECT("D$"&amp;3+MIN(2,ROUNDDOWN(I62,0))*3)*(3*$J62^3-6*$J62^2+3*$J62)+INDIRECT("D$"&amp;4+MIN(2,ROUNDDOWN(I62,0))*3)*(-3*$J62^3+3*$J62^2)+INDIRECT("D$"&amp;5+MIN(2,ROUNDDOWN(I62,0))*3)*$J62^3</f>
      </c>
      <c r="M62" s="7">
        <f>SQRT(K62^2+L62^2)</f>
      </c>
      <c r="N62" s="7">
        <f>(K63-K61)</f>
      </c>
      <c r="O62" s="7">
        <f>+(L63-L61)</f>
      </c>
      <c r="P62" s="7">
        <f>SQRT(O62^2+N62^2)</f>
      </c>
      <c r="Q62" s="7">
        <f>N62/$P62</f>
      </c>
      <c r="R62" s="7">
        <f>O62/$P62</f>
      </c>
      <c r="S62" s="7">
        <f>Q62^2+R62^2</f>
      </c>
      <c r="T62" s="7">
        <f>-R62</f>
      </c>
      <c r="U62" s="7">
        <f>Q62</f>
      </c>
      <c r="V62" s="7">
        <f>INDIRECT("D$"&amp;2+MIN(2,ROUNDDOWN(AD3064,0))*3)*(-$J3064^3+3*$J3064^2-3*$J3064+1)+INDIRECT("D$"&amp;3+MIN(2,ROUNDDOWN(AD3064,0))*3)*(3*$J3064^3-6*$J3064^2+3*$J3064)+INDIRECT("D$"&amp;4+MIN(2,ROUNDDOWN(AD3064,0))*3)*(-3*$J3064^3+3*$J3064^2)+INDIRECT("D$"&amp;5+MIN(2,ROUNDDOWN(AD3064,0))*3)*$J3064^3</f>
      </c>
      <c r="W62" s="7">
        <f>($B$22*I62^4+$C$22*I62^3+$D$22*I62^2+$E$22*I62+$F$22)/2</f>
      </c>
      <c r="X62" s="7">
        <f>($W62)*(T62)</f>
      </c>
      <c r="Y62" s="7">
        <f>($W62)*(U62)</f>
      </c>
      <c r="Z62" s="7">
        <f>SQRT(X62^2+Y62^2)</f>
      </c>
      <c r="AA62" s="7">
        <f>$K62+$X62</f>
      </c>
      <c r="AB62" s="7">
        <f>$L62+$Y62</f>
      </c>
      <c r="AC62" s="7">
        <f>$K62-$X62</f>
      </c>
      <c r="AD62" s="7">
        <f>$L62-$Y62</f>
      </c>
      <c r="AE62" s="7">
        <f>AA62/39.3701</f>
      </c>
      <c r="AF62" s="7">
        <f>AB62/39.3701</f>
      </c>
      <c r="AG62" s="7">
        <f>AC62/39.3701</f>
      </c>
      <c r="AH62" s="7">
        <f>AD62/39.3701</f>
      </c>
      <c r="AI62" s="1"/>
      <c r="AJ62" s="1"/>
      <c r="AK62" s="1"/>
      <c r="AL62" s="1"/>
      <c r="AM62" s="2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</row>
    <row x14ac:dyDescent="0.25" r="63" customHeight="1" ht="18.75">
      <c r="A63" s="1"/>
      <c r="B63" s="2"/>
      <c r="C63" s="2"/>
      <c r="D63" s="2"/>
      <c r="E63" s="2"/>
      <c r="F63" s="2"/>
      <c r="G63" s="1"/>
      <c r="H63" s="1"/>
      <c r="I63" s="7">
        <v>0.06</v>
      </c>
      <c r="J63" s="7">
        <f>IF((I63-ROUNDDOWN(I63,0))=0, 0, (I63-ROUNDDOWN(I63,0)))</f>
      </c>
      <c r="K63" s="7">
        <f>INDIRECT("C$"&amp;2+MIN(2,ROUNDDOWN(I63,0))*3)*(-$J63^3+3*$J63^2-3*$J63+1)+INDIRECT("C$"&amp;3+MIN(2,ROUNDDOWN(I63,0))*3)*(3*$J63^3-6*$J63^2+3*$J63)+INDIRECT("C$"&amp;4+MIN(2,ROUNDDOWN(I63,0))*3)*(-3*$J63^3+3*$J63^2)+INDIRECT("C$"&amp;5+MIN(2,ROUNDDOWN(I63,0))*3)*$J63^3</f>
      </c>
      <c r="L63" s="7">
        <f>INDIRECT("D$"&amp;2+MIN(2,ROUNDDOWN(I63,0))*3)*(-$J63^3+3*$J63^2-3*$J63+1)+INDIRECT("D$"&amp;3+MIN(2,ROUNDDOWN(I63,0))*3)*(3*$J63^3-6*$J63^2+3*$J63)+INDIRECT("D$"&amp;4+MIN(2,ROUNDDOWN(I63,0))*3)*(-3*$J63^3+3*$J63^2)+INDIRECT("D$"&amp;5+MIN(2,ROUNDDOWN(I63,0))*3)*$J63^3</f>
      </c>
      <c r="M63" s="7">
        <f>SQRT(K63^2+L63^2)</f>
      </c>
      <c r="N63" s="7">
        <f>(K64-K62)</f>
      </c>
      <c r="O63" s="7">
        <f>+(L64-L62)</f>
      </c>
      <c r="P63" s="7">
        <f>SQRT(O63^2+N63^2)</f>
      </c>
      <c r="Q63" s="7">
        <f>N63/$P63</f>
      </c>
      <c r="R63" s="7">
        <f>O63/$P63</f>
      </c>
      <c r="S63" s="7">
        <f>Q63^2+R63^2</f>
      </c>
      <c r="T63" s="7">
        <f>-R63</f>
      </c>
      <c r="U63" s="7">
        <f>Q63</f>
      </c>
      <c r="V63" s="7">
        <f>INDIRECT("D$"&amp;2+MIN(2,ROUNDDOWN(AD3065,0))*3)*(-$J3065^3+3*$J3065^2-3*$J3065+1)+INDIRECT("D$"&amp;3+MIN(2,ROUNDDOWN(AD3065,0))*3)*(3*$J3065^3-6*$J3065^2+3*$J3065)+INDIRECT("D$"&amp;4+MIN(2,ROUNDDOWN(AD3065,0))*3)*(-3*$J3065^3+3*$J3065^2)+INDIRECT("D$"&amp;5+MIN(2,ROUNDDOWN(AD3065,0))*3)*$J3065^3</f>
      </c>
      <c r="W63" s="7">
        <f>($B$22*I63^4+$C$22*I63^3+$D$22*I63^2+$E$22*I63+$F$22)/2</f>
      </c>
      <c r="X63" s="7">
        <f>($W63)*(T63)</f>
      </c>
      <c r="Y63" s="7">
        <f>($W63)*(U63)</f>
      </c>
      <c r="Z63" s="7">
        <f>SQRT(X63^2+Y63^2)</f>
      </c>
      <c r="AA63" s="7">
        <f>$K63+$X63</f>
      </c>
      <c r="AB63" s="7">
        <f>$L63+$Y63</f>
      </c>
      <c r="AC63" s="7">
        <f>$K63-$X63</f>
      </c>
      <c r="AD63" s="7">
        <f>$L63-$Y63</f>
      </c>
      <c r="AE63" s="7">
        <f>AA63/39.3701</f>
      </c>
      <c r="AF63" s="7">
        <f>AB63/39.3701</f>
      </c>
      <c r="AG63" s="7">
        <f>AC63/39.3701</f>
      </c>
      <c r="AH63" s="7">
        <f>AD63/39.3701</f>
      </c>
      <c r="AI63" s="1"/>
      <c r="AJ63" s="1"/>
      <c r="AK63" s="1"/>
      <c r="AL63" s="1"/>
      <c r="AM63" s="2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</row>
    <row x14ac:dyDescent="0.25" r="64" customHeight="1" ht="18.75">
      <c r="A64" s="1"/>
      <c r="B64" s="2"/>
      <c r="C64" s="2"/>
      <c r="D64" s="2"/>
      <c r="E64" s="2"/>
      <c r="F64" s="2"/>
      <c r="G64" s="1"/>
      <c r="H64" s="1"/>
      <c r="I64" s="7">
        <v>0.061</v>
      </c>
      <c r="J64" s="7">
        <f>IF((I64-ROUNDDOWN(I64,0))=0, 0, (I64-ROUNDDOWN(I64,0)))</f>
      </c>
      <c r="K64" s="7">
        <f>INDIRECT("C$"&amp;2+MIN(2,ROUNDDOWN(I64,0))*3)*(-$J64^3+3*$J64^2-3*$J64+1)+INDIRECT("C$"&amp;3+MIN(2,ROUNDDOWN(I64,0))*3)*(3*$J64^3-6*$J64^2+3*$J64)+INDIRECT("C$"&amp;4+MIN(2,ROUNDDOWN(I64,0))*3)*(-3*$J64^3+3*$J64^2)+INDIRECT("C$"&amp;5+MIN(2,ROUNDDOWN(I64,0))*3)*$J64^3</f>
      </c>
      <c r="L64" s="7">
        <f>INDIRECT("D$"&amp;2+MIN(2,ROUNDDOWN(I64,0))*3)*(-$J64^3+3*$J64^2-3*$J64+1)+INDIRECT("D$"&amp;3+MIN(2,ROUNDDOWN(I64,0))*3)*(3*$J64^3-6*$J64^2+3*$J64)+INDIRECT("D$"&amp;4+MIN(2,ROUNDDOWN(I64,0))*3)*(-3*$J64^3+3*$J64^2)+INDIRECT("D$"&amp;5+MIN(2,ROUNDDOWN(I64,0))*3)*$J64^3</f>
      </c>
      <c r="M64" s="7">
        <f>SQRT(K64^2+L64^2)</f>
      </c>
      <c r="N64" s="7">
        <f>(K65-K63)</f>
      </c>
      <c r="O64" s="7">
        <f>+(L65-L63)</f>
      </c>
      <c r="P64" s="7">
        <f>SQRT(O64^2+N64^2)</f>
      </c>
      <c r="Q64" s="7">
        <f>N64/$P64</f>
      </c>
      <c r="R64" s="7">
        <f>O64/$P64</f>
      </c>
      <c r="S64" s="7">
        <f>Q64^2+R64^2</f>
      </c>
      <c r="T64" s="7">
        <f>-R64</f>
      </c>
      <c r="U64" s="7">
        <f>Q64</f>
      </c>
      <c r="V64" s="7">
        <f>INDIRECT("D$"&amp;2+MIN(2,ROUNDDOWN(AD3066,0))*3)*(-$J3066^3+3*$J3066^2-3*$J3066+1)+INDIRECT("D$"&amp;3+MIN(2,ROUNDDOWN(AD3066,0))*3)*(3*$J3066^3-6*$J3066^2+3*$J3066)+INDIRECT("D$"&amp;4+MIN(2,ROUNDDOWN(AD3066,0))*3)*(-3*$J3066^3+3*$J3066^2)+INDIRECT("D$"&amp;5+MIN(2,ROUNDDOWN(AD3066,0))*3)*$J3066^3</f>
      </c>
      <c r="W64" s="7">
        <f>($B$22*I64^4+$C$22*I64^3+$D$22*I64^2+$E$22*I64+$F$22)/2</f>
      </c>
      <c r="X64" s="7">
        <f>($W64)*(T64)</f>
      </c>
      <c r="Y64" s="7">
        <f>($W64)*(U64)</f>
      </c>
      <c r="Z64" s="7">
        <f>SQRT(X64^2+Y64^2)</f>
      </c>
      <c r="AA64" s="7">
        <f>$K64+$X64</f>
      </c>
      <c r="AB64" s="7">
        <f>$L64+$Y64</f>
      </c>
      <c r="AC64" s="7">
        <f>$K64-$X64</f>
      </c>
      <c r="AD64" s="7">
        <f>$L64-$Y64</f>
      </c>
      <c r="AE64" s="7">
        <f>AA64/39.3701</f>
      </c>
      <c r="AF64" s="7">
        <f>AB64/39.3701</f>
      </c>
      <c r="AG64" s="7">
        <f>AC64/39.3701</f>
      </c>
      <c r="AH64" s="7">
        <f>AD64/39.3701</f>
      </c>
      <c r="AI64" s="1"/>
      <c r="AJ64" s="1"/>
      <c r="AK64" s="1"/>
      <c r="AL64" s="1"/>
      <c r="AM64" s="2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</row>
    <row x14ac:dyDescent="0.25" r="65" customHeight="1" ht="18.75">
      <c r="A65" s="1"/>
      <c r="B65" s="2"/>
      <c r="C65" s="2"/>
      <c r="D65" s="2"/>
      <c r="E65" s="2"/>
      <c r="F65" s="2"/>
      <c r="G65" s="1"/>
      <c r="H65" s="1"/>
      <c r="I65" s="7">
        <v>0.062</v>
      </c>
      <c r="J65" s="7">
        <f>IF((I65-ROUNDDOWN(I65,0))=0, 0, (I65-ROUNDDOWN(I65,0)))</f>
      </c>
      <c r="K65" s="7">
        <f>INDIRECT("C$"&amp;2+MIN(2,ROUNDDOWN(I65,0))*3)*(-$J65^3+3*$J65^2-3*$J65+1)+INDIRECT("C$"&amp;3+MIN(2,ROUNDDOWN(I65,0))*3)*(3*$J65^3-6*$J65^2+3*$J65)+INDIRECT("C$"&amp;4+MIN(2,ROUNDDOWN(I65,0))*3)*(-3*$J65^3+3*$J65^2)+INDIRECT("C$"&amp;5+MIN(2,ROUNDDOWN(I65,0))*3)*$J65^3</f>
      </c>
      <c r="L65" s="7">
        <f>INDIRECT("D$"&amp;2+MIN(2,ROUNDDOWN(I65,0))*3)*(-$J65^3+3*$J65^2-3*$J65+1)+INDIRECT("D$"&amp;3+MIN(2,ROUNDDOWN(I65,0))*3)*(3*$J65^3-6*$J65^2+3*$J65)+INDIRECT("D$"&amp;4+MIN(2,ROUNDDOWN(I65,0))*3)*(-3*$J65^3+3*$J65^2)+INDIRECT("D$"&amp;5+MIN(2,ROUNDDOWN(I65,0))*3)*$J65^3</f>
      </c>
      <c r="M65" s="7">
        <f>SQRT(K65^2+L65^2)</f>
      </c>
      <c r="N65" s="7">
        <f>(K66-K64)</f>
      </c>
      <c r="O65" s="7">
        <f>+(L66-L64)</f>
      </c>
      <c r="P65" s="7">
        <f>SQRT(O65^2+N65^2)</f>
      </c>
      <c r="Q65" s="7">
        <f>N65/$P65</f>
      </c>
      <c r="R65" s="7">
        <f>O65/$P65</f>
      </c>
      <c r="S65" s="7">
        <f>Q65^2+R65^2</f>
      </c>
      <c r="T65" s="7">
        <f>-R65</f>
      </c>
      <c r="U65" s="7">
        <f>Q65</f>
      </c>
      <c r="V65" s="7">
        <f>INDIRECT("D$"&amp;2+MIN(2,ROUNDDOWN(AD3067,0))*3)*(-$J3067^3+3*$J3067^2-3*$J3067+1)+INDIRECT("D$"&amp;3+MIN(2,ROUNDDOWN(AD3067,0))*3)*(3*$J3067^3-6*$J3067^2+3*$J3067)+INDIRECT("D$"&amp;4+MIN(2,ROUNDDOWN(AD3067,0))*3)*(-3*$J3067^3+3*$J3067^2)+INDIRECT("D$"&amp;5+MIN(2,ROUNDDOWN(AD3067,0))*3)*$J3067^3</f>
      </c>
      <c r="W65" s="7">
        <f>($B$22*I65^4+$C$22*I65^3+$D$22*I65^2+$E$22*I65+$F$22)/2</f>
      </c>
      <c r="X65" s="7">
        <f>($W65)*(T65)</f>
      </c>
      <c r="Y65" s="7">
        <f>($W65)*(U65)</f>
      </c>
      <c r="Z65" s="7">
        <f>SQRT(X65^2+Y65^2)</f>
      </c>
      <c r="AA65" s="7">
        <f>$K65+$X65</f>
      </c>
      <c r="AB65" s="7">
        <f>$L65+$Y65</f>
      </c>
      <c r="AC65" s="7">
        <f>$K65-$X65</f>
      </c>
      <c r="AD65" s="7">
        <f>$L65-$Y65</f>
      </c>
      <c r="AE65" s="7">
        <f>AA65/39.3701</f>
      </c>
      <c r="AF65" s="7">
        <f>AB65/39.3701</f>
      </c>
      <c r="AG65" s="7">
        <f>AC65/39.3701</f>
      </c>
      <c r="AH65" s="7">
        <f>AD65/39.3701</f>
      </c>
      <c r="AI65" s="1"/>
      <c r="AJ65" s="1"/>
      <c r="AK65" s="1"/>
      <c r="AL65" s="1"/>
      <c r="AM65" s="2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</row>
    <row x14ac:dyDescent="0.25" r="66" customHeight="1" ht="18.75">
      <c r="A66" s="1"/>
      <c r="B66" s="2"/>
      <c r="C66" s="2"/>
      <c r="D66" s="2"/>
      <c r="E66" s="2"/>
      <c r="F66" s="2"/>
      <c r="G66" s="1"/>
      <c r="H66" s="1"/>
      <c r="I66" s="7">
        <v>0.063</v>
      </c>
      <c r="J66" s="7">
        <f>IF((I66-ROUNDDOWN(I66,0))=0, 0, (I66-ROUNDDOWN(I66,0)))</f>
      </c>
      <c r="K66" s="7">
        <f>INDIRECT("C$"&amp;2+MIN(2,ROUNDDOWN(I66,0))*3)*(-$J66^3+3*$J66^2-3*$J66+1)+INDIRECT("C$"&amp;3+MIN(2,ROUNDDOWN(I66,0))*3)*(3*$J66^3-6*$J66^2+3*$J66)+INDIRECT("C$"&amp;4+MIN(2,ROUNDDOWN(I66,0))*3)*(-3*$J66^3+3*$J66^2)+INDIRECT("C$"&amp;5+MIN(2,ROUNDDOWN(I66,0))*3)*$J66^3</f>
      </c>
      <c r="L66" s="7">
        <f>INDIRECT("D$"&amp;2+MIN(2,ROUNDDOWN(I66,0))*3)*(-$J66^3+3*$J66^2-3*$J66+1)+INDIRECT("D$"&amp;3+MIN(2,ROUNDDOWN(I66,0))*3)*(3*$J66^3-6*$J66^2+3*$J66)+INDIRECT("D$"&amp;4+MIN(2,ROUNDDOWN(I66,0))*3)*(-3*$J66^3+3*$J66^2)+INDIRECT("D$"&amp;5+MIN(2,ROUNDDOWN(I66,0))*3)*$J66^3</f>
      </c>
      <c r="M66" s="7">
        <f>SQRT(K66^2+L66^2)</f>
      </c>
      <c r="N66" s="7">
        <f>(K67-K65)</f>
      </c>
      <c r="O66" s="7">
        <f>+(L67-L65)</f>
      </c>
      <c r="P66" s="7">
        <f>SQRT(O66^2+N66^2)</f>
      </c>
      <c r="Q66" s="7">
        <f>N66/$P66</f>
      </c>
      <c r="R66" s="7">
        <f>O66/$P66</f>
      </c>
      <c r="S66" s="7">
        <f>Q66^2+R66^2</f>
      </c>
      <c r="T66" s="7">
        <f>-R66</f>
      </c>
      <c r="U66" s="7">
        <f>Q66</f>
      </c>
      <c r="V66" s="7">
        <f>INDIRECT("D$"&amp;2+MIN(2,ROUNDDOWN(AD3068,0))*3)*(-$J3068^3+3*$J3068^2-3*$J3068+1)+INDIRECT("D$"&amp;3+MIN(2,ROUNDDOWN(AD3068,0))*3)*(3*$J3068^3-6*$J3068^2+3*$J3068)+INDIRECT("D$"&amp;4+MIN(2,ROUNDDOWN(AD3068,0))*3)*(-3*$J3068^3+3*$J3068^2)+INDIRECT("D$"&amp;5+MIN(2,ROUNDDOWN(AD3068,0))*3)*$J3068^3</f>
      </c>
      <c r="W66" s="7">
        <f>($B$22*I66^4+$C$22*I66^3+$D$22*I66^2+$E$22*I66+$F$22)/2</f>
      </c>
      <c r="X66" s="7">
        <f>($W66)*(T66)</f>
      </c>
      <c r="Y66" s="7">
        <f>($W66)*(U66)</f>
      </c>
      <c r="Z66" s="7">
        <f>SQRT(X66^2+Y66^2)</f>
      </c>
      <c r="AA66" s="7">
        <f>$K66+$X66</f>
      </c>
      <c r="AB66" s="7">
        <f>$L66+$Y66</f>
      </c>
      <c r="AC66" s="7">
        <f>$K66-$X66</f>
      </c>
      <c r="AD66" s="7">
        <f>$L66-$Y66</f>
      </c>
      <c r="AE66" s="7">
        <f>AA66/39.3701</f>
      </c>
      <c r="AF66" s="7">
        <f>AB66/39.3701</f>
      </c>
      <c r="AG66" s="7">
        <f>AC66/39.3701</f>
      </c>
      <c r="AH66" s="7">
        <f>AD66/39.3701</f>
      </c>
      <c r="AI66" s="1"/>
      <c r="AJ66" s="1"/>
      <c r="AK66" s="1"/>
      <c r="AL66" s="1"/>
      <c r="AM66" s="2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</row>
    <row x14ac:dyDescent="0.25" r="67" customHeight="1" ht="18.75">
      <c r="A67" s="1"/>
      <c r="B67" s="2"/>
      <c r="C67" s="2"/>
      <c r="D67" s="2"/>
      <c r="E67" s="2"/>
      <c r="F67" s="2"/>
      <c r="G67" s="1"/>
      <c r="H67" s="1"/>
      <c r="I67" s="7">
        <v>0.064</v>
      </c>
      <c r="J67" s="7">
        <f>IF((I67-ROUNDDOWN(I67,0))=0, 0, (I67-ROUNDDOWN(I67,0)))</f>
      </c>
      <c r="K67" s="7">
        <f>INDIRECT("C$"&amp;2+MIN(2,ROUNDDOWN(I67,0))*3)*(-$J67^3+3*$J67^2-3*$J67+1)+INDIRECT("C$"&amp;3+MIN(2,ROUNDDOWN(I67,0))*3)*(3*$J67^3-6*$J67^2+3*$J67)+INDIRECT("C$"&amp;4+MIN(2,ROUNDDOWN(I67,0))*3)*(-3*$J67^3+3*$J67^2)+INDIRECT("C$"&amp;5+MIN(2,ROUNDDOWN(I67,0))*3)*$J67^3</f>
      </c>
      <c r="L67" s="7">
        <f>INDIRECT("D$"&amp;2+MIN(2,ROUNDDOWN(I67,0))*3)*(-$J67^3+3*$J67^2-3*$J67+1)+INDIRECT("D$"&amp;3+MIN(2,ROUNDDOWN(I67,0))*3)*(3*$J67^3-6*$J67^2+3*$J67)+INDIRECT("D$"&amp;4+MIN(2,ROUNDDOWN(I67,0))*3)*(-3*$J67^3+3*$J67^2)+INDIRECT("D$"&amp;5+MIN(2,ROUNDDOWN(I67,0))*3)*$J67^3</f>
      </c>
      <c r="M67" s="7">
        <f>SQRT(K67^2+L67^2)</f>
      </c>
      <c r="N67" s="7">
        <f>(K68-K66)</f>
      </c>
      <c r="O67" s="7">
        <f>+(L68-L66)</f>
      </c>
      <c r="P67" s="7">
        <f>SQRT(O67^2+N67^2)</f>
      </c>
      <c r="Q67" s="7">
        <f>N67/$P67</f>
      </c>
      <c r="R67" s="7">
        <f>O67/$P67</f>
      </c>
      <c r="S67" s="8">
        <f>Q67^2+R67^2</f>
      </c>
      <c r="T67" s="7">
        <f>-R67</f>
      </c>
      <c r="U67" s="7">
        <f>Q67</f>
      </c>
      <c r="V67" s="7">
        <f>($C$14+($C$15-$C$14)/($D$15-$D$14)*(I67-$D$14))/2</f>
      </c>
      <c r="W67" s="7">
        <f>($B$22*I67^4+$C$22*I67^3+$D$22*I67^2+$E$22*I67+$F$22)/2</f>
      </c>
      <c r="X67" s="7">
        <f>($W67)*(T67)</f>
      </c>
      <c r="Y67" s="7">
        <f>($W67)*(U67)</f>
      </c>
      <c r="Z67" s="7">
        <f>SQRT(X67^2+Y67^2)</f>
      </c>
      <c r="AA67" s="7">
        <f>$K67+$X67</f>
      </c>
      <c r="AB67" s="7">
        <f>$L67+$Y67</f>
      </c>
      <c r="AC67" s="7">
        <f>$K67-$X67</f>
      </c>
      <c r="AD67" s="7">
        <f>$L67-$Y67</f>
      </c>
      <c r="AE67" s="7">
        <f>AA67/39.3701</f>
      </c>
      <c r="AF67" s="7">
        <f>AB67/39.3701</f>
      </c>
      <c r="AG67" s="7">
        <f>AC67/39.3701</f>
      </c>
      <c r="AH67" s="7">
        <f>AD67/39.3701</f>
      </c>
      <c r="AI67" s="1"/>
      <c r="AJ67" s="1"/>
      <c r="AK67" s="1"/>
      <c r="AL67" s="1"/>
      <c r="AM67" s="2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</row>
    <row x14ac:dyDescent="0.25" r="68" customHeight="1" ht="18.75">
      <c r="A68" s="1"/>
      <c r="B68" s="2"/>
      <c r="C68" s="2"/>
      <c r="D68" s="2"/>
      <c r="E68" s="2"/>
      <c r="F68" s="2"/>
      <c r="G68" s="1"/>
      <c r="H68" s="1"/>
      <c r="I68" s="7">
        <v>0.065</v>
      </c>
      <c r="J68" s="7">
        <f>IF((I68-ROUNDDOWN(I68,0))=0, 0, (I68-ROUNDDOWN(I68,0)))</f>
      </c>
      <c r="K68" s="7">
        <f>INDIRECT("C$"&amp;2+MIN(2,ROUNDDOWN(I68,0))*3)*(-$J68^3+3*$J68^2-3*$J68+1)+INDIRECT("C$"&amp;3+MIN(2,ROUNDDOWN(I68,0))*3)*(3*$J68^3-6*$J68^2+3*$J68)+INDIRECT("C$"&amp;4+MIN(2,ROUNDDOWN(I68,0))*3)*(-3*$J68^3+3*$J68^2)+INDIRECT("C$"&amp;5+MIN(2,ROUNDDOWN(I68,0))*3)*$J68^3</f>
      </c>
      <c r="L68" s="7">
        <f>INDIRECT("D$"&amp;2+MIN(2,ROUNDDOWN(I68,0))*3)*(-$J68^3+3*$J68^2-3*$J68+1)+INDIRECT("D$"&amp;3+MIN(2,ROUNDDOWN(I68,0))*3)*(3*$J68^3-6*$J68^2+3*$J68)+INDIRECT("D$"&amp;4+MIN(2,ROUNDDOWN(I68,0))*3)*(-3*$J68^3+3*$J68^2)+INDIRECT("D$"&amp;5+MIN(2,ROUNDDOWN(I68,0))*3)*$J68^3</f>
      </c>
      <c r="M68" s="7">
        <f>SQRT(K68^2+L68^2)</f>
      </c>
      <c r="N68" s="7">
        <f>(K69-K67)</f>
      </c>
      <c r="O68" s="7">
        <f>+(L69-L67)</f>
      </c>
      <c r="P68" s="7">
        <f>SQRT(O68^2+N68^2)</f>
      </c>
      <c r="Q68" s="7">
        <f>N68/$P68</f>
      </c>
      <c r="R68" s="7">
        <f>O68/$P68</f>
      </c>
      <c r="S68" s="7">
        <f>Q68^2+R68^2</f>
      </c>
      <c r="T68" s="7">
        <f>-R68</f>
      </c>
      <c r="U68" s="7">
        <f>Q68</f>
      </c>
      <c r="V68" s="7">
        <f>($C$14+($C$15-$C$14)/($D$15-$D$14)*(I68-$D$14))/2</f>
      </c>
      <c r="W68" s="7">
        <f>($B$22*I68^4+$C$22*I68^3+$D$22*I68^2+$E$22*I68+$F$22)/2</f>
      </c>
      <c r="X68" s="7">
        <f>($W68)*(T68)</f>
      </c>
      <c r="Y68" s="7">
        <f>($W68)*(U68)</f>
      </c>
      <c r="Z68" s="7">
        <f>SQRT(X68^2+Y68^2)</f>
      </c>
      <c r="AA68" s="7">
        <f>$K68+$X68</f>
      </c>
      <c r="AB68" s="7">
        <f>$L68+$Y68</f>
      </c>
      <c r="AC68" s="7">
        <f>$K68-$X68</f>
      </c>
      <c r="AD68" s="7">
        <f>$L68-$Y68</f>
      </c>
      <c r="AE68" s="7">
        <f>AA68/39.3701</f>
      </c>
      <c r="AF68" s="7">
        <f>AB68/39.3701</f>
      </c>
      <c r="AG68" s="7">
        <f>AC68/39.3701</f>
      </c>
      <c r="AH68" s="7">
        <f>AD68/39.3701</f>
      </c>
      <c r="AI68" s="1"/>
      <c r="AJ68" s="1"/>
      <c r="AK68" s="1"/>
      <c r="AL68" s="1"/>
      <c r="AM68" s="2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</row>
    <row x14ac:dyDescent="0.25" r="69" customHeight="1" ht="18.75">
      <c r="A69" s="1"/>
      <c r="B69" s="2"/>
      <c r="C69" s="2"/>
      <c r="D69" s="2"/>
      <c r="E69" s="2"/>
      <c r="F69" s="2"/>
      <c r="G69" s="1"/>
      <c r="H69" s="1"/>
      <c r="I69" s="7">
        <v>0.066</v>
      </c>
      <c r="J69" s="7">
        <f>IF((I69-ROUNDDOWN(I69,0))=0, 0, (I69-ROUNDDOWN(I69,0)))</f>
      </c>
      <c r="K69" s="7">
        <f>INDIRECT("C$"&amp;2+MIN(2,ROUNDDOWN(I69,0))*3)*(-$J69^3+3*$J69^2-3*$J69+1)+INDIRECT("C$"&amp;3+MIN(2,ROUNDDOWN(I69,0))*3)*(3*$J69^3-6*$J69^2+3*$J69)+INDIRECT("C$"&amp;4+MIN(2,ROUNDDOWN(I69,0))*3)*(-3*$J69^3+3*$J69^2)+INDIRECT("C$"&amp;5+MIN(2,ROUNDDOWN(I69,0))*3)*$J69^3</f>
      </c>
      <c r="L69" s="7">
        <f>INDIRECT("D$"&amp;2+MIN(2,ROUNDDOWN(I69,0))*3)*(-$J69^3+3*$J69^2-3*$J69+1)+INDIRECT("D$"&amp;3+MIN(2,ROUNDDOWN(I69,0))*3)*(3*$J69^3-6*$J69^2+3*$J69)+INDIRECT("D$"&amp;4+MIN(2,ROUNDDOWN(I69,0))*3)*(-3*$J69^3+3*$J69^2)+INDIRECT("D$"&amp;5+MIN(2,ROUNDDOWN(I69,0))*3)*$J69^3</f>
      </c>
      <c r="M69" s="7">
        <f>SQRT(K69^2+L69^2)</f>
      </c>
      <c r="N69" s="7">
        <f>(K70-K68)</f>
      </c>
      <c r="O69" s="7">
        <f>+(L70-L68)</f>
      </c>
      <c r="P69" s="7">
        <f>SQRT(O69^2+N69^2)</f>
      </c>
      <c r="Q69" s="7">
        <f>N69/$P69</f>
      </c>
      <c r="R69" s="7">
        <f>O69/$P69</f>
      </c>
      <c r="S69" s="7">
        <f>Q69^2+R69^2</f>
      </c>
      <c r="T69" s="7">
        <f>-R69</f>
      </c>
      <c r="U69" s="7">
        <f>Q69</f>
      </c>
      <c r="V69" s="7">
        <f>($C$14+($C$15-$C$14)/($D$15-$D$14)*(I69-$D$14))/2</f>
      </c>
      <c r="W69" s="7">
        <f>($B$22*I69^4+$C$22*I69^3+$D$22*I69^2+$E$22*I69+$F$22)/2</f>
      </c>
      <c r="X69" s="7">
        <f>($W69)*(T69)</f>
      </c>
      <c r="Y69" s="7">
        <f>($W69)*(U69)</f>
      </c>
      <c r="Z69" s="7">
        <f>SQRT(X69^2+Y69^2)</f>
      </c>
      <c r="AA69" s="7">
        <f>$K69+$X69</f>
      </c>
      <c r="AB69" s="7">
        <f>$L69+$Y69</f>
      </c>
      <c r="AC69" s="7">
        <f>$K69-$X69</f>
      </c>
      <c r="AD69" s="7">
        <f>$L69-$Y69</f>
      </c>
      <c r="AE69" s="7">
        <f>AA69/39.3701</f>
      </c>
      <c r="AF69" s="7">
        <f>AB69/39.3701</f>
      </c>
      <c r="AG69" s="7">
        <f>AC69/39.3701</f>
      </c>
      <c r="AH69" s="7">
        <f>AD69/39.3701</f>
      </c>
      <c r="AI69" s="1"/>
      <c r="AJ69" s="1"/>
      <c r="AK69" s="1"/>
      <c r="AL69" s="1"/>
      <c r="AM69" s="2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</row>
    <row x14ac:dyDescent="0.25" r="70" customHeight="1" ht="18.75">
      <c r="A70" s="1"/>
      <c r="B70" s="2"/>
      <c r="C70" s="2"/>
      <c r="D70" s="2"/>
      <c r="E70" s="2"/>
      <c r="F70" s="2"/>
      <c r="G70" s="1"/>
      <c r="H70" s="1"/>
      <c r="I70" s="7">
        <v>0.067</v>
      </c>
      <c r="J70" s="7">
        <f>IF((I70-ROUNDDOWN(I70,0))=0, 0, (I70-ROUNDDOWN(I70,0)))</f>
      </c>
      <c r="K70" s="7">
        <f>INDIRECT("C$"&amp;2+MIN(2,ROUNDDOWN(I70,0))*3)*(-$J70^3+3*$J70^2-3*$J70+1)+INDIRECT("C$"&amp;3+MIN(2,ROUNDDOWN(I70,0))*3)*(3*$J70^3-6*$J70^2+3*$J70)+INDIRECT("C$"&amp;4+MIN(2,ROUNDDOWN(I70,0))*3)*(-3*$J70^3+3*$J70^2)+INDIRECT("C$"&amp;5+MIN(2,ROUNDDOWN(I70,0))*3)*$J70^3</f>
      </c>
      <c r="L70" s="7">
        <f>INDIRECT("D$"&amp;2+MIN(2,ROUNDDOWN(I70,0))*3)*(-$J70^3+3*$J70^2-3*$J70+1)+INDIRECT("D$"&amp;3+MIN(2,ROUNDDOWN(I70,0))*3)*(3*$J70^3-6*$J70^2+3*$J70)+INDIRECT("D$"&amp;4+MIN(2,ROUNDDOWN(I70,0))*3)*(-3*$J70^3+3*$J70^2)+INDIRECT("D$"&amp;5+MIN(2,ROUNDDOWN(I70,0))*3)*$J70^3</f>
      </c>
      <c r="M70" s="7">
        <f>SQRT(K70^2+L70^2)</f>
      </c>
      <c r="N70" s="7">
        <f>(K71-K69)</f>
      </c>
      <c r="O70" s="7">
        <f>+(L71-L69)</f>
      </c>
      <c r="P70" s="7">
        <f>SQRT(O70^2+N70^2)</f>
      </c>
      <c r="Q70" s="7">
        <f>N70/$P70</f>
      </c>
      <c r="R70" s="7">
        <f>O70/$P70</f>
      </c>
      <c r="S70" s="7">
        <f>Q70^2+R70^2</f>
      </c>
      <c r="T70" s="7">
        <f>-R70</f>
      </c>
      <c r="U70" s="7">
        <f>Q70</f>
      </c>
      <c r="V70" s="7">
        <f>($C$14+($C$15-$C$14)/($D$15-$D$14)*(I70-$D$14))/2</f>
      </c>
      <c r="W70" s="7">
        <f>($B$22*I70^4+$C$22*I70^3+$D$22*I70^2+$E$22*I70+$F$22)/2</f>
      </c>
      <c r="X70" s="7">
        <f>($W70)*(T70)</f>
      </c>
      <c r="Y70" s="7">
        <f>($W70)*(U70)</f>
      </c>
      <c r="Z70" s="7">
        <f>SQRT(X70^2+Y70^2)</f>
      </c>
      <c r="AA70" s="7">
        <f>$K70+$X70</f>
      </c>
      <c r="AB70" s="7">
        <f>$L70+$Y70</f>
      </c>
      <c r="AC70" s="7">
        <f>$K70-$X70</f>
      </c>
      <c r="AD70" s="7">
        <f>$L70-$Y70</f>
      </c>
      <c r="AE70" s="7">
        <f>AA70/39.3701</f>
      </c>
      <c r="AF70" s="7">
        <f>AB70/39.3701</f>
      </c>
      <c r="AG70" s="7">
        <f>AC70/39.3701</f>
      </c>
      <c r="AH70" s="7">
        <f>AD70/39.3701</f>
      </c>
      <c r="AI70" s="1"/>
      <c r="AJ70" s="1"/>
      <c r="AK70" s="1"/>
      <c r="AL70" s="1"/>
      <c r="AM70" s="2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</row>
    <row x14ac:dyDescent="0.25" r="71" customHeight="1" ht="18.75">
      <c r="A71" s="1"/>
      <c r="B71" s="2"/>
      <c r="C71" s="2"/>
      <c r="D71" s="2"/>
      <c r="E71" s="2"/>
      <c r="F71" s="2"/>
      <c r="G71" s="1"/>
      <c r="H71" s="1"/>
      <c r="I71" s="7">
        <v>0.068</v>
      </c>
      <c r="J71" s="7">
        <f>IF((I71-ROUNDDOWN(I71,0))=0, 0, (I71-ROUNDDOWN(I71,0)))</f>
      </c>
      <c r="K71" s="7">
        <f>INDIRECT("C$"&amp;2+MIN(2,ROUNDDOWN(I71,0))*3)*(-$J71^3+3*$J71^2-3*$J71+1)+INDIRECT("C$"&amp;3+MIN(2,ROUNDDOWN(I71,0))*3)*(3*$J71^3-6*$J71^2+3*$J71)+INDIRECT("C$"&amp;4+MIN(2,ROUNDDOWN(I71,0))*3)*(-3*$J71^3+3*$J71^2)+INDIRECT("C$"&amp;5+MIN(2,ROUNDDOWN(I71,0))*3)*$J71^3</f>
      </c>
      <c r="L71" s="7">
        <f>INDIRECT("D$"&amp;2+MIN(2,ROUNDDOWN(I71,0))*3)*(-$J71^3+3*$J71^2-3*$J71+1)+INDIRECT("D$"&amp;3+MIN(2,ROUNDDOWN(I71,0))*3)*(3*$J71^3-6*$J71^2+3*$J71)+INDIRECT("D$"&amp;4+MIN(2,ROUNDDOWN(I71,0))*3)*(-3*$J71^3+3*$J71^2)+INDIRECT("D$"&amp;5+MIN(2,ROUNDDOWN(I71,0))*3)*$J71^3</f>
      </c>
      <c r="M71" s="7">
        <f>SQRT(K71^2+L71^2)</f>
      </c>
      <c r="N71" s="7">
        <f>(K72-K70)</f>
      </c>
      <c r="O71" s="7">
        <f>+(L72-L70)</f>
      </c>
      <c r="P71" s="7">
        <f>SQRT(O71^2+N71^2)</f>
      </c>
      <c r="Q71" s="7">
        <f>N71/$P71</f>
      </c>
      <c r="R71" s="7">
        <f>O71/$P71</f>
      </c>
      <c r="S71" s="7">
        <f>Q71^2+R71^2</f>
      </c>
      <c r="T71" s="7">
        <f>-R71</f>
      </c>
      <c r="U71" s="7">
        <f>Q71</f>
      </c>
      <c r="V71" s="7">
        <f>($C$14+($C$15-$C$14)/($D$15-$D$14)*(I71-$D$14))/2</f>
      </c>
      <c r="W71" s="7">
        <f>($B$22*I71^4+$C$22*I71^3+$D$22*I71^2+$E$22*I71+$F$22)/2</f>
      </c>
      <c r="X71" s="7">
        <f>($W71)*(T71)</f>
      </c>
      <c r="Y71" s="7">
        <f>($W71)*(U71)</f>
      </c>
      <c r="Z71" s="7">
        <f>SQRT(X71^2+Y71^2)</f>
      </c>
      <c r="AA71" s="7">
        <f>$K71+$X71</f>
      </c>
      <c r="AB71" s="7">
        <f>$L71+$Y71</f>
      </c>
      <c r="AC71" s="7">
        <f>$K71-$X71</f>
      </c>
      <c r="AD71" s="7">
        <f>$L71-$Y71</f>
      </c>
      <c r="AE71" s="7">
        <f>AA71/39.3701</f>
      </c>
      <c r="AF71" s="7">
        <f>AB71/39.3701</f>
      </c>
      <c r="AG71" s="7">
        <f>AC71/39.3701</f>
      </c>
      <c r="AH71" s="7">
        <f>AD71/39.3701</f>
      </c>
      <c r="AI71" s="1"/>
      <c r="AJ71" s="1"/>
      <c r="AK71" s="1"/>
      <c r="AL71" s="1"/>
      <c r="AM71" s="2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</row>
    <row x14ac:dyDescent="0.25" r="72" customHeight="1" ht="18.75">
      <c r="A72" s="1"/>
      <c r="B72" s="2"/>
      <c r="C72" s="2"/>
      <c r="D72" s="2"/>
      <c r="E72" s="2"/>
      <c r="F72" s="2"/>
      <c r="G72" s="1"/>
      <c r="H72" s="1"/>
      <c r="I72" s="7">
        <v>0.069</v>
      </c>
      <c r="J72" s="7">
        <f>IF((I72-ROUNDDOWN(I72,0))=0, 0, (I72-ROUNDDOWN(I72,0)))</f>
      </c>
      <c r="K72" s="7">
        <f>INDIRECT("C$"&amp;2+MIN(2,ROUNDDOWN(I72,0))*3)*(-$J72^3+3*$J72^2-3*$J72+1)+INDIRECT("C$"&amp;3+MIN(2,ROUNDDOWN(I72,0))*3)*(3*$J72^3-6*$J72^2+3*$J72)+INDIRECT("C$"&amp;4+MIN(2,ROUNDDOWN(I72,0))*3)*(-3*$J72^3+3*$J72^2)+INDIRECT("C$"&amp;5+MIN(2,ROUNDDOWN(I72,0))*3)*$J72^3</f>
      </c>
      <c r="L72" s="7">
        <f>INDIRECT("D$"&amp;2+MIN(2,ROUNDDOWN(I72,0))*3)*(-$J72^3+3*$J72^2-3*$J72+1)+INDIRECT("D$"&amp;3+MIN(2,ROUNDDOWN(I72,0))*3)*(3*$J72^3-6*$J72^2+3*$J72)+INDIRECT("D$"&amp;4+MIN(2,ROUNDDOWN(I72,0))*3)*(-3*$J72^3+3*$J72^2)+INDIRECT("D$"&amp;5+MIN(2,ROUNDDOWN(I72,0))*3)*$J72^3</f>
      </c>
      <c r="M72" s="7">
        <f>SQRT(K72^2+L72^2)</f>
      </c>
      <c r="N72" s="7">
        <f>(K73-K71)</f>
      </c>
      <c r="O72" s="7">
        <f>+(L73-L71)</f>
      </c>
      <c r="P72" s="7">
        <f>SQRT(O72^2+N72^2)</f>
      </c>
      <c r="Q72" s="7">
        <f>N72/$P72</f>
      </c>
      <c r="R72" s="7">
        <f>O72/$P72</f>
      </c>
      <c r="S72" s="8">
        <f>Q72^2+R72^2</f>
      </c>
      <c r="T72" s="7">
        <f>-R72</f>
      </c>
      <c r="U72" s="7">
        <f>Q72</f>
      </c>
      <c r="V72" s="7">
        <f>($C$14+($C$15-$C$14)/($D$15-$D$14)*(I72-$D$14))/2</f>
      </c>
      <c r="W72" s="7">
        <f>($B$22*I72^4+$C$22*I72^3+$D$22*I72^2+$E$22*I72+$F$22)/2</f>
      </c>
      <c r="X72" s="7">
        <f>($W72)*(T72)</f>
      </c>
      <c r="Y72" s="7">
        <f>($W72)*(U72)</f>
      </c>
      <c r="Z72" s="7">
        <f>SQRT(X72^2+Y72^2)</f>
      </c>
      <c r="AA72" s="7">
        <f>$K72+$X72</f>
      </c>
      <c r="AB72" s="7">
        <f>$L72+$Y72</f>
      </c>
      <c r="AC72" s="7">
        <f>$K72-$X72</f>
      </c>
      <c r="AD72" s="7">
        <f>$L72-$Y72</f>
      </c>
      <c r="AE72" s="7">
        <f>AA72/39.3701</f>
      </c>
      <c r="AF72" s="7">
        <f>AB72/39.3701</f>
      </c>
      <c r="AG72" s="7">
        <f>AC72/39.3701</f>
      </c>
      <c r="AH72" s="7">
        <f>AD72/39.3701</f>
      </c>
      <c r="AI72" s="1"/>
      <c r="AJ72" s="1"/>
      <c r="AK72" s="1"/>
      <c r="AL72" s="1"/>
      <c r="AM72" s="2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</row>
    <row x14ac:dyDescent="0.25" r="73" customHeight="1" ht="18.75">
      <c r="A73" s="1"/>
      <c r="B73" s="2"/>
      <c r="C73" s="2"/>
      <c r="D73" s="2"/>
      <c r="E73" s="2"/>
      <c r="F73" s="2"/>
      <c r="G73" s="1"/>
      <c r="H73" s="1"/>
      <c r="I73" s="7">
        <v>0.07</v>
      </c>
      <c r="J73" s="7">
        <f>IF((I73-ROUNDDOWN(I73,0))=0, 0, (I73-ROUNDDOWN(I73,0)))</f>
      </c>
      <c r="K73" s="7">
        <f>INDIRECT("C$"&amp;2+MIN(2,ROUNDDOWN(I73,0))*3)*(-$J73^3+3*$J73^2-3*$J73+1)+INDIRECT("C$"&amp;3+MIN(2,ROUNDDOWN(I73,0))*3)*(3*$J73^3-6*$J73^2+3*$J73)+INDIRECT("C$"&amp;4+MIN(2,ROUNDDOWN(I73,0))*3)*(-3*$J73^3+3*$J73^2)+INDIRECT("C$"&amp;5+MIN(2,ROUNDDOWN(I73,0))*3)*$J73^3</f>
      </c>
      <c r="L73" s="7">
        <f>INDIRECT("D$"&amp;2+MIN(2,ROUNDDOWN(I73,0))*3)*(-$J73^3+3*$J73^2-3*$J73+1)+INDIRECT("D$"&amp;3+MIN(2,ROUNDDOWN(I73,0))*3)*(3*$J73^3-6*$J73^2+3*$J73)+INDIRECT("D$"&amp;4+MIN(2,ROUNDDOWN(I73,0))*3)*(-3*$J73^3+3*$J73^2)+INDIRECT("D$"&amp;5+MIN(2,ROUNDDOWN(I73,0))*3)*$J73^3</f>
      </c>
      <c r="M73" s="7">
        <f>SQRT(K73^2+L73^2)</f>
      </c>
      <c r="N73" s="7">
        <f>(K74-K72)</f>
      </c>
      <c r="O73" s="7">
        <f>+(L74-L72)</f>
      </c>
      <c r="P73" s="7">
        <f>SQRT(O73^2+N73^2)</f>
      </c>
      <c r="Q73" s="7">
        <f>N73/$P73</f>
      </c>
      <c r="R73" s="7">
        <f>O73/$P73</f>
      </c>
      <c r="S73" s="8">
        <f>Q73^2+R73^2</f>
      </c>
      <c r="T73" s="7">
        <f>-R73</f>
      </c>
      <c r="U73" s="7">
        <f>Q73</f>
      </c>
      <c r="V73" s="7">
        <f>($C$14+($C$15-$C$14)/($D$15-$D$14)*(I73-$D$14))/2</f>
      </c>
      <c r="W73" s="7">
        <f>($B$22*I73^4+$C$22*I73^3+$D$22*I73^2+$E$22*I73+$F$22)/2</f>
      </c>
      <c r="X73" s="7">
        <f>($W73)*(T73)</f>
      </c>
      <c r="Y73" s="7">
        <f>($W73)*(U73)</f>
      </c>
      <c r="Z73" s="7">
        <f>SQRT(X73^2+Y73^2)</f>
      </c>
      <c r="AA73" s="7">
        <f>$K73+$X73</f>
      </c>
      <c r="AB73" s="7">
        <f>$L73+$Y73</f>
      </c>
      <c r="AC73" s="7">
        <f>$K73-$X73</f>
      </c>
      <c r="AD73" s="7">
        <f>$L73-$Y73</f>
      </c>
      <c r="AE73" s="7">
        <f>AA73/39.3701</f>
      </c>
      <c r="AF73" s="7">
        <f>AB73/39.3701</f>
      </c>
      <c r="AG73" s="7">
        <f>AC73/39.3701</f>
      </c>
      <c r="AH73" s="7">
        <f>AD73/39.3701</f>
      </c>
      <c r="AI73" s="1"/>
      <c r="AJ73" s="1"/>
      <c r="AK73" s="1"/>
      <c r="AL73" s="1"/>
      <c r="AM73" s="2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</row>
    <row x14ac:dyDescent="0.25" r="74" customHeight="1" ht="18.75">
      <c r="A74" s="1"/>
      <c r="B74" s="2"/>
      <c r="C74" s="2"/>
      <c r="D74" s="2"/>
      <c r="E74" s="2"/>
      <c r="F74" s="2"/>
      <c r="G74" s="1"/>
      <c r="H74" s="1"/>
      <c r="I74" s="7">
        <v>0.071</v>
      </c>
      <c r="J74" s="7">
        <f>IF((I74-ROUNDDOWN(I74,0))=0, 0, (I74-ROUNDDOWN(I74,0)))</f>
      </c>
      <c r="K74" s="7">
        <f>INDIRECT("C$"&amp;2+MIN(2,ROUNDDOWN(I74,0))*3)*(-$J74^3+3*$J74^2-3*$J74+1)+INDIRECT("C$"&amp;3+MIN(2,ROUNDDOWN(I74,0))*3)*(3*$J74^3-6*$J74^2+3*$J74)+INDIRECT("C$"&amp;4+MIN(2,ROUNDDOWN(I74,0))*3)*(-3*$J74^3+3*$J74^2)+INDIRECT("C$"&amp;5+MIN(2,ROUNDDOWN(I74,0))*3)*$J74^3</f>
      </c>
      <c r="L74" s="7">
        <f>INDIRECT("D$"&amp;2+MIN(2,ROUNDDOWN(I74,0))*3)*(-$J74^3+3*$J74^2-3*$J74+1)+INDIRECT("D$"&amp;3+MIN(2,ROUNDDOWN(I74,0))*3)*(3*$J74^3-6*$J74^2+3*$J74)+INDIRECT("D$"&amp;4+MIN(2,ROUNDDOWN(I74,0))*3)*(-3*$J74^3+3*$J74^2)+INDIRECT("D$"&amp;5+MIN(2,ROUNDDOWN(I74,0))*3)*$J74^3</f>
      </c>
      <c r="M74" s="7">
        <f>SQRT(K74^2+L74^2)</f>
      </c>
      <c r="N74" s="7">
        <f>(K75-K73)</f>
      </c>
      <c r="O74" s="7">
        <f>+(L75-L73)</f>
      </c>
      <c r="P74" s="7">
        <f>SQRT(O74^2+N74^2)</f>
      </c>
      <c r="Q74" s="7">
        <f>N74/$P74</f>
      </c>
      <c r="R74" s="7">
        <f>O74/$P74</f>
      </c>
      <c r="S74" s="7">
        <f>Q74^2+R74^2</f>
      </c>
      <c r="T74" s="7">
        <f>-R74</f>
      </c>
      <c r="U74" s="7">
        <f>Q74</f>
      </c>
      <c r="V74" s="7">
        <f>($C$14+($C$15-$C$14)/($D$15-$D$14)*(I74-$D$14))/2</f>
      </c>
      <c r="W74" s="7">
        <f>($B$22*I74^4+$C$22*I74^3+$D$22*I74^2+$E$22*I74+$F$22)/2</f>
      </c>
      <c r="X74" s="7">
        <f>($W74)*(T74)</f>
      </c>
      <c r="Y74" s="7">
        <f>($W74)*(U74)</f>
      </c>
      <c r="Z74" s="7">
        <f>SQRT(X74^2+Y74^2)</f>
      </c>
      <c r="AA74" s="7">
        <f>$K74+$X74</f>
      </c>
      <c r="AB74" s="7">
        <f>$L74+$Y74</f>
      </c>
      <c r="AC74" s="7">
        <f>$K74-$X74</f>
      </c>
      <c r="AD74" s="7">
        <f>$L74-$Y74</f>
      </c>
      <c r="AE74" s="7">
        <f>AA74/39.3701</f>
      </c>
      <c r="AF74" s="7">
        <f>AB74/39.3701</f>
      </c>
      <c r="AG74" s="7">
        <f>AC74/39.3701</f>
      </c>
      <c r="AH74" s="7">
        <f>AD74/39.3701</f>
      </c>
      <c r="AI74" s="1"/>
      <c r="AJ74" s="1"/>
      <c r="AK74" s="1"/>
      <c r="AL74" s="1"/>
      <c r="AM74" s="2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</row>
    <row x14ac:dyDescent="0.25" r="75" customHeight="1" ht="18.75">
      <c r="A75" s="1"/>
      <c r="B75" s="2"/>
      <c r="C75" s="2"/>
      <c r="D75" s="2"/>
      <c r="E75" s="2"/>
      <c r="F75" s="2"/>
      <c r="G75" s="1"/>
      <c r="H75" s="1"/>
      <c r="I75" s="7">
        <v>0.072</v>
      </c>
      <c r="J75" s="7">
        <f>IF((I75-ROUNDDOWN(I75,0))=0, 0, (I75-ROUNDDOWN(I75,0)))</f>
      </c>
      <c r="K75" s="7">
        <f>INDIRECT("C$"&amp;2+MIN(2,ROUNDDOWN(I75,0))*3)*(-$J75^3+3*$J75^2-3*$J75+1)+INDIRECT("C$"&amp;3+MIN(2,ROUNDDOWN(I75,0))*3)*(3*$J75^3-6*$J75^2+3*$J75)+INDIRECT("C$"&amp;4+MIN(2,ROUNDDOWN(I75,0))*3)*(-3*$J75^3+3*$J75^2)+INDIRECT("C$"&amp;5+MIN(2,ROUNDDOWN(I75,0))*3)*$J75^3</f>
      </c>
      <c r="L75" s="7">
        <f>INDIRECT("D$"&amp;2+MIN(2,ROUNDDOWN(I75,0))*3)*(-$J75^3+3*$J75^2-3*$J75+1)+INDIRECT("D$"&amp;3+MIN(2,ROUNDDOWN(I75,0))*3)*(3*$J75^3-6*$J75^2+3*$J75)+INDIRECT("D$"&amp;4+MIN(2,ROUNDDOWN(I75,0))*3)*(-3*$J75^3+3*$J75^2)+INDIRECT("D$"&amp;5+MIN(2,ROUNDDOWN(I75,0))*3)*$J75^3</f>
      </c>
      <c r="M75" s="7">
        <f>SQRT(K75^2+L75^2)</f>
      </c>
      <c r="N75" s="7">
        <f>(K76-K74)</f>
      </c>
      <c r="O75" s="7">
        <f>+(L76-L74)</f>
      </c>
      <c r="P75" s="7">
        <f>SQRT(O75^2+N75^2)</f>
      </c>
      <c r="Q75" s="7">
        <f>N75/$P75</f>
      </c>
      <c r="R75" s="7">
        <f>O75/$P75</f>
      </c>
      <c r="S75" s="8">
        <f>Q75^2+R75^2</f>
      </c>
      <c r="T75" s="7">
        <f>-R75</f>
      </c>
      <c r="U75" s="7">
        <f>Q75</f>
      </c>
      <c r="V75" s="7">
        <f>($C$14+($C$15-$C$14)/($D$15-$D$14)*(I75-$D$14))/2</f>
      </c>
      <c r="W75" s="7">
        <f>($B$22*I75^4+$C$22*I75^3+$D$22*I75^2+$E$22*I75+$F$22)/2</f>
      </c>
      <c r="X75" s="7">
        <f>($W75)*(T75)</f>
      </c>
      <c r="Y75" s="7">
        <f>($W75)*(U75)</f>
      </c>
      <c r="Z75" s="7">
        <f>SQRT(X75^2+Y75^2)</f>
      </c>
      <c r="AA75" s="7">
        <f>$K75+$X75</f>
      </c>
      <c r="AB75" s="7">
        <f>$L75+$Y75</f>
      </c>
      <c r="AC75" s="7">
        <f>$K75-$X75</f>
      </c>
      <c r="AD75" s="7">
        <f>$L75-$Y75</f>
      </c>
      <c r="AE75" s="7">
        <f>AA75/39.3701</f>
      </c>
      <c r="AF75" s="7">
        <f>AB75/39.3701</f>
      </c>
      <c r="AG75" s="7">
        <f>AC75/39.3701</f>
      </c>
      <c r="AH75" s="7">
        <f>AD75/39.3701</f>
      </c>
      <c r="AI75" s="1"/>
      <c r="AJ75" s="1"/>
      <c r="AK75" s="1"/>
      <c r="AL75" s="1"/>
      <c r="AM75" s="2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</row>
    <row x14ac:dyDescent="0.25" r="76" customHeight="1" ht="18.75">
      <c r="A76" s="1"/>
      <c r="B76" s="2"/>
      <c r="C76" s="2"/>
      <c r="D76" s="2"/>
      <c r="E76" s="2"/>
      <c r="F76" s="2"/>
      <c r="G76" s="1"/>
      <c r="H76" s="1"/>
      <c r="I76" s="7">
        <v>0.073</v>
      </c>
      <c r="J76" s="7">
        <f>IF((I76-ROUNDDOWN(I76,0))=0, 0, (I76-ROUNDDOWN(I76,0)))</f>
      </c>
      <c r="K76" s="7">
        <f>INDIRECT("C$"&amp;2+MIN(2,ROUNDDOWN(I76,0))*3)*(-$J76^3+3*$J76^2-3*$J76+1)+INDIRECT("C$"&amp;3+MIN(2,ROUNDDOWN(I76,0))*3)*(3*$J76^3-6*$J76^2+3*$J76)+INDIRECT("C$"&amp;4+MIN(2,ROUNDDOWN(I76,0))*3)*(-3*$J76^3+3*$J76^2)+INDIRECT("C$"&amp;5+MIN(2,ROUNDDOWN(I76,0))*3)*$J76^3</f>
      </c>
      <c r="L76" s="7">
        <f>INDIRECT("D$"&amp;2+MIN(2,ROUNDDOWN(I76,0))*3)*(-$J76^3+3*$J76^2-3*$J76+1)+INDIRECT("D$"&amp;3+MIN(2,ROUNDDOWN(I76,0))*3)*(3*$J76^3-6*$J76^2+3*$J76)+INDIRECT("D$"&amp;4+MIN(2,ROUNDDOWN(I76,0))*3)*(-3*$J76^3+3*$J76^2)+INDIRECT("D$"&amp;5+MIN(2,ROUNDDOWN(I76,0))*3)*$J76^3</f>
      </c>
      <c r="M76" s="7">
        <f>SQRT(K76^2+L76^2)</f>
      </c>
      <c r="N76" s="7">
        <f>(K77-K75)</f>
      </c>
      <c r="O76" s="7">
        <f>+(L77-L75)</f>
      </c>
      <c r="P76" s="7">
        <f>SQRT(O76^2+N76^2)</f>
      </c>
      <c r="Q76" s="7">
        <f>N76/$P76</f>
      </c>
      <c r="R76" s="7">
        <f>O76/$P76</f>
      </c>
      <c r="S76" s="8">
        <f>Q76^2+R76^2</f>
      </c>
      <c r="T76" s="7">
        <f>-R76</f>
      </c>
      <c r="U76" s="7">
        <f>Q76</f>
      </c>
      <c r="V76" s="7">
        <f>($C$14+($C$15-$C$14)/($D$15-$D$14)*(I76-$D$14))/2</f>
      </c>
      <c r="W76" s="7">
        <f>($B$22*I76^4+$C$22*I76^3+$D$22*I76^2+$E$22*I76+$F$22)/2</f>
      </c>
      <c r="X76" s="7">
        <f>($W76)*(T76)</f>
      </c>
      <c r="Y76" s="7">
        <f>($W76)*(U76)</f>
      </c>
      <c r="Z76" s="7">
        <f>SQRT(X76^2+Y76^2)</f>
      </c>
      <c r="AA76" s="7">
        <f>$K76+$X76</f>
      </c>
      <c r="AB76" s="7">
        <f>$L76+$Y76</f>
      </c>
      <c r="AC76" s="7">
        <f>$K76-$X76</f>
      </c>
      <c r="AD76" s="7">
        <f>$L76-$Y76</f>
      </c>
      <c r="AE76" s="7">
        <f>AA76/39.3701</f>
      </c>
      <c r="AF76" s="7">
        <f>AB76/39.3701</f>
      </c>
      <c r="AG76" s="7">
        <f>AC76/39.3701</f>
      </c>
      <c r="AH76" s="7">
        <f>AD76/39.3701</f>
      </c>
      <c r="AI76" s="1"/>
      <c r="AJ76" s="1"/>
      <c r="AK76" s="1"/>
      <c r="AL76" s="1"/>
      <c r="AM76" s="2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</row>
    <row x14ac:dyDescent="0.25" r="77" customHeight="1" ht="18.75">
      <c r="A77" s="1"/>
      <c r="B77" s="2"/>
      <c r="C77" s="2"/>
      <c r="D77" s="2"/>
      <c r="E77" s="2"/>
      <c r="F77" s="2"/>
      <c r="G77" s="1"/>
      <c r="H77" s="1"/>
      <c r="I77" s="7">
        <v>0.074</v>
      </c>
      <c r="J77" s="7">
        <f>IF((I77-ROUNDDOWN(I77,0))=0, 0, (I77-ROUNDDOWN(I77,0)))</f>
      </c>
      <c r="K77" s="7">
        <f>INDIRECT("C$"&amp;2+MIN(2,ROUNDDOWN(I77,0))*3)*(-$J77^3+3*$J77^2-3*$J77+1)+INDIRECT("C$"&amp;3+MIN(2,ROUNDDOWN(I77,0))*3)*(3*$J77^3-6*$J77^2+3*$J77)+INDIRECT("C$"&amp;4+MIN(2,ROUNDDOWN(I77,0))*3)*(-3*$J77^3+3*$J77^2)+INDIRECT("C$"&amp;5+MIN(2,ROUNDDOWN(I77,0))*3)*$J77^3</f>
      </c>
      <c r="L77" s="7">
        <f>INDIRECT("D$"&amp;2+MIN(2,ROUNDDOWN(I77,0))*3)*(-$J77^3+3*$J77^2-3*$J77+1)+INDIRECT("D$"&amp;3+MIN(2,ROUNDDOWN(I77,0))*3)*(3*$J77^3-6*$J77^2+3*$J77)+INDIRECT("D$"&amp;4+MIN(2,ROUNDDOWN(I77,0))*3)*(-3*$J77^3+3*$J77^2)+INDIRECT("D$"&amp;5+MIN(2,ROUNDDOWN(I77,0))*3)*$J77^3</f>
      </c>
      <c r="M77" s="7">
        <f>SQRT(K77^2+L77^2)</f>
      </c>
      <c r="N77" s="7">
        <f>(K78-K76)</f>
      </c>
      <c r="O77" s="7">
        <f>+(L78-L76)</f>
      </c>
      <c r="P77" s="7">
        <f>SQRT(O77^2+N77^2)</f>
      </c>
      <c r="Q77" s="7">
        <f>N77/$P77</f>
      </c>
      <c r="R77" s="7">
        <f>O77/$P77</f>
      </c>
      <c r="S77" s="8">
        <f>Q77^2+R77^2</f>
      </c>
      <c r="T77" s="7">
        <f>-R77</f>
      </c>
      <c r="U77" s="7">
        <f>Q77</f>
      </c>
      <c r="V77" s="7">
        <f>($C$14+($C$15-$C$14)/($D$15-$D$14)*(I77-$D$14))/2</f>
      </c>
      <c r="W77" s="7">
        <f>($B$22*I77^4+$C$22*I77^3+$D$22*I77^2+$E$22*I77+$F$22)/2</f>
      </c>
      <c r="X77" s="7">
        <f>($W77)*(T77)</f>
      </c>
      <c r="Y77" s="7">
        <f>($W77)*(U77)</f>
      </c>
      <c r="Z77" s="7">
        <f>SQRT(X77^2+Y77^2)</f>
      </c>
      <c r="AA77" s="7">
        <f>$K77+$X77</f>
      </c>
      <c r="AB77" s="7">
        <f>$L77+$Y77</f>
      </c>
      <c r="AC77" s="7">
        <f>$K77-$X77</f>
      </c>
      <c r="AD77" s="7">
        <f>$L77-$Y77</f>
      </c>
      <c r="AE77" s="7">
        <f>AA77/39.3701</f>
      </c>
      <c r="AF77" s="7">
        <f>AB77/39.3701</f>
      </c>
      <c r="AG77" s="7">
        <f>AC77/39.3701</f>
      </c>
      <c r="AH77" s="7">
        <f>AD77/39.3701</f>
      </c>
      <c r="AI77" s="1"/>
      <c r="AJ77" s="1"/>
      <c r="AK77" s="1"/>
      <c r="AL77" s="1"/>
      <c r="AM77" s="2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</row>
    <row x14ac:dyDescent="0.25" r="78" customHeight="1" ht="18.75">
      <c r="A78" s="1"/>
      <c r="B78" s="2"/>
      <c r="C78" s="2"/>
      <c r="D78" s="2"/>
      <c r="E78" s="2"/>
      <c r="F78" s="2"/>
      <c r="G78" s="1"/>
      <c r="H78" s="1"/>
      <c r="I78" s="7">
        <v>0.075</v>
      </c>
      <c r="J78" s="7">
        <f>IF((I78-ROUNDDOWN(I78,0))=0, 0, (I78-ROUNDDOWN(I78,0)))</f>
      </c>
      <c r="K78" s="7">
        <f>INDIRECT("C$"&amp;2+MIN(2,ROUNDDOWN(I78,0))*3)*(-$J78^3+3*$J78^2-3*$J78+1)+INDIRECT("C$"&amp;3+MIN(2,ROUNDDOWN(I78,0))*3)*(3*$J78^3-6*$J78^2+3*$J78)+INDIRECT("C$"&amp;4+MIN(2,ROUNDDOWN(I78,0))*3)*(-3*$J78^3+3*$J78^2)+INDIRECT("C$"&amp;5+MIN(2,ROUNDDOWN(I78,0))*3)*$J78^3</f>
      </c>
      <c r="L78" s="7">
        <f>INDIRECT("D$"&amp;2+MIN(2,ROUNDDOWN(I78,0))*3)*(-$J78^3+3*$J78^2-3*$J78+1)+INDIRECT("D$"&amp;3+MIN(2,ROUNDDOWN(I78,0))*3)*(3*$J78^3-6*$J78^2+3*$J78)+INDIRECT("D$"&amp;4+MIN(2,ROUNDDOWN(I78,0))*3)*(-3*$J78^3+3*$J78^2)+INDIRECT("D$"&amp;5+MIN(2,ROUNDDOWN(I78,0))*3)*$J78^3</f>
      </c>
      <c r="M78" s="7">
        <f>SQRT(K78^2+L78^2)</f>
      </c>
      <c r="N78" s="7">
        <f>(K79-K77)</f>
      </c>
      <c r="O78" s="7">
        <f>+(L79-L77)</f>
      </c>
      <c r="P78" s="7">
        <f>SQRT(O78^2+N78^2)</f>
      </c>
      <c r="Q78" s="7">
        <f>N78/$P78</f>
      </c>
      <c r="R78" s="7">
        <f>O78/$P78</f>
      </c>
      <c r="S78" s="7">
        <f>Q78^2+R78^2</f>
      </c>
      <c r="T78" s="7">
        <f>-R78</f>
      </c>
      <c r="U78" s="7">
        <f>Q78</f>
      </c>
      <c r="V78" s="7">
        <f>($C$14+($C$15-$C$14)/($D$15-$D$14)*(I78-$D$14))/2</f>
      </c>
      <c r="W78" s="7">
        <f>($B$22*I78^4+$C$22*I78^3+$D$22*I78^2+$E$22*I78+$F$22)/2</f>
      </c>
      <c r="X78" s="7">
        <f>($W78)*(T78)</f>
      </c>
      <c r="Y78" s="7">
        <f>($W78)*(U78)</f>
      </c>
      <c r="Z78" s="7">
        <f>SQRT(X78^2+Y78^2)</f>
      </c>
      <c r="AA78" s="7">
        <f>$K78+$X78</f>
      </c>
      <c r="AB78" s="7">
        <f>$L78+$Y78</f>
      </c>
      <c r="AC78" s="7">
        <f>$K78-$X78</f>
      </c>
      <c r="AD78" s="7">
        <f>$L78-$Y78</f>
      </c>
      <c r="AE78" s="7">
        <f>AA78/39.3701</f>
      </c>
      <c r="AF78" s="7">
        <f>AB78/39.3701</f>
      </c>
      <c r="AG78" s="7">
        <f>AC78/39.3701</f>
      </c>
      <c r="AH78" s="7">
        <f>AD78/39.3701</f>
      </c>
      <c r="AI78" s="1"/>
      <c r="AJ78" s="1"/>
      <c r="AK78" s="1"/>
      <c r="AL78" s="1"/>
      <c r="AM78" s="2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</row>
    <row x14ac:dyDescent="0.25" r="79" customHeight="1" ht="18.75">
      <c r="A79" s="1"/>
      <c r="B79" s="2"/>
      <c r="C79" s="2"/>
      <c r="D79" s="2"/>
      <c r="E79" s="2"/>
      <c r="F79" s="2"/>
      <c r="G79" s="1"/>
      <c r="H79" s="1"/>
      <c r="I79" s="7">
        <v>0.076</v>
      </c>
      <c r="J79" s="7">
        <f>IF((I79-ROUNDDOWN(I79,0))=0, 0, (I79-ROUNDDOWN(I79,0)))</f>
      </c>
      <c r="K79" s="7">
        <f>INDIRECT("C$"&amp;2+MIN(2,ROUNDDOWN(I79,0))*3)*(-$J79^3+3*$J79^2-3*$J79+1)+INDIRECT("C$"&amp;3+MIN(2,ROUNDDOWN(I79,0))*3)*(3*$J79^3-6*$J79^2+3*$J79)+INDIRECT("C$"&amp;4+MIN(2,ROUNDDOWN(I79,0))*3)*(-3*$J79^3+3*$J79^2)+INDIRECT("C$"&amp;5+MIN(2,ROUNDDOWN(I79,0))*3)*$J79^3</f>
      </c>
      <c r="L79" s="7">
        <f>INDIRECT("D$"&amp;2+MIN(2,ROUNDDOWN(I79,0))*3)*(-$J79^3+3*$J79^2-3*$J79+1)+INDIRECT("D$"&amp;3+MIN(2,ROUNDDOWN(I79,0))*3)*(3*$J79^3-6*$J79^2+3*$J79)+INDIRECT("D$"&amp;4+MIN(2,ROUNDDOWN(I79,0))*3)*(-3*$J79^3+3*$J79^2)+INDIRECT("D$"&amp;5+MIN(2,ROUNDDOWN(I79,0))*3)*$J79^3</f>
      </c>
      <c r="M79" s="7">
        <f>SQRT(K79^2+L79^2)</f>
      </c>
      <c r="N79" s="7">
        <f>(K80-K78)</f>
      </c>
      <c r="O79" s="7">
        <f>+(L80-L78)</f>
      </c>
      <c r="P79" s="7">
        <f>SQRT(O79^2+N79^2)</f>
      </c>
      <c r="Q79" s="7">
        <f>N79/$P79</f>
      </c>
      <c r="R79" s="7">
        <f>O79/$P79</f>
      </c>
      <c r="S79" s="7">
        <f>Q79^2+R79^2</f>
      </c>
      <c r="T79" s="7">
        <f>-R79</f>
      </c>
      <c r="U79" s="7">
        <f>Q79</f>
      </c>
      <c r="V79" s="7">
        <f>($C$14+($C$15-$C$14)/($D$15-$D$14)*(I79-$D$14))/2</f>
      </c>
      <c r="W79" s="7">
        <f>($B$22*I79^4+$C$22*I79^3+$D$22*I79^2+$E$22*I79+$F$22)/2</f>
      </c>
      <c r="X79" s="7">
        <f>($W79)*(T79)</f>
      </c>
      <c r="Y79" s="7">
        <f>($W79)*(U79)</f>
      </c>
      <c r="Z79" s="7">
        <f>SQRT(X79^2+Y79^2)</f>
      </c>
      <c r="AA79" s="7">
        <f>$K79+$X79</f>
      </c>
      <c r="AB79" s="7">
        <f>$L79+$Y79</f>
      </c>
      <c r="AC79" s="7">
        <f>$K79-$X79</f>
      </c>
      <c r="AD79" s="7">
        <f>$L79-$Y79</f>
      </c>
      <c r="AE79" s="7">
        <f>AA79/39.3701</f>
      </c>
      <c r="AF79" s="7">
        <f>AB79/39.3701</f>
      </c>
      <c r="AG79" s="7">
        <f>AC79/39.3701</f>
      </c>
      <c r="AH79" s="7">
        <f>AD79/39.3701</f>
      </c>
      <c r="AI79" s="1"/>
      <c r="AJ79" s="1"/>
      <c r="AK79" s="1"/>
      <c r="AL79" s="1"/>
      <c r="AM79" s="2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</row>
    <row x14ac:dyDescent="0.25" r="80" customHeight="1" ht="18.75">
      <c r="A80" s="1"/>
      <c r="B80" s="2"/>
      <c r="C80" s="2"/>
      <c r="D80" s="2"/>
      <c r="E80" s="2"/>
      <c r="F80" s="2"/>
      <c r="G80" s="1"/>
      <c r="H80" s="1"/>
      <c r="I80" s="7">
        <v>0.077</v>
      </c>
      <c r="J80" s="7">
        <f>IF((I80-ROUNDDOWN(I80,0))=0, 0, (I80-ROUNDDOWN(I80,0)))</f>
      </c>
      <c r="K80" s="7">
        <f>INDIRECT("C$"&amp;2+MIN(2,ROUNDDOWN(I80,0))*3)*(-$J80^3+3*$J80^2-3*$J80+1)+INDIRECT("C$"&amp;3+MIN(2,ROUNDDOWN(I80,0))*3)*(3*$J80^3-6*$J80^2+3*$J80)+INDIRECT("C$"&amp;4+MIN(2,ROUNDDOWN(I80,0))*3)*(-3*$J80^3+3*$J80^2)+INDIRECT("C$"&amp;5+MIN(2,ROUNDDOWN(I80,0))*3)*$J80^3</f>
      </c>
      <c r="L80" s="7">
        <f>INDIRECT("D$"&amp;2+MIN(2,ROUNDDOWN(I80,0))*3)*(-$J80^3+3*$J80^2-3*$J80+1)+INDIRECT("D$"&amp;3+MIN(2,ROUNDDOWN(I80,0))*3)*(3*$J80^3-6*$J80^2+3*$J80)+INDIRECT("D$"&amp;4+MIN(2,ROUNDDOWN(I80,0))*3)*(-3*$J80^3+3*$J80^2)+INDIRECT("D$"&amp;5+MIN(2,ROUNDDOWN(I80,0))*3)*$J80^3</f>
      </c>
      <c r="M80" s="7">
        <f>SQRT(K80^2+L80^2)</f>
      </c>
      <c r="N80" s="7">
        <f>(K81-K79)</f>
      </c>
      <c r="O80" s="7">
        <f>+(L81-L79)</f>
      </c>
      <c r="P80" s="7">
        <f>SQRT(O80^2+N80^2)</f>
      </c>
      <c r="Q80" s="7">
        <f>N80/$P80</f>
      </c>
      <c r="R80" s="7">
        <f>O80/$P80</f>
      </c>
      <c r="S80" s="8">
        <f>Q80^2+R80^2</f>
      </c>
      <c r="T80" s="7">
        <f>-R80</f>
      </c>
      <c r="U80" s="7">
        <f>Q80</f>
      </c>
      <c r="V80" s="7">
        <f>($C$14+($C$15-$C$14)/($D$15-$D$14)*(I80-$D$14))/2</f>
      </c>
      <c r="W80" s="7">
        <f>($B$22*I80^4+$C$22*I80^3+$D$22*I80^2+$E$22*I80+$F$22)/2</f>
      </c>
      <c r="X80" s="7">
        <f>($W80)*(T80)</f>
      </c>
      <c r="Y80" s="7">
        <f>($W80)*(U80)</f>
      </c>
      <c r="Z80" s="7">
        <f>SQRT(X80^2+Y80^2)</f>
      </c>
      <c r="AA80" s="7">
        <f>$K80+$X80</f>
      </c>
      <c r="AB80" s="7">
        <f>$L80+$Y80</f>
      </c>
      <c r="AC80" s="7">
        <f>$K80-$X80</f>
      </c>
      <c r="AD80" s="7">
        <f>$L80-$Y80</f>
      </c>
      <c r="AE80" s="7">
        <f>AA80/39.3701</f>
      </c>
      <c r="AF80" s="7">
        <f>AB80/39.3701</f>
      </c>
      <c r="AG80" s="7">
        <f>AC80/39.3701</f>
      </c>
      <c r="AH80" s="7">
        <f>AD80/39.3701</f>
      </c>
      <c r="AI80" s="1"/>
      <c r="AJ80" s="1"/>
      <c r="AK80" s="1"/>
      <c r="AL80" s="1"/>
      <c r="AM80" s="2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</row>
    <row x14ac:dyDescent="0.25" r="81" customHeight="1" ht="18.75">
      <c r="A81" s="1"/>
      <c r="B81" s="2"/>
      <c r="C81" s="2"/>
      <c r="D81" s="2"/>
      <c r="E81" s="2"/>
      <c r="F81" s="2"/>
      <c r="G81" s="1"/>
      <c r="H81" s="1"/>
      <c r="I81" s="7">
        <v>0.078</v>
      </c>
      <c r="J81" s="7">
        <f>IF((I81-ROUNDDOWN(I81,0))=0, 0, (I81-ROUNDDOWN(I81,0)))</f>
      </c>
      <c r="K81" s="7">
        <f>INDIRECT("C$"&amp;2+MIN(2,ROUNDDOWN(I81,0))*3)*(-$J81^3+3*$J81^2-3*$J81+1)+INDIRECT("C$"&amp;3+MIN(2,ROUNDDOWN(I81,0))*3)*(3*$J81^3-6*$J81^2+3*$J81)+INDIRECT("C$"&amp;4+MIN(2,ROUNDDOWN(I81,0))*3)*(-3*$J81^3+3*$J81^2)+INDIRECT("C$"&amp;5+MIN(2,ROUNDDOWN(I81,0))*3)*$J81^3</f>
      </c>
      <c r="L81" s="7">
        <f>INDIRECT("D$"&amp;2+MIN(2,ROUNDDOWN(I81,0))*3)*(-$J81^3+3*$J81^2-3*$J81+1)+INDIRECT("D$"&amp;3+MIN(2,ROUNDDOWN(I81,0))*3)*(3*$J81^3-6*$J81^2+3*$J81)+INDIRECT("D$"&amp;4+MIN(2,ROUNDDOWN(I81,0))*3)*(-3*$J81^3+3*$J81^2)+INDIRECT("D$"&amp;5+MIN(2,ROUNDDOWN(I81,0))*3)*$J81^3</f>
      </c>
      <c r="M81" s="7">
        <f>SQRT(K81^2+L81^2)</f>
      </c>
      <c r="N81" s="7">
        <f>(K82-K80)</f>
      </c>
      <c r="O81" s="7">
        <f>+(L82-L80)</f>
      </c>
      <c r="P81" s="7">
        <f>SQRT(O81^2+N81^2)</f>
      </c>
      <c r="Q81" s="7">
        <f>N81/$P81</f>
      </c>
      <c r="R81" s="7">
        <f>O81/$P81</f>
      </c>
      <c r="S81" s="8">
        <f>Q81^2+R81^2</f>
      </c>
      <c r="T81" s="7">
        <f>-R81</f>
      </c>
      <c r="U81" s="7">
        <f>Q81</f>
      </c>
      <c r="V81" s="7">
        <f>($C$14+($C$15-$C$14)/($D$15-$D$14)*(I81-$D$14))/2</f>
      </c>
      <c r="W81" s="7">
        <f>($B$22*I81^4+$C$22*I81^3+$D$22*I81^2+$E$22*I81+$F$22)/2</f>
      </c>
      <c r="X81" s="7">
        <f>($W81)*(T81)</f>
      </c>
      <c r="Y81" s="7">
        <f>($W81)*(U81)</f>
      </c>
      <c r="Z81" s="7">
        <f>SQRT(X81^2+Y81^2)</f>
      </c>
      <c r="AA81" s="7">
        <f>$K81+$X81</f>
      </c>
      <c r="AB81" s="7">
        <f>$L81+$Y81</f>
      </c>
      <c r="AC81" s="7">
        <f>$K81-$X81</f>
      </c>
      <c r="AD81" s="7">
        <f>$L81-$Y81</f>
      </c>
      <c r="AE81" s="7">
        <f>AA81/39.3701</f>
      </c>
      <c r="AF81" s="7">
        <f>AB81/39.3701</f>
      </c>
      <c r="AG81" s="7">
        <f>AC81/39.3701</f>
      </c>
      <c r="AH81" s="7">
        <f>AD81/39.3701</f>
      </c>
      <c r="AI81" s="1"/>
      <c r="AJ81" s="1"/>
      <c r="AK81" s="1"/>
      <c r="AL81" s="1"/>
      <c r="AM81" s="2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</row>
    <row x14ac:dyDescent="0.25" r="82" customHeight="1" ht="18.75">
      <c r="A82" s="1"/>
      <c r="B82" s="2"/>
      <c r="C82" s="2"/>
      <c r="D82" s="2"/>
      <c r="E82" s="2"/>
      <c r="F82" s="2"/>
      <c r="G82" s="1"/>
      <c r="H82" s="1"/>
      <c r="I82" s="7">
        <v>0.079</v>
      </c>
      <c r="J82" s="7">
        <f>IF((I82-ROUNDDOWN(I82,0))=0, 0, (I82-ROUNDDOWN(I82,0)))</f>
      </c>
      <c r="K82" s="7">
        <f>INDIRECT("C$"&amp;2+MIN(2,ROUNDDOWN(I82,0))*3)*(-$J82^3+3*$J82^2-3*$J82+1)+INDIRECT("C$"&amp;3+MIN(2,ROUNDDOWN(I82,0))*3)*(3*$J82^3-6*$J82^2+3*$J82)+INDIRECT("C$"&amp;4+MIN(2,ROUNDDOWN(I82,0))*3)*(-3*$J82^3+3*$J82^2)+INDIRECT("C$"&amp;5+MIN(2,ROUNDDOWN(I82,0))*3)*$J82^3</f>
      </c>
      <c r="L82" s="7">
        <f>INDIRECT("D$"&amp;2+MIN(2,ROUNDDOWN(I82,0))*3)*(-$J82^3+3*$J82^2-3*$J82+1)+INDIRECT("D$"&amp;3+MIN(2,ROUNDDOWN(I82,0))*3)*(3*$J82^3-6*$J82^2+3*$J82)+INDIRECT("D$"&amp;4+MIN(2,ROUNDDOWN(I82,0))*3)*(-3*$J82^3+3*$J82^2)+INDIRECT("D$"&amp;5+MIN(2,ROUNDDOWN(I82,0))*3)*$J82^3</f>
      </c>
      <c r="M82" s="7">
        <f>SQRT(K82^2+L82^2)</f>
      </c>
      <c r="N82" s="7">
        <f>(K83-K81)</f>
      </c>
      <c r="O82" s="7">
        <f>+(L83-L81)</f>
      </c>
      <c r="P82" s="7">
        <f>SQRT(O82^2+N82^2)</f>
      </c>
      <c r="Q82" s="7">
        <f>N82/$P82</f>
      </c>
      <c r="R82" s="7">
        <f>O82/$P82</f>
      </c>
      <c r="S82" s="7">
        <f>Q82^2+R82^2</f>
      </c>
      <c r="T82" s="7">
        <f>-R82</f>
      </c>
      <c r="U82" s="7">
        <f>Q82</f>
      </c>
      <c r="V82" s="7">
        <f>($C$14+($C$15-$C$14)/($D$15-$D$14)*(I82-$D$14))/2</f>
      </c>
      <c r="W82" s="7">
        <f>($B$22*I82^4+$C$22*I82^3+$D$22*I82^2+$E$22*I82+$F$22)/2</f>
      </c>
      <c r="X82" s="7">
        <f>($W82)*(T82)</f>
      </c>
      <c r="Y82" s="7">
        <f>($W82)*(U82)</f>
      </c>
      <c r="Z82" s="7">
        <f>SQRT(X82^2+Y82^2)</f>
      </c>
      <c r="AA82" s="7">
        <f>$K82+$X82</f>
      </c>
      <c r="AB82" s="7">
        <f>$L82+$Y82</f>
      </c>
      <c r="AC82" s="7">
        <f>$K82-$X82</f>
      </c>
      <c r="AD82" s="7">
        <f>$L82-$Y82</f>
      </c>
      <c r="AE82" s="7">
        <f>AA82/39.3701</f>
      </c>
      <c r="AF82" s="7">
        <f>AB82/39.3701</f>
      </c>
      <c r="AG82" s="7">
        <f>AC82/39.3701</f>
      </c>
      <c r="AH82" s="7">
        <f>AD82/39.3701</f>
      </c>
      <c r="AI82" s="1"/>
      <c r="AJ82" s="1"/>
      <c r="AK82" s="1"/>
      <c r="AL82" s="1"/>
      <c r="AM82" s="2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</row>
    <row x14ac:dyDescent="0.25" r="83" customHeight="1" ht="18.75">
      <c r="A83" s="1"/>
      <c r="B83" s="2"/>
      <c r="C83" s="2"/>
      <c r="D83" s="2"/>
      <c r="E83" s="2"/>
      <c r="F83" s="2"/>
      <c r="G83" s="1"/>
      <c r="H83" s="1"/>
      <c r="I83" s="7">
        <v>0.08</v>
      </c>
      <c r="J83" s="7">
        <f>IF((I83-ROUNDDOWN(I83,0))=0, 0, (I83-ROUNDDOWN(I83,0)))</f>
      </c>
      <c r="K83" s="7">
        <f>INDIRECT("C$"&amp;2+MIN(2,ROUNDDOWN(I83,0))*3)*(-$J83^3+3*$J83^2-3*$J83+1)+INDIRECT("C$"&amp;3+MIN(2,ROUNDDOWN(I83,0))*3)*(3*$J83^3-6*$J83^2+3*$J83)+INDIRECT("C$"&amp;4+MIN(2,ROUNDDOWN(I83,0))*3)*(-3*$J83^3+3*$J83^2)+INDIRECT("C$"&amp;5+MIN(2,ROUNDDOWN(I83,0))*3)*$J83^3</f>
      </c>
      <c r="L83" s="7">
        <f>INDIRECT("D$"&amp;2+MIN(2,ROUNDDOWN(I83,0))*3)*(-$J83^3+3*$J83^2-3*$J83+1)+INDIRECT("D$"&amp;3+MIN(2,ROUNDDOWN(I83,0))*3)*(3*$J83^3-6*$J83^2+3*$J83)+INDIRECT("D$"&amp;4+MIN(2,ROUNDDOWN(I83,0))*3)*(-3*$J83^3+3*$J83^2)+INDIRECT("D$"&amp;5+MIN(2,ROUNDDOWN(I83,0))*3)*$J83^3</f>
      </c>
      <c r="M83" s="7">
        <f>SQRT(K83^2+L83^2)</f>
      </c>
      <c r="N83" s="7">
        <f>(K84-K82)</f>
      </c>
      <c r="O83" s="7">
        <f>+(L84-L82)</f>
      </c>
      <c r="P83" s="7">
        <f>SQRT(O83^2+N83^2)</f>
      </c>
      <c r="Q83" s="7">
        <f>N83/$P83</f>
      </c>
      <c r="R83" s="7">
        <f>O83/$P83</f>
      </c>
      <c r="S83" s="8">
        <f>Q83^2+R83^2</f>
      </c>
      <c r="T83" s="7">
        <f>-R83</f>
      </c>
      <c r="U83" s="7">
        <f>Q83</f>
      </c>
      <c r="V83" s="7">
        <f>($C$14+($C$15-$C$14)/($D$15-$D$14)*(I83-$D$14))/2</f>
      </c>
      <c r="W83" s="7">
        <f>($B$22*I83^4+$C$22*I83^3+$D$22*I83^2+$E$22*I83+$F$22)/2</f>
      </c>
      <c r="X83" s="7">
        <f>($W83)*(T83)</f>
      </c>
      <c r="Y83" s="7">
        <f>($W83)*(U83)</f>
      </c>
      <c r="Z83" s="7">
        <f>SQRT(X83^2+Y83^2)</f>
      </c>
      <c r="AA83" s="7">
        <f>$K83+$X83</f>
      </c>
      <c r="AB83" s="7">
        <f>$L83+$Y83</f>
      </c>
      <c r="AC83" s="7">
        <f>$K83-$X83</f>
      </c>
      <c r="AD83" s="7">
        <f>$L83-$Y83</f>
      </c>
      <c r="AE83" s="7">
        <f>AA83/39.3701</f>
      </c>
      <c r="AF83" s="7">
        <f>AB83/39.3701</f>
      </c>
      <c r="AG83" s="7">
        <f>AC83/39.3701</f>
      </c>
      <c r="AH83" s="7">
        <f>AD83/39.3701</f>
      </c>
      <c r="AI83" s="1"/>
      <c r="AJ83" s="1"/>
      <c r="AK83" s="1"/>
      <c r="AL83" s="1"/>
      <c r="AM83" s="2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</row>
    <row x14ac:dyDescent="0.25" r="84" customHeight="1" ht="18.75">
      <c r="A84" s="1"/>
      <c r="B84" s="2"/>
      <c r="C84" s="2"/>
      <c r="D84" s="2"/>
      <c r="E84" s="2"/>
      <c r="F84" s="2"/>
      <c r="G84" s="1"/>
      <c r="H84" s="1"/>
      <c r="I84" s="7">
        <v>0.081</v>
      </c>
      <c r="J84" s="7">
        <f>IF((I84-ROUNDDOWN(I84,0))=0, 0, (I84-ROUNDDOWN(I84,0)))</f>
      </c>
      <c r="K84" s="7">
        <f>INDIRECT("C$"&amp;2+MIN(2,ROUNDDOWN(I84,0))*3)*(-$J84^3+3*$J84^2-3*$J84+1)+INDIRECT("C$"&amp;3+MIN(2,ROUNDDOWN(I84,0))*3)*(3*$J84^3-6*$J84^2+3*$J84)+INDIRECT("C$"&amp;4+MIN(2,ROUNDDOWN(I84,0))*3)*(-3*$J84^3+3*$J84^2)+INDIRECT("C$"&amp;5+MIN(2,ROUNDDOWN(I84,0))*3)*$J84^3</f>
      </c>
      <c r="L84" s="7">
        <f>INDIRECT("D$"&amp;2+MIN(2,ROUNDDOWN(I84,0))*3)*(-$J84^3+3*$J84^2-3*$J84+1)+INDIRECT("D$"&amp;3+MIN(2,ROUNDDOWN(I84,0))*3)*(3*$J84^3-6*$J84^2+3*$J84)+INDIRECT("D$"&amp;4+MIN(2,ROUNDDOWN(I84,0))*3)*(-3*$J84^3+3*$J84^2)+INDIRECT("D$"&amp;5+MIN(2,ROUNDDOWN(I84,0))*3)*$J84^3</f>
      </c>
      <c r="M84" s="7">
        <f>SQRT(K84^2+L84^2)</f>
      </c>
      <c r="N84" s="7">
        <f>(K85-K83)</f>
      </c>
      <c r="O84" s="7">
        <f>+(L85-L83)</f>
      </c>
      <c r="P84" s="7">
        <f>SQRT(O84^2+N84^2)</f>
      </c>
      <c r="Q84" s="7">
        <f>N84/$P84</f>
      </c>
      <c r="R84" s="7">
        <f>O84/$P84</f>
      </c>
      <c r="S84" s="7">
        <f>Q84^2+R84^2</f>
      </c>
      <c r="T84" s="7">
        <f>-R84</f>
      </c>
      <c r="U84" s="7">
        <f>Q84</f>
      </c>
      <c r="V84" s="7">
        <f>($C$14+($C$15-$C$14)/($D$15-$D$14)*(I84-$D$14))/2</f>
      </c>
      <c r="W84" s="7">
        <f>($B$22*I84^4+$C$22*I84^3+$D$22*I84^2+$E$22*I84+$F$22)/2</f>
      </c>
      <c r="X84" s="7">
        <f>($W84)*(T84)</f>
      </c>
      <c r="Y84" s="7">
        <f>($W84)*(U84)</f>
      </c>
      <c r="Z84" s="7">
        <f>SQRT(X84^2+Y84^2)</f>
      </c>
      <c r="AA84" s="7">
        <f>$K84+$X84</f>
      </c>
      <c r="AB84" s="7">
        <f>$L84+$Y84</f>
      </c>
      <c r="AC84" s="7">
        <f>$K84-$X84</f>
      </c>
      <c r="AD84" s="7">
        <f>$L84-$Y84</f>
      </c>
      <c r="AE84" s="7">
        <f>AA84/39.3701</f>
      </c>
      <c r="AF84" s="7">
        <f>AB84/39.3701</f>
      </c>
      <c r="AG84" s="7">
        <f>AC84/39.3701</f>
      </c>
      <c r="AH84" s="7">
        <f>AD84/39.3701</f>
      </c>
      <c r="AI84" s="1"/>
      <c r="AJ84" s="1"/>
      <c r="AK84" s="1"/>
      <c r="AL84" s="1"/>
      <c r="AM84" s="2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</row>
    <row x14ac:dyDescent="0.25" r="85" customHeight="1" ht="18.75">
      <c r="A85" s="1"/>
      <c r="B85" s="2"/>
      <c r="C85" s="2"/>
      <c r="D85" s="2"/>
      <c r="E85" s="2"/>
      <c r="F85" s="2"/>
      <c r="G85" s="1"/>
      <c r="H85" s="1"/>
      <c r="I85" s="7">
        <v>0.082</v>
      </c>
      <c r="J85" s="7">
        <f>IF((I85-ROUNDDOWN(I85,0))=0, 0, (I85-ROUNDDOWN(I85,0)))</f>
      </c>
      <c r="K85" s="7">
        <f>INDIRECT("C$"&amp;2+MIN(2,ROUNDDOWN(I85,0))*3)*(-$J85^3+3*$J85^2-3*$J85+1)+INDIRECT("C$"&amp;3+MIN(2,ROUNDDOWN(I85,0))*3)*(3*$J85^3-6*$J85^2+3*$J85)+INDIRECT("C$"&amp;4+MIN(2,ROUNDDOWN(I85,0))*3)*(-3*$J85^3+3*$J85^2)+INDIRECT("C$"&amp;5+MIN(2,ROUNDDOWN(I85,0))*3)*$J85^3</f>
      </c>
      <c r="L85" s="7">
        <f>INDIRECT("D$"&amp;2+MIN(2,ROUNDDOWN(I85,0))*3)*(-$J85^3+3*$J85^2-3*$J85+1)+INDIRECT("D$"&amp;3+MIN(2,ROUNDDOWN(I85,0))*3)*(3*$J85^3-6*$J85^2+3*$J85)+INDIRECT("D$"&amp;4+MIN(2,ROUNDDOWN(I85,0))*3)*(-3*$J85^3+3*$J85^2)+INDIRECT("D$"&amp;5+MIN(2,ROUNDDOWN(I85,0))*3)*$J85^3</f>
      </c>
      <c r="M85" s="7">
        <f>SQRT(K85^2+L85^2)</f>
      </c>
      <c r="N85" s="7">
        <f>(K86-K84)</f>
      </c>
      <c r="O85" s="7">
        <f>+(L86-L84)</f>
      </c>
      <c r="P85" s="7">
        <f>SQRT(O85^2+N85^2)</f>
      </c>
      <c r="Q85" s="7">
        <f>N85/$P85</f>
      </c>
      <c r="R85" s="7">
        <f>O85/$P85</f>
      </c>
      <c r="S85" s="7">
        <f>Q85^2+R85^2</f>
      </c>
      <c r="T85" s="7">
        <f>-R85</f>
      </c>
      <c r="U85" s="7">
        <f>Q85</f>
      </c>
      <c r="V85" s="7">
        <f>($C$14+($C$15-$C$14)/($D$15-$D$14)*(I85-$D$14))/2</f>
      </c>
      <c r="W85" s="7">
        <f>($B$22*I85^4+$C$22*I85^3+$D$22*I85^2+$E$22*I85+$F$22)/2</f>
      </c>
      <c r="X85" s="7">
        <f>($W85)*(T85)</f>
      </c>
      <c r="Y85" s="7">
        <f>($W85)*(U85)</f>
      </c>
      <c r="Z85" s="7">
        <f>SQRT(X85^2+Y85^2)</f>
      </c>
      <c r="AA85" s="7">
        <f>$K85+$X85</f>
      </c>
      <c r="AB85" s="7">
        <f>$L85+$Y85</f>
      </c>
      <c r="AC85" s="7">
        <f>$K85-$X85</f>
      </c>
      <c r="AD85" s="7">
        <f>$L85-$Y85</f>
      </c>
      <c r="AE85" s="7">
        <f>AA85/39.3701</f>
      </c>
      <c r="AF85" s="7">
        <f>AB85/39.3701</f>
      </c>
      <c r="AG85" s="7">
        <f>AC85/39.3701</f>
      </c>
      <c r="AH85" s="7">
        <f>AD85/39.3701</f>
      </c>
      <c r="AI85" s="1"/>
      <c r="AJ85" s="1"/>
      <c r="AK85" s="1"/>
      <c r="AL85" s="1"/>
      <c r="AM85" s="2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</row>
    <row x14ac:dyDescent="0.25" r="86" customHeight="1" ht="18.75">
      <c r="A86" s="1"/>
      <c r="B86" s="2"/>
      <c r="C86" s="2"/>
      <c r="D86" s="2"/>
      <c r="E86" s="2"/>
      <c r="F86" s="2"/>
      <c r="G86" s="1"/>
      <c r="H86" s="1"/>
      <c r="I86" s="7">
        <v>0.083</v>
      </c>
      <c r="J86" s="7">
        <f>IF((I86-ROUNDDOWN(I86,0))=0, 0, (I86-ROUNDDOWN(I86,0)))</f>
      </c>
      <c r="K86" s="7">
        <f>INDIRECT("C$"&amp;2+MIN(2,ROUNDDOWN(I86,0))*3)*(-$J86^3+3*$J86^2-3*$J86+1)+INDIRECT("C$"&amp;3+MIN(2,ROUNDDOWN(I86,0))*3)*(3*$J86^3-6*$J86^2+3*$J86)+INDIRECT("C$"&amp;4+MIN(2,ROUNDDOWN(I86,0))*3)*(-3*$J86^3+3*$J86^2)+INDIRECT("C$"&amp;5+MIN(2,ROUNDDOWN(I86,0))*3)*$J86^3</f>
      </c>
      <c r="L86" s="7">
        <f>INDIRECT("D$"&amp;2+MIN(2,ROUNDDOWN(I86,0))*3)*(-$J86^3+3*$J86^2-3*$J86+1)+INDIRECT("D$"&amp;3+MIN(2,ROUNDDOWN(I86,0))*3)*(3*$J86^3-6*$J86^2+3*$J86)+INDIRECT("D$"&amp;4+MIN(2,ROUNDDOWN(I86,0))*3)*(-3*$J86^3+3*$J86^2)+INDIRECT("D$"&amp;5+MIN(2,ROUNDDOWN(I86,0))*3)*$J86^3</f>
      </c>
      <c r="M86" s="7">
        <f>SQRT(K86^2+L86^2)</f>
      </c>
      <c r="N86" s="7">
        <f>(K87-K85)</f>
      </c>
      <c r="O86" s="7">
        <f>+(L87-L85)</f>
      </c>
      <c r="P86" s="7">
        <f>SQRT(O86^2+N86^2)</f>
      </c>
      <c r="Q86" s="7">
        <f>N86/$P86</f>
      </c>
      <c r="R86" s="7">
        <f>O86/$P86</f>
      </c>
      <c r="S86" s="8">
        <f>Q86^2+R86^2</f>
      </c>
      <c r="T86" s="7">
        <f>-R86</f>
      </c>
      <c r="U86" s="7">
        <f>Q86</f>
      </c>
      <c r="V86" s="7">
        <f>($C$14+($C$15-$C$14)/($D$15-$D$14)*(I86-$D$14))/2</f>
      </c>
      <c r="W86" s="7">
        <f>($B$22*I86^4+$C$22*I86^3+$D$22*I86^2+$E$22*I86+$F$22)/2</f>
      </c>
      <c r="X86" s="7">
        <f>($W86)*(T86)</f>
      </c>
      <c r="Y86" s="7">
        <f>($W86)*(U86)</f>
      </c>
      <c r="Z86" s="7">
        <f>SQRT(X86^2+Y86^2)</f>
      </c>
      <c r="AA86" s="7">
        <f>$K86+$X86</f>
      </c>
      <c r="AB86" s="7">
        <f>$L86+$Y86</f>
      </c>
      <c r="AC86" s="7">
        <f>$K86-$X86</f>
      </c>
      <c r="AD86" s="7">
        <f>$L86-$Y86</f>
      </c>
      <c r="AE86" s="7">
        <f>AA86/39.3701</f>
      </c>
      <c r="AF86" s="7">
        <f>AB86/39.3701</f>
      </c>
      <c r="AG86" s="7">
        <f>AC86/39.3701</f>
      </c>
      <c r="AH86" s="7">
        <f>AD86/39.3701</f>
      </c>
      <c r="AI86" s="1"/>
      <c r="AJ86" s="1"/>
      <c r="AK86" s="1"/>
      <c r="AL86" s="1"/>
      <c r="AM86" s="2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</row>
    <row x14ac:dyDescent="0.25" r="87" customHeight="1" ht="18.75">
      <c r="A87" s="1"/>
      <c r="B87" s="2"/>
      <c r="C87" s="2"/>
      <c r="D87" s="2"/>
      <c r="E87" s="2"/>
      <c r="F87" s="2"/>
      <c r="G87" s="1"/>
      <c r="H87" s="1"/>
      <c r="I87" s="7">
        <v>0.084</v>
      </c>
      <c r="J87" s="7">
        <f>IF((I87-ROUNDDOWN(I87,0))=0, 0, (I87-ROUNDDOWN(I87,0)))</f>
      </c>
      <c r="K87" s="7">
        <f>INDIRECT("C$"&amp;2+MIN(2,ROUNDDOWN(I87,0))*3)*(-$J87^3+3*$J87^2-3*$J87+1)+INDIRECT("C$"&amp;3+MIN(2,ROUNDDOWN(I87,0))*3)*(3*$J87^3-6*$J87^2+3*$J87)+INDIRECT("C$"&amp;4+MIN(2,ROUNDDOWN(I87,0))*3)*(-3*$J87^3+3*$J87^2)+INDIRECT("C$"&amp;5+MIN(2,ROUNDDOWN(I87,0))*3)*$J87^3</f>
      </c>
      <c r="L87" s="7">
        <f>INDIRECT("D$"&amp;2+MIN(2,ROUNDDOWN(I87,0))*3)*(-$J87^3+3*$J87^2-3*$J87+1)+INDIRECT("D$"&amp;3+MIN(2,ROUNDDOWN(I87,0))*3)*(3*$J87^3-6*$J87^2+3*$J87)+INDIRECT("D$"&amp;4+MIN(2,ROUNDDOWN(I87,0))*3)*(-3*$J87^3+3*$J87^2)+INDIRECT("D$"&amp;5+MIN(2,ROUNDDOWN(I87,0))*3)*$J87^3</f>
      </c>
      <c r="M87" s="7">
        <f>SQRT(K87^2+L87^2)</f>
      </c>
      <c r="N87" s="7">
        <f>(K88-K86)</f>
      </c>
      <c r="O87" s="7">
        <f>+(L88-L86)</f>
      </c>
      <c r="P87" s="7">
        <f>SQRT(O87^2+N87^2)</f>
      </c>
      <c r="Q87" s="7">
        <f>N87/$P87</f>
      </c>
      <c r="R87" s="7">
        <f>O87/$P87</f>
      </c>
      <c r="S87" s="8">
        <f>Q87^2+R87^2</f>
      </c>
      <c r="T87" s="7">
        <f>-R87</f>
      </c>
      <c r="U87" s="7">
        <f>Q87</f>
      </c>
      <c r="V87" s="7">
        <f>($C$14+($C$15-$C$14)/($D$15-$D$14)*(I87-$D$14))/2</f>
      </c>
      <c r="W87" s="7">
        <f>($B$22*I87^4+$C$22*I87^3+$D$22*I87^2+$E$22*I87+$F$22)/2</f>
      </c>
      <c r="X87" s="7">
        <f>($W87)*(T87)</f>
      </c>
      <c r="Y87" s="7">
        <f>($W87)*(U87)</f>
      </c>
      <c r="Z87" s="7">
        <f>SQRT(X87^2+Y87^2)</f>
      </c>
      <c r="AA87" s="7">
        <f>$K87+$X87</f>
      </c>
      <c r="AB87" s="7">
        <f>$L87+$Y87</f>
      </c>
      <c r="AC87" s="7">
        <f>$K87-$X87</f>
      </c>
      <c r="AD87" s="7">
        <f>$L87-$Y87</f>
      </c>
      <c r="AE87" s="7">
        <f>AA87/39.3701</f>
      </c>
      <c r="AF87" s="7">
        <f>AB87/39.3701</f>
      </c>
      <c r="AG87" s="7">
        <f>AC87/39.3701</f>
      </c>
      <c r="AH87" s="7">
        <f>AD87/39.3701</f>
      </c>
      <c r="AI87" s="1"/>
      <c r="AJ87" s="1"/>
      <c r="AK87" s="1"/>
      <c r="AL87" s="1"/>
      <c r="AM87" s="2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</row>
    <row x14ac:dyDescent="0.25" r="88" customHeight="1" ht="18.75">
      <c r="A88" s="1"/>
      <c r="B88" s="2"/>
      <c r="C88" s="2"/>
      <c r="D88" s="2"/>
      <c r="E88" s="2"/>
      <c r="F88" s="2"/>
      <c r="G88" s="1"/>
      <c r="H88" s="1"/>
      <c r="I88" s="7">
        <v>0.085</v>
      </c>
      <c r="J88" s="7">
        <f>IF((I88-ROUNDDOWN(I88,0))=0, 0, (I88-ROUNDDOWN(I88,0)))</f>
      </c>
      <c r="K88" s="7">
        <f>INDIRECT("C$"&amp;2+MIN(2,ROUNDDOWN(I88,0))*3)*(-$J88^3+3*$J88^2-3*$J88+1)+INDIRECT("C$"&amp;3+MIN(2,ROUNDDOWN(I88,0))*3)*(3*$J88^3-6*$J88^2+3*$J88)+INDIRECT("C$"&amp;4+MIN(2,ROUNDDOWN(I88,0))*3)*(-3*$J88^3+3*$J88^2)+INDIRECT("C$"&amp;5+MIN(2,ROUNDDOWN(I88,0))*3)*$J88^3</f>
      </c>
      <c r="L88" s="7">
        <f>INDIRECT("D$"&amp;2+MIN(2,ROUNDDOWN(I88,0))*3)*(-$J88^3+3*$J88^2-3*$J88+1)+INDIRECT("D$"&amp;3+MIN(2,ROUNDDOWN(I88,0))*3)*(3*$J88^3-6*$J88^2+3*$J88)+INDIRECT("D$"&amp;4+MIN(2,ROUNDDOWN(I88,0))*3)*(-3*$J88^3+3*$J88^2)+INDIRECT("D$"&amp;5+MIN(2,ROUNDDOWN(I88,0))*3)*$J88^3</f>
      </c>
      <c r="M88" s="7">
        <f>SQRT(K88^2+L88^2)</f>
      </c>
      <c r="N88" s="7">
        <f>(K89-K87)</f>
      </c>
      <c r="O88" s="7">
        <f>+(L89-L87)</f>
      </c>
      <c r="P88" s="7">
        <f>SQRT(O88^2+N88^2)</f>
      </c>
      <c r="Q88" s="7">
        <f>N88/$P88</f>
      </c>
      <c r="R88" s="7">
        <f>O88/$P88</f>
      </c>
      <c r="S88" s="8">
        <f>Q88^2+R88^2</f>
      </c>
      <c r="T88" s="7">
        <f>-R88</f>
      </c>
      <c r="U88" s="7">
        <f>Q88</f>
      </c>
      <c r="V88" s="7">
        <f>($C$14+($C$15-$C$14)/($D$15-$D$14)*(I88-$D$14))/2</f>
      </c>
      <c r="W88" s="7">
        <f>($B$22*I88^4+$C$22*I88^3+$D$22*I88^2+$E$22*I88+$F$22)/2</f>
      </c>
      <c r="X88" s="7">
        <f>($W88)*(T88)</f>
      </c>
      <c r="Y88" s="7">
        <f>($W88)*(U88)</f>
      </c>
      <c r="Z88" s="7">
        <f>SQRT(X88^2+Y88^2)</f>
      </c>
      <c r="AA88" s="7">
        <f>$K88+$X88</f>
      </c>
      <c r="AB88" s="7">
        <f>$L88+$Y88</f>
      </c>
      <c r="AC88" s="7">
        <f>$K88-$X88</f>
      </c>
      <c r="AD88" s="7">
        <f>$L88-$Y88</f>
      </c>
      <c r="AE88" s="7">
        <f>AA88/39.3701</f>
      </c>
      <c r="AF88" s="7">
        <f>AB88/39.3701</f>
      </c>
      <c r="AG88" s="7">
        <f>AC88/39.3701</f>
      </c>
      <c r="AH88" s="7">
        <f>AD88/39.3701</f>
      </c>
      <c r="AI88" s="1"/>
      <c r="AJ88" s="1"/>
      <c r="AK88" s="1"/>
      <c r="AL88" s="1"/>
      <c r="AM88" s="2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</row>
    <row x14ac:dyDescent="0.25" r="89" customHeight="1" ht="18.75">
      <c r="A89" s="1"/>
      <c r="B89" s="2"/>
      <c r="C89" s="2"/>
      <c r="D89" s="2"/>
      <c r="E89" s="2"/>
      <c r="F89" s="2"/>
      <c r="G89" s="1"/>
      <c r="H89" s="1"/>
      <c r="I89" s="7">
        <v>0.086</v>
      </c>
      <c r="J89" s="7">
        <f>IF((I89-ROUNDDOWN(I89,0))=0, 0, (I89-ROUNDDOWN(I89,0)))</f>
      </c>
      <c r="K89" s="7">
        <f>INDIRECT("C$"&amp;2+MIN(2,ROUNDDOWN(I89,0))*3)*(-$J89^3+3*$J89^2-3*$J89+1)+INDIRECT("C$"&amp;3+MIN(2,ROUNDDOWN(I89,0))*3)*(3*$J89^3-6*$J89^2+3*$J89)+INDIRECT("C$"&amp;4+MIN(2,ROUNDDOWN(I89,0))*3)*(-3*$J89^3+3*$J89^2)+INDIRECT("C$"&amp;5+MIN(2,ROUNDDOWN(I89,0))*3)*$J89^3</f>
      </c>
      <c r="L89" s="7">
        <f>INDIRECT("D$"&amp;2+MIN(2,ROUNDDOWN(I89,0))*3)*(-$J89^3+3*$J89^2-3*$J89+1)+INDIRECT("D$"&amp;3+MIN(2,ROUNDDOWN(I89,0))*3)*(3*$J89^3-6*$J89^2+3*$J89)+INDIRECT("D$"&amp;4+MIN(2,ROUNDDOWN(I89,0))*3)*(-3*$J89^3+3*$J89^2)+INDIRECT("D$"&amp;5+MIN(2,ROUNDDOWN(I89,0))*3)*$J89^3</f>
      </c>
      <c r="M89" s="7">
        <f>SQRT(K89^2+L89^2)</f>
      </c>
      <c r="N89" s="7">
        <f>(K90-K88)</f>
      </c>
      <c r="O89" s="7">
        <f>+(L90-L88)</f>
      </c>
      <c r="P89" s="7">
        <f>SQRT(O89^2+N89^2)</f>
      </c>
      <c r="Q89" s="7">
        <f>N89/$P89</f>
      </c>
      <c r="R89" s="7">
        <f>O89/$P89</f>
      </c>
      <c r="S89" s="7">
        <f>Q89^2+R89^2</f>
      </c>
      <c r="T89" s="7">
        <f>-R89</f>
      </c>
      <c r="U89" s="7">
        <f>Q89</f>
      </c>
      <c r="V89" s="7">
        <f>($C$14+($C$15-$C$14)/($D$15-$D$14)*(I89-$D$14))/2</f>
      </c>
      <c r="W89" s="7">
        <f>($B$22*I89^4+$C$22*I89^3+$D$22*I89^2+$E$22*I89+$F$22)/2</f>
      </c>
      <c r="X89" s="7">
        <f>($W89)*(T89)</f>
      </c>
      <c r="Y89" s="7">
        <f>($W89)*(U89)</f>
      </c>
      <c r="Z89" s="7">
        <f>SQRT(X89^2+Y89^2)</f>
      </c>
      <c r="AA89" s="7">
        <f>$K89+$X89</f>
      </c>
      <c r="AB89" s="7">
        <f>$L89+$Y89</f>
      </c>
      <c r="AC89" s="7">
        <f>$K89-$X89</f>
      </c>
      <c r="AD89" s="7">
        <f>$L89-$Y89</f>
      </c>
      <c r="AE89" s="7">
        <f>AA89/39.3701</f>
      </c>
      <c r="AF89" s="7">
        <f>AB89/39.3701</f>
      </c>
      <c r="AG89" s="7">
        <f>AC89/39.3701</f>
      </c>
      <c r="AH89" s="7">
        <f>AD89/39.3701</f>
      </c>
      <c r="AI89" s="1"/>
      <c r="AJ89" s="1"/>
      <c r="AK89" s="1"/>
      <c r="AL89" s="1"/>
      <c r="AM89" s="2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</row>
    <row x14ac:dyDescent="0.25" r="90" customHeight="1" ht="18.75">
      <c r="A90" s="1"/>
      <c r="B90" s="2"/>
      <c r="C90" s="2"/>
      <c r="D90" s="2"/>
      <c r="E90" s="2"/>
      <c r="F90" s="2"/>
      <c r="G90" s="1"/>
      <c r="H90" s="1"/>
      <c r="I90" s="7">
        <v>0.087</v>
      </c>
      <c r="J90" s="7">
        <f>IF((I90-ROUNDDOWN(I90,0))=0, 0, (I90-ROUNDDOWN(I90,0)))</f>
      </c>
      <c r="K90" s="7">
        <f>INDIRECT("C$"&amp;2+MIN(2,ROUNDDOWN(I90,0))*3)*(-$J90^3+3*$J90^2-3*$J90+1)+INDIRECT("C$"&amp;3+MIN(2,ROUNDDOWN(I90,0))*3)*(3*$J90^3-6*$J90^2+3*$J90)+INDIRECT("C$"&amp;4+MIN(2,ROUNDDOWN(I90,0))*3)*(-3*$J90^3+3*$J90^2)+INDIRECT("C$"&amp;5+MIN(2,ROUNDDOWN(I90,0))*3)*$J90^3</f>
      </c>
      <c r="L90" s="7">
        <f>INDIRECT("D$"&amp;2+MIN(2,ROUNDDOWN(I90,0))*3)*(-$J90^3+3*$J90^2-3*$J90+1)+INDIRECT("D$"&amp;3+MIN(2,ROUNDDOWN(I90,0))*3)*(3*$J90^3-6*$J90^2+3*$J90)+INDIRECT("D$"&amp;4+MIN(2,ROUNDDOWN(I90,0))*3)*(-3*$J90^3+3*$J90^2)+INDIRECT("D$"&amp;5+MIN(2,ROUNDDOWN(I90,0))*3)*$J90^3</f>
      </c>
      <c r="M90" s="7">
        <f>SQRT(K90^2+L90^2)</f>
      </c>
      <c r="N90" s="7">
        <f>(K91-K89)</f>
      </c>
      <c r="O90" s="7">
        <f>+(L91-L89)</f>
      </c>
      <c r="P90" s="7">
        <f>SQRT(O90^2+N90^2)</f>
      </c>
      <c r="Q90" s="7">
        <f>N90/$P90</f>
      </c>
      <c r="R90" s="7">
        <f>O90/$P90</f>
      </c>
      <c r="S90" s="7">
        <f>Q90^2+R90^2</f>
      </c>
      <c r="T90" s="7">
        <f>-R90</f>
      </c>
      <c r="U90" s="7">
        <f>Q90</f>
      </c>
      <c r="V90" s="7">
        <f>($C$14+($C$15-$C$14)/($D$15-$D$14)*(I90-$D$14))/2</f>
      </c>
      <c r="W90" s="7">
        <f>($B$22*I90^4+$C$22*I90^3+$D$22*I90^2+$E$22*I90+$F$22)/2</f>
      </c>
      <c r="X90" s="7">
        <f>($W90)*(T90)</f>
      </c>
      <c r="Y90" s="7">
        <f>($W90)*(U90)</f>
      </c>
      <c r="Z90" s="7">
        <f>SQRT(X90^2+Y90^2)</f>
      </c>
      <c r="AA90" s="7">
        <f>$K90+$X90</f>
      </c>
      <c r="AB90" s="7">
        <f>$L90+$Y90</f>
      </c>
      <c r="AC90" s="7">
        <f>$K90-$X90</f>
      </c>
      <c r="AD90" s="7">
        <f>$L90-$Y90</f>
      </c>
      <c r="AE90" s="7">
        <f>AA90/39.3701</f>
      </c>
      <c r="AF90" s="7">
        <f>AB90/39.3701</f>
      </c>
      <c r="AG90" s="7">
        <f>AC90/39.3701</f>
      </c>
      <c r="AH90" s="7">
        <f>AD90/39.3701</f>
      </c>
      <c r="AI90" s="1"/>
      <c r="AJ90" s="1"/>
      <c r="AK90" s="1"/>
      <c r="AL90" s="1"/>
      <c r="AM90" s="2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</row>
    <row x14ac:dyDescent="0.25" r="91" customHeight="1" ht="18.75">
      <c r="A91" s="1"/>
      <c r="B91" s="2"/>
      <c r="C91" s="2"/>
      <c r="D91" s="2"/>
      <c r="E91" s="2"/>
      <c r="F91" s="2"/>
      <c r="G91" s="1"/>
      <c r="H91" s="1"/>
      <c r="I91" s="7">
        <v>0.088</v>
      </c>
      <c r="J91" s="7">
        <f>IF((I91-ROUNDDOWN(I91,0))=0, 0, (I91-ROUNDDOWN(I91,0)))</f>
      </c>
      <c r="K91" s="7">
        <f>INDIRECT("C$"&amp;2+MIN(2,ROUNDDOWN(I91,0))*3)*(-$J91^3+3*$J91^2-3*$J91+1)+INDIRECT("C$"&amp;3+MIN(2,ROUNDDOWN(I91,0))*3)*(3*$J91^3-6*$J91^2+3*$J91)+INDIRECT("C$"&amp;4+MIN(2,ROUNDDOWN(I91,0))*3)*(-3*$J91^3+3*$J91^2)+INDIRECT("C$"&amp;5+MIN(2,ROUNDDOWN(I91,0))*3)*$J91^3</f>
      </c>
      <c r="L91" s="7">
        <f>INDIRECT("D$"&amp;2+MIN(2,ROUNDDOWN(I91,0))*3)*(-$J91^3+3*$J91^2-3*$J91+1)+INDIRECT("D$"&amp;3+MIN(2,ROUNDDOWN(I91,0))*3)*(3*$J91^3-6*$J91^2+3*$J91)+INDIRECT("D$"&amp;4+MIN(2,ROUNDDOWN(I91,0))*3)*(-3*$J91^3+3*$J91^2)+INDIRECT("D$"&amp;5+MIN(2,ROUNDDOWN(I91,0))*3)*$J91^3</f>
      </c>
      <c r="M91" s="7">
        <f>SQRT(K91^2+L91^2)</f>
      </c>
      <c r="N91" s="7">
        <f>(K92-K90)</f>
      </c>
      <c r="O91" s="7">
        <f>+(L92-L90)</f>
      </c>
      <c r="P91" s="7">
        <f>SQRT(O91^2+N91^2)</f>
      </c>
      <c r="Q91" s="7">
        <f>N91/$P91</f>
      </c>
      <c r="R91" s="7">
        <f>O91/$P91</f>
      </c>
      <c r="S91" s="7">
        <f>Q91^2+R91^2</f>
      </c>
      <c r="T91" s="7">
        <f>-R91</f>
      </c>
      <c r="U91" s="7">
        <f>Q91</f>
      </c>
      <c r="V91" s="7">
        <f>($C$14+($C$15-$C$14)/($D$15-$D$14)*(I91-$D$14))/2</f>
      </c>
      <c r="W91" s="7">
        <f>($B$22*I91^4+$C$22*I91^3+$D$22*I91^2+$E$22*I91+$F$22)/2</f>
      </c>
      <c r="X91" s="7">
        <f>($W91)*(T91)</f>
      </c>
      <c r="Y91" s="7">
        <f>($W91)*(U91)</f>
      </c>
      <c r="Z91" s="7">
        <f>SQRT(X91^2+Y91^2)</f>
      </c>
      <c r="AA91" s="7">
        <f>$K91+$X91</f>
      </c>
      <c r="AB91" s="7">
        <f>$L91+$Y91</f>
      </c>
      <c r="AC91" s="7">
        <f>$K91-$X91</f>
      </c>
      <c r="AD91" s="7">
        <f>$L91-$Y91</f>
      </c>
      <c r="AE91" s="7">
        <f>AA91/39.3701</f>
      </c>
      <c r="AF91" s="7">
        <f>AB91/39.3701</f>
      </c>
      <c r="AG91" s="7">
        <f>AC91/39.3701</f>
      </c>
      <c r="AH91" s="7">
        <f>AD91/39.3701</f>
      </c>
      <c r="AI91" s="1"/>
      <c r="AJ91" s="1"/>
      <c r="AK91" s="1"/>
      <c r="AL91" s="1"/>
      <c r="AM91" s="2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</row>
    <row x14ac:dyDescent="0.25" r="92" customHeight="1" ht="18.75">
      <c r="A92" s="1"/>
      <c r="B92" s="2"/>
      <c r="C92" s="2"/>
      <c r="D92" s="2"/>
      <c r="E92" s="2"/>
      <c r="F92" s="2"/>
      <c r="G92" s="1"/>
      <c r="H92" s="1"/>
      <c r="I92" s="7">
        <v>0.089</v>
      </c>
      <c r="J92" s="7">
        <f>IF((I92-ROUNDDOWN(I92,0))=0, 0, (I92-ROUNDDOWN(I92,0)))</f>
      </c>
      <c r="K92" s="7">
        <f>INDIRECT("C$"&amp;2+MIN(2,ROUNDDOWN(I92,0))*3)*(-$J92^3+3*$J92^2-3*$J92+1)+INDIRECT("C$"&amp;3+MIN(2,ROUNDDOWN(I92,0))*3)*(3*$J92^3-6*$J92^2+3*$J92)+INDIRECT("C$"&amp;4+MIN(2,ROUNDDOWN(I92,0))*3)*(-3*$J92^3+3*$J92^2)+INDIRECT("C$"&amp;5+MIN(2,ROUNDDOWN(I92,0))*3)*$J92^3</f>
      </c>
      <c r="L92" s="7">
        <f>INDIRECT("D$"&amp;2+MIN(2,ROUNDDOWN(I92,0))*3)*(-$J92^3+3*$J92^2-3*$J92+1)+INDIRECT("D$"&amp;3+MIN(2,ROUNDDOWN(I92,0))*3)*(3*$J92^3-6*$J92^2+3*$J92)+INDIRECT("D$"&amp;4+MIN(2,ROUNDDOWN(I92,0))*3)*(-3*$J92^3+3*$J92^2)+INDIRECT("D$"&amp;5+MIN(2,ROUNDDOWN(I92,0))*3)*$J92^3</f>
      </c>
      <c r="M92" s="7">
        <f>SQRT(K92^2+L92^2)</f>
      </c>
      <c r="N92" s="7">
        <f>(K93-K91)</f>
      </c>
      <c r="O92" s="7">
        <f>+(L93-L91)</f>
      </c>
      <c r="P92" s="7">
        <f>SQRT(O92^2+N92^2)</f>
      </c>
      <c r="Q92" s="7">
        <f>N92/$P92</f>
      </c>
      <c r="R92" s="7">
        <f>O92/$P92</f>
      </c>
      <c r="S92" s="8">
        <f>Q92^2+R92^2</f>
      </c>
      <c r="T92" s="7">
        <f>-R92</f>
      </c>
      <c r="U92" s="7">
        <f>Q92</f>
      </c>
      <c r="V92" s="7">
        <f>($C$14+($C$15-$C$14)/($D$15-$D$14)*(I92-$D$14))/2</f>
      </c>
      <c r="W92" s="7">
        <f>($B$22*I92^4+$C$22*I92^3+$D$22*I92^2+$E$22*I92+$F$22)/2</f>
      </c>
      <c r="X92" s="7">
        <f>($W92)*(T92)</f>
      </c>
      <c r="Y92" s="7">
        <f>($W92)*(U92)</f>
      </c>
      <c r="Z92" s="7">
        <f>SQRT(X92^2+Y92^2)</f>
      </c>
      <c r="AA92" s="7">
        <f>$K92+$X92</f>
      </c>
      <c r="AB92" s="7">
        <f>$L92+$Y92</f>
      </c>
      <c r="AC92" s="7">
        <f>$K92-$X92</f>
      </c>
      <c r="AD92" s="7">
        <f>$L92-$Y92</f>
      </c>
      <c r="AE92" s="7">
        <f>AA92/39.3701</f>
      </c>
      <c r="AF92" s="7">
        <f>AB92/39.3701</f>
      </c>
      <c r="AG92" s="7">
        <f>AC92/39.3701</f>
      </c>
      <c r="AH92" s="7">
        <f>AD92/39.3701</f>
      </c>
      <c r="AI92" s="1"/>
      <c r="AJ92" s="1"/>
      <c r="AK92" s="1"/>
      <c r="AL92" s="1"/>
      <c r="AM92" s="2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</row>
    <row x14ac:dyDescent="0.25" r="93" customHeight="1" ht="18.75">
      <c r="A93" s="1"/>
      <c r="B93" s="2"/>
      <c r="C93" s="2"/>
      <c r="D93" s="2"/>
      <c r="E93" s="2"/>
      <c r="F93" s="2"/>
      <c r="G93" s="1"/>
      <c r="H93" s="1"/>
      <c r="I93" s="7">
        <v>0.09</v>
      </c>
      <c r="J93" s="7">
        <f>IF((I93-ROUNDDOWN(I93,0))=0, 0, (I93-ROUNDDOWN(I93,0)))</f>
      </c>
      <c r="K93" s="7">
        <f>INDIRECT("C$"&amp;2+MIN(2,ROUNDDOWN(I93,0))*3)*(-$J93^3+3*$J93^2-3*$J93+1)+INDIRECT("C$"&amp;3+MIN(2,ROUNDDOWN(I93,0))*3)*(3*$J93^3-6*$J93^2+3*$J93)+INDIRECT("C$"&amp;4+MIN(2,ROUNDDOWN(I93,0))*3)*(-3*$J93^3+3*$J93^2)+INDIRECT("C$"&amp;5+MIN(2,ROUNDDOWN(I93,0))*3)*$J93^3</f>
      </c>
      <c r="L93" s="7">
        <f>INDIRECT("D$"&amp;2+MIN(2,ROUNDDOWN(I93,0))*3)*(-$J93^3+3*$J93^2-3*$J93+1)+INDIRECT("D$"&amp;3+MIN(2,ROUNDDOWN(I93,0))*3)*(3*$J93^3-6*$J93^2+3*$J93)+INDIRECT("D$"&amp;4+MIN(2,ROUNDDOWN(I93,0))*3)*(-3*$J93^3+3*$J93^2)+INDIRECT("D$"&amp;5+MIN(2,ROUNDDOWN(I93,0))*3)*$J93^3</f>
      </c>
      <c r="M93" s="7">
        <f>SQRT(K93^2+L93^2)</f>
      </c>
      <c r="N93" s="7">
        <f>(K94-K92)</f>
      </c>
      <c r="O93" s="7">
        <f>+(L94-L92)</f>
      </c>
      <c r="P93" s="7">
        <f>SQRT(O93^2+N93^2)</f>
      </c>
      <c r="Q93" s="7">
        <f>N93/$P93</f>
      </c>
      <c r="R93" s="7">
        <f>O93/$P93</f>
      </c>
      <c r="S93" s="8">
        <f>Q93^2+R93^2</f>
      </c>
      <c r="T93" s="7">
        <f>-R93</f>
      </c>
      <c r="U93" s="7">
        <f>Q93</f>
      </c>
      <c r="V93" s="7">
        <f>($C$14+($C$15-$C$14)/($D$15-$D$14)*(I93-$D$14))/2</f>
      </c>
      <c r="W93" s="7">
        <f>($B$22*I93^4+$C$22*I93^3+$D$22*I93^2+$E$22*I93+$F$22)/2</f>
      </c>
      <c r="X93" s="7">
        <f>($W93)*(T93)</f>
      </c>
      <c r="Y93" s="7">
        <f>($W93)*(U93)</f>
      </c>
      <c r="Z93" s="7">
        <f>SQRT(X93^2+Y93^2)</f>
      </c>
      <c r="AA93" s="7">
        <f>$K93+$X93</f>
      </c>
      <c r="AB93" s="7">
        <f>$L93+$Y93</f>
      </c>
      <c r="AC93" s="7">
        <f>$K93-$X93</f>
      </c>
      <c r="AD93" s="7">
        <f>$L93-$Y93</f>
      </c>
      <c r="AE93" s="7">
        <f>AA93/39.3701</f>
      </c>
      <c r="AF93" s="7">
        <f>AB93/39.3701</f>
      </c>
      <c r="AG93" s="7">
        <f>AC93/39.3701</f>
      </c>
      <c r="AH93" s="7">
        <f>AD93/39.3701</f>
      </c>
      <c r="AI93" s="1"/>
      <c r="AJ93" s="1"/>
      <c r="AK93" s="1"/>
      <c r="AL93" s="1"/>
      <c r="AM93" s="2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</row>
    <row x14ac:dyDescent="0.25" r="94" customHeight="1" ht="18.75">
      <c r="A94" s="1"/>
      <c r="B94" s="2"/>
      <c r="C94" s="2"/>
      <c r="D94" s="2"/>
      <c r="E94" s="2"/>
      <c r="F94" s="2"/>
      <c r="G94" s="1"/>
      <c r="H94" s="1"/>
      <c r="I94" s="7">
        <v>0.091</v>
      </c>
      <c r="J94" s="7">
        <f>IF((I94-ROUNDDOWN(I94,0))=0, 0, (I94-ROUNDDOWN(I94,0)))</f>
      </c>
      <c r="K94" s="7">
        <f>INDIRECT("C$"&amp;2+MIN(2,ROUNDDOWN(I94,0))*3)*(-$J94^3+3*$J94^2-3*$J94+1)+INDIRECT("C$"&amp;3+MIN(2,ROUNDDOWN(I94,0))*3)*(3*$J94^3-6*$J94^2+3*$J94)+INDIRECT("C$"&amp;4+MIN(2,ROUNDDOWN(I94,0))*3)*(-3*$J94^3+3*$J94^2)+INDIRECT("C$"&amp;5+MIN(2,ROUNDDOWN(I94,0))*3)*$J94^3</f>
      </c>
      <c r="L94" s="7">
        <f>INDIRECT("D$"&amp;2+MIN(2,ROUNDDOWN(I94,0))*3)*(-$J94^3+3*$J94^2-3*$J94+1)+INDIRECT("D$"&amp;3+MIN(2,ROUNDDOWN(I94,0))*3)*(3*$J94^3-6*$J94^2+3*$J94)+INDIRECT("D$"&amp;4+MIN(2,ROUNDDOWN(I94,0))*3)*(-3*$J94^3+3*$J94^2)+INDIRECT("D$"&amp;5+MIN(2,ROUNDDOWN(I94,0))*3)*$J94^3</f>
      </c>
      <c r="M94" s="7">
        <f>SQRT(K94^2+L94^2)</f>
      </c>
      <c r="N94" s="7">
        <f>(K95-K93)</f>
      </c>
      <c r="O94" s="7">
        <f>+(L95-L93)</f>
      </c>
      <c r="P94" s="7">
        <f>SQRT(O94^2+N94^2)</f>
      </c>
      <c r="Q94" s="7">
        <f>N94/$P94</f>
      </c>
      <c r="R94" s="7">
        <f>O94/$P94</f>
      </c>
      <c r="S94" s="7">
        <f>Q94^2+R94^2</f>
      </c>
      <c r="T94" s="7">
        <f>-R94</f>
      </c>
      <c r="U94" s="7">
        <f>Q94</f>
      </c>
      <c r="V94" s="7">
        <f>($C$14+($C$15-$C$14)/($D$15-$D$14)*(I94-$D$14))/2</f>
      </c>
      <c r="W94" s="7">
        <f>($B$22*I94^4+$C$22*I94^3+$D$22*I94^2+$E$22*I94+$F$22)/2</f>
      </c>
      <c r="X94" s="7">
        <f>($W94)*(T94)</f>
      </c>
      <c r="Y94" s="7">
        <f>($W94)*(U94)</f>
      </c>
      <c r="Z94" s="7">
        <f>SQRT(X94^2+Y94^2)</f>
      </c>
      <c r="AA94" s="7">
        <f>$K94+$X94</f>
      </c>
      <c r="AB94" s="7">
        <f>$L94+$Y94</f>
      </c>
      <c r="AC94" s="7">
        <f>$K94-$X94</f>
      </c>
      <c r="AD94" s="7">
        <f>$L94-$Y94</f>
      </c>
      <c r="AE94" s="7">
        <f>AA94/39.3701</f>
      </c>
      <c r="AF94" s="7">
        <f>AB94/39.3701</f>
      </c>
      <c r="AG94" s="7">
        <f>AC94/39.3701</f>
      </c>
      <c r="AH94" s="7">
        <f>AD94/39.3701</f>
      </c>
      <c r="AI94" s="1"/>
      <c r="AJ94" s="1"/>
      <c r="AK94" s="1"/>
      <c r="AL94" s="1"/>
      <c r="AM94" s="2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</row>
    <row x14ac:dyDescent="0.25" r="95" customHeight="1" ht="18.75">
      <c r="A95" s="1"/>
      <c r="B95" s="2"/>
      <c r="C95" s="2"/>
      <c r="D95" s="2"/>
      <c r="E95" s="2"/>
      <c r="F95" s="2"/>
      <c r="G95" s="1"/>
      <c r="H95" s="1"/>
      <c r="I95" s="7">
        <v>0.092</v>
      </c>
      <c r="J95" s="7">
        <f>IF((I95-ROUNDDOWN(I95,0))=0, 0, (I95-ROUNDDOWN(I95,0)))</f>
      </c>
      <c r="K95" s="7">
        <f>INDIRECT("C$"&amp;2+MIN(2,ROUNDDOWN(I95,0))*3)*(-$J95^3+3*$J95^2-3*$J95+1)+INDIRECT("C$"&amp;3+MIN(2,ROUNDDOWN(I95,0))*3)*(3*$J95^3-6*$J95^2+3*$J95)+INDIRECT("C$"&amp;4+MIN(2,ROUNDDOWN(I95,0))*3)*(-3*$J95^3+3*$J95^2)+INDIRECT("C$"&amp;5+MIN(2,ROUNDDOWN(I95,0))*3)*$J95^3</f>
      </c>
      <c r="L95" s="7">
        <f>INDIRECT("D$"&amp;2+MIN(2,ROUNDDOWN(I95,0))*3)*(-$J95^3+3*$J95^2-3*$J95+1)+INDIRECT("D$"&amp;3+MIN(2,ROUNDDOWN(I95,0))*3)*(3*$J95^3-6*$J95^2+3*$J95)+INDIRECT("D$"&amp;4+MIN(2,ROUNDDOWN(I95,0))*3)*(-3*$J95^3+3*$J95^2)+INDIRECT("D$"&amp;5+MIN(2,ROUNDDOWN(I95,0))*3)*$J95^3</f>
      </c>
      <c r="M95" s="7">
        <f>SQRT(K95^2+L95^2)</f>
      </c>
      <c r="N95" s="7">
        <f>(K96-K94)</f>
      </c>
      <c r="O95" s="7">
        <f>+(L96-L94)</f>
      </c>
      <c r="P95" s="7">
        <f>SQRT(O95^2+N95^2)</f>
      </c>
      <c r="Q95" s="7">
        <f>N95/$P95</f>
      </c>
      <c r="R95" s="7">
        <f>O95/$P95</f>
      </c>
      <c r="S95" s="8">
        <f>Q95^2+R95^2</f>
      </c>
      <c r="T95" s="7">
        <f>-R95</f>
      </c>
      <c r="U95" s="7">
        <f>Q95</f>
      </c>
      <c r="V95" s="7">
        <f>($C$14+($C$15-$C$14)/($D$15-$D$14)*(I95-$D$14))/2</f>
      </c>
      <c r="W95" s="7">
        <f>($B$22*I95^4+$C$22*I95^3+$D$22*I95^2+$E$22*I95+$F$22)/2</f>
      </c>
      <c r="X95" s="7">
        <f>($W95)*(T95)</f>
      </c>
      <c r="Y95" s="7">
        <f>($W95)*(U95)</f>
      </c>
      <c r="Z95" s="7">
        <f>SQRT(X95^2+Y95^2)</f>
      </c>
      <c r="AA95" s="7">
        <f>$K95+$X95</f>
      </c>
      <c r="AB95" s="7">
        <f>$L95+$Y95</f>
      </c>
      <c r="AC95" s="7">
        <f>$K95-$X95</f>
      </c>
      <c r="AD95" s="7">
        <f>$L95-$Y95</f>
      </c>
      <c r="AE95" s="7">
        <f>AA95/39.3701</f>
      </c>
      <c r="AF95" s="7">
        <f>AB95/39.3701</f>
      </c>
      <c r="AG95" s="7">
        <f>AC95/39.3701</f>
      </c>
      <c r="AH95" s="7">
        <f>AD95/39.3701</f>
      </c>
      <c r="AI95" s="1"/>
      <c r="AJ95" s="1"/>
      <c r="AK95" s="1"/>
      <c r="AL95" s="1"/>
      <c r="AM95" s="2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</row>
    <row x14ac:dyDescent="0.25" r="96" customHeight="1" ht="18.75">
      <c r="A96" s="1"/>
      <c r="B96" s="2"/>
      <c r="C96" s="2"/>
      <c r="D96" s="2"/>
      <c r="E96" s="2"/>
      <c r="F96" s="2"/>
      <c r="G96" s="1"/>
      <c r="H96" s="1"/>
      <c r="I96" s="7">
        <v>0.093</v>
      </c>
      <c r="J96" s="7">
        <f>IF((I96-ROUNDDOWN(I96,0))=0, 0, (I96-ROUNDDOWN(I96,0)))</f>
      </c>
      <c r="K96" s="7">
        <f>INDIRECT("C$"&amp;2+MIN(2,ROUNDDOWN(I96,0))*3)*(-$J96^3+3*$J96^2-3*$J96+1)+INDIRECT("C$"&amp;3+MIN(2,ROUNDDOWN(I96,0))*3)*(3*$J96^3-6*$J96^2+3*$J96)+INDIRECT("C$"&amp;4+MIN(2,ROUNDDOWN(I96,0))*3)*(-3*$J96^3+3*$J96^2)+INDIRECT("C$"&amp;5+MIN(2,ROUNDDOWN(I96,0))*3)*$J96^3</f>
      </c>
      <c r="L96" s="7">
        <f>INDIRECT("D$"&amp;2+MIN(2,ROUNDDOWN(I96,0))*3)*(-$J96^3+3*$J96^2-3*$J96+1)+INDIRECT("D$"&amp;3+MIN(2,ROUNDDOWN(I96,0))*3)*(3*$J96^3-6*$J96^2+3*$J96)+INDIRECT("D$"&amp;4+MIN(2,ROUNDDOWN(I96,0))*3)*(-3*$J96^3+3*$J96^2)+INDIRECT("D$"&amp;5+MIN(2,ROUNDDOWN(I96,0))*3)*$J96^3</f>
      </c>
      <c r="M96" s="7">
        <f>SQRT(K96^2+L96^2)</f>
      </c>
      <c r="N96" s="7">
        <f>(K97-K95)</f>
      </c>
      <c r="O96" s="7">
        <f>+(L97-L95)</f>
      </c>
      <c r="P96" s="7">
        <f>SQRT(O96^2+N96^2)</f>
      </c>
      <c r="Q96" s="7">
        <f>N96/$P96</f>
      </c>
      <c r="R96" s="7">
        <f>O96/$P96</f>
      </c>
      <c r="S96" s="8">
        <f>Q96^2+R96^2</f>
      </c>
      <c r="T96" s="7">
        <f>-R96</f>
      </c>
      <c r="U96" s="7">
        <f>Q96</f>
      </c>
      <c r="V96" s="7">
        <f>($C$14+($C$15-$C$14)/($D$15-$D$14)*(I96-$D$14))/2</f>
      </c>
      <c r="W96" s="7">
        <f>($B$22*I96^4+$C$22*I96^3+$D$22*I96^2+$E$22*I96+$F$22)/2</f>
      </c>
      <c r="X96" s="7">
        <f>($W96)*(T96)</f>
      </c>
      <c r="Y96" s="7">
        <f>($W96)*(U96)</f>
      </c>
      <c r="Z96" s="7">
        <f>SQRT(X96^2+Y96^2)</f>
      </c>
      <c r="AA96" s="7">
        <f>$K96+$X96</f>
      </c>
      <c r="AB96" s="7">
        <f>$L96+$Y96</f>
      </c>
      <c r="AC96" s="7">
        <f>$K96-$X96</f>
      </c>
      <c r="AD96" s="7">
        <f>$L96-$Y96</f>
      </c>
      <c r="AE96" s="7">
        <f>AA96/39.3701</f>
      </c>
      <c r="AF96" s="7">
        <f>AB96/39.3701</f>
      </c>
      <c r="AG96" s="7">
        <f>AC96/39.3701</f>
      </c>
      <c r="AH96" s="7">
        <f>AD96/39.3701</f>
      </c>
      <c r="AI96" s="1"/>
      <c r="AJ96" s="1"/>
      <c r="AK96" s="1"/>
      <c r="AL96" s="1"/>
      <c r="AM96" s="2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</row>
    <row x14ac:dyDescent="0.25" r="97" customHeight="1" ht="18.75">
      <c r="A97" s="1"/>
      <c r="B97" s="2"/>
      <c r="C97" s="2"/>
      <c r="D97" s="2"/>
      <c r="E97" s="2"/>
      <c r="F97" s="2"/>
      <c r="G97" s="1"/>
      <c r="H97" s="1"/>
      <c r="I97" s="7">
        <v>0.094</v>
      </c>
      <c r="J97" s="7">
        <f>IF((I97-ROUNDDOWN(I97,0))=0, 0, (I97-ROUNDDOWN(I97,0)))</f>
      </c>
      <c r="K97" s="7">
        <f>INDIRECT("C$"&amp;2+MIN(2,ROUNDDOWN(I97,0))*3)*(-$J97^3+3*$J97^2-3*$J97+1)+INDIRECT("C$"&amp;3+MIN(2,ROUNDDOWN(I97,0))*3)*(3*$J97^3-6*$J97^2+3*$J97)+INDIRECT("C$"&amp;4+MIN(2,ROUNDDOWN(I97,0))*3)*(-3*$J97^3+3*$J97^2)+INDIRECT("C$"&amp;5+MIN(2,ROUNDDOWN(I97,0))*3)*$J97^3</f>
      </c>
      <c r="L97" s="7">
        <f>INDIRECT("D$"&amp;2+MIN(2,ROUNDDOWN(I97,0))*3)*(-$J97^3+3*$J97^2-3*$J97+1)+INDIRECT("D$"&amp;3+MIN(2,ROUNDDOWN(I97,0))*3)*(3*$J97^3-6*$J97^2+3*$J97)+INDIRECT("D$"&amp;4+MIN(2,ROUNDDOWN(I97,0))*3)*(-3*$J97^3+3*$J97^2)+INDIRECT("D$"&amp;5+MIN(2,ROUNDDOWN(I97,0))*3)*$J97^3</f>
      </c>
      <c r="M97" s="7">
        <f>SQRT(K97^2+L97^2)</f>
      </c>
      <c r="N97" s="7">
        <f>(K98-K96)</f>
      </c>
      <c r="O97" s="7">
        <f>+(L98-L96)</f>
      </c>
      <c r="P97" s="7">
        <f>SQRT(O97^2+N97^2)</f>
      </c>
      <c r="Q97" s="7">
        <f>N97/$P97</f>
      </c>
      <c r="R97" s="7">
        <f>O97/$P97</f>
      </c>
      <c r="S97" s="8">
        <f>Q97^2+R97^2</f>
      </c>
      <c r="T97" s="7">
        <f>-R97</f>
      </c>
      <c r="U97" s="7">
        <f>Q97</f>
      </c>
      <c r="V97" s="7">
        <f>($C$14+($C$15-$C$14)/($D$15-$D$14)*(I97-$D$14))/2</f>
      </c>
      <c r="W97" s="7">
        <f>($B$22*I97^4+$C$22*I97^3+$D$22*I97^2+$E$22*I97+$F$22)/2</f>
      </c>
      <c r="X97" s="7">
        <f>($W97)*(T97)</f>
      </c>
      <c r="Y97" s="7">
        <f>($W97)*(U97)</f>
      </c>
      <c r="Z97" s="7">
        <f>SQRT(X97^2+Y97^2)</f>
      </c>
      <c r="AA97" s="7">
        <f>$K97+$X97</f>
      </c>
      <c r="AB97" s="7">
        <f>$L97+$Y97</f>
      </c>
      <c r="AC97" s="7">
        <f>$K97-$X97</f>
      </c>
      <c r="AD97" s="7">
        <f>$L97-$Y97</f>
      </c>
      <c r="AE97" s="7">
        <f>AA97/39.3701</f>
      </c>
      <c r="AF97" s="7">
        <f>AB97/39.3701</f>
      </c>
      <c r="AG97" s="7">
        <f>AC97/39.3701</f>
      </c>
      <c r="AH97" s="7">
        <f>AD97/39.3701</f>
      </c>
      <c r="AI97" s="1"/>
      <c r="AJ97" s="1"/>
      <c r="AK97" s="1"/>
      <c r="AL97" s="1"/>
      <c r="AM97" s="2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</row>
    <row x14ac:dyDescent="0.25" r="98" customHeight="1" ht="18.75">
      <c r="A98" s="1"/>
      <c r="B98" s="2"/>
      <c r="C98" s="2"/>
      <c r="D98" s="2"/>
      <c r="E98" s="2"/>
      <c r="F98" s="2"/>
      <c r="G98" s="1"/>
      <c r="H98" s="1"/>
      <c r="I98" s="7">
        <v>0.095</v>
      </c>
      <c r="J98" s="7">
        <f>IF((I98-ROUNDDOWN(I98,0))=0, 0, (I98-ROUNDDOWN(I98,0)))</f>
      </c>
      <c r="K98" s="7">
        <f>INDIRECT("C$"&amp;2+MIN(2,ROUNDDOWN(I98,0))*3)*(-$J98^3+3*$J98^2-3*$J98+1)+INDIRECT("C$"&amp;3+MIN(2,ROUNDDOWN(I98,0))*3)*(3*$J98^3-6*$J98^2+3*$J98)+INDIRECT("C$"&amp;4+MIN(2,ROUNDDOWN(I98,0))*3)*(-3*$J98^3+3*$J98^2)+INDIRECT("C$"&amp;5+MIN(2,ROUNDDOWN(I98,0))*3)*$J98^3</f>
      </c>
      <c r="L98" s="7">
        <f>INDIRECT("D$"&amp;2+MIN(2,ROUNDDOWN(I98,0))*3)*(-$J98^3+3*$J98^2-3*$J98+1)+INDIRECT("D$"&amp;3+MIN(2,ROUNDDOWN(I98,0))*3)*(3*$J98^3-6*$J98^2+3*$J98)+INDIRECT("D$"&amp;4+MIN(2,ROUNDDOWN(I98,0))*3)*(-3*$J98^3+3*$J98^2)+INDIRECT("D$"&amp;5+MIN(2,ROUNDDOWN(I98,0))*3)*$J98^3</f>
      </c>
      <c r="M98" s="7">
        <f>SQRT(K98^2+L98^2)</f>
      </c>
      <c r="N98" s="7">
        <f>(K99-K97)</f>
      </c>
      <c r="O98" s="7">
        <f>+(L99-L97)</f>
      </c>
      <c r="P98" s="7">
        <f>SQRT(O98^2+N98^2)</f>
      </c>
      <c r="Q98" s="7">
        <f>N98/$P98</f>
      </c>
      <c r="R98" s="7">
        <f>O98/$P98</f>
      </c>
      <c r="S98" s="7">
        <f>Q98^2+R98^2</f>
      </c>
      <c r="T98" s="7">
        <f>-R98</f>
      </c>
      <c r="U98" s="7">
        <f>Q98</f>
      </c>
      <c r="V98" s="7">
        <f>($C$14+($C$15-$C$14)/($D$15-$D$14)*(I98-$D$14))/2</f>
      </c>
      <c r="W98" s="7">
        <f>($B$22*I98^4+$C$22*I98^3+$D$22*I98^2+$E$22*I98+$F$22)/2</f>
      </c>
      <c r="X98" s="7">
        <f>($W98)*(T98)</f>
      </c>
      <c r="Y98" s="7">
        <f>($W98)*(U98)</f>
      </c>
      <c r="Z98" s="7">
        <f>SQRT(X98^2+Y98^2)</f>
      </c>
      <c r="AA98" s="7">
        <f>$K98+$X98</f>
      </c>
      <c r="AB98" s="7">
        <f>$L98+$Y98</f>
      </c>
      <c r="AC98" s="7">
        <f>$K98-$X98</f>
      </c>
      <c r="AD98" s="7">
        <f>$L98-$Y98</f>
      </c>
      <c r="AE98" s="7">
        <f>AA98/39.3701</f>
      </c>
      <c r="AF98" s="7">
        <f>AB98/39.3701</f>
      </c>
      <c r="AG98" s="7">
        <f>AC98/39.3701</f>
      </c>
      <c r="AH98" s="7">
        <f>AD98/39.3701</f>
      </c>
      <c r="AI98" s="1"/>
      <c r="AJ98" s="1"/>
      <c r="AK98" s="1"/>
      <c r="AL98" s="1"/>
      <c r="AM98" s="2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</row>
    <row x14ac:dyDescent="0.25" r="99" customHeight="1" ht="18.75">
      <c r="A99" s="1"/>
      <c r="B99" s="2"/>
      <c r="C99" s="2"/>
      <c r="D99" s="2"/>
      <c r="E99" s="2"/>
      <c r="F99" s="2"/>
      <c r="G99" s="1"/>
      <c r="H99" s="1"/>
      <c r="I99" s="7">
        <v>0.096</v>
      </c>
      <c r="J99" s="7">
        <f>IF((I99-ROUNDDOWN(I99,0))=0, 0, (I99-ROUNDDOWN(I99,0)))</f>
      </c>
      <c r="K99" s="7">
        <f>INDIRECT("C$"&amp;2+MIN(2,ROUNDDOWN(I99,0))*3)*(-$J99^3+3*$J99^2-3*$J99+1)+INDIRECT("C$"&amp;3+MIN(2,ROUNDDOWN(I99,0))*3)*(3*$J99^3-6*$J99^2+3*$J99)+INDIRECT("C$"&amp;4+MIN(2,ROUNDDOWN(I99,0))*3)*(-3*$J99^3+3*$J99^2)+INDIRECT("C$"&amp;5+MIN(2,ROUNDDOWN(I99,0))*3)*$J99^3</f>
      </c>
      <c r="L99" s="7">
        <f>INDIRECT("D$"&amp;2+MIN(2,ROUNDDOWN(I99,0))*3)*(-$J99^3+3*$J99^2-3*$J99+1)+INDIRECT("D$"&amp;3+MIN(2,ROUNDDOWN(I99,0))*3)*(3*$J99^3-6*$J99^2+3*$J99)+INDIRECT("D$"&amp;4+MIN(2,ROUNDDOWN(I99,0))*3)*(-3*$J99^3+3*$J99^2)+INDIRECT("D$"&amp;5+MIN(2,ROUNDDOWN(I99,0))*3)*$J99^3</f>
      </c>
      <c r="M99" s="7">
        <f>SQRT(K99^2+L99^2)</f>
      </c>
      <c r="N99" s="7">
        <f>(K100-K98)</f>
      </c>
      <c r="O99" s="7">
        <f>+(L100-L98)</f>
      </c>
      <c r="P99" s="7">
        <f>SQRT(O99^2+N99^2)</f>
      </c>
      <c r="Q99" s="7">
        <f>N99/$P99</f>
      </c>
      <c r="R99" s="7">
        <f>O99/$P99</f>
      </c>
      <c r="S99" s="7">
        <f>Q99^2+R99^2</f>
      </c>
      <c r="T99" s="7">
        <f>-R99</f>
      </c>
      <c r="U99" s="7">
        <f>Q99</f>
      </c>
      <c r="V99" s="7">
        <f>($C$14+($C$15-$C$14)/($D$15-$D$14)*(I99-$D$14))/2</f>
      </c>
      <c r="W99" s="7">
        <f>($B$22*I99^4+$C$22*I99^3+$D$22*I99^2+$E$22*I99+$F$22)/2</f>
      </c>
      <c r="X99" s="7">
        <f>($W99)*(T99)</f>
      </c>
      <c r="Y99" s="7">
        <f>($W99)*(U99)</f>
      </c>
      <c r="Z99" s="7">
        <f>SQRT(X99^2+Y99^2)</f>
      </c>
      <c r="AA99" s="7">
        <f>$K99+$X99</f>
      </c>
      <c r="AB99" s="7">
        <f>$L99+$Y99</f>
      </c>
      <c r="AC99" s="7">
        <f>$K99-$X99</f>
      </c>
      <c r="AD99" s="7">
        <f>$L99-$Y99</f>
      </c>
      <c r="AE99" s="7">
        <f>AA99/39.3701</f>
      </c>
      <c r="AF99" s="7">
        <f>AB99/39.3701</f>
      </c>
      <c r="AG99" s="7">
        <f>AC99/39.3701</f>
      </c>
      <c r="AH99" s="7">
        <f>AD99/39.3701</f>
      </c>
      <c r="AI99" s="1"/>
      <c r="AJ99" s="1"/>
      <c r="AK99" s="1"/>
      <c r="AL99" s="1"/>
      <c r="AM99" s="2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</row>
    <row x14ac:dyDescent="0.25" r="100" customHeight="1" ht="18.75">
      <c r="A100" s="1"/>
      <c r="B100" s="2"/>
      <c r="C100" s="2"/>
      <c r="D100" s="2"/>
      <c r="E100" s="2"/>
      <c r="F100" s="2"/>
      <c r="G100" s="1"/>
      <c r="H100" s="1"/>
      <c r="I100" s="7">
        <v>0.097</v>
      </c>
      <c r="J100" s="7">
        <f>IF((I100-ROUNDDOWN(I100,0))=0, 0, (I100-ROUNDDOWN(I100,0)))</f>
      </c>
      <c r="K100" s="7">
        <f>INDIRECT("C$"&amp;2+MIN(2,ROUNDDOWN(I100,0))*3)*(-$J100^3+3*$J100^2-3*$J100+1)+INDIRECT("C$"&amp;3+MIN(2,ROUNDDOWN(I100,0))*3)*(3*$J100^3-6*$J100^2+3*$J100)+INDIRECT("C$"&amp;4+MIN(2,ROUNDDOWN(I100,0))*3)*(-3*$J100^3+3*$J100^2)+INDIRECT("C$"&amp;5+MIN(2,ROUNDDOWN(I100,0))*3)*$J100^3</f>
      </c>
      <c r="L100" s="7">
        <f>INDIRECT("D$"&amp;2+MIN(2,ROUNDDOWN(I100,0))*3)*(-$J100^3+3*$J100^2-3*$J100+1)+INDIRECT("D$"&amp;3+MIN(2,ROUNDDOWN(I100,0))*3)*(3*$J100^3-6*$J100^2+3*$J100)+INDIRECT("D$"&amp;4+MIN(2,ROUNDDOWN(I100,0))*3)*(-3*$J100^3+3*$J100^2)+INDIRECT("D$"&amp;5+MIN(2,ROUNDDOWN(I100,0))*3)*$J100^3</f>
      </c>
      <c r="M100" s="7">
        <f>SQRT(K100^2+L100^2)</f>
      </c>
      <c r="N100" s="7">
        <f>(K101-K99)</f>
      </c>
      <c r="O100" s="7">
        <f>+(L101-L99)</f>
      </c>
      <c r="P100" s="7">
        <f>SQRT(O100^2+N100^2)</f>
      </c>
      <c r="Q100" s="7">
        <f>N100/$P100</f>
      </c>
      <c r="R100" s="7">
        <f>O100/$P100</f>
      </c>
      <c r="S100" s="8">
        <f>Q100^2+R100^2</f>
      </c>
      <c r="T100" s="7">
        <f>-R100</f>
      </c>
      <c r="U100" s="7">
        <f>Q100</f>
      </c>
      <c r="V100" s="7">
        <f>($C$14+($C$15-$C$14)/($D$15-$D$14)*(I100-$D$14))/2</f>
      </c>
      <c r="W100" s="7">
        <f>($B$22*I100^4+$C$22*I100^3+$D$22*I100^2+$E$22*I100+$F$22)/2</f>
      </c>
      <c r="X100" s="7">
        <f>($W100)*(T100)</f>
      </c>
      <c r="Y100" s="7">
        <f>($W100)*(U100)</f>
      </c>
      <c r="Z100" s="7">
        <f>SQRT(X100^2+Y100^2)</f>
      </c>
      <c r="AA100" s="7">
        <f>$K100+$X100</f>
      </c>
      <c r="AB100" s="7">
        <f>$L100+$Y100</f>
      </c>
      <c r="AC100" s="7">
        <f>$K100-$X100</f>
      </c>
      <c r="AD100" s="7">
        <f>$L100-$Y100</f>
      </c>
      <c r="AE100" s="7">
        <f>AA100/39.3701</f>
      </c>
      <c r="AF100" s="7">
        <f>AB100/39.3701</f>
      </c>
      <c r="AG100" s="7">
        <f>AC100/39.3701</f>
      </c>
      <c r="AH100" s="7">
        <f>AD100/39.3701</f>
      </c>
      <c r="AI100" s="1"/>
      <c r="AJ100" s="1"/>
      <c r="AK100" s="1"/>
      <c r="AL100" s="1"/>
      <c r="AM100" s="2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</row>
    <row x14ac:dyDescent="0.25" r="101" customHeight="1" ht="18.75">
      <c r="A101" s="1"/>
      <c r="B101" s="2"/>
      <c r="C101" s="2"/>
      <c r="D101" s="2"/>
      <c r="E101" s="2"/>
      <c r="F101" s="2"/>
      <c r="G101" s="1"/>
      <c r="H101" s="1"/>
      <c r="I101" s="7">
        <v>0.098</v>
      </c>
      <c r="J101" s="7">
        <f>IF((I101-ROUNDDOWN(I101,0))=0, 0, (I101-ROUNDDOWN(I101,0)))</f>
      </c>
      <c r="K101" s="7">
        <f>INDIRECT("C$"&amp;2+MIN(2,ROUNDDOWN(I101,0))*3)*(-$J101^3+3*$J101^2-3*$J101+1)+INDIRECT("C$"&amp;3+MIN(2,ROUNDDOWN(I101,0))*3)*(3*$J101^3-6*$J101^2+3*$J101)+INDIRECT("C$"&amp;4+MIN(2,ROUNDDOWN(I101,0))*3)*(-3*$J101^3+3*$J101^2)+INDIRECT("C$"&amp;5+MIN(2,ROUNDDOWN(I101,0))*3)*$J101^3</f>
      </c>
      <c r="L101" s="7">
        <f>INDIRECT("D$"&amp;2+MIN(2,ROUNDDOWN(I101,0))*3)*(-$J101^3+3*$J101^2-3*$J101+1)+INDIRECT("D$"&amp;3+MIN(2,ROUNDDOWN(I101,0))*3)*(3*$J101^3-6*$J101^2+3*$J101)+INDIRECT("D$"&amp;4+MIN(2,ROUNDDOWN(I101,0))*3)*(-3*$J101^3+3*$J101^2)+INDIRECT("D$"&amp;5+MIN(2,ROUNDDOWN(I101,0))*3)*$J101^3</f>
      </c>
      <c r="M101" s="7">
        <f>SQRT(K101^2+L101^2)</f>
      </c>
      <c r="N101" s="7">
        <f>(K102-K100)</f>
      </c>
      <c r="O101" s="7">
        <f>+(L102-L100)</f>
      </c>
      <c r="P101" s="7">
        <f>SQRT(O101^2+N101^2)</f>
      </c>
      <c r="Q101" s="7">
        <f>N101/$P101</f>
      </c>
      <c r="R101" s="7">
        <f>O101/$P101</f>
      </c>
      <c r="S101" s="7">
        <f>Q101^2+R101^2</f>
      </c>
      <c r="T101" s="7">
        <f>-R101</f>
      </c>
      <c r="U101" s="7">
        <f>Q101</f>
      </c>
      <c r="V101" s="7">
        <f>($C$14+($C$15-$C$14)/($D$15-$D$14)*(I101-$D$14))/2</f>
      </c>
      <c r="W101" s="7">
        <f>($B$22*I101^4+$C$22*I101^3+$D$22*I101^2+$E$22*I101+$F$22)/2</f>
      </c>
      <c r="X101" s="7">
        <f>($W101)*(T101)</f>
      </c>
      <c r="Y101" s="7">
        <f>($W101)*(U101)</f>
      </c>
      <c r="Z101" s="7">
        <f>SQRT(X101^2+Y101^2)</f>
      </c>
      <c r="AA101" s="7">
        <f>$K101+$X101</f>
      </c>
      <c r="AB101" s="7">
        <f>$L101+$Y101</f>
      </c>
      <c r="AC101" s="7">
        <f>$K101-$X101</f>
      </c>
      <c r="AD101" s="7">
        <f>$L101-$Y101</f>
      </c>
      <c r="AE101" s="7">
        <f>AA101/39.3701</f>
      </c>
      <c r="AF101" s="7">
        <f>AB101/39.3701</f>
      </c>
      <c r="AG101" s="7">
        <f>AC101/39.3701</f>
      </c>
      <c r="AH101" s="7">
        <f>AD101/39.3701</f>
      </c>
      <c r="AI101" s="1"/>
      <c r="AJ101" s="1"/>
      <c r="AK101" s="1"/>
      <c r="AL101" s="1"/>
      <c r="AM101" s="2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</row>
    <row x14ac:dyDescent="0.25" r="102" customHeight="1" ht="18.75">
      <c r="A102" s="1"/>
      <c r="B102" s="2"/>
      <c r="C102" s="2"/>
      <c r="D102" s="2"/>
      <c r="E102" s="2"/>
      <c r="F102" s="2"/>
      <c r="G102" s="1"/>
      <c r="H102" s="1"/>
      <c r="I102" s="7">
        <v>0.099</v>
      </c>
      <c r="J102" s="7">
        <f>IF((I102-ROUNDDOWN(I102,0))=0, 0, (I102-ROUNDDOWN(I102,0)))</f>
      </c>
      <c r="K102" s="7">
        <f>INDIRECT("C$"&amp;2+MIN(2,ROUNDDOWN(I102,0))*3)*(-$J102^3+3*$J102^2-3*$J102+1)+INDIRECT("C$"&amp;3+MIN(2,ROUNDDOWN(I102,0))*3)*(3*$J102^3-6*$J102^2+3*$J102)+INDIRECT("C$"&amp;4+MIN(2,ROUNDDOWN(I102,0))*3)*(-3*$J102^3+3*$J102^2)+INDIRECT("C$"&amp;5+MIN(2,ROUNDDOWN(I102,0))*3)*$J102^3</f>
      </c>
      <c r="L102" s="7">
        <f>INDIRECT("D$"&amp;2+MIN(2,ROUNDDOWN(I102,0))*3)*(-$J102^3+3*$J102^2-3*$J102+1)+INDIRECT("D$"&amp;3+MIN(2,ROUNDDOWN(I102,0))*3)*(3*$J102^3-6*$J102^2+3*$J102)+INDIRECT("D$"&amp;4+MIN(2,ROUNDDOWN(I102,0))*3)*(-3*$J102^3+3*$J102^2)+INDIRECT("D$"&amp;5+MIN(2,ROUNDDOWN(I102,0))*3)*$J102^3</f>
      </c>
      <c r="M102" s="7">
        <f>SQRT(K102^2+L102^2)</f>
      </c>
      <c r="N102" s="7">
        <f>(K103-K101)</f>
      </c>
      <c r="O102" s="7">
        <f>+(L103-L101)</f>
      </c>
      <c r="P102" s="7">
        <f>SQRT(O102^2+N102^2)</f>
      </c>
      <c r="Q102" s="7">
        <f>N102/$P102</f>
      </c>
      <c r="R102" s="7">
        <f>O102/$P102</f>
      </c>
      <c r="S102" s="7">
        <f>Q102^2+R102^2</f>
      </c>
      <c r="T102" s="7">
        <f>-R102</f>
      </c>
      <c r="U102" s="7">
        <f>Q102</f>
      </c>
      <c r="V102" s="7">
        <f>($C$14+($C$15-$C$14)/($D$15-$D$14)*(I102-$D$14))/2</f>
      </c>
      <c r="W102" s="7">
        <f>($B$22*I102^4+$C$22*I102^3+$D$22*I102^2+$E$22*I102+$F$22)/2</f>
      </c>
      <c r="X102" s="7">
        <f>($W102)*(T102)</f>
      </c>
      <c r="Y102" s="7">
        <f>($W102)*(U102)</f>
      </c>
      <c r="Z102" s="7">
        <f>SQRT(X102^2+Y102^2)</f>
      </c>
      <c r="AA102" s="7">
        <f>$K102+$X102</f>
      </c>
      <c r="AB102" s="7">
        <f>$L102+$Y102</f>
      </c>
      <c r="AC102" s="7">
        <f>$K102-$X102</f>
      </c>
      <c r="AD102" s="7">
        <f>$L102-$Y102</f>
      </c>
      <c r="AE102" s="7">
        <f>AA102/39.3701</f>
      </c>
      <c r="AF102" s="7">
        <f>AB102/39.3701</f>
      </c>
      <c r="AG102" s="7">
        <f>AC102/39.3701</f>
      </c>
      <c r="AH102" s="7">
        <f>AD102/39.3701</f>
      </c>
      <c r="AI102" s="1"/>
      <c r="AJ102" s="1"/>
      <c r="AK102" s="1"/>
      <c r="AL102" s="1"/>
      <c r="AM102" s="2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</row>
    <row x14ac:dyDescent="0.25" r="103" customHeight="1" ht="18.75">
      <c r="A103" s="1"/>
      <c r="B103" s="2"/>
      <c r="C103" s="2"/>
      <c r="D103" s="2"/>
      <c r="E103" s="2"/>
      <c r="F103" s="2"/>
      <c r="G103" s="1"/>
      <c r="H103" s="1"/>
      <c r="I103" s="7">
        <v>0.1</v>
      </c>
      <c r="J103" s="7">
        <f>IF((I103-ROUNDDOWN(I103,0))=0, 0, (I103-ROUNDDOWN(I103,0)))</f>
      </c>
      <c r="K103" s="7">
        <f>INDIRECT("C$"&amp;2+MIN(2,ROUNDDOWN(I103,0))*3)*(-$J103^3+3*$J103^2-3*$J103+1)+INDIRECT("C$"&amp;3+MIN(2,ROUNDDOWN(I103,0))*3)*(3*$J103^3-6*$J103^2+3*$J103)+INDIRECT("C$"&amp;4+MIN(2,ROUNDDOWN(I103,0))*3)*(-3*$J103^3+3*$J103^2)+INDIRECT("C$"&amp;5+MIN(2,ROUNDDOWN(I103,0))*3)*$J103^3</f>
      </c>
      <c r="L103" s="7">
        <f>INDIRECT("D$"&amp;2+MIN(2,ROUNDDOWN(I103,0))*3)*(-$J103^3+3*$J103^2-3*$J103+1)+INDIRECT("D$"&amp;3+MIN(2,ROUNDDOWN(I103,0))*3)*(3*$J103^3-6*$J103^2+3*$J103)+INDIRECT("D$"&amp;4+MIN(2,ROUNDDOWN(I103,0))*3)*(-3*$J103^3+3*$J103^2)+INDIRECT("D$"&amp;5+MIN(2,ROUNDDOWN(I103,0))*3)*$J103^3</f>
      </c>
      <c r="M103" s="7">
        <f>SQRT(K103^2+L103^2)</f>
      </c>
      <c r="N103" s="7">
        <f>(K104-K102)</f>
      </c>
      <c r="O103" s="7">
        <f>+(L104-L102)</f>
      </c>
      <c r="P103" s="7">
        <f>SQRT(O103^2+N103^2)</f>
      </c>
      <c r="Q103" s="7">
        <f>N103/$P103</f>
      </c>
      <c r="R103" s="7">
        <f>O103/$P103</f>
      </c>
      <c r="S103" s="8">
        <f>Q103^2+R103^2</f>
      </c>
      <c r="T103" s="7">
        <f>-R103</f>
      </c>
      <c r="U103" s="7">
        <f>Q103</f>
      </c>
      <c r="V103" s="7">
        <f>($C$14+($C$15-$C$14)/($D$15-$D$14)*(I103-$D$14))/2</f>
      </c>
      <c r="W103" s="7">
        <f>($B$22*I103^4+$C$22*I103^3+$D$22*I103^2+$E$22*I103+$F$22)/2</f>
      </c>
      <c r="X103" s="7">
        <f>($W103)*(T103)</f>
      </c>
      <c r="Y103" s="7">
        <f>($W103)*(U103)</f>
      </c>
      <c r="Z103" s="7">
        <f>SQRT(X103^2+Y103^2)</f>
      </c>
      <c r="AA103" s="7">
        <f>$K103+$X103</f>
      </c>
      <c r="AB103" s="7">
        <f>$L103+$Y103</f>
      </c>
      <c r="AC103" s="7">
        <f>$K103-$X103</f>
      </c>
      <c r="AD103" s="7">
        <f>$L103-$Y103</f>
      </c>
      <c r="AE103" s="7">
        <f>AA103/39.3701</f>
      </c>
      <c r="AF103" s="7">
        <f>AB103/39.3701</f>
      </c>
      <c r="AG103" s="7">
        <f>AC103/39.3701</f>
      </c>
      <c r="AH103" s="7">
        <f>AD103/39.3701</f>
      </c>
      <c r="AI103" s="1"/>
      <c r="AJ103" s="1"/>
      <c r="AK103" s="1"/>
      <c r="AL103" s="1"/>
      <c r="AM103" s="2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</row>
    <row x14ac:dyDescent="0.25" r="104" customHeight="1" ht="18.75">
      <c r="A104" s="1"/>
      <c r="B104" s="2"/>
      <c r="C104" s="2"/>
      <c r="D104" s="2"/>
      <c r="E104" s="2"/>
      <c r="F104" s="2"/>
      <c r="G104" s="1"/>
      <c r="H104" s="1"/>
      <c r="I104" s="7">
        <v>0.101</v>
      </c>
      <c r="J104" s="7">
        <f>IF((I104-ROUNDDOWN(I104,0))=0, 0, (I104-ROUNDDOWN(I104,0)))</f>
      </c>
      <c r="K104" s="7">
        <f>INDIRECT("C$"&amp;2+MIN(2,ROUNDDOWN(I104,0))*3)*(-$J104^3+3*$J104^2-3*$J104+1)+INDIRECT("C$"&amp;3+MIN(2,ROUNDDOWN(I104,0))*3)*(3*$J104^3-6*$J104^2+3*$J104)+INDIRECT("C$"&amp;4+MIN(2,ROUNDDOWN(I104,0))*3)*(-3*$J104^3+3*$J104^2)+INDIRECT("C$"&amp;5+MIN(2,ROUNDDOWN(I104,0))*3)*$J104^3</f>
      </c>
      <c r="L104" s="7">
        <f>INDIRECT("D$"&amp;2+MIN(2,ROUNDDOWN(I104,0))*3)*(-$J104^3+3*$J104^2-3*$J104+1)+INDIRECT("D$"&amp;3+MIN(2,ROUNDDOWN(I104,0))*3)*(3*$J104^3-6*$J104^2+3*$J104)+INDIRECT("D$"&amp;4+MIN(2,ROUNDDOWN(I104,0))*3)*(-3*$J104^3+3*$J104^2)+INDIRECT("D$"&amp;5+MIN(2,ROUNDDOWN(I104,0))*3)*$J104^3</f>
      </c>
      <c r="M104" s="7">
        <f>SQRT(K104^2+L104^2)</f>
      </c>
      <c r="N104" s="7">
        <f>(K105-K103)</f>
      </c>
      <c r="O104" s="7">
        <f>+(L105-L103)</f>
      </c>
      <c r="P104" s="7">
        <f>SQRT(O104^2+N104^2)</f>
      </c>
      <c r="Q104" s="7">
        <f>N104/$P104</f>
      </c>
      <c r="R104" s="7">
        <f>O104/$P104</f>
      </c>
      <c r="S104" s="8">
        <f>Q104^2+R104^2</f>
      </c>
      <c r="T104" s="7">
        <f>-R104</f>
      </c>
      <c r="U104" s="7">
        <f>Q104</f>
      </c>
      <c r="V104" s="7">
        <f>($C$14+($C$15-$C$14)/($D$15-$D$14)*(I104-$D$14))/2</f>
      </c>
      <c r="W104" s="7">
        <f>($B$22*I104^4+$C$22*I104^3+$D$22*I104^2+$E$22*I104+$F$22)/2</f>
      </c>
      <c r="X104" s="7">
        <f>($W104)*(T104)</f>
      </c>
      <c r="Y104" s="7">
        <f>($W104)*(U104)</f>
      </c>
      <c r="Z104" s="7">
        <f>SQRT(X104^2+Y104^2)</f>
      </c>
      <c r="AA104" s="7">
        <f>$K104+$X104</f>
      </c>
      <c r="AB104" s="7">
        <f>$L104+$Y104</f>
      </c>
      <c r="AC104" s="7">
        <f>$K104-$X104</f>
      </c>
      <c r="AD104" s="7">
        <f>$L104-$Y104</f>
      </c>
      <c r="AE104" s="7">
        <f>AA104/39.3701</f>
      </c>
      <c r="AF104" s="7">
        <f>AB104/39.3701</f>
      </c>
      <c r="AG104" s="7">
        <f>AC104/39.3701</f>
      </c>
      <c r="AH104" s="7">
        <f>AD104/39.3701</f>
      </c>
      <c r="AI104" s="1"/>
      <c r="AJ104" s="1"/>
      <c r="AK104" s="1"/>
      <c r="AL104" s="1"/>
      <c r="AM104" s="2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</row>
    <row x14ac:dyDescent="0.25" r="105" customHeight="1" ht="18.75">
      <c r="A105" s="1"/>
      <c r="B105" s="2"/>
      <c r="C105" s="2"/>
      <c r="D105" s="2"/>
      <c r="E105" s="2"/>
      <c r="F105" s="2"/>
      <c r="G105" s="1"/>
      <c r="H105" s="1"/>
      <c r="I105" s="7">
        <v>0.102</v>
      </c>
      <c r="J105" s="7">
        <f>IF((I105-ROUNDDOWN(I105,0))=0, 0, (I105-ROUNDDOWN(I105,0)))</f>
      </c>
      <c r="K105" s="7">
        <f>INDIRECT("C$"&amp;2+MIN(2,ROUNDDOWN(I105,0))*3)*(-$J105^3+3*$J105^2-3*$J105+1)+INDIRECT("C$"&amp;3+MIN(2,ROUNDDOWN(I105,0))*3)*(3*$J105^3-6*$J105^2+3*$J105)+INDIRECT("C$"&amp;4+MIN(2,ROUNDDOWN(I105,0))*3)*(-3*$J105^3+3*$J105^2)+INDIRECT("C$"&amp;5+MIN(2,ROUNDDOWN(I105,0))*3)*$J105^3</f>
      </c>
      <c r="L105" s="7">
        <f>INDIRECT("D$"&amp;2+MIN(2,ROUNDDOWN(I105,0))*3)*(-$J105^3+3*$J105^2-3*$J105+1)+INDIRECT("D$"&amp;3+MIN(2,ROUNDDOWN(I105,0))*3)*(3*$J105^3-6*$J105^2+3*$J105)+INDIRECT("D$"&amp;4+MIN(2,ROUNDDOWN(I105,0))*3)*(-3*$J105^3+3*$J105^2)+INDIRECT("D$"&amp;5+MIN(2,ROUNDDOWN(I105,0))*3)*$J105^3</f>
      </c>
      <c r="M105" s="7">
        <f>SQRT(K105^2+L105^2)</f>
      </c>
      <c r="N105" s="7">
        <f>(K106-K104)</f>
      </c>
      <c r="O105" s="7">
        <f>+(L106-L104)</f>
      </c>
      <c r="P105" s="7">
        <f>SQRT(O105^2+N105^2)</f>
      </c>
      <c r="Q105" s="7">
        <f>N105/$P105</f>
      </c>
      <c r="R105" s="7">
        <f>O105/$P105</f>
      </c>
      <c r="S105" s="8">
        <f>Q105^2+R105^2</f>
      </c>
      <c r="T105" s="7">
        <f>-R105</f>
      </c>
      <c r="U105" s="7">
        <f>Q105</f>
      </c>
      <c r="V105" s="7">
        <f>($C$14+($C$15-$C$14)/($D$15-$D$14)*(I105-$D$14))/2</f>
      </c>
      <c r="W105" s="7">
        <f>($B$22*I105^4+$C$22*I105^3+$D$22*I105^2+$E$22*I105+$F$22)/2</f>
      </c>
      <c r="X105" s="7">
        <f>($W105)*(T105)</f>
      </c>
      <c r="Y105" s="7">
        <f>($W105)*(U105)</f>
      </c>
      <c r="Z105" s="7">
        <f>SQRT(X105^2+Y105^2)</f>
      </c>
      <c r="AA105" s="7">
        <f>$K105+$X105</f>
      </c>
      <c r="AB105" s="7">
        <f>$L105+$Y105</f>
      </c>
      <c r="AC105" s="7">
        <f>$K105-$X105</f>
      </c>
      <c r="AD105" s="7">
        <f>$L105-$Y105</f>
      </c>
      <c r="AE105" s="7">
        <f>AA105/39.3701</f>
      </c>
      <c r="AF105" s="7">
        <f>AB105/39.3701</f>
      </c>
      <c r="AG105" s="7">
        <f>AC105/39.3701</f>
      </c>
      <c r="AH105" s="7">
        <f>AD105/39.3701</f>
      </c>
      <c r="AI105" s="1"/>
      <c r="AJ105" s="1"/>
      <c r="AK105" s="1"/>
      <c r="AL105" s="1"/>
      <c r="AM105" s="2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</row>
    <row x14ac:dyDescent="0.25" r="106" customHeight="1" ht="18.75">
      <c r="A106" s="1"/>
      <c r="B106" s="2"/>
      <c r="C106" s="2"/>
      <c r="D106" s="2"/>
      <c r="E106" s="2"/>
      <c r="F106" s="2"/>
      <c r="G106" s="1"/>
      <c r="H106" s="1"/>
      <c r="I106" s="7">
        <v>0.103</v>
      </c>
      <c r="J106" s="7">
        <f>IF((I106-ROUNDDOWN(I106,0))=0, 0, (I106-ROUNDDOWN(I106,0)))</f>
      </c>
      <c r="K106" s="7">
        <f>INDIRECT("C$"&amp;2+MIN(2,ROUNDDOWN(I106,0))*3)*(-$J106^3+3*$J106^2-3*$J106+1)+INDIRECT("C$"&amp;3+MIN(2,ROUNDDOWN(I106,0))*3)*(3*$J106^3-6*$J106^2+3*$J106)+INDIRECT("C$"&amp;4+MIN(2,ROUNDDOWN(I106,0))*3)*(-3*$J106^3+3*$J106^2)+INDIRECT("C$"&amp;5+MIN(2,ROUNDDOWN(I106,0))*3)*$J106^3</f>
      </c>
      <c r="L106" s="7">
        <f>INDIRECT("D$"&amp;2+MIN(2,ROUNDDOWN(I106,0))*3)*(-$J106^3+3*$J106^2-3*$J106+1)+INDIRECT("D$"&amp;3+MIN(2,ROUNDDOWN(I106,0))*3)*(3*$J106^3-6*$J106^2+3*$J106)+INDIRECT("D$"&amp;4+MIN(2,ROUNDDOWN(I106,0))*3)*(-3*$J106^3+3*$J106^2)+INDIRECT("D$"&amp;5+MIN(2,ROUNDDOWN(I106,0))*3)*$J106^3</f>
      </c>
      <c r="M106" s="7">
        <f>SQRT(K106^2+L106^2)</f>
      </c>
      <c r="N106" s="7">
        <f>(K107-K105)</f>
      </c>
      <c r="O106" s="7">
        <f>+(L107-L105)</f>
      </c>
      <c r="P106" s="7">
        <f>SQRT(O106^2+N106^2)</f>
      </c>
      <c r="Q106" s="7">
        <f>N106/$P106</f>
      </c>
      <c r="R106" s="7">
        <f>O106/$P106</f>
      </c>
      <c r="S106" s="7">
        <f>Q106^2+R106^2</f>
      </c>
      <c r="T106" s="7">
        <f>-R106</f>
      </c>
      <c r="U106" s="7">
        <f>Q106</f>
      </c>
      <c r="V106" s="7">
        <f>($C$14+($C$15-$C$14)/($D$15-$D$14)*(I106-$D$14))/2</f>
      </c>
      <c r="W106" s="7">
        <f>($B$22*I106^4+$C$22*I106^3+$D$22*I106^2+$E$22*I106+$F$22)/2</f>
      </c>
      <c r="X106" s="7">
        <f>($W106)*(T106)</f>
      </c>
      <c r="Y106" s="7">
        <f>($W106)*(U106)</f>
      </c>
      <c r="Z106" s="7">
        <f>SQRT(X106^2+Y106^2)</f>
      </c>
      <c r="AA106" s="7">
        <f>$K106+$X106</f>
      </c>
      <c r="AB106" s="7">
        <f>$L106+$Y106</f>
      </c>
      <c r="AC106" s="7">
        <f>$K106-$X106</f>
      </c>
      <c r="AD106" s="7">
        <f>$L106-$Y106</f>
      </c>
      <c r="AE106" s="7">
        <f>AA106/39.3701</f>
      </c>
      <c r="AF106" s="7">
        <f>AB106/39.3701</f>
      </c>
      <c r="AG106" s="7">
        <f>AC106/39.3701</f>
      </c>
      <c r="AH106" s="7">
        <f>AD106/39.3701</f>
      </c>
      <c r="AI106" s="1"/>
      <c r="AJ106" s="1"/>
      <c r="AK106" s="1"/>
      <c r="AL106" s="1"/>
      <c r="AM106" s="2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</row>
    <row x14ac:dyDescent="0.25" r="107" customHeight="1" ht="18.75">
      <c r="A107" s="1"/>
      <c r="B107" s="2"/>
      <c r="C107" s="2"/>
      <c r="D107" s="2"/>
      <c r="E107" s="2"/>
      <c r="F107" s="2"/>
      <c r="G107" s="1"/>
      <c r="H107" s="1"/>
      <c r="I107" s="7">
        <v>0.104</v>
      </c>
      <c r="J107" s="7">
        <f>IF((I107-ROUNDDOWN(I107,0))=0, 0, (I107-ROUNDDOWN(I107,0)))</f>
      </c>
      <c r="K107" s="7">
        <f>INDIRECT("C$"&amp;2+MIN(2,ROUNDDOWN(I107,0))*3)*(-$J107^3+3*$J107^2-3*$J107+1)+INDIRECT("C$"&amp;3+MIN(2,ROUNDDOWN(I107,0))*3)*(3*$J107^3-6*$J107^2+3*$J107)+INDIRECT("C$"&amp;4+MIN(2,ROUNDDOWN(I107,0))*3)*(-3*$J107^3+3*$J107^2)+INDIRECT("C$"&amp;5+MIN(2,ROUNDDOWN(I107,0))*3)*$J107^3</f>
      </c>
      <c r="L107" s="7">
        <f>INDIRECT("D$"&amp;2+MIN(2,ROUNDDOWN(I107,0))*3)*(-$J107^3+3*$J107^2-3*$J107+1)+INDIRECT("D$"&amp;3+MIN(2,ROUNDDOWN(I107,0))*3)*(3*$J107^3-6*$J107^2+3*$J107)+INDIRECT("D$"&amp;4+MIN(2,ROUNDDOWN(I107,0))*3)*(-3*$J107^3+3*$J107^2)+INDIRECT("D$"&amp;5+MIN(2,ROUNDDOWN(I107,0))*3)*$J107^3</f>
      </c>
      <c r="M107" s="7">
        <f>SQRT(K107^2+L107^2)</f>
      </c>
      <c r="N107" s="7">
        <f>(K108-K106)</f>
      </c>
      <c r="O107" s="7">
        <f>+(L108-L106)</f>
      </c>
      <c r="P107" s="7">
        <f>SQRT(O107^2+N107^2)</f>
      </c>
      <c r="Q107" s="7">
        <f>N107/$P107</f>
      </c>
      <c r="R107" s="7">
        <f>O107/$P107</f>
      </c>
      <c r="S107" s="7">
        <f>Q107^2+R107^2</f>
      </c>
      <c r="T107" s="7">
        <f>-R107</f>
      </c>
      <c r="U107" s="7">
        <f>Q107</f>
      </c>
      <c r="V107" s="7">
        <f>($C$14+($C$15-$C$14)/($D$15-$D$14)*(I107-$D$14))/2</f>
      </c>
      <c r="W107" s="7">
        <f>($B$22*I107^4+$C$22*I107^3+$D$22*I107^2+$E$22*I107+$F$22)/2</f>
      </c>
      <c r="X107" s="7">
        <f>($W107)*(T107)</f>
      </c>
      <c r="Y107" s="7">
        <f>($W107)*(U107)</f>
      </c>
      <c r="Z107" s="7">
        <f>SQRT(X107^2+Y107^2)</f>
      </c>
      <c r="AA107" s="7">
        <f>$K107+$X107</f>
      </c>
      <c r="AB107" s="7">
        <f>$L107+$Y107</f>
      </c>
      <c r="AC107" s="7">
        <f>$K107-$X107</f>
      </c>
      <c r="AD107" s="7">
        <f>$L107-$Y107</f>
      </c>
      <c r="AE107" s="7">
        <f>AA107/39.3701</f>
      </c>
      <c r="AF107" s="7">
        <f>AB107/39.3701</f>
      </c>
      <c r="AG107" s="7">
        <f>AC107/39.3701</f>
      </c>
      <c r="AH107" s="7">
        <f>AD107/39.3701</f>
      </c>
      <c r="AI107" s="1"/>
      <c r="AJ107" s="1"/>
      <c r="AK107" s="1"/>
      <c r="AL107" s="1"/>
      <c r="AM107" s="2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</row>
    <row x14ac:dyDescent="0.25" r="108" customHeight="1" ht="18.75">
      <c r="A108" s="1"/>
      <c r="B108" s="2"/>
      <c r="C108" s="2"/>
      <c r="D108" s="2"/>
      <c r="E108" s="2"/>
      <c r="F108" s="2"/>
      <c r="G108" s="1"/>
      <c r="H108" s="1"/>
      <c r="I108" s="7">
        <v>0.105</v>
      </c>
      <c r="J108" s="7">
        <f>IF((I108-ROUNDDOWN(I108,0))=0, 0, (I108-ROUNDDOWN(I108,0)))</f>
      </c>
      <c r="K108" s="7">
        <f>INDIRECT("C$"&amp;2+MIN(2,ROUNDDOWN(I108,0))*3)*(-$J108^3+3*$J108^2-3*$J108+1)+INDIRECT("C$"&amp;3+MIN(2,ROUNDDOWN(I108,0))*3)*(3*$J108^3-6*$J108^2+3*$J108)+INDIRECT("C$"&amp;4+MIN(2,ROUNDDOWN(I108,0))*3)*(-3*$J108^3+3*$J108^2)+INDIRECT("C$"&amp;5+MIN(2,ROUNDDOWN(I108,0))*3)*$J108^3</f>
      </c>
      <c r="L108" s="7">
        <f>INDIRECT("D$"&amp;2+MIN(2,ROUNDDOWN(I108,0))*3)*(-$J108^3+3*$J108^2-3*$J108+1)+INDIRECT("D$"&amp;3+MIN(2,ROUNDDOWN(I108,0))*3)*(3*$J108^3-6*$J108^2+3*$J108)+INDIRECT("D$"&amp;4+MIN(2,ROUNDDOWN(I108,0))*3)*(-3*$J108^3+3*$J108^2)+INDIRECT("D$"&amp;5+MIN(2,ROUNDDOWN(I108,0))*3)*$J108^3</f>
      </c>
      <c r="M108" s="7">
        <f>SQRT(K108^2+L108^2)</f>
      </c>
      <c r="N108" s="7">
        <f>(K109-K107)</f>
      </c>
      <c r="O108" s="7">
        <f>+(L109-L107)</f>
      </c>
      <c r="P108" s="7">
        <f>SQRT(O108^2+N108^2)</f>
      </c>
      <c r="Q108" s="7">
        <f>N108/$P108</f>
      </c>
      <c r="R108" s="7">
        <f>O108/$P108</f>
      </c>
      <c r="S108" s="8">
        <f>Q108^2+R108^2</f>
      </c>
      <c r="T108" s="7">
        <f>-R108</f>
      </c>
      <c r="U108" s="7">
        <f>Q108</f>
      </c>
      <c r="V108" s="7">
        <f>($C$14+($C$15-$C$14)/($D$15-$D$14)*(I108-$D$14))/2</f>
      </c>
      <c r="W108" s="7">
        <f>($B$22*I108^4+$C$22*I108^3+$D$22*I108^2+$E$22*I108+$F$22)/2</f>
      </c>
      <c r="X108" s="7">
        <f>($W108)*(T108)</f>
      </c>
      <c r="Y108" s="7">
        <f>($W108)*(U108)</f>
      </c>
      <c r="Z108" s="7">
        <f>SQRT(X108^2+Y108^2)</f>
      </c>
      <c r="AA108" s="7">
        <f>$K108+$X108</f>
      </c>
      <c r="AB108" s="7">
        <f>$L108+$Y108</f>
      </c>
      <c r="AC108" s="7">
        <f>$K108-$X108</f>
      </c>
      <c r="AD108" s="7">
        <f>$L108-$Y108</f>
      </c>
      <c r="AE108" s="7">
        <f>AA108/39.3701</f>
      </c>
      <c r="AF108" s="7">
        <f>AB108/39.3701</f>
      </c>
      <c r="AG108" s="7">
        <f>AC108/39.3701</f>
      </c>
      <c r="AH108" s="7">
        <f>AD108/39.3701</f>
      </c>
      <c r="AI108" s="1"/>
      <c r="AJ108" s="1"/>
      <c r="AK108" s="1"/>
      <c r="AL108" s="1"/>
      <c r="AM108" s="2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</row>
    <row x14ac:dyDescent="0.25" r="109" customHeight="1" ht="18.75">
      <c r="A109" s="1"/>
      <c r="B109" s="2"/>
      <c r="C109" s="2"/>
      <c r="D109" s="2"/>
      <c r="E109" s="2"/>
      <c r="F109" s="2"/>
      <c r="G109" s="1"/>
      <c r="H109" s="1"/>
      <c r="I109" s="7">
        <v>0.106</v>
      </c>
      <c r="J109" s="7">
        <f>IF((I109-ROUNDDOWN(I109,0))=0, 0, (I109-ROUNDDOWN(I109,0)))</f>
      </c>
      <c r="K109" s="7">
        <f>INDIRECT("C$"&amp;2+MIN(2,ROUNDDOWN(I109,0))*3)*(-$J109^3+3*$J109^2-3*$J109+1)+INDIRECT("C$"&amp;3+MIN(2,ROUNDDOWN(I109,0))*3)*(3*$J109^3-6*$J109^2+3*$J109)+INDIRECT("C$"&amp;4+MIN(2,ROUNDDOWN(I109,0))*3)*(-3*$J109^3+3*$J109^2)+INDIRECT("C$"&amp;5+MIN(2,ROUNDDOWN(I109,0))*3)*$J109^3</f>
      </c>
      <c r="L109" s="7">
        <f>INDIRECT("D$"&amp;2+MIN(2,ROUNDDOWN(I109,0))*3)*(-$J109^3+3*$J109^2-3*$J109+1)+INDIRECT("D$"&amp;3+MIN(2,ROUNDDOWN(I109,0))*3)*(3*$J109^3-6*$J109^2+3*$J109)+INDIRECT("D$"&amp;4+MIN(2,ROUNDDOWN(I109,0))*3)*(-3*$J109^3+3*$J109^2)+INDIRECT("D$"&amp;5+MIN(2,ROUNDDOWN(I109,0))*3)*$J109^3</f>
      </c>
      <c r="M109" s="7">
        <f>SQRT(K109^2+L109^2)</f>
      </c>
      <c r="N109" s="7">
        <f>(K110-K108)</f>
      </c>
      <c r="O109" s="7">
        <f>+(L110-L108)</f>
      </c>
      <c r="P109" s="7">
        <f>SQRT(O109^2+N109^2)</f>
      </c>
      <c r="Q109" s="7">
        <f>N109/$P109</f>
      </c>
      <c r="R109" s="7">
        <f>O109/$P109</f>
      </c>
      <c r="S109" s="8">
        <f>Q109^2+R109^2</f>
      </c>
      <c r="T109" s="7">
        <f>-R109</f>
      </c>
      <c r="U109" s="7">
        <f>Q109</f>
      </c>
      <c r="V109" s="7">
        <f>($C$14+($C$15-$C$14)/($D$15-$D$14)*(I109-$D$14))/2</f>
      </c>
      <c r="W109" s="7">
        <f>($B$22*I109^4+$C$22*I109^3+$D$22*I109^2+$E$22*I109+$F$22)/2</f>
      </c>
      <c r="X109" s="7">
        <f>($W109)*(T109)</f>
      </c>
      <c r="Y109" s="7">
        <f>($W109)*(U109)</f>
      </c>
      <c r="Z109" s="7">
        <f>SQRT(X109^2+Y109^2)</f>
      </c>
      <c r="AA109" s="7">
        <f>$K109+$X109</f>
      </c>
      <c r="AB109" s="7">
        <f>$L109+$Y109</f>
      </c>
      <c r="AC109" s="7">
        <f>$K109-$X109</f>
      </c>
      <c r="AD109" s="7">
        <f>$L109-$Y109</f>
      </c>
      <c r="AE109" s="7">
        <f>AA109/39.3701</f>
      </c>
      <c r="AF109" s="7">
        <f>AB109/39.3701</f>
      </c>
      <c r="AG109" s="7">
        <f>AC109/39.3701</f>
      </c>
      <c r="AH109" s="7">
        <f>AD109/39.3701</f>
      </c>
      <c r="AI109" s="1"/>
      <c r="AJ109" s="1"/>
      <c r="AK109" s="1"/>
      <c r="AL109" s="1"/>
      <c r="AM109" s="2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</row>
    <row x14ac:dyDescent="0.25" r="110" customHeight="1" ht="18.75">
      <c r="A110" s="1"/>
      <c r="B110" s="2"/>
      <c r="C110" s="2"/>
      <c r="D110" s="2"/>
      <c r="E110" s="2"/>
      <c r="F110" s="2"/>
      <c r="G110" s="1"/>
      <c r="H110" s="1"/>
      <c r="I110" s="7">
        <v>0.107</v>
      </c>
      <c r="J110" s="7">
        <f>IF((I110-ROUNDDOWN(I110,0))=0, 0, (I110-ROUNDDOWN(I110,0)))</f>
      </c>
      <c r="K110" s="7">
        <f>INDIRECT("C$"&amp;2+MIN(2,ROUNDDOWN(I110,0))*3)*(-$J110^3+3*$J110^2-3*$J110+1)+INDIRECT("C$"&amp;3+MIN(2,ROUNDDOWN(I110,0))*3)*(3*$J110^3-6*$J110^2+3*$J110)+INDIRECT("C$"&amp;4+MIN(2,ROUNDDOWN(I110,0))*3)*(-3*$J110^3+3*$J110^2)+INDIRECT("C$"&amp;5+MIN(2,ROUNDDOWN(I110,0))*3)*$J110^3</f>
      </c>
      <c r="L110" s="7">
        <f>INDIRECT("D$"&amp;2+MIN(2,ROUNDDOWN(I110,0))*3)*(-$J110^3+3*$J110^2-3*$J110+1)+INDIRECT("D$"&amp;3+MIN(2,ROUNDDOWN(I110,0))*3)*(3*$J110^3-6*$J110^2+3*$J110)+INDIRECT("D$"&amp;4+MIN(2,ROUNDDOWN(I110,0))*3)*(-3*$J110^3+3*$J110^2)+INDIRECT("D$"&amp;5+MIN(2,ROUNDDOWN(I110,0))*3)*$J110^3</f>
      </c>
      <c r="M110" s="7">
        <f>SQRT(K110^2+L110^2)</f>
      </c>
      <c r="N110" s="7">
        <f>(K111-K109)</f>
      </c>
      <c r="O110" s="7">
        <f>+(L111-L109)</f>
      </c>
      <c r="P110" s="7">
        <f>SQRT(O110^2+N110^2)</f>
      </c>
      <c r="Q110" s="7">
        <f>N110/$P110</f>
      </c>
      <c r="R110" s="7">
        <f>O110/$P110</f>
      </c>
      <c r="S110" s="7">
        <f>Q110^2+R110^2</f>
      </c>
      <c r="T110" s="7">
        <f>-R110</f>
      </c>
      <c r="U110" s="7">
        <f>Q110</f>
      </c>
      <c r="V110" s="7">
        <f>($C$14+($C$15-$C$14)/($D$15-$D$14)*(I110-$D$14))/2</f>
      </c>
      <c r="W110" s="7">
        <f>($B$22*I110^4+$C$22*I110^3+$D$22*I110^2+$E$22*I110+$F$22)/2</f>
      </c>
      <c r="X110" s="7">
        <f>($W110)*(T110)</f>
      </c>
      <c r="Y110" s="7">
        <f>($W110)*(U110)</f>
      </c>
      <c r="Z110" s="7">
        <f>SQRT(X110^2+Y110^2)</f>
      </c>
      <c r="AA110" s="7">
        <f>$K110+$X110</f>
      </c>
      <c r="AB110" s="7">
        <f>$L110+$Y110</f>
      </c>
      <c r="AC110" s="7">
        <f>$K110-$X110</f>
      </c>
      <c r="AD110" s="7">
        <f>$L110-$Y110</f>
      </c>
      <c r="AE110" s="7">
        <f>AA110/39.3701</f>
      </c>
      <c r="AF110" s="7">
        <f>AB110/39.3701</f>
      </c>
      <c r="AG110" s="7">
        <f>AC110/39.3701</f>
      </c>
      <c r="AH110" s="7">
        <f>AD110/39.3701</f>
      </c>
      <c r="AI110" s="1"/>
      <c r="AJ110" s="1"/>
      <c r="AK110" s="1"/>
      <c r="AL110" s="1"/>
      <c r="AM110" s="2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</row>
    <row x14ac:dyDescent="0.25" r="111" customHeight="1" ht="18.75">
      <c r="A111" s="1"/>
      <c r="B111" s="2"/>
      <c r="C111" s="2"/>
      <c r="D111" s="2"/>
      <c r="E111" s="2"/>
      <c r="F111" s="2"/>
      <c r="G111" s="1"/>
      <c r="H111" s="1"/>
      <c r="I111" s="7">
        <v>0.108</v>
      </c>
      <c r="J111" s="7">
        <f>IF((I111-ROUNDDOWN(I111,0))=0, 0, (I111-ROUNDDOWN(I111,0)))</f>
      </c>
      <c r="K111" s="7">
        <f>INDIRECT("C$"&amp;2+MIN(2,ROUNDDOWN(I111,0))*3)*(-$J111^3+3*$J111^2-3*$J111+1)+INDIRECT("C$"&amp;3+MIN(2,ROUNDDOWN(I111,0))*3)*(3*$J111^3-6*$J111^2+3*$J111)+INDIRECT("C$"&amp;4+MIN(2,ROUNDDOWN(I111,0))*3)*(-3*$J111^3+3*$J111^2)+INDIRECT("C$"&amp;5+MIN(2,ROUNDDOWN(I111,0))*3)*$J111^3</f>
      </c>
      <c r="L111" s="7">
        <f>INDIRECT("D$"&amp;2+MIN(2,ROUNDDOWN(I111,0))*3)*(-$J111^3+3*$J111^2-3*$J111+1)+INDIRECT("D$"&amp;3+MIN(2,ROUNDDOWN(I111,0))*3)*(3*$J111^3-6*$J111^2+3*$J111)+INDIRECT("D$"&amp;4+MIN(2,ROUNDDOWN(I111,0))*3)*(-3*$J111^3+3*$J111^2)+INDIRECT("D$"&amp;5+MIN(2,ROUNDDOWN(I111,0))*3)*$J111^3</f>
      </c>
      <c r="M111" s="7">
        <f>SQRT(K111^2+L111^2)</f>
      </c>
      <c r="N111" s="7">
        <f>(K112-K110)</f>
      </c>
      <c r="O111" s="7">
        <f>+(L112-L110)</f>
      </c>
      <c r="P111" s="7">
        <f>SQRT(O111^2+N111^2)</f>
      </c>
      <c r="Q111" s="7">
        <f>N111/$P111</f>
      </c>
      <c r="R111" s="7">
        <f>O111/$P111</f>
      </c>
      <c r="S111" s="8">
        <f>Q111^2+R111^2</f>
      </c>
      <c r="T111" s="7">
        <f>-R111</f>
      </c>
      <c r="U111" s="7">
        <f>Q111</f>
      </c>
      <c r="V111" s="7">
        <f>($C$14+($C$15-$C$14)/($D$15-$D$14)*(I111-$D$14))/2</f>
      </c>
      <c r="W111" s="7">
        <f>($B$22*I111^4+$C$22*I111^3+$D$22*I111^2+$E$22*I111+$F$22)/2</f>
      </c>
      <c r="X111" s="7">
        <f>($W111)*(T111)</f>
      </c>
      <c r="Y111" s="7">
        <f>($W111)*(U111)</f>
      </c>
      <c r="Z111" s="7">
        <f>SQRT(X111^2+Y111^2)</f>
      </c>
      <c r="AA111" s="7">
        <f>$K111+$X111</f>
      </c>
      <c r="AB111" s="7">
        <f>$L111+$Y111</f>
      </c>
      <c r="AC111" s="7">
        <f>$K111-$X111</f>
      </c>
      <c r="AD111" s="7">
        <f>$L111-$Y111</f>
      </c>
      <c r="AE111" s="7">
        <f>AA111/39.3701</f>
      </c>
      <c r="AF111" s="7">
        <f>AB111/39.3701</f>
      </c>
      <c r="AG111" s="7">
        <f>AC111/39.3701</f>
      </c>
      <c r="AH111" s="7">
        <f>AD111/39.3701</f>
      </c>
      <c r="AI111" s="1"/>
      <c r="AJ111" s="1"/>
      <c r="AK111" s="1"/>
      <c r="AL111" s="1"/>
      <c r="AM111" s="2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</row>
    <row x14ac:dyDescent="0.25" r="112" customHeight="1" ht="18.75">
      <c r="A112" s="1"/>
      <c r="B112" s="2"/>
      <c r="C112" s="2"/>
      <c r="D112" s="2"/>
      <c r="E112" s="2"/>
      <c r="F112" s="2"/>
      <c r="G112" s="1"/>
      <c r="H112" s="1"/>
      <c r="I112" s="7">
        <v>0.109</v>
      </c>
      <c r="J112" s="7">
        <f>IF((I112-ROUNDDOWN(I112,0))=0, 0, (I112-ROUNDDOWN(I112,0)))</f>
      </c>
      <c r="K112" s="7">
        <f>INDIRECT("C$"&amp;2+MIN(2,ROUNDDOWN(I112,0))*3)*(-$J112^3+3*$J112^2-3*$J112+1)+INDIRECT("C$"&amp;3+MIN(2,ROUNDDOWN(I112,0))*3)*(3*$J112^3-6*$J112^2+3*$J112)+INDIRECT("C$"&amp;4+MIN(2,ROUNDDOWN(I112,0))*3)*(-3*$J112^3+3*$J112^2)+INDIRECT("C$"&amp;5+MIN(2,ROUNDDOWN(I112,0))*3)*$J112^3</f>
      </c>
      <c r="L112" s="7">
        <f>INDIRECT("D$"&amp;2+MIN(2,ROUNDDOWN(I112,0))*3)*(-$J112^3+3*$J112^2-3*$J112+1)+INDIRECT("D$"&amp;3+MIN(2,ROUNDDOWN(I112,0))*3)*(3*$J112^3-6*$J112^2+3*$J112)+INDIRECT("D$"&amp;4+MIN(2,ROUNDDOWN(I112,0))*3)*(-3*$J112^3+3*$J112^2)+INDIRECT("D$"&amp;5+MIN(2,ROUNDDOWN(I112,0))*3)*$J112^3</f>
      </c>
      <c r="M112" s="7">
        <f>SQRT(K112^2+L112^2)</f>
      </c>
      <c r="N112" s="7">
        <f>(K113-K111)</f>
      </c>
      <c r="O112" s="7">
        <f>+(L113-L111)</f>
      </c>
      <c r="P112" s="7">
        <f>SQRT(O112^2+N112^2)</f>
      </c>
      <c r="Q112" s="7">
        <f>N112/$P112</f>
      </c>
      <c r="R112" s="7">
        <f>O112/$P112</f>
      </c>
      <c r="S112" s="7">
        <f>Q112^2+R112^2</f>
      </c>
      <c r="T112" s="7">
        <f>-R112</f>
      </c>
      <c r="U112" s="7">
        <f>Q112</f>
      </c>
      <c r="V112" s="7">
        <f>($C$14+($C$15-$C$14)/($D$15-$D$14)*(I112-$D$14))/2</f>
      </c>
      <c r="W112" s="7">
        <f>($B$22*I112^4+$C$22*I112^3+$D$22*I112^2+$E$22*I112+$F$22)/2</f>
      </c>
      <c r="X112" s="7">
        <f>($W112)*(T112)</f>
      </c>
      <c r="Y112" s="7">
        <f>($W112)*(U112)</f>
      </c>
      <c r="Z112" s="7">
        <f>SQRT(X112^2+Y112^2)</f>
      </c>
      <c r="AA112" s="7">
        <f>$K112+$X112</f>
      </c>
      <c r="AB112" s="7">
        <f>$L112+$Y112</f>
      </c>
      <c r="AC112" s="7">
        <f>$K112-$X112</f>
      </c>
      <c r="AD112" s="7">
        <f>$L112-$Y112</f>
      </c>
      <c r="AE112" s="7">
        <f>AA112/39.3701</f>
      </c>
      <c r="AF112" s="7">
        <f>AB112/39.3701</f>
      </c>
      <c r="AG112" s="7">
        <f>AC112/39.3701</f>
      </c>
      <c r="AH112" s="7">
        <f>AD112/39.3701</f>
      </c>
      <c r="AI112" s="1"/>
      <c r="AJ112" s="1"/>
      <c r="AK112" s="1"/>
      <c r="AL112" s="1"/>
      <c r="AM112" s="2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</row>
    <row x14ac:dyDescent="0.25" r="113" customHeight="1" ht="18.75">
      <c r="A113" s="1"/>
      <c r="B113" s="2"/>
      <c r="C113" s="2"/>
      <c r="D113" s="2"/>
      <c r="E113" s="2"/>
      <c r="F113" s="2"/>
      <c r="G113" s="1"/>
      <c r="H113" s="1"/>
      <c r="I113" s="7">
        <v>0.11</v>
      </c>
      <c r="J113" s="7">
        <f>IF((I113-ROUNDDOWN(I113,0))=0, 0, (I113-ROUNDDOWN(I113,0)))</f>
      </c>
      <c r="K113" s="7">
        <f>INDIRECT("C$"&amp;2+MIN(2,ROUNDDOWN(I113,0))*3)*(-$J113^3+3*$J113^2-3*$J113+1)+INDIRECT("C$"&amp;3+MIN(2,ROUNDDOWN(I113,0))*3)*(3*$J113^3-6*$J113^2+3*$J113)+INDIRECT("C$"&amp;4+MIN(2,ROUNDDOWN(I113,0))*3)*(-3*$J113^3+3*$J113^2)+INDIRECT("C$"&amp;5+MIN(2,ROUNDDOWN(I113,0))*3)*$J113^3</f>
      </c>
      <c r="L113" s="7">
        <f>INDIRECT("D$"&amp;2+MIN(2,ROUNDDOWN(I113,0))*3)*(-$J113^3+3*$J113^2-3*$J113+1)+INDIRECT("D$"&amp;3+MIN(2,ROUNDDOWN(I113,0))*3)*(3*$J113^3-6*$J113^2+3*$J113)+INDIRECT("D$"&amp;4+MIN(2,ROUNDDOWN(I113,0))*3)*(-3*$J113^3+3*$J113^2)+INDIRECT("D$"&amp;5+MIN(2,ROUNDDOWN(I113,0))*3)*$J113^3</f>
      </c>
      <c r="M113" s="7">
        <f>SQRT(K113^2+L113^2)</f>
      </c>
      <c r="N113" s="7">
        <f>(K114-K112)</f>
      </c>
      <c r="O113" s="7">
        <f>+(L114-L112)</f>
      </c>
      <c r="P113" s="7">
        <f>SQRT(O113^2+N113^2)</f>
      </c>
      <c r="Q113" s="7">
        <f>N113/$P113</f>
      </c>
      <c r="R113" s="7">
        <f>O113/$P113</f>
      </c>
      <c r="S113" s="8">
        <f>Q113^2+R113^2</f>
      </c>
      <c r="T113" s="7">
        <f>-R113</f>
      </c>
      <c r="U113" s="7">
        <f>Q113</f>
      </c>
      <c r="V113" s="7">
        <f>($C$14+($C$15-$C$14)/($D$15-$D$14)*(I113-$D$14))/2</f>
      </c>
      <c r="W113" s="7">
        <f>($B$22*I113^4+$C$22*I113^3+$D$22*I113^2+$E$22*I113+$F$22)/2</f>
      </c>
      <c r="X113" s="7">
        <f>($W113)*(T113)</f>
      </c>
      <c r="Y113" s="7">
        <f>($W113)*(U113)</f>
      </c>
      <c r="Z113" s="7">
        <f>SQRT(X113^2+Y113^2)</f>
      </c>
      <c r="AA113" s="7">
        <f>$K113+$X113</f>
      </c>
      <c r="AB113" s="7">
        <f>$L113+$Y113</f>
      </c>
      <c r="AC113" s="7">
        <f>$K113-$X113</f>
      </c>
      <c r="AD113" s="7">
        <f>$L113-$Y113</f>
      </c>
      <c r="AE113" s="7">
        <f>AA113/39.3701</f>
      </c>
      <c r="AF113" s="7">
        <f>AB113/39.3701</f>
      </c>
      <c r="AG113" s="7">
        <f>AC113/39.3701</f>
      </c>
      <c r="AH113" s="7">
        <f>AD113/39.3701</f>
      </c>
      <c r="AI113" s="1"/>
      <c r="AJ113" s="1"/>
      <c r="AK113" s="1"/>
      <c r="AL113" s="1"/>
      <c r="AM113" s="2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</row>
    <row x14ac:dyDescent="0.25" r="114" customHeight="1" ht="18.75">
      <c r="A114" s="1"/>
      <c r="B114" s="2"/>
      <c r="C114" s="2"/>
      <c r="D114" s="2"/>
      <c r="E114" s="2"/>
      <c r="F114" s="2"/>
      <c r="G114" s="1"/>
      <c r="H114" s="1"/>
      <c r="I114" s="7">
        <v>0.111</v>
      </c>
      <c r="J114" s="7">
        <f>IF((I114-ROUNDDOWN(I114,0))=0, 0, (I114-ROUNDDOWN(I114,0)))</f>
      </c>
      <c r="K114" s="7">
        <f>INDIRECT("C$"&amp;2+MIN(2,ROUNDDOWN(I114,0))*3)*(-$J114^3+3*$J114^2-3*$J114+1)+INDIRECT("C$"&amp;3+MIN(2,ROUNDDOWN(I114,0))*3)*(3*$J114^3-6*$J114^2+3*$J114)+INDIRECT("C$"&amp;4+MIN(2,ROUNDDOWN(I114,0))*3)*(-3*$J114^3+3*$J114^2)+INDIRECT("C$"&amp;5+MIN(2,ROUNDDOWN(I114,0))*3)*$J114^3</f>
      </c>
      <c r="L114" s="7">
        <f>INDIRECT("D$"&amp;2+MIN(2,ROUNDDOWN(I114,0))*3)*(-$J114^3+3*$J114^2-3*$J114+1)+INDIRECT("D$"&amp;3+MIN(2,ROUNDDOWN(I114,0))*3)*(3*$J114^3-6*$J114^2+3*$J114)+INDIRECT("D$"&amp;4+MIN(2,ROUNDDOWN(I114,0))*3)*(-3*$J114^3+3*$J114^2)+INDIRECT("D$"&amp;5+MIN(2,ROUNDDOWN(I114,0))*3)*$J114^3</f>
      </c>
      <c r="M114" s="7">
        <f>SQRT(K114^2+L114^2)</f>
      </c>
      <c r="N114" s="7">
        <f>(K115-K113)</f>
      </c>
      <c r="O114" s="7">
        <f>+(L115-L113)</f>
      </c>
      <c r="P114" s="7">
        <f>SQRT(O114^2+N114^2)</f>
      </c>
      <c r="Q114" s="7">
        <f>N114/$P114</f>
      </c>
      <c r="R114" s="7">
        <f>O114/$P114</f>
      </c>
      <c r="S114" s="8">
        <f>Q114^2+R114^2</f>
      </c>
      <c r="T114" s="7">
        <f>-R114</f>
      </c>
      <c r="U114" s="7">
        <f>Q114</f>
      </c>
      <c r="V114" s="7">
        <f>($C$14+($C$15-$C$14)/($D$15-$D$14)*(I114-$D$14))/2</f>
      </c>
      <c r="W114" s="7">
        <f>($B$22*I114^4+$C$22*I114^3+$D$22*I114^2+$E$22*I114+$F$22)/2</f>
      </c>
      <c r="X114" s="7">
        <f>($W114)*(T114)</f>
      </c>
      <c r="Y114" s="7">
        <f>($W114)*(U114)</f>
      </c>
      <c r="Z114" s="7">
        <f>SQRT(X114^2+Y114^2)</f>
      </c>
      <c r="AA114" s="7">
        <f>$K114+$X114</f>
      </c>
      <c r="AB114" s="7">
        <f>$L114+$Y114</f>
      </c>
      <c r="AC114" s="7">
        <f>$K114-$X114</f>
      </c>
      <c r="AD114" s="7">
        <f>$L114-$Y114</f>
      </c>
      <c r="AE114" s="7">
        <f>AA114/39.3701</f>
      </c>
      <c r="AF114" s="7">
        <f>AB114/39.3701</f>
      </c>
      <c r="AG114" s="7">
        <f>AC114/39.3701</f>
      </c>
      <c r="AH114" s="7">
        <f>AD114/39.3701</f>
      </c>
      <c r="AI114" s="1"/>
      <c r="AJ114" s="1"/>
      <c r="AK114" s="1"/>
      <c r="AL114" s="1"/>
      <c r="AM114" s="2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</row>
    <row x14ac:dyDescent="0.25" r="115" customHeight="1" ht="18.75">
      <c r="A115" s="1"/>
      <c r="B115" s="2"/>
      <c r="C115" s="2"/>
      <c r="D115" s="2"/>
      <c r="E115" s="2"/>
      <c r="F115" s="2"/>
      <c r="G115" s="1"/>
      <c r="H115" s="1"/>
      <c r="I115" s="7">
        <v>0.112</v>
      </c>
      <c r="J115" s="7">
        <f>IF((I115-ROUNDDOWN(I115,0))=0, 0, (I115-ROUNDDOWN(I115,0)))</f>
      </c>
      <c r="K115" s="7">
        <f>INDIRECT("C$"&amp;2+MIN(2,ROUNDDOWN(I115,0))*3)*(-$J115^3+3*$J115^2-3*$J115+1)+INDIRECT("C$"&amp;3+MIN(2,ROUNDDOWN(I115,0))*3)*(3*$J115^3-6*$J115^2+3*$J115)+INDIRECT("C$"&amp;4+MIN(2,ROUNDDOWN(I115,0))*3)*(-3*$J115^3+3*$J115^2)+INDIRECT("C$"&amp;5+MIN(2,ROUNDDOWN(I115,0))*3)*$J115^3</f>
      </c>
      <c r="L115" s="7">
        <f>INDIRECT("D$"&amp;2+MIN(2,ROUNDDOWN(I115,0))*3)*(-$J115^3+3*$J115^2-3*$J115+1)+INDIRECT("D$"&amp;3+MIN(2,ROUNDDOWN(I115,0))*3)*(3*$J115^3-6*$J115^2+3*$J115)+INDIRECT("D$"&amp;4+MIN(2,ROUNDDOWN(I115,0))*3)*(-3*$J115^3+3*$J115^2)+INDIRECT("D$"&amp;5+MIN(2,ROUNDDOWN(I115,0))*3)*$J115^3</f>
      </c>
      <c r="M115" s="7">
        <f>SQRT(K115^2+L115^2)</f>
      </c>
      <c r="N115" s="7">
        <f>(K116-K114)</f>
      </c>
      <c r="O115" s="7">
        <f>+(L116-L114)</f>
      </c>
      <c r="P115" s="7">
        <f>SQRT(O115^2+N115^2)</f>
      </c>
      <c r="Q115" s="7">
        <f>N115/$P115</f>
      </c>
      <c r="R115" s="7">
        <f>O115/$P115</f>
      </c>
      <c r="S115" s="8">
        <f>Q115^2+R115^2</f>
      </c>
      <c r="T115" s="7">
        <f>-R115</f>
      </c>
      <c r="U115" s="7">
        <f>Q115</f>
      </c>
      <c r="V115" s="7">
        <f>($C$14+($C$15-$C$14)/($D$15-$D$14)*(I115-$D$14))/2</f>
      </c>
      <c r="W115" s="7">
        <f>($B$22*I115^4+$C$22*I115^3+$D$22*I115^2+$E$22*I115+$F$22)/2</f>
      </c>
      <c r="X115" s="7">
        <f>($W115)*(T115)</f>
      </c>
      <c r="Y115" s="7">
        <f>($W115)*(U115)</f>
      </c>
      <c r="Z115" s="7">
        <f>SQRT(X115^2+Y115^2)</f>
      </c>
      <c r="AA115" s="7">
        <f>$K115+$X115</f>
      </c>
      <c r="AB115" s="7">
        <f>$L115+$Y115</f>
      </c>
      <c r="AC115" s="7">
        <f>$K115-$X115</f>
      </c>
      <c r="AD115" s="7">
        <f>$L115-$Y115</f>
      </c>
      <c r="AE115" s="7">
        <f>AA115/39.3701</f>
      </c>
      <c r="AF115" s="7">
        <f>AB115/39.3701</f>
      </c>
      <c r="AG115" s="7">
        <f>AC115/39.3701</f>
      </c>
      <c r="AH115" s="7">
        <f>AD115/39.3701</f>
      </c>
      <c r="AI115" s="1"/>
      <c r="AJ115" s="1"/>
      <c r="AK115" s="1"/>
      <c r="AL115" s="1"/>
      <c r="AM115" s="2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</row>
    <row x14ac:dyDescent="0.25" r="116" customHeight="1" ht="18.75">
      <c r="A116" s="1"/>
      <c r="B116" s="2"/>
      <c r="C116" s="2"/>
      <c r="D116" s="2"/>
      <c r="E116" s="2"/>
      <c r="F116" s="2"/>
      <c r="G116" s="1"/>
      <c r="H116" s="1"/>
      <c r="I116" s="7">
        <v>0.113</v>
      </c>
      <c r="J116" s="7">
        <f>IF((I116-ROUNDDOWN(I116,0))=0, 0, (I116-ROUNDDOWN(I116,0)))</f>
      </c>
      <c r="K116" s="7">
        <f>INDIRECT("C$"&amp;2+MIN(2,ROUNDDOWN(I116,0))*3)*(-$J116^3+3*$J116^2-3*$J116+1)+INDIRECT("C$"&amp;3+MIN(2,ROUNDDOWN(I116,0))*3)*(3*$J116^3-6*$J116^2+3*$J116)+INDIRECT("C$"&amp;4+MIN(2,ROUNDDOWN(I116,0))*3)*(-3*$J116^3+3*$J116^2)+INDIRECT("C$"&amp;5+MIN(2,ROUNDDOWN(I116,0))*3)*$J116^3</f>
      </c>
      <c r="L116" s="7">
        <f>INDIRECT("D$"&amp;2+MIN(2,ROUNDDOWN(I116,0))*3)*(-$J116^3+3*$J116^2-3*$J116+1)+INDIRECT("D$"&amp;3+MIN(2,ROUNDDOWN(I116,0))*3)*(3*$J116^3-6*$J116^2+3*$J116)+INDIRECT("D$"&amp;4+MIN(2,ROUNDDOWN(I116,0))*3)*(-3*$J116^3+3*$J116^2)+INDIRECT("D$"&amp;5+MIN(2,ROUNDDOWN(I116,0))*3)*$J116^3</f>
      </c>
      <c r="M116" s="7">
        <f>SQRT(K116^2+L116^2)</f>
      </c>
      <c r="N116" s="7">
        <f>(K117-K115)</f>
      </c>
      <c r="O116" s="7">
        <f>+(L117-L115)</f>
      </c>
      <c r="P116" s="7">
        <f>SQRT(O116^2+N116^2)</f>
      </c>
      <c r="Q116" s="7">
        <f>N116/$P116</f>
      </c>
      <c r="R116" s="7">
        <f>O116/$P116</f>
      </c>
      <c r="S116" s="8">
        <f>Q116^2+R116^2</f>
      </c>
      <c r="T116" s="7">
        <f>-R116</f>
      </c>
      <c r="U116" s="7">
        <f>Q116</f>
      </c>
      <c r="V116" s="7">
        <f>($C$14+($C$15-$C$14)/($D$15-$D$14)*(I116-$D$14))/2</f>
      </c>
      <c r="W116" s="7">
        <f>($B$22*I116^4+$C$22*I116^3+$D$22*I116^2+$E$22*I116+$F$22)/2</f>
      </c>
      <c r="X116" s="7">
        <f>($W116)*(T116)</f>
      </c>
      <c r="Y116" s="7">
        <f>($W116)*(U116)</f>
      </c>
      <c r="Z116" s="7">
        <f>SQRT(X116^2+Y116^2)</f>
      </c>
      <c r="AA116" s="7">
        <f>$K116+$X116</f>
      </c>
      <c r="AB116" s="7">
        <f>$L116+$Y116</f>
      </c>
      <c r="AC116" s="7">
        <f>$K116-$X116</f>
      </c>
      <c r="AD116" s="7">
        <f>$L116-$Y116</f>
      </c>
      <c r="AE116" s="7">
        <f>AA116/39.3701</f>
      </c>
      <c r="AF116" s="7">
        <f>AB116/39.3701</f>
      </c>
      <c r="AG116" s="7">
        <f>AC116/39.3701</f>
      </c>
      <c r="AH116" s="7">
        <f>AD116/39.3701</f>
      </c>
      <c r="AI116" s="1"/>
      <c r="AJ116" s="1"/>
      <c r="AK116" s="1"/>
      <c r="AL116" s="1"/>
      <c r="AM116" s="2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</row>
    <row x14ac:dyDescent="0.25" r="117" customHeight="1" ht="18.75">
      <c r="A117" s="1"/>
      <c r="B117" s="2"/>
      <c r="C117" s="2"/>
      <c r="D117" s="2"/>
      <c r="E117" s="2"/>
      <c r="F117" s="2"/>
      <c r="G117" s="1"/>
      <c r="H117" s="1"/>
      <c r="I117" s="7">
        <v>0.114</v>
      </c>
      <c r="J117" s="7">
        <f>IF((I117-ROUNDDOWN(I117,0))=0, 0, (I117-ROUNDDOWN(I117,0)))</f>
      </c>
      <c r="K117" s="7">
        <f>INDIRECT("C$"&amp;2+MIN(2,ROUNDDOWN(I117,0))*3)*(-$J117^3+3*$J117^2-3*$J117+1)+INDIRECT("C$"&amp;3+MIN(2,ROUNDDOWN(I117,0))*3)*(3*$J117^3-6*$J117^2+3*$J117)+INDIRECT("C$"&amp;4+MIN(2,ROUNDDOWN(I117,0))*3)*(-3*$J117^3+3*$J117^2)+INDIRECT("C$"&amp;5+MIN(2,ROUNDDOWN(I117,0))*3)*$J117^3</f>
      </c>
      <c r="L117" s="7">
        <f>INDIRECT("D$"&amp;2+MIN(2,ROUNDDOWN(I117,0))*3)*(-$J117^3+3*$J117^2-3*$J117+1)+INDIRECT("D$"&amp;3+MIN(2,ROUNDDOWN(I117,0))*3)*(3*$J117^3-6*$J117^2+3*$J117)+INDIRECT("D$"&amp;4+MIN(2,ROUNDDOWN(I117,0))*3)*(-3*$J117^3+3*$J117^2)+INDIRECT("D$"&amp;5+MIN(2,ROUNDDOWN(I117,0))*3)*$J117^3</f>
      </c>
      <c r="M117" s="7">
        <f>SQRT(K117^2+L117^2)</f>
      </c>
      <c r="N117" s="7">
        <f>(K118-K116)</f>
      </c>
      <c r="O117" s="7">
        <f>+(L118-L116)</f>
      </c>
      <c r="P117" s="7">
        <f>SQRT(O117^2+N117^2)</f>
      </c>
      <c r="Q117" s="7">
        <f>N117/$P117</f>
      </c>
      <c r="R117" s="7">
        <f>O117/$P117</f>
      </c>
      <c r="S117" s="7">
        <f>Q117^2+R117^2</f>
      </c>
      <c r="T117" s="7">
        <f>-R117</f>
      </c>
      <c r="U117" s="7">
        <f>Q117</f>
      </c>
      <c r="V117" s="7">
        <f>($C$14+($C$15-$C$14)/($D$15-$D$14)*(I117-$D$14))/2</f>
      </c>
      <c r="W117" s="7">
        <f>($B$22*I117^4+$C$22*I117^3+$D$22*I117^2+$E$22*I117+$F$22)/2</f>
      </c>
      <c r="X117" s="7">
        <f>($W117)*(T117)</f>
      </c>
      <c r="Y117" s="7">
        <f>($W117)*(U117)</f>
      </c>
      <c r="Z117" s="7">
        <f>SQRT(X117^2+Y117^2)</f>
      </c>
      <c r="AA117" s="7">
        <f>$K117+$X117</f>
      </c>
      <c r="AB117" s="7">
        <f>$L117+$Y117</f>
      </c>
      <c r="AC117" s="7">
        <f>$K117-$X117</f>
      </c>
      <c r="AD117" s="7">
        <f>$L117-$Y117</f>
      </c>
      <c r="AE117" s="7">
        <f>AA117/39.3701</f>
      </c>
      <c r="AF117" s="7">
        <f>AB117/39.3701</f>
      </c>
      <c r="AG117" s="7">
        <f>AC117/39.3701</f>
      </c>
      <c r="AH117" s="7">
        <f>AD117/39.3701</f>
      </c>
      <c r="AI117" s="1"/>
      <c r="AJ117" s="1"/>
      <c r="AK117" s="1"/>
      <c r="AL117" s="1"/>
      <c r="AM117" s="2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</row>
    <row x14ac:dyDescent="0.25" r="118" customHeight="1" ht="18.75">
      <c r="A118" s="1"/>
      <c r="B118" s="2"/>
      <c r="C118" s="2"/>
      <c r="D118" s="2"/>
      <c r="E118" s="2"/>
      <c r="F118" s="2"/>
      <c r="G118" s="1"/>
      <c r="H118" s="1"/>
      <c r="I118" s="7">
        <v>0.115</v>
      </c>
      <c r="J118" s="7">
        <f>IF((I118-ROUNDDOWN(I118,0))=0, 0, (I118-ROUNDDOWN(I118,0)))</f>
      </c>
      <c r="K118" s="7">
        <f>INDIRECT("C$"&amp;2+MIN(2,ROUNDDOWN(I118,0))*3)*(-$J118^3+3*$J118^2-3*$J118+1)+INDIRECT("C$"&amp;3+MIN(2,ROUNDDOWN(I118,0))*3)*(3*$J118^3-6*$J118^2+3*$J118)+INDIRECT("C$"&amp;4+MIN(2,ROUNDDOWN(I118,0))*3)*(-3*$J118^3+3*$J118^2)+INDIRECT("C$"&amp;5+MIN(2,ROUNDDOWN(I118,0))*3)*$J118^3</f>
      </c>
      <c r="L118" s="7">
        <f>INDIRECT("D$"&amp;2+MIN(2,ROUNDDOWN(I118,0))*3)*(-$J118^3+3*$J118^2-3*$J118+1)+INDIRECT("D$"&amp;3+MIN(2,ROUNDDOWN(I118,0))*3)*(3*$J118^3-6*$J118^2+3*$J118)+INDIRECT("D$"&amp;4+MIN(2,ROUNDDOWN(I118,0))*3)*(-3*$J118^3+3*$J118^2)+INDIRECT("D$"&amp;5+MIN(2,ROUNDDOWN(I118,0))*3)*$J118^3</f>
      </c>
      <c r="M118" s="7">
        <f>SQRT(K118^2+L118^2)</f>
      </c>
      <c r="N118" s="7">
        <f>(K119-K117)</f>
      </c>
      <c r="O118" s="7">
        <f>+(L119-L117)</f>
      </c>
      <c r="P118" s="7">
        <f>SQRT(O118^2+N118^2)</f>
      </c>
      <c r="Q118" s="7">
        <f>N118/$P118</f>
      </c>
      <c r="R118" s="7">
        <f>O118/$P118</f>
      </c>
      <c r="S118" s="8">
        <f>Q118^2+R118^2</f>
      </c>
      <c r="T118" s="7">
        <f>-R118</f>
      </c>
      <c r="U118" s="7">
        <f>Q118</f>
      </c>
      <c r="V118" s="7">
        <f>($C$14+($C$15-$C$14)/($D$15-$D$14)*(I118-$D$14))/2</f>
      </c>
      <c r="W118" s="7">
        <f>($B$22*I118^4+$C$22*I118^3+$D$22*I118^2+$E$22*I118+$F$22)/2</f>
      </c>
      <c r="X118" s="7">
        <f>($W118)*(T118)</f>
      </c>
      <c r="Y118" s="7">
        <f>($W118)*(U118)</f>
      </c>
      <c r="Z118" s="7">
        <f>SQRT(X118^2+Y118^2)</f>
      </c>
      <c r="AA118" s="7">
        <f>$K118+$X118</f>
      </c>
      <c r="AB118" s="7">
        <f>$L118+$Y118</f>
      </c>
      <c r="AC118" s="7">
        <f>$K118-$X118</f>
      </c>
      <c r="AD118" s="7">
        <f>$L118-$Y118</f>
      </c>
      <c r="AE118" s="7">
        <f>AA118/39.3701</f>
      </c>
      <c r="AF118" s="7">
        <f>AB118/39.3701</f>
      </c>
      <c r="AG118" s="7">
        <f>AC118/39.3701</f>
      </c>
      <c r="AH118" s="7">
        <f>AD118/39.3701</f>
      </c>
      <c r="AI118" s="1"/>
      <c r="AJ118" s="1"/>
      <c r="AK118" s="1"/>
      <c r="AL118" s="1"/>
      <c r="AM118" s="2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</row>
    <row x14ac:dyDescent="0.25" r="119" customHeight="1" ht="18.75">
      <c r="A119" s="1"/>
      <c r="B119" s="2"/>
      <c r="C119" s="2"/>
      <c r="D119" s="2"/>
      <c r="E119" s="2"/>
      <c r="F119" s="2"/>
      <c r="G119" s="1"/>
      <c r="H119" s="1"/>
      <c r="I119" s="7">
        <v>0.116</v>
      </c>
      <c r="J119" s="7">
        <f>IF((I119-ROUNDDOWN(I119,0))=0, 0, (I119-ROUNDDOWN(I119,0)))</f>
      </c>
      <c r="K119" s="7">
        <f>INDIRECT("C$"&amp;2+MIN(2,ROUNDDOWN(I119,0))*3)*(-$J119^3+3*$J119^2-3*$J119+1)+INDIRECT("C$"&amp;3+MIN(2,ROUNDDOWN(I119,0))*3)*(3*$J119^3-6*$J119^2+3*$J119)+INDIRECT("C$"&amp;4+MIN(2,ROUNDDOWN(I119,0))*3)*(-3*$J119^3+3*$J119^2)+INDIRECT("C$"&amp;5+MIN(2,ROUNDDOWN(I119,0))*3)*$J119^3</f>
      </c>
      <c r="L119" s="7">
        <f>INDIRECT("D$"&amp;2+MIN(2,ROUNDDOWN(I119,0))*3)*(-$J119^3+3*$J119^2-3*$J119+1)+INDIRECT("D$"&amp;3+MIN(2,ROUNDDOWN(I119,0))*3)*(3*$J119^3-6*$J119^2+3*$J119)+INDIRECT("D$"&amp;4+MIN(2,ROUNDDOWN(I119,0))*3)*(-3*$J119^3+3*$J119^2)+INDIRECT("D$"&amp;5+MIN(2,ROUNDDOWN(I119,0))*3)*$J119^3</f>
      </c>
      <c r="M119" s="7">
        <f>SQRT(K119^2+L119^2)</f>
      </c>
      <c r="N119" s="7">
        <f>(K120-K118)</f>
      </c>
      <c r="O119" s="7">
        <f>+(L120-L118)</f>
      </c>
      <c r="P119" s="7">
        <f>SQRT(O119^2+N119^2)</f>
      </c>
      <c r="Q119" s="7">
        <f>N119/$P119</f>
      </c>
      <c r="R119" s="7">
        <f>O119/$P119</f>
      </c>
      <c r="S119" s="8">
        <f>Q119^2+R119^2</f>
      </c>
      <c r="T119" s="7">
        <f>-R119</f>
      </c>
      <c r="U119" s="7">
        <f>Q119</f>
      </c>
      <c r="V119" s="7">
        <f>($C$14+($C$15-$C$14)/($D$15-$D$14)*(I119-$D$14))/2</f>
      </c>
      <c r="W119" s="7">
        <f>($B$22*I119^4+$C$22*I119^3+$D$22*I119^2+$E$22*I119+$F$22)/2</f>
      </c>
      <c r="X119" s="7">
        <f>($W119)*(T119)</f>
      </c>
      <c r="Y119" s="7">
        <f>($W119)*(U119)</f>
      </c>
      <c r="Z119" s="7">
        <f>SQRT(X119^2+Y119^2)</f>
      </c>
      <c r="AA119" s="7">
        <f>$K119+$X119</f>
      </c>
      <c r="AB119" s="7">
        <f>$L119+$Y119</f>
      </c>
      <c r="AC119" s="7">
        <f>$K119-$X119</f>
      </c>
      <c r="AD119" s="7">
        <f>$L119-$Y119</f>
      </c>
      <c r="AE119" s="7">
        <f>AA119/39.3701</f>
      </c>
      <c r="AF119" s="7">
        <f>AB119/39.3701</f>
      </c>
      <c r="AG119" s="7">
        <f>AC119/39.3701</f>
      </c>
      <c r="AH119" s="7">
        <f>AD119/39.3701</f>
      </c>
      <c r="AI119" s="1"/>
      <c r="AJ119" s="1"/>
      <c r="AK119" s="1"/>
      <c r="AL119" s="1"/>
      <c r="AM119" s="2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</row>
    <row x14ac:dyDescent="0.25" r="120" customHeight="1" ht="18.75">
      <c r="A120" s="1"/>
      <c r="B120" s="2"/>
      <c r="C120" s="2"/>
      <c r="D120" s="2"/>
      <c r="E120" s="2"/>
      <c r="F120" s="2"/>
      <c r="G120" s="1"/>
      <c r="H120" s="1"/>
      <c r="I120" s="7">
        <v>0.117</v>
      </c>
      <c r="J120" s="7">
        <f>IF((I120-ROUNDDOWN(I120,0))=0, 0, (I120-ROUNDDOWN(I120,0)))</f>
      </c>
      <c r="K120" s="7">
        <f>INDIRECT("C$"&amp;2+MIN(2,ROUNDDOWN(I120,0))*3)*(-$J120^3+3*$J120^2-3*$J120+1)+INDIRECT("C$"&amp;3+MIN(2,ROUNDDOWN(I120,0))*3)*(3*$J120^3-6*$J120^2+3*$J120)+INDIRECT("C$"&amp;4+MIN(2,ROUNDDOWN(I120,0))*3)*(-3*$J120^3+3*$J120^2)+INDIRECT("C$"&amp;5+MIN(2,ROUNDDOWN(I120,0))*3)*$J120^3</f>
      </c>
      <c r="L120" s="7">
        <f>INDIRECT("D$"&amp;2+MIN(2,ROUNDDOWN(I120,0))*3)*(-$J120^3+3*$J120^2-3*$J120+1)+INDIRECT("D$"&amp;3+MIN(2,ROUNDDOWN(I120,0))*3)*(3*$J120^3-6*$J120^2+3*$J120)+INDIRECT("D$"&amp;4+MIN(2,ROUNDDOWN(I120,0))*3)*(-3*$J120^3+3*$J120^2)+INDIRECT("D$"&amp;5+MIN(2,ROUNDDOWN(I120,0))*3)*$J120^3</f>
      </c>
      <c r="M120" s="7">
        <f>SQRT(K120^2+L120^2)</f>
      </c>
      <c r="N120" s="7">
        <f>(K121-K119)</f>
      </c>
      <c r="O120" s="7">
        <f>+(L121-L119)</f>
      </c>
      <c r="P120" s="7">
        <f>SQRT(O120^2+N120^2)</f>
      </c>
      <c r="Q120" s="7">
        <f>N120/$P120</f>
      </c>
      <c r="R120" s="7">
        <f>O120/$P120</f>
      </c>
      <c r="S120" s="7">
        <f>Q120^2+R120^2</f>
      </c>
      <c r="T120" s="7">
        <f>-R120</f>
      </c>
      <c r="U120" s="7">
        <f>Q120</f>
      </c>
      <c r="V120" s="7">
        <f>($C$14+($C$15-$C$14)/($D$15-$D$14)*(I120-$D$14))/2</f>
      </c>
      <c r="W120" s="7">
        <f>($B$22*I120^4+$C$22*I120^3+$D$22*I120^2+$E$22*I120+$F$22)/2</f>
      </c>
      <c r="X120" s="7">
        <f>($W120)*(T120)</f>
      </c>
      <c r="Y120" s="7">
        <f>($W120)*(U120)</f>
      </c>
      <c r="Z120" s="7">
        <f>SQRT(X120^2+Y120^2)</f>
      </c>
      <c r="AA120" s="7">
        <f>$K120+$X120</f>
      </c>
      <c r="AB120" s="7">
        <f>$L120+$Y120</f>
      </c>
      <c r="AC120" s="7">
        <f>$K120-$X120</f>
      </c>
      <c r="AD120" s="7">
        <f>$L120-$Y120</f>
      </c>
      <c r="AE120" s="7">
        <f>AA120/39.3701</f>
      </c>
      <c r="AF120" s="7">
        <f>AB120/39.3701</f>
      </c>
      <c r="AG120" s="7">
        <f>AC120/39.3701</f>
      </c>
      <c r="AH120" s="7">
        <f>AD120/39.3701</f>
      </c>
      <c r="AI120" s="1"/>
      <c r="AJ120" s="1"/>
      <c r="AK120" s="1"/>
      <c r="AL120" s="1"/>
      <c r="AM120" s="2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</row>
    <row x14ac:dyDescent="0.25" r="121" customHeight="1" ht="18.75">
      <c r="A121" s="1"/>
      <c r="B121" s="2"/>
      <c r="C121" s="2"/>
      <c r="D121" s="2"/>
      <c r="E121" s="2"/>
      <c r="F121" s="2"/>
      <c r="G121" s="1"/>
      <c r="H121" s="1"/>
      <c r="I121" s="7">
        <v>0.118</v>
      </c>
      <c r="J121" s="7">
        <f>IF((I121-ROUNDDOWN(I121,0))=0, 0, (I121-ROUNDDOWN(I121,0)))</f>
      </c>
      <c r="K121" s="7">
        <f>INDIRECT("C$"&amp;2+MIN(2,ROUNDDOWN(I121,0))*3)*(-$J121^3+3*$J121^2-3*$J121+1)+INDIRECT("C$"&amp;3+MIN(2,ROUNDDOWN(I121,0))*3)*(3*$J121^3-6*$J121^2+3*$J121)+INDIRECT("C$"&amp;4+MIN(2,ROUNDDOWN(I121,0))*3)*(-3*$J121^3+3*$J121^2)+INDIRECT("C$"&amp;5+MIN(2,ROUNDDOWN(I121,0))*3)*$J121^3</f>
      </c>
      <c r="L121" s="7">
        <f>INDIRECT("D$"&amp;2+MIN(2,ROUNDDOWN(I121,0))*3)*(-$J121^3+3*$J121^2-3*$J121+1)+INDIRECT("D$"&amp;3+MIN(2,ROUNDDOWN(I121,0))*3)*(3*$J121^3-6*$J121^2+3*$J121)+INDIRECT("D$"&amp;4+MIN(2,ROUNDDOWN(I121,0))*3)*(-3*$J121^3+3*$J121^2)+INDIRECT("D$"&amp;5+MIN(2,ROUNDDOWN(I121,0))*3)*$J121^3</f>
      </c>
      <c r="M121" s="7">
        <f>SQRT(K121^2+L121^2)</f>
      </c>
      <c r="N121" s="7">
        <f>(K122-K120)</f>
      </c>
      <c r="O121" s="7">
        <f>+(L122-L120)</f>
      </c>
      <c r="P121" s="7">
        <f>SQRT(O121^2+N121^2)</f>
      </c>
      <c r="Q121" s="7">
        <f>N121/$P121</f>
      </c>
      <c r="R121" s="7">
        <f>O121/$P121</f>
      </c>
      <c r="S121" s="7">
        <f>Q121^2+R121^2</f>
      </c>
      <c r="T121" s="7">
        <f>-R121</f>
      </c>
      <c r="U121" s="7">
        <f>Q121</f>
      </c>
      <c r="V121" s="7">
        <f>($C$14+($C$15-$C$14)/($D$15-$D$14)*(I121-$D$14))/2</f>
      </c>
      <c r="W121" s="7">
        <f>($B$22*I121^4+$C$22*I121^3+$D$22*I121^2+$E$22*I121+$F$22)/2</f>
      </c>
      <c r="X121" s="7">
        <f>($W121)*(T121)</f>
      </c>
      <c r="Y121" s="7">
        <f>($W121)*(U121)</f>
      </c>
      <c r="Z121" s="7">
        <f>SQRT(X121^2+Y121^2)</f>
      </c>
      <c r="AA121" s="7">
        <f>$K121+$X121</f>
      </c>
      <c r="AB121" s="7">
        <f>$L121+$Y121</f>
      </c>
      <c r="AC121" s="7">
        <f>$K121-$X121</f>
      </c>
      <c r="AD121" s="7">
        <f>$L121-$Y121</f>
      </c>
      <c r="AE121" s="7">
        <f>AA121/39.3701</f>
      </c>
      <c r="AF121" s="7">
        <f>AB121/39.3701</f>
      </c>
      <c r="AG121" s="7">
        <f>AC121/39.3701</f>
      </c>
      <c r="AH121" s="7">
        <f>AD121/39.3701</f>
      </c>
      <c r="AI121" s="1"/>
      <c r="AJ121" s="1"/>
      <c r="AK121" s="1"/>
      <c r="AL121" s="1"/>
      <c r="AM121" s="2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</row>
    <row x14ac:dyDescent="0.25" r="122" customHeight="1" ht="18.75">
      <c r="A122" s="1"/>
      <c r="B122" s="2"/>
      <c r="C122" s="2"/>
      <c r="D122" s="2"/>
      <c r="E122" s="2"/>
      <c r="F122" s="2"/>
      <c r="G122" s="1"/>
      <c r="H122" s="1"/>
      <c r="I122" s="7">
        <v>0.119</v>
      </c>
      <c r="J122" s="7">
        <f>IF((I122-ROUNDDOWN(I122,0))=0, 0, (I122-ROUNDDOWN(I122,0)))</f>
      </c>
      <c r="K122" s="7">
        <f>INDIRECT("C$"&amp;2+MIN(2,ROUNDDOWN(I122,0))*3)*(-$J122^3+3*$J122^2-3*$J122+1)+INDIRECT("C$"&amp;3+MIN(2,ROUNDDOWN(I122,0))*3)*(3*$J122^3-6*$J122^2+3*$J122)+INDIRECT("C$"&amp;4+MIN(2,ROUNDDOWN(I122,0))*3)*(-3*$J122^3+3*$J122^2)+INDIRECT("C$"&amp;5+MIN(2,ROUNDDOWN(I122,0))*3)*$J122^3</f>
      </c>
      <c r="L122" s="7">
        <f>INDIRECT("D$"&amp;2+MIN(2,ROUNDDOWN(I122,0))*3)*(-$J122^3+3*$J122^2-3*$J122+1)+INDIRECT("D$"&amp;3+MIN(2,ROUNDDOWN(I122,0))*3)*(3*$J122^3-6*$J122^2+3*$J122)+INDIRECT("D$"&amp;4+MIN(2,ROUNDDOWN(I122,0))*3)*(-3*$J122^3+3*$J122^2)+INDIRECT("D$"&amp;5+MIN(2,ROUNDDOWN(I122,0))*3)*$J122^3</f>
      </c>
      <c r="M122" s="7">
        <f>SQRT(K122^2+L122^2)</f>
      </c>
      <c r="N122" s="7">
        <f>(K123-K121)</f>
      </c>
      <c r="O122" s="7">
        <f>+(L123-L121)</f>
      </c>
      <c r="P122" s="7">
        <f>SQRT(O122^2+N122^2)</f>
      </c>
      <c r="Q122" s="7">
        <f>N122/$P122</f>
      </c>
      <c r="R122" s="7">
        <f>O122/$P122</f>
      </c>
      <c r="S122" s="7">
        <f>Q122^2+R122^2</f>
      </c>
      <c r="T122" s="7">
        <f>-R122</f>
      </c>
      <c r="U122" s="7">
        <f>Q122</f>
      </c>
      <c r="V122" s="7">
        <f>($C$14+($C$15-$C$14)/($D$15-$D$14)*(I122-$D$14))/2</f>
      </c>
      <c r="W122" s="7">
        <f>($B$22*I122^4+$C$22*I122^3+$D$22*I122^2+$E$22*I122+$F$22)/2</f>
      </c>
      <c r="X122" s="7">
        <f>($W122)*(T122)</f>
      </c>
      <c r="Y122" s="7">
        <f>($W122)*(U122)</f>
      </c>
      <c r="Z122" s="7">
        <f>SQRT(X122^2+Y122^2)</f>
      </c>
      <c r="AA122" s="7">
        <f>$K122+$X122</f>
      </c>
      <c r="AB122" s="7">
        <f>$L122+$Y122</f>
      </c>
      <c r="AC122" s="7">
        <f>$K122-$X122</f>
      </c>
      <c r="AD122" s="7">
        <f>$L122-$Y122</f>
      </c>
      <c r="AE122" s="7">
        <f>AA122/39.3701</f>
      </c>
      <c r="AF122" s="7">
        <f>AB122/39.3701</f>
      </c>
      <c r="AG122" s="7">
        <f>AC122/39.3701</f>
      </c>
      <c r="AH122" s="7">
        <f>AD122/39.3701</f>
      </c>
      <c r="AI122" s="1"/>
      <c r="AJ122" s="1"/>
      <c r="AK122" s="1"/>
      <c r="AL122" s="1"/>
      <c r="AM122" s="2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</row>
    <row x14ac:dyDescent="0.25" r="123" customHeight="1" ht="18.75">
      <c r="A123" s="1"/>
      <c r="B123" s="2"/>
      <c r="C123" s="2"/>
      <c r="D123" s="2"/>
      <c r="E123" s="2"/>
      <c r="F123" s="2"/>
      <c r="G123" s="1"/>
      <c r="H123" s="1"/>
      <c r="I123" s="7">
        <v>0.12</v>
      </c>
      <c r="J123" s="7">
        <f>IF((I123-ROUNDDOWN(I123,0))=0, 0, (I123-ROUNDDOWN(I123,0)))</f>
      </c>
      <c r="K123" s="7">
        <f>INDIRECT("C$"&amp;2+MIN(2,ROUNDDOWN(I123,0))*3)*(-$J123^3+3*$J123^2-3*$J123+1)+INDIRECT("C$"&amp;3+MIN(2,ROUNDDOWN(I123,0))*3)*(3*$J123^3-6*$J123^2+3*$J123)+INDIRECT("C$"&amp;4+MIN(2,ROUNDDOWN(I123,0))*3)*(-3*$J123^3+3*$J123^2)+INDIRECT("C$"&amp;5+MIN(2,ROUNDDOWN(I123,0))*3)*$J123^3</f>
      </c>
      <c r="L123" s="7">
        <f>INDIRECT("D$"&amp;2+MIN(2,ROUNDDOWN(I123,0))*3)*(-$J123^3+3*$J123^2-3*$J123+1)+INDIRECT("D$"&amp;3+MIN(2,ROUNDDOWN(I123,0))*3)*(3*$J123^3-6*$J123^2+3*$J123)+INDIRECT("D$"&amp;4+MIN(2,ROUNDDOWN(I123,0))*3)*(-3*$J123^3+3*$J123^2)+INDIRECT("D$"&amp;5+MIN(2,ROUNDDOWN(I123,0))*3)*$J123^3</f>
      </c>
      <c r="M123" s="7">
        <f>SQRT(K123^2+L123^2)</f>
      </c>
      <c r="N123" s="7">
        <f>(K124-K122)</f>
      </c>
      <c r="O123" s="7">
        <f>+(L124-L122)</f>
      </c>
      <c r="P123" s="7">
        <f>SQRT(O123^2+N123^2)</f>
      </c>
      <c r="Q123" s="7">
        <f>N123/$P123</f>
      </c>
      <c r="R123" s="7">
        <f>O123/$P123</f>
      </c>
      <c r="S123" s="8">
        <f>Q123^2+R123^2</f>
      </c>
      <c r="T123" s="7">
        <f>-R123</f>
      </c>
      <c r="U123" s="7">
        <f>Q123</f>
      </c>
      <c r="V123" s="7">
        <f>($C$14+($C$15-$C$14)/($D$15-$D$14)*(I123-$D$14))/2</f>
      </c>
      <c r="W123" s="7">
        <f>($B$22*I123^4+$C$22*I123^3+$D$22*I123^2+$E$22*I123+$F$22)/2</f>
      </c>
      <c r="X123" s="7">
        <f>($W123)*(T123)</f>
      </c>
      <c r="Y123" s="7">
        <f>($W123)*(U123)</f>
      </c>
      <c r="Z123" s="7">
        <f>SQRT(X123^2+Y123^2)</f>
      </c>
      <c r="AA123" s="7">
        <f>$K123+$X123</f>
      </c>
      <c r="AB123" s="7">
        <f>$L123+$Y123</f>
      </c>
      <c r="AC123" s="7">
        <f>$K123-$X123</f>
      </c>
      <c r="AD123" s="7">
        <f>$L123-$Y123</f>
      </c>
      <c r="AE123" s="7">
        <f>AA123/39.3701</f>
      </c>
      <c r="AF123" s="7">
        <f>AB123/39.3701</f>
      </c>
      <c r="AG123" s="7">
        <f>AC123/39.3701</f>
      </c>
      <c r="AH123" s="7">
        <f>AD123/39.3701</f>
      </c>
      <c r="AI123" s="1"/>
      <c r="AJ123" s="1"/>
      <c r="AK123" s="1"/>
      <c r="AL123" s="1"/>
      <c r="AM123" s="2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</row>
    <row x14ac:dyDescent="0.25" r="124" customHeight="1" ht="18.75">
      <c r="A124" s="1"/>
      <c r="B124" s="2"/>
      <c r="C124" s="2"/>
      <c r="D124" s="2"/>
      <c r="E124" s="2"/>
      <c r="F124" s="2"/>
      <c r="G124" s="1"/>
      <c r="H124" s="1"/>
      <c r="I124" s="7">
        <v>0.121</v>
      </c>
      <c r="J124" s="7">
        <f>IF((I124-ROUNDDOWN(I124,0))=0, 0, (I124-ROUNDDOWN(I124,0)))</f>
      </c>
      <c r="K124" s="7">
        <f>INDIRECT("C$"&amp;2+MIN(2,ROUNDDOWN(I124,0))*3)*(-$J124^3+3*$J124^2-3*$J124+1)+INDIRECT("C$"&amp;3+MIN(2,ROUNDDOWN(I124,0))*3)*(3*$J124^3-6*$J124^2+3*$J124)+INDIRECT("C$"&amp;4+MIN(2,ROUNDDOWN(I124,0))*3)*(-3*$J124^3+3*$J124^2)+INDIRECT("C$"&amp;5+MIN(2,ROUNDDOWN(I124,0))*3)*$J124^3</f>
      </c>
      <c r="L124" s="7">
        <f>INDIRECT("D$"&amp;2+MIN(2,ROUNDDOWN(I124,0))*3)*(-$J124^3+3*$J124^2-3*$J124+1)+INDIRECT("D$"&amp;3+MIN(2,ROUNDDOWN(I124,0))*3)*(3*$J124^3-6*$J124^2+3*$J124)+INDIRECT("D$"&amp;4+MIN(2,ROUNDDOWN(I124,0))*3)*(-3*$J124^3+3*$J124^2)+INDIRECT("D$"&amp;5+MIN(2,ROUNDDOWN(I124,0))*3)*$J124^3</f>
      </c>
      <c r="M124" s="7">
        <f>SQRT(K124^2+L124^2)</f>
      </c>
      <c r="N124" s="7">
        <f>(K125-K123)</f>
      </c>
      <c r="O124" s="7">
        <f>+(L125-L123)</f>
      </c>
      <c r="P124" s="7">
        <f>SQRT(O124^2+N124^2)</f>
      </c>
      <c r="Q124" s="7">
        <f>N124/$P124</f>
      </c>
      <c r="R124" s="7">
        <f>O124/$P124</f>
      </c>
      <c r="S124" s="7">
        <f>Q124^2+R124^2</f>
      </c>
      <c r="T124" s="7">
        <f>-R124</f>
      </c>
      <c r="U124" s="7">
        <f>Q124</f>
      </c>
      <c r="V124" s="7">
        <f>($C$14+($C$15-$C$14)/($D$15-$D$14)*(I124-$D$14))/2</f>
      </c>
      <c r="W124" s="7">
        <f>($B$22*I124^4+$C$22*I124^3+$D$22*I124^2+$E$22*I124+$F$22)/2</f>
      </c>
      <c r="X124" s="7">
        <f>($W124)*(T124)</f>
      </c>
      <c r="Y124" s="7">
        <f>($W124)*(U124)</f>
      </c>
      <c r="Z124" s="7">
        <f>SQRT(X124^2+Y124^2)</f>
      </c>
      <c r="AA124" s="7">
        <f>$K124+$X124</f>
      </c>
      <c r="AB124" s="7">
        <f>$L124+$Y124</f>
      </c>
      <c r="AC124" s="7">
        <f>$K124-$X124</f>
      </c>
      <c r="AD124" s="7">
        <f>$L124-$Y124</f>
      </c>
      <c r="AE124" s="7">
        <f>AA124/39.3701</f>
      </c>
      <c r="AF124" s="7">
        <f>AB124/39.3701</f>
      </c>
      <c r="AG124" s="7">
        <f>AC124/39.3701</f>
      </c>
      <c r="AH124" s="7">
        <f>AD124/39.3701</f>
      </c>
      <c r="AI124" s="1"/>
      <c r="AJ124" s="1"/>
      <c r="AK124" s="1"/>
      <c r="AL124" s="1"/>
      <c r="AM124" s="2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</row>
    <row x14ac:dyDescent="0.25" r="125" customHeight="1" ht="18.75">
      <c r="A125" s="1"/>
      <c r="B125" s="2"/>
      <c r="C125" s="2"/>
      <c r="D125" s="2"/>
      <c r="E125" s="2"/>
      <c r="F125" s="2"/>
      <c r="G125" s="1"/>
      <c r="H125" s="1"/>
      <c r="I125" s="7">
        <v>0.122</v>
      </c>
      <c r="J125" s="7">
        <f>IF((I125-ROUNDDOWN(I125,0))=0, 0, (I125-ROUNDDOWN(I125,0)))</f>
      </c>
      <c r="K125" s="7">
        <f>INDIRECT("C$"&amp;2+MIN(2,ROUNDDOWN(I125,0))*3)*(-$J125^3+3*$J125^2-3*$J125+1)+INDIRECT("C$"&amp;3+MIN(2,ROUNDDOWN(I125,0))*3)*(3*$J125^3-6*$J125^2+3*$J125)+INDIRECT("C$"&amp;4+MIN(2,ROUNDDOWN(I125,0))*3)*(-3*$J125^3+3*$J125^2)+INDIRECT("C$"&amp;5+MIN(2,ROUNDDOWN(I125,0))*3)*$J125^3</f>
      </c>
      <c r="L125" s="7">
        <f>INDIRECT("D$"&amp;2+MIN(2,ROUNDDOWN(I125,0))*3)*(-$J125^3+3*$J125^2-3*$J125+1)+INDIRECT("D$"&amp;3+MIN(2,ROUNDDOWN(I125,0))*3)*(3*$J125^3-6*$J125^2+3*$J125)+INDIRECT("D$"&amp;4+MIN(2,ROUNDDOWN(I125,0))*3)*(-3*$J125^3+3*$J125^2)+INDIRECT("D$"&amp;5+MIN(2,ROUNDDOWN(I125,0))*3)*$J125^3</f>
      </c>
      <c r="M125" s="7">
        <f>SQRT(K125^2+L125^2)</f>
      </c>
      <c r="N125" s="7">
        <f>(K126-K124)</f>
      </c>
      <c r="O125" s="7">
        <f>+(L126-L124)</f>
      </c>
      <c r="P125" s="7">
        <f>SQRT(O125^2+N125^2)</f>
      </c>
      <c r="Q125" s="7">
        <f>N125/$P125</f>
      </c>
      <c r="R125" s="7">
        <f>O125/$P125</f>
      </c>
      <c r="S125" s="7">
        <f>Q125^2+R125^2</f>
      </c>
      <c r="T125" s="7">
        <f>-R125</f>
      </c>
      <c r="U125" s="7">
        <f>Q125</f>
      </c>
      <c r="V125" s="7">
        <f>($C$14+($C$15-$C$14)/($D$15-$D$14)*(I125-$D$14))/2</f>
      </c>
      <c r="W125" s="7">
        <f>($B$22*I125^4+$C$22*I125^3+$D$22*I125^2+$E$22*I125+$F$22)/2</f>
      </c>
      <c r="X125" s="7">
        <f>($W125)*(T125)</f>
      </c>
      <c r="Y125" s="7">
        <f>($W125)*(U125)</f>
      </c>
      <c r="Z125" s="7">
        <f>SQRT(X125^2+Y125^2)</f>
      </c>
      <c r="AA125" s="7">
        <f>$K125+$X125</f>
      </c>
      <c r="AB125" s="7">
        <f>$L125+$Y125</f>
      </c>
      <c r="AC125" s="7">
        <f>$K125-$X125</f>
      </c>
      <c r="AD125" s="7">
        <f>$L125-$Y125</f>
      </c>
      <c r="AE125" s="7">
        <f>AA125/39.3701</f>
      </c>
      <c r="AF125" s="7">
        <f>AB125/39.3701</f>
      </c>
      <c r="AG125" s="7">
        <f>AC125/39.3701</f>
      </c>
      <c r="AH125" s="7">
        <f>AD125/39.3701</f>
      </c>
      <c r="AI125" s="1"/>
      <c r="AJ125" s="1"/>
      <c r="AK125" s="1"/>
      <c r="AL125" s="1"/>
      <c r="AM125" s="2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</row>
    <row x14ac:dyDescent="0.25" r="126" customHeight="1" ht="18.75">
      <c r="A126" s="1"/>
      <c r="B126" s="2"/>
      <c r="C126" s="2"/>
      <c r="D126" s="2"/>
      <c r="E126" s="2"/>
      <c r="F126" s="2"/>
      <c r="G126" s="1"/>
      <c r="H126" s="1"/>
      <c r="I126" s="7">
        <v>0.123</v>
      </c>
      <c r="J126" s="7">
        <f>IF((I126-ROUNDDOWN(I126,0))=0, 0, (I126-ROUNDDOWN(I126,0)))</f>
      </c>
      <c r="K126" s="7">
        <f>INDIRECT("C$"&amp;2+MIN(2,ROUNDDOWN(I126,0))*3)*(-$J126^3+3*$J126^2-3*$J126+1)+INDIRECT("C$"&amp;3+MIN(2,ROUNDDOWN(I126,0))*3)*(3*$J126^3-6*$J126^2+3*$J126)+INDIRECT("C$"&amp;4+MIN(2,ROUNDDOWN(I126,0))*3)*(-3*$J126^3+3*$J126^2)+INDIRECT("C$"&amp;5+MIN(2,ROUNDDOWN(I126,0))*3)*$J126^3</f>
      </c>
      <c r="L126" s="7">
        <f>INDIRECT("D$"&amp;2+MIN(2,ROUNDDOWN(I126,0))*3)*(-$J126^3+3*$J126^2-3*$J126+1)+INDIRECT("D$"&amp;3+MIN(2,ROUNDDOWN(I126,0))*3)*(3*$J126^3-6*$J126^2+3*$J126)+INDIRECT("D$"&amp;4+MIN(2,ROUNDDOWN(I126,0))*3)*(-3*$J126^3+3*$J126^2)+INDIRECT("D$"&amp;5+MIN(2,ROUNDDOWN(I126,0))*3)*$J126^3</f>
      </c>
      <c r="M126" s="7">
        <f>SQRT(K126^2+L126^2)</f>
      </c>
      <c r="N126" s="7">
        <f>(K127-K125)</f>
      </c>
      <c r="O126" s="7">
        <f>+(L127-L125)</f>
      </c>
      <c r="P126" s="7">
        <f>SQRT(O126^2+N126^2)</f>
      </c>
      <c r="Q126" s="7">
        <f>N126/$P126</f>
      </c>
      <c r="R126" s="7">
        <f>O126/$P126</f>
      </c>
      <c r="S126" s="7">
        <f>Q126^2+R126^2</f>
      </c>
      <c r="T126" s="7">
        <f>-R126</f>
      </c>
      <c r="U126" s="7">
        <f>Q126</f>
      </c>
      <c r="V126" s="7">
        <f>($C$14+($C$15-$C$14)/($D$15-$D$14)*(I126-$D$14))/2</f>
      </c>
      <c r="W126" s="7">
        <f>($B$22*I126^4+$C$22*I126^3+$D$22*I126^2+$E$22*I126+$F$22)/2</f>
      </c>
      <c r="X126" s="7">
        <f>($W126)*(T126)</f>
      </c>
      <c r="Y126" s="7">
        <f>($W126)*(U126)</f>
      </c>
      <c r="Z126" s="7">
        <f>SQRT(X126^2+Y126^2)</f>
      </c>
      <c r="AA126" s="7">
        <f>$K126+$X126</f>
      </c>
      <c r="AB126" s="7">
        <f>$L126+$Y126</f>
      </c>
      <c r="AC126" s="7">
        <f>$K126-$X126</f>
      </c>
      <c r="AD126" s="7">
        <f>$L126-$Y126</f>
      </c>
      <c r="AE126" s="7">
        <f>AA126/39.3701</f>
      </c>
      <c r="AF126" s="7">
        <f>AB126/39.3701</f>
      </c>
      <c r="AG126" s="7">
        <f>AC126/39.3701</f>
      </c>
      <c r="AH126" s="7">
        <f>AD126/39.3701</f>
      </c>
      <c r="AI126" s="1"/>
      <c r="AJ126" s="1"/>
      <c r="AK126" s="1"/>
      <c r="AL126" s="1"/>
      <c r="AM126" s="2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</row>
    <row x14ac:dyDescent="0.25" r="127" customHeight="1" ht="18.75">
      <c r="A127" s="1"/>
      <c r="B127" s="2"/>
      <c r="C127" s="2"/>
      <c r="D127" s="2"/>
      <c r="E127" s="2"/>
      <c r="F127" s="2"/>
      <c r="G127" s="1"/>
      <c r="H127" s="1"/>
      <c r="I127" s="7">
        <v>0.124</v>
      </c>
      <c r="J127" s="7">
        <f>IF((I127-ROUNDDOWN(I127,0))=0, 0, (I127-ROUNDDOWN(I127,0)))</f>
      </c>
      <c r="K127" s="7">
        <f>INDIRECT("C$"&amp;2+MIN(2,ROUNDDOWN(I127,0))*3)*(-$J127^3+3*$J127^2-3*$J127+1)+INDIRECT("C$"&amp;3+MIN(2,ROUNDDOWN(I127,0))*3)*(3*$J127^3-6*$J127^2+3*$J127)+INDIRECT("C$"&amp;4+MIN(2,ROUNDDOWN(I127,0))*3)*(-3*$J127^3+3*$J127^2)+INDIRECT("C$"&amp;5+MIN(2,ROUNDDOWN(I127,0))*3)*$J127^3</f>
      </c>
      <c r="L127" s="7">
        <f>INDIRECT("D$"&amp;2+MIN(2,ROUNDDOWN(I127,0))*3)*(-$J127^3+3*$J127^2-3*$J127+1)+INDIRECT("D$"&amp;3+MIN(2,ROUNDDOWN(I127,0))*3)*(3*$J127^3-6*$J127^2+3*$J127)+INDIRECT("D$"&amp;4+MIN(2,ROUNDDOWN(I127,0))*3)*(-3*$J127^3+3*$J127^2)+INDIRECT("D$"&amp;5+MIN(2,ROUNDDOWN(I127,0))*3)*$J127^3</f>
      </c>
      <c r="M127" s="7">
        <f>SQRT(K127^2+L127^2)</f>
      </c>
      <c r="N127" s="7">
        <f>(K128-K126)</f>
      </c>
      <c r="O127" s="7">
        <f>+(L128-L126)</f>
      </c>
      <c r="P127" s="7">
        <f>SQRT(O127^2+N127^2)</f>
      </c>
      <c r="Q127" s="7">
        <f>N127/$P127</f>
      </c>
      <c r="R127" s="7">
        <f>O127/$P127</f>
      </c>
      <c r="S127" s="7">
        <f>Q127^2+R127^2</f>
      </c>
      <c r="T127" s="7">
        <f>-R127</f>
      </c>
      <c r="U127" s="7">
        <f>Q127</f>
      </c>
      <c r="V127" s="7">
        <f>($C$14+($C$15-$C$14)/($D$15-$D$14)*(I127-$D$14))/2</f>
      </c>
      <c r="W127" s="7">
        <f>($B$22*I127^4+$C$22*I127^3+$D$22*I127^2+$E$22*I127+$F$22)/2</f>
      </c>
      <c r="X127" s="7">
        <f>($W127)*(T127)</f>
      </c>
      <c r="Y127" s="7">
        <f>($W127)*(U127)</f>
      </c>
      <c r="Z127" s="7">
        <f>SQRT(X127^2+Y127^2)</f>
      </c>
      <c r="AA127" s="7">
        <f>$K127+$X127</f>
      </c>
      <c r="AB127" s="7">
        <f>$L127+$Y127</f>
      </c>
      <c r="AC127" s="7">
        <f>$K127-$X127</f>
      </c>
      <c r="AD127" s="7">
        <f>$L127-$Y127</f>
      </c>
      <c r="AE127" s="7">
        <f>AA127/39.3701</f>
      </c>
      <c r="AF127" s="7">
        <f>AB127/39.3701</f>
      </c>
      <c r="AG127" s="7">
        <f>AC127/39.3701</f>
      </c>
      <c r="AH127" s="7">
        <f>AD127/39.3701</f>
      </c>
      <c r="AI127" s="1"/>
      <c r="AJ127" s="1"/>
      <c r="AK127" s="1"/>
      <c r="AL127" s="1"/>
      <c r="AM127" s="2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</row>
    <row x14ac:dyDescent="0.25" r="128" customHeight="1" ht="18.75">
      <c r="A128" s="1"/>
      <c r="B128" s="2"/>
      <c r="C128" s="2"/>
      <c r="D128" s="2"/>
      <c r="E128" s="2"/>
      <c r="F128" s="2"/>
      <c r="G128" s="1"/>
      <c r="H128" s="1"/>
      <c r="I128" s="7">
        <v>0.125</v>
      </c>
      <c r="J128" s="7">
        <f>IF((I128-ROUNDDOWN(I128,0))=0, 0, (I128-ROUNDDOWN(I128,0)))</f>
      </c>
      <c r="K128" s="7">
        <f>INDIRECT("C$"&amp;2+MIN(2,ROUNDDOWN(I128,0))*3)*(-$J128^3+3*$J128^2-3*$J128+1)+INDIRECT("C$"&amp;3+MIN(2,ROUNDDOWN(I128,0))*3)*(3*$J128^3-6*$J128^2+3*$J128)+INDIRECT("C$"&amp;4+MIN(2,ROUNDDOWN(I128,0))*3)*(-3*$J128^3+3*$J128^2)+INDIRECT("C$"&amp;5+MIN(2,ROUNDDOWN(I128,0))*3)*$J128^3</f>
      </c>
      <c r="L128" s="7">
        <f>INDIRECT("D$"&amp;2+MIN(2,ROUNDDOWN(I128,0))*3)*(-$J128^3+3*$J128^2-3*$J128+1)+INDIRECT("D$"&amp;3+MIN(2,ROUNDDOWN(I128,0))*3)*(3*$J128^3-6*$J128^2+3*$J128)+INDIRECT("D$"&amp;4+MIN(2,ROUNDDOWN(I128,0))*3)*(-3*$J128^3+3*$J128^2)+INDIRECT("D$"&amp;5+MIN(2,ROUNDDOWN(I128,0))*3)*$J128^3</f>
      </c>
      <c r="M128" s="7">
        <f>SQRT(K128^2+L128^2)</f>
      </c>
      <c r="N128" s="7">
        <f>(K129-K127)</f>
      </c>
      <c r="O128" s="7">
        <f>+(L129-L127)</f>
      </c>
      <c r="P128" s="7">
        <f>SQRT(O128^2+N128^2)</f>
      </c>
      <c r="Q128" s="7">
        <f>N128/$P128</f>
      </c>
      <c r="R128" s="7">
        <f>O128/$P128</f>
      </c>
      <c r="S128" s="8">
        <f>Q128^2+R128^2</f>
      </c>
      <c r="T128" s="7">
        <f>-R128</f>
      </c>
      <c r="U128" s="7">
        <f>Q128</f>
      </c>
      <c r="V128" s="7">
        <f>($C$14+($C$15-$C$14)/($D$15-$D$14)*(I128-$D$14))/2</f>
      </c>
      <c r="W128" s="7">
        <f>($B$22*I128^4+$C$22*I128^3+$D$22*I128^2+$E$22*I128+$F$22)/2</f>
      </c>
      <c r="X128" s="7">
        <f>($W128)*(T128)</f>
      </c>
      <c r="Y128" s="7">
        <f>($W128)*(U128)</f>
      </c>
      <c r="Z128" s="7">
        <f>SQRT(X128^2+Y128^2)</f>
      </c>
      <c r="AA128" s="7">
        <f>$K128+$X128</f>
      </c>
      <c r="AB128" s="7">
        <f>$L128+$Y128</f>
      </c>
      <c r="AC128" s="7">
        <f>$K128-$X128</f>
      </c>
      <c r="AD128" s="7">
        <f>$L128-$Y128</f>
      </c>
      <c r="AE128" s="7">
        <f>AA128/39.3701</f>
      </c>
      <c r="AF128" s="7">
        <f>AB128/39.3701</f>
      </c>
      <c r="AG128" s="7">
        <f>AC128/39.3701</f>
      </c>
      <c r="AH128" s="7">
        <f>AD128/39.3701</f>
      </c>
      <c r="AI128" s="1"/>
      <c r="AJ128" s="1"/>
      <c r="AK128" s="1"/>
      <c r="AL128" s="1"/>
      <c r="AM128" s="2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</row>
    <row x14ac:dyDescent="0.25" r="129" customHeight="1" ht="18.75">
      <c r="A129" s="1"/>
      <c r="B129" s="2"/>
      <c r="C129" s="2"/>
      <c r="D129" s="2"/>
      <c r="E129" s="2"/>
      <c r="F129" s="2"/>
      <c r="G129" s="1"/>
      <c r="H129" s="1"/>
      <c r="I129" s="7">
        <v>0.126</v>
      </c>
      <c r="J129" s="7">
        <f>IF((I129-ROUNDDOWN(I129,0))=0, 0, (I129-ROUNDDOWN(I129,0)))</f>
      </c>
      <c r="K129" s="7">
        <f>INDIRECT("C$"&amp;2+MIN(2,ROUNDDOWN(I129,0))*3)*(-$J129^3+3*$J129^2-3*$J129+1)+INDIRECT("C$"&amp;3+MIN(2,ROUNDDOWN(I129,0))*3)*(3*$J129^3-6*$J129^2+3*$J129)+INDIRECT("C$"&amp;4+MIN(2,ROUNDDOWN(I129,0))*3)*(-3*$J129^3+3*$J129^2)+INDIRECT("C$"&amp;5+MIN(2,ROUNDDOWN(I129,0))*3)*$J129^3</f>
      </c>
      <c r="L129" s="7">
        <f>INDIRECT("D$"&amp;2+MIN(2,ROUNDDOWN(I129,0))*3)*(-$J129^3+3*$J129^2-3*$J129+1)+INDIRECT("D$"&amp;3+MIN(2,ROUNDDOWN(I129,0))*3)*(3*$J129^3-6*$J129^2+3*$J129)+INDIRECT("D$"&amp;4+MIN(2,ROUNDDOWN(I129,0))*3)*(-3*$J129^3+3*$J129^2)+INDIRECT("D$"&amp;5+MIN(2,ROUNDDOWN(I129,0))*3)*$J129^3</f>
      </c>
      <c r="M129" s="7">
        <f>SQRT(K129^2+L129^2)</f>
      </c>
      <c r="N129" s="7">
        <f>(K130-K128)</f>
      </c>
      <c r="O129" s="7">
        <f>+(L130-L128)</f>
      </c>
      <c r="P129" s="7">
        <f>SQRT(O129^2+N129^2)</f>
      </c>
      <c r="Q129" s="7">
        <f>N129/$P129</f>
      </c>
      <c r="R129" s="7">
        <f>O129/$P129</f>
      </c>
      <c r="S129" s="8">
        <f>Q129^2+R129^2</f>
      </c>
      <c r="T129" s="7">
        <f>-R129</f>
      </c>
      <c r="U129" s="7">
        <f>Q129</f>
      </c>
      <c r="V129" s="7">
        <f>($C$14+($C$15-$C$14)/($D$15-$D$14)*(I129-$D$14))/2</f>
      </c>
      <c r="W129" s="7">
        <f>($B$22*I129^4+$C$22*I129^3+$D$22*I129^2+$E$22*I129+$F$22)/2</f>
      </c>
      <c r="X129" s="7">
        <f>($W129)*(T129)</f>
      </c>
      <c r="Y129" s="7">
        <f>($W129)*(U129)</f>
      </c>
      <c r="Z129" s="7">
        <f>SQRT(X129^2+Y129^2)</f>
      </c>
      <c r="AA129" s="7">
        <f>$K129+$X129</f>
      </c>
      <c r="AB129" s="7">
        <f>$L129+$Y129</f>
      </c>
      <c r="AC129" s="7">
        <f>$K129-$X129</f>
      </c>
      <c r="AD129" s="7">
        <f>$L129-$Y129</f>
      </c>
      <c r="AE129" s="7">
        <f>AA129/39.3701</f>
      </c>
      <c r="AF129" s="7">
        <f>AB129/39.3701</f>
      </c>
      <c r="AG129" s="7">
        <f>AC129/39.3701</f>
      </c>
      <c r="AH129" s="7">
        <f>AD129/39.3701</f>
      </c>
      <c r="AI129" s="1"/>
      <c r="AJ129" s="1"/>
      <c r="AK129" s="1"/>
      <c r="AL129" s="1"/>
      <c r="AM129" s="2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</row>
    <row x14ac:dyDescent="0.25" r="130" customHeight="1" ht="18.75">
      <c r="A130" s="1"/>
      <c r="B130" s="2"/>
      <c r="C130" s="2"/>
      <c r="D130" s="2"/>
      <c r="E130" s="2"/>
      <c r="F130" s="2"/>
      <c r="G130" s="1"/>
      <c r="H130" s="1"/>
      <c r="I130" s="7">
        <v>0.127</v>
      </c>
      <c r="J130" s="7">
        <f>IF((I130-ROUNDDOWN(I130,0))=0, 0, (I130-ROUNDDOWN(I130,0)))</f>
      </c>
      <c r="K130" s="7">
        <f>INDIRECT("C$"&amp;2+MIN(2,ROUNDDOWN(I130,0))*3)*(-$J130^3+3*$J130^2-3*$J130+1)+INDIRECT("C$"&amp;3+MIN(2,ROUNDDOWN(I130,0))*3)*(3*$J130^3-6*$J130^2+3*$J130)+INDIRECT("C$"&amp;4+MIN(2,ROUNDDOWN(I130,0))*3)*(-3*$J130^3+3*$J130^2)+INDIRECT("C$"&amp;5+MIN(2,ROUNDDOWN(I130,0))*3)*$J130^3</f>
      </c>
      <c r="L130" s="7">
        <f>INDIRECT("D$"&amp;2+MIN(2,ROUNDDOWN(I130,0))*3)*(-$J130^3+3*$J130^2-3*$J130+1)+INDIRECT("D$"&amp;3+MIN(2,ROUNDDOWN(I130,0))*3)*(3*$J130^3-6*$J130^2+3*$J130)+INDIRECT("D$"&amp;4+MIN(2,ROUNDDOWN(I130,0))*3)*(-3*$J130^3+3*$J130^2)+INDIRECT("D$"&amp;5+MIN(2,ROUNDDOWN(I130,0))*3)*$J130^3</f>
      </c>
      <c r="M130" s="7">
        <f>SQRT(K130^2+L130^2)</f>
      </c>
      <c r="N130" s="7">
        <f>(K131-K129)</f>
      </c>
      <c r="O130" s="7">
        <f>+(L131-L129)</f>
      </c>
      <c r="P130" s="7">
        <f>SQRT(O130^2+N130^2)</f>
      </c>
      <c r="Q130" s="7">
        <f>N130/$P130</f>
      </c>
      <c r="R130" s="7">
        <f>O130/$P130</f>
      </c>
      <c r="S130" s="8">
        <f>Q130^2+R130^2</f>
      </c>
      <c r="T130" s="7">
        <f>-R130</f>
      </c>
      <c r="U130" s="7">
        <f>Q130</f>
      </c>
      <c r="V130" s="7">
        <f>($C$14+($C$15-$C$14)/($D$15-$D$14)*(I130-$D$14))/2</f>
      </c>
      <c r="W130" s="7">
        <f>($B$22*I130^4+$C$22*I130^3+$D$22*I130^2+$E$22*I130+$F$22)/2</f>
      </c>
      <c r="X130" s="7">
        <f>($W130)*(T130)</f>
      </c>
      <c r="Y130" s="7">
        <f>($W130)*(U130)</f>
      </c>
      <c r="Z130" s="7">
        <f>SQRT(X130^2+Y130^2)</f>
      </c>
      <c r="AA130" s="7">
        <f>$K130+$X130</f>
      </c>
      <c r="AB130" s="7">
        <f>$L130+$Y130</f>
      </c>
      <c r="AC130" s="7">
        <f>$K130-$X130</f>
      </c>
      <c r="AD130" s="7">
        <f>$L130-$Y130</f>
      </c>
      <c r="AE130" s="7">
        <f>AA130/39.3701</f>
      </c>
      <c r="AF130" s="7">
        <f>AB130/39.3701</f>
      </c>
      <c r="AG130" s="7">
        <f>AC130/39.3701</f>
      </c>
      <c r="AH130" s="7">
        <f>AD130/39.3701</f>
      </c>
      <c r="AI130" s="1"/>
      <c r="AJ130" s="1"/>
      <c r="AK130" s="1"/>
      <c r="AL130" s="1"/>
      <c r="AM130" s="2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</row>
    <row x14ac:dyDescent="0.25" r="131" customHeight="1" ht="18.75">
      <c r="A131" s="1"/>
      <c r="B131" s="2"/>
      <c r="C131" s="2"/>
      <c r="D131" s="2"/>
      <c r="E131" s="2"/>
      <c r="F131" s="2"/>
      <c r="G131" s="1"/>
      <c r="H131" s="1"/>
      <c r="I131" s="7">
        <v>0.128</v>
      </c>
      <c r="J131" s="7">
        <f>IF((I131-ROUNDDOWN(I131,0))=0, 0, (I131-ROUNDDOWN(I131,0)))</f>
      </c>
      <c r="K131" s="7">
        <f>INDIRECT("C$"&amp;2+MIN(2,ROUNDDOWN(I131,0))*3)*(-$J131^3+3*$J131^2-3*$J131+1)+INDIRECT("C$"&amp;3+MIN(2,ROUNDDOWN(I131,0))*3)*(3*$J131^3-6*$J131^2+3*$J131)+INDIRECT("C$"&amp;4+MIN(2,ROUNDDOWN(I131,0))*3)*(-3*$J131^3+3*$J131^2)+INDIRECT("C$"&amp;5+MIN(2,ROUNDDOWN(I131,0))*3)*$J131^3</f>
      </c>
      <c r="L131" s="7">
        <f>INDIRECT("D$"&amp;2+MIN(2,ROUNDDOWN(I131,0))*3)*(-$J131^3+3*$J131^2-3*$J131+1)+INDIRECT("D$"&amp;3+MIN(2,ROUNDDOWN(I131,0))*3)*(3*$J131^3-6*$J131^2+3*$J131)+INDIRECT("D$"&amp;4+MIN(2,ROUNDDOWN(I131,0))*3)*(-3*$J131^3+3*$J131^2)+INDIRECT("D$"&amp;5+MIN(2,ROUNDDOWN(I131,0))*3)*$J131^3</f>
      </c>
      <c r="M131" s="7">
        <f>SQRT(K131^2+L131^2)</f>
      </c>
      <c r="N131" s="7">
        <f>(K132-K130)</f>
      </c>
      <c r="O131" s="7">
        <f>+(L132-L130)</f>
      </c>
      <c r="P131" s="7">
        <f>SQRT(O131^2+N131^2)</f>
      </c>
      <c r="Q131" s="7">
        <f>N131/$P131</f>
      </c>
      <c r="R131" s="7">
        <f>O131/$P131</f>
      </c>
      <c r="S131" s="7">
        <f>Q131^2+R131^2</f>
      </c>
      <c r="T131" s="7">
        <f>-R131</f>
      </c>
      <c r="U131" s="7">
        <f>Q131</f>
      </c>
      <c r="V131" s="7">
        <f>($C$14+($C$15-$C$14)/($D$15-$D$14)*(I131-$D$14))/2</f>
      </c>
      <c r="W131" s="7">
        <f>($B$22*I131^4+$C$22*I131^3+$D$22*I131^2+$E$22*I131+$F$22)/2</f>
      </c>
      <c r="X131" s="7">
        <f>($W131)*(T131)</f>
      </c>
      <c r="Y131" s="7">
        <f>($W131)*(U131)</f>
      </c>
      <c r="Z131" s="7">
        <f>SQRT(X131^2+Y131^2)</f>
      </c>
      <c r="AA131" s="7">
        <f>$K131+$X131</f>
      </c>
      <c r="AB131" s="7">
        <f>$L131+$Y131</f>
      </c>
      <c r="AC131" s="7">
        <f>$K131-$X131</f>
      </c>
      <c r="AD131" s="7">
        <f>$L131-$Y131</f>
      </c>
      <c r="AE131" s="7">
        <f>AA131/39.3701</f>
      </c>
      <c r="AF131" s="7">
        <f>AB131/39.3701</f>
      </c>
      <c r="AG131" s="7">
        <f>AC131/39.3701</f>
      </c>
      <c r="AH131" s="7">
        <f>AD131/39.3701</f>
      </c>
      <c r="AI131" s="1"/>
      <c r="AJ131" s="1"/>
      <c r="AK131" s="1"/>
      <c r="AL131" s="1"/>
      <c r="AM131" s="2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</row>
    <row x14ac:dyDescent="0.25" r="132" customHeight="1" ht="18.75">
      <c r="A132" s="1"/>
      <c r="B132" s="2"/>
      <c r="C132" s="2"/>
      <c r="D132" s="2"/>
      <c r="E132" s="2"/>
      <c r="F132" s="2"/>
      <c r="G132" s="1"/>
      <c r="H132" s="1"/>
      <c r="I132" s="7">
        <v>0.129</v>
      </c>
      <c r="J132" s="7">
        <f>IF((I132-ROUNDDOWN(I132,0))=0, 0, (I132-ROUNDDOWN(I132,0)))</f>
      </c>
      <c r="K132" s="7">
        <f>INDIRECT("C$"&amp;2+MIN(2,ROUNDDOWN(I132,0))*3)*(-$J132^3+3*$J132^2-3*$J132+1)+INDIRECT("C$"&amp;3+MIN(2,ROUNDDOWN(I132,0))*3)*(3*$J132^3-6*$J132^2+3*$J132)+INDIRECT("C$"&amp;4+MIN(2,ROUNDDOWN(I132,0))*3)*(-3*$J132^3+3*$J132^2)+INDIRECT("C$"&amp;5+MIN(2,ROUNDDOWN(I132,0))*3)*$J132^3</f>
      </c>
      <c r="L132" s="7">
        <f>INDIRECT("D$"&amp;2+MIN(2,ROUNDDOWN(I132,0))*3)*(-$J132^3+3*$J132^2-3*$J132+1)+INDIRECT("D$"&amp;3+MIN(2,ROUNDDOWN(I132,0))*3)*(3*$J132^3-6*$J132^2+3*$J132)+INDIRECT("D$"&amp;4+MIN(2,ROUNDDOWN(I132,0))*3)*(-3*$J132^3+3*$J132^2)+INDIRECT("D$"&amp;5+MIN(2,ROUNDDOWN(I132,0))*3)*$J132^3</f>
      </c>
      <c r="M132" s="7">
        <f>SQRT(K132^2+L132^2)</f>
      </c>
      <c r="N132" s="7">
        <f>(K133-K131)</f>
      </c>
      <c r="O132" s="7">
        <f>+(L133-L131)</f>
      </c>
      <c r="P132" s="7">
        <f>SQRT(O132^2+N132^2)</f>
      </c>
      <c r="Q132" s="7">
        <f>N132/$P132</f>
      </c>
      <c r="R132" s="7">
        <f>O132/$P132</f>
      </c>
      <c r="S132" s="7">
        <f>Q132^2+R132^2</f>
      </c>
      <c r="T132" s="7">
        <f>-R132</f>
      </c>
      <c r="U132" s="7">
        <f>Q132</f>
      </c>
      <c r="V132" s="7">
        <f>($C$14+($C$15-$C$14)/($D$15-$D$14)*(I132-$D$14))/2</f>
      </c>
      <c r="W132" s="7">
        <f>($B$22*I132^4+$C$22*I132^3+$D$22*I132^2+$E$22*I132+$F$22)/2</f>
      </c>
      <c r="X132" s="7">
        <f>($W132)*(T132)</f>
      </c>
      <c r="Y132" s="7">
        <f>($W132)*(U132)</f>
      </c>
      <c r="Z132" s="7">
        <f>SQRT(X132^2+Y132^2)</f>
      </c>
      <c r="AA132" s="7">
        <f>$K132+$X132</f>
      </c>
      <c r="AB132" s="7">
        <f>$L132+$Y132</f>
      </c>
      <c r="AC132" s="7">
        <f>$K132-$X132</f>
      </c>
      <c r="AD132" s="7">
        <f>$L132-$Y132</f>
      </c>
      <c r="AE132" s="7">
        <f>AA132/39.3701</f>
      </c>
      <c r="AF132" s="7">
        <f>AB132/39.3701</f>
      </c>
      <c r="AG132" s="7">
        <f>AC132/39.3701</f>
      </c>
      <c r="AH132" s="7">
        <f>AD132/39.3701</f>
      </c>
      <c r="AI132" s="1"/>
      <c r="AJ132" s="1"/>
      <c r="AK132" s="1"/>
      <c r="AL132" s="1"/>
      <c r="AM132" s="2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</row>
    <row x14ac:dyDescent="0.25" r="133" customHeight="1" ht="18.75">
      <c r="A133" s="1"/>
      <c r="B133" s="2"/>
      <c r="C133" s="2"/>
      <c r="D133" s="2"/>
      <c r="E133" s="2"/>
      <c r="F133" s="2"/>
      <c r="G133" s="1"/>
      <c r="H133" s="1"/>
      <c r="I133" s="7">
        <v>0.13</v>
      </c>
      <c r="J133" s="7">
        <f>IF((I133-ROUNDDOWN(I133,0))=0, 0, (I133-ROUNDDOWN(I133,0)))</f>
      </c>
      <c r="K133" s="7">
        <f>INDIRECT("C$"&amp;2+MIN(2,ROUNDDOWN(I133,0))*3)*(-$J133^3+3*$J133^2-3*$J133+1)+INDIRECT("C$"&amp;3+MIN(2,ROUNDDOWN(I133,0))*3)*(3*$J133^3-6*$J133^2+3*$J133)+INDIRECT("C$"&amp;4+MIN(2,ROUNDDOWN(I133,0))*3)*(-3*$J133^3+3*$J133^2)+INDIRECT("C$"&amp;5+MIN(2,ROUNDDOWN(I133,0))*3)*$J133^3</f>
      </c>
      <c r="L133" s="7">
        <f>INDIRECT("D$"&amp;2+MIN(2,ROUNDDOWN(I133,0))*3)*(-$J133^3+3*$J133^2-3*$J133+1)+INDIRECT("D$"&amp;3+MIN(2,ROUNDDOWN(I133,0))*3)*(3*$J133^3-6*$J133^2+3*$J133)+INDIRECT("D$"&amp;4+MIN(2,ROUNDDOWN(I133,0))*3)*(-3*$J133^3+3*$J133^2)+INDIRECT("D$"&amp;5+MIN(2,ROUNDDOWN(I133,0))*3)*$J133^3</f>
      </c>
      <c r="M133" s="7">
        <f>SQRT(K133^2+L133^2)</f>
      </c>
      <c r="N133" s="7">
        <f>(K134-K132)</f>
      </c>
      <c r="O133" s="7">
        <f>+(L134-L132)</f>
      </c>
      <c r="P133" s="7">
        <f>SQRT(O133^2+N133^2)</f>
      </c>
      <c r="Q133" s="7">
        <f>N133/$P133</f>
      </c>
      <c r="R133" s="7">
        <f>O133/$P133</f>
      </c>
      <c r="S133" s="8">
        <f>Q133^2+R133^2</f>
      </c>
      <c r="T133" s="7">
        <f>-R133</f>
      </c>
      <c r="U133" s="7">
        <f>Q133</f>
      </c>
      <c r="V133" s="7">
        <f>($C$14+($C$15-$C$14)/($D$15-$D$14)*(I133-$D$14))/2</f>
      </c>
      <c r="W133" s="7">
        <f>($B$22*I133^4+$C$22*I133^3+$D$22*I133^2+$E$22*I133+$F$22)/2</f>
      </c>
      <c r="X133" s="7">
        <f>($W133)*(T133)</f>
      </c>
      <c r="Y133" s="7">
        <f>($W133)*(U133)</f>
      </c>
      <c r="Z133" s="7">
        <f>SQRT(X133^2+Y133^2)</f>
      </c>
      <c r="AA133" s="7">
        <f>$K133+$X133</f>
      </c>
      <c r="AB133" s="7">
        <f>$L133+$Y133</f>
      </c>
      <c r="AC133" s="7">
        <f>$K133-$X133</f>
      </c>
      <c r="AD133" s="7">
        <f>$L133-$Y133</f>
      </c>
      <c r="AE133" s="7">
        <f>AA133/39.3701</f>
      </c>
      <c r="AF133" s="7">
        <f>AB133/39.3701</f>
      </c>
      <c r="AG133" s="7">
        <f>AC133/39.3701</f>
      </c>
      <c r="AH133" s="7">
        <f>AD133/39.3701</f>
      </c>
      <c r="AI133" s="1"/>
      <c r="AJ133" s="1"/>
      <c r="AK133" s="1"/>
      <c r="AL133" s="1"/>
      <c r="AM133" s="2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</row>
    <row x14ac:dyDescent="0.25" r="134" customHeight="1" ht="18.75">
      <c r="A134" s="1"/>
      <c r="B134" s="2"/>
      <c r="C134" s="2"/>
      <c r="D134" s="2"/>
      <c r="E134" s="2"/>
      <c r="F134" s="2"/>
      <c r="G134" s="1"/>
      <c r="H134" s="1"/>
      <c r="I134" s="7">
        <v>0.131</v>
      </c>
      <c r="J134" s="7">
        <f>IF((I134-ROUNDDOWN(I134,0))=0, 0, (I134-ROUNDDOWN(I134,0)))</f>
      </c>
      <c r="K134" s="7">
        <f>INDIRECT("C$"&amp;2+MIN(2,ROUNDDOWN(I134,0))*3)*(-$J134^3+3*$J134^2-3*$J134+1)+INDIRECT("C$"&amp;3+MIN(2,ROUNDDOWN(I134,0))*3)*(3*$J134^3-6*$J134^2+3*$J134)+INDIRECT("C$"&amp;4+MIN(2,ROUNDDOWN(I134,0))*3)*(-3*$J134^3+3*$J134^2)+INDIRECT("C$"&amp;5+MIN(2,ROUNDDOWN(I134,0))*3)*$J134^3</f>
      </c>
      <c r="L134" s="7">
        <f>INDIRECT("D$"&amp;2+MIN(2,ROUNDDOWN(I134,0))*3)*(-$J134^3+3*$J134^2-3*$J134+1)+INDIRECT("D$"&amp;3+MIN(2,ROUNDDOWN(I134,0))*3)*(3*$J134^3-6*$J134^2+3*$J134)+INDIRECT("D$"&amp;4+MIN(2,ROUNDDOWN(I134,0))*3)*(-3*$J134^3+3*$J134^2)+INDIRECT("D$"&amp;5+MIN(2,ROUNDDOWN(I134,0))*3)*$J134^3</f>
      </c>
      <c r="M134" s="7">
        <f>SQRT(K134^2+L134^2)</f>
      </c>
      <c r="N134" s="7">
        <f>(K135-K133)</f>
      </c>
      <c r="O134" s="7">
        <f>+(L135-L133)</f>
      </c>
      <c r="P134" s="7">
        <f>SQRT(O134^2+N134^2)</f>
      </c>
      <c r="Q134" s="7">
        <f>N134/$P134</f>
      </c>
      <c r="R134" s="7">
        <f>O134/$P134</f>
      </c>
      <c r="S134" s="8">
        <f>Q134^2+R134^2</f>
      </c>
      <c r="T134" s="7">
        <f>-R134</f>
      </c>
      <c r="U134" s="7">
        <f>Q134</f>
      </c>
      <c r="V134" s="7">
        <f>($C$14+($C$15-$C$14)/($D$15-$D$14)*(I134-$D$14))/2</f>
      </c>
      <c r="W134" s="7">
        <f>($B$22*I134^4+$C$22*I134^3+$D$22*I134^2+$E$22*I134+$F$22)/2</f>
      </c>
      <c r="X134" s="7">
        <f>($W134)*(T134)</f>
      </c>
      <c r="Y134" s="7">
        <f>($W134)*(U134)</f>
      </c>
      <c r="Z134" s="7">
        <f>SQRT(X134^2+Y134^2)</f>
      </c>
      <c r="AA134" s="7">
        <f>$K134+$X134</f>
      </c>
      <c r="AB134" s="7">
        <f>$L134+$Y134</f>
      </c>
      <c r="AC134" s="7">
        <f>$K134-$X134</f>
      </c>
      <c r="AD134" s="7">
        <f>$L134-$Y134</f>
      </c>
      <c r="AE134" s="7">
        <f>AA134/39.3701</f>
      </c>
      <c r="AF134" s="7">
        <f>AB134/39.3701</f>
      </c>
      <c r="AG134" s="7">
        <f>AC134/39.3701</f>
      </c>
      <c r="AH134" s="7">
        <f>AD134/39.3701</f>
      </c>
      <c r="AI134" s="1"/>
      <c r="AJ134" s="1"/>
      <c r="AK134" s="1"/>
      <c r="AL134" s="1"/>
      <c r="AM134" s="2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</row>
    <row x14ac:dyDescent="0.25" r="135" customHeight="1" ht="18.75">
      <c r="A135" s="1"/>
      <c r="B135" s="2"/>
      <c r="C135" s="2"/>
      <c r="D135" s="2"/>
      <c r="E135" s="2"/>
      <c r="F135" s="2"/>
      <c r="G135" s="1"/>
      <c r="H135" s="1"/>
      <c r="I135" s="7">
        <v>0.132</v>
      </c>
      <c r="J135" s="7">
        <f>IF((I135-ROUNDDOWN(I135,0))=0, 0, (I135-ROUNDDOWN(I135,0)))</f>
      </c>
      <c r="K135" s="7">
        <f>INDIRECT("C$"&amp;2+MIN(2,ROUNDDOWN(I135,0))*3)*(-$J135^3+3*$J135^2-3*$J135+1)+INDIRECT("C$"&amp;3+MIN(2,ROUNDDOWN(I135,0))*3)*(3*$J135^3-6*$J135^2+3*$J135)+INDIRECT("C$"&amp;4+MIN(2,ROUNDDOWN(I135,0))*3)*(-3*$J135^3+3*$J135^2)+INDIRECT("C$"&amp;5+MIN(2,ROUNDDOWN(I135,0))*3)*$J135^3</f>
      </c>
      <c r="L135" s="7">
        <f>INDIRECT("D$"&amp;2+MIN(2,ROUNDDOWN(I135,0))*3)*(-$J135^3+3*$J135^2-3*$J135+1)+INDIRECT("D$"&amp;3+MIN(2,ROUNDDOWN(I135,0))*3)*(3*$J135^3-6*$J135^2+3*$J135)+INDIRECT("D$"&amp;4+MIN(2,ROUNDDOWN(I135,0))*3)*(-3*$J135^3+3*$J135^2)+INDIRECT("D$"&amp;5+MIN(2,ROUNDDOWN(I135,0))*3)*$J135^3</f>
      </c>
      <c r="M135" s="7">
        <f>SQRT(K135^2+L135^2)</f>
      </c>
      <c r="N135" s="7">
        <f>(K136-K134)</f>
      </c>
      <c r="O135" s="7">
        <f>+(L136-L134)</f>
      </c>
      <c r="P135" s="7">
        <f>SQRT(O135^2+N135^2)</f>
      </c>
      <c r="Q135" s="7">
        <f>N135/$P135</f>
      </c>
      <c r="R135" s="7">
        <f>O135/$P135</f>
      </c>
      <c r="S135" s="8">
        <f>Q135^2+R135^2</f>
      </c>
      <c r="T135" s="7">
        <f>-R135</f>
      </c>
      <c r="U135" s="7">
        <f>Q135</f>
      </c>
      <c r="V135" s="7">
        <f>($C$14+($C$15-$C$14)/($D$15-$D$14)*(I135-$D$14))/2</f>
      </c>
      <c r="W135" s="7">
        <f>($B$22*I135^4+$C$22*I135^3+$D$22*I135^2+$E$22*I135+$F$22)/2</f>
      </c>
      <c r="X135" s="7">
        <f>($W135)*(T135)</f>
      </c>
      <c r="Y135" s="7">
        <f>($W135)*(U135)</f>
      </c>
      <c r="Z135" s="7">
        <f>SQRT(X135^2+Y135^2)</f>
      </c>
      <c r="AA135" s="7">
        <f>$K135+$X135</f>
      </c>
      <c r="AB135" s="7">
        <f>$L135+$Y135</f>
      </c>
      <c r="AC135" s="7">
        <f>$K135-$X135</f>
      </c>
      <c r="AD135" s="7">
        <f>$L135-$Y135</f>
      </c>
      <c r="AE135" s="7">
        <f>AA135/39.3701</f>
      </c>
      <c r="AF135" s="7">
        <f>AB135/39.3701</f>
      </c>
      <c r="AG135" s="7">
        <f>AC135/39.3701</f>
      </c>
      <c r="AH135" s="7">
        <f>AD135/39.3701</f>
      </c>
      <c r="AI135" s="1"/>
      <c r="AJ135" s="1"/>
      <c r="AK135" s="1"/>
      <c r="AL135" s="1"/>
      <c r="AM135" s="2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</row>
    <row x14ac:dyDescent="0.25" r="136" customHeight="1" ht="18.75">
      <c r="A136" s="1"/>
      <c r="B136" s="2"/>
      <c r="C136" s="2"/>
      <c r="D136" s="2"/>
      <c r="E136" s="2"/>
      <c r="F136" s="2"/>
      <c r="G136" s="1"/>
      <c r="H136" s="1"/>
      <c r="I136" s="7">
        <v>0.133</v>
      </c>
      <c r="J136" s="7">
        <f>IF((I136-ROUNDDOWN(I136,0))=0, 0, (I136-ROUNDDOWN(I136,0)))</f>
      </c>
      <c r="K136" s="7">
        <f>INDIRECT("C$"&amp;2+MIN(2,ROUNDDOWN(I136,0))*3)*(-$J136^3+3*$J136^2-3*$J136+1)+INDIRECT("C$"&amp;3+MIN(2,ROUNDDOWN(I136,0))*3)*(3*$J136^3-6*$J136^2+3*$J136)+INDIRECT("C$"&amp;4+MIN(2,ROUNDDOWN(I136,0))*3)*(-3*$J136^3+3*$J136^2)+INDIRECT("C$"&amp;5+MIN(2,ROUNDDOWN(I136,0))*3)*$J136^3</f>
      </c>
      <c r="L136" s="7">
        <f>INDIRECT("D$"&amp;2+MIN(2,ROUNDDOWN(I136,0))*3)*(-$J136^3+3*$J136^2-3*$J136+1)+INDIRECT("D$"&amp;3+MIN(2,ROUNDDOWN(I136,0))*3)*(3*$J136^3-6*$J136^2+3*$J136)+INDIRECT("D$"&amp;4+MIN(2,ROUNDDOWN(I136,0))*3)*(-3*$J136^3+3*$J136^2)+INDIRECT("D$"&amp;5+MIN(2,ROUNDDOWN(I136,0))*3)*$J136^3</f>
      </c>
      <c r="M136" s="7">
        <f>SQRT(K136^2+L136^2)</f>
      </c>
      <c r="N136" s="7">
        <f>(K137-K135)</f>
      </c>
      <c r="O136" s="7">
        <f>+(L137-L135)</f>
      </c>
      <c r="P136" s="7">
        <f>SQRT(O136^2+N136^2)</f>
      </c>
      <c r="Q136" s="7">
        <f>N136/$P136</f>
      </c>
      <c r="R136" s="7">
        <f>O136/$P136</f>
      </c>
      <c r="S136" s="8">
        <f>Q136^2+R136^2</f>
      </c>
      <c r="T136" s="7">
        <f>-R136</f>
      </c>
      <c r="U136" s="7">
        <f>Q136</f>
      </c>
      <c r="V136" s="7">
        <f>($C$14+($C$15-$C$14)/($D$15-$D$14)*(I136-$D$14))/2</f>
      </c>
      <c r="W136" s="7">
        <f>($B$22*I136^4+$C$22*I136^3+$D$22*I136^2+$E$22*I136+$F$22)/2</f>
      </c>
      <c r="X136" s="7">
        <f>($W136)*(T136)</f>
      </c>
      <c r="Y136" s="7">
        <f>($W136)*(U136)</f>
      </c>
      <c r="Z136" s="7">
        <f>SQRT(X136^2+Y136^2)</f>
      </c>
      <c r="AA136" s="7">
        <f>$K136+$X136</f>
      </c>
      <c r="AB136" s="7">
        <f>$L136+$Y136</f>
      </c>
      <c r="AC136" s="7">
        <f>$K136-$X136</f>
      </c>
      <c r="AD136" s="7">
        <f>$L136-$Y136</f>
      </c>
      <c r="AE136" s="7">
        <f>AA136/39.3701</f>
      </c>
      <c r="AF136" s="7">
        <f>AB136/39.3701</f>
      </c>
      <c r="AG136" s="7">
        <f>AC136/39.3701</f>
      </c>
      <c r="AH136" s="7">
        <f>AD136/39.3701</f>
      </c>
      <c r="AI136" s="1"/>
      <c r="AJ136" s="1"/>
      <c r="AK136" s="1"/>
      <c r="AL136" s="1"/>
      <c r="AM136" s="2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</row>
    <row x14ac:dyDescent="0.25" r="137" customHeight="1" ht="18.75">
      <c r="A137" s="1"/>
      <c r="B137" s="2"/>
      <c r="C137" s="2"/>
      <c r="D137" s="2"/>
      <c r="E137" s="2"/>
      <c r="F137" s="2"/>
      <c r="G137" s="1"/>
      <c r="H137" s="1"/>
      <c r="I137" s="7">
        <v>0.134</v>
      </c>
      <c r="J137" s="7">
        <f>IF((I137-ROUNDDOWN(I137,0))=0, 0, (I137-ROUNDDOWN(I137,0)))</f>
      </c>
      <c r="K137" s="7">
        <f>INDIRECT("C$"&amp;2+MIN(2,ROUNDDOWN(I137,0))*3)*(-$J137^3+3*$J137^2-3*$J137+1)+INDIRECT("C$"&amp;3+MIN(2,ROUNDDOWN(I137,0))*3)*(3*$J137^3-6*$J137^2+3*$J137)+INDIRECT("C$"&amp;4+MIN(2,ROUNDDOWN(I137,0))*3)*(-3*$J137^3+3*$J137^2)+INDIRECT("C$"&amp;5+MIN(2,ROUNDDOWN(I137,0))*3)*$J137^3</f>
      </c>
      <c r="L137" s="7">
        <f>INDIRECT("D$"&amp;2+MIN(2,ROUNDDOWN(I137,0))*3)*(-$J137^3+3*$J137^2-3*$J137+1)+INDIRECT("D$"&amp;3+MIN(2,ROUNDDOWN(I137,0))*3)*(3*$J137^3-6*$J137^2+3*$J137)+INDIRECT("D$"&amp;4+MIN(2,ROUNDDOWN(I137,0))*3)*(-3*$J137^3+3*$J137^2)+INDIRECT("D$"&amp;5+MIN(2,ROUNDDOWN(I137,0))*3)*$J137^3</f>
      </c>
      <c r="M137" s="7">
        <f>SQRT(K137^2+L137^2)</f>
      </c>
      <c r="N137" s="7">
        <f>(K138-K136)</f>
      </c>
      <c r="O137" s="7">
        <f>+(L138-L136)</f>
      </c>
      <c r="P137" s="7">
        <f>SQRT(O137^2+N137^2)</f>
      </c>
      <c r="Q137" s="7">
        <f>N137/$P137</f>
      </c>
      <c r="R137" s="7">
        <f>O137/$P137</f>
      </c>
      <c r="S137" s="8">
        <f>Q137^2+R137^2</f>
      </c>
      <c r="T137" s="7">
        <f>-R137</f>
      </c>
      <c r="U137" s="7">
        <f>Q137</f>
      </c>
      <c r="V137" s="7">
        <f>($C$14+($C$15-$C$14)/($D$15-$D$14)*(I137-$D$14))/2</f>
      </c>
      <c r="W137" s="7">
        <f>($B$22*I137^4+$C$22*I137^3+$D$22*I137^2+$E$22*I137+$F$22)/2</f>
      </c>
      <c r="X137" s="7">
        <f>($W137)*(T137)</f>
      </c>
      <c r="Y137" s="7">
        <f>($W137)*(U137)</f>
      </c>
      <c r="Z137" s="7">
        <f>SQRT(X137^2+Y137^2)</f>
      </c>
      <c r="AA137" s="7">
        <f>$K137+$X137</f>
      </c>
      <c r="AB137" s="7">
        <f>$L137+$Y137</f>
      </c>
      <c r="AC137" s="7">
        <f>$K137-$X137</f>
      </c>
      <c r="AD137" s="7">
        <f>$L137-$Y137</f>
      </c>
      <c r="AE137" s="7">
        <f>AA137/39.3701</f>
      </c>
      <c r="AF137" s="7">
        <f>AB137/39.3701</f>
      </c>
      <c r="AG137" s="7">
        <f>AC137/39.3701</f>
      </c>
      <c r="AH137" s="7">
        <f>AD137/39.3701</f>
      </c>
      <c r="AI137" s="1"/>
      <c r="AJ137" s="1"/>
      <c r="AK137" s="1"/>
      <c r="AL137" s="1"/>
      <c r="AM137" s="2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</row>
    <row x14ac:dyDescent="0.25" r="138" customHeight="1" ht="18.75">
      <c r="A138" s="1"/>
      <c r="B138" s="2"/>
      <c r="C138" s="2"/>
      <c r="D138" s="2"/>
      <c r="E138" s="2"/>
      <c r="F138" s="2"/>
      <c r="G138" s="1"/>
      <c r="H138" s="1"/>
      <c r="I138" s="7">
        <v>0.135</v>
      </c>
      <c r="J138" s="7">
        <f>IF((I138-ROUNDDOWN(I138,0))=0, 0, (I138-ROUNDDOWN(I138,0)))</f>
      </c>
      <c r="K138" s="7">
        <f>INDIRECT("C$"&amp;2+MIN(2,ROUNDDOWN(I138,0))*3)*(-$J138^3+3*$J138^2-3*$J138+1)+INDIRECT("C$"&amp;3+MIN(2,ROUNDDOWN(I138,0))*3)*(3*$J138^3-6*$J138^2+3*$J138)+INDIRECT("C$"&amp;4+MIN(2,ROUNDDOWN(I138,0))*3)*(-3*$J138^3+3*$J138^2)+INDIRECT("C$"&amp;5+MIN(2,ROUNDDOWN(I138,0))*3)*$J138^3</f>
      </c>
      <c r="L138" s="7">
        <f>INDIRECT("D$"&amp;2+MIN(2,ROUNDDOWN(I138,0))*3)*(-$J138^3+3*$J138^2-3*$J138+1)+INDIRECT("D$"&amp;3+MIN(2,ROUNDDOWN(I138,0))*3)*(3*$J138^3-6*$J138^2+3*$J138)+INDIRECT("D$"&amp;4+MIN(2,ROUNDDOWN(I138,0))*3)*(-3*$J138^3+3*$J138^2)+INDIRECT("D$"&amp;5+MIN(2,ROUNDDOWN(I138,0))*3)*$J138^3</f>
      </c>
      <c r="M138" s="7">
        <f>SQRT(K138^2+L138^2)</f>
      </c>
      <c r="N138" s="7">
        <f>(K139-K137)</f>
      </c>
      <c r="O138" s="7">
        <f>+(L139-L137)</f>
      </c>
      <c r="P138" s="7">
        <f>SQRT(O138^2+N138^2)</f>
      </c>
      <c r="Q138" s="7">
        <f>N138/$P138</f>
      </c>
      <c r="R138" s="7">
        <f>O138/$P138</f>
      </c>
      <c r="S138" s="7">
        <f>Q138^2+R138^2</f>
      </c>
      <c r="T138" s="7">
        <f>-R138</f>
      </c>
      <c r="U138" s="7">
        <f>Q138</f>
      </c>
      <c r="V138" s="7">
        <f>($C$14+($C$15-$C$14)/($D$15-$D$14)*(I138-$D$14))/2</f>
      </c>
      <c r="W138" s="7">
        <f>($B$22*I138^4+$C$22*I138^3+$D$22*I138^2+$E$22*I138+$F$22)/2</f>
      </c>
      <c r="X138" s="7">
        <f>($W138)*(T138)</f>
      </c>
      <c r="Y138" s="7">
        <f>($W138)*(U138)</f>
      </c>
      <c r="Z138" s="7">
        <f>SQRT(X138^2+Y138^2)</f>
      </c>
      <c r="AA138" s="7">
        <f>$K138+$X138</f>
      </c>
      <c r="AB138" s="7">
        <f>$L138+$Y138</f>
      </c>
      <c r="AC138" s="7">
        <f>$K138-$X138</f>
      </c>
      <c r="AD138" s="7">
        <f>$L138-$Y138</f>
      </c>
      <c r="AE138" s="7">
        <f>AA138/39.3701</f>
      </c>
      <c r="AF138" s="7">
        <f>AB138/39.3701</f>
      </c>
      <c r="AG138" s="7">
        <f>AC138/39.3701</f>
      </c>
      <c r="AH138" s="7">
        <f>AD138/39.3701</f>
      </c>
      <c r="AI138" s="1"/>
      <c r="AJ138" s="1"/>
      <c r="AK138" s="1"/>
      <c r="AL138" s="1"/>
      <c r="AM138" s="2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</row>
    <row x14ac:dyDescent="0.25" r="139" customHeight="1" ht="18.75">
      <c r="A139" s="1"/>
      <c r="B139" s="2"/>
      <c r="C139" s="2"/>
      <c r="D139" s="2"/>
      <c r="E139" s="2"/>
      <c r="F139" s="2"/>
      <c r="G139" s="1"/>
      <c r="H139" s="1"/>
      <c r="I139" s="7">
        <v>0.136</v>
      </c>
      <c r="J139" s="7">
        <f>IF((I139-ROUNDDOWN(I139,0))=0, 0, (I139-ROUNDDOWN(I139,0)))</f>
      </c>
      <c r="K139" s="7">
        <f>INDIRECT("C$"&amp;2+MIN(2,ROUNDDOWN(I139,0))*3)*(-$J139^3+3*$J139^2-3*$J139+1)+INDIRECT("C$"&amp;3+MIN(2,ROUNDDOWN(I139,0))*3)*(3*$J139^3-6*$J139^2+3*$J139)+INDIRECT("C$"&amp;4+MIN(2,ROUNDDOWN(I139,0))*3)*(-3*$J139^3+3*$J139^2)+INDIRECT("C$"&amp;5+MIN(2,ROUNDDOWN(I139,0))*3)*$J139^3</f>
      </c>
      <c r="L139" s="7">
        <f>INDIRECT("D$"&amp;2+MIN(2,ROUNDDOWN(I139,0))*3)*(-$J139^3+3*$J139^2-3*$J139+1)+INDIRECT("D$"&amp;3+MIN(2,ROUNDDOWN(I139,0))*3)*(3*$J139^3-6*$J139^2+3*$J139)+INDIRECT("D$"&amp;4+MIN(2,ROUNDDOWN(I139,0))*3)*(-3*$J139^3+3*$J139^2)+INDIRECT("D$"&amp;5+MIN(2,ROUNDDOWN(I139,0))*3)*$J139^3</f>
      </c>
      <c r="M139" s="7">
        <f>SQRT(K139^2+L139^2)</f>
      </c>
      <c r="N139" s="7">
        <f>(K140-K138)</f>
      </c>
      <c r="O139" s="7">
        <f>+(L140-L138)</f>
      </c>
      <c r="P139" s="7">
        <f>SQRT(O139^2+N139^2)</f>
      </c>
      <c r="Q139" s="7">
        <f>N139/$P139</f>
      </c>
      <c r="R139" s="7">
        <f>O139/$P139</f>
      </c>
      <c r="S139" s="8">
        <f>Q139^2+R139^2</f>
      </c>
      <c r="T139" s="7">
        <f>-R139</f>
      </c>
      <c r="U139" s="7">
        <f>Q139</f>
      </c>
      <c r="V139" s="7">
        <f>($C$14+($C$15-$C$14)/($D$15-$D$14)*(I139-$D$14))/2</f>
      </c>
      <c r="W139" s="7">
        <f>($B$22*I139^4+$C$22*I139^3+$D$22*I139^2+$E$22*I139+$F$22)/2</f>
      </c>
      <c r="X139" s="7">
        <f>($W139)*(T139)</f>
      </c>
      <c r="Y139" s="7">
        <f>($W139)*(U139)</f>
      </c>
      <c r="Z139" s="7">
        <f>SQRT(X139^2+Y139^2)</f>
      </c>
      <c r="AA139" s="7">
        <f>$K139+$X139</f>
      </c>
      <c r="AB139" s="7">
        <f>$L139+$Y139</f>
      </c>
      <c r="AC139" s="7">
        <f>$K139-$X139</f>
      </c>
      <c r="AD139" s="7">
        <f>$L139-$Y139</f>
      </c>
      <c r="AE139" s="7">
        <f>AA139/39.3701</f>
      </c>
      <c r="AF139" s="7">
        <f>AB139/39.3701</f>
      </c>
      <c r="AG139" s="7">
        <f>AC139/39.3701</f>
      </c>
      <c r="AH139" s="7">
        <f>AD139/39.3701</f>
      </c>
      <c r="AI139" s="1"/>
      <c r="AJ139" s="1"/>
      <c r="AK139" s="1"/>
      <c r="AL139" s="1"/>
      <c r="AM139" s="2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</row>
    <row x14ac:dyDescent="0.25" r="140" customHeight="1" ht="18.75">
      <c r="A140" s="1"/>
      <c r="B140" s="2"/>
      <c r="C140" s="2"/>
      <c r="D140" s="2"/>
      <c r="E140" s="2"/>
      <c r="F140" s="2"/>
      <c r="G140" s="1"/>
      <c r="H140" s="1"/>
      <c r="I140" s="7">
        <v>0.137</v>
      </c>
      <c r="J140" s="7">
        <f>IF((I140-ROUNDDOWN(I140,0))=0, 0, (I140-ROUNDDOWN(I140,0)))</f>
      </c>
      <c r="K140" s="7">
        <f>INDIRECT("C$"&amp;2+MIN(2,ROUNDDOWN(I140,0))*3)*(-$J140^3+3*$J140^2-3*$J140+1)+INDIRECT("C$"&amp;3+MIN(2,ROUNDDOWN(I140,0))*3)*(3*$J140^3-6*$J140^2+3*$J140)+INDIRECT("C$"&amp;4+MIN(2,ROUNDDOWN(I140,0))*3)*(-3*$J140^3+3*$J140^2)+INDIRECT("C$"&amp;5+MIN(2,ROUNDDOWN(I140,0))*3)*$J140^3</f>
      </c>
      <c r="L140" s="7">
        <f>INDIRECT("D$"&amp;2+MIN(2,ROUNDDOWN(I140,0))*3)*(-$J140^3+3*$J140^2-3*$J140+1)+INDIRECT("D$"&amp;3+MIN(2,ROUNDDOWN(I140,0))*3)*(3*$J140^3-6*$J140^2+3*$J140)+INDIRECT("D$"&amp;4+MIN(2,ROUNDDOWN(I140,0))*3)*(-3*$J140^3+3*$J140^2)+INDIRECT("D$"&amp;5+MIN(2,ROUNDDOWN(I140,0))*3)*$J140^3</f>
      </c>
      <c r="M140" s="7">
        <f>SQRT(K140^2+L140^2)</f>
      </c>
      <c r="N140" s="7">
        <f>(K141-K139)</f>
      </c>
      <c r="O140" s="7">
        <f>+(L141-L139)</f>
      </c>
      <c r="P140" s="7">
        <f>SQRT(O140^2+N140^2)</f>
      </c>
      <c r="Q140" s="7">
        <f>N140/$P140</f>
      </c>
      <c r="R140" s="7">
        <f>O140/$P140</f>
      </c>
      <c r="S140" s="8">
        <f>Q140^2+R140^2</f>
      </c>
      <c r="T140" s="7">
        <f>-R140</f>
      </c>
      <c r="U140" s="7">
        <f>Q140</f>
      </c>
      <c r="V140" s="7">
        <f>($C$14+($C$15-$C$14)/($D$15-$D$14)*(I140-$D$14))/2</f>
      </c>
      <c r="W140" s="7">
        <f>($B$22*I140^4+$C$22*I140^3+$D$22*I140^2+$E$22*I140+$F$22)/2</f>
      </c>
      <c r="X140" s="7">
        <f>($W140)*(T140)</f>
      </c>
      <c r="Y140" s="7">
        <f>($W140)*(U140)</f>
      </c>
      <c r="Z140" s="7">
        <f>SQRT(X140^2+Y140^2)</f>
      </c>
      <c r="AA140" s="7">
        <f>$K140+$X140</f>
      </c>
      <c r="AB140" s="7">
        <f>$L140+$Y140</f>
      </c>
      <c r="AC140" s="7">
        <f>$K140-$X140</f>
      </c>
      <c r="AD140" s="7">
        <f>$L140-$Y140</f>
      </c>
      <c r="AE140" s="7">
        <f>AA140/39.3701</f>
      </c>
      <c r="AF140" s="7">
        <f>AB140/39.3701</f>
      </c>
      <c r="AG140" s="7">
        <f>AC140/39.3701</f>
      </c>
      <c r="AH140" s="7">
        <f>AD140/39.3701</f>
      </c>
      <c r="AI140" s="1"/>
      <c r="AJ140" s="1"/>
      <c r="AK140" s="1"/>
      <c r="AL140" s="1"/>
      <c r="AM140" s="2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</row>
    <row x14ac:dyDescent="0.25" r="141" customHeight="1" ht="18.75">
      <c r="A141" s="1"/>
      <c r="B141" s="2"/>
      <c r="C141" s="2"/>
      <c r="D141" s="2"/>
      <c r="E141" s="2"/>
      <c r="F141" s="2"/>
      <c r="G141" s="1"/>
      <c r="H141" s="1"/>
      <c r="I141" s="7">
        <v>0.138</v>
      </c>
      <c r="J141" s="7">
        <f>IF((I141-ROUNDDOWN(I141,0))=0, 0, (I141-ROUNDDOWN(I141,0)))</f>
      </c>
      <c r="K141" s="7">
        <f>INDIRECT("C$"&amp;2+MIN(2,ROUNDDOWN(I141,0))*3)*(-$J141^3+3*$J141^2-3*$J141+1)+INDIRECT("C$"&amp;3+MIN(2,ROUNDDOWN(I141,0))*3)*(3*$J141^3-6*$J141^2+3*$J141)+INDIRECT("C$"&amp;4+MIN(2,ROUNDDOWN(I141,0))*3)*(-3*$J141^3+3*$J141^2)+INDIRECT("C$"&amp;5+MIN(2,ROUNDDOWN(I141,0))*3)*$J141^3</f>
      </c>
      <c r="L141" s="7">
        <f>INDIRECT("D$"&amp;2+MIN(2,ROUNDDOWN(I141,0))*3)*(-$J141^3+3*$J141^2-3*$J141+1)+INDIRECT("D$"&amp;3+MIN(2,ROUNDDOWN(I141,0))*3)*(3*$J141^3-6*$J141^2+3*$J141)+INDIRECT("D$"&amp;4+MIN(2,ROUNDDOWN(I141,0))*3)*(-3*$J141^3+3*$J141^2)+INDIRECT("D$"&amp;5+MIN(2,ROUNDDOWN(I141,0))*3)*$J141^3</f>
      </c>
      <c r="M141" s="7">
        <f>SQRT(K141^2+L141^2)</f>
      </c>
      <c r="N141" s="7">
        <f>(K142-K140)</f>
      </c>
      <c r="O141" s="7">
        <f>+(L142-L140)</f>
      </c>
      <c r="P141" s="7">
        <f>SQRT(O141^2+N141^2)</f>
      </c>
      <c r="Q141" s="7">
        <f>N141/$P141</f>
      </c>
      <c r="R141" s="7">
        <f>O141/$P141</f>
      </c>
      <c r="S141" s="7">
        <f>Q141^2+R141^2</f>
      </c>
      <c r="T141" s="7">
        <f>-R141</f>
      </c>
      <c r="U141" s="7">
        <f>Q141</f>
      </c>
      <c r="V141" s="7">
        <f>($C$14+($C$15-$C$14)/($D$15-$D$14)*(I141-$D$14))/2</f>
      </c>
      <c r="W141" s="7">
        <f>($B$22*I141^4+$C$22*I141^3+$D$22*I141^2+$E$22*I141+$F$22)/2</f>
      </c>
      <c r="X141" s="7">
        <f>($W141)*(T141)</f>
      </c>
      <c r="Y141" s="7">
        <f>($W141)*(U141)</f>
      </c>
      <c r="Z141" s="7">
        <f>SQRT(X141^2+Y141^2)</f>
      </c>
      <c r="AA141" s="7">
        <f>$K141+$X141</f>
      </c>
      <c r="AB141" s="7">
        <f>$L141+$Y141</f>
      </c>
      <c r="AC141" s="7">
        <f>$K141-$X141</f>
      </c>
      <c r="AD141" s="7">
        <f>$L141-$Y141</f>
      </c>
      <c r="AE141" s="7">
        <f>AA141/39.3701</f>
      </c>
      <c r="AF141" s="7">
        <f>AB141/39.3701</f>
      </c>
      <c r="AG141" s="7">
        <f>AC141/39.3701</f>
      </c>
      <c r="AH141" s="7">
        <f>AD141/39.3701</f>
      </c>
      <c r="AI141" s="1"/>
      <c r="AJ141" s="1"/>
      <c r="AK141" s="1"/>
      <c r="AL141" s="1"/>
      <c r="AM141" s="2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</row>
    <row x14ac:dyDescent="0.25" r="142" customHeight="1" ht="18.75">
      <c r="A142" s="1"/>
      <c r="B142" s="2"/>
      <c r="C142" s="2"/>
      <c r="D142" s="2"/>
      <c r="E142" s="2"/>
      <c r="F142" s="2"/>
      <c r="G142" s="1"/>
      <c r="H142" s="1"/>
      <c r="I142" s="7">
        <v>0.139</v>
      </c>
      <c r="J142" s="7">
        <f>IF((I142-ROUNDDOWN(I142,0))=0, 0, (I142-ROUNDDOWN(I142,0)))</f>
      </c>
      <c r="K142" s="7">
        <f>INDIRECT("C$"&amp;2+MIN(2,ROUNDDOWN(I142,0))*3)*(-$J142^3+3*$J142^2-3*$J142+1)+INDIRECT("C$"&amp;3+MIN(2,ROUNDDOWN(I142,0))*3)*(3*$J142^3-6*$J142^2+3*$J142)+INDIRECT("C$"&amp;4+MIN(2,ROUNDDOWN(I142,0))*3)*(-3*$J142^3+3*$J142^2)+INDIRECT("C$"&amp;5+MIN(2,ROUNDDOWN(I142,0))*3)*$J142^3</f>
      </c>
      <c r="L142" s="7">
        <f>INDIRECT("D$"&amp;2+MIN(2,ROUNDDOWN(I142,0))*3)*(-$J142^3+3*$J142^2-3*$J142+1)+INDIRECT("D$"&amp;3+MIN(2,ROUNDDOWN(I142,0))*3)*(3*$J142^3-6*$J142^2+3*$J142)+INDIRECT("D$"&amp;4+MIN(2,ROUNDDOWN(I142,0))*3)*(-3*$J142^3+3*$J142^2)+INDIRECT("D$"&amp;5+MIN(2,ROUNDDOWN(I142,0))*3)*$J142^3</f>
      </c>
      <c r="M142" s="7">
        <f>SQRT(K142^2+L142^2)</f>
      </c>
      <c r="N142" s="7">
        <f>(K143-K141)</f>
      </c>
      <c r="O142" s="7">
        <f>+(L143-L141)</f>
      </c>
      <c r="P142" s="7">
        <f>SQRT(O142^2+N142^2)</f>
      </c>
      <c r="Q142" s="7">
        <f>N142/$P142</f>
      </c>
      <c r="R142" s="7">
        <f>O142/$P142</f>
      </c>
      <c r="S142" s="7">
        <f>Q142^2+R142^2</f>
      </c>
      <c r="T142" s="7">
        <f>-R142</f>
      </c>
      <c r="U142" s="7">
        <f>Q142</f>
      </c>
      <c r="V142" s="7">
        <f>($C$14+($C$15-$C$14)/($D$15-$D$14)*(I142-$D$14))/2</f>
      </c>
      <c r="W142" s="7">
        <f>($B$22*I142^4+$C$22*I142^3+$D$22*I142^2+$E$22*I142+$F$22)/2</f>
      </c>
      <c r="X142" s="7">
        <f>($W142)*(T142)</f>
      </c>
      <c r="Y142" s="7">
        <f>($W142)*(U142)</f>
      </c>
      <c r="Z142" s="7">
        <f>SQRT(X142^2+Y142^2)</f>
      </c>
      <c r="AA142" s="7">
        <f>$K142+$X142</f>
      </c>
      <c r="AB142" s="7">
        <f>$L142+$Y142</f>
      </c>
      <c r="AC142" s="7">
        <f>$K142-$X142</f>
      </c>
      <c r="AD142" s="7">
        <f>$L142-$Y142</f>
      </c>
      <c r="AE142" s="7">
        <f>AA142/39.3701</f>
      </c>
      <c r="AF142" s="7">
        <f>AB142/39.3701</f>
      </c>
      <c r="AG142" s="7">
        <f>AC142/39.3701</f>
      </c>
      <c r="AH142" s="7">
        <f>AD142/39.3701</f>
      </c>
      <c r="AI142" s="1"/>
      <c r="AJ142" s="1"/>
      <c r="AK142" s="1"/>
      <c r="AL142" s="1"/>
      <c r="AM142" s="2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</row>
    <row x14ac:dyDescent="0.25" r="143" customHeight="1" ht="18.75">
      <c r="A143" s="1"/>
      <c r="B143" s="2"/>
      <c r="C143" s="2"/>
      <c r="D143" s="2"/>
      <c r="E143" s="2"/>
      <c r="F143" s="2"/>
      <c r="G143" s="1"/>
      <c r="H143" s="1"/>
      <c r="I143" s="7">
        <v>0.14</v>
      </c>
      <c r="J143" s="7">
        <f>IF((I143-ROUNDDOWN(I143,0))=0, 0, (I143-ROUNDDOWN(I143,0)))</f>
      </c>
      <c r="K143" s="7">
        <f>INDIRECT("C$"&amp;2+MIN(2,ROUNDDOWN(I143,0))*3)*(-$J143^3+3*$J143^2-3*$J143+1)+INDIRECT("C$"&amp;3+MIN(2,ROUNDDOWN(I143,0))*3)*(3*$J143^3-6*$J143^2+3*$J143)+INDIRECT("C$"&amp;4+MIN(2,ROUNDDOWN(I143,0))*3)*(-3*$J143^3+3*$J143^2)+INDIRECT("C$"&amp;5+MIN(2,ROUNDDOWN(I143,0))*3)*$J143^3</f>
      </c>
      <c r="L143" s="7">
        <f>INDIRECT("D$"&amp;2+MIN(2,ROUNDDOWN(I143,0))*3)*(-$J143^3+3*$J143^2-3*$J143+1)+INDIRECT("D$"&amp;3+MIN(2,ROUNDDOWN(I143,0))*3)*(3*$J143^3-6*$J143^2+3*$J143)+INDIRECT("D$"&amp;4+MIN(2,ROUNDDOWN(I143,0))*3)*(-3*$J143^3+3*$J143^2)+INDIRECT("D$"&amp;5+MIN(2,ROUNDDOWN(I143,0))*3)*$J143^3</f>
      </c>
      <c r="M143" s="7">
        <f>SQRT(K143^2+L143^2)</f>
      </c>
      <c r="N143" s="7">
        <f>(K144-K142)</f>
      </c>
      <c r="O143" s="7">
        <f>+(L144-L142)</f>
      </c>
      <c r="P143" s="7">
        <f>SQRT(O143^2+N143^2)</f>
      </c>
      <c r="Q143" s="7">
        <f>N143/$P143</f>
      </c>
      <c r="R143" s="7">
        <f>O143/$P143</f>
      </c>
      <c r="S143" s="7">
        <f>Q143^2+R143^2</f>
      </c>
      <c r="T143" s="7">
        <f>-R143</f>
      </c>
      <c r="U143" s="7">
        <f>Q143</f>
      </c>
      <c r="V143" s="7">
        <f>($C$14+($C$15-$C$14)/($D$15-$D$14)*(I143-$D$14))/2</f>
      </c>
      <c r="W143" s="7">
        <f>($B$22*I143^4+$C$22*I143^3+$D$22*I143^2+$E$22*I143+$F$22)/2</f>
      </c>
      <c r="X143" s="7">
        <f>($W143)*(T143)</f>
      </c>
      <c r="Y143" s="7">
        <f>($W143)*(U143)</f>
      </c>
      <c r="Z143" s="7">
        <f>SQRT(X143^2+Y143^2)</f>
      </c>
      <c r="AA143" s="7">
        <f>$K143+$X143</f>
      </c>
      <c r="AB143" s="7">
        <f>$L143+$Y143</f>
      </c>
      <c r="AC143" s="7">
        <f>$K143-$X143</f>
      </c>
      <c r="AD143" s="7">
        <f>$L143-$Y143</f>
      </c>
      <c r="AE143" s="7">
        <f>AA143/39.3701</f>
      </c>
      <c r="AF143" s="7">
        <f>AB143/39.3701</f>
      </c>
      <c r="AG143" s="7">
        <f>AC143/39.3701</f>
      </c>
      <c r="AH143" s="7">
        <f>AD143/39.3701</f>
      </c>
      <c r="AI143" s="1"/>
      <c r="AJ143" s="1"/>
      <c r="AK143" s="1"/>
      <c r="AL143" s="1"/>
      <c r="AM143" s="2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</row>
    <row x14ac:dyDescent="0.25" r="144" customHeight="1" ht="18.75">
      <c r="A144" s="1"/>
      <c r="B144" s="2"/>
      <c r="C144" s="2"/>
      <c r="D144" s="2"/>
      <c r="E144" s="2"/>
      <c r="F144" s="2"/>
      <c r="G144" s="1"/>
      <c r="H144" s="1"/>
      <c r="I144" s="7">
        <v>0.141</v>
      </c>
      <c r="J144" s="7">
        <f>IF((I144-ROUNDDOWN(I144,0))=0, 0, (I144-ROUNDDOWN(I144,0)))</f>
      </c>
      <c r="K144" s="7">
        <f>INDIRECT("C$"&amp;2+MIN(2,ROUNDDOWN(I144,0))*3)*(-$J144^3+3*$J144^2-3*$J144+1)+INDIRECT("C$"&amp;3+MIN(2,ROUNDDOWN(I144,0))*3)*(3*$J144^3-6*$J144^2+3*$J144)+INDIRECT("C$"&amp;4+MIN(2,ROUNDDOWN(I144,0))*3)*(-3*$J144^3+3*$J144^2)+INDIRECT("C$"&amp;5+MIN(2,ROUNDDOWN(I144,0))*3)*$J144^3</f>
      </c>
      <c r="L144" s="7">
        <f>INDIRECT("D$"&amp;2+MIN(2,ROUNDDOWN(I144,0))*3)*(-$J144^3+3*$J144^2-3*$J144+1)+INDIRECT("D$"&amp;3+MIN(2,ROUNDDOWN(I144,0))*3)*(3*$J144^3-6*$J144^2+3*$J144)+INDIRECT("D$"&amp;4+MIN(2,ROUNDDOWN(I144,0))*3)*(-3*$J144^3+3*$J144^2)+INDIRECT("D$"&amp;5+MIN(2,ROUNDDOWN(I144,0))*3)*$J144^3</f>
      </c>
      <c r="M144" s="7">
        <f>SQRT(K144^2+L144^2)</f>
      </c>
      <c r="N144" s="7">
        <f>(K145-K143)</f>
      </c>
      <c r="O144" s="7">
        <f>+(L145-L143)</f>
      </c>
      <c r="P144" s="7">
        <f>SQRT(O144^2+N144^2)</f>
      </c>
      <c r="Q144" s="7">
        <f>N144/$P144</f>
      </c>
      <c r="R144" s="7">
        <f>O144/$P144</f>
      </c>
      <c r="S144" s="7">
        <f>Q144^2+R144^2</f>
      </c>
      <c r="T144" s="7">
        <f>-R144</f>
      </c>
      <c r="U144" s="7">
        <f>Q144</f>
      </c>
      <c r="V144" s="7">
        <f>($C$14+($C$15-$C$14)/($D$15-$D$14)*(I144-$D$14))/2</f>
      </c>
      <c r="W144" s="7">
        <f>($B$22*I144^4+$C$22*I144^3+$D$22*I144^2+$E$22*I144+$F$22)/2</f>
      </c>
      <c r="X144" s="7">
        <f>($W144)*(T144)</f>
      </c>
      <c r="Y144" s="7">
        <f>($W144)*(U144)</f>
      </c>
      <c r="Z144" s="7">
        <f>SQRT(X144^2+Y144^2)</f>
      </c>
      <c r="AA144" s="7">
        <f>$K144+$X144</f>
      </c>
      <c r="AB144" s="7">
        <f>$L144+$Y144</f>
      </c>
      <c r="AC144" s="7">
        <f>$K144-$X144</f>
      </c>
      <c r="AD144" s="7">
        <f>$L144-$Y144</f>
      </c>
      <c r="AE144" s="7">
        <f>AA144/39.3701</f>
      </c>
      <c r="AF144" s="7">
        <f>AB144/39.3701</f>
      </c>
      <c r="AG144" s="7">
        <f>AC144/39.3701</f>
      </c>
      <c r="AH144" s="7">
        <f>AD144/39.3701</f>
      </c>
      <c r="AI144" s="1"/>
      <c r="AJ144" s="1"/>
      <c r="AK144" s="1"/>
      <c r="AL144" s="1"/>
      <c r="AM144" s="2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</row>
    <row x14ac:dyDescent="0.25" r="145" customHeight="1" ht="18.75">
      <c r="A145" s="1"/>
      <c r="B145" s="2"/>
      <c r="C145" s="2"/>
      <c r="D145" s="2"/>
      <c r="E145" s="2"/>
      <c r="F145" s="2"/>
      <c r="G145" s="1"/>
      <c r="H145" s="1"/>
      <c r="I145" s="7">
        <v>0.142</v>
      </c>
      <c r="J145" s="7">
        <f>IF((I145-ROUNDDOWN(I145,0))=0, 0, (I145-ROUNDDOWN(I145,0)))</f>
      </c>
      <c r="K145" s="7">
        <f>INDIRECT("C$"&amp;2+MIN(2,ROUNDDOWN(I145,0))*3)*(-$J145^3+3*$J145^2-3*$J145+1)+INDIRECT("C$"&amp;3+MIN(2,ROUNDDOWN(I145,0))*3)*(3*$J145^3-6*$J145^2+3*$J145)+INDIRECT("C$"&amp;4+MIN(2,ROUNDDOWN(I145,0))*3)*(-3*$J145^3+3*$J145^2)+INDIRECT("C$"&amp;5+MIN(2,ROUNDDOWN(I145,0))*3)*$J145^3</f>
      </c>
      <c r="L145" s="7">
        <f>INDIRECT("D$"&amp;2+MIN(2,ROUNDDOWN(I145,0))*3)*(-$J145^3+3*$J145^2-3*$J145+1)+INDIRECT("D$"&amp;3+MIN(2,ROUNDDOWN(I145,0))*3)*(3*$J145^3-6*$J145^2+3*$J145)+INDIRECT("D$"&amp;4+MIN(2,ROUNDDOWN(I145,0))*3)*(-3*$J145^3+3*$J145^2)+INDIRECT("D$"&amp;5+MIN(2,ROUNDDOWN(I145,0))*3)*$J145^3</f>
      </c>
      <c r="M145" s="7">
        <f>SQRT(K145^2+L145^2)</f>
      </c>
      <c r="N145" s="7">
        <f>(K146-K144)</f>
      </c>
      <c r="O145" s="7">
        <f>+(L146-L144)</f>
      </c>
      <c r="P145" s="7">
        <f>SQRT(O145^2+N145^2)</f>
      </c>
      <c r="Q145" s="7">
        <f>N145/$P145</f>
      </c>
      <c r="R145" s="7">
        <f>O145/$P145</f>
      </c>
      <c r="S145" s="7">
        <f>Q145^2+R145^2</f>
      </c>
      <c r="T145" s="7">
        <f>-R145</f>
      </c>
      <c r="U145" s="7">
        <f>Q145</f>
      </c>
      <c r="V145" s="7">
        <f>($C$14+($C$15-$C$14)/($D$15-$D$14)*(I145-$D$14))/2</f>
      </c>
      <c r="W145" s="7">
        <f>($B$22*I145^4+$C$22*I145^3+$D$22*I145^2+$E$22*I145+$F$22)/2</f>
      </c>
      <c r="X145" s="7">
        <f>($W145)*(T145)</f>
      </c>
      <c r="Y145" s="7">
        <f>($W145)*(U145)</f>
      </c>
      <c r="Z145" s="7">
        <f>SQRT(X145^2+Y145^2)</f>
      </c>
      <c r="AA145" s="7">
        <f>$K145+$X145</f>
      </c>
      <c r="AB145" s="7">
        <f>$L145+$Y145</f>
      </c>
      <c r="AC145" s="7">
        <f>$K145-$X145</f>
      </c>
      <c r="AD145" s="7">
        <f>$L145-$Y145</f>
      </c>
      <c r="AE145" s="7">
        <f>AA145/39.3701</f>
      </c>
      <c r="AF145" s="7">
        <f>AB145/39.3701</f>
      </c>
      <c r="AG145" s="7">
        <f>AC145/39.3701</f>
      </c>
      <c r="AH145" s="7">
        <f>AD145/39.3701</f>
      </c>
      <c r="AI145" s="1"/>
      <c r="AJ145" s="1"/>
      <c r="AK145" s="1"/>
      <c r="AL145" s="1"/>
      <c r="AM145" s="2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</row>
    <row x14ac:dyDescent="0.25" r="146" customHeight="1" ht="18.75">
      <c r="A146" s="1"/>
      <c r="B146" s="2"/>
      <c r="C146" s="2"/>
      <c r="D146" s="2"/>
      <c r="E146" s="2"/>
      <c r="F146" s="2"/>
      <c r="G146" s="1"/>
      <c r="H146" s="1"/>
      <c r="I146" s="7">
        <v>0.143</v>
      </c>
      <c r="J146" s="7">
        <f>IF((I146-ROUNDDOWN(I146,0))=0, 0, (I146-ROUNDDOWN(I146,0)))</f>
      </c>
      <c r="K146" s="7">
        <f>INDIRECT("C$"&amp;2+MIN(2,ROUNDDOWN(I146,0))*3)*(-$J146^3+3*$J146^2-3*$J146+1)+INDIRECT("C$"&amp;3+MIN(2,ROUNDDOWN(I146,0))*3)*(3*$J146^3-6*$J146^2+3*$J146)+INDIRECT("C$"&amp;4+MIN(2,ROUNDDOWN(I146,0))*3)*(-3*$J146^3+3*$J146^2)+INDIRECT("C$"&amp;5+MIN(2,ROUNDDOWN(I146,0))*3)*$J146^3</f>
      </c>
      <c r="L146" s="7">
        <f>INDIRECT("D$"&amp;2+MIN(2,ROUNDDOWN(I146,0))*3)*(-$J146^3+3*$J146^2-3*$J146+1)+INDIRECT("D$"&amp;3+MIN(2,ROUNDDOWN(I146,0))*3)*(3*$J146^3-6*$J146^2+3*$J146)+INDIRECT("D$"&amp;4+MIN(2,ROUNDDOWN(I146,0))*3)*(-3*$J146^3+3*$J146^2)+INDIRECT("D$"&amp;5+MIN(2,ROUNDDOWN(I146,0))*3)*$J146^3</f>
      </c>
      <c r="M146" s="7">
        <f>SQRT(K146^2+L146^2)</f>
      </c>
      <c r="N146" s="7">
        <f>(K147-K145)</f>
      </c>
      <c r="O146" s="7">
        <f>+(L147-L145)</f>
      </c>
      <c r="P146" s="7">
        <f>SQRT(O146^2+N146^2)</f>
      </c>
      <c r="Q146" s="7">
        <f>N146/$P146</f>
      </c>
      <c r="R146" s="7">
        <f>O146/$P146</f>
      </c>
      <c r="S146" s="8">
        <f>Q146^2+R146^2</f>
      </c>
      <c r="T146" s="7">
        <f>-R146</f>
      </c>
      <c r="U146" s="7">
        <f>Q146</f>
      </c>
      <c r="V146" s="7">
        <f>($C$14+($C$15-$C$14)/($D$15-$D$14)*(I146-$D$14))/2</f>
      </c>
      <c r="W146" s="7">
        <f>($B$22*I146^4+$C$22*I146^3+$D$22*I146^2+$E$22*I146+$F$22)/2</f>
      </c>
      <c r="X146" s="7">
        <f>($W146)*(T146)</f>
      </c>
      <c r="Y146" s="7">
        <f>($W146)*(U146)</f>
      </c>
      <c r="Z146" s="7">
        <f>SQRT(X146^2+Y146^2)</f>
      </c>
      <c r="AA146" s="7">
        <f>$K146+$X146</f>
      </c>
      <c r="AB146" s="7">
        <f>$L146+$Y146</f>
      </c>
      <c r="AC146" s="7">
        <f>$K146-$X146</f>
      </c>
      <c r="AD146" s="7">
        <f>$L146-$Y146</f>
      </c>
      <c r="AE146" s="7">
        <f>AA146/39.3701</f>
      </c>
      <c r="AF146" s="7">
        <f>AB146/39.3701</f>
      </c>
      <c r="AG146" s="7">
        <f>AC146/39.3701</f>
      </c>
      <c r="AH146" s="7">
        <f>AD146/39.3701</f>
      </c>
      <c r="AI146" s="1"/>
      <c r="AJ146" s="1"/>
      <c r="AK146" s="1"/>
      <c r="AL146" s="1"/>
      <c r="AM146" s="2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</row>
    <row x14ac:dyDescent="0.25" r="147" customHeight="1" ht="18.75">
      <c r="A147" s="1"/>
      <c r="B147" s="2"/>
      <c r="C147" s="2"/>
      <c r="D147" s="2"/>
      <c r="E147" s="2"/>
      <c r="F147" s="2"/>
      <c r="G147" s="1"/>
      <c r="H147" s="1"/>
      <c r="I147" s="7">
        <v>0.144</v>
      </c>
      <c r="J147" s="7">
        <f>IF((I147-ROUNDDOWN(I147,0))=0, 0, (I147-ROUNDDOWN(I147,0)))</f>
      </c>
      <c r="K147" s="7">
        <f>INDIRECT("C$"&amp;2+MIN(2,ROUNDDOWN(I147,0))*3)*(-$J147^3+3*$J147^2-3*$J147+1)+INDIRECT("C$"&amp;3+MIN(2,ROUNDDOWN(I147,0))*3)*(3*$J147^3-6*$J147^2+3*$J147)+INDIRECT("C$"&amp;4+MIN(2,ROUNDDOWN(I147,0))*3)*(-3*$J147^3+3*$J147^2)+INDIRECT("C$"&amp;5+MIN(2,ROUNDDOWN(I147,0))*3)*$J147^3</f>
      </c>
      <c r="L147" s="7">
        <f>INDIRECT("D$"&amp;2+MIN(2,ROUNDDOWN(I147,0))*3)*(-$J147^3+3*$J147^2-3*$J147+1)+INDIRECT("D$"&amp;3+MIN(2,ROUNDDOWN(I147,0))*3)*(3*$J147^3-6*$J147^2+3*$J147)+INDIRECT("D$"&amp;4+MIN(2,ROUNDDOWN(I147,0))*3)*(-3*$J147^3+3*$J147^2)+INDIRECT("D$"&amp;5+MIN(2,ROUNDDOWN(I147,0))*3)*$J147^3</f>
      </c>
      <c r="M147" s="7">
        <f>SQRT(K147^2+L147^2)</f>
      </c>
      <c r="N147" s="7">
        <f>(K148-K146)</f>
      </c>
      <c r="O147" s="7">
        <f>+(L148-L146)</f>
      </c>
      <c r="P147" s="7">
        <f>SQRT(O147^2+N147^2)</f>
      </c>
      <c r="Q147" s="7">
        <f>N147/$P147</f>
      </c>
      <c r="R147" s="7">
        <f>O147/$P147</f>
      </c>
      <c r="S147" s="7">
        <f>Q147^2+R147^2</f>
      </c>
      <c r="T147" s="7">
        <f>-R147</f>
      </c>
      <c r="U147" s="7">
        <f>Q147</f>
      </c>
      <c r="V147" s="7">
        <f>($C$14+($C$15-$C$14)/($D$15-$D$14)*(I147-$D$14))/2</f>
      </c>
      <c r="W147" s="7">
        <f>($B$22*I147^4+$C$22*I147^3+$D$22*I147^2+$E$22*I147+$F$22)/2</f>
      </c>
      <c r="X147" s="7">
        <f>($W147)*(T147)</f>
      </c>
      <c r="Y147" s="7">
        <f>($W147)*(U147)</f>
      </c>
      <c r="Z147" s="7">
        <f>SQRT(X147^2+Y147^2)</f>
      </c>
      <c r="AA147" s="7">
        <f>$K147+$X147</f>
      </c>
      <c r="AB147" s="7">
        <f>$L147+$Y147</f>
      </c>
      <c r="AC147" s="7">
        <f>$K147-$X147</f>
      </c>
      <c r="AD147" s="7">
        <f>$L147-$Y147</f>
      </c>
      <c r="AE147" s="7">
        <f>AA147/39.3701</f>
      </c>
      <c r="AF147" s="7">
        <f>AB147/39.3701</f>
      </c>
      <c r="AG147" s="7">
        <f>AC147/39.3701</f>
      </c>
      <c r="AH147" s="7">
        <f>AD147/39.3701</f>
      </c>
      <c r="AI147" s="1"/>
      <c r="AJ147" s="1"/>
      <c r="AK147" s="1"/>
      <c r="AL147" s="1"/>
      <c r="AM147" s="2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</row>
    <row x14ac:dyDescent="0.25" r="148" customHeight="1" ht="18.75">
      <c r="A148" s="1"/>
      <c r="B148" s="2"/>
      <c r="C148" s="2"/>
      <c r="D148" s="2"/>
      <c r="E148" s="2"/>
      <c r="F148" s="2"/>
      <c r="G148" s="1"/>
      <c r="H148" s="1"/>
      <c r="I148" s="7">
        <v>0.145</v>
      </c>
      <c r="J148" s="7">
        <f>IF((I148-ROUNDDOWN(I148,0))=0, 0, (I148-ROUNDDOWN(I148,0)))</f>
      </c>
      <c r="K148" s="7">
        <f>INDIRECT("C$"&amp;2+MIN(2,ROUNDDOWN(I148,0))*3)*(-$J148^3+3*$J148^2-3*$J148+1)+INDIRECT("C$"&amp;3+MIN(2,ROUNDDOWN(I148,0))*3)*(3*$J148^3-6*$J148^2+3*$J148)+INDIRECT("C$"&amp;4+MIN(2,ROUNDDOWN(I148,0))*3)*(-3*$J148^3+3*$J148^2)+INDIRECT("C$"&amp;5+MIN(2,ROUNDDOWN(I148,0))*3)*$J148^3</f>
      </c>
      <c r="L148" s="7">
        <f>INDIRECT("D$"&amp;2+MIN(2,ROUNDDOWN(I148,0))*3)*(-$J148^3+3*$J148^2-3*$J148+1)+INDIRECT("D$"&amp;3+MIN(2,ROUNDDOWN(I148,0))*3)*(3*$J148^3-6*$J148^2+3*$J148)+INDIRECT("D$"&amp;4+MIN(2,ROUNDDOWN(I148,0))*3)*(-3*$J148^3+3*$J148^2)+INDIRECT("D$"&amp;5+MIN(2,ROUNDDOWN(I148,0))*3)*$J148^3</f>
      </c>
      <c r="M148" s="7">
        <f>SQRT(K148^2+L148^2)</f>
      </c>
      <c r="N148" s="7">
        <f>(K149-K147)</f>
      </c>
      <c r="O148" s="7">
        <f>+(L149-L147)</f>
      </c>
      <c r="P148" s="7">
        <f>SQRT(O148^2+N148^2)</f>
      </c>
      <c r="Q148" s="7">
        <f>N148/$P148</f>
      </c>
      <c r="R148" s="7">
        <f>O148/$P148</f>
      </c>
      <c r="S148" s="7">
        <f>Q148^2+R148^2</f>
      </c>
      <c r="T148" s="7">
        <f>-R148</f>
      </c>
      <c r="U148" s="7">
        <f>Q148</f>
      </c>
      <c r="V148" s="7">
        <f>($C$14+($C$15-$C$14)/($D$15-$D$14)*(I148-$D$14))/2</f>
      </c>
      <c r="W148" s="7">
        <f>($B$22*I148^4+$C$22*I148^3+$D$22*I148^2+$E$22*I148+$F$22)/2</f>
      </c>
      <c r="X148" s="7">
        <f>($W148)*(T148)</f>
      </c>
      <c r="Y148" s="7">
        <f>($W148)*(U148)</f>
      </c>
      <c r="Z148" s="7">
        <f>SQRT(X148^2+Y148^2)</f>
      </c>
      <c r="AA148" s="7">
        <f>$K148+$X148</f>
      </c>
      <c r="AB148" s="7">
        <f>$L148+$Y148</f>
      </c>
      <c r="AC148" s="7">
        <f>$K148-$X148</f>
      </c>
      <c r="AD148" s="7">
        <f>$L148-$Y148</f>
      </c>
      <c r="AE148" s="7">
        <f>AA148/39.3701</f>
      </c>
      <c r="AF148" s="7">
        <f>AB148/39.3701</f>
      </c>
      <c r="AG148" s="7">
        <f>AC148/39.3701</f>
      </c>
      <c r="AH148" s="7">
        <f>AD148/39.3701</f>
      </c>
      <c r="AI148" s="1"/>
      <c r="AJ148" s="1"/>
      <c r="AK148" s="1"/>
      <c r="AL148" s="1"/>
      <c r="AM148" s="2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</row>
    <row x14ac:dyDescent="0.25" r="149" customHeight="1" ht="18.75">
      <c r="A149" s="1"/>
      <c r="B149" s="2"/>
      <c r="C149" s="2"/>
      <c r="D149" s="2"/>
      <c r="E149" s="2"/>
      <c r="F149" s="2"/>
      <c r="G149" s="1"/>
      <c r="H149" s="1"/>
      <c r="I149" s="7">
        <v>0.146</v>
      </c>
      <c r="J149" s="7">
        <f>IF((I149-ROUNDDOWN(I149,0))=0, 0, (I149-ROUNDDOWN(I149,0)))</f>
      </c>
      <c r="K149" s="7">
        <f>INDIRECT("C$"&amp;2+MIN(2,ROUNDDOWN(I149,0))*3)*(-$J149^3+3*$J149^2-3*$J149+1)+INDIRECT("C$"&amp;3+MIN(2,ROUNDDOWN(I149,0))*3)*(3*$J149^3-6*$J149^2+3*$J149)+INDIRECT("C$"&amp;4+MIN(2,ROUNDDOWN(I149,0))*3)*(-3*$J149^3+3*$J149^2)+INDIRECT("C$"&amp;5+MIN(2,ROUNDDOWN(I149,0))*3)*$J149^3</f>
      </c>
      <c r="L149" s="7">
        <f>INDIRECT("D$"&amp;2+MIN(2,ROUNDDOWN(I149,0))*3)*(-$J149^3+3*$J149^2-3*$J149+1)+INDIRECT("D$"&amp;3+MIN(2,ROUNDDOWN(I149,0))*3)*(3*$J149^3-6*$J149^2+3*$J149)+INDIRECT("D$"&amp;4+MIN(2,ROUNDDOWN(I149,0))*3)*(-3*$J149^3+3*$J149^2)+INDIRECT("D$"&amp;5+MIN(2,ROUNDDOWN(I149,0))*3)*$J149^3</f>
      </c>
      <c r="M149" s="7">
        <f>SQRT(K149^2+L149^2)</f>
      </c>
      <c r="N149" s="7">
        <f>(K150-K148)</f>
      </c>
      <c r="O149" s="7">
        <f>+(L150-L148)</f>
      </c>
      <c r="P149" s="7">
        <f>SQRT(O149^2+N149^2)</f>
      </c>
      <c r="Q149" s="7">
        <f>N149/$P149</f>
      </c>
      <c r="R149" s="7">
        <f>O149/$P149</f>
      </c>
      <c r="S149" s="8">
        <f>Q149^2+R149^2</f>
      </c>
      <c r="T149" s="7">
        <f>-R149</f>
      </c>
      <c r="U149" s="7">
        <f>Q149</f>
      </c>
      <c r="V149" s="7">
        <f>($C$14+($C$15-$C$14)/($D$15-$D$14)*(I149-$D$14))/2</f>
      </c>
      <c r="W149" s="7">
        <f>($B$22*I149^4+$C$22*I149^3+$D$22*I149^2+$E$22*I149+$F$22)/2</f>
      </c>
      <c r="X149" s="7">
        <f>($W149)*(T149)</f>
      </c>
      <c r="Y149" s="7">
        <f>($W149)*(U149)</f>
      </c>
      <c r="Z149" s="7">
        <f>SQRT(X149^2+Y149^2)</f>
      </c>
      <c r="AA149" s="7">
        <f>$K149+$X149</f>
      </c>
      <c r="AB149" s="7">
        <f>$L149+$Y149</f>
      </c>
      <c r="AC149" s="7">
        <f>$K149-$X149</f>
      </c>
      <c r="AD149" s="7">
        <f>$L149-$Y149</f>
      </c>
      <c r="AE149" s="7">
        <f>AA149/39.3701</f>
      </c>
      <c r="AF149" s="7">
        <f>AB149/39.3701</f>
      </c>
      <c r="AG149" s="7">
        <f>AC149/39.3701</f>
      </c>
      <c r="AH149" s="7">
        <f>AD149/39.3701</f>
      </c>
      <c r="AI149" s="1"/>
      <c r="AJ149" s="1"/>
      <c r="AK149" s="1"/>
      <c r="AL149" s="1"/>
      <c r="AM149" s="2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</row>
    <row x14ac:dyDescent="0.25" r="150" customHeight="1" ht="18.75">
      <c r="A150" s="1"/>
      <c r="B150" s="2"/>
      <c r="C150" s="2"/>
      <c r="D150" s="2"/>
      <c r="E150" s="2"/>
      <c r="F150" s="2"/>
      <c r="G150" s="1"/>
      <c r="H150" s="1"/>
      <c r="I150" s="7">
        <v>0.147</v>
      </c>
      <c r="J150" s="7">
        <f>IF((I150-ROUNDDOWN(I150,0))=0, 0, (I150-ROUNDDOWN(I150,0)))</f>
      </c>
      <c r="K150" s="7">
        <f>INDIRECT("C$"&amp;2+MIN(2,ROUNDDOWN(I150,0))*3)*(-$J150^3+3*$J150^2-3*$J150+1)+INDIRECT("C$"&amp;3+MIN(2,ROUNDDOWN(I150,0))*3)*(3*$J150^3-6*$J150^2+3*$J150)+INDIRECT("C$"&amp;4+MIN(2,ROUNDDOWN(I150,0))*3)*(-3*$J150^3+3*$J150^2)+INDIRECT("C$"&amp;5+MIN(2,ROUNDDOWN(I150,0))*3)*$J150^3</f>
      </c>
      <c r="L150" s="7">
        <f>INDIRECT("D$"&amp;2+MIN(2,ROUNDDOWN(I150,0))*3)*(-$J150^3+3*$J150^2-3*$J150+1)+INDIRECT("D$"&amp;3+MIN(2,ROUNDDOWN(I150,0))*3)*(3*$J150^3-6*$J150^2+3*$J150)+INDIRECT("D$"&amp;4+MIN(2,ROUNDDOWN(I150,0))*3)*(-3*$J150^3+3*$J150^2)+INDIRECT("D$"&amp;5+MIN(2,ROUNDDOWN(I150,0))*3)*$J150^3</f>
      </c>
      <c r="M150" s="7">
        <f>SQRT(K150^2+L150^2)</f>
      </c>
      <c r="N150" s="7">
        <f>(K151-K149)</f>
      </c>
      <c r="O150" s="7">
        <f>+(L151-L149)</f>
      </c>
      <c r="P150" s="7">
        <f>SQRT(O150^2+N150^2)</f>
      </c>
      <c r="Q150" s="7">
        <f>N150/$P150</f>
      </c>
      <c r="R150" s="7">
        <f>O150/$P150</f>
      </c>
      <c r="S150" s="7">
        <f>Q150^2+R150^2</f>
      </c>
      <c r="T150" s="7">
        <f>-R150</f>
      </c>
      <c r="U150" s="7">
        <f>Q150</f>
      </c>
      <c r="V150" s="7">
        <f>($C$14+($C$15-$C$14)/($D$15-$D$14)*(I150-$D$14))/2</f>
      </c>
      <c r="W150" s="7">
        <f>($B$22*I150^4+$C$22*I150^3+$D$22*I150^2+$E$22*I150+$F$22)/2</f>
      </c>
      <c r="X150" s="7">
        <f>($W150)*(T150)</f>
      </c>
      <c r="Y150" s="7">
        <f>($W150)*(U150)</f>
      </c>
      <c r="Z150" s="7">
        <f>SQRT(X150^2+Y150^2)</f>
      </c>
      <c r="AA150" s="7">
        <f>$K150+$X150</f>
      </c>
      <c r="AB150" s="7">
        <f>$L150+$Y150</f>
      </c>
      <c r="AC150" s="7">
        <f>$K150-$X150</f>
      </c>
      <c r="AD150" s="7">
        <f>$L150-$Y150</f>
      </c>
      <c r="AE150" s="7">
        <f>AA150/39.3701</f>
      </c>
      <c r="AF150" s="7">
        <f>AB150/39.3701</f>
      </c>
      <c r="AG150" s="7">
        <f>AC150/39.3701</f>
      </c>
      <c r="AH150" s="7">
        <f>AD150/39.3701</f>
      </c>
      <c r="AI150" s="1"/>
      <c r="AJ150" s="1"/>
      <c r="AK150" s="1"/>
      <c r="AL150" s="1"/>
      <c r="AM150" s="2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</row>
    <row x14ac:dyDescent="0.25" r="151" customHeight="1" ht="18.75">
      <c r="A151" s="1"/>
      <c r="B151" s="2"/>
      <c r="C151" s="2"/>
      <c r="D151" s="2"/>
      <c r="E151" s="2"/>
      <c r="F151" s="2"/>
      <c r="G151" s="1"/>
      <c r="H151" s="1"/>
      <c r="I151" s="7">
        <v>0.148</v>
      </c>
      <c r="J151" s="7">
        <f>IF((I151-ROUNDDOWN(I151,0))=0, 0, (I151-ROUNDDOWN(I151,0)))</f>
      </c>
      <c r="K151" s="7">
        <f>INDIRECT("C$"&amp;2+MIN(2,ROUNDDOWN(I151,0))*3)*(-$J151^3+3*$J151^2-3*$J151+1)+INDIRECT("C$"&amp;3+MIN(2,ROUNDDOWN(I151,0))*3)*(3*$J151^3-6*$J151^2+3*$J151)+INDIRECT("C$"&amp;4+MIN(2,ROUNDDOWN(I151,0))*3)*(-3*$J151^3+3*$J151^2)+INDIRECT("C$"&amp;5+MIN(2,ROUNDDOWN(I151,0))*3)*$J151^3</f>
      </c>
      <c r="L151" s="7">
        <f>INDIRECT("D$"&amp;2+MIN(2,ROUNDDOWN(I151,0))*3)*(-$J151^3+3*$J151^2-3*$J151+1)+INDIRECT("D$"&amp;3+MIN(2,ROUNDDOWN(I151,0))*3)*(3*$J151^3-6*$J151^2+3*$J151)+INDIRECT("D$"&amp;4+MIN(2,ROUNDDOWN(I151,0))*3)*(-3*$J151^3+3*$J151^2)+INDIRECT("D$"&amp;5+MIN(2,ROUNDDOWN(I151,0))*3)*$J151^3</f>
      </c>
      <c r="M151" s="7">
        <f>SQRT(K151^2+L151^2)</f>
      </c>
      <c r="N151" s="7">
        <f>(K152-K150)</f>
      </c>
      <c r="O151" s="7">
        <f>+(L152-L150)</f>
      </c>
      <c r="P151" s="7">
        <f>SQRT(O151^2+N151^2)</f>
      </c>
      <c r="Q151" s="7">
        <f>N151/$P151</f>
      </c>
      <c r="R151" s="7">
        <f>O151/$P151</f>
      </c>
      <c r="S151" s="7">
        <f>Q151^2+R151^2</f>
      </c>
      <c r="T151" s="7">
        <f>-R151</f>
      </c>
      <c r="U151" s="7">
        <f>Q151</f>
      </c>
      <c r="V151" s="7">
        <f>($C$14+($C$15-$C$14)/($D$15-$D$14)*(I151-$D$14))/2</f>
      </c>
      <c r="W151" s="7">
        <f>($B$22*I151^4+$C$22*I151^3+$D$22*I151^2+$E$22*I151+$F$22)/2</f>
      </c>
      <c r="X151" s="7">
        <f>($W151)*(T151)</f>
      </c>
      <c r="Y151" s="7">
        <f>($W151)*(U151)</f>
      </c>
      <c r="Z151" s="7">
        <f>SQRT(X151^2+Y151^2)</f>
      </c>
      <c r="AA151" s="7">
        <f>$K151+$X151</f>
      </c>
      <c r="AB151" s="7">
        <f>$L151+$Y151</f>
      </c>
      <c r="AC151" s="7">
        <f>$K151-$X151</f>
      </c>
      <c r="AD151" s="7">
        <f>$L151-$Y151</f>
      </c>
      <c r="AE151" s="7">
        <f>AA151/39.3701</f>
      </c>
      <c r="AF151" s="7">
        <f>AB151/39.3701</f>
      </c>
      <c r="AG151" s="7">
        <f>AC151/39.3701</f>
      </c>
      <c r="AH151" s="7">
        <f>AD151/39.3701</f>
      </c>
      <c r="AI151" s="1"/>
      <c r="AJ151" s="1"/>
      <c r="AK151" s="1"/>
      <c r="AL151" s="1"/>
      <c r="AM151" s="2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</row>
    <row x14ac:dyDescent="0.25" r="152" customHeight="1" ht="18.75">
      <c r="A152" s="1"/>
      <c r="B152" s="2"/>
      <c r="C152" s="2"/>
      <c r="D152" s="2"/>
      <c r="E152" s="2"/>
      <c r="F152" s="2"/>
      <c r="G152" s="1"/>
      <c r="H152" s="1"/>
      <c r="I152" s="7">
        <v>0.149</v>
      </c>
      <c r="J152" s="7">
        <f>IF((I152-ROUNDDOWN(I152,0))=0, 0, (I152-ROUNDDOWN(I152,0)))</f>
      </c>
      <c r="K152" s="7">
        <f>INDIRECT("C$"&amp;2+MIN(2,ROUNDDOWN(I152,0))*3)*(-$J152^3+3*$J152^2-3*$J152+1)+INDIRECT("C$"&amp;3+MIN(2,ROUNDDOWN(I152,0))*3)*(3*$J152^3-6*$J152^2+3*$J152)+INDIRECT("C$"&amp;4+MIN(2,ROUNDDOWN(I152,0))*3)*(-3*$J152^3+3*$J152^2)+INDIRECT("C$"&amp;5+MIN(2,ROUNDDOWN(I152,0))*3)*$J152^3</f>
      </c>
      <c r="L152" s="7">
        <f>INDIRECT("D$"&amp;2+MIN(2,ROUNDDOWN(I152,0))*3)*(-$J152^3+3*$J152^2-3*$J152+1)+INDIRECT("D$"&amp;3+MIN(2,ROUNDDOWN(I152,0))*3)*(3*$J152^3-6*$J152^2+3*$J152)+INDIRECT("D$"&amp;4+MIN(2,ROUNDDOWN(I152,0))*3)*(-3*$J152^3+3*$J152^2)+INDIRECT("D$"&amp;5+MIN(2,ROUNDDOWN(I152,0))*3)*$J152^3</f>
      </c>
      <c r="M152" s="7">
        <f>SQRT(K152^2+L152^2)</f>
      </c>
      <c r="N152" s="7">
        <f>(K153-K151)</f>
      </c>
      <c r="O152" s="7">
        <f>+(L153-L151)</f>
      </c>
      <c r="P152" s="7">
        <f>SQRT(O152^2+N152^2)</f>
      </c>
      <c r="Q152" s="7">
        <f>N152/$P152</f>
      </c>
      <c r="R152" s="7">
        <f>O152/$P152</f>
      </c>
      <c r="S152" s="7">
        <f>Q152^2+R152^2</f>
      </c>
      <c r="T152" s="7">
        <f>-R152</f>
      </c>
      <c r="U152" s="7">
        <f>Q152</f>
      </c>
      <c r="V152" s="7">
        <f>($C$14+($C$15-$C$14)/($D$15-$D$14)*(I152-$D$14))/2</f>
      </c>
      <c r="W152" s="7">
        <f>($B$22*I152^4+$C$22*I152^3+$D$22*I152^2+$E$22*I152+$F$22)/2</f>
      </c>
      <c r="X152" s="7">
        <f>($W152)*(T152)</f>
      </c>
      <c r="Y152" s="7">
        <f>($W152)*(U152)</f>
      </c>
      <c r="Z152" s="7">
        <f>SQRT(X152^2+Y152^2)</f>
      </c>
      <c r="AA152" s="7">
        <f>$K152+$X152</f>
      </c>
      <c r="AB152" s="7">
        <f>$L152+$Y152</f>
      </c>
      <c r="AC152" s="7">
        <f>$K152-$X152</f>
      </c>
      <c r="AD152" s="7">
        <f>$L152-$Y152</f>
      </c>
      <c r="AE152" s="7">
        <f>AA152/39.3701</f>
      </c>
      <c r="AF152" s="7">
        <f>AB152/39.3701</f>
      </c>
      <c r="AG152" s="7">
        <f>AC152/39.3701</f>
      </c>
      <c r="AH152" s="7">
        <f>AD152/39.3701</f>
      </c>
      <c r="AI152" s="1"/>
      <c r="AJ152" s="1"/>
      <c r="AK152" s="1"/>
      <c r="AL152" s="1"/>
      <c r="AM152" s="2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</row>
    <row x14ac:dyDescent="0.25" r="153" customHeight="1" ht="18.75">
      <c r="A153" s="1"/>
      <c r="B153" s="2"/>
      <c r="C153" s="2"/>
      <c r="D153" s="2"/>
      <c r="E153" s="2"/>
      <c r="F153" s="2"/>
      <c r="G153" s="1"/>
      <c r="H153" s="1"/>
      <c r="I153" s="7">
        <v>0.15</v>
      </c>
      <c r="J153" s="7">
        <f>IF((I153-ROUNDDOWN(I153,0))=0, 0, (I153-ROUNDDOWN(I153,0)))</f>
      </c>
      <c r="K153" s="7">
        <f>INDIRECT("C$"&amp;2+MIN(2,ROUNDDOWN(I153,0))*3)*(-$J153^3+3*$J153^2-3*$J153+1)+INDIRECT("C$"&amp;3+MIN(2,ROUNDDOWN(I153,0))*3)*(3*$J153^3-6*$J153^2+3*$J153)+INDIRECT("C$"&amp;4+MIN(2,ROUNDDOWN(I153,0))*3)*(-3*$J153^3+3*$J153^2)+INDIRECT("C$"&amp;5+MIN(2,ROUNDDOWN(I153,0))*3)*$J153^3</f>
      </c>
      <c r="L153" s="7">
        <f>INDIRECT("D$"&amp;2+MIN(2,ROUNDDOWN(I153,0))*3)*(-$J153^3+3*$J153^2-3*$J153+1)+INDIRECT("D$"&amp;3+MIN(2,ROUNDDOWN(I153,0))*3)*(3*$J153^3-6*$J153^2+3*$J153)+INDIRECT("D$"&amp;4+MIN(2,ROUNDDOWN(I153,0))*3)*(-3*$J153^3+3*$J153^2)+INDIRECT("D$"&amp;5+MIN(2,ROUNDDOWN(I153,0))*3)*$J153^3</f>
      </c>
      <c r="M153" s="7">
        <f>SQRT(K153^2+L153^2)</f>
      </c>
      <c r="N153" s="7">
        <f>(K154-K152)</f>
      </c>
      <c r="O153" s="7">
        <f>+(L154-L152)</f>
      </c>
      <c r="P153" s="7">
        <f>SQRT(O153^2+N153^2)</f>
      </c>
      <c r="Q153" s="7">
        <f>N153/$P153</f>
      </c>
      <c r="R153" s="7">
        <f>O153/$P153</f>
      </c>
      <c r="S153" s="7">
        <f>Q153^2+R153^2</f>
      </c>
      <c r="T153" s="7">
        <f>-R153</f>
      </c>
      <c r="U153" s="7">
        <f>Q153</f>
      </c>
      <c r="V153" s="7">
        <f>($C$14+($C$15-$C$14)/($D$15-$D$14)*(I153-$D$14))/2</f>
      </c>
      <c r="W153" s="7">
        <f>($B$22*I153^4+$C$22*I153^3+$D$22*I153^2+$E$22*I153+$F$22)/2</f>
      </c>
      <c r="X153" s="7">
        <f>($W153)*(T153)</f>
      </c>
      <c r="Y153" s="7">
        <f>($W153)*(U153)</f>
      </c>
      <c r="Z153" s="7">
        <f>SQRT(X153^2+Y153^2)</f>
      </c>
      <c r="AA153" s="7">
        <f>$K153+$X153</f>
      </c>
      <c r="AB153" s="7">
        <f>$L153+$Y153</f>
      </c>
      <c r="AC153" s="7">
        <f>$K153-$X153</f>
      </c>
      <c r="AD153" s="7">
        <f>$L153-$Y153</f>
      </c>
      <c r="AE153" s="7">
        <f>AA153/39.3701</f>
      </c>
      <c r="AF153" s="7">
        <f>AB153/39.3701</f>
      </c>
      <c r="AG153" s="7">
        <f>AC153/39.3701</f>
      </c>
      <c r="AH153" s="7">
        <f>AD153/39.3701</f>
      </c>
      <c r="AI153" s="1"/>
      <c r="AJ153" s="1"/>
      <c r="AK153" s="1"/>
      <c r="AL153" s="1"/>
      <c r="AM153" s="2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</row>
    <row x14ac:dyDescent="0.25" r="154" customHeight="1" ht="18.75">
      <c r="A154" s="1"/>
      <c r="B154" s="2"/>
      <c r="C154" s="2"/>
      <c r="D154" s="2"/>
      <c r="E154" s="2"/>
      <c r="F154" s="2"/>
      <c r="G154" s="1"/>
      <c r="H154" s="1"/>
      <c r="I154" s="7">
        <v>0.151</v>
      </c>
      <c r="J154" s="7">
        <f>IF((I154-ROUNDDOWN(I154,0))=0, 0, (I154-ROUNDDOWN(I154,0)))</f>
      </c>
      <c r="K154" s="7">
        <f>INDIRECT("C$"&amp;2+MIN(2,ROUNDDOWN(I154,0))*3)*(-$J154^3+3*$J154^2-3*$J154+1)+INDIRECT("C$"&amp;3+MIN(2,ROUNDDOWN(I154,0))*3)*(3*$J154^3-6*$J154^2+3*$J154)+INDIRECT("C$"&amp;4+MIN(2,ROUNDDOWN(I154,0))*3)*(-3*$J154^3+3*$J154^2)+INDIRECT("C$"&amp;5+MIN(2,ROUNDDOWN(I154,0))*3)*$J154^3</f>
      </c>
      <c r="L154" s="7">
        <f>INDIRECT("D$"&amp;2+MIN(2,ROUNDDOWN(I154,0))*3)*(-$J154^3+3*$J154^2-3*$J154+1)+INDIRECT("D$"&amp;3+MIN(2,ROUNDDOWN(I154,0))*3)*(3*$J154^3-6*$J154^2+3*$J154)+INDIRECT("D$"&amp;4+MIN(2,ROUNDDOWN(I154,0))*3)*(-3*$J154^3+3*$J154^2)+INDIRECT("D$"&amp;5+MIN(2,ROUNDDOWN(I154,0))*3)*$J154^3</f>
      </c>
      <c r="M154" s="7">
        <f>SQRT(K154^2+L154^2)</f>
      </c>
      <c r="N154" s="7">
        <f>(K155-K153)</f>
      </c>
      <c r="O154" s="7">
        <f>+(L155-L153)</f>
      </c>
      <c r="P154" s="7">
        <f>SQRT(O154^2+N154^2)</f>
      </c>
      <c r="Q154" s="7">
        <f>N154/$P154</f>
      </c>
      <c r="R154" s="7">
        <f>O154/$P154</f>
      </c>
      <c r="S154" s="8">
        <f>Q154^2+R154^2</f>
      </c>
      <c r="T154" s="7">
        <f>-R154</f>
      </c>
      <c r="U154" s="7">
        <f>Q154</f>
      </c>
      <c r="V154" s="7">
        <f>($C$14+($C$15-$C$14)/($D$15-$D$14)*(I154-$D$14))/2</f>
      </c>
      <c r="W154" s="7">
        <f>($B$22*I154^4+$C$22*I154^3+$D$22*I154^2+$E$22*I154+$F$22)/2</f>
      </c>
      <c r="X154" s="7">
        <f>($W154)*(T154)</f>
      </c>
      <c r="Y154" s="7">
        <f>($W154)*(U154)</f>
      </c>
      <c r="Z154" s="7">
        <f>SQRT(X154^2+Y154^2)</f>
      </c>
      <c r="AA154" s="7">
        <f>$K154+$X154</f>
      </c>
      <c r="AB154" s="7">
        <f>$L154+$Y154</f>
      </c>
      <c r="AC154" s="7">
        <f>$K154-$X154</f>
      </c>
      <c r="AD154" s="7">
        <f>$L154-$Y154</f>
      </c>
      <c r="AE154" s="7">
        <f>AA154/39.3701</f>
      </c>
      <c r="AF154" s="7">
        <f>AB154/39.3701</f>
      </c>
      <c r="AG154" s="7">
        <f>AC154/39.3701</f>
      </c>
      <c r="AH154" s="7">
        <f>AD154/39.3701</f>
      </c>
      <c r="AI154" s="1"/>
      <c r="AJ154" s="1"/>
      <c r="AK154" s="1"/>
      <c r="AL154" s="1"/>
      <c r="AM154" s="2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</row>
    <row x14ac:dyDescent="0.25" r="155" customHeight="1" ht="18.75">
      <c r="A155" s="1"/>
      <c r="B155" s="2"/>
      <c r="C155" s="2"/>
      <c r="D155" s="2"/>
      <c r="E155" s="2"/>
      <c r="F155" s="2"/>
      <c r="G155" s="1"/>
      <c r="H155" s="1"/>
      <c r="I155" s="7">
        <v>0.152</v>
      </c>
      <c r="J155" s="7">
        <f>IF((I155-ROUNDDOWN(I155,0))=0, 0, (I155-ROUNDDOWN(I155,0)))</f>
      </c>
      <c r="K155" s="7">
        <f>INDIRECT("C$"&amp;2+MIN(2,ROUNDDOWN(I155,0))*3)*(-$J155^3+3*$J155^2-3*$J155+1)+INDIRECT("C$"&amp;3+MIN(2,ROUNDDOWN(I155,0))*3)*(3*$J155^3-6*$J155^2+3*$J155)+INDIRECT("C$"&amp;4+MIN(2,ROUNDDOWN(I155,0))*3)*(-3*$J155^3+3*$J155^2)+INDIRECT("C$"&amp;5+MIN(2,ROUNDDOWN(I155,0))*3)*$J155^3</f>
      </c>
      <c r="L155" s="7">
        <f>INDIRECT("D$"&amp;2+MIN(2,ROUNDDOWN(I155,0))*3)*(-$J155^3+3*$J155^2-3*$J155+1)+INDIRECT("D$"&amp;3+MIN(2,ROUNDDOWN(I155,0))*3)*(3*$J155^3-6*$J155^2+3*$J155)+INDIRECT("D$"&amp;4+MIN(2,ROUNDDOWN(I155,0))*3)*(-3*$J155^3+3*$J155^2)+INDIRECT("D$"&amp;5+MIN(2,ROUNDDOWN(I155,0))*3)*$J155^3</f>
      </c>
      <c r="M155" s="7">
        <f>SQRT(K155^2+L155^2)</f>
      </c>
      <c r="N155" s="7">
        <f>(K156-K154)</f>
      </c>
      <c r="O155" s="7">
        <f>+(L156-L154)</f>
      </c>
      <c r="P155" s="7">
        <f>SQRT(O155^2+N155^2)</f>
      </c>
      <c r="Q155" s="7">
        <f>N155/$P155</f>
      </c>
      <c r="R155" s="7">
        <f>O155/$P155</f>
      </c>
      <c r="S155" s="8">
        <f>Q155^2+R155^2</f>
      </c>
      <c r="T155" s="7">
        <f>-R155</f>
      </c>
      <c r="U155" s="7">
        <f>Q155</f>
      </c>
      <c r="V155" s="7">
        <f>($C$14+($C$15-$C$14)/($D$15-$D$14)*(I155-$D$14))/2</f>
      </c>
      <c r="W155" s="7">
        <f>($B$22*I155^4+$C$22*I155^3+$D$22*I155^2+$E$22*I155+$F$22)/2</f>
      </c>
      <c r="X155" s="7">
        <f>($W155)*(T155)</f>
      </c>
      <c r="Y155" s="7">
        <f>($W155)*(U155)</f>
      </c>
      <c r="Z155" s="7">
        <f>SQRT(X155^2+Y155^2)</f>
      </c>
      <c r="AA155" s="7">
        <f>$K155+$X155</f>
      </c>
      <c r="AB155" s="7">
        <f>$L155+$Y155</f>
      </c>
      <c r="AC155" s="7">
        <f>$K155-$X155</f>
      </c>
      <c r="AD155" s="7">
        <f>$L155-$Y155</f>
      </c>
      <c r="AE155" s="7">
        <f>AA155/39.3701</f>
      </c>
      <c r="AF155" s="7">
        <f>AB155/39.3701</f>
      </c>
      <c r="AG155" s="7">
        <f>AC155/39.3701</f>
      </c>
      <c r="AH155" s="7">
        <f>AD155/39.3701</f>
      </c>
      <c r="AI155" s="1"/>
      <c r="AJ155" s="1"/>
      <c r="AK155" s="1"/>
      <c r="AL155" s="1"/>
      <c r="AM155" s="2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</row>
    <row x14ac:dyDescent="0.25" r="156" customHeight="1" ht="18.75">
      <c r="A156" s="1"/>
      <c r="B156" s="2"/>
      <c r="C156" s="2"/>
      <c r="D156" s="2"/>
      <c r="E156" s="2"/>
      <c r="F156" s="2"/>
      <c r="G156" s="1"/>
      <c r="H156" s="1"/>
      <c r="I156" s="7">
        <v>0.153</v>
      </c>
      <c r="J156" s="7">
        <f>IF((I156-ROUNDDOWN(I156,0))=0, 0, (I156-ROUNDDOWN(I156,0)))</f>
      </c>
      <c r="K156" s="7">
        <f>INDIRECT("C$"&amp;2+MIN(2,ROUNDDOWN(I156,0))*3)*(-$J156^3+3*$J156^2-3*$J156+1)+INDIRECT("C$"&amp;3+MIN(2,ROUNDDOWN(I156,0))*3)*(3*$J156^3-6*$J156^2+3*$J156)+INDIRECT("C$"&amp;4+MIN(2,ROUNDDOWN(I156,0))*3)*(-3*$J156^3+3*$J156^2)+INDIRECT("C$"&amp;5+MIN(2,ROUNDDOWN(I156,0))*3)*$J156^3</f>
      </c>
      <c r="L156" s="7">
        <f>INDIRECT("D$"&amp;2+MIN(2,ROUNDDOWN(I156,0))*3)*(-$J156^3+3*$J156^2-3*$J156+1)+INDIRECT("D$"&amp;3+MIN(2,ROUNDDOWN(I156,0))*3)*(3*$J156^3-6*$J156^2+3*$J156)+INDIRECT("D$"&amp;4+MIN(2,ROUNDDOWN(I156,0))*3)*(-3*$J156^3+3*$J156^2)+INDIRECT("D$"&amp;5+MIN(2,ROUNDDOWN(I156,0))*3)*$J156^3</f>
      </c>
      <c r="M156" s="7">
        <f>SQRT(K156^2+L156^2)</f>
      </c>
      <c r="N156" s="7">
        <f>(K157-K155)</f>
      </c>
      <c r="O156" s="7">
        <f>+(L157-L155)</f>
      </c>
      <c r="P156" s="7">
        <f>SQRT(O156^2+N156^2)</f>
      </c>
      <c r="Q156" s="7">
        <f>N156/$P156</f>
      </c>
      <c r="R156" s="7">
        <f>O156/$P156</f>
      </c>
      <c r="S156" s="8">
        <f>Q156^2+R156^2</f>
      </c>
      <c r="T156" s="7">
        <f>-R156</f>
      </c>
      <c r="U156" s="7">
        <f>Q156</f>
      </c>
      <c r="V156" s="7">
        <f>($C$14+($C$15-$C$14)/($D$15-$D$14)*(I156-$D$14))/2</f>
      </c>
      <c r="W156" s="7">
        <f>($B$22*I156^4+$C$22*I156^3+$D$22*I156^2+$E$22*I156+$F$22)/2</f>
      </c>
      <c r="X156" s="7">
        <f>($W156)*(T156)</f>
      </c>
      <c r="Y156" s="7">
        <f>($W156)*(U156)</f>
      </c>
      <c r="Z156" s="7">
        <f>SQRT(X156^2+Y156^2)</f>
      </c>
      <c r="AA156" s="7">
        <f>$K156+$X156</f>
      </c>
      <c r="AB156" s="7">
        <f>$L156+$Y156</f>
      </c>
      <c r="AC156" s="7">
        <f>$K156-$X156</f>
      </c>
      <c r="AD156" s="7">
        <f>$L156-$Y156</f>
      </c>
      <c r="AE156" s="7">
        <f>AA156/39.3701</f>
      </c>
      <c r="AF156" s="7">
        <f>AB156/39.3701</f>
      </c>
      <c r="AG156" s="7">
        <f>AC156/39.3701</f>
      </c>
      <c r="AH156" s="7">
        <f>AD156/39.3701</f>
      </c>
      <c r="AI156" s="1"/>
      <c r="AJ156" s="1"/>
      <c r="AK156" s="1"/>
      <c r="AL156" s="1"/>
      <c r="AM156" s="2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</row>
    <row x14ac:dyDescent="0.25" r="157" customHeight="1" ht="18.75">
      <c r="A157" s="1"/>
      <c r="B157" s="2"/>
      <c r="C157" s="2"/>
      <c r="D157" s="2"/>
      <c r="E157" s="2"/>
      <c r="F157" s="2"/>
      <c r="G157" s="1"/>
      <c r="H157" s="1"/>
      <c r="I157" s="7">
        <v>0.154</v>
      </c>
      <c r="J157" s="7">
        <f>IF((I157-ROUNDDOWN(I157,0))=0, 0, (I157-ROUNDDOWN(I157,0)))</f>
      </c>
      <c r="K157" s="7">
        <f>INDIRECT("C$"&amp;2+MIN(2,ROUNDDOWN(I157,0))*3)*(-$J157^3+3*$J157^2-3*$J157+1)+INDIRECT("C$"&amp;3+MIN(2,ROUNDDOWN(I157,0))*3)*(3*$J157^3-6*$J157^2+3*$J157)+INDIRECT("C$"&amp;4+MIN(2,ROUNDDOWN(I157,0))*3)*(-3*$J157^3+3*$J157^2)+INDIRECT("C$"&amp;5+MIN(2,ROUNDDOWN(I157,0))*3)*$J157^3</f>
      </c>
      <c r="L157" s="7">
        <f>INDIRECT("D$"&amp;2+MIN(2,ROUNDDOWN(I157,0))*3)*(-$J157^3+3*$J157^2-3*$J157+1)+INDIRECT("D$"&amp;3+MIN(2,ROUNDDOWN(I157,0))*3)*(3*$J157^3-6*$J157^2+3*$J157)+INDIRECT("D$"&amp;4+MIN(2,ROUNDDOWN(I157,0))*3)*(-3*$J157^3+3*$J157^2)+INDIRECT("D$"&amp;5+MIN(2,ROUNDDOWN(I157,0))*3)*$J157^3</f>
      </c>
      <c r="M157" s="7">
        <f>SQRT(K157^2+L157^2)</f>
      </c>
      <c r="N157" s="7">
        <f>(K158-K156)</f>
      </c>
      <c r="O157" s="7">
        <f>+(L158-L156)</f>
      </c>
      <c r="P157" s="7">
        <f>SQRT(O157^2+N157^2)</f>
      </c>
      <c r="Q157" s="7">
        <f>N157/$P157</f>
      </c>
      <c r="R157" s="7">
        <f>O157/$P157</f>
      </c>
      <c r="S157" s="7">
        <f>Q157^2+R157^2</f>
      </c>
      <c r="T157" s="7">
        <f>-R157</f>
      </c>
      <c r="U157" s="7">
        <f>Q157</f>
      </c>
      <c r="V157" s="7">
        <f>($C$14+($C$15-$C$14)/($D$15-$D$14)*(I157-$D$14))/2</f>
      </c>
      <c r="W157" s="7">
        <f>($B$22*I157^4+$C$22*I157^3+$D$22*I157^2+$E$22*I157+$F$22)/2</f>
      </c>
      <c r="X157" s="7">
        <f>($W157)*(T157)</f>
      </c>
      <c r="Y157" s="7">
        <f>($W157)*(U157)</f>
      </c>
      <c r="Z157" s="7">
        <f>SQRT(X157^2+Y157^2)</f>
      </c>
      <c r="AA157" s="7">
        <f>$K157+$X157</f>
      </c>
      <c r="AB157" s="7">
        <f>$L157+$Y157</f>
      </c>
      <c r="AC157" s="7">
        <f>$K157-$X157</f>
      </c>
      <c r="AD157" s="7">
        <f>$L157-$Y157</f>
      </c>
      <c r="AE157" s="7">
        <f>AA157/39.3701</f>
      </c>
      <c r="AF157" s="7">
        <f>AB157/39.3701</f>
      </c>
      <c r="AG157" s="7">
        <f>AC157/39.3701</f>
      </c>
      <c r="AH157" s="7">
        <f>AD157/39.3701</f>
      </c>
      <c r="AI157" s="1"/>
      <c r="AJ157" s="1"/>
      <c r="AK157" s="1"/>
      <c r="AL157" s="1"/>
      <c r="AM157" s="2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</row>
    <row x14ac:dyDescent="0.25" r="158" customHeight="1" ht="18.75">
      <c r="A158" s="1"/>
      <c r="B158" s="2"/>
      <c r="C158" s="2"/>
      <c r="D158" s="2"/>
      <c r="E158" s="2"/>
      <c r="F158" s="2"/>
      <c r="G158" s="1"/>
      <c r="H158" s="1"/>
      <c r="I158" s="7">
        <v>0.155</v>
      </c>
      <c r="J158" s="7">
        <f>IF((I158-ROUNDDOWN(I158,0))=0, 0, (I158-ROUNDDOWN(I158,0)))</f>
      </c>
      <c r="K158" s="7">
        <f>INDIRECT("C$"&amp;2+MIN(2,ROUNDDOWN(I158,0))*3)*(-$J158^3+3*$J158^2-3*$J158+1)+INDIRECT("C$"&amp;3+MIN(2,ROUNDDOWN(I158,0))*3)*(3*$J158^3-6*$J158^2+3*$J158)+INDIRECT("C$"&amp;4+MIN(2,ROUNDDOWN(I158,0))*3)*(-3*$J158^3+3*$J158^2)+INDIRECT("C$"&amp;5+MIN(2,ROUNDDOWN(I158,0))*3)*$J158^3</f>
      </c>
      <c r="L158" s="7">
        <f>INDIRECT("D$"&amp;2+MIN(2,ROUNDDOWN(I158,0))*3)*(-$J158^3+3*$J158^2-3*$J158+1)+INDIRECT("D$"&amp;3+MIN(2,ROUNDDOWN(I158,0))*3)*(3*$J158^3-6*$J158^2+3*$J158)+INDIRECT("D$"&amp;4+MIN(2,ROUNDDOWN(I158,0))*3)*(-3*$J158^3+3*$J158^2)+INDIRECT("D$"&amp;5+MIN(2,ROUNDDOWN(I158,0))*3)*$J158^3</f>
      </c>
      <c r="M158" s="7">
        <f>SQRT(K158^2+L158^2)</f>
      </c>
      <c r="N158" s="7">
        <f>(K159-K157)</f>
      </c>
      <c r="O158" s="7">
        <f>+(L159-L157)</f>
      </c>
      <c r="P158" s="7">
        <f>SQRT(O158^2+N158^2)</f>
      </c>
      <c r="Q158" s="7">
        <f>N158/$P158</f>
      </c>
      <c r="R158" s="7">
        <f>O158/$P158</f>
      </c>
      <c r="S158" s="7">
        <f>Q158^2+R158^2</f>
      </c>
      <c r="T158" s="7">
        <f>-R158</f>
      </c>
      <c r="U158" s="7">
        <f>Q158</f>
      </c>
      <c r="V158" s="7">
        <f>($C$14+($C$15-$C$14)/($D$15-$D$14)*(I158-$D$14))/2</f>
      </c>
      <c r="W158" s="7">
        <f>($B$22*I158^4+$C$22*I158^3+$D$22*I158^2+$E$22*I158+$F$22)/2</f>
      </c>
      <c r="X158" s="7">
        <f>($W158)*(T158)</f>
      </c>
      <c r="Y158" s="7">
        <f>($W158)*(U158)</f>
      </c>
      <c r="Z158" s="7">
        <f>SQRT(X158^2+Y158^2)</f>
      </c>
      <c r="AA158" s="7">
        <f>$K158+$X158</f>
      </c>
      <c r="AB158" s="7">
        <f>$L158+$Y158</f>
      </c>
      <c r="AC158" s="7">
        <f>$K158-$X158</f>
      </c>
      <c r="AD158" s="7">
        <f>$L158-$Y158</f>
      </c>
      <c r="AE158" s="7">
        <f>AA158/39.3701</f>
      </c>
      <c r="AF158" s="7">
        <f>AB158/39.3701</f>
      </c>
      <c r="AG158" s="7">
        <f>AC158/39.3701</f>
      </c>
      <c r="AH158" s="7">
        <f>AD158/39.3701</f>
      </c>
      <c r="AI158" s="1"/>
      <c r="AJ158" s="1"/>
      <c r="AK158" s="1"/>
      <c r="AL158" s="1"/>
      <c r="AM158" s="2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</row>
    <row x14ac:dyDescent="0.25" r="159" customHeight="1" ht="18.75">
      <c r="A159" s="1"/>
      <c r="B159" s="2"/>
      <c r="C159" s="2"/>
      <c r="D159" s="2"/>
      <c r="E159" s="2"/>
      <c r="F159" s="2"/>
      <c r="G159" s="1"/>
      <c r="H159" s="1"/>
      <c r="I159" s="7">
        <v>0.156</v>
      </c>
      <c r="J159" s="7">
        <f>IF((I159-ROUNDDOWN(I159,0))=0, 0, (I159-ROUNDDOWN(I159,0)))</f>
      </c>
      <c r="K159" s="7">
        <f>INDIRECT("C$"&amp;2+MIN(2,ROUNDDOWN(I159,0))*3)*(-$J159^3+3*$J159^2-3*$J159+1)+INDIRECT("C$"&amp;3+MIN(2,ROUNDDOWN(I159,0))*3)*(3*$J159^3-6*$J159^2+3*$J159)+INDIRECT("C$"&amp;4+MIN(2,ROUNDDOWN(I159,0))*3)*(-3*$J159^3+3*$J159^2)+INDIRECT("C$"&amp;5+MIN(2,ROUNDDOWN(I159,0))*3)*$J159^3</f>
      </c>
      <c r="L159" s="7">
        <f>INDIRECT("D$"&amp;2+MIN(2,ROUNDDOWN(I159,0))*3)*(-$J159^3+3*$J159^2-3*$J159+1)+INDIRECT("D$"&amp;3+MIN(2,ROUNDDOWN(I159,0))*3)*(3*$J159^3-6*$J159^2+3*$J159)+INDIRECT("D$"&amp;4+MIN(2,ROUNDDOWN(I159,0))*3)*(-3*$J159^3+3*$J159^2)+INDIRECT("D$"&amp;5+MIN(2,ROUNDDOWN(I159,0))*3)*$J159^3</f>
      </c>
      <c r="M159" s="7">
        <f>SQRT(K159^2+L159^2)</f>
      </c>
      <c r="N159" s="7">
        <f>(K160-K158)</f>
      </c>
      <c r="O159" s="7">
        <f>+(L160-L158)</f>
      </c>
      <c r="P159" s="7">
        <f>SQRT(O159^2+N159^2)</f>
      </c>
      <c r="Q159" s="7">
        <f>N159/$P159</f>
      </c>
      <c r="R159" s="7">
        <f>O159/$P159</f>
      </c>
      <c r="S159" s="7">
        <f>Q159^2+R159^2</f>
      </c>
      <c r="T159" s="7">
        <f>-R159</f>
      </c>
      <c r="U159" s="7">
        <f>Q159</f>
      </c>
      <c r="V159" s="7">
        <f>($C$14+($C$15-$C$14)/($D$15-$D$14)*(I159-$D$14))/2</f>
      </c>
      <c r="W159" s="7">
        <f>($B$22*I159^4+$C$22*I159^3+$D$22*I159^2+$E$22*I159+$F$22)/2</f>
      </c>
      <c r="X159" s="7">
        <f>($W159)*(T159)</f>
      </c>
      <c r="Y159" s="7">
        <f>($W159)*(U159)</f>
      </c>
      <c r="Z159" s="7">
        <f>SQRT(X159^2+Y159^2)</f>
      </c>
      <c r="AA159" s="7">
        <f>$K159+$X159</f>
      </c>
      <c r="AB159" s="7">
        <f>$L159+$Y159</f>
      </c>
      <c r="AC159" s="7">
        <f>$K159-$X159</f>
      </c>
      <c r="AD159" s="7">
        <f>$L159-$Y159</f>
      </c>
      <c r="AE159" s="7">
        <f>AA159/39.3701</f>
      </c>
      <c r="AF159" s="7">
        <f>AB159/39.3701</f>
      </c>
      <c r="AG159" s="7">
        <f>AC159/39.3701</f>
      </c>
      <c r="AH159" s="7">
        <f>AD159/39.3701</f>
      </c>
      <c r="AI159" s="1"/>
      <c r="AJ159" s="1"/>
      <c r="AK159" s="1"/>
      <c r="AL159" s="1"/>
      <c r="AM159" s="2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</row>
    <row x14ac:dyDescent="0.25" r="160" customHeight="1" ht="18.75">
      <c r="A160" s="1"/>
      <c r="B160" s="2"/>
      <c r="C160" s="2"/>
      <c r="D160" s="2"/>
      <c r="E160" s="2"/>
      <c r="F160" s="2"/>
      <c r="G160" s="1"/>
      <c r="H160" s="1"/>
      <c r="I160" s="7">
        <v>0.157</v>
      </c>
      <c r="J160" s="7">
        <f>IF((I160-ROUNDDOWN(I160,0))=0, 0, (I160-ROUNDDOWN(I160,0)))</f>
      </c>
      <c r="K160" s="7">
        <f>INDIRECT("C$"&amp;2+MIN(2,ROUNDDOWN(I160,0))*3)*(-$J160^3+3*$J160^2-3*$J160+1)+INDIRECT("C$"&amp;3+MIN(2,ROUNDDOWN(I160,0))*3)*(3*$J160^3-6*$J160^2+3*$J160)+INDIRECT("C$"&amp;4+MIN(2,ROUNDDOWN(I160,0))*3)*(-3*$J160^3+3*$J160^2)+INDIRECT("C$"&amp;5+MIN(2,ROUNDDOWN(I160,0))*3)*$J160^3</f>
      </c>
      <c r="L160" s="7">
        <f>INDIRECT("D$"&amp;2+MIN(2,ROUNDDOWN(I160,0))*3)*(-$J160^3+3*$J160^2-3*$J160+1)+INDIRECT("D$"&amp;3+MIN(2,ROUNDDOWN(I160,0))*3)*(3*$J160^3-6*$J160^2+3*$J160)+INDIRECT("D$"&amp;4+MIN(2,ROUNDDOWN(I160,0))*3)*(-3*$J160^3+3*$J160^2)+INDIRECT("D$"&amp;5+MIN(2,ROUNDDOWN(I160,0))*3)*$J160^3</f>
      </c>
      <c r="M160" s="7">
        <f>SQRT(K160^2+L160^2)</f>
      </c>
      <c r="N160" s="7">
        <f>(K161-K159)</f>
      </c>
      <c r="O160" s="7">
        <f>+(L161-L159)</f>
      </c>
      <c r="P160" s="7">
        <f>SQRT(O160^2+N160^2)</f>
      </c>
      <c r="Q160" s="7">
        <f>N160/$P160</f>
      </c>
      <c r="R160" s="7">
        <f>O160/$P160</f>
      </c>
      <c r="S160" s="7">
        <f>Q160^2+R160^2</f>
      </c>
      <c r="T160" s="7">
        <f>-R160</f>
      </c>
      <c r="U160" s="7">
        <f>Q160</f>
      </c>
      <c r="V160" s="7">
        <f>($C$14+($C$15-$C$14)/($D$15-$D$14)*(I160-$D$14))/2</f>
      </c>
      <c r="W160" s="7">
        <f>($B$22*I160^4+$C$22*I160^3+$D$22*I160^2+$E$22*I160+$F$22)/2</f>
      </c>
      <c r="X160" s="7">
        <f>($W160)*(T160)</f>
      </c>
      <c r="Y160" s="7">
        <f>($W160)*(U160)</f>
      </c>
      <c r="Z160" s="7">
        <f>SQRT(X160^2+Y160^2)</f>
      </c>
      <c r="AA160" s="7">
        <f>$K160+$X160</f>
      </c>
      <c r="AB160" s="7">
        <f>$L160+$Y160</f>
      </c>
      <c r="AC160" s="7">
        <f>$K160-$X160</f>
      </c>
      <c r="AD160" s="7">
        <f>$L160-$Y160</f>
      </c>
      <c r="AE160" s="7">
        <f>AA160/39.3701</f>
      </c>
      <c r="AF160" s="7">
        <f>AB160/39.3701</f>
      </c>
      <c r="AG160" s="7">
        <f>AC160/39.3701</f>
      </c>
      <c r="AH160" s="7">
        <f>AD160/39.3701</f>
      </c>
      <c r="AI160" s="1"/>
      <c r="AJ160" s="1"/>
      <c r="AK160" s="1"/>
      <c r="AL160" s="1"/>
      <c r="AM160" s="2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</row>
    <row x14ac:dyDescent="0.25" r="161" customHeight="1" ht="18.75">
      <c r="A161" s="1"/>
      <c r="B161" s="2"/>
      <c r="C161" s="2"/>
      <c r="D161" s="2"/>
      <c r="E161" s="2"/>
      <c r="F161" s="2"/>
      <c r="G161" s="1"/>
      <c r="H161" s="1"/>
      <c r="I161" s="7">
        <v>0.158</v>
      </c>
      <c r="J161" s="7">
        <f>IF((I161-ROUNDDOWN(I161,0))=0, 0, (I161-ROUNDDOWN(I161,0)))</f>
      </c>
      <c r="K161" s="7">
        <f>INDIRECT("C$"&amp;2+MIN(2,ROUNDDOWN(I161,0))*3)*(-$J161^3+3*$J161^2-3*$J161+1)+INDIRECT("C$"&amp;3+MIN(2,ROUNDDOWN(I161,0))*3)*(3*$J161^3-6*$J161^2+3*$J161)+INDIRECT("C$"&amp;4+MIN(2,ROUNDDOWN(I161,0))*3)*(-3*$J161^3+3*$J161^2)+INDIRECT("C$"&amp;5+MIN(2,ROUNDDOWN(I161,0))*3)*$J161^3</f>
      </c>
      <c r="L161" s="7">
        <f>INDIRECT("D$"&amp;2+MIN(2,ROUNDDOWN(I161,0))*3)*(-$J161^3+3*$J161^2-3*$J161+1)+INDIRECT("D$"&amp;3+MIN(2,ROUNDDOWN(I161,0))*3)*(3*$J161^3-6*$J161^2+3*$J161)+INDIRECT("D$"&amp;4+MIN(2,ROUNDDOWN(I161,0))*3)*(-3*$J161^3+3*$J161^2)+INDIRECT("D$"&amp;5+MIN(2,ROUNDDOWN(I161,0))*3)*$J161^3</f>
      </c>
      <c r="M161" s="7">
        <f>SQRT(K161^2+L161^2)</f>
      </c>
      <c r="N161" s="7">
        <f>(K162-K160)</f>
      </c>
      <c r="O161" s="7">
        <f>+(L162-L160)</f>
      </c>
      <c r="P161" s="7">
        <f>SQRT(O161^2+N161^2)</f>
      </c>
      <c r="Q161" s="7">
        <f>N161/$P161</f>
      </c>
      <c r="R161" s="7">
        <f>O161/$P161</f>
      </c>
      <c r="S161" s="7">
        <f>Q161^2+R161^2</f>
      </c>
      <c r="T161" s="7">
        <f>-R161</f>
      </c>
      <c r="U161" s="7">
        <f>Q161</f>
      </c>
      <c r="V161" s="7">
        <f>($C$14+($C$15-$C$14)/($D$15-$D$14)*(I161-$D$14))/2</f>
      </c>
      <c r="W161" s="7">
        <f>($B$22*I161^4+$C$22*I161^3+$D$22*I161^2+$E$22*I161+$F$22)/2</f>
      </c>
      <c r="X161" s="7">
        <f>($W161)*(T161)</f>
      </c>
      <c r="Y161" s="7">
        <f>($W161)*(U161)</f>
      </c>
      <c r="Z161" s="7">
        <f>SQRT(X161^2+Y161^2)</f>
      </c>
      <c r="AA161" s="7">
        <f>$K161+$X161</f>
      </c>
      <c r="AB161" s="7">
        <f>$L161+$Y161</f>
      </c>
      <c r="AC161" s="7">
        <f>$K161-$X161</f>
      </c>
      <c r="AD161" s="7">
        <f>$L161-$Y161</f>
      </c>
      <c r="AE161" s="7">
        <f>AA161/39.3701</f>
      </c>
      <c r="AF161" s="7">
        <f>AB161/39.3701</f>
      </c>
      <c r="AG161" s="7">
        <f>AC161/39.3701</f>
      </c>
      <c r="AH161" s="7">
        <f>AD161/39.3701</f>
      </c>
      <c r="AI161" s="1"/>
      <c r="AJ161" s="1"/>
      <c r="AK161" s="1"/>
      <c r="AL161" s="1"/>
      <c r="AM161" s="2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</row>
    <row x14ac:dyDescent="0.25" r="162" customHeight="1" ht="18.75">
      <c r="A162" s="1"/>
      <c r="B162" s="2"/>
      <c r="C162" s="2"/>
      <c r="D162" s="2"/>
      <c r="E162" s="2"/>
      <c r="F162" s="2"/>
      <c r="G162" s="1"/>
      <c r="H162" s="1"/>
      <c r="I162" s="7">
        <v>0.159</v>
      </c>
      <c r="J162" s="7">
        <f>IF((I162-ROUNDDOWN(I162,0))=0, 0, (I162-ROUNDDOWN(I162,0)))</f>
      </c>
      <c r="K162" s="7">
        <f>INDIRECT("C$"&amp;2+MIN(2,ROUNDDOWN(I162,0))*3)*(-$J162^3+3*$J162^2-3*$J162+1)+INDIRECT("C$"&amp;3+MIN(2,ROUNDDOWN(I162,0))*3)*(3*$J162^3-6*$J162^2+3*$J162)+INDIRECT("C$"&amp;4+MIN(2,ROUNDDOWN(I162,0))*3)*(-3*$J162^3+3*$J162^2)+INDIRECT("C$"&amp;5+MIN(2,ROUNDDOWN(I162,0))*3)*$J162^3</f>
      </c>
      <c r="L162" s="7">
        <f>INDIRECT("D$"&amp;2+MIN(2,ROUNDDOWN(I162,0))*3)*(-$J162^3+3*$J162^2-3*$J162+1)+INDIRECT("D$"&amp;3+MIN(2,ROUNDDOWN(I162,0))*3)*(3*$J162^3-6*$J162^2+3*$J162)+INDIRECT("D$"&amp;4+MIN(2,ROUNDDOWN(I162,0))*3)*(-3*$J162^3+3*$J162^2)+INDIRECT("D$"&amp;5+MIN(2,ROUNDDOWN(I162,0))*3)*$J162^3</f>
      </c>
      <c r="M162" s="7">
        <f>SQRT(K162^2+L162^2)</f>
      </c>
      <c r="N162" s="7">
        <f>(K163-K161)</f>
      </c>
      <c r="O162" s="7">
        <f>+(L163-L161)</f>
      </c>
      <c r="P162" s="7">
        <f>SQRT(O162^2+N162^2)</f>
      </c>
      <c r="Q162" s="7">
        <f>N162/$P162</f>
      </c>
      <c r="R162" s="7">
        <f>O162/$P162</f>
      </c>
      <c r="S162" s="7">
        <f>Q162^2+R162^2</f>
      </c>
      <c r="T162" s="7">
        <f>-R162</f>
      </c>
      <c r="U162" s="7">
        <f>Q162</f>
      </c>
      <c r="V162" s="7">
        <f>($C$14+($C$15-$C$14)/($D$15-$D$14)*(I162-$D$14))/2</f>
      </c>
      <c r="W162" s="7">
        <f>($B$22*I162^4+$C$22*I162^3+$D$22*I162^2+$E$22*I162+$F$22)/2</f>
      </c>
      <c r="X162" s="7">
        <f>($W162)*(T162)</f>
      </c>
      <c r="Y162" s="7">
        <f>($W162)*(U162)</f>
      </c>
      <c r="Z162" s="7">
        <f>SQRT(X162^2+Y162^2)</f>
      </c>
      <c r="AA162" s="7">
        <f>$K162+$X162</f>
      </c>
      <c r="AB162" s="7">
        <f>$L162+$Y162</f>
      </c>
      <c r="AC162" s="7">
        <f>$K162-$X162</f>
      </c>
      <c r="AD162" s="7">
        <f>$L162-$Y162</f>
      </c>
      <c r="AE162" s="7">
        <f>AA162/39.3701</f>
      </c>
      <c r="AF162" s="7">
        <f>AB162/39.3701</f>
      </c>
      <c r="AG162" s="7">
        <f>AC162/39.3701</f>
      </c>
      <c r="AH162" s="7">
        <f>AD162/39.3701</f>
      </c>
      <c r="AI162" s="1"/>
      <c r="AJ162" s="1"/>
      <c r="AK162" s="1"/>
      <c r="AL162" s="1"/>
      <c r="AM162" s="2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</row>
    <row x14ac:dyDescent="0.25" r="163" customHeight="1" ht="18.75">
      <c r="A163" s="1"/>
      <c r="B163" s="2"/>
      <c r="C163" s="2"/>
      <c r="D163" s="2"/>
      <c r="E163" s="2"/>
      <c r="F163" s="2"/>
      <c r="G163" s="1"/>
      <c r="H163" s="1"/>
      <c r="I163" s="7">
        <v>0.16</v>
      </c>
      <c r="J163" s="7">
        <f>IF((I163-ROUNDDOWN(I163,0))=0, 0, (I163-ROUNDDOWN(I163,0)))</f>
      </c>
      <c r="K163" s="7">
        <f>INDIRECT("C$"&amp;2+MIN(2,ROUNDDOWN(I163,0))*3)*(-$J163^3+3*$J163^2-3*$J163+1)+INDIRECT("C$"&amp;3+MIN(2,ROUNDDOWN(I163,0))*3)*(3*$J163^3-6*$J163^2+3*$J163)+INDIRECT("C$"&amp;4+MIN(2,ROUNDDOWN(I163,0))*3)*(-3*$J163^3+3*$J163^2)+INDIRECT("C$"&amp;5+MIN(2,ROUNDDOWN(I163,0))*3)*$J163^3</f>
      </c>
      <c r="L163" s="7">
        <f>INDIRECT("D$"&amp;2+MIN(2,ROUNDDOWN(I163,0))*3)*(-$J163^3+3*$J163^2-3*$J163+1)+INDIRECT("D$"&amp;3+MIN(2,ROUNDDOWN(I163,0))*3)*(3*$J163^3-6*$J163^2+3*$J163)+INDIRECT("D$"&amp;4+MIN(2,ROUNDDOWN(I163,0))*3)*(-3*$J163^3+3*$J163^2)+INDIRECT("D$"&amp;5+MIN(2,ROUNDDOWN(I163,0))*3)*$J163^3</f>
      </c>
      <c r="M163" s="7">
        <f>SQRT(K163^2+L163^2)</f>
      </c>
      <c r="N163" s="7">
        <f>(K164-K162)</f>
      </c>
      <c r="O163" s="7">
        <f>+(L164-L162)</f>
      </c>
      <c r="P163" s="7">
        <f>SQRT(O163^2+N163^2)</f>
      </c>
      <c r="Q163" s="7">
        <f>N163/$P163</f>
      </c>
      <c r="R163" s="7">
        <f>O163/$P163</f>
      </c>
      <c r="S163" s="8">
        <f>Q163^2+R163^2</f>
      </c>
      <c r="T163" s="7">
        <f>-R163</f>
      </c>
      <c r="U163" s="7">
        <f>Q163</f>
      </c>
      <c r="V163" s="7">
        <f>($C$14+($C$15-$C$14)/($D$15-$D$14)*(I163-$D$14))/2</f>
      </c>
      <c r="W163" s="7">
        <f>($B$22*I163^4+$C$22*I163^3+$D$22*I163^2+$E$22*I163+$F$22)/2</f>
      </c>
      <c r="X163" s="7">
        <f>($W163)*(T163)</f>
      </c>
      <c r="Y163" s="7">
        <f>($W163)*(U163)</f>
      </c>
      <c r="Z163" s="7">
        <f>SQRT(X163^2+Y163^2)</f>
      </c>
      <c r="AA163" s="7">
        <f>$K163+$X163</f>
      </c>
      <c r="AB163" s="7">
        <f>$L163+$Y163</f>
      </c>
      <c r="AC163" s="7">
        <f>$K163-$X163</f>
      </c>
      <c r="AD163" s="7">
        <f>$L163-$Y163</f>
      </c>
      <c r="AE163" s="7">
        <f>AA163/39.3701</f>
      </c>
      <c r="AF163" s="7">
        <f>AB163/39.3701</f>
      </c>
      <c r="AG163" s="7">
        <f>AC163/39.3701</f>
      </c>
      <c r="AH163" s="7">
        <f>AD163/39.3701</f>
      </c>
      <c r="AI163" s="1"/>
      <c r="AJ163" s="1"/>
      <c r="AK163" s="1"/>
      <c r="AL163" s="1"/>
      <c r="AM163" s="2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</row>
    <row x14ac:dyDescent="0.25" r="164" customHeight="1" ht="18.75">
      <c r="A164" s="1"/>
      <c r="B164" s="2"/>
      <c r="C164" s="2"/>
      <c r="D164" s="2"/>
      <c r="E164" s="2"/>
      <c r="F164" s="2"/>
      <c r="G164" s="1"/>
      <c r="H164" s="1"/>
      <c r="I164" s="7">
        <v>0.161</v>
      </c>
      <c r="J164" s="7">
        <f>IF((I164-ROUNDDOWN(I164,0))=0, 0, (I164-ROUNDDOWN(I164,0)))</f>
      </c>
      <c r="K164" s="7">
        <f>INDIRECT("C$"&amp;2+MIN(2,ROUNDDOWN(I164,0))*3)*(-$J164^3+3*$J164^2-3*$J164+1)+INDIRECT("C$"&amp;3+MIN(2,ROUNDDOWN(I164,0))*3)*(3*$J164^3-6*$J164^2+3*$J164)+INDIRECT("C$"&amp;4+MIN(2,ROUNDDOWN(I164,0))*3)*(-3*$J164^3+3*$J164^2)+INDIRECT("C$"&amp;5+MIN(2,ROUNDDOWN(I164,0))*3)*$J164^3</f>
      </c>
      <c r="L164" s="7">
        <f>INDIRECT("D$"&amp;2+MIN(2,ROUNDDOWN(I164,0))*3)*(-$J164^3+3*$J164^2-3*$J164+1)+INDIRECT("D$"&amp;3+MIN(2,ROUNDDOWN(I164,0))*3)*(3*$J164^3-6*$J164^2+3*$J164)+INDIRECT("D$"&amp;4+MIN(2,ROUNDDOWN(I164,0))*3)*(-3*$J164^3+3*$J164^2)+INDIRECT("D$"&amp;5+MIN(2,ROUNDDOWN(I164,0))*3)*$J164^3</f>
      </c>
      <c r="M164" s="7">
        <f>SQRT(K164^2+L164^2)</f>
      </c>
      <c r="N164" s="7">
        <f>(K165-K163)</f>
      </c>
      <c r="O164" s="7">
        <f>+(L165-L163)</f>
      </c>
      <c r="P164" s="7">
        <f>SQRT(O164^2+N164^2)</f>
      </c>
      <c r="Q164" s="7">
        <f>N164/$P164</f>
      </c>
      <c r="R164" s="7">
        <f>O164/$P164</f>
      </c>
      <c r="S164" s="7">
        <f>Q164^2+R164^2</f>
      </c>
      <c r="T164" s="7">
        <f>-R164</f>
      </c>
      <c r="U164" s="7">
        <f>Q164</f>
      </c>
      <c r="V164" s="7">
        <f>($C$14+($C$15-$C$14)/($D$15-$D$14)*(I164-$D$14))/2</f>
      </c>
      <c r="W164" s="7">
        <f>($B$22*I164^4+$C$22*I164^3+$D$22*I164^2+$E$22*I164+$F$22)/2</f>
      </c>
      <c r="X164" s="7">
        <f>($W164)*(T164)</f>
      </c>
      <c r="Y164" s="7">
        <f>($W164)*(U164)</f>
      </c>
      <c r="Z164" s="7">
        <f>SQRT(X164^2+Y164^2)</f>
      </c>
      <c r="AA164" s="7">
        <f>$K164+$X164</f>
      </c>
      <c r="AB164" s="7">
        <f>$L164+$Y164</f>
      </c>
      <c r="AC164" s="7">
        <f>$K164-$X164</f>
      </c>
      <c r="AD164" s="7">
        <f>$L164-$Y164</f>
      </c>
      <c r="AE164" s="7">
        <f>AA164/39.3701</f>
      </c>
      <c r="AF164" s="7">
        <f>AB164/39.3701</f>
      </c>
      <c r="AG164" s="7">
        <f>AC164/39.3701</f>
      </c>
      <c r="AH164" s="7">
        <f>AD164/39.3701</f>
      </c>
      <c r="AI164" s="1"/>
      <c r="AJ164" s="1"/>
      <c r="AK164" s="1"/>
      <c r="AL164" s="1"/>
      <c r="AM164" s="2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</row>
    <row x14ac:dyDescent="0.25" r="165" customHeight="1" ht="18.75">
      <c r="A165" s="1"/>
      <c r="B165" s="2"/>
      <c r="C165" s="2"/>
      <c r="D165" s="2"/>
      <c r="E165" s="2"/>
      <c r="F165" s="2"/>
      <c r="G165" s="1"/>
      <c r="H165" s="1"/>
      <c r="I165" s="7">
        <v>0.162</v>
      </c>
      <c r="J165" s="7">
        <f>IF((I165-ROUNDDOWN(I165,0))=0, 0, (I165-ROUNDDOWN(I165,0)))</f>
      </c>
      <c r="K165" s="7">
        <f>INDIRECT("C$"&amp;2+MIN(2,ROUNDDOWN(I165,0))*3)*(-$J165^3+3*$J165^2-3*$J165+1)+INDIRECT("C$"&amp;3+MIN(2,ROUNDDOWN(I165,0))*3)*(3*$J165^3-6*$J165^2+3*$J165)+INDIRECT("C$"&amp;4+MIN(2,ROUNDDOWN(I165,0))*3)*(-3*$J165^3+3*$J165^2)+INDIRECT("C$"&amp;5+MIN(2,ROUNDDOWN(I165,0))*3)*$J165^3</f>
      </c>
      <c r="L165" s="7">
        <f>INDIRECT("D$"&amp;2+MIN(2,ROUNDDOWN(I165,0))*3)*(-$J165^3+3*$J165^2-3*$J165+1)+INDIRECT("D$"&amp;3+MIN(2,ROUNDDOWN(I165,0))*3)*(3*$J165^3-6*$J165^2+3*$J165)+INDIRECT("D$"&amp;4+MIN(2,ROUNDDOWN(I165,0))*3)*(-3*$J165^3+3*$J165^2)+INDIRECT("D$"&amp;5+MIN(2,ROUNDDOWN(I165,0))*3)*$J165^3</f>
      </c>
      <c r="M165" s="7">
        <f>SQRT(K165^2+L165^2)</f>
      </c>
      <c r="N165" s="7">
        <f>(K166-K164)</f>
      </c>
      <c r="O165" s="7">
        <f>+(L166-L164)</f>
      </c>
      <c r="P165" s="7">
        <f>SQRT(O165^2+N165^2)</f>
      </c>
      <c r="Q165" s="7">
        <f>N165/$P165</f>
      </c>
      <c r="R165" s="7">
        <f>O165/$P165</f>
      </c>
      <c r="S165" s="7">
        <f>Q165^2+R165^2</f>
      </c>
      <c r="T165" s="7">
        <f>-R165</f>
      </c>
      <c r="U165" s="7">
        <f>Q165</f>
      </c>
      <c r="V165" s="7">
        <f>($C$14+($C$15-$C$14)/($D$15-$D$14)*(I165-$D$14))/2</f>
      </c>
      <c r="W165" s="7">
        <f>($B$22*I165^4+$C$22*I165^3+$D$22*I165^2+$E$22*I165+$F$22)/2</f>
      </c>
      <c r="X165" s="7">
        <f>($W165)*(T165)</f>
      </c>
      <c r="Y165" s="7">
        <f>($W165)*(U165)</f>
      </c>
      <c r="Z165" s="7">
        <f>SQRT(X165^2+Y165^2)</f>
      </c>
      <c r="AA165" s="7">
        <f>$K165+$X165</f>
      </c>
      <c r="AB165" s="7">
        <f>$L165+$Y165</f>
      </c>
      <c r="AC165" s="7">
        <f>$K165-$X165</f>
      </c>
      <c r="AD165" s="7">
        <f>$L165-$Y165</f>
      </c>
      <c r="AE165" s="7">
        <f>AA165/39.3701</f>
      </c>
      <c r="AF165" s="7">
        <f>AB165/39.3701</f>
      </c>
      <c r="AG165" s="7">
        <f>AC165/39.3701</f>
      </c>
      <c r="AH165" s="7">
        <f>AD165/39.3701</f>
      </c>
      <c r="AI165" s="1"/>
      <c r="AJ165" s="1"/>
      <c r="AK165" s="1"/>
      <c r="AL165" s="1"/>
      <c r="AM165" s="2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</row>
    <row x14ac:dyDescent="0.25" r="166" customHeight="1" ht="18.75">
      <c r="A166" s="1"/>
      <c r="B166" s="2"/>
      <c r="C166" s="2"/>
      <c r="D166" s="2"/>
      <c r="E166" s="2"/>
      <c r="F166" s="2"/>
      <c r="G166" s="1"/>
      <c r="H166" s="1"/>
      <c r="I166" s="7">
        <v>0.163</v>
      </c>
      <c r="J166" s="7">
        <f>IF((I166-ROUNDDOWN(I166,0))=0, 0, (I166-ROUNDDOWN(I166,0)))</f>
      </c>
      <c r="K166" s="7">
        <f>INDIRECT("C$"&amp;2+MIN(2,ROUNDDOWN(I166,0))*3)*(-$J166^3+3*$J166^2-3*$J166+1)+INDIRECT("C$"&amp;3+MIN(2,ROUNDDOWN(I166,0))*3)*(3*$J166^3-6*$J166^2+3*$J166)+INDIRECT("C$"&amp;4+MIN(2,ROUNDDOWN(I166,0))*3)*(-3*$J166^3+3*$J166^2)+INDIRECT("C$"&amp;5+MIN(2,ROUNDDOWN(I166,0))*3)*$J166^3</f>
      </c>
      <c r="L166" s="7">
        <f>INDIRECT("D$"&amp;2+MIN(2,ROUNDDOWN(I166,0))*3)*(-$J166^3+3*$J166^2-3*$J166+1)+INDIRECT("D$"&amp;3+MIN(2,ROUNDDOWN(I166,0))*3)*(3*$J166^3-6*$J166^2+3*$J166)+INDIRECT("D$"&amp;4+MIN(2,ROUNDDOWN(I166,0))*3)*(-3*$J166^3+3*$J166^2)+INDIRECT("D$"&amp;5+MIN(2,ROUNDDOWN(I166,0))*3)*$J166^3</f>
      </c>
      <c r="M166" s="7">
        <f>SQRT(K166^2+L166^2)</f>
      </c>
      <c r="N166" s="7">
        <f>(K167-K165)</f>
      </c>
      <c r="O166" s="7">
        <f>+(L167-L165)</f>
      </c>
      <c r="P166" s="7">
        <f>SQRT(O166^2+N166^2)</f>
      </c>
      <c r="Q166" s="7">
        <f>N166/$P166</f>
      </c>
      <c r="R166" s="7">
        <f>O166/$P166</f>
      </c>
      <c r="S166" s="8">
        <f>Q166^2+R166^2</f>
      </c>
      <c r="T166" s="7">
        <f>-R166</f>
      </c>
      <c r="U166" s="7">
        <f>Q166</f>
      </c>
      <c r="V166" s="7">
        <f>($C$14+($C$15-$C$14)/($D$15-$D$14)*(I166-$D$14))/2</f>
      </c>
      <c r="W166" s="7">
        <f>($B$22*I166^4+$C$22*I166^3+$D$22*I166^2+$E$22*I166+$F$22)/2</f>
      </c>
      <c r="X166" s="7">
        <f>($W166)*(T166)</f>
      </c>
      <c r="Y166" s="7">
        <f>($W166)*(U166)</f>
      </c>
      <c r="Z166" s="7">
        <f>SQRT(X166^2+Y166^2)</f>
      </c>
      <c r="AA166" s="7">
        <f>$K166+$X166</f>
      </c>
      <c r="AB166" s="7">
        <f>$L166+$Y166</f>
      </c>
      <c r="AC166" s="7">
        <f>$K166-$X166</f>
      </c>
      <c r="AD166" s="7">
        <f>$L166-$Y166</f>
      </c>
      <c r="AE166" s="7">
        <f>AA166/39.3701</f>
      </c>
      <c r="AF166" s="7">
        <f>AB166/39.3701</f>
      </c>
      <c r="AG166" s="7">
        <f>AC166/39.3701</f>
      </c>
      <c r="AH166" s="7">
        <f>AD166/39.3701</f>
      </c>
      <c r="AI166" s="1"/>
      <c r="AJ166" s="1"/>
      <c r="AK166" s="1"/>
      <c r="AL166" s="1"/>
      <c r="AM166" s="2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</row>
    <row x14ac:dyDescent="0.25" r="167" customHeight="1" ht="18.75">
      <c r="A167" s="1"/>
      <c r="B167" s="2"/>
      <c r="C167" s="2"/>
      <c r="D167" s="2"/>
      <c r="E167" s="2"/>
      <c r="F167" s="2"/>
      <c r="G167" s="1"/>
      <c r="H167" s="1"/>
      <c r="I167" s="7">
        <v>0.164</v>
      </c>
      <c r="J167" s="7">
        <f>IF((I167-ROUNDDOWN(I167,0))=0, 0, (I167-ROUNDDOWN(I167,0)))</f>
      </c>
      <c r="K167" s="7">
        <f>INDIRECT("C$"&amp;2+MIN(2,ROUNDDOWN(I167,0))*3)*(-$J167^3+3*$J167^2-3*$J167+1)+INDIRECT("C$"&amp;3+MIN(2,ROUNDDOWN(I167,0))*3)*(3*$J167^3-6*$J167^2+3*$J167)+INDIRECT("C$"&amp;4+MIN(2,ROUNDDOWN(I167,0))*3)*(-3*$J167^3+3*$J167^2)+INDIRECT("C$"&amp;5+MIN(2,ROUNDDOWN(I167,0))*3)*$J167^3</f>
      </c>
      <c r="L167" s="7">
        <f>INDIRECT("D$"&amp;2+MIN(2,ROUNDDOWN(I167,0))*3)*(-$J167^3+3*$J167^2-3*$J167+1)+INDIRECT("D$"&amp;3+MIN(2,ROUNDDOWN(I167,0))*3)*(3*$J167^3-6*$J167^2+3*$J167)+INDIRECT("D$"&amp;4+MIN(2,ROUNDDOWN(I167,0))*3)*(-3*$J167^3+3*$J167^2)+INDIRECT("D$"&amp;5+MIN(2,ROUNDDOWN(I167,0))*3)*$J167^3</f>
      </c>
      <c r="M167" s="7">
        <f>SQRT(K167^2+L167^2)</f>
      </c>
      <c r="N167" s="7">
        <f>(K168-K166)</f>
      </c>
      <c r="O167" s="7">
        <f>+(L168-L166)</f>
      </c>
      <c r="P167" s="7">
        <f>SQRT(O167^2+N167^2)</f>
      </c>
      <c r="Q167" s="7">
        <f>N167/$P167</f>
      </c>
      <c r="R167" s="7">
        <f>O167/$P167</f>
      </c>
      <c r="S167" s="7">
        <f>Q167^2+R167^2</f>
      </c>
      <c r="T167" s="7">
        <f>-R167</f>
      </c>
      <c r="U167" s="7">
        <f>Q167</f>
      </c>
      <c r="V167" s="7">
        <f>($C$14+($C$15-$C$14)/($D$15-$D$14)*(I167-$D$14))/2</f>
      </c>
      <c r="W167" s="7">
        <f>($B$22*I167^4+$C$22*I167^3+$D$22*I167^2+$E$22*I167+$F$22)/2</f>
      </c>
      <c r="X167" s="7">
        <f>($W167)*(T167)</f>
      </c>
      <c r="Y167" s="7">
        <f>($W167)*(U167)</f>
      </c>
      <c r="Z167" s="7">
        <f>SQRT(X167^2+Y167^2)</f>
      </c>
      <c r="AA167" s="7">
        <f>$K167+$X167</f>
      </c>
      <c r="AB167" s="7">
        <f>$L167+$Y167</f>
      </c>
      <c r="AC167" s="7">
        <f>$K167-$X167</f>
      </c>
      <c r="AD167" s="7">
        <f>$L167-$Y167</f>
      </c>
      <c r="AE167" s="7">
        <f>AA167/39.3701</f>
      </c>
      <c r="AF167" s="7">
        <f>AB167/39.3701</f>
      </c>
      <c r="AG167" s="7">
        <f>AC167/39.3701</f>
      </c>
      <c r="AH167" s="7">
        <f>AD167/39.3701</f>
      </c>
      <c r="AI167" s="1"/>
      <c r="AJ167" s="1"/>
      <c r="AK167" s="1"/>
      <c r="AL167" s="1"/>
      <c r="AM167" s="2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</row>
    <row x14ac:dyDescent="0.25" r="168" customHeight="1" ht="18.75">
      <c r="A168" s="1"/>
      <c r="B168" s="2"/>
      <c r="C168" s="2"/>
      <c r="D168" s="2"/>
      <c r="E168" s="2"/>
      <c r="F168" s="2"/>
      <c r="G168" s="1"/>
      <c r="H168" s="1"/>
      <c r="I168" s="7">
        <v>0.165</v>
      </c>
      <c r="J168" s="7">
        <f>IF((I168-ROUNDDOWN(I168,0))=0, 0, (I168-ROUNDDOWN(I168,0)))</f>
      </c>
      <c r="K168" s="7">
        <f>INDIRECT("C$"&amp;2+MIN(2,ROUNDDOWN(I168,0))*3)*(-$J168^3+3*$J168^2-3*$J168+1)+INDIRECT("C$"&amp;3+MIN(2,ROUNDDOWN(I168,0))*3)*(3*$J168^3-6*$J168^2+3*$J168)+INDIRECT("C$"&amp;4+MIN(2,ROUNDDOWN(I168,0))*3)*(-3*$J168^3+3*$J168^2)+INDIRECT("C$"&amp;5+MIN(2,ROUNDDOWN(I168,0))*3)*$J168^3</f>
      </c>
      <c r="L168" s="7">
        <f>INDIRECT("D$"&amp;2+MIN(2,ROUNDDOWN(I168,0))*3)*(-$J168^3+3*$J168^2-3*$J168+1)+INDIRECT("D$"&amp;3+MIN(2,ROUNDDOWN(I168,0))*3)*(3*$J168^3-6*$J168^2+3*$J168)+INDIRECT("D$"&amp;4+MIN(2,ROUNDDOWN(I168,0))*3)*(-3*$J168^3+3*$J168^2)+INDIRECT("D$"&amp;5+MIN(2,ROUNDDOWN(I168,0))*3)*$J168^3</f>
      </c>
      <c r="M168" s="7">
        <f>SQRT(K168^2+L168^2)</f>
      </c>
      <c r="N168" s="7">
        <f>(K169-K167)</f>
      </c>
      <c r="O168" s="7">
        <f>+(L169-L167)</f>
      </c>
      <c r="P168" s="7">
        <f>SQRT(O168^2+N168^2)</f>
      </c>
      <c r="Q168" s="7">
        <f>N168/$P168</f>
      </c>
      <c r="R168" s="7">
        <f>O168/$P168</f>
      </c>
      <c r="S168" s="8">
        <f>Q168^2+R168^2</f>
      </c>
      <c r="T168" s="7">
        <f>-R168</f>
      </c>
      <c r="U168" s="7">
        <f>Q168</f>
      </c>
      <c r="V168" s="7">
        <f>($C$14+($C$15-$C$14)/($D$15-$D$14)*(I168-$D$14))/2</f>
      </c>
      <c r="W168" s="7">
        <f>($B$22*I168^4+$C$22*I168^3+$D$22*I168^2+$E$22*I168+$F$22)/2</f>
      </c>
      <c r="X168" s="7">
        <f>($W168)*(T168)</f>
      </c>
      <c r="Y168" s="7">
        <f>($W168)*(U168)</f>
      </c>
      <c r="Z168" s="7">
        <f>SQRT(X168^2+Y168^2)</f>
      </c>
      <c r="AA168" s="7">
        <f>$K168+$X168</f>
      </c>
      <c r="AB168" s="7">
        <f>$L168+$Y168</f>
      </c>
      <c r="AC168" s="7">
        <f>$K168-$X168</f>
      </c>
      <c r="AD168" s="7">
        <f>$L168-$Y168</f>
      </c>
      <c r="AE168" s="7">
        <f>AA168/39.3701</f>
      </c>
      <c r="AF168" s="7">
        <f>AB168/39.3701</f>
      </c>
      <c r="AG168" s="7">
        <f>AC168/39.3701</f>
      </c>
      <c r="AH168" s="7">
        <f>AD168/39.3701</f>
      </c>
      <c r="AI168" s="1"/>
      <c r="AJ168" s="1"/>
      <c r="AK168" s="1"/>
      <c r="AL168" s="1"/>
      <c r="AM168" s="2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</row>
    <row x14ac:dyDescent="0.25" r="169" customHeight="1" ht="18.75">
      <c r="A169" s="1"/>
      <c r="B169" s="2"/>
      <c r="C169" s="2"/>
      <c r="D169" s="2"/>
      <c r="E169" s="2"/>
      <c r="F169" s="2"/>
      <c r="G169" s="1"/>
      <c r="H169" s="1"/>
      <c r="I169" s="7">
        <v>0.166</v>
      </c>
      <c r="J169" s="7">
        <f>IF((I169-ROUNDDOWN(I169,0))=0, 0, (I169-ROUNDDOWN(I169,0)))</f>
      </c>
      <c r="K169" s="7">
        <f>INDIRECT("C$"&amp;2+MIN(2,ROUNDDOWN(I169,0))*3)*(-$J169^3+3*$J169^2-3*$J169+1)+INDIRECT("C$"&amp;3+MIN(2,ROUNDDOWN(I169,0))*3)*(3*$J169^3-6*$J169^2+3*$J169)+INDIRECT("C$"&amp;4+MIN(2,ROUNDDOWN(I169,0))*3)*(-3*$J169^3+3*$J169^2)+INDIRECT("C$"&amp;5+MIN(2,ROUNDDOWN(I169,0))*3)*$J169^3</f>
      </c>
      <c r="L169" s="7">
        <f>INDIRECT("D$"&amp;2+MIN(2,ROUNDDOWN(I169,0))*3)*(-$J169^3+3*$J169^2-3*$J169+1)+INDIRECT("D$"&amp;3+MIN(2,ROUNDDOWN(I169,0))*3)*(3*$J169^3-6*$J169^2+3*$J169)+INDIRECT("D$"&amp;4+MIN(2,ROUNDDOWN(I169,0))*3)*(-3*$J169^3+3*$J169^2)+INDIRECT("D$"&amp;5+MIN(2,ROUNDDOWN(I169,0))*3)*$J169^3</f>
      </c>
      <c r="M169" s="7">
        <f>SQRT(K169^2+L169^2)</f>
      </c>
      <c r="N169" s="7">
        <f>(K170-K168)</f>
      </c>
      <c r="O169" s="7">
        <f>+(L170-L168)</f>
      </c>
      <c r="P169" s="7">
        <f>SQRT(O169^2+N169^2)</f>
      </c>
      <c r="Q169" s="7">
        <f>N169/$P169</f>
      </c>
      <c r="R169" s="7">
        <f>O169/$P169</f>
      </c>
      <c r="S169" s="8">
        <f>Q169^2+R169^2</f>
      </c>
      <c r="T169" s="7">
        <f>-R169</f>
      </c>
      <c r="U169" s="7">
        <f>Q169</f>
      </c>
      <c r="V169" s="7">
        <f>($C$14+($C$15-$C$14)/($D$15-$D$14)*(I169-$D$14))/2</f>
      </c>
      <c r="W169" s="7">
        <f>($B$22*I169^4+$C$22*I169^3+$D$22*I169^2+$E$22*I169+$F$22)/2</f>
      </c>
      <c r="X169" s="7">
        <f>($W169)*(T169)</f>
      </c>
      <c r="Y169" s="7">
        <f>($W169)*(U169)</f>
      </c>
      <c r="Z169" s="7">
        <f>SQRT(X169^2+Y169^2)</f>
      </c>
      <c r="AA169" s="7">
        <f>$K169+$X169</f>
      </c>
      <c r="AB169" s="7">
        <f>$L169+$Y169</f>
      </c>
      <c r="AC169" s="7">
        <f>$K169-$X169</f>
      </c>
      <c r="AD169" s="7">
        <f>$L169-$Y169</f>
      </c>
      <c r="AE169" s="7">
        <f>AA169/39.3701</f>
      </c>
      <c r="AF169" s="7">
        <f>AB169/39.3701</f>
      </c>
      <c r="AG169" s="7">
        <f>AC169/39.3701</f>
      </c>
      <c r="AH169" s="7">
        <f>AD169/39.3701</f>
      </c>
      <c r="AI169" s="1"/>
      <c r="AJ169" s="1"/>
      <c r="AK169" s="1"/>
      <c r="AL169" s="1"/>
      <c r="AM169" s="2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</row>
    <row x14ac:dyDescent="0.25" r="170" customHeight="1" ht="18.75">
      <c r="A170" s="1"/>
      <c r="B170" s="2"/>
      <c r="C170" s="2"/>
      <c r="D170" s="2"/>
      <c r="E170" s="2"/>
      <c r="F170" s="2"/>
      <c r="G170" s="1"/>
      <c r="H170" s="1"/>
      <c r="I170" s="7">
        <v>0.167</v>
      </c>
      <c r="J170" s="7">
        <f>IF((I170-ROUNDDOWN(I170,0))=0, 0, (I170-ROUNDDOWN(I170,0)))</f>
      </c>
      <c r="K170" s="7">
        <f>INDIRECT("C$"&amp;2+MIN(2,ROUNDDOWN(I170,0))*3)*(-$J170^3+3*$J170^2-3*$J170+1)+INDIRECT("C$"&amp;3+MIN(2,ROUNDDOWN(I170,0))*3)*(3*$J170^3-6*$J170^2+3*$J170)+INDIRECT("C$"&amp;4+MIN(2,ROUNDDOWN(I170,0))*3)*(-3*$J170^3+3*$J170^2)+INDIRECT("C$"&amp;5+MIN(2,ROUNDDOWN(I170,0))*3)*$J170^3</f>
      </c>
      <c r="L170" s="7">
        <f>INDIRECT("D$"&amp;2+MIN(2,ROUNDDOWN(I170,0))*3)*(-$J170^3+3*$J170^2-3*$J170+1)+INDIRECT("D$"&amp;3+MIN(2,ROUNDDOWN(I170,0))*3)*(3*$J170^3-6*$J170^2+3*$J170)+INDIRECT("D$"&amp;4+MIN(2,ROUNDDOWN(I170,0))*3)*(-3*$J170^3+3*$J170^2)+INDIRECT("D$"&amp;5+MIN(2,ROUNDDOWN(I170,0))*3)*$J170^3</f>
      </c>
      <c r="M170" s="7">
        <f>SQRT(K170^2+L170^2)</f>
      </c>
      <c r="N170" s="7">
        <f>(K171-K169)</f>
      </c>
      <c r="O170" s="7">
        <f>+(L171-L169)</f>
      </c>
      <c r="P170" s="7">
        <f>SQRT(O170^2+N170^2)</f>
      </c>
      <c r="Q170" s="7">
        <f>N170/$P170</f>
      </c>
      <c r="R170" s="7">
        <f>O170/$P170</f>
      </c>
      <c r="S170" s="8">
        <f>Q170^2+R170^2</f>
      </c>
      <c r="T170" s="7">
        <f>-R170</f>
      </c>
      <c r="U170" s="7">
        <f>Q170</f>
      </c>
      <c r="V170" s="7">
        <f>($C$14+($C$15-$C$14)/($D$15-$D$14)*(I170-$D$14))/2</f>
      </c>
      <c r="W170" s="7">
        <f>($B$22*I170^4+$C$22*I170^3+$D$22*I170^2+$E$22*I170+$F$22)/2</f>
      </c>
      <c r="X170" s="7">
        <f>($W170)*(T170)</f>
      </c>
      <c r="Y170" s="7">
        <f>($W170)*(U170)</f>
      </c>
      <c r="Z170" s="7">
        <f>SQRT(X170^2+Y170^2)</f>
      </c>
      <c r="AA170" s="7">
        <f>$K170+$X170</f>
      </c>
      <c r="AB170" s="7">
        <f>$L170+$Y170</f>
      </c>
      <c r="AC170" s="7">
        <f>$K170-$X170</f>
      </c>
      <c r="AD170" s="7">
        <f>$L170-$Y170</f>
      </c>
      <c r="AE170" s="7">
        <f>AA170/39.3701</f>
      </c>
      <c r="AF170" s="7">
        <f>AB170/39.3701</f>
      </c>
      <c r="AG170" s="7">
        <f>AC170/39.3701</f>
      </c>
      <c r="AH170" s="7">
        <f>AD170/39.3701</f>
      </c>
      <c r="AI170" s="1"/>
      <c r="AJ170" s="1"/>
      <c r="AK170" s="1"/>
      <c r="AL170" s="1"/>
      <c r="AM170" s="2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</row>
    <row x14ac:dyDescent="0.25" r="171" customHeight="1" ht="18.75">
      <c r="A171" s="1"/>
      <c r="B171" s="2"/>
      <c r="C171" s="2"/>
      <c r="D171" s="2"/>
      <c r="E171" s="2"/>
      <c r="F171" s="2"/>
      <c r="G171" s="1"/>
      <c r="H171" s="1"/>
      <c r="I171" s="7">
        <v>0.168</v>
      </c>
      <c r="J171" s="7">
        <f>IF((I171-ROUNDDOWN(I171,0))=0, 0, (I171-ROUNDDOWN(I171,0)))</f>
      </c>
      <c r="K171" s="7">
        <f>INDIRECT("C$"&amp;2+MIN(2,ROUNDDOWN(I171,0))*3)*(-$J171^3+3*$J171^2-3*$J171+1)+INDIRECT("C$"&amp;3+MIN(2,ROUNDDOWN(I171,0))*3)*(3*$J171^3-6*$J171^2+3*$J171)+INDIRECT("C$"&amp;4+MIN(2,ROUNDDOWN(I171,0))*3)*(-3*$J171^3+3*$J171^2)+INDIRECT("C$"&amp;5+MIN(2,ROUNDDOWN(I171,0))*3)*$J171^3</f>
      </c>
      <c r="L171" s="7">
        <f>INDIRECT("D$"&amp;2+MIN(2,ROUNDDOWN(I171,0))*3)*(-$J171^3+3*$J171^2-3*$J171+1)+INDIRECT("D$"&amp;3+MIN(2,ROUNDDOWN(I171,0))*3)*(3*$J171^3-6*$J171^2+3*$J171)+INDIRECT("D$"&amp;4+MIN(2,ROUNDDOWN(I171,0))*3)*(-3*$J171^3+3*$J171^2)+INDIRECT("D$"&amp;5+MIN(2,ROUNDDOWN(I171,0))*3)*$J171^3</f>
      </c>
      <c r="M171" s="7">
        <f>SQRT(K171^2+L171^2)</f>
      </c>
      <c r="N171" s="7">
        <f>(K172-K170)</f>
      </c>
      <c r="O171" s="7">
        <f>+(L172-L170)</f>
      </c>
      <c r="P171" s="7">
        <f>SQRT(O171^2+N171^2)</f>
      </c>
      <c r="Q171" s="7">
        <f>N171/$P171</f>
      </c>
      <c r="R171" s="7">
        <f>O171/$P171</f>
      </c>
      <c r="S171" s="8">
        <f>Q171^2+R171^2</f>
      </c>
      <c r="T171" s="7">
        <f>-R171</f>
      </c>
      <c r="U171" s="7">
        <f>Q171</f>
      </c>
      <c r="V171" s="7">
        <f>($C$14+($C$15-$C$14)/($D$15-$D$14)*(I171-$D$14))/2</f>
      </c>
      <c r="W171" s="7">
        <f>($B$22*I171^4+$C$22*I171^3+$D$22*I171^2+$E$22*I171+$F$22)/2</f>
      </c>
      <c r="X171" s="7">
        <f>($W171)*(T171)</f>
      </c>
      <c r="Y171" s="7">
        <f>($W171)*(U171)</f>
      </c>
      <c r="Z171" s="7">
        <f>SQRT(X171^2+Y171^2)</f>
      </c>
      <c r="AA171" s="7">
        <f>$K171+$X171</f>
      </c>
      <c r="AB171" s="7">
        <f>$L171+$Y171</f>
      </c>
      <c r="AC171" s="7">
        <f>$K171-$X171</f>
      </c>
      <c r="AD171" s="7">
        <f>$L171-$Y171</f>
      </c>
      <c r="AE171" s="7">
        <f>AA171/39.3701</f>
      </c>
      <c r="AF171" s="7">
        <f>AB171/39.3701</f>
      </c>
      <c r="AG171" s="7">
        <f>AC171/39.3701</f>
      </c>
      <c r="AH171" s="7">
        <f>AD171/39.3701</f>
      </c>
      <c r="AI171" s="1"/>
      <c r="AJ171" s="1"/>
      <c r="AK171" s="1"/>
      <c r="AL171" s="1"/>
      <c r="AM171" s="2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</row>
    <row x14ac:dyDescent="0.25" r="172" customHeight="1" ht="18.75">
      <c r="A172" s="1"/>
      <c r="B172" s="2"/>
      <c r="C172" s="2"/>
      <c r="D172" s="2"/>
      <c r="E172" s="2"/>
      <c r="F172" s="2"/>
      <c r="G172" s="1"/>
      <c r="H172" s="1"/>
      <c r="I172" s="7">
        <v>0.169</v>
      </c>
      <c r="J172" s="7">
        <f>IF((I172-ROUNDDOWN(I172,0))=0, 0, (I172-ROUNDDOWN(I172,0)))</f>
      </c>
      <c r="K172" s="7">
        <f>INDIRECT("C$"&amp;2+MIN(2,ROUNDDOWN(I172,0))*3)*(-$J172^3+3*$J172^2-3*$J172+1)+INDIRECT("C$"&amp;3+MIN(2,ROUNDDOWN(I172,0))*3)*(3*$J172^3-6*$J172^2+3*$J172)+INDIRECT("C$"&amp;4+MIN(2,ROUNDDOWN(I172,0))*3)*(-3*$J172^3+3*$J172^2)+INDIRECT("C$"&amp;5+MIN(2,ROUNDDOWN(I172,0))*3)*$J172^3</f>
      </c>
      <c r="L172" s="7">
        <f>INDIRECT("D$"&amp;2+MIN(2,ROUNDDOWN(I172,0))*3)*(-$J172^3+3*$J172^2-3*$J172+1)+INDIRECT("D$"&amp;3+MIN(2,ROUNDDOWN(I172,0))*3)*(3*$J172^3-6*$J172^2+3*$J172)+INDIRECT("D$"&amp;4+MIN(2,ROUNDDOWN(I172,0))*3)*(-3*$J172^3+3*$J172^2)+INDIRECT("D$"&amp;5+MIN(2,ROUNDDOWN(I172,0))*3)*$J172^3</f>
      </c>
      <c r="M172" s="7">
        <f>SQRT(K172^2+L172^2)</f>
      </c>
      <c r="N172" s="7">
        <f>(K173-K171)</f>
      </c>
      <c r="O172" s="7">
        <f>+(L173-L171)</f>
      </c>
      <c r="P172" s="7">
        <f>SQRT(O172^2+N172^2)</f>
      </c>
      <c r="Q172" s="7">
        <f>N172/$P172</f>
      </c>
      <c r="R172" s="7">
        <f>O172/$P172</f>
      </c>
      <c r="S172" s="8">
        <f>Q172^2+R172^2</f>
      </c>
      <c r="T172" s="7">
        <f>-R172</f>
      </c>
      <c r="U172" s="7">
        <f>Q172</f>
      </c>
      <c r="V172" s="7">
        <f>($C$14+($C$15-$C$14)/($D$15-$D$14)*(I172-$D$14))/2</f>
      </c>
      <c r="W172" s="7">
        <f>($B$22*I172^4+$C$22*I172^3+$D$22*I172^2+$E$22*I172+$F$22)/2</f>
      </c>
      <c r="X172" s="7">
        <f>($W172)*(T172)</f>
      </c>
      <c r="Y172" s="7">
        <f>($W172)*(U172)</f>
      </c>
      <c r="Z172" s="7">
        <f>SQRT(X172^2+Y172^2)</f>
      </c>
      <c r="AA172" s="7">
        <f>$K172+$X172</f>
      </c>
      <c r="AB172" s="7">
        <f>$L172+$Y172</f>
      </c>
      <c r="AC172" s="7">
        <f>$K172-$X172</f>
      </c>
      <c r="AD172" s="7">
        <f>$L172-$Y172</f>
      </c>
      <c r="AE172" s="7">
        <f>AA172/39.3701</f>
      </c>
      <c r="AF172" s="7">
        <f>AB172/39.3701</f>
      </c>
      <c r="AG172" s="7">
        <f>AC172/39.3701</f>
      </c>
      <c r="AH172" s="7">
        <f>AD172/39.3701</f>
      </c>
      <c r="AI172" s="1"/>
      <c r="AJ172" s="1"/>
      <c r="AK172" s="1"/>
      <c r="AL172" s="1"/>
      <c r="AM172" s="2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</row>
    <row x14ac:dyDescent="0.25" r="173" customHeight="1" ht="18.75">
      <c r="A173" s="1"/>
      <c r="B173" s="2"/>
      <c r="C173" s="2"/>
      <c r="D173" s="2"/>
      <c r="E173" s="2"/>
      <c r="F173" s="2"/>
      <c r="G173" s="1"/>
      <c r="H173" s="1"/>
      <c r="I173" s="7">
        <v>0.17</v>
      </c>
      <c r="J173" s="7">
        <f>IF((I173-ROUNDDOWN(I173,0))=0, 0, (I173-ROUNDDOWN(I173,0)))</f>
      </c>
      <c r="K173" s="7">
        <f>INDIRECT("C$"&amp;2+MIN(2,ROUNDDOWN(I173,0))*3)*(-$J173^3+3*$J173^2-3*$J173+1)+INDIRECT("C$"&amp;3+MIN(2,ROUNDDOWN(I173,0))*3)*(3*$J173^3-6*$J173^2+3*$J173)+INDIRECT("C$"&amp;4+MIN(2,ROUNDDOWN(I173,0))*3)*(-3*$J173^3+3*$J173^2)+INDIRECT("C$"&amp;5+MIN(2,ROUNDDOWN(I173,0))*3)*$J173^3</f>
      </c>
      <c r="L173" s="7">
        <f>INDIRECT("D$"&amp;2+MIN(2,ROUNDDOWN(I173,0))*3)*(-$J173^3+3*$J173^2-3*$J173+1)+INDIRECT("D$"&amp;3+MIN(2,ROUNDDOWN(I173,0))*3)*(3*$J173^3-6*$J173^2+3*$J173)+INDIRECT("D$"&amp;4+MIN(2,ROUNDDOWN(I173,0))*3)*(-3*$J173^3+3*$J173^2)+INDIRECT("D$"&amp;5+MIN(2,ROUNDDOWN(I173,0))*3)*$J173^3</f>
      </c>
      <c r="M173" s="7">
        <f>SQRT(K173^2+L173^2)</f>
      </c>
      <c r="N173" s="7">
        <f>(K174-K172)</f>
      </c>
      <c r="O173" s="7">
        <f>+(L174-L172)</f>
      </c>
      <c r="P173" s="7">
        <f>SQRT(O173^2+N173^2)</f>
      </c>
      <c r="Q173" s="7">
        <f>N173/$P173</f>
      </c>
      <c r="R173" s="7">
        <f>O173/$P173</f>
      </c>
      <c r="S173" s="7">
        <f>Q173^2+R173^2</f>
      </c>
      <c r="T173" s="7">
        <f>-R173</f>
      </c>
      <c r="U173" s="7">
        <f>Q173</f>
      </c>
      <c r="V173" s="7">
        <f>($C$14+($C$15-$C$14)/($D$15-$D$14)*(I173-$D$14))/2</f>
      </c>
      <c r="W173" s="7">
        <f>($B$22*I173^4+$C$22*I173^3+$D$22*I173^2+$E$22*I173+$F$22)/2</f>
      </c>
      <c r="X173" s="7">
        <f>($W173)*(T173)</f>
      </c>
      <c r="Y173" s="7">
        <f>($W173)*(U173)</f>
      </c>
      <c r="Z173" s="7">
        <f>SQRT(X173^2+Y173^2)</f>
      </c>
      <c r="AA173" s="7">
        <f>$K173+$X173</f>
      </c>
      <c r="AB173" s="7">
        <f>$L173+$Y173</f>
      </c>
      <c r="AC173" s="7">
        <f>$K173-$X173</f>
      </c>
      <c r="AD173" s="7">
        <f>$L173-$Y173</f>
      </c>
      <c r="AE173" s="7">
        <f>AA173/39.3701</f>
      </c>
      <c r="AF173" s="7">
        <f>AB173/39.3701</f>
      </c>
      <c r="AG173" s="7">
        <f>AC173/39.3701</f>
      </c>
      <c r="AH173" s="7">
        <f>AD173/39.3701</f>
      </c>
      <c r="AI173" s="1"/>
      <c r="AJ173" s="1"/>
      <c r="AK173" s="1"/>
      <c r="AL173" s="1"/>
      <c r="AM173" s="2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</row>
    <row x14ac:dyDescent="0.25" r="174" customHeight="1" ht="18.75">
      <c r="A174" s="1"/>
      <c r="B174" s="2"/>
      <c r="C174" s="2"/>
      <c r="D174" s="2"/>
      <c r="E174" s="2"/>
      <c r="F174" s="2"/>
      <c r="G174" s="1"/>
      <c r="H174" s="1"/>
      <c r="I174" s="7">
        <v>0.171</v>
      </c>
      <c r="J174" s="7">
        <f>IF((I174-ROUNDDOWN(I174,0))=0, 0, (I174-ROUNDDOWN(I174,0)))</f>
      </c>
      <c r="K174" s="7">
        <f>INDIRECT("C$"&amp;2+MIN(2,ROUNDDOWN(I174,0))*3)*(-$J174^3+3*$J174^2-3*$J174+1)+INDIRECT("C$"&amp;3+MIN(2,ROUNDDOWN(I174,0))*3)*(3*$J174^3-6*$J174^2+3*$J174)+INDIRECT("C$"&amp;4+MIN(2,ROUNDDOWN(I174,0))*3)*(-3*$J174^3+3*$J174^2)+INDIRECT("C$"&amp;5+MIN(2,ROUNDDOWN(I174,0))*3)*$J174^3</f>
      </c>
      <c r="L174" s="7">
        <f>INDIRECT("D$"&amp;2+MIN(2,ROUNDDOWN(I174,0))*3)*(-$J174^3+3*$J174^2-3*$J174+1)+INDIRECT("D$"&amp;3+MIN(2,ROUNDDOWN(I174,0))*3)*(3*$J174^3-6*$J174^2+3*$J174)+INDIRECT("D$"&amp;4+MIN(2,ROUNDDOWN(I174,0))*3)*(-3*$J174^3+3*$J174^2)+INDIRECT("D$"&amp;5+MIN(2,ROUNDDOWN(I174,0))*3)*$J174^3</f>
      </c>
      <c r="M174" s="7">
        <f>SQRT(K174^2+L174^2)</f>
      </c>
      <c r="N174" s="7">
        <f>(K175-K173)</f>
      </c>
      <c r="O174" s="7">
        <f>+(L175-L173)</f>
      </c>
      <c r="P174" s="7">
        <f>SQRT(O174^2+N174^2)</f>
      </c>
      <c r="Q174" s="7">
        <f>N174/$P174</f>
      </c>
      <c r="R174" s="7">
        <f>O174/$P174</f>
      </c>
      <c r="S174" s="7">
        <f>Q174^2+R174^2</f>
      </c>
      <c r="T174" s="7">
        <f>-R174</f>
      </c>
      <c r="U174" s="7">
        <f>Q174</f>
      </c>
      <c r="V174" s="7">
        <f>($C$14+($C$15-$C$14)/($D$15-$D$14)*(I174-$D$14))/2</f>
      </c>
      <c r="W174" s="7">
        <f>($B$22*I174^4+$C$22*I174^3+$D$22*I174^2+$E$22*I174+$F$22)/2</f>
      </c>
      <c r="X174" s="7">
        <f>($W174)*(T174)</f>
      </c>
      <c r="Y174" s="7">
        <f>($W174)*(U174)</f>
      </c>
      <c r="Z174" s="7">
        <f>SQRT(X174^2+Y174^2)</f>
      </c>
      <c r="AA174" s="7">
        <f>$K174+$X174</f>
      </c>
      <c r="AB174" s="7">
        <f>$L174+$Y174</f>
      </c>
      <c r="AC174" s="7">
        <f>$K174-$X174</f>
      </c>
      <c r="AD174" s="7">
        <f>$L174-$Y174</f>
      </c>
      <c r="AE174" s="7">
        <f>AA174/39.3701</f>
      </c>
      <c r="AF174" s="7">
        <f>AB174/39.3701</f>
      </c>
      <c r="AG174" s="7">
        <f>AC174/39.3701</f>
      </c>
      <c r="AH174" s="7">
        <f>AD174/39.3701</f>
      </c>
      <c r="AI174" s="1"/>
      <c r="AJ174" s="1"/>
      <c r="AK174" s="1"/>
      <c r="AL174" s="1"/>
      <c r="AM174" s="2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</row>
    <row x14ac:dyDescent="0.25" r="175" customHeight="1" ht="18.75">
      <c r="A175" s="1"/>
      <c r="B175" s="2"/>
      <c r="C175" s="2"/>
      <c r="D175" s="2"/>
      <c r="E175" s="2"/>
      <c r="F175" s="2"/>
      <c r="G175" s="1"/>
      <c r="H175" s="1"/>
      <c r="I175" s="7">
        <v>0.172</v>
      </c>
      <c r="J175" s="7">
        <f>IF((I175-ROUNDDOWN(I175,0))=0, 0, (I175-ROUNDDOWN(I175,0)))</f>
      </c>
      <c r="K175" s="7">
        <f>INDIRECT("C$"&amp;2+MIN(2,ROUNDDOWN(I175,0))*3)*(-$J175^3+3*$J175^2-3*$J175+1)+INDIRECT("C$"&amp;3+MIN(2,ROUNDDOWN(I175,0))*3)*(3*$J175^3-6*$J175^2+3*$J175)+INDIRECT("C$"&amp;4+MIN(2,ROUNDDOWN(I175,0))*3)*(-3*$J175^3+3*$J175^2)+INDIRECT("C$"&amp;5+MIN(2,ROUNDDOWN(I175,0))*3)*$J175^3</f>
      </c>
      <c r="L175" s="7">
        <f>INDIRECT("D$"&amp;2+MIN(2,ROUNDDOWN(I175,0))*3)*(-$J175^3+3*$J175^2-3*$J175+1)+INDIRECT("D$"&amp;3+MIN(2,ROUNDDOWN(I175,0))*3)*(3*$J175^3-6*$J175^2+3*$J175)+INDIRECT("D$"&amp;4+MIN(2,ROUNDDOWN(I175,0))*3)*(-3*$J175^3+3*$J175^2)+INDIRECT("D$"&amp;5+MIN(2,ROUNDDOWN(I175,0))*3)*$J175^3</f>
      </c>
      <c r="M175" s="7">
        <f>SQRT(K175^2+L175^2)</f>
      </c>
      <c r="N175" s="7">
        <f>(K176-K174)</f>
      </c>
      <c r="O175" s="7">
        <f>+(L176-L174)</f>
      </c>
      <c r="P175" s="7">
        <f>SQRT(O175^2+N175^2)</f>
      </c>
      <c r="Q175" s="7">
        <f>N175/$P175</f>
      </c>
      <c r="R175" s="7">
        <f>O175/$P175</f>
      </c>
      <c r="S175" s="7">
        <f>Q175^2+R175^2</f>
      </c>
      <c r="T175" s="7">
        <f>-R175</f>
      </c>
      <c r="U175" s="7">
        <f>Q175</f>
      </c>
      <c r="V175" s="7">
        <f>($C$14+($C$15-$C$14)/($D$15-$D$14)*(I175-$D$14))/2</f>
      </c>
      <c r="W175" s="7">
        <f>($B$22*I175^4+$C$22*I175^3+$D$22*I175^2+$E$22*I175+$F$22)/2</f>
      </c>
      <c r="X175" s="7">
        <f>($W175)*(T175)</f>
      </c>
      <c r="Y175" s="7">
        <f>($W175)*(U175)</f>
      </c>
      <c r="Z175" s="7">
        <f>SQRT(X175^2+Y175^2)</f>
      </c>
      <c r="AA175" s="7">
        <f>$K175+$X175</f>
      </c>
      <c r="AB175" s="7">
        <f>$L175+$Y175</f>
      </c>
      <c r="AC175" s="7">
        <f>$K175-$X175</f>
      </c>
      <c r="AD175" s="7">
        <f>$L175-$Y175</f>
      </c>
      <c r="AE175" s="7">
        <f>AA175/39.3701</f>
      </c>
      <c r="AF175" s="7">
        <f>AB175/39.3701</f>
      </c>
      <c r="AG175" s="7">
        <f>AC175/39.3701</f>
      </c>
      <c r="AH175" s="7">
        <f>AD175/39.3701</f>
      </c>
      <c r="AI175" s="1"/>
      <c r="AJ175" s="1"/>
      <c r="AK175" s="1"/>
      <c r="AL175" s="1"/>
      <c r="AM175" s="2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</row>
    <row x14ac:dyDescent="0.25" r="176" customHeight="1" ht="18.75">
      <c r="A176" s="1"/>
      <c r="B176" s="2"/>
      <c r="C176" s="2"/>
      <c r="D176" s="2"/>
      <c r="E176" s="2"/>
      <c r="F176" s="2"/>
      <c r="G176" s="1"/>
      <c r="H176" s="1"/>
      <c r="I176" s="7">
        <v>0.173</v>
      </c>
      <c r="J176" s="7">
        <f>IF((I176-ROUNDDOWN(I176,0))=0, 0, (I176-ROUNDDOWN(I176,0)))</f>
      </c>
      <c r="K176" s="7">
        <f>INDIRECT("C$"&amp;2+MIN(2,ROUNDDOWN(I176,0))*3)*(-$J176^3+3*$J176^2-3*$J176+1)+INDIRECT("C$"&amp;3+MIN(2,ROUNDDOWN(I176,0))*3)*(3*$J176^3-6*$J176^2+3*$J176)+INDIRECT("C$"&amp;4+MIN(2,ROUNDDOWN(I176,0))*3)*(-3*$J176^3+3*$J176^2)+INDIRECT("C$"&amp;5+MIN(2,ROUNDDOWN(I176,0))*3)*$J176^3</f>
      </c>
      <c r="L176" s="7">
        <f>INDIRECT("D$"&amp;2+MIN(2,ROUNDDOWN(I176,0))*3)*(-$J176^3+3*$J176^2-3*$J176+1)+INDIRECT("D$"&amp;3+MIN(2,ROUNDDOWN(I176,0))*3)*(3*$J176^3-6*$J176^2+3*$J176)+INDIRECT("D$"&amp;4+MIN(2,ROUNDDOWN(I176,0))*3)*(-3*$J176^3+3*$J176^2)+INDIRECT("D$"&amp;5+MIN(2,ROUNDDOWN(I176,0))*3)*$J176^3</f>
      </c>
      <c r="M176" s="7">
        <f>SQRT(K176^2+L176^2)</f>
      </c>
      <c r="N176" s="7">
        <f>(K177-K175)</f>
      </c>
      <c r="O176" s="7">
        <f>+(L177-L175)</f>
      </c>
      <c r="P176" s="7">
        <f>SQRT(O176^2+N176^2)</f>
      </c>
      <c r="Q176" s="7">
        <f>N176/$P176</f>
      </c>
      <c r="R176" s="7">
        <f>O176/$P176</f>
      </c>
      <c r="S176" s="8">
        <f>Q176^2+R176^2</f>
      </c>
      <c r="T176" s="7">
        <f>-R176</f>
      </c>
      <c r="U176" s="7">
        <f>Q176</f>
      </c>
      <c r="V176" s="7">
        <f>($C$14+($C$15-$C$14)/($D$15-$D$14)*(I176-$D$14))/2</f>
      </c>
      <c r="W176" s="7">
        <f>($B$22*I176^4+$C$22*I176^3+$D$22*I176^2+$E$22*I176+$F$22)/2</f>
      </c>
      <c r="X176" s="7">
        <f>($W176)*(T176)</f>
      </c>
      <c r="Y176" s="7">
        <f>($W176)*(U176)</f>
      </c>
      <c r="Z176" s="7">
        <f>SQRT(X176^2+Y176^2)</f>
      </c>
      <c r="AA176" s="7">
        <f>$K176+$X176</f>
      </c>
      <c r="AB176" s="7">
        <f>$L176+$Y176</f>
      </c>
      <c r="AC176" s="7">
        <f>$K176-$X176</f>
      </c>
      <c r="AD176" s="7">
        <f>$L176-$Y176</f>
      </c>
      <c r="AE176" s="7">
        <f>AA176/39.3701</f>
      </c>
      <c r="AF176" s="7">
        <f>AB176/39.3701</f>
      </c>
      <c r="AG176" s="7">
        <f>AC176/39.3701</f>
      </c>
      <c r="AH176" s="7">
        <f>AD176/39.3701</f>
      </c>
      <c r="AI176" s="1"/>
      <c r="AJ176" s="1"/>
      <c r="AK176" s="1"/>
      <c r="AL176" s="1"/>
      <c r="AM176" s="2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</row>
    <row x14ac:dyDescent="0.25" r="177" customHeight="1" ht="18.75">
      <c r="A177" s="1"/>
      <c r="B177" s="2"/>
      <c r="C177" s="2"/>
      <c r="D177" s="2"/>
      <c r="E177" s="2"/>
      <c r="F177" s="2"/>
      <c r="G177" s="1"/>
      <c r="H177" s="1"/>
      <c r="I177" s="7">
        <v>0.174</v>
      </c>
      <c r="J177" s="7">
        <f>IF((I177-ROUNDDOWN(I177,0))=0, 0, (I177-ROUNDDOWN(I177,0)))</f>
      </c>
      <c r="K177" s="7">
        <f>INDIRECT("C$"&amp;2+MIN(2,ROUNDDOWN(I177,0))*3)*(-$J177^3+3*$J177^2-3*$J177+1)+INDIRECT("C$"&amp;3+MIN(2,ROUNDDOWN(I177,0))*3)*(3*$J177^3-6*$J177^2+3*$J177)+INDIRECT("C$"&amp;4+MIN(2,ROUNDDOWN(I177,0))*3)*(-3*$J177^3+3*$J177^2)+INDIRECT("C$"&amp;5+MIN(2,ROUNDDOWN(I177,0))*3)*$J177^3</f>
      </c>
      <c r="L177" s="7">
        <f>INDIRECT("D$"&amp;2+MIN(2,ROUNDDOWN(I177,0))*3)*(-$J177^3+3*$J177^2-3*$J177+1)+INDIRECT("D$"&amp;3+MIN(2,ROUNDDOWN(I177,0))*3)*(3*$J177^3-6*$J177^2+3*$J177)+INDIRECT("D$"&amp;4+MIN(2,ROUNDDOWN(I177,0))*3)*(-3*$J177^3+3*$J177^2)+INDIRECT("D$"&amp;5+MIN(2,ROUNDDOWN(I177,0))*3)*$J177^3</f>
      </c>
      <c r="M177" s="7">
        <f>SQRT(K177^2+L177^2)</f>
      </c>
      <c r="N177" s="7">
        <f>(K178-K176)</f>
      </c>
      <c r="O177" s="7">
        <f>+(L178-L176)</f>
      </c>
      <c r="P177" s="7">
        <f>SQRT(O177^2+N177^2)</f>
      </c>
      <c r="Q177" s="7">
        <f>N177/$P177</f>
      </c>
      <c r="R177" s="7">
        <f>O177/$P177</f>
      </c>
      <c r="S177" s="8">
        <f>Q177^2+R177^2</f>
      </c>
      <c r="T177" s="7">
        <f>-R177</f>
      </c>
      <c r="U177" s="7">
        <f>Q177</f>
      </c>
      <c r="V177" s="7">
        <f>($C$14+($C$15-$C$14)/($D$15-$D$14)*(I177-$D$14))/2</f>
      </c>
      <c r="W177" s="7">
        <f>($B$22*I177^4+$C$22*I177^3+$D$22*I177^2+$E$22*I177+$F$22)/2</f>
      </c>
      <c r="X177" s="7">
        <f>($W177)*(T177)</f>
      </c>
      <c r="Y177" s="7">
        <f>($W177)*(U177)</f>
      </c>
      <c r="Z177" s="7">
        <f>SQRT(X177^2+Y177^2)</f>
      </c>
      <c r="AA177" s="7">
        <f>$K177+$X177</f>
      </c>
      <c r="AB177" s="7">
        <f>$L177+$Y177</f>
      </c>
      <c r="AC177" s="7">
        <f>$K177-$X177</f>
      </c>
      <c r="AD177" s="7">
        <f>$L177-$Y177</f>
      </c>
      <c r="AE177" s="7">
        <f>AA177/39.3701</f>
      </c>
      <c r="AF177" s="7">
        <f>AB177/39.3701</f>
      </c>
      <c r="AG177" s="7">
        <f>AC177/39.3701</f>
      </c>
      <c r="AH177" s="7">
        <f>AD177/39.3701</f>
      </c>
      <c r="AI177" s="1"/>
      <c r="AJ177" s="1"/>
      <c r="AK177" s="1"/>
      <c r="AL177" s="1"/>
      <c r="AM177" s="2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</row>
    <row x14ac:dyDescent="0.25" r="178" customHeight="1" ht="18.75">
      <c r="A178" s="1"/>
      <c r="B178" s="2"/>
      <c r="C178" s="2"/>
      <c r="D178" s="2"/>
      <c r="E178" s="2"/>
      <c r="F178" s="2"/>
      <c r="G178" s="1"/>
      <c r="H178" s="1"/>
      <c r="I178" s="7">
        <v>0.175</v>
      </c>
      <c r="J178" s="7">
        <f>IF((I178-ROUNDDOWN(I178,0))=0, 0, (I178-ROUNDDOWN(I178,0)))</f>
      </c>
      <c r="K178" s="7">
        <f>INDIRECT("C$"&amp;2+MIN(2,ROUNDDOWN(I178,0))*3)*(-$J178^3+3*$J178^2-3*$J178+1)+INDIRECT("C$"&amp;3+MIN(2,ROUNDDOWN(I178,0))*3)*(3*$J178^3-6*$J178^2+3*$J178)+INDIRECT("C$"&amp;4+MIN(2,ROUNDDOWN(I178,0))*3)*(-3*$J178^3+3*$J178^2)+INDIRECT("C$"&amp;5+MIN(2,ROUNDDOWN(I178,0))*3)*$J178^3</f>
      </c>
      <c r="L178" s="7">
        <f>INDIRECT("D$"&amp;2+MIN(2,ROUNDDOWN(I178,0))*3)*(-$J178^3+3*$J178^2-3*$J178+1)+INDIRECT("D$"&amp;3+MIN(2,ROUNDDOWN(I178,0))*3)*(3*$J178^3-6*$J178^2+3*$J178)+INDIRECT("D$"&amp;4+MIN(2,ROUNDDOWN(I178,0))*3)*(-3*$J178^3+3*$J178^2)+INDIRECT("D$"&amp;5+MIN(2,ROUNDDOWN(I178,0))*3)*$J178^3</f>
      </c>
      <c r="M178" s="7">
        <f>SQRT(K178^2+L178^2)</f>
      </c>
      <c r="N178" s="7">
        <f>(K179-K177)</f>
      </c>
      <c r="O178" s="7">
        <f>+(L179-L177)</f>
      </c>
      <c r="P178" s="7">
        <f>SQRT(O178^2+N178^2)</f>
      </c>
      <c r="Q178" s="7">
        <f>N178/$P178</f>
      </c>
      <c r="R178" s="7">
        <f>O178/$P178</f>
      </c>
      <c r="S178" s="8">
        <f>Q178^2+R178^2</f>
      </c>
      <c r="T178" s="7">
        <f>-R178</f>
      </c>
      <c r="U178" s="7">
        <f>Q178</f>
      </c>
      <c r="V178" s="7">
        <f>($C$14+($C$15-$C$14)/($D$15-$D$14)*(I178-$D$14))/2</f>
      </c>
      <c r="W178" s="7">
        <f>($B$22*I178^4+$C$22*I178^3+$D$22*I178^2+$E$22*I178+$F$22)/2</f>
      </c>
      <c r="X178" s="7">
        <f>($W178)*(T178)</f>
      </c>
      <c r="Y178" s="7">
        <f>($W178)*(U178)</f>
      </c>
      <c r="Z178" s="7">
        <f>SQRT(X178^2+Y178^2)</f>
      </c>
      <c r="AA178" s="7">
        <f>$K178+$X178</f>
      </c>
      <c r="AB178" s="7">
        <f>$L178+$Y178</f>
      </c>
      <c r="AC178" s="7">
        <f>$K178-$X178</f>
      </c>
      <c r="AD178" s="7">
        <f>$L178-$Y178</f>
      </c>
      <c r="AE178" s="7">
        <f>AA178/39.3701</f>
      </c>
      <c r="AF178" s="7">
        <f>AB178/39.3701</f>
      </c>
      <c r="AG178" s="7">
        <f>AC178/39.3701</f>
      </c>
      <c r="AH178" s="7">
        <f>AD178/39.3701</f>
      </c>
      <c r="AI178" s="1"/>
      <c r="AJ178" s="1"/>
      <c r="AK178" s="1"/>
      <c r="AL178" s="1"/>
      <c r="AM178" s="2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</row>
    <row x14ac:dyDescent="0.25" r="179" customHeight="1" ht="18.75">
      <c r="A179" s="1"/>
      <c r="B179" s="2"/>
      <c r="C179" s="2"/>
      <c r="D179" s="2"/>
      <c r="E179" s="2"/>
      <c r="F179" s="2"/>
      <c r="G179" s="1"/>
      <c r="H179" s="1"/>
      <c r="I179" s="7">
        <v>0.176</v>
      </c>
      <c r="J179" s="7">
        <f>IF((I179-ROUNDDOWN(I179,0))=0, 0, (I179-ROUNDDOWN(I179,0)))</f>
      </c>
      <c r="K179" s="7">
        <f>INDIRECT("C$"&amp;2+MIN(2,ROUNDDOWN(I179,0))*3)*(-$J179^3+3*$J179^2-3*$J179+1)+INDIRECT("C$"&amp;3+MIN(2,ROUNDDOWN(I179,0))*3)*(3*$J179^3-6*$J179^2+3*$J179)+INDIRECT("C$"&amp;4+MIN(2,ROUNDDOWN(I179,0))*3)*(-3*$J179^3+3*$J179^2)+INDIRECT("C$"&amp;5+MIN(2,ROUNDDOWN(I179,0))*3)*$J179^3</f>
      </c>
      <c r="L179" s="7">
        <f>INDIRECT("D$"&amp;2+MIN(2,ROUNDDOWN(I179,0))*3)*(-$J179^3+3*$J179^2-3*$J179+1)+INDIRECT("D$"&amp;3+MIN(2,ROUNDDOWN(I179,0))*3)*(3*$J179^3-6*$J179^2+3*$J179)+INDIRECT("D$"&amp;4+MIN(2,ROUNDDOWN(I179,0))*3)*(-3*$J179^3+3*$J179^2)+INDIRECT("D$"&amp;5+MIN(2,ROUNDDOWN(I179,0))*3)*$J179^3</f>
      </c>
      <c r="M179" s="7">
        <f>SQRT(K179^2+L179^2)</f>
      </c>
      <c r="N179" s="7">
        <f>(K180-K178)</f>
      </c>
      <c r="O179" s="7">
        <f>+(L180-L178)</f>
      </c>
      <c r="P179" s="7">
        <f>SQRT(O179^2+N179^2)</f>
      </c>
      <c r="Q179" s="7">
        <f>N179/$P179</f>
      </c>
      <c r="R179" s="7">
        <f>O179/$P179</f>
      </c>
      <c r="S179" s="7">
        <f>Q179^2+R179^2</f>
      </c>
      <c r="T179" s="7">
        <f>-R179</f>
      </c>
      <c r="U179" s="7">
        <f>Q179</f>
      </c>
      <c r="V179" s="7">
        <f>($C$14+($C$15-$C$14)/($D$15-$D$14)*(I179-$D$14))/2</f>
      </c>
      <c r="W179" s="7">
        <f>($B$22*I179^4+$C$22*I179^3+$D$22*I179^2+$E$22*I179+$F$22)/2</f>
      </c>
      <c r="X179" s="7">
        <f>($W179)*(T179)</f>
      </c>
      <c r="Y179" s="7">
        <f>($W179)*(U179)</f>
      </c>
      <c r="Z179" s="7">
        <f>SQRT(X179^2+Y179^2)</f>
      </c>
      <c r="AA179" s="7">
        <f>$K179+$X179</f>
      </c>
      <c r="AB179" s="7">
        <f>$L179+$Y179</f>
      </c>
      <c r="AC179" s="7">
        <f>$K179-$X179</f>
      </c>
      <c r="AD179" s="7">
        <f>$L179-$Y179</f>
      </c>
      <c r="AE179" s="7">
        <f>AA179/39.3701</f>
      </c>
      <c r="AF179" s="7">
        <f>AB179/39.3701</f>
      </c>
      <c r="AG179" s="7">
        <f>AC179/39.3701</f>
      </c>
      <c r="AH179" s="7">
        <f>AD179/39.3701</f>
      </c>
      <c r="AI179" s="1"/>
      <c r="AJ179" s="1"/>
      <c r="AK179" s="1"/>
      <c r="AL179" s="1"/>
      <c r="AM179" s="2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</row>
    <row x14ac:dyDescent="0.25" r="180" customHeight="1" ht="18.75">
      <c r="A180" s="1"/>
      <c r="B180" s="2"/>
      <c r="C180" s="2"/>
      <c r="D180" s="2"/>
      <c r="E180" s="2"/>
      <c r="F180" s="2"/>
      <c r="G180" s="1"/>
      <c r="H180" s="1"/>
      <c r="I180" s="7">
        <v>0.177</v>
      </c>
      <c r="J180" s="7">
        <f>IF((I180-ROUNDDOWN(I180,0))=0, 0, (I180-ROUNDDOWN(I180,0)))</f>
      </c>
      <c r="K180" s="7">
        <f>INDIRECT("C$"&amp;2+MIN(2,ROUNDDOWN(I180,0))*3)*(-$J180^3+3*$J180^2-3*$J180+1)+INDIRECT("C$"&amp;3+MIN(2,ROUNDDOWN(I180,0))*3)*(3*$J180^3-6*$J180^2+3*$J180)+INDIRECT("C$"&amp;4+MIN(2,ROUNDDOWN(I180,0))*3)*(-3*$J180^3+3*$J180^2)+INDIRECT("C$"&amp;5+MIN(2,ROUNDDOWN(I180,0))*3)*$J180^3</f>
      </c>
      <c r="L180" s="7">
        <f>INDIRECT("D$"&amp;2+MIN(2,ROUNDDOWN(I180,0))*3)*(-$J180^3+3*$J180^2-3*$J180+1)+INDIRECT("D$"&amp;3+MIN(2,ROUNDDOWN(I180,0))*3)*(3*$J180^3-6*$J180^2+3*$J180)+INDIRECT("D$"&amp;4+MIN(2,ROUNDDOWN(I180,0))*3)*(-3*$J180^3+3*$J180^2)+INDIRECT("D$"&amp;5+MIN(2,ROUNDDOWN(I180,0))*3)*$J180^3</f>
      </c>
      <c r="M180" s="7">
        <f>SQRT(K180^2+L180^2)</f>
      </c>
      <c r="N180" s="7">
        <f>(K181-K179)</f>
      </c>
      <c r="O180" s="7">
        <f>+(L181-L179)</f>
      </c>
      <c r="P180" s="7">
        <f>SQRT(O180^2+N180^2)</f>
      </c>
      <c r="Q180" s="7">
        <f>N180/$P180</f>
      </c>
      <c r="R180" s="7">
        <f>O180/$P180</f>
      </c>
      <c r="S180" s="7">
        <f>Q180^2+R180^2</f>
      </c>
      <c r="T180" s="7">
        <f>-R180</f>
      </c>
      <c r="U180" s="7">
        <f>Q180</f>
      </c>
      <c r="V180" s="7">
        <f>($C$14+($C$15-$C$14)/($D$15-$D$14)*(I180-$D$14))/2</f>
      </c>
      <c r="W180" s="7">
        <f>($B$22*I180^4+$C$22*I180^3+$D$22*I180^2+$E$22*I180+$F$22)/2</f>
      </c>
      <c r="X180" s="7">
        <f>($W180)*(T180)</f>
      </c>
      <c r="Y180" s="7">
        <f>($W180)*(U180)</f>
      </c>
      <c r="Z180" s="7">
        <f>SQRT(X180^2+Y180^2)</f>
      </c>
      <c r="AA180" s="7">
        <f>$K180+$X180</f>
      </c>
      <c r="AB180" s="7">
        <f>$L180+$Y180</f>
      </c>
      <c r="AC180" s="7">
        <f>$K180-$X180</f>
      </c>
      <c r="AD180" s="7">
        <f>$L180-$Y180</f>
      </c>
      <c r="AE180" s="7">
        <f>AA180/39.3701</f>
      </c>
      <c r="AF180" s="7">
        <f>AB180/39.3701</f>
      </c>
      <c r="AG180" s="7">
        <f>AC180/39.3701</f>
      </c>
      <c r="AH180" s="7">
        <f>AD180/39.3701</f>
      </c>
      <c r="AI180" s="1"/>
      <c r="AJ180" s="1"/>
      <c r="AK180" s="1"/>
      <c r="AL180" s="1"/>
      <c r="AM180" s="2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</row>
    <row x14ac:dyDescent="0.25" r="181" customHeight="1" ht="18.75">
      <c r="A181" s="1"/>
      <c r="B181" s="2"/>
      <c r="C181" s="2"/>
      <c r="D181" s="2"/>
      <c r="E181" s="2"/>
      <c r="F181" s="2"/>
      <c r="G181" s="1"/>
      <c r="H181" s="1"/>
      <c r="I181" s="7">
        <v>0.178</v>
      </c>
      <c r="J181" s="7">
        <f>IF((I181-ROUNDDOWN(I181,0))=0, 0, (I181-ROUNDDOWN(I181,0)))</f>
      </c>
      <c r="K181" s="7">
        <f>INDIRECT("C$"&amp;2+MIN(2,ROUNDDOWN(I181,0))*3)*(-$J181^3+3*$J181^2-3*$J181+1)+INDIRECT("C$"&amp;3+MIN(2,ROUNDDOWN(I181,0))*3)*(3*$J181^3-6*$J181^2+3*$J181)+INDIRECT("C$"&amp;4+MIN(2,ROUNDDOWN(I181,0))*3)*(-3*$J181^3+3*$J181^2)+INDIRECT("C$"&amp;5+MIN(2,ROUNDDOWN(I181,0))*3)*$J181^3</f>
      </c>
      <c r="L181" s="7">
        <f>INDIRECT("D$"&amp;2+MIN(2,ROUNDDOWN(I181,0))*3)*(-$J181^3+3*$J181^2-3*$J181+1)+INDIRECT("D$"&amp;3+MIN(2,ROUNDDOWN(I181,0))*3)*(3*$J181^3-6*$J181^2+3*$J181)+INDIRECT("D$"&amp;4+MIN(2,ROUNDDOWN(I181,0))*3)*(-3*$J181^3+3*$J181^2)+INDIRECT("D$"&amp;5+MIN(2,ROUNDDOWN(I181,0))*3)*$J181^3</f>
      </c>
      <c r="M181" s="7">
        <f>SQRT(K181^2+L181^2)</f>
      </c>
      <c r="N181" s="7">
        <f>(K182-K180)</f>
      </c>
      <c r="O181" s="7">
        <f>+(L182-L180)</f>
      </c>
      <c r="P181" s="7">
        <f>SQRT(O181^2+N181^2)</f>
      </c>
      <c r="Q181" s="7">
        <f>N181/$P181</f>
      </c>
      <c r="R181" s="7">
        <f>O181/$P181</f>
      </c>
      <c r="S181" s="8">
        <f>Q181^2+R181^2</f>
      </c>
      <c r="T181" s="7">
        <f>-R181</f>
      </c>
      <c r="U181" s="7">
        <f>Q181</f>
      </c>
      <c r="V181" s="7">
        <f>($C$14+($C$15-$C$14)/($D$15-$D$14)*(I181-$D$14))/2</f>
      </c>
      <c r="W181" s="7">
        <f>($B$22*I181^4+$C$22*I181^3+$D$22*I181^2+$E$22*I181+$F$22)/2</f>
      </c>
      <c r="X181" s="7">
        <f>($W181)*(T181)</f>
      </c>
      <c r="Y181" s="7">
        <f>($W181)*(U181)</f>
      </c>
      <c r="Z181" s="7">
        <f>SQRT(X181^2+Y181^2)</f>
      </c>
      <c r="AA181" s="7">
        <f>$K181+$X181</f>
      </c>
      <c r="AB181" s="7">
        <f>$L181+$Y181</f>
      </c>
      <c r="AC181" s="7">
        <f>$K181-$X181</f>
      </c>
      <c r="AD181" s="7">
        <f>$L181-$Y181</f>
      </c>
      <c r="AE181" s="7">
        <f>AA181/39.3701</f>
      </c>
      <c r="AF181" s="7">
        <f>AB181/39.3701</f>
      </c>
      <c r="AG181" s="7">
        <f>AC181/39.3701</f>
      </c>
      <c r="AH181" s="7">
        <f>AD181/39.3701</f>
      </c>
      <c r="AI181" s="1"/>
      <c r="AJ181" s="1"/>
      <c r="AK181" s="1"/>
      <c r="AL181" s="1"/>
      <c r="AM181" s="2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</row>
    <row x14ac:dyDescent="0.25" r="182" customHeight="1" ht="18.75">
      <c r="A182" s="1"/>
      <c r="B182" s="2"/>
      <c r="C182" s="2"/>
      <c r="D182" s="2"/>
      <c r="E182" s="2"/>
      <c r="F182" s="2"/>
      <c r="G182" s="1"/>
      <c r="H182" s="1"/>
      <c r="I182" s="7">
        <v>0.179</v>
      </c>
      <c r="J182" s="7">
        <f>IF((I182-ROUNDDOWN(I182,0))=0, 0, (I182-ROUNDDOWN(I182,0)))</f>
      </c>
      <c r="K182" s="7">
        <f>INDIRECT("C$"&amp;2+MIN(2,ROUNDDOWN(I182,0))*3)*(-$J182^3+3*$J182^2-3*$J182+1)+INDIRECT("C$"&amp;3+MIN(2,ROUNDDOWN(I182,0))*3)*(3*$J182^3-6*$J182^2+3*$J182)+INDIRECT("C$"&amp;4+MIN(2,ROUNDDOWN(I182,0))*3)*(-3*$J182^3+3*$J182^2)+INDIRECT("C$"&amp;5+MIN(2,ROUNDDOWN(I182,0))*3)*$J182^3</f>
      </c>
      <c r="L182" s="7">
        <f>INDIRECT("D$"&amp;2+MIN(2,ROUNDDOWN(I182,0))*3)*(-$J182^3+3*$J182^2-3*$J182+1)+INDIRECT("D$"&amp;3+MIN(2,ROUNDDOWN(I182,0))*3)*(3*$J182^3-6*$J182^2+3*$J182)+INDIRECT("D$"&amp;4+MIN(2,ROUNDDOWN(I182,0))*3)*(-3*$J182^3+3*$J182^2)+INDIRECT("D$"&amp;5+MIN(2,ROUNDDOWN(I182,0))*3)*$J182^3</f>
      </c>
      <c r="M182" s="7">
        <f>SQRT(K182^2+L182^2)</f>
      </c>
      <c r="N182" s="7">
        <f>(K183-K181)</f>
      </c>
      <c r="O182" s="7">
        <f>+(L183-L181)</f>
      </c>
      <c r="P182" s="7">
        <f>SQRT(O182^2+N182^2)</f>
      </c>
      <c r="Q182" s="7">
        <f>N182/$P182</f>
      </c>
      <c r="R182" s="7">
        <f>O182/$P182</f>
      </c>
      <c r="S182" s="7">
        <f>Q182^2+R182^2</f>
      </c>
      <c r="T182" s="7">
        <f>-R182</f>
      </c>
      <c r="U182" s="7">
        <f>Q182</f>
      </c>
      <c r="V182" s="7">
        <f>($C$14+($C$15-$C$14)/($D$15-$D$14)*(I182-$D$14))/2</f>
      </c>
      <c r="W182" s="7">
        <f>($B$22*I182^4+$C$22*I182^3+$D$22*I182^2+$E$22*I182+$F$22)/2</f>
      </c>
      <c r="X182" s="7">
        <f>($W182)*(T182)</f>
      </c>
      <c r="Y182" s="7">
        <f>($W182)*(U182)</f>
      </c>
      <c r="Z182" s="7">
        <f>SQRT(X182^2+Y182^2)</f>
      </c>
      <c r="AA182" s="7">
        <f>$K182+$X182</f>
      </c>
      <c r="AB182" s="7">
        <f>$L182+$Y182</f>
      </c>
      <c r="AC182" s="7">
        <f>$K182-$X182</f>
      </c>
      <c r="AD182" s="7">
        <f>$L182-$Y182</f>
      </c>
      <c r="AE182" s="7">
        <f>AA182/39.3701</f>
      </c>
      <c r="AF182" s="7">
        <f>AB182/39.3701</f>
      </c>
      <c r="AG182" s="7">
        <f>AC182/39.3701</f>
      </c>
      <c r="AH182" s="7">
        <f>AD182/39.3701</f>
      </c>
      <c r="AI182" s="1"/>
      <c r="AJ182" s="1"/>
      <c r="AK182" s="1"/>
      <c r="AL182" s="1"/>
      <c r="AM182" s="2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</row>
    <row x14ac:dyDescent="0.25" r="183" customHeight="1" ht="18.75">
      <c r="A183" s="1"/>
      <c r="B183" s="2"/>
      <c r="C183" s="2"/>
      <c r="D183" s="2"/>
      <c r="E183" s="2"/>
      <c r="F183" s="2"/>
      <c r="G183" s="1"/>
      <c r="H183" s="1"/>
      <c r="I183" s="7">
        <v>0.18</v>
      </c>
      <c r="J183" s="7">
        <f>IF((I183-ROUNDDOWN(I183,0))=0, 0, (I183-ROUNDDOWN(I183,0)))</f>
      </c>
      <c r="K183" s="7">
        <f>INDIRECT("C$"&amp;2+MIN(2,ROUNDDOWN(I183,0))*3)*(-$J183^3+3*$J183^2-3*$J183+1)+INDIRECT("C$"&amp;3+MIN(2,ROUNDDOWN(I183,0))*3)*(3*$J183^3-6*$J183^2+3*$J183)+INDIRECT("C$"&amp;4+MIN(2,ROUNDDOWN(I183,0))*3)*(-3*$J183^3+3*$J183^2)+INDIRECT("C$"&amp;5+MIN(2,ROUNDDOWN(I183,0))*3)*$J183^3</f>
      </c>
      <c r="L183" s="7">
        <f>INDIRECT("D$"&amp;2+MIN(2,ROUNDDOWN(I183,0))*3)*(-$J183^3+3*$J183^2-3*$J183+1)+INDIRECT("D$"&amp;3+MIN(2,ROUNDDOWN(I183,0))*3)*(3*$J183^3-6*$J183^2+3*$J183)+INDIRECT("D$"&amp;4+MIN(2,ROUNDDOWN(I183,0))*3)*(-3*$J183^3+3*$J183^2)+INDIRECT("D$"&amp;5+MIN(2,ROUNDDOWN(I183,0))*3)*$J183^3</f>
      </c>
      <c r="M183" s="7">
        <f>SQRT(K183^2+L183^2)</f>
      </c>
      <c r="N183" s="7">
        <f>(K184-K182)</f>
      </c>
      <c r="O183" s="7">
        <f>+(L184-L182)</f>
      </c>
      <c r="P183" s="7">
        <f>SQRT(O183^2+N183^2)</f>
      </c>
      <c r="Q183" s="7">
        <f>N183/$P183</f>
      </c>
      <c r="R183" s="7">
        <f>O183/$P183</f>
      </c>
      <c r="S183" s="7">
        <f>Q183^2+R183^2</f>
      </c>
      <c r="T183" s="7">
        <f>-R183</f>
      </c>
      <c r="U183" s="7">
        <f>Q183</f>
      </c>
      <c r="V183" s="7">
        <f>($C$14+($C$15-$C$14)/($D$15-$D$14)*(I183-$D$14))/2</f>
      </c>
      <c r="W183" s="7">
        <f>($B$22*I183^4+$C$22*I183^3+$D$22*I183^2+$E$22*I183+$F$22)/2</f>
      </c>
      <c r="X183" s="7">
        <f>($W183)*(T183)</f>
      </c>
      <c r="Y183" s="7">
        <f>($W183)*(U183)</f>
      </c>
      <c r="Z183" s="7">
        <f>SQRT(X183^2+Y183^2)</f>
      </c>
      <c r="AA183" s="7">
        <f>$K183+$X183</f>
      </c>
      <c r="AB183" s="7">
        <f>$L183+$Y183</f>
      </c>
      <c r="AC183" s="7">
        <f>$K183-$X183</f>
      </c>
      <c r="AD183" s="7">
        <f>$L183-$Y183</f>
      </c>
      <c r="AE183" s="7">
        <f>AA183/39.3701</f>
      </c>
      <c r="AF183" s="7">
        <f>AB183/39.3701</f>
      </c>
      <c r="AG183" s="7">
        <f>AC183/39.3701</f>
      </c>
      <c r="AH183" s="7">
        <f>AD183/39.3701</f>
      </c>
      <c r="AI183" s="1"/>
      <c r="AJ183" s="1"/>
      <c r="AK183" s="1"/>
      <c r="AL183" s="1"/>
      <c r="AM183" s="2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</row>
    <row x14ac:dyDescent="0.25" r="184" customHeight="1" ht="18.75">
      <c r="A184" s="1"/>
      <c r="B184" s="2"/>
      <c r="C184" s="2"/>
      <c r="D184" s="2"/>
      <c r="E184" s="2"/>
      <c r="F184" s="2"/>
      <c r="G184" s="1"/>
      <c r="H184" s="1"/>
      <c r="I184" s="7">
        <v>0.181</v>
      </c>
      <c r="J184" s="7">
        <f>IF((I184-ROUNDDOWN(I184,0))=0, 0, (I184-ROUNDDOWN(I184,0)))</f>
      </c>
      <c r="K184" s="7">
        <f>INDIRECT("C$"&amp;2+MIN(2,ROUNDDOWN(I184,0))*3)*(-$J184^3+3*$J184^2-3*$J184+1)+INDIRECT("C$"&amp;3+MIN(2,ROUNDDOWN(I184,0))*3)*(3*$J184^3-6*$J184^2+3*$J184)+INDIRECT("C$"&amp;4+MIN(2,ROUNDDOWN(I184,0))*3)*(-3*$J184^3+3*$J184^2)+INDIRECT("C$"&amp;5+MIN(2,ROUNDDOWN(I184,0))*3)*$J184^3</f>
      </c>
      <c r="L184" s="7">
        <f>INDIRECT("D$"&amp;2+MIN(2,ROUNDDOWN(I184,0))*3)*(-$J184^3+3*$J184^2-3*$J184+1)+INDIRECT("D$"&amp;3+MIN(2,ROUNDDOWN(I184,0))*3)*(3*$J184^3-6*$J184^2+3*$J184)+INDIRECT("D$"&amp;4+MIN(2,ROUNDDOWN(I184,0))*3)*(-3*$J184^3+3*$J184^2)+INDIRECT("D$"&amp;5+MIN(2,ROUNDDOWN(I184,0))*3)*$J184^3</f>
      </c>
      <c r="M184" s="7">
        <f>SQRT(K184^2+L184^2)</f>
      </c>
      <c r="N184" s="7">
        <f>(K185-K183)</f>
      </c>
      <c r="O184" s="7">
        <f>+(L185-L183)</f>
      </c>
      <c r="P184" s="7">
        <f>SQRT(O184^2+N184^2)</f>
      </c>
      <c r="Q184" s="7">
        <f>N184/$P184</f>
      </c>
      <c r="R184" s="7">
        <f>O184/$P184</f>
      </c>
      <c r="S184" s="7">
        <f>Q184^2+R184^2</f>
      </c>
      <c r="T184" s="7">
        <f>-R184</f>
      </c>
      <c r="U184" s="7">
        <f>Q184</f>
      </c>
      <c r="V184" s="7">
        <f>($C$14+($C$15-$C$14)/($D$15-$D$14)*(I184-$D$14))/2</f>
      </c>
      <c r="W184" s="7">
        <f>($B$22*I184^4+$C$22*I184^3+$D$22*I184^2+$E$22*I184+$F$22)/2</f>
      </c>
      <c r="X184" s="7">
        <f>($W184)*(T184)</f>
      </c>
      <c r="Y184" s="7">
        <f>($W184)*(U184)</f>
      </c>
      <c r="Z184" s="7">
        <f>SQRT(X184^2+Y184^2)</f>
      </c>
      <c r="AA184" s="7">
        <f>$K184+$X184</f>
      </c>
      <c r="AB184" s="7">
        <f>$L184+$Y184</f>
      </c>
      <c r="AC184" s="7">
        <f>$K184-$X184</f>
      </c>
      <c r="AD184" s="7">
        <f>$L184-$Y184</f>
      </c>
      <c r="AE184" s="7">
        <f>AA184/39.3701</f>
      </c>
      <c r="AF184" s="7">
        <f>AB184/39.3701</f>
      </c>
      <c r="AG184" s="7">
        <f>AC184/39.3701</f>
      </c>
      <c r="AH184" s="7">
        <f>AD184/39.3701</f>
      </c>
      <c r="AI184" s="1"/>
      <c r="AJ184" s="1"/>
      <c r="AK184" s="1"/>
      <c r="AL184" s="1"/>
      <c r="AM184" s="2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</row>
    <row x14ac:dyDescent="0.25" r="185" customHeight="1" ht="18.75">
      <c r="A185" s="1"/>
      <c r="B185" s="2"/>
      <c r="C185" s="2"/>
      <c r="D185" s="2"/>
      <c r="E185" s="2"/>
      <c r="F185" s="2"/>
      <c r="G185" s="1"/>
      <c r="H185" s="1"/>
      <c r="I185" s="7">
        <v>0.182</v>
      </c>
      <c r="J185" s="7">
        <f>IF((I185-ROUNDDOWN(I185,0))=0, 0, (I185-ROUNDDOWN(I185,0)))</f>
      </c>
      <c r="K185" s="7">
        <f>INDIRECT("C$"&amp;2+MIN(2,ROUNDDOWN(I185,0))*3)*(-$J185^3+3*$J185^2-3*$J185+1)+INDIRECT("C$"&amp;3+MIN(2,ROUNDDOWN(I185,0))*3)*(3*$J185^3-6*$J185^2+3*$J185)+INDIRECT("C$"&amp;4+MIN(2,ROUNDDOWN(I185,0))*3)*(-3*$J185^3+3*$J185^2)+INDIRECT("C$"&amp;5+MIN(2,ROUNDDOWN(I185,0))*3)*$J185^3</f>
      </c>
      <c r="L185" s="7">
        <f>INDIRECT("D$"&amp;2+MIN(2,ROUNDDOWN(I185,0))*3)*(-$J185^3+3*$J185^2-3*$J185+1)+INDIRECT("D$"&amp;3+MIN(2,ROUNDDOWN(I185,0))*3)*(3*$J185^3-6*$J185^2+3*$J185)+INDIRECT("D$"&amp;4+MIN(2,ROUNDDOWN(I185,0))*3)*(-3*$J185^3+3*$J185^2)+INDIRECT("D$"&amp;5+MIN(2,ROUNDDOWN(I185,0))*3)*$J185^3</f>
      </c>
      <c r="M185" s="7">
        <f>SQRT(K185^2+L185^2)</f>
      </c>
      <c r="N185" s="7">
        <f>(K186-K184)</f>
      </c>
      <c r="O185" s="7">
        <f>+(L186-L184)</f>
      </c>
      <c r="P185" s="7">
        <f>SQRT(O185^2+N185^2)</f>
      </c>
      <c r="Q185" s="7">
        <f>N185/$P185</f>
      </c>
      <c r="R185" s="7">
        <f>O185/$P185</f>
      </c>
      <c r="S185" s="8">
        <f>Q185^2+R185^2</f>
      </c>
      <c r="T185" s="7">
        <f>-R185</f>
      </c>
      <c r="U185" s="7">
        <f>Q185</f>
      </c>
      <c r="V185" s="7">
        <f>($C$14+($C$15-$C$14)/($D$15-$D$14)*(I185-$D$14))/2</f>
      </c>
      <c r="W185" s="7">
        <f>($B$22*I185^4+$C$22*I185^3+$D$22*I185^2+$E$22*I185+$F$22)/2</f>
      </c>
      <c r="X185" s="7">
        <f>($W185)*(T185)</f>
      </c>
      <c r="Y185" s="7">
        <f>($W185)*(U185)</f>
      </c>
      <c r="Z185" s="7">
        <f>SQRT(X185^2+Y185^2)</f>
      </c>
      <c r="AA185" s="7">
        <f>$K185+$X185</f>
      </c>
      <c r="AB185" s="7">
        <f>$L185+$Y185</f>
      </c>
      <c r="AC185" s="7">
        <f>$K185-$X185</f>
      </c>
      <c r="AD185" s="7">
        <f>$L185-$Y185</f>
      </c>
      <c r="AE185" s="7">
        <f>AA185/39.3701</f>
      </c>
      <c r="AF185" s="7">
        <f>AB185/39.3701</f>
      </c>
      <c r="AG185" s="7">
        <f>AC185/39.3701</f>
      </c>
      <c r="AH185" s="7">
        <f>AD185/39.3701</f>
      </c>
      <c r="AI185" s="1"/>
      <c r="AJ185" s="1"/>
      <c r="AK185" s="1"/>
      <c r="AL185" s="1"/>
      <c r="AM185" s="2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</row>
    <row x14ac:dyDescent="0.25" r="186" customHeight="1" ht="18.75">
      <c r="A186" s="1"/>
      <c r="B186" s="2"/>
      <c r="C186" s="2"/>
      <c r="D186" s="2"/>
      <c r="E186" s="2"/>
      <c r="F186" s="2"/>
      <c r="G186" s="1"/>
      <c r="H186" s="1"/>
      <c r="I186" s="7">
        <v>0.183</v>
      </c>
      <c r="J186" s="7">
        <f>IF((I186-ROUNDDOWN(I186,0))=0, 0, (I186-ROUNDDOWN(I186,0)))</f>
      </c>
      <c r="K186" s="7">
        <f>INDIRECT("C$"&amp;2+MIN(2,ROUNDDOWN(I186,0))*3)*(-$J186^3+3*$J186^2-3*$J186+1)+INDIRECT("C$"&amp;3+MIN(2,ROUNDDOWN(I186,0))*3)*(3*$J186^3-6*$J186^2+3*$J186)+INDIRECT("C$"&amp;4+MIN(2,ROUNDDOWN(I186,0))*3)*(-3*$J186^3+3*$J186^2)+INDIRECT("C$"&amp;5+MIN(2,ROUNDDOWN(I186,0))*3)*$J186^3</f>
      </c>
      <c r="L186" s="7">
        <f>INDIRECT("D$"&amp;2+MIN(2,ROUNDDOWN(I186,0))*3)*(-$J186^3+3*$J186^2-3*$J186+1)+INDIRECT("D$"&amp;3+MIN(2,ROUNDDOWN(I186,0))*3)*(3*$J186^3-6*$J186^2+3*$J186)+INDIRECT("D$"&amp;4+MIN(2,ROUNDDOWN(I186,0))*3)*(-3*$J186^3+3*$J186^2)+INDIRECT("D$"&amp;5+MIN(2,ROUNDDOWN(I186,0))*3)*$J186^3</f>
      </c>
      <c r="M186" s="7">
        <f>SQRT(K186^2+L186^2)</f>
      </c>
      <c r="N186" s="7">
        <f>(K187-K185)</f>
      </c>
      <c r="O186" s="7">
        <f>+(L187-L185)</f>
      </c>
      <c r="P186" s="7">
        <f>SQRT(O186^2+N186^2)</f>
      </c>
      <c r="Q186" s="7">
        <f>N186/$P186</f>
      </c>
      <c r="R186" s="7">
        <f>O186/$P186</f>
      </c>
      <c r="S186" s="8">
        <f>Q186^2+R186^2</f>
      </c>
      <c r="T186" s="7">
        <f>-R186</f>
      </c>
      <c r="U186" s="7">
        <f>Q186</f>
      </c>
      <c r="V186" s="7">
        <f>($C$14+($C$15-$C$14)/($D$15-$D$14)*(I186-$D$14))/2</f>
      </c>
      <c r="W186" s="7">
        <f>($B$22*I186^4+$C$22*I186^3+$D$22*I186^2+$E$22*I186+$F$22)/2</f>
      </c>
      <c r="X186" s="7">
        <f>($W186)*(T186)</f>
      </c>
      <c r="Y186" s="7">
        <f>($W186)*(U186)</f>
      </c>
      <c r="Z186" s="7">
        <f>SQRT(X186^2+Y186^2)</f>
      </c>
      <c r="AA186" s="7">
        <f>$K186+$X186</f>
      </c>
      <c r="AB186" s="7">
        <f>$L186+$Y186</f>
      </c>
      <c r="AC186" s="7">
        <f>$K186-$X186</f>
      </c>
      <c r="AD186" s="7">
        <f>$L186-$Y186</f>
      </c>
      <c r="AE186" s="7">
        <f>AA186/39.3701</f>
      </c>
      <c r="AF186" s="7">
        <f>AB186/39.3701</f>
      </c>
      <c r="AG186" s="7">
        <f>AC186/39.3701</f>
      </c>
      <c r="AH186" s="7">
        <f>AD186/39.3701</f>
      </c>
      <c r="AI186" s="1"/>
      <c r="AJ186" s="1"/>
      <c r="AK186" s="1"/>
      <c r="AL186" s="1"/>
      <c r="AM186" s="2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</row>
    <row x14ac:dyDescent="0.25" r="187" customHeight="1" ht="18.75">
      <c r="A187" s="1"/>
      <c r="B187" s="2"/>
      <c r="C187" s="2"/>
      <c r="D187" s="2"/>
      <c r="E187" s="2"/>
      <c r="F187" s="2"/>
      <c r="G187" s="1"/>
      <c r="H187" s="1"/>
      <c r="I187" s="7">
        <v>0.184</v>
      </c>
      <c r="J187" s="7">
        <f>IF((I187-ROUNDDOWN(I187,0))=0, 0, (I187-ROUNDDOWN(I187,0)))</f>
      </c>
      <c r="K187" s="7">
        <f>INDIRECT("C$"&amp;2+MIN(2,ROUNDDOWN(I187,0))*3)*(-$J187^3+3*$J187^2-3*$J187+1)+INDIRECT("C$"&amp;3+MIN(2,ROUNDDOWN(I187,0))*3)*(3*$J187^3-6*$J187^2+3*$J187)+INDIRECT("C$"&amp;4+MIN(2,ROUNDDOWN(I187,0))*3)*(-3*$J187^3+3*$J187^2)+INDIRECT("C$"&amp;5+MIN(2,ROUNDDOWN(I187,0))*3)*$J187^3</f>
      </c>
      <c r="L187" s="7">
        <f>INDIRECT("D$"&amp;2+MIN(2,ROUNDDOWN(I187,0))*3)*(-$J187^3+3*$J187^2-3*$J187+1)+INDIRECT("D$"&amp;3+MIN(2,ROUNDDOWN(I187,0))*3)*(3*$J187^3-6*$J187^2+3*$J187)+INDIRECT("D$"&amp;4+MIN(2,ROUNDDOWN(I187,0))*3)*(-3*$J187^3+3*$J187^2)+INDIRECT("D$"&amp;5+MIN(2,ROUNDDOWN(I187,0))*3)*$J187^3</f>
      </c>
      <c r="M187" s="7">
        <f>SQRT(K187^2+L187^2)</f>
      </c>
      <c r="N187" s="7">
        <f>(K188-K186)</f>
      </c>
      <c r="O187" s="7">
        <f>+(L188-L186)</f>
      </c>
      <c r="P187" s="7">
        <f>SQRT(O187^2+N187^2)</f>
      </c>
      <c r="Q187" s="7">
        <f>N187/$P187</f>
      </c>
      <c r="R187" s="7">
        <f>O187/$P187</f>
      </c>
      <c r="S187" s="8">
        <f>Q187^2+R187^2</f>
      </c>
      <c r="T187" s="7">
        <f>-R187</f>
      </c>
      <c r="U187" s="7">
        <f>Q187</f>
      </c>
      <c r="V187" s="7">
        <f>($C$14+($C$15-$C$14)/($D$15-$D$14)*(I187-$D$14))/2</f>
      </c>
      <c r="W187" s="7">
        <f>($B$22*I187^4+$C$22*I187^3+$D$22*I187^2+$E$22*I187+$F$22)/2</f>
      </c>
      <c r="X187" s="7">
        <f>($W187)*(T187)</f>
      </c>
      <c r="Y187" s="7">
        <f>($W187)*(U187)</f>
      </c>
      <c r="Z187" s="7">
        <f>SQRT(X187^2+Y187^2)</f>
      </c>
      <c r="AA187" s="7">
        <f>$K187+$X187</f>
      </c>
      <c r="AB187" s="7">
        <f>$L187+$Y187</f>
      </c>
      <c r="AC187" s="7">
        <f>$K187-$X187</f>
      </c>
      <c r="AD187" s="7">
        <f>$L187-$Y187</f>
      </c>
      <c r="AE187" s="7">
        <f>AA187/39.3701</f>
      </c>
      <c r="AF187" s="7">
        <f>AB187/39.3701</f>
      </c>
      <c r="AG187" s="7">
        <f>AC187/39.3701</f>
      </c>
      <c r="AH187" s="7">
        <f>AD187/39.3701</f>
      </c>
      <c r="AI187" s="1"/>
      <c r="AJ187" s="1"/>
      <c r="AK187" s="1"/>
      <c r="AL187" s="1"/>
      <c r="AM187" s="2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</row>
    <row x14ac:dyDescent="0.25" r="188" customHeight="1" ht="18.75">
      <c r="A188" s="1"/>
      <c r="B188" s="2"/>
      <c r="C188" s="2"/>
      <c r="D188" s="2"/>
      <c r="E188" s="2"/>
      <c r="F188" s="2"/>
      <c r="G188" s="1"/>
      <c r="H188" s="1"/>
      <c r="I188" s="7">
        <v>0.185</v>
      </c>
      <c r="J188" s="7">
        <f>IF((I188-ROUNDDOWN(I188,0))=0, 0, (I188-ROUNDDOWN(I188,0)))</f>
      </c>
      <c r="K188" s="7">
        <f>INDIRECT("C$"&amp;2+MIN(2,ROUNDDOWN(I188,0))*3)*(-$J188^3+3*$J188^2-3*$J188+1)+INDIRECT("C$"&amp;3+MIN(2,ROUNDDOWN(I188,0))*3)*(3*$J188^3-6*$J188^2+3*$J188)+INDIRECT("C$"&amp;4+MIN(2,ROUNDDOWN(I188,0))*3)*(-3*$J188^3+3*$J188^2)+INDIRECT("C$"&amp;5+MIN(2,ROUNDDOWN(I188,0))*3)*$J188^3</f>
      </c>
      <c r="L188" s="7">
        <f>INDIRECT("D$"&amp;2+MIN(2,ROUNDDOWN(I188,0))*3)*(-$J188^3+3*$J188^2-3*$J188+1)+INDIRECT("D$"&amp;3+MIN(2,ROUNDDOWN(I188,0))*3)*(3*$J188^3-6*$J188^2+3*$J188)+INDIRECT("D$"&amp;4+MIN(2,ROUNDDOWN(I188,0))*3)*(-3*$J188^3+3*$J188^2)+INDIRECT("D$"&amp;5+MIN(2,ROUNDDOWN(I188,0))*3)*$J188^3</f>
      </c>
      <c r="M188" s="7">
        <f>SQRT(K188^2+L188^2)</f>
      </c>
      <c r="N188" s="7">
        <f>(K189-K187)</f>
      </c>
      <c r="O188" s="7">
        <f>+(L189-L187)</f>
      </c>
      <c r="P188" s="7">
        <f>SQRT(O188^2+N188^2)</f>
      </c>
      <c r="Q188" s="7">
        <f>N188/$P188</f>
      </c>
      <c r="R188" s="7">
        <f>O188/$P188</f>
      </c>
      <c r="S188" s="8">
        <f>Q188^2+R188^2</f>
      </c>
      <c r="T188" s="7">
        <f>-R188</f>
      </c>
      <c r="U188" s="7">
        <f>Q188</f>
      </c>
      <c r="V188" s="7">
        <f>($C$14+($C$15-$C$14)/($D$15-$D$14)*(I188-$D$14))/2</f>
      </c>
      <c r="W188" s="7">
        <f>($B$22*I188^4+$C$22*I188^3+$D$22*I188^2+$E$22*I188+$F$22)/2</f>
      </c>
      <c r="X188" s="7">
        <f>($W188)*(T188)</f>
      </c>
      <c r="Y188" s="7">
        <f>($W188)*(U188)</f>
      </c>
      <c r="Z188" s="7">
        <f>SQRT(X188^2+Y188^2)</f>
      </c>
      <c r="AA188" s="7">
        <f>$K188+$X188</f>
      </c>
      <c r="AB188" s="7">
        <f>$L188+$Y188</f>
      </c>
      <c r="AC188" s="7">
        <f>$K188-$X188</f>
      </c>
      <c r="AD188" s="7">
        <f>$L188-$Y188</f>
      </c>
      <c r="AE188" s="7">
        <f>AA188/39.3701</f>
      </c>
      <c r="AF188" s="7">
        <f>AB188/39.3701</f>
      </c>
      <c r="AG188" s="7">
        <f>AC188/39.3701</f>
      </c>
      <c r="AH188" s="7">
        <f>AD188/39.3701</f>
      </c>
      <c r="AI188" s="1"/>
      <c r="AJ188" s="1"/>
      <c r="AK188" s="1"/>
      <c r="AL188" s="1"/>
      <c r="AM188" s="2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</row>
    <row x14ac:dyDescent="0.25" r="189" customHeight="1" ht="18.75">
      <c r="A189" s="1"/>
      <c r="B189" s="2"/>
      <c r="C189" s="2"/>
      <c r="D189" s="2"/>
      <c r="E189" s="2"/>
      <c r="F189" s="2"/>
      <c r="G189" s="1"/>
      <c r="H189" s="1"/>
      <c r="I189" s="7">
        <v>0.186</v>
      </c>
      <c r="J189" s="7">
        <f>IF((I189-ROUNDDOWN(I189,0))=0, 0, (I189-ROUNDDOWN(I189,0)))</f>
      </c>
      <c r="K189" s="7">
        <f>INDIRECT("C$"&amp;2+MIN(2,ROUNDDOWN(I189,0))*3)*(-$J189^3+3*$J189^2-3*$J189+1)+INDIRECT("C$"&amp;3+MIN(2,ROUNDDOWN(I189,0))*3)*(3*$J189^3-6*$J189^2+3*$J189)+INDIRECT("C$"&amp;4+MIN(2,ROUNDDOWN(I189,0))*3)*(-3*$J189^3+3*$J189^2)+INDIRECT("C$"&amp;5+MIN(2,ROUNDDOWN(I189,0))*3)*$J189^3</f>
      </c>
      <c r="L189" s="7">
        <f>INDIRECT("D$"&amp;2+MIN(2,ROUNDDOWN(I189,0))*3)*(-$J189^3+3*$J189^2-3*$J189+1)+INDIRECT("D$"&amp;3+MIN(2,ROUNDDOWN(I189,0))*3)*(3*$J189^3-6*$J189^2+3*$J189)+INDIRECT("D$"&amp;4+MIN(2,ROUNDDOWN(I189,0))*3)*(-3*$J189^3+3*$J189^2)+INDIRECT("D$"&amp;5+MIN(2,ROUNDDOWN(I189,0))*3)*$J189^3</f>
      </c>
      <c r="M189" s="7">
        <f>SQRT(K189^2+L189^2)</f>
      </c>
      <c r="N189" s="7">
        <f>(K190-K188)</f>
      </c>
      <c r="O189" s="7">
        <f>+(L190-L188)</f>
      </c>
      <c r="P189" s="7">
        <f>SQRT(O189^2+N189^2)</f>
      </c>
      <c r="Q189" s="7">
        <f>N189/$P189</f>
      </c>
      <c r="R189" s="7">
        <f>O189/$P189</f>
      </c>
      <c r="S189" s="8">
        <f>Q189^2+R189^2</f>
      </c>
      <c r="T189" s="7">
        <f>-R189</f>
      </c>
      <c r="U189" s="7">
        <f>Q189</f>
      </c>
      <c r="V189" s="7">
        <f>($C$14+($C$15-$C$14)/($D$15-$D$14)*(I189-$D$14))/2</f>
      </c>
      <c r="W189" s="7">
        <f>($B$22*I189^4+$C$22*I189^3+$D$22*I189^2+$E$22*I189+$F$22)/2</f>
      </c>
      <c r="X189" s="7">
        <f>($W189)*(T189)</f>
      </c>
      <c r="Y189" s="7">
        <f>($W189)*(U189)</f>
      </c>
      <c r="Z189" s="7">
        <f>SQRT(X189^2+Y189^2)</f>
      </c>
      <c r="AA189" s="7">
        <f>$K189+$X189</f>
      </c>
      <c r="AB189" s="7">
        <f>$L189+$Y189</f>
      </c>
      <c r="AC189" s="7">
        <f>$K189-$X189</f>
      </c>
      <c r="AD189" s="7">
        <f>$L189-$Y189</f>
      </c>
      <c r="AE189" s="7">
        <f>AA189/39.3701</f>
      </c>
      <c r="AF189" s="7">
        <f>AB189/39.3701</f>
      </c>
      <c r="AG189" s="7">
        <f>AC189/39.3701</f>
      </c>
      <c r="AH189" s="7">
        <f>AD189/39.3701</f>
      </c>
      <c r="AI189" s="1"/>
      <c r="AJ189" s="1"/>
      <c r="AK189" s="1"/>
      <c r="AL189" s="1"/>
      <c r="AM189" s="2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</row>
    <row x14ac:dyDescent="0.25" r="190" customHeight="1" ht="18.75">
      <c r="A190" s="1"/>
      <c r="B190" s="2"/>
      <c r="C190" s="2"/>
      <c r="D190" s="2"/>
      <c r="E190" s="2"/>
      <c r="F190" s="2"/>
      <c r="G190" s="1"/>
      <c r="H190" s="1"/>
      <c r="I190" s="7">
        <v>0.187</v>
      </c>
      <c r="J190" s="7">
        <f>IF((I190-ROUNDDOWN(I190,0))=0, 0, (I190-ROUNDDOWN(I190,0)))</f>
      </c>
      <c r="K190" s="7">
        <f>INDIRECT("C$"&amp;2+MIN(2,ROUNDDOWN(I190,0))*3)*(-$J190^3+3*$J190^2-3*$J190+1)+INDIRECT("C$"&amp;3+MIN(2,ROUNDDOWN(I190,0))*3)*(3*$J190^3-6*$J190^2+3*$J190)+INDIRECT("C$"&amp;4+MIN(2,ROUNDDOWN(I190,0))*3)*(-3*$J190^3+3*$J190^2)+INDIRECT("C$"&amp;5+MIN(2,ROUNDDOWN(I190,0))*3)*$J190^3</f>
      </c>
      <c r="L190" s="7">
        <f>INDIRECT("D$"&amp;2+MIN(2,ROUNDDOWN(I190,0))*3)*(-$J190^3+3*$J190^2-3*$J190+1)+INDIRECT("D$"&amp;3+MIN(2,ROUNDDOWN(I190,0))*3)*(3*$J190^3-6*$J190^2+3*$J190)+INDIRECT("D$"&amp;4+MIN(2,ROUNDDOWN(I190,0))*3)*(-3*$J190^3+3*$J190^2)+INDIRECT("D$"&amp;5+MIN(2,ROUNDDOWN(I190,0))*3)*$J190^3</f>
      </c>
      <c r="M190" s="7">
        <f>SQRT(K190^2+L190^2)</f>
      </c>
      <c r="N190" s="7">
        <f>(K191-K189)</f>
      </c>
      <c r="O190" s="7">
        <f>+(L191-L189)</f>
      </c>
      <c r="P190" s="7">
        <f>SQRT(O190^2+N190^2)</f>
      </c>
      <c r="Q190" s="7">
        <f>N190/$P190</f>
      </c>
      <c r="R190" s="7">
        <f>O190/$P190</f>
      </c>
      <c r="S190" s="8">
        <f>Q190^2+R190^2</f>
      </c>
      <c r="T190" s="7">
        <f>-R190</f>
      </c>
      <c r="U190" s="7">
        <f>Q190</f>
      </c>
      <c r="V190" s="7">
        <f>($C$14+($C$15-$C$14)/($D$15-$D$14)*(I190-$D$14))/2</f>
      </c>
      <c r="W190" s="7">
        <f>($B$22*I190^4+$C$22*I190^3+$D$22*I190^2+$E$22*I190+$F$22)/2</f>
      </c>
      <c r="X190" s="7">
        <f>($W190)*(T190)</f>
      </c>
      <c r="Y190" s="7">
        <f>($W190)*(U190)</f>
      </c>
      <c r="Z190" s="7">
        <f>SQRT(X190^2+Y190^2)</f>
      </c>
      <c r="AA190" s="7">
        <f>$K190+$X190</f>
      </c>
      <c r="AB190" s="7">
        <f>$L190+$Y190</f>
      </c>
      <c r="AC190" s="7">
        <f>$K190-$X190</f>
      </c>
      <c r="AD190" s="7">
        <f>$L190-$Y190</f>
      </c>
      <c r="AE190" s="7">
        <f>AA190/39.3701</f>
      </c>
      <c r="AF190" s="7">
        <f>AB190/39.3701</f>
      </c>
      <c r="AG190" s="7">
        <f>AC190/39.3701</f>
      </c>
      <c r="AH190" s="7">
        <f>AD190/39.3701</f>
      </c>
      <c r="AI190" s="1"/>
      <c r="AJ190" s="1"/>
      <c r="AK190" s="1"/>
      <c r="AL190" s="1"/>
      <c r="AM190" s="2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</row>
    <row x14ac:dyDescent="0.25" r="191" customHeight="1" ht="18.75">
      <c r="A191" s="1"/>
      <c r="B191" s="2"/>
      <c r="C191" s="2"/>
      <c r="D191" s="2"/>
      <c r="E191" s="2"/>
      <c r="F191" s="2"/>
      <c r="G191" s="1"/>
      <c r="H191" s="1"/>
      <c r="I191" s="7">
        <v>0.188</v>
      </c>
      <c r="J191" s="7">
        <f>IF((I191-ROUNDDOWN(I191,0))=0, 0, (I191-ROUNDDOWN(I191,0)))</f>
      </c>
      <c r="K191" s="7">
        <f>INDIRECT("C$"&amp;2+MIN(2,ROUNDDOWN(I191,0))*3)*(-$J191^3+3*$J191^2-3*$J191+1)+INDIRECT("C$"&amp;3+MIN(2,ROUNDDOWN(I191,0))*3)*(3*$J191^3-6*$J191^2+3*$J191)+INDIRECT("C$"&amp;4+MIN(2,ROUNDDOWN(I191,0))*3)*(-3*$J191^3+3*$J191^2)+INDIRECT("C$"&amp;5+MIN(2,ROUNDDOWN(I191,0))*3)*$J191^3</f>
      </c>
      <c r="L191" s="7">
        <f>INDIRECT("D$"&amp;2+MIN(2,ROUNDDOWN(I191,0))*3)*(-$J191^3+3*$J191^2-3*$J191+1)+INDIRECT("D$"&amp;3+MIN(2,ROUNDDOWN(I191,0))*3)*(3*$J191^3-6*$J191^2+3*$J191)+INDIRECT("D$"&amp;4+MIN(2,ROUNDDOWN(I191,0))*3)*(-3*$J191^3+3*$J191^2)+INDIRECT("D$"&amp;5+MIN(2,ROUNDDOWN(I191,0))*3)*$J191^3</f>
      </c>
      <c r="M191" s="7">
        <f>SQRT(K191^2+L191^2)</f>
      </c>
      <c r="N191" s="7">
        <f>(K192-K190)</f>
      </c>
      <c r="O191" s="7">
        <f>+(L192-L190)</f>
      </c>
      <c r="P191" s="7">
        <f>SQRT(O191^2+N191^2)</f>
      </c>
      <c r="Q191" s="7">
        <f>N191/$P191</f>
      </c>
      <c r="R191" s="7">
        <f>O191/$P191</f>
      </c>
      <c r="S191" s="8">
        <f>Q191^2+R191^2</f>
      </c>
      <c r="T191" s="7">
        <f>-R191</f>
      </c>
      <c r="U191" s="7">
        <f>Q191</f>
      </c>
      <c r="V191" s="7">
        <f>($C$14+($C$15-$C$14)/($D$15-$D$14)*(I191-$D$14))/2</f>
      </c>
      <c r="W191" s="7">
        <f>($B$22*I191^4+$C$22*I191^3+$D$22*I191^2+$E$22*I191+$F$22)/2</f>
      </c>
      <c r="X191" s="7">
        <f>($W191)*(T191)</f>
      </c>
      <c r="Y191" s="7">
        <f>($W191)*(U191)</f>
      </c>
      <c r="Z191" s="7">
        <f>SQRT(X191^2+Y191^2)</f>
      </c>
      <c r="AA191" s="7">
        <f>$K191+$X191</f>
      </c>
      <c r="AB191" s="7">
        <f>$L191+$Y191</f>
      </c>
      <c r="AC191" s="7">
        <f>$K191-$X191</f>
      </c>
      <c r="AD191" s="7">
        <f>$L191-$Y191</f>
      </c>
      <c r="AE191" s="7">
        <f>AA191/39.3701</f>
      </c>
      <c r="AF191" s="7">
        <f>AB191/39.3701</f>
      </c>
      <c r="AG191" s="7">
        <f>AC191/39.3701</f>
      </c>
      <c r="AH191" s="7">
        <f>AD191/39.3701</f>
      </c>
      <c r="AI191" s="1"/>
      <c r="AJ191" s="1"/>
      <c r="AK191" s="1"/>
      <c r="AL191" s="1"/>
      <c r="AM191" s="2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</row>
    <row x14ac:dyDescent="0.25" r="192" customHeight="1" ht="18.75">
      <c r="A192" s="1"/>
      <c r="B192" s="2"/>
      <c r="C192" s="2"/>
      <c r="D192" s="2"/>
      <c r="E192" s="2"/>
      <c r="F192" s="2"/>
      <c r="G192" s="1"/>
      <c r="H192" s="1"/>
      <c r="I192" s="7">
        <v>0.189</v>
      </c>
      <c r="J192" s="7">
        <f>IF((I192-ROUNDDOWN(I192,0))=0, 0, (I192-ROUNDDOWN(I192,0)))</f>
      </c>
      <c r="K192" s="7">
        <f>INDIRECT("C$"&amp;2+MIN(2,ROUNDDOWN(I192,0))*3)*(-$J192^3+3*$J192^2-3*$J192+1)+INDIRECT("C$"&amp;3+MIN(2,ROUNDDOWN(I192,0))*3)*(3*$J192^3-6*$J192^2+3*$J192)+INDIRECT("C$"&amp;4+MIN(2,ROUNDDOWN(I192,0))*3)*(-3*$J192^3+3*$J192^2)+INDIRECT("C$"&amp;5+MIN(2,ROUNDDOWN(I192,0))*3)*$J192^3</f>
      </c>
      <c r="L192" s="7">
        <f>INDIRECT("D$"&amp;2+MIN(2,ROUNDDOWN(I192,0))*3)*(-$J192^3+3*$J192^2-3*$J192+1)+INDIRECT("D$"&amp;3+MIN(2,ROUNDDOWN(I192,0))*3)*(3*$J192^3-6*$J192^2+3*$J192)+INDIRECT("D$"&amp;4+MIN(2,ROUNDDOWN(I192,0))*3)*(-3*$J192^3+3*$J192^2)+INDIRECT("D$"&amp;5+MIN(2,ROUNDDOWN(I192,0))*3)*$J192^3</f>
      </c>
      <c r="M192" s="7">
        <f>SQRT(K192^2+L192^2)</f>
      </c>
      <c r="N192" s="7">
        <f>(K193-K191)</f>
      </c>
      <c r="O192" s="7">
        <f>+(L193-L191)</f>
      </c>
      <c r="P192" s="7">
        <f>SQRT(O192^2+N192^2)</f>
      </c>
      <c r="Q192" s="7">
        <f>N192/$P192</f>
      </c>
      <c r="R192" s="7">
        <f>O192/$P192</f>
      </c>
      <c r="S192" s="7">
        <f>Q192^2+R192^2</f>
      </c>
      <c r="T192" s="7">
        <f>-R192</f>
      </c>
      <c r="U192" s="7">
        <f>Q192</f>
      </c>
      <c r="V192" s="7">
        <f>($C$14+($C$15-$C$14)/($D$15-$D$14)*(I192-$D$14))/2</f>
      </c>
      <c r="W192" s="7">
        <f>($B$22*I192^4+$C$22*I192^3+$D$22*I192^2+$E$22*I192+$F$22)/2</f>
      </c>
      <c r="X192" s="7">
        <f>($W192)*(T192)</f>
      </c>
      <c r="Y192" s="7">
        <f>($W192)*(U192)</f>
      </c>
      <c r="Z192" s="7">
        <f>SQRT(X192^2+Y192^2)</f>
      </c>
      <c r="AA192" s="7">
        <f>$K192+$X192</f>
      </c>
      <c r="AB192" s="7">
        <f>$L192+$Y192</f>
      </c>
      <c r="AC192" s="7">
        <f>$K192-$X192</f>
      </c>
      <c r="AD192" s="7">
        <f>$L192-$Y192</f>
      </c>
      <c r="AE192" s="7">
        <f>AA192/39.3701</f>
      </c>
      <c r="AF192" s="7">
        <f>AB192/39.3701</f>
      </c>
      <c r="AG192" s="7">
        <f>AC192/39.3701</f>
      </c>
      <c r="AH192" s="7">
        <f>AD192/39.3701</f>
      </c>
      <c r="AI192" s="1"/>
      <c r="AJ192" s="1"/>
      <c r="AK192" s="1"/>
      <c r="AL192" s="1"/>
      <c r="AM192" s="2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</row>
    <row x14ac:dyDescent="0.25" r="193" customHeight="1" ht="18.75">
      <c r="A193" s="1"/>
      <c r="B193" s="2"/>
      <c r="C193" s="2"/>
      <c r="D193" s="2"/>
      <c r="E193" s="2"/>
      <c r="F193" s="2"/>
      <c r="G193" s="1"/>
      <c r="H193" s="1"/>
      <c r="I193" s="7">
        <v>0.19</v>
      </c>
      <c r="J193" s="7">
        <f>IF((I193-ROUNDDOWN(I193,0))=0, 0, (I193-ROUNDDOWN(I193,0)))</f>
      </c>
      <c r="K193" s="7">
        <f>INDIRECT("C$"&amp;2+MIN(2,ROUNDDOWN(I193,0))*3)*(-$J193^3+3*$J193^2-3*$J193+1)+INDIRECT("C$"&amp;3+MIN(2,ROUNDDOWN(I193,0))*3)*(3*$J193^3-6*$J193^2+3*$J193)+INDIRECT("C$"&amp;4+MIN(2,ROUNDDOWN(I193,0))*3)*(-3*$J193^3+3*$J193^2)+INDIRECT("C$"&amp;5+MIN(2,ROUNDDOWN(I193,0))*3)*$J193^3</f>
      </c>
      <c r="L193" s="7">
        <f>INDIRECT("D$"&amp;2+MIN(2,ROUNDDOWN(I193,0))*3)*(-$J193^3+3*$J193^2-3*$J193+1)+INDIRECT("D$"&amp;3+MIN(2,ROUNDDOWN(I193,0))*3)*(3*$J193^3-6*$J193^2+3*$J193)+INDIRECT("D$"&amp;4+MIN(2,ROUNDDOWN(I193,0))*3)*(-3*$J193^3+3*$J193^2)+INDIRECT("D$"&amp;5+MIN(2,ROUNDDOWN(I193,0))*3)*$J193^3</f>
      </c>
      <c r="M193" s="7">
        <f>SQRT(K193^2+L193^2)</f>
      </c>
      <c r="N193" s="7">
        <f>(K194-K192)</f>
      </c>
      <c r="O193" s="7">
        <f>+(L194-L192)</f>
      </c>
      <c r="P193" s="7">
        <f>SQRT(O193^2+N193^2)</f>
      </c>
      <c r="Q193" s="7">
        <f>N193/$P193</f>
      </c>
      <c r="R193" s="7">
        <f>O193/$P193</f>
      </c>
      <c r="S193" s="7">
        <f>Q193^2+R193^2</f>
      </c>
      <c r="T193" s="7">
        <f>-R193</f>
      </c>
      <c r="U193" s="7">
        <f>Q193</f>
      </c>
      <c r="V193" s="7">
        <f>($C$14+($C$15-$C$14)/($D$15-$D$14)*(I193-$D$14))/2</f>
      </c>
      <c r="W193" s="7">
        <f>($B$22*I193^4+$C$22*I193^3+$D$22*I193^2+$E$22*I193+$F$22)/2</f>
      </c>
      <c r="X193" s="7">
        <f>($W193)*(T193)</f>
      </c>
      <c r="Y193" s="7">
        <f>($W193)*(U193)</f>
      </c>
      <c r="Z193" s="7">
        <f>SQRT(X193^2+Y193^2)</f>
      </c>
      <c r="AA193" s="7">
        <f>$K193+$X193</f>
      </c>
      <c r="AB193" s="7">
        <f>$L193+$Y193</f>
      </c>
      <c r="AC193" s="7">
        <f>$K193-$X193</f>
      </c>
      <c r="AD193" s="7">
        <f>$L193-$Y193</f>
      </c>
      <c r="AE193" s="7">
        <f>AA193/39.3701</f>
      </c>
      <c r="AF193" s="7">
        <f>AB193/39.3701</f>
      </c>
      <c r="AG193" s="7">
        <f>AC193/39.3701</f>
      </c>
      <c r="AH193" s="7">
        <f>AD193/39.3701</f>
      </c>
      <c r="AI193" s="1"/>
      <c r="AJ193" s="1"/>
      <c r="AK193" s="1"/>
      <c r="AL193" s="1"/>
      <c r="AM193" s="2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</row>
    <row x14ac:dyDescent="0.25" r="194" customHeight="1" ht="18.75">
      <c r="A194" s="1"/>
      <c r="B194" s="2"/>
      <c r="C194" s="2"/>
      <c r="D194" s="2"/>
      <c r="E194" s="2"/>
      <c r="F194" s="2"/>
      <c r="G194" s="1"/>
      <c r="H194" s="1"/>
      <c r="I194" s="7">
        <v>0.191</v>
      </c>
      <c r="J194" s="7">
        <f>IF((I194-ROUNDDOWN(I194,0))=0, 0, (I194-ROUNDDOWN(I194,0)))</f>
      </c>
      <c r="K194" s="7">
        <f>INDIRECT("C$"&amp;2+MIN(2,ROUNDDOWN(I194,0))*3)*(-$J194^3+3*$J194^2-3*$J194+1)+INDIRECT("C$"&amp;3+MIN(2,ROUNDDOWN(I194,0))*3)*(3*$J194^3-6*$J194^2+3*$J194)+INDIRECT("C$"&amp;4+MIN(2,ROUNDDOWN(I194,0))*3)*(-3*$J194^3+3*$J194^2)+INDIRECT("C$"&amp;5+MIN(2,ROUNDDOWN(I194,0))*3)*$J194^3</f>
      </c>
      <c r="L194" s="7">
        <f>INDIRECT("D$"&amp;2+MIN(2,ROUNDDOWN(I194,0))*3)*(-$J194^3+3*$J194^2-3*$J194+1)+INDIRECT("D$"&amp;3+MIN(2,ROUNDDOWN(I194,0))*3)*(3*$J194^3-6*$J194^2+3*$J194)+INDIRECT("D$"&amp;4+MIN(2,ROUNDDOWN(I194,0))*3)*(-3*$J194^3+3*$J194^2)+INDIRECT("D$"&amp;5+MIN(2,ROUNDDOWN(I194,0))*3)*$J194^3</f>
      </c>
      <c r="M194" s="7">
        <f>SQRT(K194^2+L194^2)</f>
      </c>
      <c r="N194" s="7">
        <f>(K195-K193)</f>
      </c>
      <c r="O194" s="7">
        <f>+(L195-L193)</f>
      </c>
      <c r="P194" s="7">
        <f>SQRT(O194^2+N194^2)</f>
      </c>
      <c r="Q194" s="7">
        <f>N194/$P194</f>
      </c>
      <c r="R194" s="7">
        <f>O194/$P194</f>
      </c>
      <c r="S194" s="7">
        <f>Q194^2+R194^2</f>
      </c>
      <c r="T194" s="7">
        <f>-R194</f>
      </c>
      <c r="U194" s="7">
        <f>Q194</f>
      </c>
      <c r="V194" s="7">
        <f>($C$14+($C$15-$C$14)/($D$15-$D$14)*(I194-$D$14))/2</f>
      </c>
      <c r="W194" s="7">
        <f>($B$22*I194^4+$C$22*I194^3+$D$22*I194^2+$E$22*I194+$F$22)/2</f>
      </c>
      <c r="X194" s="7">
        <f>($W194)*(T194)</f>
      </c>
      <c r="Y194" s="7">
        <f>($W194)*(U194)</f>
      </c>
      <c r="Z194" s="7">
        <f>SQRT(X194^2+Y194^2)</f>
      </c>
      <c r="AA194" s="7">
        <f>$K194+$X194</f>
      </c>
      <c r="AB194" s="7">
        <f>$L194+$Y194</f>
      </c>
      <c r="AC194" s="7">
        <f>$K194-$X194</f>
      </c>
      <c r="AD194" s="7">
        <f>$L194-$Y194</f>
      </c>
      <c r="AE194" s="7">
        <f>AA194/39.3701</f>
      </c>
      <c r="AF194" s="7">
        <f>AB194/39.3701</f>
      </c>
      <c r="AG194" s="7">
        <f>AC194/39.3701</f>
      </c>
      <c r="AH194" s="7">
        <f>AD194/39.3701</f>
      </c>
      <c r="AI194" s="1"/>
      <c r="AJ194" s="1"/>
      <c r="AK194" s="1"/>
      <c r="AL194" s="1"/>
      <c r="AM194" s="2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</row>
    <row x14ac:dyDescent="0.25" r="195" customHeight="1" ht="18.75">
      <c r="A195" s="1"/>
      <c r="B195" s="2"/>
      <c r="C195" s="2"/>
      <c r="D195" s="2"/>
      <c r="E195" s="2"/>
      <c r="F195" s="2"/>
      <c r="G195" s="1"/>
      <c r="H195" s="1"/>
      <c r="I195" s="7">
        <v>0.192</v>
      </c>
      <c r="J195" s="7">
        <f>IF((I195-ROUNDDOWN(I195,0))=0, 0, (I195-ROUNDDOWN(I195,0)))</f>
      </c>
      <c r="K195" s="7">
        <f>INDIRECT("C$"&amp;2+MIN(2,ROUNDDOWN(I195,0))*3)*(-$J195^3+3*$J195^2-3*$J195+1)+INDIRECT("C$"&amp;3+MIN(2,ROUNDDOWN(I195,0))*3)*(3*$J195^3-6*$J195^2+3*$J195)+INDIRECT("C$"&amp;4+MIN(2,ROUNDDOWN(I195,0))*3)*(-3*$J195^3+3*$J195^2)+INDIRECT("C$"&amp;5+MIN(2,ROUNDDOWN(I195,0))*3)*$J195^3</f>
      </c>
      <c r="L195" s="7">
        <f>INDIRECT("D$"&amp;2+MIN(2,ROUNDDOWN(I195,0))*3)*(-$J195^3+3*$J195^2-3*$J195+1)+INDIRECT("D$"&amp;3+MIN(2,ROUNDDOWN(I195,0))*3)*(3*$J195^3-6*$J195^2+3*$J195)+INDIRECT("D$"&amp;4+MIN(2,ROUNDDOWN(I195,0))*3)*(-3*$J195^3+3*$J195^2)+INDIRECT("D$"&amp;5+MIN(2,ROUNDDOWN(I195,0))*3)*$J195^3</f>
      </c>
      <c r="M195" s="7">
        <f>SQRT(K195^2+L195^2)</f>
      </c>
      <c r="N195" s="7">
        <f>(K196-K194)</f>
      </c>
      <c r="O195" s="7">
        <f>+(L196-L194)</f>
      </c>
      <c r="P195" s="7">
        <f>SQRT(O195^2+N195^2)</f>
      </c>
      <c r="Q195" s="7">
        <f>N195/$P195</f>
      </c>
      <c r="R195" s="7">
        <f>O195/$P195</f>
      </c>
      <c r="S195" s="7">
        <f>Q195^2+R195^2</f>
      </c>
      <c r="T195" s="7">
        <f>-R195</f>
      </c>
      <c r="U195" s="7">
        <f>Q195</f>
      </c>
      <c r="V195" s="7">
        <f>($C$14+($C$15-$C$14)/($D$15-$D$14)*(I195-$D$14))/2</f>
      </c>
      <c r="W195" s="7">
        <f>($B$22*I195^4+$C$22*I195^3+$D$22*I195^2+$E$22*I195+$F$22)/2</f>
      </c>
      <c r="X195" s="7">
        <f>($W195)*(T195)</f>
      </c>
      <c r="Y195" s="7">
        <f>($W195)*(U195)</f>
      </c>
      <c r="Z195" s="7">
        <f>SQRT(X195^2+Y195^2)</f>
      </c>
      <c r="AA195" s="7">
        <f>$K195+$X195</f>
      </c>
      <c r="AB195" s="7">
        <f>$L195+$Y195</f>
      </c>
      <c r="AC195" s="7">
        <f>$K195-$X195</f>
      </c>
      <c r="AD195" s="7">
        <f>$L195-$Y195</f>
      </c>
      <c r="AE195" s="7">
        <f>AA195/39.3701</f>
      </c>
      <c r="AF195" s="7">
        <f>AB195/39.3701</f>
      </c>
      <c r="AG195" s="7">
        <f>AC195/39.3701</f>
      </c>
      <c r="AH195" s="7">
        <f>AD195/39.3701</f>
      </c>
      <c r="AI195" s="1"/>
      <c r="AJ195" s="1"/>
      <c r="AK195" s="1"/>
      <c r="AL195" s="1"/>
      <c r="AM195" s="2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</row>
    <row x14ac:dyDescent="0.25" r="196" customHeight="1" ht="18.75">
      <c r="A196" s="1"/>
      <c r="B196" s="2"/>
      <c r="C196" s="2"/>
      <c r="D196" s="2"/>
      <c r="E196" s="2"/>
      <c r="F196" s="2"/>
      <c r="G196" s="1"/>
      <c r="H196" s="1"/>
      <c r="I196" s="7">
        <v>0.193</v>
      </c>
      <c r="J196" s="7">
        <f>IF((I196-ROUNDDOWN(I196,0))=0, 0, (I196-ROUNDDOWN(I196,0)))</f>
      </c>
      <c r="K196" s="7">
        <f>INDIRECT("C$"&amp;2+MIN(2,ROUNDDOWN(I196,0))*3)*(-$J196^3+3*$J196^2-3*$J196+1)+INDIRECT("C$"&amp;3+MIN(2,ROUNDDOWN(I196,0))*3)*(3*$J196^3-6*$J196^2+3*$J196)+INDIRECT("C$"&amp;4+MIN(2,ROUNDDOWN(I196,0))*3)*(-3*$J196^3+3*$J196^2)+INDIRECT("C$"&amp;5+MIN(2,ROUNDDOWN(I196,0))*3)*$J196^3</f>
      </c>
      <c r="L196" s="7">
        <f>INDIRECT("D$"&amp;2+MIN(2,ROUNDDOWN(I196,0))*3)*(-$J196^3+3*$J196^2-3*$J196+1)+INDIRECT("D$"&amp;3+MIN(2,ROUNDDOWN(I196,0))*3)*(3*$J196^3-6*$J196^2+3*$J196)+INDIRECT("D$"&amp;4+MIN(2,ROUNDDOWN(I196,0))*3)*(-3*$J196^3+3*$J196^2)+INDIRECT("D$"&amp;5+MIN(2,ROUNDDOWN(I196,0))*3)*$J196^3</f>
      </c>
      <c r="M196" s="7">
        <f>SQRT(K196^2+L196^2)</f>
      </c>
      <c r="N196" s="7">
        <f>(K197-K195)</f>
      </c>
      <c r="O196" s="7">
        <f>+(L197-L195)</f>
      </c>
      <c r="P196" s="7">
        <f>SQRT(O196^2+N196^2)</f>
      </c>
      <c r="Q196" s="7">
        <f>N196/$P196</f>
      </c>
      <c r="R196" s="7">
        <f>O196/$P196</f>
      </c>
      <c r="S196" s="8">
        <f>Q196^2+R196^2</f>
      </c>
      <c r="T196" s="7">
        <f>-R196</f>
      </c>
      <c r="U196" s="7">
        <f>Q196</f>
      </c>
      <c r="V196" s="7">
        <f>($C$14+($C$15-$C$14)/($D$15-$D$14)*(I196-$D$14))/2</f>
      </c>
      <c r="W196" s="7">
        <f>($B$22*I196^4+$C$22*I196^3+$D$22*I196^2+$E$22*I196+$F$22)/2</f>
      </c>
      <c r="X196" s="7">
        <f>($W196)*(T196)</f>
      </c>
      <c r="Y196" s="7">
        <f>($W196)*(U196)</f>
      </c>
      <c r="Z196" s="7">
        <f>SQRT(X196^2+Y196^2)</f>
      </c>
      <c r="AA196" s="7">
        <f>$K196+$X196</f>
      </c>
      <c r="AB196" s="7">
        <f>$L196+$Y196</f>
      </c>
      <c r="AC196" s="7">
        <f>$K196-$X196</f>
      </c>
      <c r="AD196" s="7">
        <f>$L196-$Y196</f>
      </c>
      <c r="AE196" s="7">
        <f>AA196/39.3701</f>
      </c>
      <c r="AF196" s="7">
        <f>AB196/39.3701</f>
      </c>
      <c r="AG196" s="7">
        <f>AC196/39.3701</f>
      </c>
      <c r="AH196" s="7">
        <f>AD196/39.3701</f>
      </c>
      <c r="AI196" s="1"/>
      <c r="AJ196" s="1"/>
      <c r="AK196" s="1"/>
      <c r="AL196" s="1"/>
      <c r="AM196" s="2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</row>
    <row x14ac:dyDescent="0.25" r="197" customHeight="1" ht="18.75">
      <c r="A197" s="1"/>
      <c r="B197" s="2"/>
      <c r="C197" s="2"/>
      <c r="D197" s="2"/>
      <c r="E197" s="2"/>
      <c r="F197" s="2"/>
      <c r="G197" s="1"/>
      <c r="H197" s="1"/>
      <c r="I197" s="7">
        <v>0.194</v>
      </c>
      <c r="J197" s="7">
        <f>IF((I197-ROUNDDOWN(I197,0))=0, 0, (I197-ROUNDDOWN(I197,0)))</f>
      </c>
      <c r="K197" s="7">
        <f>INDIRECT("C$"&amp;2+MIN(2,ROUNDDOWN(I197,0))*3)*(-$J197^3+3*$J197^2-3*$J197+1)+INDIRECT("C$"&amp;3+MIN(2,ROUNDDOWN(I197,0))*3)*(3*$J197^3-6*$J197^2+3*$J197)+INDIRECT("C$"&amp;4+MIN(2,ROUNDDOWN(I197,0))*3)*(-3*$J197^3+3*$J197^2)+INDIRECT("C$"&amp;5+MIN(2,ROUNDDOWN(I197,0))*3)*$J197^3</f>
      </c>
      <c r="L197" s="7">
        <f>INDIRECT("D$"&amp;2+MIN(2,ROUNDDOWN(I197,0))*3)*(-$J197^3+3*$J197^2-3*$J197+1)+INDIRECT("D$"&amp;3+MIN(2,ROUNDDOWN(I197,0))*3)*(3*$J197^3-6*$J197^2+3*$J197)+INDIRECT("D$"&amp;4+MIN(2,ROUNDDOWN(I197,0))*3)*(-3*$J197^3+3*$J197^2)+INDIRECT("D$"&amp;5+MIN(2,ROUNDDOWN(I197,0))*3)*$J197^3</f>
      </c>
      <c r="M197" s="7">
        <f>SQRT(K197^2+L197^2)</f>
      </c>
      <c r="N197" s="7">
        <f>(K198-K196)</f>
      </c>
      <c r="O197" s="7">
        <f>+(L198-L196)</f>
      </c>
      <c r="P197" s="7">
        <f>SQRT(O197^2+N197^2)</f>
      </c>
      <c r="Q197" s="7">
        <f>N197/$P197</f>
      </c>
      <c r="R197" s="7">
        <f>O197/$P197</f>
      </c>
      <c r="S197" s="8">
        <f>Q197^2+R197^2</f>
      </c>
      <c r="T197" s="7">
        <f>-R197</f>
      </c>
      <c r="U197" s="7">
        <f>Q197</f>
      </c>
      <c r="V197" s="7">
        <f>($C$14+($C$15-$C$14)/($D$15-$D$14)*(I197-$D$14))/2</f>
      </c>
      <c r="W197" s="7">
        <f>($B$22*I197^4+$C$22*I197^3+$D$22*I197^2+$E$22*I197+$F$22)/2</f>
      </c>
      <c r="X197" s="7">
        <f>($W197)*(T197)</f>
      </c>
      <c r="Y197" s="7">
        <f>($W197)*(U197)</f>
      </c>
      <c r="Z197" s="7">
        <f>SQRT(X197^2+Y197^2)</f>
      </c>
      <c r="AA197" s="7">
        <f>$K197+$X197</f>
      </c>
      <c r="AB197" s="7">
        <f>$L197+$Y197</f>
      </c>
      <c r="AC197" s="7">
        <f>$K197-$X197</f>
      </c>
      <c r="AD197" s="7">
        <f>$L197-$Y197</f>
      </c>
      <c r="AE197" s="7">
        <f>AA197/39.3701</f>
      </c>
      <c r="AF197" s="7">
        <f>AB197/39.3701</f>
      </c>
      <c r="AG197" s="7">
        <f>AC197/39.3701</f>
      </c>
      <c r="AH197" s="7">
        <f>AD197/39.3701</f>
      </c>
      <c r="AI197" s="1"/>
      <c r="AJ197" s="1"/>
      <c r="AK197" s="1"/>
      <c r="AL197" s="1"/>
      <c r="AM197" s="2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</row>
    <row x14ac:dyDescent="0.25" r="198" customHeight="1" ht="18.75">
      <c r="A198" s="1"/>
      <c r="B198" s="2"/>
      <c r="C198" s="2"/>
      <c r="D198" s="2"/>
      <c r="E198" s="2"/>
      <c r="F198" s="2"/>
      <c r="G198" s="1"/>
      <c r="H198" s="1"/>
      <c r="I198" s="7">
        <v>0.195</v>
      </c>
      <c r="J198" s="7">
        <f>IF((I198-ROUNDDOWN(I198,0))=0, 0, (I198-ROUNDDOWN(I198,0)))</f>
      </c>
      <c r="K198" s="7">
        <f>INDIRECT("C$"&amp;2+MIN(2,ROUNDDOWN(I198,0))*3)*(-$J198^3+3*$J198^2-3*$J198+1)+INDIRECT("C$"&amp;3+MIN(2,ROUNDDOWN(I198,0))*3)*(3*$J198^3-6*$J198^2+3*$J198)+INDIRECT("C$"&amp;4+MIN(2,ROUNDDOWN(I198,0))*3)*(-3*$J198^3+3*$J198^2)+INDIRECT("C$"&amp;5+MIN(2,ROUNDDOWN(I198,0))*3)*$J198^3</f>
      </c>
      <c r="L198" s="7">
        <f>INDIRECT("D$"&amp;2+MIN(2,ROUNDDOWN(I198,0))*3)*(-$J198^3+3*$J198^2-3*$J198+1)+INDIRECT("D$"&amp;3+MIN(2,ROUNDDOWN(I198,0))*3)*(3*$J198^3-6*$J198^2+3*$J198)+INDIRECT("D$"&amp;4+MIN(2,ROUNDDOWN(I198,0))*3)*(-3*$J198^3+3*$J198^2)+INDIRECT("D$"&amp;5+MIN(2,ROUNDDOWN(I198,0))*3)*$J198^3</f>
      </c>
      <c r="M198" s="7">
        <f>SQRT(K198^2+L198^2)</f>
      </c>
      <c r="N198" s="7">
        <f>(K199-K197)</f>
      </c>
      <c r="O198" s="7">
        <f>+(L199-L197)</f>
      </c>
      <c r="P198" s="7">
        <f>SQRT(O198^2+N198^2)</f>
      </c>
      <c r="Q198" s="7">
        <f>N198/$P198</f>
      </c>
      <c r="R198" s="7">
        <f>O198/$P198</f>
      </c>
      <c r="S198" s="7">
        <f>Q198^2+R198^2</f>
      </c>
      <c r="T198" s="7">
        <f>-R198</f>
      </c>
      <c r="U198" s="7">
        <f>Q198</f>
      </c>
      <c r="V198" s="7">
        <f>($C$14+($C$15-$C$14)/($D$15-$D$14)*(I198-$D$14))/2</f>
      </c>
      <c r="W198" s="7">
        <f>($B$22*I198^4+$C$22*I198^3+$D$22*I198^2+$E$22*I198+$F$22)/2</f>
      </c>
      <c r="X198" s="7">
        <f>($W198)*(T198)</f>
      </c>
      <c r="Y198" s="7">
        <f>($W198)*(U198)</f>
      </c>
      <c r="Z198" s="7">
        <f>SQRT(X198^2+Y198^2)</f>
      </c>
      <c r="AA198" s="7">
        <f>$K198+$X198</f>
      </c>
      <c r="AB198" s="7">
        <f>$L198+$Y198</f>
      </c>
      <c r="AC198" s="7">
        <f>$K198-$X198</f>
      </c>
      <c r="AD198" s="7">
        <f>$L198-$Y198</f>
      </c>
      <c r="AE198" s="7">
        <f>AA198/39.3701</f>
      </c>
      <c r="AF198" s="7">
        <f>AB198/39.3701</f>
      </c>
      <c r="AG198" s="7">
        <f>AC198/39.3701</f>
      </c>
      <c r="AH198" s="7">
        <f>AD198/39.3701</f>
      </c>
      <c r="AI198" s="1"/>
      <c r="AJ198" s="1"/>
      <c r="AK198" s="1"/>
      <c r="AL198" s="1"/>
      <c r="AM198" s="2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</row>
    <row x14ac:dyDescent="0.25" r="199" customHeight="1" ht="18.75">
      <c r="A199" s="1"/>
      <c r="B199" s="2"/>
      <c r="C199" s="2"/>
      <c r="D199" s="2"/>
      <c r="E199" s="2"/>
      <c r="F199" s="2"/>
      <c r="G199" s="1"/>
      <c r="H199" s="1"/>
      <c r="I199" s="7">
        <v>0.196</v>
      </c>
      <c r="J199" s="7">
        <f>IF((I199-ROUNDDOWN(I199,0))=0, 0, (I199-ROUNDDOWN(I199,0)))</f>
      </c>
      <c r="K199" s="7">
        <f>INDIRECT("C$"&amp;2+MIN(2,ROUNDDOWN(I199,0))*3)*(-$J199^3+3*$J199^2-3*$J199+1)+INDIRECT("C$"&amp;3+MIN(2,ROUNDDOWN(I199,0))*3)*(3*$J199^3-6*$J199^2+3*$J199)+INDIRECT("C$"&amp;4+MIN(2,ROUNDDOWN(I199,0))*3)*(-3*$J199^3+3*$J199^2)+INDIRECT("C$"&amp;5+MIN(2,ROUNDDOWN(I199,0))*3)*$J199^3</f>
      </c>
      <c r="L199" s="7">
        <f>INDIRECT("D$"&amp;2+MIN(2,ROUNDDOWN(I199,0))*3)*(-$J199^3+3*$J199^2-3*$J199+1)+INDIRECT("D$"&amp;3+MIN(2,ROUNDDOWN(I199,0))*3)*(3*$J199^3-6*$J199^2+3*$J199)+INDIRECT("D$"&amp;4+MIN(2,ROUNDDOWN(I199,0))*3)*(-3*$J199^3+3*$J199^2)+INDIRECT("D$"&amp;5+MIN(2,ROUNDDOWN(I199,0))*3)*$J199^3</f>
      </c>
      <c r="M199" s="7">
        <f>SQRT(K199^2+L199^2)</f>
      </c>
      <c r="N199" s="7">
        <f>(K200-K198)</f>
      </c>
      <c r="O199" s="7">
        <f>+(L200-L198)</f>
      </c>
      <c r="P199" s="7">
        <f>SQRT(O199^2+N199^2)</f>
      </c>
      <c r="Q199" s="7">
        <f>N199/$P199</f>
      </c>
      <c r="R199" s="7">
        <f>O199/$P199</f>
      </c>
      <c r="S199" s="7">
        <f>Q199^2+R199^2</f>
      </c>
      <c r="T199" s="7">
        <f>-R199</f>
      </c>
      <c r="U199" s="7">
        <f>Q199</f>
      </c>
      <c r="V199" s="7">
        <f>($C$14+($C$15-$C$14)/($D$15-$D$14)*(I199-$D$14))/2</f>
      </c>
      <c r="W199" s="7">
        <f>($B$22*I199^4+$C$22*I199^3+$D$22*I199^2+$E$22*I199+$F$22)/2</f>
      </c>
      <c r="X199" s="7">
        <f>($W199)*(T199)</f>
      </c>
      <c r="Y199" s="7">
        <f>($W199)*(U199)</f>
      </c>
      <c r="Z199" s="7">
        <f>SQRT(X199^2+Y199^2)</f>
      </c>
      <c r="AA199" s="7">
        <f>$K199+$X199</f>
      </c>
      <c r="AB199" s="7">
        <f>$L199+$Y199</f>
      </c>
      <c r="AC199" s="7">
        <f>$K199-$X199</f>
      </c>
      <c r="AD199" s="7">
        <f>$L199-$Y199</f>
      </c>
      <c r="AE199" s="7">
        <f>AA199/39.3701</f>
      </c>
      <c r="AF199" s="7">
        <f>AB199/39.3701</f>
      </c>
      <c r="AG199" s="7">
        <f>AC199/39.3701</f>
      </c>
      <c r="AH199" s="7">
        <f>AD199/39.3701</f>
      </c>
      <c r="AI199" s="1"/>
      <c r="AJ199" s="1"/>
      <c r="AK199" s="1"/>
      <c r="AL199" s="1"/>
      <c r="AM199" s="2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</row>
    <row x14ac:dyDescent="0.25" r="200" customHeight="1" ht="18.75">
      <c r="A200" s="1"/>
      <c r="B200" s="2"/>
      <c r="C200" s="2"/>
      <c r="D200" s="2"/>
      <c r="E200" s="2"/>
      <c r="F200" s="2"/>
      <c r="G200" s="1"/>
      <c r="H200" s="1"/>
      <c r="I200" s="7">
        <v>0.197</v>
      </c>
      <c r="J200" s="7">
        <f>IF((I200-ROUNDDOWN(I200,0))=0, 0, (I200-ROUNDDOWN(I200,0)))</f>
      </c>
      <c r="K200" s="7">
        <f>INDIRECT("C$"&amp;2+MIN(2,ROUNDDOWN(I200,0))*3)*(-$J200^3+3*$J200^2-3*$J200+1)+INDIRECT("C$"&amp;3+MIN(2,ROUNDDOWN(I200,0))*3)*(3*$J200^3-6*$J200^2+3*$J200)+INDIRECT("C$"&amp;4+MIN(2,ROUNDDOWN(I200,0))*3)*(-3*$J200^3+3*$J200^2)+INDIRECT("C$"&amp;5+MIN(2,ROUNDDOWN(I200,0))*3)*$J200^3</f>
      </c>
      <c r="L200" s="7">
        <f>INDIRECT("D$"&amp;2+MIN(2,ROUNDDOWN(I200,0))*3)*(-$J200^3+3*$J200^2-3*$J200+1)+INDIRECT("D$"&amp;3+MIN(2,ROUNDDOWN(I200,0))*3)*(3*$J200^3-6*$J200^2+3*$J200)+INDIRECT("D$"&amp;4+MIN(2,ROUNDDOWN(I200,0))*3)*(-3*$J200^3+3*$J200^2)+INDIRECT("D$"&amp;5+MIN(2,ROUNDDOWN(I200,0))*3)*$J200^3</f>
      </c>
      <c r="M200" s="7">
        <f>SQRT(K200^2+L200^2)</f>
      </c>
      <c r="N200" s="7">
        <f>(K201-K199)</f>
      </c>
      <c r="O200" s="7">
        <f>+(L201-L199)</f>
      </c>
      <c r="P200" s="7">
        <f>SQRT(O200^2+N200^2)</f>
      </c>
      <c r="Q200" s="7">
        <f>N200/$P200</f>
      </c>
      <c r="R200" s="7">
        <f>O200/$P200</f>
      </c>
      <c r="S200" s="7">
        <f>Q200^2+R200^2</f>
      </c>
      <c r="T200" s="7">
        <f>-R200</f>
      </c>
      <c r="U200" s="7">
        <f>Q200</f>
      </c>
      <c r="V200" s="7">
        <f>($C$14+($C$15-$C$14)/($D$15-$D$14)*(I200-$D$14))/2</f>
      </c>
      <c r="W200" s="7">
        <f>($B$22*I200^4+$C$22*I200^3+$D$22*I200^2+$E$22*I200+$F$22)/2</f>
      </c>
      <c r="X200" s="7">
        <f>($W200)*(T200)</f>
      </c>
      <c r="Y200" s="7">
        <f>($W200)*(U200)</f>
      </c>
      <c r="Z200" s="7">
        <f>SQRT(X200^2+Y200^2)</f>
      </c>
      <c r="AA200" s="7">
        <f>$K200+$X200</f>
      </c>
      <c r="AB200" s="7">
        <f>$L200+$Y200</f>
      </c>
      <c r="AC200" s="7">
        <f>$K200-$X200</f>
      </c>
      <c r="AD200" s="7">
        <f>$L200-$Y200</f>
      </c>
      <c r="AE200" s="7">
        <f>AA200/39.3701</f>
      </c>
      <c r="AF200" s="7">
        <f>AB200/39.3701</f>
      </c>
      <c r="AG200" s="7">
        <f>AC200/39.3701</f>
      </c>
      <c r="AH200" s="7">
        <f>AD200/39.3701</f>
      </c>
      <c r="AI200" s="1"/>
      <c r="AJ200" s="1"/>
      <c r="AK200" s="1"/>
      <c r="AL200" s="1"/>
      <c r="AM200" s="2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</row>
    <row x14ac:dyDescent="0.25" r="201" customHeight="1" ht="18.75">
      <c r="A201" s="1"/>
      <c r="B201" s="2"/>
      <c r="C201" s="2"/>
      <c r="D201" s="2"/>
      <c r="E201" s="2"/>
      <c r="F201" s="2"/>
      <c r="G201" s="1"/>
      <c r="H201" s="1"/>
      <c r="I201" s="7">
        <v>0.198</v>
      </c>
      <c r="J201" s="7">
        <f>IF((I201-ROUNDDOWN(I201,0))=0, 0, (I201-ROUNDDOWN(I201,0)))</f>
      </c>
      <c r="K201" s="7">
        <f>INDIRECT("C$"&amp;2+MIN(2,ROUNDDOWN(I201,0))*3)*(-$J201^3+3*$J201^2-3*$J201+1)+INDIRECT("C$"&amp;3+MIN(2,ROUNDDOWN(I201,0))*3)*(3*$J201^3-6*$J201^2+3*$J201)+INDIRECT("C$"&amp;4+MIN(2,ROUNDDOWN(I201,0))*3)*(-3*$J201^3+3*$J201^2)+INDIRECT("C$"&amp;5+MIN(2,ROUNDDOWN(I201,0))*3)*$J201^3</f>
      </c>
      <c r="L201" s="7">
        <f>INDIRECT("D$"&amp;2+MIN(2,ROUNDDOWN(I201,0))*3)*(-$J201^3+3*$J201^2-3*$J201+1)+INDIRECT("D$"&amp;3+MIN(2,ROUNDDOWN(I201,0))*3)*(3*$J201^3-6*$J201^2+3*$J201)+INDIRECT("D$"&amp;4+MIN(2,ROUNDDOWN(I201,0))*3)*(-3*$J201^3+3*$J201^2)+INDIRECT("D$"&amp;5+MIN(2,ROUNDDOWN(I201,0))*3)*$J201^3</f>
      </c>
      <c r="M201" s="7">
        <f>SQRT(K201^2+L201^2)</f>
      </c>
      <c r="N201" s="7">
        <f>(K202-K200)</f>
      </c>
      <c r="O201" s="7">
        <f>+(L202-L200)</f>
      </c>
      <c r="P201" s="7">
        <f>SQRT(O201^2+N201^2)</f>
      </c>
      <c r="Q201" s="7">
        <f>N201/$P201</f>
      </c>
      <c r="R201" s="7">
        <f>O201/$P201</f>
      </c>
      <c r="S201" s="7">
        <f>Q201^2+R201^2</f>
      </c>
      <c r="T201" s="7">
        <f>-R201</f>
      </c>
      <c r="U201" s="7">
        <f>Q201</f>
      </c>
      <c r="V201" s="7">
        <f>($C$14+($C$15-$C$14)/($D$15-$D$14)*(I201-$D$14))/2</f>
      </c>
      <c r="W201" s="7">
        <f>($B$22*I201^4+$C$22*I201^3+$D$22*I201^2+$E$22*I201+$F$22)/2</f>
      </c>
      <c r="X201" s="7">
        <f>($W201)*(T201)</f>
      </c>
      <c r="Y201" s="7">
        <f>($W201)*(U201)</f>
      </c>
      <c r="Z201" s="7">
        <f>SQRT(X201^2+Y201^2)</f>
      </c>
      <c r="AA201" s="7">
        <f>$K201+$X201</f>
      </c>
      <c r="AB201" s="7">
        <f>$L201+$Y201</f>
      </c>
      <c r="AC201" s="7">
        <f>$K201-$X201</f>
      </c>
      <c r="AD201" s="7">
        <f>$L201-$Y201</f>
      </c>
      <c r="AE201" s="7">
        <f>AA201/39.3701</f>
      </c>
      <c r="AF201" s="7">
        <f>AB201/39.3701</f>
      </c>
      <c r="AG201" s="7">
        <f>AC201/39.3701</f>
      </c>
      <c r="AH201" s="7">
        <f>AD201/39.3701</f>
      </c>
      <c r="AI201" s="1"/>
      <c r="AJ201" s="1"/>
      <c r="AK201" s="1"/>
      <c r="AL201" s="1"/>
      <c r="AM201" s="2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</row>
    <row x14ac:dyDescent="0.25" r="202" customHeight="1" ht="18.75">
      <c r="A202" s="1"/>
      <c r="B202" s="2"/>
      <c r="C202" s="2"/>
      <c r="D202" s="2"/>
      <c r="E202" s="2"/>
      <c r="F202" s="2"/>
      <c r="G202" s="1"/>
      <c r="H202" s="1"/>
      <c r="I202" s="7">
        <v>0.199</v>
      </c>
      <c r="J202" s="7">
        <f>IF((I202-ROUNDDOWN(I202,0))=0, 0, (I202-ROUNDDOWN(I202,0)))</f>
      </c>
      <c r="K202" s="7">
        <f>INDIRECT("C$"&amp;2+MIN(2,ROUNDDOWN(I202,0))*3)*(-$J202^3+3*$J202^2-3*$J202+1)+INDIRECT("C$"&amp;3+MIN(2,ROUNDDOWN(I202,0))*3)*(3*$J202^3-6*$J202^2+3*$J202)+INDIRECT("C$"&amp;4+MIN(2,ROUNDDOWN(I202,0))*3)*(-3*$J202^3+3*$J202^2)+INDIRECT("C$"&amp;5+MIN(2,ROUNDDOWN(I202,0))*3)*$J202^3</f>
      </c>
      <c r="L202" s="7">
        <f>INDIRECT("D$"&amp;2+MIN(2,ROUNDDOWN(I202,0))*3)*(-$J202^3+3*$J202^2-3*$J202+1)+INDIRECT("D$"&amp;3+MIN(2,ROUNDDOWN(I202,0))*3)*(3*$J202^3-6*$J202^2+3*$J202)+INDIRECT("D$"&amp;4+MIN(2,ROUNDDOWN(I202,0))*3)*(-3*$J202^3+3*$J202^2)+INDIRECT("D$"&amp;5+MIN(2,ROUNDDOWN(I202,0))*3)*$J202^3</f>
      </c>
      <c r="M202" s="7">
        <f>SQRT(K202^2+L202^2)</f>
      </c>
      <c r="N202" s="7">
        <f>(K203-K201)</f>
      </c>
      <c r="O202" s="7">
        <f>+(L203-L201)</f>
      </c>
      <c r="P202" s="7">
        <f>SQRT(O202^2+N202^2)</f>
      </c>
      <c r="Q202" s="7">
        <f>N202/$P202</f>
      </c>
      <c r="R202" s="7">
        <f>O202/$P202</f>
      </c>
      <c r="S202" s="7">
        <f>Q202^2+R202^2</f>
      </c>
      <c r="T202" s="7">
        <f>-R202</f>
      </c>
      <c r="U202" s="7">
        <f>Q202</f>
      </c>
      <c r="V202" s="7">
        <f>($C$14+($C$15-$C$14)/($D$15-$D$14)*(I202-$D$14))/2</f>
      </c>
      <c r="W202" s="7">
        <f>($B$22*I202^4+$C$22*I202^3+$D$22*I202^2+$E$22*I202+$F$22)/2</f>
      </c>
      <c r="X202" s="7">
        <f>($W202)*(T202)</f>
      </c>
      <c r="Y202" s="7">
        <f>($W202)*(U202)</f>
      </c>
      <c r="Z202" s="7">
        <f>SQRT(X202^2+Y202^2)</f>
      </c>
      <c r="AA202" s="7">
        <f>$K202+$X202</f>
      </c>
      <c r="AB202" s="7">
        <f>$L202+$Y202</f>
      </c>
      <c r="AC202" s="7">
        <f>$K202-$X202</f>
      </c>
      <c r="AD202" s="7">
        <f>$L202-$Y202</f>
      </c>
      <c r="AE202" s="7">
        <f>AA202/39.3701</f>
      </c>
      <c r="AF202" s="7">
        <f>AB202/39.3701</f>
      </c>
      <c r="AG202" s="7">
        <f>AC202/39.3701</f>
      </c>
      <c r="AH202" s="7">
        <f>AD202/39.3701</f>
      </c>
      <c r="AI202" s="1"/>
      <c r="AJ202" s="1"/>
      <c r="AK202" s="1"/>
      <c r="AL202" s="1"/>
      <c r="AM202" s="2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</row>
    <row x14ac:dyDescent="0.25" r="203" customHeight="1" ht="18.75">
      <c r="A203" s="1"/>
      <c r="B203" s="2"/>
      <c r="C203" s="2"/>
      <c r="D203" s="2"/>
      <c r="E203" s="2"/>
      <c r="F203" s="2"/>
      <c r="G203" s="1"/>
      <c r="H203" s="1"/>
      <c r="I203" s="7">
        <v>0.2</v>
      </c>
      <c r="J203" s="7">
        <f>IF((I203-ROUNDDOWN(I203,0))=0, 0, (I203-ROUNDDOWN(I203,0)))</f>
      </c>
      <c r="K203" s="7">
        <f>INDIRECT("C$"&amp;2+MIN(2,ROUNDDOWN(I203,0))*3)*(-$J203^3+3*$J203^2-3*$J203+1)+INDIRECT("C$"&amp;3+MIN(2,ROUNDDOWN(I203,0))*3)*(3*$J203^3-6*$J203^2+3*$J203)+INDIRECT("C$"&amp;4+MIN(2,ROUNDDOWN(I203,0))*3)*(-3*$J203^3+3*$J203^2)+INDIRECT("C$"&amp;5+MIN(2,ROUNDDOWN(I203,0))*3)*$J203^3</f>
      </c>
      <c r="L203" s="7">
        <f>INDIRECT("D$"&amp;2+MIN(2,ROUNDDOWN(I203,0))*3)*(-$J203^3+3*$J203^2-3*$J203+1)+INDIRECT("D$"&amp;3+MIN(2,ROUNDDOWN(I203,0))*3)*(3*$J203^3-6*$J203^2+3*$J203)+INDIRECT("D$"&amp;4+MIN(2,ROUNDDOWN(I203,0))*3)*(-3*$J203^3+3*$J203^2)+INDIRECT("D$"&amp;5+MIN(2,ROUNDDOWN(I203,0))*3)*$J203^3</f>
      </c>
      <c r="M203" s="7">
        <f>SQRT(K203^2+L203^2)</f>
      </c>
      <c r="N203" s="7">
        <f>(K204-K202)</f>
      </c>
      <c r="O203" s="7">
        <f>+(L204-L202)</f>
      </c>
      <c r="P203" s="7">
        <f>SQRT(O203^2+N203^2)</f>
      </c>
      <c r="Q203" s="7">
        <f>N203/$P203</f>
      </c>
      <c r="R203" s="7">
        <f>O203/$P203</f>
      </c>
      <c r="S203" s="7">
        <f>Q203^2+R203^2</f>
      </c>
      <c r="T203" s="7">
        <f>-R203</f>
      </c>
      <c r="U203" s="7">
        <f>Q203</f>
      </c>
      <c r="V203" s="7">
        <f>($C$14+($C$15-$C$14)/($D$15-$D$14)*(I203-$D$14))/2</f>
      </c>
      <c r="W203" s="7">
        <f>($B$22*I203^4+$C$22*I203^3+$D$22*I203^2+$E$22*I203+$F$22)/2</f>
      </c>
      <c r="X203" s="7">
        <f>($W203)*(T203)</f>
      </c>
      <c r="Y203" s="7">
        <f>($W203)*(U203)</f>
      </c>
      <c r="Z203" s="7">
        <f>SQRT(X203^2+Y203^2)</f>
      </c>
      <c r="AA203" s="7">
        <f>$K203+$X203</f>
      </c>
      <c r="AB203" s="7">
        <f>$L203+$Y203</f>
      </c>
      <c r="AC203" s="7">
        <f>$K203-$X203</f>
      </c>
      <c r="AD203" s="7">
        <f>$L203-$Y203</f>
      </c>
      <c r="AE203" s="7">
        <f>AA203/39.3701</f>
      </c>
      <c r="AF203" s="7">
        <f>AB203/39.3701</f>
      </c>
      <c r="AG203" s="7">
        <f>AC203/39.3701</f>
      </c>
      <c r="AH203" s="7">
        <f>AD203/39.3701</f>
      </c>
      <c r="AI203" s="1"/>
      <c r="AJ203" s="1"/>
      <c r="AK203" s="1"/>
      <c r="AL203" s="1"/>
      <c r="AM203" s="2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</row>
    <row x14ac:dyDescent="0.25" r="204" customHeight="1" ht="18.75">
      <c r="A204" s="1"/>
      <c r="B204" s="2"/>
      <c r="C204" s="2"/>
      <c r="D204" s="2"/>
      <c r="E204" s="2"/>
      <c r="F204" s="2"/>
      <c r="G204" s="1"/>
      <c r="H204" s="1"/>
      <c r="I204" s="7">
        <v>0.201</v>
      </c>
      <c r="J204" s="7">
        <f>IF((I204-ROUNDDOWN(I204,0))=0, 0, (I204-ROUNDDOWN(I204,0)))</f>
      </c>
      <c r="K204" s="7">
        <f>INDIRECT("C$"&amp;2+MIN(2,ROUNDDOWN(I204,0))*3)*(-$J204^3+3*$J204^2-3*$J204+1)+INDIRECT("C$"&amp;3+MIN(2,ROUNDDOWN(I204,0))*3)*(3*$J204^3-6*$J204^2+3*$J204)+INDIRECT("C$"&amp;4+MIN(2,ROUNDDOWN(I204,0))*3)*(-3*$J204^3+3*$J204^2)+INDIRECT("C$"&amp;5+MIN(2,ROUNDDOWN(I204,0))*3)*$J204^3</f>
      </c>
      <c r="L204" s="7">
        <f>INDIRECT("D$"&amp;2+MIN(2,ROUNDDOWN(I204,0))*3)*(-$J204^3+3*$J204^2-3*$J204+1)+INDIRECT("D$"&amp;3+MIN(2,ROUNDDOWN(I204,0))*3)*(3*$J204^3-6*$J204^2+3*$J204)+INDIRECT("D$"&amp;4+MIN(2,ROUNDDOWN(I204,0))*3)*(-3*$J204^3+3*$J204^2)+INDIRECT("D$"&amp;5+MIN(2,ROUNDDOWN(I204,0))*3)*$J204^3</f>
      </c>
      <c r="M204" s="7">
        <f>SQRT(K204^2+L204^2)</f>
      </c>
      <c r="N204" s="7">
        <f>(K205-K203)</f>
      </c>
      <c r="O204" s="7">
        <f>+(L205-L203)</f>
      </c>
      <c r="P204" s="7">
        <f>SQRT(O204^2+N204^2)</f>
      </c>
      <c r="Q204" s="7">
        <f>N204/$P204</f>
      </c>
      <c r="R204" s="7">
        <f>O204/$P204</f>
      </c>
      <c r="S204" s="8">
        <f>Q204^2+R204^2</f>
      </c>
      <c r="T204" s="7">
        <f>-R204</f>
      </c>
      <c r="U204" s="7">
        <f>Q204</f>
      </c>
      <c r="V204" s="7">
        <f>($C$14+($C$15-$C$14)/($D$15-$D$14)*(I204-$D$14))/2</f>
      </c>
      <c r="W204" s="7">
        <f>($B$22*I204^4+$C$22*I204^3+$D$22*I204^2+$E$22*I204+$F$22)/2</f>
      </c>
      <c r="X204" s="7">
        <f>($W204)*(T204)</f>
      </c>
      <c r="Y204" s="7">
        <f>($W204)*(U204)</f>
      </c>
      <c r="Z204" s="7">
        <f>SQRT(X204^2+Y204^2)</f>
      </c>
      <c r="AA204" s="7">
        <f>$K204+$X204</f>
      </c>
      <c r="AB204" s="7">
        <f>$L204+$Y204</f>
      </c>
      <c r="AC204" s="7">
        <f>$K204-$X204</f>
      </c>
      <c r="AD204" s="7">
        <f>$L204-$Y204</f>
      </c>
      <c r="AE204" s="7">
        <f>AA204/39.3701</f>
      </c>
      <c r="AF204" s="7">
        <f>AB204/39.3701</f>
      </c>
      <c r="AG204" s="7">
        <f>AC204/39.3701</f>
      </c>
      <c r="AH204" s="7">
        <f>AD204/39.3701</f>
      </c>
      <c r="AI204" s="1"/>
      <c r="AJ204" s="1"/>
      <c r="AK204" s="1"/>
      <c r="AL204" s="1"/>
      <c r="AM204" s="2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</row>
    <row x14ac:dyDescent="0.25" r="205" customHeight="1" ht="18.75">
      <c r="A205" s="1"/>
      <c r="B205" s="2"/>
      <c r="C205" s="2"/>
      <c r="D205" s="2"/>
      <c r="E205" s="2"/>
      <c r="F205" s="2"/>
      <c r="G205" s="1"/>
      <c r="H205" s="1"/>
      <c r="I205" s="7">
        <v>0.202</v>
      </c>
      <c r="J205" s="7">
        <f>IF((I205-ROUNDDOWN(I205,0))=0, 0, (I205-ROUNDDOWN(I205,0)))</f>
      </c>
      <c r="K205" s="7">
        <f>INDIRECT("C$"&amp;2+MIN(2,ROUNDDOWN(I205,0))*3)*(-$J205^3+3*$J205^2-3*$J205+1)+INDIRECT("C$"&amp;3+MIN(2,ROUNDDOWN(I205,0))*3)*(3*$J205^3-6*$J205^2+3*$J205)+INDIRECT("C$"&amp;4+MIN(2,ROUNDDOWN(I205,0))*3)*(-3*$J205^3+3*$J205^2)+INDIRECT("C$"&amp;5+MIN(2,ROUNDDOWN(I205,0))*3)*$J205^3</f>
      </c>
      <c r="L205" s="7">
        <f>INDIRECT("D$"&amp;2+MIN(2,ROUNDDOWN(I205,0))*3)*(-$J205^3+3*$J205^2-3*$J205+1)+INDIRECT("D$"&amp;3+MIN(2,ROUNDDOWN(I205,0))*3)*(3*$J205^3-6*$J205^2+3*$J205)+INDIRECT("D$"&amp;4+MIN(2,ROUNDDOWN(I205,0))*3)*(-3*$J205^3+3*$J205^2)+INDIRECT("D$"&amp;5+MIN(2,ROUNDDOWN(I205,0))*3)*$J205^3</f>
      </c>
      <c r="M205" s="7">
        <f>SQRT(K205^2+L205^2)</f>
      </c>
      <c r="N205" s="7">
        <f>(K206-K204)</f>
      </c>
      <c r="O205" s="7">
        <f>+(L206-L204)</f>
      </c>
      <c r="P205" s="7">
        <f>SQRT(O205^2+N205^2)</f>
      </c>
      <c r="Q205" s="7">
        <f>N205/$P205</f>
      </c>
      <c r="R205" s="7">
        <f>O205/$P205</f>
      </c>
      <c r="S205" s="7">
        <f>Q205^2+R205^2</f>
      </c>
      <c r="T205" s="7">
        <f>-R205</f>
      </c>
      <c r="U205" s="7">
        <f>Q205</f>
      </c>
      <c r="V205" s="7">
        <f>($C$14+($C$15-$C$14)/($D$15-$D$14)*(I205-$D$14))/2</f>
      </c>
      <c r="W205" s="7">
        <f>($B$22*I205^4+$C$22*I205^3+$D$22*I205^2+$E$22*I205+$F$22)/2</f>
      </c>
      <c r="X205" s="7">
        <f>($W205)*(T205)</f>
      </c>
      <c r="Y205" s="7">
        <f>($W205)*(U205)</f>
      </c>
      <c r="Z205" s="7">
        <f>SQRT(X205^2+Y205^2)</f>
      </c>
      <c r="AA205" s="7">
        <f>$K205+$X205</f>
      </c>
      <c r="AB205" s="7">
        <f>$L205+$Y205</f>
      </c>
      <c r="AC205" s="7">
        <f>$K205-$X205</f>
      </c>
      <c r="AD205" s="7">
        <f>$L205-$Y205</f>
      </c>
      <c r="AE205" s="7">
        <f>AA205/39.3701</f>
      </c>
      <c r="AF205" s="7">
        <f>AB205/39.3701</f>
      </c>
      <c r="AG205" s="7">
        <f>AC205/39.3701</f>
      </c>
      <c r="AH205" s="7">
        <f>AD205/39.3701</f>
      </c>
      <c r="AI205" s="1"/>
      <c r="AJ205" s="1"/>
      <c r="AK205" s="1"/>
      <c r="AL205" s="1"/>
      <c r="AM205" s="2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</row>
    <row x14ac:dyDescent="0.25" r="206" customHeight="1" ht="18.75">
      <c r="A206" s="1"/>
      <c r="B206" s="2"/>
      <c r="C206" s="2"/>
      <c r="D206" s="2"/>
      <c r="E206" s="2"/>
      <c r="F206" s="2"/>
      <c r="G206" s="1"/>
      <c r="H206" s="1"/>
      <c r="I206" s="7">
        <v>0.203</v>
      </c>
      <c r="J206" s="7">
        <f>IF((I206-ROUNDDOWN(I206,0))=0, 0, (I206-ROUNDDOWN(I206,0)))</f>
      </c>
      <c r="K206" s="7">
        <f>INDIRECT("C$"&amp;2+MIN(2,ROUNDDOWN(I206,0))*3)*(-$J206^3+3*$J206^2-3*$J206+1)+INDIRECT("C$"&amp;3+MIN(2,ROUNDDOWN(I206,0))*3)*(3*$J206^3-6*$J206^2+3*$J206)+INDIRECT("C$"&amp;4+MIN(2,ROUNDDOWN(I206,0))*3)*(-3*$J206^3+3*$J206^2)+INDIRECT("C$"&amp;5+MIN(2,ROUNDDOWN(I206,0))*3)*$J206^3</f>
      </c>
      <c r="L206" s="7">
        <f>INDIRECT("D$"&amp;2+MIN(2,ROUNDDOWN(I206,0))*3)*(-$J206^3+3*$J206^2-3*$J206+1)+INDIRECT("D$"&amp;3+MIN(2,ROUNDDOWN(I206,0))*3)*(3*$J206^3-6*$J206^2+3*$J206)+INDIRECT("D$"&amp;4+MIN(2,ROUNDDOWN(I206,0))*3)*(-3*$J206^3+3*$J206^2)+INDIRECT("D$"&amp;5+MIN(2,ROUNDDOWN(I206,0))*3)*$J206^3</f>
      </c>
      <c r="M206" s="7">
        <f>SQRT(K206^2+L206^2)</f>
      </c>
      <c r="N206" s="7">
        <f>(K207-K205)</f>
      </c>
      <c r="O206" s="7">
        <f>+(L207-L205)</f>
      </c>
      <c r="P206" s="7">
        <f>SQRT(O206^2+N206^2)</f>
      </c>
      <c r="Q206" s="7">
        <f>N206/$P206</f>
      </c>
      <c r="R206" s="7">
        <f>O206/$P206</f>
      </c>
      <c r="S206" s="8">
        <f>Q206^2+R206^2</f>
      </c>
      <c r="T206" s="7">
        <f>-R206</f>
      </c>
      <c r="U206" s="7">
        <f>Q206</f>
      </c>
      <c r="V206" s="7">
        <f>($C$14+($C$15-$C$14)/($D$15-$D$14)*(I206-$D$14))/2</f>
      </c>
      <c r="W206" s="7">
        <f>($B$22*I206^4+$C$22*I206^3+$D$22*I206^2+$E$22*I206+$F$22)/2</f>
      </c>
      <c r="X206" s="7">
        <f>($W206)*(T206)</f>
      </c>
      <c r="Y206" s="7">
        <f>($W206)*(U206)</f>
      </c>
      <c r="Z206" s="7">
        <f>SQRT(X206^2+Y206^2)</f>
      </c>
      <c r="AA206" s="7">
        <f>$K206+$X206</f>
      </c>
      <c r="AB206" s="7">
        <f>$L206+$Y206</f>
      </c>
      <c r="AC206" s="7">
        <f>$K206-$X206</f>
      </c>
      <c r="AD206" s="7">
        <f>$L206-$Y206</f>
      </c>
      <c r="AE206" s="7">
        <f>AA206/39.3701</f>
      </c>
      <c r="AF206" s="7">
        <f>AB206/39.3701</f>
      </c>
      <c r="AG206" s="7">
        <f>AC206/39.3701</f>
      </c>
      <c r="AH206" s="7">
        <f>AD206/39.3701</f>
      </c>
      <c r="AI206" s="1"/>
      <c r="AJ206" s="1"/>
      <c r="AK206" s="1"/>
      <c r="AL206" s="1"/>
      <c r="AM206" s="2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</row>
    <row x14ac:dyDescent="0.25" r="207" customHeight="1" ht="18.75">
      <c r="A207" s="1"/>
      <c r="B207" s="2"/>
      <c r="C207" s="2"/>
      <c r="D207" s="2"/>
      <c r="E207" s="2"/>
      <c r="F207" s="2"/>
      <c r="G207" s="1"/>
      <c r="H207" s="1"/>
      <c r="I207" s="7">
        <v>0.204</v>
      </c>
      <c r="J207" s="7">
        <f>IF((I207-ROUNDDOWN(I207,0))=0, 0, (I207-ROUNDDOWN(I207,0)))</f>
      </c>
      <c r="K207" s="7">
        <f>INDIRECT("C$"&amp;2+MIN(2,ROUNDDOWN(I207,0))*3)*(-$J207^3+3*$J207^2-3*$J207+1)+INDIRECT("C$"&amp;3+MIN(2,ROUNDDOWN(I207,0))*3)*(3*$J207^3-6*$J207^2+3*$J207)+INDIRECT("C$"&amp;4+MIN(2,ROUNDDOWN(I207,0))*3)*(-3*$J207^3+3*$J207^2)+INDIRECT("C$"&amp;5+MIN(2,ROUNDDOWN(I207,0))*3)*$J207^3</f>
      </c>
      <c r="L207" s="7">
        <f>INDIRECT("D$"&amp;2+MIN(2,ROUNDDOWN(I207,0))*3)*(-$J207^3+3*$J207^2-3*$J207+1)+INDIRECT("D$"&amp;3+MIN(2,ROUNDDOWN(I207,0))*3)*(3*$J207^3-6*$J207^2+3*$J207)+INDIRECT("D$"&amp;4+MIN(2,ROUNDDOWN(I207,0))*3)*(-3*$J207^3+3*$J207^2)+INDIRECT("D$"&amp;5+MIN(2,ROUNDDOWN(I207,0))*3)*$J207^3</f>
      </c>
      <c r="M207" s="7">
        <f>SQRT(K207^2+L207^2)</f>
      </c>
      <c r="N207" s="7">
        <f>(K208-K206)</f>
      </c>
      <c r="O207" s="7">
        <f>+(L208-L206)</f>
      </c>
      <c r="P207" s="7">
        <f>SQRT(O207^2+N207^2)</f>
      </c>
      <c r="Q207" s="7">
        <f>N207/$P207</f>
      </c>
      <c r="R207" s="7">
        <f>O207/$P207</f>
      </c>
      <c r="S207" s="8">
        <f>Q207^2+R207^2</f>
      </c>
      <c r="T207" s="7">
        <f>-R207</f>
      </c>
      <c r="U207" s="7">
        <f>Q207</f>
      </c>
      <c r="V207" s="7">
        <f>($C$14+($C$15-$C$14)/($D$15-$D$14)*(I207-$D$14))/2</f>
      </c>
      <c r="W207" s="7">
        <f>($B$22*I207^4+$C$22*I207^3+$D$22*I207^2+$E$22*I207+$F$22)/2</f>
      </c>
      <c r="X207" s="7">
        <f>($W207)*(T207)</f>
      </c>
      <c r="Y207" s="7">
        <f>($W207)*(U207)</f>
      </c>
      <c r="Z207" s="7">
        <f>SQRT(X207^2+Y207^2)</f>
      </c>
      <c r="AA207" s="7">
        <f>$K207+$X207</f>
      </c>
      <c r="AB207" s="7">
        <f>$L207+$Y207</f>
      </c>
      <c r="AC207" s="7">
        <f>$K207-$X207</f>
      </c>
      <c r="AD207" s="7">
        <f>$L207-$Y207</f>
      </c>
      <c r="AE207" s="7">
        <f>AA207/39.3701</f>
      </c>
      <c r="AF207" s="7">
        <f>AB207/39.3701</f>
      </c>
      <c r="AG207" s="7">
        <f>AC207/39.3701</f>
      </c>
      <c r="AH207" s="7">
        <f>AD207/39.3701</f>
      </c>
      <c r="AI207" s="1"/>
      <c r="AJ207" s="1"/>
      <c r="AK207" s="1"/>
      <c r="AL207" s="1"/>
      <c r="AM207" s="2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</row>
    <row x14ac:dyDescent="0.25" r="208" customHeight="1" ht="18.75">
      <c r="A208" s="1"/>
      <c r="B208" s="2"/>
      <c r="C208" s="2"/>
      <c r="D208" s="2"/>
      <c r="E208" s="2"/>
      <c r="F208" s="2"/>
      <c r="G208" s="1"/>
      <c r="H208" s="1"/>
      <c r="I208" s="7">
        <v>0.205</v>
      </c>
      <c r="J208" s="7">
        <f>IF((I208-ROUNDDOWN(I208,0))=0, 0, (I208-ROUNDDOWN(I208,0)))</f>
      </c>
      <c r="K208" s="7">
        <f>INDIRECT("C$"&amp;2+MIN(2,ROUNDDOWN(I208,0))*3)*(-$J208^3+3*$J208^2-3*$J208+1)+INDIRECT("C$"&amp;3+MIN(2,ROUNDDOWN(I208,0))*3)*(3*$J208^3-6*$J208^2+3*$J208)+INDIRECT("C$"&amp;4+MIN(2,ROUNDDOWN(I208,0))*3)*(-3*$J208^3+3*$J208^2)+INDIRECT("C$"&amp;5+MIN(2,ROUNDDOWN(I208,0))*3)*$J208^3</f>
      </c>
      <c r="L208" s="7">
        <f>INDIRECT("D$"&amp;2+MIN(2,ROUNDDOWN(I208,0))*3)*(-$J208^3+3*$J208^2-3*$J208+1)+INDIRECT("D$"&amp;3+MIN(2,ROUNDDOWN(I208,0))*3)*(3*$J208^3-6*$J208^2+3*$J208)+INDIRECT("D$"&amp;4+MIN(2,ROUNDDOWN(I208,0))*3)*(-3*$J208^3+3*$J208^2)+INDIRECT("D$"&amp;5+MIN(2,ROUNDDOWN(I208,0))*3)*$J208^3</f>
      </c>
      <c r="M208" s="7">
        <f>SQRT(K208^2+L208^2)</f>
      </c>
      <c r="N208" s="7">
        <f>(K209-K207)</f>
      </c>
      <c r="O208" s="7">
        <f>+(L209-L207)</f>
      </c>
      <c r="P208" s="7">
        <f>SQRT(O208^2+N208^2)</f>
      </c>
      <c r="Q208" s="7">
        <f>N208/$P208</f>
      </c>
      <c r="R208" s="7">
        <f>O208/$P208</f>
      </c>
      <c r="S208" s="8">
        <f>Q208^2+R208^2</f>
      </c>
      <c r="T208" s="7">
        <f>-R208</f>
      </c>
      <c r="U208" s="7">
        <f>Q208</f>
      </c>
      <c r="V208" s="7">
        <f>($C$14+($C$15-$C$14)/($D$15-$D$14)*(I208-$D$14))/2</f>
      </c>
      <c r="W208" s="7">
        <f>($B$22*I208^4+$C$22*I208^3+$D$22*I208^2+$E$22*I208+$F$22)/2</f>
      </c>
      <c r="X208" s="7">
        <f>($W208)*(T208)</f>
      </c>
      <c r="Y208" s="7">
        <f>($W208)*(U208)</f>
      </c>
      <c r="Z208" s="7">
        <f>SQRT(X208^2+Y208^2)</f>
      </c>
      <c r="AA208" s="7">
        <f>$K208+$X208</f>
      </c>
      <c r="AB208" s="7">
        <f>$L208+$Y208</f>
      </c>
      <c r="AC208" s="7">
        <f>$K208-$X208</f>
      </c>
      <c r="AD208" s="7">
        <f>$L208-$Y208</f>
      </c>
      <c r="AE208" s="7">
        <f>AA208/39.3701</f>
      </c>
      <c r="AF208" s="7">
        <f>AB208/39.3701</f>
      </c>
      <c r="AG208" s="7">
        <f>AC208/39.3701</f>
      </c>
      <c r="AH208" s="7">
        <f>AD208/39.3701</f>
      </c>
      <c r="AI208" s="1"/>
      <c r="AJ208" s="1"/>
      <c r="AK208" s="1"/>
      <c r="AL208" s="1"/>
      <c r="AM208" s="2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</row>
    <row x14ac:dyDescent="0.25" r="209" customHeight="1" ht="18.75">
      <c r="A209" s="1"/>
      <c r="B209" s="2"/>
      <c r="C209" s="2"/>
      <c r="D209" s="2"/>
      <c r="E209" s="2"/>
      <c r="F209" s="2"/>
      <c r="G209" s="1"/>
      <c r="H209" s="1"/>
      <c r="I209" s="7">
        <v>0.206</v>
      </c>
      <c r="J209" s="7">
        <f>IF((I209-ROUNDDOWN(I209,0))=0, 0, (I209-ROUNDDOWN(I209,0)))</f>
      </c>
      <c r="K209" s="7">
        <f>INDIRECT("C$"&amp;2+MIN(2,ROUNDDOWN(I209,0))*3)*(-$J209^3+3*$J209^2-3*$J209+1)+INDIRECT("C$"&amp;3+MIN(2,ROUNDDOWN(I209,0))*3)*(3*$J209^3-6*$J209^2+3*$J209)+INDIRECT("C$"&amp;4+MIN(2,ROUNDDOWN(I209,0))*3)*(-3*$J209^3+3*$J209^2)+INDIRECT("C$"&amp;5+MIN(2,ROUNDDOWN(I209,0))*3)*$J209^3</f>
      </c>
      <c r="L209" s="7">
        <f>INDIRECT("D$"&amp;2+MIN(2,ROUNDDOWN(I209,0))*3)*(-$J209^3+3*$J209^2-3*$J209+1)+INDIRECT("D$"&amp;3+MIN(2,ROUNDDOWN(I209,0))*3)*(3*$J209^3-6*$J209^2+3*$J209)+INDIRECT("D$"&amp;4+MIN(2,ROUNDDOWN(I209,0))*3)*(-3*$J209^3+3*$J209^2)+INDIRECT("D$"&amp;5+MIN(2,ROUNDDOWN(I209,0))*3)*$J209^3</f>
      </c>
      <c r="M209" s="7">
        <f>SQRT(K209^2+L209^2)</f>
      </c>
      <c r="N209" s="7">
        <f>(K210-K208)</f>
      </c>
      <c r="O209" s="7">
        <f>+(L210-L208)</f>
      </c>
      <c r="P209" s="7">
        <f>SQRT(O209^2+N209^2)</f>
      </c>
      <c r="Q209" s="7">
        <f>N209/$P209</f>
      </c>
      <c r="R209" s="7">
        <f>O209/$P209</f>
      </c>
      <c r="S209" s="7">
        <f>Q209^2+R209^2</f>
      </c>
      <c r="T209" s="7">
        <f>-R209</f>
      </c>
      <c r="U209" s="7">
        <f>Q209</f>
      </c>
      <c r="V209" s="7">
        <f>($C$14+($C$15-$C$14)/($D$15-$D$14)*(I209-$D$14))/2</f>
      </c>
      <c r="W209" s="7">
        <f>($B$22*I209^4+$C$22*I209^3+$D$22*I209^2+$E$22*I209+$F$22)/2</f>
      </c>
      <c r="X209" s="7">
        <f>($W209)*(T209)</f>
      </c>
      <c r="Y209" s="7">
        <f>($W209)*(U209)</f>
      </c>
      <c r="Z209" s="7">
        <f>SQRT(X209^2+Y209^2)</f>
      </c>
      <c r="AA209" s="7">
        <f>$K209+$X209</f>
      </c>
      <c r="AB209" s="7">
        <f>$L209+$Y209</f>
      </c>
      <c r="AC209" s="7">
        <f>$K209-$X209</f>
      </c>
      <c r="AD209" s="7">
        <f>$L209-$Y209</f>
      </c>
      <c r="AE209" s="7">
        <f>AA209/39.3701</f>
      </c>
      <c r="AF209" s="7">
        <f>AB209/39.3701</f>
      </c>
      <c r="AG209" s="7">
        <f>AC209/39.3701</f>
      </c>
      <c r="AH209" s="7">
        <f>AD209/39.3701</f>
      </c>
      <c r="AI209" s="1"/>
      <c r="AJ209" s="1"/>
      <c r="AK209" s="1"/>
      <c r="AL209" s="1"/>
      <c r="AM209" s="2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</row>
    <row x14ac:dyDescent="0.25" r="210" customHeight="1" ht="18.75">
      <c r="A210" s="1"/>
      <c r="B210" s="2"/>
      <c r="C210" s="2"/>
      <c r="D210" s="2"/>
      <c r="E210" s="2"/>
      <c r="F210" s="2"/>
      <c r="G210" s="1"/>
      <c r="H210" s="1"/>
      <c r="I210" s="7">
        <v>0.207</v>
      </c>
      <c r="J210" s="7">
        <f>IF((I210-ROUNDDOWN(I210,0))=0, 0, (I210-ROUNDDOWN(I210,0)))</f>
      </c>
      <c r="K210" s="7">
        <f>INDIRECT("C$"&amp;2+MIN(2,ROUNDDOWN(I210,0))*3)*(-$J210^3+3*$J210^2-3*$J210+1)+INDIRECT("C$"&amp;3+MIN(2,ROUNDDOWN(I210,0))*3)*(3*$J210^3-6*$J210^2+3*$J210)+INDIRECT("C$"&amp;4+MIN(2,ROUNDDOWN(I210,0))*3)*(-3*$J210^3+3*$J210^2)+INDIRECT("C$"&amp;5+MIN(2,ROUNDDOWN(I210,0))*3)*$J210^3</f>
      </c>
      <c r="L210" s="7">
        <f>INDIRECT("D$"&amp;2+MIN(2,ROUNDDOWN(I210,0))*3)*(-$J210^3+3*$J210^2-3*$J210+1)+INDIRECT("D$"&amp;3+MIN(2,ROUNDDOWN(I210,0))*3)*(3*$J210^3-6*$J210^2+3*$J210)+INDIRECT("D$"&amp;4+MIN(2,ROUNDDOWN(I210,0))*3)*(-3*$J210^3+3*$J210^2)+INDIRECT("D$"&amp;5+MIN(2,ROUNDDOWN(I210,0))*3)*$J210^3</f>
      </c>
      <c r="M210" s="7">
        <f>SQRT(K210^2+L210^2)</f>
      </c>
      <c r="N210" s="7">
        <f>(K211-K209)</f>
      </c>
      <c r="O210" s="7">
        <f>+(L211-L209)</f>
      </c>
      <c r="P210" s="7">
        <f>SQRT(O210^2+N210^2)</f>
      </c>
      <c r="Q210" s="7">
        <f>N210/$P210</f>
      </c>
      <c r="R210" s="7">
        <f>O210/$P210</f>
      </c>
      <c r="S210" s="7">
        <f>Q210^2+R210^2</f>
      </c>
      <c r="T210" s="7">
        <f>-R210</f>
      </c>
      <c r="U210" s="7">
        <f>Q210</f>
      </c>
      <c r="V210" s="7">
        <f>($C$14+($C$15-$C$14)/($D$15-$D$14)*(I210-$D$14))/2</f>
      </c>
      <c r="W210" s="7">
        <f>($B$22*I210^4+$C$22*I210^3+$D$22*I210^2+$E$22*I210+$F$22)/2</f>
      </c>
      <c r="X210" s="7">
        <f>($W210)*(T210)</f>
      </c>
      <c r="Y210" s="7">
        <f>($W210)*(U210)</f>
      </c>
      <c r="Z210" s="7">
        <f>SQRT(X210^2+Y210^2)</f>
      </c>
      <c r="AA210" s="7">
        <f>$K210+$X210</f>
      </c>
      <c r="AB210" s="7">
        <f>$L210+$Y210</f>
      </c>
      <c r="AC210" s="7">
        <f>$K210-$X210</f>
      </c>
      <c r="AD210" s="7">
        <f>$L210-$Y210</f>
      </c>
      <c r="AE210" s="7">
        <f>AA210/39.3701</f>
      </c>
      <c r="AF210" s="7">
        <f>AB210/39.3701</f>
      </c>
      <c r="AG210" s="7">
        <f>AC210/39.3701</f>
      </c>
      <c r="AH210" s="7">
        <f>AD210/39.3701</f>
      </c>
      <c r="AI210" s="1"/>
      <c r="AJ210" s="1"/>
      <c r="AK210" s="1"/>
      <c r="AL210" s="1"/>
      <c r="AM210" s="2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</row>
    <row x14ac:dyDescent="0.25" r="211" customHeight="1" ht="18.75">
      <c r="A211" s="1"/>
      <c r="B211" s="2"/>
      <c r="C211" s="2"/>
      <c r="D211" s="2"/>
      <c r="E211" s="2"/>
      <c r="F211" s="2"/>
      <c r="G211" s="1"/>
      <c r="H211" s="1"/>
      <c r="I211" s="7">
        <v>0.208</v>
      </c>
      <c r="J211" s="7">
        <f>IF((I211-ROUNDDOWN(I211,0))=0, 0, (I211-ROUNDDOWN(I211,0)))</f>
      </c>
      <c r="K211" s="7">
        <f>INDIRECT("C$"&amp;2+MIN(2,ROUNDDOWN(I211,0))*3)*(-$J211^3+3*$J211^2-3*$J211+1)+INDIRECT("C$"&amp;3+MIN(2,ROUNDDOWN(I211,0))*3)*(3*$J211^3-6*$J211^2+3*$J211)+INDIRECT("C$"&amp;4+MIN(2,ROUNDDOWN(I211,0))*3)*(-3*$J211^3+3*$J211^2)+INDIRECT("C$"&amp;5+MIN(2,ROUNDDOWN(I211,0))*3)*$J211^3</f>
      </c>
      <c r="L211" s="7">
        <f>INDIRECT("D$"&amp;2+MIN(2,ROUNDDOWN(I211,0))*3)*(-$J211^3+3*$J211^2-3*$J211+1)+INDIRECT("D$"&amp;3+MIN(2,ROUNDDOWN(I211,0))*3)*(3*$J211^3-6*$J211^2+3*$J211)+INDIRECT("D$"&amp;4+MIN(2,ROUNDDOWN(I211,0))*3)*(-3*$J211^3+3*$J211^2)+INDIRECT("D$"&amp;5+MIN(2,ROUNDDOWN(I211,0))*3)*$J211^3</f>
      </c>
      <c r="M211" s="7">
        <f>SQRT(K211^2+L211^2)</f>
      </c>
      <c r="N211" s="7">
        <f>(K212-K210)</f>
      </c>
      <c r="O211" s="7">
        <f>+(L212-L210)</f>
      </c>
      <c r="P211" s="7">
        <f>SQRT(O211^2+N211^2)</f>
      </c>
      <c r="Q211" s="7">
        <f>N211/$P211</f>
      </c>
      <c r="R211" s="7">
        <f>O211/$P211</f>
      </c>
      <c r="S211" s="8">
        <f>Q211^2+R211^2</f>
      </c>
      <c r="T211" s="7">
        <f>-R211</f>
      </c>
      <c r="U211" s="7">
        <f>Q211</f>
      </c>
      <c r="V211" s="7">
        <f>($C$14+($C$15-$C$14)/($D$15-$D$14)*(I211-$D$14))/2</f>
      </c>
      <c r="W211" s="7">
        <f>($B$22*I211^4+$C$22*I211^3+$D$22*I211^2+$E$22*I211+$F$22)/2</f>
      </c>
      <c r="X211" s="7">
        <f>($W211)*(T211)</f>
      </c>
      <c r="Y211" s="7">
        <f>($W211)*(U211)</f>
      </c>
      <c r="Z211" s="7">
        <f>SQRT(X211^2+Y211^2)</f>
      </c>
      <c r="AA211" s="7">
        <f>$K211+$X211</f>
      </c>
      <c r="AB211" s="7">
        <f>$L211+$Y211</f>
      </c>
      <c r="AC211" s="7">
        <f>$K211-$X211</f>
      </c>
      <c r="AD211" s="7">
        <f>$L211-$Y211</f>
      </c>
      <c r="AE211" s="7">
        <f>AA211/39.3701</f>
      </c>
      <c r="AF211" s="7">
        <f>AB211/39.3701</f>
      </c>
      <c r="AG211" s="7">
        <f>AC211/39.3701</f>
      </c>
      <c r="AH211" s="7">
        <f>AD211/39.3701</f>
      </c>
      <c r="AI211" s="1"/>
      <c r="AJ211" s="1"/>
      <c r="AK211" s="1"/>
      <c r="AL211" s="1"/>
      <c r="AM211" s="2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</row>
    <row x14ac:dyDescent="0.25" r="212" customHeight="1" ht="18.75">
      <c r="A212" s="1"/>
      <c r="B212" s="2"/>
      <c r="C212" s="2"/>
      <c r="D212" s="2"/>
      <c r="E212" s="2"/>
      <c r="F212" s="2"/>
      <c r="G212" s="1"/>
      <c r="H212" s="1"/>
      <c r="I212" s="7">
        <v>0.209</v>
      </c>
      <c r="J212" s="7">
        <f>IF((I212-ROUNDDOWN(I212,0))=0, 0, (I212-ROUNDDOWN(I212,0)))</f>
      </c>
      <c r="K212" s="7">
        <f>INDIRECT("C$"&amp;2+MIN(2,ROUNDDOWN(I212,0))*3)*(-$J212^3+3*$J212^2-3*$J212+1)+INDIRECT("C$"&amp;3+MIN(2,ROUNDDOWN(I212,0))*3)*(3*$J212^3-6*$J212^2+3*$J212)+INDIRECT("C$"&amp;4+MIN(2,ROUNDDOWN(I212,0))*3)*(-3*$J212^3+3*$J212^2)+INDIRECT("C$"&amp;5+MIN(2,ROUNDDOWN(I212,0))*3)*$J212^3</f>
      </c>
      <c r="L212" s="7">
        <f>INDIRECT("D$"&amp;2+MIN(2,ROUNDDOWN(I212,0))*3)*(-$J212^3+3*$J212^2-3*$J212+1)+INDIRECT("D$"&amp;3+MIN(2,ROUNDDOWN(I212,0))*3)*(3*$J212^3-6*$J212^2+3*$J212)+INDIRECT("D$"&amp;4+MIN(2,ROUNDDOWN(I212,0))*3)*(-3*$J212^3+3*$J212^2)+INDIRECT("D$"&amp;5+MIN(2,ROUNDDOWN(I212,0))*3)*$J212^3</f>
      </c>
      <c r="M212" s="7">
        <f>SQRT(K212^2+L212^2)</f>
      </c>
      <c r="N212" s="7">
        <f>(K213-K211)</f>
      </c>
      <c r="O212" s="7">
        <f>+(L213-L211)</f>
      </c>
      <c r="P212" s="7">
        <f>SQRT(O212^2+N212^2)</f>
      </c>
      <c r="Q212" s="7">
        <f>N212/$P212</f>
      </c>
      <c r="R212" s="7">
        <f>O212/$P212</f>
      </c>
      <c r="S212" s="7">
        <f>Q212^2+R212^2</f>
      </c>
      <c r="T212" s="7">
        <f>-R212</f>
      </c>
      <c r="U212" s="7">
        <f>Q212</f>
      </c>
      <c r="V212" s="7">
        <f>($C$14+($C$15-$C$14)/($D$15-$D$14)*(I212-$D$14))/2</f>
      </c>
      <c r="W212" s="7">
        <f>($B$22*I212^4+$C$22*I212^3+$D$22*I212^2+$E$22*I212+$F$22)/2</f>
      </c>
      <c r="X212" s="7">
        <f>($W212)*(T212)</f>
      </c>
      <c r="Y212" s="7">
        <f>($W212)*(U212)</f>
      </c>
      <c r="Z212" s="7">
        <f>SQRT(X212^2+Y212^2)</f>
      </c>
      <c r="AA212" s="7">
        <f>$K212+$X212</f>
      </c>
      <c r="AB212" s="7">
        <f>$L212+$Y212</f>
      </c>
      <c r="AC212" s="7">
        <f>$K212-$X212</f>
      </c>
      <c r="AD212" s="7">
        <f>$L212-$Y212</f>
      </c>
      <c r="AE212" s="7">
        <f>AA212/39.3701</f>
      </c>
      <c r="AF212" s="7">
        <f>AB212/39.3701</f>
      </c>
      <c r="AG212" s="7">
        <f>AC212/39.3701</f>
      </c>
      <c r="AH212" s="7">
        <f>AD212/39.3701</f>
      </c>
      <c r="AI212" s="1"/>
      <c r="AJ212" s="1"/>
      <c r="AK212" s="1"/>
      <c r="AL212" s="1"/>
      <c r="AM212" s="2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</row>
    <row x14ac:dyDescent="0.25" r="213" customHeight="1" ht="18.75">
      <c r="A213" s="1"/>
      <c r="B213" s="2"/>
      <c r="C213" s="2"/>
      <c r="D213" s="2"/>
      <c r="E213" s="2"/>
      <c r="F213" s="2"/>
      <c r="G213" s="1"/>
      <c r="H213" s="1"/>
      <c r="I213" s="7">
        <v>0.21</v>
      </c>
      <c r="J213" s="7">
        <f>IF((I213-ROUNDDOWN(I213,0))=0, 0, (I213-ROUNDDOWN(I213,0)))</f>
      </c>
      <c r="K213" s="7">
        <f>INDIRECT("C$"&amp;2+MIN(2,ROUNDDOWN(I213,0))*3)*(-$J213^3+3*$J213^2-3*$J213+1)+INDIRECT("C$"&amp;3+MIN(2,ROUNDDOWN(I213,0))*3)*(3*$J213^3-6*$J213^2+3*$J213)+INDIRECT("C$"&amp;4+MIN(2,ROUNDDOWN(I213,0))*3)*(-3*$J213^3+3*$J213^2)+INDIRECT("C$"&amp;5+MIN(2,ROUNDDOWN(I213,0))*3)*$J213^3</f>
      </c>
      <c r="L213" s="7">
        <f>INDIRECT("D$"&amp;2+MIN(2,ROUNDDOWN(I213,0))*3)*(-$J213^3+3*$J213^2-3*$J213+1)+INDIRECT("D$"&amp;3+MIN(2,ROUNDDOWN(I213,0))*3)*(3*$J213^3-6*$J213^2+3*$J213)+INDIRECT("D$"&amp;4+MIN(2,ROUNDDOWN(I213,0))*3)*(-3*$J213^3+3*$J213^2)+INDIRECT("D$"&amp;5+MIN(2,ROUNDDOWN(I213,0))*3)*$J213^3</f>
      </c>
      <c r="M213" s="7">
        <f>SQRT(K213^2+L213^2)</f>
      </c>
      <c r="N213" s="7">
        <f>(K214-K212)</f>
      </c>
      <c r="O213" s="7">
        <f>+(L214-L212)</f>
      </c>
      <c r="P213" s="7">
        <f>SQRT(O213^2+N213^2)</f>
      </c>
      <c r="Q213" s="7">
        <f>N213/$P213</f>
      </c>
      <c r="R213" s="7">
        <f>O213/$P213</f>
      </c>
      <c r="S213" s="8">
        <f>Q213^2+R213^2</f>
      </c>
      <c r="T213" s="7">
        <f>-R213</f>
      </c>
      <c r="U213" s="7">
        <f>Q213</f>
      </c>
      <c r="V213" s="7">
        <f>($C$14+($C$15-$C$14)/($D$15-$D$14)*(I213-$D$14))/2</f>
      </c>
      <c r="W213" s="7">
        <f>($B$22*I213^4+$C$22*I213^3+$D$22*I213^2+$E$22*I213+$F$22)/2</f>
      </c>
      <c r="X213" s="7">
        <f>($W213)*(T213)</f>
      </c>
      <c r="Y213" s="7">
        <f>($W213)*(U213)</f>
      </c>
      <c r="Z213" s="7">
        <f>SQRT(X213^2+Y213^2)</f>
      </c>
      <c r="AA213" s="7">
        <f>$K213+$X213</f>
      </c>
      <c r="AB213" s="7">
        <f>$L213+$Y213</f>
      </c>
      <c r="AC213" s="7">
        <f>$K213-$X213</f>
      </c>
      <c r="AD213" s="7">
        <f>$L213-$Y213</f>
      </c>
      <c r="AE213" s="7">
        <f>AA213/39.3701</f>
      </c>
      <c r="AF213" s="7">
        <f>AB213/39.3701</f>
      </c>
      <c r="AG213" s="7">
        <f>AC213/39.3701</f>
      </c>
      <c r="AH213" s="7">
        <f>AD213/39.3701</f>
      </c>
      <c r="AI213" s="1"/>
      <c r="AJ213" s="1"/>
      <c r="AK213" s="1"/>
      <c r="AL213" s="1"/>
      <c r="AM213" s="2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</row>
    <row x14ac:dyDescent="0.25" r="214" customHeight="1" ht="18.75">
      <c r="A214" s="1"/>
      <c r="B214" s="2"/>
      <c r="C214" s="2"/>
      <c r="D214" s="2"/>
      <c r="E214" s="2"/>
      <c r="F214" s="2"/>
      <c r="G214" s="1"/>
      <c r="H214" s="1"/>
      <c r="I214" s="7">
        <v>0.211</v>
      </c>
      <c r="J214" s="7">
        <f>IF((I214-ROUNDDOWN(I214,0))=0, 0, (I214-ROUNDDOWN(I214,0)))</f>
      </c>
      <c r="K214" s="7">
        <f>INDIRECT("C$"&amp;2+MIN(2,ROUNDDOWN(I214,0))*3)*(-$J214^3+3*$J214^2-3*$J214+1)+INDIRECT("C$"&amp;3+MIN(2,ROUNDDOWN(I214,0))*3)*(3*$J214^3-6*$J214^2+3*$J214)+INDIRECT("C$"&amp;4+MIN(2,ROUNDDOWN(I214,0))*3)*(-3*$J214^3+3*$J214^2)+INDIRECT("C$"&amp;5+MIN(2,ROUNDDOWN(I214,0))*3)*$J214^3</f>
      </c>
      <c r="L214" s="7">
        <f>INDIRECT("D$"&amp;2+MIN(2,ROUNDDOWN(I214,0))*3)*(-$J214^3+3*$J214^2-3*$J214+1)+INDIRECT("D$"&amp;3+MIN(2,ROUNDDOWN(I214,0))*3)*(3*$J214^3-6*$J214^2+3*$J214)+INDIRECT("D$"&amp;4+MIN(2,ROUNDDOWN(I214,0))*3)*(-3*$J214^3+3*$J214^2)+INDIRECT("D$"&amp;5+MIN(2,ROUNDDOWN(I214,0))*3)*$J214^3</f>
      </c>
      <c r="M214" s="7">
        <f>SQRT(K214^2+L214^2)</f>
      </c>
      <c r="N214" s="7">
        <f>(K215-K213)</f>
      </c>
      <c r="O214" s="7">
        <f>+(L215-L213)</f>
      </c>
      <c r="P214" s="7">
        <f>SQRT(O214^2+N214^2)</f>
      </c>
      <c r="Q214" s="7">
        <f>N214/$P214</f>
      </c>
      <c r="R214" s="7">
        <f>O214/$P214</f>
      </c>
      <c r="S214" s="8">
        <f>Q214^2+R214^2</f>
      </c>
      <c r="T214" s="7">
        <f>-R214</f>
      </c>
      <c r="U214" s="7">
        <f>Q214</f>
      </c>
      <c r="V214" s="7">
        <f>($C$14+($C$15-$C$14)/($D$15-$D$14)*(I214-$D$14))/2</f>
      </c>
      <c r="W214" s="7">
        <f>($B$22*I214^4+$C$22*I214^3+$D$22*I214^2+$E$22*I214+$F$22)/2</f>
      </c>
      <c r="X214" s="7">
        <f>($W214)*(T214)</f>
      </c>
      <c r="Y214" s="7">
        <f>($W214)*(U214)</f>
      </c>
      <c r="Z214" s="7">
        <f>SQRT(X214^2+Y214^2)</f>
      </c>
      <c r="AA214" s="7">
        <f>$K214+$X214</f>
      </c>
      <c r="AB214" s="7">
        <f>$L214+$Y214</f>
      </c>
      <c r="AC214" s="7">
        <f>$K214-$X214</f>
      </c>
      <c r="AD214" s="7">
        <f>$L214-$Y214</f>
      </c>
      <c r="AE214" s="7">
        <f>AA214/39.3701</f>
      </c>
      <c r="AF214" s="7">
        <f>AB214/39.3701</f>
      </c>
      <c r="AG214" s="7">
        <f>AC214/39.3701</f>
      </c>
      <c r="AH214" s="7">
        <f>AD214/39.3701</f>
      </c>
      <c r="AI214" s="1"/>
      <c r="AJ214" s="1"/>
      <c r="AK214" s="1"/>
      <c r="AL214" s="1"/>
      <c r="AM214" s="2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</row>
    <row x14ac:dyDescent="0.25" r="215" customHeight="1" ht="18.75">
      <c r="A215" s="1"/>
      <c r="B215" s="2"/>
      <c r="C215" s="2"/>
      <c r="D215" s="2"/>
      <c r="E215" s="2"/>
      <c r="F215" s="2"/>
      <c r="G215" s="1"/>
      <c r="H215" s="1"/>
      <c r="I215" s="7">
        <v>0.212</v>
      </c>
      <c r="J215" s="7">
        <f>IF((I215-ROUNDDOWN(I215,0))=0, 0, (I215-ROUNDDOWN(I215,0)))</f>
      </c>
      <c r="K215" s="7">
        <f>INDIRECT("C$"&amp;2+MIN(2,ROUNDDOWN(I215,0))*3)*(-$J215^3+3*$J215^2-3*$J215+1)+INDIRECT("C$"&amp;3+MIN(2,ROUNDDOWN(I215,0))*3)*(3*$J215^3-6*$J215^2+3*$J215)+INDIRECT("C$"&amp;4+MIN(2,ROUNDDOWN(I215,0))*3)*(-3*$J215^3+3*$J215^2)+INDIRECT("C$"&amp;5+MIN(2,ROUNDDOWN(I215,0))*3)*$J215^3</f>
      </c>
      <c r="L215" s="7">
        <f>INDIRECT("D$"&amp;2+MIN(2,ROUNDDOWN(I215,0))*3)*(-$J215^3+3*$J215^2-3*$J215+1)+INDIRECT("D$"&amp;3+MIN(2,ROUNDDOWN(I215,0))*3)*(3*$J215^3-6*$J215^2+3*$J215)+INDIRECT("D$"&amp;4+MIN(2,ROUNDDOWN(I215,0))*3)*(-3*$J215^3+3*$J215^2)+INDIRECT("D$"&amp;5+MIN(2,ROUNDDOWN(I215,0))*3)*$J215^3</f>
      </c>
      <c r="M215" s="7">
        <f>SQRT(K215^2+L215^2)</f>
      </c>
      <c r="N215" s="7">
        <f>(K216-K214)</f>
      </c>
      <c r="O215" s="7">
        <f>+(L216-L214)</f>
      </c>
      <c r="P215" s="7">
        <f>SQRT(O215^2+N215^2)</f>
      </c>
      <c r="Q215" s="7">
        <f>N215/$P215</f>
      </c>
      <c r="R215" s="7">
        <f>O215/$P215</f>
      </c>
      <c r="S215" s="8">
        <f>Q215^2+R215^2</f>
      </c>
      <c r="T215" s="7">
        <f>-R215</f>
      </c>
      <c r="U215" s="7">
        <f>Q215</f>
      </c>
      <c r="V215" s="7">
        <f>($C$14+($C$15-$C$14)/($D$15-$D$14)*(I215-$D$14))/2</f>
      </c>
      <c r="W215" s="7">
        <f>($B$22*I215^4+$C$22*I215^3+$D$22*I215^2+$E$22*I215+$F$22)/2</f>
      </c>
      <c r="X215" s="7">
        <f>($W215)*(T215)</f>
      </c>
      <c r="Y215" s="7">
        <f>($W215)*(U215)</f>
      </c>
      <c r="Z215" s="7">
        <f>SQRT(X215^2+Y215^2)</f>
      </c>
      <c r="AA215" s="7">
        <f>$K215+$X215</f>
      </c>
      <c r="AB215" s="7">
        <f>$L215+$Y215</f>
      </c>
      <c r="AC215" s="7">
        <f>$K215-$X215</f>
      </c>
      <c r="AD215" s="7">
        <f>$L215-$Y215</f>
      </c>
      <c r="AE215" s="7">
        <f>AA215/39.3701</f>
      </c>
      <c r="AF215" s="7">
        <f>AB215/39.3701</f>
      </c>
      <c r="AG215" s="7">
        <f>AC215/39.3701</f>
      </c>
      <c r="AH215" s="7">
        <f>AD215/39.3701</f>
      </c>
      <c r="AI215" s="1"/>
      <c r="AJ215" s="1"/>
      <c r="AK215" s="1"/>
      <c r="AL215" s="1"/>
      <c r="AM215" s="2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</row>
    <row x14ac:dyDescent="0.25" r="216" customHeight="1" ht="18.75">
      <c r="A216" s="1"/>
      <c r="B216" s="2"/>
      <c r="C216" s="2"/>
      <c r="D216" s="2"/>
      <c r="E216" s="2"/>
      <c r="F216" s="2"/>
      <c r="G216" s="1"/>
      <c r="H216" s="1"/>
      <c r="I216" s="7">
        <v>0.213</v>
      </c>
      <c r="J216" s="7">
        <f>IF((I216-ROUNDDOWN(I216,0))=0, 0, (I216-ROUNDDOWN(I216,0)))</f>
      </c>
      <c r="K216" s="7">
        <f>INDIRECT("C$"&amp;2+MIN(2,ROUNDDOWN(I216,0))*3)*(-$J216^3+3*$J216^2-3*$J216+1)+INDIRECT("C$"&amp;3+MIN(2,ROUNDDOWN(I216,0))*3)*(3*$J216^3-6*$J216^2+3*$J216)+INDIRECT("C$"&amp;4+MIN(2,ROUNDDOWN(I216,0))*3)*(-3*$J216^3+3*$J216^2)+INDIRECT("C$"&amp;5+MIN(2,ROUNDDOWN(I216,0))*3)*$J216^3</f>
      </c>
      <c r="L216" s="7">
        <f>INDIRECT("D$"&amp;2+MIN(2,ROUNDDOWN(I216,0))*3)*(-$J216^3+3*$J216^2-3*$J216+1)+INDIRECT("D$"&amp;3+MIN(2,ROUNDDOWN(I216,0))*3)*(3*$J216^3-6*$J216^2+3*$J216)+INDIRECT("D$"&amp;4+MIN(2,ROUNDDOWN(I216,0))*3)*(-3*$J216^3+3*$J216^2)+INDIRECT("D$"&amp;5+MIN(2,ROUNDDOWN(I216,0))*3)*$J216^3</f>
      </c>
      <c r="M216" s="7">
        <f>SQRT(K216^2+L216^2)</f>
      </c>
      <c r="N216" s="7">
        <f>(K217-K215)</f>
      </c>
      <c r="O216" s="7">
        <f>+(L217-L215)</f>
      </c>
      <c r="P216" s="7">
        <f>SQRT(O216^2+N216^2)</f>
      </c>
      <c r="Q216" s="7">
        <f>N216/$P216</f>
      </c>
      <c r="R216" s="7">
        <f>O216/$P216</f>
      </c>
      <c r="S216" s="7">
        <f>Q216^2+R216^2</f>
      </c>
      <c r="T216" s="7">
        <f>-R216</f>
      </c>
      <c r="U216" s="7">
        <f>Q216</f>
      </c>
      <c r="V216" s="7">
        <f>($C$14+($C$15-$C$14)/($D$15-$D$14)*(I216-$D$14))/2</f>
      </c>
      <c r="W216" s="7">
        <f>($B$22*I216^4+$C$22*I216^3+$D$22*I216^2+$E$22*I216+$F$22)/2</f>
      </c>
      <c r="X216" s="7">
        <f>($W216)*(T216)</f>
      </c>
      <c r="Y216" s="7">
        <f>($W216)*(U216)</f>
      </c>
      <c r="Z216" s="7">
        <f>SQRT(X216^2+Y216^2)</f>
      </c>
      <c r="AA216" s="7">
        <f>$K216+$X216</f>
      </c>
      <c r="AB216" s="7">
        <f>$L216+$Y216</f>
      </c>
      <c r="AC216" s="7">
        <f>$K216-$X216</f>
      </c>
      <c r="AD216" s="7">
        <f>$L216-$Y216</f>
      </c>
      <c r="AE216" s="7">
        <f>AA216/39.3701</f>
      </c>
      <c r="AF216" s="7">
        <f>AB216/39.3701</f>
      </c>
      <c r="AG216" s="7">
        <f>AC216/39.3701</f>
      </c>
      <c r="AH216" s="7">
        <f>AD216/39.3701</f>
      </c>
      <c r="AI216" s="1"/>
      <c r="AJ216" s="1"/>
      <c r="AK216" s="1"/>
      <c r="AL216" s="1"/>
      <c r="AM216" s="2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</row>
    <row x14ac:dyDescent="0.25" r="217" customHeight="1" ht="18.75">
      <c r="A217" s="1"/>
      <c r="B217" s="2"/>
      <c r="C217" s="2"/>
      <c r="D217" s="2"/>
      <c r="E217" s="2"/>
      <c r="F217" s="2"/>
      <c r="G217" s="1"/>
      <c r="H217" s="1"/>
      <c r="I217" s="7">
        <v>0.214</v>
      </c>
      <c r="J217" s="7">
        <f>IF((I217-ROUNDDOWN(I217,0))=0, 0, (I217-ROUNDDOWN(I217,0)))</f>
      </c>
      <c r="K217" s="7">
        <f>INDIRECT("C$"&amp;2+MIN(2,ROUNDDOWN(I217,0))*3)*(-$J217^3+3*$J217^2-3*$J217+1)+INDIRECT("C$"&amp;3+MIN(2,ROUNDDOWN(I217,0))*3)*(3*$J217^3-6*$J217^2+3*$J217)+INDIRECT("C$"&amp;4+MIN(2,ROUNDDOWN(I217,0))*3)*(-3*$J217^3+3*$J217^2)+INDIRECT("C$"&amp;5+MIN(2,ROUNDDOWN(I217,0))*3)*$J217^3</f>
      </c>
      <c r="L217" s="7">
        <f>INDIRECT("D$"&amp;2+MIN(2,ROUNDDOWN(I217,0))*3)*(-$J217^3+3*$J217^2-3*$J217+1)+INDIRECT("D$"&amp;3+MIN(2,ROUNDDOWN(I217,0))*3)*(3*$J217^3-6*$J217^2+3*$J217)+INDIRECT("D$"&amp;4+MIN(2,ROUNDDOWN(I217,0))*3)*(-3*$J217^3+3*$J217^2)+INDIRECT("D$"&amp;5+MIN(2,ROUNDDOWN(I217,0))*3)*$J217^3</f>
      </c>
      <c r="M217" s="7">
        <f>SQRT(K217^2+L217^2)</f>
      </c>
      <c r="N217" s="7">
        <f>(K218-K216)</f>
      </c>
      <c r="O217" s="7">
        <f>+(L218-L216)</f>
      </c>
      <c r="P217" s="7">
        <f>SQRT(O217^2+N217^2)</f>
      </c>
      <c r="Q217" s="7">
        <f>N217/$P217</f>
      </c>
      <c r="R217" s="7">
        <f>O217/$P217</f>
      </c>
      <c r="S217" s="7">
        <f>Q217^2+R217^2</f>
      </c>
      <c r="T217" s="7">
        <f>-R217</f>
      </c>
      <c r="U217" s="7">
        <f>Q217</f>
      </c>
      <c r="V217" s="7">
        <f>($C$14+($C$15-$C$14)/($D$15-$D$14)*(I217-$D$14))/2</f>
      </c>
      <c r="W217" s="7">
        <f>($B$22*I217^4+$C$22*I217^3+$D$22*I217^2+$E$22*I217+$F$22)/2</f>
      </c>
      <c r="X217" s="7">
        <f>($W217)*(T217)</f>
      </c>
      <c r="Y217" s="7">
        <f>($W217)*(U217)</f>
      </c>
      <c r="Z217" s="7">
        <f>SQRT(X217^2+Y217^2)</f>
      </c>
      <c r="AA217" s="7">
        <f>$K217+$X217</f>
      </c>
      <c r="AB217" s="7">
        <f>$L217+$Y217</f>
      </c>
      <c r="AC217" s="7">
        <f>$K217-$X217</f>
      </c>
      <c r="AD217" s="7">
        <f>$L217-$Y217</f>
      </c>
      <c r="AE217" s="7">
        <f>AA217/39.3701</f>
      </c>
      <c r="AF217" s="7">
        <f>AB217/39.3701</f>
      </c>
      <c r="AG217" s="7">
        <f>AC217/39.3701</f>
      </c>
      <c r="AH217" s="7">
        <f>AD217/39.3701</f>
      </c>
      <c r="AI217" s="1"/>
      <c r="AJ217" s="1"/>
      <c r="AK217" s="1"/>
      <c r="AL217" s="1"/>
      <c r="AM217" s="2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</row>
    <row x14ac:dyDescent="0.25" r="218" customHeight="1" ht="18.75">
      <c r="A218" s="1"/>
      <c r="B218" s="2"/>
      <c r="C218" s="2"/>
      <c r="D218" s="2"/>
      <c r="E218" s="2"/>
      <c r="F218" s="2"/>
      <c r="G218" s="1"/>
      <c r="H218" s="1"/>
      <c r="I218" s="7">
        <v>0.215</v>
      </c>
      <c r="J218" s="7">
        <f>IF((I218-ROUNDDOWN(I218,0))=0, 0, (I218-ROUNDDOWN(I218,0)))</f>
      </c>
      <c r="K218" s="7">
        <f>INDIRECT("C$"&amp;2+MIN(2,ROUNDDOWN(I218,0))*3)*(-$J218^3+3*$J218^2-3*$J218+1)+INDIRECT("C$"&amp;3+MIN(2,ROUNDDOWN(I218,0))*3)*(3*$J218^3-6*$J218^2+3*$J218)+INDIRECT("C$"&amp;4+MIN(2,ROUNDDOWN(I218,0))*3)*(-3*$J218^3+3*$J218^2)+INDIRECT("C$"&amp;5+MIN(2,ROUNDDOWN(I218,0))*3)*$J218^3</f>
      </c>
      <c r="L218" s="7">
        <f>INDIRECT("D$"&amp;2+MIN(2,ROUNDDOWN(I218,0))*3)*(-$J218^3+3*$J218^2-3*$J218+1)+INDIRECT("D$"&amp;3+MIN(2,ROUNDDOWN(I218,0))*3)*(3*$J218^3-6*$J218^2+3*$J218)+INDIRECT("D$"&amp;4+MIN(2,ROUNDDOWN(I218,0))*3)*(-3*$J218^3+3*$J218^2)+INDIRECT("D$"&amp;5+MIN(2,ROUNDDOWN(I218,0))*3)*$J218^3</f>
      </c>
      <c r="M218" s="7">
        <f>SQRT(K218^2+L218^2)</f>
      </c>
      <c r="N218" s="7">
        <f>(K219-K217)</f>
      </c>
      <c r="O218" s="7">
        <f>+(L219-L217)</f>
      </c>
      <c r="P218" s="7">
        <f>SQRT(O218^2+N218^2)</f>
      </c>
      <c r="Q218" s="7">
        <f>N218/$P218</f>
      </c>
      <c r="R218" s="7">
        <f>O218/$P218</f>
      </c>
      <c r="S218" s="7">
        <f>Q218^2+R218^2</f>
      </c>
      <c r="T218" s="7">
        <f>-R218</f>
      </c>
      <c r="U218" s="7">
        <f>Q218</f>
      </c>
      <c r="V218" s="7">
        <f>($C$14+($C$15-$C$14)/($D$15-$D$14)*(I218-$D$14))/2</f>
      </c>
      <c r="W218" s="7">
        <f>($B$22*I218^4+$C$22*I218^3+$D$22*I218^2+$E$22*I218+$F$22)/2</f>
      </c>
      <c r="X218" s="7">
        <f>($W218)*(T218)</f>
      </c>
      <c r="Y218" s="7">
        <f>($W218)*(U218)</f>
      </c>
      <c r="Z218" s="7">
        <f>SQRT(X218^2+Y218^2)</f>
      </c>
      <c r="AA218" s="7">
        <f>$K218+$X218</f>
      </c>
      <c r="AB218" s="7">
        <f>$L218+$Y218</f>
      </c>
      <c r="AC218" s="7">
        <f>$K218-$X218</f>
      </c>
      <c r="AD218" s="7">
        <f>$L218-$Y218</f>
      </c>
      <c r="AE218" s="7">
        <f>AA218/39.3701</f>
      </c>
      <c r="AF218" s="7">
        <f>AB218/39.3701</f>
      </c>
      <c r="AG218" s="7">
        <f>AC218/39.3701</f>
      </c>
      <c r="AH218" s="7">
        <f>AD218/39.3701</f>
      </c>
      <c r="AI218" s="1"/>
      <c r="AJ218" s="1"/>
      <c r="AK218" s="1"/>
      <c r="AL218" s="1"/>
      <c r="AM218" s="2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</row>
    <row x14ac:dyDescent="0.25" r="219" customHeight="1" ht="18.75">
      <c r="A219" s="1"/>
      <c r="B219" s="2"/>
      <c r="C219" s="2"/>
      <c r="D219" s="2"/>
      <c r="E219" s="2"/>
      <c r="F219" s="2"/>
      <c r="G219" s="1"/>
      <c r="H219" s="1"/>
      <c r="I219" s="7">
        <v>0.216</v>
      </c>
      <c r="J219" s="7">
        <f>IF((I219-ROUNDDOWN(I219,0))=0, 0, (I219-ROUNDDOWN(I219,0)))</f>
      </c>
      <c r="K219" s="7">
        <f>INDIRECT("C$"&amp;2+MIN(2,ROUNDDOWN(I219,0))*3)*(-$J219^3+3*$J219^2-3*$J219+1)+INDIRECT("C$"&amp;3+MIN(2,ROUNDDOWN(I219,0))*3)*(3*$J219^3-6*$J219^2+3*$J219)+INDIRECT("C$"&amp;4+MIN(2,ROUNDDOWN(I219,0))*3)*(-3*$J219^3+3*$J219^2)+INDIRECT("C$"&amp;5+MIN(2,ROUNDDOWN(I219,0))*3)*$J219^3</f>
      </c>
      <c r="L219" s="7">
        <f>INDIRECT("D$"&amp;2+MIN(2,ROUNDDOWN(I219,0))*3)*(-$J219^3+3*$J219^2-3*$J219+1)+INDIRECT("D$"&amp;3+MIN(2,ROUNDDOWN(I219,0))*3)*(3*$J219^3-6*$J219^2+3*$J219)+INDIRECT("D$"&amp;4+MIN(2,ROUNDDOWN(I219,0))*3)*(-3*$J219^3+3*$J219^2)+INDIRECT("D$"&amp;5+MIN(2,ROUNDDOWN(I219,0))*3)*$J219^3</f>
      </c>
      <c r="M219" s="7">
        <f>SQRT(K219^2+L219^2)</f>
      </c>
      <c r="N219" s="7">
        <f>(K220-K218)</f>
      </c>
      <c r="O219" s="7">
        <f>+(L220-L218)</f>
      </c>
      <c r="P219" s="7">
        <f>SQRT(O219^2+N219^2)</f>
      </c>
      <c r="Q219" s="7">
        <f>N219/$P219</f>
      </c>
      <c r="R219" s="7">
        <f>O219/$P219</f>
      </c>
      <c r="S219" s="7">
        <f>Q219^2+R219^2</f>
      </c>
      <c r="T219" s="7">
        <f>-R219</f>
      </c>
      <c r="U219" s="7">
        <f>Q219</f>
      </c>
      <c r="V219" s="7">
        <f>($C$14+($C$15-$C$14)/($D$15-$D$14)*(I219-$D$14))/2</f>
      </c>
      <c r="W219" s="7">
        <f>($B$22*I219^4+$C$22*I219^3+$D$22*I219^2+$E$22*I219+$F$22)/2</f>
      </c>
      <c r="X219" s="7">
        <f>($W219)*(T219)</f>
      </c>
      <c r="Y219" s="7">
        <f>($W219)*(U219)</f>
      </c>
      <c r="Z219" s="7">
        <f>SQRT(X219^2+Y219^2)</f>
      </c>
      <c r="AA219" s="7">
        <f>$K219+$X219</f>
      </c>
      <c r="AB219" s="7">
        <f>$L219+$Y219</f>
      </c>
      <c r="AC219" s="7">
        <f>$K219-$X219</f>
      </c>
      <c r="AD219" s="7">
        <f>$L219-$Y219</f>
      </c>
      <c r="AE219" s="7">
        <f>AA219/39.3701</f>
      </c>
      <c r="AF219" s="7">
        <f>AB219/39.3701</f>
      </c>
      <c r="AG219" s="7">
        <f>AC219/39.3701</f>
      </c>
      <c r="AH219" s="7">
        <f>AD219/39.3701</f>
      </c>
      <c r="AI219" s="1"/>
      <c r="AJ219" s="1"/>
      <c r="AK219" s="1"/>
      <c r="AL219" s="1"/>
      <c r="AM219" s="2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</row>
    <row x14ac:dyDescent="0.25" r="220" customHeight="1" ht="18.75">
      <c r="A220" s="1"/>
      <c r="B220" s="2"/>
      <c r="C220" s="2"/>
      <c r="D220" s="2"/>
      <c r="E220" s="2"/>
      <c r="F220" s="2"/>
      <c r="G220" s="1"/>
      <c r="H220" s="1"/>
      <c r="I220" s="7">
        <v>0.217</v>
      </c>
      <c r="J220" s="7">
        <f>IF((I220-ROUNDDOWN(I220,0))=0, 0, (I220-ROUNDDOWN(I220,0)))</f>
      </c>
      <c r="K220" s="7">
        <f>INDIRECT("C$"&amp;2+MIN(2,ROUNDDOWN(I220,0))*3)*(-$J220^3+3*$J220^2-3*$J220+1)+INDIRECT("C$"&amp;3+MIN(2,ROUNDDOWN(I220,0))*3)*(3*$J220^3-6*$J220^2+3*$J220)+INDIRECT("C$"&amp;4+MIN(2,ROUNDDOWN(I220,0))*3)*(-3*$J220^3+3*$J220^2)+INDIRECT("C$"&amp;5+MIN(2,ROUNDDOWN(I220,0))*3)*$J220^3</f>
      </c>
      <c r="L220" s="7">
        <f>INDIRECT("D$"&amp;2+MIN(2,ROUNDDOWN(I220,0))*3)*(-$J220^3+3*$J220^2-3*$J220+1)+INDIRECT("D$"&amp;3+MIN(2,ROUNDDOWN(I220,0))*3)*(3*$J220^3-6*$J220^2+3*$J220)+INDIRECT("D$"&amp;4+MIN(2,ROUNDDOWN(I220,0))*3)*(-3*$J220^3+3*$J220^2)+INDIRECT("D$"&amp;5+MIN(2,ROUNDDOWN(I220,0))*3)*$J220^3</f>
      </c>
      <c r="M220" s="7">
        <f>SQRT(K220^2+L220^2)</f>
      </c>
      <c r="N220" s="7">
        <f>(K221-K219)</f>
      </c>
      <c r="O220" s="7">
        <f>+(L221-L219)</f>
      </c>
      <c r="P220" s="7">
        <f>SQRT(O220^2+N220^2)</f>
      </c>
      <c r="Q220" s="7">
        <f>N220/$P220</f>
      </c>
      <c r="R220" s="7">
        <f>O220/$P220</f>
      </c>
      <c r="S220" s="7">
        <f>Q220^2+R220^2</f>
      </c>
      <c r="T220" s="7">
        <f>-R220</f>
      </c>
      <c r="U220" s="7">
        <f>Q220</f>
      </c>
      <c r="V220" s="7">
        <f>($C$14+($C$15-$C$14)/($D$15-$D$14)*(I220-$D$14))/2</f>
      </c>
      <c r="W220" s="7">
        <f>($B$22*I220^4+$C$22*I220^3+$D$22*I220^2+$E$22*I220+$F$22)/2</f>
      </c>
      <c r="X220" s="7">
        <f>($W220)*(T220)</f>
      </c>
      <c r="Y220" s="7">
        <f>($W220)*(U220)</f>
      </c>
      <c r="Z220" s="7">
        <f>SQRT(X220^2+Y220^2)</f>
      </c>
      <c r="AA220" s="7">
        <f>$K220+$X220</f>
      </c>
      <c r="AB220" s="7">
        <f>$L220+$Y220</f>
      </c>
      <c r="AC220" s="7">
        <f>$K220-$X220</f>
      </c>
      <c r="AD220" s="7">
        <f>$L220-$Y220</f>
      </c>
      <c r="AE220" s="7">
        <f>AA220/39.3701</f>
      </c>
      <c r="AF220" s="7">
        <f>AB220/39.3701</f>
      </c>
      <c r="AG220" s="7">
        <f>AC220/39.3701</f>
      </c>
      <c r="AH220" s="7">
        <f>AD220/39.3701</f>
      </c>
      <c r="AI220" s="1"/>
      <c r="AJ220" s="1"/>
      <c r="AK220" s="1"/>
      <c r="AL220" s="1"/>
      <c r="AM220" s="2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</row>
    <row x14ac:dyDescent="0.25" r="221" customHeight="1" ht="18.75">
      <c r="A221" s="1"/>
      <c r="B221" s="2"/>
      <c r="C221" s="2"/>
      <c r="D221" s="2"/>
      <c r="E221" s="2"/>
      <c r="F221" s="2"/>
      <c r="G221" s="1"/>
      <c r="H221" s="1"/>
      <c r="I221" s="7">
        <v>0.218</v>
      </c>
      <c r="J221" s="7">
        <f>IF((I221-ROUNDDOWN(I221,0))=0, 0, (I221-ROUNDDOWN(I221,0)))</f>
      </c>
      <c r="K221" s="7">
        <f>INDIRECT("C$"&amp;2+MIN(2,ROUNDDOWN(I221,0))*3)*(-$J221^3+3*$J221^2-3*$J221+1)+INDIRECT("C$"&amp;3+MIN(2,ROUNDDOWN(I221,0))*3)*(3*$J221^3-6*$J221^2+3*$J221)+INDIRECT("C$"&amp;4+MIN(2,ROUNDDOWN(I221,0))*3)*(-3*$J221^3+3*$J221^2)+INDIRECT("C$"&amp;5+MIN(2,ROUNDDOWN(I221,0))*3)*$J221^3</f>
      </c>
      <c r="L221" s="7">
        <f>INDIRECT("D$"&amp;2+MIN(2,ROUNDDOWN(I221,0))*3)*(-$J221^3+3*$J221^2-3*$J221+1)+INDIRECT("D$"&amp;3+MIN(2,ROUNDDOWN(I221,0))*3)*(3*$J221^3-6*$J221^2+3*$J221)+INDIRECT("D$"&amp;4+MIN(2,ROUNDDOWN(I221,0))*3)*(-3*$J221^3+3*$J221^2)+INDIRECT("D$"&amp;5+MIN(2,ROUNDDOWN(I221,0))*3)*$J221^3</f>
      </c>
      <c r="M221" s="7">
        <f>SQRT(K221^2+L221^2)</f>
      </c>
      <c r="N221" s="7">
        <f>(K222-K220)</f>
      </c>
      <c r="O221" s="7">
        <f>+(L222-L220)</f>
      </c>
      <c r="P221" s="7">
        <f>SQRT(O221^2+N221^2)</f>
      </c>
      <c r="Q221" s="7">
        <f>N221/$P221</f>
      </c>
      <c r="R221" s="7">
        <f>O221/$P221</f>
      </c>
      <c r="S221" s="8">
        <f>Q221^2+R221^2</f>
      </c>
      <c r="T221" s="7">
        <f>-R221</f>
      </c>
      <c r="U221" s="7">
        <f>Q221</f>
      </c>
      <c r="V221" s="7">
        <f>($C$14+($C$15-$C$14)/($D$15-$D$14)*(I221-$D$14))/2</f>
      </c>
      <c r="W221" s="7">
        <f>($B$22*I221^4+$C$22*I221^3+$D$22*I221^2+$E$22*I221+$F$22)/2</f>
      </c>
      <c r="X221" s="7">
        <f>($W221)*(T221)</f>
      </c>
      <c r="Y221" s="7">
        <f>($W221)*(U221)</f>
      </c>
      <c r="Z221" s="7">
        <f>SQRT(X221^2+Y221^2)</f>
      </c>
      <c r="AA221" s="7">
        <f>$K221+$X221</f>
      </c>
      <c r="AB221" s="7">
        <f>$L221+$Y221</f>
      </c>
      <c r="AC221" s="7">
        <f>$K221-$X221</f>
      </c>
      <c r="AD221" s="7">
        <f>$L221-$Y221</f>
      </c>
      <c r="AE221" s="7">
        <f>AA221/39.3701</f>
      </c>
      <c r="AF221" s="7">
        <f>AB221/39.3701</f>
      </c>
      <c r="AG221" s="7">
        <f>AC221/39.3701</f>
      </c>
      <c r="AH221" s="7">
        <f>AD221/39.3701</f>
      </c>
      <c r="AI221" s="1"/>
      <c r="AJ221" s="1"/>
      <c r="AK221" s="1"/>
      <c r="AL221" s="1"/>
      <c r="AM221" s="2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</row>
    <row x14ac:dyDescent="0.25" r="222" customHeight="1" ht="18.75">
      <c r="A222" s="1"/>
      <c r="B222" s="2"/>
      <c r="C222" s="2"/>
      <c r="D222" s="2"/>
      <c r="E222" s="2"/>
      <c r="F222" s="2"/>
      <c r="G222" s="1"/>
      <c r="H222" s="1"/>
      <c r="I222" s="7">
        <v>0.219</v>
      </c>
      <c r="J222" s="7">
        <f>IF((I222-ROUNDDOWN(I222,0))=0, 0, (I222-ROUNDDOWN(I222,0)))</f>
      </c>
      <c r="K222" s="7">
        <f>INDIRECT("C$"&amp;2+MIN(2,ROUNDDOWN(I222,0))*3)*(-$J222^3+3*$J222^2-3*$J222+1)+INDIRECT("C$"&amp;3+MIN(2,ROUNDDOWN(I222,0))*3)*(3*$J222^3-6*$J222^2+3*$J222)+INDIRECT("C$"&amp;4+MIN(2,ROUNDDOWN(I222,0))*3)*(-3*$J222^3+3*$J222^2)+INDIRECT("C$"&amp;5+MIN(2,ROUNDDOWN(I222,0))*3)*$J222^3</f>
      </c>
      <c r="L222" s="7">
        <f>INDIRECT("D$"&amp;2+MIN(2,ROUNDDOWN(I222,0))*3)*(-$J222^3+3*$J222^2-3*$J222+1)+INDIRECT("D$"&amp;3+MIN(2,ROUNDDOWN(I222,0))*3)*(3*$J222^3-6*$J222^2+3*$J222)+INDIRECT("D$"&amp;4+MIN(2,ROUNDDOWN(I222,0))*3)*(-3*$J222^3+3*$J222^2)+INDIRECT("D$"&amp;5+MIN(2,ROUNDDOWN(I222,0))*3)*$J222^3</f>
      </c>
      <c r="M222" s="7">
        <f>SQRT(K222^2+L222^2)</f>
      </c>
      <c r="N222" s="7">
        <f>(K223-K221)</f>
      </c>
      <c r="O222" s="7">
        <f>+(L223-L221)</f>
      </c>
      <c r="P222" s="7">
        <f>SQRT(O222^2+N222^2)</f>
      </c>
      <c r="Q222" s="7">
        <f>N222/$P222</f>
      </c>
      <c r="R222" s="7">
        <f>O222/$P222</f>
      </c>
      <c r="S222" s="7">
        <f>Q222^2+R222^2</f>
      </c>
      <c r="T222" s="7">
        <f>-R222</f>
      </c>
      <c r="U222" s="7">
        <f>Q222</f>
      </c>
      <c r="V222" s="7">
        <f>($C$14+($C$15-$C$14)/($D$15-$D$14)*(I222-$D$14))/2</f>
      </c>
      <c r="W222" s="7">
        <f>($B$22*I222^4+$C$22*I222^3+$D$22*I222^2+$E$22*I222+$F$22)/2</f>
      </c>
      <c r="X222" s="7">
        <f>($W222)*(T222)</f>
      </c>
      <c r="Y222" s="7">
        <f>($W222)*(U222)</f>
      </c>
      <c r="Z222" s="7">
        <f>SQRT(X222^2+Y222^2)</f>
      </c>
      <c r="AA222" s="7">
        <f>$K222+$X222</f>
      </c>
      <c r="AB222" s="7">
        <f>$L222+$Y222</f>
      </c>
      <c r="AC222" s="7">
        <f>$K222-$X222</f>
      </c>
      <c r="AD222" s="7">
        <f>$L222-$Y222</f>
      </c>
      <c r="AE222" s="7">
        <f>AA222/39.3701</f>
      </c>
      <c r="AF222" s="7">
        <f>AB222/39.3701</f>
      </c>
      <c r="AG222" s="7">
        <f>AC222/39.3701</f>
      </c>
      <c r="AH222" s="7">
        <f>AD222/39.3701</f>
      </c>
      <c r="AI222" s="1"/>
      <c r="AJ222" s="1"/>
      <c r="AK222" s="1"/>
      <c r="AL222" s="1"/>
      <c r="AM222" s="2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</row>
    <row x14ac:dyDescent="0.25" r="223" customHeight="1" ht="18.75">
      <c r="A223" s="1"/>
      <c r="B223" s="2"/>
      <c r="C223" s="2"/>
      <c r="D223" s="2"/>
      <c r="E223" s="2"/>
      <c r="F223" s="2"/>
      <c r="G223" s="1"/>
      <c r="H223" s="1"/>
      <c r="I223" s="7">
        <v>0.22</v>
      </c>
      <c r="J223" s="7">
        <f>IF((I223-ROUNDDOWN(I223,0))=0, 0, (I223-ROUNDDOWN(I223,0)))</f>
      </c>
      <c r="K223" s="7">
        <f>INDIRECT("C$"&amp;2+MIN(2,ROUNDDOWN(I223,0))*3)*(-$J223^3+3*$J223^2-3*$J223+1)+INDIRECT("C$"&amp;3+MIN(2,ROUNDDOWN(I223,0))*3)*(3*$J223^3-6*$J223^2+3*$J223)+INDIRECT("C$"&amp;4+MIN(2,ROUNDDOWN(I223,0))*3)*(-3*$J223^3+3*$J223^2)+INDIRECT("C$"&amp;5+MIN(2,ROUNDDOWN(I223,0))*3)*$J223^3</f>
      </c>
      <c r="L223" s="7">
        <f>INDIRECT("D$"&amp;2+MIN(2,ROUNDDOWN(I223,0))*3)*(-$J223^3+3*$J223^2-3*$J223+1)+INDIRECT("D$"&amp;3+MIN(2,ROUNDDOWN(I223,0))*3)*(3*$J223^3-6*$J223^2+3*$J223)+INDIRECT("D$"&amp;4+MIN(2,ROUNDDOWN(I223,0))*3)*(-3*$J223^3+3*$J223^2)+INDIRECT("D$"&amp;5+MIN(2,ROUNDDOWN(I223,0))*3)*$J223^3</f>
      </c>
      <c r="M223" s="7">
        <f>SQRT(K223^2+L223^2)</f>
      </c>
      <c r="N223" s="7">
        <f>(K224-K222)</f>
      </c>
      <c r="O223" s="7">
        <f>+(L224-L222)</f>
      </c>
      <c r="P223" s="7">
        <f>SQRT(O223^2+N223^2)</f>
      </c>
      <c r="Q223" s="7">
        <f>N223/$P223</f>
      </c>
      <c r="R223" s="7">
        <f>O223/$P223</f>
      </c>
      <c r="S223" s="8">
        <f>Q223^2+R223^2</f>
      </c>
      <c r="T223" s="7">
        <f>-R223</f>
      </c>
      <c r="U223" s="7">
        <f>Q223</f>
      </c>
      <c r="V223" s="7">
        <f>($C$14+($C$15-$C$14)/($D$15-$D$14)*(I223-$D$14))/2</f>
      </c>
      <c r="W223" s="7">
        <f>($B$22*I223^4+$C$22*I223^3+$D$22*I223^2+$E$22*I223+$F$22)/2</f>
      </c>
      <c r="X223" s="7">
        <f>($W223)*(T223)</f>
      </c>
      <c r="Y223" s="7">
        <f>($W223)*(U223)</f>
      </c>
      <c r="Z223" s="7">
        <f>SQRT(X223^2+Y223^2)</f>
      </c>
      <c r="AA223" s="7">
        <f>$K223+$X223</f>
      </c>
      <c r="AB223" s="7">
        <f>$L223+$Y223</f>
      </c>
      <c r="AC223" s="7">
        <f>$K223-$X223</f>
      </c>
      <c r="AD223" s="7">
        <f>$L223-$Y223</f>
      </c>
      <c r="AE223" s="7">
        <f>AA223/39.3701</f>
      </c>
      <c r="AF223" s="7">
        <f>AB223/39.3701</f>
      </c>
      <c r="AG223" s="7">
        <f>AC223/39.3701</f>
      </c>
      <c r="AH223" s="7">
        <f>AD223/39.3701</f>
      </c>
      <c r="AI223" s="1"/>
      <c r="AJ223" s="1"/>
      <c r="AK223" s="1"/>
      <c r="AL223" s="1"/>
      <c r="AM223" s="2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</row>
    <row x14ac:dyDescent="0.25" r="224" customHeight="1" ht="18.75">
      <c r="A224" s="1"/>
      <c r="B224" s="2"/>
      <c r="C224" s="2"/>
      <c r="D224" s="2"/>
      <c r="E224" s="2"/>
      <c r="F224" s="2"/>
      <c r="G224" s="1"/>
      <c r="H224" s="1"/>
      <c r="I224" s="7">
        <v>0.221</v>
      </c>
      <c r="J224" s="7">
        <f>IF((I224-ROUNDDOWN(I224,0))=0, 0, (I224-ROUNDDOWN(I224,0)))</f>
      </c>
      <c r="K224" s="7">
        <f>INDIRECT("C$"&amp;2+MIN(2,ROUNDDOWN(I224,0))*3)*(-$J224^3+3*$J224^2-3*$J224+1)+INDIRECT("C$"&amp;3+MIN(2,ROUNDDOWN(I224,0))*3)*(3*$J224^3-6*$J224^2+3*$J224)+INDIRECT("C$"&amp;4+MIN(2,ROUNDDOWN(I224,0))*3)*(-3*$J224^3+3*$J224^2)+INDIRECT("C$"&amp;5+MIN(2,ROUNDDOWN(I224,0))*3)*$J224^3</f>
      </c>
      <c r="L224" s="7">
        <f>INDIRECT("D$"&amp;2+MIN(2,ROUNDDOWN(I224,0))*3)*(-$J224^3+3*$J224^2-3*$J224+1)+INDIRECT("D$"&amp;3+MIN(2,ROUNDDOWN(I224,0))*3)*(3*$J224^3-6*$J224^2+3*$J224)+INDIRECT("D$"&amp;4+MIN(2,ROUNDDOWN(I224,0))*3)*(-3*$J224^3+3*$J224^2)+INDIRECT("D$"&amp;5+MIN(2,ROUNDDOWN(I224,0))*3)*$J224^3</f>
      </c>
      <c r="M224" s="7">
        <f>SQRT(K224^2+L224^2)</f>
      </c>
      <c r="N224" s="7">
        <f>(K225-K223)</f>
      </c>
      <c r="O224" s="7">
        <f>+(L225-L223)</f>
      </c>
      <c r="P224" s="7">
        <f>SQRT(O224^2+N224^2)</f>
      </c>
      <c r="Q224" s="7">
        <f>N224/$P224</f>
      </c>
      <c r="R224" s="7">
        <f>O224/$P224</f>
      </c>
      <c r="S224" s="7">
        <f>Q224^2+R224^2</f>
      </c>
      <c r="T224" s="7">
        <f>-R224</f>
      </c>
      <c r="U224" s="7">
        <f>Q224</f>
      </c>
      <c r="V224" s="7">
        <f>($C$14+($C$15-$C$14)/($D$15-$D$14)*(I224-$D$14))/2</f>
      </c>
      <c r="W224" s="7">
        <f>($B$22*I224^4+$C$22*I224^3+$D$22*I224^2+$E$22*I224+$F$22)/2</f>
      </c>
      <c r="X224" s="7">
        <f>($W224)*(T224)</f>
      </c>
      <c r="Y224" s="7">
        <f>($W224)*(U224)</f>
      </c>
      <c r="Z224" s="7">
        <f>SQRT(X224^2+Y224^2)</f>
      </c>
      <c r="AA224" s="7">
        <f>$K224+$X224</f>
      </c>
      <c r="AB224" s="7">
        <f>$L224+$Y224</f>
      </c>
      <c r="AC224" s="7">
        <f>$K224-$X224</f>
      </c>
      <c r="AD224" s="7">
        <f>$L224-$Y224</f>
      </c>
      <c r="AE224" s="7">
        <f>AA224/39.3701</f>
      </c>
      <c r="AF224" s="7">
        <f>AB224/39.3701</f>
      </c>
      <c r="AG224" s="7">
        <f>AC224/39.3701</f>
      </c>
      <c r="AH224" s="7">
        <f>AD224/39.3701</f>
      </c>
      <c r="AI224" s="1"/>
      <c r="AJ224" s="1"/>
      <c r="AK224" s="1"/>
      <c r="AL224" s="1"/>
      <c r="AM224" s="2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</row>
    <row x14ac:dyDescent="0.25" r="225" customHeight="1" ht="18.75">
      <c r="A225" s="1"/>
      <c r="B225" s="2"/>
      <c r="C225" s="2"/>
      <c r="D225" s="2"/>
      <c r="E225" s="2"/>
      <c r="F225" s="2"/>
      <c r="G225" s="1"/>
      <c r="H225" s="1"/>
      <c r="I225" s="7">
        <v>0.222</v>
      </c>
      <c r="J225" s="7">
        <f>IF((I225-ROUNDDOWN(I225,0))=0, 0, (I225-ROUNDDOWN(I225,0)))</f>
      </c>
      <c r="K225" s="7">
        <f>INDIRECT("C$"&amp;2+MIN(2,ROUNDDOWN(I225,0))*3)*(-$J225^3+3*$J225^2-3*$J225+1)+INDIRECT("C$"&amp;3+MIN(2,ROUNDDOWN(I225,0))*3)*(3*$J225^3-6*$J225^2+3*$J225)+INDIRECT("C$"&amp;4+MIN(2,ROUNDDOWN(I225,0))*3)*(-3*$J225^3+3*$J225^2)+INDIRECT("C$"&amp;5+MIN(2,ROUNDDOWN(I225,0))*3)*$J225^3</f>
      </c>
      <c r="L225" s="7">
        <f>INDIRECT("D$"&amp;2+MIN(2,ROUNDDOWN(I225,0))*3)*(-$J225^3+3*$J225^2-3*$J225+1)+INDIRECT("D$"&amp;3+MIN(2,ROUNDDOWN(I225,0))*3)*(3*$J225^3-6*$J225^2+3*$J225)+INDIRECT("D$"&amp;4+MIN(2,ROUNDDOWN(I225,0))*3)*(-3*$J225^3+3*$J225^2)+INDIRECT("D$"&amp;5+MIN(2,ROUNDDOWN(I225,0))*3)*$J225^3</f>
      </c>
      <c r="M225" s="7">
        <f>SQRT(K225^2+L225^2)</f>
      </c>
      <c r="N225" s="7">
        <f>(K226-K224)</f>
      </c>
      <c r="O225" s="7">
        <f>+(L226-L224)</f>
      </c>
      <c r="P225" s="7">
        <f>SQRT(O225^2+N225^2)</f>
      </c>
      <c r="Q225" s="7">
        <f>N225/$P225</f>
      </c>
      <c r="R225" s="7">
        <f>O225/$P225</f>
      </c>
      <c r="S225" s="8">
        <f>Q225^2+R225^2</f>
      </c>
      <c r="T225" s="7">
        <f>-R225</f>
      </c>
      <c r="U225" s="7">
        <f>Q225</f>
      </c>
      <c r="V225" s="7">
        <f>($C$14+($C$15-$C$14)/($D$15-$D$14)*(I225-$D$14))/2</f>
      </c>
      <c r="W225" s="7">
        <f>($B$22*I225^4+$C$22*I225^3+$D$22*I225^2+$E$22*I225+$F$22)/2</f>
      </c>
      <c r="X225" s="7">
        <f>($W225)*(T225)</f>
      </c>
      <c r="Y225" s="7">
        <f>($W225)*(U225)</f>
      </c>
      <c r="Z225" s="7">
        <f>SQRT(X225^2+Y225^2)</f>
      </c>
      <c r="AA225" s="7">
        <f>$K225+$X225</f>
      </c>
      <c r="AB225" s="7">
        <f>$L225+$Y225</f>
      </c>
      <c r="AC225" s="7">
        <f>$K225-$X225</f>
      </c>
      <c r="AD225" s="7">
        <f>$L225-$Y225</f>
      </c>
      <c r="AE225" s="7">
        <f>AA225/39.3701</f>
      </c>
      <c r="AF225" s="7">
        <f>AB225/39.3701</f>
      </c>
      <c r="AG225" s="7">
        <f>AC225/39.3701</f>
      </c>
      <c r="AH225" s="7">
        <f>AD225/39.3701</f>
      </c>
      <c r="AI225" s="1"/>
      <c r="AJ225" s="1"/>
      <c r="AK225" s="1"/>
      <c r="AL225" s="1"/>
      <c r="AM225" s="2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</row>
    <row x14ac:dyDescent="0.25" r="226" customHeight="1" ht="18.75">
      <c r="A226" s="1"/>
      <c r="B226" s="2"/>
      <c r="C226" s="2"/>
      <c r="D226" s="2"/>
      <c r="E226" s="2"/>
      <c r="F226" s="2"/>
      <c r="G226" s="1"/>
      <c r="H226" s="1"/>
      <c r="I226" s="7">
        <v>0.223</v>
      </c>
      <c r="J226" s="7">
        <f>IF((I226-ROUNDDOWN(I226,0))=0, 0, (I226-ROUNDDOWN(I226,0)))</f>
      </c>
      <c r="K226" s="7">
        <f>INDIRECT("C$"&amp;2+MIN(2,ROUNDDOWN(I226,0))*3)*(-$J226^3+3*$J226^2-3*$J226+1)+INDIRECT("C$"&amp;3+MIN(2,ROUNDDOWN(I226,0))*3)*(3*$J226^3-6*$J226^2+3*$J226)+INDIRECT("C$"&amp;4+MIN(2,ROUNDDOWN(I226,0))*3)*(-3*$J226^3+3*$J226^2)+INDIRECT("C$"&amp;5+MIN(2,ROUNDDOWN(I226,0))*3)*$J226^3</f>
      </c>
      <c r="L226" s="7">
        <f>INDIRECT("D$"&amp;2+MIN(2,ROUNDDOWN(I226,0))*3)*(-$J226^3+3*$J226^2-3*$J226+1)+INDIRECT("D$"&amp;3+MIN(2,ROUNDDOWN(I226,0))*3)*(3*$J226^3-6*$J226^2+3*$J226)+INDIRECT("D$"&amp;4+MIN(2,ROUNDDOWN(I226,0))*3)*(-3*$J226^3+3*$J226^2)+INDIRECT("D$"&amp;5+MIN(2,ROUNDDOWN(I226,0))*3)*$J226^3</f>
      </c>
      <c r="M226" s="7">
        <f>SQRT(K226^2+L226^2)</f>
      </c>
      <c r="N226" s="7">
        <f>(K227-K225)</f>
      </c>
      <c r="O226" s="7">
        <f>+(L227-L225)</f>
      </c>
      <c r="P226" s="7">
        <f>SQRT(O226^2+N226^2)</f>
      </c>
      <c r="Q226" s="7">
        <f>N226/$P226</f>
      </c>
      <c r="R226" s="7">
        <f>O226/$P226</f>
      </c>
      <c r="S226" s="7">
        <f>Q226^2+R226^2</f>
      </c>
      <c r="T226" s="7">
        <f>-R226</f>
      </c>
      <c r="U226" s="7">
        <f>Q226</f>
      </c>
      <c r="V226" s="7">
        <f>($C$14+($C$15-$C$14)/($D$15-$D$14)*(I226-$D$14))/2</f>
      </c>
      <c r="W226" s="7">
        <f>($B$22*I226^4+$C$22*I226^3+$D$22*I226^2+$E$22*I226+$F$22)/2</f>
      </c>
      <c r="X226" s="7">
        <f>($W226)*(T226)</f>
      </c>
      <c r="Y226" s="7">
        <f>($W226)*(U226)</f>
      </c>
      <c r="Z226" s="7">
        <f>SQRT(X226^2+Y226^2)</f>
      </c>
      <c r="AA226" s="7">
        <f>$K226+$X226</f>
      </c>
      <c r="AB226" s="7">
        <f>$L226+$Y226</f>
      </c>
      <c r="AC226" s="7">
        <f>$K226-$X226</f>
      </c>
      <c r="AD226" s="7">
        <f>$L226-$Y226</f>
      </c>
      <c r="AE226" s="7">
        <f>AA226/39.3701</f>
      </c>
      <c r="AF226" s="7">
        <f>AB226/39.3701</f>
      </c>
      <c r="AG226" s="7">
        <f>AC226/39.3701</f>
      </c>
      <c r="AH226" s="7">
        <f>AD226/39.3701</f>
      </c>
      <c r="AI226" s="1"/>
      <c r="AJ226" s="1"/>
      <c r="AK226" s="1"/>
      <c r="AL226" s="1"/>
      <c r="AM226" s="2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</row>
    <row x14ac:dyDescent="0.25" r="227" customHeight="1" ht="18.75">
      <c r="A227" s="1"/>
      <c r="B227" s="2"/>
      <c r="C227" s="2"/>
      <c r="D227" s="2"/>
      <c r="E227" s="2"/>
      <c r="F227" s="2"/>
      <c r="G227" s="1"/>
      <c r="H227" s="1"/>
      <c r="I227" s="7">
        <v>0.224</v>
      </c>
      <c r="J227" s="7">
        <f>IF((I227-ROUNDDOWN(I227,0))=0, 0, (I227-ROUNDDOWN(I227,0)))</f>
      </c>
      <c r="K227" s="7">
        <f>INDIRECT("C$"&amp;2+MIN(2,ROUNDDOWN(I227,0))*3)*(-$J227^3+3*$J227^2-3*$J227+1)+INDIRECT("C$"&amp;3+MIN(2,ROUNDDOWN(I227,0))*3)*(3*$J227^3-6*$J227^2+3*$J227)+INDIRECT("C$"&amp;4+MIN(2,ROUNDDOWN(I227,0))*3)*(-3*$J227^3+3*$J227^2)+INDIRECT("C$"&amp;5+MIN(2,ROUNDDOWN(I227,0))*3)*$J227^3</f>
      </c>
      <c r="L227" s="7">
        <f>INDIRECT("D$"&amp;2+MIN(2,ROUNDDOWN(I227,0))*3)*(-$J227^3+3*$J227^2-3*$J227+1)+INDIRECT("D$"&amp;3+MIN(2,ROUNDDOWN(I227,0))*3)*(3*$J227^3-6*$J227^2+3*$J227)+INDIRECT("D$"&amp;4+MIN(2,ROUNDDOWN(I227,0))*3)*(-3*$J227^3+3*$J227^2)+INDIRECT("D$"&amp;5+MIN(2,ROUNDDOWN(I227,0))*3)*$J227^3</f>
      </c>
      <c r="M227" s="7">
        <f>SQRT(K227^2+L227^2)</f>
      </c>
      <c r="N227" s="7">
        <f>(K228-K226)</f>
      </c>
      <c r="O227" s="7">
        <f>+(L228-L226)</f>
      </c>
      <c r="P227" s="7">
        <f>SQRT(O227^2+N227^2)</f>
      </c>
      <c r="Q227" s="7">
        <f>N227/$P227</f>
      </c>
      <c r="R227" s="7">
        <f>O227/$P227</f>
      </c>
      <c r="S227" s="8">
        <f>Q227^2+R227^2</f>
      </c>
      <c r="T227" s="7">
        <f>-R227</f>
      </c>
      <c r="U227" s="7">
        <f>Q227</f>
      </c>
      <c r="V227" s="7">
        <f>($C$14+($C$15-$C$14)/($D$15-$D$14)*(I227-$D$14))/2</f>
      </c>
      <c r="W227" s="7">
        <f>($B$22*I227^4+$C$22*I227^3+$D$22*I227^2+$E$22*I227+$F$22)/2</f>
      </c>
      <c r="X227" s="7">
        <f>($W227)*(T227)</f>
      </c>
      <c r="Y227" s="7">
        <f>($W227)*(U227)</f>
      </c>
      <c r="Z227" s="7">
        <f>SQRT(X227^2+Y227^2)</f>
      </c>
      <c r="AA227" s="7">
        <f>$K227+$X227</f>
      </c>
      <c r="AB227" s="7">
        <f>$L227+$Y227</f>
      </c>
      <c r="AC227" s="7">
        <f>$K227-$X227</f>
      </c>
      <c r="AD227" s="7">
        <f>$L227-$Y227</f>
      </c>
      <c r="AE227" s="7">
        <f>AA227/39.3701</f>
      </c>
      <c r="AF227" s="7">
        <f>AB227/39.3701</f>
      </c>
      <c r="AG227" s="7">
        <f>AC227/39.3701</f>
      </c>
      <c r="AH227" s="7">
        <f>AD227/39.3701</f>
      </c>
      <c r="AI227" s="1"/>
      <c r="AJ227" s="1"/>
      <c r="AK227" s="1"/>
      <c r="AL227" s="1"/>
      <c r="AM227" s="2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</row>
    <row x14ac:dyDescent="0.25" r="228" customHeight="1" ht="18.75">
      <c r="A228" s="1"/>
      <c r="B228" s="2"/>
      <c r="C228" s="2"/>
      <c r="D228" s="2"/>
      <c r="E228" s="2"/>
      <c r="F228" s="2"/>
      <c r="G228" s="1"/>
      <c r="H228" s="1"/>
      <c r="I228" s="7">
        <v>0.225</v>
      </c>
      <c r="J228" s="7">
        <f>IF((I228-ROUNDDOWN(I228,0))=0, 0, (I228-ROUNDDOWN(I228,0)))</f>
      </c>
      <c r="K228" s="7">
        <f>INDIRECT("C$"&amp;2+MIN(2,ROUNDDOWN(I228,0))*3)*(-$J228^3+3*$J228^2-3*$J228+1)+INDIRECT("C$"&amp;3+MIN(2,ROUNDDOWN(I228,0))*3)*(3*$J228^3-6*$J228^2+3*$J228)+INDIRECT("C$"&amp;4+MIN(2,ROUNDDOWN(I228,0))*3)*(-3*$J228^3+3*$J228^2)+INDIRECT("C$"&amp;5+MIN(2,ROUNDDOWN(I228,0))*3)*$J228^3</f>
      </c>
      <c r="L228" s="7">
        <f>INDIRECT("D$"&amp;2+MIN(2,ROUNDDOWN(I228,0))*3)*(-$J228^3+3*$J228^2-3*$J228+1)+INDIRECT("D$"&amp;3+MIN(2,ROUNDDOWN(I228,0))*3)*(3*$J228^3-6*$J228^2+3*$J228)+INDIRECT("D$"&amp;4+MIN(2,ROUNDDOWN(I228,0))*3)*(-3*$J228^3+3*$J228^2)+INDIRECT("D$"&amp;5+MIN(2,ROUNDDOWN(I228,0))*3)*$J228^3</f>
      </c>
      <c r="M228" s="7">
        <f>SQRT(K228^2+L228^2)</f>
      </c>
      <c r="N228" s="7">
        <f>(K229-K227)</f>
      </c>
      <c r="O228" s="7">
        <f>+(L229-L227)</f>
      </c>
      <c r="P228" s="7">
        <f>SQRT(O228^2+N228^2)</f>
      </c>
      <c r="Q228" s="7">
        <f>N228/$P228</f>
      </c>
      <c r="R228" s="7">
        <f>O228/$P228</f>
      </c>
      <c r="S228" s="7">
        <f>Q228^2+R228^2</f>
      </c>
      <c r="T228" s="7">
        <f>-R228</f>
      </c>
      <c r="U228" s="7">
        <f>Q228</f>
      </c>
      <c r="V228" s="7">
        <f>($C$14+($C$15-$C$14)/($D$15-$D$14)*(I228-$D$14))/2</f>
      </c>
      <c r="W228" s="7">
        <f>($B$22*I228^4+$C$22*I228^3+$D$22*I228^2+$E$22*I228+$F$22)/2</f>
      </c>
      <c r="X228" s="7">
        <f>($W228)*(T228)</f>
      </c>
      <c r="Y228" s="7">
        <f>($W228)*(U228)</f>
      </c>
      <c r="Z228" s="7">
        <f>SQRT(X228^2+Y228^2)</f>
      </c>
      <c r="AA228" s="7">
        <f>$K228+$X228</f>
      </c>
      <c r="AB228" s="7">
        <f>$L228+$Y228</f>
      </c>
      <c r="AC228" s="7">
        <f>$K228-$X228</f>
      </c>
      <c r="AD228" s="7">
        <f>$L228-$Y228</f>
      </c>
      <c r="AE228" s="7">
        <f>AA228/39.3701</f>
      </c>
      <c r="AF228" s="7">
        <f>AB228/39.3701</f>
      </c>
      <c r="AG228" s="7">
        <f>AC228/39.3701</f>
      </c>
      <c r="AH228" s="7">
        <f>AD228/39.3701</f>
      </c>
      <c r="AI228" s="1"/>
      <c r="AJ228" s="1"/>
      <c r="AK228" s="1"/>
      <c r="AL228" s="1"/>
      <c r="AM228" s="2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</row>
    <row x14ac:dyDescent="0.25" r="229" customHeight="1" ht="18.75">
      <c r="A229" s="1"/>
      <c r="B229" s="2"/>
      <c r="C229" s="2"/>
      <c r="D229" s="2"/>
      <c r="E229" s="2"/>
      <c r="F229" s="2"/>
      <c r="G229" s="1"/>
      <c r="H229" s="1"/>
      <c r="I229" s="7">
        <v>0.226</v>
      </c>
      <c r="J229" s="7">
        <f>IF((I229-ROUNDDOWN(I229,0))=0, 0, (I229-ROUNDDOWN(I229,0)))</f>
      </c>
      <c r="K229" s="7">
        <f>INDIRECT("C$"&amp;2+MIN(2,ROUNDDOWN(I229,0))*3)*(-$J229^3+3*$J229^2-3*$J229+1)+INDIRECT("C$"&amp;3+MIN(2,ROUNDDOWN(I229,0))*3)*(3*$J229^3-6*$J229^2+3*$J229)+INDIRECT("C$"&amp;4+MIN(2,ROUNDDOWN(I229,0))*3)*(-3*$J229^3+3*$J229^2)+INDIRECT("C$"&amp;5+MIN(2,ROUNDDOWN(I229,0))*3)*$J229^3</f>
      </c>
      <c r="L229" s="7">
        <f>INDIRECT("D$"&amp;2+MIN(2,ROUNDDOWN(I229,0))*3)*(-$J229^3+3*$J229^2-3*$J229+1)+INDIRECT("D$"&amp;3+MIN(2,ROUNDDOWN(I229,0))*3)*(3*$J229^3-6*$J229^2+3*$J229)+INDIRECT("D$"&amp;4+MIN(2,ROUNDDOWN(I229,0))*3)*(-3*$J229^3+3*$J229^2)+INDIRECT("D$"&amp;5+MIN(2,ROUNDDOWN(I229,0))*3)*$J229^3</f>
      </c>
      <c r="M229" s="7">
        <f>SQRT(K229^2+L229^2)</f>
      </c>
      <c r="N229" s="7">
        <f>(K230-K228)</f>
      </c>
      <c r="O229" s="7">
        <f>+(L230-L228)</f>
      </c>
      <c r="P229" s="7">
        <f>SQRT(O229^2+N229^2)</f>
      </c>
      <c r="Q229" s="7">
        <f>N229/$P229</f>
      </c>
      <c r="R229" s="7">
        <f>O229/$P229</f>
      </c>
      <c r="S229" s="8">
        <f>Q229^2+R229^2</f>
      </c>
      <c r="T229" s="7">
        <f>-R229</f>
      </c>
      <c r="U229" s="7">
        <f>Q229</f>
      </c>
      <c r="V229" s="7">
        <f>($C$14+($C$15-$C$14)/($D$15-$D$14)*(I229-$D$14))/2</f>
      </c>
      <c r="W229" s="7">
        <f>($B$22*I229^4+$C$22*I229^3+$D$22*I229^2+$E$22*I229+$F$22)/2</f>
      </c>
      <c r="X229" s="7">
        <f>($W229)*(T229)</f>
      </c>
      <c r="Y229" s="7">
        <f>($W229)*(U229)</f>
      </c>
      <c r="Z229" s="7">
        <f>SQRT(X229^2+Y229^2)</f>
      </c>
      <c r="AA229" s="7">
        <f>$K229+$X229</f>
      </c>
      <c r="AB229" s="7">
        <f>$L229+$Y229</f>
      </c>
      <c r="AC229" s="7">
        <f>$K229-$X229</f>
      </c>
      <c r="AD229" s="7">
        <f>$L229-$Y229</f>
      </c>
      <c r="AE229" s="7">
        <f>AA229/39.3701</f>
      </c>
      <c r="AF229" s="7">
        <f>AB229/39.3701</f>
      </c>
      <c r="AG229" s="7">
        <f>AC229/39.3701</f>
      </c>
      <c r="AH229" s="7">
        <f>AD229/39.3701</f>
      </c>
      <c r="AI229" s="1"/>
      <c r="AJ229" s="1"/>
      <c r="AK229" s="1"/>
      <c r="AL229" s="1"/>
      <c r="AM229" s="2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</row>
    <row x14ac:dyDescent="0.25" r="230" customHeight="1" ht="18.75">
      <c r="A230" s="1"/>
      <c r="B230" s="2"/>
      <c r="C230" s="2"/>
      <c r="D230" s="2"/>
      <c r="E230" s="2"/>
      <c r="F230" s="2"/>
      <c r="G230" s="1"/>
      <c r="H230" s="1"/>
      <c r="I230" s="7">
        <v>0.227</v>
      </c>
      <c r="J230" s="7">
        <f>IF((I230-ROUNDDOWN(I230,0))=0, 0, (I230-ROUNDDOWN(I230,0)))</f>
      </c>
      <c r="K230" s="7">
        <f>INDIRECT("C$"&amp;2+MIN(2,ROUNDDOWN(I230,0))*3)*(-$J230^3+3*$J230^2-3*$J230+1)+INDIRECT("C$"&amp;3+MIN(2,ROUNDDOWN(I230,0))*3)*(3*$J230^3-6*$J230^2+3*$J230)+INDIRECT("C$"&amp;4+MIN(2,ROUNDDOWN(I230,0))*3)*(-3*$J230^3+3*$J230^2)+INDIRECT("C$"&amp;5+MIN(2,ROUNDDOWN(I230,0))*3)*$J230^3</f>
      </c>
      <c r="L230" s="7">
        <f>INDIRECT("D$"&amp;2+MIN(2,ROUNDDOWN(I230,0))*3)*(-$J230^3+3*$J230^2-3*$J230+1)+INDIRECT("D$"&amp;3+MIN(2,ROUNDDOWN(I230,0))*3)*(3*$J230^3-6*$J230^2+3*$J230)+INDIRECT("D$"&amp;4+MIN(2,ROUNDDOWN(I230,0))*3)*(-3*$J230^3+3*$J230^2)+INDIRECT("D$"&amp;5+MIN(2,ROUNDDOWN(I230,0))*3)*$J230^3</f>
      </c>
      <c r="M230" s="7">
        <f>SQRT(K230^2+L230^2)</f>
      </c>
      <c r="N230" s="7">
        <f>(K231-K229)</f>
      </c>
      <c r="O230" s="7">
        <f>+(L231-L229)</f>
      </c>
      <c r="P230" s="7">
        <f>SQRT(O230^2+N230^2)</f>
      </c>
      <c r="Q230" s="7">
        <f>N230/$P230</f>
      </c>
      <c r="R230" s="7">
        <f>O230/$P230</f>
      </c>
      <c r="S230" s="7">
        <f>Q230^2+R230^2</f>
      </c>
      <c r="T230" s="7">
        <f>-R230</f>
      </c>
      <c r="U230" s="7">
        <f>Q230</f>
      </c>
      <c r="V230" s="7">
        <f>($C$14+($C$15-$C$14)/($D$15-$D$14)*(I230-$D$14))/2</f>
      </c>
      <c r="W230" s="7">
        <f>($B$22*I230^4+$C$22*I230^3+$D$22*I230^2+$E$22*I230+$F$22)/2</f>
      </c>
      <c r="X230" s="7">
        <f>($W230)*(T230)</f>
      </c>
      <c r="Y230" s="7">
        <f>($W230)*(U230)</f>
      </c>
      <c r="Z230" s="7">
        <f>SQRT(X230^2+Y230^2)</f>
      </c>
      <c r="AA230" s="7">
        <f>$K230+$X230</f>
      </c>
      <c r="AB230" s="7">
        <f>$L230+$Y230</f>
      </c>
      <c r="AC230" s="7">
        <f>$K230-$X230</f>
      </c>
      <c r="AD230" s="7">
        <f>$L230-$Y230</f>
      </c>
      <c r="AE230" s="7">
        <f>AA230/39.3701</f>
      </c>
      <c r="AF230" s="7">
        <f>AB230/39.3701</f>
      </c>
      <c r="AG230" s="7">
        <f>AC230/39.3701</f>
      </c>
      <c r="AH230" s="7">
        <f>AD230/39.3701</f>
      </c>
      <c r="AI230" s="1"/>
      <c r="AJ230" s="1"/>
      <c r="AK230" s="1"/>
      <c r="AL230" s="1"/>
      <c r="AM230" s="2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</row>
    <row x14ac:dyDescent="0.25" r="231" customHeight="1" ht="18.75">
      <c r="A231" s="1"/>
      <c r="B231" s="2"/>
      <c r="C231" s="2"/>
      <c r="D231" s="2"/>
      <c r="E231" s="2"/>
      <c r="F231" s="2"/>
      <c r="G231" s="1"/>
      <c r="H231" s="1"/>
      <c r="I231" s="7">
        <v>0.228</v>
      </c>
      <c r="J231" s="7">
        <f>IF((I231-ROUNDDOWN(I231,0))=0, 0, (I231-ROUNDDOWN(I231,0)))</f>
      </c>
      <c r="K231" s="7">
        <f>INDIRECT("C$"&amp;2+MIN(2,ROUNDDOWN(I231,0))*3)*(-$J231^3+3*$J231^2-3*$J231+1)+INDIRECT("C$"&amp;3+MIN(2,ROUNDDOWN(I231,0))*3)*(3*$J231^3-6*$J231^2+3*$J231)+INDIRECT("C$"&amp;4+MIN(2,ROUNDDOWN(I231,0))*3)*(-3*$J231^3+3*$J231^2)+INDIRECT("C$"&amp;5+MIN(2,ROUNDDOWN(I231,0))*3)*$J231^3</f>
      </c>
      <c r="L231" s="7">
        <f>INDIRECT("D$"&amp;2+MIN(2,ROUNDDOWN(I231,0))*3)*(-$J231^3+3*$J231^2-3*$J231+1)+INDIRECT("D$"&amp;3+MIN(2,ROUNDDOWN(I231,0))*3)*(3*$J231^3-6*$J231^2+3*$J231)+INDIRECT("D$"&amp;4+MIN(2,ROUNDDOWN(I231,0))*3)*(-3*$J231^3+3*$J231^2)+INDIRECT("D$"&amp;5+MIN(2,ROUNDDOWN(I231,0))*3)*$J231^3</f>
      </c>
      <c r="M231" s="7">
        <f>SQRT(K231^2+L231^2)</f>
      </c>
      <c r="N231" s="7">
        <f>(K232-K230)</f>
      </c>
      <c r="O231" s="7">
        <f>+(L232-L230)</f>
      </c>
      <c r="P231" s="7">
        <f>SQRT(O231^2+N231^2)</f>
      </c>
      <c r="Q231" s="7">
        <f>N231/$P231</f>
      </c>
      <c r="R231" s="7">
        <f>O231/$P231</f>
      </c>
      <c r="S231" s="7">
        <f>Q231^2+R231^2</f>
      </c>
      <c r="T231" s="7">
        <f>-R231</f>
      </c>
      <c r="U231" s="7">
        <f>Q231</f>
      </c>
      <c r="V231" s="7">
        <f>($C$14+($C$15-$C$14)/($D$15-$D$14)*(I231-$D$14))/2</f>
      </c>
      <c r="W231" s="7">
        <f>($B$22*I231^4+$C$22*I231^3+$D$22*I231^2+$E$22*I231+$F$22)/2</f>
      </c>
      <c r="X231" s="7">
        <f>($W231)*(T231)</f>
      </c>
      <c r="Y231" s="7">
        <f>($W231)*(U231)</f>
      </c>
      <c r="Z231" s="7">
        <f>SQRT(X231^2+Y231^2)</f>
      </c>
      <c r="AA231" s="7">
        <f>$K231+$X231</f>
      </c>
      <c r="AB231" s="7">
        <f>$L231+$Y231</f>
      </c>
      <c r="AC231" s="7">
        <f>$K231-$X231</f>
      </c>
      <c r="AD231" s="7">
        <f>$L231-$Y231</f>
      </c>
      <c r="AE231" s="7">
        <f>AA231/39.3701</f>
      </c>
      <c r="AF231" s="7">
        <f>AB231/39.3701</f>
      </c>
      <c r="AG231" s="7">
        <f>AC231/39.3701</f>
      </c>
      <c r="AH231" s="7">
        <f>AD231/39.3701</f>
      </c>
      <c r="AI231" s="1"/>
      <c r="AJ231" s="1"/>
      <c r="AK231" s="1"/>
      <c r="AL231" s="1"/>
      <c r="AM231" s="2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</row>
    <row x14ac:dyDescent="0.25" r="232" customHeight="1" ht="18.75">
      <c r="A232" s="1"/>
      <c r="B232" s="2"/>
      <c r="C232" s="2"/>
      <c r="D232" s="2"/>
      <c r="E232" s="2"/>
      <c r="F232" s="2"/>
      <c r="G232" s="1"/>
      <c r="H232" s="1"/>
      <c r="I232" s="7">
        <v>0.229</v>
      </c>
      <c r="J232" s="7">
        <f>IF((I232-ROUNDDOWN(I232,0))=0, 0, (I232-ROUNDDOWN(I232,0)))</f>
      </c>
      <c r="K232" s="7">
        <f>INDIRECT("C$"&amp;2+MIN(2,ROUNDDOWN(I232,0))*3)*(-$J232^3+3*$J232^2-3*$J232+1)+INDIRECT("C$"&amp;3+MIN(2,ROUNDDOWN(I232,0))*3)*(3*$J232^3-6*$J232^2+3*$J232)+INDIRECT("C$"&amp;4+MIN(2,ROUNDDOWN(I232,0))*3)*(-3*$J232^3+3*$J232^2)+INDIRECT("C$"&amp;5+MIN(2,ROUNDDOWN(I232,0))*3)*$J232^3</f>
      </c>
      <c r="L232" s="7">
        <f>INDIRECT("D$"&amp;2+MIN(2,ROUNDDOWN(I232,0))*3)*(-$J232^3+3*$J232^2-3*$J232+1)+INDIRECT("D$"&amp;3+MIN(2,ROUNDDOWN(I232,0))*3)*(3*$J232^3-6*$J232^2+3*$J232)+INDIRECT("D$"&amp;4+MIN(2,ROUNDDOWN(I232,0))*3)*(-3*$J232^3+3*$J232^2)+INDIRECT("D$"&amp;5+MIN(2,ROUNDDOWN(I232,0))*3)*$J232^3</f>
      </c>
      <c r="M232" s="7">
        <f>SQRT(K232^2+L232^2)</f>
      </c>
      <c r="N232" s="7">
        <f>(K233-K231)</f>
      </c>
      <c r="O232" s="7">
        <f>+(L233-L231)</f>
      </c>
      <c r="P232" s="7">
        <f>SQRT(O232^2+N232^2)</f>
      </c>
      <c r="Q232" s="7">
        <f>N232/$P232</f>
      </c>
      <c r="R232" s="7">
        <f>O232/$P232</f>
      </c>
      <c r="S232" s="7">
        <f>Q232^2+R232^2</f>
      </c>
      <c r="T232" s="7">
        <f>-R232</f>
      </c>
      <c r="U232" s="7">
        <f>Q232</f>
      </c>
      <c r="V232" s="7">
        <f>($C$14+($C$15-$C$14)/($D$15-$D$14)*(I232-$D$14))/2</f>
      </c>
      <c r="W232" s="7">
        <f>($B$22*I232^4+$C$22*I232^3+$D$22*I232^2+$E$22*I232+$F$22)/2</f>
      </c>
      <c r="X232" s="7">
        <f>($W232)*(T232)</f>
      </c>
      <c r="Y232" s="7">
        <f>($W232)*(U232)</f>
      </c>
      <c r="Z232" s="7">
        <f>SQRT(X232^2+Y232^2)</f>
      </c>
      <c r="AA232" s="7">
        <f>$K232+$X232</f>
      </c>
      <c r="AB232" s="7">
        <f>$L232+$Y232</f>
      </c>
      <c r="AC232" s="7">
        <f>$K232-$X232</f>
      </c>
      <c r="AD232" s="7">
        <f>$L232-$Y232</f>
      </c>
      <c r="AE232" s="7">
        <f>AA232/39.3701</f>
      </c>
      <c r="AF232" s="7">
        <f>AB232/39.3701</f>
      </c>
      <c r="AG232" s="7">
        <f>AC232/39.3701</f>
      </c>
      <c r="AH232" s="7">
        <f>AD232/39.3701</f>
      </c>
      <c r="AI232" s="1"/>
      <c r="AJ232" s="1"/>
      <c r="AK232" s="1"/>
      <c r="AL232" s="1"/>
      <c r="AM232" s="2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</row>
    <row x14ac:dyDescent="0.25" r="233" customHeight="1" ht="18.75">
      <c r="A233" s="1"/>
      <c r="B233" s="2"/>
      <c r="C233" s="2"/>
      <c r="D233" s="2"/>
      <c r="E233" s="2"/>
      <c r="F233" s="2"/>
      <c r="G233" s="1"/>
      <c r="H233" s="1"/>
      <c r="I233" s="7">
        <v>0.23</v>
      </c>
      <c r="J233" s="7">
        <f>IF((I233-ROUNDDOWN(I233,0))=0, 0, (I233-ROUNDDOWN(I233,0)))</f>
      </c>
      <c r="K233" s="7">
        <f>INDIRECT("C$"&amp;2+MIN(2,ROUNDDOWN(I233,0))*3)*(-$J233^3+3*$J233^2-3*$J233+1)+INDIRECT("C$"&amp;3+MIN(2,ROUNDDOWN(I233,0))*3)*(3*$J233^3-6*$J233^2+3*$J233)+INDIRECT("C$"&amp;4+MIN(2,ROUNDDOWN(I233,0))*3)*(-3*$J233^3+3*$J233^2)+INDIRECT("C$"&amp;5+MIN(2,ROUNDDOWN(I233,0))*3)*$J233^3</f>
      </c>
      <c r="L233" s="7">
        <f>INDIRECT("D$"&amp;2+MIN(2,ROUNDDOWN(I233,0))*3)*(-$J233^3+3*$J233^2-3*$J233+1)+INDIRECT("D$"&amp;3+MIN(2,ROUNDDOWN(I233,0))*3)*(3*$J233^3-6*$J233^2+3*$J233)+INDIRECT("D$"&amp;4+MIN(2,ROUNDDOWN(I233,0))*3)*(-3*$J233^3+3*$J233^2)+INDIRECT("D$"&amp;5+MIN(2,ROUNDDOWN(I233,0))*3)*$J233^3</f>
      </c>
      <c r="M233" s="7">
        <f>SQRT(K233^2+L233^2)</f>
      </c>
      <c r="N233" s="7">
        <f>(K234-K232)</f>
      </c>
      <c r="O233" s="7">
        <f>+(L234-L232)</f>
      </c>
      <c r="P233" s="7">
        <f>SQRT(O233^2+N233^2)</f>
      </c>
      <c r="Q233" s="7">
        <f>N233/$P233</f>
      </c>
      <c r="R233" s="7">
        <f>O233/$P233</f>
      </c>
      <c r="S233" s="8">
        <f>Q233^2+R233^2</f>
      </c>
      <c r="T233" s="7">
        <f>-R233</f>
      </c>
      <c r="U233" s="7">
        <f>Q233</f>
      </c>
      <c r="V233" s="7">
        <f>($C$14+($C$15-$C$14)/($D$15-$D$14)*(I233-$D$14))/2</f>
      </c>
      <c r="W233" s="7">
        <f>($B$22*I233^4+$C$22*I233^3+$D$22*I233^2+$E$22*I233+$F$22)/2</f>
      </c>
      <c r="X233" s="7">
        <f>($W233)*(T233)</f>
      </c>
      <c r="Y233" s="7">
        <f>($W233)*(U233)</f>
      </c>
      <c r="Z233" s="7">
        <f>SQRT(X233^2+Y233^2)</f>
      </c>
      <c r="AA233" s="7">
        <f>$K233+$X233</f>
      </c>
      <c r="AB233" s="7">
        <f>$L233+$Y233</f>
      </c>
      <c r="AC233" s="7">
        <f>$K233-$X233</f>
      </c>
      <c r="AD233" s="7">
        <f>$L233-$Y233</f>
      </c>
      <c r="AE233" s="7">
        <f>AA233/39.3701</f>
      </c>
      <c r="AF233" s="7">
        <f>AB233/39.3701</f>
      </c>
      <c r="AG233" s="7">
        <f>AC233/39.3701</f>
      </c>
      <c r="AH233" s="7">
        <f>AD233/39.3701</f>
      </c>
      <c r="AI233" s="1"/>
      <c r="AJ233" s="1"/>
      <c r="AK233" s="1"/>
      <c r="AL233" s="1"/>
      <c r="AM233" s="2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</row>
    <row x14ac:dyDescent="0.25" r="234" customHeight="1" ht="18.75">
      <c r="A234" s="1"/>
      <c r="B234" s="2"/>
      <c r="C234" s="2"/>
      <c r="D234" s="2"/>
      <c r="E234" s="2"/>
      <c r="F234" s="2"/>
      <c r="G234" s="1"/>
      <c r="H234" s="1"/>
      <c r="I234" s="7">
        <v>0.231</v>
      </c>
      <c r="J234" s="7">
        <f>IF((I234-ROUNDDOWN(I234,0))=0, 0, (I234-ROUNDDOWN(I234,0)))</f>
      </c>
      <c r="K234" s="7">
        <f>INDIRECT("C$"&amp;2+MIN(2,ROUNDDOWN(I234,0))*3)*(-$J234^3+3*$J234^2-3*$J234+1)+INDIRECT("C$"&amp;3+MIN(2,ROUNDDOWN(I234,0))*3)*(3*$J234^3-6*$J234^2+3*$J234)+INDIRECT("C$"&amp;4+MIN(2,ROUNDDOWN(I234,0))*3)*(-3*$J234^3+3*$J234^2)+INDIRECT("C$"&amp;5+MIN(2,ROUNDDOWN(I234,0))*3)*$J234^3</f>
      </c>
      <c r="L234" s="7">
        <f>INDIRECT("D$"&amp;2+MIN(2,ROUNDDOWN(I234,0))*3)*(-$J234^3+3*$J234^2-3*$J234+1)+INDIRECT("D$"&amp;3+MIN(2,ROUNDDOWN(I234,0))*3)*(3*$J234^3-6*$J234^2+3*$J234)+INDIRECT("D$"&amp;4+MIN(2,ROUNDDOWN(I234,0))*3)*(-3*$J234^3+3*$J234^2)+INDIRECT("D$"&amp;5+MIN(2,ROUNDDOWN(I234,0))*3)*$J234^3</f>
      </c>
      <c r="M234" s="7">
        <f>SQRT(K234^2+L234^2)</f>
      </c>
      <c r="N234" s="7">
        <f>(K235-K233)</f>
      </c>
      <c r="O234" s="7">
        <f>+(L235-L233)</f>
      </c>
      <c r="P234" s="7">
        <f>SQRT(O234^2+N234^2)</f>
      </c>
      <c r="Q234" s="7">
        <f>N234/$P234</f>
      </c>
      <c r="R234" s="7">
        <f>O234/$P234</f>
      </c>
      <c r="S234" s="7">
        <f>Q234^2+R234^2</f>
      </c>
      <c r="T234" s="7">
        <f>-R234</f>
      </c>
      <c r="U234" s="7">
        <f>Q234</f>
      </c>
      <c r="V234" s="7">
        <f>($C$14+($C$15-$C$14)/($D$15-$D$14)*(I234-$D$14))/2</f>
      </c>
      <c r="W234" s="7">
        <f>($B$22*I234^4+$C$22*I234^3+$D$22*I234^2+$E$22*I234+$F$22)/2</f>
      </c>
      <c r="X234" s="7">
        <f>($W234)*(T234)</f>
      </c>
      <c r="Y234" s="7">
        <f>($W234)*(U234)</f>
      </c>
      <c r="Z234" s="7">
        <f>SQRT(X234^2+Y234^2)</f>
      </c>
      <c r="AA234" s="7">
        <f>$K234+$X234</f>
      </c>
      <c r="AB234" s="7">
        <f>$L234+$Y234</f>
      </c>
      <c r="AC234" s="7">
        <f>$K234-$X234</f>
      </c>
      <c r="AD234" s="7">
        <f>$L234-$Y234</f>
      </c>
      <c r="AE234" s="7">
        <f>AA234/39.3701</f>
      </c>
      <c r="AF234" s="7">
        <f>AB234/39.3701</f>
      </c>
      <c r="AG234" s="7">
        <f>AC234/39.3701</f>
      </c>
      <c r="AH234" s="7">
        <f>AD234/39.3701</f>
      </c>
      <c r="AI234" s="1"/>
      <c r="AJ234" s="1"/>
      <c r="AK234" s="1"/>
      <c r="AL234" s="1"/>
      <c r="AM234" s="2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</row>
    <row x14ac:dyDescent="0.25" r="235" customHeight="1" ht="18.75">
      <c r="A235" s="1"/>
      <c r="B235" s="2"/>
      <c r="C235" s="2"/>
      <c r="D235" s="2"/>
      <c r="E235" s="2"/>
      <c r="F235" s="2"/>
      <c r="G235" s="1"/>
      <c r="H235" s="1"/>
      <c r="I235" s="7">
        <v>0.232</v>
      </c>
      <c r="J235" s="7">
        <f>IF((I235-ROUNDDOWN(I235,0))=0, 0, (I235-ROUNDDOWN(I235,0)))</f>
      </c>
      <c r="K235" s="7">
        <f>INDIRECT("C$"&amp;2+MIN(2,ROUNDDOWN(I235,0))*3)*(-$J235^3+3*$J235^2-3*$J235+1)+INDIRECT("C$"&amp;3+MIN(2,ROUNDDOWN(I235,0))*3)*(3*$J235^3-6*$J235^2+3*$J235)+INDIRECT("C$"&amp;4+MIN(2,ROUNDDOWN(I235,0))*3)*(-3*$J235^3+3*$J235^2)+INDIRECT("C$"&amp;5+MIN(2,ROUNDDOWN(I235,0))*3)*$J235^3</f>
      </c>
      <c r="L235" s="7">
        <f>INDIRECT("D$"&amp;2+MIN(2,ROUNDDOWN(I235,0))*3)*(-$J235^3+3*$J235^2-3*$J235+1)+INDIRECT("D$"&amp;3+MIN(2,ROUNDDOWN(I235,0))*3)*(3*$J235^3-6*$J235^2+3*$J235)+INDIRECT("D$"&amp;4+MIN(2,ROUNDDOWN(I235,0))*3)*(-3*$J235^3+3*$J235^2)+INDIRECT("D$"&amp;5+MIN(2,ROUNDDOWN(I235,0))*3)*$J235^3</f>
      </c>
      <c r="M235" s="7">
        <f>SQRT(K235^2+L235^2)</f>
      </c>
      <c r="N235" s="7">
        <f>(K236-K234)</f>
      </c>
      <c r="O235" s="7">
        <f>+(L236-L234)</f>
      </c>
      <c r="P235" s="7">
        <f>SQRT(O235^2+N235^2)</f>
      </c>
      <c r="Q235" s="7">
        <f>N235/$P235</f>
      </c>
      <c r="R235" s="7">
        <f>O235/$P235</f>
      </c>
      <c r="S235" s="7">
        <f>Q235^2+R235^2</f>
      </c>
      <c r="T235" s="7">
        <f>-R235</f>
      </c>
      <c r="U235" s="7">
        <f>Q235</f>
      </c>
      <c r="V235" s="7">
        <f>($C$14+($C$15-$C$14)/($D$15-$D$14)*(I235-$D$14))/2</f>
      </c>
      <c r="W235" s="7">
        <f>($B$22*I235^4+$C$22*I235^3+$D$22*I235^2+$E$22*I235+$F$22)/2</f>
      </c>
      <c r="X235" s="7">
        <f>($W235)*(T235)</f>
      </c>
      <c r="Y235" s="7">
        <f>($W235)*(U235)</f>
      </c>
      <c r="Z235" s="7">
        <f>SQRT(X235^2+Y235^2)</f>
      </c>
      <c r="AA235" s="7">
        <f>$K235+$X235</f>
      </c>
      <c r="AB235" s="7">
        <f>$L235+$Y235</f>
      </c>
      <c r="AC235" s="7">
        <f>$K235-$X235</f>
      </c>
      <c r="AD235" s="7">
        <f>$L235-$Y235</f>
      </c>
      <c r="AE235" s="7">
        <f>AA235/39.3701</f>
      </c>
      <c r="AF235" s="7">
        <f>AB235/39.3701</f>
      </c>
      <c r="AG235" s="7">
        <f>AC235/39.3701</f>
      </c>
      <c r="AH235" s="7">
        <f>AD235/39.3701</f>
      </c>
      <c r="AI235" s="1"/>
      <c r="AJ235" s="1"/>
      <c r="AK235" s="1"/>
      <c r="AL235" s="1"/>
      <c r="AM235" s="2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</row>
    <row x14ac:dyDescent="0.25" r="236" customHeight="1" ht="18.75">
      <c r="A236" s="1"/>
      <c r="B236" s="2"/>
      <c r="C236" s="2"/>
      <c r="D236" s="2"/>
      <c r="E236" s="2"/>
      <c r="F236" s="2"/>
      <c r="G236" s="1"/>
      <c r="H236" s="1"/>
      <c r="I236" s="7">
        <v>0.233</v>
      </c>
      <c r="J236" s="7">
        <f>IF((I236-ROUNDDOWN(I236,0))=0, 0, (I236-ROUNDDOWN(I236,0)))</f>
      </c>
      <c r="K236" s="7">
        <f>INDIRECT("C$"&amp;2+MIN(2,ROUNDDOWN(I236,0))*3)*(-$J236^3+3*$J236^2-3*$J236+1)+INDIRECT("C$"&amp;3+MIN(2,ROUNDDOWN(I236,0))*3)*(3*$J236^3-6*$J236^2+3*$J236)+INDIRECT("C$"&amp;4+MIN(2,ROUNDDOWN(I236,0))*3)*(-3*$J236^3+3*$J236^2)+INDIRECT("C$"&amp;5+MIN(2,ROUNDDOWN(I236,0))*3)*$J236^3</f>
      </c>
      <c r="L236" s="7">
        <f>INDIRECT("D$"&amp;2+MIN(2,ROUNDDOWN(I236,0))*3)*(-$J236^3+3*$J236^2-3*$J236+1)+INDIRECT("D$"&amp;3+MIN(2,ROUNDDOWN(I236,0))*3)*(3*$J236^3-6*$J236^2+3*$J236)+INDIRECT("D$"&amp;4+MIN(2,ROUNDDOWN(I236,0))*3)*(-3*$J236^3+3*$J236^2)+INDIRECT("D$"&amp;5+MIN(2,ROUNDDOWN(I236,0))*3)*$J236^3</f>
      </c>
      <c r="M236" s="7">
        <f>SQRT(K236^2+L236^2)</f>
      </c>
      <c r="N236" s="7">
        <f>(K237-K235)</f>
      </c>
      <c r="O236" s="7">
        <f>+(L237-L235)</f>
      </c>
      <c r="P236" s="7">
        <f>SQRT(O236^2+N236^2)</f>
      </c>
      <c r="Q236" s="7">
        <f>N236/$P236</f>
      </c>
      <c r="R236" s="7">
        <f>O236/$P236</f>
      </c>
      <c r="S236" s="7">
        <f>Q236^2+R236^2</f>
      </c>
      <c r="T236" s="7">
        <f>-R236</f>
      </c>
      <c r="U236" s="7">
        <f>Q236</f>
      </c>
      <c r="V236" s="7">
        <f>($C$14+($C$15-$C$14)/($D$15-$D$14)*(I236-$D$14))/2</f>
      </c>
      <c r="W236" s="7">
        <f>($B$22*I236^4+$C$22*I236^3+$D$22*I236^2+$E$22*I236+$F$22)/2</f>
      </c>
      <c r="X236" s="7">
        <f>($W236)*(T236)</f>
      </c>
      <c r="Y236" s="7">
        <f>($W236)*(U236)</f>
      </c>
      <c r="Z236" s="7">
        <f>SQRT(X236^2+Y236^2)</f>
      </c>
      <c r="AA236" s="7">
        <f>$K236+$X236</f>
      </c>
      <c r="AB236" s="7">
        <f>$L236+$Y236</f>
      </c>
      <c r="AC236" s="7">
        <f>$K236-$X236</f>
      </c>
      <c r="AD236" s="7">
        <f>$L236-$Y236</f>
      </c>
      <c r="AE236" s="7">
        <f>AA236/39.3701</f>
      </c>
      <c r="AF236" s="7">
        <f>AB236/39.3701</f>
      </c>
      <c r="AG236" s="7">
        <f>AC236/39.3701</f>
      </c>
      <c r="AH236" s="7">
        <f>AD236/39.3701</f>
      </c>
      <c r="AI236" s="1"/>
      <c r="AJ236" s="1"/>
      <c r="AK236" s="1"/>
      <c r="AL236" s="1"/>
      <c r="AM236" s="2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</row>
    <row x14ac:dyDescent="0.25" r="237" customHeight="1" ht="18.75">
      <c r="A237" s="1"/>
      <c r="B237" s="2"/>
      <c r="C237" s="2"/>
      <c r="D237" s="2"/>
      <c r="E237" s="2"/>
      <c r="F237" s="2"/>
      <c r="G237" s="1"/>
      <c r="H237" s="1"/>
      <c r="I237" s="7">
        <v>0.234</v>
      </c>
      <c r="J237" s="7">
        <f>IF((I237-ROUNDDOWN(I237,0))=0, 0, (I237-ROUNDDOWN(I237,0)))</f>
      </c>
      <c r="K237" s="7">
        <f>INDIRECT("C$"&amp;2+MIN(2,ROUNDDOWN(I237,0))*3)*(-$J237^3+3*$J237^2-3*$J237+1)+INDIRECT("C$"&amp;3+MIN(2,ROUNDDOWN(I237,0))*3)*(3*$J237^3-6*$J237^2+3*$J237)+INDIRECT("C$"&amp;4+MIN(2,ROUNDDOWN(I237,0))*3)*(-3*$J237^3+3*$J237^2)+INDIRECT("C$"&amp;5+MIN(2,ROUNDDOWN(I237,0))*3)*$J237^3</f>
      </c>
      <c r="L237" s="7">
        <f>INDIRECT("D$"&amp;2+MIN(2,ROUNDDOWN(I237,0))*3)*(-$J237^3+3*$J237^2-3*$J237+1)+INDIRECT("D$"&amp;3+MIN(2,ROUNDDOWN(I237,0))*3)*(3*$J237^3-6*$J237^2+3*$J237)+INDIRECT("D$"&amp;4+MIN(2,ROUNDDOWN(I237,0))*3)*(-3*$J237^3+3*$J237^2)+INDIRECT("D$"&amp;5+MIN(2,ROUNDDOWN(I237,0))*3)*$J237^3</f>
      </c>
      <c r="M237" s="7">
        <f>SQRT(K237^2+L237^2)</f>
      </c>
      <c r="N237" s="7">
        <f>(K238-K236)</f>
      </c>
      <c r="O237" s="7">
        <f>+(L238-L236)</f>
      </c>
      <c r="P237" s="7">
        <f>SQRT(O237^2+N237^2)</f>
      </c>
      <c r="Q237" s="7">
        <f>N237/$P237</f>
      </c>
      <c r="R237" s="7">
        <f>O237/$P237</f>
      </c>
      <c r="S237" s="8">
        <f>Q237^2+R237^2</f>
      </c>
      <c r="T237" s="7">
        <f>-R237</f>
      </c>
      <c r="U237" s="7">
        <f>Q237</f>
      </c>
      <c r="V237" s="7">
        <f>($C$14+($C$15-$C$14)/($D$15-$D$14)*(I237-$D$14))/2</f>
      </c>
      <c r="W237" s="7">
        <f>($B$22*I237^4+$C$22*I237^3+$D$22*I237^2+$E$22*I237+$F$22)/2</f>
      </c>
      <c r="X237" s="7">
        <f>($W237)*(T237)</f>
      </c>
      <c r="Y237" s="7">
        <f>($W237)*(U237)</f>
      </c>
      <c r="Z237" s="7">
        <f>SQRT(X237^2+Y237^2)</f>
      </c>
      <c r="AA237" s="7">
        <f>$K237+$X237</f>
      </c>
      <c r="AB237" s="7">
        <f>$L237+$Y237</f>
      </c>
      <c r="AC237" s="7">
        <f>$K237-$X237</f>
      </c>
      <c r="AD237" s="7">
        <f>$L237-$Y237</f>
      </c>
      <c r="AE237" s="7">
        <f>AA237/39.3701</f>
      </c>
      <c r="AF237" s="7">
        <f>AB237/39.3701</f>
      </c>
      <c r="AG237" s="7">
        <f>AC237/39.3701</f>
      </c>
      <c r="AH237" s="7">
        <f>AD237/39.3701</f>
      </c>
      <c r="AI237" s="1"/>
      <c r="AJ237" s="1"/>
      <c r="AK237" s="1"/>
      <c r="AL237" s="1"/>
      <c r="AM237" s="2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</row>
    <row x14ac:dyDescent="0.25" r="238" customHeight="1" ht="18.75">
      <c r="A238" s="1"/>
      <c r="B238" s="2"/>
      <c r="C238" s="2"/>
      <c r="D238" s="2"/>
      <c r="E238" s="2"/>
      <c r="F238" s="2"/>
      <c r="G238" s="1"/>
      <c r="H238" s="1"/>
      <c r="I238" s="7">
        <v>0.235</v>
      </c>
      <c r="J238" s="7">
        <f>IF((I238-ROUNDDOWN(I238,0))=0, 0, (I238-ROUNDDOWN(I238,0)))</f>
      </c>
      <c r="K238" s="7">
        <f>INDIRECT("C$"&amp;2+MIN(2,ROUNDDOWN(I238,0))*3)*(-$J238^3+3*$J238^2-3*$J238+1)+INDIRECT("C$"&amp;3+MIN(2,ROUNDDOWN(I238,0))*3)*(3*$J238^3-6*$J238^2+3*$J238)+INDIRECT("C$"&amp;4+MIN(2,ROUNDDOWN(I238,0))*3)*(-3*$J238^3+3*$J238^2)+INDIRECT("C$"&amp;5+MIN(2,ROUNDDOWN(I238,0))*3)*$J238^3</f>
      </c>
      <c r="L238" s="7">
        <f>INDIRECT("D$"&amp;2+MIN(2,ROUNDDOWN(I238,0))*3)*(-$J238^3+3*$J238^2-3*$J238+1)+INDIRECT("D$"&amp;3+MIN(2,ROUNDDOWN(I238,0))*3)*(3*$J238^3-6*$J238^2+3*$J238)+INDIRECT("D$"&amp;4+MIN(2,ROUNDDOWN(I238,0))*3)*(-3*$J238^3+3*$J238^2)+INDIRECT("D$"&amp;5+MIN(2,ROUNDDOWN(I238,0))*3)*$J238^3</f>
      </c>
      <c r="M238" s="7">
        <f>SQRT(K238^2+L238^2)</f>
      </c>
      <c r="N238" s="7">
        <f>(K239-K237)</f>
      </c>
      <c r="O238" s="7">
        <f>+(L239-L237)</f>
      </c>
      <c r="P238" s="7">
        <f>SQRT(O238^2+N238^2)</f>
      </c>
      <c r="Q238" s="7">
        <f>N238/$P238</f>
      </c>
      <c r="R238" s="7">
        <f>O238/$P238</f>
      </c>
      <c r="S238" s="7">
        <f>Q238^2+R238^2</f>
      </c>
      <c r="T238" s="7">
        <f>-R238</f>
      </c>
      <c r="U238" s="7">
        <f>Q238</f>
      </c>
      <c r="V238" s="7">
        <f>($C$14+($C$15-$C$14)/($D$15-$D$14)*(I238-$D$14))/2</f>
      </c>
      <c r="W238" s="7">
        <f>($B$22*I238^4+$C$22*I238^3+$D$22*I238^2+$E$22*I238+$F$22)/2</f>
      </c>
      <c r="X238" s="7">
        <f>($W238)*(T238)</f>
      </c>
      <c r="Y238" s="7">
        <f>($W238)*(U238)</f>
      </c>
      <c r="Z238" s="7">
        <f>SQRT(X238^2+Y238^2)</f>
      </c>
      <c r="AA238" s="7">
        <f>$K238+$X238</f>
      </c>
      <c r="AB238" s="7">
        <f>$L238+$Y238</f>
      </c>
      <c r="AC238" s="7">
        <f>$K238-$X238</f>
      </c>
      <c r="AD238" s="7">
        <f>$L238-$Y238</f>
      </c>
      <c r="AE238" s="7">
        <f>AA238/39.3701</f>
      </c>
      <c r="AF238" s="7">
        <f>AB238/39.3701</f>
      </c>
      <c r="AG238" s="7">
        <f>AC238/39.3701</f>
      </c>
      <c r="AH238" s="7">
        <f>AD238/39.3701</f>
      </c>
      <c r="AI238" s="1"/>
      <c r="AJ238" s="1"/>
      <c r="AK238" s="1"/>
      <c r="AL238" s="1"/>
      <c r="AM238" s="2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</row>
    <row x14ac:dyDescent="0.25" r="239" customHeight="1" ht="18.75">
      <c r="A239" s="1"/>
      <c r="B239" s="2"/>
      <c r="C239" s="2"/>
      <c r="D239" s="2"/>
      <c r="E239" s="2"/>
      <c r="F239" s="2"/>
      <c r="G239" s="1"/>
      <c r="H239" s="1"/>
      <c r="I239" s="7">
        <v>0.236</v>
      </c>
      <c r="J239" s="7">
        <f>IF((I239-ROUNDDOWN(I239,0))=0, 0, (I239-ROUNDDOWN(I239,0)))</f>
      </c>
      <c r="K239" s="7">
        <f>INDIRECT("C$"&amp;2+MIN(2,ROUNDDOWN(I239,0))*3)*(-$J239^3+3*$J239^2-3*$J239+1)+INDIRECT("C$"&amp;3+MIN(2,ROUNDDOWN(I239,0))*3)*(3*$J239^3-6*$J239^2+3*$J239)+INDIRECT("C$"&amp;4+MIN(2,ROUNDDOWN(I239,0))*3)*(-3*$J239^3+3*$J239^2)+INDIRECT("C$"&amp;5+MIN(2,ROUNDDOWN(I239,0))*3)*$J239^3</f>
      </c>
      <c r="L239" s="7">
        <f>INDIRECT("D$"&amp;2+MIN(2,ROUNDDOWN(I239,0))*3)*(-$J239^3+3*$J239^2-3*$J239+1)+INDIRECT("D$"&amp;3+MIN(2,ROUNDDOWN(I239,0))*3)*(3*$J239^3-6*$J239^2+3*$J239)+INDIRECT("D$"&amp;4+MIN(2,ROUNDDOWN(I239,0))*3)*(-3*$J239^3+3*$J239^2)+INDIRECT("D$"&amp;5+MIN(2,ROUNDDOWN(I239,0))*3)*$J239^3</f>
      </c>
      <c r="M239" s="7">
        <f>SQRT(K239^2+L239^2)</f>
      </c>
      <c r="N239" s="7">
        <f>(K240-K238)</f>
      </c>
      <c r="O239" s="7">
        <f>+(L240-L238)</f>
      </c>
      <c r="P239" s="7">
        <f>SQRT(O239^2+N239^2)</f>
      </c>
      <c r="Q239" s="7">
        <f>N239/$P239</f>
      </c>
      <c r="R239" s="7">
        <f>O239/$P239</f>
      </c>
      <c r="S239" s="7">
        <f>Q239^2+R239^2</f>
      </c>
      <c r="T239" s="7">
        <f>-R239</f>
      </c>
      <c r="U239" s="7">
        <f>Q239</f>
      </c>
      <c r="V239" s="7">
        <f>($C$14+($C$15-$C$14)/($D$15-$D$14)*(I239-$D$14))/2</f>
      </c>
      <c r="W239" s="7">
        <f>($B$22*I239^4+$C$22*I239^3+$D$22*I239^2+$E$22*I239+$F$22)/2</f>
      </c>
      <c r="X239" s="7">
        <f>($W239)*(T239)</f>
      </c>
      <c r="Y239" s="7">
        <f>($W239)*(U239)</f>
      </c>
      <c r="Z239" s="7">
        <f>SQRT(X239^2+Y239^2)</f>
      </c>
      <c r="AA239" s="7">
        <f>$K239+$X239</f>
      </c>
      <c r="AB239" s="7">
        <f>$L239+$Y239</f>
      </c>
      <c r="AC239" s="7">
        <f>$K239-$X239</f>
      </c>
      <c r="AD239" s="7">
        <f>$L239-$Y239</f>
      </c>
      <c r="AE239" s="7">
        <f>AA239/39.3701</f>
      </c>
      <c r="AF239" s="7">
        <f>AB239/39.3701</f>
      </c>
      <c r="AG239" s="7">
        <f>AC239/39.3701</f>
      </c>
      <c r="AH239" s="7">
        <f>AD239/39.3701</f>
      </c>
      <c r="AI239" s="1"/>
      <c r="AJ239" s="1"/>
      <c r="AK239" s="1"/>
      <c r="AL239" s="1"/>
      <c r="AM239" s="2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</row>
    <row x14ac:dyDescent="0.25" r="240" customHeight="1" ht="18.75">
      <c r="A240" s="1"/>
      <c r="B240" s="2"/>
      <c r="C240" s="2"/>
      <c r="D240" s="2"/>
      <c r="E240" s="2"/>
      <c r="F240" s="2"/>
      <c r="G240" s="1"/>
      <c r="H240" s="1"/>
      <c r="I240" s="7">
        <v>0.237</v>
      </c>
      <c r="J240" s="7">
        <f>IF((I240-ROUNDDOWN(I240,0))=0, 0, (I240-ROUNDDOWN(I240,0)))</f>
      </c>
      <c r="K240" s="7">
        <f>INDIRECT("C$"&amp;2+MIN(2,ROUNDDOWN(I240,0))*3)*(-$J240^3+3*$J240^2-3*$J240+1)+INDIRECT("C$"&amp;3+MIN(2,ROUNDDOWN(I240,0))*3)*(3*$J240^3-6*$J240^2+3*$J240)+INDIRECT("C$"&amp;4+MIN(2,ROUNDDOWN(I240,0))*3)*(-3*$J240^3+3*$J240^2)+INDIRECT("C$"&amp;5+MIN(2,ROUNDDOWN(I240,0))*3)*$J240^3</f>
      </c>
      <c r="L240" s="7">
        <f>INDIRECT("D$"&amp;2+MIN(2,ROUNDDOWN(I240,0))*3)*(-$J240^3+3*$J240^2-3*$J240+1)+INDIRECT("D$"&amp;3+MIN(2,ROUNDDOWN(I240,0))*3)*(3*$J240^3-6*$J240^2+3*$J240)+INDIRECT("D$"&amp;4+MIN(2,ROUNDDOWN(I240,0))*3)*(-3*$J240^3+3*$J240^2)+INDIRECT("D$"&amp;5+MIN(2,ROUNDDOWN(I240,0))*3)*$J240^3</f>
      </c>
      <c r="M240" s="7">
        <f>SQRT(K240^2+L240^2)</f>
      </c>
      <c r="N240" s="7">
        <f>(K241-K239)</f>
      </c>
      <c r="O240" s="7">
        <f>+(L241-L239)</f>
      </c>
      <c r="P240" s="7">
        <f>SQRT(O240^2+N240^2)</f>
      </c>
      <c r="Q240" s="7">
        <f>N240/$P240</f>
      </c>
      <c r="R240" s="7">
        <f>O240/$P240</f>
      </c>
      <c r="S240" s="7">
        <f>Q240^2+R240^2</f>
      </c>
      <c r="T240" s="7">
        <f>-R240</f>
      </c>
      <c r="U240" s="7">
        <f>Q240</f>
      </c>
      <c r="V240" s="7">
        <f>($C$14+($C$15-$C$14)/($D$15-$D$14)*(I240-$D$14))/2</f>
      </c>
      <c r="W240" s="7">
        <f>($B$22*I240^4+$C$22*I240^3+$D$22*I240^2+$E$22*I240+$F$22)/2</f>
      </c>
      <c r="X240" s="7">
        <f>($W240)*(T240)</f>
      </c>
      <c r="Y240" s="7">
        <f>($W240)*(U240)</f>
      </c>
      <c r="Z240" s="7">
        <f>SQRT(X240^2+Y240^2)</f>
      </c>
      <c r="AA240" s="7">
        <f>$K240+$X240</f>
      </c>
      <c r="AB240" s="7">
        <f>$L240+$Y240</f>
      </c>
      <c r="AC240" s="7">
        <f>$K240-$X240</f>
      </c>
      <c r="AD240" s="7">
        <f>$L240-$Y240</f>
      </c>
      <c r="AE240" s="7">
        <f>AA240/39.3701</f>
      </c>
      <c r="AF240" s="7">
        <f>AB240/39.3701</f>
      </c>
      <c r="AG240" s="7">
        <f>AC240/39.3701</f>
      </c>
      <c r="AH240" s="7">
        <f>AD240/39.3701</f>
      </c>
      <c r="AI240" s="1"/>
      <c r="AJ240" s="1"/>
      <c r="AK240" s="1"/>
      <c r="AL240" s="1"/>
      <c r="AM240" s="2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</row>
    <row x14ac:dyDescent="0.25" r="241" customHeight="1" ht="18.75">
      <c r="A241" s="1"/>
      <c r="B241" s="2"/>
      <c r="C241" s="2"/>
      <c r="D241" s="2"/>
      <c r="E241" s="2"/>
      <c r="F241" s="2"/>
      <c r="G241" s="1"/>
      <c r="H241" s="1"/>
      <c r="I241" s="7">
        <v>0.238</v>
      </c>
      <c r="J241" s="7">
        <f>IF((I241-ROUNDDOWN(I241,0))=0, 0, (I241-ROUNDDOWN(I241,0)))</f>
      </c>
      <c r="K241" s="7">
        <f>INDIRECT("C$"&amp;2+MIN(2,ROUNDDOWN(I241,0))*3)*(-$J241^3+3*$J241^2-3*$J241+1)+INDIRECT("C$"&amp;3+MIN(2,ROUNDDOWN(I241,0))*3)*(3*$J241^3-6*$J241^2+3*$J241)+INDIRECT("C$"&amp;4+MIN(2,ROUNDDOWN(I241,0))*3)*(-3*$J241^3+3*$J241^2)+INDIRECT("C$"&amp;5+MIN(2,ROUNDDOWN(I241,0))*3)*$J241^3</f>
      </c>
      <c r="L241" s="7">
        <f>INDIRECT("D$"&amp;2+MIN(2,ROUNDDOWN(I241,0))*3)*(-$J241^3+3*$J241^2-3*$J241+1)+INDIRECT("D$"&amp;3+MIN(2,ROUNDDOWN(I241,0))*3)*(3*$J241^3-6*$J241^2+3*$J241)+INDIRECT("D$"&amp;4+MIN(2,ROUNDDOWN(I241,0))*3)*(-3*$J241^3+3*$J241^2)+INDIRECT("D$"&amp;5+MIN(2,ROUNDDOWN(I241,0))*3)*$J241^3</f>
      </c>
      <c r="M241" s="7">
        <f>SQRT(K241^2+L241^2)</f>
      </c>
      <c r="N241" s="7">
        <f>(K242-K240)</f>
      </c>
      <c r="O241" s="7">
        <f>+(L242-L240)</f>
      </c>
      <c r="P241" s="7">
        <f>SQRT(O241^2+N241^2)</f>
      </c>
      <c r="Q241" s="7">
        <f>N241/$P241</f>
      </c>
      <c r="R241" s="7">
        <f>O241/$P241</f>
      </c>
      <c r="S241" s="7">
        <f>Q241^2+R241^2</f>
      </c>
      <c r="T241" s="7">
        <f>-R241</f>
      </c>
      <c r="U241" s="7">
        <f>Q241</f>
      </c>
      <c r="V241" s="7">
        <f>($C$14+($C$15-$C$14)/($D$15-$D$14)*(I241-$D$14))/2</f>
      </c>
      <c r="W241" s="7">
        <f>($B$22*I241^4+$C$22*I241^3+$D$22*I241^2+$E$22*I241+$F$22)/2</f>
      </c>
      <c r="X241" s="7">
        <f>($W241)*(T241)</f>
      </c>
      <c r="Y241" s="7">
        <f>($W241)*(U241)</f>
      </c>
      <c r="Z241" s="7">
        <f>SQRT(X241^2+Y241^2)</f>
      </c>
      <c r="AA241" s="7">
        <f>$K241+$X241</f>
      </c>
      <c r="AB241" s="7">
        <f>$L241+$Y241</f>
      </c>
      <c r="AC241" s="7">
        <f>$K241-$X241</f>
      </c>
      <c r="AD241" s="7">
        <f>$L241-$Y241</f>
      </c>
      <c r="AE241" s="7">
        <f>AA241/39.3701</f>
      </c>
      <c r="AF241" s="7">
        <f>AB241/39.3701</f>
      </c>
      <c r="AG241" s="7">
        <f>AC241/39.3701</f>
      </c>
      <c r="AH241" s="7">
        <f>AD241/39.3701</f>
      </c>
      <c r="AI241" s="1"/>
      <c r="AJ241" s="1"/>
      <c r="AK241" s="1"/>
      <c r="AL241" s="1"/>
      <c r="AM241" s="2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</row>
    <row x14ac:dyDescent="0.25" r="242" customHeight="1" ht="18.75">
      <c r="A242" s="1"/>
      <c r="B242" s="2"/>
      <c r="C242" s="2"/>
      <c r="D242" s="2"/>
      <c r="E242" s="2"/>
      <c r="F242" s="2"/>
      <c r="G242" s="1"/>
      <c r="H242" s="1"/>
      <c r="I242" s="7">
        <v>0.239</v>
      </c>
      <c r="J242" s="7">
        <f>IF((I242-ROUNDDOWN(I242,0))=0, 0, (I242-ROUNDDOWN(I242,0)))</f>
      </c>
      <c r="K242" s="7">
        <f>INDIRECT("C$"&amp;2+MIN(2,ROUNDDOWN(I242,0))*3)*(-$J242^3+3*$J242^2-3*$J242+1)+INDIRECT("C$"&amp;3+MIN(2,ROUNDDOWN(I242,0))*3)*(3*$J242^3-6*$J242^2+3*$J242)+INDIRECT("C$"&amp;4+MIN(2,ROUNDDOWN(I242,0))*3)*(-3*$J242^3+3*$J242^2)+INDIRECT("C$"&amp;5+MIN(2,ROUNDDOWN(I242,0))*3)*$J242^3</f>
      </c>
      <c r="L242" s="7">
        <f>INDIRECT("D$"&amp;2+MIN(2,ROUNDDOWN(I242,0))*3)*(-$J242^3+3*$J242^2-3*$J242+1)+INDIRECT("D$"&amp;3+MIN(2,ROUNDDOWN(I242,0))*3)*(3*$J242^3-6*$J242^2+3*$J242)+INDIRECT("D$"&amp;4+MIN(2,ROUNDDOWN(I242,0))*3)*(-3*$J242^3+3*$J242^2)+INDIRECT("D$"&amp;5+MIN(2,ROUNDDOWN(I242,0))*3)*$J242^3</f>
      </c>
      <c r="M242" s="7">
        <f>SQRT(K242^2+L242^2)</f>
      </c>
      <c r="N242" s="7">
        <f>(K243-K241)</f>
      </c>
      <c r="O242" s="7">
        <f>+(L243-L241)</f>
      </c>
      <c r="P242" s="7">
        <f>SQRT(O242^2+N242^2)</f>
      </c>
      <c r="Q242" s="7">
        <f>N242/$P242</f>
      </c>
      <c r="R242" s="7">
        <f>O242/$P242</f>
      </c>
      <c r="S242" s="8">
        <f>Q242^2+R242^2</f>
      </c>
      <c r="T242" s="7">
        <f>-R242</f>
      </c>
      <c r="U242" s="7">
        <f>Q242</f>
      </c>
      <c r="V242" s="7">
        <f>($C$14+($C$15-$C$14)/($D$15-$D$14)*(I242-$D$14))/2</f>
      </c>
      <c r="W242" s="7">
        <f>($B$22*I242^4+$C$22*I242^3+$D$22*I242^2+$E$22*I242+$F$22)/2</f>
      </c>
      <c r="X242" s="7">
        <f>($W242)*(T242)</f>
      </c>
      <c r="Y242" s="7">
        <f>($W242)*(U242)</f>
      </c>
      <c r="Z242" s="7">
        <f>SQRT(X242^2+Y242^2)</f>
      </c>
      <c r="AA242" s="7">
        <f>$K242+$X242</f>
      </c>
      <c r="AB242" s="7">
        <f>$L242+$Y242</f>
      </c>
      <c r="AC242" s="7">
        <f>$K242-$X242</f>
      </c>
      <c r="AD242" s="7">
        <f>$L242-$Y242</f>
      </c>
      <c r="AE242" s="7">
        <f>AA242/39.3701</f>
      </c>
      <c r="AF242" s="7">
        <f>AB242/39.3701</f>
      </c>
      <c r="AG242" s="7">
        <f>AC242/39.3701</f>
      </c>
      <c r="AH242" s="7">
        <f>AD242/39.3701</f>
      </c>
      <c r="AI242" s="1"/>
      <c r="AJ242" s="1"/>
      <c r="AK242" s="1"/>
      <c r="AL242" s="1"/>
      <c r="AM242" s="2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</row>
    <row x14ac:dyDescent="0.25" r="243" customHeight="1" ht="18.75">
      <c r="A243" s="1"/>
      <c r="B243" s="2"/>
      <c r="C243" s="2"/>
      <c r="D243" s="2"/>
      <c r="E243" s="2"/>
      <c r="F243" s="2"/>
      <c r="G243" s="1"/>
      <c r="H243" s="1"/>
      <c r="I243" s="7">
        <v>0.24</v>
      </c>
      <c r="J243" s="7">
        <f>IF((I243-ROUNDDOWN(I243,0))=0, 0, (I243-ROUNDDOWN(I243,0)))</f>
      </c>
      <c r="K243" s="7">
        <f>INDIRECT("C$"&amp;2+MIN(2,ROUNDDOWN(I243,0))*3)*(-$J243^3+3*$J243^2-3*$J243+1)+INDIRECT("C$"&amp;3+MIN(2,ROUNDDOWN(I243,0))*3)*(3*$J243^3-6*$J243^2+3*$J243)+INDIRECT("C$"&amp;4+MIN(2,ROUNDDOWN(I243,0))*3)*(-3*$J243^3+3*$J243^2)+INDIRECT("C$"&amp;5+MIN(2,ROUNDDOWN(I243,0))*3)*$J243^3</f>
      </c>
      <c r="L243" s="7">
        <f>INDIRECT("D$"&amp;2+MIN(2,ROUNDDOWN(I243,0))*3)*(-$J243^3+3*$J243^2-3*$J243+1)+INDIRECT("D$"&amp;3+MIN(2,ROUNDDOWN(I243,0))*3)*(3*$J243^3-6*$J243^2+3*$J243)+INDIRECT("D$"&amp;4+MIN(2,ROUNDDOWN(I243,0))*3)*(-3*$J243^3+3*$J243^2)+INDIRECT("D$"&amp;5+MIN(2,ROUNDDOWN(I243,0))*3)*$J243^3</f>
      </c>
      <c r="M243" s="7">
        <f>SQRT(K243^2+L243^2)</f>
      </c>
      <c r="N243" s="7">
        <f>(K244-K242)</f>
      </c>
      <c r="O243" s="7">
        <f>+(L244-L242)</f>
      </c>
      <c r="P243" s="7">
        <f>SQRT(O243^2+N243^2)</f>
      </c>
      <c r="Q243" s="7">
        <f>N243/$P243</f>
      </c>
      <c r="R243" s="7">
        <f>O243/$P243</f>
      </c>
      <c r="S243" s="7">
        <f>Q243^2+R243^2</f>
      </c>
      <c r="T243" s="7">
        <f>-R243</f>
      </c>
      <c r="U243" s="7">
        <f>Q243</f>
      </c>
      <c r="V243" s="7">
        <f>($C$14+($C$15-$C$14)/($D$15-$D$14)*(I243-$D$14))/2</f>
      </c>
      <c r="W243" s="7">
        <f>($B$22*I243^4+$C$22*I243^3+$D$22*I243^2+$E$22*I243+$F$22)/2</f>
      </c>
      <c r="X243" s="7">
        <f>($W243)*(T243)</f>
      </c>
      <c r="Y243" s="7">
        <f>($W243)*(U243)</f>
      </c>
      <c r="Z243" s="7">
        <f>SQRT(X243^2+Y243^2)</f>
      </c>
      <c r="AA243" s="7">
        <f>$K243+$X243</f>
      </c>
      <c r="AB243" s="7">
        <f>$L243+$Y243</f>
      </c>
      <c r="AC243" s="7">
        <f>$K243-$X243</f>
      </c>
      <c r="AD243" s="7">
        <f>$L243-$Y243</f>
      </c>
      <c r="AE243" s="7">
        <f>AA243/39.3701</f>
      </c>
      <c r="AF243" s="7">
        <f>AB243/39.3701</f>
      </c>
      <c r="AG243" s="7">
        <f>AC243/39.3701</f>
      </c>
      <c r="AH243" s="7">
        <f>AD243/39.3701</f>
      </c>
      <c r="AI243" s="1"/>
      <c r="AJ243" s="1"/>
      <c r="AK243" s="1"/>
      <c r="AL243" s="1"/>
      <c r="AM243" s="2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</row>
    <row x14ac:dyDescent="0.25" r="244" customHeight="1" ht="18.75">
      <c r="A244" s="1"/>
      <c r="B244" s="2"/>
      <c r="C244" s="2"/>
      <c r="D244" s="2"/>
      <c r="E244" s="2"/>
      <c r="F244" s="2"/>
      <c r="G244" s="1"/>
      <c r="H244" s="1"/>
      <c r="I244" s="7">
        <v>0.241</v>
      </c>
      <c r="J244" s="7">
        <f>IF((I244-ROUNDDOWN(I244,0))=0, 0, (I244-ROUNDDOWN(I244,0)))</f>
      </c>
      <c r="K244" s="7">
        <f>INDIRECT("C$"&amp;2+MIN(2,ROUNDDOWN(I244,0))*3)*(-$J244^3+3*$J244^2-3*$J244+1)+INDIRECT("C$"&amp;3+MIN(2,ROUNDDOWN(I244,0))*3)*(3*$J244^3-6*$J244^2+3*$J244)+INDIRECT("C$"&amp;4+MIN(2,ROUNDDOWN(I244,0))*3)*(-3*$J244^3+3*$J244^2)+INDIRECT("C$"&amp;5+MIN(2,ROUNDDOWN(I244,0))*3)*$J244^3</f>
      </c>
      <c r="L244" s="7">
        <f>INDIRECT("D$"&amp;2+MIN(2,ROUNDDOWN(I244,0))*3)*(-$J244^3+3*$J244^2-3*$J244+1)+INDIRECT("D$"&amp;3+MIN(2,ROUNDDOWN(I244,0))*3)*(3*$J244^3-6*$J244^2+3*$J244)+INDIRECT("D$"&amp;4+MIN(2,ROUNDDOWN(I244,0))*3)*(-3*$J244^3+3*$J244^2)+INDIRECT("D$"&amp;5+MIN(2,ROUNDDOWN(I244,0))*3)*$J244^3</f>
      </c>
      <c r="M244" s="7">
        <f>SQRT(K244^2+L244^2)</f>
      </c>
      <c r="N244" s="7">
        <f>(K245-K243)</f>
      </c>
      <c r="O244" s="7">
        <f>+(L245-L243)</f>
      </c>
      <c r="P244" s="7">
        <f>SQRT(O244^2+N244^2)</f>
      </c>
      <c r="Q244" s="7">
        <f>N244/$P244</f>
      </c>
      <c r="R244" s="7">
        <f>O244/$P244</f>
      </c>
      <c r="S244" s="8">
        <f>Q244^2+R244^2</f>
      </c>
      <c r="T244" s="7">
        <f>-R244</f>
      </c>
      <c r="U244" s="7">
        <f>Q244</f>
      </c>
      <c r="V244" s="7">
        <f>($C$14+($C$15-$C$14)/($D$15-$D$14)*(I244-$D$14))/2</f>
      </c>
      <c r="W244" s="7">
        <f>($B$22*I244^4+$C$22*I244^3+$D$22*I244^2+$E$22*I244+$F$22)/2</f>
      </c>
      <c r="X244" s="7">
        <f>($W244)*(T244)</f>
      </c>
      <c r="Y244" s="7">
        <f>($W244)*(U244)</f>
      </c>
      <c r="Z244" s="7">
        <f>SQRT(X244^2+Y244^2)</f>
      </c>
      <c r="AA244" s="7">
        <f>$K244+$X244</f>
      </c>
      <c r="AB244" s="7">
        <f>$L244+$Y244</f>
      </c>
      <c r="AC244" s="7">
        <f>$K244-$X244</f>
      </c>
      <c r="AD244" s="7">
        <f>$L244-$Y244</f>
      </c>
      <c r="AE244" s="7">
        <f>AA244/39.3701</f>
      </c>
      <c r="AF244" s="7">
        <f>AB244/39.3701</f>
      </c>
      <c r="AG244" s="7">
        <f>AC244/39.3701</f>
      </c>
      <c r="AH244" s="7">
        <f>AD244/39.3701</f>
      </c>
      <c r="AI244" s="1"/>
      <c r="AJ244" s="1"/>
      <c r="AK244" s="1"/>
      <c r="AL244" s="1"/>
      <c r="AM244" s="2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</row>
    <row x14ac:dyDescent="0.25" r="245" customHeight="1" ht="18.75">
      <c r="A245" s="1"/>
      <c r="B245" s="2"/>
      <c r="C245" s="2"/>
      <c r="D245" s="2"/>
      <c r="E245" s="2"/>
      <c r="F245" s="2"/>
      <c r="G245" s="1"/>
      <c r="H245" s="1"/>
      <c r="I245" s="7">
        <v>0.242</v>
      </c>
      <c r="J245" s="7">
        <f>IF((I245-ROUNDDOWN(I245,0))=0, 0, (I245-ROUNDDOWN(I245,0)))</f>
      </c>
      <c r="K245" s="7">
        <f>INDIRECT("C$"&amp;2+MIN(2,ROUNDDOWN(I245,0))*3)*(-$J245^3+3*$J245^2-3*$J245+1)+INDIRECT("C$"&amp;3+MIN(2,ROUNDDOWN(I245,0))*3)*(3*$J245^3-6*$J245^2+3*$J245)+INDIRECT("C$"&amp;4+MIN(2,ROUNDDOWN(I245,0))*3)*(-3*$J245^3+3*$J245^2)+INDIRECT("C$"&amp;5+MIN(2,ROUNDDOWN(I245,0))*3)*$J245^3</f>
      </c>
      <c r="L245" s="7">
        <f>INDIRECT("D$"&amp;2+MIN(2,ROUNDDOWN(I245,0))*3)*(-$J245^3+3*$J245^2-3*$J245+1)+INDIRECT("D$"&amp;3+MIN(2,ROUNDDOWN(I245,0))*3)*(3*$J245^3-6*$J245^2+3*$J245)+INDIRECT("D$"&amp;4+MIN(2,ROUNDDOWN(I245,0))*3)*(-3*$J245^3+3*$J245^2)+INDIRECT("D$"&amp;5+MIN(2,ROUNDDOWN(I245,0))*3)*$J245^3</f>
      </c>
      <c r="M245" s="7">
        <f>SQRT(K245^2+L245^2)</f>
      </c>
      <c r="N245" s="7">
        <f>(K246-K244)</f>
      </c>
      <c r="O245" s="7">
        <f>+(L246-L244)</f>
      </c>
      <c r="P245" s="7">
        <f>SQRT(O245^2+N245^2)</f>
      </c>
      <c r="Q245" s="7">
        <f>N245/$P245</f>
      </c>
      <c r="R245" s="7">
        <f>O245/$P245</f>
      </c>
      <c r="S245" s="7">
        <f>Q245^2+R245^2</f>
      </c>
      <c r="T245" s="7">
        <f>-R245</f>
      </c>
      <c r="U245" s="7">
        <f>Q245</f>
      </c>
      <c r="V245" s="7">
        <f>($C$14+($C$15-$C$14)/($D$15-$D$14)*(I245-$D$14))/2</f>
      </c>
      <c r="W245" s="7">
        <f>($B$22*I245^4+$C$22*I245^3+$D$22*I245^2+$E$22*I245+$F$22)/2</f>
      </c>
      <c r="X245" s="7">
        <f>($W245)*(T245)</f>
      </c>
      <c r="Y245" s="7">
        <f>($W245)*(U245)</f>
      </c>
      <c r="Z245" s="7">
        <f>SQRT(X245^2+Y245^2)</f>
      </c>
      <c r="AA245" s="7">
        <f>$K245+$X245</f>
      </c>
      <c r="AB245" s="7">
        <f>$L245+$Y245</f>
      </c>
      <c r="AC245" s="7">
        <f>$K245-$X245</f>
      </c>
      <c r="AD245" s="7">
        <f>$L245-$Y245</f>
      </c>
      <c r="AE245" s="7">
        <f>AA245/39.3701</f>
      </c>
      <c r="AF245" s="7">
        <f>AB245/39.3701</f>
      </c>
      <c r="AG245" s="7">
        <f>AC245/39.3701</f>
      </c>
      <c r="AH245" s="7">
        <f>AD245/39.3701</f>
      </c>
      <c r="AI245" s="1"/>
      <c r="AJ245" s="1"/>
      <c r="AK245" s="1"/>
      <c r="AL245" s="1"/>
      <c r="AM245" s="2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</row>
    <row x14ac:dyDescent="0.25" r="246" customHeight="1" ht="18.75">
      <c r="A246" s="1"/>
      <c r="B246" s="2"/>
      <c r="C246" s="2"/>
      <c r="D246" s="2"/>
      <c r="E246" s="2"/>
      <c r="F246" s="2"/>
      <c r="G246" s="1"/>
      <c r="H246" s="1"/>
      <c r="I246" s="7">
        <v>0.243</v>
      </c>
      <c r="J246" s="7">
        <f>IF((I246-ROUNDDOWN(I246,0))=0, 0, (I246-ROUNDDOWN(I246,0)))</f>
      </c>
      <c r="K246" s="7">
        <f>INDIRECT("C$"&amp;2+MIN(2,ROUNDDOWN(I246,0))*3)*(-$J246^3+3*$J246^2-3*$J246+1)+INDIRECT("C$"&amp;3+MIN(2,ROUNDDOWN(I246,0))*3)*(3*$J246^3-6*$J246^2+3*$J246)+INDIRECT("C$"&amp;4+MIN(2,ROUNDDOWN(I246,0))*3)*(-3*$J246^3+3*$J246^2)+INDIRECT("C$"&amp;5+MIN(2,ROUNDDOWN(I246,0))*3)*$J246^3</f>
      </c>
      <c r="L246" s="7">
        <f>INDIRECT("D$"&amp;2+MIN(2,ROUNDDOWN(I246,0))*3)*(-$J246^3+3*$J246^2-3*$J246+1)+INDIRECT("D$"&amp;3+MIN(2,ROUNDDOWN(I246,0))*3)*(3*$J246^3-6*$J246^2+3*$J246)+INDIRECT("D$"&amp;4+MIN(2,ROUNDDOWN(I246,0))*3)*(-3*$J246^3+3*$J246^2)+INDIRECT("D$"&amp;5+MIN(2,ROUNDDOWN(I246,0))*3)*$J246^3</f>
      </c>
      <c r="M246" s="7">
        <f>SQRT(K246^2+L246^2)</f>
      </c>
      <c r="N246" s="7">
        <f>(K247-K245)</f>
      </c>
      <c r="O246" s="7">
        <f>+(L247-L245)</f>
      </c>
      <c r="P246" s="7">
        <f>SQRT(O246^2+N246^2)</f>
      </c>
      <c r="Q246" s="7">
        <f>N246/$P246</f>
      </c>
      <c r="R246" s="7">
        <f>O246/$P246</f>
      </c>
      <c r="S246" s="7">
        <f>Q246^2+R246^2</f>
      </c>
      <c r="T246" s="7">
        <f>-R246</f>
      </c>
      <c r="U246" s="7">
        <f>Q246</f>
      </c>
      <c r="V246" s="7">
        <f>($C$14+($C$15-$C$14)/($D$15-$D$14)*(I246-$D$14))/2</f>
      </c>
      <c r="W246" s="7">
        <f>($B$22*I246^4+$C$22*I246^3+$D$22*I246^2+$E$22*I246+$F$22)/2</f>
      </c>
      <c r="X246" s="7">
        <f>($W246)*(T246)</f>
      </c>
      <c r="Y246" s="7">
        <f>($W246)*(U246)</f>
      </c>
      <c r="Z246" s="7">
        <f>SQRT(X246^2+Y246^2)</f>
      </c>
      <c r="AA246" s="7">
        <f>$K246+$X246</f>
      </c>
      <c r="AB246" s="7">
        <f>$L246+$Y246</f>
      </c>
      <c r="AC246" s="7">
        <f>$K246-$X246</f>
      </c>
      <c r="AD246" s="7">
        <f>$L246-$Y246</f>
      </c>
      <c r="AE246" s="7">
        <f>AA246/39.3701</f>
      </c>
      <c r="AF246" s="7">
        <f>AB246/39.3701</f>
      </c>
      <c r="AG246" s="7">
        <f>AC246/39.3701</f>
      </c>
      <c r="AH246" s="7">
        <f>AD246/39.3701</f>
      </c>
      <c r="AI246" s="1"/>
      <c r="AJ246" s="1"/>
      <c r="AK246" s="1"/>
      <c r="AL246" s="1"/>
      <c r="AM246" s="2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</row>
    <row x14ac:dyDescent="0.25" r="247" customHeight="1" ht="18.75">
      <c r="A247" s="1"/>
      <c r="B247" s="2"/>
      <c r="C247" s="2"/>
      <c r="D247" s="2"/>
      <c r="E247" s="2"/>
      <c r="F247" s="2"/>
      <c r="G247" s="1"/>
      <c r="H247" s="1"/>
      <c r="I247" s="7">
        <v>0.244</v>
      </c>
      <c r="J247" s="7">
        <f>IF((I247-ROUNDDOWN(I247,0))=0, 0, (I247-ROUNDDOWN(I247,0)))</f>
      </c>
      <c r="K247" s="7">
        <f>INDIRECT("C$"&amp;2+MIN(2,ROUNDDOWN(I247,0))*3)*(-$J247^3+3*$J247^2-3*$J247+1)+INDIRECT("C$"&amp;3+MIN(2,ROUNDDOWN(I247,0))*3)*(3*$J247^3-6*$J247^2+3*$J247)+INDIRECT("C$"&amp;4+MIN(2,ROUNDDOWN(I247,0))*3)*(-3*$J247^3+3*$J247^2)+INDIRECT("C$"&amp;5+MIN(2,ROUNDDOWN(I247,0))*3)*$J247^3</f>
      </c>
      <c r="L247" s="7">
        <f>INDIRECT("D$"&amp;2+MIN(2,ROUNDDOWN(I247,0))*3)*(-$J247^3+3*$J247^2-3*$J247+1)+INDIRECT("D$"&amp;3+MIN(2,ROUNDDOWN(I247,0))*3)*(3*$J247^3-6*$J247^2+3*$J247)+INDIRECT("D$"&amp;4+MIN(2,ROUNDDOWN(I247,0))*3)*(-3*$J247^3+3*$J247^2)+INDIRECT("D$"&amp;5+MIN(2,ROUNDDOWN(I247,0))*3)*$J247^3</f>
      </c>
      <c r="M247" s="7">
        <f>SQRT(K247^2+L247^2)</f>
      </c>
      <c r="N247" s="7">
        <f>(K248-K246)</f>
      </c>
      <c r="O247" s="7">
        <f>+(L248-L246)</f>
      </c>
      <c r="P247" s="7">
        <f>SQRT(O247^2+N247^2)</f>
      </c>
      <c r="Q247" s="7">
        <f>N247/$P247</f>
      </c>
      <c r="R247" s="7">
        <f>O247/$P247</f>
      </c>
      <c r="S247" s="7">
        <f>Q247^2+R247^2</f>
      </c>
      <c r="T247" s="7">
        <f>-R247</f>
      </c>
      <c r="U247" s="7">
        <f>Q247</f>
      </c>
      <c r="V247" s="7">
        <f>($C$14+($C$15-$C$14)/($D$15-$D$14)*(I247-$D$14))/2</f>
      </c>
      <c r="W247" s="7">
        <f>($B$22*I247^4+$C$22*I247^3+$D$22*I247^2+$E$22*I247+$F$22)/2</f>
      </c>
      <c r="X247" s="7">
        <f>($W247)*(T247)</f>
      </c>
      <c r="Y247" s="7">
        <f>($W247)*(U247)</f>
      </c>
      <c r="Z247" s="7">
        <f>SQRT(X247^2+Y247^2)</f>
      </c>
      <c r="AA247" s="7">
        <f>$K247+$X247</f>
      </c>
      <c r="AB247" s="7">
        <f>$L247+$Y247</f>
      </c>
      <c r="AC247" s="7">
        <f>$K247-$X247</f>
      </c>
      <c r="AD247" s="7">
        <f>$L247-$Y247</f>
      </c>
      <c r="AE247" s="7">
        <f>AA247/39.3701</f>
      </c>
      <c r="AF247" s="7">
        <f>AB247/39.3701</f>
      </c>
      <c r="AG247" s="7">
        <f>AC247/39.3701</f>
      </c>
      <c r="AH247" s="7">
        <f>AD247/39.3701</f>
      </c>
      <c r="AI247" s="1"/>
      <c r="AJ247" s="1"/>
      <c r="AK247" s="1"/>
      <c r="AL247" s="1"/>
      <c r="AM247" s="2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</row>
    <row x14ac:dyDescent="0.25" r="248" customHeight="1" ht="18.75">
      <c r="A248" s="1"/>
      <c r="B248" s="2"/>
      <c r="C248" s="2"/>
      <c r="D248" s="2"/>
      <c r="E248" s="2"/>
      <c r="F248" s="2"/>
      <c r="G248" s="1"/>
      <c r="H248" s="1"/>
      <c r="I248" s="7">
        <v>0.245</v>
      </c>
      <c r="J248" s="7">
        <f>IF((I248-ROUNDDOWN(I248,0))=0, 0, (I248-ROUNDDOWN(I248,0)))</f>
      </c>
      <c r="K248" s="7">
        <f>INDIRECT("C$"&amp;2+MIN(2,ROUNDDOWN(I248,0))*3)*(-$J248^3+3*$J248^2-3*$J248+1)+INDIRECT("C$"&amp;3+MIN(2,ROUNDDOWN(I248,0))*3)*(3*$J248^3-6*$J248^2+3*$J248)+INDIRECT("C$"&amp;4+MIN(2,ROUNDDOWN(I248,0))*3)*(-3*$J248^3+3*$J248^2)+INDIRECT("C$"&amp;5+MIN(2,ROUNDDOWN(I248,0))*3)*$J248^3</f>
      </c>
      <c r="L248" s="7">
        <f>INDIRECT("D$"&amp;2+MIN(2,ROUNDDOWN(I248,0))*3)*(-$J248^3+3*$J248^2-3*$J248+1)+INDIRECT("D$"&amp;3+MIN(2,ROUNDDOWN(I248,0))*3)*(3*$J248^3-6*$J248^2+3*$J248)+INDIRECT("D$"&amp;4+MIN(2,ROUNDDOWN(I248,0))*3)*(-3*$J248^3+3*$J248^2)+INDIRECT("D$"&amp;5+MIN(2,ROUNDDOWN(I248,0))*3)*$J248^3</f>
      </c>
      <c r="M248" s="7">
        <f>SQRT(K248^2+L248^2)</f>
      </c>
      <c r="N248" s="7">
        <f>(K249-K247)</f>
      </c>
      <c r="O248" s="7">
        <f>+(L249-L247)</f>
      </c>
      <c r="P248" s="7">
        <f>SQRT(O248^2+N248^2)</f>
      </c>
      <c r="Q248" s="7">
        <f>N248/$P248</f>
      </c>
      <c r="R248" s="7">
        <f>O248/$P248</f>
      </c>
      <c r="S248" s="8">
        <f>Q248^2+R248^2</f>
      </c>
      <c r="T248" s="7">
        <f>-R248</f>
      </c>
      <c r="U248" s="7">
        <f>Q248</f>
      </c>
      <c r="V248" s="7">
        <f>($C$14+($C$15-$C$14)/($D$15-$D$14)*(I248-$D$14))/2</f>
      </c>
      <c r="W248" s="7">
        <f>($B$22*I248^4+$C$22*I248^3+$D$22*I248^2+$E$22*I248+$F$22)/2</f>
      </c>
      <c r="X248" s="7">
        <f>($W248)*(T248)</f>
      </c>
      <c r="Y248" s="7">
        <f>($W248)*(U248)</f>
      </c>
      <c r="Z248" s="7">
        <f>SQRT(X248^2+Y248^2)</f>
      </c>
      <c r="AA248" s="7">
        <f>$K248+$X248</f>
      </c>
      <c r="AB248" s="7">
        <f>$L248+$Y248</f>
      </c>
      <c r="AC248" s="7">
        <f>$K248-$X248</f>
      </c>
      <c r="AD248" s="7">
        <f>$L248-$Y248</f>
      </c>
      <c r="AE248" s="7">
        <f>AA248/39.3701</f>
      </c>
      <c r="AF248" s="7">
        <f>AB248/39.3701</f>
      </c>
      <c r="AG248" s="7">
        <f>AC248/39.3701</f>
      </c>
      <c r="AH248" s="7">
        <f>AD248/39.3701</f>
      </c>
      <c r="AI248" s="1"/>
      <c r="AJ248" s="1"/>
      <c r="AK248" s="1"/>
      <c r="AL248" s="1"/>
      <c r="AM248" s="2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</row>
    <row x14ac:dyDescent="0.25" r="249" customHeight="1" ht="18.75">
      <c r="A249" s="1"/>
      <c r="B249" s="2"/>
      <c r="C249" s="2"/>
      <c r="D249" s="2"/>
      <c r="E249" s="2"/>
      <c r="F249" s="2"/>
      <c r="G249" s="1"/>
      <c r="H249" s="1"/>
      <c r="I249" s="7">
        <v>0.246</v>
      </c>
      <c r="J249" s="7">
        <f>IF((I249-ROUNDDOWN(I249,0))=0, 0, (I249-ROUNDDOWN(I249,0)))</f>
      </c>
      <c r="K249" s="7">
        <f>INDIRECT("C$"&amp;2+MIN(2,ROUNDDOWN(I249,0))*3)*(-$J249^3+3*$J249^2-3*$J249+1)+INDIRECT("C$"&amp;3+MIN(2,ROUNDDOWN(I249,0))*3)*(3*$J249^3-6*$J249^2+3*$J249)+INDIRECT("C$"&amp;4+MIN(2,ROUNDDOWN(I249,0))*3)*(-3*$J249^3+3*$J249^2)+INDIRECT("C$"&amp;5+MIN(2,ROUNDDOWN(I249,0))*3)*$J249^3</f>
      </c>
      <c r="L249" s="7">
        <f>INDIRECT("D$"&amp;2+MIN(2,ROUNDDOWN(I249,0))*3)*(-$J249^3+3*$J249^2-3*$J249+1)+INDIRECT("D$"&amp;3+MIN(2,ROUNDDOWN(I249,0))*3)*(3*$J249^3-6*$J249^2+3*$J249)+INDIRECT("D$"&amp;4+MIN(2,ROUNDDOWN(I249,0))*3)*(-3*$J249^3+3*$J249^2)+INDIRECT("D$"&amp;5+MIN(2,ROUNDDOWN(I249,0))*3)*$J249^3</f>
      </c>
      <c r="M249" s="7">
        <f>SQRT(K249^2+L249^2)</f>
      </c>
      <c r="N249" s="7">
        <f>(K250-K248)</f>
      </c>
      <c r="O249" s="7">
        <f>+(L250-L248)</f>
      </c>
      <c r="P249" s="7">
        <f>SQRT(O249^2+N249^2)</f>
      </c>
      <c r="Q249" s="7">
        <f>N249/$P249</f>
      </c>
      <c r="R249" s="7">
        <f>O249/$P249</f>
      </c>
      <c r="S249" s="8">
        <f>Q249^2+R249^2</f>
      </c>
      <c r="T249" s="7">
        <f>-R249</f>
      </c>
      <c r="U249" s="7">
        <f>Q249</f>
      </c>
      <c r="V249" s="7">
        <f>($C$14+($C$15-$C$14)/($D$15-$D$14)*(I249-$D$14))/2</f>
      </c>
      <c r="W249" s="7">
        <f>($B$22*I249^4+$C$22*I249^3+$D$22*I249^2+$E$22*I249+$F$22)/2</f>
      </c>
      <c r="X249" s="7">
        <f>($W249)*(T249)</f>
      </c>
      <c r="Y249" s="7">
        <f>($W249)*(U249)</f>
      </c>
      <c r="Z249" s="7">
        <f>SQRT(X249^2+Y249^2)</f>
      </c>
      <c r="AA249" s="7">
        <f>$K249+$X249</f>
      </c>
      <c r="AB249" s="7">
        <f>$L249+$Y249</f>
      </c>
      <c r="AC249" s="7">
        <f>$K249-$X249</f>
      </c>
      <c r="AD249" s="7">
        <f>$L249-$Y249</f>
      </c>
      <c r="AE249" s="7">
        <f>AA249/39.3701</f>
      </c>
      <c r="AF249" s="7">
        <f>AB249/39.3701</f>
      </c>
      <c r="AG249" s="7">
        <f>AC249/39.3701</f>
      </c>
      <c r="AH249" s="7">
        <f>AD249/39.3701</f>
      </c>
      <c r="AI249" s="1"/>
      <c r="AJ249" s="1"/>
      <c r="AK249" s="1"/>
      <c r="AL249" s="1"/>
      <c r="AM249" s="2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</row>
    <row x14ac:dyDescent="0.25" r="250" customHeight="1" ht="18.75">
      <c r="A250" s="1"/>
      <c r="B250" s="2"/>
      <c r="C250" s="2"/>
      <c r="D250" s="2"/>
      <c r="E250" s="2"/>
      <c r="F250" s="2"/>
      <c r="G250" s="1"/>
      <c r="H250" s="1"/>
      <c r="I250" s="7">
        <v>0.247</v>
      </c>
      <c r="J250" s="7">
        <f>IF((I250-ROUNDDOWN(I250,0))=0, 0, (I250-ROUNDDOWN(I250,0)))</f>
      </c>
      <c r="K250" s="7">
        <f>INDIRECT("C$"&amp;2+MIN(2,ROUNDDOWN(I250,0))*3)*(-$J250^3+3*$J250^2-3*$J250+1)+INDIRECT("C$"&amp;3+MIN(2,ROUNDDOWN(I250,0))*3)*(3*$J250^3-6*$J250^2+3*$J250)+INDIRECT("C$"&amp;4+MIN(2,ROUNDDOWN(I250,0))*3)*(-3*$J250^3+3*$J250^2)+INDIRECT("C$"&amp;5+MIN(2,ROUNDDOWN(I250,0))*3)*$J250^3</f>
      </c>
      <c r="L250" s="7">
        <f>INDIRECT("D$"&amp;2+MIN(2,ROUNDDOWN(I250,0))*3)*(-$J250^3+3*$J250^2-3*$J250+1)+INDIRECT("D$"&amp;3+MIN(2,ROUNDDOWN(I250,0))*3)*(3*$J250^3-6*$J250^2+3*$J250)+INDIRECT("D$"&amp;4+MIN(2,ROUNDDOWN(I250,0))*3)*(-3*$J250^3+3*$J250^2)+INDIRECT("D$"&amp;5+MIN(2,ROUNDDOWN(I250,0))*3)*$J250^3</f>
      </c>
      <c r="M250" s="7">
        <f>SQRT(K250^2+L250^2)</f>
      </c>
      <c r="N250" s="7">
        <f>(K251-K249)</f>
      </c>
      <c r="O250" s="7">
        <f>+(L251-L249)</f>
      </c>
      <c r="P250" s="7">
        <f>SQRT(O250^2+N250^2)</f>
      </c>
      <c r="Q250" s="7">
        <f>N250/$P250</f>
      </c>
      <c r="R250" s="7">
        <f>O250/$P250</f>
      </c>
      <c r="S250" s="7">
        <f>Q250^2+R250^2</f>
      </c>
      <c r="T250" s="7">
        <f>-R250</f>
      </c>
      <c r="U250" s="7">
        <f>Q250</f>
      </c>
      <c r="V250" s="7">
        <f>($C$14+($C$15-$C$14)/($D$15-$D$14)*(I250-$D$14))/2</f>
      </c>
      <c r="W250" s="7">
        <f>($B$22*I250^4+$C$22*I250^3+$D$22*I250^2+$E$22*I250+$F$22)/2</f>
      </c>
      <c r="X250" s="7">
        <f>($W250)*(T250)</f>
      </c>
      <c r="Y250" s="7">
        <f>($W250)*(U250)</f>
      </c>
      <c r="Z250" s="7">
        <f>SQRT(X250^2+Y250^2)</f>
      </c>
      <c r="AA250" s="7">
        <f>$K250+$X250</f>
      </c>
      <c r="AB250" s="7">
        <f>$L250+$Y250</f>
      </c>
      <c r="AC250" s="7">
        <f>$K250-$X250</f>
      </c>
      <c r="AD250" s="7">
        <f>$L250-$Y250</f>
      </c>
      <c r="AE250" s="7">
        <f>AA250/39.3701</f>
      </c>
      <c r="AF250" s="7">
        <f>AB250/39.3701</f>
      </c>
      <c r="AG250" s="7">
        <f>AC250/39.3701</f>
      </c>
      <c r="AH250" s="7">
        <f>AD250/39.3701</f>
      </c>
      <c r="AI250" s="1"/>
      <c r="AJ250" s="1"/>
      <c r="AK250" s="1"/>
      <c r="AL250" s="1"/>
      <c r="AM250" s="2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</row>
    <row x14ac:dyDescent="0.25" r="251" customHeight="1" ht="18.75">
      <c r="A251" s="1"/>
      <c r="B251" s="2"/>
      <c r="C251" s="2"/>
      <c r="D251" s="2"/>
      <c r="E251" s="2"/>
      <c r="F251" s="2"/>
      <c r="G251" s="1"/>
      <c r="H251" s="1"/>
      <c r="I251" s="7">
        <v>0.248</v>
      </c>
      <c r="J251" s="7">
        <f>IF((I251-ROUNDDOWN(I251,0))=0, 0, (I251-ROUNDDOWN(I251,0)))</f>
      </c>
      <c r="K251" s="7">
        <f>INDIRECT("C$"&amp;2+MIN(2,ROUNDDOWN(I251,0))*3)*(-$J251^3+3*$J251^2-3*$J251+1)+INDIRECT("C$"&amp;3+MIN(2,ROUNDDOWN(I251,0))*3)*(3*$J251^3-6*$J251^2+3*$J251)+INDIRECT("C$"&amp;4+MIN(2,ROUNDDOWN(I251,0))*3)*(-3*$J251^3+3*$J251^2)+INDIRECT("C$"&amp;5+MIN(2,ROUNDDOWN(I251,0))*3)*$J251^3</f>
      </c>
      <c r="L251" s="7">
        <f>INDIRECT("D$"&amp;2+MIN(2,ROUNDDOWN(I251,0))*3)*(-$J251^3+3*$J251^2-3*$J251+1)+INDIRECT("D$"&amp;3+MIN(2,ROUNDDOWN(I251,0))*3)*(3*$J251^3-6*$J251^2+3*$J251)+INDIRECT("D$"&amp;4+MIN(2,ROUNDDOWN(I251,0))*3)*(-3*$J251^3+3*$J251^2)+INDIRECT("D$"&amp;5+MIN(2,ROUNDDOWN(I251,0))*3)*$J251^3</f>
      </c>
      <c r="M251" s="7">
        <f>SQRT(K251^2+L251^2)</f>
      </c>
      <c r="N251" s="7">
        <f>(K252-K250)</f>
      </c>
      <c r="O251" s="7">
        <f>+(L252-L250)</f>
      </c>
      <c r="P251" s="7">
        <f>SQRT(O251^2+N251^2)</f>
      </c>
      <c r="Q251" s="7">
        <f>N251/$P251</f>
      </c>
      <c r="R251" s="7">
        <f>O251/$P251</f>
      </c>
      <c r="S251" s="7">
        <f>Q251^2+R251^2</f>
      </c>
      <c r="T251" s="7">
        <f>-R251</f>
      </c>
      <c r="U251" s="7">
        <f>Q251</f>
      </c>
      <c r="V251" s="7">
        <f>($C$14+($C$15-$C$14)/($D$15-$D$14)*(I251-$D$14))/2</f>
      </c>
      <c r="W251" s="7">
        <f>($B$22*I251^4+$C$22*I251^3+$D$22*I251^2+$E$22*I251+$F$22)/2</f>
      </c>
      <c r="X251" s="7">
        <f>($W251)*(T251)</f>
      </c>
      <c r="Y251" s="7">
        <f>($W251)*(U251)</f>
      </c>
      <c r="Z251" s="7">
        <f>SQRT(X251^2+Y251^2)</f>
      </c>
      <c r="AA251" s="7">
        <f>$K251+$X251</f>
      </c>
      <c r="AB251" s="7">
        <f>$L251+$Y251</f>
      </c>
      <c r="AC251" s="7">
        <f>$K251-$X251</f>
      </c>
      <c r="AD251" s="7">
        <f>$L251-$Y251</f>
      </c>
      <c r="AE251" s="7">
        <f>AA251/39.3701</f>
      </c>
      <c r="AF251" s="7">
        <f>AB251/39.3701</f>
      </c>
      <c r="AG251" s="7">
        <f>AC251/39.3701</f>
      </c>
      <c r="AH251" s="7">
        <f>AD251/39.3701</f>
      </c>
      <c r="AI251" s="1"/>
      <c r="AJ251" s="1"/>
      <c r="AK251" s="1"/>
      <c r="AL251" s="1"/>
      <c r="AM251" s="2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</row>
    <row x14ac:dyDescent="0.25" r="252" customHeight="1" ht="18.75">
      <c r="A252" s="1"/>
      <c r="B252" s="2"/>
      <c r="C252" s="2"/>
      <c r="D252" s="2"/>
      <c r="E252" s="2"/>
      <c r="F252" s="2"/>
      <c r="G252" s="1"/>
      <c r="H252" s="1"/>
      <c r="I252" s="7">
        <v>0.249</v>
      </c>
      <c r="J252" s="7">
        <f>IF((I252-ROUNDDOWN(I252,0))=0, 0, (I252-ROUNDDOWN(I252,0)))</f>
      </c>
      <c r="K252" s="7">
        <f>INDIRECT("C$"&amp;2+MIN(2,ROUNDDOWN(I252,0))*3)*(-$J252^3+3*$J252^2-3*$J252+1)+INDIRECT("C$"&amp;3+MIN(2,ROUNDDOWN(I252,0))*3)*(3*$J252^3-6*$J252^2+3*$J252)+INDIRECT("C$"&amp;4+MIN(2,ROUNDDOWN(I252,0))*3)*(-3*$J252^3+3*$J252^2)+INDIRECT("C$"&amp;5+MIN(2,ROUNDDOWN(I252,0))*3)*$J252^3</f>
      </c>
      <c r="L252" s="7">
        <f>INDIRECT("D$"&amp;2+MIN(2,ROUNDDOWN(I252,0))*3)*(-$J252^3+3*$J252^2-3*$J252+1)+INDIRECT("D$"&amp;3+MIN(2,ROUNDDOWN(I252,0))*3)*(3*$J252^3-6*$J252^2+3*$J252)+INDIRECT("D$"&amp;4+MIN(2,ROUNDDOWN(I252,0))*3)*(-3*$J252^3+3*$J252^2)+INDIRECT("D$"&amp;5+MIN(2,ROUNDDOWN(I252,0))*3)*$J252^3</f>
      </c>
      <c r="M252" s="7">
        <f>SQRT(K252^2+L252^2)</f>
      </c>
      <c r="N252" s="7">
        <f>(K253-K251)</f>
      </c>
      <c r="O252" s="7">
        <f>+(L253-L251)</f>
      </c>
      <c r="P252" s="7">
        <f>SQRT(O252^2+N252^2)</f>
      </c>
      <c r="Q252" s="7">
        <f>N252/$P252</f>
      </c>
      <c r="R252" s="7">
        <f>O252/$P252</f>
      </c>
      <c r="S252" s="8">
        <f>Q252^2+R252^2</f>
      </c>
      <c r="T252" s="7">
        <f>-R252</f>
      </c>
      <c r="U252" s="7">
        <f>Q252</f>
      </c>
      <c r="V252" s="7">
        <f>($C$14+($C$15-$C$14)/($D$15-$D$14)*(I252-$D$14))/2</f>
      </c>
      <c r="W252" s="7">
        <f>($B$22*I252^4+$C$22*I252^3+$D$22*I252^2+$E$22*I252+$F$22)/2</f>
      </c>
      <c r="X252" s="7">
        <f>($W252)*(T252)</f>
      </c>
      <c r="Y252" s="7">
        <f>($W252)*(U252)</f>
      </c>
      <c r="Z252" s="7">
        <f>SQRT(X252^2+Y252^2)</f>
      </c>
      <c r="AA252" s="7">
        <f>$K252+$X252</f>
      </c>
      <c r="AB252" s="7">
        <f>$L252+$Y252</f>
      </c>
      <c r="AC252" s="7">
        <f>$K252-$X252</f>
      </c>
      <c r="AD252" s="7">
        <f>$L252-$Y252</f>
      </c>
      <c r="AE252" s="7">
        <f>AA252/39.3701</f>
      </c>
      <c r="AF252" s="7">
        <f>AB252/39.3701</f>
      </c>
      <c r="AG252" s="7">
        <f>AC252/39.3701</f>
      </c>
      <c r="AH252" s="7">
        <f>AD252/39.3701</f>
      </c>
      <c r="AI252" s="1"/>
      <c r="AJ252" s="1"/>
      <c r="AK252" s="1"/>
      <c r="AL252" s="1"/>
      <c r="AM252" s="2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</row>
    <row x14ac:dyDescent="0.25" r="253" customHeight="1" ht="18.75">
      <c r="A253" s="1"/>
      <c r="B253" s="2"/>
      <c r="C253" s="2"/>
      <c r="D253" s="2"/>
      <c r="E253" s="2"/>
      <c r="F253" s="2"/>
      <c r="G253" s="1"/>
      <c r="H253" s="1"/>
      <c r="I253" s="7">
        <v>0.25</v>
      </c>
      <c r="J253" s="7">
        <f>IF((I253-ROUNDDOWN(I253,0))=0, 0, (I253-ROUNDDOWN(I253,0)))</f>
      </c>
      <c r="K253" s="7">
        <f>INDIRECT("C$"&amp;2+MIN(2,ROUNDDOWN(I253,0))*3)*(-$J253^3+3*$J253^2-3*$J253+1)+INDIRECT("C$"&amp;3+MIN(2,ROUNDDOWN(I253,0))*3)*(3*$J253^3-6*$J253^2+3*$J253)+INDIRECT("C$"&amp;4+MIN(2,ROUNDDOWN(I253,0))*3)*(-3*$J253^3+3*$J253^2)+INDIRECT("C$"&amp;5+MIN(2,ROUNDDOWN(I253,0))*3)*$J253^3</f>
      </c>
      <c r="L253" s="7">
        <f>INDIRECT("D$"&amp;2+MIN(2,ROUNDDOWN(I253,0))*3)*(-$J253^3+3*$J253^2-3*$J253+1)+INDIRECT("D$"&amp;3+MIN(2,ROUNDDOWN(I253,0))*3)*(3*$J253^3-6*$J253^2+3*$J253)+INDIRECT("D$"&amp;4+MIN(2,ROUNDDOWN(I253,0))*3)*(-3*$J253^3+3*$J253^2)+INDIRECT("D$"&amp;5+MIN(2,ROUNDDOWN(I253,0))*3)*$J253^3</f>
      </c>
      <c r="M253" s="7">
        <f>SQRT(K253^2+L253^2)</f>
      </c>
      <c r="N253" s="7">
        <f>(K254-K252)</f>
      </c>
      <c r="O253" s="7">
        <f>+(L254-L252)</f>
      </c>
      <c r="P253" s="7">
        <f>SQRT(O253^2+N253^2)</f>
      </c>
      <c r="Q253" s="7">
        <f>N253/$P253</f>
      </c>
      <c r="R253" s="7">
        <f>O253/$P253</f>
      </c>
      <c r="S253" s="7">
        <f>Q253^2+R253^2</f>
      </c>
      <c r="T253" s="7">
        <f>-R253</f>
      </c>
      <c r="U253" s="7">
        <f>Q253</f>
      </c>
      <c r="V253" s="7">
        <f>($C$14+($C$15-$C$14)/($D$15-$D$14)*(I253-$D$14))/2</f>
      </c>
      <c r="W253" s="7">
        <f>($B$22*I253^4+$C$22*I253^3+$D$22*I253^2+$E$22*I253+$F$22)/2</f>
      </c>
      <c r="X253" s="7">
        <f>($W253)*(T253)</f>
      </c>
      <c r="Y253" s="7">
        <f>($W253)*(U253)</f>
      </c>
      <c r="Z253" s="7">
        <f>SQRT(X253^2+Y253^2)</f>
      </c>
      <c r="AA253" s="7">
        <f>$K253+$X253</f>
      </c>
      <c r="AB253" s="7">
        <f>$L253+$Y253</f>
      </c>
      <c r="AC253" s="7">
        <f>$K253-$X253</f>
      </c>
      <c r="AD253" s="7">
        <f>$L253-$Y253</f>
      </c>
      <c r="AE253" s="7">
        <f>AA253/39.3701</f>
      </c>
      <c r="AF253" s="7">
        <f>AB253/39.3701</f>
      </c>
      <c r="AG253" s="7">
        <f>AC253/39.3701</f>
      </c>
      <c r="AH253" s="7">
        <f>AD253/39.3701</f>
      </c>
      <c r="AI253" s="1"/>
      <c r="AJ253" s="1"/>
      <c r="AK253" s="1"/>
      <c r="AL253" s="1"/>
      <c r="AM253" s="2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</row>
    <row x14ac:dyDescent="0.25" r="254" customHeight="1" ht="18.75">
      <c r="A254" s="1"/>
      <c r="B254" s="2"/>
      <c r="C254" s="2"/>
      <c r="D254" s="2"/>
      <c r="E254" s="2"/>
      <c r="F254" s="2"/>
      <c r="G254" s="1"/>
      <c r="H254" s="1"/>
      <c r="I254" s="7">
        <v>0.251</v>
      </c>
      <c r="J254" s="7">
        <f>IF((I254-ROUNDDOWN(I254,0))=0, 0, (I254-ROUNDDOWN(I254,0)))</f>
      </c>
      <c r="K254" s="7">
        <f>INDIRECT("C$"&amp;2+MIN(2,ROUNDDOWN(I254,0))*3)*(-$J254^3+3*$J254^2-3*$J254+1)+INDIRECT("C$"&amp;3+MIN(2,ROUNDDOWN(I254,0))*3)*(3*$J254^3-6*$J254^2+3*$J254)+INDIRECT("C$"&amp;4+MIN(2,ROUNDDOWN(I254,0))*3)*(-3*$J254^3+3*$J254^2)+INDIRECT("C$"&amp;5+MIN(2,ROUNDDOWN(I254,0))*3)*$J254^3</f>
      </c>
      <c r="L254" s="7">
        <f>INDIRECT("D$"&amp;2+MIN(2,ROUNDDOWN(I254,0))*3)*(-$J254^3+3*$J254^2-3*$J254+1)+INDIRECT("D$"&amp;3+MIN(2,ROUNDDOWN(I254,0))*3)*(3*$J254^3-6*$J254^2+3*$J254)+INDIRECT("D$"&amp;4+MIN(2,ROUNDDOWN(I254,0))*3)*(-3*$J254^3+3*$J254^2)+INDIRECT("D$"&amp;5+MIN(2,ROUNDDOWN(I254,0))*3)*$J254^3</f>
      </c>
      <c r="M254" s="7">
        <f>SQRT(K254^2+L254^2)</f>
      </c>
      <c r="N254" s="7">
        <f>(K255-K253)</f>
      </c>
      <c r="O254" s="7">
        <f>+(L255-L253)</f>
      </c>
      <c r="P254" s="7">
        <f>SQRT(O254^2+N254^2)</f>
      </c>
      <c r="Q254" s="7">
        <f>N254/$P254</f>
      </c>
      <c r="R254" s="7">
        <f>O254/$P254</f>
      </c>
      <c r="S254" s="7">
        <f>Q254^2+R254^2</f>
      </c>
      <c r="T254" s="7">
        <f>-R254</f>
      </c>
      <c r="U254" s="7">
        <f>Q254</f>
      </c>
      <c r="V254" s="7">
        <f>($C$14+($C$15-$C$14)/($D$15-$D$14)*(I254-$D$14))/2</f>
      </c>
      <c r="W254" s="7">
        <f>($B$22*I254^4+$C$22*I254^3+$D$22*I254^2+$E$22*I254+$F$22)/2</f>
      </c>
      <c r="X254" s="7">
        <f>($W254)*(T254)</f>
      </c>
      <c r="Y254" s="7">
        <f>($W254)*(U254)</f>
      </c>
      <c r="Z254" s="7">
        <f>SQRT(X254^2+Y254^2)</f>
      </c>
      <c r="AA254" s="7">
        <f>$K254+$X254</f>
      </c>
      <c r="AB254" s="7">
        <f>$L254+$Y254</f>
      </c>
      <c r="AC254" s="7">
        <f>$K254-$X254</f>
      </c>
      <c r="AD254" s="7">
        <f>$L254-$Y254</f>
      </c>
      <c r="AE254" s="7">
        <f>AA254/39.3701</f>
      </c>
      <c r="AF254" s="7">
        <f>AB254/39.3701</f>
      </c>
      <c r="AG254" s="7">
        <f>AC254/39.3701</f>
      </c>
      <c r="AH254" s="7">
        <f>AD254/39.3701</f>
      </c>
      <c r="AI254" s="1"/>
      <c r="AJ254" s="1"/>
      <c r="AK254" s="1"/>
      <c r="AL254" s="1"/>
      <c r="AM254" s="2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</row>
    <row x14ac:dyDescent="0.25" r="255" customHeight="1" ht="18.75">
      <c r="A255" s="1"/>
      <c r="B255" s="2"/>
      <c r="C255" s="2"/>
      <c r="D255" s="2"/>
      <c r="E255" s="2"/>
      <c r="F255" s="2"/>
      <c r="G255" s="1"/>
      <c r="H255" s="1"/>
      <c r="I255" s="7">
        <v>0.252</v>
      </c>
      <c r="J255" s="7">
        <f>IF((I255-ROUNDDOWN(I255,0))=0, 0, (I255-ROUNDDOWN(I255,0)))</f>
      </c>
      <c r="K255" s="7">
        <f>INDIRECT("C$"&amp;2+MIN(2,ROUNDDOWN(I255,0))*3)*(-$J255^3+3*$J255^2-3*$J255+1)+INDIRECT("C$"&amp;3+MIN(2,ROUNDDOWN(I255,0))*3)*(3*$J255^3-6*$J255^2+3*$J255)+INDIRECT("C$"&amp;4+MIN(2,ROUNDDOWN(I255,0))*3)*(-3*$J255^3+3*$J255^2)+INDIRECT("C$"&amp;5+MIN(2,ROUNDDOWN(I255,0))*3)*$J255^3</f>
      </c>
      <c r="L255" s="7">
        <f>INDIRECT("D$"&amp;2+MIN(2,ROUNDDOWN(I255,0))*3)*(-$J255^3+3*$J255^2-3*$J255+1)+INDIRECT("D$"&amp;3+MIN(2,ROUNDDOWN(I255,0))*3)*(3*$J255^3-6*$J255^2+3*$J255)+INDIRECT("D$"&amp;4+MIN(2,ROUNDDOWN(I255,0))*3)*(-3*$J255^3+3*$J255^2)+INDIRECT("D$"&amp;5+MIN(2,ROUNDDOWN(I255,0))*3)*$J255^3</f>
      </c>
      <c r="M255" s="7">
        <f>SQRT(K255^2+L255^2)</f>
      </c>
      <c r="N255" s="7">
        <f>(K256-K254)</f>
      </c>
      <c r="O255" s="7">
        <f>+(L256-L254)</f>
      </c>
      <c r="P255" s="7">
        <f>SQRT(O255^2+N255^2)</f>
      </c>
      <c r="Q255" s="7">
        <f>N255/$P255</f>
      </c>
      <c r="R255" s="7">
        <f>O255/$P255</f>
      </c>
      <c r="S255" s="8">
        <f>Q255^2+R255^2</f>
      </c>
      <c r="T255" s="7">
        <f>-R255</f>
      </c>
      <c r="U255" s="7">
        <f>Q255</f>
      </c>
      <c r="V255" s="7">
        <f>($C$14+($C$15-$C$14)/($D$15-$D$14)*(I255-$D$14))/2</f>
      </c>
      <c r="W255" s="7">
        <f>($B$22*I255^4+$C$22*I255^3+$D$22*I255^2+$E$22*I255+$F$22)/2</f>
      </c>
      <c r="X255" s="7">
        <f>($W255)*(T255)</f>
      </c>
      <c r="Y255" s="7">
        <f>($W255)*(U255)</f>
      </c>
      <c r="Z255" s="7">
        <f>SQRT(X255^2+Y255^2)</f>
      </c>
      <c r="AA255" s="7">
        <f>$K255+$X255</f>
      </c>
      <c r="AB255" s="7">
        <f>$L255+$Y255</f>
      </c>
      <c r="AC255" s="7">
        <f>$K255-$X255</f>
      </c>
      <c r="AD255" s="7">
        <f>$L255-$Y255</f>
      </c>
      <c r="AE255" s="7">
        <f>AA255/39.3701</f>
      </c>
      <c r="AF255" s="7">
        <f>AB255/39.3701</f>
      </c>
      <c r="AG255" s="7">
        <f>AC255/39.3701</f>
      </c>
      <c r="AH255" s="7">
        <f>AD255/39.3701</f>
      </c>
      <c r="AI255" s="1"/>
      <c r="AJ255" s="1"/>
      <c r="AK255" s="1"/>
      <c r="AL255" s="1"/>
      <c r="AM255" s="2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</row>
    <row x14ac:dyDescent="0.25" r="256" customHeight="1" ht="18.75">
      <c r="A256" s="1"/>
      <c r="B256" s="2"/>
      <c r="C256" s="2"/>
      <c r="D256" s="2"/>
      <c r="E256" s="2"/>
      <c r="F256" s="2"/>
      <c r="G256" s="1"/>
      <c r="H256" s="1"/>
      <c r="I256" s="7">
        <v>0.253</v>
      </c>
      <c r="J256" s="7">
        <f>IF((I256-ROUNDDOWN(I256,0))=0, 0, (I256-ROUNDDOWN(I256,0)))</f>
      </c>
      <c r="K256" s="7">
        <f>INDIRECT("C$"&amp;2+MIN(2,ROUNDDOWN(I256,0))*3)*(-$J256^3+3*$J256^2-3*$J256+1)+INDIRECT("C$"&amp;3+MIN(2,ROUNDDOWN(I256,0))*3)*(3*$J256^3-6*$J256^2+3*$J256)+INDIRECT("C$"&amp;4+MIN(2,ROUNDDOWN(I256,0))*3)*(-3*$J256^3+3*$J256^2)+INDIRECT("C$"&amp;5+MIN(2,ROUNDDOWN(I256,0))*3)*$J256^3</f>
      </c>
      <c r="L256" s="7">
        <f>INDIRECT("D$"&amp;2+MIN(2,ROUNDDOWN(I256,0))*3)*(-$J256^3+3*$J256^2-3*$J256+1)+INDIRECT("D$"&amp;3+MIN(2,ROUNDDOWN(I256,0))*3)*(3*$J256^3-6*$J256^2+3*$J256)+INDIRECT("D$"&amp;4+MIN(2,ROUNDDOWN(I256,0))*3)*(-3*$J256^3+3*$J256^2)+INDIRECT("D$"&amp;5+MIN(2,ROUNDDOWN(I256,0))*3)*$J256^3</f>
      </c>
      <c r="M256" s="7">
        <f>SQRT(K256^2+L256^2)</f>
      </c>
      <c r="N256" s="7">
        <f>(K257-K255)</f>
      </c>
      <c r="O256" s="7">
        <f>+(L257-L255)</f>
      </c>
      <c r="P256" s="7">
        <f>SQRT(O256^2+N256^2)</f>
      </c>
      <c r="Q256" s="7">
        <f>N256/$P256</f>
      </c>
      <c r="R256" s="7">
        <f>O256/$P256</f>
      </c>
      <c r="S256" s="8">
        <f>Q256^2+R256^2</f>
      </c>
      <c r="T256" s="7">
        <f>-R256</f>
      </c>
      <c r="U256" s="7">
        <f>Q256</f>
      </c>
      <c r="V256" s="7">
        <f>($C$14+($C$15-$C$14)/($D$15-$D$14)*(I256-$D$14))/2</f>
      </c>
      <c r="W256" s="7">
        <f>($B$22*I256^4+$C$22*I256^3+$D$22*I256^2+$E$22*I256+$F$22)/2</f>
      </c>
      <c r="X256" s="7">
        <f>($W256)*(T256)</f>
      </c>
      <c r="Y256" s="7">
        <f>($W256)*(U256)</f>
      </c>
      <c r="Z256" s="7">
        <f>SQRT(X256^2+Y256^2)</f>
      </c>
      <c r="AA256" s="7">
        <f>$K256+$X256</f>
      </c>
      <c r="AB256" s="7">
        <f>$L256+$Y256</f>
      </c>
      <c r="AC256" s="7">
        <f>$K256-$X256</f>
      </c>
      <c r="AD256" s="7">
        <f>$L256-$Y256</f>
      </c>
      <c r="AE256" s="7">
        <f>AA256/39.3701</f>
      </c>
      <c r="AF256" s="7">
        <f>AB256/39.3701</f>
      </c>
      <c r="AG256" s="7">
        <f>AC256/39.3701</f>
      </c>
      <c r="AH256" s="7">
        <f>AD256/39.3701</f>
      </c>
      <c r="AI256" s="1"/>
      <c r="AJ256" s="1"/>
      <c r="AK256" s="1"/>
      <c r="AL256" s="1"/>
      <c r="AM256" s="2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</row>
    <row x14ac:dyDescent="0.25" r="257" customHeight="1" ht="18.75">
      <c r="A257" s="1"/>
      <c r="B257" s="2"/>
      <c r="C257" s="2"/>
      <c r="D257" s="2"/>
      <c r="E257" s="2"/>
      <c r="F257" s="2"/>
      <c r="G257" s="1"/>
      <c r="H257" s="1"/>
      <c r="I257" s="7">
        <v>0.254</v>
      </c>
      <c r="J257" s="7">
        <f>IF((I257-ROUNDDOWN(I257,0))=0, 0, (I257-ROUNDDOWN(I257,0)))</f>
      </c>
      <c r="K257" s="7">
        <f>INDIRECT("C$"&amp;2+MIN(2,ROUNDDOWN(I257,0))*3)*(-$J257^3+3*$J257^2-3*$J257+1)+INDIRECT("C$"&amp;3+MIN(2,ROUNDDOWN(I257,0))*3)*(3*$J257^3-6*$J257^2+3*$J257)+INDIRECT("C$"&amp;4+MIN(2,ROUNDDOWN(I257,0))*3)*(-3*$J257^3+3*$J257^2)+INDIRECT("C$"&amp;5+MIN(2,ROUNDDOWN(I257,0))*3)*$J257^3</f>
      </c>
      <c r="L257" s="7">
        <f>INDIRECT("D$"&amp;2+MIN(2,ROUNDDOWN(I257,0))*3)*(-$J257^3+3*$J257^2-3*$J257+1)+INDIRECT("D$"&amp;3+MIN(2,ROUNDDOWN(I257,0))*3)*(3*$J257^3-6*$J257^2+3*$J257)+INDIRECT("D$"&amp;4+MIN(2,ROUNDDOWN(I257,0))*3)*(-3*$J257^3+3*$J257^2)+INDIRECT("D$"&amp;5+MIN(2,ROUNDDOWN(I257,0))*3)*$J257^3</f>
      </c>
      <c r="M257" s="7">
        <f>SQRT(K257^2+L257^2)</f>
      </c>
      <c r="N257" s="7">
        <f>(K258-K256)</f>
      </c>
      <c r="O257" s="7">
        <f>+(L258-L256)</f>
      </c>
      <c r="P257" s="7">
        <f>SQRT(O257^2+N257^2)</f>
      </c>
      <c r="Q257" s="7">
        <f>N257/$P257</f>
      </c>
      <c r="R257" s="7">
        <f>O257/$P257</f>
      </c>
      <c r="S257" s="8">
        <f>Q257^2+R257^2</f>
      </c>
      <c r="T257" s="7">
        <f>-R257</f>
      </c>
      <c r="U257" s="7">
        <f>Q257</f>
      </c>
      <c r="V257" s="7">
        <f>($C$14+($C$15-$C$14)/($D$15-$D$14)*(I257-$D$14))/2</f>
      </c>
      <c r="W257" s="7">
        <f>($B$22*I257^4+$C$22*I257^3+$D$22*I257^2+$E$22*I257+$F$22)/2</f>
      </c>
      <c r="X257" s="7">
        <f>($W257)*(T257)</f>
      </c>
      <c r="Y257" s="7">
        <f>($W257)*(U257)</f>
      </c>
      <c r="Z257" s="7">
        <f>SQRT(X257^2+Y257^2)</f>
      </c>
      <c r="AA257" s="7">
        <f>$K257+$X257</f>
      </c>
      <c r="AB257" s="7">
        <f>$L257+$Y257</f>
      </c>
      <c r="AC257" s="7">
        <f>$K257-$X257</f>
      </c>
      <c r="AD257" s="7">
        <f>$L257-$Y257</f>
      </c>
      <c r="AE257" s="7">
        <f>AA257/39.3701</f>
      </c>
      <c r="AF257" s="7">
        <f>AB257/39.3701</f>
      </c>
      <c r="AG257" s="7">
        <f>AC257/39.3701</f>
      </c>
      <c r="AH257" s="7">
        <f>AD257/39.3701</f>
      </c>
      <c r="AI257" s="1"/>
      <c r="AJ257" s="1"/>
      <c r="AK257" s="1"/>
      <c r="AL257" s="1"/>
      <c r="AM257" s="2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</row>
    <row x14ac:dyDescent="0.25" r="258" customHeight="1" ht="18.75">
      <c r="A258" s="1"/>
      <c r="B258" s="2"/>
      <c r="C258" s="2"/>
      <c r="D258" s="2"/>
      <c r="E258" s="2"/>
      <c r="F258" s="2"/>
      <c r="G258" s="1"/>
      <c r="H258" s="1"/>
      <c r="I258" s="7">
        <v>0.255</v>
      </c>
      <c r="J258" s="7">
        <f>IF((I258-ROUNDDOWN(I258,0))=0, 0, (I258-ROUNDDOWN(I258,0)))</f>
      </c>
      <c r="K258" s="7">
        <f>INDIRECT("C$"&amp;2+MIN(2,ROUNDDOWN(I258,0))*3)*(-$J258^3+3*$J258^2-3*$J258+1)+INDIRECT("C$"&amp;3+MIN(2,ROUNDDOWN(I258,0))*3)*(3*$J258^3-6*$J258^2+3*$J258)+INDIRECT("C$"&amp;4+MIN(2,ROUNDDOWN(I258,0))*3)*(-3*$J258^3+3*$J258^2)+INDIRECT("C$"&amp;5+MIN(2,ROUNDDOWN(I258,0))*3)*$J258^3</f>
      </c>
      <c r="L258" s="7">
        <f>INDIRECT("D$"&amp;2+MIN(2,ROUNDDOWN(I258,0))*3)*(-$J258^3+3*$J258^2-3*$J258+1)+INDIRECT("D$"&amp;3+MIN(2,ROUNDDOWN(I258,0))*3)*(3*$J258^3-6*$J258^2+3*$J258)+INDIRECT("D$"&amp;4+MIN(2,ROUNDDOWN(I258,0))*3)*(-3*$J258^3+3*$J258^2)+INDIRECT("D$"&amp;5+MIN(2,ROUNDDOWN(I258,0))*3)*$J258^3</f>
      </c>
      <c r="M258" s="7">
        <f>SQRT(K258^2+L258^2)</f>
      </c>
      <c r="N258" s="7">
        <f>(K259-K257)</f>
      </c>
      <c r="O258" s="7">
        <f>+(L259-L257)</f>
      </c>
      <c r="P258" s="7">
        <f>SQRT(O258^2+N258^2)</f>
      </c>
      <c r="Q258" s="7">
        <f>N258/$P258</f>
      </c>
      <c r="R258" s="7">
        <f>O258/$P258</f>
      </c>
      <c r="S258" s="8">
        <f>Q258^2+R258^2</f>
      </c>
      <c r="T258" s="7">
        <f>-R258</f>
      </c>
      <c r="U258" s="7">
        <f>Q258</f>
      </c>
      <c r="V258" s="7">
        <f>($C$14+($C$15-$C$14)/($D$15-$D$14)*(I258-$D$14))/2</f>
      </c>
      <c r="W258" s="7">
        <f>($B$22*I258^4+$C$22*I258^3+$D$22*I258^2+$E$22*I258+$F$22)/2</f>
      </c>
      <c r="X258" s="7">
        <f>($W258)*(T258)</f>
      </c>
      <c r="Y258" s="7">
        <f>($W258)*(U258)</f>
      </c>
      <c r="Z258" s="7">
        <f>SQRT(X258^2+Y258^2)</f>
      </c>
      <c r="AA258" s="7">
        <f>$K258+$X258</f>
      </c>
      <c r="AB258" s="7">
        <f>$L258+$Y258</f>
      </c>
      <c r="AC258" s="7">
        <f>$K258-$X258</f>
      </c>
      <c r="AD258" s="7">
        <f>$L258-$Y258</f>
      </c>
      <c r="AE258" s="7">
        <f>AA258/39.3701</f>
      </c>
      <c r="AF258" s="7">
        <f>AB258/39.3701</f>
      </c>
      <c r="AG258" s="7">
        <f>AC258/39.3701</f>
      </c>
      <c r="AH258" s="7">
        <f>AD258/39.3701</f>
      </c>
      <c r="AI258" s="1"/>
      <c r="AJ258" s="1"/>
      <c r="AK258" s="1"/>
      <c r="AL258" s="1"/>
      <c r="AM258" s="2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</row>
    <row x14ac:dyDescent="0.25" r="259" customHeight="1" ht="18.75">
      <c r="A259" s="1"/>
      <c r="B259" s="2"/>
      <c r="C259" s="2"/>
      <c r="D259" s="2"/>
      <c r="E259" s="2"/>
      <c r="F259" s="2"/>
      <c r="G259" s="1"/>
      <c r="H259" s="1"/>
      <c r="I259" s="7">
        <v>0.256</v>
      </c>
      <c r="J259" s="7">
        <f>IF((I259-ROUNDDOWN(I259,0))=0, 0, (I259-ROUNDDOWN(I259,0)))</f>
      </c>
      <c r="K259" s="7">
        <f>INDIRECT("C$"&amp;2+MIN(2,ROUNDDOWN(I259,0))*3)*(-$J259^3+3*$J259^2-3*$J259+1)+INDIRECT("C$"&amp;3+MIN(2,ROUNDDOWN(I259,0))*3)*(3*$J259^3-6*$J259^2+3*$J259)+INDIRECT("C$"&amp;4+MIN(2,ROUNDDOWN(I259,0))*3)*(-3*$J259^3+3*$J259^2)+INDIRECT("C$"&amp;5+MIN(2,ROUNDDOWN(I259,0))*3)*$J259^3</f>
      </c>
      <c r="L259" s="7">
        <f>INDIRECT("D$"&amp;2+MIN(2,ROUNDDOWN(I259,0))*3)*(-$J259^3+3*$J259^2-3*$J259+1)+INDIRECT("D$"&amp;3+MIN(2,ROUNDDOWN(I259,0))*3)*(3*$J259^3-6*$J259^2+3*$J259)+INDIRECT("D$"&amp;4+MIN(2,ROUNDDOWN(I259,0))*3)*(-3*$J259^3+3*$J259^2)+INDIRECT("D$"&amp;5+MIN(2,ROUNDDOWN(I259,0))*3)*$J259^3</f>
      </c>
      <c r="M259" s="7">
        <f>SQRT(K259^2+L259^2)</f>
      </c>
      <c r="N259" s="7">
        <f>(K260-K258)</f>
      </c>
      <c r="O259" s="7">
        <f>+(L260-L258)</f>
      </c>
      <c r="P259" s="7">
        <f>SQRT(O259^2+N259^2)</f>
      </c>
      <c r="Q259" s="7">
        <f>N259/$P259</f>
      </c>
      <c r="R259" s="7">
        <f>O259/$P259</f>
      </c>
      <c r="S259" s="7">
        <f>Q259^2+R259^2</f>
      </c>
      <c r="T259" s="7">
        <f>-R259</f>
      </c>
      <c r="U259" s="7">
        <f>Q259</f>
      </c>
      <c r="V259" s="7">
        <f>($C$14+($C$15-$C$14)/($D$15-$D$14)*(I259-$D$14))/2</f>
      </c>
      <c r="W259" s="7">
        <f>($B$22*I259^4+$C$22*I259^3+$D$22*I259^2+$E$22*I259+$F$22)/2</f>
      </c>
      <c r="X259" s="7">
        <f>($W259)*(T259)</f>
      </c>
      <c r="Y259" s="7">
        <f>($W259)*(U259)</f>
      </c>
      <c r="Z259" s="7">
        <f>SQRT(X259^2+Y259^2)</f>
      </c>
      <c r="AA259" s="7">
        <f>$K259+$X259</f>
      </c>
      <c r="AB259" s="7">
        <f>$L259+$Y259</f>
      </c>
      <c r="AC259" s="7">
        <f>$K259-$X259</f>
      </c>
      <c r="AD259" s="7">
        <f>$L259-$Y259</f>
      </c>
      <c r="AE259" s="7">
        <f>AA259/39.3701</f>
      </c>
      <c r="AF259" s="7">
        <f>AB259/39.3701</f>
      </c>
      <c r="AG259" s="7">
        <f>AC259/39.3701</f>
      </c>
      <c r="AH259" s="7">
        <f>AD259/39.3701</f>
      </c>
      <c r="AI259" s="1"/>
      <c r="AJ259" s="1"/>
      <c r="AK259" s="1"/>
      <c r="AL259" s="1"/>
      <c r="AM259" s="2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</row>
    <row x14ac:dyDescent="0.25" r="260" customHeight="1" ht="18.75">
      <c r="A260" s="1"/>
      <c r="B260" s="2"/>
      <c r="C260" s="2"/>
      <c r="D260" s="2"/>
      <c r="E260" s="2"/>
      <c r="F260" s="2"/>
      <c r="G260" s="1"/>
      <c r="H260" s="1"/>
      <c r="I260" s="7">
        <v>0.257</v>
      </c>
      <c r="J260" s="7">
        <f>IF((I260-ROUNDDOWN(I260,0))=0, 0, (I260-ROUNDDOWN(I260,0)))</f>
      </c>
      <c r="K260" s="7">
        <f>INDIRECT("C$"&amp;2+MIN(2,ROUNDDOWN(I260,0))*3)*(-$J260^3+3*$J260^2-3*$J260+1)+INDIRECT("C$"&amp;3+MIN(2,ROUNDDOWN(I260,0))*3)*(3*$J260^3-6*$J260^2+3*$J260)+INDIRECT("C$"&amp;4+MIN(2,ROUNDDOWN(I260,0))*3)*(-3*$J260^3+3*$J260^2)+INDIRECT("C$"&amp;5+MIN(2,ROUNDDOWN(I260,0))*3)*$J260^3</f>
      </c>
      <c r="L260" s="7">
        <f>INDIRECT("D$"&amp;2+MIN(2,ROUNDDOWN(I260,0))*3)*(-$J260^3+3*$J260^2-3*$J260+1)+INDIRECT("D$"&amp;3+MIN(2,ROUNDDOWN(I260,0))*3)*(3*$J260^3-6*$J260^2+3*$J260)+INDIRECT("D$"&amp;4+MIN(2,ROUNDDOWN(I260,0))*3)*(-3*$J260^3+3*$J260^2)+INDIRECT("D$"&amp;5+MIN(2,ROUNDDOWN(I260,0))*3)*$J260^3</f>
      </c>
      <c r="M260" s="7">
        <f>SQRT(K260^2+L260^2)</f>
      </c>
      <c r="N260" s="7">
        <f>(K261-K259)</f>
      </c>
      <c r="O260" s="7">
        <f>+(L261-L259)</f>
      </c>
      <c r="P260" s="7">
        <f>SQRT(O260^2+N260^2)</f>
      </c>
      <c r="Q260" s="7">
        <f>N260/$P260</f>
      </c>
      <c r="R260" s="7">
        <f>O260/$P260</f>
      </c>
      <c r="S260" s="7">
        <f>Q260^2+R260^2</f>
      </c>
      <c r="T260" s="7">
        <f>-R260</f>
      </c>
      <c r="U260" s="7">
        <f>Q260</f>
      </c>
      <c r="V260" s="7">
        <f>($C$14+($C$15-$C$14)/($D$15-$D$14)*(I260-$D$14))/2</f>
      </c>
      <c r="W260" s="7">
        <f>($B$22*I260^4+$C$22*I260^3+$D$22*I260^2+$E$22*I260+$F$22)/2</f>
      </c>
      <c r="X260" s="7">
        <f>($W260)*(T260)</f>
      </c>
      <c r="Y260" s="7">
        <f>($W260)*(U260)</f>
      </c>
      <c r="Z260" s="7">
        <f>SQRT(X260^2+Y260^2)</f>
      </c>
      <c r="AA260" s="7">
        <f>$K260+$X260</f>
      </c>
      <c r="AB260" s="7">
        <f>$L260+$Y260</f>
      </c>
      <c r="AC260" s="7">
        <f>$K260-$X260</f>
      </c>
      <c r="AD260" s="7">
        <f>$L260-$Y260</f>
      </c>
      <c r="AE260" s="7">
        <f>AA260/39.3701</f>
      </c>
      <c r="AF260" s="7">
        <f>AB260/39.3701</f>
      </c>
      <c r="AG260" s="7">
        <f>AC260/39.3701</f>
      </c>
      <c r="AH260" s="7">
        <f>AD260/39.3701</f>
      </c>
      <c r="AI260" s="1"/>
      <c r="AJ260" s="1"/>
      <c r="AK260" s="1"/>
      <c r="AL260" s="1"/>
      <c r="AM260" s="2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</row>
    <row x14ac:dyDescent="0.25" r="261" customHeight="1" ht="18.75">
      <c r="A261" s="1"/>
      <c r="B261" s="2"/>
      <c r="C261" s="2"/>
      <c r="D261" s="2"/>
      <c r="E261" s="2"/>
      <c r="F261" s="2"/>
      <c r="G261" s="1"/>
      <c r="H261" s="1"/>
      <c r="I261" s="7">
        <v>0.258</v>
      </c>
      <c r="J261" s="7">
        <f>IF((I261-ROUNDDOWN(I261,0))=0, 0, (I261-ROUNDDOWN(I261,0)))</f>
      </c>
      <c r="K261" s="7">
        <f>INDIRECT("C$"&amp;2+MIN(2,ROUNDDOWN(I261,0))*3)*(-$J261^3+3*$J261^2-3*$J261+1)+INDIRECT("C$"&amp;3+MIN(2,ROUNDDOWN(I261,0))*3)*(3*$J261^3-6*$J261^2+3*$J261)+INDIRECT("C$"&amp;4+MIN(2,ROUNDDOWN(I261,0))*3)*(-3*$J261^3+3*$J261^2)+INDIRECT("C$"&amp;5+MIN(2,ROUNDDOWN(I261,0))*3)*$J261^3</f>
      </c>
      <c r="L261" s="7">
        <f>INDIRECT("D$"&amp;2+MIN(2,ROUNDDOWN(I261,0))*3)*(-$J261^3+3*$J261^2-3*$J261+1)+INDIRECT("D$"&amp;3+MIN(2,ROUNDDOWN(I261,0))*3)*(3*$J261^3-6*$J261^2+3*$J261)+INDIRECT("D$"&amp;4+MIN(2,ROUNDDOWN(I261,0))*3)*(-3*$J261^3+3*$J261^2)+INDIRECT("D$"&amp;5+MIN(2,ROUNDDOWN(I261,0))*3)*$J261^3</f>
      </c>
      <c r="M261" s="7">
        <f>SQRT(K261^2+L261^2)</f>
      </c>
      <c r="N261" s="7">
        <f>(K262-K260)</f>
      </c>
      <c r="O261" s="7">
        <f>+(L262-L260)</f>
      </c>
      <c r="P261" s="7">
        <f>SQRT(O261^2+N261^2)</f>
      </c>
      <c r="Q261" s="7">
        <f>N261/$P261</f>
      </c>
      <c r="R261" s="7">
        <f>O261/$P261</f>
      </c>
      <c r="S261" s="8">
        <f>Q261^2+R261^2</f>
      </c>
      <c r="T261" s="7">
        <f>-R261</f>
      </c>
      <c r="U261" s="7">
        <f>Q261</f>
      </c>
      <c r="V261" s="7">
        <f>($C$14+($C$15-$C$14)/($D$15-$D$14)*(I261-$D$14))/2</f>
      </c>
      <c r="W261" s="7">
        <f>($B$22*I261^4+$C$22*I261^3+$D$22*I261^2+$E$22*I261+$F$22)/2</f>
      </c>
      <c r="X261" s="7">
        <f>($W261)*(T261)</f>
      </c>
      <c r="Y261" s="7">
        <f>($W261)*(U261)</f>
      </c>
      <c r="Z261" s="7">
        <f>SQRT(X261^2+Y261^2)</f>
      </c>
      <c r="AA261" s="7">
        <f>$K261+$X261</f>
      </c>
      <c r="AB261" s="7">
        <f>$L261+$Y261</f>
      </c>
      <c r="AC261" s="7">
        <f>$K261-$X261</f>
      </c>
      <c r="AD261" s="7">
        <f>$L261-$Y261</f>
      </c>
      <c r="AE261" s="7">
        <f>AA261/39.3701</f>
      </c>
      <c r="AF261" s="7">
        <f>AB261/39.3701</f>
      </c>
      <c r="AG261" s="7">
        <f>AC261/39.3701</f>
      </c>
      <c r="AH261" s="7">
        <f>AD261/39.3701</f>
      </c>
      <c r="AI261" s="1"/>
      <c r="AJ261" s="1"/>
      <c r="AK261" s="1"/>
      <c r="AL261" s="1"/>
      <c r="AM261" s="2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</row>
    <row x14ac:dyDescent="0.25" r="262" customHeight="1" ht="18.75">
      <c r="A262" s="1"/>
      <c r="B262" s="2"/>
      <c r="C262" s="2"/>
      <c r="D262" s="2"/>
      <c r="E262" s="2"/>
      <c r="F262" s="2"/>
      <c r="G262" s="1"/>
      <c r="H262" s="1"/>
      <c r="I262" s="7">
        <v>0.259</v>
      </c>
      <c r="J262" s="7">
        <f>IF((I262-ROUNDDOWN(I262,0))=0, 0, (I262-ROUNDDOWN(I262,0)))</f>
      </c>
      <c r="K262" s="7">
        <f>INDIRECT("C$"&amp;2+MIN(2,ROUNDDOWN(I262,0))*3)*(-$J262^3+3*$J262^2-3*$J262+1)+INDIRECT("C$"&amp;3+MIN(2,ROUNDDOWN(I262,0))*3)*(3*$J262^3-6*$J262^2+3*$J262)+INDIRECT("C$"&amp;4+MIN(2,ROUNDDOWN(I262,0))*3)*(-3*$J262^3+3*$J262^2)+INDIRECT("C$"&amp;5+MIN(2,ROUNDDOWN(I262,0))*3)*$J262^3</f>
      </c>
      <c r="L262" s="7">
        <f>INDIRECT("D$"&amp;2+MIN(2,ROUNDDOWN(I262,0))*3)*(-$J262^3+3*$J262^2-3*$J262+1)+INDIRECT("D$"&amp;3+MIN(2,ROUNDDOWN(I262,0))*3)*(3*$J262^3-6*$J262^2+3*$J262)+INDIRECT("D$"&amp;4+MIN(2,ROUNDDOWN(I262,0))*3)*(-3*$J262^3+3*$J262^2)+INDIRECT("D$"&amp;5+MIN(2,ROUNDDOWN(I262,0))*3)*$J262^3</f>
      </c>
      <c r="M262" s="7">
        <f>SQRT(K262^2+L262^2)</f>
      </c>
      <c r="N262" s="7">
        <f>(K263-K261)</f>
      </c>
      <c r="O262" s="7">
        <f>+(L263-L261)</f>
      </c>
      <c r="P262" s="7">
        <f>SQRT(O262^2+N262^2)</f>
      </c>
      <c r="Q262" s="7">
        <f>N262/$P262</f>
      </c>
      <c r="R262" s="7">
        <f>O262/$P262</f>
      </c>
      <c r="S262" s="8">
        <f>Q262^2+R262^2</f>
      </c>
      <c r="T262" s="7">
        <f>-R262</f>
      </c>
      <c r="U262" s="7">
        <f>Q262</f>
      </c>
      <c r="V262" s="7">
        <f>($C$14+($C$15-$C$14)/($D$15-$D$14)*(I262-$D$14))/2</f>
      </c>
      <c r="W262" s="7">
        <f>($B$22*I262^4+$C$22*I262^3+$D$22*I262^2+$E$22*I262+$F$22)/2</f>
      </c>
      <c r="X262" s="7">
        <f>($W262)*(T262)</f>
      </c>
      <c r="Y262" s="7">
        <f>($W262)*(U262)</f>
      </c>
      <c r="Z262" s="7">
        <f>SQRT(X262^2+Y262^2)</f>
      </c>
      <c r="AA262" s="7">
        <f>$K262+$X262</f>
      </c>
      <c r="AB262" s="7">
        <f>$L262+$Y262</f>
      </c>
      <c r="AC262" s="7">
        <f>$K262-$X262</f>
      </c>
      <c r="AD262" s="7">
        <f>$L262-$Y262</f>
      </c>
      <c r="AE262" s="7">
        <f>AA262/39.3701</f>
      </c>
      <c r="AF262" s="7">
        <f>AB262/39.3701</f>
      </c>
      <c r="AG262" s="7">
        <f>AC262/39.3701</f>
      </c>
      <c r="AH262" s="7">
        <f>AD262/39.3701</f>
      </c>
      <c r="AI262" s="1"/>
      <c r="AJ262" s="1"/>
      <c r="AK262" s="1"/>
      <c r="AL262" s="1"/>
      <c r="AM262" s="2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</row>
    <row x14ac:dyDescent="0.25" r="263" customHeight="1" ht="18.75">
      <c r="A263" s="1"/>
      <c r="B263" s="2"/>
      <c r="C263" s="2"/>
      <c r="D263" s="2"/>
      <c r="E263" s="2"/>
      <c r="F263" s="2"/>
      <c r="G263" s="1"/>
      <c r="H263" s="1"/>
      <c r="I263" s="7">
        <v>0.26</v>
      </c>
      <c r="J263" s="7">
        <f>IF((I263-ROUNDDOWN(I263,0))=0, 0, (I263-ROUNDDOWN(I263,0)))</f>
      </c>
      <c r="K263" s="7">
        <f>INDIRECT("C$"&amp;2+MIN(2,ROUNDDOWN(I263,0))*3)*(-$J263^3+3*$J263^2-3*$J263+1)+INDIRECT("C$"&amp;3+MIN(2,ROUNDDOWN(I263,0))*3)*(3*$J263^3-6*$J263^2+3*$J263)+INDIRECT("C$"&amp;4+MIN(2,ROUNDDOWN(I263,0))*3)*(-3*$J263^3+3*$J263^2)+INDIRECT("C$"&amp;5+MIN(2,ROUNDDOWN(I263,0))*3)*$J263^3</f>
      </c>
      <c r="L263" s="7">
        <f>INDIRECT("D$"&amp;2+MIN(2,ROUNDDOWN(I263,0))*3)*(-$J263^3+3*$J263^2-3*$J263+1)+INDIRECT("D$"&amp;3+MIN(2,ROUNDDOWN(I263,0))*3)*(3*$J263^3-6*$J263^2+3*$J263)+INDIRECT("D$"&amp;4+MIN(2,ROUNDDOWN(I263,0))*3)*(-3*$J263^3+3*$J263^2)+INDIRECT("D$"&amp;5+MIN(2,ROUNDDOWN(I263,0))*3)*$J263^3</f>
      </c>
      <c r="M263" s="7">
        <f>SQRT(K263^2+L263^2)</f>
      </c>
      <c r="N263" s="7">
        <f>(K264-K262)</f>
      </c>
      <c r="O263" s="7">
        <f>+(L264-L262)</f>
      </c>
      <c r="P263" s="7">
        <f>SQRT(O263^2+N263^2)</f>
      </c>
      <c r="Q263" s="7">
        <f>N263/$P263</f>
      </c>
      <c r="R263" s="7">
        <f>O263/$P263</f>
      </c>
      <c r="S263" s="7">
        <f>Q263^2+R263^2</f>
      </c>
      <c r="T263" s="7">
        <f>-R263</f>
      </c>
      <c r="U263" s="7">
        <f>Q263</f>
      </c>
      <c r="V263" s="7">
        <f>($C$14+($C$15-$C$14)/($D$15-$D$14)*(I263-$D$14))/2</f>
      </c>
      <c r="W263" s="7">
        <f>($B$22*I263^4+$C$22*I263^3+$D$22*I263^2+$E$22*I263+$F$22)/2</f>
      </c>
      <c r="X263" s="7">
        <f>($W263)*(T263)</f>
      </c>
      <c r="Y263" s="7">
        <f>($W263)*(U263)</f>
      </c>
      <c r="Z263" s="7">
        <f>SQRT(X263^2+Y263^2)</f>
      </c>
      <c r="AA263" s="7">
        <f>$K263+$X263</f>
      </c>
      <c r="AB263" s="7">
        <f>$L263+$Y263</f>
      </c>
      <c r="AC263" s="7">
        <f>$K263-$X263</f>
      </c>
      <c r="AD263" s="7">
        <f>$L263-$Y263</f>
      </c>
      <c r="AE263" s="7">
        <f>AA263/39.3701</f>
      </c>
      <c r="AF263" s="7">
        <f>AB263/39.3701</f>
      </c>
      <c r="AG263" s="7">
        <f>AC263/39.3701</f>
      </c>
      <c r="AH263" s="7">
        <f>AD263/39.3701</f>
      </c>
      <c r="AI263" s="1"/>
      <c r="AJ263" s="1"/>
      <c r="AK263" s="1"/>
      <c r="AL263" s="1"/>
      <c r="AM263" s="2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</row>
    <row x14ac:dyDescent="0.25" r="264" customHeight="1" ht="18.75">
      <c r="A264" s="1"/>
      <c r="B264" s="2"/>
      <c r="C264" s="2"/>
      <c r="D264" s="2"/>
      <c r="E264" s="2"/>
      <c r="F264" s="2"/>
      <c r="G264" s="1"/>
      <c r="H264" s="1"/>
      <c r="I264" s="7">
        <v>0.261</v>
      </c>
      <c r="J264" s="7">
        <f>IF((I264-ROUNDDOWN(I264,0))=0, 0, (I264-ROUNDDOWN(I264,0)))</f>
      </c>
      <c r="K264" s="7">
        <f>INDIRECT("C$"&amp;2+MIN(2,ROUNDDOWN(I264,0))*3)*(-$J264^3+3*$J264^2-3*$J264+1)+INDIRECT("C$"&amp;3+MIN(2,ROUNDDOWN(I264,0))*3)*(3*$J264^3-6*$J264^2+3*$J264)+INDIRECT("C$"&amp;4+MIN(2,ROUNDDOWN(I264,0))*3)*(-3*$J264^3+3*$J264^2)+INDIRECT("C$"&amp;5+MIN(2,ROUNDDOWN(I264,0))*3)*$J264^3</f>
      </c>
      <c r="L264" s="7">
        <f>INDIRECT("D$"&amp;2+MIN(2,ROUNDDOWN(I264,0))*3)*(-$J264^3+3*$J264^2-3*$J264+1)+INDIRECT("D$"&amp;3+MIN(2,ROUNDDOWN(I264,0))*3)*(3*$J264^3-6*$J264^2+3*$J264)+INDIRECT("D$"&amp;4+MIN(2,ROUNDDOWN(I264,0))*3)*(-3*$J264^3+3*$J264^2)+INDIRECT("D$"&amp;5+MIN(2,ROUNDDOWN(I264,0))*3)*$J264^3</f>
      </c>
      <c r="M264" s="7">
        <f>SQRT(K264^2+L264^2)</f>
      </c>
      <c r="N264" s="7">
        <f>(K265-K263)</f>
      </c>
      <c r="O264" s="7">
        <f>+(L265-L263)</f>
      </c>
      <c r="P264" s="7">
        <f>SQRT(O264^2+N264^2)</f>
      </c>
      <c r="Q264" s="7">
        <f>N264/$P264</f>
      </c>
      <c r="R264" s="7">
        <f>O264/$P264</f>
      </c>
      <c r="S264" s="7">
        <f>Q264^2+R264^2</f>
      </c>
      <c r="T264" s="7">
        <f>-R264</f>
      </c>
      <c r="U264" s="7">
        <f>Q264</f>
      </c>
      <c r="V264" s="7">
        <f>($C$14+($C$15-$C$14)/($D$15-$D$14)*(I264-$D$14))/2</f>
      </c>
      <c r="W264" s="7">
        <f>($B$22*I264^4+$C$22*I264^3+$D$22*I264^2+$E$22*I264+$F$22)/2</f>
      </c>
      <c r="X264" s="7">
        <f>($W264)*(T264)</f>
      </c>
      <c r="Y264" s="7">
        <f>($W264)*(U264)</f>
      </c>
      <c r="Z264" s="7">
        <f>SQRT(X264^2+Y264^2)</f>
      </c>
      <c r="AA264" s="7">
        <f>$K264+$X264</f>
      </c>
      <c r="AB264" s="7">
        <f>$L264+$Y264</f>
      </c>
      <c r="AC264" s="7">
        <f>$K264-$X264</f>
      </c>
      <c r="AD264" s="7">
        <f>$L264-$Y264</f>
      </c>
      <c r="AE264" s="7">
        <f>AA264/39.3701</f>
      </c>
      <c r="AF264" s="7">
        <f>AB264/39.3701</f>
      </c>
      <c r="AG264" s="7">
        <f>AC264/39.3701</f>
      </c>
      <c r="AH264" s="7">
        <f>AD264/39.3701</f>
      </c>
      <c r="AI264" s="1"/>
      <c r="AJ264" s="1"/>
      <c r="AK264" s="1"/>
      <c r="AL264" s="1"/>
      <c r="AM264" s="2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</row>
    <row x14ac:dyDescent="0.25" r="265" customHeight="1" ht="18.75">
      <c r="A265" s="1"/>
      <c r="B265" s="2"/>
      <c r="C265" s="2"/>
      <c r="D265" s="2"/>
      <c r="E265" s="2"/>
      <c r="F265" s="2"/>
      <c r="G265" s="1"/>
      <c r="H265" s="1"/>
      <c r="I265" s="7">
        <v>0.262</v>
      </c>
      <c r="J265" s="7">
        <f>IF((I265-ROUNDDOWN(I265,0))=0, 0, (I265-ROUNDDOWN(I265,0)))</f>
      </c>
      <c r="K265" s="7">
        <f>INDIRECT("C$"&amp;2+MIN(2,ROUNDDOWN(I265,0))*3)*(-$J265^3+3*$J265^2-3*$J265+1)+INDIRECT("C$"&amp;3+MIN(2,ROUNDDOWN(I265,0))*3)*(3*$J265^3-6*$J265^2+3*$J265)+INDIRECT("C$"&amp;4+MIN(2,ROUNDDOWN(I265,0))*3)*(-3*$J265^3+3*$J265^2)+INDIRECT("C$"&amp;5+MIN(2,ROUNDDOWN(I265,0))*3)*$J265^3</f>
      </c>
      <c r="L265" s="7">
        <f>INDIRECT("D$"&amp;2+MIN(2,ROUNDDOWN(I265,0))*3)*(-$J265^3+3*$J265^2-3*$J265+1)+INDIRECT("D$"&amp;3+MIN(2,ROUNDDOWN(I265,0))*3)*(3*$J265^3-6*$J265^2+3*$J265)+INDIRECT("D$"&amp;4+MIN(2,ROUNDDOWN(I265,0))*3)*(-3*$J265^3+3*$J265^2)+INDIRECT("D$"&amp;5+MIN(2,ROUNDDOWN(I265,0))*3)*$J265^3</f>
      </c>
      <c r="M265" s="7">
        <f>SQRT(K265^2+L265^2)</f>
      </c>
      <c r="N265" s="7">
        <f>(K266-K264)</f>
      </c>
      <c r="O265" s="7">
        <f>+(L266-L264)</f>
      </c>
      <c r="P265" s="7">
        <f>SQRT(O265^2+N265^2)</f>
      </c>
      <c r="Q265" s="7">
        <f>N265/$P265</f>
      </c>
      <c r="R265" s="7">
        <f>O265/$P265</f>
      </c>
      <c r="S265" s="7">
        <f>Q265^2+R265^2</f>
      </c>
      <c r="T265" s="7">
        <f>-R265</f>
      </c>
      <c r="U265" s="7">
        <f>Q265</f>
      </c>
      <c r="V265" s="7">
        <f>($C$14+($C$15-$C$14)/($D$15-$D$14)*(I265-$D$14))/2</f>
      </c>
      <c r="W265" s="7">
        <f>($B$22*I265^4+$C$22*I265^3+$D$22*I265^2+$E$22*I265+$F$22)/2</f>
      </c>
      <c r="X265" s="7">
        <f>($W265)*(T265)</f>
      </c>
      <c r="Y265" s="7">
        <f>($W265)*(U265)</f>
      </c>
      <c r="Z265" s="7">
        <f>SQRT(X265^2+Y265^2)</f>
      </c>
      <c r="AA265" s="7">
        <f>$K265+$X265</f>
      </c>
      <c r="AB265" s="7">
        <f>$L265+$Y265</f>
      </c>
      <c r="AC265" s="7">
        <f>$K265-$X265</f>
      </c>
      <c r="AD265" s="7">
        <f>$L265-$Y265</f>
      </c>
      <c r="AE265" s="7">
        <f>AA265/39.3701</f>
      </c>
      <c r="AF265" s="7">
        <f>AB265/39.3701</f>
      </c>
      <c r="AG265" s="7">
        <f>AC265/39.3701</f>
      </c>
      <c r="AH265" s="7">
        <f>AD265/39.3701</f>
      </c>
      <c r="AI265" s="1"/>
      <c r="AJ265" s="1"/>
      <c r="AK265" s="1"/>
      <c r="AL265" s="1"/>
      <c r="AM265" s="2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</row>
    <row x14ac:dyDescent="0.25" r="266" customHeight="1" ht="18.75">
      <c r="A266" s="1"/>
      <c r="B266" s="2"/>
      <c r="C266" s="2"/>
      <c r="D266" s="2"/>
      <c r="E266" s="2"/>
      <c r="F266" s="2"/>
      <c r="G266" s="1"/>
      <c r="H266" s="1"/>
      <c r="I266" s="7">
        <v>0.263</v>
      </c>
      <c r="J266" s="7">
        <f>IF((I266-ROUNDDOWN(I266,0))=0, 0, (I266-ROUNDDOWN(I266,0)))</f>
      </c>
      <c r="K266" s="7">
        <f>INDIRECT("C$"&amp;2+MIN(2,ROUNDDOWN(I266,0))*3)*(-$J266^3+3*$J266^2-3*$J266+1)+INDIRECT("C$"&amp;3+MIN(2,ROUNDDOWN(I266,0))*3)*(3*$J266^3-6*$J266^2+3*$J266)+INDIRECT("C$"&amp;4+MIN(2,ROUNDDOWN(I266,0))*3)*(-3*$J266^3+3*$J266^2)+INDIRECT("C$"&amp;5+MIN(2,ROUNDDOWN(I266,0))*3)*$J266^3</f>
      </c>
      <c r="L266" s="7">
        <f>INDIRECT("D$"&amp;2+MIN(2,ROUNDDOWN(I266,0))*3)*(-$J266^3+3*$J266^2-3*$J266+1)+INDIRECT("D$"&amp;3+MIN(2,ROUNDDOWN(I266,0))*3)*(3*$J266^3-6*$J266^2+3*$J266)+INDIRECT("D$"&amp;4+MIN(2,ROUNDDOWN(I266,0))*3)*(-3*$J266^3+3*$J266^2)+INDIRECT("D$"&amp;5+MIN(2,ROUNDDOWN(I266,0))*3)*$J266^3</f>
      </c>
      <c r="M266" s="7">
        <f>SQRT(K266^2+L266^2)</f>
      </c>
      <c r="N266" s="7">
        <f>(K267-K265)</f>
      </c>
      <c r="O266" s="7">
        <f>+(L267-L265)</f>
      </c>
      <c r="P266" s="7">
        <f>SQRT(O266^2+N266^2)</f>
      </c>
      <c r="Q266" s="7">
        <f>N266/$P266</f>
      </c>
      <c r="R266" s="7">
        <f>O266/$P266</f>
      </c>
      <c r="S266" s="7">
        <f>Q266^2+R266^2</f>
      </c>
      <c r="T266" s="7">
        <f>-R266</f>
      </c>
      <c r="U266" s="7">
        <f>Q266</f>
      </c>
      <c r="V266" s="7">
        <f>($C$14+($C$15-$C$14)/($D$15-$D$14)*(I266-$D$14))/2</f>
      </c>
      <c r="W266" s="7">
        <f>($B$22*I266^4+$C$22*I266^3+$D$22*I266^2+$E$22*I266+$F$22)/2</f>
      </c>
      <c r="X266" s="7">
        <f>($W266)*(T266)</f>
      </c>
      <c r="Y266" s="7">
        <f>($W266)*(U266)</f>
      </c>
      <c r="Z266" s="7">
        <f>SQRT(X266^2+Y266^2)</f>
      </c>
      <c r="AA266" s="7">
        <f>$K266+$X266</f>
      </c>
      <c r="AB266" s="7">
        <f>$L266+$Y266</f>
      </c>
      <c r="AC266" s="7">
        <f>$K266-$X266</f>
      </c>
      <c r="AD266" s="7">
        <f>$L266-$Y266</f>
      </c>
      <c r="AE266" s="7">
        <f>AA266/39.3701</f>
      </c>
      <c r="AF266" s="7">
        <f>AB266/39.3701</f>
      </c>
      <c r="AG266" s="7">
        <f>AC266/39.3701</f>
      </c>
      <c r="AH266" s="7">
        <f>AD266/39.3701</f>
      </c>
      <c r="AI266" s="1"/>
      <c r="AJ266" s="1"/>
      <c r="AK266" s="1"/>
      <c r="AL266" s="1"/>
      <c r="AM266" s="2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</row>
    <row x14ac:dyDescent="0.25" r="267" customHeight="1" ht="18.75">
      <c r="A267" s="1"/>
      <c r="B267" s="2"/>
      <c r="C267" s="2"/>
      <c r="D267" s="2"/>
      <c r="E267" s="2"/>
      <c r="F267" s="2"/>
      <c r="G267" s="1"/>
      <c r="H267" s="1"/>
      <c r="I267" s="7">
        <v>0.264</v>
      </c>
      <c r="J267" s="7">
        <f>IF((I267-ROUNDDOWN(I267,0))=0, 0, (I267-ROUNDDOWN(I267,0)))</f>
      </c>
      <c r="K267" s="7">
        <f>INDIRECT("C$"&amp;2+MIN(2,ROUNDDOWN(I267,0))*3)*(-$J267^3+3*$J267^2-3*$J267+1)+INDIRECT("C$"&amp;3+MIN(2,ROUNDDOWN(I267,0))*3)*(3*$J267^3-6*$J267^2+3*$J267)+INDIRECT("C$"&amp;4+MIN(2,ROUNDDOWN(I267,0))*3)*(-3*$J267^3+3*$J267^2)+INDIRECT("C$"&amp;5+MIN(2,ROUNDDOWN(I267,0))*3)*$J267^3</f>
      </c>
      <c r="L267" s="7">
        <f>INDIRECT("D$"&amp;2+MIN(2,ROUNDDOWN(I267,0))*3)*(-$J267^3+3*$J267^2-3*$J267+1)+INDIRECT("D$"&amp;3+MIN(2,ROUNDDOWN(I267,0))*3)*(3*$J267^3-6*$J267^2+3*$J267)+INDIRECT("D$"&amp;4+MIN(2,ROUNDDOWN(I267,0))*3)*(-3*$J267^3+3*$J267^2)+INDIRECT("D$"&amp;5+MIN(2,ROUNDDOWN(I267,0))*3)*$J267^3</f>
      </c>
      <c r="M267" s="7">
        <f>SQRT(K267^2+L267^2)</f>
      </c>
      <c r="N267" s="7">
        <f>(K268-K266)</f>
      </c>
      <c r="O267" s="7">
        <f>+(L268-L266)</f>
      </c>
      <c r="P267" s="7">
        <f>SQRT(O267^2+N267^2)</f>
      </c>
      <c r="Q267" s="7">
        <f>N267/$P267</f>
      </c>
      <c r="R267" s="7">
        <f>O267/$P267</f>
      </c>
      <c r="S267" s="7">
        <f>Q267^2+R267^2</f>
      </c>
      <c r="T267" s="7">
        <f>-R267</f>
      </c>
      <c r="U267" s="7">
        <f>Q267</f>
      </c>
      <c r="V267" s="7">
        <f>($C$14+($C$15-$C$14)/($D$15-$D$14)*(I267-$D$14))/2</f>
      </c>
      <c r="W267" s="7">
        <f>($B$22*I267^4+$C$22*I267^3+$D$22*I267^2+$E$22*I267+$F$22)/2</f>
      </c>
      <c r="X267" s="7">
        <f>($W267)*(T267)</f>
      </c>
      <c r="Y267" s="7">
        <f>($W267)*(U267)</f>
      </c>
      <c r="Z267" s="7">
        <f>SQRT(X267^2+Y267^2)</f>
      </c>
      <c r="AA267" s="7">
        <f>$K267+$X267</f>
      </c>
      <c r="AB267" s="7">
        <f>$L267+$Y267</f>
      </c>
      <c r="AC267" s="7">
        <f>$K267-$X267</f>
      </c>
      <c r="AD267" s="7">
        <f>$L267-$Y267</f>
      </c>
      <c r="AE267" s="7">
        <f>AA267/39.3701</f>
      </c>
      <c r="AF267" s="7">
        <f>AB267/39.3701</f>
      </c>
      <c r="AG267" s="7">
        <f>AC267/39.3701</f>
      </c>
      <c r="AH267" s="7">
        <f>AD267/39.3701</f>
      </c>
      <c r="AI267" s="1"/>
      <c r="AJ267" s="1"/>
      <c r="AK267" s="1"/>
      <c r="AL267" s="1"/>
      <c r="AM267" s="2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</row>
    <row x14ac:dyDescent="0.25" r="268" customHeight="1" ht="18.75">
      <c r="A268" s="1"/>
      <c r="B268" s="2"/>
      <c r="C268" s="2"/>
      <c r="D268" s="2"/>
      <c r="E268" s="2"/>
      <c r="F268" s="2"/>
      <c r="G268" s="1"/>
      <c r="H268" s="1"/>
      <c r="I268" s="7">
        <v>0.265</v>
      </c>
      <c r="J268" s="7">
        <f>IF((I268-ROUNDDOWN(I268,0))=0, 0, (I268-ROUNDDOWN(I268,0)))</f>
      </c>
      <c r="K268" s="7">
        <f>INDIRECT("C$"&amp;2+MIN(2,ROUNDDOWN(I268,0))*3)*(-$J268^3+3*$J268^2-3*$J268+1)+INDIRECT("C$"&amp;3+MIN(2,ROUNDDOWN(I268,0))*3)*(3*$J268^3-6*$J268^2+3*$J268)+INDIRECT("C$"&amp;4+MIN(2,ROUNDDOWN(I268,0))*3)*(-3*$J268^3+3*$J268^2)+INDIRECT("C$"&amp;5+MIN(2,ROUNDDOWN(I268,0))*3)*$J268^3</f>
      </c>
      <c r="L268" s="7">
        <f>INDIRECT("D$"&amp;2+MIN(2,ROUNDDOWN(I268,0))*3)*(-$J268^3+3*$J268^2-3*$J268+1)+INDIRECT("D$"&amp;3+MIN(2,ROUNDDOWN(I268,0))*3)*(3*$J268^3-6*$J268^2+3*$J268)+INDIRECT("D$"&amp;4+MIN(2,ROUNDDOWN(I268,0))*3)*(-3*$J268^3+3*$J268^2)+INDIRECT("D$"&amp;5+MIN(2,ROUNDDOWN(I268,0))*3)*$J268^3</f>
      </c>
      <c r="M268" s="7">
        <f>SQRT(K268^2+L268^2)</f>
      </c>
      <c r="N268" s="7">
        <f>(K269-K267)</f>
      </c>
      <c r="O268" s="7">
        <f>+(L269-L267)</f>
      </c>
      <c r="P268" s="7">
        <f>SQRT(O268^2+N268^2)</f>
      </c>
      <c r="Q268" s="7">
        <f>N268/$P268</f>
      </c>
      <c r="R268" s="7">
        <f>O268/$P268</f>
      </c>
      <c r="S268" s="8">
        <f>Q268^2+R268^2</f>
      </c>
      <c r="T268" s="7">
        <f>-R268</f>
      </c>
      <c r="U268" s="7">
        <f>Q268</f>
      </c>
      <c r="V268" s="7">
        <f>($C$14+($C$15-$C$14)/($D$15-$D$14)*(I268-$D$14))/2</f>
      </c>
      <c r="W268" s="7">
        <f>($B$22*I268^4+$C$22*I268^3+$D$22*I268^2+$E$22*I268+$F$22)/2</f>
      </c>
      <c r="X268" s="7">
        <f>($W268)*(T268)</f>
      </c>
      <c r="Y268" s="7">
        <f>($W268)*(U268)</f>
      </c>
      <c r="Z268" s="7">
        <f>SQRT(X268^2+Y268^2)</f>
      </c>
      <c r="AA268" s="7">
        <f>$K268+$X268</f>
      </c>
      <c r="AB268" s="7">
        <f>$L268+$Y268</f>
      </c>
      <c r="AC268" s="7">
        <f>$K268-$X268</f>
      </c>
      <c r="AD268" s="7">
        <f>$L268-$Y268</f>
      </c>
      <c r="AE268" s="7">
        <f>AA268/39.3701</f>
      </c>
      <c r="AF268" s="7">
        <f>AB268/39.3701</f>
      </c>
      <c r="AG268" s="7">
        <f>AC268/39.3701</f>
      </c>
      <c r="AH268" s="7">
        <f>AD268/39.3701</f>
      </c>
      <c r="AI268" s="1"/>
      <c r="AJ268" s="1"/>
      <c r="AK268" s="1"/>
      <c r="AL268" s="1"/>
      <c r="AM268" s="2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</row>
    <row x14ac:dyDescent="0.25" r="269" customHeight="1" ht="18.75">
      <c r="A269" s="1"/>
      <c r="B269" s="2"/>
      <c r="C269" s="2"/>
      <c r="D269" s="2"/>
      <c r="E269" s="2"/>
      <c r="F269" s="2"/>
      <c r="G269" s="1"/>
      <c r="H269" s="1"/>
      <c r="I269" s="7">
        <v>0.266</v>
      </c>
      <c r="J269" s="7">
        <f>IF((I269-ROUNDDOWN(I269,0))=0, 0, (I269-ROUNDDOWN(I269,0)))</f>
      </c>
      <c r="K269" s="7">
        <f>INDIRECT("C$"&amp;2+MIN(2,ROUNDDOWN(I269,0))*3)*(-$J269^3+3*$J269^2-3*$J269+1)+INDIRECT("C$"&amp;3+MIN(2,ROUNDDOWN(I269,0))*3)*(3*$J269^3-6*$J269^2+3*$J269)+INDIRECT("C$"&amp;4+MIN(2,ROUNDDOWN(I269,0))*3)*(-3*$J269^3+3*$J269^2)+INDIRECT("C$"&amp;5+MIN(2,ROUNDDOWN(I269,0))*3)*$J269^3</f>
      </c>
      <c r="L269" s="7">
        <f>INDIRECT("D$"&amp;2+MIN(2,ROUNDDOWN(I269,0))*3)*(-$J269^3+3*$J269^2-3*$J269+1)+INDIRECT("D$"&amp;3+MIN(2,ROUNDDOWN(I269,0))*3)*(3*$J269^3-6*$J269^2+3*$J269)+INDIRECT("D$"&amp;4+MIN(2,ROUNDDOWN(I269,0))*3)*(-3*$J269^3+3*$J269^2)+INDIRECT("D$"&amp;5+MIN(2,ROUNDDOWN(I269,0))*3)*$J269^3</f>
      </c>
      <c r="M269" s="7">
        <f>SQRT(K269^2+L269^2)</f>
      </c>
      <c r="N269" s="7">
        <f>(K270-K268)</f>
      </c>
      <c r="O269" s="7">
        <f>+(L270-L268)</f>
      </c>
      <c r="P269" s="7">
        <f>SQRT(O269^2+N269^2)</f>
      </c>
      <c r="Q269" s="7">
        <f>N269/$P269</f>
      </c>
      <c r="R269" s="7">
        <f>O269/$P269</f>
      </c>
      <c r="S269" s="8">
        <f>Q269^2+R269^2</f>
      </c>
      <c r="T269" s="7">
        <f>-R269</f>
      </c>
      <c r="U269" s="7">
        <f>Q269</f>
      </c>
      <c r="V269" s="7">
        <f>($C$14+($C$15-$C$14)/($D$15-$D$14)*(I269-$D$14))/2</f>
      </c>
      <c r="W269" s="7">
        <f>($B$22*I269^4+$C$22*I269^3+$D$22*I269^2+$E$22*I269+$F$22)/2</f>
      </c>
      <c r="X269" s="7">
        <f>($W269)*(T269)</f>
      </c>
      <c r="Y269" s="7">
        <f>($W269)*(U269)</f>
      </c>
      <c r="Z269" s="7">
        <f>SQRT(X269^2+Y269^2)</f>
      </c>
      <c r="AA269" s="7">
        <f>$K269+$X269</f>
      </c>
      <c r="AB269" s="7">
        <f>$L269+$Y269</f>
      </c>
      <c r="AC269" s="7">
        <f>$K269-$X269</f>
      </c>
      <c r="AD269" s="7">
        <f>$L269-$Y269</f>
      </c>
      <c r="AE269" s="7">
        <f>AA269/39.3701</f>
      </c>
      <c r="AF269" s="7">
        <f>AB269/39.3701</f>
      </c>
      <c r="AG269" s="7">
        <f>AC269/39.3701</f>
      </c>
      <c r="AH269" s="7">
        <f>AD269/39.3701</f>
      </c>
      <c r="AI269" s="1"/>
      <c r="AJ269" s="1"/>
      <c r="AK269" s="1"/>
      <c r="AL269" s="1"/>
      <c r="AM269" s="2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</row>
    <row x14ac:dyDescent="0.25" r="270" customHeight="1" ht="18.75">
      <c r="A270" s="1"/>
      <c r="B270" s="2"/>
      <c r="C270" s="2"/>
      <c r="D270" s="2"/>
      <c r="E270" s="2"/>
      <c r="F270" s="2"/>
      <c r="G270" s="1"/>
      <c r="H270" s="1"/>
      <c r="I270" s="7">
        <v>0.267</v>
      </c>
      <c r="J270" s="7">
        <f>IF((I270-ROUNDDOWN(I270,0))=0, 0, (I270-ROUNDDOWN(I270,0)))</f>
      </c>
      <c r="K270" s="7">
        <f>INDIRECT("C$"&amp;2+MIN(2,ROUNDDOWN(I270,0))*3)*(-$J270^3+3*$J270^2-3*$J270+1)+INDIRECT("C$"&amp;3+MIN(2,ROUNDDOWN(I270,0))*3)*(3*$J270^3-6*$J270^2+3*$J270)+INDIRECT("C$"&amp;4+MIN(2,ROUNDDOWN(I270,0))*3)*(-3*$J270^3+3*$J270^2)+INDIRECT("C$"&amp;5+MIN(2,ROUNDDOWN(I270,0))*3)*$J270^3</f>
      </c>
      <c r="L270" s="7">
        <f>INDIRECT("D$"&amp;2+MIN(2,ROUNDDOWN(I270,0))*3)*(-$J270^3+3*$J270^2-3*$J270+1)+INDIRECT("D$"&amp;3+MIN(2,ROUNDDOWN(I270,0))*3)*(3*$J270^3-6*$J270^2+3*$J270)+INDIRECT("D$"&amp;4+MIN(2,ROUNDDOWN(I270,0))*3)*(-3*$J270^3+3*$J270^2)+INDIRECT("D$"&amp;5+MIN(2,ROUNDDOWN(I270,0))*3)*$J270^3</f>
      </c>
      <c r="M270" s="7">
        <f>SQRT(K270^2+L270^2)</f>
      </c>
      <c r="N270" s="7">
        <f>(K271-K269)</f>
      </c>
      <c r="O270" s="7">
        <f>+(L271-L269)</f>
      </c>
      <c r="P270" s="7">
        <f>SQRT(O270^2+N270^2)</f>
      </c>
      <c r="Q270" s="7">
        <f>N270/$P270</f>
      </c>
      <c r="R270" s="7">
        <f>O270/$P270</f>
      </c>
      <c r="S270" s="8">
        <f>Q270^2+R270^2</f>
      </c>
      <c r="T270" s="7">
        <f>-R270</f>
      </c>
      <c r="U270" s="7">
        <f>Q270</f>
      </c>
      <c r="V270" s="7">
        <f>($C$14+($C$15-$C$14)/($D$15-$D$14)*(I270-$D$14))/2</f>
      </c>
      <c r="W270" s="7">
        <f>($B$22*I270^4+$C$22*I270^3+$D$22*I270^2+$E$22*I270+$F$22)/2</f>
      </c>
      <c r="X270" s="7">
        <f>($W270)*(T270)</f>
      </c>
      <c r="Y270" s="7">
        <f>($W270)*(U270)</f>
      </c>
      <c r="Z270" s="7">
        <f>SQRT(X270^2+Y270^2)</f>
      </c>
      <c r="AA270" s="7">
        <f>$K270+$X270</f>
      </c>
      <c r="AB270" s="7">
        <f>$L270+$Y270</f>
      </c>
      <c r="AC270" s="7">
        <f>$K270-$X270</f>
      </c>
      <c r="AD270" s="7">
        <f>$L270-$Y270</f>
      </c>
      <c r="AE270" s="7">
        <f>AA270/39.3701</f>
      </c>
      <c r="AF270" s="7">
        <f>AB270/39.3701</f>
      </c>
      <c r="AG270" s="7">
        <f>AC270/39.3701</f>
      </c>
      <c r="AH270" s="7">
        <f>AD270/39.3701</f>
      </c>
      <c r="AI270" s="1"/>
      <c r="AJ270" s="1"/>
      <c r="AK270" s="1"/>
      <c r="AL270" s="1"/>
      <c r="AM270" s="2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</row>
    <row x14ac:dyDescent="0.25" r="271" customHeight="1" ht="18.75">
      <c r="A271" s="1"/>
      <c r="B271" s="2"/>
      <c r="C271" s="2"/>
      <c r="D271" s="2"/>
      <c r="E271" s="2"/>
      <c r="F271" s="2"/>
      <c r="G271" s="1"/>
      <c r="H271" s="1"/>
      <c r="I271" s="7">
        <v>0.268</v>
      </c>
      <c r="J271" s="7">
        <f>IF((I271-ROUNDDOWN(I271,0))=0, 0, (I271-ROUNDDOWN(I271,0)))</f>
      </c>
      <c r="K271" s="7">
        <f>INDIRECT("C$"&amp;2+MIN(2,ROUNDDOWN(I271,0))*3)*(-$J271^3+3*$J271^2-3*$J271+1)+INDIRECT("C$"&amp;3+MIN(2,ROUNDDOWN(I271,0))*3)*(3*$J271^3-6*$J271^2+3*$J271)+INDIRECT("C$"&amp;4+MIN(2,ROUNDDOWN(I271,0))*3)*(-3*$J271^3+3*$J271^2)+INDIRECT("C$"&amp;5+MIN(2,ROUNDDOWN(I271,0))*3)*$J271^3</f>
      </c>
      <c r="L271" s="7">
        <f>INDIRECT("D$"&amp;2+MIN(2,ROUNDDOWN(I271,0))*3)*(-$J271^3+3*$J271^2-3*$J271+1)+INDIRECT("D$"&amp;3+MIN(2,ROUNDDOWN(I271,0))*3)*(3*$J271^3-6*$J271^2+3*$J271)+INDIRECT("D$"&amp;4+MIN(2,ROUNDDOWN(I271,0))*3)*(-3*$J271^3+3*$J271^2)+INDIRECT("D$"&amp;5+MIN(2,ROUNDDOWN(I271,0))*3)*$J271^3</f>
      </c>
      <c r="M271" s="7">
        <f>SQRT(K271^2+L271^2)</f>
      </c>
      <c r="N271" s="7">
        <f>(K272-K270)</f>
      </c>
      <c r="O271" s="7">
        <f>+(L272-L270)</f>
      </c>
      <c r="P271" s="7">
        <f>SQRT(O271^2+N271^2)</f>
      </c>
      <c r="Q271" s="7">
        <f>N271/$P271</f>
      </c>
      <c r="R271" s="7">
        <f>O271/$P271</f>
      </c>
      <c r="S271" s="8">
        <f>Q271^2+R271^2</f>
      </c>
      <c r="T271" s="7">
        <f>-R271</f>
      </c>
      <c r="U271" s="7">
        <f>Q271</f>
      </c>
      <c r="V271" s="7">
        <f>($C$14+($C$15-$C$14)/($D$15-$D$14)*(I271-$D$14))/2</f>
      </c>
      <c r="W271" s="7">
        <f>($B$22*I271^4+$C$22*I271^3+$D$22*I271^2+$E$22*I271+$F$22)/2</f>
      </c>
      <c r="X271" s="7">
        <f>($W271)*(T271)</f>
      </c>
      <c r="Y271" s="7">
        <f>($W271)*(U271)</f>
      </c>
      <c r="Z271" s="7">
        <f>SQRT(X271^2+Y271^2)</f>
      </c>
      <c r="AA271" s="7">
        <f>$K271+$X271</f>
      </c>
      <c r="AB271" s="7">
        <f>$L271+$Y271</f>
      </c>
      <c r="AC271" s="7">
        <f>$K271-$X271</f>
      </c>
      <c r="AD271" s="7">
        <f>$L271-$Y271</f>
      </c>
      <c r="AE271" s="7">
        <f>AA271/39.3701</f>
      </c>
      <c r="AF271" s="7">
        <f>AB271/39.3701</f>
      </c>
      <c r="AG271" s="7">
        <f>AC271/39.3701</f>
      </c>
      <c r="AH271" s="7">
        <f>AD271/39.3701</f>
      </c>
      <c r="AI271" s="1"/>
      <c r="AJ271" s="1"/>
      <c r="AK271" s="1"/>
      <c r="AL271" s="1"/>
      <c r="AM271" s="2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</row>
    <row x14ac:dyDescent="0.25" r="272" customHeight="1" ht="18.75">
      <c r="A272" s="1"/>
      <c r="B272" s="2"/>
      <c r="C272" s="2"/>
      <c r="D272" s="2"/>
      <c r="E272" s="2"/>
      <c r="F272" s="2"/>
      <c r="G272" s="1"/>
      <c r="H272" s="1"/>
      <c r="I272" s="7">
        <v>0.269</v>
      </c>
      <c r="J272" s="7">
        <f>IF((I272-ROUNDDOWN(I272,0))=0, 0, (I272-ROUNDDOWN(I272,0)))</f>
      </c>
      <c r="K272" s="7">
        <f>INDIRECT("C$"&amp;2+MIN(2,ROUNDDOWN(I272,0))*3)*(-$J272^3+3*$J272^2-3*$J272+1)+INDIRECT("C$"&amp;3+MIN(2,ROUNDDOWN(I272,0))*3)*(3*$J272^3-6*$J272^2+3*$J272)+INDIRECT("C$"&amp;4+MIN(2,ROUNDDOWN(I272,0))*3)*(-3*$J272^3+3*$J272^2)+INDIRECT("C$"&amp;5+MIN(2,ROUNDDOWN(I272,0))*3)*$J272^3</f>
      </c>
      <c r="L272" s="7">
        <f>INDIRECT("D$"&amp;2+MIN(2,ROUNDDOWN(I272,0))*3)*(-$J272^3+3*$J272^2-3*$J272+1)+INDIRECT("D$"&amp;3+MIN(2,ROUNDDOWN(I272,0))*3)*(3*$J272^3-6*$J272^2+3*$J272)+INDIRECT("D$"&amp;4+MIN(2,ROUNDDOWN(I272,0))*3)*(-3*$J272^3+3*$J272^2)+INDIRECT("D$"&amp;5+MIN(2,ROUNDDOWN(I272,0))*3)*$J272^3</f>
      </c>
      <c r="M272" s="7">
        <f>SQRT(K272^2+L272^2)</f>
      </c>
      <c r="N272" s="7">
        <f>(K273-K271)</f>
      </c>
      <c r="O272" s="7">
        <f>+(L273-L271)</f>
      </c>
      <c r="P272" s="7">
        <f>SQRT(O272^2+N272^2)</f>
      </c>
      <c r="Q272" s="7">
        <f>N272/$P272</f>
      </c>
      <c r="R272" s="7">
        <f>O272/$P272</f>
      </c>
      <c r="S272" s="7">
        <f>Q272^2+R272^2</f>
      </c>
      <c r="T272" s="7">
        <f>-R272</f>
      </c>
      <c r="U272" s="7">
        <f>Q272</f>
      </c>
      <c r="V272" s="7">
        <f>($C$14+($C$15-$C$14)/($D$15-$D$14)*(I272-$D$14))/2</f>
      </c>
      <c r="W272" s="7">
        <f>($B$22*I272^4+$C$22*I272^3+$D$22*I272^2+$E$22*I272+$F$22)/2</f>
      </c>
      <c r="X272" s="7">
        <f>($W272)*(T272)</f>
      </c>
      <c r="Y272" s="7">
        <f>($W272)*(U272)</f>
      </c>
      <c r="Z272" s="7">
        <f>SQRT(X272^2+Y272^2)</f>
      </c>
      <c r="AA272" s="7">
        <f>$K272+$X272</f>
      </c>
      <c r="AB272" s="7">
        <f>$L272+$Y272</f>
      </c>
      <c r="AC272" s="7">
        <f>$K272-$X272</f>
      </c>
      <c r="AD272" s="7">
        <f>$L272-$Y272</f>
      </c>
      <c r="AE272" s="7">
        <f>AA272/39.3701</f>
      </c>
      <c r="AF272" s="7">
        <f>AB272/39.3701</f>
      </c>
      <c r="AG272" s="7">
        <f>AC272/39.3701</f>
      </c>
      <c r="AH272" s="7">
        <f>AD272/39.3701</f>
      </c>
      <c r="AI272" s="1"/>
      <c r="AJ272" s="1"/>
      <c r="AK272" s="1"/>
      <c r="AL272" s="1"/>
      <c r="AM272" s="2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</row>
    <row x14ac:dyDescent="0.25" r="273" customHeight="1" ht="18.75">
      <c r="A273" s="1"/>
      <c r="B273" s="2"/>
      <c r="C273" s="2"/>
      <c r="D273" s="2"/>
      <c r="E273" s="2"/>
      <c r="F273" s="2"/>
      <c r="G273" s="1"/>
      <c r="H273" s="1"/>
      <c r="I273" s="7">
        <v>0.27</v>
      </c>
      <c r="J273" s="7">
        <f>IF((I273-ROUNDDOWN(I273,0))=0, 0, (I273-ROUNDDOWN(I273,0)))</f>
      </c>
      <c r="K273" s="7">
        <f>INDIRECT("C$"&amp;2+MIN(2,ROUNDDOWN(I273,0))*3)*(-$J273^3+3*$J273^2-3*$J273+1)+INDIRECT("C$"&amp;3+MIN(2,ROUNDDOWN(I273,0))*3)*(3*$J273^3-6*$J273^2+3*$J273)+INDIRECT("C$"&amp;4+MIN(2,ROUNDDOWN(I273,0))*3)*(-3*$J273^3+3*$J273^2)+INDIRECT("C$"&amp;5+MIN(2,ROUNDDOWN(I273,0))*3)*$J273^3</f>
      </c>
      <c r="L273" s="7">
        <f>INDIRECT("D$"&amp;2+MIN(2,ROUNDDOWN(I273,0))*3)*(-$J273^3+3*$J273^2-3*$J273+1)+INDIRECT("D$"&amp;3+MIN(2,ROUNDDOWN(I273,0))*3)*(3*$J273^3-6*$J273^2+3*$J273)+INDIRECT("D$"&amp;4+MIN(2,ROUNDDOWN(I273,0))*3)*(-3*$J273^3+3*$J273^2)+INDIRECT("D$"&amp;5+MIN(2,ROUNDDOWN(I273,0))*3)*$J273^3</f>
      </c>
      <c r="M273" s="7">
        <f>SQRT(K273^2+L273^2)</f>
      </c>
      <c r="N273" s="7">
        <f>(K274-K272)</f>
      </c>
      <c r="O273" s="7">
        <f>+(L274-L272)</f>
      </c>
      <c r="P273" s="7">
        <f>SQRT(O273^2+N273^2)</f>
      </c>
      <c r="Q273" s="7">
        <f>N273/$P273</f>
      </c>
      <c r="R273" s="7">
        <f>O273/$P273</f>
      </c>
      <c r="S273" s="8">
        <f>Q273^2+R273^2</f>
      </c>
      <c r="T273" s="7">
        <f>-R273</f>
      </c>
      <c r="U273" s="7">
        <f>Q273</f>
      </c>
      <c r="V273" s="7">
        <f>($C$14+($C$15-$C$14)/($D$15-$D$14)*(I273-$D$14))/2</f>
      </c>
      <c r="W273" s="7">
        <f>($B$22*I273^4+$C$22*I273^3+$D$22*I273^2+$E$22*I273+$F$22)/2</f>
      </c>
      <c r="X273" s="7">
        <f>($W273)*(T273)</f>
      </c>
      <c r="Y273" s="7">
        <f>($W273)*(U273)</f>
      </c>
      <c r="Z273" s="7">
        <f>SQRT(X273^2+Y273^2)</f>
      </c>
      <c r="AA273" s="7">
        <f>$K273+$X273</f>
      </c>
      <c r="AB273" s="7">
        <f>$L273+$Y273</f>
      </c>
      <c r="AC273" s="7">
        <f>$K273-$X273</f>
      </c>
      <c r="AD273" s="7">
        <f>$L273-$Y273</f>
      </c>
      <c r="AE273" s="7">
        <f>AA273/39.3701</f>
      </c>
      <c r="AF273" s="7">
        <f>AB273/39.3701</f>
      </c>
      <c r="AG273" s="7">
        <f>AC273/39.3701</f>
      </c>
      <c r="AH273" s="7">
        <f>AD273/39.3701</f>
      </c>
      <c r="AI273" s="1"/>
      <c r="AJ273" s="1"/>
      <c r="AK273" s="1"/>
      <c r="AL273" s="1"/>
      <c r="AM273" s="2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</row>
    <row x14ac:dyDescent="0.25" r="274" customHeight="1" ht="18.75">
      <c r="A274" s="1"/>
      <c r="B274" s="2"/>
      <c r="C274" s="2"/>
      <c r="D274" s="2"/>
      <c r="E274" s="2"/>
      <c r="F274" s="2"/>
      <c r="G274" s="1"/>
      <c r="H274" s="1"/>
      <c r="I274" s="7">
        <v>0.271</v>
      </c>
      <c r="J274" s="7">
        <f>IF((I274-ROUNDDOWN(I274,0))=0, 0, (I274-ROUNDDOWN(I274,0)))</f>
      </c>
      <c r="K274" s="7">
        <f>INDIRECT("C$"&amp;2+MIN(2,ROUNDDOWN(I274,0))*3)*(-$J274^3+3*$J274^2-3*$J274+1)+INDIRECT("C$"&amp;3+MIN(2,ROUNDDOWN(I274,0))*3)*(3*$J274^3-6*$J274^2+3*$J274)+INDIRECT("C$"&amp;4+MIN(2,ROUNDDOWN(I274,0))*3)*(-3*$J274^3+3*$J274^2)+INDIRECT("C$"&amp;5+MIN(2,ROUNDDOWN(I274,0))*3)*$J274^3</f>
      </c>
      <c r="L274" s="7">
        <f>INDIRECT("D$"&amp;2+MIN(2,ROUNDDOWN(I274,0))*3)*(-$J274^3+3*$J274^2-3*$J274+1)+INDIRECT("D$"&amp;3+MIN(2,ROUNDDOWN(I274,0))*3)*(3*$J274^3-6*$J274^2+3*$J274)+INDIRECT("D$"&amp;4+MIN(2,ROUNDDOWN(I274,0))*3)*(-3*$J274^3+3*$J274^2)+INDIRECT("D$"&amp;5+MIN(2,ROUNDDOWN(I274,0))*3)*$J274^3</f>
      </c>
      <c r="M274" s="7">
        <f>SQRT(K274^2+L274^2)</f>
      </c>
      <c r="N274" s="7">
        <f>(K275-K273)</f>
      </c>
      <c r="O274" s="7">
        <f>+(L275-L273)</f>
      </c>
      <c r="P274" s="7">
        <f>SQRT(O274^2+N274^2)</f>
      </c>
      <c r="Q274" s="7">
        <f>N274/$P274</f>
      </c>
      <c r="R274" s="7">
        <f>O274/$P274</f>
      </c>
      <c r="S274" s="8">
        <f>Q274^2+R274^2</f>
      </c>
      <c r="T274" s="7">
        <f>-R274</f>
      </c>
      <c r="U274" s="7">
        <f>Q274</f>
      </c>
      <c r="V274" s="7">
        <f>($C$14+($C$15-$C$14)/($D$15-$D$14)*(I274-$D$14))/2</f>
      </c>
      <c r="W274" s="7">
        <f>($B$22*I274^4+$C$22*I274^3+$D$22*I274^2+$E$22*I274+$F$22)/2</f>
      </c>
      <c r="X274" s="7">
        <f>($W274)*(T274)</f>
      </c>
      <c r="Y274" s="7">
        <f>($W274)*(U274)</f>
      </c>
      <c r="Z274" s="7">
        <f>SQRT(X274^2+Y274^2)</f>
      </c>
      <c r="AA274" s="7">
        <f>$K274+$X274</f>
      </c>
      <c r="AB274" s="7">
        <f>$L274+$Y274</f>
      </c>
      <c r="AC274" s="7">
        <f>$K274-$X274</f>
      </c>
      <c r="AD274" s="7">
        <f>$L274-$Y274</f>
      </c>
      <c r="AE274" s="7">
        <f>AA274/39.3701</f>
      </c>
      <c r="AF274" s="7">
        <f>AB274/39.3701</f>
      </c>
      <c r="AG274" s="7">
        <f>AC274/39.3701</f>
      </c>
      <c r="AH274" s="7">
        <f>AD274/39.3701</f>
      </c>
      <c r="AI274" s="1"/>
      <c r="AJ274" s="1"/>
      <c r="AK274" s="1"/>
      <c r="AL274" s="1"/>
      <c r="AM274" s="2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</row>
    <row x14ac:dyDescent="0.25" r="275" customHeight="1" ht="18.75">
      <c r="A275" s="1"/>
      <c r="B275" s="2"/>
      <c r="C275" s="2"/>
      <c r="D275" s="2"/>
      <c r="E275" s="2"/>
      <c r="F275" s="2"/>
      <c r="G275" s="1"/>
      <c r="H275" s="1"/>
      <c r="I275" s="7">
        <v>0.272</v>
      </c>
      <c r="J275" s="7">
        <f>IF((I275-ROUNDDOWN(I275,0))=0, 0, (I275-ROUNDDOWN(I275,0)))</f>
      </c>
      <c r="K275" s="7">
        <f>INDIRECT("C$"&amp;2+MIN(2,ROUNDDOWN(I275,0))*3)*(-$J275^3+3*$J275^2-3*$J275+1)+INDIRECT("C$"&amp;3+MIN(2,ROUNDDOWN(I275,0))*3)*(3*$J275^3-6*$J275^2+3*$J275)+INDIRECT("C$"&amp;4+MIN(2,ROUNDDOWN(I275,0))*3)*(-3*$J275^3+3*$J275^2)+INDIRECT("C$"&amp;5+MIN(2,ROUNDDOWN(I275,0))*3)*$J275^3</f>
      </c>
      <c r="L275" s="7">
        <f>INDIRECT("D$"&amp;2+MIN(2,ROUNDDOWN(I275,0))*3)*(-$J275^3+3*$J275^2-3*$J275+1)+INDIRECT("D$"&amp;3+MIN(2,ROUNDDOWN(I275,0))*3)*(3*$J275^3-6*$J275^2+3*$J275)+INDIRECT("D$"&amp;4+MIN(2,ROUNDDOWN(I275,0))*3)*(-3*$J275^3+3*$J275^2)+INDIRECT("D$"&amp;5+MIN(2,ROUNDDOWN(I275,0))*3)*$J275^3</f>
      </c>
      <c r="M275" s="7">
        <f>SQRT(K275^2+L275^2)</f>
      </c>
      <c r="N275" s="7">
        <f>(K276-K274)</f>
      </c>
      <c r="O275" s="7">
        <f>+(L276-L274)</f>
      </c>
      <c r="P275" s="7">
        <f>SQRT(O275^2+N275^2)</f>
      </c>
      <c r="Q275" s="7">
        <f>N275/$P275</f>
      </c>
      <c r="R275" s="7">
        <f>O275/$P275</f>
      </c>
      <c r="S275" s="7">
        <f>Q275^2+R275^2</f>
      </c>
      <c r="T275" s="7">
        <f>-R275</f>
      </c>
      <c r="U275" s="7">
        <f>Q275</f>
      </c>
      <c r="V275" s="7">
        <f>($C$14+($C$15-$C$14)/($D$15-$D$14)*(I275-$D$14))/2</f>
      </c>
      <c r="W275" s="7">
        <f>($B$22*I275^4+$C$22*I275^3+$D$22*I275^2+$E$22*I275+$F$22)/2</f>
      </c>
      <c r="X275" s="7">
        <f>($W275)*(T275)</f>
      </c>
      <c r="Y275" s="7">
        <f>($W275)*(U275)</f>
      </c>
      <c r="Z275" s="7">
        <f>SQRT(X275^2+Y275^2)</f>
      </c>
      <c r="AA275" s="7">
        <f>$K275+$X275</f>
      </c>
      <c r="AB275" s="7">
        <f>$L275+$Y275</f>
      </c>
      <c r="AC275" s="7">
        <f>$K275-$X275</f>
      </c>
      <c r="AD275" s="7">
        <f>$L275-$Y275</f>
      </c>
      <c r="AE275" s="7">
        <f>AA275/39.3701</f>
      </c>
      <c r="AF275" s="7">
        <f>AB275/39.3701</f>
      </c>
      <c r="AG275" s="7">
        <f>AC275/39.3701</f>
      </c>
      <c r="AH275" s="7">
        <f>AD275/39.3701</f>
      </c>
      <c r="AI275" s="1"/>
      <c r="AJ275" s="1"/>
      <c r="AK275" s="1"/>
      <c r="AL275" s="1"/>
      <c r="AM275" s="2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</row>
    <row x14ac:dyDescent="0.25" r="276" customHeight="1" ht="18.75">
      <c r="A276" s="1"/>
      <c r="B276" s="2"/>
      <c r="C276" s="2"/>
      <c r="D276" s="2"/>
      <c r="E276" s="2"/>
      <c r="F276" s="2"/>
      <c r="G276" s="1"/>
      <c r="H276" s="1"/>
      <c r="I276" s="7">
        <v>0.273</v>
      </c>
      <c r="J276" s="7">
        <f>IF((I276-ROUNDDOWN(I276,0))=0, 0, (I276-ROUNDDOWN(I276,0)))</f>
      </c>
      <c r="K276" s="7">
        <f>INDIRECT("C$"&amp;2+MIN(2,ROUNDDOWN(I276,0))*3)*(-$J276^3+3*$J276^2-3*$J276+1)+INDIRECT("C$"&amp;3+MIN(2,ROUNDDOWN(I276,0))*3)*(3*$J276^3-6*$J276^2+3*$J276)+INDIRECT("C$"&amp;4+MIN(2,ROUNDDOWN(I276,0))*3)*(-3*$J276^3+3*$J276^2)+INDIRECT("C$"&amp;5+MIN(2,ROUNDDOWN(I276,0))*3)*$J276^3</f>
      </c>
      <c r="L276" s="7">
        <f>INDIRECT("D$"&amp;2+MIN(2,ROUNDDOWN(I276,0))*3)*(-$J276^3+3*$J276^2-3*$J276+1)+INDIRECT("D$"&amp;3+MIN(2,ROUNDDOWN(I276,0))*3)*(3*$J276^3-6*$J276^2+3*$J276)+INDIRECT("D$"&amp;4+MIN(2,ROUNDDOWN(I276,0))*3)*(-3*$J276^3+3*$J276^2)+INDIRECT("D$"&amp;5+MIN(2,ROUNDDOWN(I276,0))*3)*$J276^3</f>
      </c>
      <c r="M276" s="7">
        <f>SQRT(K276^2+L276^2)</f>
      </c>
      <c r="N276" s="7">
        <f>(K277-K275)</f>
      </c>
      <c r="O276" s="7">
        <f>+(L277-L275)</f>
      </c>
      <c r="P276" s="7">
        <f>SQRT(O276^2+N276^2)</f>
      </c>
      <c r="Q276" s="7">
        <f>N276/$P276</f>
      </c>
      <c r="R276" s="7">
        <f>O276/$P276</f>
      </c>
      <c r="S276" s="8">
        <f>Q276^2+R276^2</f>
      </c>
      <c r="T276" s="7">
        <f>-R276</f>
      </c>
      <c r="U276" s="7">
        <f>Q276</f>
      </c>
      <c r="V276" s="7">
        <f>($C$14+($C$15-$C$14)/($D$15-$D$14)*(I276-$D$14))/2</f>
      </c>
      <c r="W276" s="7">
        <f>($B$22*I276^4+$C$22*I276^3+$D$22*I276^2+$E$22*I276+$F$22)/2</f>
      </c>
      <c r="X276" s="7">
        <f>($W276)*(T276)</f>
      </c>
      <c r="Y276" s="7">
        <f>($W276)*(U276)</f>
      </c>
      <c r="Z276" s="7">
        <f>SQRT(X276^2+Y276^2)</f>
      </c>
      <c r="AA276" s="7">
        <f>$K276+$X276</f>
      </c>
      <c r="AB276" s="7">
        <f>$L276+$Y276</f>
      </c>
      <c r="AC276" s="7">
        <f>$K276-$X276</f>
      </c>
      <c r="AD276" s="7">
        <f>$L276-$Y276</f>
      </c>
      <c r="AE276" s="7">
        <f>AA276/39.3701</f>
      </c>
      <c r="AF276" s="7">
        <f>AB276/39.3701</f>
      </c>
      <c r="AG276" s="7">
        <f>AC276/39.3701</f>
      </c>
      <c r="AH276" s="7">
        <f>AD276/39.3701</f>
      </c>
      <c r="AI276" s="1"/>
      <c r="AJ276" s="1"/>
      <c r="AK276" s="1"/>
      <c r="AL276" s="1"/>
      <c r="AM276" s="2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</row>
    <row x14ac:dyDescent="0.25" r="277" customHeight="1" ht="18.75">
      <c r="A277" s="1"/>
      <c r="B277" s="2"/>
      <c r="C277" s="2"/>
      <c r="D277" s="2"/>
      <c r="E277" s="2"/>
      <c r="F277" s="2"/>
      <c r="G277" s="1"/>
      <c r="H277" s="1"/>
      <c r="I277" s="7">
        <v>0.274</v>
      </c>
      <c r="J277" s="7">
        <f>IF((I277-ROUNDDOWN(I277,0))=0, 0, (I277-ROUNDDOWN(I277,0)))</f>
      </c>
      <c r="K277" s="7">
        <f>INDIRECT("C$"&amp;2+MIN(2,ROUNDDOWN(I277,0))*3)*(-$J277^3+3*$J277^2-3*$J277+1)+INDIRECT("C$"&amp;3+MIN(2,ROUNDDOWN(I277,0))*3)*(3*$J277^3-6*$J277^2+3*$J277)+INDIRECT("C$"&amp;4+MIN(2,ROUNDDOWN(I277,0))*3)*(-3*$J277^3+3*$J277^2)+INDIRECT("C$"&amp;5+MIN(2,ROUNDDOWN(I277,0))*3)*$J277^3</f>
      </c>
      <c r="L277" s="7">
        <f>INDIRECT("D$"&amp;2+MIN(2,ROUNDDOWN(I277,0))*3)*(-$J277^3+3*$J277^2-3*$J277+1)+INDIRECT("D$"&amp;3+MIN(2,ROUNDDOWN(I277,0))*3)*(3*$J277^3-6*$J277^2+3*$J277)+INDIRECT("D$"&amp;4+MIN(2,ROUNDDOWN(I277,0))*3)*(-3*$J277^3+3*$J277^2)+INDIRECT("D$"&amp;5+MIN(2,ROUNDDOWN(I277,0))*3)*$J277^3</f>
      </c>
      <c r="M277" s="7">
        <f>SQRT(K277^2+L277^2)</f>
      </c>
      <c r="N277" s="7">
        <f>(K278-K276)</f>
      </c>
      <c r="O277" s="7">
        <f>+(L278-L276)</f>
      </c>
      <c r="P277" s="7">
        <f>SQRT(O277^2+N277^2)</f>
      </c>
      <c r="Q277" s="7">
        <f>N277/$P277</f>
      </c>
      <c r="R277" s="7">
        <f>O277/$P277</f>
      </c>
      <c r="S277" s="8">
        <f>Q277^2+R277^2</f>
      </c>
      <c r="T277" s="7">
        <f>-R277</f>
      </c>
      <c r="U277" s="7">
        <f>Q277</f>
      </c>
      <c r="V277" s="7">
        <f>($C$14+($C$15-$C$14)/($D$15-$D$14)*(I277-$D$14))/2</f>
      </c>
      <c r="W277" s="7">
        <f>($B$22*I277^4+$C$22*I277^3+$D$22*I277^2+$E$22*I277+$F$22)/2</f>
      </c>
      <c r="X277" s="7">
        <f>($W277)*(T277)</f>
      </c>
      <c r="Y277" s="7">
        <f>($W277)*(U277)</f>
      </c>
      <c r="Z277" s="7">
        <f>SQRT(X277^2+Y277^2)</f>
      </c>
      <c r="AA277" s="7">
        <f>$K277+$X277</f>
      </c>
      <c r="AB277" s="7">
        <f>$L277+$Y277</f>
      </c>
      <c r="AC277" s="7">
        <f>$K277-$X277</f>
      </c>
      <c r="AD277" s="7">
        <f>$L277-$Y277</f>
      </c>
      <c r="AE277" s="7">
        <f>AA277/39.3701</f>
      </c>
      <c r="AF277" s="7">
        <f>AB277/39.3701</f>
      </c>
      <c r="AG277" s="7">
        <f>AC277/39.3701</f>
      </c>
      <c r="AH277" s="7">
        <f>AD277/39.3701</f>
      </c>
      <c r="AI277" s="1"/>
      <c r="AJ277" s="1"/>
      <c r="AK277" s="1"/>
      <c r="AL277" s="1"/>
      <c r="AM277" s="2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</row>
    <row x14ac:dyDescent="0.25" r="278" customHeight="1" ht="18.75">
      <c r="A278" s="1"/>
      <c r="B278" s="2"/>
      <c r="C278" s="2"/>
      <c r="D278" s="2"/>
      <c r="E278" s="2"/>
      <c r="F278" s="2"/>
      <c r="G278" s="1"/>
      <c r="H278" s="1"/>
      <c r="I278" s="7">
        <v>0.275</v>
      </c>
      <c r="J278" s="7">
        <f>IF((I278-ROUNDDOWN(I278,0))=0, 0, (I278-ROUNDDOWN(I278,0)))</f>
      </c>
      <c r="K278" s="7">
        <f>INDIRECT("C$"&amp;2+MIN(2,ROUNDDOWN(I278,0))*3)*(-$J278^3+3*$J278^2-3*$J278+1)+INDIRECT("C$"&amp;3+MIN(2,ROUNDDOWN(I278,0))*3)*(3*$J278^3-6*$J278^2+3*$J278)+INDIRECT("C$"&amp;4+MIN(2,ROUNDDOWN(I278,0))*3)*(-3*$J278^3+3*$J278^2)+INDIRECT("C$"&amp;5+MIN(2,ROUNDDOWN(I278,0))*3)*$J278^3</f>
      </c>
      <c r="L278" s="7">
        <f>INDIRECT("D$"&amp;2+MIN(2,ROUNDDOWN(I278,0))*3)*(-$J278^3+3*$J278^2-3*$J278+1)+INDIRECT("D$"&amp;3+MIN(2,ROUNDDOWN(I278,0))*3)*(3*$J278^3-6*$J278^2+3*$J278)+INDIRECT("D$"&amp;4+MIN(2,ROUNDDOWN(I278,0))*3)*(-3*$J278^3+3*$J278^2)+INDIRECT("D$"&amp;5+MIN(2,ROUNDDOWN(I278,0))*3)*$J278^3</f>
      </c>
      <c r="M278" s="7">
        <f>SQRT(K278^2+L278^2)</f>
      </c>
      <c r="N278" s="7">
        <f>(K279-K277)</f>
      </c>
      <c r="O278" s="7">
        <f>+(L279-L277)</f>
      </c>
      <c r="P278" s="7">
        <f>SQRT(O278^2+N278^2)</f>
      </c>
      <c r="Q278" s="7">
        <f>N278/$P278</f>
      </c>
      <c r="R278" s="7">
        <f>O278/$P278</f>
      </c>
      <c r="S278" s="7">
        <f>Q278^2+R278^2</f>
      </c>
      <c r="T278" s="7">
        <f>-R278</f>
      </c>
      <c r="U278" s="7">
        <f>Q278</f>
      </c>
      <c r="V278" s="7">
        <f>($C$14+($C$15-$C$14)/($D$15-$D$14)*(I278-$D$14))/2</f>
      </c>
      <c r="W278" s="7">
        <f>($B$22*I278^4+$C$22*I278^3+$D$22*I278^2+$E$22*I278+$F$22)/2</f>
      </c>
      <c r="X278" s="7">
        <f>($W278)*(T278)</f>
      </c>
      <c r="Y278" s="7">
        <f>($W278)*(U278)</f>
      </c>
      <c r="Z278" s="7">
        <f>SQRT(X278^2+Y278^2)</f>
      </c>
      <c r="AA278" s="7">
        <f>$K278+$X278</f>
      </c>
      <c r="AB278" s="7">
        <f>$L278+$Y278</f>
      </c>
      <c r="AC278" s="7">
        <f>$K278-$X278</f>
      </c>
      <c r="AD278" s="7">
        <f>$L278-$Y278</f>
      </c>
      <c r="AE278" s="7">
        <f>AA278/39.3701</f>
      </c>
      <c r="AF278" s="7">
        <f>AB278/39.3701</f>
      </c>
      <c r="AG278" s="7">
        <f>AC278/39.3701</f>
      </c>
      <c r="AH278" s="7">
        <f>AD278/39.3701</f>
      </c>
      <c r="AI278" s="1"/>
      <c r="AJ278" s="1"/>
      <c r="AK278" s="1"/>
      <c r="AL278" s="1"/>
      <c r="AM278" s="2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</row>
    <row x14ac:dyDescent="0.25" r="279" customHeight="1" ht="18.75">
      <c r="A279" s="1"/>
      <c r="B279" s="2"/>
      <c r="C279" s="2"/>
      <c r="D279" s="2"/>
      <c r="E279" s="2"/>
      <c r="F279" s="2"/>
      <c r="G279" s="1"/>
      <c r="H279" s="1"/>
      <c r="I279" s="7">
        <v>0.276</v>
      </c>
      <c r="J279" s="7">
        <f>IF((I279-ROUNDDOWN(I279,0))=0, 0, (I279-ROUNDDOWN(I279,0)))</f>
      </c>
      <c r="K279" s="7">
        <f>INDIRECT("C$"&amp;2+MIN(2,ROUNDDOWN(I279,0))*3)*(-$J279^3+3*$J279^2-3*$J279+1)+INDIRECT("C$"&amp;3+MIN(2,ROUNDDOWN(I279,0))*3)*(3*$J279^3-6*$J279^2+3*$J279)+INDIRECT("C$"&amp;4+MIN(2,ROUNDDOWN(I279,0))*3)*(-3*$J279^3+3*$J279^2)+INDIRECT("C$"&amp;5+MIN(2,ROUNDDOWN(I279,0))*3)*$J279^3</f>
      </c>
      <c r="L279" s="7">
        <f>INDIRECT("D$"&amp;2+MIN(2,ROUNDDOWN(I279,0))*3)*(-$J279^3+3*$J279^2-3*$J279+1)+INDIRECT("D$"&amp;3+MIN(2,ROUNDDOWN(I279,0))*3)*(3*$J279^3-6*$J279^2+3*$J279)+INDIRECT("D$"&amp;4+MIN(2,ROUNDDOWN(I279,0))*3)*(-3*$J279^3+3*$J279^2)+INDIRECT("D$"&amp;5+MIN(2,ROUNDDOWN(I279,0))*3)*$J279^3</f>
      </c>
      <c r="M279" s="7">
        <f>SQRT(K279^2+L279^2)</f>
      </c>
      <c r="N279" s="7">
        <f>(K280-K278)</f>
      </c>
      <c r="O279" s="7">
        <f>+(L280-L278)</f>
      </c>
      <c r="P279" s="7">
        <f>SQRT(O279^2+N279^2)</f>
      </c>
      <c r="Q279" s="7">
        <f>N279/$P279</f>
      </c>
      <c r="R279" s="7">
        <f>O279/$P279</f>
      </c>
      <c r="S279" s="7">
        <f>Q279^2+R279^2</f>
      </c>
      <c r="T279" s="7">
        <f>-R279</f>
      </c>
      <c r="U279" s="7">
        <f>Q279</f>
      </c>
      <c r="V279" s="7">
        <f>($C$14+($C$15-$C$14)/($D$15-$D$14)*(I279-$D$14))/2</f>
      </c>
      <c r="W279" s="7">
        <f>($B$22*I279^4+$C$22*I279^3+$D$22*I279^2+$E$22*I279+$F$22)/2</f>
      </c>
      <c r="X279" s="7">
        <f>($W279)*(T279)</f>
      </c>
      <c r="Y279" s="7">
        <f>($W279)*(U279)</f>
      </c>
      <c r="Z279" s="7">
        <f>SQRT(X279^2+Y279^2)</f>
      </c>
      <c r="AA279" s="7">
        <f>$K279+$X279</f>
      </c>
      <c r="AB279" s="7">
        <f>$L279+$Y279</f>
      </c>
      <c r="AC279" s="7">
        <f>$K279-$X279</f>
      </c>
      <c r="AD279" s="7">
        <f>$L279-$Y279</f>
      </c>
      <c r="AE279" s="7">
        <f>AA279/39.3701</f>
      </c>
      <c r="AF279" s="7">
        <f>AB279/39.3701</f>
      </c>
      <c r="AG279" s="7">
        <f>AC279/39.3701</f>
      </c>
      <c r="AH279" s="7">
        <f>AD279/39.3701</f>
      </c>
      <c r="AI279" s="1"/>
      <c r="AJ279" s="1"/>
      <c r="AK279" s="1"/>
      <c r="AL279" s="1"/>
      <c r="AM279" s="2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</row>
    <row x14ac:dyDescent="0.25" r="280" customHeight="1" ht="18.75">
      <c r="A280" s="1"/>
      <c r="B280" s="2"/>
      <c r="C280" s="2"/>
      <c r="D280" s="2"/>
      <c r="E280" s="2"/>
      <c r="F280" s="2"/>
      <c r="G280" s="1"/>
      <c r="H280" s="1"/>
      <c r="I280" s="7">
        <v>0.277</v>
      </c>
      <c r="J280" s="7">
        <f>IF((I280-ROUNDDOWN(I280,0))=0, 0, (I280-ROUNDDOWN(I280,0)))</f>
      </c>
      <c r="K280" s="7">
        <f>INDIRECT("C$"&amp;2+MIN(2,ROUNDDOWN(I280,0))*3)*(-$J280^3+3*$J280^2-3*$J280+1)+INDIRECT("C$"&amp;3+MIN(2,ROUNDDOWN(I280,0))*3)*(3*$J280^3-6*$J280^2+3*$J280)+INDIRECT("C$"&amp;4+MIN(2,ROUNDDOWN(I280,0))*3)*(-3*$J280^3+3*$J280^2)+INDIRECT("C$"&amp;5+MIN(2,ROUNDDOWN(I280,0))*3)*$J280^3</f>
      </c>
      <c r="L280" s="7">
        <f>INDIRECT("D$"&amp;2+MIN(2,ROUNDDOWN(I280,0))*3)*(-$J280^3+3*$J280^2-3*$J280+1)+INDIRECT("D$"&amp;3+MIN(2,ROUNDDOWN(I280,0))*3)*(3*$J280^3-6*$J280^2+3*$J280)+INDIRECT("D$"&amp;4+MIN(2,ROUNDDOWN(I280,0))*3)*(-3*$J280^3+3*$J280^2)+INDIRECT("D$"&amp;5+MIN(2,ROUNDDOWN(I280,0))*3)*$J280^3</f>
      </c>
      <c r="M280" s="7">
        <f>SQRT(K280^2+L280^2)</f>
      </c>
      <c r="N280" s="7">
        <f>(K281-K279)</f>
      </c>
      <c r="O280" s="7">
        <f>+(L281-L279)</f>
      </c>
      <c r="P280" s="7">
        <f>SQRT(O280^2+N280^2)</f>
      </c>
      <c r="Q280" s="7">
        <f>N280/$P280</f>
      </c>
      <c r="R280" s="7">
        <f>O280/$P280</f>
      </c>
      <c r="S280" s="7">
        <f>Q280^2+R280^2</f>
      </c>
      <c r="T280" s="7">
        <f>-R280</f>
      </c>
      <c r="U280" s="7">
        <f>Q280</f>
      </c>
      <c r="V280" s="7">
        <f>($C$14+($C$15-$C$14)/($D$15-$D$14)*(I280-$D$14))/2</f>
      </c>
      <c r="W280" s="7">
        <f>($B$22*I280^4+$C$22*I280^3+$D$22*I280^2+$E$22*I280+$F$22)/2</f>
      </c>
      <c r="X280" s="7">
        <f>($W280)*(T280)</f>
      </c>
      <c r="Y280" s="7">
        <f>($W280)*(U280)</f>
      </c>
      <c r="Z280" s="7">
        <f>SQRT(X280^2+Y280^2)</f>
      </c>
      <c r="AA280" s="7">
        <f>$K280+$X280</f>
      </c>
      <c r="AB280" s="7">
        <f>$L280+$Y280</f>
      </c>
      <c r="AC280" s="7">
        <f>$K280-$X280</f>
      </c>
      <c r="AD280" s="7">
        <f>$L280-$Y280</f>
      </c>
      <c r="AE280" s="7">
        <f>AA280/39.3701</f>
      </c>
      <c r="AF280" s="7">
        <f>AB280/39.3701</f>
      </c>
      <c r="AG280" s="7">
        <f>AC280/39.3701</f>
      </c>
      <c r="AH280" s="7">
        <f>AD280/39.3701</f>
      </c>
      <c r="AI280" s="1"/>
      <c r="AJ280" s="1"/>
      <c r="AK280" s="1"/>
      <c r="AL280" s="1"/>
      <c r="AM280" s="2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</row>
    <row x14ac:dyDescent="0.25" r="281" customHeight="1" ht="18.75">
      <c r="A281" s="1"/>
      <c r="B281" s="2"/>
      <c r="C281" s="2"/>
      <c r="D281" s="2"/>
      <c r="E281" s="2"/>
      <c r="F281" s="2"/>
      <c r="G281" s="1"/>
      <c r="H281" s="1"/>
      <c r="I281" s="7">
        <v>0.278</v>
      </c>
      <c r="J281" s="7">
        <f>IF((I281-ROUNDDOWN(I281,0))=0, 0, (I281-ROUNDDOWN(I281,0)))</f>
      </c>
      <c r="K281" s="7">
        <f>INDIRECT("C$"&amp;2+MIN(2,ROUNDDOWN(I281,0))*3)*(-$J281^3+3*$J281^2-3*$J281+1)+INDIRECT("C$"&amp;3+MIN(2,ROUNDDOWN(I281,0))*3)*(3*$J281^3-6*$J281^2+3*$J281)+INDIRECT("C$"&amp;4+MIN(2,ROUNDDOWN(I281,0))*3)*(-3*$J281^3+3*$J281^2)+INDIRECT("C$"&amp;5+MIN(2,ROUNDDOWN(I281,0))*3)*$J281^3</f>
      </c>
      <c r="L281" s="7">
        <f>INDIRECT("D$"&amp;2+MIN(2,ROUNDDOWN(I281,0))*3)*(-$J281^3+3*$J281^2-3*$J281+1)+INDIRECT("D$"&amp;3+MIN(2,ROUNDDOWN(I281,0))*3)*(3*$J281^3-6*$J281^2+3*$J281)+INDIRECT("D$"&amp;4+MIN(2,ROUNDDOWN(I281,0))*3)*(-3*$J281^3+3*$J281^2)+INDIRECT("D$"&amp;5+MIN(2,ROUNDDOWN(I281,0))*3)*$J281^3</f>
      </c>
      <c r="M281" s="7">
        <f>SQRT(K281^2+L281^2)</f>
      </c>
      <c r="N281" s="7">
        <f>(K282-K280)</f>
      </c>
      <c r="O281" s="7">
        <f>+(L282-L280)</f>
      </c>
      <c r="P281" s="7">
        <f>SQRT(O281^2+N281^2)</f>
      </c>
      <c r="Q281" s="7">
        <f>N281/$P281</f>
      </c>
      <c r="R281" s="7">
        <f>O281/$P281</f>
      </c>
      <c r="S281" s="7">
        <f>Q281^2+R281^2</f>
      </c>
      <c r="T281" s="7">
        <f>-R281</f>
      </c>
      <c r="U281" s="7">
        <f>Q281</f>
      </c>
      <c r="V281" s="7">
        <f>($C$14+($C$15-$C$14)/($D$15-$D$14)*(I281-$D$14))/2</f>
      </c>
      <c r="W281" s="7">
        <f>($B$22*I281^4+$C$22*I281^3+$D$22*I281^2+$E$22*I281+$F$22)/2</f>
      </c>
      <c r="X281" s="7">
        <f>($W281)*(T281)</f>
      </c>
      <c r="Y281" s="7">
        <f>($W281)*(U281)</f>
      </c>
      <c r="Z281" s="7">
        <f>SQRT(X281^2+Y281^2)</f>
      </c>
      <c r="AA281" s="7">
        <f>$K281+$X281</f>
      </c>
      <c r="AB281" s="7">
        <f>$L281+$Y281</f>
      </c>
      <c r="AC281" s="7">
        <f>$K281-$X281</f>
      </c>
      <c r="AD281" s="7">
        <f>$L281-$Y281</f>
      </c>
      <c r="AE281" s="7">
        <f>AA281/39.3701</f>
      </c>
      <c r="AF281" s="7">
        <f>AB281/39.3701</f>
      </c>
      <c r="AG281" s="7">
        <f>AC281/39.3701</f>
      </c>
      <c r="AH281" s="7">
        <f>AD281/39.3701</f>
      </c>
      <c r="AI281" s="1"/>
      <c r="AJ281" s="1"/>
      <c r="AK281" s="1"/>
      <c r="AL281" s="1"/>
      <c r="AM281" s="2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</row>
    <row x14ac:dyDescent="0.25" r="282" customHeight="1" ht="18.75">
      <c r="A282" s="1"/>
      <c r="B282" s="2"/>
      <c r="C282" s="2"/>
      <c r="D282" s="2"/>
      <c r="E282" s="2"/>
      <c r="F282" s="2"/>
      <c r="G282" s="1"/>
      <c r="H282" s="1"/>
      <c r="I282" s="7">
        <v>0.279</v>
      </c>
      <c r="J282" s="7">
        <f>IF((I282-ROUNDDOWN(I282,0))=0, 0, (I282-ROUNDDOWN(I282,0)))</f>
      </c>
      <c r="K282" s="7">
        <f>INDIRECT("C$"&amp;2+MIN(2,ROUNDDOWN(I282,0))*3)*(-$J282^3+3*$J282^2-3*$J282+1)+INDIRECT("C$"&amp;3+MIN(2,ROUNDDOWN(I282,0))*3)*(3*$J282^3-6*$J282^2+3*$J282)+INDIRECT("C$"&amp;4+MIN(2,ROUNDDOWN(I282,0))*3)*(-3*$J282^3+3*$J282^2)+INDIRECT("C$"&amp;5+MIN(2,ROUNDDOWN(I282,0))*3)*$J282^3</f>
      </c>
      <c r="L282" s="7">
        <f>INDIRECT("D$"&amp;2+MIN(2,ROUNDDOWN(I282,0))*3)*(-$J282^3+3*$J282^2-3*$J282+1)+INDIRECT("D$"&amp;3+MIN(2,ROUNDDOWN(I282,0))*3)*(3*$J282^3-6*$J282^2+3*$J282)+INDIRECT("D$"&amp;4+MIN(2,ROUNDDOWN(I282,0))*3)*(-3*$J282^3+3*$J282^2)+INDIRECT("D$"&amp;5+MIN(2,ROUNDDOWN(I282,0))*3)*$J282^3</f>
      </c>
      <c r="M282" s="7">
        <f>SQRT(K282^2+L282^2)</f>
      </c>
      <c r="N282" s="7">
        <f>(K283-K281)</f>
      </c>
      <c r="O282" s="7">
        <f>+(L283-L281)</f>
      </c>
      <c r="P282" s="7">
        <f>SQRT(O282^2+N282^2)</f>
      </c>
      <c r="Q282" s="7">
        <f>N282/$P282</f>
      </c>
      <c r="R282" s="7">
        <f>O282/$P282</f>
      </c>
      <c r="S282" s="8">
        <f>Q282^2+R282^2</f>
      </c>
      <c r="T282" s="7">
        <f>-R282</f>
      </c>
      <c r="U282" s="7">
        <f>Q282</f>
      </c>
      <c r="V282" s="7">
        <f>($C$14+($C$15-$C$14)/($D$15-$D$14)*(I282-$D$14))/2</f>
      </c>
      <c r="W282" s="7">
        <f>($B$22*I282^4+$C$22*I282^3+$D$22*I282^2+$E$22*I282+$F$22)/2</f>
      </c>
      <c r="X282" s="7">
        <f>($W282)*(T282)</f>
      </c>
      <c r="Y282" s="7">
        <f>($W282)*(U282)</f>
      </c>
      <c r="Z282" s="7">
        <f>SQRT(X282^2+Y282^2)</f>
      </c>
      <c r="AA282" s="7">
        <f>$K282+$X282</f>
      </c>
      <c r="AB282" s="7">
        <f>$L282+$Y282</f>
      </c>
      <c r="AC282" s="7">
        <f>$K282-$X282</f>
      </c>
      <c r="AD282" s="7">
        <f>$L282-$Y282</f>
      </c>
      <c r="AE282" s="7">
        <f>AA282/39.3701</f>
      </c>
      <c r="AF282" s="7">
        <f>AB282/39.3701</f>
      </c>
      <c r="AG282" s="7">
        <f>AC282/39.3701</f>
      </c>
      <c r="AH282" s="7">
        <f>AD282/39.3701</f>
      </c>
      <c r="AI282" s="1"/>
      <c r="AJ282" s="1"/>
      <c r="AK282" s="1"/>
      <c r="AL282" s="1"/>
      <c r="AM282" s="2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</row>
    <row x14ac:dyDescent="0.25" r="283" customHeight="1" ht="18.75">
      <c r="A283" s="1"/>
      <c r="B283" s="2"/>
      <c r="C283" s="2"/>
      <c r="D283" s="2"/>
      <c r="E283" s="2"/>
      <c r="F283" s="2"/>
      <c r="G283" s="1"/>
      <c r="H283" s="1"/>
      <c r="I283" s="7">
        <v>0.28</v>
      </c>
      <c r="J283" s="7">
        <f>IF((I283-ROUNDDOWN(I283,0))=0, 0, (I283-ROUNDDOWN(I283,0)))</f>
      </c>
      <c r="K283" s="7">
        <f>INDIRECT("C$"&amp;2+MIN(2,ROUNDDOWN(I283,0))*3)*(-$J283^3+3*$J283^2-3*$J283+1)+INDIRECT("C$"&amp;3+MIN(2,ROUNDDOWN(I283,0))*3)*(3*$J283^3-6*$J283^2+3*$J283)+INDIRECT("C$"&amp;4+MIN(2,ROUNDDOWN(I283,0))*3)*(-3*$J283^3+3*$J283^2)+INDIRECT("C$"&amp;5+MIN(2,ROUNDDOWN(I283,0))*3)*$J283^3</f>
      </c>
      <c r="L283" s="7">
        <f>INDIRECT("D$"&amp;2+MIN(2,ROUNDDOWN(I283,0))*3)*(-$J283^3+3*$J283^2-3*$J283+1)+INDIRECT("D$"&amp;3+MIN(2,ROUNDDOWN(I283,0))*3)*(3*$J283^3-6*$J283^2+3*$J283)+INDIRECT("D$"&amp;4+MIN(2,ROUNDDOWN(I283,0))*3)*(-3*$J283^3+3*$J283^2)+INDIRECT("D$"&amp;5+MIN(2,ROUNDDOWN(I283,0))*3)*$J283^3</f>
      </c>
      <c r="M283" s="7">
        <f>SQRT(K283^2+L283^2)</f>
      </c>
      <c r="N283" s="7">
        <f>(K284-K282)</f>
      </c>
      <c r="O283" s="7">
        <f>+(L284-L282)</f>
      </c>
      <c r="P283" s="7">
        <f>SQRT(O283^2+N283^2)</f>
      </c>
      <c r="Q283" s="7">
        <f>N283/$P283</f>
      </c>
      <c r="R283" s="7">
        <f>O283/$P283</f>
      </c>
      <c r="S283" s="7">
        <f>Q283^2+R283^2</f>
      </c>
      <c r="T283" s="7">
        <f>-R283</f>
      </c>
      <c r="U283" s="7">
        <f>Q283</f>
      </c>
      <c r="V283" s="7">
        <f>($C$14+($C$15-$C$14)/($D$15-$D$14)*(I283-$D$14))/2</f>
      </c>
      <c r="W283" s="7">
        <f>($B$22*I283^4+$C$22*I283^3+$D$22*I283^2+$E$22*I283+$F$22)/2</f>
      </c>
      <c r="X283" s="7">
        <f>($W283)*(T283)</f>
      </c>
      <c r="Y283" s="7">
        <f>($W283)*(U283)</f>
      </c>
      <c r="Z283" s="7">
        <f>SQRT(X283^2+Y283^2)</f>
      </c>
      <c r="AA283" s="7">
        <f>$K283+$X283</f>
      </c>
      <c r="AB283" s="7">
        <f>$L283+$Y283</f>
      </c>
      <c r="AC283" s="7">
        <f>$K283-$X283</f>
      </c>
      <c r="AD283" s="7">
        <f>$L283-$Y283</f>
      </c>
      <c r="AE283" s="7">
        <f>AA283/39.3701</f>
      </c>
      <c r="AF283" s="7">
        <f>AB283/39.3701</f>
      </c>
      <c r="AG283" s="7">
        <f>AC283/39.3701</f>
      </c>
      <c r="AH283" s="7">
        <f>AD283/39.3701</f>
      </c>
      <c r="AI283" s="1"/>
      <c r="AJ283" s="1"/>
      <c r="AK283" s="1"/>
      <c r="AL283" s="1"/>
      <c r="AM283" s="2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</row>
    <row x14ac:dyDescent="0.25" r="284" customHeight="1" ht="18.75">
      <c r="A284" s="1"/>
      <c r="B284" s="2"/>
      <c r="C284" s="2"/>
      <c r="D284" s="2"/>
      <c r="E284" s="2"/>
      <c r="F284" s="2"/>
      <c r="G284" s="1"/>
      <c r="H284" s="1"/>
      <c r="I284" s="7">
        <v>0.281</v>
      </c>
      <c r="J284" s="7">
        <f>IF((I284-ROUNDDOWN(I284,0))=0, 0, (I284-ROUNDDOWN(I284,0)))</f>
      </c>
      <c r="K284" s="7">
        <f>INDIRECT("C$"&amp;2+MIN(2,ROUNDDOWN(I284,0))*3)*(-$J284^3+3*$J284^2-3*$J284+1)+INDIRECT("C$"&amp;3+MIN(2,ROUNDDOWN(I284,0))*3)*(3*$J284^3-6*$J284^2+3*$J284)+INDIRECT("C$"&amp;4+MIN(2,ROUNDDOWN(I284,0))*3)*(-3*$J284^3+3*$J284^2)+INDIRECT("C$"&amp;5+MIN(2,ROUNDDOWN(I284,0))*3)*$J284^3</f>
      </c>
      <c r="L284" s="7">
        <f>INDIRECT("D$"&amp;2+MIN(2,ROUNDDOWN(I284,0))*3)*(-$J284^3+3*$J284^2-3*$J284+1)+INDIRECT("D$"&amp;3+MIN(2,ROUNDDOWN(I284,0))*3)*(3*$J284^3-6*$J284^2+3*$J284)+INDIRECT("D$"&amp;4+MIN(2,ROUNDDOWN(I284,0))*3)*(-3*$J284^3+3*$J284^2)+INDIRECT("D$"&amp;5+MIN(2,ROUNDDOWN(I284,0))*3)*$J284^3</f>
      </c>
      <c r="M284" s="7">
        <f>SQRT(K284^2+L284^2)</f>
      </c>
      <c r="N284" s="7">
        <f>(K285-K283)</f>
      </c>
      <c r="O284" s="7">
        <f>+(L285-L283)</f>
      </c>
      <c r="P284" s="7">
        <f>SQRT(O284^2+N284^2)</f>
      </c>
      <c r="Q284" s="7">
        <f>N284/$P284</f>
      </c>
      <c r="R284" s="7">
        <f>O284/$P284</f>
      </c>
      <c r="S284" s="8">
        <f>Q284^2+R284^2</f>
      </c>
      <c r="T284" s="7">
        <f>-R284</f>
      </c>
      <c r="U284" s="7">
        <f>Q284</f>
      </c>
      <c r="V284" s="7">
        <f>($C$14+($C$15-$C$14)/($D$15-$D$14)*(I284-$D$14))/2</f>
      </c>
      <c r="W284" s="7">
        <f>($B$22*I284^4+$C$22*I284^3+$D$22*I284^2+$E$22*I284+$F$22)/2</f>
      </c>
      <c r="X284" s="7">
        <f>($W284)*(T284)</f>
      </c>
      <c r="Y284" s="7">
        <f>($W284)*(U284)</f>
      </c>
      <c r="Z284" s="7">
        <f>SQRT(X284^2+Y284^2)</f>
      </c>
      <c r="AA284" s="7">
        <f>$K284+$X284</f>
      </c>
      <c r="AB284" s="7">
        <f>$L284+$Y284</f>
      </c>
      <c r="AC284" s="7">
        <f>$K284-$X284</f>
      </c>
      <c r="AD284" s="7">
        <f>$L284-$Y284</f>
      </c>
      <c r="AE284" s="7">
        <f>AA284/39.3701</f>
      </c>
      <c r="AF284" s="7">
        <f>AB284/39.3701</f>
      </c>
      <c r="AG284" s="7">
        <f>AC284/39.3701</f>
      </c>
      <c r="AH284" s="7">
        <f>AD284/39.3701</f>
      </c>
      <c r="AI284" s="1"/>
      <c r="AJ284" s="1"/>
      <c r="AK284" s="1"/>
      <c r="AL284" s="1"/>
      <c r="AM284" s="2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</row>
    <row x14ac:dyDescent="0.25" r="285" customHeight="1" ht="18.75">
      <c r="A285" s="1"/>
      <c r="B285" s="2"/>
      <c r="C285" s="2"/>
      <c r="D285" s="2"/>
      <c r="E285" s="2"/>
      <c r="F285" s="2"/>
      <c r="G285" s="1"/>
      <c r="H285" s="1"/>
      <c r="I285" s="7">
        <v>0.282</v>
      </c>
      <c r="J285" s="7">
        <f>IF((I285-ROUNDDOWN(I285,0))=0, 0, (I285-ROUNDDOWN(I285,0)))</f>
      </c>
      <c r="K285" s="7">
        <f>INDIRECT("C$"&amp;2+MIN(2,ROUNDDOWN(I285,0))*3)*(-$J285^3+3*$J285^2-3*$J285+1)+INDIRECT("C$"&amp;3+MIN(2,ROUNDDOWN(I285,0))*3)*(3*$J285^3-6*$J285^2+3*$J285)+INDIRECT("C$"&amp;4+MIN(2,ROUNDDOWN(I285,0))*3)*(-3*$J285^3+3*$J285^2)+INDIRECT("C$"&amp;5+MIN(2,ROUNDDOWN(I285,0))*3)*$J285^3</f>
      </c>
      <c r="L285" s="7">
        <f>INDIRECT("D$"&amp;2+MIN(2,ROUNDDOWN(I285,0))*3)*(-$J285^3+3*$J285^2-3*$J285+1)+INDIRECT("D$"&amp;3+MIN(2,ROUNDDOWN(I285,0))*3)*(3*$J285^3-6*$J285^2+3*$J285)+INDIRECT("D$"&amp;4+MIN(2,ROUNDDOWN(I285,0))*3)*(-3*$J285^3+3*$J285^2)+INDIRECT("D$"&amp;5+MIN(2,ROUNDDOWN(I285,0))*3)*$J285^3</f>
      </c>
      <c r="M285" s="7">
        <f>SQRT(K285^2+L285^2)</f>
      </c>
      <c r="N285" s="7">
        <f>(K286-K284)</f>
      </c>
      <c r="O285" s="7">
        <f>+(L286-L284)</f>
      </c>
      <c r="P285" s="7">
        <f>SQRT(O285^2+N285^2)</f>
      </c>
      <c r="Q285" s="7">
        <f>N285/$P285</f>
      </c>
      <c r="R285" s="7">
        <f>O285/$P285</f>
      </c>
      <c r="S285" s="7">
        <f>Q285^2+R285^2</f>
      </c>
      <c r="T285" s="7">
        <f>-R285</f>
      </c>
      <c r="U285" s="7">
        <f>Q285</f>
      </c>
      <c r="V285" s="7">
        <f>($C$14+($C$15-$C$14)/($D$15-$D$14)*(I285-$D$14))/2</f>
      </c>
      <c r="W285" s="7">
        <f>($B$22*I285^4+$C$22*I285^3+$D$22*I285^2+$E$22*I285+$F$22)/2</f>
      </c>
      <c r="X285" s="7">
        <f>($W285)*(T285)</f>
      </c>
      <c r="Y285" s="7">
        <f>($W285)*(U285)</f>
      </c>
      <c r="Z285" s="7">
        <f>SQRT(X285^2+Y285^2)</f>
      </c>
      <c r="AA285" s="7">
        <f>$K285+$X285</f>
      </c>
      <c r="AB285" s="7">
        <f>$L285+$Y285</f>
      </c>
      <c r="AC285" s="7">
        <f>$K285-$X285</f>
      </c>
      <c r="AD285" s="7">
        <f>$L285-$Y285</f>
      </c>
      <c r="AE285" s="7">
        <f>AA285/39.3701</f>
      </c>
      <c r="AF285" s="7">
        <f>AB285/39.3701</f>
      </c>
      <c r="AG285" s="7">
        <f>AC285/39.3701</f>
      </c>
      <c r="AH285" s="7">
        <f>AD285/39.3701</f>
      </c>
      <c r="AI285" s="1"/>
      <c r="AJ285" s="1"/>
      <c r="AK285" s="1"/>
      <c r="AL285" s="1"/>
      <c r="AM285" s="2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</row>
    <row x14ac:dyDescent="0.25" r="286" customHeight="1" ht="18.75">
      <c r="A286" s="1"/>
      <c r="B286" s="2"/>
      <c r="C286" s="2"/>
      <c r="D286" s="2"/>
      <c r="E286" s="2"/>
      <c r="F286" s="2"/>
      <c r="G286" s="1"/>
      <c r="H286" s="1"/>
      <c r="I286" s="7">
        <v>0.283</v>
      </c>
      <c r="J286" s="7">
        <f>IF((I286-ROUNDDOWN(I286,0))=0, 0, (I286-ROUNDDOWN(I286,0)))</f>
      </c>
      <c r="K286" s="7">
        <f>INDIRECT("C$"&amp;2+MIN(2,ROUNDDOWN(I286,0))*3)*(-$J286^3+3*$J286^2-3*$J286+1)+INDIRECT("C$"&amp;3+MIN(2,ROUNDDOWN(I286,0))*3)*(3*$J286^3-6*$J286^2+3*$J286)+INDIRECT("C$"&amp;4+MIN(2,ROUNDDOWN(I286,0))*3)*(-3*$J286^3+3*$J286^2)+INDIRECT("C$"&amp;5+MIN(2,ROUNDDOWN(I286,0))*3)*$J286^3</f>
      </c>
      <c r="L286" s="7">
        <f>INDIRECT("D$"&amp;2+MIN(2,ROUNDDOWN(I286,0))*3)*(-$J286^3+3*$J286^2-3*$J286+1)+INDIRECT("D$"&amp;3+MIN(2,ROUNDDOWN(I286,0))*3)*(3*$J286^3-6*$J286^2+3*$J286)+INDIRECT("D$"&amp;4+MIN(2,ROUNDDOWN(I286,0))*3)*(-3*$J286^3+3*$J286^2)+INDIRECT("D$"&amp;5+MIN(2,ROUNDDOWN(I286,0))*3)*$J286^3</f>
      </c>
      <c r="M286" s="7">
        <f>SQRT(K286^2+L286^2)</f>
      </c>
      <c r="N286" s="7">
        <f>(K287-K285)</f>
      </c>
      <c r="O286" s="7">
        <f>+(L287-L285)</f>
      </c>
      <c r="P286" s="7">
        <f>SQRT(O286^2+N286^2)</f>
      </c>
      <c r="Q286" s="7">
        <f>N286/$P286</f>
      </c>
      <c r="R286" s="7">
        <f>O286/$P286</f>
      </c>
      <c r="S286" s="8">
        <f>Q286^2+R286^2</f>
      </c>
      <c r="T286" s="7">
        <f>-R286</f>
      </c>
      <c r="U286" s="7">
        <f>Q286</f>
      </c>
      <c r="V286" s="7">
        <f>($C$14+($C$15-$C$14)/($D$15-$D$14)*(I286-$D$14))/2</f>
      </c>
      <c r="W286" s="7">
        <f>($B$22*I286^4+$C$22*I286^3+$D$22*I286^2+$E$22*I286+$F$22)/2</f>
      </c>
      <c r="X286" s="7">
        <f>($W286)*(T286)</f>
      </c>
      <c r="Y286" s="7">
        <f>($W286)*(U286)</f>
      </c>
      <c r="Z286" s="7">
        <f>SQRT(X286^2+Y286^2)</f>
      </c>
      <c r="AA286" s="7">
        <f>$K286+$X286</f>
      </c>
      <c r="AB286" s="7">
        <f>$L286+$Y286</f>
      </c>
      <c r="AC286" s="7">
        <f>$K286-$X286</f>
      </c>
      <c r="AD286" s="7">
        <f>$L286-$Y286</f>
      </c>
      <c r="AE286" s="7">
        <f>AA286/39.3701</f>
      </c>
      <c r="AF286" s="7">
        <f>AB286/39.3701</f>
      </c>
      <c r="AG286" s="7">
        <f>AC286/39.3701</f>
      </c>
      <c r="AH286" s="7">
        <f>AD286/39.3701</f>
      </c>
      <c r="AI286" s="1"/>
      <c r="AJ286" s="1"/>
      <c r="AK286" s="1"/>
      <c r="AL286" s="1"/>
      <c r="AM286" s="2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</row>
    <row x14ac:dyDescent="0.25" r="287" customHeight="1" ht="18.75">
      <c r="A287" s="1"/>
      <c r="B287" s="2"/>
      <c r="C287" s="2"/>
      <c r="D287" s="2"/>
      <c r="E287" s="2"/>
      <c r="F287" s="2"/>
      <c r="G287" s="1"/>
      <c r="H287" s="1"/>
      <c r="I287" s="7">
        <v>0.284</v>
      </c>
      <c r="J287" s="7">
        <f>IF((I287-ROUNDDOWN(I287,0))=0, 0, (I287-ROUNDDOWN(I287,0)))</f>
      </c>
      <c r="K287" s="7">
        <f>INDIRECT("C$"&amp;2+MIN(2,ROUNDDOWN(I287,0))*3)*(-$J287^3+3*$J287^2-3*$J287+1)+INDIRECT("C$"&amp;3+MIN(2,ROUNDDOWN(I287,0))*3)*(3*$J287^3-6*$J287^2+3*$J287)+INDIRECT("C$"&amp;4+MIN(2,ROUNDDOWN(I287,0))*3)*(-3*$J287^3+3*$J287^2)+INDIRECT("C$"&amp;5+MIN(2,ROUNDDOWN(I287,0))*3)*$J287^3</f>
      </c>
      <c r="L287" s="7">
        <f>INDIRECT("D$"&amp;2+MIN(2,ROUNDDOWN(I287,0))*3)*(-$J287^3+3*$J287^2-3*$J287+1)+INDIRECT("D$"&amp;3+MIN(2,ROUNDDOWN(I287,0))*3)*(3*$J287^3-6*$J287^2+3*$J287)+INDIRECT("D$"&amp;4+MIN(2,ROUNDDOWN(I287,0))*3)*(-3*$J287^3+3*$J287^2)+INDIRECT("D$"&amp;5+MIN(2,ROUNDDOWN(I287,0))*3)*$J287^3</f>
      </c>
      <c r="M287" s="7">
        <f>SQRT(K287^2+L287^2)</f>
      </c>
      <c r="N287" s="7">
        <f>(K288-K286)</f>
      </c>
      <c r="O287" s="7">
        <f>+(L288-L286)</f>
      </c>
      <c r="P287" s="7">
        <f>SQRT(O287^2+N287^2)</f>
      </c>
      <c r="Q287" s="7">
        <f>N287/$P287</f>
      </c>
      <c r="R287" s="7">
        <f>O287/$P287</f>
      </c>
      <c r="S287" s="8">
        <f>Q287^2+R287^2</f>
      </c>
      <c r="T287" s="7">
        <f>-R287</f>
      </c>
      <c r="U287" s="7">
        <f>Q287</f>
      </c>
      <c r="V287" s="7">
        <f>($C$14+($C$15-$C$14)/($D$15-$D$14)*(I287-$D$14))/2</f>
      </c>
      <c r="W287" s="7">
        <f>($B$22*I287^4+$C$22*I287^3+$D$22*I287^2+$E$22*I287+$F$22)/2</f>
      </c>
      <c r="X287" s="7">
        <f>($W287)*(T287)</f>
      </c>
      <c r="Y287" s="7">
        <f>($W287)*(U287)</f>
      </c>
      <c r="Z287" s="7">
        <f>SQRT(X287^2+Y287^2)</f>
      </c>
      <c r="AA287" s="7">
        <f>$K287+$X287</f>
      </c>
      <c r="AB287" s="7">
        <f>$L287+$Y287</f>
      </c>
      <c r="AC287" s="7">
        <f>$K287-$X287</f>
      </c>
      <c r="AD287" s="7">
        <f>$L287-$Y287</f>
      </c>
      <c r="AE287" s="7">
        <f>AA287/39.3701</f>
      </c>
      <c r="AF287" s="7">
        <f>AB287/39.3701</f>
      </c>
      <c r="AG287" s="7">
        <f>AC287/39.3701</f>
      </c>
      <c r="AH287" s="7">
        <f>AD287/39.3701</f>
      </c>
      <c r="AI287" s="1"/>
      <c r="AJ287" s="1"/>
      <c r="AK287" s="1"/>
      <c r="AL287" s="1"/>
      <c r="AM287" s="2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</row>
    <row x14ac:dyDescent="0.25" r="288" customHeight="1" ht="18.75">
      <c r="A288" s="1"/>
      <c r="B288" s="2"/>
      <c r="C288" s="2"/>
      <c r="D288" s="2"/>
      <c r="E288" s="2"/>
      <c r="F288" s="2"/>
      <c r="G288" s="1"/>
      <c r="H288" s="1"/>
      <c r="I288" s="7">
        <v>0.285</v>
      </c>
      <c r="J288" s="7">
        <f>IF((I288-ROUNDDOWN(I288,0))=0, 0, (I288-ROUNDDOWN(I288,0)))</f>
      </c>
      <c r="K288" s="7">
        <f>INDIRECT("C$"&amp;2+MIN(2,ROUNDDOWN(I288,0))*3)*(-$J288^3+3*$J288^2-3*$J288+1)+INDIRECT("C$"&amp;3+MIN(2,ROUNDDOWN(I288,0))*3)*(3*$J288^3-6*$J288^2+3*$J288)+INDIRECT("C$"&amp;4+MIN(2,ROUNDDOWN(I288,0))*3)*(-3*$J288^3+3*$J288^2)+INDIRECT("C$"&amp;5+MIN(2,ROUNDDOWN(I288,0))*3)*$J288^3</f>
      </c>
      <c r="L288" s="7">
        <f>INDIRECT("D$"&amp;2+MIN(2,ROUNDDOWN(I288,0))*3)*(-$J288^3+3*$J288^2-3*$J288+1)+INDIRECT("D$"&amp;3+MIN(2,ROUNDDOWN(I288,0))*3)*(3*$J288^3-6*$J288^2+3*$J288)+INDIRECT("D$"&amp;4+MIN(2,ROUNDDOWN(I288,0))*3)*(-3*$J288^3+3*$J288^2)+INDIRECT("D$"&amp;5+MIN(2,ROUNDDOWN(I288,0))*3)*$J288^3</f>
      </c>
      <c r="M288" s="7">
        <f>SQRT(K288^2+L288^2)</f>
      </c>
      <c r="N288" s="7">
        <f>(K289-K287)</f>
      </c>
      <c r="O288" s="7">
        <f>+(L289-L287)</f>
      </c>
      <c r="P288" s="7">
        <f>SQRT(O288^2+N288^2)</f>
      </c>
      <c r="Q288" s="7">
        <f>N288/$P288</f>
      </c>
      <c r="R288" s="7">
        <f>O288/$P288</f>
      </c>
      <c r="S288" s="7">
        <f>Q288^2+R288^2</f>
      </c>
      <c r="T288" s="7">
        <f>-R288</f>
      </c>
      <c r="U288" s="7">
        <f>Q288</f>
      </c>
      <c r="V288" s="7">
        <f>($C$14+($C$15-$C$14)/($D$15-$D$14)*(I288-$D$14))/2</f>
      </c>
      <c r="W288" s="7">
        <f>($B$22*I288^4+$C$22*I288^3+$D$22*I288^2+$E$22*I288+$F$22)/2</f>
      </c>
      <c r="X288" s="7">
        <f>($W288)*(T288)</f>
      </c>
      <c r="Y288" s="7">
        <f>($W288)*(U288)</f>
      </c>
      <c r="Z288" s="7">
        <f>SQRT(X288^2+Y288^2)</f>
      </c>
      <c r="AA288" s="7">
        <f>$K288+$X288</f>
      </c>
      <c r="AB288" s="7">
        <f>$L288+$Y288</f>
      </c>
      <c r="AC288" s="7">
        <f>$K288-$X288</f>
      </c>
      <c r="AD288" s="7">
        <f>$L288-$Y288</f>
      </c>
      <c r="AE288" s="7">
        <f>AA288/39.3701</f>
      </c>
      <c r="AF288" s="7">
        <f>AB288/39.3701</f>
      </c>
      <c r="AG288" s="7">
        <f>AC288/39.3701</f>
      </c>
      <c r="AH288" s="7">
        <f>AD288/39.3701</f>
      </c>
      <c r="AI288" s="1"/>
      <c r="AJ288" s="1"/>
      <c r="AK288" s="1"/>
      <c r="AL288" s="1"/>
      <c r="AM288" s="2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</row>
    <row x14ac:dyDescent="0.25" r="289" customHeight="1" ht="18.75">
      <c r="A289" s="1"/>
      <c r="B289" s="2"/>
      <c r="C289" s="2"/>
      <c r="D289" s="2"/>
      <c r="E289" s="2"/>
      <c r="F289" s="2"/>
      <c r="G289" s="1"/>
      <c r="H289" s="1"/>
      <c r="I289" s="7">
        <v>0.286</v>
      </c>
      <c r="J289" s="7">
        <f>IF((I289-ROUNDDOWN(I289,0))=0, 0, (I289-ROUNDDOWN(I289,0)))</f>
      </c>
      <c r="K289" s="7">
        <f>INDIRECT("C$"&amp;2+MIN(2,ROUNDDOWN(I289,0))*3)*(-$J289^3+3*$J289^2-3*$J289+1)+INDIRECT("C$"&amp;3+MIN(2,ROUNDDOWN(I289,0))*3)*(3*$J289^3-6*$J289^2+3*$J289)+INDIRECT("C$"&amp;4+MIN(2,ROUNDDOWN(I289,0))*3)*(-3*$J289^3+3*$J289^2)+INDIRECT("C$"&amp;5+MIN(2,ROUNDDOWN(I289,0))*3)*$J289^3</f>
      </c>
      <c r="L289" s="7">
        <f>INDIRECT("D$"&amp;2+MIN(2,ROUNDDOWN(I289,0))*3)*(-$J289^3+3*$J289^2-3*$J289+1)+INDIRECT("D$"&amp;3+MIN(2,ROUNDDOWN(I289,0))*3)*(3*$J289^3-6*$J289^2+3*$J289)+INDIRECT("D$"&amp;4+MIN(2,ROUNDDOWN(I289,0))*3)*(-3*$J289^3+3*$J289^2)+INDIRECT("D$"&amp;5+MIN(2,ROUNDDOWN(I289,0))*3)*$J289^3</f>
      </c>
      <c r="M289" s="7">
        <f>SQRT(K289^2+L289^2)</f>
      </c>
      <c r="N289" s="7">
        <f>(K290-K288)</f>
      </c>
      <c r="O289" s="7">
        <f>+(L290-L288)</f>
      </c>
      <c r="P289" s="7">
        <f>SQRT(O289^2+N289^2)</f>
      </c>
      <c r="Q289" s="7">
        <f>N289/$P289</f>
      </c>
      <c r="R289" s="7">
        <f>O289/$P289</f>
      </c>
      <c r="S289" s="8">
        <f>Q289^2+R289^2</f>
      </c>
      <c r="T289" s="7">
        <f>-R289</f>
      </c>
      <c r="U289" s="7">
        <f>Q289</f>
      </c>
      <c r="V289" s="7">
        <f>($C$14+($C$15-$C$14)/($D$15-$D$14)*(I289-$D$14))/2</f>
      </c>
      <c r="W289" s="7">
        <f>($B$22*I289^4+$C$22*I289^3+$D$22*I289^2+$E$22*I289+$F$22)/2</f>
      </c>
      <c r="X289" s="7">
        <f>($W289)*(T289)</f>
      </c>
      <c r="Y289" s="7">
        <f>($W289)*(U289)</f>
      </c>
      <c r="Z289" s="7">
        <f>SQRT(X289^2+Y289^2)</f>
      </c>
      <c r="AA289" s="7">
        <f>$K289+$X289</f>
      </c>
      <c r="AB289" s="7">
        <f>$L289+$Y289</f>
      </c>
      <c r="AC289" s="7">
        <f>$K289-$X289</f>
      </c>
      <c r="AD289" s="7">
        <f>$L289-$Y289</f>
      </c>
      <c r="AE289" s="7">
        <f>AA289/39.3701</f>
      </c>
      <c r="AF289" s="7">
        <f>AB289/39.3701</f>
      </c>
      <c r="AG289" s="7">
        <f>AC289/39.3701</f>
      </c>
      <c r="AH289" s="7">
        <f>AD289/39.3701</f>
      </c>
      <c r="AI289" s="1"/>
      <c r="AJ289" s="1"/>
      <c r="AK289" s="1"/>
      <c r="AL289" s="1"/>
      <c r="AM289" s="2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</row>
    <row x14ac:dyDescent="0.25" r="290" customHeight="1" ht="18.75">
      <c r="A290" s="1"/>
      <c r="B290" s="2"/>
      <c r="C290" s="2"/>
      <c r="D290" s="2"/>
      <c r="E290" s="2"/>
      <c r="F290" s="2"/>
      <c r="G290" s="1"/>
      <c r="H290" s="1"/>
      <c r="I290" s="7">
        <v>0.287</v>
      </c>
      <c r="J290" s="7">
        <f>IF((I290-ROUNDDOWN(I290,0))=0, 0, (I290-ROUNDDOWN(I290,0)))</f>
      </c>
      <c r="K290" s="7">
        <f>INDIRECT("C$"&amp;2+MIN(2,ROUNDDOWN(I290,0))*3)*(-$J290^3+3*$J290^2-3*$J290+1)+INDIRECT("C$"&amp;3+MIN(2,ROUNDDOWN(I290,0))*3)*(3*$J290^3-6*$J290^2+3*$J290)+INDIRECT("C$"&amp;4+MIN(2,ROUNDDOWN(I290,0))*3)*(-3*$J290^3+3*$J290^2)+INDIRECT("C$"&amp;5+MIN(2,ROUNDDOWN(I290,0))*3)*$J290^3</f>
      </c>
      <c r="L290" s="7">
        <f>INDIRECT("D$"&amp;2+MIN(2,ROUNDDOWN(I290,0))*3)*(-$J290^3+3*$J290^2-3*$J290+1)+INDIRECT("D$"&amp;3+MIN(2,ROUNDDOWN(I290,0))*3)*(3*$J290^3-6*$J290^2+3*$J290)+INDIRECT("D$"&amp;4+MIN(2,ROUNDDOWN(I290,0))*3)*(-3*$J290^3+3*$J290^2)+INDIRECT("D$"&amp;5+MIN(2,ROUNDDOWN(I290,0))*3)*$J290^3</f>
      </c>
      <c r="M290" s="7">
        <f>SQRT(K290^2+L290^2)</f>
      </c>
      <c r="N290" s="7">
        <f>(K291-K289)</f>
      </c>
      <c r="O290" s="7">
        <f>+(L291-L289)</f>
      </c>
      <c r="P290" s="7">
        <f>SQRT(O290^2+N290^2)</f>
      </c>
      <c r="Q290" s="7">
        <f>N290/$P290</f>
      </c>
      <c r="R290" s="7">
        <f>O290/$P290</f>
      </c>
      <c r="S290" s="8">
        <f>Q290^2+R290^2</f>
      </c>
      <c r="T290" s="7">
        <f>-R290</f>
      </c>
      <c r="U290" s="7">
        <f>Q290</f>
      </c>
      <c r="V290" s="7">
        <f>($C$14+($C$15-$C$14)/($D$15-$D$14)*(I290-$D$14))/2</f>
      </c>
      <c r="W290" s="7">
        <f>($B$22*I290^4+$C$22*I290^3+$D$22*I290^2+$E$22*I290+$F$22)/2</f>
      </c>
      <c r="X290" s="7">
        <f>($W290)*(T290)</f>
      </c>
      <c r="Y290" s="7">
        <f>($W290)*(U290)</f>
      </c>
      <c r="Z290" s="7">
        <f>SQRT(X290^2+Y290^2)</f>
      </c>
      <c r="AA290" s="7">
        <f>$K290+$X290</f>
      </c>
      <c r="AB290" s="7">
        <f>$L290+$Y290</f>
      </c>
      <c r="AC290" s="7">
        <f>$K290-$X290</f>
      </c>
      <c r="AD290" s="7">
        <f>$L290-$Y290</f>
      </c>
      <c r="AE290" s="7">
        <f>AA290/39.3701</f>
      </c>
      <c r="AF290" s="7">
        <f>AB290/39.3701</f>
      </c>
      <c r="AG290" s="7">
        <f>AC290/39.3701</f>
      </c>
      <c r="AH290" s="7">
        <f>AD290/39.3701</f>
      </c>
      <c r="AI290" s="1"/>
      <c r="AJ290" s="1"/>
      <c r="AK290" s="1"/>
      <c r="AL290" s="1"/>
      <c r="AM290" s="2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</row>
    <row x14ac:dyDescent="0.25" r="291" customHeight="1" ht="18.75">
      <c r="A291" s="1"/>
      <c r="B291" s="2"/>
      <c r="C291" s="2"/>
      <c r="D291" s="2"/>
      <c r="E291" s="2"/>
      <c r="F291" s="2"/>
      <c r="G291" s="1"/>
      <c r="H291" s="1"/>
      <c r="I291" s="7">
        <v>0.288</v>
      </c>
      <c r="J291" s="7">
        <f>IF((I291-ROUNDDOWN(I291,0))=0, 0, (I291-ROUNDDOWN(I291,0)))</f>
      </c>
      <c r="K291" s="7">
        <f>INDIRECT("C$"&amp;2+MIN(2,ROUNDDOWN(I291,0))*3)*(-$J291^3+3*$J291^2-3*$J291+1)+INDIRECT("C$"&amp;3+MIN(2,ROUNDDOWN(I291,0))*3)*(3*$J291^3-6*$J291^2+3*$J291)+INDIRECT("C$"&amp;4+MIN(2,ROUNDDOWN(I291,0))*3)*(-3*$J291^3+3*$J291^2)+INDIRECT("C$"&amp;5+MIN(2,ROUNDDOWN(I291,0))*3)*$J291^3</f>
      </c>
      <c r="L291" s="7">
        <f>INDIRECT("D$"&amp;2+MIN(2,ROUNDDOWN(I291,0))*3)*(-$J291^3+3*$J291^2-3*$J291+1)+INDIRECT("D$"&amp;3+MIN(2,ROUNDDOWN(I291,0))*3)*(3*$J291^3-6*$J291^2+3*$J291)+INDIRECT("D$"&amp;4+MIN(2,ROUNDDOWN(I291,0))*3)*(-3*$J291^3+3*$J291^2)+INDIRECT("D$"&amp;5+MIN(2,ROUNDDOWN(I291,0))*3)*$J291^3</f>
      </c>
      <c r="M291" s="7">
        <f>SQRT(K291^2+L291^2)</f>
      </c>
      <c r="N291" s="7">
        <f>(K292-K290)</f>
      </c>
      <c r="O291" s="7">
        <f>+(L292-L290)</f>
      </c>
      <c r="P291" s="7">
        <f>SQRT(O291^2+N291^2)</f>
      </c>
      <c r="Q291" s="7">
        <f>N291/$P291</f>
      </c>
      <c r="R291" s="7">
        <f>O291/$P291</f>
      </c>
      <c r="S291" s="8">
        <f>Q291^2+R291^2</f>
      </c>
      <c r="T291" s="7">
        <f>-R291</f>
      </c>
      <c r="U291" s="7">
        <f>Q291</f>
      </c>
      <c r="V291" s="7">
        <f>($C$14+($C$15-$C$14)/($D$15-$D$14)*(I291-$D$14))/2</f>
      </c>
      <c r="W291" s="7">
        <f>($B$22*I291^4+$C$22*I291^3+$D$22*I291^2+$E$22*I291+$F$22)/2</f>
      </c>
      <c r="X291" s="7">
        <f>($W291)*(T291)</f>
      </c>
      <c r="Y291" s="7">
        <f>($W291)*(U291)</f>
      </c>
      <c r="Z291" s="7">
        <f>SQRT(X291^2+Y291^2)</f>
      </c>
      <c r="AA291" s="7">
        <f>$K291+$X291</f>
      </c>
      <c r="AB291" s="7">
        <f>$L291+$Y291</f>
      </c>
      <c r="AC291" s="7">
        <f>$K291-$X291</f>
      </c>
      <c r="AD291" s="7">
        <f>$L291-$Y291</f>
      </c>
      <c r="AE291" s="7">
        <f>AA291/39.3701</f>
      </c>
      <c r="AF291" s="7">
        <f>AB291/39.3701</f>
      </c>
      <c r="AG291" s="7">
        <f>AC291/39.3701</f>
      </c>
      <c r="AH291" s="7">
        <f>AD291/39.3701</f>
      </c>
      <c r="AI291" s="1"/>
      <c r="AJ291" s="1"/>
      <c r="AK291" s="1"/>
      <c r="AL291" s="1"/>
      <c r="AM291" s="2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</row>
    <row x14ac:dyDescent="0.25" r="292" customHeight="1" ht="18.75">
      <c r="A292" s="1"/>
      <c r="B292" s="2"/>
      <c r="C292" s="2"/>
      <c r="D292" s="2"/>
      <c r="E292" s="2"/>
      <c r="F292" s="2"/>
      <c r="G292" s="1"/>
      <c r="H292" s="1"/>
      <c r="I292" s="7">
        <v>0.289</v>
      </c>
      <c r="J292" s="7">
        <f>IF((I292-ROUNDDOWN(I292,0))=0, 0, (I292-ROUNDDOWN(I292,0)))</f>
      </c>
      <c r="K292" s="7">
        <f>INDIRECT("C$"&amp;2+MIN(2,ROUNDDOWN(I292,0))*3)*(-$J292^3+3*$J292^2-3*$J292+1)+INDIRECT("C$"&amp;3+MIN(2,ROUNDDOWN(I292,0))*3)*(3*$J292^3-6*$J292^2+3*$J292)+INDIRECT("C$"&amp;4+MIN(2,ROUNDDOWN(I292,0))*3)*(-3*$J292^3+3*$J292^2)+INDIRECT("C$"&amp;5+MIN(2,ROUNDDOWN(I292,0))*3)*$J292^3</f>
      </c>
      <c r="L292" s="7">
        <f>INDIRECT("D$"&amp;2+MIN(2,ROUNDDOWN(I292,0))*3)*(-$J292^3+3*$J292^2-3*$J292+1)+INDIRECT("D$"&amp;3+MIN(2,ROUNDDOWN(I292,0))*3)*(3*$J292^3-6*$J292^2+3*$J292)+INDIRECT("D$"&amp;4+MIN(2,ROUNDDOWN(I292,0))*3)*(-3*$J292^3+3*$J292^2)+INDIRECT("D$"&amp;5+MIN(2,ROUNDDOWN(I292,0))*3)*$J292^3</f>
      </c>
      <c r="M292" s="7">
        <f>SQRT(K292^2+L292^2)</f>
      </c>
      <c r="N292" s="7">
        <f>(K293-K291)</f>
      </c>
      <c r="O292" s="7">
        <f>+(L293-L291)</f>
      </c>
      <c r="P292" s="7">
        <f>SQRT(O292^2+N292^2)</f>
      </c>
      <c r="Q292" s="7">
        <f>N292/$P292</f>
      </c>
      <c r="R292" s="7">
        <f>O292/$P292</f>
      </c>
      <c r="S292" s="8">
        <f>Q292^2+R292^2</f>
      </c>
      <c r="T292" s="7">
        <f>-R292</f>
      </c>
      <c r="U292" s="7">
        <f>Q292</f>
      </c>
      <c r="V292" s="7">
        <f>($C$14+($C$15-$C$14)/($D$15-$D$14)*(I292-$D$14))/2</f>
      </c>
      <c r="W292" s="7">
        <f>($B$22*I292^4+$C$22*I292^3+$D$22*I292^2+$E$22*I292+$F$22)/2</f>
      </c>
      <c r="X292" s="7">
        <f>($W292)*(T292)</f>
      </c>
      <c r="Y292" s="7">
        <f>($W292)*(U292)</f>
      </c>
      <c r="Z292" s="7">
        <f>SQRT(X292^2+Y292^2)</f>
      </c>
      <c r="AA292" s="7">
        <f>$K292+$X292</f>
      </c>
      <c r="AB292" s="7">
        <f>$L292+$Y292</f>
      </c>
      <c r="AC292" s="7">
        <f>$K292-$X292</f>
      </c>
      <c r="AD292" s="7">
        <f>$L292-$Y292</f>
      </c>
      <c r="AE292" s="7">
        <f>AA292/39.3701</f>
      </c>
      <c r="AF292" s="7">
        <f>AB292/39.3701</f>
      </c>
      <c r="AG292" s="7">
        <f>AC292/39.3701</f>
      </c>
      <c r="AH292" s="7">
        <f>AD292/39.3701</f>
      </c>
      <c r="AI292" s="1"/>
      <c r="AJ292" s="1"/>
      <c r="AK292" s="1"/>
      <c r="AL292" s="1"/>
      <c r="AM292" s="2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</row>
    <row x14ac:dyDescent="0.25" r="293" customHeight="1" ht="18.75">
      <c r="A293" s="1"/>
      <c r="B293" s="2"/>
      <c r="C293" s="2"/>
      <c r="D293" s="2"/>
      <c r="E293" s="2"/>
      <c r="F293" s="2"/>
      <c r="G293" s="1"/>
      <c r="H293" s="1"/>
      <c r="I293" s="7">
        <v>0.29</v>
      </c>
      <c r="J293" s="7">
        <f>IF((I293-ROUNDDOWN(I293,0))=0, 0, (I293-ROUNDDOWN(I293,0)))</f>
      </c>
      <c r="K293" s="7">
        <f>INDIRECT("C$"&amp;2+MIN(2,ROUNDDOWN(I293,0))*3)*(-$J293^3+3*$J293^2-3*$J293+1)+INDIRECT("C$"&amp;3+MIN(2,ROUNDDOWN(I293,0))*3)*(3*$J293^3-6*$J293^2+3*$J293)+INDIRECT("C$"&amp;4+MIN(2,ROUNDDOWN(I293,0))*3)*(-3*$J293^3+3*$J293^2)+INDIRECT("C$"&amp;5+MIN(2,ROUNDDOWN(I293,0))*3)*$J293^3</f>
      </c>
      <c r="L293" s="7">
        <f>INDIRECT("D$"&amp;2+MIN(2,ROUNDDOWN(I293,0))*3)*(-$J293^3+3*$J293^2-3*$J293+1)+INDIRECT("D$"&amp;3+MIN(2,ROUNDDOWN(I293,0))*3)*(3*$J293^3-6*$J293^2+3*$J293)+INDIRECT("D$"&amp;4+MIN(2,ROUNDDOWN(I293,0))*3)*(-3*$J293^3+3*$J293^2)+INDIRECT("D$"&amp;5+MIN(2,ROUNDDOWN(I293,0))*3)*$J293^3</f>
      </c>
      <c r="M293" s="7">
        <f>SQRT(K293^2+L293^2)</f>
      </c>
      <c r="N293" s="7">
        <f>(K294-K292)</f>
      </c>
      <c r="O293" s="7">
        <f>+(L294-L292)</f>
      </c>
      <c r="P293" s="7">
        <f>SQRT(O293^2+N293^2)</f>
      </c>
      <c r="Q293" s="7">
        <f>N293/$P293</f>
      </c>
      <c r="R293" s="7">
        <f>O293/$P293</f>
      </c>
      <c r="S293" s="7">
        <f>Q293^2+R293^2</f>
      </c>
      <c r="T293" s="7">
        <f>-R293</f>
      </c>
      <c r="U293" s="7">
        <f>Q293</f>
      </c>
      <c r="V293" s="7">
        <f>($C$14+($C$15-$C$14)/($D$15-$D$14)*(I293-$D$14))/2</f>
      </c>
      <c r="W293" s="7">
        <f>($B$22*I293^4+$C$22*I293^3+$D$22*I293^2+$E$22*I293+$F$22)/2</f>
      </c>
      <c r="X293" s="7">
        <f>($W293)*(T293)</f>
      </c>
      <c r="Y293" s="7">
        <f>($W293)*(U293)</f>
      </c>
      <c r="Z293" s="7">
        <f>SQRT(X293^2+Y293^2)</f>
      </c>
      <c r="AA293" s="7">
        <f>$K293+$X293</f>
      </c>
      <c r="AB293" s="7">
        <f>$L293+$Y293</f>
      </c>
      <c r="AC293" s="7">
        <f>$K293-$X293</f>
      </c>
      <c r="AD293" s="7">
        <f>$L293-$Y293</f>
      </c>
      <c r="AE293" s="7">
        <f>AA293/39.3701</f>
      </c>
      <c r="AF293" s="7">
        <f>AB293/39.3701</f>
      </c>
      <c r="AG293" s="7">
        <f>AC293/39.3701</f>
      </c>
      <c r="AH293" s="7">
        <f>AD293/39.3701</f>
      </c>
      <c r="AI293" s="1"/>
      <c r="AJ293" s="1"/>
      <c r="AK293" s="1"/>
      <c r="AL293" s="1"/>
      <c r="AM293" s="2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</row>
    <row x14ac:dyDescent="0.25" r="294" customHeight="1" ht="18.75">
      <c r="A294" s="1"/>
      <c r="B294" s="2"/>
      <c r="C294" s="2"/>
      <c r="D294" s="2"/>
      <c r="E294" s="2"/>
      <c r="F294" s="2"/>
      <c r="G294" s="1"/>
      <c r="H294" s="1"/>
      <c r="I294" s="7">
        <v>0.291</v>
      </c>
      <c r="J294" s="7">
        <f>IF((I294-ROUNDDOWN(I294,0))=0, 0, (I294-ROUNDDOWN(I294,0)))</f>
      </c>
      <c r="K294" s="7">
        <f>INDIRECT("C$"&amp;2+MIN(2,ROUNDDOWN(I294,0))*3)*(-$J294^3+3*$J294^2-3*$J294+1)+INDIRECT("C$"&amp;3+MIN(2,ROUNDDOWN(I294,0))*3)*(3*$J294^3-6*$J294^2+3*$J294)+INDIRECT("C$"&amp;4+MIN(2,ROUNDDOWN(I294,0))*3)*(-3*$J294^3+3*$J294^2)+INDIRECT("C$"&amp;5+MIN(2,ROUNDDOWN(I294,0))*3)*$J294^3</f>
      </c>
      <c r="L294" s="7">
        <f>INDIRECT("D$"&amp;2+MIN(2,ROUNDDOWN(I294,0))*3)*(-$J294^3+3*$J294^2-3*$J294+1)+INDIRECT("D$"&amp;3+MIN(2,ROUNDDOWN(I294,0))*3)*(3*$J294^3-6*$J294^2+3*$J294)+INDIRECT("D$"&amp;4+MIN(2,ROUNDDOWN(I294,0))*3)*(-3*$J294^3+3*$J294^2)+INDIRECT("D$"&amp;5+MIN(2,ROUNDDOWN(I294,0))*3)*$J294^3</f>
      </c>
      <c r="M294" s="7">
        <f>SQRT(K294^2+L294^2)</f>
      </c>
      <c r="N294" s="7">
        <f>(K295-K293)</f>
      </c>
      <c r="O294" s="7">
        <f>+(L295-L293)</f>
      </c>
      <c r="P294" s="7">
        <f>SQRT(O294^2+N294^2)</f>
      </c>
      <c r="Q294" s="7">
        <f>N294/$P294</f>
      </c>
      <c r="R294" s="7">
        <f>O294/$P294</f>
      </c>
      <c r="S294" s="8">
        <f>Q294^2+R294^2</f>
      </c>
      <c r="T294" s="7">
        <f>-R294</f>
      </c>
      <c r="U294" s="7">
        <f>Q294</f>
      </c>
      <c r="V294" s="7">
        <f>($C$14+($C$15-$C$14)/($D$15-$D$14)*(I294-$D$14))/2</f>
      </c>
      <c r="W294" s="7">
        <f>($B$22*I294^4+$C$22*I294^3+$D$22*I294^2+$E$22*I294+$F$22)/2</f>
      </c>
      <c r="X294" s="7">
        <f>($W294)*(T294)</f>
      </c>
      <c r="Y294" s="7">
        <f>($W294)*(U294)</f>
      </c>
      <c r="Z294" s="7">
        <f>SQRT(X294^2+Y294^2)</f>
      </c>
      <c r="AA294" s="7">
        <f>$K294+$X294</f>
      </c>
      <c r="AB294" s="7">
        <f>$L294+$Y294</f>
      </c>
      <c r="AC294" s="7">
        <f>$K294-$X294</f>
      </c>
      <c r="AD294" s="7">
        <f>$L294-$Y294</f>
      </c>
      <c r="AE294" s="7">
        <f>AA294/39.3701</f>
      </c>
      <c r="AF294" s="7">
        <f>AB294/39.3701</f>
      </c>
      <c r="AG294" s="7">
        <f>AC294/39.3701</f>
      </c>
      <c r="AH294" s="7">
        <f>AD294/39.3701</f>
      </c>
      <c r="AI294" s="1"/>
      <c r="AJ294" s="1"/>
      <c r="AK294" s="1"/>
      <c r="AL294" s="1"/>
      <c r="AM294" s="2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</row>
    <row x14ac:dyDescent="0.25" r="295" customHeight="1" ht="18.75">
      <c r="A295" s="1"/>
      <c r="B295" s="2"/>
      <c r="C295" s="2"/>
      <c r="D295" s="2"/>
      <c r="E295" s="2"/>
      <c r="F295" s="2"/>
      <c r="G295" s="1"/>
      <c r="H295" s="1"/>
      <c r="I295" s="7">
        <v>0.292</v>
      </c>
      <c r="J295" s="7">
        <f>IF((I295-ROUNDDOWN(I295,0))=0, 0, (I295-ROUNDDOWN(I295,0)))</f>
      </c>
      <c r="K295" s="7">
        <f>INDIRECT("C$"&amp;2+MIN(2,ROUNDDOWN(I295,0))*3)*(-$J295^3+3*$J295^2-3*$J295+1)+INDIRECT("C$"&amp;3+MIN(2,ROUNDDOWN(I295,0))*3)*(3*$J295^3-6*$J295^2+3*$J295)+INDIRECT("C$"&amp;4+MIN(2,ROUNDDOWN(I295,0))*3)*(-3*$J295^3+3*$J295^2)+INDIRECT("C$"&amp;5+MIN(2,ROUNDDOWN(I295,0))*3)*$J295^3</f>
      </c>
      <c r="L295" s="7">
        <f>INDIRECT("D$"&amp;2+MIN(2,ROUNDDOWN(I295,0))*3)*(-$J295^3+3*$J295^2-3*$J295+1)+INDIRECT("D$"&amp;3+MIN(2,ROUNDDOWN(I295,0))*3)*(3*$J295^3-6*$J295^2+3*$J295)+INDIRECT("D$"&amp;4+MIN(2,ROUNDDOWN(I295,0))*3)*(-3*$J295^3+3*$J295^2)+INDIRECT("D$"&amp;5+MIN(2,ROUNDDOWN(I295,0))*3)*$J295^3</f>
      </c>
      <c r="M295" s="7">
        <f>SQRT(K295^2+L295^2)</f>
      </c>
      <c r="N295" s="7">
        <f>(K296-K294)</f>
      </c>
      <c r="O295" s="7">
        <f>+(L296-L294)</f>
      </c>
      <c r="P295" s="7">
        <f>SQRT(O295^2+N295^2)</f>
      </c>
      <c r="Q295" s="7">
        <f>N295/$P295</f>
      </c>
      <c r="R295" s="7">
        <f>O295/$P295</f>
      </c>
      <c r="S295" s="8">
        <f>Q295^2+R295^2</f>
      </c>
      <c r="T295" s="7">
        <f>-R295</f>
      </c>
      <c r="U295" s="7">
        <f>Q295</f>
      </c>
      <c r="V295" s="7">
        <f>($C$14+($C$15-$C$14)/($D$15-$D$14)*(I295-$D$14))/2</f>
      </c>
      <c r="W295" s="7">
        <f>($B$22*I295^4+$C$22*I295^3+$D$22*I295^2+$E$22*I295+$F$22)/2</f>
      </c>
      <c r="X295" s="7">
        <f>($W295)*(T295)</f>
      </c>
      <c r="Y295" s="7">
        <f>($W295)*(U295)</f>
      </c>
      <c r="Z295" s="7">
        <f>SQRT(X295^2+Y295^2)</f>
      </c>
      <c r="AA295" s="7">
        <f>$K295+$X295</f>
      </c>
      <c r="AB295" s="7">
        <f>$L295+$Y295</f>
      </c>
      <c r="AC295" s="7">
        <f>$K295-$X295</f>
      </c>
      <c r="AD295" s="7">
        <f>$L295-$Y295</f>
      </c>
      <c r="AE295" s="7">
        <f>AA295/39.3701</f>
      </c>
      <c r="AF295" s="7">
        <f>AB295/39.3701</f>
      </c>
      <c r="AG295" s="7">
        <f>AC295/39.3701</f>
      </c>
      <c r="AH295" s="7">
        <f>AD295/39.3701</f>
      </c>
      <c r="AI295" s="1"/>
      <c r="AJ295" s="1"/>
      <c r="AK295" s="1"/>
      <c r="AL295" s="1"/>
      <c r="AM295" s="2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</row>
    <row x14ac:dyDescent="0.25" r="296" customHeight="1" ht="18.75">
      <c r="A296" s="1"/>
      <c r="B296" s="2"/>
      <c r="C296" s="2"/>
      <c r="D296" s="2"/>
      <c r="E296" s="2"/>
      <c r="F296" s="2"/>
      <c r="G296" s="1"/>
      <c r="H296" s="1"/>
      <c r="I296" s="7">
        <v>0.293</v>
      </c>
      <c r="J296" s="7">
        <f>IF((I296-ROUNDDOWN(I296,0))=0, 0, (I296-ROUNDDOWN(I296,0)))</f>
      </c>
      <c r="K296" s="7">
        <f>INDIRECT("C$"&amp;2+MIN(2,ROUNDDOWN(I296,0))*3)*(-$J296^3+3*$J296^2-3*$J296+1)+INDIRECT("C$"&amp;3+MIN(2,ROUNDDOWN(I296,0))*3)*(3*$J296^3-6*$J296^2+3*$J296)+INDIRECT("C$"&amp;4+MIN(2,ROUNDDOWN(I296,0))*3)*(-3*$J296^3+3*$J296^2)+INDIRECT("C$"&amp;5+MIN(2,ROUNDDOWN(I296,0))*3)*$J296^3</f>
      </c>
      <c r="L296" s="7">
        <f>INDIRECT("D$"&amp;2+MIN(2,ROUNDDOWN(I296,0))*3)*(-$J296^3+3*$J296^2-3*$J296+1)+INDIRECT("D$"&amp;3+MIN(2,ROUNDDOWN(I296,0))*3)*(3*$J296^3-6*$J296^2+3*$J296)+INDIRECT("D$"&amp;4+MIN(2,ROUNDDOWN(I296,0))*3)*(-3*$J296^3+3*$J296^2)+INDIRECT("D$"&amp;5+MIN(2,ROUNDDOWN(I296,0))*3)*$J296^3</f>
      </c>
      <c r="M296" s="7">
        <f>SQRT(K296^2+L296^2)</f>
      </c>
      <c r="N296" s="7">
        <f>(K297-K295)</f>
      </c>
      <c r="O296" s="7">
        <f>+(L297-L295)</f>
      </c>
      <c r="P296" s="7">
        <f>SQRT(O296^2+N296^2)</f>
      </c>
      <c r="Q296" s="7">
        <f>N296/$P296</f>
      </c>
      <c r="R296" s="7">
        <f>O296/$P296</f>
      </c>
      <c r="S296" s="7">
        <f>Q296^2+R296^2</f>
      </c>
      <c r="T296" s="7">
        <f>-R296</f>
      </c>
      <c r="U296" s="7">
        <f>Q296</f>
      </c>
      <c r="V296" s="7">
        <f>($C$14+($C$15-$C$14)/($D$15-$D$14)*(I296-$D$14))/2</f>
      </c>
      <c r="W296" s="7">
        <f>($B$22*I296^4+$C$22*I296^3+$D$22*I296^2+$E$22*I296+$F$22)/2</f>
      </c>
      <c r="X296" s="7">
        <f>($W296)*(T296)</f>
      </c>
      <c r="Y296" s="7">
        <f>($W296)*(U296)</f>
      </c>
      <c r="Z296" s="7">
        <f>SQRT(X296^2+Y296^2)</f>
      </c>
      <c r="AA296" s="7">
        <f>$K296+$X296</f>
      </c>
      <c r="AB296" s="7">
        <f>$L296+$Y296</f>
      </c>
      <c r="AC296" s="7">
        <f>$K296-$X296</f>
      </c>
      <c r="AD296" s="7">
        <f>$L296-$Y296</f>
      </c>
      <c r="AE296" s="7">
        <f>AA296/39.3701</f>
      </c>
      <c r="AF296" s="7">
        <f>AB296/39.3701</f>
      </c>
      <c r="AG296" s="7">
        <f>AC296/39.3701</f>
      </c>
      <c r="AH296" s="7">
        <f>AD296/39.3701</f>
      </c>
      <c r="AI296" s="1"/>
      <c r="AJ296" s="1"/>
      <c r="AK296" s="1"/>
      <c r="AL296" s="1"/>
      <c r="AM296" s="2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</row>
    <row x14ac:dyDescent="0.25" r="297" customHeight="1" ht="18.75">
      <c r="A297" s="1"/>
      <c r="B297" s="2"/>
      <c r="C297" s="2"/>
      <c r="D297" s="2"/>
      <c r="E297" s="2"/>
      <c r="F297" s="2"/>
      <c r="G297" s="1"/>
      <c r="H297" s="1"/>
      <c r="I297" s="7">
        <v>0.294</v>
      </c>
      <c r="J297" s="7">
        <f>IF((I297-ROUNDDOWN(I297,0))=0, 0, (I297-ROUNDDOWN(I297,0)))</f>
      </c>
      <c r="K297" s="7">
        <f>INDIRECT("C$"&amp;2+MIN(2,ROUNDDOWN(I297,0))*3)*(-$J297^3+3*$J297^2-3*$J297+1)+INDIRECT("C$"&amp;3+MIN(2,ROUNDDOWN(I297,0))*3)*(3*$J297^3-6*$J297^2+3*$J297)+INDIRECT("C$"&amp;4+MIN(2,ROUNDDOWN(I297,0))*3)*(-3*$J297^3+3*$J297^2)+INDIRECT("C$"&amp;5+MIN(2,ROUNDDOWN(I297,0))*3)*$J297^3</f>
      </c>
      <c r="L297" s="7">
        <f>INDIRECT("D$"&amp;2+MIN(2,ROUNDDOWN(I297,0))*3)*(-$J297^3+3*$J297^2-3*$J297+1)+INDIRECT("D$"&amp;3+MIN(2,ROUNDDOWN(I297,0))*3)*(3*$J297^3-6*$J297^2+3*$J297)+INDIRECT("D$"&amp;4+MIN(2,ROUNDDOWN(I297,0))*3)*(-3*$J297^3+3*$J297^2)+INDIRECT("D$"&amp;5+MIN(2,ROUNDDOWN(I297,0))*3)*$J297^3</f>
      </c>
      <c r="M297" s="7">
        <f>SQRT(K297^2+L297^2)</f>
      </c>
      <c r="N297" s="7">
        <f>(K298-K296)</f>
      </c>
      <c r="O297" s="7">
        <f>+(L298-L296)</f>
      </c>
      <c r="P297" s="7">
        <f>SQRT(O297^2+N297^2)</f>
      </c>
      <c r="Q297" s="7">
        <f>N297/$P297</f>
      </c>
      <c r="R297" s="7">
        <f>O297/$P297</f>
      </c>
      <c r="S297" s="7">
        <f>Q297^2+R297^2</f>
      </c>
      <c r="T297" s="7">
        <f>-R297</f>
      </c>
      <c r="U297" s="7">
        <f>Q297</f>
      </c>
      <c r="V297" s="7">
        <f>($C$14+($C$15-$C$14)/($D$15-$D$14)*(I297-$D$14))/2</f>
      </c>
      <c r="W297" s="7">
        <f>($B$22*I297^4+$C$22*I297^3+$D$22*I297^2+$E$22*I297+$F$22)/2</f>
      </c>
      <c r="X297" s="7">
        <f>($W297)*(T297)</f>
      </c>
      <c r="Y297" s="7">
        <f>($W297)*(U297)</f>
      </c>
      <c r="Z297" s="7">
        <f>SQRT(X297^2+Y297^2)</f>
      </c>
      <c r="AA297" s="7">
        <f>$K297+$X297</f>
      </c>
      <c r="AB297" s="7">
        <f>$L297+$Y297</f>
      </c>
      <c r="AC297" s="7">
        <f>$K297-$X297</f>
      </c>
      <c r="AD297" s="7">
        <f>$L297-$Y297</f>
      </c>
      <c r="AE297" s="7">
        <f>AA297/39.3701</f>
      </c>
      <c r="AF297" s="7">
        <f>AB297/39.3701</f>
      </c>
      <c r="AG297" s="7">
        <f>AC297/39.3701</f>
      </c>
      <c r="AH297" s="7">
        <f>AD297/39.3701</f>
      </c>
      <c r="AI297" s="1"/>
      <c r="AJ297" s="1"/>
      <c r="AK297" s="1"/>
      <c r="AL297" s="1"/>
      <c r="AM297" s="2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</row>
    <row x14ac:dyDescent="0.25" r="298" customHeight="1" ht="18.75">
      <c r="A298" s="1"/>
      <c r="B298" s="2"/>
      <c r="C298" s="2"/>
      <c r="D298" s="2"/>
      <c r="E298" s="2"/>
      <c r="F298" s="2"/>
      <c r="G298" s="1"/>
      <c r="H298" s="1"/>
      <c r="I298" s="7">
        <v>0.295</v>
      </c>
      <c r="J298" s="7">
        <f>IF((I298-ROUNDDOWN(I298,0))=0, 0, (I298-ROUNDDOWN(I298,0)))</f>
      </c>
      <c r="K298" s="7">
        <f>INDIRECT("C$"&amp;2+MIN(2,ROUNDDOWN(I298,0))*3)*(-$J298^3+3*$J298^2-3*$J298+1)+INDIRECT("C$"&amp;3+MIN(2,ROUNDDOWN(I298,0))*3)*(3*$J298^3-6*$J298^2+3*$J298)+INDIRECT("C$"&amp;4+MIN(2,ROUNDDOWN(I298,0))*3)*(-3*$J298^3+3*$J298^2)+INDIRECT("C$"&amp;5+MIN(2,ROUNDDOWN(I298,0))*3)*$J298^3</f>
      </c>
      <c r="L298" s="7">
        <f>INDIRECT("D$"&amp;2+MIN(2,ROUNDDOWN(I298,0))*3)*(-$J298^3+3*$J298^2-3*$J298+1)+INDIRECT("D$"&amp;3+MIN(2,ROUNDDOWN(I298,0))*3)*(3*$J298^3-6*$J298^2+3*$J298)+INDIRECT("D$"&amp;4+MIN(2,ROUNDDOWN(I298,0))*3)*(-3*$J298^3+3*$J298^2)+INDIRECT("D$"&amp;5+MIN(2,ROUNDDOWN(I298,0))*3)*$J298^3</f>
      </c>
      <c r="M298" s="7">
        <f>SQRT(K298^2+L298^2)</f>
      </c>
      <c r="N298" s="7">
        <f>(K299-K297)</f>
      </c>
      <c r="O298" s="7">
        <f>+(L299-L297)</f>
      </c>
      <c r="P298" s="7">
        <f>SQRT(O298^2+N298^2)</f>
      </c>
      <c r="Q298" s="7">
        <f>N298/$P298</f>
      </c>
      <c r="R298" s="7">
        <f>O298/$P298</f>
      </c>
      <c r="S298" s="8">
        <f>Q298^2+R298^2</f>
      </c>
      <c r="T298" s="7">
        <f>-R298</f>
      </c>
      <c r="U298" s="7">
        <f>Q298</f>
      </c>
      <c r="V298" s="7">
        <f>($C$14+($C$15-$C$14)/($D$15-$D$14)*(I298-$D$14))/2</f>
      </c>
      <c r="W298" s="7">
        <f>($B$22*I298^4+$C$22*I298^3+$D$22*I298^2+$E$22*I298+$F$22)/2</f>
      </c>
      <c r="X298" s="7">
        <f>($W298)*(T298)</f>
      </c>
      <c r="Y298" s="7">
        <f>($W298)*(U298)</f>
      </c>
      <c r="Z298" s="7">
        <f>SQRT(X298^2+Y298^2)</f>
      </c>
      <c r="AA298" s="7">
        <f>$K298+$X298</f>
      </c>
      <c r="AB298" s="7">
        <f>$L298+$Y298</f>
      </c>
      <c r="AC298" s="7">
        <f>$K298-$X298</f>
      </c>
      <c r="AD298" s="7">
        <f>$L298-$Y298</f>
      </c>
      <c r="AE298" s="7">
        <f>AA298/39.3701</f>
      </c>
      <c r="AF298" s="7">
        <f>AB298/39.3701</f>
      </c>
      <c r="AG298" s="7">
        <f>AC298/39.3701</f>
      </c>
      <c r="AH298" s="7">
        <f>AD298/39.3701</f>
      </c>
      <c r="AI298" s="1"/>
      <c r="AJ298" s="1"/>
      <c r="AK298" s="1"/>
      <c r="AL298" s="1"/>
      <c r="AM298" s="2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</row>
    <row x14ac:dyDescent="0.25" r="299" customHeight="1" ht="18.75">
      <c r="A299" s="1"/>
      <c r="B299" s="2"/>
      <c r="C299" s="2"/>
      <c r="D299" s="2"/>
      <c r="E299" s="2"/>
      <c r="F299" s="2"/>
      <c r="G299" s="1"/>
      <c r="H299" s="1"/>
      <c r="I299" s="7">
        <v>0.296</v>
      </c>
      <c r="J299" s="7">
        <f>IF((I299-ROUNDDOWN(I299,0))=0, 0, (I299-ROUNDDOWN(I299,0)))</f>
      </c>
      <c r="K299" s="7">
        <f>INDIRECT("C$"&amp;2+MIN(2,ROUNDDOWN(I299,0))*3)*(-$J299^3+3*$J299^2-3*$J299+1)+INDIRECT("C$"&amp;3+MIN(2,ROUNDDOWN(I299,0))*3)*(3*$J299^3-6*$J299^2+3*$J299)+INDIRECT("C$"&amp;4+MIN(2,ROUNDDOWN(I299,0))*3)*(-3*$J299^3+3*$J299^2)+INDIRECT("C$"&amp;5+MIN(2,ROUNDDOWN(I299,0))*3)*$J299^3</f>
      </c>
      <c r="L299" s="7">
        <f>INDIRECT("D$"&amp;2+MIN(2,ROUNDDOWN(I299,0))*3)*(-$J299^3+3*$J299^2-3*$J299+1)+INDIRECT("D$"&amp;3+MIN(2,ROUNDDOWN(I299,0))*3)*(3*$J299^3-6*$J299^2+3*$J299)+INDIRECT("D$"&amp;4+MIN(2,ROUNDDOWN(I299,0))*3)*(-3*$J299^3+3*$J299^2)+INDIRECT("D$"&amp;5+MIN(2,ROUNDDOWN(I299,0))*3)*$J299^3</f>
      </c>
      <c r="M299" s="7">
        <f>SQRT(K299^2+L299^2)</f>
      </c>
      <c r="N299" s="7">
        <f>(K300-K298)</f>
      </c>
      <c r="O299" s="7">
        <f>+(L300-L298)</f>
      </c>
      <c r="P299" s="7">
        <f>SQRT(O299^2+N299^2)</f>
      </c>
      <c r="Q299" s="7">
        <f>N299/$P299</f>
      </c>
      <c r="R299" s="7">
        <f>O299/$P299</f>
      </c>
      <c r="S299" s="7">
        <f>Q299^2+R299^2</f>
      </c>
      <c r="T299" s="7">
        <f>-R299</f>
      </c>
      <c r="U299" s="7">
        <f>Q299</f>
      </c>
      <c r="V299" s="7">
        <f>($C$14+($C$15-$C$14)/($D$15-$D$14)*(I299-$D$14))/2</f>
      </c>
      <c r="W299" s="7">
        <f>($B$22*I299^4+$C$22*I299^3+$D$22*I299^2+$E$22*I299+$F$22)/2</f>
      </c>
      <c r="X299" s="7">
        <f>($W299)*(T299)</f>
      </c>
      <c r="Y299" s="7">
        <f>($W299)*(U299)</f>
      </c>
      <c r="Z299" s="7">
        <f>SQRT(X299^2+Y299^2)</f>
      </c>
      <c r="AA299" s="7">
        <f>$K299+$X299</f>
      </c>
      <c r="AB299" s="7">
        <f>$L299+$Y299</f>
      </c>
      <c r="AC299" s="7">
        <f>$K299-$X299</f>
      </c>
      <c r="AD299" s="7">
        <f>$L299-$Y299</f>
      </c>
      <c r="AE299" s="7">
        <f>AA299/39.3701</f>
      </c>
      <c r="AF299" s="7">
        <f>AB299/39.3701</f>
      </c>
      <c r="AG299" s="7">
        <f>AC299/39.3701</f>
      </c>
      <c r="AH299" s="7">
        <f>AD299/39.3701</f>
      </c>
      <c r="AI299" s="1"/>
      <c r="AJ299" s="1"/>
      <c r="AK299" s="1"/>
      <c r="AL299" s="1"/>
      <c r="AM299" s="2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</row>
    <row x14ac:dyDescent="0.25" r="300" customHeight="1" ht="18.75">
      <c r="A300" s="1"/>
      <c r="B300" s="2"/>
      <c r="C300" s="2"/>
      <c r="D300" s="2"/>
      <c r="E300" s="2"/>
      <c r="F300" s="2"/>
      <c r="G300" s="1"/>
      <c r="H300" s="1"/>
      <c r="I300" s="7">
        <v>0.297</v>
      </c>
      <c r="J300" s="7">
        <f>IF((I300-ROUNDDOWN(I300,0))=0, 0, (I300-ROUNDDOWN(I300,0)))</f>
      </c>
      <c r="K300" s="7">
        <f>INDIRECT("C$"&amp;2+MIN(2,ROUNDDOWN(I300,0))*3)*(-$J300^3+3*$J300^2-3*$J300+1)+INDIRECT("C$"&amp;3+MIN(2,ROUNDDOWN(I300,0))*3)*(3*$J300^3-6*$J300^2+3*$J300)+INDIRECT("C$"&amp;4+MIN(2,ROUNDDOWN(I300,0))*3)*(-3*$J300^3+3*$J300^2)+INDIRECT("C$"&amp;5+MIN(2,ROUNDDOWN(I300,0))*3)*$J300^3</f>
      </c>
      <c r="L300" s="7">
        <f>INDIRECT("D$"&amp;2+MIN(2,ROUNDDOWN(I300,0))*3)*(-$J300^3+3*$J300^2-3*$J300+1)+INDIRECT("D$"&amp;3+MIN(2,ROUNDDOWN(I300,0))*3)*(3*$J300^3-6*$J300^2+3*$J300)+INDIRECT("D$"&amp;4+MIN(2,ROUNDDOWN(I300,0))*3)*(-3*$J300^3+3*$J300^2)+INDIRECT("D$"&amp;5+MIN(2,ROUNDDOWN(I300,0))*3)*$J300^3</f>
      </c>
      <c r="M300" s="7">
        <f>SQRT(K300^2+L300^2)</f>
      </c>
      <c r="N300" s="7">
        <f>(K301-K299)</f>
      </c>
      <c r="O300" s="7">
        <f>+(L301-L299)</f>
      </c>
      <c r="P300" s="7">
        <f>SQRT(O300^2+N300^2)</f>
      </c>
      <c r="Q300" s="7">
        <f>N300/$P300</f>
      </c>
      <c r="R300" s="7">
        <f>O300/$P300</f>
      </c>
      <c r="S300" s="8">
        <f>Q300^2+R300^2</f>
      </c>
      <c r="T300" s="7">
        <f>-R300</f>
      </c>
      <c r="U300" s="7">
        <f>Q300</f>
      </c>
      <c r="V300" s="7">
        <f>($C$14+($C$15-$C$14)/($D$15-$D$14)*(I300-$D$14))/2</f>
      </c>
      <c r="W300" s="7">
        <f>($B$22*I300^4+$C$22*I300^3+$D$22*I300^2+$E$22*I300+$F$22)/2</f>
      </c>
      <c r="X300" s="7">
        <f>($W300)*(T300)</f>
      </c>
      <c r="Y300" s="7">
        <f>($W300)*(U300)</f>
      </c>
      <c r="Z300" s="7">
        <f>SQRT(X300^2+Y300^2)</f>
      </c>
      <c r="AA300" s="7">
        <f>$K300+$X300</f>
      </c>
      <c r="AB300" s="7">
        <f>$L300+$Y300</f>
      </c>
      <c r="AC300" s="7">
        <f>$K300-$X300</f>
      </c>
      <c r="AD300" s="7">
        <f>$L300-$Y300</f>
      </c>
      <c r="AE300" s="7">
        <f>AA300/39.3701</f>
      </c>
      <c r="AF300" s="7">
        <f>AB300/39.3701</f>
      </c>
      <c r="AG300" s="7">
        <f>AC300/39.3701</f>
      </c>
      <c r="AH300" s="7">
        <f>AD300/39.3701</f>
      </c>
      <c r="AI300" s="1"/>
      <c r="AJ300" s="1"/>
      <c r="AK300" s="1"/>
      <c r="AL300" s="1"/>
      <c r="AM300" s="2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</row>
    <row x14ac:dyDescent="0.25" r="301" customHeight="1" ht="18.75">
      <c r="A301" s="1"/>
      <c r="B301" s="2"/>
      <c r="C301" s="2"/>
      <c r="D301" s="2"/>
      <c r="E301" s="2"/>
      <c r="F301" s="2"/>
      <c r="G301" s="1"/>
      <c r="H301" s="1"/>
      <c r="I301" s="7">
        <v>0.298</v>
      </c>
      <c r="J301" s="7">
        <f>IF((I301-ROUNDDOWN(I301,0))=0, 0, (I301-ROUNDDOWN(I301,0)))</f>
      </c>
      <c r="K301" s="7">
        <f>INDIRECT("C$"&amp;2+MIN(2,ROUNDDOWN(I301,0))*3)*(-$J301^3+3*$J301^2-3*$J301+1)+INDIRECT("C$"&amp;3+MIN(2,ROUNDDOWN(I301,0))*3)*(3*$J301^3-6*$J301^2+3*$J301)+INDIRECT("C$"&amp;4+MIN(2,ROUNDDOWN(I301,0))*3)*(-3*$J301^3+3*$J301^2)+INDIRECT("C$"&amp;5+MIN(2,ROUNDDOWN(I301,0))*3)*$J301^3</f>
      </c>
      <c r="L301" s="7">
        <f>INDIRECT("D$"&amp;2+MIN(2,ROUNDDOWN(I301,0))*3)*(-$J301^3+3*$J301^2-3*$J301+1)+INDIRECT("D$"&amp;3+MIN(2,ROUNDDOWN(I301,0))*3)*(3*$J301^3-6*$J301^2+3*$J301)+INDIRECT("D$"&amp;4+MIN(2,ROUNDDOWN(I301,0))*3)*(-3*$J301^3+3*$J301^2)+INDIRECT("D$"&amp;5+MIN(2,ROUNDDOWN(I301,0))*3)*$J301^3</f>
      </c>
      <c r="M301" s="7">
        <f>SQRT(K301^2+L301^2)</f>
      </c>
      <c r="N301" s="7">
        <f>(K302-K300)</f>
      </c>
      <c r="O301" s="7">
        <f>+(L302-L300)</f>
      </c>
      <c r="P301" s="7">
        <f>SQRT(O301^2+N301^2)</f>
      </c>
      <c r="Q301" s="7">
        <f>N301/$P301</f>
      </c>
      <c r="R301" s="7">
        <f>O301/$P301</f>
      </c>
      <c r="S301" s="8">
        <f>Q301^2+R301^2</f>
      </c>
      <c r="T301" s="7">
        <f>-R301</f>
      </c>
      <c r="U301" s="7">
        <f>Q301</f>
      </c>
      <c r="V301" s="7">
        <f>($C$14+($C$15-$C$14)/($D$15-$D$14)*(I301-$D$14))/2</f>
      </c>
      <c r="W301" s="7">
        <f>($B$22*I301^4+$C$22*I301^3+$D$22*I301^2+$E$22*I301+$F$22)/2</f>
      </c>
      <c r="X301" s="7">
        <f>($W301)*(T301)</f>
      </c>
      <c r="Y301" s="7">
        <f>($W301)*(U301)</f>
      </c>
      <c r="Z301" s="7">
        <f>SQRT(X301^2+Y301^2)</f>
      </c>
      <c r="AA301" s="7">
        <f>$K301+$X301</f>
      </c>
      <c r="AB301" s="7">
        <f>$L301+$Y301</f>
      </c>
      <c r="AC301" s="7">
        <f>$K301-$X301</f>
      </c>
      <c r="AD301" s="7">
        <f>$L301-$Y301</f>
      </c>
      <c r="AE301" s="7">
        <f>AA301/39.3701</f>
      </c>
      <c r="AF301" s="7">
        <f>AB301/39.3701</f>
      </c>
      <c r="AG301" s="7">
        <f>AC301/39.3701</f>
      </c>
      <c r="AH301" s="7">
        <f>AD301/39.3701</f>
      </c>
      <c r="AI301" s="1"/>
      <c r="AJ301" s="1"/>
      <c r="AK301" s="1"/>
      <c r="AL301" s="1"/>
      <c r="AM301" s="2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</row>
    <row x14ac:dyDescent="0.25" r="302" customHeight="1" ht="18.75">
      <c r="A302" s="1"/>
      <c r="B302" s="2"/>
      <c r="C302" s="2"/>
      <c r="D302" s="2"/>
      <c r="E302" s="2"/>
      <c r="F302" s="2"/>
      <c r="G302" s="1"/>
      <c r="H302" s="1"/>
      <c r="I302" s="7">
        <v>0.299</v>
      </c>
      <c r="J302" s="7">
        <f>IF((I302-ROUNDDOWN(I302,0))=0, 0, (I302-ROUNDDOWN(I302,0)))</f>
      </c>
      <c r="K302" s="7">
        <f>INDIRECT("C$"&amp;2+MIN(2,ROUNDDOWN(I302,0))*3)*(-$J302^3+3*$J302^2-3*$J302+1)+INDIRECT("C$"&amp;3+MIN(2,ROUNDDOWN(I302,0))*3)*(3*$J302^3-6*$J302^2+3*$J302)+INDIRECT("C$"&amp;4+MIN(2,ROUNDDOWN(I302,0))*3)*(-3*$J302^3+3*$J302^2)+INDIRECT("C$"&amp;5+MIN(2,ROUNDDOWN(I302,0))*3)*$J302^3</f>
      </c>
      <c r="L302" s="7">
        <f>INDIRECT("D$"&amp;2+MIN(2,ROUNDDOWN(I302,0))*3)*(-$J302^3+3*$J302^2-3*$J302+1)+INDIRECT("D$"&amp;3+MIN(2,ROUNDDOWN(I302,0))*3)*(3*$J302^3-6*$J302^2+3*$J302)+INDIRECT("D$"&amp;4+MIN(2,ROUNDDOWN(I302,0))*3)*(-3*$J302^3+3*$J302^2)+INDIRECT("D$"&amp;5+MIN(2,ROUNDDOWN(I302,0))*3)*$J302^3</f>
      </c>
      <c r="M302" s="7">
        <f>SQRT(K302^2+L302^2)</f>
      </c>
      <c r="N302" s="7">
        <f>(K303-K301)</f>
      </c>
      <c r="O302" s="7">
        <f>+(L303-L301)</f>
      </c>
      <c r="P302" s="7">
        <f>SQRT(O302^2+N302^2)</f>
      </c>
      <c r="Q302" s="7">
        <f>N302/$P302</f>
      </c>
      <c r="R302" s="7">
        <f>O302/$P302</f>
      </c>
      <c r="S302" s="8">
        <f>Q302^2+R302^2</f>
      </c>
      <c r="T302" s="7">
        <f>-R302</f>
      </c>
      <c r="U302" s="7">
        <f>Q302</f>
      </c>
      <c r="V302" s="7">
        <f>($C$14+($C$15-$C$14)/($D$15-$D$14)*(I302-$D$14))/2</f>
      </c>
      <c r="W302" s="7">
        <f>($B$22*I302^4+$C$22*I302^3+$D$22*I302^2+$E$22*I302+$F$22)/2</f>
      </c>
      <c r="X302" s="7">
        <f>($W302)*(T302)</f>
      </c>
      <c r="Y302" s="7">
        <f>($W302)*(U302)</f>
      </c>
      <c r="Z302" s="7">
        <f>SQRT(X302^2+Y302^2)</f>
      </c>
      <c r="AA302" s="7">
        <f>$K302+$X302</f>
      </c>
      <c r="AB302" s="7">
        <f>$L302+$Y302</f>
      </c>
      <c r="AC302" s="7">
        <f>$K302-$X302</f>
      </c>
      <c r="AD302" s="7">
        <f>$L302-$Y302</f>
      </c>
      <c r="AE302" s="7">
        <f>AA302/39.3701</f>
      </c>
      <c r="AF302" s="7">
        <f>AB302/39.3701</f>
      </c>
      <c r="AG302" s="7">
        <f>AC302/39.3701</f>
      </c>
      <c r="AH302" s="7">
        <f>AD302/39.3701</f>
      </c>
      <c r="AI302" s="1"/>
      <c r="AJ302" s="1"/>
      <c r="AK302" s="1"/>
      <c r="AL302" s="1"/>
      <c r="AM302" s="2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</row>
    <row x14ac:dyDescent="0.25" r="303" customHeight="1" ht="18.75">
      <c r="A303" s="1"/>
      <c r="B303" s="2"/>
      <c r="C303" s="2"/>
      <c r="D303" s="2"/>
      <c r="E303" s="2"/>
      <c r="F303" s="2"/>
      <c r="G303" s="1"/>
      <c r="H303" s="1"/>
      <c r="I303" s="7">
        <v>0.3</v>
      </c>
      <c r="J303" s="7">
        <f>IF((I303-ROUNDDOWN(I303,0))=0, 0, (I303-ROUNDDOWN(I303,0)))</f>
      </c>
      <c r="K303" s="7">
        <f>INDIRECT("C$"&amp;2+MIN(2,ROUNDDOWN(I303,0))*3)*(-$J303^3+3*$J303^2-3*$J303+1)+INDIRECT("C$"&amp;3+MIN(2,ROUNDDOWN(I303,0))*3)*(3*$J303^3-6*$J303^2+3*$J303)+INDIRECT("C$"&amp;4+MIN(2,ROUNDDOWN(I303,0))*3)*(-3*$J303^3+3*$J303^2)+INDIRECT("C$"&amp;5+MIN(2,ROUNDDOWN(I303,0))*3)*$J303^3</f>
      </c>
      <c r="L303" s="7">
        <f>INDIRECT("D$"&amp;2+MIN(2,ROUNDDOWN(I303,0))*3)*(-$J303^3+3*$J303^2-3*$J303+1)+INDIRECT("D$"&amp;3+MIN(2,ROUNDDOWN(I303,0))*3)*(3*$J303^3-6*$J303^2+3*$J303)+INDIRECT("D$"&amp;4+MIN(2,ROUNDDOWN(I303,0))*3)*(-3*$J303^3+3*$J303^2)+INDIRECT("D$"&amp;5+MIN(2,ROUNDDOWN(I303,0))*3)*$J303^3</f>
      </c>
      <c r="M303" s="7">
        <f>SQRT(K303^2+L303^2)</f>
      </c>
      <c r="N303" s="7">
        <f>(K304-K302)</f>
      </c>
      <c r="O303" s="7">
        <f>+(L304-L302)</f>
      </c>
      <c r="P303" s="7">
        <f>SQRT(O303^2+N303^2)</f>
      </c>
      <c r="Q303" s="7">
        <f>N303/$P303</f>
      </c>
      <c r="R303" s="7">
        <f>O303/$P303</f>
      </c>
      <c r="S303" s="8">
        <f>Q303^2+R303^2</f>
      </c>
      <c r="T303" s="7">
        <f>-R303</f>
      </c>
      <c r="U303" s="7">
        <f>Q303</f>
      </c>
      <c r="V303" s="7">
        <f>($C$14+($C$15-$C$14)/($D$15-$D$14)*(I303-$D$14))/2</f>
      </c>
      <c r="W303" s="7">
        <f>($B$22*I303^4+$C$22*I303^3+$D$22*I303^2+$E$22*I303+$F$22)/2</f>
      </c>
      <c r="X303" s="7">
        <f>($W303)*(T303)</f>
      </c>
      <c r="Y303" s="7">
        <f>($W303)*(U303)</f>
      </c>
      <c r="Z303" s="7">
        <f>SQRT(X303^2+Y303^2)</f>
      </c>
      <c r="AA303" s="7">
        <f>$K303+$X303</f>
      </c>
      <c r="AB303" s="7">
        <f>$L303+$Y303</f>
      </c>
      <c r="AC303" s="7">
        <f>$K303-$X303</f>
      </c>
      <c r="AD303" s="7">
        <f>$L303-$Y303</f>
      </c>
      <c r="AE303" s="7">
        <f>AA303/39.3701</f>
      </c>
      <c r="AF303" s="7">
        <f>AB303/39.3701</f>
      </c>
      <c r="AG303" s="7">
        <f>AC303/39.3701</f>
      </c>
      <c r="AH303" s="7">
        <f>AD303/39.3701</f>
      </c>
      <c r="AI303" s="1"/>
      <c r="AJ303" s="1"/>
      <c r="AK303" s="1"/>
      <c r="AL303" s="1"/>
      <c r="AM303" s="2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</row>
    <row x14ac:dyDescent="0.25" r="304" customHeight="1" ht="18.75">
      <c r="A304" s="1"/>
      <c r="B304" s="2"/>
      <c r="C304" s="2"/>
      <c r="D304" s="2"/>
      <c r="E304" s="2"/>
      <c r="F304" s="2"/>
      <c r="G304" s="1"/>
      <c r="H304" s="1"/>
      <c r="I304" s="7">
        <v>0.301</v>
      </c>
      <c r="J304" s="7">
        <f>IF((I304-ROUNDDOWN(I304,0))=0, 0, (I304-ROUNDDOWN(I304,0)))</f>
      </c>
      <c r="K304" s="7">
        <f>INDIRECT("C$"&amp;2+MIN(2,ROUNDDOWN(I304,0))*3)*(-$J304^3+3*$J304^2-3*$J304+1)+INDIRECT("C$"&amp;3+MIN(2,ROUNDDOWN(I304,0))*3)*(3*$J304^3-6*$J304^2+3*$J304)+INDIRECT("C$"&amp;4+MIN(2,ROUNDDOWN(I304,0))*3)*(-3*$J304^3+3*$J304^2)+INDIRECT("C$"&amp;5+MIN(2,ROUNDDOWN(I304,0))*3)*$J304^3</f>
      </c>
      <c r="L304" s="7">
        <f>INDIRECT("D$"&amp;2+MIN(2,ROUNDDOWN(I304,0))*3)*(-$J304^3+3*$J304^2-3*$J304+1)+INDIRECT("D$"&amp;3+MIN(2,ROUNDDOWN(I304,0))*3)*(3*$J304^3-6*$J304^2+3*$J304)+INDIRECT("D$"&amp;4+MIN(2,ROUNDDOWN(I304,0))*3)*(-3*$J304^3+3*$J304^2)+INDIRECT("D$"&amp;5+MIN(2,ROUNDDOWN(I304,0))*3)*$J304^3</f>
      </c>
      <c r="M304" s="7">
        <f>SQRT(K304^2+L304^2)</f>
      </c>
      <c r="N304" s="7">
        <f>(K305-K303)</f>
      </c>
      <c r="O304" s="7">
        <f>+(L305-L303)</f>
      </c>
      <c r="P304" s="7">
        <f>SQRT(O304^2+N304^2)</f>
      </c>
      <c r="Q304" s="7">
        <f>N304/$P304</f>
      </c>
      <c r="R304" s="7">
        <f>O304/$P304</f>
      </c>
      <c r="S304" s="8">
        <f>Q304^2+R304^2</f>
      </c>
      <c r="T304" s="7">
        <f>-R304</f>
      </c>
      <c r="U304" s="7">
        <f>Q304</f>
      </c>
      <c r="V304" s="7">
        <f>($C$14+($C$15-$C$14)/($D$15-$D$14)*(I304-$D$14))/2</f>
      </c>
      <c r="W304" s="7">
        <f>($B$22*I304^4+$C$22*I304^3+$D$22*I304^2+$E$22*I304+$F$22)/2</f>
      </c>
      <c r="X304" s="7">
        <f>($W304)*(T304)</f>
      </c>
      <c r="Y304" s="7">
        <f>($W304)*(U304)</f>
      </c>
      <c r="Z304" s="7">
        <f>SQRT(X304^2+Y304^2)</f>
      </c>
      <c r="AA304" s="7">
        <f>$K304+$X304</f>
      </c>
      <c r="AB304" s="7">
        <f>$L304+$Y304</f>
      </c>
      <c r="AC304" s="7">
        <f>$K304-$X304</f>
      </c>
      <c r="AD304" s="7">
        <f>$L304-$Y304</f>
      </c>
      <c r="AE304" s="7">
        <f>AA304/39.3701</f>
      </c>
      <c r="AF304" s="7">
        <f>AB304/39.3701</f>
      </c>
      <c r="AG304" s="7">
        <f>AC304/39.3701</f>
      </c>
      <c r="AH304" s="7">
        <f>AD304/39.3701</f>
      </c>
      <c r="AI304" s="1"/>
      <c r="AJ304" s="1"/>
      <c r="AK304" s="1"/>
      <c r="AL304" s="1"/>
      <c r="AM304" s="2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</row>
    <row x14ac:dyDescent="0.25" r="305" customHeight="1" ht="18.75">
      <c r="A305" s="1"/>
      <c r="B305" s="2"/>
      <c r="C305" s="2"/>
      <c r="D305" s="2"/>
      <c r="E305" s="2"/>
      <c r="F305" s="2"/>
      <c r="G305" s="1"/>
      <c r="H305" s="1"/>
      <c r="I305" s="7">
        <v>0.302</v>
      </c>
      <c r="J305" s="7">
        <f>IF((I305-ROUNDDOWN(I305,0))=0, 0, (I305-ROUNDDOWN(I305,0)))</f>
      </c>
      <c r="K305" s="7">
        <f>INDIRECT("C$"&amp;2+MIN(2,ROUNDDOWN(I305,0))*3)*(-$J305^3+3*$J305^2-3*$J305+1)+INDIRECT("C$"&amp;3+MIN(2,ROUNDDOWN(I305,0))*3)*(3*$J305^3-6*$J305^2+3*$J305)+INDIRECT("C$"&amp;4+MIN(2,ROUNDDOWN(I305,0))*3)*(-3*$J305^3+3*$J305^2)+INDIRECT("C$"&amp;5+MIN(2,ROUNDDOWN(I305,0))*3)*$J305^3</f>
      </c>
      <c r="L305" s="7">
        <f>INDIRECT("D$"&amp;2+MIN(2,ROUNDDOWN(I305,0))*3)*(-$J305^3+3*$J305^2-3*$J305+1)+INDIRECT("D$"&amp;3+MIN(2,ROUNDDOWN(I305,0))*3)*(3*$J305^3-6*$J305^2+3*$J305)+INDIRECT("D$"&amp;4+MIN(2,ROUNDDOWN(I305,0))*3)*(-3*$J305^3+3*$J305^2)+INDIRECT("D$"&amp;5+MIN(2,ROUNDDOWN(I305,0))*3)*$J305^3</f>
      </c>
      <c r="M305" s="7">
        <f>SQRT(K305^2+L305^2)</f>
      </c>
      <c r="N305" s="7">
        <f>(K306-K304)</f>
      </c>
      <c r="O305" s="7">
        <f>+(L306-L304)</f>
      </c>
      <c r="P305" s="7">
        <f>SQRT(O305^2+N305^2)</f>
      </c>
      <c r="Q305" s="7">
        <f>N305/$P305</f>
      </c>
      <c r="R305" s="7">
        <f>O305/$P305</f>
      </c>
      <c r="S305" s="7">
        <f>Q305^2+R305^2</f>
      </c>
      <c r="T305" s="7">
        <f>-R305</f>
      </c>
      <c r="U305" s="7">
        <f>Q305</f>
      </c>
      <c r="V305" s="7">
        <f>($C$14+($C$15-$C$14)/($D$15-$D$14)*(I305-$D$14))/2</f>
      </c>
      <c r="W305" s="7">
        <f>($B$22*I305^4+$C$22*I305^3+$D$22*I305^2+$E$22*I305+$F$22)/2</f>
      </c>
      <c r="X305" s="7">
        <f>($W305)*(T305)</f>
      </c>
      <c r="Y305" s="7">
        <f>($W305)*(U305)</f>
      </c>
      <c r="Z305" s="7">
        <f>SQRT(X305^2+Y305^2)</f>
      </c>
      <c r="AA305" s="7">
        <f>$K305+$X305</f>
      </c>
      <c r="AB305" s="7">
        <f>$L305+$Y305</f>
      </c>
      <c r="AC305" s="7">
        <f>$K305-$X305</f>
      </c>
      <c r="AD305" s="7">
        <f>$L305-$Y305</f>
      </c>
      <c r="AE305" s="7">
        <f>AA305/39.3701</f>
      </c>
      <c r="AF305" s="7">
        <f>AB305/39.3701</f>
      </c>
      <c r="AG305" s="7">
        <f>AC305/39.3701</f>
      </c>
      <c r="AH305" s="7">
        <f>AD305/39.3701</f>
      </c>
      <c r="AI305" s="1"/>
      <c r="AJ305" s="1"/>
      <c r="AK305" s="1"/>
      <c r="AL305" s="1"/>
      <c r="AM305" s="2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</row>
    <row x14ac:dyDescent="0.25" r="306" customHeight="1" ht="18.75">
      <c r="A306" s="1"/>
      <c r="B306" s="2"/>
      <c r="C306" s="2"/>
      <c r="D306" s="2"/>
      <c r="E306" s="2"/>
      <c r="F306" s="2"/>
      <c r="G306" s="1"/>
      <c r="H306" s="1"/>
      <c r="I306" s="7">
        <v>0.303</v>
      </c>
      <c r="J306" s="7">
        <f>IF((I306-ROUNDDOWN(I306,0))=0, 0, (I306-ROUNDDOWN(I306,0)))</f>
      </c>
      <c r="K306" s="7">
        <f>INDIRECT("C$"&amp;2+MIN(2,ROUNDDOWN(I306,0))*3)*(-$J306^3+3*$J306^2-3*$J306+1)+INDIRECT("C$"&amp;3+MIN(2,ROUNDDOWN(I306,0))*3)*(3*$J306^3-6*$J306^2+3*$J306)+INDIRECT("C$"&amp;4+MIN(2,ROUNDDOWN(I306,0))*3)*(-3*$J306^3+3*$J306^2)+INDIRECT("C$"&amp;5+MIN(2,ROUNDDOWN(I306,0))*3)*$J306^3</f>
      </c>
      <c r="L306" s="7">
        <f>INDIRECT("D$"&amp;2+MIN(2,ROUNDDOWN(I306,0))*3)*(-$J306^3+3*$J306^2-3*$J306+1)+INDIRECT("D$"&amp;3+MIN(2,ROUNDDOWN(I306,0))*3)*(3*$J306^3-6*$J306^2+3*$J306)+INDIRECT("D$"&amp;4+MIN(2,ROUNDDOWN(I306,0))*3)*(-3*$J306^3+3*$J306^2)+INDIRECT("D$"&amp;5+MIN(2,ROUNDDOWN(I306,0))*3)*$J306^3</f>
      </c>
      <c r="M306" s="7">
        <f>SQRT(K306^2+L306^2)</f>
      </c>
      <c r="N306" s="7">
        <f>(K307-K305)</f>
      </c>
      <c r="O306" s="7">
        <f>+(L307-L305)</f>
      </c>
      <c r="P306" s="7">
        <f>SQRT(O306^2+N306^2)</f>
      </c>
      <c r="Q306" s="7">
        <f>N306/$P306</f>
      </c>
      <c r="R306" s="7">
        <f>O306/$P306</f>
      </c>
      <c r="S306" s="8">
        <f>Q306^2+R306^2</f>
      </c>
      <c r="T306" s="7">
        <f>-R306</f>
      </c>
      <c r="U306" s="7">
        <f>Q306</f>
      </c>
      <c r="V306" s="7">
        <f>($C$14+($C$15-$C$14)/($D$15-$D$14)*(I306-$D$14))/2</f>
      </c>
      <c r="W306" s="7">
        <f>($B$22*I306^4+$C$22*I306^3+$D$22*I306^2+$E$22*I306+$F$22)/2</f>
      </c>
      <c r="X306" s="7">
        <f>($W306)*(T306)</f>
      </c>
      <c r="Y306" s="7">
        <f>($W306)*(U306)</f>
      </c>
      <c r="Z306" s="7">
        <f>SQRT(X306^2+Y306^2)</f>
      </c>
      <c r="AA306" s="7">
        <f>$K306+$X306</f>
      </c>
      <c r="AB306" s="7">
        <f>$L306+$Y306</f>
      </c>
      <c r="AC306" s="7">
        <f>$K306-$X306</f>
      </c>
      <c r="AD306" s="7">
        <f>$L306-$Y306</f>
      </c>
      <c r="AE306" s="7">
        <f>AA306/39.3701</f>
      </c>
      <c r="AF306" s="7">
        <f>AB306/39.3701</f>
      </c>
      <c r="AG306" s="7">
        <f>AC306/39.3701</f>
      </c>
      <c r="AH306" s="7">
        <f>AD306/39.3701</f>
      </c>
      <c r="AI306" s="1"/>
      <c r="AJ306" s="1"/>
      <c r="AK306" s="1"/>
      <c r="AL306" s="1"/>
      <c r="AM306" s="2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</row>
    <row x14ac:dyDescent="0.25" r="307" customHeight="1" ht="18.75">
      <c r="A307" s="1"/>
      <c r="B307" s="2"/>
      <c r="C307" s="2"/>
      <c r="D307" s="2"/>
      <c r="E307" s="2"/>
      <c r="F307" s="2"/>
      <c r="G307" s="1"/>
      <c r="H307" s="1"/>
      <c r="I307" s="7">
        <v>0.304</v>
      </c>
      <c r="J307" s="7">
        <f>IF((I307-ROUNDDOWN(I307,0))=0, 0, (I307-ROUNDDOWN(I307,0)))</f>
      </c>
      <c r="K307" s="7">
        <f>INDIRECT("C$"&amp;2+MIN(2,ROUNDDOWN(I307,0))*3)*(-$J307^3+3*$J307^2-3*$J307+1)+INDIRECT("C$"&amp;3+MIN(2,ROUNDDOWN(I307,0))*3)*(3*$J307^3-6*$J307^2+3*$J307)+INDIRECT("C$"&amp;4+MIN(2,ROUNDDOWN(I307,0))*3)*(-3*$J307^3+3*$J307^2)+INDIRECT("C$"&amp;5+MIN(2,ROUNDDOWN(I307,0))*3)*$J307^3</f>
      </c>
      <c r="L307" s="7">
        <f>INDIRECT("D$"&amp;2+MIN(2,ROUNDDOWN(I307,0))*3)*(-$J307^3+3*$J307^2-3*$J307+1)+INDIRECT("D$"&amp;3+MIN(2,ROUNDDOWN(I307,0))*3)*(3*$J307^3-6*$J307^2+3*$J307)+INDIRECT("D$"&amp;4+MIN(2,ROUNDDOWN(I307,0))*3)*(-3*$J307^3+3*$J307^2)+INDIRECT("D$"&amp;5+MIN(2,ROUNDDOWN(I307,0))*3)*$J307^3</f>
      </c>
      <c r="M307" s="7">
        <f>SQRT(K307^2+L307^2)</f>
      </c>
      <c r="N307" s="7">
        <f>(K308-K306)</f>
      </c>
      <c r="O307" s="7">
        <f>+(L308-L306)</f>
      </c>
      <c r="P307" s="7">
        <f>SQRT(O307^2+N307^2)</f>
      </c>
      <c r="Q307" s="7">
        <f>N307/$P307</f>
      </c>
      <c r="R307" s="7">
        <f>O307/$P307</f>
      </c>
      <c r="S307" s="8">
        <f>Q307^2+R307^2</f>
      </c>
      <c r="T307" s="7">
        <f>-R307</f>
      </c>
      <c r="U307" s="7">
        <f>Q307</f>
      </c>
      <c r="V307" s="7">
        <f>($C$14+($C$15-$C$14)/($D$15-$D$14)*(I307-$D$14))/2</f>
      </c>
      <c r="W307" s="7">
        <f>($B$22*I307^4+$C$22*I307^3+$D$22*I307^2+$E$22*I307+$F$22)/2</f>
      </c>
      <c r="X307" s="7">
        <f>($W307)*(T307)</f>
      </c>
      <c r="Y307" s="7">
        <f>($W307)*(U307)</f>
      </c>
      <c r="Z307" s="7">
        <f>SQRT(X307^2+Y307^2)</f>
      </c>
      <c r="AA307" s="7">
        <f>$K307+$X307</f>
      </c>
      <c r="AB307" s="7">
        <f>$L307+$Y307</f>
      </c>
      <c r="AC307" s="7">
        <f>$K307-$X307</f>
      </c>
      <c r="AD307" s="7">
        <f>$L307-$Y307</f>
      </c>
      <c r="AE307" s="7">
        <f>AA307/39.3701</f>
      </c>
      <c r="AF307" s="7">
        <f>AB307/39.3701</f>
      </c>
      <c r="AG307" s="7">
        <f>AC307/39.3701</f>
      </c>
      <c r="AH307" s="7">
        <f>AD307/39.3701</f>
      </c>
      <c r="AI307" s="1"/>
      <c r="AJ307" s="1"/>
      <c r="AK307" s="1"/>
      <c r="AL307" s="1"/>
      <c r="AM307" s="2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</row>
    <row x14ac:dyDescent="0.25" r="308" customHeight="1" ht="18.75">
      <c r="A308" s="1"/>
      <c r="B308" s="2"/>
      <c r="C308" s="2"/>
      <c r="D308" s="2"/>
      <c r="E308" s="2"/>
      <c r="F308" s="2"/>
      <c r="G308" s="1"/>
      <c r="H308" s="1"/>
      <c r="I308" s="7">
        <v>0.305</v>
      </c>
      <c r="J308" s="7">
        <f>IF((I308-ROUNDDOWN(I308,0))=0, 0, (I308-ROUNDDOWN(I308,0)))</f>
      </c>
      <c r="K308" s="7">
        <f>INDIRECT("C$"&amp;2+MIN(2,ROUNDDOWN(I308,0))*3)*(-$J308^3+3*$J308^2-3*$J308+1)+INDIRECT("C$"&amp;3+MIN(2,ROUNDDOWN(I308,0))*3)*(3*$J308^3-6*$J308^2+3*$J308)+INDIRECT("C$"&amp;4+MIN(2,ROUNDDOWN(I308,0))*3)*(-3*$J308^3+3*$J308^2)+INDIRECT("C$"&amp;5+MIN(2,ROUNDDOWN(I308,0))*3)*$J308^3</f>
      </c>
      <c r="L308" s="7">
        <f>INDIRECT("D$"&amp;2+MIN(2,ROUNDDOWN(I308,0))*3)*(-$J308^3+3*$J308^2-3*$J308+1)+INDIRECT("D$"&amp;3+MIN(2,ROUNDDOWN(I308,0))*3)*(3*$J308^3-6*$J308^2+3*$J308)+INDIRECT("D$"&amp;4+MIN(2,ROUNDDOWN(I308,0))*3)*(-3*$J308^3+3*$J308^2)+INDIRECT("D$"&amp;5+MIN(2,ROUNDDOWN(I308,0))*3)*$J308^3</f>
      </c>
      <c r="M308" s="7">
        <f>SQRT(K308^2+L308^2)</f>
      </c>
      <c r="N308" s="7">
        <f>(K309-K307)</f>
      </c>
      <c r="O308" s="7">
        <f>+(L309-L307)</f>
      </c>
      <c r="P308" s="7">
        <f>SQRT(O308^2+N308^2)</f>
      </c>
      <c r="Q308" s="7">
        <f>N308/$P308</f>
      </c>
      <c r="R308" s="7">
        <f>O308/$P308</f>
      </c>
      <c r="S308" s="7">
        <f>Q308^2+R308^2</f>
      </c>
      <c r="T308" s="7">
        <f>-R308</f>
      </c>
      <c r="U308" s="7">
        <f>Q308</f>
      </c>
      <c r="V308" s="7">
        <f>($C$14+($C$15-$C$14)/($D$15-$D$14)*(I308-$D$14))/2</f>
      </c>
      <c r="W308" s="7">
        <f>($B$22*I308^4+$C$22*I308^3+$D$22*I308^2+$E$22*I308+$F$22)/2</f>
      </c>
      <c r="X308" s="7">
        <f>($W308)*(T308)</f>
      </c>
      <c r="Y308" s="7">
        <f>($W308)*(U308)</f>
      </c>
      <c r="Z308" s="7">
        <f>SQRT(X308^2+Y308^2)</f>
      </c>
      <c r="AA308" s="7">
        <f>$K308+$X308</f>
      </c>
      <c r="AB308" s="7">
        <f>$L308+$Y308</f>
      </c>
      <c r="AC308" s="7">
        <f>$K308-$X308</f>
      </c>
      <c r="AD308" s="7">
        <f>$L308-$Y308</f>
      </c>
      <c r="AE308" s="7">
        <f>AA308/39.3701</f>
      </c>
      <c r="AF308" s="7">
        <f>AB308/39.3701</f>
      </c>
      <c r="AG308" s="7">
        <f>AC308/39.3701</f>
      </c>
      <c r="AH308" s="7">
        <f>AD308/39.3701</f>
      </c>
      <c r="AI308" s="1"/>
      <c r="AJ308" s="1"/>
      <c r="AK308" s="1"/>
      <c r="AL308" s="1"/>
      <c r="AM308" s="2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</row>
    <row x14ac:dyDescent="0.25" r="309" customHeight="1" ht="18.75">
      <c r="A309" s="1"/>
      <c r="B309" s="2"/>
      <c r="C309" s="2"/>
      <c r="D309" s="2"/>
      <c r="E309" s="2"/>
      <c r="F309" s="2"/>
      <c r="G309" s="1"/>
      <c r="H309" s="1"/>
      <c r="I309" s="7">
        <v>0.306</v>
      </c>
      <c r="J309" s="7">
        <f>IF((I309-ROUNDDOWN(I309,0))=0, 0, (I309-ROUNDDOWN(I309,0)))</f>
      </c>
      <c r="K309" s="7">
        <f>INDIRECT("C$"&amp;2+MIN(2,ROUNDDOWN(I309,0))*3)*(-$J309^3+3*$J309^2-3*$J309+1)+INDIRECT("C$"&amp;3+MIN(2,ROUNDDOWN(I309,0))*3)*(3*$J309^3-6*$J309^2+3*$J309)+INDIRECT("C$"&amp;4+MIN(2,ROUNDDOWN(I309,0))*3)*(-3*$J309^3+3*$J309^2)+INDIRECT("C$"&amp;5+MIN(2,ROUNDDOWN(I309,0))*3)*$J309^3</f>
      </c>
      <c r="L309" s="7">
        <f>INDIRECT("D$"&amp;2+MIN(2,ROUNDDOWN(I309,0))*3)*(-$J309^3+3*$J309^2-3*$J309+1)+INDIRECT("D$"&amp;3+MIN(2,ROUNDDOWN(I309,0))*3)*(3*$J309^3-6*$J309^2+3*$J309)+INDIRECT("D$"&amp;4+MIN(2,ROUNDDOWN(I309,0))*3)*(-3*$J309^3+3*$J309^2)+INDIRECT("D$"&amp;5+MIN(2,ROUNDDOWN(I309,0))*3)*$J309^3</f>
      </c>
      <c r="M309" s="7">
        <f>SQRT(K309^2+L309^2)</f>
      </c>
      <c r="N309" s="7">
        <f>(K310-K308)</f>
      </c>
      <c r="O309" s="7">
        <f>+(L310-L308)</f>
      </c>
      <c r="P309" s="7">
        <f>SQRT(O309^2+N309^2)</f>
      </c>
      <c r="Q309" s="7">
        <f>N309/$P309</f>
      </c>
      <c r="R309" s="7">
        <f>O309/$P309</f>
      </c>
      <c r="S309" s="7">
        <f>Q309^2+R309^2</f>
      </c>
      <c r="T309" s="7">
        <f>-R309</f>
      </c>
      <c r="U309" s="7">
        <f>Q309</f>
      </c>
      <c r="V309" s="7">
        <f>($C$14+($C$15-$C$14)/($D$15-$D$14)*(I309-$D$14))/2</f>
      </c>
      <c r="W309" s="7">
        <f>($B$22*I309^4+$C$22*I309^3+$D$22*I309^2+$E$22*I309+$F$22)/2</f>
      </c>
      <c r="X309" s="7">
        <f>($W309)*(T309)</f>
      </c>
      <c r="Y309" s="7">
        <f>($W309)*(U309)</f>
      </c>
      <c r="Z309" s="7">
        <f>SQRT(X309^2+Y309^2)</f>
      </c>
      <c r="AA309" s="7">
        <f>$K309+$X309</f>
      </c>
      <c r="AB309" s="7">
        <f>$L309+$Y309</f>
      </c>
      <c r="AC309" s="7">
        <f>$K309-$X309</f>
      </c>
      <c r="AD309" s="7">
        <f>$L309-$Y309</f>
      </c>
      <c r="AE309" s="7">
        <f>AA309/39.3701</f>
      </c>
      <c r="AF309" s="7">
        <f>AB309/39.3701</f>
      </c>
      <c r="AG309" s="7">
        <f>AC309/39.3701</f>
      </c>
      <c r="AH309" s="7">
        <f>AD309/39.3701</f>
      </c>
      <c r="AI309" s="1"/>
      <c r="AJ309" s="1"/>
      <c r="AK309" s="1"/>
      <c r="AL309" s="1"/>
      <c r="AM309" s="2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</row>
    <row x14ac:dyDescent="0.25" r="310" customHeight="1" ht="18.75">
      <c r="A310" s="1"/>
      <c r="B310" s="2"/>
      <c r="C310" s="2"/>
      <c r="D310" s="2"/>
      <c r="E310" s="2"/>
      <c r="F310" s="2"/>
      <c r="G310" s="1"/>
      <c r="H310" s="1"/>
      <c r="I310" s="7">
        <v>0.307</v>
      </c>
      <c r="J310" s="7">
        <f>IF((I310-ROUNDDOWN(I310,0))=0, 0, (I310-ROUNDDOWN(I310,0)))</f>
      </c>
      <c r="K310" s="7">
        <f>INDIRECT("C$"&amp;2+MIN(2,ROUNDDOWN(I310,0))*3)*(-$J310^3+3*$J310^2-3*$J310+1)+INDIRECT("C$"&amp;3+MIN(2,ROUNDDOWN(I310,0))*3)*(3*$J310^3-6*$J310^2+3*$J310)+INDIRECT("C$"&amp;4+MIN(2,ROUNDDOWN(I310,0))*3)*(-3*$J310^3+3*$J310^2)+INDIRECT("C$"&amp;5+MIN(2,ROUNDDOWN(I310,0))*3)*$J310^3</f>
      </c>
      <c r="L310" s="7">
        <f>INDIRECT("D$"&amp;2+MIN(2,ROUNDDOWN(I310,0))*3)*(-$J310^3+3*$J310^2-3*$J310+1)+INDIRECT("D$"&amp;3+MIN(2,ROUNDDOWN(I310,0))*3)*(3*$J310^3-6*$J310^2+3*$J310)+INDIRECT("D$"&amp;4+MIN(2,ROUNDDOWN(I310,0))*3)*(-3*$J310^3+3*$J310^2)+INDIRECT("D$"&amp;5+MIN(2,ROUNDDOWN(I310,0))*3)*$J310^3</f>
      </c>
      <c r="M310" s="7">
        <f>SQRT(K310^2+L310^2)</f>
      </c>
      <c r="N310" s="7">
        <f>(K311-K309)</f>
      </c>
      <c r="O310" s="7">
        <f>+(L311-L309)</f>
      </c>
      <c r="P310" s="7">
        <f>SQRT(O310^2+N310^2)</f>
      </c>
      <c r="Q310" s="7">
        <f>N310/$P310</f>
      </c>
      <c r="R310" s="7">
        <f>O310/$P310</f>
      </c>
      <c r="S310" s="8">
        <f>Q310^2+R310^2</f>
      </c>
      <c r="T310" s="7">
        <f>-R310</f>
      </c>
      <c r="U310" s="7">
        <f>Q310</f>
      </c>
      <c r="V310" s="7">
        <f>($C$14+($C$15-$C$14)/($D$15-$D$14)*(I310-$D$14))/2</f>
      </c>
      <c r="W310" s="7">
        <f>($B$22*I310^4+$C$22*I310^3+$D$22*I310^2+$E$22*I310+$F$22)/2</f>
      </c>
      <c r="X310" s="7">
        <f>($W310)*(T310)</f>
      </c>
      <c r="Y310" s="7">
        <f>($W310)*(U310)</f>
      </c>
      <c r="Z310" s="7">
        <f>SQRT(X310^2+Y310^2)</f>
      </c>
      <c r="AA310" s="7">
        <f>$K310+$X310</f>
      </c>
      <c r="AB310" s="7">
        <f>$L310+$Y310</f>
      </c>
      <c r="AC310" s="7">
        <f>$K310-$X310</f>
      </c>
      <c r="AD310" s="7">
        <f>$L310-$Y310</f>
      </c>
      <c r="AE310" s="7">
        <f>AA310/39.3701</f>
      </c>
      <c r="AF310" s="7">
        <f>AB310/39.3701</f>
      </c>
      <c r="AG310" s="7">
        <f>AC310/39.3701</f>
      </c>
      <c r="AH310" s="7">
        <f>AD310/39.3701</f>
      </c>
      <c r="AI310" s="1"/>
      <c r="AJ310" s="1"/>
      <c r="AK310" s="1"/>
      <c r="AL310" s="1"/>
      <c r="AM310" s="2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</row>
    <row x14ac:dyDescent="0.25" r="311" customHeight="1" ht="18.75">
      <c r="A311" s="1"/>
      <c r="B311" s="2"/>
      <c r="C311" s="2"/>
      <c r="D311" s="2"/>
      <c r="E311" s="2"/>
      <c r="F311" s="2"/>
      <c r="G311" s="1"/>
      <c r="H311" s="1"/>
      <c r="I311" s="7">
        <v>0.308</v>
      </c>
      <c r="J311" s="7">
        <f>IF((I311-ROUNDDOWN(I311,0))=0, 0, (I311-ROUNDDOWN(I311,0)))</f>
      </c>
      <c r="K311" s="7">
        <f>INDIRECT("C$"&amp;2+MIN(2,ROUNDDOWN(I311,0))*3)*(-$J311^3+3*$J311^2-3*$J311+1)+INDIRECT("C$"&amp;3+MIN(2,ROUNDDOWN(I311,0))*3)*(3*$J311^3-6*$J311^2+3*$J311)+INDIRECT("C$"&amp;4+MIN(2,ROUNDDOWN(I311,0))*3)*(-3*$J311^3+3*$J311^2)+INDIRECT("C$"&amp;5+MIN(2,ROUNDDOWN(I311,0))*3)*$J311^3</f>
      </c>
      <c r="L311" s="7">
        <f>INDIRECT("D$"&amp;2+MIN(2,ROUNDDOWN(I311,0))*3)*(-$J311^3+3*$J311^2-3*$J311+1)+INDIRECT("D$"&amp;3+MIN(2,ROUNDDOWN(I311,0))*3)*(3*$J311^3-6*$J311^2+3*$J311)+INDIRECT("D$"&amp;4+MIN(2,ROUNDDOWN(I311,0))*3)*(-3*$J311^3+3*$J311^2)+INDIRECT("D$"&amp;5+MIN(2,ROUNDDOWN(I311,0))*3)*$J311^3</f>
      </c>
      <c r="M311" s="7">
        <f>SQRT(K311^2+L311^2)</f>
      </c>
      <c r="N311" s="7">
        <f>(K312-K310)</f>
      </c>
      <c r="O311" s="7">
        <f>+(L312-L310)</f>
      </c>
      <c r="P311" s="7">
        <f>SQRT(O311^2+N311^2)</f>
      </c>
      <c r="Q311" s="7">
        <f>N311/$P311</f>
      </c>
      <c r="R311" s="7">
        <f>O311/$P311</f>
      </c>
      <c r="S311" s="7">
        <f>Q311^2+R311^2</f>
      </c>
      <c r="T311" s="7">
        <f>-R311</f>
      </c>
      <c r="U311" s="7">
        <f>Q311</f>
      </c>
      <c r="V311" s="7">
        <f>($C$14+($C$15-$C$14)/($D$15-$D$14)*(I311-$D$14))/2</f>
      </c>
      <c r="W311" s="7">
        <f>($B$22*I311^4+$C$22*I311^3+$D$22*I311^2+$E$22*I311+$F$22)/2</f>
      </c>
      <c r="X311" s="7">
        <f>($W311)*(T311)</f>
      </c>
      <c r="Y311" s="7">
        <f>($W311)*(U311)</f>
      </c>
      <c r="Z311" s="7">
        <f>SQRT(X311^2+Y311^2)</f>
      </c>
      <c r="AA311" s="7">
        <f>$K311+$X311</f>
      </c>
      <c r="AB311" s="7">
        <f>$L311+$Y311</f>
      </c>
      <c r="AC311" s="7">
        <f>$K311-$X311</f>
      </c>
      <c r="AD311" s="7">
        <f>$L311-$Y311</f>
      </c>
      <c r="AE311" s="7">
        <f>AA311/39.3701</f>
      </c>
      <c r="AF311" s="7">
        <f>AB311/39.3701</f>
      </c>
      <c r="AG311" s="7">
        <f>AC311/39.3701</f>
      </c>
      <c r="AH311" s="7">
        <f>AD311/39.3701</f>
      </c>
      <c r="AI311" s="1"/>
      <c r="AJ311" s="1"/>
      <c r="AK311" s="1"/>
      <c r="AL311" s="1"/>
      <c r="AM311" s="2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</row>
    <row x14ac:dyDescent="0.25" r="312" customHeight="1" ht="18.75">
      <c r="A312" s="1"/>
      <c r="B312" s="2"/>
      <c r="C312" s="2"/>
      <c r="D312" s="2"/>
      <c r="E312" s="2"/>
      <c r="F312" s="2"/>
      <c r="G312" s="1"/>
      <c r="H312" s="1"/>
      <c r="I312" s="7">
        <v>0.309</v>
      </c>
      <c r="J312" s="7">
        <f>IF((I312-ROUNDDOWN(I312,0))=0, 0, (I312-ROUNDDOWN(I312,0)))</f>
      </c>
      <c r="K312" s="7">
        <f>INDIRECT("C$"&amp;2+MIN(2,ROUNDDOWN(I312,0))*3)*(-$J312^3+3*$J312^2-3*$J312+1)+INDIRECT("C$"&amp;3+MIN(2,ROUNDDOWN(I312,0))*3)*(3*$J312^3-6*$J312^2+3*$J312)+INDIRECT("C$"&amp;4+MIN(2,ROUNDDOWN(I312,0))*3)*(-3*$J312^3+3*$J312^2)+INDIRECT("C$"&amp;5+MIN(2,ROUNDDOWN(I312,0))*3)*$J312^3</f>
      </c>
      <c r="L312" s="7">
        <f>INDIRECT("D$"&amp;2+MIN(2,ROUNDDOWN(I312,0))*3)*(-$J312^3+3*$J312^2-3*$J312+1)+INDIRECT("D$"&amp;3+MIN(2,ROUNDDOWN(I312,0))*3)*(3*$J312^3-6*$J312^2+3*$J312)+INDIRECT("D$"&amp;4+MIN(2,ROUNDDOWN(I312,0))*3)*(-3*$J312^3+3*$J312^2)+INDIRECT("D$"&amp;5+MIN(2,ROUNDDOWN(I312,0))*3)*$J312^3</f>
      </c>
      <c r="M312" s="7">
        <f>SQRT(K312^2+L312^2)</f>
      </c>
      <c r="N312" s="7">
        <f>(K313-K311)</f>
      </c>
      <c r="O312" s="7">
        <f>+(L313-L311)</f>
      </c>
      <c r="P312" s="7">
        <f>SQRT(O312^2+N312^2)</f>
      </c>
      <c r="Q312" s="7">
        <f>N312/$P312</f>
      </c>
      <c r="R312" s="7">
        <f>O312/$P312</f>
      </c>
      <c r="S312" s="8">
        <f>Q312^2+R312^2</f>
      </c>
      <c r="T312" s="7">
        <f>-R312</f>
      </c>
      <c r="U312" s="7">
        <f>Q312</f>
      </c>
      <c r="V312" s="7">
        <f>($C$14+($C$15-$C$14)/($D$15-$D$14)*(I312-$D$14))/2</f>
      </c>
      <c r="W312" s="7">
        <f>($B$22*I312^4+$C$22*I312^3+$D$22*I312^2+$E$22*I312+$F$22)/2</f>
      </c>
      <c r="X312" s="7">
        <f>($W312)*(T312)</f>
      </c>
      <c r="Y312" s="7">
        <f>($W312)*(U312)</f>
      </c>
      <c r="Z312" s="7">
        <f>SQRT(X312^2+Y312^2)</f>
      </c>
      <c r="AA312" s="7">
        <f>$K312+$X312</f>
      </c>
      <c r="AB312" s="7">
        <f>$L312+$Y312</f>
      </c>
      <c r="AC312" s="7">
        <f>$K312-$X312</f>
      </c>
      <c r="AD312" s="7">
        <f>$L312-$Y312</f>
      </c>
      <c r="AE312" s="7">
        <f>AA312/39.3701</f>
      </c>
      <c r="AF312" s="7">
        <f>AB312/39.3701</f>
      </c>
      <c r="AG312" s="7">
        <f>AC312/39.3701</f>
      </c>
      <c r="AH312" s="7">
        <f>AD312/39.3701</f>
      </c>
      <c r="AI312" s="1"/>
      <c r="AJ312" s="1"/>
      <c r="AK312" s="1"/>
      <c r="AL312" s="1"/>
      <c r="AM312" s="2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</row>
    <row x14ac:dyDescent="0.25" r="313" customHeight="1" ht="18.75">
      <c r="A313" s="1"/>
      <c r="B313" s="2"/>
      <c r="C313" s="2"/>
      <c r="D313" s="2"/>
      <c r="E313" s="2"/>
      <c r="F313" s="2"/>
      <c r="G313" s="1"/>
      <c r="H313" s="1"/>
      <c r="I313" s="7">
        <v>0.31</v>
      </c>
      <c r="J313" s="7">
        <f>IF((I313-ROUNDDOWN(I313,0))=0, 0, (I313-ROUNDDOWN(I313,0)))</f>
      </c>
      <c r="K313" s="7">
        <f>INDIRECT("C$"&amp;2+MIN(2,ROUNDDOWN(I313,0))*3)*(-$J313^3+3*$J313^2-3*$J313+1)+INDIRECT("C$"&amp;3+MIN(2,ROUNDDOWN(I313,0))*3)*(3*$J313^3-6*$J313^2+3*$J313)+INDIRECT("C$"&amp;4+MIN(2,ROUNDDOWN(I313,0))*3)*(-3*$J313^3+3*$J313^2)+INDIRECT("C$"&amp;5+MIN(2,ROUNDDOWN(I313,0))*3)*$J313^3</f>
      </c>
      <c r="L313" s="7">
        <f>INDIRECT("D$"&amp;2+MIN(2,ROUNDDOWN(I313,0))*3)*(-$J313^3+3*$J313^2-3*$J313+1)+INDIRECT("D$"&amp;3+MIN(2,ROUNDDOWN(I313,0))*3)*(3*$J313^3-6*$J313^2+3*$J313)+INDIRECT("D$"&amp;4+MIN(2,ROUNDDOWN(I313,0))*3)*(-3*$J313^3+3*$J313^2)+INDIRECT("D$"&amp;5+MIN(2,ROUNDDOWN(I313,0))*3)*$J313^3</f>
      </c>
      <c r="M313" s="7">
        <f>SQRT(K313^2+L313^2)</f>
      </c>
      <c r="N313" s="7">
        <f>(K314-K312)</f>
      </c>
      <c r="O313" s="7">
        <f>+(L314-L312)</f>
      </c>
      <c r="P313" s="7">
        <f>SQRT(O313^2+N313^2)</f>
      </c>
      <c r="Q313" s="7">
        <f>N313/$P313</f>
      </c>
      <c r="R313" s="7">
        <f>O313/$P313</f>
      </c>
      <c r="S313" s="8">
        <f>Q313^2+R313^2</f>
      </c>
      <c r="T313" s="7">
        <f>-R313</f>
      </c>
      <c r="U313" s="7">
        <f>Q313</f>
      </c>
      <c r="V313" s="7">
        <f>($C$14+($C$15-$C$14)/($D$15-$D$14)*(I313-$D$14))/2</f>
      </c>
      <c r="W313" s="7">
        <f>($B$22*I313^4+$C$22*I313^3+$D$22*I313^2+$E$22*I313+$F$22)/2</f>
      </c>
      <c r="X313" s="7">
        <f>($W313)*(T313)</f>
      </c>
      <c r="Y313" s="7">
        <f>($W313)*(U313)</f>
      </c>
      <c r="Z313" s="7">
        <f>SQRT(X313^2+Y313^2)</f>
      </c>
      <c r="AA313" s="7">
        <f>$K313+$X313</f>
      </c>
      <c r="AB313" s="7">
        <f>$L313+$Y313</f>
      </c>
      <c r="AC313" s="7">
        <f>$K313-$X313</f>
      </c>
      <c r="AD313" s="7">
        <f>$L313-$Y313</f>
      </c>
      <c r="AE313" s="7">
        <f>AA313/39.3701</f>
      </c>
      <c r="AF313" s="7">
        <f>AB313/39.3701</f>
      </c>
      <c r="AG313" s="7">
        <f>AC313/39.3701</f>
      </c>
      <c r="AH313" s="7">
        <f>AD313/39.3701</f>
      </c>
      <c r="AI313" s="1"/>
      <c r="AJ313" s="1"/>
      <c r="AK313" s="1"/>
      <c r="AL313" s="1"/>
      <c r="AM313" s="2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</row>
    <row x14ac:dyDescent="0.25" r="314" customHeight="1" ht="18.75">
      <c r="A314" s="1"/>
      <c r="B314" s="2"/>
      <c r="C314" s="2"/>
      <c r="D314" s="2"/>
      <c r="E314" s="2"/>
      <c r="F314" s="2"/>
      <c r="G314" s="1"/>
      <c r="H314" s="1"/>
      <c r="I314" s="7">
        <v>0.311</v>
      </c>
      <c r="J314" s="7">
        <f>IF((I314-ROUNDDOWN(I314,0))=0, 0, (I314-ROUNDDOWN(I314,0)))</f>
      </c>
      <c r="K314" s="7">
        <f>INDIRECT("C$"&amp;2+MIN(2,ROUNDDOWN(I314,0))*3)*(-$J314^3+3*$J314^2-3*$J314+1)+INDIRECT("C$"&amp;3+MIN(2,ROUNDDOWN(I314,0))*3)*(3*$J314^3-6*$J314^2+3*$J314)+INDIRECT("C$"&amp;4+MIN(2,ROUNDDOWN(I314,0))*3)*(-3*$J314^3+3*$J314^2)+INDIRECT("C$"&amp;5+MIN(2,ROUNDDOWN(I314,0))*3)*$J314^3</f>
      </c>
      <c r="L314" s="7">
        <f>INDIRECT("D$"&amp;2+MIN(2,ROUNDDOWN(I314,0))*3)*(-$J314^3+3*$J314^2-3*$J314+1)+INDIRECT("D$"&amp;3+MIN(2,ROUNDDOWN(I314,0))*3)*(3*$J314^3-6*$J314^2+3*$J314)+INDIRECT("D$"&amp;4+MIN(2,ROUNDDOWN(I314,0))*3)*(-3*$J314^3+3*$J314^2)+INDIRECT("D$"&amp;5+MIN(2,ROUNDDOWN(I314,0))*3)*$J314^3</f>
      </c>
      <c r="M314" s="7">
        <f>SQRT(K314^2+L314^2)</f>
      </c>
      <c r="N314" s="7">
        <f>(K315-K313)</f>
      </c>
      <c r="O314" s="7">
        <f>+(L315-L313)</f>
      </c>
      <c r="P314" s="7">
        <f>SQRT(O314^2+N314^2)</f>
      </c>
      <c r="Q314" s="7">
        <f>N314/$P314</f>
      </c>
      <c r="R314" s="7">
        <f>O314/$P314</f>
      </c>
      <c r="S314" s="8">
        <f>Q314^2+R314^2</f>
      </c>
      <c r="T314" s="7">
        <f>-R314</f>
      </c>
      <c r="U314" s="7">
        <f>Q314</f>
      </c>
      <c r="V314" s="7">
        <f>($C$14+($C$15-$C$14)/($D$15-$D$14)*(I314-$D$14))/2</f>
      </c>
      <c r="W314" s="7">
        <f>($B$22*I314^4+$C$22*I314^3+$D$22*I314^2+$E$22*I314+$F$22)/2</f>
      </c>
      <c r="X314" s="7">
        <f>($W314)*(T314)</f>
      </c>
      <c r="Y314" s="7">
        <f>($W314)*(U314)</f>
      </c>
      <c r="Z314" s="7">
        <f>SQRT(X314^2+Y314^2)</f>
      </c>
      <c r="AA314" s="7">
        <f>$K314+$X314</f>
      </c>
      <c r="AB314" s="7">
        <f>$L314+$Y314</f>
      </c>
      <c r="AC314" s="7">
        <f>$K314-$X314</f>
      </c>
      <c r="AD314" s="7">
        <f>$L314-$Y314</f>
      </c>
      <c r="AE314" s="7">
        <f>AA314/39.3701</f>
      </c>
      <c r="AF314" s="7">
        <f>AB314/39.3701</f>
      </c>
      <c r="AG314" s="7">
        <f>AC314/39.3701</f>
      </c>
      <c r="AH314" s="7">
        <f>AD314/39.3701</f>
      </c>
      <c r="AI314" s="1"/>
      <c r="AJ314" s="1"/>
      <c r="AK314" s="1"/>
      <c r="AL314" s="1"/>
      <c r="AM314" s="2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</row>
    <row x14ac:dyDescent="0.25" r="315" customHeight="1" ht="18.75">
      <c r="A315" s="1"/>
      <c r="B315" s="2"/>
      <c r="C315" s="2"/>
      <c r="D315" s="2"/>
      <c r="E315" s="2"/>
      <c r="F315" s="2"/>
      <c r="G315" s="1"/>
      <c r="H315" s="1"/>
      <c r="I315" s="7">
        <v>0.312</v>
      </c>
      <c r="J315" s="7">
        <f>IF((I315-ROUNDDOWN(I315,0))=0, 0, (I315-ROUNDDOWN(I315,0)))</f>
      </c>
      <c r="K315" s="7">
        <f>INDIRECT("C$"&amp;2+MIN(2,ROUNDDOWN(I315,0))*3)*(-$J315^3+3*$J315^2-3*$J315+1)+INDIRECT("C$"&amp;3+MIN(2,ROUNDDOWN(I315,0))*3)*(3*$J315^3-6*$J315^2+3*$J315)+INDIRECT("C$"&amp;4+MIN(2,ROUNDDOWN(I315,0))*3)*(-3*$J315^3+3*$J315^2)+INDIRECT("C$"&amp;5+MIN(2,ROUNDDOWN(I315,0))*3)*$J315^3</f>
      </c>
      <c r="L315" s="7">
        <f>INDIRECT("D$"&amp;2+MIN(2,ROUNDDOWN(I315,0))*3)*(-$J315^3+3*$J315^2-3*$J315+1)+INDIRECT("D$"&amp;3+MIN(2,ROUNDDOWN(I315,0))*3)*(3*$J315^3-6*$J315^2+3*$J315)+INDIRECT("D$"&amp;4+MIN(2,ROUNDDOWN(I315,0))*3)*(-3*$J315^3+3*$J315^2)+INDIRECT("D$"&amp;5+MIN(2,ROUNDDOWN(I315,0))*3)*$J315^3</f>
      </c>
      <c r="M315" s="7">
        <f>SQRT(K315^2+L315^2)</f>
      </c>
      <c r="N315" s="7">
        <f>(K316-K314)</f>
      </c>
      <c r="O315" s="7">
        <f>+(L316-L314)</f>
      </c>
      <c r="P315" s="7">
        <f>SQRT(O315^2+N315^2)</f>
      </c>
      <c r="Q315" s="7">
        <f>N315/$P315</f>
      </c>
      <c r="R315" s="7">
        <f>O315/$P315</f>
      </c>
      <c r="S315" s="8">
        <f>Q315^2+R315^2</f>
      </c>
      <c r="T315" s="7">
        <f>-R315</f>
      </c>
      <c r="U315" s="7">
        <f>Q315</f>
      </c>
      <c r="V315" s="7">
        <f>($C$14+($C$15-$C$14)/($D$15-$D$14)*(I315-$D$14))/2</f>
      </c>
      <c r="W315" s="7">
        <f>($B$22*I315^4+$C$22*I315^3+$D$22*I315^2+$E$22*I315+$F$22)/2</f>
      </c>
      <c r="X315" s="7">
        <f>($W315)*(T315)</f>
      </c>
      <c r="Y315" s="7">
        <f>($W315)*(U315)</f>
      </c>
      <c r="Z315" s="7">
        <f>SQRT(X315^2+Y315^2)</f>
      </c>
      <c r="AA315" s="7">
        <f>$K315+$X315</f>
      </c>
      <c r="AB315" s="7">
        <f>$L315+$Y315</f>
      </c>
      <c r="AC315" s="7">
        <f>$K315-$X315</f>
      </c>
      <c r="AD315" s="7">
        <f>$L315-$Y315</f>
      </c>
      <c r="AE315" s="7">
        <f>AA315/39.3701</f>
      </c>
      <c r="AF315" s="7">
        <f>AB315/39.3701</f>
      </c>
      <c r="AG315" s="7">
        <f>AC315/39.3701</f>
      </c>
      <c r="AH315" s="7">
        <f>AD315/39.3701</f>
      </c>
      <c r="AI315" s="1"/>
      <c r="AJ315" s="1"/>
      <c r="AK315" s="1"/>
      <c r="AL315" s="1"/>
      <c r="AM315" s="2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</row>
    <row x14ac:dyDescent="0.25" r="316" customHeight="1" ht="18.75">
      <c r="A316" s="1"/>
      <c r="B316" s="2"/>
      <c r="C316" s="2"/>
      <c r="D316" s="2"/>
      <c r="E316" s="2"/>
      <c r="F316" s="2"/>
      <c r="G316" s="1"/>
      <c r="H316" s="1"/>
      <c r="I316" s="7">
        <v>0.313</v>
      </c>
      <c r="J316" s="7">
        <f>IF((I316-ROUNDDOWN(I316,0))=0, 0, (I316-ROUNDDOWN(I316,0)))</f>
      </c>
      <c r="K316" s="7">
        <f>INDIRECT("C$"&amp;2+MIN(2,ROUNDDOWN(I316,0))*3)*(-$J316^3+3*$J316^2-3*$J316+1)+INDIRECT("C$"&amp;3+MIN(2,ROUNDDOWN(I316,0))*3)*(3*$J316^3-6*$J316^2+3*$J316)+INDIRECT("C$"&amp;4+MIN(2,ROUNDDOWN(I316,0))*3)*(-3*$J316^3+3*$J316^2)+INDIRECT("C$"&amp;5+MIN(2,ROUNDDOWN(I316,0))*3)*$J316^3</f>
      </c>
      <c r="L316" s="7">
        <f>INDIRECT("D$"&amp;2+MIN(2,ROUNDDOWN(I316,0))*3)*(-$J316^3+3*$J316^2-3*$J316+1)+INDIRECT("D$"&amp;3+MIN(2,ROUNDDOWN(I316,0))*3)*(3*$J316^3-6*$J316^2+3*$J316)+INDIRECT("D$"&amp;4+MIN(2,ROUNDDOWN(I316,0))*3)*(-3*$J316^3+3*$J316^2)+INDIRECT("D$"&amp;5+MIN(2,ROUNDDOWN(I316,0))*3)*$J316^3</f>
      </c>
      <c r="M316" s="7">
        <f>SQRT(K316^2+L316^2)</f>
      </c>
      <c r="N316" s="7">
        <f>(K317-K315)</f>
      </c>
      <c r="O316" s="7">
        <f>+(L317-L315)</f>
      </c>
      <c r="P316" s="7">
        <f>SQRT(O316^2+N316^2)</f>
      </c>
      <c r="Q316" s="7">
        <f>N316/$P316</f>
      </c>
      <c r="R316" s="7">
        <f>O316/$P316</f>
      </c>
      <c r="S316" s="8">
        <f>Q316^2+R316^2</f>
      </c>
      <c r="T316" s="7">
        <f>-R316</f>
      </c>
      <c r="U316" s="7">
        <f>Q316</f>
      </c>
      <c r="V316" s="7">
        <f>($C$14+($C$15-$C$14)/($D$15-$D$14)*(I316-$D$14))/2</f>
      </c>
      <c r="W316" s="7">
        <f>($B$22*I316^4+$C$22*I316^3+$D$22*I316^2+$E$22*I316+$F$22)/2</f>
      </c>
      <c r="X316" s="7">
        <f>($W316)*(T316)</f>
      </c>
      <c r="Y316" s="7">
        <f>($W316)*(U316)</f>
      </c>
      <c r="Z316" s="7">
        <f>SQRT(X316^2+Y316^2)</f>
      </c>
      <c r="AA316" s="7">
        <f>$K316+$X316</f>
      </c>
      <c r="AB316" s="7">
        <f>$L316+$Y316</f>
      </c>
      <c r="AC316" s="7">
        <f>$K316-$X316</f>
      </c>
      <c r="AD316" s="7">
        <f>$L316-$Y316</f>
      </c>
      <c r="AE316" s="7">
        <f>AA316/39.3701</f>
      </c>
      <c r="AF316" s="7">
        <f>AB316/39.3701</f>
      </c>
      <c r="AG316" s="7">
        <f>AC316/39.3701</f>
      </c>
      <c r="AH316" s="7">
        <f>AD316/39.3701</f>
      </c>
      <c r="AI316" s="1"/>
      <c r="AJ316" s="1"/>
      <c r="AK316" s="1"/>
      <c r="AL316" s="1"/>
      <c r="AM316" s="2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</row>
    <row x14ac:dyDescent="0.25" r="317" customHeight="1" ht="18.75">
      <c r="A317" s="1"/>
      <c r="B317" s="2"/>
      <c r="C317" s="2"/>
      <c r="D317" s="2"/>
      <c r="E317" s="2"/>
      <c r="F317" s="2"/>
      <c r="G317" s="1"/>
      <c r="H317" s="1"/>
      <c r="I317" s="7">
        <v>0.314</v>
      </c>
      <c r="J317" s="7">
        <f>IF((I317-ROUNDDOWN(I317,0))=0, 0, (I317-ROUNDDOWN(I317,0)))</f>
      </c>
      <c r="K317" s="7">
        <f>INDIRECT("C$"&amp;2+MIN(2,ROUNDDOWN(I317,0))*3)*(-$J317^3+3*$J317^2-3*$J317+1)+INDIRECT("C$"&amp;3+MIN(2,ROUNDDOWN(I317,0))*3)*(3*$J317^3-6*$J317^2+3*$J317)+INDIRECT("C$"&amp;4+MIN(2,ROUNDDOWN(I317,0))*3)*(-3*$J317^3+3*$J317^2)+INDIRECT("C$"&amp;5+MIN(2,ROUNDDOWN(I317,0))*3)*$J317^3</f>
      </c>
      <c r="L317" s="7">
        <f>INDIRECT("D$"&amp;2+MIN(2,ROUNDDOWN(I317,0))*3)*(-$J317^3+3*$J317^2-3*$J317+1)+INDIRECT("D$"&amp;3+MIN(2,ROUNDDOWN(I317,0))*3)*(3*$J317^3-6*$J317^2+3*$J317)+INDIRECT("D$"&amp;4+MIN(2,ROUNDDOWN(I317,0))*3)*(-3*$J317^3+3*$J317^2)+INDIRECT("D$"&amp;5+MIN(2,ROUNDDOWN(I317,0))*3)*$J317^3</f>
      </c>
      <c r="M317" s="7">
        <f>SQRT(K317^2+L317^2)</f>
      </c>
      <c r="N317" s="7">
        <f>(K318-K316)</f>
      </c>
      <c r="O317" s="7">
        <f>+(L318-L316)</f>
      </c>
      <c r="P317" s="7">
        <f>SQRT(O317^2+N317^2)</f>
      </c>
      <c r="Q317" s="7">
        <f>N317/$P317</f>
      </c>
      <c r="R317" s="7">
        <f>O317/$P317</f>
      </c>
      <c r="S317" s="8">
        <f>Q317^2+R317^2</f>
      </c>
      <c r="T317" s="7">
        <f>-R317</f>
      </c>
      <c r="U317" s="7">
        <f>Q317</f>
      </c>
      <c r="V317" s="7">
        <f>($C$14+($C$15-$C$14)/($D$15-$D$14)*(I317-$D$14))/2</f>
      </c>
      <c r="W317" s="7">
        <f>($B$22*I317^4+$C$22*I317^3+$D$22*I317^2+$E$22*I317+$F$22)/2</f>
      </c>
      <c r="X317" s="7">
        <f>($W317)*(T317)</f>
      </c>
      <c r="Y317" s="7">
        <f>($W317)*(U317)</f>
      </c>
      <c r="Z317" s="7">
        <f>SQRT(X317^2+Y317^2)</f>
      </c>
      <c r="AA317" s="7">
        <f>$K317+$X317</f>
      </c>
      <c r="AB317" s="7">
        <f>$L317+$Y317</f>
      </c>
      <c r="AC317" s="7">
        <f>$K317-$X317</f>
      </c>
      <c r="AD317" s="7">
        <f>$L317-$Y317</f>
      </c>
      <c r="AE317" s="7">
        <f>AA317/39.3701</f>
      </c>
      <c r="AF317" s="7">
        <f>AB317/39.3701</f>
      </c>
      <c r="AG317" s="7">
        <f>AC317/39.3701</f>
      </c>
      <c r="AH317" s="7">
        <f>AD317/39.3701</f>
      </c>
      <c r="AI317" s="1"/>
      <c r="AJ317" s="1"/>
      <c r="AK317" s="1"/>
      <c r="AL317" s="1"/>
      <c r="AM317" s="2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</row>
    <row x14ac:dyDescent="0.25" r="318" customHeight="1" ht="18.75">
      <c r="A318" s="1"/>
      <c r="B318" s="2"/>
      <c r="C318" s="2"/>
      <c r="D318" s="2"/>
      <c r="E318" s="2"/>
      <c r="F318" s="2"/>
      <c r="G318" s="1"/>
      <c r="H318" s="1"/>
      <c r="I318" s="7">
        <v>0.315</v>
      </c>
      <c r="J318" s="7">
        <f>IF((I318-ROUNDDOWN(I318,0))=0, 0, (I318-ROUNDDOWN(I318,0)))</f>
      </c>
      <c r="K318" s="7">
        <f>INDIRECT("C$"&amp;2+MIN(2,ROUNDDOWN(I318,0))*3)*(-$J318^3+3*$J318^2-3*$J318+1)+INDIRECT("C$"&amp;3+MIN(2,ROUNDDOWN(I318,0))*3)*(3*$J318^3-6*$J318^2+3*$J318)+INDIRECT("C$"&amp;4+MIN(2,ROUNDDOWN(I318,0))*3)*(-3*$J318^3+3*$J318^2)+INDIRECT("C$"&amp;5+MIN(2,ROUNDDOWN(I318,0))*3)*$J318^3</f>
      </c>
      <c r="L318" s="7">
        <f>INDIRECT("D$"&amp;2+MIN(2,ROUNDDOWN(I318,0))*3)*(-$J318^3+3*$J318^2-3*$J318+1)+INDIRECT("D$"&amp;3+MIN(2,ROUNDDOWN(I318,0))*3)*(3*$J318^3-6*$J318^2+3*$J318)+INDIRECT("D$"&amp;4+MIN(2,ROUNDDOWN(I318,0))*3)*(-3*$J318^3+3*$J318^2)+INDIRECT("D$"&amp;5+MIN(2,ROUNDDOWN(I318,0))*3)*$J318^3</f>
      </c>
      <c r="M318" s="7">
        <f>SQRT(K318^2+L318^2)</f>
      </c>
      <c r="N318" s="7">
        <f>(K319-K317)</f>
      </c>
      <c r="O318" s="7">
        <f>+(L319-L317)</f>
      </c>
      <c r="P318" s="7">
        <f>SQRT(O318^2+N318^2)</f>
      </c>
      <c r="Q318" s="7">
        <f>N318/$P318</f>
      </c>
      <c r="R318" s="7">
        <f>O318/$P318</f>
      </c>
      <c r="S318" s="8">
        <f>Q318^2+R318^2</f>
      </c>
      <c r="T318" s="7">
        <f>-R318</f>
      </c>
      <c r="U318" s="7">
        <f>Q318</f>
      </c>
      <c r="V318" s="7">
        <f>($C$14+($C$15-$C$14)/($D$15-$D$14)*(I318-$D$14))/2</f>
      </c>
      <c r="W318" s="7">
        <f>($B$22*I318^4+$C$22*I318^3+$D$22*I318^2+$E$22*I318+$F$22)/2</f>
      </c>
      <c r="X318" s="7">
        <f>($W318)*(T318)</f>
      </c>
      <c r="Y318" s="7">
        <f>($W318)*(U318)</f>
      </c>
      <c r="Z318" s="7">
        <f>SQRT(X318^2+Y318^2)</f>
      </c>
      <c r="AA318" s="7">
        <f>$K318+$X318</f>
      </c>
      <c r="AB318" s="7">
        <f>$L318+$Y318</f>
      </c>
      <c r="AC318" s="7">
        <f>$K318-$X318</f>
      </c>
      <c r="AD318" s="7">
        <f>$L318-$Y318</f>
      </c>
      <c r="AE318" s="7">
        <f>AA318/39.3701</f>
      </c>
      <c r="AF318" s="7">
        <f>AB318/39.3701</f>
      </c>
      <c r="AG318" s="7">
        <f>AC318/39.3701</f>
      </c>
      <c r="AH318" s="7">
        <f>AD318/39.3701</f>
      </c>
      <c r="AI318" s="1"/>
      <c r="AJ318" s="1"/>
      <c r="AK318" s="1"/>
      <c r="AL318" s="1"/>
      <c r="AM318" s="2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</row>
    <row x14ac:dyDescent="0.25" r="319" customHeight="1" ht="18.75">
      <c r="A319" s="1"/>
      <c r="B319" s="2"/>
      <c r="C319" s="2"/>
      <c r="D319" s="2"/>
      <c r="E319" s="2"/>
      <c r="F319" s="2"/>
      <c r="G319" s="1"/>
      <c r="H319" s="1"/>
      <c r="I319" s="7">
        <v>0.316</v>
      </c>
      <c r="J319" s="7">
        <f>IF((I319-ROUNDDOWN(I319,0))=0, 0, (I319-ROUNDDOWN(I319,0)))</f>
      </c>
      <c r="K319" s="7">
        <f>INDIRECT("C$"&amp;2+MIN(2,ROUNDDOWN(I319,0))*3)*(-$J319^3+3*$J319^2-3*$J319+1)+INDIRECT("C$"&amp;3+MIN(2,ROUNDDOWN(I319,0))*3)*(3*$J319^3-6*$J319^2+3*$J319)+INDIRECT("C$"&amp;4+MIN(2,ROUNDDOWN(I319,0))*3)*(-3*$J319^3+3*$J319^2)+INDIRECT("C$"&amp;5+MIN(2,ROUNDDOWN(I319,0))*3)*$J319^3</f>
      </c>
      <c r="L319" s="7">
        <f>INDIRECT("D$"&amp;2+MIN(2,ROUNDDOWN(I319,0))*3)*(-$J319^3+3*$J319^2-3*$J319+1)+INDIRECT("D$"&amp;3+MIN(2,ROUNDDOWN(I319,0))*3)*(3*$J319^3-6*$J319^2+3*$J319)+INDIRECT("D$"&amp;4+MIN(2,ROUNDDOWN(I319,0))*3)*(-3*$J319^3+3*$J319^2)+INDIRECT("D$"&amp;5+MIN(2,ROUNDDOWN(I319,0))*3)*$J319^3</f>
      </c>
      <c r="M319" s="7">
        <f>SQRT(K319^2+L319^2)</f>
      </c>
      <c r="N319" s="7">
        <f>(K320-K318)</f>
      </c>
      <c r="O319" s="7">
        <f>+(L320-L318)</f>
      </c>
      <c r="P319" s="7">
        <f>SQRT(O319^2+N319^2)</f>
      </c>
      <c r="Q319" s="7">
        <f>N319/$P319</f>
      </c>
      <c r="R319" s="7">
        <f>O319/$P319</f>
      </c>
      <c r="S319" s="8">
        <f>Q319^2+R319^2</f>
      </c>
      <c r="T319" s="7">
        <f>-R319</f>
      </c>
      <c r="U319" s="7">
        <f>Q319</f>
      </c>
      <c r="V319" s="7">
        <f>($C$14+($C$15-$C$14)/($D$15-$D$14)*(I319-$D$14))/2</f>
      </c>
      <c r="W319" s="7">
        <f>($B$22*I319^4+$C$22*I319^3+$D$22*I319^2+$E$22*I319+$F$22)/2</f>
      </c>
      <c r="X319" s="7">
        <f>($W319)*(T319)</f>
      </c>
      <c r="Y319" s="7">
        <f>($W319)*(U319)</f>
      </c>
      <c r="Z319" s="7">
        <f>SQRT(X319^2+Y319^2)</f>
      </c>
      <c r="AA319" s="7">
        <f>$K319+$X319</f>
      </c>
      <c r="AB319" s="7">
        <f>$L319+$Y319</f>
      </c>
      <c r="AC319" s="7">
        <f>$K319-$X319</f>
      </c>
      <c r="AD319" s="7">
        <f>$L319-$Y319</f>
      </c>
      <c r="AE319" s="7">
        <f>AA319/39.3701</f>
      </c>
      <c r="AF319" s="7">
        <f>AB319/39.3701</f>
      </c>
      <c r="AG319" s="7">
        <f>AC319/39.3701</f>
      </c>
      <c r="AH319" s="7">
        <f>AD319/39.3701</f>
      </c>
      <c r="AI319" s="1"/>
      <c r="AJ319" s="1"/>
      <c r="AK319" s="1"/>
      <c r="AL319" s="1"/>
      <c r="AM319" s="2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</row>
    <row x14ac:dyDescent="0.25" r="320" customHeight="1" ht="18.75">
      <c r="A320" s="1"/>
      <c r="B320" s="2"/>
      <c r="C320" s="2"/>
      <c r="D320" s="2"/>
      <c r="E320" s="2"/>
      <c r="F320" s="2"/>
      <c r="G320" s="1"/>
      <c r="H320" s="1"/>
      <c r="I320" s="7">
        <v>0.317</v>
      </c>
      <c r="J320" s="7">
        <f>IF((I320-ROUNDDOWN(I320,0))=0, 0, (I320-ROUNDDOWN(I320,0)))</f>
      </c>
      <c r="K320" s="7">
        <f>INDIRECT("C$"&amp;2+MIN(2,ROUNDDOWN(I320,0))*3)*(-$J320^3+3*$J320^2-3*$J320+1)+INDIRECT("C$"&amp;3+MIN(2,ROUNDDOWN(I320,0))*3)*(3*$J320^3-6*$J320^2+3*$J320)+INDIRECT("C$"&amp;4+MIN(2,ROUNDDOWN(I320,0))*3)*(-3*$J320^3+3*$J320^2)+INDIRECT("C$"&amp;5+MIN(2,ROUNDDOWN(I320,0))*3)*$J320^3</f>
      </c>
      <c r="L320" s="7">
        <f>INDIRECT("D$"&amp;2+MIN(2,ROUNDDOWN(I320,0))*3)*(-$J320^3+3*$J320^2-3*$J320+1)+INDIRECT("D$"&amp;3+MIN(2,ROUNDDOWN(I320,0))*3)*(3*$J320^3-6*$J320^2+3*$J320)+INDIRECT("D$"&amp;4+MIN(2,ROUNDDOWN(I320,0))*3)*(-3*$J320^3+3*$J320^2)+INDIRECT("D$"&amp;5+MIN(2,ROUNDDOWN(I320,0))*3)*$J320^3</f>
      </c>
      <c r="M320" s="7">
        <f>SQRT(K320^2+L320^2)</f>
      </c>
      <c r="N320" s="7">
        <f>(K321-K319)</f>
      </c>
      <c r="O320" s="7">
        <f>+(L321-L319)</f>
      </c>
      <c r="P320" s="7">
        <f>SQRT(O320^2+N320^2)</f>
      </c>
      <c r="Q320" s="7">
        <f>N320/$P320</f>
      </c>
      <c r="R320" s="7">
        <f>O320/$P320</f>
      </c>
      <c r="S320" s="8">
        <f>Q320^2+R320^2</f>
      </c>
      <c r="T320" s="7">
        <f>-R320</f>
      </c>
      <c r="U320" s="7">
        <f>Q320</f>
      </c>
      <c r="V320" s="7">
        <f>($C$14+($C$15-$C$14)/($D$15-$D$14)*(I320-$D$14))/2</f>
      </c>
      <c r="W320" s="7">
        <f>($B$22*I320^4+$C$22*I320^3+$D$22*I320^2+$E$22*I320+$F$22)/2</f>
      </c>
      <c r="X320" s="7">
        <f>($W320)*(T320)</f>
      </c>
      <c r="Y320" s="7">
        <f>($W320)*(U320)</f>
      </c>
      <c r="Z320" s="7">
        <f>SQRT(X320^2+Y320^2)</f>
      </c>
      <c r="AA320" s="7">
        <f>$K320+$X320</f>
      </c>
      <c r="AB320" s="7">
        <f>$L320+$Y320</f>
      </c>
      <c r="AC320" s="7">
        <f>$K320-$X320</f>
      </c>
      <c r="AD320" s="7">
        <f>$L320-$Y320</f>
      </c>
      <c r="AE320" s="7">
        <f>AA320/39.3701</f>
      </c>
      <c r="AF320" s="7">
        <f>AB320/39.3701</f>
      </c>
      <c r="AG320" s="7">
        <f>AC320/39.3701</f>
      </c>
      <c r="AH320" s="7">
        <f>AD320/39.3701</f>
      </c>
      <c r="AI320" s="1"/>
      <c r="AJ320" s="1"/>
      <c r="AK320" s="1"/>
      <c r="AL320" s="1"/>
      <c r="AM320" s="2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</row>
    <row x14ac:dyDescent="0.25" r="321" customHeight="1" ht="18.75">
      <c r="A321" s="1"/>
      <c r="B321" s="2"/>
      <c r="C321" s="2"/>
      <c r="D321" s="2"/>
      <c r="E321" s="2"/>
      <c r="F321" s="2"/>
      <c r="G321" s="1"/>
      <c r="H321" s="1"/>
      <c r="I321" s="7">
        <v>0.318</v>
      </c>
      <c r="J321" s="7">
        <f>IF((I321-ROUNDDOWN(I321,0))=0, 0, (I321-ROUNDDOWN(I321,0)))</f>
      </c>
      <c r="K321" s="7">
        <f>INDIRECT("C$"&amp;2+MIN(2,ROUNDDOWN(I321,0))*3)*(-$J321^3+3*$J321^2-3*$J321+1)+INDIRECT("C$"&amp;3+MIN(2,ROUNDDOWN(I321,0))*3)*(3*$J321^3-6*$J321^2+3*$J321)+INDIRECT("C$"&amp;4+MIN(2,ROUNDDOWN(I321,0))*3)*(-3*$J321^3+3*$J321^2)+INDIRECT("C$"&amp;5+MIN(2,ROUNDDOWN(I321,0))*3)*$J321^3</f>
      </c>
      <c r="L321" s="7">
        <f>INDIRECT("D$"&amp;2+MIN(2,ROUNDDOWN(I321,0))*3)*(-$J321^3+3*$J321^2-3*$J321+1)+INDIRECT("D$"&amp;3+MIN(2,ROUNDDOWN(I321,0))*3)*(3*$J321^3-6*$J321^2+3*$J321)+INDIRECT("D$"&amp;4+MIN(2,ROUNDDOWN(I321,0))*3)*(-3*$J321^3+3*$J321^2)+INDIRECT("D$"&amp;5+MIN(2,ROUNDDOWN(I321,0))*3)*$J321^3</f>
      </c>
      <c r="M321" s="7">
        <f>SQRT(K321^2+L321^2)</f>
      </c>
      <c r="N321" s="7">
        <f>(K322-K320)</f>
      </c>
      <c r="O321" s="7">
        <f>+(L322-L320)</f>
      </c>
      <c r="P321" s="7">
        <f>SQRT(O321^2+N321^2)</f>
      </c>
      <c r="Q321" s="7">
        <f>N321/$P321</f>
      </c>
      <c r="R321" s="7">
        <f>O321/$P321</f>
      </c>
      <c r="S321" s="8">
        <f>Q321^2+R321^2</f>
      </c>
      <c r="T321" s="7">
        <f>-R321</f>
      </c>
      <c r="U321" s="7">
        <f>Q321</f>
      </c>
      <c r="V321" s="7">
        <f>($C$14+($C$15-$C$14)/($D$15-$D$14)*(I321-$D$14))/2</f>
      </c>
      <c r="W321" s="7">
        <f>($B$22*I321^4+$C$22*I321^3+$D$22*I321^2+$E$22*I321+$F$22)/2</f>
      </c>
      <c r="X321" s="7">
        <f>($W321)*(T321)</f>
      </c>
      <c r="Y321" s="7">
        <f>($W321)*(U321)</f>
      </c>
      <c r="Z321" s="7">
        <f>SQRT(X321^2+Y321^2)</f>
      </c>
      <c r="AA321" s="7">
        <f>$K321+$X321</f>
      </c>
      <c r="AB321" s="7">
        <f>$L321+$Y321</f>
      </c>
      <c r="AC321" s="7">
        <f>$K321-$X321</f>
      </c>
      <c r="AD321" s="7">
        <f>$L321-$Y321</f>
      </c>
      <c r="AE321" s="7">
        <f>AA321/39.3701</f>
      </c>
      <c r="AF321" s="7">
        <f>AB321/39.3701</f>
      </c>
      <c r="AG321" s="7">
        <f>AC321/39.3701</f>
      </c>
      <c r="AH321" s="7">
        <f>AD321/39.3701</f>
      </c>
      <c r="AI321" s="1"/>
      <c r="AJ321" s="1"/>
      <c r="AK321" s="1"/>
      <c r="AL321" s="1"/>
      <c r="AM321" s="2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</row>
    <row x14ac:dyDescent="0.25" r="322" customHeight="1" ht="18.75">
      <c r="A322" s="1"/>
      <c r="B322" s="2"/>
      <c r="C322" s="2"/>
      <c r="D322" s="2"/>
      <c r="E322" s="2"/>
      <c r="F322" s="2"/>
      <c r="G322" s="1"/>
      <c r="H322" s="1"/>
      <c r="I322" s="7">
        <v>0.319</v>
      </c>
      <c r="J322" s="7">
        <f>IF((I322-ROUNDDOWN(I322,0))=0, 0, (I322-ROUNDDOWN(I322,0)))</f>
      </c>
      <c r="K322" s="7">
        <f>INDIRECT("C$"&amp;2+MIN(2,ROUNDDOWN(I322,0))*3)*(-$J322^3+3*$J322^2-3*$J322+1)+INDIRECT("C$"&amp;3+MIN(2,ROUNDDOWN(I322,0))*3)*(3*$J322^3-6*$J322^2+3*$J322)+INDIRECT("C$"&amp;4+MIN(2,ROUNDDOWN(I322,0))*3)*(-3*$J322^3+3*$J322^2)+INDIRECT("C$"&amp;5+MIN(2,ROUNDDOWN(I322,0))*3)*$J322^3</f>
      </c>
      <c r="L322" s="7">
        <f>INDIRECT("D$"&amp;2+MIN(2,ROUNDDOWN(I322,0))*3)*(-$J322^3+3*$J322^2-3*$J322+1)+INDIRECT("D$"&amp;3+MIN(2,ROUNDDOWN(I322,0))*3)*(3*$J322^3-6*$J322^2+3*$J322)+INDIRECT("D$"&amp;4+MIN(2,ROUNDDOWN(I322,0))*3)*(-3*$J322^3+3*$J322^2)+INDIRECT("D$"&amp;5+MIN(2,ROUNDDOWN(I322,0))*3)*$J322^3</f>
      </c>
      <c r="M322" s="7">
        <f>SQRT(K322^2+L322^2)</f>
      </c>
      <c r="N322" s="7">
        <f>(K323-K321)</f>
      </c>
      <c r="O322" s="7">
        <f>+(L323-L321)</f>
      </c>
      <c r="P322" s="7">
        <f>SQRT(O322^2+N322^2)</f>
      </c>
      <c r="Q322" s="7">
        <f>N322/$P322</f>
      </c>
      <c r="R322" s="7">
        <f>O322/$P322</f>
      </c>
      <c r="S322" s="7">
        <f>Q322^2+R322^2</f>
      </c>
      <c r="T322" s="7">
        <f>-R322</f>
      </c>
      <c r="U322" s="7">
        <f>Q322</f>
      </c>
      <c r="V322" s="7">
        <f>($C$14+($C$15-$C$14)/($D$15-$D$14)*(I322-$D$14))/2</f>
      </c>
      <c r="W322" s="7">
        <f>($B$22*I322^4+$C$22*I322^3+$D$22*I322^2+$E$22*I322+$F$22)/2</f>
      </c>
      <c r="X322" s="7">
        <f>($W322)*(T322)</f>
      </c>
      <c r="Y322" s="7">
        <f>($W322)*(U322)</f>
      </c>
      <c r="Z322" s="7">
        <f>SQRT(X322^2+Y322^2)</f>
      </c>
      <c r="AA322" s="7">
        <f>$K322+$X322</f>
      </c>
      <c r="AB322" s="7">
        <f>$L322+$Y322</f>
      </c>
      <c r="AC322" s="7">
        <f>$K322-$X322</f>
      </c>
      <c r="AD322" s="7">
        <f>$L322-$Y322</f>
      </c>
      <c r="AE322" s="7">
        <f>AA322/39.3701</f>
      </c>
      <c r="AF322" s="7">
        <f>AB322/39.3701</f>
      </c>
      <c r="AG322" s="7">
        <f>AC322/39.3701</f>
      </c>
      <c r="AH322" s="7">
        <f>AD322/39.3701</f>
      </c>
      <c r="AI322" s="1"/>
      <c r="AJ322" s="1"/>
      <c r="AK322" s="1"/>
      <c r="AL322" s="1"/>
      <c r="AM322" s="2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</row>
    <row x14ac:dyDescent="0.25" r="323" customHeight="1" ht="18.75">
      <c r="A323" s="1"/>
      <c r="B323" s="2"/>
      <c r="C323" s="2"/>
      <c r="D323" s="2"/>
      <c r="E323" s="2"/>
      <c r="F323" s="2"/>
      <c r="G323" s="1"/>
      <c r="H323" s="1"/>
      <c r="I323" s="7">
        <v>0.32</v>
      </c>
      <c r="J323" s="7">
        <f>IF((I323-ROUNDDOWN(I323,0))=0, 0, (I323-ROUNDDOWN(I323,0)))</f>
      </c>
      <c r="K323" s="7">
        <f>INDIRECT("C$"&amp;2+MIN(2,ROUNDDOWN(I323,0))*3)*(-$J323^3+3*$J323^2-3*$J323+1)+INDIRECT("C$"&amp;3+MIN(2,ROUNDDOWN(I323,0))*3)*(3*$J323^3-6*$J323^2+3*$J323)+INDIRECT("C$"&amp;4+MIN(2,ROUNDDOWN(I323,0))*3)*(-3*$J323^3+3*$J323^2)+INDIRECT("C$"&amp;5+MIN(2,ROUNDDOWN(I323,0))*3)*$J323^3</f>
      </c>
      <c r="L323" s="7">
        <f>INDIRECT("D$"&amp;2+MIN(2,ROUNDDOWN(I323,0))*3)*(-$J323^3+3*$J323^2-3*$J323+1)+INDIRECT("D$"&amp;3+MIN(2,ROUNDDOWN(I323,0))*3)*(3*$J323^3-6*$J323^2+3*$J323)+INDIRECT("D$"&amp;4+MIN(2,ROUNDDOWN(I323,0))*3)*(-3*$J323^3+3*$J323^2)+INDIRECT("D$"&amp;5+MIN(2,ROUNDDOWN(I323,0))*3)*$J323^3</f>
      </c>
      <c r="M323" s="7">
        <f>SQRT(K323^2+L323^2)</f>
      </c>
      <c r="N323" s="7">
        <f>(K324-K322)</f>
      </c>
      <c r="O323" s="7">
        <f>+(L324-L322)</f>
      </c>
      <c r="P323" s="7">
        <f>SQRT(O323^2+N323^2)</f>
      </c>
      <c r="Q323" s="7">
        <f>N323/$P323</f>
      </c>
      <c r="R323" s="7">
        <f>O323/$P323</f>
      </c>
      <c r="S323" s="7">
        <f>Q323^2+R323^2</f>
      </c>
      <c r="T323" s="7">
        <f>-R323</f>
      </c>
      <c r="U323" s="7">
        <f>Q323</f>
      </c>
      <c r="V323" s="7">
        <f>($C$14+($C$15-$C$14)/($D$15-$D$14)*(I323-$D$14))/2</f>
      </c>
      <c r="W323" s="7">
        <f>($B$22*I323^4+$C$22*I323^3+$D$22*I323^2+$E$22*I323+$F$22)/2</f>
      </c>
      <c r="X323" s="7">
        <f>($W323)*(T323)</f>
      </c>
      <c r="Y323" s="7">
        <f>($W323)*(U323)</f>
      </c>
      <c r="Z323" s="7">
        <f>SQRT(X323^2+Y323^2)</f>
      </c>
      <c r="AA323" s="7">
        <f>$K323+$X323</f>
      </c>
      <c r="AB323" s="7">
        <f>$L323+$Y323</f>
      </c>
      <c r="AC323" s="7">
        <f>$K323-$X323</f>
      </c>
      <c r="AD323" s="7">
        <f>$L323-$Y323</f>
      </c>
      <c r="AE323" s="7">
        <f>AA323/39.3701</f>
      </c>
      <c r="AF323" s="7">
        <f>AB323/39.3701</f>
      </c>
      <c r="AG323" s="7">
        <f>AC323/39.3701</f>
      </c>
      <c r="AH323" s="7">
        <f>AD323/39.3701</f>
      </c>
      <c r="AI323" s="1"/>
      <c r="AJ323" s="1"/>
      <c r="AK323" s="1"/>
      <c r="AL323" s="1"/>
      <c r="AM323" s="2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</row>
    <row x14ac:dyDescent="0.25" r="324" customHeight="1" ht="18.75">
      <c r="A324" s="1"/>
      <c r="B324" s="2"/>
      <c r="C324" s="2"/>
      <c r="D324" s="2"/>
      <c r="E324" s="2"/>
      <c r="F324" s="2"/>
      <c r="G324" s="1"/>
      <c r="H324" s="1"/>
      <c r="I324" s="7">
        <v>0.321</v>
      </c>
      <c r="J324" s="7">
        <f>IF((I324-ROUNDDOWN(I324,0))=0, 0, (I324-ROUNDDOWN(I324,0)))</f>
      </c>
      <c r="K324" s="7">
        <f>INDIRECT("C$"&amp;2+MIN(2,ROUNDDOWN(I324,0))*3)*(-$J324^3+3*$J324^2-3*$J324+1)+INDIRECT("C$"&amp;3+MIN(2,ROUNDDOWN(I324,0))*3)*(3*$J324^3-6*$J324^2+3*$J324)+INDIRECT("C$"&amp;4+MIN(2,ROUNDDOWN(I324,0))*3)*(-3*$J324^3+3*$J324^2)+INDIRECT("C$"&amp;5+MIN(2,ROUNDDOWN(I324,0))*3)*$J324^3</f>
      </c>
      <c r="L324" s="7">
        <f>INDIRECT("D$"&amp;2+MIN(2,ROUNDDOWN(I324,0))*3)*(-$J324^3+3*$J324^2-3*$J324+1)+INDIRECT("D$"&amp;3+MIN(2,ROUNDDOWN(I324,0))*3)*(3*$J324^3-6*$J324^2+3*$J324)+INDIRECT("D$"&amp;4+MIN(2,ROUNDDOWN(I324,0))*3)*(-3*$J324^3+3*$J324^2)+INDIRECT("D$"&amp;5+MIN(2,ROUNDDOWN(I324,0))*3)*$J324^3</f>
      </c>
      <c r="M324" s="7">
        <f>SQRT(K324^2+L324^2)</f>
      </c>
      <c r="N324" s="7">
        <f>(K325-K323)</f>
      </c>
      <c r="O324" s="7">
        <f>+(L325-L323)</f>
      </c>
      <c r="P324" s="7">
        <f>SQRT(O324^2+N324^2)</f>
      </c>
      <c r="Q324" s="7">
        <f>N324/$P324</f>
      </c>
      <c r="R324" s="7">
        <f>O324/$P324</f>
      </c>
      <c r="S324" s="8">
        <f>Q324^2+R324^2</f>
      </c>
      <c r="T324" s="7">
        <f>-R324</f>
      </c>
      <c r="U324" s="7">
        <f>Q324</f>
      </c>
      <c r="V324" s="7">
        <f>($C$14+($C$15-$C$14)/($D$15-$D$14)*(I324-$D$14))/2</f>
      </c>
      <c r="W324" s="7">
        <f>($B$22*I324^4+$C$22*I324^3+$D$22*I324^2+$E$22*I324+$F$22)/2</f>
      </c>
      <c r="X324" s="7">
        <f>($W324)*(T324)</f>
      </c>
      <c r="Y324" s="7">
        <f>($W324)*(U324)</f>
      </c>
      <c r="Z324" s="7">
        <f>SQRT(X324^2+Y324^2)</f>
      </c>
      <c r="AA324" s="7">
        <f>$K324+$X324</f>
      </c>
      <c r="AB324" s="7">
        <f>$L324+$Y324</f>
      </c>
      <c r="AC324" s="7">
        <f>$K324-$X324</f>
      </c>
      <c r="AD324" s="7">
        <f>$L324-$Y324</f>
      </c>
      <c r="AE324" s="7">
        <f>AA324/39.3701</f>
      </c>
      <c r="AF324" s="7">
        <f>AB324/39.3701</f>
      </c>
      <c r="AG324" s="7">
        <f>AC324/39.3701</f>
      </c>
      <c r="AH324" s="7">
        <f>AD324/39.3701</f>
      </c>
      <c r="AI324" s="1"/>
      <c r="AJ324" s="1"/>
      <c r="AK324" s="1"/>
      <c r="AL324" s="1"/>
      <c r="AM324" s="2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</row>
    <row x14ac:dyDescent="0.25" r="325" customHeight="1" ht="18.75">
      <c r="A325" s="1"/>
      <c r="B325" s="2"/>
      <c r="C325" s="2"/>
      <c r="D325" s="2"/>
      <c r="E325" s="2"/>
      <c r="F325" s="2"/>
      <c r="G325" s="1"/>
      <c r="H325" s="1"/>
      <c r="I325" s="7">
        <v>0.322</v>
      </c>
      <c r="J325" s="7">
        <f>IF((I325-ROUNDDOWN(I325,0))=0, 0, (I325-ROUNDDOWN(I325,0)))</f>
      </c>
      <c r="K325" s="7">
        <f>INDIRECT("C$"&amp;2+MIN(2,ROUNDDOWN(I325,0))*3)*(-$J325^3+3*$J325^2-3*$J325+1)+INDIRECT("C$"&amp;3+MIN(2,ROUNDDOWN(I325,0))*3)*(3*$J325^3-6*$J325^2+3*$J325)+INDIRECT("C$"&amp;4+MIN(2,ROUNDDOWN(I325,0))*3)*(-3*$J325^3+3*$J325^2)+INDIRECT("C$"&amp;5+MIN(2,ROUNDDOWN(I325,0))*3)*$J325^3</f>
      </c>
      <c r="L325" s="7">
        <f>INDIRECT("D$"&amp;2+MIN(2,ROUNDDOWN(I325,0))*3)*(-$J325^3+3*$J325^2-3*$J325+1)+INDIRECT("D$"&amp;3+MIN(2,ROUNDDOWN(I325,0))*3)*(3*$J325^3-6*$J325^2+3*$J325)+INDIRECT("D$"&amp;4+MIN(2,ROUNDDOWN(I325,0))*3)*(-3*$J325^3+3*$J325^2)+INDIRECT("D$"&amp;5+MIN(2,ROUNDDOWN(I325,0))*3)*$J325^3</f>
      </c>
      <c r="M325" s="7">
        <f>SQRT(K325^2+L325^2)</f>
      </c>
      <c r="N325" s="7">
        <f>(K326-K324)</f>
      </c>
      <c r="O325" s="7">
        <f>+(L326-L324)</f>
      </c>
      <c r="P325" s="7">
        <f>SQRT(O325^2+N325^2)</f>
      </c>
      <c r="Q325" s="7">
        <f>N325/$P325</f>
      </c>
      <c r="R325" s="7">
        <f>O325/$P325</f>
      </c>
      <c r="S325" s="8">
        <f>Q325^2+R325^2</f>
      </c>
      <c r="T325" s="7">
        <f>-R325</f>
      </c>
      <c r="U325" s="7">
        <f>Q325</f>
      </c>
      <c r="V325" s="7">
        <f>($C$14+($C$15-$C$14)/($D$15-$D$14)*(I325-$D$14))/2</f>
      </c>
      <c r="W325" s="7">
        <f>($B$22*I325^4+$C$22*I325^3+$D$22*I325^2+$E$22*I325+$F$22)/2</f>
      </c>
      <c r="X325" s="7">
        <f>($W325)*(T325)</f>
      </c>
      <c r="Y325" s="7">
        <f>($W325)*(U325)</f>
      </c>
      <c r="Z325" s="7">
        <f>SQRT(X325^2+Y325^2)</f>
      </c>
      <c r="AA325" s="7">
        <f>$K325+$X325</f>
      </c>
      <c r="AB325" s="7">
        <f>$L325+$Y325</f>
      </c>
      <c r="AC325" s="7">
        <f>$K325-$X325</f>
      </c>
      <c r="AD325" s="7">
        <f>$L325-$Y325</f>
      </c>
      <c r="AE325" s="7">
        <f>AA325/39.3701</f>
      </c>
      <c r="AF325" s="7">
        <f>AB325/39.3701</f>
      </c>
      <c r="AG325" s="7">
        <f>AC325/39.3701</f>
      </c>
      <c r="AH325" s="7">
        <f>AD325/39.3701</f>
      </c>
      <c r="AI325" s="1"/>
      <c r="AJ325" s="1"/>
      <c r="AK325" s="1"/>
      <c r="AL325" s="1"/>
      <c r="AM325" s="2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</row>
    <row x14ac:dyDescent="0.25" r="326" customHeight="1" ht="18.75">
      <c r="A326" s="1"/>
      <c r="B326" s="2"/>
      <c r="C326" s="2"/>
      <c r="D326" s="2"/>
      <c r="E326" s="2"/>
      <c r="F326" s="2"/>
      <c r="G326" s="1"/>
      <c r="H326" s="1"/>
      <c r="I326" s="7">
        <v>0.323</v>
      </c>
      <c r="J326" s="7">
        <f>IF((I326-ROUNDDOWN(I326,0))=0, 0, (I326-ROUNDDOWN(I326,0)))</f>
      </c>
      <c r="K326" s="7">
        <f>INDIRECT("C$"&amp;2+MIN(2,ROUNDDOWN(I326,0))*3)*(-$J326^3+3*$J326^2-3*$J326+1)+INDIRECT("C$"&amp;3+MIN(2,ROUNDDOWN(I326,0))*3)*(3*$J326^3-6*$J326^2+3*$J326)+INDIRECT("C$"&amp;4+MIN(2,ROUNDDOWN(I326,0))*3)*(-3*$J326^3+3*$J326^2)+INDIRECT("C$"&amp;5+MIN(2,ROUNDDOWN(I326,0))*3)*$J326^3</f>
      </c>
      <c r="L326" s="7">
        <f>INDIRECT("D$"&amp;2+MIN(2,ROUNDDOWN(I326,0))*3)*(-$J326^3+3*$J326^2-3*$J326+1)+INDIRECT("D$"&amp;3+MIN(2,ROUNDDOWN(I326,0))*3)*(3*$J326^3-6*$J326^2+3*$J326)+INDIRECT("D$"&amp;4+MIN(2,ROUNDDOWN(I326,0))*3)*(-3*$J326^3+3*$J326^2)+INDIRECT("D$"&amp;5+MIN(2,ROUNDDOWN(I326,0))*3)*$J326^3</f>
      </c>
      <c r="M326" s="7">
        <f>SQRT(K326^2+L326^2)</f>
      </c>
      <c r="N326" s="7">
        <f>(K327-K325)</f>
      </c>
      <c r="O326" s="7">
        <f>+(L327-L325)</f>
      </c>
      <c r="P326" s="7">
        <f>SQRT(O326^2+N326^2)</f>
      </c>
      <c r="Q326" s="7">
        <f>N326/$P326</f>
      </c>
      <c r="R326" s="7">
        <f>O326/$P326</f>
      </c>
      <c r="S326" s="7">
        <f>Q326^2+R326^2</f>
      </c>
      <c r="T326" s="7">
        <f>-R326</f>
      </c>
      <c r="U326" s="7">
        <f>Q326</f>
      </c>
      <c r="V326" s="7">
        <f>($C$14+($C$15-$C$14)/($D$15-$D$14)*(I326-$D$14))/2</f>
      </c>
      <c r="W326" s="7">
        <f>($B$22*I326^4+$C$22*I326^3+$D$22*I326^2+$E$22*I326+$F$22)/2</f>
      </c>
      <c r="X326" s="7">
        <f>($W326)*(T326)</f>
      </c>
      <c r="Y326" s="7">
        <f>($W326)*(U326)</f>
      </c>
      <c r="Z326" s="7">
        <f>SQRT(X326^2+Y326^2)</f>
      </c>
      <c r="AA326" s="7">
        <f>$K326+$X326</f>
      </c>
      <c r="AB326" s="7">
        <f>$L326+$Y326</f>
      </c>
      <c r="AC326" s="7">
        <f>$K326-$X326</f>
      </c>
      <c r="AD326" s="7">
        <f>$L326-$Y326</f>
      </c>
      <c r="AE326" s="7">
        <f>AA326/39.3701</f>
      </c>
      <c r="AF326" s="7">
        <f>AB326/39.3701</f>
      </c>
      <c r="AG326" s="7">
        <f>AC326/39.3701</f>
      </c>
      <c r="AH326" s="7">
        <f>AD326/39.3701</f>
      </c>
      <c r="AI326" s="1"/>
      <c r="AJ326" s="1"/>
      <c r="AK326" s="1"/>
      <c r="AL326" s="1"/>
      <c r="AM326" s="2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</row>
    <row x14ac:dyDescent="0.25" r="327" customHeight="1" ht="18.75">
      <c r="A327" s="1"/>
      <c r="B327" s="2"/>
      <c r="C327" s="2"/>
      <c r="D327" s="2"/>
      <c r="E327" s="2"/>
      <c r="F327" s="2"/>
      <c r="G327" s="1"/>
      <c r="H327" s="1"/>
      <c r="I327" s="7">
        <v>0.324</v>
      </c>
      <c r="J327" s="7">
        <f>IF((I327-ROUNDDOWN(I327,0))=0, 0, (I327-ROUNDDOWN(I327,0)))</f>
      </c>
      <c r="K327" s="7">
        <f>INDIRECT("C$"&amp;2+MIN(2,ROUNDDOWN(I327,0))*3)*(-$J327^3+3*$J327^2-3*$J327+1)+INDIRECT("C$"&amp;3+MIN(2,ROUNDDOWN(I327,0))*3)*(3*$J327^3-6*$J327^2+3*$J327)+INDIRECT("C$"&amp;4+MIN(2,ROUNDDOWN(I327,0))*3)*(-3*$J327^3+3*$J327^2)+INDIRECT("C$"&amp;5+MIN(2,ROUNDDOWN(I327,0))*3)*$J327^3</f>
      </c>
      <c r="L327" s="7">
        <f>INDIRECT("D$"&amp;2+MIN(2,ROUNDDOWN(I327,0))*3)*(-$J327^3+3*$J327^2-3*$J327+1)+INDIRECT("D$"&amp;3+MIN(2,ROUNDDOWN(I327,0))*3)*(3*$J327^3-6*$J327^2+3*$J327)+INDIRECT("D$"&amp;4+MIN(2,ROUNDDOWN(I327,0))*3)*(-3*$J327^3+3*$J327^2)+INDIRECT("D$"&amp;5+MIN(2,ROUNDDOWN(I327,0))*3)*$J327^3</f>
      </c>
      <c r="M327" s="7">
        <f>SQRT(K327^2+L327^2)</f>
      </c>
      <c r="N327" s="7">
        <f>(K328-K326)</f>
      </c>
      <c r="O327" s="7">
        <f>+(L328-L326)</f>
      </c>
      <c r="P327" s="7">
        <f>SQRT(O327^2+N327^2)</f>
      </c>
      <c r="Q327" s="7">
        <f>N327/$P327</f>
      </c>
      <c r="R327" s="7">
        <f>O327/$P327</f>
      </c>
      <c r="S327" s="7">
        <f>Q327^2+R327^2</f>
      </c>
      <c r="T327" s="7">
        <f>-R327</f>
      </c>
      <c r="U327" s="7">
        <f>Q327</f>
      </c>
      <c r="V327" s="7">
        <f>($C$14+($C$15-$C$14)/($D$15-$D$14)*(I327-$D$14))/2</f>
      </c>
      <c r="W327" s="7">
        <f>($B$22*I327^4+$C$22*I327^3+$D$22*I327^2+$E$22*I327+$F$22)/2</f>
      </c>
      <c r="X327" s="7">
        <f>($W327)*(T327)</f>
      </c>
      <c r="Y327" s="7">
        <f>($W327)*(U327)</f>
      </c>
      <c r="Z327" s="7">
        <f>SQRT(X327^2+Y327^2)</f>
      </c>
      <c r="AA327" s="7">
        <f>$K327+$X327</f>
      </c>
      <c r="AB327" s="7">
        <f>$L327+$Y327</f>
      </c>
      <c r="AC327" s="7">
        <f>$K327-$X327</f>
      </c>
      <c r="AD327" s="7">
        <f>$L327-$Y327</f>
      </c>
      <c r="AE327" s="7">
        <f>AA327/39.3701</f>
      </c>
      <c r="AF327" s="7">
        <f>AB327/39.3701</f>
      </c>
      <c r="AG327" s="7">
        <f>AC327/39.3701</f>
      </c>
      <c r="AH327" s="7">
        <f>AD327/39.3701</f>
      </c>
      <c r="AI327" s="1"/>
      <c r="AJ327" s="1"/>
      <c r="AK327" s="1"/>
      <c r="AL327" s="1"/>
      <c r="AM327" s="2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</row>
    <row x14ac:dyDescent="0.25" r="328" customHeight="1" ht="18.75">
      <c r="A328" s="1"/>
      <c r="B328" s="2"/>
      <c r="C328" s="2"/>
      <c r="D328" s="2"/>
      <c r="E328" s="2"/>
      <c r="F328" s="2"/>
      <c r="G328" s="1"/>
      <c r="H328" s="1"/>
      <c r="I328" s="7">
        <v>0.325</v>
      </c>
      <c r="J328" s="7">
        <f>IF((I328-ROUNDDOWN(I328,0))=0, 0, (I328-ROUNDDOWN(I328,0)))</f>
      </c>
      <c r="K328" s="7">
        <f>INDIRECT("C$"&amp;2+MIN(2,ROUNDDOWN(I328,0))*3)*(-$J328^3+3*$J328^2-3*$J328+1)+INDIRECT("C$"&amp;3+MIN(2,ROUNDDOWN(I328,0))*3)*(3*$J328^3-6*$J328^2+3*$J328)+INDIRECT("C$"&amp;4+MIN(2,ROUNDDOWN(I328,0))*3)*(-3*$J328^3+3*$J328^2)+INDIRECT("C$"&amp;5+MIN(2,ROUNDDOWN(I328,0))*3)*$J328^3</f>
      </c>
      <c r="L328" s="7">
        <f>INDIRECT("D$"&amp;2+MIN(2,ROUNDDOWN(I328,0))*3)*(-$J328^3+3*$J328^2-3*$J328+1)+INDIRECT("D$"&amp;3+MIN(2,ROUNDDOWN(I328,0))*3)*(3*$J328^3-6*$J328^2+3*$J328)+INDIRECT("D$"&amp;4+MIN(2,ROUNDDOWN(I328,0))*3)*(-3*$J328^3+3*$J328^2)+INDIRECT("D$"&amp;5+MIN(2,ROUNDDOWN(I328,0))*3)*$J328^3</f>
      </c>
      <c r="M328" s="7">
        <f>SQRT(K328^2+L328^2)</f>
      </c>
      <c r="N328" s="7">
        <f>(K329-K327)</f>
      </c>
      <c r="O328" s="7">
        <f>+(L329-L327)</f>
      </c>
      <c r="P328" s="7">
        <f>SQRT(O328^2+N328^2)</f>
      </c>
      <c r="Q328" s="7">
        <f>N328/$P328</f>
      </c>
      <c r="R328" s="7">
        <f>O328/$P328</f>
      </c>
      <c r="S328" s="7">
        <f>Q328^2+R328^2</f>
      </c>
      <c r="T328" s="7">
        <f>-R328</f>
      </c>
      <c r="U328" s="7">
        <f>Q328</f>
      </c>
      <c r="V328" s="7">
        <f>($C$14+($C$15-$C$14)/($D$15-$D$14)*(I328-$D$14))/2</f>
      </c>
      <c r="W328" s="7">
        <f>($B$22*I328^4+$C$22*I328^3+$D$22*I328^2+$E$22*I328+$F$22)/2</f>
      </c>
      <c r="X328" s="7">
        <f>($W328)*(T328)</f>
      </c>
      <c r="Y328" s="7">
        <f>($W328)*(U328)</f>
      </c>
      <c r="Z328" s="7">
        <f>SQRT(X328^2+Y328^2)</f>
      </c>
      <c r="AA328" s="7">
        <f>$K328+$X328</f>
      </c>
      <c r="AB328" s="7">
        <f>$L328+$Y328</f>
      </c>
      <c r="AC328" s="7">
        <f>$K328-$X328</f>
      </c>
      <c r="AD328" s="7">
        <f>$L328-$Y328</f>
      </c>
      <c r="AE328" s="7">
        <f>AA328/39.3701</f>
      </c>
      <c r="AF328" s="7">
        <f>AB328/39.3701</f>
      </c>
      <c r="AG328" s="7">
        <f>AC328/39.3701</f>
      </c>
      <c r="AH328" s="7">
        <f>AD328/39.3701</f>
      </c>
      <c r="AI328" s="1"/>
      <c r="AJ328" s="1"/>
      <c r="AK328" s="1"/>
      <c r="AL328" s="1"/>
      <c r="AM328" s="2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</row>
    <row x14ac:dyDescent="0.25" r="329" customHeight="1" ht="18.75">
      <c r="A329" s="1"/>
      <c r="B329" s="2"/>
      <c r="C329" s="2"/>
      <c r="D329" s="2"/>
      <c r="E329" s="2"/>
      <c r="F329" s="2"/>
      <c r="G329" s="1"/>
      <c r="H329" s="1"/>
      <c r="I329" s="7">
        <v>0.326</v>
      </c>
      <c r="J329" s="7">
        <f>IF((I329-ROUNDDOWN(I329,0))=0, 0, (I329-ROUNDDOWN(I329,0)))</f>
      </c>
      <c r="K329" s="7">
        <f>INDIRECT("C$"&amp;2+MIN(2,ROUNDDOWN(I329,0))*3)*(-$J329^3+3*$J329^2-3*$J329+1)+INDIRECT("C$"&amp;3+MIN(2,ROUNDDOWN(I329,0))*3)*(3*$J329^3-6*$J329^2+3*$J329)+INDIRECT("C$"&amp;4+MIN(2,ROUNDDOWN(I329,0))*3)*(-3*$J329^3+3*$J329^2)+INDIRECT("C$"&amp;5+MIN(2,ROUNDDOWN(I329,0))*3)*$J329^3</f>
      </c>
      <c r="L329" s="7">
        <f>INDIRECT("D$"&amp;2+MIN(2,ROUNDDOWN(I329,0))*3)*(-$J329^3+3*$J329^2-3*$J329+1)+INDIRECT("D$"&amp;3+MIN(2,ROUNDDOWN(I329,0))*3)*(3*$J329^3-6*$J329^2+3*$J329)+INDIRECT("D$"&amp;4+MIN(2,ROUNDDOWN(I329,0))*3)*(-3*$J329^3+3*$J329^2)+INDIRECT("D$"&amp;5+MIN(2,ROUNDDOWN(I329,0))*3)*$J329^3</f>
      </c>
      <c r="M329" s="7">
        <f>SQRT(K329^2+L329^2)</f>
      </c>
      <c r="N329" s="7">
        <f>(K330-K328)</f>
      </c>
      <c r="O329" s="7">
        <f>+(L330-L328)</f>
      </c>
      <c r="P329" s="7">
        <f>SQRT(O329^2+N329^2)</f>
      </c>
      <c r="Q329" s="7">
        <f>N329/$P329</f>
      </c>
      <c r="R329" s="7">
        <f>O329/$P329</f>
      </c>
      <c r="S329" s="8">
        <f>Q329^2+R329^2</f>
      </c>
      <c r="T329" s="7">
        <f>-R329</f>
      </c>
      <c r="U329" s="7">
        <f>Q329</f>
      </c>
      <c r="V329" s="7">
        <f>($C$14+($C$15-$C$14)/($D$15-$D$14)*(I329-$D$14))/2</f>
      </c>
      <c r="W329" s="7">
        <f>($B$22*I329^4+$C$22*I329^3+$D$22*I329^2+$E$22*I329+$F$22)/2</f>
      </c>
      <c r="X329" s="7">
        <f>($W329)*(T329)</f>
      </c>
      <c r="Y329" s="7">
        <f>($W329)*(U329)</f>
      </c>
      <c r="Z329" s="7">
        <f>SQRT(X329^2+Y329^2)</f>
      </c>
      <c r="AA329" s="7">
        <f>$K329+$X329</f>
      </c>
      <c r="AB329" s="7">
        <f>$L329+$Y329</f>
      </c>
      <c r="AC329" s="7">
        <f>$K329-$X329</f>
      </c>
      <c r="AD329" s="7">
        <f>$L329-$Y329</f>
      </c>
      <c r="AE329" s="7">
        <f>AA329/39.3701</f>
      </c>
      <c r="AF329" s="7">
        <f>AB329/39.3701</f>
      </c>
      <c r="AG329" s="7">
        <f>AC329/39.3701</f>
      </c>
      <c r="AH329" s="7">
        <f>AD329/39.3701</f>
      </c>
      <c r="AI329" s="1"/>
      <c r="AJ329" s="1"/>
      <c r="AK329" s="1"/>
      <c r="AL329" s="1"/>
      <c r="AM329" s="2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</row>
    <row x14ac:dyDescent="0.25" r="330" customHeight="1" ht="18.75">
      <c r="A330" s="1"/>
      <c r="B330" s="2"/>
      <c r="C330" s="2"/>
      <c r="D330" s="2"/>
      <c r="E330" s="2"/>
      <c r="F330" s="2"/>
      <c r="G330" s="1"/>
      <c r="H330" s="1"/>
      <c r="I330" s="7">
        <v>0.327</v>
      </c>
      <c r="J330" s="7">
        <f>IF((I330-ROUNDDOWN(I330,0))=0, 0, (I330-ROUNDDOWN(I330,0)))</f>
      </c>
      <c r="K330" s="7">
        <f>INDIRECT("C$"&amp;2+MIN(2,ROUNDDOWN(I330,0))*3)*(-$J330^3+3*$J330^2-3*$J330+1)+INDIRECT("C$"&amp;3+MIN(2,ROUNDDOWN(I330,0))*3)*(3*$J330^3-6*$J330^2+3*$J330)+INDIRECT("C$"&amp;4+MIN(2,ROUNDDOWN(I330,0))*3)*(-3*$J330^3+3*$J330^2)+INDIRECT("C$"&amp;5+MIN(2,ROUNDDOWN(I330,0))*3)*$J330^3</f>
      </c>
      <c r="L330" s="7">
        <f>INDIRECT("D$"&amp;2+MIN(2,ROUNDDOWN(I330,0))*3)*(-$J330^3+3*$J330^2-3*$J330+1)+INDIRECT("D$"&amp;3+MIN(2,ROUNDDOWN(I330,0))*3)*(3*$J330^3-6*$J330^2+3*$J330)+INDIRECT("D$"&amp;4+MIN(2,ROUNDDOWN(I330,0))*3)*(-3*$J330^3+3*$J330^2)+INDIRECT("D$"&amp;5+MIN(2,ROUNDDOWN(I330,0))*3)*$J330^3</f>
      </c>
      <c r="M330" s="7">
        <f>SQRT(K330^2+L330^2)</f>
      </c>
      <c r="N330" s="7">
        <f>(K331-K329)</f>
      </c>
      <c r="O330" s="7">
        <f>+(L331-L329)</f>
      </c>
      <c r="P330" s="7">
        <f>SQRT(O330^2+N330^2)</f>
      </c>
      <c r="Q330" s="7">
        <f>N330/$P330</f>
      </c>
      <c r="R330" s="7">
        <f>O330/$P330</f>
      </c>
      <c r="S330" s="8">
        <f>Q330^2+R330^2</f>
      </c>
      <c r="T330" s="7">
        <f>-R330</f>
      </c>
      <c r="U330" s="7">
        <f>Q330</f>
      </c>
      <c r="V330" s="7">
        <f>($C$14+($C$15-$C$14)/($D$15-$D$14)*(I330-$D$14))/2</f>
      </c>
      <c r="W330" s="7">
        <f>($B$22*I330^4+$C$22*I330^3+$D$22*I330^2+$E$22*I330+$F$22)/2</f>
      </c>
      <c r="X330" s="7">
        <f>($W330)*(T330)</f>
      </c>
      <c r="Y330" s="7">
        <f>($W330)*(U330)</f>
      </c>
      <c r="Z330" s="7">
        <f>SQRT(X330^2+Y330^2)</f>
      </c>
      <c r="AA330" s="7">
        <f>$K330+$X330</f>
      </c>
      <c r="AB330" s="7">
        <f>$L330+$Y330</f>
      </c>
      <c r="AC330" s="7">
        <f>$K330-$X330</f>
      </c>
      <c r="AD330" s="7">
        <f>$L330-$Y330</f>
      </c>
      <c r="AE330" s="7">
        <f>AA330/39.3701</f>
      </c>
      <c r="AF330" s="7">
        <f>AB330/39.3701</f>
      </c>
      <c r="AG330" s="7">
        <f>AC330/39.3701</f>
      </c>
      <c r="AH330" s="7">
        <f>AD330/39.3701</f>
      </c>
      <c r="AI330" s="1"/>
      <c r="AJ330" s="1"/>
      <c r="AK330" s="1"/>
      <c r="AL330" s="1"/>
      <c r="AM330" s="2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</row>
    <row x14ac:dyDescent="0.25" r="331" customHeight="1" ht="18.75">
      <c r="A331" s="1"/>
      <c r="B331" s="2"/>
      <c r="C331" s="2"/>
      <c r="D331" s="2"/>
      <c r="E331" s="2"/>
      <c r="F331" s="2"/>
      <c r="G331" s="1"/>
      <c r="H331" s="1"/>
      <c r="I331" s="7">
        <v>0.328</v>
      </c>
      <c r="J331" s="7">
        <f>IF((I331-ROUNDDOWN(I331,0))=0, 0, (I331-ROUNDDOWN(I331,0)))</f>
      </c>
      <c r="K331" s="7">
        <f>INDIRECT("C$"&amp;2+MIN(2,ROUNDDOWN(I331,0))*3)*(-$J331^3+3*$J331^2-3*$J331+1)+INDIRECT("C$"&amp;3+MIN(2,ROUNDDOWN(I331,0))*3)*(3*$J331^3-6*$J331^2+3*$J331)+INDIRECT("C$"&amp;4+MIN(2,ROUNDDOWN(I331,0))*3)*(-3*$J331^3+3*$J331^2)+INDIRECT("C$"&amp;5+MIN(2,ROUNDDOWN(I331,0))*3)*$J331^3</f>
      </c>
      <c r="L331" s="7">
        <f>INDIRECT("D$"&amp;2+MIN(2,ROUNDDOWN(I331,0))*3)*(-$J331^3+3*$J331^2-3*$J331+1)+INDIRECT("D$"&amp;3+MIN(2,ROUNDDOWN(I331,0))*3)*(3*$J331^3-6*$J331^2+3*$J331)+INDIRECT("D$"&amp;4+MIN(2,ROUNDDOWN(I331,0))*3)*(-3*$J331^3+3*$J331^2)+INDIRECT("D$"&amp;5+MIN(2,ROUNDDOWN(I331,0))*3)*$J331^3</f>
      </c>
      <c r="M331" s="7">
        <f>SQRT(K331^2+L331^2)</f>
      </c>
      <c r="N331" s="7">
        <f>(K332-K330)</f>
      </c>
      <c r="O331" s="7">
        <f>+(L332-L330)</f>
      </c>
      <c r="P331" s="7">
        <f>SQRT(O331^2+N331^2)</f>
      </c>
      <c r="Q331" s="7">
        <f>N331/$P331</f>
      </c>
      <c r="R331" s="7">
        <f>O331/$P331</f>
      </c>
      <c r="S331" s="7">
        <f>Q331^2+R331^2</f>
      </c>
      <c r="T331" s="7">
        <f>-R331</f>
      </c>
      <c r="U331" s="7">
        <f>Q331</f>
      </c>
      <c r="V331" s="7">
        <f>($C$14+($C$15-$C$14)/($D$15-$D$14)*(I331-$D$14))/2</f>
      </c>
      <c r="W331" s="7">
        <f>($B$22*I331^4+$C$22*I331^3+$D$22*I331^2+$E$22*I331+$F$22)/2</f>
      </c>
      <c r="X331" s="7">
        <f>($W331)*(T331)</f>
      </c>
      <c r="Y331" s="7">
        <f>($W331)*(U331)</f>
      </c>
      <c r="Z331" s="7">
        <f>SQRT(X331^2+Y331^2)</f>
      </c>
      <c r="AA331" s="7">
        <f>$K331+$X331</f>
      </c>
      <c r="AB331" s="7">
        <f>$L331+$Y331</f>
      </c>
      <c r="AC331" s="7">
        <f>$K331-$X331</f>
      </c>
      <c r="AD331" s="7">
        <f>$L331-$Y331</f>
      </c>
      <c r="AE331" s="7">
        <f>AA331/39.3701</f>
      </c>
      <c r="AF331" s="7">
        <f>AB331/39.3701</f>
      </c>
      <c r="AG331" s="7">
        <f>AC331/39.3701</f>
      </c>
      <c r="AH331" s="7">
        <f>AD331/39.3701</f>
      </c>
      <c r="AI331" s="1"/>
      <c r="AJ331" s="1"/>
      <c r="AK331" s="1"/>
      <c r="AL331" s="1"/>
      <c r="AM331" s="2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</row>
    <row x14ac:dyDescent="0.25" r="332" customHeight="1" ht="18.75">
      <c r="A332" s="1"/>
      <c r="B332" s="2"/>
      <c r="C332" s="2"/>
      <c r="D332" s="2"/>
      <c r="E332" s="2"/>
      <c r="F332" s="2"/>
      <c r="G332" s="1"/>
      <c r="H332" s="1"/>
      <c r="I332" s="7">
        <v>0.329</v>
      </c>
      <c r="J332" s="7">
        <f>IF((I332-ROUNDDOWN(I332,0))=0, 0, (I332-ROUNDDOWN(I332,0)))</f>
      </c>
      <c r="K332" s="7">
        <f>INDIRECT("C$"&amp;2+MIN(2,ROUNDDOWN(I332,0))*3)*(-$J332^3+3*$J332^2-3*$J332+1)+INDIRECT("C$"&amp;3+MIN(2,ROUNDDOWN(I332,0))*3)*(3*$J332^3-6*$J332^2+3*$J332)+INDIRECT("C$"&amp;4+MIN(2,ROUNDDOWN(I332,0))*3)*(-3*$J332^3+3*$J332^2)+INDIRECT("C$"&amp;5+MIN(2,ROUNDDOWN(I332,0))*3)*$J332^3</f>
      </c>
      <c r="L332" s="7">
        <f>INDIRECT("D$"&amp;2+MIN(2,ROUNDDOWN(I332,0))*3)*(-$J332^3+3*$J332^2-3*$J332+1)+INDIRECT("D$"&amp;3+MIN(2,ROUNDDOWN(I332,0))*3)*(3*$J332^3-6*$J332^2+3*$J332)+INDIRECT("D$"&amp;4+MIN(2,ROUNDDOWN(I332,0))*3)*(-3*$J332^3+3*$J332^2)+INDIRECT("D$"&amp;5+MIN(2,ROUNDDOWN(I332,0))*3)*$J332^3</f>
      </c>
      <c r="M332" s="7">
        <f>SQRT(K332^2+L332^2)</f>
      </c>
      <c r="N332" s="7">
        <f>(K333-K331)</f>
      </c>
      <c r="O332" s="7">
        <f>+(L333-L331)</f>
      </c>
      <c r="P332" s="7">
        <f>SQRT(O332^2+N332^2)</f>
      </c>
      <c r="Q332" s="7">
        <f>N332/$P332</f>
      </c>
      <c r="R332" s="7">
        <f>O332/$P332</f>
      </c>
      <c r="S332" s="7">
        <f>Q332^2+R332^2</f>
      </c>
      <c r="T332" s="7">
        <f>-R332</f>
      </c>
      <c r="U332" s="7">
        <f>Q332</f>
      </c>
      <c r="V332" s="7">
        <f>($C$14+($C$15-$C$14)/($D$15-$D$14)*(I332-$D$14))/2</f>
      </c>
      <c r="W332" s="7">
        <f>($B$22*I332^4+$C$22*I332^3+$D$22*I332^2+$E$22*I332+$F$22)/2</f>
      </c>
      <c r="X332" s="7">
        <f>($W332)*(T332)</f>
      </c>
      <c r="Y332" s="7">
        <f>($W332)*(U332)</f>
      </c>
      <c r="Z332" s="7">
        <f>SQRT(X332^2+Y332^2)</f>
      </c>
      <c r="AA332" s="7">
        <f>$K332+$X332</f>
      </c>
      <c r="AB332" s="7">
        <f>$L332+$Y332</f>
      </c>
      <c r="AC332" s="7">
        <f>$K332-$X332</f>
      </c>
      <c r="AD332" s="7">
        <f>$L332-$Y332</f>
      </c>
      <c r="AE332" s="7">
        <f>AA332/39.3701</f>
      </c>
      <c r="AF332" s="7">
        <f>AB332/39.3701</f>
      </c>
      <c r="AG332" s="7">
        <f>AC332/39.3701</f>
      </c>
      <c r="AH332" s="7">
        <f>AD332/39.3701</f>
      </c>
      <c r="AI332" s="1"/>
      <c r="AJ332" s="1"/>
      <c r="AK332" s="1"/>
      <c r="AL332" s="1"/>
      <c r="AM332" s="2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</row>
    <row x14ac:dyDescent="0.25" r="333" customHeight="1" ht="18.75">
      <c r="A333" s="1"/>
      <c r="B333" s="2"/>
      <c r="C333" s="2"/>
      <c r="D333" s="2"/>
      <c r="E333" s="2"/>
      <c r="F333" s="2"/>
      <c r="G333" s="1"/>
      <c r="H333" s="1"/>
      <c r="I333" s="7">
        <v>0.33</v>
      </c>
      <c r="J333" s="7">
        <f>IF((I333-ROUNDDOWN(I333,0))=0, 0, (I333-ROUNDDOWN(I333,0)))</f>
      </c>
      <c r="K333" s="7">
        <f>INDIRECT("C$"&amp;2+MIN(2,ROUNDDOWN(I333,0))*3)*(-$J333^3+3*$J333^2-3*$J333+1)+INDIRECT("C$"&amp;3+MIN(2,ROUNDDOWN(I333,0))*3)*(3*$J333^3-6*$J333^2+3*$J333)+INDIRECT("C$"&amp;4+MIN(2,ROUNDDOWN(I333,0))*3)*(-3*$J333^3+3*$J333^2)+INDIRECT("C$"&amp;5+MIN(2,ROUNDDOWN(I333,0))*3)*$J333^3</f>
      </c>
      <c r="L333" s="7">
        <f>INDIRECT("D$"&amp;2+MIN(2,ROUNDDOWN(I333,0))*3)*(-$J333^3+3*$J333^2-3*$J333+1)+INDIRECT("D$"&amp;3+MIN(2,ROUNDDOWN(I333,0))*3)*(3*$J333^3-6*$J333^2+3*$J333)+INDIRECT("D$"&amp;4+MIN(2,ROUNDDOWN(I333,0))*3)*(-3*$J333^3+3*$J333^2)+INDIRECT("D$"&amp;5+MIN(2,ROUNDDOWN(I333,0))*3)*$J333^3</f>
      </c>
      <c r="M333" s="7">
        <f>SQRT(K333^2+L333^2)</f>
      </c>
      <c r="N333" s="7">
        <f>(K334-K332)</f>
      </c>
      <c r="O333" s="7">
        <f>+(L334-L332)</f>
      </c>
      <c r="P333" s="7">
        <f>SQRT(O333^2+N333^2)</f>
      </c>
      <c r="Q333" s="7">
        <f>N333/$P333</f>
      </c>
      <c r="R333" s="7">
        <f>O333/$P333</f>
      </c>
      <c r="S333" s="8">
        <f>Q333^2+R333^2</f>
      </c>
      <c r="T333" s="7">
        <f>-R333</f>
      </c>
      <c r="U333" s="7">
        <f>Q333</f>
      </c>
      <c r="V333" s="7">
        <f>($C$14+($C$15-$C$14)/($D$15-$D$14)*(I333-$D$14))/2</f>
      </c>
      <c r="W333" s="7">
        <f>($B$22*I333^4+$C$22*I333^3+$D$22*I333^2+$E$22*I333+$F$22)/2</f>
      </c>
      <c r="X333" s="7">
        <f>($W333)*(T333)</f>
      </c>
      <c r="Y333" s="7">
        <f>($W333)*(U333)</f>
      </c>
      <c r="Z333" s="7">
        <f>SQRT(X333^2+Y333^2)</f>
      </c>
      <c r="AA333" s="7">
        <f>$K333+$X333</f>
      </c>
      <c r="AB333" s="7">
        <f>$L333+$Y333</f>
      </c>
      <c r="AC333" s="7">
        <f>$K333-$X333</f>
      </c>
      <c r="AD333" s="7">
        <f>$L333-$Y333</f>
      </c>
      <c r="AE333" s="7">
        <f>AA333/39.3701</f>
      </c>
      <c r="AF333" s="7">
        <f>AB333/39.3701</f>
      </c>
      <c r="AG333" s="7">
        <f>AC333/39.3701</f>
      </c>
      <c r="AH333" s="7">
        <f>AD333/39.3701</f>
      </c>
      <c r="AI333" s="1"/>
      <c r="AJ333" s="1"/>
      <c r="AK333" s="1"/>
      <c r="AL333" s="1"/>
      <c r="AM333" s="2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</row>
    <row x14ac:dyDescent="0.25" r="334" customHeight="1" ht="18.75">
      <c r="A334" s="1"/>
      <c r="B334" s="2"/>
      <c r="C334" s="2"/>
      <c r="D334" s="2"/>
      <c r="E334" s="2"/>
      <c r="F334" s="2"/>
      <c r="G334" s="1"/>
      <c r="H334" s="1"/>
      <c r="I334" s="7">
        <v>0.331</v>
      </c>
      <c r="J334" s="7">
        <f>IF((I334-ROUNDDOWN(I334,0))=0, 0, (I334-ROUNDDOWN(I334,0)))</f>
      </c>
      <c r="K334" s="7">
        <f>INDIRECT("C$"&amp;2+MIN(2,ROUNDDOWN(I334,0))*3)*(-$J334^3+3*$J334^2-3*$J334+1)+INDIRECT("C$"&amp;3+MIN(2,ROUNDDOWN(I334,0))*3)*(3*$J334^3-6*$J334^2+3*$J334)+INDIRECT("C$"&amp;4+MIN(2,ROUNDDOWN(I334,0))*3)*(-3*$J334^3+3*$J334^2)+INDIRECT("C$"&amp;5+MIN(2,ROUNDDOWN(I334,0))*3)*$J334^3</f>
      </c>
      <c r="L334" s="7">
        <f>INDIRECT("D$"&amp;2+MIN(2,ROUNDDOWN(I334,0))*3)*(-$J334^3+3*$J334^2-3*$J334+1)+INDIRECT("D$"&amp;3+MIN(2,ROUNDDOWN(I334,0))*3)*(3*$J334^3-6*$J334^2+3*$J334)+INDIRECT("D$"&amp;4+MIN(2,ROUNDDOWN(I334,0))*3)*(-3*$J334^3+3*$J334^2)+INDIRECT("D$"&amp;5+MIN(2,ROUNDDOWN(I334,0))*3)*$J334^3</f>
      </c>
      <c r="M334" s="7">
        <f>SQRT(K334^2+L334^2)</f>
      </c>
      <c r="N334" s="7">
        <f>(K335-K333)</f>
      </c>
      <c r="O334" s="7">
        <f>+(L335-L333)</f>
      </c>
      <c r="P334" s="7">
        <f>SQRT(O334^2+N334^2)</f>
      </c>
      <c r="Q334" s="7">
        <f>N334/$P334</f>
      </c>
      <c r="R334" s="7">
        <f>O334/$P334</f>
      </c>
      <c r="S334" s="7">
        <f>Q334^2+R334^2</f>
      </c>
      <c r="T334" s="7">
        <f>-R334</f>
      </c>
      <c r="U334" s="7">
        <f>Q334</f>
      </c>
      <c r="V334" s="7">
        <f>($C$14+($C$15-$C$14)/($D$15-$D$14)*(I334-$D$14))/2</f>
      </c>
      <c r="W334" s="7">
        <f>($B$22*I334^4+$C$22*I334^3+$D$22*I334^2+$E$22*I334+$F$22)/2</f>
      </c>
      <c r="X334" s="7">
        <f>($W334)*(T334)</f>
      </c>
      <c r="Y334" s="7">
        <f>($W334)*(U334)</f>
      </c>
      <c r="Z334" s="7">
        <f>SQRT(X334^2+Y334^2)</f>
      </c>
      <c r="AA334" s="7">
        <f>$K334+$X334</f>
      </c>
      <c r="AB334" s="7">
        <f>$L334+$Y334</f>
      </c>
      <c r="AC334" s="7">
        <f>$K334-$X334</f>
      </c>
      <c r="AD334" s="7">
        <f>$L334-$Y334</f>
      </c>
      <c r="AE334" s="7">
        <f>AA334/39.3701</f>
      </c>
      <c r="AF334" s="7">
        <f>AB334/39.3701</f>
      </c>
      <c r="AG334" s="7">
        <f>AC334/39.3701</f>
      </c>
      <c r="AH334" s="7">
        <f>AD334/39.3701</f>
      </c>
      <c r="AI334" s="1"/>
      <c r="AJ334" s="1"/>
      <c r="AK334" s="1"/>
      <c r="AL334" s="1"/>
      <c r="AM334" s="2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</row>
    <row x14ac:dyDescent="0.25" r="335" customHeight="1" ht="18.75">
      <c r="A335" s="1"/>
      <c r="B335" s="2"/>
      <c r="C335" s="2"/>
      <c r="D335" s="2"/>
      <c r="E335" s="2"/>
      <c r="F335" s="2"/>
      <c r="G335" s="1"/>
      <c r="H335" s="1"/>
      <c r="I335" s="7">
        <v>0.332</v>
      </c>
      <c r="J335" s="7">
        <f>IF((I335-ROUNDDOWN(I335,0))=0, 0, (I335-ROUNDDOWN(I335,0)))</f>
      </c>
      <c r="K335" s="7">
        <f>INDIRECT("C$"&amp;2+MIN(2,ROUNDDOWN(I335,0))*3)*(-$J335^3+3*$J335^2-3*$J335+1)+INDIRECT("C$"&amp;3+MIN(2,ROUNDDOWN(I335,0))*3)*(3*$J335^3-6*$J335^2+3*$J335)+INDIRECT("C$"&amp;4+MIN(2,ROUNDDOWN(I335,0))*3)*(-3*$J335^3+3*$J335^2)+INDIRECT("C$"&amp;5+MIN(2,ROUNDDOWN(I335,0))*3)*$J335^3</f>
      </c>
      <c r="L335" s="7">
        <f>INDIRECT("D$"&amp;2+MIN(2,ROUNDDOWN(I335,0))*3)*(-$J335^3+3*$J335^2-3*$J335+1)+INDIRECT("D$"&amp;3+MIN(2,ROUNDDOWN(I335,0))*3)*(3*$J335^3-6*$J335^2+3*$J335)+INDIRECT("D$"&amp;4+MIN(2,ROUNDDOWN(I335,0))*3)*(-3*$J335^3+3*$J335^2)+INDIRECT("D$"&amp;5+MIN(2,ROUNDDOWN(I335,0))*3)*$J335^3</f>
      </c>
      <c r="M335" s="7">
        <f>SQRT(K335^2+L335^2)</f>
      </c>
      <c r="N335" s="7">
        <f>(K336-K334)</f>
      </c>
      <c r="O335" s="7">
        <f>+(L336-L334)</f>
      </c>
      <c r="P335" s="7">
        <f>SQRT(O335^2+N335^2)</f>
      </c>
      <c r="Q335" s="7">
        <f>N335/$P335</f>
      </c>
      <c r="R335" s="7">
        <f>O335/$P335</f>
      </c>
      <c r="S335" s="7">
        <f>Q335^2+R335^2</f>
      </c>
      <c r="T335" s="7">
        <f>-R335</f>
      </c>
      <c r="U335" s="7">
        <f>Q335</f>
      </c>
      <c r="V335" s="7">
        <f>($C$14+($C$15-$C$14)/($D$15-$D$14)*(I335-$D$14))/2</f>
      </c>
      <c r="W335" s="7">
        <f>($B$22*I335^4+$C$22*I335^3+$D$22*I335^2+$E$22*I335+$F$22)/2</f>
      </c>
      <c r="X335" s="7">
        <f>($W335)*(T335)</f>
      </c>
      <c r="Y335" s="7">
        <f>($W335)*(U335)</f>
      </c>
      <c r="Z335" s="7">
        <f>SQRT(X335^2+Y335^2)</f>
      </c>
      <c r="AA335" s="7">
        <f>$K335+$X335</f>
      </c>
      <c r="AB335" s="7">
        <f>$L335+$Y335</f>
      </c>
      <c r="AC335" s="7">
        <f>$K335-$X335</f>
      </c>
      <c r="AD335" s="7">
        <f>$L335-$Y335</f>
      </c>
      <c r="AE335" s="7">
        <f>AA335/39.3701</f>
      </c>
      <c r="AF335" s="7">
        <f>AB335/39.3701</f>
      </c>
      <c r="AG335" s="7">
        <f>AC335/39.3701</f>
      </c>
      <c r="AH335" s="7">
        <f>AD335/39.3701</f>
      </c>
      <c r="AI335" s="1"/>
      <c r="AJ335" s="1"/>
      <c r="AK335" s="1"/>
      <c r="AL335" s="1"/>
      <c r="AM335" s="2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</row>
    <row x14ac:dyDescent="0.25" r="336" customHeight="1" ht="18.75">
      <c r="A336" s="1"/>
      <c r="B336" s="2"/>
      <c r="C336" s="2"/>
      <c r="D336" s="2"/>
      <c r="E336" s="2"/>
      <c r="F336" s="2"/>
      <c r="G336" s="1"/>
      <c r="H336" s="1"/>
      <c r="I336" s="7">
        <v>0.333</v>
      </c>
      <c r="J336" s="7">
        <f>IF((I336-ROUNDDOWN(I336,0))=0, 0, (I336-ROUNDDOWN(I336,0)))</f>
      </c>
      <c r="K336" s="7">
        <f>INDIRECT("C$"&amp;2+MIN(2,ROUNDDOWN(I336,0))*3)*(-$J336^3+3*$J336^2-3*$J336+1)+INDIRECT("C$"&amp;3+MIN(2,ROUNDDOWN(I336,0))*3)*(3*$J336^3-6*$J336^2+3*$J336)+INDIRECT("C$"&amp;4+MIN(2,ROUNDDOWN(I336,0))*3)*(-3*$J336^3+3*$J336^2)+INDIRECT("C$"&amp;5+MIN(2,ROUNDDOWN(I336,0))*3)*$J336^3</f>
      </c>
      <c r="L336" s="7">
        <f>INDIRECT("D$"&amp;2+MIN(2,ROUNDDOWN(I336,0))*3)*(-$J336^3+3*$J336^2-3*$J336+1)+INDIRECT("D$"&amp;3+MIN(2,ROUNDDOWN(I336,0))*3)*(3*$J336^3-6*$J336^2+3*$J336)+INDIRECT("D$"&amp;4+MIN(2,ROUNDDOWN(I336,0))*3)*(-3*$J336^3+3*$J336^2)+INDIRECT("D$"&amp;5+MIN(2,ROUNDDOWN(I336,0))*3)*$J336^3</f>
      </c>
      <c r="M336" s="7">
        <f>SQRT(K336^2+L336^2)</f>
      </c>
      <c r="N336" s="7">
        <f>(K337-K335)</f>
      </c>
      <c r="O336" s="7">
        <f>+(L337-L335)</f>
      </c>
      <c r="P336" s="7">
        <f>SQRT(O336^2+N336^2)</f>
      </c>
      <c r="Q336" s="7">
        <f>N336/$P336</f>
      </c>
      <c r="R336" s="7">
        <f>O336/$P336</f>
      </c>
      <c r="S336" s="8">
        <f>Q336^2+R336^2</f>
      </c>
      <c r="T336" s="7">
        <f>-R336</f>
      </c>
      <c r="U336" s="7">
        <f>Q336</f>
      </c>
      <c r="V336" s="7">
        <f>($C$14+($C$15-$C$14)/($D$15-$D$14)*(I336-$D$14))/2</f>
      </c>
      <c r="W336" s="7">
        <f>($B$22*I336^4+$C$22*I336^3+$D$22*I336^2+$E$22*I336+$F$22)/2</f>
      </c>
      <c r="X336" s="7">
        <f>($W336)*(T336)</f>
      </c>
      <c r="Y336" s="7">
        <f>($W336)*(U336)</f>
      </c>
      <c r="Z336" s="7">
        <f>SQRT(X336^2+Y336^2)</f>
      </c>
      <c r="AA336" s="7">
        <f>$K336+$X336</f>
      </c>
      <c r="AB336" s="7">
        <f>$L336+$Y336</f>
      </c>
      <c r="AC336" s="7">
        <f>$K336-$X336</f>
      </c>
      <c r="AD336" s="7">
        <f>$L336-$Y336</f>
      </c>
      <c r="AE336" s="7">
        <f>AA336/39.3701</f>
      </c>
      <c r="AF336" s="7">
        <f>AB336/39.3701</f>
      </c>
      <c r="AG336" s="7">
        <f>AC336/39.3701</f>
      </c>
      <c r="AH336" s="7">
        <f>AD336/39.3701</f>
      </c>
      <c r="AI336" s="1"/>
      <c r="AJ336" s="1"/>
      <c r="AK336" s="1"/>
      <c r="AL336" s="1"/>
      <c r="AM336" s="2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</row>
    <row x14ac:dyDescent="0.25" r="337" customHeight="1" ht="18.75">
      <c r="A337" s="1"/>
      <c r="B337" s="2"/>
      <c r="C337" s="2"/>
      <c r="D337" s="2"/>
      <c r="E337" s="2"/>
      <c r="F337" s="2"/>
      <c r="G337" s="1"/>
      <c r="H337" s="1"/>
      <c r="I337" s="7">
        <v>0.334</v>
      </c>
      <c r="J337" s="7">
        <f>IF((I337-ROUNDDOWN(I337,0))=0, 0, (I337-ROUNDDOWN(I337,0)))</f>
      </c>
      <c r="K337" s="7">
        <f>INDIRECT("C$"&amp;2+MIN(2,ROUNDDOWN(I337,0))*3)*(-$J337^3+3*$J337^2-3*$J337+1)+INDIRECT("C$"&amp;3+MIN(2,ROUNDDOWN(I337,0))*3)*(3*$J337^3-6*$J337^2+3*$J337)+INDIRECT("C$"&amp;4+MIN(2,ROUNDDOWN(I337,0))*3)*(-3*$J337^3+3*$J337^2)+INDIRECT("C$"&amp;5+MIN(2,ROUNDDOWN(I337,0))*3)*$J337^3</f>
      </c>
      <c r="L337" s="7">
        <f>INDIRECT("D$"&amp;2+MIN(2,ROUNDDOWN(I337,0))*3)*(-$J337^3+3*$J337^2-3*$J337+1)+INDIRECT("D$"&amp;3+MIN(2,ROUNDDOWN(I337,0))*3)*(3*$J337^3-6*$J337^2+3*$J337)+INDIRECT("D$"&amp;4+MIN(2,ROUNDDOWN(I337,0))*3)*(-3*$J337^3+3*$J337^2)+INDIRECT("D$"&amp;5+MIN(2,ROUNDDOWN(I337,0))*3)*$J337^3</f>
      </c>
      <c r="M337" s="7">
        <f>SQRT(K337^2+L337^2)</f>
      </c>
      <c r="N337" s="7">
        <f>(K338-K336)</f>
      </c>
      <c r="O337" s="7">
        <f>+(L338-L336)</f>
      </c>
      <c r="P337" s="7">
        <f>SQRT(O337^2+N337^2)</f>
      </c>
      <c r="Q337" s="7">
        <f>N337/$P337</f>
      </c>
      <c r="R337" s="7">
        <f>O337/$P337</f>
      </c>
      <c r="S337" s="7">
        <f>Q337^2+R337^2</f>
      </c>
      <c r="T337" s="7">
        <f>-R337</f>
      </c>
      <c r="U337" s="7">
        <f>Q337</f>
      </c>
      <c r="V337" s="7">
        <f>($C$14+($C$15-$C$14)/($D$15-$D$14)*(I337-$D$14))/2</f>
      </c>
      <c r="W337" s="7">
        <f>($B$22*I337^4+$C$22*I337^3+$D$22*I337^2+$E$22*I337+$F$22)/2</f>
      </c>
      <c r="X337" s="7">
        <f>($W337)*(T337)</f>
      </c>
      <c r="Y337" s="7">
        <f>($W337)*(U337)</f>
      </c>
      <c r="Z337" s="7">
        <f>SQRT(X337^2+Y337^2)</f>
      </c>
      <c r="AA337" s="7">
        <f>$K337+$X337</f>
      </c>
      <c r="AB337" s="7">
        <f>$L337+$Y337</f>
      </c>
      <c r="AC337" s="7">
        <f>$K337-$X337</f>
      </c>
      <c r="AD337" s="7">
        <f>$L337-$Y337</f>
      </c>
      <c r="AE337" s="7">
        <f>AA337/39.3701</f>
      </c>
      <c r="AF337" s="7">
        <f>AB337/39.3701</f>
      </c>
      <c r="AG337" s="7">
        <f>AC337/39.3701</f>
      </c>
      <c r="AH337" s="7">
        <f>AD337/39.3701</f>
      </c>
      <c r="AI337" s="1"/>
      <c r="AJ337" s="1"/>
      <c r="AK337" s="1"/>
      <c r="AL337" s="1"/>
      <c r="AM337" s="2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</row>
    <row x14ac:dyDescent="0.25" r="338" customHeight="1" ht="18.75">
      <c r="A338" s="1"/>
      <c r="B338" s="2"/>
      <c r="C338" s="2"/>
      <c r="D338" s="2"/>
      <c r="E338" s="2"/>
      <c r="F338" s="2"/>
      <c r="G338" s="1"/>
      <c r="H338" s="1"/>
      <c r="I338" s="7">
        <v>0.335</v>
      </c>
      <c r="J338" s="7">
        <f>IF((I338-ROUNDDOWN(I338,0))=0, 0, (I338-ROUNDDOWN(I338,0)))</f>
      </c>
      <c r="K338" s="7">
        <f>INDIRECT("C$"&amp;2+MIN(2,ROUNDDOWN(I338,0))*3)*(-$J338^3+3*$J338^2-3*$J338+1)+INDIRECT("C$"&amp;3+MIN(2,ROUNDDOWN(I338,0))*3)*(3*$J338^3-6*$J338^2+3*$J338)+INDIRECT("C$"&amp;4+MIN(2,ROUNDDOWN(I338,0))*3)*(-3*$J338^3+3*$J338^2)+INDIRECT("C$"&amp;5+MIN(2,ROUNDDOWN(I338,0))*3)*$J338^3</f>
      </c>
      <c r="L338" s="7">
        <f>INDIRECT("D$"&amp;2+MIN(2,ROUNDDOWN(I338,0))*3)*(-$J338^3+3*$J338^2-3*$J338+1)+INDIRECT("D$"&amp;3+MIN(2,ROUNDDOWN(I338,0))*3)*(3*$J338^3-6*$J338^2+3*$J338)+INDIRECT("D$"&amp;4+MIN(2,ROUNDDOWN(I338,0))*3)*(-3*$J338^3+3*$J338^2)+INDIRECT("D$"&amp;5+MIN(2,ROUNDDOWN(I338,0))*3)*$J338^3</f>
      </c>
      <c r="M338" s="7">
        <f>SQRT(K338^2+L338^2)</f>
      </c>
      <c r="N338" s="7">
        <f>(K339-K337)</f>
      </c>
      <c r="O338" s="7">
        <f>+(L339-L337)</f>
      </c>
      <c r="P338" s="7">
        <f>SQRT(O338^2+N338^2)</f>
      </c>
      <c r="Q338" s="7">
        <f>N338/$P338</f>
      </c>
      <c r="R338" s="7">
        <f>O338/$P338</f>
      </c>
      <c r="S338" s="8">
        <f>Q338^2+R338^2</f>
      </c>
      <c r="T338" s="7">
        <f>-R338</f>
      </c>
      <c r="U338" s="7">
        <f>Q338</f>
      </c>
      <c r="V338" s="7">
        <f>($C$14+($C$15-$C$14)/($D$15-$D$14)*(I338-$D$14))/2</f>
      </c>
      <c r="W338" s="7">
        <f>($B$22*I338^4+$C$22*I338^3+$D$22*I338^2+$E$22*I338+$F$22)/2</f>
      </c>
      <c r="X338" s="7">
        <f>($W338)*(T338)</f>
      </c>
      <c r="Y338" s="7">
        <f>($W338)*(U338)</f>
      </c>
      <c r="Z338" s="7">
        <f>SQRT(X338^2+Y338^2)</f>
      </c>
      <c r="AA338" s="7">
        <f>$K338+$X338</f>
      </c>
      <c r="AB338" s="7">
        <f>$L338+$Y338</f>
      </c>
      <c r="AC338" s="7">
        <f>$K338-$X338</f>
      </c>
      <c r="AD338" s="7">
        <f>$L338-$Y338</f>
      </c>
      <c r="AE338" s="7">
        <f>AA338/39.3701</f>
      </c>
      <c r="AF338" s="7">
        <f>AB338/39.3701</f>
      </c>
      <c r="AG338" s="7">
        <f>AC338/39.3701</f>
      </c>
      <c r="AH338" s="7">
        <f>AD338/39.3701</f>
      </c>
      <c r="AI338" s="1"/>
      <c r="AJ338" s="1"/>
      <c r="AK338" s="1"/>
      <c r="AL338" s="1"/>
      <c r="AM338" s="2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</row>
    <row x14ac:dyDescent="0.25" r="339" customHeight="1" ht="18.75">
      <c r="A339" s="1"/>
      <c r="B339" s="2"/>
      <c r="C339" s="2"/>
      <c r="D339" s="2"/>
      <c r="E339" s="2"/>
      <c r="F339" s="2"/>
      <c r="G339" s="1"/>
      <c r="H339" s="1"/>
      <c r="I339" s="7">
        <v>0.336</v>
      </c>
      <c r="J339" s="7">
        <f>IF((I339-ROUNDDOWN(I339,0))=0, 0, (I339-ROUNDDOWN(I339,0)))</f>
      </c>
      <c r="K339" s="7">
        <f>INDIRECT("C$"&amp;2+MIN(2,ROUNDDOWN(I339,0))*3)*(-$J339^3+3*$J339^2-3*$J339+1)+INDIRECT("C$"&amp;3+MIN(2,ROUNDDOWN(I339,0))*3)*(3*$J339^3-6*$J339^2+3*$J339)+INDIRECT("C$"&amp;4+MIN(2,ROUNDDOWN(I339,0))*3)*(-3*$J339^3+3*$J339^2)+INDIRECT("C$"&amp;5+MIN(2,ROUNDDOWN(I339,0))*3)*$J339^3</f>
      </c>
      <c r="L339" s="7">
        <f>INDIRECT("D$"&amp;2+MIN(2,ROUNDDOWN(I339,0))*3)*(-$J339^3+3*$J339^2-3*$J339+1)+INDIRECT("D$"&amp;3+MIN(2,ROUNDDOWN(I339,0))*3)*(3*$J339^3-6*$J339^2+3*$J339)+INDIRECT("D$"&amp;4+MIN(2,ROUNDDOWN(I339,0))*3)*(-3*$J339^3+3*$J339^2)+INDIRECT("D$"&amp;5+MIN(2,ROUNDDOWN(I339,0))*3)*$J339^3</f>
      </c>
      <c r="M339" s="7">
        <f>SQRT(K339^2+L339^2)</f>
      </c>
      <c r="N339" s="7">
        <f>(K340-K338)</f>
      </c>
      <c r="O339" s="7">
        <f>+(L340-L338)</f>
      </c>
      <c r="P339" s="7">
        <f>SQRT(O339^2+N339^2)</f>
      </c>
      <c r="Q339" s="7">
        <f>N339/$P339</f>
      </c>
      <c r="R339" s="7">
        <f>O339/$P339</f>
      </c>
      <c r="S339" s="8">
        <f>Q339^2+R339^2</f>
      </c>
      <c r="T339" s="7">
        <f>-R339</f>
      </c>
      <c r="U339" s="7">
        <f>Q339</f>
      </c>
      <c r="V339" s="7">
        <f>($C$14+($C$15-$C$14)/($D$15-$D$14)*(I339-$D$14))/2</f>
      </c>
      <c r="W339" s="7">
        <f>($B$22*I339^4+$C$22*I339^3+$D$22*I339^2+$E$22*I339+$F$22)/2</f>
      </c>
      <c r="X339" s="7">
        <f>($W339)*(T339)</f>
      </c>
      <c r="Y339" s="7">
        <f>($W339)*(U339)</f>
      </c>
      <c r="Z339" s="7">
        <f>SQRT(X339^2+Y339^2)</f>
      </c>
      <c r="AA339" s="7">
        <f>$K339+$X339</f>
      </c>
      <c r="AB339" s="7">
        <f>$L339+$Y339</f>
      </c>
      <c r="AC339" s="7">
        <f>$K339-$X339</f>
      </c>
      <c r="AD339" s="7">
        <f>$L339-$Y339</f>
      </c>
      <c r="AE339" s="7">
        <f>AA339/39.3701</f>
      </c>
      <c r="AF339" s="7">
        <f>AB339/39.3701</f>
      </c>
      <c r="AG339" s="7">
        <f>AC339/39.3701</f>
      </c>
      <c r="AH339" s="7">
        <f>AD339/39.3701</f>
      </c>
      <c r="AI339" s="1"/>
      <c r="AJ339" s="1"/>
      <c r="AK339" s="1"/>
      <c r="AL339" s="1"/>
      <c r="AM339" s="2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</row>
    <row x14ac:dyDescent="0.25" r="340" customHeight="1" ht="18.75">
      <c r="A340" s="1"/>
      <c r="B340" s="2"/>
      <c r="C340" s="2"/>
      <c r="D340" s="2"/>
      <c r="E340" s="2"/>
      <c r="F340" s="2"/>
      <c r="G340" s="1"/>
      <c r="H340" s="1"/>
      <c r="I340" s="7">
        <v>0.337</v>
      </c>
      <c r="J340" s="7">
        <f>IF((I340-ROUNDDOWN(I340,0))=0, 0, (I340-ROUNDDOWN(I340,0)))</f>
      </c>
      <c r="K340" s="7">
        <f>INDIRECT("C$"&amp;2+MIN(2,ROUNDDOWN(I340,0))*3)*(-$J340^3+3*$J340^2-3*$J340+1)+INDIRECT("C$"&amp;3+MIN(2,ROUNDDOWN(I340,0))*3)*(3*$J340^3-6*$J340^2+3*$J340)+INDIRECT("C$"&amp;4+MIN(2,ROUNDDOWN(I340,0))*3)*(-3*$J340^3+3*$J340^2)+INDIRECT("C$"&amp;5+MIN(2,ROUNDDOWN(I340,0))*3)*$J340^3</f>
      </c>
      <c r="L340" s="7">
        <f>INDIRECT("D$"&amp;2+MIN(2,ROUNDDOWN(I340,0))*3)*(-$J340^3+3*$J340^2-3*$J340+1)+INDIRECT("D$"&amp;3+MIN(2,ROUNDDOWN(I340,0))*3)*(3*$J340^3-6*$J340^2+3*$J340)+INDIRECT("D$"&amp;4+MIN(2,ROUNDDOWN(I340,0))*3)*(-3*$J340^3+3*$J340^2)+INDIRECT("D$"&amp;5+MIN(2,ROUNDDOWN(I340,0))*3)*$J340^3</f>
      </c>
      <c r="M340" s="7">
        <f>SQRT(K340^2+L340^2)</f>
      </c>
      <c r="N340" s="7">
        <f>(K341-K339)</f>
      </c>
      <c r="O340" s="7">
        <f>+(L341-L339)</f>
      </c>
      <c r="P340" s="7">
        <f>SQRT(O340^2+N340^2)</f>
      </c>
      <c r="Q340" s="7">
        <f>N340/$P340</f>
      </c>
      <c r="R340" s="7">
        <f>O340/$P340</f>
      </c>
      <c r="S340" s="8">
        <f>Q340^2+R340^2</f>
      </c>
      <c r="T340" s="7">
        <f>-R340</f>
      </c>
      <c r="U340" s="7">
        <f>Q340</f>
      </c>
      <c r="V340" s="7">
        <f>($C$14+($C$15-$C$14)/($D$15-$D$14)*(I340-$D$14))/2</f>
      </c>
      <c r="W340" s="7">
        <f>($B$22*I340^4+$C$22*I340^3+$D$22*I340^2+$E$22*I340+$F$22)/2</f>
      </c>
      <c r="X340" s="7">
        <f>($W340)*(T340)</f>
      </c>
      <c r="Y340" s="7">
        <f>($W340)*(U340)</f>
      </c>
      <c r="Z340" s="7">
        <f>SQRT(X340^2+Y340^2)</f>
      </c>
      <c r="AA340" s="7">
        <f>$K340+$X340</f>
      </c>
      <c r="AB340" s="7">
        <f>$L340+$Y340</f>
      </c>
      <c r="AC340" s="7">
        <f>$K340-$X340</f>
      </c>
      <c r="AD340" s="7">
        <f>$L340-$Y340</f>
      </c>
      <c r="AE340" s="7">
        <f>AA340/39.3701</f>
      </c>
      <c r="AF340" s="7">
        <f>AB340/39.3701</f>
      </c>
      <c r="AG340" s="7">
        <f>AC340/39.3701</f>
      </c>
      <c r="AH340" s="7">
        <f>AD340/39.3701</f>
      </c>
      <c r="AI340" s="1"/>
      <c r="AJ340" s="1"/>
      <c r="AK340" s="1"/>
      <c r="AL340" s="1"/>
      <c r="AM340" s="2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</row>
    <row x14ac:dyDescent="0.25" r="341" customHeight="1" ht="18.75">
      <c r="A341" s="1"/>
      <c r="B341" s="2"/>
      <c r="C341" s="2"/>
      <c r="D341" s="2"/>
      <c r="E341" s="2"/>
      <c r="F341" s="2"/>
      <c r="G341" s="1"/>
      <c r="H341" s="1"/>
      <c r="I341" s="7">
        <v>0.338</v>
      </c>
      <c r="J341" s="7">
        <f>IF((I341-ROUNDDOWN(I341,0))=0, 0, (I341-ROUNDDOWN(I341,0)))</f>
      </c>
      <c r="K341" s="7">
        <f>INDIRECT("C$"&amp;2+MIN(2,ROUNDDOWN(I341,0))*3)*(-$J341^3+3*$J341^2-3*$J341+1)+INDIRECT("C$"&amp;3+MIN(2,ROUNDDOWN(I341,0))*3)*(3*$J341^3-6*$J341^2+3*$J341)+INDIRECT("C$"&amp;4+MIN(2,ROUNDDOWN(I341,0))*3)*(-3*$J341^3+3*$J341^2)+INDIRECT("C$"&amp;5+MIN(2,ROUNDDOWN(I341,0))*3)*$J341^3</f>
      </c>
      <c r="L341" s="7">
        <f>INDIRECT("D$"&amp;2+MIN(2,ROUNDDOWN(I341,0))*3)*(-$J341^3+3*$J341^2-3*$J341+1)+INDIRECT("D$"&amp;3+MIN(2,ROUNDDOWN(I341,0))*3)*(3*$J341^3-6*$J341^2+3*$J341)+INDIRECT("D$"&amp;4+MIN(2,ROUNDDOWN(I341,0))*3)*(-3*$J341^3+3*$J341^2)+INDIRECT("D$"&amp;5+MIN(2,ROUNDDOWN(I341,0))*3)*$J341^3</f>
      </c>
      <c r="M341" s="7">
        <f>SQRT(K341^2+L341^2)</f>
      </c>
      <c r="N341" s="7">
        <f>(K342-K340)</f>
      </c>
      <c r="O341" s="7">
        <f>+(L342-L340)</f>
      </c>
      <c r="P341" s="7">
        <f>SQRT(O341^2+N341^2)</f>
      </c>
      <c r="Q341" s="7">
        <f>N341/$P341</f>
      </c>
      <c r="R341" s="7">
        <f>O341/$P341</f>
      </c>
      <c r="S341" s="7">
        <f>Q341^2+R341^2</f>
      </c>
      <c r="T341" s="7">
        <f>-R341</f>
      </c>
      <c r="U341" s="7">
        <f>Q341</f>
      </c>
      <c r="V341" s="7">
        <f>($C$14+($C$15-$C$14)/($D$15-$D$14)*(I341-$D$14))/2</f>
      </c>
      <c r="W341" s="7">
        <f>($B$22*I341^4+$C$22*I341^3+$D$22*I341^2+$E$22*I341+$F$22)/2</f>
      </c>
      <c r="X341" s="7">
        <f>($W341)*(T341)</f>
      </c>
      <c r="Y341" s="7">
        <f>($W341)*(U341)</f>
      </c>
      <c r="Z341" s="7">
        <f>SQRT(X341^2+Y341^2)</f>
      </c>
      <c r="AA341" s="7">
        <f>$K341+$X341</f>
      </c>
      <c r="AB341" s="7">
        <f>$L341+$Y341</f>
      </c>
      <c r="AC341" s="7">
        <f>$K341-$X341</f>
      </c>
      <c r="AD341" s="7">
        <f>$L341-$Y341</f>
      </c>
      <c r="AE341" s="7">
        <f>AA341/39.3701</f>
      </c>
      <c r="AF341" s="7">
        <f>AB341/39.3701</f>
      </c>
      <c r="AG341" s="7">
        <f>AC341/39.3701</f>
      </c>
      <c r="AH341" s="7">
        <f>AD341/39.3701</f>
      </c>
      <c r="AI341" s="1"/>
      <c r="AJ341" s="1"/>
      <c r="AK341" s="1"/>
      <c r="AL341" s="1"/>
      <c r="AM341" s="2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</row>
    <row x14ac:dyDescent="0.25" r="342" customHeight="1" ht="18.75">
      <c r="A342" s="1"/>
      <c r="B342" s="2"/>
      <c r="C342" s="2"/>
      <c r="D342" s="2"/>
      <c r="E342" s="2"/>
      <c r="F342" s="2"/>
      <c r="G342" s="1"/>
      <c r="H342" s="1"/>
      <c r="I342" s="7">
        <v>0.339</v>
      </c>
      <c r="J342" s="7">
        <f>IF((I342-ROUNDDOWN(I342,0))=0, 0, (I342-ROUNDDOWN(I342,0)))</f>
      </c>
      <c r="K342" s="7">
        <f>INDIRECT("C$"&amp;2+MIN(2,ROUNDDOWN(I342,0))*3)*(-$J342^3+3*$J342^2-3*$J342+1)+INDIRECT("C$"&amp;3+MIN(2,ROUNDDOWN(I342,0))*3)*(3*$J342^3-6*$J342^2+3*$J342)+INDIRECT("C$"&amp;4+MIN(2,ROUNDDOWN(I342,0))*3)*(-3*$J342^3+3*$J342^2)+INDIRECT("C$"&amp;5+MIN(2,ROUNDDOWN(I342,0))*3)*$J342^3</f>
      </c>
      <c r="L342" s="7">
        <f>INDIRECT("D$"&amp;2+MIN(2,ROUNDDOWN(I342,0))*3)*(-$J342^3+3*$J342^2-3*$J342+1)+INDIRECT("D$"&amp;3+MIN(2,ROUNDDOWN(I342,0))*3)*(3*$J342^3-6*$J342^2+3*$J342)+INDIRECT("D$"&amp;4+MIN(2,ROUNDDOWN(I342,0))*3)*(-3*$J342^3+3*$J342^2)+INDIRECT("D$"&amp;5+MIN(2,ROUNDDOWN(I342,0))*3)*$J342^3</f>
      </c>
      <c r="M342" s="7">
        <f>SQRT(K342^2+L342^2)</f>
      </c>
      <c r="N342" s="7">
        <f>(K343-K341)</f>
      </c>
      <c r="O342" s="7">
        <f>+(L343-L341)</f>
      </c>
      <c r="P342" s="7">
        <f>SQRT(O342^2+N342^2)</f>
      </c>
      <c r="Q342" s="7">
        <f>N342/$P342</f>
      </c>
      <c r="R342" s="7">
        <f>O342/$P342</f>
      </c>
      <c r="S342" s="8">
        <f>Q342^2+R342^2</f>
      </c>
      <c r="T342" s="7">
        <f>-R342</f>
      </c>
      <c r="U342" s="7">
        <f>Q342</f>
      </c>
      <c r="V342" s="7">
        <f>($C$14+($C$15-$C$14)/($D$15-$D$14)*(I342-$D$14))/2</f>
      </c>
      <c r="W342" s="7">
        <f>($B$22*I342^4+$C$22*I342^3+$D$22*I342^2+$E$22*I342+$F$22)/2</f>
      </c>
      <c r="X342" s="7">
        <f>($W342)*(T342)</f>
      </c>
      <c r="Y342" s="7">
        <f>($W342)*(U342)</f>
      </c>
      <c r="Z342" s="7">
        <f>SQRT(X342^2+Y342^2)</f>
      </c>
      <c r="AA342" s="7">
        <f>$K342+$X342</f>
      </c>
      <c r="AB342" s="7">
        <f>$L342+$Y342</f>
      </c>
      <c r="AC342" s="7">
        <f>$K342-$X342</f>
      </c>
      <c r="AD342" s="7">
        <f>$L342-$Y342</f>
      </c>
      <c r="AE342" s="7">
        <f>AA342/39.3701</f>
      </c>
      <c r="AF342" s="7">
        <f>AB342/39.3701</f>
      </c>
      <c r="AG342" s="7">
        <f>AC342/39.3701</f>
      </c>
      <c r="AH342" s="7">
        <f>AD342/39.3701</f>
      </c>
      <c r="AI342" s="1"/>
      <c r="AJ342" s="1"/>
      <c r="AK342" s="1"/>
      <c r="AL342" s="1"/>
      <c r="AM342" s="2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</row>
    <row x14ac:dyDescent="0.25" r="343" customHeight="1" ht="18.75">
      <c r="A343" s="1"/>
      <c r="B343" s="2"/>
      <c r="C343" s="2"/>
      <c r="D343" s="2"/>
      <c r="E343" s="2"/>
      <c r="F343" s="2"/>
      <c r="G343" s="1"/>
      <c r="H343" s="1"/>
      <c r="I343" s="7">
        <v>0.34</v>
      </c>
      <c r="J343" s="7">
        <f>IF((I343-ROUNDDOWN(I343,0))=0, 0, (I343-ROUNDDOWN(I343,0)))</f>
      </c>
      <c r="K343" s="7">
        <f>INDIRECT("C$"&amp;2+MIN(2,ROUNDDOWN(I343,0))*3)*(-$J343^3+3*$J343^2-3*$J343+1)+INDIRECT("C$"&amp;3+MIN(2,ROUNDDOWN(I343,0))*3)*(3*$J343^3-6*$J343^2+3*$J343)+INDIRECT("C$"&amp;4+MIN(2,ROUNDDOWN(I343,0))*3)*(-3*$J343^3+3*$J343^2)+INDIRECT("C$"&amp;5+MIN(2,ROUNDDOWN(I343,0))*3)*$J343^3</f>
      </c>
      <c r="L343" s="7">
        <f>INDIRECT("D$"&amp;2+MIN(2,ROUNDDOWN(I343,0))*3)*(-$J343^3+3*$J343^2-3*$J343+1)+INDIRECT("D$"&amp;3+MIN(2,ROUNDDOWN(I343,0))*3)*(3*$J343^3-6*$J343^2+3*$J343)+INDIRECT("D$"&amp;4+MIN(2,ROUNDDOWN(I343,0))*3)*(-3*$J343^3+3*$J343^2)+INDIRECT("D$"&amp;5+MIN(2,ROUNDDOWN(I343,0))*3)*$J343^3</f>
      </c>
      <c r="M343" s="7">
        <f>SQRT(K343^2+L343^2)</f>
      </c>
      <c r="N343" s="7">
        <f>(K344-K342)</f>
      </c>
      <c r="O343" s="7">
        <f>+(L344-L342)</f>
      </c>
      <c r="P343" s="7">
        <f>SQRT(O343^2+N343^2)</f>
      </c>
      <c r="Q343" s="7">
        <f>N343/$P343</f>
      </c>
      <c r="R343" s="7">
        <f>O343/$P343</f>
      </c>
      <c r="S343" s="7">
        <f>Q343^2+R343^2</f>
      </c>
      <c r="T343" s="7">
        <f>-R343</f>
      </c>
      <c r="U343" s="7">
        <f>Q343</f>
      </c>
      <c r="V343" s="7">
        <f>($C$14+($C$15-$C$14)/($D$15-$D$14)*(I343-$D$14))/2</f>
      </c>
      <c r="W343" s="7">
        <f>($B$22*I343^4+$C$22*I343^3+$D$22*I343^2+$E$22*I343+$F$22)/2</f>
      </c>
      <c r="X343" s="7">
        <f>($W343)*(T343)</f>
      </c>
      <c r="Y343" s="7">
        <f>($W343)*(U343)</f>
      </c>
      <c r="Z343" s="7">
        <f>SQRT(X343^2+Y343^2)</f>
      </c>
      <c r="AA343" s="7">
        <f>$K343+$X343</f>
      </c>
      <c r="AB343" s="7">
        <f>$L343+$Y343</f>
      </c>
      <c r="AC343" s="7">
        <f>$K343-$X343</f>
      </c>
      <c r="AD343" s="7">
        <f>$L343-$Y343</f>
      </c>
      <c r="AE343" s="7">
        <f>AA343/39.3701</f>
      </c>
      <c r="AF343" s="7">
        <f>AB343/39.3701</f>
      </c>
      <c r="AG343" s="7">
        <f>AC343/39.3701</f>
      </c>
      <c r="AH343" s="7">
        <f>AD343/39.3701</f>
      </c>
      <c r="AI343" s="1"/>
      <c r="AJ343" s="1"/>
      <c r="AK343" s="1"/>
      <c r="AL343" s="1"/>
      <c r="AM343" s="2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</row>
    <row x14ac:dyDescent="0.25" r="344" customHeight="1" ht="18.75">
      <c r="A344" s="1"/>
      <c r="B344" s="2"/>
      <c r="C344" s="2"/>
      <c r="D344" s="2"/>
      <c r="E344" s="2"/>
      <c r="F344" s="2"/>
      <c r="G344" s="1"/>
      <c r="H344" s="1"/>
      <c r="I344" s="7">
        <v>0.341</v>
      </c>
      <c r="J344" s="7">
        <f>IF((I344-ROUNDDOWN(I344,0))=0, 0, (I344-ROUNDDOWN(I344,0)))</f>
      </c>
      <c r="K344" s="7">
        <f>INDIRECT("C$"&amp;2+MIN(2,ROUNDDOWN(I344,0))*3)*(-$J344^3+3*$J344^2-3*$J344+1)+INDIRECT("C$"&amp;3+MIN(2,ROUNDDOWN(I344,0))*3)*(3*$J344^3-6*$J344^2+3*$J344)+INDIRECT("C$"&amp;4+MIN(2,ROUNDDOWN(I344,0))*3)*(-3*$J344^3+3*$J344^2)+INDIRECT("C$"&amp;5+MIN(2,ROUNDDOWN(I344,0))*3)*$J344^3</f>
      </c>
      <c r="L344" s="7">
        <f>INDIRECT("D$"&amp;2+MIN(2,ROUNDDOWN(I344,0))*3)*(-$J344^3+3*$J344^2-3*$J344+1)+INDIRECT("D$"&amp;3+MIN(2,ROUNDDOWN(I344,0))*3)*(3*$J344^3-6*$J344^2+3*$J344)+INDIRECT("D$"&amp;4+MIN(2,ROUNDDOWN(I344,0))*3)*(-3*$J344^3+3*$J344^2)+INDIRECT("D$"&amp;5+MIN(2,ROUNDDOWN(I344,0))*3)*$J344^3</f>
      </c>
      <c r="M344" s="7">
        <f>SQRT(K344^2+L344^2)</f>
      </c>
      <c r="N344" s="7">
        <f>(K345-K343)</f>
      </c>
      <c r="O344" s="7">
        <f>+(L345-L343)</f>
      </c>
      <c r="P344" s="7">
        <f>SQRT(O344^2+N344^2)</f>
      </c>
      <c r="Q344" s="7">
        <f>N344/$P344</f>
      </c>
      <c r="R344" s="7">
        <f>O344/$P344</f>
      </c>
      <c r="S344" s="8">
        <f>Q344^2+R344^2</f>
      </c>
      <c r="T344" s="7">
        <f>-R344</f>
      </c>
      <c r="U344" s="7">
        <f>Q344</f>
      </c>
      <c r="V344" s="7">
        <f>($C$14+($C$15-$C$14)/($D$15-$D$14)*(I344-$D$14))/2</f>
      </c>
      <c r="W344" s="7">
        <f>($B$22*I344^4+$C$22*I344^3+$D$22*I344^2+$E$22*I344+$F$22)/2</f>
      </c>
      <c r="X344" s="7">
        <f>($W344)*(T344)</f>
      </c>
      <c r="Y344" s="7">
        <f>($W344)*(U344)</f>
      </c>
      <c r="Z344" s="7">
        <f>SQRT(X344^2+Y344^2)</f>
      </c>
      <c r="AA344" s="7">
        <f>$K344+$X344</f>
      </c>
      <c r="AB344" s="7">
        <f>$L344+$Y344</f>
      </c>
      <c r="AC344" s="7">
        <f>$K344-$X344</f>
      </c>
      <c r="AD344" s="7">
        <f>$L344-$Y344</f>
      </c>
      <c r="AE344" s="7">
        <f>AA344/39.3701</f>
      </c>
      <c r="AF344" s="7">
        <f>AB344/39.3701</f>
      </c>
      <c r="AG344" s="7">
        <f>AC344/39.3701</f>
      </c>
      <c r="AH344" s="7">
        <f>AD344/39.3701</f>
      </c>
      <c r="AI344" s="1"/>
      <c r="AJ344" s="1"/>
      <c r="AK344" s="1"/>
      <c r="AL344" s="1"/>
      <c r="AM344" s="2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</row>
    <row x14ac:dyDescent="0.25" r="345" customHeight="1" ht="18.75">
      <c r="A345" s="1"/>
      <c r="B345" s="2"/>
      <c r="C345" s="2"/>
      <c r="D345" s="2"/>
      <c r="E345" s="2"/>
      <c r="F345" s="2"/>
      <c r="G345" s="1"/>
      <c r="H345" s="1"/>
      <c r="I345" s="7">
        <v>0.342</v>
      </c>
      <c r="J345" s="7">
        <f>IF((I345-ROUNDDOWN(I345,0))=0, 0, (I345-ROUNDDOWN(I345,0)))</f>
      </c>
      <c r="K345" s="7">
        <f>INDIRECT("C$"&amp;2+MIN(2,ROUNDDOWN(I345,0))*3)*(-$J345^3+3*$J345^2-3*$J345+1)+INDIRECT("C$"&amp;3+MIN(2,ROUNDDOWN(I345,0))*3)*(3*$J345^3-6*$J345^2+3*$J345)+INDIRECT("C$"&amp;4+MIN(2,ROUNDDOWN(I345,0))*3)*(-3*$J345^3+3*$J345^2)+INDIRECT("C$"&amp;5+MIN(2,ROUNDDOWN(I345,0))*3)*$J345^3</f>
      </c>
      <c r="L345" s="7">
        <f>INDIRECT("D$"&amp;2+MIN(2,ROUNDDOWN(I345,0))*3)*(-$J345^3+3*$J345^2-3*$J345+1)+INDIRECT("D$"&amp;3+MIN(2,ROUNDDOWN(I345,0))*3)*(3*$J345^3-6*$J345^2+3*$J345)+INDIRECT("D$"&amp;4+MIN(2,ROUNDDOWN(I345,0))*3)*(-3*$J345^3+3*$J345^2)+INDIRECT("D$"&amp;5+MIN(2,ROUNDDOWN(I345,0))*3)*$J345^3</f>
      </c>
      <c r="M345" s="7">
        <f>SQRT(K345^2+L345^2)</f>
      </c>
      <c r="N345" s="7">
        <f>(K346-K344)</f>
      </c>
      <c r="O345" s="7">
        <f>+(L346-L344)</f>
      </c>
      <c r="P345" s="7">
        <f>SQRT(O345^2+N345^2)</f>
      </c>
      <c r="Q345" s="7">
        <f>N345/$P345</f>
      </c>
      <c r="R345" s="7">
        <f>O345/$P345</f>
      </c>
      <c r="S345" s="8">
        <f>Q345^2+R345^2</f>
      </c>
      <c r="T345" s="7">
        <f>-R345</f>
      </c>
      <c r="U345" s="7">
        <f>Q345</f>
      </c>
      <c r="V345" s="7">
        <f>($C$14+($C$15-$C$14)/($D$15-$D$14)*(I345-$D$14))/2</f>
      </c>
      <c r="W345" s="7">
        <f>($B$22*I345^4+$C$22*I345^3+$D$22*I345^2+$E$22*I345+$F$22)/2</f>
      </c>
      <c r="X345" s="7">
        <f>($W345)*(T345)</f>
      </c>
      <c r="Y345" s="7">
        <f>($W345)*(U345)</f>
      </c>
      <c r="Z345" s="7">
        <f>SQRT(X345^2+Y345^2)</f>
      </c>
      <c r="AA345" s="7">
        <f>$K345+$X345</f>
      </c>
      <c r="AB345" s="7">
        <f>$L345+$Y345</f>
      </c>
      <c r="AC345" s="7">
        <f>$K345-$X345</f>
      </c>
      <c r="AD345" s="7">
        <f>$L345-$Y345</f>
      </c>
      <c r="AE345" s="7">
        <f>AA345/39.3701</f>
      </c>
      <c r="AF345" s="7">
        <f>AB345/39.3701</f>
      </c>
      <c r="AG345" s="7">
        <f>AC345/39.3701</f>
      </c>
      <c r="AH345" s="7">
        <f>AD345/39.3701</f>
      </c>
      <c r="AI345" s="1"/>
      <c r="AJ345" s="1"/>
      <c r="AK345" s="1"/>
      <c r="AL345" s="1"/>
      <c r="AM345" s="2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</row>
    <row x14ac:dyDescent="0.25" r="346" customHeight="1" ht="18.75">
      <c r="A346" s="1"/>
      <c r="B346" s="2"/>
      <c r="C346" s="2"/>
      <c r="D346" s="2"/>
      <c r="E346" s="2"/>
      <c r="F346" s="2"/>
      <c r="G346" s="1"/>
      <c r="H346" s="1"/>
      <c r="I346" s="7">
        <v>0.343</v>
      </c>
      <c r="J346" s="7">
        <f>IF((I346-ROUNDDOWN(I346,0))=0, 0, (I346-ROUNDDOWN(I346,0)))</f>
      </c>
      <c r="K346" s="7">
        <f>INDIRECT("C$"&amp;2+MIN(2,ROUNDDOWN(I346,0))*3)*(-$J346^3+3*$J346^2-3*$J346+1)+INDIRECT("C$"&amp;3+MIN(2,ROUNDDOWN(I346,0))*3)*(3*$J346^3-6*$J346^2+3*$J346)+INDIRECT("C$"&amp;4+MIN(2,ROUNDDOWN(I346,0))*3)*(-3*$J346^3+3*$J346^2)+INDIRECT("C$"&amp;5+MIN(2,ROUNDDOWN(I346,0))*3)*$J346^3</f>
      </c>
      <c r="L346" s="7">
        <f>INDIRECT("D$"&amp;2+MIN(2,ROUNDDOWN(I346,0))*3)*(-$J346^3+3*$J346^2-3*$J346+1)+INDIRECT("D$"&amp;3+MIN(2,ROUNDDOWN(I346,0))*3)*(3*$J346^3-6*$J346^2+3*$J346)+INDIRECT("D$"&amp;4+MIN(2,ROUNDDOWN(I346,0))*3)*(-3*$J346^3+3*$J346^2)+INDIRECT("D$"&amp;5+MIN(2,ROUNDDOWN(I346,0))*3)*$J346^3</f>
      </c>
      <c r="M346" s="7">
        <f>SQRT(K346^2+L346^2)</f>
      </c>
      <c r="N346" s="7">
        <f>(K347-K345)</f>
      </c>
      <c r="O346" s="7">
        <f>+(L347-L345)</f>
      </c>
      <c r="P346" s="7">
        <f>SQRT(O346^2+N346^2)</f>
      </c>
      <c r="Q346" s="7">
        <f>N346/$P346</f>
      </c>
      <c r="R346" s="7">
        <f>O346/$P346</f>
      </c>
      <c r="S346" s="7">
        <f>Q346^2+R346^2</f>
      </c>
      <c r="T346" s="7">
        <f>-R346</f>
      </c>
      <c r="U346" s="7">
        <f>Q346</f>
      </c>
      <c r="V346" s="7">
        <f>($C$14+($C$15-$C$14)/($D$15-$D$14)*(I346-$D$14))/2</f>
      </c>
      <c r="W346" s="7">
        <f>($B$22*I346^4+$C$22*I346^3+$D$22*I346^2+$E$22*I346+$F$22)/2</f>
      </c>
      <c r="X346" s="7">
        <f>($W346)*(T346)</f>
      </c>
      <c r="Y346" s="7">
        <f>($W346)*(U346)</f>
      </c>
      <c r="Z346" s="7">
        <f>SQRT(X346^2+Y346^2)</f>
      </c>
      <c r="AA346" s="7">
        <f>$K346+$X346</f>
      </c>
      <c r="AB346" s="7">
        <f>$L346+$Y346</f>
      </c>
      <c r="AC346" s="7">
        <f>$K346-$X346</f>
      </c>
      <c r="AD346" s="7">
        <f>$L346-$Y346</f>
      </c>
      <c r="AE346" s="7">
        <f>AA346/39.3701</f>
      </c>
      <c r="AF346" s="7">
        <f>AB346/39.3701</f>
      </c>
      <c r="AG346" s="7">
        <f>AC346/39.3701</f>
      </c>
      <c r="AH346" s="7">
        <f>AD346/39.3701</f>
      </c>
      <c r="AI346" s="1"/>
      <c r="AJ346" s="1"/>
      <c r="AK346" s="1"/>
      <c r="AL346" s="1"/>
      <c r="AM346" s="2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</row>
    <row x14ac:dyDescent="0.25" r="347" customHeight="1" ht="18.75">
      <c r="A347" s="1"/>
      <c r="B347" s="2"/>
      <c r="C347" s="2"/>
      <c r="D347" s="2"/>
      <c r="E347" s="2"/>
      <c r="F347" s="2"/>
      <c r="G347" s="1"/>
      <c r="H347" s="1"/>
      <c r="I347" s="7">
        <v>0.344</v>
      </c>
      <c r="J347" s="7">
        <f>IF((I347-ROUNDDOWN(I347,0))=0, 0, (I347-ROUNDDOWN(I347,0)))</f>
      </c>
      <c r="K347" s="7">
        <f>INDIRECT("C$"&amp;2+MIN(2,ROUNDDOWN(I347,0))*3)*(-$J347^3+3*$J347^2-3*$J347+1)+INDIRECT("C$"&amp;3+MIN(2,ROUNDDOWN(I347,0))*3)*(3*$J347^3-6*$J347^2+3*$J347)+INDIRECT("C$"&amp;4+MIN(2,ROUNDDOWN(I347,0))*3)*(-3*$J347^3+3*$J347^2)+INDIRECT("C$"&amp;5+MIN(2,ROUNDDOWN(I347,0))*3)*$J347^3</f>
      </c>
      <c r="L347" s="7">
        <f>INDIRECT("D$"&amp;2+MIN(2,ROUNDDOWN(I347,0))*3)*(-$J347^3+3*$J347^2-3*$J347+1)+INDIRECT("D$"&amp;3+MIN(2,ROUNDDOWN(I347,0))*3)*(3*$J347^3-6*$J347^2+3*$J347)+INDIRECT("D$"&amp;4+MIN(2,ROUNDDOWN(I347,0))*3)*(-3*$J347^3+3*$J347^2)+INDIRECT("D$"&amp;5+MIN(2,ROUNDDOWN(I347,0))*3)*$J347^3</f>
      </c>
      <c r="M347" s="7">
        <f>SQRT(K347^2+L347^2)</f>
      </c>
      <c r="N347" s="7">
        <f>(K348-K346)</f>
      </c>
      <c r="O347" s="7">
        <f>+(L348-L346)</f>
      </c>
      <c r="P347" s="7">
        <f>SQRT(O347^2+N347^2)</f>
      </c>
      <c r="Q347" s="7">
        <f>N347/$P347</f>
      </c>
      <c r="R347" s="7">
        <f>O347/$P347</f>
      </c>
      <c r="S347" s="7">
        <f>Q347^2+R347^2</f>
      </c>
      <c r="T347" s="7">
        <f>-R347</f>
      </c>
      <c r="U347" s="7">
        <f>Q347</f>
      </c>
      <c r="V347" s="7">
        <f>($C$14+($C$15-$C$14)/($D$15-$D$14)*(I347-$D$14))/2</f>
      </c>
      <c r="W347" s="7">
        <f>($B$22*I347^4+$C$22*I347^3+$D$22*I347^2+$E$22*I347+$F$22)/2</f>
      </c>
      <c r="X347" s="7">
        <f>($W347)*(T347)</f>
      </c>
      <c r="Y347" s="7">
        <f>($W347)*(U347)</f>
      </c>
      <c r="Z347" s="7">
        <f>SQRT(X347^2+Y347^2)</f>
      </c>
      <c r="AA347" s="7">
        <f>$K347+$X347</f>
      </c>
      <c r="AB347" s="7">
        <f>$L347+$Y347</f>
      </c>
      <c r="AC347" s="7">
        <f>$K347-$X347</f>
      </c>
      <c r="AD347" s="7">
        <f>$L347-$Y347</f>
      </c>
      <c r="AE347" s="7">
        <f>AA347/39.3701</f>
      </c>
      <c r="AF347" s="7">
        <f>AB347/39.3701</f>
      </c>
      <c r="AG347" s="7">
        <f>AC347/39.3701</f>
      </c>
      <c r="AH347" s="7">
        <f>AD347/39.3701</f>
      </c>
      <c r="AI347" s="1"/>
      <c r="AJ347" s="1"/>
      <c r="AK347" s="1"/>
      <c r="AL347" s="1"/>
      <c r="AM347" s="2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</row>
    <row x14ac:dyDescent="0.25" r="348" customHeight="1" ht="18.75">
      <c r="A348" s="1"/>
      <c r="B348" s="2"/>
      <c r="C348" s="2"/>
      <c r="D348" s="2"/>
      <c r="E348" s="2"/>
      <c r="F348" s="2"/>
      <c r="G348" s="1"/>
      <c r="H348" s="1"/>
      <c r="I348" s="7">
        <v>0.345</v>
      </c>
      <c r="J348" s="7">
        <f>IF((I348-ROUNDDOWN(I348,0))=0, 0, (I348-ROUNDDOWN(I348,0)))</f>
      </c>
      <c r="K348" s="7">
        <f>INDIRECT("C$"&amp;2+MIN(2,ROUNDDOWN(I348,0))*3)*(-$J348^3+3*$J348^2-3*$J348+1)+INDIRECT("C$"&amp;3+MIN(2,ROUNDDOWN(I348,0))*3)*(3*$J348^3-6*$J348^2+3*$J348)+INDIRECT("C$"&amp;4+MIN(2,ROUNDDOWN(I348,0))*3)*(-3*$J348^3+3*$J348^2)+INDIRECT("C$"&amp;5+MIN(2,ROUNDDOWN(I348,0))*3)*$J348^3</f>
      </c>
      <c r="L348" s="7">
        <f>INDIRECT("D$"&amp;2+MIN(2,ROUNDDOWN(I348,0))*3)*(-$J348^3+3*$J348^2-3*$J348+1)+INDIRECT("D$"&amp;3+MIN(2,ROUNDDOWN(I348,0))*3)*(3*$J348^3-6*$J348^2+3*$J348)+INDIRECT("D$"&amp;4+MIN(2,ROUNDDOWN(I348,0))*3)*(-3*$J348^3+3*$J348^2)+INDIRECT("D$"&amp;5+MIN(2,ROUNDDOWN(I348,0))*3)*$J348^3</f>
      </c>
      <c r="M348" s="7">
        <f>SQRT(K348^2+L348^2)</f>
      </c>
      <c r="N348" s="7">
        <f>(K349-K347)</f>
      </c>
      <c r="O348" s="7">
        <f>+(L349-L347)</f>
      </c>
      <c r="P348" s="7">
        <f>SQRT(O348^2+N348^2)</f>
      </c>
      <c r="Q348" s="7">
        <f>N348/$P348</f>
      </c>
      <c r="R348" s="7">
        <f>O348/$P348</f>
      </c>
      <c r="S348" s="8">
        <f>Q348^2+R348^2</f>
      </c>
      <c r="T348" s="7">
        <f>-R348</f>
      </c>
      <c r="U348" s="7">
        <f>Q348</f>
      </c>
      <c r="V348" s="7">
        <f>($C$14+($C$15-$C$14)/($D$15-$D$14)*(I348-$D$14))/2</f>
      </c>
      <c r="W348" s="7">
        <f>($B$22*I348^4+$C$22*I348^3+$D$22*I348^2+$E$22*I348+$F$22)/2</f>
      </c>
      <c r="X348" s="7">
        <f>($W348)*(T348)</f>
      </c>
      <c r="Y348" s="7">
        <f>($W348)*(U348)</f>
      </c>
      <c r="Z348" s="7">
        <f>SQRT(X348^2+Y348^2)</f>
      </c>
      <c r="AA348" s="7">
        <f>$K348+$X348</f>
      </c>
      <c r="AB348" s="7">
        <f>$L348+$Y348</f>
      </c>
      <c r="AC348" s="7">
        <f>$K348-$X348</f>
      </c>
      <c r="AD348" s="7">
        <f>$L348-$Y348</f>
      </c>
      <c r="AE348" s="7">
        <f>AA348/39.3701</f>
      </c>
      <c r="AF348" s="7">
        <f>AB348/39.3701</f>
      </c>
      <c r="AG348" s="7">
        <f>AC348/39.3701</f>
      </c>
      <c r="AH348" s="7">
        <f>AD348/39.3701</f>
      </c>
      <c r="AI348" s="1"/>
      <c r="AJ348" s="1"/>
      <c r="AK348" s="1"/>
      <c r="AL348" s="1"/>
      <c r="AM348" s="2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</row>
    <row x14ac:dyDescent="0.25" r="349" customHeight="1" ht="18.75">
      <c r="A349" s="1"/>
      <c r="B349" s="2"/>
      <c r="C349" s="2"/>
      <c r="D349" s="2"/>
      <c r="E349" s="2"/>
      <c r="F349" s="2"/>
      <c r="G349" s="1"/>
      <c r="H349" s="1"/>
      <c r="I349" s="7">
        <v>0.346</v>
      </c>
      <c r="J349" s="7">
        <f>IF((I349-ROUNDDOWN(I349,0))=0, 0, (I349-ROUNDDOWN(I349,0)))</f>
      </c>
      <c r="K349" s="7">
        <f>INDIRECT("C$"&amp;2+MIN(2,ROUNDDOWN(I349,0))*3)*(-$J349^3+3*$J349^2-3*$J349+1)+INDIRECT("C$"&amp;3+MIN(2,ROUNDDOWN(I349,0))*3)*(3*$J349^3-6*$J349^2+3*$J349)+INDIRECT("C$"&amp;4+MIN(2,ROUNDDOWN(I349,0))*3)*(-3*$J349^3+3*$J349^2)+INDIRECT("C$"&amp;5+MIN(2,ROUNDDOWN(I349,0))*3)*$J349^3</f>
      </c>
      <c r="L349" s="7">
        <f>INDIRECT("D$"&amp;2+MIN(2,ROUNDDOWN(I349,0))*3)*(-$J349^3+3*$J349^2-3*$J349+1)+INDIRECT("D$"&amp;3+MIN(2,ROUNDDOWN(I349,0))*3)*(3*$J349^3-6*$J349^2+3*$J349)+INDIRECT("D$"&amp;4+MIN(2,ROUNDDOWN(I349,0))*3)*(-3*$J349^3+3*$J349^2)+INDIRECT("D$"&amp;5+MIN(2,ROUNDDOWN(I349,0))*3)*$J349^3</f>
      </c>
      <c r="M349" s="7">
        <f>SQRT(K349^2+L349^2)</f>
      </c>
      <c r="N349" s="7">
        <f>(K350-K348)</f>
      </c>
      <c r="O349" s="7">
        <f>+(L350-L348)</f>
      </c>
      <c r="P349" s="7">
        <f>SQRT(O349^2+N349^2)</f>
      </c>
      <c r="Q349" s="7">
        <f>N349/$P349</f>
      </c>
      <c r="R349" s="7">
        <f>O349/$P349</f>
      </c>
      <c r="S349" s="8">
        <f>Q349^2+R349^2</f>
      </c>
      <c r="T349" s="7">
        <f>-R349</f>
      </c>
      <c r="U349" s="7">
        <f>Q349</f>
      </c>
      <c r="V349" s="7">
        <f>($C$14+($C$15-$C$14)/($D$15-$D$14)*(I349-$D$14))/2</f>
      </c>
      <c r="W349" s="7">
        <f>($B$22*I349^4+$C$22*I349^3+$D$22*I349^2+$E$22*I349+$F$22)/2</f>
      </c>
      <c r="X349" s="7">
        <f>($W349)*(T349)</f>
      </c>
      <c r="Y349" s="7">
        <f>($W349)*(U349)</f>
      </c>
      <c r="Z349" s="7">
        <f>SQRT(X349^2+Y349^2)</f>
      </c>
      <c r="AA349" s="7">
        <f>$K349+$X349</f>
      </c>
      <c r="AB349" s="7">
        <f>$L349+$Y349</f>
      </c>
      <c r="AC349" s="7">
        <f>$K349-$X349</f>
      </c>
      <c r="AD349" s="7">
        <f>$L349-$Y349</f>
      </c>
      <c r="AE349" s="7">
        <f>AA349/39.3701</f>
      </c>
      <c r="AF349" s="7">
        <f>AB349/39.3701</f>
      </c>
      <c r="AG349" s="7">
        <f>AC349/39.3701</f>
      </c>
      <c r="AH349" s="7">
        <f>AD349/39.3701</f>
      </c>
      <c r="AI349" s="1"/>
      <c r="AJ349" s="1"/>
      <c r="AK349" s="1"/>
      <c r="AL349" s="1"/>
      <c r="AM349" s="2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</row>
    <row x14ac:dyDescent="0.25" r="350" customHeight="1" ht="18.75">
      <c r="A350" s="1"/>
      <c r="B350" s="2"/>
      <c r="C350" s="2"/>
      <c r="D350" s="2"/>
      <c r="E350" s="2"/>
      <c r="F350" s="2"/>
      <c r="G350" s="1"/>
      <c r="H350" s="1"/>
      <c r="I350" s="7">
        <v>0.347</v>
      </c>
      <c r="J350" s="7">
        <f>IF((I350-ROUNDDOWN(I350,0))=0, 0, (I350-ROUNDDOWN(I350,0)))</f>
      </c>
      <c r="K350" s="7">
        <f>INDIRECT("C$"&amp;2+MIN(2,ROUNDDOWN(I350,0))*3)*(-$J350^3+3*$J350^2-3*$J350+1)+INDIRECT("C$"&amp;3+MIN(2,ROUNDDOWN(I350,0))*3)*(3*$J350^3-6*$J350^2+3*$J350)+INDIRECT("C$"&amp;4+MIN(2,ROUNDDOWN(I350,0))*3)*(-3*$J350^3+3*$J350^2)+INDIRECT("C$"&amp;5+MIN(2,ROUNDDOWN(I350,0))*3)*$J350^3</f>
      </c>
      <c r="L350" s="7">
        <f>INDIRECT("D$"&amp;2+MIN(2,ROUNDDOWN(I350,0))*3)*(-$J350^3+3*$J350^2-3*$J350+1)+INDIRECT("D$"&amp;3+MIN(2,ROUNDDOWN(I350,0))*3)*(3*$J350^3-6*$J350^2+3*$J350)+INDIRECT("D$"&amp;4+MIN(2,ROUNDDOWN(I350,0))*3)*(-3*$J350^3+3*$J350^2)+INDIRECT("D$"&amp;5+MIN(2,ROUNDDOWN(I350,0))*3)*$J350^3</f>
      </c>
      <c r="M350" s="7">
        <f>SQRT(K350^2+L350^2)</f>
      </c>
      <c r="N350" s="7">
        <f>(K351-K349)</f>
      </c>
      <c r="O350" s="7">
        <f>+(L351-L349)</f>
      </c>
      <c r="P350" s="7">
        <f>SQRT(O350^2+N350^2)</f>
      </c>
      <c r="Q350" s="7">
        <f>N350/$P350</f>
      </c>
      <c r="R350" s="7">
        <f>O350/$P350</f>
      </c>
      <c r="S350" s="8">
        <f>Q350^2+R350^2</f>
      </c>
      <c r="T350" s="7">
        <f>-R350</f>
      </c>
      <c r="U350" s="7">
        <f>Q350</f>
      </c>
      <c r="V350" s="7">
        <f>($C$14+($C$15-$C$14)/($D$15-$D$14)*(I350-$D$14))/2</f>
      </c>
      <c r="W350" s="7">
        <f>($B$22*I350^4+$C$22*I350^3+$D$22*I350^2+$E$22*I350+$F$22)/2</f>
      </c>
      <c r="X350" s="7">
        <f>($W350)*(T350)</f>
      </c>
      <c r="Y350" s="7">
        <f>($W350)*(U350)</f>
      </c>
      <c r="Z350" s="7">
        <f>SQRT(X350^2+Y350^2)</f>
      </c>
      <c r="AA350" s="7">
        <f>$K350+$X350</f>
      </c>
      <c r="AB350" s="7">
        <f>$L350+$Y350</f>
      </c>
      <c r="AC350" s="7">
        <f>$K350-$X350</f>
      </c>
      <c r="AD350" s="7">
        <f>$L350-$Y350</f>
      </c>
      <c r="AE350" s="7">
        <f>AA350/39.3701</f>
      </c>
      <c r="AF350" s="7">
        <f>AB350/39.3701</f>
      </c>
      <c r="AG350" s="7">
        <f>AC350/39.3701</f>
      </c>
      <c r="AH350" s="7">
        <f>AD350/39.3701</f>
      </c>
      <c r="AI350" s="1"/>
      <c r="AJ350" s="1"/>
      <c r="AK350" s="1"/>
      <c r="AL350" s="1"/>
      <c r="AM350" s="2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</row>
    <row x14ac:dyDescent="0.25" r="351" customHeight="1" ht="18.75">
      <c r="A351" s="1"/>
      <c r="B351" s="2"/>
      <c r="C351" s="2"/>
      <c r="D351" s="2"/>
      <c r="E351" s="2"/>
      <c r="F351" s="2"/>
      <c r="G351" s="1"/>
      <c r="H351" s="1"/>
      <c r="I351" s="7">
        <v>0.348</v>
      </c>
      <c r="J351" s="7">
        <f>IF((I351-ROUNDDOWN(I351,0))=0, 0, (I351-ROUNDDOWN(I351,0)))</f>
      </c>
      <c r="K351" s="7">
        <f>INDIRECT("C$"&amp;2+MIN(2,ROUNDDOWN(I351,0))*3)*(-$J351^3+3*$J351^2-3*$J351+1)+INDIRECT("C$"&amp;3+MIN(2,ROUNDDOWN(I351,0))*3)*(3*$J351^3-6*$J351^2+3*$J351)+INDIRECT("C$"&amp;4+MIN(2,ROUNDDOWN(I351,0))*3)*(-3*$J351^3+3*$J351^2)+INDIRECT("C$"&amp;5+MIN(2,ROUNDDOWN(I351,0))*3)*$J351^3</f>
      </c>
      <c r="L351" s="7">
        <f>INDIRECT("D$"&amp;2+MIN(2,ROUNDDOWN(I351,0))*3)*(-$J351^3+3*$J351^2-3*$J351+1)+INDIRECT("D$"&amp;3+MIN(2,ROUNDDOWN(I351,0))*3)*(3*$J351^3-6*$J351^2+3*$J351)+INDIRECT("D$"&amp;4+MIN(2,ROUNDDOWN(I351,0))*3)*(-3*$J351^3+3*$J351^2)+INDIRECT("D$"&amp;5+MIN(2,ROUNDDOWN(I351,0))*3)*$J351^3</f>
      </c>
      <c r="M351" s="7">
        <f>SQRT(K351^2+L351^2)</f>
      </c>
      <c r="N351" s="7">
        <f>(K352-K350)</f>
      </c>
      <c r="O351" s="7">
        <f>+(L352-L350)</f>
      </c>
      <c r="P351" s="7">
        <f>SQRT(O351^2+N351^2)</f>
      </c>
      <c r="Q351" s="7">
        <f>N351/$P351</f>
      </c>
      <c r="R351" s="7">
        <f>O351/$P351</f>
      </c>
      <c r="S351" s="7">
        <f>Q351^2+R351^2</f>
      </c>
      <c r="T351" s="7">
        <f>-R351</f>
      </c>
      <c r="U351" s="7">
        <f>Q351</f>
      </c>
      <c r="V351" s="7">
        <f>($C$14+($C$15-$C$14)/($D$15-$D$14)*(I351-$D$14))/2</f>
      </c>
      <c r="W351" s="7">
        <f>($B$22*I351^4+$C$22*I351^3+$D$22*I351^2+$E$22*I351+$F$22)/2</f>
      </c>
      <c r="X351" s="7">
        <f>($W351)*(T351)</f>
      </c>
      <c r="Y351" s="7">
        <f>($W351)*(U351)</f>
      </c>
      <c r="Z351" s="7">
        <f>SQRT(X351^2+Y351^2)</f>
      </c>
      <c r="AA351" s="7">
        <f>$K351+$X351</f>
      </c>
      <c r="AB351" s="7">
        <f>$L351+$Y351</f>
      </c>
      <c r="AC351" s="7">
        <f>$K351-$X351</f>
      </c>
      <c r="AD351" s="7">
        <f>$L351-$Y351</f>
      </c>
      <c r="AE351" s="7">
        <f>AA351/39.3701</f>
      </c>
      <c r="AF351" s="7">
        <f>AB351/39.3701</f>
      </c>
      <c r="AG351" s="7">
        <f>AC351/39.3701</f>
      </c>
      <c r="AH351" s="7">
        <f>AD351/39.3701</f>
      </c>
      <c r="AI351" s="1"/>
      <c r="AJ351" s="1"/>
      <c r="AK351" s="1"/>
      <c r="AL351" s="1"/>
      <c r="AM351" s="2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</row>
    <row x14ac:dyDescent="0.25" r="352" customHeight="1" ht="18.75">
      <c r="A352" s="1"/>
      <c r="B352" s="2"/>
      <c r="C352" s="2"/>
      <c r="D352" s="2"/>
      <c r="E352" s="2"/>
      <c r="F352" s="2"/>
      <c r="G352" s="1"/>
      <c r="H352" s="1"/>
      <c r="I352" s="7">
        <v>0.349</v>
      </c>
      <c r="J352" s="7">
        <f>IF((I352-ROUNDDOWN(I352,0))=0, 0, (I352-ROUNDDOWN(I352,0)))</f>
      </c>
      <c r="K352" s="7">
        <f>INDIRECT("C$"&amp;2+MIN(2,ROUNDDOWN(I352,0))*3)*(-$J352^3+3*$J352^2-3*$J352+1)+INDIRECT("C$"&amp;3+MIN(2,ROUNDDOWN(I352,0))*3)*(3*$J352^3-6*$J352^2+3*$J352)+INDIRECT("C$"&amp;4+MIN(2,ROUNDDOWN(I352,0))*3)*(-3*$J352^3+3*$J352^2)+INDIRECT("C$"&amp;5+MIN(2,ROUNDDOWN(I352,0))*3)*$J352^3</f>
      </c>
      <c r="L352" s="7">
        <f>INDIRECT("D$"&amp;2+MIN(2,ROUNDDOWN(I352,0))*3)*(-$J352^3+3*$J352^2-3*$J352+1)+INDIRECT("D$"&amp;3+MIN(2,ROUNDDOWN(I352,0))*3)*(3*$J352^3-6*$J352^2+3*$J352)+INDIRECT("D$"&amp;4+MIN(2,ROUNDDOWN(I352,0))*3)*(-3*$J352^3+3*$J352^2)+INDIRECT("D$"&amp;5+MIN(2,ROUNDDOWN(I352,0))*3)*$J352^3</f>
      </c>
      <c r="M352" s="7">
        <f>SQRT(K352^2+L352^2)</f>
      </c>
      <c r="N352" s="7">
        <f>(K353-K351)</f>
      </c>
      <c r="O352" s="7">
        <f>+(L353-L351)</f>
      </c>
      <c r="P352" s="7">
        <f>SQRT(O352^2+N352^2)</f>
      </c>
      <c r="Q352" s="7">
        <f>N352/$P352</f>
      </c>
      <c r="R352" s="7">
        <f>O352/$P352</f>
      </c>
      <c r="S352" s="8">
        <f>Q352^2+R352^2</f>
      </c>
      <c r="T352" s="7">
        <f>-R352</f>
      </c>
      <c r="U352" s="7">
        <f>Q352</f>
      </c>
      <c r="V352" s="7">
        <f>($C$14+($C$15-$C$14)/($D$15-$D$14)*(I352-$D$14))/2</f>
      </c>
      <c r="W352" s="7">
        <f>($B$22*I352^4+$C$22*I352^3+$D$22*I352^2+$E$22*I352+$F$22)/2</f>
      </c>
      <c r="X352" s="7">
        <f>($W352)*(T352)</f>
      </c>
      <c r="Y352" s="7">
        <f>($W352)*(U352)</f>
      </c>
      <c r="Z352" s="7">
        <f>SQRT(X352^2+Y352^2)</f>
      </c>
      <c r="AA352" s="7">
        <f>$K352+$X352</f>
      </c>
      <c r="AB352" s="7">
        <f>$L352+$Y352</f>
      </c>
      <c r="AC352" s="7">
        <f>$K352-$X352</f>
      </c>
      <c r="AD352" s="7">
        <f>$L352-$Y352</f>
      </c>
      <c r="AE352" s="7">
        <f>AA352/39.3701</f>
      </c>
      <c r="AF352" s="7">
        <f>AB352/39.3701</f>
      </c>
      <c r="AG352" s="7">
        <f>AC352/39.3701</f>
      </c>
      <c r="AH352" s="7">
        <f>AD352/39.3701</f>
      </c>
      <c r="AI352" s="1"/>
      <c r="AJ352" s="1"/>
      <c r="AK352" s="1"/>
      <c r="AL352" s="1"/>
      <c r="AM352" s="2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</row>
    <row x14ac:dyDescent="0.25" r="353" customHeight="1" ht="18.75">
      <c r="A353" s="1"/>
      <c r="B353" s="2"/>
      <c r="C353" s="2"/>
      <c r="D353" s="2"/>
      <c r="E353" s="2"/>
      <c r="F353" s="2"/>
      <c r="G353" s="1"/>
      <c r="H353" s="1"/>
      <c r="I353" s="7">
        <v>0.35</v>
      </c>
      <c r="J353" s="7">
        <f>IF((I353-ROUNDDOWN(I353,0))=0, 0, (I353-ROUNDDOWN(I353,0)))</f>
      </c>
      <c r="K353" s="7">
        <f>INDIRECT("C$"&amp;2+MIN(2,ROUNDDOWN(I353,0))*3)*(-$J353^3+3*$J353^2-3*$J353+1)+INDIRECT("C$"&amp;3+MIN(2,ROUNDDOWN(I353,0))*3)*(3*$J353^3-6*$J353^2+3*$J353)+INDIRECT("C$"&amp;4+MIN(2,ROUNDDOWN(I353,0))*3)*(-3*$J353^3+3*$J353^2)+INDIRECT("C$"&amp;5+MIN(2,ROUNDDOWN(I353,0))*3)*$J353^3</f>
      </c>
      <c r="L353" s="7">
        <f>INDIRECT("D$"&amp;2+MIN(2,ROUNDDOWN(I353,0))*3)*(-$J353^3+3*$J353^2-3*$J353+1)+INDIRECT("D$"&amp;3+MIN(2,ROUNDDOWN(I353,0))*3)*(3*$J353^3-6*$J353^2+3*$J353)+INDIRECT("D$"&amp;4+MIN(2,ROUNDDOWN(I353,0))*3)*(-3*$J353^3+3*$J353^2)+INDIRECT("D$"&amp;5+MIN(2,ROUNDDOWN(I353,0))*3)*$J353^3</f>
      </c>
      <c r="M353" s="7">
        <f>SQRT(K353^2+L353^2)</f>
      </c>
      <c r="N353" s="7">
        <f>(K354-K352)</f>
      </c>
      <c r="O353" s="7">
        <f>+(L354-L352)</f>
      </c>
      <c r="P353" s="7">
        <f>SQRT(O353^2+N353^2)</f>
      </c>
      <c r="Q353" s="7">
        <f>N353/$P353</f>
      </c>
      <c r="R353" s="7">
        <f>O353/$P353</f>
      </c>
      <c r="S353" s="8">
        <f>Q353^2+R353^2</f>
      </c>
      <c r="T353" s="7">
        <f>-R353</f>
      </c>
      <c r="U353" s="7">
        <f>Q353</f>
      </c>
      <c r="V353" s="7">
        <f>($C$14+($C$15-$C$14)/($D$15-$D$14)*(I353-$D$14))/2</f>
      </c>
      <c r="W353" s="7">
        <f>($B$22*I353^4+$C$22*I353^3+$D$22*I353^2+$E$22*I353+$F$22)/2</f>
      </c>
      <c r="X353" s="7">
        <f>($W353)*(T353)</f>
      </c>
      <c r="Y353" s="7">
        <f>($W353)*(U353)</f>
      </c>
      <c r="Z353" s="7">
        <f>SQRT(X353^2+Y353^2)</f>
      </c>
      <c r="AA353" s="7">
        <f>$K353+$X353</f>
      </c>
      <c r="AB353" s="7">
        <f>$L353+$Y353</f>
      </c>
      <c r="AC353" s="7">
        <f>$K353-$X353</f>
      </c>
      <c r="AD353" s="7">
        <f>$L353-$Y353</f>
      </c>
      <c r="AE353" s="7">
        <f>AA353/39.3701</f>
      </c>
      <c r="AF353" s="7">
        <f>AB353/39.3701</f>
      </c>
      <c r="AG353" s="7">
        <f>AC353/39.3701</f>
      </c>
      <c r="AH353" s="7">
        <f>AD353/39.3701</f>
      </c>
      <c r="AI353" s="1"/>
      <c r="AJ353" s="1"/>
      <c r="AK353" s="1"/>
      <c r="AL353" s="1"/>
      <c r="AM353" s="2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</row>
    <row x14ac:dyDescent="0.25" r="354" customHeight="1" ht="18.75">
      <c r="A354" s="1"/>
      <c r="B354" s="2"/>
      <c r="C354" s="2"/>
      <c r="D354" s="2"/>
      <c r="E354" s="2"/>
      <c r="F354" s="2"/>
      <c r="G354" s="1"/>
      <c r="H354" s="1"/>
      <c r="I354" s="7">
        <v>0.351</v>
      </c>
      <c r="J354" s="7">
        <f>IF((I354-ROUNDDOWN(I354,0))=0, 0, (I354-ROUNDDOWN(I354,0)))</f>
      </c>
      <c r="K354" s="7">
        <f>INDIRECT("C$"&amp;2+MIN(2,ROUNDDOWN(I354,0))*3)*(-$J354^3+3*$J354^2-3*$J354+1)+INDIRECT("C$"&amp;3+MIN(2,ROUNDDOWN(I354,0))*3)*(3*$J354^3-6*$J354^2+3*$J354)+INDIRECT("C$"&amp;4+MIN(2,ROUNDDOWN(I354,0))*3)*(-3*$J354^3+3*$J354^2)+INDIRECT("C$"&amp;5+MIN(2,ROUNDDOWN(I354,0))*3)*$J354^3</f>
      </c>
      <c r="L354" s="7">
        <f>INDIRECT("D$"&amp;2+MIN(2,ROUNDDOWN(I354,0))*3)*(-$J354^3+3*$J354^2-3*$J354+1)+INDIRECT("D$"&amp;3+MIN(2,ROUNDDOWN(I354,0))*3)*(3*$J354^3-6*$J354^2+3*$J354)+INDIRECT("D$"&amp;4+MIN(2,ROUNDDOWN(I354,0))*3)*(-3*$J354^3+3*$J354^2)+INDIRECT("D$"&amp;5+MIN(2,ROUNDDOWN(I354,0))*3)*$J354^3</f>
      </c>
      <c r="M354" s="7">
        <f>SQRT(K354^2+L354^2)</f>
      </c>
      <c r="N354" s="7">
        <f>(K355-K353)</f>
      </c>
      <c r="O354" s="7">
        <f>+(L355-L353)</f>
      </c>
      <c r="P354" s="7">
        <f>SQRT(O354^2+N354^2)</f>
      </c>
      <c r="Q354" s="7">
        <f>N354/$P354</f>
      </c>
      <c r="R354" s="7">
        <f>O354/$P354</f>
      </c>
      <c r="S354" s="7">
        <f>Q354^2+R354^2</f>
      </c>
      <c r="T354" s="7">
        <f>-R354</f>
      </c>
      <c r="U354" s="7">
        <f>Q354</f>
      </c>
      <c r="V354" s="7">
        <f>($C$14+($C$15-$C$14)/($D$15-$D$14)*(I354-$D$14))/2</f>
      </c>
      <c r="W354" s="7">
        <f>($B$22*I354^4+$C$22*I354^3+$D$22*I354^2+$E$22*I354+$F$22)/2</f>
      </c>
      <c r="X354" s="7">
        <f>($W354)*(T354)</f>
      </c>
      <c r="Y354" s="7">
        <f>($W354)*(U354)</f>
      </c>
      <c r="Z354" s="7">
        <f>SQRT(X354^2+Y354^2)</f>
      </c>
      <c r="AA354" s="7">
        <f>$K354+$X354</f>
      </c>
      <c r="AB354" s="7">
        <f>$L354+$Y354</f>
      </c>
      <c r="AC354" s="7">
        <f>$K354-$X354</f>
      </c>
      <c r="AD354" s="7">
        <f>$L354-$Y354</f>
      </c>
      <c r="AE354" s="7">
        <f>AA354/39.3701</f>
      </c>
      <c r="AF354" s="7">
        <f>AB354/39.3701</f>
      </c>
      <c r="AG354" s="7">
        <f>AC354/39.3701</f>
      </c>
      <c r="AH354" s="7">
        <f>AD354/39.3701</f>
      </c>
      <c r="AI354" s="1"/>
      <c r="AJ354" s="1"/>
      <c r="AK354" s="1"/>
      <c r="AL354" s="1"/>
      <c r="AM354" s="2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</row>
    <row x14ac:dyDescent="0.25" r="355" customHeight="1" ht="18.75">
      <c r="A355" s="1"/>
      <c r="B355" s="2"/>
      <c r="C355" s="2"/>
      <c r="D355" s="2"/>
      <c r="E355" s="2"/>
      <c r="F355" s="2"/>
      <c r="G355" s="1"/>
      <c r="H355" s="1"/>
      <c r="I355" s="7">
        <v>0.352</v>
      </c>
      <c r="J355" s="7">
        <f>IF((I355-ROUNDDOWN(I355,0))=0, 0, (I355-ROUNDDOWN(I355,0)))</f>
      </c>
      <c r="K355" s="7">
        <f>INDIRECT("C$"&amp;2+MIN(2,ROUNDDOWN(I355,0))*3)*(-$J355^3+3*$J355^2-3*$J355+1)+INDIRECT("C$"&amp;3+MIN(2,ROUNDDOWN(I355,0))*3)*(3*$J355^3-6*$J355^2+3*$J355)+INDIRECT("C$"&amp;4+MIN(2,ROUNDDOWN(I355,0))*3)*(-3*$J355^3+3*$J355^2)+INDIRECT("C$"&amp;5+MIN(2,ROUNDDOWN(I355,0))*3)*$J355^3</f>
      </c>
      <c r="L355" s="7">
        <f>INDIRECT("D$"&amp;2+MIN(2,ROUNDDOWN(I355,0))*3)*(-$J355^3+3*$J355^2-3*$J355+1)+INDIRECT("D$"&amp;3+MIN(2,ROUNDDOWN(I355,0))*3)*(3*$J355^3-6*$J355^2+3*$J355)+INDIRECT("D$"&amp;4+MIN(2,ROUNDDOWN(I355,0))*3)*(-3*$J355^3+3*$J355^2)+INDIRECT("D$"&amp;5+MIN(2,ROUNDDOWN(I355,0))*3)*$J355^3</f>
      </c>
      <c r="M355" s="7">
        <f>SQRT(K355^2+L355^2)</f>
      </c>
      <c r="N355" s="7">
        <f>(K356-K354)</f>
      </c>
      <c r="O355" s="7">
        <f>+(L356-L354)</f>
      </c>
      <c r="P355" s="7">
        <f>SQRT(O355^2+N355^2)</f>
      </c>
      <c r="Q355" s="7">
        <f>N355/$P355</f>
      </c>
      <c r="R355" s="7">
        <f>O355/$P355</f>
      </c>
      <c r="S355" s="7">
        <f>Q355^2+R355^2</f>
      </c>
      <c r="T355" s="7">
        <f>-R355</f>
      </c>
      <c r="U355" s="7">
        <f>Q355</f>
      </c>
      <c r="V355" s="7">
        <f>($C$14+($C$15-$C$14)/($D$15-$D$14)*(I355-$D$14))/2</f>
      </c>
      <c r="W355" s="7">
        <f>($B$22*I355^4+$C$22*I355^3+$D$22*I355^2+$E$22*I355+$F$22)/2</f>
      </c>
      <c r="X355" s="7">
        <f>($W355)*(T355)</f>
      </c>
      <c r="Y355" s="7">
        <f>($W355)*(U355)</f>
      </c>
      <c r="Z355" s="7">
        <f>SQRT(X355^2+Y355^2)</f>
      </c>
      <c r="AA355" s="7">
        <f>$K355+$X355</f>
      </c>
      <c r="AB355" s="7">
        <f>$L355+$Y355</f>
      </c>
      <c r="AC355" s="7">
        <f>$K355-$X355</f>
      </c>
      <c r="AD355" s="7">
        <f>$L355-$Y355</f>
      </c>
      <c r="AE355" s="7">
        <f>AA355/39.3701</f>
      </c>
      <c r="AF355" s="7">
        <f>AB355/39.3701</f>
      </c>
      <c r="AG355" s="7">
        <f>AC355/39.3701</f>
      </c>
      <c r="AH355" s="7">
        <f>AD355/39.3701</f>
      </c>
      <c r="AI355" s="1"/>
      <c r="AJ355" s="1"/>
      <c r="AK355" s="1"/>
      <c r="AL355" s="1"/>
      <c r="AM355" s="2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</row>
    <row x14ac:dyDescent="0.25" r="356" customHeight="1" ht="18.75">
      <c r="A356" s="1"/>
      <c r="B356" s="2"/>
      <c r="C356" s="2"/>
      <c r="D356" s="2"/>
      <c r="E356" s="2"/>
      <c r="F356" s="2"/>
      <c r="G356" s="1"/>
      <c r="H356" s="1"/>
      <c r="I356" s="7">
        <v>0.353</v>
      </c>
      <c r="J356" s="7">
        <f>IF((I356-ROUNDDOWN(I356,0))=0, 0, (I356-ROUNDDOWN(I356,0)))</f>
      </c>
      <c r="K356" s="7">
        <f>INDIRECT("C$"&amp;2+MIN(2,ROUNDDOWN(I356,0))*3)*(-$J356^3+3*$J356^2-3*$J356+1)+INDIRECT("C$"&amp;3+MIN(2,ROUNDDOWN(I356,0))*3)*(3*$J356^3-6*$J356^2+3*$J356)+INDIRECT("C$"&amp;4+MIN(2,ROUNDDOWN(I356,0))*3)*(-3*$J356^3+3*$J356^2)+INDIRECT("C$"&amp;5+MIN(2,ROUNDDOWN(I356,0))*3)*$J356^3</f>
      </c>
      <c r="L356" s="7">
        <f>INDIRECT("D$"&amp;2+MIN(2,ROUNDDOWN(I356,0))*3)*(-$J356^3+3*$J356^2-3*$J356+1)+INDIRECT("D$"&amp;3+MIN(2,ROUNDDOWN(I356,0))*3)*(3*$J356^3-6*$J356^2+3*$J356)+INDIRECT("D$"&amp;4+MIN(2,ROUNDDOWN(I356,0))*3)*(-3*$J356^3+3*$J356^2)+INDIRECT("D$"&amp;5+MIN(2,ROUNDDOWN(I356,0))*3)*$J356^3</f>
      </c>
      <c r="M356" s="7">
        <f>SQRT(K356^2+L356^2)</f>
      </c>
      <c r="N356" s="7">
        <f>(K357-K355)</f>
      </c>
      <c r="O356" s="7">
        <f>+(L357-L355)</f>
      </c>
      <c r="P356" s="7">
        <f>SQRT(O356^2+N356^2)</f>
      </c>
      <c r="Q356" s="7">
        <f>N356/$P356</f>
      </c>
      <c r="R356" s="7">
        <f>O356/$P356</f>
      </c>
      <c r="S356" s="7">
        <f>Q356^2+R356^2</f>
      </c>
      <c r="T356" s="7">
        <f>-R356</f>
      </c>
      <c r="U356" s="7">
        <f>Q356</f>
      </c>
      <c r="V356" s="7">
        <f>($C$14+($C$15-$C$14)/($D$15-$D$14)*(I356-$D$14))/2</f>
      </c>
      <c r="W356" s="7">
        <f>($B$22*I356^4+$C$22*I356^3+$D$22*I356^2+$E$22*I356+$F$22)/2</f>
      </c>
      <c r="X356" s="7">
        <f>($W356)*(T356)</f>
      </c>
      <c r="Y356" s="7">
        <f>($W356)*(U356)</f>
      </c>
      <c r="Z356" s="7">
        <f>SQRT(X356^2+Y356^2)</f>
      </c>
      <c r="AA356" s="7">
        <f>$K356+$X356</f>
      </c>
      <c r="AB356" s="7">
        <f>$L356+$Y356</f>
      </c>
      <c r="AC356" s="7">
        <f>$K356-$X356</f>
      </c>
      <c r="AD356" s="7">
        <f>$L356-$Y356</f>
      </c>
      <c r="AE356" s="7">
        <f>AA356/39.3701</f>
      </c>
      <c r="AF356" s="7">
        <f>AB356/39.3701</f>
      </c>
      <c r="AG356" s="7">
        <f>AC356/39.3701</f>
      </c>
      <c r="AH356" s="7">
        <f>AD356/39.3701</f>
      </c>
      <c r="AI356" s="1"/>
      <c r="AJ356" s="1"/>
      <c r="AK356" s="1"/>
      <c r="AL356" s="1"/>
      <c r="AM356" s="2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</row>
    <row x14ac:dyDescent="0.25" r="357" customHeight="1" ht="18.75">
      <c r="A357" s="1"/>
      <c r="B357" s="2"/>
      <c r="C357" s="2"/>
      <c r="D357" s="2"/>
      <c r="E357" s="2"/>
      <c r="F357" s="2"/>
      <c r="G357" s="1"/>
      <c r="H357" s="1"/>
      <c r="I357" s="7">
        <v>0.354</v>
      </c>
      <c r="J357" s="7">
        <f>IF((I357-ROUNDDOWN(I357,0))=0, 0, (I357-ROUNDDOWN(I357,0)))</f>
      </c>
      <c r="K357" s="7">
        <f>INDIRECT("C$"&amp;2+MIN(2,ROUNDDOWN(I357,0))*3)*(-$J357^3+3*$J357^2-3*$J357+1)+INDIRECT("C$"&amp;3+MIN(2,ROUNDDOWN(I357,0))*3)*(3*$J357^3-6*$J357^2+3*$J357)+INDIRECT("C$"&amp;4+MIN(2,ROUNDDOWN(I357,0))*3)*(-3*$J357^3+3*$J357^2)+INDIRECT("C$"&amp;5+MIN(2,ROUNDDOWN(I357,0))*3)*$J357^3</f>
      </c>
      <c r="L357" s="7">
        <f>INDIRECT("D$"&amp;2+MIN(2,ROUNDDOWN(I357,0))*3)*(-$J357^3+3*$J357^2-3*$J357+1)+INDIRECT("D$"&amp;3+MIN(2,ROUNDDOWN(I357,0))*3)*(3*$J357^3-6*$J357^2+3*$J357)+INDIRECT("D$"&amp;4+MIN(2,ROUNDDOWN(I357,0))*3)*(-3*$J357^3+3*$J357^2)+INDIRECT("D$"&amp;5+MIN(2,ROUNDDOWN(I357,0))*3)*$J357^3</f>
      </c>
      <c r="M357" s="7">
        <f>SQRT(K357^2+L357^2)</f>
      </c>
      <c r="N357" s="7">
        <f>(K358-K356)</f>
      </c>
      <c r="O357" s="7">
        <f>+(L358-L356)</f>
      </c>
      <c r="P357" s="7">
        <f>SQRT(O357^2+N357^2)</f>
      </c>
      <c r="Q357" s="7">
        <f>N357/$P357</f>
      </c>
      <c r="R357" s="7">
        <f>O357/$P357</f>
      </c>
      <c r="S357" s="7">
        <f>Q357^2+R357^2</f>
      </c>
      <c r="T357" s="7">
        <f>-R357</f>
      </c>
      <c r="U357" s="7">
        <f>Q357</f>
      </c>
      <c r="V357" s="7">
        <f>($C$14+($C$15-$C$14)/($D$15-$D$14)*(I357-$D$14))/2</f>
      </c>
      <c r="W357" s="7">
        <f>($B$22*I357^4+$C$22*I357^3+$D$22*I357^2+$E$22*I357+$F$22)/2</f>
      </c>
      <c r="X357" s="7">
        <f>($W357)*(T357)</f>
      </c>
      <c r="Y357" s="7">
        <f>($W357)*(U357)</f>
      </c>
      <c r="Z357" s="7">
        <f>SQRT(X357^2+Y357^2)</f>
      </c>
      <c r="AA357" s="7">
        <f>$K357+$X357</f>
      </c>
      <c r="AB357" s="7">
        <f>$L357+$Y357</f>
      </c>
      <c r="AC357" s="7">
        <f>$K357-$X357</f>
      </c>
      <c r="AD357" s="7">
        <f>$L357-$Y357</f>
      </c>
      <c r="AE357" s="7">
        <f>AA357/39.3701</f>
      </c>
      <c r="AF357" s="7">
        <f>AB357/39.3701</f>
      </c>
      <c r="AG357" s="7">
        <f>AC357/39.3701</f>
      </c>
      <c r="AH357" s="7">
        <f>AD357/39.3701</f>
      </c>
      <c r="AI357" s="1"/>
      <c r="AJ357" s="1"/>
      <c r="AK357" s="1"/>
      <c r="AL357" s="1"/>
      <c r="AM357" s="2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</row>
    <row x14ac:dyDescent="0.25" r="358" customHeight="1" ht="18.75">
      <c r="A358" s="1"/>
      <c r="B358" s="2"/>
      <c r="C358" s="2"/>
      <c r="D358" s="2"/>
      <c r="E358" s="2"/>
      <c r="F358" s="2"/>
      <c r="G358" s="1"/>
      <c r="H358" s="1"/>
      <c r="I358" s="7">
        <v>0.355</v>
      </c>
      <c r="J358" s="7">
        <f>IF((I358-ROUNDDOWN(I358,0))=0, 0, (I358-ROUNDDOWN(I358,0)))</f>
      </c>
      <c r="K358" s="7">
        <f>INDIRECT("C$"&amp;2+MIN(2,ROUNDDOWN(I358,0))*3)*(-$J358^3+3*$J358^2-3*$J358+1)+INDIRECT("C$"&amp;3+MIN(2,ROUNDDOWN(I358,0))*3)*(3*$J358^3-6*$J358^2+3*$J358)+INDIRECT("C$"&amp;4+MIN(2,ROUNDDOWN(I358,0))*3)*(-3*$J358^3+3*$J358^2)+INDIRECT("C$"&amp;5+MIN(2,ROUNDDOWN(I358,0))*3)*$J358^3</f>
      </c>
      <c r="L358" s="7">
        <f>INDIRECT("D$"&amp;2+MIN(2,ROUNDDOWN(I358,0))*3)*(-$J358^3+3*$J358^2-3*$J358+1)+INDIRECT("D$"&amp;3+MIN(2,ROUNDDOWN(I358,0))*3)*(3*$J358^3-6*$J358^2+3*$J358)+INDIRECT("D$"&amp;4+MIN(2,ROUNDDOWN(I358,0))*3)*(-3*$J358^3+3*$J358^2)+INDIRECT("D$"&amp;5+MIN(2,ROUNDDOWN(I358,0))*3)*$J358^3</f>
      </c>
      <c r="M358" s="7">
        <f>SQRT(K358^2+L358^2)</f>
      </c>
      <c r="N358" s="7">
        <f>(K359-K357)</f>
      </c>
      <c r="O358" s="7">
        <f>+(L359-L357)</f>
      </c>
      <c r="P358" s="7">
        <f>SQRT(O358^2+N358^2)</f>
      </c>
      <c r="Q358" s="7">
        <f>N358/$P358</f>
      </c>
      <c r="R358" s="7">
        <f>O358/$P358</f>
      </c>
      <c r="S358" s="8">
        <f>Q358^2+R358^2</f>
      </c>
      <c r="T358" s="7">
        <f>-R358</f>
      </c>
      <c r="U358" s="7">
        <f>Q358</f>
      </c>
      <c r="V358" s="7">
        <f>($C$14+($C$15-$C$14)/($D$15-$D$14)*(I358-$D$14))/2</f>
      </c>
      <c r="W358" s="7">
        <f>($B$22*I358^4+$C$22*I358^3+$D$22*I358^2+$E$22*I358+$F$22)/2</f>
      </c>
      <c r="X358" s="7">
        <f>($W358)*(T358)</f>
      </c>
      <c r="Y358" s="7">
        <f>($W358)*(U358)</f>
      </c>
      <c r="Z358" s="7">
        <f>SQRT(X358^2+Y358^2)</f>
      </c>
      <c r="AA358" s="7">
        <f>$K358+$X358</f>
      </c>
      <c r="AB358" s="7">
        <f>$L358+$Y358</f>
      </c>
      <c r="AC358" s="7">
        <f>$K358-$X358</f>
      </c>
      <c r="AD358" s="7">
        <f>$L358-$Y358</f>
      </c>
      <c r="AE358" s="7">
        <f>AA358/39.3701</f>
      </c>
      <c r="AF358" s="7">
        <f>AB358/39.3701</f>
      </c>
      <c r="AG358" s="7">
        <f>AC358/39.3701</f>
      </c>
      <c r="AH358" s="7">
        <f>AD358/39.3701</f>
      </c>
      <c r="AI358" s="1"/>
      <c r="AJ358" s="1"/>
      <c r="AK358" s="1"/>
      <c r="AL358" s="1"/>
      <c r="AM358" s="2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</row>
    <row x14ac:dyDescent="0.25" r="359" customHeight="1" ht="18.75">
      <c r="A359" s="1"/>
      <c r="B359" s="2"/>
      <c r="C359" s="2"/>
      <c r="D359" s="2"/>
      <c r="E359" s="2"/>
      <c r="F359" s="2"/>
      <c r="G359" s="1"/>
      <c r="H359" s="1"/>
      <c r="I359" s="7">
        <v>0.356</v>
      </c>
      <c r="J359" s="7">
        <f>IF((I359-ROUNDDOWN(I359,0))=0, 0, (I359-ROUNDDOWN(I359,0)))</f>
      </c>
      <c r="K359" s="7">
        <f>INDIRECT("C$"&amp;2+MIN(2,ROUNDDOWN(I359,0))*3)*(-$J359^3+3*$J359^2-3*$J359+1)+INDIRECT("C$"&amp;3+MIN(2,ROUNDDOWN(I359,0))*3)*(3*$J359^3-6*$J359^2+3*$J359)+INDIRECT("C$"&amp;4+MIN(2,ROUNDDOWN(I359,0))*3)*(-3*$J359^3+3*$J359^2)+INDIRECT("C$"&amp;5+MIN(2,ROUNDDOWN(I359,0))*3)*$J359^3</f>
      </c>
      <c r="L359" s="7">
        <f>INDIRECT("D$"&amp;2+MIN(2,ROUNDDOWN(I359,0))*3)*(-$J359^3+3*$J359^2-3*$J359+1)+INDIRECT("D$"&amp;3+MIN(2,ROUNDDOWN(I359,0))*3)*(3*$J359^3-6*$J359^2+3*$J359)+INDIRECT("D$"&amp;4+MIN(2,ROUNDDOWN(I359,0))*3)*(-3*$J359^3+3*$J359^2)+INDIRECT("D$"&amp;5+MIN(2,ROUNDDOWN(I359,0))*3)*$J359^3</f>
      </c>
      <c r="M359" s="7">
        <f>SQRT(K359^2+L359^2)</f>
      </c>
      <c r="N359" s="7">
        <f>(K360-K358)</f>
      </c>
      <c r="O359" s="7">
        <f>+(L360-L358)</f>
      </c>
      <c r="P359" s="7">
        <f>SQRT(O359^2+N359^2)</f>
      </c>
      <c r="Q359" s="7">
        <f>N359/$P359</f>
      </c>
      <c r="R359" s="7">
        <f>O359/$P359</f>
      </c>
      <c r="S359" s="7">
        <f>Q359^2+R359^2</f>
      </c>
      <c r="T359" s="7">
        <f>-R359</f>
      </c>
      <c r="U359" s="7">
        <f>Q359</f>
      </c>
      <c r="V359" s="7">
        <f>($C$14+($C$15-$C$14)/($D$15-$D$14)*(I359-$D$14))/2</f>
      </c>
      <c r="W359" s="7">
        <f>($B$22*I359^4+$C$22*I359^3+$D$22*I359^2+$E$22*I359+$F$22)/2</f>
      </c>
      <c r="X359" s="7">
        <f>($W359)*(T359)</f>
      </c>
      <c r="Y359" s="7">
        <f>($W359)*(U359)</f>
      </c>
      <c r="Z359" s="7">
        <f>SQRT(X359^2+Y359^2)</f>
      </c>
      <c r="AA359" s="7">
        <f>$K359+$X359</f>
      </c>
      <c r="AB359" s="7">
        <f>$L359+$Y359</f>
      </c>
      <c r="AC359" s="7">
        <f>$K359-$X359</f>
      </c>
      <c r="AD359" s="7">
        <f>$L359-$Y359</f>
      </c>
      <c r="AE359" s="7">
        <f>AA359/39.3701</f>
      </c>
      <c r="AF359" s="7">
        <f>AB359/39.3701</f>
      </c>
      <c r="AG359" s="7">
        <f>AC359/39.3701</f>
      </c>
      <c r="AH359" s="7">
        <f>AD359/39.3701</f>
      </c>
      <c r="AI359" s="1"/>
      <c r="AJ359" s="1"/>
      <c r="AK359" s="1"/>
      <c r="AL359" s="1"/>
      <c r="AM359" s="2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</row>
    <row x14ac:dyDescent="0.25" r="360" customHeight="1" ht="18.75">
      <c r="A360" s="1"/>
      <c r="B360" s="2"/>
      <c r="C360" s="2"/>
      <c r="D360" s="2"/>
      <c r="E360" s="2"/>
      <c r="F360" s="2"/>
      <c r="G360" s="1"/>
      <c r="H360" s="1"/>
      <c r="I360" s="7">
        <v>0.357</v>
      </c>
      <c r="J360" s="7">
        <f>IF((I360-ROUNDDOWN(I360,0))=0, 0, (I360-ROUNDDOWN(I360,0)))</f>
      </c>
      <c r="K360" s="7">
        <f>INDIRECT("C$"&amp;2+MIN(2,ROUNDDOWN(I360,0))*3)*(-$J360^3+3*$J360^2-3*$J360+1)+INDIRECT("C$"&amp;3+MIN(2,ROUNDDOWN(I360,0))*3)*(3*$J360^3-6*$J360^2+3*$J360)+INDIRECT("C$"&amp;4+MIN(2,ROUNDDOWN(I360,0))*3)*(-3*$J360^3+3*$J360^2)+INDIRECT("C$"&amp;5+MIN(2,ROUNDDOWN(I360,0))*3)*$J360^3</f>
      </c>
      <c r="L360" s="7">
        <f>INDIRECT("D$"&amp;2+MIN(2,ROUNDDOWN(I360,0))*3)*(-$J360^3+3*$J360^2-3*$J360+1)+INDIRECT("D$"&amp;3+MIN(2,ROUNDDOWN(I360,0))*3)*(3*$J360^3-6*$J360^2+3*$J360)+INDIRECT("D$"&amp;4+MIN(2,ROUNDDOWN(I360,0))*3)*(-3*$J360^3+3*$J360^2)+INDIRECT("D$"&amp;5+MIN(2,ROUNDDOWN(I360,0))*3)*$J360^3</f>
      </c>
      <c r="M360" s="7">
        <f>SQRT(K360^2+L360^2)</f>
      </c>
      <c r="N360" s="7">
        <f>(K361-K359)</f>
      </c>
      <c r="O360" s="7">
        <f>+(L361-L359)</f>
      </c>
      <c r="P360" s="7">
        <f>SQRT(O360^2+N360^2)</f>
      </c>
      <c r="Q360" s="7">
        <f>N360/$P360</f>
      </c>
      <c r="R360" s="7">
        <f>O360/$P360</f>
      </c>
      <c r="S360" s="8">
        <f>Q360^2+R360^2</f>
      </c>
      <c r="T360" s="7">
        <f>-R360</f>
      </c>
      <c r="U360" s="7">
        <f>Q360</f>
      </c>
      <c r="V360" s="7">
        <f>($C$14+($C$15-$C$14)/($D$15-$D$14)*(I360-$D$14))/2</f>
      </c>
      <c r="W360" s="7">
        <f>($B$22*I360^4+$C$22*I360^3+$D$22*I360^2+$E$22*I360+$F$22)/2</f>
      </c>
      <c r="X360" s="7">
        <f>($W360)*(T360)</f>
      </c>
      <c r="Y360" s="7">
        <f>($W360)*(U360)</f>
      </c>
      <c r="Z360" s="7">
        <f>SQRT(X360^2+Y360^2)</f>
      </c>
      <c r="AA360" s="7">
        <f>$K360+$X360</f>
      </c>
      <c r="AB360" s="7">
        <f>$L360+$Y360</f>
      </c>
      <c r="AC360" s="7">
        <f>$K360-$X360</f>
      </c>
      <c r="AD360" s="7">
        <f>$L360-$Y360</f>
      </c>
      <c r="AE360" s="7">
        <f>AA360/39.3701</f>
      </c>
      <c r="AF360" s="7">
        <f>AB360/39.3701</f>
      </c>
      <c r="AG360" s="7">
        <f>AC360/39.3701</f>
      </c>
      <c r="AH360" s="7">
        <f>AD360/39.3701</f>
      </c>
      <c r="AI360" s="1"/>
      <c r="AJ360" s="1"/>
      <c r="AK360" s="1"/>
      <c r="AL360" s="1"/>
      <c r="AM360" s="2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</row>
    <row x14ac:dyDescent="0.25" r="361" customHeight="1" ht="18.75">
      <c r="A361" s="1"/>
      <c r="B361" s="2"/>
      <c r="C361" s="2"/>
      <c r="D361" s="2"/>
      <c r="E361" s="2"/>
      <c r="F361" s="2"/>
      <c r="G361" s="1"/>
      <c r="H361" s="1"/>
      <c r="I361" s="7">
        <v>0.358</v>
      </c>
      <c r="J361" s="7">
        <f>IF((I361-ROUNDDOWN(I361,0))=0, 0, (I361-ROUNDDOWN(I361,0)))</f>
      </c>
      <c r="K361" s="7">
        <f>INDIRECT("C$"&amp;2+MIN(2,ROUNDDOWN(I361,0))*3)*(-$J361^3+3*$J361^2-3*$J361+1)+INDIRECT("C$"&amp;3+MIN(2,ROUNDDOWN(I361,0))*3)*(3*$J361^3-6*$J361^2+3*$J361)+INDIRECT("C$"&amp;4+MIN(2,ROUNDDOWN(I361,0))*3)*(-3*$J361^3+3*$J361^2)+INDIRECT("C$"&amp;5+MIN(2,ROUNDDOWN(I361,0))*3)*$J361^3</f>
      </c>
      <c r="L361" s="7">
        <f>INDIRECT("D$"&amp;2+MIN(2,ROUNDDOWN(I361,0))*3)*(-$J361^3+3*$J361^2-3*$J361+1)+INDIRECT("D$"&amp;3+MIN(2,ROUNDDOWN(I361,0))*3)*(3*$J361^3-6*$J361^2+3*$J361)+INDIRECT("D$"&amp;4+MIN(2,ROUNDDOWN(I361,0))*3)*(-3*$J361^3+3*$J361^2)+INDIRECT("D$"&amp;5+MIN(2,ROUNDDOWN(I361,0))*3)*$J361^3</f>
      </c>
      <c r="M361" s="7">
        <f>SQRT(K361^2+L361^2)</f>
      </c>
      <c r="N361" s="7">
        <f>(K362-K360)</f>
      </c>
      <c r="O361" s="7">
        <f>+(L362-L360)</f>
      </c>
      <c r="P361" s="7">
        <f>SQRT(O361^2+N361^2)</f>
      </c>
      <c r="Q361" s="7">
        <f>N361/$P361</f>
      </c>
      <c r="R361" s="7">
        <f>O361/$P361</f>
      </c>
      <c r="S361" s="7">
        <f>Q361^2+R361^2</f>
      </c>
      <c r="T361" s="7">
        <f>-R361</f>
      </c>
      <c r="U361" s="7">
        <f>Q361</f>
      </c>
      <c r="V361" s="7">
        <f>($C$14+($C$15-$C$14)/($D$15-$D$14)*(I361-$D$14))/2</f>
      </c>
      <c r="W361" s="7">
        <f>($B$22*I361^4+$C$22*I361^3+$D$22*I361^2+$E$22*I361+$F$22)/2</f>
      </c>
      <c r="X361" s="7">
        <f>($W361)*(T361)</f>
      </c>
      <c r="Y361" s="7">
        <f>($W361)*(U361)</f>
      </c>
      <c r="Z361" s="7">
        <f>SQRT(X361^2+Y361^2)</f>
      </c>
      <c r="AA361" s="7">
        <f>$K361+$X361</f>
      </c>
      <c r="AB361" s="7">
        <f>$L361+$Y361</f>
      </c>
      <c r="AC361" s="7">
        <f>$K361-$X361</f>
      </c>
      <c r="AD361" s="7">
        <f>$L361-$Y361</f>
      </c>
      <c r="AE361" s="7">
        <f>AA361/39.3701</f>
      </c>
      <c r="AF361" s="7">
        <f>AB361/39.3701</f>
      </c>
      <c r="AG361" s="7">
        <f>AC361/39.3701</f>
      </c>
      <c r="AH361" s="7">
        <f>AD361/39.3701</f>
      </c>
      <c r="AI361" s="1"/>
      <c r="AJ361" s="1"/>
      <c r="AK361" s="1"/>
      <c r="AL361" s="1"/>
      <c r="AM361" s="2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</row>
    <row x14ac:dyDescent="0.25" r="362" customHeight="1" ht="18.75">
      <c r="A362" s="1"/>
      <c r="B362" s="2"/>
      <c r="C362" s="2"/>
      <c r="D362" s="2"/>
      <c r="E362" s="2"/>
      <c r="F362" s="2"/>
      <c r="G362" s="1"/>
      <c r="H362" s="1"/>
      <c r="I362" s="7">
        <v>0.359</v>
      </c>
      <c r="J362" s="7">
        <f>IF((I362-ROUNDDOWN(I362,0))=0, 0, (I362-ROUNDDOWN(I362,0)))</f>
      </c>
      <c r="K362" s="7">
        <f>INDIRECT("C$"&amp;2+MIN(2,ROUNDDOWN(I362,0))*3)*(-$J362^3+3*$J362^2-3*$J362+1)+INDIRECT("C$"&amp;3+MIN(2,ROUNDDOWN(I362,0))*3)*(3*$J362^3-6*$J362^2+3*$J362)+INDIRECT("C$"&amp;4+MIN(2,ROUNDDOWN(I362,0))*3)*(-3*$J362^3+3*$J362^2)+INDIRECT("C$"&amp;5+MIN(2,ROUNDDOWN(I362,0))*3)*$J362^3</f>
      </c>
      <c r="L362" s="7">
        <f>INDIRECT("D$"&amp;2+MIN(2,ROUNDDOWN(I362,0))*3)*(-$J362^3+3*$J362^2-3*$J362+1)+INDIRECT("D$"&amp;3+MIN(2,ROUNDDOWN(I362,0))*3)*(3*$J362^3-6*$J362^2+3*$J362)+INDIRECT("D$"&amp;4+MIN(2,ROUNDDOWN(I362,0))*3)*(-3*$J362^3+3*$J362^2)+INDIRECT("D$"&amp;5+MIN(2,ROUNDDOWN(I362,0))*3)*$J362^3</f>
      </c>
      <c r="M362" s="7">
        <f>SQRT(K362^2+L362^2)</f>
      </c>
      <c r="N362" s="7">
        <f>(K363-K361)</f>
      </c>
      <c r="O362" s="7">
        <f>+(L363-L361)</f>
      </c>
      <c r="P362" s="7">
        <f>SQRT(O362^2+N362^2)</f>
      </c>
      <c r="Q362" s="7">
        <f>N362/$P362</f>
      </c>
      <c r="R362" s="7">
        <f>O362/$P362</f>
      </c>
      <c r="S362" s="7">
        <f>Q362^2+R362^2</f>
      </c>
      <c r="T362" s="7">
        <f>-R362</f>
      </c>
      <c r="U362" s="7">
        <f>Q362</f>
      </c>
      <c r="V362" s="7">
        <f>($C$14+($C$15-$C$14)/($D$15-$D$14)*(I362-$D$14))/2</f>
      </c>
      <c r="W362" s="7">
        <f>($B$22*I362^4+$C$22*I362^3+$D$22*I362^2+$E$22*I362+$F$22)/2</f>
      </c>
      <c r="X362" s="7">
        <f>($W362)*(T362)</f>
      </c>
      <c r="Y362" s="7">
        <f>($W362)*(U362)</f>
      </c>
      <c r="Z362" s="7">
        <f>SQRT(X362^2+Y362^2)</f>
      </c>
      <c r="AA362" s="7">
        <f>$K362+$X362</f>
      </c>
      <c r="AB362" s="7">
        <f>$L362+$Y362</f>
      </c>
      <c r="AC362" s="7">
        <f>$K362-$X362</f>
      </c>
      <c r="AD362" s="7">
        <f>$L362-$Y362</f>
      </c>
      <c r="AE362" s="7">
        <f>AA362/39.3701</f>
      </c>
      <c r="AF362" s="7">
        <f>AB362/39.3701</f>
      </c>
      <c r="AG362" s="7">
        <f>AC362/39.3701</f>
      </c>
      <c r="AH362" s="7">
        <f>AD362/39.3701</f>
      </c>
      <c r="AI362" s="1"/>
      <c r="AJ362" s="1"/>
      <c r="AK362" s="1"/>
      <c r="AL362" s="1"/>
      <c r="AM362" s="2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</row>
    <row x14ac:dyDescent="0.25" r="363" customHeight="1" ht="18.75">
      <c r="A363" s="1"/>
      <c r="B363" s="2"/>
      <c r="C363" s="2"/>
      <c r="D363" s="2"/>
      <c r="E363" s="2"/>
      <c r="F363" s="2"/>
      <c r="G363" s="1"/>
      <c r="H363" s="1"/>
      <c r="I363" s="7">
        <v>0.36</v>
      </c>
      <c r="J363" s="7">
        <f>IF((I363-ROUNDDOWN(I363,0))=0, 0, (I363-ROUNDDOWN(I363,0)))</f>
      </c>
      <c r="K363" s="7">
        <f>INDIRECT("C$"&amp;2+MIN(2,ROUNDDOWN(I363,0))*3)*(-$J363^3+3*$J363^2-3*$J363+1)+INDIRECT("C$"&amp;3+MIN(2,ROUNDDOWN(I363,0))*3)*(3*$J363^3-6*$J363^2+3*$J363)+INDIRECT("C$"&amp;4+MIN(2,ROUNDDOWN(I363,0))*3)*(-3*$J363^3+3*$J363^2)+INDIRECT("C$"&amp;5+MIN(2,ROUNDDOWN(I363,0))*3)*$J363^3</f>
      </c>
      <c r="L363" s="7">
        <f>INDIRECT("D$"&amp;2+MIN(2,ROUNDDOWN(I363,0))*3)*(-$J363^3+3*$J363^2-3*$J363+1)+INDIRECT("D$"&amp;3+MIN(2,ROUNDDOWN(I363,0))*3)*(3*$J363^3-6*$J363^2+3*$J363)+INDIRECT("D$"&amp;4+MIN(2,ROUNDDOWN(I363,0))*3)*(-3*$J363^3+3*$J363^2)+INDIRECT("D$"&amp;5+MIN(2,ROUNDDOWN(I363,0))*3)*$J363^3</f>
      </c>
      <c r="M363" s="7">
        <f>SQRT(K363^2+L363^2)</f>
      </c>
      <c r="N363" s="7">
        <f>(K364-K362)</f>
      </c>
      <c r="O363" s="7">
        <f>+(L364-L362)</f>
      </c>
      <c r="P363" s="7">
        <f>SQRT(O363^2+N363^2)</f>
      </c>
      <c r="Q363" s="7">
        <f>N363/$P363</f>
      </c>
      <c r="R363" s="7">
        <f>O363/$P363</f>
      </c>
      <c r="S363" s="7">
        <f>Q363^2+R363^2</f>
      </c>
      <c r="T363" s="7">
        <f>-R363</f>
      </c>
      <c r="U363" s="7">
        <f>Q363</f>
      </c>
      <c r="V363" s="7">
        <f>($C$14+($C$15-$C$14)/($D$15-$D$14)*(I363-$D$14))/2</f>
      </c>
      <c r="W363" s="7">
        <f>($B$22*I363^4+$C$22*I363^3+$D$22*I363^2+$E$22*I363+$F$22)/2</f>
      </c>
      <c r="X363" s="7">
        <f>($W363)*(T363)</f>
      </c>
      <c r="Y363" s="7">
        <f>($W363)*(U363)</f>
      </c>
      <c r="Z363" s="7">
        <f>SQRT(X363^2+Y363^2)</f>
      </c>
      <c r="AA363" s="7">
        <f>$K363+$X363</f>
      </c>
      <c r="AB363" s="7">
        <f>$L363+$Y363</f>
      </c>
      <c r="AC363" s="7">
        <f>$K363-$X363</f>
      </c>
      <c r="AD363" s="7">
        <f>$L363-$Y363</f>
      </c>
      <c r="AE363" s="7">
        <f>AA363/39.3701</f>
      </c>
      <c r="AF363" s="7">
        <f>AB363/39.3701</f>
      </c>
      <c r="AG363" s="7">
        <f>AC363/39.3701</f>
      </c>
      <c r="AH363" s="7">
        <f>AD363/39.3701</f>
      </c>
      <c r="AI363" s="1"/>
      <c r="AJ363" s="1"/>
      <c r="AK363" s="1"/>
      <c r="AL363" s="1"/>
      <c r="AM363" s="2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</row>
    <row x14ac:dyDescent="0.25" r="364" customHeight="1" ht="18.75">
      <c r="A364" s="1"/>
      <c r="B364" s="2"/>
      <c r="C364" s="2"/>
      <c r="D364" s="2"/>
      <c r="E364" s="2"/>
      <c r="F364" s="2"/>
      <c r="G364" s="1"/>
      <c r="H364" s="1"/>
      <c r="I364" s="7">
        <v>0.361</v>
      </c>
      <c r="J364" s="7">
        <f>IF((I364-ROUNDDOWN(I364,0))=0, 0, (I364-ROUNDDOWN(I364,0)))</f>
      </c>
      <c r="K364" s="7">
        <f>INDIRECT("C$"&amp;2+MIN(2,ROUNDDOWN(I364,0))*3)*(-$J364^3+3*$J364^2-3*$J364+1)+INDIRECT("C$"&amp;3+MIN(2,ROUNDDOWN(I364,0))*3)*(3*$J364^3-6*$J364^2+3*$J364)+INDIRECT("C$"&amp;4+MIN(2,ROUNDDOWN(I364,0))*3)*(-3*$J364^3+3*$J364^2)+INDIRECT("C$"&amp;5+MIN(2,ROUNDDOWN(I364,0))*3)*$J364^3</f>
      </c>
      <c r="L364" s="7">
        <f>INDIRECT("D$"&amp;2+MIN(2,ROUNDDOWN(I364,0))*3)*(-$J364^3+3*$J364^2-3*$J364+1)+INDIRECT("D$"&amp;3+MIN(2,ROUNDDOWN(I364,0))*3)*(3*$J364^3-6*$J364^2+3*$J364)+INDIRECT("D$"&amp;4+MIN(2,ROUNDDOWN(I364,0))*3)*(-3*$J364^3+3*$J364^2)+INDIRECT("D$"&amp;5+MIN(2,ROUNDDOWN(I364,0))*3)*$J364^3</f>
      </c>
      <c r="M364" s="7">
        <f>SQRT(K364^2+L364^2)</f>
      </c>
      <c r="N364" s="7">
        <f>(K365-K363)</f>
      </c>
      <c r="O364" s="7">
        <f>+(L365-L363)</f>
      </c>
      <c r="P364" s="7">
        <f>SQRT(O364^2+N364^2)</f>
      </c>
      <c r="Q364" s="7">
        <f>N364/$P364</f>
      </c>
      <c r="R364" s="7">
        <f>O364/$P364</f>
      </c>
      <c r="S364" s="8">
        <f>Q364^2+R364^2</f>
      </c>
      <c r="T364" s="7">
        <f>-R364</f>
      </c>
      <c r="U364" s="7">
        <f>Q364</f>
      </c>
      <c r="V364" s="7">
        <f>($C$14+($C$15-$C$14)/($D$15-$D$14)*(I364-$D$14))/2</f>
      </c>
      <c r="W364" s="7">
        <f>($B$22*I364^4+$C$22*I364^3+$D$22*I364^2+$E$22*I364+$F$22)/2</f>
      </c>
      <c r="X364" s="7">
        <f>($W364)*(T364)</f>
      </c>
      <c r="Y364" s="7">
        <f>($W364)*(U364)</f>
      </c>
      <c r="Z364" s="7">
        <f>SQRT(X364^2+Y364^2)</f>
      </c>
      <c r="AA364" s="7">
        <f>$K364+$X364</f>
      </c>
      <c r="AB364" s="7">
        <f>$L364+$Y364</f>
      </c>
      <c r="AC364" s="7">
        <f>$K364-$X364</f>
      </c>
      <c r="AD364" s="7">
        <f>$L364-$Y364</f>
      </c>
      <c r="AE364" s="7">
        <f>AA364/39.3701</f>
      </c>
      <c r="AF364" s="7">
        <f>AB364/39.3701</f>
      </c>
      <c r="AG364" s="7">
        <f>AC364/39.3701</f>
      </c>
      <c r="AH364" s="7">
        <f>AD364/39.3701</f>
      </c>
      <c r="AI364" s="1"/>
      <c r="AJ364" s="1"/>
      <c r="AK364" s="1"/>
      <c r="AL364" s="1"/>
      <c r="AM364" s="2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</row>
    <row x14ac:dyDescent="0.25" r="365" customHeight="1" ht="18.75">
      <c r="A365" s="1"/>
      <c r="B365" s="2"/>
      <c r="C365" s="2"/>
      <c r="D365" s="2"/>
      <c r="E365" s="2"/>
      <c r="F365" s="2"/>
      <c r="G365" s="1"/>
      <c r="H365" s="1"/>
      <c r="I365" s="7">
        <v>0.362</v>
      </c>
      <c r="J365" s="7">
        <f>IF((I365-ROUNDDOWN(I365,0))=0, 0, (I365-ROUNDDOWN(I365,0)))</f>
      </c>
      <c r="K365" s="7">
        <f>INDIRECT("C$"&amp;2+MIN(2,ROUNDDOWN(I365,0))*3)*(-$J365^3+3*$J365^2-3*$J365+1)+INDIRECT("C$"&amp;3+MIN(2,ROUNDDOWN(I365,0))*3)*(3*$J365^3-6*$J365^2+3*$J365)+INDIRECT("C$"&amp;4+MIN(2,ROUNDDOWN(I365,0))*3)*(-3*$J365^3+3*$J365^2)+INDIRECT("C$"&amp;5+MIN(2,ROUNDDOWN(I365,0))*3)*$J365^3</f>
      </c>
      <c r="L365" s="7">
        <f>INDIRECT("D$"&amp;2+MIN(2,ROUNDDOWN(I365,0))*3)*(-$J365^3+3*$J365^2-3*$J365+1)+INDIRECT("D$"&amp;3+MIN(2,ROUNDDOWN(I365,0))*3)*(3*$J365^3-6*$J365^2+3*$J365)+INDIRECT("D$"&amp;4+MIN(2,ROUNDDOWN(I365,0))*3)*(-3*$J365^3+3*$J365^2)+INDIRECT("D$"&amp;5+MIN(2,ROUNDDOWN(I365,0))*3)*$J365^3</f>
      </c>
      <c r="M365" s="7">
        <f>SQRT(K365^2+L365^2)</f>
      </c>
      <c r="N365" s="7">
        <f>(K366-K364)</f>
      </c>
      <c r="O365" s="7">
        <f>+(L366-L364)</f>
      </c>
      <c r="P365" s="7">
        <f>SQRT(O365^2+N365^2)</f>
      </c>
      <c r="Q365" s="7">
        <f>N365/$P365</f>
      </c>
      <c r="R365" s="7">
        <f>O365/$P365</f>
      </c>
      <c r="S365" s="7">
        <f>Q365^2+R365^2</f>
      </c>
      <c r="T365" s="7">
        <f>-R365</f>
      </c>
      <c r="U365" s="7">
        <f>Q365</f>
      </c>
      <c r="V365" s="7">
        <f>($C$14+($C$15-$C$14)/($D$15-$D$14)*(I365-$D$14))/2</f>
      </c>
      <c r="W365" s="7">
        <f>($B$22*I365^4+$C$22*I365^3+$D$22*I365^2+$E$22*I365+$F$22)/2</f>
      </c>
      <c r="X365" s="7">
        <f>($W365)*(T365)</f>
      </c>
      <c r="Y365" s="7">
        <f>($W365)*(U365)</f>
      </c>
      <c r="Z365" s="7">
        <f>SQRT(X365^2+Y365^2)</f>
      </c>
      <c r="AA365" s="7">
        <f>$K365+$X365</f>
      </c>
      <c r="AB365" s="7">
        <f>$L365+$Y365</f>
      </c>
      <c r="AC365" s="7">
        <f>$K365-$X365</f>
      </c>
      <c r="AD365" s="7">
        <f>$L365-$Y365</f>
      </c>
      <c r="AE365" s="7">
        <f>AA365/39.3701</f>
      </c>
      <c r="AF365" s="7">
        <f>AB365/39.3701</f>
      </c>
      <c r="AG365" s="7">
        <f>AC365/39.3701</f>
      </c>
      <c r="AH365" s="7">
        <f>AD365/39.3701</f>
      </c>
      <c r="AI365" s="1"/>
      <c r="AJ365" s="1"/>
      <c r="AK365" s="1"/>
      <c r="AL365" s="1"/>
      <c r="AM365" s="2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</row>
    <row x14ac:dyDescent="0.25" r="366" customHeight="1" ht="18.75">
      <c r="A366" s="1"/>
      <c r="B366" s="2"/>
      <c r="C366" s="2"/>
      <c r="D366" s="2"/>
      <c r="E366" s="2"/>
      <c r="F366" s="2"/>
      <c r="G366" s="1"/>
      <c r="H366" s="1"/>
      <c r="I366" s="7">
        <v>0.363</v>
      </c>
      <c r="J366" s="7">
        <f>IF((I366-ROUNDDOWN(I366,0))=0, 0, (I366-ROUNDDOWN(I366,0)))</f>
      </c>
      <c r="K366" s="7">
        <f>INDIRECT("C$"&amp;2+MIN(2,ROUNDDOWN(I366,0))*3)*(-$J366^3+3*$J366^2-3*$J366+1)+INDIRECT("C$"&amp;3+MIN(2,ROUNDDOWN(I366,0))*3)*(3*$J366^3-6*$J366^2+3*$J366)+INDIRECT("C$"&amp;4+MIN(2,ROUNDDOWN(I366,0))*3)*(-3*$J366^3+3*$J366^2)+INDIRECT("C$"&amp;5+MIN(2,ROUNDDOWN(I366,0))*3)*$J366^3</f>
      </c>
      <c r="L366" s="7">
        <f>INDIRECT("D$"&amp;2+MIN(2,ROUNDDOWN(I366,0))*3)*(-$J366^3+3*$J366^2-3*$J366+1)+INDIRECT("D$"&amp;3+MIN(2,ROUNDDOWN(I366,0))*3)*(3*$J366^3-6*$J366^2+3*$J366)+INDIRECT("D$"&amp;4+MIN(2,ROUNDDOWN(I366,0))*3)*(-3*$J366^3+3*$J366^2)+INDIRECT("D$"&amp;5+MIN(2,ROUNDDOWN(I366,0))*3)*$J366^3</f>
      </c>
      <c r="M366" s="7">
        <f>SQRT(K366^2+L366^2)</f>
      </c>
      <c r="N366" s="7">
        <f>(K367-K365)</f>
      </c>
      <c r="O366" s="7">
        <f>+(L367-L365)</f>
      </c>
      <c r="P366" s="7">
        <f>SQRT(O366^2+N366^2)</f>
      </c>
      <c r="Q366" s="7">
        <f>N366/$P366</f>
      </c>
      <c r="R366" s="7">
        <f>O366/$P366</f>
      </c>
      <c r="S366" s="7">
        <f>Q366^2+R366^2</f>
      </c>
      <c r="T366" s="7">
        <f>-R366</f>
      </c>
      <c r="U366" s="7">
        <f>Q366</f>
      </c>
      <c r="V366" s="7">
        <f>($C$14+($C$15-$C$14)/($D$15-$D$14)*(I366-$D$14))/2</f>
      </c>
      <c r="W366" s="7">
        <f>($B$22*I366^4+$C$22*I366^3+$D$22*I366^2+$E$22*I366+$F$22)/2</f>
      </c>
      <c r="X366" s="7">
        <f>($W366)*(T366)</f>
      </c>
      <c r="Y366" s="7">
        <f>($W366)*(U366)</f>
      </c>
      <c r="Z366" s="7">
        <f>SQRT(X366^2+Y366^2)</f>
      </c>
      <c r="AA366" s="7">
        <f>$K366+$X366</f>
      </c>
      <c r="AB366" s="7">
        <f>$L366+$Y366</f>
      </c>
      <c r="AC366" s="7">
        <f>$K366-$X366</f>
      </c>
      <c r="AD366" s="7">
        <f>$L366-$Y366</f>
      </c>
      <c r="AE366" s="7">
        <f>AA366/39.3701</f>
      </c>
      <c r="AF366" s="7">
        <f>AB366/39.3701</f>
      </c>
      <c r="AG366" s="7">
        <f>AC366/39.3701</f>
      </c>
      <c r="AH366" s="7">
        <f>AD366/39.3701</f>
      </c>
      <c r="AI366" s="1"/>
      <c r="AJ366" s="1"/>
      <c r="AK366" s="1"/>
      <c r="AL366" s="1"/>
      <c r="AM366" s="2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</row>
    <row x14ac:dyDescent="0.25" r="367" customHeight="1" ht="18.75">
      <c r="A367" s="1"/>
      <c r="B367" s="2"/>
      <c r="C367" s="2"/>
      <c r="D367" s="2"/>
      <c r="E367" s="2"/>
      <c r="F367" s="2"/>
      <c r="G367" s="1"/>
      <c r="H367" s="1"/>
      <c r="I367" s="7">
        <v>0.364</v>
      </c>
      <c r="J367" s="7">
        <f>IF((I367-ROUNDDOWN(I367,0))=0, 0, (I367-ROUNDDOWN(I367,0)))</f>
      </c>
      <c r="K367" s="7">
        <f>INDIRECT("C$"&amp;2+MIN(2,ROUNDDOWN(I367,0))*3)*(-$J367^3+3*$J367^2-3*$J367+1)+INDIRECT("C$"&amp;3+MIN(2,ROUNDDOWN(I367,0))*3)*(3*$J367^3-6*$J367^2+3*$J367)+INDIRECT("C$"&amp;4+MIN(2,ROUNDDOWN(I367,0))*3)*(-3*$J367^3+3*$J367^2)+INDIRECT("C$"&amp;5+MIN(2,ROUNDDOWN(I367,0))*3)*$J367^3</f>
      </c>
      <c r="L367" s="7">
        <f>INDIRECT("D$"&amp;2+MIN(2,ROUNDDOWN(I367,0))*3)*(-$J367^3+3*$J367^2-3*$J367+1)+INDIRECT("D$"&amp;3+MIN(2,ROUNDDOWN(I367,0))*3)*(3*$J367^3-6*$J367^2+3*$J367)+INDIRECT("D$"&amp;4+MIN(2,ROUNDDOWN(I367,0))*3)*(-3*$J367^3+3*$J367^2)+INDIRECT("D$"&amp;5+MIN(2,ROUNDDOWN(I367,0))*3)*$J367^3</f>
      </c>
      <c r="M367" s="7">
        <f>SQRT(K367^2+L367^2)</f>
      </c>
      <c r="N367" s="7">
        <f>(K368-K366)</f>
      </c>
      <c r="O367" s="7">
        <f>+(L368-L366)</f>
      </c>
      <c r="P367" s="7">
        <f>SQRT(O367^2+N367^2)</f>
      </c>
      <c r="Q367" s="7">
        <f>N367/$P367</f>
      </c>
      <c r="R367" s="7">
        <f>O367/$P367</f>
      </c>
      <c r="S367" s="7">
        <f>Q367^2+R367^2</f>
      </c>
      <c r="T367" s="7">
        <f>-R367</f>
      </c>
      <c r="U367" s="7">
        <f>Q367</f>
      </c>
      <c r="V367" s="7">
        <f>($C$14+($C$15-$C$14)/($D$15-$D$14)*(I367-$D$14))/2</f>
      </c>
      <c r="W367" s="7">
        <f>($B$22*I367^4+$C$22*I367^3+$D$22*I367^2+$E$22*I367+$F$22)/2</f>
      </c>
      <c r="X367" s="7">
        <f>($W367)*(T367)</f>
      </c>
      <c r="Y367" s="7">
        <f>($W367)*(U367)</f>
      </c>
      <c r="Z367" s="7">
        <f>SQRT(X367^2+Y367^2)</f>
      </c>
      <c r="AA367" s="7">
        <f>$K367+$X367</f>
      </c>
      <c r="AB367" s="7">
        <f>$L367+$Y367</f>
      </c>
      <c r="AC367" s="7">
        <f>$K367-$X367</f>
      </c>
      <c r="AD367" s="7">
        <f>$L367-$Y367</f>
      </c>
      <c r="AE367" s="7">
        <f>AA367/39.3701</f>
      </c>
      <c r="AF367" s="7">
        <f>AB367/39.3701</f>
      </c>
      <c r="AG367" s="7">
        <f>AC367/39.3701</f>
      </c>
      <c r="AH367" s="7">
        <f>AD367/39.3701</f>
      </c>
      <c r="AI367" s="1"/>
      <c r="AJ367" s="1"/>
      <c r="AK367" s="1"/>
      <c r="AL367" s="1"/>
      <c r="AM367" s="2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</row>
    <row x14ac:dyDescent="0.25" r="368" customHeight="1" ht="18.75">
      <c r="A368" s="1"/>
      <c r="B368" s="2"/>
      <c r="C368" s="2"/>
      <c r="D368" s="2"/>
      <c r="E368" s="2"/>
      <c r="F368" s="2"/>
      <c r="G368" s="1"/>
      <c r="H368" s="1"/>
      <c r="I368" s="7">
        <v>0.365</v>
      </c>
      <c r="J368" s="7">
        <f>IF((I368-ROUNDDOWN(I368,0))=0, 0, (I368-ROUNDDOWN(I368,0)))</f>
      </c>
      <c r="K368" s="7">
        <f>INDIRECT("C$"&amp;2+MIN(2,ROUNDDOWN(I368,0))*3)*(-$J368^3+3*$J368^2-3*$J368+1)+INDIRECT("C$"&amp;3+MIN(2,ROUNDDOWN(I368,0))*3)*(3*$J368^3-6*$J368^2+3*$J368)+INDIRECT("C$"&amp;4+MIN(2,ROUNDDOWN(I368,0))*3)*(-3*$J368^3+3*$J368^2)+INDIRECT("C$"&amp;5+MIN(2,ROUNDDOWN(I368,0))*3)*$J368^3</f>
      </c>
      <c r="L368" s="7">
        <f>INDIRECT("D$"&amp;2+MIN(2,ROUNDDOWN(I368,0))*3)*(-$J368^3+3*$J368^2-3*$J368+1)+INDIRECT("D$"&amp;3+MIN(2,ROUNDDOWN(I368,0))*3)*(3*$J368^3-6*$J368^2+3*$J368)+INDIRECT("D$"&amp;4+MIN(2,ROUNDDOWN(I368,0))*3)*(-3*$J368^3+3*$J368^2)+INDIRECT("D$"&amp;5+MIN(2,ROUNDDOWN(I368,0))*3)*$J368^3</f>
      </c>
      <c r="M368" s="7">
        <f>SQRT(K368^2+L368^2)</f>
      </c>
      <c r="N368" s="7">
        <f>(K369-K367)</f>
      </c>
      <c r="O368" s="7">
        <f>+(L369-L367)</f>
      </c>
      <c r="P368" s="7">
        <f>SQRT(O368^2+N368^2)</f>
      </c>
      <c r="Q368" s="7">
        <f>N368/$P368</f>
      </c>
      <c r="R368" s="7">
        <f>O368/$P368</f>
      </c>
      <c r="S368" s="8">
        <f>Q368^2+R368^2</f>
      </c>
      <c r="T368" s="7">
        <f>-R368</f>
      </c>
      <c r="U368" s="7">
        <f>Q368</f>
      </c>
      <c r="V368" s="7">
        <f>($C$14+($C$15-$C$14)/($D$15-$D$14)*(I368-$D$14))/2</f>
      </c>
      <c r="W368" s="7">
        <f>($B$22*I368^4+$C$22*I368^3+$D$22*I368^2+$E$22*I368+$F$22)/2</f>
      </c>
      <c r="X368" s="7">
        <f>($W368)*(T368)</f>
      </c>
      <c r="Y368" s="7">
        <f>($W368)*(U368)</f>
      </c>
      <c r="Z368" s="7">
        <f>SQRT(X368^2+Y368^2)</f>
      </c>
      <c r="AA368" s="7">
        <f>$K368+$X368</f>
      </c>
      <c r="AB368" s="7">
        <f>$L368+$Y368</f>
      </c>
      <c r="AC368" s="7">
        <f>$K368-$X368</f>
      </c>
      <c r="AD368" s="7">
        <f>$L368-$Y368</f>
      </c>
      <c r="AE368" s="7">
        <f>AA368/39.3701</f>
      </c>
      <c r="AF368" s="7">
        <f>AB368/39.3701</f>
      </c>
      <c r="AG368" s="7">
        <f>AC368/39.3701</f>
      </c>
      <c r="AH368" s="7">
        <f>AD368/39.3701</f>
      </c>
      <c r="AI368" s="1"/>
      <c r="AJ368" s="1"/>
      <c r="AK368" s="1"/>
      <c r="AL368" s="1"/>
      <c r="AM368" s="2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</row>
    <row x14ac:dyDescent="0.25" r="369" customHeight="1" ht="18.75">
      <c r="A369" s="1"/>
      <c r="B369" s="2"/>
      <c r="C369" s="2"/>
      <c r="D369" s="2"/>
      <c r="E369" s="2"/>
      <c r="F369" s="2"/>
      <c r="G369" s="1"/>
      <c r="H369" s="1"/>
      <c r="I369" s="7">
        <v>0.366</v>
      </c>
      <c r="J369" s="7">
        <f>IF((I369-ROUNDDOWN(I369,0))=0, 0, (I369-ROUNDDOWN(I369,0)))</f>
      </c>
      <c r="K369" s="7">
        <f>INDIRECT("C$"&amp;2+MIN(2,ROUNDDOWN(I369,0))*3)*(-$J369^3+3*$J369^2-3*$J369+1)+INDIRECT("C$"&amp;3+MIN(2,ROUNDDOWN(I369,0))*3)*(3*$J369^3-6*$J369^2+3*$J369)+INDIRECT("C$"&amp;4+MIN(2,ROUNDDOWN(I369,0))*3)*(-3*$J369^3+3*$J369^2)+INDIRECT("C$"&amp;5+MIN(2,ROUNDDOWN(I369,0))*3)*$J369^3</f>
      </c>
      <c r="L369" s="7">
        <f>INDIRECT("D$"&amp;2+MIN(2,ROUNDDOWN(I369,0))*3)*(-$J369^3+3*$J369^2-3*$J369+1)+INDIRECT("D$"&amp;3+MIN(2,ROUNDDOWN(I369,0))*3)*(3*$J369^3-6*$J369^2+3*$J369)+INDIRECT("D$"&amp;4+MIN(2,ROUNDDOWN(I369,0))*3)*(-3*$J369^3+3*$J369^2)+INDIRECT("D$"&amp;5+MIN(2,ROUNDDOWN(I369,0))*3)*$J369^3</f>
      </c>
      <c r="M369" s="7">
        <f>SQRT(K369^2+L369^2)</f>
      </c>
      <c r="N369" s="7">
        <f>(K370-K368)</f>
      </c>
      <c r="O369" s="7">
        <f>+(L370-L368)</f>
      </c>
      <c r="P369" s="7">
        <f>SQRT(O369^2+N369^2)</f>
      </c>
      <c r="Q369" s="7">
        <f>N369/$P369</f>
      </c>
      <c r="R369" s="7">
        <f>O369/$P369</f>
      </c>
      <c r="S369" s="7">
        <f>Q369^2+R369^2</f>
      </c>
      <c r="T369" s="7">
        <f>-R369</f>
      </c>
      <c r="U369" s="7">
        <f>Q369</f>
      </c>
      <c r="V369" s="7">
        <f>($C$14+($C$15-$C$14)/($D$15-$D$14)*(I369-$D$14))/2</f>
      </c>
      <c r="W369" s="7">
        <f>($B$22*I369^4+$C$22*I369^3+$D$22*I369^2+$E$22*I369+$F$22)/2</f>
      </c>
      <c r="X369" s="7">
        <f>($W369)*(T369)</f>
      </c>
      <c r="Y369" s="7">
        <f>($W369)*(U369)</f>
      </c>
      <c r="Z369" s="7">
        <f>SQRT(X369^2+Y369^2)</f>
      </c>
      <c r="AA369" s="7">
        <f>$K369+$X369</f>
      </c>
      <c r="AB369" s="7">
        <f>$L369+$Y369</f>
      </c>
      <c r="AC369" s="7">
        <f>$K369-$X369</f>
      </c>
      <c r="AD369" s="7">
        <f>$L369-$Y369</f>
      </c>
      <c r="AE369" s="7">
        <f>AA369/39.3701</f>
      </c>
      <c r="AF369" s="7">
        <f>AB369/39.3701</f>
      </c>
      <c r="AG369" s="7">
        <f>AC369/39.3701</f>
      </c>
      <c r="AH369" s="7">
        <f>AD369/39.3701</f>
      </c>
      <c r="AI369" s="1"/>
      <c r="AJ369" s="1"/>
      <c r="AK369" s="1"/>
      <c r="AL369" s="1"/>
      <c r="AM369" s="2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</row>
    <row x14ac:dyDescent="0.25" r="370" customHeight="1" ht="18.75">
      <c r="A370" s="1"/>
      <c r="B370" s="2"/>
      <c r="C370" s="2"/>
      <c r="D370" s="2"/>
      <c r="E370" s="2"/>
      <c r="F370" s="2"/>
      <c r="G370" s="1"/>
      <c r="H370" s="1"/>
      <c r="I370" s="7">
        <v>0.367</v>
      </c>
      <c r="J370" s="7">
        <f>IF((I370-ROUNDDOWN(I370,0))=0, 0, (I370-ROUNDDOWN(I370,0)))</f>
      </c>
      <c r="K370" s="7">
        <f>INDIRECT("C$"&amp;2+MIN(2,ROUNDDOWN(I370,0))*3)*(-$J370^3+3*$J370^2-3*$J370+1)+INDIRECT("C$"&amp;3+MIN(2,ROUNDDOWN(I370,0))*3)*(3*$J370^3-6*$J370^2+3*$J370)+INDIRECT("C$"&amp;4+MIN(2,ROUNDDOWN(I370,0))*3)*(-3*$J370^3+3*$J370^2)+INDIRECT("C$"&amp;5+MIN(2,ROUNDDOWN(I370,0))*3)*$J370^3</f>
      </c>
      <c r="L370" s="7">
        <f>INDIRECT("D$"&amp;2+MIN(2,ROUNDDOWN(I370,0))*3)*(-$J370^3+3*$J370^2-3*$J370+1)+INDIRECT("D$"&amp;3+MIN(2,ROUNDDOWN(I370,0))*3)*(3*$J370^3-6*$J370^2+3*$J370)+INDIRECT("D$"&amp;4+MIN(2,ROUNDDOWN(I370,0))*3)*(-3*$J370^3+3*$J370^2)+INDIRECT("D$"&amp;5+MIN(2,ROUNDDOWN(I370,0))*3)*$J370^3</f>
      </c>
      <c r="M370" s="7">
        <f>SQRT(K370^2+L370^2)</f>
      </c>
      <c r="N370" s="7">
        <f>(K371-K369)</f>
      </c>
      <c r="O370" s="7">
        <f>+(L371-L369)</f>
      </c>
      <c r="P370" s="7">
        <f>SQRT(O370^2+N370^2)</f>
      </c>
      <c r="Q370" s="7">
        <f>N370/$P370</f>
      </c>
      <c r="R370" s="7">
        <f>O370/$P370</f>
      </c>
      <c r="S370" s="7">
        <f>Q370^2+R370^2</f>
      </c>
      <c r="T370" s="7">
        <f>-R370</f>
      </c>
      <c r="U370" s="7">
        <f>Q370</f>
      </c>
      <c r="V370" s="7">
        <f>($C$14+($C$15-$C$14)/($D$15-$D$14)*(I370-$D$14))/2</f>
      </c>
      <c r="W370" s="7">
        <f>($B$22*I370^4+$C$22*I370^3+$D$22*I370^2+$E$22*I370+$F$22)/2</f>
      </c>
      <c r="X370" s="7">
        <f>($W370)*(T370)</f>
      </c>
      <c r="Y370" s="7">
        <f>($W370)*(U370)</f>
      </c>
      <c r="Z370" s="7">
        <f>SQRT(X370^2+Y370^2)</f>
      </c>
      <c r="AA370" s="7">
        <f>$K370+$X370</f>
      </c>
      <c r="AB370" s="7">
        <f>$L370+$Y370</f>
      </c>
      <c r="AC370" s="7">
        <f>$K370-$X370</f>
      </c>
      <c r="AD370" s="7">
        <f>$L370-$Y370</f>
      </c>
      <c r="AE370" s="7">
        <f>AA370/39.3701</f>
      </c>
      <c r="AF370" s="7">
        <f>AB370/39.3701</f>
      </c>
      <c r="AG370" s="7">
        <f>AC370/39.3701</f>
      </c>
      <c r="AH370" s="7">
        <f>AD370/39.3701</f>
      </c>
      <c r="AI370" s="1"/>
      <c r="AJ370" s="1"/>
      <c r="AK370" s="1"/>
      <c r="AL370" s="1"/>
      <c r="AM370" s="2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</row>
    <row x14ac:dyDescent="0.25" r="371" customHeight="1" ht="18.75">
      <c r="A371" s="1"/>
      <c r="B371" s="2"/>
      <c r="C371" s="2"/>
      <c r="D371" s="2"/>
      <c r="E371" s="2"/>
      <c r="F371" s="2"/>
      <c r="G371" s="1"/>
      <c r="H371" s="1"/>
      <c r="I371" s="7">
        <v>0.368</v>
      </c>
      <c r="J371" s="7">
        <f>IF((I371-ROUNDDOWN(I371,0))=0, 0, (I371-ROUNDDOWN(I371,0)))</f>
      </c>
      <c r="K371" s="7">
        <f>INDIRECT("C$"&amp;2+MIN(2,ROUNDDOWN(I371,0))*3)*(-$J371^3+3*$J371^2-3*$J371+1)+INDIRECT("C$"&amp;3+MIN(2,ROUNDDOWN(I371,0))*3)*(3*$J371^3-6*$J371^2+3*$J371)+INDIRECT("C$"&amp;4+MIN(2,ROUNDDOWN(I371,0))*3)*(-3*$J371^3+3*$J371^2)+INDIRECT("C$"&amp;5+MIN(2,ROUNDDOWN(I371,0))*3)*$J371^3</f>
      </c>
      <c r="L371" s="7">
        <f>INDIRECT("D$"&amp;2+MIN(2,ROUNDDOWN(I371,0))*3)*(-$J371^3+3*$J371^2-3*$J371+1)+INDIRECT("D$"&amp;3+MIN(2,ROUNDDOWN(I371,0))*3)*(3*$J371^3-6*$J371^2+3*$J371)+INDIRECT("D$"&amp;4+MIN(2,ROUNDDOWN(I371,0))*3)*(-3*$J371^3+3*$J371^2)+INDIRECT("D$"&amp;5+MIN(2,ROUNDDOWN(I371,0))*3)*$J371^3</f>
      </c>
      <c r="M371" s="7">
        <f>SQRT(K371^2+L371^2)</f>
      </c>
      <c r="N371" s="7">
        <f>(K372-K370)</f>
      </c>
      <c r="O371" s="7">
        <f>+(L372-L370)</f>
      </c>
      <c r="P371" s="7">
        <f>SQRT(O371^2+N371^2)</f>
      </c>
      <c r="Q371" s="7">
        <f>N371/$P371</f>
      </c>
      <c r="R371" s="7">
        <f>O371/$P371</f>
      </c>
      <c r="S371" s="7">
        <f>Q371^2+R371^2</f>
      </c>
      <c r="T371" s="7">
        <f>-R371</f>
      </c>
      <c r="U371" s="7">
        <f>Q371</f>
      </c>
      <c r="V371" s="7">
        <f>($C$14+($C$15-$C$14)/($D$15-$D$14)*(I371-$D$14))/2</f>
      </c>
      <c r="W371" s="7">
        <f>($B$22*I371^4+$C$22*I371^3+$D$22*I371^2+$E$22*I371+$F$22)/2</f>
      </c>
      <c r="X371" s="7">
        <f>($W371)*(T371)</f>
      </c>
      <c r="Y371" s="7">
        <f>($W371)*(U371)</f>
      </c>
      <c r="Z371" s="7">
        <f>SQRT(X371^2+Y371^2)</f>
      </c>
      <c r="AA371" s="7">
        <f>$K371+$X371</f>
      </c>
      <c r="AB371" s="7">
        <f>$L371+$Y371</f>
      </c>
      <c r="AC371" s="7">
        <f>$K371-$X371</f>
      </c>
      <c r="AD371" s="7">
        <f>$L371-$Y371</f>
      </c>
      <c r="AE371" s="7">
        <f>AA371/39.3701</f>
      </c>
      <c r="AF371" s="7">
        <f>AB371/39.3701</f>
      </c>
      <c r="AG371" s="7">
        <f>AC371/39.3701</f>
      </c>
      <c r="AH371" s="7">
        <f>AD371/39.3701</f>
      </c>
      <c r="AI371" s="1"/>
      <c r="AJ371" s="1"/>
      <c r="AK371" s="1"/>
      <c r="AL371" s="1"/>
      <c r="AM371" s="2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</row>
    <row x14ac:dyDescent="0.25" r="372" customHeight="1" ht="18.75">
      <c r="A372" s="1"/>
      <c r="B372" s="2"/>
      <c r="C372" s="2"/>
      <c r="D372" s="2"/>
      <c r="E372" s="2"/>
      <c r="F372" s="2"/>
      <c r="G372" s="1"/>
      <c r="H372" s="1"/>
      <c r="I372" s="7">
        <v>0.369</v>
      </c>
      <c r="J372" s="7">
        <f>IF((I372-ROUNDDOWN(I372,0))=0, 0, (I372-ROUNDDOWN(I372,0)))</f>
      </c>
      <c r="K372" s="7">
        <f>INDIRECT("C$"&amp;2+MIN(2,ROUNDDOWN(I372,0))*3)*(-$J372^3+3*$J372^2-3*$J372+1)+INDIRECT("C$"&amp;3+MIN(2,ROUNDDOWN(I372,0))*3)*(3*$J372^3-6*$J372^2+3*$J372)+INDIRECT("C$"&amp;4+MIN(2,ROUNDDOWN(I372,0))*3)*(-3*$J372^3+3*$J372^2)+INDIRECT("C$"&amp;5+MIN(2,ROUNDDOWN(I372,0))*3)*$J372^3</f>
      </c>
      <c r="L372" s="7">
        <f>INDIRECT("D$"&amp;2+MIN(2,ROUNDDOWN(I372,0))*3)*(-$J372^3+3*$J372^2-3*$J372+1)+INDIRECT("D$"&amp;3+MIN(2,ROUNDDOWN(I372,0))*3)*(3*$J372^3-6*$J372^2+3*$J372)+INDIRECT("D$"&amp;4+MIN(2,ROUNDDOWN(I372,0))*3)*(-3*$J372^3+3*$J372^2)+INDIRECT("D$"&amp;5+MIN(2,ROUNDDOWN(I372,0))*3)*$J372^3</f>
      </c>
      <c r="M372" s="7">
        <f>SQRT(K372^2+L372^2)</f>
      </c>
      <c r="N372" s="7">
        <f>(K373-K371)</f>
      </c>
      <c r="O372" s="7">
        <f>+(L373-L371)</f>
      </c>
      <c r="P372" s="7">
        <f>SQRT(O372^2+N372^2)</f>
      </c>
      <c r="Q372" s="7">
        <f>N372/$P372</f>
      </c>
      <c r="R372" s="7">
        <f>O372/$P372</f>
      </c>
      <c r="S372" s="8">
        <f>Q372^2+R372^2</f>
      </c>
      <c r="T372" s="7">
        <f>-R372</f>
      </c>
      <c r="U372" s="7">
        <f>Q372</f>
      </c>
      <c r="V372" s="7">
        <f>($C$14+($C$15-$C$14)/($D$15-$D$14)*(I372-$D$14))/2</f>
      </c>
      <c r="W372" s="7">
        <f>($B$22*I372^4+$C$22*I372^3+$D$22*I372^2+$E$22*I372+$F$22)/2</f>
      </c>
      <c r="X372" s="7">
        <f>($W372)*(T372)</f>
      </c>
      <c r="Y372" s="7">
        <f>($W372)*(U372)</f>
      </c>
      <c r="Z372" s="7">
        <f>SQRT(X372^2+Y372^2)</f>
      </c>
      <c r="AA372" s="7">
        <f>$K372+$X372</f>
      </c>
      <c r="AB372" s="7">
        <f>$L372+$Y372</f>
      </c>
      <c r="AC372" s="7">
        <f>$K372-$X372</f>
      </c>
      <c r="AD372" s="7">
        <f>$L372-$Y372</f>
      </c>
      <c r="AE372" s="7">
        <f>AA372/39.3701</f>
      </c>
      <c r="AF372" s="7">
        <f>AB372/39.3701</f>
      </c>
      <c r="AG372" s="7">
        <f>AC372/39.3701</f>
      </c>
      <c r="AH372" s="7">
        <f>AD372/39.3701</f>
      </c>
      <c r="AI372" s="1"/>
      <c r="AJ372" s="1"/>
      <c r="AK372" s="1"/>
      <c r="AL372" s="1"/>
      <c r="AM372" s="2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</row>
    <row x14ac:dyDescent="0.25" r="373" customHeight="1" ht="18.75">
      <c r="A373" s="1"/>
      <c r="B373" s="2"/>
      <c r="C373" s="2"/>
      <c r="D373" s="2"/>
      <c r="E373" s="2"/>
      <c r="F373" s="2"/>
      <c r="G373" s="1"/>
      <c r="H373" s="1"/>
      <c r="I373" s="7">
        <v>0.37</v>
      </c>
      <c r="J373" s="7">
        <f>IF((I373-ROUNDDOWN(I373,0))=0, 0, (I373-ROUNDDOWN(I373,0)))</f>
      </c>
      <c r="K373" s="7">
        <f>INDIRECT("C$"&amp;2+MIN(2,ROUNDDOWN(I373,0))*3)*(-$J373^3+3*$J373^2-3*$J373+1)+INDIRECT("C$"&amp;3+MIN(2,ROUNDDOWN(I373,0))*3)*(3*$J373^3-6*$J373^2+3*$J373)+INDIRECT("C$"&amp;4+MIN(2,ROUNDDOWN(I373,0))*3)*(-3*$J373^3+3*$J373^2)+INDIRECT("C$"&amp;5+MIN(2,ROUNDDOWN(I373,0))*3)*$J373^3</f>
      </c>
      <c r="L373" s="7">
        <f>INDIRECT("D$"&amp;2+MIN(2,ROUNDDOWN(I373,0))*3)*(-$J373^3+3*$J373^2-3*$J373+1)+INDIRECT("D$"&amp;3+MIN(2,ROUNDDOWN(I373,0))*3)*(3*$J373^3-6*$J373^2+3*$J373)+INDIRECT("D$"&amp;4+MIN(2,ROUNDDOWN(I373,0))*3)*(-3*$J373^3+3*$J373^2)+INDIRECT("D$"&amp;5+MIN(2,ROUNDDOWN(I373,0))*3)*$J373^3</f>
      </c>
      <c r="M373" s="7">
        <f>SQRT(K373^2+L373^2)</f>
      </c>
      <c r="N373" s="7">
        <f>(K374-K372)</f>
      </c>
      <c r="O373" s="7">
        <f>+(L374-L372)</f>
      </c>
      <c r="P373" s="7">
        <f>SQRT(O373^2+N373^2)</f>
      </c>
      <c r="Q373" s="7">
        <f>N373/$P373</f>
      </c>
      <c r="R373" s="7">
        <f>O373/$P373</f>
      </c>
      <c r="S373" s="8">
        <f>Q373^2+R373^2</f>
      </c>
      <c r="T373" s="7">
        <f>-R373</f>
      </c>
      <c r="U373" s="7">
        <f>Q373</f>
      </c>
      <c r="V373" s="7">
        <f>($C$14+($C$15-$C$14)/($D$15-$D$14)*(I373-$D$14))/2</f>
      </c>
      <c r="W373" s="7">
        <f>($B$22*I373^4+$C$22*I373^3+$D$22*I373^2+$E$22*I373+$F$22)/2</f>
      </c>
      <c r="X373" s="7">
        <f>($W373)*(T373)</f>
      </c>
      <c r="Y373" s="7">
        <f>($W373)*(U373)</f>
      </c>
      <c r="Z373" s="7">
        <f>SQRT(X373^2+Y373^2)</f>
      </c>
      <c r="AA373" s="7">
        <f>$K373+$X373</f>
      </c>
      <c r="AB373" s="7">
        <f>$L373+$Y373</f>
      </c>
      <c r="AC373" s="7">
        <f>$K373-$X373</f>
      </c>
      <c r="AD373" s="7">
        <f>$L373-$Y373</f>
      </c>
      <c r="AE373" s="7">
        <f>AA373/39.3701</f>
      </c>
      <c r="AF373" s="7">
        <f>AB373/39.3701</f>
      </c>
      <c r="AG373" s="7">
        <f>AC373/39.3701</f>
      </c>
      <c r="AH373" s="7">
        <f>AD373/39.3701</f>
      </c>
      <c r="AI373" s="1"/>
      <c r="AJ373" s="1"/>
      <c r="AK373" s="1"/>
      <c r="AL373" s="1"/>
      <c r="AM373" s="2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</row>
    <row x14ac:dyDescent="0.25" r="374" customHeight="1" ht="18.75">
      <c r="A374" s="1"/>
      <c r="B374" s="2"/>
      <c r="C374" s="2"/>
      <c r="D374" s="2"/>
      <c r="E374" s="2"/>
      <c r="F374" s="2"/>
      <c r="G374" s="1"/>
      <c r="H374" s="1"/>
      <c r="I374" s="7">
        <v>0.371</v>
      </c>
      <c r="J374" s="7">
        <f>IF((I374-ROUNDDOWN(I374,0))=0, 0, (I374-ROUNDDOWN(I374,0)))</f>
      </c>
      <c r="K374" s="7">
        <f>INDIRECT("C$"&amp;2+MIN(2,ROUNDDOWN(I374,0))*3)*(-$J374^3+3*$J374^2-3*$J374+1)+INDIRECT("C$"&amp;3+MIN(2,ROUNDDOWN(I374,0))*3)*(3*$J374^3-6*$J374^2+3*$J374)+INDIRECT("C$"&amp;4+MIN(2,ROUNDDOWN(I374,0))*3)*(-3*$J374^3+3*$J374^2)+INDIRECT("C$"&amp;5+MIN(2,ROUNDDOWN(I374,0))*3)*$J374^3</f>
      </c>
      <c r="L374" s="7">
        <f>INDIRECT("D$"&amp;2+MIN(2,ROUNDDOWN(I374,0))*3)*(-$J374^3+3*$J374^2-3*$J374+1)+INDIRECT("D$"&amp;3+MIN(2,ROUNDDOWN(I374,0))*3)*(3*$J374^3-6*$J374^2+3*$J374)+INDIRECT("D$"&amp;4+MIN(2,ROUNDDOWN(I374,0))*3)*(-3*$J374^3+3*$J374^2)+INDIRECT("D$"&amp;5+MIN(2,ROUNDDOWN(I374,0))*3)*$J374^3</f>
      </c>
      <c r="M374" s="7">
        <f>SQRT(K374^2+L374^2)</f>
      </c>
      <c r="N374" s="7">
        <f>(K375-K373)</f>
      </c>
      <c r="O374" s="7">
        <f>+(L375-L373)</f>
      </c>
      <c r="P374" s="7">
        <f>SQRT(O374^2+N374^2)</f>
      </c>
      <c r="Q374" s="7">
        <f>N374/$P374</f>
      </c>
      <c r="R374" s="7">
        <f>O374/$P374</f>
      </c>
      <c r="S374" s="7">
        <f>Q374^2+R374^2</f>
      </c>
      <c r="T374" s="7">
        <f>-R374</f>
      </c>
      <c r="U374" s="7">
        <f>Q374</f>
      </c>
      <c r="V374" s="7">
        <f>($C$14+($C$15-$C$14)/($D$15-$D$14)*(I374-$D$14))/2</f>
      </c>
      <c r="W374" s="7">
        <f>($B$22*I374^4+$C$22*I374^3+$D$22*I374^2+$E$22*I374+$F$22)/2</f>
      </c>
      <c r="X374" s="7">
        <f>($W374)*(T374)</f>
      </c>
      <c r="Y374" s="7">
        <f>($W374)*(U374)</f>
      </c>
      <c r="Z374" s="7">
        <f>SQRT(X374^2+Y374^2)</f>
      </c>
      <c r="AA374" s="7">
        <f>$K374+$X374</f>
      </c>
      <c r="AB374" s="7">
        <f>$L374+$Y374</f>
      </c>
      <c r="AC374" s="7">
        <f>$K374-$X374</f>
      </c>
      <c r="AD374" s="7">
        <f>$L374-$Y374</f>
      </c>
      <c r="AE374" s="7">
        <f>AA374/39.3701</f>
      </c>
      <c r="AF374" s="7">
        <f>AB374/39.3701</f>
      </c>
      <c r="AG374" s="7">
        <f>AC374/39.3701</f>
      </c>
      <c r="AH374" s="7">
        <f>AD374/39.3701</f>
      </c>
      <c r="AI374" s="1"/>
      <c r="AJ374" s="1"/>
      <c r="AK374" s="1"/>
      <c r="AL374" s="1"/>
      <c r="AM374" s="2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</row>
    <row x14ac:dyDescent="0.25" r="375" customHeight="1" ht="18.75">
      <c r="A375" s="1"/>
      <c r="B375" s="2"/>
      <c r="C375" s="2"/>
      <c r="D375" s="2"/>
      <c r="E375" s="2"/>
      <c r="F375" s="2"/>
      <c r="G375" s="1"/>
      <c r="H375" s="1"/>
      <c r="I375" s="7">
        <v>0.372</v>
      </c>
      <c r="J375" s="7">
        <f>IF((I375-ROUNDDOWN(I375,0))=0, 0, (I375-ROUNDDOWN(I375,0)))</f>
      </c>
      <c r="K375" s="7">
        <f>INDIRECT("C$"&amp;2+MIN(2,ROUNDDOWN(I375,0))*3)*(-$J375^3+3*$J375^2-3*$J375+1)+INDIRECT("C$"&amp;3+MIN(2,ROUNDDOWN(I375,0))*3)*(3*$J375^3-6*$J375^2+3*$J375)+INDIRECT("C$"&amp;4+MIN(2,ROUNDDOWN(I375,0))*3)*(-3*$J375^3+3*$J375^2)+INDIRECT("C$"&amp;5+MIN(2,ROUNDDOWN(I375,0))*3)*$J375^3</f>
      </c>
      <c r="L375" s="7">
        <f>INDIRECT("D$"&amp;2+MIN(2,ROUNDDOWN(I375,0))*3)*(-$J375^3+3*$J375^2-3*$J375+1)+INDIRECT("D$"&amp;3+MIN(2,ROUNDDOWN(I375,0))*3)*(3*$J375^3-6*$J375^2+3*$J375)+INDIRECT("D$"&amp;4+MIN(2,ROUNDDOWN(I375,0))*3)*(-3*$J375^3+3*$J375^2)+INDIRECT("D$"&amp;5+MIN(2,ROUNDDOWN(I375,0))*3)*$J375^3</f>
      </c>
      <c r="M375" s="7">
        <f>SQRT(K375^2+L375^2)</f>
      </c>
      <c r="N375" s="7">
        <f>(K376-K374)</f>
      </c>
      <c r="O375" s="7">
        <f>+(L376-L374)</f>
      </c>
      <c r="P375" s="7">
        <f>SQRT(O375^2+N375^2)</f>
      </c>
      <c r="Q375" s="7">
        <f>N375/$P375</f>
      </c>
      <c r="R375" s="7">
        <f>O375/$P375</f>
      </c>
      <c r="S375" s="8">
        <f>Q375^2+R375^2</f>
      </c>
      <c r="T375" s="7">
        <f>-R375</f>
      </c>
      <c r="U375" s="7">
        <f>Q375</f>
      </c>
      <c r="V375" s="7">
        <f>($C$14+($C$15-$C$14)/($D$15-$D$14)*(I375-$D$14))/2</f>
      </c>
      <c r="W375" s="7">
        <f>($B$22*I375^4+$C$22*I375^3+$D$22*I375^2+$E$22*I375+$F$22)/2</f>
      </c>
      <c r="X375" s="7">
        <f>($W375)*(T375)</f>
      </c>
      <c r="Y375" s="7">
        <f>($W375)*(U375)</f>
      </c>
      <c r="Z375" s="7">
        <f>SQRT(X375^2+Y375^2)</f>
      </c>
      <c r="AA375" s="7">
        <f>$K375+$X375</f>
      </c>
      <c r="AB375" s="7">
        <f>$L375+$Y375</f>
      </c>
      <c r="AC375" s="7">
        <f>$K375-$X375</f>
      </c>
      <c r="AD375" s="7">
        <f>$L375-$Y375</f>
      </c>
      <c r="AE375" s="7">
        <f>AA375/39.3701</f>
      </c>
      <c r="AF375" s="7">
        <f>AB375/39.3701</f>
      </c>
      <c r="AG375" s="7">
        <f>AC375/39.3701</f>
      </c>
      <c r="AH375" s="7">
        <f>AD375/39.3701</f>
      </c>
      <c r="AI375" s="1"/>
      <c r="AJ375" s="1"/>
      <c r="AK375" s="1"/>
      <c r="AL375" s="1"/>
      <c r="AM375" s="2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</row>
    <row x14ac:dyDescent="0.25" r="376" customHeight="1" ht="18.75">
      <c r="A376" s="1"/>
      <c r="B376" s="2"/>
      <c r="C376" s="2"/>
      <c r="D376" s="2"/>
      <c r="E376" s="2"/>
      <c r="F376" s="2"/>
      <c r="G376" s="1"/>
      <c r="H376" s="1"/>
      <c r="I376" s="7">
        <v>0.373</v>
      </c>
      <c r="J376" s="7">
        <f>IF((I376-ROUNDDOWN(I376,0))=0, 0, (I376-ROUNDDOWN(I376,0)))</f>
      </c>
      <c r="K376" s="7">
        <f>INDIRECT("C$"&amp;2+MIN(2,ROUNDDOWN(I376,0))*3)*(-$J376^3+3*$J376^2-3*$J376+1)+INDIRECT("C$"&amp;3+MIN(2,ROUNDDOWN(I376,0))*3)*(3*$J376^3-6*$J376^2+3*$J376)+INDIRECT("C$"&amp;4+MIN(2,ROUNDDOWN(I376,0))*3)*(-3*$J376^3+3*$J376^2)+INDIRECT("C$"&amp;5+MIN(2,ROUNDDOWN(I376,0))*3)*$J376^3</f>
      </c>
      <c r="L376" s="7">
        <f>INDIRECT("D$"&amp;2+MIN(2,ROUNDDOWN(I376,0))*3)*(-$J376^3+3*$J376^2-3*$J376+1)+INDIRECT("D$"&amp;3+MIN(2,ROUNDDOWN(I376,0))*3)*(3*$J376^3-6*$J376^2+3*$J376)+INDIRECT("D$"&amp;4+MIN(2,ROUNDDOWN(I376,0))*3)*(-3*$J376^3+3*$J376^2)+INDIRECT("D$"&amp;5+MIN(2,ROUNDDOWN(I376,0))*3)*$J376^3</f>
      </c>
      <c r="M376" s="7">
        <f>SQRT(K376^2+L376^2)</f>
      </c>
      <c r="N376" s="7">
        <f>(K377-K375)</f>
      </c>
      <c r="O376" s="7">
        <f>+(L377-L375)</f>
      </c>
      <c r="P376" s="7">
        <f>SQRT(O376^2+N376^2)</f>
      </c>
      <c r="Q376" s="7">
        <f>N376/$P376</f>
      </c>
      <c r="R376" s="7">
        <f>O376/$P376</f>
      </c>
      <c r="S376" s="7">
        <f>Q376^2+R376^2</f>
      </c>
      <c r="T376" s="7">
        <f>-R376</f>
      </c>
      <c r="U376" s="7">
        <f>Q376</f>
      </c>
      <c r="V376" s="7">
        <f>($C$14+($C$15-$C$14)/($D$15-$D$14)*(I376-$D$14))/2</f>
      </c>
      <c r="W376" s="7">
        <f>($B$22*I376^4+$C$22*I376^3+$D$22*I376^2+$E$22*I376+$F$22)/2</f>
      </c>
      <c r="X376" s="7">
        <f>($W376)*(T376)</f>
      </c>
      <c r="Y376" s="7">
        <f>($W376)*(U376)</f>
      </c>
      <c r="Z376" s="7">
        <f>SQRT(X376^2+Y376^2)</f>
      </c>
      <c r="AA376" s="7">
        <f>$K376+$X376</f>
      </c>
      <c r="AB376" s="7">
        <f>$L376+$Y376</f>
      </c>
      <c r="AC376" s="7">
        <f>$K376-$X376</f>
      </c>
      <c r="AD376" s="7">
        <f>$L376-$Y376</f>
      </c>
      <c r="AE376" s="7">
        <f>AA376/39.3701</f>
      </c>
      <c r="AF376" s="7">
        <f>AB376/39.3701</f>
      </c>
      <c r="AG376" s="7">
        <f>AC376/39.3701</f>
      </c>
      <c r="AH376" s="7">
        <f>AD376/39.3701</f>
      </c>
      <c r="AI376" s="1"/>
      <c r="AJ376" s="1"/>
      <c r="AK376" s="1"/>
      <c r="AL376" s="1"/>
      <c r="AM376" s="2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</row>
    <row x14ac:dyDescent="0.25" r="377" customHeight="1" ht="18.75">
      <c r="A377" s="1"/>
      <c r="B377" s="2"/>
      <c r="C377" s="2"/>
      <c r="D377" s="2"/>
      <c r="E377" s="2"/>
      <c r="F377" s="2"/>
      <c r="G377" s="1"/>
      <c r="H377" s="1"/>
      <c r="I377" s="7">
        <v>0.374</v>
      </c>
      <c r="J377" s="7">
        <f>IF((I377-ROUNDDOWN(I377,0))=0, 0, (I377-ROUNDDOWN(I377,0)))</f>
      </c>
      <c r="K377" s="7">
        <f>INDIRECT("C$"&amp;2+MIN(2,ROUNDDOWN(I377,0))*3)*(-$J377^3+3*$J377^2-3*$J377+1)+INDIRECT("C$"&amp;3+MIN(2,ROUNDDOWN(I377,0))*3)*(3*$J377^3-6*$J377^2+3*$J377)+INDIRECT("C$"&amp;4+MIN(2,ROUNDDOWN(I377,0))*3)*(-3*$J377^3+3*$J377^2)+INDIRECT("C$"&amp;5+MIN(2,ROUNDDOWN(I377,0))*3)*$J377^3</f>
      </c>
      <c r="L377" s="7">
        <f>INDIRECT("D$"&amp;2+MIN(2,ROUNDDOWN(I377,0))*3)*(-$J377^3+3*$J377^2-3*$J377+1)+INDIRECT("D$"&amp;3+MIN(2,ROUNDDOWN(I377,0))*3)*(3*$J377^3-6*$J377^2+3*$J377)+INDIRECT("D$"&amp;4+MIN(2,ROUNDDOWN(I377,0))*3)*(-3*$J377^3+3*$J377^2)+INDIRECT("D$"&amp;5+MIN(2,ROUNDDOWN(I377,0))*3)*$J377^3</f>
      </c>
      <c r="M377" s="7">
        <f>SQRT(K377^2+L377^2)</f>
      </c>
      <c r="N377" s="7">
        <f>(K378-K376)</f>
      </c>
      <c r="O377" s="7">
        <f>+(L378-L376)</f>
      </c>
      <c r="P377" s="7">
        <f>SQRT(O377^2+N377^2)</f>
      </c>
      <c r="Q377" s="7">
        <f>N377/$P377</f>
      </c>
      <c r="R377" s="7">
        <f>O377/$P377</f>
      </c>
      <c r="S377" s="8">
        <f>Q377^2+R377^2</f>
      </c>
      <c r="T377" s="7">
        <f>-R377</f>
      </c>
      <c r="U377" s="7">
        <f>Q377</f>
      </c>
      <c r="V377" s="7">
        <f>($C$14+($C$15-$C$14)/($D$15-$D$14)*(I377-$D$14))/2</f>
      </c>
      <c r="W377" s="7">
        <f>($B$22*I377^4+$C$22*I377^3+$D$22*I377^2+$E$22*I377+$F$22)/2</f>
      </c>
      <c r="X377" s="7">
        <f>($W377)*(T377)</f>
      </c>
      <c r="Y377" s="7">
        <f>($W377)*(U377)</f>
      </c>
      <c r="Z377" s="7">
        <f>SQRT(X377^2+Y377^2)</f>
      </c>
      <c r="AA377" s="7">
        <f>$K377+$X377</f>
      </c>
      <c r="AB377" s="7">
        <f>$L377+$Y377</f>
      </c>
      <c r="AC377" s="7">
        <f>$K377-$X377</f>
      </c>
      <c r="AD377" s="7">
        <f>$L377-$Y377</f>
      </c>
      <c r="AE377" s="7">
        <f>AA377/39.3701</f>
      </c>
      <c r="AF377" s="7">
        <f>AB377/39.3701</f>
      </c>
      <c r="AG377" s="7">
        <f>AC377/39.3701</f>
      </c>
      <c r="AH377" s="7">
        <f>AD377/39.3701</f>
      </c>
      <c r="AI377" s="1"/>
      <c r="AJ377" s="1"/>
      <c r="AK377" s="1"/>
      <c r="AL377" s="1"/>
      <c r="AM377" s="2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</row>
    <row x14ac:dyDescent="0.25" r="378" customHeight="1" ht="18.75">
      <c r="A378" s="1"/>
      <c r="B378" s="2"/>
      <c r="C378" s="2"/>
      <c r="D378" s="2"/>
      <c r="E378" s="2"/>
      <c r="F378" s="2"/>
      <c r="G378" s="1"/>
      <c r="H378" s="1"/>
      <c r="I378" s="7">
        <v>0.375</v>
      </c>
      <c r="J378" s="7">
        <f>IF((I378-ROUNDDOWN(I378,0))=0, 0, (I378-ROUNDDOWN(I378,0)))</f>
      </c>
      <c r="K378" s="7">
        <f>INDIRECT("C$"&amp;2+MIN(2,ROUNDDOWN(I378,0))*3)*(-$J378^3+3*$J378^2-3*$J378+1)+INDIRECT("C$"&amp;3+MIN(2,ROUNDDOWN(I378,0))*3)*(3*$J378^3-6*$J378^2+3*$J378)+INDIRECT("C$"&amp;4+MIN(2,ROUNDDOWN(I378,0))*3)*(-3*$J378^3+3*$J378^2)+INDIRECT("C$"&amp;5+MIN(2,ROUNDDOWN(I378,0))*3)*$J378^3</f>
      </c>
      <c r="L378" s="7">
        <f>INDIRECT("D$"&amp;2+MIN(2,ROUNDDOWN(I378,0))*3)*(-$J378^3+3*$J378^2-3*$J378+1)+INDIRECT("D$"&amp;3+MIN(2,ROUNDDOWN(I378,0))*3)*(3*$J378^3-6*$J378^2+3*$J378)+INDIRECT("D$"&amp;4+MIN(2,ROUNDDOWN(I378,0))*3)*(-3*$J378^3+3*$J378^2)+INDIRECT("D$"&amp;5+MIN(2,ROUNDDOWN(I378,0))*3)*$J378^3</f>
      </c>
      <c r="M378" s="7">
        <f>SQRT(K378^2+L378^2)</f>
      </c>
      <c r="N378" s="7">
        <f>(K379-K377)</f>
      </c>
      <c r="O378" s="7">
        <f>+(L379-L377)</f>
      </c>
      <c r="P378" s="7">
        <f>SQRT(O378^2+N378^2)</f>
      </c>
      <c r="Q378" s="7">
        <f>N378/$P378</f>
      </c>
      <c r="R378" s="7">
        <f>O378/$P378</f>
      </c>
      <c r="S378" s="7">
        <f>Q378^2+R378^2</f>
      </c>
      <c r="T378" s="7">
        <f>-R378</f>
      </c>
      <c r="U378" s="7">
        <f>Q378</f>
      </c>
      <c r="V378" s="7">
        <f>($C$14+($C$15-$C$14)/($D$15-$D$14)*(I378-$D$14))/2</f>
      </c>
      <c r="W378" s="7">
        <f>($B$22*I378^4+$C$22*I378^3+$D$22*I378^2+$E$22*I378+$F$22)/2</f>
      </c>
      <c r="X378" s="7">
        <f>($W378)*(T378)</f>
      </c>
      <c r="Y378" s="7">
        <f>($W378)*(U378)</f>
      </c>
      <c r="Z378" s="7">
        <f>SQRT(X378^2+Y378^2)</f>
      </c>
      <c r="AA378" s="7">
        <f>$K378+$X378</f>
      </c>
      <c r="AB378" s="7">
        <f>$L378+$Y378</f>
      </c>
      <c r="AC378" s="7">
        <f>$K378-$X378</f>
      </c>
      <c r="AD378" s="7">
        <f>$L378-$Y378</f>
      </c>
      <c r="AE378" s="7">
        <f>AA378/39.3701</f>
      </c>
      <c r="AF378" s="7">
        <f>AB378/39.3701</f>
      </c>
      <c r="AG378" s="7">
        <f>AC378/39.3701</f>
      </c>
      <c r="AH378" s="7">
        <f>AD378/39.3701</f>
      </c>
      <c r="AI378" s="1"/>
      <c r="AJ378" s="1"/>
      <c r="AK378" s="1"/>
      <c r="AL378" s="1"/>
      <c r="AM378" s="2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</row>
    <row x14ac:dyDescent="0.25" r="379" customHeight="1" ht="18.75">
      <c r="A379" s="1"/>
      <c r="B379" s="2"/>
      <c r="C379" s="2"/>
      <c r="D379" s="2"/>
      <c r="E379" s="2"/>
      <c r="F379" s="2"/>
      <c r="G379" s="1"/>
      <c r="H379" s="1"/>
      <c r="I379" s="7">
        <v>0.376</v>
      </c>
      <c r="J379" s="7">
        <f>IF((I379-ROUNDDOWN(I379,0))=0, 0, (I379-ROUNDDOWN(I379,0)))</f>
      </c>
      <c r="K379" s="7">
        <f>INDIRECT("C$"&amp;2+MIN(2,ROUNDDOWN(I379,0))*3)*(-$J379^3+3*$J379^2-3*$J379+1)+INDIRECT("C$"&amp;3+MIN(2,ROUNDDOWN(I379,0))*3)*(3*$J379^3-6*$J379^2+3*$J379)+INDIRECT("C$"&amp;4+MIN(2,ROUNDDOWN(I379,0))*3)*(-3*$J379^3+3*$J379^2)+INDIRECT("C$"&amp;5+MIN(2,ROUNDDOWN(I379,0))*3)*$J379^3</f>
      </c>
      <c r="L379" s="7">
        <f>INDIRECT("D$"&amp;2+MIN(2,ROUNDDOWN(I379,0))*3)*(-$J379^3+3*$J379^2-3*$J379+1)+INDIRECT("D$"&amp;3+MIN(2,ROUNDDOWN(I379,0))*3)*(3*$J379^3-6*$J379^2+3*$J379)+INDIRECT("D$"&amp;4+MIN(2,ROUNDDOWN(I379,0))*3)*(-3*$J379^3+3*$J379^2)+INDIRECT("D$"&amp;5+MIN(2,ROUNDDOWN(I379,0))*3)*$J379^3</f>
      </c>
      <c r="M379" s="7">
        <f>SQRT(K379^2+L379^2)</f>
      </c>
      <c r="N379" s="7">
        <f>(K380-K378)</f>
      </c>
      <c r="O379" s="7">
        <f>+(L380-L378)</f>
      </c>
      <c r="P379" s="7">
        <f>SQRT(O379^2+N379^2)</f>
      </c>
      <c r="Q379" s="7">
        <f>N379/$P379</f>
      </c>
      <c r="R379" s="7">
        <f>O379/$P379</f>
      </c>
      <c r="S379" s="7">
        <f>Q379^2+R379^2</f>
      </c>
      <c r="T379" s="7">
        <f>-R379</f>
      </c>
      <c r="U379" s="7">
        <f>Q379</f>
      </c>
      <c r="V379" s="7">
        <f>($C$14+($C$15-$C$14)/($D$15-$D$14)*(I379-$D$14))/2</f>
      </c>
      <c r="W379" s="7">
        <f>($B$22*I379^4+$C$22*I379^3+$D$22*I379^2+$E$22*I379+$F$22)/2</f>
      </c>
      <c r="X379" s="7">
        <f>($W379)*(T379)</f>
      </c>
      <c r="Y379" s="7">
        <f>($W379)*(U379)</f>
      </c>
      <c r="Z379" s="7">
        <f>SQRT(X379^2+Y379^2)</f>
      </c>
      <c r="AA379" s="7">
        <f>$K379+$X379</f>
      </c>
      <c r="AB379" s="7">
        <f>$L379+$Y379</f>
      </c>
      <c r="AC379" s="7">
        <f>$K379-$X379</f>
      </c>
      <c r="AD379" s="7">
        <f>$L379-$Y379</f>
      </c>
      <c r="AE379" s="7">
        <f>AA379/39.3701</f>
      </c>
      <c r="AF379" s="7">
        <f>AB379/39.3701</f>
      </c>
      <c r="AG379" s="7">
        <f>AC379/39.3701</f>
      </c>
      <c r="AH379" s="7">
        <f>AD379/39.3701</f>
      </c>
      <c r="AI379" s="1"/>
      <c r="AJ379" s="1"/>
      <c r="AK379" s="1"/>
      <c r="AL379" s="1"/>
      <c r="AM379" s="2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</row>
    <row x14ac:dyDescent="0.25" r="380" customHeight="1" ht="18.75">
      <c r="A380" s="1"/>
      <c r="B380" s="2"/>
      <c r="C380" s="2"/>
      <c r="D380" s="2"/>
      <c r="E380" s="2"/>
      <c r="F380" s="2"/>
      <c r="G380" s="1"/>
      <c r="H380" s="1"/>
      <c r="I380" s="7">
        <v>0.377</v>
      </c>
      <c r="J380" s="7">
        <f>IF((I380-ROUNDDOWN(I380,0))=0, 0, (I380-ROUNDDOWN(I380,0)))</f>
      </c>
      <c r="K380" s="7">
        <f>INDIRECT("C$"&amp;2+MIN(2,ROUNDDOWN(I380,0))*3)*(-$J380^3+3*$J380^2-3*$J380+1)+INDIRECT("C$"&amp;3+MIN(2,ROUNDDOWN(I380,0))*3)*(3*$J380^3-6*$J380^2+3*$J380)+INDIRECT("C$"&amp;4+MIN(2,ROUNDDOWN(I380,0))*3)*(-3*$J380^3+3*$J380^2)+INDIRECT("C$"&amp;5+MIN(2,ROUNDDOWN(I380,0))*3)*$J380^3</f>
      </c>
      <c r="L380" s="7">
        <f>INDIRECT("D$"&amp;2+MIN(2,ROUNDDOWN(I380,0))*3)*(-$J380^3+3*$J380^2-3*$J380+1)+INDIRECT("D$"&amp;3+MIN(2,ROUNDDOWN(I380,0))*3)*(3*$J380^3-6*$J380^2+3*$J380)+INDIRECT("D$"&amp;4+MIN(2,ROUNDDOWN(I380,0))*3)*(-3*$J380^3+3*$J380^2)+INDIRECT("D$"&amp;5+MIN(2,ROUNDDOWN(I380,0))*3)*$J380^3</f>
      </c>
      <c r="M380" s="7">
        <f>SQRT(K380^2+L380^2)</f>
      </c>
      <c r="N380" s="7">
        <f>(K381-K379)</f>
      </c>
      <c r="O380" s="7">
        <f>+(L381-L379)</f>
      </c>
      <c r="P380" s="7">
        <f>SQRT(O380^2+N380^2)</f>
      </c>
      <c r="Q380" s="7">
        <f>N380/$P380</f>
      </c>
      <c r="R380" s="7">
        <f>O380/$P380</f>
      </c>
      <c r="S380" s="8">
        <f>Q380^2+R380^2</f>
      </c>
      <c r="T380" s="7">
        <f>-R380</f>
      </c>
      <c r="U380" s="7">
        <f>Q380</f>
      </c>
      <c r="V380" s="7">
        <f>($C$14+($C$15-$C$14)/($D$15-$D$14)*(I380-$D$14))/2</f>
      </c>
      <c r="W380" s="7">
        <f>($B$22*I380^4+$C$22*I380^3+$D$22*I380^2+$E$22*I380+$F$22)/2</f>
      </c>
      <c r="X380" s="7">
        <f>($W380)*(T380)</f>
      </c>
      <c r="Y380" s="7">
        <f>($W380)*(U380)</f>
      </c>
      <c r="Z380" s="7">
        <f>SQRT(X380^2+Y380^2)</f>
      </c>
      <c r="AA380" s="7">
        <f>$K380+$X380</f>
      </c>
      <c r="AB380" s="7">
        <f>$L380+$Y380</f>
      </c>
      <c r="AC380" s="7">
        <f>$K380-$X380</f>
      </c>
      <c r="AD380" s="7">
        <f>$L380-$Y380</f>
      </c>
      <c r="AE380" s="7">
        <f>AA380/39.3701</f>
      </c>
      <c r="AF380" s="7">
        <f>AB380/39.3701</f>
      </c>
      <c r="AG380" s="7">
        <f>AC380/39.3701</f>
      </c>
      <c r="AH380" s="7">
        <f>AD380/39.3701</f>
      </c>
      <c r="AI380" s="1"/>
      <c r="AJ380" s="1"/>
      <c r="AK380" s="1"/>
      <c r="AL380" s="1"/>
      <c r="AM380" s="2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</row>
    <row x14ac:dyDescent="0.25" r="381" customHeight="1" ht="18.75">
      <c r="A381" s="1"/>
      <c r="B381" s="2"/>
      <c r="C381" s="2"/>
      <c r="D381" s="2"/>
      <c r="E381" s="2"/>
      <c r="F381" s="2"/>
      <c r="G381" s="1"/>
      <c r="H381" s="1"/>
      <c r="I381" s="7">
        <v>0.378</v>
      </c>
      <c r="J381" s="7">
        <f>IF((I381-ROUNDDOWN(I381,0))=0, 0, (I381-ROUNDDOWN(I381,0)))</f>
      </c>
      <c r="K381" s="7">
        <f>INDIRECT("C$"&amp;2+MIN(2,ROUNDDOWN(I381,0))*3)*(-$J381^3+3*$J381^2-3*$J381+1)+INDIRECT("C$"&amp;3+MIN(2,ROUNDDOWN(I381,0))*3)*(3*$J381^3-6*$J381^2+3*$J381)+INDIRECT("C$"&amp;4+MIN(2,ROUNDDOWN(I381,0))*3)*(-3*$J381^3+3*$J381^2)+INDIRECT("C$"&amp;5+MIN(2,ROUNDDOWN(I381,0))*3)*$J381^3</f>
      </c>
      <c r="L381" s="7">
        <f>INDIRECT("D$"&amp;2+MIN(2,ROUNDDOWN(I381,0))*3)*(-$J381^3+3*$J381^2-3*$J381+1)+INDIRECT("D$"&amp;3+MIN(2,ROUNDDOWN(I381,0))*3)*(3*$J381^3-6*$J381^2+3*$J381)+INDIRECT("D$"&amp;4+MIN(2,ROUNDDOWN(I381,0))*3)*(-3*$J381^3+3*$J381^2)+INDIRECT("D$"&amp;5+MIN(2,ROUNDDOWN(I381,0))*3)*$J381^3</f>
      </c>
      <c r="M381" s="7">
        <f>SQRT(K381^2+L381^2)</f>
      </c>
      <c r="N381" s="7">
        <f>(K382-K380)</f>
      </c>
      <c r="O381" s="7">
        <f>+(L382-L380)</f>
      </c>
      <c r="P381" s="7">
        <f>SQRT(O381^2+N381^2)</f>
      </c>
      <c r="Q381" s="7">
        <f>N381/$P381</f>
      </c>
      <c r="R381" s="7">
        <f>O381/$P381</f>
      </c>
      <c r="S381" s="7">
        <f>Q381^2+R381^2</f>
      </c>
      <c r="T381" s="7">
        <f>-R381</f>
      </c>
      <c r="U381" s="7">
        <f>Q381</f>
      </c>
      <c r="V381" s="7">
        <f>($C$14+($C$15-$C$14)/($D$15-$D$14)*(I381-$D$14))/2</f>
      </c>
      <c r="W381" s="7">
        <f>($B$22*I381^4+$C$22*I381^3+$D$22*I381^2+$E$22*I381+$F$22)/2</f>
      </c>
      <c r="X381" s="7">
        <f>($W381)*(T381)</f>
      </c>
      <c r="Y381" s="7">
        <f>($W381)*(U381)</f>
      </c>
      <c r="Z381" s="7">
        <f>SQRT(X381^2+Y381^2)</f>
      </c>
      <c r="AA381" s="7">
        <f>$K381+$X381</f>
      </c>
      <c r="AB381" s="7">
        <f>$L381+$Y381</f>
      </c>
      <c r="AC381" s="7">
        <f>$K381-$X381</f>
      </c>
      <c r="AD381" s="7">
        <f>$L381-$Y381</f>
      </c>
      <c r="AE381" s="7">
        <f>AA381/39.3701</f>
      </c>
      <c r="AF381" s="7">
        <f>AB381/39.3701</f>
      </c>
      <c r="AG381" s="7">
        <f>AC381/39.3701</f>
      </c>
      <c r="AH381" s="7">
        <f>AD381/39.3701</f>
      </c>
      <c r="AI381" s="1"/>
      <c r="AJ381" s="1"/>
      <c r="AK381" s="1"/>
      <c r="AL381" s="1"/>
      <c r="AM381" s="2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</row>
    <row x14ac:dyDescent="0.25" r="382" customHeight="1" ht="18.75">
      <c r="A382" s="1"/>
      <c r="B382" s="2"/>
      <c r="C382" s="2"/>
      <c r="D382" s="2"/>
      <c r="E382" s="2"/>
      <c r="F382" s="2"/>
      <c r="G382" s="1"/>
      <c r="H382" s="1"/>
      <c r="I382" s="7">
        <v>0.379</v>
      </c>
      <c r="J382" s="7">
        <f>IF((I382-ROUNDDOWN(I382,0))=0, 0, (I382-ROUNDDOWN(I382,0)))</f>
      </c>
      <c r="K382" s="7">
        <f>INDIRECT("C$"&amp;2+MIN(2,ROUNDDOWN(I382,0))*3)*(-$J382^3+3*$J382^2-3*$J382+1)+INDIRECT("C$"&amp;3+MIN(2,ROUNDDOWN(I382,0))*3)*(3*$J382^3-6*$J382^2+3*$J382)+INDIRECT("C$"&amp;4+MIN(2,ROUNDDOWN(I382,0))*3)*(-3*$J382^3+3*$J382^2)+INDIRECT("C$"&amp;5+MIN(2,ROUNDDOWN(I382,0))*3)*$J382^3</f>
      </c>
      <c r="L382" s="7">
        <f>INDIRECT("D$"&amp;2+MIN(2,ROUNDDOWN(I382,0))*3)*(-$J382^3+3*$J382^2-3*$J382+1)+INDIRECT("D$"&amp;3+MIN(2,ROUNDDOWN(I382,0))*3)*(3*$J382^3-6*$J382^2+3*$J382)+INDIRECT("D$"&amp;4+MIN(2,ROUNDDOWN(I382,0))*3)*(-3*$J382^3+3*$J382^2)+INDIRECT("D$"&amp;5+MIN(2,ROUNDDOWN(I382,0))*3)*$J382^3</f>
      </c>
      <c r="M382" s="7">
        <f>SQRT(K382^2+L382^2)</f>
      </c>
      <c r="N382" s="7">
        <f>(K383-K381)</f>
      </c>
      <c r="O382" s="7">
        <f>+(L383-L381)</f>
      </c>
      <c r="P382" s="7">
        <f>SQRT(O382^2+N382^2)</f>
      </c>
      <c r="Q382" s="7">
        <f>N382/$P382</f>
      </c>
      <c r="R382" s="7">
        <f>O382/$P382</f>
      </c>
      <c r="S382" s="8">
        <f>Q382^2+R382^2</f>
      </c>
      <c r="T382" s="7">
        <f>-R382</f>
      </c>
      <c r="U382" s="7">
        <f>Q382</f>
      </c>
      <c r="V382" s="7">
        <f>($C$14+($C$15-$C$14)/($D$15-$D$14)*(I382-$D$14))/2</f>
      </c>
      <c r="W382" s="7">
        <f>($B$22*I382^4+$C$22*I382^3+$D$22*I382^2+$E$22*I382+$F$22)/2</f>
      </c>
      <c r="X382" s="7">
        <f>($W382)*(T382)</f>
      </c>
      <c r="Y382" s="7">
        <f>($W382)*(U382)</f>
      </c>
      <c r="Z382" s="7">
        <f>SQRT(X382^2+Y382^2)</f>
      </c>
      <c r="AA382" s="7">
        <f>$K382+$X382</f>
      </c>
      <c r="AB382" s="7">
        <f>$L382+$Y382</f>
      </c>
      <c r="AC382" s="7">
        <f>$K382-$X382</f>
      </c>
      <c r="AD382" s="7">
        <f>$L382-$Y382</f>
      </c>
      <c r="AE382" s="7">
        <f>AA382/39.3701</f>
      </c>
      <c r="AF382" s="7">
        <f>AB382/39.3701</f>
      </c>
      <c r="AG382" s="7">
        <f>AC382/39.3701</f>
      </c>
      <c r="AH382" s="7">
        <f>AD382/39.3701</f>
      </c>
      <c r="AI382" s="1"/>
      <c r="AJ382" s="1"/>
      <c r="AK382" s="1"/>
      <c r="AL382" s="1"/>
      <c r="AM382" s="2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</row>
    <row x14ac:dyDescent="0.25" r="383" customHeight="1" ht="18.75">
      <c r="A383" s="1"/>
      <c r="B383" s="2"/>
      <c r="C383" s="2"/>
      <c r="D383" s="2"/>
      <c r="E383" s="2"/>
      <c r="F383" s="2"/>
      <c r="G383" s="1"/>
      <c r="H383" s="1"/>
      <c r="I383" s="7">
        <v>0.38</v>
      </c>
      <c r="J383" s="7">
        <f>IF((I383-ROUNDDOWN(I383,0))=0, 0, (I383-ROUNDDOWN(I383,0)))</f>
      </c>
      <c r="K383" s="7">
        <f>INDIRECT("C$"&amp;2+MIN(2,ROUNDDOWN(I383,0))*3)*(-$J383^3+3*$J383^2-3*$J383+1)+INDIRECT("C$"&amp;3+MIN(2,ROUNDDOWN(I383,0))*3)*(3*$J383^3-6*$J383^2+3*$J383)+INDIRECT("C$"&amp;4+MIN(2,ROUNDDOWN(I383,0))*3)*(-3*$J383^3+3*$J383^2)+INDIRECT("C$"&amp;5+MIN(2,ROUNDDOWN(I383,0))*3)*$J383^3</f>
      </c>
      <c r="L383" s="7">
        <f>INDIRECT("D$"&amp;2+MIN(2,ROUNDDOWN(I383,0))*3)*(-$J383^3+3*$J383^2-3*$J383+1)+INDIRECT("D$"&amp;3+MIN(2,ROUNDDOWN(I383,0))*3)*(3*$J383^3-6*$J383^2+3*$J383)+INDIRECT("D$"&amp;4+MIN(2,ROUNDDOWN(I383,0))*3)*(-3*$J383^3+3*$J383^2)+INDIRECT("D$"&amp;5+MIN(2,ROUNDDOWN(I383,0))*3)*$J383^3</f>
      </c>
      <c r="M383" s="7">
        <f>SQRT(K383^2+L383^2)</f>
      </c>
      <c r="N383" s="7">
        <f>(K384-K382)</f>
      </c>
      <c r="O383" s="7">
        <f>+(L384-L382)</f>
      </c>
      <c r="P383" s="7">
        <f>SQRT(O383^2+N383^2)</f>
      </c>
      <c r="Q383" s="7">
        <f>N383/$P383</f>
      </c>
      <c r="R383" s="7">
        <f>O383/$P383</f>
      </c>
      <c r="S383" s="8">
        <f>Q383^2+R383^2</f>
      </c>
      <c r="T383" s="7">
        <f>-R383</f>
      </c>
      <c r="U383" s="7">
        <f>Q383</f>
      </c>
      <c r="V383" s="7">
        <f>($C$14+($C$15-$C$14)/($D$15-$D$14)*(I383-$D$14))/2</f>
      </c>
      <c r="W383" s="7">
        <f>($B$22*I383^4+$C$22*I383^3+$D$22*I383^2+$E$22*I383+$F$22)/2</f>
      </c>
      <c r="X383" s="7">
        <f>($W383)*(T383)</f>
      </c>
      <c r="Y383" s="7">
        <f>($W383)*(U383)</f>
      </c>
      <c r="Z383" s="7">
        <f>SQRT(X383^2+Y383^2)</f>
      </c>
      <c r="AA383" s="7">
        <f>$K383+$X383</f>
      </c>
      <c r="AB383" s="7">
        <f>$L383+$Y383</f>
      </c>
      <c r="AC383" s="7">
        <f>$K383-$X383</f>
      </c>
      <c r="AD383" s="7">
        <f>$L383-$Y383</f>
      </c>
      <c r="AE383" s="7">
        <f>AA383/39.3701</f>
      </c>
      <c r="AF383" s="7">
        <f>AB383/39.3701</f>
      </c>
      <c r="AG383" s="7">
        <f>AC383/39.3701</f>
      </c>
      <c r="AH383" s="7">
        <f>AD383/39.3701</f>
      </c>
      <c r="AI383" s="1"/>
      <c r="AJ383" s="1"/>
      <c r="AK383" s="1"/>
      <c r="AL383" s="1"/>
      <c r="AM383" s="2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</row>
    <row x14ac:dyDescent="0.25" r="384" customHeight="1" ht="18.75">
      <c r="A384" s="1"/>
      <c r="B384" s="2"/>
      <c r="C384" s="2"/>
      <c r="D384" s="2"/>
      <c r="E384" s="2"/>
      <c r="F384" s="2"/>
      <c r="G384" s="1"/>
      <c r="H384" s="1"/>
      <c r="I384" s="7">
        <v>0.381</v>
      </c>
      <c r="J384" s="7">
        <f>IF((I384-ROUNDDOWN(I384,0))=0, 0, (I384-ROUNDDOWN(I384,0)))</f>
      </c>
      <c r="K384" s="7">
        <f>INDIRECT("C$"&amp;2+MIN(2,ROUNDDOWN(I384,0))*3)*(-$J384^3+3*$J384^2-3*$J384+1)+INDIRECT("C$"&amp;3+MIN(2,ROUNDDOWN(I384,0))*3)*(3*$J384^3-6*$J384^2+3*$J384)+INDIRECT("C$"&amp;4+MIN(2,ROUNDDOWN(I384,0))*3)*(-3*$J384^3+3*$J384^2)+INDIRECT("C$"&amp;5+MIN(2,ROUNDDOWN(I384,0))*3)*$J384^3</f>
      </c>
      <c r="L384" s="7">
        <f>INDIRECT("D$"&amp;2+MIN(2,ROUNDDOWN(I384,0))*3)*(-$J384^3+3*$J384^2-3*$J384+1)+INDIRECT("D$"&amp;3+MIN(2,ROUNDDOWN(I384,0))*3)*(3*$J384^3-6*$J384^2+3*$J384)+INDIRECT("D$"&amp;4+MIN(2,ROUNDDOWN(I384,0))*3)*(-3*$J384^3+3*$J384^2)+INDIRECT("D$"&amp;5+MIN(2,ROUNDDOWN(I384,0))*3)*$J384^3</f>
      </c>
      <c r="M384" s="7">
        <f>SQRT(K384^2+L384^2)</f>
      </c>
      <c r="N384" s="7">
        <f>(K385-K383)</f>
      </c>
      <c r="O384" s="7">
        <f>+(L385-L383)</f>
      </c>
      <c r="P384" s="7">
        <f>SQRT(O384^2+N384^2)</f>
      </c>
      <c r="Q384" s="7">
        <f>N384/$P384</f>
      </c>
      <c r="R384" s="7">
        <f>O384/$P384</f>
      </c>
      <c r="S384" s="8">
        <f>Q384^2+R384^2</f>
      </c>
      <c r="T384" s="7">
        <f>-R384</f>
      </c>
      <c r="U384" s="7">
        <f>Q384</f>
      </c>
      <c r="V384" s="7">
        <f>($C$14+($C$15-$C$14)/($D$15-$D$14)*(I384-$D$14))/2</f>
      </c>
      <c r="W384" s="7">
        <f>($B$22*I384^4+$C$22*I384^3+$D$22*I384^2+$E$22*I384+$F$22)/2</f>
      </c>
      <c r="X384" s="7">
        <f>($W384)*(T384)</f>
      </c>
      <c r="Y384" s="7">
        <f>($W384)*(U384)</f>
      </c>
      <c r="Z384" s="7">
        <f>SQRT(X384^2+Y384^2)</f>
      </c>
      <c r="AA384" s="7">
        <f>$K384+$X384</f>
      </c>
      <c r="AB384" s="7">
        <f>$L384+$Y384</f>
      </c>
      <c r="AC384" s="7">
        <f>$K384-$X384</f>
      </c>
      <c r="AD384" s="7">
        <f>$L384-$Y384</f>
      </c>
      <c r="AE384" s="7">
        <f>AA384/39.3701</f>
      </c>
      <c r="AF384" s="7">
        <f>AB384/39.3701</f>
      </c>
      <c r="AG384" s="7">
        <f>AC384/39.3701</f>
      </c>
      <c r="AH384" s="7">
        <f>AD384/39.3701</f>
      </c>
      <c r="AI384" s="1"/>
      <c r="AJ384" s="1"/>
      <c r="AK384" s="1"/>
      <c r="AL384" s="1"/>
      <c r="AM384" s="2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</row>
    <row x14ac:dyDescent="0.25" r="385" customHeight="1" ht="18.75">
      <c r="A385" s="1"/>
      <c r="B385" s="2"/>
      <c r="C385" s="2"/>
      <c r="D385" s="2"/>
      <c r="E385" s="2"/>
      <c r="F385" s="2"/>
      <c r="G385" s="1"/>
      <c r="H385" s="1"/>
      <c r="I385" s="7">
        <v>0.382</v>
      </c>
      <c r="J385" s="7">
        <f>IF((I385-ROUNDDOWN(I385,0))=0, 0, (I385-ROUNDDOWN(I385,0)))</f>
      </c>
      <c r="K385" s="7">
        <f>INDIRECT("C$"&amp;2+MIN(2,ROUNDDOWN(I385,0))*3)*(-$J385^3+3*$J385^2-3*$J385+1)+INDIRECT("C$"&amp;3+MIN(2,ROUNDDOWN(I385,0))*3)*(3*$J385^3-6*$J385^2+3*$J385)+INDIRECT("C$"&amp;4+MIN(2,ROUNDDOWN(I385,0))*3)*(-3*$J385^3+3*$J385^2)+INDIRECT("C$"&amp;5+MIN(2,ROUNDDOWN(I385,0))*3)*$J385^3</f>
      </c>
      <c r="L385" s="7">
        <f>INDIRECT("D$"&amp;2+MIN(2,ROUNDDOWN(I385,0))*3)*(-$J385^3+3*$J385^2-3*$J385+1)+INDIRECT("D$"&amp;3+MIN(2,ROUNDDOWN(I385,0))*3)*(3*$J385^3-6*$J385^2+3*$J385)+INDIRECT("D$"&amp;4+MIN(2,ROUNDDOWN(I385,0))*3)*(-3*$J385^3+3*$J385^2)+INDIRECT("D$"&amp;5+MIN(2,ROUNDDOWN(I385,0))*3)*$J385^3</f>
      </c>
      <c r="M385" s="7">
        <f>SQRT(K385^2+L385^2)</f>
      </c>
      <c r="N385" s="7">
        <f>(K386-K384)</f>
      </c>
      <c r="O385" s="7">
        <f>+(L386-L384)</f>
      </c>
      <c r="P385" s="7">
        <f>SQRT(O385^2+N385^2)</f>
      </c>
      <c r="Q385" s="7">
        <f>N385/$P385</f>
      </c>
      <c r="R385" s="7">
        <f>O385/$P385</f>
      </c>
      <c r="S385" s="7">
        <f>Q385^2+R385^2</f>
      </c>
      <c r="T385" s="7">
        <f>-R385</f>
      </c>
      <c r="U385" s="7">
        <f>Q385</f>
      </c>
      <c r="V385" s="7">
        <f>($C$14+($C$15-$C$14)/($D$15-$D$14)*(I385-$D$14))/2</f>
      </c>
      <c r="W385" s="7">
        <f>($B$22*I385^4+$C$22*I385^3+$D$22*I385^2+$E$22*I385+$F$22)/2</f>
      </c>
      <c r="X385" s="7">
        <f>($W385)*(T385)</f>
      </c>
      <c r="Y385" s="7">
        <f>($W385)*(U385)</f>
      </c>
      <c r="Z385" s="7">
        <f>SQRT(X385^2+Y385^2)</f>
      </c>
      <c r="AA385" s="7">
        <f>$K385+$X385</f>
      </c>
      <c r="AB385" s="7">
        <f>$L385+$Y385</f>
      </c>
      <c r="AC385" s="7">
        <f>$K385-$X385</f>
      </c>
      <c r="AD385" s="7">
        <f>$L385-$Y385</f>
      </c>
      <c r="AE385" s="7">
        <f>AA385/39.3701</f>
      </c>
      <c r="AF385" s="7">
        <f>AB385/39.3701</f>
      </c>
      <c r="AG385" s="7">
        <f>AC385/39.3701</f>
      </c>
      <c r="AH385" s="7">
        <f>AD385/39.3701</f>
      </c>
      <c r="AI385" s="1"/>
      <c r="AJ385" s="1"/>
      <c r="AK385" s="1"/>
      <c r="AL385" s="1"/>
      <c r="AM385" s="2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</row>
    <row x14ac:dyDescent="0.25" r="386" customHeight="1" ht="18.75">
      <c r="A386" s="1"/>
      <c r="B386" s="2"/>
      <c r="C386" s="2"/>
      <c r="D386" s="2"/>
      <c r="E386" s="2"/>
      <c r="F386" s="2"/>
      <c r="G386" s="1"/>
      <c r="H386" s="1"/>
      <c r="I386" s="7">
        <v>0.383</v>
      </c>
      <c r="J386" s="7">
        <f>IF((I386-ROUNDDOWN(I386,0))=0, 0, (I386-ROUNDDOWN(I386,0)))</f>
      </c>
      <c r="K386" s="7">
        <f>INDIRECT("C$"&amp;2+MIN(2,ROUNDDOWN(I386,0))*3)*(-$J386^3+3*$J386^2-3*$J386+1)+INDIRECT("C$"&amp;3+MIN(2,ROUNDDOWN(I386,0))*3)*(3*$J386^3-6*$J386^2+3*$J386)+INDIRECT("C$"&amp;4+MIN(2,ROUNDDOWN(I386,0))*3)*(-3*$J386^3+3*$J386^2)+INDIRECT("C$"&amp;5+MIN(2,ROUNDDOWN(I386,0))*3)*$J386^3</f>
      </c>
      <c r="L386" s="7">
        <f>INDIRECT("D$"&amp;2+MIN(2,ROUNDDOWN(I386,0))*3)*(-$J386^3+3*$J386^2-3*$J386+1)+INDIRECT("D$"&amp;3+MIN(2,ROUNDDOWN(I386,0))*3)*(3*$J386^3-6*$J386^2+3*$J386)+INDIRECT("D$"&amp;4+MIN(2,ROUNDDOWN(I386,0))*3)*(-3*$J386^3+3*$J386^2)+INDIRECT("D$"&amp;5+MIN(2,ROUNDDOWN(I386,0))*3)*$J386^3</f>
      </c>
      <c r="M386" s="7">
        <f>SQRT(K386^2+L386^2)</f>
      </c>
      <c r="N386" s="7">
        <f>(K387-K385)</f>
      </c>
      <c r="O386" s="7">
        <f>+(L387-L385)</f>
      </c>
      <c r="P386" s="7">
        <f>SQRT(O386^2+N386^2)</f>
      </c>
      <c r="Q386" s="7">
        <f>N386/$P386</f>
      </c>
      <c r="R386" s="7">
        <f>O386/$P386</f>
      </c>
      <c r="S386" s="8">
        <f>Q386^2+R386^2</f>
      </c>
      <c r="T386" s="7">
        <f>-R386</f>
      </c>
      <c r="U386" s="7">
        <f>Q386</f>
      </c>
      <c r="V386" s="7">
        <f>($C$14+($C$15-$C$14)/($D$15-$D$14)*(I386-$D$14))/2</f>
      </c>
      <c r="W386" s="7">
        <f>($B$22*I386^4+$C$22*I386^3+$D$22*I386^2+$E$22*I386+$F$22)/2</f>
      </c>
      <c r="X386" s="7">
        <f>($W386)*(T386)</f>
      </c>
      <c r="Y386" s="7">
        <f>($W386)*(U386)</f>
      </c>
      <c r="Z386" s="7">
        <f>SQRT(X386^2+Y386^2)</f>
      </c>
      <c r="AA386" s="7">
        <f>$K386+$X386</f>
      </c>
      <c r="AB386" s="7">
        <f>$L386+$Y386</f>
      </c>
      <c r="AC386" s="7">
        <f>$K386-$X386</f>
      </c>
      <c r="AD386" s="7">
        <f>$L386-$Y386</f>
      </c>
      <c r="AE386" s="7">
        <f>AA386/39.3701</f>
      </c>
      <c r="AF386" s="7">
        <f>AB386/39.3701</f>
      </c>
      <c r="AG386" s="7">
        <f>AC386/39.3701</f>
      </c>
      <c r="AH386" s="7">
        <f>AD386/39.3701</f>
      </c>
      <c r="AI386" s="1"/>
      <c r="AJ386" s="1"/>
      <c r="AK386" s="1"/>
      <c r="AL386" s="1"/>
      <c r="AM386" s="2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</row>
    <row x14ac:dyDescent="0.25" r="387" customHeight="1" ht="18.75">
      <c r="A387" s="1"/>
      <c r="B387" s="2"/>
      <c r="C387" s="2"/>
      <c r="D387" s="2"/>
      <c r="E387" s="2"/>
      <c r="F387" s="2"/>
      <c r="G387" s="1"/>
      <c r="H387" s="1"/>
      <c r="I387" s="7">
        <v>0.384</v>
      </c>
      <c r="J387" s="7">
        <f>IF((I387-ROUNDDOWN(I387,0))=0, 0, (I387-ROUNDDOWN(I387,0)))</f>
      </c>
      <c r="K387" s="7">
        <f>INDIRECT("C$"&amp;2+MIN(2,ROUNDDOWN(I387,0))*3)*(-$J387^3+3*$J387^2-3*$J387+1)+INDIRECT("C$"&amp;3+MIN(2,ROUNDDOWN(I387,0))*3)*(3*$J387^3-6*$J387^2+3*$J387)+INDIRECT("C$"&amp;4+MIN(2,ROUNDDOWN(I387,0))*3)*(-3*$J387^3+3*$J387^2)+INDIRECT("C$"&amp;5+MIN(2,ROUNDDOWN(I387,0))*3)*$J387^3</f>
      </c>
      <c r="L387" s="7">
        <f>INDIRECT("D$"&amp;2+MIN(2,ROUNDDOWN(I387,0))*3)*(-$J387^3+3*$J387^2-3*$J387+1)+INDIRECT("D$"&amp;3+MIN(2,ROUNDDOWN(I387,0))*3)*(3*$J387^3-6*$J387^2+3*$J387)+INDIRECT("D$"&amp;4+MIN(2,ROUNDDOWN(I387,0))*3)*(-3*$J387^3+3*$J387^2)+INDIRECT("D$"&amp;5+MIN(2,ROUNDDOWN(I387,0))*3)*$J387^3</f>
      </c>
      <c r="M387" s="7">
        <f>SQRT(K387^2+L387^2)</f>
      </c>
      <c r="N387" s="7">
        <f>(K388-K386)</f>
      </c>
      <c r="O387" s="7">
        <f>+(L388-L386)</f>
      </c>
      <c r="P387" s="7">
        <f>SQRT(O387^2+N387^2)</f>
      </c>
      <c r="Q387" s="7">
        <f>N387/$P387</f>
      </c>
      <c r="R387" s="7">
        <f>O387/$P387</f>
      </c>
      <c r="S387" s="8">
        <f>Q387^2+R387^2</f>
      </c>
      <c r="T387" s="7">
        <f>-R387</f>
      </c>
      <c r="U387" s="7">
        <f>Q387</f>
      </c>
      <c r="V387" s="7">
        <f>($C$14+($C$15-$C$14)/($D$15-$D$14)*(I387-$D$14))/2</f>
      </c>
      <c r="W387" s="7">
        <f>($B$22*I387^4+$C$22*I387^3+$D$22*I387^2+$E$22*I387+$F$22)/2</f>
      </c>
      <c r="X387" s="7">
        <f>($W387)*(T387)</f>
      </c>
      <c r="Y387" s="7">
        <f>($W387)*(U387)</f>
      </c>
      <c r="Z387" s="7">
        <f>SQRT(X387^2+Y387^2)</f>
      </c>
      <c r="AA387" s="7">
        <f>$K387+$X387</f>
      </c>
      <c r="AB387" s="7">
        <f>$L387+$Y387</f>
      </c>
      <c r="AC387" s="7">
        <f>$K387-$X387</f>
      </c>
      <c r="AD387" s="7">
        <f>$L387-$Y387</f>
      </c>
      <c r="AE387" s="7">
        <f>AA387/39.3701</f>
      </c>
      <c r="AF387" s="7">
        <f>AB387/39.3701</f>
      </c>
      <c r="AG387" s="7">
        <f>AC387/39.3701</f>
      </c>
      <c r="AH387" s="7">
        <f>AD387/39.3701</f>
      </c>
      <c r="AI387" s="1"/>
      <c r="AJ387" s="1"/>
      <c r="AK387" s="1"/>
      <c r="AL387" s="1"/>
      <c r="AM387" s="2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</row>
    <row x14ac:dyDescent="0.25" r="388" customHeight="1" ht="18.75">
      <c r="A388" s="1"/>
      <c r="B388" s="2"/>
      <c r="C388" s="2"/>
      <c r="D388" s="2"/>
      <c r="E388" s="2"/>
      <c r="F388" s="2"/>
      <c r="G388" s="1"/>
      <c r="H388" s="1"/>
      <c r="I388" s="7">
        <v>0.385</v>
      </c>
      <c r="J388" s="7">
        <f>IF((I388-ROUNDDOWN(I388,0))=0, 0, (I388-ROUNDDOWN(I388,0)))</f>
      </c>
      <c r="K388" s="7">
        <f>INDIRECT("C$"&amp;2+MIN(2,ROUNDDOWN(I388,0))*3)*(-$J388^3+3*$J388^2-3*$J388+1)+INDIRECT("C$"&amp;3+MIN(2,ROUNDDOWN(I388,0))*3)*(3*$J388^3-6*$J388^2+3*$J388)+INDIRECT("C$"&amp;4+MIN(2,ROUNDDOWN(I388,0))*3)*(-3*$J388^3+3*$J388^2)+INDIRECT("C$"&amp;5+MIN(2,ROUNDDOWN(I388,0))*3)*$J388^3</f>
      </c>
      <c r="L388" s="7">
        <f>INDIRECT("D$"&amp;2+MIN(2,ROUNDDOWN(I388,0))*3)*(-$J388^3+3*$J388^2-3*$J388+1)+INDIRECT("D$"&amp;3+MIN(2,ROUNDDOWN(I388,0))*3)*(3*$J388^3-6*$J388^2+3*$J388)+INDIRECT("D$"&amp;4+MIN(2,ROUNDDOWN(I388,0))*3)*(-3*$J388^3+3*$J388^2)+INDIRECT("D$"&amp;5+MIN(2,ROUNDDOWN(I388,0))*3)*$J388^3</f>
      </c>
      <c r="M388" s="7">
        <f>SQRT(K388^2+L388^2)</f>
      </c>
      <c r="N388" s="7">
        <f>(K389-K387)</f>
      </c>
      <c r="O388" s="7">
        <f>+(L389-L387)</f>
      </c>
      <c r="P388" s="7">
        <f>SQRT(O388^2+N388^2)</f>
      </c>
      <c r="Q388" s="7">
        <f>N388/$P388</f>
      </c>
      <c r="R388" s="7">
        <f>O388/$P388</f>
      </c>
      <c r="S388" s="7">
        <f>Q388^2+R388^2</f>
      </c>
      <c r="T388" s="7">
        <f>-R388</f>
      </c>
      <c r="U388" s="7">
        <f>Q388</f>
      </c>
      <c r="V388" s="7">
        <f>($C$14+($C$15-$C$14)/($D$15-$D$14)*(I388-$D$14))/2</f>
      </c>
      <c r="W388" s="7">
        <f>($B$22*I388^4+$C$22*I388^3+$D$22*I388^2+$E$22*I388+$F$22)/2</f>
      </c>
      <c r="X388" s="7">
        <f>($W388)*(T388)</f>
      </c>
      <c r="Y388" s="7">
        <f>($W388)*(U388)</f>
      </c>
      <c r="Z388" s="7">
        <f>SQRT(X388^2+Y388^2)</f>
      </c>
      <c r="AA388" s="7">
        <f>$K388+$X388</f>
      </c>
      <c r="AB388" s="7">
        <f>$L388+$Y388</f>
      </c>
      <c r="AC388" s="7">
        <f>$K388-$X388</f>
      </c>
      <c r="AD388" s="7">
        <f>$L388-$Y388</f>
      </c>
      <c r="AE388" s="7">
        <f>AA388/39.3701</f>
      </c>
      <c r="AF388" s="7">
        <f>AB388/39.3701</f>
      </c>
      <c r="AG388" s="7">
        <f>AC388/39.3701</f>
      </c>
      <c r="AH388" s="7">
        <f>AD388/39.3701</f>
      </c>
      <c r="AI388" s="1"/>
      <c r="AJ388" s="1"/>
      <c r="AK388" s="1"/>
      <c r="AL388" s="1"/>
      <c r="AM388" s="2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</row>
    <row x14ac:dyDescent="0.25" r="389" customHeight="1" ht="18.75">
      <c r="A389" s="1"/>
      <c r="B389" s="2"/>
      <c r="C389" s="2"/>
      <c r="D389" s="2"/>
      <c r="E389" s="2"/>
      <c r="F389" s="2"/>
      <c r="G389" s="1"/>
      <c r="H389" s="1"/>
      <c r="I389" s="7">
        <v>0.386</v>
      </c>
      <c r="J389" s="7">
        <f>IF((I389-ROUNDDOWN(I389,0))=0, 0, (I389-ROUNDDOWN(I389,0)))</f>
      </c>
      <c r="K389" s="7">
        <f>INDIRECT("C$"&amp;2+MIN(2,ROUNDDOWN(I389,0))*3)*(-$J389^3+3*$J389^2-3*$J389+1)+INDIRECT("C$"&amp;3+MIN(2,ROUNDDOWN(I389,0))*3)*(3*$J389^3-6*$J389^2+3*$J389)+INDIRECT("C$"&amp;4+MIN(2,ROUNDDOWN(I389,0))*3)*(-3*$J389^3+3*$J389^2)+INDIRECT("C$"&amp;5+MIN(2,ROUNDDOWN(I389,0))*3)*$J389^3</f>
      </c>
      <c r="L389" s="7">
        <f>INDIRECT("D$"&amp;2+MIN(2,ROUNDDOWN(I389,0))*3)*(-$J389^3+3*$J389^2-3*$J389+1)+INDIRECT("D$"&amp;3+MIN(2,ROUNDDOWN(I389,0))*3)*(3*$J389^3-6*$J389^2+3*$J389)+INDIRECT("D$"&amp;4+MIN(2,ROUNDDOWN(I389,0))*3)*(-3*$J389^3+3*$J389^2)+INDIRECT("D$"&amp;5+MIN(2,ROUNDDOWN(I389,0))*3)*$J389^3</f>
      </c>
      <c r="M389" s="7">
        <f>SQRT(K389^2+L389^2)</f>
      </c>
      <c r="N389" s="7">
        <f>(K390-K388)</f>
      </c>
      <c r="O389" s="7">
        <f>+(L390-L388)</f>
      </c>
      <c r="P389" s="7">
        <f>SQRT(O389^2+N389^2)</f>
      </c>
      <c r="Q389" s="7">
        <f>N389/$P389</f>
      </c>
      <c r="R389" s="7">
        <f>O389/$P389</f>
      </c>
      <c r="S389" s="8">
        <f>Q389^2+R389^2</f>
      </c>
      <c r="T389" s="7">
        <f>-R389</f>
      </c>
      <c r="U389" s="7">
        <f>Q389</f>
      </c>
      <c r="V389" s="7">
        <f>($C$14+($C$15-$C$14)/($D$15-$D$14)*(I389-$D$14))/2</f>
      </c>
      <c r="W389" s="7">
        <f>($B$22*I389^4+$C$22*I389^3+$D$22*I389^2+$E$22*I389+$F$22)/2</f>
      </c>
      <c r="X389" s="7">
        <f>($W389)*(T389)</f>
      </c>
      <c r="Y389" s="7">
        <f>($W389)*(U389)</f>
      </c>
      <c r="Z389" s="7">
        <f>SQRT(X389^2+Y389^2)</f>
      </c>
      <c r="AA389" s="7">
        <f>$K389+$X389</f>
      </c>
      <c r="AB389" s="7">
        <f>$L389+$Y389</f>
      </c>
      <c r="AC389" s="7">
        <f>$K389-$X389</f>
      </c>
      <c r="AD389" s="7">
        <f>$L389-$Y389</f>
      </c>
      <c r="AE389" s="7">
        <f>AA389/39.3701</f>
      </c>
      <c r="AF389" s="7">
        <f>AB389/39.3701</f>
      </c>
      <c r="AG389" s="7">
        <f>AC389/39.3701</f>
      </c>
      <c r="AH389" s="7">
        <f>AD389/39.3701</f>
      </c>
      <c r="AI389" s="1"/>
      <c r="AJ389" s="1"/>
      <c r="AK389" s="1"/>
      <c r="AL389" s="1"/>
      <c r="AM389" s="2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</row>
    <row x14ac:dyDescent="0.25" r="390" customHeight="1" ht="18.75">
      <c r="A390" s="1"/>
      <c r="B390" s="2"/>
      <c r="C390" s="2"/>
      <c r="D390" s="2"/>
      <c r="E390" s="2"/>
      <c r="F390" s="2"/>
      <c r="G390" s="1"/>
      <c r="H390" s="1"/>
      <c r="I390" s="7">
        <v>0.387</v>
      </c>
      <c r="J390" s="7">
        <f>IF((I390-ROUNDDOWN(I390,0))=0, 0, (I390-ROUNDDOWN(I390,0)))</f>
      </c>
      <c r="K390" s="7">
        <f>INDIRECT("C$"&amp;2+MIN(2,ROUNDDOWN(I390,0))*3)*(-$J390^3+3*$J390^2-3*$J390+1)+INDIRECT("C$"&amp;3+MIN(2,ROUNDDOWN(I390,0))*3)*(3*$J390^3-6*$J390^2+3*$J390)+INDIRECT("C$"&amp;4+MIN(2,ROUNDDOWN(I390,0))*3)*(-3*$J390^3+3*$J390^2)+INDIRECT("C$"&amp;5+MIN(2,ROUNDDOWN(I390,0))*3)*$J390^3</f>
      </c>
      <c r="L390" s="7">
        <f>INDIRECT("D$"&amp;2+MIN(2,ROUNDDOWN(I390,0))*3)*(-$J390^3+3*$J390^2-3*$J390+1)+INDIRECT("D$"&amp;3+MIN(2,ROUNDDOWN(I390,0))*3)*(3*$J390^3-6*$J390^2+3*$J390)+INDIRECT("D$"&amp;4+MIN(2,ROUNDDOWN(I390,0))*3)*(-3*$J390^3+3*$J390^2)+INDIRECT("D$"&amp;5+MIN(2,ROUNDDOWN(I390,0))*3)*$J390^3</f>
      </c>
      <c r="M390" s="7">
        <f>SQRT(K390^2+L390^2)</f>
      </c>
      <c r="N390" s="7">
        <f>(K391-K389)</f>
      </c>
      <c r="O390" s="7">
        <f>+(L391-L389)</f>
      </c>
      <c r="P390" s="7">
        <f>SQRT(O390^2+N390^2)</f>
      </c>
      <c r="Q390" s="7">
        <f>N390/$P390</f>
      </c>
      <c r="R390" s="7">
        <f>O390/$P390</f>
      </c>
      <c r="S390" s="7">
        <f>Q390^2+R390^2</f>
      </c>
      <c r="T390" s="7">
        <f>-R390</f>
      </c>
      <c r="U390" s="7">
        <f>Q390</f>
      </c>
      <c r="V390" s="7">
        <f>($C$14+($C$15-$C$14)/($D$15-$D$14)*(I390-$D$14))/2</f>
      </c>
      <c r="W390" s="7">
        <f>($B$22*I390^4+$C$22*I390^3+$D$22*I390^2+$E$22*I390+$F$22)/2</f>
      </c>
      <c r="X390" s="7">
        <f>($W390)*(T390)</f>
      </c>
      <c r="Y390" s="7">
        <f>($W390)*(U390)</f>
      </c>
      <c r="Z390" s="7">
        <f>SQRT(X390^2+Y390^2)</f>
      </c>
      <c r="AA390" s="7">
        <f>$K390+$X390</f>
      </c>
      <c r="AB390" s="7">
        <f>$L390+$Y390</f>
      </c>
      <c r="AC390" s="7">
        <f>$K390-$X390</f>
      </c>
      <c r="AD390" s="7">
        <f>$L390-$Y390</f>
      </c>
      <c r="AE390" s="7">
        <f>AA390/39.3701</f>
      </c>
      <c r="AF390" s="7">
        <f>AB390/39.3701</f>
      </c>
      <c r="AG390" s="7">
        <f>AC390/39.3701</f>
      </c>
      <c r="AH390" s="7">
        <f>AD390/39.3701</f>
      </c>
      <c r="AI390" s="1"/>
      <c r="AJ390" s="1"/>
      <c r="AK390" s="1"/>
      <c r="AL390" s="1"/>
      <c r="AM390" s="2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</row>
    <row x14ac:dyDescent="0.25" r="391" customHeight="1" ht="18.75">
      <c r="A391" s="1"/>
      <c r="B391" s="2"/>
      <c r="C391" s="2"/>
      <c r="D391" s="2"/>
      <c r="E391" s="2"/>
      <c r="F391" s="2"/>
      <c r="G391" s="1"/>
      <c r="H391" s="1"/>
      <c r="I391" s="7">
        <v>0.388</v>
      </c>
      <c r="J391" s="7">
        <f>IF((I391-ROUNDDOWN(I391,0))=0, 0, (I391-ROUNDDOWN(I391,0)))</f>
      </c>
      <c r="K391" s="7">
        <f>INDIRECT("C$"&amp;2+MIN(2,ROUNDDOWN(I391,0))*3)*(-$J391^3+3*$J391^2-3*$J391+1)+INDIRECT("C$"&amp;3+MIN(2,ROUNDDOWN(I391,0))*3)*(3*$J391^3-6*$J391^2+3*$J391)+INDIRECT("C$"&amp;4+MIN(2,ROUNDDOWN(I391,0))*3)*(-3*$J391^3+3*$J391^2)+INDIRECT("C$"&amp;5+MIN(2,ROUNDDOWN(I391,0))*3)*$J391^3</f>
      </c>
      <c r="L391" s="7">
        <f>INDIRECT("D$"&amp;2+MIN(2,ROUNDDOWN(I391,0))*3)*(-$J391^3+3*$J391^2-3*$J391+1)+INDIRECT("D$"&amp;3+MIN(2,ROUNDDOWN(I391,0))*3)*(3*$J391^3-6*$J391^2+3*$J391)+INDIRECT("D$"&amp;4+MIN(2,ROUNDDOWN(I391,0))*3)*(-3*$J391^3+3*$J391^2)+INDIRECT("D$"&amp;5+MIN(2,ROUNDDOWN(I391,0))*3)*$J391^3</f>
      </c>
      <c r="M391" s="7">
        <f>SQRT(K391^2+L391^2)</f>
      </c>
      <c r="N391" s="7">
        <f>(K392-K390)</f>
      </c>
      <c r="O391" s="7">
        <f>+(L392-L390)</f>
      </c>
      <c r="P391" s="7">
        <f>SQRT(O391^2+N391^2)</f>
      </c>
      <c r="Q391" s="7">
        <f>N391/$P391</f>
      </c>
      <c r="R391" s="7">
        <f>O391/$P391</f>
      </c>
      <c r="S391" s="7">
        <f>Q391^2+R391^2</f>
      </c>
      <c r="T391" s="7">
        <f>-R391</f>
      </c>
      <c r="U391" s="7">
        <f>Q391</f>
      </c>
      <c r="V391" s="7">
        <f>($C$14+($C$15-$C$14)/($D$15-$D$14)*(I391-$D$14))/2</f>
      </c>
      <c r="W391" s="7">
        <f>($B$22*I391^4+$C$22*I391^3+$D$22*I391^2+$E$22*I391+$F$22)/2</f>
      </c>
      <c r="X391" s="7">
        <f>($W391)*(T391)</f>
      </c>
      <c r="Y391" s="7">
        <f>($W391)*(U391)</f>
      </c>
      <c r="Z391" s="7">
        <f>SQRT(X391^2+Y391^2)</f>
      </c>
      <c r="AA391" s="7">
        <f>$K391+$X391</f>
      </c>
      <c r="AB391" s="7">
        <f>$L391+$Y391</f>
      </c>
      <c r="AC391" s="7">
        <f>$K391-$X391</f>
      </c>
      <c r="AD391" s="7">
        <f>$L391-$Y391</f>
      </c>
      <c r="AE391" s="7">
        <f>AA391/39.3701</f>
      </c>
      <c r="AF391" s="7">
        <f>AB391/39.3701</f>
      </c>
      <c r="AG391" s="7">
        <f>AC391/39.3701</f>
      </c>
      <c r="AH391" s="7">
        <f>AD391/39.3701</f>
      </c>
      <c r="AI391" s="1"/>
      <c r="AJ391" s="1"/>
      <c r="AK391" s="1"/>
      <c r="AL391" s="1"/>
      <c r="AM391" s="2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</row>
    <row x14ac:dyDescent="0.25" r="392" customHeight="1" ht="18.75">
      <c r="A392" s="1"/>
      <c r="B392" s="2"/>
      <c r="C392" s="2"/>
      <c r="D392" s="2"/>
      <c r="E392" s="2"/>
      <c r="F392" s="2"/>
      <c r="G392" s="1"/>
      <c r="H392" s="1"/>
      <c r="I392" s="7">
        <v>0.389</v>
      </c>
      <c r="J392" s="7">
        <f>IF((I392-ROUNDDOWN(I392,0))=0, 0, (I392-ROUNDDOWN(I392,0)))</f>
      </c>
      <c r="K392" s="7">
        <f>INDIRECT("C$"&amp;2+MIN(2,ROUNDDOWN(I392,0))*3)*(-$J392^3+3*$J392^2-3*$J392+1)+INDIRECT("C$"&amp;3+MIN(2,ROUNDDOWN(I392,0))*3)*(3*$J392^3-6*$J392^2+3*$J392)+INDIRECT("C$"&amp;4+MIN(2,ROUNDDOWN(I392,0))*3)*(-3*$J392^3+3*$J392^2)+INDIRECT("C$"&amp;5+MIN(2,ROUNDDOWN(I392,0))*3)*$J392^3</f>
      </c>
      <c r="L392" s="7">
        <f>INDIRECT("D$"&amp;2+MIN(2,ROUNDDOWN(I392,0))*3)*(-$J392^3+3*$J392^2-3*$J392+1)+INDIRECT("D$"&amp;3+MIN(2,ROUNDDOWN(I392,0))*3)*(3*$J392^3-6*$J392^2+3*$J392)+INDIRECT("D$"&amp;4+MIN(2,ROUNDDOWN(I392,0))*3)*(-3*$J392^3+3*$J392^2)+INDIRECT("D$"&amp;5+MIN(2,ROUNDDOWN(I392,0))*3)*$J392^3</f>
      </c>
      <c r="M392" s="7">
        <f>SQRT(K392^2+L392^2)</f>
      </c>
      <c r="N392" s="7">
        <f>(K393-K391)</f>
      </c>
      <c r="O392" s="7">
        <f>+(L393-L391)</f>
      </c>
      <c r="P392" s="7">
        <f>SQRT(O392^2+N392^2)</f>
      </c>
      <c r="Q392" s="7">
        <f>N392/$P392</f>
      </c>
      <c r="R392" s="7">
        <f>O392/$P392</f>
      </c>
      <c r="S392" s="7">
        <f>Q392^2+R392^2</f>
      </c>
      <c r="T392" s="7">
        <f>-R392</f>
      </c>
      <c r="U392" s="7">
        <f>Q392</f>
      </c>
      <c r="V392" s="7">
        <f>($C$14+($C$15-$C$14)/($D$15-$D$14)*(I392-$D$14))/2</f>
      </c>
      <c r="W392" s="7">
        <f>($B$22*I392^4+$C$22*I392^3+$D$22*I392^2+$E$22*I392+$F$22)/2</f>
      </c>
      <c r="X392" s="7">
        <f>($W392)*(T392)</f>
      </c>
      <c r="Y392" s="7">
        <f>($W392)*(U392)</f>
      </c>
      <c r="Z392" s="7">
        <f>SQRT(X392^2+Y392^2)</f>
      </c>
      <c r="AA392" s="7">
        <f>$K392+$X392</f>
      </c>
      <c r="AB392" s="7">
        <f>$L392+$Y392</f>
      </c>
      <c r="AC392" s="7">
        <f>$K392-$X392</f>
      </c>
      <c r="AD392" s="7">
        <f>$L392-$Y392</f>
      </c>
      <c r="AE392" s="7">
        <f>AA392/39.3701</f>
      </c>
      <c r="AF392" s="7">
        <f>AB392/39.3701</f>
      </c>
      <c r="AG392" s="7">
        <f>AC392/39.3701</f>
      </c>
      <c r="AH392" s="7">
        <f>AD392/39.3701</f>
      </c>
      <c r="AI392" s="1"/>
      <c r="AJ392" s="1"/>
      <c r="AK392" s="1"/>
      <c r="AL392" s="1"/>
      <c r="AM392" s="2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</row>
    <row x14ac:dyDescent="0.25" r="393" customHeight="1" ht="18.75">
      <c r="A393" s="1"/>
      <c r="B393" s="2"/>
      <c r="C393" s="2"/>
      <c r="D393" s="2"/>
      <c r="E393" s="2"/>
      <c r="F393" s="2"/>
      <c r="G393" s="1"/>
      <c r="H393" s="1"/>
      <c r="I393" s="7">
        <v>0.39</v>
      </c>
      <c r="J393" s="7">
        <f>IF((I393-ROUNDDOWN(I393,0))=0, 0, (I393-ROUNDDOWN(I393,0)))</f>
      </c>
      <c r="K393" s="7">
        <f>INDIRECT("C$"&amp;2+MIN(2,ROUNDDOWN(I393,0))*3)*(-$J393^3+3*$J393^2-3*$J393+1)+INDIRECT("C$"&amp;3+MIN(2,ROUNDDOWN(I393,0))*3)*(3*$J393^3-6*$J393^2+3*$J393)+INDIRECT("C$"&amp;4+MIN(2,ROUNDDOWN(I393,0))*3)*(-3*$J393^3+3*$J393^2)+INDIRECT("C$"&amp;5+MIN(2,ROUNDDOWN(I393,0))*3)*$J393^3</f>
      </c>
      <c r="L393" s="7">
        <f>INDIRECT("D$"&amp;2+MIN(2,ROUNDDOWN(I393,0))*3)*(-$J393^3+3*$J393^2-3*$J393+1)+INDIRECT("D$"&amp;3+MIN(2,ROUNDDOWN(I393,0))*3)*(3*$J393^3-6*$J393^2+3*$J393)+INDIRECT("D$"&amp;4+MIN(2,ROUNDDOWN(I393,0))*3)*(-3*$J393^3+3*$J393^2)+INDIRECT("D$"&amp;5+MIN(2,ROUNDDOWN(I393,0))*3)*$J393^3</f>
      </c>
      <c r="M393" s="7">
        <f>SQRT(K393^2+L393^2)</f>
      </c>
      <c r="N393" s="7">
        <f>(K394-K392)</f>
      </c>
      <c r="O393" s="7">
        <f>+(L394-L392)</f>
      </c>
      <c r="P393" s="7">
        <f>SQRT(O393^2+N393^2)</f>
      </c>
      <c r="Q393" s="7">
        <f>N393/$P393</f>
      </c>
      <c r="R393" s="7">
        <f>O393/$P393</f>
      </c>
      <c r="S393" s="7">
        <f>Q393^2+R393^2</f>
      </c>
      <c r="T393" s="7">
        <f>-R393</f>
      </c>
      <c r="U393" s="7">
        <f>Q393</f>
      </c>
      <c r="V393" s="7">
        <f>($C$14+($C$15-$C$14)/($D$15-$D$14)*(I393-$D$14))/2</f>
      </c>
      <c r="W393" s="7">
        <f>($B$22*I393^4+$C$22*I393^3+$D$22*I393^2+$E$22*I393+$F$22)/2</f>
      </c>
      <c r="X393" s="7">
        <f>($W393)*(T393)</f>
      </c>
      <c r="Y393" s="7">
        <f>($W393)*(U393)</f>
      </c>
      <c r="Z393" s="7">
        <f>SQRT(X393^2+Y393^2)</f>
      </c>
      <c r="AA393" s="7">
        <f>$K393+$X393</f>
      </c>
      <c r="AB393" s="7">
        <f>$L393+$Y393</f>
      </c>
      <c r="AC393" s="7">
        <f>$K393-$X393</f>
      </c>
      <c r="AD393" s="7">
        <f>$L393-$Y393</f>
      </c>
      <c r="AE393" s="7">
        <f>AA393/39.3701</f>
      </c>
      <c r="AF393" s="7">
        <f>AB393/39.3701</f>
      </c>
      <c r="AG393" s="7">
        <f>AC393/39.3701</f>
      </c>
      <c r="AH393" s="7">
        <f>AD393/39.3701</f>
      </c>
      <c r="AI393" s="1"/>
      <c r="AJ393" s="1"/>
      <c r="AK393" s="1"/>
      <c r="AL393" s="1"/>
      <c r="AM393" s="2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</row>
    <row x14ac:dyDescent="0.25" r="394" customHeight="1" ht="18.75">
      <c r="A394" s="1"/>
      <c r="B394" s="2"/>
      <c r="C394" s="2"/>
      <c r="D394" s="2"/>
      <c r="E394" s="2"/>
      <c r="F394" s="2"/>
      <c r="G394" s="1"/>
      <c r="H394" s="1"/>
      <c r="I394" s="7">
        <v>0.391</v>
      </c>
      <c r="J394" s="7">
        <f>IF((I394-ROUNDDOWN(I394,0))=0, 0, (I394-ROUNDDOWN(I394,0)))</f>
      </c>
      <c r="K394" s="7">
        <f>INDIRECT("C$"&amp;2+MIN(2,ROUNDDOWN(I394,0))*3)*(-$J394^3+3*$J394^2-3*$J394+1)+INDIRECT("C$"&amp;3+MIN(2,ROUNDDOWN(I394,0))*3)*(3*$J394^3-6*$J394^2+3*$J394)+INDIRECT("C$"&amp;4+MIN(2,ROUNDDOWN(I394,0))*3)*(-3*$J394^3+3*$J394^2)+INDIRECT("C$"&amp;5+MIN(2,ROUNDDOWN(I394,0))*3)*$J394^3</f>
      </c>
      <c r="L394" s="7">
        <f>INDIRECT("D$"&amp;2+MIN(2,ROUNDDOWN(I394,0))*3)*(-$J394^3+3*$J394^2-3*$J394+1)+INDIRECT("D$"&amp;3+MIN(2,ROUNDDOWN(I394,0))*3)*(3*$J394^3-6*$J394^2+3*$J394)+INDIRECT("D$"&amp;4+MIN(2,ROUNDDOWN(I394,0))*3)*(-3*$J394^3+3*$J394^2)+INDIRECT("D$"&amp;5+MIN(2,ROUNDDOWN(I394,0))*3)*$J394^3</f>
      </c>
      <c r="M394" s="7">
        <f>SQRT(K394^2+L394^2)</f>
      </c>
      <c r="N394" s="7">
        <f>(K395-K393)</f>
      </c>
      <c r="O394" s="7">
        <f>+(L395-L393)</f>
      </c>
      <c r="P394" s="7">
        <f>SQRT(O394^2+N394^2)</f>
      </c>
      <c r="Q394" s="7">
        <f>N394/$P394</f>
      </c>
      <c r="R394" s="7">
        <f>O394/$P394</f>
      </c>
      <c r="S394" s="7">
        <f>Q394^2+R394^2</f>
      </c>
      <c r="T394" s="7">
        <f>-R394</f>
      </c>
      <c r="U394" s="7">
        <f>Q394</f>
      </c>
      <c r="V394" s="7">
        <f>($C$14+($C$15-$C$14)/($D$15-$D$14)*(I394-$D$14))/2</f>
      </c>
      <c r="W394" s="7">
        <f>($B$22*I394^4+$C$22*I394^3+$D$22*I394^2+$E$22*I394+$F$22)/2</f>
      </c>
      <c r="X394" s="7">
        <f>($W394)*(T394)</f>
      </c>
      <c r="Y394" s="7">
        <f>($W394)*(U394)</f>
      </c>
      <c r="Z394" s="7">
        <f>SQRT(X394^2+Y394^2)</f>
      </c>
      <c r="AA394" s="7">
        <f>$K394+$X394</f>
      </c>
      <c r="AB394" s="7">
        <f>$L394+$Y394</f>
      </c>
      <c r="AC394" s="7">
        <f>$K394-$X394</f>
      </c>
      <c r="AD394" s="7">
        <f>$L394-$Y394</f>
      </c>
      <c r="AE394" s="7">
        <f>AA394/39.3701</f>
      </c>
      <c r="AF394" s="7">
        <f>AB394/39.3701</f>
      </c>
      <c r="AG394" s="7">
        <f>AC394/39.3701</f>
      </c>
      <c r="AH394" s="7">
        <f>AD394/39.3701</f>
      </c>
      <c r="AI394" s="1"/>
      <c r="AJ394" s="1"/>
      <c r="AK394" s="1"/>
      <c r="AL394" s="1"/>
      <c r="AM394" s="2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</row>
    <row x14ac:dyDescent="0.25" r="395" customHeight="1" ht="18.75">
      <c r="A395" s="1"/>
      <c r="B395" s="2"/>
      <c r="C395" s="2"/>
      <c r="D395" s="2"/>
      <c r="E395" s="2"/>
      <c r="F395" s="2"/>
      <c r="G395" s="1"/>
      <c r="H395" s="1"/>
      <c r="I395" s="7">
        <v>0.392</v>
      </c>
      <c r="J395" s="7">
        <f>IF((I395-ROUNDDOWN(I395,0))=0, 0, (I395-ROUNDDOWN(I395,0)))</f>
      </c>
      <c r="K395" s="7">
        <f>INDIRECT("C$"&amp;2+MIN(2,ROUNDDOWN(I395,0))*3)*(-$J395^3+3*$J395^2-3*$J395+1)+INDIRECT("C$"&amp;3+MIN(2,ROUNDDOWN(I395,0))*3)*(3*$J395^3-6*$J395^2+3*$J395)+INDIRECT("C$"&amp;4+MIN(2,ROUNDDOWN(I395,0))*3)*(-3*$J395^3+3*$J395^2)+INDIRECT("C$"&amp;5+MIN(2,ROUNDDOWN(I395,0))*3)*$J395^3</f>
      </c>
      <c r="L395" s="7">
        <f>INDIRECT("D$"&amp;2+MIN(2,ROUNDDOWN(I395,0))*3)*(-$J395^3+3*$J395^2-3*$J395+1)+INDIRECT("D$"&amp;3+MIN(2,ROUNDDOWN(I395,0))*3)*(3*$J395^3-6*$J395^2+3*$J395)+INDIRECT("D$"&amp;4+MIN(2,ROUNDDOWN(I395,0))*3)*(-3*$J395^3+3*$J395^2)+INDIRECT("D$"&amp;5+MIN(2,ROUNDDOWN(I395,0))*3)*$J395^3</f>
      </c>
      <c r="M395" s="7">
        <f>SQRT(K395^2+L395^2)</f>
      </c>
      <c r="N395" s="7">
        <f>(K396-K394)</f>
      </c>
      <c r="O395" s="7">
        <f>+(L396-L394)</f>
      </c>
      <c r="P395" s="7">
        <f>SQRT(O395^2+N395^2)</f>
      </c>
      <c r="Q395" s="7">
        <f>N395/$P395</f>
      </c>
      <c r="R395" s="7">
        <f>O395/$P395</f>
      </c>
      <c r="S395" s="7">
        <f>Q395^2+R395^2</f>
      </c>
      <c r="T395" s="7">
        <f>-R395</f>
      </c>
      <c r="U395" s="7">
        <f>Q395</f>
      </c>
      <c r="V395" s="7">
        <f>($C$14+($C$15-$C$14)/($D$15-$D$14)*(I395-$D$14))/2</f>
      </c>
      <c r="W395" s="7">
        <f>($B$22*I395^4+$C$22*I395^3+$D$22*I395^2+$E$22*I395+$F$22)/2</f>
      </c>
      <c r="X395" s="7">
        <f>($W395)*(T395)</f>
      </c>
      <c r="Y395" s="7">
        <f>($W395)*(U395)</f>
      </c>
      <c r="Z395" s="7">
        <f>SQRT(X395^2+Y395^2)</f>
      </c>
      <c r="AA395" s="7">
        <f>$K395+$X395</f>
      </c>
      <c r="AB395" s="7">
        <f>$L395+$Y395</f>
      </c>
      <c r="AC395" s="7">
        <f>$K395-$X395</f>
      </c>
      <c r="AD395" s="7">
        <f>$L395-$Y395</f>
      </c>
      <c r="AE395" s="7">
        <f>AA395/39.3701</f>
      </c>
      <c r="AF395" s="7">
        <f>AB395/39.3701</f>
      </c>
      <c r="AG395" s="7">
        <f>AC395/39.3701</f>
      </c>
      <c r="AH395" s="7">
        <f>AD395/39.3701</f>
      </c>
      <c r="AI395" s="1"/>
      <c r="AJ395" s="1"/>
      <c r="AK395" s="1"/>
      <c r="AL395" s="1"/>
      <c r="AM395" s="2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</row>
    <row x14ac:dyDescent="0.25" r="396" customHeight="1" ht="18.75">
      <c r="A396" s="1"/>
      <c r="B396" s="2"/>
      <c r="C396" s="2"/>
      <c r="D396" s="2"/>
      <c r="E396" s="2"/>
      <c r="F396" s="2"/>
      <c r="G396" s="1"/>
      <c r="H396" s="1"/>
      <c r="I396" s="7">
        <v>0.393</v>
      </c>
      <c r="J396" s="7">
        <f>IF((I396-ROUNDDOWN(I396,0))=0, 0, (I396-ROUNDDOWN(I396,0)))</f>
      </c>
      <c r="K396" s="7">
        <f>INDIRECT("C$"&amp;2+MIN(2,ROUNDDOWN(I396,0))*3)*(-$J396^3+3*$J396^2-3*$J396+1)+INDIRECT("C$"&amp;3+MIN(2,ROUNDDOWN(I396,0))*3)*(3*$J396^3-6*$J396^2+3*$J396)+INDIRECT("C$"&amp;4+MIN(2,ROUNDDOWN(I396,0))*3)*(-3*$J396^3+3*$J396^2)+INDIRECT("C$"&amp;5+MIN(2,ROUNDDOWN(I396,0))*3)*$J396^3</f>
      </c>
      <c r="L396" s="7">
        <f>INDIRECT("D$"&amp;2+MIN(2,ROUNDDOWN(I396,0))*3)*(-$J396^3+3*$J396^2-3*$J396+1)+INDIRECT("D$"&amp;3+MIN(2,ROUNDDOWN(I396,0))*3)*(3*$J396^3-6*$J396^2+3*$J396)+INDIRECT("D$"&amp;4+MIN(2,ROUNDDOWN(I396,0))*3)*(-3*$J396^3+3*$J396^2)+INDIRECT("D$"&amp;5+MIN(2,ROUNDDOWN(I396,0))*3)*$J396^3</f>
      </c>
      <c r="M396" s="7">
        <f>SQRT(K396^2+L396^2)</f>
      </c>
      <c r="N396" s="7">
        <f>(K397-K395)</f>
      </c>
      <c r="O396" s="7">
        <f>+(L397-L395)</f>
      </c>
      <c r="P396" s="7">
        <f>SQRT(O396^2+N396^2)</f>
      </c>
      <c r="Q396" s="7">
        <f>N396/$P396</f>
      </c>
      <c r="R396" s="7">
        <f>O396/$P396</f>
      </c>
      <c r="S396" s="7">
        <f>Q396^2+R396^2</f>
      </c>
      <c r="T396" s="7">
        <f>-R396</f>
      </c>
      <c r="U396" s="7">
        <f>Q396</f>
      </c>
      <c r="V396" s="7">
        <f>($C$14+($C$15-$C$14)/($D$15-$D$14)*(I396-$D$14))/2</f>
      </c>
      <c r="W396" s="7">
        <f>($B$22*I396^4+$C$22*I396^3+$D$22*I396^2+$E$22*I396+$F$22)/2</f>
      </c>
      <c r="X396" s="7">
        <f>($W396)*(T396)</f>
      </c>
      <c r="Y396" s="7">
        <f>($W396)*(U396)</f>
      </c>
      <c r="Z396" s="7">
        <f>SQRT(X396^2+Y396^2)</f>
      </c>
      <c r="AA396" s="7">
        <f>$K396+$X396</f>
      </c>
      <c r="AB396" s="7">
        <f>$L396+$Y396</f>
      </c>
      <c r="AC396" s="7">
        <f>$K396-$X396</f>
      </c>
      <c r="AD396" s="7">
        <f>$L396-$Y396</f>
      </c>
      <c r="AE396" s="7">
        <f>AA396/39.3701</f>
      </c>
      <c r="AF396" s="7">
        <f>AB396/39.3701</f>
      </c>
      <c r="AG396" s="7">
        <f>AC396/39.3701</f>
      </c>
      <c r="AH396" s="7">
        <f>AD396/39.3701</f>
      </c>
      <c r="AI396" s="1"/>
      <c r="AJ396" s="1"/>
      <c r="AK396" s="1"/>
      <c r="AL396" s="1"/>
      <c r="AM396" s="2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</row>
    <row x14ac:dyDescent="0.25" r="397" customHeight="1" ht="18.75">
      <c r="A397" s="1"/>
      <c r="B397" s="2"/>
      <c r="C397" s="2"/>
      <c r="D397" s="2"/>
      <c r="E397" s="2"/>
      <c r="F397" s="2"/>
      <c r="G397" s="1"/>
      <c r="H397" s="1"/>
      <c r="I397" s="7">
        <v>0.394</v>
      </c>
      <c r="J397" s="7">
        <f>IF((I397-ROUNDDOWN(I397,0))=0, 0, (I397-ROUNDDOWN(I397,0)))</f>
      </c>
      <c r="K397" s="7">
        <f>INDIRECT("C$"&amp;2+MIN(2,ROUNDDOWN(I397,0))*3)*(-$J397^3+3*$J397^2-3*$J397+1)+INDIRECT("C$"&amp;3+MIN(2,ROUNDDOWN(I397,0))*3)*(3*$J397^3-6*$J397^2+3*$J397)+INDIRECT("C$"&amp;4+MIN(2,ROUNDDOWN(I397,0))*3)*(-3*$J397^3+3*$J397^2)+INDIRECT("C$"&amp;5+MIN(2,ROUNDDOWN(I397,0))*3)*$J397^3</f>
      </c>
      <c r="L397" s="7">
        <f>INDIRECT("D$"&amp;2+MIN(2,ROUNDDOWN(I397,0))*3)*(-$J397^3+3*$J397^2-3*$J397+1)+INDIRECT("D$"&amp;3+MIN(2,ROUNDDOWN(I397,0))*3)*(3*$J397^3-6*$J397^2+3*$J397)+INDIRECT("D$"&amp;4+MIN(2,ROUNDDOWN(I397,0))*3)*(-3*$J397^3+3*$J397^2)+INDIRECT("D$"&amp;5+MIN(2,ROUNDDOWN(I397,0))*3)*$J397^3</f>
      </c>
      <c r="M397" s="7">
        <f>SQRT(K397^2+L397^2)</f>
      </c>
      <c r="N397" s="7">
        <f>(K398-K396)</f>
      </c>
      <c r="O397" s="7">
        <f>+(L398-L396)</f>
      </c>
      <c r="P397" s="7">
        <f>SQRT(O397^2+N397^2)</f>
      </c>
      <c r="Q397" s="7">
        <f>N397/$P397</f>
      </c>
      <c r="R397" s="7">
        <f>O397/$P397</f>
      </c>
      <c r="S397" s="8">
        <f>Q397^2+R397^2</f>
      </c>
      <c r="T397" s="7">
        <f>-R397</f>
      </c>
      <c r="U397" s="7">
        <f>Q397</f>
      </c>
      <c r="V397" s="7">
        <f>($C$14+($C$15-$C$14)/($D$15-$D$14)*(I397-$D$14))/2</f>
      </c>
      <c r="W397" s="7">
        <f>($B$22*I397^4+$C$22*I397^3+$D$22*I397^2+$E$22*I397+$F$22)/2</f>
      </c>
      <c r="X397" s="7">
        <f>($W397)*(T397)</f>
      </c>
      <c r="Y397" s="7">
        <f>($W397)*(U397)</f>
      </c>
      <c r="Z397" s="7">
        <f>SQRT(X397^2+Y397^2)</f>
      </c>
      <c r="AA397" s="7">
        <f>$K397+$X397</f>
      </c>
      <c r="AB397" s="7">
        <f>$L397+$Y397</f>
      </c>
      <c r="AC397" s="7">
        <f>$K397-$X397</f>
      </c>
      <c r="AD397" s="7">
        <f>$L397-$Y397</f>
      </c>
      <c r="AE397" s="7">
        <f>AA397/39.3701</f>
      </c>
      <c r="AF397" s="7">
        <f>AB397/39.3701</f>
      </c>
      <c r="AG397" s="7">
        <f>AC397/39.3701</f>
      </c>
      <c r="AH397" s="7">
        <f>AD397/39.3701</f>
      </c>
      <c r="AI397" s="1"/>
      <c r="AJ397" s="1"/>
      <c r="AK397" s="1"/>
      <c r="AL397" s="1"/>
      <c r="AM397" s="2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</row>
    <row x14ac:dyDescent="0.25" r="398" customHeight="1" ht="18.75">
      <c r="A398" s="1"/>
      <c r="B398" s="2"/>
      <c r="C398" s="2"/>
      <c r="D398" s="2"/>
      <c r="E398" s="2"/>
      <c r="F398" s="2"/>
      <c r="G398" s="1"/>
      <c r="H398" s="1"/>
      <c r="I398" s="7">
        <v>0.395</v>
      </c>
      <c r="J398" s="7">
        <f>IF((I398-ROUNDDOWN(I398,0))=0, 0, (I398-ROUNDDOWN(I398,0)))</f>
      </c>
      <c r="K398" s="7">
        <f>INDIRECT("C$"&amp;2+MIN(2,ROUNDDOWN(I398,0))*3)*(-$J398^3+3*$J398^2-3*$J398+1)+INDIRECT("C$"&amp;3+MIN(2,ROUNDDOWN(I398,0))*3)*(3*$J398^3-6*$J398^2+3*$J398)+INDIRECT("C$"&amp;4+MIN(2,ROUNDDOWN(I398,0))*3)*(-3*$J398^3+3*$J398^2)+INDIRECT("C$"&amp;5+MIN(2,ROUNDDOWN(I398,0))*3)*$J398^3</f>
      </c>
      <c r="L398" s="7">
        <f>INDIRECT("D$"&amp;2+MIN(2,ROUNDDOWN(I398,0))*3)*(-$J398^3+3*$J398^2-3*$J398+1)+INDIRECT("D$"&amp;3+MIN(2,ROUNDDOWN(I398,0))*3)*(3*$J398^3-6*$J398^2+3*$J398)+INDIRECT("D$"&amp;4+MIN(2,ROUNDDOWN(I398,0))*3)*(-3*$J398^3+3*$J398^2)+INDIRECT("D$"&amp;5+MIN(2,ROUNDDOWN(I398,0))*3)*$J398^3</f>
      </c>
      <c r="M398" s="7">
        <f>SQRT(K398^2+L398^2)</f>
      </c>
      <c r="N398" s="7">
        <f>(K399-K397)</f>
      </c>
      <c r="O398" s="7">
        <f>+(L399-L397)</f>
      </c>
      <c r="P398" s="7">
        <f>SQRT(O398^2+N398^2)</f>
      </c>
      <c r="Q398" s="7">
        <f>N398/$P398</f>
      </c>
      <c r="R398" s="7">
        <f>O398/$P398</f>
      </c>
      <c r="S398" s="7">
        <f>Q398^2+R398^2</f>
      </c>
      <c r="T398" s="7">
        <f>-R398</f>
      </c>
      <c r="U398" s="7">
        <f>Q398</f>
      </c>
      <c r="V398" s="7">
        <f>($C$14+($C$15-$C$14)/($D$15-$D$14)*(I398-$D$14))/2</f>
      </c>
      <c r="W398" s="7">
        <f>($B$22*I398^4+$C$22*I398^3+$D$22*I398^2+$E$22*I398+$F$22)/2</f>
      </c>
      <c r="X398" s="7">
        <f>($W398)*(T398)</f>
      </c>
      <c r="Y398" s="7">
        <f>($W398)*(U398)</f>
      </c>
      <c r="Z398" s="7">
        <f>SQRT(X398^2+Y398^2)</f>
      </c>
      <c r="AA398" s="7">
        <f>$K398+$X398</f>
      </c>
      <c r="AB398" s="7">
        <f>$L398+$Y398</f>
      </c>
      <c r="AC398" s="7">
        <f>$K398-$X398</f>
      </c>
      <c r="AD398" s="7">
        <f>$L398-$Y398</f>
      </c>
      <c r="AE398" s="7">
        <f>AA398/39.3701</f>
      </c>
      <c r="AF398" s="7">
        <f>AB398/39.3701</f>
      </c>
      <c r="AG398" s="7">
        <f>AC398/39.3701</f>
      </c>
      <c r="AH398" s="7">
        <f>AD398/39.3701</f>
      </c>
      <c r="AI398" s="1"/>
      <c r="AJ398" s="1"/>
      <c r="AK398" s="1"/>
      <c r="AL398" s="1"/>
      <c r="AM398" s="2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</row>
    <row x14ac:dyDescent="0.25" r="399" customHeight="1" ht="18.75">
      <c r="A399" s="1"/>
      <c r="B399" s="2"/>
      <c r="C399" s="2"/>
      <c r="D399" s="2"/>
      <c r="E399" s="2"/>
      <c r="F399" s="2"/>
      <c r="G399" s="1"/>
      <c r="H399" s="1"/>
      <c r="I399" s="7">
        <v>0.396</v>
      </c>
      <c r="J399" s="7">
        <f>IF((I399-ROUNDDOWN(I399,0))=0, 0, (I399-ROUNDDOWN(I399,0)))</f>
      </c>
      <c r="K399" s="7">
        <f>INDIRECT("C$"&amp;2+MIN(2,ROUNDDOWN(I399,0))*3)*(-$J399^3+3*$J399^2-3*$J399+1)+INDIRECT("C$"&amp;3+MIN(2,ROUNDDOWN(I399,0))*3)*(3*$J399^3-6*$J399^2+3*$J399)+INDIRECT("C$"&amp;4+MIN(2,ROUNDDOWN(I399,0))*3)*(-3*$J399^3+3*$J399^2)+INDIRECT("C$"&amp;5+MIN(2,ROUNDDOWN(I399,0))*3)*$J399^3</f>
      </c>
      <c r="L399" s="7">
        <f>INDIRECT("D$"&amp;2+MIN(2,ROUNDDOWN(I399,0))*3)*(-$J399^3+3*$J399^2-3*$J399+1)+INDIRECT("D$"&amp;3+MIN(2,ROUNDDOWN(I399,0))*3)*(3*$J399^3-6*$J399^2+3*$J399)+INDIRECT("D$"&amp;4+MIN(2,ROUNDDOWN(I399,0))*3)*(-3*$J399^3+3*$J399^2)+INDIRECT("D$"&amp;5+MIN(2,ROUNDDOWN(I399,0))*3)*$J399^3</f>
      </c>
      <c r="M399" s="7">
        <f>SQRT(K399^2+L399^2)</f>
      </c>
      <c r="N399" s="7">
        <f>(K400-K398)</f>
      </c>
      <c r="O399" s="7">
        <f>+(L400-L398)</f>
      </c>
      <c r="P399" s="7">
        <f>SQRT(O399^2+N399^2)</f>
      </c>
      <c r="Q399" s="7">
        <f>N399/$P399</f>
      </c>
      <c r="R399" s="7">
        <f>O399/$P399</f>
      </c>
      <c r="S399" s="7">
        <f>Q399^2+R399^2</f>
      </c>
      <c r="T399" s="7">
        <f>-R399</f>
      </c>
      <c r="U399" s="7">
        <f>Q399</f>
      </c>
      <c r="V399" s="7">
        <f>($C$14+($C$15-$C$14)/($D$15-$D$14)*(I399-$D$14))/2</f>
      </c>
      <c r="W399" s="7">
        <f>($B$22*I399^4+$C$22*I399^3+$D$22*I399^2+$E$22*I399+$F$22)/2</f>
      </c>
      <c r="X399" s="7">
        <f>($W399)*(T399)</f>
      </c>
      <c r="Y399" s="7">
        <f>($W399)*(U399)</f>
      </c>
      <c r="Z399" s="7">
        <f>SQRT(X399^2+Y399^2)</f>
      </c>
      <c r="AA399" s="7">
        <f>$K399+$X399</f>
      </c>
      <c r="AB399" s="7">
        <f>$L399+$Y399</f>
      </c>
      <c r="AC399" s="7">
        <f>$K399-$X399</f>
      </c>
      <c r="AD399" s="7">
        <f>$L399-$Y399</f>
      </c>
      <c r="AE399" s="7">
        <f>AA399/39.3701</f>
      </c>
      <c r="AF399" s="7">
        <f>AB399/39.3701</f>
      </c>
      <c r="AG399" s="7">
        <f>AC399/39.3701</f>
      </c>
      <c r="AH399" s="7">
        <f>AD399/39.3701</f>
      </c>
      <c r="AI399" s="1"/>
      <c r="AJ399" s="1"/>
      <c r="AK399" s="1"/>
      <c r="AL399" s="1"/>
      <c r="AM399" s="2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</row>
    <row x14ac:dyDescent="0.25" r="400" customHeight="1" ht="18.75">
      <c r="A400" s="1"/>
      <c r="B400" s="2"/>
      <c r="C400" s="2"/>
      <c r="D400" s="2"/>
      <c r="E400" s="2"/>
      <c r="F400" s="2"/>
      <c r="G400" s="1"/>
      <c r="H400" s="1"/>
      <c r="I400" s="7">
        <v>0.397</v>
      </c>
      <c r="J400" s="7">
        <f>IF((I400-ROUNDDOWN(I400,0))=0, 0, (I400-ROUNDDOWN(I400,0)))</f>
      </c>
      <c r="K400" s="7">
        <f>INDIRECT("C$"&amp;2+MIN(2,ROUNDDOWN(I400,0))*3)*(-$J400^3+3*$J400^2-3*$J400+1)+INDIRECT("C$"&amp;3+MIN(2,ROUNDDOWN(I400,0))*3)*(3*$J400^3-6*$J400^2+3*$J400)+INDIRECT("C$"&amp;4+MIN(2,ROUNDDOWN(I400,0))*3)*(-3*$J400^3+3*$J400^2)+INDIRECT("C$"&amp;5+MIN(2,ROUNDDOWN(I400,0))*3)*$J400^3</f>
      </c>
      <c r="L400" s="7">
        <f>INDIRECT("D$"&amp;2+MIN(2,ROUNDDOWN(I400,0))*3)*(-$J400^3+3*$J400^2-3*$J400+1)+INDIRECT("D$"&amp;3+MIN(2,ROUNDDOWN(I400,0))*3)*(3*$J400^3-6*$J400^2+3*$J400)+INDIRECT("D$"&amp;4+MIN(2,ROUNDDOWN(I400,0))*3)*(-3*$J400^3+3*$J400^2)+INDIRECT("D$"&amp;5+MIN(2,ROUNDDOWN(I400,0))*3)*$J400^3</f>
      </c>
      <c r="M400" s="7">
        <f>SQRT(K400^2+L400^2)</f>
      </c>
      <c r="N400" s="7">
        <f>(K401-K399)</f>
      </c>
      <c r="O400" s="7">
        <f>+(L401-L399)</f>
      </c>
      <c r="P400" s="7">
        <f>SQRT(O400^2+N400^2)</f>
      </c>
      <c r="Q400" s="7">
        <f>N400/$P400</f>
      </c>
      <c r="R400" s="7">
        <f>O400/$P400</f>
      </c>
      <c r="S400" s="7">
        <f>Q400^2+R400^2</f>
      </c>
      <c r="T400" s="7">
        <f>-R400</f>
      </c>
      <c r="U400" s="7">
        <f>Q400</f>
      </c>
      <c r="V400" s="7">
        <f>($C$14+($C$15-$C$14)/($D$15-$D$14)*(I400-$D$14))/2</f>
      </c>
      <c r="W400" s="7">
        <f>($B$22*I400^4+$C$22*I400^3+$D$22*I400^2+$E$22*I400+$F$22)/2</f>
      </c>
      <c r="X400" s="7">
        <f>($W400)*(T400)</f>
      </c>
      <c r="Y400" s="7">
        <f>($W400)*(U400)</f>
      </c>
      <c r="Z400" s="7">
        <f>SQRT(X400^2+Y400^2)</f>
      </c>
      <c r="AA400" s="7">
        <f>$K400+$X400</f>
      </c>
      <c r="AB400" s="7">
        <f>$L400+$Y400</f>
      </c>
      <c r="AC400" s="7">
        <f>$K400-$X400</f>
      </c>
      <c r="AD400" s="7">
        <f>$L400-$Y400</f>
      </c>
      <c r="AE400" s="7">
        <f>AA400/39.3701</f>
      </c>
      <c r="AF400" s="7">
        <f>AB400/39.3701</f>
      </c>
      <c r="AG400" s="7">
        <f>AC400/39.3701</f>
      </c>
      <c r="AH400" s="7">
        <f>AD400/39.3701</f>
      </c>
      <c r="AI400" s="1"/>
      <c r="AJ400" s="1"/>
      <c r="AK400" s="1"/>
      <c r="AL400" s="1"/>
      <c r="AM400" s="2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</row>
    <row x14ac:dyDescent="0.25" r="401" customHeight="1" ht="18.75">
      <c r="A401" s="1"/>
      <c r="B401" s="2"/>
      <c r="C401" s="2"/>
      <c r="D401" s="2"/>
      <c r="E401" s="2"/>
      <c r="F401" s="2"/>
      <c r="G401" s="1"/>
      <c r="H401" s="1"/>
      <c r="I401" s="7">
        <v>0.398</v>
      </c>
      <c r="J401" s="7">
        <f>IF((I401-ROUNDDOWN(I401,0))=0, 0, (I401-ROUNDDOWN(I401,0)))</f>
      </c>
      <c r="K401" s="7">
        <f>INDIRECT("C$"&amp;2+MIN(2,ROUNDDOWN(I401,0))*3)*(-$J401^3+3*$J401^2-3*$J401+1)+INDIRECT("C$"&amp;3+MIN(2,ROUNDDOWN(I401,0))*3)*(3*$J401^3-6*$J401^2+3*$J401)+INDIRECT("C$"&amp;4+MIN(2,ROUNDDOWN(I401,0))*3)*(-3*$J401^3+3*$J401^2)+INDIRECT("C$"&amp;5+MIN(2,ROUNDDOWN(I401,0))*3)*$J401^3</f>
      </c>
      <c r="L401" s="7">
        <f>INDIRECT("D$"&amp;2+MIN(2,ROUNDDOWN(I401,0))*3)*(-$J401^3+3*$J401^2-3*$J401+1)+INDIRECT("D$"&amp;3+MIN(2,ROUNDDOWN(I401,0))*3)*(3*$J401^3-6*$J401^2+3*$J401)+INDIRECT("D$"&amp;4+MIN(2,ROUNDDOWN(I401,0))*3)*(-3*$J401^3+3*$J401^2)+INDIRECT("D$"&amp;5+MIN(2,ROUNDDOWN(I401,0))*3)*$J401^3</f>
      </c>
      <c r="M401" s="7">
        <f>SQRT(K401^2+L401^2)</f>
      </c>
      <c r="N401" s="7">
        <f>(K402-K400)</f>
      </c>
      <c r="O401" s="7">
        <f>+(L402-L400)</f>
      </c>
      <c r="P401" s="7">
        <f>SQRT(O401^2+N401^2)</f>
      </c>
      <c r="Q401" s="7">
        <f>N401/$P401</f>
      </c>
      <c r="R401" s="7">
        <f>O401/$P401</f>
      </c>
      <c r="S401" s="7">
        <f>Q401^2+R401^2</f>
      </c>
      <c r="T401" s="7">
        <f>-R401</f>
      </c>
      <c r="U401" s="7">
        <f>Q401</f>
      </c>
      <c r="V401" s="7">
        <f>($C$14+($C$15-$C$14)/($D$15-$D$14)*(I401-$D$14))/2</f>
      </c>
      <c r="W401" s="7">
        <f>($B$22*I401^4+$C$22*I401^3+$D$22*I401^2+$E$22*I401+$F$22)/2</f>
      </c>
      <c r="X401" s="7">
        <f>($W401)*(T401)</f>
      </c>
      <c r="Y401" s="7">
        <f>($W401)*(U401)</f>
      </c>
      <c r="Z401" s="7">
        <f>SQRT(X401^2+Y401^2)</f>
      </c>
      <c r="AA401" s="7">
        <f>$K401+$X401</f>
      </c>
      <c r="AB401" s="7">
        <f>$L401+$Y401</f>
      </c>
      <c r="AC401" s="7">
        <f>$K401-$X401</f>
      </c>
      <c r="AD401" s="7">
        <f>$L401-$Y401</f>
      </c>
      <c r="AE401" s="7">
        <f>AA401/39.3701</f>
      </c>
      <c r="AF401" s="7">
        <f>AB401/39.3701</f>
      </c>
      <c r="AG401" s="7">
        <f>AC401/39.3701</f>
      </c>
      <c r="AH401" s="7">
        <f>AD401/39.3701</f>
      </c>
      <c r="AI401" s="1"/>
      <c r="AJ401" s="1"/>
      <c r="AK401" s="1"/>
      <c r="AL401" s="1"/>
      <c r="AM401" s="2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</row>
    <row x14ac:dyDescent="0.25" r="402" customHeight="1" ht="18.75">
      <c r="A402" s="1"/>
      <c r="B402" s="2"/>
      <c r="C402" s="2"/>
      <c r="D402" s="2"/>
      <c r="E402" s="2"/>
      <c r="F402" s="2"/>
      <c r="G402" s="1"/>
      <c r="H402" s="1"/>
      <c r="I402" s="7">
        <v>0.399</v>
      </c>
      <c r="J402" s="7">
        <f>IF((I402-ROUNDDOWN(I402,0))=0, 0, (I402-ROUNDDOWN(I402,0)))</f>
      </c>
      <c r="K402" s="7">
        <f>INDIRECT("C$"&amp;2+MIN(2,ROUNDDOWN(I402,0))*3)*(-$J402^3+3*$J402^2-3*$J402+1)+INDIRECT("C$"&amp;3+MIN(2,ROUNDDOWN(I402,0))*3)*(3*$J402^3-6*$J402^2+3*$J402)+INDIRECT("C$"&amp;4+MIN(2,ROUNDDOWN(I402,0))*3)*(-3*$J402^3+3*$J402^2)+INDIRECT("C$"&amp;5+MIN(2,ROUNDDOWN(I402,0))*3)*$J402^3</f>
      </c>
      <c r="L402" s="7">
        <f>INDIRECT("D$"&amp;2+MIN(2,ROUNDDOWN(I402,0))*3)*(-$J402^3+3*$J402^2-3*$J402+1)+INDIRECT("D$"&amp;3+MIN(2,ROUNDDOWN(I402,0))*3)*(3*$J402^3-6*$J402^2+3*$J402)+INDIRECT("D$"&amp;4+MIN(2,ROUNDDOWN(I402,0))*3)*(-3*$J402^3+3*$J402^2)+INDIRECT("D$"&amp;5+MIN(2,ROUNDDOWN(I402,0))*3)*$J402^3</f>
      </c>
      <c r="M402" s="7">
        <f>SQRT(K402^2+L402^2)</f>
      </c>
      <c r="N402" s="7">
        <f>(K403-K401)</f>
      </c>
      <c r="O402" s="7">
        <f>+(L403-L401)</f>
      </c>
      <c r="P402" s="7">
        <f>SQRT(O402^2+N402^2)</f>
      </c>
      <c r="Q402" s="7">
        <f>N402/$P402</f>
      </c>
      <c r="R402" s="7">
        <f>O402/$P402</f>
      </c>
      <c r="S402" s="8">
        <f>Q402^2+R402^2</f>
      </c>
      <c r="T402" s="7">
        <f>-R402</f>
      </c>
      <c r="U402" s="7">
        <f>Q402</f>
      </c>
      <c r="V402" s="7">
        <f>($C$14+($C$15-$C$14)/($D$15-$D$14)*(I402-$D$14))/2</f>
      </c>
      <c r="W402" s="7">
        <f>($B$22*I402^4+$C$22*I402^3+$D$22*I402^2+$E$22*I402+$F$22)/2</f>
      </c>
      <c r="X402" s="7">
        <f>($W402)*(T402)</f>
      </c>
      <c r="Y402" s="7">
        <f>($W402)*(U402)</f>
      </c>
      <c r="Z402" s="7">
        <f>SQRT(X402^2+Y402^2)</f>
      </c>
      <c r="AA402" s="7">
        <f>$K402+$X402</f>
      </c>
      <c r="AB402" s="7">
        <f>$L402+$Y402</f>
      </c>
      <c r="AC402" s="7">
        <f>$K402-$X402</f>
      </c>
      <c r="AD402" s="7">
        <f>$L402-$Y402</f>
      </c>
      <c r="AE402" s="7">
        <f>AA402/39.3701</f>
      </c>
      <c r="AF402" s="7">
        <f>AB402/39.3701</f>
      </c>
      <c r="AG402" s="7">
        <f>AC402/39.3701</f>
      </c>
      <c r="AH402" s="7">
        <f>AD402/39.3701</f>
      </c>
      <c r="AI402" s="1"/>
      <c r="AJ402" s="1"/>
      <c r="AK402" s="1"/>
      <c r="AL402" s="1"/>
      <c r="AM402" s="2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</row>
    <row x14ac:dyDescent="0.25" r="403" customHeight="1" ht="18.75">
      <c r="A403" s="1"/>
      <c r="B403" s="2"/>
      <c r="C403" s="2"/>
      <c r="D403" s="2"/>
      <c r="E403" s="2"/>
      <c r="F403" s="2"/>
      <c r="G403" s="1"/>
      <c r="H403" s="1"/>
      <c r="I403" s="7">
        <v>0.4</v>
      </c>
      <c r="J403" s="7">
        <f>IF((I403-ROUNDDOWN(I403,0))=0, 0, (I403-ROUNDDOWN(I403,0)))</f>
      </c>
      <c r="K403" s="7">
        <f>INDIRECT("C$"&amp;2+MIN(2,ROUNDDOWN(I403,0))*3)*(-$J403^3+3*$J403^2-3*$J403+1)+INDIRECT("C$"&amp;3+MIN(2,ROUNDDOWN(I403,0))*3)*(3*$J403^3-6*$J403^2+3*$J403)+INDIRECT("C$"&amp;4+MIN(2,ROUNDDOWN(I403,0))*3)*(-3*$J403^3+3*$J403^2)+INDIRECT("C$"&amp;5+MIN(2,ROUNDDOWN(I403,0))*3)*$J403^3</f>
      </c>
      <c r="L403" s="7">
        <f>INDIRECT("D$"&amp;2+MIN(2,ROUNDDOWN(I403,0))*3)*(-$J403^3+3*$J403^2-3*$J403+1)+INDIRECT("D$"&amp;3+MIN(2,ROUNDDOWN(I403,0))*3)*(3*$J403^3-6*$J403^2+3*$J403)+INDIRECT("D$"&amp;4+MIN(2,ROUNDDOWN(I403,0))*3)*(-3*$J403^3+3*$J403^2)+INDIRECT("D$"&amp;5+MIN(2,ROUNDDOWN(I403,0))*3)*$J403^3</f>
      </c>
      <c r="M403" s="7">
        <f>SQRT(K403^2+L403^2)</f>
      </c>
      <c r="N403" s="7">
        <f>(K404-K402)</f>
      </c>
      <c r="O403" s="7">
        <f>+(L404-L402)</f>
      </c>
      <c r="P403" s="7">
        <f>SQRT(O403^2+N403^2)</f>
      </c>
      <c r="Q403" s="7">
        <f>N403/$P403</f>
      </c>
      <c r="R403" s="7">
        <f>O403/$P403</f>
      </c>
      <c r="S403" s="8">
        <f>Q403^2+R403^2</f>
      </c>
      <c r="T403" s="7">
        <f>-R403</f>
      </c>
      <c r="U403" s="7">
        <f>Q403</f>
      </c>
      <c r="V403" s="7">
        <f>($C$14+($C$15-$C$14)/($D$15-$D$14)*(I403-$D$14))/2</f>
      </c>
      <c r="W403" s="7">
        <f>($B$22*I403^4+$C$22*I403^3+$D$22*I403^2+$E$22*I403+$F$22)/2</f>
      </c>
      <c r="X403" s="7">
        <f>($W403)*(T403)</f>
      </c>
      <c r="Y403" s="7">
        <f>($W403)*(U403)</f>
      </c>
      <c r="Z403" s="7">
        <f>SQRT(X403^2+Y403^2)</f>
      </c>
      <c r="AA403" s="7">
        <f>$K403+$X403</f>
      </c>
      <c r="AB403" s="7">
        <f>$L403+$Y403</f>
      </c>
      <c r="AC403" s="7">
        <f>$K403-$X403</f>
      </c>
      <c r="AD403" s="7">
        <f>$L403-$Y403</f>
      </c>
      <c r="AE403" s="7">
        <f>AA403/39.3701</f>
      </c>
      <c r="AF403" s="7">
        <f>AB403/39.3701</f>
      </c>
      <c r="AG403" s="7">
        <f>AC403/39.3701</f>
      </c>
      <c r="AH403" s="7">
        <f>AD403/39.3701</f>
      </c>
      <c r="AI403" s="1"/>
      <c r="AJ403" s="1"/>
      <c r="AK403" s="1"/>
      <c r="AL403" s="1"/>
      <c r="AM403" s="2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</row>
    <row x14ac:dyDescent="0.25" r="404" customHeight="1" ht="18.75">
      <c r="A404" s="1"/>
      <c r="B404" s="2"/>
      <c r="C404" s="2"/>
      <c r="D404" s="2"/>
      <c r="E404" s="2"/>
      <c r="F404" s="2"/>
      <c r="G404" s="1"/>
      <c r="H404" s="1"/>
      <c r="I404" s="7">
        <v>0.401</v>
      </c>
      <c r="J404" s="7">
        <f>IF((I404-ROUNDDOWN(I404,0))=0, 0, (I404-ROUNDDOWN(I404,0)))</f>
      </c>
      <c r="K404" s="7">
        <f>INDIRECT("C$"&amp;2+MIN(2,ROUNDDOWN(I404,0))*3)*(-$J404^3+3*$J404^2-3*$J404+1)+INDIRECT("C$"&amp;3+MIN(2,ROUNDDOWN(I404,0))*3)*(3*$J404^3-6*$J404^2+3*$J404)+INDIRECT("C$"&amp;4+MIN(2,ROUNDDOWN(I404,0))*3)*(-3*$J404^3+3*$J404^2)+INDIRECT("C$"&amp;5+MIN(2,ROUNDDOWN(I404,0))*3)*$J404^3</f>
      </c>
      <c r="L404" s="7">
        <f>INDIRECT("D$"&amp;2+MIN(2,ROUNDDOWN(I404,0))*3)*(-$J404^3+3*$J404^2-3*$J404+1)+INDIRECT("D$"&amp;3+MIN(2,ROUNDDOWN(I404,0))*3)*(3*$J404^3-6*$J404^2+3*$J404)+INDIRECT("D$"&amp;4+MIN(2,ROUNDDOWN(I404,0))*3)*(-3*$J404^3+3*$J404^2)+INDIRECT("D$"&amp;5+MIN(2,ROUNDDOWN(I404,0))*3)*$J404^3</f>
      </c>
      <c r="M404" s="7">
        <f>SQRT(K404^2+L404^2)</f>
      </c>
      <c r="N404" s="7">
        <f>(K405-K403)</f>
      </c>
      <c r="O404" s="7">
        <f>+(L405-L403)</f>
      </c>
      <c r="P404" s="7">
        <f>SQRT(O404^2+N404^2)</f>
      </c>
      <c r="Q404" s="7">
        <f>N404/$P404</f>
      </c>
      <c r="R404" s="7">
        <f>O404/$P404</f>
      </c>
      <c r="S404" s="8">
        <f>Q404^2+R404^2</f>
      </c>
      <c r="T404" s="7">
        <f>-R404</f>
      </c>
      <c r="U404" s="7">
        <f>Q404</f>
      </c>
      <c r="V404" s="7">
        <f>($C$14+($C$15-$C$14)/($D$15-$D$14)*(I404-$D$14))/2</f>
      </c>
      <c r="W404" s="7">
        <f>($B$22*I404^4+$C$22*I404^3+$D$22*I404^2+$E$22*I404+$F$22)/2</f>
      </c>
      <c r="X404" s="7">
        <f>($W404)*(T404)</f>
      </c>
      <c r="Y404" s="7">
        <f>($W404)*(U404)</f>
      </c>
      <c r="Z404" s="7">
        <f>SQRT(X404^2+Y404^2)</f>
      </c>
      <c r="AA404" s="7">
        <f>$K404+$X404</f>
      </c>
      <c r="AB404" s="7">
        <f>$L404+$Y404</f>
      </c>
      <c r="AC404" s="7">
        <f>$K404-$X404</f>
      </c>
      <c r="AD404" s="7">
        <f>$L404-$Y404</f>
      </c>
      <c r="AE404" s="7">
        <f>AA404/39.3701</f>
      </c>
      <c r="AF404" s="7">
        <f>AB404/39.3701</f>
      </c>
      <c r="AG404" s="7">
        <f>AC404/39.3701</f>
      </c>
      <c r="AH404" s="7">
        <f>AD404/39.3701</f>
      </c>
      <c r="AI404" s="1"/>
      <c r="AJ404" s="1"/>
      <c r="AK404" s="1"/>
      <c r="AL404" s="1"/>
      <c r="AM404" s="2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</row>
    <row x14ac:dyDescent="0.25" r="405" customHeight="1" ht="18.75">
      <c r="A405" s="1"/>
      <c r="B405" s="2"/>
      <c r="C405" s="2"/>
      <c r="D405" s="2"/>
      <c r="E405" s="2"/>
      <c r="F405" s="2"/>
      <c r="G405" s="1"/>
      <c r="H405" s="1"/>
      <c r="I405" s="7">
        <v>0.402</v>
      </c>
      <c r="J405" s="7">
        <f>IF((I405-ROUNDDOWN(I405,0))=0, 0, (I405-ROUNDDOWN(I405,0)))</f>
      </c>
      <c r="K405" s="7">
        <f>INDIRECT("C$"&amp;2+MIN(2,ROUNDDOWN(I405,0))*3)*(-$J405^3+3*$J405^2-3*$J405+1)+INDIRECT("C$"&amp;3+MIN(2,ROUNDDOWN(I405,0))*3)*(3*$J405^3-6*$J405^2+3*$J405)+INDIRECT("C$"&amp;4+MIN(2,ROUNDDOWN(I405,0))*3)*(-3*$J405^3+3*$J405^2)+INDIRECT("C$"&amp;5+MIN(2,ROUNDDOWN(I405,0))*3)*$J405^3</f>
      </c>
      <c r="L405" s="7">
        <f>INDIRECT("D$"&amp;2+MIN(2,ROUNDDOWN(I405,0))*3)*(-$J405^3+3*$J405^2-3*$J405+1)+INDIRECT("D$"&amp;3+MIN(2,ROUNDDOWN(I405,0))*3)*(3*$J405^3-6*$J405^2+3*$J405)+INDIRECT("D$"&amp;4+MIN(2,ROUNDDOWN(I405,0))*3)*(-3*$J405^3+3*$J405^2)+INDIRECT("D$"&amp;5+MIN(2,ROUNDDOWN(I405,0))*3)*$J405^3</f>
      </c>
      <c r="M405" s="7">
        <f>SQRT(K405^2+L405^2)</f>
      </c>
      <c r="N405" s="7">
        <f>(K406-K404)</f>
      </c>
      <c r="O405" s="7">
        <f>+(L406-L404)</f>
      </c>
      <c r="P405" s="7">
        <f>SQRT(O405^2+N405^2)</f>
      </c>
      <c r="Q405" s="7">
        <f>N405/$P405</f>
      </c>
      <c r="R405" s="7">
        <f>O405/$P405</f>
      </c>
      <c r="S405" s="8">
        <f>Q405^2+R405^2</f>
      </c>
      <c r="T405" s="7">
        <f>-R405</f>
      </c>
      <c r="U405" s="7">
        <f>Q405</f>
      </c>
      <c r="V405" s="7">
        <f>($C$14+($C$15-$C$14)/($D$15-$D$14)*(I405-$D$14))/2</f>
      </c>
      <c r="W405" s="7">
        <f>($B$22*I405^4+$C$22*I405^3+$D$22*I405^2+$E$22*I405+$F$22)/2</f>
      </c>
      <c r="X405" s="7">
        <f>($W405)*(T405)</f>
      </c>
      <c r="Y405" s="7">
        <f>($W405)*(U405)</f>
      </c>
      <c r="Z405" s="7">
        <f>SQRT(X405^2+Y405^2)</f>
      </c>
      <c r="AA405" s="7">
        <f>$K405+$X405</f>
      </c>
      <c r="AB405" s="7">
        <f>$L405+$Y405</f>
      </c>
      <c r="AC405" s="7">
        <f>$K405-$X405</f>
      </c>
      <c r="AD405" s="7">
        <f>$L405-$Y405</f>
      </c>
      <c r="AE405" s="7">
        <f>AA405/39.3701</f>
      </c>
      <c r="AF405" s="7">
        <f>AB405/39.3701</f>
      </c>
      <c r="AG405" s="7">
        <f>AC405/39.3701</f>
      </c>
      <c r="AH405" s="7">
        <f>AD405/39.3701</f>
      </c>
      <c r="AI405" s="1"/>
      <c r="AJ405" s="1"/>
      <c r="AK405" s="1"/>
      <c r="AL405" s="1"/>
      <c r="AM405" s="2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</row>
    <row x14ac:dyDescent="0.25" r="406" customHeight="1" ht="18.75">
      <c r="A406" s="1"/>
      <c r="B406" s="2"/>
      <c r="C406" s="2"/>
      <c r="D406" s="2"/>
      <c r="E406" s="2"/>
      <c r="F406" s="2"/>
      <c r="G406" s="1"/>
      <c r="H406" s="1"/>
      <c r="I406" s="7">
        <v>0.403</v>
      </c>
      <c r="J406" s="7">
        <f>IF((I406-ROUNDDOWN(I406,0))=0, 0, (I406-ROUNDDOWN(I406,0)))</f>
      </c>
      <c r="K406" s="7">
        <f>INDIRECT("C$"&amp;2+MIN(2,ROUNDDOWN(I406,0))*3)*(-$J406^3+3*$J406^2-3*$J406+1)+INDIRECT("C$"&amp;3+MIN(2,ROUNDDOWN(I406,0))*3)*(3*$J406^3-6*$J406^2+3*$J406)+INDIRECT("C$"&amp;4+MIN(2,ROUNDDOWN(I406,0))*3)*(-3*$J406^3+3*$J406^2)+INDIRECT("C$"&amp;5+MIN(2,ROUNDDOWN(I406,0))*3)*$J406^3</f>
      </c>
      <c r="L406" s="7">
        <f>INDIRECT("D$"&amp;2+MIN(2,ROUNDDOWN(I406,0))*3)*(-$J406^3+3*$J406^2-3*$J406+1)+INDIRECT("D$"&amp;3+MIN(2,ROUNDDOWN(I406,0))*3)*(3*$J406^3-6*$J406^2+3*$J406)+INDIRECT("D$"&amp;4+MIN(2,ROUNDDOWN(I406,0))*3)*(-3*$J406^3+3*$J406^2)+INDIRECT("D$"&amp;5+MIN(2,ROUNDDOWN(I406,0))*3)*$J406^3</f>
      </c>
      <c r="M406" s="7">
        <f>SQRT(K406^2+L406^2)</f>
      </c>
      <c r="N406" s="7">
        <f>(K407-K405)</f>
      </c>
      <c r="O406" s="7">
        <f>+(L407-L405)</f>
      </c>
      <c r="P406" s="7">
        <f>SQRT(O406^2+N406^2)</f>
      </c>
      <c r="Q406" s="7">
        <f>N406/$P406</f>
      </c>
      <c r="R406" s="7">
        <f>O406/$P406</f>
      </c>
      <c r="S406" s="7">
        <f>Q406^2+R406^2</f>
      </c>
      <c r="T406" s="7">
        <f>-R406</f>
      </c>
      <c r="U406" s="7">
        <f>Q406</f>
      </c>
      <c r="V406" s="7">
        <f>($C$14+($C$15-$C$14)/($D$15-$D$14)*(I406-$D$14))/2</f>
      </c>
      <c r="W406" s="7">
        <f>($B$22*I406^4+$C$22*I406^3+$D$22*I406^2+$E$22*I406+$F$22)/2</f>
      </c>
      <c r="X406" s="7">
        <f>($W406)*(T406)</f>
      </c>
      <c r="Y406" s="7">
        <f>($W406)*(U406)</f>
      </c>
      <c r="Z406" s="7">
        <f>SQRT(X406^2+Y406^2)</f>
      </c>
      <c r="AA406" s="7">
        <f>$K406+$X406</f>
      </c>
      <c r="AB406" s="7">
        <f>$L406+$Y406</f>
      </c>
      <c r="AC406" s="7">
        <f>$K406-$X406</f>
      </c>
      <c r="AD406" s="7">
        <f>$L406-$Y406</f>
      </c>
      <c r="AE406" s="7">
        <f>AA406/39.3701</f>
      </c>
      <c r="AF406" s="7">
        <f>AB406/39.3701</f>
      </c>
      <c r="AG406" s="7">
        <f>AC406/39.3701</f>
      </c>
      <c r="AH406" s="7">
        <f>AD406/39.3701</f>
      </c>
      <c r="AI406" s="1"/>
      <c r="AJ406" s="1"/>
      <c r="AK406" s="1"/>
      <c r="AL406" s="1"/>
      <c r="AM406" s="2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</row>
    <row x14ac:dyDescent="0.25" r="407" customHeight="1" ht="18.75">
      <c r="A407" s="1"/>
      <c r="B407" s="2"/>
      <c r="C407" s="2"/>
      <c r="D407" s="2"/>
      <c r="E407" s="2"/>
      <c r="F407" s="2"/>
      <c r="G407" s="1"/>
      <c r="H407" s="1"/>
      <c r="I407" s="7">
        <v>0.404</v>
      </c>
      <c r="J407" s="7">
        <f>IF((I407-ROUNDDOWN(I407,0))=0, 0, (I407-ROUNDDOWN(I407,0)))</f>
      </c>
      <c r="K407" s="7">
        <f>INDIRECT("C$"&amp;2+MIN(2,ROUNDDOWN(I407,0))*3)*(-$J407^3+3*$J407^2-3*$J407+1)+INDIRECT("C$"&amp;3+MIN(2,ROUNDDOWN(I407,0))*3)*(3*$J407^3-6*$J407^2+3*$J407)+INDIRECT("C$"&amp;4+MIN(2,ROUNDDOWN(I407,0))*3)*(-3*$J407^3+3*$J407^2)+INDIRECT("C$"&amp;5+MIN(2,ROUNDDOWN(I407,0))*3)*$J407^3</f>
      </c>
      <c r="L407" s="7">
        <f>INDIRECT("D$"&amp;2+MIN(2,ROUNDDOWN(I407,0))*3)*(-$J407^3+3*$J407^2-3*$J407+1)+INDIRECT("D$"&amp;3+MIN(2,ROUNDDOWN(I407,0))*3)*(3*$J407^3-6*$J407^2+3*$J407)+INDIRECT("D$"&amp;4+MIN(2,ROUNDDOWN(I407,0))*3)*(-3*$J407^3+3*$J407^2)+INDIRECT("D$"&amp;5+MIN(2,ROUNDDOWN(I407,0))*3)*$J407^3</f>
      </c>
      <c r="M407" s="7">
        <f>SQRT(K407^2+L407^2)</f>
      </c>
      <c r="N407" s="7">
        <f>(K408-K406)</f>
      </c>
      <c r="O407" s="7">
        <f>+(L408-L406)</f>
      </c>
      <c r="P407" s="7">
        <f>SQRT(O407^2+N407^2)</f>
      </c>
      <c r="Q407" s="7">
        <f>N407/$P407</f>
      </c>
      <c r="R407" s="7">
        <f>O407/$P407</f>
      </c>
      <c r="S407" s="7">
        <f>Q407^2+R407^2</f>
      </c>
      <c r="T407" s="7">
        <f>-R407</f>
      </c>
      <c r="U407" s="7">
        <f>Q407</f>
      </c>
      <c r="V407" s="7">
        <f>($C$14+($C$15-$C$14)/($D$15-$D$14)*(I407-$D$14))/2</f>
      </c>
      <c r="W407" s="7">
        <f>($B$22*I407^4+$C$22*I407^3+$D$22*I407^2+$E$22*I407+$F$22)/2</f>
      </c>
      <c r="X407" s="7">
        <f>($W407)*(T407)</f>
      </c>
      <c r="Y407" s="7">
        <f>($W407)*(U407)</f>
      </c>
      <c r="Z407" s="7">
        <f>SQRT(X407^2+Y407^2)</f>
      </c>
      <c r="AA407" s="7">
        <f>$K407+$X407</f>
      </c>
      <c r="AB407" s="7">
        <f>$L407+$Y407</f>
      </c>
      <c r="AC407" s="7">
        <f>$K407-$X407</f>
      </c>
      <c r="AD407" s="7">
        <f>$L407-$Y407</f>
      </c>
      <c r="AE407" s="7">
        <f>AA407/39.3701</f>
      </c>
      <c r="AF407" s="7">
        <f>AB407/39.3701</f>
      </c>
      <c r="AG407" s="7">
        <f>AC407/39.3701</f>
      </c>
      <c r="AH407" s="7">
        <f>AD407/39.3701</f>
      </c>
      <c r="AI407" s="1"/>
      <c r="AJ407" s="1"/>
      <c r="AK407" s="1"/>
      <c r="AL407" s="1"/>
      <c r="AM407" s="2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</row>
    <row x14ac:dyDescent="0.25" r="408" customHeight="1" ht="18.75">
      <c r="A408" s="1"/>
      <c r="B408" s="2"/>
      <c r="C408" s="2"/>
      <c r="D408" s="2"/>
      <c r="E408" s="2"/>
      <c r="F408" s="2"/>
      <c r="G408" s="1"/>
      <c r="H408" s="1"/>
      <c r="I408" s="7">
        <v>0.405</v>
      </c>
      <c r="J408" s="7">
        <f>IF((I408-ROUNDDOWN(I408,0))=0, 0, (I408-ROUNDDOWN(I408,0)))</f>
      </c>
      <c r="K408" s="7">
        <f>INDIRECT("C$"&amp;2+MIN(2,ROUNDDOWN(I408,0))*3)*(-$J408^3+3*$J408^2-3*$J408+1)+INDIRECT("C$"&amp;3+MIN(2,ROUNDDOWN(I408,0))*3)*(3*$J408^3-6*$J408^2+3*$J408)+INDIRECT("C$"&amp;4+MIN(2,ROUNDDOWN(I408,0))*3)*(-3*$J408^3+3*$J408^2)+INDIRECT("C$"&amp;5+MIN(2,ROUNDDOWN(I408,0))*3)*$J408^3</f>
      </c>
      <c r="L408" s="7">
        <f>INDIRECT("D$"&amp;2+MIN(2,ROUNDDOWN(I408,0))*3)*(-$J408^3+3*$J408^2-3*$J408+1)+INDIRECT("D$"&amp;3+MIN(2,ROUNDDOWN(I408,0))*3)*(3*$J408^3-6*$J408^2+3*$J408)+INDIRECT("D$"&amp;4+MIN(2,ROUNDDOWN(I408,0))*3)*(-3*$J408^3+3*$J408^2)+INDIRECT("D$"&amp;5+MIN(2,ROUNDDOWN(I408,0))*3)*$J408^3</f>
      </c>
      <c r="M408" s="7">
        <f>SQRT(K408^2+L408^2)</f>
      </c>
      <c r="N408" s="7">
        <f>(K409-K407)</f>
      </c>
      <c r="O408" s="7">
        <f>+(L409-L407)</f>
      </c>
      <c r="P408" s="7">
        <f>SQRT(O408^2+N408^2)</f>
      </c>
      <c r="Q408" s="7">
        <f>N408/$P408</f>
      </c>
      <c r="R408" s="7">
        <f>O408/$P408</f>
      </c>
      <c r="S408" s="8">
        <f>Q408^2+R408^2</f>
      </c>
      <c r="T408" s="7">
        <f>-R408</f>
      </c>
      <c r="U408" s="7">
        <f>Q408</f>
      </c>
      <c r="V408" s="7">
        <f>($C$14+($C$15-$C$14)/($D$15-$D$14)*(I408-$D$14))/2</f>
      </c>
      <c r="W408" s="7">
        <f>($B$22*I408^4+$C$22*I408^3+$D$22*I408^2+$E$22*I408+$F$22)/2</f>
      </c>
      <c r="X408" s="7">
        <f>($W408)*(T408)</f>
      </c>
      <c r="Y408" s="7">
        <f>($W408)*(U408)</f>
      </c>
      <c r="Z408" s="7">
        <f>SQRT(X408^2+Y408^2)</f>
      </c>
      <c r="AA408" s="7">
        <f>$K408+$X408</f>
      </c>
      <c r="AB408" s="7">
        <f>$L408+$Y408</f>
      </c>
      <c r="AC408" s="7">
        <f>$K408-$X408</f>
      </c>
      <c r="AD408" s="7">
        <f>$L408-$Y408</f>
      </c>
      <c r="AE408" s="7">
        <f>AA408/39.3701</f>
      </c>
      <c r="AF408" s="7">
        <f>AB408/39.3701</f>
      </c>
      <c r="AG408" s="7">
        <f>AC408/39.3701</f>
      </c>
      <c r="AH408" s="7">
        <f>AD408/39.3701</f>
      </c>
      <c r="AI408" s="1"/>
      <c r="AJ408" s="1"/>
      <c r="AK408" s="1"/>
      <c r="AL408" s="1"/>
      <c r="AM408" s="2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</row>
    <row x14ac:dyDescent="0.25" r="409" customHeight="1" ht="18.75">
      <c r="A409" s="1"/>
      <c r="B409" s="2"/>
      <c r="C409" s="2"/>
      <c r="D409" s="2"/>
      <c r="E409" s="2"/>
      <c r="F409" s="2"/>
      <c r="G409" s="1"/>
      <c r="H409" s="1"/>
      <c r="I409" s="7">
        <v>0.406</v>
      </c>
      <c r="J409" s="7">
        <f>IF((I409-ROUNDDOWN(I409,0))=0, 0, (I409-ROUNDDOWN(I409,0)))</f>
      </c>
      <c r="K409" s="7">
        <f>INDIRECT("C$"&amp;2+MIN(2,ROUNDDOWN(I409,0))*3)*(-$J409^3+3*$J409^2-3*$J409+1)+INDIRECT("C$"&amp;3+MIN(2,ROUNDDOWN(I409,0))*3)*(3*$J409^3-6*$J409^2+3*$J409)+INDIRECT("C$"&amp;4+MIN(2,ROUNDDOWN(I409,0))*3)*(-3*$J409^3+3*$J409^2)+INDIRECT("C$"&amp;5+MIN(2,ROUNDDOWN(I409,0))*3)*$J409^3</f>
      </c>
      <c r="L409" s="7">
        <f>INDIRECT("D$"&amp;2+MIN(2,ROUNDDOWN(I409,0))*3)*(-$J409^3+3*$J409^2-3*$J409+1)+INDIRECT("D$"&amp;3+MIN(2,ROUNDDOWN(I409,0))*3)*(3*$J409^3-6*$J409^2+3*$J409)+INDIRECT("D$"&amp;4+MIN(2,ROUNDDOWN(I409,0))*3)*(-3*$J409^3+3*$J409^2)+INDIRECT("D$"&amp;5+MIN(2,ROUNDDOWN(I409,0))*3)*$J409^3</f>
      </c>
      <c r="M409" s="7">
        <f>SQRT(K409^2+L409^2)</f>
      </c>
      <c r="N409" s="7">
        <f>(K410-K408)</f>
      </c>
      <c r="O409" s="7">
        <f>+(L410-L408)</f>
      </c>
      <c r="P409" s="7">
        <f>SQRT(O409^2+N409^2)</f>
      </c>
      <c r="Q409" s="7">
        <f>N409/$P409</f>
      </c>
      <c r="R409" s="7">
        <f>O409/$P409</f>
      </c>
      <c r="S409" s="7">
        <f>Q409^2+R409^2</f>
      </c>
      <c r="T409" s="7">
        <f>-R409</f>
      </c>
      <c r="U409" s="7">
        <f>Q409</f>
      </c>
      <c r="V409" s="7">
        <f>($C$14+($C$15-$C$14)/($D$15-$D$14)*(I409-$D$14))/2</f>
      </c>
      <c r="W409" s="7">
        <f>($B$22*I409^4+$C$22*I409^3+$D$22*I409^2+$E$22*I409+$F$22)/2</f>
      </c>
      <c r="X409" s="7">
        <f>($W409)*(T409)</f>
      </c>
      <c r="Y409" s="7">
        <f>($W409)*(U409)</f>
      </c>
      <c r="Z409" s="7">
        <f>SQRT(X409^2+Y409^2)</f>
      </c>
      <c r="AA409" s="7">
        <f>$K409+$X409</f>
      </c>
      <c r="AB409" s="7">
        <f>$L409+$Y409</f>
      </c>
      <c r="AC409" s="7">
        <f>$K409-$X409</f>
      </c>
      <c r="AD409" s="7">
        <f>$L409-$Y409</f>
      </c>
      <c r="AE409" s="7">
        <f>AA409/39.3701</f>
      </c>
      <c r="AF409" s="7">
        <f>AB409/39.3701</f>
      </c>
      <c r="AG409" s="7">
        <f>AC409/39.3701</f>
      </c>
      <c r="AH409" s="7">
        <f>AD409/39.3701</f>
      </c>
      <c r="AI409" s="1"/>
      <c r="AJ409" s="1"/>
      <c r="AK409" s="1"/>
      <c r="AL409" s="1"/>
      <c r="AM409" s="2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</row>
    <row x14ac:dyDescent="0.25" r="410" customHeight="1" ht="18.75">
      <c r="A410" s="1"/>
      <c r="B410" s="2"/>
      <c r="C410" s="2"/>
      <c r="D410" s="2"/>
      <c r="E410" s="2"/>
      <c r="F410" s="2"/>
      <c r="G410" s="1"/>
      <c r="H410" s="1"/>
      <c r="I410" s="7">
        <v>0.407</v>
      </c>
      <c r="J410" s="7">
        <f>IF((I410-ROUNDDOWN(I410,0))=0, 0, (I410-ROUNDDOWN(I410,0)))</f>
      </c>
      <c r="K410" s="7">
        <f>INDIRECT("C$"&amp;2+MIN(2,ROUNDDOWN(I410,0))*3)*(-$J410^3+3*$J410^2-3*$J410+1)+INDIRECT("C$"&amp;3+MIN(2,ROUNDDOWN(I410,0))*3)*(3*$J410^3-6*$J410^2+3*$J410)+INDIRECT("C$"&amp;4+MIN(2,ROUNDDOWN(I410,0))*3)*(-3*$J410^3+3*$J410^2)+INDIRECT("C$"&amp;5+MIN(2,ROUNDDOWN(I410,0))*3)*$J410^3</f>
      </c>
      <c r="L410" s="7">
        <f>INDIRECT("D$"&amp;2+MIN(2,ROUNDDOWN(I410,0))*3)*(-$J410^3+3*$J410^2-3*$J410+1)+INDIRECT("D$"&amp;3+MIN(2,ROUNDDOWN(I410,0))*3)*(3*$J410^3-6*$J410^2+3*$J410)+INDIRECT("D$"&amp;4+MIN(2,ROUNDDOWN(I410,0))*3)*(-3*$J410^3+3*$J410^2)+INDIRECT("D$"&amp;5+MIN(2,ROUNDDOWN(I410,0))*3)*$J410^3</f>
      </c>
      <c r="M410" s="7">
        <f>SQRT(K410^2+L410^2)</f>
      </c>
      <c r="N410" s="7">
        <f>(K411-K409)</f>
      </c>
      <c r="O410" s="7">
        <f>+(L411-L409)</f>
      </c>
      <c r="P410" s="7">
        <f>SQRT(O410^2+N410^2)</f>
      </c>
      <c r="Q410" s="7">
        <f>N410/$P410</f>
      </c>
      <c r="R410" s="7">
        <f>O410/$P410</f>
      </c>
      <c r="S410" s="8">
        <f>Q410^2+R410^2</f>
      </c>
      <c r="T410" s="7">
        <f>-R410</f>
      </c>
      <c r="U410" s="7">
        <f>Q410</f>
      </c>
      <c r="V410" s="7">
        <f>($C$14+($C$15-$C$14)/($D$15-$D$14)*(I410-$D$14))/2</f>
      </c>
      <c r="W410" s="7">
        <f>($B$22*I410^4+$C$22*I410^3+$D$22*I410^2+$E$22*I410+$F$22)/2</f>
      </c>
      <c r="X410" s="7">
        <f>($W410)*(T410)</f>
      </c>
      <c r="Y410" s="7">
        <f>($W410)*(U410)</f>
      </c>
      <c r="Z410" s="7">
        <f>SQRT(X410^2+Y410^2)</f>
      </c>
      <c r="AA410" s="7">
        <f>$K410+$X410</f>
      </c>
      <c r="AB410" s="7">
        <f>$L410+$Y410</f>
      </c>
      <c r="AC410" s="7">
        <f>$K410-$X410</f>
      </c>
      <c r="AD410" s="7">
        <f>$L410-$Y410</f>
      </c>
      <c r="AE410" s="7">
        <f>AA410/39.3701</f>
      </c>
      <c r="AF410" s="7">
        <f>AB410/39.3701</f>
      </c>
      <c r="AG410" s="7">
        <f>AC410/39.3701</f>
      </c>
      <c r="AH410" s="7">
        <f>AD410/39.3701</f>
      </c>
      <c r="AI410" s="1"/>
      <c r="AJ410" s="1"/>
      <c r="AK410" s="1"/>
      <c r="AL410" s="1"/>
      <c r="AM410" s="2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</row>
    <row x14ac:dyDescent="0.25" r="411" customHeight="1" ht="18.75">
      <c r="A411" s="1"/>
      <c r="B411" s="2"/>
      <c r="C411" s="2"/>
      <c r="D411" s="2"/>
      <c r="E411" s="2"/>
      <c r="F411" s="2"/>
      <c r="G411" s="1"/>
      <c r="H411" s="1"/>
      <c r="I411" s="7">
        <v>0.408</v>
      </c>
      <c r="J411" s="7">
        <f>IF((I411-ROUNDDOWN(I411,0))=0, 0, (I411-ROUNDDOWN(I411,0)))</f>
      </c>
      <c r="K411" s="7">
        <f>INDIRECT("C$"&amp;2+MIN(2,ROUNDDOWN(I411,0))*3)*(-$J411^3+3*$J411^2-3*$J411+1)+INDIRECT("C$"&amp;3+MIN(2,ROUNDDOWN(I411,0))*3)*(3*$J411^3-6*$J411^2+3*$J411)+INDIRECT("C$"&amp;4+MIN(2,ROUNDDOWN(I411,0))*3)*(-3*$J411^3+3*$J411^2)+INDIRECT("C$"&amp;5+MIN(2,ROUNDDOWN(I411,0))*3)*$J411^3</f>
      </c>
      <c r="L411" s="7">
        <f>INDIRECT("D$"&amp;2+MIN(2,ROUNDDOWN(I411,0))*3)*(-$J411^3+3*$J411^2-3*$J411+1)+INDIRECT("D$"&amp;3+MIN(2,ROUNDDOWN(I411,0))*3)*(3*$J411^3-6*$J411^2+3*$J411)+INDIRECT("D$"&amp;4+MIN(2,ROUNDDOWN(I411,0))*3)*(-3*$J411^3+3*$J411^2)+INDIRECT("D$"&amp;5+MIN(2,ROUNDDOWN(I411,0))*3)*$J411^3</f>
      </c>
      <c r="M411" s="7">
        <f>SQRT(K411^2+L411^2)</f>
      </c>
      <c r="N411" s="7">
        <f>(K412-K410)</f>
      </c>
      <c r="O411" s="7">
        <f>+(L412-L410)</f>
      </c>
      <c r="P411" s="7">
        <f>SQRT(O411^2+N411^2)</f>
      </c>
      <c r="Q411" s="7">
        <f>N411/$P411</f>
      </c>
      <c r="R411" s="7">
        <f>O411/$P411</f>
      </c>
      <c r="S411" s="8">
        <f>Q411^2+R411^2</f>
      </c>
      <c r="T411" s="7">
        <f>-R411</f>
      </c>
      <c r="U411" s="7">
        <f>Q411</f>
      </c>
      <c r="V411" s="7">
        <f>($C$14+($C$15-$C$14)/($D$15-$D$14)*(I411-$D$14))/2</f>
      </c>
      <c r="W411" s="7">
        <f>($B$22*I411^4+$C$22*I411^3+$D$22*I411^2+$E$22*I411+$F$22)/2</f>
      </c>
      <c r="X411" s="7">
        <f>($W411)*(T411)</f>
      </c>
      <c r="Y411" s="7">
        <f>($W411)*(U411)</f>
      </c>
      <c r="Z411" s="7">
        <f>SQRT(X411^2+Y411^2)</f>
      </c>
      <c r="AA411" s="7">
        <f>$K411+$X411</f>
      </c>
      <c r="AB411" s="7">
        <f>$L411+$Y411</f>
      </c>
      <c r="AC411" s="7">
        <f>$K411-$X411</f>
      </c>
      <c r="AD411" s="7">
        <f>$L411-$Y411</f>
      </c>
      <c r="AE411" s="7">
        <f>AA411/39.3701</f>
      </c>
      <c r="AF411" s="7">
        <f>AB411/39.3701</f>
      </c>
      <c r="AG411" s="7">
        <f>AC411/39.3701</f>
      </c>
      <c r="AH411" s="7">
        <f>AD411/39.3701</f>
      </c>
      <c r="AI411" s="1"/>
      <c r="AJ411" s="1"/>
      <c r="AK411" s="1"/>
      <c r="AL411" s="1"/>
      <c r="AM411" s="2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</row>
    <row x14ac:dyDescent="0.25" r="412" customHeight="1" ht="18.75">
      <c r="A412" s="1"/>
      <c r="B412" s="2"/>
      <c r="C412" s="2"/>
      <c r="D412" s="2"/>
      <c r="E412" s="2"/>
      <c r="F412" s="2"/>
      <c r="G412" s="1"/>
      <c r="H412" s="1"/>
      <c r="I412" s="7">
        <v>0.409</v>
      </c>
      <c r="J412" s="7">
        <f>IF((I412-ROUNDDOWN(I412,0))=0, 0, (I412-ROUNDDOWN(I412,0)))</f>
      </c>
      <c r="K412" s="7">
        <f>INDIRECT("C$"&amp;2+MIN(2,ROUNDDOWN(I412,0))*3)*(-$J412^3+3*$J412^2-3*$J412+1)+INDIRECT("C$"&amp;3+MIN(2,ROUNDDOWN(I412,0))*3)*(3*$J412^3-6*$J412^2+3*$J412)+INDIRECT("C$"&amp;4+MIN(2,ROUNDDOWN(I412,0))*3)*(-3*$J412^3+3*$J412^2)+INDIRECT("C$"&amp;5+MIN(2,ROUNDDOWN(I412,0))*3)*$J412^3</f>
      </c>
      <c r="L412" s="7">
        <f>INDIRECT("D$"&amp;2+MIN(2,ROUNDDOWN(I412,0))*3)*(-$J412^3+3*$J412^2-3*$J412+1)+INDIRECT("D$"&amp;3+MIN(2,ROUNDDOWN(I412,0))*3)*(3*$J412^3-6*$J412^2+3*$J412)+INDIRECT("D$"&amp;4+MIN(2,ROUNDDOWN(I412,0))*3)*(-3*$J412^3+3*$J412^2)+INDIRECT("D$"&amp;5+MIN(2,ROUNDDOWN(I412,0))*3)*$J412^3</f>
      </c>
      <c r="M412" s="7">
        <f>SQRT(K412^2+L412^2)</f>
      </c>
      <c r="N412" s="7">
        <f>(K413-K411)</f>
      </c>
      <c r="O412" s="7">
        <f>+(L413-L411)</f>
      </c>
      <c r="P412" s="7">
        <f>SQRT(O412^2+N412^2)</f>
      </c>
      <c r="Q412" s="7">
        <f>N412/$P412</f>
      </c>
      <c r="R412" s="7">
        <f>O412/$P412</f>
      </c>
      <c r="S412" s="7">
        <f>Q412^2+R412^2</f>
      </c>
      <c r="T412" s="7">
        <f>-R412</f>
      </c>
      <c r="U412" s="7">
        <f>Q412</f>
      </c>
      <c r="V412" s="7">
        <f>($C$14+($C$15-$C$14)/($D$15-$D$14)*(I412-$D$14))/2</f>
      </c>
      <c r="W412" s="7">
        <f>($B$22*I412^4+$C$22*I412^3+$D$22*I412^2+$E$22*I412+$F$22)/2</f>
      </c>
      <c r="X412" s="7">
        <f>($W412)*(T412)</f>
      </c>
      <c r="Y412" s="7">
        <f>($W412)*(U412)</f>
      </c>
      <c r="Z412" s="7">
        <f>SQRT(X412^2+Y412^2)</f>
      </c>
      <c r="AA412" s="7">
        <f>$K412+$X412</f>
      </c>
      <c r="AB412" s="7">
        <f>$L412+$Y412</f>
      </c>
      <c r="AC412" s="7">
        <f>$K412-$X412</f>
      </c>
      <c r="AD412" s="7">
        <f>$L412-$Y412</f>
      </c>
      <c r="AE412" s="7">
        <f>AA412/39.3701</f>
      </c>
      <c r="AF412" s="7">
        <f>AB412/39.3701</f>
      </c>
      <c r="AG412" s="7">
        <f>AC412/39.3701</f>
      </c>
      <c r="AH412" s="7">
        <f>AD412/39.3701</f>
      </c>
      <c r="AI412" s="1"/>
      <c r="AJ412" s="1"/>
      <c r="AK412" s="1"/>
      <c r="AL412" s="1"/>
      <c r="AM412" s="2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</row>
    <row x14ac:dyDescent="0.25" r="413" customHeight="1" ht="18.75">
      <c r="A413" s="1"/>
      <c r="B413" s="2"/>
      <c r="C413" s="2"/>
      <c r="D413" s="2"/>
      <c r="E413" s="2"/>
      <c r="F413" s="2"/>
      <c r="G413" s="1"/>
      <c r="H413" s="1"/>
      <c r="I413" s="7">
        <v>0.41</v>
      </c>
      <c r="J413" s="7">
        <f>IF((I413-ROUNDDOWN(I413,0))=0, 0, (I413-ROUNDDOWN(I413,0)))</f>
      </c>
      <c r="K413" s="7">
        <f>INDIRECT("C$"&amp;2+MIN(2,ROUNDDOWN(I413,0))*3)*(-$J413^3+3*$J413^2-3*$J413+1)+INDIRECT("C$"&amp;3+MIN(2,ROUNDDOWN(I413,0))*3)*(3*$J413^3-6*$J413^2+3*$J413)+INDIRECT("C$"&amp;4+MIN(2,ROUNDDOWN(I413,0))*3)*(-3*$J413^3+3*$J413^2)+INDIRECT("C$"&amp;5+MIN(2,ROUNDDOWN(I413,0))*3)*$J413^3</f>
      </c>
      <c r="L413" s="7">
        <f>INDIRECT("D$"&amp;2+MIN(2,ROUNDDOWN(I413,0))*3)*(-$J413^3+3*$J413^2-3*$J413+1)+INDIRECT("D$"&amp;3+MIN(2,ROUNDDOWN(I413,0))*3)*(3*$J413^3-6*$J413^2+3*$J413)+INDIRECT("D$"&amp;4+MIN(2,ROUNDDOWN(I413,0))*3)*(-3*$J413^3+3*$J413^2)+INDIRECT("D$"&amp;5+MIN(2,ROUNDDOWN(I413,0))*3)*$J413^3</f>
      </c>
      <c r="M413" s="7">
        <f>SQRT(K413^2+L413^2)</f>
      </c>
      <c r="N413" s="7">
        <f>(K414-K412)</f>
      </c>
      <c r="O413" s="7">
        <f>+(L414-L412)</f>
      </c>
      <c r="P413" s="7">
        <f>SQRT(O413^2+N413^2)</f>
      </c>
      <c r="Q413" s="7">
        <f>N413/$P413</f>
      </c>
      <c r="R413" s="7">
        <f>O413/$P413</f>
      </c>
      <c r="S413" s="7">
        <f>Q413^2+R413^2</f>
      </c>
      <c r="T413" s="7">
        <f>-R413</f>
      </c>
      <c r="U413" s="7">
        <f>Q413</f>
      </c>
      <c r="V413" s="7">
        <f>($C$14+($C$15-$C$14)/($D$15-$D$14)*(I413-$D$14))/2</f>
      </c>
      <c r="W413" s="7">
        <f>($B$22*I413^4+$C$22*I413^3+$D$22*I413^2+$E$22*I413+$F$22)/2</f>
      </c>
      <c r="X413" s="7">
        <f>($W413)*(T413)</f>
      </c>
      <c r="Y413" s="7">
        <f>($W413)*(U413)</f>
      </c>
      <c r="Z413" s="7">
        <f>SQRT(X413^2+Y413^2)</f>
      </c>
      <c r="AA413" s="7">
        <f>$K413+$X413</f>
      </c>
      <c r="AB413" s="7">
        <f>$L413+$Y413</f>
      </c>
      <c r="AC413" s="7">
        <f>$K413-$X413</f>
      </c>
      <c r="AD413" s="7">
        <f>$L413-$Y413</f>
      </c>
      <c r="AE413" s="7">
        <f>AA413/39.3701</f>
      </c>
      <c r="AF413" s="7">
        <f>AB413/39.3701</f>
      </c>
      <c r="AG413" s="7">
        <f>AC413/39.3701</f>
      </c>
      <c r="AH413" s="7">
        <f>AD413/39.3701</f>
      </c>
      <c r="AI413" s="1"/>
      <c r="AJ413" s="1"/>
      <c r="AK413" s="1"/>
      <c r="AL413" s="1"/>
      <c r="AM413" s="2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</row>
    <row x14ac:dyDescent="0.25" r="414" customHeight="1" ht="18.75">
      <c r="A414" s="1"/>
      <c r="B414" s="2"/>
      <c r="C414" s="2"/>
      <c r="D414" s="2"/>
      <c r="E414" s="2"/>
      <c r="F414" s="2"/>
      <c r="G414" s="1"/>
      <c r="H414" s="1"/>
      <c r="I414" s="7">
        <v>0.411</v>
      </c>
      <c r="J414" s="7">
        <f>IF((I414-ROUNDDOWN(I414,0))=0, 0, (I414-ROUNDDOWN(I414,0)))</f>
      </c>
      <c r="K414" s="7">
        <f>INDIRECT("C$"&amp;2+MIN(2,ROUNDDOWN(I414,0))*3)*(-$J414^3+3*$J414^2-3*$J414+1)+INDIRECT("C$"&amp;3+MIN(2,ROUNDDOWN(I414,0))*3)*(3*$J414^3-6*$J414^2+3*$J414)+INDIRECT("C$"&amp;4+MIN(2,ROUNDDOWN(I414,0))*3)*(-3*$J414^3+3*$J414^2)+INDIRECT("C$"&amp;5+MIN(2,ROUNDDOWN(I414,0))*3)*$J414^3</f>
      </c>
      <c r="L414" s="7">
        <f>INDIRECT("D$"&amp;2+MIN(2,ROUNDDOWN(I414,0))*3)*(-$J414^3+3*$J414^2-3*$J414+1)+INDIRECT("D$"&amp;3+MIN(2,ROUNDDOWN(I414,0))*3)*(3*$J414^3-6*$J414^2+3*$J414)+INDIRECT("D$"&amp;4+MIN(2,ROUNDDOWN(I414,0))*3)*(-3*$J414^3+3*$J414^2)+INDIRECT("D$"&amp;5+MIN(2,ROUNDDOWN(I414,0))*3)*$J414^3</f>
      </c>
      <c r="M414" s="7">
        <f>SQRT(K414^2+L414^2)</f>
      </c>
      <c r="N414" s="7">
        <f>(K415-K413)</f>
      </c>
      <c r="O414" s="7">
        <f>+(L415-L413)</f>
      </c>
      <c r="P414" s="7">
        <f>SQRT(O414^2+N414^2)</f>
      </c>
      <c r="Q414" s="7">
        <f>N414/$P414</f>
      </c>
      <c r="R414" s="7">
        <f>O414/$P414</f>
      </c>
      <c r="S414" s="7">
        <f>Q414^2+R414^2</f>
      </c>
      <c r="T414" s="7">
        <f>-R414</f>
      </c>
      <c r="U414" s="7">
        <f>Q414</f>
      </c>
      <c r="V414" s="7">
        <f>($C$14+($C$15-$C$14)/($D$15-$D$14)*(I414-$D$14))/2</f>
      </c>
      <c r="W414" s="7">
        <f>($B$22*I414^4+$C$22*I414^3+$D$22*I414^2+$E$22*I414+$F$22)/2</f>
      </c>
      <c r="X414" s="7">
        <f>($W414)*(T414)</f>
      </c>
      <c r="Y414" s="7">
        <f>($W414)*(U414)</f>
      </c>
      <c r="Z414" s="7">
        <f>SQRT(X414^2+Y414^2)</f>
      </c>
      <c r="AA414" s="7">
        <f>$K414+$X414</f>
      </c>
      <c r="AB414" s="7">
        <f>$L414+$Y414</f>
      </c>
      <c r="AC414" s="7">
        <f>$K414-$X414</f>
      </c>
      <c r="AD414" s="7">
        <f>$L414-$Y414</f>
      </c>
      <c r="AE414" s="7">
        <f>AA414/39.3701</f>
      </c>
      <c r="AF414" s="7">
        <f>AB414/39.3701</f>
      </c>
      <c r="AG414" s="7">
        <f>AC414/39.3701</f>
      </c>
      <c r="AH414" s="7">
        <f>AD414/39.3701</f>
      </c>
      <c r="AI414" s="1"/>
      <c r="AJ414" s="1"/>
      <c r="AK414" s="1"/>
      <c r="AL414" s="1"/>
      <c r="AM414" s="2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</row>
    <row x14ac:dyDescent="0.25" r="415" customHeight="1" ht="18.75">
      <c r="A415" s="1"/>
      <c r="B415" s="2"/>
      <c r="C415" s="2"/>
      <c r="D415" s="2"/>
      <c r="E415" s="2"/>
      <c r="F415" s="2"/>
      <c r="G415" s="1"/>
      <c r="H415" s="1"/>
      <c r="I415" s="7">
        <v>0.412</v>
      </c>
      <c r="J415" s="7">
        <f>IF((I415-ROUNDDOWN(I415,0))=0, 0, (I415-ROUNDDOWN(I415,0)))</f>
      </c>
      <c r="K415" s="7">
        <f>INDIRECT("C$"&amp;2+MIN(2,ROUNDDOWN(I415,0))*3)*(-$J415^3+3*$J415^2-3*$J415+1)+INDIRECT("C$"&amp;3+MIN(2,ROUNDDOWN(I415,0))*3)*(3*$J415^3-6*$J415^2+3*$J415)+INDIRECT("C$"&amp;4+MIN(2,ROUNDDOWN(I415,0))*3)*(-3*$J415^3+3*$J415^2)+INDIRECT("C$"&amp;5+MIN(2,ROUNDDOWN(I415,0))*3)*$J415^3</f>
      </c>
      <c r="L415" s="7">
        <f>INDIRECT("D$"&amp;2+MIN(2,ROUNDDOWN(I415,0))*3)*(-$J415^3+3*$J415^2-3*$J415+1)+INDIRECT("D$"&amp;3+MIN(2,ROUNDDOWN(I415,0))*3)*(3*$J415^3-6*$J415^2+3*$J415)+INDIRECT("D$"&amp;4+MIN(2,ROUNDDOWN(I415,0))*3)*(-3*$J415^3+3*$J415^2)+INDIRECT("D$"&amp;5+MIN(2,ROUNDDOWN(I415,0))*3)*$J415^3</f>
      </c>
      <c r="M415" s="7">
        <f>SQRT(K415^2+L415^2)</f>
      </c>
      <c r="N415" s="7">
        <f>(K416-K414)</f>
      </c>
      <c r="O415" s="7">
        <f>+(L416-L414)</f>
      </c>
      <c r="P415" s="7">
        <f>SQRT(O415^2+N415^2)</f>
      </c>
      <c r="Q415" s="7">
        <f>N415/$P415</f>
      </c>
      <c r="R415" s="7">
        <f>O415/$P415</f>
      </c>
      <c r="S415" s="7">
        <f>Q415^2+R415^2</f>
      </c>
      <c r="T415" s="7">
        <f>-R415</f>
      </c>
      <c r="U415" s="7">
        <f>Q415</f>
      </c>
      <c r="V415" s="7">
        <f>($C$14+($C$15-$C$14)/($D$15-$D$14)*(I415-$D$14))/2</f>
      </c>
      <c r="W415" s="7">
        <f>($B$22*I415^4+$C$22*I415^3+$D$22*I415^2+$E$22*I415+$F$22)/2</f>
      </c>
      <c r="X415" s="7">
        <f>($W415)*(T415)</f>
      </c>
      <c r="Y415" s="7">
        <f>($W415)*(U415)</f>
      </c>
      <c r="Z415" s="7">
        <f>SQRT(X415^2+Y415^2)</f>
      </c>
      <c r="AA415" s="7">
        <f>$K415+$X415</f>
      </c>
      <c r="AB415" s="7">
        <f>$L415+$Y415</f>
      </c>
      <c r="AC415" s="7">
        <f>$K415-$X415</f>
      </c>
      <c r="AD415" s="7">
        <f>$L415-$Y415</f>
      </c>
      <c r="AE415" s="7">
        <f>AA415/39.3701</f>
      </c>
      <c r="AF415" s="7">
        <f>AB415/39.3701</f>
      </c>
      <c r="AG415" s="7">
        <f>AC415/39.3701</f>
      </c>
      <c r="AH415" s="7">
        <f>AD415/39.3701</f>
      </c>
      <c r="AI415" s="1"/>
      <c r="AJ415" s="1"/>
      <c r="AK415" s="1"/>
      <c r="AL415" s="1"/>
      <c r="AM415" s="2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</row>
    <row x14ac:dyDescent="0.25" r="416" customHeight="1" ht="18.75">
      <c r="A416" s="1"/>
      <c r="B416" s="2"/>
      <c r="C416" s="2"/>
      <c r="D416" s="2"/>
      <c r="E416" s="2"/>
      <c r="F416" s="2"/>
      <c r="G416" s="1"/>
      <c r="H416" s="1"/>
      <c r="I416" s="7">
        <v>0.413</v>
      </c>
      <c r="J416" s="7">
        <f>IF((I416-ROUNDDOWN(I416,0))=0, 0, (I416-ROUNDDOWN(I416,0)))</f>
      </c>
      <c r="K416" s="7">
        <f>INDIRECT("C$"&amp;2+MIN(2,ROUNDDOWN(I416,0))*3)*(-$J416^3+3*$J416^2-3*$J416+1)+INDIRECT("C$"&amp;3+MIN(2,ROUNDDOWN(I416,0))*3)*(3*$J416^3-6*$J416^2+3*$J416)+INDIRECT("C$"&amp;4+MIN(2,ROUNDDOWN(I416,0))*3)*(-3*$J416^3+3*$J416^2)+INDIRECT("C$"&amp;5+MIN(2,ROUNDDOWN(I416,0))*3)*$J416^3</f>
      </c>
      <c r="L416" s="7">
        <f>INDIRECT("D$"&amp;2+MIN(2,ROUNDDOWN(I416,0))*3)*(-$J416^3+3*$J416^2-3*$J416+1)+INDIRECT("D$"&amp;3+MIN(2,ROUNDDOWN(I416,0))*3)*(3*$J416^3-6*$J416^2+3*$J416)+INDIRECT("D$"&amp;4+MIN(2,ROUNDDOWN(I416,0))*3)*(-3*$J416^3+3*$J416^2)+INDIRECT("D$"&amp;5+MIN(2,ROUNDDOWN(I416,0))*3)*$J416^3</f>
      </c>
      <c r="M416" s="7">
        <f>SQRT(K416^2+L416^2)</f>
      </c>
      <c r="N416" s="7">
        <f>(K417-K415)</f>
      </c>
      <c r="O416" s="7">
        <f>+(L417-L415)</f>
      </c>
      <c r="P416" s="7">
        <f>SQRT(O416^2+N416^2)</f>
      </c>
      <c r="Q416" s="7">
        <f>N416/$P416</f>
      </c>
      <c r="R416" s="7">
        <f>O416/$P416</f>
      </c>
      <c r="S416" s="7">
        <f>Q416^2+R416^2</f>
      </c>
      <c r="T416" s="7">
        <f>-R416</f>
      </c>
      <c r="U416" s="7">
        <f>Q416</f>
      </c>
      <c r="V416" s="7">
        <f>($C$14+($C$15-$C$14)/($D$15-$D$14)*(I416-$D$14))/2</f>
      </c>
      <c r="W416" s="7">
        <f>($B$22*I416^4+$C$22*I416^3+$D$22*I416^2+$E$22*I416+$F$22)/2</f>
      </c>
      <c r="X416" s="7">
        <f>($W416)*(T416)</f>
      </c>
      <c r="Y416" s="7">
        <f>($W416)*(U416)</f>
      </c>
      <c r="Z416" s="7">
        <f>SQRT(X416^2+Y416^2)</f>
      </c>
      <c r="AA416" s="7">
        <f>$K416+$X416</f>
      </c>
      <c r="AB416" s="7">
        <f>$L416+$Y416</f>
      </c>
      <c r="AC416" s="7">
        <f>$K416-$X416</f>
      </c>
      <c r="AD416" s="7">
        <f>$L416-$Y416</f>
      </c>
      <c r="AE416" s="7">
        <f>AA416/39.3701</f>
      </c>
      <c r="AF416" s="7">
        <f>AB416/39.3701</f>
      </c>
      <c r="AG416" s="7">
        <f>AC416/39.3701</f>
      </c>
      <c r="AH416" s="7">
        <f>AD416/39.3701</f>
      </c>
      <c r="AI416" s="1"/>
      <c r="AJ416" s="1"/>
      <c r="AK416" s="1"/>
      <c r="AL416" s="1"/>
      <c r="AM416" s="2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</row>
    <row x14ac:dyDescent="0.25" r="417" customHeight="1" ht="18.75">
      <c r="A417" s="1"/>
      <c r="B417" s="2"/>
      <c r="C417" s="2"/>
      <c r="D417" s="2"/>
      <c r="E417" s="2"/>
      <c r="F417" s="2"/>
      <c r="G417" s="1"/>
      <c r="H417" s="1"/>
      <c r="I417" s="7">
        <v>0.414</v>
      </c>
      <c r="J417" s="7">
        <f>IF((I417-ROUNDDOWN(I417,0))=0, 0, (I417-ROUNDDOWN(I417,0)))</f>
      </c>
      <c r="K417" s="7">
        <f>INDIRECT("C$"&amp;2+MIN(2,ROUNDDOWN(I417,0))*3)*(-$J417^3+3*$J417^2-3*$J417+1)+INDIRECT("C$"&amp;3+MIN(2,ROUNDDOWN(I417,0))*3)*(3*$J417^3-6*$J417^2+3*$J417)+INDIRECT("C$"&amp;4+MIN(2,ROUNDDOWN(I417,0))*3)*(-3*$J417^3+3*$J417^2)+INDIRECT("C$"&amp;5+MIN(2,ROUNDDOWN(I417,0))*3)*$J417^3</f>
      </c>
      <c r="L417" s="7">
        <f>INDIRECT("D$"&amp;2+MIN(2,ROUNDDOWN(I417,0))*3)*(-$J417^3+3*$J417^2-3*$J417+1)+INDIRECT("D$"&amp;3+MIN(2,ROUNDDOWN(I417,0))*3)*(3*$J417^3-6*$J417^2+3*$J417)+INDIRECT("D$"&amp;4+MIN(2,ROUNDDOWN(I417,0))*3)*(-3*$J417^3+3*$J417^2)+INDIRECT("D$"&amp;5+MIN(2,ROUNDDOWN(I417,0))*3)*$J417^3</f>
      </c>
      <c r="M417" s="7">
        <f>SQRT(K417^2+L417^2)</f>
      </c>
      <c r="N417" s="7">
        <f>(K418-K416)</f>
      </c>
      <c r="O417" s="7">
        <f>+(L418-L416)</f>
      </c>
      <c r="P417" s="7">
        <f>SQRT(O417^2+N417^2)</f>
      </c>
      <c r="Q417" s="7">
        <f>N417/$P417</f>
      </c>
      <c r="R417" s="7">
        <f>O417/$P417</f>
      </c>
      <c r="S417" s="8">
        <f>Q417^2+R417^2</f>
      </c>
      <c r="T417" s="7">
        <f>-R417</f>
      </c>
      <c r="U417" s="7">
        <f>Q417</f>
      </c>
      <c r="V417" s="7">
        <f>($C$14+($C$15-$C$14)/($D$15-$D$14)*(I417-$D$14))/2</f>
      </c>
      <c r="W417" s="7">
        <f>($B$22*I417^4+$C$22*I417^3+$D$22*I417^2+$E$22*I417+$F$22)/2</f>
      </c>
      <c r="X417" s="7">
        <f>($W417)*(T417)</f>
      </c>
      <c r="Y417" s="7">
        <f>($W417)*(U417)</f>
      </c>
      <c r="Z417" s="7">
        <f>SQRT(X417^2+Y417^2)</f>
      </c>
      <c r="AA417" s="7">
        <f>$K417+$X417</f>
      </c>
      <c r="AB417" s="7">
        <f>$L417+$Y417</f>
      </c>
      <c r="AC417" s="7">
        <f>$K417-$X417</f>
      </c>
      <c r="AD417" s="7">
        <f>$L417-$Y417</f>
      </c>
      <c r="AE417" s="7">
        <f>AA417/39.3701</f>
      </c>
      <c r="AF417" s="7">
        <f>AB417/39.3701</f>
      </c>
      <c r="AG417" s="7">
        <f>AC417/39.3701</f>
      </c>
      <c r="AH417" s="7">
        <f>AD417/39.3701</f>
      </c>
      <c r="AI417" s="1"/>
      <c r="AJ417" s="1"/>
      <c r="AK417" s="1"/>
      <c r="AL417" s="1"/>
      <c r="AM417" s="2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</row>
    <row x14ac:dyDescent="0.25" r="418" customHeight="1" ht="18.75">
      <c r="A418" s="1"/>
      <c r="B418" s="2"/>
      <c r="C418" s="2"/>
      <c r="D418" s="2"/>
      <c r="E418" s="2"/>
      <c r="F418" s="2"/>
      <c r="G418" s="1"/>
      <c r="H418" s="1"/>
      <c r="I418" s="7">
        <v>0.415</v>
      </c>
      <c r="J418" s="7">
        <f>IF((I418-ROUNDDOWN(I418,0))=0, 0, (I418-ROUNDDOWN(I418,0)))</f>
      </c>
      <c r="K418" s="7">
        <f>INDIRECT("C$"&amp;2+MIN(2,ROUNDDOWN(I418,0))*3)*(-$J418^3+3*$J418^2-3*$J418+1)+INDIRECT("C$"&amp;3+MIN(2,ROUNDDOWN(I418,0))*3)*(3*$J418^3-6*$J418^2+3*$J418)+INDIRECT("C$"&amp;4+MIN(2,ROUNDDOWN(I418,0))*3)*(-3*$J418^3+3*$J418^2)+INDIRECT("C$"&amp;5+MIN(2,ROUNDDOWN(I418,0))*3)*$J418^3</f>
      </c>
      <c r="L418" s="7">
        <f>INDIRECT("D$"&amp;2+MIN(2,ROUNDDOWN(I418,0))*3)*(-$J418^3+3*$J418^2-3*$J418+1)+INDIRECT("D$"&amp;3+MIN(2,ROUNDDOWN(I418,0))*3)*(3*$J418^3-6*$J418^2+3*$J418)+INDIRECT("D$"&amp;4+MIN(2,ROUNDDOWN(I418,0))*3)*(-3*$J418^3+3*$J418^2)+INDIRECT("D$"&amp;5+MIN(2,ROUNDDOWN(I418,0))*3)*$J418^3</f>
      </c>
      <c r="M418" s="7">
        <f>SQRT(K418^2+L418^2)</f>
      </c>
      <c r="N418" s="7">
        <f>(K419-K417)</f>
      </c>
      <c r="O418" s="7">
        <f>+(L419-L417)</f>
      </c>
      <c r="P418" s="7">
        <f>SQRT(O418^2+N418^2)</f>
      </c>
      <c r="Q418" s="7">
        <f>N418/$P418</f>
      </c>
      <c r="R418" s="7">
        <f>O418/$P418</f>
      </c>
      <c r="S418" s="7">
        <f>Q418^2+R418^2</f>
      </c>
      <c r="T418" s="7">
        <f>-R418</f>
      </c>
      <c r="U418" s="7">
        <f>Q418</f>
      </c>
      <c r="V418" s="7">
        <f>($C$14+($C$15-$C$14)/($D$15-$D$14)*(I418-$D$14))/2</f>
      </c>
      <c r="W418" s="7">
        <f>($B$22*I418^4+$C$22*I418^3+$D$22*I418^2+$E$22*I418+$F$22)/2</f>
      </c>
      <c r="X418" s="7">
        <f>($W418)*(T418)</f>
      </c>
      <c r="Y418" s="7">
        <f>($W418)*(U418)</f>
      </c>
      <c r="Z418" s="7">
        <f>SQRT(X418^2+Y418^2)</f>
      </c>
      <c r="AA418" s="7">
        <f>$K418+$X418</f>
      </c>
      <c r="AB418" s="7">
        <f>$L418+$Y418</f>
      </c>
      <c r="AC418" s="7">
        <f>$K418-$X418</f>
      </c>
      <c r="AD418" s="7">
        <f>$L418-$Y418</f>
      </c>
      <c r="AE418" s="7">
        <f>AA418/39.3701</f>
      </c>
      <c r="AF418" s="7">
        <f>AB418/39.3701</f>
      </c>
      <c r="AG418" s="7">
        <f>AC418/39.3701</f>
      </c>
      <c r="AH418" s="7">
        <f>AD418/39.3701</f>
      </c>
      <c r="AI418" s="1"/>
      <c r="AJ418" s="1"/>
      <c r="AK418" s="1"/>
      <c r="AL418" s="1"/>
      <c r="AM418" s="2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</row>
    <row x14ac:dyDescent="0.25" r="419" customHeight="1" ht="18.75">
      <c r="A419" s="1"/>
      <c r="B419" s="2"/>
      <c r="C419" s="2"/>
      <c r="D419" s="2"/>
      <c r="E419" s="2"/>
      <c r="F419" s="2"/>
      <c r="G419" s="1"/>
      <c r="H419" s="1"/>
      <c r="I419" s="7">
        <v>0.416</v>
      </c>
      <c r="J419" s="7">
        <f>IF((I419-ROUNDDOWN(I419,0))=0, 0, (I419-ROUNDDOWN(I419,0)))</f>
      </c>
      <c r="K419" s="7">
        <f>INDIRECT("C$"&amp;2+MIN(2,ROUNDDOWN(I419,0))*3)*(-$J419^3+3*$J419^2-3*$J419+1)+INDIRECT("C$"&amp;3+MIN(2,ROUNDDOWN(I419,0))*3)*(3*$J419^3-6*$J419^2+3*$J419)+INDIRECT("C$"&amp;4+MIN(2,ROUNDDOWN(I419,0))*3)*(-3*$J419^3+3*$J419^2)+INDIRECT("C$"&amp;5+MIN(2,ROUNDDOWN(I419,0))*3)*$J419^3</f>
      </c>
      <c r="L419" s="7">
        <f>INDIRECT("D$"&amp;2+MIN(2,ROUNDDOWN(I419,0))*3)*(-$J419^3+3*$J419^2-3*$J419+1)+INDIRECT("D$"&amp;3+MIN(2,ROUNDDOWN(I419,0))*3)*(3*$J419^3-6*$J419^2+3*$J419)+INDIRECT("D$"&amp;4+MIN(2,ROUNDDOWN(I419,0))*3)*(-3*$J419^3+3*$J419^2)+INDIRECT("D$"&amp;5+MIN(2,ROUNDDOWN(I419,0))*3)*$J419^3</f>
      </c>
      <c r="M419" s="7">
        <f>SQRT(K419^2+L419^2)</f>
      </c>
      <c r="N419" s="7">
        <f>(K420-K418)</f>
      </c>
      <c r="O419" s="7">
        <f>+(L420-L418)</f>
      </c>
      <c r="P419" s="7">
        <f>SQRT(O419^2+N419^2)</f>
      </c>
      <c r="Q419" s="7">
        <f>N419/$P419</f>
      </c>
      <c r="R419" s="7">
        <f>O419/$P419</f>
      </c>
      <c r="S419" s="7">
        <f>Q419^2+R419^2</f>
      </c>
      <c r="T419" s="7">
        <f>-R419</f>
      </c>
      <c r="U419" s="7">
        <f>Q419</f>
      </c>
      <c r="V419" s="7">
        <f>($C$14+($C$15-$C$14)/($D$15-$D$14)*(I419-$D$14))/2</f>
      </c>
      <c r="W419" s="7">
        <f>($B$22*I419^4+$C$22*I419^3+$D$22*I419^2+$E$22*I419+$F$22)/2</f>
      </c>
      <c r="X419" s="7">
        <f>($W419)*(T419)</f>
      </c>
      <c r="Y419" s="7">
        <f>($W419)*(U419)</f>
      </c>
      <c r="Z419" s="7">
        <f>SQRT(X419^2+Y419^2)</f>
      </c>
      <c r="AA419" s="7">
        <f>$K419+$X419</f>
      </c>
      <c r="AB419" s="7">
        <f>$L419+$Y419</f>
      </c>
      <c r="AC419" s="7">
        <f>$K419-$X419</f>
      </c>
      <c r="AD419" s="7">
        <f>$L419-$Y419</f>
      </c>
      <c r="AE419" s="7">
        <f>AA419/39.3701</f>
      </c>
      <c r="AF419" s="7">
        <f>AB419/39.3701</f>
      </c>
      <c r="AG419" s="7">
        <f>AC419/39.3701</f>
      </c>
      <c r="AH419" s="7">
        <f>AD419/39.3701</f>
      </c>
      <c r="AI419" s="1"/>
      <c r="AJ419" s="1"/>
      <c r="AK419" s="1"/>
      <c r="AL419" s="1"/>
      <c r="AM419" s="2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</row>
    <row x14ac:dyDescent="0.25" r="420" customHeight="1" ht="18.75">
      <c r="A420" s="1"/>
      <c r="B420" s="2"/>
      <c r="C420" s="2"/>
      <c r="D420" s="2"/>
      <c r="E420" s="2"/>
      <c r="F420" s="2"/>
      <c r="G420" s="1"/>
      <c r="H420" s="1"/>
      <c r="I420" s="7">
        <v>0.417</v>
      </c>
      <c r="J420" s="7">
        <f>IF((I420-ROUNDDOWN(I420,0))=0, 0, (I420-ROUNDDOWN(I420,0)))</f>
      </c>
      <c r="K420" s="7">
        <f>INDIRECT("C$"&amp;2+MIN(2,ROUNDDOWN(I420,0))*3)*(-$J420^3+3*$J420^2-3*$J420+1)+INDIRECT("C$"&amp;3+MIN(2,ROUNDDOWN(I420,0))*3)*(3*$J420^3-6*$J420^2+3*$J420)+INDIRECT("C$"&amp;4+MIN(2,ROUNDDOWN(I420,0))*3)*(-3*$J420^3+3*$J420^2)+INDIRECT("C$"&amp;5+MIN(2,ROUNDDOWN(I420,0))*3)*$J420^3</f>
      </c>
      <c r="L420" s="7">
        <f>INDIRECT("D$"&amp;2+MIN(2,ROUNDDOWN(I420,0))*3)*(-$J420^3+3*$J420^2-3*$J420+1)+INDIRECT("D$"&amp;3+MIN(2,ROUNDDOWN(I420,0))*3)*(3*$J420^3-6*$J420^2+3*$J420)+INDIRECT("D$"&amp;4+MIN(2,ROUNDDOWN(I420,0))*3)*(-3*$J420^3+3*$J420^2)+INDIRECT("D$"&amp;5+MIN(2,ROUNDDOWN(I420,0))*3)*$J420^3</f>
      </c>
      <c r="M420" s="7">
        <f>SQRT(K420^2+L420^2)</f>
      </c>
      <c r="N420" s="7">
        <f>(K421-K419)</f>
      </c>
      <c r="O420" s="7">
        <f>+(L421-L419)</f>
      </c>
      <c r="P420" s="7">
        <f>SQRT(O420^2+N420^2)</f>
      </c>
      <c r="Q420" s="7">
        <f>N420/$P420</f>
      </c>
      <c r="R420" s="7">
        <f>O420/$P420</f>
      </c>
      <c r="S420" s="8">
        <f>Q420^2+R420^2</f>
      </c>
      <c r="T420" s="7">
        <f>-R420</f>
      </c>
      <c r="U420" s="7">
        <f>Q420</f>
      </c>
      <c r="V420" s="7">
        <f>($C$14+($C$15-$C$14)/($D$15-$D$14)*(I420-$D$14))/2</f>
      </c>
      <c r="W420" s="7">
        <f>($B$22*I420^4+$C$22*I420^3+$D$22*I420^2+$E$22*I420+$F$22)/2</f>
      </c>
      <c r="X420" s="7">
        <f>($W420)*(T420)</f>
      </c>
      <c r="Y420" s="7">
        <f>($W420)*(U420)</f>
      </c>
      <c r="Z420" s="7">
        <f>SQRT(X420^2+Y420^2)</f>
      </c>
      <c r="AA420" s="7">
        <f>$K420+$X420</f>
      </c>
      <c r="AB420" s="7">
        <f>$L420+$Y420</f>
      </c>
      <c r="AC420" s="7">
        <f>$K420-$X420</f>
      </c>
      <c r="AD420" s="7">
        <f>$L420-$Y420</f>
      </c>
      <c r="AE420" s="7">
        <f>AA420/39.3701</f>
      </c>
      <c r="AF420" s="7">
        <f>AB420/39.3701</f>
      </c>
      <c r="AG420" s="7">
        <f>AC420/39.3701</f>
      </c>
      <c r="AH420" s="7">
        <f>AD420/39.3701</f>
      </c>
      <c r="AI420" s="1"/>
      <c r="AJ420" s="1"/>
      <c r="AK420" s="1"/>
      <c r="AL420" s="1"/>
      <c r="AM420" s="2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</row>
    <row x14ac:dyDescent="0.25" r="421" customHeight="1" ht="18.75">
      <c r="A421" s="1"/>
      <c r="B421" s="2"/>
      <c r="C421" s="2"/>
      <c r="D421" s="2"/>
      <c r="E421" s="2"/>
      <c r="F421" s="2"/>
      <c r="G421" s="1"/>
      <c r="H421" s="1"/>
      <c r="I421" s="7">
        <v>0.418</v>
      </c>
      <c r="J421" s="7">
        <f>IF((I421-ROUNDDOWN(I421,0))=0, 0, (I421-ROUNDDOWN(I421,0)))</f>
      </c>
      <c r="K421" s="7">
        <f>INDIRECT("C$"&amp;2+MIN(2,ROUNDDOWN(I421,0))*3)*(-$J421^3+3*$J421^2-3*$J421+1)+INDIRECT("C$"&amp;3+MIN(2,ROUNDDOWN(I421,0))*3)*(3*$J421^3-6*$J421^2+3*$J421)+INDIRECT("C$"&amp;4+MIN(2,ROUNDDOWN(I421,0))*3)*(-3*$J421^3+3*$J421^2)+INDIRECT("C$"&amp;5+MIN(2,ROUNDDOWN(I421,0))*3)*$J421^3</f>
      </c>
      <c r="L421" s="7">
        <f>INDIRECT("D$"&amp;2+MIN(2,ROUNDDOWN(I421,0))*3)*(-$J421^3+3*$J421^2-3*$J421+1)+INDIRECT("D$"&amp;3+MIN(2,ROUNDDOWN(I421,0))*3)*(3*$J421^3-6*$J421^2+3*$J421)+INDIRECT("D$"&amp;4+MIN(2,ROUNDDOWN(I421,0))*3)*(-3*$J421^3+3*$J421^2)+INDIRECT("D$"&amp;5+MIN(2,ROUNDDOWN(I421,0))*3)*$J421^3</f>
      </c>
      <c r="M421" s="7">
        <f>SQRT(K421^2+L421^2)</f>
      </c>
      <c r="N421" s="7">
        <f>(K422-K420)</f>
      </c>
      <c r="O421" s="7">
        <f>+(L422-L420)</f>
      </c>
      <c r="P421" s="7">
        <f>SQRT(O421^2+N421^2)</f>
      </c>
      <c r="Q421" s="7">
        <f>N421/$P421</f>
      </c>
      <c r="R421" s="7">
        <f>O421/$P421</f>
      </c>
      <c r="S421" s="8">
        <f>Q421^2+R421^2</f>
      </c>
      <c r="T421" s="7">
        <f>-R421</f>
      </c>
      <c r="U421" s="7">
        <f>Q421</f>
      </c>
      <c r="V421" s="7">
        <f>($C$14+($C$15-$C$14)/($D$15-$D$14)*(I421-$D$14))/2</f>
      </c>
      <c r="W421" s="7">
        <f>($B$22*I421^4+$C$22*I421^3+$D$22*I421^2+$E$22*I421+$F$22)/2</f>
      </c>
      <c r="X421" s="7">
        <f>($W421)*(T421)</f>
      </c>
      <c r="Y421" s="7">
        <f>($W421)*(U421)</f>
      </c>
      <c r="Z421" s="7">
        <f>SQRT(X421^2+Y421^2)</f>
      </c>
      <c r="AA421" s="7">
        <f>$K421+$X421</f>
      </c>
      <c r="AB421" s="7">
        <f>$L421+$Y421</f>
      </c>
      <c r="AC421" s="7">
        <f>$K421-$X421</f>
      </c>
      <c r="AD421" s="7">
        <f>$L421-$Y421</f>
      </c>
      <c r="AE421" s="7">
        <f>AA421/39.3701</f>
      </c>
      <c r="AF421" s="7">
        <f>AB421/39.3701</f>
      </c>
      <c r="AG421" s="7">
        <f>AC421/39.3701</f>
      </c>
      <c r="AH421" s="7">
        <f>AD421/39.3701</f>
      </c>
      <c r="AI421" s="1"/>
      <c r="AJ421" s="1"/>
      <c r="AK421" s="1"/>
      <c r="AL421" s="1"/>
      <c r="AM421" s="2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</row>
    <row x14ac:dyDescent="0.25" r="422" customHeight="1" ht="18.75">
      <c r="A422" s="1"/>
      <c r="B422" s="2"/>
      <c r="C422" s="2"/>
      <c r="D422" s="2"/>
      <c r="E422" s="2"/>
      <c r="F422" s="2"/>
      <c r="G422" s="1"/>
      <c r="H422" s="1"/>
      <c r="I422" s="7">
        <v>0.419</v>
      </c>
      <c r="J422" s="7">
        <f>IF((I422-ROUNDDOWN(I422,0))=0, 0, (I422-ROUNDDOWN(I422,0)))</f>
      </c>
      <c r="K422" s="7">
        <f>INDIRECT("C$"&amp;2+MIN(2,ROUNDDOWN(I422,0))*3)*(-$J422^3+3*$J422^2-3*$J422+1)+INDIRECT("C$"&amp;3+MIN(2,ROUNDDOWN(I422,0))*3)*(3*$J422^3-6*$J422^2+3*$J422)+INDIRECT("C$"&amp;4+MIN(2,ROUNDDOWN(I422,0))*3)*(-3*$J422^3+3*$J422^2)+INDIRECT("C$"&amp;5+MIN(2,ROUNDDOWN(I422,0))*3)*$J422^3</f>
      </c>
      <c r="L422" s="7">
        <f>INDIRECT("D$"&amp;2+MIN(2,ROUNDDOWN(I422,0))*3)*(-$J422^3+3*$J422^2-3*$J422+1)+INDIRECT("D$"&amp;3+MIN(2,ROUNDDOWN(I422,0))*3)*(3*$J422^3-6*$J422^2+3*$J422)+INDIRECT("D$"&amp;4+MIN(2,ROUNDDOWN(I422,0))*3)*(-3*$J422^3+3*$J422^2)+INDIRECT("D$"&amp;5+MIN(2,ROUNDDOWN(I422,0))*3)*$J422^3</f>
      </c>
      <c r="M422" s="7">
        <f>SQRT(K422^2+L422^2)</f>
      </c>
      <c r="N422" s="7">
        <f>(K423-K421)</f>
      </c>
      <c r="O422" s="7">
        <f>+(L423-L421)</f>
      </c>
      <c r="P422" s="7">
        <f>SQRT(O422^2+N422^2)</f>
      </c>
      <c r="Q422" s="7">
        <f>N422/$P422</f>
      </c>
      <c r="R422" s="7">
        <f>O422/$P422</f>
      </c>
      <c r="S422" s="8">
        <f>Q422^2+R422^2</f>
      </c>
      <c r="T422" s="7">
        <f>-R422</f>
      </c>
      <c r="U422" s="7">
        <f>Q422</f>
      </c>
      <c r="V422" s="7">
        <f>($C$14+($C$15-$C$14)/($D$15-$D$14)*(I422-$D$14))/2</f>
      </c>
      <c r="W422" s="7">
        <f>($B$22*I422^4+$C$22*I422^3+$D$22*I422^2+$E$22*I422+$F$22)/2</f>
      </c>
      <c r="X422" s="7">
        <f>($W422)*(T422)</f>
      </c>
      <c r="Y422" s="7">
        <f>($W422)*(U422)</f>
      </c>
      <c r="Z422" s="7">
        <f>SQRT(X422^2+Y422^2)</f>
      </c>
      <c r="AA422" s="7">
        <f>$K422+$X422</f>
      </c>
      <c r="AB422" s="7">
        <f>$L422+$Y422</f>
      </c>
      <c r="AC422" s="7">
        <f>$K422-$X422</f>
      </c>
      <c r="AD422" s="7">
        <f>$L422-$Y422</f>
      </c>
      <c r="AE422" s="7">
        <f>AA422/39.3701</f>
      </c>
      <c r="AF422" s="7">
        <f>AB422/39.3701</f>
      </c>
      <c r="AG422" s="7">
        <f>AC422/39.3701</f>
      </c>
      <c r="AH422" s="7">
        <f>AD422/39.3701</f>
      </c>
      <c r="AI422" s="1"/>
      <c r="AJ422" s="1"/>
      <c r="AK422" s="1"/>
      <c r="AL422" s="1"/>
      <c r="AM422" s="2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</row>
    <row x14ac:dyDescent="0.25" r="423" customHeight="1" ht="18.75">
      <c r="A423" s="1"/>
      <c r="B423" s="2"/>
      <c r="C423" s="2"/>
      <c r="D423" s="2"/>
      <c r="E423" s="2"/>
      <c r="F423" s="2"/>
      <c r="G423" s="1"/>
      <c r="H423" s="1"/>
      <c r="I423" s="7">
        <v>0.42</v>
      </c>
      <c r="J423" s="7">
        <f>IF((I423-ROUNDDOWN(I423,0))=0, 0, (I423-ROUNDDOWN(I423,0)))</f>
      </c>
      <c r="K423" s="7">
        <f>INDIRECT("C$"&amp;2+MIN(2,ROUNDDOWN(I423,0))*3)*(-$J423^3+3*$J423^2-3*$J423+1)+INDIRECT("C$"&amp;3+MIN(2,ROUNDDOWN(I423,0))*3)*(3*$J423^3-6*$J423^2+3*$J423)+INDIRECT("C$"&amp;4+MIN(2,ROUNDDOWN(I423,0))*3)*(-3*$J423^3+3*$J423^2)+INDIRECT("C$"&amp;5+MIN(2,ROUNDDOWN(I423,0))*3)*$J423^3</f>
      </c>
      <c r="L423" s="7">
        <f>INDIRECT("D$"&amp;2+MIN(2,ROUNDDOWN(I423,0))*3)*(-$J423^3+3*$J423^2-3*$J423+1)+INDIRECT("D$"&amp;3+MIN(2,ROUNDDOWN(I423,0))*3)*(3*$J423^3-6*$J423^2+3*$J423)+INDIRECT("D$"&amp;4+MIN(2,ROUNDDOWN(I423,0))*3)*(-3*$J423^3+3*$J423^2)+INDIRECT("D$"&amp;5+MIN(2,ROUNDDOWN(I423,0))*3)*$J423^3</f>
      </c>
      <c r="M423" s="7">
        <f>SQRT(K423^2+L423^2)</f>
      </c>
      <c r="N423" s="7">
        <f>(K424-K422)</f>
      </c>
      <c r="O423" s="7">
        <f>+(L424-L422)</f>
      </c>
      <c r="P423" s="7">
        <f>SQRT(O423^2+N423^2)</f>
      </c>
      <c r="Q423" s="7">
        <f>N423/$P423</f>
      </c>
      <c r="R423" s="7">
        <f>O423/$P423</f>
      </c>
      <c r="S423" s="8">
        <f>Q423^2+R423^2</f>
      </c>
      <c r="T423" s="7">
        <f>-R423</f>
      </c>
      <c r="U423" s="7">
        <f>Q423</f>
      </c>
      <c r="V423" s="7">
        <f>($C$14+($C$15-$C$14)/($D$15-$D$14)*(I423-$D$14))/2</f>
      </c>
      <c r="W423" s="7">
        <f>($B$22*I423^4+$C$22*I423^3+$D$22*I423^2+$E$22*I423+$F$22)/2</f>
      </c>
      <c r="X423" s="7">
        <f>($W423)*(T423)</f>
      </c>
      <c r="Y423" s="7">
        <f>($W423)*(U423)</f>
      </c>
      <c r="Z423" s="7">
        <f>SQRT(X423^2+Y423^2)</f>
      </c>
      <c r="AA423" s="7">
        <f>$K423+$X423</f>
      </c>
      <c r="AB423" s="7">
        <f>$L423+$Y423</f>
      </c>
      <c r="AC423" s="7">
        <f>$K423-$X423</f>
      </c>
      <c r="AD423" s="7">
        <f>$L423-$Y423</f>
      </c>
      <c r="AE423" s="7">
        <f>AA423/39.3701</f>
      </c>
      <c r="AF423" s="7">
        <f>AB423/39.3701</f>
      </c>
      <c r="AG423" s="7">
        <f>AC423/39.3701</f>
      </c>
      <c r="AH423" s="7">
        <f>AD423/39.3701</f>
      </c>
      <c r="AI423" s="1"/>
      <c r="AJ423" s="1"/>
      <c r="AK423" s="1"/>
      <c r="AL423" s="1"/>
      <c r="AM423" s="2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</row>
    <row x14ac:dyDescent="0.25" r="424" customHeight="1" ht="18.75">
      <c r="A424" s="1"/>
      <c r="B424" s="2"/>
      <c r="C424" s="2"/>
      <c r="D424" s="2"/>
      <c r="E424" s="2"/>
      <c r="F424" s="2"/>
      <c r="G424" s="1"/>
      <c r="H424" s="1"/>
      <c r="I424" s="7">
        <v>0.421</v>
      </c>
      <c r="J424" s="7">
        <f>IF((I424-ROUNDDOWN(I424,0))=0, 0, (I424-ROUNDDOWN(I424,0)))</f>
      </c>
      <c r="K424" s="7">
        <f>INDIRECT("C$"&amp;2+MIN(2,ROUNDDOWN(I424,0))*3)*(-$J424^3+3*$J424^2-3*$J424+1)+INDIRECT("C$"&amp;3+MIN(2,ROUNDDOWN(I424,0))*3)*(3*$J424^3-6*$J424^2+3*$J424)+INDIRECT("C$"&amp;4+MIN(2,ROUNDDOWN(I424,0))*3)*(-3*$J424^3+3*$J424^2)+INDIRECT("C$"&amp;5+MIN(2,ROUNDDOWN(I424,0))*3)*$J424^3</f>
      </c>
      <c r="L424" s="7">
        <f>INDIRECT("D$"&amp;2+MIN(2,ROUNDDOWN(I424,0))*3)*(-$J424^3+3*$J424^2-3*$J424+1)+INDIRECT("D$"&amp;3+MIN(2,ROUNDDOWN(I424,0))*3)*(3*$J424^3-6*$J424^2+3*$J424)+INDIRECT("D$"&amp;4+MIN(2,ROUNDDOWN(I424,0))*3)*(-3*$J424^3+3*$J424^2)+INDIRECT("D$"&amp;5+MIN(2,ROUNDDOWN(I424,0))*3)*$J424^3</f>
      </c>
      <c r="M424" s="7">
        <f>SQRT(K424^2+L424^2)</f>
      </c>
      <c r="N424" s="7">
        <f>(K425-K423)</f>
      </c>
      <c r="O424" s="7">
        <f>+(L425-L423)</f>
      </c>
      <c r="P424" s="7">
        <f>SQRT(O424^2+N424^2)</f>
      </c>
      <c r="Q424" s="7">
        <f>N424/$P424</f>
      </c>
      <c r="R424" s="7">
        <f>O424/$P424</f>
      </c>
      <c r="S424" s="7">
        <f>Q424^2+R424^2</f>
      </c>
      <c r="T424" s="7">
        <f>-R424</f>
      </c>
      <c r="U424" s="7">
        <f>Q424</f>
      </c>
      <c r="V424" s="7">
        <f>($C$14+($C$15-$C$14)/($D$15-$D$14)*(I424-$D$14))/2</f>
      </c>
      <c r="W424" s="7">
        <f>($B$22*I424^4+$C$22*I424^3+$D$22*I424^2+$E$22*I424+$F$22)/2</f>
      </c>
      <c r="X424" s="7">
        <f>($W424)*(T424)</f>
      </c>
      <c r="Y424" s="7">
        <f>($W424)*(U424)</f>
      </c>
      <c r="Z424" s="7">
        <f>SQRT(X424^2+Y424^2)</f>
      </c>
      <c r="AA424" s="7">
        <f>$K424+$X424</f>
      </c>
      <c r="AB424" s="7">
        <f>$L424+$Y424</f>
      </c>
      <c r="AC424" s="7">
        <f>$K424-$X424</f>
      </c>
      <c r="AD424" s="7">
        <f>$L424-$Y424</f>
      </c>
      <c r="AE424" s="7">
        <f>AA424/39.3701</f>
      </c>
      <c r="AF424" s="7">
        <f>AB424/39.3701</f>
      </c>
      <c r="AG424" s="7">
        <f>AC424/39.3701</f>
      </c>
      <c r="AH424" s="7">
        <f>AD424/39.3701</f>
      </c>
      <c r="AI424" s="1"/>
      <c r="AJ424" s="1"/>
      <c r="AK424" s="1"/>
      <c r="AL424" s="1"/>
      <c r="AM424" s="2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</row>
    <row x14ac:dyDescent="0.25" r="425" customHeight="1" ht="18.75">
      <c r="A425" s="1"/>
      <c r="B425" s="2"/>
      <c r="C425" s="2"/>
      <c r="D425" s="2"/>
      <c r="E425" s="2"/>
      <c r="F425" s="2"/>
      <c r="G425" s="1"/>
      <c r="H425" s="1"/>
      <c r="I425" s="7">
        <v>0.422</v>
      </c>
      <c r="J425" s="7">
        <f>IF((I425-ROUNDDOWN(I425,0))=0, 0, (I425-ROUNDDOWN(I425,0)))</f>
      </c>
      <c r="K425" s="7">
        <f>INDIRECT("C$"&amp;2+MIN(2,ROUNDDOWN(I425,0))*3)*(-$J425^3+3*$J425^2-3*$J425+1)+INDIRECT("C$"&amp;3+MIN(2,ROUNDDOWN(I425,0))*3)*(3*$J425^3-6*$J425^2+3*$J425)+INDIRECT("C$"&amp;4+MIN(2,ROUNDDOWN(I425,0))*3)*(-3*$J425^3+3*$J425^2)+INDIRECT("C$"&amp;5+MIN(2,ROUNDDOWN(I425,0))*3)*$J425^3</f>
      </c>
      <c r="L425" s="7">
        <f>INDIRECT("D$"&amp;2+MIN(2,ROUNDDOWN(I425,0))*3)*(-$J425^3+3*$J425^2-3*$J425+1)+INDIRECT("D$"&amp;3+MIN(2,ROUNDDOWN(I425,0))*3)*(3*$J425^3-6*$J425^2+3*$J425)+INDIRECT("D$"&amp;4+MIN(2,ROUNDDOWN(I425,0))*3)*(-3*$J425^3+3*$J425^2)+INDIRECT("D$"&amp;5+MIN(2,ROUNDDOWN(I425,0))*3)*$J425^3</f>
      </c>
      <c r="M425" s="7">
        <f>SQRT(K425^2+L425^2)</f>
      </c>
      <c r="N425" s="7">
        <f>(K426-K424)</f>
      </c>
      <c r="O425" s="7">
        <f>+(L426-L424)</f>
      </c>
      <c r="P425" s="7">
        <f>SQRT(O425^2+N425^2)</f>
      </c>
      <c r="Q425" s="7">
        <f>N425/$P425</f>
      </c>
      <c r="R425" s="7">
        <f>O425/$P425</f>
      </c>
      <c r="S425" s="8">
        <f>Q425^2+R425^2</f>
      </c>
      <c r="T425" s="7">
        <f>-R425</f>
      </c>
      <c r="U425" s="7">
        <f>Q425</f>
      </c>
      <c r="V425" s="7">
        <f>($C$14+($C$15-$C$14)/($D$15-$D$14)*(I425-$D$14))/2</f>
      </c>
      <c r="W425" s="7">
        <f>($B$22*I425^4+$C$22*I425^3+$D$22*I425^2+$E$22*I425+$F$22)/2</f>
      </c>
      <c r="X425" s="7">
        <f>($W425)*(T425)</f>
      </c>
      <c r="Y425" s="7">
        <f>($W425)*(U425)</f>
      </c>
      <c r="Z425" s="7">
        <f>SQRT(X425^2+Y425^2)</f>
      </c>
      <c r="AA425" s="7">
        <f>$K425+$X425</f>
      </c>
      <c r="AB425" s="7">
        <f>$L425+$Y425</f>
      </c>
      <c r="AC425" s="7">
        <f>$K425-$X425</f>
      </c>
      <c r="AD425" s="7">
        <f>$L425-$Y425</f>
      </c>
      <c r="AE425" s="7">
        <f>AA425/39.3701</f>
      </c>
      <c r="AF425" s="7">
        <f>AB425/39.3701</f>
      </c>
      <c r="AG425" s="7">
        <f>AC425/39.3701</f>
      </c>
      <c r="AH425" s="7">
        <f>AD425/39.3701</f>
      </c>
      <c r="AI425" s="1"/>
      <c r="AJ425" s="1"/>
      <c r="AK425" s="1"/>
      <c r="AL425" s="1"/>
      <c r="AM425" s="2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</row>
    <row x14ac:dyDescent="0.25" r="426" customHeight="1" ht="18.75">
      <c r="A426" s="1"/>
      <c r="B426" s="2"/>
      <c r="C426" s="2"/>
      <c r="D426" s="2"/>
      <c r="E426" s="2"/>
      <c r="F426" s="2"/>
      <c r="G426" s="1"/>
      <c r="H426" s="1"/>
      <c r="I426" s="7">
        <v>0.423</v>
      </c>
      <c r="J426" s="7">
        <f>IF((I426-ROUNDDOWN(I426,0))=0, 0, (I426-ROUNDDOWN(I426,0)))</f>
      </c>
      <c r="K426" s="7">
        <f>INDIRECT("C$"&amp;2+MIN(2,ROUNDDOWN(I426,0))*3)*(-$J426^3+3*$J426^2-3*$J426+1)+INDIRECT("C$"&amp;3+MIN(2,ROUNDDOWN(I426,0))*3)*(3*$J426^3-6*$J426^2+3*$J426)+INDIRECT("C$"&amp;4+MIN(2,ROUNDDOWN(I426,0))*3)*(-3*$J426^3+3*$J426^2)+INDIRECT("C$"&amp;5+MIN(2,ROUNDDOWN(I426,0))*3)*$J426^3</f>
      </c>
      <c r="L426" s="7">
        <f>INDIRECT("D$"&amp;2+MIN(2,ROUNDDOWN(I426,0))*3)*(-$J426^3+3*$J426^2-3*$J426+1)+INDIRECT("D$"&amp;3+MIN(2,ROUNDDOWN(I426,0))*3)*(3*$J426^3-6*$J426^2+3*$J426)+INDIRECT("D$"&amp;4+MIN(2,ROUNDDOWN(I426,0))*3)*(-3*$J426^3+3*$J426^2)+INDIRECT("D$"&amp;5+MIN(2,ROUNDDOWN(I426,0))*3)*$J426^3</f>
      </c>
      <c r="M426" s="7">
        <f>SQRT(K426^2+L426^2)</f>
      </c>
      <c r="N426" s="7">
        <f>(K427-K425)</f>
      </c>
      <c r="O426" s="7">
        <f>+(L427-L425)</f>
      </c>
      <c r="P426" s="7">
        <f>SQRT(O426^2+N426^2)</f>
      </c>
      <c r="Q426" s="7">
        <f>N426/$P426</f>
      </c>
      <c r="R426" s="7">
        <f>O426/$P426</f>
      </c>
      <c r="S426" s="7">
        <f>Q426^2+R426^2</f>
      </c>
      <c r="T426" s="7">
        <f>-R426</f>
      </c>
      <c r="U426" s="7">
        <f>Q426</f>
      </c>
      <c r="V426" s="7">
        <f>($C$14+($C$15-$C$14)/($D$15-$D$14)*(I426-$D$14))/2</f>
      </c>
      <c r="W426" s="7">
        <f>($B$22*I426^4+$C$22*I426^3+$D$22*I426^2+$E$22*I426+$F$22)/2</f>
      </c>
      <c r="X426" s="7">
        <f>($W426)*(T426)</f>
      </c>
      <c r="Y426" s="7">
        <f>($W426)*(U426)</f>
      </c>
      <c r="Z426" s="7">
        <f>SQRT(X426^2+Y426^2)</f>
      </c>
      <c r="AA426" s="7">
        <f>$K426+$X426</f>
      </c>
      <c r="AB426" s="7">
        <f>$L426+$Y426</f>
      </c>
      <c r="AC426" s="7">
        <f>$K426-$X426</f>
      </c>
      <c r="AD426" s="7">
        <f>$L426-$Y426</f>
      </c>
      <c r="AE426" s="7">
        <f>AA426/39.3701</f>
      </c>
      <c r="AF426" s="7">
        <f>AB426/39.3701</f>
      </c>
      <c r="AG426" s="7">
        <f>AC426/39.3701</f>
      </c>
      <c r="AH426" s="7">
        <f>AD426/39.3701</f>
      </c>
      <c r="AI426" s="1"/>
      <c r="AJ426" s="1"/>
      <c r="AK426" s="1"/>
      <c r="AL426" s="1"/>
      <c r="AM426" s="2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</row>
    <row x14ac:dyDescent="0.25" r="427" customHeight="1" ht="18.75">
      <c r="A427" s="1"/>
      <c r="B427" s="2"/>
      <c r="C427" s="2"/>
      <c r="D427" s="2"/>
      <c r="E427" s="2"/>
      <c r="F427" s="2"/>
      <c r="G427" s="1"/>
      <c r="H427" s="1"/>
      <c r="I427" s="7">
        <v>0.424</v>
      </c>
      <c r="J427" s="7">
        <f>IF((I427-ROUNDDOWN(I427,0))=0, 0, (I427-ROUNDDOWN(I427,0)))</f>
      </c>
      <c r="K427" s="7">
        <f>INDIRECT("C$"&amp;2+MIN(2,ROUNDDOWN(I427,0))*3)*(-$J427^3+3*$J427^2-3*$J427+1)+INDIRECT("C$"&amp;3+MIN(2,ROUNDDOWN(I427,0))*3)*(3*$J427^3-6*$J427^2+3*$J427)+INDIRECT("C$"&amp;4+MIN(2,ROUNDDOWN(I427,0))*3)*(-3*$J427^3+3*$J427^2)+INDIRECT("C$"&amp;5+MIN(2,ROUNDDOWN(I427,0))*3)*$J427^3</f>
      </c>
      <c r="L427" s="7">
        <f>INDIRECT("D$"&amp;2+MIN(2,ROUNDDOWN(I427,0))*3)*(-$J427^3+3*$J427^2-3*$J427+1)+INDIRECT("D$"&amp;3+MIN(2,ROUNDDOWN(I427,0))*3)*(3*$J427^3-6*$J427^2+3*$J427)+INDIRECT("D$"&amp;4+MIN(2,ROUNDDOWN(I427,0))*3)*(-3*$J427^3+3*$J427^2)+INDIRECT("D$"&amp;5+MIN(2,ROUNDDOWN(I427,0))*3)*$J427^3</f>
      </c>
      <c r="M427" s="7">
        <f>SQRT(K427^2+L427^2)</f>
      </c>
      <c r="N427" s="7">
        <f>(K428-K426)</f>
      </c>
      <c r="O427" s="7">
        <f>+(L428-L426)</f>
      </c>
      <c r="P427" s="7">
        <f>SQRT(O427^2+N427^2)</f>
      </c>
      <c r="Q427" s="7">
        <f>N427/$P427</f>
      </c>
      <c r="R427" s="7">
        <f>O427/$P427</f>
      </c>
      <c r="S427" s="8">
        <f>Q427^2+R427^2</f>
      </c>
      <c r="T427" s="7">
        <f>-R427</f>
      </c>
      <c r="U427" s="7">
        <f>Q427</f>
      </c>
      <c r="V427" s="7">
        <f>($C$14+($C$15-$C$14)/($D$15-$D$14)*(I427-$D$14))/2</f>
      </c>
      <c r="W427" s="7">
        <f>($B$22*I427^4+$C$22*I427^3+$D$22*I427^2+$E$22*I427+$F$22)/2</f>
      </c>
      <c r="X427" s="7">
        <f>($W427)*(T427)</f>
      </c>
      <c r="Y427" s="7">
        <f>($W427)*(U427)</f>
      </c>
      <c r="Z427" s="7">
        <f>SQRT(X427^2+Y427^2)</f>
      </c>
      <c r="AA427" s="7">
        <f>$K427+$X427</f>
      </c>
      <c r="AB427" s="7">
        <f>$L427+$Y427</f>
      </c>
      <c r="AC427" s="7">
        <f>$K427-$X427</f>
      </c>
      <c r="AD427" s="7">
        <f>$L427-$Y427</f>
      </c>
      <c r="AE427" s="7">
        <f>AA427/39.3701</f>
      </c>
      <c r="AF427" s="7">
        <f>AB427/39.3701</f>
      </c>
      <c r="AG427" s="7">
        <f>AC427/39.3701</f>
      </c>
      <c r="AH427" s="7">
        <f>AD427/39.3701</f>
      </c>
      <c r="AI427" s="1"/>
      <c r="AJ427" s="1"/>
      <c r="AK427" s="1"/>
      <c r="AL427" s="1"/>
      <c r="AM427" s="2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</row>
    <row x14ac:dyDescent="0.25" r="428" customHeight="1" ht="18.75">
      <c r="A428" s="1"/>
      <c r="B428" s="2"/>
      <c r="C428" s="2"/>
      <c r="D428" s="2"/>
      <c r="E428" s="2"/>
      <c r="F428" s="2"/>
      <c r="G428" s="1"/>
      <c r="H428" s="1"/>
      <c r="I428" s="7">
        <v>0.425</v>
      </c>
      <c r="J428" s="7">
        <f>IF((I428-ROUNDDOWN(I428,0))=0, 0, (I428-ROUNDDOWN(I428,0)))</f>
      </c>
      <c r="K428" s="7">
        <f>INDIRECT("C$"&amp;2+MIN(2,ROUNDDOWN(I428,0))*3)*(-$J428^3+3*$J428^2-3*$J428+1)+INDIRECT("C$"&amp;3+MIN(2,ROUNDDOWN(I428,0))*3)*(3*$J428^3-6*$J428^2+3*$J428)+INDIRECT("C$"&amp;4+MIN(2,ROUNDDOWN(I428,0))*3)*(-3*$J428^3+3*$J428^2)+INDIRECT("C$"&amp;5+MIN(2,ROUNDDOWN(I428,0))*3)*$J428^3</f>
      </c>
      <c r="L428" s="7">
        <f>INDIRECT("D$"&amp;2+MIN(2,ROUNDDOWN(I428,0))*3)*(-$J428^3+3*$J428^2-3*$J428+1)+INDIRECT("D$"&amp;3+MIN(2,ROUNDDOWN(I428,0))*3)*(3*$J428^3-6*$J428^2+3*$J428)+INDIRECT("D$"&amp;4+MIN(2,ROUNDDOWN(I428,0))*3)*(-3*$J428^3+3*$J428^2)+INDIRECT("D$"&amp;5+MIN(2,ROUNDDOWN(I428,0))*3)*$J428^3</f>
      </c>
      <c r="M428" s="7">
        <f>SQRT(K428^2+L428^2)</f>
      </c>
      <c r="N428" s="7">
        <f>(K429-K427)</f>
      </c>
      <c r="O428" s="7">
        <f>+(L429-L427)</f>
      </c>
      <c r="P428" s="7">
        <f>SQRT(O428^2+N428^2)</f>
      </c>
      <c r="Q428" s="7">
        <f>N428/$P428</f>
      </c>
      <c r="R428" s="7">
        <f>O428/$P428</f>
      </c>
      <c r="S428" s="7">
        <f>Q428^2+R428^2</f>
      </c>
      <c r="T428" s="7">
        <f>-R428</f>
      </c>
      <c r="U428" s="7">
        <f>Q428</f>
      </c>
      <c r="V428" s="7">
        <f>($C$14+($C$15-$C$14)/($D$15-$D$14)*(I428-$D$14))/2</f>
      </c>
      <c r="W428" s="7">
        <f>($B$22*I428^4+$C$22*I428^3+$D$22*I428^2+$E$22*I428+$F$22)/2</f>
      </c>
      <c r="X428" s="7">
        <f>($W428)*(T428)</f>
      </c>
      <c r="Y428" s="7">
        <f>($W428)*(U428)</f>
      </c>
      <c r="Z428" s="7">
        <f>SQRT(X428^2+Y428^2)</f>
      </c>
      <c r="AA428" s="7">
        <f>$K428+$X428</f>
      </c>
      <c r="AB428" s="7">
        <f>$L428+$Y428</f>
      </c>
      <c r="AC428" s="7">
        <f>$K428-$X428</f>
      </c>
      <c r="AD428" s="7">
        <f>$L428-$Y428</f>
      </c>
      <c r="AE428" s="7">
        <f>AA428/39.3701</f>
      </c>
      <c r="AF428" s="7">
        <f>AB428/39.3701</f>
      </c>
      <c r="AG428" s="7">
        <f>AC428/39.3701</f>
      </c>
      <c r="AH428" s="7">
        <f>AD428/39.3701</f>
      </c>
      <c r="AI428" s="1"/>
      <c r="AJ428" s="1"/>
      <c r="AK428" s="1"/>
      <c r="AL428" s="1"/>
      <c r="AM428" s="2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</row>
    <row x14ac:dyDescent="0.25" r="429" customHeight="1" ht="18.75">
      <c r="A429" s="1"/>
      <c r="B429" s="2"/>
      <c r="C429" s="2"/>
      <c r="D429" s="2"/>
      <c r="E429" s="2"/>
      <c r="F429" s="2"/>
      <c r="G429" s="1"/>
      <c r="H429" s="1"/>
      <c r="I429" s="7">
        <v>0.426</v>
      </c>
      <c r="J429" s="7">
        <f>IF((I429-ROUNDDOWN(I429,0))=0, 0, (I429-ROUNDDOWN(I429,0)))</f>
      </c>
      <c r="K429" s="7">
        <f>INDIRECT("C$"&amp;2+MIN(2,ROUNDDOWN(I429,0))*3)*(-$J429^3+3*$J429^2-3*$J429+1)+INDIRECT("C$"&amp;3+MIN(2,ROUNDDOWN(I429,0))*3)*(3*$J429^3-6*$J429^2+3*$J429)+INDIRECT("C$"&amp;4+MIN(2,ROUNDDOWN(I429,0))*3)*(-3*$J429^3+3*$J429^2)+INDIRECT("C$"&amp;5+MIN(2,ROUNDDOWN(I429,0))*3)*$J429^3</f>
      </c>
      <c r="L429" s="7">
        <f>INDIRECT("D$"&amp;2+MIN(2,ROUNDDOWN(I429,0))*3)*(-$J429^3+3*$J429^2-3*$J429+1)+INDIRECT("D$"&amp;3+MIN(2,ROUNDDOWN(I429,0))*3)*(3*$J429^3-6*$J429^2+3*$J429)+INDIRECT("D$"&amp;4+MIN(2,ROUNDDOWN(I429,0))*3)*(-3*$J429^3+3*$J429^2)+INDIRECT("D$"&amp;5+MIN(2,ROUNDDOWN(I429,0))*3)*$J429^3</f>
      </c>
      <c r="M429" s="7">
        <f>SQRT(K429^2+L429^2)</f>
      </c>
      <c r="N429" s="7">
        <f>(K430-K428)</f>
      </c>
      <c r="O429" s="7">
        <f>+(L430-L428)</f>
      </c>
      <c r="P429" s="7">
        <f>SQRT(O429^2+N429^2)</f>
      </c>
      <c r="Q429" s="7">
        <f>N429/$P429</f>
      </c>
      <c r="R429" s="7">
        <f>O429/$P429</f>
      </c>
      <c r="S429" s="8">
        <f>Q429^2+R429^2</f>
      </c>
      <c r="T429" s="7">
        <f>-R429</f>
      </c>
      <c r="U429" s="7">
        <f>Q429</f>
      </c>
      <c r="V429" s="7">
        <f>($C$14+($C$15-$C$14)/($D$15-$D$14)*(I429-$D$14))/2</f>
      </c>
      <c r="W429" s="7">
        <f>($B$22*I429^4+$C$22*I429^3+$D$22*I429^2+$E$22*I429+$F$22)/2</f>
      </c>
      <c r="X429" s="7">
        <f>($W429)*(T429)</f>
      </c>
      <c r="Y429" s="7">
        <f>($W429)*(U429)</f>
      </c>
      <c r="Z429" s="7">
        <f>SQRT(X429^2+Y429^2)</f>
      </c>
      <c r="AA429" s="7">
        <f>$K429+$X429</f>
      </c>
      <c r="AB429" s="7">
        <f>$L429+$Y429</f>
      </c>
      <c r="AC429" s="7">
        <f>$K429-$X429</f>
      </c>
      <c r="AD429" s="7">
        <f>$L429-$Y429</f>
      </c>
      <c r="AE429" s="7">
        <f>AA429/39.3701</f>
      </c>
      <c r="AF429" s="7">
        <f>AB429/39.3701</f>
      </c>
      <c r="AG429" s="7">
        <f>AC429/39.3701</f>
      </c>
      <c r="AH429" s="7">
        <f>AD429/39.3701</f>
      </c>
      <c r="AI429" s="1"/>
      <c r="AJ429" s="1"/>
      <c r="AK429" s="1"/>
      <c r="AL429" s="1"/>
      <c r="AM429" s="2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</row>
    <row x14ac:dyDescent="0.25" r="430" customHeight="1" ht="18.75">
      <c r="A430" s="1"/>
      <c r="B430" s="2"/>
      <c r="C430" s="2"/>
      <c r="D430" s="2"/>
      <c r="E430" s="2"/>
      <c r="F430" s="2"/>
      <c r="G430" s="1"/>
      <c r="H430" s="1"/>
      <c r="I430" s="7">
        <v>0.427</v>
      </c>
      <c r="J430" s="7">
        <f>IF((I430-ROUNDDOWN(I430,0))=0, 0, (I430-ROUNDDOWN(I430,0)))</f>
      </c>
      <c r="K430" s="7">
        <f>INDIRECT("C$"&amp;2+MIN(2,ROUNDDOWN(I430,0))*3)*(-$J430^3+3*$J430^2-3*$J430+1)+INDIRECT("C$"&amp;3+MIN(2,ROUNDDOWN(I430,0))*3)*(3*$J430^3-6*$J430^2+3*$J430)+INDIRECT("C$"&amp;4+MIN(2,ROUNDDOWN(I430,0))*3)*(-3*$J430^3+3*$J430^2)+INDIRECT("C$"&amp;5+MIN(2,ROUNDDOWN(I430,0))*3)*$J430^3</f>
      </c>
      <c r="L430" s="7">
        <f>INDIRECT("D$"&amp;2+MIN(2,ROUNDDOWN(I430,0))*3)*(-$J430^3+3*$J430^2-3*$J430+1)+INDIRECT("D$"&amp;3+MIN(2,ROUNDDOWN(I430,0))*3)*(3*$J430^3-6*$J430^2+3*$J430)+INDIRECT("D$"&amp;4+MIN(2,ROUNDDOWN(I430,0))*3)*(-3*$J430^3+3*$J430^2)+INDIRECT("D$"&amp;5+MIN(2,ROUNDDOWN(I430,0))*3)*$J430^3</f>
      </c>
      <c r="M430" s="7">
        <f>SQRT(K430^2+L430^2)</f>
      </c>
      <c r="N430" s="7">
        <f>(K431-K429)</f>
      </c>
      <c r="O430" s="7">
        <f>+(L431-L429)</f>
      </c>
      <c r="P430" s="7">
        <f>SQRT(O430^2+N430^2)</f>
      </c>
      <c r="Q430" s="7">
        <f>N430/$P430</f>
      </c>
      <c r="R430" s="7">
        <f>O430/$P430</f>
      </c>
      <c r="S430" s="7">
        <f>Q430^2+R430^2</f>
      </c>
      <c r="T430" s="7">
        <f>-R430</f>
      </c>
      <c r="U430" s="7">
        <f>Q430</f>
      </c>
      <c r="V430" s="7">
        <f>($C$14+($C$15-$C$14)/($D$15-$D$14)*(I430-$D$14))/2</f>
      </c>
      <c r="W430" s="7">
        <f>($B$22*I430^4+$C$22*I430^3+$D$22*I430^2+$E$22*I430+$F$22)/2</f>
      </c>
      <c r="X430" s="7">
        <f>($W430)*(T430)</f>
      </c>
      <c r="Y430" s="7">
        <f>($W430)*(U430)</f>
      </c>
      <c r="Z430" s="7">
        <f>SQRT(X430^2+Y430^2)</f>
      </c>
      <c r="AA430" s="7">
        <f>$K430+$X430</f>
      </c>
      <c r="AB430" s="7">
        <f>$L430+$Y430</f>
      </c>
      <c r="AC430" s="7">
        <f>$K430-$X430</f>
      </c>
      <c r="AD430" s="7">
        <f>$L430-$Y430</f>
      </c>
      <c r="AE430" s="7">
        <f>AA430/39.3701</f>
      </c>
      <c r="AF430" s="7">
        <f>AB430/39.3701</f>
      </c>
      <c r="AG430" s="7">
        <f>AC430/39.3701</f>
      </c>
      <c r="AH430" s="7">
        <f>AD430/39.3701</f>
      </c>
      <c r="AI430" s="1"/>
      <c r="AJ430" s="1"/>
      <c r="AK430" s="1"/>
      <c r="AL430" s="1"/>
      <c r="AM430" s="2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</row>
    <row x14ac:dyDescent="0.25" r="431" customHeight="1" ht="18.75">
      <c r="A431" s="1"/>
      <c r="B431" s="2"/>
      <c r="C431" s="2"/>
      <c r="D431" s="2"/>
      <c r="E431" s="2"/>
      <c r="F431" s="2"/>
      <c r="G431" s="1"/>
      <c r="H431" s="1"/>
      <c r="I431" s="7">
        <v>0.428</v>
      </c>
      <c r="J431" s="7">
        <f>IF((I431-ROUNDDOWN(I431,0))=0, 0, (I431-ROUNDDOWN(I431,0)))</f>
      </c>
      <c r="K431" s="7">
        <f>INDIRECT("C$"&amp;2+MIN(2,ROUNDDOWN(I431,0))*3)*(-$J431^3+3*$J431^2-3*$J431+1)+INDIRECT("C$"&amp;3+MIN(2,ROUNDDOWN(I431,0))*3)*(3*$J431^3-6*$J431^2+3*$J431)+INDIRECT("C$"&amp;4+MIN(2,ROUNDDOWN(I431,0))*3)*(-3*$J431^3+3*$J431^2)+INDIRECT("C$"&amp;5+MIN(2,ROUNDDOWN(I431,0))*3)*$J431^3</f>
      </c>
      <c r="L431" s="7">
        <f>INDIRECT("D$"&amp;2+MIN(2,ROUNDDOWN(I431,0))*3)*(-$J431^3+3*$J431^2-3*$J431+1)+INDIRECT("D$"&amp;3+MIN(2,ROUNDDOWN(I431,0))*3)*(3*$J431^3-6*$J431^2+3*$J431)+INDIRECT("D$"&amp;4+MIN(2,ROUNDDOWN(I431,0))*3)*(-3*$J431^3+3*$J431^2)+INDIRECT("D$"&amp;5+MIN(2,ROUNDDOWN(I431,0))*3)*$J431^3</f>
      </c>
      <c r="M431" s="7">
        <f>SQRT(K431^2+L431^2)</f>
      </c>
      <c r="N431" s="7">
        <f>(K432-K430)</f>
      </c>
      <c r="O431" s="7">
        <f>+(L432-L430)</f>
      </c>
      <c r="P431" s="7">
        <f>SQRT(O431^2+N431^2)</f>
      </c>
      <c r="Q431" s="7">
        <f>N431/$P431</f>
      </c>
      <c r="R431" s="7">
        <f>O431/$P431</f>
      </c>
      <c r="S431" s="7">
        <f>Q431^2+R431^2</f>
      </c>
      <c r="T431" s="7">
        <f>-R431</f>
      </c>
      <c r="U431" s="7">
        <f>Q431</f>
      </c>
      <c r="V431" s="7">
        <f>($C$14+($C$15-$C$14)/($D$15-$D$14)*(I431-$D$14))/2</f>
      </c>
      <c r="W431" s="7">
        <f>($B$22*I431^4+$C$22*I431^3+$D$22*I431^2+$E$22*I431+$F$22)/2</f>
      </c>
      <c r="X431" s="7">
        <f>($W431)*(T431)</f>
      </c>
      <c r="Y431" s="7">
        <f>($W431)*(U431)</f>
      </c>
      <c r="Z431" s="7">
        <f>SQRT(X431^2+Y431^2)</f>
      </c>
      <c r="AA431" s="7">
        <f>$K431+$X431</f>
      </c>
      <c r="AB431" s="7">
        <f>$L431+$Y431</f>
      </c>
      <c r="AC431" s="7">
        <f>$K431-$X431</f>
      </c>
      <c r="AD431" s="7">
        <f>$L431-$Y431</f>
      </c>
      <c r="AE431" s="7">
        <f>AA431/39.3701</f>
      </c>
      <c r="AF431" s="7">
        <f>AB431/39.3701</f>
      </c>
      <c r="AG431" s="7">
        <f>AC431/39.3701</f>
      </c>
      <c r="AH431" s="7">
        <f>AD431/39.3701</f>
      </c>
      <c r="AI431" s="1"/>
      <c r="AJ431" s="1"/>
      <c r="AK431" s="1"/>
      <c r="AL431" s="1"/>
      <c r="AM431" s="2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</row>
    <row x14ac:dyDescent="0.25" r="432" customHeight="1" ht="18.75">
      <c r="A432" s="1"/>
      <c r="B432" s="2"/>
      <c r="C432" s="2"/>
      <c r="D432" s="2"/>
      <c r="E432" s="2"/>
      <c r="F432" s="2"/>
      <c r="G432" s="1"/>
      <c r="H432" s="1"/>
      <c r="I432" s="7">
        <v>0.429</v>
      </c>
      <c r="J432" s="7">
        <f>IF((I432-ROUNDDOWN(I432,0))=0, 0, (I432-ROUNDDOWN(I432,0)))</f>
      </c>
      <c r="K432" s="7">
        <f>INDIRECT("C$"&amp;2+MIN(2,ROUNDDOWN(I432,0))*3)*(-$J432^3+3*$J432^2-3*$J432+1)+INDIRECT("C$"&amp;3+MIN(2,ROUNDDOWN(I432,0))*3)*(3*$J432^3-6*$J432^2+3*$J432)+INDIRECT("C$"&amp;4+MIN(2,ROUNDDOWN(I432,0))*3)*(-3*$J432^3+3*$J432^2)+INDIRECT("C$"&amp;5+MIN(2,ROUNDDOWN(I432,0))*3)*$J432^3</f>
      </c>
      <c r="L432" s="7">
        <f>INDIRECT("D$"&amp;2+MIN(2,ROUNDDOWN(I432,0))*3)*(-$J432^3+3*$J432^2-3*$J432+1)+INDIRECT("D$"&amp;3+MIN(2,ROUNDDOWN(I432,0))*3)*(3*$J432^3-6*$J432^2+3*$J432)+INDIRECT("D$"&amp;4+MIN(2,ROUNDDOWN(I432,0))*3)*(-3*$J432^3+3*$J432^2)+INDIRECT("D$"&amp;5+MIN(2,ROUNDDOWN(I432,0))*3)*$J432^3</f>
      </c>
      <c r="M432" s="7">
        <f>SQRT(K432^2+L432^2)</f>
      </c>
      <c r="N432" s="7">
        <f>(K433-K431)</f>
      </c>
      <c r="O432" s="7">
        <f>+(L433-L431)</f>
      </c>
      <c r="P432" s="7">
        <f>SQRT(O432^2+N432^2)</f>
      </c>
      <c r="Q432" s="7">
        <f>N432/$P432</f>
      </c>
      <c r="R432" s="7">
        <f>O432/$P432</f>
      </c>
      <c r="S432" s="7">
        <f>Q432^2+R432^2</f>
      </c>
      <c r="T432" s="7">
        <f>-R432</f>
      </c>
      <c r="U432" s="7">
        <f>Q432</f>
      </c>
      <c r="V432" s="7">
        <f>($C$14+($C$15-$C$14)/($D$15-$D$14)*(I432-$D$14))/2</f>
      </c>
      <c r="W432" s="7">
        <f>($B$22*I432^4+$C$22*I432^3+$D$22*I432^2+$E$22*I432+$F$22)/2</f>
      </c>
      <c r="X432" s="7">
        <f>($W432)*(T432)</f>
      </c>
      <c r="Y432" s="7">
        <f>($W432)*(U432)</f>
      </c>
      <c r="Z432" s="7">
        <f>SQRT(X432^2+Y432^2)</f>
      </c>
      <c r="AA432" s="7">
        <f>$K432+$X432</f>
      </c>
      <c r="AB432" s="7">
        <f>$L432+$Y432</f>
      </c>
      <c r="AC432" s="7">
        <f>$K432-$X432</f>
      </c>
      <c r="AD432" s="7">
        <f>$L432-$Y432</f>
      </c>
      <c r="AE432" s="7">
        <f>AA432/39.3701</f>
      </c>
      <c r="AF432" s="7">
        <f>AB432/39.3701</f>
      </c>
      <c r="AG432" s="7">
        <f>AC432/39.3701</f>
      </c>
      <c r="AH432" s="7">
        <f>AD432/39.3701</f>
      </c>
      <c r="AI432" s="1"/>
      <c r="AJ432" s="1"/>
      <c r="AK432" s="1"/>
      <c r="AL432" s="1"/>
      <c r="AM432" s="2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</row>
    <row x14ac:dyDescent="0.25" r="433" customHeight="1" ht="18.75">
      <c r="A433" s="1"/>
      <c r="B433" s="2"/>
      <c r="C433" s="2"/>
      <c r="D433" s="2"/>
      <c r="E433" s="2"/>
      <c r="F433" s="2"/>
      <c r="G433" s="1"/>
      <c r="H433" s="1"/>
      <c r="I433" s="7">
        <v>0.43</v>
      </c>
      <c r="J433" s="7">
        <f>IF((I433-ROUNDDOWN(I433,0))=0, 0, (I433-ROUNDDOWN(I433,0)))</f>
      </c>
      <c r="K433" s="7">
        <f>INDIRECT("C$"&amp;2+MIN(2,ROUNDDOWN(I433,0))*3)*(-$J433^3+3*$J433^2-3*$J433+1)+INDIRECT("C$"&amp;3+MIN(2,ROUNDDOWN(I433,0))*3)*(3*$J433^3-6*$J433^2+3*$J433)+INDIRECT("C$"&amp;4+MIN(2,ROUNDDOWN(I433,0))*3)*(-3*$J433^3+3*$J433^2)+INDIRECT("C$"&amp;5+MIN(2,ROUNDDOWN(I433,0))*3)*$J433^3</f>
      </c>
      <c r="L433" s="7">
        <f>INDIRECT("D$"&amp;2+MIN(2,ROUNDDOWN(I433,0))*3)*(-$J433^3+3*$J433^2-3*$J433+1)+INDIRECT("D$"&amp;3+MIN(2,ROUNDDOWN(I433,0))*3)*(3*$J433^3-6*$J433^2+3*$J433)+INDIRECT("D$"&amp;4+MIN(2,ROUNDDOWN(I433,0))*3)*(-3*$J433^3+3*$J433^2)+INDIRECT("D$"&amp;5+MIN(2,ROUNDDOWN(I433,0))*3)*$J433^3</f>
      </c>
      <c r="M433" s="7">
        <f>SQRT(K433^2+L433^2)</f>
      </c>
      <c r="N433" s="7">
        <f>(K434-K432)</f>
      </c>
      <c r="O433" s="7">
        <f>+(L434-L432)</f>
      </c>
      <c r="P433" s="7">
        <f>SQRT(O433^2+N433^2)</f>
      </c>
      <c r="Q433" s="7">
        <f>N433/$P433</f>
      </c>
      <c r="R433" s="7">
        <f>O433/$P433</f>
      </c>
      <c r="S433" s="7">
        <f>Q433^2+R433^2</f>
      </c>
      <c r="T433" s="7">
        <f>-R433</f>
      </c>
      <c r="U433" s="7">
        <f>Q433</f>
      </c>
      <c r="V433" s="7">
        <f>($C$14+($C$15-$C$14)/($D$15-$D$14)*(I433-$D$14))/2</f>
      </c>
      <c r="W433" s="7">
        <f>($B$22*I433^4+$C$22*I433^3+$D$22*I433^2+$E$22*I433+$F$22)/2</f>
      </c>
      <c r="X433" s="7">
        <f>($W433)*(T433)</f>
      </c>
      <c r="Y433" s="7">
        <f>($W433)*(U433)</f>
      </c>
      <c r="Z433" s="7">
        <f>SQRT(X433^2+Y433^2)</f>
      </c>
      <c r="AA433" s="7">
        <f>$K433+$X433</f>
      </c>
      <c r="AB433" s="7">
        <f>$L433+$Y433</f>
      </c>
      <c r="AC433" s="7">
        <f>$K433-$X433</f>
      </c>
      <c r="AD433" s="7">
        <f>$L433-$Y433</f>
      </c>
      <c r="AE433" s="7">
        <f>AA433/39.3701</f>
      </c>
      <c r="AF433" s="7">
        <f>AB433/39.3701</f>
      </c>
      <c r="AG433" s="7">
        <f>AC433/39.3701</f>
      </c>
      <c r="AH433" s="7">
        <f>AD433/39.3701</f>
      </c>
      <c r="AI433" s="1"/>
      <c r="AJ433" s="1"/>
      <c r="AK433" s="1"/>
      <c r="AL433" s="1"/>
      <c r="AM433" s="2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</row>
    <row x14ac:dyDescent="0.25" r="434" customHeight="1" ht="18.75">
      <c r="A434" s="1"/>
      <c r="B434" s="2"/>
      <c r="C434" s="2"/>
      <c r="D434" s="2"/>
      <c r="E434" s="2"/>
      <c r="F434" s="2"/>
      <c r="G434" s="1"/>
      <c r="H434" s="1"/>
      <c r="I434" s="7">
        <v>0.431</v>
      </c>
      <c r="J434" s="7">
        <f>IF((I434-ROUNDDOWN(I434,0))=0, 0, (I434-ROUNDDOWN(I434,0)))</f>
      </c>
      <c r="K434" s="7">
        <f>INDIRECT("C$"&amp;2+MIN(2,ROUNDDOWN(I434,0))*3)*(-$J434^3+3*$J434^2-3*$J434+1)+INDIRECT("C$"&amp;3+MIN(2,ROUNDDOWN(I434,0))*3)*(3*$J434^3-6*$J434^2+3*$J434)+INDIRECT("C$"&amp;4+MIN(2,ROUNDDOWN(I434,0))*3)*(-3*$J434^3+3*$J434^2)+INDIRECT("C$"&amp;5+MIN(2,ROUNDDOWN(I434,0))*3)*$J434^3</f>
      </c>
      <c r="L434" s="7">
        <f>INDIRECT("D$"&amp;2+MIN(2,ROUNDDOWN(I434,0))*3)*(-$J434^3+3*$J434^2-3*$J434+1)+INDIRECT("D$"&amp;3+MIN(2,ROUNDDOWN(I434,0))*3)*(3*$J434^3-6*$J434^2+3*$J434)+INDIRECT("D$"&amp;4+MIN(2,ROUNDDOWN(I434,0))*3)*(-3*$J434^3+3*$J434^2)+INDIRECT("D$"&amp;5+MIN(2,ROUNDDOWN(I434,0))*3)*$J434^3</f>
      </c>
      <c r="M434" s="7">
        <f>SQRT(K434^2+L434^2)</f>
      </c>
      <c r="N434" s="7">
        <f>(K435-K433)</f>
      </c>
      <c r="O434" s="7">
        <f>+(L435-L433)</f>
      </c>
      <c r="P434" s="7">
        <f>SQRT(O434^2+N434^2)</f>
      </c>
      <c r="Q434" s="7">
        <f>N434/$P434</f>
      </c>
      <c r="R434" s="7">
        <f>O434/$P434</f>
      </c>
      <c r="S434" s="8">
        <f>Q434^2+R434^2</f>
      </c>
      <c r="T434" s="7">
        <f>-R434</f>
      </c>
      <c r="U434" s="7">
        <f>Q434</f>
      </c>
      <c r="V434" s="7">
        <f>($C$14+($C$15-$C$14)/($D$15-$D$14)*(I434-$D$14))/2</f>
      </c>
      <c r="W434" s="7">
        <f>($B$22*I434^4+$C$22*I434^3+$D$22*I434^2+$E$22*I434+$F$22)/2</f>
      </c>
      <c r="X434" s="7">
        <f>($W434)*(T434)</f>
      </c>
      <c r="Y434" s="7">
        <f>($W434)*(U434)</f>
      </c>
      <c r="Z434" s="7">
        <f>SQRT(X434^2+Y434^2)</f>
      </c>
      <c r="AA434" s="7">
        <f>$K434+$X434</f>
      </c>
      <c r="AB434" s="7">
        <f>$L434+$Y434</f>
      </c>
      <c r="AC434" s="7">
        <f>$K434-$X434</f>
      </c>
      <c r="AD434" s="7">
        <f>$L434-$Y434</f>
      </c>
      <c r="AE434" s="7">
        <f>AA434/39.3701</f>
      </c>
      <c r="AF434" s="7">
        <f>AB434/39.3701</f>
      </c>
      <c r="AG434" s="7">
        <f>AC434/39.3701</f>
      </c>
      <c r="AH434" s="7">
        <f>AD434/39.3701</f>
      </c>
      <c r="AI434" s="1"/>
      <c r="AJ434" s="1"/>
      <c r="AK434" s="1"/>
      <c r="AL434" s="1"/>
      <c r="AM434" s="2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</row>
    <row x14ac:dyDescent="0.25" r="435" customHeight="1" ht="18.75">
      <c r="A435" s="1"/>
      <c r="B435" s="2"/>
      <c r="C435" s="2"/>
      <c r="D435" s="2"/>
      <c r="E435" s="2"/>
      <c r="F435" s="2"/>
      <c r="G435" s="1"/>
      <c r="H435" s="1"/>
      <c r="I435" s="7">
        <v>0.432</v>
      </c>
      <c r="J435" s="7">
        <f>IF((I435-ROUNDDOWN(I435,0))=0, 0, (I435-ROUNDDOWN(I435,0)))</f>
      </c>
      <c r="K435" s="7">
        <f>INDIRECT("C$"&amp;2+MIN(2,ROUNDDOWN(I435,0))*3)*(-$J435^3+3*$J435^2-3*$J435+1)+INDIRECT("C$"&amp;3+MIN(2,ROUNDDOWN(I435,0))*3)*(3*$J435^3-6*$J435^2+3*$J435)+INDIRECT("C$"&amp;4+MIN(2,ROUNDDOWN(I435,0))*3)*(-3*$J435^3+3*$J435^2)+INDIRECT("C$"&amp;5+MIN(2,ROUNDDOWN(I435,0))*3)*$J435^3</f>
      </c>
      <c r="L435" s="7">
        <f>INDIRECT("D$"&amp;2+MIN(2,ROUNDDOWN(I435,0))*3)*(-$J435^3+3*$J435^2-3*$J435+1)+INDIRECT("D$"&amp;3+MIN(2,ROUNDDOWN(I435,0))*3)*(3*$J435^3-6*$J435^2+3*$J435)+INDIRECT("D$"&amp;4+MIN(2,ROUNDDOWN(I435,0))*3)*(-3*$J435^3+3*$J435^2)+INDIRECT("D$"&amp;5+MIN(2,ROUNDDOWN(I435,0))*3)*$J435^3</f>
      </c>
      <c r="M435" s="7">
        <f>SQRT(K435^2+L435^2)</f>
      </c>
      <c r="N435" s="7">
        <f>(K436-K434)</f>
      </c>
      <c r="O435" s="7">
        <f>+(L436-L434)</f>
      </c>
      <c r="P435" s="7">
        <f>SQRT(O435^2+N435^2)</f>
      </c>
      <c r="Q435" s="7">
        <f>N435/$P435</f>
      </c>
      <c r="R435" s="7">
        <f>O435/$P435</f>
      </c>
      <c r="S435" s="7">
        <f>Q435^2+R435^2</f>
      </c>
      <c r="T435" s="7">
        <f>-R435</f>
      </c>
      <c r="U435" s="7">
        <f>Q435</f>
      </c>
      <c r="V435" s="7">
        <f>($C$14+($C$15-$C$14)/($D$15-$D$14)*(I435-$D$14))/2</f>
      </c>
      <c r="W435" s="7">
        <f>($B$22*I435^4+$C$22*I435^3+$D$22*I435^2+$E$22*I435+$F$22)/2</f>
      </c>
      <c r="X435" s="7">
        <f>($W435)*(T435)</f>
      </c>
      <c r="Y435" s="7">
        <f>($W435)*(U435)</f>
      </c>
      <c r="Z435" s="7">
        <f>SQRT(X435^2+Y435^2)</f>
      </c>
      <c r="AA435" s="7">
        <f>$K435+$X435</f>
      </c>
      <c r="AB435" s="7">
        <f>$L435+$Y435</f>
      </c>
      <c r="AC435" s="7">
        <f>$K435-$X435</f>
      </c>
      <c r="AD435" s="7">
        <f>$L435-$Y435</f>
      </c>
      <c r="AE435" s="7">
        <f>AA435/39.3701</f>
      </c>
      <c r="AF435" s="7">
        <f>AB435/39.3701</f>
      </c>
      <c r="AG435" s="7">
        <f>AC435/39.3701</f>
      </c>
      <c r="AH435" s="7">
        <f>AD435/39.3701</f>
      </c>
      <c r="AI435" s="1"/>
      <c r="AJ435" s="1"/>
      <c r="AK435" s="1"/>
      <c r="AL435" s="1"/>
      <c r="AM435" s="2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</row>
    <row x14ac:dyDescent="0.25" r="436" customHeight="1" ht="18.75">
      <c r="A436" s="1"/>
      <c r="B436" s="2"/>
      <c r="C436" s="2"/>
      <c r="D436" s="2"/>
      <c r="E436" s="2"/>
      <c r="F436" s="2"/>
      <c r="G436" s="1"/>
      <c r="H436" s="1"/>
      <c r="I436" s="7">
        <v>0.433</v>
      </c>
      <c r="J436" s="7">
        <f>IF((I436-ROUNDDOWN(I436,0))=0, 0, (I436-ROUNDDOWN(I436,0)))</f>
      </c>
      <c r="K436" s="7">
        <f>INDIRECT("C$"&amp;2+MIN(2,ROUNDDOWN(I436,0))*3)*(-$J436^3+3*$J436^2-3*$J436+1)+INDIRECT("C$"&amp;3+MIN(2,ROUNDDOWN(I436,0))*3)*(3*$J436^3-6*$J436^2+3*$J436)+INDIRECT("C$"&amp;4+MIN(2,ROUNDDOWN(I436,0))*3)*(-3*$J436^3+3*$J436^2)+INDIRECT("C$"&amp;5+MIN(2,ROUNDDOWN(I436,0))*3)*$J436^3</f>
      </c>
      <c r="L436" s="7">
        <f>INDIRECT("D$"&amp;2+MIN(2,ROUNDDOWN(I436,0))*3)*(-$J436^3+3*$J436^2-3*$J436+1)+INDIRECT("D$"&amp;3+MIN(2,ROUNDDOWN(I436,0))*3)*(3*$J436^3-6*$J436^2+3*$J436)+INDIRECT("D$"&amp;4+MIN(2,ROUNDDOWN(I436,0))*3)*(-3*$J436^3+3*$J436^2)+INDIRECT("D$"&amp;5+MIN(2,ROUNDDOWN(I436,0))*3)*$J436^3</f>
      </c>
      <c r="M436" s="7">
        <f>SQRT(K436^2+L436^2)</f>
      </c>
      <c r="N436" s="7">
        <f>(K437-K435)</f>
      </c>
      <c r="O436" s="7">
        <f>+(L437-L435)</f>
      </c>
      <c r="P436" s="7">
        <f>SQRT(O436^2+N436^2)</f>
      </c>
      <c r="Q436" s="7">
        <f>N436/$P436</f>
      </c>
      <c r="R436" s="7">
        <f>O436/$P436</f>
      </c>
      <c r="S436" s="8">
        <f>Q436^2+R436^2</f>
      </c>
      <c r="T436" s="7">
        <f>-R436</f>
      </c>
      <c r="U436" s="7">
        <f>Q436</f>
      </c>
      <c r="V436" s="7">
        <f>($C$14+($C$15-$C$14)/($D$15-$D$14)*(I436-$D$14))/2</f>
      </c>
      <c r="W436" s="7">
        <f>($B$22*I436^4+$C$22*I436^3+$D$22*I436^2+$E$22*I436+$F$22)/2</f>
      </c>
      <c r="X436" s="7">
        <f>($W436)*(T436)</f>
      </c>
      <c r="Y436" s="7">
        <f>($W436)*(U436)</f>
      </c>
      <c r="Z436" s="7">
        <f>SQRT(X436^2+Y436^2)</f>
      </c>
      <c r="AA436" s="7">
        <f>$K436+$X436</f>
      </c>
      <c r="AB436" s="7">
        <f>$L436+$Y436</f>
      </c>
      <c r="AC436" s="7">
        <f>$K436-$X436</f>
      </c>
      <c r="AD436" s="7">
        <f>$L436-$Y436</f>
      </c>
      <c r="AE436" s="7">
        <f>AA436/39.3701</f>
      </c>
      <c r="AF436" s="7">
        <f>AB436/39.3701</f>
      </c>
      <c r="AG436" s="7">
        <f>AC436/39.3701</f>
      </c>
      <c r="AH436" s="7">
        <f>AD436/39.3701</f>
      </c>
      <c r="AI436" s="1"/>
      <c r="AJ436" s="1"/>
      <c r="AK436" s="1"/>
      <c r="AL436" s="1"/>
      <c r="AM436" s="2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</row>
    <row x14ac:dyDescent="0.25" r="437" customHeight="1" ht="18.75">
      <c r="A437" s="1"/>
      <c r="B437" s="2"/>
      <c r="C437" s="2"/>
      <c r="D437" s="2"/>
      <c r="E437" s="2"/>
      <c r="F437" s="2"/>
      <c r="G437" s="1"/>
      <c r="H437" s="1"/>
      <c r="I437" s="7">
        <v>0.434</v>
      </c>
      <c r="J437" s="7">
        <f>IF((I437-ROUNDDOWN(I437,0))=0, 0, (I437-ROUNDDOWN(I437,0)))</f>
      </c>
      <c r="K437" s="7">
        <f>INDIRECT("C$"&amp;2+MIN(2,ROUNDDOWN(I437,0))*3)*(-$J437^3+3*$J437^2-3*$J437+1)+INDIRECT("C$"&amp;3+MIN(2,ROUNDDOWN(I437,0))*3)*(3*$J437^3-6*$J437^2+3*$J437)+INDIRECT("C$"&amp;4+MIN(2,ROUNDDOWN(I437,0))*3)*(-3*$J437^3+3*$J437^2)+INDIRECT("C$"&amp;5+MIN(2,ROUNDDOWN(I437,0))*3)*$J437^3</f>
      </c>
      <c r="L437" s="7">
        <f>INDIRECT("D$"&amp;2+MIN(2,ROUNDDOWN(I437,0))*3)*(-$J437^3+3*$J437^2-3*$J437+1)+INDIRECT("D$"&amp;3+MIN(2,ROUNDDOWN(I437,0))*3)*(3*$J437^3-6*$J437^2+3*$J437)+INDIRECT("D$"&amp;4+MIN(2,ROUNDDOWN(I437,0))*3)*(-3*$J437^3+3*$J437^2)+INDIRECT("D$"&amp;5+MIN(2,ROUNDDOWN(I437,0))*3)*$J437^3</f>
      </c>
      <c r="M437" s="7">
        <f>SQRT(K437^2+L437^2)</f>
      </c>
      <c r="N437" s="7">
        <f>(K438-K436)</f>
      </c>
      <c r="O437" s="7">
        <f>+(L438-L436)</f>
      </c>
      <c r="P437" s="7">
        <f>SQRT(O437^2+N437^2)</f>
      </c>
      <c r="Q437" s="7">
        <f>N437/$P437</f>
      </c>
      <c r="R437" s="7">
        <f>O437/$P437</f>
      </c>
      <c r="S437" s="7">
        <f>Q437^2+R437^2</f>
      </c>
      <c r="T437" s="7">
        <f>-R437</f>
      </c>
      <c r="U437" s="7">
        <f>Q437</f>
      </c>
      <c r="V437" s="7">
        <f>($C$14+($C$15-$C$14)/($D$15-$D$14)*(I437-$D$14))/2</f>
      </c>
      <c r="W437" s="7">
        <f>($B$22*I437^4+$C$22*I437^3+$D$22*I437^2+$E$22*I437+$F$22)/2</f>
      </c>
      <c r="X437" s="7">
        <f>($W437)*(T437)</f>
      </c>
      <c r="Y437" s="7">
        <f>($W437)*(U437)</f>
      </c>
      <c r="Z437" s="7">
        <f>SQRT(X437^2+Y437^2)</f>
      </c>
      <c r="AA437" s="7">
        <f>$K437+$X437</f>
      </c>
      <c r="AB437" s="7">
        <f>$L437+$Y437</f>
      </c>
      <c r="AC437" s="7">
        <f>$K437-$X437</f>
      </c>
      <c r="AD437" s="7">
        <f>$L437-$Y437</f>
      </c>
      <c r="AE437" s="7">
        <f>AA437/39.3701</f>
      </c>
      <c r="AF437" s="7">
        <f>AB437/39.3701</f>
      </c>
      <c r="AG437" s="7">
        <f>AC437/39.3701</f>
      </c>
      <c r="AH437" s="7">
        <f>AD437/39.3701</f>
      </c>
      <c r="AI437" s="1"/>
      <c r="AJ437" s="1"/>
      <c r="AK437" s="1"/>
      <c r="AL437" s="1"/>
      <c r="AM437" s="2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</row>
    <row x14ac:dyDescent="0.25" r="438" customHeight="1" ht="18.75">
      <c r="A438" s="1"/>
      <c r="B438" s="2"/>
      <c r="C438" s="2"/>
      <c r="D438" s="2"/>
      <c r="E438" s="2"/>
      <c r="F438" s="2"/>
      <c r="G438" s="1"/>
      <c r="H438" s="1"/>
      <c r="I438" s="7">
        <v>0.435</v>
      </c>
      <c r="J438" s="7">
        <f>IF((I438-ROUNDDOWN(I438,0))=0, 0, (I438-ROUNDDOWN(I438,0)))</f>
      </c>
      <c r="K438" s="7">
        <f>INDIRECT("C$"&amp;2+MIN(2,ROUNDDOWN(I438,0))*3)*(-$J438^3+3*$J438^2-3*$J438+1)+INDIRECT("C$"&amp;3+MIN(2,ROUNDDOWN(I438,0))*3)*(3*$J438^3-6*$J438^2+3*$J438)+INDIRECT("C$"&amp;4+MIN(2,ROUNDDOWN(I438,0))*3)*(-3*$J438^3+3*$J438^2)+INDIRECT("C$"&amp;5+MIN(2,ROUNDDOWN(I438,0))*3)*$J438^3</f>
      </c>
      <c r="L438" s="7">
        <f>INDIRECT("D$"&amp;2+MIN(2,ROUNDDOWN(I438,0))*3)*(-$J438^3+3*$J438^2-3*$J438+1)+INDIRECT("D$"&amp;3+MIN(2,ROUNDDOWN(I438,0))*3)*(3*$J438^3-6*$J438^2+3*$J438)+INDIRECT("D$"&amp;4+MIN(2,ROUNDDOWN(I438,0))*3)*(-3*$J438^3+3*$J438^2)+INDIRECT("D$"&amp;5+MIN(2,ROUNDDOWN(I438,0))*3)*$J438^3</f>
      </c>
      <c r="M438" s="7">
        <f>SQRT(K438^2+L438^2)</f>
      </c>
      <c r="N438" s="7">
        <f>(K439-K437)</f>
      </c>
      <c r="O438" s="7">
        <f>+(L439-L437)</f>
      </c>
      <c r="P438" s="7">
        <f>SQRT(O438^2+N438^2)</f>
      </c>
      <c r="Q438" s="7">
        <f>N438/$P438</f>
      </c>
      <c r="R438" s="7">
        <f>O438/$P438</f>
      </c>
      <c r="S438" s="8">
        <f>Q438^2+R438^2</f>
      </c>
      <c r="T438" s="7">
        <f>-R438</f>
      </c>
      <c r="U438" s="7">
        <f>Q438</f>
      </c>
      <c r="V438" s="7">
        <f>($C$14+($C$15-$C$14)/($D$15-$D$14)*(I438-$D$14))/2</f>
      </c>
      <c r="W438" s="7">
        <f>($B$22*I438^4+$C$22*I438^3+$D$22*I438^2+$E$22*I438+$F$22)/2</f>
      </c>
      <c r="X438" s="7">
        <f>($W438)*(T438)</f>
      </c>
      <c r="Y438" s="7">
        <f>($W438)*(U438)</f>
      </c>
      <c r="Z438" s="7">
        <f>SQRT(X438^2+Y438^2)</f>
      </c>
      <c r="AA438" s="7">
        <f>$K438+$X438</f>
      </c>
      <c r="AB438" s="7">
        <f>$L438+$Y438</f>
      </c>
      <c r="AC438" s="7">
        <f>$K438-$X438</f>
      </c>
      <c r="AD438" s="7">
        <f>$L438-$Y438</f>
      </c>
      <c r="AE438" s="7">
        <f>AA438/39.3701</f>
      </c>
      <c r="AF438" s="7">
        <f>AB438/39.3701</f>
      </c>
      <c r="AG438" s="7">
        <f>AC438/39.3701</f>
      </c>
      <c r="AH438" s="7">
        <f>AD438/39.3701</f>
      </c>
      <c r="AI438" s="1"/>
      <c r="AJ438" s="1"/>
      <c r="AK438" s="1"/>
      <c r="AL438" s="1"/>
      <c r="AM438" s="2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</row>
    <row x14ac:dyDescent="0.25" r="439" customHeight="1" ht="18.75">
      <c r="A439" s="1"/>
      <c r="B439" s="2"/>
      <c r="C439" s="2"/>
      <c r="D439" s="2"/>
      <c r="E439" s="2"/>
      <c r="F439" s="2"/>
      <c r="G439" s="1"/>
      <c r="H439" s="1"/>
      <c r="I439" s="7">
        <v>0.436</v>
      </c>
      <c r="J439" s="7">
        <f>IF((I439-ROUNDDOWN(I439,0))=0, 0, (I439-ROUNDDOWN(I439,0)))</f>
      </c>
      <c r="K439" s="7">
        <f>INDIRECT("C$"&amp;2+MIN(2,ROUNDDOWN(I439,0))*3)*(-$J439^3+3*$J439^2-3*$J439+1)+INDIRECT("C$"&amp;3+MIN(2,ROUNDDOWN(I439,0))*3)*(3*$J439^3-6*$J439^2+3*$J439)+INDIRECT("C$"&amp;4+MIN(2,ROUNDDOWN(I439,0))*3)*(-3*$J439^3+3*$J439^2)+INDIRECT("C$"&amp;5+MIN(2,ROUNDDOWN(I439,0))*3)*$J439^3</f>
      </c>
      <c r="L439" s="7">
        <f>INDIRECT("D$"&amp;2+MIN(2,ROUNDDOWN(I439,0))*3)*(-$J439^3+3*$J439^2-3*$J439+1)+INDIRECT("D$"&amp;3+MIN(2,ROUNDDOWN(I439,0))*3)*(3*$J439^3-6*$J439^2+3*$J439)+INDIRECT("D$"&amp;4+MIN(2,ROUNDDOWN(I439,0))*3)*(-3*$J439^3+3*$J439^2)+INDIRECT("D$"&amp;5+MIN(2,ROUNDDOWN(I439,0))*3)*$J439^3</f>
      </c>
      <c r="M439" s="7">
        <f>SQRT(K439^2+L439^2)</f>
      </c>
      <c r="N439" s="7">
        <f>(K440-K438)</f>
      </c>
      <c r="O439" s="7">
        <f>+(L440-L438)</f>
      </c>
      <c r="P439" s="7">
        <f>SQRT(O439^2+N439^2)</f>
      </c>
      <c r="Q439" s="7">
        <f>N439/$P439</f>
      </c>
      <c r="R439" s="7">
        <f>O439/$P439</f>
      </c>
      <c r="S439" s="7">
        <f>Q439^2+R439^2</f>
      </c>
      <c r="T439" s="7">
        <f>-R439</f>
      </c>
      <c r="U439" s="7">
        <f>Q439</f>
      </c>
      <c r="V439" s="7">
        <f>($C$14+($C$15-$C$14)/($D$15-$D$14)*(I439-$D$14))/2</f>
      </c>
      <c r="W439" s="7">
        <f>($B$22*I439^4+$C$22*I439^3+$D$22*I439^2+$E$22*I439+$F$22)/2</f>
      </c>
      <c r="X439" s="7">
        <f>($W439)*(T439)</f>
      </c>
      <c r="Y439" s="7">
        <f>($W439)*(U439)</f>
      </c>
      <c r="Z439" s="7">
        <f>SQRT(X439^2+Y439^2)</f>
      </c>
      <c r="AA439" s="7">
        <f>$K439+$X439</f>
      </c>
      <c r="AB439" s="7">
        <f>$L439+$Y439</f>
      </c>
      <c r="AC439" s="7">
        <f>$K439-$X439</f>
      </c>
      <c r="AD439" s="7">
        <f>$L439-$Y439</f>
      </c>
      <c r="AE439" s="7">
        <f>AA439/39.3701</f>
      </c>
      <c r="AF439" s="7">
        <f>AB439/39.3701</f>
      </c>
      <c r="AG439" s="7">
        <f>AC439/39.3701</f>
      </c>
      <c r="AH439" s="7">
        <f>AD439/39.3701</f>
      </c>
      <c r="AI439" s="1"/>
      <c r="AJ439" s="1"/>
      <c r="AK439" s="1"/>
      <c r="AL439" s="1"/>
      <c r="AM439" s="2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</row>
    <row x14ac:dyDescent="0.25" r="440" customHeight="1" ht="18.75">
      <c r="A440" s="1"/>
      <c r="B440" s="2"/>
      <c r="C440" s="2"/>
      <c r="D440" s="2"/>
      <c r="E440" s="2"/>
      <c r="F440" s="2"/>
      <c r="G440" s="1"/>
      <c r="H440" s="1"/>
      <c r="I440" s="7">
        <v>0.437</v>
      </c>
      <c r="J440" s="7">
        <f>IF((I440-ROUNDDOWN(I440,0))=0, 0, (I440-ROUNDDOWN(I440,0)))</f>
      </c>
      <c r="K440" s="7">
        <f>INDIRECT("C$"&amp;2+MIN(2,ROUNDDOWN(I440,0))*3)*(-$J440^3+3*$J440^2-3*$J440+1)+INDIRECT("C$"&amp;3+MIN(2,ROUNDDOWN(I440,0))*3)*(3*$J440^3-6*$J440^2+3*$J440)+INDIRECT("C$"&amp;4+MIN(2,ROUNDDOWN(I440,0))*3)*(-3*$J440^3+3*$J440^2)+INDIRECT("C$"&amp;5+MIN(2,ROUNDDOWN(I440,0))*3)*$J440^3</f>
      </c>
      <c r="L440" s="7">
        <f>INDIRECT("D$"&amp;2+MIN(2,ROUNDDOWN(I440,0))*3)*(-$J440^3+3*$J440^2-3*$J440+1)+INDIRECT("D$"&amp;3+MIN(2,ROUNDDOWN(I440,0))*3)*(3*$J440^3-6*$J440^2+3*$J440)+INDIRECT("D$"&amp;4+MIN(2,ROUNDDOWN(I440,0))*3)*(-3*$J440^3+3*$J440^2)+INDIRECT("D$"&amp;5+MIN(2,ROUNDDOWN(I440,0))*3)*$J440^3</f>
      </c>
      <c r="M440" s="7">
        <f>SQRT(K440^2+L440^2)</f>
      </c>
      <c r="N440" s="7">
        <f>(K441-K439)</f>
      </c>
      <c r="O440" s="7">
        <f>+(L441-L439)</f>
      </c>
      <c r="P440" s="7">
        <f>SQRT(O440^2+N440^2)</f>
      </c>
      <c r="Q440" s="7">
        <f>N440/$P440</f>
      </c>
      <c r="R440" s="7">
        <f>O440/$P440</f>
      </c>
      <c r="S440" s="8">
        <f>Q440^2+R440^2</f>
      </c>
      <c r="T440" s="7">
        <f>-R440</f>
      </c>
      <c r="U440" s="7">
        <f>Q440</f>
      </c>
      <c r="V440" s="7">
        <f>($C$14+($C$15-$C$14)/($D$15-$D$14)*(I440-$D$14))/2</f>
      </c>
      <c r="W440" s="7">
        <f>($B$22*I440^4+$C$22*I440^3+$D$22*I440^2+$E$22*I440+$F$22)/2</f>
      </c>
      <c r="X440" s="7">
        <f>($W440)*(T440)</f>
      </c>
      <c r="Y440" s="7">
        <f>($W440)*(U440)</f>
      </c>
      <c r="Z440" s="7">
        <f>SQRT(X440^2+Y440^2)</f>
      </c>
      <c r="AA440" s="7">
        <f>$K440+$X440</f>
      </c>
      <c r="AB440" s="7">
        <f>$L440+$Y440</f>
      </c>
      <c r="AC440" s="7">
        <f>$K440-$X440</f>
      </c>
      <c r="AD440" s="7">
        <f>$L440-$Y440</f>
      </c>
      <c r="AE440" s="7">
        <f>AA440/39.3701</f>
      </c>
      <c r="AF440" s="7">
        <f>AB440/39.3701</f>
      </c>
      <c r="AG440" s="7">
        <f>AC440/39.3701</f>
      </c>
      <c r="AH440" s="7">
        <f>AD440/39.3701</f>
      </c>
      <c r="AI440" s="1"/>
      <c r="AJ440" s="1"/>
      <c r="AK440" s="1"/>
      <c r="AL440" s="1"/>
      <c r="AM440" s="2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</row>
    <row x14ac:dyDescent="0.25" r="441" customHeight="1" ht="18.75">
      <c r="A441" s="1"/>
      <c r="B441" s="2"/>
      <c r="C441" s="2"/>
      <c r="D441" s="2"/>
      <c r="E441" s="2"/>
      <c r="F441" s="2"/>
      <c r="G441" s="1"/>
      <c r="H441" s="1"/>
      <c r="I441" s="7">
        <v>0.438</v>
      </c>
      <c r="J441" s="7">
        <f>IF((I441-ROUNDDOWN(I441,0))=0, 0, (I441-ROUNDDOWN(I441,0)))</f>
      </c>
      <c r="K441" s="7">
        <f>INDIRECT("C$"&amp;2+MIN(2,ROUNDDOWN(I441,0))*3)*(-$J441^3+3*$J441^2-3*$J441+1)+INDIRECT("C$"&amp;3+MIN(2,ROUNDDOWN(I441,0))*3)*(3*$J441^3-6*$J441^2+3*$J441)+INDIRECT("C$"&amp;4+MIN(2,ROUNDDOWN(I441,0))*3)*(-3*$J441^3+3*$J441^2)+INDIRECT("C$"&amp;5+MIN(2,ROUNDDOWN(I441,0))*3)*$J441^3</f>
      </c>
      <c r="L441" s="7">
        <f>INDIRECT("D$"&amp;2+MIN(2,ROUNDDOWN(I441,0))*3)*(-$J441^3+3*$J441^2-3*$J441+1)+INDIRECT("D$"&amp;3+MIN(2,ROUNDDOWN(I441,0))*3)*(3*$J441^3-6*$J441^2+3*$J441)+INDIRECT("D$"&amp;4+MIN(2,ROUNDDOWN(I441,0))*3)*(-3*$J441^3+3*$J441^2)+INDIRECT("D$"&amp;5+MIN(2,ROUNDDOWN(I441,0))*3)*$J441^3</f>
      </c>
      <c r="M441" s="7">
        <f>SQRT(K441^2+L441^2)</f>
      </c>
      <c r="N441" s="7">
        <f>(K442-K440)</f>
      </c>
      <c r="O441" s="7">
        <f>+(L442-L440)</f>
      </c>
      <c r="P441" s="7">
        <f>SQRT(O441^2+N441^2)</f>
      </c>
      <c r="Q441" s="7">
        <f>N441/$P441</f>
      </c>
      <c r="R441" s="7">
        <f>O441/$P441</f>
      </c>
      <c r="S441" s="7">
        <f>Q441^2+R441^2</f>
      </c>
      <c r="T441" s="7">
        <f>-R441</f>
      </c>
      <c r="U441" s="7">
        <f>Q441</f>
      </c>
      <c r="V441" s="7">
        <f>($C$14+($C$15-$C$14)/($D$15-$D$14)*(I441-$D$14))/2</f>
      </c>
      <c r="W441" s="7">
        <f>($B$22*I441^4+$C$22*I441^3+$D$22*I441^2+$E$22*I441+$F$22)/2</f>
      </c>
      <c r="X441" s="7">
        <f>($W441)*(T441)</f>
      </c>
      <c r="Y441" s="7">
        <f>($W441)*(U441)</f>
      </c>
      <c r="Z441" s="7">
        <f>SQRT(X441^2+Y441^2)</f>
      </c>
      <c r="AA441" s="7">
        <f>$K441+$X441</f>
      </c>
      <c r="AB441" s="7">
        <f>$L441+$Y441</f>
      </c>
      <c r="AC441" s="7">
        <f>$K441-$X441</f>
      </c>
      <c r="AD441" s="7">
        <f>$L441-$Y441</f>
      </c>
      <c r="AE441" s="7">
        <f>AA441/39.3701</f>
      </c>
      <c r="AF441" s="7">
        <f>AB441/39.3701</f>
      </c>
      <c r="AG441" s="7">
        <f>AC441/39.3701</f>
      </c>
      <c r="AH441" s="7">
        <f>AD441/39.3701</f>
      </c>
      <c r="AI441" s="1"/>
      <c r="AJ441" s="1"/>
      <c r="AK441" s="1"/>
      <c r="AL441" s="1"/>
      <c r="AM441" s="2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</row>
    <row x14ac:dyDescent="0.25" r="442" customHeight="1" ht="18.75">
      <c r="A442" s="1"/>
      <c r="B442" s="2"/>
      <c r="C442" s="2"/>
      <c r="D442" s="2"/>
      <c r="E442" s="2"/>
      <c r="F442" s="2"/>
      <c r="G442" s="1"/>
      <c r="H442" s="1"/>
      <c r="I442" s="7">
        <v>0.439</v>
      </c>
      <c r="J442" s="7">
        <f>IF((I442-ROUNDDOWN(I442,0))=0, 0, (I442-ROUNDDOWN(I442,0)))</f>
      </c>
      <c r="K442" s="7">
        <f>INDIRECT("C$"&amp;2+MIN(2,ROUNDDOWN(I442,0))*3)*(-$J442^3+3*$J442^2-3*$J442+1)+INDIRECT("C$"&amp;3+MIN(2,ROUNDDOWN(I442,0))*3)*(3*$J442^3-6*$J442^2+3*$J442)+INDIRECT("C$"&amp;4+MIN(2,ROUNDDOWN(I442,0))*3)*(-3*$J442^3+3*$J442^2)+INDIRECT("C$"&amp;5+MIN(2,ROUNDDOWN(I442,0))*3)*$J442^3</f>
      </c>
      <c r="L442" s="7">
        <f>INDIRECT("D$"&amp;2+MIN(2,ROUNDDOWN(I442,0))*3)*(-$J442^3+3*$J442^2-3*$J442+1)+INDIRECT("D$"&amp;3+MIN(2,ROUNDDOWN(I442,0))*3)*(3*$J442^3-6*$J442^2+3*$J442)+INDIRECT("D$"&amp;4+MIN(2,ROUNDDOWN(I442,0))*3)*(-3*$J442^3+3*$J442^2)+INDIRECT("D$"&amp;5+MIN(2,ROUNDDOWN(I442,0))*3)*$J442^3</f>
      </c>
      <c r="M442" s="7">
        <f>SQRT(K442^2+L442^2)</f>
      </c>
      <c r="N442" s="7">
        <f>(K443-K441)</f>
      </c>
      <c r="O442" s="7">
        <f>+(L443-L441)</f>
      </c>
      <c r="P442" s="7">
        <f>SQRT(O442^2+N442^2)</f>
      </c>
      <c r="Q442" s="7">
        <f>N442/$P442</f>
      </c>
      <c r="R442" s="7">
        <f>O442/$P442</f>
      </c>
      <c r="S442" s="8">
        <f>Q442^2+R442^2</f>
      </c>
      <c r="T442" s="7">
        <f>-R442</f>
      </c>
      <c r="U442" s="7">
        <f>Q442</f>
      </c>
      <c r="V442" s="7">
        <f>($C$14+($C$15-$C$14)/($D$15-$D$14)*(I442-$D$14))/2</f>
      </c>
      <c r="W442" s="7">
        <f>($B$22*I442^4+$C$22*I442^3+$D$22*I442^2+$E$22*I442+$F$22)/2</f>
      </c>
      <c r="X442" s="7">
        <f>($W442)*(T442)</f>
      </c>
      <c r="Y442" s="7">
        <f>($W442)*(U442)</f>
      </c>
      <c r="Z442" s="7">
        <f>SQRT(X442^2+Y442^2)</f>
      </c>
      <c r="AA442" s="7">
        <f>$K442+$X442</f>
      </c>
      <c r="AB442" s="7">
        <f>$L442+$Y442</f>
      </c>
      <c r="AC442" s="7">
        <f>$K442-$X442</f>
      </c>
      <c r="AD442" s="7">
        <f>$L442-$Y442</f>
      </c>
      <c r="AE442" s="7">
        <f>AA442/39.3701</f>
      </c>
      <c r="AF442" s="7">
        <f>AB442/39.3701</f>
      </c>
      <c r="AG442" s="7">
        <f>AC442/39.3701</f>
      </c>
      <c r="AH442" s="7">
        <f>AD442/39.3701</f>
      </c>
      <c r="AI442" s="1"/>
      <c r="AJ442" s="1"/>
      <c r="AK442" s="1"/>
      <c r="AL442" s="1"/>
      <c r="AM442" s="2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</row>
    <row x14ac:dyDescent="0.25" r="443" customHeight="1" ht="18.75">
      <c r="A443" s="1"/>
      <c r="B443" s="2"/>
      <c r="C443" s="2"/>
      <c r="D443" s="2"/>
      <c r="E443" s="2"/>
      <c r="F443" s="2"/>
      <c r="G443" s="1"/>
      <c r="H443" s="1"/>
      <c r="I443" s="7">
        <v>0.44</v>
      </c>
      <c r="J443" s="7">
        <f>IF((I443-ROUNDDOWN(I443,0))=0, 0, (I443-ROUNDDOWN(I443,0)))</f>
      </c>
      <c r="K443" s="7">
        <f>INDIRECT("C$"&amp;2+MIN(2,ROUNDDOWN(I443,0))*3)*(-$J443^3+3*$J443^2-3*$J443+1)+INDIRECT("C$"&amp;3+MIN(2,ROUNDDOWN(I443,0))*3)*(3*$J443^3-6*$J443^2+3*$J443)+INDIRECT("C$"&amp;4+MIN(2,ROUNDDOWN(I443,0))*3)*(-3*$J443^3+3*$J443^2)+INDIRECT("C$"&amp;5+MIN(2,ROUNDDOWN(I443,0))*3)*$J443^3</f>
      </c>
      <c r="L443" s="7">
        <f>INDIRECT("D$"&amp;2+MIN(2,ROUNDDOWN(I443,0))*3)*(-$J443^3+3*$J443^2-3*$J443+1)+INDIRECT("D$"&amp;3+MIN(2,ROUNDDOWN(I443,0))*3)*(3*$J443^3-6*$J443^2+3*$J443)+INDIRECT("D$"&amp;4+MIN(2,ROUNDDOWN(I443,0))*3)*(-3*$J443^3+3*$J443^2)+INDIRECT("D$"&amp;5+MIN(2,ROUNDDOWN(I443,0))*3)*$J443^3</f>
      </c>
      <c r="M443" s="7">
        <f>SQRT(K443^2+L443^2)</f>
      </c>
      <c r="N443" s="7">
        <f>(K444-K442)</f>
      </c>
      <c r="O443" s="7">
        <f>+(L444-L442)</f>
      </c>
      <c r="P443" s="7">
        <f>SQRT(O443^2+N443^2)</f>
      </c>
      <c r="Q443" s="7">
        <f>N443/$P443</f>
      </c>
      <c r="R443" s="7">
        <f>O443/$P443</f>
      </c>
      <c r="S443" s="8">
        <f>Q443^2+R443^2</f>
      </c>
      <c r="T443" s="7">
        <f>-R443</f>
      </c>
      <c r="U443" s="7">
        <f>Q443</f>
      </c>
      <c r="V443" s="7">
        <f>($C$14+($C$15-$C$14)/($D$15-$D$14)*(I443-$D$14))/2</f>
      </c>
      <c r="W443" s="7">
        <f>($B$22*I443^4+$C$22*I443^3+$D$22*I443^2+$E$22*I443+$F$22)/2</f>
      </c>
      <c r="X443" s="7">
        <f>($W443)*(T443)</f>
      </c>
      <c r="Y443" s="7">
        <f>($W443)*(U443)</f>
      </c>
      <c r="Z443" s="7">
        <f>SQRT(X443^2+Y443^2)</f>
      </c>
      <c r="AA443" s="7">
        <f>$K443+$X443</f>
      </c>
      <c r="AB443" s="7">
        <f>$L443+$Y443</f>
      </c>
      <c r="AC443" s="7">
        <f>$K443-$X443</f>
      </c>
      <c r="AD443" s="7">
        <f>$L443-$Y443</f>
      </c>
      <c r="AE443" s="7">
        <f>AA443/39.3701</f>
      </c>
      <c r="AF443" s="7">
        <f>AB443/39.3701</f>
      </c>
      <c r="AG443" s="7">
        <f>AC443/39.3701</f>
      </c>
      <c r="AH443" s="7">
        <f>AD443/39.3701</f>
      </c>
      <c r="AI443" s="1"/>
      <c r="AJ443" s="1"/>
      <c r="AK443" s="1"/>
      <c r="AL443" s="1"/>
      <c r="AM443" s="2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</row>
    <row x14ac:dyDescent="0.25" r="444" customHeight="1" ht="18.75">
      <c r="A444" s="1"/>
      <c r="B444" s="2"/>
      <c r="C444" s="2"/>
      <c r="D444" s="2"/>
      <c r="E444" s="2"/>
      <c r="F444" s="2"/>
      <c r="G444" s="1"/>
      <c r="H444" s="1"/>
      <c r="I444" s="7">
        <v>0.441</v>
      </c>
      <c r="J444" s="7">
        <f>IF((I444-ROUNDDOWN(I444,0))=0, 0, (I444-ROUNDDOWN(I444,0)))</f>
      </c>
      <c r="K444" s="7">
        <f>INDIRECT("C$"&amp;2+MIN(2,ROUNDDOWN(I444,0))*3)*(-$J444^3+3*$J444^2-3*$J444+1)+INDIRECT("C$"&amp;3+MIN(2,ROUNDDOWN(I444,0))*3)*(3*$J444^3-6*$J444^2+3*$J444)+INDIRECT("C$"&amp;4+MIN(2,ROUNDDOWN(I444,0))*3)*(-3*$J444^3+3*$J444^2)+INDIRECT("C$"&amp;5+MIN(2,ROUNDDOWN(I444,0))*3)*$J444^3</f>
      </c>
      <c r="L444" s="7">
        <f>INDIRECT("D$"&amp;2+MIN(2,ROUNDDOWN(I444,0))*3)*(-$J444^3+3*$J444^2-3*$J444+1)+INDIRECT("D$"&amp;3+MIN(2,ROUNDDOWN(I444,0))*3)*(3*$J444^3-6*$J444^2+3*$J444)+INDIRECT("D$"&amp;4+MIN(2,ROUNDDOWN(I444,0))*3)*(-3*$J444^3+3*$J444^2)+INDIRECT("D$"&amp;5+MIN(2,ROUNDDOWN(I444,0))*3)*$J444^3</f>
      </c>
      <c r="M444" s="7">
        <f>SQRT(K444^2+L444^2)</f>
      </c>
      <c r="N444" s="7">
        <f>(K445-K443)</f>
      </c>
      <c r="O444" s="7">
        <f>+(L445-L443)</f>
      </c>
      <c r="P444" s="7">
        <f>SQRT(O444^2+N444^2)</f>
      </c>
      <c r="Q444" s="7">
        <f>N444/$P444</f>
      </c>
      <c r="R444" s="7">
        <f>O444/$P444</f>
      </c>
      <c r="S444" s="8">
        <f>Q444^2+R444^2</f>
      </c>
      <c r="T444" s="7">
        <f>-R444</f>
      </c>
      <c r="U444" s="7">
        <f>Q444</f>
      </c>
      <c r="V444" s="7">
        <f>($C$14+($C$15-$C$14)/($D$15-$D$14)*(I444-$D$14))/2</f>
      </c>
      <c r="W444" s="7">
        <f>($B$22*I444^4+$C$22*I444^3+$D$22*I444^2+$E$22*I444+$F$22)/2</f>
      </c>
      <c r="X444" s="7">
        <f>($W444)*(T444)</f>
      </c>
      <c r="Y444" s="7">
        <f>($W444)*(U444)</f>
      </c>
      <c r="Z444" s="7">
        <f>SQRT(X444^2+Y444^2)</f>
      </c>
      <c r="AA444" s="7">
        <f>$K444+$X444</f>
      </c>
      <c r="AB444" s="7">
        <f>$L444+$Y444</f>
      </c>
      <c r="AC444" s="7">
        <f>$K444-$X444</f>
      </c>
      <c r="AD444" s="7">
        <f>$L444-$Y444</f>
      </c>
      <c r="AE444" s="7">
        <f>AA444/39.3701</f>
      </c>
      <c r="AF444" s="7">
        <f>AB444/39.3701</f>
      </c>
      <c r="AG444" s="7">
        <f>AC444/39.3701</f>
      </c>
      <c r="AH444" s="7">
        <f>AD444/39.3701</f>
      </c>
      <c r="AI444" s="1"/>
      <c r="AJ444" s="1"/>
      <c r="AK444" s="1"/>
      <c r="AL444" s="1"/>
      <c r="AM444" s="2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</row>
    <row x14ac:dyDescent="0.25" r="445" customHeight="1" ht="18.75">
      <c r="A445" s="1"/>
      <c r="B445" s="2"/>
      <c r="C445" s="2"/>
      <c r="D445" s="2"/>
      <c r="E445" s="2"/>
      <c r="F445" s="2"/>
      <c r="G445" s="1"/>
      <c r="H445" s="1"/>
      <c r="I445" s="7">
        <v>0.442</v>
      </c>
      <c r="J445" s="7">
        <f>IF((I445-ROUNDDOWN(I445,0))=0, 0, (I445-ROUNDDOWN(I445,0)))</f>
      </c>
      <c r="K445" s="7">
        <f>INDIRECT("C$"&amp;2+MIN(2,ROUNDDOWN(I445,0))*3)*(-$J445^3+3*$J445^2-3*$J445+1)+INDIRECT("C$"&amp;3+MIN(2,ROUNDDOWN(I445,0))*3)*(3*$J445^3-6*$J445^2+3*$J445)+INDIRECT("C$"&amp;4+MIN(2,ROUNDDOWN(I445,0))*3)*(-3*$J445^3+3*$J445^2)+INDIRECT("C$"&amp;5+MIN(2,ROUNDDOWN(I445,0))*3)*$J445^3</f>
      </c>
      <c r="L445" s="7">
        <f>INDIRECT("D$"&amp;2+MIN(2,ROUNDDOWN(I445,0))*3)*(-$J445^3+3*$J445^2-3*$J445+1)+INDIRECT("D$"&amp;3+MIN(2,ROUNDDOWN(I445,0))*3)*(3*$J445^3-6*$J445^2+3*$J445)+INDIRECT("D$"&amp;4+MIN(2,ROUNDDOWN(I445,0))*3)*(-3*$J445^3+3*$J445^2)+INDIRECT("D$"&amp;5+MIN(2,ROUNDDOWN(I445,0))*3)*$J445^3</f>
      </c>
      <c r="M445" s="7">
        <f>SQRT(K445^2+L445^2)</f>
      </c>
      <c r="N445" s="7">
        <f>(K446-K444)</f>
      </c>
      <c r="O445" s="7">
        <f>+(L446-L444)</f>
      </c>
      <c r="P445" s="7">
        <f>SQRT(O445^2+N445^2)</f>
      </c>
      <c r="Q445" s="7">
        <f>N445/$P445</f>
      </c>
      <c r="R445" s="7">
        <f>O445/$P445</f>
      </c>
      <c r="S445" s="8">
        <f>Q445^2+R445^2</f>
      </c>
      <c r="T445" s="7">
        <f>-R445</f>
      </c>
      <c r="U445" s="7">
        <f>Q445</f>
      </c>
      <c r="V445" s="7">
        <f>($C$14+($C$15-$C$14)/($D$15-$D$14)*(I445-$D$14))/2</f>
      </c>
      <c r="W445" s="7">
        <f>($B$22*I445^4+$C$22*I445^3+$D$22*I445^2+$E$22*I445+$F$22)/2</f>
      </c>
      <c r="X445" s="7">
        <f>($W445)*(T445)</f>
      </c>
      <c r="Y445" s="7">
        <f>($W445)*(U445)</f>
      </c>
      <c r="Z445" s="7">
        <f>SQRT(X445^2+Y445^2)</f>
      </c>
      <c r="AA445" s="7">
        <f>$K445+$X445</f>
      </c>
      <c r="AB445" s="7">
        <f>$L445+$Y445</f>
      </c>
      <c r="AC445" s="7">
        <f>$K445-$X445</f>
      </c>
      <c r="AD445" s="7">
        <f>$L445-$Y445</f>
      </c>
      <c r="AE445" s="7">
        <f>AA445/39.3701</f>
      </c>
      <c r="AF445" s="7">
        <f>AB445/39.3701</f>
      </c>
      <c r="AG445" s="7">
        <f>AC445/39.3701</f>
      </c>
      <c r="AH445" s="7">
        <f>AD445/39.3701</f>
      </c>
      <c r="AI445" s="1"/>
      <c r="AJ445" s="1"/>
      <c r="AK445" s="1"/>
      <c r="AL445" s="1"/>
      <c r="AM445" s="2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</row>
    <row x14ac:dyDescent="0.25" r="446" customHeight="1" ht="18.75">
      <c r="A446" s="1"/>
      <c r="B446" s="2"/>
      <c r="C446" s="2"/>
      <c r="D446" s="2"/>
      <c r="E446" s="2"/>
      <c r="F446" s="2"/>
      <c r="G446" s="1"/>
      <c r="H446" s="1"/>
      <c r="I446" s="7">
        <v>0.443</v>
      </c>
      <c r="J446" s="7">
        <f>IF((I446-ROUNDDOWN(I446,0))=0, 0, (I446-ROUNDDOWN(I446,0)))</f>
      </c>
      <c r="K446" s="7">
        <f>INDIRECT("C$"&amp;2+MIN(2,ROUNDDOWN(I446,0))*3)*(-$J446^3+3*$J446^2-3*$J446+1)+INDIRECT("C$"&amp;3+MIN(2,ROUNDDOWN(I446,0))*3)*(3*$J446^3-6*$J446^2+3*$J446)+INDIRECT("C$"&amp;4+MIN(2,ROUNDDOWN(I446,0))*3)*(-3*$J446^3+3*$J446^2)+INDIRECT("C$"&amp;5+MIN(2,ROUNDDOWN(I446,0))*3)*$J446^3</f>
      </c>
      <c r="L446" s="7">
        <f>INDIRECT("D$"&amp;2+MIN(2,ROUNDDOWN(I446,0))*3)*(-$J446^3+3*$J446^2-3*$J446+1)+INDIRECT("D$"&amp;3+MIN(2,ROUNDDOWN(I446,0))*3)*(3*$J446^3-6*$J446^2+3*$J446)+INDIRECT("D$"&amp;4+MIN(2,ROUNDDOWN(I446,0))*3)*(-3*$J446^3+3*$J446^2)+INDIRECT("D$"&amp;5+MIN(2,ROUNDDOWN(I446,0))*3)*$J446^3</f>
      </c>
      <c r="M446" s="7">
        <f>SQRT(K446^2+L446^2)</f>
      </c>
      <c r="N446" s="7">
        <f>(K447-K445)</f>
      </c>
      <c r="O446" s="7">
        <f>+(L447-L445)</f>
      </c>
      <c r="P446" s="7">
        <f>SQRT(O446^2+N446^2)</f>
      </c>
      <c r="Q446" s="7">
        <f>N446/$P446</f>
      </c>
      <c r="R446" s="7">
        <f>O446/$P446</f>
      </c>
      <c r="S446" s="7">
        <f>Q446^2+R446^2</f>
      </c>
      <c r="T446" s="7">
        <f>-R446</f>
      </c>
      <c r="U446" s="7">
        <f>Q446</f>
      </c>
      <c r="V446" s="7">
        <f>($C$14+($C$15-$C$14)/($D$15-$D$14)*(I446-$D$14))/2</f>
      </c>
      <c r="W446" s="7">
        <f>($B$22*I446^4+$C$22*I446^3+$D$22*I446^2+$E$22*I446+$F$22)/2</f>
      </c>
      <c r="X446" s="7">
        <f>($W446)*(T446)</f>
      </c>
      <c r="Y446" s="7">
        <f>($W446)*(U446)</f>
      </c>
      <c r="Z446" s="7">
        <f>SQRT(X446^2+Y446^2)</f>
      </c>
      <c r="AA446" s="7">
        <f>$K446+$X446</f>
      </c>
      <c r="AB446" s="7">
        <f>$L446+$Y446</f>
      </c>
      <c r="AC446" s="7">
        <f>$K446-$X446</f>
      </c>
      <c r="AD446" s="7">
        <f>$L446-$Y446</f>
      </c>
      <c r="AE446" s="7">
        <f>AA446/39.3701</f>
      </c>
      <c r="AF446" s="7">
        <f>AB446/39.3701</f>
      </c>
      <c r="AG446" s="7">
        <f>AC446/39.3701</f>
      </c>
      <c r="AH446" s="7">
        <f>AD446/39.3701</f>
      </c>
      <c r="AI446" s="1"/>
      <c r="AJ446" s="1"/>
      <c r="AK446" s="1"/>
      <c r="AL446" s="1"/>
      <c r="AM446" s="2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</row>
    <row x14ac:dyDescent="0.25" r="447" customHeight="1" ht="18.75">
      <c r="A447" s="1"/>
      <c r="B447" s="2"/>
      <c r="C447" s="2"/>
      <c r="D447" s="2"/>
      <c r="E447" s="2"/>
      <c r="F447" s="2"/>
      <c r="G447" s="1"/>
      <c r="H447" s="1"/>
      <c r="I447" s="7">
        <v>0.444</v>
      </c>
      <c r="J447" s="7">
        <f>IF((I447-ROUNDDOWN(I447,0))=0, 0, (I447-ROUNDDOWN(I447,0)))</f>
      </c>
      <c r="K447" s="7">
        <f>INDIRECT("C$"&amp;2+MIN(2,ROUNDDOWN(I447,0))*3)*(-$J447^3+3*$J447^2-3*$J447+1)+INDIRECT("C$"&amp;3+MIN(2,ROUNDDOWN(I447,0))*3)*(3*$J447^3-6*$J447^2+3*$J447)+INDIRECT("C$"&amp;4+MIN(2,ROUNDDOWN(I447,0))*3)*(-3*$J447^3+3*$J447^2)+INDIRECT("C$"&amp;5+MIN(2,ROUNDDOWN(I447,0))*3)*$J447^3</f>
      </c>
      <c r="L447" s="7">
        <f>INDIRECT("D$"&amp;2+MIN(2,ROUNDDOWN(I447,0))*3)*(-$J447^3+3*$J447^2-3*$J447+1)+INDIRECT("D$"&amp;3+MIN(2,ROUNDDOWN(I447,0))*3)*(3*$J447^3-6*$J447^2+3*$J447)+INDIRECT("D$"&amp;4+MIN(2,ROUNDDOWN(I447,0))*3)*(-3*$J447^3+3*$J447^2)+INDIRECT("D$"&amp;5+MIN(2,ROUNDDOWN(I447,0))*3)*$J447^3</f>
      </c>
      <c r="M447" s="7">
        <f>SQRT(K447^2+L447^2)</f>
      </c>
      <c r="N447" s="7">
        <f>(K448-K446)</f>
      </c>
      <c r="O447" s="7">
        <f>+(L448-L446)</f>
      </c>
      <c r="P447" s="7">
        <f>SQRT(O447^2+N447^2)</f>
      </c>
      <c r="Q447" s="7">
        <f>N447/$P447</f>
      </c>
      <c r="R447" s="7">
        <f>O447/$P447</f>
      </c>
      <c r="S447" s="7">
        <f>Q447^2+R447^2</f>
      </c>
      <c r="T447" s="7">
        <f>-R447</f>
      </c>
      <c r="U447" s="7">
        <f>Q447</f>
      </c>
      <c r="V447" s="7">
        <f>($C$14+($C$15-$C$14)/($D$15-$D$14)*(I447-$D$14))/2</f>
      </c>
      <c r="W447" s="7">
        <f>($B$22*I447^4+$C$22*I447^3+$D$22*I447^2+$E$22*I447+$F$22)/2</f>
      </c>
      <c r="X447" s="7">
        <f>($W447)*(T447)</f>
      </c>
      <c r="Y447" s="7">
        <f>($W447)*(U447)</f>
      </c>
      <c r="Z447" s="7">
        <f>SQRT(X447^2+Y447^2)</f>
      </c>
      <c r="AA447" s="7">
        <f>$K447+$X447</f>
      </c>
      <c r="AB447" s="7">
        <f>$L447+$Y447</f>
      </c>
      <c r="AC447" s="7">
        <f>$K447-$X447</f>
      </c>
      <c r="AD447" s="7">
        <f>$L447-$Y447</f>
      </c>
      <c r="AE447" s="7">
        <f>AA447/39.3701</f>
      </c>
      <c r="AF447" s="7">
        <f>AB447/39.3701</f>
      </c>
      <c r="AG447" s="7">
        <f>AC447/39.3701</f>
      </c>
      <c r="AH447" s="7">
        <f>AD447/39.3701</f>
      </c>
      <c r="AI447" s="1"/>
      <c r="AJ447" s="1"/>
      <c r="AK447" s="1"/>
      <c r="AL447" s="1"/>
      <c r="AM447" s="2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</row>
    <row x14ac:dyDescent="0.25" r="448" customHeight="1" ht="18.75">
      <c r="A448" s="1"/>
      <c r="B448" s="2"/>
      <c r="C448" s="2"/>
      <c r="D448" s="2"/>
      <c r="E448" s="2"/>
      <c r="F448" s="2"/>
      <c r="G448" s="1"/>
      <c r="H448" s="1"/>
      <c r="I448" s="7">
        <v>0.445</v>
      </c>
      <c r="J448" s="7">
        <f>IF((I448-ROUNDDOWN(I448,0))=0, 0, (I448-ROUNDDOWN(I448,0)))</f>
      </c>
      <c r="K448" s="7">
        <f>INDIRECT("C$"&amp;2+MIN(2,ROUNDDOWN(I448,0))*3)*(-$J448^3+3*$J448^2-3*$J448+1)+INDIRECT("C$"&amp;3+MIN(2,ROUNDDOWN(I448,0))*3)*(3*$J448^3-6*$J448^2+3*$J448)+INDIRECT("C$"&amp;4+MIN(2,ROUNDDOWN(I448,0))*3)*(-3*$J448^3+3*$J448^2)+INDIRECT("C$"&amp;5+MIN(2,ROUNDDOWN(I448,0))*3)*$J448^3</f>
      </c>
      <c r="L448" s="7">
        <f>INDIRECT("D$"&amp;2+MIN(2,ROUNDDOWN(I448,0))*3)*(-$J448^3+3*$J448^2-3*$J448+1)+INDIRECT("D$"&amp;3+MIN(2,ROUNDDOWN(I448,0))*3)*(3*$J448^3-6*$J448^2+3*$J448)+INDIRECT("D$"&amp;4+MIN(2,ROUNDDOWN(I448,0))*3)*(-3*$J448^3+3*$J448^2)+INDIRECT("D$"&amp;5+MIN(2,ROUNDDOWN(I448,0))*3)*$J448^3</f>
      </c>
      <c r="M448" s="7">
        <f>SQRT(K448^2+L448^2)</f>
      </c>
      <c r="N448" s="7">
        <f>(K449-K447)</f>
      </c>
      <c r="O448" s="7">
        <f>+(L449-L447)</f>
      </c>
      <c r="P448" s="7">
        <f>SQRT(O448^2+N448^2)</f>
      </c>
      <c r="Q448" s="7">
        <f>N448/$P448</f>
      </c>
      <c r="R448" s="7">
        <f>O448/$P448</f>
      </c>
      <c r="S448" s="7">
        <f>Q448^2+R448^2</f>
      </c>
      <c r="T448" s="7">
        <f>-R448</f>
      </c>
      <c r="U448" s="7">
        <f>Q448</f>
      </c>
      <c r="V448" s="7">
        <f>($C$14+($C$15-$C$14)/($D$15-$D$14)*(I448-$D$14))/2</f>
      </c>
      <c r="W448" s="7">
        <f>($B$22*I448^4+$C$22*I448^3+$D$22*I448^2+$E$22*I448+$F$22)/2</f>
      </c>
      <c r="X448" s="7">
        <f>($W448)*(T448)</f>
      </c>
      <c r="Y448" s="7">
        <f>($W448)*(U448)</f>
      </c>
      <c r="Z448" s="7">
        <f>SQRT(X448^2+Y448^2)</f>
      </c>
      <c r="AA448" s="7">
        <f>$K448+$X448</f>
      </c>
      <c r="AB448" s="7">
        <f>$L448+$Y448</f>
      </c>
      <c r="AC448" s="7">
        <f>$K448-$X448</f>
      </c>
      <c r="AD448" s="7">
        <f>$L448-$Y448</f>
      </c>
      <c r="AE448" s="7">
        <f>AA448/39.3701</f>
      </c>
      <c r="AF448" s="7">
        <f>AB448/39.3701</f>
      </c>
      <c r="AG448" s="7">
        <f>AC448/39.3701</f>
      </c>
      <c r="AH448" s="7">
        <f>AD448/39.3701</f>
      </c>
      <c r="AI448" s="1"/>
      <c r="AJ448" s="1"/>
      <c r="AK448" s="1"/>
      <c r="AL448" s="1"/>
      <c r="AM448" s="2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</row>
    <row x14ac:dyDescent="0.25" r="449" customHeight="1" ht="18.75">
      <c r="A449" s="1"/>
      <c r="B449" s="2"/>
      <c r="C449" s="2"/>
      <c r="D449" s="2"/>
      <c r="E449" s="2"/>
      <c r="F449" s="2"/>
      <c r="G449" s="1"/>
      <c r="H449" s="1"/>
      <c r="I449" s="7">
        <v>0.446</v>
      </c>
      <c r="J449" s="7">
        <f>IF((I449-ROUNDDOWN(I449,0))=0, 0, (I449-ROUNDDOWN(I449,0)))</f>
      </c>
      <c r="K449" s="7">
        <f>INDIRECT("C$"&amp;2+MIN(2,ROUNDDOWN(I449,0))*3)*(-$J449^3+3*$J449^2-3*$J449+1)+INDIRECT("C$"&amp;3+MIN(2,ROUNDDOWN(I449,0))*3)*(3*$J449^3-6*$J449^2+3*$J449)+INDIRECT("C$"&amp;4+MIN(2,ROUNDDOWN(I449,0))*3)*(-3*$J449^3+3*$J449^2)+INDIRECT("C$"&amp;5+MIN(2,ROUNDDOWN(I449,0))*3)*$J449^3</f>
      </c>
      <c r="L449" s="7">
        <f>INDIRECT("D$"&amp;2+MIN(2,ROUNDDOWN(I449,0))*3)*(-$J449^3+3*$J449^2-3*$J449+1)+INDIRECT("D$"&amp;3+MIN(2,ROUNDDOWN(I449,0))*3)*(3*$J449^3-6*$J449^2+3*$J449)+INDIRECT("D$"&amp;4+MIN(2,ROUNDDOWN(I449,0))*3)*(-3*$J449^3+3*$J449^2)+INDIRECT("D$"&amp;5+MIN(2,ROUNDDOWN(I449,0))*3)*$J449^3</f>
      </c>
      <c r="M449" s="7">
        <f>SQRT(K449^2+L449^2)</f>
      </c>
      <c r="N449" s="7">
        <f>(K450-K448)</f>
      </c>
      <c r="O449" s="7">
        <f>+(L450-L448)</f>
      </c>
      <c r="P449" s="7">
        <f>SQRT(O449^2+N449^2)</f>
      </c>
      <c r="Q449" s="7">
        <f>N449/$P449</f>
      </c>
      <c r="R449" s="7">
        <f>O449/$P449</f>
      </c>
      <c r="S449" s="8">
        <f>Q449^2+R449^2</f>
      </c>
      <c r="T449" s="7">
        <f>-R449</f>
      </c>
      <c r="U449" s="7">
        <f>Q449</f>
      </c>
      <c r="V449" s="7">
        <f>($C$14+($C$15-$C$14)/($D$15-$D$14)*(I449-$D$14))/2</f>
      </c>
      <c r="W449" s="7">
        <f>($B$22*I449^4+$C$22*I449^3+$D$22*I449^2+$E$22*I449+$F$22)/2</f>
      </c>
      <c r="X449" s="7">
        <f>($W449)*(T449)</f>
      </c>
      <c r="Y449" s="7">
        <f>($W449)*(U449)</f>
      </c>
      <c r="Z449" s="7">
        <f>SQRT(X449^2+Y449^2)</f>
      </c>
      <c r="AA449" s="7">
        <f>$K449+$X449</f>
      </c>
      <c r="AB449" s="7">
        <f>$L449+$Y449</f>
      </c>
      <c r="AC449" s="7">
        <f>$K449-$X449</f>
      </c>
      <c r="AD449" s="7">
        <f>$L449-$Y449</f>
      </c>
      <c r="AE449" s="7">
        <f>AA449/39.3701</f>
      </c>
      <c r="AF449" s="7">
        <f>AB449/39.3701</f>
      </c>
      <c r="AG449" s="7">
        <f>AC449/39.3701</f>
      </c>
      <c r="AH449" s="7">
        <f>AD449/39.3701</f>
      </c>
      <c r="AI449" s="1"/>
      <c r="AJ449" s="1"/>
      <c r="AK449" s="1"/>
      <c r="AL449" s="1"/>
      <c r="AM449" s="2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</row>
    <row x14ac:dyDescent="0.25" r="450" customHeight="1" ht="18.75">
      <c r="A450" s="1"/>
      <c r="B450" s="2"/>
      <c r="C450" s="2"/>
      <c r="D450" s="2"/>
      <c r="E450" s="2"/>
      <c r="F450" s="2"/>
      <c r="G450" s="1"/>
      <c r="H450" s="1"/>
      <c r="I450" s="7">
        <v>0.447</v>
      </c>
      <c r="J450" s="7">
        <f>IF((I450-ROUNDDOWN(I450,0))=0, 0, (I450-ROUNDDOWN(I450,0)))</f>
      </c>
      <c r="K450" s="7">
        <f>INDIRECT("C$"&amp;2+MIN(2,ROUNDDOWN(I450,0))*3)*(-$J450^3+3*$J450^2-3*$J450+1)+INDIRECT("C$"&amp;3+MIN(2,ROUNDDOWN(I450,0))*3)*(3*$J450^3-6*$J450^2+3*$J450)+INDIRECT("C$"&amp;4+MIN(2,ROUNDDOWN(I450,0))*3)*(-3*$J450^3+3*$J450^2)+INDIRECT("C$"&amp;5+MIN(2,ROUNDDOWN(I450,0))*3)*$J450^3</f>
      </c>
      <c r="L450" s="7">
        <f>INDIRECT("D$"&amp;2+MIN(2,ROUNDDOWN(I450,0))*3)*(-$J450^3+3*$J450^2-3*$J450+1)+INDIRECT("D$"&amp;3+MIN(2,ROUNDDOWN(I450,0))*3)*(3*$J450^3-6*$J450^2+3*$J450)+INDIRECT("D$"&amp;4+MIN(2,ROUNDDOWN(I450,0))*3)*(-3*$J450^3+3*$J450^2)+INDIRECT("D$"&amp;5+MIN(2,ROUNDDOWN(I450,0))*3)*$J450^3</f>
      </c>
      <c r="M450" s="7">
        <f>SQRT(K450^2+L450^2)</f>
      </c>
      <c r="N450" s="7">
        <f>(K451-K449)</f>
      </c>
      <c r="O450" s="7">
        <f>+(L451-L449)</f>
      </c>
      <c r="P450" s="7">
        <f>SQRT(O450^2+N450^2)</f>
      </c>
      <c r="Q450" s="7">
        <f>N450/$P450</f>
      </c>
      <c r="R450" s="7">
        <f>O450/$P450</f>
      </c>
      <c r="S450" s="8">
        <f>Q450^2+R450^2</f>
      </c>
      <c r="T450" s="7">
        <f>-R450</f>
      </c>
      <c r="U450" s="7">
        <f>Q450</f>
      </c>
      <c r="V450" s="7">
        <f>($C$14+($C$15-$C$14)/($D$15-$D$14)*(I450-$D$14))/2</f>
      </c>
      <c r="W450" s="7">
        <f>($B$22*I450^4+$C$22*I450^3+$D$22*I450^2+$E$22*I450+$F$22)/2</f>
      </c>
      <c r="X450" s="7">
        <f>($W450)*(T450)</f>
      </c>
      <c r="Y450" s="7">
        <f>($W450)*(U450)</f>
      </c>
      <c r="Z450" s="7">
        <f>SQRT(X450^2+Y450^2)</f>
      </c>
      <c r="AA450" s="7">
        <f>$K450+$X450</f>
      </c>
      <c r="AB450" s="7">
        <f>$L450+$Y450</f>
      </c>
      <c r="AC450" s="7">
        <f>$K450-$X450</f>
      </c>
      <c r="AD450" s="7">
        <f>$L450-$Y450</f>
      </c>
      <c r="AE450" s="7">
        <f>AA450/39.3701</f>
      </c>
      <c r="AF450" s="7">
        <f>AB450/39.3701</f>
      </c>
      <c r="AG450" s="7">
        <f>AC450/39.3701</f>
      </c>
      <c r="AH450" s="7">
        <f>AD450/39.3701</f>
      </c>
      <c r="AI450" s="1"/>
      <c r="AJ450" s="1"/>
      <c r="AK450" s="1"/>
      <c r="AL450" s="1"/>
      <c r="AM450" s="2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</row>
    <row x14ac:dyDescent="0.25" r="451" customHeight="1" ht="18.75">
      <c r="A451" s="1"/>
      <c r="B451" s="2"/>
      <c r="C451" s="2"/>
      <c r="D451" s="2"/>
      <c r="E451" s="2"/>
      <c r="F451" s="2"/>
      <c r="G451" s="1"/>
      <c r="H451" s="1"/>
      <c r="I451" s="7">
        <v>0.448</v>
      </c>
      <c r="J451" s="7">
        <f>IF((I451-ROUNDDOWN(I451,0))=0, 0, (I451-ROUNDDOWN(I451,0)))</f>
      </c>
      <c r="K451" s="7">
        <f>INDIRECT("C$"&amp;2+MIN(2,ROUNDDOWN(I451,0))*3)*(-$J451^3+3*$J451^2-3*$J451+1)+INDIRECT("C$"&amp;3+MIN(2,ROUNDDOWN(I451,0))*3)*(3*$J451^3-6*$J451^2+3*$J451)+INDIRECT("C$"&amp;4+MIN(2,ROUNDDOWN(I451,0))*3)*(-3*$J451^3+3*$J451^2)+INDIRECT("C$"&amp;5+MIN(2,ROUNDDOWN(I451,0))*3)*$J451^3</f>
      </c>
      <c r="L451" s="7">
        <f>INDIRECT("D$"&amp;2+MIN(2,ROUNDDOWN(I451,0))*3)*(-$J451^3+3*$J451^2-3*$J451+1)+INDIRECT("D$"&amp;3+MIN(2,ROUNDDOWN(I451,0))*3)*(3*$J451^3-6*$J451^2+3*$J451)+INDIRECT("D$"&amp;4+MIN(2,ROUNDDOWN(I451,0))*3)*(-3*$J451^3+3*$J451^2)+INDIRECT("D$"&amp;5+MIN(2,ROUNDDOWN(I451,0))*3)*$J451^3</f>
      </c>
      <c r="M451" s="7">
        <f>SQRT(K451^2+L451^2)</f>
      </c>
      <c r="N451" s="7">
        <f>(K452-K450)</f>
      </c>
      <c r="O451" s="7">
        <f>+(L452-L450)</f>
      </c>
      <c r="P451" s="7">
        <f>SQRT(O451^2+N451^2)</f>
      </c>
      <c r="Q451" s="7">
        <f>N451/$P451</f>
      </c>
      <c r="R451" s="7">
        <f>O451/$P451</f>
      </c>
      <c r="S451" s="8">
        <f>Q451^2+R451^2</f>
      </c>
      <c r="T451" s="7">
        <f>-R451</f>
      </c>
      <c r="U451" s="7">
        <f>Q451</f>
      </c>
      <c r="V451" s="7">
        <f>($C$14+($C$15-$C$14)/($D$15-$D$14)*(I451-$D$14))/2</f>
      </c>
      <c r="W451" s="7">
        <f>($B$22*I451^4+$C$22*I451^3+$D$22*I451^2+$E$22*I451+$F$22)/2</f>
      </c>
      <c r="X451" s="7">
        <f>($W451)*(T451)</f>
      </c>
      <c r="Y451" s="7">
        <f>($W451)*(U451)</f>
      </c>
      <c r="Z451" s="7">
        <f>SQRT(X451^2+Y451^2)</f>
      </c>
      <c r="AA451" s="7">
        <f>$K451+$X451</f>
      </c>
      <c r="AB451" s="7">
        <f>$L451+$Y451</f>
      </c>
      <c r="AC451" s="7">
        <f>$K451-$X451</f>
      </c>
      <c r="AD451" s="7">
        <f>$L451-$Y451</f>
      </c>
      <c r="AE451" s="7">
        <f>AA451/39.3701</f>
      </c>
      <c r="AF451" s="7">
        <f>AB451/39.3701</f>
      </c>
      <c r="AG451" s="7">
        <f>AC451/39.3701</f>
      </c>
      <c r="AH451" s="7">
        <f>AD451/39.3701</f>
      </c>
      <c r="AI451" s="1"/>
      <c r="AJ451" s="1"/>
      <c r="AK451" s="1"/>
      <c r="AL451" s="1"/>
      <c r="AM451" s="2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</row>
    <row x14ac:dyDescent="0.25" r="452" customHeight="1" ht="18.75">
      <c r="A452" s="1"/>
      <c r="B452" s="2"/>
      <c r="C452" s="2"/>
      <c r="D452" s="2"/>
      <c r="E452" s="2"/>
      <c r="F452" s="2"/>
      <c r="G452" s="1"/>
      <c r="H452" s="1"/>
      <c r="I452" s="7">
        <v>0.449</v>
      </c>
      <c r="J452" s="7">
        <f>IF((I452-ROUNDDOWN(I452,0))=0, 0, (I452-ROUNDDOWN(I452,0)))</f>
      </c>
      <c r="K452" s="7">
        <f>INDIRECT("C$"&amp;2+MIN(2,ROUNDDOWN(I452,0))*3)*(-$J452^3+3*$J452^2-3*$J452+1)+INDIRECT("C$"&amp;3+MIN(2,ROUNDDOWN(I452,0))*3)*(3*$J452^3-6*$J452^2+3*$J452)+INDIRECT("C$"&amp;4+MIN(2,ROUNDDOWN(I452,0))*3)*(-3*$J452^3+3*$J452^2)+INDIRECT("C$"&amp;5+MIN(2,ROUNDDOWN(I452,0))*3)*$J452^3</f>
      </c>
      <c r="L452" s="7">
        <f>INDIRECT("D$"&amp;2+MIN(2,ROUNDDOWN(I452,0))*3)*(-$J452^3+3*$J452^2-3*$J452+1)+INDIRECT("D$"&amp;3+MIN(2,ROUNDDOWN(I452,0))*3)*(3*$J452^3-6*$J452^2+3*$J452)+INDIRECT("D$"&amp;4+MIN(2,ROUNDDOWN(I452,0))*3)*(-3*$J452^3+3*$J452^2)+INDIRECT("D$"&amp;5+MIN(2,ROUNDDOWN(I452,0))*3)*$J452^3</f>
      </c>
      <c r="M452" s="7">
        <f>SQRT(K452^2+L452^2)</f>
      </c>
      <c r="N452" s="7">
        <f>(K453-K451)</f>
      </c>
      <c r="O452" s="7">
        <f>+(L453-L451)</f>
      </c>
      <c r="P452" s="7">
        <f>SQRT(O452^2+N452^2)</f>
      </c>
      <c r="Q452" s="7">
        <f>N452/$P452</f>
      </c>
      <c r="R452" s="7">
        <f>O452/$P452</f>
      </c>
      <c r="S452" s="7">
        <f>Q452^2+R452^2</f>
      </c>
      <c r="T452" s="7">
        <f>-R452</f>
      </c>
      <c r="U452" s="7">
        <f>Q452</f>
      </c>
      <c r="V452" s="7">
        <f>($C$14+($C$15-$C$14)/($D$15-$D$14)*(I452-$D$14))/2</f>
      </c>
      <c r="W452" s="7">
        <f>($B$22*I452^4+$C$22*I452^3+$D$22*I452^2+$E$22*I452+$F$22)/2</f>
      </c>
      <c r="X452" s="7">
        <f>($W452)*(T452)</f>
      </c>
      <c r="Y452" s="7">
        <f>($W452)*(U452)</f>
      </c>
      <c r="Z452" s="7">
        <f>SQRT(X452^2+Y452^2)</f>
      </c>
      <c r="AA452" s="7">
        <f>$K452+$X452</f>
      </c>
      <c r="AB452" s="7">
        <f>$L452+$Y452</f>
      </c>
      <c r="AC452" s="7">
        <f>$K452-$X452</f>
      </c>
      <c r="AD452" s="7">
        <f>$L452-$Y452</f>
      </c>
      <c r="AE452" s="7">
        <f>AA452/39.3701</f>
      </c>
      <c r="AF452" s="7">
        <f>AB452/39.3701</f>
      </c>
      <c r="AG452" s="7">
        <f>AC452/39.3701</f>
      </c>
      <c r="AH452" s="7">
        <f>AD452/39.3701</f>
      </c>
      <c r="AI452" s="1"/>
      <c r="AJ452" s="1"/>
      <c r="AK452" s="1"/>
      <c r="AL452" s="1"/>
      <c r="AM452" s="2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</row>
    <row x14ac:dyDescent="0.25" r="453" customHeight="1" ht="18.75">
      <c r="A453" s="1"/>
      <c r="B453" s="2"/>
      <c r="C453" s="2"/>
      <c r="D453" s="2"/>
      <c r="E453" s="2"/>
      <c r="F453" s="2"/>
      <c r="G453" s="1"/>
      <c r="H453" s="1"/>
      <c r="I453" s="7">
        <v>0.45</v>
      </c>
      <c r="J453" s="7">
        <f>IF((I453-ROUNDDOWN(I453,0))=0, 0, (I453-ROUNDDOWN(I453,0)))</f>
      </c>
      <c r="K453" s="7">
        <f>INDIRECT("C$"&amp;2+MIN(2,ROUNDDOWN(I453,0))*3)*(-$J453^3+3*$J453^2-3*$J453+1)+INDIRECT("C$"&amp;3+MIN(2,ROUNDDOWN(I453,0))*3)*(3*$J453^3-6*$J453^2+3*$J453)+INDIRECT("C$"&amp;4+MIN(2,ROUNDDOWN(I453,0))*3)*(-3*$J453^3+3*$J453^2)+INDIRECT("C$"&amp;5+MIN(2,ROUNDDOWN(I453,0))*3)*$J453^3</f>
      </c>
      <c r="L453" s="7">
        <f>INDIRECT("D$"&amp;2+MIN(2,ROUNDDOWN(I453,0))*3)*(-$J453^3+3*$J453^2-3*$J453+1)+INDIRECT("D$"&amp;3+MIN(2,ROUNDDOWN(I453,0))*3)*(3*$J453^3-6*$J453^2+3*$J453)+INDIRECT("D$"&amp;4+MIN(2,ROUNDDOWN(I453,0))*3)*(-3*$J453^3+3*$J453^2)+INDIRECT("D$"&amp;5+MIN(2,ROUNDDOWN(I453,0))*3)*$J453^3</f>
      </c>
      <c r="M453" s="7">
        <f>SQRT(K453^2+L453^2)</f>
      </c>
      <c r="N453" s="7">
        <f>(K454-K452)</f>
      </c>
      <c r="O453" s="7">
        <f>+(L454-L452)</f>
      </c>
      <c r="P453" s="7">
        <f>SQRT(O453^2+N453^2)</f>
      </c>
      <c r="Q453" s="7">
        <f>N453/$P453</f>
      </c>
      <c r="R453" s="7">
        <f>O453/$P453</f>
      </c>
      <c r="S453" s="7">
        <f>Q453^2+R453^2</f>
      </c>
      <c r="T453" s="7">
        <f>-R453</f>
      </c>
      <c r="U453" s="7">
        <f>Q453</f>
      </c>
      <c r="V453" s="7">
        <f>($C$14+($C$15-$C$14)/($D$15-$D$14)*(I453-$D$14))/2</f>
      </c>
      <c r="W453" s="7">
        <f>($B$22*I453^4+$C$22*I453^3+$D$22*I453^2+$E$22*I453+$F$22)/2</f>
      </c>
      <c r="X453" s="7">
        <f>($W453)*(T453)</f>
      </c>
      <c r="Y453" s="7">
        <f>($W453)*(U453)</f>
      </c>
      <c r="Z453" s="7">
        <f>SQRT(X453^2+Y453^2)</f>
      </c>
      <c r="AA453" s="7">
        <f>$K453+$X453</f>
      </c>
      <c r="AB453" s="7">
        <f>$L453+$Y453</f>
      </c>
      <c r="AC453" s="7">
        <f>$K453-$X453</f>
      </c>
      <c r="AD453" s="7">
        <f>$L453-$Y453</f>
      </c>
      <c r="AE453" s="7">
        <f>AA453/39.3701</f>
      </c>
      <c r="AF453" s="7">
        <f>AB453/39.3701</f>
      </c>
      <c r="AG453" s="7">
        <f>AC453/39.3701</f>
      </c>
      <c r="AH453" s="7">
        <f>AD453/39.3701</f>
      </c>
      <c r="AI453" s="1"/>
      <c r="AJ453" s="1"/>
      <c r="AK453" s="1"/>
      <c r="AL453" s="1"/>
      <c r="AM453" s="2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</row>
    <row x14ac:dyDescent="0.25" r="454" customHeight="1" ht="18.75">
      <c r="A454" s="1"/>
      <c r="B454" s="2"/>
      <c r="C454" s="2"/>
      <c r="D454" s="2"/>
      <c r="E454" s="2"/>
      <c r="F454" s="2"/>
      <c r="G454" s="1"/>
      <c r="H454" s="1"/>
      <c r="I454" s="7">
        <v>0.451</v>
      </c>
      <c r="J454" s="7">
        <f>IF((I454-ROUNDDOWN(I454,0))=0, 0, (I454-ROUNDDOWN(I454,0)))</f>
      </c>
      <c r="K454" s="7">
        <f>INDIRECT("C$"&amp;2+MIN(2,ROUNDDOWN(I454,0))*3)*(-$J454^3+3*$J454^2-3*$J454+1)+INDIRECT("C$"&amp;3+MIN(2,ROUNDDOWN(I454,0))*3)*(3*$J454^3-6*$J454^2+3*$J454)+INDIRECT("C$"&amp;4+MIN(2,ROUNDDOWN(I454,0))*3)*(-3*$J454^3+3*$J454^2)+INDIRECT("C$"&amp;5+MIN(2,ROUNDDOWN(I454,0))*3)*$J454^3</f>
      </c>
      <c r="L454" s="7">
        <f>INDIRECT("D$"&amp;2+MIN(2,ROUNDDOWN(I454,0))*3)*(-$J454^3+3*$J454^2-3*$J454+1)+INDIRECT("D$"&amp;3+MIN(2,ROUNDDOWN(I454,0))*3)*(3*$J454^3-6*$J454^2+3*$J454)+INDIRECT("D$"&amp;4+MIN(2,ROUNDDOWN(I454,0))*3)*(-3*$J454^3+3*$J454^2)+INDIRECT("D$"&amp;5+MIN(2,ROUNDDOWN(I454,0))*3)*$J454^3</f>
      </c>
      <c r="M454" s="7">
        <f>SQRT(K454^2+L454^2)</f>
      </c>
      <c r="N454" s="7">
        <f>(K455-K453)</f>
      </c>
      <c r="O454" s="7">
        <f>+(L455-L453)</f>
      </c>
      <c r="P454" s="7">
        <f>SQRT(O454^2+N454^2)</f>
      </c>
      <c r="Q454" s="7">
        <f>N454/$P454</f>
      </c>
      <c r="R454" s="7">
        <f>O454/$P454</f>
      </c>
      <c r="S454" s="8">
        <f>Q454^2+R454^2</f>
      </c>
      <c r="T454" s="7">
        <f>-R454</f>
      </c>
      <c r="U454" s="7">
        <f>Q454</f>
      </c>
      <c r="V454" s="7">
        <f>($C$14+($C$15-$C$14)/($D$15-$D$14)*(I454-$D$14))/2</f>
      </c>
      <c r="W454" s="7">
        <f>($B$22*I454^4+$C$22*I454^3+$D$22*I454^2+$E$22*I454+$F$22)/2</f>
      </c>
      <c r="X454" s="7">
        <f>($W454)*(T454)</f>
      </c>
      <c r="Y454" s="7">
        <f>($W454)*(U454)</f>
      </c>
      <c r="Z454" s="7">
        <f>SQRT(X454^2+Y454^2)</f>
      </c>
      <c r="AA454" s="7">
        <f>$K454+$X454</f>
      </c>
      <c r="AB454" s="7">
        <f>$L454+$Y454</f>
      </c>
      <c r="AC454" s="7">
        <f>$K454-$X454</f>
      </c>
      <c r="AD454" s="7">
        <f>$L454-$Y454</f>
      </c>
      <c r="AE454" s="7">
        <f>AA454/39.3701</f>
      </c>
      <c r="AF454" s="7">
        <f>AB454/39.3701</f>
      </c>
      <c r="AG454" s="7">
        <f>AC454/39.3701</f>
      </c>
      <c r="AH454" s="7">
        <f>AD454/39.3701</f>
      </c>
      <c r="AI454" s="1"/>
      <c r="AJ454" s="1"/>
      <c r="AK454" s="1"/>
      <c r="AL454" s="1"/>
      <c r="AM454" s="2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</row>
    <row x14ac:dyDescent="0.25" r="455" customHeight="1" ht="18.75">
      <c r="A455" s="1"/>
      <c r="B455" s="2"/>
      <c r="C455" s="2"/>
      <c r="D455" s="2"/>
      <c r="E455" s="2"/>
      <c r="F455" s="2"/>
      <c r="G455" s="1"/>
      <c r="H455" s="1"/>
      <c r="I455" s="7">
        <v>0.452</v>
      </c>
      <c r="J455" s="7">
        <f>IF((I455-ROUNDDOWN(I455,0))=0, 0, (I455-ROUNDDOWN(I455,0)))</f>
      </c>
      <c r="K455" s="7">
        <f>INDIRECT("C$"&amp;2+MIN(2,ROUNDDOWN(I455,0))*3)*(-$J455^3+3*$J455^2-3*$J455+1)+INDIRECT("C$"&amp;3+MIN(2,ROUNDDOWN(I455,0))*3)*(3*$J455^3-6*$J455^2+3*$J455)+INDIRECT("C$"&amp;4+MIN(2,ROUNDDOWN(I455,0))*3)*(-3*$J455^3+3*$J455^2)+INDIRECT("C$"&amp;5+MIN(2,ROUNDDOWN(I455,0))*3)*$J455^3</f>
      </c>
      <c r="L455" s="7">
        <f>INDIRECT("D$"&amp;2+MIN(2,ROUNDDOWN(I455,0))*3)*(-$J455^3+3*$J455^2-3*$J455+1)+INDIRECT("D$"&amp;3+MIN(2,ROUNDDOWN(I455,0))*3)*(3*$J455^3-6*$J455^2+3*$J455)+INDIRECT("D$"&amp;4+MIN(2,ROUNDDOWN(I455,0))*3)*(-3*$J455^3+3*$J455^2)+INDIRECT("D$"&amp;5+MIN(2,ROUNDDOWN(I455,0))*3)*$J455^3</f>
      </c>
      <c r="M455" s="7">
        <f>SQRT(K455^2+L455^2)</f>
      </c>
      <c r="N455" s="7">
        <f>(K456-K454)</f>
      </c>
      <c r="O455" s="7">
        <f>+(L456-L454)</f>
      </c>
      <c r="P455" s="7">
        <f>SQRT(O455^2+N455^2)</f>
      </c>
      <c r="Q455" s="7">
        <f>N455/$P455</f>
      </c>
      <c r="R455" s="7">
        <f>O455/$P455</f>
      </c>
      <c r="S455" s="7">
        <f>Q455^2+R455^2</f>
      </c>
      <c r="T455" s="7">
        <f>-R455</f>
      </c>
      <c r="U455" s="7">
        <f>Q455</f>
      </c>
      <c r="V455" s="7">
        <f>($C$14+($C$15-$C$14)/($D$15-$D$14)*(I455-$D$14))/2</f>
      </c>
      <c r="W455" s="7">
        <f>($B$22*I455^4+$C$22*I455^3+$D$22*I455^2+$E$22*I455+$F$22)/2</f>
      </c>
      <c r="X455" s="7">
        <f>($W455)*(T455)</f>
      </c>
      <c r="Y455" s="7">
        <f>($W455)*(U455)</f>
      </c>
      <c r="Z455" s="7">
        <f>SQRT(X455^2+Y455^2)</f>
      </c>
      <c r="AA455" s="7">
        <f>$K455+$X455</f>
      </c>
      <c r="AB455" s="7">
        <f>$L455+$Y455</f>
      </c>
      <c r="AC455" s="7">
        <f>$K455-$X455</f>
      </c>
      <c r="AD455" s="7">
        <f>$L455-$Y455</f>
      </c>
      <c r="AE455" s="7">
        <f>AA455/39.3701</f>
      </c>
      <c r="AF455" s="7">
        <f>AB455/39.3701</f>
      </c>
      <c r="AG455" s="7">
        <f>AC455/39.3701</f>
      </c>
      <c r="AH455" s="7">
        <f>AD455/39.3701</f>
      </c>
      <c r="AI455" s="1"/>
      <c r="AJ455" s="1"/>
      <c r="AK455" s="1"/>
      <c r="AL455" s="1"/>
      <c r="AM455" s="2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</row>
    <row x14ac:dyDescent="0.25" r="456" customHeight="1" ht="18.75">
      <c r="A456" s="1"/>
      <c r="B456" s="2"/>
      <c r="C456" s="2"/>
      <c r="D456" s="2"/>
      <c r="E456" s="2"/>
      <c r="F456" s="2"/>
      <c r="G456" s="1"/>
      <c r="H456" s="1"/>
      <c r="I456" s="7">
        <v>0.453</v>
      </c>
      <c r="J456" s="7">
        <f>IF((I456-ROUNDDOWN(I456,0))=0, 0, (I456-ROUNDDOWN(I456,0)))</f>
      </c>
      <c r="K456" s="7">
        <f>INDIRECT("C$"&amp;2+MIN(2,ROUNDDOWN(I456,0))*3)*(-$J456^3+3*$J456^2-3*$J456+1)+INDIRECT("C$"&amp;3+MIN(2,ROUNDDOWN(I456,0))*3)*(3*$J456^3-6*$J456^2+3*$J456)+INDIRECT("C$"&amp;4+MIN(2,ROUNDDOWN(I456,0))*3)*(-3*$J456^3+3*$J456^2)+INDIRECT("C$"&amp;5+MIN(2,ROUNDDOWN(I456,0))*3)*$J456^3</f>
      </c>
      <c r="L456" s="7">
        <f>INDIRECT("D$"&amp;2+MIN(2,ROUNDDOWN(I456,0))*3)*(-$J456^3+3*$J456^2-3*$J456+1)+INDIRECT("D$"&amp;3+MIN(2,ROUNDDOWN(I456,0))*3)*(3*$J456^3-6*$J456^2+3*$J456)+INDIRECT("D$"&amp;4+MIN(2,ROUNDDOWN(I456,0))*3)*(-3*$J456^3+3*$J456^2)+INDIRECT("D$"&amp;5+MIN(2,ROUNDDOWN(I456,0))*3)*$J456^3</f>
      </c>
      <c r="M456" s="7">
        <f>SQRT(K456^2+L456^2)</f>
      </c>
      <c r="N456" s="7">
        <f>(K457-K455)</f>
      </c>
      <c r="O456" s="7">
        <f>+(L457-L455)</f>
      </c>
      <c r="P456" s="7">
        <f>SQRT(O456^2+N456^2)</f>
      </c>
      <c r="Q456" s="7">
        <f>N456/$P456</f>
      </c>
      <c r="R456" s="7">
        <f>O456/$P456</f>
      </c>
      <c r="S456" s="8">
        <f>Q456^2+R456^2</f>
      </c>
      <c r="T456" s="7">
        <f>-R456</f>
      </c>
      <c r="U456" s="7">
        <f>Q456</f>
      </c>
      <c r="V456" s="7">
        <f>($C$14+($C$15-$C$14)/($D$15-$D$14)*(I456-$D$14))/2</f>
      </c>
      <c r="W456" s="7">
        <f>($B$22*I456^4+$C$22*I456^3+$D$22*I456^2+$E$22*I456+$F$22)/2</f>
      </c>
      <c r="X456" s="7">
        <f>($W456)*(T456)</f>
      </c>
      <c r="Y456" s="7">
        <f>($W456)*(U456)</f>
      </c>
      <c r="Z456" s="7">
        <f>SQRT(X456^2+Y456^2)</f>
      </c>
      <c r="AA456" s="7">
        <f>$K456+$X456</f>
      </c>
      <c r="AB456" s="7">
        <f>$L456+$Y456</f>
      </c>
      <c r="AC456" s="7">
        <f>$K456-$X456</f>
      </c>
      <c r="AD456" s="7">
        <f>$L456-$Y456</f>
      </c>
      <c r="AE456" s="7">
        <f>AA456/39.3701</f>
      </c>
      <c r="AF456" s="7">
        <f>AB456/39.3701</f>
      </c>
      <c r="AG456" s="7">
        <f>AC456/39.3701</f>
      </c>
      <c r="AH456" s="7">
        <f>AD456/39.3701</f>
      </c>
      <c r="AI456" s="1"/>
      <c r="AJ456" s="1"/>
      <c r="AK456" s="1"/>
      <c r="AL456" s="1"/>
      <c r="AM456" s="2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</row>
    <row x14ac:dyDescent="0.25" r="457" customHeight="1" ht="18.75">
      <c r="A457" s="1"/>
      <c r="B457" s="2"/>
      <c r="C457" s="2"/>
      <c r="D457" s="2"/>
      <c r="E457" s="2"/>
      <c r="F457" s="2"/>
      <c r="G457" s="1"/>
      <c r="H457" s="1"/>
      <c r="I457" s="7">
        <v>0.454</v>
      </c>
      <c r="J457" s="7">
        <f>IF((I457-ROUNDDOWN(I457,0))=0, 0, (I457-ROUNDDOWN(I457,0)))</f>
      </c>
      <c r="K457" s="7">
        <f>INDIRECT("C$"&amp;2+MIN(2,ROUNDDOWN(I457,0))*3)*(-$J457^3+3*$J457^2-3*$J457+1)+INDIRECT("C$"&amp;3+MIN(2,ROUNDDOWN(I457,0))*3)*(3*$J457^3-6*$J457^2+3*$J457)+INDIRECT("C$"&amp;4+MIN(2,ROUNDDOWN(I457,0))*3)*(-3*$J457^3+3*$J457^2)+INDIRECT("C$"&amp;5+MIN(2,ROUNDDOWN(I457,0))*3)*$J457^3</f>
      </c>
      <c r="L457" s="7">
        <f>INDIRECT("D$"&amp;2+MIN(2,ROUNDDOWN(I457,0))*3)*(-$J457^3+3*$J457^2-3*$J457+1)+INDIRECT("D$"&amp;3+MIN(2,ROUNDDOWN(I457,0))*3)*(3*$J457^3-6*$J457^2+3*$J457)+INDIRECT("D$"&amp;4+MIN(2,ROUNDDOWN(I457,0))*3)*(-3*$J457^3+3*$J457^2)+INDIRECT("D$"&amp;5+MIN(2,ROUNDDOWN(I457,0))*3)*$J457^3</f>
      </c>
      <c r="M457" s="7">
        <f>SQRT(K457^2+L457^2)</f>
      </c>
      <c r="N457" s="7">
        <f>(K458-K456)</f>
      </c>
      <c r="O457" s="7">
        <f>+(L458-L456)</f>
      </c>
      <c r="P457" s="7">
        <f>SQRT(O457^2+N457^2)</f>
      </c>
      <c r="Q457" s="7">
        <f>N457/$P457</f>
      </c>
      <c r="R457" s="7">
        <f>O457/$P457</f>
      </c>
      <c r="S457" s="8">
        <f>Q457^2+R457^2</f>
      </c>
      <c r="T457" s="7">
        <f>-R457</f>
      </c>
      <c r="U457" s="7">
        <f>Q457</f>
      </c>
      <c r="V457" s="7">
        <f>($C$14+($C$15-$C$14)/($D$15-$D$14)*(I457-$D$14))/2</f>
      </c>
      <c r="W457" s="7">
        <f>($B$22*I457^4+$C$22*I457^3+$D$22*I457^2+$E$22*I457+$F$22)/2</f>
      </c>
      <c r="X457" s="7">
        <f>($W457)*(T457)</f>
      </c>
      <c r="Y457" s="7">
        <f>($W457)*(U457)</f>
      </c>
      <c r="Z457" s="7">
        <f>SQRT(X457^2+Y457^2)</f>
      </c>
      <c r="AA457" s="7">
        <f>$K457+$X457</f>
      </c>
      <c r="AB457" s="7">
        <f>$L457+$Y457</f>
      </c>
      <c r="AC457" s="7">
        <f>$K457-$X457</f>
      </c>
      <c r="AD457" s="7">
        <f>$L457-$Y457</f>
      </c>
      <c r="AE457" s="7">
        <f>AA457/39.3701</f>
      </c>
      <c r="AF457" s="7">
        <f>AB457/39.3701</f>
      </c>
      <c r="AG457" s="7">
        <f>AC457/39.3701</f>
      </c>
      <c r="AH457" s="7">
        <f>AD457/39.3701</f>
      </c>
      <c r="AI457" s="1"/>
      <c r="AJ457" s="1"/>
      <c r="AK457" s="1"/>
      <c r="AL457" s="1"/>
      <c r="AM457" s="2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</row>
    <row x14ac:dyDescent="0.25" r="458" customHeight="1" ht="18.75">
      <c r="A458" s="1"/>
      <c r="B458" s="2"/>
      <c r="C458" s="2"/>
      <c r="D458" s="2"/>
      <c r="E458" s="2"/>
      <c r="F458" s="2"/>
      <c r="G458" s="1"/>
      <c r="H458" s="1"/>
      <c r="I458" s="7">
        <v>0.455</v>
      </c>
      <c r="J458" s="7">
        <f>IF((I458-ROUNDDOWN(I458,0))=0, 0, (I458-ROUNDDOWN(I458,0)))</f>
      </c>
      <c r="K458" s="7">
        <f>INDIRECT("C$"&amp;2+MIN(2,ROUNDDOWN(I458,0))*3)*(-$J458^3+3*$J458^2-3*$J458+1)+INDIRECT("C$"&amp;3+MIN(2,ROUNDDOWN(I458,0))*3)*(3*$J458^3-6*$J458^2+3*$J458)+INDIRECT("C$"&amp;4+MIN(2,ROUNDDOWN(I458,0))*3)*(-3*$J458^3+3*$J458^2)+INDIRECT("C$"&amp;5+MIN(2,ROUNDDOWN(I458,0))*3)*$J458^3</f>
      </c>
      <c r="L458" s="7">
        <f>INDIRECT("D$"&amp;2+MIN(2,ROUNDDOWN(I458,0))*3)*(-$J458^3+3*$J458^2-3*$J458+1)+INDIRECT("D$"&amp;3+MIN(2,ROUNDDOWN(I458,0))*3)*(3*$J458^3-6*$J458^2+3*$J458)+INDIRECT("D$"&amp;4+MIN(2,ROUNDDOWN(I458,0))*3)*(-3*$J458^3+3*$J458^2)+INDIRECT("D$"&amp;5+MIN(2,ROUNDDOWN(I458,0))*3)*$J458^3</f>
      </c>
      <c r="M458" s="7">
        <f>SQRT(K458^2+L458^2)</f>
      </c>
      <c r="N458" s="7">
        <f>(K459-K457)</f>
      </c>
      <c r="O458" s="7">
        <f>+(L459-L457)</f>
      </c>
      <c r="P458" s="7">
        <f>SQRT(O458^2+N458^2)</f>
      </c>
      <c r="Q458" s="7">
        <f>N458/$P458</f>
      </c>
      <c r="R458" s="7">
        <f>O458/$P458</f>
      </c>
      <c r="S458" s="8">
        <f>Q458^2+R458^2</f>
      </c>
      <c r="T458" s="7">
        <f>-R458</f>
      </c>
      <c r="U458" s="7">
        <f>Q458</f>
      </c>
      <c r="V458" s="7">
        <f>($C$14+($C$15-$C$14)/($D$15-$D$14)*(I458-$D$14))/2</f>
      </c>
      <c r="W458" s="7">
        <f>($B$22*I458^4+$C$22*I458^3+$D$22*I458^2+$E$22*I458+$F$22)/2</f>
      </c>
      <c r="X458" s="7">
        <f>($W458)*(T458)</f>
      </c>
      <c r="Y458" s="7">
        <f>($W458)*(U458)</f>
      </c>
      <c r="Z458" s="7">
        <f>SQRT(X458^2+Y458^2)</f>
      </c>
      <c r="AA458" s="7">
        <f>$K458+$X458</f>
      </c>
      <c r="AB458" s="7">
        <f>$L458+$Y458</f>
      </c>
      <c r="AC458" s="7">
        <f>$K458-$X458</f>
      </c>
      <c r="AD458" s="7">
        <f>$L458-$Y458</f>
      </c>
      <c r="AE458" s="7">
        <f>AA458/39.3701</f>
      </c>
      <c r="AF458" s="7">
        <f>AB458/39.3701</f>
      </c>
      <c r="AG458" s="7">
        <f>AC458/39.3701</f>
      </c>
      <c r="AH458" s="7">
        <f>AD458/39.3701</f>
      </c>
      <c r="AI458" s="1"/>
      <c r="AJ458" s="1"/>
      <c r="AK458" s="1"/>
      <c r="AL458" s="1"/>
      <c r="AM458" s="2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</row>
    <row x14ac:dyDescent="0.25" r="459" customHeight="1" ht="18.75">
      <c r="A459" s="1"/>
      <c r="B459" s="2"/>
      <c r="C459" s="2"/>
      <c r="D459" s="2"/>
      <c r="E459" s="2"/>
      <c r="F459" s="2"/>
      <c r="G459" s="1"/>
      <c r="H459" s="1"/>
      <c r="I459" s="7">
        <v>0.456</v>
      </c>
      <c r="J459" s="7">
        <f>IF((I459-ROUNDDOWN(I459,0))=0, 0, (I459-ROUNDDOWN(I459,0)))</f>
      </c>
      <c r="K459" s="7">
        <f>INDIRECT("C$"&amp;2+MIN(2,ROUNDDOWN(I459,0))*3)*(-$J459^3+3*$J459^2-3*$J459+1)+INDIRECT("C$"&amp;3+MIN(2,ROUNDDOWN(I459,0))*3)*(3*$J459^3-6*$J459^2+3*$J459)+INDIRECT("C$"&amp;4+MIN(2,ROUNDDOWN(I459,0))*3)*(-3*$J459^3+3*$J459^2)+INDIRECT("C$"&amp;5+MIN(2,ROUNDDOWN(I459,0))*3)*$J459^3</f>
      </c>
      <c r="L459" s="7">
        <f>INDIRECT("D$"&amp;2+MIN(2,ROUNDDOWN(I459,0))*3)*(-$J459^3+3*$J459^2-3*$J459+1)+INDIRECT("D$"&amp;3+MIN(2,ROUNDDOWN(I459,0))*3)*(3*$J459^3-6*$J459^2+3*$J459)+INDIRECT("D$"&amp;4+MIN(2,ROUNDDOWN(I459,0))*3)*(-3*$J459^3+3*$J459^2)+INDIRECT("D$"&amp;5+MIN(2,ROUNDDOWN(I459,0))*3)*$J459^3</f>
      </c>
      <c r="M459" s="7">
        <f>SQRT(K459^2+L459^2)</f>
      </c>
      <c r="N459" s="7">
        <f>(K460-K458)</f>
      </c>
      <c r="O459" s="7">
        <f>+(L460-L458)</f>
      </c>
      <c r="P459" s="7">
        <f>SQRT(O459^2+N459^2)</f>
      </c>
      <c r="Q459" s="7">
        <f>N459/$P459</f>
      </c>
      <c r="R459" s="7">
        <f>O459/$P459</f>
      </c>
      <c r="S459" s="8">
        <f>Q459^2+R459^2</f>
      </c>
      <c r="T459" s="7">
        <f>-R459</f>
      </c>
      <c r="U459" s="7">
        <f>Q459</f>
      </c>
      <c r="V459" s="7">
        <f>($C$14+($C$15-$C$14)/($D$15-$D$14)*(I459-$D$14))/2</f>
      </c>
      <c r="W459" s="7">
        <f>($B$22*I459^4+$C$22*I459^3+$D$22*I459^2+$E$22*I459+$F$22)/2</f>
      </c>
      <c r="X459" s="7">
        <f>($W459)*(T459)</f>
      </c>
      <c r="Y459" s="7">
        <f>($W459)*(U459)</f>
      </c>
      <c r="Z459" s="7">
        <f>SQRT(X459^2+Y459^2)</f>
      </c>
      <c r="AA459" s="7">
        <f>$K459+$X459</f>
      </c>
      <c r="AB459" s="7">
        <f>$L459+$Y459</f>
      </c>
      <c r="AC459" s="7">
        <f>$K459-$X459</f>
      </c>
      <c r="AD459" s="7">
        <f>$L459-$Y459</f>
      </c>
      <c r="AE459" s="7">
        <f>AA459/39.3701</f>
      </c>
      <c r="AF459" s="7">
        <f>AB459/39.3701</f>
      </c>
      <c r="AG459" s="7">
        <f>AC459/39.3701</f>
      </c>
      <c r="AH459" s="7">
        <f>AD459/39.3701</f>
      </c>
      <c r="AI459" s="1"/>
      <c r="AJ459" s="1"/>
      <c r="AK459" s="1"/>
      <c r="AL459" s="1"/>
      <c r="AM459" s="2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</row>
    <row x14ac:dyDescent="0.25" r="460" customHeight="1" ht="18.75">
      <c r="A460" s="1"/>
      <c r="B460" s="2"/>
      <c r="C460" s="2"/>
      <c r="D460" s="2"/>
      <c r="E460" s="2"/>
      <c r="F460" s="2"/>
      <c r="G460" s="1"/>
      <c r="H460" s="1"/>
      <c r="I460" s="7">
        <v>0.457</v>
      </c>
      <c r="J460" s="7">
        <f>IF((I460-ROUNDDOWN(I460,0))=0, 0, (I460-ROUNDDOWN(I460,0)))</f>
      </c>
      <c r="K460" s="7">
        <f>INDIRECT("C$"&amp;2+MIN(2,ROUNDDOWN(I460,0))*3)*(-$J460^3+3*$J460^2-3*$J460+1)+INDIRECT("C$"&amp;3+MIN(2,ROUNDDOWN(I460,0))*3)*(3*$J460^3-6*$J460^2+3*$J460)+INDIRECT("C$"&amp;4+MIN(2,ROUNDDOWN(I460,0))*3)*(-3*$J460^3+3*$J460^2)+INDIRECT("C$"&amp;5+MIN(2,ROUNDDOWN(I460,0))*3)*$J460^3</f>
      </c>
      <c r="L460" s="7">
        <f>INDIRECT("D$"&amp;2+MIN(2,ROUNDDOWN(I460,0))*3)*(-$J460^3+3*$J460^2-3*$J460+1)+INDIRECT("D$"&amp;3+MIN(2,ROUNDDOWN(I460,0))*3)*(3*$J460^3-6*$J460^2+3*$J460)+INDIRECT("D$"&amp;4+MIN(2,ROUNDDOWN(I460,0))*3)*(-3*$J460^3+3*$J460^2)+INDIRECT("D$"&amp;5+MIN(2,ROUNDDOWN(I460,0))*3)*$J460^3</f>
      </c>
      <c r="M460" s="7">
        <f>SQRT(K460^2+L460^2)</f>
      </c>
      <c r="N460" s="7">
        <f>(K461-K459)</f>
      </c>
      <c r="O460" s="7">
        <f>+(L461-L459)</f>
      </c>
      <c r="P460" s="7">
        <f>SQRT(O460^2+N460^2)</f>
      </c>
      <c r="Q460" s="7">
        <f>N460/$P460</f>
      </c>
      <c r="R460" s="7">
        <f>O460/$P460</f>
      </c>
      <c r="S460" s="8">
        <f>Q460^2+R460^2</f>
      </c>
      <c r="T460" s="7">
        <f>-R460</f>
      </c>
      <c r="U460" s="7">
        <f>Q460</f>
      </c>
      <c r="V460" s="7">
        <f>($C$14+($C$15-$C$14)/($D$15-$D$14)*(I460-$D$14))/2</f>
      </c>
      <c r="W460" s="7">
        <f>($B$22*I460^4+$C$22*I460^3+$D$22*I460^2+$E$22*I460+$F$22)/2</f>
      </c>
      <c r="X460" s="7">
        <f>($W460)*(T460)</f>
      </c>
      <c r="Y460" s="7">
        <f>($W460)*(U460)</f>
      </c>
      <c r="Z460" s="7">
        <f>SQRT(X460^2+Y460^2)</f>
      </c>
      <c r="AA460" s="7">
        <f>$K460+$X460</f>
      </c>
      <c r="AB460" s="7">
        <f>$L460+$Y460</f>
      </c>
      <c r="AC460" s="7">
        <f>$K460-$X460</f>
      </c>
      <c r="AD460" s="7">
        <f>$L460-$Y460</f>
      </c>
      <c r="AE460" s="7">
        <f>AA460/39.3701</f>
      </c>
      <c r="AF460" s="7">
        <f>AB460/39.3701</f>
      </c>
      <c r="AG460" s="7">
        <f>AC460/39.3701</f>
      </c>
      <c r="AH460" s="7">
        <f>AD460/39.3701</f>
      </c>
      <c r="AI460" s="1"/>
      <c r="AJ460" s="1"/>
      <c r="AK460" s="1"/>
      <c r="AL460" s="1"/>
      <c r="AM460" s="2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</row>
    <row x14ac:dyDescent="0.25" r="461" customHeight="1" ht="18.75">
      <c r="A461" s="1"/>
      <c r="B461" s="2"/>
      <c r="C461" s="2"/>
      <c r="D461" s="2"/>
      <c r="E461" s="2"/>
      <c r="F461" s="2"/>
      <c r="G461" s="1"/>
      <c r="H461" s="1"/>
      <c r="I461" s="7">
        <v>0.458</v>
      </c>
      <c r="J461" s="7">
        <f>IF((I461-ROUNDDOWN(I461,0))=0, 0, (I461-ROUNDDOWN(I461,0)))</f>
      </c>
      <c r="K461" s="7">
        <f>INDIRECT("C$"&amp;2+MIN(2,ROUNDDOWN(I461,0))*3)*(-$J461^3+3*$J461^2-3*$J461+1)+INDIRECT("C$"&amp;3+MIN(2,ROUNDDOWN(I461,0))*3)*(3*$J461^3-6*$J461^2+3*$J461)+INDIRECT("C$"&amp;4+MIN(2,ROUNDDOWN(I461,0))*3)*(-3*$J461^3+3*$J461^2)+INDIRECT("C$"&amp;5+MIN(2,ROUNDDOWN(I461,0))*3)*$J461^3</f>
      </c>
      <c r="L461" s="7">
        <f>INDIRECT("D$"&amp;2+MIN(2,ROUNDDOWN(I461,0))*3)*(-$J461^3+3*$J461^2-3*$J461+1)+INDIRECT("D$"&amp;3+MIN(2,ROUNDDOWN(I461,0))*3)*(3*$J461^3-6*$J461^2+3*$J461)+INDIRECT("D$"&amp;4+MIN(2,ROUNDDOWN(I461,0))*3)*(-3*$J461^3+3*$J461^2)+INDIRECT("D$"&amp;5+MIN(2,ROUNDDOWN(I461,0))*3)*$J461^3</f>
      </c>
      <c r="M461" s="7">
        <f>SQRT(K461^2+L461^2)</f>
      </c>
      <c r="N461" s="7">
        <f>(K462-K460)</f>
      </c>
      <c r="O461" s="7">
        <f>+(L462-L460)</f>
      </c>
      <c r="P461" s="7">
        <f>SQRT(O461^2+N461^2)</f>
      </c>
      <c r="Q461" s="7">
        <f>N461/$P461</f>
      </c>
      <c r="R461" s="7">
        <f>O461/$P461</f>
      </c>
      <c r="S461" s="7">
        <f>Q461^2+R461^2</f>
      </c>
      <c r="T461" s="7">
        <f>-R461</f>
      </c>
      <c r="U461" s="7">
        <f>Q461</f>
      </c>
      <c r="V461" s="7">
        <f>($C$14+($C$15-$C$14)/($D$15-$D$14)*(I461-$D$14))/2</f>
      </c>
      <c r="W461" s="7">
        <f>($B$22*I461^4+$C$22*I461^3+$D$22*I461^2+$E$22*I461+$F$22)/2</f>
      </c>
      <c r="X461" s="7">
        <f>($W461)*(T461)</f>
      </c>
      <c r="Y461" s="7">
        <f>($W461)*(U461)</f>
      </c>
      <c r="Z461" s="7">
        <f>SQRT(X461^2+Y461^2)</f>
      </c>
      <c r="AA461" s="7">
        <f>$K461+$X461</f>
      </c>
      <c r="AB461" s="7">
        <f>$L461+$Y461</f>
      </c>
      <c r="AC461" s="7">
        <f>$K461-$X461</f>
      </c>
      <c r="AD461" s="7">
        <f>$L461-$Y461</f>
      </c>
      <c r="AE461" s="7">
        <f>AA461/39.3701</f>
      </c>
      <c r="AF461" s="7">
        <f>AB461/39.3701</f>
      </c>
      <c r="AG461" s="7">
        <f>AC461/39.3701</f>
      </c>
      <c r="AH461" s="7">
        <f>AD461/39.3701</f>
      </c>
      <c r="AI461" s="1"/>
      <c r="AJ461" s="1"/>
      <c r="AK461" s="1"/>
      <c r="AL461" s="1"/>
      <c r="AM461" s="2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</row>
    <row x14ac:dyDescent="0.25" r="462" customHeight="1" ht="18.75">
      <c r="A462" s="1"/>
      <c r="B462" s="2"/>
      <c r="C462" s="2"/>
      <c r="D462" s="2"/>
      <c r="E462" s="2"/>
      <c r="F462" s="2"/>
      <c r="G462" s="1"/>
      <c r="H462" s="1"/>
      <c r="I462" s="7">
        <v>0.459</v>
      </c>
      <c r="J462" s="7">
        <f>IF((I462-ROUNDDOWN(I462,0))=0, 0, (I462-ROUNDDOWN(I462,0)))</f>
      </c>
      <c r="K462" s="7">
        <f>INDIRECT("C$"&amp;2+MIN(2,ROUNDDOWN(I462,0))*3)*(-$J462^3+3*$J462^2-3*$J462+1)+INDIRECT("C$"&amp;3+MIN(2,ROUNDDOWN(I462,0))*3)*(3*$J462^3-6*$J462^2+3*$J462)+INDIRECT("C$"&amp;4+MIN(2,ROUNDDOWN(I462,0))*3)*(-3*$J462^3+3*$J462^2)+INDIRECT("C$"&amp;5+MIN(2,ROUNDDOWN(I462,0))*3)*$J462^3</f>
      </c>
      <c r="L462" s="7">
        <f>INDIRECT("D$"&amp;2+MIN(2,ROUNDDOWN(I462,0))*3)*(-$J462^3+3*$J462^2-3*$J462+1)+INDIRECT("D$"&amp;3+MIN(2,ROUNDDOWN(I462,0))*3)*(3*$J462^3-6*$J462^2+3*$J462)+INDIRECT("D$"&amp;4+MIN(2,ROUNDDOWN(I462,0))*3)*(-3*$J462^3+3*$J462^2)+INDIRECT("D$"&amp;5+MIN(2,ROUNDDOWN(I462,0))*3)*$J462^3</f>
      </c>
      <c r="M462" s="7">
        <f>SQRT(K462^2+L462^2)</f>
      </c>
      <c r="N462" s="7">
        <f>(K463-K461)</f>
      </c>
      <c r="O462" s="7">
        <f>+(L463-L461)</f>
      </c>
      <c r="P462" s="7">
        <f>SQRT(O462^2+N462^2)</f>
      </c>
      <c r="Q462" s="7">
        <f>N462/$P462</f>
      </c>
      <c r="R462" s="7">
        <f>O462/$P462</f>
      </c>
      <c r="S462" s="7">
        <f>Q462^2+R462^2</f>
      </c>
      <c r="T462" s="7">
        <f>-R462</f>
      </c>
      <c r="U462" s="7">
        <f>Q462</f>
      </c>
      <c r="V462" s="7">
        <f>($C$14+($C$15-$C$14)/($D$15-$D$14)*(I462-$D$14))/2</f>
      </c>
      <c r="W462" s="7">
        <f>($B$22*I462^4+$C$22*I462^3+$D$22*I462^2+$E$22*I462+$F$22)/2</f>
      </c>
      <c r="X462" s="7">
        <f>($W462)*(T462)</f>
      </c>
      <c r="Y462" s="7">
        <f>($W462)*(U462)</f>
      </c>
      <c r="Z462" s="7">
        <f>SQRT(X462^2+Y462^2)</f>
      </c>
      <c r="AA462" s="7">
        <f>$K462+$X462</f>
      </c>
      <c r="AB462" s="7">
        <f>$L462+$Y462</f>
      </c>
      <c r="AC462" s="7">
        <f>$K462-$X462</f>
      </c>
      <c r="AD462" s="7">
        <f>$L462-$Y462</f>
      </c>
      <c r="AE462" s="7">
        <f>AA462/39.3701</f>
      </c>
      <c r="AF462" s="7">
        <f>AB462/39.3701</f>
      </c>
      <c r="AG462" s="7">
        <f>AC462/39.3701</f>
      </c>
      <c r="AH462" s="7">
        <f>AD462/39.3701</f>
      </c>
      <c r="AI462" s="1"/>
      <c r="AJ462" s="1"/>
      <c r="AK462" s="1"/>
      <c r="AL462" s="1"/>
      <c r="AM462" s="2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</row>
    <row x14ac:dyDescent="0.25" r="463" customHeight="1" ht="18.75">
      <c r="A463" s="1"/>
      <c r="B463" s="2"/>
      <c r="C463" s="2"/>
      <c r="D463" s="2"/>
      <c r="E463" s="2"/>
      <c r="F463" s="2"/>
      <c r="G463" s="1"/>
      <c r="H463" s="1"/>
      <c r="I463" s="7">
        <v>0.46</v>
      </c>
      <c r="J463" s="7">
        <f>IF((I463-ROUNDDOWN(I463,0))=0, 0, (I463-ROUNDDOWN(I463,0)))</f>
      </c>
      <c r="K463" s="7">
        <f>INDIRECT("C$"&amp;2+MIN(2,ROUNDDOWN(I463,0))*3)*(-$J463^3+3*$J463^2-3*$J463+1)+INDIRECT("C$"&amp;3+MIN(2,ROUNDDOWN(I463,0))*3)*(3*$J463^3-6*$J463^2+3*$J463)+INDIRECT("C$"&amp;4+MIN(2,ROUNDDOWN(I463,0))*3)*(-3*$J463^3+3*$J463^2)+INDIRECT("C$"&amp;5+MIN(2,ROUNDDOWN(I463,0))*3)*$J463^3</f>
      </c>
      <c r="L463" s="7">
        <f>INDIRECT("D$"&amp;2+MIN(2,ROUNDDOWN(I463,0))*3)*(-$J463^3+3*$J463^2-3*$J463+1)+INDIRECT("D$"&amp;3+MIN(2,ROUNDDOWN(I463,0))*3)*(3*$J463^3-6*$J463^2+3*$J463)+INDIRECT("D$"&amp;4+MIN(2,ROUNDDOWN(I463,0))*3)*(-3*$J463^3+3*$J463^2)+INDIRECT("D$"&amp;5+MIN(2,ROUNDDOWN(I463,0))*3)*$J463^3</f>
      </c>
      <c r="M463" s="7">
        <f>SQRT(K463^2+L463^2)</f>
      </c>
      <c r="N463" s="7">
        <f>(K464-K462)</f>
      </c>
      <c r="O463" s="7">
        <f>+(L464-L462)</f>
      </c>
      <c r="P463" s="7">
        <f>SQRT(O463^2+N463^2)</f>
      </c>
      <c r="Q463" s="7">
        <f>N463/$P463</f>
      </c>
      <c r="R463" s="7">
        <f>O463/$P463</f>
      </c>
      <c r="S463" s="7">
        <f>Q463^2+R463^2</f>
      </c>
      <c r="T463" s="7">
        <f>-R463</f>
      </c>
      <c r="U463" s="7">
        <f>Q463</f>
      </c>
      <c r="V463" s="7">
        <f>($C$14+($C$15-$C$14)/($D$15-$D$14)*(I463-$D$14))/2</f>
      </c>
      <c r="W463" s="7">
        <f>($B$22*I463^4+$C$22*I463^3+$D$22*I463^2+$E$22*I463+$F$22)/2</f>
      </c>
      <c r="X463" s="7">
        <f>($W463)*(T463)</f>
      </c>
      <c r="Y463" s="7">
        <f>($W463)*(U463)</f>
      </c>
      <c r="Z463" s="7">
        <f>SQRT(X463^2+Y463^2)</f>
      </c>
      <c r="AA463" s="7">
        <f>$K463+$X463</f>
      </c>
      <c r="AB463" s="7">
        <f>$L463+$Y463</f>
      </c>
      <c r="AC463" s="7">
        <f>$K463-$X463</f>
      </c>
      <c r="AD463" s="7">
        <f>$L463-$Y463</f>
      </c>
      <c r="AE463" s="7">
        <f>AA463/39.3701</f>
      </c>
      <c r="AF463" s="7">
        <f>AB463/39.3701</f>
      </c>
      <c r="AG463" s="7">
        <f>AC463/39.3701</f>
      </c>
      <c r="AH463" s="7">
        <f>AD463/39.3701</f>
      </c>
      <c r="AI463" s="1"/>
      <c r="AJ463" s="1"/>
      <c r="AK463" s="1"/>
      <c r="AL463" s="1"/>
      <c r="AM463" s="2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</row>
    <row x14ac:dyDescent="0.25" r="464" customHeight="1" ht="18.75">
      <c r="A464" s="1"/>
      <c r="B464" s="2"/>
      <c r="C464" s="2"/>
      <c r="D464" s="2"/>
      <c r="E464" s="2"/>
      <c r="F464" s="2"/>
      <c r="G464" s="1"/>
      <c r="H464" s="1"/>
      <c r="I464" s="7">
        <v>0.461</v>
      </c>
      <c r="J464" s="7">
        <f>IF((I464-ROUNDDOWN(I464,0))=0, 0, (I464-ROUNDDOWN(I464,0)))</f>
      </c>
      <c r="K464" s="7">
        <f>INDIRECT("C$"&amp;2+MIN(2,ROUNDDOWN(I464,0))*3)*(-$J464^3+3*$J464^2-3*$J464+1)+INDIRECT("C$"&amp;3+MIN(2,ROUNDDOWN(I464,0))*3)*(3*$J464^3-6*$J464^2+3*$J464)+INDIRECT("C$"&amp;4+MIN(2,ROUNDDOWN(I464,0))*3)*(-3*$J464^3+3*$J464^2)+INDIRECT("C$"&amp;5+MIN(2,ROUNDDOWN(I464,0))*3)*$J464^3</f>
      </c>
      <c r="L464" s="7">
        <f>INDIRECT("D$"&amp;2+MIN(2,ROUNDDOWN(I464,0))*3)*(-$J464^3+3*$J464^2-3*$J464+1)+INDIRECT("D$"&amp;3+MIN(2,ROUNDDOWN(I464,0))*3)*(3*$J464^3-6*$J464^2+3*$J464)+INDIRECT("D$"&amp;4+MIN(2,ROUNDDOWN(I464,0))*3)*(-3*$J464^3+3*$J464^2)+INDIRECT("D$"&amp;5+MIN(2,ROUNDDOWN(I464,0))*3)*$J464^3</f>
      </c>
      <c r="M464" s="7">
        <f>SQRT(K464^2+L464^2)</f>
      </c>
      <c r="N464" s="7">
        <f>(K465-K463)</f>
      </c>
      <c r="O464" s="7">
        <f>+(L465-L463)</f>
      </c>
      <c r="P464" s="7">
        <f>SQRT(O464^2+N464^2)</f>
      </c>
      <c r="Q464" s="7">
        <f>N464/$P464</f>
      </c>
      <c r="R464" s="7">
        <f>O464/$P464</f>
      </c>
      <c r="S464" s="7">
        <f>Q464^2+R464^2</f>
      </c>
      <c r="T464" s="7">
        <f>-R464</f>
      </c>
      <c r="U464" s="7">
        <f>Q464</f>
      </c>
      <c r="V464" s="7">
        <f>($C$14+($C$15-$C$14)/($D$15-$D$14)*(I464-$D$14))/2</f>
      </c>
      <c r="W464" s="7">
        <f>($B$22*I464^4+$C$22*I464^3+$D$22*I464^2+$E$22*I464+$F$22)/2</f>
      </c>
      <c r="X464" s="7">
        <f>($W464)*(T464)</f>
      </c>
      <c r="Y464" s="7">
        <f>($W464)*(U464)</f>
      </c>
      <c r="Z464" s="7">
        <f>SQRT(X464^2+Y464^2)</f>
      </c>
      <c r="AA464" s="7">
        <f>$K464+$X464</f>
      </c>
      <c r="AB464" s="7">
        <f>$L464+$Y464</f>
      </c>
      <c r="AC464" s="7">
        <f>$K464-$X464</f>
      </c>
      <c r="AD464" s="7">
        <f>$L464-$Y464</f>
      </c>
      <c r="AE464" s="7">
        <f>AA464/39.3701</f>
      </c>
      <c r="AF464" s="7">
        <f>AB464/39.3701</f>
      </c>
      <c r="AG464" s="7">
        <f>AC464/39.3701</f>
      </c>
      <c r="AH464" s="7">
        <f>AD464/39.3701</f>
      </c>
      <c r="AI464" s="1"/>
      <c r="AJ464" s="1"/>
      <c r="AK464" s="1"/>
      <c r="AL464" s="1"/>
      <c r="AM464" s="2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</row>
    <row x14ac:dyDescent="0.25" r="465" customHeight="1" ht="18.75">
      <c r="A465" s="1"/>
      <c r="B465" s="2"/>
      <c r="C465" s="2"/>
      <c r="D465" s="2"/>
      <c r="E465" s="2"/>
      <c r="F465" s="2"/>
      <c r="G465" s="1"/>
      <c r="H465" s="1"/>
      <c r="I465" s="7">
        <v>0.462</v>
      </c>
      <c r="J465" s="7">
        <f>IF((I465-ROUNDDOWN(I465,0))=0, 0, (I465-ROUNDDOWN(I465,0)))</f>
      </c>
      <c r="K465" s="7">
        <f>INDIRECT("C$"&amp;2+MIN(2,ROUNDDOWN(I465,0))*3)*(-$J465^3+3*$J465^2-3*$J465+1)+INDIRECT("C$"&amp;3+MIN(2,ROUNDDOWN(I465,0))*3)*(3*$J465^3-6*$J465^2+3*$J465)+INDIRECT("C$"&amp;4+MIN(2,ROUNDDOWN(I465,0))*3)*(-3*$J465^3+3*$J465^2)+INDIRECT("C$"&amp;5+MIN(2,ROUNDDOWN(I465,0))*3)*$J465^3</f>
      </c>
      <c r="L465" s="7">
        <f>INDIRECT("D$"&amp;2+MIN(2,ROUNDDOWN(I465,0))*3)*(-$J465^3+3*$J465^2-3*$J465+1)+INDIRECT("D$"&amp;3+MIN(2,ROUNDDOWN(I465,0))*3)*(3*$J465^3-6*$J465^2+3*$J465)+INDIRECT("D$"&amp;4+MIN(2,ROUNDDOWN(I465,0))*3)*(-3*$J465^3+3*$J465^2)+INDIRECT("D$"&amp;5+MIN(2,ROUNDDOWN(I465,0))*3)*$J465^3</f>
      </c>
      <c r="M465" s="7">
        <f>SQRT(K465^2+L465^2)</f>
      </c>
      <c r="N465" s="7">
        <f>(K466-K464)</f>
      </c>
      <c r="O465" s="7">
        <f>+(L466-L464)</f>
      </c>
      <c r="P465" s="7">
        <f>SQRT(O465^2+N465^2)</f>
      </c>
      <c r="Q465" s="7">
        <f>N465/$P465</f>
      </c>
      <c r="R465" s="7">
        <f>O465/$P465</f>
      </c>
      <c r="S465" s="7">
        <f>Q465^2+R465^2</f>
      </c>
      <c r="T465" s="7">
        <f>-R465</f>
      </c>
      <c r="U465" s="7">
        <f>Q465</f>
      </c>
      <c r="V465" s="7">
        <f>($C$14+($C$15-$C$14)/($D$15-$D$14)*(I465-$D$14))/2</f>
      </c>
      <c r="W465" s="7">
        <f>($B$22*I465^4+$C$22*I465^3+$D$22*I465^2+$E$22*I465+$F$22)/2</f>
      </c>
      <c r="X465" s="7">
        <f>($W465)*(T465)</f>
      </c>
      <c r="Y465" s="7">
        <f>($W465)*(U465)</f>
      </c>
      <c r="Z465" s="7">
        <f>SQRT(X465^2+Y465^2)</f>
      </c>
      <c r="AA465" s="7">
        <f>$K465+$X465</f>
      </c>
      <c r="AB465" s="7">
        <f>$L465+$Y465</f>
      </c>
      <c r="AC465" s="7">
        <f>$K465-$X465</f>
      </c>
      <c r="AD465" s="7">
        <f>$L465-$Y465</f>
      </c>
      <c r="AE465" s="7">
        <f>AA465/39.3701</f>
      </c>
      <c r="AF465" s="7">
        <f>AB465/39.3701</f>
      </c>
      <c r="AG465" s="7">
        <f>AC465/39.3701</f>
      </c>
      <c r="AH465" s="7">
        <f>AD465/39.3701</f>
      </c>
      <c r="AI465" s="1"/>
      <c r="AJ465" s="1"/>
      <c r="AK465" s="1"/>
      <c r="AL465" s="1"/>
      <c r="AM465" s="2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</row>
    <row x14ac:dyDescent="0.25" r="466" customHeight="1" ht="18.75">
      <c r="A466" s="1"/>
      <c r="B466" s="2"/>
      <c r="C466" s="2"/>
      <c r="D466" s="2"/>
      <c r="E466" s="2"/>
      <c r="F466" s="2"/>
      <c r="G466" s="1"/>
      <c r="H466" s="1"/>
      <c r="I466" s="7">
        <v>0.463</v>
      </c>
      <c r="J466" s="7">
        <f>IF((I466-ROUNDDOWN(I466,0))=0, 0, (I466-ROUNDDOWN(I466,0)))</f>
      </c>
      <c r="K466" s="7">
        <f>INDIRECT("C$"&amp;2+MIN(2,ROUNDDOWN(I466,0))*3)*(-$J466^3+3*$J466^2-3*$J466+1)+INDIRECT("C$"&amp;3+MIN(2,ROUNDDOWN(I466,0))*3)*(3*$J466^3-6*$J466^2+3*$J466)+INDIRECT("C$"&amp;4+MIN(2,ROUNDDOWN(I466,0))*3)*(-3*$J466^3+3*$J466^2)+INDIRECT("C$"&amp;5+MIN(2,ROUNDDOWN(I466,0))*3)*$J466^3</f>
      </c>
      <c r="L466" s="7">
        <f>INDIRECT("D$"&amp;2+MIN(2,ROUNDDOWN(I466,0))*3)*(-$J466^3+3*$J466^2-3*$J466+1)+INDIRECT("D$"&amp;3+MIN(2,ROUNDDOWN(I466,0))*3)*(3*$J466^3-6*$J466^2+3*$J466)+INDIRECT("D$"&amp;4+MIN(2,ROUNDDOWN(I466,0))*3)*(-3*$J466^3+3*$J466^2)+INDIRECT("D$"&amp;5+MIN(2,ROUNDDOWN(I466,0))*3)*$J466^3</f>
      </c>
      <c r="M466" s="7">
        <f>SQRT(K466^2+L466^2)</f>
      </c>
      <c r="N466" s="7">
        <f>(K467-K465)</f>
      </c>
      <c r="O466" s="7">
        <f>+(L467-L465)</f>
      </c>
      <c r="P466" s="7">
        <f>SQRT(O466^2+N466^2)</f>
      </c>
      <c r="Q466" s="7">
        <f>N466/$P466</f>
      </c>
      <c r="R466" s="7">
        <f>O466/$P466</f>
      </c>
      <c r="S466" s="8">
        <f>Q466^2+R466^2</f>
      </c>
      <c r="T466" s="7">
        <f>-R466</f>
      </c>
      <c r="U466" s="7">
        <f>Q466</f>
      </c>
      <c r="V466" s="7">
        <f>($C$14+($C$15-$C$14)/($D$15-$D$14)*(I466-$D$14))/2</f>
      </c>
      <c r="W466" s="7">
        <f>($B$22*I466^4+$C$22*I466^3+$D$22*I466^2+$E$22*I466+$F$22)/2</f>
      </c>
      <c r="X466" s="7">
        <f>($W466)*(T466)</f>
      </c>
      <c r="Y466" s="7">
        <f>($W466)*(U466)</f>
      </c>
      <c r="Z466" s="7">
        <f>SQRT(X466^2+Y466^2)</f>
      </c>
      <c r="AA466" s="7">
        <f>$K466+$X466</f>
      </c>
      <c r="AB466" s="7">
        <f>$L466+$Y466</f>
      </c>
      <c r="AC466" s="7">
        <f>$K466-$X466</f>
      </c>
      <c r="AD466" s="7">
        <f>$L466-$Y466</f>
      </c>
      <c r="AE466" s="7">
        <f>AA466/39.3701</f>
      </c>
      <c r="AF466" s="7">
        <f>AB466/39.3701</f>
      </c>
      <c r="AG466" s="7">
        <f>AC466/39.3701</f>
      </c>
      <c r="AH466" s="7">
        <f>AD466/39.3701</f>
      </c>
      <c r="AI466" s="1"/>
      <c r="AJ466" s="1"/>
      <c r="AK466" s="1"/>
      <c r="AL466" s="1"/>
      <c r="AM466" s="2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</row>
    <row x14ac:dyDescent="0.25" r="467" customHeight="1" ht="18.75">
      <c r="A467" s="1"/>
      <c r="B467" s="2"/>
      <c r="C467" s="2"/>
      <c r="D467" s="2"/>
      <c r="E467" s="2"/>
      <c r="F467" s="2"/>
      <c r="G467" s="1"/>
      <c r="H467" s="1"/>
      <c r="I467" s="7">
        <v>0.464</v>
      </c>
      <c r="J467" s="7">
        <f>IF((I467-ROUNDDOWN(I467,0))=0, 0, (I467-ROUNDDOWN(I467,0)))</f>
      </c>
      <c r="K467" s="7">
        <f>INDIRECT("C$"&amp;2+MIN(2,ROUNDDOWN(I467,0))*3)*(-$J467^3+3*$J467^2-3*$J467+1)+INDIRECT("C$"&amp;3+MIN(2,ROUNDDOWN(I467,0))*3)*(3*$J467^3-6*$J467^2+3*$J467)+INDIRECT("C$"&amp;4+MIN(2,ROUNDDOWN(I467,0))*3)*(-3*$J467^3+3*$J467^2)+INDIRECT("C$"&amp;5+MIN(2,ROUNDDOWN(I467,0))*3)*$J467^3</f>
      </c>
      <c r="L467" s="7">
        <f>INDIRECT("D$"&amp;2+MIN(2,ROUNDDOWN(I467,0))*3)*(-$J467^3+3*$J467^2-3*$J467+1)+INDIRECT("D$"&amp;3+MIN(2,ROUNDDOWN(I467,0))*3)*(3*$J467^3-6*$J467^2+3*$J467)+INDIRECT("D$"&amp;4+MIN(2,ROUNDDOWN(I467,0))*3)*(-3*$J467^3+3*$J467^2)+INDIRECT("D$"&amp;5+MIN(2,ROUNDDOWN(I467,0))*3)*$J467^3</f>
      </c>
      <c r="M467" s="7">
        <f>SQRT(K467^2+L467^2)</f>
      </c>
      <c r="N467" s="7">
        <f>(K468-K466)</f>
      </c>
      <c r="O467" s="7">
        <f>+(L468-L466)</f>
      </c>
      <c r="P467" s="7">
        <f>SQRT(O467^2+N467^2)</f>
      </c>
      <c r="Q467" s="7">
        <f>N467/$P467</f>
      </c>
      <c r="R467" s="7">
        <f>O467/$P467</f>
      </c>
      <c r="S467" s="7">
        <f>Q467^2+R467^2</f>
      </c>
      <c r="T467" s="7">
        <f>-R467</f>
      </c>
      <c r="U467" s="7">
        <f>Q467</f>
      </c>
      <c r="V467" s="7">
        <f>($C$14+($C$15-$C$14)/($D$15-$D$14)*(I467-$D$14))/2</f>
      </c>
      <c r="W467" s="7">
        <f>($B$22*I467^4+$C$22*I467^3+$D$22*I467^2+$E$22*I467+$F$22)/2</f>
      </c>
      <c r="X467" s="7">
        <f>($W467)*(T467)</f>
      </c>
      <c r="Y467" s="7">
        <f>($W467)*(U467)</f>
      </c>
      <c r="Z467" s="7">
        <f>SQRT(X467^2+Y467^2)</f>
      </c>
      <c r="AA467" s="7">
        <f>$K467+$X467</f>
      </c>
      <c r="AB467" s="7">
        <f>$L467+$Y467</f>
      </c>
      <c r="AC467" s="7">
        <f>$K467-$X467</f>
      </c>
      <c r="AD467" s="7">
        <f>$L467-$Y467</f>
      </c>
      <c r="AE467" s="7">
        <f>AA467/39.3701</f>
      </c>
      <c r="AF467" s="7">
        <f>AB467/39.3701</f>
      </c>
      <c r="AG467" s="7">
        <f>AC467/39.3701</f>
      </c>
      <c r="AH467" s="7">
        <f>AD467/39.3701</f>
      </c>
      <c r="AI467" s="1"/>
      <c r="AJ467" s="1"/>
      <c r="AK467" s="1"/>
      <c r="AL467" s="1"/>
      <c r="AM467" s="2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</row>
    <row x14ac:dyDescent="0.25" r="468" customHeight="1" ht="18.75">
      <c r="A468" s="1"/>
      <c r="B468" s="2"/>
      <c r="C468" s="2"/>
      <c r="D468" s="2"/>
      <c r="E468" s="2"/>
      <c r="F468" s="2"/>
      <c r="G468" s="1"/>
      <c r="H468" s="1"/>
      <c r="I468" s="7">
        <v>0.465</v>
      </c>
      <c r="J468" s="7">
        <f>IF((I468-ROUNDDOWN(I468,0))=0, 0, (I468-ROUNDDOWN(I468,0)))</f>
      </c>
      <c r="K468" s="7">
        <f>INDIRECT("C$"&amp;2+MIN(2,ROUNDDOWN(I468,0))*3)*(-$J468^3+3*$J468^2-3*$J468+1)+INDIRECT("C$"&amp;3+MIN(2,ROUNDDOWN(I468,0))*3)*(3*$J468^3-6*$J468^2+3*$J468)+INDIRECT("C$"&amp;4+MIN(2,ROUNDDOWN(I468,0))*3)*(-3*$J468^3+3*$J468^2)+INDIRECT("C$"&amp;5+MIN(2,ROUNDDOWN(I468,0))*3)*$J468^3</f>
      </c>
      <c r="L468" s="7">
        <f>INDIRECT("D$"&amp;2+MIN(2,ROUNDDOWN(I468,0))*3)*(-$J468^3+3*$J468^2-3*$J468+1)+INDIRECT("D$"&amp;3+MIN(2,ROUNDDOWN(I468,0))*3)*(3*$J468^3-6*$J468^2+3*$J468)+INDIRECT("D$"&amp;4+MIN(2,ROUNDDOWN(I468,0))*3)*(-3*$J468^3+3*$J468^2)+INDIRECT("D$"&amp;5+MIN(2,ROUNDDOWN(I468,0))*3)*$J468^3</f>
      </c>
      <c r="M468" s="7">
        <f>SQRT(K468^2+L468^2)</f>
      </c>
      <c r="N468" s="7">
        <f>(K469-K467)</f>
      </c>
      <c r="O468" s="7">
        <f>+(L469-L467)</f>
      </c>
      <c r="P468" s="7">
        <f>SQRT(O468^2+N468^2)</f>
      </c>
      <c r="Q468" s="7">
        <f>N468/$P468</f>
      </c>
      <c r="R468" s="7">
        <f>O468/$P468</f>
      </c>
      <c r="S468" s="8">
        <f>Q468^2+R468^2</f>
      </c>
      <c r="T468" s="7">
        <f>-R468</f>
      </c>
      <c r="U468" s="7">
        <f>Q468</f>
      </c>
      <c r="V468" s="7">
        <f>($C$14+($C$15-$C$14)/($D$15-$D$14)*(I468-$D$14))/2</f>
      </c>
      <c r="W468" s="7">
        <f>($B$22*I468^4+$C$22*I468^3+$D$22*I468^2+$E$22*I468+$F$22)/2</f>
      </c>
      <c r="X468" s="7">
        <f>($W468)*(T468)</f>
      </c>
      <c r="Y468" s="7">
        <f>($W468)*(U468)</f>
      </c>
      <c r="Z468" s="7">
        <f>SQRT(X468^2+Y468^2)</f>
      </c>
      <c r="AA468" s="7">
        <f>$K468+$X468</f>
      </c>
      <c r="AB468" s="7">
        <f>$L468+$Y468</f>
      </c>
      <c r="AC468" s="7">
        <f>$K468-$X468</f>
      </c>
      <c r="AD468" s="7">
        <f>$L468-$Y468</f>
      </c>
      <c r="AE468" s="7">
        <f>AA468/39.3701</f>
      </c>
      <c r="AF468" s="7">
        <f>AB468/39.3701</f>
      </c>
      <c r="AG468" s="7">
        <f>AC468/39.3701</f>
      </c>
      <c r="AH468" s="7">
        <f>AD468/39.3701</f>
      </c>
      <c r="AI468" s="1"/>
      <c r="AJ468" s="1"/>
      <c r="AK468" s="1"/>
      <c r="AL468" s="1"/>
      <c r="AM468" s="2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</row>
    <row x14ac:dyDescent="0.25" r="469" customHeight="1" ht="18.75">
      <c r="A469" s="1"/>
      <c r="B469" s="2"/>
      <c r="C469" s="2"/>
      <c r="D469" s="2"/>
      <c r="E469" s="2"/>
      <c r="F469" s="2"/>
      <c r="G469" s="1"/>
      <c r="H469" s="1"/>
      <c r="I469" s="7">
        <v>0.466</v>
      </c>
      <c r="J469" s="7">
        <f>IF((I469-ROUNDDOWN(I469,0))=0, 0, (I469-ROUNDDOWN(I469,0)))</f>
      </c>
      <c r="K469" s="7">
        <f>INDIRECT("C$"&amp;2+MIN(2,ROUNDDOWN(I469,0))*3)*(-$J469^3+3*$J469^2-3*$J469+1)+INDIRECT("C$"&amp;3+MIN(2,ROUNDDOWN(I469,0))*3)*(3*$J469^3-6*$J469^2+3*$J469)+INDIRECT("C$"&amp;4+MIN(2,ROUNDDOWN(I469,0))*3)*(-3*$J469^3+3*$J469^2)+INDIRECT("C$"&amp;5+MIN(2,ROUNDDOWN(I469,0))*3)*$J469^3</f>
      </c>
      <c r="L469" s="7">
        <f>INDIRECT("D$"&amp;2+MIN(2,ROUNDDOWN(I469,0))*3)*(-$J469^3+3*$J469^2-3*$J469+1)+INDIRECT("D$"&amp;3+MIN(2,ROUNDDOWN(I469,0))*3)*(3*$J469^3-6*$J469^2+3*$J469)+INDIRECT("D$"&amp;4+MIN(2,ROUNDDOWN(I469,0))*3)*(-3*$J469^3+3*$J469^2)+INDIRECT("D$"&amp;5+MIN(2,ROUNDDOWN(I469,0))*3)*$J469^3</f>
      </c>
      <c r="M469" s="7">
        <f>SQRT(K469^2+L469^2)</f>
      </c>
      <c r="N469" s="7">
        <f>(K470-K468)</f>
      </c>
      <c r="O469" s="7">
        <f>+(L470-L468)</f>
      </c>
      <c r="P469" s="7">
        <f>SQRT(O469^2+N469^2)</f>
      </c>
      <c r="Q469" s="7">
        <f>N469/$P469</f>
      </c>
      <c r="R469" s="7">
        <f>O469/$P469</f>
      </c>
      <c r="S469" s="8">
        <f>Q469^2+R469^2</f>
      </c>
      <c r="T469" s="7">
        <f>-R469</f>
      </c>
      <c r="U469" s="7">
        <f>Q469</f>
      </c>
      <c r="V469" s="7">
        <f>($C$14+($C$15-$C$14)/($D$15-$D$14)*(I469-$D$14))/2</f>
      </c>
      <c r="W469" s="7">
        <f>($B$22*I469^4+$C$22*I469^3+$D$22*I469^2+$E$22*I469+$F$22)/2</f>
      </c>
      <c r="X469" s="7">
        <f>($W469)*(T469)</f>
      </c>
      <c r="Y469" s="7">
        <f>($W469)*(U469)</f>
      </c>
      <c r="Z469" s="7">
        <f>SQRT(X469^2+Y469^2)</f>
      </c>
      <c r="AA469" s="7">
        <f>$K469+$X469</f>
      </c>
      <c r="AB469" s="7">
        <f>$L469+$Y469</f>
      </c>
      <c r="AC469" s="7">
        <f>$K469-$X469</f>
      </c>
      <c r="AD469" s="7">
        <f>$L469-$Y469</f>
      </c>
      <c r="AE469" s="7">
        <f>AA469/39.3701</f>
      </c>
      <c r="AF469" s="7">
        <f>AB469/39.3701</f>
      </c>
      <c r="AG469" s="7">
        <f>AC469/39.3701</f>
      </c>
      <c r="AH469" s="7">
        <f>AD469/39.3701</f>
      </c>
      <c r="AI469" s="1"/>
      <c r="AJ469" s="1"/>
      <c r="AK469" s="1"/>
      <c r="AL469" s="1"/>
      <c r="AM469" s="2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</row>
    <row x14ac:dyDescent="0.25" r="470" customHeight="1" ht="18.75">
      <c r="A470" s="1"/>
      <c r="B470" s="2"/>
      <c r="C470" s="2"/>
      <c r="D470" s="2"/>
      <c r="E470" s="2"/>
      <c r="F470" s="2"/>
      <c r="G470" s="1"/>
      <c r="H470" s="1"/>
      <c r="I470" s="7">
        <v>0.467</v>
      </c>
      <c r="J470" s="7">
        <f>IF((I470-ROUNDDOWN(I470,0))=0, 0, (I470-ROUNDDOWN(I470,0)))</f>
      </c>
      <c r="K470" s="7">
        <f>INDIRECT("C$"&amp;2+MIN(2,ROUNDDOWN(I470,0))*3)*(-$J470^3+3*$J470^2-3*$J470+1)+INDIRECT("C$"&amp;3+MIN(2,ROUNDDOWN(I470,0))*3)*(3*$J470^3-6*$J470^2+3*$J470)+INDIRECT("C$"&amp;4+MIN(2,ROUNDDOWN(I470,0))*3)*(-3*$J470^3+3*$J470^2)+INDIRECT("C$"&amp;5+MIN(2,ROUNDDOWN(I470,0))*3)*$J470^3</f>
      </c>
      <c r="L470" s="7">
        <f>INDIRECT("D$"&amp;2+MIN(2,ROUNDDOWN(I470,0))*3)*(-$J470^3+3*$J470^2-3*$J470+1)+INDIRECT("D$"&amp;3+MIN(2,ROUNDDOWN(I470,0))*3)*(3*$J470^3-6*$J470^2+3*$J470)+INDIRECT("D$"&amp;4+MIN(2,ROUNDDOWN(I470,0))*3)*(-3*$J470^3+3*$J470^2)+INDIRECT("D$"&amp;5+MIN(2,ROUNDDOWN(I470,0))*3)*$J470^3</f>
      </c>
      <c r="M470" s="7">
        <f>SQRT(K470^2+L470^2)</f>
      </c>
      <c r="N470" s="7">
        <f>(K471-K469)</f>
      </c>
      <c r="O470" s="7">
        <f>+(L471-L469)</f>
      </c>
      <c r="P470" s="7">
        <f>SQRT(O470^2+N470^2)</f>
      </c>
      <c r="Q470" s="7">
        <f>N470/$P470</f>
      </c>
      <c r="R470" s="7">
        <f>O470/$P470</f>
      </c>
      <c r="S470" s="8">
        <f>Q470^2+R470^2</f>
      </c>
      <c r="T470" s="7">
        <f>-R470</f>
      </c>
      <c r="U470" s="7">
        <f>Q470</f>
      </c>
      <c r="V470" s="7">
        <f>($C$14+($C$15-$C$14)/($D$15-$D$14)*(I470-$D$14))/2</f>
      </c>
      <c r="W470" s="7">
        <f>($B$22*I470^4+$C$22*I470^3+$D$22*I470^2+$E$22*I470+$F$22)/2</f>
      </c>
      <c r="X470" s="7">
        <f>($W470)*(T470)</f>
      </c>
      <c r="Y470" s="7">
        <f>($W470)*(U470)</f>
      </c>
      <c r="Z470" s="7">
        <f>SQRT(X470^2+Y470^2)</f>
      </c>
      <c r="AA470" s="7">
        <f>$K470+$X470</f>
      </c>
      <c r="AB470" s="7">
        <f>$L470+$Y470</f>
      </c>
      <c r="AC470" s="7">
        <f>$K470-$X470</f>
      </c>
      <c r="AD470" s="7">
        <f>$L470-$Y470</f>
      </c>
      <c r="AE470" s="7">
        <f>AA470/39.3701</f>
      </c>
      <c r="AF470" s="7">
        <f>AB470/39.3701</f>
      </c>
      <c r="AG470" s="7">
        <f>AC470/39.3701</f>
      </c>
      <c r="AH470" s="7">
        <f>AD470/39.3701</f>
      </c>
      <c r="AI470" s="1"/>
      <c r="AJ470" s="1"/>
      <c r="AK470" s="1"/>
      <c r="AL470" s="1"/>
      <c r="AM470" s="2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</row>
    <row x14ac:dyDescent="0.25" r="471" customHeight="1" ht="18.75">
      <c r="A471" s="1"/>
      <c r="B471" s="2"/>
      <c r="C471" s="2"/>
      <c r="D471" s="2"/>
      <c r="E471" s="2"/>
      <c r="F471" s="2"/>
      <c r="G471" s="1"/>
      <c r="H471" s="1"/>
      <c r="I471" s="7">
        <v>0.468</v>
      </c>
      <c r="J471" s="7">
        <f>IF((I471-ROUNDDOWN(I471,0))=0, 0, (I471-ROUNDDOWN(I471,0)))</f>
      </c>
      <c r="K471" s="7">
        <f>INDIRECT("C$"&amp;2+MIN(2,ROUNDDOWN(I471,0))*3)*(-$J471^3+3*$J471^2-3*$J471+1)+INDIRECT("C$"&amp;3+MIN(2,ROUNDDOWN(I471,0))*3)*(3*$J471^3-6*$J471^2+3*$J471)+INDIRECT("C$"&amp;4+MIN(2,ROUNDDOWN(I471,0))*3)*(-3*$J471^3+3*$J471^2)+INDIRECT("C$"&amp;5+MIN(2,ROUNDDOWN(I471,0))*3)*$J471^3</f>
      </c>
      <c r="L471" s="7">
        <f>INDIRECT("D$"&amp;2+MIN(2,ROUNDDOWN(I471,0))*3)*(-$J471^3+3*$J471^2-3*$J471+1)+INDIRECT("D$"&amp;3+MIN(2,ROUNDDOWN(I471,0))*3)*(3*$J471^3-6*$J471^2+3*$J471)+INDIRECT("D$"&amp;4+MIN(2,ROUNDDOWN(I471,0))*3)*(-3*$J471^3+3*$J471^2)+INDIRECT("D$"&amp;5+MIN(2,ROUNDDOWN(I471,0))*3)*$J471^3</f>
      </c>
      <c r="M471" s="7">
        <f>SQRT(K471^2+L471^2)</f>
      </c>
      <c r="N471" s="7">
        <f>(K472-K470)</f>
      </c>
      <c r="O471" s="7">
        <f>+(L472-L470)</f>
      </c>
      <c r="P471" s="7">
        <f>SQRT(O471^2+N471^2)</f>
      </c>
      <c r="Q471" s="7">
        <f>N471/$P471</f>
      </c>
      <c r="R471" s="7">
        <f>O471/$P471</f>
      </c>
      <c r="S471" s="8">
        <f>Q471^2+R471^2</f>
      </c>
      <c r="T471" s="7">
        <f>-R471</f>
      </c>
      <c r="U471" s="7">
        <f>Q471</f>
      </c>
      <c r="V471" s="7">
        <f>($C$14+($C$15-$C$14)/($D$15-$D$14)*(I471-$D$14))/2</f>
      </c>
      <c r="W471" s="7">
        <f>($B$22*I471^4+$C$22*I471^3+$D$22*I471^2+$E$22*I471+$F$22)/2</f>
      </c>
      <c r="X471" s="7">
        <f>($W471)*(T471)</f>
      </c>
      <c r="Y471" s="7">
        <f>($W471)*(U471)</f>
      </c>
      <c r="Z471" s="7">
        <f>SQRT(X471^2+Y471^2)</f>
      </c>
      <c r="AA471" s="7">
        <f>$K471+$X471</f>
      </c>
      <c r="AB471" s="7">
        <f>$L471+$Y471</f>
      </c>
      <c r="AC471" s="7">
        <f>$K471-$X471</f>
      </c>
      <c r="AD471" s="7">
        <f>$L471-$Y471</f>
      </c>
      <c r="AE471" s="7">
        <f>AA471/39.3701</f>
      </c>
      <c r="AF471" s="7">
        <f>AB471/39.3701</f>
      </c>
      <c r="AG471" s="7">
        <f>AC471/39.3701</f>
      </c>
      <c r="AH471" s="7">
        <f>AD471/39.3701</f>
      </c>
      <c r="AI471" s="1"/>
      <c r="AJ471" s="1"/>
      <c r="AK471" s="1"/>
      <c r="AL471" s="1"/>
      <c r="AM471" s="2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</row>
    <row x14ac:dyDescent="0.25" r="472" customHeight="1" ht="18.75">
      <c r="A472" s="1"/>
      <c r="B472" s="2"/>
      <c r="C472" s="2"/>
      <c r="D472" s="2"/>
      <c r="E472" s="2"/>
      <c r="F472" s="2"/>
      <c r="G472" s="1"/>
      <c r="H472" s="1"/>
      <c r="I472" s="7">
        <v>0.469</v>
      </c>
      <c r="J472" s="7">
        <f>IF((I472-ROUNDDOWN(I472,0))=0, 0, (I472-ROUNDDOWN(I472,0)))</f>
      </c>
      <c r="K472" s="7">
        <f>INDIRECT("C$"&amp;2+MIN(2,ROUNDDOWN(I472,0))*3)*(-$J472^3+3*$J472^2-3*$J472+1)+INDIRECT("C$"&amp;3+MIN(2,ROUNDDOWN(I472,0))*3)*(3*$J472^3-6*$J472^2+3*$J472)+INDIRECT("C$"&amp;4+MIN(2,ROUNDDOWN(I472,0))*3)*(-3*$J472^3+3*$J472^2)+INDIRECT("C$"&amp;5+MIN(2,ROUNDDOWN(I472,0))*3)*$J472^3</f>
      </c>
      <c r="L472" s="7">
        <f>INDIRECT("D$"&amp;2+MIN(2,ROUNDDOWN(I472,0))*3)*(-$J472^3+3*$J472^2-3*$J472+1)+INDIRECT("D$"&amp;3+MIN(2,ROUNDDOWN(I472,0))*3)*(3*$J472^3-6*$J472^2+3*$J472)+INDIRECT("D$"&amp;4+MIN(2,ROUNDDOWN(I472,0))*3)*(-3*$J472^3+3*$J472^2)+INDIRECT("D$"&amp;5+MIN(2,ROUNDDOWN(I472,0))*3)*$J472^3</f>
      </c>
      <c r="M472" s="7">
        <f>SQRT(K472^2+L472^2)</f>
      </c>
      <c r="N472" s="7">
        <f>(K473-K471)</f>
      </c>
      <c r="O472" s="7">
        <f>+(L473-L471)</f>
      </c>
      <c r="P472" s="7">
        <f>SQRT(O472^2+N472^2)</f>
      </c>
      <c r="Q472" s="7">
        <f>N472/$P472</f>
      </c>
      <c r="R472" s="7">
        <f>O472/$P472</f>
      </c>
      <c r="S472" s="8">
        <f>Q472^2+R472^2</f>
      </c>
      <c r="T472" s="7">
        <f>-R472</f>
      </c>
      <c r="U472" s="7">
        <f>Q472</f>
      </c>
      <c r="V472" s="7">
        <f>($C$14+($C$15-$C$14)/($D$15-$D$14)*(I472-$D$14))/2</f>
      </c>
      <c r="W472" s="7">
        <f>($B$22*I472^4+$C$22*I472^3+$D$22*I472^2+$E$22*I472+$F$22)/2</f>
      </c>
      <c r="X472" s="7">
        <f>($W472)*(T472)</f>
      </c>
      <c r="Y472" s="7">
        <f>($W472)*(U472)</f>
      </c>
      <c r="Z472" s="7">
        <f>SQRT(X472^2+Y472^2)</f>
      </c>
      <c r="AA472" s="7">
        <f>$K472+$X472</f>
      </c>
      <c r="AB472" s="7">
        <f>$L472+$Y472</f>
      </c>
      <c r="AC472" s="7">
        <f>$K472-$X472</f>
      </c>
      <c r="AD472" s="7">
        <f>$L472-$Y472</f>
      </c>
      <c r="AE472" s="7">
        <f>AA472/39.3701</f>
      </c>
      <c r="AF472" s="7">
        <f>AB472/39.3701</f>
      </c>
      <c r="AG472" s="7">
        <f>AC472/39.3701</f>
      </c>
      <c r="AH472" s="7">
        <f>AD472/39.3701</f>
      </c>
      <c r="AI472" s="1"/>
      <c r="AJ472" s="1"/>
      <c r="AK472" s="1"/>
      <c r="AL472" s="1"/>
      <c r="AM472" s="2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</row>
    <row x14ac:dyDescent="0.25" r="473" customHeight="1" ht="18.75">
      <c r="A473" s="1"/>
      <c r="B473" s="2"/>
      <c r="C473" s="2"/>
      <c r="D473" s="2"/>
      <c r="E473" s="2"/>
      <c r="F473" s="2"/>
      <c r="G473" s="1"/>
      <c r="H473" s="1"/>
      <c r="I473" s="7">
        <v>0.47</v>
      </c>
      <c r="J473" s="7">
        <f>IF((I473-ROUNDDOWN(I473,0))=0, 0, (I473-ROUNDDOWN(I473,0)))</f>
      </c>
      <c r="K473" s="7">
        <f>INDIRECT("C$"&amp;2+MIN(2,ROUNDDOWN(I473,0))*3)*(-$J473^3+3*$J473^2-3*$J473+1)+INDIRECT("C$"&amp;3+MIN(2,ROUNDDOWN(I473,0))*3)*(3*$J473^3-6*$J473^2+3*$J473)+INDIRECT("C$"&amp;4+MIN(2,ROUNDDOWN(I473,0))*3)*(-3*$J473^3+3*$J473^2)+INDIRECT("C$"&amp;5+MIN(2,ROUNDDOWN(I473,0))*3)*$J473^3</f>
      </c>
      <c r="L473" s="7">
        <f>INDIRECT("D$"&amp;2+MIN(2,ROUNDDOWN(I473,0))*3)*(-$J473^3+3*$J473^2-3*$J473+1)+INDIRECT("D$"&amp;3+MIN(2,ROUNDDOWN(I473,0))*3)*(3*$J473^3-6*$J473^2+3*$J473)+INDIRECT("D$"&amp;4+MIN(2,ROUNDDOWN(I473,0))*3)*(-3*$J473^3+3*$J473^2)+INDIRECT("D$"&amp;5+MIN(2,ROUNDDOWN(I473,0))*3)*$J473^3</f>
      </c>
      <c r="M473" s="7">
        <f>SQRT(K473^2+L473^2)</f>
      </c>
      <c r="N473" s="7">
        <f>(K474-K472)</f>
      </c>
      <c r="O473" s="7">
        <f>+(L474-L472)</f>
      </c>
      <c r="P473" s="7">
        <f>SQRT(O473^2+N473^2)</f>
      </c>
      <c r="Q473" s="7">
        <f>N473/$P473</f>
      </c>
      <c r="R473" s="7">
        <f>O473/$P473</f>
      </c>
      <c r="S473" s="7">
        <f>Q473^2+R473^2</f>
      </c>
      <c r="T473" s="7">
        <f>-R473</f>
      </c>
      <c r="U473" s="7">
        <f>Q473</f>
      </c>
      <c r="V473" s="7">
        <f>($C$14+($C$15-$C$14)/($D$15-$D$14)*(I473-$D$14))/2</f>
      </c>
      <c r="W473" s="7">
        <f>($B$22*I473^4+$C$22*I473^3+$D$22*I473^2+$E$22*I473+$F$22)/2</f>
      </c>
      <c r="X473" s="7">
        <f>($W473)*(T473)</f>
      </c>
      <c r="Y473" s="7">
        <f>($W473)*(U473)</f>
      </c>
      <c r="Z473" s="7">
        <f>SQRT(X473^2+Y473^2)</f>
      </c>
      <c r="AA473" s="7">
        <f>$K473+$X473</f>
      </c>
      <c r="AB473" s="7">
        <f>$L473+$Y473</f>
      </c>
      <c r="AC473" s="7">
        <f>$K473-$X473</f>
      </c>
      <c r="AD473" s="7">
        <f>$L473-$Y473</f>
      </c>
      <c r="AE473" s="7">
        <f>AA473/39.3701</f>
      </c>
      <c r="AF473" s="7">
        <f>AB473/39.3701</f>
      </c>
      <c r="AG473" s="7">
        <f>AC473/39.3701</f>
      </c>
      <c r="AH473" s="7">
        <f>AD473/39.3701</f>
      </c>
      <c r="AI473" s="1"/>
      <c r="AJ473" s="1"/>
      <c r="AK473" s="1"/>
      <c r="AL473" s="1"/>
      <c r="AM473" s="2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</row>
    <row x14ac:dyDescent="0.25" r="474" customHeight="1" ht="18.75">
      <c r="A474" s="1"/>
      <c r="B474" s="2"/>
      <c r="C474" s="2"/>
      <c r="D474" s="2"/>
      <c r="E474" s="2"/>
      <c r="F474" s="2"/>
      <c r="G474" s="1"/>
      <c r="H474" s="1"/>
      <c r="I474" s="7">
        <v>0.471</v>
      </c>
      <c r="J474" s="7">
        <f>IF((I474-ROUNDDOWN(I474,0))=0, 0, (I474-ROUNDDOWN(I474,0)))</f>
      </c>
      <c r="K474" s="7">
        <f>INDIRECT("C$"&amp;2+MIN(2,ROUNDDOWN(I474,0))*3)*(-$J474^3+3*$J474^2-3*$J474+1)+INDIRECT("C$"&amp;3+MIN(2,ROUNDDOWN(I474,0))*3)*(3*$J474^3-6*$J474^2+3*$J474)+INDIRECT("C$"&amp;4+MIN(2,ROUNDDOWN(I474,0))*3)*(-3*$J474^3+3*$J474^2)+INDIRECT("C$"&amp;5+MIN(2,ROUNDDOWN(I474,0))*3)*$J474^3</f>
      </c>
      <c r="L474" s="7">
        <f>INDIRECT("D$"&amp;2+MIN(2,ROUNDDOWN(I474,0))*3)*(-$J474^3+3*$J474^2-3*$J474+1)+INDIRECT("D$"&amp;3+MIN(2,ROUNDDOWN(I474,0))*3)*(3*$J474^3-6*$J474^2+3*$J474)+INDIRECT("D$"&amp;4+MIN(2,ROUNDDOWN(I474,0))*3)*(-3*$J474^3+3*$J474^2)+INDIRECT("D$"&amp;5+MIN(2,ROUNDDOWN(I474,0))*3)*$J474^3</f>
      </c>
      <c r="M474" s="7">
        <f>SQRT(K474^2+L474^2)</f>
      </c>
      <c r="N474" s="7">
        <f>(K475-K473)</f>
      </c>
      <c r="O474" s="7">
        <f>+(L475-L473)</f>
      </c>
      <c r="P474" s="7">
        <f>SQRT(O474^2+N474^2)</f>
      </c>
      <c r="Q474" s="7">
        <f>N474/$P474</f>
      </c>
      <c r="R474" s="7">
        <f>O474/$P474</f>
      </c>
      <c r="S474" s="8">
        <f>Q474^2+R474^2</f>
      </c>
      <c r="T474" s="7">
        <f>-R474</f>
      </c>
      <c r="U474" s="7">
        <f>Q474</f>
      </c>
      <c r="V474" s="7">
        <f>($C$14+($C$15-$C$14)/($D$15-$D$14)*(I474-$D$14))/2</f>
      </c>
      <c r="W474" s="7">
        <f>($B$22*I474^4+$C$22*I474^3+$D$22*I474^2+$E$22*I474+$F$22)/2</f>
      </c>
      <c r="X474" s="7">
        <f>($W474)*(T474)</f>
      </c>
      <c r="Y474" s="7">
        <f>($W474)*(U474)</f>
      </c>
      <c r="Z474" s="7">
        <f>SQRT(X474^2+Y474^2)</f>
      </c>
      <c r="AA474" s="7">
        <f>$K474+$X474</f>
      </c>
      <c r="AB474" s="7">
        <f>$L474+$Y474</f>
      </c>
      <c r="AC474" s="7">
        <f>$K474-$X474</f>
      </c>
      <c r="AD474" s="7">
        <f>$L474-$Y474</f>
      </c>
      <c r="AE474" s="7">
        <f>AA474/39.3701</f>
      </c>
      <c r="AF474" s="7">
        <f>AB474/39.3701</f>
      </c>
      <c r="AG474" s="7">
        <f>AC474/39.3701</f>
      </c>
      <c r="AH474" s="7">
        <f>AD474/39.3701</f>
      </c>
      <c r="AI474" s="1"/>
      <c r="AJ474" s="1"/>
      <c r="AK474" s="1"/>
      <c r="AL474" s="1"/>
      <c r="AM474" s="2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</row>
    <row x14ac:dyDescent="0.25" r="475" customHeight="1" ht="18.75">
      <c r="A475" s="1"/>
      <c r="B475" s="2"/>
      <c r="C475" s="2"/>
      <c r="D475" s="2"/>
      <c r="E475" s="2"/>
      <c r="F475" s="2"/>
      <c r="G475" s="1"/>
      <c r="H475" s="1"/>
      <c r="I475" s="7">
        <v>0.472</v>
      </c>
      <c r="J475" s="7">
        <f>IF((I475-ROUNDDOWN(I475,0))=0, 0, (I475-ROUNDDOWN(I475,0)))</f>
      </c>
      <c r="K475" s="7">
        <f>INDIRECT("C$"&amp;2+MIN(2,ROUNDDOWN(I475,0))*3)*(-$J475^3+3*$J475^2-3*$J475+1)+INDIRECT("C$"&amp;3+MIN(2,ROUNDDOWN(I475,0))*3)*(3*$J475^3-6*$J475^2+3*$J475)+INDIRECT("C$"&amp;4+MIN(2,ROUNDDOWN(I475,0))*3)*(-3*$J475^3+3*$J475^2)+INDIRECT("C$"&amp;5+MIN(2,ROUNDDOWN(I475,0))*3)*$J475^3</f>
      </c>
      <c r="L475" s="7">
        <f>INDIRECT("D$"&amp;2+MIN(2,ROUNDDOWN(I475,0))*3)*(-$J475^3+3*$J475^2-3*$J475+1)+INDIRECT("D$"&amp;3+MIN(2,ROUNDDOWN(I475,0))*3)*(3*$J475^3-6*$J475^2+3*$J475)+INDIRECT("D$"&amp;4+MIN(2,ROUNDDOWN(I475,0))*3)*(-3*$J475^3+3*$J475^2)+INDIRECT("D$"&amp;5+MIN(2,ROUNDDOWN(I475,0))*3)*$J475^3</f>
      </c>
      <c r="M475" s="7">
        <f>SQRT(K475^2+L475^2)</f>
      </c>
      <c r="N475" s="7">
        <f>(K476-K474)</f>
      </c>
      <c r="O475" s="7">
        <f>+(L476-L474)</f>
      </c>
      <c r="P475" s="7">
        <f>SQRT(O475^2+N475^2)</f>
      </c>
      <c r="Q475" s="7">
        <f>N475/$P475</f>
      </c>
      <c r="R475" s="7">
        <f>O475/$P475</f>
      </c>
      <c r="S475" s="8">
        <f>Q475^2+R475^2</f>
      </c>
      <c r="T475" s="7">
        <f>-R475</f>
      </c>
      <c r="U475" s="7">
        <f>Q475</f>
      </c>
      <c r="V475" s="7">
        <f>($C$14+($C$15-$C$14)/($D$15-$D$14)*(I475-$D$14))/2</f>
      </c>
      <c r="W475" s="7">
        <f>($B$22*I475^4+$C$22*I475^3+$D$22*I475^2+$E$22*I475+$F$22)/2</f>
      </c>
      <c r="X475" s="7">
        <f>($W475)*(T475)</f>
      </c>
      <c r="Y475" s="7">
        <f>($W475)*(U475)</f>
      </c>
      <c r="Z475" s="7">
        <f>SQRT(X475^2+Y475^2)</f>
      </c>
      <c r="AA475" s="7">
        <f>$K475+$X475</f>
      </c>
      <c r="AB475" s="7">
        <f>$L475+$Y475</f>
      </c>
      <c r="AC475" s="7">
        <f>$K475-$X475</f>
      </c>
      <c r="AD475" s="7">
        <f>$L475-$Y475</f>
      </c>
      <c r="AE475" s="7">
        <f>AA475/39.3701</f>
      </c>
      <c r="AF475" s="7">
        <f>AB475/39.3701</f>
      </c>
      <c r="AG475" s="7">
        <f>AC475/39.3701</f>
      </c>
      <c r="AH475" s="7">
        <f>AD475/39.3701</f>
      </c>
      <c r="AI475" s="1"/>
      <c r="AJ475" s="1"/>
      <c r="AK475" s="1"/>
      <c r="AL475" s="1"/>
      <c r="AM475" s="2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</row>
    <row x14ac:dyDescent="0.25" r="476" customHeight="1" ht="18.75">
      <c r="A476" s="1"/>
      <c r="B476" s="2"/>
      <c r="C476" s="2"/>
      <c r="D476" s="2"/>
      <c r="E476" s="2"/>
      <c r="F476" s="2"/>
      <c r="G476" s="1"/>
      <c r="H476" s="1"/>
      <c r="I476" s="7">
        <v>0.473</v>
      </c>
      <c r="J476" s="7">
        <f>IF((I476-ROUNDDOWN(I476,0))=0, 0, (I476-ROUNDDOWN(I476,0)))</f>
      </c>
      <c r="K476" s="7">
        <f>INDIRECT("C$"&amp;2+MIN(2,ROUNDDOWN(I476,0))*3)*(-$J476^3+3*$J476^2-3*$J476+1)+INDIRECT("C$"&amp;3+MIN(2,ROUNDDOWN(I476,0))*3)*(3*$J476^3-6*$J476^2+3*$J476)+INDIRECT("C$"&amp;4+MIN(2,ROUNDDOWN(I476,0))*3)*(-3*$J476^3+3*$J476^2)+INDIRECT("C$"&amp;5+MIN(2,ROUNDDOWN(I476,0))*3)*$J476^3</f>
      </c>
      <c r="L476" s="7">
        <f>INDIRECT("D$"&amp;2+MIN(2,ROUNDDOWN(I476,0))*3)*(-$J476^3+3*$J476^2-3*$J476+1)+INDIRECT("D$"&amp;3+MIN(2,ROUNDDOWN(I476,0))*3)*(3*$J476^3-6*$J476^2+3*$J476)+INDIRECT("D$"&amp;4+MIN(2,ROUNDDOWN(I476,0))*3)*(-3*$J476^3+3*$J476^2)+INDIRECT("D$"&amp;5+MIN(2,ROUNDDOWN(I476,0))*3)*$J476^3</f>
      </c>
      <c r="M476" s="7">
        <f>SQRT(K476^2+L476^2)</f>
      </c>
      <c r="N476" s="7">
        <f>(K477-K475)</f>
      </c>
      <c r="O476" s="7">
        <f>+(L477-L475)</f>
      </c>
      <c r="P476" s="7">
        <f>SQRT(O476^2+N476^2)</f>
      </c>
      <c r="Q476" s="7">
        <f>N476/$P476</f>
      </c>
      <c r="R476" s="7">
        <f>O476/$P476</f>
      </c>
      <c r="S476" s="7">
        <f>Q476^2+R476^2</f>
      </c>
      <c r="T476" s="7">
        <f>-R476</f>
      </c>
      <c r="U476" s="7">
        <f>Q476</f>
      </c>
      <c r="V476" s="7">
        <f>($C$14+($C$15-$C$14)/($D$15-$D$14)*(I476-$D$14))/2</f>
      </c>
      <c r="W476" s="7">
        <f>($B$22*I476^4+$C$22*I476^3+$D$22*I476^2+$E$22*I476+$F$22)/2</f>
      </c>
      <c r="X476" s="7">
        <f>($W476)*(T476)</f>
      </c>
      <c r="Y476" s="7">
        <f>($W476)*(U476)</f>
      </c>
      <c r="Z476" s="7">
        <f>SQRT(X476^2+Y476^2)</f>
      </c>
      <c r="AA476" s="7">
        <f>$K476+$X476</f>
      </c>
      <c r="AB476" s="7">
        <f>$L476+$Y476</f>
      </c>
      <c r="AC476" s="7">
        <f>$K476-$X476</f>
      </c>
      <c r="AD476" s="7">
        <f>$L476-$Y476</f>
      </c>
      <c r="AE476" s="7">
        <f>AA476/39.3701</f>
      </c>
      <c r="AF476" s="7">
        <f>AB476/39.3701</f>
      </c>
      <c r="AG476" s="7">
        <f>AC476/39.3701</f>
      </c>
      <c r="AH476" s="7">
        <f>AD476/39.3701</f>
      </c>
      <c r="AI476" s="1"/>
      <c r="AJ476" s="1"/>
      <c r="AK476" s="1"/>
      <c r="AL476" s="1"/>
      <c r="AM476" s="2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</row>
    <row x14ac:dyDescent="0.25" r="477" customHeight="1" ht="18.75">
      <c r="A477" s="1"/>
      <c r="B477" s="2"/>
      <c r="C477" s="2"/>
      <c r="D477" s="2"/>
      <c r="E477" s="2"/>
      <c r="F477" s="2"/>
      <c r="G477" s="1"/>
      <c r="H477" s="1"/>
      <c r="I477" s="7">
        <v>0.474</v>
      </c>
      <c r="J477" s="7">
        <f>IF((I477-ROUNDDOWN(I477,0))=0, 0, (I477-ROUNDDOWN(I477,0)))</f>
      </c>
      <c r="K477" s="7">
        <f>INDIRECT("C$"&amp;2+MIN(2,ROUNDDOWN(I477,0))*3)*(-$J477^3+3*$J477^2-3*$J477+1)+INDIRECT("C$"&amp;3+MIN(2,ROUNDDOWN(I477,0))*3)*(3*$J477^3-6*$J477^2+3*$J477)+INDIRECT("C$"&amp;4+MIN(2,ROUNDDOWN(I477,0))*3)*(-3*$J477^3+3*$J477^2)+INDIRECT("C$"&amp;5+MIN(2,ROUNDDOWN(I477,0))*3)*$J477^3</f>
      </c>
      <c r="L477" s="7">
        <f>INDIRECT("D$"&amp;2+MIN(2,ROUNDDOWN(I477,0))*3)*(-$J477^3+3*$J477^2-3*$J477+1)+INDIRECT("D$"&amp;3+MIN(2,ROUNDDOWN(I477,0))*3)*(3*$J477^3-6*$J477^2+3*$J477)+INDIRECT("D$"&amp;4+MIN(2,ROUNDDOWN(I477,0))*3)*(-3*$J477^3+3*$J477^2)+INDIRECT("D$"&amp;5+MIN(2,ROUNDDOWN(I477,0))*3)*$J477^3</f>
      </c>
      <c r="M477" s="7">
        <f>SQRT(K477^2+L477^2)</f>
      </c>
      <c r="N477" s="7">
        <f>(K478-K476)</f>
      </c>
      <c r="O477" s="7">
        <f>+(L478-L476)</f>
      </c>
      <c r="P477" s="7">
        <f>SQRT(O477^2+N477^2)</f>
      </c>
      <c r="Q477" s="7">
        <f>N477/$P477</f>
      </c>
      <c r="R477" s="7">
        <f>O477/$P477</f>
      </c>
      <c r="S477" s="8">
        <f>Q477^2+R477^2</f>
      </c>
      <c r="T477" s="7">
        <f>-R477</f>
      </c>
      <c r="U477" s="7">
        <f>Q477</f>
      </c>
      <c r="V477" s="7">
        <f>($C$14+($C$15-$C$14)/($D$15-$D$14)*(I477-$D$14))/2</f>
      </c>
      <c r="W477" s="7">
        <f>($B$22*I477^4+$C$22*I477^3+$D$22*I477^2+$E$22*I477+$F$22)/2</f>
      </c>
      <c r="X477" s="7">
        <f>($W477)*(T477)</f>
      </c>
      <c r="Y477" s="7">
        <f>($W477)*(U477)</f>
      </c>
      <c r="Z477" s="7">
        <f>SQRT(X477^2+Y477^2)</f>
      </c>
      <c r="AA477" s="7">
        <f>$K477+$X477</f>
      </c>
      <c r="AB477" s="7">
        <f>$L477+$Y477</f>
      </c>
      <c r="AC477" s="7">
        <f>$K477-$X477</f>
      </c>
      <c r="AD477" s="7">
        <f>$L477-$Y477</f>
      </c>
      <c r="AE477" s="7">
        <f>AA477/39.3701</f>
      </c>
      <c r="AF477" s="7">
        <f>AB477/39.3701</f>
      </c>
      <c r="AG477" s="7">
        <f>AC477/39.3701</f>
      </c>
      <c r="AH477" s="7">
        <f>AD477/39.3701</f>
      </c>
      <c r="AI477" s="1"/>
      <c r="AJ477" s="1"/>
      <c r="AK477" s="1"/>
      <c r="AL477" s="1"/>
      <c r="AM477" s="2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</row>
    <row x14ac:dyDescent="0.25" r="478" customHeight="1" ht="18.75">
      <c r="A478" s="1"/>
      <c r="B478" s="2"/>
      <c r="C478" s="2"/>
      <c r="D478" s="2"/>
      <c r="E478" s="2"/>
      <c r="F478" s="2"/>
      <c r="G478" s="1"/>
      <c r="H478" s="1"/>
      <c r="I478" s="7">
        <v>0.475</v>
      </c>
      <c r="J478" s="7">
        <f>IF((I478-ROUNDDOWN(I478,0))=0, 0, (I478-ROUNDDOWN(I478,0)))</f>
      </c>
      <c r="K478" s="7">
        <f>INDIRECT("C$"&amp;2+MIN(2,ROUNDDOWN(I478,0))*3)*(-$J478^3+3*$J478^2-3*$J478+1)+INDIRECT("C$"&amp;3+MIN(2,ROUNDDOWN(I478,0))*3)*(3*$J478^3-6*$J478^2+3*$J478)+INDIRECT("C$"&amp;4+MIN(2,ROUNDDOWN(I478,0))*3)*(-3*$J478^3+3*$J478^2)+INDIRECT("C$"&amp;5+MIN(2,ROUNDDOWN(I478,0))*3)*$J478^3</f>
      </c>
      <c r="L478" s="7">
        <f>INDIRECT("D$"&amp;2+MIN(2,ROUNDDOWN(I478,0))*3)*(-$J478^3+3*$J478^2-3*$J478+1)+INDIRECT("D$"&amp;3+MIN(2,ROUNDDOWN(I478,0))*3)*(3*$J478^3-6*$J478^2+3*$J478)+INDIRECT("D$"&amp;4+MIN(2,ROUNDDOWN(I478,0))*3)*(-3*$J478^3+3*$J478^2)+INDIRECT("D$"&amp;5+MIN(2,ROUNDDOWN(I478,0))*3)*$J478^3</f>
      </c>
      <c r="M478" s="7">
        <f>SQRT(K478^2+L478^2)</f>
      </c>
      <c r="N478" s="7">
        <f>(K479-K477)</f>
      </c>
      <c r="O478" s="7">
        <f>+(L479-L477)</f>
      </c>
      <c r="P478" s="7">
        <f>SQRT(O478^2+N478^2)</f>
      </c>
      <c r="Q478" s="7">
        <f>N478/$P478</f>
      </c>
      <c r="R478" s="7">
        <f>O478/$P478</f>
      </c>
      <c r="S478" s="8">
        <f>Q478^2+R478^2</f>
      </c>
      <c r="T478" s="7">
        <f>-R478</f>
      </c>
      <c r="U478" s="7">
        <f>Q478</f>
      </c>
      <c r="V478" s="7">
        <f>($C$14+($C$15-$C$14)/($D$15-$D$14)*(I478-$D$14))/2</f>
      </c>
      <c r="W478" s="7">
        <f>($B$22*I478^4+$C$22*I478^3+$D$22*I478^2+$E$22*I478+$F$22)/2</f>
      </c>
      <c r="X478" s="7">
        <f>($W478)*(T478)</f>
      </c>
      <c r="Y478" s="7">
        <f>($W478)*(U478)</f>
      </c>
      <c r="Z478" s="7">
        <f>SQRT(X478^2+Y478^2)</f>
      </c>
      <c r="AA478" s="7">
        <f>$K478+$X478</f>
      </c>
      <c r="AB478" s="7">
        <f>$L478+$Y478</f>
      </c>
      <c r="AC478" s="7">
        <f>$K478-$X478</f>
      </c>
      <c r="AD478" s="7">
        <f>$L478-$Y478</f>
      </c>
      <c r="AE478" s="7">
        <f>AA478/39.3701</f>
      </c>
      <c r="AF478" s="7">
        <f>AB478/39.3701</f>
      </c>
      <c r="AG478" s="7">
        <f>AC478/39.3701</f>
      </c>
      <c r="AH478" s="7">
        <f>AD478/39.3701</f>
      </c>
      <c r="AI478" s="1"/>
      <c r="AJ478" s="1"/>
      <c r="AK478" s="1"/>
      <c r="AL478" s="1"/>
      <c r="AM478" s="2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</row>
    <row x14ac:dyDescent="0.25" r="479" customHeight="1" ht="18.75">
      <c r="A479" s="1"/>
      <c r="B479" s="2"/>
      <c r="C479" s="2"/>
      <c r="D479" s="2"/>
      <c r="E479" s="2"/>
      <c r="F479" s="2"/>
      <c r="G479" s="1"/>
      <c r="H479" s="1"/>
      <c r="I479" s="7">
        <v>0.476</v>
      </c>
      <c r="J479" s="7">
        <f>IF((I479-ROUNDDOWN(I479,0))=0, 0, (I479-ROUNDDOWN(I479,0)))</f>
      </c>
      <c r="K479" s="7">
        <f>INDIRECT("C$"&amp;2+MIN(2,ROUNDDOWN(I479,0))*3)*(-$J479^3+3*$J479^2-3*$J479+1)+INDIRECT("C$"&amp;3+MIN(2,ROUNDDOWN(I479,0))*3)*(3*$J479^3-6*$J479^2+3*$J479)+INDIRECT("C$"&amp;4+MIN(2,ROUNDDOWN(I479,0))*3)*(-3*$J479^3+3*$J479^2)+INDIRECT("C$"&amp;5+MIN(2,ROUNDDOWN(I479,0))*3)*$J479^3</f>
      </c>
      <c r="L479" s="7">
        <f>INDIRECT("D$"&amp;2+MIN(2,ROUNDDOWN(I479,0))*3)*(-$J479^3+3*$J479^2-3*$J479+1)+INDIRECT("D$"&amp;3+MIN(2,ROUNDDOWN(I479,0))*3)*(3*$J479^3-6*$J479^2+3*$J479)+INDIRECT("D$"&amp;4+MIN(2,ROUNDDOWN(I479,0))*3)*(-3*$J479^3+3*$J479^2)+INDIRECT("D$"&amp;5+MIN(2,ROUNDDOWN(I479,0))*3)*$J479^3</f>
      </c>
      <c r="M479" s="7">
        <f>SQRT(K479^2+L479^2)</f>
      </c>
      <c r="N479" s="7">
        <f>(K480-K478)</f>
      </c>
      <c r="O479" s="7">
        <f>+(L480-L478)</f>
      </c>
      <c r="P479" s="7">
        <f>SQRT(O479^2+N479^2)</f>
      </c>
      <c r="Q479" s="7">
        <f>N479/$P479</f>
      </c>
      <c r="R479" s="7">
        <f>O479/$P479</f>
      </c>
      <c r="S479" s="7">
        <f>Q479^2+R479^2</f>
      </c>
      <c r="T479" s="7">
        <f>-R479</f>
      </c>
      <c r="U479" s="7">
        <f>Q479</f>
      </c>
      <c r="V479" s="7">
        <f>($C$14+($C$15-$C$14)/($D$15-$D$14)*(I479-$D$14))/2</f>
      </c>
      <c r="W479" s="7">
        <f>($B$22*I479^4+$C$22*I479^3+$D$22*I479^2+$E$22*I479+$F$22)/2</f>
      </c>
      <c r="X479" s="7">
        <f>($W479)*(T479)</f>
      </c>
      <c r="Y479" s="7">
        <f>($W479)*(U479)</f>
      </c>
      <c r="Z479" s="7">
        <f>SQRT(X479^2+Y479^2)</f>
      </c>
      <c r="AA479" s="7">
        <f>$K479+$X479</f>
      </c>
      <c r="AB479" s="7">
        <f>$L479+$Y479</f>
      </c>
      <c r="AC479" s="7">
        <f>$K479-$X479</f>
      </c>
      <c r="AD479" s="7">
        <f>$L479-$Y479</f>
      </c>
      <c r="AE479" s="7">
        <f>AA479/39.3701</f>
      </c>
      <c r="AF479" s="7">
        <f>AB479/39.3701</f>
      </c>
      <c r="AG479" s="7">
        <f>AC479/39.3701</f>
      </c>
      <c r="AH479" s="7">
        <f>AD479/39.3701</f>
      </c>
      <c r="AI479" s="1"/>
      <c r="AJ479" s="1"/>
      <c r="AK479" s="1"/>
      <c r="AL479" s="1"/>
      <c r="AM479" s="2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</row>
    <row x14ac:dyDescent="0.25" r="480" customHeight="1" ht="18.75">
      <c r="A480" s="1"/>
      <c r="B480" s="2"/>
      <c r="C480" s="2"/>
      <c r="D480" s="2"/>
      <c r="E480" s="2"/>
      <c r="F480" s="2"/>
      <c r="G480" s="1"/>
      <c r="H480" s="1"/>
      <c r="I480" s="7">
        <v>0.477</v>
      </c>
      <c r="J480" s="7">
        <f>IF((I480-ROUNDDOWN(I480,0))=0, 0, (I480-ROUNDDOWN(I480,0)))</f>
      </c>
      <c r="K480" s="7">
        <f>INDIRECT("C$"&amp;2+MIN(2,ROUNDDOWN(I480,0))*3)*(-$J480^3+3*$J480^2-3*$J480+1)+INDIRECT("C$"&amp;3+MIN(2,ROUNDDOWN(I480,0))*3)*(3*$J480^3-6*$J480^2+3*$J480)+INDIRECT("C$"&amp;4+MIN(2,ROUNDDOWN(I480,0))*3)*(-3*$J480^3+3*$J480^2)+INDIRECT("C$"&amp;5+MIN(2,ROUNDDOWN(I480,0))*3)*$J480^3</f>
      </c>
      <c r="L480" s="7">
        <f>INDIRECT("D$"&amp;2+MIN(2,ROUNDDOWN(I480,0))*3)*(-$J480^3+3*$J480^2-3*$J480+1)+INDIRECT("D$"&amp;3+MIN(2,ROUNDDOWN(I480,0))*3)*(3*$J480^3-6*$J480^2+3*$J480)+INDIRECT("D$"&amp;4+MIN(2,ROUNDDOWN(I480,0))*3)*(-3*$J480^3+3*$J480^2)+INDIRECT("D$"&amp;5+MIN(2,ROUNDDOWN(I480,0))*3)*$J480^3</f>
      </c>
      <c r="M480" s="7">
        <f>SQRT(K480^2+L480^2)</f>
      </c>
      <c r="N480" s="7">
        <f>(K481-K479)</f>
      </c>
      <c r="O480" s="7">
        <f>+(L481-L479)</f>
      </c>
      <c r="P480" s="7">
        <f>SQRT(O480^2+N480^2)</f>
      </c>
      <c r="Q480" s="7">
        <f>N480/$P480</f>
      </c>
      <c r="R480" s="7">
        <f>O480/$P480</f>
      </c>
      <c r="S480" s="7">
        <f>Q480^2+R480^2</f>
      </c>
      <c r="T480" s="7">
        <f>-R480</f>
      </c>
      <c r="U480" s="7">
        <f>Q480</f>
      </c>
      <c r="V480" s="7">
        <f>($C$14+($C$15-$C$14)/($D$15-$D$14)*(I480-$D$14))/2</f>
      </c>
      <c r="W480" s="7">
        <f>($B$22*I480^4+$C$22*I480^3+$D$22*I480^2+$E$22*I480+$F$22)/2</f>
      </c>
      <c r="X480" s="7">
        <f>($W480)*(T480)</f>
      </c>
      <c r="Y480" s="7">
        <f>($W480)*(U480)</f>
      </c>
      <c r="Z480" s="7">
        <f>SQRT(X480^2+Y480^2)</f>
      </c>
      <c r="AA480" s="7">
        <f>$K480+$X480</f>
      </c>
      <c r="AB480" s="7">
        <f>$L480+$Y480</f>
      </c>
      <c r="AC480" s="7">
        <f>$K480-$X480</f>
      </c>
      <c r="AD480" s="7">
        <f>$L480-$Y480</f>
      </c>
      <c r="AE480" s="7">
        <f>AA480/39.3701</f>
      </c>
      <c r="AF480" s="7">
        <f>AB480/39.3701</f>
      </c>
      <c r="AG480" s="7">
        <f>AC480/39.3701</f>
      </c>
      <c r="AH480" s="7">
        <f>AD480/39.3701</f>
      </c>
      <c r="AI480" s="1"/>
      <c r="AJ480" s="1"/>
      <c r="AK480" s="1"/>
      <c r="AL480" s="1"/>
      <c r="AM480" s="2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</row>
    <row x14ac:dyDescent="0.25" r="481" customHeight="1" ht="18.75">
      <c r="A481" s="1"/>
      <c r="B481" s="2"/>
      <c r="C481" s="2"/>
      <c r="D481" s="2"/>
      <c r="E481" s="2"/>
      <c r="F481" s="2"/>
      <c r="G481" s="1"/>
      <c r="H481" s="1"/>
      <c r="I481" s="7">
        <v>0.478</v>
      </c>
      <c r="J481" s="7">
        <f>IF((I481-ROUNDDOWN(I481,0))=0, 0, (I481-ROUNDDOWN(I481,0)))</f>
      </c>
      <c r="K481" s="7">
        <f>INDIRECT("C$"&amp;2+MIN(2,ROUNDDOWN(I481,0))*3)*(-$J481^3+3*$J481^2-3*$J481+1)+INDIRECT("C$"&amp;3+MIN(2,ROUNDDOWN(I481,0))*3)*(3*$J481^3-6*$J481^2+3*$J481)+INDIRECT("C$"&amp;4+MIN(2,ROUNDDOWN(I481,0))*3)*(-3*$J481^3+3*$J481^2)+INDIRECT("C$"&amp;5+MIN(2,ROUNDDOWN(I481,0))*3)*$J481^3</f>
      </c>
      <c r="L481" s="7">
        <f>INDIRECT("D$"&amp;2+MIN(2,ROUNDDOWN(I481,0))*3)*(-$J481^3+3*$J481^2-3*$J481+1)+INDIRECT("D$"&amp;3+MIN(2,ROUNDDOWN(I481,0))*3)*(3*$J481^3-6*$J481^2+3*$J481)+INDIRECT("D$"&amp;4+MIN(2,ROUNDDOWN(I481,0))*3)*(-3*$J481^3+3*$J481^2)+INDIRECT("D$"&amp;5+MIN(2,ROUNDDOWN(I481,0))*3)*$J481^3</f>
      </c>
      <c r="M481" s="7">
        <f>SQRT(K481^2+L481^2)</f>
      </c>
      <c r="N481" s="7">
        <f>(K482-K480)</f>
      </c>
      <c r="O481" s="7">
        <f>+(L482-L480)</f>
      </c>
      <c r="P481" s="7">
        <f>SQRT(O481^2+N481^2)</f>
      </c>
      <c r="Q481" s="7">
        <f>N481/$P481</f>
      </c>
      <c r="R481" s="7">
        <f>O481/$P481</f>
      </c>
      <c r="S481" s="7">
        <f>Q481^2+R481^2</f>
      </c>
      <c r="T481" s="7">
        <f>-R481</f>
      </c>
      <c r="U481" s="7">
        <f>Q481</f>
      </c>
      <c r="V481" s="7">
        <f>($C$14+($C$15-$C$14)/($D$15-$D$14)*(I481-$D$14))/2</f>
      </c>
      <c r="W481" s="7">
        <f>($B$22*I481^4+$C$22*I481^3+$D$22*I481^2+$E$22*I481+$F$22)/2</f>
      </c>
      <c r="X481" s="7">
        <f>($W481)*(T481)</f>
      </c>
      <c r="Y481" s="7">
        <f>($W481)*(U481)</f>
      </c>
      <c r="Z481" s="7">
        <f>SQRT(X481^2+Y481^2)</f>
      </c>
      <c r="AA481" s="7">
        <f>$K481+$X481</f>
      </c>
      <c r="AB481" s="7">
        <f>$L481+$Y481</f>
      </c>
      <c r="AC481" s="7">
        <f>$K481-$X481</f>
      </c>
      <c r="AD481" s="7">
        <f>$L481-$Y481</f>
      </c>
      <c r="AE481" s="7">
        <f>AA481/39.3701</f>
      </c>
      <c r="AF481" s="7">
        <f>AB481/39.3701</f>
      </c>
      <c r="AG481" s="7">
        <f>AC481/39.3701</f>
      </c>
      <c r="AH481" s="7">
        <f>AD481/39.3701</f>
      </c>
      <c r="AI481" s="1"/>
      <c r="AJ481" s="1"/>
      <c r="AK481" s="1"/>
      <c r="AL481" s="1"/>
      <c r="AM481" s="2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</row>
    <row x14ac:dyDescent="0.25" r="482" customHeight="1" ht="18.75">
      <c r="A482" s="1"/>
      <c r="B482" s="2"/>
      <c r="C482" s="2"/>
      <c r="D482" s="2"/>
      <c r="E482" s="2"/>
      <c r="F482" s="2"/>
      <c r="G482" s="1"/>
      <c r="H482" s="1"/>
      <c r="I482" s="7">
        <v>0.479</v>
      </c>
      <c r="J482" s="7">
        <f>IF((I482-ROUNDDOWN(I482,0))=0, 0, (I482-ROUNDDOWN(I482,0)))</f>
      </c>
      <c r="K482" s="7">
        <f>INDIRECT("C$"&amp;2+MIN(2,ROUNDDOWN(I482,0))*3)*(-$J482^3+3*$J482^2-3*$J482+1)+INDIRECT("C$"&amp;3+MIN(2,ROUNDDOWN(I482,0))*3)*(3*$J482^3-6*$J482^2+3*$J482)+INDIRECT("C$"&amp;4+MIN(2,ROUNDDOWN(I482,0))*3)*(-3*$J482^3+3*$J482^2)+INDIRECT("C$"&amp;5+MIN(2,ROUNDDOWN(I482,0))*3)*$J482^3</f>
      </c>
      <c r="L482" s="7">
        <f>INDIRECT("D$"&amp;2+MIN(2,ROUNDDOWN(I482,0))*3)*(-$J482^3+3*$J482^2-3*$J482+1)+INDIRECT("D$"&amp;3+MIN(2,ROUNDDOWN(I482,0))*3)*(3*$J482^3-6*$J482^2+3*$J482)+INDIRECT("D$"&amp;4+MIN(2,ROUNDDOWN(I482,0))*3)*(-3*$J482^3+3*$J482^2)+INDIRECT("D$"&amp;5+MIN(2,ROUNDDOWN(I482,0))*3)*$J482^3</f>
      </c>
      <c r="M482" s="7">
        <f>SQRT(K482^2+L482^2)</f>
      </c>
      <c r="N482" s="7">
        <f>(K483-K481)</f>
      </c>
      <c r="O482" s="7">
        <f>+(L483-L481)</f>
      </c>
      <c r="P482" s="7">
        <f>SQRT(O482^2+N482^2)</f>
      </c>
      <c r="Q482" s="7">
        <f>N482/$P482</f>
      </c>
      <c r="R482" s="7">
        <f>O482/$P482</f>
      </c>
      <c r="S482" s="8">
        <f>Q482^2+R482^2</f>
      </c>
      <c r="T482" s="7">
        <f>-R482</f>
      </c>
      <c r="U482" s="7">
        <f>Q482</f>
      </c>
      <c r="V482" s="7">
        <f>($C$14+($C$15-$C$14)/($D$15-$D$14)*(I482-$D$14))/2</f>
      </c>
      <c r="W482" s="7">
        <f>($B$22*I482^4+$C$22*I482^3+$D$22*I482^2+$E$22*I482+$F$22)/2</f>
      </c>
      <c r="X482" s="7">
        <f>($W482)*(T482)</f>
      </c>
      <c r="Y482" s="7">
        <f>($W482)*(U482)</f>
      </c>
      <c r="Z482" s="7">
        <f>SQRT(X482^2+Y482^2)</f>
      </c>
      <c r="AA482" s="7">
        <f>$K482+$X482</f>
      </c>
      <c r="AB482" s="7">
        <f>$L482+$Y482</f>
      </c>
      <c r="AC482" s="7">
        <f>$K482-$X482</f>
      </c>
      <c r="AD482" s="7">
        <f>$L482-$Y482</f>
      </c>
      <c r="AE482" s="7">
        <f>AA482/39.3701</f>
      </c>
      <c r="AF482" s="7">
        <f>AB482/39.3701</f>
      </c>
      <c r="AG482" s="7">
        <f>AC482/39.3701</f>
      </c>
      <c r="AH482" s="7">
        <f>AD482/39.3701</f>
      </c>
      <c r="AI482" s="1"/>
      <c r="AJ482" s="1"/>
      <c r="AK482" s="1"/>
      <c r="AL482" s="1"/>
      <c r="AM482" s="2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</row>
    <row x14ac:dyDescent="0.25" r="483" customHeight="1" ht="18.75">
      <c r="A483" s="1"/>
      <c r="B483" s="2"/>
      <c r="C483" s="2"/>
      <c r="D483" s="2"/>
      <c r="E483" s="2"/>
      <c r="F483" s="2"/>
      <c r="G483" s="1"/>
      <c r="H483" s="1"/>
      <c r="I483" s="7">
        <v>0.48</v>
      </c>
      <c r="J483" s="7">
        <f>IF((I483-ROUNDDOWN(I483,0))=0, 0, (I483-ROUNDDOWN(I483,0)))</f>
      </c>
      <c r="K483" s="7">
        <f>INDIRECT("C$"&amp;2+MIN(2,ROUNDDOWN(I483,0))*3)*(-$J483^3+3*$J483^2-3*$J483+1)+INDIRECT("C$"&amp;3+MIN(2,ROUNDDOWN(I483,0))*3)*(3*$J483^3-6*$J483^2+3*$J483)+INDIRECT("C$"&amp;4+MIN(2,ROUNDDOWN(I483,0))*3)*(-3*$J483^3+3*$J483^2)+INDIRECT("C$"&amp;5+MIN(2,ROUNDDOWN(I483,0))*3)*$J483^3</f>
      </c>
      <c r="L483" s="7">
        <f>INDIRECT("D$"&amp;2+MIN(2,ROUNDDOWN(I483,0))*3)*(-$J483^3+3*$J483^2-3*$J483+1)+INDIRECT("D$"&amp;3+MIN(2,ROUNDDOWN(I483,0))*3)*(3*$J483^3-6*$J483^2+3*$J483)+INDIRECT("D$"&amp;4+MIN(2,ROUNDDOWN(I483,0))*3)*(-3*$J483^3+3*$J483^2)+INDIRECT("D$"&amp;5+MIN(2,ROUNDDOWN(I483,0))*3)*$J483^3</f>
      </c>
      <c r="M483" s="7">
        <f>SQRT(K483^2+L483^2)</f>
      </c>
      <c r="N483" s="7">
        <f>(K484-K482)</f>
      </c>
      <c r="O483" s="7">
        <f>+(L484-L482)</f>
      </c>
      <c r="P483" s="7">
        <f>SQRT(O483^2+N483^2)</f>
      </c>
      <c r="Q483" s="7">
        <f>N483/$P483</f>
      </c>
      <c r="R483" s="7">
        <f>O483/$P483</f>
      </c>
      <c r="S483" s="7">
        <f>Q483^2+R483^2</f>
      </c>
      <c r="T483" s="7">
        <f>-R483</f>
      </c>
      <c r="U483" s="7">
        <f>Q483</f>
      </c>
      <c r="V483" s="7">
        <f>($C$14+($C$15-$C$14)/($D$15-$D$14)*(I483-$D$14))/2</f>
      </c>
      <c r="W483" s="7">
        <f>($B$22*I483^4+$C$22*I483^3+$D$22*I483^2+$E$22*I483+$F$22)/2</f>
      </c>
      <c r="X483" s="7">
        <f>($W483)*(T483)</f>
      </c>
      <c r="Y483" s="7">
        <f>($W483)*(U483)</f>
      </c>
      <c r="Z483" s="7">
        <f>SQRT(X483^2+Y483^2)</f>
      </c>
      <c r="AA483" s="7">
        <f>$K483+$X483</f>
      </c>
      <c r="AB483" s="7">
        <f>$L483+$Y483</f>
      </c>
      <c r="AC483" s="7">
        <f>$K483-$X483</f>
      </c>
      <c r="AD483" s="7">
        <f>$L483-$Y483</f>
      </c>
      <c r="AE483" s="7">
        <f>AA483/39.3701</f>
      </c>
      <c r="AF483" s="7">
        <f>AB483/39.3701</f>
      </c>
      <c r="AG483" s="7">
        <f>AC483/39.3701</f>
      </c>
      <c r="AH483" s="7">
        <f>AD483/39.3701</f>
      </c>
      <c r="AI483" s="1"/>
      <c r="AJ483" s="1"/>
      <c r="AK483" s="1"/>
      <c r="AL483" s="1"/>
      <c r="AM483" s="2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</row>
    <row x14ac:dyDescent="0.25" r="484" customHeight="1" ht="18.75">
      <c r="A484" s="1"/>
      <c r="B484" s="2"/>
      <c r="C484" s="2"/>
      <c r="D484" s="2"/>
      <c r="E484" s="2"/>
      <c r="F484" s="2"/>
      <c r="G484" s="1"/>
      <c r="H484" s="1"/>
      <c r="I484" s="7">
        <v>0.481</v>
      </c>
      <c r="J484" s="7">
        <f>IF((I484-ROUNDDOWN(I484,0))=0, 0, (I484-ROUNDDOWN(I484,0)))</f>
      </c>
      <c r="K484" s="7">
        <f>INDIRECT("C$"&amp;2+MIN(2,ROUNDDOWN(I484,0))*3)*(-$J484^3+3*$J484^2-3*$J484+1)+INDIRECT("C$"&amp;3+MIN(2,ROUNDDOWN(I484,0))*3)*(3*$J484^3-6*$J484^2+3*$J484)+INDIRECT("C$"&amp;4+MIN(2,ROUNDDOWN(I484,0))*3)*(-3*$J484^3+3*$J484^2)+INDIRECT("C$"&amp;5+MIN(2,ROUNDDOWN(I484,0))*3)*$J484^3</f>
      </c>
      <c r="L484" s="7">
        <f>INDIRECT("D$"&amp;2+MIN(2,ROUNDDOWN(I484,0))*3)*(-$J484^3+3*$J484^2-3*$J484+1)+INDIRECT("D$"&amp;3+MIN(2,ROUNDDOWN(I484,0))*3)*(3*$J484^3-6*$J484^2+3*$J484)+INDIRECT("D$"&amp;4+MIN(2,ROUNDDOWN(I484,0))*3)*(-3*$J484^3+3*$J484^2)+INDIRECT("D$"&amp;5+MIN(2,ROUNDDOWN(I484,0))*3)*$J484^3</f>
      </c>
      <c r="M484" s="7">
        <f>SQRT(K484^2+L484^2)</f>
      </c>
      <c r="N484" s="7">
        <f>(K485-K483)</f>
      </c>
      <c r="O484" s="7">
        <f>+(L485-L483)</f>
      </c>
      <c r="P484" s="7">
        <f>SQRT(O484^2+N484^2)</f>
      </c>
      <c r="Q484" s="7">
        <f>N484/$P484</f>
      </c>
      <c r="R484" s="7">
        <f>O484/$P484</f>
      </c>
      <c r="S484" s="8">
        <f>Q484^2+R484^2</f>
      </c>
      <c r="T484" s="7">
        <f>-R484</f>
      </c>
      <c r="U484" s="7">
        <f>Q484</f>
      </c>
      <c r="V484" s="7">
        <f>($C$14+($C$15-$C$14)/($D$15-$D$14)*(I484-$D$14))/2</f>
      </c>
      <c r="W484" s="7">
        <f>($B$22*I484^4+$C$22*I484^3+$D$22*I484^2+$E$22*I484+$F$22)/2</f>
      </c>
      <c r="X484" s="7">
        <f>($W484)*(T484)</f>
      </c>
      <c r="Y484" s="7">
        <f>($W484)*(U484)</f>
      </c>
      <c r="Z484" s="7">
        <f>SQRT(X484^2+Y484^2)</f>
      </c>
      <c r="AA484" s="7">
        <f>$K484+$X484</f>
      </c>
      <c r="AB484" s="7">
        <f>$L484+$Y484</f>
      </c>
      <c r="AC484" s="7">
        <f>$K484-$X484</f>
      </c>
      <c r="AD484" s="7">
        <f>$L484-$Y484</f>
      </c>
      <c r="AE484" s="7">
        <f>AA484/39.3701</f>
      </c>
      <c r="AF484" s="7">
        <f>AB484/39.3701</f>
      </c>
      <c r="AG484" s="7">
        <f>AC484/39.3701</f>
      </c>
      <c r="AH484" s="7">
        <f>AD484/39.3701</f>
      </c>
      <c r="AI484" s="1"/>
      <c r="AJ484" s="1"/>
      <c r="AK484" s="1"/>
      <c r="AL484" s="1"/>
      <c r="AM484" s="2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</row>
    <row x14ac:dyDescent="0.25" r="485" customHeight="1" ht="18.75">
      <c r="A485" s="1"/>
      <c r="B485" s="2"/>
      <c r="C485" s="2"/>
      <c r="D485" s="2"/>
      <c r="E485" s="2"/>
      <c r="F485" s="2"/>
      <c r="G485" s="1"/>
      <c r="H485" s="1"/>
      <c r="I485" s="7">
        <v>0.482</v>
      </c>
      <c r="J485" s="7">
        <f>IF((I485-ROUNDDOWN(I485,0))=0, 0, (I485-ROUNDDOWN(I485,0)))</f>
      </c>
      <c r="K485" s="7">
        <f>INDIRECT("C$"&amp;2+MIN(2,ROUNDDOWN(I485,0))*3)*(-$J485^3+3*$J485^2-3*$J485+1)+INDIRECT("C$"&amp;3+MIN(2,ROUNDDOWN(I485,0))*3)*(3*$J485^3-6*$J485^2+3*$J485)+INDIRECT("C$"&amp;4+MIN(2,ROUNDDOWN(I485,0))*3)*(-3*$J485^3+3*$J485^2)+INDIRECT("C$"&amp;5+MIN(2,ROUNDDOWN(I485,0))*3)*$J485^3</f>
      </c>
      <c r="L485" s="7">
        <f>INDIRECT("D$"&amp;2+MIN(2,ROUNDDOWN(I485,0))*3)*(-$J485^3+3*$J485^2-3*$J485+1)+INDIRECT("D$"&amp;3+MIN(2,ROUNDDOWN(I485,0))*3)*(3*$J485^3-6*$J485^2+3*$J485)+INDIRECT("D$"&amp;4+MIN(2,ROUNDDOWN(I485,0))*3)*(-3*$J485^3+3*$J485^2)+INDIRECT("D$"&amp;5+MIN(2,ROUNDDOWN(I485,0))*3)*$J485^3</f>
      </c>
      <c r="M485" s="7">
        <f>SQRT(K485^2+L485^2)</f>
      </c>
      <c r="N485" s="7">
        <f>(K486-K484)</f>
      </c>
      <c r="O485" s="7">
        <f>+(L486-L484)</f>
      </c>
      <c r="P485" s="7">
        <f>SQRT(O485^2+N485^2)</f>
      </c>
      <c r="Q485" s="7">
        <f>N485/$P485</f>
      </c>
      <c r="R485" s="7">
        <f>O485/$P485</f>
      </c>
      <c r="S485" s="8">
        <f>Q485^2+R485^2</f>
      </c>
      <c r="T485" s="7">
        <f>-R485</f>
      </c>
      <c r="U485" s="7">
        <f>Q485</f>
      </c>
      <c r="V485" s="7">
        <f>($C$14+($C$15-$C$14)/($D$15-$D$14)*(I485-$D$14))/2</f>
      </c>
      <c r="W485" s="7">
        <f>($B$22*I485^4+$C$22*I485^3+$D$22*I485^2+$E$22*I485+$F$22)/2</f>
      </c>
      <c r="X485" s="7">
        <f>($W485)*(T485)</f>
      </c>
      <c r="Y485" s="7">
        <f>($W485)*(U485)</f>
      </c>
      <c r="Z485" s="7">
        <f>SQRT(X485^2+Y485^2)</f>
      </c>
      <c r="AA485" s="7">
        <f>$K485+$X485</f>
      </c>
      <c r="AB485" s="7">
        <f>$L485+$Y485</f>
      </c>
      <c r="AC485" s="7">
        <f>$K485-$X485</f>
      </c>
      <c r="AD485" s="7">
        <f>$L485-$Y485</f>
      </c>
      <c r="AE485" s="7">
        <f>AA485/39.3701</f>
      </c>
      <c r="AF485" s="7">
        <f>AB485/39.3701</f>
      </c>
      <c r="AG485" s="7">
        <f>AC485/39.3701</f>
      </c>
      <c r="AH485" s="7">
        <f>AD485/39.3701</f>
      </c>
      <c r="AI485" s="1"/>
      <c r="AJ485" s="1"/>
      <c r="AK485" s="1"/>
      <c r="AL485" s="1"/>
      <c r="AM485" s="2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</row>
    <row x14ac:dyDescent="0.25" r="486" customHeight="1" ht="18.75">
      <c r="A486" s="1"/>
      <c r="B486" s="2"/>
      <c r="C486" s="2"/>
      <c r="D486" s="2"/>
      <c r="E486" s="2"/>
      <c r="F486" s="2"/>
      <c r="G486" s="1"/>
      <c r="H486" s="1"/>
      <c r="I486" s="7">
        <v>0.483</v>
      </c>
      <c r="J486" s="7">
        <f>IF((I486-ROUNDDOWN(I486,0))=0, 0, (I486-ROUNDDOWN(I486,0)))</f>
      </c>
      <c r="K486" s="7">
        <f>INDIRECT("C$"&amp;2+MIN(2,ROUNDDOWN(I486,0))*3)*(-$J486^3+3*$J486^2-3*$J486+1)+INDIRECT("C$"&amp;3+MIN(2,ROUNDDOWN(I486,0))*3)*(3*$J486^3-6*$J486^2+3*$J486)+INDIRECT("C$"&amp;4+MIN(2,ROUNDDOWN(I486,0))*3)*(-3*$J486^3+3*$J486^2)+INDIRECT("C$"&amp;5+MIN(2,ROUNDDOWN(I486,0))*3)*$J486^3</f>
      </c>
      <c r="L486" s="7">
        <f>INDIRECT("D$"&amp;2+MIN(2,ROUNDDOWN(I486,0))*3)*(-$J486^3+3*$J486^2-3*$J486+1)+INDIRECT("D$"&amp;3+MIN(2,ROUNDDOWN(I486,0))*3)*(3*$J486^3-6*$J486^2+3*$J486)+INDIRECT("D$"&amp;4+MIN(2,ROUNDDOWN(I486,0))*3)*(-3*$J486^3+3*$J486^2)+INDIRECT("D$"&amp;5+MIN(2,ROUNDDOWN(I486,0))*3)*$J486^3</f>
      </c>
      <c r="M486" s="7">
        <f>SQRT(K486^2+L486^2)</f>
      </c>
      <c r="N486" s="7">
        <f>(K487-K485)</f>
      </c>
      <c r="O486" s="7">
        <f>+(L487-L485)</f>
      </c>
      <c r="P486" s="7">
        <f>SQRT(O486^2+N486^2)</f>
      </c>
      <c r="Q486" s="7">
        <f>N486/$P486</f>
      </c>
      <c r="R486" s="7">
        <f>O486/$P486</f>
      </c>
      <c r="S486" s="8">
        <f>Q486^2+R486^2</f>
      </c>
      <c r="T486" s="7">
        <f>-R486</f>
      </c>
      <c r="U486" s="7">
        <f>Q486</f>
      </c>
      <c r="V486" s="7">
        <f>($C$14+($C$15-$C$14)/($D$15-$D$14)*(I486-$D$14))/2</f>
      </c>
      <c r="W486" s="7">
        <f>($B$22*I486^4+$C$22*I486^3+$D$22*I486^2+$E$22*I486+$F$22)/2</f>
      </c>
      <c r="X486" s="7">
        <f>($W486)*(T486)</f>
      </c>
      <c r="Y486" s="7">
        <f>($W486)*(U486)</f>
      </c>
      <c r="Z486" s="7">
        <f>SQRT(X486^2+Y486^2)</f>
      </c>
      <c r="AA486" s="7">
        <f>$K486+$X486</f>
      </c>
      <c r="AB486" s="7">
        <f>$L486+$Y486</f>
      </c>
      <c r="AC486" s="7">
        <f>$K486-$X486</f>
      </c>
      <c r="AD486" s="7">
        <f>$L486-$Y486</f>
      </c>
      <c r="AE486" s="7">
        <f>AA486/39.3701</f>
      </c>
      <c r="AF486" s="7">
        <f>AB486/39.3701</f>
      </c>
      <c r="AG486" s="7">
        <f>AC486/39.3701</f>
      </c>
      <c r="AH486" s="7">
        <f>AD486/39.3701</f>
      </c>
      <c r="AI486" s="1"/>
      <c r="AJ486" s="1"/>
      <c r="AK486" s="1"/>
      <c r="AL486" s="1"/>
      <c r="AM486" s="2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</row>
    <row x14ac:dyDescent="0.25" r="487" customHeight="1" ht="18.75">
      <c r="A487" s="1"/>
      <c r="B487" s="2"/>
      <c r="C487" s="2"/>
      <c r="D487" s="2"/>
      <c r="E487" s="2"/>
      <c r="F487" s="2"/>
      <c r="G487" s="1"/>
      <c r="H487" s="1"/>
      <c r="I487" s="7">
        <v>0.484</v>
      </c>
      <c r="J487" s="7">
        <f>IF((I487-ROUNDDOWN(I487,0))=0, 0, (I487-ROUNDDOWN(I487,0)))</f>
      </c>
      <c r="K487" s="7">
        <f>INDIRECT("C$"&amp;2+MIN(2,ROUNDDOWN(I487,0))*3)*(-$J487^3+3*$J487^2-3*$J487+1)+INDIRECT("C$"&amp;3+MIN(2,ROUNDDOWN(I487,0))*3)*(3*$J487^3-6*$J487^2+3*$J487)+INDIRECT("C$"&amp;4+MIN(2,ROUNDDOWN(I487,0))*3)*(-3*$J487^3+3*$J487^2)+INDIRECT("C$"&amp;5+MIN(2,ROUNDDOWN(I487,0))*3)*$J487^3</f>
      </c>
      <c r="L487" s="7">
        <f>INDIRECT("D$"&amp;2+MIN(2,ROUNDDOWN(I487,0))*3)*(-$J487^3+3*$J487^2-3*$J487+1)+INDIRECT("D$"&amp;3+MIN(2,ROUNDDOWN(I487,0))*3)*(3*$J487^3-6*$J487^2+3*$J487)+INDIRECT("D$"&amp;4+MIN(2,ROUNDDOWN(I487,0))*3)*(-3*$J487^3+3*$J487^2)+INDIRECT("D$"&amp;5+MIN(2,ROUNDDOWN(I487,0))*3)*$J487^3</f>
      </c>
      <c r="M487" s="7">
        <f>SQRT(K487^2+L487^2)</f>
      </c>
      <c r="N487" s="7">
        <f>(K488-K486)</f>
      </c>
      <c r="O487" s="7">
        <f>+(L488-L486)</f>
      </c>
      <c r="P487" s="7">
        <f>SQRT(O487^2+N487^2)</f>
      </c>
      <c r="Q487" s="7">
        <f>N487/$P487</f>
      </c>
      <c r="R487" s="7">
        <f>O487/$P487</f>
      </c>
      <c r="S487" s="7">
        <f>Q487^2+R487^2</f>
      </c>
      <c r="T487" s="7">
        <f>-R487</f>
      </c>
      <c r="U487" s="7">
        <f>Q487</f>
      </c>
      <c r="V487" s="7">
        <f>($C$14+($C$15-$C$14)/($D$15-$D$14)*(I487-$D$14))/2</f>
      </c>
      <c r="W487" s="7">
        <f>($B$22*I487^4+$C$22*I487^3+$D$22*I487^2+$E$22*I487+$F$22)/2</f>
      </c>
      <c r="X487" s="7">
        <f>($W487)*(T487)</f>
      </c>
      <c r="Y487" s="7">
        <f>($W487)*(U487)</f>
      </c>
      <c r="Z487" s="7">
        <f>SQRT(X487^2+Y487^2)</f>
      </c>
      <c r="AA487" s="7">
        <f>$K487+$X487</f>
      </c>
      <c r="AB487" s="7">
        <f>$L487+$Y487</f>
      </c>
      <c r="AC487" s="7">
        <f>$K487-$X487</f>
      </c>
      <c r="AD487" s="7">
        <f>$L487-$Y487</f>
      </c>
      <c r="AE487" s="7">
        <f>AA487/39.3701</f>
      </c>
      <c r="AF487" s="7">
        <f>AB487/39.3701</f>
      </c>
      <c r="AG487" s="7">
        <f>AC487/39.3701</f>
      </c>
      <c r="AH487" s="7">
        <f>AD487/39.3701</f>
      </c>
      <c r="AI487" s="1"/>
      <c r="AJ487" s="1"/>
      <c r="AK487" s="1"/>
      <c r="AL487" s="1"/>
      <c r="AM487" s="2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</row>
    <row x14ac:dyDescent="0.25" r="488" customHeight="1" ht="18.75">
      <c r="A488" s="1"/>
      <c r="B488" s="2"/>
      <c r="C488" s="2"/>
      <c r="D488" s="2"/>
      <c r="E488" s="2"/>
      <c r="F488" s="2"/>
      <c r="G488" s="1"/>
      <c r="H488" s="1"/>
      <c r="I488" s="7">
        <v>0.485</v>
      </c>
      <c r="J488" s="7">
        <f>IF((I488-ROUNDDOWN(I488,0))=0, 0, (I488-ROUNDDOWN(I488,0)))</f>
      </c>
      <c r="K488" s="7">
        <f>INDIRECT("C$"&amp;2+MIN(2,ROUNDDOWN(I488,0))*3)*(-$J488^3+3*$J488^2-3*$J488+1)+INDIRECT("C$"&amp;3+MIN(2,ROUNDDOWN(I488,0))*3)*(3*$J488^3-6*$J488^2+3*$J488)+INDIRECT("C$"&amp;4+MIN(2,ROUNDDOWN(I488,0))*3)*(-3*$J488^3+3*$J488^2)+INDIRECT("C$"&amp;5+MIN(2,ROUNDDOWN(I488,0))*3)*$J488^3</f>
      </c>
      <c r="L488" s="7">
        <f>INDIRECT("D$"&amp;2+MIN(2,ROUNDDOWN(I488,0))*3)*(-$J488^3+3*$J488^2-3*$J488+1)+INDIRECT("D$"&amp;3+MIN(2,ROUNDDOWN(I488,0))*3)*(3*$J488^3-6*$J488^2+3*$J488)+INDIRECT("D$"&amp;4+MIN(2,ROUNDDOWN(I488,0))*3)*(-3*$J488^3+3*$J488^2)+INDIRECT("D$"&amp;5+MIN(2,ROUNDDOWN(I488,0))*3)*$J488^3</f>
      </c>
      <c r="M488" s="7">
        <f>SQRT(K488^2+L488^2)</f>
      </c>
      <c r="N488" s="7">
        <f>(K489-K487)</f>
      </c>
      <c r="O488" s="7">
        <f>+(L489-L487)</f>
      </c>
      <c r="P488" s="7">
        <f>SQRT(O488^2+N488^2)</f>
      </c>
      <c r="Q488" s="7">
        <f>N488/$P488</f>
      </c>
      <c r="R488" s="7">
        <f>O488/$P488</f>
      </c>
      <c r="S488" s="8">
        <f>Q488^2+R488^2</f>
      </c>
      <c r="T488" s="7">
        <f>-R488</f>
      </c>
      <c r="U488" s="7">
        <f>Q488</f>
      </c>
      <c r="V488" s="7">
        <f>($C$14+($C$15-$C$14)/($D$15-$D$14)*(I488-$D$14))/2</f>
      </c>
      <c r="W488" s="7">
        <f>($B$22*I488^4+$C$22*I488^3+$D$22*I488^2+$E$22*I488+$F$22)/2</f>
      </c>
      <c r="X488" s="7">
        <f>($W488)*(T488)</f>
      </c>
      <c r="Y488" s="7">
        <f>($W488)*(U488)</f>
      </c>
      <c r="Z488" s="7">
        <f>SQRT(X488^2+Y488^2)</f>
      </c>
      <c r="AA488" s="7">
        <f>$K488+$X488</f>
      </c>
      <c r="AB488" s="7">
        <f>$L488+$Y488</f>
      </c>
      <c r="AC488" s="7">
        <f>$K488-$X488</f>
      </c>
      <c r="AD488" s="7">
        <f>$L488-$Y488</f>
      </c>
      <c r="AE488" s="7">
        <f>AA488/39.3701</f>
      </c>
      <c r="AF488" s="7">
        <f>AB488/39.3701</f>
      </c>
      <c r="AG488" s="7">
        <f>AC488/39.3701</f>
      </c>
      <c r="AH488" s="7">
        <f>AD488/39.3701</f>
      </c>
      <c r="AI488" s="1"/>
      <c r="AJ488" s="1"/>
      <c r="AK488" s="1"/>
      <c r="AL488" s="1"/>
      <c r="AM488" s="2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</row>
    <row x14ac:dyDescent="0.25" r="489" customHeight="1" ht="18.75">
      <c r="A489" s="1"/>
      <c r="B489" s="2"/>
      <c r="C489" s="2"/>
      <c r="D489" s="2"/>
      <c r="E489" s="2"/>
      <c r="F489" s="2"/>
      <c r="G489" s="1"/>
      <c r="H489" s="1"/>
      <c r="I489" s="7">
        <v>0.486</v>
      </c>
      <c r="J489" s="7">
        <f>IF((I489-ROUNDDOWN(I489,0))=0, 0, (I489-ROUNDDOWN(I489,0)))</f>
      </c>
      <c r="K489" s="7">
        <f>INDIRECT("C$"&amp;2+MIN(2,ROUNDDOWN(I489,0))*3)*(-$J489^3+3*$J489^2-3*$J489+1)+INDIRECT("C$"&amp;3+MIN(2,ROUNDDOWN(I489,0))*3)*(3*$J489^3-6*$J489^2+3*$J489)+INDIRECT("C$"&amp;4+MIN(2,ROUNDDOWN(I489,0))*3)*(-3*$J489^3+3*$J489^2)+INDIRECT("C$"&amp;5+MIN(2,ROUNDDOWN(I489,0))*3)*$J489^3</f>
      </c>
      <c r="L489" s="7">
        <f>INDIRECT("D$"&amp;2+MIN(2,ROUNDDOWN(I489,0))*3)*(-$J489^3+3*$J489^2-3*$J489+1)+INDIRECT("D$"&amp;3+MIN(2,ROUNDDOWN(I489,0))*3)*(3*$J489^3-6*$J489^2+3*$J489)+INDIRECT("D$"&amp;4+MIN(2,ROUNDDOWN(I489,0))*3)*(-3*$J489^3+3*$J489^2)+INDIRECT("D$"&amp;5+MIN(2,ROUNDDOWN(I489,0))*3)*$J489^3</f>
      </c>
      <c r="M489" s="7">
        <f>SQRT(K489^2+L489^2)</f>
      </c>
      <c r="N489" s="7">
        <f>(K490-K488)</f>
      </c>
      <c r="O489" s="7">
        <f>+(L490-L488)</f>
      </c>
      <c r="P489" s="7">
        <f>SQRT(O489^2+N489^2)</f>
      </c>
      <c r="Q489" s="7">
        <f>N489/$P489</f>
      </c>
      <c r="R489" s="7">
        <f>O489/$P489</f>
      </c>
      <c r="S489" s="7">
        <f>Q489^2+R489^2</f>
      </c>
      <c r="T489" s="7">
        <f>-R489</f>
      </c>
      <c r="U489" s="7">
        <f>Q489</f>
      </c>
      <c r="V489" s="7">
        <f>($C$14+($C$15-$C$14)/($D$15-$D$14)*(I489-$D$14))/2</f>
      </c>
      <c r="W489" s="7">
        <f>($B$22*I489^4+$C$22*I489^3+$D$22*I489^2+$E$22*I489+$F$22)/2</f>
      </c>
      <c r="X489" s="7">
        <f>($W489)*(T489)</f>
      </c>
      <c r="Y489" s="7">
        <f>($W489)*(U489)</f>
      </c>
      <c r="Z489" s="7">
        <f>SQRT(X489^2+Y489^2)</f>
      </c>
      <c r="AA489" s="7">
        <f>$K489+$X489</f>
      </c>
      <c r="AB489" s="7">
        <f>$L489+$Y489</f>
      </c>
      <c r="AC489" s="7">
        <f>$K489-$X489</f>
      </c>
      <c r="AD489" s="7">
        <f>$L489-$Y489</f>
      </c>
      <c r="AE489" s="7">
        <f>AA489/39.3701</f>
      </c>
      <c r="AF489" s="7">
        <f>AB489/39.3701</f>
      </c>
      <c r="AG489" s="7">
        <f>AC489/39.3701</f>
      </c>
      <c r="AH489" s="7">
        <f>AD489/39.3701</f>
      </c>
      <c r="AI489" s="1"/>
      <c r="AJ489" s="1"/>
      <c r="AK489" s="1"/>
      <c r="AL489" s="1"/>
      <c r="AM489" s="2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</row>
    <row x14ac:dyDescent="0.25" r="490" customHeight="1" ht="18.75">
      <c r="A490" s="1"/>
      <c r="B490" s="2"/>
      <c r="C490" s="2"/>
      <c r="D490" s="2"/>
      <c r="E490" s="2"/>
      <c r="F490" s="2"/>
      <c r="G490" s="1"/>
      <c r="H490" s="1"/>
      <c r="I490" s="7">
        <v>0.487</v>
      </c>
      <c r="J490" s="7">
        <f>IF((I490-ROUNDDOWN(I490,0))=0, 0, (I490-ROUNDDOWN(I490,0)))</f>
      </c>
      <c r="K490" s="7">
        <f>INDIRECT("C$"&amp;2+MIN(2,ROUNDDOWN(I490,0))*3)*(-$J490^3+3*$J490^2-3*$J490+1)+INDIRECT("C$"&amp;3+MIN(2,ROUNDDOWN(I490,0))*3)*(3*$J490^3-6*$J490^2+3*$J490)+INDIRECT("C$"&amp;4+MIN(2,ROUNDDOWN(I490,0))*3)*(-3*$J490^3+3*$J490^2)+INDIRECT("C$"&amp;5+MIN(2,ROUNDDOWN(I490,0))*3)*$J490^3</f>
      </c>
      <c r="L490" s="7">
        <f>INDIRECT("D$"&amp;2+MIN(2,ROUNDDOWN(I490,0))*3)*(-$J490^3+3*$J490^2-3*$J490+1)+INDIRECT("D$"&amp;3+MIN(2,ROUNDDOWN(I490,0))*3)*(3*$J490^3-6*$J490^2+3*$J490)+INDIRECT("D$"&amp;4+MIN(2,ROUNDDOWN(I490,0))*3)*(-3*$J490^3+3*$J490^2)+INDIRECT("D$"&amp;5+MIN(2,ROUNDDOWN(I490,0))*3)*$J490^3</f>
      </c>
      <c r="M490" s="7">
        <f>SQRT(K490^2+L490^2)</f>
      </c>
      <c r="N490" s="7">
        <f>(K491-K489)</f>
      </c>
      <c r="O490" s="7">
        <f>+(L491-L489)</f>
      </c>
      <c r="P490" s="7">
        <f>SQRT(O490^2+N490^2)</f>
      </c>
      <c r="Q490" s="7">
        <f>N490/$P490</f>
      </c>
      <c r="R490" s="7">
        <f>O490/$P490</f>
      </c>
      <c r="S490" s="7">
        <f>Q490^2+R490^2</f>
      </c>
      <c r="T490" s="7">
        <f>-R490</f>
      </c>
      <c r="U490" s="7">
        <f>Q490</f>
      </c>
      <c r="V490" s="7">
        <f>($C$14+($C$15-$C$14)/($D$15-$D$14)*(I490-$D$14))/2</f>
      </c>
      <c r="W490" s="7">
        <f>($B$22*I490^4+$C$22*I490^3+$D$22*I490^2+$E$22*I490+$F$22)/2</f>
      </c>
      <c r="X490" s="7">
        <f>($W490)*(T490)</f>
      </c>
      <c r="Y490" s="7">
        <f>($W490)*(U490)</f>
      </c>
      <c r="Z490" s="7">
        <f>SQRT(X490^2+Y490^2)</f>
      </c>
      <c r="AA490" s="7">
        <f>$K490+$X490</f>
      </c>
      <c r="AB490" s="7">
        <f>$L490+$Y490</f>
      </c>
      <c r="AC490" s="7">
        <f>$K490-$X490</f>
      </c>
      <c r="AD490" s="7">
        <f>$L490-$Y490</f>
      </c>
      <c r="AE490" s="7">
        <f>AA490/39.3701</f>
      </c>
      <c r="AF490" s="7">
        <f>AB490/39.3701</f>
      </c>
      <c r="AG490" s="7">
        <f>AC490/39.3701</f>
      </c>
      <c r="AH490" s="7">
        <f>AD490/39.3701</f>
      </c>
      <c r="AI490" s="1"/>
      <c r="AJ490" s="1"/>
      <c r="AK490" s="1"/>
      <c r="AL490" s="1"/>
      <c r="AM490" s="2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</row>
    <row x14ac:dyDescent="0.25" r="491" customHeight="1" ht="18.75">
      <c r="A491" s="1"/>
      <c r="B491" s="2"/>
      <c r="C491" s="2"/>
      <c r="D491" s="2"/>
      <c r="E491" s="2"/>
      <c r="F491" s="2"/>
      <c r="G491" s="1"/>
      <c r="H491" s="1"/>
      <c r="I491" s="7">
        <v>0.488</v>
      </c>
      <c r="J491" s="7">
        <f>IF((I491-ROUNDDOWN(I491,0))=0, 0, (I491-ROUNDDOWN(I491,0)))</f>
      </c>
      <c r="K491" s="7">
        <f>INDIRECT("C$"&amp;2+MIN(2,ROUNDDOWN(I491,0))*3)*(-$J491^3+3*$J491^2-3*$J491+1)+INDIRECT("C$"&amp;3+MIN(2,ROUNDDOWN(I491,0))*3)*(3*$J491^3-6*$J491^2+3*$J491)+INDIRECT("C$"&amp;4+MIN(2,ROUNDDOWN(I491,0))*3)*(-3*$J491^3+3*$J491^2)+INDIRECT("C$"&amp;5+MIN(2,ROUNDDOWN(I491,0))*3)*$J491^3</f>
      </c>
      <c r="L491" s="7">
        <f>INDIRECT("D$"&amp;2+MIN(2,ROUNDDOWN(I491,0))*3)*(-$J491^3+3*$J491^2-3*$J491+1)+INDIRECT("D$"&amp;3+MIN(2,ROUNDDOWN(I491,0))*3)*(3*$J491^3-6*$J491^2+3*$J491)+INDIRECT("D$"&amp;4+MIN(2,ROUNDDOWN(I491,0))*3)*(-3*$J491^3+3*$J491^2)+INDIRECT("D$"&amp;5+MIN(2,ROUNDDOWN(I491,0))*3)*$J491^3</f>
      </c>
      <c r="M491" s="7">
        <f>SQRT(K491^2+L491^2)</f>
      </c>
      <c r="N491" s="7">
        <f>(K492-K490)</f>
      </c>
      <c r="O491" s="7">
        <f>+(L492-L490)</f>
      </c>
      <c r="P491" s="7">
        <f>SQRT(O491^2+N491^2)</f>
      </c>
      <c r="Q491" s="7">
        <f>N491/$P491</f>
      </c>
      <c r="R491" s="7">
        <f>O491/$P491</f>
      </c>
      <c r="S491" s="7">
        <f>Q491^2+R491^2</f>
      </c>
      <c r="T491" s="7">
        <f>-R491</f>
      </c>
      <c r="U491" s="7">
        <f>Q491</f>
      </c>
      <c r="V491" s="7">
        <f>($C$14+($C$15-$C$14)/($D$15-$D$14)*(I491-$D$14))/2</f>
      </c>
      <c r="W491" s="7">
        <f>($B$22*I491^4+$C$22*I491^3+$D$22*I491^2+$E$22*I491+$F$22)/2</f>
      </c>
      <c r="X491" s="7">
        <f>($W491)*(T491)</f>
      </c>
      <c r="Y491" s="7">
        <f>($W491)*(U491)</f>
      </c>
      <c r="Z491" s="7">
        <f>SQRT(X491^2+Y491^2)</f>
      </c>
      <c r="AA491" s="7">
        <f>$K491+$X491</f>
      </c>
      <c r="AB491" s="7">
        <f>$L491+$Y491</f>
      </c>
      <c r="AC491" s="7">
        <f>$K491-$X491</f>
      </c>
      <c r="AD491" s="7">
        <f>$L491-$Y491</f>
      </c>
      <c r="AE491" s="7">
        <f>AA491/39.3701</f>
      </c>
      <c r="AF491" s="7">
        <f>AB491/39.3701</f>
      </c>
      <c r="AG491" s="7">
        <f>AC491/39.3701</f>
      </c>
      <c r="AH491" s="7">
        <f>AD491/39.3701</f>
      </c>
      <c r="AI491" s="1"/>
      <c r="AJ491" s="1"/>
      <c r="AK491" s="1"/>
      <c r="AL491" s="1"/>
      <c r="AM491" s="2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</row>
    <row x14ac:dyDescent="0.25" r="492" customHeight="1" ht="18.75">
      <c r="A492" s="1"/>
      <c r="B492" s="2"/>
      <c r="C492" s="2"/>
      <c r="D492" s="2"/>
      <c r="E492" s="2"/>
      <c r="F492" s="2"/>
      <c r="G492" s="1"/>
      <c r="H492" s="1"/>
      <c r="I492" s="7">
        <v>0.489</v>
      </c>
      <c r="J492" s="7">
        <f>IF((I492-ROUNDDOWN(I492,0))=0, 0, (I492-ROUNDDOWN(I492,0)))</f>
      </c>
      <c r="K492" s="7">
        <f>INDIRECT("C$"&amp;2+MIN(2,ROUNDDOWN(I492,0))*3)*(-$J492^3+3*$J492^2-3*$J492+1)+INDIRECT("C$"&amp;3+MIN(2,ROUNDDOWN(I492,0))*3)*(3*$J492^3-6*$J492^2+3*$J492)+INDIRECT("C$"&amp;4+MIN(2,ROUNDDOWN(I492,0))*3)*(-3*$J492^3+3*$J492^2)+INDIRECT("C$"&amp;5+MIN(2,ROUNDDOWN(I492,0))*3)*$J492^3</f>
      </c>
      <c r="L492" s="7">
        <f>INDIRECT("D$"&amp;2+MIN(2,ROUNDDOWN(I492,0))*3)*(-$J492^3+3*$J492^2-3*$J492+1)+INDIRECT("D$"&amp;3+MIN(2,ROUNDDOWN(I492,0))*3)*(3*$J492^3-6*$J492^2+3*$J492)+INDIRECT("D$"&amp;4+MIN(2,ROUNDDOWN(I492,0))*3)*(-3*$J492^3+3*$J492^2)+INDIRECT("D$"&amp;5+MIN(2,ROUNDDOWN(I492,0))*3)*$J492^3</f>
      </c>
      <c r="M492" s="7">
        <f>SQRT(K492^2+L492^2)</f>
      </c>
      <c r="N492" s="7">
        <f>(K493-K491)</f>
      </c>
      <c r="O492" s="7">
        <f>+(L493-L491)</f>
      </c>
      <c r="P492" s="7">
        <f>SQRT(O492^2+N492^2)</f>
      </c>
      <c r="Q492" s="7">
        <f>N492/$P492</f>
      </c>
      <c r="R492" s="7">
        <f>O492/$P492</f>
      </c>
      <c r="S492" s="7">
        <f>Q492^2+R492^2</f>
      </c>
      <c r="T492" s="7">
        <f>-R492</f>
      </c>
      <c r="U492" s="7">
        <f>Q492</f>
      </c>
      <c r="V492" s="7">
        <f>($C$14+($C$15-$C$14)/($D$15-$D$14)*(I492-$D$14))/2</f>
      </c>
      <c r="W492" s="7">
        <f>($B$22*I492^4+$C$22*I492^3+$D$22*I492^2+$E$22*I492+$F$22)/2</f>
      </c>
      <c r="X492" s="7">
        <f>($W492)*(T492)</f>
      </c>
      <c r="Y492" s="7">
        <f>($W492)*(U492)</f>
      </c>
      <c r="Z492" s="7">
        <f>SQRT(X492^2+Y492^2)</f>
      </c>
      <c r="AA492" s="7">
        <f>$K492+$X492</f>
      </c>
      <c r="AB492" s="7">
        <f>$L492+$Y492</f>
      </c>
      <c r="AC492" s="7">
        <f>$K492-$X492</f>
      </c>
      <c r="AD492" s="7">
        <f>$L492-$Y492</f>
      </c>
      <c r="AE492" s="7">
        <f>AA492/39.3701</f>
      </c>
      <c r="AF492" s="7">
        <f>AB492/39.3701</f>
      </c>
      <c r="AG492" s="7">
        <f>AC492/39.3701</f>
      </c>
      <c r="AH492" s="7">
        <f>AD492/39.3701</f>
      </c>
      <c r="AI492" s="1"/>
      <c r="AJ492" s="1"/>
      <c r="AK492" s="1"/>
      <c r="AL492" s="1"/>
      <c r="AM492" s="2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</row>
    <row x14ac:dyDescent="0.25" r="493" customHeight="1" ht="18.75">
      <c r="A493" s="1"/>
      <c r="B493" s="2"/>
      <c r="C493" s="2"/>
      <c r="D493" s="2"/>
      <c r="E493" s="2"/>
      <c r="F493" s="2"/>
      <c r="G493" s="1"/>
      <c r="H493" s="1"/>
      <c r="I493" s="7">
        <v>0.49</v>
      </c>
      <c r="J493" s="7">
        <f>IF((I493-ROUNDDOWN(I493,0))=0, 0, (I493-ROUNDDOWN(I493,0)))</f>
      </c>
      <c r="K493" s="7">
        <f>INDIRECT("C$"&amp;2+MIN(2,ROUNDDOWN(I493,0))*3)*(-$J493^3+3*$J493^2-3*$J493+1)+INDIRECT("C$"&amp;3+MIN(2,ROUNDDOWN(I493,0))*3)*(3*$J493^3-6*$J493^2+3*$J493)+INDIRECT("C$"&amp;4+MIN(2,ROUNDDOWN(I493,0))*3)*(-3*$J493^3+3*$J493^2)+INDIRECT("C$"&amp;5+MIN(2,ROUNDDOWN(I493,0))*3)*$J493^3</f>
      </c>
      <c r="L493" s="7">
        <f>INDIRECT("D$"&amp;2+MIN(2,ROUNDDOWN(I493,0))*3)*(-$J493^3+3*$J493^2-3*$J493+1)+INDIRECT("D$"&amp;3+MIN(2,ROUNDDOWN(I493,0))*3)*(3*$J493^3-6*$J493^2+3*$J493)+INDIRECT("D$"&amp;4+MIN(2,ROUNDDOWN(I493,0))*3)*(-3*$J493^3+3*$J493^2)+INDIRECT("D$"&amp;5+MIN(2,ROUNDDOWN(I493,0))*3)*$J493^3</f>
      </c>
      <c r="M493" s="7">
        <f>SQRT(K493^2+L493^2)</f>
      </c>
      <c r="N493" s="7">
        <f>(K494-K492)</f>
      </c>
      <c r="O493" s="7">
        <f>+(L494-L492)</f>
      </c>
      <c r="P493" s="7">
        <f>SQRT(O493^2+N493^2)</f>
      </c>
      <c r="Q493" s="7">
        <f>N493/$P493</f>
      </c>
      <c r="R493" s="7">
        <f>O493/$P493</f>
      </c>
      <c r="S493" s="8">
        <f>Q493^2+R493^2</f>
      </c>
      <c r="T493" s="7">
        <f>-R493</f>
      </c>
      <c r="U493" s="7">
        <f>Q493</f>
      </c>
      <c r="V493" s="7">
        <f>($C$14+($C$15-$C$14)/($D$15-$D$14)*(I493-$D$14))/2</f>
      </c>
      <c r="W493" s="7">
        <f>($B$22*I493^4+$C$22*I493^3+$D$22*I493^2+$E$22*I493+$F$22)/2</f>
      </c>
      <c r="X493" s="7">
        <f>($W493)*(T493)</f>
      </c>
      <c r="Y493" s="7">
        <f>($W493)*(U493)</f>
      </c>
      <c r="Z493" s="7">
        <f>SQRT(X493^2+Y493^2)</f>
      </c>
      <c r="AA493" s="7">
        <f>$K493+$X493</f>
      </c>
      <c r="AB493" s="7">
        <f>$L493+$Y493</f>
      </c>
      <c r="AC493" s="7">
        <f>$K493-$X493</f>
      </c>
      <c r="AD493" s="7">
        <f>$L493-$Y493</f>
      </c>
      <c r="AE493" s="7">
        <f>AA493/39.3701</f>
      </c>
      <c r="AF493" s="7">
        <f>AB493/39.3701</f>
      </c>
      <c r="AG493" s="7">
        <f>AC493/39.3701</f>
      </c>
      <c r="AH493" s="7">
        <f>AD493/39.3701</f>
      </c>
      <c r="AI493" s="1"/>
      <c r="AJ493" s="1"/>
      <c r="AK493" s="1"/>
      <c r="AL493" s="1"/>
      <c r="AM493" s="2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</row>
    <row x14ac:dyDescent="0.25" r="494" customHeight="1" ht="18.75">
      <c r="A494" s="1"/>
      <c r="B494" s="2"/>
      <c r="C494" s="2"/>
      <c r="D494" s="2"/>
      <c r="E494" s="2"/>
      <c r="F494" s="2"/>
      <c r="G494" s="1"/>
      <c r="H494" s="1"/>
      <c r="I494" s="7">
        <v>0.491</v>
      </c>
      <c r="J494" s="7">
        <f>IF((I494-ROUNDDOWN(I494,0))=0, 0, (I494-ROUNDDOWN(I494,0)))</f>
      </c>
      <c r="K494" s="7">
        <f>INDIRECT("C$"&amp;2+MIN(2,ROUNDDOWN(I494,0))*3)*(-$J494^3+3*$J494^2-3*$J494+1)+INDIRECT("C$"&amp;3+MIN(2,ROUNDDOWN(I494,0))*3)*(3*$J494^3-6*$J494^2+3*$J494)+INDIRECT("C$"&amp;4+MIN(2,ROUNDDOWN(I494,0))*3)*(-3*$J494^3+3*$J494^2)+INDIRECT("C$"&amp;5+MIN(2,ROUNDDOWN(I494,0))*3)*$J494^3</f>
      </c>
      <c r="L494" s="7">
        <f>INDIRECT("D$"&amp;2+MIN(2,ROUNDDOWN(I494,0))*3)*(-$J494^3+3*$J494^2-3*$J494+1)+INDIRECT("D$"&amp;3+MIN(2,ROUNDDOWN(I494,0))*3)*(3*$J494^3-6*$J494^2+3*$J494)+INDIRECT("D$"&amp;4+MIN(2,ROUNDDOWN(I494,0))*3)*(-3*$J494^3+3*$J494^2)+INDIRECT("D$"&amp;5+MIN(2,ROUNDDOWN(I494,0))*3)*$J494^3</f>
      </c>
      <c r="M494" s="7">
        <f>SQRT(K494^2+L494^2)</f>
      </c>
      <c r="N494" s="7">
        <f>(K495-K493)</f>
      </c>
      <c r="O494" s="7">
        <f>+(L495-L493)</f>
      </c>
      <c r="P494" s="7">
        <f>SQRT(O494^2+N494^2)</f>
      </c>
      <c r="Q494" s="7">
        <f>N494/$P494</f>
      </c>
      <c r="R494" s="7">
        <f>O494/$P494</f>
      </c>
      <c r="S494" s="7">
        <f>Q494^2+R494^2</f>
      </c>
      <c r="T494" s="7">
        <f>-R494</f>
      </c>
      <c r="U494" s="7">
        <f>Q494</f>
      </c>
      <c r="V494" s="7">
        <f>($C$14+($C$15-$C$14)/($D$15-$D$14)*(I494-$D$14))/2</f>
      </c>
      <c r="W494" s="7">
        <f>($B$22*I494^4+$C$22*I494^3+$D$22*I494^2+$E$22*I494+$F$22)/2</f>
      </c>
      <c r="X494" s="7">
        <f>($W494)*(T494)</f>
      </c>
      <c r="Y494" s="7">
        <f>($W494)*(U494)</f>
      </c>
      <c r="Z494" s="7">
        <f>SQRT(X494^2+Y494^2)</f>
      </c>
      <c r="AA494" s="7">
        <f>$K494+$X494</f>
      </c>
      <c r="AB494" s="7">
        <f>$L494+$Y494</f>
      </c>
      <c r="AC494" s="7">
        <f>$K494-$X494</f>
      </c>
      <c r="AD494" s="7">
        <f>$L494-$Y494</f>
      </c>
      <c r="AE494" s="7">
        <f>AA494/39.3701</f>
      </c>
      <c r="AF494" s="7">
        <f>AB494/39.3701</f>
      </c>
      <c r="AG494" s="7">
        <f>AC494/39.3701</f>
      </c>
      <c r="AH494" s="7">
        <f>AD494/39.3701</f>
      </c>
      <c r="AI494" s="1"/>
      <c r="AJ494" s="1"/>
      <c r="AK494" s="1"/>
      <c r="AL494" s="1"/>
      <c r="AM494" s="2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</row>
    <row x14ac:dyDescent="0.25" r="495" customHeight="1" ht="18.75">
      <c r="A495" s="1"/>
      <c r="B495" s="2"/>
      <c r="C495" s="2"/>
      <c r="D495" s="2"/>
      <c r="E495" s="2"/>
      <c r="F495" s="2"/>
      <c r="G495" s="1"/>
      <c r="H495" s="1"/>
      <c r="I495" s="7">
        <v>0.492</v>
      </c>
      <c r="J495" s="7">
        <f>IF((I495-ROUNDDOWN(I495,0))=0, 0, (I495-ROUNDDOWN(I495,0)))</f>
      </c>
      <c r="K495" s="7">
        <f>INDIRECT("C$"&amp;2+MIN(2,ROUNDDOWN(I495,0))*3)*(-$J495^3+3*$J495^2-3*$J495+1)+INDIRECT("C$"&amp;3+MIN(2,ROUNDDOWN(I495,0))*3)*(3*$J495^3-6*$J495^2+3*$J495)+INDIRECT("C$"&amp;4+MIN(2,ROUNDDOWN(I495,0))*3)*(-3*$J495^3+3*$J495^2)+INDIRECT("C$"&amp;5+MIN(2,ROUNDDOWN(I495,0))*3)*$J495^3</f>
      </c>
      <c r="L495" s="7">
        <f>INDIRECT("D$"&amp;2+MIN(2,ROUNDDOWN(I495,0))*3)*(-$J495^3+3*$J495^2-3*$J495+1)+INDIRECT("D$"&amp;3+MIN(2,ROUNDDOWN(I495,0))*3)*(3*$J495^3-6*$J495^2+3*$J495)+INDIRECT("D$"&amp;4+MIN(2,ROUNDDOWN(I495,0))*3)*(-3*$J495^3+3*$J495^2)+INDIRECT("D$"&amp;5+MIN(2,ROUNDDOWN(I495,0))*3)*$J495^3</f>
      </c>
      <c r="M495" s="7">
        <f>SQRT(K495^2+L495^2)</f>
      </c>
      <c r="N495" s="7">
        <f>(K496-K494)</f>
      </c>
      <c r="O495" s="7">
        <f>+(L496-L494)</f>
      </c>
      <c r="P495" s="7">
        <f>SQRT(O495^2+N495^2)</f>
      </c>
      <c r="Q495" s="7">
        <f>N495/$P495</f>
      </c>
      <c r="R495" s="7">
        <f>O495/$P495</f>
      </c>
      <c r="S495" s="8">
        <f>Q495^2+R495^2</f>
      </c>
      <c r="T495" s="7">
        <f>-R495</f>
      </c>
      <c r="U495" s="7">
        <f>Q495</f>
      </c>
      <c r="V495" s="7">
        <f>($C$14+($C$15-$C$14)/($D$15-$D$14)*(I495-$D$14))/2</f>
      </c>
      <c r="W495" s="7">
        <f>($B$22*I495^4+$C$22*I495^3+$D$22*I495^2+$E$22*I495+$F$22)/2</f>
      </c>
      <c r="X495" s="7">
        <f>($W495)*(T495)</f>
      </c>
      <c r="Y495" s="7">
        <f>($W495)*(U495)</f>
      </c>
      <c r="Z495" s="7">
        <f>SQRT(X495^2+Y495^2)</f>
      </c>
      <c r="AA495" s="7">
        <f>$K495+$X495</f>
      </c>
      <c r="AB495" s="7">
        <f>$L495+$Y495</f>
      </c>
      <c r="AC495" s="7">
        <f>$K495-$X495</f>
      </c>
      <c r="AD495" s="7">
        <f>$L495-$Y495</f>
      </c>
      <c r="AE495" s="7">
        <f>AA495/39.3701</f>
      </c>
      <c r="AF495" s="7">
        <f>AB495/39.3701</f>
      </c>
      <c r="AG495" s="7">
        <f>AC495/39.3701</f>
      </c>
      <c r="AH495" s="7">
        <f>AD495/39.3701</f>
      </c>
      <c r="AI495" s="1"/>
      <c r="AJ495" s="1"/>
      <c r="AK495" s="1"/>
      <c r="AL495" s="1"/>
      <c r="AM495" s="2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</row>
    <row x14ac:dyDescent="0.25" r="496" customHeight="1" ht="18.75">
      <c r="A496" s="1"/>
      <c r="B496" s="2"/>
      <c r="C496" s="2"/>
      <c r="D496" s="2"/>
      <c r="E496" s="2"/>
      <c r="F496" s="2"/>
      <c r="G496" s="1"/>
      <c r="H496" s="1"/>
      <c r="I496" s="7">
        <v>0.493</v>
      </c>
      <c r="J496" s="7">
        <f>IF((I496-ROUNDDOWN(I496,0))=0, 0, (I496-ROUNDDOWN(I496,0)))</f>
      </c>
      <c r="K496" s="7">
        <f>INDIRECT("C$"&amp;2+MIN(2,ROUNDDOWN(I496,0))*3)*(-$J496^3+3*$J496^2-3*$J496+1)+INDIRECT("C$"&amp;3+MIN(2,ROUNDDOWN(I496,0))*3)*(3*$J496^3-6*$J496^2+3*$J496)+INDIRECT("C$"&amp;4+MIN(2,ROUNDDOWN(I496,0))*3)*(-3*$J496^3+3*$J496^2)+INDIRECT("C$"&amp;5+MIN(2,ROUNDDOWN(I496,0))*3)*$J496^3</f>
      </c>
      <c r="L496" s="7">
        <f>INDIRECT("D$"&amp;2+MIN(2,ROUNDDOWN(I496,0))*3)*(-$J496^3+3*$J496^2-3*$J496+1)+INDIRECT("D$"&amp;3+MIN(2,ROUNDDOWN(I496,0))*3)*(3*$J496^3-6*$J496^2+3*$J496)+INDIRECT("D$"&amp;4+MIN(2,ROUNDDOWN(I496,0))*3)*(-3*$J496^3+3*$J496^2)+INDIRECT("D$"&amp;5+MIN(2,ROUNDDOWN(I496,0))*3)*$J496^3</f>
      </c>
      <c r="M496" s="7">
        <f>SQRT(K496^2+L496^2)</f>
      </c>
      <c r="N496" s="7">
        <f>(K497-K495)</f>
      </c>
      <c r="O496" s="7">
        <f>+(L497-L495)</f>
      </c>
      <c r="P496" s="7">
        <f>SQRT(O496^2+N496^2)</f>
      </c>
      <c r="Q496" s="7">
        <f>N496/$P496</f>
      </c>
      <c r="R496" s="7">
        <f>O496/$P496</f>
      </c>
      <c r="S496" s="8">
        <f>Q496^2+R496^2</f>
      </c>
      <c r="T496" s="7">
        <f>-R496</f>
      </c>
      <c r="U496" s="7">
        <f>Q496</f>
      </c>
      <c r="V496" s="7">
        <f>($C$14+($C$15-$C$14)/($D$15-$D$14)*(I496-$D$14))/2</f>
      </c>
      <c r="W496" s="7">
        <f>($B$22*I496^4+$C$22*I496^3+$D$22*I496^2+$E$22*I496+$F$22)/2</f>
      </c>
      <c r="X496" s="7">
        <f>($W496)*(T496)</f>
      </c>
      <c r="Y496" s="7">
        <f>($W496)*(U496)</f>
      </c>
      <c r="Z496" s="7">
        <f>SQRT(X496^2+Y496^2)</f>
      </c>
      <c r="AA496" s="7">
        <f>$K496+$X496</f>
      </c>
      <c r="AB496" s="7">
        <f>$L496+$Y496</f>
      </c>
      <c r="AC496" s="7">
        <f>$K496-$X496</f>
      </c>
      <c r="AD496" s="7">
        <f>$L496-$Y496</f>
      </c>
      <c r="AE496" s="7">
        <f>AA496/39.3701</f>
      </c>
      <c r="AF496" s="7">
        <f>AB496/39.3701</f>
      </c>
      <c r="AG496" s="7">
        <f>AC496/39.3701</f>
      </c>
      <c r="AH496" s="7">
        <f>AD496/39.3701</f>
      </c>
      <c r="AI496" s="1"/>
      <c r="AJ496" s="1"/>
      <c r="AK496" s="1"/>
      <c r="AL496" s="1"/>
      <c r="AM496" s="2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</row>
    <row x14ac:dyDescent="0.25" r="497" customHeight="1" ht="18.75">
      <c r="A497" s="1"/>
      <c r="B497" s="2"/>
      <c r="C497" s="2"/>
      <c r="D497" s="2"/>
      <c r="E497" s="2"/>
      <c r="F497" s="2"/>
      <c r="G497" s="1"/>
      <c r="H497" s="1"/>
      <c r="I497" s="7">
        <v>0.494</v>
      </c>
      <c r="J497" s="7">
        <f>IF((I497-ROUNDDOWN(I497,0))=0, 0, (I497-ROUNDDOWN(I497,0)))</f>
      </c>
      <c r="K497" s="7">
        <f>INDIRECT("C$"&amp;2+MIN(2,ROUNDDOWN(I497,0))*3)*(-$J497^3+3*$J497^2-3*$J497+1)+INDIRECT("C$"&amp;3+MIN(2,ROUNDDOWN(I497,0))*3)*(3*$J497^3-6*$J497^2+3*$J497)+INDIRECT("C$"&amp;4+MIN(2,ROUNDDOWN(I497,0))*3)*(-3*$J497^3+3*$J497^2)+INDIRECT("C$"&amp;5+MIN(2,ROUNDDOWN(I497,0))*3)*$J497^3</f>
      </c>
      <c r="L497" s="7">
        <f>INDIRECT("D$"&amp;2+MIN(2,ROUNDDOWN(I497,0))*3)*(-$J497^3+3*$J497^2-3*$J497+1)+INDIRECT("D$"&amp;3+MIN(2,ROUNDDOWN(I497,0))*3)*(3*$J497^3-6*$J497^2+3*$J497)+INDIRECT("D$"&amp;4+MIN(2,ROUNDDOWN(I497,0))*3)*(-3*$J497^3+3*$J497^2)+INDIRECT("D$"&amp;5+MIN(2,ROUNDDOWN(I497,0))*3)*$J497^3</f>
      </c>
      <c r="M497" s="7">
        <f>SQRT(K497^2+L497^2)</f>
      </c>
      <c r="N497" s="7">
        <f>(K498-K496)</f>
      </c>
      <c r="O497" s="7">
        <f>+(L498-L496)</f>
      </c>
      <c r="P497" s="7">
        <f>SQRT(O497^2+N497^2)</f>
      </c>
      <c r="Q497" s="7">
        <f>N497/$P497</f>
      </c>
      <c r="R497" s="7">
        <f>O497/$P497</f>
      </c>
      <c r="S497" s="8">
        <f>Q497^2+R497^2</f>
      </c>
      <c r="T497" s="7">
        <f>-R497</f>
      </c>
      <c r="U497" s="7">
        <f>Q497</f>
      </c>
      <c r="V497" s="7">
        <f>($C$14+($C$15-$C$14)/($D$15-$D$14)*(I497-$D$14))/2</f>
      </c>
      <c r="W497" s="7">
        <f>($B$22*I497^4+$C$22*I497^3+$D$22*I497^2+$E$22*I497+$F$22)/2</f>
      </c>
      <c r="X497" s="7">
        <f>($W497)*(T497)</f>
      </c>
      <c r="Y497" s="7">
        <f>($W497)*(U497)</f>
      </c>
      <c r="Z497" s="7">
        <f>SQRT(X497^2+Y497^2)</f>
      </c>
      <c r="AA497" s="7">
        <f>$K497+$X497</f>
      </c>
      <c r="AB497" s="7">
        <f>$L497+$Y497</f>
      </c>
      <c r="AC497" s="7">
        <f>$K497-$X497</f>
      </c>
      <c r="AD497" s="7">
        <f>$L497-$Y497</f>
      </c>
      <c r="AE497" s="7">
        <f>AA497/39.3701</f>
      </c>
      <c r="AF497" s="7">
        <f>AB497/39.3701</f>
      </c>
      <c r="AG497" s="7">
        <f>AC497/39.3701</f>
      </c>
      <c r="AH497" s="7">
        <f>AD497/39.3701</f>
      </c>
      <c r="AI497" s="1"/>
      <c r="AJ497" s="1"/>
      <c r="AK497" s="1"/>
      <c r="AL497" s="1"/>
      <c r="AM497" s="2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</row>
    <row x14ac:dyDescent="0.25" r="498" customHeight="1" ht="18.75">
      <c r="A498" s="1"/>
      <c r="B498" s="2"/>
      <c r="C498" s="2"/>
      <c r="D498" s="2"/>
      <c r="E498" s="2"/>
      <c r="F498" s="2"/>
      <c r="G498" s="1"/>
      <c r="H498" s="1"/>
      <c r="I498" s="7">
        <v>0.495</v>
      </c>
      <c r="J498" s="7">
        <f>IF((I498-ROUNDDOWN(I498,0))=0, 0, (I498-ROUNDDOWN(I498,0)))</f>
      </c>
      <c r="K498" s="7">
        <f>INDIRECT("C$"&amp;2+MIN(2,ROUNDDOWN(I498,0))*3)*(-$J498^3+3*$J498^2-3*$J498+1)+INDIRECT("C$"&amp;3+MIN(2,ROUNDDOWN(I498,0))*3)*(3*$J498^3-6*$J498^2+3*$J498)+INDIRECT("C$"&amp;4+MIN(2,ROUNDDOWN(I498,0))*3)*(-3*$J498^3+3*$J498^2)+INDIRECT("C$"&amp;5+MIN(2,ROUNDDOWN(I498,0))*3)*$J498^3</f>
      </c>
      <c r="L498" s="7">
        <f>INDIRECT("D$"&amp;2+MIN(2,ROUNDDOWN(I498,0))*3)*(-$J498^3+3*$J498^2-3*$J498+1)+INDIRECT("D$"&amp;3+MIN(2,ROUNDDOWN(I498,0))*3)*(3*$J498^3-6*$J498^2+3*$J498)+INDIRECT("D$"&amp;4+MIN(2,ROUNDDOWN(I498,0))*3)*(-3*$J498^3+3*$J498^2)+INDIRECT("D$"&amp;5+MIN(2,ROUNDDOWN(I498,0))*3)*$J498^3</f>
      </c>
      <c r="M498" s="7">
        <f>SQRT(K498^2+L498^2)</f>
      </c>
      <c r="N498" s="7">
        <f>(K499-K497)</f>
      </c>
      <c r="O498" s="7">
        <f>+(L499-L497)</f>
      </c>
      <c r="P498" s="7">
        <f>SQRT(O498^2+N498^2)</f>
      </c>
      <c r="Q498" s="7">
        <f>N498/$P498</f>
      </c>
      <c r="R498" s="7">
        <f>O498/$P498</f>
      </c>
      <c r="S498" s="8">
        <f>Q498^2+R498^2</f>
      </c>
      <c r="T498" s="7">
        <f>-R498</f>
      </c>
      <c r="U498" s="7">
        <f>Q498</f>
      </c>
      <c r="V498" s="7">
        <f>($C$14+($C$15-$C$14)/($D$15-$D$14)*(I498-$D$14))/2</f>
      </c>
      <c r="W498" s="7">
        <f>($B$22*I498^4+$C$22*I498^3+$D$22*I498^2+$E$22*I498+$F$22)/2</f>
      </c>
      <c r="X498" s="7">
        <f>($W498)*(T498)</f>
      </c>
      <c r="Y498" s="7">
        <f>($W498)*(U498)</f>
      </c>
      <c r="Z498" s="7">
        <f>SQRT(X498^2+Y498^2)</f>
      </c>
      <c r="AA498" s="7">
        <f>$K498+$X498</f>
      </c>
      <c r="AB498" s="7">
        <f>$L498+$Y498</f>
      </c>
      <c r="AC498" s="7">
        <f>$K498-$X498</f>
      </c>
      <c r="AD498" s="7">
        <f>$L498-$Y498</f>
      </c>
      <c r="AE498" s="7">
        <f>AA498/39.3701</f>
      </c>
      <c r="AF498" s="7">
        <f>AB498/39.3701</f>
      </c>
      <c r="AG498" s="7">
        <f>AC498/39.3701</f>
      </c>
      <c r="AH498" s="7">
        <f>AD498/39.3701</f>
      </c>
      <c r="AI498" s="1"/>
      <c r="AJ498" s="1"/>
      <c r="AK498" s="1"/>
      <c r="AL498" s="1"/>
      <c r="AM498" s="2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</row>
    <row x14ac:dyDescent="0.25" r="499" customHeight="1" ht="18.75">
      <c r="A499" s="1"/>
      <c r="B499" s="2"/>
      <c r="C499" s="2"/>
      <c r="D499" s="2"/>
      <c r="E499" s="2"/>
      <c r="F499" s="2"/>
      <c r="G499" s="1"/>
      <c r="H499" s="1"/>
      <c r="I499" s="7">
        <v>0.496</v>
      </c>
      <c r="J499" s="7">
        <f>IF((I499-ROUNDDOWN(I499,0))=0, 0, (I499-ROUNDDOWN(I499,0)))</f>
      </c>
      <c r="K499" s="7">
        <f>INDIRECT("C$"&amp;2+MIN(2,ROUNDDOWN(I499,0))*3)*(-$J499^3+3*$J499^2-3*$J499+1)+INDIRECT("C$"&amp;3+MIN(2,ROUNDDOWN(I499,0))*3)*(3*$J499^3-6*$J499^2+3*$J499)+INDIRECT("C$"&amp;4+MIN(2,ROUNDDOWN(I499,0))*3)*(-3*$J499^3+3*$J499^2)+INDIRECT("C$"&amp;5+MIN(2,ROUNDDOWN(I499,0))*3)*$J499^3</f>
      </c>
      <c r="L499" s="7">
        <f>INDIRECT("D$"&amp;2+MIN(2,ROUNDDOWN(I499,0))*3)*(-$J499^3+3*$J499^2-3*$J499+1)+INDIRECT("D$"&amp;3+MIN(2,ROUNDDOWN(I499,0))*3)*(3*$J499^3-6*$J499^2+3*$J499)+INDIRECT("D$"&amp;4+MIN(2,ROUNDDOWN(I499,0))*3)*(-3*$J499^3+3*$J499^2)+INDIRECT("D$"&amp;5+MIN(2,ROUNDDOWN(I499,0))*3)*$J499^3</f>
      </c>
      <c r="M499" s="7">
        <f>SQRT(K499^2+L499^2)</f>
      </c>
      <c r="N499" s="7">
        <f>(K500-K498)</f>
      </c>
      <c r="O499" s="7">
        <f>+(L500-L498)</f>
      </c>
      <c r="P499" s="7">
        <f>SQRT(O499^2+N499^2)</f>
      </c>
      <c r="Q499" s="7">
        <f>N499/$P499</f>
      </c>
      <c r="R499" s="7">
        <f>O499/$P499</f>
      </c>
      <c r="S499" s="8">
        <f>Q499^2+R499^2</f>
      </c>
      <c r="T499" s="7">
        <f>-R499</f>
      </c>
      <c r="U499" s="7">
        <f>Q499</f>
      </c>
      <c r="V499" s="7">
        <f>($C$14+($C$15-$C$14)/($D$15-$D$14)*(I499-$D$14))/2</f>
      </c>
      <c r="W499" s="7">
        <f>($B$22*I499^4+$C$22*I499^3+$D$22*I499^2+$E$22*I499+$F$22)/2</f>
      </c>
      <c r="X499" s="7">
        <f>($W499)*(T499)</f>
      </c>
      <c r="Y499" s="7">
        <f>($W499)*(U499)</f>
      </c>
      <c r="Z499" s="7">
        <f>SQRT(X499^2+Y499^2)</f>
      </c>
      <c r="AA499" s="7">
        <f>$K499+$X499</f>
      </c>
      <c r="AB499" s="7">
        <f>$L499+$Y499</f>
      </c>
      <c r="AC499" s="7">
        <f>$K499-$X499</f>
      </c>
      <c r="AD499" s="7">
        <f>$L499-$Y499</f>
      </c>
      <c r="AE499" s="7">
        <f>AA499/39.3701</f>
      </c>
      <c r="AF499" s="7">
        <f>AB499/39.3701</f>
      </c>
      <c r="AG499" s="7">
        <f>AC499/39.3701</f>
      </c>
      <c r="AH499" s="7">
        <f>AD499/39.3701</f>
      </c>
      <c r="AI499" s="1"/>
      <c r="AJ499" s="1"/>
      <c r="AK499" s="1"/>
      <c r="AL499" s="1"/>
      <c r="AM499" s="2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</row>
    <row x14ac:dyDescent="0.25" r="500" customHeight="1" ht="18.75">
      <c r="A500" s="1"/>
      <c r="B500" s="2"/>
      <c r="C500" s="2"/>
      <c r="D500" s="2"/>
      <c r="E500" s="2"/>
      <c r="F500" s="2"/>
      <c r="G500" s="1"/>
      <c r="H500" s="1"/>
      <c r="I500" s="7">
        <v>0.497</v>
      </c>
      <c r="J500" s="7">
        <f>IF((I500-ROUNDDOWN(I500,0))=0, 0, (I500-ROUNDDOWN(I500,0)))</f>
      </c>
      <c r="K500" s="7">
        <f>INDIRECT("C$"&amp;2+MIN(2,ROUNDDOWN(I500,0))*3)*(-$J500^3+3*$J500^2-3*$J500+1)+INDIRECT("C$"&amp;3+MIN(2,ROUNDDOWN(I500,0))*3)*(3*$J500^3-6*$J500^2+3*$J500)+INDIRECT("C$"&amp;4+MIN(2,ROUNDDOWN(I500,0))*3)*(-3*$J500^3+3*$J500^2)+INDIRECT("C$"&amp;5+MIN(2,ROUNDDOWN(I500,0))*3)*$J500^3</f>
      </c>
      <c r="L500" s="7">
        <f>INDIRECT("D$"&amp;2+MIN(2,ROUNDDOWN(I500,0))*3)*(-$J500^3+3*$J500^2-3*$J500+1)+INDIRECT("D$"&amp;3+MIN(2,ROUNDDOWN(I500,0))*3)*(3*$J500^3-6*$J500^2+3*$J500)+INDIRECT("D$"&amp;4+MIN(2,ROUNDDOWN(I500,0))*3)*(-3*$J500^3+3*$J500^2)+INDIRECT("D$"&amp;5+MIN(2,ROUNDDOWN(I500,0))*3)*$J500^3</f>
      </c>
      <c r="M500" s="7">
        <f>SQRT(K500^2+L500^2)</f>
      </c>
      <c r="N500" s="7">
        <f>(K501-K499)</f>
      </c>
      <c r="O500" s="7">
        <f>+(L501-L499)</f>
      </c>
      <c r="P500" s="7">
        <f>SQRT(O500^2+N500^2)</f>
      </c>
      <c r="Q500" s="7">
        <f>N500/$P500</f>
      </c>
      <c r="R500" s="7">
        <f>O500/$P500</f>
      </c>
      <c r="S500" s="7">
        <f>Q500^2+R500^2</f>
      </c>
      <c r="T500" s="7">
        <f>-R500</f>
      </c>
      <c r="U500" s="7">
        <f>Q500</f>
      </c>
      <c r="V500" s="7">
        <f>($C$14+($C$15-$C$14)/($D$15-$D$14)*(I500-$D$14))/2</f>
      </c>
      <c r="W500" s="7">
        <f>($B$22*I500^4+$C$22*I500^3+$D$22*I500^2+$E$22*I500+$F$22)/2</f>
      </c>
      <c r="X500" s="7">
        <f>($W500)*(T500)</f>
      </c>
      <c r="Y500" s="7">
        <f>($W500)*(U500)</f>
      </c>
      <c r="Z500" s="7">
        <f>SQRT(X500^2+Y500^2)</f>
      </c>
      <c r="AA500" s="7">
        <f>$K500+$X500</f>
      </c>
      <c r="AB500" s="7">
        <f>$L500+$Y500</f>
      </c>
      <c r="AC500" s="7">
        <f>$K500-$X500</f>
      </c>
      <c r="AD500" s="7">
        <f>$L500-$Y500</f>
      </c>
      <c r="AE500" s="7">
        <f>AA500/39.3701</f>
      </c>
      <c r="AF500" s="7">
        <f>AB500/39.3701</f>
      </c>
      <c r="AG500" s="7">
        <f>AC500/39.3701</f>
      </c>
      <c r="AH500" s="7">
        <f>AD500/39.3701</f>
      </c>
      <c r="AI500" s="1"/>
      <c r="AJ500" s="1"/>
      <c r="AK500" s="1"/>
      <c r="AL500" s="1"/>
      <c r="AM500" s="2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</row>
    <row x14ac:dyDescent="0.25" r="501" customHeight="1" ht="18.75">
      <c r="A501" s="1"/>
      <c r="B501" s="2"/>
      <c r="C501" s="2"/>
      <c r="D501" s="2"/>
      <c r="E501" s="2"/>
      <c r="F501" s="2"/>
      <c r="G501" s="1"/>
      <c r="H501" s="1"/>
      <c r="I501" s="7">
        <v>0.498</v>
      </c>
      <c r="J501" s="7">
        <f>IF((I501-ROUNDDOWN(I501,0))=0, 0, (I501-ROUNDDOWN(I501,0)))</f>
      </c>
      <c r="K501" s="7">
        <f>INDIRECT("C$"&amp;2+MIN(2,ROUNDDOWN(I501,0))*3)*(-$J501^3+3*$J501^2-3*$J501+1)+INDIRECT("C$"&amp;3+MIN(2,ROUNDDOWN(I501,0))*3)*(3*$J501^3-6*$J501^2+3*$J501)+INDIRECT("C$"&amp;4+MIN(2,ROUNDDOWN(I501,0))*3)*(-3*$J501^3+3*$J501^2)+INDIRECT("C$"&amp;5+MIN(2,ROUNDDOWN(I501,0))*3)*$J501^3</f>
      </c>
      <c r="L501" s="7">
        <f>INDIRECT("D$"&amp;2+MIN(2,ROUNDDOWN(I501,0))*3)*(-$J501^3+3*$J501^2-3*$J501+1)+INDIRECT("D$"&amp;3+MIN(2,ROUNDDOWN(I501,0))*3)*(3*$J501^3-6*$J501^2+3*$J501)+INDIRECT("D$"&amp;4+MIN(2,ROUNDDOWN(I501,0))*3)*(-3*$J501^3+3*$J501^2)+INDIRECT("D$"&amp;5+MIN(2,ROUNDDOWN(I501,0))*3)*$J501^3</f>
      </c>
      <c r="M501" s="7">
        <f>SQRT(K501^2+L501^2)</f>
      </c>
      <c r="N501" s="7">
        <f>(K502-K500)</f>
      </c>
      <c r="O501" s="7">
        <f>+(L502-L500)</f>
      </c>
      <c r="P501" s="7">
        <f>SQRT(O501^2+N501^2)</f>
      </c>
      <c r="Q501" s="7">
        <f>N501/$P501</f>
      </c>
      <c r="R501" s="7">
        <f>O501/$P501</f>
      </c>
      <c r="S501" s="8">
        <f>Q501^2+R501^2</f>
      </c>
      <c r="T501" s="7">
        <f>-R501</f>
      </c>
      <c r="U501" s="7">
        <f>Q501</f>
      </c>
      <c r="V501" s="7">
        <f>($C$14+($C$15-$C$14)/($D$15-$D$14)*(I501-$D$14))/2</f>
      </c>
      <c r="W501" s="7">
        <f>($B$22*I501^4+$C$22*I501^3+$D$22*I501^2+$E$22*I501+$F$22)/2</f>
      </c>
      <c r="X501" s="7">
        <f>($W501)*(T501)</f>
      </c>
      <c r="Y501" s="7">
        <f>($W501)*(U501)</f>
      </c>
      <c r="Z501" s="7">
        <f>SQRT(X501^2+Y501^2)</f>
      </c>
      <c r="AA501" s="7">
        <f>$K501+$X501</f>
      </c>
      <c r="AB501" s="7">
        <f>$L501+$Y501</f>
      </c>
      <c r="AC501" s="7">
        <f>$K501-$X501</f>
      </c>
      <c r="AD501" s="7">
        <f>$L501-$Y501</f>
      </c>
      <c r="AE501" s="7">
        <f>AA501/39.3701</f>
      </c>
      <c r="AF501" s="7">
        <f>AB501/39.3701</f>
      </c>
      <c r="AG501" s="7">
        <f>AC501/39.3701</f>
      </c>
      <c r="AH501" s="7">
        <f>AD501/39.3701</f>
      </c>
      <c r="AI501" s="1"/>
      <c r="AJ501" s="1"/>
      <c r="AK501" s="1"/>
      <c r="AL501" s="1"/>
      <c r="AM501" s="2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</row>
    <row x14ac:dyDescent="0.25" r="502" customHeight="1" ht="18.75">
      <c r="A502" s="1"/>
      <c r="B502" s="2"/>
      <c r="C502" s="2"/>
      <c r="D502" s="2"/>
      <c r="E502" s="2"/>
      <c r="F502" s="2"/>
      <c r="G502" s="1"/>
      <c r="H502" s="1"/>
      <c r="I502" s="7">
        <v>0.499</v>
      </c>
      <c r="J502" s="7">
        <f>IF((I502-ROUNDDOWN(I502,0))=0, 0, (I502-ROUNDDOWN(I502,0)))</f>
      </c>
      <c r="K502" s="7">
        <f>INDIRECT("C$"&amp;2+MIN(2,ROUNDDOWN(I502,0))*3)*(-$J502^3+3*$J502^2-3*$J502+1)+INDIRECT("C$"&amp;3+MIN(2,ROUNDDOWN(I502,0))*3)*(3*$J502^3-6*$J502^2+3*$J502)+INDIRECT("C$"&amp;4+MIN(2,ROUNDDOWN(I502,0))*3)*(-3*$J502^3+3*$J502^2)+INDIRECT("C$"&amp;5+MIN(2,ROUNDDOWN(I502,0))*3)*$J502^3</f>
      </c>
      <c r="L502" s="7">
        <f>INDIRECT("D$"&amp;2+MIN(2,ROUNDDOWN(I502,0))*3)*(-$J502^3+3*$J502^2-3*$J502+1)+INDIRECT("D$"&amp;3+MIN(2,ROUNDDOWN(I502,0))*3)*(3*$J502^3-6*$J502^2+3*$J502)+INDIRECT("D$"&amp;4+MIN(2,ROUNDDOWN(I502,0))*3)*(-3*$J502^3+3*$J502^2)+INDIRECT("D$"&amp;5+MIN(2,ROUNDDOWN(I502,0))*3)*$J502^3</f>
      </c>
      <c r="M502" s="7">
        <f>SQRT(K502^2+L502^2)</f>
      </c>
      <c r="N502" s="7">
        <f>(K503-K501)</f>
      </c>
      <c r="O502" s="7">
        <f>+(L503-L501)</f>
      </c>
      <c r="P502" s="7">
        <f>SQRT(O502^2+N502^2)</f>
      </c>
      <c r="Q502" s="7">
        <f>N502/$P502</f>
      </c>
      <c r="R502" s="7">
        <f>O502/$P502</f>
      </c>
      <c r="S502" s="8">
        <f>Q502^2+R502^2</f>
      </c>
      <c r="T502" s="7">
        <f>-R502</f>
      </c>
      <c r="U502" s="7">
        <f>Q502</f>
      </c>
      <c r="V502" s="7">
        <f>($C$14+($C$15-$C$14)/($D$15-$D$14)*(I502-$D$14))/2</f>
      </c>
      <c r="W502" s="7">
        <f>($B$22*I502^4+$C$22*I502^3+$D$22*I502^2+$E$22*I502+$F$22)/2</f>
      </c>
      <c r="X502" s="7">
        <f>($W502)*(T502)</f>
      </c>
      <c r="Y502" s="7">
        <f>($W502)*(U502)</f>
      </c>
      <c r="Z502" s="7">
        <f>SQRT(X502^2+Y502^2)</f>
      </c>
      <c r="AA502" s="7">
        <f>$K502+$X502</f>
      </c>
      <c r="AB502" s="7">
        <f>$L502+$Y502</f>
      </c>
      <c r="AC502" s="7">
        <f>$K502-$X502</f>
      </c>
      <c r="AD502" s="7">
        <f>$L502-$Y502</f>
      </c>
      <c r="AE502" s="7">
        <f>AA502/39.3701</f>
      </c>
      <c r="AF502" s="7">
        <f>AB502/39.3701</f>
      </c>
      <c r="AG502" s="7">
        <f>AC502/39.3701</f>
      </c>
      <c r="AH502" s="7">
        <f>AD502/39.3701</f>
      </c>
      <c r="AI502" s="1"/>
      <c r="AJ502" s="1"/>
      <c r="AK502" s="1"/>
      <c r="AL502" s="1"/>
      <c r="AM502" s="2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</row>
    <row x14ac:dyDescent="0.25" r="503" customHeight="1" ht="18.75">
      <c r="A503" s="1"/>
      <c r="B503" s="2"/>
      <c r="C503" s="2"/>
      <c r="D503" s="2"/>
      <c r="E503" s="2"/>
      <c r="F503" s="2"/>
      <c r="G503" s="1"/>
      <c r="H503" s="1"/>
      <c r="I503" s="7">
        <v>0.5</v>
      </c>
      <c r="J503" s="7">
        <f>IF((I503-ROUNDDOWN(I503,0))=0, 0, (I503-ROUNDDOWN(I503,0)))</f>
      </c>
      <c r="K503" s="7">
        <f>INDIRECT("C$"&amp;2+MIN(2,ROUNDDOWN(I503,0))*3)*(-$J503^3+3*$J503^2-3*$J503+1)+INDIRECT("C$"&amp;3+MIN(2,ROUNDDOWN(I503,0))*3)*(3*$J503^3-6*$J503^2+3*$J503)+INDIRECT("C$"&amp;4+MIN(2,ROUNDDOWN(I503,0))*3)*(-3*$J503^3+3*$J503^2)+INDIRECT("C$"&amp;5+MIN(2,ROUNDDOWN(I503,0))*3)*$J503^3</f>
      </c>
      <c r="L503" s="7">
        <f>INDIRECT("D$"&amp;2+MIN(2,ROUNDDOWN(I503,0))*3)*(-$J503^3+3*$J503^2-3*$J503+1)+INDIRECT("D$"&amp;3+MIN(2,ROUNDDOWN(I503,0))*3)*(3*$J503^3-6*$J503^2+3*$J503)+INDIRECT("D$"&amp;4+MIN(2,ROUNDDOWN(I503,0))*3)*(-3*$J503^3+3*$J503^2)+INDIRECT("D$"&amp;5+MIN(2,ROUNDDOWN(I503,0))*3)*$J503^3</f>
      </c>
      <c r="M503" s="7">
        <f>SQRT(K503^2+L503^2)</f>
      </c>
      <c r="N503" s="7">
        <f>(K504-K502)</f>
      </c>
      <c r="O503" s="7">
        <f>+(L504-L502)</f>
      </c>
      <c r="P503" s="7">
        <f>SQRT(O503^2+N503^2)</f>
      </c>
      <c r="Q503" s="7">
        <f>N503/$P503</f>
      </c>
      <c r="R503" s="7">
        <f>O503/$P503</f>
      </c>
      <c r="S503" s="7">
        <f>Q503^2+R503^2</f>
      </c>
      <c r="T503" s="7">
        <f>-R503</f>
      </c>
      <c r="U503" s="7">
        <f>Q503</f>
      </c>
      <c r="V503" s="7">
        <f>($C$14+($C$15-$C$14)/($D$15-$D$14)*(I503-$D$14))/2</f>
      </c>
      <c r="W503" s="7">
        <f>($B$22*I503^4+$C$22*I503^3+$D$22*I503^2+$E$22*I503+$F$22)/2</f>
      </c>
      <c r="X503" s="7">
        <f>($W503)*(T503)</f>
      </c>
      <c r="Y503" s="7">
        <f>($W503)*(U503)</f>
      </c>
      <c r="Z503" s="7">
        <f>SQRT(X503^2+Y503^2)</f>
      </c>
      <c r="AA503" s="7">
        <f>$K503+$X503</f>
      </c>
      <c r="AB503" s="7">
        <f>$L503+$Y503</f>
      </c>
      <c r="AC503" s="7">
        <f>$K503-$X503</f>
      </c>
      <c r="AD503" s="7">
        <f>$L503-$Y503</f>
      </c>
      <c r="AE503" s="7">
        <f>AA503/39.3701</f>
      </c>
      <c r="AF503" s="7">
        <f>AB503/39.3701</f>
      </c>
      <c r="AG503" s="7">
        <f>AC503/39.3701</f>
      </c>
      <c r="AH503" s="7">
        <f>AD503/39.3701</f>
      </c>
      <c r="AI503" s="1"/>
      <c r="AJ503" s="1"/>
      <c r="AK503" s="1"/>
      <c r="AL503" s="1"/>
      <c r="AM503" s="2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</row>
    <row x14ac:dyDescent="0.25" r="504" customHeight="1" ht="18.75">
      <c r="A504" s="1"/>
      <c r="B504" s="2"/>
      <c r="C504" s="2"/>
      <c r="D504" s="2"/>
      <c r="E504" s="2"/>
      <c r="F504" s="2"/>
      <c r="G504" s="1"/>
      <c r="H504" s="1"/>
      <c r="I504" s="7">
        <v>0.501</v>
      </c>
      <c r="J504" s="7">
        <f>IF((I504-ROUNDDOWN(I504,0))=0, 0, (I504-ROUNDDOWN(I504,0)))</f>
      </c>
      <c r="K504" s="7">
        <f>INDIRECT("C$"&amp;2+MIN(2,ROUNDDOWN(I504,0))*3)*(-$J504^3+3*$J504^2-3*$J504+1)+INDIRECT("C$"&amp;3+MIN(2,ROUNDDOWN(I504,0))*3)*(3*$J504^3-6*$J504^2+3*$J504)+INDIRECT("C$"&amp;4+MIN(2,ROUNDDOWN(I504,0))*3)*(-3*$J504^3+3*$J504^2)+INDIRECT("C$"&amp;5+MIN(2,ROUNDDOWN(I504,0))*3)*$J504^3</f>
      </c>
      <c r="L504" s="7">
        <f>INDIRECT("D$"&amp;2+MIN(2,ROUNDDOWN(I504,0))*3)*(-$J504^3+3*$J504^2-3*$J504+1)+INDIRECT("D$"&amp;3+MIN(2,ROUNDDOWN(I504,0))*3)*(3*$J504^3-6*$J504^2+3*$J504)+INDIRECT("D$"&amp;4+MIN(2,ROUNDDOWN(I504,0))*3)*(-3*$J504^3+3*$J504^2)+INDIRECT("D$"&amp;5+MIN(2,ROUNDDOWN(I504,0))*3)*$J504^3</f>
      </c>
      <c r="M504" s="7">
        <f>SQRT(K504^2+L504^2)</f>
      </c>
      <c r="N504" s="7">
        <f>(K505-K503)</f>
      </c>
      <c r="O504" s="7">
        <f>+(L505-L503)</f>
      </c>
      <c r="P504" s="7">
        <f>SQRT(O504^2+N504^2)</f>
      </c>
      <c r="Q504" s="7">
        <f>N504/$P504</f>
      </c>
      <c r="R504" s="7">
        <f>O504/$P504</f>
      </c>
      <c r="S504" s="7">
        <f>Q504^2+R504^2</f>
      </c>
      <c r="T504" s="7">
        <f>-R504</f>
      </c>
      <c r="U504" s="7">
        <f>Q504</f>
      </c>
      <c r="V504" s="7">
        <f>($C$14+($C$15-$C$14)/($D$15-$D$14)*(I504-$D$14))/2</f>
      </c>
      <c r="W504" s="7">
        <f>($B$22*I504^4+$C$22*I504^3+$D$22*I504^2+$E$22*I504+$F$22)/2</f>
      </c>
      <c r="X504" s="7">
        <f>($W504)*(T504)</f>
      </c>
      <c r="Y504" s="7">
        <f>($W504)*(U504)</f>
      </c>
      <c r="Z504" s="7">
        <f>SQRT(X504^2+Y504^2)</f>
      </c>
      <c r="AA504" s="7">
        <f>$K504+$X504</f>
      </c>
      <c r="AB504" s="7">
        <f>$L504+$Y504</f>
      </c>
      <c r="AC504" s="7">
        <f>$K504-$X504</f>
      </c>
      <c r="AD504" s="7">
        <f>$L504-$Y504</f>
      </c>
      <c r="AE504" s="7">
        <f>AA504/39.3701</f>
      </c>
      <c r="AF504" s="7">
        <f>AB504/39.3701</f>
      </c>
      <c r="AG504" s="7">
        <f>AC504/39.3701</f>
      </c>
      <c r="AH504" s="7">
        <f>AD504/39.3701</f>
      </c>
      <c r="AI504" s="1"/>
      <c r="AJ504" s="1"/>
      <c r="AK504" s="1"/>
      <c r="AL504" s="1"/>
      <c r="AM504" s="2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</row>
    <row x14ac:dyDescent="0.25" r="505" customHeight="1" ht="18.75">
      <c r="A505" s="1"/>
      <c r="B505" s="2"/>
      <c r="C505" s="2"/>
      <c r="D505" s="2"/>
      <c r="E505" s="2"/>
      <c r="F505" s="2"/>
      <c r="G505" s="1"/>
      <c r="H505" s="1"/>
      <c r="I505" s="7">
        <v>0.502</v>
      </c>
      <c r="J505" s="7">
        <f>IF((I505-ROUNDDOWN(I505,0))=0, 0, (I505-ROUNDDOWN(I505,0)))</f>
      </c>
      <c r="K505" s="7">
        <f>INDIRECT("C$"&amp;2+MIN(2,ROUNDDOWN(I505,0))*3)*(-$J505^3+3*$J505^2-3*$J505+1)+INDIRECT("C$"&amp;3+MIN(2,ROUNDDOWN(I505,0))*3)*(3*$J505^3-6*$J505^2+3*$J505)+INDIRECT("C$"&amp;4+MIN(2,ROUNDDOWN(I505,0))*3)*(-3*$J505^3+3*$J505^2)+INDIRECT("C$"&amp;5+MIN(2,ROUNDDOWN(I505,0))*3)*$J505^3</f>
      </c>
      <c r="L505" s="7">
        <f>INDIRECT("D$"&amp;2+MIN(2,ROUNDDOWN(I505,0))*3)*(-$J505^3+3*$J505^2-3*$J505+1)+INDIRECT("D$"&amp;3+MIN(2,ROUNDDOWN(I505,0))*3)*(3*$J505^3-6*$J505^2+3*$J505)+INDIRECT("D$"&amp;4+MIN(2,ROUNDDOWN(I505,0))*3)*(-3*$J505^3+3*$J505^2)+INDIRECT("D$"&amp;5+MIN(2,ROUNDDOWN(I505,0))*3)*$J505^3</f>
      </c>
      <c r="M505" s="7">
        <f>SQRT(K505^2+L505^2)</f>
      </c>
      <c r="N505" s="7">
        <f>(K506-K504)</f>
      </c>
      <c r="O505" s="7">
        <f>+(L506-L504)</f>
      </c>
      <c r="P505" s="7">
        <f>SQRT(O505^2+N505^2)</f>
      </c>
      <c r="Q505" s="7">
        <f>N505/$P505</f>
      </c>
      <c r="R505" s="7">
        <f>O505/$P505</f>
      </c>
      <c r="S505" s="8">
        <f>Q505^2+R505^2</f>
      </c>
      <c r="T505" s="7">
        <f>-R505</f>
      </c>
      <c r="U505" s="7">
        <f>Q505</f>
      </c>
      <c r="V505" s="7">
        <f>($C$14+($C$15-$C$14)/($D$15-$D$14)*(I505-$D$14))/2</f>
      </c>
      <c r="W505" s="7">
        <f>($B$22*I505^4+$C$22*I505^3+$D$22*I505^2+$E$22*I505+$F$22)/2</f>
      </c>
      <c r="X505" s="7">
        <f>($W505)*(T505)</f>
      </c>
      <c r="Y505" s="7">
        <f>($W505)*(U505)</f>
      </c>
      <c r="Z505" s="7">
        <f>SQRT(X505^2+Y505^2)</f>
      </c>
      <c r="AA505" s="7">
        <f>$K505+$X505</f>
      </c>
      <c r="AB505" s="7">
        <f>$L505+$Y505</f>
      </c>
      <c r="AC505" s="7">
        <f>$K505-$X505</f>
      </c>
      <c r="AD505" s="7">
        <f>$L505-$Y505</f>
      </c>
      <c r="AE505" s="7">
        <f>AA505/39.3701</f>
      </c>
      <c r="AF505" s="7">
        <f>AB505/39.3701</f>
      </c>
      <c r="AG505" s="7">
        <f>AC505/39.3701</f>
      </c>
      <c r="AH505" s="7">
        <f>AD505/39.3701</f>
      </c>
      <c r="AI505" s="1"/>
      <c r="AJ505" s="1"/>
      <c r="AK505" s="1"/>
      <c r="AL505" s="1"/>
      <c r="AM505" s="2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</row>
    <row x14ac:dyDescent="0.25" r="506" customHeight="1" ht="18.75">
      <c r="A506" s="1"/>
      <c r="B506" s="2"/>
      <c r="C506" s="2"/>
      <c r="D506" s="2"/>
      <c r="E506" s="2"/>
      <c r="F506" s="2"/>
      <c r="G506" s="1"/>
      <c r="H506" s="1"/>
      <c r="I506" s="7">
        <v>0.503</v>
      </c>
      <c r="J506" s="7">
        <f>IF((I506-ROUNDDOWN(I506,0))=0, 0, (I506-ROUNDDOWN(I506,0)))</f>
      </c>
      <c r="K506" s="7">
        <f>INDIRECT("C$"&amp;2+MIN(2,ROUNDDOWN(I506,0))*3)*(-$J506^3+3*$J506^2-3*$J506+1)+INDIRECT("C$"&amp;3+MIN(2,ROUNDDOWN(I506,0))*3)*(3*$J506^3-6*$J506^2+3*$J506)+INDIRECT("C$"&amp;4+MIN(2,ROUNDDOWN(I506,0))*3)*(-3*$J506^3+3*$J506^2)+INDIRECT("C$"&amp;5+MIN(2,ROUNDDOWN(I506,0))*3)*$J506^3</f>
      </c>
      <c r="L506" s="7">
        <f>INDIRECT("D$"&amp;2+MIN(2,ROUNDDOWN(I506,0))*3)*(-$J506^3+3*$J506^2-3*$J506+1)+INDIRECT("D$"&amp;3+MIN(2,ROUNDDOWN(I506,0))*3)*(3*$J506^3-6*$J506^2+3*$J506)+INDIRECT("D$"&amp;4+MIN(2,ROUNDDOWN(I506,0))*3)*(-3*$J506^3+3*$J506^2)+INDIRECT("D$"&amp;5+MIN(2,ROUNDDOWN(I506,0))*3)*$J506^3</f>
      </c>
      <c r="M506" s="7">
        <f>SQRT(K506^2+L506^2)</f>
      </c>
      <c r="N506" s="7">
        <f>(K507-K505)</f>
      </c>
      <c r="O506" s="7">
        <f>+(L507-L505)</f>
      </c>
      <c r="P506" s="7">
        <f>SQRT(O506^2+N506^2)</f>
      </c>
      <c r="Q506" s="7">
        <f>N506/$P506</f>
      </c>
      <c r="R506" s="7">
        <f>O506/$P506</f>
      </c>
      <c r="S506" s="8">
        <f>Q506^2+R506^2</f>
      </c>
      <c r="T506" s="7">
        <f>-R506</f>
      </c>
      <c r="U506" s="7">
        <f>Q506</f>
      </c>
      <c r="V506" s="7">
        <f>($C$14+($C$15-$C$14)/($D$15-$D$14)*(I506-$D$14))/2</f>
      </c>
      <c r="W506" s="7">
        <f>($B$22*I506^4+$C$22*I506^3+$D$22*I506^2+$E$22*I506+$F$22)/2</f>
      </c>
      <c r="X506" s="7">
        <f>($W506)*(T506)</f>
      </c>
      <c r="Y506" s="7">
        <f>($W506)*(U506)</f>
      </c>
      <c r="Z506" s="7">
        <f>SQRT(X506^2+Y506^2)</f>
      </c>
      <c r="AA506" s="7">
        <f>$K506+$X506</f>
      </c>
      <c r="AB506" s="7">
        <f>$L506+$Y506</f>
      </c>
      <c r="AC506" s="7">
        <f>$K506-$X506</f>
      </c>
      <c r="AD506" s="7">
        <f>$L506-$Y506</f>
      </c>
      <c r="AE506" s="7">
        <f>AA506/39.3701</f>
      </c>
      <c r="AF506" s="7">
        <f>AB506/39.3701</f>
      </c>
      <c r="AG506" s="7">
        <f>AC506/39.3701</f>
      </c>
      <c r="AH506" s="7">
        <f>AD506/39.3701</f>
      </c>
      <c r="AI506" s="1"/>
      <c r="AJ506" s="1"/>
      <c r="AK506" s="1"/>
      <c r="AL506" s="1"/>
      <c r="AM506" s="2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</row>
    <row x14ac:dyDescent="0.25" r="507" customHeight="1" ht="18.75">
      <c r="A507" s="1"/>
      <c r="B507" s="2"/>
      <c r="C507" s="2"/>
      <c r="D507" s="2"/>
      <c r="E507" s="2"/>
      <c r="F507" s="2"/>
      <c r="G507" s="1"/>
      <c r="H507" s="1"/>
      <c r="I507" s="7">
        <v>0.504</v>
      </c>
      <c r="J507" s="7">
        <f>IF((I507-ROUNDDOWN(I507,0))=0, 0, (I507-ROUNDDOWN(I507,0)))</f>
      </c>
      <c r="K507" s="7">
        <f>INDIRECT("C$"&amp;2+MIN(2,ROUNDDOWN(I507,0))*3)*(-$J507^3+3*$J507^2-3*$J507+1)+INDIRECT("C$"&amp;3+MIN(2,ROUNDDOWN(I507,0))*3)*(3*$J507^3-6*$J507^2+3*$J507)+INDIRECT("C$"&amp;4+MIN(2,ROUNDDOWN(I507,0))*3)*(-3*$J507^3+3*$J507^2)+INDIRECT("C$"&amp;5+MIN(2,ROUNDDOWN(I507,0))*3)*$J507^3</f>
      </c>
      <c r="L507" s="7">
        <f>INDIRECT("D$"&amp;2+MIN(2,ROUNDDOWN(I507,0))*3)*(-$J507^3+3*$J507^2-3*$J507+1)+INDIRECT("D$"&amp;3+MIN(2,ROUNDDOWN(I507,0))*3)*(3*$J507^3-6*$J507^2+3*$J507)+INDIRECT("D$"&amp;4+MIN(2,ROUNDDOWN(I507,0))*3)*(-3*$J507^3+3*$J507^2)+INDIRECT("D$"&amp;5+MIN(2,ROUNDDOWN(I507,0))*3)*$J507^3</f>
      </c>
      <c r="M507" s="7">
        <f>SQRT(K507^2+L507^2)</f>
      </c>
      <c r="N507" s="7">
        <f>(K508-K506)</f>
      </c>
      <c r="O507" s="7">
        <f>+(L508-L506)</f>
      </c>
      <c r="P507" s="7">
        <f>SQRT(O507^2+N507^2)</f>
      </c>
      <c r="Q507" s="7">
        <f>N507/$P507</f>
      </c>
      <c r="R507" s="7">
        <f>O507/$P507</f>
      </c>
      <c r="S507" s="8">
        <f>Q507^2+R507^2</f>
      </c>
      <c r="T507" s="7">
        <f>-R507</f>
      </c>
      <c r="U507" s="7">
        <f>Q507</f>
      </c>
      <c r="V507" s="7">
        <f>($C$14+($C$15-$C$14)/($D$15-$D$14)*(I507-$D$14))/2</f>
      </c>
      <c r="W507" s="7">
        <f>($B$22*I507^4+$C$22*I507^3+$D$22*I507^2+$E$22*I507+$F$22)/2</f>
      </c>
      <c r="X507" s="7">
        <f>($W507)*(T507)</f>
      </c>
      <c r="Y507" s="7">
        <f>($W507)*(U507)</f>
      </c>
      <c r="Z507" s="7">
        <f>SQRT(X507^2+Y507^2)</f>
      </c>
      <c r="AA507" s="7">
        <f>$K507+$X507</f>
      </c>
      <c r="AB507" s="7">
        <f>$L507+$Y507</f>
      </c>
      <c r="AC507" s="7">
        <f>$K507-$X507</f>
      </c>
      <c r="AD507" s="7">
        <f>$L507-$Y507</f>
      </c>
      <c r="AE507" s="7">
        <f>AA507/39.3701</f>
      </c>
      <c r="AF507" s="7">
        <f>AB507/39.3701</f>
      </c>
      <c r="AG507" s="7">
        <f>AC507/39.3701</f>
      </c>
      <c r="AH507" s="7">
        <f>AD507/39.3701</f>
      </c>
      <c r="AI507" s="1"/>
      <c r="AJ507" s="1"/>
      <c r="AK507" s="1"/>
      <c r="AL507" s="1"/>
      <c r="AM507" s="2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</row>
    <row x14ac:dyDescent="0.25" r="508" customHeight="1" ht="18.75">
      <c r="A508" s="1"/>
      <c r="B508" s="2"/>
      <c r="C508" s="2"/>
      <c r="D508" s="2"/>
      <c r="E508" s="2"/>
      <c r="F508" s="2"/>
      <c r="G508" s="1"/>
      <c r="H508" s="1"/>
      <c r="I508" s="7">
        <v>0.505</v>
      </c>
      <c r="J508" s="7">
        <f>IF((I508-ROUNDDOWN(I508,0))=0, 0, (I508-ROUNDDOWN(I508,0)))</f>
      </c>
      <c r="K508" s="7">
        <f>INDIRECT("C$"&amp;2+MIN(2,ROUNDDOWN(I508,0))*3)*(-$J508^3+3*$J508^2-3*$J508+1)+INDIRECT("C$"&amp;3+MIN(2,ROUNDDOWN(I508,0))*3)*(3*$J508^3-6*$J508^2+3*$J508)+INDIRECT("C$"&amp;4+MIN(2,ROUNDDOWN(I508,0))*3)*(-3*$J508^3+3*$J508^2)+INDIRECT("C$"&amp;5+MIN(2,ROUNDDOWN(I508,0))*3)*$J508^3</f>
      </c>
      <c r="L508" s="7">
        <f>INDIRECT("D$"&amp;2+MIN(2,ROUNDDOWN(I508,0))*3)*(-$J508^3+3*$J508^2-3*$J508+1)+INDIRECT("D$"&amp;3+MIN(2,ROUNDDOWN(I508,0))*3)*(3*$J508^3-6*$J508^2+3*$J508)+INDIRECT("D$"&amp;4+MIN(2,ROUNDDOWN(I508,0))*3)*(-3*$J508^3+3*$J508^2)+INDIRECT("D$"&amp;5+MIN(2,ROUNDDOWN(I508,0))*3)*$J508^3</f>
      </c>
      <c r="M508" s="7">
        <f>SQRT(K508^2+L508^2)</f>
      </c>
      <c r="N508" s="7">
        <f>(K509-K507)</f>
      </c>
      <c r="O508" s="7">
        <f>+(L509-L507)</f>
      </c>
      <c r="P508" s="7">
        <f>SQRT(O508^2+N508^2)</f>
      </c>
      <c r="Q508" s="7">
        <f>N508/$P508</f>
      </c>
      <c r="R508" s="7">
        <f>O508/$P508</f>
      </c>
      <c r="S508" s="8">
        <f>Q508^2+R508^2</f>
      </c>
      <c r="T508" s="7">
        <f>-R508</f>
      </c>
      <c r="U508" s="7">
        <f>Q508</f>
      </c>
      <c r="V508" s="7">
        <f>($C$14+($C$15-$C$14)/($D$15-$D$14)*(I508-$D$14))/2</f>
      </c>
      <c r="W508" s="7">
        <f>($B$22*I508^4+$C$22*I508^3+$D$22*I508^2+$E$22*I508+$F$22)/2</f>
      </c>
      <c r="X508" s="7">
        <f>($W508)*(T508)</f>
      </c>
      <c r="Y508" s="7">
        <f>($W508)*(U508)</f>
      </c>
      <c r="Z508" s="7">
        <f>SQRT(X508^2+Y508^2)</f>
      </c>
      <c r="AA508" s="7">
        <f>$K508+$X508</f>
      </c>
      <c r="AB508" s="7">
        <f>$L508+$Y508</f>
      </c>
      <c r="AC508" s="7">
        <f>$K508-$X508</f>
      </c>
      <c r="AD508" s="7">
        <f>$L508-$Y508</f>
      </c>
      <c r="AE508" s="7">
        <f>AA508/39.3701</f>
      </c>
      <c r="AF508" s="7">
        <f>AB508/39.3701</f>
      </c>
      <c r="AG508" s="7">
        <f>AC508/39.3701</f>
      </c>
      <c r="AH508" s="7">
        <f>AD508/39.3701</f>
      </c>
      <c r="AI508" s="1"/>
      <c r="AJ508" s="1"/>
      <c r="AK508" s="1"/>
      <c r="AL508" s="1"/>
      <c r="AM508" s="2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</row>
    <row x14ac:dyDescent="0.25" r="509" customHeight="1" ht="18.75">
      <c r="A509" s="1"/>
      <c r="B509" s="2"/>
      <c r="C509" s="2"/>
      <c r="D509" s="2"/>
      <c r="E509" s="2"/>
      <c r="F509" s="2"/>
      <c r="G509" s="1"/>
      <c r="H509" s="1"/>
      <c r="I509" s="7">
        <v>0.506</v>
      </c>
      <c r="J509" s="7">
        <f>IF((I509-ROUNDDOWN(I509,0))=0, 0, (I509-ROUNDDOWN(I509,0)))</f>
      </c>
      <c r="K509" s="7">
        <f>INDIRECT("C$"&amp;2+MIN(2,ROUNDDOWN(I509,0))*3)*(-$J509^3+3*$J509^2-3*$J509+1)+INDIRECT("C$"&amp;3+MIN(2,ROUNDDOWN(I509,0))*3)*(3*$J509^3-6*$J509^2+3*$J509)+INDIRECT("C$"&amp;4+MIN(2,ROUNDDOWN(I509,0))*3)*(-3*$J509^3+3*$J509^2)+INDIRECT("C$"&amp;5+MIN(2,ROUNDDOWN(I509,0))*3)*$J509^3</f>
      </c>
      <c r="L509" s="7">
        <f>INDIRECT("D$"&amp;2+MIN(2,ROUNDDOWN(I509,0))*3)*(-$J509^3+3*$J509^2-3*$J509+1)+INDIRECT("D$"&amp;3+MIN(2,ROUNDDOWN(I509,0))*3)*(3*$J509^3-6*$J509^2+3*$J509)+INDIRECT("D$"&amp;4+MIN(2,ROUNDDOWN(I509,0))*3)*(-3*$J509^3+3*$J509^2)+INDIRECT("D$"&amp;5+MIN(2,ROUNDDOWN(I509,0))*3)*$J509^3</f>
      </c>
      <c r="M509" s="7">
        <f>SQRT(K509^2+L509^2)</f>
      </c>
      <c r="N509" s="7">
        <f>(K510-K508)</f>
      </c>
      <c r="O509" s="7">
        <f>+(L510-L508)</f>
      </c>
      <c r="P509" s="7">
        <f>SQRT(O509^2+N509^2)</f>
      </c>
      <c r="Q509" s="7">
        <f>N509/$P509</f>
      </c>
      <c r="R509" s="7">
        <f>O509/$P509</f>
      </c>
      <c r="S509" s="7">
        <f>Q509^2+R509^2</f>
      </c>
      <c r="T509" s="7">
        <f>-R509</f>
      </c>
      <c r="U509" s="7">
        <f>Q509</f>
      </c>
      <c r="V509" s="7">
        <f>($C$14+($C$15-$C$14)/($D$15-$D$14)*(I509-$D$14))/2</f>
      </c>
      <c r="W509" s="7">
        <f>($B$22*I509^4+$C$22*I509^3+$D$22*I509^2+$E$22*I509+$F$22)/2</f>
      </c>
      <c r="X509" s="7">
        <f>($W509)*(T509)</f>
      </c>
      <c r="Y509" s="7">
        <f>($W509)*(U509)</f>
      </c>
      <c r="Z509" s="7">
        <f>SQRT(X509^2+Y509^2)</f>
      </c>
      <c r="AA509" s="7">
        <f>$K509+$X509</f>
      </c>
      <c r="AB509" s="7">
        <f>$L509+$Y509</f>
      </c>
      <c r="AC509" s="7">
        <f>$K509-$X509</f>
      </c>
      <c r="AD509" s="7">
        <f>$L509-$Y509</f>
      </c>
      <c r="AE509" s="7">
        <f>AA509/39.3701</f>
      </c>
      <c r="AF509" s="7">
        <f>AB509/39.3701</f>
      </c>
      <c r="AG509" s="7">
        <f>AC509/39.3701</f>
      </c>
      <c r="AH509" s="7">
        <f>AD509/39.3701</f>
      </c>
      <c r="AI509" s="1"/>
      <c r="AJ509" s="1"/>
      <c r="AK509" s="1"/>
      <c r="AL509" s="1"/>
      <c r="AM509" s="2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</row>
    <row x14ac:dyDescent="0.25" r="510" customHeight="1" ht="18.75">
      <c r="A510" s="1"/>
      <c r="B510" s="2"/>
      <c r="C510" s="2"/>
      <c r="D510" s="2"/>
      <c r="E510" s="2"/>
      <c r="F510" s="2"/>
      <c r="G510" s="1"/>
      <c r="H510" s="1"/>
      <c r="I510" s="7">
        <v>0.507</v>
      </c>
      <c r="J510" s="7">
        <f>IF((I510-ROUNDDOWN(I510,0))=0, 0, (I510-ROUNDDOWN(I510,0)))</f>
      </c>
      <c r="K510" s="7">
        <f>INDIRECT("C$"&amp;2+MIN(2,ROUNDDOWN(I510,0))*3)*(-$J510^3+3*$J510^2-3*$J510+1)+INDIRECT("C$"&amp;3+MIN(2,ROUNDDOWN(I510,0))*3)*(3*$J510^3-6*$J510^2+3*$J510)+INDIRECT("C$"&amp;4+MIN(2,ROUNDDOWN(I510,0))*3)*(-3*$J510^3+3*$J510^2)+INDIRECT("C$"&amp;5+MIN(2,ROUNDDOWN(I510,0))*3)*$J510^3</f>
      </c>
      <c r="L510" s="7">
        <f>INDIRECT("D$"&amp;2+MIN(2,ROUNDDOWN(I510,0))*3)*(-$J510^3+3*$J510^2-3*$J510+1)+INDIRECT("D$"&amp;3+MIN(2,ROUNDDOWN(I510,0))*3)*(3*$J510^3-6*$J510^2+3*$J510)+INDIRECT("D$"&amp;4+MIN(2,ROUNDDOWN(I510,0))*3)*(-3*$J510^3+3*$J510^2)+INDIRECT("D$"&amp;5+MIN(2,ROUNDDOWN(I510,0))*3)*$J510^3</f>
      </c>
      <c r="M510" s="7">
        <f>SQRT(K510^2+L510^2)</f>
      </c>
      <c r="N510" s="7">
        <f>(K511-K509)</f>
      </c>
      <c r="O510" s="7">
        <f>+(L511-L509)</f>
      </c>
      <c r="P510" s="7">
        <f>SQRT(O510^2+N510^2)</f>
      </c>
      <c r="Q510" s="7">
        <f>N510/$P510</f>
      </c>
      <c r="R510" s="7">
        <f>O510/$P510</f>
      </c>
      <c r="S510" s="7">
        <f>Q510^2+R510^2</f>
      </c>
      <c r="T510" s="7">
        <f>-R510</f>
      </c>
      <c r="U510" s="7">
        <f>Q510</f>
      </c>
      <c r="V510" s="7">
        <f>($C$14+($C$15-$C$14)/($D$15-$D$14)*(I510-$D$14))/2</f>
      </c>
      <c r="W510" s="7">
        <f>($B$22*I510^4+$C$22*I510^3+$D$22*I510^2+$E$22*I510+$F$22)/2</f>
      </c>
      <c r="X510" s="7">
        <f>($W510)*(T510)</f>
      </c>
      <c r="Y510" s="7">
        <f>($W510)*(U510)</f>
      </c>
      <c r="Z510" s="7">
        <f>SQRT(X510^2+Y510^2)</f>
      </c>
      <c r="AA510" s="7">
        <f>$K510+$X510</f>
      </c>
      <c r="AB510" s="7">
        <f>$L510+$Y510</f>
      </c>
      <c r="AC510" s="7">
        <f>$K510-$X510</f>
      </c>
      <c r="AD510" s="7">
        <f>$L510-$Y510</f>
      </c>
      <c r="AE510" s="7">
        <f>AA510/39.3701</f>
      </c>
      <c r="AF510" s="7">
        <f>AB510/39.3701</f>
      </c>
      <c r="AG510" s="7">
        <f>AC510/39.3701</f>
      </c>
      <c r="AH510" s="7">
        <f>AD510/39.3701</f>
      </c>
      <c r="AI510" s="1"/>
      <c r="AJ510" s="1"/>
      <c r="AK510" s="1"/>
      <c r="AL510" s="1"/>
      <c r="AM510" s="2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</row>
    <row x14ac:dyDescent="0.25" r="511" customHeight="1" ht="18.75">
      <c r="A511" s="1"/>
      <c r="B511" s="2"/>
      <c r="C511" s="2"/>
      <c r="D511" s="2"/>
      <c r="E511" s="2"/>
      <c r="F511" s="2"/>
      <c r="G511" s="1"/>
      <c r="H511" s="1"/>
      <c r="I511" s="7">
        <v>0.508</v>
      </c>
      <c r="J511" s="7">
        <f>IF((I511-ROUNDDOWN(I511,0))=0, 0, (I511-ROUNDDOWN(I511,0)))</f>
      </c>
      <c r="K511" s="7">
        <f>INDIRECT("C$"&amp;2+MIN(2,ROUNDDOWN(I511,0))*3)*(-$J511^3+3*$J511^2-3*$J511+1)+INDIRECT("C$"&amp;3+MIN(2,ROUNDDOWN(I511,0))*3)*(3*$J511^3-6*$J511^2+3*$J511)+INDIRECT("C$"&amp;4+MIN(2,ROUNDDOWN(I511,0))*3)*(-3*$J511^3+3*$J511^2)+INDIRECT("C$"&amp;5+MIN(2,ROUNDDOWN(I511,0))*3)*$J511^3</f>
      </c>
      <c r="L511" s="7">
        <f>INDIRECT("D$"&amp;2+MIN(2,ROUNDDOWN(I511,0))*3)*(-$J511^3+3*$J511^2-3*$J511+1)+INDIRECT("D$"&amp;3+MIN(2,ROUNDDOWN(I511,0))*3)*(3*$J511^3-6*$J511^2+3*$J511)+INDIRECT("D$"&amp;4+MIN(2,ROUNDDOWN(I511,0))*3)*(-3*$J511^3+3*$J511^2)+INDIRECT("D$"&amp;5+MIN(2,ROUNDDOWN(I511,0))*3)*$J511^3</f>
      </c>
      <c r="M511" s="7">
        <f>SQRT(K511^2+L511^2)</f>
      </c>
      <c r="N511" s="7">
        <f>(K512-K510)</f>
      </c>
      <c r="O511" s="7">
        <f>+(L512-L510)</f>
      </c>
      <c r="P511" s="7">
        <f>SQRT(O511^2+N511^2)</f>
      </c>
      <c r="Q511" s="7">
        <f>N511/$P511</f>
      </c>
      <c r="R511" s="7">
        <f>O511/$P511</f>
      </c>
      <c r="S511" s="8">
        <f>Q511^2+R511^2</f>
      </c>
      <c r="T511" s="7">
        <f>-R511</f>
      </c>
      <c r="U511" s="7">
        <f>Q511</f>
      </c>
      <c r="V511" s="7">
        <f>($C$14+($C$15-$C$14)/($D$15-$D$14)*(I511-$D$14))/2</f>
      </c>
      <c r="W511" s="7">
        <f>($B$22*I511^4+$C$22*I511^3+$D$22*I511^2+$E$22*I511+$F$22)/2</f>
      </c>
      <c r="X511" s="7">
        <f>($W511)*(T511)</f>
      </c>
      <c r="Y511" s="7">
        <f>($W511)*(U511)</f>
      </c>
      <c r="Z511" s="7">
        <f>SQRT(X511^2+Y511^2)</f>
      </c>
      <c r="AA511" s="7">
        <f>$K511+$X511</f>
      </c>
      <c r="AB511" s="7">
        <f>$L511+$Y511</f>
      </c>
      <c r="AC511" s="7">
        <f>$K511-$X511</f>
      </c>
      <c r="AD511" s="7">
        <f>$L511-$Y511</f>
      </c>
      <c r="AE511" s="7">
        <f>AA511/39.3701</f>
      </c>
      <c r="AF511" s="7">
        <f>AB511/39.3701</f>
      </c>
      <c r="AG511" s="7">
        <f>AC511/39.3701</f>
      </c>
      <c r="AH511" s="7">
        <f>AD511/39.3701</f>
      </c>
      <c r="AI511" s="1"/>
      <c r="AJ511" s="1"/>
      <c r="AK511" s="1"/>
      <c r="AL511" s="1"/>
      <c r="AM511" s="2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</row>
    <row x14ac:dyDescent="0.25" r="512" customHeight="1" ht="18.75">
      <c r="A512" s="1"/>
      <c r="B512" s="2"/>
      <c r="C512" s="2"/>
      <c r="D512" s="2"/>
      <c r="E512" s="2"/>
      <c r="F512" s="2"/>
      <c r="G512" s="1"/>
      <c r="H512" s="1"/>
      <c r="I512" s="7">
        <v>0.509</v>
      </c>
      <c r="J512" s="7">
        <f>IF((I512-ROUNDDOWN(I512,0))=0, 0, (I512-ROUNDDOWN(I512,0)))</f>
      </c>
      <c r="K512" s="7">
        <f>INDIRECT("C$"&amp;2+MIN(2,ROUNDDOWN(I512,0))*3)*(-$J512^3+3*$J512^2-3*$J512+1)+INDIRECT("C$"&amp;3+MIN(2,ROUNDDOWN(I512,0))*3)*(3*$J512^3-6*$J512^2+3*$J512)+INDIRECT("C$"&amp;4+MIN(2,ROUNDDOWN(I512,0))*3)*(-3*$J512^3+3*$J512^2)+INDIRECT("C$"&amp;5+MIN(2,ROUNDDOWN(I512,0))*3)*$J512^3</f>
      </c>
      <c r="L512" s="7">
        <f>INDIRECT("D$"&amp;2+MIN(2,ROUNDDOWN(I512,0))*3)*(-$J512^3+3*$J512^2-3*$J512+1)+INDIRECT("D$"&amp;3+MIN(2,ROUNDDOWN(I512,0))*3)*(3*$J512^3-6*$J512^2+3*$J512)+INDIRECT("D$"&amp;4+MIN(2,ROUNDDOWN(I512,0))*3)*(-3*$J512^3+3*$J512^2)+INDIRECT("D$"&amp;5+MIN(2,ROUNDDOWN(I512,0))*3)*$J512^3</f>
      </c>
      <c r="M512" s="7">
        <f>SQRT(K512^2+L512^2)</f>
      </c>
      <c r="N512" s="7">
        <f>(K513-K511)</f>
      </c>
      <c r="O512" s="7">
        <f>+(L513-L511)</f>
      </c>
      <c r="P512" s="7">
        <f>SQRT(O512^2+N512^2)</f>
      </c>
      <c r="Q512" s="7">
        <f>N512/$P512</f>
      </c>
      <c r="R512" s="7">
        <f>O512/$P512</f>
      </c>
      <c r="S512" s="8">
        <f>Q512^2+R512^2</f>
      </c>
      <c r="T512" s="7">
        <f>-R512</f>
      </c>
      <c r="U512" s="7">
        <f>Q512</f>
      </c>
      <c r="V512" s="7">
        <f>($C$14+($C$15-$C$14)/($D$15-$D$14)*(I512-$D$14))/2</f>
      </c>
      <c r="W512" s="7">
        <f>($B$22*I512^4+$C$22*I512^3+$D$22*I512^2+$E$22*I512+$F$22)/2</f>
      </c>
      <c r="X512" s="7">
        <f>($W512)*(T512)</f>
      </c>
      <c r="Y512" s="7">
        <f>($W512)*(U512)</f>
      </c>
      <c r="Z512" s="7">
        <f>SQRT(X512^2+Y512^2)</f>
      </c>
      <c r="AA512" s="7">
        <f>$K512+$X512</f>
      </c>
      <c r="AB512" s="7">
        <f>$L512+$Y512</f>
      </c>
      <c r="AC512" s="7">
        <f>$K512-$X512</f>
      </c>
      <c r="AD512" s="7">
        <f>$L512-$Y512</f>
      </c>
      <c r="AE512" s="7">
        <f>AA512/39.3701</f>
      </c>
      <c r="AF512" s="7">
        <f>AB512/39.3701</f>
      </c>
      <c r="AG512" s="7">
        <f>AC512/39.3701</f>
      </c>
      <c r="AH512" s="7">
        <f>AD512/39.3701</f>
      </c>
      <c r="AI512" s="1"/>
      <c r="AJ512" s="1"/>
      <c r="AK512" s="1"/>
      <c r="AL512" s="1"/>
      <c r="AM512" s="2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</row>
    <row x14ac:dyDescent="0.25" r="513" customHeight="1" ht="18.75">
      <c r="A513" s="1"/>
      <c r="B513" s="2"/>
      <c r="C513" s="2"/>
      <c r="D513" s="2"/>
      <c r="E513" s="2"/>
      <c r="F513" s="2"/>
      <c r="G513" s="1"/>
      <c r="H513" s="1"/>
      <c r="I513" s="7">
        <v>0.51</v>
      </c>
      <c r="J513" s="7">
        <f>IF((I513-ROUNDDOWN(I513,0))=0, 0, (I513-ROUNDDOWN(I513,0)))</f>
      </c>
      <c r="K513" s="7">
        <f>INDIRECT("C$"&amp;2+MIN(2,ROUNDDOWN(I513,0))*3)*(-$J513^3+3*$J513^2-3*$J513+1)+INDIRECT("C$"&amp;3+MIN(2,ROUNDDOWN(I513,0))*3)*(3*$J513^3-6*$J513^2+3*$J513)+INDIRECT("C$"&amp;4+MIN(2,ROUNDDOWN(I513,0))*3)*(-3*$J513^3+3*$J513^2)+INDIRECT("C$"&amp;5+MIN(2,ROUNDDOWN(I513,0))*3)*$J513^3</f>
      </c>
      <c r="L513" s="7">
        <f>INDIRECT("D$"&amp;2+MIN(2,ROUNDDOWN(I513,0))*3)*(-$J513^3+3*$J513^2-3*$J513+1)+INDIRECT("D$"&amp;3+MIN(2,ROUNDDOWN(I513,0))*3)*(3*$J513^3-6*$J513^2+3*$J513)+INDIRECT("D$"&amp;4+MIN(2,ROUNDDOWN(I513,0))*3)*(-3*$J513^3+3*$J513^2)+INDIRECT("D$"&amp;5+MIN(2,ROUNDDOWN(I513,0))*3)*$J513^3</f>
      </c>
      <c r="M513" s="7">
        <f>SQRT(K513^2+L513^2)</f>
      </c>
      <c r="N513" s="7">
        <f>(K514-K512)</f>
      </c>
      <c r="O513" s="7">
        <f>+(L514-L512)</f>
      </c>
      <c r="P513" s="7">
        <f>SQRT(O513^2+N513^2)</f>
      </c>
      <c r="Q513" s="7">
        <f>N513/$P513</f>
      </c>
      <c r="R513" s="7">
        <f>O513/$P513</f>
      </c>
      <c r="S513" s="8">
        <f>Q513^2+R513^2</f>
      </c>
      <c r="T513" s="7">
        <f>-R513</f>
      </c>
      <c r="U513" s="7">
        <f>Q513</f>
      </c>
      <c r="V513" s="7">
        <f>($C$14+($C$15-$C$14)/($D$15-$D$14)*(I513-$D$14))/2</f>
      </c>
      <c r="W513" s="7">
        <f>($B$22*I513^4+$C$22*I513^3+$D$22*I513^2+$E$22*I513+$F$22)/2</f>
      </c>
      <c r="X513" s="7">
        <f>($W513)*(T513)</f>
      </c>
      <c r="Y513" s="7">
        <f>($W513)*(U513)</f>
      </c>
      <c r="Z513" s="7">
        <f>SQRT(X513^2+Y513^2)</f>
      </c>
      <c r="AA513" s="7">
        <f>$K513+$X513</f>
      </c>
      <c r="AB513" s="7">
        <f>$L513+$Y513</f>
      </c>
      <c r="AC513" s="7">
        <f>$K513-$X513</f>
      </c>
      <c r="AD513" s="7">
        <f>$L513-$Y513</f>
      </c>
      <c r="AE513" s="7">
        <f>AA513/39.3701</f>
      </c>
      <c r="AF513" s="7">
        <f>AB513/39.3701</f>
      </c>
      <c r="AG513" s="7">
        <f>AC513/39.3701</f>
      </c>
      <c r="AH513" s="7">
        <f>AD513/39.3701</f>
      </c>
      <c r="AI513" s="1"/>
      <c r="AJ513" s="1"/>
      <c r="AK513" s="1"/>
      <c r="AL513" s="1"/>
      <c r="AM513" s="2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</row>
    <row x14ac:dyDescent="0.25" r="514" customHeight="1" ht="18.75">
      <c r="A514" s="1"/>
      <c r="B514" s="2"/>
      <c r="C514" s="2"/>
      <c r="D514" s="2"/>
      <c r="E514" s="2"/>
      <c r="F514" s="2"/>
      <c r="G514" s="1"/>
      <c r="H514" s="1"/>
      <c r="I514" s="7">
        <v>0.511</v>
      </c>
      <c r="J514" s="7">
        <f>IF((I514-ROUNDDOWN(I514,0))=0, 0, (I514-ROUNDDOWN(I514,0)))</f>
      </c>
      <c r="K514" s="7">
        <f>INDIRECT("C$"&amp;2+MIN(2,ROUNDDOWN(I514,0))*3)*(-$J514^3+3*$J514^2-3*$J514+1)+INDIRECT("C$"&amp;3+MIN(2,ROUNDDOWN(I514,0))*3)*(3*$J514^3-6*$J514^2+3*$J514)+INDIRECT("C$"&amp;4+MIN(2,ROUNDDOWN(I514,0))*3)*(-3*$J514^3+3*$J514^2)+INDIRECT("C$"&amp;5+MIN(2,ROUNDDOWN(I514,0))*3)*$J514^3</f>
      </c>
      <c r="L514" s="7">
        <f>INDIRECT("D$"&amp;2+MIN(2,ROUNDDOWN(I514,0))*3)*(-$J514^3+3*$J514^2-3*$J514+1)+INDIRECT("D$"&amp;3+MIN(2,ROUNDDOWN(I514,0))*3)*(3*$J514^3-6*$J514^2+3*$J514)+INDIRECT("D$"&amp;4+MIN(2,ROUNDDOWN(I514,0))*3)*(-3*$J514^3+3*$J514^2)+INDIRECT("D$"&amp;5+MIN(2,ROUNDDOWN(I514,0))*3)*$J514^3</f>
      </c>
      <c r="M514" s="7">
        <f>SQRT(K514^2+L514^2)</f>
      </c>
      <c r="N514" s="7">
        <f>(K515-K513)</f>
      </c>
      <c r="O514" s="7">
        <f>+(L515-L513)</f>
      </c>
      <c r="P514" s="7">
        <f>SQRT(O514^2+N514^2)</f>
      </c>
      <c r="Q514" s="7">
        <f>N514/$P514</f>
      </c>
      <c r="R514" s="7">
        <f>O514/$P514</f>
      </c>
      <c r="S514" s="7">
        <f>Q514^2+R514^2</f>
      </c>
      <c r="T514" s="7">
        <f>-R514</f>
      </c>
      <c r="U514" s="7">
        <f>Q514</f>
      </c>
      <c r="V514" s="7">
        <f>($C$14+($C$15-$C$14)/($D$15-$D$14)*(I514-$D$14))/2</f>
      </c>
      <c r="W514" s="7">
        <f>($B$22*I514^4+$C$22*I514^3+$D$22*I514^2+$E$22*I514+$F$22)/2</f>
      </c>
      <c r="X514" s="7">
        <f>($W514)*(T514)</f>
      </c>
      <c r="Y514" s="7">
        <f>($W514)*(U514)</f>
      </c>
      <c r="Z514" s="7">
        <f>SQRT(X514^2+Y514^2)</f>
      </c>
      <c r="AA514" s="7">
        <f>$K514+$X514</f>
      </c>
      <c r="AB514" s="7">
        <f>$L514+$Y514</f>
      </c>
      <c r="AC514" s="7">
        <f>$K514-$X514</f>
      </c>
      <c r="AD514" s="7">
        <f>$L514-$Y514</f>
      </c>
      <c r="AE514" s="7">
        <f>AA514/39.3701</f>
      </c>
      <c r="AF514" s="7">
        <f>AB514/39.3701</f>
      </c>
      <c r="AG514" s="7">
        <f>AC514/39.3701</f>
      </c>
      <c r="AH514" s="7">
        <f>AD514/39.3701</f>
      </c>
      <c r="AI514" s="1"/>
      <c r="AJ514" s="1"/>
      <c r="AK514" s="1"/>
      <c r="AL514" s="1"/>
      <c r="AM514" s="2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</row>
    <row x14ac:dyDescent="0.25" r="515" customHeight="1" ht="18.75">
      <c r="A515" s="1"/>
      <c r="B515" s="2"/>
      <c r="C515" s="2"/>
      <c r="D515" s="2"/>
      <c r="E515" s="2"/>
      <c r="F515" s="2"/>
      <c r="G515" s="1"/>
      <c r="H515" s="1"/>
      <c r="I515" s="7">
        <v>0.512</v>
      </c>
      <c r="J515" s="7">
        <f>IF((I515-ROUNDDOWN(I515,0))=0, 0, (I515-ROUNDDOWN(I515,0)))</f>
      </c>
      <c r="K515" s="7">
        <f>INDIRECT("C$"&amp;2+MIN(2,ROUNDDOWN(I515,0))*3)*(-$J515^3+3*$J515^2-3*$J515+1)+INDIRECT("C$"&amp;3+MIN(2,ROUNDDOWN(I515,0))*3)*(3*$J515^3-6*$J515^2+3*$J515)+INDIRECT("C$"&amp;4+MIN(2,ROUNDDOWN(I515,0))*3)*(-3*$J515^3+3*$J515^2)+INDIRECT("C$"&amp;5+MIN(2,ROUNDDOWN(I515,0))*3)*$J515^3</f>
      </c>
      <c r="L515" s="7">
        <f>INDIRECT("D$"&amp;2+MIN(2,ROUNDDOWN(I515,0))*3)*(-$J515^3+3*$J515^2-3*$J515+1)+INDIRECT("D$"&amp;3+MIN(2,ROUNDDOWN(I515,0))*3)*(3*$J515^3-6*$J515^2+3*$J515)+INDIRECT("D$"&amp;4+MIN(2,ROUNDDOWN(I515,0))*3)*(-3*$J515^3+3*$J515^2)+INDIRECT("D$"&amp;5+MIN(2,ROUNDDOWN(I515,0))*3)*$J515^3</f>
      </c>
      <c r="M515" s="7">
        <f>SQRT(K515^2+L515^2)</f>
      </c>
      <c r="N515" s="7">
        <f>(K516-K514)</f>
      </c>
      <c r="O515" s="7">
        <f>+(L516-L514)</f>
      </c>
      <c r="P515" s="7">
        <f>SQRT(O515^2+N515^2)</f>
      </c>
      <c r="Q515" s="7">
        <f>N515/$P515</f>
      </c>
      <c r="R515" s="7">
        <f>O515/$P515</f>
      </c>
      <c r="S515" s="8">
        <f>Q515^2+R515^2</f>
      </c>
      <c r="T515" s="7">
        <f>-R515</f>
      </c>
      <c r="U515" s="7">
        <f>Q515</f>
      </c>
      <c r="V515" s="7">
        <f>($C$14+($C$15-$C$14)/($D$15-$D$14)*(I515-$D$14))/2</f>
      </c>
      <c r="W515" s="7">
        <f>($B$22*I515^4+$C$22*I515^3+$D$22*I515^2+$E$22*I515+$F$22)/2</f>
      </c>
      <c r="X515" s="7">
        <f>($W515)*(T515)</f>
      </c>
      <c r="Y515" s="7">
        <f>($W515)*(U515)</f>
      </c>
      <c r="Z515" s="7">
        <f>SQRT(X515^2+Y515^2)</f>
      </c>
      <c r="AA515" s="7">
        <f>$K515+$X515</f>
      </c>
      <c r="AB515" s="7">
        <f>$L515+$Y515</f>
      </c>
      <c r="AC515" s="7">
        <f>$K515-$X515</f>
      </c>
      <c r="AD515" s="7">
        <f>$L515-$Y515</f>
      </c>
      <c r="AE515" s="7">
        <f>AA515/39.3701</f>
      </c>
      <c r="AF515" s="7">
        <f>AB515/39.3701</f>
      </c>
      <c r="AG515" s="7">
        <f>AC515/39.3701</f>
      </c>
      <c r="AH515" s="7">
        <f>AD515/39.3701</f>
      </c>
      <c r="AI515" s="1"/>
      <c r="AJ515" s="1"/>
      <c r="AK515" s="1"/>
      <c r="AL515" s="1"/>
      <c r="AM515" s="2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</row>
    <row x14ac:dyDescent="0.25" r="516" customHeight="1" ht="18.75">
      <c r="A516" s="1"/>
      <c r="B516" s="2"/>
      <c r="C516" s="2"/>
      <c r="D516" s="2"/>
      <c r="E516" s="2"/>
      <c r="F516" s="2"/>
      <c r="G516" s="1"/>
      <c r="H516" s="1"/>
      <c r="I516" s="7">
        <v>0.513</v>
      </c>
      <c r="J516" s="7">
        <f>IF((I516-ROUNDDOWN(I516,0))=0, 0, (I516-ROUNDDOWN(I516,0)))</f>
      </c>
      <c r="K516" s="7">
        <f>INDIRECT("C$"&amp;2+MIN(2,ROUNDDOWN(I516,0))*3)*(-$J516^3+3*$J516^2-3*$J516+1)+INDIRECT("C$"&amp;3+MIN(2,ROUNDDOWN(I516,0))*3)*(3*$J516^3-6*$J516^2+3*$J516)+INDIRECT("C$"&amp;4+MIN(2,ROUNDDOWN(I516,0))*3)*(-3*$J516^3+3*$J516^2)+INDIRECT("C$"&amp;5+MIN(2,ROUNDDOWN(I516,0))*3)*$J516^3</f>
      </c>
      <c r="L516" s="7">
        <f>INDIRECT("D$"&amp;2+MIN(2,ROUNDDOWN(I516,0))*3)*(-$J516^3+3*$J516^2-3*$J516+1)+INDIRECT("D$"&amp;3+MIN(2,ROUNDDOWN(I516,0))*3)*(3*$J516^3-6*$J516^2+3*$J516)+INDIRECT("D$"&amp;4+MIN(2,ROUNDDOWN(I516,0))*3)*(-3*$J516^3+3*$J516^2)+INDIRECT("D$"&amp;5+MIN(2,ROUNDDOWN(I516,0))*3)*$J516^3</f>
      </c>
      <c r="M516" s="7">
        <f>SQRT(K516^2+L516^2)</f>
      </c>
      <c r="N516" s="7">
        <f>(K517-K515)</f>
      </c>
      <c r="O516" s="7">
        <f>+(L517-L515)</f>
      </c>
      <c r="P516" s="7">
        <f>SQRT(O516^2+N516^2)</f>
      </c>
      <c r="Q516" s="7">
        <f>N516/$P516</f>
      </c>
      <c r="R516" s="7">
        <f>O516/$P516</f>
      </c>
      <c r="S516" s="8">
        <f>Q516^2+R516^2</f>
      </c>
      <c r="T516" s="7">
        <f>-R516</f>
      </c>
      <c r="U516" s="7">
        <f>Q516</f>
      </c>
      <c r="V516" s="7">
        <f>($C$14+($C$15-$C$14)/($D$15-$D$14)*(I516-$D$14))/2</f>
      </c>
      <c r="W516" s="7">
        <f>($B$22*I516^4+$C$22*I516^3+$D$22*I516^2+$E$22*I516+$F$22)/2</f>
      </c>
      <c r="X516" s="7">
        <f>($W516)*(T516)</f>
      </c>
      <c r="Y516" s="7">
        <f>($W516)*(U516)</f>
      </c>
      <c r="Z516" s="7">
        <f>SQRT(X516^2+Y516^2)</f>
      </c>
      <c r="AA516" s="7">
        <f>$K516+$X516</f>
      </c>
      <c r="AB516" s="7">
        <f>$L516+$Y516</f>
      </c>
      <c r="AC516" s="7">
        <f>$K516-$X516</f>
      </c>
      <c r="AD516" s="7">
        <f>$L516-$Y516</f>
      </c>
      <c r="AE516" s="7">
        <f>AA516/39.3701</f>
      </c>
      <c r="AF516" s="7">
        <f>AB516/39.3701</f>
      </c>
      <c r="AG516" s="7">
        <f>AC516/39.3701</f>
      </c>
      <c r="AH516" s="7">
        <f>AD516/39.3701</f>
      </c>
      <c r="AI516" s="1"/>
      <c r="AJ516" s="1"/>
      <c r="AK516" s="1"/>
      <c r="AL516" s="1"/>
      <c r="AM516" s="2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</row>
    <row x14ac:dyDescent="0.25" r="517" customHeight="1" ht="18.75">
      <c r="A517" s="1"/>
      <c r="B517" s="2"/>
      <c r="C517" s="2"/>
      <c r="D517" s="2"/>
      <c r="E517" s="2"/>
      <c r="F517" s="2"/>
      <c r="G517" s="1"/>
      <c r="H517" s="1"/>
      <c r="I517" s="7">
        <v>0.514</v>
      </c>
      <c r="J517" s="7">
        <f>IF((I517-ROUNDDOWN(I517,0))=0, 0, (I517-ROUNDDOWN(I517,0)))</f>
      </c>
      <c r="K517" s="7">
        <f>INDIRECT("C$"&amp;2+MIN(2,ROUNDDOWN(I517,0))*3)*(-$J517^3+3*$J517^2-3*$J517+1)+INDIRECT("C$"&amp;3+MIN(2,ROUNDDOWN(I517,0))*3)*(3*$J517^3-6*$J517^2+3*$J517)+INDIRECT("C$"&amp;4+MIN(2,ROUNDDOWN(I517,0))*3)*(-3*$J517^3+3*$J517^2)+INDIRECT("C$"&amp;5+MIN(2,ROUNDDOWN(I517,0))*3)*$J517^3</f>
      </c>
      <c r="L517" s="7">
        <f>INDIRECT("D$"&amp;2+MIN(2,ROUNDDOWN(I517,0))*3)*(-$J517^3+3*$J517^2-3*$J517+1)+INDIRECT("D$"&amp;3+MIN(2,ROUNDDOWN(I517,0))*3)*(3*$J517^3-6*$J517^2+3*$J517)+INDIRECT("D$"&amp;4+MIN(2,ROUNDDOWN(I517,0))*3)*(-3*$J517^3+3*$J517^2)+INDIRECT("D$"&amp;5+MIN(2,ROUNDDOWN(I517,0))*3)*$J517^3</f>
      </c>
      <c r="M517" s="7">
        <f>SQRT(K517^2+L517^2)</f>
      </c>
      <c r="N517" s="7">
        <f>(K518-K516)</f>
      </c>
      <c r="O517" s="7">
        <f>+(L518-L516)</f>
      </c>
      <c r="P517" s="7">
        <f>SQRT(O517^2+N517^2)</f>
      </c>
      <c r="Q517" s="7">
        <f>N517/$P517</f>
      </c>
      <c r="R517" s="7">
        <f>O517/$P517</f>
      </c>
      <c r="S517" s="8">
        <f>Q517^2+R517^2</f>
      </c>
      <c r="T517" s="7">
        <f>-R517</f>
      </c>
      <c r="U517" s="7">
        <f>Q517</f>
      </c>
      <c r="V517" s="7">
        <f>($C$14+($C$15-$C$14)/($D$15-$D$14)*(I517-$D$14))/2</f>
      </c>
      <c r="W517" s="7">
        <f>($B$22*I517^4+$C$22*I517^3+$D$22*I517^2+$E$22*I517+$F$22)/2</f>
      </c>
      <c r="X517" s="7">
        <f>($W517)*(T517)</f>
      </c>
      <c r="Y517" s="7">
        <f>($W517)*(U517)</f>
      </c>
      <c r="Z517" s="7">
        <f>SQRT(X517^2+Y517^2)</f>
      </c>
      <c r="AA517" s="7">
        <f>$K517+$X517</f>
      </c>
      <c r="AB517" s="7">
        <f>$L517+$Y517</f>
      </c>
      <c r="AC517" s="7">
        <f>$K517-$X517</f>
      </c>
      <c r="AD517" s="7">
        <f>$L517-$Y517</f>
      </c>
      <c r="AE517" s="7">
        <f>AA517/39.3701</f>
      </c>
      <c r="AF517" s="7">
        <f>AB517/39.3701</f>
      </c>
      <c r="AG517" s="7">
        <f>AC517/39.3701</f>
      </c>
      <c r="AH517" s="7">
        <f>AD517/39.3701</f>
      </c>
      <c r="AI517" s="1"/>
      <c r="AJ517" s="1"/>
      <c r="AK517" s="1"/>
      <c r="AL517" s="1"/>
      <c r="AM517" s="2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</row>
    <row x14ac:dyDescent="0.25" r="518" customHeight="1" ht="18.75">
      <c r="A518" s="1"/>
      <c r="B518" s="2"/>
      <c r="C518" s="2"/>
      <c r="D518" s="2"/>
      <c r="E518" s="2"/>
      <c r="F518" s="2"/>
      <c r="G518" s="1"/>
      <c r="H518" s="1"/>
      <c r="I518" s="7">
        <v>0.515</v>
      </c>
      <c r="J518" s="7">
        <f>IF((I518-ROUNDDOWN(I518,0))=0, 0, (I518-ROUNDDOWN(I518,0)))</f>
      </c>
      <c r="K518" s="7">
        <f>INDIRECT("C$"&amp;2+MIN(2,ROUNDDOWN(I518,0))*3)*(-$J518^3+3*$J518^2-3*$J518+1)+INDIRECT("C$"&amp;3+MIN(2,ROUNDDOWN(I518,0))*3)*(3*$J518^3-6*$J518^2+3*$J518)+INDIRECT("C$"&amp;4+MIN(2,ROUNDDOWN(I518,0))*3)*(-3*$J518^3+3*$J518^2)+INDIRECT("C$"&amp;5+MIN(2,ROUNDDOWN(I518,0))*3)*$J518^3</f>
      </c>
      <c r="L518" s="7">
        <f>INDIRECT("D$"&amp;2+MIN(2,ROUNDDOWN(I518,0))*3)*(-$J518^3+3*$J518^2-3*$J518+1)+INDIRECT("D$"&amp;3+MIN(2,ROUNDDOWN(I518,0))*3)*(3*$J518^3-6*$J518^2+3*$J518)+INDIRECT("D$"&amp;4+MIN(2,ROUNDDOWN(I518,0))*3)*(-3*$J518^3+3*$J518^2)+INDIRECT("D$"&amp;5+MIN(2,ROUNDDOWN(I518,0))*3)*$J518^3</f>
      </c>
      <c r="M518" s="7">
        <f>SQRT(K518^2+L518^2)</f>
      </c>
      <c r="N518" s="7">
        <f>(K519-K517)</f>
      </c>
      <c r="O518" s="7">
        <f>+(L519-L517)</f>
      </c>
      <c r="P518" s="7">
        <f>SQRT(O518^2+N518^2)</f>
      </c>
      <c r="Q518" s="7">
        <f>N518/$P518</f>
      </c>
      <c r="R518" s="7">
        <f>O518/$P518</f>
      </c>
      <c r="S518" s="7">
        <f>Q518^2+R518^2</f>
      </c>
      <c r="T518" s="7">
        <f>-R518</f>
      </c>
      <c r="U518" s="7">
        <f>Q518</f>
      </c>
      <c r="V518" s="7">
        <f>($C$14+($C$15-$C$14)/($D$15-$D$14)*(I518-$D$14))/2</f>
      </c>
      <c r="W518" s="7">
        <f>($B$22*I518^4+$C$22*I518^3+$D$22*I518^2+$E$22*I518+$F$22)/2</f>
      </c>
      <c r="X518" s="7">
        <f>($W518)*(T518)</f>
      </c>
      <c r="Y518" s="7">
        <f>($W518)*(U518)</f>
      </c>
      <c r="Z518" s="7">
        <f>SQRT(X518^2+Y518^2)</f>
      </c>
      <c r="AA518" s="7">
        <f>$K518+$X518</f>
      </c>
      <c r="AB518" s="7">
        <f>$L518+$Y518</f>
      </c>
      <c r="AC518" s="7">
        <f>$K518-$X518</f>
      </c>
      <c r="AD518" s="7">
        <f>$L518-$Y518</f>
      </c>
      <c r="AE518" s="7">
        <f>AA518/39.3701</f>
      </c>
      <c r="AF518" s="7">
        <f>AB518/39.3701</f>
      </c>
      <c r="AG518" s="7">
        <f>AC518/39.3701</f>
      </c>
      <c r="AH518" s="7">
        <f>AD518/39.3701</f>
      </c>
      <c r="AI518" s="1"/>
      <c r="AJ518" s="1"/>
      <c r="AK518" s="1"/>
      <c r="AL518" s="1"/>
      <c r="AM518" s="2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</row>
    <row x14ac:dyDescent="0.25" r="519" customHeight="1" ht="18.75">
      <c r="A519" s="1"/>
      <c r="B519" s="2"/>
      <c r="C519" s="2"/>
      <c r="D519" s="2"/>
      <c r="E519" s="2"/>
      <c r="F519" s="2"/>
      <c r="G519" s="1"/>
      <c r="H519" s="1"/>
      <c r="I519" s="7">
        <v>0.516</v>
      </c>
      <c r="J519" s="7">
        <f>IF((I519-ROUNDDOWN(I519,0))=0, 0, (I519-ROUNDDOWN(I519,0)))</f>
      </c>
      <c r="K519" s="7">
        <f>INDIRECT("C$"&amp;2+MIN(2,ROUNDDOWN(I519,0))*3)*(-$J519^3+3*$J519^2-3*$J519+1)+INDIRECT("C$"&amp;3+MIN(2,ROUNDDOWN(I519,0))*3)*(3*$J519^3-6*$J519^2+3*$J519)+INDIRECT("C$"&amp;4+MIN(2,ROUNDDOWN(I519,0))*3)*(-3*$J519^3+3*$J519^2)+INDIRECT("C$"&amp;5+MIN(2,ROUNDDOWN(I519,0))*3)*$J519^3</f>
      </c>
      <c r="L519" s="7">
        <f>INDIRECT("D$"&amp;2+MIN(2,ROUNDDOWN(I519,0))*3)*(-$J519^3+3*$J519^2-3*$J519+1)+INDIRECT("D$"&amp;3+MIN(2,ROUNDDOWN(I519,0))*3)*(3*$J519^3-6*$J519^2+3*$J519)+INDIRECT("D$"&amp;4+MIN(2,ROUNDDOWN(I519,0))*3)*(-3*$J519^3+3*$J519^2)+INDIRECT("D$"&amp;5+MIN(2,ROUNDDOWN(I519,0))*3)*$J519^3</f>
      </c>
      <c r="M519" s="7">
        <f>SQRT(K519^2+L519^2)</f>
      </c>
      <c r="N519" s="7">
        <f>(K520-K518)</f>
      </c>
      <c r="O519" s="7">
        <f>+(L520-L518)</f>
      </c>
      <c r="P519" s="7">
        <f>SQRT(O519^2+N519^2)</f>
      </c>
      <c r="Q519" s="7">
        <f>N519/$P519</f>
      </c>
      <c r="R519" s="7">
        <f>O519/$P519</f>
      </c>
      <c r="S519" s="7">
        <f>Q519^2+R519^2</f>
      </c>
      <c r="T519" s="7">
        <f>-R519</f>
      </c>
      <c r="U519" s="7">
        <f>Q519</f>
      </c>
      <c r="V519" s="7">
        <f>($C$14+($C$15-$C$14)/($D$15-$D$14)*(I519-$D$14))/2</f>
      </c>
      <c r="W519" s="7">
        <f>($B$22*I519^4+$C$22*I519^3+$D$22*I519^2+$E$22*I519+$F$22)/2</f>
      </c>
      <c r="X519" s="7">
        <f>($W519)*(T519)</f>
      </c>
      <c r="Y519" s="7">
        <f>($W519)*(U519)</f>
      </c>
      <c r="Z519" s="7">
        <f>SQRT(X519^2+Y519^2)</f>
      </c>
      <c r="AA519" s="7">
        <f>$K519+$X519</f>
      </c>
      <c r="AB519" s="7">
        <f>$L519+$Y519</f>
      </c>
      <c r="AC519" s="7">
        <f>$K519-$X519</f>
      </c>
      <c r="AD519" s="7">
        <f>$L519-$Y519</f>
      </c>
      <c r="AE519" s="7">
        <f>AA519/39.3701</f>
      </c>
      <c r="AF519" s="7">
        <f>AB519/39.3701</f>
      </c>
      <c r="AG519" s="7">
        <f>AC519/39.3701</f>
      </c>
      <c r="AH519" s="7">
        <f>AD519/39.3701</f>
      </c>
      <c r="AI519" s="1"/>
      <c r="AJ519" s="1"/>
      <c r="AK519" s="1"/>
      <c r="AL519" s="1"/>
      <c r="AM519" s="2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</row>
    <row x14ac:dyDescent="0.25" r="520" customHeight="1" ht="18.75">
      <c r="A520" s="1"/>
      <c r="B520" s="2"/>
      <c r="C520" s="2"/>
      <c r="D520" s="2"/>
      <c r="E520" s="2"/>
      <c r="F520" s="2"/>
      <c r="G520" s="1"/>
      <c r="H520" s="1"/>
      <c r="I520" s="7">
        <v>0.517</v>
      </c>
      <c r="J520" s="7">
        <f>IF((I520-ROUNDDOWN(I520,0))=0, 0, (I520-ROUNDDOWN(I520,0)))</f>
      </c>
      <c r="K520" s="7">
        <f>INDIRECT("C$"&amp;2+MIN(2,ROUNDDOWN(I520,0))*3)*(-$J520^3+3*$J520^2-3*$J520+1)+INDIRECT("C$"&amp;3+MIN(2,ROUNDDOWN(I520,0))*3)*(3*$J520^3-6*$J520^2+3*$J520)+INDIRECT("C$"&amp;4+MIN(2,ROUNDDOWN(I520,0))*3)*(-3*$J520^3+3*$J520^2)+INDIRECT("C$"&amp;5+MIN(2,ROUNDDOWN(I520,0))*3)*$J520^3</f>
      </c>
      <c r="L520" s="7">
        <f>INDIRECT("D$"&amp;2+MIN(2,ROUNDDOWN(I520,0))*3)*(-$J520^3+3*$J520^2-3*$J520+1)+INDIRECT("D$"&amp;3+MIN(2,ROUNDDOWN(I520,0))*3)*(3*$J520^3-6*$J520^2+3*$J520)+INDIRECT("D$"&amp;4+MIN(2,ROUNDDOWN(I520,0))*3)*(-3*$J520^3+3*$J520^2)+INDIRECT("D$"&amp;5+MIN(2,ROUNDDOWN(I520,0))*3)*$J520^3</f>
      </c>
      <c r="M520" s="7">
        <f>SQRT(K520^2+L520^2)</f>
      </c>
      <c r="N520" s="7">
        <f>(K521-K519)</f>
      </c>
      <c r="O520" s="7">
        <f>+(L521-L519)</f>
      </c>
      <c r="P520" s="7">
        <f>SQRT(O520^2+N520^2)</f>
      </c>
      <c r="Q520" s="7">
        <f>N520/$P520</f>
      </c>
      <c r="R520" s="7">
        <f>O520/$P520</f>
      </c>
      <c r="S520" s="7">
        <f>Q520^2+R520^2</f>
      </c>
      <c r="T520" s="7">
        <f>-R520</f>
      </c>
      <c r="U520" s="7">
        <f>Q520</f>
      </c>
      <c r="V520" s="7">
        <f>($C$14+($C$15-$C$14)/($D$15-$D$14)*(I520-$D$14))/2</f>
      </c>
      <c r="W520" s="7">
        <f>($B$22*I520^4+$C$22*I520^3+$D$22*I520^2+$E$22*I520+$F$22)/2</f>
      </c>
      <c r="X520" s="7">
        <f>($W520)*(T520)</f>
      </c>
      <c r="Y520" s="7">
        <f>($W520)*(U520)</f>
      </c>
      <c r="Z520" s="7">
        <f>SQRT(X520^2+Y520^2)</f>
      </c>
      <c r="AA520" s="7">
        <f>$K520+$X520</f>
      </c>
      <c r="AB520" s="7">
        <f>$L520+$Y520</f>
      </c>
      <c r="AC520" s="7">
        <f>$K520-$X520</f>
      </c>
      <c r="AD520" s="7">
        <f>$L520-$Y520</f>
      </c>
      <c r="AE520" s="7">
        <f>AA520/39.3701</f>
      </c>
      <c r="AF520" s="7">
        <f>AB520/39.3701</f>
      </c>
      <c r="AG520" s="7">
        <f>AC520/39.3701</f>
      </c>
      <c r="AH520" s="7">
        <f>AD520/39.3701</f>
      </c>
      <c r="AI520" s="1"/>
      <c r="AJ520" s="1"/>
      <c r="AK520" s="1"/>
      <c r="AL520" s="1"/>
      <c r="AM520" s="2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</row>
    <row x14ac:dyDescent="0.25" r="521" customHeight="1" ht="18.75">
      <c r="A521" s="1"/>
      <c r="B521" s="2"/>
      <c r="C521" s="2"/>
      <c r="D521" s="2"/>
      <c r="E521" s="2"/>
      <c r="F521" s="2"/>
      <c r="G521" s="1"/>
      <c r="H521" s="1"/>
      <c r="I521" s="7">
        <v>0.518</v>
      </c>
      <c r="J521" s="7">
        <f>IF((I521-ROUNDDOWN(I521,0))=0, 0, (I521-ROUNDDOWN(I521,0)))</f>
      </c>
      <c r="K521" s="7">
        <f>INDIRECT("C$"&amp;2+MIN(2,ROUNDDOWN(I521,0))*3)*(-$J521^3+3*$J521^2-3*$J521+1)+INDIRECT("C$"&amp;3+MIN(2,ROUNDDOWN(I521,0))*3)*(3*$J521^3-6*$J521^2+3*$J521)+INDIRECT("C$"&amp;4+MIN(2,ROUNDDOWN(I521,0))*3)*(-3*$J521^3+3*$J521^2)+INDIRECT("C$"&amp;5+MIN(2,ROUNDDOWN(I521,0))*3)*$J521^3</f>
      </c>
      <c r="L521" s="7">
        <f>INDIRECT("D$"&amp;2+MIN(2,ROUNDDOWN(I521,0))*3)*(-$J521^3+3*$J521^2-3*$J521+1)+INDIRECT("D$"&amp;3+MIN(2,ROUNDDOWN(I521,0))*3)*(3*$J521^3-6*$J521^2+3*$J521)+INDIRECT("D$"&amp;4+MIN(2,ROUNDDOWN(I521,0))*3)*(-3*$J521^3+3*$J521^2)+INDIRECT("D$"&amp;5+MIN(2,ROUNDDOWN(I521,0))*3)*$J521^3</f>
      </c>
      <c r="M521" s="7">
        <f>SQRT(K521^2+L521^2)</f>
      </c>
      <c r="N521" s="7">
        <f>(K522-K520)</f>
      </c>
      <c r="O521" s="7">
        <f>+(L522-L520)</f>
      </c>
      <c r="P521" s="7">
        <f>SQRT(O521^2+N521^2)</f>
      </c>
      <c r="Q521" s="7">
        <f>N521/$P521</f>
      </c>
      <c r="R521" s="7">
        <f>O521/$P521</f>
      </c>
      <c r="S521" s="8">
        <f>Q521^2+R521^2</f>
      </c>
      <c r="T521" s="7">
        <f>-R521</f>
      </c>
      <c r="U521" s="7">
        <f>Q521</f>
      </c>
      <c r="V521" s="7">
        <f>($C$14+($C$15-$C$14)/($D$15-$D$14)*(I521-$D$14))/2</f>
      </c>
      <c r="W521" s="7">
        <f>($B$22*I521^4+$C$22*I521^3+$D$22*I521^2+$E$22*I521+$F$22)/2</f>
      </c>
      <c r="X521" s="7">
        <f>($W521)*(T521)</f>
      </c>
      <c r="Y521" s="7">
        <f>($W521)*(U521)</f>
      </c>
      <c r="Z521" s="7">
        <f>SQRT(X521^2+Y521^2)</f>
      </c>
      <c r="AA521" s="7">
        <f>$K521+$X521</f>
      </c>
      <c r="AB521" s="7">
        <f>$L521+$Y521</f>
      </c>
      <c r="AC521" s="7">
        <f>$K521-$X521</f>
      </c>
      <c r="AD521" s="7">
        <f>$L521-$Y521</f>
      </c>
      <c r="AE521" s="7">
        <f>AA521/39.3701</f>
      </c>
      <c r="AF521" s="7">
        <f>AB521/39.3701</f>
      </c>
      <c r="AG521" s="7">
        <f>AC521/39.3701</f>
      </c>
      <c r="AH521" s="7">
        <f>AD521/39.3701</f>
      </c>
      <c r="AI521" s="1"/>
      <c r="AJ521" s="1"/>
      <c r="AK521" s="1"/>
      <c r="AL521" s="1"/>
      <c r="AM521" s="2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</row>
    <row x14ac:dyDescent="0.25" r="522" customHeight="1" ht="18.75">
      <c r="A522" s="1"/>
      <c r="B522" s="2"/>
      <c r="C522" s="2"/>
      <c r="D522" s="2"/>
      <c r="E522" s="2"/>
      <c r="F522" s="2"/>
      <c r="G522" s="1"/>
      <c r="H522" s="1"/>
      <c r="I522" s="7">
        <v>0.519</v>
      </c>
      <c r="J522" s="7">
        <f>IF((I522-ROUNDDOWN(I522,0))=0, 0, (I522-ROUNDDOWN(I522,0)))</f>
      </c>
      <c r="K522" s="7">
        <f>INDIRECT("C$"&amp;2+MIN(2,ROUNDDOWN(I522,0))*3)*(-$J522^3+3*$J522^2-3*$J522+1)+INDIRECT("C$"&amp;3+MIN(2,ROUNDDOWN(I522,0))*3)*(3*$J522^3-6*$J522^2+3*$J522)+INDIRECT("C$"&amp;4+MIN(2,ROUNDDOWN(I522,0))*3)*(-3*$J522^3+3*$J522^2)+INDIRECT("C$"&amp;5+MIN(2,ROUNDDOWN(I522,0))*3)*$J522^3</f>
      </c>
      <c r="L522" s="7">
        <f>INDIRECT("D$"&amp;2+MIN(2,ROUNDDOWN(I522,0))*3)*(-$J522^3+3*$J522^2-3*$J522+1)+INDIRECT("D$"&amp;3+MIN(2,ROUNDDOWN(I522,0))*3)*(3*$J522^3-6*$J522^2+3*$J522)+INDIRECT("D$"&amp;4+MIN(2,ROUNDDOWN(I522,0))*3)*(-3*$J522^3+3*$J522^2)+INDIRECT("D$"&amp;5+MIN(2,ROUNDDOWN(I522,0))*3)*$J522^3</f>
      </c>
      <c r="M522" s="7">
        <f>SQRT(K522^2+L522^2)</f>
      </c>
      <c r="N522" s="7">
        <f>(K523-K521)</f>
      </c>
      <c r="O522" s="7">
        <f>+(L523-L521)</f>
      </c>
      <c r="P522" s="7">
        <f>SQRT(O522^2+N522^2)</f>
      </c>
      <c r="Q522" s="7">
        <f>N522/$P522</f>
      </c>
      <c r="R522" s="7">
        <f>O522/$P522</f>
      </c>
      <c r="S522" s="7">
        <f>Q522^2+R522^2</f>
      </c>
      <c r="T522" s="7">
        <f>-R522</f>
      </c>
      <c r="U522" s="7">
        <f>Q522</f>
      </c>
      <c r="V522" s="7">
        <f>($C$14+($C$15-$C$14)/($D$15-$D$14)*(I522-$D$14))/2</f>
      </c>
      <c r="W522" s="7">
        <f>($B$22*I522^4+$C$22*I522^3+$D$22*I522^2+$E$22*I522+$F$22)/2</f>
      </c>
      <c r="X522" s="7">
        <f>($W522)*(T522)</f>
      </c>
      <c r="Y522" s="7">
        <f>($W522)*(U522)</f>
      </c>
      <c r="Z522" s="7">
        <f>SQRT(X522^2+Y522^2)</f>
      </c>
      <c r="AA522" s="7">
        <f>$K522+$X522</f>
      </c>
      <c r="AB522" s="7">
        <f>$L522+$Y522</f>
      </c>
      <c r="AC522" s="7">
        <f>$K522-$X522</f>
      </c>
      <c r="AD522" s="7">
        <f>$L522-$Y522</f>
      </c>
      <c r="AE522" s="7">
        <f>AA522/39.3701</f>
      </c>
      <c r="AF522" s="7">
        <f>AB522/39.3701</f>
      </c>
      <c r="AG522" s="7">
        <f>AC522/39.3701</f>
      </c>
      <c r="AH522" s="7">
        <f>AD522/39.3701</f>
      </c>
      <c r="AI522" s="1"/>
      <c r="AJ522" s="1"/>
      <c r="AK522" s="1"/>
      <c r="AL522" s="1"/>
      <c r="AM522" s="2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</row>
    <row x14ac:dyDescent="0.25" r="523" customHeight="1" ht="18.75">
      <c r="A523" s="1"/>
      <c r="B523" s="2"/>
      <c r="C523" s="2"/>
      <c r="D523" s="2"/>
      <c r="E523" s="2"/>
      <c r="F523" s="2"/>
      <c r="G523" s="1"/>
      <c r="H523" s="1"/>
      <c r="I523" s="7">
        <v>0.52</v>
      </c>
      <c r="J523" s="7">
        <f>IF((I523-ROUNDDOWN(I523,0))=0, 0, (I523-ROUNDDOWN(I523,0)))</f>
      </c>
      <c r="K523" s="7">
        <f>INDIRECT("C$"&amp;2+MIN(2,ROUNDDOWN(I523,0))*3)*(-$J523^3+3*$J523^2-3*$J523+1)+INDIRECT("C$"&amp;3+MIN(2,ROUNDDOWN(I523,0))*3)*(3*$J523^3-6*$J523^2+3*$J523)+INDIRECT("C$"&amp;4+MIN(2,ROUNDDOWN(I523,0))*3)*(-3*$J523^3+3*$J523^2)+INDIRECT("C$"&amp;5+MIN(2,ROUNDDOWN(I523,0))*3)*$J523^3</f>
      </c>
      <c r="L523" s="7">
        <f>INDIRECT("D$"&amp;2+MIN(2,ROUNDDOWN(I523,0))*3)*(-$J523^3+3*$J523^2-3*$J523+1)+INDIRECT("D$"&amp;3+MIN(2,ROUNDDOWN(I523,0))*3)*(3*$J523^3-6*$J523^2+3*$J523)+INDIRECT("D$"&amp;4+MIN(2,ROUNDDOWN(I523,0))*3)*(-3*$J523^3+3*$J523^2)+INDIRECT("D$"&amp;5+MIN(2,ROUNDDOWN(I523,0))*3)*$J523^3</f>
      </c>
      <c r="M523" s="7">
        <f>SQRT(K523^2+L523^2)</f>
      </c>
      <c r="N523" s="7">
        <f>(K524-K522)</f>
      </c>
      <c r="O523" s="7">
        <f>+(L524-L522)</f>
      </c>
      <c r="P523" s="7">
        <f>SQRT(O523^2+N523^2)</f>
      </c>
      <c r="Q523" s="7">
        <f>N523/$P523</f>
      </c>
      <c r="R523" s="7">
        <f>O523/$P523</f>
      </c>
      <c r="S523" s="8">
        <f>Q523^2+R523^2</f>
      </c>
      <c r="T523" s="7">
        <f>-R523</f>
      </c>
      <c r="U523" s="7">
        <f>Q523</f>
      </c>
      <c r="V523" s="7">
        <f>($C$14+($C$15-$C$14)/($D$15-$D$14)*(I523-$D$14))/2</f>
      </c>
      <c r="W523" s="7">
        <f>($B$22*I523^4+$C$22*I523^3+$D$22*I523^2+$E$22*I523+$F$22)/2</f>
      </c>
      <c r="X523" s="7">
        <f>($W523)*(T523)</f>
      </c>
      <c r="Y523" s="7">
        <f>($W523)*(U523)</f>
      </c>
      <c r="Z523" s="7">
        <f>SQRT(X523^2+Y523^2)</f>
      </c>
      <c r="AA523" s="7">
        <f>$K523+$X523</f>
      </c>
      <c r="AB523" s="7">
        <f>$L523+$Y523</f>
      </c>
      <c r="AC523" s="7">
        <f>$K523-$X523</f>
      </c>
      <c r="AD523" s="7">
        <f>$L523-$Y523</f>
      </c>
      <c r="AE523" s="7">
        <f>AA523/39.3701</f>
      </c>
      <c r="AF523" s="7">
        <f>AB523/39.3701</f>
      </c>
      <c r="AG523" s="7">
        <f>AC523/39.3701</f>
      </c>
      <c r="AH523" s="7">
        <f>AD523/39.3701</f>
      </c>
      <c r="AI523" s="1"/>
      <c r="AJ523" s="1"/>
      <c r="AK523" s="1"/>
      <c r="AL523" s="1"/>
      <c r="AM523" s="2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</row>
    <row x14ac:dyDescent="0.25" r="524" customHeight="1" ht="18.75">
      <c r="A524" s="1"/>
      <c r="B524" s="2"/>
      <c r="C524" s="2"/>
      <c r="D524" s="2"/>
      <c r="E524" s="2"/>
      <c r="F524" s="2"/>
      <c r="G524" s="1"/>
      <c r="H524" s="1"/>
      <c r="I524" s="7">
        <v>0.521</v>
      </c>
      <c r="J524" s="7">
        <f>IF((I524-ROUNDDOWN(I524,0))=0, 0, (I524-ROUNDDOWN(I524,0)))</f>
      </c>
      <c r="K524" s="7">
        <f>INDIRECT("C$"&amp;2+MIN(2,ROUNDDOWN(I524,0))*3)*(-$J524^3+3*$J524^2-3*$J524+1)+INDIRECT("C$"&amp;3+MIN(2,ROUNDDOWN(I524,0))*3)*(3*$J524^3-6*$J524^2+3*$J524)+INDIRECT("C$"&amp;4+MIN(2,ROUNDDOWN(I524,0))*3)*(-3*$J524^3+3*$J524^2)+INDIRECT("C$"&amp;5+MIN(2,ROUNDDOWN(I524,0))*3)*$J524^3</f>
      </c>
      <c r="L524" s="7">
        <f>INDIRECT("D$"&amp;2+MIN(2,ROUNDDOWN(I524,0))*3)*(-$J524^3+3*$J524^2-3*$J524+1)+INDIRECT("D$"&amp;3+MIN(2,ROUNDDOWN(I524,0))*3)*(3*$J524^3-6*$J524^2+3*$J524)+INDIRECT("D$"&amp;4+MIN(2,ROUNDDOWN(I524,0))*3)*(-3*$J524^3+3*$J524^2)+INDIRECT("D$"&amp;5+MIN(2,ROUNDDOWN(I524,0))*3)*$J524^3</f>
      </c>
      <c r="M524" s="7">
        <f>SQRT(K524^2+L524^2)</f>
      </c>
      <c r="N524" s="7">
        <f>(K525-K523)</f>
      </c>
      <c r="O524" s="7">
        <f>+(L525-L523)</f>
      </c>
      <c r="P524" s="7">
        <f>SQRT(O524^2+N524^2)</f>
      </c>
      <c r="Q524" s="7">
        <f>N524/$P524</f>
      </c>
      <c r="R524" s="7">
        <f>O524/$P524</f>
      </c>
      <c r="S524" s="7">
        <f>Q524^2+R524^2</f>
      </c>
      <c r="T524" s="7">
        <f>-R524</f>
      </c>
      <c r="U524" s="7">
        <f>Q524</f>
      </c>
      <c r="V524" s="7">
        <f>($C$14+($C$15-$C$14)/($D$15-$D$14)*(I524-$D$14))/2</f>
      </c>
      <c r="W524" s="7">
        <f>($B$22*I524^4+$C$22*I524^3+$D$22*I524^2+$E$22*I524+$F$22)/2</f>
      </c>
      <c r="X524" s="7">
        <f>($W524)*(T524)</f>
      </c>
      <c r="Y524" s="7">
        <f>($W524)*(U524)</f>
      </c>
      <c r="Z524" s="7">
        <f>SQRT(X524^2+Y524^2)</f>
      </c>
      <c r="AA524" s="7">
        <f>$K524+$X524</f>
      </c>
      <c r="AB524" s="7">
        <f>$L524+$Y524</f>
      </c>
      <c r="AC524" s="7">
        <f>$K524-$X524</f>
      </c>
      <c r="AD524" s="7">
        <f>$L524-$Y524</f>
      </c>
      <c r="AE524" s="7">
        <f>AA524/39.3701</f>
      </c>
      <c r="AF524" s="7">
        <f>AB524/39.3701</f>
      </c>
      <c r="AG524" s="7">
        <f>AC524/39.3701</f>
      </c>
      <c r="AH524" s="7">
        <f>AD524/39.3701</f>
      </c>
      <c r="AI524" s="1"/>
      <c r="AJ524" s="1"/>
      <c r="AK524" s="1"/>
      <c r="AL524" s="1"/>
      <c r="AM524" s="2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</row>
    <row x14ac:dyDescent="0.25" r="525" customHeight="1" ht="18.75">
      <c r="A525" s="1"/>
      <c r="B525" s="2"/>
      <c r="C525" s="2"/>
      <c r="D525" s="2"/>
      <c r="E525" s="2"/>
      <c r="F525" s="2"/>
      <c r="G525" s="1"/>
      <c r="H525" s="1"/>
      <c r="I525" s="7">
        <v>0.522</v>
      </c>
      <c r="J525" s="7">
        <f>IF((I525-ROUNDDOWN(I525,0))=0, 0, (I525-ROUNDDOWN(I525,0)))</f>
      </c>
      <c r="K525" s="7">
        <f>INDIRECT("C$"&amp;2+MIN(2,ROUNDDOWN(I525,0))*3)*(-$J525^3+3*$J525^2-3*$J525+1)+INDIRECT("C$"&amp;3+MIN(2,ROUNDDOWN(I525,0))*3)*(3*$J525^3-6*$J525^2+3*$J525)+INDIRECT("C$"&amp;4+MIN(2,ROUNDDOWN(I525,0))*3)*(-3*$J525^3+3*$J525^2)+INDIRECT("C$"&amp;5+MIN(2,ROUNDDOWN(I525,0))*3)*$J525^3</f>
      </c>
      <c r="L525" s="7">
        <f>INDIRECT("D$"&amp;2+MIN(2,ROUNDDOWN(I525,0))*3)*(-$J525^3+3*$J525^2-3*$J525+1)+INDIRECT("D$"&amp;3+MIN(2,ROUNDDOWN(I525,0))*3)*(3*$J525^3-6*$J525^2+3*$J525)+INDIRECT("D$"&amp;4+MIN(2,ROUNDDOWN(I525,0))*3)*(-3*$J525^3+3*$J525^2)+INDIRECT("D$"&amp;5+MIN(2,ROUNDDOWN(I525,0))*3)*$J525^3</f>
      </c>
      <c r="M525" s="7">
        <f>SQRT(K525^2+L525^2)</f>
      </c>
      <c r="N525" s="7">
        <f>(K526-K524)</f>
      </c>
      <c r="O525" s="7">
        <f>+(L526-L524)</f>
      </c>
      <c r="P525" s="7">
        <f>SQRT(O525^2+N525^2)</f>
      </c>
      <c r="Q525" s="7">
        <f>N525/$P525</f>
      </c>
      <c r="R525" s="7">
        <f>O525/$P525</f>
      </c>
      <c r="S525" s="7">
        <f>Q525^2+R525^2</f>
      </c>
      <c r="T525" s="7">
        <f>-R525</f>
      </c>
      <c r="U525" s="7">
        <f>Q525</f>
      </c>
      <c r="V525" s="7">
        <f>($C$14+($C$15-$C$14)/($D$15-$D$14)*(I525-$D$14))/2</f>
      </c>
      <c r="W525" s="7">
        <f>($B$22*I525^4+$C$22*I525^3+$D$22*I525^2+$E$22*I525+$F$22)/2</f>
      </c>
      <c r="X525" s="7">
        <f>($W525)*(T525)</f>
      </c>
      <c r="Y525" s="7">
        <f>($W525)*(U525)</f>
      </c>
      <c r="Z525" s="7">
        <f>SQRT(X525^2+Y525^2)</f>
      </c>
      <c r="AA525" s="7">
        <f>$K525+$X525</f>
      </c>
      <c r="AB525" s="7">
        <f>$L525+$Y525</f>
      </c>
      <c r="AC525" s="7">
        <f>$K525-$X525</f>
      </c>
      <c r="AD525" s="7">
        <f>$L525-$Y525</f>
      </c>
      <c r="AE525" s="7">
        <f>AA525/39.3701</f>
      </c>
      <c r="AF525" s="7">
        <f>AB525/39.3701</f>
      </c>
      <c r="AG525" s="7">
        <f>AC525/39.3701</f>
      </c>
      <c r="AH525" s="7">
        <f>AD525/39.3701</f>
      </c>
      <c r="AI525" s="1"/>
      <c r="AJ525" s="1"/>
      <c r="AK525" s="1"/>
      <c r="AL525" s="1"/>
      <c r="AM525" s="2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</row>
    <row x14ac:dyDescent="0.25" r="526" customHeight="1" ht="18.75">
      <c r="A526" s="1"/>
      <c r="B526" s="2"/>
      <c r="C526" s="2"/>
      <c r="D526" s="2"/>
      <c r="E526" s="2"/>
      <c r="F526" s="2"/>
      <c r="G526" s="1"/>
      <c r="H526" s="1"/>
      <c r="I526" s="7">
        <v>0.523</v>
      </c>
      <c r="J526" s="7">
        <f>IF((I526-ROUNDDOWN(I526,0))=0, 0, (I526-ROUNDDOWN(I526,0)))</f>
      </c>
      <c r="K526" s="7">
        <f>INDIRECT("C$"&amp;2+MIN(2,ROUNDDOWN(I526,0))*3)*(-$J526^3+3*$J526^2-3*$J526+1)+INDIRECT("C$"&amp;3+MIN(2,ROUNDDOWN(I526,0))*3)*(3*$J526^3-6*$J526^2+3*$J526)+INDIRECT("C$"&amp;4+MIN(2,ROUNDDOWN(I526,0))*3)*(-3*$J526^3+3*$J526^2)+INDIRECT("C$"&amp;5+MIN(2,ROUNDDOWN(I526,0))*3)*$J526^3</f>
      </c>
      <c r="L526" s="7">
        <f>INDIRECT("D$"&amp;2+MIN(2,ROUNDDOWN(I526,0))*3)*(-$J526^3+3*$J526^2-3*$J526+1)+INDIRECT("D$"&amp;3+MIN(2,ROUNDDOWN(I526,0))*3)*(3*$J526^3-6*$J526^2+3*$J526)+INDIRECT("D$"&amp;4+MIN(2,ROUNDDOWN(I526,0))*3)*(-3*$J526^3+3*$J526^2)+INDIRECT("D$"&amp;5+MIN(2,ROUNDDOWN(I526,0))*3)*$J526^3</f>
      </c>
      <c r="M526" s="7">
        <f>SQRT(K526^2+L526^2)</f>
      </c>
      <c r="N526" s="7">
        <f>(K527-K525)</f>
      </c>
      <c r="O526" s="7">
        <f>+(L527-L525)</f>
      </c>
      <c r="P526" s="7">
        <f>SQRT(O526^2+N526^2)</f>
      </c>
      <c r="Q526" s="7">
        <f>N526/$P526</f>
      </c>
      <c r="R526" s="7">
        <f>O526/$P526</f>
      </c>
      <c r="S526" s="8">
        <f>Q526^2+R526^2</f>
      </c>
      <c r="T526" s="7">
        <f>-R526</f>
      </c>
      <c r="U526" s="7">
        <f>Q526</f>
      </c>
      <c r="V526" s="7">
        <f>($C$14+($C$15-$C$14)/($D$15-$D$14)*(I526-$D$14))/2</f>
      </c>
      <c r="W526" s="7">
        <f>($B$22*I526^4+$C$22*I526^3+$D$22*I526^2+$E$22*I526+$F$22)/2</f>
      </c>
      <c r="X526" s="7">
        <f>($W526)*(T526)</f>
      </c>
      <c r="Y526" s="7">
        <f>($W526)*(U526)</f>
      </c>
      <c r="Z526" s="7">
        <f>SQRT(X526^2+Y526^2)</f>
      </c>
      <c r="AA526" s="7">
        <f>$K526+$X526</f>
      </c>
      <c r="AB526" s="7">
        <f>$L526+$Y526</f>
      </c>
      <c r="AC526" s="7">
        <f>$K526-$X526</f>
      </c>
      <c r="AD526" s="7">
        <f>$L526-$Y526</f>
      </c>
      <c r="AE526" s="7">
        <f>AA526/39.3701</f>
      </c>
      <c r="AF526" s="7">
        <f>AB526/39.3701</f>
      </c>
      <c r="AG526" s="7">
        <f>AC526/39.3701</f>
      </c>
      <c r="AH526" s="7">
        <f>AD526/39.3701</f>
      </c>
      <c r="AI526" s="1"/>
      <c r="AJ526" s="1"/>
      <c r="AK526" s="1"/>
      <c r="AL526" s="1"/>
      <c r="AM526" s="2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</row>
    <row x14ac:dyDescent="0.25" r="527" customHeight="1" ht="18.75">
      <c r="A527" s="1"/>
      <c r="B527" s="2"/>
      <c r="C527" s="2"/>
      <c r="D527" s="2"/>
      <c r="E527" s="2"/>
      <c r="F527" s="2"/>
      <c r="G527" s="1"/>
      <c r="H527" s="1"/>
      <c r="I527" s="7">
        <v>0.524</v>
      </c>
      <c r="J527" s="7">
        <f>IF((I527-ROUNDDOWN(I527,0))=0, 0, (I527-ROUNDDOWN(I527,0)))</f>
      </c>
      <c r="K527" s="7">
        <f>INDIRECT("C$"&amp;2+MIN(2,ROUNDDOWN(I527,0))*3)*(-$J527^3+3*$J527^2-3*$J527+1)+INDIRECT("C$"&amp;3+MIN(2,ROUNDDOWN(I527,0))*3)*(3*$J527^3-6*$J527^2+3*$J527)+INDIRECT("C$"&amp;4+MIN(2,ROUNDDOWN(I527,0))*3)*(-3*$J527^3+3*$J527^2)+INDIRECT("C$"&amp;5+MIN(2,ROUNDDOWN(I527,0))*3)*$J527^3</f>
      </c>
      <c r="L527" s="7">
        <f>INDIRECT("D$"&amp;2+MIN(2,ROUNDDOWN(I527,0))*3)*(-$J527^3+3*$J527^2-3*$J527+1)+INDIRECT("D$"&amp;3+MIN(2,ROUNDDOWN(I527,0))*3)*(3*$J527^3-6*$J527^2+3*$J527)+INDIRECT("D$"&amp;4+MIN(2,ROUNDDOWN(I527,0))*3)*(-3*$J527^3+3*$J527^2)+INDIRECT("D$"&amp;5+MIN(2,ROUNDDOWN(I527,0))*3)*$J527^3</f>
      </c>
      <c r="M527" s="7">
        <f>SQRT(K527^2+L527^2)</f>
      </c>
      <c r="N527" s="7">
        <f>(K528-K526)</f>
      </c>
      <c r="O527" s="7">
        <f>+(L528-L526)</f>
      </c>
      <c r="P527" s="7">
        <f>SQRT(O527^2+N527^2)</f>
      </c>
      <c r="Q527" s="7">
        <f>N527/$P527</f>
      </c>
      <c r="R527" s="7">
        <f>O527/$P527</f>
      </c>
      <c r="S527" s="7">
        <f>Q527^2+R527^2</f>
      </c>
      <c r="T527" s="7">
        <f>-R527</f>
      </c>
      <c r="U527" s="7">
        <f>Q527</f>
      </c>
      <c r="V527" s="7">
        <f>($C$14+($C$15-$C$14)/($D$15-$D$14)*(I527-$D$14))/2</f>
      </c>
      <c r="W527" s="7">
        <f>($B$22*I527^4+$C$22*I527^3+$D$22*I527^2+$E$22*I527+$F$22)/2</f>
      </c>
      <c r="X527" s="7">
        <f>($W527)*(T527)</f>
      </c>
      <c r="Y527" s="7">
        <f>($W527)*(U527)</f>
      </c>
      <c r="Z527" s="7">
        <f>SQRT(X527^2+Y527^2)</f>
      </c>
      <c r="AA527" s="7">
        <f>$K527+$X527</f>
      </c>
      <c r="AB527" s="7">
        <f>$L527+$Y527</f>
      </c>
      <c r="AC527" s="7">
        <f>$K527-$X527</f>
      </c>
      <c r="AD527" s="7">
        <f>$L527-$Y527</f>
      </c>
      <c r="AE527" s="7">
        <f>AA527/39.3701</f>
      </c>
      <c r="AF527" s="7">
        <f>AB527/39.3701</f>
      </c>
      <c r="AG527" s="7">
        <f>AC527/39.3701</f>
      </c>
      <c r="AH527" s="7">
        <f>AD527/39.3701</f>
      </c>
      <c r="AI527" s="1"/>
      <c r="AJ527" s="1"/>
      <c r="AK527" s="1"/>
      <c r="AL527" s="1"/>
      <c r="AM527" s="2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</row>
    <row x14ac:dyDescent="0.25" r="528" customHeight="1" ht="18.75">
      <c r="A528" s="1"/>
      <c r="B528" s="2"/>
      <c r="C528" s="2"/>
      <c r="D528" s="2"/>
      <c r="E528" s="2"/>
      <c r="F528" s="2"/>
      <c r="G528" s="1"/>
      <c r="H528" s="1"/>
      <c r="I528" s="7">
        <v>0.525</v>
      </c>
      <c r="J528" s="7">
        <f>IF((I528-ROUNDDOWN(I528,0))=0, 0, (I528-ROUNDDOWN(I528,0)))</f>
      </c>
      <c r="K528" s="7">
        <f>INDIRECT("C$"&amp;2+MIN(2,ROUNDDOWN(I528,0))*3)*(-$J528^3+3*$J528^2-3*$J528+1)+INDIRECT("C$"&amp;3+MIN(2,ROUNDDOWN(I528,0))*3)*(3*$J528^3-6*$J528^2+3*$J528)+INDIRECT("C$"&amp;4+MIN(2,ROUNDDOWN(I528,0))*3)*(-3*$J528^3+3*$J528^2)+INDIRECT("C$"&amp;5+MIN(2,ROUNDDOWN(I528,0))*3)*$J528^3</f>
      </c>
      <c r="L528" s="7">
        <f>INDIRECT("D$"&amp;2+MIN(2,ROUNDDOWN(I528,0))*3)*(-$J528^3+3*$J528^2-3*$J528+1)+INDIRECT("D$"&amp;3+MIN(2,ROUNDDOWN(I528,0))*3)*(3*$J528^3-6*$J528^2+3*$J528)+INDIRECT("D$"&amp;4+MIN(2,ROUNDDOWN(I528,0))*3)*(-3*$J528^3+3*$J528^2)+INDIRECT("D$"&amp;5+MIN(2,ROUNDDOWN(I528,0))*3)*$J528^3</f>
      </c>
      <c r="M528" s="7">
        <f>SQRT(K528^2+L528^2)</f>
      </c>
      <c r="N528" s="7">
        <f>(K529-K527)</f>
      </c>
      <c r="O528" s="7">
        <f>+(L529-L527)</f>
      </c>
      <c r="P528" s="7">
        <f>SQRT(O528^2+N528^2)</f>
      </c>
      <c r="Q528" s="7">
        <f>N528/$P528</f>
      </c>
      <c r="R528" s="7">
        <f>O528/$P528</f>
      </c>
      <c r="S528" s="8">
        <f>Q528^2+R528^2</f>
      </c>
      <c r="T528" s="7">
        <f>-R528</f>
      </c>
      <c r="U528" s="7">
        <f>Q528</f>
      </c>
      <c r="V528" s="7">
        <f>($C$14+($C$15-$C$14)/($D$15-$D$14)*(I528-$D$14))/2</f>
      </c>
      <c r="W528" s="7">
        <f>($B$22*I528^4+$C$22*I528^3+$D$22*I528^2+$E$22*I528+$F$22)/2</f>
      </c>
      <c r="X528" s="7">
        <f>($W528)*(T528)</f>
      </c>
      <c r="Y528" s="7">
        <f>($W528)*(U528)</f>
      </c>
      <c r="Z528" s="7">
        <f>SQRT(X528^2+Y528^2)</f>
      </c>
      <c r="AA528" s="7">
        <f>$K528+$X528</f>
      </c>
      <c r="AB528" s="7">
        <f>$L528+$Y528</f>
      </c>
      <c r="AC528" s="7">
        <f>$K528-$X528</f>
      </c>
      <c r="AD528" s="7">
        <f>$L528-$Y528</f>
      </c>
      <c r="AE528" s="7">
        <f>AA528/39.3701</f>
      </c>
      <c r="AF528" s="7">
        <f>AB528/39.3701</f>
      </c>
      <c r="AG528" s="7">
        <f>AC528/39.3701</f>
      </c>
      <c r="AH528" s="7">
        <f>AD528/39.3701</f>
      </c>
      <c r="AI528" s="1"/>
      <c r="AJ528" s="1"/>
      <c r="AK528" s="1"/>
      <c r="AL528" s="1"/>
      <c r="AM528" s="2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</row>
    <row x14ac:dyDescent="0.25" r="529" customHeight="1" ht="18.75">
      <c r="A529" s="1"/>
      <c r="B529" s="2"/>
      <c r="C529" s="2"/>
      <c r="D529" s="2"/>
      <c r="E529" s="2"/>
      <c r="F529" s="2"/>
      <c r="G529" s="1"/>
      <c r="H529" s="1"/>
      <c r="I529" s="7">
        <v>0.526</v>
      </c>
      <c r="J529" s="7">
        <f>IF((I529-ROUNDDOWN(I529,0))=0, 0, (I529-ROUNDDOWN(I529,0)))</f>
      </c>
      <c r="K529" s="7">
        <f>INDIRECT("C$"&amp;2+MIN(2,ROUNDDOWN(I529,0))*3)*(-$J529^3+3*$J529^2-3*$J529+1)+INDIRECT("C$"&amp;3+MIN(2,ROUNDDOWN(I529,0))*3)*(3*$J529^3-6*$J529^2+3*$J529)+INDIRECT("C$"&amp;4+MIN(2,ROUNDDOWN(I529,0))*3)*(-3*$J529^3+3*$J529^2)+INDIRECT("C$"&amp;5+MIN(2,ROUNDDOWN(I529,0))*3)*$J529^3</f>
      </c>
      <c r="L529" s="7">
        <f>INDIRECT("D$"&amp;2+MIN(2,ROUNDDOWN(I529,0))*3)*(-$J529^3+3*$J529^2-3*$J529+1)+INDIRECT("D$"&amp;3+MIN(2,ROUNDDOWN(I529,0))*3)*(3*$J529^3-6*$J529^2+3*$J529)+INDIRECT("D$"&amp;4+MIN(2,ROUNDDOWN(I529,0))*3)*(-3*$J529^3+3*$J529^2)+INDIRECT("D$"&amp;5+MIN(2,ROUNDDOWN(I529,0))*3)*$J529^3</f>
      </c>
      <c r="M529" s="7">
        <f>SQRT(K529^2+L529^2)</f>
      </c>
      <c r="N529" s="7">
        <f>(K530-K528)</f>
      </c>
      <c r="O529" s="7">
        <f>+(L530-L528)</f>
      </c>
      <c r="P529" s="7">
        <f>SQRT(O529^2+N529^2)</f>
      </c>
      <c r="Q529" s="7">
        <f>N529/$P529</f>
      </c>
      <c r="R529" s="7">
        <f>O529/$P529</f>
      </c>
      <c r="S529" s="8">
        <f>Q529^2+R529^2</f>
      </c>
      <c r="T529" s="7">
        <f>-R529</f>
      </c>
      <c r="U529" s="7">
        <f>Q529</f>
      </c>
      <c r="V529" s="7">
        <f>($C$14+($C$15-$C$14)/($D$15-$D$14)*(I529-$D$14))/2</f>
      </c>
      <c r="W529" s="7">
        <f>($B$22*I529^4+$C$22*I529^3+$D$22*I529^2+$E$22*I529+$F$22)/2</f>
      </c>
      <c r="X529" s="7">
        <f>($W529)*(T529)</f>
      </c>
      <c r="Y529" s="7">
        <f>($W529)*(U529)</f>
      </c>
      <c r="Z529" s="7">
        <f>SQRT(X529^2+Y529^2)</f>
      </c>
      <c r="AA529" s="7">
        <f>$K529+$X529</f>
      </c>
      <c r="AB529" s="7">
        <f>$L529+$Y529</f>
      </c>
      <c r="AC529" s="7">
        <f>$K529-$X529</f>
      </c>
      <c r="AD529" s="7">
        <f>$L529-$Y529</f>
      </c>
      <c r="AE529" s="7">
        <f>AA529/39.3701</f>
      </c>
      <c r="AF529" s="7">
        <f>AB529/39.3701</f>
      </c>
      <c r="AG529" s="7">
        <f>AC529/39.3701</f>
      </c>
      <c r="AH529" s="7">
        <f>AD529/39.3701</f>
      </c>
      <c r="AI529" s="1"/>
      <c r="AJ529" s="1"/>
      <c r="AK529" s="1"/>
      <c r="AL529" s="1"/>
      <c r="AM529" s="2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</row>
    <row x14ac:dyDescent="0.25" r="530" customHeight="1" ht="18.75">
      <c r="A530" s="1"/>
      <c r="B530" s="2"/>
      <c r="C530" s="2"/>
      <c r="D530" s="2"/>
      <c r="E530" s="2"/>
      <c r="F530" s="2"/>
      <c r="G530" s="1"/>
      <c r="H530" s="1"/>
      <c r="I530" s="7">
        <v>0.527</v>
      </c>
      <c r="J530" s="7">
        <f>IF((I530-ROUNDDOWN(I530,0))=0, 0, (I530-ROUNDDOWN(I530,0)))</f>
      </c>
      <c r="K530" s="7">
        <f>INDIRECT("C$"&amp;2+MIN(2,ROUNDDOWN(I530,0))*3)*(-$J530^3+3*$J530^2-3*$J530+1)+INDIRECT("C$"&amp;3+MIN(2,ROUNDDOWN(I530,0))*3)*(3*$J530^3-6*$J530^2+3*$J530)+INDIRECT("C$"&amp;4+MIN(2,ROUNDDOWN(I530,0))*3)*(-3*$J530^3+3*$J530^2)+INDIRECT("C$"&amp;5+MIN(2,ROUNDDOWN(I530,0))*3)*$J530^3</f>
      </c>
      <c r="L530" s="7">
        <f>INDIRECT("D$"&amp;2+MIN(2,ROUNDDOWN(I530,0))*3)*(-$J530^3+3*$J530^2-3*$J530+1)+INDIRECT("D$"&amp;3+MIN(2,ROUNDDOWN(I530,0))*3)*(3*$J530^3-6*$J530^2+3*$J530)+INDIRECT("D$"&amp;4+MIN(2,ROUNDDOWN(I530,0))*3)*(-3*$J530^3+3*$J530^2)+INDIRECT("D$"&amp;5+MIN(2,ROUNDDOWN(I530,0))*3)*$J530^3</f>
      </c>
      <c r="M530" s="7">
        <f>SQRT(K530^2+L530^2)</f>
      </c>
      <c r="N530" s="7">
        <f>(K531-K529)</f>
      </c>
      <c r="O530" s="7">
        <f>+(L531-L529)</f>
      </c>
      <c r="P530" s="7">
        <f>SQRT(O530^2+N530^2)</f>
      </c>
      <c r="Q530" s="7">
        <f>N530/$P530</f>
      </c>
      <c r="R530" s="7">
        <f>O530/$P530</f>
      </c>
      <c r="S530" s="8">
        <f>Q530^2+R530^2</f>
      </c>
      <c r="T530" s="7">
        <f>-R530</f>
      </c>
      <c r="U530" s="7">
        <f>Q530</f>
      </c>
      <c r="V530" s="7">
        <f>($C$14+($C$15-$C$14)/($D$15-$D$14)*(I530-$D$14))/2</f>
      </c>
      <c r="W530" s="7">
        <f>($B$22*I530^4+$C$22*I530^3+$D$22*I530^2+$E$22*I530+$F$22)/2</f>
      </c>
      <c r="X530" s="7">
        <f>($W530)*(T530)</f>
      </c>
      <c r="Y530" s="7">
        <f>($W530)*(U530)</f>
      </c>
      <c r="Z530" s="7">
        <f>SQRT(X530^2+Y530^2)</f>
      </c>
      <c r="AA530" s="7">
        <f>$K530+$X530</f>
      </c>
      <c r="AB530" s="7">
        <f>$L530+$Y530</f>
      </c>
      <c r="AC530" s="7">
        <f>$K530-$X530</f>
      </c>
      <c r="AD530" s="7">
        <f>$L530-$Y530</f>
      </c>
      <c r="AE530" s="7">
        <f>AA530/39.3701</f>
      </c>
      <c r="AF530" s="7">
        <f>AB530/39.3701</f>
      </c>
      <c r="AG530" s="7">
        <f>AC530/39.3701</f>
      </c>
      <c r="AH530" s="7">
        <f>AD530/39.3701</f>
      </c>
      <c r="AI530" s="1"/>
      <c r="AJ530" s="1"/>
      <c r="AK530" s="1"/>
      <c r="AL530" s="1"/>
      <c r="AM530" s="2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</row>
    <row x14ac:dyDescent="0.25" r="531" customHeight="1" ht="18.75">
      <c r="A531" s="1"/>
      <c r="B531" s="2"/>
      <c r="C531" s="2"/>
      <c r="D531" s="2"/>
      <c r="E531" s="2"/>
      <c r="F531" s="2"/>
      <c r="G531" s="1"/>
      <c r="H531" s="1"/>
      <c r="I531" s="7">
        <v>0.528</v>
      </c>
      <c r="J531" s="7">
        <f>IF((I531-ROUNDDOWN(I531,0))=0, 0, (I531-ROUNDDOWN(I531,0)))</f>
      </c>
      <c r="K531" s="7">
        <f>INDIRECT("C$"&amp;2+MIN(2,ROUNDDOWN(I531,0))*3)*(-$J531^3+3*$J531^2-3*$J531+1)+INDIRECT("C$"&amp;3+MIN(2,ROUNDDOWN(I531,0))*3)*(3*$J531^3-6*$J531^2+3*$J531)+INDIRECT("C$"&amp;4+MIN(2,ROUNDDOWN(I531,0))*3)*(-3*$J531^3+3*$J531^2)+INDIRECT("C$"&amp;5+MIN(2,ROUNDDOWN(I531,0))*3)*$J531^3</f>
      </c>
      <c r="L531" s="7">
        <f>INDIRECT("D$"&amp;2+MIN(2,ROUNDDOWN(I531,0))*3)*(-$J531^3+3*$J531^2-3*$J531+1)+INDIRECT("D$"&amp;3+MIN(2,ROUNDDOWN(I531,0))*3)*(3*$J531^3-6*$J531^2+3*$J531)+INDIRECT("D$"&amp;4+MIN(2,ROUNDDOWN(I531,0))*3)*(-3*$J531^3+3*$J531^2)+INDIRECT("D$"&amp;5+MIN(2,ROUNDDOWN(I531,0))*3)*$J531^3</f>
      </c>
      <c r="M531" s="7">
        <f>SQRT(K531^2+L531^2)</f>
      </c>
      <c r="N531" s="7">
        <f>(K532-K530)</f>
      </c>
      <c r="O531" s="7">
        <f>+(L532-L530)</f>
      </c>
      <c r="P531" s="7">
        <f>SQRT(O531^2+N531^2)</f>
      </c>
      <c r="Q531" s="7">
        <f>N531/$P531</f>
      </c>
      <c r="R531" s="7">
        <f>O531/$P531</f>
      </c>
      <c r="S531" s="7">
        <f>Q531^2+R531^2</f>
      </c>
      <c r="T531" s="7">
        <f>-R531</f>
      </c>
      <c r="U531" s="7">
        <f>Q531</f>
      </c>
      <c r="V531" s="7">
        <f>($C$14+($C$15-$C$14)/($D$15-$D$14)*(I531-$D$14))/2</f>
      </c>
      <c r="W531" s="7">
        <f>($B$22*I531^4+$C$22*I531^3+$D$22*I531^2+$E$22*I531+$F$22)/2</f>
      </c>
      <c r="X531" s="7">
        <f>($W531)*(T531)</f>
      </c>
      <c r="Y531" s="7">
        <f>($W531)*(U531)</f>
      </c>
      <c r="Z531" s="7">
        <f>SQRT(X531^2+Y531^2)</f>
      </c>
      <c r="AA531" s="7">
        <f>$K531+$X531</f>
      </c>
      <c r="AB531" s="7">
        <f>$L531+$Y531</f>
      </c>
      <c r="AC531" s="7">
        <f>$K531-$X531</f>
      </c>
      <c r="AD531" s="7">
        <f>$L531-$Y531</f>
      </c>
      <c r="AE531" s="7">
        <f>AA531/39.3701</f>
      </c>
      <c r="AF531" s="7">
        <f>AB531/39.3701</f>
      </c>
      <c r="AG531" s="7">
        <f>AC531/39.3701</f>
      </c>
      <c r="AH531" s="7">
        <f>AD531/39.3701</f>
      </c>
      <c r="AI531" s="1"/>
      <c r="AJ531" s="1"/>
      <c r="AK531" s="1"/>
      <c r="AL531" s="1"/>
      <c r="AM531" s="2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</row>
    <row x14ac:dyDescent="0.25" r="532" customHeight="1" ht="18.75">
      <c r="A532" s="1"/>
      <c r="B532" s="2"/>
      <c r="C532" s="2"/>
      <c r="D532" s="2"/>
      <c r="E532" s="2"/>
      <c r="F532" s="2"/>
      <c r="G532" s="1"/>
      <c r="H532" s="1"/>
      <c r="I532" s="7">
        <v>0.529</v>
      </c>
      <c r="J532" s="7">
        <f>IF((I532-ROUNDDOWN(I532,0))=0, 0, (I532-ROUNDDOWN(I532,0)))</f>
      </c>
      <c r="K532" s="7">
        <f>INDIRECT("C$"&amp;2+MIN(2,ROUNDDOWN(I532,0))*3)*(-$J532^3+3*$J532^2-3*$J532+1)+INDIRECT("C$"&amp;3+MIN(2,ROUNDDOWN(I532,0))*3)*(3*$J532^3-6*$J532^2+3*$J532)+INDIRECT("C$"&amp;4+MIN(2,ROUNDDOWN(I532,0))*3)*(-3*$J532^3+3*$J532^2)+INDIRECT("C$"&amp;5+MIN(2,ROUNDDOWN(I532,0))*3)*$J532^3</f>
      </c>
      <c r="L532" s="7">
        <f>INDIRECT("D$"&amp;2+MIN(2,ROUNDDOWN(I532,0))*3)*(-$J532^3+3*$J532^2-3*$J532+1)+INDIRECT("D$"&amp;3+MIN(2,ROUNDDOWN(I532,0))*3)*(3*$J532^3-6*$J532^2+3*$J532)+INDIRECT("D$"&amp;4+MIN(2,ROUNDDOWN(I532,0))*3)*(-3*$J532^3+3*$J532^2)+INDIRECT("D$"&amp;5+MIN(2,ROUNDDOWN(I532,0))*3)*$J532^3</f>
      </c>
      <c r="M532" s="7">
        <f>SQRT(K532^2+L532^2)</f>
      </c>
      <c r="N532" s="7">
        <f>(K533-K531)</f>
      </c>
      <c r="O532" s="7">
        <f>+(L533-L531)</f>
      </c>
      <c r="P532" s="7">
        <f>SQRT(O532^2+N532^2)</f>
      </c>
      <c r="Q532" s="7">
        <f>N532/$P532</f>
      </c>
      <c r="R532" s="7">
        <f>O532/$P532</f>
      </c>
      <c r="S532" s="8">
        <f>Q532^2+R532^2</f>
      </c>
      <c r="T532" s="7">
        <f>-R532</f>
      </c>
      <c r="U532" s="7">
        <f>Q532</f>
      </c>
      <c r="V532" s="7">
        <f>($C$14+($C$15-$C$14)/($D$15-$D$14)*(I532-$D$14))/2</f>
      </c>
      <c r="W532" s="7">
        <f>($B$22*I532^4+$C$22*I532^3+$D$22*I532^2+$E$22*I532+$F$22)/2</f>
      </c>
      <c r="X532" s="7">
        <f>($W532)*(T532)</f>
      </c>
      <c r="Y532" s="7">
        <f>($W532)*(U532)</f>
      </c>
      <c r="Z532" s="7">
        <f>SQRT(X532^2+Y532^2)</f>
      </c>
      <c r="AA532" s="7">
        <f>$K532+$X532</f>
      </c>
      <c r="AB532" s="7">
        <f>$L532+$Y532</f>
      </c>
      <c r="AC532" s="7">
        <f>$K532-$X532</f>
      </c>
      <c r="AD532" s="7">
        <f>$L532-$Y532</f>
      </c>
      <c r="AE532" s="7">
        <f>AA532/39.3701</f>
      </c>
      <c r="AF532" s="7">
        <f>AB532/39.3701</f>
      </c>
      <c r="AG532" s="7">
        <f>AC532/39.3701</f>
      </c>
      <c r="AH532" s="7">
        <f>AD532/39.3701</f>
      </c>
      <c r="AI532" s="1"/>
      <c r="AJ532" s="1"/>
      <c r="AK532" s="1"/>
      <c r="AL532" s="1"/>
      <c r="AM532" s="2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</row>
    <row x14ac:dyDescent="0.25" r="533" customHeight="1" ht="18.75">
      <c r="A533" s="1"/>
      <c r="B533" s="2"/>
      <c r="C533" s="2"/>
      <c r="D533" s="2"/>
      <c r="E533" s="2"/>
      <c r="F533" s="2"/>
      <c r="G533" s="1"/>
      <c r="H533" s="1"/>
      <c r="I533" s="7">
        <v>0.53</v>
      </c>
      <c r="J533" s="7">
        <f>IF((I533-ROUNDDOWN(I533,0))=0, 0, (I533-ROUNDDOWN(I533,0)))</f>
      </c>
      <c r="K533" s="7">
        <f>INDIRECT("C$"&amp;2+MIN(2,ROUNDDOWN(I533,0))*3)*(-$J533^3+3*$J533^2-3*$J533+1)+INDIRECT("C$"&amp;3+MIN(2,ROUNDDOWN(I533,0))*3)*(3*$J533^3-6*$J533^2+3*$J533)+INDIRECT("C$"&amp;4+MIN(2,ROUNDDOWN(I533,0))*3)*(-3*$J533^3+3*$J533^2)+INDIRECT("C$"&amp;5+MIN(2,ROUNDDOWN(I533,0))*3)*$J533^3</f>
      </c>
      <c r="L533" s="7">
        <f>INDIRECT("D$"&amp;2+MIN(2,ROUNDDOWN(I533,0))*3)*(-$J533^3+3*$J533^2-3*$J533+1)+INDIRECT("D$"&amp;3+MIN(2,ROUNDDOWN(I533,0))*3)*(3*$J533^3-6*$J533^2+3*$J533)+INDIRECT("D$"&amp;4+MIN(2,ROUNDDOWN(I533,0))*3)*(-3*$J533^3+3*$J533^2)+INDIRECT("D$"&amp;5+MIN(2,ROUNDDOWN(I533,0))*3)*$J533^3</f>
      </c>
      <c r="M533" s="7">
        <f>SQRT(K533^2+L533^2)</f>
      </c>
      <c r="N533" s="7">
        <f>(K534-K532)</f>
      </c>
      <c r="O533" s="7">
        <f>+(L534-L532)</f>
      </c>
      <c r="P533" s="7">
        <f>SQRT(O533^2+N533^2)</f>
      </c>
      <c r="Q533" s="7">
        <f>N533/$P533</f>
      </c>
      <c r="R533" s="7">
        <f>O533/$P533</f>
      </c>
      <c r="S533" s="8">
        <f>Q533^2+R533^2</f>
      </c>
      <c r="T533" s="7">
        <f>-R533</f>
      </c>
      <c r="U533" s="7">
        <f>Q533</f>
      </c>
      <c r="V533" s="7">
        <f>($C$14+($C$15-$C$14)/($D$15-$D$14)*(I533-$D$14))/2</f>
      </c>
      <c r="W533" s="7">
        <f>($B$22*I533^4+$C$22*I533^3+$D$22*I533^2+$E$22*I533+$F$22)/2</f>
      </c>
      <c r="X533" s="7">
        <f>($W533)*(T533)</f>
      </c>
      <c r="Y533" s="7">
        <f>($W533)*(U533)</f>
      </c>
      <c r="Z533" s="7">
        <f>SQRT(X533^2+Y533^2)</f>
      </c>
      <c r="AA533" s="7">
        <f>$K533+$X533</f>
      </c>
      <c r="AB533" s="7">
        <f>$L533+$Y533</f>
      </c>
      <c r="AC533" s="7">
        <f>$K533-$X533</f>
      </c>
      <c r="AD533" s="7">
        <f>$L533-$Y533</f>
      </c>
      <c r="AE533" s="7">
        <f>AA533/39.3701</f>
      </c>
      <c r="AF533" s="7">
        <f>AB533/39.3701</f>
      </c>
      <c r="AG533" s="7">
        <f>AC533/39.3701</f>
      </c>
      <c r="AH533" s="7">
        <f>AD533/39.3701</f>
      </c>
      <c r="AI533" s="1"/>
      <c r="AJ533" s="1"/>
      <c r="AK533" s="1"/>
      <c r="AL533" s="1"/>
      <c r="AM533" s="2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</row>
    <row x14ac:dyDescent="0.25" r="534" customHeight="1" ht="18.75">
      <c r="A534" s="1"/>
      <c r="B534" s="2"/>
      <c r="C534" s="2"/>
      <c r="D534" s="2"/>
      <c r="E534" s="2"/>
      <c r="F534" s="2"/>
      <c r="G534" s="1"/>
      <c r="H534" s="1"/>
      <c r="I534" s="7">
        <v>0.531</v>
      </c>
      <c r="J534" s="7">
        <f>IF((I534-ROUNDDOWN(I534,0))=0, 0, (I534-ROUNDDOWN(I534,0)))</f>
      </c>
      <c r="K534" s="7">
        <f>INDIRECT("C$"&amp;2+MIN(2,ROUNDDOWN(I534,0))*3)*(-$J534^3+3*$J534^2-3*$J534+1)+INDIRECT("C$"&amp;3+MIN(2,ROUNDDOWN(I534,0))*3)*(3*$J534^3-6*$J534^2+3*$J534)+INDIRECT("C$"&amp;4+MIN(2,ROUNDDOWN(I534,0))*3)*(-3*$J534^3+3*$J534^2)+INDIRECT("C$"&amp;5+MIN(2,ROUNDDOWN(I534,0))*3)*$J534^3</f>
      </c>
      <c r="L534" s="7">
        <f>INDIRECT("D$"&amp;2+MIN(2,ROUNDDOWN(I534,0))*3)*(-$J534^3+3*$J534^2-3*$J534+1)+INDIRECT("D$"&amp;3+MIN(2,ROUNDDOWN(I534,0))*3)*(3*$J534^3-6*$J534^2+3*$J534)+INDIRECT("D$"&amp;4+MIN(2,ROUNDDOWN(I534,0))*3)*(-3*$J534^3+3*$J534^2)+INDIRECT("D$"&amp;5+MIN(2,ROUNDDOWN(I534,0))*3)*$J534^3</f>
      </c>
      <c r="M534" s="7">
        <f>SQRT(K534^2+L534^2)</f>
      </c>
      <c r="N534" s="7">
        <f>(K535-K533)</f>
      </c>
      <c r="O534" s="7">
        <f>+(L535-L533)</f>
      </c>
      <c r="P534" s="7">
        <f>SQRT(O534^2+N534^2)</f>
      </c>
      <c r="Q534" s="7">
        <f>N534/$P534</f>
      </c>
      <c r="R534" s="7">
        <f>O534/$P534</f>
      </c>
      <c r="S534" s="8">
        <f>Q534^2+R534^2</f>
      </c>
      <c r="T534" s="7">
        <f>-R534</f>
      </c>
      <c r="U534" s="7">
        <f>Q534</f>
      </c>
      <c r="V534" s="7">
        <f>($C$14+($C$15-$C$14)/($D$15-$D$14)*(I534-$D$14))/2</f>
      </c>
      <c r="W534" s="7">
        <f>($B$22*I534^4+$C$22*I534^3+$D$22*I534^2+$E$22*I534+$F$22)/2</f>
      </c>
      <c r="X534" s="7">
        <f>($W534)*(T534)</f>
      </c>
      <c r="Y534" s="7">
        <f>($W534)*(U534)</f>
      </c>
      <c r="Z534" s="7">
        <f>SQRT(X534^2+Y534^2)</f>
      </c>
      <c r="AA534" s="7">
        <f>$K534+$X534</f>
      </c>
      <c r="AB534" s="7">
        <f>$L534+$Y534</f>
      </c>
      <c r="AC534" s="7">
        <f>$K534-$X534</f>
      </c>
      <c r="AD534" s="7">
        <f>$L534-$Y534</f>
      </c>
      <c r="AE534" s="7">
        <f>AA534/39.3701</f>
      </c>
      <c r="AF534" s="7">
        <f>AB534/39.3701</f>
      </c>
      <c r="AG534" s="7">
        <f>AC534/39.3701</f>
      </c>
      <c r="AH534" s="7">
        <f>AD534/39.3701</f>
      </c>
      <c r="AI534" s="1"/>
      <c r="AJ534" s="1"/>
      <c r="AK534" s="1"/>
      <c r="AL534" s="1"/>
      <c r="AM534" s="2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</row>
    <row x14ac:dyDescent="0.25" r="535" customHeight="1" ht="18.75">
      <c r="A535" s="1"/>
      <c r="B535" s="2"/>
      <c r="C535" s="2"/>
      <c r="D535" s="2"/>
      <c r="E535" s="2"/>
      <c r="F535" s="2"/>
      <c r="G535" s="1"/>
      <c r="H535" s="1"/>
      <c r="I535" s="7">
        <v>0.532</v>
      </c>
      <c r="J535" s="7">
        <f>IF((I535-ROUNDDOWN(I535,0))=0, 0, (I535-ROUNDDOWN(I535,0)))</f>
      </c>
      <c r="K535" s="7">
        <f>INDIRECT("C$"&amp;2+MIN(2,ROUNDDOWN(I535,0))*3)*(-$J535^3+3*$J535^2-3*$J535+1)+INDIRECT("C$"&amp;3+MIN(2,ROUNDDOWN(I535,0))*3)*(3*$J535^3-6*$J535^2+3*$J535)+INDIRECT("C$"&amp;4+MIN(2,ROUNDDOWN(I535,0))*3)*(-3*$J535^3+3*$J535^2)+INDIRECT("C$"&amp;5+MIN(2,ROUNDDOWN(I535,0))*3)*$J535^3</f>
      </c>
      <c r="L535" s="7">
        <f>INDIRECT("D$"&amp;2+MIN(2,ROUNDDOWN(I535,0))*3)*(-$J535^3+3*$J535^2-3*$J535+1)+INDIRECT("D$"&amp;3+MIN(2,ROUNDDOWN(I535,0))*3)*(3*$J535^3-6*$J535^2+3*$J535)+INDIRECT("D$"&amp;4+MIN(2,ROUNDDOWN(I535,0))*3)*(-3*$J535^3+3*$J535^2)+INDIRECT("D$"&amp;5+MIN(2,ROUNDDOWN(I535,0))*3)*$J535^3</f>
      </c>
      <c r="M535" s="7">
        <f>SQRT(K535^2+L535^2)</f>
      </c>
      <c r="N535" s="7">
        <f>(K536-K534)</f>
      </c>
      <c r="O535" s="7">
        <f>+(L536-L534)</f>
      </c>
      <c r="P535" s="7">
        <f>SQRT(O535^2+N535^2)</f>
      </c>
      <c r="Q535" s="7">
        <f>N535/$P535</f>
      </c>
      <c r="R535" s="7">
        <f>O535/$P535</f>
      </c>
      <c r="S535" s="7">
        <f>Q535^2+R535^2</f>
      </c>
      <c r="T535" s="7">
        <f>-R535</f>
      </c>
      <c r="U535" s="7">
        <f>Q535</f>
      </c>
      <c r="V535" s="7">
        <f>($C$14+($C$15-$C$14)/($D$15-$D$14)*(I535-$D$14))/2</f>
      </c>
      <c r="W535" s="7">
        <f>($B$22*I535^4+$C$22*I535^3+$D$22*I535^2+$E$22*I535+$F$22)/2</f>
      </c>
      <c r="X535" s="7">
        <f>($W535)*(T535)</f>
      </c>
      <c r="Y535" s="7">
        <f>($W535)*(U535)</f>
      </c>
      <c r="Z535" s="7">
        <f>SQRT(X535^2+Y535^2)</f>
      </c>
      <c r="AA535" s="7">
        <f>$K535+$X535</f>
      </c>
      <c r="AB535" s="7">
        <f>$L535+$Y535</f>
      </c>
      <c r="AC535" s="7">
        <f>$K535-$X535</f>
      </c>
      <c r="AD535" s="7">
        <f>$L535-$Y535</f>
      </c>
      <c r="AE535" s="7">
        <f>AA535/39.3701</f>
      </c>
      <c r="AF535" s="7">
        <f>AB535/39.3701</f>
      </c>
      <c r="AG535" s="7">
        <f>AC535/39.3701</f>
      </c>
      <c r="AH535" s="7">
        <f>AD535/39.3701</f>
      </c>
      <c r="AI535" s="1"/>
      <c r="AJ535" s="1"/>
      <c r="AK535" s="1"/>
      <c r="AL535" s="1"/>
      <c r="AM535" s="2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</row>
    <row x14ac:dyDescent="0.25" r="536" customHeight="1" ht="18.75">
      <c r="A536" s="1"/>
      <c r="B536" s="2"/>
      <c r="C536" s="2"/>
      <c r="D536" s="2"/>
      <c r="E536" s="2"/>
      <c r="F536" s="2"/>
      <c r="G536" s="1"/>
      <c r="H536" s="1"/>
      <c r="I536" s="7">
        <v>0.533</v>
      </c>
      <c r="J536" s="7">
        <f>IF((I536-ROUNDDOWN(I536,0))=0, 0, (I536-ROUNDDOWN(I536,0)))</f>
      </c>
      <c r="K536" s="7">
        <f>INDIRECT("C$"&amp;2+MIN(2,ROUNDDOWN(I536,0))*3)*(-$J536^3+3*$J536^2-3*$J536+1)+INDIRECT("C$"&amp;3+MIN(2,ROUNDDOWN(I536,0))*3)*(3*$J536^3-6*$J536^2+3*$J536)+INDIRECT("C$"&amp;4+MIN(2,ROUNDDOWN(I536,0))*3)*(-3*$J536^3+3*$J536^2)+INDIRECT("C$"&amp;5+MIN(2,ROUNDDOWN(I536,0))*3)*$J536^3</f>
      </c>
      <c r="L536" s="7">
        <f>INDIRECT("D$"&amp;2+MIN(2,ROUNDDOWN(I536,0))*3)*(-$J536^3+3*$J536^2-3*$J536+1)+INDIRECT("D$"&amp;3+MIN(2,ROUNDDOWN(I536,0))*3)*(3*$J536^3-6*$J536^2+3*$J536)+INDIRECT("D$"&amp;4+MIN(2,ROUNDDOWN(I536,0))*3)*(-3*$J536^3+3*$J536^2)+INDIRECT("D$"&amp;5+MIN(2,ROUNDDOWN(I536,0))*3)*$J536^3</f>
      </c>
      <c r="M536" s="7">
        <f>SQRT(K536^2+L536^2)</f>
      </c>
      <c r="N536" s="7">
        <f>(K537-K535)</f>
      </c>
      <c r="O536" s="7">
        <f>+(L537-L535)</f>
      </c>
      <c r="P536" s="7">
        <f>SQRT(O536^2+N536^2)</f>
      </c>
      <c r="Q536" s="7">
        <f>N536/$P536</f>
      </c>
      <c r="R536" s="7">
        <f>O536/$P536</f>
      </c>
      <c r="S536" s="8">
        <f>Q536^2+R536^2</f>
      </c>
      <c r="T536" s="7">
        <f>-R536</f>
      </c>
      <c r="U536" s="7">
        <f>Q536</f>
      </c>
      <c r="V536" s="7">
        <f>($C$14+($C$15-$C$14)/($D$15-$D$14)*(I536-$D$14))/2</f>
      </c>
      <c r="W536" s="7">
        <f>($B$22*I536^4+$C$22*I536^3+$D$22*I536^2+$E$22*I536+$F$22)/2</f>
      </c>
      <c r="X536" s="7">
        <f>($W536)*(T536)</f>
      </c>
      <c r="Y536" s="7">
        <f>($W536)*(U536)</f>
      </c>
      <c r="Z536" s="7">
        <f>SQRT(X536^2+Y536^2)</f>
      </c>
      <c r="AA536" s="7">
        <f>$K536+$X536</f>
      </c>
      <c r="AB536" s="7">
        <f>$L536+$Y536</f>
      </c>
      <c r="AC536" s="7">
        <f>$K536-$X536</f>
      </c>
      <c r="AD536" s="7">
        <f>$L536-$Y536</f>
      </c>
      <c r="AE536" s="7">
        <f>AA536/39.3701</f>
      </c>
      <c r="AF536" s="7">
        <f>AB536/39.3701</f>
      </c>
      <c r="AG536" s="7">
        <f>AC536/39.3701</f>
      </c>
      <c r="AH536" s="7">
        <f>AD536/39.3701</f>
      </c>
      <c r="AI536" s="1"/>
      <c r="AJ536" s="1"/>
      <c r="AK536" s="1"/>
      <c r="AL536" s="1"/>
      <c r="AM536" s="2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</row>
    <row x14ac:dyDescent="0.25" r="537" customHeight="1" ht="18.75">
      <c r="A537" s="1"/>
      <c r="B537" s="2"/>
      <c r="C537" s="2"/>
      <c r="D537" s="2"/>
      <c r="E537" s="2"/>
      <c r="F537" s="2"/>
      <c r="G537" s="1"/>
      <c r="H537" s="1"/>
      <c r="I537" s="7">
        <v>0.534</v>
      </c>
      <c r="J537" s="7">
        <f>IF((I537-ROUNDDOWN(I537,0))=0, 0, (I537-ROUNDDOWN(I537,0)))</f>
      </c>
      <c r="K537" s="7">
        <f>INDIRECT("C$"&amp;2+MIN(2,ROUNDDOWN(I537,0))*3)*(-$J537^3+3*$J537^2-3*$J537+1)+INDIRECT("C$"&amp;3+MIN(2,ROUNDDOWN(I537,0))*3)*(3*$J537^3-6*$J537^2+3*$J537)+INDIRECT("C$"&amp;4+MIN(2,ROUNDDOWN(I537,0))*3)*(-3*$J537^3+3*$J537^2)+INDIRECT("C$"&amp;5+MIN(2,ROUNDDOWN(I537,0))*3)*$J537^3</f>
      </c>
      <c r="L537" s="7">
        <f>INDIRECT("D$"&amp;2+MIN(2,ROUNDDOWN(I537,0))*3)*(-$J537^3+3*$J537^2-3*$J537+1)+INDIRECT("D$"&amp;3+MIN(2,ROUNDDOWN(I537,0))*3)*(3*$J537^3-6*$J537^2+3*$J537)+INDIRECT("D$"&amp;4+MIN(2,ROUNDDOWN(I537,0))*3)*(-3*$J537^3+3*$J537^2)+INDIRECT("D$"&amp;5+MIN(2,ROUNDDOWN(I537,0))*3)*$J537^3</f>
      </c>
      <c r="M537" s="7">
        <f>SQRT(K537^2+L537^2)</f>
      </c>
      <c r="N537" s="7">
        <f>(K538-K536)</f>
      </c>
      <c r="O537" s="7">
        <f>+(L538-L536)</f>
      </c>
      <c r="P537" s="7">
        <f>SQRT(O537^2+N537^2)</f>
      </c>
      <c r="Q537" s="7">
        <f>N537/$P537</f>
      </c>
      <c r="R537" s="7">
        <f>O537/$P537</f>
      </c>
      <c r="S537" s="7">
        <f>Q537^2+R537^2</f>
      </c>
      <c r="T537" s="7">
        <f>-R537</f>
      </c>
      <c r="U537" s="7">
        <f>Q537</f>
      </c>
      <c r="V537" s="7">
        <f>($C$14+($C$15-$C$14)/($D$15-$D$14)*(I537-$D$14))/2</f>
      </c>
      <c r="W537" s="7">
        <f>($B$22*I537^4+$C$22*I537^3+$D$22*I537^2+$E$22*I537+$F$22)/2</f>
      </c>
      <c r="X537" s="7">
        <f>($W537)*(T537)</f>
      </c>
      <c r="Y537" s="7">
        <f>($W537)*(U537)</f>
      </c>
      <c r="Z537" s="7">
        <f>SQRT(X537^2+Y537^2)</f>
      </c>
      <c r="AA537" s="7">
        <f>$K537+$X537</f>
      </c>
      <c r="AB537" s="7">
        <f>$L537+$Y537</f>
      </c>
      <c r="AC537" s="7">
        <f>$K537-$X537</f>
      </c>
      <c r="AD537" s="7">
        <f>$L537-$Y537</f>
      </c>
      <c r="AE537" s="7">
        <f>AA537/39.3701</f>
      </c>
      <c r="AF537" s="7">
        <f>AB537/39.3701</f>
      </c>
      <c r="AG537" s="7">
        <f>AC537/39.3701</f>
      </c>
      <c r="AH537" s="7">
        <f>AD537/39.3701</f>
      </c>
      <c r="AI537" s="1"/>
      <c r="AJ537" s="1"/>
      <c r="AK537" s="1"/>
      <c r="AL537" s="1"/>
      <c r="AM537" s="2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</row>
    <row x14ac:dyDescent="0.25" r="538" customHeight="1" ht="18.75">
      <c r="A538" s="1"/>
      <c r="B538" s="2"/>
      <c r="C538" s="2"/>
      <c r="D538" s="2"/>
      <c r="E538" s="2"/>
      <c r="F538" s="2"/>
      <c r="G538" s="1"/>
      <c r="H538" s="1"/>
      <c r="I538" s="7">
        <v>0.535</v>
      </c>
      <c r="J538" s="7">
        <f>IF((I538-ROUNDDOWN(I538,0))=0, 0, (I538-ROUNDDOWN(I538,0)))</f>
      </c>
      <c r="K538" s="7">
        <f>INDIRECT("C$"&amp;2+MIN(2,ROUNDDOWN(I538,0))*3)*(-$J538^3+3*$J538^2-3*$J538+1)+INDIRECT("C$"&amp;3+MIN(2,ROUNDDOWN(I538,0))*3)*(3*$J538^3-6*$J538^2+3*$J538)+INDIRECT("C$"&amp;4+MIN(2,ROUNDDOWN(I538,0))*3)*(-3*$J538^3+3*$J538^2)+INDIRECT("C$"&amp;5+MIN(2,ROUNDDOWN(I538,0))*3)*$J538^3</f>
      </c>
      <c r="L538" s="7">
        <f>INDIRECT("D$"&amp;2+MIN(2,ROUNDDOWN(I538,0))*3)*(-$J538^3+3*$J538^2-3*$J538+1)+INDIRECT("D$"&amp;3+MIN(2,ROUNDDOWN(I538,0))*3)*(3*$J538^3-6*$J538^2+3*$J538)+INDIRECT("D$"&amp;4+MIN(2,ROUNDDOWN(I538,0))*3)*(-3*$J538^3+3*$J538^2)+INDIRECT("D$"&amp;5+MIN(2,ROUNDDOWN(I538,0))*3)*$J538^3</f>
      </c>
      <c r="M538" s="7">
        <f>SQRT(K538^2+L538^2)</f>
      </c>
      <c r="N538" s="7">
        <f>(K539-K537)</f>
      </c>
      <c r="O538" s="7">
        <f>+(L539-L537)</f>
      </c>
      <c r="P538" s="7">
        <f>SQRT(O538^2+N538^2)</f>
      </c>
      <c r="Q538" s="7">
        <f>N538/$P538</f>
      </c>
      <c r="R538" s="7">
        <f>O538/$P538</f>
      </c>
      <c r="S538" s="7">
        <f>Q538^2+R538^2</f>
      </c>
      <c r="T538" s="7">
        <f>-R538</f>
      </c>
      <c r="U538" s="7">
        <f>Q538</f>
      </c>
      <c r="V538" s="7">
        <f>($C$14+($C$15-$C$14)/($D$15-$D$14)*(I538-$D$14))/2</f>
      </c>
      <c r="W538" s="7">
        <f>($B$22*I538^4+$C$22*I538^3+$D$22*I538^2+$E$22*I538+$F$22)/2</f>
      </c>
      <c r="X538" s="7">
        <f>($W538)*(T538)</f>
      </c>
      <c r="Y538" s="7">
        <f>($W538)*(U538)</f>
      </c>
      <c r="Z538" s="7">
        <f>SQRT(X538^2+Y538^2)</f>
      </c>
      <c r="AA538" s="7">
        <f>$K538+$X538</f>
      </c>
      <c r="AB538" s="7">
        <f>$L538+$Y538</f>
      </c>
      <c r="AC538" s="7">
        <f>$K538-$X538</f>
      </c>
      <c r="AD538" s="7">
        <f>$L538-$Y538</f>
      </c>
      <c r="AE538" s="7">
        <f>AA538/39.3701</f>
      </c>
      <c r="AF538" s="7">
        <f>AB538/39.3701</f>
      </c>
      <c r="AG538" s="7">
        <f>AC538/39.3701</f>
      </c>
      <c r="AH538" s="7">
        <f>AD538/39.3701</f>
      </c>
      <c r="AI538" s="1"/>
      <c r="AJ538" s="1"/>
      <c r="AK538" s="1"/>
      <c r="AL538" s="1"/>
      <c r="AM538" s="2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</row>
    <row x14ac:dyDescent="0.25" r="539" customHeight="1" ht="18.75">
      <c r="A539" s="1"/>
      <c r="B539" s="2"/>
      <c r="C539" s="2"/>
      <c r="D539" s="2"/>
      <c r="E539" s="2"/>
      <c r="F539" s="2"/>
      <c r="G539" s="1"/>
      <c r="H539" s="1"/>
      <c r="I539" s="7">
        <v>0.536</v>
      </c>
      <c r="J539" s="7">
        <f>IF((I539-ROUNDDOWN(I539,0))=0, 0, (I539-ROUNDDOWN(I539,0)))</f>
      </c>
      <c r="K539" s="7">
        <f>INDIRECT("C$"&amp;2+MIN(2,ROUNDDOWN(I539,0))*3)*(-$J539^3+3*$J539^2-3*$J539+1)+INDIRECT("C$"&amp;3+MIN(2,ROUNDDOWN(I539,0))*3)*(3*$J539^3-6*$J539^2+3*$J539)+INDIRECT("C$"&amp;4+MIN(2,ROUNDDOWN(I539,0))*3)*(-3*$J539^3+3*$J539^2)+INDIRECT("C$"&amp;5+MIN(2,ROUNDDOWN(I539,0))*3)*$J539^3</f>
      </c>
      <c r="L539" s="7">
        <f>INDIRECT("D$"&amp;2+MIN(2,ROUNDDOWN(I539,0))*3)*(-$J539^3+3*$J539^2-3*$J539+1)+INDIRECT("D$"&amp;3+MIN(2,ROUNDDOWN(I539,0))*3)*(3*$J539^3-6*$J539^2+3*$J539)+INDIRECT("D$"&amp;4+MIN(2,ROUNDDOWN(I539,0))*3)*(-3*$J539^3+3*$J539^2)+INDIRECT("D$"&amp;5+MIN(2,ROUNDDOWN(I539,0))*3)*$J539^3</f>
      </c>
      <c r="M539" s="7">
        <f>SQRT(K539^2+L539^2)</f>
      </c>
      <c r="N539" s="7">
        <f>(K540-K538)</f>
      </c>
      <c r="O539" s="7">
        <f>+(L540-L538)</f>
      </c>
      <c r="P539" s="7">
        <f>SQRT(O539^2+N539^2)</f>
      </c>
      <c r="Q539" s="7">
        <f>N539/$P539</f>
      </c>
      <c r="R539" s="7">
        <f>O539/$P539</f>
      </c>
      <c r="S539" s="7">
        <f>Q539^2+R539^2</f>
      </c>
      <c r="T539" s="7">
        <f>-R539</f>
      </c>
      <c r="U539" s="7">
        <f>Q539</f>
      </c>
      <c r="V539" s="7">
        <f>($C$14+($C$15-$C$14)/($D$15-$D$14)*(I539-$D$14))/2</f>
      </c>
      <c r="W539" s="7">
        <f>($B$22*I539^4+$C$22*I539^3+$D$22*I539^2+$E$22*I539+$F$22)/2</f>
      </c>
      <c r="X539" s="7">
        <f>($W539)*(T539)</f>
      </c>
      <c r="Y539" s="7">
        <f>($W539)*(U539)</f>
      </c>
      <c r="Z539" s="7">
        <f>SQRT(X539^2+Y539^2)</f>
      </c>
      <c r="AA539" s="7">
        <f>$K539+$X539</f>
      </c>
      <c r="AB539" s="7">
        <f>$L539+$Y539</f>
      </c>
      <c r="AC539" s="7">
        <f>$K539-$X539</f>
      </c>
      <c r="AD539" s="7">
        <f>$L539-$Y539</f>
      </c>
      <c r="AE539" s="7">
        <f>AA539/39.3701</f>
      </c>
      <c r="AF539" s="7">
        <f>AB539/39.3701</f>
      </c>
      <c r="AG539" s="7">
        <f>AC539/39.3701</f>
      </c>
      <c r="AH539" s="7">
        <f>AD539/39.3701</f>
      </c>
      <c r="AI539" s="1"/>
      <c r="AJ539" s="1"/>
      <c r="AK539" s="1"/>
      <c r="AL539" s="1"/>
      <c r="AM539" s="2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</row>
    <row x14ac:dyDescent="0.25" r="540" customHeight="1" ht="18.75">
      <c r="A540" s="1"/>
      <c r="B540" s="2"/>
      <c r="C540" s="2"/>
      <c r="D540" s="2"/>
      <c r="E540" s="2"/>
      <c r="F540" s="2"/>
      <c r="G540" s="1"/>
      <c r="H540" s="1"/>
      <c r="I540" s="7">
        <v>0.537</v>
      </c>
      <c r="J540" s="7">
        <f>IF((I540-ROUNDDOWN(I540,0))=0, 0, (I540-ROUNDDOWN(I540,0)))</f>
      </c>
      <c r="K540" s="7">
        <f>INDIRECT("C$"&amp;2+MIN(2,ROUNDDOWN(I540,0))*3)*(-$J540^3+3*$J540^2-3*$J540+1)+INDIRECT("C$"&amp;3+MIN(2,ROUNDDOWN(I540,0))*3)*(3*$J540^3-6*$J540^2+3*$J540)+INDIRECT("C$"&amp;4+MIN(2,ROUNDDOWN(I540,0))*3)*(-3*$J540^3+3*$J540^2)+INDIRECT("C$"&amp;5+MIN(2,ROUNDDOWN(I540,0))*3)*$J540^3</f>
      </c>
      <c r="L540" s="7">
        <f>INDIRECT("D$"&amp;2+MIN(2,ROUNDDOWN(I540,0))*3)*(-$J540^3+3*$J540^2-3*$J540+1)+INDIRECT("D$"&amp;3+MIN(2,ROUNDDOWN(I540,0))*3)*(3*$J540^3-6*$J540^2+3*$J540)+INDIRECT("D$"&amp;4+MIN(2,ROUNDDOWN(I540,0))*3)*(-3*$J540^3+3*$J540^2)+INDIRECT("D$"&amp;5+MIN(2,ROUNDDOWN(I540,0))*3)*$J540^3</f>
      </c>
      <c r="M540" s="7">
        <f>SQRT(K540^2+L540^2)</f>
      </c>
      <c r="N540" s="7">
        <f>(K541-K539)</f>
      </c>
      <c r="O540" s="7">
        <f>+(L541-L539)</f>
      </c>
      <c r="P540" s="7">
        <f>SQRT(O540^2+N540^2)</f>
      </c>
      <c r="Q540" s="7">
        <f>N540/$P540</f>
      </c>
      <c r="R540" s="7">
        <f>O540/$P540</f>
      </c>
      <c r="S540" s="8">
        <f>Q540^2+R540^2</f>
      </c>
      <c r="T540" s="7">
        <f>-R540</f>
      </c>
      <c r="U540" s="7">
        <f>Q540</f>
      </c>
      <c r="V540" s="7">
        <f>($C$14+($C$15-$C$14)/($D$15-$D$14)*(I540-$D$14))/2</f>
      </c>
      <c r="W540" s="7">
        <f>($B$22*I540^4+$C$22*I540^3+$D$22*I540^2+$E$22*I540+$F$22)/2</f>
      </c>
      <c r="X540" s="7">
        <f>($W540)*(T540)</f>
      </c>
      <c r="Y540" s="7">
        <f>($W540)*(U540)</f>
      </c>
      <c r="Z540" s="7">
        <f>SQRT(X540^2+Y540^2)</f>
      </c>
      <c r="AA540" s="7">
        <f>$K540+$X540</f>
      </c>
      <c r="AB540" s="7">
        <f>$L540+$Y540</f>
      </c>
      <c r="AC540" s="7">
        <f>$K540-$X540</f>
      </c>
      <c r="AD540" s="7">
        <f>$L540-$Y540</f>
      </c>
      <c r="AE540" s="7">
        <f>AA540/39.3701</f>
      </c>
      <c r="AF540" s="7">
        <f>AB540/39.3701</f>
      </c>
      <c r="AG540" s="7">
        <f>AC540/39.3701</f>
      </c>
      <c r="AH540" s="7">
        <f>AD540/39.3701</f>
      </c>
      <c r="AI540" s="1"/>
      <c r="AJ540" s="1"/>
      <c r="AK540" s="1"/>
      <c r="AL540" s="1"/>
      <c r="AM540" s="2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</row>
    <row x14ac:dyDescent="0.25" r="541" customHeight="1" ht="18.75">
      <c r="A541" s="1"/>
      <c r="B541" s="2"/>
      <c r="C541" s="2"/>
      <c r="D541" s="2"/>
      <c r="E541" s="2"/>
      <c r="F541" s="2"/>
      <c r="G541" s="1"/>
      <c r="H541" s="1"/>
      <c r="I541" s="7">
        <v>0.538</v>
      </c>
      <c r="J541" s="7">
        <f>IF((I541-ROUNDDOWN(I541,0))=0, 0, (I541-ROUNDDOWN(I541,0)))</f>
      </c>
      <c r="K541" s="7">
        <f>INDIRECT("C$"&amp;2+MIN(2,ROUNDDOWN(I541,0))*3)*(-$J541^3+3*$J541^2-3*$J541+1)+INDIRECT("C$"&amp;3+MIN(2,ROUNDDOWN(I541,0))*3)*(3*$J541^3-6*$J541^2+3*$J541)+INDIRECT("C$"&amp;4+MIN(2,ROUNDDOWN(I541,0))*3)*(-3*$J541^3+3*$J541^2)+INDIRECT("C$"&amp;5+MIN(2,ROUNDDOWN(I541,0))*3)*$J541^3</f>
      </c>
      <c r="L541" s="7">
        <f>INDIRECT("D$"&amp;2+MIN(2,ROUNDDOWN(I541,0))*3)*(-$J541^3+3*$J541^2-3*$J541+1)+INDIRECT("D$"&amp;3+MIN(2,ROUNDDOWN(I541,0))*3)*(3*$J541^3-6*$J541^2+3*$J541)+INDIRECT("D$"&amp;4+MIN(2,ROUNDDOWN(I541,0))*3)*(-3*$J541^3+3*$J541^2)+INDIRECT("D$"&amp;5+MIN(2,ROUNDDOWN(I541,0))*3)*$J541^3</f>
      </c>
      <c r="M541" s="7">
        <f>SQRT(K541^2+L541^2)</f>
      </c>
      <c r="N541" s="7">
        <f>(K542-K540)</f>
      </c>
      <c r="O541" s="7">
        <f>+(L542-L540)</f>
      </c>
      <c r="P541" s="7">
        <f>SQRT(O541^2+N541^2)</f>
      </c>
      <c r="Q541" s="7">
        <f>N541/$P541</f>
      </c>
      <c r="R541" s="7">
        <f>O541/$P541</f>
      </c>
      <c r="S541" s="7">
        <f>Q541^2+R541^2</f>
      </c>
      <c r="T541" s="7">
        <f>-R541</f>
      </c>
      <c r="U541" s="7">
        <f>Q541</f>
      </c>
      <c r="V541" s="7">
        <f>($C$14+($C$15-$C$14)/($D$15-$D$14)*(I541-$D$14))/2</f>
      </c>
      <c r="W541" s="7">
        <f>($B$22*I541^4+$C$22*I541^3+$D$22*I541^2+$E$22*I541+$F$22)/2</f>
      </c>
      <c r="X541" s="7">
        <f>($W541)*(T541)</f>
      </c>
      <c r="Y541" s="7">
        <f>($W541)*(U541)</f>
      </c>
      <c r="Z541" s="7">
        <f>SQRT(X541^2+Y541^2)</f>
      </c>
      <c r="AA541" s="7">
        <f>$K541+$X541</f>
      </c>
      <c r="AB541" s="7">
        <f>$L541+$Y541</f>
      </c>
      <c r="AC541" s="7">
        <f>$K541-$X541</f>
      </c>
      <c r="AD541" s="7">
        <f>$L541-$Y541</f>
      </c>
      <c r="AE541" s="7">
        <f>AA541/39.3701</f>
      </c>
      <c r="AF541" s="7">
        <f>AB541/39.3701</f>
      </c>
      <c r="AG541" s="7">
        <f>AC541/39.3701</f>
      </c>
      <c r="AH541" s="7">
        <f>AD541/39.3701</f>
      </c>
      <c r="AI541" s="1"/>
      <c r="AJ541" s="1"/>
      <c r="AK541" s="1"/>
      <c r="AL541" s="1"/>
      <c r="AM541" s="2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</row>
    <row x14ac:dyDescent="0.25" r="542" customHeight="1" ht="18.75">
      <c r="A542" s="1"/>
      <c r="B542" s="2"/>
      <c r="C542" s="2"/>
      <c r="D542" s="2"/>
      <c r="E542" s="2"/>
      <c r="F542" s="2"/>
      <c r="G542" s="1"/>
      <c r="H542" s="1"/>
      <c r="I542" s="7">
        <v>0.539</v>
      </c>
      <c r="J542" s="7">
        <f>IF((I542-ROUNDDOWN(I542,0))=0, 0, (I542-ROUNDDOWN(I542,0)))</f>
      </c>
      <c r="K542" s="7">
        <f>INDIRECT("C$"&amp;2+MIN(2,ROUNDDOWN(I542,0))*3)*(-$J542^3+3*$J542^2-3*$J542+1)+INDIRECT("C$"&amp;3+MIN(2,ROUNDDOWN(I542,0))*3)*(3*$J542^3-6*$J542^2+3*$J542)+INDIRECT("C$"&amp;4+MIN(2,ROUNDDOWN(I542,0))*3)*(-3*$J542^3+3*$J542^2)+INDIRECT("C$"&amp;5+MIN(2,ROUNDDOWN(I542,0))*3)*$J542^3</f>
      </c>
      <c r="L542" s="7">
        <f>INDIRECT("D$"&amp;2+MIN(2,ROUNDDOWN(I542,0))*3)*(-$J542^3+3*$J542^2-3*$J542+1)+INDIRECT("D$"&amp;3+MIN(2,ROUNDDOWN(I542,0))*3)*(3*$J542^3-6*$J542^2+3*$J542)+INDIRECT("D$"&amp;4+MIN(2,ROUNDDOWN(I542,0))*3)*(-3*$J542^3+3*$J542^2)+INDIRECT("D$"&amp;5+MIN(2,ROUNDDOWN(I542,0))*3)*$J542^3</f>
      </c>
      <c r="M542" s="7">
        <f>SQRT(K542^2+L542^2)</f>
      </c>
      <c r="N542" s="7">
        <f>(K543-K541)</f>
      </c>
      <c r="O542" s="7">
        <f>+(L543-L541)</f>
      </c>
      <c r="P542" s="7">
        <f>SQRT(O542^2+N542^2)</f>
      </c>
      <c r="Q542" s="7">
        <f>N542/$P542</f>
      </c>
      <c r="R542" s="7">
        <f>O542/$P542</f>
      </c>
      <c r="S542" s="7">
        <f>Q542^2+R542^2</f>
      </c>
      <c r="T542" s="7">
        <f>-R542</f>
      </c>
      <c r="U542" s="7">
        <f>Q542</f>
      </c>
      <c r="V542" s="7">
        <f>($C$14+($C$15-$C$14)/($D$15-$D$14)*(I542-$D$14))/2</f>
      </c>
      <c r="W542" s="7">
        <f>($B$22*I542^4+$C$22*I542^3+$D$22*I542^2+$E$22*I542+$F$22)/2</f>
      </c>
      <c r="X542" s="7">
        <f>($W542)*(T542)</f>
      </c>
      <c r="Y542" s="7">
        <f>($W542)*(U542)</f>
      </c>
      <c r="Z542" s="7">
        <f>SQRT(X542^2+Y542^2)</f>
      </c>
      <c r="AA542" s="7">
        <f>$K542+$X542</f>
      </c>
      <c r="AB542" s="7">
        <f>$L542+$Y542</f>
      </c>
      <c r="AC542" s="7">
        <f>$K542-$X542</f>
      </c>
      <c r="AD542" s="7">
        <f>$L542-$Y542</f>
      </c>
      <c r="AE542" s="7">
        <f>AA542/39.3701</f>
      </c>
      <c r="AF542" s="7">
        <f>AB542/39.3701</f>
      </c>
      <c r="AG542" s="7">
        <f>AC542/39.3701</f>
      </c>
      <c r="AH542" s="7">
        <f>AD542/39.3701</f>
      </c>
      <c r="AI542" s="1"/>
      <c r="AJ542" s="1"/>
      <c r="AK542" s="1"/>
      <c r="AL542" s="1"/>
      <c r="AM542" s="2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</row>
    <row x14ac:dyDescent="0.25" r="543" customHeight="1" ht="18.75">
      <c r="A543" s="1"/>
      <c r="B543" s="2"/>
      <c r="C543" s="2"/>
      <c r="D543" s="2"/>
      <c r="E543" s="2"/>
      <c r="F543" s="2"/>
      <c r="G543" s="1"/>
      <c r="H543" s="1"/>
      <c r="I543" s="7">
        <v>0.54</v>
      </c>
      <c r="J543" s="7">
        <f>IF((I543-ROUNDDOWN(I543,0))=0, 0, (I543-ROUNDDOWN(I543,0)))</f>
      </c>
      <c r="K543" s="7">
        <f>INDIRECT("C$"&amp;2+MIN(2,ROUNDDOWN(I543,0))*3)*(-$J543^3+3*$J543^2-3*$J543+1)+INDIRECT("C$"&amp;3+MIN(2,ROUNDDOWN(I543,0))*3)*(3*$J543^3-6*$J543^2+3*$J543)+INDIRECT("C$"&amp;4+MIN(2,ROUNDDOWN(I543,0))*3)*(-3*$J543^3+3*$J543^2)+INDIRECT("C$"&amp;5+MIN(2,ROUNDDOWN(I543,0))*3)*$J543^3</f>
      </c>
      <c r="L543" s="7">
        <f>INDIRECT("D$"&amp;2+MIN(2,ROUNDDOWN(I543,0))*3)*(-$J543^3+3*$J543^2-3*$J543+1)+INDIRECT("D$"&amp;3+MIN(2,ROUNDDOWN(I543,0))*3)*(3*$J543^3-6*$J543^2+3*$J543)+INDIRECT("D$"&amp;4+MIN(2,ROUNDDOWN(I543,0))*3)*(-3*$J543^3+3*$J543^2)+INDIRECT("D$"&amp;5+MIN(2,ROUNDDOWN(I543,0))*3)*$J543^3</f>
      </c>
      <c r="M543" s="7">
        <f>SQRT(K543^2+L543^2)</f>
      </c>
      <c r="N543" s="7">
        <f>(K544-K542)</f>
      </c>
      <c r="O543" s="7">
        <f>+(L544-L542)</f>
      </c>
      <c r="P543" s="7">
        <f>SQRT(O543^2+N543^2)</f>
      </c>
      <c r="Q543" s="7">
        <f>N543/$P543</f>
      </c>
      <c r="R543" s="7">
        <f>O543/$P543</f>
      </c>
      <c r="S543" s="7">
        <f>Q543^2+R543^2</f>
      </c>
      <c r="T543" s="7">
        <f>-R543</f>
      </c>
      <c r="U543" s="7">
        <f>Q543</f>
      </c>
      <c r="V543" s="7">
        <f>($C$14+($C$15-$C$14)/($D$15-$D$14)*(I543-$D$14))/2</f>
      </c>
      <c r="W543" s="7">
        <f>($B$22*I543^4+$C$22*I543^3+$D$22*I543^2+$E$22*I543+$F$22)/2</f>
      </c>
      <c r="X543" s="7">
        <f>($W543)*(T543)</f>
      </c>
      <c r="Y543" s="7">
        <f>($W543)*(U543)</f>
      </c>
      <c r="Z543" s="7">
        <f>SQRT(X543^2+Y543^2)</f>
      </c>
      <c r="AA543" s="7">
        <f>$K543+$X543</f>
      </c>
      <c r="AB543" s="7">
        <f>$L543+$Y543</f>
      </c>
      <c r="AC543" s="7">
        <f>$K543-$X543</f>
      </c>
      <c r="AD543" s="7">
        <f>$L543-$Y543</f>
      </c>
      <c r="AE543" s="7">
        <f>AA543/39.3701</f>
      </c>
      <c r="AF543" s="7">
        <f>AB543/39.3701</f>
      </c>
      <c r="AG543" s="7">
        <f>AC543/39.3701</f>
      </c>
      <c r="AH543" s="7">
        <f>AD543/39.3701</f>
      </c>
      <c r="AI543" s="1"/>
      <c r="AJ543" s="1"/>
      <c r="AK543" s="1"/>
      <c r="AL543" s="1"/>
      <c r="AM543" s="2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</row>
    <row x14ac:dyDescent="0.25" r="544" customHeight="1" ht="18.75">
      <c r="A544" s="1"/>
      <c r="B544" s="2"/>
      <c r="C544" s="2"/>
      <c r="D544" s="2"/>
      <c r="E544" s="2"/>
      <c r="F544" s="2"/>
      <c r="G544" s="1"/>
      <c r="H544" s="1"/>
      <c r="I544" s="7">
        <v>0.541</v>
      </c>
      <c r="J544" s="7">
        <f>IF((I544-ROUNDDOWN(I544,0))=0, 0, (I544-ROUNDDOWN(I544,0)))</f>
      </c>
      <c r="K544" s="7">
        <f>INDIRECT("C$"&amp;2+MIN(2,ROUNDDOWN(I544,0))*3)*(-$J544^3+3*$J544^2-3*$J544+1)+INDIRECT("C$"&amp;3+MIN(2,ROUNDDOWN(I544,0))*3)*(3*$J544^3-6*$J544^2+3*$J544)+INDIRECT("C$"&amp;4+MIN(2,ROUNDDOWN(I544,0))*3)*(-3*$J544^3+3*$J544^2)+INDIRECT("C$"&amp;5+MIN(2,ROUNDDOWN(I544,0))*3)*$J544^3</f>
      </c>
      <c r="L544" s="7">
        <f>INDIRECT("D$"&amp;2+MIN(2,ROUNDDOWN(I544,0))*3)*(-$J544^3+3*$J544^2-3*$J544+1)+INDIRECT("D$"&amp;3+MIN(2,ROUNDDOWN(I544,0))*3)*(3*$J544^3-6*$J544^2+3*$J544)+INDIRECT("D$"&amp;4+MIN(2,ROUNDDOWN(I544,0))*3)*(-3*$J544^3+3*$J544^2)+INDIRECT("D$"&amp;5+MIN(2,ROUNDDOWN(I544,0))*3)*$J544^3</f>
      </c>
      <c r="M544" s="7">
        <f>SQRT(K544^2+L544^2)</f>
      </c>
      <c r="N544" s="7">
        <f>(K545-K543)</f>
      </c>
      <c r="O544" s="7">
        <f>+(L545-L543)</f>
      </c>
      <c r="P544" s="7">
        <f>SQRT(O544^2+N544^2)</f>
      </c>
      <c r="Q544" s="7">
        <f>N544/$P544</f>
      </c>
      <c r="R544" s="7">
        <f>O544/$P544</f>
      </c>
      <c r="S544" s="8">
        <f>Q544^2+R544^2</f>
      </c>
      <c r="T544" s="7">
        <f>-R544</f>
      </c>
      <c r="U544" s="7">
        <f>Q544</f>
      </c>
      <c r="V544" s="7">
        <f>($C$14+($C$15-$C$14)/($D$15-$D$14)*(I544-$D$14))/2</f>
      </c>
      <c r="W544" s="7">
        <f>($B$22*I544^4+$C$22*I544^3+$D$22*I544^2+$E$22*I544+$F$22)/2</f>
      </c>
      <c r="X544" s="7">
        <f>($W544)*(T544)</f>
      </c>
      <c r="Y544" s="7">
        <f>($W544)*(U544)</f>
      </c>
      <c r="Z544" s="7">
        <f>SQRT(X544^2+Y544^2)</f>
      </c>
      <c r="AA544" s="7">
        <f>$K544+$X544</f>
      </c>
      <c r="AB544" s="7">
        <f>$L544+$Y544</f>
      </c>
      <c r="AC544" s="7">
        <f>$K544-$X544</f>
      </c>
      <c r="AD544" s="7">
        <f>$L544-$Y544</f>
      </c>
      <c r="AE544" s="7">
        <f>AA544/39.3701</f>
      </c>
      <c r="AF544" s="7">
        <f>AB544/39.3701</f>
      </c>
      <c r="AG544" s="7">
        <f>AC544/39.3701</f>
      </c>
      <c r="AH544" s="7">
        <f>AD544/39.3701</f>
      </c>
      <c r="AI544" s="1"/>
      <c r="AJ544" s="1"/>
      <c r="AK544" s="1"/>
      <c r="AL544" s="1"/>
      <c r="AM544" s="2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</row>
    <row x14ac:dyDescent="0.25" r="545" customHeight="1" ht="18.75">
      <c r="A545" s="1"/>
      <c r="B545" s="2"/>
      <c r="C545" s="2"/>
      <c r="D545" s="2"/>
      <c r="E545" s="2"/>
      <c r="F545" s="2"/>
      <c r="G545" s="1"/>
      <c r="H545" s="1"/>
      <c r="I545" s="7">
        <v>0.542</v>
      </c>
      <c r="J545" s="7">
        <f>IF((I545-ROUNDDOWN(I545,0))=0, 0, (I545-ROUNDDOWN(I545,0)))</f>
      </c>
      <c r="K545" s="7">
        <f>INDIRECT("C$"&amp;2+MIN(2,ROUNDDOWN(I545,0))*3)*(-$J545^3+3*$J545^2-3*$J545+1)+INDIRECT("C$"&amp;3+MIN(2,ROUNDDOWN(I545,0))*3)*(3*$J545^3-6*$J545^2+3*$J545)+INDIRECT("C$"&amp;4+MIN(2,ROUNDDOWN(I545,0))*3)*(-3*$J545^3+3*$J545^2)+INDIRECT("C$"&amp;5+MIN(2,ROUNDDOWN(I545,0))*3)*$J545^3</f>
      </c>
      <c r="L545" s="7">
        <f>INDIRECT("D$"&amp;2+MIN(2,ROUNDDOWN(I545,0))*3)*(-$J545^3+3*$J545^2-3*$J545+1)+INDIRECT("D$"&amp;3+MIN(2,ROUNDDOWN(I545,0))*3)*(3*$J545^3-6*$J545^2+3*$J545)+INDIRECT("D$"&amp;4+MIN(2,ROUNDDOWN(I545,0))*3)*(-3*$J545^3+3*$J545^2)+INDIRECT("D$"&amp;5+MIN(2,ROUNDDOWN(I545,0))*3)*$J545^3</f>
      </c>
      <c r="M545" s="7">
        <f>SQRT(K545^2+L545^2)</f>
      </c>
      <c r="N545" s="7">
        <f>(K546-K544)</f>
      </c>
      <c r="O545" s="7">
        <f>+(L546-L544)</f>
      </c>
      <c r="P545" s="7">
        <f>SQRT(O545^2+N545^2)</f>
      </c>
      <c r="Q545" s="7">
        <f>N545/$P545</f>
      </c>
      <c r="R545" s="7">
        <f>O545/$P545</f>
      </c>
      <c r="S545" s="8">
        <f>Q545^2+R545^2</f>
      </c>
      <c r="T545" s="7">
        <f>-R545</f>
      </c>
      <c r="U545" s="7">
        <f>Q545</f>
      </c>
      <c r="V545" s="7">
        <f>($C$14+($C$15-$C$14)/($D$15-$D$14)*(I545-$D$14))/2</f>
      </c>
      <c r="W545" s="7">
        <f>($B$22*I545^4+$C$22*I545^3+$D$22*I545^2+$E$22*I545+$F$22)/2</f>
      </c>
      <c r="X545" s="7">
        <f>($W545)*(T545)</f>
      </c>
      <c r="Y545" s="7">
        <f>($W545)*(U545)</f>
      </c>
      <c r="Z545" s="7">
        <f>SQRT(X545^2+Y545^2)</f>
      </c>
      <c r="AA545" s="7">
        <f>$K545+$X545</f>
      </c>
      <c r="AB545" s="7">
        <f>$L545+$Y545</f>
      </c>
      <c r="AC545" s="7">
        <f>$K545-$X545</f>
      </c>
      <c r="AD545" s="7">
        <f>$L545-$Y545</f>
      </c>
      <c r="AE545" s="7">
        <f>AA545/39.3701</f>
      </c>
      <c r="AF545" s="7">
        <f>AB545/39.3701</f>
      </c>
      <c r="AG545" s="7">
        <f>AC545/39.3701</f>
      </c>
      <c r="AH545" s="7">
        <f>AD545/39.3701</f>
      </c>
      <c r="AI545" s="1"/>
      <c r="AJ545" s="1"/>
      <c r="AK545" s="1"/>
      <c r="AL545" s="1"/>
      <c r="AM545" s="2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</row>
    <row x14ac:dyDescent="0.25" r="546" customHeight="1" ht="18.75">
      <c r="A546" s="1"/>
      <c r="B546" s="2"/>
      <c r="C546" s="2"/>
      <c r="D546" s="2"/>
      <c r="E546" s="2"/>
      <c r="F546" s="2"/>
      <c r="G546" s="1"/>
      <c r="H546" s="1"/>
      <c r="I546" s="7">
        <v>0.543</v>
      </c>
      <c r="J546" s="7">
        <f>IF((I546-ROUNDDOWN(I546,0))=0, 0, (I546-ROUNDDOWN(I546,0)))</f>
      </c>
      <c r="K546" s="7">
        <f>INDIRECT("C$"&amp;2+MIN(2,ROUNDDOWN(I546,0))*3)*(-$J546^3+3*$J546^2-3*$J546+1)+INDIRECT("C$"&amp;3+MIN(2,ROUNDDOWN(I546,0))*3)*(3*$J546^3-6*$J546^2+3*$J546)+INDIRECT("C$"&amp;4+MIN(2,ROUNDDOWN(I546,0))*3)*(-3*$J546^3+3*$J546^2)+INDIRECT("C$"&amp;5+MIN(2,ROUNDDOWN(I546,0))*3)*$J546^3</f>
      </c>
      <c r="L546" s="7">
        <f>INDIRECT("D$"&amp;2+MIN(2,ROUNDDOWN(I546,0))*3)*(-$J546^3+3*$J546^2-3*$J546+1)+INDIRECT("D$"&amp;3+MIN(2,ROUNDDOWN(I546,0))*3)*(3*$J546^3-6*$J546^2+3*$J546)+INDIRECT("D$"&amp;4+MIN(2,ROUNDDOWN(I546,0))*3)*(-3*$J546^3+3*$J546^2)+INDIRECT("D$"&amp;5+MIN(2,ROUNDDOWN(I546,0))*3)*$J546^3</f>
      </c>
      <c r="M546" s="7">
        <f>SQRT(K546^2+L546^2)</f>
      </c>
      <c r="N546" s="7">
        <f>(K547-K545)</f>
      </c>
      <c r="O546" s="7">
        <f>+(L547-L545)</f>
      </c>
      <c r="P546" s="7">
        <f>SQRT(O546^2+N546^2)</f>
      </c>
      <c r="Q546" s="7">
        <f>N546/$P546</f>
      </c>
      <c r="R546" s="7">
        <f>O546/$P546</f>
      </c>
      <c r="S546" s="7">
        <f>Q546^2+R546^2</f>
      </c>
      <c r="T546" s="7">
        <f>-R546</f>
      </c>
      <c r="U546" s="7">
        <f>Q546</f>
      </c>
      <c r="V546" s="7">
        <f>($C$14+($C$15-$C$14)/($D$15-$D$14)*(I546-$D$14))/2</f>
      </c>
      <c r="W546" s="7">
        <f>($B$22*I546^4+$C$22*I546^3+$D$22*I546^2+$E$22*I546+$F$22)/2</f>
      </c>
      <c r="X546" s="7">
        <f>($W546)*(T546)</f>
      </c>
      <c r="Y546" s="7">
        <f>($W546)*(U546)</f>
      </c>
      <c r="Z546" s="7">
        <f>SQRT(X546^2+Y546^2)</f>
      </c>
      <c r="AA546" s="7">
        <f>$K546+$X546</f>
      </c>
      <c r="AB546" s="7">
        <f>$L546+$Y546</f>
      </c>
      <c r="AC546" s="7">
        <f>$K546-$X546</f>
      </c>
      <c r="AD546" s="7">
        <f>$L546-$Y546</f>
      </c>
      <c r="AE546" s="7">
        <f>AA546/39.3701</f>
      </c>
      <c r="AF546" s="7">
        <f>AB546/39.3701</f>
      </c>
      <c r="AG546" s="7">
        <f>AC546/39.3701</f>
      </c>
      <c r="AH546" s="7">
        <f>AD546/39.3701</f>
      </c>
      <c r="AI546" s="1"/>
      <c r="AJ546" s="1"/>
      <c r="AK546" s="1"/>
      <c r="AL546" s="1"/>
      <c r="AM546" s="2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</row>
    <row x14ac:dyDescent="0.25" r="547" customHeight="1" ht="18.75">
      <c r="A547" s="1"/>
      <c r="B547" s="2"/>
      <c r="C547" s="2"/>
      <c r="D547" s="2"/>
      <c r="E547" s="2"/>
      <c r="F547" s="2"/>
      <c r="G547" s="1"/>
      <c r="H547" s="1"/>
      <c r="I547" s="7">
        <v>0.544</v>
      </c>
      <c r="J547" s="7">
        <f>IF((I547-ROUNDDOWN(I547,0))=0, 0, (I547-ROUNDDOWN(I547,0)))</f>
      </c>
      <c r="K547" s="7">
        <f>INDIRECT("C$"&amp;2+MIN(2,ROUNDDOWN(I547,0))*3)*(-$J547^3+3*$J547^2-3*$J547+1)+INDIRECT("C$"&amp;3+MIN(2,ROUNDDOWN(I547,0))*3)*(3*$J547^3-6*$J547^2+3*$J547)+INDIRECT("C$"&amp;4+MIN(2,ROUNDDOWN(I547,0))*3)*(-3*$J547^3+3*$J547^2)+INDIRECT("C$"&amp;5+MIN(2,ROUNDDOWN(I547,0))*3)*$J547^3</f>
      </c>
      <c r="L547" s="7">
        <f>INDIRECT("D$"&amp;2+MIN(2,ROUNDDOWN(I547,0))*3)*(-$J547^3+3*$J547^2-3*$J547+1)+INDIRECT("D$"&amp;3+MIN(2,ROUNDDOWN(I547,0))*3)*(3*$J547^3-6*$J547^2+3*$J547)+INDIRECT("D$"&amp;4+MIN(2,ROUNDDOWN(I547,0))*3)*(-3*$J547^3+3*$J547^2)+INDIRECT("D$"&amp;5+MIN(2,ROUNDDOWN(I547,0))*3)*$J547^3</f>
      </c>
      <c r="M547" s="7">
        <f>SQRT(K547^2+L547^2)</f>
      </c>
      <c r="N547" s="7">
        <f>(K548-K546)</f>
      </c>
      <c r="O547" s="7">
        <f>+(L548-L546)</f>
      </c>
      <c r="P547" s="7">
        <f>SQRT(O547^2+N547^2)</f>
      </c>
      <c r="Q547" s="7">
        <f>N547/$P547</f>
      </c>
      <c r="R547" s="7">
        <f>O547/$P547</f>
      </c>
      <c r="S547" s="8">
        <f>Q547^2+R547^2</f>
      </c>
      <c r="T547" s="7">
        <f>-R547</f>
      </c>
      <c r="U547" s="7">
        <f>Q547</f>
      </c>
      <c r="V547" s="7">
        <f>($C$14+($C$15-$C$14)/($D$15-$D$14)*(I547-$D$14))/2</f>
      </c>
      <c r="W547" s="7">
        <f>($B$22*I547^4+$C$22*I547^3+$D$22*I547^2+$E$22*I547+$F$22)/2</f>
      </c>
      <c r="X547" s="7">
        <f>($W547)*(T547)</f>
      </c>
      <c r="Y547" s="7">
        <f>($W547)*(U547)</f>
      </c>
      <c r="Z547" s="7">
        <f>SQRT(X547^2+Y547^2)</f>
      </c>
      <c r="AA547" s="7">
        <f>$K547+$X547</f>
      </c>
      <c r="AB547" s="7">
        <f>$L547+$Y547</f>
      </c>
      <c r="AC547" s="7">
        <f>$K547-$X547</f>
      </c>
      <c r="AD547" s="7">
        <f>$L547-$Y547</f>
      </c>
      <c r="AE547" s="7">
        <f>AA547/39.3701</f>
      </c>
      <c r="AF547" s="7">
        <f>AB547/39.3701</f>
      </c>
      <c r="AG547" s="7">
        <f>AC547/39.3701</f>
      </c>
      <c r="AH547" s="7">
        <f>AD547/39.3701</f>
      </c>
      <c r="AI547" s="1"/>
      <c r="AJ547" s="1"/>
      <c r="AK547" s="1"/>
      <c r="AL547" s="1"/>
      <c r="AM547" s="2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</row>
    <row x14ac:dyDescent="0.25" r="548" customHeight="1" ht="18.75">
      <c r="A548" s="1"/>
      <c r="B548" s="2"/>
      <c r="C548" s="2"/>
      <c r="D548" s="2"/>
      <c r="E548" s="2"/>
      <c r="F548" s="2"/>
      <c r="G548" s="1"/>
      <c r="H548" s="1"/>
      <c r="I548" s="7">
        <v>0.545</v>
      </c>
      <c r="J548" s="7">
        <f>IF((I548-ROUNDDOWN(I548,0))=0, 0, (I548-ROUNDDOWN(I548,0)))</f>
      </c>
      <c r="K548" s="7">
        <f>INDIRECT("C$"&amp;2+MIN(2,ROUNDDOWN(I548,0))*3)*(-$J548^3+3*$J548^2-3*$J548+1)+INDIRECT("C$"&amp;3+MIN(2,ROUNDDOWN(I548,0))*3)*(3*$J548^3-6*$J548^2+3*$J548)+INDIRECT("C$"&amp;4+MIN(2,ROUNDDOWN(I548,0))*3)*(-3*$J548^3+3*$J548^2)+INDIRECT("C$"&amp;5+MIN(2,ROUNDDOWN(I548,0))*3)*$J548^3</f>
      </c>
      <c r="L548" s="7">
        <f>INDIRECT("D$"&amp;2+MIN(2,ROUNDDOWN(I548,0))*3)*(-$J548^3+3*$J548^2-3*$J548+1)+INDIRECT("D$"&amp;3+MIN(2,ROUNDDOWN(I548,0))*3)*(3*$J548^3-6*$J548^2+3*$J548)+INDIRECT("D$"&amp;4+MIN(2,ROUNDDOWN(I548,0))*3)*(-3*$J548^3+3*$J548^2)+INDIRECT("D$"&amp;5+MIN(2,ROUNDDOWN(I548,0))*3)*$J548^3</f>
      </c>
      <c r="M548" s="7">
        <f>SQRT(K548^2+L548^2)</f>
      </c>
      <c r="N548" s="7">
        <f>(K549-K547)</f>
      </c>
      <c r="O548" s="7">
        <f>+(L549-L547)</f>
      </c>
      <c r="P548" s="7">
        <f>SQRT(O548^2+N548^2)</f>
      </c>
      <c r="Q548" s="7">
        <f>N548/$P548</f>
      </c>
      <c r="R548" s="7">
        <f>O548/$P548</f>
      </c>
      <c r="S548" s="7">
        <f>Q548^2+R548^2</f>
      </c>
      <c r="T548" s="7">
        <f>-R548</f>
      </c>
      <c r="U548" s="7">
        <f>Q548</f>
      </c>
      <c r="V548" s="7">
        <f>($C$14+($C$15-$C$14)/($D$15-$D$14)*(I548-$D$14))/2</f>
      </c>
      <c r="W548" s="7">
        <f>($B$22*I548^4+$C$22*I548^3+$D$22*I548^2+$E$22*I548+$F$22)/2</f>
      </c>
      <c r="X548" s="7">
        <f>($W548)*(T548)</f>
      </c>
      <c r="Y548" s="7">
        <f>($W548)*(U548)</f>
      </c>
      <c r="Z548" s="7">
        <f>SQRT(X548^2+Y548^2)</f>
      </c>
      <c r="AA548" s="7">
        <f>$K548+$X548</f>
      </c>
      <c r="AB548" s="7">
        <f>$L548+$Y548</f>
      </c>
      <c r="AC548" s="7">
        <f>$K548-$X548</f>
      </c>
      <c r="AD548" s="7">
        <f>$L548-$Y548</f>
      </c>
      <c r="AE548" s="7">
        <f>AA548/39.3701</f>
      </c>
      <c r="AF548" s="7">
        <f>AB548/39.3701</f>
      </c>
      <c r="AG548" s="7">
        <f>AC548/39.3701</f>
      </c>
      <c r="AH548" s="7">
        <f>AD548/39.3701</f>
      </c>
      <c r="AI548" s="1"/>
      <c r="AJ548" s="1"/>
      <c r="AK548" s="1"/>
      <c r="AL548" s="1"/>
      <c r="AM548" s="2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</row>
    <row x14ac:dyDescent="0.25" r="549" customHeight="1" ht="18.75">
      <c r="A549" s="1"/>
      <c r="B549" s="2"/>
      <c r="C549" s="2"/>
      <c r="D549" s="2"/>
      <c r="E549" s="2"/>
      <c r="F549" s="2"/>
      <c r="G549" s="1"/>
      <c r="H549" s="1"/>
      <c r="I549" s="7">
        <v>0.546</v>
      </c>
      <c r="J549" s="7">
        <f>IF((I549-ROUNDDOWN(I549,0))=0, 0, (I549-ROUNDDOWN(I549,0)))</f>
      </c>
      <c r="K549" s="7">
        <f>INDIRECT("C$"&amp;2+MIN(2,ROUNDDOWN(I549,0))*3)*(-$J549^3+3*$J549^2-3*$J549+1)+INDIRECT("C$"&amp;3+MIN(2,ROUNDDOWN(I549,0))*3)*(3*$J549^3-6*$J549^2+3*$J549)+INDIRECT("C$"&amp;4+MIN(2,ROUNDDOWN(I549,0))*3)*(-3*$J549^3+3*$J549^2)+INDIRECT("C$"&amp;5+MIN(2,ROUNDDOWN(I549,0))*3)*$J549^3</f>
      </c>
      <c r="L549" s="7">
        <f>INDIRECT("D$"&amp;2+MIN(2,ROUNDDOWN(I549,0))*3)*(-$J549^3+3*$J549^2-3*$J549+1)+INDIRECT("D$"&amp;3+MIN(2,ROUNDDOWN(I549,0))*3)*(3*$J549^3-6*$J549^2+3*$J549)+INDIRECT("D$"&amp;4+MIN(2,ROUNDDOWN(I549,0))*3)*(-3*$J549^3+3*$J549^2)+INDIRECT("D$"&amp;5+MIN(2,ROUNDDOWN(I549,0))*3)*$J549^3</f>
      </c>
      <c r="M549" s="7">
        <f>SQRT(K549^2+L549^2)</f>
      </c>
      <c r="N549" s="7">
        <f>(K550-K548)</f>
      </c>
      <c r="O549" s="7">
        <f>+(L550-L548)</f>
      </c>
      <c r="P549" s="7">
        <f>SQRT(O549^2+N549^2)</f>
      </c>
      <c r="Q549" s="7">
        <f>N549/$P549</f>
      </c>
      <c r="R549" s="7">
        <f>O549/$P549</f>
      </c>
      <c r="S549" s="8">
        <f>Q549^2+R549^2</f>
      </c>
      <c r="T549" s="7">
        <f>-R549</f>
      </c>
      <c r="U549" s="7">
        <f>Q549</f>
      </c>
      <c r="V549" s="7">
        <f>($C$14+($C$15-$C$14)/($D$15-$D$14)*(I549-$D$14))/2</f>
      </c>
      <c r="W549" s="7">
        <f>($B$22*I549^4+$C$22*I549^3+$D$22*I549^2+$E$22*I549+$F$22)/2</f>
      </c>
      <c r="X549" s="7">
        <f>($W549)*(T549)</f>
      </c>
      <c r="Y549" s="7">
        <f>($W549)*(U549)</f>
      </c>
      <c r="Z549" s="7">
        <f>SQRT(X549^2+Y549^2)</f>
      </c>
      <c r="AA549" s="7">
        <f>$K549+$X549</f>
      </c>
      <c r="AB549" s="7">
        <f>$L549+$Y549</f>
      </c>
      <c r="AC549" s="7">
        <f>$K549-$X549</f>
      </c>
      <c r="AD549" s="7">
        <f>$L549-$Y549</f>
      </c>
      <c r="AE549" s="7">
        <f>AA549/39.3701</f>
      </c>
      <c r="AF549" s="7">
        <f>AB549/39.3701</f>
      </c>
      <c r="AG549" s="7">
        <f>AC549/39.3701</f>
      </c>
      <c r="AH549" s="7">
        <f>AD549/39.3701</f>
      </c>
      <c r="AI549" s="1"/>
      <c r="AJ549" s="1"/>
      <c r="AK549" s="1"/>
      <c r="AL549" s="1"/>
      <c r="AM549" s="2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</row>
    <row x14ac:dyDescent="0.25" r="550" customHeight="1" ht="18.75">
      <c r="A550" s="1"/>
      <c r="B550" s="2"/>
      <c r="C550" s="2"/>
      <c r="D550" s="2"/>
      <c r="E550" s="2"/>
      <c r="F550" s="2"/>
      <c r="G550" s="1"/>
      <c r="H550" s="1"/>
      <c r="I550" s="7">
        <v>0.547</v>
      </c>
      <c r="J550" s="7">
        <f>IF((I550-ROUNDDOWN(I550,0))=0, 0, (I550-ROUNDDOWN(I550,0)))</f>
      </c>
      <c r="K550" s="7">
        <f>INDIRECT("C$"&amp;2+MIN(2,ROUNDDOWN(I550,0))*3)*(-$J550^3+3*$J550^2-3*$J550+1)+INDIRECT("C$"&amp;3+MIN(2,ROUNDDOWN(I550,0))*3)*(3*$J550^3-6*$J550^2+3*$J550)+INDIRECT("C$"&amp;4+MIN(2,ROUNDDOWN(I550,0))*3)*(-3*$J550^3+3*$J550^2)+INDIRECT("C$"&amp;5+MIN(2,ROUNDDOWN(I550,0))*3)*$J550^3</f>
      </c>
      <c r="L550" s="7">
        <f>INDIRECT("D$"&amp;2+MIN(2,ROUNDDOWN(I550,0))*3)*(-$J550^3+3*$J550^2-3*$J550+1)+INDIRECT("D$"&amp;3+MIN(2,ROUNDDOWN(I550,0))*3)*(3*$J550^3-6*$J550^2+3*$J550)+INDIRECT("D$"&amp;4+MIN(2,ROUNDDOWN(I550,0))*3)*(-3*$J550^3+3*$J550^2)+INDIRECT("D$"&amp;5+MIN(2,ROUNDDOWN(I550,0))*3)*$J550^3</f>
      </c>
      <c r="M550" s="7">
        <f>SQRT(K550^2+L550^2)</f>
      </c>
      <c r="N550" s="7">
        <f>(K551-K549)</f>
      </c>
      <c r="O550" s="7">
        <f>+(L551-L549)</f>
      </c>
      <c r="P550" s="7">
        <f>SQRT(O550^2+N550^2)</f>
      </c>
      <c r="Q550" s="7">
        <f>N550/$P550</f>
      </c>
      <c r="R550" s="7">
        <f>O550/$P550</f>
      </c>
      <c r="S550" s="7">
        <f>Q550^2+R550^2</f>
      </c>
      <c r="T550" s="7">
        <f>-R550</f>
      </c>
      <c r="U550" s="7">
        <f>Q550</f>
      </c>
      <c r="V550" s="7">
        <f>($C$14+($C$15-$C$14)/($D$15-$D$14)*(I550-$D$14))/2</f>
      </c>
      <c r="W550" s="7">
        <f>($B$22*I550^4+$C$22*I550^3+$D$22*I550^2+$E$22*I550+$F$22)/2</f>
      </c>
      <c r="X550" s="7">
        <f>($W550)*(T550)</f>
      </c>
      <c r="Y550" s="7">
        <f>($W550)*(U550)</f>
      </c>
      <c r="Z550" s="7">
        <f>SQRT(X550^2+Y550^2)</f>
      </c>
      <c r="AA550" s="7">
        <f>$K550+$X550</f>
      </c>
      <c r="AB550" s="7">
        <f>$L550+$Y550</f>
      </c>
      <c r="AC550" s="7">
        <f>$K550-$X550</f>
      </c>
      <c r="AD550" s="7">
        <f>$L550-$Y550</f>
      </c>
      <c r="AE550" s="7">
        <f>AA550/39.3701</f>
      </c>
      <c r="AF550" s="7">
        <f>AB550/39.3701</f>
      </c>
      <c r="AG550" s="7">
        <f>AC550/39.3701</f>
      </c>
      <c r="AH550" s="7">
        <f>AD550/39.3701</f>
      </c>
      <c r="AI550" s="1"/>
      <c r="AJ550" s="1"/>
      <c r="AK550" s="1"/>
      <c r="AL550" s="1"/>
      <c r="AM550" s="2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</row>
    <row x14ac:dyDescent="0.25" r="551" customHeight="1" ht="18.75">
      <c r="A551" s="1"/>
      <c r="B551" s="2"/>
      <c r="C551" s="2"/>
      <c r="D551" s="2"/>
      <c r="E551" s="2"/>
      <c r="F551" s="2"/>
      <c r="G551" s="1"/>
      <c r="H551" s="1"/>
      <c r="I551" s="7">
        <v>0.548</v>
      </c>
      <c r="J551" s="7">
        <f>IF((I551-ROUNDDOWN(I551,0))=0, 0, (I551-ROUNDDOWN(I551,0)))</f>
      </c>
      <c r="K551" s="7">
        <f>INDIRECT("C$"&amp;2+MIN(2,ROUNDDOWN(I551,0))*3)*(-$J551^3+3*$J551^2-3*$J551+1)+INDIRECT("C$"&amp;3+MIN(2,ROUNDDOWN(I551,0))*3)*(3*$J551^3-6*$J551^2+3*$J551)+INDIRECT("C$"&amp;4+MIN(2,ROUNDDOWN(I551,0))*3)*(-3*$J551^3+3*$J551^2)+INDIRECT("C$"&amp;5+MIN(2,ROUNDDOWN(I551,0))*3)*$J551^3</f>
      </c>
      <c r="L551" s="7">
        <f>INDIRECT("D$"&amp;2+MIN(2,ROUNDDOWN(I551,0))*3)*(-$J551^3+3*$J551^2-3*$J551+1)+INDIRECT("D$"&amp;3+MIN(2,ROUNDDOWN(I551,0))*3)*(3*$J551^3-6*$J551^2+3*$J551)+INDIRECT("D$"&amp;4+MIN(2,ROUNDDOWN(I551,0))*3)*(-3*$J551^3+3*$J551^2)+INDIRECT("D$"&amp;5+MIN(2,ROUNDDOWN(I551,0))*3)*$J551^3</f>
      </c>
      <c r="M551" s="7">
        <f>SQRT(K551^2+L551^2)</f>
      </c>
      <c r="N551" s="7">
        <f>(K552-K550)</f>
      </c>
      <c r="O551" s="7">
        <f>+(L552-L550)</f>
      </c>
      <c r="P551" s="7">
        <f>SQRT(O551^2+N551^2)</f>
      </c>
      <c r="Q551" s="7">
        <f>N551/$P551</f>
      </c>
      <c r="R551" s="7">
        <f>O551/$P551</f>
      </c>
      <c r="S551" s="7">
        <f>Q551^2+R551^2</f>
      </c>
      <c r="T551" s="7">
        <f>-R551</f>
      </c>
      <c r="U551" s="7">
        <f>Q551</f>
      </c>
      <c r="V551" s="7">
        <f>($C$14+($C$15-$C$14)/($D$15-$D$14)*(I551-$D$14))/2</f>
      </c>
      <c r="W551" s="7">
        <f>($B$22*I551^4+$C$22*I551^3+$D$22*I551^2+$E$22*I551+$F$22)/2</f>
      </c>
      <c r="X551" s="7">
        <f>($W551)*(T551)</f>
      </c>
      <c r="Y551" s="7">
        <f>($W551)*(U551)</f>
      </c>
      <c r="Z551" s="7">
        <f>SQRT(X551^2+Y551^2)</f>
      </c>
      <c r="AA551" s="7">
        <f>$K551+$X551</f>
      </c>
      <c r="AB551" s="7">
        <f>$L551+$Y551</f>
      </c>
      <c r="AC551" s="7">
        <f>$K551-$X551</f>
      </c>
      <c r="AD551" s="7">
        <f>$L551-$Y551</f>
      </c>
      <c r="AE551" s="7">
        <f>AA551/39.3701</f>
      </c>
      <c r="AF551" s="7">
        <f>AB551/39.3701</f>
      </c>
      <c r="AG551" s="7">
        <f>AC551/39.3701</f>
      </c>
      <c r="AH551" s="7">
        <f>AD551/39.3701</f>
      </c>
      <c r="AI551" s="1"/>
      <c r="AJ551" s="1"/>
      <c r="AK551" s="1"/>
      <c r="AL551" s="1"/>
      <c r="AM551" s="2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</row>
    <row x14ac:dyDescent="0.25" r="552" customHeight="1" ht="18.75">
      <c r="A552" s="1"/>
      <c r="B552" s="2"/>
      <c r="C552" s="2"/>
      <c r="D552" s="2"/>
      <c r="E552" s="2"/>
      <c r="F552" s="2"/>
      <c r="G552" s="1"/>
      <c r="H552" s="1"/>
      <c r="I552" s="7">
        <v>0.549</v>
      </c>
      <c r="J552" s="7">
        <f>IF((I552-ROUNDDOWN(I552,0))=0, 0, (I552-ROUNDDOWN(I552,0)))</f>
      </c>
      <c r="K552" s="7">
        <f>INDIRECT("C$"&amp;2+MIN(2,ROUNDDOWN(I552,0))*3)*(-$J552^3+3*$J552^2-3*$J552+1)+INDIRECT("C$"&amp;3+MIN(2,ROUNDDOWN(I552,0))*3)*(3*$J552^3-6*$J552^2+3*$J552)+INDIRECT("C$"&amp;4+MIN(2,ROUNDDOWN(I552,0))*3)*(-3*$J552^3+3*$J552^2)+INDIRECT("C$"&amp;5+MIN(2,ROUNDDOWN(I552,0))*3)*$J552^3</f>
      </c>
      <c r="L552" s="7">
        <f>INDIRECT("D$"&amp;2+MIN(2,ROUNDDOWN(I552,0))*3)*(-$J552^3+3*$J552^2-3*$J552+1)+INDIRECT("D$"&amp;3+MIN(2,ROUNDDOWN(I552,0))*3)*(3*$J552^3-6*$J552^2+3*$J552)+INDIRECT("D$"&amp;4+MIN(2,ROUNDDOWN(I552,0))*3)*(-3*$J552^3+3*$J552^2)+INDIRECT("D$"&amp;5+MIN(2,ROUNDDOWN(I552,0))*3)*$J552^3</f>
      </c>
      <c r="M552" s="7">
        <f>SQRT(K552^2+L552^2)</f>
      </c>
      <c r="N552" s="7">
        <f>(K553-K551)</f>
      </c>
      <c r="O552" s="7">
        <f>+(L553-L551)</f>
      </c>
      <c r="P552" s="7">
        <f>SQRT(O552^2+N552^2)</f>
      </c>
      <c r="Q552" s="7">
        <f>N552/$P552</f>
      </c>
      <c r="R552" s="7">
        <f>O552/$P552</f>
      </c>
      <c r="S552" s="7">
        <f>Q552^2+R552^2</f>
      </c>
      <c r="T552" s="7">
        <f>-R552</f>
      </c>
      <c r="U552" s="7">
        <f>Q552</f>
      </c>
      <c r="V552" s="7">
        <f>($C$14+($C$15-$C$14)/($D$15-$D$14)*(I552-$D$14))/2</f>
      </c>
      <c r="W552" s="7">
        <f>($B$22*I552^4+$C$22*I552^3+$D$22*I552^2+$E$22*I552+$F$22)/2</f>
      </c>
      <c r="X552" s="7">
        <f>($W552)*(T552)</f>
      </c>
      <c r="Y552" s="7">
        <f>($W552)*(U552)</f>
      </c>
      <c r="Z552" s="7">
        <f>SQRT(X552^2+Y552^2)</f>
      </c>
      <c r="AA552" s="7">
        <f>$K552+$X552</f>
      </c>
      <c r="AB552" s="7">
        <f>$L552+$Y552</f>
      </c>
      <c r="AC552" s="7">
        <f>$K552-$X552</f>
      </c>
      <c r="AD552" s="7">
        <f>$L552-$Y552</f>
      </c>
      <c r="AE552" s="7">
        <f>AA552/39.3701</f>
      </c>
      <c r="AF552" s="7">
        <f>AB552/39.3701</f>
      </c>
      <c r="AG552" s="7">
        <f>AC552/39.3701</f>
      </c>
      <c r="AH552" s="7">
        <f>AD552/39.3701</f>
      </c>
      <c r="AI552" s="1"/>
      <c r="AJ552" s="1"/>
      <c r="AK552" s="1"/>
      <c r="AL552" s="1"/>
      <c r="AM552" s="2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</row>
    <row x14ac:dyDescent="0.25" r="553" customHeight="1" ht="18.75">
      <c r="A553" s="1"/>
      <c r="B553" s="2"/>
      <c r="C553" s="2"/>
      <c r="D553" s="2"/>
      <c r="E553" s="2"/>
      <c r="F553" s="2"/>
      <c r="G553" s="1"/>
      <c r="H553" s="1"/>
      <c r="I553" s="7">
        <v>0.55</v>
      </c>
      <c r="J553" s="7">
        <f>IF((I553-ROUNDDOWN(I553,0))=0, 0, (I553-ROUNDDOWN(I553,0)))</f>
      </c>
      <c r="K553" s="7">
        <f>INDIRECT("C$"&amp;2+MIN(2,ROUNDDOWN(I553,0))*3)*(-$J553^3+3*$J553^2-3*$J553+1)+INDIRECT("C$"&amp;3+MIN(2,ROUNDDOWN(I553,0))*3)*(3*$J553^3-6*$J553^2+3*$J553)+INDIRECT("C$"&amp;4+MIN(2,ROUNDDOWN(I553,0))*3)*(-3*$J553^3+3*$J553^2)+INDIRECT("C$"&amp;5+MIN(2,ROUNDDOWN(I553,0))*3)*$J553^3</f>
      </c>
      <c r="L553" s="7">
        <f>INDIRECT("D$"&amp;2+MIN(2,ROUNDDOWN(I553,0))*3)*(-$J553^3+3*$J553^2-3*$J553+1)+INDIRECT("D$"&amp;3+MIN(2,ROUNDDOWN(I553,0))*3)*(3*$J553^3-6*$J553^2+3*$J553)+INDIRECT("D$"&amp;4+MIN(2,ROUNDDOWN(I553,0))*3)*(-3*$J553^3+3*$J553^2)+INDIRECT("D$"&amp;5+MIN(2,ROUNDDOWN(I553,0))*3)*$J553^3</f>
      </c>
      <c r="M553" s="7">
        <f>SQRT(K553^2+L553^2)</f>
      </c>
      <c r="N553" s="7">
        <f>(K554-K552)</f>
      </c>
      <c r="O553" s="7">
        <f>+(L554-L552)</f>
      </c>
      <c r="P553" s="7">
        <f>SQRT(O553^2+N553^2)</f>
      </c>
      <c r="Q553" s="7">
        <f>N553/$P553</f>
      </c>
      <c r="R553" s="7">
        <f>O553/$P553</f>
      </c>
      <c r="S553" s="8">
        <f>Q553^2+R553^2</f>
      </c>
      <c r="T553" s="7">
        <f>-R553</f>
      </c>
      <c r="U553" s="7">
        <f>Q553</f>
      </c>
      <c r="V553" s="7">
        <f>($C$14+($C$15-$C$14)/($D$15-$D$14)*(I553-$D$14))/2</f>
      </c>
      <c r="W553" s="7">
        <f>($B$22*I553^4+$C$22*I553^3+$D$22*I553^2+$E$22*I553+$F$22)/2</f>
      </c>
      <c r="X553" s="7">
        <f>($W553)*(T553)</f>
      </c>
      <c r="Y553" s="7">
        <f>($W553)*(U553)</f>
      </c>
      <c r="Z553" s="7">
        <f>SQRT(X553^2+Y553^2)</f>
      </c>
      <c r="AA553" s="7">
        <f>$K553+$X553</f>
      </c>
      <c r="AB553" s="7">
        <f>$L553+$Y553</f>
      </c>
      <c r="AC553" s="7">
        <f>$K553-$X553</f>
      </c>
      <c r="AD553" s="7">
        <f>$L553-$Y553</f>
      </c>
      <c r="AE553" s="7">
        <f>AA553/39.3701</f>
      </c>
      <c r="AF553" s="7">
        <f>AB553/39.3701</f>
      </c>
      <c r="AG553" s="7">
        <f>AC553/39.3701</f>
      </c>
      <c r="AH553" s="7">
        <f>AD553/39.3701</f>
      </c>
      <c r="AI553" s="1"/>
      <c r="AJ553" s="1"/>
      <c r="AK553" s="1"/>
      <c r="AL553" s="1"/>
      <c r="AM553" s="2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</row>
    <row x14ac:dyDescent="0.25" r="554" customHeight="1" ht="18.75">
      <c r="A554" s="1"/>
      <c r="B554" s="2"/>
      <c r="C554" s="2"/>
      <c r="D554" s="2"/>
      <c r="E554" s="2"/>
      <c r="F554" s="2"/>
      <c r="G554" s="1"/>
      <c r="H554" s="1"/>
      <c r="I554" s="7">
        <v>0.551</v>
      </c>
      <c r="J554" s="7">
        <f>IF((I554-ROUNDDOWN(I554,0))=0, 0, (I554-ROUNDDOWN(I554,0)))</f>
      </c>
      <c r="K554" s="7">
        <f>INDIRECT("C$"&amp;2+MIN(2,ROUNDDOWN(I554,0))*3)*(-$J554^3+3*$J554^2-3*$J554+1)+INDIRECT("C$"&amp;3+MIN(2,ROUNDDOWN(I554,0))*3)*(3*$J554^3-6*$J554^2+3*$J554)+INDIRECT("C$"&amp;4+MIN(2,ROUNDDOWN(I554,0))*3)*(-3*$J554^3+3*$J554^2)+INDIRECT("C$"&amp;5+MIN(2,ROUNDDOWN(I554,0))*3)*$J554^3</f>
      </c>
      <c r="L554" s="7">
        <f>INDIRECT("D$"&amp;2+MIN(2,ROUNDDOWN(I554,0))*3)*(-$J554^3+3*$J554^2-3*$J554+1)+INDIRECT("D$"&amp;3+MIN(2,ROUNDDOWN(I554,0))*3)*(3*$J554^3-6*$J554^2+3*$J554)+INDIRECT("D$"&amp;4+MIN(2,ROUNDDOWN(I554,0))*3)*(-3*$J554^3+3*$J554^2)+INDIRECT("D$"&amp;5+MIN(2,ROUNDDOWN(I554,0))*3)*$J554^3</f>
      </c>
      <c r="M554" s="7">
        <f>SQRT(K554^2+L554^2)</f>
      </c>
      <c r="N554" s="7">
        <f>(K555-K553)</f>
      </c>
      <c r="O554" s="7">
        <f>+(L555-L553)</f>
      </c>
      <c r="P554" s="7">
        <f>SQRT(O554^2+N554^2)</f>
      </c>
      <c r="Q554" s="7">
        <f>N554/$P554</f>
      </c>
      <c r="R554" s="7">
        <f>O554/$P554</f>
      </c>
      <c r="S554" s="8">
        <f>Q554^2+R554^2</f>
      </c>
      <c r="T554" s="7">
        <f>-R554</f>
      </c>
      <c r="U554" s="7">
        <f>Q554</f>
      </c>
      <c r="V554" s="7">
        <f>($C$14+($C$15-$C$14)/($D$15-$D$14)*(I554-$D$14))/2</f>
      </c>
      <c r="W554" s="7">
        <f>($B$22*I554^4+$C$22*I554^3+$D$22*I554^2+$E$22*I554+$F$22)/2</f>
      </c>
      <c r="X554" s="7">
        <f>($W554)*(T554)</f>
      </c>
      <c r="Y554" s="7">
        <f>($W554)*(U554)</f>
      </c>
      <c r="Z554" s="7">
        <f>SQRT(X554^2+Y554^2)</f>
      </c>
      <c r="AA554" s="7">
        <f>$K554+$X554</f>
      </c>
      <c r="AB554" s="7">
        <f>$L554+$Y554</f>
      </c>
      <c r="AC554" s="7">
        <f>$K554-$X554</f>
      </c>
      <c r="AD554" s="7">
        <f>$L554-$Y554</f>
      </c>
      <c r="AE554" s="7">
        <f>AA554/39.3701</f>
      </c>
      <c r="AF554" s="7">
        <f>AB554/39.3701</f>
      </c>
      <c r="AG554" s="7">
        <f>AC554/39.3701</f>
      </c>
      <c r="AH554" s="7">
        <f>AD554/39.3701</f>
      </c>
      <c r="AI554" s="1"/>
      <c r="AJ554" s="1"/>
      <c r="AK554" s="1"/>
      <c r="AL554" s="1"/>
      <c r="AM554" s="2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</row>
    <row x14ac:dyDescent="0.25" r="555" customHeight="1" ht="18.75">
      <c r="A555" s="1"/>
      <c r="B555" s="2"/>
      <c r="C555" s="2"/>
      <c r="D555" s="2"/>
      <c r="E555" s="2"/>
      <c r="F555" s="2"/>
      <c r="G555" s="1"/>
      <c r="H555" s="1"/>
      <c r="I555" s="7">
        <v>0.552</v>
      </c>
      <c r="J555" s="7">
        <f>IF((I555-ROUNDDOWN(I555,0))=0, 0, (I555-ROUNDDOWN(I555,0)))</f>
      </c>
      <c r="K555" s="7">
        <f>INDIRECT("C$"&amp;2+MIN(2,ROUNDDOWN(I555,0))*3)*(-$J555^3+3*$J555^2-3*$J555+1)+INDIRECT("C$"&amp;3+MIN(2,ROUNDDOWN(I555,0))*3)*(3*$J555^3-6*$J555^2+3*$J555)+INDIRECT("C$"&amp;4+MIN(2,ROUNDDOWN(I555,0))*3)*(-3*$J555^3+3*$J555^2)+INDIRECT("C$"&amp;5+MIN(2,ROUNDDOWN(I555,0))*3)*$J555^3</f>
      </c>
      <c r="L555" s="7">
        <f>INDIRECT("D$"&amp;2+MIN(2,ROUNDDOWN(I555,0))*3)*(-$J555^3+3*$J555^2-3*$J555+1)+INDIRECT("D$"&amp;3+MIN(2,ROUNDDOWN(I555,0))*3)*(3*$J555^3-6*$J555^2+3*$J555)+INDIRECT("D$"&amp;4+MIN(2,ROUNDDOWN(I555,0))*3)*(-3*$J555^3+3*$J555^2)+INDIRECT("D$"&amp;5+MIN(2,ROUNDDOWN(I555,0))*3)*$J555^3</f>
      </c>
      <c r="M555" s="7">
        <f>SQRT(K555^2+L555^2)</f>
      </c>
      <c r="N555" s="7">
        <f>(K556-K554)</f>
      </c>
      <c r="O555" s="7">
        <f>+(L556-L554)</f>
      </c>
      <c r="P555" s="7">
        <f>SQRT(O555^2+N555^2)</f>
      </c>
      <c r="Q555" s="7">
        <f>N555/$P555</f>
      </c>
      <c r="R555" s="7">
        <f>O555/$P555</f>
      </c>
      <c r="S555" s="8">
        <f>Q555^2+R555^2</f>
      </c>
      <c r="T555" s="7">
        <f>-R555</f>
      </c>
      <c r="U555" s="7">
        <f>Q555</f>
      </c>
      <c r="V555" s="7">
        <f>($C$14+($C$15-$C$14)/($D$15-$D$14)*(I555-$D$14))/2</f>
      </c>
      <c r="W555" s="7">
        <f>($B$22*I555^4+$C$22*I555^3+$D$22*I555^2+$E$22*I555+$F$22)/2</f>
      </c>
      <c r="X555" s="7">
        <f>($W555)*(T555)</f>
      </c>
      <c r="Y555" s="7">
        <f>($W555)*(U555)</f>
      </c>
      <c r="Z555" s="7">
        <f>SQRT(X555^2+Y555^2)</f>
      </c>
      <c r="AA555" s="7">
        <f>$K555+$X555</f>
      </c>
      <c r="AB555" s="7">
        <f>$L555+$Y555</f>
      </c>
      <c r="AC555" s="7">
        <f>$K555-$X555</f>
      </c>
      <c r="AD555" s="7">
        <f>$L555-$Y555</f>
      </c>
      <c r="AE555" s="7">
        <f>AA555/39.3701</f>
      </c>
      <c r="AF555" s="7">
        <f>AB555/39.3701</f>
      </c>
      <c r="AG555" s="7">
        <f>AC555/39.3701</f>
      </c>
      <c r="AH555" s="7">
        <f>AD555/39.3701</f>
      </c>
      <c r="AI555" s="1"/>
      <c r="AJ555" s="1"/>
      <c r="AK555" s="1"/>
      <c r="AL555" s="1"/>
      <c r="AM555" s="2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</row>
    <row x14ac:dyDescent="0.25" r="556" customHeight="1" ht="18.75">
      <c r="A556" s="1"/>
      <c r="B556" s="2"/>
      <c r="C556" s="2"/>
      <c r="D556" s="2"/>
      <c r="E556" s="2"/>
      <c r="F556" s="2"/>
      <c r="G556" s="1"/>
      <c r="H556" s="1"/>
      <c r="I556" s="7">
        <v>0.553</v>
      </c>
      <c r="J556" s="7">
        <f>IF((I556-ROUNDDOWN(I556,0))=0, 0, (I556-ROUNDDOWN(I556,0)))</f>
      </c>
      <c r="K556" s="7">
        <f>INDIRECT("C$"&amp;2+MIN(2,ROUNDDOWN(I556,0))*3)*(-$J556^3+3*$J556^2-3*$J556+1)+INDIRECT("C$"&amp;3+MIN(2,ROUNDDOWN(I556,0))*3)*(3*$J556^3-6*$J556^2+3*$J556)+INDIRECT("C$"&amp;4+MIN(2,ROUNDDOWN(I556,0))*3)*(-3*$J556^3+3*$J556^2)+INDIRECT("C$"&amp;5+MIN(2,ROUNDDOWN(I556,0))*3)*$J556^3</f>
      </c>
      <c r="L556" s="7">
        <f>INDIRECT("D$"&amp;2+MIN(2,ROUNDDOWN(I556,0))*3)*(-$J556^3+3*$J556^2-3*$J556+1)+INDIRECT("D$"&amp;3+MIN(2,ROUNDDOWN(I556,0))*3)*(3*$J556^3-6*$J556^2+3*$J556)+INDIRECT("D$"&amp;4+MIN(2,ROUNDDOWN(I556,0))*3)*(-3*$J556^3+3*$J556^2)+INDIRECT("D$"&amp;5+MIN(2,ROUNDDOWN(I556,0))*3)*$J556^3</f>
      </c>
      <c r="M556" s="7">
        <f>SQRT(K556^2+L556^2)</f>
      </c>
      <c r="N556" s="7">
        <f>(K557-K555)</f>
      </c>
      <c r="O556" s="7">
        <f>+(L557-L555)</f>
      </c>
      <c r="P556" s="7">
        <f>SQRT(O556^2+N556^2)</f>
      </c>
      <c r="Q556" s="7">
        <f>N556/$P556</f>
      </c>
      <c r="R556" s="7">
        <f>O556/$P556</f>
      </c>
      <c r="S556" s="8">
        <f>Q556^2+R556^2</f>
      </c>
      <c r="T556" s="7">
        <f>-R556</f>
      </c>
      <c r="U556" s="7">
        <f>Q556</f>
      </c>
      <c r="V556" s="7">
        <f>($C$14+($C$15-$C$14)/($D$15-$D$14)*(I556-$D$14))/2</f>
      </c>
      <c r="W556" s="7">
        <f>($B$22*I556^4+$C$22*I556^3+$D$22*I556^2+$E$22*I556+$F$22)/2</f>
      </c>
      <c r="X556" s="7">
        <f>($W556)*(T556)</f>
      </c>
      <c r="Y556" s="7">
        <f>($W556)*(U556)</f>
      </c>
      <c r="Z556" s="7">
        <f>SQRT(X556^2+Y556^2)</f>
      </c>
      <c r="AA556" s="7">
        <f>$K556+$X556</f>
      </c>
      <c r="AB556" s="7">
        <f>$L556+$Y556</f>
      </c>
      <c r="AC556" s="7">
        <f>$K556-$X556</f>
      </c>
      <c r="AD556" s="7">
        <f>$L556-$Y556</f>
      </c>
      <c r="AE556" s="7">
        <f>AA556/39.3701</f>
      </c>
      <c r="AF556" s="7">
        <f>AB556/39.3701</f>
      </c>
      <c r="AG556" s="7">
        <f>AC556/39.3701</f>
      </c>
      <c r="AH556" s="7">
        <f>AD556/39.3701</f>
      </c>
      <c r="AI556" s="1"/>
      <c r="AJ556" s="1"/>
      <c r="AK556" s="1"/>
      <c r="AL556" s="1"/>
      <c r="AM556" s="2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</row>
    <row x14ac:dyDescent="0.25" r="557" customHeight="1" ht="18.75">
      <c r="A557" s="1"/>
      <c r="B557" s="2"/>
      <c r="C557" s="2"/>
      <c r="D557" s="2"/>
      <c r="E557" s="2"/>
      <c r="F557" s="2"/>
      <c r="G557" s="1"/>
      <c r="H557" s="1"/>
      <c r="I557" s="7">
        <v>0.554</v>
      </c>
      <c r="J557" s="7">
        <f>IF((I557-ROUNDDOWN(I557,0))=0, 0, (I557-ROUNDDOWN(I557,0)))</f>
      </c>
      <c r="K557" s="7">
        <f>INDIRECT("C$"&amp;2+MIN(2,ROUNDDOWN(I557,0))*3)*(-$J557^3+3*$J557^2-3*$J557+1)+INDIRECT("C$"&amp;3+MIN(2,ROUNDDOWN(I557,0))*3)*(3*$J557^3-6*$J557^2+3*$J557)+INDIRECT("C$"&amp;4+MIN(2,ROUNDDOWN(I557,0))*3)*(-3*$J557^3+3*$J557^2)+INDIRECT("C$"&amp;5+MIN(2,ROUNDDOWN(I557,0))*3)*$J557^3</f>
      </c>
      <c r="L557" s="7">
        <f>INDIRECT("D$"&amp;2+MIN(2,ROUNDDOWN(I557,0))*3)*(-$J557^3+3*$J557^2-3*$J557+1)+INDIRECT("D$"&amp;3+MIN(2,ROUNDDOWN(I557,0))*3)*(3*$J557^3-6*$J557^2+3*$J557)+INDIRECT("D$"&amp;4+MIN(2,ROUNDDOWN(I557,0))*3)*(-3*$J557^3+3*$J557^2)+INDIRECT("D$"&amp;5+MIN(2,ROUNDDOWN(I557,0))*3)*$J557^3</f>
      </c>
      <c r="M557" s="7">
        <f>SQRT(K557^2+L557^2)</f>
      </c>
      <c r="N557" s="7">
        <f>(K558-K556)</f>
      </c>
      <c r="O557" s="7">
        <f>+(L558-L556)</f>
      </c>
      <c r="P557" s="7">
        <f>SQRT(O557^2+N557^2)</f>
      </c>
      <c r="Q557" s="7">
        <f>N557/$P557</f>
      </c>
      <c r="R557" s="7">
        <f>O557/$P557</f>
      </c>
      <c r="S557" s="8">
        <f>Q557^2+R557^2</f>
      </c>
      <c r="T557" s="7">
        <f>-R557</f>
      </c>
      <c r="U557" s="7">
        <f>Q557</f>
      </c>
      <c r="V557" s="7">
        <f>($C$14+($C$15-$C$14)/($D$15-$D$14)*(I557-$D$14))/2</f>
      </c>
      <c r="W557" s="7">
        <f>($B$22*I557^4+$C$22*I557^3+$D$22*I557^2+$E$22*I557+$F$22)/2</f>
      </c>
      <c r="X557" s="7">
        <f>($W557)*(T557)</f>
      </c>
      <c r="Y557" s="7">
        <f>($W557)*(U557)</f>
      </c>
      <c r="Z557" s="7">
        <f>SQRT(X557^2+Y557^2)</f>
      </c>
      <c r="AA557" s="7">
        <f>$K557+$X557</f>
      </c>
      <c r="AB557" s="7">
        <f>$L557+$Y557</f>
      </c>
      <c r="AC557" s="7">
        <f>$K557-$X557</f>
      </c>
      <c r="AD557" s="7">
        <f>$L557-$Y557</f>
      </c>
      <c r="AE557" s="7">
        <f>AA557/39.3701</f>
      </c>
      <c r="AF557" s="7">
        <f>AB557/39.3701</f>
      </c>
      <c r="AG557" s="7">
        <f>AC557/39.3701</f>
      </c>
      <c r="AH557" s="7">
        <f>AD557/39.3701</f>
      </c>
      <c r="AI557" s="1"/>
      <c r="AJ557" s="1"/>
      <c r="AK557" s="1"/>
      <c r="AL557" s="1"/>
      <c r="AM557" s="2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</row>
    <row x14ac:dyDescent="0.25" r="558" customHeight="1" ht="18.75">
      <c r="A558" s="1"/>
      <c r="B558" s="2"/>
      <c r="C558" s="2"/>
      <c r="D558" s="2"/>
      <c r="E558" s="2"/>
      <c r="F558" s="2"/>
      <c r="G558" s="1"/>
      <c r="H558" s="1"/>
      <c r="I558" s="7">
        <v>0.555</v>
      </c>
      <c r="J558" s="7">
        <f>IF((I558-ROUNDDOWN(I558,0))=0, 0, (I558-ROUNDDOWN(I558,0)))</f>
      </c>
      <c r="K558" s="7">
        <f>INDIRECT("C$"&amp;2+MIN(2,ROUNDDOWN(I558,0))*3)*(-$J558^3+3*$J558^2-3*$J558+1)+INDIRECT("C$"&amp;3+MIN(2,ROUNDDOWN(I558,0))*3)*(3*$J558^3-6*$J558^2+3*$J558)+INDIRECT("C$"&amp;4+MIN(2,ROUNDDOWN(I558,0))*3)*(-3*$J558^3+3*$J558^2)+INDIRECT("C$"&amp;5+MIN(2,ROUNDDOWN(I558,0))*3)*$J558^3</f>
      </c>
      <c r="L558" s="7">
        <f>INDIRECT("D$"&amp;2+MIN(2,ROUNDDOWN(I558,0))*3)*(-$J558^3+3*$J558^2-3*$J558+1)+INDIRECT("D$"&amp;3+MIN(2,ROUNDDOWN(I558,0))*3)*(3*$J558^3-6*$J558^2+3*$J558)+INDIRECT("D$"&amp;4+MIN(2,ROUNDDOWN(I558,0))*3)*(-3*$J558^3+3*$J558^2)+INDIRECT("D$"&amp;5+MIN(2,ROUNDDOWN(I558,0))*3)*$J558^3</f>
      </c>
      <c r="M558" s="7">
        <f>SQRT(K558^2+L558^2)</f>
      </c>
      <c r="N558" s="7">
        <f>(K559-K557)</f>
      </c>
      <c r="O558" s="7">
        <f>+(L559-L557)</f>
      </c>
      <c r="P558" s="7">
        <f>SQRT(O558^2+N558^2)</f>
      </c>
      <c r="Q558" s="7">
        <f>N558/$P558</f>
      </c>
      <c r="R558" s="7">
        <f>O558/$P558</f>
      </c>
      <c r="S558" s="8">
        <f>Q558^2+R558^2</f>
      </c>
      <c r="T558" s="7">
        <f>-R558</f>
      </c>
      <c r="U558" s="7">
        <f>Q558</f>
      </c>
      <c r="V558" s="7">
        <f>($C$14+($C$15-$C$14)/($D$15-$D$14)*(I558-$D$14))/2</f>
      </c>
      <c r="W558" s="7">
        <f>($B$22*I558^4+$C$22*I558^3+$D$22*I558^2+$E$22*I558+$F$22)/2</f>
      </c>
      <c r="X558" s="7">
        <f>($W558)*(T558)</f>
      </c>
      <c r="Y558" s="7">
        <f>($W558)*(U558)</f>
      </c>
      <c r="Z558" s="7">
        <f>SQRT(X558^2+Y558^2)</f>
      </c>
      <c r="AA558" s="7">
        <f>$K558+$X558</f>
      </c>
      <c r="AB558" s="7">
        <f>$L558+$Y558</f>
      </c>
      <c r="AC558" s="7">
        <f>$K558-$X558</f>
      </c>
      <c r="AD558" s="7">
        <f>$L558-$Y558</f>
      </c>
      <c r="AE558" s="7">
        <f>AA558/39.3701</f>
      </c>
      <c r="AF558" s="7">
        <f>AB558/39.3701</f>
      </c>
      <c r="AG558" s="7">
        <f>AC558/39.3701</f>
      </c>
      <c r="AH558" s="7">
        <f>AD558/39.3701</f>
      </c>
      <c r="AI558" s="1"/>
      <c r="AJ558" s="1"/>
      <c r="AK558" s="1"/>
      <c r="AL558" s="1"/>
      <c r="AM558" s="2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</row>
    <row x14ac:dyDescent="0.25" r="559" customHeight="1" ht="18.75">
      <c r="A559" s="1"/>
      <c r="B559" s="2"/>
      <c r="C559" s="2"/>
      <c r="D559" s="2"/>
      <c r="E559" s="2"/>
      <c r="F559" s="2"/>
      <c r="G559" s="1"/>
      <c r="H559" s="1"/>
      <c r="I559" s="7">
        <v>0.556</v>
      </c>
      <c r="J559" s="7">
        <f>IF((I559-ROUNDDOWN(I559,0))=0, 0, (I559-ROUNDDOWN(I559,0)))</f>
      </c>
      <c r="K559" s="7">
        <f>INDIRECT("C$"&amp;2+MIN(2,ROUNDDOWN(I559,0))*3)*(-$J559^3+3*$J559^2-3*$J559+1)+INDIRECT("C$"&amp;3+MIN(2,ROUNDDOWN(I559,0))*3)*(3*$J559^3-6*$J559^2+3*$J559)+INDIRECT("C$"&amp;4+MIN(2,ROUNDDOWN(I559,0))*3)*(-3*$J559^3+3*$J559^2)+INDIRECT("C$"&amp;5+MIN(2,ROUNDDOWN(I559,0))*3)*$J559^3</f>
      </c>
      <c r="L559" s="7">
        <f>INDIRECT("D$"&amp;2+MIN(2,ROUNDDOWN(I559,0))*3)*(-$J559^3+3*$J559^2-3*$J559+1)+INDIRECT("D$"&amp;3+MIN(2,ROUNDDOWN(I559,0))*3)*(3*$J559^3-6*$J559^2+3*$J559)+INDIRECT("D$"&amp;4+MIN(2,ROUNDDOWN(I559,0))*3)*(-3*$J559^3+3*$J559^2)+INDIRECT("D$"&amp;5+MIN(2,ROUNDDOWN(I559,0))*3)*$J559^3</f>
      </c>
      <c r="M559" s="7">
        <f>SQRT(K559^2+L559^2)</f>
      </c>
      <c r="N559" s="7">
        <f>(K560-K558)</f>
      </c>
      <c r="O559" s="7">
        <f>+(L560-L558)</f>
      </c>
      <c r="P559" s="7">
        <f>SQRT(O559^2+N559^2)</f>
      </c>
      <c r="Q559" s="7">
        <f>N559/$P559</f>
      </c>
      <c r="R559" s="7">
        <f>O559/$P559</f>
      </c>
      <c r="S559" s="8">
        <f>Q559^2+R559^2</f>
      </c>
      <c r="T559" s="7">
        <f>-R559</f>
      </c>
      <c r="U559" s="7">
        <f>Q559</f>
      </c>
      <c r="V559" s="7">
        <f>($C$14+($C$15-$C$14)/($D$15-$D$14)*(I559-$D$14))/2</f>
      </c>
      <c r="W559" s="7">
        <f>($B$22*I559^4+$C$22*I559^3+$D$22*I559^2+$E$22*I559+$F$22)/2</f>
      </c>
      <c r="X559" s="7">
        <f>($W559)*(T559)</f>
      </c>
      <c r="Y559" s="7">
        <f>($W559)*(U559)</f>
      </c>
      <c r="Z559" s="7">
        <f>SQRT(X559^2+Y559^2)</f>
      </c>
      <c r="AA559" s="7">
        <f>$K559+$X559</f>
      </c>
      <c r="AB559" s="7">
        <f>$L559+$Y559</f>
      </c>
      <c r="AC559" s="7">
        <f>$K559-$X559</f>
      </c>
      <c r="AD559" s="7">
        <f>$L559-$Y559</f>
      </c>
      <c r="AE559" s="7">
        <f>AA559/39.3701</f>
      </c>
      <c r="AF559" s="7">
        <f>AB559/39.3701</f>
      </c>
      <c r="AG559" s="7">
        <f>AC559/39.3701</f>
      </c>
      <c r="AH559" s="7">
        <f>AD559/39.3701</f>
      </c>
      <c r="AI559" s="1"/>
      <c r="AJ559" s="1"/>
      <c r="AK559" s="1"/>
      <c r="AL559" s="1"/>
      <c r="AM559" s="2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</row>
    <row x14ac:dyDescent="0.25" r="560" customHeight="1" ht="18.75">
      <c r="A560" s="1"/>
      <c r="B560" s="2"/>
      <c r="C560" s="2"/>
      <c r="D560" s="2"/>
      <c r="E560" s="2"/>
      <c r="F560" s="2"/>
      <c r="G560" s="1"/>
      <c r="H560" s="1"/>
      <c r="I560" s="7">
        <v>0.557</v>
      </c>
      <c r="J560" s="7">
        <f>IF((I560-ROUNDDOWN(I560,0))=0, 0, (I560-ROUNDDOWN(I560,0)))</f>
      </c>
      <c r="K560" s="7">
        <f>INDIRECT("C$"&amp;2+MIN(2,ROUNDDOWN(I560,0))*3)*(-$J560^3+3*$J560^2-3*$J560+1)+INDIRECT("C$"&amp;3+MIN(2,ROUNDDOWN(I560,0))*3)*(3*$J560^3-6*$J560^2+3*$J560)+INDIRECT("C$"&amp;4+MIN(2,ROUNDDOWN(I560,0))*3)*(-3*$J560^3+3*$J560^2)+INDIRECT("C$"&amp;5+MIN(2,ROUNDDOWN(I560,0))*3)*$J560^3</f>
      </c>
      <c r="L560" s="7">
        <f>INDIRECT("D$"&amp;2+MIN(2,ROUNDDOWN(I560,0))*3)*(-$J560^3+3*$J560^2-3*$J560+1)+INDIRECT("D$"&amp;3+MIN(2,ROUNDDOWN(I560,0))*3)*(3*$J560^3-6*$J560^2+3*$J560)+INDIRECT("D$"&amp;4+MIN(2,ROUNDDOWN(I560,0))*3)*(-3*$J560^3+3*$J560^2)+INDIRECT("D$"&amp;5+MIN(2,ROUNDDOWN(I560,0))*3)*$J560^3</f>
      </c>
      <c r="M560" s="7">
        <f>SQRT(K560^2+L560^2)</f>
      </c>
      <c r="N560" s="7">
        <f>(K561-K559)</f>
      </c>
      <c r="O560" s="7">
        <f>+(L561-L559)</f>
      </c>
      <c r="P560" s="7">
        <f>SQRT(O560^2+N560^2)</f>
      </c>
      <c r="Q560" s="7">
        <f>N560/$P560</f>
      </c>
      <c r="R560" s="7">
        <f>O560/$P560</f>
      </c>
      <c r="S560" s="8">
        <f>Q560^2+R560^2</f>
      </c>
      <c r="T560" s="7">
        <f>-R560</f>
      </c>
      <c r="U560" s="7">
        <f>Q560</f>
      </c>
      <c r="V560" s="7">
        <f>($C$14+($C$15-$C$14)/($D$15-$D$14)*(I560-$D$14))/2</f>
      </c>
      <c r="W560" s="7">
        <f>($B$22*I560^4+$C$22*I560^3+$D$22*I560^2+$E$22*I560+$F$22)/2</f>
      </c>
      <c r="X560" s="7">
        <f>($W560)*(T560)</f>
      </c>
      <c r="Y560" s="7">
        <f>($W560)*(U560)</f>
      </c>
      <c r="Z560" s="7">
        <f>SQRT(X560^2+Y560^2)</f>
      </c>
      <c r="AA560" s="7">
        <f>$K560+$X560</f>
      </c>
      <c r="AB560" s="7">
        <f>$L560+$Y560</f>
      </c>
      <c r="AC560" s="7">
        <f>$K560-$X560</f>
      </c>
      <c r="AD560" s="7">
        <f>$L560-$Y560</f>
      </c>
      <c r="AE560" s="7">
        <f>AA560/39.3701</f>
      </c>
      <c r="AF560" s="7">
        <f>AB560/39.3701</f>
      </c>
      <c r="AG560" s="7">
        <f>AC560/39.3701</f>
      </c>
      <c r="AH560" s="7">
        <f>AD560/39.3701</f>
      </c>
      <c r="AI560" s="1"/>
      <c r="AJ560" s="1"/>
      <c r="AK560" s="1"/>
      <c r="AL560" s="1"/>
      <c r="AM560" s="2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</row>
    <row x14ac:dyDescent="0.25" r="561" customHeight="1" ht="18.75">
      <c r="A561" s="1"/>
      <c r="B561" s="2"/>
      <c r="C561" s="2"/>
      <c r="D561" s="2"/>
      <c r="E561" s="2"/>
      <c r="F561" s="2"/>
      <c r="G561" s="1"/>
      <c r="H561" s="1"/>
      <c r="I561" s="7">
        <v>0.558</v>
      </c>
      <c r="J561" s="7">
        <f>IF((I561-ROUNDDOWN(I561,0))=0, 0, (I561-ROUNDDOWN(I561,0)))</f>
      </c>
      <c r="K561" s="7">
        <f>INDIRECT("C$"&amp;2+MIN(2,ROUNDDOWN(I561,0))*3)*(-$J561^3+3*$J561^2-3*$J561+1)+INDIRECT("C$"&amp;3+MIN(2,ROUNDDOWN(I561,0))*3)*(3*$J561^3-6*$J561^2+3*$J561)+INDIRECT("C$"&amp;4+MIN(2,ROUNDDOWN(I561,0))*3)*(-3*$J561^3+3*$J561^2)+INDIRECT("C$"&amp;5+MIN(2,ROUNDDOWN(I561,0))*3)*$J561^3</f>
      </c>
      <c r="L561" s="7">
        <f>INDIRECT("D$"&amp;2+MIN(2,ROUNDDOWN(I561,0))*3)*(-$J561^3+3*$J561^2-3*$J561+1)+INDIRECT("D$"&amp;3+MIN(2,ROUNDDOWN(I561,0))*3)*(3*$J561^3-6*$J561^2+3*$J561)+INDIRECT("D$"&amp;4+MIN(2,ROUNDDOWN(I561,0))*3)*(-3*$J561^3+3*$J561^2)+INDIRECT("D$"&amp;5+MIN(2,ROUNDDOWN(I561,0))*3)*$J561^3</f>
      </c>
      <c r="M561" s="7">
        <f>SQRT(K561^2+L561^2)</f>
      </c>
      <c r="N561" s="7">
        <f>(K562-K560)</f>
      </c>
      <c r="O561" s="7">
        <f>+(L562-L560)</f>
      </c>
      <c r="P561" s="7">
        <f>SQRT(O561^2+N561^2)</f>
      </c>
      <c r="Q561" s="7">
        <f>N561/$P561</f>
      </c>
      <c r="R561" s="7">
        <f>O561/$P561</f>
      </c>
      <c r="S561" s="7">
        <f>Q561^2+R561^2</f>
      </c>
      <c r="T561" s="7">
        <f>-R561</f>
      </c>
      <c r="U561" s="7">
        <f>Q561</f>
      </c>
      <c r="V561" s="7">
        <f>($C$14+($C$15-$C$14)/($D$15-$D$14)*(I561-$D$14))/2</f>
      </c>
      <c r="W561" s="7">
        <f>($B$22*I561^4+$C$22*I561^3+$D$22*I561^2+$E$22*I561+$F$22)/2</f>
      </c>
      <c r="X561" s="7">
        <f>($W561)*(T561)</f>
      </c>
      <c r="Y561" s="7">
        <f>($W561)*(U561)</f>
      </c>
      <c r="Z561" s="7">
        <f>SQRT(X561^2+Y561^2)</f>
      </c>
      <c r="AA561" s="7">
        <f>$K561+$X561</f>
      </c>
      <c r="AB561" s="7">
        <f>$L561+$Y561</f>
      </c>
      <c r="AC561" s="7">
        <f>$K561-$X561</f>
      </c>
      <c r="AD561" s="7">
        <f>$L561-$Y561</f>
      </c>
      <c r="AE561" s="7">
        <f>AA561/39.3701</f>
      </c>
      <c r="AF561" s="7">
        <f>AB561/39.3701</f>
      </c>
      <c r="AG561" s="7">
        <f>AC561/39.3701</f>
      </c>
      <c r="AH561" s="7">
        <f>AD561/39.3701</f>
      </c>
      <c r="AI561" s="1"/>
      <c r="AJ561" s="1"/>
      <c r="AK561" s="1"/>
      <c r="AL561" s="1"/>
      <c r="AM561" s="2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</row>
    <row x14ac:dyDescent="0.25" r="562" customHeight="1" ht="18.75">
      <c r="A562" s="1"/>
      <c r="B562" s="2"/>
      <c r="C562" s="2"/>
      <c r="D562" s="2"/>
      <c r="E562" s="2"/>
      <c r="F562" s="2"/>
      <c r="G562" s="1"/>
      <c r="H562" s="1"/>
      <c r="I562" s="7">
        <v>0.559</v>
      </c>
      <c r="J562" s="7">
        <f>IF((I562-ROUNDDOWN(I562,0))=0, 0, (I562-ROUNDDOWN(I562,0)))</f>
      </c>
      <c r="K562" s="7">
        <f>INDIRECT("C$"&amp;2+MIN(2,ROUNDDOWN(I562,0))*3)*(-$J562^3+3*$J562^2-3*$J562+1)+INDIRECT("C$"&amp;3+MIN(2,ROUNDDOWN(I562,0))*3)*(3*$J562^3-6*$J562^2+3*$J562)+INDIRECT("C$"&amp;4+MIN(2,ROUNDDOWN(I562,0))*3)*(-3*$J562^3+3*$J562^2)+INDIRECT("C$"&amp;5+MIN(2,ROUNDDOWN(I562,0))*3)*$J562^3</f>
      </c>
      <c r="L562" s="7">
        <f>INDIRECT("D$"&amp;2+MIN(2,ROUNDDOWN(I562,0))*3)*(-$J562^3+3*$J562^2-3*$J562+1)+INDIRECT("D$"&amp;3+MIN(2,ROUNDDOWN(I562,0))*3)*(3*$J562^3-6*$J562^2+3*$J562)+INDIRECT("D$"&amp;4+MIN(2,ROUNDDOWN(I562,0))*3)*(-3*$J562^3+3*$J562^2)+INDIRECT("D$"&amp;5+MIN(2,ROUNDDOWN(I562,0))*3)*$J562^3</f>
      </c>
      <c r="M562" s="7">
        <f>SQRT(K562^2+L562^2)</f>
      </c>
      <c r="N562" s="7">
        <f>(K563-K561)</f>
      </c>
      <c r="O562" s="7">
        <f>+(L563-L561)</f>
      </c>
      <c r="P562" s="7">
        <f>SQRT(O562^2+N562^2)</f>
      </c>
      <c r="Q562" s="7">
        <f>N562/$P562</f>
      </c>
      <c r="R562" s="7">
        <f>O562/$P562</f>
      </c>
      <c r="S562" s="8">
        <f>Q562^2+R562^2</f>
      </c>
      <c r="T562" s="7">
        <f>-R562</f>
      </c>
      <c r="U562" s="7">
        <f>Q562</f>
      </c>
      <c r="V562" s="7">
        <f>($C$14+($C$15-$C$14)/($D$15-$D$14)*(I562-$D$14))/2</f>
      </c>
      <c r="W562" s="7">
        <f>($B$22*I562^4+$C$22*I562^3+$D$22*I562^2+$E$22*I562+$F$22)/2</f>
      </c>
      <c r="X562" s="7">
        <f>($W562)*(T562)</f>
      </c>
      <c r="Y562" s="7">
        <f>($W562)*(U562)</f>
      </c>
      <c r="Z562" s="7">
        <f>SQRT(X562^2+Y562^2)</f>
      </c>
      <c r="AA562" s="7">
        <f>$K562+$X562</f>
      </c>
      <c r="AB562" s="7">
        <f>$L562+$Y562</f>
      </c>
      <c r="AC562" s="7">
        <f>$K562-$X562</f>
      </c>
      <c r="AD562" s="7">
        <f>$L562-$Y562</f>
      </c>
      <c r="AE562" s="7">
        <f>AA562/39.3701</f>
      </c>
      <c r="AF562" s="7">
        <f>AB562/39.3701</f>
      </c>
      <c r="AG562" s="7">
        <f>AC562/39.3701</f>
      </c>
      <c r="AH562" s="7">
        <f>AD562/39.3701</f>
      </c>
      <c r="AI562" s="1"/>
      <c r="AJ562" s="1"/>
      <c r="AK562" s="1"/>
      <c r="AL562" s="1"/>
      <c r="AM562" s="2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</row>
    <row x14ac:dyDescent="0.25" r="563" customHeight="1" ht="18.75">
      <c r="A563" s="1"/>
      <c r="B563" s="2"/>
      <c r="C563" s="2"/>
      <c r="D563" s="2"/>
      <c r="E563" s="2"/>
      <c r="F563" s="2"/>
      <c r="G563" s="1"/>
      <c r="H563" s="1"/>
      <c r="I563" s="7">
        <v>0.56</v>
      </c>
      <c r="J563" s="7">
        <f>IF((I563-ROUNDDOWN(I563,0))=0, 0, (I563-ROUNDDOWN(I563,0)))</f>
      </c>
      <c r="K563" s="7">
        <f>INDIRECT("C$"&amp;2+MIN(2,ROUNDDOWN(I563,0))*3)*(-$J563^3+3*$J563^2-3*$J563+1)+INDIRECT("C$"&amp;3+MIN(2,ROUNDDOWN(I563,0))*3)*(3*$J563^3-6*$J563^2+3*$J563)+INDIRECT("C$"&amp;4+MIN(2,ROUNDDOWN(I563,0))*3)*(-3*$J563^3+3*$J563^2)+INDIRECT("C$"&amp;5+MIN(2,ROUNDDOWN(I563,0))*3)*$J563^3</f>
      </c>
      <c r="L563" s="7">
        <f>INDIRECT("D$"&amp;2+MIN(2,ROUNDDOWN(I563,0))*3)*(-$J563^3+3*$J563^2-3*$J563+1)+INDIRECT("D$"&amp;3+MIN(2,ROUNDDOWN(I563,0))*3)*(3*$J563^3-6*$J563^2+3*$J563)+INDIRECT("D$"&amp;4+MIN(2,ROUNDDOWN(I563,0))*3)*(-3*$J563^3+3*$J563^2)+INDIRECT("D$"&amp;5+MIN(2,ROUNDDOWN(I563,0))*3)*$J563^3</f>
      </c>
      <c r="M563" s="7">
        <f>SQRT(K563^2+L563^2)</f>
      </c>
      <c r="N563" s="7">
        <f>(K564-K562)</f>
      </c>
      <c r="O563" s="7">
        <f>+(L564-L562)</f>
      </c>
      <c r="P563" s="7">
        <f>SQRT(O563^2+N563^2)</f>
      </c>
      <c r="Q563" s="7">
        <f>N563/$P563</f>
      </c>
      <c r="R563" s="7">
        <f>O563/$P563</f>
      </c>
      <c r="S563" s="7">
        <f>Q563^2+R563^2</f>
      </c>
      <c r="T563" s="7">
        <f>-R563</f>
      </c>
      <c r="U563" s="7">
        <f>Q563</f>
      </c>
      <c r="V563" s="7">
        <f>($C$14+($C$15-$C$14)/($D$15-$D$14)*(I563-$D$14))/2</f>
      </c>
      <c r="W563" s="7">
        <f>($B$22*I563^4+$C$22*I563^3+$D$22*I563^2+$E$22*I563+$F$22)/2</f>
      </c>
      <c r="X563" s="7">
        <f>($W563)*(T563)</f>
      </c>
      <c r="Y563" s="7">
        <f>($W563)*(U563)</f>
      </c>
      <c r="Z563" s="7">
        <f>SQRT(X563^2+Y563^2)</f>
      </c>
      <c r="AA563" s="7">
        <f>$K563+$X563</f>
      </c>
      <c r="AB563" s="7">
        <f>$L563+$Y563</f>
      </c>
      <c r="AC563" s="7">
        <f>$K563-$X563</f>
      </c>
      <c r="AD563" s="7">
        <f>$L563-$Y563</f>
      </c>
      <c r="AE563" s="7">
        <f>AA563/39.3701</f>
      </c>
      <c r="AF563" s="7">
        <f>AB563/39.3701</f>
      </c>
      <c r="AG563" s="7">
        <f>AC563/39.3701</f>
      </c>
      <c r="AH563" s="7">
        <f>AD563/39.3701</f>
      </c>
      <c r="AI563" s="1"/>
      <c r="AJ563" s="1"/>
      <c r="AK563" s="1"/>
      <c r="AL563" s="1"/>
      <c r="AM563" s="2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</row>
    <row x14ac:dyDescent="0.25" r="564" customHeight="1" ht="18.75">
      <c r="A564" s="1"/>
      <c r="B564" s="2"/>
      <c r="C564" s="2"/>
      <c r="D564" s="2"/>
      <c r="E564" s="2"/>
      <c r="F564" s="2"/>
      <c r="G564" s="1"/>
      <c r="H564" s="1"/>
      <c r="I564" s="7">
        <v>0.561</v>
      </c>
      <c r="J564" s="7">
        <f>IF((I564-ROUNDDOWN(I564,0))=0, 0, (I564-ROUNDDOWN(I564,0)))</f>
      </c>
      <c r="K564" s="7">
        <f>INDIRECT("C$"&amp;2+MIN(2,ROUNDDOWN(I564,0))*3)*(-$J564^3+3*$J564^2-3*$J564+1)+INDIRECT("C$"&amp;3+MIN(2,ROUNDDOWN(I564,0))*3)*(3*$J564^3-6*$J564^2+3*$J564)+INDIRECT("C$"&amp;4+MIN(2,ROUNDDOWN(I564,0))*3)*(-3*$J564^3+3*$J564^2)+INDIRECT("C$"&amp;5+MIN(2,ROUNDDOWN(I564,0))*3)*$J564^3</f>
      </c>
      <c r="L564" s="7">
        <f>INDIRECT("D$"&amp;2+MIN(2,ROUNDDOWN(I564,0))*3)*(-$J564^3+3*$J564^2-3*$J564+1)+INDIRECT("D$"&amp;3+MIN(2,ROUNDDOWN(I564,0))*3)*(3*$J564^3-6*$J564^2+3*$J564)+INDIRECT("D$"&amp;4+MIN(2,ROUNDDOWN(I564,0))*3)*(-3*$J564^3+3*$J564^2)+INDIRECT("D$"&amp;5+MIN(2,ROUNDDOWN(I564,0))*3)*$J564^3</f>
      </c>
      <c r="M564" s="7">
        <f>SQRT(K564^2+L564^2)</f>
      </c>
      <c r="N564" s="7">
        <f>(K565-K563)</f>
      </c>
      <c r="O564" s="7">
        <f>+(L565-L563)</f>
      </c>
      <c r="P564" s="7">
        <f>SQRT(O564^2+N564^2)</f>
      </c>
      <c r="Q564" s="7">
        <f>N564/$P564</f>
      </c>
      <c r="R564" s="7">
        <f>O564/$P564</f>
      </c>
      <c r="S564" s="7">
        <f>Q564^2+R564^2</f>
      </c>
      <c r="T564" s="7">
        <f>-R564</f>
      </c>
      <c r="U564" s="7">
        <f>Q564</f>
      </c>
      <c r="V564" s="7">
        <f>($C$14+($C$15-$C$14)/($D$15-$D$14)*(I564-$D$14))/2</f>
      </c>
      <c r="W564" s="7">
        <f>($B$22*I564^4+$C$22*I564^3+$D$22*I564^2+$E$22*I564+$F$22)/2</f>
      </c>
      <c r="X564" s="7">
        <f>($W564)*(T564)</f>
      </c>
      <c r="Y564" s="7">
        <f>($W564)*(U564)</f>
      </c>
      <c r="Z564" s="7">
        <f>SQRT(X564^2+Y564^2)</f>
      </c>
      <c r="AA564" s="7">
        <f>$K564+$X564</f>
      </c>
      <c r="AB564" s="7">
        <f>$L564+$Y564</f>
      </c>
      <c r="AC564" s="7">
        <f>$K564-$X564</f>
      </c>
      <c r="AD564" s="7">
        <f>$L564-$Y564</f>
      </c>
      <c r="AE564" s="7">
        <f>AA564/39.3701</f>
      </c>
      <c r="AF564" s="7">
        <f>AB564/39.3701</f>
      </c>
      <c r="AG564" s="7">
        <f>AC564/39.3701</f>
      </c>
      <c r="AH564" s="7">
        <f>AD564/39.3701</f>
      </c>
      <c r="AI564" s="1"/>
      <c r="AJ564" s="1"/>
      <c r="AK564" s="1"/>
      <c r="AL564" s="1"/>
      <c r="AM564" s="2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</row>
    <row x14ac:dyDescent="0.25" r="565" customHeight="1" ht="18.75">
      <c r="A565" s="1"/>
      <c r="B565" s="2"/>
      <c r="C565" s="2"/>
      <c r="D565" s="2"/>
      <c r="E565" s="2"/>
      <c r="F565" s="2"/>
      <c r="G565" s="1"/>
      <c r="H565" s="1"/>
      <c r="I565" s="7">
        <v>0.562</v>
      </c>
      <c r="J565" s="7">
        <f>IF((I565-ROUNDDOWN(I565,0))=0, 0, (I565-ROUNDDOWN(I565,0)))</f>
      </c>
      <c r="K565" s="7">
        <f>INDIRECT("C$"&amp;2+MIN(2,ROUNDDOWN(I565,0))*3)*(-$J565^3+3*$J565^2-3*$J565+1)+INDIRECT("C$"&amp;3+MIN(2,ROUNDDOWN(I565,0))*3)*(3*$J565^3-6*$J565^2+3*$J565)+INDIRECT("C$"&amp;4+MIN(2,ROUNDDOWN(I565,0))*3)*(-3*$J565^3+3*$J565^2)+INDIRECT("C$"&amp;5+MIN(2,ROUNDDOWN(I565,0))*3)*$J565^3</f>
      </c>
      <c r="L565" s="7">
        <f>INDIRECT("D$"&amp;2+MIN(2,ROUNDDOWN(I565,0))*3)*(-$J565^3+3*$J565^2-3*$J565+1)+INDIRECT("D$"&amp;3+MIN(2,ROUNDDOWN(I565,0))*3)*(3*$J565^3-6*$J565^2+3*$J565)+INDIRECT("D$"&amp;4+MIN(2,ROUNDDOWN(I565,0))*3)*(-3*$J565^3+3*$J565^2)+INDIRECT("D$"&amp;5+MIN(2,ROUNDDOWN(I565,0))*3)*$J565^3</f>
      </c>
      <c r="M565" s="7">
        <f>SQRT(K565^2+L565^2)</f>
      </c>
      <c r="N565" s="7">
        <f>(K566-K564)</f>
      </c>
      <c r="O565" s="7">
        <f>+(L566-L564)</f>
      </c>
      <c r="P565" s="7">
        <f>SQRT(O565^2+N565^2)</f>
      </c>
      <c r="Q565" s="7">
        <f>N565/$P565</f>
      </c>
      <c r="R565" s="7">
        <f>O565/$P565</f>
      </c>
      <c r="S565" s="7">
        <f>Q565^2+R565^2</f>
      </c>
      <c r="T565" s="7">
        <f>-R565</f>
      </c>
      <c r="U565" s="7">
        <f>Q565</f>
      </c>
      <c r="V565" s="7">
        <f>($C$14+($C$15-$C$14)/($D$15-$D$14)*(I565-$D$14))/2</f>
      </c>
      <c r="W565" s="7">
        <f>($B$22*I565^4+$C$22*I565^3+$D$22*I565^2+$E$22*I565+$F$22)/2</f>
      </c>
      <c r="X565" s="7">
        <f>($W565)*(T565)</f>
      </c>
      <c r="Y565" s="7">
        <f>($W565)*(U565)</f>
      </c>
      <c r="Z565" s="7">
        <f>SQRT(X565^2+Y565^2)</f>
      </c>
      <c r="AA565" s="7">
        <f>$K565+$X565</f>
      </c>
      <c r="AB565" s="7">
        <f>$L565+$Y565</f>
      </c>
      <c r="AC565" s="7">
        <f>$K565-$X565</f>
      </c>
      <c r="AD565" s="7">
        <f>$L565-$Y565</f>
      </c>
      <c r="AE565" s="7">
        <f>AA565/39.3701</f>
      </c>
      <c r="AF565" s="7">
        <f>AB565/39.3701</f>
      </c>
      <c r="AG565" s="7">
        <f>AC565/39.3701</f>
      </c>
      <c r="AH565" s="7">
        <f>AD565/39.3701</f>
      </c>
      <c r="AI565" s="1"/>
      <c r="AJ565" s="1"/>
      <c r="AK565" s="1"/>
      <c r="AL565" s="1"/>
      <c r="AM565" s="2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</row>
    <row x14ac:dyDescent="0.25" r="566" customHeight="1" ht="18.75">
      <c r="A566" s="1"/>
      <c r="B566" s="2"/>
      <c r="C566" s="2"/>
      <c r="D566" s="2"/>
      <c r="E566" s="2"/>
      <c r="F566" s="2"/>
      <c r="G566" s="1"/>
      <c r="H566" s="1"/>
      <c r="I566" s="7">
        <v>0.563</v>
      </c>
      <c r="J566" s="7">
        <f>IF((I566-ROUNDDOWN(I566,0))=0, 0, (I566-ROUNDDOWN(I566,0)))</f>
      </c>
      <c r="K566" s="7">
        <f>INDIRECT("C$"&amp;2+MIN(2,ROUNDDOWN(I566,0))*3)*(-$J566^3+3*$J566^2-3*$J566+1)+INDIRECT("C$"&amp;3+MIN(2,ROUNDDOWN(I566,0))*3)*(3*$J566^3-6*$J566^2+3*$J566)+INDIRECT("C$"&amp;4+MIN(2,ROUNDDOWN(I566,0))*3)*(-3*$J566^3+3*$J566^2)+INDIRECT("C$"&amp;5+MIN(2,ROUNDDOWN(I566,0))*3)*$J566^3</f>
      </c>
      <c r="L566" s="7">
        <f>INDIRECT("D$"&amp;2+MIN(2,ROUNDDOWN(I566,0))*3)*(-$J566^3+3*$J566^2-3*$J566+1)+INDIRECT("D$"&amp;3+MIN(2,ROUNDDOWN(I566,0))*3)*(3*$J566^3-6*$J566^2+3*$J566)+INDIRECT("D$"&amp;4+MIN(2,ROUNDDOWN(I566,0))*3)*(-3*$J566^3+3*$J566^2)+INDIRECT("D$"&amp;5+MIN(2,ROUNDDOWN(I566,0))*3)*$J566^3</f>
      </c>
      <c r="M566" s="7">
        <f>SQRT(K566^2+L566^2)</f>
      </c>
      <c r="N566" s="7">
        <f>(K567-K565)</f>
      </c>
      <c r="O566" s="7">
        <f>+(L567-L565)</f>
      </c>
      <c r="P566" s="7">
        <f>SQRT(O566^2+N566^2)</f>
      </c>
      <c r="Q566" s="7">
        <f>N566/$P566</f>
      </c>
      <c r="R566" s="7">
        <f>O566/$P566</f>
      </c>
      <c r="S566" s="8">
        <f>Q566^2+R566^2</f>
      </c>
      <c r="T566" s="7">
        <f>-R566</f>
      </c>
      <c r="U566" s="7">
        <f>Q566</f>
      </c>
      <c r="V566" s="7">
        <f>($C$14+($C$15-$C$14)/($D$15-$D$14)*(I566-$D$14))/2</f>
      </c>
      <c r="W566" s="7">
        <f>($B$22*I566^4+$C$22*I566^3+$D$22*I566^2+$E$22*I566+$F$22)/2</f>
      </c>
      <c r="X566" s="7">
        <f>($W566)*(T566)</f>
      </c>
      <c r="Y566" s="7">
        <f>($W566)*(U566)</f>
      </c>
      <c r="Z566" s="7">
        <f>SQRT(X566^2+Y566^2)</f>
      </c>
      <c r="AA566" s="7">
        <f>$K566+$X566</f>
      </c>
      <c r="AB566" s="7">
        <f>$L566+$Y566</f>
      </c>
      <c r="AC566" s="7">
        <f>$K566-$X566</f>
      </c>
      <c r="AD566" s="7">
        <f>$L566-$Y566</f>
      </c>
      <c r="AE566" s="7">
        <f>AA566/39.3701</f>
      </c>
      <c r="AF566" s="7">
        <f>AB566/39.3701</f>
      </c>
      <c r="AG566" s="7">
        <f>AC566/39.3701</f>
      </c>
      <c r="AH566" s="7">
        <f>AD566/39.3701</f>
      </c>
      <c r="AI566" s="1"/>
      <c r="AJ566" s="1"/>
      <c r="AK566" s="1"/>
      <c r="AL566" s="1"/>
      <c r="AM566" s="2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</row>
    <row x14ac:dyDescent="0.25" r="567" customHeight="1" ht="18.75">
      <c r="A567" s="1"/>
      <c r="B567" s="2"/>
      <c r="C567" s="2"/>
      <c r="D567" s="2"/>
      <c r="E567" s="2"/>
      <c r="F567" s="2"/>
      <c r="G567" s="1"/>
      <c r="H567" s="1"/>
      <c r="I567" s="7">
        <v>0.564</v>
      </c>
      <c r="J567" s="7">
        <f>IF((I567-ROUNDDOWN(I567,0))=0, 0, (I567-ROUNDDOWN(I567,0)))</f>
      </c>
      <c r="K567" s="7">
        <f>INDIRECT("C$"&amp;2+MIN(2,ROUNDDOWN(I567,0))*3)*(-$J567^3+3*$J567^2-3*$J567+1)+INDIRECT("C$"&amp;3+MIN(2,ROUNDDOWN(I567,0))*3)*(3*$J567^3-6*$J567^2+3*$J567)+INDIRECT("C$"&amp;4+MIN(2,ROUNDDOWN(I567,0))*3)*(-3*$J567^3+3*$J567^2)+INDIRECT("C$"&amp;5+MIN(2,ROUNDDOWN(I567,0))*3)*$J567^3</f>
      </c>
      <c r="L567" s="7">
        <f>INDIRECT("D$"&amp;2+MIN(2,ROUNDDOWN(I567,0))*3)*(-$J567^3+3*$J567^2-3*$J567+1)+INDIRECT("D$"&amp;3+MIN(2,ROUNDDOWN(I567,0))*3)*(3*$J567^3-6*$J567^2+3*$J567)+INDIRECT("D$"&amp;4+MIN(2,ROUNDDOWN(I567,0))*3)*(-3*$J567^3+3*$J567^2)+INDIRECT("D$"&amp;5+MIN(2,ROUNDDOWN(I567,0))*3)*$J567^3</f>
      </c>
      <c r="M567" s="7">
        <f>SQRT(K567^2+L567^2)</f>
      </c>
      <c r="N567" s="7">
        <f>(K568-K566)</f>
      </c>
      <c r="O567" s="7">
        <f>+(L568-L566)</f>
      </c>
      <c r="P567" s="7">
        <f>SQRT(O567^2+N567^2)</f>
      </c>
      <c r="Q567" s="7">
        <f>N567/$P567</f>
      </c>
      <c r="R567" s="7">
        <f>O567/$P567</f>
      </c>
      <c r="S567" s="8">
        <f>Q567^2+R567^2</f>
      </c>
      <c r="T567" s="7">
        <f>-R567</f>
      </c>
      <c r="U567" s="7">
        <f>Q567</f>
      </c>
      <c r="V567" s="7">
        <f>($C$14+($C$15-$C$14)/($D$15-$D$14)*(I567-$D$14))/2</f>
      </c>
      <c r="W567" s="7">
        <f>($B$22*I567^4+$C$22*I567^3+$D$22*I567^2+$E$22*I567+$F$22)/2</f>
      </c>
      <c r="X567" s="7">
        <f>($W567)*(T567)</f>
      </c>
      <c r="Y567" s="7">
        <f>($W567)*(U567)</f>
      </c>
      <c r="Z567" s="7">
        <f>SQRT(X567^2+Y567^2)</f>
      </c>
      <c r="AA567" s="7">
        <f>$K567+$X567</f>
      </c>
      <c r="AB567" s="7">
        <f>$L567+$Y567</f>
      </c>
      <c r="AC567" s="7">
        <f>$K567-$X567</f>
      </c>
      <c r="AD567" s="7">
        <f>$L567-$Y567</f>
      </c>
      <c r="AE567" s="7">
        <f>AA567/39.3701</f>
      </c>
      <c r="AF567" s="7">
        <f>AB567/39.3701</f>
      </c>
      <c r="AG567" s="7">
        <f>AC567/39.3701</f>
      </c>
      <c r="AH567" s="7">
        <f>AD567/39.3701</f>
      </c>
      <c r="AI567" s="1"/>
      <c r="AJ567" s="1"/>
      <c r="AK567" s="1"/>
      <c r="AL567" s="1"/>
      <c r="AM567" s="2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</row>
    <row x14ac:dyDescent="0.25" r="568" customHeight="1" ht="18.75">
      <c r="A568" s="1"/>
      <c r="B568" s="2"/>
      <c r="C568" s="2"/>
      <c r="D568" s="2"/>
      <c r="E568" s="2"/>
      <c r="F568" s="2"/>
      <c r="G568" s="1"/>
      <c r="H568" s="1"/>
      <c r="I568" s="7">
        <v>0.565</v>
      </c>
      <c r="J568" s="7">
        <f>IF((I568-ROUNDDOWN(I568,0))=0, 0, (I568-ROUNDDOWN(I568,0)))</f>
      </c>
      <c r="K568" s="7">
        <f>INDIRECT("C$"&amp;2+MIN(2,ROUNDDOWN(I568,0))*3)*(-$J568^3+3*$J568^2-3*$J568+1)+INDIRECT("C$"&amp;3+MIN(2,ROUNDDOWN(I568,0))*3)*(3*$J568^3-6*$J568^2+3*$J568)+INDIRECT("C$"&amp;4+MIN(2,ROUNDDOWN(I568,0))*3)*(-3*$J568^3+3*$J568^2)+INDIRECT("C$"&amp;5+MIN(2,ROUNDDOWN(I568,0))*3)*$J568^3</f>
      </c>
      <c r="L568" s="7">
        <f>INDIRECT("D$"&amp;2+MIN(2,ROUNDDOWN(I568,0))*3)*(-$J568^3+3*$J568^2-3*$J568+1)+INDIRECT("D$"&amp;3+MIN(2,ROUNDDOWN(I568,0))*3)*(3*$J568^3-6*$J568^2+3*$J568)+INDIRECT("D$"&amp;4+MIN(2,ROUNDDOWN(I568,0))*3)*(-3*$J568^3+3*$J568^2)+INDIRECT("D$"&amp;5+MIN(2,ROUNDDOWN(I568,0))*3)*$J568^3</f>
      </c>
      <c r="M568" s="7">
        <f>SQRT(K568^2+L568^2)</f>
      </c>
      <c r="N568" s="7">
        <f>(K569-K567)</f>
      </c>
      <c r="O568" s="7">
        <f>+(L569-L567)</f>
      </c>
      <c r="P568" s="7">
        <f>SQRT(O568^2+N568^2)</f>
      </c>
      <c r="Q568" s="7">
        <f>N568/$P568</f>
      </c>
      <c r="R568" s="7">
        <f>O568/$P568</f>
      </c>
      <c r="S568" s="7">
        <f>Q568^2+R568^2</f>
      </c>
      <c r="T568" s="7">
        <f>-R568</f>
      </c>
      <c r="U568" s="7">
        <f>Q568</f>
      </c>
      <c r="V568" s="7">
        <f>($C$14+($C$15-$C$14)/($D$15-$D$14)*(I568-$D$14))/2</f>
      </c>
      <c r="W568" s="7">
        <f>($B$22*I568^4+$C$22*I568^3+$D$22*I568^2+$E$22*I568+$F$22)/2</f>
      </c>
      <c r="X568" s="7">
        <f>($W568)*(T568)</f>
      </c>
      <c r="Y568" s="7">
        <f>($W568)*(U568)</f>
      </c>
      <c r="Z568" s="7">
        <f>SQRT(X568^2+Y568^2)</f>
      </c>
      <c r="AA568" s="7">
        <f>$K568+$X568</f>
      </c>
      <c r="AB568" s="7">
        <f>$L568+$Y568</f>
      </c>
      <c r="AC568" s="7">
        <f>$K568-$X568</f>
      </c>
      <c r="AD568" s="7">
        <f>$L568-$Y568</f>
      </c>
      <c r="AE568" s="7">
        <f>AA568/39.3701</f>
      </c>
      <c r="AF568" s="7">
        <f>AB568/39.3701</f>
      </c>
      <c r="AG568" s="7">
        <f>AC568/39.3701</f>
      </c>
      <c r="AH568" s="7">
        <f>AD568/39.3701</f>
      </c>
      <c r="AI568" s="1"/>
      <c r="AJ568" s="1"/>
      <c r="AK568" s="1"/>
      <c r="AL568" s="1"/>
      <c r="AM568" s="2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</row>
    <row x14ac:dyDescent="0.25" r="569" customHeight="1" ht="18.75">
      <c r="A569" s="1"/>
      <c r="B569" s="2"/>
      <c r="C569" s="2"/>
      <c r="D569" s="2"/>
      <c r="E569" s="2"/>
      <c r="F569" s="2"/>
      <c r="G569" s="1"/>
      <c r="H569" s="1"/>
      <c r="I569" s="7">
        <v>0.566</v>
      </c>
      <c r="J569" s="7">
        <f>IF((I569-ROUNDDOWN(I569,0))=0, 0, (I569-ROUNDDOWN(I569,0)))</f>
      </c>
      <c r="K569" s="7">
        <f>INDIRECT("C$"&amp;2+MIN(2,ROUNDDOWN(I569,0))*3)*(-$J569^3+3*$J569^2-3*$J569+1)+INDIRECT("C$"&amp;3+MIN(2,ROUNDDOWN(I569,0))*3)*(3*$J569^3-6*$J569^2+3*$J569)+INDIRECT("C$"&amp;4+MIN(2,ROUNDDOWN(I569,0))*3)*(-3*$J569^3+3*$J569^2)+INDIRECT("C$"&amp;5+MIN(2,ROUNDDOWN(I569,0))*3)*$J569^3</f>
      </c>
      <c r="L569" s="7">
        <f>INDIRECT("D$"&amp;2+MIN(2,ROUNDDOWN(I569,0))*3)*(-$J569^3+3*$J569^2-3*$J569+1)+INDIRECT("D$"&amp;3+MIN(2,ROUNDDOWN(I569,0))*3)*(3*$J569^3-6*$J569^2+3*$J569)+INDIRECT("D$"&amp;4+MIN(2,ROUNDDOWN(I569,0))*3)*(-3*$J569^3+3*$J569^2)+INDIRECT("D$"&amp;5+MIN(2,ROUNDDOWN(I569,0))*3)*$J569^3</f>
      </c>
      <c r="M569" s="7">
        <f>SQRT(K569^2+L569^2)</f>
      </c>
      <c r="N569" s="7">
        <f>(K570-K568)</f>
      </c>
      <c r="O569" s="7">
        <f>+(L570-L568)</f>
      </c>
      <c r="P569" s="7">
        <f>SQRT(O569^2+N569^2)</f>
      </c>
      <c r="Q569" s="7">
        <f>N569/$P569</f>
      </c>
      <c r="R569" s="7">
        <f>O569/$P569</f>
      </c>
      <c r="S569" s="7">
        <f>Q569^2+R569^2</f>
      </c>
      <c r="T569" s="7">
        <f>-R569</f>
      </c>
      <c r="U569" s="7">
        <f>Q569</f>
      </c>
      <c r="V569" s="7">
        <f>($C$14+($C$15-$C$14)/($D$15-$D$14)*(I569-$D$14))/2</f>
      </c>
      <c r="W569" s="7">
        <f>($B$22*I569^4+$C$22*I569^3+$D$22*I569^2+$E$22*I569+$F$22)/2</f>
      </c>
      <c r="X569" s="7">
        <f>($W569)*(T569)</f>
      </c>
      <c r="Y569" s="7">
        <f>($W569)*(U569)</f>
      </c>
      <c r="Z569" s="7">
        <f>SQRT(X569^2+Y569^2)</f>
      </c>
      <c r="AA569" s="7">
        <f>$K569+$X569</f>
      </c>
      <c r="AB569" s="7">
        <f>$L569+$Y569</f>
      </c>
      <c r="AC569" s="7">
        <f>$K569-$X569</f>
      </c>
      <c r="AD569" s="7">
        <f>$L569-$Y569</f>
      </c>
      <c r="AE569" s="7">
        <f>AA569/39.3701</f>
      </c>
      <c r="AF569" s="7">
        <f>AB569/39.3701</f>
      </c>
      <c r="AG569" s="7">
        <f>AC569/39.3701</f>
      </c>
      <c r="AH569" s="7">
        <f>AD569/39.3701</f>
      </c>
      <c r="AI569" s="1"/>
      <c r="AJ569" s="1"/>
      <c r="AK569" s="1"/>
      <c r="AL569" s="1"/>
      <c r="AM569" s="2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</row>
    <row x14ac:dyDescent="0.25" r="570" customHeight="1" ht="18.75">
      <c r="A570" s="1"/>
      <c r="B570" s="2"/>
      <c r="C570" s="2"/>
      <c r="D570" s="2"/>
      <c r="E570" s="2"/>
      <c r="F570" s="2"/>
      <c r="G570" s="1"/>
      <c r="H570" s="1"/>
      <c r="I570" s="7">
        <v>0.567</v>
      </c>
      <c r="J570" s="7">
        <f>IF((I570-ROUNDDOWN(I570,0))=0, 0, (I570-ROUNDDOWN(I570,0)))</f>
      </c>
      <c r="K570" s="7">
        <f>INDIRECT("C$"&amp;2+MIN(2,ROUNDDOWN(I570,0))*3)*(-$J570^3+3*$J570^2-3*$J570+1)+INDIRECT("C$"&amp;3+MIN(2,ROUNDDOWN(I570,0))*3)*(3*$J570^3-6*$J570^2+3*$J570)+INDIRECT("C$"&amp;4+MIN(2,ROUNDDOWN(I570,0))*3)*(-3*$J570^3+3*$J570^2)+INDIRECT("C$"&amp;5+MIN(2,ROUNDDOWN(I570,0))*3)*$J570^3</f>
      </c>
      <c r="L570" s="7">
        <f>INDIRECT("D$"&amp;2+MIN(2,ROUNDDOWN(I570,0))*3)*(-$J570^3+3*$J570^2-3*$J570+1)+INDIRECT("D$"&amp;3+MIN(2,ROUNDDOWN(I570,0))*3)*(3*$J570^3-6*$J570^2+3*$J570)+INDIRECT("D$"&amp;4+MIN(2,ROUNDDOWN(I570,0))*3)*(-3*$J570^3+3*$J570^2)+INDIRECT("D$"&amp;5+MIN(2,ROUNDDOWN(I570,0))*3)*$J570^3</f>
      </c>
      <c r="M570" s="7">
        <f>SQRT(K570^2+L570^2)</f>
      </c>
      <c r="N570" s="7">
        <f>(K571-K569)</f>
      </c>
      <c r="O570" s="7">
        <f>+(L571-L569)</f>
      </c>
      <c r="P570" s="7">
        <f>SQRT(O570^2+N570^2)</f>
      </c>
      <c r="Q570" s="7">
        <f>N570/$P570</f>
      </c>
      <c r="R570" s="7">
        <f>O570/$P570</f>
      </c>
      <c r="S570" s="8">
        <f>Q570^2+R570^2</f>
      </c>
      <c r="T570" s="7">
        <f>-R570</f>
      </c>
      <c r="U570" s="7">
        <f>Q570</f>
      </c>
      <c r="V570" s="7">
        <f>($C$14+($C$15-$C$14)/($D$15-$D$14)*(I570-$D$14))/2</f>
      </c>
      <c r="W570" s="7">
        <f>($B$22*I570^4+$C$22*I570^3+$D$22*I570^2+$E$22*I570+$F$22)/2</f>
      </c>
      <c r="X570" s="7">
        <f>($W570)*(T570)</f>
      </c>
      <c r="Y570" s="7">
        <f>($W570)*(U570)</f>
      </c>
      <c r="Z570" s="7">
        <f>SQRT(X570^2+Y570^2)</f>
      </c>
      <c r="AA570" s="7">
        <f>$K570+$X570</f>
      </c>
      <c r="AB570" s="7">
        <f>$L570+$Y570</f>
      </c>
      <c r="AC570" s="7">
        <f>$K570-$X570</f>
      </c>
      <c r="AD570" s="7">
        <f>$L570-$Y570</f>
      </c>
      <c r="AE570" s="7">
        <f>AA570/39.3701</f>
      </c>
      <c r="AF570" s="7">
        <f>AB570/39.3701</f>
      </c>
      <c r="AG570" s="7">
        <f>AC570/39.3701</f>
      </c>
      <c r="AH570" s="7">
        <f>AD570/39.3701</f>
      </c>
      <c r="AI570" s="1"/>
      <c r="AJ570" s="1"/>
      <c r="AK570" s="1"/>
      <c r="AL570" s="1"/>
      <c r="AM570" s="2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</row>
    <row x14ac:dyDescent="0.25" r="571" customHeight="1" ht="18.75">
      <c r="A571" s="1"/>
      <c r="B571" s="2"/>
      <c r="C571" s="2"/>
      <c r="D571" s="2"/>
      <c r="E571" s="2"/>
      <c r="F571" s="2"/>
      <c r="G571" s="1"/>
      <c r="H571" s="1"/>
      <c r="I571" s="7">
        <v>0.568</v>
      </c>
      <c r="J571" s="7">
        <f>IF((I571-ROUNDDOWN(I571,0))=0, 0, (I571-ROUNDDOWN(I571,0)))</f>
      </c>
      <c r="K571" s="7">
        <f>INDIRECT("C$"&amp;2+MIN(2,ROUNDDOWN(I571,0))*3)*(-$J571^3+3*$J571^2-3*$J571+1)+INDIRECT("C$"&amp;3+MIN(2,ROUNDDOWN(I571,0))*3)*(3*$J571^3-6*$J571^2+3*$J571)+INDIRECT("C$"&amp;4+MIN(2,ROUNDDOWN(I571,0))*3)*(-3*$J571^3+3*$J571^2)+INDIRECT("C$"&amp;5+MIN(2,ROUNDDOWN(I571,0))*3)*$J571^3</f>
      </c>
      <c r="L571" s="7">
        <f>INDIRECT("D$"&amp;2+MIN(2,ROUNDDOWN(I571,0))*3)*(-$J571^3+3*$J571^2-3*$J571+1)+INDIRECT("D$"&amp;3+MIN(2,ROUNDDOWN(I571,0))*3)*(3*$J571^3-6*$J571^2+3*$J571)+INDIRECT("D$"&amp;4+MIN(2,ROUNDDOWN(I571,0))*3)*(-3*$J571^3+3*$J571^2)+INDIRECT("D$"&amp;5+MIN(2,ROUNDDOWN(I571,0))*3)*$J571^3</f>
      </c>
      <c r="M571" s="7">
        <f>SQRT(K571^2+L571^2)</f>
      </c>
      <c r="N571" s="7">
        <f>(K572-K570)</f>
      </c>
      <c r="O571" s="7">
        <f>+(L572-L570)</f>
      </c>
      <c r="P571" s="7">
        <f>SQRT(O571^2+N571^2)</f>
      </c>
      <c r="Q571" s="7">
        <f>N571/$P571</f>
      </c>
      <c r="R571" s="7">
        <f>O571/$P571</f>
      </c>
      <c r="S571" s="7">
        <f>Q571^2+R571^2</f>
      </c>
      <c r="T571" s="7">
        <f>-R571</f>
      </c>
      <c r="U571" s="7">
        <f>Q571</f>
      </c>
      <c r="V571" s="7">
        <f>($C$14+($C$15-$C$14)/($D$15-$D$14)*(I571-$D$14))/2</f>
      </c>
      <c r="W571" s="7">
        <f>($B$22*I571^4+$C$22*I571^3+$D$22*I571^2+$E$22*I571+$F$22)/2</f>
      </c>
      <c r="X571" s="7">
        <f>($W571)*(T571)</f>
      </c>
      <c r="Y571" s="7">
        <f>($W571)*(U571)</f>
      </c>
      <c r="Z571" s="7">
        <f>SQRT(X571^2+Y571^2)</f>
      </c>
      <c r="AA571" s="7">
        <f>$K571+$X571</f>
      </c>
      <c r="AB571" s="7">
        <f>$L571+$Y571</f>
      </c>
      <c r="AC571" s="7">
        <f>$K571-$X571</f>
      </c>
      <c r="AD571" s="7">
        <f>$L571-$Y571</f>
      </c>
      <c r="AE571" s="7">
        <f>AA571/39.3701</f>
      </c>
      <c r="AF571" s="7">
        <f>AB571/39.3701</f>
      </c>
      <c r="AG571" s="7">
        <f>AC571/39.3701</f>
      </c>
      <c r="AH571" s="7">
        <f>AD571/39.3701</f>
      </c>
      <c r="AI571" s="1"/>
      <c r="AJ571" s="1"/>
      <c r="AK571" s="1"/>
      <c r="AL571" s="1"/>
      <c r="AM571" s="2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</row>
    <row x14ac:dyDescent="0.25" r="572" customHeight="1" ht="18.75">
      <c r="A572" s="1"/>
      <c r="B572" s="2"/>
      <c r="C572" s="2"/>
      <c r="D572" s="2"/>
      <c r="E572" s="2"/>
      <c r="F572" s="2"/>
      <c r="G572" s="1"/>
      <c r="H572" s="1"/>
      <c r="I572" s="7">
        <v>0.569</v>
      </c>
      <c r="J572" s="7">
        <f>IF((I572-ROUNDDOWN(I572,0))=0, 0, (I572-ROUNDDOWN(I572,0)))</f>
      </c>
      <c r="K572" s="7">
        <f>INDIRECT("C$"&amp;2+MIN(2,ROUNDDOWN(I572,0))*3)*(-$J572^3+3*$J572^2-3*$J572+1)+INDIRECT("C$"&amp;3+MIN(2,ROUNDDOWN(I572,0))*3)*(3*$J572^3-6*$J572^2+3*$J572)+INDIRECT("C$"&amp;4+MIN(2,ROUNDDOWN(I572,0))*3)*(-3*$J572^3+3*$J572^2)+INDIRECT("C$"&amp;5+MIN(2,ROUNDDOWN(I572,0))*3)*$J572^3</f>
      </c>
      <c r="L572" s="7">
        <f>INDIRECT("D$"&amp;2+MIN(2,ROUNDDOWN(I572,0))*3)*(-$J572^3+3*$J572^2-3*$J572+1)+INDIRECT("D$"&amp;3+MIN(2,ROUNDDOWN(I572,0))*3)*(3*$J572^3-6*$J572^2+3*$J572)+INDIRECT("D$"&amp;4+MIN(2,ROUNDDOWN(I572,0))*3)*(-3*$J572^3+3*$J572^2)+INDIRECT("D$"&amp;5+MIN(2,ROUNDDOWN(I572,0))*3)*$J572^3</f>
      </c>
      <c r="M572" s="7">
        <f>SQRT(K572^2+L572^2)</f>
      </c>
      <c r="N572" s="7">
        <f>(K573-K571)</f>
      </c>
      <c r="O572" s="7">
        <f>+(L573-L571)</f>
      </c>
      <c r="P572" s="7">
        <f>SQRT(O572^2+N572^2)</f>
      </c>
      <c r="Q572" s="7">
        <f>N572/$P572</f>
      </c>
      <c r="R572" s="7">
        <f>O572/$P572</f>
      </c>
      <c r="S572" s="8">
        <f>Q572^2+R572^2</f>
      </c>
      <c r="T572" s="7">
        <f>-R572</f>
      </c>
      <c r="U572" s="7">
        <f>Q572</f>
      </c>
      <c r="V572" s="7">
        <f>($C$14+($C$15-$C$14)/($D$15-$D$14)*(I572-$D$14))/2</f>
      </c>
      <c r="W572" s="7">
        <f>($B$22*I572^4+$C$22*I572^3+$D$22*I572^2+$E$22*I572+$F$22)/2</f>
      </c>
      <c r="X572" s="7">
        <f>($W572)*(T572)</f>
      </c>
      <c r="Y572" s="7">
        <f>($W572)*(U572)</f>
      </c>
      <c r="Z572" s="7">
        <f>SQRT(X572^2+Y572^2)</f>
      </c>
      <c r="AA572" s="7">
        <f>$K572+$X572</f>
      </c>
      <c r="AB572" s="7">
        <f>$L572+$Y572</f>
      </c>
      <c r="AC572" s="7">
        <f>$K572-$X572</f>
      </c>
      <c r="AD572" s="7">
        <f>$L572-$Y572</f>
      </c>
      <c r="AE572" s="7">
        <f>AA572/39.3701</f>
      </c>
      <c r="AF572" s="7">
        <f>AB572/39.3701</f>
      </c>
      <c r="AG572" s="7">
        <f>AC572/39.3701</f>
      </c>
      <c r="AH572" s="7">
        <f>AD572/39.3701</f>
      </c>
      <c r="AI572" s="1"/>
      <c r="AJ572" s="1"/>
      <c r="AK572" s="1"/>
      <c r="AL572" s="1"/>
      <c r="AM572" s="2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</row>
    <row x14ac:dyDescent="0.25" r="573" customHeight="1" ht="18.75">
      <c r="A573" s="1"/>
      <c r="B573" s="2"/>
      <c r="C573" s="2"/>
      <c r="D573" s="2"/>
      <c r="E573" s="2"/>
      <c r="F573" s="2"/>
      <c r="G573" s="1"/>
      <c r="H573" s="1"/>
      <c r="I573" s="7">
        <v>0.57</v>
      </c>
      <c r="J573" s="7">
        <f>IF((I573-ROUNDDOWN(I573,0))=0, 0, (I573-ROUNDDOWN(I573,0)))</f>
      </c>
      <c r="K573" s="7">
        <f>INDIRECT("C$"&amp;2+MIN(2,ROUNDDOWN(I573,0))*3)*(-$J573^3+3*$J573^2-3*$J573+1)+INDIRECT("C$"&amp;3+MIN(2,ROUNDDOWN(I573,0))*3)*(3*$J573^3-6*$J573^2+3*$J573)+INDIRECT("C$"&amp;4+MIN(2,ROUNDDOWN(I573,0))*3)*(-3*$J573^3+3*$J573^2)+INDIRECT("C$"&amp;5+MIN(2,ROUNDDOWN(I573,0))*3)*$J573^3</f>
      </c>
      <c r="L573" s="7">
        <f>INDIRECT("D$"&amp;2+MIN(2,ROUNDDOWN(I573,0))*3)*(-$J573^3+3*$J573^2-3*$J573+1)+INDIRECT("D$"&amp;3+MIN(2,ROUNDDOWN(I573,0))*3)*(3*$J573^3-6*$J573^2+3*$J573)+INDIRECT("D$"&amp;4+MIN(2,ROUNDDOWN(I573,0))*3)*(-3*$J573^3+3*$J573^2)+INDIRECT("D$"&amp;5+MIN(2,ROUNDDOWN(I573,0))*3)*$J573^3</f>
      </c>
      <c r="M573" s="7">
        <f>SQRT(K573^2+L573^2)</f>
      </c>
      <c r="N573" s="7">
        <f>(K574-K572)</f>
      </c>
      <c r="O573" s="7">
        <f>+(L574-L572)</f>
      </c>
      <c r="P573" s="7">
        <f>SQRT(O573^2+N573^2)</f>
      </c>
      <c r="Q573" s="7">
        <f>N573/$P573</f>
      </c>
      <c r="R573" s="7">
        <f>O573/$P573</f>
      </c>
      <c r="S573" s="7">
        <f>Q573^2+R573^2</f>
      </c>
      <c r="T573" s="7">
        <f>-R573</f>
      </c>
      <c r="U573" s="7">
        <f>Q573</f>
      </c>
      <c r="V573" s="7">
        <f>($C$14+($C$15-$C$14)/($D$15-$D$14)*(I573-$D$14))/2</f>
      </c>
      <c r="W573" s="7">
        <f>($B$22*I573^4+$C$22*I573^3+$D$22*I573^2+$E$22*I573+$F$22)/2</f>
      </c>
      <c r="X573" s="7">
        <f>($W573)*(T573)</f>
      </c>
      <c r="Y573" s="7">
        <f>($W573)*(U573)</f>
      </c>
      <c r="Z573" s="7">
        <f>SQRT(X573^2+Y573^2)</f>
      </c>
      <c r="AA573" s="7">
        <f>$K573+$X573</f>
      </c>
      <c r="AB573" s="7">
        <f>$L573+$Y573</f>
      </c>
      <c r="AC573" s="7">
        <f>$K573-$X573</f>
      </c>
      <c r="AD573" s="7">
        <f>$L573-$Y573</f>
      </c>
      <c r="AE573" s="7">
        <f>AA573/39.3701</f>
      </c>
      <c r="AF573" s="7">
        <f>AB573/39.3701</f>
      </c>
      <c r="AG573" s="7">
        <f>AC573/39.3701</f>
      </c>
      <c r="AH573" s="7">
        <f>AD573/39.3701</f>
      </c>
      <c r="AI573" s="1"/>
      <c r="AJ573" s="1"/>
      <c r="AK573" s="1"/>
      <c r="AL573" s="1"/>
      <c r="AM573" s="2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</row>
    <row x14ac:dyDescent="0.25" r="574" customHeight="1" ht="18.75">
      <c r="A574" s="1"/>
      <c r="B574" s="2"/>
      <c r="C574" s="2"/>
      <c r="D574" s="2"/>
      <c r="E574" s="2"/>
      <c r="F574" s="2"/>
      <c r="G574" s="1"/>
      <c r="H574" s="1"/>
      <c r="I574" s="7">
        <v>0.571</v>
      </c>
      <c r="J574" s="7">
        <f>IF((I574-ROUNDDOWN(I574,0))=0, 0, (I574-ROUNDDOWN(I574,0)))</f>
      </c>
      <c r="K574" s="7">
        <f>INDIRECT("C$"&amp;2+MIN(2,ROUNDDOWN(I574,0))*3)*(-$J574^3+3*$J574^2-3*$J574+1)+INDIRECT("C$"&amp;3+MIN(2,ROUNDDOWN(I574,0))*3)*(3*$J574^3-6*$J574^2+3*$J574)+INDIRECT("C$"&amp;4+MIN(2,ROUNDDOWN(I574,0))*3)*(-3*$J574^3+3*$J574^2)+INDIRECT("C$"&amp;5+MIN(2,ROUNDDOWN(I574,0))*3)*$J574^3</f>
      </c>
      <c r="L574" s="7">
        <f>INDIRECT("D$"&amp;2+MIN(2,ROUNDDOWN(I574,0))*3)*(-$J574^3+3*$J574^2-3*$J574+1)+INDIRECT("D$"&amp;3+MIN(2,ROUNDDOWN(I574,0))*3)*(3*$J574^3-6*$J574^2+3*$J574)+INDIRECT("D$"&amp;4+MIN(2,ROUNDDOWN(I574,0))*3)*(-3*$J574^3+3*$J574^2)+INDIRECT("D$"&amp;5+MIN(2,ROUNDDOWN(I574,0))*3)*$J574^3</f>
      </c>
      <c r="M574" s="7">
        <f>SQRT(K574^2+L574^2)</f>
      </c>
      <c r="N574" s="7">
        <f>(K575-K573)</f>
      </c>
      <c r="O574" s="7">
        <f>+(L575-L573)</f>
      </c>
      <c r="P574" s="7">
        <f>SQRT(O574^2+N574^2)</f>
      </c>
      <c r="Q574" s="7">
        <f>N574/$P574</f>
      </c>
      <c r="R574" s="7">
        <f>O574/$P574</f>
      </c>
      <c r="S574" s="7">
        <f>Q574^2+R574^2</f>
      </c>
      <c r="T574" s="7">
        <f>-R574</f>
      </c>
      <c r="U574" s="7">
        <f>Q574</f>
      </c>
      <c r="V574" s="7">
        <f>($C$14+($C$15-$C$14)/($D$15-$D$14)*(I574-$D$14))/2</f>
      </c>
      <c r="W574" s="7">
        <f>($B$22*I574^4+$C$22*I574^3+$D$22*I574^2+$E$22*I574+$F$22)/2</f>
      </c>
      <c r="X574" s="7">
        <f>($W574)*(T574)</f>
      </c>
      <c r="Y574" s="7">
        <f>($W574)*(U574)</f>
      </c>
      <c r="Z574" s="7">
        <f>SQRT(X574^2+Y574^2)</f>
      </c>
      <c r="AA574" s="7">
        <f>$K574+$X574</f>
      </c>
      <c r="AB574" s="7">
        <f>$L574+$Y574</f>
      </c>
      <c r="AC574" s="7">
        <f>$K574-$X574</f>
      </c>
      <c r="AD574" s="7">
        <f>$L574-$Y574</f>
      </c>
      <c r="AE574" s="7">
        <f>AA574/39.3701</f>
      </c>
      <c r="AF574" s="7">
        <f>AB574/39.3701</f>
      </c>
      <c r="AG574" s="7">
        <f>AC574/39.3701</f>
      </c>
      <c r="AH574" s="7">
        <f>AD574/39.3701</f>
      </c>
      <c r="AI574" s="1"/>
      <c r="AJ574" s="1"/>
      <c r="AK574" s="1"/>
      <c r="AL574" s="1"/>
      <c r="AM574" s="2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</row>
    <row x14ac:dyDescent="0.25" r="575" customHeight="1" ht="18.75">
      <c r="A575" s="1"/>
      <c r="B575" s="2"/>
      <c r="C575" s="2"/>
      <c r="D575" s="2"/>
      <c r="E575" s="2"/>
      <c r="F575" s="2"/>
      <c r="G575" s="1"/>
      <c r="H575" s="1"/>
      <c r="I575" s="7">
        <v>0.572</v>
      </c>
      <c r="J575" s="7">
        <f>IF((I575-ROUNDDOWN(I575,0))=0, 0, (I575-ROUNDDOWN(I575,0)))</f>
      </c>
      <c r="K575" s="7">
        <f>INDIRECT("C$"&amp;2+MIN(2,ROUNDDOWN(I575,0))*3)*(-$J575^3+3*$J575^2-3*$J575+1)+INDIRECT("C$"&amp;3+MIN(2,ROUNDDOWN(I575,0))*3)*(3*$J575^3-6*$J575^2+3*$J575)+INDIRECT("C$"&amp;4+MIN(2,ROUNDDOWN(I575,0))*3)*(-3*$J575^3+3*$J575^2)+INDIRECT("C$"&amp;5+MIN(2,ROUNDDOWN(I575,0))*3)*$J575^3</f>
      </c>
      <c r="L575" s="7">
        <f>INDIRECT("D$"&amp;2+MIN(2,ROUNDDOWN(I575,0))*3)*(-$J575^3+3*$J575^2-3*$J575+1)+INDIRECT("D$"&amp;3+MIN(2,ROUNDDOWN(I575,0))*3)*(3*$J575^3-6*$J575^2+3*$J575)+INDIRECT("D$"&amp;4+MIN(2,ROUNDDOWN(I575,0))*3)*(-3*$J575^3+3*$J575^2)+INDIRECT("D$"&amp;5+MIN(2,ROUNDDOWN(I575,0))*3)*$J575^3</f>
      </c>
      <c r="M575" s="7">
        <f>SQRT(K575^2+L575^2)</f>
      </c>
      <c r="N575" s="7">
        <f>(K576-K574)</f>
      </c>
      <c r="O575" s="7">
        <f>+(L576-L574)</f>
      </c>
      <c r="P575" s="7">
        <f>SQRT(O575^2+N575^2)</f>
      </c>
      <c r="Q575" s="7">
        <f>N575/$P575</f>
      </c>
      <c r="R575" s="7">
        <f>O575/$P575</f>
      </c>
      <c r="S575" s="8">
        <f>Q575^2+R575^2</f>
      </c>
      <c r="T575" s="7">
        <f>-R575</f>
      </c>
      <c r="U575" s="7">
        <f>Q575</f>
      </c>
      <c r="V575" s="7">
        <f>($C$14+($C$15-$C$14)/($D$15-$D$14)*(I575-$D$14))/2</f>
      </c>
      <c r="W575" s="7">
        <f>($B$22*I575^4+$C$22*I575^3+$D$22*I575^2+$E$22*I575+$F$22)/2</f>
      </c>
      <c r="X575" s="7">
        <f>($W575)*(T575)</f>
      </c>
      <c r="Y575" s="7">
        <f>($W575)*(U575)</f>
      </c>
      <c r="Z575" s="7">
        <f>SQRT(X575^2+Y575^2)</f>
      </c>
      <c r="AA575" s="7">
        <f>$K575+$X575</f>
      </c>
      <c r="AB575" s="7">
        <f>$L575+$Y575</f>
      </c>
      <c r="AC575" s="7">
        <f>$K575-$X575</f>
      </c>
      <c r="AD575" s="7">
        <f>$L575-$Y575</f>
      </c>
      <c r="AE575" s="7">
        <f>AA575/39.3701</f>
      </c>
      <c r="AF575" s="7">
        <f>AB575/39.3701</f>
      </c>
      <c r="AG575" s="7">
        <f>AC575/39.3701</f>
      </c>
      <c r="AH575" s="7">
        <f>AD575/39.3701</f>
      </c>
      <c r="AI575" s="1"/>
      <c r="AJ575" s="1"/>
      <c r="AK575" s="1"/>
      <c r="AL575" s="1"/>
      <c r="AM575" s="2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</row>
    <row x14ac:dyDescent="0.25" r="576" customHeight="1" ht="18.75">
      <c r="A576" s="1"/>
      <c r="B576" s="2"/>
      <c r="C576" s="2"/>
      <c r="D576" s="2"/>
      <c r="E576" s="2"/>
      <c r="F576" s="2"/>
      <c r="G576" s="1"/>
      <c r="H576" s="1"/>
      <c r="I576" s="7">
        <v>0.573</v>
      </c>
      <c r="J576" s="7">
        <f>IF((I576-ROUNDDOWN(I576,0))=0, 0, (I576-ROUNDDOWN(I576,0)))</f>
      </c>
      <c r="K576" s="7">
        <f>INDIRECT("C$"&amp;2+MIN(2,ROUNDDOWN(I576,0))*3)*(-$J576^3+3*$J576^2-3*$J576+1)+INDIRECT("C$"&amp;3+MIN(2,ROUNDDOWN(I576,0))*3)*(3*$J576^3-6*$J576^2+3*$J576)+INDIRECT("C$"&amp;4+MIN(2,ROUNDDOWN(I576,0))*3)*(-3*$J576^3+3*$J576^2)+INDIRECT("C$"&amp;5+MIN(2,ROUNDDOWN(I576,0))*3)*$J576^3</f>
      </c>
      <c r="L576" s="7">
        <f>INDIRECT("D$"&amp;2+MIN(2,ROUNDDOWN(I576,0))*3)*(-$J576^3+3*$J576^2-3*$J576+1)+INDIRECT("D$"&amp;3+MIN(2,ROUNDDOWN(I576,0))*3)*(3*$J576^3-6*$J576^2+3*$J576)+INDIRECT("D$"&amp;4+MIN(2,ROUNDDOWN(I576,0))*3)*(-3*$J576^3+3*$J576^2)+INDIRECT("D$"&amp;5+MIN(2,ROUNDDOWN(I576,0))*3)*$J576^3</f>
      </c>
      <c r="M576" s="7">
        <f>SQRT(K576^2+L576^2)</f>
      </c>
      <c r="N576" s="7">
        <f>(K577-K575)</f>
      </c>
      <c r="O576" s="7">
        <f>+(L577-L575)</f>
      </c>
      <c r="P576" s="7">
        <f>SQRT(O576^2+N576^2)</f>
      </c>
      <c r="Q576" s="7">
        <f>N576/$P576</f>
      </c>
      <c r="R576" s="7">
        <f>O576/$P576</f>
      </c>
      <c r="S576" s="8">
        <f>Q576^2+R576^2</f>
      </c>
      <c r="T576" s="7">
        <f>-R576</f>
      </c>
      <c r="U576" s="7">
        <f>Q576</f>
      </c>
      <c r="V576" s="7">
        <f>($C$14+($C$15-$C$14)/($D$15-$D$14)*(I576-$D$14))/2</f>
      </c>
      <c r="W576" s="7">
        <f>($B$22*I576^4+$C$22*I576^3+$D$22*I576^2+$E$22*I576+$F$22)/2</f>
      </c>
      <c r="X576" s="7">
        <f>($W576)*(T576)</f>
      </c>
      <c r="Y576" s="7">
        <f>($W576)*(U576)</f>
      </c>
      <c r="Z576" s="7">
        <f>SQRT(X576^2+Y576^2)</f>
      </c>
      <c r="AA576" s="7">
        <f>$K576+$X576</f>
      </c>
      <c r="AB576" s="7">
        <f>$L576+$Y576</f>
      </c>
      <c r="AC576" s="7">
        <f>$K576-$X576</f>
      </c>
      <c r="AD576" s="7">
        <f>$L576-$Y576</f>
      </c>
      <c r="AE576" s="7">
        <f>AA576/39.3701</f>
      </c>
      <c r="AF576" s="7">
        <f>AB576/39.3701</f>
      </c>
      <c r="AG576" s="7">
        <f>AC576/39.3701</f>
      </c>
      <c r="AH576" s="7">
        <f>AD576/39.3701</f>
      </c>
      <c r="AI576" s="1"/>
      <c r="AJ576" s="1"/>
      <c r="AK576" s="1"/>
      <c r="AL576" s="1"/>
      <c r="AM576" s="2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</row>
    <row x14ac:dyDescent="0.25" r="577" customHeight="1" ht="18.75">
      <c r="A577" s="1"/>
      <c r="B577" s="2"/>
      <c r="C577" s="2"/>
      <c r="D577" s="2"/>
      <c r="E577" s="2"/>
      <c r="F577" s="2"/>
      <c r="G577" s="1"/>
      <c r="H577" s="1"/>
      <c r="I577" s="7">
        <v>0.574</v>
      </c>
      <c r="J577" s="7">
        <f>IF((I577-ROUNDDOWN(I577,0))=0, 0, (I577-ROUNDDOWN(I577,0)))</f>
      </c>
      <c r="K577" s="7">
        <f>INDIRECT("C$"&amp;2+MIN(2,ROUNDDOWN(I577,0))*3)*(-$J577^3+3*$J577^2-3*$J577+1)+INDIRECT("C$"&amp;3+MIN(2,ROUNDDOWN(I577,0))*3)*(3*$J577^3-6*$J577^2+3*$J577)+INDIRECT("C$"&amp;4+MIN(2,ROUNDDOWN(I577,0))*3)*(-3*$J577^3+3*$J577^2)+INDIRECT("C$"&amp;5+MIN(2,ROUNDDOWN(I577,0))*3)*$J577^3</f>
      </c>
      <c r="L577" s="7">
        <f>INDIRECT("D$"&amp;2+MIN(2,ROUNDDOWN(I577,0))*3)*(-$J577^3+3*$J577^2-3*$J577+1)+INDIRECT("D$"&amp;3+MIN(2,ROUNDDOWN(I577,0))*3)*(3*$J577^3-6*$J577^2+3*$J577)+INDIRECT("D$"&amp;4+MIN(2,ROUNDDOWN(I577,0))*3)*(-3*$J577^3+3*$J577^2)+INDIRECT("D$"&amp;5+MIN(2,ROUNDDOWN(I577,0))*3)*$J577^3</f>
      </c>
      <c r="M577" s="7">
        <f>SQRT(K577^2+L577^2)</f>
      </c>
      <c r="N577" s="7">
        <f>(K578-K576)</f>
      </c>
      <c r="O577" s="7">
        <f>+(L578-L576)</f>
      </c>
      <c r="P577" s="7">
        <f>SQRT(O577^2+N577^2)</f>
      </c>
      <c r="Q577" s="7">
        <f>N577/$P577</f>
      </c>
      <c r="R577" s="7">
        <f>O577/$P577</f>
      </c>
      <c r="S577" s="8">
        <f>Q577^2+R577^2</f>
      </c>
      <c r="T577" s="7">
        <f>-R577</f>
      </c>
      <c r="U577" s="7">
        <f>Q577</f>
      </c>
      <c r="V577" s="7">
        <f>($C$14+($C$15-$C$14)/($D$15-$D$14)*(I577-$D$14))/2</f>
      </c>
      <c r="W577" s="7">
        <f>($B$22*I577^4+$C$22*I577^3+$D$22*I577^2+$E$22*I577+$F$22)/2</f>
      </c>
      <c r="X577" s="7">
        <f>($W577)*(T577)</f>
      </c>
      <c r="Y577" s="7">
        <f>($W577)*(U577)</f>
      </c>
      <c r="Z577" s="7">
        <f>SQRT(X577^2+Y577^2)</f>
      </c>
      <c r="AA577" s="7">
        <f>$K577+$X577</f>
      </c>
      <c r="AB577" s="7">
        <f>$L577+$Y577</f>
      </c>
      <c r="AC577" s="7">
        <f>$K577-$X577</f>
      </c>
      <c r="AD577" s="7">
        <f>$L577-$Y577</f>
      </c>
      <c r="AE577" s="7">
        <f>AA577/39.3701</f>
      </c>
      <c r="AF577" s="7">
        <f>AB577/39.3701</f>
      </c>
      <c r="AG577" s="7">
        <f>AC577/39.3701</f>
      </c>
      <c r="AH577" s="7">
        <f>AD577/39.3701</f>
      </c>
      <c r="AI577" s="1"/>
      <c r="AJ577" s="1"/>
      <c r="AK577" s="1"/>
      <c r="AL577" s="1"/>
      <c r="AM577" s="2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</row>
    <row x14ac:dyDescent="0.25" r="578" customHeight="1" ht="18.75">
      <c r="A578" s="1"/>
      <c r="B578" s="2"/>
      <c r="C578" s="2"/>
      <c r="D578" s="2"/>
      <c r="E578" s="2"/>
      <c r="F578" s="2"/>
      <c r="G578" s="1"/>
      <c r="H578" s="1"/>
      <c r="I578" s="7">
        <v>0.575</v>
      </c>
      <c r="J578" s="7">
        <f>IF((I578-ROUNDDOWN(I578,0))=0, 0, (I578-ROUNDDOWN(I578,0)))</f>
      </c>
      <c r="K578" s="7">
        <f>INDIRECT("C$"&amp;2+MIN(2,ROUNDDOWN(I578,0))*3)*(-$J578^3+3*$J578^2-3*$J578+1)+INDIRECT("C$"&amp;3+MIN(2,ROUNDDOWN(I578,0))*3)*(3*$J578^3-6*$J578^2+3*$J578)+INDIRECT("C$"&amp;4+MIN(2,ROUNDDOWN(I578,0))*3)*(-3*$J578^3+3*$J578^2)+INDIRECT("C$"&amp;5+MIN(2,ROUNDDOWN(I578,0))*3)*$J578^3</f>
      </c>
      <c r="L578" s="7">
        <f>INDIRECT("D$"&amp;2+MIN(2,ROUNDDOWN(I578,0))*3)*(-$J578^3+3*$J578^2-3*$J578+1)+INDIRECT("D$"&amp;3+MIN(2,ROUNDDOWN(I578,0))*3)*(3*$J578^3-6*$J578^2+3*$J578)+INDIRECT("D$"&amp;4+MIN(2,ROUNDDOWN(I578,0))*3)*(-3*$J578^3+3*$J578^2)+INDIRECT("D$"&amp;5+MIN(2,ROUNDDOWN(I578,0))*3)*$J578^3</f>
      </c>
      <c r="M578" s="7">
        <f>SQRT(K578^2+L578^2)</f>
      </c>
      <c r="N578" s="7">
        <f>(K579-K577)</f>
      </c>
      <c r="O578" s="7">
        <f>+(L579-L577)</f>
      </c>
      <c r="P578" s="7">
        <f>SQRT(O578^2+N578^2)</f>
      </c>
      <c r="Q578" s="7">
        <f>N578/$P578</f>
      </c>
      <c r="R578" s="7">
        <f>O578/$P578</f>
      </c>
      <c r="S578" s="8">
        <f>Q578^2+R578^2</f>
      </c>
      <c r="T578" s="7">
        <f>-R578</f>
      </c>
      <c r="U578" s="7">
        <f>Q578</f>
      </c>
      <c r="V578" s="7">
        <f>($C$14+($C$15-$C$14)/($D$15-$D$14)*(I578-$D$14))/2</f>
      </c>
      <c r="W578" s="7">
        <f>($B$22*I578^4+$C$22*I578^3+$D$22*I578^2+$E$22*I578+$F$22)/2</f>
      </c>
      <c r="X578" s="7">
        <f>($W578)*(T578)</f>
      </c>
      <c r="Y578" s="7">
        <f>($W578)*(U578)</f>
      </c>
      <c r="Z578" s="7">
        <f>SQRT(X578^2+Y578^2)</f>
      </c>
      <c r="AA578" s="7">
        <f>$K578+$X578</f>
      </c>
      <c r="AB578" s="7">
        <f>$L578+$Y578</f>
      </c>
      <c r="AC578" s="7">
        <f>$K578-$X578</f>
      </c>
      <c r="AD578" s="7">
        <f>$L578-$Y578</f>
      </c>
      <c r="AE578" s="7">
        <f>AA578/39.3701</f>
      </c>
      <c r="AF578" s="7">
        <f>AB578/39.3701</f>
      </c>
      <c r="AG578" s="7">
        <f>AC578/39.3701</f>
      </c>
      <c r="AH578" s="7">
        <f>AD578/39.3701</f>
      </c>
      <c r="AI578" s="1"/>
      <c r="AJ578" s="1"/>
      <c r="AK578" s="1"/>
      <c r="AL578" s="1"/>
      <c r="AM578" s="2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</row>
    <row x14ac:dyDescent="0.25" r="579" customHeight="1" ht="18.75">
      <c r="A579" s="1"/>
      <c r="B579" s="2"/>
      <c r="C579" s="2"/>
      <c r="D579" s="2"/>
      <c r="E579" s="2"/>
      <c r="F579" s="2"/>
      <c r="G579" s="1"/>
      <c r="H579" s="1"/>
      <c r="I579" s="7">
        <v>0.576</v>
      </c>
      <c r="J579" s="7">
        <f>IF((I579-ROUNDDOWN(I579,0))=0, 0, (I579-ROUNDDOWN(I579,0)))</f>
      </c>
      <c r="K579" s="7">
        <f>INDIRECT("C$"&amp;2+MIN(2,ROUNDDOWN(I579,0))*3)*(-$J579^3+3*$J579^2-3*$J579+1)+INDIRECT("C$"&amp;3+MIN(2,ROUNDDOWN(I579,0))*3)*(3*$J579^3-6*$J579^2+3*$J579)+INDIRECT("C$"&amp;4+MIN(2,ROUNDDOWN(I579,0))*3)*(-3*$J579^3+3*$J579^2)+INDIRECT("C$"&amp;5+MIN(2,ROUNDDOWN(I579,0))*3)*$J579^3</f>
      </c>
      <c r="L579" s="7">
        <f>INDIRECT("D$"&amp;2+MIN(2,ROUNDDOWN(I579,0))*3)*(-$J579^3+3*$J579^2-3*$J579+1)+INDIRECT("D$"&amp;3+MIN(2,ROUNDDOWN(I579,0))*3)*(3*$J579^3-6*$J579^2+3*$J579)+INDIRECT("D$"&amp;4+MIN(2,ROUNDDOWN(I579,0))*3)*(-3*$J579^3+3*$J579^2)+INDIRECT("D$"&amp;5+MIN(2,ROUNDDOWN(I579,0))*3)*$J579^3</f>
      </c>
      <c r="M579" s="7">
        <f>SQRT(K579^2+L579^2)</f>
      </c>
      <c r="N579" s="7">
        <f>(K580-K578)</f>
      </c>
      <c r="O579" s="7">
        <f>+(L580-L578)</f>
      </c>
      <c r="P579" s="7">
        <f>SQRT(O579^2+N579^2)</f>
      </c>
      <c r="Q579" s="7">
        <f>N579/$P579</f>
      </c>
      <c r="R579" s="7">
        <f>O579/$P579</f>
      </c>
      <c r="S579" s="8">
        <f>Q579^2+R579^2</f>
      </c>
      <c r="T579" s="7">
        <f>-R579</f>
      </c>
      <c r="U579" s="7">
        <f>Q579</f>
      </c>
      <c r="V579" s="7">
        <f>($C$14+($C$15-$C$14)/($D$15-$D$14)*(I579-$D$14))/2</f>
      </c>
      <c r="W579" s="7">
        <f>($B$22*I579^4+$C$22*I579^3+$D$22*I579^2+$E$22*I579+$F$22)/2</f>
      </c>
      <c r="X579" s="7">
        <f>($W579)*(T579)</f>
      </c>
      <c r="Y579" s="7">
        <f>($W579)*(U579)</f>
      </c>
      <c r="Z579" s="7">
        <f>SQRT(X579^2+Y579^2)</f>
      </c>
      <c r="AA579" s="7">
        <f>$K579+$X579</f>
      </c>
      <c r="AB579" s="7">
        <f>$L579+$Y579</f>
      </c>
      <c r="AC579" s="7">
        <f>$K579-$X579</f>
      </c>
      <c r="AD579" s="7">
        <f>$L579-$Y579</f>
      </c>
      <c r="AE579" s="7">
        <f>AA579/39.3701</f>
      </c>
      <c r="AF579" s="7">
        <f>AB579/39.3701</f>
      </c>
      <c r="AG579" s="7">
        <f>AC579/39.3701</f>
      </c>
      <c r="AH579" s="7">
        <f>AD579/39.3701</f>
      </c>
      <c r="AI579" s="1"/>
      <c r="AJ579" s="1"/>
      <c r="AK579" s="1"/>
      <c r="AL579" s="1"/>
      <c r="AM579" s="2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</row>
    <row x14ac:dyDescent="0.25" r="580" customHeight="1" ht="18.75">
      <c r="A580" s="1"/>
      <c r="B580" s="2"/>
      <c r="C580" s="2"/>
      <c r="D580" s="2"/>
      <c r="E580" s="2"/>
      <c r="F580" s="2"/>
      <c r="G580" s="1"/>
      <c r="H580" s="1"/>
      <c r="I580" s="7">
        <v>0.577</v>
      </c>
      <c r="J580" s="7">
        <f>IF((I580-ROUNDDOWN(I580,0))=0, 0, (I580-ROUNDDOWN(I580,0)))</f>
      </c>
      <c r="K580" s="7">
        <f>INDIRECT("C$"&amp;2+MIN(2,ROUNDDOWN(I580,0))*3)*(-$J580^3+3*$J580^2-3*$J580+1)+INDIRECT("C$"&amp;3+MIN(2,ROUNDDOWN(I580,0))*3)*(3*$J580^3-6*$J580^2+3*$J580)+INDIRECT("C$"&amp;4+MIN(2,ROUNDDOWN(I580,0))*3)*(-3*$J580^3+3*$J580^2)+INDIRECT("C$"&amp;5+MIN(2,ROUNDDOWN(I580,0))*3)*$J580^3</f>
      </c>
      <c r="L580" s="7">
        <f>INDIRECT("D$"&amp;2+MIN(2,ROUNDDOWN(I580,0))*3)*(-$J580^3+3*$J580^2-3*$J580+1)+INDIRECT("D$"&amp;3+MIN(2,ROUNDDOWN(I580,0))*3)*(3*$J580^3-6*$J580^2+3*$J580)+INDIRECT("D$"&amp;4+MIN(2,ROUNDDOWN(I580,0))*3)*(-3*$J580^3+3*$J580^2)+INDIRECT("D$"&amp;5+MIN(2,ROUNDDOWN(I580,0))*3)*$J580^3</f>
      </c>
      <c r="M580" s="7">
        <f>SQRT(K580^2+L580^2)</f>
      </c>
      <c r="N580" s="7">
        <f>(K581-K579)</f>
      </c>
      <c r="O580" s="7">
        <f>+(L581-L579)</f>
      </c>
      <c r="P580" s="7">
        <f>SQRT(O580^2+N580^2)</f>
      </c>
      <c r="Q580" s="7">
        <f>N580/$P580</f>
      </c>
      <c r="R580" s="7">
        <f>O580/$P580</f>
      </c>
      <c r="S580" s="8">
        <f>Q580^2+R580^2</f>
      </c>
      <c r="T580" s="7">
        <f>-R580</f>
      </c>
      <c r="U580" s="7">
        <f>Q580</f>
      </c>
      <c r="V580" s="7">
        <f>($C$14+($C$15-$C$14)/($D$15-$D$14)*(I580-$D$14))/2</f>
      </c>
      <c r="W580" s="7">
        <f>($B$22*I580^4+$C$22*I580^3+$D$22*I580^2+$E$22*I580+$F$22)/2</f>
      </c>
      <c r="X580" s="7">
        <f>($W580)*(T580)</f>
      </c>
      <c r="Y580" s="7">
        <f>($W580)*(U580)</f>
      </c>
      <c r="Z580" s="7">
        <f>SQRT(X580^2+Y580^2)</f>
      </c>
      <c r="AA580" s="7">
        <f>$K580+$X580</f>
      </c>
      <c r="AB580" s="7">
        <f>$L580+$Y580</f>
      </c>
      <c r="AC580" s="7">
        <f>$K580-$X580</f>
      </c>
      <c r="AD580" s="7">
        <f>$L580-$Y580</f>
      </c>
      <c r="AE580" s="7">
        <f>AA580/39.3701</f>
      </c>
      <c r="AF580" s="7">
        <f>AB580/39.3701</f>
      </c>
      <c r="AG580" s="7">
        <f>AC580/39.3701</f>
      </c>
      <c r="AH580" s="7">
        <f>AD580/39.3701</f>
      </c>
      <c r="AI580" s="1"/>
      <c r="AJ580" s="1"/>
      <c r="AK580" s="1"/>
      <c r="AL580" s="1"/>
      <c r="AM580" s="2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</row>
    <row x14ac:dyDescent="0.25" r="581" customHeight="1" ht="18.75">
      <c r="A581" s="1"/>
      <c r="B581" s="2"/>
      <c r="C581" s="2"/>
      <c r="D581" s="2"/>
      <c r="E581" s="2"/>
      <c r="F581" s="2"/>
      <c r="G581" s="1"/>
      <c r="H581" s="1"/>
      <c r="I581" s="7">
        <v>0.578</v>
      </c>
      <c r="J581" s="7">
        <f>IF((I581-ROUNDDOWN(I581,0))=0, 0, (I581-ROUNDDOWN(I581,0)))</f>
      </c>
      <c r="K581" s="7">
        <f>INDIRECT("C$"&amp;2+MIN(2,ROUNDDOWN(I581,0))*3)*(-$J581^3+3*$J581^2-3*$J581+1)+INDIRECT("C$"&amp;3+MIN(2,ROUNDDOWN(I581,0))*3)*(3*$J581^3-6*$J581^2+3*$J581)+INDIRECT("C$"&amp;4+MIN(2,ROUNDDOWN(I581,0))*3)*(-3*$J581^3+3*$J581^2)+INDIRECT("C$"&amp;5+MIN(2,ROUNDDOWN(I581,0))*3)*$J581^3</f>
      </c>
      <c r="L581" s="7">
        <f>INDIRECT("D$"&amp;2+MIN(2,ROUNDDOWN(I581,0))*3)*(-$J581^3+3*$J581^2-3*$J581+1)+INDIRECT("D$"&amp;3+MIN(2,ROUNDDOWN(I581,0))*3)*(3*$J581^3-6*$J581^2+3*$J581)+INDIRECT("D$"&amp;4+MIN(2,ROUNDDOWN(I581,0))*3)*(-3*$J581^3+3*$J581^2)+INDIRECT("D$"&amp;5+MIN(2,ROUNDDOWN(I581,0))*3)*$J581^3</f>
      </c>
      <c r="M581" s="7">
        <f>SQRT(K581^2+L581^2)</f>
      </c>
      <c r="N581" s="7">
        <f>(K582-K580)</f>
      </c>
      <c r="O581" s="7">
        <f>+(L582-L580)</f>
      </c>
      <c r="P581" s="7">
        <f>SQRT(O581^2+N581^2)</f>
      </c>
      <c r="Q581" s="7">
        <f>N581/$P581</f>
      </c>
      <c r="R581" s="7">
        <f>O581/$P581</f>
      </c>
      <c r="S581" s="7">
        <f>Q581^2+R581^2</f>
      </c>
      <c r="T581" s="7">
        <f>-R581</f>
      </c>
      <c r="U581" s="7">
        <f>Q581</f>
      </c>
      <c r="V581" s="7">
        <f>($C$14+($C$15-$C$14)/($D$15-$D$14)*(I581-$D$14))/2</f>
      </c>
      <c r="W581" s="7">
        <f>($B$22*I581^4+$C$22*I581^3+$D$22*I581^2+$E$22*I581+$F$22)/2</f>
      </c>
      <c r="X581" s="7">
        <f>($W581)*(T581)</f>
      </c>
      <c r="Y581" s="7">
        <f>($W581)*(U581)</f>
      </c>
      <c r="Z581" s="7">
        <f>SQRT(X581^2+Y581^2)</f>
      </c>
      <c r="AA581" s="7">
        <f>$K581+$X581</f>
      </c>
      <c r="AB581" s="7">
        <f>$L581+$Y581</f>
      </c>
      <c r="AC581" s="7">
        <f>$K581-$X581</f>
      </c>
      <c r="AD581" s="7">
        <f>$L581-$Y581</f>
      </c>
      <c r="AE581" s="7">
        <f>AA581/39.3701</f>
      </c>
      <c r="AF581" s="7">
        <f>AB581/39.3701</f>
      </c>
      <c r="AG581" s="7">
        <f>AC581/39.3701</f>
      </c>
      <c r="AH581" s="7">
        <f>AD581/39.3701</f>
      </c>
      <c r="AI581" s="1"/>
      <c r="AJ581" s="1"/>
      <c r="AK581" s="1"/>
      <c r="AL581" s="1"/>
      <c r="AM581" s="2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</row>
    <row x14ac:dyDescent="0.25" r="582" customHeight="1" ht="18.75">
      <c r="A582" s="1"/>
      <c r="B582" s="2"/>
      <c r="C582" s="2"/>
      <c r="D582" s="2"/>
      <c r="E582" s="2"/>
      <c r="F582" s="2"/>
      <c r="G582" s="1"/>
      <c r="H582" s="1"/>
      <c r="I582" s="7">
        <v>0.579</v>
      </c>
      <c r="J582" s="7">
        <f>IF((I582-ROUNDDOWN(I582,0))=0, 0, (I582-ROUNDDOWN(I582,0)))</f>
      </c>
      <c r="K582" s="7">
        <f>INDIRECT("C$"&amp;2+MIN(2,ROUNDDOWN(I582,0))*3)*(-$J582^3+3*$J582^2-3*$J582+1)+INDIRECT("C$"&amp;3+MIN(2,ROUNDDOWN(I582,0))*3)*(3*$J582^3-6*$J582^2+3*$J582)+INDIRECT("C$"&amp;4+MIN(2,ROUNDDOWN(I582,0))*3)*(-3*$J582^3+3*$J582^2)+INDIRECT("C$"&amp;5+MIN(2,ROUNDDOWN(I582,0))*3)*$J582^3</f>
      </c>
      <c r="L582" s="7">
        <f>INDIRECT("D$"&amp;2+MIN(2,ROUNDDOWN(I582,0))*3)*(-$J582^3+3*$J582^2-3*$J582+1)+INDIRECT("D$"&amp;3+MIN(2,ROUNDDOWN(I582,0))*3)*(3*$J582^3-6*$J582^2+3*$J582)+INDIRECT("D$"&amp;4+MIN(2,ROUNDDOWN(I582,0))*3)*(-3*$J582^3+3*$J582^2)+INDIRECT("D$"&amp;5+MIN(2,ROUNDDOWN(I582,0))*3)*$J582^3</f>
      </c>
      <c r="M582" s="7">
        <f>SQRT(K582^2+L582^2)</f>
      </c>
      <c r="N582" s="7">
        <f>(K583-K581)</f>
      </c>
      <c r="O582" s="7">
        <f>+(L583-L581)</f>
      </c>
      <c r="P582" s="7">
        <f>SQRT(O582^2+N582^2)</f>
      </c>
      <c r="Q582" s="7">
        <f>N582/$P582</f>
      </c>
      <c r="R582" s="7">
        <f>O582/$P582</f>
      </c>
      <c r="S582" s="8">
        <f>Q582^2+R582^2</f>
      </c>
      <c r="T582" s="7">
        <f>-R582</f>
      </c>
      <c r="U582" s="7">
        <f>Q582</f>
      </c>
      <c r="V582" s="7">
        <f>($C$14+($C$15-$C$14)/($D$15-$D$14)*(I582-$D$14))/2</f>
      </c>
      <c r="W582" s="7">
        <f>($B$22*I582^4+$C$22*I582^3+$D$22*I582^2+$E$22*I582+$F$22)/2</f>
      </c>
      <c r="X582" s="7">
        <f>($W582)*(T582)</f>
      </c>
      <c r="Y582" s="7">
        <f>($W582)*(U582)</f>
      </c>
      <c r="Z582" s="7">
        <f>SQRT(X582^2+Y582^2)</f>
      </c>
      <c r="AA582" s="7">
        <f>$K582+$X582</f>
      </c>
      <c r="AB582" s="7">
        <f>$L582+$Y582</f>
      </c>
      <c r="AC582" s="7">
        <f>$K582-$X582</f>
      </c>
      <c r="AD582" s="7">
        <f>$L582-$Y582</f>
      </c>
      <c r="AE582" s="7">
        <f>AA582/39.3701</f>
      </c>
      <c r="AF582" s="7">
        <f>AB582/39.3701</f>
      </c>
      <c r="AG582" s="7">
        <f>AC582/39.3701</f>
      </c>
      <c r="AH582" s="7">
        <f>AD582/39.3701</f>
      </c>
      <c r="AI582" s="1"/>
      <c r="AJ582" s="1"/>
      <c r="AK582" s="1"/>
      <c r="AL582" s="1"/>
      <c r="AM582" s="2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</row>
    <row x14ac:dyDescent="0.25" r="583" customHeight="1" ht="18.75">
      <c r="A583" s="1"/>
      <c r="B583" s="2"/>
      <c r="C583" s="2"/>
      <c r="D583" s="2"/>
      <c r="E583" s="2"/>
      <c r="F583" s="2"/>
      <c r="G583" s="1"/>
      <c r="H583" s="1"/>
      <c r="I583" s="7">
        <v>0.58</v>
      </c>
      <c r="J583" s="7">
        <f>IF((I583-ROUNDDOWN(I583,0))=0, 0, (I583-ROUNDDOWN(I583,0)))</f>
      </c>
      <c r="K583" s="7">
        <f>INDIRECT("C$"&amp;2+MIN(2,ROUNDDOWN(I583,0))*3)*(-$J583^3+3*$J583^2-3*$J583+1)+INDIRECT("C$"&amp;3+MIN(2,ROUNDDOWN(I583,0))*3)*(3*$J583^3-6*$J583^2+3*$J583)+INDIRECT("C$"&amp;4+MIN(2,ROUNDDOWN(I583,0))*3)*(-3*$J583^3+3*$J583^2)+INDIRECT("C$"&amp;5+MIN(2,ROUNDDOWN(I583,0))*3)*$J583^3</f>
      </c>
      <c r="L583" s="7">
        <f>INDIRECT("D$"&amp;2+MIN(2,ROUNDDOWN(I583,0))*3)*(-$J583^3+3*$J583^2-3*$J583+1)+INDIRECT("D$"&amp;3+MIN(2,ROUNDDOWN(I583,0))*3)*(3*$J583^3-6*$J583^2+3*$J583)+INDIRECT("D$"&amp;4+MIN(2,ROUNDDOWN(I583,0))*3)*(-3*$J583^3+3*$J583^2)+INDIRECT("D$"&amp;5+MIN(2,ROUNDDOWN(I583,0))*3)*$J583^3</f>
      </c>
      <c r="M583" s="7">
        <f>SQRT(K583^2+L583^2)</f>
      </c>
      <c r="N583" s="7">
        <f>(K584-K582)</f>
      </c>
      <c r="O583" s="7">
        <f>+(L584-L582)</f>
      </c>
      <c r="P583" s="7">
        <f>SQRT(O583^2+N583^2)</f>
      </c>
      <c r="Q583" s="7">
        <f>N583/$P583</f>
      </c>
      <c r="R583" s="7">
        <f>O583/$P583</f>
      </c>
      <c r="S583" s="8">
        <f>Q583^2+R583^2</f>
      </c>
      <c r="T583" s="7">
        <f>-R583</f>
      </c>
      <c r="U583" s="7">
        <f>Q583</f>
      </c>
      <c r="V583" s="7">
        <f>($C$14+($C$15-$C$14)/($D$15-$D$14)*(I583-$D$14))/2</f>
      </c>
      <c r="W583" s="7">
        <f>($B$22*I583^4+$C$22*I583^3+$D$22*I583^2+$E$22*I583+$F$22)/2</f>
      </c>
      <c r="X583" s="7">
        <f>($W583)*(T583)</f>
      </c>
      <c r="Y583" s="7">
        <f>($W583)*(U583)</f>
      </c>
      <c r="Z583" s="7">
        <f>SQRT(X583^2+Y583^2)</f>
      </c>
      <c r="AA583" s="7">
        <f>$K583+$X583</f>
      </c>
      <c r="AB583" s="7">
        <f>$L583+$Y583</f>
      </c>
      <c r="AC583" s="7">
        <f>$K583-$X583</f>
      </c>
      <c r="AD583" s="7">
        <f>$L583-$Y583</f>
      </c>
      <c r="AE583" s="7">
        <f>AA583/39.3701</f>
      </c>
      <c r="AF583" s="7">
        <f>AB583/39.3701</f>
      </c>
      <c r="AG583" s="7">
        <f>AC583/39.3701</f>
      </c>
      <c r="AH583" s="7">
        <f>AD583/39.3701</f>
      </c>
      <c r="AI583" s="1"/>
      <c r="AJ583" s="1"/>
      <c r="AK583" s="1"/>
      <c r="AL583" s="1"/>
      <c r="AM583" s="2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</row>
    <row x14ac:dyDescent="0.25" r="584" customHeight="1" ht="18.75">
      <c r="A584" s="1"/>
      <c r="B584" s="2"/>
      <c r="C584" s="2"/>
      <c r="D584" s="2"/>
      <c r="E584" s="2"/>
      <c r="F584" s="2"/>
      <c r="G584" s="1"/>
      <c r="H584" s="1"/>
      <c r="I584" s="7">
        <v>0.581</v>
      </c>
      <c r="J584" s="7">
        <f>IF((I584-ROUNDDOWN(I584,0))=0, 0, (I584-ROUNDDOWN(I584,0)))</f>
      </c>
      <c r="K584" s="7">
        <f>INDIRECT("C$"&amp;2+MIN(2,ROUNDDOWN(I584,0))*3)*(-$J584^3+3*$J584^2-3*$J584+1)+INDIRECT("C$"&amp;3+MIN(2,ROUNDDOWN(I584,0))*3)*(3*$J584^3-6*$J584^2+3*$J584)+INDIRECT("C$"&amp;4+MIN(2,ROUNDDOWN(I584,0))*3)*(-3*$J584^3+3*$J584^2)+INDIRECT("C$"&amp;5+MIN(2,ROUNDDOWN(I584,0))*3)*$J584^3</f>
      </c>
      <c r="L584" s="7">
        <f>INDIRECT("D$"&amp;2+MIN(2,ROUNDDOWN(I584,0))*3)*(-$J584^3+3*$J584^2-3*$J584+1)+INDIRECT("D$"&amp;3+MIN(2,ROUNDDOWN(I584,0))*3)*(3*$J584^3-6*$J584^2+3*$J584)+INDIRECT("D$"&amp;4+MIN(2,ROUNDDOWN(I584,0))*3)*(-3*$J584^3+3*$J584^2)+INDIRECT("D$"&amp;5+MIN(2,ROUNDDOWN(I584,0))*3)*$J584^3</f>
      </c>
      <c r="M584" s="7">
        <f>SQRT(K584^2+L584^2)</f>
      </c>
      <c r="N584" s="7">
        <f>(K585-K583)</f>
      </c>
      <c r="O584" s="7">
        <f>+(L585-L583)</f>
      </c>
      <c r="P584" s="7">
        <f>SQRT(O584^2+N584^2)</f>
      </c>
      <c r="Q584" s="7">
        <f>N584/$P584</f>
      </c>
      <c r="R584" s="7">
        <f>O584/$P584</f>
      </c>
      <c r="S584" s="8">
        <f>Q584^2+R584^2</f>
      </c>
      <c r="T584" s="7">
        <f>-R584</f>
      </c>
      <c r="U584" s="7">
        <f>Q584</f>
      </c>
      <c r="V584" s="7">
        <f>($C$14+($C$15-$C$14)/($D$15-$D$14)*(I584-$D$14))/2</f>
      </c>
      <c r="W584" s="7">
        <f>($B$22*I584^4+$C$22*I584^3+$D$22*I584^2+$E$22*I584+$F$22)/2</f>
      </c>
      <c r="X584" s="7">
        <f>($W584)*(T584)</f>
      </c>
      <c r="Y584" s="7">
        <f>($W584)*(U584)</f>
      </c>
      <c r="Z584" s="7">
        <f>SQRT(X584^2+Y584^2)</f>
      </c>
      <c r="AA584" s="7">
        <f>$K584+$X584</f>
      </c>
      <c r="AB584" s="7">
        <f>$L584+$Y584</f>
      </c>
      <c r="AC584" s="7">
        <f>$K584-$X584</f>
      </c>
      <c r="AD584" s="7">
        <f>$L584-$Y584</f>
      </c>
      <c r="AE584" s="7">
        <f>AA584/39.3701</f>
      </c>
      <c r="AF584" s="7">
        <f>AB584/39.3701</f>
      </c>
      <c r="AG584" s="7">
        <f>AC584/39.3701</f>
      </c>
      <c r="AH584" s="7">
        <f>AD584/39.3701</f>
      </c>
      <c r="AI584" s="1"/>
      <c r="AJ584" s="1"/>
      <c r="AK584" s="1"/>
      <c r="AL584" s="1"/>
      <c r="AM584" s="2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</row>
    <row x14ac:dyDescent="0.25" r="585" customHeight="1" ht="18.75">
      <c r="A585" s="1"/>
      <c r="B585" s="2"/>
      <c r="C585" s="2"/>
      <c r="D585" s="2"/>
      <c r="E585" s="2"/>
      <c r="F585" s="2"/>
      <c r="G585" s="1"/>
      <c r="H585" s="1"/>
      <c r="I585" s="7">
        <v>0.582</v>
      </c>
      <c r="J585" s="7">
        <f>IF((I585-ROUNDDOWN(I585,0))=0, 0, (I585-ROUNDDOWN(I585,0)))</f>
      </c>
      <c r="K585" s="7">
        <f>INDIRECT("C$"&amp;2+MIN(2,ROUNDDOWN(I585,0))*3)*(-$J585^3+3*$J585^2-3*$J585+1)+INDIRECT("C$"&amp;3+MIN(2,ROUNDDOWN(I585,0))*3)*(3*$J585^3-6*$J585^2+3*$J585)+INDIRECT("C$"&amp;4+MIN(2,ROUNDDOWN(I585,0))*3)*(-3*$J585^3+3*$J585^2)+INDIRECT("C$"&amp;5+MIN(2,ROUNDDOWN(I585,0))*3)*$J585^3</f>
      </c>
      <c r="L585" s="7">
        <f>INDIRECT("D$"&amp;2+MIN(2,ROUNDDOWN(I585,0))*3)*(-$J585^3+3*$J585^2-3*$J585+1)+INDIRECT("D$"&amp;3+MIN(2,ROUNDDOWN(I585,0))*3)*(3*$J585^3-6*$J585^2+3*$J585)+INDIRECT("D$"&amp;4+MIN(2,ROUNDDOWN(I585,0))*3)*(-3*$J585^3+3*$J585^2)+INDIRECT("D$"&amp;5+MIN(2,ROUNDDOWN(I585,0))*3)*$J585^3</f>
      </c>
      <c r="M585" s="7">
        <f>SQRT(K585^2+L585^2)</f>
      </c>
      <c r="N585" s="7">
        <f>(K586-K584)</f>
      </c>
      <c r="O585" s="7">
        <f>+(L586-L584)</f>
      </c>
      <c r="P585" s="7">
        <f>SQRT(O585^2+N585^2)</f>
      </c>
      <c r="Q585" s="7">
        <f>N585/$P585</f>
      </c>
      <c r="R585" s="7">
        <f>O585/$P585</f>
      </c>
      <c r="S585" s="8">
        <f>Q585^2+R585^2</f>
      </c>
      <c r="T585" s="7">
        <f>-R585</f>
      </c>
      <c r="U585" s="7">
        <f>Q585</f>
      </c>
      <c r="V585" s="7">
        <f>($C$14+($C$15-$C$14)/($D$15-$D$14)*(I585-$D$14))/2</f>
      </c>
      <c r="W585" s="7">
        <f>($B$22*I585^4+$C$22*I585^3+$D$22*I585^2+$E$22*I585+$F$22)/2</f>
      </c>
      <c r="X585" s="7">
        <f>($W585)*(T585)</f>
      </c>
      <c r="Y585" s="7">
        <f>($W585)*(U585)</f>
      </c>
      <c r="Z585" s="7">
        <f>SQRT(X585^2+Y585^2)</f>
      </c>
      <c r="AA585" s="7">
        <f>$K585+$X585</f>
      </c>
      <c r="AB585" s="7">
        <f>$L585+$Y585</f>
      </c>
      <c r="AC585" s="7">
        <f>$K585-$X585</f>
      </c>
      <c r="AD585" s="7">
        <f>$L585-$Y585</f>
      </c>
      <c r="AE585" s="7">
        <f>AA585/39.3701</f>
      </c>
      <c r="AF585" s="7">
        <f>AB585/39.3701</f>
      </c>
      <c r="AG585" s="7">
        <f>AC585/39.3701</f>
      </c>
      <c r="AH585" s="7">
        <f>AD585/39.3701</f>
      </c>
      <c r="AI585" s="1"/>
      <c r="AJ585" s="1"/>
      <c r="AK585" s="1"/>
      <c r="AL585" s="1"/>
      <c r="AM585" s="2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</row>
    <row x14ac:dyDescent="0.25" r="586" customHeight="1" ht="18.75">
      <c r="A586" s="1"/>
      <c r="B586" s="2"/>
      <c r="C586" s="2"/>
      <c r="D586" s="2"/>
      <c r="E586" s="2"/>
      <c r="F586" s="2"/>
      <c r="G586" s="1"/>
      <c r="H586" s="1"/>
      <c r="I586" s="7">
        <v>0.583</v>
      </c>
      <c r="J586" s="7">
        <f>IF((I586-ROUNDDOWN(I586,0))=0, 0, (I586-ROUNDDOWN(I586,0)))</f>
      </c>
      <c r="K586" s="7">
        <f>INDIRECT("C$"&amp;2+MIN(2,ROUNDDOWN(I586,0))*3)*(-$J586^3+3*$J586^2-3*$J586+1)+INDIRECT("C$"&amp;3+MIN(2,ROUNDDOWN(I586,0))*3)*(3*$J586^3-6*$J586^2+3*$J586)+INDIRECT("C$"&amp;4+MIN(2,ROUNDDOWN(I586,0))*3)*(-3*$J586^3+3*$J586^2)+INDIRECT("C$"&amp;5+MIN(2,ROUNDDOWN(I586,0))*3)*$J586^3</f>
      </c>
      <c r="L586" s="7">
        <f>INDIRECT("D$"&amp;2+MIN(2,ROUNDDOWN(I586,0))*3)*(-$J586^3+3*$J586^2-3*$J586+1)+INDIRECT("D$"&amp;3+MIN(2,ROUNDDOWN(I586,0))*3)*(3*$J586^3-6*$J586^2+3*$J586)+INDIRECT("D$"&amp;4+MIN(2,ROUNDDOWN(I586,0))*3)*(-3*$J586^3+3*$J586^2)+INDIRECT("D$"&amp;5+MIN(2,ROUNDDOWN(I586,0))*3)*$J586^3</f>
      </c>
      <c r="M586" s="7">
        <f>SQRT(K586^2+L586^2)</f>
      </c>
      <c r="N586" s="7">
        <f>(K587-K585)</f>
      </c>
      <c r="O586" s="7">
        <f>+(L587-L585)</f>
      </c>
      <c r="P586" s="7">
        <f>SQRT(O586^2+N586^2)</f>
      </c>
      <c r="Q586" s="7">
        <f>N586/$P586</f>
      </c>
      <c r="R586" s="7">
        <f>O586/$P586</f>
      </c>
      <c r="S586" s="7">
        <f>Q586^2+R586^2</f>
      </c>
      <c r="T586" s="7">
        <f>-R586</f>
      </c>
      <c r="U586" s="7">
        <f>Q586</f>
      </c>
      <c r="V586" s="7">
        <f>($C$14+($C$15-$C$14)/($D$15-$D$14)*(I586-$D$14))/2</f>
      </c>
      <c r="W586" s="7">
        <f>($B$22*I586^4+$C$22*I586^3+$D$22*I586^2+$E$22*I586+$F$22)/2</f>
      </c>
      <c r="X586" s="7">
        <f>($W586)*(T586)</f>
      </c>
      <c r="Y586" s="7">
        <f>($W586)*(U586)</f>
      </c>
      <c r="Z586" s="7">
        <f>SQRT(X586^2+Y586^2)</f>
      </c>
      <c r="AA586" s="7">
        <f>$K586+$X586</f>
      </c>
      <c r="AB586" s="7">
        <f>$L586+$Y586</f>
      </c>
      <c r="AC586" s="7">
        <f>$K586-$X586</f>
      </c>
      <c r="AD586" s="7">
        <f>$L586-$Y586</f>
      </c>
      <c r="AE586" s="7">
        <f>AA586/39.3701</f>
      </c>
      <c r="AF586" s="7">
        <f>AB586/39.3701</f>
      </c>
      <c r="AG586" s="7">
        <f>AC586/39.3701</f>
      </c>
      <c r="AH586" s="7">
        <f>AD586/39.3701</f>
      </c>
      <c r="AI586" s="1"/>
      <c r="AJ586" s="1"/>
      <c r="AK586" s="1"/>
      <c r="AL586" s="1"/>
      <c r="AM586" s="2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</row>
    <row x14ac:dyDescent="0.25" r="587" customHeight="1" ht="18.75">
      <c r="A587" s="1"/>
      <c r="B587" s="2"/>
      <c r="C587" s="2"/>
      <c r="D587" s="2"/>
      <c r="E587" s="2"/>
      <c r="F587" s="2"/>
      <c r="G587" s="1"/>
      <c r="H587" s="1"/>
      <c r="I587" s="7">
        <v>0.584</v>
      </c>
      <c r="J587" s="7">
        <f>IF((I587-ROUNDDOWN(I587,0))=0, 0, (I587-ROUNDDOWN(I587,0)))</f>
      </c>
      <c r="K587" s="7">
        <f>INDIRECT("C$"&amp;2+MIN(2,ROUNDDOWN(I587,0))*3)*(-$J587^3+3*$J587^2-3*$J587+1)+INDIRECT("C$"&amp;3+MIN(2,ROUNDDOWN(I587,0))*3)*(3*$J587^3-6*$J587^2+3*$J587)+INDIRECT("C$"&amp;4+MIN(2,ROUNDDOWN(I587,0))*3)*(-3*$J587^3+3*$J587^2)+INDIRECT("C$"&amp;5+MIN(2,ROUNDDOWN(I587,0))*3)*$J587^3</f>
      </c>
      <c r="L587" s="7">
        <f>INDIRECT("D$"&amp;2+MIN(2,ROUNDDOWN(I587,0))*3)*(-$J587^3+3*$J587^2-3*$J587+1)+INDIRECT("D$"&amp;3+MIN(2,ROUNDDOWN(I587,0))*3)*(3*$J587^3-6*$J587^2+3*$J587)+INDIRECT("D$"&amp;4+MIN(2,ROUNDDOWN(I587,0))*3)*(-3*$J587^3+3*$J587^2)+INDIRECT("D$"&amp;5+MIN(2,ROUNDDOWN(I587,0))*3)*$J587^3</f>
      </c>
      <c r="M587" s="7">
        <f>SQRT(K587^2+L587^2)</f>
      </c>
      <c r="N587" s="7">
        <f>(K588-K586)</f>
      </c>
      <c r="O587" s="7">
        <f>+(L588-L586)</f>
      </c>
      <c r="P587" s="7">
        <f>SQRT(O587^2+N587^2)</f>
      </c>
      <c r="Q587" s="7">
        <f>N587/$P587</f>
      </c>
      <c r="R587" s="7">
        <f>O587/$P587</f>
      </c>
      <c r="S587" s="8">
        <f>Q587^2+R587^2</f>
      </c>
      <c r="T587" s="7">
        <f>-R587</f>
      </c>
      <c r="U587" s="7">
        <f>Q587</f>
      </c>
      <c r="V587" s="7">
        <f>($C$14+($C$15-$C$14)/($D$15-$D$14)*(I587-$D$14))/2</f>
      </c>
      <c r="W587" s="7">
        <f>($B$22*I587^4+$C$22*I587^3+$D$22*I587^2+$E$22*I587+$F$22)/2</f>
      </c>
      <c r="X587" s="7">
        <f>($W587)*(T587)</f>
      </c>
      <c r="Y587" s="7">
        <f>($W587)*(U587)</f>
      </c>
      <c r="Z587" s="7">
        <f>SQRT(X587^2+Y587^2)</f>
      </c>
      <c r="AA587" s="7">
        <f>$K587+$X587</f>
      </c>
      <c r="AB587" s="7">
        <f>$L587+$Y587</f>
      </c>
      <c r="AC587" s="7">
        <f>$K587-$X587</f>
      </c>
      <c r="AD587" s="7">
        <f>$L587-$Y587</f>
      </c>
      <c r="AE587" s="7">
        <f>AA587/39.3701</f>
      </c>
      <c r="AF587" s="7">
        <f>AB587/39.3701</f>
      </c>
      <c r="AG587" s="7">
        <f>AC587/39.3701</f>
      </c>
      <c r="AH587" s="7">
        <f>AD587/39.3701</f>
      </c>
      <c r="AI587" s="1"/>
      <c r="AJ587" s="1"/>
      <c r="AK587" s="1"/>
      <c r="AL587" s="1"/>
      <c r="AM587" s="2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</row>
    <row x14ac:dyDescent="0.25" r="588" customHeight="1" ht="18.75">
      <c r="A588" s="1"/>
      <c r="B588" s="2"/>
      <c r="C588" s="2"/>
      <c r="D588" s="2"/>
      <c r="E588" s="2"/>
      <c r="F588" s="2"/>
      <c r="G588" s="1"/>
      <c r="H588" s="1"/>
      <c r="I588" s="7">
        <v>0.585</v>
      </c>
      <c r="J588" s="7">
        <f>IF((I588-ROUNDDOWN(I588,0))=0, 0, (I588-ROUNDDOWN(I588,0)))</f>
      </c>
      <c r="K588" s="7">
        <f>INDIRECT("C$"&amp;2+MIN(2,ROUNDDOWN(I588,0))*3)*(-$J588^3+3*$J588^2-3*$J588+1)+INDIRECT("C$"&amp;3+MIN(2,ROUNDDOWN(I588,0))*3)*(3*$J588^3-6*$J588^2+3*$J588)+INDIRECT("C$"&amp;4+MIN(2,ROUNDDOWN(I588,0))*3)*(-3*$J588^3+3*$J588^2)+INDIRECT("C$"&amp;5+MIN(2,ROUNDDOWN(I588,0))*3)*$J588^3</f>
      </c>
      <c r="L588" s="7">
        <f>INDIRECT("D$"&amp;2+MIN(2,ROUNDDOWN(I588,0))*3)*(-$J588^3+3*$J588^2-3*$J588+1)+INDIRECT("D$"&amp;3+MIN(2,ROUNDDOWN(I588,0))*3)*(3*$J588^3-6*$J588^2+3*$J588)+INDIRECT("D$"&amp;4+MIN(2,ROUNDDOWN(I588,0))*3)*(-3*$J588^3+3*$J588^2)+INDIRECT("D$"&amp;5+MIN(2,ROUNDDOWN(I588,0))*3)*$J588^3</f>
      </c>
      <c r="M588" s="7">
        <f>SQRT(K588^2+L588^2)</f>
      </c>
      <c r="N588" s="7">
        <f>(K589-K587)</f>
      </c>
      <c r="O588" s="7">
        <f>+(L589-L587)</f>
      </c>
      <c r="P588" s="7">
        <f>SQRT(O588^2+N588^2)</f>
      </c>
      <c r="Q588" s="7">
        <f>N588/$P588</f>
      </c>
      <c r="R588" s="7">
        <f>O588/$P588</f>
      </c>
      <c r="S588" s="7">
        <f>Q588^2+R588^2</f>
      </c>
      <c r="T588" s="7">
        <f>-R588</f>
      </c>
      <c r="U588" s="7">
        <f>Q588</f>
      </c>
      <c r="V588" s="7">
        <f>($C$14+($C$15-$C$14)/($D$15-$D$14)*(I588-$D$14))/2</f>
      </c>
      <c r="W588" s="7">
        <f>($B$22*I588^4+$C$22*I588^3+$D$22*I588^2+$E$22*I588+$F$22)/2</f>
      </c>
      <c r="X588" s="7">
        <f>($W588)*(T588)</f>
      </c>
      <c r="Y588" s="7">
        <f>($W588)*(U588)</f>
      </c>
      <c r="Z588" s="7">
        <f>SQRT(X588^2+Y588^2)</f>
      </c>
      <c r="AA588" s="7">
        <f>$K588+$X588</f>
      </c>
      <c r="AB588" s="7">
        <f>$L588+$Y588</f>
      </c>
      <c r="AC588" s="7">
        <f>$K588-$X588</f>
      </c>
      <c r="AD588" s="7">
        <f>$L588-$Y588</f>
      </c>
      <c r="AE588" s="7">
        <f>AA588/39.3701</f>
      </c>
      <c r="AF588" s="7">
        <f>AB588/39.3701</f>
      </c>
      <c r="AG588" s="7">
        <f>AC588/39.3701</f>
      </c>
      <c r="AH588" s="7">
        <f>AD588/39.3701</f>
      </c>
      <c r="AI588" s="1"/>
      <c r="AJ588" s="1"/>
      <c r="AK588" s="1"/>
      <c r="AL588" s="1"/>
      <c r="AM588" s="2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</row>
    <row x14ac:dyDescent="0.25" r="589" customHeight="1" ht="18.75">
      <c r="A589" s="1"/>
      <c r="B589" s="2"/>
      <c r="C589" s="2"/>
      <c r="D589" s="2"/>
      <c r="E589" s="2"/>
      <c r="F589" s="2"/>
      <c r="G589" s="1"/>
      <c r="H589" s="1"/>
      <c r="I589" s="7">
        <v>0.586</v>
      </c>
      <c r="J589" s="7">
        <f>IF((I589-ROUNDDOWN(I589,0))=0, 0, (I589-ROUNDDOWN(I589,0)))</f>
      </c>
      <c r="K589" s="7">
        <f>INDIRECT("C$"&amp;2+MIN(2,ROUNDDOWN(I589,0))*3)*(-$J589^3+3*$J589^2-3*$J589+1)+INDIRECT("C$"&amp;3+MIN(2,ROUNDDOWN(I589,0))*3)*(3*$J589^3-6*$J589^2+3*$J589)+INDIRECT("C$"&amp;4+MIN(2,ROUNDDOWN(I589,0))*3)*(-3*$J589^3+3*$J589^2)+INDIRECT("C$"&amp;5+MIN(2,ROUNDDOWN(I589,0))*3)*$J589^3</f>
      </c>
      <c r="L589" s="7">
        <f>INDIRECT("D$"&amp;2+MIN(2,ROUNDDOWN(I589,0))*3)*(-$J589^3+3*$J589^2-3*$J589+1)+INDIRECT("D$"&amp;3+MIN(2,ROUNDDOWN(I589,0))*3)*(3*$J589^3-6*$J589^2+3*$J589)+INDIRECT("D$"&amp;4+MIN(2,ROUNDDOWN(I589,0))*3)*(-3*$J589^3+3*$J589^2)+INDIRECT("D$"&amp;5+MIN(2,ROUNDDOWN(I589,0))*3)*$J589^3</f>
      </c>
      <c r="M589" s="7">
        <f>SQRT(K589^2+L589^2)</f>
      </c>
      <c r="N589" s="7">
        <f>(K590-K588)</f>
      </c>
      <c r="O589" s="7">
        <f>+(L590-L588)</f>
      </c>
      <c r="P589" s="7">
        <f>SQRT(O589^2+N589^2)</f>
      </c>
      <c r="Q589" s="7">
        <f>N589/$P589</f>
      </c>
      <c r="R589" s="7">
        <f>O589/$P589</f>
      </c>
      <c r="S589" s="8">
        <f>Q589^2+R589^2</f>
      </c>
      <c r="T589" s="7">
        <f>-R589</f>
      </c>
      <c r="U589" s="7">
        <f>Q589</f>
      </c>
      <c r="V589" s="7">
        <f>($C$14+($C$15-$C$14)/($D$15-$D$14)*(I589-$D$14))/2</f>
      </c>
      <c r="W589" s="7">
        <f>($B$22*I589^4+$C$22*I589^3+$D$22*I589^2+$E$22*I589+$F$22)/2</f>
      </c>
      <c r="X589" s="7">
        <f>($W589)*(T589)</f>
      </c>
      <c r="Y589" s="7">
        <f>($W589)*(U589)</f>
      </c>
      <c r="Z589" s="7">
        <f>SQRT(X589^2+Y589^2)</f>
      </c>
      <c r="AA589" s="7">
        <f>$K589+$X589</f>
      </c>
      <c r="AB589" s="7">
        <f>$L589+$Y589</f>
      </c>
      <c r="AC589" s="7">
        <f>$K589-$X589</f>
      </c>
      <c r="AD589" s="7">
        <f>$L589-$Y589</f>
      </c>
      <c r="AE589" s="7">
        <f>AA589/39.3701</f>
      </c>
      <c r="AF589" s="7">
        <f>AB589/39.3701</f>
      </c>
      <c r="AG589" s="7">
        <f>AC589/39.3701</f>
      </c>
      <c r="AH589" s="7">
        <f>AD589/39.3701</f>
      </c>
      <c r="AI589" s="1"/>
      <c r="AJ589" s="1"/>
      <c r="AK589" s="1"/>
      <c r="AL589" s="1"/>
      <c r="AM589" s="2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</row>
    <row x14ac:dyDescent="0.25" r="590" customHeight="1" ht="18.75">
      <c r="A590" s="1"/>
      <c r="B590" s="2"/>
      <c r="C590" s="2"/>
      <c r="D590" s="2"/>
      <c r="E590" s="2"/>
      <c r="F590" s="2"/>
      <c r="G590" s="1"/>
      <c r="H590" s="1"/>
      <c r="I590" s="7">
        <v>0.587</v>
      </c>
      <c r="J590" s="7">
        <f>IF((I590-ROUNDDOWN(I590,0))=0, 0, (I590-ROUNDDOWN(I590,0)))</f>
      </c>
      <c r="K590" s="7">
        <f>INDIRECT("C$"&amp;2+MIN(2,ROUNDDOWN(I590,0))*3)*(-$J590^3+3*$J590^2-3*$J590+1)+INDIRECT("C$"&amp;3+MIN(2,ROUNDDOWN(I590,0))*3)*(3*$J590^3-6*$J590^2+3*$J590)+INDIRECT("C$"&amp;4+MIN(2,ROUNDDOWN(I590,0))*3)*(-3*$J590^3+3*$J590^2)+INDIRECT("C$"&amp;5+MIN(2,ROUNDDOWN(I590,0))*3)*$J590^3</f>
      </c>
      <c r="L590" s="7">
        <f>INDIRECT("D$"&amp;2+MIN(2,ROUNDDOWN(I590,0))*3)*(-$J590^3+3*$J590^2-3*$J590+1)+INDIRECT("D$"&amp;3+MIN(2,ROUNDDOWN(I590,0))*3)*(3*$J590^3-6*$J590^2+3*$J590)+INDIRECT("D$"&amp;4+MIN(2,ROUNDDOWN(I590,0))*3)*(-3*$J590^3+3*$J590^2)+INDIRECT("D$"&amp;5+MIN(2,ROUNDDOWN(I590,0))*3)*$J590^3</f>
      </c>
      <c r="M590" s="7">
        <f>SQRT(K590^2+L590^2)</f>
      </c>
      <c r="N590" s="7">
        <f>(K591-K589)</f>
      </c>
      <c r="O590" s="7">
        <f>+(L591-L589)</f>
      </c>
      <c r="P590" s="7">
        <f>SQRT(O590^2+N590^2)</f>
      </c>
      <c r="Q590" s="7">
        <f>N590/$P590</f>
      </c>
      <c r="R590" s="7">
        <f>O590/$P590</f>
      </c>
      <c r="S590" s="8">
        <f>Q590^2+R590^2</f>
      </c>
      <c r="T590" s="7">
        <f>-R590</f>
      </c>
      <c r="U590" s="7">
        <f>Q590</f>
      </c>
      <c r="V590" s="7">
        <f>($C$14+($C$15-$C$14)/($D$15-$D$14)*(I590-$D$14))/2</f>
      </c>
      <c r="W590" s="7">
        <f>($B$22*I590^4+$C$22*I590^3+$D$22*I590^2+$E$22*I590+$F$22)/2</f>
      </c>
      <c r="X590" s="7">
        <f>($W590)*(T590)</f>
      </c>
      <c r="Y590" s="7">
        <f>($W590)*(U590)</f>
      </c>
      <c r="Z590" s="7">
        <f>SQRT(X590^2+Y590^2)</f>
      </c>
      <c r="AA590" s="7">
        <f>$K590+$X590</f>
      </c>
      <c r="AB590" s="7">
        <f>$L590+$Y590</f>
      </c>
      <c r="AC590" s="7">
        <f>$K590-$X590</f>
      </c>
      <c r="AD590" s="7">
        <f>$L590-$Y590</f>
      </c>
      <c r="AE590" s="7">
        <f>AA590/39.3701</f>
      </c>
      <c r="AF590" s="7">
        <f>AB590/39.3701</f>
      </c>
      <c r="AG590" s="7">
        <f>AC590/39.3701</f>
      </c>
      <c r="AH590" s="7">
        <f>AD590/39.3701</f>
      </c>
      <c r="AI590" s="1"/>
      <c r="AJ590" s="1"/>
      <c r="AK590" s="1"/>
      <c r="AL590" s="1"/>
      <c r="AM590" s="2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</row>
    <row x14ac:dyDescent="0.25" r="591" customHeight="1" ht="18.75">
      <c r="A591" s="1"/>
      <c r="B591" s="2"/>
      <c r="C591" s="2"/>
      <c r="D591" s="2"/>
      <c r="E591" s="2"/>
      <c r="F591" s="2"/>
      <c r="G591" s="1"/>
      <c r="H591" s="1"/>
      <c r="I591" s="7">
        <v>0.588</v>
      </c>
      <c r="J591" s="7">
        <f>IF((I591-ROUNDDOWN(I591,0))=0, 0, (I591-ROUNDDOWN(I591,0)))</f>
      </c>
      <c r="K591" s="7">
        <f>INDIRECT("C$"&amp;2+MIN(2,ROUNDDOWN(I591,0))*3)*(-$J591^3+3*$J591^2-3*$J591+1)+INDIRECT("C$"&amp;3+MIN(2,ROUNDDOWN(I591,0))*3)*(3*$J591^3-6*$J591^2+3*$J591)+INDIRECT("C$"&amp;4+MIN(2,ROUNDDOWN(I591,0))*3)*(-3*$J591^3+3*$J591^2)+INDIRECT("C$"&amp;5+MIN(2,ROUNDDOWN(I591,0))*3)*$J591^3</f>
      </c>
      <c r="L591" s="7">
        <f>INDIRECT("D$"&amp;2+MIN(2,ROUNDDOWN(I591,0))*3)*(-$J591^3+3*$J591^2-3*$J591+1)+INDIRECT("D$"&amp;3+MIN(2,ROUNDDOWN(I591,0))*3)*(3*$J591^3-6*$J591^2+3*$J591)+INDIRECT("D$"&amp;4+MIN(2,ROUNDDOWN(I591,0))*3)*(-3*$J591^3+3*$J591^2)+INDIRECT("D$"&amp;5+MIN(2,ROUNDDOWN(I591,0))*3)*$J591^3</f>
      </c>
      <c r="M591" s="7">
        <f>SQRT(K591^2+L591^2)</f>
      </c>
      <c r="N591" s="7">
        <f>(K592-K590)</f>
      </c>
      <c r="O591" s="7">
        <f>+(L592-L590)</f>
      </c>
      <c r="P591" s="7">
        <f>SQRT(O591^2+N591^2)</f>
      </c>
      <c r="Q591" s="7">
        <f>N591/$P591</f>
      </c>
      <c r="R591" s="7">
        <f>O591/$P591</f>
      </c>
      <c r="S591" s="8">
        <f>Q591^2+R591^2</f>
      </c>
      <c r="T591" s="7">
        <f>-R591</f>
      </c>
      <c r="U591" s="7">
        <f>Q591</f>
      </c>
      <c r="V591" s="7">
        <f>($C$14+($C$15-$C$14)/($D$15-$D$14)*(I591-$D$14))/2</f>
      </c>
      <c r="W591" s="7">
        <f>($B$22*I591^4+$C$22*I591^3+$D$22*I591^2+$E$22*I591+$F$22)/2</f>
      </c>
      <c r="X591" s="7">
        <f>($W591)*(T591)</f>
      </c>
      <c r="Y591" s="7">
        <f>($W591)*(U591)</f>
      </c>
      <c r="Z591" s="7">
        <f>SQRT(X591^2+Y591^2)</f>
      </c>
      <c r="AA591" s="7">
        <f>$K591+$X591</f>
      </c>
      <c r="AB591" s="7">
        <f>$L591+$Y591</f>
      </c>
      <c r="AC591" s="7">
        <f>$K591-$X591</f>
      </c>
      <c r="AD591" s="7">
        <f>$L591-$Y591</f>
      </c>
      <c r="AE591" s="7">
        <f>AA591/39.3701</f>
      </c>
      <c r="AF591" s="7">
        <f>AB591/39.3701</f>
      </c>
      <c r="AG591" s="7">
        <f>AC591/39.3701</f>
      </c>
      <c r="AH591" s="7">
        <f>AD591/39.3701</f>
      </c>
      <c r="AI591" s="1"/>
      <c r="AJ591" s="1"/>
      <c r="AK591" s="1"/>
      <c r="AL591" s="1"/>
      <c r="AM591" s="2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</row>
    <row x14ac:dyDescent="0.25" r="592" customHeight="1" ht="18.75">
      <c r="A592" s="1"/>
      <c r="B592" s="2"/>
      <c r="C592" s="2"/>
      <c r="D592" s="2"/>
      <c r="E592" s="2"/>
      <c r="F592" s="2"/>
      <c r="G592" s="1"/>
      <c r="H592" s="1"/>
      <c r="I592" s="7">
        <v>0.589</v>
      </c>
      <c r="J592" s="7">
        <f>IF((I592-ROUNDDOWN(I592,0))=0, 0, (I592-ROUNDDOWN(I592,0)))</f>
      </c>
      <c r="K592" s="7">
        <f>INDIRECT("C$"&amp;2+MIN(2,ROUNDDOWN(I592,0))*3)*(-$J592^3+3*$J592^2-3*$J592+1)+INDIRECT("C$"&amp;3+MIN(2,ROUNDDOWN(I592,0))*3)*(3*$J592^3-6*$J592^2+3*$J592)+INDIRECT("C$"&amp;4+MIN(2,ROUNDDOWN(I592,0))*3)*(-3*$J592^3+3*$J592^2)+INDIRECT("C$"&amp;5+MIN(2,ROUNDDOWN(I592,0))*3)*$J592^3</f>
      </c>
      <c r="L592" s="7">
        <f>INDIRECT("D$"&amp;2+MIN(2,ROUNDDOWN(I592,0))*3)*(-$J592^3+3*$J592^2-3*$J592+1)+INDIRECT("D$"&amp;3+MIN(2,ROUNDDOWN(I592,0))*3)*(3*$J592^3-6*$J592^2+3*$J592)+INDIRECT("D$"&amp;4+MIN(2,ROUNDDOWN(I592,0))*3)*(-3*$J592^3+3*$J592^2)+INDIRECT("D$"&amp;5+MIN(2,ROUNDDOWN(I592,0))*3)*$J592^3</f>
      </c>
      <c r="M592" s="7">
        <f>SQRT(K592^2+L592^2)</f>
      </c>
      <c r="N592" s="7">
        <f>(K593-K591)</f>
      </c>
      <c r="O592" s="7">
        <f>+(L593-L591)</f>
      </c>
      <c r="P592" s="7">
        <f>SQRT(O592^2+N592^2)</f>
      </c>
      <c r="Q592" s="7">
        <f>N592/$P592</f>
      </c>
      <c r="R592" s="7">
        <f>O592/$P592</f>
      </c>
      <c r="S592" s="8">
        <f>Q592^2+R592^2</f>
      </c>
      <c r="T592" s="7">
        <f>-R592</f>
      </c>
      <c r="U592" s="7">
        <f>Q592</f>
      </c>
      <c r="V592" s="7">
        <f>($C$14+($C$15-$C$14)/($D$15-$D$14)*(I592-$D$14))/2</f>
      </c>
      <c r="W592" s="7">
        <f>($B$22*I592^4+$C$22*I592^3+$D$22*I592^2+$E$22*I592+$F$22)/2</f>
      </c>
      <c r="X592" s="7">
        <f>($W592)*(T592)</f>
      </c>
      <c r="Y592" s="7">
        <f>($W592)*(U592)</f>
      </c>
      <c r="Z592" s="7">
        <f>SQRT(X592^2+Y592^2)</f>
      </c>
      <c r="AA592" s="7">
        <f>$K592+$X592</f>
      </c>
      <c r="AB592" s="7">
        <f>$L592+$Y592</f>
      </c>
      <c r="AC592" s="7">
        <f>$K592-$X592</f>
      </c>
      <c r="AD592" s="7">
        <f>$L592-$Y592</f>
      </c>
      <c r="AE592" s="7">
        <f>AA592/39.3701</f>
      </c>
      <c r="AF592" s="7">
        <f>AB592/39.3701</f>
      </c>
      <c r="AG592" s="7">
        <f>AC592/39.3701</f>
      </c>
      <c r="AH592" s="7">
        <f>AD592/39.3701</f>
      </c>
      <c r="AI592" s="1"/>
      <c r="AJ592" s="1"/>
      <c r="AK592" s="1"/>
      <c r="AL592" s="1"/>
      <c r="AM592" s="2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</row>
    <row x14ac:dyDescent="0.25" r="593" customHeight="1" ht="18.75">
      <c r="A593" s="1"/>
      <c r="B593" s="2"/>
      <c r="C593" s="2"/>
      <c r="D593" s="2"/>
      <c r="E593" s="2"/>
      <c r="F593" s="2"/>
      <c r="G593" s="1"/>
      <c r="H593" s="1"/>
      <c r="I593" s="7">
        <v>0.59</v>
      </c>
      <c r="J593" s="7">
        <f>IF((I593-ROUNDDOWN(I593,0))=0, 0, (I593-ROUNDDOWN(I593,0)))</f>
      </c>
      <c r="K593" s="7">
        <f>INDIRECT("C$"&amp;2+MIN(2,ROUNDDOWN(I593,0))*3)*(-$J593^3+3*$J593^2-3*$J593+1)+INDIRECT("C$"&amp;3+MIN(2,ROUNDDOWN(I593,0))*3)*(3*$J593^3-6*$J593^2+3*$J593)+INDIRECT("C$"&amp;4+MIN(2,ROUNDDOWN(I593,0))*3)*(-3*$J593^3+3*$J593^2)+INDIRECT("C$"&amp;5+MIN(2,ROUNDDOWN(I593,0))*3)*$J593^3</f>
      </c>
      <c r="L593" s="7">
        <f>INDIRECT("D$"&amp;2+MIN(2,ROUNDDOWN(I593,0))*3)*(-$J593^3+3*$J593^2-3*$J593+1)+INDIRECT("D$"&amp;3+MIN(2,ROUNDDOWN(I593,0))*3)*(3*$J593^3-6*$J593^2+3*$J593)+INDIRECT("D$"&amp;4+MIN(2,ROUNDDOWN(I593,0))*3)*(-3*$J593^3+3*$J593^2)+INDIRECT("D$"&amp;5+MIN(2,ROUNDDOWN(I593,0))*3)*$J593^3</f>
      </c>
      <c r="M593" s="7">
        <f>SQRT(K593^2+L593^2)</f>
      </c>
      <c r="N593" s="7">
        <f>(K594-K592)</f>
      </c>
      <c r="O593" s="7">
        <f>+(L594-L592)</f>
      </c>
      <c r="P593" s="7">
        <f>SQRT(O593^2+N593^2)</f>
      </c>
      <c r="Q593" s="7">
        <f>N593/$P593</f>
      </c>
      <c r="R593" s="7">
        <f>O593/$P593</f>
      </c>
      <c r="S593" s="7">
        <f>Q593^2+R593^2</f>
      </c>
      <c r="T593" s="7">
        <f>-R593</f>
      </c>
      <c r="U593" s="7">
        <f>Q593</f>
      </c>
      <c r="V593" s="7">
        <f>($C$14+($C$15-$C$14)/($D$15-$D$14)*(I593-$D$14))/2</f>
      </c>
      <c r="W593" s="7">
        <f>($B$22*I593^4+$C$22*I593^3+$D$22*I593^2+$E$22*I593+$F$22)/2</f>
      </c>
      <c r="X593" s="7">
        <f>($W593)*(T593)</f>
      </c>
      <c r="Y593" s="7">
        <f>($W593)*(U593)</f>
      </c>
      <c r="Z593" s="7">
        <f>SQRT(X593^2+Y593^2)</f>
      </c>
      <c r="AA593" s="7">
        <f>$K593+$X593</f>
      </c>
      <c r="AB593" s="7">
        <f>$L593+$Y593</f>
      </c>
      <c r="AC593" s="7">
        <f>$K593-$X593</f>
      </c>
      <c r="AD593" s="7">
        <f>$L593-$Y593</f>
      </c>
      <c r="AE593" s="7">
        <f>AA593/39.3701</f>
      </c>
      <c r="AF593" s="7">
        <f>AB593/39.3701</f>
      </c>
      <c r="AG593" s="7">
        <f>AC593/39.3701</f>
      </c>
      <c r="AH593" s="7">
        <f>AD593/39.3701</f>
      </c>
      <c r="AI593" s="1"/>
      <c r="AJ593" s="1"/>
      <c r="AK593" s="1"/>
      <c r="AL593" s="1"/>
      <c r="AM593" s="2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</row>
    <row x14ac:dyDescent="0.25" r="594" customHeight="1" ht="18.75">
      <c r="A594" s="1"/>
      <c r="B594" s="2"/>
      <c r="C594" s="2"/>
      <c r="D594" s="2"/>
      <c r="E594" s="2"/>
      <c r="F594" s="2"/>
      <c r="G594" s="1"/>
      <c r="H594" s="1"/>
      <c r="I594" s="7">
        <v>0.591</v>
      </c>
      <c r="J594" s="7">
        <f>IF((I594-ROUNDDOWN(I594,0))=0, 0, (I594-ROUNDDOWN(I594,0)))</f>
      </c>
      <c r="K594" s="7">
        <f>INDIRECT("C$"&amp;2+MIN(2,ROUNDDOWN(I594,0))*3)*(-$J594^3+3*$J594^2-3*$J594+1)+INDIRECT("C$"&amp;3+MIN(2,ROUNDDOWN(I594,0))*3)*(3*$J594^3-6*$J594^2+3*$J594)+INDIRECT("C$"&amp;4+MIN(2,ROUNDDOWN(I594,0))*3)*(-3*$J594^3+3*$J594^2)+INDIRECT("C$"&amp;5+MIN(2,ROUNDDOWN(I594,0))*3)*$J594^3</f>
      </c>
      <c r="L594" s="7">
        <f>INDIRECT("D$"&amp;2+MIN(2,ROUNDDOWN(I594,0))*3)*(-$J594^3+3*$J594^2-3*$J594+1)+INDIRECT("D$"&amp;3+MIN(2,ROUNDDOWN(I594,0))*3)*(3*$J594^3-6*$J594^2+3*$J594)+INDIRECT("D$"&amp;4+MIN(2,ROUNDDOWN(I594,0))*3)*(-3*$J594^3+3*$J594^2)+INDIRECT("D$"&amp;5+MIN(2,ROUNDDOWN(I594,0))*3)*$J594^3</f>
      </c>
      <c r="M594" s="7">
        <f>SQRT(K594^2+L594^2)</f>
      </c>
      <c r="N594" s="7">
        <f>(K595-K593)</f>
      </c>
      <c r="O594" s="7">
        <f>+(L595-L593)</f>
      </c>
      <c r="P594" s="7">
        <f>SQRT(O594^2+N594^2)</f>
      </c>
      <c r="Q594" s="7">
        <f>N594/$P594</f>
      </c>
      <c r="R594" s="7">
        <f>O594/$P594</f>
      </c>
      <c r="S594" s="7">
        <f>Q594^2+R594^2</f>
      </c>
      <c r="T594" s="7">
        <f>-R594</f>
      </c>
      <c r="U594" s="7">
        <f>Q594</f>
      </c>
      <c r="V594" s="7">
        <f>($C$14+($C$15-$C$14)/($D$15-$D$14)*(I594-$D$14))/2</f>
      </c>
      <c r="W594" s="7">
        <f>($B$22*I594^4+$C$22*I594^3+$D$22*I594^2+$E$22*I594+$F$22)/2</f>
      </c>
      <c r="X594" s="7">
        <f>($W594)*(T594)</f>
      </c>
      <c r="Y594" s="7">
        <f>($W594)*(U594)</f>
      </c>
      <c r="Z594" s="7">
        <f>SQRT(X594^2+Y594^2)</f>
      </c>
      <c r="AA594" s="7">
        <f>$K594+$X594</f>
      </c>
      <c r="AB594" s="7">
        <f>$L594+$Y594</f>
      </c>
      <c r="AC594" s="7">
        <f>$K594-$X594</f>
      </c>
      <c r="AD594" s="7">
        <f>$L594-$Y594</f>
      </c>
      <c r="AE594" s="7">
        <f>AA594/39.3701</f>
      </c>
      <c r="AF594" s="7">
        <f>AB594/39.3701</f>
      </c>
      <c r="AG594" s="7">
        <f>AC594/39.3701</f>
      </c>
      <c r="AH594" s="7">
        <f>AD594/39.3701</f>
      </c>
      <c r="AI594" s="1"/>
      <c r="AJ594" s="1"/>
      <c r="AK594" s="1"/>
      <c r="AL594" s="1"/>
      <c r="AM594" s="2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</row>
    <row x14ac:dyDescent="0.25" r="595" customHeight="1" ht="18.75">
      <c r="A595" s="1"/>
      <c r="B595" s="2"/>
      <c r="C595" s="2"/>
      <c r="D595" s="2"/>
      <c r="E595" s="2"/>
      <c r="F595" s="2"/>
      <c r="G595" s="1"/>
      <c r="H595" s="1"/>
      <c r="I595" s="7">
        <v>0.592</v>
      </c>
      <c r="J595" s="7">
        <f>IF((I595-ROUNDDOWN(I595,0))=0, 0, (I595-ROUNDDOWN(I595,0)))</f>
      </c>
      <c r="K595" s="7">
        <f>INDIRECT("C$"&amp;2+MIN(2,ROUNDDOWN(I595,0))*3)*(-$J595^3+3*$J595^2-3*$J595+1)+INDIRECT("C$"&amp;3+MIN(2,ROUNDDOWN(I595,0))*3)*(3*$J595^3-6*$J595^2+3*$J595)+INDIRECT("C$"&amp;4+MIN(2,ROUNDDOWN(I595,0))*3)*(-3*$J595^3+3*$J595^2)+INDIRECT("C$"&amp;5+MIN(2,ROUNDDOWN(I595,0))*3)*$J595^3</f>
      </c>
      <c r="L595" s="7">
        <f>INDIRECT("D$"&amp;2+MIN(2,ROUNDDOWN(I595,0))*3)*(-$J595^3+3*$J595^2-3*$J595+1)+INDIRECT("D$"&amp;3+MIN(2,ROUNDDOWN(I595,0))*3)*(3*$J595^3-6*$J595^2+3*$J595)+INDIRECT("D$"&amp;4+MIN(2,ROUNDDOWN(I595,0))*3)*(-3*$J595^3+3*$J595^2)+INDIRECT("D$"&amp;5+MIN(2,ROUNDDOWN(I595,0))*3)*$J595^3</f>
      </c>
      <c r="M595" s="7">
        <f>SQRT(K595^2+L595^2)</f>
      </c>
      <c r="N595" s="7">
        <f>(K596-K594)</f>
      </c>
      <c r="O595" s="7">
        <f>+(L596-L594)</f>
      </c>
      <c r="P595" s="7">
        <f>SQRT(O595^2+N595^2)</f>
      </c>
      <c r="Q595" s="7">
        <f>N595/$P595</f>
      </c>
      <c r="R595" s="7">
        <f>O595/$P595</f>
      </c>
      <c r="S595" s="7">
        <f>Q595^2+R595^2</f>
      </c>
      <c r="T595" s="7">
        <f>-R595</f>
      </c>
      <c r="U595" s="7">
        <f>Q595</f>
      </c>
      <c r="V595" s="7">
        <f>($C$14+($C$15-$C$14)/($D$15-$D$14)*(I595-$D$14))/2</f>
      </c>
      <c r="W595" s="7">
        <f>($B$22*I595^4+$C$22*I595^3+$D$22*I595^2+$E$22*I595+$F$22)/2</f>
      </c>
      <c r="X595" s="7">
        <f>($W595)*(T595)</f>
      </c>
      <c r="Y595" s="7">
        <f>($W595)*(U595)</f>
      </c>
      <c r="Z595" s="7">
        <f>SQRT(X595^2+Y595^2)</f>
      </c>
      <c r="AA595" s="7">
        <f>$K595+$X595</f>
      </c>
      <c r="AB595" s="7">
        <f>$L595+$Y595</f>
      </c>
      <c r="AC595" s="7">
        <f>$K595-$X595</f>
      </c>
      <c r="AD595" s="7">
        <f>$L595-$Y595</f>
      </c>
      <c r="AE595" s="7">
        <f>AA595/39.3701</f>
      </c>
      <c r="AF595" s="7">
        <f>AB595/39.3701</f>
      </c>
      <c r="AG595" s="7">
        <f>AC595/39.3701</f>
      </c>
      <c r="AH595" s="7">
        <f>AD595/39.3701</f>
      </c>
      <c r="AI595" s="1"/>
      <c r="AJ595" s="1"/>
      <c r="AK595" s="1"/>
      <c r="AL595" s="1"/>
      <c r="AM595" s="2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</row>
    <row x14ac:dyDescent="0.25" r="596" customHeight="1" ht="18.75">
      <c r="A596" s="1"/>
      <c r="B596" s="2"/>
      <c r="C596" s="2"/>
      <c r="D596" s="2"/>
      <c r="E596" s="2"/>
      <c r="F596" s="2"/>
      <c r="G596" s="1"/>
      <c r="H596" s="1"/>
      <c r="I596" s="7">
        <v>0.593</v>
      </c>
      <c r="J596" s="7">
        <f>IF((I596-ROUNDDOWN(I596,0))=0, 0, (I596-ROUNDDOWN(I596,0)))</f>
      </c>
      <c r="K596" s="7">
        <f>INDIRECT("C$"&amp;2+MIN(2,ROUNDDOWN(I596,0))*3)*(-$J596^3+3*$J596^2-3*$J596+1)+INDIRECT("C$"&amp;3+MIN(2,ROUNDDOWN(I596,0))*3)*(3*$J596^3-6*$J596^2+3*$J596)+INDIRECT("C$"&amp;4+MIN(2,ROUNDDOWN(I596,0))*3)*(-3*$J596^3+3*$J596^2)+INDIRECT("C$"&amp;5+MIN(2,ROUNDDOWN(I596,0))*3)*$J596^3</f>
      </c>
      <c r="L596" s="7">
        <f>INDIRECT("D$"&amp;2+MIN(2,ROUNDDOWN(I596,0))*3)*(-$J596^3+3*$J596^2-3*$J596+1)+INDIRECT("D$"&amp;3+MIN(2,ROUNDDOWN(I596,0))*3)*(3*$J596^3-6*$J596^2+3*$J596)+INDIRECT("D$"&amp;4+MIN(2,ROUNDDOWN(I596,0))*3)*(-3*$J596^3+3*$J596^2)+INDIRECT("D$"&amp;5+MIN(2,ROUNDDOWN(I596,0))*3)*$J596^3</f>
      </c>
      <c r="M596" s="7">
        <f>SQRT(K596^2+L596^2)</f>
      </c>
      <c r="N596" s="7">
        <f>(K597-K595)</f>
      </c>
      <c r="O596" s="7">
        <f>+(L597-L595)</f>
      </c>
      <c r="P596" s="7">
        <f>SQRT(O596^2+N596^2)</f>
      </c>
      <c r="Q596" s="7">
        <f>N596/$P596</f>
      </c>
      <c r="R596" s="7">
        <f>O596/$P596</f>
      </c>
      <c r="S596" s="7">
        <f>Q596^2+R596^2</f>
      </c>
      <c r="T596" s="7">
        <f>-R596</f>
      </c>
      <c r="U596" s="7">
        <f>Q596</f>
      </c>
      <c r="V596" s="7">
        <f>($C$14+($C$15-$C$14)/($D$15-$D$14)*(I596-$D$14))/2</f>
      </c>
      <c r="W596" s="7">
        <f>($B$22*I596^4+$C$22*I596^3+$D$22*I596^2+$E$22*I596+$F$22)/2</f>
      </c>
      <c r="X596" s="7">
        <f>($W596)*(T596)</f>
      </c>
      <c r="Y596" s="7">
        <f>($W596)*(U596)</f>
      </c>
      <c r="Z596" s="7">
        <f>SQRT(X596^2+Y596^2)</f>
      </c>
      <c r="AA596" s="7">
        <f>$K596+$X596</f>
      </c>
      <c r="AB596" s="7">
        <f>$L596+$Y596</f>
      </c>
      <c r="AC596" s="7">
        <f>$K596-$X596</f>
      </c>
      <c r="AD596" s="7">
        <f>$L596-$Y596</f>
      </c>
      <c r="AE596" s="7">
        <f>AA596/39.3701</f>
      </c>
      <c r="AF596" s="7">
        <f>AB596/39.3701</f>
      </c>
      <c r="AG596" s="7">
        <f>AC596/39.3701</f>
      </c>
      <c r="AH596" s="7">
        <f>AD596/39.3701</f>
      </c>
      <c r="AI596" s="1"/>
      <c r="AJ596" s="1"/>
      <c r="AK596" s="1"/>
      <c r="AL596" s="1"/>
      <c r="AM596" s="2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</row>
    <row x14ac:dyDescent="0.25" r="597" customHeight="1" ht="18.75">
      <c r="A597" s="1"/>
      <c r="B597" s="2"/>
      <c r="C597" s="2"/>
      <c r="D597" s="2"/>
      <c r="E597" s="2"/>
      <c r="F597" s="2"/>
      <c r="G597" s="1"/>
      <c r="H597" s="1"/>
      <c r="I597" s="7">
        <v>0.594</v>
      </c>
      <c r="J597" s="7">
        <f>IF((I597-ROUNDDOWN(I597,0))=0, 0, (I597-ROUNDDOWN(I597,0)))</f>
      </c>
      <c r="K597" s="7">
        <f>INDIRECT("C$"&amp;2+MIN(2,ROUNDDOWN(I597,0))*3)*(-$J597^3+3*$J597^2-3*$J597+1)+INDIRECT("C$"&amp;3+MIN(2,ROUNDDOWN(I597,0))*3)*(3*$J597^3-6*$J597^2+3*$J597)+INDIRECT("C$"&amp;4+MIN(2,ROUNDDOWN(I597,0))*3)*(-3*$J597^3+3*$J597^2)+INDIRECT("C$"&amp;5+MIN(2,ROUNDDOWN(I597,0))*3)*$J597^3</f>
      </c>
      <c r="L597" s="7">
        <f>INDIRECT("D$"&amp;2+MIN(2,ROUNDDOWN(I597,0))*3)*(-$J597^3+3*$J597^2-3*$J597+1)+INDIRECT("D$"&amp;3+MIN(2,ROUNDDOWN(I597,0))*3)*(3*$J597^3-6*$J597^2+3*$J597)+INDIRECT("D$"&amp;4+MIN(2,ROUNDDOWN(I597,0))*3)*(-3*$J597^3+3*$J597^2)+INDIRECT("D$"&amp;5+MIN(2,ROUNDDOWN(I597,0))*3)*$J597^3</f>
      </c>
      <c r="M597" s="7">
        <f>SQRT(K597^2+L597^2)</f>
      </c>
      <c r="N597" s="7">
        <f>(K598-K596)</f>
      </c>
      <c r="O597" s="7">
        <f>+(L598-L596)</f>
      </c>
      <c r="P597" s="7">
        <f>SQRT(O597^2+N597^2)</f>
      </c>
      <c r="Q597" s="7">
        <f>N597/$P597</f>
      </c>
      <c r="R597" s="7">
        <f>O597/$P597</f>
      </c>
      <c r="S597" s="8">
        <f>Q597^2+R597^2</f>
      </c>
      <c r="T597" s="7">
        <f>-R597</f>
      </c>
      <c r="U597" s="7">
        <f>Q597</f>
      </c>
      <c r="V597" s="7">
        <f>($C$14+($C$15-$C$14)/($D$15-$D$14)*(I597-$D$14))/2</f>
      </c>
      <c r="W597" s="7">
        <f>($B$22*I597^4+$C$22*I597^3+$D$22*I597^2+$E$22*I597+$F$22)/2</f>
      </c>
      <c r="X597" s="7">
        <f>($W597)*(T597)</f>
      </c>
      <c r="Y597" s="7">
        <f>($W597)*(U597)</f>
      </c>
      <c r="Z597" s="7">
        <f>SQRT(X597^2+Y597^2)</f>
      </c>
      <c r="AA597" s="7">
        <f>$K597+$X597</f>
      </c>
      <c r="AB597" s="7">
        <f>$L597+$Y597</f>
      </c>
      <c r="AC597" s="7">
        <f>$K597-$X597</f>
      </c>
      <c r="AD597" s="7">
        <f>$L597-$Y597</f>
      </c>
      <c r="AE597" s="7">
        <f>AA597/39.3701</f>
      </c>
      <c r="AF597" s="7">
        <f>AB597/39.3701</f>
      </c>
      <c r="AG597" s="7">
        <f>AC597/39.3701</f>
      </c>
      <c r="AH597" s="7">
        <f>AD597/39.3701</f>
      </c>
      <c r="AI597" s="1"/>
      <c r="AJ597" s="1"/>
      <c r="AK597" s="1"/>
      <c r="AL597" s="1"/>
      <c r="AM597" s="2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</row>
    <row x14ac:dyDescent="0.25" r="598" customHeight="1" ht="18.75">
      <c r="A598" s="1"/>
      <c r="B598" s="2"/>
      <c r="C598" s="2"/>
      <c r="D598" s="2"/>
      <c r="E598" s="2"/>
      <c r="F598" s="2"/>
      <c r="G598" s="1"/>
      <c r="H598" s="1"/>
      <c r="I598" s="7">
        <v>0.595</v>
      </c>
      <c r="J598" s="7">
        <f>IF((I598-ROUNDDOWN(I598,0))=0, 0, (I598-ROUNDDOWN(I598,0)))</f>
      </c>
      <c r="K598" s="7">
        <f>INDIRECT("C$"&amp;2+MIN(2,ROUNDDOWN(I598,0))*3)*(-$J598^3+3*$J598^2-3*$J598+1)+INDIRECT("C$"&amp;3+MIN(2,ROUNDDOWN(I598,0))*3)*(3*$J598^3-6*$J598^2+3*$J598)+INDIRECT("C$"&amp;4+MIN(2,ROUNDDOWN(I598,0))*3)*(-3*$J598^3+3*$J598^2)+INDIRECT("C$"&amp;5+MIN(2,ROUNDDOWN(I598,0))*3)*$J598^3</f>
      </c>
      <c r="L598" s="7">
        <f>INDIRECT("D$"&amp;2+MIN(2,ROUNDDOWN(I598,0))*3)*(-$J598^3+3*$J598^2-3*$J598+1)+INDIRECT("D$"&amp;3+MIN(2,ROUNDDOWN(I598,0))*3)*(3*$J598^3-6*$J598^2+3*$J598)+INDIRECT("D$"&amp;4+MIN(2,ROUNDDOWN(I598,0))*3)*(-3*$J598^3+3*$J598^2)+INDIRECT("D$"&amp;5+MIN(2,ROUNDDOWN(I598,0))*3)*$J598^3</f>
      </c>
      <c r="M598" s="7">
        <f>SQRT(K598^2+L598^2)</f>
      </c>
      <c r="N598" s="7">
        <f>(K599-K597)</f>
      </c>
      <c r="O598" s="7">
        <f>+(L599-L597)</f>
      </c>
      <c r="P598" s="7">
        <f>SQRT(O598^2+N598^2)</f>
      </c>
      <c r="Q598" s="7">
        <f>N598/$P598</f>
      </c>
      <c r="R598" s="7">
        <f>O598/$P598</f>
      </c>
      <c r="S598" s="8">
        <f>Q598^2+R598^2</f>
      </c>
      <c r="T598" s="7">
        <f>-R598</f>
      </c>
      <c r="U598" s="7">
        <f>Q598</f>
      </c>
      <c r="V598" s="7">
        <f>($C$14+($C$15-$C$14)/($D$15-$D$14)*(I598-$D$14))/2</f>
      </c>
      <c r="W598" s="7">
        <f>($B$22*I598^4+$C$22*I598^3+$D$22*I598^2+$E$22*I598+$F$22)/2</f>
      </c>
      <c r="X598" s="7">
        <f>($W598)*(T598)</f>
      </c>
      <c r="Y598" s="7">
        <f>($W598)*(U598)</f>
      </c>
      <c r="Z598" s="7">
        <f>SQRT(X598^2+Y598^2)</f>
      </c>
      <c r="AA598" s="7">
        <f>$K598+$X598</f>
      </c>
      <c r="AB598" s="7">
        <f>$L598+$Y598</f>
      </c>
      <c r="AC598" s="7">
        <f>$K598-$X598</f>
      </c>
      <c r="AD598" s="7">
        <f>$L598-$Y598</f>
      </c>
      <c r="AE598" s="7">
        <f>AA598/39.3701</f>
      </c>
      <c r="AF598" s="7">
        <f>AB598/39.3701</f>
      </c>
      <c r="AG598" s="7">
        <f>AC598/39.3701</f>
      </c>
      <c r="AH598" s="7">
        <f>AD598/39.3701</f>
      </c>
      <c r="AI598" s="1"/>
      <c r="AJ598" s="1"/>
      <c r="AK598" s="1"/>
      <c r="AL598" s="1"/>
      <c r="AM598" s="2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</row>
    <row x14ac:dyDescent="0.25" r="599" customHeight="1" ht="18.75">
      <c r="A599" s="1"/>
      <c r="B599" s="2"/>
      <c r="C599" s="2"/>
      <c r="D599" s="2"/>
      <c r="E599" s="2"/>
      <c r="F599" s="2"/>
      <c r="G599" s="1"/>
      <c r="H599" s="1"/>
      <c r="I599" s="7">
        <v>0.596</v>
      </c>
      <c r="J599" s="7">
        <f>IF((I599-ROUNDDOWN(I599,0))=0, 0, (I599-ROUNDDOWN(I599,0)))</f>
      </c>
      <c r="K599" s="7">
        <f>INDIRECT("C$"&amp;2+MIN(2,ROUNDDOWN(I599,0))*3)*(-$J599^3+3*$J599^2-3*$J599+1)+INDIRECT("C$"&amp;3+MIN(2,ROUNDDOWN(I599,0))*3)*(3*$J599^3-6*$J599^2+3*$J599)+INDIRECT("C$"&amp;4+MIN(2,ROUNDDOWN(I599,0))*3)*(-3*$J599^3+3*$J599^2)+INDIRECT("C$"&amp;5+MIN(2,ROUNDDOWN(I599,0))*3)*$J599^3</f>
      </c>
      <c r="L599" s="7">
        <f>INDIRECT("D$"&amp;2+MIN(2,ROUNDDOWN(I599,0))*3)*(-$J599^3+3*$J599^2-3*$J599+1)+INDIRECT("D$"&amp;3+MIN(2,ROUNDDOWN(I599,0))*3)*(3*$J599^3-6*$J599^2+3*$J599)+INDIRECT("D$"&amp;4+MIN(2,ROUNDDOWN(I599,0))*3)*(-3*$J599^3+3*$J599^2)+INDIRECT("D$"&amp;5+MIN(2,ROUNDDOWN(I599,0))*3)*$J599^3</f>
      </c>
      <c r="M599" s="7">
        <f>SQRT(K599^2+L599^2)</f>
      </c>
      <c r="N599" s="7">
        <f>(K600-K598)</f>
      </c>
      <c r="O599" s="7">
        <f>+(L600-L598)</f>
      </c>
      <c r="P599" s="7">
        <f>SQRT(O599^2+N599^2)</f>
      </c>
      <c r="Q599" s="7">
        <f>N599/$P599</f>
      </c>
      <c r="R599" s="7">
        <f>O599/$P599</f>
      </c>
      <c r="S599" s="7">
        <f>Q599^2+R599^2</f>
      </c>
      <c r="T599" s="7">
        <f>-R599</f>
      </c>
      <c r="U599" s="7">
        <f>Q599</f>
      </c>
      <c r="V599" s="7">
        <f>($C$14+($C$15-$C$14)/($D$15-$D$14)*(I599-$D$14))/2</f>
      </c>
      <c r="W599" s="7">
        <f>($B$22*I599^4+$C$22*I599^3+$D$22*I599^2+$E$22*I599+$F$22)/2</f>
      </c>
      <c r="X599" s="7">
        <f>($W599)*(T599)</f>
      </c>
      <c r="Y599" s="7">
        <f>($W599)*(U599)</f>
      </c>
      <c r="Z599" s="7">
        <f>SQRT(X599^2+Y599^2)</f>
      </c>
      <c r="AA599" s="7">
        <f>$K599+$X599</f>
      </c>
      <c r="AB599" s="7">
        <f>$L599+$Y599</f>
      </c>
      <c r="AC599" s="7">
        <f>$K599-$X599</f>
      </c>
      <c r="AD599" s="7">
        <f>$L599-$Y599</f>
      </c>
      <c r="AE599" s="7">
        <f>AA599/39.3701</f>
      </c>
      <c r="AF599" s="7">
        <f>AB599/39.3701</f>
      </c>
      <c r="AG599" s="7">
        <f>AC599/39.3701</f>
      </c>
      <c r="AH599" s="7">
        <f>AD599/39.3701</f>
      </c>
      <c r="AI599" s="1"/>
      <c r="AJ599" s="1"/>
      <c r="AK599" s="1"/>
      <c r="AL599" s="1"/>
      <c r="AM599" s="2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</row>
    <row x14ac:dyDescent="0.25" r="600" customHeight="1" ht="18.75">
      <c r="A600" s="1"/>
      <c r="B600" s="2"/>
      <c r="C600" s="2"/>
      <c r="D600" s="2"/>
      <c r="E600" s="2"/>
      <c r="F600" s="2"/>
      <c r="G600" s="1"/>
      <c r="H600" s="1"/>
      <c r="I600" s="7">
        <v>0.597</v>
      </c>
      <c r="J600" s="7">
        <f>IF((I600-ROUNDDOWN(I600,0))=0, 0, (I600-ROUNDDOWN(I600,0)))</f>
      </c>
      <c r="K600" s="7">
        <f>INDIRECT("C$"&amp;2+MIN(2,ROUNDDOWN(I600,0))*3)*(-$J600^3+3*$J600^2-3*$J600+1)+INDIRECT("C$"&amp;3+MIN(2,ROUNDDOWN(I600,0))*3)*(3*$J600^3-6*$J600^2+3*$J600)+INDIRECT("C$"&amp;4+MIN(2,ROUNDDOWN(I600,0))*3)*(-3*$J600^3+3*$J600^2)+INDIRECT("C$"&amp;5+MIN(2,ROUNDDOWN(I600,0))*3)*$J600^3</f>
      </c>
      <c r="L600" s="7">
        <f>INDIRECT("D$"&amp;2+MIN(2,ROUNDDOWN(I600,0))*3)*(-$J600^3+3*$J600^2-3*$J600+1)+INDIRECT("D$"&amp;3+MIN(2,ROUNDDOWN(I600,0))*3)*(3*$J600^3-6*$J600^2+3*$J600)+INDIRECT("D$"&amp;4+MIN(2,ROUNDDOWN(I600,0))*3)*(-3*$J600^3+3*$J600^2)+INDIRECT("D$"&amp;5+MIN(2,ROUNDDOWN(I600,0))*3)*$J600^3</f>
      </c>
      <c r="M600" s="7">
        <f>SQRT(K600^2+L600^2)</f>
      </c>
      <c r="N600" s="7">
        <f>(K601-K599)</f>
      </c>
      <c r="O600" s="7">
        <f>+(L601-L599)</f>
      </c>
      <c r="P600" s="7">
        <f>SQRT(O600^2+N600^2)</f>
      </c>
      <c r="Q600" s="7">
        <f>N600/$P600</f>
      </c>
      <c r="R600" s="7">
        <f>O600/$P600</f>
      </c>
      <c r="S600" s="8">
        <f>Q600^2+R600^2</f>
      </c>
      <c r="T600" s="7">
        <f>-R600</f>
      </c>
      <c r="U600" s="7">
        <f>Q600</f>
      </c>
      <c r="V600" s="7">
        <f>($C$14+($C$15-$C$14)/($D$15-$D$14)*(I600-$D$14))/2</f>
      </c>
      <c r="W600" s="7">
        <f>($B$22*I600^4+$C$22*I600^3+$D$22*I600^2+$E$22*I600+$F$22)/2</f>
      </c>
      <c r="X600" s="7">
        <f>($W600)*(T600)</f>
      </c>
      <c r="Y600" s="7">
        <f>($W600)*(U600)</f>
      </c>
      <c r="Z600" s="7">
        <f>SQRT(X600^2+Y600^2)</f>
      </c>
      <c r="AA600" s="7">
        <f>$K600+$X600</f>
      </c>
      <c r="AB600" s="7">
        <f>$L600+$Y600</f>
      </c>
      <c r="AC600" s="7">
        <f>$K600-$X600</f>
      </c>
      <c r="AD600" s="7">
        <f>$L600-$Y600</f>
      </c>
      <c r="AE600" s="7">
        <f>AA600/39.3701</f>
      </c>
      <c r="AF600" s="7">
        <f>AB600/39.3701</f>
      </c>
      <c r="AG600" s="7">
        <f>AC600/39.3701</f>
      </c>
      <c r="AH600" s="7">
        <f>AD600/39.3701</f>
      </c>
      <c r="AI600" s="1"/>
      <c r="AJ600" s="1"/>
      <c r="AK600" s="1"/>
      <c r="AL600" s="1"/>
      <c r="AM600" s="2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</row>
    <row x14ac:dyDescent="0.25" r="601" customHeight="1" ht="18.75">
      <c r="A601" s="1"/>
      <c r="B601" s="2"/>
      <c r="C601" s="2"/>
      <c r="D601" s="2"/>
      <c r="E601" s="2"/>
      <c r="F601" s="2"/>
      <c r="G601" s="1"/>
      <c r="H601" s="1"/>
      <c r="I601" s="7">
        <v>0.598</v>
      </c>
      <c r="J601" s="7">
        <f>IF((I601-ROUNDDOWN(I601,0))=0, 0, (I601-ROUNDDOWN(I601,0)))</f>
      </c>
      <c r="K601" s="7">
        <f>INDIRECT("C$"&amp;2+MIN(2,ROUNDDOWN(I601,0))*3)*(-$J601^3+3*$J601^2-3*$J601+1)+INDIRECT("C$"&amp;3+MIN(2,ROUNDDOWN(I601,0))*3)*(3*$J601^3-6*$J601^2+3*$J601)+INDIRECT("C$"&amp;4+MIN(2,ROUNDDOWN(I601,0))*3)*(-3*$J601^3+3*$J601^2)+INDIRECT("C$"&amp;5+MIN(2,ROUNDDOWN(I601,0))*3)*$J601^3</f>
      </c>
      <c r="L601" s="7">
        <f>INDIRECT("D$"&amp;2+MIN(2,ROUNDDOWN(I601,0))*3)*(-$J601^3+3*$J601^2-3*$J601+1)+INDIRECT("D$"&amp;3+MIN(2,ROUNDDOWN(I601,0))*3)*(3*$J601^3-6*$J601^2+3*$J601)+INDIRECT("D$"&amp;4+MIN(2,ROUNDDOWN(I601,0))*3)*(-3*$J601^3+3*$J601^2)+INDIRECT("D$"&amp;5+MIN(2,ROUNDDOWN(I601,0))*3)*$J601^3</f>
      </c>
      <c r="M601" s="7">
        <f>SQRT(K601^2+L601^2)</f>
      </c>
      <c r="N601" s="7">
        <f>(K602-K600)</f>
      </c>
      <c r="O601" s="7">
        <f>+(L602-L600)</f>
      </c>
      <c r="P601" s="7">
        <f>SQRT(O601^2+N601^2)</f>
      </c>
      <c r="Q601" s="7">
        <f>N601/$P601</f>
      </c>
      <c r="R601" s="7">
        <f>O601/$P601</f>
      </c>
      <c r="S601" s="8">
        <f>Q601^2+R601^2</f>
      </c>
      <c r="T601" s="7">
        <f>-R601</f>
      </c>
      <c r="U601" s="7">
        <f>Q601</f>
      </c>
      <c r="V601" s="7">
        <f>($C$14+($C$15-$C$14)/($D$15-$D$14)*(I601-$D$14))/2</f>
      </c>
      <c r="W601" s="7">
        <f>($B$22*I601^4+$C$22*I601^3+$D$22*I601^2+$E$22*I601+$F$22)/2</f>
      </c>
      <c r="X601" s="7">
        <f>($W601)*(T601)</f>
      </c>
      <c r="Y601" s="7">
        <f>($W601)*(U601)</f>
      </c>
      <c r="Z601" s="7">
        <f>SQRT(X601^2+Y601^2)</f>
      </c>
      <c r="AA601" s="7">
        <f>$K601+$X601</f>
      </c>
      <c r="AB601" s="7">
        <f>$L601+$Y601</f>
      </c>
      <c r="AC601" s="7">
        <f>$K601-$X601</f>
      </c>
      <c r="AD601" s="7">
        <f>$L601-$Y601</f>
      </c>
      <c r="AE601" s="7">
        <f>AA601/39.3701</f>
      </c>
      <c r="AF601" s="7">
        <f>AB601/39.3701</f>
      </c>
      <c r="AG601" s="7">
        <f>AC601/39.3701</f>
      </c>
      <c r="AH601" s="7">
        <f>AD601/39.3701</f>
      </c>
      <c r="AI601" s="1"/>
      <c r="AJ601" s="1"/>
      <c r="AK601" s="1"/>
      <c r="AL601" s="1"/>
      <c r="AM601" s="2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</row>
    <row x14ac:dyDescent="0.25" r="602" customHeight="1" ht="18.75">
      <c r="A602" s="1"/>
      <c r="B602" s="2"/>
      <c r="C602" s="2"/>
      <c r="D602" s="2"/>
      <c r="E602" s="2"/>
      <c r="F602" s="2"/>
      <c r="G602" s="1"/>
      <c r="H602" s="1"/>
      <c r="I602" s="7">
        <v>0.599</v>
      </c>
      <c r="J602" s="7">
        <f>IF((I602-ROUNDDOWN(I602,0))=0, 0, (I602-ROUNDDOWN(I602,0)))</f>
      </c>
      <c r="K602" s="7">
        <f>INDIRECT("C$"&amp;2+MIN(2,ROUNDDOWN(I602,0))*3)*(-$J602^3+3*$J602^2-3*$J602+1)+INDIRECT("C$"&amp;3+MIN(2,ROUNDDOWN(I602,0))*3)*(3*$J602^3-6*$J602^2+3*$J602)+INDIRECT("C$"&amp;4+MIN(2,ROUNDDOWN(I602,0))*3)*(-3*$J602^3+3*$J602^2)+INDIRECT("C$"&amp;5+MIN(2,ROUNDDOWN(I602,0))*3)*$J602^3</f>
      </c>
      <c r="L602" s="7">
        <f>INDIRECT("D$"&amp;2+MIN(2,ROUNDDOWN(I602,0))*3)*(-$J602^3+3*$J602^2-3*$J602+1)+INDIRECT("D$"&amp;3+MIN(2,ROUNDDOWN(I602,0))*3)*(3*$J602^3-6*$J602^2+3*$J602)+INDIRECT("D$"&amp;4+MIN(2,ROUNDDOWN(I602,0))*3)*(-3*$J602^3+3*$J602^2)+INDIRECT("D$"&amp;5+MIN(2,ROUNDDOWN(I602,0))*3)*$J602^3</f>
      </c>
      <c r="M602" s="7">
        <f>SQRT(K602^2+L602^2)</f>
      </c>
      <c r="N602" s="7">
        <f>(K603-K601)</f>
      </c>
      <c r="O602" s="7">
        <f>+(L603-L601)</f>
      </c>
      <c r="P602" s="7">
        <f>SQRT(O602^2+N602^2)</f>
      </c>
      <c r="Q602" s="7">
        <f>N602/$P602</f>
      </c>
      <c r="R602" s="7">
        <f>O602/$P602</f>
      </c>
      <c r="S602" s="7">
        <f>Q602^2+R602^2</f>
      </c>
      <c r="T602" s="7">
        <f>-R602</f>
      </c>
      <c r="U602" s="7">
        <f>Q602</f>
      </c>
      <c r="V602" s="7">
        <f>($C$14+($C$15-$C$14)/($D$15-$D$14)*(I602-$D$14))/2</f>
      </c>
      <c r="W602" s="7">
        <f>($B$22*I602^4+$C$22*I602^3+$D$22*I602^2+$E$22*I602+$F$22)/2</f>
      </c>
      <c r="X602" s="7">
        <f>($W602)*(T602)</f>
      </c>
      <c r="Y602" s="7">
        <f>($W602)*(U602)</f>
      </c>
      <c r="Z602" s="7">
        <f>SQRT(X602^2+Y602^2)</f>
      </c>
      <c r="AA602" s="7">
        <f>$K602+$X602</f>
      </c>
      <c r="AB602" s="7">
        <f>$L602+$Y602</f>
      </c>
      <c r="AC602" s="7">
        <f>$K602-$X602</f>
      </c>
      <c r="AD602" s="7">
        <f>$L602-$Y602</f>
      </c>
      <c r="AE602" s="7">
        <f>AA602/39.3701</f>
      </c>
      <c r="AF602" s="7">
        <f>AB602/39.3701</f>
      </c>
      <c r="AG602" s="7">
        <f>AC602/39.3701</f>
      </c>
      <c r="AH602" s="7">
        <f>AD602/39.3701</f>
      </c>
      <c r="AI602" s="1"/>
      <c r="AJ602" s="1"/>
      <c r="AK602" s="1"/>
      <c r="AL602" s="1"/>
      <c r="AM602" s="2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</row>
    <row x14ac:dyDescent="0.25" r="603" customHeight="1" ht="18.75">
      <c r="A603" s="1"/>
      <c r="B603" s="2"/>
      <c r="C603" s="2"/>
      <c r="D603" s="2"/>
      <c r="E603" s="2"/>
      <c r="F603" s="2"/>
      <c r="G603" s="1"/>
      <c r="H603" s="1"/>
      <c r="I603" s="7">
        <v>0.6</v>
      </c>
      <c r="J603" s="7">
        <f>IF((I603-ROUNDDOWN(I603,0))=0, 0, (I603-ROUNDDOWN(I603,0)))</f>
      </c>
      <c r="K603" s="7">
        <f>INDIRECT("C$"&amp;2+MIN(2,ROUNDDOWN(I603,0))*3)*(-$J603^3+3*$J603^2-3*$J603+1)+INDIRECT("C$"&amp;3+MIN(2,ROUNDDOWN(I603,0))*3)*(3*$J603^3-6*$J603^2+3*$J603)+INDIRECT("C$"&amp;4+MIN(2,ROUNDDOWN(I603,0))*3)*(-3*$J603^3+3*$J603^2)+INDIRECT("C$"&amp;5+MIN(2,ROUNDDOWN(I603,0))*3)*$J603^3</f>
      </c>
      <c r="L603" s="7">
        <f>INDIRECT("D$"&amp;2+MIN(2,ROUNDDOWN(I603,0))*3)*(-$J603^3+3*$J603^2-3*$J603+1)+INDIRECT("D$"&amp;3+MIN(2,ROUNDDOWN(I603,0))*3)*(3*$J603^3-6*$J603^2+3*$J603)+INDIRECT("D$"&amp;4+MIN(2,ROUNDDOWN(I603,0))*3)*(-3*$J603^3+3*$J603^2)+INDIRECT("D$"&amp;5+MIN(2,ROUNDDOWN(I603,0))*3)*$J603^3</f>
      </c>
      <c r="M603" s="7">
        <f>SQRT(K603^2+L603^2)</f>
      </c>
      <c r="N603" s="7">
        <f>(K604-K602)</f>
      </c>
      <c r="O603" s="7">
        <f>+(L604-L602)</f>
      </c>
      <c r="P603" s="7">
        <f>SQRT(O603^2+N603^2)</f>
      </c>
      <c r="Q603" s="7">
        <f>N603/$P603</f>
      </c>
      <c r="R603" s="7">
        <f>O603/$P603</f>
      </c>
      <c r="S603" s="7">
        <f>Q603^2+R603^2</f>
      </c>
      <c r="T603" s="7">
        <f>-R603</f>
      </c>
      <c r="U603" s="7">
        <f>Q603</f>
      </c>
      <c r="V603" s="7">
        <f>($C$14+($C$15-$C$14)/($D$15-$D$14)*(I603-$D$14))/2</f>
      </c>
      <c r="W603" s="7">
        <f>($B$22*I603^4+$C$22*I603^3+$D$22*I603^2+$E$22*I603+$F$22)/2</f>
      </c>
      <c r="X603" s="7">
        <f>($W603)*(T603)</f>
      </c>
      <c r="Y603" s="7">
        <f>($W603)*(U603)</f>
      </c>
      <c r="Z603" s="7">
        <f>SQRT(X603^2+Y603^2)</f>
      </c>
      <c r="AA603" s="7">
        <f>$K603+$X603</f>
      </c>
      <c r="AB603" s="7">
        <f>$L603+$Y603</f>
      </c>
      <c r="AC603" s="7">
        <f>$K603-$X603</f>
      </c>
      <c r="AD603" s="7">
        <f>$L603-$Y603</f>
      </c>
      <c r="AE603" s="7">
        <f>AA603/39.3701</f>
      </c>
      <c r="AF603" s="7">
        <f>AB603/39.3701</f>
      </c>
      <c r="AG603" s="7">
        <f>AC603/39.3701</f>
      </c>
      <c r="AH603" s="7">
        <f>AD603/39.3701</f>
      </c>
      <c r="AI603" s="1"/>
      <c r="AJ603" s="1"/>
      <c r="AK603" s="1"/>
      <c r="AL603" s="1"/>
      <c r="AM603" s="2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</row>
    <row x14ac:dyDescent="0.25" r="604" customHeight="1" ht="18.75">
      <c r="A604" s="1"/>
      <c r="B604" s="2"/>
      <c r="C604" s="2"/>
      <c r="D604" s="2"/>
      <c r="E604" s="2"/>
      <c r="F604" s="2"/>
      <c r="G604" s="1"/>
      <c r="H604" s="1"/>
      <c r="I604" s="7">
        <v>0.601</v>
      </c>
      <c r="J604" s="7">
        <f>IF((I604-ROUNDDOWN(I604,0))=0, 0, (I604-ROUNDDOWN(I604,0)))</f>
      </c>
      <c r="K604" s="7">
        <f>INDIRECT("C$"&amp;2+MIN(2,ROUNDDOWN(I604,0))*3)*(-$J604^3+3*$J604^2-3*$J604+1)+INDIRECT("C$"&amp;3+MIN(2,ROUNDDOWN(I604,0))*3)*(3*$J604^3-6*$J604^2+3*$J604)+INDIRECT("C$"&amp;4+MIN(2,ROUNDDOWN(I604,0))*3)*(-3*$J604^3+3*$J604^2)+INDIRECT("C$"&amp;5+MIN(2,ROUNDDOWN(I604,0))*3)*$J604^3</f>
      </c>
      <c r="L604" s="7">
        <f>INDIRECT("D$"&amp;2+MIN(2,ROUNDDOWN(I604,0))*3)*(-$J604^3+3*$J604^2-3*$J604+1)+INDIRECT("D$"&amp;3+MIN(2,ROUNDDOWN(I604,0))*3)*(3*$J604^3-6*$J604^2+3*$J604)+INDIRECT("D$"&amp;4+MIN(2,ROUNDDOWN(I604,0))*3)*(-3*$J604^3+3*$J604^2)+INDIRECT("D$"&amp;5+MIN(2,ROUNDDOWN(I604,0))*3)*$J604^3</f>
      </c>
      <c r="M604" s="7">
        <f>SQRT(K604^2+L604^2)</f>
      </c>
      <c r="N604" s="7">
        <f>(K605-K603)</f>
      </c>
      <c r="O604" s="7">
        <f>+(L605-L603)</f>
      </c>
      <c r="P604" s="7">
        <f>SQRT(O604^2+N604^2)</f>
      </c>
      <c r="Q604" s="7">
        <f>N604/$P604</f>
      </c>
      <c r="R604" s="7">
        <f>O604/$P604</f>
      </c>
      <c r="S604" s="8">
        <f>Q604^2+R604^2</f>
      </c>
      <c r="T604" s="7">
        <f>-R604</f>
      </c>
      <c r="U604" s="7">
        <f>Q604</f>
      </c>
      <c r="V604" s="7">
        <f>($C$14+($C$15-$C$14)/($D$15-$D$14)*(I604-$D$14))/2</f>
      </c>
      <c r="W604" s="7">
        <f>($B$22*I604^4+$C$22*I604^3+$D$22*I604^2+$E$22*I604+$F$22)/2</f>
      </c>
      <c r="X604" s="7">
        <f>($W604)*(T604)</f>
      </c>
      <c r="Y604" s="7">
        <f>($W604)*(U604)</f>
      </c>
      <c r="Z604" s="7">
        <f>SQRT(X604^2+Y604^2)</f>
      </c>
      <c r="AA604" s="7">
        <f>$K604+$X604</f>
      </c>
      <c r="AB604" s="7">
        <f>$L604+$Y604</f>
      </c>
      <c r="AC604" s="7">
        <f>$K604-$X604</f>
      </c>
      <c r="AD604" s="7">
        <f>$L604-$Y604</f>
      </c>
      <c r="AE604" s="7">
        <f>AA604/39.3701</f>
      </c>
      <c r="AF604" s="7">
        <f>AB604/39.3701</f>
      </c>
      <c r="AG604" s="7">
        <f>AC604/39.3701</f>
      </c>
      <c r="AH604" s="7">
        <f>AD604/39.3701</f>
      </c>
      <c r="AI604" s="1"/>
      <c r="AJ604" s="1"/>
      <c r="AK604" s="1"/>
      <c r="AL604" s="1"/>
      <c r="AM604" s="2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</row>
    <row x14ac:dyDescent="0.25" r="605" customHeight="1" ht="18.75">
      <c r="A605" s="1"/>
      <c r="B605" s="2"/>
      <c r="C605" s="2"/>
      <c r="D605" s="2"/>
      <c r="E605" s="2"/>
      <c r="F605" s="2"/>
      <c r="G605" s="1"/>
      <c r="H605" s="1"/>
      <c r="I605" s="7">
        <v>0.602</v>
      </c>
      <c r="J605" s="7">
        <f>IF((I605-ROUNDDOWN(I605,0))=0, 0, (I605-ROUNDDOWN(I605,0)))</f>
      </c>
      <c r="K605" s="7">
        <f>INDIRECT("C$"&amp;2+MIN(2,ROUNDDOWN(I605,0))*3)*(-$J605^3+3*$J605^2-3*$J605+1)+INDIRECT("C$"&amp;3+MIN(2,ROUNDDOWN(I605,0))*3)*(3*$J605^3-6*$J605^2+3*$J605)+INDIRECT("C$"&amp;4+MIN(2,ROUNDDOWN(I605,0))*3)*(-3*$J605^3+3*$J605^2)+INDIRECT("C$"&amp;5+MIN(2,ROUNDDOWN(I605,0))*3)*$J605^3</f>
      </c>
      <c r="L605" s="7">
        <f>INDIRECT("D$"&amp;2+MIN(2,ROUNDDOWN(I605,0))*3)*(-$J605^3+3*$J605^2-3*$J605+1)+INDIRECT("D$"&amp;3+MIN(2,ROUNDDOWN(I605,0))*3)*(3*$J605^3-6*$J605^2+3*$J605)+INDIRECT("D$"&amp;4+MIN(2,ROUNDDOWN(I605,0))*3)*(-3*$J605^3+3*$J605^2)+INDIRECT("D$"&amp;5+MIN(2,ROUNDDOWN(I605,0))*3)*$J605^3</f>
      </c>
      <c r="M605" s="7">
        <f>SQRT(K605^2+L605^2)</f>
      </c>
      <c r="N605" s="7">
        <f>(K606-K604)</f>
      </c>
      <c r="O605" s="7">
        <f>+(L606-L604)</f>
      </c>
      <c r="P605" s="7">
        <f>SQRT(O605^2+N605^2)</f>
      </c>
      <c r="Q605" s="7">
        <f>N605/$P605</f>
      </c>
      <c r="R605" s="7">
        <f>O605/$P605</f>
      </c>
      <c r="S605" s="8">
        <f>Q605^2+R605^2</f>
      </c>
      <c r="T605" s="7">
        <f>-R605</f>
      </c>
      <c r="U605" s="7">
        <f>Q605</f>
      </c>
      <c r="V605" s="7">
        <f>($C$14+($C$15-$C$14)/($D$15-$D$14)*(I605-$D$14))/2</f>
      </c>
      <c r="W605" s="7">
        <f>($B$22*I605^4+$C$22*I605^3+$D$22*I605^2+$E$22*I605+$F$22)/2</f>
      </c>
      <c r="X605" s="7">
        <f>($W605)*(T605)</f>
      </c>
      <c r="Y605" s="7">
        <f>($W605)*(U605)</f>
      </c>
      <c r="Z605" s="7">
        <f>SQRT(X605^2+Y605^2)</f>
      </c>
      <c r="AA605" s="7">
        <f>$K605+$X605</f>
      </c>
      <c r="AB605" s="7">
        <f>$L605+$Y605</f>
      </c>
      <c r="AC605" s="7">
        <f>$K605-$X605</f>
      </c>
      <c r="AD605" s="7">
        <f>$L605-$Y605</f>
      </c>
      <c r="AE605" s="7">
        <f>AA605/39.3701</f>
      </c>
      <c r="AF605" s="7">
        <f>AB605/39.3701</f>
      </c>
      <c r="AG605" s="7">
        <f>AC605/39.3701</f>
      </c>
      <c r="AH605" s="7">
        <f>AD605/39.3701</f>
      </c>
      <c r="AI605" s="1"/>
      <c r="AJ605" s="1"/>
      <c r="AK605" s="1"/>
      <c r="AL605" s="1"/>
      <c r="AM605" s="2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</row>
    <row x14ac:dyDescent="0.25" r="606" customHeight="1" ht="18.75">
      <c r="A606" s="1"/>
      <c r="B606" s="2"/>
      <c r="C606" s="2"/>
      <c r="D606" s="2"/>
      <c r="E606" s="2"/>
      <c r="F606" s="2"/>
      <c r="G606" s="1"/>
      <c r="H606" s="1"/>
      <c r="I606" s="7">
        <v>0.603</v>
      </c>
      <c r="J606" s="7">
        <f>IF((I606-ROUNDDOWN(I606,0))=0, 0, (I606-ROUNDDOWN(I606,0)))</f>
      </c>
      <c r="K606" s="7">
        <f>INDIRECT("C$"&amp;2+MIN(2,ROUNDDOWN(I606,0))*3)*(-$J606^3+3*$J606^2-3*$J606+1)+INDIRECT("C$"&amp;3+MIN(2,ROUNDDOWN(I606,0))*3)*(3*$J606^3-6*$J606^2+3*$J606)+INDIRECT("C$"&amp;4+MIN(2,ROUNDDOWN(I606,0))*3)*(-3*$J606^3+3*$J606^2)+INDIRECT("C$"&amp;5+MIN(2,ROUNDDOWN(I606,0))*3)*$J606^3</f>
      </c>
      <c r="L606" s="7">
        <f>INDIRECT("D$"&amp;2+MIN(2,ROUNDDOWN(I606,0))*3)*(-$J606^3+3*$J606^2-3*$J606+1)+INDIRECT("D$"&amp;3+MIN(2,ROUNDDOWN(I606,0))*3)*(3*$J606^3-6*$J606^2+3*$J606)+INDIRECT("D$"&amp;4+MIN(2,ROUNDDOWN(I606,0))*3)*(-3*$J606^3+3*$J606^2)+INDIRECT("D$"&amp;5+MIN(2,ROUNDDOWN(I606,0))*3)*$J606^3</f>
      </c>
      <c r="M606" s="7">
        <f>SQRT(K606^2+L606^2)</f>
      </c>
      <c r="N606" s="7">
        <f>(K607-K605)</f>
      </c>
      <c r="O606" s="7">
        <f>+(L607-L605)</f>
      </c>
      <c r="P606" s="7">
        <f>SQRT(O606^2+N606^2)</f>
      </c>
      <c r="Q606" s="7">
        <f>N606/$P606</f>
      </c>
      <c r="R606" s="7">
        <f>O606/$P606</f>
      </c>
      <c r="S606" s="8">
        <f>Q606^2+R606^2</f>
      </c>
      <c r="T606" s="7">
        <f>-R606</f>
      </c>
      <c r="U606" s="7">
        <f>Q606</f>
      </c>
      <c r="V606" s="7">
        <f>($C$14+($C$15-$C$14)/($D$15-$D$14)*(I606-$D$14))/2</f>
      </c>
      <c r="W606" s="7">
        <f>($B$22*I606^4+$C$22*I606^3+$D$22*I606^2+$E$22*I606+$F$22)/2</f>
      </c>
      <c r="X606" s="7">
        <f>($W606)*(T606)</f>
      </c>
      <c r="Y606" s="7">
        <f>($W606)*(U606)</f>
      </c>
      <c r="Z606" s="7">
        <f>SQRT(X606^2+Y606^2)</f>
      </c>
      <c r="AA606" s="7">
        <f>$K606+$X606</f>
      </c>
      <c r="AB606" s="7">
        <f>$L606+$Y606</f>
      </c>
      <c r="AC606" s="7">
        <f>$K606-$X606</f>
      </c>
      <c r="AD606" s="7">
        <f>$L606-$Y606</f>
      </c>
      <c r="AE606" s="7">
        <f>AA606/39.3701</f>
      </c>
      <c r="AF606" s="7">
        <f>AB606/39.3701</f>
      </c>
      <c r="AG606" s="7">
        <f>AC606/39.3701</f>
      </c>
      <c r="AH606" s="7">
        <f>AD606/39.3701</f>
      </c>
      <c r="AI606" s="1"/>
      <c r="AJ606" s="1"/>
      <c r="AK606" s="1"/>
      <c r="AL606" s="1"/>
      <c r="AM606" s="2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</row>
    <row x14ac:dyDescent="0.25" r="607" customHeight="1" ht="18.75">
      <c r="A607" s="1"/>
      <c r="B607" s="2"/>
      <c r="C607" s="2"/>
      <c r="D607" s="2"/>
      <c r="E607" s="2"/>
      <c r="F607" s="2"/>
      <c r="G607" s="1"/>
      <c r="H607" s="1"/>
      <c r="I607" s="7">
        <v>0.604</v>
      </c>
      <c r="J607" s="7">
        <f>IF((I607-ROUNDDOWN(I607,0))=0, 0, (I607-ROUNDDOWN(I607,0)))</f>
      </c>
      <c r="K607" s="7">
        <f>INDIRECT("C$"&amp;2+MIN(2,ROUNDDOWN(I607,0))*3)*(-$J607^3+3*$J607^2-3*$J607+1)+INDIRECT("C$"&amp;3+MIN(2,ROUNDDOWN(I607,0))*3)*(3*$J607^3-6*$J607^2+3*$J607)+INDIRECT("C$"&amp;4+MIN(2,ROUNDDOWN(I607,0))*3)*(-3*$J607^3+3*$J607^2)+INDIRECT("C$"&amp;5+MIN(2,ROUNDDOWN(I607,0))*3)*$J607^3</f>
      </c>
      <c r="L607" s="7">
        <f>INDIRECT("D$"&amp;2+MIN(2,ROUNDDOWN(I607,0))*3)*(-$J607^3+3*$J607^2-3*$J607+1)+INDIRECT("D$"&amp;3+MIN(2,ROUNDDOWN(I607,0))*3)*(3*$J607^3-6*$J607^2+3*$J607)+INDIRECT("D$"&amp;4+MIN(2,ROUNDDOWN(I607,0))*3)*(-3*$J607^3+3*$J607^2)+INDIRECT("D$"&amp;5+MIN(2,ROUNDDOWN(I607,0))*3)*$J607^3</f>
      </c>
      <c r="M607" s="7">
        <f>SQRT(K607^2+L607^2)</f>
      </c>
      <c r="N607" s="7">
        <f>(K608-K606)</f>
      </c>
      <c r="O607" s="7">
        <f>+(L608-L606)</f>
      </c>
      <c r="P607" s="7">
        <f>SQRT(O607^2+N607^2)</f>
      </c>
      <c r="Q607" s="7">
        <f>N607/$P607</f>
      </c>
      <c r="R607" s="7">
        <f>O607/$P607</f>
      </c>
      <c r="S607" s="8">
        <f>Q607^2+R607^2</f>
      </c>
      <c r="T607" s="7">
        <f>-R607</f>
      </c>
      <c r="U607" s="7">
        <f>Q607</f>
      </c>
      <c r="V607" s="7">
        <f>($C$14+($C$15-$C$14)/($D$15-$D$14)*(I607-$D$14))/2</f>
      </c>
      <c r="W607" s="7">
        <f>($B$22*I607^4+$C$22*I607^3+$D$22*I607^2+$E$22*I607+$F$22)/2</f>
      </c>
      <c r="X607" s="7">
        <f>($W607)*(T607)</f>
      </c>
      <c r="Y607" s="7">
        <f>($W607)*(U607)</f>
      </c>
      <c r="Z607" s="7">
        <f>SQRT(X607^2+Y607^2)</f>
      </c>
      <c r="AA607" s="7">
        <f>$K607+$X607</f>
      </c>
      <c r="AB607" s="7">
        <f>$L607+$Y607</f>
      </c>
      <c r="AC607" s="7">
        <f>$K607-$X607</f>
      </c>
      <c r="AD607" s="7">
        <f>$L607-$Y607</f>
      </c>
      <c r="AE607" s="7">
        <f>AA607/39.3701</f>
      </c>
      <c r="AF607" s="7">
        <f>AB607/39.3701</f>
      </c>
      <c r="AG607" s="7">
        <f>AC607/39.3701</f>
      </c>
      <c r="AH607" s="7">
        <f>AD607/39.3701</f>
      </c>
      <c r="AI607" s="1"/>
      <c r="AJ607" s="1"/>
      <c r="AK607" s="1"/>
      <c r="AL607" s="1"/>
      <c r="AM607" s="2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</row>
    <row x14ac:dyDescent="0.25" r="608" customHeight="1" ht="18.75">
      <c r="A608" s="1"/>
      <c r="B608" s="2"/>
      <c r="C608" s="2"/>
      <c r="D608" s="2"/>
      <c r="E608" s="2"/>
      <c r="F608" s="2"/>
      <c r="G608" s="1"/>
      <c r="H608" s="1"/>
      <c r="I608" s="7">
        <v>0.605</v>
      </c>
      <c r="J608" s="7">
        <f>IF((I608-ROUNDDOWN(I608,0))=0, 0, (I608-ROUNDDOWN(I608,0)))</f>
      </c>
      <c r="K608" s="7">
        <f>INDIRECT("C$"&amp;2+MIN(2,ROUNDDOWN(I608,0))*3)*(-$J608^3+3*$J608^2-3*$J608+1)+INDIRECT("C$"&amp;3+MIN(2,ROUNDDOWN(I608,0))*3)*(3*$J608^3-6*$J608^2+3*$J608)+INDIRECT("C$"&amp;4+MIN(2,ROUNDDOWN(I608,0))*3)*(-3*$J608^3+3*$J608^2)+INDIRECT("C$"&amp;5+MIN(2,ROUNDDOWN(I608,0))*3)*$J608^3</f>
      </c>
      <c r="L608" s="7">
        <f>INDIRECT("D$"&amp;2+MIN(2,ROUNDDOWN(I608,0))*3)*(-$J608^3+3*$J608^2-3*$J608+1)+INDIRECT("D$"&amp;3+MIN(2,ROUNDDOWN(I608,0))*3)*(3*$J608^3-6*$J608^2+3*$J608)+INDIRECT("D$"&amp;4+MIN(2,ROUNDDOWN(I608,0))*3)*(-3*$J608^3+3*$J608^2)+INDIRECT("D$"&amp;5+MIN(2,ROUNDDOWN(I608,0))*3)*$J608^3</f>
      </c>
      <c r="M608" s="7">
        <f>SQRT(K608^2+L608^2)</f>
      </c>
      <c r="N608" s="7">
        <f>(K609-K607)</f>
      </c>
      <c r="O608" s="7">
        <f>+(L609-L607)</f>
      </c>
      <c r="P608" s="7">
        <f>SQRT(O608^2+N608^2)</f>
      </c>
      <c r="Q608" s="7">
        <f>N608/$P608</f>
      </c>
      <c r="R608" s="7">
        <f>O608/$P608</f>
      </c>
      <c r="S608" s="7">
        <f>Q608^2+R608^2</f>
      </c>
      <c r="T608" s="7">
        <f>-R608</f>
      </c>
      <c r="U608" s="7">
        <f>Q608</f>
      </c>
      <c r="V608" s="7">
        <f>($C$14+($C$15-$C$14)/($D$15-$D$14)*(I608-$D$14))/2</f>
      </c>
      <c r="W608" s="7">
        <f>($B$22*I608^4+$C$22*I608^3+$D$22*I608^2+$E$22*I608+$F$22)/2</f>
      </c>
      <c r="X608" s="7">
        <f>($W608)*(T608)</f>
      </c>
      <c r="Y608" s="7">
        <f>($W608)*(U608)</f>
      </c>
      <c r="Z608" s="7">
        <f>SQRT(X608^2+Y608^2)</f>
      </c>
      <c r="AA608" s="7">
        <f>$K608+$X608</f>
      </c>
      <c r="AB608" s="7">
        <f>$L608+$Y608</f>
      </c>
      <c r="AC608" s="7">
        <f>$K608-$X608</f>
      </c>
      <c r="AD608" s="7">
        <f>$L608-$Y608</f>
      </c>
      <c r="AE608" s="7">
        <f>AA608/39.3701</f>
      </c>
      <c r="AF608" s="7">
        <f>AB608/39.3701</f>
      </c>
      <c r="AG608" s="7">
        <f>AC608/39.3701</f>
      </c>
      <c r="AH608" s="7">
        <f>AD608/39.3701</f>
      </c>
      <c r="AI608" s="1"/>
      <c r="AJ608" s="1"/>
      <c r="AK608" s="1"/>
      <c r="AL608" s="1"/>
      <c r="AM608" s="2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</row>
    <row x14ac:dyDescent="0.25" r="609" customHeight="1" ht="18.75">
      <c r="A609" s="1"/>
      <c r="B609" s="2"/>
      <c r="C609" s="2"/>
      <c r="D609" s="2"/>
      <c r="E609" s="2"/>
      <c r="F609" s="2"/>
      <c r="G609" s="1"/>
      <c r="H609" s="1"/>
      <c r="I609" s="7">
        <v>0.606</v>
      </c>
      <c r="J609" s="7">
        <f>IF((I609-ROUNDDOWN(I609,0))=0, 0, (I609-ROUNDDOWN(I609,0)))</f>
      </c>
      <c r="K609" s="7">
        <f>INDIRECT("C$"&amp;2+MIN(2,ROUNDDOWN(I609,0))*3)*(-$J609^3+3*$J609^2-3*$J609+1)+INDIRECT("C$"&amp;3+MIN(2,ROUNDDOWN(I609,0))*3)*(3*$J609^3-6*$J609^2+3*$J609)+INDIRECT("C$"&amp;4+MIN(2,ROUNDDOWN(I609,0))*3)*(-3*$J609^3+3*$J609^2)+INDIRECT("C$"&amp;5+MIN(2,ROUNDDOWN(I609,0))*3)*$J609^3</f>
      </c>
      <c r="L609" s="7">
        <f>INDIRECT("D$"&amp;2+MIN(2,ROUNDDOWN(I609,0))*3)*(-$J609^3+3*$J609^2-3*$J609+1)+INDIRECT("D$"&amp;3+MIN(2,ROUNDDOWN(I609,0))*3)*(3*$J609^3-6*$J609^2+3*$J609)+INDIRECT("D$"&amp;4+MIN(2,ROUNDDOWN(I609,0))*3)*(-3*$J609^3+3*$J609^2)+INDIRECT("D$"&amp;5+MIN(2,ROUNDDOWN(I609,0))*3)*$J609^3</f>
      </c>
      <c r="M609" s="7">
        <f>SQRT(K609^2+L609^2)</f>
      </c>
      <c r="N609" s="7">
        <f>(K610-K608)</f>
      </c>
      <c r="O609" s="7">
        <f>+(L610-L608)</f>
      </c>
      <c r="P609" s="7">
        <f>SQRT(O609^2+N609^2)</f>
      </c>
      <c r="Q609" s="7">
        <f>N609/$P609</f>
      </c>
      <c r="R609" s="7">
        <f>O609/$P609</f>
      </c>
      <c r="S609" s="7">
        <f>Q609^2+R609^2</f>
      </c>
      <c r="T609" s="7">
        <f>-R609</f>
      </c>
      <c r="U609" s="7">
        <f>Q609</f>
      </c>
      <c r="V609" s="7">
        <f>($C$14+($C$15-$C$14)/($D$15-$D$14)*(I609-$D$14))/2</f>
      </c>
      <c r="W609" s="7">
        <f>($B$22*I609^4+$C$22*I609^3+$D$22*I609^2+$E$22*I609+$F$22)/2</f>
      </c>
      <c r="X609" s="7">
        <f>($W609)*(T609)</f>
      </c>
      <c r="Y609" s="7">
        <f>($W609)*(U609)</f>
      </c>
      <c r="Z609" s="7">
        <f>SQRT(X609^2+Y609^2)</f>
      </c>
      <c r="AA609" s="7">
        <f>$K609+$X609</f>
      </c>
      <c r="AB609" s="7">
        <f>$L609+$Y609</f>
      </c>
      <c r="AC609" s="7">
        <f>$K609-$X609</f>
      </c>
      <c r="AD609" s="7">
        <f>$L609-$Y609</f>
      </c>
      <c r="AE609" s="7">
        <f>AA609/39.3701</f>
      </c>
      <c r="AF609" s="7">
        <f>AB609/39.3701</f>
      </c>
      <c r="AG609" s="7">
        <f>AC609/39.3701</f>
      </c>
      <c r="AH609" s="7">
        <f>AD609/39.3701</f>
      </c>
      <c r="AI609" s="1"/>
      <c r="AJ609" s="1"/>
      <c r="AK609" s="1"/>
      <c r="AL609" s="1"/>
      <c r="AM609" s="2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</row>
    <row x14ac:dyDescent="0.25" r="610" customHeight="1" ht="18.75">
      <c r="A610" s="1"/>
      <c r="B610" s="2"/>
      <c r="C610" s="2"/>
      <c r="D610" s="2"/>
      <c r="E610" s="2"/>
      <c r="F610" s="2"/>
      <c r="G610" s="1"/>
      <c r="H610" s="1"/>
      <c r="I610" s="7">
        <v>0.607</v>
      </c>
      <c r="J610" s="7">
        <f>IF((I610-ROUNDDOWN(I610,0))=0, 0, (I610-ROUNDDOWN(I610,0)))</f>
      </c>
      <c r="K610" s="7">
        <f>INDIRECT("C$"&amp;2+MIN(2,ROUNDDOWN(I610,0))*3)*(-$J610^3+3*$J610^2-3*$J610+1)+INDIRECT("C$"&amp;3+MIN(2,ROUNDDOWN(I610,0))*3)*(3*$J610^3-6*$J610^2+3*$J610)+INDIRECT("C$"&amp;4+MIN(2,ROUNDDOWN(I610,0))*3)*(-3*$J610^3+3*$J610^2)+INDIRECT("C$"&amp;5+MIN(2,ROUNDDOWN(I610,0))*3)*$J610^3</f>
      </c>
      <c r="L610" s="7">
        <f>INDIRECT("D$"&amp;2+MIN(2,ROUNDDOWN(I610,0))*3)*(-$J610^3+3*$J610^2-3*$J610+1)+INDIRECT("D$"&amp;3+MIN(2,ROUNDDOWN(I610,0))*3)*(3*$J610^3-6*$J610^2+3*$J610)+INDIRECT("D$"&amp;4+MIN(2,ROUNDDOWN(I610,0))*3)*(-3*$J610^3+3*$J610^2)+INDIRECT("D$"&amp;5+MIN(2,ROUNDDOWN(I610,0))*3)*$J610^3</f>
      </c>
      <c r="M610" s="7">
        <f>SQRT(K610^2+L610^2)</f>
      </c>
      <c r="N610" s="7">
        <f>(K611-K609)</f>
      </c>
      <c r="O610" s="7">
        <f>+(L611-L609)</f>
      </c>
      <c r="P610" s="7">
        <f>SQRT(O610^2+N610^2)</f>
      </c>
      <c r="Q610" s="7">
        <f>N610/$P610</f>
      </c>
      <c r="R610" s="7">
        <f>O610/$P610</f>
      </c>
      <c r="S610" s="8">
        <f>Q610^2+R610^2</f>
      </c>
      <c r="T610" s="7">
        <f>-R610</f>
      </c>
      <c r="U610" s="7">
        <f>Q610</f>
      </c>
      <c r="V610" s="7">
        <f>($C$14+($C$15-$C$14)/($D$15-$D$14)*(I610-$D$14))/2</f>
      </c>
      <c r="W610" s="7">
        <f>($B$22*I610^4+$C$22*I610^3+$D$22*I610^2+$E$22*I610+$F$22)/2</f>
      </c>
      <c r="X610" s="7">
        <f>($W610)*(T610)</f>
      </c>
      <c r="Y610" s="7">
        <f>($W610)*(U610)</f>
      </c>
      <c r="Z610" s="7">
        <f>SQRT(X610^2+Y610^2)</f>
      </c>
      <c r="AA610" s="7">
        <f>$K610+$X610</f>
      </c>
      <c r="AB610" s="7">
        <f>$L610+$Y610</f>
      </c>
      <c r="AC610" s="7">
        <f>$K610-$X610</f>
      </c>
      <c r="AD610" s="7">
        <f>$L610-$Y610</f>
      </c>
      <c r="AE610" s="7">
        <f>AA610/39.3701</f>
      </c>
      <c r="AF610" s="7">
        <f>AB610/39.3701</f>
      </c>
      <c r="AG610" s="7">
        <f>AC610/39.3701</f>
      </c>
      <c r="AH610" s="7">
        <f>AD610/39.3701</f>
      </c>
      <c r="AI610" s="1"/>
      <c r="AJ610" s="1"/>
      <c r="AK610" s="1"/>
      <c r="AL610" s="1"/>
      <c r="AM610" s="2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</row>
    <row x14ac:dyDescent="0.25" r="611" customHeight="1" ht="18.75">
      <c r="A611" s="1"/>
      <c r="B611" s="2"/>
      <c r="C611" s="2"/>
      <c r="D611" s="2"/>
      <c r="E611" s="2"/>
      <c r="F611" s="2"/>
      <c r="G611" s="1"/>
      <c r="H611" s="1"/>
      <c r="I611" s="7">
        <v>0.608</v>
      </c>
      <c r="J611" s="7">
        <f>IF((I611-ROUNDDOWN(I611,0))=0, 0, (I611-ROUNDDOWN(I611,0)))</f>
      </c>
      <c r="K611" s="7">
        <f>INDIRECT("C$"&amp;2+MIN(2,ROUNDDOWN(I611,0))*3)*(-$J611^3+3*$J611^2-3*$J611+1)+INDIRECT("C$"&amp;3+MIN(2,ROUNDDOWN(I611,0))*3)*(3*$J611^3-6*$J611^2+3*$J611)+INDIRECT("C$"&amp;4+MIN(2,ROUNDDOWN(I611,0))*3)*(-3*$J611^3+3*$J611^2)+INDIRECT("C$"&amp;5+MIN(2,ROUNDDOWN(I611,0))*3)*$J611^3</f>
      </c>
      <c r="L611" s="7">
        <f>INDIRECT("D$"&amp;2+MIN(2,ROUNDDOWN(I611,0))*3)*(-$J611^3+3*$J611^2-3*$J611+1)+INDIRECT("D$"&amp;3+MIN(2,ROUNDDOWN(I611,0))*3)*(3*$J611^3-6*$J611^2+3*$J611)+INDIRECT("D$"&amp;4+MIN(2,ROUNDDOWN(I611,0))*3)*(-3*$J611^3+3*$J611^2)+INDIRECT("D$"&amp;5+MIN(2,ROUNDDOWN(I611,0))*3)*$J611^3</f>
      </c>
      <c r="M611" s="7">
        <f>SQRT(K611^2+L611^2)</f>
      </c>
      <c r="N611" s="7">
        <f>(K612-K610)</f>
      </c>
      <c r="O611" s="7">
        <f>+(L612-L610)</f>
      </c>
      <c r="P611" s="7">
        <f>SQRT(O611^2+N611^2)</f>
      </c>
      <c r="Q611" s="7">
        <f>N611/$P611</f>
      </c>
      <c r="R611" s="7">
        <f>O611/$P611</f>
      </c>
      <c r="S611" s="8">
        <f>Q611^2+R611^2</f>
      </c>
      <c r="T611" s="7">
        <f>-R611</f>
      </c>
      <c r="U611" s="7">
        <f>Q611</f>
      </c>
      <c r="V611" s="7">
        <f>($C$14+($C$15-$C$14)/($D$15-$D$14)*(I611-$D$14))/2</f>
      </c>
      <c r="W611" s="7">
        <f>($B$22*I611^4+$C$22*I611^3+$D$22*I611^2+$E$22*I611+$F$22)/2</f>
      </c>
      <c r="X611" s="7">
        <f>($W611)*(T611)</f>
      </c>
      <c r="Y611" s="7">
        <f>($W611)*(U611)</f>
      </c>
      <c r="Z611" s="7">
        <f>SQRT(X611^2+Y611^2)</f>
      </c>
      <c r="AA611" s="7">
        <f>$K611+$X611</f>
      </c>
      <c r="AB611" s="7">
        <f>$L611+$Y611</f>
      </c>
      <c r="AC611" s="7">
        <f>$K611-$X611</f>
      </c>
      <c r="AD611" s="7">
        <f>$L611-$Y611</f>
      </c>
      <c r="AE611" s="7">
        <f>AA611/39.3701</f>
      </c>
      <c r="AF611" s="7">
        <f>AB611/39.3701</f>
      </c>
      <c r="AG611" s="7">
        <f>AC611/39.3701</f>
      </c>
      <c r="AH611" s="7">
        <f>AD611/39.3701</f>
      </c>
      <c r="AI611" s="1"/>
      <c r="AJ611" s="1"/>
      <c r="AK611" s="1"/>
      <c r="AL611" s="1"/>
      <c r="AM611" s="2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</row>
    <row x14ac:dyDescent="0.25" r="612" customHeight="1" ht="18.75">
      <c r="A612" s="1"/>
      <c r="B612" s="2"/>
      <c r="C612" s="2"/>
      <c r="D612" s="2"/>
      <c r="E612" s="2"/>
      <c r="F612" s="2"/>
      <c r="G612" s="1"/>
      <c r="H612" s="1"/>
      <c r="I612" s="7">
        <v>0.609</v>
      </c>
      <c r="J612" s="7">
        <f>IF((I612-ROUNDDOWN(I612,0))=0, 0, (I612-ROUNDDOWN(I612,0)))</f>
      </c>
      <c r="K612" s="7">
        <f>INDIRECT("C$"&amp;2+MIN(2,ROUNDDOWN(I612,0))*3)*(-$J612^3+3*$J612^2-3*$J612+1)+INDIRECT("C$"&amp;3+MIN(2,ROUNDDOWN(I612,0))*3)*(3*$J612^3-6*$J612^2+3*$J612)+INDIRECT("C$"&amp;4+MIN(2,ROUNDDOWN(I612,0))*3)*(-3*$J612^3+3*$J612^2)+INDIRECT("C$"&amp;5+MIN(2,ROUNDDOWN(I612,0))*3)*$J612^3</f>
      </c>
      <c r="L612" s="7">
        <f>INDIRECT("D$"&amp;2+MIN(2,ROUNDDOWN(I612,0))*3)*(-$J612^3+3*$J612^2-3*$J612+1)+INDIRECT("D$"&amp;3+MIN(2,ROUNDDOWN(I612,0))*3)*(3*$J612^3-6*$J612^2+3*$J612)+INDIRECT("D$"&amp;4+MIN(2,ROUNDDOWN(I612,0))*3)*(-3*$J612^3+3*$J612^2)+INDIRECT("D$"&amp;5+MIN(2,ROUNDDOWN(I612,0))*3)*$J612^3</f>
      </c>
      <c r="M612" s="7">
        <f>SQRT(K612^2+L612^2)</f>
      </c>
      <c r="N612" s="7">
        <f>(K613-K611)</f>
      </c>
      <c r="O612" s="7">
        <f>+(L613-L611)</f>
      </c>
      <c r="P612" s="7">
        <f>SQRT(O612^2+N612^2)</f>
      </c>
      <c r="Q612" s="7">
        <f>N612/$P612</f>
      </c>
      <c r="R612" s="7">
        <f>O612/$P612</f>
      </c>
      <c r="S612" s="7">
        <f>Q612^2+R612^2</f>
      </c>
      <c r="T612" s="7">
        <f>-R612</f>
      </c>
      <c r="U612" s="7">
        <f>Q612</f>
      </c>
      <c r="V612" s="7">
        <f>($C$14+($C$15-$C$14)/($D$15-$D$14)*(I612-$D$14))/2</f>
      </c>
      <c r="W612" s="7">
        <f>($B$22*I612^4+$C$22*I612^3+$D$22*I612^2+$E$22*I612+$F$22)/2</f>
      </c>
      <c r="X612" s="7">
        <f>($W612)*(T612)</f>
      </c>
      <c r="Y612" s="7">
        <f>($W612)*(U612)</f>
      </c>
      <c r="Z612" s="7">
        <f>SQRT(X612^2+Y612^2)</f>
      </c>
      <c r="AA612" s="7">
        <f>$K612+$X612</f>
      </c>
      <c r="AB612" s="7">
        <f>$L612+$Y612</f>
      </c>
      <c r="AC612" s="7">
        <f>$K612-$X612</f>
      </c>
      <c r="AD612" s="7">
        <f>$L612-$Y612</f>
      </c>
      <c r="AE612" s="7">
        <f>AA612/39.3701</f>
      </c>
      <c r="AF612" s="7">
        <f>AB612/39.3701</f>
      </c>
      <c r="AG612" s="7">
        <f>AC612/39.3701</f>
      </c>
      <c r="AH612" s="7">
        <f>AD612/39.3701</f>
      </c>
      <c r="AI612" s="1"/>
      <c r="AJ612" s="1"/>
      <c r="AK612" s="1"/>
      <c r="AL612" s="1"/>
      <c r="AM612" s="2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</row>
    <row x14ac:dyDescent="0.25" r="613" customHeight="1" ht="18.75">
      <c r="A613" s="1"/>
      <c r="B613" s="2"/>
      <c r="C613" s="2"/>
      <c r="D613" s="2"/>
      <c r="E613" s="2"/>
      <c r="F613" s="2"/>
      <c r="G613" s="1"/>
      <c r="H613" s="1"/>
      <c r="I613" s="7">
        <v>0.61</v>
      </c>
      <c r="J613" s="7">
        <f>IF((I613-ROUNDDOWN(I613,0))=0, 0, (I613-ROUNDDOWN(I613,0)))</f>
      </c>
      <c r="K613" s="7">
        <f>INDIRECT("C$"&amp;2+MIN(2,ROUNDDOWN(I613,0))*3)*(-$J613^3+3*$J613^2-3*$J613+1)+INDIRECT("C$"&amp;3+MIN(2,ROUNDDOWN(I613,0))*3)*(3*$J613^3-6*$J613^2+3*$J613)+INDIRECT("C$"&amp;4+MIN(2,ROUNDDOWN(I613,0))*3)*(-3*$J613^3+3*$J613^2)+INDIRECT("C$"&amp;5+MIN(2,ROUNDDOWN(I613,0))*3)*$J613^3</f>
      </c>
      <c r="L613" s="7">
        <f>INDIRECT("D$"&amp;2+MIN(2,ROUNDDOWN(I613,0))*3)*(-$J613^3+3*$J613^2-3*$J613+1)+INDIRECT("D$"&amp;3+MIN(2,ROUNDDOWN(I613,0))*3)*(3*$J613^3-6*$J613^2+3*$J613)+INDIRECT("D$"&amp;4+MIN(2,ROUNDDOWN(I613,0))*3)*(-3*$J613^3+3*$J613^2)+INDIRECT("D$"&amp;5+MIN(2,ROUNDDOWN(I613,0))*3)*$J613^3</f>
      </c>
      <c r="M613" s="7">
        <f>SQRT(K613^2+L613^2)</f>
      </c>
      <c r="N613" s="7">
        <f>(K614-K612)</f>
      </c>
      <c r="O613" s="7">
        <f>+(L614-L612)</f>
      </c>
      <c r="P613" s="7">
        <f>SQRT(O613^2+N613^2)</f>
      </c>
      <c r="Q613" s="7">
        <f>N613/$P613</f>
      </c>
      <c r="R613" s="7">
        <f>O613/$P613</f>
      </c>
      <c r="S613" s="7">
        <f>Q613^2+R613^2</f>
      </c>
      <c r="T613" s="7">
        <f>-R613</f>
      </c>
      <c r="U613" s="7">
        <f>Q613</f>
      </c>
      <c r="V613" s="7">
        <f>($C$14+($C$15-$C$14)/($D$15-$D$14)*(I613-$D$14))/2</f>
      </c>
      <c r="W613" s="7">
        <f>($B$22*I613^4+$C$22*I613^3+$D$22*I613^2+$E$22*I613+$F$22)/2</f>
      </c>
      <c r="X613" s="7">
        <f>($W613)*(T613)</f>
      </c>
      <c r="Y613" s="7">
        <f>($W613)*(U613)</f>
      </c>
      <c r="Z613" s="7">
        <f>SQRT(X613^2+Y613^2)</f>
      </c>
      <c r="AA613" s="7">
        <f>$K613+$X613</f>
      </c>
      <c r="AB613" s="7">
        <f>$L613+$Y613</f>
      </c>
      <c r="AC613" s="7">
        <f>$K613-$X613</f>
      </c>
      <c r="AD613" s="7">
        <f>$L613-$Y613</f>
      </c>
      <c r="AE613" s="7">
        <f>AA613/39.3701</f>
      </c>
      <c r="AF613" s="7">
        <f>AB613/39.3701</f>
      </c>
      <c r="AG613" s="7">
        <f>AC613/39.3701</f>
      </c>
      <c r="AH613" s="7">
        <f>AD613/39.3701</f>
      </c>
      <c r="AI613" s="1"/>
      <c r="AJ613" s="1"/>
      <c r="AK613" s="1"/>
      <c r="AL613" s="1"/>
      <c r="AM613" s="2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</row>
    <row x14ac:dyDescent="0.25" r="614" customHeight="1" ht="18.75">
      <c r="A614" s="1"/>
      <c r="B614" s="2"/>
      <c r="C614" s="2"/>
      <c r="D614" s="2"/>
      <c r="E614" s="2"/>
      <c r="F614" s="2"/>
      <c r="G614" s="1"/>
      <c r="H614" s="1"/>
      <c r="I614" s="7">
        <v>0.611</v>
      </c>
      <c r="J614" s="7">
        <f>IF((I614-ROUNDDOWN(I614,0))=0, 0, (I614-ROUNDDOWN(I614,0)))</f>
      </c>
      <c r="K614" s="7">
        <f>INDIRECT("C$"&amp;2+MIN(2,ROUNDDOWN(I614,0))*3)*(-$J614^3+3*$J614^2-3*$J614+1)+INDIRECT("C$"&amp;3+MIN(2,ROUNDDOWN(I614,0))*3)*(3*$J614^3-6*$J614^2+3*$J614)+INDIRECT("C$"&amp;4+MIN(2,ROUNDDOWN(I614,0))*3)*(-3*$J614^3+3*$J614^2)+INDIRECT("C$"&amp;5+MIN(2,ROUNDDOWN(I614,0))*3)*$J614^3</f>
      </c>
      <c r="L614" s="7">
        <f>INDIRECT("D$"&amp;2+MIN(2,ROUNDDOWN(I614,0))*3)*(-$J614^3+3*$J614^2-3*$J614+1)+INDIRECT("D$"&amp;3+MIN(2,ROUNDDOWN(I614,0))*3)*(3*$J614^3-6*$J614^2+3*$J614)+INDIRECT("D$"&amp;4+MIN(2,ROUNDDOWN(I614,0))*3)*(-3*$J614^3+3*$J614^2)+INDIRECT("D$"&amp;5+MIN(2,ROUNDDOWN(I614,0))*3)*$J614^3</f>
      </c>
      <c r="M614" s="7">
        <f>SQRT(K614^2+L614^2)</f>
      </c>
      <c r="N614" s="7">
        <f>(K615-K613)</f>
      </c>
      <c r="O614" s="7">
        <f>+(L615-L613)</f>
      </c>
      <c r="P614" s="7">
        <f>SQRT(O614^2+N614^2)</f>
      </c>
      <c r="Q614" s="7">
        <f>N614/$P614</f>
      </c>
      <c r="R614" s="7">
        <f>O614/$P614</f>
      </c>
      <c r="S614" s="7">
        <f>Q614^2+R614^2</f>
      </c>
      <c r="T614" s="7">
        <f>-R614</f>
      </c>
      <c r="U614" s="7">
        <f>Q614</f>
      </c>
      <c r="V614" s="7">
        <f>($C$14+($C$15-$C$14)/($D$15-$D$14)*(I614-$D$14))/2</f>
      </c>
      <c r="W614" s="7">
        <f>($B$22*I614^4+$C$22*I614^3+$D$22*I614^2+$E$22*I614+$F$22)/2</f>
      </c>
      <c r="X614" s="7">
        <f>($W614)*(T614)</f>
      </c>
      <c r="Y614" s="7">
        <f>($W614)*(U614)</f>
      </c>
      <c r="Z614" s="7">
        <f>SQRT(X614^2+Y614^2)</f>
      </c>
      <c r="AA614" s="7">
        <f>$K614+$X614</f>
      </c>
      <c r="AB614" s="7">
        <f>$L614+$Y614</f>
      </c>
      <c r="AC614" s="7">
        <f>$K614-$X614</f>
      </c>
      <c r="AD614" s="7">
        <f>$L614-$Y614</f>
      </c>
      <c r="AE614" s="7">
        <f>AA614/39.3701</f>
      </c>
      <c r="AF614" s="7">
        <f>AB614/39.3701</f>
      </c>
      <c r="AG614" s="7">
        <f>AC614/39.3701</f>
      </c>
      <c r="AH614" s="7">
        <f>AD614/39.3701</f>
      </c>
      <c r="AI614" s="1"/>
      <c r="AJ614" s="1"/>
      <c r="AK614" s="1"/>
      <c r="AL614" s="1"/>
      <c r="AM614" s="2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</row>
    <row x14ac:dyDescent="0.25" r="615" customHeight="1" ht="18.75">
      <c r="A615" s="1"/>
      <c r="B615" s="2"/>
      <c r="C615" s="2"/>
      <c r="D615" s="2"/>
      <c r="E615" s="2"/>
      <c r="F615" s="2"/>
      <c r="G615" s="1"/>
      <c r="H615" s="1"/>
      <c r="I615" s="7">
        <v>0.612</v>
      </c>
      <c r="J615" s="7">
        <f>IF((I615-ROUNDDOWN(I615,0))=0, 0, (I615-ROUNDDOWN(I615,0)))</f>
      </c>
      <c r="K615" s="7">
        <f>INDIRECT("C$"&amp;2+MIN(2,ROUNDDOWN(I615,0))*3)*(-$J615^3+3*$J615^2-3*$J615+1)+INDIRECT("C$"&amp;3+MIN(2,ROUNDDOWN(I615,0))*3)*(3*$J615^3-6*$J615^2+3*$J615)+INDIRECT("C$"&amp;4+MIN(2,ROUNDDOWN(I615,0))*3)*(-3*$J615^3+3*$J615^2)+INDIRECT("C$"&amp;5+MIN(2,ROUNDDOWN(I615,0))*3)*$J615^3</f>
      </c>
      <c r="L615" s="7">
        <f>INDIRECT("D$"&amp;2+MIN(2,ROUNDDOWN(I615,0))*3)*(-$J615^3+3*$J615^2-3*$J615+1)+INDIRECT("D$"&amp;3+MIN(2,ROUNDDOWN(I615,0))*3)*(3*$J615^3-6*$J615^2+3*$J615)+INDIRECT("D$"&amp;4+MIN(2,ROUNDDOWN(I615,0))*3)*(-3*$J615^3+3*$J615^2)+INDIRECT("D$"&amp;5+MIN(2,ROUNDDOWN(I615,0))*3)*$J615^3</f>
      </c>
      <c r="M615" s="7">
        <f>SQRT(K615^2+L615^2)</f>
      </c>
      <c r="N615" s="7">
        <f>(K616-K614)</f>
      </c>
      <c r="O615" s="7">
        <f>+(L616-L614)</f>
      </c>
      <c r="P615" s="7">
        <f>SQRT(O615^2+N615^2)</f>
      </c>
      <c r="Q615" s="7">
        <f>N615/$P615</f>
      </c>
      <c r="R615" s="7">
        <f>O615/$P615</f>
      </c>
      <c r="S615" s="8">
        <f>Q615^2+R615^2</f>
      </c>
      <c r="T615" s="7">
        <f>-R615</f>
      </c>
      <c r="U615" s="7">
        <f>Q615</f>
      </c>
      <c r="V615" s="7">
        <f>($C$14+($C$15-$C$14)/($D$15-$D$14)*(I615-$D$14))/2</f>
      </c>
      <c r="W615" s="7">
        <f>($B$22*I615^4+$C$22*I615^3+$D$22*I615^2+$E$22*I615+$F$22)/2</f>
      </c>
      <c r="X615" s="7">
        <f>($W615)*(T615)</f>
      </c>
      <c r="Y615" s="7">
        <f>($W615)*(U615)</f>
      </c>
      <c r="Z615" s="7">
        <f>SQRT(X615^2+Y615^2)</f>
      </c>
      <c r="AA615" s="7">
        <f>$K615+$X615</f>
      </c>
      <c r="AB615" s="7">
        <f>$L615+$Y615</f>
      </c>
      <c r="AC615" s="7">
        <f>$K615-$X615</f>
      </c>
      <c r="AD615" s="7">
        <f>$L615-$Y615</f>
      </c>
      <c r="AE615" s="7">
        <f>AA615/39.3701</f>
      </c>
      <c r="AF615" s="7">
        <f>AB615/39.3701</f>
      </c>
      <c r="AG615" s="7">
        <f>AC615/39.3701</f>
      </c>
      <c r="AH615" s="7">
        <f>AD615/39.3701</f>
      </c>
      <c r="AI615" s="1"/>
      <c r="AJ615" s="1"/>
      <c r="AK615" s="1"/>
      <c r="AL615" s="1"/>
      <c r="AM615" s="2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</row>
    <row x14ac:dyDescent="0.25" r="616" customHeight="1" ht="18.75">
      <c r="A616" s="1"/>
      <c r="B616" s="2"/>
      <c r="C616" s="2"/>
      <c r="D616" s="2"/>
      <c r="E616" s="2"/>
      <c r="F616" s="2"/>
      <c r="G616" s="1"/>
      <c r="H616" s="1"/>
      <c r="I616" s="7">
        <v>0.613</v>
      </c>
      <c r="J616" s="7">
        <f>IF((I616-ROUNDDOWN(I616,0))=0, 0, (I616-ROUNDDOWN(I616,0)))</f>
      </c>
      <c r="K616" s="7">
        <f>INDIRECT("C$"&amp;2+MIN(2,ROUNDDOWN(I616,0))*3)*(-$J616^3+3*$J616^2-3*$J616+1)+INDIRECT("C$"&amp;3+MIN(2,ROUNDDOWN(I616,0))*3)*(3*$J616^3-6*$J616^2+3*$J616)+INDIRECT("C$"&amp;4+MIN(2,ROUNDDOWN(I616,0))*3)*(-3*$J616^3+3*$J616^2)+INDIRECT("C$"&amp;5+MIN(2,ROUNDDOWN(I616,0))*3)*$J616^3</f>
      </c>
      <c r="L616" s="7">
        <f>INDIRECT("D$"&amp;2+MIN(2,ROUNDDOWN(I616,0))*3)*(-$J616^3+3*$J616^2-3*$J616+1)+INDIRECT("D$"&amp;3+MIN(2,ROUNDDOWN(I616,0))*3)*(3*$J616^3-6*$J616^2+3*$J616)+INDIRECT("D$"&amp;4+MIN(2,ROUNDDOWN(I616,0))*3)*(-3*$J616^3+3*$J616^2)+INDIRECT("D$"&amp;5+MIN(2,ROUNDDOWN(I616,0))*3)*$J616^3</f>
      </c>
      <c r="M616" s="7">
        <f>SQRT(K616^2+L616^2)</f>
      </c>
      <c r="N616" s="7">
        <f>(K617-K615)</f>
      </c>
      <c r="O616" s="7">
        <f>+(L617-L615)</f>
      </c>
      <c r="P616" s="7">
        <f>SQRT(O616^2+N616^2)</f>
      </c>
      <c r="Q616" s="7">
        <f>N616/$P616</f>
      </c>
      <c r="R616" s="7">
        <f>O616/$P616</f>
      </c>
      <c r="S616" s="8">
        <f>Q616^2+R616^2</f>
      </c>
      <c r="T616" s="7">
        <f>-R616</f>
      </c>
      <c r="U616" s="7">
        <f>Q616</f>
      </c>
      <c r="V616" s="7">
        <f>($C$14+($C$15-$C$14)/($D$15-$D$14)*(I616-$D$14))/2</f>
      </c>
      <c r="W616" s="7">
        <f>($B$22*I616^4+$C$22*I616^3+$D$22*I616^2+$E$22*I616+$F$22)/2</f>
      </c>
      <c r="X616" s="7">
        <f>($W616)*(T616)</f>
      </c>
      <c r="Y616" s="7">
        <f>($W616)*(U616)</f>
      </c>
      <c r="Z616" s="7">
        <f>SQRT(X616^2+Y616^2)</f>
      </c>
      <c r="AA616" s="7">
        <f>$K616+$X616</f>
      </c>
      <c r="AB616" s="7">
        <f>$L616+$Y616</f>
      </c>
      <c r="AC616" s="7">
        <f>$K616-$X616</f>
      </c>
      <c r="AD616" s="7">
        <f>$L616-$Y616</f>
      </c>
      <c r="AE616" s="7">
        <f>AA616/39.3701</f>
      </c>
      <c r="AF616" s="7">
        <f>AB616/39.3701</f>
      </c>
      <c r="AG616" s="7">
        <f>AC616/39.3701</f>
      </c>
      <c r="AH616" s="7">
        <f>AD616/39.3701</f>
      </c>
      <c r="AI616" s="1"/>
      <c r="AJ616" s="1"/>
      <c r="AK616" s="1"/>
      <c r="AL616" s="1"/>
      <c r="AM616" s="2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</row>
    <row x14ac:dyDescent="0.25" r="617" customHeight="1" ht="18.75">
      <c r="A617" s="1"/>
      <c r="B617" s="2"/>
      <c r="C617" s="2"/>
      <c r="D617" s="2"/>
      <c r="E617" s="2"/>
      <c r="F617" s="2"/>
      <c r="G617" s="1"/>
      <c r="H617" s="1"/>
      <c r="I617" s="7">
        <v>0.614</v>
      </c>
      <c r="J617" s="7">
        <f>IF((I617-ROUNDDOWN(I617,0))=0, 0, (I617-ROUNDDOWN(I617,0)))</f>
      </c>
      <c r="K617" s="7">
        <f>INDIRECT("C$"&amp;2+MIN(2,ROUNDDOWN(I617,0))*3)*(-$J617^3+3*$J617^2-3*$J617+1)+INDIRECT("C$"&amp;3+MIN(2,ROUNDDOWN(I617,0))*3)*(3*$J617^3-6*$J617^2+3*$J617)+INDIRECT("C$"&amp;4+MIN(2,ROUNDDOWN(I617,0))*3)*(-3*$J617^3+3*$J617^2)+INDIRECT("C$"&amp;5+MIN(2,ROUNDDOWN(I617,0))*3)*$J617^3</f>
      </c>
      <c r="L617" s="7">
        <f>INDIRECT("D$"&amp;2+MIN(2,ROUNDDOWN(I617,0))*3)*(-$J617^3+3*$J617^2-3*$J617+1)+INDIRECT("D$"&amp;3+MIN(2,ROUNDDOWN(I617,0))*3)*(3*$J617^3-6*$J617^2+3*$J617)+INDIRECT("D$"&amp;4+MIN(2,ROUNDDOWN(I617,0))*3)*(-3*$J617^3+3*$J617^2)+INDIRECT("D$"&amp;5+MIN(2,ROUNDDOWN(I617,0))*3)*$J617^3</f>
      </c>
      <c r="M617" s="7">
        <f>SQRT(K617^2+L617^2)</f>
      </c>
      <c r="N617" s="7">
        <f>(K618-K616)</f>
      </c>
      <c r="O617" s="7">
        <f>+(L618-L616)</f>
      </c>
      <c r="P617" s="7">
        <f>SQRT(O617^2+N617^2)</f>
      </c>
      <c r="Q617" s="7">
        <f>N617/$P617</f>
      </c>
      <c r="R617" s="7">
        <f>O617/$P617</f>
      </c>
      <c r="S617" s="7">
        <f>Q617^2+R617^2</f>
      </c>
      <c r="T617" s="7">
        <f>-R617</f>
      </c>
      <c r="U617" s="7">
        <f>Q617</f>
      </c>
      <c r="V617" s="7">
        <f>($C$14+($C$15-$C$14)/($D$15-$D$14)*(I617-$D$14))/2</f>
      </c>
      <c r="W617" s="7">
        <f>($B$22*I617^4+$C$22*I617^3+$D$22*I617^2+$E$22*I617+$F$22)/2</f>
      </c>
      <c r="X617" s="7">
        <f>($W617)*(T617)</f>
      </c>
      <c r="Y617" s="7">
        <f>($W617)*(U617)</f>
      </c>
      <c r="Z617" s="7">
        <f>SQRT(X617^2+Y617^2)</f>
      </c>
      <c r="AA617" s="7">
        <f>$K617+$X617</f>
      </c>
      <c r="AB617" s="7">
        <f>$L617+$Y617</f>
      </c>
      <c r="AC617" s="7">
        <f>$K617-$X617</f>
      </c>
      <c r="AD617" s="7">
        <f>$L617-$Y617</f>
      </c>
      <c r="AE617" s="7">
        <f>AA617/39.3701</f>
      </c>
      <c r="AF617" s="7">
        <f>AB617/39.3701</f>
      </c>
      <c r="AG617" s="7">
        <f>AC617/39.3701</f>
      </c>
      <c r="AH617" s="7">
        <f>AD617/39.3701</f>
      </c>
      <c r="AI617" s="1"/>
      <c r="AJ617" s="1"/>
      <c r="AK617" s="1"/>
      <c r="AL617" s="1"/>
      <c r="AM617" s="2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</row>
    <row x14ac:dyDescent="0.25" r="618" customHeight="1" ht="18.75">
      <c r="A618" s="1"/>
      <c r="B618" s="2"/>
      <c r="C618" s="2"/>
      <c r="D618" s="2"/>
      <c r="E618" s="2"/>
      <c r="F618" s="2"/>
      <c r="G618" s="1"/>
      <c r="H618" s="1"/>
      <c r="I618" s="7">
        <v>0.615</v>
      </c>
      <c r="J618" s="7">
        <f>IF((I618-ROUNDDOWN(I618,0))=0, 0, (I618-ROUNDDOWN(I618,0)))</f>
      </c>
      <c r="K618" s="7">
        <f>INDIRECT("C$"&amp;2+MIN(2,ROUNDDOWN(I618,0))*3)*(-$J618^3+3*$J618^2-3*$J618+1)+INDIRECT("C$"&amp;3+MIN(2,ROUNDDOWN(I618,0))*3)*(3*$J618^3-6*$J618^2+3*$J618)+INDIRECT("C$"&amp;4+MIN(2,ROUNDDOWN(I618,0))*3)*(-3*$J618^3+3*$J618^2)+INDIRECT("C$"&amp;5+MIN(2,ROUNDDOWN(I618,0))*3)*$J618^3</f>
      </c>
      <c r="L618" s="7">
        <f>INDIRECT("D$"&amp;2+MIN(2,ROUNDDOWN(I618,0))*3)*(-$J618^3+3*$J618^2-3*$J618+1)+INDIRECT("D$"&amp;3+MIN(2,ROUNDDOWN(I618,0))*3)*(3*$J618^3-6*$J618^2+3*$J618)+INDIRECT("D$"&amp;4+MIN(2,ROUNDDOWN(I618,0))*3)*(-3*$J618^3+3*$J618^2)+INDIRECT("D$"&amp;5+MIN(2,ROUNDDOWN(I618,0))*3)*$J618^3</f>
      </c>
      <c r="M618" s="7">
        <f>SQRT(K618^2+L618^2)</f>
      </c>
      <c r="N618" s="7">
        <f>(K619-K617)</f>
      </c>
      <c r="O618" s="7">
        <f>+(L619-L617)</f>
      </c>
      <c r="P618" s="7">
        <f>SQRT(O618^2+N618^2)</f>
      </c>
      <c r="Q618" s="7">
        <f>N618/$P618</f>
      </c>
      <c r="R618" s="7">
        <f>O618/$P618</f>
      </c>
      <c r="S618" s="8">
        <f>Q618^2+R618^2</f>
      </c>
      <c r="T618" s="7">
        <f>-R618</f>
      </c>
      <c r="U618" s="7">
        <f>Q618</f>
      </c>
      <c r="V618" s="7">
        <f>($C$14+($C$15-$C$14)/($D$15-$D$14)*(I618-$D$14))/2</f>
      </c>
      <c r="W618" s="7">
        <f>($B$22*I618^4+$C$22*I618^3+$D$22*I618^2+$E$22*I618+$F$22)/2</f>
      </c>
      <c r="X618" s="7">
        <f>($W618)*(T618)</f>
      </c>
      <c r="Y618" s="7">
        <f>($W618)*(U618)</f>
      </c>
      <c r="Z618" s="7">
        <f>SQRT(X618^2+Y618^2)</f>
      </c>
      <c r="AA618" s="7">
        <f>$K618+$X618</f>
      </c>
      <c r="AB618" s="7">
        <f>$L618+$Y618</f>
      </c>
      <c r="AC618" s="7">
        <f>$K618-$X618</f>
      </c>
      <c r="AD618" s="7">
        <f>$L618-$Y618</f>
      </c>
      <c r="AE618" s="7">
        <f>AA618/39.3701</f>
      </c>
      <c r="AF618" s="7">
        <f>AB618/39.3701</f>
      </c>
      <c r="AG618" s="7">
        <f>AC618/39.3701</f>
      </c>
      <c r="AH618" s="7">
        <f>AD618/39.3701</f>
      </c>
      <c r="AI618" s="1"/>
      <c r="AJ618" s="1"/>
      <c r="AK618" s="1"/>
      <c r="AL618" s="1"/>
      <c r="AM618" s="2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</row>
    <row x14ac:dyDescent="0.25" r="619" customHeight="1" ht="18.75">
      <c r="A619" s="1"/>
      <c r="B619" s="2"/>
      <c r="C619" s="2"/>
      <c r="D619" s="2"/>
      <c r="E619" s="2"/>
      <c r="F619" s="2"/>
      <c r="G619" s="1"/>
      <c r="H619" s="1"/>
      <c r="I619" s="7">
        <v>0.616</v>
      </c>
      <c r="J619" s="7">
        <f>IF((I619-ROUNDDOWN(I619,0))=0, 0, (I619-ROUNDDOWN(I619,0)))</f>
      </c>
      <c r="K619" s="7">
        <f>INDIRECT("C$"&amp;2+MIN(2,ROUNDDOWN(I619,0))*3)*(-$J619^3+3*$J619^2-3*$J619+1)+INDIRECT("C$"&amp;3+MIN(2,ROUNDDOWN(I619,0))*3)*(3*$J619^3-6*$J619^2+3*$J619)+INDIRECT("C$"&amp;4+MIN(2,ROUNDDOWN(I619,0))*3)*(-3*$J619^3+3*$J619^2)+INDIRECT("C$"&amp;5+MIN(2,ROUNDDOWN(I619,0))*3)*$J619^3</f>
      </c>
      <c r="L619" s="7">
        <f>INDIRECT("D$"&amp;2+MIN(2,ROUNDDOWN(I619,0))*3)*(-$J619^3+3*$J619^2-3*$J619+1)+INDIRECT("D$"&amp;3+MIN(2,ROUNDDOWN(I619,0))*3)*(3*$J619^3-6*$J619^2+3*$J619)+INDIRECT("D$"&amp;4+MIN(2,ROUNDDOWN(I619,0))*3)*(-3*$J619^3+3*$J619^2)+INDIRECT("D$"&amp;5+MIN(2,ROUNDDOWN(I619,0))*3)*$J619^3</f>
      </c>
      <c r="M619" s="7">
        <f>SQRT(K619^2+L619^2)</f>
      </c>
      <c r="N619" s="7">
        <f>(K620-K618)</f>
      </c>
      <c r="O619" s="7">
        <f>+(L620-L618)</f>
      </c>
      <c r="P619" s="7">
        <f>SQRT(O619^2+N619^2)</f>
      </c>
      <c r="Q619" s="7">
        <f>N619/$P619</f>
      </c>
      <c r="R619" s="7">
        <f>O619/$P619</f>
      </c>
      <c r="S619" s="8">
        <f>Q619^2+R619^2</f>
      </c>
      <c r="T619" s="7">
        <f>-R619</f>
      </c>
      <c r="U619" s="7">
        <f>Q619</f>
      </c>
      <c r="V619" s="7">
        <f>($C$14+($C$15-$C$14)/($D$15-$D$14)*(I619-$D$14))/2</f>
      </c>
      <c r="W619" s="7">
        <f>($B$22*I619^4+$C$22*I619^3+$D$22*I619^2+$E$22*I619+$F$22)/2</f>
      </c>
      <c r="X619" s="7">
        <f>($W619)*(T619)</f>
      </c>
      <c r="Y619" s="7">
        <f>($W619)*(U619)</f>
      </c>
      <c r="Z619" s="7">
        <f>SQRT(X619^2+Y619^2)</f>
      </c>
      <c r="AA619" s="7">
        <f>$K619+$X619</f>
      </c>
      <c r="AB619" s="7">
        <f>$L619+$Y619</f>
      </c>
      <c r="AC619" s="7">
        <f>$K619-$X619</f>
      </c>
      <c r="AD619" s="7">
        <f>$L619-$Y619</f>
      </c>
      <c r="AE619" s="7">
        <f>AA619/39.3701</f>
      </c>
      <c r="AF619" s="7">
        <f>AB619/39.3701</f>
      </c>
      <c r="AG619" s="7">
        <f>AC619/39.3701</f>
      </c>
      <c r="AH619" s="7">
        <f>AD619/39.3701</f>
      </c>
      <c r="AI619" s="1"/>
      <c r="AJ619" s="1"/>
      <c r="AK619" s="1"/>
      <c r="AL619" s="1"/>
      <c r="AM619" s="2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</row>
    <row x14ac:dyDescent="0.25" r="620" customHeight="1" ht="18.75">
      <c r="A620" s="1"/>
      <c r="B620" s="2"/>
      <c r="C620" s="2"/>
      <c r="D620" s="2"/>
      <c r="E620" s="2"/>
      <c r="F620" s="2"/>
      <c r="G620" s="1"/>
      <c r="H620" s="1"/>
      <c r="I620" s="7">
        <v>0.617</v>
      </c>
      <c r="J620" s="7">
        <f>IF((I620-ROUNDDOWN(I620,0))=0, 0, (I620-ROUNDDOWN(I620,0)))</f>
      </c>
      <c r="K620" s="7">
        <f>INDIRECT("C$"&amp;2+MIN(2,ROUNDDOWN(I620,0))*3)*(-$J620^3+3*$J620^2-3*$J620+1)+INDIRECT("C$"&amp;3+MIN(2,ROUNDDOWN(I620,0))*3)*(3*$J620^3-6*$J620^2+3*$J620)+INDIRECT("C$"&amp;4+MIN(2,ROUNDDOWN(I620,0))*3)*(-3*$J620^3+3*$J620^2)+INDIRECT("C$"&amp;5+MIN(2,ROUNDDOWN(I620,0))*3)*$J620^3</f>
      </c>
      <c r="L620" s="7">
        <f>INDIRECT("D$"&amp;2+MIN(2,ROUNDDOWN(I620,0))*3)*(-$J620^3+3*$J620^2-3*$J620+1)+INDIRECT("D$"&amp;3+MIN(2,ROUNDDOWN(I620,0))*3)*(3*$J620^3-6*$J620^2+3*$J620)+INDIRECT("D$"&amp;4+MIN(2,ROUNDDOWN(I620,0))*3)*(-3*$J620^3+3*$J620^2)+INDIRECT("D$"&amp;5+MIN(2,ROUNDDOWN(I620,0))*3)*$J620^3</f>
      </c>
      <c r="M620" s="7">
        <f>SQRT(K620^2+L620^2)</f>
      </c>
      <c r="N620" s="7">
        <f>(K621-K619)</f>
      </c>
      <c r="O620" s="7">
        <f>+(L621-L619)</f>
      </c>
      <c r="P620" s="7">
        <f>SQRT(O620^2+N620^2)</f>
      </c>
      <c r="Q620" s="7">
        <f>N620/$P620</f>
      </c>
      <c r="R620" s="7">
        <f>O620/$P620</f>
      </c>
      <c r="S620" s="7">
        <f>Q620^2+R620^2</f>
      </c>
      <c r="T620" s="7">
        <f>-R620</f>
      </c>
      <c r="U620" s="7">
        <f>Q620</f>
      </c>
      <c r="V620" s="7">
        <f>($C$14+($C$15-$C$14)/($D$15-$D$14)*(I620-$D$14))/2</f>
      </c>
      <c r="W620" s="7">
        <f>($B$22*I620^4+$C$22*I620^3+$D$22*I620^2+$E$22*I620+$F$22)/2</f>
      </c>
      <c r="X620" s="7">
        <f>($W620)*(T620)</f>
      </c>
      <c r="Y620" s="7">
        <f>($W620)*(U620)</f>
      </c>
      <c r="Z620" s="7">
        <f>SQRT(X620^2+Y620^2)</f>
      </c>
      <c r="AA620" s="7">
        <f>$K620+$X620</f>
      </c>
      <c r="AB620" s="7">
        <f>$L620+$Y620</f>
      </c>
      <c r="AC620" s="7">
        <f>$K620-$X620</f>
      </c>
      <c r="AD620" s="7">
        <f>$L620-$Y620</f>
      </c>
      <c r="AE620" s="7">
        <f>AA620/39.3701</f>
      </c>
      <c r="AF620" s="7">
        <f>AB620/39.3701</f>
      </c>
      <c r="AG620" s="7">
        <f>AC620/39.3701</f>
      </c>
      <c r="AH620" s="7">
        <f>AD620/39.3701</f>
      </c>
      <c r="AI620" s="1"/>
      <c r="AJ620" s="1"/>
      <c r="AK620" s="1"/>
      <c r="AL620" s="1"/>
      <c r="AM620" s="2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</row>
    <row x14ac:dyDescent="0.25" r="621" customHeight="1" ht="18.75">
      <c r="A621" s="1"/>
      <c r="B621" s="2"/>
      <c r="C621" s="2"/>
      <c r="D621" s="2"/>
      <c r="E621" s="2"/>
      <c r="F621" s="2"/>
      <c r="G621" s="1"/>
      <c r="H621" s="1"/>
      <c r="I621" s="7">
        <v>0.618</v>
      </c>
      <c r="J621" s="7">
        <f>IF((I621-ROUNDDOWN(I621,0))=0, 0, (I621-ROUNDDOWN(I621,0)))</f>
      </c>
      <c r="K621" s="7">
        <f>INDIRECT("C$"&amp;2+MIN(2,ROUNDDOWN(I621,0))*3)*(-$J621^3+3*$J621^2-3*$J621+1)+INDIRECT("C$"&amp;3+MIN(2,ROUNDDOWN(I621,0))*3)*(3*$J621^3-6*$J621^2+3*$J621)+INDIRECT("C$"&amp;4+MIN(2,ROUNDDOWN(I621,0))*3)*(-3*$J621^3+3*$J621^2)+INDIRECT("C$"&amp;5+MIN(2,ROUNDDOWN(I621,0))*3)*$J621^3</f>
      </c>
      <c r="L621" s="7">
        <f>INDIRECT("D$"&amp;2+MIN(2,ROUNDDOWN(I621,0))*3)*(-$J621^3+3*$J621^2-3*$J621+1)+INDIRECT("D$"&amp;3+MIN(2,ROUNDDOWN(I621,0))*3)*(3*$J621^3-6*$J621^2+3*$J621)+INDIRECT("D$"&amp;4+MIN(2,ROUNDDOWN(I621,0))*3)*(-3*$J621^3+3*$J621^2)+INDIRECT("D$"&amp;5+MIN(2,ROUNDDOWN(I621,0))*3)*$J621^3</f>
      </c>
      <c r="M621" s="7">
        <f>SQRT(K621^2+L621^2)</f>
      </c>
      <c r="N621" s="7">
        <f>(K622-K620)</f>
      </c>
      <c r="O621" s="7">
        <f>+(L622-L620)</f>
      </c>
      <c r="P621" s="7">
        <f>SQRT(O621^2+N621^2)</f>
      </c>
      <c r="Q621" s="7">
        <f>N621/$P621</f>
      </c>
      <c r="R621" s="7">
        <f>O621/$P621</f>
      </c>
      <c r="S621" s="7">
        <f>Q621^2+R621^2</f>
      </c>
      <c r="T621" s="7">
        <f>-R621</f>
      </c>
      <c r="U621" s="7">
        <f>Q621</f>
      </c>
      <c r="V621" s="7">
        <f>($C$14+($C$15-$C$14)/($D$15-$D$14)*(I621-$D$14))/2</f>
      </c>
      <c r="W621" s="7">
        <f>($B$22*I621^4+$C$22*I621^3+$D$22*I621^2+$E$22*I621+$F$22)/2</f>
      </c>
      <c r="X621" s="7">
        <f>($W621)*(T621)</f>
      </c>
      <c r="Y621" s="7">
        <f>($W621)*(U621)</f>
      </c>
      <c r="Z621" s="7">
        <f>SQRT(X621^2+Y621^2)</f>
      </c>
      <c r="AA621" s="7">
        <f>$K621+$X621</f>
      </c>
      <c r="AB621" s="7">
        <f>$L621+$Y621</f>
      </c>
      <c r="AC621" s="7">
        <f>$K621-$X621</f>
      </c>
      <c r="AD621" s="7">
        <f>$L621-$Y621</f>
      </c>
      <c r="AE621" s="7">
        <f>AA621/39.3701</f>
      </c>
      <c r="AF621" s="7">
        <f>AB621/39.3701</f>
      </c>
      <c r="AG621" s="7">
        <f>AC621/39.3701</f>
      </c>
      <c r="AH621" s="7">
        <f>AD621/39.3701</f>
      </c>
      <c r="AI621" s="1"/>
      <c r="AJ621" s="1"/>
      <c r="AK621" s="1"/>
      <c r="AL621" s="1"/>
      <c r="AM621" s="2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</row>
    <row x14ac:dyDescent="0.25" r="622" customHeight="1" ht="18.75">
      <c r="A622" s="1"/>
      <c r="B622" s="2"/>
      <c r="C622" s="2"/>
      <c r="D622" s="2"/>
      <c r="E622" s="2"/>
      <c r="F622" s="2"/>
      <c r="G622" s="1"/>
      <c r="H622" s="1"/>
      <c r="I622" s="7">
        <v>0.619</v>
      </c>
      <c r="J622" s="7">
        <f>IF((I622-ROUNDDOWN(I622,0))=0, 0, (I622-ROUNDDOWN(I622,0)))</f>
      </c>
      <c r="K622" s="7">
        <f>INDIRECT("C$"&amp;2+MIN(2,ROUNDDOWN(I622,0))*3)*(-$J622^3+3*$J622^2-3*$J622+1)+INDIRECT("C$"&amp;3+MIN(2,ROUNDDOWN(I622,0))*3)*(3*$J622^3-6*$J622^2+3*$J622)+INDIRECT("C$"&amp;4+MIN(2,ROUNDDOWN(I622,0))*3)*(-3*$J622^3+3*$J622^2)+INDIRECT("C$"&amp;5+MIN(2,ROUNDDOWN(I622,0))*3)*$J622^3</f>
      </c>
      <c r="L622" s="7">
        <f>INDIRECT("D$"&amp;2+MIN(2,ROUNDDOWN(I622,0))*3)*(-$J622^3+3*$J622^2-3*$J622+1)+INDIRECT("D$"&amp;3+MIN(2,ROUNDDOWN(I622,0))*3)*(3*$J622^3-6*$J622^2+3*$J622)+INDIRECT("D$"&amp;4+MIN(2,ROUNDDOWN(I622,0))*3)*(-3*$J622^3+3*$J622^2)+INDIRECT("D$"&amp;5+MIN(2,ROUNDDOWN(I622,0))*3)*$J622^3</f>
      </c>
      <c r="M622" s="7">
        <f>SQRT(K622^2+L622^2)</f>
      </c>
      <c r="N622" s="7">
        <f>(K623-K621)</f>
      </c>
      <c r="O622" s="7">
        <f>+(L623-L621)</f>
      </c>
      <c r="P622" s="7">
        <f>SQRT(O622^2+N622^2)</f>
      </c>
      <c r="Q622" s="7">
        <f>N622/$P622</f>
      </c>
      <c r="R622" s="7">
        <f>O622/$P622</f>
      </c>
      <c r="S622" s="8">
        <f>Q622^2+R622^2</f>
      </c>
      <c r="T622" s="7">
        <f>-R622</f>
      </c>
      <c r="U622" s="7">
        <f>Q622</f>
      </c>
      <c r="V622" s="7">
        <f>($C$14+($C$15-$C$14)/($D$15-$D$14)*(I622-$D$14))/2</f>
      </c>
      <c r="W622" s="7">
        <f>($B$22*I622^4+$C$22*I622^3+$D$22*I622^2+$E$22*I622+$F$22)/2</f>
      </c>
      <c r="X622" s="7">
        <f>($W622)*(T622)</f>
      </c>
      <c r="Y622" s="7">
        <f>($W622)*(U622)</f>
      </c>
      <c r="Z622" s="7">
        <f>SQRT(X622^2+Y622^2)</f>
      </c>
      <c r="AA622" s="7">
        <f>$K622+$X622</f>
      </c>
      <c r="AB622" s="7">
        <f>$L622+$Y622</f>
      </c>
      <c r="AC622" s="7">
        <f>$K622-$X622</f>
      </c>
      <c r="AD622" s="7">
        <f>$L622-$Y622</f>
      </c>
      <c r="AE622" s="7">
        <f>AA622/39.3701</f>
      </c>
      <c r="AF622" s="7">
        <f>AB622/39.3701</f>
      </c>
      <c r="AG622" s="7">
        <f>AC622/39.3701</f>
      </c>
      <c r="AH622" s="7">
        <f>AD622/39.3701</f>
      </c>
      <c r="AI622" s="1"/>
      <c r="AJ622" s="1"/>
      <c r="AK622" s="1"/>
      <c r="AL622" s="1"/>
      <c r="AM622" s="2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</row>
    <row x14ac:dyDescent="0.25" r="623" customHeight="1" ht="18.75">
      <c r="A623" s="1"/>
      <c r="B623" s="2"/>
      <c r="C623" s="2"/>
      <c r="D623" s="2"/>
      <c r="E623" s="2"/>
      <c r="F623" s="2"/>
      <c r="G623" s="1"/>
      <c r="H623" s="1"/>
      <c r="I623" s="7">
        <v>0.62</v>
      </c>
      <c r="J623" s="7">
        <f>IF((I623-ROUNDDOWN(I623,0))=0, 0, (I623-ROUNDDOWN(I623,0)))</f>
      </c>
      <c r="K623" s="7">
        <f>INDIRECT("C$"&amp;2+MIN(2,ROUNDDOWN(I623,0))*3)*(-$J623^3+3*$J623^2-3*$J623+1)+INDIRECT("C$"&amp;3+MIN(2,ROUNDDOWN(I623,0))*3)*(3*$J623^3-6*$J623^2+3*$J623)+INDIRECT("C$"&amp;4+MIN(2,ROUNDDOWN(I623,0))*3)*(-3*$J623^3+3*$J623^2)+INDIRECT("C$"&amp;5+MIN(2,ROUNDDOWN(I623,0))*3)*$J623^3</f>
      </c>
      <c r="L623" s="7">
        <f>INDIRECT("D$"&amp;2+MIN(2,ROUNDDOWN(I623,0))*3)*(-$J623^3+3*$J623^2-3*$J623+1)+INDIRECT("D$"&amp;3+MIN(2,ROUNDDOWN(I623,0))*3)*(3*$J623^3-6*$J623^2+3*$J623)+INDIRECT("D$"&amp;4+MIN(2,ROUNDDOWN(I623,0))*3)*(-3*$J623^3+3*$J623^2)+INDIRECT("D$"&amp;5+MIN(2,ROUNDDOWN(I623,0))*3)*$J623^3</f>
      </c>
      <c r="M623" s="7">
        <f>SQRT(K623^2+L623^2)</f>
      </c>
      <c r="N623" s="7">
        <f>(K624-K622)</f>
      </c>
      <c r="O623" s="7">
        <f>+(L624-L622)</f>
      </c>
      <c r="P623" s="7">
        <f>SQRT(O623^2+N623^2)</f>
      </c>
      <c r="Q623" s="7">
        <f>N623/$P623</f>
      </c>
      <c r="R623" s="7">
        <f>O623/$P623</f>
      </c>
      <c r="S623" s="8">
        <f>Q623^2+R623^2</f>
      </c>
      <c r="T623" s="7">
        <f>-R623</f>
      </c>
      <c r="U623" s="7">
        <f>Q623</f>
      </c>
      <c r="V623" s="7">
        <f>($C$14+($C$15-$C$14)/($D$15-$D$14)*(I623-$D$14))/2</f>
      </c>
      <c r="W623" s="7">
        <f>($B$22*I623^4+$C$22*I623^3+$D$22*I623^2+$E$22*I623+$F$22)/2</f>
      </c>
      <c r="X623" s="7">
        <f>($W623)*(T623)</f>
      </c>
      <c r="Y623" s="7">
        <f>($W623)*(U623)</f>
      </c>
      <c r="Z623" s="7">
        <f>SQRT(X623^2+Y623^2)</f>
      </c>
      <c r="AA623" s="7">
        <f>$K623+$X623</f>
      </c>
      <c r="AB623" s="7">
        <f>$L623+$Y623</f>
      </c>
      <c r="AC623" s="7">
        <f>$K623-$X623</f>
      </c>
      <c r="AD623" s="7">
        <f>$L623-$Y623</f>
      </c>
      <c r="AE623" s="7">
        <f>AA623/39.3701</f>
      </c>
      <c r="AF623" s="7">
        <f>AB623/39.3701</f>
      </c>
      <c r="AG623" s="7">
        <f>AC623/39.3701</f>
      </c>
      <c r="AH623" s="7">
        <f>AD623/39.3701</f>
      </c>
      <c r="AI623" s="1"/>
      <c r="AJ623" s="1"/>
      <c r="AK623" s="1"/>
      <c r="AL623" s="1"/>
      <c r="AM623" s="2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</row>
    <row x14ac:dyDescent="0.25" r="624" customHeight="1" ht="18.75">
      <c r="A624" s="1"/>
      <c r="B624" s="2"/>
      <c r="C624" s="2"/>
      <c r="D624" s="2"/>
      <c r="E624" s="2"/>
      <c r="F624" s="2"/>
      <c r="G624" s="1"/>
      <c r="H624" s="1"/>
      <c r="I624" s="7">
        <v>0.621</v>
      </c>
      <c r="J624" s="7">
        <f>IF((I624-ROUNDDOWN(I624,0))=0, 0, (I624-ROUNDDOWN(I624,0)))</f>
      </c>
      <c r="K624" s="7">
        <f>INDIRECT("C$"&amp;2+MIN(2,ROUNDDOWN(I624,0))*3)*(-$J624^3+3*$J624^2-3*$J624+1)+INDIRECT("C$"&amp;3+MIN(2,ROUNDDOWN(I624,0))*3)*(3*$J624^3-6*$J624^2+3*$J624)+INDIRECT("C$"&amp;4+MIN(2,ROUNDDOWN(I624,0))*3)*(-3*$J624^3+3*$J624^2)+INDIRECT("C$"&amp;5+MIN(2,ROUNDDOWN(I624,0))*3)*$J624^3</f>
      </c>
      <c r="L624" s="7">
        <f>INDIRECT("D$"&amp;2+MIN(2,ROUNDDOWN(I624,0))*3)*(-$J624^3+3*$J624^2-3*$J624+1)+INDIRECT("D$"&amp;3+MIN(2,ROUNDDOWN(I624,0))*3)*(3*$J624^3-6*$J624^2+3*$J624)+INDIRECT("D$"&amp;4+MIN(2,ROUNDDOWN(I624,0))*3)*(-3*$J624^3+3*$J624^2)+INDIRECT("D$"&amp;5+MIN(2,ROUNDDOWN(I624,0))*3)*$J624^3</f>
      </c>
      <c r="M624" s="7">
        <f>SQRT(K624^2+L624^2)</f>
      </c>
      <c r="N624" s="7">
        <f>(K625-K623)</f>
      </c>
      <c r="O624" s="7">
        <f>+(L625-L623)</f>
      </c>
      <c r="P624" s="7">
        <f>SQRT(O624^2+N624^2)</f>
      </c>
      <c r="Q624" s="7">
        <f>N624/$P624</f>
      </c>
      <c r="R624" s="7">
        <f>O624/$P624</f>
      </c>
      <c r="S624" s="8">
        <f>Q624^2+R624^2</f>
      </c>
      <c r="T624" s="7">
        <f>-R624</f>
      </c>
      <c r="U624" s="7">
        <f>Q624</f>
      </c>
      <c r="V624" s="7">
        <f>($C$14+($C$15-$C$14)/($D$15-$D$14)*(I624-$D$14))/2</f>
      </c>
      <c r="W624" s="7">
        <f>($B$22*I624^4+$C$22*I624^3+$D$22*I624^2+$E$22*I624+$F$22)/2</f>
      </c>
      <c r="X624" s="7">
        <f>($W624)*(T624)</f>
      </c>
      <c r="Y624" s="7">
        <f>($W624)*(U624)</f>
      </c>
      <c r="Z624" s="7">
        <f>SQRT(X624^2+Y624^2)</f>
      </c>
      <c r="AA624" s="7">
        <f>$K624+$X624</f>
      </c>
      <c r="AB624" s="7">
        <f>$L624+$Y624</f>
      </c>
      <c r="AC624" s="7">
        <f>$K624-$X624</f>
      </c>
      <c r="AD624" s="7">
        <f>$L624-$Y624</f>
      </c>
      <c r="AE624" s="7">
        <f>AA624/39.3701</f>
      </c>
      <c r="AF624" s="7">
        <f>AB624/39.3701</f>
      </c>
      <c r="AG624" s="7">
        <f>AC624/39.3701</f>
      </c>
      <c r="AH624" s="7">
        <f>AD624/39.3701</f>
      </c>
      <c r="AI624" s="1"/>
      <c r="AJ624" s="1"/>
      <c r="AK624" s="1"/>
      <c r="AL624" s="1"/>
      <c r="AM624" s="2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</row>
    <row x14ac:dyDescent="0.25" r="625" customHeight="1" ht="18.75">
      <c r="A625" s="1"/>
      <c r="B625" s="2"/>
      <c r="C625" s="2"/>
      <c r="D625" s="2"/>
      <c r="E625" s="2"/>
      <c r="F625" s="2"/>
      <c r="G625" s="1"/>
      <c r="H625" s="1"/>
      <c r="I625" s="7">
        <v>0.622</v>
      </c>
      <c r="J625" s="7">
        <f>IF((I625-ROUNDDOWN(I625,0))=0, 0, (I625-ROUNDDOWN(I625,0)))</f>
      </c>
      <c r="K625" s="7">
        <f>INDIRECT("C$"&amp;2+MIN(2,ROUNDDOWN(I625,0))*3)*(-$J625^3+3*$J625^2-3*$J625+1)+INDIRECT("C$"&amp;3+MIN(2,ROUNDDOWN(I625,0))*3)*(3*$J625^3-6*$J625^2+3*$J625)+INDIRECT("C$"&amp;4+MIN(2,ROUNDDOWN(I625,0))*3)*(-3*$J625^3+3*$J625^2)+INDIRECT("C$"&amp;5+MIN(2,ROUNDDOWN(I625,0))*3)*$J625^3</f>
      </c>
      <c r="L625" s="7">
        <f>INDIRECT("D$"&amp;2+MIN(2,ROUNDDOWN(I625,0))*3)*(-$J625^3+3*$J625^2-3*$J625+1)+INDIRECT("D$"&amp;3+MIN(2,ROUNDDOWN(I625,0))*3)*(3*$J625^3-6*$J625^2+3*$J625)+INDIRECT("D$"&amp;4+MIN(2,ROUNDDOWN(I625,0))*3)*(-3*$J625^3+3*$J625^2)+INDIRECT("D$"&amp;5+MIN(2,ROUNDDOWN(I625,0))*3)*$J625^3</f>
      </c>
      <c r="M625" s="7">
        <f>SQRT(K625^2+L625^2)</f>
      </c>
      <c r="N625" s="7">
        <f>(K626-K624)</f>
      </c>
      <c r="O625" s="7">
        <f>+(L626-L624)</f>
      </c>
      <c r="P625" s="7">
        <f>SQRT(O625^2+N625^2)</f>
      </c>
      <c r="Q625" s="7">
        <f>N625/$P625</f>
      </c>
      <c r="R625" s="7">
        <f>O625/$P625</f>
      </c>
      <c r="S625" s="8">
        <f>Q625^2+R625^2</f>
      </c>
      <c r="T625" s="7">
        <f>-R625</f>
      </c>
      <c r="U625" s="7">
        <f>Q625</f>
      </c>
      <c r="V625" s="7">
        <f>($C$14+($C$15-$C$14)/($D$15-$D$14)*(I625-$D$14))/2</f>
      </c>
      <c r="W625" s="7">
        <f>($B$22*I625^4+$C$22*I625^3+$D$22*I625^2+$E$22*I625+$F$22)/2</f>
      </c>
      <c r="X625" s="7">
        <f>($W625)*(T625)</f>
      </c>
      <c r="Y625" s="7">
        <f>($W625)*(U625)</f>
      </c>
      <c r="Z625" s="7">
        <f>SQRT(X625^2+Y625^2)</f>
      </c>
      <c r="AA625" s="7">
        <f>$K625+$X625</f>
      </c>
      <c r="AB625" s="7">
        <f>$L625+$Y625</f>
      </c>
      <c r="AC625" s="7">
        <f>$K625-$X625</f>
      </c>
      <c r="AD625" s="7">
        <f>$L625-$Y625</f>
      </c>
      <c r="AE625" s="7">
        <f>AA625/39.3701</f>
      </c>
      <c r="AF625" s="7">
        <f>AB625/39.3701</f>
      </c>
      <c r="AG625" s="7">
        <f>AC625/39.3701</f>
      </c>
      <c r="AH625" s="7">
        <f>AD625/39.3701</f>
      </c>
      <c r="AI625" s="1"/>
      <c r="AJ625" s="1"/>
      <c r="AK625" s="1"/>
      <c r="AL625" s="1"/>
      <c r="AM625" s="2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</row>
    <row x14ac:dyDescent="0.25" r="626" customHeight="1" ht="18.75">
      <c r="A626" s="1"/>
      <c r="B626" s="2"/>
      <c r="C626" s="2"/>
      <c r="D626" s="2"/>
      <c r="E626" s="2"/>
      <c r="F626" s="2"/>
      <c r="G626" s="1"/>
      <c r="H626" s="1"/>
      <c r="I626" s="7">
        <v>0.623</v>
      </c>
      <c r="J626" s="7">
        <f>IF((I626-ROUNDDOWN(I626,0))=0, 0, (I626-ROUNDDOWN(I626,0)))</f>
      </c>
      <c r="K626" s="7">
        <f>INDIRECT("C$"&amp;2+MIN(2,ROUNDDOWN(I626,0))*3)*(-$J626^3+3*$J626^2-3*$J626+1)+INDIRECT("C$"&amp;3+MIN(2,ROUNDDOWN(I626,0))*3)*(3*$J626^3-6*$J626^2+3*$J626)+INDIRECT("C$"&amp;4+MIN(2,ROUNDDOWN(I626,0))*3)*(-3*$J626^3+3*$J626^2)+INDIRECT("C$"&amp;5+MIN(2,ROUNDDOWN(I626,0))*3)*$J626^3</f>
      </c>
      <c r="L626" s="7">
        <f>INDIRECT("D$"&amp;2+MIN(2,ROUNDDOWN(I626,0))*3)*(-$J626^3+3*$J626^2-3*$J626+1)+INDIRECT("D$"&amp;3+MIN(2,ROUNDDOWN(I626,0))*3)*(3*$J626^3-6*$J626^2+3*$J626)+INDIRECT("D$"&amp;4+MIN(2,ROUNDDOWN(I626,0))*3)*(-3*$J626^3+3*$J626^2)+INDIRECT("D$"&amp;5+MIN(2,ROUNDDOWN(I626,0))*3)*$J626^3</f>
      </c>
      <c r="M626" s="7">
        <f>SQRT(K626^2+L626^2)</f>
      </c>
      <c r="N626" s="7">
        <f>(K627-K625)</f>
      </c>
      <c r="O626" s="7">
        <f>+(L627-L625)</f>
      </c>
      <c r="P626" s="7">
        <f>SQRT(O626^2+N626^2)</f>
      </c>
      <c r="Q626" s="7">
        <f>N626/$P626</f>
      </c>
      <c r="R626" s="7">
        <f>O626/$P626</f>
      </c>
      <c r="S626" s="8">
        <f>Q626^2+R626^2</f>
      </c>
      <c r="T626" s="7">
        <f>-R626</f>
      </c>
      <c r="U626" s="7">
        <f>Q626</f>
      </c>
      <c r="V626" s="7">
        <f>($C$14+($C$15-$C$14)/($D$15-$D$14)*(I626-$D$14))/2</f>
      </c>
      <c r="W626" s="7">
        <f>($B$22*I626^4+$C$22*I626^3+$D$22*I626^2+$E$22*I626+$F$22)/2</f>
      </c>
      <c r="X626" s="7">
        <f>($W626)*(T626)</f>
      </c>
      <c r="Y626" s="7">
        <f>($W626)*(U626)</f>
      </c>
      <c r="Z626" s="7">
        <f>SQRT(X626^2+Y626^2)</f>
      </c>
      <c r="AA626" s="7">
        <f>$K626+$X626</f>
      </c>
      <c r="AB626" s="7">
        <f>$L626+$Y626</f>
      </c>
      <c r="AC626" s="7">
        <f>$K626-$X626</f>
      </c>
      <c r="AD626" s="7">
        <f>$L626-$Y626</f>
      </c>
      <c r="AE626" s="7">
        <f>AA626/39.3701</f>
      </c>
      <c r="AF626" s="7">
        <f>AB626/39.3701</f>
      </c>
      <c r="AG626" s="7">
        <f>AC626/39.3701</f>
      </c>
      <c r="AH626" s="7">
        <f>AD626/39.3701</f>
      </c>
      <c r="AI626" s="1"/>
      <c r="AJ626" s="1"/>
      <c r="AK626" s="1"/>
      <c r="AL626" s="1"/>
      <c r="AM626" s="2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</row>
    <row x14ac:dyDescent="0.25" r="627" customHeight="1" ht="18.75">
      <c r="A627" s="1"/>
      <c r="B627" s="2"/>
      <c r="C627" s="2"/>
      <c r="D627" s="2"/>
      <c r="E627" s="2"/>
      <c r="F627" s="2"/>
      <c r="G627" s="1"/>
      <c r="H627" s="1"/>
      <c r="I627" s="7">
        <v>0.624</v>
      </c>
      <c r="J627" s="7">
        <f>IF((I627-ROUNDDOWN(I627,0))=0, 0, (I627-ROUNDDOWN(I627,0)))</f>
      </c>
      <c r="K627" s="7">
        <f>INDIRECT("C$"&amp;2+MIN(2,ROUNDDOWN(I627,0))*3)*(-$J627^3+3*$J627^2-3*$J627+1)+INDIRECT("C$"&amp;3+MIN(2,ROUNDDOWN(I627,0))*3)*(3*$J627^3-6*$J627^2+3*$J627)+INDIRECT("C$"&amp;4+MIN(2,ROUNDDOWN(I627,0))*3)*(-3*$J627^3+3*$J627^2)+INDIRECT("C$"&amp;5+MIN(2,ROUNDDOWN(I627,0))*3)*$J627^3</f>
      </c>
      <c r="L627" s="7">
        <f>INDIRECT("D$"&amp;2+MIN(2,ROUNDDOWN(I627,0))*3)*(-$J627^3+3*$J627^2-3*$J627+1)+INDIRECT("D$"&amp;3+MIN(2,ROUNDDOWN(I627,0))*3)*(3*$J627^3-6*$J627^2+3*$J627)+INDIRECT("D$"&amp;4+MIN(2,ROUNDDOWN(I627,0))*3)*(-3*$J627^3+3*$J627^2)+INDIRECT("D$"&amp;5+MIN(2,ROUNDDOWN(I627,0))*3)*$J627^3</f>
      </c>
      <c r="M627" s="7">
        <f>SQRT(K627^2+L627^2)</f>
      </c>
      <c r="N627" s="7">
        <f>(K628-K626)</f>
      </c>
      <c r="O627" s="7">
        <f>+(L628-L626)</f>
      </c>
      <c r="P627" s="7">
        <f>SQRT(O627^2+N627^2)</f>
      </c>
      <c r="Q627" s="7">
        <f>N627/$P627</f>
      </c>
      <c r="R627" s="7">
        <f>O627/$P627</f>
      </c>
      <c r="S627" s="8">
        <f>Q627^2+R627^2</f>
      </c>
      <c r="T627" s="7">
        <f>-R627</f>
      </c>
      <c r="U627" s="7">
        <f>Q627</f>
      </c>
      <c r="V627" s="7">
        <f>($C$14+($C$15-$C$14)/($D$15-$D$14)*(I627-$D$14))/2</f>
      </c>
      <c r="W627" s="7">
        <f>($B$22*I627^4+$C$22*I627^3+$D$22*I627^2+$E$22*I627+$F$22)/2</f>
      </c>
      <c r="X627" s="7">
        <f>($W627)*(T627)</f>
      </c>
      <c r="Y627" s="7">
        <f>($W627)*(U627)</f>
      </c>
      <c r="Z627" s="7">
        <f>SQRT(X627^2+Y627^2)</f>
      </c>
      <c r="AA627" s="7">
        <f>$K627+$X627</f>
      </c>
      <c r="AB627" s="7">
        <f>$L627+$Y627</f>
      </c>
      <c r="AC627" s="7">
        <f>$K627-$X627</f>
      </c>
      <c r="AD627" s="7">
        <f>$L627-$Y627</f>
      </c>
      <c r="AE627" s="7">
        <f>AA627/39.3701</f>
      </c>
      <c r="AF627" s="7">
        <f>AB627/39.3701</f>
      </c>
      <c r="AG627" s="7">
        <f>AC627/39.3701</f>
      </c>
      <c r="AH627" s="7">
        <f>AD627/39.3701</f>
      </c>
      <c r="AI627" s="1"/>
      <c r="AJ627" s="1"/>
      <c r="AK627" s="1"/>
      <c r="AL627" s="1"/>
      <c r="AM627" s="2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</row>
    <row x14ac:dyDescent="0.25" r="628" customHeight="1" ht="18.75">
      <c r="A628" s="1"/>
      <c r="B628" s="2"/>
      <c r="C628" s="2"/>
      <c r="D628" s="2"/>
      <c r="E628" s="2"/>
      <c r="F628" s="2"/>
      <c r="G628" s="1"/>
      <c r="H628" s="1"/>
      <c r="I628" s="7">
        <v>0.625</v>
      </c>
      <c r="J628" s="7">
        <f>IF((I628-ROUNDDOWN(I628,0))=0, 0, (I628-ROUNDDOWN(I628,0)))</f>
      </c>
      <c r="K628" s="7">
        <f>INDIRECT("C$"&amp;2+MIN(2,ROUNDDOWN(I628,0))*3)*(-$J628^3+3*$J628^2-3*$J628+1)+INDIRECT("C$"&amp;3+MIN(2,ROUNDDOWN(I628,0))*3)*(3*$J628^3-6*$J628^2+3*$J628)+INDIRECT("C$"&amp;4+MIN(2,ROUNDDOWN(I628,0))*3)*(-3*$J628^3+3*$J628^2)+INDIRECT("C$"&amp;5+MIN(2,ROUNDDOWN(I628,0))*3)*$J628^3</f>
      </c>
      <c r="L628" s="7">
        <f>INDIRECT("D$"&amp;2+MIN(2,ROUNDDOWN(I628,0))*3)*(-$J628^3+3*$J628^2-3*$J628+1)+INDIRECT("D$"&amp;3+MIN(2,ROUNDDOWN(I628,0))*3)*(3*$J628^3-6*$J628^2+3*$J628)+INDIRECT("D$"&amp;4+MIN(2,ROUNDDOWN(I628,0))*3)*(-3*$J628^3+3*$J628^2)+INDIRECT("D$"&amp;5+MIN(2,ROUNDDOWN(I628,0))*3)*$J628^3</f>
      </c>
      <c r="M628" s="7">
        <f>SQRT(K628^2+L628^2)</f>
      </c>
      <c r="N628" s="7">
        <f>(K629-K627)</f>
      </c>
      <c r="O628" s="7">
        <f>+(L629-L627)</f>
      </c>
      <c r="P628" s="7">
        <f>SQRT(O628^2+N628^2)</f>
      </c>
      <c r="Q628" s="7">
        <f>N628/$P628</f>
      </c>
      <c r="R628" s="7">
        <f>O628/$P628</f>
      </c>
      <c r="S628" s="8">
        <f>Q628^2+R628^2</f>
      </c>
      <c r="T628" s="7">
        <f>-R628</f>
      </c>
      <c r="U628" s="7">
        <f>Q628</f>
      </c>
      <c r="V628" s="7">
        <f>($C$14+($C$15-$C$14)/($D$15-$D$14)*(I628-$D$14))/2</f>
      </c>
      <c r="W628" s="7">
        <f>($B$22*I628^4+$C$22*I628^3+$D$22*I628^2+$E$22*I628+$F$22)/2</f>
      </c>
      <c r="X628" s="7">
        <f>($W628)*(T628)</f>
      </c>
      <c r="Y628" s="7">
        <f>($W628)*(U628)</f>
      </c>
      <c r="Z628" s="7">
        <f>SQRT(X628^2+Y628^2)</f>
      </c>
      <c r="AA628" s="7">
        <f>$K628+$X628</f>
      </c>
      <c r="AB628" s="7">
        <f>$L628+$Y628</f>
      </c>
      <c r="AC628" s="7">
        <f>$K628-$X628</f>
      </c>
      <c r="AD628" s="7">
        <f>$L628-$Y628</f>
      </c>
      <c r="AE628" s="7">
        <f>AA628/39.3701</f>
      </c>
      <c r="AF628" s="7">
        <f>AB628/39.3701</f>
      </c>
      <c r="AG628" s="7">
        <f>AC628/39.3701</f>
      </c>
      <c r="AH628" s="7">
        <f>AD628/39.3701</f>
      </c>
      <c r="AI628" s="1"/>
      <c r="AJ628" s="1"/>
      <c r="AK628" s="1"/>
      <c r="AL628" s="1"/>
      <c r="AM628" s="2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</row>
    <row x14ac:dyDescent="0.25" r="629" customHeight="1" ht="18.75">
      <c r="A629" s="1"/>
      <c r="B629" s="2"/>
      <c r="C629" s="2"/>
      <c r="D629" s="2"/>
      <c r="E629" s="2"/>
      <c r="F629" s="2"/>
      <c r="G629" s="1"/>
      <c r="H629" s="1"/>
      <c r="I629" s="7">
        <v>0.626</v>
      </c>
      <c r="J629" s="7">
        <f>IF((I629-ROUNDDOWN(I629,0))=0, 0, (I629-ROUNDDOWN(I629,0)))</f>
      </c>
      <c r="K629" s="7">
        <f>INDIRECT("C$"&amp;2+MIN(2,ROUNDDOWN(I629,0))*3)*(-$J629^3+3*$J629^2-3*$J629+1)+INDIRECT("C$"&amp;3+MIN(2,ROUNDDOWN(I629,0))*3)*(3*$J629^3-6*$J629^2+3*$J629)+INDIRECT("C$"&amp;4+MIN(2,ROUNDDOWN(I629,0))*3)*(-3*$J629^3+3*$J629^2)+INDIRECT("C$"&amp;5+MIN(2,ROUNDDOWN(I629,0))*3)*$J629^3</f>
      </c>
      <c r="L629" s="7">
        <f>INDIRECT("D$"&amp;2+MIN(2,ROUNDDOWN(I629,0))*3)*(-$J629^3+3*$J629^2-3*$J629+1)+INDIRECT("D$"&amp;3+MIN(2,ROUNDDOWN(I629,0))*3)*(3*$J629^3-6*$J629^2+3*$J629)+INDIRECT("D$"&amp;4+MIN(2,ROUNDDOWN(I629,0))*3)*(-3*$J629^3+3*$J629^2)+INDIRECT("D$"&amp;5+MIN(2,ROUNDDOWN(I629,0))*3)*$J629^3</f>
      </c>
      <c r="M629" s="7">
        <f>SQRT(K629^2+L629^2)</f>
      </c>
      <c r="N629" s="7">
        <f>(K630-K628)</f>
      </c>
      <c r="O629" s="7">
        <f>+(L630-L628)</f>
      </c>
      <c r="P629" s="7">
        <f>SQRT(O629^2+N629^2)</f>
      </c>
      <c r="Q629" s="7">
        <f>N629/$P629</f>
      </c>
      <c r="R629" s="7">
        <f>O629/$P629</f>
      </c>
      <c r="S629" s="8">
        <f>Q629^2+R629^2</f>
      </c>
      <c r="T629" s="7">
        <f>-R629</f>
      </c>
      <c r="U629" s="7">
        <f>Q629</f>
      </c>
      <c r="V629" s="7">
        <f>($C$14+($C$15-$C$14)/($D$15-$D$14)*(I629-$D$14))/2</f>
      </c>
      <c r="W629" s="7">
        <f>($B$22*I629^4+$C$22*I629^3+$D$22*I629^2+$E$22*I629+$F$22)/2</f>
      </c>
      <c r="X629" s="7">
        <f>($W629)*(T629)</f>
      </c>
      <c r="Y629" s="7">
        <f>($W629)*(U629)</f>
      </c>
      <c r="Z629" s="7">
        <f>SQRT(X629^2+Y629^2)</f>
      </c>
      <c r="AA629" s="7">
        <f>$K629+$X629</f>
      </c>
      <c r="AB629" s="7">
        <f>$L629+$Y629</f>
      </c>
      <c r="AC629" s="7">
        <f>$K629-$X629</f>
      </c>
      <c r="AD629" s="7">
        <f>$L629-$Y629</f>
      </c>
      <c r="AE629" s="7">
        <f>AA629/39.3701</f>
      </c>
      <c r="AF629" s="7">
        <f>AB629/39.3701</f>
      </c>
      <c r="AG629" s="7">
        <f>AC629/39.3701</f>
      </c>
      <c r="AH629" s="7">
        <f>AD629/39.3701</f>
      </c>
      <c r="AI629" s="1"/>
      <c r="AJ629" s="1"/>
      <c r="AK629" s="1"/>
      <c r="AL629" s="1"/>
      <c r="AM629" s="2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</row>
    <row x14ac:dyDescent="0.25" r="630" customHeight="1" ht="18.75">
      <c r="A630" s="1"/>
      <c r="B630" s="2"/>
      <c r="C630" s="2"/>
      <c r="D630" s="2"/>
      <c r="E630" s="2"/>
      <c r="F630" s="2"/>
      <c r="G630" s="1"/>
      <c r="H630" s="1"/>
      <c r="I630" s="7">
        <v>0.627</v>
      </c>
      <c r="J630" s="7">
        <f>IF((I630-ROUNDDOWN(I630,0))=0, 0, (I630-ROUNDDOWN(I630,0)))</f>
      </c>
      <c r="K630" s="7">
        <f>INDIRECT("C$"&amp;2+MIN(2,ROUNDDOWN(I630,0))*3)*(-$J630^3+3*$J630^2-3*$J630+1)+INDIRECT("C$"&amp;3+MIN(2,ROUNDDOWN(I630,0))*3)*(3*$J630^3-6*$J630^2+3*$J630)+INDIRECT("C$"&amp;4+MIN(2,ROUNDDOWN(I630,0))*3)*(-3*$J630^3+3*$J630^2)+INDIRECT("C$"&amp;5+MIN(2,ROUNDDOWN(I630,0))*3)*$J630^3</f>
      </c>
      <c r="L630" s="7">
        <f>INDIRECT("D$"&amp;2+MIN(2,ROUNDDOWN(I630,0))*3)*(-$J630^3+3*$J630^2-3*$J630+1)+INDIRECT("D$"&amp;3+MIN(2,ROUNDDOWN(I630,0))*3)*(3*$J630^3-6*$J630^2+3*$J630)+INDIRECT("D$"&amp;4+MIN(2,ROUNDDOWN(I630,0))*3)*(-3*$J630^3+3*$J630^2)+INDIRECT("D$"&amp;5+MIN(2,ROUNDDOWN(I630,0))*3)*$J630^3</f>
      </c>
      <c r="M630" s="7">
        <f>SQRT(K630^2+L630^2)</f>
      </c>
      <c r="N630" s="7">
        <f>(K631-K629)</f>
      </c>
      <c r="O630" s="7">
        <f>+(L631-L629)</f>
      </c>
      <c r="P630" s="7">
        <f>SQRT(O630^2+N630^2)</f>
      </c>
      <c r="Q630" s="7">
        <f>N630/$P630</f>
      </c>
      <c r="R630" s="7">
        <f>O630/$P630</f>
      </c>
      <c r="S630" s="8">
        <f>Q630^2+R630^2</f>
      </c>
      <c r="T630" s="7">
        <f>-R630</f>
      </c>
      <c r="U630" s="7">
        <f>Q630</f>
      </c>
      <c r="V630" s="7">
        <f>($C$14+($C$15-$C$14)/($D$15-$D$14)*(I630-$D$14))/2</f>
      </c>
      <c r="W630" s="7">
        <f>($B$22*I630^4+$C$22*I630^3+$D$22*I630^2+$E$22*I630+$F$22)/2</f>
      </c>
      <c r="X630" s="7">
        <f>($W630)*(T630)</f>
      </c>
      <c r="Y630" s="7">
        <f>($W630)*(U630)</f>
      </c>
      <c r="Z630" s="7">
        <f>SQRT(X630^2+Y630^2)</f>
      </c>
      <c r="AA630" s="7">
        <f>$K630+$X630</f>
      </c>
      <c r="AB630" s="7">
        <f>$L630+$Y630</f>
      </c>
      <c r="AC630" s="7">
        <f>$K630-$X630</f>
      </c>
      <c r="AD630" s="7">
        <f>$L630-$Y630</f>
      </c>
      <c r="AE630" s="7">
        <f>AA630/39.3701</f>
      </c>
      <c r="AF630" s="7">
        <f>AB630/39.3701</f>
      </c>
      <c r="AG630" s="7">
        <f>AC630/39.3701</f>
      </c>
      <c r="AH630" s="7">
        <f>AD630/39.3701</f>
      </c>
      <c r="AI630" s="1"/>
      <c r="AJ630" s="1"/>
      <c r="AK630" s="1"/>
      <c r="AL630" s="1"/>
      <c r="AM630" s="2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</row>
    <row x14ac:dyDescent="0.25" r="631" customHeight="1" ht="18.75">
      <c r="A631" s="1"/>
      <c r="B631" s="2"/>
      <c r="C631" s="2"/>
      <c r="D631" s="2"/>
      <c r="E631" s="2"/>
      <c r="F631" s="2"/>
      <c r="G631" s="1"/>
      <c r="H631" s="1"/>
      <c r="I631" s="7">
        <v>0.628</v>
      </c>
      <c r="J631" s="7">
        <f>IF((I631-ROUNDDOWN(I631,0))=0, 0, (I631-ROUNDDOWN(I631,0)))</f>
      </c>
      <c r="K631" s="7">
        <f>INDIRECT("C$"&amp;2+MIN(2,ROUNDDOWN(I631,0))*3)*(-$J631^3+3*$J631^2-3*$J631+1)+INDIRECT("C$"&amp;3+MIN(2,ROUNDDOWN(I631,0))*3)*(3*$J631^3-6*$J631^2+3*$J631)+INDIRECT("C$"&amp;4+MIN(2,ROUNDDOWN(I631,0))*3)*(-3*$J631^3+3*$J631^2)+INDIRECT("C$"&amp;5+MIN(2,ROUNDDOWN(I631,0))*3)*$J631^3</f>
      </c>
      <c r="L631" s="7">
        <f>INDIRECT("D$"&amp;2+MIN(2,ROUNDDOWN(I631,0))*3)*(-$J631^3+3*$J631^2-3*$J631+1)+INDIRECT("D$"&amp;3+MIN(2,ROUNDDOWN(I631,0))*3)*(3*$J631^3-6*$J631^2+3*$J631)+INDIRECT("D$"&amp;4+MIN(2,ROUNDDOWN(I631,0))*3)*(-3*$J631^3+3*$J631^2)+INDIRECT("D$"&amp;5+MIN(2,ROUNDDOWN(I631,0))*3)*$J631^3</f>
      </c>
      <c r="M631" s="7">
        <f>SQRT(K631^2+L631^2)</f>
      </c>
      <c r="N631" s="7">
        <f>(K632-K630)</f>
      </c>
      <c r="O631" s="7">
        <f>+(L632-L630)</f>
      </c>
      <c r="P631" s="7">
        <f>SQRT(O631^2+N631^2)</f>
      </c>
      <c r="Q631" s="7">
        <f>N631/$P631</f>
      </c>
      <c r="R631" s="7">
        <f>O631/$P631</f>
      </c>
      <c r="S631" s="8">
        <f>Q631^2+R631^2</f>
      </c>
      <c r="T631" s="7">
        <f>-R631</f>
      </c>
      <c r="U631" s="7">
        <f>Q631</f>
      </c>
      <c r="V631" s="7">
        <f>($C$14+($C$15-$C$14)/($D$15-$D$14)*(I631-$D$14))/2</f>
      </c>
      <c r="W631" s="7">
        <f>($B$22*I631^4+$C$22*I631^3+$D$22*I631^2+$E$22*I631+$F$22)/2</f>
      </c>
      <c r="X631" s="7">
        <f>($W631)*(T631)</f>
      </c>
      <c r="Y631" s="7">
        <f>($W631)*(U631)</f>
      </c>
      <c r="Z631" s="7">
        <f>SQRT(X631^2+Y631^2)</f>
      </c>
      <c r="AA631" s="7">
        <f>$K631+$X631</f>
      </c>
      <c r="AB631" s="7">
        <f>$L631+$Y631</f>
      </c>
      <c r="AC631" s="7">
        <f>$K631-$X631</f>
      </c>
      <c r="AD631" s="7">
        <f>$L631-$Y631</f>
      </c>
      <c r="AE631" s="7">
        <f>AA631/39.3701</f>
      </c>
      <c r="AF631" s="7">
        <f>AB631/39.3701</f>
      </c>
      <c r="AG631" s="7">
        <f>AC631/39.3701</f>
      </c>
      <c r="AH631" s="7">
        <f>AD631/39.3701</f>
      </c>
      <c r="AI631" s="1"/>
      <c r="AJ631" s="1"/>
      <c r="AK631" s="1"/>
      <c r="AL631" s="1"/>
      <c r="AM631" s="2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</row>
    <row x14ac:dyDescent="0.25" r="632" customHeight="1" ht="18.75">
      <c r="A632" s="1"/>
      <c r="B632" s="2"/>
      <c r="C632" s="2"/>
      <c r="D632" s="2"/>
      <c r="E632" s="2"/>
      <c r="F632" s="2"/>
      <c r="G632" s="1"/>
      <c r="H632" s="1"/>
      <c r="I632" s="7">
        <v>0.629</v>
      </c>
      <c r="J632" s="7">
        <f>IF((I632-ROUNDDOWN(I632,0))=0, 0, (I632-ROUNDDOWN(I632,0)))</f>
      </c>
      <c r="K632" s="7">
        <f>INDIRECT("C$"&amp;2+MIN(2,ROUNDDOWN(I632,0))*3)*(-$J632^3+3*$J632^2-3*$J632+1)+INDIRECT("C$"&amp;3+MIN(2,ROUNDDOWN(I632,0))*3)*(3*$J632^3-6*$J632^2+3*$J632)+INDIRECT("C$"&amp;4+MIN(2,ROUNDDOWN(I632,0))*3)*(-3*$J632^3+3*$J632^2)+INDIRECT("C$"&amp;5+MIN(2,ROUNDDOWN(I632,0))*3)*$J632^3</f>
      </c>
      <c r="L632" s="7">
        <f>INDIRECT("D$"&amp;2+MIN(2,ROUNDDOWN(I632,0))*3)*(-$J632^3+3*$J632^2-3*$J632+1)+INDIRECT("D$"&amp;3+MIN(2,ROUNDDOWN(I632,0))*3)*(3*$J632^3-6*$J632^2+3*$J632)+INDIRECT("D$"&amp;4+MIN(2,ROUNDDOWN(I632,0))*3)*(-3*$J632^3+3*$J632^2)+INDIRECT("D$"&amp;5+MIN(2,ROUNDDOWN(I632,0))*3)*$J632^3</f>
      </c>
      <c r="M632" s="7">
        <f>SQRT(K632^2+L632^2)</f>
      </c>
      <c r="N632" s="7">
        <f>(K633-K631)</f>
      </c>
      <c r="O632" s="7">
        <f>+(L633-L631)</f>
      </c>
      <c r="P632" s="7">
        <f>SQRT(O632^2+N632^2)</f>
      </c>
      <c r="Q632" s="7">
        <f>N632/$P632</f>
      </c>
      <c r="R632" s="7">
        <f>O632/$P632</f>
      </c>
      <c r="S632" s="8">
        <f>Q632^2+R632^2</f>
      </c>
      <c r="T632" s="7">
        <f>-R632</f>
      </c>
      <c r="U632" s="7">
        <f>Q632</f>
      </c>
      <c r="V632" s="7">
        <f>($C$14+($C$15-$C$14)/($D$15-$D$14)*(I632-$D$14))/2</f>
      </c>
      <c r="W632" s="7">
        <f>($B$22*I632^4+$C$22*I632^3+$D$22*I632^2+$E$22*I632+$F$22)/2</f>
      </c>
      <c r="X632" s="7">
        <f>($W632)*(T632)</f>
      </c>
      <c r="Y632" s="7">
        <f>($W632)*(U632)</f>
      </c>
      <c r="Z632" s="7">
        <f>SQRT(X632^2+Y632^2)</f>
      </c>
      <c r="AA632" s="7">
        <f>$K632+$X632</f>
      </c>
      <c r="AB632" s="7">
        <f>$L632+$Y632</f>
      </c>
      <c r="AC632" s="7">
        <f>$K632-$X632</f>
      </c>
      <c r="AD632" s="7">
        <f>$L632-$Y632</f>
      </c>
      <c r="AE632" s="7">
        <f>AA632/39.3701</f>
      </c>
      <c r="AF632" s="7">
        <f>AB632/39.3701</f>
      </c>
      <c r="AG632" s="7">
        <f>AC632/39.3701</f>
      </c>
      <c r="AH632" s="7">
        <f>AD632/39.3701</f>
      </c>
      <c r="AI632" s="1"/>
      <c r="AJ632" s="1"/>
      <c r="AK632" s="1"/>
      <c r="AL632" s="1"/>
      <c r="AM632" s="2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</row>
    <row x14ac:dyDescent="0.25" r="633" customHeight="1" ht="18.75">
      <c r="A633" s="1"/>
      <c r="B633" s="2"/>
      <c r="C633" s="2"/>
      <c r="D633" s="2"/>
      <c r="E633" s="2"/>
      <c r="F633" s="2"/>
      <c r="G633" s="1"/>
      <c r="H633" s="1"/>
      <c r="I633" s="7">
        <v>0.63</v>
      </c>
      <c r="J633" s="7">
        <f>IF((I633-ROUNDDOWN(I633,0))=0, 0, (I633-ROUNDDOWN(I633,0)))</f>
      </c>
      <c r="K633" s="7">
        <f>INDIRECT("C$"&amp;2+MIN(2,ROUNDDOWN(I633,0))*3)*(-$J633^3+3*$J633^2-3*$J633+1)+INDIRECT("C$"&amp;3+MIN(2,ROUNDDOWN(I633,0))*3)*(3*$J633^3-6*$J633^2+3*$J633)+INDIRECT("C$"&amp;4+MIN(2,ROUNDDOWN(I633,0))*3)*(-3*$J633^3+3*$J633^2)+INDIRECT("C$"&amp;5+MIN(2,ROUNDDOWN(I633,0))*3)*$J633^3</f>
      </c>
      <c r="L633" s="7">
        <f>INDIRECT("D$"&amp;2+MIN(2,ROUNDDOWN(I633,0))*3)*(-$J633^3+3*$J633^2-3*$J633+1)+INDIRECT("D$"&amp;3+MIN(2,ROUNDDOWN(I633,0))*3)*(3*$J633^3-6*$J633^2+3*$J633)+INDIRECT("D$"&amp;4+MIN(2,ROUNDDOWN(I633,0))*3)*(-3*$J633^3+3*$J633^2)+INDIRECT("D$"&amp;5+MIN(2,ROUNDDOWN(I633,0))*3)*$J633^3</f>
      </c>
      <c r="M633" s="7">
        <f>SQRT(K633^2+L633^2)</f>
      </c>
      <c r="N633" s="7">
        <f>(K634-K632)</f>
      </c>
      <c r="O633" s="7">
        <f>+(L634-L632)</f>
      </c>
      <c r="P633" s="7">
        <f>SQRT(O633^2+N633^2)</f>
      </c>
      <c r="Q633" s="7">
        <f>N633/$P633</f>
      </c>
      <c r="R633" s="7">
        <f>O633/$P633</f>
      </c>
      <c r="S633" s="7">
        <f>Q633^2+R633^2</f>
      </c>
      <c r="T633" s="7">
        <f>-R633</f>
      </c>
      <c r="U633" s="7">
        <f>Q633</f>
      </c>
      <c r="V633" s="7">
        <f>($C$14+($C$15-$C$14)/($D$15-$D$14)*(I633-$D$14))/2</f>
      </c>
      <c r="W633" s="7">
        <f>($B$22*I633^4+$C$22*I633^3+$D$22*I633^2+$E$22*I633+$F$22)/2</f>
      </c>
      <c r="X633" s="7">
        <f>($W633)*(T633)</f>
      </c>
      <c r="Y633" s="7">
        <f>($W633)*(U633)</f>
      </c>
      <c r="Z633" s="7">
        <f>SQRT(X633^2+Y633^2)</f>
      </c>
      <c r="AA633" s="7">
        <f>$K633+$X633</f>
      </c>
      <c r="AB633" s="7">
        <f>$L633+$Y633</f>
      </c>
      <c r="AC633" s="7">
        <f>$K633-$X633</f>
      </c>
      <c r="AD633" s="7">
        <f>$L633-$Y633</f>
      </c>
      <c r="AE633" s="7">
        <f>AA633/39.3701</f>
      </c>
      <c r="AF633" s="7">
        <f>AB633/39.3701</f>
      </c>
      <c r="AG633" s="7">
        <f>AC633/39.3701</f>
      </c>
      <c r="AH633" s="7">
        <f>AD633/39.3701</f>
      </c>
      <c r="AI633" s="1"/>
      <c r="AJ633" s="1"/>
      <c r="AK633" s="1"/>
      <c r="AL633" s="1"/>
      <c r="AM633" s="2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</row>
    <row x14ac:dyDescent="0.25" r="634" customHeight="1" ht="18.75">
      <c r="A634" s="1"/>
      <c r="B634" s="2"/>
      <c r="C634" s="2"/>
      <c r="D634" s="2"/>
      <c r="E634" s="2"/>
      <c r="F634" s="2"/>
      <c r="G634" s="1"/>
      <c r="H634" s="1"/>
      <c r="I634" s="7">
        <v>0.631</v>
      </c>
      <c r="J634" s="7">
        <f>IF((I634-ROUNDDOWN(I634,0))=0, 0, (I634-ROUNDDOWN(I634,0)))</f>
      </c>
      <c r="K634" s="7">
        <f>INDIRECT("C$"&amp;2+MIN(2,ROUNDDOWN(I634,0))*3)*(-$J634^3+3*$J634^2-3*$J634+1)+INDIRECT("C$"&amp;3+MIN(2,ROUNDDOWN(I634,0))*3)*(3*$J634^3-6*$J634^2+3*$J634)+INDIRECT("C$"&amp;4+MIN(2,ROUNDDOWN(I634,0))*3)*(-3*$J634^3+3*$J634^2)+INDIRECT("C$"&amp;5+MIN(2,ROUNDDOWN(I634,0))*3)*$J634^3</f>
      </c>
      <c r="L634" s="7">
        <f>INDIRECT("D$"&amp;2+MIN(2,ROUNDDOWN(I634,0))*3)*(-$J634^3+3*$J634^2-3*$J634+1)+INDIRECT("D$"&amp;3+MIN(2,ROUNDDOWN(I634,0))*3)*(3*$J634^3-6*$J634^2+3*$J634)+INDIRECT("D$"&amp;4+MIN(2,ROUNDDOWN(I634,0))*3)*(-3*$J634^3+3*$J634^2)+INDIRECT("D$"&amp;5+MIN(2,ROUNDDOWN(I634,0))*3)*$J634^3</f>
      </c>
      <c r="M634" s="7">
        <f>SQRT(K634^2+L634^2)</f>
      </c>
      <c r="N634" s="7">
        <f>(K635-K633)</f>
      </c>
      <c r="O634" s="7">
        <f>+(L635-L633)</f>
      </c>
      <c r="P634" s="7">
        <f>SQRT(O634^2+N634^2)</f>
      </c>
      <c r="Q634" s="7">
        <f>N634/$P634</f>
      </c>
      <c r="R634" s="7">
        <f>O634/$P634</f>
      </c>
      <c r="S634" s="8">
        <f>Q634^2+R634^2</f>
      </c>
      <c r="T634" s="7">
        <f>-R634</f>
      </c>
      <c r="U634" s="7">
        <f>Q634</f>
      </c>
      <c r="V634" s="7">
        <f>($C$14+($C$15-$C$14)/($D$15-$D$14)*(I634-$D$14))/2</f>
      </c>
      <c r="W634" s="7">
        <f>($B$22*I634^4+$C$22*I634^3+$D$22*I634^2+$E$22*I634+$F$22)/2</f>
      </c>
      <c r="X634" s="7">
        <f>($W634)*(T634)</f>
      </c>
      <c r="Y634" s="7">
        <f>($W634)*(U634)</f>
      </c>
      <c r="Z634" s="7">
        <f>SQRT(X634^2+Y634^2)</f>
      </c>
      <c r="AA634" s="7">
        <f>$K634+$X634</f>
      </c>
      <c r="AB634" s="7">
        <f>$L634+$Y634</f>
      </c>
      <c r="AC634" s="7">
        <f>$K634-$X634</f>
      </c>
      <c r="AD634" s="7">
        <f>$L634-$Y634</f>
      </c>
      <c r="AE634" s="7">
        <f>AA634/39.3701</f>
      </c>
      <c r="AF634" s="7">
        <f>AB634/39.3701</f>
      </c>
      <c r="AG634" s="7">
        <f>AC634/39.3701</f>
      </c>
      <c r="AH634" s="7">
        <f>AD634/39.3701</f>
      </c>
      <c r="AI634" s="1"/>
      <c r="AJ634" s="1"/>
      <c r="AK634" s="1"/>
      <c r="AL634" s="1"/>
      <c r="AM634" s="2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</row>
    <row x14ac:dyDescent="0.25" r="635" customHeight="1" ht="18.75">
      <c r="A635" s="1"/>
      <c r="B635" s="2"/>
      <c r="C635" s="2"/>
      <c r="D635" s="2"/>
      <c r="E635" s="2"/>
      <c r="F635" s="2"/>
      <c r="G635" s="1"/>
      <c r="H635" s="1"/>
      <c r="I635" s="7">
        <v>0.632</v>
      </c>
      <c r="J635" s="7">
        <f>IF((I635-ROUNDDOWN(I635,0))=0, 0, (I635-ROUNDDOWN(I635,0)))</f>
      </c>
      <c r="K635" s="7">
        <f>INDIRECT("C$"&amp;2+MIN(2,ROUNDDOWN(I635,0))*3)*(-$J635^3+3*$J635^2-3*$J635+1)+INDIRECT("C$"&amp;3+MIN(2,ROUNDDOWN(I635,0))*3)*(3*$J635^3-6*$J635^2+3*$J635)+INDIRECT("C$"&amp;4+MIN(2,ROUNDDOWN(I635,0))*3)*(-3*$J635^3+3*$J635^2)+INDIRECT("C$"&amp;5+MIN(2,ROUNDDOWN(I635,0))*3)*$J635^3</f>
      </c>
      <c r="L635" s="7">
        <f>INDIRECT("D$"&amp;2+MIN(2,ROUNDDOWN(I635,0))*3)*(-$J635^3+3*$J635^2-3*$J635+1)+INDIRECT("D$"&amp;3+MIN(2,ROUNDDOWN(I635,0))*3)*(3*$J635^3-6*$J635^2+3*$J635)+INDIRECT("D$"&amp;4+MIN(2,ROUNDDOWN(I635,0))*3)*(-3*$J635^3+3*$J635^2)+INDIRECT("D$"&amp;5+MIN(2,ROUNDDOWN(I635,0))*3)*$J635^3</f>
      </c>
      <c r="M635" s="7">
        <f>SQRT(K635^2+L635^2)</f>
      </c>
      <c r="N635" s="7">
        <f>(K636-K634)</f>
      </c>
      <c r="O635" s="7">
        <f>+(L636-L634)</f>
      </c>
      <c r="P635" s="7">
        <f>SQRT(O635^2+N635^2)</f>
      </c>
      <c r="Q635" s="7">
        <f>N635/$P635</f>
      </c>
      <c r="R635" s="7">
        <f>O635/$P635</f>
      </c>
      <c r="S635" s="8">
        <f>Q635^2+R635^2</f>
      </c>
      <c r="T635" s="7">
        <f>-R635</f>
      </c>
      <c r="U635" s="7">
        <f>Q635</f>
      </c>
      <c r="V635" s="7">
        <f>($C$14+($C$15-$C$14)/($D$15-$D$14)*(I635-$D$14))/2</f>
      </c>
      <c r="W635" s="7">
        <f>($B$22*I635^4+$C$22*I635^3+$D$22*I635^2+$E$22*I635+$F$22)/2</f>
      </c>
      <c r="X635" s="7">
        <f>($W635)*(T635)</f>
      </c>
      <c r="Y635" s="7">
        <f>($W635)*(U635)</f>
      </c>
      <c r="Z635" s="7">
        <f>SQRT(X635^2+Y635^2)</f>
      </c>
      <c r="AA635" s="7">
        <f>$K635+$X635</f>
      </c>
      <c r="AB635" s="7">
        <f>$L635+$Y635</f>
      </c>
      <c r="AC635" s="7">
        <f>$K635-$X635</f>
      </c>
      <c r="AD635" s="7">
        <f>$L635-$Y635</f>
      </c>
      <c r="AE635" s="7">
        <f>AA635/39.3701</f>
      </c>
      <c r="AF635" s="7">
        <f>AB635/39.3701</f>
      </c>
      <c r="AG635" s="7">
        <f>AC635/39.3701</f>
      </c>
      <c r="AH635" s="7">
        <f>AD635/39.3701</f>
      </c>
      <c r="AI635" s="1"/>
      <c r="AJ635" s="1"/>
      <c r="AK635" s="1"/>
      <c r="AL635" s="1"/>
      <c r="AM635" s="2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</row>
    <row x14ac:dyDescent="0.25" r="636" customHeight="1" ht="18.75">
      <c r="A636" s="1"/>
      <c r="B636" s="2"/>
      <c r="C636" s="2"/>
      <c r="D636" s="2"/>
      <c r="E636" s="2"/>
      <c r="F636" s="2"/>
      <c r="G636" s="1"/>
      <c r="H636" s="1"/>
      <c r="I636" s="7">
        <v>0.633</v>
      </c>
      <c r="J636" s="7">
        <f>IF((I636-ROUNDDOWN(I636,0))=0, 0, (I636-ROUNDDOWN(I636,0)))</f>
      </c>
      <c r="K636" s="7">
        <f>INDIRECT("C$"&amp;2+MIN(2,ROUNDDOWN(I636,0))*3)*(-$J636^3+3*$J636^2-3*$J636+1)+INDIRECT("C$"&amp;3+MIN(2,ROUNDDOWN(I636,0))*3)*(3*$J636^3-6*$J636^2+3*$J636)+INDIRECT("C$"&amp;4+MIN(2,ROUNDDOWN(I636,0))*3)*(-3*$J636^3+3*$J636^2)+INDIRECT("C$"&amp;5+MIN(2,ROUNDDOWN(I636,0))*3)*$J636^3</f>
      </c>
      <c r="L636" s="7">
        <f>INDIRECT("D$"&amp;2+MIN(2,ROUNDDOWN(I636,0))*3)*(-$J636^3+3*$J636^2-3*$J636+1)+INDIRECT("D$"&amp;3+MIN(2,ROUNDDOWN(I636,0))*3)*(3*$J636^3-6*$J636^2+3*$J636)+INDIRECT("D$"&amp;4+MIN(2,ROUNDDOWN(I636,0))*3)*(-3*$J636^3+3*$J636^2)+INDIRECT("D$"&amp;5+MIN(2,ROUNDDOWN(I636,0))*3)*$J636^3</f>
      </c>
      <c r="M636" s="7">
        <f>SQRT(K636^2+L636^2)</f>
      </c>
      <c r="N636" s="7">
        <f>(K637-K635)</f>
      </c>
      <c r="O636" s="7">
        <f>+(L637-L635)</f>
      </c>
      <c r="P636" s="7">
        <f>SQRT(O636^2+N636^2)</f>
      </c>
      <c r="Q636" s="7">
        <f>N636/$P636</f>
      </c>
      <c r="R636" s="7">
        <f>O636/$P636</f>
      </c>
      <c r="S636" s="8">
        <f>Q636^2+R636^2</f>
      </c>
      <c r="T636" s="7">
        <f>-R636</f>
      </c>
      <c r="U636" s="7">
        <f>Q636</f>
      </c>
      <c r="V636" s="7">
        <f>($C$14+($C$15-$C$14)/($D$15-$D$14)*(I636-$D$14))/2</f>
      </c>
      <c r="W636" s="7">
        <f>($B$22*I636^4+$C$22*I636^3+$D$22*I636^2+$E$22*I636+$F$22)/2</f>
      </c>
      <c r="X636" s="7">
        <f>($W636)*(T636)</f>
      </c>
      <c r="Y636" s="7">
        <f>($W636)*(U636)</f>
      </c>
      <c r="Z636" s="7">
        <f>SQRT(X636^2+Y636^2)</f>
      </c>
      <c r="AA636" s="7">
        <f>$K636+$X636</f>
      </c>
      <c r="AB636" s="7">
        <f>$L636+$Y636</f>
      </c>
      <c r="AC636" s="7">
        <f>$K636-$X636</f>
      </c>
      <c r="AD636" s="7">
        <f>$L636-$Y636</f>
      </c>
      <c r="AE636" s="7">
        <f>AA636/39.3701</f>
      </c>
      <c r="AF636" s="7">
        <f>AB636/39.3701</f>
      </c>
      <c r="AG636" s="7">
        <f>AC636/39.3701</f>
      </c>
      <c r="AH636" s="7">
        <f>AD636/39.3701</f>
      </c>
      <c r="AI636" s="1"/>
      <c r="AJ636" s="1"/>
      <c r="AK636" s="1"/>
      <c r="AL636" s="1"/>
      <c r="AM636" s="2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</row>
    <row x14ac:dyDescent="0.25" r="637" customHeight="1" ht="18.75">
      <c r="A637" s="1"/>
      <c r="B637" s="2"/>
      <c r="C637" s="2"/>
      <c r="D637" s="2"/>
      <c r="E637" s="2"/>
      <c r="F637" s="2"/>
      <c r="G637" s="1"/>
      <c r="H637" s="1"/>
      <c r="I637" s="7">
        <v>0.634</v>
      </c>
      <c r="J637" s="7">
        <f>IF((I637-ROUNDDOWN(I637,0))=0, 0, (I637-ROUNDDOWN(I637,0)))</f>
      </c>
      <c r="K637" s="7">
        <f>INDIRECT("C$"&amp;2+MIN(2,ROUNDDOWN(I637,0))*3)*(-$J637^3+3*$J637^2-3*$J637+1)+INDIRECT("C$"&amp;3+MIN(2,ROUNDDOWN(I637,0))*3)*(3*$J637^3-6*$J637^2+3*$J637)+INDIRECT("C$"&amp;4+MIN(2,ROUNDDOWN(I637,0))*3)*(-3*$J637^3+3*$J637^2)+INDIRECT("C$"&amp;5+MIN(2,ROUNDDOWN(I637,0))*3)*$J637^3</f>
      </c>
      <c r="L637" s="7">
        <f>INDIRECT("D$"&amp;2+MIN(2,ROUNDDOWN(I637,0))*3)*(-$J637^3+3*$J637^2-3*$J637+1)+INDIRECT("D$"&amp;3+MIN(2,ROUNDDOWN(I637,0))*3)*(3*$J637^3-6*$J637^2+3*$J637)+INDIRECT("D$"&amp;4+MIN(2,ROUNDDOWN(I637,0))*3)*(-3*$J637^3+3*$J637^2)+INDIRECT("D$"&amp;5+MIN(2,ROUNDDOWN(I637,0))*3)*$J637^3</f>
      </c>
      <c r="M637" s="7">
        <f>SQRT(K637^2+L637^2)</f>
      </c>
      <c r="N637" s="7">
        <f>(K638-K636)</f>
      </c>
      <c r="O637" s="7">
        <f>+(L638-L636)</f>
      </c>
      <c r="P637" s="7">
        <f>SQRT(O637^2+N637^2)</f>
      </c>
      <c r="Q637" s="7">
        <f>N637/$P637</f>
      </c>
      <c r="R637" s="7">
        <f>O637/$P637</f>
      </c>
      <c r="S637" s="8">
        <f>Q637^2+R637^2</f>
      </c>
      <c r="T637" s="7">
        <f>-R637</f>
      </c>
      <c r="U637" s="7">
        <f>Q637</f>
      </c>
      <c r="V637" s="7">
        <f>($C$14+($C$15-$C$14)/($D$15-$D$14)*(I637-$D$14))/2</f>
      </c>
      <c r="W637" s="7">
        <f>($B$22*I637^4+$C$22*I637^3+$D$22*I637^2+$E$22*I637+$F$22)/2</f>
      </c>
      <c r="X637" s="7">
        <f>($W637)*(T637)</f>
      </c>
      <c r="Y637" s="7">
        <f>($W637)*(U637)</f>
      </c>
      <c r="Z637" s="7">
        <f>SQRT(X637^2+Y637^2)</f>
      </c>
      <c r="AA637" s="7">
        <f>$K637+$X637</f>
      </c>
      <c r="AB637" s="7">
        <f>$L637+$Y637</f>
      </c>
      <c r="AC637" s="7">
        <f>$K637-$X637</f>
      </c>
      <c r="AD637" s="7">
        <f>$L637-$Y637</f>
      </c>
      <c r="AE637" s="7">
        <f>AA637/39.3701</f>
      </c>
      <c r="AF637" s="7">
        <f>AB637/39.3701</f>
      </c>
      <c r="AG637" s="7">
        <f>AC637/39.3701</f>
      </c>
      <c r="AH637" s="7">
        <f>AD637/39.3701</f>
      </c>
      <c r="AI637" s="1"/>
      <c r="AJ637" s="1"/>
      <c r="AK637" s="1"/>
      <c r="AL637" s="1"/>
      <c r="AM637" s="2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</row>
    <row x14ac:dyDescent="0.25" r="638" customHeight="1" ht="18.75">
      <c r="A638" s="1"/>
      <c r="B638" s="2"/>
      <c r="C638" s="2"/>
      <c r="D638" s="2"/>
      <c r="E638" s="2"/>
      <c r="F638" s="2"/>
      <c r="G638" s="1"/>
      <c r="H638" s="1"/>
      <c r="I638" s="7">
        <v>0.635</v>
      </c>
      <c r="J638" s="7">
        <f>IF((I638-ROUNDDOWN(I638,0))=0, 0, (I638-ROUNDDOWN(I638,0)))</f>
      </c>
      <c r="K638" s="7">
        <f>INDIRECT("C$"&amp;2+MIN(2,ROUNDDOWN(I638,0))*3)*(-$J638^3+3*$J638^2-3*$J638+1)+INDIRECT("C$"&amp;3+MIN(2,ROUNDDOWN(I638,0))*3)*(3*$J638^3-6*$J638^2+3*$J638)+INDIRECT("C$"&amp;4+MIN(2,ROUNDDOWN(I638,0))*3)*(-3*$J638^3+3*$J638^2)+INDIRECT("C$"&amp;5+MIN(2,ROUNDDOWN(I638,0))*3)*$J638^3</f>
      </c>
      <c r="L638" s="7">
        <f>INDIRECT("D$"&amp;2+MIN(2,ROUNDDOWN(I638,0))*3)*(-$J638^3+3*$J638^2-3*$J638+1)+INDIRECT("D$"&amp;3+MIN(2,ROUNDDOWN(I638,0))*3)*(3*$J638^3-6*$J638^2+3*$J638)+INDIRECT("D$"&amp;4+MIN(2,ROUNDDOWN(I638,0))*3)*(-3*$J638^3+3*$J638^2)+INDIRECT("D$"&amp;5+MIN(2,ROUNDDOWN(I638,0))*3)*$J638^3</f>
      </c>
      <c r="M638" s="7">
        <f>SQRT(K638^2+L638^2)</f>
      </c>
      <c r="N638" s="7">
        <f>(K639-K637)</f>
      </c>
      <c r="O638" s="7">
        <f>+(L639-L637)</f>
      </c>
      <c r="P638" s="7">
        <f>SQRT(O638^2+N638^2)</f>
      </c>
      <c r="Q638" s="7">
        <f>N638/$P638</f>
      </c>
      <c r="R638" s="7">
        <f>O638/$P638</f>
      </c>
      <c r="S638" s="8">
        <f>Q638^2+R638^2</f>
      </c>
      <c r="T638" s="7">
        <f>-R638</f>
      </c>
      <c r="U638" s="7">
        <f>Q638</f>
      </c>
      <c r="V638" s="7">
        <f>($C$14+($C$15-$C$14)/($D$15-$D$14)*(I638-$D$14))/2</f>
      </c>
      <c r="W638" s="7">
        <f>($B$22*I638^4+$C$22*I638^3+$D$22*I638^2+$E$22*I638+$F$22)/2</f>
      </c>
      <c r="X638" s="7">
        <f>($W638)*(T638)</f>
      </c>
      <c r="Y638" s="7">
        <f>($W638)*(U638)</f>
      </c>
      <c r="Z638" s="7">
        <f>SQRT(X638^2+Y638^2)</f>
      </c>
      <c r="AA638" s="7">
        <f>$K638+$X638</f>
      </c>
      <c r="AB638" s="7">
        <f>$L638+$Y638</f>
      </c>
      <c r="AC638" s="7">
        <f>$K638-$X638</f>
      </c>
      <c r="AD638" s="7">
        <f>$L638-$Y638</f>
      </c>
      <c r="AE638" s="7">
        <f>AA638/39.3701</f>
      </c>
      <c r="AF638" s="7">
        <f>AB638/39.3701</f>
      </c>
      <c r="AG638" s="7">
        <f>AC638/39.3701</f>
      </c>
      <c r="AH638" s="7">
        <f>AD638/39.3701</f>
      </c>
      <c r="AI638" s="1"/>
      <c r="AJ638" s="1"/>
      <c r="AK638" s="1"/>
      <c r="AL638" s="1"/>
      <c r="AM638" s="2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</row>
    <row x14ac:dyDescent="0.25" r="639" customHeight="1" ht="18.75">
      <c r="A639" s="1"/>
      <c r="B639" s="2"/>
      <c r="C639" s="2"/>
      <c r="D639" s="2"/>
      <c r="E639" s="2"/>
      <c r="F639" s="2"/>
      <c r="G639" s="1"/>
      <c r="H639" s="1"/>
      <c r="I639" s="7">
        <v>0.636</v>
      </c>
      <c r="J639" s="7">
        <f>IF((I639-ROUNDDOWN(I639,0))=0, 0, (I639-ROUNDDOWN(I639,0)))</f>
      </c>
      <c r="K639" s="7">
        <f>INDIRECT("C$"&amp;2+MIN(2,ROUNDDOWN(I639,0))*3)*(-$J639^3+3*$J639^2-3*$J639+1)+INDIRECT("C$"&amp;3+MIN(2,ROUNDDOWN(I639,0))*3)*(3*$J639^3-6*$J639^2+3*$J639)+INDIRECT("C$"&amp;4+MIN(2,ROUNDDOWN(I639,0))*3)*(-3*$J639^3+3*$J639^2)+INDIRECT("C$"&amp;5+MIN(2,ROUNDDOWN(I639,0))*3)*$J639^3</f>
      </c>
      <c r="L639" s="7">
        <f>INDIRECT("D$"&amp;2+MIN(2,ROUNDDOWN(I639,0))*3)*(-$J639^3+3*$J639^2-3*$J639+1)+INDIRECT("D$"&amp;3+MIN(2,ROUNDDOWN(I639,0))*3)*(3*$J639^3-6*$J639^2+3*$J639)+INDIRECT("D$"&amp;4+MIN(2,ROUNDDOWN(I639,0))*3)*(-3*$J639^3+3*$J639^2)+INDIRECT("D$"&amp;5+MIN(2,ROUNDDOWN(I639,0))*3)*$J639^3</f>
      </c>
      <c r="M639" s="7">
        <f>SQRT(K639^2+L639^2)</f>
      </c>
      <c r="N639" s="7">
        <f>(K640-K638)</f>
      </c>
      <c r="O639" s="7">
        <f>+(L640-L638)</f>
      </c>
      <c r="P639" s="7">
        <f>SQRT(O639^2+N639^2)</f>
      </c>
      <c r="Q639" s="7">
        <f>N639/$P639</f>
      </c>
      <c r="R639" s="7">
        <f>O639/$P639</f>
      </c>
      <c r="S639" s="8">
        <f>Q639^2+R639^2</f>
      </c>
      <c r="T639" s="7">
        <f>-R639</f>
      </c>
      <c r="U639" s="7">
        <f>Q639</f>
      </c>
      <c r="V639" s="7">
        <f>($C$14+($C$15-$C$14)/($D$15-$D$14)*(I639-$D$14))/2</f>
      </c>
      <c r="W639" s="7">
        <f>($B$22*I639^4+$C$22*I639^3+$D$22*I639^2+$E$22*I639+$F$22)/2</f>
      </c>
      <c r="X639" s="7">
        <f>($W639)*(T639)</f>
      </c>
      <c r="Y639" s="7">
        <f>($W639)*(U639)</f>
      </c>
      <c r="Z639" s="7">
        <f>SQRT(X639^2+Y639^2)</f>
      </c>
      <c r="AA639" s="7">
        <f>$K639+$X639</f>
      </c>
      <c r="AB639" s="7">
        <f>$L639+$Y639</f>
      </c>
      <c r="AC639" s="7">
        <f>$K639-$X639</f>
      </c>
      <c r="AD639" s="7">
        <f>$L639-$Y639</f>
      </c>
      <c r="AE639" s="7">
        <f>AA639/39.3701</f>
      </c>
      <c r="AF639" s="7">
        <f>AB639/39.3701</f>
      </c>
      <c r="AG639" s="7">
        <f>AC639/39.3701</f>
      </c>
      <c r="AH639" s="7">
        <f>AD639/39.3701</f>
      </c>
      <c r="AI639" s="1"/>
      <c r="AJ639" s="1"/>
      <c r="AK639" s="1"/>
      <c r="AL639" s="1"/>
      <c r="AM639" s="2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</row>
    <row x14ac:dyDescent="0.25" r="640" customHeight="1" ht="18.75">
      <c r="A640" s="1"/>
      <c r="B640" s="2"/>
      <c r="C640" s="2"/>
      <c r="D640" s="2"/>
      <c r="E640" s="2"/>
      <c r="F640" s="2"/>
      <c r="G640" s="1"/>
      <c r="H640" s="1"/>
      <c r="I640" s="7">
        <v>0.637</v>
      </c>
      <c r="J640" s="7">
        <f>IF((I640-ROUNDDOWN(I640,0))=0, 0, (I640-ROUNDDOWN(I640,0)))</f>
      </c>
      <c r="K640" s="7">
        <f>INDIRECT("C$"&amp;2+MIN(2,ROUNDDOWN(I640,0))*3)*(-$J640^3+3*$J640^2-3*$J640+1)+INDIRECT("C$"&amp;3+MIN(2,ROUNDDOWN(I640,0))*3)*(3*$J640^3-6*$J640^2+3*$J640)+INDIRECT("C$"&amp;4+MIN(2,ROUNDDOWN(I640,0))*3)*(-3*$J640^3+3*$J640^2)+INDIRECT("C$"&amp;5+MIN(2,ROUNDDOWN(I640,0))*3)*$J640^3</f>
      </c>
      <c r="L640" s="7">
        <f>INDIRECT("D$"&amp;2+MIN(2,ROUNDDOWN(I640,0))*3)*(-$J640^3+3*$J640^2-3*$J640+1)+INDIRECT("D$"&amp;3+MIN(2,ROUNDDOWN(I640,0))*3)*(3*$J640^3-6*$J640^2+3*$J640)+INDIRECT("D$"&amp;4+MIN(2,ROUNDDOWN(I640,0))*3)*(-3*$J640^3+3*$J640^2)+INDIRECT("D$"&amp;5+MIN(2,ROUNDDOWN(I640,0))*3)*$J640^3</f>
      </c>
      <c r="M640" s="7">
        <f>SQRT(K640^2+L640^2)</f>
      </c>
      <c r="N640" s="7">
        <f>(K641-K639)</f>
      </c>
      <c r="O640" s="7">
        <f>+(L641-L639)</f>
      </c>
      <c r="P640" s="7">
        <f>SQRT(O640^2+N640^2)</f>
      </c>
      <c r="Q640" s="7">
        <f>N640/$P640</f>
      </c>
      <c r="R640" s="7">
        <f>O640/$P640</f>
      </c>
      <c r="S640" s="8">
        <f>Q640^2+R640^2</f>
      </c>
      <c r="T640" s="7">
        <f>-R640</f>
      </c>
      <c r="U640" s="7">
        <f>Q640</f>
      </c>
      <c r="V640" s="7">
        <f>($C$14+($C$15-$C$14)/($D$15-$D$14)*(I640-$D$14))/2</f>
      </c>
      <c r="W640" s="7">
        <f>($B$22*I640^4+$C$22*I640^3+$D$22*I640^2+$E$22*I640+$F$22)/2</f>
      </c>
      <c r="X640" s="7">
        <f>($W640)*(T640)</f>
      </c>
      <c r="Y640" s="7">
        <f>($W640)*(U640)</f>
      </c>
      <c r="Z640" s="7">
        <f>SQRT(X640^2+Y640^2)</f>
      </c>
      <c r="AA640" s="7">
        <f>$K640+$X640</f>
      </c>
      <c r="AB640" s="7">
        <f>$L640+$Y640</f>
      </c>
      <c r="AC640" s="7">
        <f>$K640-$X640</f>
      </c>
      <c r="AD640" s="7">
        <f>$L640-$Y640</f>
      </c>
      <c r="AE640" s="7">
        <f>AA640/39.3701</f>
      </c>
      <c r="AF640" s="7">
        <f>AB640/39.3701</f>
      </c>
      <c r="AG640" s="7">
        <f>AC640/39.3701</f>
      </c>
      <c r="AH640" s="7">
        <f>AD640/39.3701</f>
      </c>
      <c r="AI640" s="1"/>
      <c r="AJ640" s="1"/>
      <c r="AK640" s="1"/>
      <c r="AL640" s="1"/>
      <c r="AM640" s="2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</row>
    <row x14ac:dyDescent="0.25" r="641" customHeight="1" ht="18.75">
      <c r="A641" s="1"/>
      <c r="B641" s="2"/>
      <c r="C641" s="2"/>
      <c r="D641" s="2"/>
      <c r="E641" s="2"/>
      <c r="F641" s="2"/>
      <c r="G641" s="1"/>
      <c r="H641" s="1"/>
      <c r="I641" s="7">
        <v>0.638</v>
      </c>
      <c r="J641" s="7">
        <f>IF((I641-ROUNDDOWN(I641,0))=0, 0, (I641-ROUNDDOWN(I641,0)))</f>
      </c>
      <c r="K641" s="7">
        <f>INDIRECT("C$"&amp;2+MIN(2,ROUNDDOWN(I641,0))*3)*(-$J641^3+3*$J641^2-3*$J641+1)+INDIRECT("C$"&amp;3+MIN(2,ROUNDDOWN(I641,0))*3)*(3*$J641^3-6*$J641^2+3*$J641)+INDIRECT("C$"&amp;4+MIN(2,ROUNDDOWN(I641,0))*3)*(-3*$J641^3+3*$J641^2)+INDIRECT("C$"&amp;5+MIN(2,ROUNDDOWN(I641,0))*3)*$J641^3</f>
      </c>
      <c r="L641" s="7">
        <f>INDIRECT("D$"&amp;2+MIN(2,ROUNDDOWN(I641,0))*3)*(-$J641^3+3*$J641^2-3*$J641+1)+INDIRECT("D$"&amp;3+MIN(2,ROUNDDOWN(I641,0))*3)*(3*$J641^3-6*$J641^2+3*$J641)+INDIRECT("D$"&amp;4+MIN(2,ROUNDDOWN(I641,0))*3)*(-3*$J641^3+3*$J641^2)+INDIRECT("D$"&amp;5+MIN(2,ROUNDDOWN(I641,0))*3)*$J641^3</f>
      </c>
      <c r="M641" s="7">
        <f>SQRT(K641^2+L641^2)</f>
      </c>
      <c r="N641" s="7">
        <f>(K642-K640)</f>
      </c>
      <c r="O641" s="7">
        <f>+(L642-L640)</f>
      </c>
      <c r="P641" s="7">
        <f>SQRT(O641^2+N641^2)</f>
      </c>
      <c r="Q641" s="7">
        <f>N641/$P641</f>
      </c>
      <c r="R641" s="7">
        <f>O641/$P641</f>
      </c>
      <c r="S641" s="8">
        <f>Q641^2+R641^2</f>
      </c>
      <c r="T641" s="7">
        <f>-R641</f>
      </c>
      <c r="U641" s="7">
        <f>Q641</f>
      </c>
      <c r="V641" s="7">
        <f>($C$14+($C$15-$C$14)/($D$15-$D$14)*(I641-$D$14))/2</f>
      </c>
      <c r="W641" s="7">
        <f>($B$22*I641^4+$C$22*I641^3+$D$22*I641^2+$E$22*I641+$F$22)/2</f>
      </c>
      <c r="X641" s="7">
        <f>($W641)*(T641)</f>
      </c>
      <c r="Y641" s="7">
        <f>($W641)*(U641)</f>
      </c>
      <c r="Z641" s="7">
        <f>SQRT(X641^2+Y641^2)</f>
      </c>
      <c r="AA641" s="7">
        <f>$K641+$X641</f>
      </c>
      <c r="AB641" s="7">
        <f>$L641+$Y641</f>
      </c>
      <c r="AC641" s="7">
        <f>$K641-$X641</f>
      </c>
      <c r="AD641" s="7">
        <f>$L641-$Y641</f>
      </c>
      <c r="AE641" s="7">
        <f>AA641/39.3701</f>
      </c>
      <c r="AF641" s="7">
        <f>AB641/39.3701</f>
      </c>
      <c r="AG641" s="7">
        <f>AC641/39.3701</f>
      </c>
      <c r="AH641" s="7">
        <f>AD641/39.3701</f>
      </c>
      <c r="AI641" s="1"/>
      <c r="AJ641" s="1"/>
      <c r="AK641" s="1"/>
      <c r="AL641" s="1"/>
      <c r="AM641" s="2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</row>
    <row x14ac:dyDescent="0.25" r="642" customHeight="1" ht="18.75">
      <c r="A642" s="1"/>
      <c r="B642" s="2"/>
      <c r="C642" s="2"/>
      <c r="D642" s="2"/>
      <c r="E642" s="2"/>
      <c r="F642" s="2"/>
      <c r="G642" s="1"/>
      <c r="H642" s="1"/>
      <c r="I642" s="7">
        <v>0.639</v>
      </c>
      <c r="J642" s="7">
        <f>IF((I642-ROUNDDOWN(I642,0))=0, 0, (I642-ROUNDDOWN(I642,0)))</f>
      </c>
      <c r="K642" s="7">
        <f>INDIRECT("C$"&amp;2+MIN(2,ROUNDDOWN(I642,0))*3)*(-$J642^3+3*$J642^2-3*$J642+1)+INDIRECT("C$"&amp;3+MIN(2,ROUNDDOWN(I642,0))*3)*(3*$J642^3-6*$J642^2+3*$J642)+INDIRECT("C$"&amp;4+MIN(2,ROUNDDOWN(I642,0))*3)*(-3*$J642^3+3*$J642^2)+INDIRECT("C$"&amp;5+MIN(2,ROUNDDOWN(I642,0))*3)*$J642^3</f>
      </c>
      <c r="L642" s="7">
        <f>INDIRECT("D$"&amp;2+MIN(2,ROUNDDOWN(I642,0))*3)*(-$J642^3+3*$J642^2-3*$J642+1)+INDIRECT("D$"&amp;3+MIN(2,ROUNDDOWN(I642,0))*3)*(3*$J642^3-6*$J642^2+3*$J642)+INDIRECT("D$"&amp;4+MIN(2,ROUNDDOWN(I642,0))*3)*(-3*$J642^3+3*$J642^2)+INDIRECT("D$"&amp;5+MIN(2,ROUNDDOWN(I642,0))*3)*$J642^3</f>
      </c>
      <c r="M642" s="7">
        <f>SQRT(K642^2+L642^2)</f>
      </c>
      <c r="N642" s="7">
        <f>(K643-K641)</f>
      </c>
      <c r="O642" s="7">
        <f>+(L643-L641)</f>
      </c>
      <c r="P642" s="7">
        <f>SQRT(O642^2+N642^2)</f>
      </c>
      <c r="Q642" s="7">
        <f>N642/$P642</f>
      </c>
      <c r="R642" s="7">
        <f>O642/$P642</f>
      </c>
      <c r="S642" s="7">
        <f>Q642^2+R642^2</f>
      </c>
      <c r="T642" s="7">
        <f>-R642</f>
      </c>
      <c r="U642" s="7">
        <f>Q642</f>
      </c>
      <c r="V642" s="7">
        <f>($C$14+($C$15-$C$14)/($D$15-$D$14)*(I642-$D$14))/2</f>
      </c>
      <c r="W642" s="7">
        <f>($B$22*I642^4+$C$22*I642^3+$D$22*I642^2+$E$22*I642+$F$22)/2</f>
      </c>
      <c r="X642" s="7">
        <f>($W642)*(T642)</f>
      </c>
      <c r="Y642" s="7">
        <f>($W642)*(U642)</f>
      </c>
      <c r="Z642" s="7">
        <f>SQRT(X642^2+Y642^2)</f>
      </c>
      <c r="AA642" s="7">
        <f>$K642+$X642</f>
      </c>
      <c r="AB642" s="7">
        <f>$L642+$Y642</f>
      </c>
      <c r="AC642" s="7">
        <f>$K642-$X642</f>
      </c>
      <c r="AD642" s="7">
        <f>$L642-$Y642</f>
      </c>
      <c r="AE642" s="7">
        <f>AA642/39.3701</f>
      </c>
      <c r="AF642" s="7">
        <f>AB642/39.3701</f>
      </c>
      <c r="AG642" s="7">
        <f>AC642/39.3701</f>
      </c>
      <c r="AH642" s="7">
        <f>AD642/39.3701</f>
      </c>
      <c r="AI642" s="1"/>
      <c r="AJ642" s="1"/>
      <c r="AK642" s="1"/>
      <c r="AL642" s="1"/>
      <c r="AM642" s="2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</row>
    <row x14ac:dyDescent="0.25" r="643" customHeight="1" ht="18.75">
      <c r="A643" s="1"/>
      <c r="B643" s="2"/>
      <c r="C643" s="2"/>
      <c r="D643" s="2"/>
      <c r="E643" s="2"/>
      <c r="F643" s="2"/>
      <c r="G643" s="1"/>
      <c r="H643" s="1"/>
      <c r="I643" s="7">
        <v>0.64</v>
      </c>
      <c r="J643" s="7">
        <f>IF((I643-ROUNDDOWN(I643,0))=0, 0, (I643-ROUNDDOWN(I643,0)))</f>
      </c>
      <c r="K643" s="7">
        <f>INDIRECT("C$"&amp;2+MIN(2,ROUNDDOWN(I643,0))*3)*(-$J643^3+3*$J643^2-3*$J643+1)+INDIRECT("C$"&amp;3+MIN(2,ROUNDDOWN(I643,0))*3)*(3*$J643^3-6*$J643^2+3*$J643)+INDIRECT("C$"&amp;4+MIN(2,ROUNDDOWN(I643,0))*3)*(-3*$J643^3+3*$J643^2)+INDIRECT("C$"&amp;5+MIN(2,ROUNDDOWN(I643,0))*3)*$J643^3</f>
      </c>
      <c r="L643" s="7">
        <f>INDIRECT("D$"&amp;2+MIN(2,ROUNDDOWN(I643,0))*3)*(-$J643^3+3*$J643^2-3*$J643+1)+INDIRECT("D$"&amp;3+MIN(2,ROUNDDOWN(I643,0))*3)*(3*$J643^3-6*$J643^2+3*$J643)+INDIRECT("D$"&amp;4+MIN(2,ROUNDDOWN(I643,0))*3)*(-3*$J643^3+3*$J643^2)+INDIRECT("D$"&amp;5+MIN(2,ROUNDDOWN(I643,0))*3)*$J643^3</f>
      </c>
      <c r="M643" s="7">
        <f>SQRT(K643^2+L643^2)</f>
      </c>
      <c r="N643" s="7">
        <f>(K644-K642)</f>
      </c>
      <c r="O643" s="7">
        <f>+(L644-L642)</f>
      </c>
      <c r="P643" s="7">
        <f>SQRT(O643^2+N643^2)</f>
      </c>
      <c r="Q643" s="7">
        <f>N643/$P643</f>
      </c>
      <c r="R643" s="7">
        <f>O643/$P643</f>
      </c>
      <c r="S643" s="7">
        <f>Q643^2+R643^2</f>
      </c>
      <c r="T643" s="7">
        <f>-R643</f>
      </c>
      <c r="U643" s="7">
        <f>Q643</f>
      </c>
      <c r="V643" s="7">
        <f>($C$14+($C$15-$C$14)/($D$15-$D$14)*(I643-$D$14))/2</f>
      </c>
      <c r="W643" s="7">
        <f>($B$22*I643^4+$C$22*I643^3+$D$22*I643^2+$E$22*I643+$F$22)/2</f>
      </c>
      <c r="X643" s="7">
        <f>($W643)*(T643)</f>
      </c>
      <c r="Y643" s="7">
        <f>($W643)*(U643)</f>
      </c>
      <c r="Z643" s="7">
        <f>SQRT(X643^2+Y643^2)</f>
      </c>
      <c r="AA643" s="7">
        <f>$K643+$X643</f>
      </c>
      <c r="AB643" s="7">
        <f>$L643+$Y643</f>
      </c>
      <c r="AC643" s="7">
        <f>$K643-$X643</f>
      </c>
      <c r="AD643" s="7">
        <f>$L643-$Y643</f>
      </c>
      <c r="AE643" s="7">
        <f>AA643/39.3701</f>
      </c>
      <c r="AF643" s="7">
        <f>AB643/39.3701</f>
      </c>
      <c r="AG643" s="7">
        <f>AC643/39.3701</f>
      </c>
      <c r="AH643" s="7">
        <f>AD643/39.3701</f>
      </c>
      <c r="AI643" s="1"/>
      <c r="AJ643" s="1"/>
      <c r="AK643" s="1"/>
      <c r="AL643" s="1"/>
      <c r="AM643" s="2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</row>
    <row x14ac:dyDescent="0.25" r="644" customHeight="1" ht="18.75">
      <c r="A644" s="1"/>
      <c r="B644" s="2"/>
      <c r="C644" s="2"/>
      <c r="D644" s="2"/>
      <c r="E644" s="2"/>
      <c r="F644" s="2"/>
      <c r="G644" s="1"/>
      <c r="H644" s="1"/>
      <c r="I644" s="7">
        <v>0.641</v>
      </c>
      <c r="J644" s="7">
        <f>IF((I644-ROUNDDOWN(I644,0))=0, 0, (I644-ROUNDDOWN(I644,0)))</f>
      </c>
      <c r="K644" s="7">
        <f>INDIRECT("C$"&amp;2+MIN(2,ROUNDDOWN(I644,0))*3)*(-$J644^3+3*$J644^2-3*$J644+1)+INDIRECT("C$"&amp;3+MIN(2,ROUNDDOWN(I644,0))*3)*(3*$J644^3-6*$J644^2+3*$J644)+INDIRECT("C$"&amp;4+MIN(2,ROUNDDOWN(I644,0))*3)*(-3*$J644^3+3*$J644^2)+INDIRECT("C$"&amp;5+MIN(2,ROUNDDOWN(I644,0))*3)*$J644^3</f>
      </c>
      <c r="L644" s="7">
        <f>INDIRECT("D$"&amp;2+MIN(2,ROUNDDOWN(I644,0))*3)*(-$J644^3+3*$J644^2-3*$J644+1)+INDIRECT("D$"&amp;3+MIN(2,ROUNDDOWN(I644,0))*3)*(3*$J644^3-6*$J644^2+3*$J644)+INDIRECT("D$"&amp;4+MIN(2,ROUNDDOWN(I644,0))*3)*(-3*$J644^3+3*$J644^2)+INDIRECT("D$"&amp;5+MIN(2,ROUNDDOWN(I644,0))*3)*$J644^3</f>
      </c>
      <c r="M644" s="7">
        <f>SQRT(K644^2+L644^2)</f>
      </c>
      <c r="N644" s="7">
        <f>(K645-K643)</f>
      </c>
      <c r="O644" s="7">
        <f>+(L645-L643)</f>
      </c>
      <c r="P644" s="7">
        <f>SQRT(O644^2+N644^2)</f>
      </c>
      <c r="Q644" s="7">
        <f>N644/$P644</f>
      </c>
      <c r="R644" s="7">
        <f>O644/$P644</f>
      </c>
      <c r="S644" s="8">
        <f>Q644^2+R644^2</f>
      </c>
      <c r="T644" s="7">
        <f>-R644</f>
      </c>
      <c r="U644" s="7">
        <f>Q644</f>
      </c>
      <c r="V644" s="7">
        <f>($C$14+($C$15-$C$14)/($D$15-$D$14)*(I644-$D$14))/2</f>
      </c>
      <c r="W644" s="7">
        <f>($B$22*I644^4+$C$22*I644^3+$D$22*I644^2+$E$22*I644+$F$22)/2</f>
      </c>
      <c r="X644" s="7">
        <f>($W644)*(T644)</f>
      </c>
      <c r="Y644" s="7">
        <f>($W644)*(U644)</f>
      </c>
      <c r="Z644" s="7">
        <f>SQRT(X644^2+Y644^2)</f>
      </c>
      <c r="AA644" s="7">
        <f>$K644+$X644</f>
      </c>
      <c r="AB644" s="7">
        <f>$L644+$Y644</f>
      </c>
      <c r="AC644" s="7">
        <f>$K644-$X644</f>
      </c>
      <c r="AD644" s="7">
        <f>$L644-$Y644</f>
      </c>
      <c r="AE644" s="7">
        <f>AA644/39.3701</f>
      </c>
      <c r="AF644" s="7">
        <f>AB644/39.3701</f>
      </c>
      <c r="AG644" s="7">
        <f>AC644/39.3701</f>
      </c>
      <c r="AH644" s="7">
        <f>AD644/39.3701</f>
      </c>
      <c r="AI644" s="1"/>
      <c r="AJ644" s="1"/>
      <c r="AK644" s="1"/>
      <c r="AL644" s="1"/>
      <c r="AM644" s="2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</row>
    <row x14ac:dyDescent="0.25" r="645" customHeight="1" ht="18.75">
      <c r="A645" s="1"/>
      <c r="B645" s="2"/>
      <c r="C645" s="2"/>
      <c r="D645" s="2"/>
      <c r="E645" s="2"/>
      <c r="F645" s="2"/>
      <c r="G645" s="1"/>
      <c r="H645" s="1"/>
      <c r="I645" s="7">
        <v>0.642</v>
      </c>
      <c r="J645" s="7">
        <f>IF((I645-ROUNDDOWN(I645,0))=0, 0, (I645-ROUNDDOWN(I645,0)))</f>
      </c>
      <c r="K645" s="7">
        <f>INDIRECT("C$"&amp;2+MIN(2,ROUNDDOWN(I645,0))*3)*(-$J645^3+3*$J645^2-3*$J645+1)+INDIRECT("C$"&amp;3+MIN(2,ROUNDDOWN(I645,0))*3)*(3*$J645^3-6*$J645^2+3*$J645)+INDIRECT("C$"&amp;4+MIN(2,ROUNDDOWN(I645,0))*3)*(-3*$J645^3+3*$J645^2)+INDIRECT("C$"&amp;5+MIN(2,ROUNDDOWN(I645,0))*3)*$J645^3</f>
      </c>
      <c r="L645" s="7">
        <f>INDIRECT("D$"&amp;2+MIN(2,ROUNDDOWN(I645,0))*3)*(-$J645^3+3*$J645^2-3*$J645+1)+INDIRECT("D$"&amp;3+MIN(2,ROUNDDOWN(I645,0))*3)*(3*$J645^3-6*$J645^2+3*$J645)+INDIRECT("D$"&amp;4+MIN(2,ROUNDDOWN(I645,0))*3)*(-3*$J645^3+3*$J645^2)+INDIRECT("D$"&amp;5+MIN(2,ROUNDDOWN(I645,0))*3)*$J645^3</f>
      </c>
      <c r="M645" s="7">
        <f>SQRT(K645^2+L645^2)</f>
      </c>
      <c r="N645" s="7">
        <f>(K646-K644)</f>
      </c>
      <c r="O645" s="7">
        <f>+(L646-L644)</f>
      </c>
      <c r="P645" s="7">
        <f>SQRT(O645^2+N645^2)</f>
      </c>
      <c r="Q645" s="7">
        <f>N645/$P645</f>
      </c>
      <c r="R645" s="7">
        <f>O645/$P645</f>
      </c>
      <c r="S645" s="8">
        <f>Q645^2+R645^2</f>
      </c>
      <c r="T645" s="7">
        <f>-R645</f>
      </c>
      <c r="U645" s="7">
        <f>Q645</f>
      </c>
      <c r="V645" s="7">
        <f>($C$14+($C$15-$C$14)/($D$15-$D$14)*(I645-$D$14))/2</f>
      </c>
      <c r="W645" s="7">
        <f>($B$22*I645^4+$C$22*I645^3+$D$22*I645^2+$E$22*I645+$F$22)/2</f>
      </c>
      <c r="X645" s="7">
        <f>($W645)*(T645)</f>
      </c>
      <c r="Y645" s="7">
        <f>($W645)*(U645)</f>
      </c>
      <c r="Z645" s="7">
        <f>SQRT(X645^2+Y645^2)</f>
      </c>
      <c r="AA645" s="7">
        <f>$K645+$X645</f>
      </c>
      <c r="AB645" s="7">
        <f>$L645+$Y645</f>
      </c>
      <c r="AC645" s="7">
        <f>$K645-$X645</f>
      </c>
      <c r="AD645" s="7">
        <f>$L645-$Y645</f>
      </c>
      <c r="AE645" s="7">
        <f>AA645/39.3701</f>
      </c>
      <c r="AF645" s="7">
        <f>AB645/39.3701</f>
      </c>
      <c r="AG645" s="7">
        <f>AC645/39.3701</f>
      </c>
      <c r="AH645" s="7">
        <f>AD645/39.3701</f>
      </c>
      <c r="AI645" s="1"/>
      <c r="AJ645" s="1"/>
      <c r="AK645" s="1"/>
      <c r="AL645" s="1"/>
      <c r="AM645" s="2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</row>
    <row x14ac:dyDescent="0.25" r="646" customHeight="1" ht="18.75">
      <c r="A646" s="1"/>
      <c r="B646" s="2"/>
      <c r="C646" s="2"/>
      <c r="D646" s="2"/>
      <c r="E646" s="2"/>
      <c r="F646" s="2"/>
      <c r="G646" s="1"/>
      <c r="H646" s="1"/>
      <c r="I646" s="7">
        <v>0.643</v>
      </c>
      <c r="J646" s="7">
        <f>IF((I646-ROUNDDOWN(I646,0))=0, 0, (I646-ROUNDDOWN(I646,0)))</f>
      </c>
      <c r="K646" s="7">
        <f>INDIRECT("C$"&amp;2+MIN(2,ROUNDDOWN(I646,0))*3)*(-$J646^3+3*$J646^2-3*$J646+1)+INDIRECT("C$"&amp;3+MIN(2,ROUNDDOWN(I646,0))*3)*(3*$J646^3-6*$J646^2+3*$J646)+INDIRECT("C$"&amp;4+MIN(2,ROUNDDOWN(I646,0))*3)*(-3*$J646^3+3*$J646^2)+INDIRECT("C$"&amp;5+MIN(2,ROUNDDOWN(I646,0))*3)*$J646^3</f>
      </c>
      <c r="L646" s="7">
        <f>INDIRECT("D$"&amp;2+MIN(2,ROUNDDOWN(I646,0))*3)*(-$J646^3+3*$J646^2-3*$J646+1)+INDIRECT("D$"&amp;3+MIN(2,ROUNDDOWN(I646,0))*3)*(3*$J646^3-6*$J646^2+3*$J646)+INDIRECT("D$"&amp;4+MIN(2,ROUNDDOWN(I646,0))*3)*(-3*$J646^3+3*$J646^2)+INDIRECT("D$"&amp;5+MIN(2,ROUNDDOWN(I646,0))*3)*$J646^3</f>
      </c>
      <c r="M646" s="7">
        <f>SQRT(K646^2+L646^2)</f>
      </c>
      <c r="N646" s="7">
        <f>(K647-K645)</f>
      </c>
      <c r="O646" s="7">
        <f>+(L647-L645)</f>
      </c>
      <c r="P646" s="7">
        <f>SQRT(O646^2+N646^2)</f>
      </c>
      <c r="Q646" s="7">
        <f>N646/$P646</f>
      </c>
      <c r="R646" s="7">
        <f>O646/$P646</f>
      </c>
      <c r="S646" s="7">
        <f>Q646^2+R646^2</f>
      </c>
      <c r="T646" s="7">
        <f>-R646</f>
      </c>
      <c r="U646" s="7">
        <f>Q646</f>
      </c>
      <c r="V646" s="7">
        <f>($C$14+($C$15-$C$14)/($D$15-$D$14)*(I646-$D$14))/2</f>
      </c>
      <c r="W646" s="7">
        <f>($B$22*I646^4+$C$22*I646^3+$D$22*I646^2+$E$22*I646+$F$22)/2</f>
      </c>
      <c r="X646" s="7">
        <f>($W646)*(T646)</f>
      </c>
      <c r="Y646" s="7">
        <f>($W646)*(U646)</f>
      </c>
      <c r="Z646" s="7">
        <f>SQRT(X646^2+Y646^2)</f>
      </c>
      <c r="AA646" s="7">
        <f>$K646+$X646</f>
      </c>
      <c r="AB646" s="7">
        <f>$L646+$Y646</f>
      </c>
      <c r="AC646" s="7">
        <f>$K646-$X646</f>
      </c>
      <c r="AD646" s="7">
        <f>$L646-$Y646</f>
      </c>
      <c r="AE646" s="7">
        <f>AA646/39.3701</f>
      </c>
      <c r="AF646" s="7">
        <f>AB646/39.3701</f>
      </c>
      <c r="AG646" s="7">
        <f>AC646/39.3701</f>
      </c>
      <c r="AH646" s="7">
        <f>AD646/39.3701</f>
      </c>
      <c r="AI646" s="1"/>
      <c r="AJ646" s="1"/>
      <c r="AK646" s="1"/>
      <c r="AL646" s="1"/>
      <c r="AM646" s="2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</row>
    <row x14ac:dyDescent="0.25" r="647" customHeight="1" ht="18.75">
      <c r="A647" s="1"/>
      <c r="B647" s="2"/>
      <c r="C647" s="2"/>
      <c r="D647" s="2"/>
      <c r="E647" s="2"/>
      <c r="F647" s="2"/>
      <c r="G647" s="1"/>
      <c r="H647" s="1"/>
      <c r="I647" s="7">
        <v>0.644</v>
      </c>
      <c r="J647" s="7">
        <f>IF((I647-ROUNDDOWN(I647,0))=0, 0, (I647-ROUNDDOWN(I647,0)))</f>
      </c>
      <c r="K647" s="7">
        <f>INDIRECT("C$"&amp;2+MIN(2,ROUNDDOWN(I647,0))*3)*(-$J647^3+3*$J647^2-3*$J647+1)+INDIRECT("C$"&amp;3+MIN(2,ROUNDDOWN(I647,0))*3)*(3*$J647^3-6*$J647^2+3*$J647)+INDIRECT("C$"&amp;4+MIN(2,ROUNDDOWN(I647,0))*3)*(-3*$J647^3+3*$J647^2)+INDIRECT("C$"&amp;5+MIN(2,ROUNDDOWN(I647,0))*3)*$J647^3</f>
      </c>
      <c r="L647" s="7">
        <f>INDIRECT("D$"&amp;2+MIN(2,ROUNDDOWN(I647,0))*3)*(-$J647^3+3*$J647^2-3*$J647+1)+INDIRECT("D$"&amp;3+MIN(2,ROUNDDOWN(I647,0))*3)*(3*$J647^3-6*$J647^2+3*$J647)+INDIRECT("D$"&amp;4+MIN(2,ROUNDDOWN(I647,0))*3)*(-3*$J647^3+3*$J647^2)+INDIRECT("D$"&amp;5+MIN(2,ROUNDDOWN(I647,0))*3)*$J647^3</f>
      </c>
      <c r="M647" s="7">
        <f>SQRT(K647^2+L647^2)</f>
      </c>
      <c r="N647" s="7">
        <f>(K648-K646)</f>
      </c>
      <c r="O647" s="7">
        <f>+(L648-L646)</f>
      </c>
      <c r="P647" s="7">
        <f>SQRT(O647^2+N647^2)</f>
      </c>
      <c r="Q647" s="7">
        <f>N647/$P647</f>
      </c>
      <c r="R647" s="7">
        <f>O647/$P647</f>
      </c>
      <c r="S647" s="7">
        <f>Q647^2+R647^2</f>
      </c>
      <c r="T647" s="7">
        <f>-R647</f>
      </c>
      <c r="U647" s="7">
        <f>Q647</f>
      </c>
      <c r="V647" s="7">
        <f>($C$14+($C$15-$C$14)/($D$15-$D$14)*(I647-$D$14))/2</f>
      </c>
      <c r="W647" s="7">
        <f>($B$22*I647^4+$C$22*I647^3+$D$22*I647^2+$E$22*I647+$F$22)/2</f>
      </c>
      <c r="X647" s="7">
        <f>($W647)*(T647)</f>
      </c>
      <c r="Y647" s="7">
        <f>($W647)*(U647)</f>
      </c>
      <c r="Z647" s="7">
        <f>SQRT(X647^2+Y647^2)</f>
      </c>
      <c r="AA647" s="7">
        <f>$K647+$X647</f>
      </c>
      <c r="AB647" s="7">
        <f>$L647+$Y647</f>
      </c>
      <c r="AC647" s="7">
        <f>$K647-$X647</f>
      </c>
      <c r="AD647" s="7">
        <f>$L647-$Y647</f>
      </c>
      <c r="AE647" s="7">
        <f>AA647/39.3701</f>
      </c>
      <c r="AF647" s="7">
        <f>AB647/39.3701</f>
      </c>
      <c r="AG647" s="7">
        <f>AC647/39.3701</f>
      </c>
      <c r="AH647" s="7">
        <f>AD647/39.3701</f>
      </c>
      <c r="AI647" s="1"/>
      <c r="AJ647" s="1"/>
      <c r="AK647" s="1"/>
      <c r="AL647" s="1"/>
      <c r="AM647" s="2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</row>
    <row x14ac:dyDescent="0.25" r="648" customHeight="1" ht="18.75">
      <c r="A648" s="1"/>
      <c r="B648" s="2"/>
      <c r="C648" s="2"/>
      <c r="D648" s="2"/>
      <c r="E648" s="2"/>
      <c r="F648" s="2"/>
      <c r="G648" s="1"/>
      <c r="H648" s="1"/>
      <c r="I648" s="7">
        <v>0.645</v>
      </c>
      <c r="J648" s="7">
        <f>IF((I648-ROUNDDOWN(I648,0))=0, 0, (I648-ROUNDDOWN(I648,0)))</f>
      </c>
      <c r="K648" s="7">
        <f>INDIRECT("C$"&amp;2+MIN(2,ROUNDDOWN(I648,0))*3)*(-$J648^3+3*$J648^2-3*$J648+1)+INDIRECT("C$"&amp;3+MIN(2,ROUNDDOWN(I648,0))*3)*(3*$J648^3-6*$J648^2+3*$J648)+INDIRECT("C$"&amp;4+MIN(2,ROUNDDOWN(I648,0))*3)*(-3*$J648^3+3*$J648^2)+INDIRECT("C$"&amp;5+MIN(2,ROUNDDOWN(I648,0))*3)*$J648^3</f>
      </c>
      <c r="L648" s="7">
        <f>INDIRECT("D$"&amp;2+MIN(2,ROUNDDOWN(I648,0))*3)*(-$J648^3+3*$J648^2-3*$J648+1)+INDIRECT("D$"&amp;3+MIN(2,ROUNDDOWN(I648,0))*3)*(3*$J648^3-6*$J648^2+3*$J648)+INDIRECT("D$"&amp;4+MIN(2,ROUNDDOWN(I648,0))*3)*(-3*$J648^3+3*$J648^2)+INDIRECT("D$"&amp;5+MIN(2,ROUNDDOWN(I648,0))*3)*$J648^3</f>
      </c>
      <c r="M648" s="7">
        <f>SQRT(K648^2+L648^2)</f>
      </c>
      <c r="N648" s="7">
        <f>(K649-K647)</f>
      </c>
      <c r="O648" s="7">
        <f>+(L649-L647)</f>
      </c>
      <c r="P648" s="7">
        <f>SQRT(O648^2+N648^2)</f>
      </c>
      <c r="Q648" s="7">
        <f>N648/$P648</f>
      </c>
      <c r="R648" s="7">
        <f>O648/$P648</f>
      </c>
      <c r="S648" s="8">
        <f>Q648^2+R648^2</f>
      </c>
      <c r="T648" s="7">
        <f>-R648</f>
      </c>
      <c r="U648" s="7">
        <f>Q648</f>
      </c>
      <c r="V648" s="7">
        <f>($C$14+($C$15-$C$14)/($D$15-$D$14)*(I648-$D$14))/2</f>
      </c>
      <c r="W648" s="7">
        <f>($B$22*I648^4+$C$22*I648^3+$D$22*I648^2+$E$22*I648+$F$22)/2</f>
      </c>
      <c r="X648" s="7">
        <f>($W648)*(T648)</f>
      </c>
      <c r="Y648" s="7">
        <f>($W648)*(U648)</f>
      </c>
      <c r="Z648" s="7">
        <f>SQRT(X648^2+Y648^2)</f>
      </c>
      <c r="AA648" s="7">
        <f>$K648+$X648</f>
      </c>
      <c r="AB648" s="7">
        <f>$L648+$Y648</f>
      </c>
      <c r="AC648" s="7">
        <f>$K648-$X648</f>
      </c>
      <c r="AD648" s="7">
        <f>$L648-$Y648</f>
      </c>
      <c r="AE648" s="7">
        <f>AA648/39.3701</f>
      </c>
      <c r="AF648" s="7">
        <f>AB648/39.3701</f>
      </c>
      <c r="AG648" s="7">
        <f>AC648/39.3701</f>
      </c>
      <c r="AH648" s="7">
        <f>AD648/39.3701</f>
      </c>
      <c r="AI648" s="1"/>
      <c r="AJ648" s="1"/>
      <c r="AK648" s="1"/>
      <c r="AL648" s="1"/>
      <c r="AM648" s="2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</row>
    <row x14ac:dyDescent="0.25" r="649" customHeight="1" ht="18.75">
      <c r="A649" s="1"/>
      <c r="B649" s="2"/>
      <c r="C649" s="2"/>
      <c r="D649" s="2"/>
      <c r="E649" s="2"/>
      <c r="F649" s="2"/>
      <c r="G649" s="1"/>
      <c r="H649" s="1"/>
      <c r="I649" s="7">
        <v>0.646</v>
      </c>
      <c r="J649" s="7">
        <f>IF((I649-ROUNDDOWN(I649,0))=0, 0, (I649-ROUNDDOWN(I649,0)))</f>
      </c>
      <c r="K649" s="7">
        <f>INDIRECT("C$"&amp;2+MIN(2,ROUNDDOWN(I649,0))*3)*(-$J649^3+3*$J649^2-3*$J649+1)+INDIRECT("C$"&amp;3+MIN(2,ROUNDDOWN(I649,0))*3)*(3*$J649^3-6*$J649^2+3*$J649)+INDIRECT("C$"&amp;4+MIN(2,ROUNDDOWN(I649,0))*3)*(-3*$J649^3+3*$J649^2)+INDIRECT("C$"&amp;5+MIN(2,ROUNDDOWN(I649,0))*3)*$J649^3</f>
      </c>
      <c r="L649" s="7">
        <f>INDIRECT("D$"&amp;2+MIN(2,ROUNDDOWN(I649,0))*3)*(-$J649^3+3*$J649^2-3*$J649+1)+INDIRECT("D$"&amp;3+MIN(2,ROUNDDOWN(I649,0))*3)*(3*$J649^3-6*$J649^2+3*$J649)+INDIRECT("D$"&amp;4+MIN(2,ROUNDDOWN(I649,0))*3)*(-3*$J649^3+3*$J649^2)+INDIRECT("D$"&amp;5+MIN(2,ROUNDDOWN(I649,0))*3)*$J649^3</f>
      </c>
      <c r="M649" s="7">
        <f>SQRT(K649^2+L649^2)</f>
      </c>
      <c r="N649" s="7">
        <f>(K650-K648)</f>
      </c>
      <c r="O649" s="7">
        <f>+(L650-L648)</f>
      </c>
      <c r="P649" s="7">
        <f>SQRT(O649^2+N649^2)</f>
      </c>
      <c r="Q649" s="7">
        <f>N649/$P649</f>
      </c>
      <c r="R649" s="7">
        <f>O649/$P649</f>
      </c>
      <c r="S649" s="8">
        <f>Q649^2+R649^2</f>
      </c>
      <c r="T649" s="7">
        <f>-R649</f>
      </c>
      <c r="U649" s="7">
        <f>Q649</f>
      </c>
      <c r="V649" s="7">
        <f>($C$14+($C$15-$C$14)/($D$15-$D$14)*(I649-$D$14))/2</f>
      </c>
      <c r="W649" s="7">
        <f>($B$22*I649^4+$C$22*I649^3+$D$22*I649^2+$E$22*I649+$F$22)/2</f>
      </c>
      <c r="X649" s="7">
        <f>($W649)*(T649)</f>
      </c>
      <c r="Y649" s="7">
        <f>($W649)*(U649)</f>
      </c>
      <c r="Z649" s="7">
        <f>SQRT(X649^2+Y649^2)</f>
      </c>
      <c r="AA649" s="7">
        <f>$K649+$X649</f>
      </c>
      <c r="AB649" s="7">
        <f>$L649+$Y649</f>
      </c>
      <c r="AC649" s="7">
        <f>$K649-$X649</f>
      </c>
      <c r="AD649" s="7">
        <f>$L649-$Y649</f>
      </c>
      <c r="AE649" s="7">
        <f>AA649/39.3701</f>
      </c>
      <c r="AF649" s="7">
        <f>AB649/39.3701</f>
      </c>
      <c r="AG649" s="7">
        <f>AC649/39.3701</f>
      </c>
      <c r="AH649" s="7">
        <f>AD649/39.3701</f>
      </c>
      <c r="AI649" s="1"/>
      <c r="AJ649" s="1"/>
      <c r="AK649" s="1"/>
      <c r="AL649" s="1"/>
      <c r="AM649" s="2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</row>
    <row x14ac:dyDescent="0.25" r="650" customHeight="1" ht="18.75">
      <c r="A650" s="1"/>
      <c r="B650" s="2"/>
      <c r="C650" s="2"/>
      <c r="D650" s="2"/>
      <c r="E650" s="2"/>
      <c r="F650" s="2"/>
      <c r="G650" s="1"/>
      <c r="H650" s="1"/>
      <c r="I650" s="7">
        <v>0.647</v>
      </c>
      <c r="J650" s="7">
        <f>IF((I650-ROUNDDOWN(I650,0))=0, 0, (I650-ROUNDDOWN(I650,0)))</f>
      </c>
      <c r="K650" s="7">
        <f>INDIRECT("C$"&amp;2+MIN(2,ROUNDDOWN(I650,0))*3)*(-$J650^3+3*$J650^2-3*$J650+1)+INDIRECT("C$"&amp;3+MIN(2,ROUNDDOWN(I650,0))*3)*(3*$J650^3-6*$J650^2+3*$J650)+INDIRECT("C$"&amp;4+MIN(2,ROUNDDOWN(I650,0))*3)*(-3*$J650^3+3*$J650^2)+INDIRECT("C$"&amp;5+MIN(2,ROUNDDOWN(I650,0))*3)*$J650^3</f>
      </c>
      <c r="L650" s="7">
        <f>INDIRECT("D$"&amp;2+MIN(2,ROUNDDOWN(I650,0))*3)*(-$J650^3+3*$J650^2-3*$J650+1)+INDIRECT("D$"&amp;3+MIN(2,ROUNDDOWN(I650,0))*3)*(3*$J650^3-6*$J650^2+3*$J650)+INDIRECT("D$"&amp;4+MIN(2,ROUNDDOWN(I650,0))*3)*(-3*$J650^3+3*$J650^2)+INDIRECT("D$"&amp;5+MIN(2,ROUNDDOWN(I650,0))*3)*$J650^3</f>
      </c>
      <c r="M650" s="7">
        <f>SQRT(K650^2+L650^2)</f>
      </c>
      <c r="N650" s="7">
        <f>(K651-K649)</f>
      </c>
      <c r="O650" s="7">
        <f>+(L651-L649)</f>
      </c>
      <c r="P650" s="7">
        <f>SQRT(O650^2+N650^2)</f>
      </c>
      <c r="Q650" s="7">
        <f>N650/$P650</f>
      </c>
      <c r="R650" s="7">
        <f>O650/$P650</f>
      </c>
      <c r="S650" s="7">
        <f>Q650^2+R650^2</f>
      </c>
      <c r="T650" s="7">
        <f>-R650</f>
      </c>
      <c r="U650" s="7">
        <f>Q650</f>
      </c>
      <c r="V650" s="7">
        <f>($C$14+($C$15-$C$14)/($D$15-$D$14)*(I650-$D$14))/2</f>
      </c>
      <c r="W650" s="7">
        <f>($B$22*I650^4+$C$22*I650^3+$D$22*I650^2+$E$22*I650+$F$22)/2</f>
      </c>
      <c r="X650" s="7">
        <f>($W650)*(T650)</f>
      </c>
      <c r="Y650" s="7">
        <f>($W650)*(U650)</f>
      </c>
      <c r="Z650" s="7">
        <f>SQRT(X650^2+Y650^2)</f>
      </c>
      <c r="AA650" s="7">
        <f>$K650+$X650</f>
      </c>
      <c r="AB650" s="7">
        <f>$L650+$Y650</f>
      </c>
      <c r="AC650" s="7">
        <f>$K650-$X650</f>
      </c>
      <c r="AD650" s="7">
        <f>$L650-$Y650</f>
      </c>
      <c r="AE650" s="7">
        <f>AA650/39.3701</f>
      </c>
      <c r="AF650" s="7">
        <f>AB650/39.3701</f>
      </c>
      <c r="AG650" s="7">
        <f>AC650/39.3701</f>
      </c>
      <c r="AH650" s="7">
        <f>AD650/39.3701</f>
      </c>
      <c r="AI650" s="1"/>
      <c r="AJ650" s="1"/>
      <c r="AK650" s="1"/>
      <c r="AL650" s="1"/>
      <c r="AM650" s="2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</row>
    <row x14ac:dyDescent="0.25" r="651" customHeight="1" ht="18.75">
      <c r="A651" s="1"/>
      <c r="B651" s="2"/>
      <c r="C651" s="2"/>
      <c r="D651" s="2"/>
      <c r="E651" s="2"/>
      <c r="F651" s="2"/>
      <c r="G651" s="1"/>
      <c r="H651" s="1"/>
      <c r="I651" s="7">
        <v>0.648</v>
      </c>
      <c r="J651" s="7">
        <f>IF((I651-ROUNDDOWN(I651,0))=0, 0, (I651-ROUNDDOWN(I651,0)))</f>
      </c>
      <c r="K651" s="7">
        <f>INDIRECT("C$"&amp;2+MIN(2,ROUNDDOWN(I651,0))*3)*(-$J651^3+3*$J651^2-3*$J651+1)+INDIRECT("C$"&amp;3+MIN(2,ROUNDDOWN(I651,0))*3)*(3*$J651^3-6*$J651^2+3*$J651)+INDIRECT("C$"&amp;4+MIN(2,ROUNDDOWN(I651,0))*3)*(-3*$J651^3+3*$J651^2)+INDIRECT("C$"&amp;5+MIN(2,ROUNDDOWN(I651,0))*3)*$J651^3</f>
      </c>
      <c r="L651" s="7">
        <f>INDIRECT("D$"&amp;2+MIN(2,ROUNDDOWN(I651,0))*3)*(-$J651^3+3*$J651^2-3*$J651+1)+INDIRECT("D$"&amp;3+MIN(2,ROUNDDOWN(I651,0))*3)*(3*$J651^3-6*$J651^2+3*$J651)+INDIRECT("D$"&amp;4+MIN(2,ROUNDDOWN(I651,0))*3)*(-3*$J651^3+3*$J651^2)+INDIRECT("D$"&amp;5+MIN(2,ROUNDDOWN(I651,0))*3)*$J651^3</f>
      </c>
      <c r="M651" s="7">
        <f>SQRT(K651^2+L651^2)</f>
      </c>
      <c r="N651" s="7">
        <f>(K652-K650)</f>
      </c>
      <c r="O651" s="7">
        <f>+(L652-L650)</f>
      </c>
      <c r="P651" s="7">
        <f>SQRT(O651^2+N651^2)</f>
      </c>
      <c r="Q651" s="7">
        <f>N651/$P651</f>
      </c>
      <c r="R651" s="7">
        <f>O651/$P651</f>
      </c>
      <c r="S651" s="8">
        <f>Q651^2+R651^2</f>
      </c>
      <c r="T651" s="7">
        <f>-R651</f>
      </c>
      <c r="U651" s="7">
        <f>Q651</f>
      </c>
      <c r="V651" s="7">
        <f>($C$14+($C$15-$C$14)/($D$15-$D$14)*(I651-$D$14))/2</f>
      </c>
      <c r="W651" s="7">
        <f>($B$22*I651^4+$C$22*I651^3+$D$22*I651^2+$E$22*I651+$F$22)/2</f>
      </c>
      <c r="X651" s="7">
        <f>($W651)*(T651)</f>
      </c>
      <c r="Y651" s="7">
        <f>($W651)*(U651)</f>
      </c>
      <c r="Z651" s="7">
        <f>SQRT(X651^2+Y651^2)</f>
      </c>
      <c r="AA651" s="7">
        <f>$K651+$X651</f>
      </c>
      <c r="AB651" s="7">
        <f>$L651+$Y651</f>
      </c>
      <c r="AC651" s="7">
        <f>$K651-$X651</f>
      </c>
      <c r="AD651" s="7">
        <f>$L651-$Y651</f>
      </c>
      <c r="AE651" s="7">
        <f>AA651/39.3701</f>
      </c>
      <c r="AF651" s="7">
        <f>AB651/39.3701</f>
      </c>
      <c r="AG651" s="7">
        <f>AC651/39.3701</f>
      </c>
      <c r="AH651" s="7">
        <f>AD651/39.3701</f>
      </c>
      <c r="AI651" s="1"/>
      <c r="AJ651" s="1"/>
      <c r="AK651" s="1"/>
      <c r="AL651" s="1"/>
      <c r="AM651" s="2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</row>
    <row x14ac:dyDescent="0.25" r="652" customHeight="1" ht="18.75">
      <c r="A652" s="1"/>
      <c r="B652" s="2"/>
      <c r="C652" s="2"/>
      <c r="D652" s="2"/>
      <c r="E652" s="2"/>
      <c r="F652" s="2"/>
      <c r="G652" s="1"/>
      <c r="H652" s="1"/>
      <c r="I652" s="7">
        <v>0.649</v>
      </c>
      <c r="J652" s="7">
        <f>IF((I652-ROUNDDOWN(I652,0))=0, 0, (I652-ROUNDDOWN(I652,0)))</f>
      </c>
      <c r="K652" s="7">
        <f>INDIRECT("C$"&amp;2+MIN(2,ROUNDDOWN(I652,0))*3)*(-$J652^3+3*$J652^2-3*$J652+1)+INDIRECT("C$"&amp;3+MIN(2,ROUNDDOWN(I652,0))*3)*(3*$J652^3-6*$J652^2+3*$J652)+INDIRECT("C$"&amp;4+MIN(2,ROUNDDOWN(I652,0))*3)*(-3*$J652^3+3*$J652^2)+INDIRECT("C$"&amp;5+MIN(2,ROUNDDOWN(I652,0))*3)*$J652^3</f>
      </c>
      <c r="L652" s="7">
        <f>INDIRECT("D$"&amp;2+MIN(2,ROUNDDOWN(I652,0))*3)*(-$J652^3+3*$J652^2-3*$J652+1)+INDIRECT("D$"&amp;3+MIN(2,ROUNDDOWN(I652,0))*3)*(3*$J652^3-6*$J652^2+3*$J652)+INDIRECT("D$"&amp;4+MIN(2,ROUNDDOWN(I652,0))*3)*(-3*$J652^3+3*$J652^2)+INDIRECT("D$"&amp;5+MIN(2,ROUNDDOWN(I652,0))*3)*$J652^3</f>
      </c>
      <c r="M652" s="7">
        <f>SQRT(K652^2+L652^2)</f>
      </c>
      <c r="N652" s="7">
        <f>(K653-K651)</f>
      </c>
      <c r="O652" s="7">
        <f>+(L653-L651)</f>
      </c>
      <c r="P652" s="7">
        <f>SQRT(O652^2+N652^2)</f>
      </c>
      <c r="Q652" s="7">
        <f>N652/$P652</f>
      </c>
      <c r="R652" s="7">
        <f>O652/$P652</f>
      </c>
      <c r="S652" s="8">
        <f>Q652^2+R652^2</f>
      </c>
      <c r="T652" s="7">
        <f>-R652</f>
      </c>
      <c r="U652" s="7">
        <f>Q652</f>
      </c>
      <c r="V652" s="7">
        <f>($C$14+($C$15-$C$14)/($D$15-$D$14)*(I652-$D$14))/2</f>
      </c>
      <c r="W652" s="7">
        <f>($B$22*I652^4+$C$22*I652^3+$D$22*I652^2+$E$22*I652+$F$22)/2</f>
      </c>
      <c r="X652" s="7">
        <f>($W652)*(T652)</f>
      </c>
      <c r="Y652" s="7">
        <f>($W652)*(U652)</f>
      </c>
      <c r="Z652" s="7">
        <f>SQRT(X652^2+Y652^2)</f>
      </c>
      <c r="AA652" s="7">
        <f>$K652+$X652</f>
      </c>
      <c r="AB652" s="7">
        <f>$L652+$Y652</f>
      </c>
      <c r="AC652" s="7">
        <f>$K652-$X652</f>
      </c>
      <c r="AD652" s="7">
        <f>$L652-$Y652</f>
      </c>
      <c r="AE652" s="7">
        <f>AA652/39.3701</f>
      </c>
      <c r="AF652" s="7">
        <f>AB652/39.3701</f>
      </c>
      <c r="AG652" s="7">
        <f>AC652/39.3701</f>
      </c>
      <c r="AH652" s="7">
        <f>AD652/39.3701</f>
      </c>
      <c r="AI652" s="1"/>
      <c r="AJ652" s="1"/>
      <c r="AK652" s="1"/>
      <c r="AL652" s="1"/>
      <c r="AM652" s="2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</row>
    <row x14ac:dyDescent="0.25" r="653" customHeight="1" ht="18.75">
      <c r="A653" s="1"/>
      <c r="B653" s="2"/>
      <c r="C653" s="2"/>
      <c r="D653" s="2"/>
      <c r="E653" s="2"/>
      <c r="F653" s="2"/>
      <c r="G653" s="1"/>
      <c r="H653" s="1"/>
      <c r="I653" s="7">
        <v>0.65</v>
      </c>
      <c r="J653" s="7">
        <f>IF((I653-ROUNDDOWN(I653,0))=0, 0, (I653-ROUNDDOWN(I653,0)))</f>
      </c>
      <c r="K653" s="7">
        <f>INDIRECT("C$"&amp;2+MIN(2,ROUNDDOWN(I653,0))*3)*(-$J653^3+3*$J653^2-3*$J653+1)+INDIRECT("C$"&amp;3+MIN(2,ROUNDDOWN(I653,0))*3)*(3*$J653^3-6*$J653^2+3*$J653)+INDIRECT("C$"&amp;4+MIN(2,ROUNDDOWN(I653,0))*3)*(-3*$J653^3+3*$J653^2)+INDIRECT("C$"&amp;5+MIN(2,ROUNDDOWN(I653,0))*3)*$J653^3</f>
      </c>
      <c r="L653" s="7">
        <f>INDIRECT("D$"&amp;2+MIN(2,ROUNDDOWN(I653,0))*3)*(-$J653^3+3*$J653^2-3*$J653+1)+INDIRECT("D$"&amp;3+MIN(2,ROUNDDOWN(I653,0))*3)*(3*$J653^3-6*$J653^2+3*$J653)+INDIRECT("D$"&amp;4+MIN(2,ROUNDDOWN(I653,0))*3)*(-3*$J653^3+3*$J653^2)+INDIRECT("D$"&amp;5+MIN(2,ROUNDDOWN(I653,0))*3)*$J653^3</f>
      </c>
      <c r="M653" s="7">
        <f>SQRT(K653^2+L653^2)</f>
      </c>
      <c r="N653" s="7">
        <f>(K654-K652)</f>
      </c>
      <c r="O653" s="7">
        <f>+(L654-L652)</f>
      </c>
      <c r="P653" s="7">
        <f>SQRT(O653^2+N653^2)</f>
      </c>
      <c r="Q653" s="7">
        <f>N653/$P653</f>
      </c>
      <c r="R653" s="7">
        <f>O653/$P653</f>
      </c>
      <c r="S653" s="7">
        <f>Q653^2+R653^2</f>
      </c>
      <c r="T653" s="7">
        <f>-R653</f>
      </c>
      <c r="U653" s="7">
        <f>Q653</f>
      </c>
      <c r="V653" s="7">
        <f>($C$14+($C$15-$C$14)/($D$15-$D$14)*(I653-$D$14))/2</f>
      </c>
      <c r="W653" s="7">
        <f>($B$22*I653^4+$C$22*I653^3+$D$22*I653^2+$E$22*I653+$F$22)/2</f>
      </c>
      <c r="X653" s="7">
        <f>($W653)*(T653)</f>
      </c>
      <c r="Y653" s="7">
        <f>($W653)*(U653)</f>
      </c>
      <c r="Z653" s="7">
        <f>SQRT(X653^2+Y653^2)</f>
      </c>
      <c r="AA653" s="7">
        <f>$K653+$X653</f>
      </c>
      <c r="AB653" s="7">
        <f>$L653+$Y653</f>
      </c>
      <c r="AC653" s="7">
        <f>$K653-$X653</f>
      </c>
      <c r="AD653" s="7">
        <f>$L653-$Y653</f>
      </c>
      <c r="AE653" s="7">
        <f>AA653/39.3701</f>
      </c>
      <c r="AF653" s="7">
        <f>AB653/39.3701</f>
      </c>
      <c r="AG653" s="7">
        <f>AC653/39.3701</f>
      </c>
      <c r="AH653" s="7">
        <f>AD653/39.3701</f>
      </c>
      <c r="AI653" s="1"/>
      <c r="AJ653" s="1"/>
      <c r="AK653" s="1"/>
      <c r="AL653" s="1"/>
      <c r="AM653" s="2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</row>
    <row x14ac:dyDescent="0.25" r="654" customHeight="1" ht="18.75">
      <c r="A654" s="1"/>
      <c r="B654" s="2"/>
      <c r="C654" s="2"/>
      <c r="D654" s="2"/>
      <c r="E654" s="2"/>
      <c r="F654" s="2"/>
      <c r="G654" s="1"/>
      <c r="H654" s="1"/>
      <c r="I654" s="7">
        <v>0.651</v>
      </c>
      <c r="J654" s="7">
        <f>IF((I654-ROUNDDOWN(I654,0))=0, 0, (I654-ROUNDDOWN(I654,0)))</f>
      </c>
      <c r="K654" s="7">
        <f>INDIRECT("C$"&amp;2+MIN(2,ROUNDDOWN(I654,0))*3)*(-$J654^3+3*$J654^2-3*$J654+1)+INDIRECT("C$"&amp;3+MIN(2,ROUNDDOWN(I654,0))*3)*(3*$J654^3-6*$J654^2+3*$J654)+INDIRECT("C$"&amp;4+MIN(2,ROUNDDOWN(I654,0))*3)*(-3*$J654^3+3*$J654^2)+INDIRECT("C$"&amp;5+MIN(2,ROUNDDOWN(I654,0))*3)*$J654^3</f>
      </c>
      <c r="L654" s="7">
        <f>INDIRECT("D$"&amp;2+MIN(2,ROUNDDOWN(I654,0))*3)*(-$J654^3+3*$J654^2-3*$J654+1)+INDIRECT("D$"&amp;3+MIN(2,ROUNDDOWN(I654,0))*3)*(3*$J654^3-6*$J654^2+3*$J654)+INDIRECT("D$"&amp;4+MIN(2,ROUNDDOWN(I654,0))*3)*(-3*$J654^3+3*$J654^2)+INDIRECT("D$"&amp;5+MIN(2,ROUNDDOWN(I654,0))*3)*$J654^3</f>
      </c>
      <c r="M654" s="7">
        <f>SQRT(K654^2+L654^2)</f>
      </c>
      <c r="N654" s="7">
        <f>(K655-K653)</f>
      </c>
      <c r="O654" s="7">
        <f>+(L655-L653)</f>
      </c>
      <c r="P654" s="7">
        <f>SQRT(O654^2+N654^2)</f>
      </c>
      <c r="Q654" s="7">
        <f>N654/$P654</f>
      </c>
      <c r="R654" s="7">
        <f>O654/$P654</f>
      </c>
      <c r="S654" s="7">
        <f>Q654^2+R654^2</f>
      </c>
      <c r="T654" s="7">
        <f>-R654</f>
      </c>
      <c r="U654" s="7">
        <f>Q654</f>
      </c>
      <c r="V654" s="7">
        <f>($C$14+($C$15-$C$14)/($D$15-$D$14)*(I654-$D$14))/2</f>
      </c>
      <c r="W654" s="7">
        <f>($B$22*I654^4+$C$22*I654^3+$D$22*I654^2+$E$22*I654+$F$22)/2</f>
      </c>
      <c r="X654" s="7">
        <f>($W654)*(T654)</f>
      </c>
      <c r="Y654" s="7">
        <f>($W654)*(U654)</f>
      </c>
      <c r="Z654" s="7">
        <f>SQRT(X654^2+Y654^2)</f>
      </c>
      <c r="AA654" s="7">
        <f>$K654+$X654</f>
      </c>
      <c r="AB654" s="7">
        <f>$L654+$Y654</f>
      </c>
      <c r="AC654" s="7">
        <f>$K654-$X654</f>
      </c>
      <c r="AD654" s="7">
        <f>$L654-$Y654</f>
      </c>
      <c r="AE654" s="7">
        <f>AA654/39.3701</f>
      </c>
      <c r="AF654" s="7">
        <f>AB654/39.3701</f>
      </c>
      <c r="AG654" s="7">
        <f>AC654/39.3701</f>
      </c>
      <c r="AH654" s="7">
        <f>AD654/39.3701</f>
      </c>
      <c r="AI654" s="1"/>
      <c r="AJ654" s="1"/>
      <c r="AK654" s="1"/>
      <c r="AL654" s="1"/>
      <c r="AM654" s="2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</row>
    <row x14ac:dyDescent="0.25" r="655" customHeight="1" ht="18.75">
      <c r="A655" s="1"/>
      <c r="B655" s="2"/>
      <c r="C655" s="2"/>
      <c r="D655" s="2"/>
      <c r="E655" s="2"/>
      <c r="F655" s="2"/>
      <c r="G655" s="1"/>
      <c r="H655" s="1"/>
      <c r="I655" s="7">
        <v>0.652</v>
      </c>
      <c r="J655" s="7">
        <f>IF((I655-ROUNDDOWN(I655,0))=0, 0, (I655-ROUNDDOWN(I655,0)))</f>
      </c>
      <c r="K655" s="7">
        <f>INDIRECT("C$"&amp;2+MIN(2,ROUNDDOWN(I655,0))*3)*(-$J655^3+3*$J655^2-3*$J655+1)+INDIRECT("C$"&amp;3+MIN(2,ROUNDDOWN(I655,0))*3)*(3*$J655^3-6*$J655^2+3*$J655)+INDIRECT("C$"&amp;4+MIN(2,ROUNDDOWN(I655,0))*3)*(-3*$J655^3+3*$J655^2)+INDIRECT("C$"&amp;5+MIN(2,ROUNDDOWN(I655,0))*3)*$J655^3</f>
      </c>
      <c r="L655" s="7">
        <f>INDIRECT("D$"&amp;2+MIN(2,ROUNDDOWN(I655,0))*3)*(-$J655^3+3*$J655^2-3*$J655+1)+INDIRECT("D$"&amp;3+MIN(2,ROUNDDOWN(I655,0))*3)*(3*$J655^3-6*$J655^2+3*$J655)+INDIRECT("D$"&amp;4+MIN(2,ROUNDDOWN(I655,0))*3)*(-3*$J655^3+3*$J655^2)+INDIRECT("D$"&amp;5+MIN(2,ROUNDDOWN(I655,0))*3)*$J655^3</f>
      </c>
      <c r="M655" s="7">
        <f>SQRT(K655^2+L655^2)</f>
      </c>
      <c r="N655" s="7">
        <f>(K656-K654)</f>
      </c>
      <c r="O655" s="7">
        <f>+(L656-L654)</f>
      </c>
      <c r="P655" s="7">
        <f>SQRT(O655^2+N655^2)</f>
      </c>
      <c r="Q655" s="7">
        <f>N655/$P655</f>
      </c>
      <c r="R655" s="7">
        <f>O655/$P655</f>
      </c>
      <c r="S655" s="8">
        <f>Q655^2+R655^2</f>
      </c>
      <c r="T655" s="7">
        <f>-R655</f>
      </c>
      <c r="U655" s="7">
        <f>Q655</f>
      </c>
      <c r="V655" s="7">
        <f>($C$14+($C$15-$C$14)/($D$15-$D$14)*(I655-$D$14))/2</f>
      </c>
      <c r="W655" s="7">
        <f>($B$22*I655^4+$C$22*I655^3+$D$22*I655^2+$E$22*I655+$F$22)/2</f>
      </c>
      <c r="X655" s="7">
        <f>($W655)*(T655)</f>
      </c>
      <c r="Y655" s="7">
        <f>($W655)*(U655)</f>
      </c>
      <c r="Z655" s="7">
        <f>SQRT(X655^2+Y655^2)</f>
      </c>
      <c r="AA655" s="7">
        <f>$K655+$X655</f>
      </c>
      <c r="AB655" s="7">
        <f>$L655+$Y655</f>
      </c>
      <c r="AC655" s="7">
        <f>$K655-$X655</f>
      </c>
      <c r="AD655" s="7">
        <f>$L655-$Y655</f>
      </c>
      <c r="AE655" s="7">
        <f>AA655/39.3701</f>
      </c>
      <c r="AF655" s="7">
        <f>AB655/39.3701</f>
      </c>
      <c r="AG655" s="7">
        <f>AC655/39.3701</f>
      </c>
      <c r="AH655" s="7">
        <f>AD655/39.3701</f>
      </c>
      <c r="AI655" s="1"/>
      <c r="AJ655" s="1"/>
      <c r="AK655" s="1"/>
      <c r="AL655" s="1"/>
      <c r="AM655" s="2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</row>
    <row x14ac:dyDescent="0.25" r="656" customHeight="1" ht="18.75">
      <c r="A656" s="1"/>
      <c r="B656" s="2"/>
      <c r="C656" s="2"/>
      <c r="D656" s="2"/>
      <c r="E656" s="2"/>
      <c r="F656" s="2"/>
      <c r="G656" s="1"/>
      <c r="H656" s="1"/>
      <c r="I656" s="7">
        <v>0.653</v>
      </c>
      <c r="J656" s="7">
        <f>IF((I656-ROUNDDOWN(I656,0))=0, 0, (I656-ROUNDDOWN(I656,0)))</f>
      </c>
      <c r="K656" s="7">
        <f>INDIRECT("C$"&amp;2+MIN(2,ROUNDDOWN(I656,0))*3)*(-$J656^3+3*$J656^2-3*$J656+1)+INDIRECT("C$"&amp;3+MIN(2,ROUNDDOWN(I656,0))*3)*(3*$J656^3-6*$J656^2+3*$J656)+INDIRECT("C$"&amp;4+MIN(2,ROUNDDOWN(I656,0))*3)*(-3*$J656^3+3*$J656^2)+INDIRECT("C$"&amp;5+MIN(2,ROUNDDOWN(I656,0))*3)*$J656^3</f>
      </c>
      <c r="L656" s="7">
        <f>INDIRECT("D$"&amp;2+MIN(2,ROUNDDOWN(I656,0))*3)*(-$J656^3+3*$J656^2-3*$J656+1)+INDIRECT("D$"&amp;3+MIN(2,ROUNDDOWN(I656,0))*3)*(3*$J656^3-6*$J656^2+3*$J656)+INDIRECT("D$"&amp;4+MIN(2,ROUNDDOWN(I656,0))*3)*(-3*$J656^3+3*$J656^2)+INDIRECT("D$"&amp;5+MIN(2,ROUNDDOWN(I656,0))*3)*$J656^3</f>
      </c>
      <c r="M656" s="7">
        <f>SQRT(K656^2+L656^2)</f>
      </c>
      <c r="N656" s="7">
        <f>(K657-K655)</f>
      </c>
      <c r="O656" s="7">
        <f>+(L657-L655)</f>
      </c>
      <c r="P656" s="7">
        <f>SQRT(O656^2+N656^2)</f>
      </c>
      <c r="Q656" s="7">
        <f>N656/$P656</f>
      </c>
      <c r="R656" s="7">
        <f>O656/$P656</f>
      </c>
      <c r="S656" s="8">
        <f>Q656^2+R656^2</f>
      </c>
      <c r="T656" s="7">
        <f>-R656</f>
      </c>
      <c r="U656" s="7">
        <f>Q656</f>
      </c>
      <c r="V656" s="7">
        <f>($C$14+($C$15-$C$14)/($D$15-$D$14)*(I656-$D$14))/2</f>
      </c>
      <c r="W656" s="7">
        <f>($B$22*I656^4+$C$22*I656^3+$D$22*I656^2+$E$22*I656+$F$22)/2</f>
      </c>
      <c r="X656" s="7">
        <f>($W656)*(T656)</f>
      </c>
      <c r="Y656" s="7">
        <f>($W656)*(U656)</f>
      </c>
      <c r="Z656" s="7">
        <f>SQRT(X656^2+Y656^2)</f>
      </c>
      <c r="AA656" s="7">
        <f>$K656+$X656</f>
      </c>
      <c r="AB656" s="7">
        <f>$L656+$Y656</f>
      </c>
      <c r="AC656" s="7">
        <f>$K656-$X656</f>
      </c>
      <c r="AD656" s="7">
        <f>$L656-$Y656</f>
      </c>
      <c r="AE656" s="7">
        <f>AA656/39.3701</f>
      </c>
      <c r="AF656" s="7">
        <f>AB656/39.3701</f>
      </c>
      <c r="AG656" s="7">
        <f>AC656/39.3701</f>
      </c>
      <c r="AH656" s="7">
        <f>AD656/39.3701</f>
      </c>
      <c r="AI656" s="1"/>
      <c r="AJ656" s="1"/>
      <c r="AK656" s="1"/>
      <c r="AL656" s="1"/>
      <c r="AM656" s="2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</row>
    <row x14ac:dyDescent="0.25" r="657" customHeight="1" ht="18.75">
      <c r="A657" s="1"/>
      <c r="B657" s="2"/>
      <c r="C657" s="2"/>
      <c r="D657" s="2"/>
      <c r="E657" s="2"/>
      <c r="F657" s="2"/>
      <c r="G657" s="1"/>
      <c r="H657" s="1"/>
      <c r="I657" s="7">
        <v>0.654</v>
      </c>
      <c r="J657" s="7">
        <f>IF((I657-ROUNDDOWN(I657,0))=0, 0, (I657-ROUNDDOWN(I657,0)))</f>
      </c>
      <c r="K657" s="7">
        <f>INDIRECT("C$"&amp;2+MIN(2,ROUNDDOWN(I657,0))*3)*(-$J657^3+3*$J657^2-3*$J657+1)+INDIRECT("C$"&amp;3+MIN(2,ROUNDDOWN(I657,0))*3)*(3*$J657^3-6*$J657^2+3*$J657)+INDIRECT("C$"&amp;4+MIN(2,ROUNDDOWN(I657,0))*3)*(-3*$J657^3+3*$J657^2)+INDIRECT("C$"&amp;5+MIN(2,ROUNDDOWN(I657,0))*3)*$J657^3</f>
      </c>
      <c r="L657" s="7">
        <f>INDIRECT("D$"&amp;2+MIN(2,ROUNDDOWN(I657,0))*3)*(-$J657^3+3*$J657^2-3*$J657+1)+INDIRECT("D$"&amp;3+MIN(2,ROUNDDOWN(I657,0))*3)*(3*$J657^3-6*$J657^2+3*$J657)+INDIRECT("D$"&amp;4+MIN(2,ROUNDDOWN(I657,0))*3)*(-3*$J657^3+3*$J657^2)+INDIRECT("D$"&amp;5+MIN(2,ROUNDDOWN(I657,0))*3)*$J657^3</f>
      </c>
      <c r="M657" s="7">
        <f>SQRT(K657^2+L657^2)</f>
      </c>
      <c r="N657" s="7">
        <f>(K658-K656)</f>
      </c>
      <c r="O657" s="7">
        <f>+(L658-L656)</f>
      </c>
      <c r="P657" s="7">
        <f>SQRT(O657^2+N657^2)</f>
      </c>
      <c r="Q657" s="7">
        <f>N657/$P657</f>
      </c>
      <c r="R657" s="7">
        <f>O657/$P657</f>
      </c>
      <c r="S657" s="7">
        <f>Q657^2+R657^2</f>
      </c>
      <c r="T657" s="7">
        <f>-R657</f>
      </c>
      <c r="U657" s="7">
        <f>Q657</f>
      </c>
      <c r="V657" s="7">
        <f>($C$14+($C$15-$C$14)/($D$15-$D$14)*(I657-$D$14))/2</f>
      </c>
      <c r="W657" s="7">
        <f>($B$22*I657^4+$C$22*I657^3+$D$22*I657^2+$E$22*I657+$F$22)/2</f>
      </c>
      <c r="X657" s="7">
        <f>($W657)*(T657)</f>
      </c>
      <c r="Y657" s="7">
        <f>($W657)*(U657)</f>
      </c>
      <c r="Z657" s="7">
        <f>SQRT(X657^2+Y657^2)</f>
      </c>
      <c r="AA657" s="7">
        <f>$K657+$X657</f>
      </c>
      <c r="AB657" s="7">
        <f>$L657+$Y657</f>
      </c>
      <c r="AC657" s="7">
        <f>$K657-$X657</f>
      </c>
      <c r="AD657" s="7">
        <f>$L657-$Y657</f>
      </c>
      <c r="AE657" s="7">
        <f>AA657/39.3701</f>
      </c>
      <c r="AF657" s="7">
        <f>AB657/39.3701</f>
      </c>
      <c r="AG657" s="7">
        <f>AC657/39.3701</f>
      </c>
      <c r="AH657" s="7">
        <f>AD657/39.3701</f>
      </c>
      <c r="AI657" s="1"/>
      <c r="AJ657" s="1"/>
      <c r="AK657" s="1"/>
      <c r="AL657" s="1"/>
      <c r="AM657" s="2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</row>
    <row x14ac:dyDescent="0.25" r="658" customHeight="1" ht="18.75">
      <c r="A658" s="1"/>
      <c r="B658" s="2"/>
      <c r="C658" s="2"/>
      <c r="D658" s="2"/>
      <c r="E658" s="2"/>
      <c r="F658" s="2"/>
      <c r="G658" s="1"/>
      <c r="H658" s="1"/>
      <c r="I658" s="7">
        <v>0.655</v>
      </c>
      <c r="J658" s="7">
        <f>IF((I658-ROUNDDOWN(I658,0))=0, 0, (I658-ROUNDDOWN(I658,0)))</f>
      </c>
      <c r="K658" s="7">
        <f>INDIRECT("C$"&amp;2+MIN(2,ROUNDDOWN(I658,0))*3)*(-$J658^3+3*$J658^2-3*$J658+1)+INDIRECT("C$"&amp;3+MIN(2,ROUNDDOWN(I658,0))*3)*(3*$J658^3-6*$J658^2+3*$J658)+INDIRECT("C$"&amp;4+MIN(2,ROUNDDOWN(I658,0))*3)*(-3*$J658^3+3*$J658^2)+INDIRECT("C$"&amp;5+MIN(2,ROUNDDOWN(I658,0))*3)*$J658^3</f>
      </c>
      <c r="L658" s="7">
        <f>INDIRECT("D$"&amp;2+MIN(2,ROUNDDOWN(I658,0))*3)*(-$J658^3+3*$J658^2-3*$J658+1)+INDIRECT("D$"&amp;3+MIN(2,ROUNDDOWN(I658,0))*3)*(3*$J658^3-6*$J658^2+3*$J658)+INDIRECT("D$"&amp;4+MIN(2,ROUNDDOWN(I658,0))*3)*(-3*$J658^3+3*$J658^2)+INDIRECT("D$"&amp;5+MIN(2,ROUNDDOWN(I658,0))*3)*$J658^3</f>
      </c>
      <c r="M658" s="7">
        <f>SQRT(K658^2+L658^2)</f>
      </c>
      <c r="N658" s="7">
        <f>(K659-K657)</f>
      </c>
      <c r="O658" s="7">
        <f>+(L659-L657)</f>
      </c>
      <c r="P658" s="7">
        <f>SQRT(O658^2+N658^2)</f>
      </c>
      <c r="Q658" s="7">
        <f>N658/$P658</f>
      </c>
      <c r="R658" s="7">
        <f>O658/$P658</f>
      </c>
      <c r="S658" s="8">
        <f>Q658^2+R658^2</f>
      </c>
      <c r="T658" s="7">
        <f>-R658</f>
      </c>
      <c r="U658" s="7">
        <f>Q658</f>
      </c>
      <c r="V658" s="7">
        <f>($C$14+($C$15-$C$14)/($D$15-$D$14)*(I658-$D$14))/2</f>
      </c>
      <c r="W658" s="7">
        <f>($B$22*I658^4+$C$22*I658^3+$D$22*I658^2+$E$22*I658+$F$22)/2</f>
      </c>
      <c r="X658" s="7">
        <f>($W658)*(T658)</f>
      </c>
      <c r="Y658" s="7">
        <f>($W658)*(U658)</f>
      </c>
      <c r="Z658" s="7">
        <f>SQRT(X658^2+Y658^2)</f>
      </c>
      <c r="AA658" s="7">
        <f>$K658+$X658</f>
      </c>
      <c r="AB658" s="7">
        <f>$L658+$Y658</f>
      </c>
      <c r="AC658" s="7">
        <f>$K658-$X658</f>
      </c>
      <c r="AD658" s="7">
        <f>$L658-$Y658</f>
      </c>
      <c r="AE658" s="7">
        <f>AA658/39.3701</f>
      </c>
      <c r="AF658" s="7">
        <f>AB658/39.3701</f>
      </c>
      <c r="AG658" s="7">
        <f>AC658/39.3701</f>
      </c>
      <c r="AH658" s="7">
        <f>AD658/39.3701</f>
      </c>
      <c r="AI658" s="1"/>
      <c r="AJ658" s="1"/>
      <c r="AK658" s="1"/>
      <c r="AL658" s="1"/>
      <c r="AM658" s="2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</row>
    <row x14ac:dyDescent="0.25" r="659" customHeight="1" ht="18.75">
      <c r="A659" s="1"/>
      <c r="B659" s="2"/>
      <c r="C659" s="2"/>
      <c r="D659" s="2"/>
      <c r="E659" s="2"/>
      <c r="F659" s="2"/>
      <c r="G659" s="1"/>
      <c r="H659" s="1"/>
      <c r="I659" s="7">
        <v>0.656</v>
      </c>
      <c r="J659" s="7">
        <f>IF((I659-ROUNDDOWN(I659,0))=0, 0, (I659-ROUNDDOWN(I659,0)))</f>
      </c>
      <c r="K659" s="7">
        <f>INDIRECT("C$"&amp;2+MIN(2,ROUNDDOWN(I659,0))*3)*(-$J659^3+3*$J659^2-3*$J659+1)+INDIRECT("C$"&amp;3+MIN(2,ROUNDDOWN(I659,0))*3)*(3*$J659^3-6*$J659^2+3*$J659)+INDIRECT("C$"&amp;4+MIN(2,ROUNDDOWN(I659,0))*3)*(-3*$J659^3+3*$J659^2)+INDIRECT("C$"&amp;5+MIN(2,ROUNDDOWN(I659,0))*3)*$J659^3</f>
      </c>
      <c r="L659" s="7">
        <f>INDIRECT("D$"&amp;2+MIN(2,ROUNDDOWN(I659,0))*3)*(-$J659^3+3*$J659^2-3*$J659+1)+INDIRECT("D$"&amp;3+MIN(2,ROUNDDOWN(I659,0))*3)*(3*$J659^3-6*$J659^2+3*$J659)+INDIRECT("D$"&amp;4+MIN(2,ROUNDDOWN(I659,0))*3)*(-3*$J659^3+3*$J659^2)+INDIRECT("D$"&amp;5+MIN(2,ROUNDDOWN(I659,0))*3)*$J659^3</f>
      </c>
      <c r="M659" s="7">
        <f>SQRT(K659^2+L659^2)</f>
      </c>
      <c r="N659" s="7">
        <f>(K660-K658)</f>
      </c>
      <c r="O659" s="7">
        <f>+(L660-L658)</f>
      </c>
      <c r="P659" s="7">
        <f>SQRT(O659^2+N659^2)</f>
      </c>
      <c r="Q659" s="7">
        <f>N659/$P659</f>
      </c>
      <c r="R659" s="7">
        <f>O659/$P659</f>
      </c>
      <c r="S659" s="8">
        <f>Q659^2+R659^2</f>
      </c>
      <c r="T659" s="7">
        <f>-R659</f>
      </c>
      <c r="U659" s="7">
        <f>Q659</f>
      </c>
      <c r="V659" s="7">
        <f>($C$14+($C$15-$C$14)/($D$15-$D$14)*(I659-$D$14))/2</f>
      </c>
      <c r="W659" s="7">
        <f>($B$22*I659^4+$C$22*I659^3+$D$22*I659^2+$E$22*I659+$F$22)/2</f>
      </c>
      <c r="X659" s="7">
        <f>($W659)*(T659)</f>
      </c>
      <c r="Y659" s="7">
        <f>($W659)*(U659)</f>
      </c>
      <c r="Z659" s="7">
        <f>SQRT(X659^2+Y659^2)</f>
      </c>
      <c r="AA659" s="7">
        <f>$K659+$X659</f>
      </c>
      <c r="AB659" s="7">
        <f>$L659+$Y659</f>
      </c>
      <c r="AC659" s="7">
        <f>$K659-$X659</f>
      </c>
      <c r="AD659" s="7">
        <f>$L659-$Y659</f>
      </c>
      <c r="AE659" s="7">
        <f>AA659/39.3701</f>
      </c>
      <c r="AF659" s="7">
        <f>AB659/39.3701</f>
      </c>
      <c r="AG659" s="7">
        <f>AC659/39.3701</f>
      </c>
      <c r="AH659" s="7">
        <f>AD659/39.3701</f>
      </c>
      <c r="AI659" s="1"/>
      <c r="AJ659" s="1"/>
      <c r="AK659" s="1"/>
      <c r="AL659" s="1"/>
      <c r="AM659" s="2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</row>
    <row x14ac:dyDescent="0.25" r="660" customHeight="1" ht="18.75">
      <c r="A660" s="1"/>
      <c r="B660" s="2"/>
      <c r="C660" s="2"/>
      <c r="D660" s="2"/>
      <c r="E660" s="2"/>
      <c r="F660" s="2"/>
      <c r="G660" s="1"/>
      <c r="H660" s="1"/>
      <c r="I660" s="7">
        <v>0.657</v>
      </c>
      <c r="J660" s="7">
        <f>IF((I660-ROUNDDOWN(I660,0))=0, 0, (I660-ROUNDDOWN(I660,0)))</f>
      </c>
      <c r="K660" s="7">
        <f>INDIRECT("C$"&amp;2+MIN(2,ROUNDDOWN(I660,0))*3)*(-$J660^3+3*$J660^2-3*$J660+1)+INDIRECT("C$"&amp;3+MIN(2,ROUNDDOWN(I660,0))*3)*(3*$J660^3-6*$J660^2+3*$J660)+INDIRECT("C$"&amp;4+MIN(2,ROUNDDOWN(I660,0))*3)*(-3*$J660^3+3*$J660^2)+INDIRECT("C$"&amp;5+MIN(2,ROUNDDOWN(I660,0))*3)*$J660^3</f>
      </c>
      <c r="L660" s="7">
        <f>INDIRECT("D$"&amp;2+MIN(2,ROUNDDOWN(I660,0))*3)*(-$J660^3+3*$J660^2-3*$J660+1)+INDIRECT("D$"&amp;3+MIN(2,ROUNDDOWN(I660,0))*3)*(3*$J660^3-6*$J660^2+3*$J660)+INDIRECT("D$"&amp;4+MIN(2,ROUNDDOWN(I660,0))*3)*(-3*$J660^3+3*$J660^2)+INDIRECT("D$"&amp;5+MIN(2,ROUNDDOWN(I660,0))*3)*$J660^3</f>
      </c>
      <c r="M660" s="7">
        <f>SQRT(K660^2+L660^2)</f>
      </c>
      <c r="N660" s="7">
        <f>(K661-K659)</f>
      </c>
      <c r="O660" s="7">
        <f>+(L661-L659)</f>
      </c>
      <c r="P660" s="7">
        <f>SQRT(O660^2+N660^2)</f>
      </c>
      <c r="Q660" s="7">
        <f>N660/$P660</f>
      </c>
      <c r="R660" s="7">
        <f>O660/$P660</f>
      </c>
      <c r="S660" s="8">
        <f>Q660^2+R660^2</f>
      </c>
      <c r="T660" s="7">
        <f>-R660</f>
      </c>
      <c r="U660" s="7">
        <f>Q660</f>
      </c>
      <c r="V660" s="7">
        <f>($C$14+($C$15-$C$14)/($D$15-$D$14)*(I660-$D$14))/2</f>
      </c>
      <c r="W660" s="7">
        <f>($B$22*I660^4+$C$22*I660^3+$D$22*I660^2+$E$22*I660+$F$22)/2</f>
      </c>
      <c r="X660" s="7">
        <f>($W660)*(T660)</f>
      </c>
      <c r="Y660" s="7">
        <f>($W660)*(U660)</f>
      </c>
      <c r="Z660" s="7">
        <f>SQRT(X660^2+Y660^2)</f>
      </c>
      <c r="AA660" s="7">
        <f>$K660+$X660</f>
      </c>
      <c r="AB660" s="7">
        <f>$L660+$Y660</f>
      </c>
      <c r="AC660" s="7">
        <f>$K660-$X660</f>
      </c>
      <c r="AD660" s="7">
        <f>$L660-$Y660</f>
      </c>
      <c r="AE660" s="7">
        <f>AA660/39.3701</f>
      </c>
      <c r="AF660" s="7">
        <f>AB660/39.3701</f>
      </c>
      <c r="AG660" s="7">
        <f>AC660/39.3701</f>
      </c>
      <c r="AH660" s="7">
        <f>AD660/39.3701</f>
      </c>
      <c r="AI660" s="1"/>
      <c r="AJ660" s="1"/>
      <c r="AK660" s="1"/>
      <c r="AL660" s="1"/>
      <c r="AM660" s="2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</row>
    <row x14ac:dyDescent="0.25" r="661" customHeight="1" ht="18.75">
      <c r="A661" s="1"/>
      <c r="B661" s="2"/>
      <c r="C661" s="2"/>
      <c r="D661" s="2"/>
      <c r="E661" s="2"/>
      <c r="F661" s="2"/>
      <c r="G661" s="1"/>
      <c r="H661" s="1"/>
      <c r="I661" s="7">
        <v>0.658</v>
      </c>
      <c r="J661" s="7">
        <f>IF((I661-ROUNDDOWN(I661,0))=0, 0, (I661-ROUNDDOWN(I661,0)))</f>
      </c>
      <c r="K661" s="7">
        <f>INDIRECT("C$"&amp;2+MIN(2,ROUNDDOWN(I661,0))*3)*(-$J661^3+3*$J661^2-3*$J661+1)+INDIRECT("C$"&amp;3+MIN(2,ROUNDDOWN(I661,0))*3)*(3*$J661^3-6*$J661^2+3*$J661)+INDIRECT("C$"&amp;4+MIN(2,ROUNDDOWN(I661,0))*3)*(-3*$J661^3+3*$J661^2)+INDIRECT("C$"&amp;5+MIN(2,ROUNDDOWN(I661,0))*3)*$J661^3</f>
      </c>
      <c r="L661" s="7">
        <f>INDIRECT("D$"&amp;2+MIN(2,ROUNDDOWN(I661,0))*3)*(-$J661^3+3*$J661^2-3*$J661+1)+INDIRECT("D$"&amp;3+MIN(2,ROUNDDOWN(I661,0))*3)*(3*$J661^3-6*$J661^2+3*$J661)+INDIRECT("D$"&amp;4+MIN(2,ROUNDDOWN(I661,0))*3)*(-3*$J661^3+3*$J661^2)+INDIRECT("D$"&amp;5+MIN(2,ROUNDDOWN(I661,0))*3)*$J661^3</f>
      </c>
      <c r="M661" s="7">
        <f>SQRT(K661^2+L661^2)</f>
      </c>
      <c r="N661" s="7">
        <f>(K662-K660)</f>
      </c>
      <c r="O661" s="7">
        <f>+(L662-L660)</f>
      </c>
      <c r="P661" s="7">
        <f>SQRT(O661^2+N661^2)</f>
      </c>
      <c r="Q661" s="7">
        <f>N661/$P661</f>
      </c>
      <c r="R661" s="7">
        <f>O661/$P661</f>
      </c>
      <c r="S661" s="8">
        <f>Q661^2+R661^2</f>
      </c>
      <c r="T661" s="7">
        <f>-R661</f>
      </c>
      <c r="U661" s="7">
        <f>Q661</f>
      </c>
      <c r="V661" s="7">
        <f>($C$14+($C$15-$C$14)/($D$15-$D$14)*(I661-$D$14))/2</f>
      </c>
      <c r="W661" s="7">
        <f>($B$22*I661^4+$C$22*I661^3+$D$22*I661^2+$E$22*I661+$F$22)/2</f>
      </c>
      <c r="X661" s="7">
        <f>($W661)*(T661)</f>
      </c>
      <c r="Y661" s="7">
        <f>($W661)*(U661)</f>
      </c>
      <c r="Z661" s="7">
        <f>SQRT(X661^2+Y661^2)</f>
      </c>
      <c r="AA661" s="7">
        <f>$K661+$X661</f>
      </c>
      <c r="AB661" s="7">
        <f>$L661+$Y661</f>
      </c>
      <c r="AC661" s="7">
        <f>$K661-$X661</f>
      </c>
      <c r="AD661" s="7">
        <f>$L661-$Y661</f>
      </c>
      <c r="AE661" s="7">
        <f>AA661/39.3701</f>
      </c>
      <c r="AF661" s="7">
        <f>AB661/39.3701</f>
      </c>
      <c r="AG661" s="7">
        <f>AC661/39.3701</f>
      </c>
      <c r="AH661" s="7">
        <f>AD661/39.3701</f>
      </c>
      <c r="AI661" s="1"/>
      <c r="AJ661" s="1"/>
      <c r="AK661" s="1"/>
      <c r="AL661" s="1"/>
      <c r="AM661" s="2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</row>
    <row x14ac:dyDescent="0.25" r="662" customHeight="1" ht="18.75">
      <c r="A662" s="1"/>
      <c r="B662" s="2"/>
      <c r="C662" s="2"/>
      <c r="D662" s="2"/>
      <c r="E662" s="2"/>
      <c r="F662" s="2"/>
      <c r="G662" s="1"/>
      <c r="H662" s="1"/>
      <c r="I662" s="7">
        <v>0.659</v>
      </c>
      <c r="J662" s="7">
        <f>IF((I662-ROUNDDOWN(I662,0))=0, 0, (I662-ROUNDDOWN(I662,0)))</f>
      </c>
      <c r="K662" s="7">
        <f>INDIRECT("C$"&amp;2+MIN(2,ROUNDDOWN(I662,0))*3)*(-$J662^3+3*$J662^2-3*$J662+1)+INDIRECT("C$"&amp;3+MIN(2,ROUNDDOWN(I662,0))*3)*(3*$J662^3-6*$J662^2+3*$J662)+INDIRECT("C$"&amp;4+MIN(2,ROUNDDOWN(I662,0))*3)*(-3*$J662^3+3*$J662^2)+INDIRECT("C$"&amp;5+MIN(2,ROUNDDOWN(I662,0))*3)*$J662^3</f>
      </c>
      <c r="L662" s="7">
        <f>INDIRECT("D$"&amp;2+MIN(2,ROUNDDOWN(I662,0))*3)*(-$J662^3+3*$J662^2-3*$J662+1)+INDIRECT("D$"&amp;3+MIN(2,ROUNDDOWN(I662,0))*3)*(3*$J662^3-6*$J662^2+3*$J662)+INDIRECT("D$"&amp;4+MIN(2,ROUNDDOWN(I662,0))*3)*(-3*$J662^3+3*$J662^2)+INDIRECT("D$"&amp;5+MIN(2,ROUNDDOWN(I662,0))*3)*$J662^3</f>
      </c>
      <c r="M662" s="7">
        <f>SQRT(K662^2+L662^2)</f>
      </c>
      <c r="N662" s="7">
        <f>(K663-K661)</f>
      </c>
      <c r="O662" s="7">
        <f>+(L663-L661)</f>
      </c>
      <c r="P662" s="7">
        <f>SQRT(O662^2+N662^2)</f>
      </c>
      <c r="Q662" s="7">
        <f>N662/$P662</f>
      </c>
      <c r="R662" s="7">
        <f>O662/$P662</f>
      </c>
      <c r="S662" s="8">
        <f>Q662^2+R662^2</f>
      </c>
      <c r="T662" s="7">
        <f>-R662</f>
      </c>
      <c r="U662" s="7">
        <f>Q662</f>
      </c>
      <c r="V662" s="7">
        <f>($C$14+($C$15-$C$14)/($D$15-$D$14)*(I662-$D$14))/2</f>
      </c>
      <c r="W662" s="7">
        <f>($B$22*I662^4+$C$22*I662^3+$D$22*I662^2+$E$22*I662+$F$22)/2</f>
      </c>
      <c r="X662" s="7">
        <f>($W662)*(T662)</f>
      </c>
      <c r="Y662" s="7">
        <f>($W662)*(U662)</f>
      </c>
      <c r="Z662" s="7">
        <f>SQRT(X662^2+Y662^2)</f>
      </c>
      <c r="AA662" s="7">
        <f>$K662+$X662</f>
      </c>
      <c r="AB662" s="7">
        <f>$L662+$Y662</f>
      </c>
      <c r="AC662" s="7">
        <f>$K662-$X662</f>
      </c>
      <c r="AD662" s="7">
        <f>$L662-$Y662</f>
      </c>
      <c r="AE662" s="7">
        <f>AA662/39.3701</f>
      </c>
      <c r="AF662" s="7">
        <f>AB662/39.3701</f>
      </c>
      <c r="AG662" s="7">
        <f>AC662/39.3701</f>
      </c>
      <c r="AH662" s="7">
        <f>AD662/39.3701</f>
      </c>
      <c r="AI662" s="1"/>
      <c r="AJ662" s="1"/>
      <c r="AK662" s="1"/>
      <c r="AL662" s="1"/>
      <c r="AM662" s="2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</row>
    <row x14ac:dyDescent="0.25" r="663" customHeight="1" ht="18.75">
      <c r="A663" s="1"/>
      <c r="B663" s="2"/>
      <c r="C663" s="2"/>
      <c r="D663" s="2"/>
      <c r="E663" s="2"/>
      <c r="F663" s="2"/>
      <c r="G663" s="1"/>
      <c r="H663" s="1"/>
      <c r="I663" s="7">
        <v>0.66</v>
      </c>
      <c r="J663" s="7">
        <f>IF((I663-ROUNDDOWN(I663,0))=0, 0, (I663-ROUNDDOWN(I663,0)))</f>
      </c>
      <c r="K663" s="7">
        <f>INDIRECT("C$"&amp;2+MIN(2,ROUNDDOWN(I663,0))*3)*(-$J663^3+3*$J663^2-3*$J663+1)+INDIRECT("C$"&amp;3+MIN(2,ROUNDDOWN(I663,0))*3)*(3*$J663^3-6*$J663^2+3*$J663)+INDIRECT("C$"&amp;4+MIN(2,ROUNDDOWN(I663,0))*3)*(-3*$J663^3+3*$J663^2)+INDIRECT("C$"&amp;5+MIN(2,ROUNDDOWN(I663,0))*3)*$J663^3</f>
      </c>
      <c r="L663" s="7">
        <f>INDIRECT("D$"&amp;2+MIN(2,ROUNDDOWN(I663,0))*3)*(-$J663^3+3*$J663^2-3*$J663+1)+INDIRECT("D$"&amp;3+MIN(2,ROUNDDOWN(I663,0))*3)*(3*$J663^3-6*$J663^2+3*$J663)+INDIRECT("D$"&amp;4+MIN(2,ROUNDDOWN(I663,0))*3)*(-3*$J663^3+3*$J663^2)+INDIRECT("D$"&amp;5+MIN(2,ROUNDDOWN(I663,0))*3)*$J663^3</f>
      </c>
      <c r="M663" s="7">
        <f>SQRT(K663^2+L663^2)</f>
      </c>
      <c r="N663" s="7">
        <f>(K664-K662)</f>
      </c>
      <c r="O663" s="7">
        <f>+(L664-L662)</f>
      </c>
      <c r="P663" s="7">
        <f>SQRT(O663^2+N663^2)</f>
      </c>
      <c r="Q663" s="7">
        <f>N663/$P663</f>
      </c>
      <c r="R663" s="7">
        <f>O663/$P663</f>
      </c>
      <c r="S663" s="8">
        <f>Q663^2+R663^2</f>
      </c>
      <c r="T663" s="7">
        <f>-R663</f>
      </c>
      <c r="U663" s="7">
        <f>Q663</f>
      </c>
      <c r="V663" s="7">
        <f>($C$14+($C$15-$C$14)/($D$15-$D$14)*(I663-$D$14))/2</f>
      </c>
      <c r="W663" s="7">
        <f>($B$22*I663^4+$C$22*I663^3+$D$22*I663^2+$E$22*I663+$F$22)/2</f>
      </c>
      <c r="X663" s="7">
        <f>($W663)*(T663)</f>
      </c>
      <c r="Y663" s="7">
        <f>($W663)*(U663)</f>
      </c>
      <c r="Z663" s="7">
        <f>SQRT(X663^2+Y663^2)</f>
      </c>
      <c r="AA663" s="7">
        <f>$K663+$X663</f>
      </c>
      <c r="AB663" s="7">
        <f>$L663+$Y663</f>
      </c>
      <c r="AC663" s="7">
        <f>$K663-$X663</f>
      </c>
      <c r="AD663" s="7">
        <f>$L663-$Y663</f>
      </c>
      <c r="AE663" s="7">
        <f>AA663/39.3701</f>
      </c>
      <c r="AF663" s="7">
        <f>AB663/39.3701</f>
      </c>
      <c r="AG663" s="7">
        <f>AC663/39.3701</f>
      </c>
      <c r="AH663" s="7">
        <f>AD663/39.3701</f>
      </c>
      <c r="AI663" s="1"/>
      <c r="AJ663" s="1"/>
      <c r="AK663" s="1"/>
      <c r="AL663" s="1"/>
      <c r="AM663" s="2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</row>
    <row x14ac:dyDescent="0.25" r="664" customHeight="1" ht="18.75">
      <c r="A664" s="1"/>
      <c r="B664" s="2"/>
      <c r="C664" s="2"/>
      <c r="D664" s="2"/>
      <c r="E664" s="2"/>
      <c r="F664" s="2"/>
      <c r="G664" s="1"/>
      <c r="H664" s="1"/>
      <c r="I664" s="7">
        <v>0.661</v>
      </c>
      <c r="J664" s="7">
        <f>IF((I664-ROUNDDOWN(I664,0))=0, 0, (I664-ROUNDDOWN(I664,0)))</f>
      </c>
      <c r="K664" s="7">
        <f>INDIRECT("C$"&amp;2+MIN(2,ROUNDDOWN(I664,0))*3)*(-$J664^3+3*$J664^2-3*$J664+1)+INDIRECT("C$"&amp;3+MIN(2,ROUNDDOWN(I664,0))*3)*(3*$J664^3-6*$J664^2+3*$J664)+INDIRECT("C$"&amp;4+MIN(2,ROUNDDOWN(I664,0))*3)*(-3*$J664^3+3*$J664^2)+INDIRECT("C$"&amp;5+MIN(2,ROUNDDOWN(I664,0))*3)*$J664^3</f>
      </c>
      <c r="L664" s="7">
        <f>INDIRECT("D$"&amp;2+MIN(2,ROUNDDOWN(I664,0))*3)*(-$J664^3+3*$J664^2-3*$J664+1)+INDIRECT("D$"&amp;3+MIN(2,ROUNDDOWN(I664,0))*3)*(3*$J664^3-6*$J664^2+3*$J664)+INDIRECT("D$"&amp;4+MIN(2,ROUNDDOWN(I664,0))*3)*(-3*$J664^3+3*$J664^2)+INDIRECT("D$"&amp;5+MIN(2,ROUNDDOWN(I664,0))*3)*$J664^3</f>
      </c>
      <c r="M664" s="7">
        <f>SQRT(K664^2+L664^2)</f>
      </c>
      <c r="N664" s="7">
        <f>(K665-K663)</f>
      </c>
      <c r="O664" s="7">
        <f>+(L665-L663)</f>
      </c>
      <c r="P664" s="7">
        <f>SQRT(O664^2+N664^2)</f>
      </c>
      <c r="Q664" s="7">
        <f>N664/$P664</f>
      </c>
      <c r="R664" s="7">
        <f>O664/$P664</f>
      </c>
      <c r="S664" s="8">
        <f>Q664^2+R664^2</f>
      </c>
      <c r="T664" s="7">
        <f>-R664</f>
      </c>
      <c r="U664" s="7">
        <f>Q664</f>
      </c>
      <c r="V664" s="7">
        <f>($C$14+($C$15-$C$14)/($D$15-$D$14)*(I664-$D$14))/2</f>
      </c>
      <c r="W664" s="7">
        <f>($B$22*I664^4+$C$22*I664^3+$D$22*I664^2+$E$22*I664+$F$22)/2</f>
      </c>
      <c r="X664" s="7">
        <f>($W664)*(T664)</f>
      </c>
      <c r="Y664" s="7">
        <f>($W664)*(U664)</f>
      </c>
      <c r="Z664" s="7">
        <f>SQRT(X664^2+Y664^2)</f>
      </c>
      <c r="AA664" s="7">
        <f>$K664+$X664</f>
      </c>
      <c r="AB664" s="7">
        <f>$L664+$Y664</f>
      </c>
      <c r="AC664" s="7">
        <f>$K664-$X664</f>
      </c>
      <c r="AD664" s="7">
        <f>$L664-$Y664</f>
      </c>
      <c r="AE664" s="7">
        <f>AA664/39.3701</f>
      </c>
      <c r="AF664" s="7">
        <f>AB664/39.3701</f>
      </c>
      <c r="AG664" s="7">
        <f>AC664/39.3701</f>
      </c>
      <c r="AH664" s="7">
        <f>AD664/39.3701</f>
      </c>
      <c r="AI664" s="1"/>
      <c r="AJ664" s="1"/>
      <c r="AK664" s="1"/>
      <c r="AL664" s="1"/>
      <c r="AM664" s="2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</row>
    <row x14ac:dyDescent="0.25" r="665" customHeight="1" ht="18.75">
      <c r="A665" s="1"/>
      <c r="B665" s="2"/>
      <c r="C665" s="2"/>
      <c r="D665" s="2"/>
      <c r="E665" s="2"/>
      <c r="F665" s="2"/>
      <c r="G665" s="1"/>
      <c r="H665" s="1"/>
      <c r="I665" s="7">
        <v>0.662</v>
      </c>
      <c r="J665" s="7">
        <f>IF((I665-ROUNDDOWN(I665,0))=0, 0, (I665-ROUNDDOWN(I665,0)))</f>
      </c>
      <c r="K665" s="7">
        <f>INDIRECT("C$"&amp;2+MIN(2,ROUNDDOWN(I665,0))*3)*(-$J665^3+3*$J665^2-3*$J665+1)+INDIRECT("C$"&amp;3+MIN(2,ROUNDDOWN(I665,0))*3)*(3*$J665^3-6*$J665^2+3*$J665)+INDIRECT("C$"&amp;4+MIN(2,ROUNDDOWN(I665,0))*3)*(-3*$J665^3+3*$J665^2)+INDIRECT("C$"&amp;5+MIN(2,ROUNDDOWN(I665,0))*3)*$J665^3</f>
      </c>
      <c r="L665" s="7">
        <f>INDIRECT("D$"&amp;2+MIN(2,ROUNDDOWN(I665,0))*3)*(-$J665^3+3*$J665^2-3*$J665+1)+INDIRECT("D$"&amp;3+MIN(2,ROUNDDOWN(I665,0))*3)*(3*$J665^3-6*$J665^2+3*$J665)+INDIRECT("D$"&amp;4+MIN(2,ROUNDDOWN(I665,0))*3)*(-3*$J665^3+3*$J665^2)+INDIRECT("D$"&amp;5+MIN(2,ROUNDDOWN(I665,0))*3)*$J665^3</f>
      </c>
      <c r="M665" s="7">
        <f>SQRT(K665^2+L665^2)</f>
      </c>
      <c r="N665" s="7">
        <f>(K666-K664)</f>
      </c>
      <c r="O665" s="7">
        <f>+(L666-L664)</f>
      </c>
      <c r="P665" s="7">
        <f>SQRT(O665^2+N665^2)</f>
      </c>
      <c r="Q665" s="7">
        <f>N665/$P665</f>
      </c>
      <c r="R665" s="7">
        <f>O665/$P665</f>
      </c>
      <c r="S665" s="7">
        <f>Q665^2+R665^2</f>
      </c>
      <c r="T665" s="7">
        <f>-R665</f>
      </c>
      <c r="U665" s="7">
        <f>Q665</f>
      </c>
      <c r="V665" s="7">
        <f>($C$14+($C$15-$C$14)/($D$15-$D$14)*(I665-$D$14))/2</f>
      </c>
      <c r="W665" s="7">
        <f>($B$22*I665^4+$C$22*I665^3+$D$22*I665^2+$E$22*I665+$F$22)/2</f>
      </c>
      <c r="X665" s="7">
        <f>($W665)*(T665)</f>
      </c>
      <c r="Y665" s="7">
        <f>($W665)*(U665)</f>
      </c>
      <c r="Z665" s="7">
        <f>SQRT(X665^2+Y665^2)</f>
      </c>
      <c r="AA665" s="7">
        <f>$K665+$X665</f>
      </c>
      <c r="AB665" s="7">
        <f>$L665+$Y665</f>
      </c>
      <c r="AC665" s="7">
        <f>$K665-$X665</f>
      </c>
      <c r="AD665" s="7">
        <f>$L665-$Y665</f>
      </c>
      <c r="AE665" s="7">
        <f>AA665/39.3701</f>
      </c>
      <c r="AF665" s="7">
        <f>AB665/39.3701</f>
      </c>
      <c r="AG665" s="7">
        <f>AC665/39.3701</f>
      </c>
      <c r="AH665" s="7">
        <f>AD665/39.3701</f>
      </c>
      <c r="AI665" s="1"/>
      <c r="AJ665" s="1"/>
      <c r="AK665" s="1"/>
      <c r="AL665" s="1"/>
      <c r="AM665" s="2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</row>
    <row x14ac:dyDescent="0.25" r="666" customHeight="1" ht="18.75">
      <c r="A666" s="1"/>
      <c r="B666" s="2"/>
      <c r="C666" s="2"/>
      <c r="D666" s="2"/>
      <c r="E666" s="2"/>
      <c r="F666" s="2"/>
      <c r="G666" s="1"/>
      <c r="H666" s="1"/>
      <c r="I666" s="7">
        <v>0.663</v>
      </c>
      <c r="J666" s="7">
        <f>IF((I666-ROUNDDOWN(I666,0))=0, 0, (I666-ROUNDDOWN(I666,0)))</f>
      </c>
      <c r="K666" s="7">
        <f>INDIRECT("C$"&amp;2+MIN(2,ROUNDDOWN(I666,0))*3)*(-$J666^3+3*$J666^2-3*$J666+1)+INDIRECT("C$"&amp;3+MIN(2,ROUNDDOWN(I666,0))*3)*(3*$J666^3-6*$J666^2+3*$J666)+INDIRECT("C$"&amp;4+MIN(2,ROUNDDOWN(I666,0))*3)*(-3*$J666^3+3*$J666^2)+INDIRECT("C$"&amp;5+MIN(2,ROUNDDOWN(I666,0))*3)*$J666^3</f>
      </c>
      <c r="L666" s="7">
        <f>INDIRECT("D$"&amp;2+MIN(2,ROUNDDOWN(I666,0))*3)*(-$J666^3+3*$J666^2-3*$J666+1)+INDIRECT("D$"&amp;3+MIN(2,ROUNDDOWN(I666,0))*3)*(3*$J666^3-6*$J666^2+3*$J666)+INDIRECT("D$"&amp;4+MIN(2,ROUNDDOWN(I666,0))*3)*(-3*$J666^3+3*$J666^2)+INDIRECT("D$"&amp;5+MIN(2,ROUNDDOWN(I666,0))*3)*$J666^3</f>
      </c>
      <c r="M666" s="7">
        <f>SQRT(K666^2+L666^2)</f>
      </c>
      <c r="N666" s="7">
        <f>(K667-K665)</f>
      </c>
      <c r="O666" s="7">
        <f>+(L667-L665)</f>
      </c>
      <c r="P666" s="7">
        <f>SQRT(O666^2+N666^2)</f>
      </c>
      <c r="Q666" s="7">
        <f>N666/$P666</f>
      </c>
      <c r="R666" s="7">
        <f>O666/$P666</f>
      </c>
      <c r="S666" s="7">
        <f>Q666^2+R666^2</f>
      </c>
      <c r="T666" s="7">
        <f>-R666</f>
      </c>
      <c r="U666" s="7">
        <f>Q666</f>
      </c>
      <c r="V666" s="7">
        <f>($C$14+($C$15-$C$14)/($D$15-$D$14)*(I666-$D$14))/2</f>
      </c>
      <c r="W666" s="7">
        <f>($B$22*I666^4+$C$22*I666^3+$D$22*I666^2+$E$22*I666+$F$22)/2</f>
      </c>
      <c r="X666" s="7">
        <f>($W666)*(T666)</f>
      </c>
      <c r="Y666" s="7">
        <f>($W666)*(U666)</f>
      </c>
      <c r="Z666" s="7">
        <f>SQRT(X666^2+Y666^2)</f>
      </c>
      <c r="AA666" s="7">
        <f>$K666+$X666</f>
      </c>
      <c r="AB666" s="7">
        <f>$L666+$Y666</f>
      </c>
      <c r="AC666" s="7">
        <f>$K666-$X666</f>
      </c>
      <c r="AD666" s="7">
        <f>$L666-$Y666</f>
      </c>
      <c r="AE666" s="7">
        <f>AA666/39.3701</f>
      </c>
      <c r="AF666" s="7">
        <f>AB666/39.3701</f>
      </c>
      <c r="AG666" s="7">
        <f>AC666/39.3701</f>
      </c>
      <c r="AH666" s="7">
        <f>AD666/39.3701</f>
      </c>
      <c r="AI666" s="1"/>
      <c r="AJ666" s="1"/>
      <c r="AK666" s="1"/>
      <c r="AL666" s="1"/>
      <c r="AM666" s="2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</row>
    <row x14ac:dyDescent="0.25" r="667" customHeight="1" ht="18.75">
      <c r="A667" s="1"/>
      <c r="B667" s="2"/>
      <c r="C667" s="2"/>
      <c r="D667" s="2"/>
      <c r="E667" s="2"/>
      <c r="F667" s="2"/>
      <c r="G667" s="1"/>
      <c r="H667" s="1"/>
      <c r="I667" s="7">
        <v>0.664</v>
      </c>
      <c r="J667" s="7">
        <f>IF((I667-ROUNDDOWN(I667,0))=0, 0, (I667-ROUNDDOWN(I667,0)))</f>
      </c>
      <c r="K667" s="7">
        <f>INDIRECT("C$"&amp;2+MIN(2,ROUNDDOWN(I667,0))*3)*(-$J667^3+3*$J667^2-3*$J667+1)+INDIRECT("C$"&amp;3+MIN(2,ROUNDDOWN(I667,0))*3)*(3*$J667^3-6*$J667^2+3*$J667)+INDIRECT("C$"&amp;4+MIN(2,ROUNDDOWN(I667,0))*3)*(-3*$J667^3+3*$J667^2)+INDIRECT("C$"&amp;5+MIN(2,ROUNDDOWN(I667,0))*3)*$J667^3</f>
      </c>
      <c r="L667" s="7">
        <f>INDIRECT("D$"&amp;2+MIN(2,ROUNDDOWN(I667,0))*3)*(-$J667^3+3*$J667^2-3*$J667+1)+INDIRECT("D$"&amp;3+MIN(2,ROUNDDOWN(I667,0))*3)*(3*$J667^3-6*$J667^2+3*$J667)+INDIRECT("D$"&amp;4+MIN(2,ROUNDDOWN(I667,0))*3)*(-3*$J667^3+3*$J667^2)+INDIRECT("D$"&amp;5+MIN(2,ROUNDDOWN(I667,0))*3)*$J667^3</f>
      </c>
      <c r="M667" s="7">
        <f>SQRT(K667^2+L667^2)</f>
      </c>
      <c r="N667" s="7">
        <f>(K668-K666)</f>
      </c>
      <c r="O667" s="7">
        <f>+(L668-L666)</f>
      </c>
      <c r="P667" s="7">
        <f>SQRT(O667^2+N667^2)</f>
      </c>
      <c r="Q667" s="7">
        <f>N667/$P667</f>
      </c>
      <c r="R667" s="7">
        <f>O667/$P667</f>
      </c>
      <c r="S667" s="8">
        <f>Q667^2+R667^2</f>
      </c>
      <c r="T667" s="7">
        <f>-R667</f>
      </c>
      <c r="U667" s="7">
        <f>Q667</f>
      </c>
      <c r="V667" s="7">
        <f>($C$14+($C$15-$C$14)/($D$15-$D$14)*(I667-$D$14))/2</f>
      </c>
      <c r="W667" s="7">
        <f>($B$22*I667^4+$C$22*I667^3+$D$22*I667^2+$E$22*I667+$F$22)/2</f>
      </c>
      <c r="X667" s="7">
        <f>($W667)*(T667)</f>
      </c>
      <c r="Y667" s="7">
        <f>($W667)*(U667)</f>
      </c>
      <c r="Z667" s="7">
        <f>SQRT(X667^2+Y667^2)</f>
      </c>
      <c r="AA667" s="7">
        <f>$K667+$X667</f>
      </c>
      <c r="AB667" s="7">
        <f>$L667+$Y667</f>
      </c>
      <c r="AC667" s="7">
        <f>$K667-$X667</f>
      </c>
      <c r="AD667" s="7">
        <f>$L667-$Y667</f>
      </c>
      <c r="AE667" s="7">
        <f>AA667/39.3701</f>
      </c>
      <c r="AF667" s="7">
        <f>AB667/39.3701</f>
      </c>
      <c r="AG667" s="7">
        <f>AC667/39.3701</f>
      </c>
      <c r="AH667" s="7">
        <f>AD667/39.3701</f>
      </c>
      <c r="AI667" s="1"/>
      <c r="AJ667" s="1"/>
      <c r="AK667" s="1"/>
      <c r="AL667" s="1"/>
      <c r="AM667" s="2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</row>
    <row x14ac:dyDescent="0.25" r="668" customHeight="1" ht="18.75">
      <c r="A668" s="1"/>
      <c r="B668" s="2"/>
      <c r="C668" s="2"/>
      <c r="D668" s="2"/>
      <c r="E668" s="2"/>
      <c r="F668" s="2"/>
      <c r="G668" s="1"/>
      <c r="H668" s="1"/>
      <c r="I668" s="7">
        <v>0.665</v>
      </c>
      <c r="J668" s="7">
        <f>IF((I668-ROUNDDOWN(I668,0))=0, 0, (I668-ROUNDDOWN(I668,0)))</f>
      </c>
      <c r="K668" s="7">
        <f>INDIRECT("C$"&amp;2+MIN(2,ROUNDDOWN(I668,0))*3)*(-$J668^3+3*$J668^2-3*$J668+1)+INDIRECT("C$"&amp;3+MIN(2,ROUNDDOWN(I668,0))*3)*(3*$J668^3-6*$J668^2+3*$J668)+INDIRECT("C$"&amp;4+MIN(2,ROUNDDOWN(I668,0))*3)*(-3*$J668^3+3*$J668^2)+INDIRECT("C$"&amp;5+MIN(2,ROUNDDOWN(I668,0))*3)*$J668^3</f>
      </c>
      <c r="L668" s="7">
        <f>INDIRECT("D$"&amp;2+MIN(2,ROUNDDOWN(I668,0))*3)*(-$J668^3+3*$J668^2-3*$J668+1)+INDIRECT("D$"&amp;3+MIN(2,ROUNDDOWN(I668,0))*3)*(3*$J668^3-6*$J668^2+3*$J668)+INDIRECT("D$"&amp;4+MIN(2,ROUNDDOWN(I668,0))*3)*(-3*$J668^3+3*$J668^2)+INDIRECT("D$"&amp;5+MIN(2,ROUNDDOWN(I668,0))*3)*$J668^3</f>
      </c>
      <c r="M668" s="7">
        <f>SQRT(K668^2+L668^2)</f>
      </c>
      <c r="N668" s="7">
        <f>(K669-K667)</f>
      </c>
      <c r="O668" s="7">
        <f>+(L669-L667)</f>
      </c>
      <c r="P668" s="7">
        <f>SQRT(O668^2+N668^2)</f>
      </c>
      <c r="Q668" s="7">
        <f>N668/$P668</f>
      </c>
      <c r="R668" s="7">
        <f>O668/$P668</f>
      </c>
      <c r="S668" s="8">
        <f>Q668^2+R668^2</f>
      </c>
      <c r="T668" s="7">
        <f>-R668</f>
      </c>
      <c r="U668" s="7">
        <f>Q668</f>
      </c>
      <c r="V668" s="7">
        <f>($C$14+($C$15-$C$14)/($D$15-$D$14)*(I668-$D$14))/2</f>
      </c>
      <c r="W668" s="7">
        <f>($B$22*I668^4+$C$22*I668^3+$D$22*I668^2+$E$22*I668+$F$22)/2</f>
      </c>
      <c r="X668" s="7">
        <f>($W668)*(T668)</f>
      </c>
      <c r="Y668" s="7">
        <f>($W668)*(U668)</f>
      </c>
      <c r="Z668" s="7">
        <f>SQRT(X668^2+Y668^2)</f>
      </c>
      <c r="AA668" s="7">
        <f>$K668+$X668</f>
      </c>
      <c r="AB668" s="7">
        <f>$L668+$Y668</f>
      </c>
      <c r="AC668" s="7">
        <f>$K668-$X668</f>
      </c>
      <c r="AD668" s="7">
        <f>$L668-$Y668</f>
      </c>
      <c r="AE668" s="7">
        <f>AA668/39.3701</f>
      </c>
      <c r="AF668" s="7">
        <f>AB668/39.3701</f>
      </c>
      <c r="AG668" s="7">
        <f>AC668/39.3701</f>
      </c>
      <c r="AH668" s="7">
        <f>AD668/39.3701</f>
      </c>
      <c r="AI668" s="1"/>
      <c r="AJ668" s="1"/>
      <c r="AK668" s="1"/>
      <c r="AL668" s="1"/>
      <c r="AM668" s="2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</row>
    <row x14ac:dyDescent="0.25" r="669" customHeight="1" ht="18.75">
      <c r="A669" s="1"/>
      <c r="B669" s="2"/>
      <c r="C669" s="2"/>
      <c r="D669" s="2"/>
      <c r="E669" s="2"/>
      <c r="F669" s="2"/>
      <c r="G669" s="1"/>
      <c r="H669" s="1"/>
      <c r="I669" s="7">
        <v>0.666</v>
      </c>
      <c r="J669" s="7">
        <f>IF((I669-ROUNDDOWN(I669,0))=0, 0, (I669-ROUNDDOWN(I669,0)))</f>
      </c>
      <c r="K669" s="7">
        <f>INDIRECT("C$"&amp;2+MIN(2,ROUNDDOWN(I669,0))*3)*(-$J669^3+3*$J669^2-3*$J669+1)+INDIRECT("C$"&amp;3+MIN(2,ROUNDDOWN(I669,0))*3)*(3*$J669^3-6*$J669^2+3*$J669)+INDIRECT("C$"&amp;4+MIN(2,ROUNDDOWN(I669,0))*3)*(-3*$J669^3+3*$J669^2)+INDIRECT("C$"&amp;5+MIN(2,ROUNDDOWN(I669,0))*3)*$J669^3</f>
      </c>
      <c r="L669" s="7">
        <f>INDIRECT("D$"&amp;2+MIN(2,ROUNDDOWN(I669,0))*3)*(-$J669^3+3*$J669^2-3*$J669+1)+INDIRECT("D$"&amp;3+MIN(2,ROUNDDOWN(I669,0))*3)*(3*$J669^3-6*$J669^2+3*$J669)+INDIRECT("D$"&amp;4+MIN(2,ROUNDDOWN(I669,0))*3)*(-3*$J669^3+3*$J669^2)+INDIRECT("D$"&amp;5+MIN(2,ROUNDDOWN(I669,0))*3)*$J669^3</f>
      </c>
      <c r="M669" s="7">
        <f>SQRT(K669^2+L669^2)</f>
      </c>
      <c r="N669" s="7">
        <f>(K670-K668)</f>
      </c>
      <c r="O669" s="7">
        <f>+(L670-L668)</f>
      </c>
      <c r="P669" s="7">
        <f>SQRT(O669^2+N669^2)</f>
      </c>
      <c r="Q669" s="7">
        <f>N669/$P669</f>
      </c>
      <c r="R669" s="7">
        <f>O669/$P669</f>
      </c>
      <c r="S669" s="8">
        <f>Q669^2+R669^2</f>
      </c>
      <c r="T669" s="7">
        <f>-R669</f>
      </c>
      <c r="U669" s="7">
        <f>Q669</f>
      </c>
      <c r="V669" s="7">
        <f>($C$14+($C$15-$C$14)/($D$15-$D$14)*(I669-$D$14))/2</f>
      </c>
      <c r="W669" s="7">
        <f>($B$22*I669^4+$C$22*I669^3+$D$22*I669^2+$E$22*I669+$F$22)/2</f>
      </c>
      <c r="X669" s="7">
        <f>($W669)*(T669)</f>
      </c>
      <c r="Y669" s="7">
        <f>($W669)*(U669)</f>
      </c>
      <c r="Z669" s="7">
        <f>SQRT(X669^2+Y669^2)</f>
      </c>
      <c r="AA669" s="7">
        <f>$K669+$X669</f>
      </c>
      <c r="AB669" s="7">
        <f>$L669+$Y669</f>
      </c>
      <c r="AC669" s="7">
        <f>$K669-$X669</f>
      </c>
      <c r="AD669" s="7">
        <f>$L669-$Y669</f>
      </c>
      <c r="AE669" s="7">
        <f>AA669/39.3701</f>
      </c>
      <c r="AF669" s="7">
        <f>AB669/39.3701</f>
      </c>
      <c r="AG669" s="7">
        <f>AC669/39.3701</f>
      </c>
      <c r="AH669" s="7">
        <f>AD669/39.3701</f>
      </c>
      <c r="AI669" s="1"/>
      <c r="AJ669" s="1"/>
      <c r="AK669" s="1"/>
      <c r="AL669" s="1"/>
      <c r="AM669" s="2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</row>
    <row x14ac:dyDescent="0.25" r="670" customHeight="1" ht="18.75">
      <c r="A670" s="1"/>
      <c r="B670" s="2"/>
      <c r="C670" s="2"/>
      <c r="D670" s="2"/>
      <c r="E670" s="2"/>
      <c r="F670" s="2"/>
      <c r="G670" s="1"/>
      <c r="H670" s="1"/>
      <c r="I670" s="7">
        <v>0.667</v>
      </c>
      <c r="J670" s="7">
        <f>IF((I670-ROUNDDOWN(I670,0))=0, 0, (I670-ROUNDDOWN(I670,0)))</f>
      </c>
      <c r="K670" s="7">
        <f>INDIRECT("C$"&amp;2+MIN(2,ROUNDDOWN(I670,0))*3)*(-$J670^3+3*$J670^2-3*$J670+1)+INDIRECT("C$"&amp;3+MIN(2,ROUNDDOWN(I670,0))*3)*(3*$J670^3-6*$J670^2+3*$J670)+INDIRECT("C$"&amp;4+MIN(2,ROUNDDOWN(I670,0))*3)*(-3*$J670^3+3*$J670^2)+INDIRECT("C$"&amp;5+MIN(2,ROUNDDOWN(I670,0))*3)*$J670^3</f>
      </c>
      <c r="L670" s="7">
        <f>INDIRECT("D$"&amp;2+MIN(2,ROUNDDOWN(I670,0))*3)*(-$J670^3+3*$J670^2-3*$J670+1)+INDIRECT("D$"&amp;3+MIN(2,ROUNDDOWN(I670,0))*3)*(3*$J670^3-6*$J670^2+3*$J670)+INDIRECT("D$"&amp;4+MIN(2,ROUNDDOWN(I670,0))*3)*(-3*$J670^3+3*$J670^2)+INDIRECT("D$"&amp;5+MIN(2,ROUNDDOWN(I670,0))*3)*$J670^3</f>
      </c>
      <c r="M670" s="7">
        <f>SQRT(K670^2+L670^2)</f>
      </c>
      <c r="N670" s="7">
        <f>(K671-K669)</f>
      </c>
      <c r="O670" s="7">
        <f>+(L671-L669)</f>
      </c>
      <c r="P670" s="7">
        <f>SQRT(O670^2+N670^2)</f>
      </c>
      <c r="Q670" s="7">
        <f>N670/$P670</f>
      </c>
      <c r="R670" s="7">
        <f>O670/$P670</f>
      </c>
      <c r="S670" s="8">
        <f>Q670^2+R670^2</f>
      </c>
      <c r="T670" s="7">
        <f>-R670</f>
      </c>
      <c r="U670" s="7">
        <f>Q670</f>
      </c>
      <c r="V670" s="7">
        <f>($C$14+($C$15-$C$14)/($D$15-$D$14)*(I670-$D$14))/2</f>
      </c>
      <c r="W670" s="7">
        <f>($B$22*I670^4+$C$22*I670^3+$D$22*I670^2+$E$22*I670+$F$22)/2</f>
      </c>
      <c r="X670" s="7">
        <f>($W670)*(T670)</f>
      </c>
      <c r="Y670" s="7">
        <f>($W670)*(U670)</f>
      </c>
      <c r="Z670" s="7">
        <f>SQRT(X670^2+Y670^2)</f>
      </c>
      <c r="AA670" s="7">
        <f>$K670+$X670</f>
      </c>
      <c r="AB670" s="7">
        <f>$L670+$Y670</f>
      </c>
      <c r="AC670" s="7">
        <f>$K670-$X670</f>
      </c>
      <c r="AD670" s="7">
        <f>$L670-$Y670</f>
      </c>
      <c r="AE670" s="7">
        <f>AA670/39.3701</f>
      </c>
      <c r="AF670" s="7">
        <f>AB670/39.3701</f>
      </c>
      <c r="AG670" s="7">
        <f>AC670/39.3701</f>
      </c>
      <c r="AH670" s="7">
        <f>AD670/39.3701</f>
      </c>
      <c r="AI670" s="1"/>
      <c r="AJ670" s="1"/>
      <c r="AK670" s="1"/>
      <c r="AL670" s="1"/>
      <c r="AM670" s="2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</row>
    <row x14ac:dyDescent="0.25" r="671" customHeight="1" ht="18.75">
      <c r="A671" s="1"/>
      <c r="B671" s="2"/>
      <c r="C671" s="2"/>
      <c r="D671" s="2"/>
      <c r="E671" s="2"/>
      <c r="F671" s="2"/>
      <c r="G671" s="1"/>
      <c r="H671" s="1"/>
      <c r="I671" s="7">
        <v>0.668</v>
      </c>
      <c r="J671" s="7">
        <f>IF((I671-ROUNDDOWN(I671,0))=0, 0, (I671-ROUNDDOWN(I671,0)))</f>
      </c>
      <c r="K671" s="7">
        <f>INDIRECT("C$"&amp;2+MIN(2,ROUNDDOWN(I671,0))*3)*(-$J671^3+3*$J671^2-3*$J671+1)+INDIRECT("C$"&amp;3+MIN(2,ROUNDDOWN(I671,0))*3)*(3*$J671^3-6*$J671^2+3*$J671)+INDIRECT("C$"&amp;4+MIN(2,ROUNDDOWN(I671,0))*3)*(-3*$J671^3+3*$J671^2)+INDIRECT("C$"&amp;5+MIN(2,ROUNDDOWN(I671,0))*3)*$J671^3</f>
      </c>
      <c r="L671" s="7">
        <f>INDIRECT("D$"&amp;2+MIN(2,ROUNDDOWN(I671,0))*3)*(-$J671^3+3*$J671^2-3*$J671+1)+INDIRECT("D$"&amp;3+MIN(2,ROUNDDOWN(I671,0))*3)*(3*$J671^3-6*$J671^2+3*$J671)+INDIRECT("D$"&amp;4+MIN(2,ROUNDDOWN(I671,0))*3)*(-3*$J671^3+3*$J671^2)+INDIRECT("D$"&amp;5+MIN(2,ROUNDDOWN(I671,0))*3)*$J671^3</f>
      </c>
      <c r="M671" s="7">
        <f>SQRT(K671^2+L671^2)</f>
      </c>
      <c r="N671" s="7">
        <f>(K672-K670)</f>
      </c>
      <c r="O671" s="7">
        <f>+(L672-L670)</f>
      </c>
      <c r="P671" s="7">
        <f>SQRT(O671^2+N671^2)</f>
      </c>
      <c r="Q671" s="7">
        <f>N671/$P671</f>
      </c>
      <c r="R671" s="7">
        <f>O671/$P671</f>
      </c>
      <c r="S671" s="8">
        <f>Q671^2+R671^2</f>
      </c>
      <c r="T671" s="7">
        <f>-R671</f>
      </c>
      <c r="U671" s="7">
        <f>Q671</f>
      </c>
      <c r="V671" s="7">
        <f>($C$14+($C$15-$C$14)/($D$15-$D$14)*(I671-$D$14))/2</f>
      </c>
      <c r="W671" s="7">
        <f>($B$22*I671^4+$C$22*I671^3+$D$22*I671^2+$E$22*I671+$F$22)/2</f>
      </c>
      <c r="X671" s="7">
        <f>($W671)*(T671)</f>
      </c>
      <c r="Y671" s="7">
        <f>($W671)*(U671)</f>
      </c>
      <c r="Z671" s="7">
        <f>SQRT(X671^2+Y671^2)</f>
      </c>
      <c r="AA671" s="7">
        <f>$K671+$X671</f>
      </c>
      <c r="AB671" s="7">
        <f>$L671+$Y671</f>
      </c>
      <c r="AC671" s="7">
        <f>$K671-$X671</f>
      </c>
      <c r="AD671" s="7">
        <f>$L671-$Y671</f>
      </c>
      <c r="AE671" s="7">
        <f>AA671/39.3701</f>
      </c>
      <c r="AF671" s="7">
        <f>AB671/39.3701</f>
      </c>
      <c r="AG671" s="7">
        <f>AC671/39.3701</f>
      </c>
      <c r="AH671" s="7">
        <f>AD671/39.3701</f>
      </c>
      <c r="AI671" s="1"/>
      <c r="AJ671" s="1"/>
      <c r="AK671" s="1"/>
      <c r="AL671" s="1"/>
      <c r="AM671" s="2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</row>
    <row x14ac:dyDescent="0.25" r="672" customHeight="1" ht="18.75">
      <c r="A672" s="1"/>
      <c r="B672" s="2"/>
      <c r="C672" s="2"/>
      <c r="D672" s="2"/>
      <c r="E672" s="2"/>
      <c r="F672" s="2"/>
      <c r="G672" s="1"/>
      <c r="H672" s="1"/>
      <c r="I672" s="7">
        <v>0.669</v>
      </c>
      <c r="J672" s="7">
        <f>IF((I672-ROUNDDOWN(I672,0))=0, 0, (I672-ROUNDDOWN(I672,0)))</f>
      </c>
      <c r="K672" s="7">
        <f>INDIRECT("C$"&amp;2+MIN(2,ROUNDDOWN(I672,0))*3)*(-$J672^3+3*$J672^2-3*$J672+1)+INDIRECT("C$"&amp;3+MIN(2,ROUNDDOWN(I672,0))*3)*(3*$J672^3-6*$J672^2+3*$J672)+INDIRECT("C$"&amp;4+MIN(2,ROUNDDOWN(I672,0))*3)*(-3*$J672^3+3*$J672^2)+INDIRECT("C$"&amp;5+MIN(2,ROUNDDOWN(I672,0))*3)*$J672^3</f>
      </c>
      <c r="L672" s="7">
        <f>INDIRECT("D$"&amp;2+MIN(2,ROUNDDOWN(I672,0))*3)*(-$J672^3+3*$J672^2-3*$J672+1)+INDIRECT("D$"&amp;3+MIN(2,ROUNDDOWN(I672,0))*3)*(3*$J672^3-6*$J672^2+3*$J672)+INDIRECT("D$"&amp;4+MIN(2,ROUNDDOWN(I672,0))*3)*(-3*$J672^3+3*$J672^2)+INDIRECT("D$"&amp;5+MIN(2,ROUNDDOWN(I672,0))*3)*$J672^3</f>
      </c>
      <c r="M672" s="7">
        <f>SQRT(K672^2+L672^2)</f>
      </c>
      <c r="N672" s="7">
        <f>(K673-K671)</f>
      </c>
      <c r="O672" s="7">
        <f>+(L673-L671)</f>
      </c>
      <c r="P672" s="7">
        <f>SQRT(O672^2+N672^2)</f>
      </c>
      <c r="Q672" s="7">
        <f>N672/$P672</f>
      </c>
      <c r="R672" s="7">
        <f>O672/$P672</f>
      </c>
      <c r="S672" s="7">
        <f>Q672^2+R672^2</f>
      </c>
      <c r="T672" s="7">
        <f>-R672</f>
      </c>
      <c r="U672" s="7">
        <f>Q672</f>
      </c>
      <c r="V672" s="7">
        <f>($C$14+($C$15-$C$14)/($D$15-$D$14)*(I672-$D$14))/2</f>
      </c>
      <c r="W672" s="7">
        <f>($B$22*I672^4+$C$22*I672^3+$D$22*I672^2+$E$22*I672+$F$22)/2</f>
      </c>
      <c r="X672" s="7">
        <f>($W672)*(T672)</f>
      </c>
      <c r="Y672" s="7">
        <f>($W672)*(U672)</f>
      </c>
      <c r="Z672" s="7">
        <f>SQRT(X672^2+Y672^2)</f>
      </c>
      <c r="AA672" s="7">
        <f>$K672+$X672</f>
      </c>
      <c r="AB672" s="7">
        <f>$L672+$Y672</f>
      </c>
      <c r="AC672" s="7">
        <f>$K672-$X672</f>
      </c>
      <c r="AD672" s="7">
        <f>$L672-$Y672</f>
      </c>
      <c r="AE672" s="7">
        <f>AA672/39.3701</f>
      </c>
      <c r="AF672" s="7">
        <f>AB672/39.3701</f>
      </c>
      <c r="AG672" s="7">
        <f>AC672/39.3701</f>
      </c>
      <c r="AH672" s="7">
        <f>AD672/39.3701</f>
      </c>
      <c r="AI672" s="1"/>
      <c r="AJ672" s="1"/>
      <c r="AK672" s="1"/>
      <c r="AL672" s="1"/>
      <c r="AM672" s="2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</row>
    <row x14ac:dyDescent="0.25" r="673" customHeight="1" ht="18.75">
      <c r="A673" s="1"/>
      <c r="B673" s="2"/>
      <c r="C673" s="2"/>
      <c r="D673" s="2"/>
      <c r="E673" s="2"/>
      <c r="F673" s="2"/>
      <c r="G673" s="1"/>
      <c r="H673" s="1"/>
      <c r="I673" s="7">
        <v>0.67</v>
      </c>
      <c r="J673" s="7">
        <f>IF((I673-ROUNDDOWN(I673,0))=0, 0, (I673-ROUNDDOWN(I673,0)))</f>
      </c>
      <c r="K673" s="7">
        <f>INDIRECT("C$"&amp;2+MIN(2,ROUNDDOWN(I673,0))*3)*(-$J673^3+3*$J673^2-3*$J673+1)+INDIRECT("C$"&amp;3+MIN(2,ROUNDDOWN(I673,0))*3)*(3*$J673^3-6*$J673^2+3*$J673)+INDIRECT("C$"&amp;4+MIN(2,ROUNDDOWN(I673,0))*3)*(-3*$J673^3+3*$J673^2)+INDIRECT("C$"&amp;5+MIN(2,ROUNDDOWN(I673,0))*3)*$J673^3</f>
      </c>
      <c r="L673" s="7">
        <f>INDIRECT("D$"&amp;2+MIN(2,ROUNDDOWN(I673,0))*3)*(-$J673^3+3*$J673^2-3*$J673+1)+INDIRECT("D$"&amp;3+MIN(2,ROUNDDOWN(I673,0))*3)*(3*$J673^3-6*$J673^2+3*$J673)+INDIRECT("D$"&amp;4+MIN(2,ROUNDDOWN(I673,0))*3)*(-3*$J673^3+3*$J673^2)+INDIRECT("D$"&amp;5+MIN(2,ROUNDDOWN(I673,0))*3)*$J673^3</f>
      </c>
      <c r="M673" s="7">
        <f>SQRT(K673^2+L673^2)</f>
      </c>
      <c r="N673" s="7">
        <f>(K674-K672)</f>
      </c>
      <c r="O673" s="7">
        <f>+(L674-L672)</f>
      </c>
      <c r="P673" s="7">
        <f>SQRT(O673^2+N673^2)</f>
      </c>
      <c r="Q673" s="7">
        <f>N673/$P673</f>
      </c>
      <c r="R673" s="7">
        <f>O673/$P673</f>
      </c>
      <c r="S673" s="7">
        <f>Q673^2+R673^2</f>
      </c>
      <c r="T673" s="7">
        <f>-R673</f>
      </c>
      <c r="U673" s="7">
        <f>Q673</f>
      </c>
      <c r="V673" s="7">
        <f>($C$14+($C$15-$C$14)/($D$15-$D$14)*(I673-$D$14))/2</f>
      </c>
      <c r="W673" s="7">
        <f>($B$22*I673^4+$C$22*I673^3+$D$22*I673^2+$E$22*I673+$F$22)/2</f>
      </c>
      <c r="X673" s="7">
        <f>($W673)*(T673)</f>
      </c>
      <c r="Y673" s="7">
        <f>($W673)*(U673)</f>
      </c>
      <c r="Z673" s="7">
        <f>SQRT(X673^2+Y673^2)</f>
      </c>
      <c r="AA673" s="7">
        <f>$K673+$X673</f>
      </c>
      <c r="AB673" s="7">
        <f>$L673+$Y673</f>
      </c>
      <c r="AC673" s="7">
        <f>$K673-$X673</f>
      </c>
      <c r="AD673" s="7">
        <f>$L673-$Y673</f>
      </c>
      <c r="AE673" s="7">
        <f>AA673/39.3701</f>
      </c>
      <c r="AF673" s="7">
        <f>AB673/39.3701</f>
      </c>
      <c r="AG673" s="7">
        <f>AC673/39.3701</f>
      </c>
      <c r="AH673" s="7">
        <f>AD673/39.3701</f>
      </c>
      <c r="AI673" s="1"/>
      <c r="AJ673" s="1"/>
      <c r="AK673" s="1"/>
      <c r="AL673" s="1"/>
      <c r="AM673" s="2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</row>
    <row x14ac:dyDescent="0.25" r="674" customHeight="1" ht="18.75">
      <c r="A674" s="1"/>
      <c r="B674" s="2"/>
      <c r="C674" s="2"/>
      <c r="D674" s="2"/>
      <c r="E674" s="2"/>
      <c r="F674" s="2"/>
      <c r="G674" s="1"/>
      <c r="H674" s="1"/>
      <c r="I674" s="7">
        <v>0.671</v>
      </c>
      <c r="J674" s="7">
        <f>IF((I674-ROUNDDOWN(I674,0))=0, 0, (I674-ROUNDDOWN(I674,0)))</f>
      </c>
      <c r="K674" s="7">
        <f>INDIRECT("C$"&amp;2+MIN(2,ROUNDDOWN(I674,0))*3)*(-$J674^3+3*$J674^2-3*$J674+1)+INDIRECT("C$"&amp;3+MIN(2,ROUNDDOWN(I674,0))*3)*(3*$J674^3-6*$J674^2+3*$J674)+INDIRECT("C$"&amp;4+MIN(2,ROUNDDOWN(I674,0))*3)*(-3*$J674^3+3*$J674^2)+INDIRECT("C$"&amp;5+MIN(2,ROUNDDOWN(I674,0))*3)*$J674^3</f>
      </c>
      <c r="L674" s="7">
        <f>INDIRECT("D$"&amp;2+MIN(2,ROUNDDOWN(I674,0))*3)*(-$J674^3+3*$J674^2-3*$J674+1)+INDIRECT("D$"&amp;3+MIN(2,ROUNDDOWN(I674,0))*3)*(3*$J674^3-6*$J674^2+3*$J674)+INDIRECT("D$"&amp;4+MIN(2,ROUNDDOWN(I674,0))*3)*(-3*$J674^3+3*$J674^2)+INDIRECT("D$"&amp;5+MIN(2,ROUNDDOWN(I674,0))*3)*$J674^3</f>
      </c>
      <c r="M674" s="7">
        <f>SQRT(K674^2+L674^2)</f>
      </c>
      <c r="N674" s="7">
        <f>(K675-K673)</f>
      </c>
      <c r="O674" s="7">
        <f>+(L675-L673)</f>
      </c>
      <c r="P674" s="7">
        <f>SQRT(O674^2+N674^2)</f>
      </c>
      <c r="Q674" s="7">
        <f>N674/$P674</f>
      </c>
      <c r="R674" s="7">
        <f>O674/$P674</f>
      </c>
      <c r="S674" s="8">
        <f>Q674^2+R674^2</f>
      </c>
      <c r="T674" s="7">
        <f>-R674</f>
      </c>
      <c r="U674" s="7">
        <f>Q674</f>
      </c>
      <c r="V674" s="7">
        <f>($C$14+($C$15-$C$14)/($D$15-$D$14)*(I674-$D$14))/2</f>
      </c>
      <c r="W674" s="7">
        <f>($B$22*I674^4+$C$22*I674^3+$D$22*I674^2+$E$22*I674+$F$22)/2</f>
      </c>
      <c r="X674" s="7">
        <f>($W674)*(T674)</f>
      </c>
      <c r="Y674" s="7">
        <f>($W674)*(U674)</f>
      </c>
      <c r="Z674" s="7">
        <f>SQRT(X674^2+Y674^2)</f>
      </c>
      <c r="AA674" s="7">
        <f>$K674+$X674</f>
      </c>
      <c r="AB674" s="7">
        <f>$L674+$Y674</f>
      </c>
      <c r="AC674" s="7">
        <f>$K674-$X674</f>
      </c>
      <c r="AD674" s="7">
        <f>$L674-$Y674</f>
      </c>
      <c r="AE674" s="7">
        <f>AA674/39.3701</f>
      </c>
      <c r="AF674" s="7">
        <f>AB674/39.3701</f>
      </c>
      <c r="AG674" s="7">
        <f>AC674/39.3701</f>
      </c>
      <c r="AH674" s="7">
        <f>AD674/39.3701</f>
      </c>
      <c r="AI674" s="1"/>
      <c r="AJ674" s="1"/>
      <c r="AK674" s="1"/>
      <c r="AL674" s="1"/>
      <c r="AM674" s="2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</row>
    <row x14ac:dyDescent="0.25" r="675" customHeight="1" ht="18.75">
      <c r="A675" s="1"/>
      <c r="B675" s="2"/>
      <c r="C675" s="2"/>
      <c r="D675" s="2"/>
      <c r="E675" s="2"/>
      <c r="F675" s="2"/>
      <c r="G675" s="1"/>
      <c r="H675" s="1"/>
      <c r="I675" s="7">
        <v>0.672</v>
      </c>
      <c r="J675" s="7">
        <f>IF((I675-ROUNDDOWN(I675,0))=0, 0, (I675-ROUNDDOWN(I675,0)))</f>
      </c>
      <c r="K675" s="7">
        <f>INDIRECT("C$"&amp;2+MIN(2,ROUNDDOWN(I675,0))*3)*(-$J675^3+3*$J675^2-3*$J675+1)+INDIRECT("C$"&amp;3+MIN(2,ROUNDDOWN(I675,0))*3)*(3*$J675^3-6*$J675^2+3*$J675)+INDIRECT("C$"&amp;4+MIN(2,ROUNDDOWN(I675,0))*3)*(-3*$J675^3+3*$J675^2)+INDIRECT("C$"&amp;5+MIN(2,ROUNDDOWN(I675,0))*3)*$J675^3</f>
      </c>
      <c r="L675" s="7">
        <f>INDIRECT("D$"&amp;2+MIN(2,ROUNDDOWN(I675,0))*3)*(-$J675^3+3*$J675^2-3*$J675+1)+INDIRECT("D$"&amp;3+MIN(2,ROUNDDOWN(I675,0))*3)*(3*$J675^3-6*$J675^2+3*$J675)+INDIRECT("D$"&amp;4+MIN(2,ROUNDDOWN(I675,0))*3)*(-3*$J675^3+3*$J675^2)+INDIRECT("D$"&amp;5+MIN(2,ROUNDDOWN(I675,0))*3)*$J675^3</f>
      </c>
      <c r="M675" s="7">
        <f>SQRT(K675^2+L675^2)</f>
      </c>
      <c r="N675" s="7">
        <f>(K676-K674)</f>
      </c>
      <c r="O675" s="7">
        <f>+(L676-L674)</f>
      </c>
      <c r="P675" s="7">
        <f>SQRT(O675^2+N675^2)</f>
      </c>
      <c r="Q675" s="7">
        <f>N675/$P675</f>
      </c>
      <c r="R675" s="7">
        <f>O675/$P675</f>
      </c>
      <c r="S675" s="7">
        <f>Q675^2+R675^2</f>
      </c>
      <c r="T675" s="7">
        <f>-R675</f>
      </c>
      <c r="U675" s="7">
        <f>Q675</f>
      </c>
      <c r="V675" s="7">
        <f>($C$14+($C$15-$C$14)/($D$15-$D$14)*(I675-$D$14))/2</f>
      </c>
      <c r="W675" s="7">
        <f>($B$22*I675^4+$C$22*I675^3+$D$22*I675^2+$E$22*I675+$F$22)/2</f>
      </c>
      <c r="X675" s="7">
        <f>($W675)*(T675)</f>
      </c>
      <c r="Y675" s="7">
        <f>($W675)*(U675)</f>
      </c>
      <c r="Z675" s="7">
        <f>SQRT(X675^2+Y675^2)</f>
      </c>
      <c r="AA675" s="7">
        <f>$K675+$X675</f>
      </c>
      <c r="AB675" s="7">
        <f>$L675+$Y675</f>
      </c>
      <c r="AC675" s="7">
        <f>$K675-$X675</f>
      </c>
      <c r="AD675" s="7">
        <f>$L675-$Y675</f>
      </c>
      <c r="AE675" s="7">
        <f>AA675/39.3701</f>
      </c>
      <c r="AF675" s="7">
        <f>AB675/39.3701</f>
      </c>
      <c r="AG675" s="7">
        <f>AC675/39.3701</f>
      </c>
      <c r="AH675" s="7">
        <f>AD675/39.3701</f>
      </c>
      <c r="AI675" s="1"/>
      <c r="AJ675" s="1"/>
      <c r="AK675" s="1"/>
      <c r="AL675" s="1"/>
      <c r="AM675" s="2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</row>
    <row x14ac:dyDescent="0.25" r="676" customHeight="1" ht="18.75">
      <c r="A676" s="1"/>
      <c r="B676" s="2"/>
      <c r="C676" s="2"/>
      <c r="D676" s="2"/>
      <c r="E676" s="2"/>
      <c r="F676" s="2"/>
      <c r="G676" s="1"/>
      <c r="H676" s="1"/>
      <c r="I676" s="7">
        <v>0.673</v>
      </c>
      <c r="J676" s="7">
        <f>IF((I676-ROUNDDOWN(I676,0))=0, 0, (I676-ROUNDDOWN(I676,0)))</f>
      </c>
      <c r="K676" s="7">
        <f>INDIRECT("C$"&amp;2+MIN(2,ROUNDDOWN(I676,0))*3)*(-$J676^3+3*$J676^2-3*$J676+1)+INDIRECT("C$"&amp;3+MIN(2,ROUNDDOWN(I676,0))*3)*(3*$J676^3-6*$J676^2+3*$J676)+INDIRECT("C$"&amp;4+MIN(2,ROUNDDOWN(I676,0))*3)*(-3*$J676^3+3*$J676^2)+INDIRECT("C$"&amp;5+MIN(2,ROUNDDOWN(I676,0))*3)*$J676^3</f>
      </c>
      <c r="L676" s="7">
        <f>INDIRECT("D$"&amp;2+MIN(2,ROUNDDOWN(I676,0))*3)*(-$J676^3+3*$J676^2-3*$J676+1)+INDIRECT("D$"&amp;3+MIN(2,ROUNDDOWN(I676,0))*3)*(3*$J676^3-6*$J676^2+3*$J676)+INDIRECT("D$"&amp;4+MIN(2,ROUNDDOWN(I676,0))*3)*(-3*$J676^3+3*$J676^2)+INDIRECT("D$"&amp;5+MIN(2,ROUNDDOWN(I676,0))*3)*$J676^3</f>
      </c>
      <c r="M676" s="7">
        <f>SQRT(K676^2+L676^2)</f>
      </c>
      <c r="N676" s="7">
        <f>(K677-K675)</f>
      </c>
      <c r="O676" s="7">
        <f>+(L677-L675)</f>
      </c>
      <c r="P676" s="7">
        <f>SQRT(O676^2+N676^2)</f>
      </c>
      <c r="Q676" s="7">
        <f>N676/$P676</f>
      </c>
      <c r="R676" s="7">
        <f>O676/$P676</f>
      </c>
      <c r="S676" s="7">
        <f>Q676^2+R676^2</f>
      </c>
      <c r="T676" s="7">
        <f>-R676</f>
      </c>
      <c r="U676" s="7">
        <f>Q676</f>
      </c>
      <c r="V676" s="7">
        <f>($C$14+($C$15-$C$14)/($D$15-$D$14)*(I676-$D$14))/2</f>
      </c>
      <c r="W676" s="7">
        <f>($B$22*I676^4+$C$22*I676^3+$D$22*I676^2+$E$22*I676+$F$22)/2</f>
      </c>
      <c r="X676" s="7">
        <f>($W676)*(T676)</f>
      </c>
      <c r="Y676" s="7">
        <f>($W676)*(U676)</f>
      </c>
      <c r="Z676" s="7">
        <f>SQRT(X676^2+Y676^2)</f>
      </c>
      <c r="AA676" s="7">
        <f>$K676+$X676</f>
      </c>
      <c r="AB676" s="7">
        <f>$L676+$Y676</f>
      </c>
      <c r="AC676" s="7">
        <f>$K676-$X676</f>
      </c>
      <c r="AD676" s="7">
        <f>$L676-$Y676</f>
      </c>
      <c r="AE676" s="7">
        <f>AA676/39.3701</f>
      </c>
      <c r="AF676" s="7">
        <f>AB676/39.3701</f>
      </c>
      <c r="AG676" s="7">
        <f>AC676/39.3701</f>
      </c>
      <c r="AH676" s="7">
        <f>AD676/39.3701</f>
      </c>
      <c r="AI676" s="1"/>
      <c r="AJ676" s="1"/>
      <c r="AK676" s="1"/>
      <c r="AL676" s="1"/>
      <c r="AM676" s="2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</row>
    <row x14ac:dyDescent="0.25" r="677" customHeight="1" ht="18.75">
      <c r="A677" s="1"/>
      <c r="B677" s="2"/>
      <c r="C677" s="2"/>
      <c r="D677" s="2"/>
      <c r="E677" s="2"/>
      <c r="F677" s="2"/>
      <c r="G677" s="1"/>
      <c r="H677" s="1"/>
      <c r="I677" s="7">
        <v>0.674</v>
      </c>
      <c r="J677" s="7">
        <f>IF((I677-ROUNDDOWN(I677,0))=0, 0, (I677-ROUNDDOWN(I677,0)))</f>
      </c>
      <c r="K677" s="7">
        <f>INDIRECT("C$"&amp;2+MIN(2,ROUNDDOWN(I677,0))*3)*(-$J677^3+3*$J677^2-3*$J677+1)+INDIRECT("C$"&amp;3+MIN(2,ROUNDDOWN(I677,0))*3)*(3*$J677^3-6*$J677^2+3*$J677)+INDIRECT("C$"&amp;4+MIN(2,ROUNDDOWN(I677,0))*3)*(-3*$J677^3+3*$J677^2)+INDIRECT("C$"&amp;5+MIN(2,ROUNDDOWN(I677,0))*3)*$J677^3</f>
      </c>
      <c r="L677" s="7">
        <f>INDIRECT("D$"&amp;2+MIN(2,ROUNDDOWN(I677,0))*3)*(-$J677^3+3*$J677^2-3*$J677+1)+INDIRECT("D$"&amp;3+MIN(2,ROUNDDOWN(I677,0))*3)*(3*$J677^3-6*$J677^2+3*$J677)+INDIRECT("D$"&amp;4+MIN(2,ROUNDDOWN(I677,0))*3)*(-3*$J677^3+3*$J677^2)+INDIRECT("D$"&amp;5+MIN(2,ROUNDDOWN(I677,0))*3)*$J677^3</f>
      </c>
      <c r="M677" s="7">
        <f>SQRT(K677^2+L677^2)</f>
      </c>
      <c r="N677" s="7">
        <f>(K678-K676)</f>
      </c>
      <c r="O677" s="7">
        <f>+(L678-L676)</f>
      </c>
      <c r="P677" s="7">
        <f>SQRT(O677^2+N677^2)</f>
      </c>
      <c r="Q677" s="7">
        <f>N677/$P677</f>
      </c>
      <c r="R677" s="7">
        <f>O677/$P677</f>
      </c>
      <c r="S677" s="7">
        <f>Q677^2+R677^2</f>
      </c>
      <c r="T677" s="7">
        <f>-R677</f>
      </c>
      <c r="U677" s="7">
        <f>Q677</f>
      </c>
      <c r="V677" s="7">
        <f>($C$14+($C$15-$C$14)/($D$15-$D$14)*(I677-$D$14))/2</f>
      </c>
      <c r="W677" s="7">
        <f>($B$22*I677^4+$C$22*I677^3+$D$22*I677^2+$E$22*I677+$F$22)/2</f>
      </c>
      <c r="X677" s="7">
        <f>($W677)*(T677)</f>
      </c>
      <c r="Y677" s="7">
        <f>($W677)*(U677)</f>
      </c>
      <c r="Z677" s="7">
        <f>SQRT(X677^2+Y677^2)</f>
      </c>
      <c r="AA677" s="7">
        <f>$K677+$X677</f>
      </c>
      <c r="AB677" s="7">
        <f>$L677+$Y677</f>
      </c>
      <c r="AC677" s="7">
        <f>$K677-$X677</f>
      </c>
      <c r="AD677" s="7">
        <f>$L677-$Y677</f>
      </c>
      <c r="AE677" s="7">
        <f>AA677/39.3701</f>
      </c>
      <c r="AF677" s="7">
        <f>AB677/39.3701</f>
      </c>
      <c r="AG677" s="7">
        <f>AC677/39.3701</f>
      </c>
      <c r="AH677" s="7">
        <f>AD677/39.3701</f>
      </c>
      <c r="AI677" s="1"/>
      <c r="AJ677" s="1"/>
      <c r="AK677" s="1"/>
      <c r="AL677" s="1"/>
      <c r="AM677" s="2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</row>
    <row x14ac:dyDescent="0.25" r="678" customHeight="1" ht="18.75">
      <c r="A678" s="1"/>
      <c r="B678" s="2"/>
      <c r="C678" s="2"/>
      <c r="D678" s="2"/>
      <c r="E678" s="2"/>
      <c r="F678" s="2"/>
      <c r="G678" s="1"/>
      <c r="H678" s="1"/>
      <c r="I678" s="7">
        <v>0.675</v>
      </c>
      <c r="J678" s="7">
        <f>IF((I678-ROUNDDOWN(I678,0))=0, 0, (I678-ROUNDDOWN(I678,0)))</f>
      </c>
      <c r="K678" s="7">
        <f>INDIRECT("C$"&amp;2+MIN(2,ROUNDDOWN(I678,0))*3)*(-$J678^3+3*$J678^2-3*$J678+1)+INDIRECT("C$"&amp;3+MIN(2,ROUNDDOWN(I678,0))*3)*(3*$J678^3-6*$J678^2+3*$J678)+INDIRECT("C$"&amp;4+MIN(2,ROUNDDOWN(I678,0))*3)*(-3*$J678^3+3*$J678^2)+INDIRECT("C$"&amp;5+MIN(2,ROUNDDOWN(I678,0))*3)*$J678^3</f>
      </c>
      <c r="L678" s="7">
        <f>INDIRECT("D$"&amp;2+MIN(2,ROUNDDOWN(I678,0))*3)*(-$J678^3+3*$J678^2-3*$J678+1)+INDIRECT("D$"&amp;3+MIN(2,ROUNDDOWN(I678,0))*3)*(3*$J678^3-6*$J678^2+3*$J678)+INDIRECT("D$"&amp;4+MIN(2,ROUNDDOWN(I678,0))*3)*(-3*$J678^3+3*$J678^2)+INDIRECT("D$"&amp;5+MIN(2,ROUNDDOWN(I678,0))*3)*$J678^3</f>
      </c>
      <c r="M678" s="7">
        <f>SQRT(K678^2+L678^2)</f>
      </c>
      <c r="N678" s="7">
        <f>(K679-K677)</f>
      </c>
      <c r="O678" s="7">
        <f>+(L679-L677)</f>
      </c>
      <c r="P678" s="7">
        <f>SQRT(O678^2+N678^2)</f>
      </c>
      <c r="Q678" s="7">
        <f>N678/$P678</f>
      </c>
      <c r="R678" s="7">
        <f>O678/$P678</f>
      </c>
      <c r="S678" s="8">
        <f>Q678^2+R678^2</f>
      </c>
      <c r="T678" s="7">
        <f>-R678</f>
      </c>
      <c r="U678" s="7">
        <f>Q678</f>
      </c>
      <c r="V678" s="7">
        <f>($C$14+($C$15-$C$14)/($D$15-$D$14)*(I678-$D$14))/2</f>
      </c>
      <c r="W678" s="7">
        <f>($B$22*I678^4+$C$22*I678^3+$D$22*I678^2+$E$22*I678+$F$22)/2</f>
      </c>
      <c r="X678" s="7">
        <f>($W678)*(T678)</f>
      </c>
      <c r="Y678" s="7">
        <f>($W678)*(U678)</f>
      </c>
      <c r="Z678" s="7">
        <f>SQRT(X678^2+Y678^2)</f>
      </c>
      <c r="AA678" s="7">
        <f>$K678+$X678</f>
      </c>
      <c r="AB678" s="7">
        <f>$L678+$Y678</f>
      </c>
      <c r="AC678" s="7">
        <f>$K678-$X678</f>
      </c>
      <c r="AD678" s="7">
        <f>$L678-$Y678</f>
      </c>
      <c r="AE678" s="7">
        <f>AA678/39.3701</f>
      </c>
      <c r="AF678" s="7">
        <f>AB678/39.3701</f>
      </c>
      <c r="AG678" s="7">
        <f>AC678/39.3701</f>
      </c>
      <c r="AH678" s="7">
        <f>AD678/39.3701</f>
      </c>
      <c r="AI678" s="1"/>
      <c r="AJ678" s="1"/>
      <c r="AK678" s="1"/>
      <c r="AL678" s="1"/>
      <c r="AM678" s="2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</row>
    <row x14ac:dyDescent="0.25" r="679" customHeight="1" ht="18.75">
      <c r="A679" s="1"/>
      <c r="B679" s="2"/>
      <c r="C679" s="2"/>
      <c r="D679" s="2"/>
      <c r="E679" s="2"/>
      <c r="F679" s="2"/>
      <c r="G679" s="1"/>
      <c r="H679" s="1"/>
      <c r="I679" s="7">
        <v>0.676</v>
      </c>
      <c r="J679" s="7">
        <f>IF((I679-ROUNDDOWN(I679,0))=0, 0, (I679-ROUNDDOWN(I679,0)))</f>
      </c>
      <c r="K679" s="7">
        <f>INDIRECT("C$"&amp;2+MIN(2,ROUNDDOWN(I679,0))*3)*(-$J679^3+3*$J679^2-3*$J679+1)+INDIRECT("C$"&amp;3+MIN(2,ROUNDDOWN(I679,0))*3)*(3*$J679^3-6*$J679^2+3*$J679)+INDIRECT("C$"&amp;4+MIN(2,ROUNDDOWN(I679,0))*3)*(-3*$J679^3+3*$J679^2)+INDIRECT("C$"&amp;5+MIN(2,ROUNDDOWN(I679,0))*3)*$J679^3</f>
      </c>
      <c r="L679" s="7">
        <f>INDIRECT("D$"&amp;2+MIN(2,ROUNDDOWN(I679,0))*3)*(-$J679^3+3*$J679^2-3*$J679+1)+INDIRECT("D$"&amp;3+MIN(2,ROUNDDOWN(I679,0))*3)*(3*$J679^3-6*$J679^2+3*$J679)+INDIRECT("D$"&amp;4+MIN(2,ROUNDDOWN(I679,0))*3)*(-3*$J679^3+3*$J679^2)+INDIRECT("D$"&amp;5+MIN(2,ROUNDDOWN(I679,0))*3)*$J679^3</f>
      </c>
      <c r="M679" s="7">
        <f>SQRT(K679^2+L679^2)</f>
      </c>
      <c r="N679" s="7">
        <f>(K680-K678)</f>
      </c>
      <c r="O679" s="7">
        <f>+(L680-L678)</f>
      </c>
      <c r="P679" s="7">
        <f>SQRT(O679^2+N679^2)</f>
      </c>
      <c r="Q679" s="7">
        <f>N679/$P679</f>
      </c>
      <c r="R679" s="7">
        <f>O679/$P679</f>
      </c>
      <c r="S679" s="8">
        <f>Q679^2+R679^2</f>
      </c>
      <c r="T679" s="7">
        <f>-R679</f>
      </c>
      <c r="U679" s="7">
        <f>Q679</f>
      </c>
      <c r="V679" s="7">
        <f>($C$14+($C$15-$C$14)/($D$15-$D$14)*(I679-$D$14))/2</f>
      </c>
      <c r="W679" s="7">
        <f>($B$22*I679^4+$C$22*I679^3+$D$22*I679^2+$E$22*I679+$F$22)/2</f>
      </c>
      <c r="X679" s="7">
        <f>($W679)*(T679)</f>
      </c>
      <c r="Y679" s="7">
        <f>($W679)*(U679)</f>
      </c>
      <c r="Z679" s="7">
        <f>SQRT(X679^2+Y679^2)</f>
      </c>
      <c r="AA679" s="7">
        <f>$K679+$X679</f>
      </c>
      <c r="AB679" s="7">
        <f>$L679+$Y679</f>
      </c>
      <c r="AC679" s="7">
        <f>$K679-$X679</f>
      </c>
      <c r="AD679" s="7">
        <f>$L679-$Y679</f>
      </c>
      <c r="AE679" s="7">
        <f>AA679/39.3701</f>
      </c>
      <c r="AF679" s="7">
        <f>AB679/39.3701</f>
      </c>
      <c r="AG679" s="7">
        <f>AC679/39.3701</f>
      </c>
      <c r="AH679" s="7">
        <f>AD679/39.3701</f>
      </c>
      <c r="AI679" s="1"/>
      <c r="AJ679" s="1"/>
      <c r="AK679" s="1"/>
      <c r="AL679" s="1"/>
      <c r="AM679" s="2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</row>
    <row x14ac:dyDescent="0.25" r="680" customHeight="1" ht="18.75">
      <c r="A680" s="1"/>
      <c r="B680" s="2"/>
      <c r="C680" s="2"/>
      <c r="D680" s="2"/>
      <c r="E680" s="2"/>
      <c r="F680" s="2"/>
      <c r="G680" s="1"/>
      <c r="H680" s="1"/>
      <c r="I680" s="7">
        <v>0.677</v>
      </c>
      <c r="J680" s="7">
        <f>IF((I680-ROUNDDOWN(I680,0))=0, 0, (I680-ROUNDDOWN(I680,0)))</f>
      </c>
      <c r="K680" s="7">
        <f>INDIRECT("C$"&amp;2+MIN(2,ROUNDDOWN(I680,0))*3)*(-$J680^3+3*$J680^2-3*$J680+1)+INDIRECT("C$"&amp;3+MIN(2,ROUNDDOWN(I680,0))*3)*(3*$J680^3-6*$J680^2+3*$J680)+INDIRECT("C$"&amp;4+MIN(2,ROUNDDOWN(I680,0))*3)*(-3*$J680^3+3*$J680^2)+INDIRECT("C$"&amp;5+MIN(2,ROUNDDOWN(I680,0))*3)*$J680^3</f>
      </c>
      <c r="L680" s="7">
        <f>INDIRECT("D$"&amp;2+MIN(2,ROUNDDOWN(I680,0))*3)*(-$J680^3+3*$J680^2-3*$J680+1)+INDIRECT("D$"&amp;3+MIN(2,ROUNDDOWN(I680,0))*3)*(3*$J680^3-6*$J680^2+3*$J680)+INDIRECT("D$"&amp;4+MIN(2,ROUNDDOWN(I680,0))*3)*(-3*$J680^3+3*$J680^2)+INDIRECT("D$"&amp;5+MIN(2,ROUNDDOWN(I680,0))*3)*$J680^3</f>
      </c>
      <c r="M680" s="7">
        <f>SQRT(K680^2+L680^2)</f>
      </c>
      <c r="N680" s="7">
        <f>(K681-K679)</f>
      </c>
      <c r="O680" s="7">
        <f>+(L681-L679)</f>
      </c>
      <c r="P680" s="7">
        <f>SQRT(O680^2+N680^2)</f>
      </c>
      <c r="Q680" s="7">
        <f>N680/$P680</f>
      </c>
      <c r="R680" s="7">
        <f>O680/$P680</f>
      </c>
      <c r="S680" s="7">
        <f>Q680^2+R680^2</f>
      </c>
      <c r="T680" s="7">
        <f>-R680</f>
      </c>
      <c r="U680" s="7">
        <f>Q680</f>
      </c>
      <c r="V680" s="7">
        <f>($C$14+($C$15-$C$14)/($D$15-$D$14)*(I680-$D$14))/2</f>
      </c>
      <c r="W680" s="7">
        <f>($B$22*I680^4+$C$22*I680^3+$D$22*I680^2+$E$22*I680+$F$22)/2</f>
      </c>
      <c r="X680" s="7">
        <f>($W680)*(T680)</f>
      </c>
      <c r="Y680" s="7">
        <f>($W680)*(U680)</f>
      </c>
      <c r="Z680" s="7">
        <f>SQRT(X680^2+Y680^2)</f>
      </c>
      <c r="AA680" s="7">
        <f>$K680+$X680</f>
      </c>
      <c r="AB680" s="7">
        <f>$L680+$Y680</f>
      </c>
      <c r="AC680" s="7">
        <f>$K680-$X680</f>
      </c>
      <c r="AD680" s="7">
        <f>$L680-$Y680</f>
      </c>
      <c r="AE680" s="7">
        <f>AA680/39.3701</f>
      </c>
      <c r="AF680" s="7">
        <f>AB680/39.3701</f>
      </c>
      <c r="AG680" s="7">
        <f>AC680/39.3701</f>
      </c>
      <c r="AH680" s="7">
        <f>AD680/39.3701</f>
      </c>
      <c r="AI680" s="1"/>
      <c r="AJ680" s="1"/>
      <c r="AK680" s="1"/>
      <c r="AL680" s="1"/>
      <c r="AM680" s="2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</row>
    <row x14ac:dyDescent="0.25" r="681" customHeight="1" ht="18.75">
      <c r="A681" s="1"/>
      <c r="B681" s="2"/>
      <c r="C681" s="2"/>
      <c r="D681" s="2"/>
      <c r="E681" s="2"/>
      <c r="F681" s="2"/>
      <c r="G681" s="1"/>
      <c r="H681" s="1"/>
      <c r="I681" s="7">
        <v>0.678</v>
      </c>
      <c r="J681" s="7">
        <f>IF((I681-ROUNDDOWN(I681,0))=0, 0, (I681-ROUNDDOWN(I681,0)))</f>
      </c>
      <c r="K681" s="7">
        <f>INDIRECT("C$"&amp;2+MIN(2,ROUNDDOWN(I681,0))*3)*(-$J681^3+3*$J681^2-3*$J681+1)+INDIRECT("C$"&amp;3+MIN(2,ROUNDDOWN(I681,0))*3)*(3*$J681^3-6*$J681^2+3*$J681)+INDIRECT("C$"&amp;4+MIN(2,ROUNDDOWN(I681,0))*3)*(-3*$J681^3+3*$J681^2)+INDIRECT("C$"&amp;5+MIN(2,ROUNDDOWN(I681,0))*3)*$J681^3</f>
      </c>
      <c r="L681" s="7">
        <f>INDIRECT("D$"&amp;2+MIN(2,ROUNDDOWN(I681,0))*3)*(-$J681^3+3*$J681^2-3*$J681+1)+INDIRECT("D$"&amp;3+MIN(2,ROUNDDOWN(I681,0))*3)*(3*$J681^3-6*$J681^2+3*$J681)+INDIRECT("D$"&amp;4+MIN(2,ROUNDDOWN(I681,0))*3)*(-3*$J681^3+3*$J681^2)+INDIRECT("D$"&amp;5+MIN(2,ROUNDDOWN(I681,0))*3)*$J681^3</f>
      </c>
      <c r="M681" s="7">
        <f>SQRT(K681^2+L681^2)</f>
      </c>
      <c r="N681" s="7">
        <f>(K682-K680)</f>
      </c>
      <c r="O681" s="7">
        <f>+(L682-L680)</f>
      </c>
      <c r="P681" s="7">
        <f>SQRT(O681^2+N681^2)</f>
      </c>
      <c r="Q681" s="7">
        <f>N681/$P681</f>
      </c>
      <c r="R681" s="7">
        <f>O681/$P681</f>
      </c>
      <c r="S681" s="7">
        <f>Q681^2+R681^2</f>
      </c>
      <c r="T681" s="7">
        <f>-R681</f>
      </c>
      <c r="U681" s="7">
        <f>Q681</f>
      </c>
      <c r="V681" s="7">
        <f>($C$14+($C$15-$C$14)/($D$15-$D$14)*(I681-$D$14))/2</f>
      </c>
      <c r="W681" s="7">
        <f>($B$22*I681^4+$C$22*I681^3+$D$22*I681^2+$E$22*I681+$F$22)/2</f>
      </c>
      <c r="X681" s="7">
        <f>($W681)*(T681)</f>
      </c>
      <c r="Y681" s="7">
        <f>($W681)*(U681)</f>
      </c>
      <c r="Z681" s="7">
        <f>SQRT(X681^2+Y681^2)</f>
      </c>
      <c r="AA681" s="7">
        <f>$K681+$X681</f>
      </c>
      <c r="AB681" s="7">
        <f>$L681+$Y681</f>
      </c>
      <c r="AC681" s="7">
        <f>$K681-$X681</f>
      </c>
      <c r="AD681" s="7">
        <f>$L681-$Y681</f>
      </c>
      <c r="AE681" s="7">
        <f>AA681/39.3701</f>
      </c>
      <c r="AF681" s="7">
        <f>AB681/39.3701</f>
      </c>
      <c r="AG681" s="7">
        <f>AC681/39.3701</f>
      </c>
      <c r="AH681" s="7">
        <f>AD681/39.3701</f>
      </c>
      <c r="AI681" s="1"/>
      <c r="AJ681" s="1"/>
      <c r="AK681" s="1"/>
      <c r="AL681" s="1"/>
      <c r="AM681" s="2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</row>
    <row x14ac:dyDescent="0.25" r="682" customHeight="1" ht="18.75">
      <c r="A682" s="1"/>
      <c r="B682" s="2"/>
      <c r="C682" s="2"/>
      <c r="D682" s="2"/>
      <c r="E682" s="2"/>
      <c r="F682" s="2"/>
      <c r="G682" s="1"/>
      <c r="H682" s="1"/>
      <c r="I682" s="7">
        <v>0.679</v>
      </c>
      <c r="J682" s="7">
        <f>IF((I682-ROUNDDOWN(I682,0))=0, 0, (I682-ROUNDDOWN(I682,0)))</f>
      </c>
      <c r="K682" s="7">
        <f>INDIRECT("C$"&amp;2+MIN(2,ROUNDDOWN(I682,0))*3)*(-$J682^3+3*$J682^2-3*$J682+1)+INDIRECT("C$"&amp;3+MIN(2,ROUNDDOWN(I682,0))*3)*(3*$J682^3-6*$J682^2+3*$J682)+INDIRECT("C$"&amp;4+MIN(2,ROUNDDOWN(I682,0))*3)*(-3*$J682^3+3*$J682^2)+INDIRECT("C$"&amp;5+MIN(2,ROUNDDOWN(I682,0))*3)*$J682^3</f>
      </c>
      <c r="L682" s="7">
        <f>INDIRECT("D$"&amp;2+MIN(2,ROUNDDOWN(I682,0))*3)*(-$J682^3+3*$J682^2-3*$J682+1)+INDIRECT("D$"&amp;3+MIN(2,ROUNDDOWN(I682,0))*3)*(3*$J682^3-6*$J682^2+3*$J682)+INDIRECT("D$"&amp;4+MIN(2,ROUNDDOWN(I682,0))*3)*(-3*$J682^3+3*$J682^2)+INDIRECT("D$"&amp;5+MIN(2,ROUNDDOWN(I682,0))*3)*$J682^3</f>
      </c>
      <c r="M682" s="7">
        <f>SQRT(K682^2+L682^2)</f>
      </c>
      <c r="N682" s="7">
        <f>(K683-K681)</f>
      </c>
      <c r="O682" s="7">
        <f>+(L683-L681)</f>
      </c>
      <c r="P682" s="7">
        <f>SQRT(O682^2+N682^2)</f>
      </c>
      <c r="Q682" s="7">
        <f>N682/$P682</f>
      </c>
      <c r="R682" s="7">
        <f>O682/$P682</f>
      </c>
      <c r="S682" s="8">
        <f>Q682^2+R682^2</f>
      </c>
      <c r="T682" s="7">
        <f>-R682</f>
      </c>
      <c r="U682" s="7">
        <f>Q682</f>
      </c>
      <c r="V682" s="7">
        <f>($C$14+($C$15-$C$14)/($D$15-$D$14)*(I682-$D$14))/2</f>
      </c>
      <c r="W682" s="7">
        <f>($B$22*I682^4+$C$22*I682^3+$D$22*I682^2+$E$22*I682+$F$22)/2</f>
      </c>
      <c r="X682" s="7">
        <f>($W682)*(T682)</f>
      </c>
      <c r="Y682" s="7">
        <f>($W682)*(U682)</f>
      </c>
      <c r="Z682" s="7">
        <f>SQRT(X682^2+Y682^2)</f>
      </c>
      <c r="AA682" s="7">
        <f>$K682+$X682</f>
      </c>
      <c r="AB682" s="7">
        <f>$L682+$Y682</f>
      </c>
      <c r="AC682" s="7">
        <f>$K682-$X682</f>
      </c>
      <c r="AD682" s="7">
        <f>$L682-$Y682</f>
      </c>
      <c r="AE682" s="7">
        <f>AA682/39.3701</f>
      </c>
      <c r="AF682" s="7">
        <f>AB682/39.3701</f>
      </c>
      <c r="AG682" s="7">
        <f>AC682/39.3701</f>
      </c>
      <c r="AH682" s="7">
        <f>AD682/39.3701</f>
      </c>
      <c r="AI682" s="1"/>
      <c r="AJ682" s="1"/>
      <c r="AK682" s="1"/>
      <c r="AL682" s="1"/>
      <c r="AM682" s="2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</row>
    <row x14ac:dyDescent="0.25" r="683" customHeight="1" ht="18.75">
      <c r="A683" s="1"/>
      <c r="B683" s="2"/>
      <c r="C683" s="2"/>
      <c r="D683" s="2"/>
      <c r="E683" s="2"/>
      <c r="F683" s="2"/>
      <c r="G683" s="1"/>
      <c r="H683" s="1"/>
      <c r="I683" s="7">
        <v>0.68</v>
      </c>
      <c r="J683" s="7">
        <f>IF((I683-ROUNDDOWN(I683,0))=0, 0, (I683-ROUNDDOWN(I683,0)))</f>
      </c>
      <c r="K683" s="7">
        <f>INDIRECT("C$"&amp;2+MIN(2,ROUNDDOWN(I683,0))*3)*(-$J683^3+3*$J683^2-3*$J683+1)+INDIRECT("C$"&amp;3+MIN(2,ROUNDDOWN(I683,0))*3)*(3*$J683^3-6*$J683^2+3*$J683)+INDIRECT("C$"&amp;4+MIN(2,ROUNDDOWN(I683,0))*3)*(-3*$J683^3+3*$J683^2)+INDIRECT("C$"&amp;5+MIN(2,ROUNDDOWN(I683,0))*3)*$J683^3</f>
      </c>
      <c r="L683" s="7">
        <f>INDIRECT("D$"&amp;2+MIN(2,ROUNDDOWN(I683,0))*3)*(-$J683^3+3*$J683^2-3*$J683+1)+INDIRECT("D$"&amp;3+MIN(2,ROUNDDOWN(I683,0))*3)*(3*$J683^3-6*$J683^2+3*$J683)+INDIRECT("D$"&amp;4+MIN(2,ROUNDDOWN(I683,0))*3)*(-3*$J683^3+3*$J683^2)+INDIRECT("D$"&amp;5+MIN(2,ROUNDDOWN(I683,0))*3)*$J683^3</f>
      </c>
      <c r="M683" s="7">
        <f>SQRT(K683^2+L683^2)</f>
      </c>
      <c r="N683" s="7">
        <f>(K684-K682)</f>
      </c>
      <c r="O683" s="7">
        <f>+(L684-L682)</f>
      </c>
      <c r="P683" s="7">
        <f>SQRT(O683^2+N683^2)</f>
      </c>
      <c r="Q683" s="7">
        <f>N683/$P683</f>
      </c>
      <c r="R683" s="7">
        <f>O683/$P683</f>
      </c>
      <c r="S683" s="8">
        <f>Q683^2+R683^2</f>
      </c>
      <c r="T683" s="7">
        <f>-R683</f>
      </c>
      <c r="U683" s="7">
        <f>Q683</f>
      </c>
      <c r="V683" s="7">
        <f>($C$14+($C$15-$C$14)/($D$15-$D$14)*(I683-$D$14))/2</f>
      </c>
      <c r="W683" s="7">
        <f>($B$22*I683^4+$C$22*I683^3+$D$22*I683^2+$E$22*I683+$F$22)/2</f>
      </c>
      <c r="X683" s="7">
        <f>($W683)*(T683)</f>
      </c>
      <c r="Y683" s="7">
        <f>($W683)*(U683)</f>
      </c>
      <c r="Z683" s="7">
        <f>SQRT(X683^2+Y683^2)</f>
      </c>
      <c r="AA683" s="7">
        <f>$K683+$X683</f>
      </c>
      <c r="AB683" s="7">
        <f>$L683+$Y683</f>
      </c>
      <c r="AC683" s="7">
        <f>$K683-$X683</f>
      </c>
      <c r="AD683" s="7">
        <f>$L683-$Y683</f>
      </c>
      <c r="AE683" s="7">
        <f>AA683/39.3701</f>
      </c>
      <c r="AF683" s="7">
        <f>AB683/39.3701</f>
      </c>
      <c r="AG683" s="7">
        <f>AC683/39.3701</f>
      </c>
      <c r="AH683" s="7">
        <f>AD683/39.3701</f>
      </c>
      <c r="AI683" s="1"/>
      <c r="AJ683" s="1"/>
      <c r="AK683" s="1"/>
      <c r="AL683" s="1"/>
      <c r="AM683" s="2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</row>
    <row x14ac:dyDescent="0.25" r="684" customHeight="1" ht="18.75">
      <c r="A684" s="1"/>
      <c r="B684" s="2"/>
      <c r="C684" s="2"/>
      <c r="D684" s="2"/>
      <c r="E684" s="2"/>
      <c r="F684" s="2"/>
      <c r="G684" s="1"/>
      <c r="H684" s="1"/>
      <c r="I684" s="7">
        <v>0.681</v>
      </c>
      <c r="J684" s="7">
        <f>IF((I684-ROUNDDOWN(I684,0))=0, 0, (I684-ROUNDDOWN(I684,0)))</f>
      </c>
      <c r="K684" s="7">
        <f>INDIRECT("C$"&amp;2+MIN(2,ROUNDDOWN(I684,0))*3)*(-$J684^3+3*$J684^2-3*$J684+1)+INDIRECT("C$"&amp;3+MIN(2,ROUNDDOWN(I684,0))*3)*(3*$J684^3-6*$J684^2+3*$J684)+INDIRECT("C$"&amp;4+MIN(2,ROUNDDOWN(I684,0))*3)*(-3*$J684^3+3*$J684^2)+INDIRECT("C$"&amp;5+MIN(2,ROUNDDOWN(I684,0))*3)*$J684^3</f>
      </c>
      <c r="L684" s="7">
        <f>INDIRECT("D$"&amp;2+MIN(2,ROUNDDOWN(I684,0))*3)*(-$J684^3+3*$J684^2-3*$J684+1)+INDIRECT("D$"&amp;3+MIN(2,ROUNDDOWN(I684,0))*3)*(3*$J684^3-6*$J684^2+3*$J684)+INDIRECT("D$"&amp;4+MIN(2,ROUNDDOWN(I684,0))*3)*(-3*$J684^3+3*$J684^2)+INDIRECT("D$"&amp;5+MIN(2,ROUNDDOWN(I684,0))*3)*$J684^3</f>
      </c>
      <c r="M684" s="7">
        <f>SQRT(K684^2+L684^2)</f>
      </c>
      <c r="N684" s="7">
        <f>(K685-K683)</f>
      </c>
      <c r="O684" s="7">
        <f>+(L685-L683)</f>
      </c>
      <c r="P684" s="7">
        <f>SQRT(O684^2+N684^2)</f>
      </c>
      <c r="Q684" s="7">
        <f>N684/$P684</f>
      </c>
      <c r="R684" s="7">
        <f>O684/$P684</f>
      </c>
      <c r="S684" s="8">
        <f>Q684^2+R684^2</f>
      </c>
      <c r="T684" s="7">
        <f>-R684</f>
      </c>
      <c r="U684" s="7">
        <f>Q684</f>
      </c>
      <c r="V684" s="7">
        <f>($C$14+($C$15-$C$14)/($D$15-$D$14)*(I684-$D$14))/2</f>
      </c>
      <c r="W684" s="7">
        <f>($B$22*I684^4+$C$22*I684^3+$D$22*I684^2+$E$22*I684+$F$22)/2</f>
      </c>
      <c r="X684" s="7">
        <f>($W684)*(T684)</f>
      </c>
      <c r="Y684" s="7">
        <f>($W684)*(U684)</f>
      </c>
      <c r="Z684" s="7">
        <f>SQRT(X684^2+Y684^2)</f>
      </c>
      <c r="AA684" s="7">
        <f>$K684+$X684</f>
      </c>
      <c r="AB684" s="7">
        <f>$L684+$Y684</f>
      </c>
      <c r="AC684" s="7">
        <f>$K684-$X684</f>
      </c>
      <c r="AD684" s="7">
        <f>$L684-$Y684</f>
      </c>
      <c r="AE684" s="7">
        <f>AA684/39.3701</f>
      </c>
      <c r="AF684" s="7">
        <f>AB684/39.3701</f>
      </c>
      <c r="AG684" s="7">
        <f>AC684/39.3701</f>
      </c>
      <c r="AH684" s="7">
        <f>AD684/39.3701</f>
      </c>
      <c r="AI684" s="1"/>
      <c r="AJ684" s="1"/>
      <c r="AK684" s="1"/>
      <c r="AL684" s="1"/>
      <c r="AM684" s="2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</row>
    <row x14ac:dyDescent="0.25" r="685" customHeight="1" ht="18.75">
      <c r="A685" s="1"/>
      <c r="B685" s="2"/>
      <c r="C685" s="2"/>
      <c r="D685" s="2"/>
      <c r="E685" s="2"/>
      <c r="F685" s="2"/>
      <c r="G685" s="1"/>
      <c r="H685" s="1"/>
      <c r="I685" s="7">
        <v>0.682</v>
      </c>
      <c r="J685" s="7">
        <f>IF((I685-ROUNDDOWN(I685,0))=0, 0, (I685-ROUNDDOWN(I685,0)))</f>
      </c>
      <c r="K685" s="7">
        <f>INDIRECT("C$"&amp;2+MIN(2,ROUNDDOWN(I685,0))*3)*(-$J685^3+3*$J685^2-3*$J685+1)+INDIRECT("C$"&amp;3+MIN(2,ROUNDDOWN(I685,0))*3)*(3*$J685^3-6*$J685^2+3*$J685)+INDIRECT("C$"&amp;4+MIN(2,ROUNDDOWN(I685,0))*3)*(-3*$J685^3+3*$J685^2)+INDIRECT("C$"&amp;5+MIN(2,ROUNDDOWN(I685,0))*3)*$J685^3</f>
      </c>
      <c r="L685" s="7">
        <f>INDIRECT("D$"&amp;2+MIN(2,ROUNDDOWN(I685,0))*3)*(-$J685^3+3*$J685^2-3*$J685+1)+INDIRECT("D$"&amp;3+MIN(2,ROUNDDOWN(I685,0))*3)*(3*$J685^3-6*$J685^2+3*$J685)+INDIRECT("D$"&amp;4+MIN(2,ROUNDDOWN(I685,0))*3)*(-3*$J685^3+3*$J685^2)+INDIRECT("D$"&amp;5+MIN(2,ROUNDDOWN(I685,0))*3)*$J685^3</f>
      </c>
      <c r="M685" s="7">
        <f>SQRT(K685^2+L685^2)</f>
      </c>
      <c r="N685" s="7">
        <f>(K686-K684)</f>
      </c>
      <c r="O685" s="7">
        <f>+(L686-L684)</f>
      </c>
      <c r="P685" s="7">
        <f>SQRT(O685^2+N685^2)</f>
      </c>
      <c r="Q685" s="7">
        <f>N685/$P685</f>
      </c>
      <c r="R685" s="7">
        <f>O685/$P685</f>
      </c>
      <c r="S685" s="7">
        <f>Q685^2+R685^2</f>
      </c>
      <c r="T685" s="7">
        <f>-R685</f>
      </c>
      <c r="U685" s="7">
        <f>Q685</f>
      </c>
      <c r="V685" s="7">
        <f>($C$14+($C$15-$C$14)/($D$15-$D$14)*(I685-$D$14))/2</f>
      </c>
      <c r="W685" s="7">
        <f>($B$22*I685^4+$C$22*I685^3+$D$22*I685^2+$E$22*I685+$F$22)/2</f>
      </c>
      <c r="X685" s="7">
        <f>($W685)*(T685)</f>
      </c>
      <c r="Y685" s="7">
        <f>($W685)*(U685)</f>
      </c>
      <c r="Z685" s="7">
        <f>SQRT(X685^2+Y685^2)</f>
      </c>
      <c r="AA685" s="7">
        <f>$K685+$X685</f>
      </c>
      <c r="AB685" s="7">
        <f>$L685+$Y685</f>
      </c>
      <c r="AC685" s="7">
        <f>$K685-$X685</f>
      </c>
      <c r="AD685" s="7">
        <f>$L685-$Y685</f>
      </c>
      <c r="AE685" s="7">
        <f>AA685/39.3701</f>
      </c>
      <c r="AF685" s="7">
        <f>AB685/39.3701</f>
      </c>
      <c r="AG685" s="7">
        <f>AC685/39.3701</f>
      </c>
      <c r="AH685" s="7">
        <f>AD685/39.3701</f>
      </c>
      <c r="AI685" s="1"/>
      <c r="AJ685" s="1"/>
      <c r="AK685" s="1"/>
      <c r="AL685" s="1"/>
      <c r="AM685" s="2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</row>
    <row x14ac:dyDescent="0.25" r="686" customHeight="1" ht="18.75">
      <c r="A686" s="1"/>
      <c r="B686" s="2"/>
      <c r="C686" s="2"/>
      <c r="D686" s="2"/>
      <c r="E686" s="2"/>
      <c r="F686" s="2"/>
      <c r="G686" s="1"/>
      <c r="H686" s="1"/>
      <c r="I686" s="7">
        <v>0.683</v>
      </c>
      <c r="J686" s="7">
        <f>IF((I686-ROUNDDOWN(I686,0))=0, 0, (I686-ROUNDDOWN(I686,0)))</f>
      </c>
      <c r="K686" s="7">
        <f>INDIRECT("C$"&amp;2+MIN(2,ROUNDDOWN(I686,0))*3)*(-$J686^3+3*$J686^2-3*$J686+1)+INDIRECT("C$"&amp;3+MIN(2,ROUNDDOWN(I686,0))*3)*(3*$J686^3-6*$J686^2+3*$J686)+INDIRECT("C$"&amp;4+MIN(2,ROUNDDOWN(I686,0))*3)*(-3*$J686^3+3*$J686^2)+INDIRECT("C$"&amp;5+MIN(2,ROUNDDOWN(I686,0))*3)*$J686^3</f>
      </c>
      <c r="L686" s="7">
        <f>INDIRECT("D$"&amp;2+MIN(2,ROUNDDOWN(I686,0))*3)*(-$J686^3+3*$J686^2-3*$J686+1)+INDIRECT("D$"&amp;3+MIN(2,ROUNDDOWN(I686,0))*3)*(3*$J686^3-6*$J686^2+3*$J686)+INDIRECT("D$"&amp;4+MIN(2,ROUNDDOWN(I686,0))*3)*(-3*$J686^3+3*$J686^2)+INDIRECT("D$"&amp;5+MIN(2,ROUNDDOWN(I686,0))*3)*$J686^3</f>
      </c>
      <c r="M686" s="7">
        <f>SQRT(K686^2+L686^2)</f>
      </c>
      <c r="N686" s="7">
        <f>(K687-K685)</f>
      </c>
      <c r="O686" s="7">
        <f>+(L687-L685)</f>
      </c>
      <c r="P686" s="7">
        <f>SQRT(O686^2+N686^2)</f>
      </c>
      <c r="Q686" s="7">
        <f>N686/$P686</f>
      </c>
      <c r="R686" s="7">
        <f>O686/$P686</f>
      </c>
      <c r="S686" s="8">
        <f>Q686^2+R686^2</f>
      </c>
      <c r="T686" s="7">
        <f>-R686</f>
      </c>
      <c r="U686" s="7">
        <f>Q686</f>
      </c>
      <c r="V686" s="7">
        <f>($C$14+($C$15-$C$14)/($D$15-$D$14)*(I686-$D$14))/2</f>
      </c>
      <c r="W686" s="7">
        <f>($B$22*I686^4+$C$22*I686^3+$D$22*I686^2+$E$22*I686+$F$22)/2</f>
      </c>
      <c r="X686" s="7">
        <f>($W686)*(T686)</f>
      </c>
      <c r="Y686" s="7">
        <f>($W686)*(U686)</f>
      </c>
      <c r="Z686" s="7">
        <f>SQRT(X686^2+Y686^2)</f>
      </c>
      <c r="AA686" s="7">
        <f>$K686+$X686</f>
      </c>
      <c r="AB686" s="7">
        <f>$L686+$Y686</f>
      </c>
      <c r="AC686" s="7">
        <f>$K686-$X686</f>
      </c>
      <c r="AD686" s="7">
        <f>$L686-$Y686</f>
      </c>
      <c r="AE686" s="7">
        <f>AA686/39.3701</f>
      </c>
      <c r="AF686" s="7">
        <f>AB686/39.3701</f>
      </c>
      <c r="AG686" s="7">
        <f>AC686/39.3701</f>
      </c>
      <c r="AH686" s="7">
        <f>AD686/39.3701</f>
      </c>
      <c r="AI686" s="1"/>
      <c r="AJ686" s="1"/>
      <c r="AK686" s="1"/>
      <c r="AL686" s="1"/>
      <c r="AM686" s="2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</row>
    <row x14ac:dyDescent="0.25" r="687" customHeight="1" ht="18.75">
      <c r="A687" s="1"/>
      <c r="B687" s="2"/>
      <c r="C687" s="2"/>
      <c r="D687" s="2"/>
      <c r="E687" s="2"/>
      <c r="F687" s="2"/>
      <c r="G687" s="1"/>
      <c r="H687" s="1"/>
      <c r="I687" s="7">
        <v>0.684</v>
      </c>
      <c r="J687" s="7">
        <f>IF((I687-ROUNDDOWN(I687,0))=0, 0, (I687-ROUNDDOWN(I687,0)))</f>
      </c>
      <c r="K687" s="7">
        <f>INDIRECT("C$"&amp;2+MIN(2,ROUNDDOWN(I687,0))*3)*(-$J687^3+3*$J687^2-3*$J687+1)+INDIRECT("C$"&amp;3+MIN(2,ROUNDDOWN(I687,0))*3)*(3*$J687^3-6*$J687^2+3*$J687)+INDIRECT("C$"&amp;4+MIN(2,ROUNDDOWN(I687,0))*3)*(-3*$J687^3+3*$J687^2)+INDIRECT("C$"&amp;5+MIN(2,ROUNDDOWN(I687,0))*3)*$J687^3</f>
      </c>
      <c r="L687" s="7">
        <f>INDIRECT("D$"&amp;2+MIN(2,ROUNDDOWN(I687,0))*3)*(-$J687^3+3*$J687^2-3*$J687+1)+INDIRECT("D$"&amp;3+MIN(2,ROUNDDOWN(I687,0))*3)*(3*$J687^3-6*$J687^2+3*$J687)+INDIRECT("D$"&amp;4+MIN(2,ROUNDDOWN(I687,0))*3)*(-3*$J687^3+3*$J687^2)+INDIRECT("D$"&amp;5+MIN(2,ROUNDDOWN(I687,0))*3)*$J687^3</f>
      </c>
      <c r="M687" s="7">
        <f>SQRT(K687^2+L687^2)</f>
      </c>
      <c r="N687" s="7">
        <f>(K688-K686)</f>
      </c>
      <c r="O687" s="7">
        <f>+(L688-L686)</f>
      </c>
      <c r="P687" s="7">
        <f>SQRT(O687^2+N687^2)</f>
      </c>
      <c r="Q687" s="7">
        <f>N687/$P687</f>
      </c>
      <c r="R687" s="7">
        <f>O687/$P687</f>
      </c>
      <c r="S687" s="7">
        <f>Q687^2+R687^2</f>
      </c>
      <c r="T687" s="7">
        <f>-R687</f>
      </c>
      <c r="U687" s="7">
        <f>Q687</f>
      </c>
      <c r="V687" s="7">
        <f>($C$14+($C$15-$C$14)/($D$15-$D$14)*(I687-$D$14))/2</f>
      </c>
      <c r="W687" s="7">
        <f>($B$22*I687^4+$C$22*I687^3+$D$22*I687^2+$E$22*I687+$F$22)/2</f>
      </c>
      <c r="X687" s="7">
        <f>($W687)*(T687)</f>
      </c>
      <c r="Y687" s="7">
        <f>($W687)*(U687)</f>
      </c>
      <c r="Z687" s="7">
        <f>SQRT(X687^2+Y687^2)</f>
      </c>
      <c r="AA687" s="7">
        <f>$K687+$X687</f>
      </c>
      <c r="AB687" s="7">
        <f>$L687+$Y687</f>
      </c>
      <c r="AC687" s="7">
        <f>$K687-$X687</f>
      </c>
      <c r="AD687" s="7">
        <f>$L687-$Y687</f>
      </c>
      <c r="AE687" s="7">
        <f>AA687/39.3701</f>
      </c>
      <c r="AF687" s="7">
        <f>AB687/39.3701</f>
      </c>
      <c r="AG687" s="7">
        <f>AC687/39.3701</f>
      </c>
      <c r="AH687" s="7">
        <f>AD687/39.3701</f>
      </c>
      <c r="AI687" s="1"/>
      <c r="AJ687" s="1"/>
      <c r="AK687" s="1"/>
      <c r="AL687" s="1"/>
      <c r="AM687" s="2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</row>
    <row x14ac:dyDescent="0.25" r="688" customHeight="1" ht="18.75">
      <c r="A688" s="1"/>
      <c r="B688" s="2"/>
      <c r="C688" s="2"/>
      <c r="D688" s="2"/>
      <c r="E688" s="2"/>
      <c r="F688" s="2"/>
      <c r="G688" s="1"/>
      <c r="H688" s="1"/>
      <c r="I688" s="7">
        <v>0.685</v>
      </c>
      <c r="J688" s="7">
        <f>IF((I688-ROUNDDOWN(I688,0))=0, 0, (I688-ROUNDDOWN(I688,0)))</f>
      </c>
      <c r="K688" s="7">
        <f>INDIRECT("C$"&amp;2+MIN(2,ROUNDDOWN(I688,0))*3)*(-$J688^3+3*$J688^2-3*$J688+1)+INDIRECT("C$"&amp;3+MIN(2,ROUNDDOWN(I688,0))*3)*(3*$J688^3-6*$J688^2+3*$J688)+INDIRECT("C$"&amp;4+MIN(2,ROUNDDOWN(I688,0))*3)*(-3*$J688^3+3*$J688^2)+INDIRECT("C$"&amp;5+MIN(2,ROUNDDOWN(I688,0))*3)*$J688^3</f>
      </c>
      <c r="L688" s="7">
        <f>INDIRECT("D$"&amp;2+MIN(2,ROUNDDOWN(I688,0))*3)*(-$J688^3+3*$J688^2-3*$J688+1)+INDIRECT("D$"&amp;3+MIN(2,ROUNDDOWN(I688,0))*3)*(3*$J688^3-6*$J688^2+3*$J688)+INDIRECT("D$"&amp;4+MIN(2,ROUNDDOWN(I688,0))*3)*(-3*$J688^3+3*$J688^2)+INDIRECT("D$"&amp;5+MIN(2,ROUNDDOWN(I688,0))*3)*$J688^3</f>
      </c>
      <c r="M688" s="7">
        <f>SQRT(K688^2+L688^2)</f>
      </c>
      <c r="N688" s="7">
        <f>(K689-K687)</f>
      </c>
      <c r="O688" s="7">
        <f>+(L689-L687)</f>
      </c>
      <c r="P688" s="7">
        <f>SQRT(O688^2+N688^2)</f>
      </c>
      <c r="Q688" s="7">
        <f>N688/$P688</f>
      </c>
      <c r="R688" s="7">
        <f>O688/$P688</f>
      </c>
      <c r="S688" s="8">
        <f>Q688^2+R688^2</f>
      </c>
      <c r="T688" s="7">
        <f>-R688</f>
      </c>
      <c r="U688" s="7">
        <f>Q688</f>
      </c>
      <c r="V688" s="7">
        <f>($C$14+($C$15-$C$14)/($D$15-$D$14)*(I688-$D$14))/2</f>
      </c>
      <c r="W688" s="7">
        <f>($B$22*I688^4+$C$22*I688^3+$D$22*I688^2+$E$22*I688+$F$22)/2</f>
      </c>
      <c r="X688" s="7">
        <f>($W688)*(T688)</f>
      </c>
      <c r="Y688" s="7">
        <f>($W688)*(U688)</f>
      </c>
      <c r="Z688" s="7">
        <f>SQRT(X688^2+Y688^2)</f>
      </c>
      <c r="AA688" s="7">
        <f>$K688+$X688</f>
      </c>
      <c r="AB688" s="7">
        <f>$L688+$Y688</f>
      </c>
      <c r="AC688" s="7">
        <f>$K688-$X688</f>
      </c>
      <c r="AD688" s="7">
        <f>$L688-$Y688</f>
      </c>
      <c r="AE688" s="7">
        <f>AA688/39.3701</f>
      </c>
      <c r="AF688" s="7">
        <f>AB688/39.3701</f>
      </c>
      <c r="AG688" s="7">
        <f>AC688/39.3701</f>
      </c>
      <c r="AH688" s="7">
        <f>AD688/39.3701</f>
      </c>
      <c r="AI688" s="1"/>
      <c r="AJ688" s="1"/>
      <c r="AK688" s="1"/>
      <c r="AL688" s="1"/>
      <c r="AM688" s="2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</row>
    <row x14ac:dyDescent="0.25" r="689" customHeight="1" ht="18.75">
      <c r="A689" s="1"/>
      <c r="B689" s="2"/>
      <c r="C689" s="2"/>
      <c r="D689" s="2"/>
      <c r="E689" s="2"/>
      <c r="F689" s="2"/>
      <c r="G689" s="1"/>
      <c r="H689" s="1"/>
      <c r="I689" s="7">
        <v>0.686</v>
      </c>
      <c r="J689" s="7">
        <f>IF((I689-ROUNDDOWN(I689,0))=0, 0, (I689-ROUNDDOWN(I689,0)))</f>
      </c>
      <c r="K689" s="7">
        <f>INDIRECT("C$"&amp;2+MIN(2,ROUNDDOWN(I689,0))*3)*(-$J689^3+3*$J689^2-3*$J689+1)+INDIRECT("C$"&amp;3+MIN(2,ROUNDDOWN(I689,0))*3)*(3*$J689^3-6*$J689^2+3*$J689)+INDIRECT("C$"&amp;4+MIN(2,ROUNDDOWN(I689,0))*3)*(-3*$J689^3+3*$J689^2)+INDIRECT("C$"&amp;5+MIN(2,ROUNDDOWN(I689,0))*3)*$J689^3</f>
      </c>
      <c r="L689" s="7">
        <f>INDIRECT("D$"&amp;2+MIN(2,ROUNDDOWN(I689,0))*3)*(-$J689^3+3*$J689^2-3*$J689+1)+INDIRECT("D$"&amp;3+MIN(2,ROUNDDOWN(I689,0))*3)*(3*$J689^3-6*$J689^2+3*$J689)+INDIRECT("D$"&amp;4+MIN(2,ROUNDDOWN(I689,0))*3)*(-3*$J689^3+3*$J689^2)+INDIRECT("D$"&amp;5+MIN(2,ROUNDDOWN(I689,0))*3)*$J689^3</f>
      </c>
      <c r="M689" s="7">
        <f>SQRT(K689^2+L689^2)</f>
      </c>
      <c r="N689" s="7">
        <f>(K690-K688)</f>
      </c>
      <c r="O689" s="7">
        <f>+(L690-L688)</f>
      </c>
      <c r="P689" s="7">
        <f>SQRT(O689^2+N689^2)</f>
      </c>
      <c r="Q689" s="7">
        <f>N689/$P689</f>
      </c>
      <c r="R689" s="7">
        <f>O689/$P689</f>
      </c>
      <c r="S689" s="8">
        <f>Q689^2+R689^2</f>
      </c>
      <c r="T689" s="7">
        <f>-R689</f>
      </c>
      <c r="U689" s="7">
        <f>Q689</f>
      </c>
      <c r="V689" s="7">
        <f>($C$14+($C$15-$C$14)/($D$15-$D$14)*(I689-$D$14))/2</f>
      </c>
      <c r="W689" s="7">
        <f>($B$22*I689^4+$C$22*I689^3+$D$22*I689^2+$E$22*I689+$F$22)/2</f>
      </c>
      <c r="X689" s="7">
        <f>($W689)*(T689)</f>
      </c>
      <c r="Y689" s="7">
        <f>($W689)*(U689)</f>
      </c>
      <c r="Z689" s="7">
        <f>SQRT(X689^2+Y689^2)</f>
      </c>
      <c r="AA689" s="7">
        <f>$K689+$X689</f>
      </c>
      <c r="AB689" s="7">
        <f>$L689+$Y689</f>
      </c>
      <c r="AC689" s="7">
        <f>$K689-$X689</f>
      </c>
      <c r="AD689" s="7">
        <f>$L689-$Y689</f>
      </c>
      <c r="AE689" s="7">
        <f>AA689/39.3701</f>
      </c>
      <c r="AF689" s="7">
        <f>AB689/39.3701</f>
      </c>
      <c r="AG689" s="7">
        <f>AC689/39.3701</f>
      </c>
      <c r="AH689" s="7">
        <f>AD689/39.3701</f>
      </c>
      <c r="AI689" s="1"/>
      <c r="AJ689" s="1"/>
      <c r="AK689" s="1"/>
      <c r="AL689" s="1"/>
      <c r="AM689" s="2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</row>
    <row x14ac:dyDescent="0.25" r="690" customHeight="1" ht="18.75">
      <c r="A690" s="1"/>
      <c r="B690" s="2"/>
      <c r="C690" s="2"/>
      <c r="D690" s="2"/>
      <c r="E690" s="2"/>
      <c r="F690" s="2"/>
      <c r="G690" s="1"/>
      <c r="H690" s="1"/>
      <c r="I690" s="7">
        <v>0.687</v>
      </c>
      <c r="J690" s="7">
        <f>IF((I690-ROUNDDOWN(I690,0))=0, 0, (I690-ROUNDDOWN(I690,0)))</f>
      </c>
      <c r="K690" s="7">
        <f>INDIRECT("C$"&amp;2+MIN(2,ROUNDDOWN(I690,0))*3)*(-$J690^3+3*$J690^2-3*$J690+1)+INDIRECT("C$"&amp;3+MIN(2,ROUNDDOWN(I690,0))*3)*(3*$J690^3-6*$J690^2+3*$J690)+INDIRECT("C$"&amp;4+MIN(2,ROUNDDOWN(I690,0))*3)*(-3*$J690^3+3*$J690^2)+INDIRECT("C$"&amp;5+MIN(2,ROUNDDOWN(I690,0))*3)*$J690^3</f>
      </c>
      <c r="L690" s="7">
        <f>INDIRECT("D$"&amp;2+MIN(2,ROUNDDOWN(I690,0))*3)*(-$J690^3+3*$J690^2-3*$J690+1)+INDIRECT("D$"&amp;3+MIN(2,ROUNDDOWN(I690,0))*3)*(3*$J690^3-6*$J690^2+3*$J690)+INDIRECT("D$"&amp;4+MIN(2,ROUNDDOWN(I690,0))*3)*(-3*$J690^3+3*$J690^2)+INDIRECT("D$"&amp;5+MIN(2,ROUNDDOWN(I690,0))*3)*$J690^3</f>
      </c>
      <c r="M690" s="7">
        <f>SQRT(K690^2+L690^2)</f>
      </c>
      <c r="N690" s="7">
        <f>(K691-K689)</f>
      </c>
      <c r="O690" s="7">
        <f>+(L691-L689)</f>
      </c>
      <c r="P690" s="7">
        <f>SQRT(O690^2+N690^2)</f>
      </c>
      <c r="Q690" s="7">
        <f>N690/$P690</f>
      </c>
      <c r="R690" s="7">
        <f>O690/$P690</f>
      </c>
      <c r="S690" s="8">
        <f>Q690^2+R690^2</f>
      </c>
      <c r="T690" s="7">
        <f>-R690</f>
      </c>
      <c r="U690" s="7">
        <f>Q690</f>
      </c>
      <c r="V690" s="7">
        <f>($C$14+($C$15-$C$14)/($D$15-$D$14)*(I690-$D$14))/2</f>
      </c>
      <c r="W690" s="7">
        <f>($B$22*I690^4+$C$22*I690^3+$D$22*I690^2+$E$22*I690+$F$22)/2</f>
      </c>
      <c r="X690" s="7">
        <f>($W690)*(T690)</f>
      </c>
      <c r="Y690" s="7">
        <f>($W690)*(U690)</f>
      </c>
      <c r="Z690" s="7">
        <f>SQRT(X690^2+Y690^2)</f>
      </c>
      <c r="AA690" s="7">
        <f>$K690+$X690</f>
      </c>
      <c r="AB690" s="7">
        <f>$L690+$Y690</f>
      </c>
      <c r="AC690" s="7">
        <f>$K690-$X690</f>
      </c>
      <c r="AD690" s="7">
        <f>$L690-$Y690</f>
      </c>
      <c r="AE690" s="7">
        <f>AA690/39.3701</f>
      </c>
      <c r="AF690" s="7">
        <f>AB690/39.3701</f>
      </c>
      <c r="AG690" s="7">
        <f>AC690/39.3701</f>
      </c>
      <c r="AH690" s="7">
        <f>AD690/39.3701</f>
      </c>
      <c r="AI690" s="1"/>
      <c r="AJ690" s="1"/>
      <c r="AK690" s="1"/>
      <c r="AL690" s="1"/>
      <c r="AM690" s="2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</row>
    <row x14ac:dyDescent="0.25" r="691" customHeight="1" ht="18.75">
      <c r="A691" s="1"/>
      <c r="B691" s="2"/>
      <c r="C691" s="2"/>
      <c r="D691" s="2"/>
      <c r="E691" s="2"/>
      <c r="F691" s="2"/>
      <c r="G691" s="1"/>
      <c r="H691" s="1"/>
      <c r="I691" s="7">
        <v>0.688</v>
      </c>
      <c r="J691" s="7">
        <f>IF((I691-ROUNDDOWN(I691,0))=0, 0, (I691-ROUNDDOWN(I691,0)))</f>
      </c>
      <c r="K691" s="7">
        <f>INDIRECT("C$"&amp;2+MIN(2,ROUNDDOWN(I691,0))*3)*(-$J691^3+3*$J691^2-3*$J691+1)+INDIRECT("C$"&amp;3+MIN(2,ROUNDDOWN(I691,0))*3)*(3*$J691^3-6*$J691^2+3*$J691)+INDIRECT("C$"&amp;4+MIN(2,ROUNDDOWN(I691,0))*3)*(-3*$J691^3+3*$J691^2)+INDIRECT("C$"&amp;5+MIN(2,ROUNDDOWN(I691,0))*3)*$J691^3</f>
      </c>
      <c r="L691" s="7">
        <f>INDIRECT("D$"&amp;2+MIN(2,ROUNDDOWN(I691,0))*3)*(-$J691^3+3*$J691^2-3*$J691+1)+INDIRECT("D$"&amp;3+MIN(2,ROUNDDOWN(I691,0))*3)*(3*$J691^3-6*$J691^2+3*$J691)+INDIRECT("D$"&amp;4+MIN(2,ROUNDDOWN(I691,0))*3)*(-3*$J691^3+3*$J691^2)+INDIRECT("D$"&amp;5+MIN(2,ROUNDDOWN(I691,0))*3)*$J691^3</f>
      </c>
      <c r="M691" s="7">
        <f>SQRT(K691^2+L691^2)</f>
      </c>
      <c r="N691" s="7">
        <f>(K692-K690)</f>
      </c>
      <c r="O691" s="7">
        <f>+(L692-L690)</f>
      </c>
      <c r="P691" s="7">
        <f>SQRT(O691^2+N691^2)</f>
      </c>
      <c r="Q691" s="7">
        <f>N691/$P691</f>
      </c>
      <c r="R691" s="7">
        <f>O691/$P691</f>
      </c>
      <c r="S691" s="8">
        <f>Q691^2+R691^2</f>
      </c>
      <c r="T691" s="7">
        <f>-R691</f>
      </c>
      <c r="U691" s="7">
        <f>Q691</f>
      </c>
      <c r="V691" s="7">
        <f>($C$14+($C$15-$C$14)/($D$15-$D$14)*(I691-$D$14))/2</f>
      </c>
      <c r="W691" s="7">
        <f>($B$22*I691^4+$C$22*I691^3+$D$22*I691^2+$E$22*I691+$F$22)/2</f>
      </c>
      <c r="X691" s="7">
        <f>($W691)*(T691)</f>
      </c>
      <c r="Y691" s="7">
        <f>($W691)*(U691)</f>
      </c>
      <c r="Z691" s="7">
        <f>SQRT(X691^2+Y691^2)</f>
      </c>
      <c r="AA691" s="7">
        <f>$K691+$X691</f>
      </c>
      <c r="AB691" s="7">
        <f>$L691+$Y691</f>
      </c>
      <c r="AC691" s="7">
        <f>$K691-$X691</f>
      </c>
      <c r="AD691" s="7">
        <f>$L691-$Y691</f>
      </c>
      <c r="AE691" s="7">
        <f>AA691/39.3701</f>
      </c>
      <c r="AF691" s="7">
        <f>AB691/39.3701</f>
      </c>
      <c r="AG691" s="7">
        <f>AC691/39.3701</f>
      </c>
      <c r="AH691" s="7">
        <f>AD691/39.3701</f>
      </c>
      <c r="AI691" s="1"/>
      <c r="AJ691" s="1"/>
      <c r="AK691" s="1"/>
      <c r="AL691" s="1"/>
      <c r="AM691" s="2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</row>
    <row x14ac:dyDescent="0.25" r="692" customHeight="1" ht="18.75">
      <c r="A692" s="1"/>
      <c r="B692" s="2"/>
      <c r="C692" s="2"/>
      <c r="D692" s="2"/>
      <c r="E692" s="2"/>
      <c r="F692" s="2"/>
      <c r="G692" s="1"/>
      <c r="H692" s="1"/>
      <c r="I692" s="7">
        <v>0.689</v>
      </c>
      <c r="J692" s="7">
        <f>IF((I692-ROUNDDOWN(I692,0))=0, 0, (I692-ROUNDDOWN(I692,0)))</f>
      </c>
      <c r="K692" s="7">
        <f>INDIRECT("C$"&amp;2+MIN(2,ROUNDDOWN(I692,0))*3)*(-$J692^3+3*$J692^2-3*$J692+1)+INDIRECT("C$"&amp;3+MIN(2,ROUNDDOWN(I692,0))*3)*(3*$J692^3-6*$J692^2+3*$J692)+INDIRECT("C$"&amp;4+MIN(2,ROUNDDOWN(I692,0))*3)*(-3*$J692^3+3*$J692^2)+INDIRECT("C$"&amp;5+MIN(2,ROUNDDOWN(I692,0))*3)*$J692^3</f>
      </c>
      <c r="L692" s="7">
        <f>INDIRECT("D$"&amp;2+MIN(2,ROUNDDOWN(I692,0))*3)*(-$J692^3+3*$J692^2-3*$J692+1)+INDIRECT("D$"&amp;3+MIN(2,ROUNDDOWN(I692,0))*3)*(3*$J692^3-6*$J692^2+3*$J692)+INDIRECT("D$"&amp;4+MIN(2,ROUNDDOWN(I692,0))*3)*(-3*$J692^3+3*$J692^2)+INDIRECT("D$"&amp;5+MIN(2,ROUNDDOWN(I692,0))*3)*$J692^3</f>
      </c>
      <c r="M692" s="7">
        <f>SQRT(K692^2+L692^2)</f>
      </c>
      <c r="N692" s="7">
        <f>(K693-K691)</f>
      </c>
      <c r="O692" s="7">
        <f>+(L693-L691)</f>
      </c>
      <c r="P692" s="7">
        <f>SQRT(O692^2+N692^2)</f>
      </c>
      <c r="Q692" s="7">
        <f>N692/$P692</f>
      </c>
      <c r="R692" s="7">
        <f>O692/$P692</f>
      </c>
      <c r="S692" s="8">
        <f>Q692^2+R692^2</f>
      </c>
      <c r="T692" s="7">
        <f>-R692</f>
      </c>
      <c r="U692" s="7">
        <f>Q692</f>
      </c>
      <c r="V692" s="7">
        <f>($C$14+($C$15-$C$14)/($D$15-$D$14)*(I692-$D$14))/2</f>
      </c>
      <c r="W692" s="7">
        <f>($B$22*I692^4+$C$22*I692^3+$D$22*I692^2+$E$22*I692+$F$22)/2</f>
      </c>
      <c r="X692" s="7">
        <f>($W692)*(T692)</f>
      </c>
      <c r="Y692" s="7">
        <f>($W692)*(U692)</f>
      </c>
      <c r="Z692" s="7">
        <f>SQRT(X692^2+Y692^2)</f>
      </c>
      <c r="AA692" s="7">
        <f>$K692+$X692</f>
      </c>
      <c r="AB692" s="7">
        <f>$L692+$Y692</f>
      </c>
      <c r="AC692" s="7">
        <f>$K692-$X692</f>
      </c>
      <c r="AD692" s="7">
        <f>$L692-$Y692</f>
      </c>
      <c r="AE692" s="7">
        <f>AA692/39.3701</f>
      </c>
      <c r="AF692" s="7">
        <f>AB692/39.3701</f>
      </c>
      <c r="AG692" s="7">
        <f>AC692/39.3701</f>
      </c>
      <c r="AH692" s="7">
        <f>AD692/39.3701</f>
      </c>
      <c r="AI692" s="1"/>
      <c r="AJ692" s="1"/>
      <c r="AK692" s="1"/>
      <c r="AL692" s="1"/>
      <c r="AM692" s="2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</row>
    <row x14ac:dyDescent="0.25" r="693" customHeight="1" ht="18.75">
      <c r="A693" s="1"/>
      <c r="B693" s="2"/>
      <c r="C693" s="2"/>
      <c r="D693" s="2"/>
      <c r="E693" s="2"/>
      <c r="F693" s="2"/>
      <c r="G693" s="1"/>
      <c r="H693" s="1"/>
      <c r="I693" s="7">
        <v>0.69</v>
      </c>
      <c r="J693" s="7">
        <f>IF((I693-ROUNDDOWN(I693,0))=0, 0, (I693-ROUNDDOWN(I693,0)))</f>
      </c>
      <c r="K693" s="7">
        <f>INDIRECT("C$"&amp;2+MIN(2,ROUNDDOWN(I693,0))*3)*(-$J693^3+3*$J693^2-3*$J693+1)+INDIRECT("C$"&amp;3+MIN(2,ROUNDDOWN(I693,0))*3)*(3*$J693^3-6*$J693^2+3*$J693)+INDIRECT("C$"&amp;4+MIN(2,ROUNDDOWN(I693,0))*3)*(-3*$J693^3+3*$J693^2)+INDIRECT("C$"&amp;5+MIN(2,ROUNDDOWN(I693,0))*3)*$J693^3</f>
      </c>
      <c r="L693" s="7">
        <f>INDIRECT("D$"&amp;2+MIN(2,ROUNDDOWN(I693,0))*3)*(-$J693^3+3*$J693^2-3*$J693+1)+INDIRECT("D$"&amp;3+MIN(2,ROUNDDOWN(I693,0))*3)*(3*$J693^3-6*$J693^2+3*$J693)+INDIRECT("D$"&amp;4+MIN(2,ROUNDDOWN(I693,0))*3)*(-3*$J693^3+3*$J693^2)+INDIRECT("D$"&amp;5+MIN(2,ROUNDDOWN(I693,0))*3)*$J693^3</f>
      </c>
      <c r="M693" s="7">
        <f>SQRT(K693^2+L693^2)</f>
      </c>
      <c r="N693" s="7">
        <f>(K694-K692)</f>
      </c>
      <c r="O693" s="7">
        <f>+(L694-L692)</f>
      </c>
      <c r="P693" s="7">
        <f>SQRT(O693^2+N693^2)</f>
      </c>
      <c r="Q693" s="7">
        <f>N693/$P693</f>
      </c>
      <c r="R693" s="7">
        <f>O693/$P693</f>
      </c>
      <c r="S693" s="8">
        <f>Q693^2+R693^2</f>
      </c>
      <c r="T693" s="7">
        <f>-R693</f>
      </c>
      <c r="U693" s="7">
        <f>Q693</f>
      </c>
      <c r="V693" s="7">
        <f>($C$14+($C$15-$C$14)/($D$15-$D$14)*(I693-$D$14))/2</f>
      </c>
      <c r="W693" s="7">
        <f>($B$22*I693^4+$C$22*I693^3+$D$22*I693^2+$E$22*I693+$F$22)/2</f>
      </c>
      <c r="X693" s="7">
        <f>($W693)*(T693)</f>
      </c>
      <c r="Y693" s="7">
        <f>($W693)*(U693)</f>
      </c>
      <c r="Z693" s="7">
        <f>SQRT(X693^2+Y693^2)</f>
      </c>
      <c r="AA693" s="7">
        <f>$K693+$X693</f>
      </c>
      <c r="AB693" s="7">
        <f>$L693+$Y693</f>
      </c>
      <c r="AC693" s="7">
        <f>$K693-$X693</f>
      </c>
      <c r="AD693" s="7">
        <f>$L693-$Y693</f>
      </c>
      <c r="AE693" s="7">
        <f>AA693/39.3701</f>
      </c>
      <c r="AF693" s="7">
        <f>AB693/39.3701</f>
      </c>
      <c r="AG693" s="7">
        <f>AC693/39.3701</f>
      </c>
      <c r="AH693" s="7">
        <f>AD693/39.3701</f>
      </c>
      <c r="AI693" s="1"/>
      <c r="AJ693" s="1"/>
      <c r="AK693" s="1"/>
      <c r="AL693" s="1"/>
      <c r="AM693" s="2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</row>
    <row x14ac:dyDescent="0.25" r="694" customHeight="1" ht="18.75">
      <c r="A694" s="1"/>
      <c r="B694" s="2"/>
      <c r="C694" s="2"/>
      <c r="D694" s="2"/>
      <c r="E694" s="2"/>
      <c r="F694" s="2"/>
      <c r="G694" s="1"/>
      <c r="H694" s="1"/>
      <c r="I694" s="7">
        <v>0.691</v>
      </c>
      <c r="J694" s="7">
        <f>IF((I694-ROUNDDOWN(I694,0))=0, 0, (I694-ROUNDDOWN(I694,0)))</f>
      </c>
      <c r="K694" s="7">
        <f>INDIRECT("C$"&amp;2+MIN(2,ROUNDDOWN(I694,0))*3)*(-$J694^3+3*$J694^2-3*$J694+1)+INDIRECT("C$"&amp;3+MIN(2,ROUNDDOWN(I694,0))*3)*(3*$J694^3-6*$J694^2+3*$J694)+INDIRECT("C$"&amp;4+MIN(2,ROUNDDOWN(I694,0))*3)*(-3*$J694^3+3*$J694^2)+INDIRECT("C$"&amp;5+MIN(2,ROUNDDOWN(I694,0))*3)*$J694^3</f>
      </c>
      <c r="L694" s="7">
        <f>INDIRECT("D$"&amp;2+MIN(2,ROUNDDOWN(I694,0))*3)*(-$J694^3+3*$J694^2-3*$J694+1)+INDIRECT("D$"&amp;3+MIN(2,ROUNDDOWN(I694,0))*3)*(3*$J694^3-6*$J694^2+3*$J694)+INDIRECT("D$"&amp;4+MIN(2,ROUNDDOWN(I694,0))*3)*(-3*$J694^3+3*$J694^2)+INDIRECT("D$"&amp;5+MIN(2,ROUNDDOWN(I694,0))*3)*$J694^3</f>
      </c>
      <c r="M694" s="7">
        <f>SQRT(K694^2+L694^2)</f>
      </c>
      <c r="N694" s="7">
        <f>(K695-K693)</f>
      </c>
      <c r="O694" s="7">
        <f>+(L695-L693)</f>
      </c>
      <c r="P694" s="7">
        <f>SQRT(O694^2+N694^2)</f>
      </c>
      <c r="Q694" s="7">
        <f>N694/$P694</f>
      </c>
      <c r="R694" s="7">
        <f>O694/$P694</f>
      </c>
      <c r="S694" s="8">
        <f>Q694^2+R694^2</f>
      </c>
      <c r="T694" s="7">
        <f>-R694</f>
      </c>
      <c r="U694" s="7">
        <f>Q694</f>
      </c>
      <c r="V694" s="7">
        <f>($C$14+($C$15-$C$14)/($D$15-$D$14)*(I694-$D$14))/2</f>
      </c>
      <c r="W694" s="7">
        <f>($B$22*I694^4+$C$22*I694^3+$D$22*I694^2+$E$22*I694+$F$22)/2</f>
      </c>
      <c r="X694" s="7">
        <f>($W694)*(T694)</f>
      </c>
      <c r="Y694" s="7">
        <f>($W694)*(U694)</f>
      </c>
      <c r="Z694" s="7">
        <f>SQRT(X694^2+Y694^2)</f>
      </c>
      <c r="AA694" s="7">
        <f>$K694+$X694</f>
      </c>
      <c r="AB694" s="7">
        <f>$L694+$Y694</f>
      </c>
      <c r="AC694" s="7">
        <f>$K694-$X694</f>
      </c>
      <c r="AD694" s="7">
        <f>$L694-$Y694</f>
      </c>
      <c r="AE694" s="7">
        <f>AA694/39.3701</f>
      </c>
      <c r="AF694" s="7">
        <f>AB694/39.3701</f>
      </c>
      <c r="AG694" s="7">
        <f>AC694/39.3701</f>
      </c>
      <c r="AH694" s="7">
        <f>AD694/39.3701</f>
      </c>
      <c r="AI694" s="1"/>
      <c r="AJ694" s="1"/>
      <c r="AK694" s="1"/>
      <c r="AL694" s="1"/>
      <c r="AM694" s="2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</row>
    <row x14ac:dyDescent="0.25" r="695" customHeight="1" ht="18.75">
      <c r="A695" s="1"/>
      <c r="B695" s="2"/>
      <c r="C695" s="2"/>
      <c r="D695" s="2"/>
      <c r="E695" s="2"/>
      <c r="F695" s="2"/>
      <c r="G695" s="1"/>
      <c r="H695" s="1"/>
      <c r="I695" s="7">
        <v>0.692</v>
      </c>
      <c r="J695" s="7">
        <f>IF((I695-ROUNDDOWN(I695,0))=0, 0, (I695-ROUNDDOWN(I695,0)))</f>
      </c>
      <c r="K695" s="7">
        <f>INDIRECT("C$"&amp;2+MIN(2,ROUNDDOWN(I695,0))*3)*(-$J695^3+3*$J695^2-3*$J695+1)+INDIRECT("C$"&amp;3+MIN(2,ROUNDDOWN(I695,0))*3)*(3*$J695^3-6*$J695^2+3*$J695)+INDIRECT("C$"&amp;4+MIN(2,ROUNDDOWN(I695,0))*3)*(-3*$J695^3+3*$J695^2)+INDIRECT("C$"&amp;5+MIN(2,ROUNDDOWN(I695,0))*3)*$J695^3</f>
      </c>
      <c r="L695" s="7">
        <f>INDIRECT("D$"&amp;2+MIN(2,ROUNDDOWN(I695,0))*3)*(-$J695^3+3*$J695^2-3*$J695+1)+INDIRECT("D$"&amp;3+MIN(2,ROUNDDOWN(I695,0))*3)*(3*$J695^3-6*$J695^2+3*$J695)+INDIRECT("D$"&amp;4+MIN(2,ROUNDDOWN(I695,0))*3)*(-3*$J695^3+3*$J695^2)+INDIRECT("D$"&amp;5+MIN(2,ROUNDDOWN(I695,0))*3)*$J695^3</f>
      </c>
      <c r="M695" s="7">
        <f>SQRT(K695^2+L695^2)</f>
      </c>
      <c r="N695" s="7">
        <f>(K696-K694)</f>
      </c>
      <c r="O695" s="7">
        <f>+(L696-L694)</f>
      </c>
      <c r="P695" s="7">
        <f>SQRT(O695^2+N695^2)</f>
      </c>
      <c r="Q695" s="7">
        <f>N695/$P695</f>
      </c>
      <c r="R695" s="7">
        <f>O695/$P695</f>
      </c>
      <c r="S695" s="8">
        <f>Q695^2+R695^2</f>
      </c>
      <c r="T695" s="7">
        <f>-R695</f>
      </c>
      <c r="U695" s="7">
        <f>Q695</f>
      </c>
      <c r="V695" s="7">
        <f>($C$14+($C$15-$C$14)/($D$15-$D$14)*(I695-$D$14))/2</f>
      </c>
      <c r="W695" s="7">
        <f>($B$22*I695^4+$C$22*I695^3+$D$22*I695^2+$E$22*I695+$F$22)/2</f>
      </c>
      <c r="X695" s="7">
        <f>($W695)*(T695)</f>
      </c>
      <c r="Y695" s="7">
        <f>($W695)*(U695)</f>
      </c>
      <c r="Z695" s="7">
        <f>SQRT(X695^2+Y695^2)</f>
      </c>
      <c r="AA695" s="7">
        <f>$K695+$X695</f>
      </c>
      <c r="AB695" s="7">
        <f>$L695+$Y695</f>
      </c>
      <c r="AC695" s="7">
        <f>$K695-$X695</f>
      </c>
      <c r="AD695" s="7">
        <f>$L695-$Y695</f>
      </c>
      <c r="AE695" s="7">
        <f>AA695/39.3701</f>
      </c>
      <c r="AF695" s="7">
        <f>AB695/39.3701</f>
      </c>
      <c r="AG695" s="7">
        <f>AC695/39.3701</f>
      </c>
      <c r="AH695" s="7">
        <f>AD695/39.3701</f>
      </c>
      <c r="AI695" s="1"/>
      <c r="AJ695" s="1"/>
      <c r="AK695" s="1"/>
      <c r="AL695" s="1"/>
      <c r="AM695" s="2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</row>
    <row x14ac:dyDescent="0.25" r="696" customHeight="1" ht="18.75">
      <c r="A696" s="1"/>
      <c r="B696" s="2"/>
      <c r="C696" s="2"/>
      <c r="D696" s="2"/>
      <c r="E696" s="2"/>
      <c r="F696" s="2"/>
      <c r="G696" s="1"/>
      <c r="H696" s="1"/>
      <c r="I696" s="7">
        <v>0.693</v>
      </c>
      <c r="J696" s="7">
        <f>IF((I696-ROUNDDOWN(I696,0))=0, 0, (I696-ROUNDDOWN(I696,0)))</f>
      </c>
      <c r="K696" s="7">
        <f>INDIRECT("C$"&amp;2+MIN(2,ROUNDDOWN(I696,0))*3)*(-$J696^3+3*$J696^2-3*$J696+1)+INDIRECT("C$"&amp;3+MIN(2,ROUNDDOWN(I696,0))*3)*(3*$J696^3-6*$J696^2+3*$J696)+INDIRECT("C$"&amp;4+MIN(2,ROUNDDOWN(I696,0))*3)*(-3*$J696^3+3*$J696^2)+INDIRECT("C$"&amp;5+MIN(2,ROUNDDOWN(I696,0))*3)*$J696^3</f>
      </c>
      <c r="L696" s="7">
        <f>INDIRECT("D$"&amp;2+MIN(2,ROUNDDOWN(I696,0))*3)*(-$J696^3+3*$J696^2-3*$J696+1)+INDIRECT("D$"&amp;3+MIN(2,ROUNDDOWN(I696,0))*3)*(3*$J696^3-6*$J696^2+3*$J696)+INDIRECT("D$"&amp;4+MIN(2,ROUNDDOWN(I696,0))*3)*(-3*$J696^3+3*$J696^2)+INDIRECT("D$"&amp;5+MIN(2,ROUNDDOWN(I696,0))*3)*$J696^3</f>
      </c>
      <c r="M696" s="7">
        <f>SQRT(K696^2+L696^2)</f>
      </c>
      <c r="N696" s="7">
        <f>(K697-K695)</f>
      </c>
      <c r="O696" s="7">
        <f>+(L697-L695)</f>
      </c>
      <c r="P696" s="7">
        <f>SQRT(O696^2+N696^2)</f>
      </c>
      <c r="Q696" s="7">
        <f>N696/$P696</f>
      </c>
      <c r="R696" s="7">
        <f>O696/$P696</f>
      </c>
      <c r="S696" s="8">
        <f>Q696^2+R696^2</f>
      </c>
      <c r="T696" s="7">
        <f>-R696</f>
      </c>
      <c r="U696" s="7">
        <f>Q696</f>
      </c>
      <c r="V696" s="7">
        <f>($C$14+($C$15-$C$14)/($D$15-$D$14)*(I696-$D$14))/2</f>
      </c>
      <c r="W696" s="7">
        <f>($B$22*I696^4+$C$22*I696^3+$D$22*I696^2+$E$22*I696+$F$22)/2</f>
      </c>
      <c r="X696" s="7">
        <f>($W696)*(T696)</f>
      </c>
      <c r="Y696" s="7">
        <f>($W696)*(U696)</f>
      </c>
      <c r="Z696" s="7">
        <f>SQRT(X696^2+Y696^2)</f>
      </c>
      <c r="AA696" s="7">
        <f>$K696+$X696</f>
      </c>
      <c r="AB696" s="7">
        <f>$L696+$Y696</f>
      </c>
      <c r="AC696" s="7">
        <f>$K696-$X696</f>
      </c>
      <c r="AD696" s="7">
        <f>$L696-$Y696</f>
      </c>
      <c r="AE696" s="7">
        <f>AA696/39.3701</f>
      </c>
      <c r="AF696" s="7">
        <f>AB696/39.3701</f>
      </c>
      <c r="AG696" s="7">
        <f>AC696/39.3701</f>
      </c>
      <c r="AH696" s="7">
        <f>AD696/39.3701</f>
      </c>
      <c r="AI696" s="1"/>
      <c r="AJ696" s="1"/>
      <c r="AK696" s="1"/>
      <c r="AL696" s="1"/>
      <c r="AM696" s="2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</row>
    <row x14ac:dyDescent="0.25" r="697" customHeight="1" ht="18.75">
      <c r="A697" s="1"/>
      <c r="B697" s="2"/>
      <c r="C697" s="2"/>
      <c r="D697" s="2"/>
      <c r="E697" s="2"/>
      <c r="F697" s="2"/>
      <c r="G697" s="1"/>
      <c r="H697" s="1"/>
      <c r="I697" s="7">
        <v>0.694</v>
      </c>
      <c r="J697" s="7">
        <f>IF((I697-ROUNDDOWN(I697,0))=0, 0, (I697-ROUNDDOWN(I697,0)))</f>
      </c>
      <c r="K697" s="7">
        <f>INDIRECT("C$"&amp;2+MIN(2,ROUNDDOWN(I697,0))*3)*(-$J697^3+3*$J697^2-3*$J697+1)+INDIRECT("C$"&amp;3+MIN(2,ROUNDDOWN(I697,0))*3)*(3*$J697^3-6*$J697^2+3*$J697)+INDIRECT("C$"&amp;4+MIN(2,ROUNDDOWN(I697,0))*3)*(-3*$J697^3+3*$J697^2)+INDIRECT("C$"&amp;5+MIN(2,ROUNDDOWN(I697,0))*3)*$J697^3</f>
      </c>
      <c r="L697" s="7">
        <f>INDIRECT("D$"&amp;2+MIN(2,ROUNDDOWN(I697,0))*3)*(-$J697^3+3*$J697^2-3*$J697+1)+INDIRECT("D$"&amp;3+MIN(2,ROUNDDOWN(I697,0))*3)*(3*$J697^3-6*$J697^2+3*$J697)+INDIRECT("D$"&amp;4+MIN(2,ROUNDDOWN(I697,0))*3)*(-3*$J697^3+3*$J697^2)+INDIRECT("D$"&amp;5+MIN(2,ROUNDDOWN(I697,0))*3)*$J697^3</f>
      </c>
      <c r="M697" s="7">
        <f>SQRT(K697^2+L697^2)</f>
      </c>
      <c r="N697" s="7">
        <f>(K698-K696)</f>
      </c>
      <c r="O697" s="7">
        <f>+(L698-L696)</f>
      </c>
      <c r="P697" s="7">
        <f>SQRT(O697^2+N697^2)</f>
      </c>
      <c r="Q697" s="7">
        <f>N697/$P697</f>
      </c>
      <c r="R697" s="7">
        <f>O697/$P697</f>
      </c>
      <c r="S697" s="7">
        <f>Q697^2+R697^2</f>
      </c>
      <c r="T697" s="7">
        <f>-R697</f>
      </c>
      <c r="U697" s="7">
        <f>Q697</f>
      </c>
      <c r="V697" s="7">
        <f>($C$14+($C$15-$C$14)/($D$15-$D$14)*(I697-$D$14))/2</f>
      </c>
      <c r="W697" s="7">
        <f>($B$22*I697^4+$C$22*I697^3+$D$22*I697^2+$E$22*I697+$F$22)/2</f>
      </c>
      <c r="X697" s="7">
        <f>($W697)*(T697)</f>
      </c>
      <c r="Y697" s="7">
        <f>($W697)*(U697)</f>
      </c>
      <c r="Z697" s="7">
        <f>SQRT(X697^2+Y697^2)</f>
      </c>
      <c r="AA697" s="7">
        <f>$K697+$X697</f>
      </c>
      <c r="AB697" s="7">
        <f>$L697+$Y697</f>
      </c>
      <c r="AC697" s="7">
        <f>$K697-$X697</f>
      </c>
      <c r="AD697" s="7">
        <f>$L697-$Y697</f>
      </c>
      <c r="AE697" s="7">
        <f>AA697/39.3701</f>
      </c>
      <c r="AF697" s="7">
        <f>AB697/39.3701</f>
      </c>
      <c r="AG697" s="7">
        <f>AC697/39.3701</f>
      </c>
      <c r="AH697" s="7">
        <f>AD697/39.3701</f>
      </c>
      <c r="AI697" s="1"/>
      <c r="AJ697" s="1"/>
      <c r="AK697" s="1"/>
      <c r="AL697" s="1"/>
      <c r="AM697" s="2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</row>
    <row x14ac:dyDescent="0.25" r="698" customHeight="1" ht="18.75">
      <c r="A698" s="1"/>
      <c r="B698" s="2"/>
      <c r="C698" s="2"/>
      <c r="D698" s="2"/>
      <c r="E698" s="2"/>
      <c r="F698" s="2"/>
      <c r="G698" s="1"/>
      <c r="H698" s="1"/>
      <c r="I698" s="7">
        <v>0.695</v>
      </c>
      <c r="J698" s="7">
        <f>IF((I698-ROUNDDOWN(I698,0))=0, 0, (I698-ROUNDDOWN(I698,0)))</f>
      </c>
      <c r="K698" s="7">
        <f>INDIRECT("C$"&amp;2+MIN(2,ROUNDDOWN(I698,0))*3)*(-$J698^3+3*$J698^2-3*$J698+1)+INDIRECT("C$"&amp;3+MIN(2,ROUNDDOWN(I698,0))*3)*(3*$J698^3-6*$J698^2+3*$J698)+INDIRECT("C$"&amp;4+MIN(2,ROUNDDOWN(I698,0))*3)*(-3*$J698^3+3*$J698^2)+INDIRECT("C$"&amp;5+MIN(2,ROUNDDOWN(I698,0))*3)*$J698^3</f>
      </c>
      <c r="L698" s="7">
        <f>INDIRECT("D$"&amp;2+MIN(2,ROUNDDOWN(I698,0))*3)*(-$J698^3+3*$J698^2-3*$J698+1)+INDIRECT("D$"&amp;3+MIN(2,ROUNDDOWN(I698,0))*3)*(3*$J698^3-6*$J698^2+3*$J698)+INDIRECT("D$"&amp;4+MIN(2,ROUNDDOWN(I698,0))*3)*(-3*$J698^3+3*$J698^2)+INDIRECT("D$"&amp;5+MIN(2,ROUNDDOWN(I698,0))*3)*$J698^3</f>
      </c>
      <c r="M698" s="7">
        <f>SQRT(K698^2+L698^2)</f>
      </c>
      <c r="N698" s="7">
        <f>(K699-K697)</f>
      </c>
      <c r="O698" s="7">
        <f>+(L699-L697)</f>
      </c>
      <c r="P698" s="7">
        <f>SQRT(O698^2+N698^2)</f>
      </c>
      <c r="Q698" s="7">
        <f>N698/$P698</f>
      </c>
      <c r="R698" s="7">
        <f>O698/$P698</f>
      </c>
      <c r="S698" s="7">
        <f>Q698^2+R698^2</f>
      </c>
      <c r="T698" s="7">
        <f>-R698</f>
      </c>
      <c r="U698" s="7">
        <f>Q698</f>
      </c>
      <c r="V698" s="7">
        <f>($C$14+($C$15-$C$14)/($D$15-$D$14)*(I698-$D$14))/2</f>
      </c>
      <c r="W698" s="7">
        <f>($B$22*I698^4+$C$22*I698^3+$D$22*I698^2+$E$22*I698+$F$22)/2</f>
      </c>
      <c r="X698" s="7">
        <f>($W698)*(T698)</f>
      </c>
      <c r="Y698" s="7">
        <f>($W698)*(U698)</f>
      </c>
      <c r="Z698" s="7">
        <f>SQRT(X698^2+Y698^2)</f>
      </c>
      <c r="AA698" s="7">
        <f>$K698+$X698</f>
      </c>
      <c r="AB698" s="7">
        <f>$L698+$Y698</f>
      </c>
      <c r="AC698" s="7">
        <f>$K698-$X698</f>
      </c>
      <c r="AD698" s="7">
        <f>$L698-$Y698</f>
      </c>
      <c r="AE698" s="7">
        <f>AA698/39.3701</f>
      </c>
      <c r="AF698" s="7">
        <f>AB698/39.3701</f>
      </c>
      <c r="AG698" s="7">
        <f>AC698/39.3701</f>
      </c>
      <c r="AH698" s="7">
        <f>AD698/39.3701</f>
      </c>
      <c r="AI698" s="1"/>
      <c r="AJ698" s="1"/>
      <c r="AK698" s="1"/>
      <c r="AL698" s="1"/>
      <c r="AM698" s="2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</row>
    <row x14ac:dyDescent="0.25" r="699" customHeight="1" ht="18.75">
      <c r="A699" s="1"/>
      <c r="B699" s="2"/>
      <c r="C699" s="2"/>
      <c r="D699" s="2"/>
      <c r="E699" s="2"/>
      <c r="F699" s="2"/>
      <c r="G699" s="1"/>
      <c r="H699" s="1"/>
      <c r="I699" s="7">
        <v>0.696</v>
      </c>
      <c r="J699" s="7">
        <f>IF((I699-ROUNDDOWN(I699,0))=0, 0, (I699-ROUNDDOWN(I699,0)))</f>
      </c>
      <c r="K699" s="7">
        <f>INDIRECT("C$"&amp;2+MIN(2,ROUNDDOWN(I699,0))*3)*(-$J699^3+3*$J699^2-3*$J699+1)+INDIRECT("C$"&amp;3+MIN(2,ROUNDDOWN(I699,0))*3)*(3*$J699^3-6*$J699^2+3*$J699)+INDIRECT("C$"&amp;4+MIN(2,ROUNDDOWN(I699,0))*3)*(-3*$J699^3+3*$J699^2)+INDIRECT("C$"&amp;5+MIN(2,ROUNDDOWN(I699,0))*3)*$J699^3</f>
      </c>
      <c r="L699" s="7">
        <f>INDIRECT("D$"&amp;2+MIN(2,ROUNDDOWN(I699,0))*3)*(-$J699^3+3*$J699^2-3*$J699+1)+INDIRECT("D$"&amp;3+MIN(2,ROUNDDOWN(I699,0))*3)*(3*$J699^3-6*$J699^2+3*$J699)+INDIRECT("D$"&amp;4+MIN(2,ROUNDDOWN(I699,0))*3)*(-3*$J699^3+3*$J699^2)+INDIRECT("D$"&amp;5+MIN(2,ROUNDDOWN(I699,0))*3)*$J699^3</f>
      </c>
      <c r="M699" s="7">
        <f>SQRT(K699^2+L699^2)</f>
      </c>
      <c r="N699" s="7">
        <f>(K700-K698)</f>
      </c>
      <c r="O699" s="7">
        <f>+(L700-L698)</f>
      </c>
      <c r="P699" s="7">
        <f>SQRT(O699^2+N699^2)</f>
      </c>
      <c r="Q699" s="7">
        <f>N699/$P699</f>
      </c>
      <c r="R699" s="7">
        <f>O699/$P699</f>
      </c>
      <c r="S699" s="8">
        <f>Q699^2+R699^2</f>
      </c>
      <c r="T699" s="7">
        <f>-R699</f>
      </c>
      <c r="U699" s="7">
        <f>Q699</f>
      </c>
      <c r="V699" s="7">
        <f>($C$14+($C$15-$C$14)/($D$15-$D$14)*(I699-$D$14))/2</f>
      </c>
      <c r="W699" s="7">
        <f>($B$22*I699^4+$C$22*I699^3+$D$22*I699^2+$E$22*I699+$F$22)/2</f>
      </c>
      <c r="X699" s="7">
        <f>($W699)*(T699)</f>
      </c>
      <c r="Y699" s="7">
        <f>($W699)*(U699)</f>
      </c>
      <c r="Z699" s="7">
        <f>SQRT(X699^2+Y699^2)</f>
      </c>
      <c r="AA699" s="7">
        <f>$K699+$X699</f>
      </c>
      <c r="AB699" s="7">
        <f>$L699+$Y699</f>
      </c>
      <c r="AC699" s="7">
        <f>$K699-$X699</f>
      </c>
      <c r="AD699" s="7">
        <f>$L699-$Y699</f>
      </c>
      <c r="AE699" s="7">
        <f>AA699/39.3701</f>
      </c>
      <c r="AF699" s="7">
        <f>AB699/39.3701</f>
      </c>
      <c r="AG699" s="7">
        <f>AC699/39.3701</f>
      </c>
      <c r="AH699" s="7">
        <f>AD699/39.3701</f>
      </c>
      <c r="AI699" s="1"/>
      <c r="AJ699" s="1"/>
      <c r="AK699" s="1"/>
      <c r="AL699" s="1"/>
      <c r="AM699" s="2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</row>
    <row x14ac:dyDescent="0.25" r="700" customHeight="1" ht="18.75">
      <c r="A700" s="1"/>
      <c r="B700" s="2"/>
      <c r="C700" s="2"/>
      <c r="D700" s="2"/>
      <c r="E700" s="2"/>
      <c r="F700" s="2"/>
      <c r="G700" s="1"/>
      <c r="H700" s="1"/>
      <c r="I700" s="7">
        <v>0.697</v>
      </c>
      <c r="J700" s="7">
        <f>IF((I700-ROUNDDOWN(I700,0))=0, 0, (I700-ROUNDDOWN(I700,0)))</f>
      </c>
      <c r="K700" s="7">
        <f>INDIRECT("C$"&amp;2+MIN(2,ROUNDDOWN(I700,0))*3)*(-$J700^3+3*$J700^2-3*$J700+1)+INDIRECT("C$"&amp;3+MIN(2,ROUNDDOWN(I700,0))*3)*(3*$J700^3-6*$J700^2+3*$J700)+INDIRECT("C$"&amp;4+MIN(2,ROUNDDOWN(I700,0))*3)*(-3*$J700^3+3*$J700^2)+INDIRECT("C$"&amp;5+MIN(2,ROUNDDOWN(I700,0))*3)*$J700^3</f>
      </c>
      <c r="L700" s="7">
        <f>INDIRECT("D$"&amp;2+MIN(2,ROUNDDOWN(I700,0))*3)*(-$J700^3+3*$J700^2-3*$J700+1)+INDIRECT("D$"&amp;3+MIN(2,ROUNDDOWN(I700,0))*3)*(3*$J700^3-6*$J700^2+3*$J700)+INDIRECT("D$"&amp;4+MIN(2,ROUNDDOWN(I700,0))*3)*(-3*$J700^3+3*$J700^2)+INDIRECT("D$"&amp;5+MIN(2,ROUNDDOWN(I700,0))*3)*$J700^3</f>
      </c>
      <c r="M700" s="7">
        <f>SQRT(K700^2+L700^2)</f>
      </c>
      <c r="N700" s="7">
        <f>(K701-K699)</f>
      </c>
      <c r="O700" s="7">
        <f>+(L701-L699)</f>
      </c>
      <c r="P700" s="7">
        <f>SQRT(O700^2+N700^2)</f>
      </c>
      <c r="Q700" s="7">
        <f>N700/$P700</f>
      </c>
      <c r="R700" s="7">
        <f>O700/$P700</f>
      </c>
      <c r="S700" s="7">
        <f>Q700^2+R700^2</f>
      </c>
      <c r="T700" s="7">
        <f>-R700</f>
      </c>
      <c r="U700" s="7">
        <f>Q700</f>
      </c>
      <c r="V700" s="7">
        <f>($C$14+($C$15-$C$14)/($D$15-$D$14)*(I700-$D$14))/2</f>
      </c>
      <c r="W700" s="7">
        <f>($B$22*I700^4+$C$22*I700^3+$D$22*I700^2+$E$22*I700+$F$22)/2</f>
      </c>
      <c r="X700" s="7">
        <f>($W700)*(T700)</f>
      </c>
      <c r="Y700" s="7">
        <f>($W700)*(U700)</f>
      </c>
      <c r="Z700" s="7">
        <f>SQRT(X700^2+Y700^2)</f>
      </c>
      <c r="AA700" s="7">
        <f>$K700+$X700</f>
      </c>
      <c r="AB700" s="7">
        <f>$L700+$Y700</f>
      </c>
      <c r="AC700" s="7">
        <f>$K700-$X700</f>
      </c>
      <c r="AD700" s="7">
        <f>$L700-$Y700</f>
      </c>
      <c r="AE700" s="7">
        <f>AA700/39.3701</f>
      </c>
      <c r="AF700" s="7">
        <f>AB700/39.3701</f>
      </c>
      <c r="AG700" s="7">
        <f>AC700/39.3701</f>
      </c>
      <c r="AH700" s="7">
        <f>AD700/39.3701</f>
      </c>
      <c r="AI700" s="1"/>
      <c r="AJ700" s="1"/>
      <c r="AK700" s="1"/>
      <c r="AL700" s="1"/>
      <c r="AM700" s="2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</row>
    <row x14ac:dyDescent="0.25" r="701" customHeight="1" ht="18.75">
      <c r="A701" s="1"/>
      <c r="B701" s="2"/>
      <c r="C701" s="2"/>
      <c r="D701" s="2"/>
      <c r="E701" s="2"/>
      <c r="F701" s="2"/>
      <c r="G701" s="1"/>
      <c r="H701" s="1"/>
      <c r="I701" s="7">
        <v>0.698</v>
      </c>
      <c r="J701" s="7">
        <f>IF((I701-ROUNDDOWN(I701,0))=0, 0, (I701-ROUNDDOWN(I701,0)))</f>
      </c>
      <c r="K701" s="7">
        <f>INDIRECT("C$"&amp;2+MIN(2,ROUNDDOWN(I701,0))*3)*(-$J701^3+3*$J701^2-3*$J701+1)+INDIRECT("C$"&amp;3+MIN(2,ROUNDDOWN(I701,0))*3)*(3*$J701^3-6*$J701^2+3*$J701)+INDIRECT("C$"&amp;4+MIN(2,ROUNDDOWN(I701,0))*3)*(-3*$J701^3+3*$J701^2)+INDIRECT("C$"&amp;5+MIN(2,ROUNDDOWN(I701,0))*3)*$J701^3</f>
      </c>
      <c r="L701" s="7">
        <f>INDIRECT("D$"&amp;2+MIN(2,ROUNDDOWN(I701,0))*3)*(-$J701^3+3*$J701^2-3*$J701+1)+INDIRECT("D$"&amp;3+MIN(2,ROUNDDOWN(I701,0))*3)*(3*$J701^3-6*$J701^2+3*$J701)+INDIRECT("D$"&amp;4+MIN(2,ROUNDDOWN(I701,0))*3)*(-3*$J701^3+3*$J701^2)+INDIRECT("D$"&amp;5+MIN(2,ROUNDDOWN(I701,0))*3)*$J701^3</f>
      </c>
      <c r="M701" s="7">
        <f>SQRT(K701^2+L701^2)</f>
      </c>
      <c r="N701" s="7">
        <f>(K702-K700)</f>
      </c>
      <c r="O701" s="7">
        <f>+(L702-L700)</f>
      </c>
      <c r="P701" s="7">
        <f>SQRT(O701^2+N701^2)</f>
      </c>
      <c r="Q701" s="7">
        <f>N701/$P701</f>
      </c>
      <c r="R701" s="7">
        <f>O701/$P701</f>
      </c>
      <c r="S701" s="7">
        <f>Q701^2+R701^2</f>
      </c>
      <c r="T701" s="7">
        <f>-R701</f>
      </c>
      <c r="U701" s="7">
        <f>Q701</f>
      </c>
      <c r="V701" s="7">
        <f>($C$14+($C$15-$C$14)/($D$15-$D$14)*(I701-$D$14))/2</f>
      </c>
      <c r="W701" s="7">
        <f>($B$22*I701^4+$C$22*I701^3+$D$22*I701^2+$E$22*I701+$F$22)/2</f>
      </c>
      <c r="X701" s="7">
        <f>($W701)*(T701)</f>
      </c>
      <c r="Y701" s="7">
        <f>($W701)*(U701)</f>
      </c>
      <c r="Z701" s="7">
        <f>SQRT(X701^2+Y701^2)</f>
      </c>
      <c r="AA701" s="7">
        <f>$K701+$X701</f>
      </c>
      <c r="AB701" s="7">
        <f>$L701+$Y701</f>
      </c>
      <c r="AC701" s="7">
        <f>$K701-$X701</f>
      </c>
      <c r="AD701" s="7">
        <f>$L701-$Y701</f>
      </c>
      <c r="AE701" s="7">
        <f>AA701/39.3701</f>
      </c>
      <c r="AF701" s="7">
        <f>AB701/39.3701</f>
      </c>
      <c r="AG701" s="7">
        <f>AC701/39.3701</f>
      </c>
      <c r="AH701" s="7">
        <f>AD701/39.3701</f>
      </c>
      <c r="AI701" s="1"/>
      <c r="AJ701" s="1"/>
      <c r="AK701" s="1"/>
      <c r="AL701" s="1"/>
      <c r="AM701" s="2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</row>
    <row x14ac:dyDescent="0.25" r="702" customHeight="1" ht="18.75">
      <c r="A702" s="1"/>
      <c r="B702" s="2"/>
      <c r="C702" s="2"/>
      <c r="D702" s="2"/>
      <c r="E702" s="2"/>
      <c r="F702" s="2"/>
      <c r="G702" s="1"/>
      <c r="H702" s="1"/>
      <c r="I702" s="7">
        <v>0.699</v>
      </c>
      <c r="J702" s="7">
        <f>IF((I702-ROUNDDOWN(I702,0))=0, 0, (I702-ROUNDDOWN(I702,0)))</f>
      </c>
      <c r="K702" s="7">
        <f>INDIRECT("C$"&amp;2+MIN(2,ROUNDDOWN(I702,0))*3)*(-$J702^3+3*$J702^2-3*$J702+1)+INDIRECT("C$"&amp;3+MIN(2,ROUNDDOWN(I702,0))*3)*(3*$J702^3-6*$J702^2+3*$J702)+INDIRECT("C$"&amp;4+MIN(2,ROUNDDOWN(I702,0))*3)*(-3*$J702^3+3*$J702^2)+INDIRECT("C$"&amp;5+MIN(2,ROUNDDOWN(I702,0))*3)*$J702^3</f>
      </c>
      <c r="L702" s="7">
        <f>INDIRECT("D$"&amp;2+MIN(2,ROUNDDOWN(I702,0))*3)*(-$J702^3+3*$J702^2-3*$J702+1)+INDIRECT("D$"&amp;3+MIN(2,ROUNDDOWN(I702,0))*3)*(3*$J702^3-6*$J702^2+3*$J702)+INDIRECT("D$"&amp;4+MIN(2,ROUNDDOWN(I702,0))*3)*(-3*$J702^3+3*$J702^2)+INDIRECT("D$"&amp;5+MIN(2,ROUNDDOWN(I702,0))*3)*$J702^3</f>
      </c>
      <c r="M702" s="7">
        <f>SQRT(K702^2+L702^2)</f>
      </c>
      <c r="N702" s="7">
        <f>(K703-K701)</f>
      </c>
      <c r="O702" s="7">
        <f>+(L703-L701)</f>
      </c>
      <c r="P702" s="7">
        <f>SQRT(O702^2+N702^2)</f>
      </c>
      <c r="Q702" s="7">
        <f>N702/$P702</f>
      </c>
      <c r="R702" s="7">
        <f>O702/$P702</f>
      </c>
      <c r="S702" s="7">
        <f>Q702^2+R702^2</f>
      </c>
      <c r="T702" s="7">
        <f>-R702</f>
      </c>
      <c r="U702" s="7">
        <f>Q702</f>
      </c>
      <c r="V702" s="7">
        <f>($C$14+($C$15-$C$14)/($D$15-$D$14)*(I702-$D$14))/2</f>
      </c>
      <c r="W702" s="7">
        <f>($B$22*I702^4+$C$22*I702^3+$D$22*I702^2+$E$22*I702+$F$22)/2</f>
      </c>
      <c r="X702" s="7">
        <f>($W702)*(T702)</f>
      </c>
      <c r="Y702" s="7">
        <f>($W702)*(U702)</f>
      </c>
      <c r="Z702" s="7">
        <f>SQRT(X702^2+Y702^2)</f>
      </c>
      <c r="AA702" s="7">
        <f>$K702+$X702</f>
      </c>
      <c r="AB702" s="7">
        <f>$L702+$Y702</f>
      </c>
      <c r="AC702" s="7">
        <f>$K702-$X702</f>
      </c>
      <c r="AD702" s="7">
        <f>$L702-$Y702</f>
      </c>
      <c r="AE702" s="7">
        <f>AA702/39.3701</f>
      </c>
      <c r="AF702" s="7">
        <f>AB702/39.3701</f>
      </c>
      <c r="AG702" s="7">
        <f>AC702/39.3701</f>
      </c>
      <c r="AH702" s="7">
        <f>AD702/39.3701</f>
      </c>
      <c r="AI702" s="1"/>
      <c r="AJ702" s="1"/>
      <c r="AK702" s="1"/>
      <c r="AL702" s="1"/>
      <c r="AM702" s="2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</row>
    <row x14ac:dyDescent="0.25" r="703" customHeight="1" ht="18.75">
      <c r="A703" s="1"/>
      <c r="B703" s="2"/>
      <c r="C703" s="2"/>
      <c r="D703" s="2"/>
      <c r="E703" s="2"/>
      <c r="F703" s="2"/>
      <c r="G703" s="1"/>
      <c r="H703" s="1"/>
      <c r="I703" s="7">
        <v>0.7</v>
      </c>
      <c r="J703" s="7">
        <f>IF((I703-ROUNDDOWN(I703,0))=0, 0, (I703-ROUNDDOWN(I703,0)))</f>
      </c>
      <c r="K703" s="7">
        <f>INDIRECT("C$"&amp;2+MIN(2,ROUNDDOWN(I703,0))*3)*(-$J703^3+3*$J703^2-3*$J703+1)+INDIRECT("C$"&amp;3+MIN(2,ROUNDDOWN(I703,0))*3)*(3*$J703^3-6*$J703^2+3*$J703)+INDIRECT("C$"&amp;4+MIN(2,ROUNDDOWN(I703,0))*3)*(-3*$J703^3+3*$J703^2)+INDIRECT("C$"&amp;5+MIN(2,ROUNDDOWN(I703,0))*3)*$J703^3</f>
      </c>
      <c r="L703" s="7">
        <f>INDIRECT("D$"&amp;2+MIN(2,ROUNDDOWN(I703,0))*3)*(-$J703^3+3*$J703^2-3*$J703+1)+INDIRECT("D$"&amp;3+MIN(2,ROUNDDOWN(I703,0))*3)*(3*$J703^3-6*$J703^2+3*$J703)+INDIRECT("D$"&amp;4+MIN(2,ROUNDDOWN(I703,0))*3)*(-3*$J703^3+3*$J703^2)+INDIRECT("D$"&amp;5+MIN(2,ROUNDDOWN(I703,0))*3)*$J703^3</f>
      </c>
      <c r="M703" s="7">
        <f>SQRT(K703^2+L703^2)</f>
      </c>
      <c r="N703" s="7">
        <f>(K704-K702)</f>
      </c>
      <c r="O703" s="7">
        <f>+(L704-L702)</f>
      </c>
      <c r="P703" s="7">
        <f>SQRT(O703^2+N703^2)</f>
      </c>
      <c r="Q703" s="7">
        <f>N703/$P703</f>
      </c>
      <c r="R703" s="7">
        <f>O703/$P703</f>
      </c>
      <c r="S703" s="8">
        <f>Q703^2+R703^2</f>
      </c>
      <c r="T703" s="7">
        <f>-R703</f>
      </c>
      <c r="U703" s="7">
        <f>Q703</f>
      </c>
      <c r="V703" s="7">
        <f>($C$14+($C$15-$C$14)/($D$15-$D$14)*(I703-$D$14))/2</f>
      </c>
      <c r="W703" s="7">
        <f>($B$22*I703^4+$C$22*I703^3+$D$22*I703^2+$E$22*I703+$F$22)/2</f>
      </c>
      <c r="X703" s="7">
        <f>($W703)*(T703)</f>
      </c>
      <c r="Y703" s="7">
        <f>($W703)*(U703)</f>
      </c>
      <c r="Z703" s="7">
        <f>SQRT(X703^2+Y703^2)</f>
      </c>
      <c r="AA703" s="7">
        <f>$K703+$X703</f>
      </c>
      <c r="AB703" s="7">
        <f>$L703+$Y703</f>
      </c>
      <c r="AC703" s="7">
        <f>$K703-$X703</f>
      </c>
      <c r="AD703" s="7">
        <f>$L703-$Y703</f>
      </c>
      <c r="AE703" s="7">
        <f>AA703/39.3701</f>
      </c>
      <c r="AF703" s="7">
        <f>AB703/39.3701</f>
      </c>
      <c r="AG703" s="7">
        <f>AC703/39.3701</f>
      </c>
      <c r="AH703" s="7">
        <f>AD703/39.3701</f>
      </c>
      <c r="AI703" s="1"/>
      <c r="AJ703" s="1"/>
      <c r="AK703" s="1"/>
      <c r="AL703" s="1"/>
      <c r="AM703" s="2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</row>
    <row x14ac:dyDescent="0.25" r="704" customHeight="1" ht="18.75">
      <c r="A704" s="1"/>
      <c r="B704" s="2"/>
      <c r="C704" s="2"/>
      <c r="D704" s="2"/>
      <c r="E704" s="2"/>
      <c r="F704" s="2"/>
      <c r="G704" s="1"/>
      <c r="H704" s="1"/>
      <c r="I704" s="7">
        <v>0.701</v>
      </c>
      <c r="J704" s="7">
        <f>IF((I704-ROUNDDOWN(I704,0))=0, 0, (I704-ROUNDDOWN(I704,0)))</f>
      </c>
      <c r="K704" s="7">
        <f>INDIRECT("C$"&amp;2+MIN(2,ROUNDDOWN(I704,0))*3)*(-$J704^3+3*$J704^2-3*$J704+1)+INDIRECT("C$"&amp;3+MIN(2,ROUNDDOWN(I704,0))*3)*(3*$J704^3-6*$J704^2+3*$J704)+INDIRECT("C$"&amp;4+MIN(2,ROUNDDOWN(I704,0))*3)*(-3*$J704^3+3*$J704^2)+INDIRECT("C$"&amp;5+MIN(2,ROUNDDOWN(I704,0))*3)*$J704^3</f>
      </c>
      <c r="L704" s="7">
        <f>INDIRECT("D$"&amp;2+MIN(2,ROUNDDOWN(I704,0))*3)*(-$J704^3+3*$J704^2-3*$J704+1)+INDIRECT("D$"&amp;3+MIN(2,ROUNDDOWN(I704,0))*3)*(3*$J704^3-6*$J704^2+3*$J704)+INDIRECT("D$"&amp;4+MIN(2,ROUNDDOWN(I704,0))*3)*(-3*$J704^3+3*$J704^2)+INDIRECT("D$"&amp;5+MIN(2,ROUNDDOWN(I704,0))*3)*$J704^3</f>
      </c>
      <c r="M704" s="7">
        <f>SQRT(K704^2+L704^2)</f>
      </c>
      <c r="N704" s="7">
        <f>(K705-K703)</f>
      </c>
      <c r="O704" s="7">
        <f>+(L705-L703)</f>
      </c>
      <c r="P704" s="7">
        <f>SQRT(O704^2+N704^2)</f>
      </c>
      <c r="Q704" s="7">
        <f>N704/$P704</f>
      </c>
      <c r="R704" s="7">
        <f>O704/$P704</f>
      </c>
      <c r="S704" s="7">
        <f>Q704^2+R704^2</f>
      </c>
      <c r="T704" s="7">
        <f>-R704</f>
      </c>
      <c r="U704" s="7">
        <f>Q704</f>
      </c>
      <c r="V704" s="7">
        <f>($C$14+($C$15-$C$14)/($D$15-$D$14)*(I704-$D$14))/2</f>
      </c>
      <c r="W704" s="7">
        <f>($B$22*I704^4+$C$22*I704^3+$D$22*I704^2+$E$22*I704+$F$22)/2</f>
      </c>
      <c r="X704" s="7">
        <f>($W704)*(T704)</f>
      </c>
      <c r="Y704" s="7">
        <f>($W704)*(U704)</f>
      </c>
      <c r="Z704" s="7">
        <f>SQRT(X704^2+Y704^2)</f>
      </c>
      <c r="AA704" s="7">
        <f>$K704+$X704</f>
      </c>
      <c r="AB704" s="7">
        <f>$L704+$Y704</f>
      </c>
      <c r="AC704" s="7">
        <f>$K704-$X704</f>
      </c>
      <c r="AD704" s="7">
        <f>$L704-$Y704</f>
      </c>
      <c r="AE704" s="7">
        <f>AA704/39.3701</f>
      </c>
      <c r="AF704" s="7">
        <f>AB704/39.3701</f>
      </c>
      <c r="AG704" s="7">
        <f>AC704/39.3701</f>
      </c>
      <c r="AH704" s="7">
        <f>AD704/39.3701</f>
      </c>
      <c r="AI704" s="1"/>
      <c r="AJ704" s="1"/>
      <c r="AK704" s="1"/>
      <c r="AL704" s="1"/>
      <c r="AM704" s="2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</row>
    <row x14ac:dyDescent="0.25" r="705" customHeight="1" ht="18.75">
      <c r="A705" s="1"/>
      <c r="B705" s="2"/>
      <c r="C705" s="2"/>
      <c r="D705" s="2"/>
      <c r="E705" s="2"/>
      <c r="F705" s="2"/>
      <c r="G705" s="1"/>
      <c r="H705" s="1"/>
      <c r="I705" s="7">
        <v>0.702</v>
      </c>
      <c r="J705" s="7">
        <f>IF((I705-ROUNDDOWN(I705,0))=0, 0, (I705-ROUNDDOWN(I705,0)))</f>
      </c>
      <c r="K705" s="7">
        <f>INDIRECT("C$"&amp;2+MIN(2,ROUNDDOWN(I705,0))*3)*(-$J705^3+3*$J705^2-3*$J705+1)+INDIRECT("C$"&amp;3+MIN(2,ROUNDDOWN(I705,0))*3)*(3*$J705^3-6*$J705^2+3*$J705)+INDIRECT("C$"&amp;4+MIN(2,ROUNDDOWN(I705,0))*3)*(-3*$J705^3+3*$J705^2)+INDIRECT("C$"&amp;5+MIN(2,ROUNDDOWN(I705,0))*3)*$J705^3</f>
      </c>
      <c r="L705" s="7">
        <f>INDIRECT("D$"&amp;2+MIN(2,ROUNDDOWN(I705,0))*3)*(-$J705^3+3*$J705^2-3*$J705+1)+INDIRECT("D$"&amp;3+MIN(2,ROUNDDOWN(I705,0))*3)*(3*$J705^3-6*$J705^2+3*$J705)+INDIRECT("D$"&amp;4+MIN(2,ROUNDDOWN(I705,0))*3)*(-3*$J705^3+3*$J705^2)+INDIRECT("D$"&amp;5+MIN(2,ROUNDDOWN(I705,0))*3)*$J705^3</f>
      </c>
      <c r="M705" s="7">
        <f>SQRT(K705^2+L705^2)</f>
      </c>
      <c r="N705" s="7">
        <f>(K706-K704)</f>
      </c>
      <c r="O705" s="7">
        <f>+(L706-L704)</f>
      </c>
      <c r="P705" s="7">
        <f>SQRT(O705^2+N705^2)</f>
      </c>
      <c r="Q705" s="7">
        <f>N705/$P705</f>
      </c>
      <c r="R705" s="7">
        <f>O705/$P705</f>
      </c>
      <c r="S705" s="8">
        <f>Q705^2+R705^2</f>
      </c>
      <c r="T705" s="7">
        <f>-R705</f>
      </c>
      <c r="U705" s="7">
        <f>Q705</f>
      </c>
      <c r="V705" s="7">
        <f>($C$14+($C$15-$C$14)/($D$15-$D$14)*(I705-$D$14))/2</f>
      </c>
      <c r="W705" s="7">
        <f>($B$22*I705^4+$C$22*I705^3+$D$22*I705^2+$E$22*I705+$F$22)/2</f>
      </c>
      <c r="X705" s="7">
        <f>($W705)*(T705)</f>
      </c>
      <c r="Y705" s="7">
        <f>($W705)*(U705)</f>
      </c>
      <c r="Z705" s="7">
        <f>SQRT(X705^2+Y705^2)</f>
      </c>
      <c r="AA705" s="7">
        <f>$K705+$X705</f>
      </c>
      <c r="AB705" s="7">
        <f>$L705+$Y705</f>
      </c>
      <c r="AC705" s="7">
        <f>$K705-$X705</f>
      </c>
      <c r="AD705" s="7">
        <f>$L705-$Y705</f>
      </c>
      <c r="AE705" s="7">
        <f>AA705/39.3701</f>
      </c>
      <c r="AF705" s="7">
        <f>AB705/39.3701</f>
      </c>
      <c r="AG705" s="7">
        <f>AC705/39.3701</f>
      </c>
      <c r="AH705" s="7">
        <f>AD705/39.3701</f>
      </c>
      <c r="AI705" s="1"/>
      <c r="AJ705" s="1"/>
      <c r="AK705" s="1"/>
      <c r="AL705" s="1"/>
      <c r="AM705" s="2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</row>
    <row x14ac:dyDescent="0.25" r="706" customHeight="1" ht="18.75">
      <c r="A706" s="1"/>
      <c r="B706" s="2"/>
      <c r="C706" s="2"/>
      <c r="D706" s="2"/>
      <c r="E706" s="2"/>
      <c r="F706" s="2"/>
      <c r="G706" s="1"/>
      <c r="H706" s="1"/>
      <c r="I706" s="7">
        <v>0.703</v>
      </c>
      <c r="J706" s="7">
        <f>IF((I706-ROUNDDOWN(I706,0))=0, 0, (I706-ROUNDDOWN(I706,0)))</f>
      </c>
      <c r="K706" s="7">
        <f>INDIRECT("C$"&amp;2+MIN(2,ROUNDDOWN(I706,0))*3)*(-$J706^3+3*$J706^2-3*$J706+1)+INDIRECT("C$"&amp;3+MIN(2,ROUNDDOWN(I706,0))*3)*(3*$J706^3-6*$J706^2+3*$J706)+INDIRECT("C$"&amp;4+MIN(2,ROUNDDOWN(I706,0))*3)*(-3*$J706^3+3*$J706^2)+INDIRECT("C$"&amp;5+MIN(2,ROUNDDOWN(I706,0))*3)*$J706^3</f>
      </c>
      <c r="L706" s="7">
        <f>INDIRECT("D$"&amp;2+MIN(2,ROUNDDOWN(I706,0))*3)*(-$J706^3+3*$J706^2-3*$J706+1)+INDIRECT("D$"&amp;3+MIN(2,ROUNDDOWN(I706,0))*3)*(3*$J706^3-6*$J706^2+3*$J706)+INDIRECT("D$"&amp;4+MIN(2,ROUNDDOWN(I706,0))*3)*(-3*$J706^3+3*$J706^2)+INDIRECT("D$"&amp;5+MIN(2,ROUNDDOWN(I706,0))*3)*$J706^3</f>
      </c>
      <c r="M706" s="7">
        <f>SQRT(K706^2+L706^2)</f>
      </c>
      <c r="N706" s="7">
        <f>(K707-K705)</f>
      </c>
      <c r="O706" s="7">
        <f>+(L707-L705)</f>
      </c>
      <c r="P706" s="7">
        <f>SQRT(O706^2+N706^2)</f>
      </c>
      <c r="Q706" s="7">
        <f>N706/$P706</f>
      </c>
      <c r="R706" s="7">
        <f>O706/$P706</f>
      </c>
      <c r="S706" s="8">
        <f>Q706^2+R706^2</f>
      </c>
      <c r="T706" s="7">
        <f>-R706</f>
      </c>
      <c r="U706" s="7">
        <f>Q706</f>
      </c>
      <c r="V706" s="7">
        <f>($C$14+($C$15-$C$14)/($D$15-$D$14)*(I706-$D$14))/2</f>
      </c>
      <c r="W706" s="7">
        <f>($B$22*I706^4+$C$22*I706^3+$D$22*I706^2+$E$22*I706+$F$22)/2</f>
      </c>
      <c r="X706" s="7">
        <f>($W706)*(T706)</f>
      </c>
      <c r="Y706" s="7">
        <f>($W706)*(U706)</f>
      </c>
      <c r="Z706" s="7">
        <f>SQRT(X706^2+Y706^2)</f>
      </c>
      <c r="AA706" s="7">
        <f>$K706+$X706</f>
      </c>
      <c r="AB706" s="7">
        <f>$L706+$Y706</f>
      </c>
      <c r="AC706" s="7">
        <f>$K706-$X706</f>
      </c>
      <c r="AD706" s="7">
        <f>$L706-$Y706</f>
      </c>
      <c r="AE706" s="7">
        <f>AA706/39.3701</f>
      </c>
      <c r="AF706" s="7">
        <f>AB706/39.3701</f>
      </c>
      <c r="AG706" s="7">
        <f>AC706/39.3701</f>
      </c>
      <c r="AH706" s="7">
        <f>AD706/39.3701</f>
      </c>
      <c r="AI706" s="1"/>
      <c r="AJ706" s="1"/>
      <c r="AK706" s="1"/>
      <c r="AL706" s="1"/>
      <c r="AM706" s="2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</row>
    <row x14ac:dyDescent="0.25" r="707" customHeight="1" ht="18.75">
      <c r="A707" s="1"/>
      <c r="B707" s="2"/>
      <c r="C707" s="2"/>
      <c r="D707" s="2"/>
      <c r="E707" s="2"/>
      <c r="F707" s="2"/>
      <c r="G707" s="1"/>
      <c r="H707" s="1"/>
      <c r="I707" s="7">
        <v>0.704</v>
      </c>
      <c r="J707" s="7">
        <f>IF((I707-ROUNDDOWN(I707,0))=0, 0, (I707-ROUNDDOWN(I707,0)))</f>
      </c>
      <c r="K707" s="7">
        <f>INDIRECT("C$"&amp;2+MIN(2,ROUNDDOWN(I707,0))*3)*(-$J707^3+3*$J707^2-3*$J707+1)+INDIRECT("C$"&amp;3+MIN(2,ROUNDDOWN(I707,0))*3)*(3*$J707^3-6*$J707^2+3*$J707)+INDIRECT("C$"&amp;4+MIN(2,ROUNDDOWN(I707,0))*3)*(-3*$J707^3+3*$J707^2)+INDIRECT("C$"&amp;5+MIN(2,ROUNDDOWN(I707,0))*3)*$J707^3</f>
      </c>
      <c r="L707" s="7">
        <f>INDIRECT("D$"&amp;2+MIN(2,ROUNDDOWN(I707,0))*3)*(-$J707^3+3*$J707^2-3*$J707+1)+INDIRECT("D$"&amp;3+MIN(2,ROUNDDOWN(I707,0))*3)*(3*$J707^3-6*$J707^2+3*$J707)+INDIRECT("D$"&amp;4+MIN(2,ROUNDDOWN(I707,0))*3)*(-3*$J707^3+3*$J707^2)+INDIRECT("D$"&amp;5+MIN(2,ROUNDDOWN(I707,0))*3)*$J707^3</f>
      </c>
      <c r="M707" s="7">
        <f>SQRT(K707^2+L707^2)</f>
      </c>
      <c r="N707" s="7">
        <f>(K708-K706)</f>
      </c>
      <c r="O707" s="7">
        <f>+(L708-L706)</f>
      </c>
      <c r="P707" s="7">
        <f>SQRT(O707^2+N707^2)</f>
      </c>
      <c r="Q707" s="7">
        <f>N707/$P707</f>
      </c>
      <c r="R707" s="7">
        <f>O707/$P707</f>
      </c>
      <c r="S707" s="7">
        <f>Q707^2+R707^2</f>
      </c>
      <c r="T707" s="7">
        <f>-R707</f>
      </c>
      <c r="U707" s="7">
        <f>Q707</f>
      </c>
      <c r="V707" s="7">
        <f>($C$14+($C$15-$C$14)/($D$15-$D$14)*(I707-$D$14))/2</f>
      </c>
      <c r="W707" s="7">
        <f>($B$22*I707^4+$C$22*I707^3+$D$22*I707^2+$E$22*I707+$F$22)/2</f>
      </c>
      <c r="X707" s="7">
        <f>($W707)*(T707)</f>
      </c>
      <c r="Y707" s="7">
        <f>($W707)*(U707)</f>
      </c>
      <c r="Z707" s="7">
        <f>SQRT(X707^2+Y707^2)</f>
      </c>
      <c r="AA707" s="7">
        <f>$K707+$X707</f>
      </c>
      <c r="AB707" s="7">
        <f>$L707+$Y707</f>
      </c>
      <c r="AC707" s="7">
        <f>$K707-$X707</f>
      </c>
      <c r="AD707" s="7">
        <f>$L707-$Y707</f>
      </c>
      <c r="AE707" s="7">
        <f>AA707/39.3701</f>
      </c>
      <c r="AF707" s="7">
        <f>AB707/39.3701</f>
      </c>
      <c r="AG707" s="7">
        <f>AC707/39.3701</f>
      </c>
      <c r="AH707" s="7">
        <f>AD707/39.3701</f>
      </c>
      <c r="AI707" s="1"/>
      <c r="AJ707" s="1"/>
      <c r="AK707" s="1"/>
      <c r="AL707" s="1"/>
      <c r="AM707" s="2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</row>
    <row x14ac:dyDescent="0.25" r="708" customHeight="1" ht="18.75">
      <c r="A708" s="1"/>
      <c r="B708" s="2"/>
      <c r="C708" s="2"/>
      <c r="D708" s="2"/>
      <c r="E708" s="2"/>
      <c r="F708" s="2"/>
      <c r="G708" s="1"/>
      <c r="H708" s="1"/>
      <c r="I708" s="7">
        <v>0.705</v>
      </c>
      <c r="J708" s="7">
        <f>IF((I708-ROUNDDOWN(I708,0))=0, 0, (I708-ROUNDDOWN(I708,0)))</f>
      </c>
      <c r="K708" s="7">
        <f>INDIRECT("C$"&amp;2+MIN(2,ROUNDDOWN(I708,0))*3)*(-$J708^3+3*$J708^2-3*$J708+1)+INDIRECT("C$"&amp;3+MIN(2,ROUNDDOWN(I708,0))*3)*(3*$J708^3-6*$J708^2+3*$J708)+INDIRECT("C$"&amp;4+MIN(2,ROUNDDOWN(I708,0))*3)*(-3*$J708^3+3*$J708^2)+INDIRECT("C$"&amp;5+MIN(2,ROUNDDOWN(I708,0))*3)*$J708^3</f>
      </c>
      <c r="L708" s="7">
        <f>INDIRECT("D$"&amp;2+MIN(2,ROUNDDOWN(I708,0))*3)*(-$J708^3+3*$J708^2-3*$J708+1)+INDIRECT("D$"&amp;3+MIN(2,ROUNDDOWN(I708,0))*3)*(3*$J708^3-6*$J708^2+3*$J708)+INDIRECT("D$"&amp;4+MIN(2,ROUNDDOWN(I708,0))*3)*(-3*$J708^3+3*$J708^2)+INDIRECT("D$"&amp;5+MIN(2,ROUNDDOWN(I708,0))*3)*$J708^3</f>
      </c>
      <c r="M708" s="7">
        <f>SQRT(K708^2+L708^2)</f>
      </c>
      <c r="N708" s="7">
        <f>(K709-K707)</f>
      </c>
      <c r="O708" s="7">
        <f>+(L709-L707)</f>
      </c>
      <c r="P708" s="7">
        <f>SQRT(O708^2+N708^2)</f>
      </c>
      <c r="Q708" s="7">
        <f>N708/$P708</f>
      </c>
      <c r="R708" s="7">
        <f>O708/$P708</f>
      </c>
      <c r="S708" s="7">
        <f>Q708^2+R708^2</f>
      </c>
      <c r="T708" s="7">
        <f>-R708</f>
      </c>
      <c r="U708" s="7">
        <f>Q708</f>
      </c>
      <c r="V708" s="7">
        <f>($C$14+($C$15-$C$14)/($D$15-$D$14)*(I708-$D$14))/2</f>
      </c>
      <c r="W708" s="7">
        <f>($B$22*I708^4+$C$22*I708^3+$D$22*I708^2+$E$22*I708+$F$22)/2</f>
      </c>
      <c r="X708" s="7">
        <f>($W708)*(T708)</f>
      </c>
      <c r="Y708" s="7">
        <f>($W708)*(U708)</f>
      </c>
      <c r="Z708" s="7">
        <f>SQRT(X708^2+Y708^2)</f>
      </c>
      <c r="AA708" s="7">
        <f>$K708+$X708</f>
      </c>
      <c r="AB708" s="7">
        <f>$L708+$Y708</f>
      </c>
      <c r="AC708" s="7">
        <f>$K708-$X708</f>
      </c>
      <c r="AD708" s="7">
        <f>$L708-$Y708</f>
      </c>
      <c r="AE708" s="7">
        <f>AA708/39.3701</f>
      </c>
      <c r="AF708" s="7">
        <f>AB708/39.3701</f>
      </c>
      <c r="AG708" s="7">
        <f>AC708/39.3701</f>
      </c>
      <c r="AH708" s="7">
        <f>AD708/39.3701</f>
      </c>
      <c r="AI708" s="1"/>
      <c r="AJ708" s="1"/>
      <c r="AK708" s="1"/>
      <c r="AL708" s="1"/>
      <c r="AM708" s="2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</row>
    <row x14ac:dyDescent="0.25" r="709" customHeight="1" ht="18.75">
      <c r="A709" s="1"/>
      <c r="B709" s="2"/>
      <c r="C709" s="2"/>
      <c r="D709" s="2"/>
      <c r="E709" s="2"/>
      <c r="F709" s="2"/>
      <c r="G709" s="1"/>
      <c r="H709" s="1"/>
      <c r="I709" s="7">
        <v>0.706</v>
      </c>
      <c r="J709" s="7">
        <f>IF((I709-ROUNDDOWN(I709,0))=0, 0, (I709-ROUNDDOWN(I709,0)))</f>
      </c>
      <c r="K709" s="7">
        <f>INDIRECT("C$"&amp;2+MIN(2,ROUNDDOWN(I709,0))*3)*(-$J709^3+3*$J709^2-3*$J709+1)+INDIRECT("C$"&amp;3+MIN(2,ROUNDDOWN(I709,0))*3)*(3*$J709^3-6*$J709^2+3*$J709)+INDIRECT("C$"&amp;4+MIN(2,ROUNDDOWN(I709,0))*3)*(-3*$J709^3+3*$J709^2)+INDIRECT("C$"&amp;5+MIN(2,ROUNDDOWN(I709,0))*3)*$J709^3</f>
      </c>
      <c r="L709" s="7">
        <f>INDIRECT("D$"&amp;2+MIN(2,ROUNDDOWN(I709,0))*3)*(-$J709^3+3*$J709^2-3*$J709+1)+INDIRECT("D$"&amp;3+MIN(2,ROUNDDOWN(I709,0))*3)*(3*$J709^3-6*$J709^2+3*$J709)+INDIRECT("D$"&amp;4+MIN(2,ROUNDDOWN(I709,0))*3)*(-3*$J709^3+3*$J709^2)+INDIRECT("D$"&amp;5+MIN(2,ROUNDDOWN(I709,0))*3)*$J709^3</f>
      </c>
      <c r="M709" s="7">
        <f>SQRT(K709^2+L709^2)</f>
      </c>
      <c r="N709" s="7">
        <f>(K710-K708)</f>
      </c>
      <c r="O709" s="7">
        <f>+(L710-L708)</f>
      </c>
      <c r="P709" s="7">
        <f>SQRT(O709^2+N709^2)</f>
      </c>
      <c r="Q709" s="7">
        <f>N709/$P709</f>
      </c>
      <c r="R709" s="7">
        <f>O709/$P709</f>
      </c>
      <c r="S709" s="8">
        <f>Q709^2+R709^2</f>
      </c>
      <c r="T709" s="7">
        <f>-R709</f>
      </c>
      <c r="U709" s="7">
        <f>Q709</f>
      </c>
      <c r="V709" s="7">
        <f>($C$14+($C$15-$C$14)/($D$15-$D$14)*(I709-$D$14))/2</f>
      </c>
      <c r="W709" s="7">
        <f>($B$22*I709^4+$C$22*I709^3+$D$22*I709^2+$E$22*I709+$F$22)/2</f>
      </c>
      <c r="X709" s="7">
        <f>($W709)*(T709)</f>
      </c>
      <c r="Y709" s="7">
        <f>($W709)*(U709)</f>
      </c>
      <c r="Z709" s="7">
        <f>SQRT(X709^2+Y709^2)</f>
      </c>
      <c r="AA709" s="7">
        <f>$K709+$X709</f>
      </c>
      <c r="AB709" s="7">
        <f>$L709+$Y709</f>
      </c>
      <c r="AC709" s="7">
        <f>$K709-$X709</f>
      </c>
      <c r="AD709" s="7">
        <f>$L709-$Y709</f>
      </c>
      <c r="AE709" s="7">
        <f>AA709/39.3701</f>
      </c>
      <c r="AF709" s="7">
        <f>AB709/39.3701</f>
      </c>
      <c r="AG709" s="7">
        <f>AC709/39.3701</f>
      </c>
      <c r="AH709" s="7">
        <f>AD709/39.3701</f>
      </c>
      <c r="AI709" s="1"/>
      <c r="AJ709" s="1"/>
      <c r="AK709" s="1"/>
      <c r="AL709" s="1"/>
      <c r="AM709" s="2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</row>
    <row x14ac:dyDescent="0.25" r="710" customHeight="1" ht="18.75">
      <c r="A710" s="1"/>
      <c r="B710" s="2"/>
      <c r="C710" s="2"/>
      <c r="D710" s="2"/>
      <c r="E710" s="2"/>
      <c r="F710" s="2"/>
      <c r="G710" s="1"/>
      <c r="H710" s="1"/>
      <c r="I710" s="7">
        <v>0.707</v>
      </c>
      <c r="J710" s="7">
        <f>IF((I710-ROUNDDOWN(I710,0))=0, 0, (I710-ROUNDDOWN(I710,0)))</f>
      </c>
      <c r="K710" s="7">
        <f>INDIRECT("C$"&amp;2+MIN(2,ROUNDDOWN(I710,0))*3)*(-$J710^3+3*$J710^2-3*$J710+1)+INDIRECT("C$"&amp;3+MIN(2,ROUNDDOWN(I710,0))*3)*(3*$J710^3-6*$J710^2+3*$J710)+INDIRECT("C$"&amp;4+MIN(2,ROUNDDOWN(I710,0))*3)*(-3*$J710^3+3*$J710^2)+INDIRECT("C$"&amp;5+MIN(2,ROUNDDOWN(I710,0))*3)*$J710^3</f>
      </c>
      <c r="L710" s="7">
        <f>INDIRECT("D$"&amp;2+MIN(2,ROUNDDOWN(I710,0))*3)*(-$J710^3+3*$J710^2-3*$J710+1)+INDIRECT("D$"&amp;3+MIN(2,ROUNDDOWN(I710,0))*3)*(3*$J710^3-6*$J710^2+3*$J710)+INDIRECT("D$"&amp;4+MIN(2,ROUNDDOWN(I710,0))*3)*(-3*$J710^3+3*$J710^2)+INDIRECT("D$"&amp;5+MIN(2,ROUNDDOWN(I710,0))*3)*$J710^3</f>
      </c>
      <c r="M710" s="7">
        <f>SQRT(K710^2+L710^2)</f>
      </c>
      <c r="N710" s="7">
        <f>(K711-K709)</f>
      </c>
      <c r="O710" s="7">
        <f>+(L711-L709)</f>
      </c>
      <c r="P710" s="7">
        <f>SQRT(O710^2+N710^2)</f>
      </c>
      <c r="Q710" s="7">
        <f>N710/$P710</f>
      </c>
      <c r="R710" s="7">
        <f>O710/$P710</f>
      </c>
      <c r="S710" s="8">
        <f>Q710^2+R710^2</f>
      </c>
      <c r="T710" s="7">
        <f>-R710</f>
      </c>
      <c r="U710" s="7">
        <f>Q710</f>
      </c>
      <c r="V710" s="7">
        <f>($C$14+($C$15-$C$14)/($D$15-$D$14)*(I710-$D$14))/2</f>
      </c>
      <c r="W710" s="7">
        <f>($B$22*I710^4+$C$22*I710^3+$D$22*I710^2+$E$22*I710+$F$22)/2</f>
      </c>
      <c r="X710" s="7">
        <f>($W710)*(T710)</f>
      </c>
      <c r="Y710" s="7">
        <f>($W710)*(U710)</f>
      </c>
      <c r="Z710" s="7">
        <f>SQRT(X710^2+Y710^2)</f>
      </c>
      <c r="AA710" s="7">
        <f>$K710+$X710</f>
      </c>
      <c r="AB710" s="7">
        <f>$L710+$Y710</f>
      </c>
      <c r="AC710" s="7">
        <f>$K710-$X710</f>
      </c>
      <c r="AD710" s="7">
        <f>$L710-$Y710</f>
      </c>
      <c r="AE710" s="7">
        <f>AA710/39.3701</f>
      </c>
      <c r="AF710" s="7">
        <f>AB710/39.3701</f>
      </c>
      <c r="AG710" s="7">
        <f>AC710/39.3701</f>
      </c>
      <c r="AH710" s="7">
        <f>AD710/39.3701</f>
      </c>
      <c r="AI710" s="1"/>
      <c r="AJ710" s="1"/>
      <c r="AK710" s="1"/>
      <c r="AL710" s="1"/>
      <c r="AM710" s="2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</row>
    <row x14ac:dyDescent="0.25" r="711" customHeight="1" ht="18.75">
      <c r="A711" s="1"/>
      <c r="B711" s="2"/>
      <c r="C711" s="2"/>
      <c r="D711" s="2"/>
      <c r="E711" s="2"/>
      <c r="F711" s="2"/>
      <c r="G711" s="1"/>
      <c r="H711" s="1"/>
      <c r="I711" s="7">
        <v>0.708</v>
      </c>
      <c r="J711" s="7">
        <f>IF((I711-ROUNDDOWN(I711,0))=0, 0, (I711-ROUNDDOWN(I711,0)))</f>
      </c>
      <c r="K711" s="7">
        <f>INDIRECT("C$"&amp;2+MIN(2,ROUNDDOWN(I711,0))*3)*(-$J711^3+3*$J711^2-3*$J711+1)+INDIRECT("C$"&amp;3+MIN(2,ROUNDDOWN(I711,0))*3)*(3*$J711^3-6*$J711^2+3*$J711)+INDIRECT("C$"&amp;4+MIN(2,ROUNDDOWN(I711,0))*3)*(-3*$J711^3+3*$J711^2)+INDIRECT("C$"&amp;5+MIN(2,ROUNDDOWN(I711,0))*3)*$J711^3</f>
      </c>
      <c r="L711" s="7">
        <f>INDIRECT("D$"&amp;2+MIN(2,ROUNDDOWN(I711,0))*3)*(-$J711^3+3*$J711^2-3*$J711+1)+INDIRECT("D$"&amp;3+MIN(2,ROUNDDOWN(I711,0))*3)*(3*$J711^3-6*$J711^2+3*$J711)+INDIRECT("D$"&amp;4+MIN(2,ROUNDDOWN(I711,0))*3)*(-3*$J711^3+3*$J711^2)+INDIRECT("D$"&amp;5+MIN(2,ROUNDDOWN(I711,0))*3)*$J711^3</f>
      </c>
      <c r="M711" s="7">
        <f>SQRT(K711^2+L711^2)</f>
      </c>
      <c r="N711" s="7">
        <f>(K712-K710)</f>
      </c>
      <c r="O711" s="7">
        <f>+(L712-L710)</f>
      </c>
      <c r="P711" s="7">
        <f>SQRT(O711^2+N711^2)</f>
      </c>
      <c r="Q711" s="7">
        <f>N711/$P711</f>
      </c>
      <c r="R711" s="7">
        <f>O711/$P711</f>
      </c>
      <c r="S711" s="8">
        <f>Q711^2+R711^2</f>
      </c>
      <c r="T711" s="7">
        <f>-R711</f>
      </c>
      <c r="U711" s="7">
        <f>Q711</f>
      </c>
      <c r="V711" s="7">
        <f>($C$14+($C$15-$C$14)/($D$15-$D$14)*(I711-$D$14))/2</f>
      </c>
      <c r="W711" s="7">
        <f>($B$22*I711^4+$C$22*I711^3+$D$22*I711^2+$E$22*I711+$F$22)/2</f>
      </c>
      <c r="X711" s="7">
        <f>($W711)*(T711)</f>
      </c>
      <c r="Y711" s="7">
        <f>($W711)*(U711)</f>
      </c>
      <c r="Z711" s="7">
        <f>SQRT(X711^2+Y711^2)</f>
      </c>
      <c r="AA711" s="7">
        <f>$K711+$X711</f>
      </c>
      <c r="AB711" s="7">
        <f>$L711+$Y711</f>
      </c>
      <c r="AC711" s="7">
        <f>$K711-$X711</f>
      </c>
      <c r="AD711" s="7">
        <f>$L711-$Y711</f>
      </c>
      <c r="AE711" s="7">
        <f>AA711/39.3701</f>
      </c>
      <c r="AF711" s="7">
        <f>AB711/39.3701</f>
      </c>
      <c r="AG711" s="7">
        <f>AC711/39.3701</f>
      </c>
      <c r="AH711" s="7">
        <f>AD711/39.3701</f>
      </c>
      <c r="AI711" s="1"/>
      <c r="AJ711" s="1"/>
      <c r="AK711" s="1"/>
      <c r="AL711" s="1"/>
      <c r="AM711" s="2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</row>
    <row x14ac:dyDescent="0.25" r="712" customHeight="1" ht="18.75">
      <c r="A712" s="1"/>
      <c r="B712" s="2"/>
      <c r="C712" s="2"/>
      <c r="D712" s="2"/>
      <c r="E712" s="2"/>
      <c r="F712" s="2"/>
      <c r="G712" s="1"/>
      <c r="H712" s="1"/>
      <c r="I712" s="7">
        <v>0.709</v>
      </c>
      <c r="J712" s="7">
        <f>IF((I712-ROUNDDOWN(I712,0))=0, 0, (I712-ROUNDDOWN(I712,0)))</f>
      </c>
      <c r="K712" s="7">
        <f>INDIRECT("C$"&amp;2+MIN(2,ROUNDDOWN(I712,0))*3)*(-$J712^3+3*$J712^2-3*$J712+1)+INDIRECT("C$"&amp;3+MIN(2,ROUNDDOWN(I712,0))*3)*(3*$J712^3-6*$J712^2+3*$J712)+INDIRECT("C$"&amp;4+MIN(2,ROUNDDOWN(I712,0))*3)*(-3*$J712^3+3*$J712^2)+INDIRECT("C$"&amp;5+MIN(2,ROUNDDOWN(I712,0))*3)*$J712^3</f>
      </c>
      <c r="L712" s="7">
        <f>INDIRECT("D$"&amp;2+MIN(2,ROUNDDOWN(I712,0))*3)*(-$J712^3+3*$J712^2-3*$J712+1)+INDIRECT("D$"&amp;3+MIN(2,ROUNDDOWN(I712,0))*3)*(3*$J712^3-6*$J712^2+3*$J712)+INDIRECT("D$"&amp;4+MIN(2,ROUNDDOWN(I712,0))*3)*(-3*$J712^3+3*$J712^2)+INDIRECT("D$"&amp;5+MIN(2,ROUNDDOWN(I712,0))*3)*$J712^3</f>
      </c>
      <c r="M712" s="7">
        <f>SQRT(K712^2+L712^2)</f>
      </c>
      <c r="N712" s="7">
        <f>(K713-K711)</f>
      </c>
      <c r="O712" s="7">
        <f>+(L713-L711)</f>
      </c>
      <c r="P712" s="7">
        <f>SQRT(O712^2+N712^2)</f>
      </c>
      <c r="Q712" s="7">
        <f>N712/$P712</f>
      </c>
      <c r="R712" s="7">
        <f>O712/$P712</f>
      </c>
      <c r="S712" s="7">
        <f>Q712^2+R712^2</f>
      </c>
      <c r="T712" s="7">
        <f>-R712</f>
      </c>
      <c r="U712" s="7">
        <f>Q712</f>
      </c>
      <c r="V712" s="7">
        <f>($C$14+($C$15-$C$14)/($D$15-$D$14)*(I712-$D$14))/2</f>
      </c>
      <c r="W712" s="7">
        <f>($B$22*I712^4+$C$22*I712^3+$D$22*I712^2+$E$22*I712+$F$22)/2</f>
      </c>
      <c r="X712" s="7">
        <f>($W712)*(T712)</f>
      </c>
      <c r="Y712" s="7">
        <f>($W712)*(U712)</f>
      </c>
      <c r="Z712" s="7">
        <f>SQRT(X712^2+Y712^2)</f>
      </c>
      <c r="AA712" s="7">
        <f>$K712+$X712</f>
      </c>
      <c r="AB712" s="7">
        <f>$L712+$Y712</f>
      </c>
      <c r="AC712" s="7">
        <f>$K712-$X712</f>
      </c>
      <c r="AD712" s="7">
        <f>$L712-$Y712</f>
      </c>
      <c r="AE712" s="7">
        <f>AA712/39.3701</f>
      </c>
      <c r="AF712" s="7">
        <f>AB712/39.3701</f>
      </c>
      <c r="AG712" s="7">
        <f>AC712/39.3701</f>
      </c>
      <c r="AH712" s="7">
        <f>AD712/39.3701</f>
      </c>
      <c r="AI712" s="1"/>
      <c r="AJ712" s="1"/>
      <c r="AK712" s="1"/>
      <c r="AL712" s="1"/>
      <c r="AM712" s="2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</row>
    <row x14ac:dyDescent="0.25" r="713" customHeight="1" ht="18.75">
      <c r="A713" s="1"/>
      <c r="B713" s="2"/>
      <c r="C713" s="2"/>
      <c r="D713" s="2"/>
      <c r="E713" s="2"/>
      <c r="F713" s="2"/>
      <c r="G713" s="1"/>
      <c r="H713" s="1"/>
      <c r="I713" s="7">
        <v>0.71</v>
      </c>
      <c r="J713" s="7">
        <f>IF((I713-ROUNDDOWN(I713,0))=0, 0, (I713-ROUNDDOWN(I713,0)))</f>
      </c>
      <c r="K713" s="7">
        <f>INDIRECT("C$"&amp;2+MIN(2,ROUNDDOWN(I713,0))*3)*(-$J713^3+3*$J713^2-3*$J713+1)+INDIRECT("C$"&amp;3+MIN(2,ROUNDDOWN(I713,0))*3)*(3*$J713^3-6*$J713^2+3*$J713)+INDIRECT("C$"&amp;4+MIN(2,ROUNDDOWN(I713,0))*3)*(-3*$J713^3+3*$J713^2)+INDIRECT("C$"&amp;5+MIN(2,ROUNDDOWN(I713,0))*3)*$J713^3</f>
      </c>
      <c r="L713" s="7">
        <f>INDIRECT("D$"&amp;2+MIN(2,ROUNDDOWN(I713,0))*3)*(-$J713^3+3*$J713^2-3*$J713+1)+INDIRECT("D$"&amp;3+MIN(2,ROUNDDOWN(I713,0))*3)*(3*$J713^3-6*$J713^2+3*$J713)+INDIRECT("D$"&amp;4+MIN(2,ROUNDDOWN(I713,0))*3)*(-3*$J713^3+3*$J713^2)+INDIRECT("D$"&amp;5+MIN(2,ROUNDDOWN(I713,0))*3)*$J713^3</f>
      </c>
      <c r="M713" s="7">
        <f>SQRT(K713^2+L713^2)</f>
      </c>
      <c r="N713" s="7">
        <f>(K714-K712)</f>
      </c>
      <c r="O713" s="7">
        <f>+(L714-L712)</f>
      </c>
      <c r="P713" s="7">
        <f>SQRT(O713^2+N713^2)</f>
      </c>
      <c r="Q713" s="7">
        <f>N713/$P713</f>
      </c>
      <c r="R713" s="7">
        <f>O713/$P713</f>
      </c>
      <c r="S713" s="7">
        <f>Q713^2+R713^2</f>
      </c>
      <c r="T713" s="7">
        <f>-R713</f>
      </c>
      <c r="U713" s="7">
        <f>Q713</f>
      </c>
      <c r="V713" s="7">
        <f>($C$14+($C$15-$C$14)/($D$15-$D$14)*(I713-$D$14))/2</f>
      </c>
      <c r="W713" s="7">
        <f>($B$22*I713^4+$C$22*I713^3+$D$22*I713^2+$E$22*I713+$F$22)/2</f>
      </c>
      <c r="X713" s="7">
        <f>($W713)*(T713)</f>
      </c>
      <c r="Y713" s="7">
        <f>($W713)*(U713)</f>
      </c>
      <c r="Z713" s="7">
        <f>SQRT(X713^2+Y713^2)</f>
      </c>
      <c r="AA713" s="7">
        <f>$K713+$X713</f>
      </c>
      <c r="AB713" s="7">
        <f>$L713+$Y713</f>
      </c>
      <c r="AC713" s="7">
        <f>$K713-$X713</f>
      </c>
      <c r="AD713" s="7">
        <f>$L713-$Y713</f>
      </c>
      <c r="AE713" s="7">
        <f>AA713/39.3701</f>
      </c>
      <c r="AF713" s="7">
        <f>AB713/39.3701</f>
      </c>
      <c r="AG713" s="7">
        <f>AC713/39.3701</f>
      </c>
      <c r="AH713" s="7">
        <f>AD713/39.3701</f>
      </c>
      <c r="AI713" s="1"/>
      <c r="AJ713" s="1"/>
      <c r="AK713" s="1"/>
      <c r="AL713" s="1"/>
      <c r="AM713" s="2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</row>
    <row x14ac:dyDescent="0.25" r="714" customHeight="1" ht="18.75">
      <c r="A714" s="1"/>
      <c r="B714" s="2"/>
      <c r="C714" s="2"/>
      <c r="D714" s="2"/>
      <c r="E714" s="2"/>
      <c r="F714" s="2"/>
      <c r="G714" s="1"/>
      <c r="H714" s="1"/>
      <c r="I714" s="7">
        <v>0.711</v>
      </c>
      <c r="J714" s="7">
        <f>IF((I714-ROUNDDOWN(I714,0))=0, 0, (I714-ROUNDDOWN(I714,0)))</f>
      </c>
      <c r="K714" s="7">
        <f>INDIRECT("C$"&amp;2+MIN(2,ROUNDDOWN(I714,0))*3)*(-$J714^3+3*$J714^2-3*$J714+1)+INDIRECT("C$"&amp;3+MIN(2,ROUNDDOWN(I714,0))*3)*(3*$J714^3-6*$J714^2+3*$J714)+INDIRECT("C$"&amp;4+MIN(2,ROUNDDOWN(I714,0))*3)*(-3*$J714^3+3*$J714^2)+INDIRECT("C$"&amp;5+MIN(2,ROUNDDOWN(I714,0))*3)*$J714^3</f>
      </c>
      <c r="L714" s="7">
        <f>INDIRECT("D$"&amp;2+MIN(2,ROUNDDOWN(I714,0))*3)*(-$J714^3+3*$J714^2-3*$J714+1)+INDIRECT("D$"&amp;3+MIN(2,ROUNDDOWN(I714,0))*3)*(3*$J714^3-6*$J714^2+3*$J714)+INDIRECT("D$"&amp;4+MIN(2,ROUNDDOWN(I714,0))*3)*(-3*$J714^3+3*$J714^2)+INDIRECT("D$"&amp;5+MIN(2,ROUNDDOWN(I714,0))*3)*$J714^3</f>
      </c>
      <c r="M714" s="7">
        <f>SQRT(K714^2+L714^2)</f>
      </c>
      <c r="N714" s="7">
        <f>(K715-K713)</f>
      </c>
      <c r="O714" s="7">
        <f>+(L715-L713)</f>
      </c>
      <c r="P714" s="7">
        <f>SQRT(O714^2+N714^2)</f>
      </c>
      <c r="Q714" s="7">
        <f>N714/$P714</f>
      </c>
      <c r="R714" s="7">
        <f>O714/$P714</f>
      </c>
      <c r="S714" s="7">
        <f>Q714^2+R714^2</f>
      </c>
      <c r="T714" s="7">
        <f>-R714</f>
      </c>
      <c r="U714" s="7">
        <f>Q714</f>
      </c>
      <c r="V714" s="7">
        <f>($C$14+($C$15-$C$14)/($D$15-$D$14)*(I714-$D$14))/2</f>
      </c>
      <c r="W714" s="7">
        <f>($B$22*I714^4+$C$22*I714^3+$D$22*I714^2+$E$22*I714+$F$22)/2</f>
      </c>
      <c r="X714" s="7">
        <f>($W714)*(T714)</f>
      </c>
      <c r="Y714" s="7">
        <f>($W714)*(U714)</f>
      </c>
      <c r="Z714" s="7">
        <f>SQRT(X714^2+Y714^2)</f>
      </c>
      <c r="AA714" s="7">
        <f>$K714+$X714</f>
      </c>
      <c r="AB714" s="7">
        <f>$L714+$Y714</f>
      </c>
      <c r="AC714" s="7">
        <f>$K714-$X714</f>
      </c>
      <c r="AD714" s="7">
        <f>$L714-$Y714</f>
      </c>
      <c r="AE714" s="7">
        <f>AA714/39.3701</f>
      </c>
      <c r="AF714" s="7">
        <f>AB714/39.3701</f>
      </c>
      <c r="AG714" s="7">
        <f>AC714/39.3701</f>
      </c>
      <c r="AH714" s="7">
        <f>AD714/39.3701</f>
      </c>
      <c r="AI714" s="1"/>
      <c r="AJ714" s="1"/>
      <c r="AK714" s="1"/>
      <c r="AL714" s="1"/>
      <c r="AM714" s="2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</row>
    <row x14ac:dyDescent="0.25" r="715" customHeight="1" ht="18.75">
      <c r="A715" s="1"/>
      <c r="B715" s="2"/>
      <c r="C715" s="2"/>
      <c r="D715" s="2"/>
      <c r="E715" s="2"/>
      <c r="F715" s="2"/>
      <c r="G715" s="1"/>
      <c r="H715" s="1"/>
      <c r="I715" s="7">
        <v>0.712</v>
      </c>
      <c r="J715" s="7">
        <f>IF((I715-ROUNDDOWN(I715,0))=0, 0, (I715-ROUNDDOWN(I715,0)))</f>
      </c>
      <c r="K715" s="7">
        <f>INDIRECT("C$"&amp;2+MIN(2,ROUNDDOWN(I715,0))*3)*(-$J715^3+3*$J715^2-3*$J715+1)+INDIRECT("C$"&amp;3+MIN(2,ROUNDDOWN(I715,0))*3)*(3*$J715^3-6*$J715^2+3*$J715)+INDIRECT("C$"&amp;4+MIN(2,ROUNDDOWN(I715,0))*3)*(-3*$J715^3+3*$J715^2)+INDIRECT("C$"&amp;5+MIN(2,ROUNDDOWN(I715,0))*3)*$J715^3</f>
      </c>
      <c r="L715" s="7">
        <f>INDIRECT("D$"&amp;2+MIN(2,ROUNDDOWN(I715,0))*3)*(-$J715^3+3*$J715^2-3*$J715+1)+INDIRECT("D$"&amp;3+MIN(2,ROUNDDOWN(I715,0))*3)*(3*$J715^3-6*$J715^2+3*$J715)+INDIRECT("D$"&amp;4+MIN(2,ROUNDDOWN(I715,0))*3)*(-3*$J715^3+3*$J715^2)+INDIRECT("D$"&amp;5+MIN(2,ROUNDDOWN(I715,0))*3)*$J715^3</f>
      </c>
      <c r="M715" s="7">
        <f>SQRT(K715^2+L715^2)</f>
      </c>
      <c r="N715" s="7">
        <f>(K716-K714)</f>
      </c>
      <c r="O715" s="7">
        <f>+(L716-L714)</f>
      </c>
      <c r="P715" s="7">
        <f>SQRT(O715^2+N715^2)</f>
      </c>
      <c r="Q715" s="7">
        <f>N715/$P715</f>
      </c>
      <c r="R715" s="7">
        <f>O715/$P715</f>
      </c>
      <c r="S715" s="8">
        <f>Q715^2+R715^2</f>
      </c>
      <c r="T715" s="7">
        <f>-R715</f>
      </c>
      <c r="U715" s="7">
        <f>Q715</f>
      </c>
      <c r="V715" s="7">
        <f>($C$14+($C$15-$C$14)/($D$15-$D$14)*(I715-$D$14))/2</f>
      </c>
      <c r="W715" s="7">
        <f>($B$22*I715^4+$C$22*I715^3+$D$22*I715^2+$E$22*I715+$F$22)/2</f>
      </c>
      <c r="X715" s="7">
        <f>($W715)*(T715)</f>
      </c>
      <c r="Y715" s="7">
        <f>($W715)*(U715)</f>
      </c>
      <c r="Z715" s="7">
        <f>SQRT(X715^2+Y715^2)</f>
      </c>
      <c r="AA715" s="7">
        <f>$K715+$X715</f>
      </c>
      <c r="AB715" s="7">
        <f>$L715+$Y715</f>
      </c>
      <c r="AC715" s="7">
        <f>$K715-$X715</f>
      </c>
      <c r="AD715" s="7">
        <f>$L715-$Y715</f>
      </c>
      <c r="AE715" s="7">
        <f>AA715/39.3701</f>
      </c>
      <c r="AF715" s="7">
        <f>AB715/39.3701</f>
      </c>
      <c r="AG715" s="7">
        <f>AC715/39.3701</f>
      </c>
      <c r="AH715" s="7">
        <f>AD715/39.3701</f>
      </c>
      <c r="AI715" s="1"/>
      <c r="AJ715" s="1"/>
      <c r="AK715" s="1"/>
      <c r="AL715" s="1"/>
      <c r="AM715" s="2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</row>
    <row x14ac:dyDescent="0.25" r="716" customHeight="1" ht="18.75">
      <c r="A716" s="1"/>
      <c r="B716" s="2"/>
      <c r="C716" s="2"/>
      <c r="D716" s="2"/>
      <c r="E716" s="2"/>
      <c r="F716" s="2"/>
      <c r="G716" s="1"/>
      <c r="H716" s="1"/>
      <c r="I716" s="7">
        <v>0.713</v>
      </c>
      <c r="J716" s="7">
        <f>IF((I716-ROUNDDOWN(I716,0))=0, 0, (I716-ROUNDDOWN(I716,0)))</f>
      </c>
      <c r="K716" s="7">
        <f>INDIRECT("C$"&amp;2+MIN(2,ROUNDDOWN(I716,0))*3)*(-$J716^3+3*$J716^2-3*$J716+1)+INDIRECT("C$"&amp;3+MIN(2,ROUNDDOWN(I716,0))*3)*(3*$J716^3-6*$J716^2+3*$J716)+INDIRECT("C$"&amp;4+MIN(2,ROUNDDOWN(I716,0))*3)*(-3*$J716^3+3*$J716^2)+INDIRECT("C$"&amp;5+MIN(2,ROUNDDOWN(I716,0))*3)*$J716^3</f>
      </c>
      <c r="L716" s="7">
        <f>INDIRECT("D$"&amp;2+MIN(2,ROUNDDOWN(I716,0))*3)*(-$J716^3+3*$J716^2-3*$J716+1)+INDIRECT("D$"&amp;3+MIN(2,ROUNDDOWN(I716,0))*3)*(3*$J716^3-6*$J716^2+3*$J716)+INDIRECT("D$"&amp;4+MIN(2,ROUNDDOWN(I716,0))*3)*(-3*$J716^3+3*$J716^2)+INDIRECT("D$"&amp;5+MIN(2,ROUNDDOWN(I716,0))*3)*$J716^3</f>
      </c>
      <c r="M716" s="7">
        <f>SQRT(K716^2+L716^2)</f>
      </c>
      <c r="N716" s="7">
        <f>(K717-K715)</f>
      </c>
      <c r="O716" s="7">
        <f>+(L717-L715)</f>
      </c>
      <c r="P716" s="7">
        <f>SQRT(O716^2+N716^2)</f>
      </c>
      <c r="Q716" s="7">
        <f>N716/$P716</f>
      </c>
      <c r="R716" s="7">
        <f>O716/$P716</f>
      </c>
      <c r="S716" s="8">
        <f>Q716^2+R716^2</f>
      </c>
      <c r="T716" s="7">
        <f>-R716</f>
      </c>
      <c r="U716" s="7">
        <f>Q716</f>
      </c>
      <c r="V716" s="7">
        <f>($C$14+($C$15-$C$14)/($D$15-$D$14)*(I716-$D$14))/2</f>
      </c>
      <c r="W716" s="7">
        <f>($B$22*I716^4+$C$22*I716^3+$D$22*I716^2+$E$22*I716+$F$22)/2</f>
      </c>
      <c r="X716" s="7">
        <f>($W716)*(T716)</f>
      </c>
      <c r="Y716" s="7">
        <f>($W716)*(U716)</f>
      </c>
      <c r="Z716" s="7">
        <f>SQRT(X716^2+Y716^2)</f>
      </c>
      <c r="AA716" s="7">
        <f>$K716+$X716</f>
      </c>
      <c r="AB716" s="7">
        <f>$L716+$Y716</f>
      </c>
      <c r="AC716" s="7">
        <f>$K716-$X716</f>
      </c>
      <c r="AD716" s="7">
        <f>$L716-$Y716</f>
      </c>
      <c r="AE716" s="7">
        <f>AA716/39.3701</f>
      </c>
      <c r="AF716" s="7">
        <f>AB716/39.3701</f>
      </c>
      <c r="AG716" s="7">
        <f>AC716/39.3701</f>
      </c>
      <c r="AH716" s="7">
        <f>AD716/39.3701</f>
      </c>
      <c r="AI716" s="1"/>
      <c r="AJ716" s="1"/>
      <c r="AK716" s="1"/>
      <c r="AL716" s="1"/>
      <c r="AM716" s="2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</row>
    <row x14ac:dyDescent="0.25" r="717" customHeight="1" ht="18.75">
      <c r="A717" s="1"/>
      <c r="B717" s="2"/>
      <c r="C717" s="2"/>
      <c r="D717" s="2"/>
      <c r="E717" s="2"/>
      <c r="F717" s="2"/>
      <c r="G717" s="1"/>
      <c r="H717" s="1"/>
      <c r="I717" s="7">
        <v>0.714</v>
      </c>
      <c r="J717" s="7">
        <f>IF((I717-ROUNDDOWN(I717,0))=0, 0, (I717-ROUNDDOWN(I717,0)))</f>
      </c>
      <c r="K717" s="7">
        <f>INDIRECT("C$"&amp;2+MIN(2,ROUNDDOWN(I717,0))*3)*(-$J717^3+3*$J717^2-3*$J717+1)+INDIRECT("C$"&amp;3+MIN(2,ROUNDDOWN(I717,0))*3)*(3*$J717^3-6*$J717^2+3*$J717)+INDIRECT("C$"&amp;4+MIN(2,ROUNDDOWN(I717,0))*3)*(-3*$J717^3+3*$J717^2)+INDIRECT("C$"&amp;5+MIN(2,ROUNDDOWN(I717,0))*3)*$J717^3</f>
      </c>
      <c r="L717" s="7">
        <f>INDIRECT("D$"&amp;2+MIN(2,ROUNDDOWN(I717,0))*3)*(-$J717^3+3*$J717^2-3*$J717+1)+INDIRECT("D$"&amp;3+MIN(2,ROUNDDOWN(I717,0))*3)*(3*$J717^3-6*$J717^2+3*$J717)+INDIRECT("D$"&amp;4+MIN(2,ROUNDDOWN(I717,0))*3)*(-3*$J717^3+3*$J717^2)+INDIRECT("D$"&amp;5+MIN(2,ROUNDDOWN(I717,0))*3)*$J717^3</f>
      </c>
      <c r="M717" s="7">
        <f>SQRT(K717^2+L717^2)</f>
      </c>
      <c r="N717" s="7">
        <f>(K718-K716)</f>
      </c>
      <c r="O717" s="7">
        <f>+(L718-L716)</f>
      </c>
      <c r="P717" s="7">
        <f>SQRT(O717^2+N717^2)</f>
      </c>
      <c r="Q717" s="7">
        <f>N717/$P717</f>
      </c>
      <c r="R717" s="7">
        <f>O717/$P717</f>
      </c>
      <c r="S717" s="8">
        <f>Q717^2+R717^2</f>
      </c>
      <c r="T717" s="7">
        <f>-R717</f>
      </c>
      <c r="U717" s="7">
        <f>Q717</f>
      </c>
      <c r="V717" s="7">
        <f>($C$14+($C$15-$C$14)/($D$15-$D$14)*(I717-$D$14))/2</f>
      </c>
      <c r="W717" s="7">
        <f>($B$22*I717^4+$C$22*I717^3+$D$22*I717^2+$E$22*I717+$F$22)/2</f>
      </c>
      <c r="X717" s="7">
        <f>($W717)*(T717)</f>
      </c>
      <c r="Y717" s="7">
        <f>($W717)*(U717)</f>
      </c>
      <c r="Z717" s="7">
        <f>SQRT(X717^2+Y717^2)</f>
      </c>
      <c r="AA717" s="7">
        <f>$K717+$X717</f>
      </c>
      <c r="AB717" s="7">
        <f>$L717+$Y717</f>
      </c>
      <c r="AC717" s="7">
        <f>$K717-$X717</f>
      </c>
      <c r="AD717" s="7">
        <f>$L717-$Y717</f>
      </c>
      <c r="AE717" s="7">
        <f>AA717/39.3701</f>
      </c>
      <c r="AF717" s="7">
        <f>AB717/39.3701</f>
      </c>
      <c r="AG717" s="7">
        <f>AC717/39.3701</f>
      </c>
      <c r="AH717" s="7">
        <f>AD717/39.3701</f>
      </c>
      <c r="AI717" s="1"/>
      <c r="AJ717" s="1"/>
      <c r="AK717" s="1"/>
      <c r="AL717" s="1"/>
      <c r="AM717" s="2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</row>
    <row x14ac:dyDescent="0.25" r="718" customHeight="1" ht="18.75">
      <c r="A718" s="1"/>
      <c r="B718" s="2"/>
      <c r="C718" s="2"/>
      <c r="D718" s="2"/>
      <c r="E718" s="2"/>
      <c r="F718" s="2"/>
      <c r="G718" s="1"/>
      <c r="H718" s="1"/>
      <c r="I718" s="7">
        <v>0.715</v>
      </c>
      <c r="J718" s="7">
        <f>IF((I718-ROUNDDOWN(I718,0))=0, 0, (I718-ROUNDDOWN(I718,0)))</f>
      </c>
      <c r="K718" s="7">
        <f>INDIRECT("C$"&amp;2+MIN(2,ROUNDDOWN(I718,0))*3)*(-$J718^3+3*$J718^2-3*$J718+1)+INDIRECT("C$"&amp;3+MIN(2,ROUNDDOWN(I718,0))*3)*(3*$J718^3-6*$J718^2+3*$J718)+INDIRECT("C$"&amp;4+MIN(2,ROUNDDOWN(I718,0))*3)*(-3*$J718^3+3*$J718^2)+INDIRECT("C$"&amp;5+MIN(2,ROUNDDOWN(I718,0))*3)*$J718^3</f>
      </c>
      <c r="L718" s="7">
        <f>INDIRECT("D$"&amp;2+MIN(2,ROUNDDOWN(I718,0))*3)*(-$J718^3+3*$J718^2-3*$J718+1)+INDIRECT("D$"&amp;3+MIN(2,ROUNDDOWN(I718,0))*3)*(3*$J718^3-6*$J718^2+3*$J718)+INDIRECT("D$"&amp;4+MIN(2,ROUNDDOWN(I718,0))*3)*(-3*$J718^3+3*$J718^2)+INDIRECT("D$"&amp;5+MIN(2,ROUNDDOWN(I718,0))*3)*$J718^3</f>
      </c>
      <c r="M718" s="7">
        <f>SQRT(K718^2+L718^2)</f>
      </c>
      <c r="N718" s="7">
        <f>(K719-K717)</f>
      </c>
      <c r="O718" s="7">
        <f>+(L719-L717)</f>
      </c>
      <c r="P718" s="7">
        <f>SQRT(O718^2+N718^2)</f>
      </c>
      <c r="Q718" s="7">
        <f>N718/$P718</f>
      </c>
      <c r="R718" s="7">
        <f>O718/$P718</f>
      </c>
      <c r="S718" s="7">
        <f>Q718^2+R718^2</f>
      </c>
      <c r="T718" s="7">
        <f>-R718</f>
      </c>
      <c r="U718" s="7">
        <f>Q718</f>
      </c>
      <c r="V718" s="7">
        <f>($C$14+($C$15-$C$14)/($D$15-$D$14)*(I718-$D$14))/2</f>
      </c>
      <c r="W718" s="7">
        <f>($B$22*I718^4+$C$22*I718^3+$D$22*I718^2+$E$22*I718+$F$22)/2</f>
      </c>
      <c r="X718" s="7">
        <f>($W718)*(T718)</f>
      </c>
      <c r="Y718" s="7">
        <f>($W718)*(U718)</f>
      </c>
      <c r="Z718" s="7">
        <f>SQRT(X718^2+Y718^2)</f>
      </c>
      <c r="AA718" s="7">
        <f>$K718+$X718</f>
      </c>
      <c r="AB718" s="7">
        <f>$L718+$Y718</f>
      </c>
      <c r="AC718" s="7">
        <f>$K718-$X718</f>
      </c>
      <c r="AD718" s="7">
        <f>$L718-$Y718</f>
      </c>
      <c r="AE718" s="7">
        <f>AA718/39.3701</f>
      </c>
      <c r="AF718" s="7">
        <f>AB718/39.3701</f>
      </c>
      <c r="AG718" s="7">
        <f>AC718/39.3701</f>
      </c>
      <c r="AH718" s="7">
        <f>AD718/39.3701</f>
      </c>
      <c r="AI718" s="1"/>
      <c r="AJ718" s="1"/>
      <c r="AK718" s="1"/>
      <c r="AL718" s="1"/>
      <c r="AM718" s="2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</row>
    <row x14ac:dyDescent="0.25" r="719" customHeight="1" ht="18.75">
      <c r="A719" s="1"/>
      <c r="B719" s="2"/>
      <c r="C719" s="2"/>
      <c r="D719" s="2"/>
      <c r="E719" s="2"/>
      <c r="F719" s="2"/>
      <c r="G719" s="1"/>
      <c r="H719" s="1"/>
      <c r="I719" s="7">
        <v>0.716</v>
      </c>
      <c r="J719" s="7">
        <f>IF((I719-ROUNDDOWN(I719,0))=0, 0, (I719-ROUNDDOWN(I719,0)))</f>
      </c>
      <c r="K719" s="7">
        <f>INDIRECT("C$"&amp;2+MIN(2,ROUNDDOWN(I719,0))*3)*(-$J719^3+3*$J719^2-3*$J719+1)+INDIRECT("C$"&amp;3+MIN(2,ROUNDDOWN(I719,0))*3)*(3*$J719^3-6*$J719^2+3*$J719)+INDIRECT("C$"&amp;4+MIN(2,ROUNDDOWN(I719,0))*3)*(-3*$J719^3+3*$J719^2)+INDIRECT("C$"&amp;5+MIN(2,ROUNDDOWN(I719,0))*3)*$J719^3</f>
      </c>
      <c r="L719" s="7">
        <f>INDIRECT("D$"&amp;2+MIN(2,ROUNDDOWN(I719,0))*3)*(-$J719^3+3*$J719^2-3*$J719+1)+INDIRECT("D$"&amp;3+MIN(2,ROUNDDOWN(I719,0))*3)*(3*$J719^3-6*$J719^2+3*$J719)+INDIRECT("D$"&amp;4+MIN(2,ROUNDDOWN(I719,0))*3)*(-3*$J719^3+3*$J719^2)+INDIRECT("D$"&amp;5+MIN(2,ROUNDDOWN(I719,0))*3)*$J719^3</f>
      </c>
      <c r="M719" s="7">
        <f>SQRT(K719^2+L719^2)</f>
      </c>
      <c r="N719" s="7">
        <f>(K720-K718)</f>
      </c>
      <c r="O719" s="7">
        <f>+(L720-L718)</f>
      </c>
      <c r="P719" s="7">
        <f>SQRT(O719^2+N719^2)</f>
      </c>
      <c r="Q719" s="7">
        <f>N719/$P719</f>
      </c>
      <c r="R719" s="7">
        <f>O719/$P719</f>
      </c>
      <c r="S719" s="8">
        <f>Q719^2+R719^2</f>
      </c>
      <c r="T719" s="7">
        <f>-R719</f>
      </c>
      <c r="U719" s="7">
        <f>Q719</f>
      </c>
      <c r="V719" s="7">
        <f>($C$14+($C$15-$C$14)/($D$15-$D$14)*(I719-$D$14))/2</f>
      </c>
      <c r="W719" s="7">
        <f>($B$22*I719^4+$C$22*I719^3+$D$22*I719^2+$E$22*I719+$F$22)/2</f>
      </c>
      <c r="X719" s="7">
        <f>($W719)*(T719)</f>
      </c>
      <c r="Y719" s="7">
        <f>($W719)*(U719)</f>
      </c>
      <c r="Z719" s="7">
        <f>SQRT(X719^2+Y719^2)</f>
      </c>
      <c r="AA719" s="7">
        <f>$K719+$X719</f>
      </c>
      <c r="AB719" s="7">
        <f>$L719+$Y719</f>
      </c>
      <c r="AC719" s="7">
        <f>$K719-$X719</f>
      </c>
      <c r="AD719" s="7">
        <f>$L719-$Y719</f>
      </c>
      <c r="AE719" s="7">
        <f>AA719/39.3701</f>
      </c>
      <c r="AF719" s="7">
        <f>AB719/39.3701</f>
      </c>
      <c r="AG719" s="7">
        <f>AC719/39.3701</f>
      </c>
      <c r="AH719" s="7">
        <f>AD719/39.3701</f>
      </c>
      <c r="AI719" s="1"/>
      <c r="AJ719" s="1"/>
      <c r="AK719" s="1"/>
      <c r="AL719" s="1"/>
      <c r="AM719" s="2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</row>
    <row x14ac:dyDescent="0.25" r="720" customHeight="1" ht="18.75">
      <c r="A720" s="1"/>
      <c r="B720" s="2"/>
      <c r="C720" s="2"/>
      <c r="D720" s="2"/>
      <c r="E720" s="2"/>
      <c r="F720" s="2"/>
      <c r="G720" s="1"/>
      <c r="H720" s="1"/>
      <c r="I720" s="7">
        <v>0.717</v>
      </c>
      <c r="J720" s="7">
        <f>IF((I720-ROUNDDOWN(I720,0))=0, 0, (I720-ROUNDDOWN(I720,0)))</f>
      </c>
      <c r="K720" s="7">
        <f>INDIRECT("C$"&amp;2+MIN(2,ROUNDDOWN(I720,0))*3)*(-$J720^3+3*$J720^2-3*$J720+1)+INDIRECT("C$"&amp;3+MIN(2,ROUNDDOWN(I720,0))*3)*(3*$J720^3-6*$J720^2+3*$J720)+INDIRECT("C$"&amp;4+MIN(2,ROUNDDOWN(I720,0))*3)*(-3*$J720^3+3*$J720^2)+INDIRECT("C$"&amp;5+MIN(2,ROUNDDOWN(I720,0))*3)*$J720^3</f>
      </c>
      <c r="L720" s="7">
        <f>INDIRECT("D$"&amp;2+MIN(2,ROUNDDOWN(I720,0))*3)*(-$J720^3+3*$J720^2-3*$J720+1)+INDIRECT("D$"&amp;3+MIN(2,ROUNDDOWN(I720,0))*3)*(3*$J720^3-6*$J720^2+3*$J720)+INDIRECT("D$"&amp;4+MIN(2,ROUNDDOWN(I720,0))*3)*(-3*$J720^3+3*$J720^2)+INDIRECT("D$"&amp;5+MIN(2,ROUNDDOWN(I720,0))*3)*$J720^3</f>
      </c>
      <c r="M720" s="7">
        <f>SQRT(K720^2+L720^2)</f>
      </c>
      <c r="N720" s="7">
        <f>(K721-K719)</f>
      </c>
      <c r="O720" s="7">
        <f>+(L721-L719)</f>
      </c>
      <c r="P720" s="7">
        <f>SQRT(O720^2+N720^2)</f>
      </c>
      <c r="Q720" s="7">
        <f>N720/$P720</f>
      </c>
      <c r="R720" s="7">
        <f>O720/$P720</f>
      </c>
      <c r="S720" s="8">
        <f>Q720^2+R720^2</f>
      </c>
      <c r="T720" s="7">
        <f>-R720</f>
      </c>
      <c r="U720" s="7">
        <f>Q720</f>
      </c>
      <c r="V720" s="7">
        <f>($C$14+($C$15-$C$14)/($D$15-$D$14)*(I720-$D$14))/2</f>
      </c>
      <c r="W720" s="7">
        <f>($B$22*I720^4+$C$22*I720^3+$D$22*I720^2+$E$22*I720+$F$22)/2</f>
      </c>
      <c r="X720" s="7">
        <f>($W720)*(T720)</f>
      </c>
      <c r="Y720" s="7">
        <f>($W720)*(U720)</f>
      </c>
      <c r="Z720" s="7">
        <f>SQRT(X720^2+Y720^2)</f>
      </c>
      <c r="AA720" s="7">
        <f>$K720+$X720</f>
      </c>
      <c r="AB720" s="7">
        <f>$L720+$Y720</f>
      </c>
      <c r="AC720" s="7">
        <f>$K720-$X720</f>
      </c>
      <c r="AD720" s="7">
        <f>$L720-$Y720</f>
      </c>
      <c r="AE720" s="7">
        <f>AA720/39.3701</f>
      </c>
      <c r="AF720" s="7">
        <f>AB720/39.3701</f>
      </c>
      <c r="AG720" s="7">
        <f>AC720/39.3701</f>
      </c>
      <c r="AH720" s="7">
        <f>AD720/39.3701</f>
      </c>
      <c r="AI720" s="1"/>
      <c r="AJ720" s="1"/>
      <c r="AK720" s="1"/>
      <c r="AL720" s="1"/>
      <c r="AM720" s="2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</row>
    <row x14ac:dyDescent="0.25" r="721" customHeight="1" ht="18.75">
      <c r="A721" s="1"/>
      <c r="B721" s="2"/>
      <c r="C721" s="2"/>
      <c r="D721" s="2"/>
      <c r="E721" s="2"/>
      <c r="F721" s="2"/>
      <c r="G721" s="1"/>
      <c r="H721" s="1"/>
      <c r="I721" s="7">
        <v>0.718</v>
      </c>
      <c r="J721" s="7">
        <f>IF((I721-ROUNDDOWN(I721,0))=0, 0, (I721-ROUNDDOWN(I721,0)))</f>
      </c>
      <c r="K721" s="7">
        <f>INDIRECT("C$"&amp;2+MIN(2,ROUNDDOWN(I721,0))*3)*(-$J721^3+3*$J721^2-3*$J721+1)+INDIRECT("C$"&amp;3+MIN(2,ROUNDDOWN(I721,0))*3)*(3*$J721^3-6*$J721^2+3*$J721)+INDIRECT("C$"&amp;4+MIN(2,ROUNDDOWN(I721,0))*3)*(-3*$J721^3+3*$J721^2)+INDIRECT("C$"&amp;5+MIN(2,ROUNDDOWN(I721,0))*3)*$J721^3</f>
      </c>
      <c r="L721" s="7">
        <f>INDIRECT("D$"&amp;2+MIN(2,ROUNDDOWN(I721,0))*3)*(-$J721^3+3*$J721^2-3*$J721+1)+INDIRECT("D$"&amp;3+MIN(2,ROUNDDOWN(I721,0))*3)*(3*$J721^3-6*$J721^2+3*$J721)+INDIRECT("D$"&amp;4+MIN(2,ROUNDDOWN(I721,0))*3)*(-3*$J721^3+3*$J721^2)+INDIRECT("D$"&amp;5+MIN(2,ROUNDDOWN(I721,0))*3)*$J721^3</f>
      </c>
      <c r="M721" s="7">
        <f>SQRT(K721^2+L721^2)</f>
      </c>
      <c r="N721" s="7">
        <f>(K722-K720)</f>
      </c>
      <c r="O721" s="7">
        <f>+(L722-L720)</f>
      </c>
      <c r="P721" s="7">
        <f>SQRT(O721^2+N721^2)</f>
      </c>
      <c r="Q721" s="7">
        <f>N721/$P721</f>
      </c>
      <c r="R721" s="7">
        <f>O721/$P721</f>
      </c>
      <c r="S721" s="8">
        <f>Q721^2+R721^2</f>
      </c>
      <c r="T721" s="7">
        <f>-R721</f>
      </c>
      <c r="U721" s="7">
        <f>Q721</f>
      </c>
      <c r="V721" s="7">
        <f>($C$14+($C$15-$C$14)/($D$15-$D$14)*(I721-$D$14))/2</f>
      </c>
      <c r="W721" s="7">
        <f>($B$22*I721^4+$C$22*I721^3+$D$22*I721^2+$E$22*I721+$F$22)/2</f>
      </c>
      <c r="X721" s="7">
        <f>($W721)*(T721)</f>
      </c>
      <c r="Y721" s="7">
        <f>($W721)*(U721)</f>
      </c>
      <c r="Z721" s="7">
        <f>SQRT(X721^2+Y721^2)</f>
      </c>
      <c r="AA721" s="7">
        <f>$K721+$X721</f>
      </c>
      <c r="AB721" s="7">
        <f>$L721+$Y721</f>
      </c>
      <c r="AC721" s="7">
        <f>$K721-$X721</f>
      </c>
      <c r="AD721" s="7">
        <f>$L721-$Y721</f>
      </c>
      <c r="AE721" s="7">
        <f>AA721/39.3701</f>
      </c>
      <c r="AF721" s="7">
        <f>AB721/39.3701</f>
      </c>
      <c r="AG721" s="7">
        <f>AC721/39.3701</f>
      </c>
      <c r="AH721" s="7">
        <f>AD721/39.3701</f>
      </c>
      <c r="AI721" s="1"/>
      <c r="AJ721" s="1"/>
      <c r="AK721" s="1"/>
      <c r="AL721" s="1"/>
      <c r="AM721" s="2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</row>
    <row x14ac:dyDescent="0.25" r="722" customHeight="1" ht="18.75">
      <c r="A722" s="1"/>
      <c r="B722" s="2"/>
      <c r="C722" s="2"/>
      <c r="D722" s="2"/>
      <c r="E722" s="2"/>
      <c r="F722" s="2"/>
      <c r="G722" s="1"/>
      <c r="H722" s="1"/>
      <c r="I722" s="7">
        <v>0.719</v>
      </c>
      <c r="J722" s="7">
        <f>IF((I722-ROUNDDOWN(I722,0))=0, 0, (I722-ROUNDDOWN(I722,0)))</f>
      </c>
      <c r="K722" s="7">
        <f>INDIRECT("C$"&amp;2+MIN(2,ROUNDDOWN(I722,0))*3)*(-$J722^3+3*$J722^2-3*$J722+1)+INDIRECT("C$"&amp;3+MIN(2,ROUNDDOWN(I722,0))*3)*(3*$J722^3-6*$J722^2+3*$J722)+INDIRECT("C$"&amp;4+MIN(2,ROUNDDOWN(I722,0))*3)*(-3*$J722^3+3*$J722^2)+INDIRECT("C$"&amp;5+MIN(2,ROUNDDOWN(I722,0))*3)*$J722^3</f>
      </c>
      <c r="L722" s="7">
        <f>INDIRECT("D$"&amp;2+MIN(2,ROUNDDOWN(I722,0))*3)*(-$J722^3+3*$J722^2-3*$J722+1)+INDIRECT("D$"&amp;3+MIN(2,ROUNDDOWN(I722,0))*3)*(3*$J722^3-6*$J722^2+3*$J722)+INDIRECT("D$"&amp;4+MIN(2,ROUNDDOWN(I722,0))*3)*(-3*$J722^3+3*$J722^2)+INDIRECT("D$"&amp;5+MIN(2,ROUNDDOWN(I722,0))*3)*$J722^3</f>
      </c>
      <c r="M722" s="7">
        <f>SQRT(K722^2+L722^2)</f>
      </c>
      <c r="N722" s="7">
        <f>(K723-K721)</f>
      </c>
      <c r="O722" s="7">
        <f>+(L723-L721)</f>
      </c>
      <c r="P722" s="7">
        <f>SQRT(O722^2+N722^2)</f>
      </c>
      <c r="Q722" s="7">
        <f>N722/$P722</f>
      </c>
      <c r="R722" s="7">
        <f>O722/$P722</f>
      </c>
      <c r="S722" s="7">
        <f>Q722^2+R722^2</f>
      </c>
      <c r="T722" s="7">
        <f>-R722</f>
      </c>
      <c r="U722" s="7">
        <f>Q722</f>
      </c>
      <c r="V722" s="7">
        <f>($C$14+($C$15-$C$14)/($D$15-$D$14)*(I722-$D$14))/2</f>
      </c>
      <c r="W722" s="7">
        <f>($B$22*I722^4+$C$22*I722^3+$D$22*I722^2+$E$22*I722+$F$22)/2</f>
      </c>
      <c r="X722" s="7">
        <f>($W722)*(T722)</f>
      </c>
      <c r="Y722" s="7">
        <f>($W722)*(U722)</f>
      </c>
      <c r="Z722" s="7">
        <f>SQRT(X722^2+Y722^2)</f>
      </c>
      <c r="AA722" s="7">
        <f>$K722+$X722</f>
      </c>
      <c r="AB722" s="7">
        <f>$L722+$Y722</f>
      </c>
      <c r="AC722" s="7">
        <f>$K722-$X722</f>
      </c>
      <c r="AD722" s="7">
        <f>$L722-$Y722</f>
      </c>
      <c r="AE722" s="7">
        <f>AA722/39.3701</f>
      </c>
      <c r="AF722" s="7">
        <f>AB722/39.3701</f>
      </c>
      <c r="AG722" s="7">
        <f>AC722/39.3701</f>
      </c>
      <c r="AH722" s="7">
        <f>AD722/39.3701</f>
      </c>
      <c r="AI722" s="1"/>
      <c r="AJ722" s="1"/>
      <c r="AK722" s="1"/>
      <c r="AL722" s="1"/>
      <c r="AM722" s="2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</row>
    <row x14ac:dyDescent="0.25" r="723" customHeight="1" ht="18.75">
      <c r="A723" s="1"/>
      <c r="B723" s="2"/>
      <c r="C723" s="2"/>
      <c r="D723" s="2"/>
      <c r="E723" s="2"/>
      <c r="F723" s="2"/>
      <c r="G723" s="1"/>
      <c r="H723" s="1"/>
      <c r="I723" s="7">
        <v>0.72</v>
      </c>
      <c r="J723" s="7">
        <f>IF((I723-ROUNDDOWN(I723,0))=0, 0, (I723-ROUNDDOWN(I723,0)))</f>
      </c>
      <c r="K723" s="7">
        <f>INDIRECT("C$"&amp;2+MIN(2,ROUNDDOWN(I723,0))*3)*(-$J723^3+3*$J723^2-3*$J723+1)+INDIRECT("C$"&amp;3+MIN(2,ROUNDDOWN(I723,0))*3)*(3*$J723^3-6*$J723^2+3*$J723)+INDIRECT("C$"&amp;4+MIN(2,ROUNDDOWN(I723,0))*3)*(-3*$J723^3+3*$J723^2)+INDIRECT("C$"&amp;5+MIN(2,ROUNDDOWN(I723,0))*3)*$J723^3</f>
      </c>
      <c r="L723" s="7">
        <f>INDIRECT("D$"&amp;2+MIN(2,ROUNDDOWN(I723,0))*3)*(-$J723^3+3*$J723^2-3*$J723+1)+INDIRECT("D$"&amp;3+MIN(2,ROUNDDOWN(I723,0))*3)*(3*$J723^3-6*$J723^2+3*$J723)+INDIRECT("D$"&amp;4+MIN(2,ROUNDDOWN(I723,0))*3)*(-3*$J723^3+3*$J723^2)+INDIRECT("D$"&amp;5+MIN(2,ROUNDDOWN(I723,0))*3)*$J723^3</f>
      </c>
      <c r="M723" s="7">
        <f>SQRT(K723^2+L723^2)</f>
      </c>
      <c r="N723" s="7">
        <f>(K724-K722)</f>
      </c>
      <c r="O723" s="7">
        <f>+(L724-L722)</f>
      </c>
      <c r="P723" s="7">
        <f>SQRT(O723^2+N723^2)</f>
      </c>
      <c r="Q723" s="7">
        <f>N723/$P723</f>
      </c>
      <c r="R723" s="7">
        <f>O723/$P723</f>
      </c>
      <c r="S723" s="8">
        <f>Q723^2+R723^2</f>
      </c>
      <c r="T723" s="7">
        <f>-R723</f>
      </c>
      <c r="U723" s="7">
        <f>Q723</f>
      </c>
      <c r="V723" s="7">
        <f>($C$14+($C$15-$C$14)/($D$15-$D$14)*(I723-$D$14))/2</f>
      </c>
      <c r="W723" s="7">
        <f>($B$22*I723^4+$C$22*I723^3+$D$22*I723^2+$E$22*I723+$F$22)/2</f>
      </c>
      <c r="X723" s="7">
        <f>($W723)*(T723)</f>
      </c>
      <c r="Y723" s="7">
        <f>($W723)*(U723)</f>
      </c>
      <c r="Z723" s="7">
        <f>SQRT(X723^2+Y723^2)</f>
      </c>
      <c r="AA723" s="7">
        <f>$K723+$X723</f>
      </c>
      <c r="AB723" s="7">
        <f>$L723+$Y723</f>
      </c>
      <c r="AC723" s="7">
        <f>$K723-$X723</f>
      </c>
      <c r="AD723" s="7">
        <f>$L723-$Y723</f>
      </c>
      <c r="AE723" s="7">
        <f>AA723/39.3701</f>
      </c>
      <c r="AF723" s="7">
        <f>AB723/39.3701</f>
      </c>
      <c r="AG723" s="7">
        <f>AC723/39.3701</f>
      </c>
      <c r="AH723" s="7">
        <f>AD723/39.3701</f>
      </c>
      <c r="AI723" s="1"/>
      <c r="AJ723" s="1"/>
      <c r="AK723" s="1"/>
      <c r="AL723" s="1"/>
      <c r="AM723" s="2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</row>
    <row x14ac:dyDescent="0.25" r="724" customHeight="1" ht="18.75">
      <c r="A724" s="1"/>
      <c r="B724" s="2"/>
      <c r="C724" s="2"/>
      <c r="D724" s="2"/>
      <c r="E724" s="2"/>
      <c r="F724" s="2"/>
      <c r="G724" s="1"/>
      <c r="H724" s="1"/>
      <c r="I724" s="7">
        <v>0.721</v>
      </c>
      <c r="J724" s="7">
        <f>IF((I724-ROUNDDOWN(I724,0))=0, 0, (I724-ROUNDDOWN(I724,0)))</f>
      </c>
      <c r="K724" s="7">
        <f>INDIRECT("C$"&amp;2+MIN(2,ROUNDDOWN(I724,0))*3)*(-$J724^3+3*$J724^2-3*$J724+1)+INDIRECT("C$"&amp;3+MIN(2,ROUNDDOWN(I724,0))*3)*(3*$J724^3-6*$J724^2+3*$J724)+INDIRECT("C$"&amp;4+MIN(2,ROUNDDOWN(I724,0))*3)*(-3*$J724^3+3*$J724^2)+INDIRECT("C$"&amp;5+MIN(2,ROUNDDOWN(I724,0))*3)*$J724^3</f>
      </c>
      <c r="L724" s="7">
        <f>INDIRECT("D$"&amp;2+MIN(2,ROUNDDOWN(I724,0))*3)*(-$J724^3+3*$J724^2-3*$J724+1)+INDIRECT("D$"&amp;3+MIN(2,ROUNDDOWN(I724,0))*3)*(3*$J724^3-6*$J724^2+3*$J724)+INDIRECT("D$"&amp;4+MIN(2,ROUNDDOWN(I724,0))*3)*(-3*$J724^3+3*$J724^2)+INDIRECT("D$"&amp;5+MIN(2,ROUNDDOWN(I724,0))*3)*$J724^3</f>
      </c>
      <c r="M724" s="7">
        <f>SQRT(K724^2+L724^2)</f>
      </c>
      <c r="N724" s="7">
        <f>(K725-K723)</f>
      </c>
      <c r="O724" s="7">
        <f>+(L725-L723)</f>
      </c>
      <c r="P724" s="7">
        <f>SQRT(O724^2+N724^2)</f>
      </c>
      <c r="Q724" s="7">
        <f>N724/$P724</f>
      </c>
      <c r="R724" s="7">
        <f>O724/$P724</f>
      </c>
      <c r="S724" s="8">
        <f>Q724^2+R724^2</f>
      </c>
      <c r="T724" s="7">
        <f>-R724</f>
      </c>
      <c r="U724" s="7">
        <f>Q724</f>
      </c>
      <c r="V724" s="7">
        <f>($C$14+($C$15-$C$14)/($D$15-$D$14)*(I724-$D$14))/2</f>
      </c>
      <c r="W724" s="7">
        <f>($B$22*I724^4+$C$22*I724^3+$D$22*I724^2+$E$22*I724+$F$22)/2</f>
      </c>
      <c r="X724" s="7">
        <f>($W724)*(T724)</f>
      </c>
      <c r="Y724" s="7">
        <f>($W724)*(U724)</f>
      </c>
      <c r="Z724" s="7">
        <f>SQRT(X724^2+Y724^2)</f>
      </c>
      <c r="AA724" s="7">
        <f>$K724+$X724</f>
      </c>
      <c r="AB724" s="7">
        <f>$L724+$Y724</f>
      </c>
      <c r="AC724" s="7">
        <f>$K724-$X724</f>
      </c>
      <c r="AD724" s="7">
        <f>$L724-$Y724</f>
      </c>
      <c r="AE724" s="7">
        <f>AA724/39.3701</f>
      </c>
      <c r="AF724" s="7">
        <f>AB724/39.3701</f>
      </c>
      <c r="AG724" s="7">
        <f>AC724/39.3701</f>
      </c>
      <c r="AH724" s="7">
        <f>AD724/39.3701</f>
      </c>
      <c r="AI724" s="1"/>
      <c r="AJ724" s="1"/>
      <c r="AK724" s="1"/>
      <c r="AL724" s="1"/>
      <c r="AM724" s="2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</row>
    <row x14ac:dyDescent="0.25" r="725" customHeight="1" ht="18.75">
      <c r="A725" s="1"/>
      <c r="B725" s="2"/>
      <c r="C725" s="2"/>
      <c r="D725" s="2"/>
      <c r="E725" s="2"/>
      <c r="F725" s="2"/>
      <c r="G725" s="1"/>
      <c r="H725" s="1"/>
      <c r="I725" s="7">
        <v>0.722</v>
      </c>
      <c r="J725" s="7">
        <f>IF((I725-ROUNDDOWN(I725,0))=0, 0, (I725-ROUNDDOWN(I725,0)))</f>
      </c>
      <c r="K725" s="7">
        <f>INDIRECT("C$"&amp;2+MIN(2,ROUNDDOWN(I725,0))*3)*(-$J725^3+3*$J725^2-3*$J725+1)+INDIRECT("C$"&amp;3+MIN(2,ROUNDDOWN(I725,0))*3)*(3*$J725^3-6*$J725^2+3*$J725)+INDIRECT("C$"&amp;4+MIN(2,ROUNDDOWN(I725,0))*3)*(-3*$J725^3+3*$J725^2)+INDIRECT("C$"&amp;5+MIN(2,ROUNDDOWN(I725,0))*3)*$J725^3</f>
      </c>
      <c r="L725" s="7">
        <f>INDIRECT("D$"&amp;2+MIN(2,ROUNDDOWN(I725,0))*3)*(-$J725^3+3*$J725^2-3*$J725+1)+INDIRECT("D$"&amp;3+MIN(2,ROUNDDOWN(I725,0))*3)*(3*$J725^3-6*$J725^2+3*$J725)+INDIRECT("D$"&amp;4+MIN(2,ROUNDDOWN(I725,0))*3)*(-3*$J725^3+3*$J725^2)+INDIRECT("D$"&amp;5+MIN(2,ROUNDDOWN(I725,0))*3)*$J725^3</f>
      </c>
      <c r="M725" s="7">
        <f>SQRT(K725^2+L725^2)</f>
      </c>
      <c r="N725" s="7">
        <f>(K726-K724)</f>
      </c>
      <c r="O725" s="7">
        <f>+(L726-L724)</f>
      </c>
      <c r="P725" s="7">
        <f>SQRT(O725^2+N725^2)</f>
      </c>
      <c r="Q725" s="7">
        <f>N725/$P725</f>
      </c>
      <c r="R725" s="7">
        <f>O725/$P725</f>
      </c>
      <c r="S725" s="7">
        <f>Q725^2+R725^2</f>
      </c>
      <c r="T725" s="7">
        <f>-R725</f>
      </c>
      <c r="U725" s="7">
        <f>Q725</f>
      </c>
      <c r="V725" s="7">
        <f>($C$14+($C$15-$C$14)/($D$15-$D$14)*(I725-$D$14))/2</f>
      </c>
      <c r="W725" s="7">
        <f>($B$22*I725^4+$C$22*I725^3+$D$22*I725^2+$E$22*I725+$F$22)/2</f>
      </c>
      <c r="X725" s="7">
        <f>($W725)*(T725)</f>
      </c>
      <c r="Y725" s="7">
        <f>($W725)*(U725)</f>
      </c>
      <c r="Z725" s="7">
        <f>SQRT(X725^2+Y725^2)</f>
      </c>
      <c r="AA725" s="7">
        <f>$K725+$X725</f>
      </c>
      <c r="AB725" s="7">
        <f>$L725+$Y725</f>
      </c>
      <c r="AC725" s="7">
        <f>$K725-$X725</f>
      </c>
      <c r="AD725" s="7">
        <f>$L725-$Y725</f>
      </c>
      <c r="AE725" s="7">
        <f>AA725/39.3701</f>
      </c>
      <c r="AF725" s="7">
        <f>AB725/39.3701</f>
      </c>
      <c r="AG725" s="7">
        <f>AC725/39.3701</f>
      </c>
      <c r="AH725" s="7">
        <f>AD725/39.3701</f>
      </c>
      <c r="AI725" s="1"/>
      <c r="AJ725" s="1"/>
      <c r="AK725" s="1"/>
      <c r="AL725" s="1"/>
      <c r="AM725" s="2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</row>
    <row x14ac:dyDescent="0.25" r="726" customHeight="1" ht="18.75">
      <c r="A726" s="1"/>
      <c r="B726" s="2"/>
      <c r="C726" s="2"/>
      <c r="D726" s="2"/>
      <c r="E726" s="2"/>
      <c r="F726" s="2"/>
      <c r="G726" s="1"/>
      <c r="H726" s="1"/>
      <c r="I726" s="7">
        <v>0.723</v>
      </c>
      <c r="J726" s="7">
        <f>IF((I726-ROUNDDOWN(I726,0))=0, 0, (I726-ROUNDDOWN(I726,0)))</f>
      </c>
      <c r="K726" s="7">
        <f>INDIRECT("C$"&amp;2+MIN(2,ROUNDDOWN(I726,0))*3)*(-$J726^3+3*$J726^2-3*$J726+1)+INDIRECT("C$"&amp;3+MIN(2,ROUNDDOWN(I726,0))*3)*(3*$J726^3-6*$J726^2+3*$J726)+INDIRECT("C$"&amp;4+MIN(2,ROUNDDOWN(I726,0))*3)*(-3*$J726^3+3*$J726^2)+INDIRECT("C$"&amp;5+MIN(2,ROUNDDOWN(I726,0))*3)*$J726^3</f>
      </c>
      <c r="L726" s="7">
        <f>INDIRECT("D$"&amp;2+MIN(2,ROUNDDOWN(I726,0))*3)*(-$J726^3+3*$J726^2-3*$J726+1)+INDIRECT("D$"&amp;3+MIN(2,ROUNDDOWN(I726,0))*3)*(3*$J726^3-6*$J726^2+3*$J726)+INDIRECT("D$"&amp;4+MIN(2,ROUNDDOWN(I726,0))*3)*(-3*$J726^3+3*$J726^2)+INDIRECT("D$"&amp;5+MIN(2,ROUNDDOWN(I726,0))*3)*$J726^3</f>
      </c>
      <c r="M726" s="7">
        <f>SQRT(K726^2+L726^2)</f>
      </c>
      <c r="N726" s="7">
        <f>(K727-K725)</f>
      </c>
      <c r="O726" s="7">
        <f>+(L727-L725)</f>
      </c>
      <c r="P726" s="7">
        <f>SQRT(O726^2+N726^2)</f>
      </c>
      <c r="Q726" s="7">
        <f>N726/$P726</f>
      </c>
      <c r="R726" s="7">
        <f>O726/$P726</f>
      </c>
      <c r="S726" s="7">
        <f>Q726^2+R726^2</f>
      </c>
      <c r="T726" s="7">
        <f>-R726</f>
      </c>
      <c r="U726" s="7">
        <f>Q726</f>
      </c>
      <c r="V726" s="7">
        <f>($C$14+($C$15-$C$14)/($D$15-$D$14)*(I726-$D$14))/2</f>
      </c>
      <c r="W726" s="7">
        <f>($B$22*I726^4+$C$22*I726^3+$D$22*I726^2+$E$22*I726+$F$22)/2</f>
      </c>
      <c r="X726" s="7">
        <f>($W726)*(T726)</f>
      </c>
      <c r="Y726" s="7">
        <f>($W726)*(U726)</f>
      </c>
      <c r="Z726" s="7">
        <f>SQRT(X726^2+Y726^2)</f>
      </c>
      <c r="AA726" s="7">
        <f>$K726+$X726</f>
      </c>
      <c r="AB726" s="7">
        <f>$L726+$Y726</f>
      </c>
      <c r="AC726" s="7">
        <f>$K726-$X726</f>
      </c>
      <c r="AD726" s="7">
        <f>$L726-$Y726</f>
      </c>
      <c r="AE726" s="7">
        <f>AA726/39.3701</f>
      </c>
      <c r="AF726" s="7">
        <f>AB726/39.3701</f>
      </c>
      <c r="AG726" s="7">
        <f>AC726/39.3701</f>
      </c>
      <c r="AH726" s="7">
        <f>AD726/39.3701</f>
      </c>
      <c r="AI726" s="1"/>
      <c r="AJ726" s="1"/>
      <c r="AK726" s="1"/>
      <c r="AL726" s="1"/>
      <c r="AM726" s="2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</row>
    <row x14ac:dyDescent="0.25" r="727" customHeight="1" ht="18.75">
      <c r="A727" s="1"/>
      <c r="B727" s="2"/>
      <c r="C727" s="2"/>
      <c r="D727" s="2"/>
      <c r="E727" s="2"/>
      <c r="F727" s="2"/>
      <c r="G727" s="1"/>
      <c r="H727" s="1"/>
      <c r="I727" s="7">
        <v>0.724</v>
      </c>
      <c r="J727" s="7">
        <f>IF((I727-ROUNDDOWN(I727,0))=0, 0, (I727-ROUNDDOWN(I727,0)))</f>
      </c>
      <c r="K727" s="7">
        <f>INDIRECT("C$"&amp;2+MIN(2,ROUNDDOWN(I727,0))*3)*(-$J727^3+3*$J727^2-3*$J727+1)+INDIRECT("C$"&amp;3+MIN(2,ROUNDDOWN(I727,0))*3)*(3*$J727^3-6*$J727^2+3*$J727)+INDIRECT("C$"&amp;4+MIN(2,ROUNDDOWN(I727,0))*3)*(-3*$J727^3+3*$J727^2)+INDIRECT("C$"&amp;5+MIN(2,ROUNDDOWN(I727,0))*3)*$J727^3</f>
      </c>
      <c r="L727" s="7">
        <f>INDIRECT("D$"&amp;2+MIN(2,ROUNDDOWN(I727,0))*3)*(-$J727^3+3*$J727^2-3*$J727+1)+INDIRECT("D$"&amp;3+MIN(2,ROUNDDOWN(I727,0))*3)*(3*$J727^3-6*$J727^2+3*$J727)+INDIRECT("D$"&amp;4+MIN(2,ROUNDDOWN(I727,0))*3)*(-3*$J727^3+3*$J727^2)+INDIRECT("D$"&amp;5+MIN(2,ROUNDDOWN(I727,0))*3)*$J727^3</f>
      </c>
      <c r="M727" s="7">
        <f>SQRT(K727^2+L727^2)</f>
      </c>
      <c r="N727" s="7">
        <f>(K728-K726)</f>
      </c>
      <c r="O727" s="7">
        <f>+(L728-L726)</f>
      </c>
      <c r="P727" s="7">
        <f>SQRT(O727^2+N727^2)</f>
      </c>
      <c r="Q727" s="7">
        <f>N727/$P727</f>
      </c>
      <c r="R727" s="7">
        <f>O727/$P727</f>
      </c>
      <c r="S727" s="7">
        <f>Q727^2+R727^2</f>
      </c>
      <c r="T727" s="7">
        <f>-R727</f>
      </c>
      <c r="U727" s="7">
        <f>Q727</f>
      </c>
      <c r="V727" s="7">
        <f>($C$14+($C$15-$C$14)/($D$15-$D$14)*(I727-$D$14))/2</f>
      </c>
      <c r="W727" s="7">
        <f>($B$22*I727^4+$C$22*I727^3+$D$22*I727^2+$E$22*I727+$F$22)/2</f>
      </c>
      <c r="X727" s="7">
        <f>($W727)*(T727)</f>
      </c>
      <c r="Y727" s="7">
        <f>($W727)*(U727)</f>
      </c>
      <c r="Z727" s="7">
        <f>SQRT(X727^2+Y727^2)</f>
      </c>
      <c r="AA727" s="7">
        <f>$K727+$X727</f>
      </c>
      <c r="AB727" s="7">
        <f>$L727+$Y727</f>
      </c>
      <c r="AC727" s="7">
        <f>$K727-$X727</f>
      </c>
      <c r="AD727" s="7">
        <f>$L727-$Y727</f>
      </c>
      <c r="AE727" s="7">
        <f>AA727/39.3701</f>
      </c>
      <c r="AF727" s="7">
        <f>AB727/39.3701</f>
      </c>
      <c r="AG727" s="7">
        <f>AC727/39.3701</f>
      </c>
      <c r="AH727" s="7">
        <f>AD727/39.3701</f>
      </c>
      <c r="AI727" s="1"/>
      <c r="AJ727" s="1"/>
      <c r="AK727" s="1"/>
      <c r="AL727" s="1"/>
      <c r="AM727" s="2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</row>
    <row x14ac:dyDescent="0.25" r="728" customHeight="1" ht="18.75">
      <c r="A728" s="1"/>
      <c r="B728" s="2"/>
      <c r="C728" s="2"/>
      <c r="D728" s="2"/>
      <c r="E728" s="2"/>
      <c r="F728" s="2"/>
      <c r="G728" s="1"/>
      <c r="H728" s="1"/>
      <c r="I728" s="7">
        <v>0.725</v>
      </c>
      <c r="J728" s="7">
        <f>IF((I728-ROUNDDOWN(I728,0))=0, 0, (I728-ROUNDDOWN(I728,0)))</f>
      </c>
      <c r="K728" s="7">
        <f>INDIRECT("C$"&amp;2+MIN(2,ROUNDDOWN(I728,0))*3)*(-$J728^3+3*$J728^2-3*$J728+1)+INDIRECT("C$"&amp;3+MIN(2,ROUNDDOWN(I728,0))*3)*(3*$J728^3-6*$J728^2+3*$J728)+INDIRECT("C$"&amp;4+MIN(2,ROUNDDOWN(I728,0))*3)*(-3*$J728^3+3*$J728^2)+INDIRECT("C$"&amp;5+MIN(2,ROUNDDOWN(I728,0))*3)*$J728^3</f>
      </c>
      <c r="L728" s="7">
        <f>INDIRECT("D$"&amp;2+MIN(2,ROUNDDOWN(I728,0))*3)*(-$J728^3+3*$J728^2-3*$J728+1)+INDIRECT("D$"&amp;3+MIN(2,ROUNDDOWN(I728,0))*3)*(3*$J728^3-6*$J728^2+3*$J728)+INDIRECT("D$"&amp;4+MIN(2,ROUNDDOWN(I728,0))*3)*(-3*$J728^3+3*$J728^2)+INDIRECT("D$"&amp;5+MIN(2,ROUNDDOWN(I728,0))*3)*$J728^3</f>
      </c>
      <c r="M728" s="7">
        <f>SQRT(K728^2+L728^2)</f>
      </c>
      <c r="N728" s="7">
        <f>(K729-K727)</f>
      </c>
      <c r="O728" s="7">
        <f>+(L729-L727)</f>
      </c>
      <c r="P728" s="7">
        <f>SQRT(O728^2+N728^2)</f>
      </c>
      <c r="Q728" s="7">
        <f>N728/$P728</f>
      </c>
      <c r="R728" s="7">
        <f>O728/$P728</f>
      </c>
      <c r="S728" s="7">
        <f>Q728^2+R728^2</f>
      </c>
      <c r="T728" s="7">
        <f>-R728</f>
      </c>
      <c r="U728" s="7">
        <f>Q728</f>
      </c>
      <c r="V728" s="7">
        <f>($C$14+($C$15-$C$14)/($D$15-$D$14)*(I728-$D$14))/2</f>
      </c>
      <c r="W728" s="7">
        <f>($B$22*I728^4+$C$22*I728^3+$D$22*I728^2+$E$22*I728+$F$22)/2</f>
      </c>
      <c r="X728" s="7">
        <f>($W728)*(T728)</f>
      </c>
      <c r="Y728" s="7">
        <f>($W728)*(U728)</f>
      </c>
      <c r="Z728" s="7">
        <f>SQRT(X728^2+Y728^2)</f>
      </c>
      <c r="AA728" s="7">
        <f>$K728+$X728</f>
      </c>
      <c r="AB728" s="7">
        <f>$L728+$Y728</f>
      </c>
      <c r="AC728" s="7">
        <f>$K728-$X728</f>
      </c>
      <c r="AD728" s="7">
        <f>$L728-$Y728</f>
      </c>
      <c r="AE728" s="7">
        <f>AA728/39.3701</f>
      </c>
      <c r="AF728" s="7">
        <f>AB728/39.3701</f>
      </c>
      <c r="AG728" s="7">
        <f>AC728/39.3701</f>
      </c>
      <c r="AH728" s="7">
        <f>AD728/39.3701</f>
      </c>
      <c r="AI728" s="1"/>
      <c r="AJ728" s="1"/>
      <c r="AK728" s="1"/>
      <c r="AL728" s="1"/>
      <c r="AM728" s="2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</row>
    <row x14ac:dyDescent="0.25" r="729" customHeight="1" ht="18.75">
      <c r="A729" s="1"/>
      <c r="B729" s="2"/>
      <c r="C729" s="2"/>
      <c r="D729" s="2"/>
      <c r="E729" s="2"/>
      <c r="F729" s="2"/>
      <c r="G729" s="1"/>
      <c r="H729" s="1"/>
      <c r="I729" s="7">
        <v>0.726</v>
      </c>
      <c r="J729" s="7">
        <f>IF((I729-ROUNDDOWN(I729,0))=0, 0, (I729-ROUNDDOWN(I729,0)))</f>
      </c>
      <c r="K729" s="7">
        <f>INDIRECT("C$"&amp;2+MIN(2,ROUNDDOWN(I729,0))*3)*(-$J729^3+3*$J729^2-3*$J729+1)+INDIRECT("C$"&amp;3+MIN(2,ROUNDDOWN(I729,0))*3)*(3*$J729^3-6*$J729^2+3*$J729)+INDIRECT("C$"&amp;4+MIN(2,ROUNDDOWN(I729,0))*3)*(-3*$J729^3+3*$J729^2)+INDIRECT("C$"&amp;5+MIN(2,ROUNDDOWN(I729,0))*3)*$J729^3</f>
      </c>
      <c r="L729" s="7">
        <f>INDIRECT("D$"&amp;2+MIN(2,ROUNDDOWN(I729,0))*3)*(-$J729^3+3*$J729^2-3*$J729+1)+INDIRECT("D$"&amp;3+MIN(2,ROUNDDOWN(I729,0))*3)*(3*$J729^3-6*$J729^2+3*$J729)+INDIRECT("D$"&amp;4+MIN(2,ROUNDDOWN(I729,0))*3)*(-3*$J729^3+3*$J729^2)+INDIRECT("D$"&amp;5+MIN(2,ROUNDDOWN(I729,0))*3)*$J729^3</f>
      </c>
      <c r="M729" s="7">
        <f>SQRT(K729^2+L729^2)</f>
      </c>
      <c r="N729" s="7">
        <f>(K730-K728)</f>
      </c>
      <c r="O729" s="7">
        <f>+(L730-L728)</f>
      </c>
      <c r="P729" s="7">
        <f>SQRT(O729^2+N729^2)</f>
      </c>
      <c r="Q729" s="7">
        <f>N729/$P729</f>
      </c>
      <c r="R729" s="7">
        <f>O729/$P729</f>
      </c>
      <c r="S729" s="8">
        <f>Q729^2+R729^2</f>
      </c>
      <c r="T729" s="7">
        <f>-R729</f>
      </c>
      <c r="U729" s="7">
        <f>Q729</f>
      </c>
      <c r="V729" s="7">
        <f>($C$14+($C$15-$C$14)/($D$15-$D$14)*(I729-$D$14))/2</f>
      </c>
      <c r="W729" s="7">
        <f>($B$22*I729^4+$C$22*I729^3+$D$22*I729^2+$E$22*I729+$F$22)/2</f>
      </c>
      <c r="X729" s="7">
        <f>($W729)*(T729)</f>
      </c>
      <c r="Y729" s="7">
        <f>($W729)*(U729)</f>
      </c>
      <c r="Z729" s="7">
        <f>SQRT(X729^2+Y729^2)</f>
      </c>
      <c r="AA729" s="7">
        <f>$K729+$X729</f>
      </c>
      <c r="AB729" s="7">
        <f>$L729+$Y729</f>
      </c>
      <c r="AC729" s="7">
        <f>$K729-$X729</f>
      </c>
      <c r="AD729" s="7">
        <f>$L729-$Y729</f>
      </c>
      <c r="AE729" s="7">
        <f>AA729/39.3701</f>
      </c>
      <c r="AF729" s="7">
        <f>AB729/39.3701</f>
      </c>
      <c r="AG729" s="7">
        <f>AC729/39.3701</f>
      </c>
      <c r="AH729" s="7">
        <f>AD729/39.3701</f>
      </c>
      <c r="AI729" s="1"/>
      <c r="AJ729" s="1"/>
      <c r="AK729" s="1"/>
      <c r="AL729" s="1"/>
      <c r="AM729" s="2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</row>
    <row x14ac:dyDescent="0.25" r="730" customHeight="1" ht="18.75">
      <c r="A730" s="1"/>
      <c r="B730" s="2"/>
      <c r="C730" s="2"/>
      <c r="D730" s="2"/>
      <c r="E730" s="2"/>
      <c r="F730" s="2"/>
      <c r="G730" s="1"/>
      <c r="H730" s="1"/>
      <c r="I730" s="7">
        <v>0.727</v>
      </c>
      <c r="J730" s="7">
        <f>IF((I730-ROUNDDOWN(I730,0))=0, 0, (I730-ROUNDDOWN(I730,0)))</f>
      </c>
      <c r="K730" s="7">
        <f>INDIRECT("C$"&amp;2+MIN(2,ROUNDDOWN(I730,0))*3)*(-$J730^3+3*$J730^2-3*$J730+1)+INDIRECT("C$"&amp;3+MIN(2,ROUNDDOWN(I730,0))*3)*(3*$J730^3-6*$J730^2+3*$J730)+INDIRECT("C$"&amp;4+MIN(2,ROUNDDOWN(I730,0))*3)*(-3*$J730^3+3*$J730^2)+INDIRECT("C$"&amp;5+MIN(2,ROUNDDOWN(I730,0))*3)*$J730^3</f>
      </c>
      <c r="L730" s="7">
        <f>INDIRECT("D$"&amp;2+MIN(2,ROUNDDOWN(I730,0))*3)*(-$J730^3+3*$J730^2-3*$J730+1)+INDIRECT("D$"&amp;3+MIN(2,ROUNDDOWN(I730,0))*3)*(3*$J730^3-6*$J730^2+3*$J730)+INDIRECT("D$"&amp;4+MIN(2,ROUNDDOWN(I730,0))*3)*(-3*$J730^3+3*$J730^2)+INDIRECT("D$"&amp;5+MIN(2,ROUNDDOWN(I730,0))*3)*$J730^3</f>
      </c>
      <c r="M730" s="7">
        <f>SQRT(K730^2+L730^2)</f>
      </c>
      <c r="N730" s="7">
        <f>(K731-K729)</f>
      </c>
      <c r="O730" s="7">
        <f>+(L731-L729)</f>
      </c>
      <c r="P730" s="7">
        <f>SQRT(O730^2+N730^2)</f>
      </c>
      <c r="Q730" s="7">
        <f>N730/$P730</f>
      </c>
      <c r="R730" s="7">
        <f>O730/$P730</f>
      </c>
      <c r="S730" s="8">
        <f>Q730^2+R730^2</f>
      </c>
      <c r="T730" s="7">
        <f>-R730</f>
      </c>
      <c r="U730" s="7">
        <f>Q730</f>
      </c>
      <c r="V730" s="7">
        <f>($C$14+($C$15-$C$14)/($D$15-$D$14)*(I730-$D$14))/2</f>
      </c>
      <c r="W730" s="7">
        <f>($B$22*I730^4+$C$22*I730^3+$D$22*I730^2+$E$22*I730+$F$22)/2</f>
      </c>
      <c r="X730" s="7">
        <f>($W730)*(T730)</f>
      </c>
      <c r="Y730" s="7">
        <f>($W730)*(U730)</f>
      </c>
      <c r="Z730" s="7">
        <f>SQRT(X730^2+Y730^2)</f>
      </c>
      <c r="AA730" s="7">
        <f>$K730+$X730</f>
      </c>
      <c r="AB730" s="7">
        <f>$L730+$Y730</f>
      </c>
      <c r="AC730" s="7">
        <f>$K730-$X730</f>
      </c>
      <c r="AD730" s="7">
        <f>$L730-$Y730</f>
      </c>
      <c r="AE730" s="7">
        <f>AA730/39.3701</f>
      </c>
      <c r="AF730" s="7">
        <f>AB730/39.3701</f>
      </c>
      <c r="AG730" s="7">
        <f>AC730/39.3701</f>
      </c>
      <c r="AH730" s="7">
        <f>AD730/39.3701</f>
      </c>
      <c r="AI730" s="1"/>
      <c r="AJ730" s="1"/>
      <c r="AK730" s="1"/>
      <c r="AL730" s="1"/>
      <c r="AM730" s="2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</row>
    <row x14ac:dyDescent="0.25" r="731" customHeight="1" ht="18.75">
      <c r="A731" s="1"/>
      <c r="B731" s="2"/>
      <c r="C731" s="2"/>
      <c r="D731" s="2"/>
      <c r="E731" s="2"/>
      <c r="F731" s="2"/>
      <c r="G731" s="1"/>
      <c r="H731" s="1"/>
      <c r="I731" s="7">
        <v>0.728</v>
      </c>
      <c r="J731" s="7">
        <f>IF((I731-ROUNDDOWN(I731,0))=0, 0, (I731-ROUNDDOWN(I731,0)))</f>
      </c>
      <c r="K731" s="7">
        <f>INDIRECT("C$"&amp;2+MIN(2,ROUNDDOWN(I731,0))*3)*(-$J731^3+3*$J731^2-3*$J731+1)+INDIRECT("C$"&amp;3+MIN(2,ROUNDDOWN(I731,0))*3)*(3*$J731^3-6*$J731^2+3*$J731)+INDIRECT("C$"&amp;4+MIN(2,ROUNDDOWN(I731,0))*3)*(-3*$J731^3+3*$J731^2)+INDIRECT("C$"&amp;5+MIN(2,ROUNDDOWN(I731,0))*3)*$J731^3</f>
      </c>
      <c r="L731" s="7">
        <f>INDIRECT("D$"&amp;2+MIN(2,ROUNDDOWN(I731,0))*3)*(-$J731^3+3*$J731^2-3*$J731+1)+INDIRECT("D$"&amp;3+MIN(2,ROUNDDOWN(I731,0))*3)*(3*$J731^3-6*$J731^2+3*$J731)+INDIRECT("D$"&amp;4+MIN(2,ROUNDDOWN(I731,0))*3)*(-3*$J731^3+3*$J731^2)+INDIRECT("D$"&amp;5+MIN(2,ROUNDDOWN(I731,0))*3)*$J731^3</f>
      </c>
      <c r="M731" s="7">
        <f>SQRT(K731^2+L731^2)</f>
      </c>
      <c r="N731" s="7">
        <f>(K732-K730)</f>
      </c>
      <c r="O731" s="7">
        <f>+(L732-L730)</f>
      </c>
      <c r="P731" s="7">
        <f>SQRT(O731^2+N731^2)</f>
      </c>
      <c r="Q731" s="7">
        <f>N731/$P731</f>
      </c>
      <c r="R731" s="7">
        <f>O731/$P731</f>
      </c>
      <c r="S731" s="7">
        <f>Q731^2+R731^2</f>
      </c>
      <c r="T731" s="7">
        <f>-R731</f>
      </c>
      <c r="U731" s="7">
        <f>Q731</f>
      </c>
      <c r="V731" s="7">
        <f>($C$14+($C$15-$C$14)/($D$15-$D$14)*(I731-$D$14))/2</f>
      </c>
      <c r="W731" s="7">
        <f>($B$22*I731^4+$C$22*I731^3+$D$22*I731^2+$E$22*I731+$F$22)/2</f>
      </c>
      <c r="X731" s="7">
        <f>($W731)*(T731)</f>
      </c>
      <c r="Y731" s="7">
        <f>($W731)*(U731)</f>
      </c>
      <c r="Z731" s="7">
        <f>SQRT(X731^2+Y731^2)</f>
      </c>
      <c r="AA731" s="7">
        <f>$K731+$X731</f>
      </c>
      <c r="AB731" s="7">
        <f>$L731+$Y731</f>
      </c>
      <c r="AC731" s="7">
        <f>$K731-$X731</f>
      </c>
      <c r="AD731" s="7">
        <f>$L731-$Y731</f>
      </c>
      <c r="AE731" s="7">
        <f>AA731/39.3701</f>
      </c>
      <c r="AF731" s="7">
        <f>AB731/39.3701</f>
      </c>
      <c r="AG731" s="7">
        <f>AC731/39.3701</f>
      </c>
      <c r="AH731" s="7">
        <f>AD731/39.3701</f>
      </c>
      <c r="AI731" s="1"/>
      <c r="AJ731" s="1"/>
      <c r="AK731" s="1"/>
      <c r="AL731" s="1"/>
      <c r="AM731" s="2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</row>
    <row x14ac:dyDescent="0.25" r="732" customHeight="1" ht="18.75">
      <c r="A732" s="1"/>
      <c r="B732" s="2"/>
      <c r="C732" s="2"/>
      <c r="D732" s="2"/>
      <c r="E732" s="2"/>
      <c r="F732" s="2"/>
      <c r="G732" s="1"/>
      <c r="H732" s="1"/>
      <c r="I732" s="7">
        <v>0.729</v>
      </c>
      <c r="J732" s="7">
        <f>IF((I732-ROUNDDOWN(I732,0))=0, 0, (I732-ROUNDDOWN(I732,0)))</f>
      </c>
      <c r="K732" s="7">
        <f>INDIRECT("C$"&amp;2+MIN(2,ROUNDDOWN(I732,0))*3)*(-$J732^3+3*$J732^2-3*$J732+1)+INDIRECT("C$"&amp;3+MIN(2,ROUNDDOWN(I732,0))*3)*(3*$J732^3-6*$J732^2+3*$J732)+INDIRECT("C$"&amp;4+MIN(2,ROUNDDOWN(I732,0))*3)*(-3*$J732^3+3*$J732^2)+INDIRECT("C$"&amp;5+MIN(2,ROUNDDOWN(I732,0))*3)*$J732^3</f>
      </c>
      <c r="L732" s="7">
        <f>INDIRECT("D$"&amp;2+MIN(2,ROUNDDOWN(I732,0))*3)*(-$J732^3+3*$J732^2-3*$J732+1)+INDIRECT("D$"&amp;3+MIN(2,ROUNDDOWN(I732,0))*3)*(3*$J732^3-6*$J732^2+3*$J732)+INDIRECT("D$"&amp;4+MIN(2,ROUNDDOWN(I732,0))*3)*(-3*$J732^3+3*$J732^2)+INDIRECT("D$"&amp;5+MIN(2,ROUNDDOWN(I732,0))*3)*$J732^3</f>
      </c>
      <c r="M732" s="7">
        <f>SQRT(K732^2+L732^2)</f>
      </c>
      <c r="N732" s="7">
        <f>(K733-K731)</f>
      </c>
      <c r="O732" s="7">
        <f>+(L733-L731)</f>
      </c>
      <c r="P732" s="7">
        <f>SQRT(O732^2+N732^2)</f>
      </c>
      <c r="Q732" s="7">
        <f>N732/$P732</f>
      </c>
      <c r="R732" s="7">
        <f>O732/$P732</f>
      </c>
      <c r="S732" s="8">
        <f>Q732^2+R732^2</f>
      </c>
      <c r="T732" s="7">
        <f>-R732</f>
      </c>
      <c r="U732" s="7">
        <f>Q732</f>
      </c>
      <c r="V732" s="7">
        <f>($C$14+($C$15-$C$14)/($D$15-$D$14)*(I732-$D$14))/2</f>
      </c>
      <c r="W732" s="7">
        <f>($B$22*I732^4+$C$22*I732^3+$D$22*I732^2+$E$22*I732+$F$22)/2</f>
      </c>
      <c r="X732" s="7">
        <f>($W732)*(T732)</f>
      </c>
      <c r="Y732" s="7">
        <f>($W732)*(U732)</f>
      </c>
      <c r="Z732" s="7">
        <f>SQRT(X732^2+Y732^2)</f>
      </c>
      <c r="AA732" s="7">
        <f>$K732+$X732</f>
      </c>
      <c r="AB732" s="7">
        <f>$L732+$Y732</f>
      </c>
      <c r="AC732" s="7">
        <f>$K732-$X732</f>
      </c>
      <c r="AD732" s="7">
        <f>$L732-$Y732</f>
      </c>
      <c r="AE732" s="7">
        <f>AA732/39.3701</f>
      </c>
      <c r="AF732" s="7">
        <f>AB732/39.3701</f>
      </c>
      <c r="AG732" s="7">
        <f>AC732/39.3701</f>
      </c>
      <c r="AH732" s="7">
        <f>AD732/39.3701</f>
      </c>
      <c r="AI732" s="1"/>
      <c r="AJ732" s="1"/>
      <c r="AK732" s="1"/>
      <c r="AL732" s="1"/>
      <c r="AM732" s="2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</row>
    <row x14ac:dyDescent="0.25" r="733" customHeight="1" ht="18.75">
      <c r="A733" s="1"/>
      <c r="B733" s="2"/>
      <c r="C733" s="2"/>
      <c r="D733" s="2"/>
      <c r="E733" s="2"/>
      <c r="F733" s="2"/>
      <c r="G733" s="1"/>
      <c r="H733" s="1"/>
      <c r="I733" s="7">
        <v>0.73</v>
      </c>
      <c r="J733" s="7">
        <f>IF((I733-ROUNDDOWN(I733,0))=0, 0, (I733-ROUNDDOWN(I733,0)))</f>
      </c>
      <c r="K733" s="7">
        <f>INDIRECT("C$"&amp;2+MIN(2,ROUNDDOWN(I733,0))*3)*(-$J733^3+3*$J733^2-3*$J733+1)+INDIRECT("C$"&amp;3+MIN(2,ROUNDDOWN(I733,0))*3)*(3*$J733^3-6*$J733^2+3*$J733)+INDIRECT("C$"&amp;4+MIN(2,ROUNDDOWN(I733,0))*3)*(-3*$J733^3+3*$J733^2)+INDIRECT("C$"&amp;5+MIN(2,ROUNDDOWN(I733,0))*3)*$J733^3</f>
      </c>
      <c r="L733" s="7">
        <f>INDIRECT("D$"&amp;2+MIN(2,ROUNDDOWN(I733,0))*3)*(-$J733^3+3*$J733^2-3*$J733+1)+INDIRECT("D$"&amp;3+MIN(2,ROUNDDOWN(I733,0))*3)*(3*$J733^3-6*$J733^2+3*$J733)+INDIRECT("D$"&amp;4+MIN(2,ROUNDDOWN(I733,0))*3)*(-3*$J733^3+3*$J733^2)+INDIRECT("D$"&amp;5+MIN(2,ROUNDDOWN(I733,0))*3)*$J733^3</f>
      </c>
      <c r="M733" s="7">
        <f>SQRT(K733^2+L733^2)</f>
      </c>
      <c r="N733" s="7">
        <f>(K734-K732)</f>
      </c>
      <c r="O733" s="7">
        <f>+(L734-L732)</f>
      </c>
      <c r="P733" s="7">
        <f>SQRT(O733^2+N733^2)</f>
      </c>
      <c r="Q733" s="7">
        <f>N733/$P733</f>
      </c>
      <c r="R733" s="7">
        <f>O733/$P733</f>
      </c>
      <c r="S733" s="7">
        <f>Q733^2+R733^2</f>
      </c>
      <c r="T733" s="7">
        <f>-R733</f>
      </c>
      <c r="U733" s="7">
        <f>Q733</f>
      </c>
      <c r="V733" s="7">
        <f>($C$14+($C$15-$C$14)/($D$15-$D$14)*(I733-$D$14))/2</f>
      </c>
      <c r="W733" s="7">
        <f>($B$22*I733^4+$C$22*I733^3+$D$22*I733^2+$E$22*I733+$F$22)/2</f>
      </c>
      <c r="X733" s="7">
        <f>($W733)*(T733)</f>
      </c>
      <c r="Y733" s="7">
        <f>($W733)*(U733)</f>
      </c>
      <c r="Z733" s="7">
        <f>SQRT(X733^2+Y733^2)</f>
      </c>
      <c r="AA733" s="7">
        <f>$K733+$X733</f>
      </c>
      <c r="AB733" s="7">
        <f>$L733+$Y733</f>
      </c>
      <c r="AC733" s="7">
        <f>$K733-$X733</f>
      </c>
      <c r="AD733" s="7">
        <f>$L733-$Y733</f>
      </c>
      <c r="AE733" s="7">
        <f>AA733/39.3701</f>
      </c>
      <c r="AF733" s="7">
        <f>AB733/39.3701</f>
      </c>
      <c r="AG733" s="7">
        <f>AC733/39.3701</f>
      </c>
      <c r="AH733" s="7">
        <f>AD733/39.3701</f>
      </c>
      <c r="AI733" s="1"/>
      <c r="AJ733" s="1"/>
      <c r="AK733" s="1"/>
      <c r="AL733" s="1"/>
      <c r="AM733" s="2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</row>
    <row x14ac:dyDescent="0.25" r="734" customHeight="1" ht="18.75">
      <c r="A734" s="1"/>
      <c r="B734" s="2"/>
      <c r="C734" s="2"/>
      <c r="D734" s="2"/>
      <c r="E734" s="2"/>
      <c r="F734" s="2"/>
      <c r="G734" s="1"/>
      <c r="H734" s="1"/>
      <c r="I734" s="7">
        <v>0.731</v>
      </c>
      <c r="J734" s="7">
        <f>IF((I734-ROUNDDOWN(I734,0))=0, 0, (I734-ROUNDDOWN(I734,0)))</f>
      </c>
      <c r="K734" s="7">
        <f>INDIRECT("C$"&amp;2+MIN(2,ROUNDDOWN(I734,0))*3)*(-$J734^3+3*$J734^2-3*$J734+1)+INDIRECT("C$"&amp;3+MIN(2,ROUNDDOWN(I734,0))*3)*(3*$J734^3-6*$J734^2+3*$J734)+INDIRECT("C$"&amp;4+MIN(2,ROUNDDOWN(I734,0))*3)*(-3*$J734^3+3*$J734^2)+INDIRECT("C$"&amp;5+MIN(2,ROUNDDOWN(I734,0))*3)*$J734^3</f>
      </c>
      <c r="L734" s="7">
        <f>INDIRECT("D$"&amp;2+MIN(2,ROUNDDOWN(I734,0))*3)*(-$J734^3+3*$J734^2-3*$J734+1)+INDIRECT("D$"&amp;3+MIN(2,ROUNDDOWN(I734,0))*3)*(3*$J734^3-6*$J734^2+3*$J734)+INDIRECT("D$"&amp;4+MIN(2,ROUNDDOWN(I734,0))*3)*(-3*$J734^3+3*$J734^2)+INDIRECT("D$"&amp;5+MIN(2,ROUNDDOWN(I734,0))*3)*$J734^3</f>
      </c>
      <c r="M734" s="7">
        <f>SQRT(K734^2+L734^2)</f>
      </c>
      <c r="N734" s="7">
        <f>(K735-K733)</f>
      </c>
      <c r="O734" s="7">
        <f>+(L735-L733)</f>
      </c>
      <c r="P734" s="7">
        <f>SQRT(O734^2+N734^2)</f>
      </c>
      <c r="Q734" s="7">
        <f>N734/$P734</f>
      </c>
      <c r="R734" s="7">
        <f>O734/$P734</f>
      </c>
      <c r="S734" s="8">
        <f>Q734^2+R734^2</f>
      </c>
      <c r="T734" s="7">
        <f>-R734</f>
      </c>
      <c r="U734" s="7">
        <f>Q734</f>
      </c>
      <c r="V734" s="7">
        <f>($C$14+($C$15-$C$14)/($D$15-$D$14)*(I734-$D$14))/2</f>
      </c>
      <c r="W734" s="7">
        <f>($B$22*I734^4+$C$22*I734^3+$D$22*I734^2+$E$22*I734+$F$22)/2</f>
      </c>
      <c r="X734" s="7">
        <f>($W734)*(T734)</f>
      </c>
      <c r="Y734" s="7">
        <f>($W734)*(U734)</f>
      </c>
      <c r="Z734" s="7">
        <f>SQRT(X734^2+Y734^2)</f>
      </c>
      <c r="AA734" s="7">
        <f>$K734+$X734</f>
      </c>
      <c r="AB734" s="7">
        <f>$L734+$Y734</f>
      </c>
      <c r="AC734" s="7">
        <f>$K734-$X734</f>
      </c>
      <c r="AD734" s="7">
        <f>$L734-$Y734</f>
      </c>
      <c r="AE734" s="7">
        <f>AA734/39.3701</f>
      </c>
      <c r="AF734" s="7">
        <f>AB734/39.3701</f>
      </c>
      <c r="AG734" s="7">
        <f>AC734/39.3701</f>
      </c>
      <c r="AH734" s="7">
        <f>AD734/39.3701</f>
      </c>
      <c r="AI734" s="1"/>
      <c r="AJ734" s="1"/>
      <c r="AK734" s="1"/>
      <c r="AL734" s="1"/>
      <c r="AM734" s="2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</row>
    <row x14ac:dyDescent="0.25" r="735" customHeight="1" ht="18.75">
      <c r="A735" s="1"/>
      <c r="B735" s="2"/>
      <c r="C735" s="2"/>
      <c r="D735" s="2"/>
      <c r="E735" s="2"/>
      <c r="F735" s="2"/>
      <c r="G735" s="1"/>
      <c r="H735" s="1"/>
      <c r="I735" s="7">
        <v>0.732</v>
      </c>
      <c r="J735" s="7">
        <f>IF((I735-ROUNDDOWN(I735,0))=0, 0, (I735-ROUNDDOWN(I735,0)))</f>
      </c>
      <c r="K735" s="7">
        <f>INDIRECT("C$"&amp;2+MIN(2,ROUNDDOWN(I735,0))*3)*(-$J735^3+3*$J735^2-3*$J735+1)+INDIRECT("C$"&amp;3+MIN(2,ROUNDDOWN(I735,0))*3)*(3*$J735^3-6*$J735^2+3*$J735)+INDIRECT("C$"&amp;4+MIN(2,ROUNDDOWN(I735,0))*3)*(-3*$J735^3+3*$J735^2)+INDIRECT("C$"&amp;5+MIN(2,ROUNDDOWN(I735,0))*3)*$J735^3</f>
      </c>
      <c r="L735" s="7">
        <f>INDIRECT("D$"&amp;2+MIN(2,ROUNDDOWN(I735,0))*3)*(-$J735^3+3*$J735^2-3*$J735+1)+INDIRECT("D$"&amp;3+MIN(2,ROUNDDOWN(I735,0))*3)*(3*$J735^3-6*$J735^2+3*$J735)+INDIRECT("D$"&amp;4+MIN(2,ROUNDDOWN(I735,0))*3)*(-3*$J735^3+3*$J735^2)+INDIRECT("D$"&amp;5+MIN(2,ROUNDDOWN(I735,0))*3)*$J735^3</f>
      </c>
      <c r="M735" s="7">
        <f>SQRT(K735^2+L735^2)</f>
      </c>
      <c r="N735" s="7">
        <f>(K736-K734)</f>
      </c>
      <c r="O735" s="7">
        <f>+(L736-L734)</f>
      </c>
      <c r="P735" s="7">
        <f>SQRT(O735^2+N735^2)</f>
      </c>
      <c r="Q735" s="7">
        <f>N735/$P735</f>
      </c>
      <c r="R735" s="7">
        <f>O735/$P735</f>
      </c>
      <c r="S735" s="8">
        <f>Q735^2+R735^2</f>
      </c>
      <c r="T735" s="7">
        <f>-R735</f>
      </c>
      <c r="U735" s="7">
        <f>Q735</f>
      </c>
      <c r="V735" s="7">
        <f>($C$14+($C$15-$C$14)/($D$15-$D$14)*(I735-$D$14))/2</f>
      </c>
      <c r="W735" s="7">
        <f>($B$22*I735^4+$C$22*I735^3+$D$22*I735^2+$E$22*I735+$F$22)/2</f>
      </c>
      <c r="X735" s="7">
        <f>($W735)*(T735)</f>
      </c>
      <c r="Y735" s="7">
        <f>($W735)*(U735)</f>
      </c>
      <c r="Z735" s="7">
        <f>SQRT(X735^2+Y735^2)</f>
      </c>
      <c r="AA735" s="7">
        <f>$K735+$X735</f>
      </c>
      <c r="AB735" s="7">
        <f>$L735+$Y735</f>
      </c>
      <c r="AC735" s="7">
        <f>$K735-$X735</f>
      </c>
      <c r="AD735" s="7">
        <f>$L735-$Y735</f>
      </c>
      <c r="AE735" s="7">
        <f>AA735/39.3701</f>
      </c>
      <c r="AF735" s="7">
        <f>AB735/39.3701</f>
      </c>
      <c r="AG735" s="7">
        <f>AC735/39.3701</f>
      </c>
      <c r="AH735" s="7">
        <f>AD735/39.3701</f>
      </c>
      <c r="AI735" s="1"/>
      <c r="AJ735" s="1"/>
      <c r="AK735" s="1"/>
      <c r="AL735" s="1"/>
      <c r="AM735" s="2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</row>
    <row x14ac:dyDescent="0.25" r="736" customHeight="1" ht="18.75">
      <c r="A736" s="1"/>
      <c r="B736" s="2"/>
      <c r="C736" s="2"/>
      <c r="D736" s="2"/>
      <c r="E736" s="2"/>
      <c r="F736" s="2"/>
      <c r="G736" s="1"/>
      <c r="H736" s="1"/>
      <c r="I736" s="7">
        <v>0.733</v>
      </c>
      <c r="J736" s="7">
        <f>IF((I736-ROUNDDOWN(I736,0))=0, 0, (I736-ROUNDDOWN(I736,0)))</f>
      </c>
      <c r="K736" s="7">
        <f>INDIRECT("C$"&amp;2+MIN(2,ROUNDDOWN(I736,0))*3)*(-$J736^3+3*$J736^2-3*$J736+1)+INDIRECT("C$"&amp;3+MIN(2,ROUNDDOWN(I736,0))*3)*(3*$J736^3-6*$J736^2+3*$J736)+INDIRECT("C$"&amp;4+MIN(2,ROUNDDOWN(I736,0))*3)*(-3*$J736^3+3*$J736^2)+INDIRECT("C$"&amp;5+MIN(2,ROUNDDOWN(I736,0))*3)*$J736^3</f>
      </c>
      <c r="L736" s="7">
        <f>INDIRECT("D$"&amp;2+MIN(2,ROUNDDOWN(I736,0))*3)*(-$J736^3+3*$J736^2-3*$J736+1)+INDIRECT("D$"&amp;3+MIN(2,ROUNDDOWN(I736,0))*3)*(3*$J736^3-6*$J736^2+3*$J736)+INDIRECT("D$"&amp;4+MIN(2,ROUNDDOWN(I736,0))*3)*(-3*$J736^3+3*$J736^2)+INDIRECT("D$"&amp;5+MIN(2,ROUNDDOWN(I736,0))*3)*$J736^3</f>
      </c>
      <c r="M736" s="7">
        <f>SQRT(K736^2+L736^2)</f>
      </c>
      <c r="N736" s="7">
        <f>(K737-K735)</f>
      </c>
      <c r="O736" s="7">
        <f>+(L737-L735)</f>
      </c>
      <c r="P736" s="7">
        <f>SQRT(O736^2+N736^2)</f>
      </c>
      <c r="Q736" s="7">
        <f>N736/$P736</f>
      </c>
      <c r="R736" s="7">
        <f>O736/$P736</f>
      </c>
      <c r="S736" s="8">
        <f>Q736^2+R736^2</f>
      </c>
      <c r="T736" s="7">
        <f>-R736</f>
      </c>
      <c r="U736" s="7">
        <f>Q736</f>
      </c>
      <c r="V736" s="7">
        <f>($C$14+($C$15-$C$14)/($D$15-$D$14)*(I736-$D$14))/2</f>
      </c>
      <c r="W736" s="7">
        <f>($B$22*I736^4+$C$22*I736^3+$D$22*I736^2+$E$22*I736+$F$22)/2</f>
      </c>
      <c r="X736" s="7">
        <f>($W736)*(T736)</f>
      </c>
      <c r="Y736" s="7">
        <f>($W736)*(U736)</f>
      </c>
      <c r="Z736" s="7">
        <f>SQRT(X736^2+Y736^2)</f>
      </c>
      <c r="AA736" s="7">
        <f>$K736+$X736</f>
      </c>
      <c r="AB736" s="7">
        <f>$L736+$Y736</f>
      </c>
      <c r="AC736" s="7">
        <f>$K736-$X736</f>
      </c>
      <c r="AD736" s="7">
        <f>$L736-$Y736</f>
      </c>
      <c r="AE736" s="7">
        <f>AA736/39.3701</f>
      </c>
      <c r="AF736" s="7">
        <f>AB736/39.3701</f>
      </c>
      <c r="AG736" s="7">
        <f>AC736/39.3701</f>
      </c>
      <c r="AH736" s="7">
        <f>AD736/39.3701</f>
      </c>
      <c r="AI736" s="1"/>
      <c r="AJ736" s="1"/>
      <c r="AK736" s="1"/>
      <c r="AL736" s="1"/>
      <c r="AM736" s="2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</row>
    <row x14ac:dyDescent="0.25" r="737" customHeight="1" ht="18.75">
      <c r="A737" s="1"/>
      <c r="B737" s="2"/>
      <c r="C737" s="2"/>
      <c r="D737" s="2"/>
      <c r="E737" s="2"/>
      <c r="F737" s="2"/>
      <c r="G737" s="1"/>
      <c r="H737" s="1"/>
      <c r="I737" s="7">
        <v>0.734</v>
      </c>
      <c r="J737" s="7">
        <f>IF((I737-ROUNDDOWN(I737,0))=0, 0, (I737-ROUNDDOWN(I737,0)))</f>
      </c>
      <c r="K737" s="7">
        <f>INDIRECT("C$"&amp;2+MIN(2,ROUNDDOWN(I737,0))*3)*(-$J737^3+3*$J737^2-3*$J737+1)+INDIRECT("C$"&amp;3+MIN(2,ROUNDDOWN(I737,0))*3)*(3*$J737^3-6*$J737^2+3*$J737)+INDIRECT("C$"&amp;4+MIN(2,ROUNDDOWN(I737,0))*3)*(-3*$J737^3+3*$J737^2)+INDIRECT("C$"&amp;5+MIN(2,ROUNDDOWN(I737,0))*3)*$J737^3</f>
      </c>
      <c r="L737" s="7">
        <f>INDIRECT("D$"&amp;2+MIN(2,ROUNDDOWN(I737,0))*3)*(-$J737^3+3*$J737^2-3*$J737+1)+INDIRECT("D$"&amp;3+MIN(2,ROUNDDOWN(I737,0))*3)*(3*$J737^3-6*$J737^2+3*$J737)+INDIRECT("D$"&amp;4+MIN(2,ROUNDDOWN(I737,0))*3)*(-3*$J737^3+3*$J737^2)+INDIRECT("D$"&amp;5+MIN(2,ROUNDDOWN(I737,0))*3)*$J737^3</f>
      </c>
      <c r="M737" s="7">
        <f>SQRT(K737^2+L737^2)</f>
      </c>
      <c r="N737" s="7">
        <f>(K738-K736)</f>
      </c>
      <c r="O737" s="7">
        <f>+(L738-L736)</f>
      </c>
      <c r="P737" s="7">
        <f>SQRT(O737^2+N737^2)</f>
      </c>
      <c r="Q737" s="7">
        <f>N737/$P737</f>
      </c>
      <c r="R737" s="7">
        <f>O737/$P737</f>
      </c>
      <c r="S737" s="8">
        <f>Q737^2+R737^2</f>
      </c>
      <c r="T737" s="7">
        <f>-R737</f>
      </c>
      <c r="U737" s="7">
        <f>Q737</f>
      </c>
      <c r="V737" s="7">
        <f>($C$14+($C$15-$C$14)/($D$15-$D$14)*(I737-$D$14))/2</f>
      </c>
      <c r="W737" s="7">
        <f>($B$22*I737^4+$C$22*I737^3+$D$22*I737^2+$E$22*I737+$F$22)/2</f>
      </c>
      <c r="X737" s="7">
        <f>($W737)*(T737)</f>
      </c>
      <c r="Y737" s="7">
        <f>($W737)*(U737)</f>
      </c>
      <c r="Z737" s="7">
        <f>SQRT(X737^2+Y737^2)</f>
      </c>
      <c r="AA737" s="7">
        <f>$K737+$X737</f>
      </c>
      <c r="AB737" s="7">
        <f>$L737+$Y737</f>
      </c>
      <c r="AC737" s="7">
        <f>$K737-$X737</f>
      </c>
      <c r="AD737" s="7">
        <f>$L737-$Y737</f>
      </c>
      <c r="AE737" s="7">
        <f>AA737/39.3701</f>
      </c>
      <c r="AF737" s="7">
        <f>AB737/39.3701</f>
      </c>
      <c r="AG737" s="7">
        <f>AC737/39.3701</f>
      </c>
      <c r="AH737" s="7">
        <f>AD737/39.3701</f>
      </c>
      <c r="AI737" s="1"/>
      <c r="AJ737" s="1"/>
      <c r="AK737" s="1"/>
      <c r="AL737" s="1"/>
      <c r="AM737" s="2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</row>
    <row x14ac:dyDescent="0.25" r="738" customHeight="1" ht="18.75">
      <c r="A738" s="1"/>
      <c r="B738" s="2"/>
      <c r="C738" s="2"/>
      <c r="D738" s="2"/>
      <c r="E738" s="2"/>
      <c r="F738" s="2"/>
      <c r="G738" s="1"/>
      <c r="H738" s="1"/>
      <c r="I738" s="7">
        <v>0.735</v>
      </c>
      <c r="J738" s="7">
        <f>IF((I738-ROUNDDOWN(I738,0))=0, 0, (I738-ROUNDDOWN(I738,0)))</f>
      </c>
      <c r="K738" s="7">
        <f>INDIRECT("C$"&amp;2+MIN(2,ROUNDDOWN(I738,0))*3)*(-$J738^3+3*$J738^2-3*$J738+1)+INDIRECT("C$"&amp;3+MIN(2,ROUNDDOWN(I738,0))*3)*(3*$J738^3-6*$J738^2+3*$J738)+INDIRECT("C$"&amp;4+MIN(2,ROUNDDOWN(I738,0))*3)*(-3*$J738^3+3*$J738^2)+INDIRECT("C$"&amp;5+MIN(2,ROUNDDOWN(I738,0))*3)*$J738^3</f>
      </c>
      <c r="L738" s="7">
        <f>INDIRECT("D$"&amp;2+MIN(2,ROUNDDOWN(I738,0))*3)*(-$J738^3+3*$J738^2-3*$J738+1)+INDIRECT("D$"&amp;3+MIN(2,ROUNDDOWN(I738,0))*3)*(3*$J738^3-6*$J738^2+3*$J738)+INDIRECT("D$"&amp;4+MIN(2,ROUNDDOWN(I738,0))*3)*(-3*$J738^3+3*$J738^2)+INDIRECT("D$"&amp;5+MIN(2,ROUNDDOWN(I738,0))*3)*$J738^3</f>
      </c>
      <c r="M738" s="7">
        <f>SQRT(K738^2+L738^2)</f>
      </c>
      <c r="N738" s="7">
        <f>(K739-K737)</f>
      </c>
      <c r="O738" s="7">
        <f>+(L739-L737)</f>
      </c>
      <c r="P738" s="7">
        <f>SQRT(O738^2+N738^2)</f>
      </c>
      <c r="Q738" s="7">
        <f>N738/$P738</f>
      </c>
      <c r="R738" s="7">
        <f>O738/$P738</f>
      </c>
      <c r="S738" s="8">
        <f>Q738^2+R738^2</f>
      </c>
      <c r="T738" s="7">
        <f>-R738</f>
      </c>
      <c r="U738" s="7">
        <f>Q738</f>
      </c>
      <c r="V738" s="7">
        <f>($C$14+($C$15-$C$14)/($D$15-$D$14)*(I738-$D$14))/2</f>
      </c>
      <c r="W738" s="7">
        <f>($B$22*I738^4+$C$22*I738^3+$D$22*I738^2+$E$22*I738+$F$22)/2</f>
      </c>
      <c r="X738" s="7">
        <f>($W738)*(T738)</f>
      </c>
      <c r="Y738" s="7">
        <f>($W738)*(U738)</f>
      </c>
      <c r="Z738" s="7">
        <f>SQRT(X738^2+Y738^2)</f>
      </c>
      <c r="AA738" s="7">
        <f>$K738+$X738</f>
      </c>
      <c r="AB738" s="7">
        <f>$L738+$Y738</f>
      </c>
      <c r="AC738" s="7">
        <f>$K738-$X738</f>
      </c>
      <c r="AD738" s="7">
        <f>$L738-$Y738</f>
      </c>
      <c r="AE738" s="7">
        <f>AA738/39.3701</f>
      </c>
      <c r="AF738" s="7">
        <f>AB738/39.3701</f>
      </c>
      <c r="AG738" s="7">
        <f>AC738/39.3701</f>
      </c>
      <c r="AH738" s="7">
        <f>AD738/39.3701</f>
      </c>
      <c r="AI738" s="1"/>
      <c r="AJ738" s="1"/>
      <c r="AK738" s="1"/>
      <c r="AL738" s="1"/>
      <c r="AM738" s="2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</row>
    <row x14ac:dyDescent="0.25" r="739" customHeight="1" ht="18.75">
      <c r="A739" s="1"/>
      <c r="B739" s="2"/>
      <c r="C739" s="2"/>
      <c r="D739" s="2"/>
      <c r="E739" s="2"/>
      <c r="F739" s="2"/>
      <c r="G739" s="1"/>
      <c r="H739" s="1"/>
      <c r="I739" s="7">
        <v>0.736</v>
      </c>
      <c r="J739" s="7">
        <f>IF((I739-ROUNDDOWN(I739,0))=0, 0, (I739-ROUNDDOWN(I739,0)))</f>
      </c>
      <c r="K739" s="7">
        <f>INDIRECT("C$"&amp;2+MIN(2,ROUNDDOWN(I739,0))*3)*(-$J739^3+3*$J739^2-3*$J739+1)+INDIRECT("C$"&amp;3+MIN(2,ROUNDDOWN(I739,0))*3)*(3*$J739^3-6*$J739^2+3*$J739)+INDIRECT("C$"&amp;4+MIN(2,ROUNDDOWN(I739,0))*3)*(-3*$J739^3+3*$J739^2)+INDIRECT("C$"&amp;5+MIN(2,ROUNDDOWN(I739,0))*3)*$J739^3</f>
      </c>
      <c r="L739" s="7">
        <f>INDIRECT("D$"&amp;2+MIN(2,ROUNDDOWN(I739,0))*3)*(-$J739^3+3*$J739^2-3*$J739+1)+INDIRECT("D$"&amp;3+MIN(2,ROUNDDOWN(I739,0))*3)*(3*$J739^3-6*$J739^2+3*$J739)+INDIRECT("D$"&amp;4+MIN(2,ROUNDDOWN(I739,0))*3)*(-3*$J739^3+3*$J739^2)+INDIRECT("D$"&amp;5+MIN(2,ROUNDDOWN(I739,0))*3)*$J739^3</f>
      </c>
      <c r="M739" s="7">
        <f>SQRT(K739^2+L739^2)</f>
      </c>
      <c r="N739" s="7">
        <f>(K740-K738)</f>
      </c>
      <c r="O739" s="7">
        <f>+(L740-L738)</f>
      </c>
      <c r="P739" s="7">
        <f>SQRT(O739^2+N739^2)</f>
      </c>
      <c r="Q739" s="7">
        <f>N739/$P739</f>
      </c>
      <c r="R739" s="7">
        <f>O739/$P739</f>
      </c>
      <c r="S739" s="8">
        <f>Q739^2+R739^2</f>
      </c>
      <c r="T739" s="7">
        <f>-R739</f>
      </c>
      <c r="U739" s="7">
        <f>Q739</f>
      </c>
      <c r="V739" s="7">
        <f>($C$14+($C$15-$C$14)/($D$15-$D$14)*(I739-$D$14))/2</f>
      </c>
      <c r="W739" s="7">
        <f>($B$22*I739^4+$C$22*I739^3+$D$22*I739^2+$E$22*I739+$F$22)/2</f>
      </c>
      <c r="X739" s="7">
        <f>($W739)*(T739)</f>
      </c>
      <c r="Y739" s="7">
        <f>($W739)*(U739)</f>
      </c>
      <c r="Z739" s="7">
        <f>SQRT(X739^2+Y739^2)</f>
      </c>
      <c r="AA739" s="7">
        <f>$K739+$X739</f>
      </c>
      <c r="AB739" s="7">
        <f>$L739+$Y739</f>
      </c>
      <c r="AC739" s="7">
        <f>$K739-$X739</f>
      </c>
      <c r="AD739" s="7">
        <f>$L739-$Y739</f>
      </c>
      <c r="AE739" s="7">
        <f>AA739/39.3701</f>
      </c>
      <c r="AF739" s="7">
        <f>AB739/39.3701</f>
      </c>
      <c r="AG739" s="7">
        <f>AC739/39.3701</f>
      </c>
      <c r="AH739" s="7">
        <f>AD739/39.3701</f>
      </c>
      <c r="AI739" s="1"/>
      <c r="AJ739" s="1"/>
      <c r="AK739" s="1"/>
      <c r="AL739" s="1"/>
      <c r="AM739" s="2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</row>
    <row x14ac:dyDescent="0.25" r="740" customHeight="1" ht="18.75">
      <c r="A740" s="1"/>
      <c r="B740" s="2"/>
      <c r="C740" s="2"/>
      <c r="D740" s="2"/>
      <c r="E740" s="2"/>
      <c r="F740" s="2"/>
      <c r="G740" s="1"/>
      <c r="H740" s="1"/>
      <c r="I740" s="7">
        <v>0.737</v>
      </c>
      <c r="J740" s="7">
        <f>IF((I740-ROUNDDOWN(I740,0))=0, 0, (I740-ROUNDDOWN(I740,0)))</f>
      </c>
      <c r="K740" s="7">
        <f>INDIRECT("C$"&amp;2+MIN(2,ROUNDDOWN(I740,0))*3)*(-$J740^3+3*$J740^2-3*$J740+1)+INDIRECT("C$"&amp;3+MIN(2,ROUNDDOWN(I740,0))*3)*(3*$J740^3-6*$J740^2+3*$J740)+INDIRECT("C$"&amp;4+MIN(2,ROUNDDOWN(I740,0))*3)*(-3*$J740^3+3*$J740^2)+INDIRECT("C$"&amp;5+MIN(2,ROUNDDOWN(I740,0))*3)*$J740^3</f>
      </c>
      <c r="L740" s="7">
        <f>INDIRECT("D$"&amp;2+MIN(2,ROUNDDOWN(I740,0))*3)*(-$J740^3+3*$J740^2-3*$J740+1)+INDIRECT("D$"&amp;3+MIN(2,ROUNDDOWN(I740,0))*3)*(3*$J740^3-6*$J740^2+3*$J740)+INDIRECT("D$"&amp;4+MIN(2,ROUNDDOWN(I740,0))*3)*(-3*$J740^3+3*$J740^2)+INDIRECT("D$"&amp;5+MIN(2,ROUNDDOWN(I740,0))*3)*$J740^3</f>
      </c>
      <c r="M740" s="7">
        <f>SQRT(K740^2+L740^2)</f>
      </c>
      <c r="N740" s="7">
        <f>(K741-K739)</f>
      </c>
      <c r="O740" s="7">
        <f>+(L741-L739)</f>
      </c>
      <c r="P740" s="7">
        <f>SQRT(O740^2+N740^2)</f>
      </c>
      <c r="Q740" s="7">
        <f>N740/$P740</f>
      </c>
      <c r="R740" s="7">
        <f>O740/$P740</f>
      </c>
      <c r="S740" s="7">
        <f>Q740^2+R740^2</f>
      </c>
      <c r="T740" s="7">
        <f>-R740</f>
      </c>
      <c r="U740" s="7">
        <f>Q740</f>
      </c>
      <c r="V740" s="7">
        <f>($C$14+($C$15-$C$14)/($D$15-$D$14)*(I740-$D$14))/2</f>
      </c>
      <c r="W740" s="7">
        <f>($B$22*I740^4+$C$22*I740^3+$D$22*I740^2+$E$22*I740+$F$22)/2</f>
      </c>
      <c r="X740" s="7">
        <f>($W740)*(T740)</f>
      </c>
      <c r="Y740" s="7">
        <f>($W740)*(U740)</f>
      </c>
      <c r="Z740" s="7">
        <f>SQRT(X740^2+Y740^2)</f>
      </c>
      <c r="AA740" s="7">
        <f>$K740+$X740</f>
      </c>
      <c r="AB740" s="7">
        <f>$L740+$Y740</f>
      </c>
      <c r="AC740" s="7">
        <f>$K740-$X740</f>
      </c>
      <c r="AD740" s="7">
        <f>$L740-$Y740</f>
      </c>
      <c r="AE740" s="7">
        <f>AA740/39.3701</f>
      </c>
      <c r="AF740" s="7">
        <f>AB740/39.3701</f>
      </c>
      <c r="AG740" s="7">
        <f>AC740/39.3701</f>
      </c>
      <c r="AH740" s="7">
        <f>AD740/39.3701</f>
      </c>
      <c r="AI740" s="1"/>
      <c r="AJ740" s="1"/>
      <c r="AK740" s="1"/>
      <c r="AL740" s="1"/>
      <c r="AM740" s="2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</row>
    <row x14ac:dyDescent="0.25" r="741" customHeight="1" ht="18.75">
      <c r="A741" s="1"/>
      <c r="B741" s="2"/>
      <c r="C741" s="2"/>
      <c r="D741" s="2"/>
      <c r="E741" s="2"/>
      <c r="F741" s="2"/>
      <c r="G741" s="1"/>
      <c r="H741" s="1"/>
      <c r="I741" s="7">
        <v>0.738</v>
      </c>
      <c r="J741" s="7">
        <f>IF((I741-ROUNDDOWN(I741,0))=0, 0, (I741-ROUNDDOWN(I741,0)))</f>
      </c>
      <c r="K741" s="7">
        <f>INDIRECT("C$"&amp;2+MIN(2,ROUNDDOWN(I741,0))*3)*(-$J741^3+3*$J741^2-3*$J741+1)+INDIRECT("C$"&amp;3+MIN(2,ROUNDDOWN(I741,0))*3)*(3*$J741^3-6*$J741^2+3*$J741)+INDIRECT("C$"&amp;4+MIN(2,ROUNDDOWN(I741,0))*3)*(-3*$J741^3+3*$J741^2)+INDIRECT("C$"&amp;5+MIN(2,ROUNDDOWN(I741,0))*3)*$J741^3</f>
      </c>
      <c r="L741" s="7">
        <f>INDIRECT("D$"&amp;2+MIN(2,ROUNDDOWN(I741,0))*3)*(-$J741^3+3*$J741^2-3*$J741+1)+INDIRECT("D$"&amp;3+MIN(2,ROUNDDOWN(I741,0))*3)*(3*$J741^3-6*$J741^2+3*$J741)+INDIRECT("D$"&amp;4+MIN(2,ROUNDDOWN(I741,0))*3)*(-3*$J741^3+3*$J741^2)+INDIRECT("D$"&amp;5+MIN(2,ROUNDDOWN(I741,0))*3)*$J741^3</f>
      </c>
      <c r="M741" s="7">
        <f>SQRT(K741^2+L741^2)</f>
      </c>
      <c r="N741" s="7">
        <f>(K742-K740)</f>
      </c>
      <c r="O741" s="7">
        <f>+(L742-L740)</f>
      </c>
      <c r="P741" s="7">
        <f>SQRT(O741^2+N741^2)</f>
      </c>
      <c r="Q741" s="7">
        <f>N741/$P741</f>
      </c>
      <c r="R741" s="7">
        <f>O741/$P741</f>
      </c>
      <c r="S741" s="8">
        <f>Q741^2+R741^2</f>
      </c>
      <c r="T741" s="7">
        <f>-R741</f>
      </c>
      <c r="U741" s="7">
        <f>Q741</f>
      </c>
      <c r="V741" s="7">
        <f>($C$14+($C$15-$C$14)/($D$15-$D$14)*(I741-$D$14))/2</f>
      </c>
      <c r="W741" s="7">
        <f>($B$22*I741^4+$C$22*I741^3+$D$22*I741^2+$E$22*I741+$F$22)/2</f>
      </c>
      <c r="X741" s="7">
        <f>($W741)*(T741)</f>
      </c>
      <c r="Y741" s="7">
        <f>($W741)*(U741)</f>
      </c>
      <c r="Z741" s="7">
        <f>SQRT(X741^2+Y741^2)</f>
      </c>
      <c r="AA741" s="7">
        <f>$K741+$X741</f>
      </c>
      <c r="AB741" s="7">
        <f>$L741+$Y741</f>
      </c>
      <c r="AC741" s="7">
        <f>$K741-$X741</f>
      </c>
      <c r="AD741" s="7">
        <f>$L741-$Y741</f>
      </c>
      <c r="AE741" s="7">
        <f>AA741/39.3701</f>
      </c>
      <c r="AF741" s="7">
        <f>AB741/39.3701</f>
      </c>
      <c r="AG741" s="7">
        <f>AC741/39.3701</f>
      </c>
      <c r="AH741" s="7">
        <f>AD741/39.3701</f>
      </c>
      <c r="AI741" s="1"/>
      <c r="AJ741" s="1"/>
      <c r="AK741" s="1"/>
      <c r="AL741" s="1"/>
      <c r="AM741" s="2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</row>
    <row x14ac:dyDescent="0.25" r="742" customHeight="1" ht="18.75">
      <c r="A742" s="1"/>
      <c r="B742" s="2"/>
      <c r="C742" s="2"/>
      <c r="D742" s="2"/>
      <c r="E742" s="2"/>
      <c r="F742" s="2"/>
      <c r="G742" s="1"/>
      <c r="H742" s="1"/>
      <c r="I742" s="7">
        <v>0.739</v>
      </c>
      <c r="J742" s="7">
        <f>IF((I742-ROUNDDOWN(I742,0))=0, 0, (I742-ROUNDDOWN(I742,0)))</f>
      </c>
      <c r="K742" s="7">
        <f>INDIRECT("C$"&amp;2+MIN(2,ROUNDDOWN(I742,0))*3)*(-$J742^3+3*$J742^2-3*$J742+1)+INDIRECT("C$"&amp;3+MIN(2,ROUNDDOWN(I742,0))*3)*(3*$J742^3-6*$J742^2+3*$J742)+INDIRECT("C$"&amp;4+MIN(2,ROUNDDOWN(I742,0))*3)*(-3*$J742^3+3*$J742^2)+INDIRECT("C$"&amp;5+MIN(2,ROUNDDOWN(I742,0))*3)*$J742^3</f>
      </c>
      <c r="L742" s="7">
        <f>INDIRECT("D$"&amp;2+MIN(2,ROUNDDOWN(I742,0))*3)*(-$J742^3+3*$J742^2-3*$J742+1)+INDIRECT("D$"&amp;3+MIN(2,ROUNDDOWN(I742,0))*3)*(3*$J742^3-6*$J742^2+3*$J742)+INDIRECT("D$"&amp;4+MIN(2,ROUNDDOWN(I742,0))*3)*(-3*$J742^3+3*$J742^2)+INDIRECT("D$"&amp;5+MIN(2,ROUNDDOWN(I742,0))*3)*$J742^3</f>
      </c>
      <c r="M742" s="7">
        <f>SQRT(K742^2+L742^2)</f>
      </c>
      <c r="N742" s="7">
        <f>(K743-K741)</f>
      </c>
      <c r="O742" s="7">
        <f>+(L743-L741)</f>
      </c>
      <c r="P742" s="7">
        <f>SQRT(O742^2+N742^2)</f>
      </c>
      <c r="Q742" s="7">
        <f>N742/$P742</f>
      </c>
      <c r="R742" s="7">
        <f>O742/$P742</f>
      </c>
      <c r="S742" s="8">
        <f>Q742^2+R742^2</f>
      </c>
      <c r="T742" s="7">
        <f>-R742</f>
      </c>
      <c r="U742" s="7">
        <f>Q742</f>
      </c>
      <c r="V742" s="7">
        <f>($C$14+($C$15-$C$14)/($D$15-$D$14)*(I742-$D$14))/2</f>
      </c>
      <c r="W742" s="7">
        <f>($B$22*I742^4+$C$22*I742^3+$D$22*I742^2+$E$22*I742+$F$22)/2</f>
      </c>
      <c r="X742" s="7">
        <f>($W742)*(T742)</f>
      </c>
      <c r="Y742" s="7">
        <f>($W742)*(U742)</f>
      </c>
      <c r="Z742" s="7">
        <f>SQRT(X742^2+Y742^2)</f>
      </c>
      <c r="AA742" s="7">
        <f>$K742+$X742</f>
      </c>
      <c r="AB742" s="7">
        <f>$L742+$Y742</f>
      </c>
      <c r="AC742" s="7">
        <f>$K742-$X742</f>
      </c>
      <c r="AD742" s="7">
        <f>$L742-$Y742</f>
      </c>
      <c r="AE742" s="7">
        <f>AA742/39.3701</f>
      </c>
      <c r="AF742" s="7">
        <f>AB742/39.3701</f>
      </c>
      <c r="AG742" s="7">
        <f>AC742/39.3701</f>
      </c>
      <c r="AH742" s="7">
        <f>AD742/39.3701</f>
      </c>
      <c r="AI742" s="1"/>
      <c r="AJ742" s="1"/>
      <c r="AK742" s="1"/>
      <c r="AL742" s="1"/>
      <c r="AM742" s="2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</row>
    <row x14ac:dyDescent="0.25" r="743" customHeight="1" ht="18.75">
      <c r="A743" s="1"/>
      <c r="B743" s="2"/>
      <c r="C743" s="2"/>
      <c r="D743" s="2"/>
      <c r="E743" s="2"/>
      <c r="F743" s="2"/>
      <c r="G743" s="1"/>
      <c r="H743" s="1"/>
      <c r="I743" s="7">
        <v>0.74</v>
      </c>
      <c r="J743" s="7">
        <f>IF((I743-ROUNDDOWN(I743,0))=0, 0, (I743-ROUNDDOWN(I743,0)))</f>
      </c>
      <c r="K743" s="7">
        <f>INDIRECT("C$"&amp;2+MIN(2,ROUNDDOWN(I743,0))*3)*(-$J743^3+3*$J743^2-3*$J743+1)+INDIRECT("C$"&amp;3+MIN(2,ROUNDDOWN(I743,0))*3)*(3*$J743^3-6*$J743^2+3*$J743)+INDIRECT("C$"&amp;4+MIN(2,ROUNDDOWN(I743,0))*3)*(-3*$J743^3+3*$J743^2)+INDIRECT("C$"&amp;5+MIN(2,ROUNDDOWN(I743,0))*3)*$J743^3</f>
      </c>
      <c r="L743" s="7">
        <f>INDIRECT("D$"&amp;2+MIN(2,ROUNDDOWN(I743,0))*3)*(-$J743^3+3*$J743^2-3*$J743+1)+INDIRECT("D$"&amp;3+MIN(2,ROUNDDOWN(I743,0))*3)*(3*$J743^3-6*$J743^2+3*$J743)+INDIRECT("D$"&amp;4+MIN(2,ROUNDDOWN(I743,0))*3)*(-3*$J743^3+3*$J743^2)+INDIRECT("D$"&amp;5+MIN(2,ROUNDDOWN(I743,0))*3)*$J743^3</f>
      </c>
      <c r="M743" s="7">
        <f>SQRT(K743^2+L743^2)</f>
      </c>
      <c r="N743" s="7">
        <f>(K744-K742)</f>
      </c>
      <c r="O743" s="7">
        <f>+(L744-L742)</f>
      </c>
      <c r="P743" s="7">
        <f>SQRT(O743^2+N743^2)</f>
      </c>
      <c r="Q743" s="7">
        <f>N743/$P743</f>
      </c>
      <c r="R743" s="7">
        <f>O743/$P743</f>
      </c>
      <c r="S743" s="7">
        <f>Q743^2+R743^2</f>
      </c>
      <c r="T743" s="7">
        <f>-R743</f>
      </c>
      <c r="U743" s="7">
        <f>Q743</f>
      </c>
      <c r="V743" s="7">
        <f>($C$14+($C$15-$C$14)/($D$15-$D$14)*(I743-$D$14))/2</f>
      </c>
      <c r="W743" s="7">
        <f>($B$22*I743^4+$C$22*I743^3+$D$22*I743^2+$E$22*I743+$F$22)/2</f>
      </c>
      <c r="X743" s="7">
        <f>($W743)*(T743)</f>
      </c>
      <c r="Y743" s="7">
        <f>($W743)*(U743)</f>
      </c>
      <c r="Z743" s="7">
        <f>SQRT(X743^2+Y743^2)</f>
      </c>
      <c r="AA743" s="7">
        <f>$K743+$X743</f>
      </c>
      <c r="AB743" s="7">
        <f>$L743+$Y743</f>
      </c>
      <c r="AC743" s="7">
        <f>$K743-$X743</f>
      </c>
      <c r="AD743" s="7">
        <f>$L743-$Y743</f>
      </c>
      <c r="AE743" s="7">
        <f>AA743/39.3701</f>
      </c>
      <c r="AF743" s="7">
        <f>AB743/39.3701</f>
      </c>
      <c r="AG743" s="7">
        <f>AC743/39.3701</f>
      </c>
      <c r="AH743" s="7">
        <f>AD743/39.3701</f>
      </c>
      <c r="AI743" s="1"/>
      <c r="AJ743" s="1"/>
      <c r="AK743" s="1"/>
      <c r="AL743" s="1"/>
      <c r="AM743" s="2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</row>
    <row x14ac:dyDescent="0.25" r="744" customHeight="1" ht="18.75">
      <c r="A744" s="1"/>
      <c r="B744" s="2"/>
      <c r="C744" s="2"/>
      <c r="D744" s="2"/>
      <c r="E744" s="2"/>
      <c r="F744" s="2"/>
      <c r="G744" s="1"/>
      <c r="H744" s="1"/>
      <c r="I744" s="7">
        <v>0.741</v>
      </c>
      <c r="J744" s="7">
        <f>IF((I744-ROUNDDOWN(I744,0))=0, 0, (I744-ROUNDDOWN(I744,0)))</f>
      </c>
      <c r="K744" s="7">
        <f>INDIRECT("C$"&amp;2+MIN(2,ROUNDDOWN(I744,0))*3)*(-$J744^3+3*$J744^2-3*$J744+1)+INDIRECT("C$"&amp;3+MIN(2,ROUNDDOWN(I744,0))*3)*(3*$J744^3-6*$J744^2+3*$J744)+INDIRECT("C$"&amp;4+MIN(2,ROUNDDOWN(I744,0))*3)*(-3*$J744^3+3*$J744^2)+INDIRECT("C$"&amp;5+MIN(2,ROUNDDOWN(I744,0))*3)*$J744^3</f>
      </c>
      <c r="L744" s="7">
        <f>INDIRECT("D$"&amp;2+MIN(2,ROUNDDOWN(I744,0))*3)*(-$J744^3+3*$J744^2-3*$J744+1)+INDIRECT("D$"&amp;3+MIN(2,ROUNDDOWN(I744,0))*3)*(3*$J744^3-6*$J744^2+3*$J744)+INDIRECT("D$"&amp;4+MIN(2,ROUNDDOWN(I744,0))*3)*(-3*$J744^3+3*$J744^2)+INDIRECT("D$"&amp;5+MIN(2,ROUNDDOWN(I744,0))*3)*$J744^3</f>
      </c>
      <c r="M744" s="7">
        <f>SQRT(K744^2+L744^2)</f>
      </c>
      <c r="N744" s="7">
        <f>(K745-K743)</f>
      </c>
      <c r="O744" s="7">
        <f>+(L745-L743)</f>
      </c>
      <c r="P744" s="7">
        <f>SQRT(O744^2+N744^2)</f>
      </c>
      <c r="Q744" s="7">
        <f>N744/$P744</f>
      </c>
      <c r="R744" s="7">
        <f>O744/$P744</f>
      </c>
      <c r="S744" s="8">
        <f>Q744^2+R744^2</f>
      </c>
      <c r="T744" s="7">
        <f>-R744</f>
      </c>
      <c r="U744" s="7">
        <f>Q744</f>
      </c>
      <c r="V744" s="7">
        <f>($C$14+($C$15-$C$14)/($D$15-$D$14)*(I744-$D$14))/2</f>
      </c>
      <c r="W744" s="7">
        <f>($B$22*I744^4+$C$22*I744^3+$D$22*I744^2+$E$22*I744+$F$22)/2</f>
      </c>
      <c r="X744" s="7">
        <f>($W744)*(T744)</f>
      </c>
      <c r="Y744" s="7">
        <f>($W744)*(U744)</f>
      </c>
      <c r="Z744" s="7">
        <f>SQRT(X744^2+Y744^2)</f>
      </c>
      <c r="AA744" s="7">
        <f>$K744+$X744</f>
      </c>
      <c r="AB744" s="7">
        <f>$L744+$Y744</f>
      </c>
      <c r="AC744" s="7">
        <f>$K744-$X744</f>
      </c>
      <c r="AD744" s="7">
        <f>$L744-$Y744</f>
      </c>
      <c r="AE744" s="7">
        <f>AA744/39.3701</f>
      </c>
      <c r="AF744" s="7">
        <f>AB744/39.3701</f>
      </c>
      <c r="AG744" s="7">
        <f>AC744/39.3701</f>
      </c>
      <c r="AH744" s="7">
        <f>AD744/39.3701</f>
      </c>
      <c r="AI744" s="1"/>
      <c r="AJ744" s="1"/>
      <c r="AK744" s="1"/>
      <c r="AL744" s="1"/>
      <c r="AM744" s="2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</row>
    <row x14ac:dyDescent="0.25" r="745" customHeight="1" ht="18.75">
      <c r="A745" s="1"/>
      <c r="B745" s="2"/>
      <c r="C745" s="2"/>
      <c r="D745" s="2"/>
      <c r="E745" s="2"/>
      <c r="F745" s="2"/>
      <c r="G745" s="1"/>
      <c r="H745" s="1"/>
      <c r="I745" s="7">
        <v>0.742</v>
      </c>
      <c r="J745" s="7">
        <f>IF((I745-ROUNDDOWN(I745,0))=0, 0, (I745-ROUNDDOWN(I745,0)))</f>
      </c>
      <c r="K745" s="7">
        <f>INDIRECT("C$"&amp;2+MIN(2,ROUNDDOWN(I745,0))*3)*(-$J745^3+3*$J745^2-3*$J745+1)+INDIRECT("C$"&amp;3+MIN(2,ROUNDDOWN(I745,0))*3)*(3*$J745^3-6*$J745^2+3*$J745)+INDIRECT("C$"&amp;4+MIN(2,ROUNDDOWN(I745,0))*3)*(-3*$J745^3+3*$J745^2)+INDIRECT("C$"&amp;5+MIN(2,ROUNDDOWN(I745,0))*3)*$J745^3</f>
      </c>
      <c r="L745" s="7">
        <f>INDIRECT("D$"&amp;2+MIN(2,ROUNDDOWN(I745,0))*3)*(-$J745^3+3*$J745^2-3*$J745+1)+INDIRECT("D$"&amp;3+MIN(2,ROUNDDOWN(I745,0))*3)*(3*$J745^3-6*$J745^2+3*$J745)+INDIRECT("D$"&amp;4+MIN(2,ROUNDDOWN(I745,0))*3)*(-3*$J745^3+3*$J745^2)+INDIRECT("D$"&amp;5+MIN(2,ROUNDDOWN(I745,0))*3)*$J745^3</f>
      </c>
      <c r="M745" s="7">
        <f>SQRT(K745^2+L745^2)</f>
      </c>
      <c r="N745" s="7">
        <f>(K746-K744)</f>
      </c>
      <c r="O745" s="7">
        <f>+(L746-L744)</f>
      </c>
      <c r="P745" s="7">
        <f>SQRT(O745^2+N745^2)</f>
      </c>
      <c r="Q745" s="7">
        <f>N745/$P745</f>
      </c>
      <c r="R745" s="7">
        <f>O745/$P745</f>
      </c>
      <c r="S745" s="8">
        <f>Q745^2+R745^2</f>
      </c>
      <c r="T745" s="7">
        <f>-R745</f>
      </c>
      <c r="U745" s="7">
        <f>Q745</f>
      </c>
      <c r="V745" s="7">
        <f>($C$14+($C$15-$C$14)/($D$15-$D$14)*(I745-$D$14))/2</f>
      </c>
      <c r="W745" s="7">
        <f>($B$22*I745^4+$C$22*I745^3+$D$22*I745^2+$E$22*I745+$F$22)/2</f>
      </c>
      <c r="X745" s="7">
        <f>($W745)*(T745)</f>
      </c>
      <c r="Y745" s="7">
        <f>($W745)*(U745)</f>
      </c>
      <c r="Z745" s="7">
        <f>SQRT(X745^2+Y745^2)</f>
      </c>
      <c r="AA745" s="7">
        <f>$K745+$X745</f>
      </c>
      <c r="AB745" s="7">
        <f>$L745+$Y745</f>
      </c>
      <c r="AC745" s="7">
        <f>$K745-$X745</f>
      </c>
      <c r="AD745" s="7">
        <f>$L745-$Y745</f>
      </c>
      <c r="AE745" s="7">
        <f>AA745/39.3701</f>
      </c>
      <c r="AF745" s="7">
        <f>AB745/39.3701</f>
      </c>
      <c r="AG745" s="7">
        <f>AC745/39.3701</f>
      </c>
      <c r="AH745" s="7">
        <f>AD745/39.3701</f>
      </c>
      <c r="AI745" s="1"/>
      <c r="AJ745" s="1"/>
      <c r="AK745" s="1"/>
      <c r="AL745" s="1"/>
      <c r="AM745" s="2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</row>
    <row x14ac:dyDescent="0.25" r="746" customHeight="1" ht="18.75">
      <c r="A746" s="1"/>
      <c r="B746" s="2"/>
      <c r="C746" s="2"/>
      <c r="D746" s="2"/>
      <c r="E746" s="2"/>
      <c r="F746" s="2"/>
      <c r="G746" s="1"/>
      <c r="H746" s="1"/>
      <c r="I746" s="7">
        <v>0.743</v>
      </c>
      <c r="J746" s="7">
        <f>IF((I746-ROUNDDOWN(I746,0))=0, 0, (I746-ROUNDDOWN(I746,0)))</f>
      </c>
      <c r="K746" s="7">
        <f>INDIRECT("C$"&amp;2+MIN(2,ROUNDDOWN(I746,0))*3)*(-$J746^3+3*$J746^2-3*$J746+1)+INDIRECT("C$"&amp;3+MIN(2,ROUNDDOWN(I746,0))*3)*(3*$J746^3-6*$J746^2+3*$J746)+INDIRECT("C$"&amp;4+MIN(2,ROUNDDOWN(I746,0))*3)*(-3*$J746^3+3*$J746^2)+INDIRECT("C$"&amp;5+MIN(2,ROUNDDOWN(I746,0))*3)*$J746^3</f>
      </c>
      <c r="L746" s="7">
        <f>INDIRECT("D$"&amp;2+MIN(2,ROUNDDOWN(I746,0))*3)*(-$J746^3+3*$J746^2-3*$J746+1)+INDIRECT("D$"&amp;3+MIN(2,ROUNDDOWN(I746,0))*3)*(3*$J746^3-6*$J746^2+3*$J746)+INDIRECT("D$"&amp;4+MIN(2,ROUNDDOWN(I746,0))*3)*(-3*$J746^3+3*$J746^2)+INDIRECT("D$"&amp;5+MIN(2,ROUNDDOWN(I746,0))*3)*$J746^3</f>
      </c>
      <c r="M746" s="7">
        <f>SQRT(K746^2+L746^2)</f>
      </c>
      <c r="N746" s="7">
        <f>(K747-K745)</f>
      </c>
      <c r="O746" s="7">
        <f>+(L747-L745)</f>
      </c>
      <c r="P746" s="7">
        <f>SQRT(O746^2+N746^2)</f>
      </c>
      <c r="Q746" s="7">
        <f>N746/$P746</f>
      </c>
      <c r="R746" s="7">
        <f>O746/$P746</f>
      </c>
      <c r="S746" s="8">
        <f>Q746^2+R746^2</f>
      </c>
      <c r="T746" s="7">
        <f>-R746</f>
      </c>
      <c r="U746" s="7">
        <f>Q746</f>
      </c>
      <c r="V746" s="7">
        <f>($C$14+($C$15-$C$14)/($D$15-$D$14)*(I746-$D$14))/2</f>
      </c>
      <c r="W746" s="7">
        <f>($B$22*I746^4+$C$22*I746^3+$D$22*I746^2+$E$22*I746+$F$22)/2</f>
      </c>
      <c r="X746" s="7">
        <f>($W746)*(T746)</f>
      </c>
      <c r="Y746" s="7">
        <f>($W746)*(U746)</f>
      </c>
      <c r="Z746" s="7">
        <f>SQRT(X746^2+Y746^2)</f>
      </c>
      <c r="AA746" s="7">
        <f>$K746+$X746</f>
      </c>
      <c r="AB746" s="7">
        <f>$L746+$Y746</f>
      </c>
      <c r="AC746" s="7">
        <f>$K746-$X746</f>
      </c>
      <c r="AD746" s="7">
        <f>$L746-$Y746</f>
      </c>
      <c r="AE746" s="7">
        <f>AA746/39.3701</f>
      </c>
      <c r="AF746" s="7">
        <f>AB746/39.3701</f>
      </c>
      <c r="AG746" s="7">
        <f>AC746/39.3701</f>
      </c>
      <c r="AH746" s="7">
        <f>AD746/39.3701</f>
      </c>
      <c r="AI746" s="1"/>
      <c r="AJ746" s="1"/>
      <c r="AK746" s="1"/>
      <c r="AL746" s="1"/>
      <c r="AM746" s="2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</row>
    <row x14ac:dyDescent="0.25" r="747" customHeight="1" ht="18.75">
      <c r="A747" s="1"/>
      <c r="B747" s="2"/>
      <c r="C747" s="2"/>
      <c r="D747" s="2"/>
      <c r="E747" s="2"/>
      <c r="F747" s="2"/>
      <c r="G747" s="1"/>
      <c r="H747" s="1"/>
      <c r="I747" s="7">
        <v>0.744</v>
      </c>
      <c r="J747" s="7">
        <f>IF((I747-ROUNDDOWN(I747,0))=0, 0, (I747-ROUNDDOWN(I747,0)))</f>
      </c>
      <c r="K747" s="7">
        <f>INDIRECT("C$"&amp;2+MIN(2,ROUNDDOWN(I747,0))*3)*(-$J747^3+3*$J747^2-3*$J747+1)+INDIRECT("C$"&amp;3+MIN(2,ROUNDDOWN(I747,0))*3)*(3*$J747^3-6*$J747^2+3*$J747)+INDIRECT("C$"&amp;4+MIN(2,ROUNDDOWN(I747,0))*3)*(-3*$J747^3+3*$J747^2)+INDIRECT("C$"&amp;5+MIN(2,ROUNDDOWN(I747,0))*3)*$J747^3</f>
      </c>
      <c r="L747" s="7">
        <f>INDIRECT("D$"&amp;2+MIN(2,ROUNDDOWN(I747,0))*3)*(-$J747^3+3*$J747^2-3*$J747+1)+INDIRECT("D$"&amp;3+MIN(2,ROUNDDOWN(I747,0))*3)*(3*$J747^3-6*$J747^2+3*$J747)+INDIRECT("D$"&amp;4+MIN(2,ROUNDDOWN(I747,0))*3)*(-3*$J747^3+3*$J747^2)+INDIRECT("D$"&amp;5+MIN(2,ROUNDDOWN(I747,0))*3)*$J747^3</f>
      </c>
      <c r="M747" s="7">
        <f>SQRT(K747^2+L747^2)</f>
      </c>
      <c r="N747" s="7">
        <f>(K748-K746)</f>
      </c>
      <c r="O747" s="7">
        <f>+(L748-L746)</f>
      </c>
      <c r="P747" s="7">
        <f>SQRT(O747^2+N747^2)</f>
      </c>
      <c r="Q747" s="7">
        <f>N747/$P747</f>
      </c>
      <c r="R747" s="7">
        <f>O747/$P747</f>
      </c>
      <c r="S747" s="8">
        <f>Q747^2+R747^2</f>
      </c>
      <c r="T747" s="7">
        <f>-R747</f>
      </c>
      <c r="U747" s="7">
        <f>Q747</f>
      </c>
      <c r="V747" s="7">
        <f>($C$14+($C$15-$C$14)/($D$15-$D$14)*(I747-$D$14))/2</f>
      </c>
      <c r="W747" s="7">
        <f>($B$22*I747^4+$C$22*I747^3+$D$22*I747^2+$E$22*I747+$F$22)/2</f>
      </c>
      <c r="X747" s="7">
        <f>($W747)*(T747)</f>
      </c>
      <c r="Y747" s="7">
        <f>($W747)*(U747)</f>
      </c>
      <c r="Z747" s="7">
        <f>SQRT(X747^2+Y747^2)</f>
      </c>
      <c r="AA747" s="7">
        <f>$K747+$X747</f>
      </c>
      <c r="AB747" s="7">
        <f>$L747+$Y747</f>
      </c>
      <c r="AC747" s="7">
        <f>$K747-$X747</f>
      </c>
      <c r="AD747" s="7">
        <f>$L747-$Y747</f>
      </c>
      <c r="AE747" s="7">
        <f>AA747/39.3701</f>
      </c>
      <c r="AF747" s="7">
        <f>AB747/39.3701</f>
      </c>
      <c r="AG747" s="7">
        <f>AC747/39.3701</f>
      </c>
      <c r="AH747" s="7">
        <f>AD747/39.3701</f>
      </c>
      <c r="AI747" s="1"/>
      <c r="AJ747" s="1"/>
      <c r="AK747" s="1"/>
      <c r="AL747" s="1"/>
      <c r="AM747" s="2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</row>
    <row x14ac:dyDescent="0.25" r="748" customHeight="1" ht="18.75">
      <c r="A748" s="1"/>
      <c r="B748" s="2"/>
      <c r="C748" s="2"/>
      <c r="D748" s="2"/>
      <c r="E748" s="2"/>
      <c r="F748" s="2"/>
      <c r="G748" s="1"/>
      <c r="H748" s="1"/>
      <c r="I748" s="7">
        <v>0.745</v>
      </c>
      <c r="J748" s="7">
        <f>IF((I748-ROUNDDOWN(I748,0))=0, 0, (I748-ROUNDDOWN(I748,0)))</f>
      </c>
      <c r="K748" s="7">
        <f>INDIRECT("C$"&amp;2+MIN(2,ROUNDDOWN(I748,0))*3)*(-$J748^3+3*$J748^2-3*$J748+1)+INDIRECT("C$"&amp;3+MIN(2,ROUNDDOWN(I748,0))*3)*(3*$J748^3-6*$J748^2+3*$J748)+INDIRECT("C$"&amp;4+MIN(2,ROUNDDOWN(I748,0))*3)*(-3*$J748^3+3*$J748^2)+INDIRECT("C$"&amp;5+MIN(2,ROUNDDOWN(I748,0))*3)*$J748^3</f>
      </c>
      <c r="L748" s="7">
        <f>INDIRECT("D$"&amp;2+MIN(2,ROUNDDOWN(I748,0))*3)*(-$J748^3+3*$J748^2-3*$J748+1)+INDIRECT("D$"&amp;3+MIN(2,ROUNDDOWN(I748,0))*3)*(3*$J748^3-6*$J748^2+3*$J748)+INDIRECT("D$"&amp;4+MIN(2,ROUNDDOWN(I748,0))*3)*(-3*$J748^3+3*$J748^2)+INDIRECT("D$"&amp;5+MIN(2,ROUNDDOWN(I748,0))*3)*$J748^3</f>
      </c>
      <c r="M748" s="7">
        <f>SQRT(K748^2+L748^2)</f>
      </c>
      <c r="N748" s="7">
        <f>(K749-K747)</f>
      </c>
      <c r="O748" s="7">
        <f>+(L749-L747)</f>
      </c>
      <c r="P748" s="7">
        <f>SQRT(O748^2+N748^2)</f>
      </c>
      <c r="Q748" s="7">
        <f>N748/$P748</f>
      </c>
      <c r="R748" s="7">
        <f>O748/$P748</f>
      </c>
      <c r="S748" s="8">
        <f>Q748^2+R748^2</f>
      </c>
      <c r="T748" s="7">
        <f>-R748</f>
      </c>
      <c r="U748" s="7">
        <f>Q748</f>
      </c>
      <c r="V748" s="7">
        <f>($C$14+($C$15-$C$14)/($D$15-$D$14)*(I748-$D$14))/2</f>
      </c>
      <c r="W748" s="7">
        <f>($B$22*I748^4+$C$22*I748^3+$D$22*I748^2+$E$22*I748+$F$22)/2</f>
      </c>
      <c r="X748" s="7">
        <f>($W748)*(T748)</f>
      </c>
      <c r="Y748" s="7">
        <f>($W748)*(U748)</f>
      </c>
      <c r="Z748" s="7">
        <f>SQRT(X748^2+Y748^2)</f>
      </c>
      <c r="AA748" s="7">
        <f>$K748+$X748</f>
      </c>
      <c r="AB748" s="7">
        <f>$L748+$Y748</f>
      </c>
      <c r="AC748" s="7">
        <f>$K748-$X748</f>
      </c>
      <c r="AD748" s="7">
        <f>$L748-$Y748</f>
      </c>
      <c r="AE748" s="7">
        <f>AA748/39.3701</f>
      </c>
      <c r="AF748" s="7">
        <f>AB748/39.3701</f>
      </c>
      <c r="AG748" s="7">
        <f>AC748/39.3701</f>
      </c>
      <c r="AH748" s="7">
        <f>AD748/39.3701</f>
      </c>
      <c r="AI748" s="1"/>
      <c r="AJ748" s="1"/>
      <c r="AK748" s="1"/>
      <c r="AL748" s="1"/>
      <c r="AM748" s="2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</row>
    <row x14ac:dyDescent="0.25" r="749" customHeight="1" ht="18.75">
      <c r="A749" s="1"/>
      <c r="B749" s="2"/>
      <c r="C749" s="2"/>
      <c r="D749" s="2"/>
      <c r="E749" s="2"/>
      <c r="F749" s="2"/>
      <c r="G749" s="1"/>
      <c r="H749" s="1"/>
      <c r="I749" s="7">
        <v>0.746</v>
      </c>
      <c r="J749" s="7">
        <f>IF((I749-ROUNDDOWN(I749,0))=0, 0, (I749-ROUNDDOWN(I749,0)))</f>
      </c>
      <c r="K749" s="7">
        <f>INDIRECT("C$"&amp;2+MIN(2,ROUNDDOWN(I749,0))*3)*(-$J749^3+3*$J749^2-3*$J749+1)+INDIRECT("C$"&amp;3+MIN(2,ROUNDDOWN(I749,0))*3)*(3*$J749^3-6*$J749^2+3*$J749)+INDIRECT("C$"&amp;4+MIN(2,ROUNDDOWN(I749,0))*3)*(-3*$J749^3+3*$J749^2)+INDIRECT("C$"&amp;5+MIN(2,ROUNDDOWN(I749,0))*3)*$J749^3</f>
      </c>
      <c r="L749" s="7">
        <f>INDIRECT("D$"&amp;2+MIN(2,ROUNDDOWN(I749,0))*3)*(-$J749^3+3*$J749^2-3*$J749+1)+INDIRECT("D$"&amp;3+MIN(2,ROUNDDOWN(I749,0))*3)*(3*$J749^3-6*$J749^2+3*$J749)+INDIRECT("D$"&amp;4+MIN(2,ROUNDDOWN(I749,0))*3)*(-3*$J749^3+3*$J749^2)+INDIRECT("D$"&amp;5+MIN(2,ROUNDDOWN(I749,0))*3)*$J749^3</f>
      </c>
      <c r="M749" s="7">
        <f>SQRT(K749^2+L749^2)</f>
      </c>
      <c r="N749" s="7">
        <f>(K750-K748)</f>
      </c>
      <c r="O749" s="7">
        <f>+(L750-L748)</f>
      </c>
      <c r="P749" s="7">
        <f>SQRT(O749^2+N749^2)</f>
      </c>
      <c r="Q749" s="7">
        <f>N749/$P749</f>
      </c>
      <c r="R749" s="7">
        <f>O749/$P749</f>
      </c>
      <c r="S749" s="7">
        <f>Q749^2+R749^2</f>
      </c>
      <c r="T749" s="7">
        <f>-R749</f>
      </c>
      <c r="U749" s="7">
        <f>Q749</f>
      </c>
      <c r="V749" s="7">
        <f>($C$14+($C$15-$C$14)/($D$15-$D$14)*(I749-$D$14))/2</f>
      </c>
      <c r="W749" s="7">
        <f>($B$22*I749^4+$C$22*I749^3+$D$22*I749^2+$E$22*I749+$F$22)/2</f>
      </c>
      <c r="X749" s="7">
        <f>($W749)*(T749)</f>
      </c>
      <c r="Y749" s="7">
        <f>($W749)*(U749)</f>
      </c>
      <c r="Z749" s="7">
        <f>SQRT(X749^2+Y749^2)</f>
      </c>
      <c r="AA749" s="7">
        <f>$K749+$X749</f>
      </c>
      <c r="AB749" s="7">
        <f>$L749+$Y749</f>
      </c>
      <c r="AC749" s="7">
        <f>$K749-$X749</f>
      </c>
      <c r="AD749" s="7">
        <f>$L749-$Y749</f>
      </c>
      <c r="AE749" s="7">
        <f>AA749/39.3701</f>
      </c>
      <c r="AF749" s="7">
        <f>AB749/39.3701</f>
      </c>
      <c r="AG749" s="7">
        <f>AC749/39.3701</f>
      </c>
      <c r="AH749" s="7">
        <f>AD749/39.3701</f>
      </c>
      <c r="AI749" s="1"/>
      <c r="AJ749" s="1"/>
      <c r="AK749" s="1"/>
      <c r="AL749" s="1"/>
      <c r="AM749" s="2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</row>
    <row x14ac:dyDescent="0.25" r="750" customHeight="1" ht="18.75">
      <c r="A750" s="1"/>
      <c r="B750" s="2"/>
      <c r="C750" s="2"/>
      <c r="D750" s="2"/>
      <c r="E750" s="2"/>
      <c r="F750" s="2"/>
      <c r="G750" s="1"/>
      <c r="H750" s="1"/>
      <c r="I750" s="7">
        <v>0.747</v>
      </c>
      <c r="J750" s="7">
        <f>IF((I750-ROUNDDOWN(I750,0))=0, 0, (I750-ROUNDDOWN(I750,0)))</f>
      </c>
      <c r="K750" s="7">
        <f>INDIRECT("C$"&amp;2+MIN(2,ROUNDDOWN(I750,0))*3)*(-$J750^3+3*$J750^2-3*$J750+1)+INDIRECT("C$"&amp;3+MIN(2,ROUNDDOWN(I750,0))*3)*(3*$J750^3-6*$J750^2+3*$J750)+INDIRECT("C$"&amp;4+MIN(2,ROUNDDOWN(I750,0))*3)*(-3*$J750^3+3*$J750^2)+INDIRECT("C$"&amp;5+MIN(2,ROUNDDOWN(I750,0))*3)*$J750^3</f>
      </c>
      <c r="L750" s="7">
        <f>INDIRECT("D$"&amp;2+MIN(2,ROUNDDOWN(I750,0))*3)*(-$J750^3+3*$J750^2-3*$J750+1)+INDIRECT("D$"&amp;3+MIN(2,ROUNDDOWN(I750,0))*3)*(3*$J750^3-6*$J750^2+3*$J750)+INDIRECT("D$"&amp;4+MIN(2,ROUNDDOWN(I750,0))*3)*(-3*$J750^3+3*$J750^2)+INDIRECT("D$"&amp;5+MIN(2,ROUNDDOWN(I750,0))*3)*$J750^3</f>
      </c>
      <c r="M750" s="7">
        <f>SQRT(K750^2+L750^2)</f>
      </c>
      <c r="N750" s="7">
        <f>(K751-K749)</f>
      </c>
      <c r="O750" s="7">
        <f>+(L751-L749)</f>
      </c>
      <c r="P750" s="7">
        <f>SQRT(O750^2+N750^2)</f>
      </c>
      <c r="Q750" s="7">
        <f>N750/$P750</f>
      </c>
      <c r="R750" s="7">
        <f>O750/$P750</f>
      </c>
      <c r="S750" s="7">
        <f>Q750^2+R750^2</f>
      </c>
      <c r="T750" s="7">
        <f>-R750</f>
      </c>
      <c r="U750" s="7">
        <f>Q750</f>
      </c>
      <c r="V750" s="7">
        <f>($C$14+($C$15-$C$14)/($D$15-$D$14)*(I750-$D$14))/2</f>
      </c>
      <c r="W750" s="7">
        <f>($B$22*I750^4+$C$22*I750^3+$D$22*I750^2+$E$22*I750+$F$22)/2</f>
      </c>
      <c r="X750" s="7">
        <f>($W750)*(T750)</f>
      </c>
      <c r="Y750" s="7">
        <f>($W750)*(U750)</f>
      </c>
      <c r="Z750" s="7">
        <f>SQRT(X750^2+Y750^2)</f>
      </c>
      <c r="AA750" s="7">
        <f>$K750+$X750</f>
      </c>
      <c r="AB750" s="7">
        <f>$L750+$Y750</f>
      </c>
      <c r="AC750" s="7">
        <f>$K750-$X750</f>
      </c>
      <c r="AD750" s="7">
        <f>$L750-$Y750</f>
      </c>
      <c r="AE750" s="7">
        <f>AA750/39.3701</f>
      </c>
      <c r="AF750" s="7">
        <f>AB750/39.3701</f>
      </c>
      <c r="AG750" s="7">
        <f>AC750/39.3701</f>
      </c>
      <c r="AH750" s="7">
        <f>AD750/39.3701</f>
      </c>
      <c r="AI750" s="1"/>
      <c r="AJ750" s="1"/>
      <c r="AK750" s="1"/>
      <c r="AL750" s="1"/>
      <c r="AM750" s="2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</row>
    <row x14ac:dyDescent="0.25" r="751" customHeight="1" ht="18.75">
      <c r="A751" s="1"/>
      <c r="B751" s="2"/>
      <c r="C751" s="2"/>
      <c r="D751" s="2"/>
      <c r="E751" s="2"/>
      <c r="F751" s="2"/>
      <c r="G751" s="1"/>
      <c r="H751" s="1"/>
      <c r="I751" s="7">
        <v>0.748</v>
      </c>
      <c r="J751" s="7">
        <f>IF((I751-ROUNDDOWN(I751,0))=0, 0, (I751-ROUNDDOWN(I751,0)))</f>
      </c>
      <c r="K751" s="7">
        <f>INDIRECT("C$"&amp;2+MIN(2,ROUNDDOWN(I751,0))*3)*(-$J751^3+3*$J751^2-3*$J751+1)+INDIRECT("C$"&amp;3+MIN(2,ROUNDDOWN(I751,0))*3)*(3*$J751^3-6*$J751^2+3*$J751)+INDIRECT("C$"&amp;4+MIN(2,ROUNDDOWN(I751,0))*3)*(-3*$J751^3+3*$J751^2)+INDIRECT("C$"&amp;5+MIN(2,ROUNDDOWN(I751,0))*3)*$J751^3</f>
      </c>
      <c r="L751" s="7">
        <f>INDIRECT("D$"&amp;2+MIN(2,ROUNDDOWN(I751,0))*3)*(-$J751^3+3*$J751^2-3*$J751+1)+INDIRECT("D$"&amp;3+MIN(2,ROUNDDOWN(I751,0))*3)*(3*$J751^3-6*$J751^2+3*$J751)+INDIRECT("D$"&amp;4+MIN(2,ROUNDDOWN(I751,0))*3)*(-3*$J751^3+3*$J751^2)+INDIRECT("D$"&amp;5+MIN(2,ROUNDDOWN(I751,0))*3)*$J751^3</f>
      </c>
      <c r="M751" s="7">
        <f>SQRT(K751^2+L751^2)</f>
      </c>
      <c r="N751" s="7">
        <f>(K752-K750)</f>
      </c>
      <c r="O751" s="7">
        <f>+(L752-L750)</f>
      </c>
      <c r="P751" s="7">
        <f>SQRT(O751^2+N751^2)</f>
      </c>
      <c r="Q751" s="7">
        <f>N751/$P751</f>
      </c>
      <c r="R751" s="7">
        <f>O751/$P751</f>
      </c>
      <c r="S751" s="7">
        <f>Q751^2+R751^2</f>
      </c>
      <c r="T751" s="7">
        <f>-R751</f>
      </c>
      <c r="U751" s="7">
        <f>Q751</f>
      </c>
      <c r="V751" s="7">
        <f>($C$14+($C$15-$C$14)/($D$15-$D$14)*(I751-$D$14))/2</f>
      </c>
      <c r="W751" s="7">
        <f>($B$22*I751^4+$C$22*I751^3+$D$22*I751^2+$E$22*I751+$F$22)/2</f>
      </c>
      <c r="X751" s="7">
        <f>($W751)*(T751)</f>
      </c>
      <c r="Y751" s="7">
        <f>($W751)*(U751)</f>
      </c>
      <c r="Z751" s="7">
        <f>SQRT(X751^2+Y751^2)</f>
      </c>
      <c r="AA751" s="7">
        <f>$K751+$X751</f>
      </c>
      <c r="AB751" s="7">
        <f>$L751+$Y751</f>
      </c>
      <c r="AC751" s="7">
        <f>$K751-$X751</f>
      </c>
      <c r="AD751" s="7">
        <f>$L751-$Y751</f>
      </c>
      <c r="AE751" s="7">
        <f>AA751/39.3701</f>
      </c>
      <c r="AF751" s="7">
        <f>AB751/39.3701</f>
      </c>
      <c r="AG751" s="7">
        <f>AC751/39.3701</f>
      </c>
      <c r="AH751" s="7">
        <f>AD751/39.3701</f>
      </c>
      <c r="AI751" s="1"/>
      <c r="AJ751" s="1"/>
      <c r="AK751" s="1"/>
      <c r="AL751" s="1"/>
      <c r="AM751" s="2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</row>
    <row x14ac:dyDescent="0.25" r="752" customHeight="1" ht="18.75">
      <c r="A752" s="1"/>
      <c r="B752" s="2"/>
      <c r="C752" s="2"/>
      <c r="D752" s="2"/>
      <c r="E752" s="2"/>
      <c r="F752" s="2"/>
      <c r="G752" s="1"/>
      <c r="H752" s="1"/>
      <c r="I752" s="7">
        <v>0.749</v>
      </c>
      <c r="J752" s="7">
        <f>IF((I752-ROUNDDOWN(I752,0))=0, 0, (I752-ROUNDDOWN(I752,0)))</f>
      </c>
      <c r="K752" s="7">
        <f>INDIRECT("C$"&amp;2+MIN(2,ROUNDDOWN(I752,0))*3)*(-$J752^3+3*$J752^2-3*$J752+1)+INDIRECT("C$"&amp;3+MIN(2,ROUNDDOWN(I752,0))*3)*(3*$J752^3-6*$J752^2+3*$J752)+INDIRECT("C$"&amp;4+MIN(2,ROUNDDOWN(I752,0))*3)*(-3*$J752^3+3*$J752^2)+INDIRECT("C$"&amp;5+MIN(2,ROUNDDOWN(I752,0))*3)*$J752^3</f>
      </c>
      <c r="L752" s="7">
        <f>INDIRECT("D$"&amp;2+MIN(2,ROUNDDOWN(I752,0))*3)*(-$J752^3+3*$J752^2-3*$J752+1)+INDIRECT("D$"&amp;3+MIN(2,ROUNDDOWN(I752,0))*3)*(3*$J752^3-6*$J752^2+3*$J752)+INDIRECT("D$"&amp;4+MIN(2,ROUNDDOWN(I752,0))*3)*(-3*$J752^3+3*$J752^2)+INDIRECT("D$"&amp;5+MIN(2,ROUNDDOWN(I752,0))*3)*$J752^3</f>
      </c>
      <c r="M752" s="7">
        <f>SQRT(K752^2+L752^2)</f>
      </c>
      <c r="N752" s="7">
        <f>(K753-K751)</f>
      </c>
      <c r="O752" s="7">
        <f>+(L753-L751)</f>
      </c>
      <c r="P752" s="7">
        <f>SQRT(O752^2+N752^2)</f>
      </c>
      <c r="Q752" s="7">
        <f>N752/$P752</f>
      </c>
      <c r="R752" s="7">
        <f>O752/$P752</f>
      </c>
      <c r="S752" s="7">
        <f>Q752^2+R752^2</f>
      </c>
      <c r="T752" s="7">
        <f>-R752</f>
      </c>
      <c r="U752" s="7">
        <f>Q752</f>
      </c>
      <c r="V752" s="7">
        <f>($C$14+($C$15-$C$14)/($D$15-$D$14)*(I752-$D$14))/2</f>
      </c>
      <c r="W752" s="7">
        <f>($B$22*I752^4+$C$22*I752^3+$D$22*I752^2+$E$22*I752+$F$22)/2</f>
      </c>
      <c r="X752" s="7">
        <f>($W752)*(T752)</f>
      </c>
      <c r="Y752" s="7">
        <f>($W752)*(U752)</f>
      </c>
      <c r="Z752" s="7">
        <f>SQRT(X752^2+Y752^2)</f>
      </c>
      <c r="AA752" s="7">
        <f>$K752+$X752</f>
      </c>
      <c r="AB752" s="7">
        <f>$L752+$Y752</f>
      </c>
      <c r="AC752" s="7">
        <f>$K752-$X752</f>
      </c>
      <c r="AD752" s="7">
        <f>$L752-$Y752</f>
      </c>
      <c r="AE752" s="7">
        <f>AA752/39.3701</f>
      </c>
      <c r="AF752" s="7">
        <f>AB752/39.3701</f>
      </c>
      <c r="AG752" s="7">
        <f>AC752/39.3701</f>
      </c>
      <c r="AH752" s="7">
        <f>AD752/39.3701</f>
      </c>
      <c r="AI752" s="1"/>
      <c r="AJ752" s="1"/>
      <c r="AK752" s="1"/>
      <c r="AL752" s="1"/>
      <c r="AM752" s="2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</row>
    <row x14ac:dyDescent="0.25" r="753" customHeight="1" ht="18.75">
      <c r="A753" s="1"/>
      <c r="B753" s="2"/>
      <c r="C753" s="2"/>
      <c r="D753" s="2"/>
      <c r="E753" s="2"/>
      <c r="F753" s="2"/>
      <c r="G753" s="1"/>
      <c r="H753" s="1"/>
      <c r="I753" s="7">
        <v>0.75</v>
      </c>
      <c r="J753" s="7">
        <f>IF((I753-ROUNDDOWN(I753,0))=0, 0, (I753-ROUNDDOWN(I753,0)))</f>
      </c>
      <c r="K753" s="7">
        <f>INDIRECT("C$"&amp;2+MIN(2,ROUNDDOWN(I753,0))*3)*(-$J753^3+3*$J753^2-3*$J753+1)+INDIRECT("C$"&amp;3+MIN(2,ROUNDDOWN(I753,0))*3)*(3*$J753^3-6*$J753^2+3*$J753)+INDIRECT("C$"&amp;4+MIN(2,ROUNDDOWN(I753,0))*3)*(-3*$J753^3+3*$J753^2)+INDIRECT("C$"&amp;5+MIN(2,ROUNDDOWN(I753,0))*3)*$J753^3</f>
      </c>
      <c r="L753" s="7">
        <f>INDIRECT("D$"&amp;2+MIN(2,ROUNDDOWN(I753,0))*3)*(-$J753^3+3*$J753^2-3*$J753+1)+INDIRECT("D$"&amp;3+MIN(2,ROUNDDOWN(I753,0))*3)*(3*$J753^3-6*$J753^2+3*$J753)+INDIRECT("D$"&amp;4+MIN(2,ROUNDDOWN(I753,0))*3)*(-3*$J753^3+3*$J753^2)+INDIRECT("D$"&amp;5+MIN(2,ROUNDDOWN(I753,0))*3)*$J753^3</f>
      </c>
      <c r="M753" s="7">
        <f>SQRT(K753^2+L753^2)</f>
      </c>
      <c r="N753" s="7">
        <f>(K754-K752)</f>
      </c>
      <c r="O753" s="7">
        <f>+(L754-L752)</f>
      </c>
      <c r="P753" s="7">
        <f>SQRT(O753^2+N753^2)</f>
      </c>
      <c r="Q753" s="7">
        <f>N753/$P753</f>
      </c>
      <c r="R753" s="7">
        <f>O753/$P753</f>
      </c>
      <c r="S753" s="7">
        <f>Q753^2+R753^2</f>
      </c>
      <c r="T753" s="7">
        <f>-R753</f>
      </c>
      <c r="U753" s="7">
        <f>Q753</f>
      </c>
      <c r="V753" s="7">
        <f>($C$14+($C$15-$C$14)/($D$15-$D$14)*(I753-$D$14))/2</f>
      </c>
      <c r="W753" s="7">
        <f>($B$22*I753^4+$C$22*I753^3+$D$22*I753^2+$E$22*I753+$F$22)/2</f>
      </c>
      <c r="X753" s="7">
        <f>($W753)*(T753)</f>
      </c>
      <c r="Y753" s="7">
        <f>($W753)*(U753)</f>
      </c>
      <c r="Z753" s="7">
        <f>SQRT(X753^2+Y753^2)</f>
      </c>
      <c r="AA753" s="7">
        <f>$K753+$X753</f>
      </c>
      <c r="AB753" s="7">
        <f>$L753+$Y753</f>
      </c>
      <c r="AC753" s="7">
        <f>$K753-$X753</f>
      </c>
      <c r="AD753" s="7">
        <f>$L753-$Y753</f>
      </c>
      <c r="AE753" s="7">
        <f>AA753/39.3701</f>
      </c>
      <c r="AF753" s="7">
        <f>AB753/39.3701</f>
      </c>
      <c r="AG753" s="7">
        <f>AC753/39.3701</f>
      </c>
      <c r="AH753" s="7">
        <f>AD753/39.3701</f>
      </c>
      <c r="AI753" s="1"/>
      <c r="AJ753" s="1"/>
      <c r="AK753" s="1"/>
      <c r="AL753" s="1"/>
      <c r="AM753" s="2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</row>
    <row x14ac:dyDescent="0.25" r="754" customHeight="1" ht="18.75">
      <c r="A754" s="1"/>
      <c r="B754" s="2"/>
      <c r="C754" s="2"/>
      <c r="D754" s="2"/>
      <c r="E754" s="2"/>
      <c r="F754" s="2"/>
      <c r="G754" s="1"/>
      <c r="H754" s="1"/>
      <c r="I754" s="7">
        <v>0.751</v>
      </c>
      <c r="J754" s="7">
        <f>IF((I754-ROUNDDOWN(I754,0))=0, 0, (I754-ROUNDDOWN(I754,0)))</f>
      </c>
      <c r="K754" s="7">
        <f>INDIRECT("C$"&amp;2+MIN(2,ROUNDDOWN(I754,0))*3)*(-$J754^3+3*$J754^2-3*$J754+1)+INDIRECT("C$"&amp;3+MIN(2,ROUNDDOWN(I754,0))*3)*(3*$J754^3-6*$J754^2+3*$J754)+INDIRECT("C$"&amp;4+MIN(2,ROUNDDOWN(I754,0))*3)*(-3*$J754^3+3*$J754^2)+INDIRECT("C$"&amp;5+MIN(2,ROUNDDOWN(I754,0))*3)*$J754^3</f>
      </c>
      <c r="L754" s="7">
        <f>INDIRECT("D$"&amp;2+MIN(2,ROUNDDOWN(I754,0))*3)*(-$J754^3+3*$J754^2-3*$J754+1)+INDIRECT("D$"&amp;3+MIN(2,ROUNDDOWN(I754,0))*3)*(3*$J754^3-6*$J754^2+3*$J754)+INDIRECT("D$"&amp;4+MIN(2,ROUNDDOWN(I754,0))*3)*(-3*$J754^3+3*$J754^2)+INDIRECT("D$"&amp;5+MIN(2,ROUNDDOWN(I754,0))*3)*$J754^3</f>
      </c>
      <c r="M754" s="7">
        <f>SQRT(K754^2+L754^2)</f>
      </c>
      <c r="N754" s="7">
        <f>(K755-K753)</f>
      </c>
      <c r="O754" s="7">
        <f>+(L755-L753)</f>
      </c>
      <c r="P754" s="7">
        <f>SQRT(O754^2+N754^2)</f>
      </c>
      <c r="Q754" s="7">
        <f>N754/$P754</f>
      </c>
      <c r="R754" s="7">
        <f>O754/$P754</f>
      </c>
      <c r="S754" s="7">
        <f>Q754^2+R754^2</f>
      </c>
      <c r="T754" s="7">
        <f>-R754</f>
      </c>
      <c r="U754" s="7">
        <f>Q754</f>
      </c>
      <c r="V754" s="7">
        <f>($C$14+($C$15-$C$14)/($D$15-$D$14)*(I754-$D$14))/2</f>
      </c>
      <c r="W754" s="7">
        <f>($B$22*I754^4+$C$22*I754^3+$D$22*I754^2+$E$22*I754+$F$22)/2</f>
      </c>
      <c r="X754" s="7">
        <f>($W754)*(T754)</f>
      </c>
      <c r="Y754" s="7">
        <f>($W754)*(U754)</f>
      </c>
      <c r="Z754" s="7">
        <f>SQRT(X754^2+Y754^2)</f>
      </c>
      <c r="AA754" s="7">
        <f>$K754+$X754</f>
      </c>
      <c r="AB754" s="7">
        <f>$L754+$Y754</f>
      </c>
      <c r="AC754" s="7">
        <f>$K754-$X754</f>
      </c>
      <c r="AD754" s="7">
        <f>$L754-$Y754</f>
      </c>
      <c r="AE754" s="7">
        <f>AA754/39.3701</f>
      </c>
      <c r="AF754" s="7">
        <f>AB754/39.3701</f>
      </c>
      <c r="AG754" s="7">
        <f>AC754/39.3701</f>
      </c>
      <c r="AH754" s="7">
        <f>AD754/39.3701</f>
      </c>
      <c r="AI754" s="1"/>
      <c r="AJ754" s="1"/>
      <c r="AK754" s="1"/>
      <c r="AL754" s="1"/>
      <c r="AM754" s="2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</row>
    <row x14ac:dyDescent="0.25" r="755" customHeight="1" ht="18.75">
      <c r="A755" s="1"/>
      <c r="B755" s="2"/>
      <c r="C755" s="2"/>
      <c r="D755" s="2"/>
      <c r="E755" s="2"/>
      <c r="F755" s="2"/>
      <c r="G755" s="1"/>
      <c r="H755" s="1"/>
      <c r="I755" s="7">
        <v>0.752</v>
      </c>
      <c r="J755" s="7">
        <f>IF((I755-ROUNDDOWN(I755,0))=0, 0, (I755-ROUNDDOWN(I755,0)))</f>
      </c>
      <c r="K755" s="7">
        <f>INDIRECT("C$"&amp;2+MIN(2,ROUNDDOWN(I755,0))*3)*(-$J755^3+3*$J755^2-3*$J755+1)+INDIRECT("C$"&amp;3+MIN(2,ROUNDDOWN(I755,0))*3)*(3*$J755^3-6*$J755^2+3*$J755)+INDIRECT("C$"&amp;4+MIN(2,ROUNDDOWN(I755,0))*3)*(-3*$J755^3+3*$J755^2)+INDIRECT("C$"&amp;5+MIN(2,ROUNDDOWN(I755,0))*3)*$J755^3</f>
      </c>
      <c r="L755" s="7">
        <f>INDIRECT("D$"&amp;2+MIN(2,ROUNDDOWN(I755,0))*3)*(-$J755^3+3*$J755^2-3*$J755+1)+INDIRECT("D$"&amp;3+MIN(2,ROUNDDOWN(I755,0))*3)*(3*$J755^3-6*$J755^2+3*$J755)+INDIRECT("D$"&amp;4+MIN(2,ROUNDDOWN(I755,0))*3)*(-3*$J755^3+3*$J755^2)+INDIRECT("D$"&amp;5+MIN(2,ROUNDDOWN(I755,0))*3)*$J755^3</f>
      </c>
      <c r="M755" s="7">
        <f>SQRT(K755^2+L755^2)</f>
      </c>
      <c r="N755" s="7">
        <f>(K756-K754)</f>
      </c>
      <c r="O755" s="7">
        <f>+(L756-L754)</f>
      </c>
      <c r="P755" s="7">
        <f>SQRT(O755^2+N755^2)</f>
      </c>
      <c r="Q755" s="7">
        <f>N755/$P755</f>
      </c>
      <c r="R755" s="7">
        <f>O755/$P755</f>
      </c>
      <c r="S755" s="8">
        <f>Q755^2+R755^2</f>
      </c>
      <c r="T755" s="7">
        <f>-R755</f>
      </c>
      <c r="U755" s="7">
        <f>Q755</f>
      </c>
      <c r="V755" s="7">
        <f>($C$14+($C$15-$C$14)/($D$15-$D$14)*(I755-$D$14))/2</f>
      </c>
      <c r="W755" s="7">
        <f>($B$22*I755^4+$C$22*I755^3+$D$22*I755^2+$E$22*I755+$F$22)/2</f>
      </c>
      <c r="X755" s="7">
        <f>($W755)*(T755)</f>
      </c>
      <c r="Y755" s="7">
        <f>($W755)*(U755)</f>
      </c>
      <c r="Z755" s="7">
        <f>SQRT(X755^2+Y755^2)</f>
      </c>
      <c r="AA755" s="7">
        <f>$K755+$X755</f>
      </c>
      <c r="AB755" s="7">
        <f>$L755+$Y755</f>
      </c>
      <c r="AC755" s="7">
        <f>$K755-$X755</f>
      </c>
      <c r="AD755" s="7">
        <f>$L755-$Y755</f>
      </c>
      <c r="AE755" s="7">
        <f>AA755/39.3701</f>
      </c>
      <c r="AF755" s="7">
        <f>AB755/39.3701</f>
      </c>
      <c r="AG755" s="7">
        <f>AC755/39.3701</f>
      </c>
      <c r="AH755" s="7">
        <f>AD755/39.3701</f>
      </c>
      <c r="AI755" s="1"/>
      <c r="AJ755" s="1"/>
      <c r="AK755" s="1"/>
      <c r="AL755" s="1"/>
      <c r="AM755" s="2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</row>
    <row x14ac:dyDescent="0.25" r="756" customHeight="1" ht="18.75">
      <c r="A756" s="1"/>
      <c r="B756" s="2"/>
      <c r="C756" s="2"/>
      <c r="D756" s="2"/>
      <c r="E756" s="2"/>
      <c r="F756" s="2"/>
      <c r="G756" s="1"/>
      <c r="H756" s="1"/>
      <c r="I756" s="7">
        <v>0.753</v>
      </c>
      <c r="J756" s="7">
        <f>IF((I756-ROUNDDOWN(I756,0))=0, 0, (I756-ROUNDDOWN(I756,0)))</f>
      </c>
      <c r="K756" s="7">
        <f>INDIRECT("C$"&amp;2+MIN(2,ROUNDDOWN(I756,0))*3)*(-$J756^3+3*$J756^2-3*$J756+1)+INDIRECT("C$"&amp;3+MIN(2,ROUNDDOWN(I756,0))*3)*(3*$J756^3-6*$J756^2+3*$J756)+INDIRECT("C$"&amp;4+MIN(2,ROUNDDOWN(I756,0))*3)*(-3*$J756^3+3*$J756^2)+INDIRECT("C$"&amp;5+MIN(2,ROUNDDOWN(I756,0))*3)*$J756^3</f>
      </c>
      <c r="L756" s="7">
        <f>INDIRECT("D$"&amp;2+MIN(2,ROUNDDOWN(I756,0))*3)*(-$J756^3+3*$J756^2-3*$J756+1)+INDIRECT("D$"&amp;3+MIN(2,ROUNDDOWN(I756,0))*3)*(3*$J756^3-6*$J756^2+3*$J756)+INDIRECT("D$"&amp;4+MIN(2,ROUNDDOWN(I756,0))*3)*(-3*$J756^3+3*$J756^2)+INDIRECT("D$"&amp;5+MIN(2,ROUNDDOWN(I756,0))*3)*$J756^3</f>
      </c>
      <c r="M756" s="7">
        <f>SQRT(K756^2+L756^2)</f>
      </c>
      <c r="N756" s="7">
        <f>(K757-K755)</f>
      </c>
      <c r="O756" s="7">
        <f>+(L757-L755)</f>
      </c>
      <c r="P756" s="7">
        <f>SQRT(O756^2+N756^2)</f>
      </c>
      <c r="Q756" s="7">
        <f>N756/$P756</f>
      </c>
      <c r="R756" s="7">
        <f>O756/$P756</f>
      </c>
      <c r="S756" s="7">
        <f>Q756^2+R756^2</f>
      </c>
      <c r="T756" s="7">
        <f>-R756</f>
      </c>
      <c r="U756" s="7">
        <f>Q756</f>
      </c>
      <c r="V756" s="7">
        <f>($C$14+($C$15-$C$14)/($D$15-$D$14)*(I756-$D$14))/2</f>
      </c>
      <c r="W756" s="7">
        <f>($B$22*I756^4+$C$22*I756^3+$D$22*I756^2+$E$22*I756+$F$22)/2</f>
      </c>
      <c r="X756" s="7">
        <f>($W756)*(T756)</f>
      </c>
      <c r="Y756" s="7">
        <f>($W756)*(U756)</f>
      </c>
      <c r="Z756" s="7">
        <f>SQRT(X756^2+Y756^2)</f>
      </c>
      <c r="AA756" s="7">
        <f>$K756+$X756</f>
      </c>
      <c r="AB756" s="7">
        <f>$L756+$Y756</f>
      </c>
      <c r="AC756" s="7">
        <f>$K756-$X756</f>
      </c>
      <c r="AD756" s="7">
        <f>$L756-$Y756</f>
      </c>
      <c r="AE756" s="7">
        <f>AA756/39.3701</f>
      </c>
      <c r="AF756" s="7">
        <f>AB756/39.3701</f>
      </c>
      <c r="AG756" s="7">
        <f>AC756/39.3701</f>
      </c>
      <c r="AH756" s="7">
        <f>AD756/39.3701</f>
      </c>
      <c r="AI756" s="1"/>
      <c r="AJ756" s="1"/>
      <c r="AK756" s="1"/>
      <c r="AL756" s="1"/>
      <c r="AM756" s="2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</row>
    <row x14ac:dyDescent="0.25" r="757" customHeight="1" ht="18.75">
      <c r="A757" s="1"/>
      <c r="B757" s="2"/>
      <c r="C757" s="2"/>
      <c r="D757" s="2"/>
      <c r="E757" s="2"/>
      <c r="F757" s="2"/>
      <c r="G757" s="1"/>
      <c r="H757" s="1"/>
      <c r="I757" s="7">
        <v>0.754</v>
      </c>
      <c r="J757" s="7">
        <f>IF((I757-ROUNDDOWN(I757,0))=0, 0, (I757-ROUNDDOWN(I757,0)))</f>
      </c>
      <c r="K757" s="7">
        <f>INDIRECT("C$"&amp;2+MIN(2,ROUNDDOWN(I757,0))*3)*(-$J757^3+3*$J757^2-3*$J757+1)+INDIRECT("C$"&amp;3+MIN(2,ROUNDDOWN(I757,0))*3)*(3*$J757^3-6*$J757^2+3*$J757)+INDIRECT("C$"&amp;4+MIN(2,ROUNDDOWN(I757,0))*3)*(-3*$J757^3+3*$J757^2)+INDIRECT("C$"&amp;5+MIN(2,ROUNDDOWN(I757,0))*3)*$J757^3</f>
      </c>
      <c r="L757" s="7">
        <f>INDIRECT("D$"&amp;2+MIN(2,ROUNDDOWN(I757,0))*3)*(-$J757^3+3*$J757^2-3*$J757+1)+INDIRECT("D$"&amp;3+MIN(2,ROUNDDOWN(I757,0))*3)*(3*$J757^3-6*$J757^2+3*$J757)+INDIRECT("D$"&amp;4+MIN(2,ROUNDDOWN(I757,0))*3)*(-3*$J757^3+3*$J757^2)+INDIRECT("D$"&amp;5+MIN(2,ROUNDDOWN(I757,0))*3)*$J757^3</f>
      </c>
      <c r="M757" s="7">
        <f>SQRT(K757^2+L757^2)</f>
      </c>
      <c r="N757" s="7">
        <f>(K758-K756)</f>
      </c>
      <c r="O757" s="7">
        <f>+(L758-L756)</f>
      </c>
      <c r="P757" s="7">
        <f>SQRT(O757^2+N757^2)</f>
      </c>
      <c r="Q757" s="7">
        <f>N757/$P757</f>
      </c>
      <c r="R757" s="7">
        <f>O757/$P757</f>
      </c>
      <c r="S757" s="8">
        <f>Q757^2+R757^2</f>
      </c>
      <c r="T757" s="7">
        <f>-R757</f>
      </c>
      <c r="U757" s="7">
        <f>Q757</f>
      </c>
      <c r="V757" s="7">
        <f>($C$14+($C$15-$C$14)/($D$15-$D$14)*(I757-$D$14))/2</f>
      </c>
      <c r="W757" s="7">
        <f>($B$22*I757^4+$C$22*I757^3+$D$22*I757^2+$E$22*I757+$F$22)/2</f>
      </c>
      <c r="X757" s="7">
        <f>($W757)*(T757)</f>
      </c>
      <c r="Y757" s="7">
        <f>($W757)*(U757)</f>
      </c>
      <c r="Z757" s="7">
        <f>SQRT(X757^2+Y757^2)</f>
      </c>
      <c r="AA757" s="7">
        <f>$K757+$X757</f>
      </c>
      <c r="AB757" s="7">
        <f>$L757+$Y757</f>
      </c>
      <c r="AC757" s="7">
        <f>$K757-$X757</f>
      </c>
      <c r="AD757" s="7">
        <f>$L757-$Y757</f>
      </c>
      <c r="AE757" s="7">
        <f>AA757/39.3701</f>
      </c>
      <c r="AF757" s="7">
        <f>AB757/39.3701</f>
      </c>
      <c r="AG757" s="7">
        <f>AC757/39.3701</f>
      </c>
      <c r="AH757" s="7">
        <f>AD757/39.3701</f>
      </c>
      <c r="AI757" s="1"/>
      <c r="AJ757" s="1"/>
      <c r="AK757" s="1"/>
      <c r="AL757" s="1"/>
      <c r="AM757" s="2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</row>
    <row x14ac:dyDescent="0.25" r="758" customHeight="1" ht="18.75">
      <c r="A758" s="1"/>
      <c r="B758" s="2"/>
      <c r="C758" s="2"/>
      <c r="D758" s="2"/>
      <c r="E758" s="2"/>
      <c r="F758" s="2"/>
      <c r="G758" s="1"/>
      <c r="H758" s="1"/>
      <c r="I758" s="7">
        <v>0.755</v>
      </c>
      <c r="J758" s="7">
        <f>IF((I758-ROUNDDOWN(I758,0))=0, 0, (I758-ROUNDDOWN(I758,0)))</f>
      </c>
      <c r="K758" s="7">
        <f>INDIRECT("C$"&amp;2+MIN(2,ROUNDDOWN(I758,0))*3)*(-$J758^3+3*$J758^2-3*$J758+1)+INDIRECT("C$"&amp;3+MIN(2,ROUNDDOWN(I758,0))*3)*(3*$J758^3-6*$J758^2+3*$J758)+INDIRECT("C$"&amp;4+MIN(2,ROUNDDOWN(I758,0))*3)*(-3*$J758^3+3*$J758^2)+INDIRECT("C$"&amp;5+MIN(2,ROUNDDOWN(I758,0))*3)*$J758^3</f>
      </c>
      <c r="L758" s="7">
        <f>INDIRECT("D$"&amp;2+MIN(2,ROUNDDOWN(I758,0))*3)*(-$J758^3+3*$J758^2-3*$J758+1)+INDIRECT("D$"&amp;3+MIN(2,ROUNDDOWN(I758,0))*3)*(3*$J758^3-6*$J758^2+3*$J758)+INDIRECT("D$"&amp;4+MIN(2,ROUNDDOWN(I758,0))*3)*(-3*$J758^3+3*$J758^2)+INDIRECT("D$"&amp;5+MIN(2,ROUNDDOWN(I758,0))*3)*$J758^3</f>
      </c>
      <c r="M758" s="7">
        <f>SQRT(K758^2+L758^2)</f>
      </c>
      <c r="N758" s="7">
        <f>(K759-K757)</f>
      </c>
      <c r="O758" s="7">
        <f>+(L759-L757)</f>
      </c>
      <c r="P758" s="7">
        <f>SQRT(O758^2+N758^2)</f>
      </c>
      <c r="Q758" s="7">
        <f>N758/$P758</f>
      </c>
      <c r="R758" s="7">
        <f>O758/$P758</f>
      </c>
      <c r="S758" s="8">
        <f>Q758^2+R758^2</f>
      </c>
      <c r="T758" s="7">
        <f>-R758</f>
      </c>
      <c r="U758" s="7">
        <f>Q758</f>
      </c>
      <c r="V758" s="7">
        <f>($C$14+($C$15-$C$14)/($D$15-$D$14)*(I758-$D$14))/2</f>
      </c>
      <c r="W758" s="7">
        <f>($B$22*I758^4+$C$22*I758^3+$D$22*I758^2+$E$22*I758+$F$22)/2</f>
      </c>
      <c r="X758" s="7">
        <f>($W758)*(T758)</f>
      </c>
      <c r="Y758" s="7">
        <f>($W758)*(U758)</f>
      </c>
      <c r="Z758" s="7">
        <f>SQRT(X758^2+Y758^2)</f>
      </c>
      <c r="AA758" s="7">
        <f>$K758+$X758</f>
      </c>
      <c r="AB758" s="7">
        <f>$L758+$Y758</f>
      </c>
      <c r="AC758" s="7">
        <f>$K758-$X758</f>
      </c>
      <c r="AD758" s="7">
        <f>$L758-$Y758</f>
      </c>
      <c r="AE758" s="7">
        <f>AA758/39.3701</f>
      </c>
      <c r="AF758" s="7">
        <f>AB758/39.3701</f>
      </c>
      <c r="AG758" s="7">
        <f>AC758/39.3701</f>
      </c>
      <c r="AH758" s="7">
        <f>AD758/39.3701</f>
      </c>
      <c r="AI758" s="1"/>
      <c r="AJ758" s="1"/>
      <c r="AK758" s="1"/>
      <c r="AL758" s="1"/>
      <c r="AM758" s="2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</row>
    <row x14ac:dyDescent="0.25" r="759" customHeight="1" ht="18.75">
      <c r="A759" s="1"/>
      <c r="B759" s="2"/>
      <c r="C759" s="2"/>
      <c r="D759" s="2"/>
      <c r="E759" s="2"/>
      <c r="F759" s="2"/>
      <c r="G759" s="1"/>
      <c r="H759" s="1"/>
      <c r="I759" s="7">
        <v>0.756</v>
      </c>
      <c r="J759" s="7">
        <f>IF((I759-ROUNDDOWN(I759,0))=0, 0, (I759-ROUNDDOWN(I759,0)))</f>
      </c>
      <c r="K759" s="7">
        <f>INDIRECT("C$"&amp;2+MIN(2,ROUNDDOWN(I759,0))*3)*(-$J759^3+3*$J759^2-3*$J759+1)+INDIRECT("C$"&amp;3+MIN(2,ROUNDDOWN(I759,0))*3)*(3*$J759^3-6*$J759^2+3*$J759)+INDIRECT("C$"&amp;4+MIN(2,ROUNDDOWN(I759,0))*3)*(-3*$J759^3+3*$J759^2)+INDIRECT("C$"&amp;5+MIN(2,ROUNDDOWN(I759,0))*3)*$J759^3</f>
      </c>
      <c r="L759" s="7">
        <f>INDIRECT("D$"&amp;2+MIN(2,ROUNDDOWN(I759,0))*3)*(-$J759^3+3*$J759^2-3*$J759+1)+INDIRECT("D$"&amp;3+MIN(2,ROUNDDOWN(I759,0))*3)*(3*$J759^3-6*$J759^2+3*$J759)+INDIRECT("D$"&amp;4+MIN(2,ROUNDDOWN(I759,0))*3)*(-3*$J759^3+3*$J759^2)+INDIRECT("D$"&amp;5+MIN(2,ROUNDDOWN(I759,0))*3)*$J759^3</f>
      </c>
      <c r="M759" s="7">
        <f>SQRT(K759^2+L759^2)</f>
      </c>
      <c r="N759" s="7">
        <f>(K760-K758)</f>
      </c>
      <c r="O759" s="7">
        <f>+(L760-L758)</f>
      </c>
      <c r="P759" s="7">
        <f>SQRT(O759^2+N759^2)</f>
      </c>
      <c r="Q759" s="7">
        <f>N759/$P759</f>
      </c>
      <c r="R759" s="7">
        <f>O759/$P759</f>
      </c>
      <c r="S759" s="8">
        <f>Q759^2+R759^2</f>
      </c>
      <c r="T759" s="7">
        <f>-R759</f>
      </c>
      <c r="U759" s="7">
        <f>Q759</f>
      </c>
      <c r="V759" s="7">
        <f>($C$14+($C$15-$C$14)/($D$15-$D$14)*(I759-$D$14))/2</f>
      </c>
      <c r="W759" s="7">
        <f>($B$22*I759^4+$C$22*I759^3+$D$22*I759^2+$E$22*I759+$F$22)/2</f>
      </c>
      <c r="X759" s="7">
        <f>($W759)*(T759)</f>
      </c>
      <c r="Y759" s="7">
        <f>($W759)*(U759)</f>
      </c>
      <c r="Z759" s="7">
        <f>SQRT(X759^2+Y759^2)</f>
      </c>
      <c r="AA759" s="7">
        <f>$K759+$X759</f>
      </c>
      <c r="AB759" s="7">
        <f>$L759+$Y759</f>
      </c>
      <c r="AC759" s="7">
        <f>$K759-$X759</f>
      </c>
      <c r="AD759" s="7">
        <f>$L759-$Y759</f>
      </c>
      <c r="AE759" s="7">
        <f>AA759/39.3701</f>
      </c>
      <c r="AF759" s="7">
        <f>AB759/39.3701</f>
      </c>
      <c r="AG759" s="7">
        <f>AC759/39.3701</f>
      </c>
      <c r="AH759" s="7">
        <f>AD759/39.3701</f>
      </c>
      <c r="AI759" s="1"/>
      <c r="AJ759" s="1"/>
      <c r="AK759" s="1"/>
      <c r="AL759" s="1"/>
      <c r="AM759" s="2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</row>
    <row x14ac:dyDescent="0.25" r="760" customHeight="1" ht="18.75">
      <c r="A760" s="1"/>
      <c r="B760" s="2"/>
      <c r="C760" s="2"/>
      <c r="D760" s="2"/>
      <c r="E760" s="2"/>
      <c r="F760" s="2"/>
      <c r="G760" s="1"/>
      <c r="H760" s="1"/>
      <c r="I760" s="7">
        <v>0.757</v>
      </c>
      <c r="J760" s="7">
        <f>IF((I760-ROUNDDOWN(I760,0))=0, 0, (I760-ROUNDDOWN(I760,0)))</f>
      </c>
      <c r="K760" s="7">
        <f>INDIRECT("C$"&amp;2+MIN(2,ROUNDDOWN(I760,0))*3)*(-$J760^3+3*$J760^2-3*$J760+1)+INDIRECT("C$"&amp;3+MIN(2,ROUNDDOWN(I760,0))*3)*(3*$J760^3-6*$J760^2+3*$J760)+INDIRECT("C$"&amp;4+MIN(2,ROUNDDOWN(I760,0))*3)*(-3*$J760^3+3*$J760^2)+INDIRECT("C$"&amp;5+MIN(2,ROUNDDOWN(I760,0))*3)*$J760^3</f>
      </c>
      <c r="L760" s="7">
        <f>INDIRECT("D$"&amp;2+MIN(2,ROUNDDOWN(I760,0))*3)*(-$J760^3+3*$J760^2-3*$J760+1)+INDIRECT("D$"&amp;3+MIN(2,ROUNDDOWN(I760,0))*3)*(3*$J760^3-6*$J760^2+3*$J760)+INDIRECT("D$"&amp;4+MIN(2,ROUNDDOWN(I760,0))*3)*(-3*$J760^3+3*$J760^2)+INDIRECT("D$"&amp;5+MIN(2,ROUNDDOWN(I760,0))*3)*$J760^3</f>
      </c>
      <c r="M760" s="7">
        <f>SQRT(K760^2+L760^2)</f>
      </c>
      <c r="N760" s="7">
        <f>(K761-K759)</f>
      </c>
      <c r="O760" s="7">
        <f>+(L761-L759)</f>
      </c>
      <c r="P760" s="7">
        <f>SQRT(O760^2+N760^2)</f>
      </c>
      <c r="Q760" s="7">
        <f>N760/$P760</f>
      </c>
      <c r="R760" s="7">
        <f>O760/$P760</f>
      </c>
      <c r="S760" s="8">
        <f>Q760^2+R760^2</f>
      </c>
      <c r="T760" s="7">
        <f>-R760</f>
      </c>
      <c r="U760" s="7">
        <f>Q760</f>
      </c>
      <c r="V760" s="7">
        <f>($C$14+($C$15-$C$14)/($D$15-$D$14)*(I760-$D$14))/2</f>
      </c>
      <c r="W760" s="7">
        <f>($B$22*I760^4+$C$22*I760^3+$D$22*I760^2+$E$22*I760+$F$22)/2</f>
      </c>
      <c r="X760" s="7">
        <f>($W760)*(T760)</f>
      </c>
      <c r="Y760" s="7">
        <f>($W760)*(U760)</f>
      </c>
      <c r="Z760" s="7">
        <f>SQRT(X760^2+Y760^2)</f>
      </c>
      <c r="AA760" s="7">
        <f>$K760+$X760</f>
      </c>
      <c r="AB760" s="7">
        <f>$L760+$Y760</f>
      </c>
      <c r="AC760" s="7">
        <f>$K760-$X760</f>
      </c>
      <c r="AD760" s="7">
        <f>$L760-$Y760</f>
      </c>
      <c r="AE760" s="7">
        <f>AA760/39.3701</f>
      </c>
      <c r="AF760" s="7">
        <f>AB760/39.3701</f>
      </c>
      <c r="AG760" s="7">
        <f>AC760/39.3701</f>
      </c>
      <c r="AH760" s="7">
        <f>AD760/39.3701</f>
      </c>
      <c r="AI760" s="1"/>
      <c r="AJ760" s="1"/>
      <c r="AK760" s="1"/>
      <c r="AL760" s="1"/>
      <c r="AM760" s="2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</row>
    <row x14ac:dyDescent="0.25" r="761" customHeight="1" ht="18.75">
      <c r="A761" s="1"/>
      <c r="B761" s="2"/>
      <c r="C761" s="2"/>
      <c r="D761" s="2"/>
      <c r="E761" s="2"/>
      <c r="F761" s="2"/>
      <c r="G761" s="1"/>
      <c r="H761" s="1"/>
      <c r="I761" s="7">
        <v>0.758</v>
      </c>
      <c r="J761" s="7">
        <f>IF((I761-ROUNDDOWN(I761,0))=0, 0, (I761-ROUNDDOWN(I761,0)))</f>
      </c>
      <c r="K761" s="7">
        <f>INDIRECT("C$"&amp;2+MIN(2,ROUNDDOWN(I761,0))*3)*(-$J761^3+3*$J761^2-3*$J761+1)+INDIRECT("C$"&amp;3+MIN(2,ROUNDDOWN(I761,0))*3)*(3*$J761^3-6*$J761^2+3*$J761)+INDIRECT("C$"&amp;4+MIN(2,ROUNDDOWN(I761,0))*3)*(-3*$J761^3+3*$J761^2)+INDIRECT("C$"&amp;5+MIN(2,ROUNDDOWN(I761,0))*3)*$J761^3</f>
      </c>
      <c r="L761" s="7">
        <f>INDIRECT("D$"&amp;2+MIN(2,ROUNDDOWN(I761,0))*3)*(-$J761^3+3*$J761^2-3*$J761+1)+INDIRECT("D$"&amp;3+MIN(2,ROUNDDOWN(I761,0))*3)*(3*$J761^3-6*$J761^2+3*$J761)+INDIRECT("D$"&amp;4+MIN(2,ROUNDDOWN(I761,0))*3)*(-3*$J761^3+3*$J761^2)+INDIRECT("D$"&amp;5+MIN(2,ROUNDDOWN(I761,0))*3)*$J761^3</f>
      </c>
      <c r="M761" s="7">
        <f>SQRT(K761^2+L761^2)</f>
      </c>
      <c r="N761" s="7">
        <f>(K762-K760)</f>
      </c>
      <c r="O761" s="7">
        <f>+(L762-L760)</f>
      </c>
      <c r="P761" s="7">
        <f>SQRT(O761^2+N761^2)</f>
      </c>
      <c r="Q761" s="7">
        <f>N761/$P761</f>
      </c>
      <c r="R761" s="7">
        <f>O761/$P761</f>
      </c>
      <c r="S761" s="7">
        <f>Q761^2+R761^2</f>
      </c>
      <c r="T761" s="7">
        <f>-R761</f>
      </c>
      <c r="U761" s="7">
        <f>Q761</f>
      </c>
      <c r="V761" s="7">
        <f>($C$14+($C$15-$C$14)/($D$15-$D$14)*(I761-$D$14))/2</f>
      </c>
      <c r="W761" s="7">
        <f>($B$22*I761^4+$C$22*I761^3+$D$22*I761^2+$E$22*I761+$F$22)/2</f>
      </c>
      <c r="X761" s="7">
        <f>($W761)*(T761)</f>
      </c>
      <c r="Y761" s="7">
        <f>($W761)*(U761)</f>
      </c>
      <c r="Z761" s="7">
        <f>SQRT(X761^2+Y761^2)</f>
      </c>
      <c r="AA761" s="7">
        <f>$K761+$X761</f>
      </c>
      <c r="AB761" s="7">
        <f>$L761+$Y761</f>
      </c>
      <c r="AC761" s="7">
        <f>$K761-$X761</f>
      </c>
      <c r="AD761" s="7">
        <f>$L761-$Y761</f>
      </c>
      <c r="AE761" s="7">
        <f>AA761/39.3701</f>
      </c>
      <c r="AF761" s="7">
        <f>AB761/39.3701</f>
      </c>
      <c r="AG761" s="7">
        <f>AC761/39.3701</f>
      </c>
      <c r="AH761" s="7">
        <f>AD761/39.3701</f>
      </c>
      <c r="AI761" s="1"/>
      <c r="AJ761" s="1"/>
      <c r="AK761" s="1"/>
      <c r="AL761" s="1"/>
      <c r="AM761" s="2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</row>
    <row x14ac:dyDescent="0.25" r="762" customHeight="1" ht="18.75">
      <c r="A762" s="1"/>
      <c r="B762" s="2"/>
      <c r="C762" s="2"/>
      <c r="D762" s="2"/>
      <c r="E762" s="2"/>
      <c r="F762" s="2"/>
      <c r="G762" s="1"/>
      <c r="H762" s="1"/>
      <c r="I762" s="7">
        <v>0.759</v>
      </c>
      <c r="J762" s="7">
        <f>IF((I762-ROUNDDOWN(I762,0))=0, 0, (I762-ROUNDDOWN(I762,0)))</f>
      </c>
      <c r="K762" s="7">
        <f>INDIRECT("C$"&amp;2+MIN(2,ROUNDDOWN(I762,0))*3)*(-$J762^3+3*$J762^2-3*$J762+1)+INDIRECT("C$"&amp;3+MIN(2,ROUNDDOWN(I762,0))*3)*(3*$J762^3-6*$J762^2+3*$J762)+INDIRECT("C$"&amp;4+MIN(2,ROUNDDOWN(I762,0))*3)*(-3*$J762^3+3*$J762^2)+INDIRECT("C$"&amp;5+MIN(2,ROUNDDOWN(I762,0))*3)*$J762^3</f>
      </c>
      <c r="L762" s="7">
        <f>INDIRECT("D$"&amp;2+MIN(2,ROUNDDOWN(I762,0))*3)*(-$J762^3+3*$J762^2-3*$J762+1)+INDIRECT("D$"&amp;3+MIN(2,ROUNDDOWN(I762,0))*3)*(3*$J762^3-6*$J762^2+3*$J762)+INDIRECT("D$"&amp;4+MIN(2,ROUNDDOWN(I762,0))*3)*(-3*$J762^3+3*$J762^2)+INDIRECT("D$"&amp;5+MIN(2,ROUNDDOWN(I762,0))*3)*$J762^3</f>
      </c>
      <c r="M762" s="7">
        <f>SQRT(K762^2+L762^2)</f>
      </c>
      <c r="N762" s="7">
        <f>(K763-K761)</f>
      </c>
      <c r="O762" s="7">
        <f>+(L763-L761)</f>
      </c>
      <c r="P762" s="7">
        <f>SQRT(O762^2+N762^2)</f>
      </c>
      <c r="Q762" s="7">
        <f>N762/$P762</f>
      </c>
      <c r="R762" s="7">
        <f>O762/$P762</f>
      </c>
      <c r="S762" s="8">
        <f>Q762^2+R762^2</f>
      </c>
      <c r="T762" s="7">
        <f>-R762</f>
      </c>
      <c r="U762" s="7">
        <f>Q762</f>
      </c>
      <c r="V762" s="7">
        <f>($C$14+($C$15-$C$14)/($D$15-$D$14)*(I762-$D$14))/2</f>
      </c>
      <c r="W762" s="7">
        <f>($B$22*I762^4+$C$22*I762^3+$D$22*I762^2+$E$22*I762+$F$22)/2</f>
      </c>
      <c r="X762" s="7">
        <f>($W762)*(T762)</f>
      </c>
      <c r="Y762" s="7">
        <f>($W762)*(U762)</f>
      </c>
      <c r="Z762" s="7">
        <f>SQRT(X762^2+Y762^2)</f>
      </c>
      <c r="AA762" s="7">
        <f>$K762+$X762</f>
      </c>
      <c r="AB762" s="7">
        <f>$L762+$Y762</f>
      </c>
      <c r="AC762" s="7">
        <f>$K762-$X762</f>
      </c>
      <c r="AD762" s="7">
        <f>$L762-$Y762</f>
      </c>
      <c r="AE762" s="7">
        <f>AA762/39.3701</f>
      </c>
      <c r="AF762" s="7">
        <f>AB762/39.3701</f>
      </c>
      <c r="AG762" s="7">
        <f>AC762/39.3701</f>
      </c>
      <c r="AH762" s="7">
        <f>AD762/39.3701</f>
      </c>
      <c r="AI762" s="1"/>
      <c r="AJ762" s="1"/>
      <c r="AK762" s="1"/>
      <c r="AL762" s="1"/>
      <c r="AM762" s="2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</row>
    <row x14ac:dyDescent="0.25" r="763" customHeight="1" ht="18.75">
      <c r="A763" s="1"/>
      <c r="B763" s="2"/>
      <c r="C763" s="2"/>
      <c r="D763" s="2"/>
      <c r="E763" s="2"/>
      <c r="F763" s="2"/>
      <c r="G763" s="1"/>
      <c r="H763" s="1"/>
      <c r="I763" s="7">
        <v>0.76</v>
      </c>
      <c r="J763" s="7">
        <f>IF((I763-ROUNDDOWN(I763,0))=0, 0, (I763-ROUNDDOWN(I763,0)))</f>
      </c>
      <c r="K763" s="7">
        <f>INDIRECT("C$"&amp;2+MIN(2,ROUNDDOWN(I763,0))*3)*(-$J763^3+3*$J763^2-3*$J763+1)+INDIRECT("C$"&amp;3+MIN(2,ROUNDDOWN(I763,0))*3)*(3*$J763^3-6*$J763^2+3*$J763)+INDIRECT("C$"&amp;4+MIN(2,ROUNDDOWN(I763,0))*3)*(-3*$J763^3+3*$J763^2)+INDIRECT("C$"&amp;5+MIN(2,ROUNDDOWN(I763,0))*3)*$J763^3</f>
      </c>
      <c r="L763" s="7">
        <f>INDIRECT("D$"&amp;2+MIN(2,ROUNDDOWN(I763,0))*3)*(-$J763^3+3*$J763^2-3*$J763+1)+INDIRECT("D$"&amp;3+MIN(2,ROUNDDOWN(I763,0))*3)*(3*$J763^3-6*$J763^2+3*$J763)+INDIRECT("D$"&amp;4+MIN(2,ROUNDDOWN(I763,0))*3)*(-3*$J763^3+3*$J763^2)+INDIRECT("D$"&amp;5+MIN(2,ROUNDDOWN(I763,0))*3)*$J763^3</f>
      </c>
      <c r="M763" s="7">
        <f>SQRT(K763^2+L763^2)</f>
      </c>
      <c r="N763" s="7">
        <f>(K764-K762)</f>
      </c>
      <c r="O763" s="7">
        <f>+(L764-L762)</f>
      </c>
      <c r="P763" s="7">
        <f>SQRT(O763^2+N763^2)</f>
      </c>
      <c r="Q763" s="7">
        <f>N763/$P763</f>
      </c>
      <c r="R763" s="7">
        <f>O763/$P763</f>
      </c>
      <c r="S763" s="8">
        <f>Q763^2+R763^2</f>
      </c>
      <c r="T763" s="7">
        <f>-R763</f>
      </c>
      <c r="U763" s="7">
        <f>Q763</f>
      </c>
      <c r="V763" s="7">
        <f>($C$14+($C$15-$C$14)/($D$15-$D$14)*(I763-$D$14))/2</f>
      </c>
      <c r="W763" s="7">
        <f>($B$22*I763^4+$C$22*I763^3+$D$22*I763^2+$E$22*I763+$F$22)/2</f>
      </c>
      <c r="X763" s="7">
        <f>($W763)*(T763)</f>
      </c>
      <c r="Y763" s="7">
        <f>($W763)*(U763)</f>
      </c>
      <c r="Z763" s="7">
        <f>SQRT(X763^2+Y763^2)</f>
      </c>
      <c r="AA763" s="7">
        <f>$K763+$X763</f>
      </c>
      <c r="AB763" s="7">
        <f>$L763+$Y763</f>
      </c>
      <c r="AC763" s="7">
        <f>$K763-$X763</f>
      </c>
      <c r="AD763" s="7">
        <f>$L763-$Y763</f>
      </c>
      <c r="AE763" s="7">
        <f>AA763/39.3701</f>
      </c>
      <c r="AF763" s="7">
        <f>AB763/39.3701</f>
      </c>
      <c r="AG763" s="7">
        <f>AC763/39.3701</f>
      </c>
      <c r="AH763" s="7">
        <f>AD763/39.3701</f>
      </c>
      <c r="AI763" s="1"/>
      <c r="AJ763" s="1"/>
      <c r="AK763" s="1"/>
      <c r="AL763" s="1"/>
      <c r="AM763" s="2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</row>
    <row x14ac:dyDescent="0.25" r="764" customHeight="1" ht="18.75">
      <c r="A764" s="1"/>
      <c r="B764" s="2"/>
      <c r="C764" s="2"/>
      <c r="D764" s="2"/>
      <c r="E764" s="2"/>
      <c r="F764" s="2"/>
      <c r="G764" s="1"/>
      <c r="H764" s="1"/>
      <c r="I764" s="7">
        <v>0.761</v>
      </c>
      <c r="J764" s="7">
        <f>IF((I764-ROUNDDOWN(I764,0))=0, 0, (I764-ROUNDDOWN(I764,0)))</f>
      </c>
      <c r="K764" s="7">
        <f>INDIRECT("C$"&amp;2+MIN(2,ROUNDDOWN(I764,0))*3)*(-$J764^3+3*$J764^2-3*$J764+1)+INDIRECT("C$"&amp;3+MIN(2,ROUNDDOWN(I764,0))*3)*(3*$J764^3-6*$J764^2+3*$J764)+INDIRECT("C$"&amp;4+MIN(2,ROUNDDOWN(I764,0))*3)*(-3*$J764^3+3*$J764^2)+INDIRECT("C$"&amp;5+MIN(2,ROUNDDOWN(I764,0))*3)*$J764^3</f>
      </c>
      <c r="L764" s="7">
        <f>INDIRECT("D$"&amp;2+MIN(2,ROUNDDOWN(I764,0))*3)*(-$J764^3+3*$J764^2-3*$J764+1)+INDIRECT("D$"&amp;3+MIN(2,ROUNDDOWN(I764,0))*3)*(3*$J764^3-6*$J764^2+3*$J764)+INDIRECT("D$"&amp;4+MIN(2,ROUNDDOWN(I764,0))*3)*(-3*$J764^3+3*$J764^2)+INDIRECT("D$"&amp;5+MIN(2,ROUNDDOWN(I764,0))*3)*$J764^3</f>
      </c>
      <c r="M764" s="7">
        <f>SQRT(K764^2+L764^2)</f>
      </c>
      <c r="N764" s="7">
        <f>(K765-K763)</f>
      </c>
      <c r="O764" s="7">
        <f>+(L765-L763)</f>
      </c>
      <c r="P764" s="7">
        <f>SQRT(O764^2+N764^2)</f>
      </c>
      <c r="Q764" s="7">
        <f>N764/$P764</f>
      </c>
      <c r="R764" s="7">
        <f>O764/$P764</f>
      </c>
      <c r="S764" s="8">
        <f>Q764^2+R764^2</f>
      </c>
      <c r="T764" s="7">
        <f>-R764</f>
      </c>
      <c r="U764" s="7">
        <f>Q764</f>
      </c>
      <c r="V764" s="7">
        <f>($C$14+($C$15-$C$14)/($D$15-$D$14)*(I764-$D$14))/2</f>
      </c>
      <c r="W764" s="7">
        <f>($B$22*I764^4+$C$22*I764^3+$D$22*I764^2+$E$22*I764+$F$22)/2</f>
      </c>
      <c r="X764" s="7">
        <f>($W764)*(T764)</f>
      </c>
      <c r="Y764" s="7">
        <f>($W764)*(U764)</f>
      </c>
      <c r="Z764" s="7">
        <f>SQRT(X764^2+Y764^2)</f>
      </c>
      <c r="AA764" s="7">
        <f>$K764+$X764</f>
      </c>
      <c r="AB764" s="7">
        <f>$L764+$Y764</f>
      </c>
      <c r="AC764" s="7">
        <f>$K764-$X764</f>
      </c>
      <c r="AD764" s="7">
        <f>$L764-$Y764</f>
      </c>
      <c r="AE764" s="7">
        <f>AA764/39.3701</f>
      </c>
      <c r="AF764" s="7">
        <f>AB764/39.3701</f>
      </c>
      <c r="AG764" s="7">
        <f>AC764/39.3701</f>
      </c>
      <c r="AH764" s="7">
        <f>AD764/39.3701</f>
      </c>
      <c r="AI764" s="1"/>
      <c r="AJ764" s="1"/>
      <c r="AK764" s="1"/>
      <c r="AL764" s="1"/>
      <c r="AM764" s="2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</row>
    <row x14ac:dyDescent="0.25" r="765" customHeight="1" ht="18.75">
      <c r="A765" s="1"/>
      <c r="B765" s="2"/>
      <c r="C765" s="2"/>
      <c r="D765" s="2"/>
      <c r="E765" s="2"/>
      <c r="F765" s="2"/>
      <c r="G765" s="1"/>
      <c r="H765" s="1"/>
      <c r="I765" s="7">
        <v>0.762</v>
      </c>
      <c r="J765" s="7">
        <f>IF((I765-ROUNDDOWN(I765,0))=0, 0, (I765-ROUNDDOWN(I765,0)))</f>
      </c>
      <c r="K765" s="7">
        <f>INDIRECT("C$"&amp;2+MIN(2,ROUNDDOWN(I765,0))*3)*(-$J765^3+3*$J765^2-3*$J765+1)+INDIRECT("C$"&amp;3+MIN(2,ROUNDDOWN(I765,0))*3)*(3*$J765^3-6*$J765^2+3*$J765)+INDIRECT("C$"&amp;4+MIN(2,ROUNDDOWN(I765,0))*3)*(-3*$J765^3+3*$J765^2)+INDIRECT("C$"&amp;5+MIN(2,ROUNDDOWN(I765,0))*3)*$J765^3</f>
      </c>
      <c r="L765" s="7">
        <f>INDIRECT("D$"&amp;2+MIN(2,ROUNDDOWN(I765,0))*3)*(-$J765^3+3*$J765^2-3*$J765+1)+INDIRECT("D$"&amp;3+MIN(2,ROUNDDOWN(I765,0))*3)*(3*$J765^3-6*$J765^2+3*$J765)+INDIRECT("D$"&amp;4+MIN(2,ROUNDDOWN(I765,0))*3)*(-3*$J765^3+3*$J765^2)+INDIRECT("D$"&amp;5+MIN(2,ROUNDDOWN(I765,0))*3)*$J765^3</f>
      </c>
      <c r="M765" s="7">
        <f>SQRT(K765^2+L765^2)</f>
      </c>
      <c r="N765" s="7">
        <f>(K766-K764)</f>
      </c>
      <c r="O765" s="7">
        <f>+(L766-L764)</f>
      </c>
      <c r="P765" s="7">
        <f>SQRT(O765^2+N765^2)</f>
      </c>
      <c r="Q765" s="7">
        <f>N765/$P765</f>
      </c>
      <c r="R765" s="7">
        <f>O765/$P765</f>
      </c>
      <c r="S765" s="8">
        <f>Q765^2+R765^2</f>
      </c>
      <c r="T765" s="7">
        <f>-R765</f>
      </c>
      <c r="U765" s="7">
        <f>Q765</f>
      </c>
      <c r="V765" s="7">
        <f>($C$14+($C$15-$C$14)/($D$15-$D$14)*(I765-$D$14))/2</f>
      </c>
      <c r="W765" s="7">
        <f>($B$22*I765^4+$C$22*I765^3+$D$22*I765^2+$E$22*I765+$F$22)/2</f>
      </c>
      <c r="X765" s="7">
        <f>($W765)*(T765)</f>
      </c>
      <c r="Y765" s="7">
        <f>($W765)*(U765)</f>
      </c>
      <c r="Z765" s="7">
        <f>SQRT(X765^2+Y765^2)</f>
      </c>
      <c r="AA765" s="7">
        <f>$K765+$X765</f>
      </c>
      <c r="AB765" s="7">
        <f>$L765+$Y765</f>
      </c>
      <c r="AC765" s="7">
        <f>$K765-$X765</f>
      </c>
      <c r="AD765" s="7">
        <f>$L765-$Y765</f>
      </c>
      <c r="AE765" s="7">
        <f>AA765/39.3701</f>
      </c>
      <c r="AF765" s="7">
        <f>AB765/39.3701</f>
      </c>
      <c r="AG765" s="7">
        <f>AC765/39.3701</f>
      </c>
      <c r="AH765" s="7">
        <f>AD765/39.3701</f>
      </c>
      <c r="AI765" s="1"/>
      <c r="AJ765" s="1"/>
      <c r="AK765" s="1"/>
      <c r="AL765" s="1"/>
      <c r="AM765" s="2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</row>
    <row x14ac:dyDescent="0.25" r="766" customHeight="1" ht="18.75">
      <c r="A766" s="1"/>
      <c r="B766" s="2"/>
      <c r="C766" s="2"/>
      <c r="D766" s="2"/>
      <c r="E766" s="2"/>
      <c r="F766" s="2"/>
      <c r="G766" s="1"/>
      <c r="H766" s="1"/>
      <c r="I766" s="7">
        <v>0.763</v>
      </c>
      <c r="J766" s="7">
        <f>IF((I766-ROUNDDOWN(I766,0))=0, 0, (I766-ROUNDDOWN(I766,0)))</f>
      </c>
      <c r="K766" s="7">
        <f>INDIRECT("C$"&amp;2+MIN(2,ROUNDDOWN(I766,0))*3)*(-$J766^3+3*$J766^2-3*$J766+1)+INDIRECT("C$"&amp;3+MIN(2,ROUNDDOWN(I766,0))*3)*(3*$J766^3-6*$J766^2+3*$J766)+INDIRECT("C$"&amp;4+MIN(2,ROUNDDOWN(I766,0))*3)*(-3*$J766^3+3*$J766^2)+INDIRECT("C$"&amp;5+MIN(2,ROUNDDOWN(I766,0))*3)*$J766^3</f>
      </c>
      <c r="L766" s="7">
        <f>INDIRECT("D$"&amp;2+MIN(2,ROUNDDOWN(I766,0))*3)*(-$J766^3+3*$J766^2-3*$J766+1)+INDIRECT("D$"&amp;3+MIN(2,ROUNDDOWN(I766,0))*3)*(3*$J766^3-6*$J766^2+3*$J766)+INDIRECT("D$"&amp;4+MIN(2,ROUNDDOWN(I766,0))*3)*(-3*$J766^3+3*$J766^2)+INDIRECT("D$"&amp;5+MIN(2,ROUNDDOWN(I766,0))*3)*$J766^3</f>
      </c>
      <c r="M766" s="7">
        <f>SQRT(K766^2+L766^2)</f>
      </c>
      <c r="N766" s="7">
        <f>(K767-K765)</f>
      </c>
      <c r="O766" s="7">
        <f>+(L767-L765)</f>
      </c>
      <c r="P766" s="7">
        <f>SQRT(O766^2+N766^2)</f>
      </c>
      <c r="Q766" s="7">
        <f>N766/$P766</f>
      </c>
      <c r="R766" s="7">
        <f>O766/$P766</f>
      </c>
      <c r="S766" s="7">
        <f>Q766^2+R766^2</f>
      </c>
      <c r="T766" s="7">
        <f>-R766</f>
      </c>
      <c r="U766" s="7">
        <f>Q766</f>
      </c>
      <c r="V766" s="7">
        <f>($C$14+($C$15-$C$14)/($D$15-$D$14)*(I766-$D$14))/2</f>
      </c>
      <c r="W766" s="7">
        <f>($B$22*I766^4+$C$22*I766^3+$D$22*I766^2+$E$22*I766+$F$22)/2</f>
      </c>
      <c r="X766" s="7">
        <f>($W766)*(T766)</f>
      </c>
      <c r="Y766" s="7">
        <f>($W766)*(U766)</f>
      </c>
      <c r="Z766" s="7">
        <f>SQRT(X766^2+Y766^2)</f>
      </c>
      <c r="AA766" s="7">
        <f>$K766+$X766</f>
      </c>
      <c r="AB766" s="7">
        <f>$L766+$Y766</f>
      </c>
      <c r="AC766" s="7">
        <f>$K766-$X766</f>
      </c>
      <c r="AD766" s="7">
        <f>$L766-$Y766</f>
      </c>
      <c r="AE766" s="7">
        <f>AA766/39.3701</f>
      </c>
      <c r="AF766" s="7">
        <f>AB766/39.3701</f>
      </c>
      <c r="AG766" s="7">
        <f>AC766/39.3701</f>
      </c>
      <c r="AH766" s="7">
        <f>AD766/39.3701</f>
      </c>
      <c r="AI766" s="1"/>
      <c r="AJ766" s="1"/>
      <c r="AK766" s="1"/>
      <c r="AL766" s="1"/>
      <c r="AM766" s="2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</row>
    <row x14ac:dyDescent="0.25" r="767" customHeight="1" ht="18.75">
      <c r="A767" s="1"/>
      <c r="B767" s="2"/>
      <c r="C767" s="2"/>
      <c r="D767" s="2"/>
      <c r="E767" s="2"/>
      <c r="F767" s="2"/>
      <c r="G767" s="1"/>
      <c r="H767" s="1"/>
      <c r="I767" s="7">
        <v>0.764</v>
      </c>
      <c r="J767" s="7">
        <f>IF((I767-ROUNDDOWN(I767,0))=0, 0, (I767-ROUNDDOWN(I767,0)))</f>
      </c>
      <c r="K767" s="7">
        <f>INDIRECT("C$"&amp;2+MIN(2,ROUNDDOWN(I767,0))*3)*(-$J767^3+3*$J767^2-3*$J767+1)+INDIRECT("C$"&amp;3+MIN(2,ROUNDDOWN(I767,0))*3)*(3*$J767^3-6*$J767^2+3*$J767)+INDIRECT("C$"&amp;4+MIN(2,ROUNDDOWN(I767,0))*3)*(-3*$J767^3+3*$J767^2)+INDIRECT("C$"&amp;5+MIN(2,ROUNDDOWN(I767,0))*3)*$J767^3</f>
      </c>
      <c r="L767" s="7">
        <f>INDIRECT("D$"&amp;2+MIN(2,ROUNDDOWN(I767,0))*3)*(-$J767^3+3*$J767^2-3*$J767+1)+INDIRECT("D$"&amp;3+MIN(2,ROUNDDOWN(I767,0))*3)*(3*$J767^3-6*$J767^2+3*$J767)+INDIRECT("D$"&amp;4+MIN(2,ROUNDDOWN(I767,0))*3)*(-3*$J767^3+3*$J767^2)+INDIRECT("D$"&amp;5+MIN(2,ROUNDDOWN(I767,0))*3)*$J767^3</f>
      </c>
      <c r="M767" s="7">
        <f>SQRT(K767^2+L767^2)</f>
      </c>
      <c r="N767" s="7">
        <f>(K768-K766)</f>
      </c>
      <c r="O767" s="7">
        <f>+(L768-L766)</f>
      </c>
      <c r="P767" s="7">
        <f>SQRT(O767^2+N767^2)</f>
      </c>
      <c r="Q767" s="7">
        <f>N767/$P767</f>
      </c>
      <c r="R767" s="7">
        <f>O767/$P767</f>
      </c>
      <c r="S767" s="7">
        <f>Q767^2+R767^2</f>
      </c>
      <c r="T767" s="7">
        <f>-R767</f>
      </c>
      <c r="U767" s="7">
        <f>Q767</f>
      </c>
      <c r="V767" s="7">
        <f>($C$14+($C$15-$C$14)/($D$15-$D$14)*(I767-$D$14))/2</f>
      </c>
      <c r="W767" s="7">
        <f>($B$22*I767^4+$C$22*I767^3+$D$22*I767^2+$E$22*I767+$F$22)/2</f>
      </c>
      <c r="X767" s="7">
        <f>($W767)*(T767)</f>
      </c>
      <c r="Y767" s="7">
        <f>($W767)*(U767)</f>
      </c>
      <c r="Z767" s="7">
        <f>SQRT(X767^2+Y767^2)</f>
      </c>
      <c r="AA767" s="7">
        <f>$K767+$X767</f>
      </c>
      <c r="AB767" s="7">
        <f>$L767+$Y767</f>
      </c>
      <c r="AC767" s="7">
        <f>$K767-$X767</f>
      </c>
      <c r="AD767" s="7">
        <f>$L767-$Y767</f>
      </c>
      <c r="AE767" s="7">
        <f>AA767/39.3701</f>
      </c>
      <c r="AF767" s="7">
        <f>AB767/39.3701</f>
      </c>
      <c r="AG767" s="7">
        <f>AC767/39.3701</f>
      </c>
      <c r="AH767" s="7">
        <f>AD767/39.3701</f>
      </c>
      <c r="AI767" s="1"/>
      <c r="AJ767" s="1"/>
      <c r="AK767" s="1"/>
      <c r="AL767" s="1"/>
      <c r="AM767" s="2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</row>
    <row x14ac:dyDescent="0.25" r="768" customHeight="1" ht="18.75">
      <c r="A768" s="1"/>
      <c r="B768" s="2"/>
      <c r="C768" s="2"/>
      <c r="D768" s="2"/>
      <c r="E768" s="2"/>
      <c r="F768" s="2"/>
      <c r="G768" s="1"/>
      <c r="H768" s="1"/>
      <c r="I768" s="7">
        <v>0.765</v>
      </c>
      <c r="J768" s="7">
        <f>IF((I768-ROUNDDOWN(I768,0))=0, 0, (I768-ROUNDDOWN(I768,0)))</f>
      </c>
      <c r="K768" s="7">
        <f>INDIRECT("C$"&amp;2+MIN(2,ROUNDDOWN(I768,0))*3)*(-$J768^3+3*$J768^2-3*$J768+1)+INDIRECT("C$"&amp;3+MIN(2,ROUNDDOWN(I768,0))*3)*(3*$J768^3-6*$J768^2+3*$J768)+INDIRECT("C$"&amp;4+MIN(2,ROUNDDOWN(I768,0))*3)*(-3*$J768^3+3*$J768^2)+INDIRECT("C$"&amp;5+MIN(2,ROUNDDOWN(I768,0))*3)*$J768^3</f>
      </c>
      <c r="L768" s="7">
        <f>INDIRECT("D$"&amp;2+MIN(2,ROUNDDOWN(I768,0))*3)*(-$J768^3+3*$J768^2-3*$J768+1)+INDIRECT("D$"&amp;3+MIN(2,ROUNDDOWN(I768,0))*3)*(3*$J768^3-6*$J768^2+3*$J768)+INDIRECT("D$"&amp;4+MIN(2,ROUNDDOWN(I768,0))*3)*(-3*$J768^3+3*$J768^2)+INDIRECT("D$"&amp;5+MIN(2,ROUNDDOWN(I768,0))*3)*$J768^3</f>
      </c>
      <c r="M768" s="7">
        <f>SQRT(K768^2+L768^2)</f>
      </c>
      <c r="N768" s="7">
        <f>(K769-K767)</f>
      </c>
      <c r="O768" s="7">
        <f>+(L769-L767)</f>
      </c>
      <c r="P768" s="7">
        <f>SQRT(O768^2+N768^2)</f>
      </c>
      <c r="Q768" s="7">
        <f>N768/$P768</f>
      </c>
      <c r="R768" s="7">
        <f>O768/$P768</f>
      </c>
      <c r="S768" s="7">
        <f>Q768^2+R768^2</f>
      </c>
      <c r="T768" s="7">
        <f>-R768</f>
      </c>
      <c r="U768" s="7">
        <f>Q768</f>
      </c>
      <c r="V768" s="7">
        <f>($C$14+($C$15-$C$14)/($D$15-$D$14)*(I768-$D$14))/2</f>
      </c>
      <c r="W768" s="7">
        <f>($B$22*I768^4+$C$22*I768^3+$D$22*I768^2+$E$22*I768+$F$22)/2</f>
      </c>
      <c r="X768" s="7">
        <f>($W768)*(T768)</f>
      </c>
      <c r="Y768" s="7">
        <f>($W768)*(U768)</f>
      </c>
      <c r="Z768" s="7">
        <f>SQRT(X768^2+Y768^2)</f>
      </c>
      <c r="AA768" s="7">
        <f>$K768+$X768</f>
      </c>
      <c r="AB768" s="7">
        <f>$L768+$Y768</f>
      </c>
      <c r="AC768" s="7">
        <f>$K768-$X768</f>
      </c>
      <c r="AD768" s="7">
        <f>$L768-$Y768</f>
      </c>
      <c r="AE768" s="7">
        <f>AA768/39.3701</f>
      </c>
      <c r="AF768" s="7">
        <f>AB768/39.3701</f>
      </c>
      <c r="AG768" s="7">
        <f>AC768/39.3701</f>
      </c>
      <c r="AH768" s="7">
        <f>AD768/39.3701</f>
      </c>
      <c r="AI768" s="1"/>
      <c r="AJ768" s="1"/>
      <c r="AK768" s="1"/>
      <c r="AL768" s="1"/>
      <c r="AM768" s="2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</row>
    <row x14ac:dyDescent="0.25" r="769" customHeight="1" ht="18.75">
      <c r="A769" s="1"/>
      <c r="B769" s="2"/>
      <c r="C769" s="2"/>
      <c r="D769" s="2"/>
      <c r="E769" s="2"/>
      <c r="F769" s="2"/>
      <c r="G769" s="1"/>
      <c r="H769" s="1"/>
      <c r="I769" s="7">
        <v>0.766</v>
      </c>
      <c r="J769" s="7">
        <f>IF((I769-ROUNDDOWN(I769,0))=0, 0, (I769-ROUNDDOWN(I769,0)))</f>
      </c>
      <c r="K769" s="7">
        <f>INDIRECT("C$"&amp;2+MIN(2,ROUNDDOWN(I769,0))*3)*(-$J769^3+3*$J769^2-3*$J769+1)+INDIRECT("C$"&amp;3+MIN(2,ROUNDDOWN(I769,0))*3)*(3*$J769^3-6*$J769^2+3*$J769)+INDIRECT("C$"&amp;4+MIN(2,ROUNDDOWN(I769,0))*3)*(-3*$J769^3+3*$J769^2)+INDIRECT("C$"&amp;5+MIN(2,ROUNDDOWN(I769,0))*3)*$J769^3</f>
      </c>
      <c r="L769" s="7">
        <f>INDIRECT("D$"&amp;2+MIN(2,ROUNDDOWN(I769,0))*3)*(-$J769^3+3*$J769^2-3*$J769+1)+INDIRECT("D$"&amp;3+MIN(2,ROUNDDOWN(I769,0))*3)*(3*$J769^3-6*$J769^2+3*$J769)+INDIRECT("D$"&amp;4+MIN(2,ROUNDDOWN(I769,0))*3)*(-3*$J769^3+3*$J769^2)+INDIRECT("D$"&amp;5+MIN(2,ROUNDDOWN(I769,0))*3)*$J769^3</f>
      </c>
      <c r="M769" s="7">
        <f>SQRT(K769^2+L769^2)</f>
      </c>
      <c r="N769" s="7">
        <f>(K770-K768)</f>
      </c>
      <c r="O769" s="7">
        <f>+(L770-L768)</f>
      </c>
      <c r="P769" s="7">
        <f>SQRT(O769^2+N769^2)</f>
      </c>
      <c r="Q769" s="7">
        <f>N769/$P769</f>
      </c>
      <c r="R769" s="7">
        <f>O769/$P769</f>
      </c>
      <c r="S769" s="8">
        <f>Q769^2+R769^2</f>
      </c>
      <c r="T769" s="7">
        <f>-R769</f>
      </c>
      <c r="U769" s="7">
        <f>Q769</f>
      </c>
      <c r="V769" s="7">
        <f>($C$14+($C$15-$C$14)/($D$15-$D$14)*(I769-$D$14))/2</f>
      </c>
      <c r="W769" s="7">
        <f>($B$22*I769^4+$C$22*I769^3+$D$22*I769^2+$E$22*I769+$F$22)/2</f>
      </c>
      <c r="X769" s="7">
        <f>($W769)*(T769)</f>
      </c>
      <c r="Y769" s="7">
        <f>($W769)*(U769)</f>
      </c>
      <c r="Z769" s="7">
        <f>SQRT(X769^2+Y769^2)</f>
      </c>
      <c r="AA769" s="7">
        <f>$K769+$X769</f>
      </c>
      <c r="AB769" s="7">
        <f>$L769+$Y769</f>
      </c>
      <c r="AC769" s="7">
        <f>$K769-$X769</f>
      </c>
      <c r="AD769" s="7">
        <f>$L769-$Y769</f>
      </c>
      <c r="AE769" s="7">
        <f>AA769/39.3701</f>
      </c>
      <c r="AF769" s="7">
        <f>AB769/39.3701</f>
      </c>
      <c r="AG769" s="7">
        <f>AC769/39.3701</f>
      </c>
      <c r="AH769" s="7">
        <f>AD769/39.3701</f>
      </c>
      <c r="AI769" s="1"/>
      <c r="AJ769" s="1"/>
      <c r="AK769" s="1"/>
      <c r="AL769" s="1"/>
      <c r="AM769" s="2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</row>
    <row x14ac:dyDescent="0.25" r="770" customHeight="1" ht="18.75">
      <c r="A770" s="1"/>
      <c r="B770" s="2"/>
      <c r="C770" s="2"/>
      <c r="D770" s="2"/>
      <c r="E770" s="2"/>
      <c r="F770" s="2"/>
      <c r="G770" s="1"/>
      <c r="H770" s="1"/>
      <c r="I770" s="7">
        <v>0.767</v>
      </c>
      <c r="J770" s="7">
        <f>IF((I770-ROUNDDOWN(I770,0))=0, 0, (I770-ROUNDDOWN(I770,0)))</f>
      </c>
      <c r="K770" s="7">
        <f>INDIRECT("C$"&amp;2+MIN(2,ROUNDDOWN(I770,0))*3)*(-$J770^3+3*$J770^2-3*$J770+1)+INDIRECT("C$"&amp;3+MIN(2,ROUNDDOWN(I770,0))*3)*(3*$J770^3-6*$J770^2+3*$J770)+INDIRECT("C$"&amp;4+MIN(2,ROUNDDOWN(I770,0))*3)*(-3*$J770^3+3*$J770^2)+INDIRECT("C$"&amp;5+MIN(2,ROUNDDOWN(I770,0))*3)*$J770^3</f>
      </c>
      <c r="L770" s="7">
        <f>INDIRECT("D$"&amp;2+MIN(2,ROUNDDOWN(I770,0))*3)*(-$J770^3+3*$J770^2-3*$J770+1)+INDIRECT("D$"&amp;3+MIN(2,ROUNDDOWN(I770,0))*3)*(3*$J770^3-6*$J770^2+3*$J770)+INDIRECT("D$"&amp;4+MIN(2,ROUNDDOWN(I770,0))*3)*(-3*$J770^3+3*$J770^2)+INDIRECT("D$"&amp;5+MIN(2,ROUNDDOWN(I770,0))*3)*$J770^3</f>
      </c>
      <c r="M770" s="7">
        <f>SQRT(K770^2+L770^2)</f>
      </c>
      <c r="N770" s="7">
        <f>(K771-K769)</f>
      </c>
      <c r="O770" s="7">
        <f>+(L771-L769)</f>
      </c>
      <c r="P770" s="7">
        <f>SQRT(O770^2+N770^2)</f>
      </c>
      <c r="Q770" s="7">
        <f>N770/$P770</f>
      </c>
      <c r="R770" s="7">
        <f>O770/$P770</f>
      </c>
      <c r="S770" s="8">
        <f>Q770^2+R770^2</f>
      </c>
      <c r="T770" s="7">
        <f>-R770</f>
      </c>
      <c r="U770" s="7">
        <f>Q770</f>
      </c>
      <c r="V770" s="7">
        <f>($C$14+($C$15-$C$14)/($D$15-$D$14)*(I770-$D$14))/2</f>
      </c>
      <c r="W770" s="7">
        <f>($B$22*I770^4+$C$22*I770^3+$D$22*I770^2+$E$22*I770+$F$22)/2</f>
      </c>
      <c r="X770" s="7">
        <f>($W770)*(T770)</f>
      </c>
      <c r="Y770" s="7">
        <f>($W770)*(U770)</f>
      </c>
      <c r="Z770" s="7">
        <f>SQRT(X770^2+Y770^2)</f>
      </c>
      <c r="AA770" s="7">
        <f>$K770+$X770</f>
      </c>
      <c r="AB770" s="7">
        <f>$L770+$Y770</f>
      </c>
      <c r="AC770" s="7">
        <f>$K770-$X770</f>
      </c>
      <c r="AD770" s="7">
        <f>$L770-$Y770</f>
      </c>
      <c r="AE770" s="7">
        <f>AA770/39.3701</f>
      </c>
      <c r="AF770" s="7">
        <f>AB770/39.3701</f>
      </c>
      <c r="AG770" s="7">
        <f>AC770/39.3701</f>
      </c>
      <c r="AH770" s="7">
        <f>AD770/39.3701</f>
      </c>
      <c r="AI770" s="1"/>
      <c r="AJ770" s="1"/>
      <c r="AK770" s="1"/>
      <c r="AL770" s="1"/>
      <c r="AM770" s="2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</row>
    <row x14ac:dyDescent="0.25" r="771" customHeight="1" ht="18.75">
      <c r="A771" s="1"/>
      <c r="B771" s="2"/>
      <c r="C771" s="2"/>
      <c r="D771" s="2"/>
      <c r="E771" s="2"/>
      <c r="F771" s="2"/>
      <c r="G771" s="1"/>
      <c r="H771" s="1"/>
      <c r="I771" s="7">
        <v>0.768</v>
      </c>
      <c r="J771" s="7">
        <f>IF((I771-ROUNDDOWN(I771,0))=0, 0, (I771-ROUNDDOWN(I771,0)))</f>
      </c>
      <c r="K771" s="7">
        <f>INDIRECT("C$"&amp;2+MIN(2,ROUNDDOWN(I771,0))*3)*(-$J771^3+3*$J771^2-3*$J771+1)+INDIRECT("C$"&amp;3+MIN(2,ROUNDDOWN(I771,0))*3)*(3*$J771^3-6*$J771^2+3*$J771)+INDIRECT("C$"&amp;4+MIN(2,ROUNDDOWN(I771,0))*3)*(-3*$J771^3+3*$J771^2)+INDIRECT("C$"&amp;5+MIN(2,ROUNDDOWN(I771,0))*3)*$J771^3</f>
      </c>
      <c r="L771" s="7">
        <f>INDIRECT("D$"&amp;2+MIN(2,ROUNDDOWN(I771,0))*3)*(-$J771^3+3*$J771^2-3*$J771+1)+INDIRECT("D$"&amp;3+MIN(2,ROUNDDOWN(I771,0))*3)*(3*$J771^3-6*$J771^2+3*$J771)+INDIRECT("D$"&amp;4+MIN(2,ROUNDDOWN(I771,0))*3)*(-3*$J771^3+3*$J771^2)+INDIRECT("D$"&amp;5+MIN(2,ROUNDDOWN(I771,0))*3)*$J771^3</f>
      </c>
      <c r="M771" s="7">
        <f>SQRT(K771^2+L771^2)</f>
      </c>
      <c r="N771" s="7">
        <f>(K772-K770)</f>
      </c>
      <c r="O771" s="7">
        <f>+(L772-L770)</f>
      </c>
      <c r="P771" s="7">
        <f>SQRT(O771^2+N771^2)</f>
      </c>
      <c r="Q771" s="7">
        <f>N771/$P771</f>
      </c>
      <c r="R771" s="7">
        <f>O771/$P771</f>
      </c>
      <c r="S771" s="8">
        <f>Q771^2+R771^2</f>
      </c>
      <c r="T771" s="7">
        <f>-R771</f>
      </c>
      <c r="U771" s="7">
        <f>Q771</f>
      </c>
      <c r="V771" s="7">
        <f>($C$14+($C$15-$C$14)/($D$15-$D$14)*(I771-$D$14))/2</f>
      </c>
      <c r="W771" s="7">
        <f>($B$22*I771^4+$C$22*I771^3+$D$22*I771^2+$E$22*I771+$F$22)/2</f>
      </c>
      <c r="X771" s="7">
        <f>($W771)*(T771)</f>
      </c>
      <c r="Y771" s="7">
        <f>($W771)*(U771)</f>
      </c>
      <c r="Z771" s="7">
        <f>SQRT(X771^2+Y771^2)</f>
      </c>
      <c r="AA771" s="7">
        <f>$K771+$X771</f>
      </c>
      <c r="AB771" s="7">
        <f>$L771+$Y771</f>
      </c>
      <c r="AC771" s="7">
        <f>$K771-$X771</f>
      </c>
      <c r="AD771" s="7">
        <f>$L771-$Y771</f>
      </c>
      <c r="AE771" s="7">
        <f>AA771/39.3701</f>
      </c>
      <c r="AF771" s="7">
        <f>AB771/39.3701</f>
      </c>
      <c r="AG771" s="7">
        <f>AC771/39.3701</f>
      </c>
      <c r="AH771" s="7">
        <f>AD771/39.3701</f>
      </c>
      <c r="AI771" s="1"/>
      <c r="AJ771" s="1"/>
      <c r="AK771" s="1"/>
      <c r="AL771" s="1"/>
      <c r="AM771" s="2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</row>
    <row x14ac:dyDescent="0.25" r="772" customHeight="1" ht="18.75">
      <c r="A772" s="1"/>
      <c r="B772" s="2"/>
      <c r="C772" s="2"/>
      <c r="D772" s="2"/>
      <c r="E772" s="2"/>
      <c r="F772" s="2"/>
      <c r="G772" s="1"/>
      <c r="H772" s="1"/>
      <c r="I772" s="7">
        <v>0.769</v>
      </c>
      <c r="J772" s="7">
        <f>IF((I772-ROUNDDOWN(I772,0))=0, 0, (I772-ROUNDDOWN(I772,0)))</f>
      </c>
      <c r="K772" s="7">
        <f>INDIRECT("C$"&amp;2+MIN(2,ROUNDDOWN(I772,0))*3)*(-$J772^3+3*$J772^2-3*$J772+1)+INDIRECT("C$"&amp;3+MIN(2,ROUNDDOWN(I772,0))*3)*(3*$J772^3-6*$J772^2+3*$J772)+INDIRECT("C$"&amp;4+MIN(2,ROUNDDOWN(I772,0))*3)*(-3*$J772^3+3*$J772^2)+INDIRECT("C$"&amp;5+MIN(2,ROUNDDOWN(I772,0))*3)*$J772^3</f>
      </c>
      <c r="L772" s="7">
        <f>INDIRECT("D$"&amp;2+MIN(2,ROUNDDOWN(I772,0))*3)*(-$J772^3+3*$J772^2-3*$J772+1)+INDIRECT("D$"&amp;3+MIN(2,ROUNDDOWN(I772,0))*3)*(3*$J772^3-6*$J772^2+3*$J772)+INDIRECT("D$"&amp;4+MIN(2,ROUNDDOWN(I772,0))*3)*(-3*$J772^3+3*$J772^2)+INDIRECT("D$"&amp;5+MIN(2,ROUNDDOWN(I772,0))*3)*$J772^3</f>
      </c>
      <c r="M772" s="7">
        <f>SQRT(K772^2+L772^2)</f>
      </c>
      <c r="N772" s="7">
        <f>(K773-K771)</f>
      </c>
      <c r="O772" s="7">
        <f>+(L773-L771)</f>
      </c>
      <c r="P772" s="7">
        <f>SQRT(O772^2+N772^2)</f>
      </c>
      <c r="Q772" s="7">
        <f>N772/$P772</f>
      </c>
      <c r="R772" s="7">
        <f>O772/$P772</f>
      </c>
      <c r="S772" s="8">
        <f>Q772^2+R772^2</f>
      </c>
      <c r="T772" s="7">
        <f>-R772</f>
      </c>
      <c r="U772" s="7">
        <f>Q772</f>
      </c>
      <c r="V772" s="7">
        <f>($C$14+($C$15-$C$14)/($D$15-$D$14)*(I772-$D$14))/2</f>
      </c>
      <c r="W772" s="7">
        <f>($B$22*I772^4+$C$22*I772^3+$D$22*I772^2+$E$22*I772+$F$22)/2</f>
      </c>
      <c r="X772" s="7">
        <f>($W772)*(T772)</f>
      </c>
      <c r="Y772" s="7">
        <f>($W772)*(U772)</f>
      </c>
      <c r="Z772" s="7">
        <f>SQRT(X772^2+Y772^2)</f>
      </c>
      <c r="AA772" s="7">
        <f>$K772+$X772</f>
      </c>
      <c r="AB772" s="7">
        <f>$L772+$Y772</f>
      </c>
      <c r="AC772" s="7">
        <f>$K772-$X772</f>
      </c>
      <c r="AD772" s="7">
        <f>$L772-$Y772</f>
      </c>
      <c r="AE772" s="7">
        <f>AA772/39.3701</f>
      </c>
      <c r="AF772" s="7">
        <f>AB772/39.3701</f>
      </c>
      <c r="AG772" s="7">
        <f>AC772/39.3701</f>
      </c>
      <c r="AH772" s="7">
        <f>AD772/39.3701</f>
      </c>
      <c r="AI772" s="1"/>
      <c r="AJ772" s="1"/>
      <c r="AK772" s="1"/>
      <c r="AL772" s="1"/>
      <c r="AM772" s="2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</row>
    <row x14ac:dyDescent="0.25" r="773" customHeight="1" ht="18.75">
      <c r="A773" s="1"/>
      <c r="B773" s="2"/>
      <c r="C773" s="2"/>
      <c r="D773" s="2"/>
      <c r="E773" s="2"/>
      <c r="F773" s="2"/>
      <c r="G773" s="1"/>
      <c r="H773" s="1"/>
      <c r="I773" s="7">
        <v>0.77</v>
      </c>
      <c r="J773" s="7">
        <f>IF((I773-ROUNDDOWN(I773,0))=0, 0, (I773-ROUNDDOWN(I773,0)))</f>
      </c>
      <c r="K773" s="7">
        <f>INDIRECT("C$"&amp;2+MIN(2,ROUNDDOWN(I773,0))*3)*(-$J773^3+3*$J773^2-3*$J773+1)+INDIRECT("C$"&amp;3+MIN(2,ROUNDDOWN(I773,0))*3)*(3*$J773^3-6*$J773^2+3*$J773)+INDIRECT("C$"&amp;4+MIN(2,ROUNDDOWN(I773,0))*3)*(-3*$J773^3+3*$J773^2)+INDIRECT("C$"&amp;5+MIN(2,ROUNDDOWN(I773,0))*3)*$J773^3</f>
      </c>
      <c r="L773" s="7">
        <f>INDIRECT("D$"&amp;2+MIN(2,ROUNDDOWN(I773,0))*3)*(-$J773^3+3*$J773^2-3*$J773+1)+INDIRECT("D$"&amp;3+MIN(2,ROUNDDOWN(I773,0))*3)*(3*$J773^3-6*$J773^2+3*$J773)+INDIRECT("D$"&amp;4+MIN(2,ROUNDDOWN(I773,0))*3)*(-3*$J773^3+3*$J773^2)+INDIRECT("D$"&amp;5+MIN(2,ROUNDDOWN(I773,0))*3)*$J773^3</f>
      </c>
      <c r="M773" s="7">
        <f>SQRT(K773^2+L773^2)</f>
      </c>
      <c r="N773" s="7">
        <f>(K774-K772)</f>
      </c>
      <c r="O773" s="7">
        <f>+(L774-L772)</f>
      </c>
      <c r="P773" s="7">
        <f>SQRT(O773^2+N773^2)</f>
      </c>
      <c r="Q773" s="7">
        <f>N773/$P773</f>
      </c>
      <c r="R773" s="7">
        <f>O773/$P773</f>
      </c>
      <c r="S773" s="8">
        <f>Q773^2+R773^2</f>
      </c>
      <c r="T773" s="7">
        <f>-R773</f>
      </c>
      <c r="U773" s="7">
        <f>Q773</f>
      </c>
      <c r="V773" s="7">
        <f>($C$14+($C$15-$C$14)/($D$15-$D$14)*(I773-$D$14))/2</f>
      </c>
      <c r="W773" s="7">
        <f>($B$22*I773^4+$C$22*I773^3+$D$22*I773^2+$E$22*I773+$F$22)/2</f>
      </c>
      <c r="X773" s="7">
        <f>($W773)*(T773)</f>
      </c>
      <c r="Y773" s="7">
        <f>($W773)*(U773)</f>
      </c>
      <c r="Z773" s="7">
        <f>SQRT(X773^2+Y773^2)</f>
      </c>
      <c r="AA773" s="7">
        <f>$K773+$X773</f>
      </c>
      <c r="AB773" s="7">
        <f>$L773+$Y773</f>
      </c>
      <c r="AC773" s="7">
        <f>$K773-$X773</f>
      </c>
      <c r="AD773" s="7">
        <f>$L773-$Y773</f>
      </c>
      <c r="AE773" s="7">
        <f>AA773/39.3701</f>
      </c>
      <c r="AF773" s="7">
        <f>AB773/39.3701</f>
      </c>
      <c r="AG773" s="7">
        <f>AC773/39.3701</f>
      </c>
      <c r="AH773" s="7">
        <f>AD773/39.3701</f>
      </c>
      <c r="AI773" s="1"/>
      <c r="AJ773" s="1"/>
      <c r="AK773" s="1"/>
      <c r="AL773" s="1"/>
      <c r="AM773" s="2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</row>
    <row x14ac:dyDescent="0.25" r="774" customHeight="1" ht="18.75">
      <c r="A774" s="1"/>
      <c r="B774" s="2"/>
      <c r="C774" s="2"/>
      <c r="D774" s="2"/>
      <c r="E774" s="2"/>
      <c r="F774" s="2"/>
      <c r="G774" s="1"/>
      <c r="H774" s="1"/>
      <c r="I774" s="7">
        <v>0.771</v>
      </c>
      <c r="J774" s="7">
        <f>IF((I774-ROUNDDOWN(I774,0))=0, 0, (I774-ROUNDDOWN(I774,0)))</f>
      </c>
      <c r="K774" s="7">
        <f>INDIRECT("C$"&amp;2+MIN(2,ROUNDDOWN(I774,0))*3)*(-$J774^3+3*$J774^2-3*$J774+1)+INDIRECT("C$"&amp;3+MIN(2,ROUNDDOWN(I774,0))*3)*(3*$J774^3-6*$J774^2+3*$J774)+INDIRECT("C$"&amp;4+MIN(2,ROUNDDOWN(I774,0))*3)*(-3*$J774^3+3*$J774^2)+INDIRECT("C$"&amp;5+MIN(2,ROUNDDOWN(I774,0))*3)*$J774^3</f>
      </c>
      <c r="L774" s="7">
        <f>INDIRECT("D$"&amp;2+MIN(2,ROUNDDOWN(I774,0))*3)*(-$J774^3+3*$J774^2-3*$J774+1)+INDIRECT("D$"&amp;3+MIN(2,ROUNDDOWN(I774,0))*3)*(3*$J774^3-6*$J774^2+3*$J774)+INDIRECT("D$"&amp;4+MIN(2,ROUNDDOWN(I774,0))*3)*(-3*$J774^3+3*$J774^2)+INDIRECT("D$"&amp;5+MIN(2,ROUNDDOWN(I774,0))*3)*$J774^3</f>
      </c>
      <c r="M774" s="7">
        <f>SQRT(K774^2+L774^2)</f>
      </c>
      <c r="N774" s="7">
        <f>(K775-K773)</f>
      </c>
      <c r="O774" s="7">
        <f>+(L775-L773)</f>
      </c>
      <c r="P774" s="7">
        <f>SQRT(O774^2+N774^2)</f>
      </c>
      <c r="Q774" s="7">
        <f>N774/$P774</f>
      </c>
      <c r="R774" s="7">
        <f>O774/$P774</f>
      </c>
      <c r="S774" s="8">
        <f>Q774^2+R774^2</f>
      </c>
      <c r="T774" s="7">
        <f>-R774</f>
      </c>
      <c r="U774" s="7">
        <f>Q774</f>
      </c>
      <c r="V774" s="7">
        <f>($C$14+($C$15-$C$14)/($D$15-$D$14)*(I774-$D$14))/2</f>
      </c>
      <c r="W774" s="7">
        <f>($B$22*I774^4+$C$22*I774^3+$D$22*I774^2+$E$22*I774+$F$22)/2</f>
      </c>
      <c r="X774" s="7">
        <f>($W774)*(T774)</f>
      </c>
      <c r="Y774" s="7">
        <f>($W774)*(U774)</f>
      </c>
      <c r="Z774" s="7">
        <f>SQRT(X774^2+Y774^2)</f>
      </c>
      <c r="AA774" s="7">
        <f>$K774+$X774</f>
      </c>
      <c r="AB774" s="7">
        <f>$L774+$Y774</f>
      </c>
      <c r="AC774" s="7">
        <f>$K774-$X774</f>
      </c>
      <c r="AD774" s="7">
        <f>$L774-$Y774</f>
      </c>
      <c r="AE774" s="7">
        <f>AA774/39.3701</f>
      </c>
      <c r="AF774" s="7">
        <f>AB774/39.3701</f>
      </c>
      <c r="AG774" s="7">
        <f>AC774/39.3701</f>
      </c>
      <c r="AH774" s="7">
        <f>AD774/39.3701</f>
      </c>
      <c r="AI774" s="1"/>
      <c r="AJ774" s="1"/>
      <c r="AK774" s="1"/>
      <c r="AL774" s="1"/>
      <c r="AM774" s="2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</row>
    <row x14ac:dyDescent="0.25" r="775" customHeight="1" ht="18.75">
      <c r="A775" s="1"/>
      <c r="B775" s="2"/>
      <c r="C775" s="2"/>
      <c r="D775" s="2"/>
      <c r="E775" s="2"/>
      <c r="F775" s="2"/>
      <c r="G775" s="1"/>
      <c r="H775" s="1"/>
      <c r="I775" s="7">
        <v>0.772</v>
      </c>
      <c r="J775" s="7">
        <f>IF((I775-ROUNDDOWN(I775,0))=0, 0, (I775-ROUNDDOWN(I775,0)))</f>
      </c>
      <c r="K775" s="7">
        <f>INDIRECT("C$"&amp;2+MIN(2,ROUNDDOWN(I775,0))*3)*(-$J775^3+3*$J775^2-3*$J775+1)+INDIRECT("C$"&amp;3+MIN(2,ROUNDDOWN(I775,0))*3)*(3*$J775^3-6*$J775^2+3*$J775)+INDIRECT("C$"&amp;4+MIN(2,ROUNDDOWN(I775,0))*3)*(-3*$J775^3+3*$J775^2)+INDIRECT("C$"&amp;5+MIN(2,ROUNDDOWN(I775,0))*3)*$J775^3</f>
      </c>
      <c r="L775" s="7">
        <f>INDIRECT("D$"&amp;2+MIN(2,ROUNDDOWN(I775,0))*3)*(-$J775^3+3*$J775^2-3*$J775+1)+INDIRECT("D$"&amp;3+MIN(2,ROUNDDOWN(I775,0))*3)*(3*$J775^3-6*$J775^2+3*$J775)+INDIRECT("D$"&amp;4+MIN(2,ROUNDDOWN(I775,0))*3)*(-3*$J775^3+3*$J775^2)+INDIRECT("D$"&amp;5+MIN(2,ROUNDDOWN(I775,0))*3)*$J775^3</f>
      </c>
      <c r="M775" s="7">
        <f>SQRT(K775^2+L775^2)</f>
      </c>
      <c r="N775" s="7">
        <f>(K776-K774)</f>
      </c>
      <c r="O775" s="7">
        <f>+(L776-L774)</f>
      </c>
      <c r="P775" s="7">
        <f>SQRT(O775^2+N775^2)</f>
      </c>
      <c r="Q775" s="7">
        <f>N775/$P775</f>
      </c>
      <c r="R775" s="7">
        <f>O775/$P775</f>
      </c>
      <c r="S775" s="7">
        <f>Q775^2+R775^2</f>
      </c>
      <c r="T775" s="7">
        <f>-R775</f>
      </c>
      <c r="U775" s="7">
        <f>Q775</f>
      </c>
      <c r="V775" s="7">
        <f>($C$14+($C$15-$C$14)/($D$15-$D$14)*(I775-$D$14))/2</f>
      </c>
      <c r="W775" s="7">
        <f>($B$22*I775^4+$C$22*I775^3+$D$22*I775^2+$E$22*I775+$F$22)/2</f>
      </c>
      <c r="X775" s="7">
        <f>($W775)*(T775)</f>
      </c>
      <c r="Y775" s="7">
        <f>($W775)*(U775)</f>
      </c>
      <c r="Z775" s="7">
        <f>SQRT(X775^2+Y775^2)</f>
      </c>
      <c r="AA775" s="7">
        <f>$K775+$X775</f>
      </c>
      <c r="AB775" s="7">
        <f>$L775+$Y775</f>
      </c>
      <c r="AC775" s="7">
        <f>$K775-$X775</f>
      </c>
      <c r="AD775" s="7">
        <f>$L775-$Y775</f>
      </c>
      <c r="AE775" s="7">
        <f>AA775/39.3701</f>
      </c>
      <c r="AF775" s="7">
        <f>AB775/39.3701</f>
      </c>
      <c r="AG775" s="7">
        <f>AC775/39.3701</f>
      </c>
      <c r="AH775" s="7">
        <f>AD775/39.3701</f>
      </c>
      <c r="AI775" s="1"/>
      <c r="AJ775" s="1"/>
      <c r="AK775" s="1"/>
      <c r="AL775" s="1"/>
      <c r="AM775" s="2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</row>
    <row x14ac:dyDescent="0.25" r="776" customHeight="1" ht="18.75">
      <c r="A776" s="1"/>
      <c r="B776" s="2"/>
      <c r="C776" s="2"/>
      <c r="D776" s="2"/>
      <c r="E776" s="2"/>
      <c r="F776" s="2"/>
      <c r="G776" s="1"/>
      <c r="H776" s="1"/>
      <c r="I776" s="7">
        <v>0.773</v>
      </c>
      <c r="J776" s="7">
        <f>IF((I776-ROUNDDOWN(I776,0))=0, 0, (I776-ROUNDDOWN(I776,0)))</f>
      </c>
      <c r="K776" s="7">
        <f>INDIRECT("C$"&amp;2+MIN(2,ROUNDDOWN(I776,0))*3)*(-$J776^3+3*$J776^2-3*$J776+1)+INDIRECT("C$"&amp;3+MIN(2,ROUNDDOWN(I776,0))*3)*(3*$J776^3-6*$J776^2+3*$J776)+INDIRECT("C$"&amp;4+MIN(2,ROUNDDOWN(I776,0))*3)*(-3*$J776^3+3*$J776^2)+INDIRECT("C$"&amp;5+MIN(2,ROUNDDOWN(I776,0))*3)*$J776^3</f>
      </c>
      <c r="L776" s="7">
        <f>INDIRECT("D$"&amp;2+MIN(2,ROUNDDOWN(I776,0))*3)*(-$J776^3+3*$J776^2-3*$J776+1)+INDIRECT("D$"&amp;3+MIN(2,ROUNDDOWN(I776,0))*3)*(3*$J776^3-6*$J776^2+3*$J776)+INDIRECT("D$"&amp;4+MIN(2,ROUNDDOWN(I776,0))*3)*(-3*$J776^3+3*$J776^2)+INDIRECT("D$"&amp;5+MIN(2,ROUNDDOWN(I776,0))*3)*$J776^3</f>
      </c>
      <c r="M776" s="7">
        <f>SQRT(K776^2+L776^2)</f>
      </c>
      <c r="N776" s="7">
        <f>(K777-K775)</f>
      </c>
      <c r="O776" s="7">
        <f>+(L777-L775)</f>
      </c>
      <c r="P776" s="7">
        <f>SQRT(O776^2+N776^2)</f>
      </c>
      <c r="Q776" s="7">
        <f>N776/$P776</f>
      </c>
      <c r="R776" s="7">
        <f>O776/$P776</f>
      </c>
      <c r="S776" s="8">
        <f>Q776^2+R776^2</f>
      </c>
      <c r="T776" s="7">
        <f>-R776</f>
      </c>
      <c r="U776" s="7">
        <f>Q776</f>
      </c>
      <c r="V776" s="7">
        <f>($C$14+($C$15-$C$14)/($D$15-$D$14)*(I776-$D$14))/2</f>
      </c>
      <c r="W776" s="7">
        <f>($B$22*I776^4+$C$22*I776^3+$D$22*I776^2+$E$22*I776+$F$22)/2</f>
      </c>
      <c r="X776" s="7">
        <f>($W776)*(T776)</f>
      </c>
      <c r="Y776" s="7">
        <f>($W776)*(U776)</f>
      </c>
      <c r="Z776" s="7">
        <f>SQRT(X776^2+Y776^2)</f>
      </c>
      <c r="AA776" s="7">
        <f>$K776+$X776</f>
      </c>
      <c r="AB776" s="7">
        <f>$L776+$Y776</f>
      </c>
      <c r="AC776" s="7">
        <f>$K776-$X776</f>
      </c>
      <c r="AD776" s="7">
        <f>$L776-$Y776</f>
      </c>
      <c r="AE776" s="7">
        <f>AA776/39.3701</f>
      </c>
      <c r="AF776" s="7">
        <f>AB776/39.3701</f>
      </c>
      <c r="AG776" s="7">
        <f>AC776/39.3701</f>
      </c>
      <c r="AH776" s="7">
        <f>AD776/39.3701</f>
      </c>
      <c r="AI776" s="1"/>
      <c r="AJ776" s="1"/>
      <c r="AK776" s="1"/>
      <c r="AL776" s="1"/>
      <c r="AM776" s="2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</row>
    <row x14ac:dyDescent="0.25" r="777" customHeight="1" ht="18.75">
      <c r="A777" s="1"/>
      <c r="B777" s="2"/>
      <c r="C777" s="2"/>
      <c r="D777" s="2"/>
      <c r="E777" s="2"/>
      <c r="F777" s="2"/>
      <c r="G777" s="1"/>
      <c r="H777" s="1"/>
      <c r="I777" s="7">
        <v>0.774</v>
      </c>
      <c r="J777" s="7">
        <f>IF((I777-ROUNDDOWN(I777,0))=0, 0, (I777-ROUNDDOWN(I777,0)))</f>
      </c>
      <c r="K777" s="7">
        <f>INDIRECT("C$"&amp;2+MIN(2,ROUNDDOWN(I777,0))*3)*(-$J777^3+3*$J777^2-3*$J777+1)+INDIRECT("C$"&amp;3+MIN(2,ROUNDDOWN(I777,0))*3)*(3*$J777^3-6*$J777^2+3*$J777)+INDIRECT("C$"&amp;4+MIN(2,ROUNDDOWN(I777,0))*3)*(-3*$J777^3+3*$J777^2)+INDIRECT("C$"&amp;5+MIN(2,ROUNDDOWN(I777,0))*3)*$J777^3</f>
      </c>
      <c r="L777" s="7">
        <f>INDIRECT("D$"&amp;2+MIN(2,ROUNDDOWN(I777,0))*3)*(-$J777^3+3*$J777^2-3*$J777+1)+INDIRECT("D$"&amp;3+MIN(2,ROUNDDOWN(I777,0))*3)*(3*$J777^3-6*$J777^2+3*$J777)+INDIRECT("D$"&amp;4+MIN(2,ROUNDDOWN(I777,0))*3)*(-3*$J777^3+3*$J777^2)+INDIRECT("D$"&amp;5+MIN(2,ROUNDDOWN(I777,0))*3)*$J777^3</f>
      </c>
      <c r="M777" s="7">
        <f>SQRT(K777^2+L777^2)</f>
      </c>
      <c r="N777" s="7">
        <f>(K778-K776)</f>
      </c>
      <c r="O777" s="7">
        <f>+(L778-L776)</f>
      </c>
      <c r="P777" s="7">
        <f>SQRT(O777^2+N777^2)</f>
      </c>
      <c r="Q777" s="7">
        <f>N777/$P777</f>
      </c>
      <c r="R777" s="7">
        <f>O777/$P777</f>
      </c>
      <c r="S777" s="8">
        <f>Q777^2+R777^2</f>
      </c>
      <c r="T777" s="7">
        <f>-R777</f>
      </c>
      <c r="U777" s="7">
        <f>Q777</f>
      </c>
      <c r="V777" s="7">
        <f>($C$14+($C$15-$C$14)/($D$15-$D$14)*(I777-$D$14))/2</f>
      </c>
      <c r="W777" s="7">
        <f>($B$22*I777^4+$C$22*I777^3+$D$22*I777^2+$E$22*I777+$F$22)/2</f>
      </c>
      <c r="X777" s="7">
        <f>($W777)*(T777)</f>
      </c>
      <c r="Y777" s="7">
        <f>($W777)*(U777)</f>
      </c>
      <c r="Z777" s="7">
        <f>SQRT(X777^2+Y777^2)</f>
      </c>
      <c r="AA777" s="7">
        <f>$K777+$X777</f>
      </c>
      <c r="AB777" s="7">
        <f>$L777+$Y777</f>
      </c>
      <c r="AC777" s="7">
        <f>$K777-$X777</f>
      </c>
      <c r="AD777" s="7">
        <f>$L777-$Y777</f>
      </c>
      <c r="AE777" s="7">
        <f>AA777/39.3701</f>
      </c>
      <c r="AF777" s="7">
        <f>AB777/39.3701</f>
      </c>
      <c r="AG777" s="7">
        <f>AC777/39.3701</f>
      </c>
      <c r="AH777" s="7">
        <f>AD777/39.3701</f>
      </c>
      <c r="AI777" s="1"/>
      <c r="AJ777" s="1"/>
      <c r="AK777" s="1"/>
      <c r="AL777" s="1"/>
      <c r="AM777" s="2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</row>
    <row x14ac:dyDescent="0.25" r="778" customHeight="1" ht="18.75">
      <c r="A778" s="1"/>
      <c r="B778" s="2"/>
      <c r="C778" s="2"/>
      <c r="D778" s="2"/>
      <c r="E778" s="2"/>
      <c r="F778" s="2"/>
      <c r="G778" s="1"/>
      <c r="H778" s="1"/>
      <c r="I778" s="7">
        <v>0.775</v>
      </c>
      <c r="J778" s="7">
        <f>IF((I778-ROUNDDOWN(I778,0))=0, 0, (I778-ROUNDDOWN(I778,0)))</f>
      </c>
      <c r="K778" s="7">
        <f>INDIRECT("C$"&amp;2+MIN(2,ROUNDDOWN(I778,0))*3)*(-$J778^3+3*$J778^2-3*$J778+1)+INDIRECT("C$"&amp;3+MIN(2,ROUNDDOWN(I778,0))*3)*(3*$J778^3-6*$J778^2+3*$J778)+INDIRECT("C$"&amp;4+MIN(2,ROUNDDOWN(I778,0))*3)*(-3*$J778^3+3*$J778^2)+INDIRECT("C$"&amp;5+MIN(2,ROUNDDOWN(I778,0))*3)*$J778^3</f>
      </c>
      <c r="L778" s="7">
        <f>INDIRECT("D$"&amp;2+MIN(2,ROUNDDOWN(I778,0))*3)*(-$J778^3+3*$J778^2-3*$J778+1)+INDIRECT("D$"&amp;3+MIN(2,ROUNDDOWN(I778,0))*3)*(3*$J778^3-6*$J778^2+3*$J778)+INDIRECT("D$"&amp;4+MIN(2,ROUNDDOWN(I778,0))*3)*(-3*$J778^3+3*$J778^2)+INDIRECT("D$"&amp;5+MIN(2,ROUNDDOWN(I778,0))*3)*$J778^3</f>
      </c>
      <c r="M778" s="7">
        <f>SQRT(K778^2+L778^2)</f>
      </c>
      <c r="N778" s="7">
        <f>(K779-K777)</f>
      </c>
      <c r="O778" s="7">
        <f>+(L779-L777)</f>
      </c>
      <c r="P778" s="7">
        <f>SQRT(O778^2+N778^2)</f>
      </c>
      <c r="Q778" s="7">
        <f>N778/$P778</f>
      </c>
      <c r="R778" s="7">
        <f>O778/$P778</f>
      </c>
      <c r="S778" s="7">
        <f>Q778^2+R778^2</f>
      </c>
      <c r="T778" s="7">
        <f>-R778</f>
      </c>
      <c r="U778" s="7">
        <f>Q778</f>
      </c>
      <c r="V778" s="7">
        <f>($C$14+($C$15-$C$14)/($D$15-$D$14)*(I778-$D$14))/2</f>
      </c>
      <c r="W778" s="7">
        <f>($B$22*I778^4+$C$22*I778^3+$D$22*I778^2+$E$22*I778+$F$22)/2</f>
      </c>
      <c r="X778" s="7">
        <f>($W778)*(T778)</f>
      </c>
      <c r="Y778" s="7">
        <f>($W778)*(U778)</f>
      </c>
      <c r="Z778" s="7">
        <f>SQRT(X778^2+Y778^2)</f>
      </c>
      <c r="AA778" s="7">
        <f>$K778+$X778</f>
      </c>
      <c r="AB778" s="7">
        <f>$L778+$Y778</f>
      </c>
      <c r="AC778" s="7">
        <f>$K778-$X778</f>
      </c>
      <c r="AD778" s="7">
        <f>$L778-$Y778</f>
      </c>
      <c r="AE778" s="7">
        <f>AA778/39.3701</f>
      </c>
      <c r="AF778" s="7">
        <f>AB778/39.3701</f>
      </c>
      <c r="AG778" s="7">
        <f>AC778/39.3701</f>
      </c>
      <c r="AH778" s="7">
        <f>AD778/39.3701</f>
      </c>
      <c r="AI778" s="1"/>
      <c r="AJ778" s="1"/>
      <c r="AK778" s="1"/>
      <c r="AL778" s="1"/>
      <c r="AM778" s="2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</row>
    <row x14ac:dyDescent="0.25" r="779" customHeight="1" ht="18.75">
      <c r="A779" s="1"/>
      <c r="B779" s="2"/>
      <c r="C779" s="2"/>
      <c r="D779" s="2"/>
      <c r="E779" s="2"/>
      <c r="F779" s="2"/>
      <c r="G779" s="1"/>
      <c r="H779" s="1"/>
      <c r="I779" s="7">
        <v>0.776</v>
      </c>
      <c r="J779" s="7">
        <f>IF((I779-ROUNDDOWN(I779,0))=0, 0, (I779-ROUNDDOWN(I779,0)))</f>
      </c>
      <c r="K779" s="7">
        <f>INDIRECT("C$"&amp;2+MIN(2,ROUNDDOWN(I779,0))*3)*(-$J779^3+3*$J779^2-3*$J779+1)+INDIRECT("C$"&amp;3+MIN(2,ROUNDDOWN(I779,0))*3)*(3*$J779^3-6*$J779^2+3*$J779)+INDIRECT("C$"&amp;4+MIN(2,ROUNDDOWN(I779,0))*3)*(-3*$J779^3+3*$J779^2)+INDIRECT("C$"&amp;5+MIN(2,ROUNDDOWN(I779,0))*3)*$J779^3</f>
      </c>
      <c r="L779" s="7">
        <f>INDIRECT("D$"&amp;2+MIN(2,ROUNDDOWN(I779,0))*3)*(-$J779^3+3*$J779^2-3*$J779+1)+INDIRECT("D$"&amp;3+MIN(2,ROUNDDOWN(I779,0))*3)*(3*$J779^3-6*$J779^2+3*$J779)+INDIRECT("D$"&amp;4+MIN(2,ROUNDDOWN(I779,0))*3)*(-3*$J779^3+3*$J779^2)+INDIRECT("D$"&amp;5+MIN(2,ROUNDDOWN(I779,0))*3)*$J779^3</f>
      </c>
      <c r="M779" s="7">
        <f>SQRT(K779^2+L779^2)</f>
      </c>
      <c r="N779" s="7">
        <f>(K780-K778)</f>
      </c>
      <c r="O779" s="7">
        <f>+(L780-L778)</f>
      </c>
      <c r="P779" s="7">
        <f>SQRT(O779^2+N779^2)</f>
      </c>
      <c r="Q779" s="7">
        <f>N779/$P779</f>
      </c>
      <c r="R779" s="7">
        <f>O779/$P779</f>
      </c>
      <c r="S779" s="8">
        <f>Q779^2+R779^2</f>
      </c>
      <c r="T779" s="7">
        <f>-R779</f>
      </c>
      <c r="U779" s="7">
        <f>Q779</f>
      </c>
      <c r="V779" s="7">
        <f>($C$14+($C$15-$C$14)/($D$15-$D$14)*(I779-$D$14))/2</f>
      </c>
      <c r="W779" s="7">
        <f>($B$22*I779^4+$C$22*I779^3+$D$22*I779^2+$E$22*I779+$F$22)/2</f>
      </c>
      <c r="X779" s="7">
        <f>($W779)*(T779)</f>
      </c>
      <c r="Y779" s="7">
        <f>($W779)*(U779)</f>
      </c>
      <c r="Z779" s="7">
        <f>SQRT(X779^2+Y779^2)</f>
      </c>
      <c r="AA779" s="7">
        <f>$K779+$X779</f>
      </c>
      <c r="AB779" s="7">
        <f>$L779+$Y779</f>
      </c>
      <c r="AC779" s="7">
        <f>$K779-$X779</f>
      </c>
      <c r="AD779" s="7">
        <f>$L779-$Y779</f>
      </c>
      <c r="AE779" s="7">
        <f>AA779/39.3701</f>
      </c>
      <c r="AF779" s="7">
        <f>AB779/39.3701</f>
      </c>
      <c r="AG779" s="7">
        <f>AC779/39.3701</f>
      </c>
      <c r="AH779" s="7">
        <f>AD779/39.3701</f>
      </c>
      <c r="AI779" s="1"/>
      <c r="AJ779" s="1"/>
      <c r="AK779" s="1"/>
      <c r="AL779" s="1"/>
      <c r="AM779" s="2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</row>
    <row x14ac:dyDescent="0.25" r="780" customHeight="1" ht="18.75">
      <c r="A780" s="1"/>
      <c r="B780" s="2"/>
      <c r="C780" s="2"/>
      <c r="D780" s="2"/>
      <c r="E780" s="2"/>
      <c r="F780" s="2"/>
      <c r="G780" s="1"/>
      <c r="H780" s="1"/>
      <c r="I780" s="7">
        <v>0.777</v>
      </c>
      <c r="J780" s="7">
        <f>IF((I780-ROUNDDOWN(I780,0))=0, 0, (I780-ROUNDDOWN(I780,0)))</f>
      </c>
      <c r="K780" s="7">
        <f>INDIRECT("C$"&amp;2+MIN(2,ROUNDDOWN(I780,0))*3)*(-$J780^3+3*$J780^2-3*$J780+1)+INDIRECT("C$"&amp;3+MIN(2,ROUNDDOWN(I780,0))*3)*(3*$J780^3-6*$J780^2+3*$J780)+INDIRECT("C$"&amp;4+MIN(2,ROUNDDOWN(I780,0))*3)*(-3*$J780^3+3*$J780^2)+INDIRECT("C$"&amp;5+MIN(2,ROUNDDOWN(I780,0))*3)*$J780^3</f>
      </c>
      <c r="L780" s="7">
        <f>INDIRECT("D$"&amp;2+MIN(2,ROUNDDOWN(I780,0))*3)*(-$J780^3+3*$J780^2-3*$J780+1)+INDIRECT("D$"&amp;3+MIN(2,ROUNDDOWN(I780,0))*3)*(3*$J780^3-6*$J780^2+3*$J780)+INDIRECT("D$"&amp;4+MIN(2,ROUNDDOWN(I780,0))*3)*(-3*$J780^3+3*$J780^2)+INDIRECT("D$"&amp;5+MIN(2,ROUNDDOWN(I780,0))*3)*$J780^3</f>
      </c>
      <c r="M780" s="7">
        <f>SQRT(K780^2+L780^2)</f>
      </c>
      <c r="N780" s="7">
        <f>(K781-K779)</f>
      </c>
      <c r="O780" s="7">
        <f>+(L781-L779)</f>
      </c>
      <c r="P780" s="7">
        <f>SQRT(O780^2+N780^2)</f>
      </c>
      <c r="Q780" s="7">
        <f>N780/$P780</f>
      </c>
      <c r="R780" s="7">
        <f>O780/$P780</f>
      </c>
      <c r="S780" s="8">
        <f>Q780^2+R780^2</f>
      </c>
      <c r="T780" s="7">
        <f>-R780</f>
      </c>
      <c r="U780" s="7">
        <f>Q780</f>
      </c>
      <c r="V780" s="7">
        <f>($C$14+($C$15-$C$14)/($D$15-$D$14)*(I780-$D$14))/2</f>
      </c>
      <c r="W780" s="7">
        <f>($B$22*I780^4+$C$22*I780^3+$D$22*I780^2+$E$22*I780+$F$22)/2</f>
      </c>
      <c r="X780" s="7">
        <f>($W780)*(T780)</f>
      </c>
      <c r="Y780" s="7">
        <f>($W780)*(U780)</f>
      </c>
      <c r="Z780" s="7">
        <f>SQRT(X780^2+Y780^2)</f>
      </c>
      <c r="AA780" s="7">
        <f>$K780+$X780</f>
      </c>
      <c r="AB780" s="7">
        <f>$L780+$Y780</f>
      </c>
      <c r="AC780" s="7">
        <f>$K780-$X780</f>
      </c>
      <c r="AD780" s="7">
        <f>$L780-$Y780</f>
      </c>
      <c r="AE780" s="7">
        <f>AA780/39.3701</f>
      </c>
      <c r="AF780" s="7">
        <f>AB780/39.3701</f>
      </c>
      <c r="AG780" s="7">
        <f>AC780/39.3701</f>
      </c>
      <c r="AH780" s="7">
        <f>AD780/39.3701</f>
      </c>
      <c r="AI780" s="1"/>
      <c r="AJ780" s="1"/>
      <c r="AK780" s="1"/>
      <c r="AL780" s="1"/>
      <c r="AM780" s="2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</row>
    <row x14ac:dyDescent="0.25" r="781" customHeight="1" ht="18.75">
      <c r="A781" s="1"/>
      <c r="B781" s="2"/>
      <c r="C781" s="2"/>
      <c r="D781" s="2"/>
      <c r="E781" s="2"/>
      <c r="F781" s="2"/>
      <c r="G781" s="1"/>
      <c r="H781" s="1"/>
      <c r="I781" s="7">
        <v>0.778</v>
      </c>
      <c r="J781" s="7">
        <f>IF((I781-ROUNDDOWN(I781,0))=0, 0, (I781-ROUNDDOWN(I781,0)))</f>
      </c>
      <c r="K781" s="7">
        <f>INDIRECT("C$"&amp;2+MIN(2,ROUNDDOWN(I781,0))*3)*(-$J781^3+3*$J781^2-3*$J781+1)+INDIRECT("C$"&amp;3+MIN(2,ROUNDDOWN(I781,0))*3)*(3*$J781^3-6*$J781^2+3*$J781)+INDIRECT("C$"&amp;4+MIN(2,ROUNDDOWN(I781,0))*3)*(-3*$J781^3+3*$J781^2)+INDIRECT("C$"&amp;5+MIN(2,ROUNDDOWN(I781,0))*3)*$J781^3</f>
      </c>
      <c r="L781" s="7">
        <f>INDIRECT("D$"&amp;2+MIN(2,ROUNDDOWN(I781,0))*3)*(-$J781^3+3*$J781^2-3*$J781+1)+INDIRECT("D$"&amp;3+MIN(2,ROUNDDOWN(I781,0))*3)*(3*$J781^3-6*$J781^2+3*$J781)+INDIRECT("D$"&amp;4+MIN(2,ROUNDDOWN(I781,0))*3)*(-3*$J781^3+3*$J781^2)+INDIRECT("D$"&amp;5+MIN(2,ROUNDDOWN(I781,0))*3)*$J781^3</f>
      </c>
      <c r="M781" s="7">
        <f>SQRT(K781^2+L781^2)</f>
      </c>
      <c r="N781" s="7">
        <f>(K782-K780)</f>
      </c>
      <c r="O781" s="7">
        <f>+(L782-L780)</f>
      </c>
      <c r="P781" s="7">
        <f>SQRT(O781^2+N781^2)</f>
      </c>
      <c r="Q781" s="7">
        <f>N781/$P781</f>
      </c>
      <c r="R781" s="7">
        <f>O781/$P781</f>
      </c>
      <c r="S781" s="7">
        <f>Q781^2+R781^2</f>
      </c>
      <c r="T781" s="7">
        <f>-R781</f>
      </c>
      <c r="U781" s="7">
        <f>Q781</f>
      </c>
      <c r="V781" s="7">
        <f>($C$14+($C$15-$C$14)/($D$15-$D$14)*(I781-$D$14))/2</f>
      </c>
      <c r="W781" s="7">
        <f>($B$22*I781^4+$C$22*I781^3+$D$22*I781^2+$E$22*I781+$F$22)/2</f>
      </c>
      <c r="X781" s="7">
        <f>($W781)*(T781)</f>
      </c>
      <c r="Y781" s="7">
        <f>($W781)*(U781)</f>
      </c>
      <c r="Z781" s="7">
        <f>SQRT(X781^2+Y781^2)</f>
      </c>
      <c r="AA781" s="7">
        <f>$K781+$X781</f>
      </c>
      <c r="AB781" s="7">
        <f>$L781+$Y781</f>
      </c>
      <c r="AC781" s="7">
        <f>$K781-$X781</f>
      </c>
      <c r="AD781" s="7">
        <f>$L781-$Y781</f>
      </c>
      <c r="AE781" s="7">
        <f>AA781/39.3701</f>
      </c>
      <c r="AF781" s="7">
        <f>AB781/39.3701</f>
      </c>
      <c r="AG781" s="7">
        <f>AC781/39.3701</f>
      </c>
      <c r="AH781" s="7">
        <f>AD781/39.3701</f>
      </c>
      <c r="AI781" s="1"/>
      <c r="AJ781" s="1"/>
      <c r="AK781" s="1"/>
      <c r="AL781" s="1"/>
      <c r="AM781" s="2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</row>
    <row x14ac:dyDescent="0.25" r="782" customHeight="1" ht="18.75">
      <c r="A782" s="1"/>
      <c r="B782" s="2"/>
      <c r="C782" s="2"/>
      <c r="D782" s="2"/>
      <c r="E782" s="2"/>
      <c r="F782" s="2"/>
      <c r="G782" s="1"/>
      <c r="H782" s="1"/>
      <c r="I782" s="7">
        <v>0.779</v>
      </c>
      <c r="J782" s="7">
        <f>IF((I782-ROUNDDOWN(I782,0))=0, 0, (I782-ROUNDDOWN(I782,0)))</f>
      </c>
      <c r="K782" s="7">
        <f>INDIRECT("C$"&amp;2+MIN(2,ROUNDDOWN(I782,0))*3)*(-$J782^3+3*$J782^2-3*$J782+1)+INDIRECT("C$"&amp;3+MIN(2,ROUNDDOWN(I782,0))*3)*(3*$J782^3-6*$J782^2+3*$J782)+INDIRECT("C$"&amp;4+MIN(2,ROUNDDOWN(I782,0))*3)*(-3*$J782^3+3*$J782^2)+INDIRECT("C$"&amp;5+MIN(2,ROUNDDOWN(I782,0))*3)*$J782^3</f>
      </c>
      <c r="L782" s="7">
        <f>INDIRECT("D$"&amp;2+MIN(2,ROUNDDOWN(I782,0))*3)*(-$J782^3+3*$J782^2-3*$J782+1)+INDIRECT("D$"&amp;3+MIN(2,ROUNDDOWN(I782,0))*3)*(3*$J782^3-6*$J782^2+3*$J782)+INDIRECT("D$"&amp;4+MIN(2,ROUNDDOWN(I782,0))*3)*(-3*$J782^3+3*$J782^2)+INDIRECT("D$"&amp;5+MIN(2,ROUNDDOWN(I782,0))*3)*$J782^3</f>
      </c>
      <c r="M782" s="7">
        <f>SQRT(K782^2+L782^2)</f>
      </c>
      <c r="N782" s="7">
        <f>(K783-K781)</f>
      </c>
      <c r="O782" s="7">
        <f>+(L783-L781)</f>
      </c>
      <c r="P782" s="7">
        <f>SQRT(O782^2+N782^2)</f>
      </c>
      <c r="Q782" s="7">
        <f>N782/$P782</f>
      </c>
      <c r="R782" s="7">
        <f>O782/$P782</f>
      </c>
      <c r="S782" s="8">
        <f>Q782^2+R782^2</f>
      </c>
      <c r="T782" s="7">
        <f>-R782</f>
      </c>
      <c r="U782" s="7">
        <f>Q782</f>
      </c>
      <c r="V782" s="7">
        <f>($C$14+($C$15-$C$14)/($D$15-$D$14)*(I782-$D$14))/2</f>
      </c>
      <c r="W782" s="7">
        <f>($B$22*I782^4+$C$22*I782^3+$D$22*I782^2+$E$22*I782+$F$22)/2</f>
      </c>
      <c r="X782" s="7">
        <f>($W782)*(T782)</f>
      </c>
      <c r="Y782" s="7">
        <f>($W782)*(U782)</f>
      </c>
      <c r="Z782" s="7">
        <f>SQRT(X782^2+Y782^2)</f>
      </c>
      <c r="AA782" s="7">
        <f>$K782+$X782</f>
      </c>
      <c r="AB782" s="7">
        <f>$L782+$Y782</f>
      </c>
      <c r="AC782" s="7">
        <f>$K782-$X782</f>
      </c>
      <c r="AD782" s="7">
        <f>$L782-$Y782</f>
      </c>
      <c r="AE782" s="7">
        <f>AA782/39.3701</f>
      </c>
      <c r="AF782" s="7">
        <f>AB782/39.3701</f>
      </c>
      <c r="AG782" s="7">
        <f>AC782/39.3701</f>
      </c>
      <c r="AH782" s="7">
        <f>AD782/39.3701</f>
      </c>
      <c r="AI782" s="1"/>
      <c r="AJ782" s="1"/>
      <c r="AK782" s="1"/>
      <c r="AL782" s="1"/>
      <c r="AM782" s="2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</row>
    <row x14ac:dyDescent="0.25" r="783" customHeight="1" ht="18.75">
      <c r="A783" s="1"/>
      <c r="B783" s="2"/>
      <c r="C783" s="2"/>
      <c r="D783" s="2"/>
      <c r="E783" s="2"/>
      <c r="F783" s="2"/>
      <c r="G783" s="1"/>
      <c r="H783" s="1"/>
      <c r="I783" s="7">
        <v>0.78</v>
      </c>
      <c r="J783" s="7">
        <f>IF((I783-ROUNDDOWN(I783,0))=0, 0, (I783-ROUNDDOWN(I783,0)))</f>
      </c>
      <c r="K783" s="7">
        <f>INDIRECT("C$"&amp;2+MIN(2,ROUNDDOWN(I783,0))*3)*(-$J783^3+3*$J783^2-3*$J783+1)+INDIRECT("C$"&amp;3+MIN(2,ROUNDDOWN(I783,0))*3)*(3*$J783^3-6*$J783^2+3*$J783)+INDIRECT("C$"&amp;4+MIN(2,ROUNDDOWN(I783,0))*3)*(-3*$J783^3+3*$J783^2)+INDIRECT("C$"&amp;5+MIN(2,ROUNDDOWN(I783,0))*3)*$J783^3</f>
      </c>
      <c r="L783" s="7">
        <f>INDIRECT("D$"&amp;2+MIN(2,ROUNDDOWN(I783,0))*3)*(-$J783^3+3*$J783^2-3*$J783+1)+INDIRECT("D$"&amp;3+MIN(2,ROUNDDOWN(I783,0))*3)*(3*$J783^3-6*$J783^2+3*$J783)+INDIRECT("D$"&amp;4+MIN(2,ROUNDDOWN(I783,0))*3)*(-3*$J783^3+3*$J783^2)+INDIRECT("D$"&amp;5+MIN(2,ROUNDDOWN(I783,0))*3)*$J783^3</f>
      </c>
      <c r="M783" s="7">
        <f>SQRT(K783^2+L783^2)</f>
      </c>
      <c r="N783" s="7">
        <f>(K784-K782)</f>
      </c>
      <c r="O783" s="7">
        <f>+(L784-L782)</f>
      </c>
      <c r="P783" s="7">
        <f>SQRT(O783^2+N783^2)</f>
      </c>
      <c r="Q783" s="7">
        <f>N783/$P783</f>
      </c>
      <c r="R783" s="7">
        <f>O783/$P783</f>
      </c>
      <c r="S783" s="8">
        <f>Q783^2+R783^2</f>
      </c>
      <c r="T783" s="7">
        <f>-R783</f>
      </c>
      <c r="U783" s="7">
        <f>Q783</f>
      </c>
      <c r="V783" s="7">
        <f>($C$14+($C$15-$C$14)/($D$15-$D$14)*(I783-$D$14))/2</f>
      </c>
      <c r="W783" s="7">
        <f>($B$22*I783^4+$C$22*I783^3+$D$22*I783^2+$E$22*I783+$F$22)/2</f>
      </c>
      <c r="X783" s="7">
        <f>($W783)*(T783)</f>
      </c>
      <c r="Y783" s="7">
        <f>($W783)*(U783)</f>
      </c>
      <c r="Z783" s="7">
        <f>SQRT(X783^2+Y783^2)</f>
      </c>
      <c r="AA783" s="7">
        <f>$K783+$X783</f>
      </c>
      <c r="AB783" s="7">
        <f>$L783+$Y783</f>
      </c>
      <c r="AC783" s="7">
        <f>$K783-$X783</f>
      </c>
      <c r="AD783" s="7">
        <f>$L783-$Y783</f>
      </c>
      <c r="AE783" s="7">
        <f>AA783/39.3701</f>
      </c>
      <c r="AF783" s="7">
        <f>AB783/39.3701</f>
      </c>
      <c r="AG783" s="7">
        <f>AC783/39.3701</f>
      </c>
      <c r="AH783" s="7">
        <f>AD783/39.3701</f>
      </c>
      <c r="AI783" s="1"/>
      <c r="AJ783" s="1"/>
      <c r="AK783" s="1"/>
      <c r="AL783" s="1"/>
      <c r="AM783" s="2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</row>
    <row x14ac:dyDescent="0.25" r="784" customHeight="1" ht="18.75">
      <c r="A784" s="1"/>
      <c r="B784" s="2"/>
      <c r="C784" s="2"/>
      <c r="D784" s="2"/>
      <c r="E784" s="2"/>
      <c r="F784" s="2"/>
      <c r="G784" s="1"/>
      <c r="H784" s="1"/>
      <c r="I784" s="7">
        <v>0.781</v>
      </c>
      <c r="J784" s="7">
        <f>IF((I784-ROUNDDOWN(I784,0))=0, 0, (I784-ROUNDDOWN(I784,0)))</f>
      </c>
      <c r="K784" s="7">
        <f>INDIRECT("C$"&amp;2+MIN(2,ROUNDDOWN(I784,0))*3)*(-$J784^3+3*$J784^2-3*$J784+1)+INDIRECT("C$"&amp;3+MIN(2,ROUNDDOWN(I784,0))*3)*(3*$J784^3-6*$J784^2+3*$J784)+INDIRECT("C$"&amp;4+MIN(2,ROUNDDOWN(I784,0))*3)*(-3*$J784^3+3*$J784^2)+INDIRECT("C$"&amp;5+MIN(2,ROUNDDOWN(I784,0))*3)*$J784^3</f>
      </c>
      <c r="L784" s="7">
        <f>INDIRECT("D$"&amp;2+MIN(2,ROUNDDOWN(I784,0))*3)*(-$J784^3+3*$J784^2-3*$J784+1)+INDIRECT("D$"&amp;3+MIN(2,ROUNDDOWN(I784,0))*3)*(3*$J784^3-6*$J784^2+3*$J784)+INDIRECT("D$"&amp;4+MIN(2,ROUNDDOWN(I784,0))*3)*(-3*$J784^3+3*$J784^2)+INDIRECT("D$"&amp;5+MIN(2,ROUNDDOWN(I784,0))*3)*$J784^3</f>
      </c>
      <c r="M784" s="7">
        <f>SQRT(K784^2+L784^2)</f>
      </c>
      <c r="N784" s="7">
        <f>(K785-K783)</f>
      </c>
      <c r="O784" s="7">
        <f>+(L785-L783)</f>
      </c>
      <c r="P784" s="7">
        <f>SQRT(O784^2+N784^2)</f>
      </c>
      <c r="Q784" s="7">
        <f>N784/$P784</f>
      </c>
      <c r="R784" s="7">
        <f>O784/$P784</f>
      </c>
      <c r="S784" s="8">
        <f>Q784^2+R784^2</f>
      </c>
      <c r="T784" s="7">
        <f>-R784</f>
      </c>
      <c r="U784" s="7">
        <f>Q784</f>
      </c>
      <c r="V784" s="7">
        <f>($C$14+($C$15-$C$14)/($D$15-$D$14)*(I784-$D$14))/2</f>
      </c>
      <c r="W784" s="7">
        <f>($B$22*I784^4+$C$22*I784^3+$D$22*I784^2+$E$22*I784+$F$22)/2</f>
      </c>
      <c r="X784" s="7">
        <f>($W784)*(T784)</f>
      </c>
      <c r="Y784" s="7">
        <f>($W784)*(U784)</f>
      </c>
      <c r="Z784" s="7">
        <f>SQRT(X784^2+Y784^2)</f>
      </c>
      <c r="AA784" s="7">
        <f>$K784+$X784</f>
      </c>
      <c r="AB784" s="7">
        <f>$L784+$Y784</f>
      </c>
      <c r="AC784" s="7">
        <f>$K784-$X784</f>
      </c>
      <c r="AD784" s="7">
        <f>$L784-$Y784</f>
      </c>
      <c r="AE784" s="7">
        <f>AA784/39.3701</f>
      </c>
      <c r="AF784" s="7">
        <f>AB784/39.3701</f>
      </c>
      <c r="AG784" s="7">
        <f>AC784/39.3701</f>
      </c>
      <c r="AH784" s="7">
        <f>AD784/39.3701</f>
      </c>
      <c r="AI784" s="1"/>
      <c r="AJ784" s="1"/>
      <c r="AK784" s="1"/>
      <c r="AL784" s="1"/>
      <c r="AM784" s="2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</row>
    <row x14ac:dyDescent="0.25" r="785" customHeight="1" ht="18.75">
      <c r="A785" s="1"/>
      <c r="B785" s="2"/>
      <c r="C785" s="2"/>
      <c r="D785" s="2"/>
      <c r="E785" s="2"/>
      <c r="F785" s="2"/>
      <c r="G785" s="1"/>
      <c r="H785" s="1"/>
      <c r="I785" s="7">
        <v>0.782</v>
      </c>
      <c r="J785" s="7">
        <f>IF((I785-ROUNDDOWN(I785,0))=0, 0, (I785-ROUNDDOWN(I785,0)))</f>
      </c>
      <c r="K785" s="7">
        <f>INDIRECT("C$"&amp;2+MIN(2,ROUNDDOWN(I785,0))*3)*(-$J785^3+3*$J785^2-3*$J785+1)+INDIRECT("C$"&amp;3+MIN(2,ROUNDDOWN(I785,0))*3)*(3*$J785^3-6*$J785^2+3*$J785)+INDIRECT("C$"&amp;4+MIN(2,ROUNDDOWN(I785,0))*3)*(-3*$J785^3+3*$J785^2)+INDIRECT("C$"&amp;5+MIN(2,ROUNDDOWN(I785,0))*3)*$J785^3</f>
      </c>
      <c r="L785" s="7">
        <f>INDIRECT("D$"&amp;2+MIN(2,ROUNDDOWN(I785,0))*3)*(-$J785^3+3*$J785^2-3*$J785+1)+INDIRECT("D$"&amp;3+MIN(2,ROUNDDOWN(I785,0))*3)*(3*$J785^3-6*$J785^2+3*$J785)+INDIRECT("D$"&amp;4+MIN(2,ROUNDDOWN(I785,0))*3)*(-3*$J785^3+3*$J785^2)+INDIRECT("D$"&amp;5+MIN(2,ROUNDDOWN(I785,0))*3)*$J785^3</f>
      </c>
      <c r="M785" s="7">
        <f>SQRT(K785^2+L785^2)</f>
      </c>
      <c r="N785" s="7">
        <f>(K786-K784)</f>
      </c>
      <c r="O785" s="7">
        <f>+(L786-L784)</f>
      </c>
      <c r="P785" s="7">
        <f>SQRT(O785^2+N785^2)</f>
      </c>
      <c r="Q785" s="7">
        <f>N785/$P785</f>
      </c>
      <c r="R785" s="7">
        <f>O785/$P785</f>
      </c>
      <c r="S785" s="8">
        <f>Q785^2+R785^2</f>
      </c>
      <c r="T785" s="7">
        <f>-R785</f>
      </c>
      <c r="U785" s="7">
        <f>Q785</f>
      </c>
      <c r="V785" s="7">
        <f>($C$14+($C$15-$C$14)/($D$15-$D$14)*(I785-$D$14))/2</f>
      </c>
      <c r="W785" s="7">
        <f>($B$22*I785^4+$C$22*I785^3+$D$22*I785^2+$E$22*I785+$F$22)/2</f>
      </c>
      <c r="X785" s="7">
        <f>($W785)*(T785)</f>
      </c>
      <c r="Y785" s="7">
        <f>($W785)*(U785)</f>
      </c>
      <c r="Z785" s="7">
        <f>SQRT(X785^2+Y785^2)</f>
      </c>
      <c r="AA785" s="7">
        <f>$K785+$X785</f>
      </c>
      <c r="AB785" s="7">
        <f>$L785+$Y785</f>
      </c>
      <c r="AC785" s="7">
        <f>$K785-$X785</f>
      </c>
      <c r="AD785" s="7">
        <f>$L785-$Y785</f>
      </c>
      <c r="AE785" s="7">
        <f>AA785/39.3701</f>
      </c>
      <c r="AF785" s="7">
        <f>AB785/39.3701</f>
      </c>
      <c r="AG785" s="7">
        <f>AC785/39.3701</f>
      </c>
      <c r="AH785" s="7">
        <f>AD785/39.3701</f>
      </c>
      <c r="AI785" s="1"/>
      <c r="AJ785" s="1"/>
      <c r="AK785" s="1"/>
      <c r="AL785" s="1"/>
      <c r="AM785" s="2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</row>
    <row x14ac:dyDescent="0.25" r="786" customHeight="1" ht="18.75">
      <c r="A786" s="1"/>
      <c r="B786" s="2"/>
      <c r="C786" s="2"/>
      <c r="D786" s="2"/>
      <c r="E786" s="2"/>
      <c r="F786" s="2"/>
      <c r="G786" s="1"/>
      <c r="H786" s="1"/>
      <c r="I786" s="7">
        <v>0.783</v>
      </c>
      <c r="J786" s="7">
        <f>IF((I786-ROUNDDOWN(I786,0))=0, 0, (I786-ROUNDDOWN(I786,0)))</f>
      </c>
      <c r="K786" s="7">
        <f>INDIRECT("C$"&amp;2+MIN(2,ROUNDDOWN(I786,0))*3)*(-$J786^3+3*$J786^2-3*$J786+1)+INDIRECT("C$"&amp;3+MIN(2,ROUNDDOWN(I786,0))*3)*(3*$J786^3-6*$J786^2+3*$J786)+INDIRECT("C$"&amp;4+MIN(2,ROUNDDOWN(I786,0))*3)*(-3*$J786^3+3*$J786^2)+INDIRECT("C$"&amp;5+MIN(2,ROUNDDOWN(I786,0))*3)*$J786^3</f>
      </c>
      <c r="L786" s="7">
        <f>INDIRECT("D$"&amp;2+MIN(2,ROUNDDOWN(I786,0))*3)*(-$J786^3+3*$J786^2-3*$J786+1)+INDIRECT("D$"&amp;3+MIN(2,ROUNDDOWN(I786,0))*3)*(3*$J786^3-6*$J786^2+3*$J786)+INDIRECT("D$"&amp;4+MIN(2,ROUNDDOWN(I786,0))*3)*(-3*$J786^3+3*$J786^2)+INDIRECT("D$"&amp;5+MIN(2,ROUNDDOWN(I786,0))*3)*$J786^3</f>
      </c>
      <c r="M786" s="7">
        <f>SQRT(K786^2+L786^2)</f>
      </c>
      <c r="N786" s="7">
        <f>(K787-K785)</f>
      </c>
      <c r="O786" s="7">
        <f>+(L787-L785)</f>
      </c>
      <c r="P786" s="7">
        <f>SQRT(O786^2+N786^2)</f>
      </c>
      <c r="Q786" s="7">
        <f>N786/$P786</f>
      </c>
      <c r="R786" s="7">
        <f>O786/$P786</f>
      </c>
      <c r="S786" s="8">
        <f>Q786^2+R786^2</f>
      </c>
      <c r="T786" s="7">
        <f>-R786</f>
      </c>
      <c r="U786" s="7">
        <f>Q786</f>
      </c>
      <c r="V786" s="7">
        <f>($C$14+($C$15-$C$14)/($D$15-$D$14)*(I786-$D$14))/2</f>
      </c>
      <c r="W786" s="7">
        <f>($B$22*I786^4+$C$22*I786^3+$D$22*I786^2+$E$22*I786+$F$22)/2</f>
      </c>
      <c r="X786" s="7">
        <f>($W786)*(T786)</f>
      </c>
      <c r="Y786" s="7">
        <f>($W786)*(U786)</f>
      </c>
      <c r="Z786" s="7">
        <f>SQRT(X786^2+Y786^2)</f>
      </c>
      <c r="AA786" s="7">
        <f>$K786+$X786</f>
      </c>
      <c r="AB786" s="7">
        <f>$L786+$Y786</f>
      </c>
      <c r="AC786" s="7">
        <f>$K786-$X786</f>
      </c>
      <c r="AD786" s="7">
        <f>$L786-$Y786</f>
      </c>
      <c r="AE786" s="7">
        <f>AA786/39.3701</f>
      </c>
      <c r="AF786" s="7">
        <f>AB786/39.3701</f>
      </c>
      <c r="AG786" s="7">
        <f>AC786/39.3701</f>
      </c>
      <c r="AH786" s="7">
        <f>AD786/39.3701</f>
      </c>
      <c r="AI786" s="1"/>
      <c r="AJ786" s="1"/>
      <c r="AK786" s="1"/>
      <c r="AL786" s="1"/>
      <c r="AM786" s="2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</row>
    <row x14ac:dyDescent="0.25" r="787" customHeight="1" ht="18.75">
      <c r="A787" s="1"/>
      <c r="B787" s="2"/>
      <c r="C787" s="2"/>
      <c r="D787" s="2"/>
      <c r="E787" s="2"/>
      <c r="F787" s="2"/>
      <c r="G787" s="1"/>
      <c r="H787" s="1"/>
      <c r="I787" s="7">
        <v>0.784</v>
      </c>
      <c r="J787" s="7">
        <f>IF((I787-ROUNDDOWN(I787,0))=0, 0, (I787-ROUNDDOWN(I787,0)))</f>
      </c>
      <c r="K787" s="7">
        <f>INDIRECT("C$"&amp;2+MIN(2,ROUNDDOWN(I787,0))*3)*(-$J787^3+3*$J787^2-3*$J787+1)+INDIRECT("C$"&amp;3+MIN(2,ROUNDDOWN(I787,0))*3)*(3*$J787^3-6*$J787^2+3*$J787)+INDIRECT("C$"&amp;4+MIN(2,ROUNDDOWN(I787,0))*3)*(-3*$J787^3+3*$J787^2)+INDIRECT("C$"&amp;5+MIN(2,ROUNDDOWN(I787,0))*3)*$J787^3</f>
      </c>
      <c r="L787" s="7">
        <f>INDIRECT("D$"&amp;2+MIN(2,ROUNDDOWN(I787,0))*3)*(-$J787^3+3*$J787^2-3*$J787+1)+INDIRECT("D$"&amp;3+MIN(2,ROUNDDOWN(I787,0))*3)*(3*$J787^3-6*$J787^2+3*$J787)+INDIRECT("D$"&amp;4+MIN(2,ROUNDDOWN(I787,0))*3)*(-3*$J787^3+3*$J787^2)+INDIRECT("D$"&amp;5+MIN(2,ROUNDDOWN(I787,0))*3)*$J787^3</f>
      </c>
      <c r="M787" s="7">
        <f>SQRT(K787^2+L787^2)</f>
      </c>
      <c r="N787" s="7">
        <f>(K788-K786)</f>
      </c>
      <c r="O787" s="7">
        <f>+(L788-L786)</f>
      </c>
      <c r="P787" s="7">
        <f>SQRT(O787^2+N787^2)</f>
      </c>
      <c r="Q787" s="7">
        <f>N787/$P787</f>
      </c>
      <c r="R787" s="7">
        <f>O787/$P787</f>
      </c>
      <c r="S787" s="8">
        <f>Q787^2+R787^2</f>
      </c>
      <c r="T787" s="7">
        <f>-R787</f>
      </c>
      <c r="U787" s="7">
        <f>Q787</f>
      </c>
      <c r="V787" s="7">
        <f>($C$14+($C$15-$C$14)/($D$15-$D$14)*(I787-$D$14))/2</f>
      </c>
      <c r="W787" s="7">
        <f>($B$22*I787^4+$C$22*I787^3+$D$22*I787^2+$E$22*I787+$F$22)/2</f>
      </c>
      <c r="X787" s="7">
        <f>($W787)*(T787)</f>
      </c>
      <c r="Y787" s="7">
        <f>($W787)*(U787)</f>
      </c>
      <c r="Z787" s="7">
        <f>SQRT(X787^2+Y787^2)</f>
      </c>
      <c r="AA787" s="7">
        <f>$K787+$X787</f>
      </c>
      <c r="AB787" s="7">
        <f>$L787+$Y787</f>
      </c>
      <c r="AC787" s="7">
        <f>$K787-$X787</f>
      </c>
      <c r="AD787" s="7">
        <f>$L787-$Y787</f>
      </c>
      <c r="AE787" s="7">
        <f>AA787/39.3701</f>
      </c>
      <c r="AF787" s="7">
        <f>AB787/39.3701</f>
      </c>
      <c r="AG787" s="7">
        <f>AC787/39.3701</f>
      </c>
      <c r="AH787" s="7">
        <f>AD787/39.3701</f>
      </c>
      <c r="AI787" s="1"/>
      <c r="AJ787" s="1"/>
      <c r="AK787" s="1"/>
      <c r="AL787" s="1"/>
      <c r="AM787" s="2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</row>
    <row x14ac:dyDescent="0.25" r="788" customHeight="1" ht="18.75">
      <c r="A788" s="1"/>
      <c r="B788" s="2"/>
      <c r="C788" s="2"/>
      <c r="D788" s="2"/>
      <c r="E788" s="2"/>
      <c r="F788" s="2"/>
      <c r="G788" s="1"/>
      <c r="H788" s="1"/>
      <c r="I788" s="7">
        <v>0.785</v>
      </c>
      <c r="J788" s="7">
        <f>IF((I788-ROUNDDOWN(I788,0))=0, 0, (I788-ROUNDDOWN(I788,0)))</f>
      </c>
      <c r="K788" s="7">
        <f>INDIRECT("C$"&amp;2+MIN(2,ROUNDDOWN(I788,0))*3)*(-$J788^3+3*$J788^2-3*$J788+1)+INDIRECT("C$"&amp;3+MIN(2,ROUNDDOWN(I788,0))*3)*(3*$J788^3-6*$J788^2+3*$J788)+INDIRECT("C$"&amp;4+MIN(2,ROUNDDOWN(I788,0))*3)*(-3*$J788^3+3*$J788^2)+INDIRECT("C$"&amp;5+MIN(2,ROUNDDOWN(I788,0))*3)*$J788^3</f>
      </c>
      <c r="L788" s="7">
        <f>INDIRECT("D$"&amp;2+MIN(2,ROUNDDOWN(I788,0))*3)*(-$J788^3+3*$J788^2-3*$J788+1)+INDIRECT("D$"&amp;3+MIN(2,ROUNDDOWN(I788,0))*3)*(3*$J788^3-6*$J788^2+3*$J788)+INDIRECT("D$"&amp;4+MIN(2,ROUNDDOWN(I788,0))*3)*(-3*$J788^3+3*$J788^2)+INDIRECT("D$"&amp;5+MIN(2,ROUNDDOWN(I788,0))*3)*$J788^3</f>
      </c>
      <c r="M788" s="7">
        <f>SQRT(K788^2+L788^2)</f>
      </c>
      <c r="N788" s="7">
        <f>(K789-K787)</f>
      </c>
      <c r="O788" s="7">
        <f>+(L789-L787)</f>
      </c>
      <c r="P788" s="7">
        <f>SQRT(O788^2+N788^2)</f>
      </c>
      <c r="Q788" s="7">
        <f>N788/$P788</f>
      </c>
      <c r="R788" s="7">
        <f>O788/$P788</f>
      </c>
      <c r="S788" s="8">
        <f>Q788^2+R788^2</f>
      </c>
      <c r="T788" s="7">
        <f>-R788</f>
      </c>
      <c r="U788" s="7">
        <f>Q788</f>
      </c>
      <c r="V788" s="7">
        <f>($C$14+($C$15-$C$14)/($D$15-$D$14)*(I788-$D$14))/2</f>
      </c>
      <c r="W788" s="7">
        <f>($B$22*I788^4+$C$22*I788^3+$D$22*I788^2+$E$22*I788+$F$22)/2</f>
      </c>
      <c r="X788" s="7">
        <f>($W788)*(T788)</f>
      </c>
      <c r="Y788" s="7">
        <f>($W788)*(U788)</f>
      </c>
      <c r="Z788" s="7">
        <f>SQRT(X788^2+Y788^2)</f>
      </c>
      <c r="AA788" s="7">
        <f>$K788+$X788</f>
      </c>
      <c r="AB788" s="7">
        <f>$L788+$Y788</f>
      </c>
      <c r="AC788" s="7">
        <f>$K788-$X788</f>
      </c>
      <c r="AD788" s="7">
        <f>$L788-$Y788</f>
      </c>
      <c r="AE788" s="7">
        <f>AA788/39.3701</f>
      </c>
      <c r="AF788" s="7">
        <f>AB788/39.3701</f>
      </c>
      <c r="AG788" s="7">
        <f>AC788/39.3701</f>
      </c>
      <c r="AH788" s="7">
        <f>AD788/39.3701</f>
      </c>
      <c r="AI788" s="1"/>
      <c r="AJ788" s="1"/>
      <c r="AK788" s="1"/>
      <c r="AL788" s="1"/>
      <c r="AM788" s="2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</row>
    <row x14ac:dyDescent="0.25" r="789" customHeight="1" ht="18.75">
      <c r="A789" s="1"/>
      <c r="B789" s="2"/>
      <c r="C789" s="2"/>
      <c r="D789" s="2"/>
      <c r="E789" s="2"/>
      <c r="F789" s="2"/>
      <c r="G789" s="1"/>
      <c r="H789" s="1"/>
      <c r="I789" s="7">
        <v>0.786</v>
      </c>
      <c r="J789" s="7">
        <f>IF((I789-ROUNDDOWN(I789,0))=0, 0, (I789-ROUNDDOWN(I789,0)))</f>
      </c>
      <c r="K789" s="7">
        <f>INDIRECT("C$"&amp;2+MIN(2,ROUNDDOWN(I789,0))*3)*(-$J789^3+3*$J789^2-3*$J789+1)+INDIRECT("C$"&amp;3+MIN(2,ROUNDDOWN(I789,0))*3)*(3*$J789^3-6*$J789^2+3*$J789)+INDIRECT("C$"&amp;4+MIN(2,ROUNDDOWN(I789,0))*3)*(-3*$J789^3+3*$J789^2)+INDIRECT("C$"&amp;5+MIN(2,ROUNDDOWN(I789,0))*3)*$J789^3</f>
      </c>
      <c r="L789" s="7">
        <f>INDIRECT("D$"&amp;2+MIN(2,ROUNDDOWN(I789,0))*3)*(-$J789^3+3*$J789^2-3*$J789+1)+INDIRECT("D$"&amp;3+MIN(2,ROUNDDOWN(I789,0))*3)*(3*$J789^3-6*$J789^2+3*$J789)+INDIRECT("D$"&amp;4+MIN(2,ROUNDDOWN(I789,0))*3)*(-3*$J789^3+3*$J789^2)+INDIRECT("D$"&amp;5+MIN(2,ROUNDDOWN(I789,0))*3)*$J789^3</f>
      </c>
      <c r="M789" s="7">
        <f>SQRT(K789^2+L789^2)</f>
      </c>
      <c r="N789" s="7">
        <f>(K790-K788)</f>
      </c>
      <c r="O789" s="7">
        <f>+(L790-L788)</f>
      </c>
      <c r="P789" s="7">
        <f>SQRT(O789^2+N789^2)</f>
      </c>
      <c r="Q789" s="7">
        <f>N789/$P789</f>
      </c>
      <c r="R789" s="7">
        <f>O789/$P789</f>
      </c>
      <c r="S789" s="7">
        <f>Q789^2+R789^2</f>
      </c>
      <c r="T789" s="7">
        <f>-R789</f>
      </c>
      <c r="U789" s="7">
        <f>Q789</f>
      </c>
      <c r="V789" s="7">
        <f>($C$14+($C$15-$C$14)/($D$15-$D$14)*(I789-$D$14))/2</f>
      </c>
      <c r="W789" s="7">
        <f>($B$22*I789^4+$C$22*I789^3+$D$22*I789^2+$E$22*I789+$F$22)/2</f>
      </c>
      <c r="X789" s="7">
        <f>($W789)*(T789)</f>
      </c>
      <c r="Y789" s="7">
        <f>($W789)*(U789)</f>
      </c>
      <c r="Z789" s="7">
        <f>SQRT(X789^2+Y789^2)</f>
      </c>
      <c r="AA789" s="7">
        <f>$K789+$X789</f>
      </c>
      <c r="AB789" s="7">
        <f>$L789+$Y789</f>
      </c>
      <c r="AC789" s="7">
        <f>$K789-$X789</f>
      </c>
      <c r="AD789" s="7">
        <f>$L789-$Y789</f>
      </c>
      <c r="AE789" s="7">
        <f>AA789/39.3701</f>
      </c>
      <c r="AF789" s="7">
        <f>AB789/39.3701</f>
      </c>
      <c r="AG789" s="7">
        <f>AC789/39.3701</f>
      </c>
      <c r="AH789" s="7">
        <f>AD789/39.3701</f>
      </c>
      <c r="AI789" s="1"/>
      <c r="AJ789" s="1"/>
      <c r="AK789" s="1"/>
      <c r="AL789" s="1"/>
      <c r="AM789" s="2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</row>
    <row x14ac:dyDescent="0.25" r="790" customHeight="1" ht="18.75">
      <c r="A790" s="1"/>
      <c r="B790" s="2"/>
      <c r="C790" s="2"/>
      <c r="D790" s="2"/>
      <c r="E790" s="2"/>
      <c r="F790" s="2"/>
      <c r="G790" s="1"/>
      <c r="H790" s="1"/>
      <c r="I790" s="7">
        <v>0.787</v>
      </c>
      <c r="J790" s="7">
        <f>IF((I790-ROUNDDOWN(I790,0))=0, 0, (I790-ROUNDDOWN(I790,0)))</f>
      </c>
      <c r="K790" s="7">
        <f>INDIRECT("C$"&amp;2+MIN(2,ROUNDDOWN(I790,0))*3)*(-$J790^3+3*$J790^2-3*$J790+1)+INDIRECT("C$"&amp;3+MIN(2,ROUNDDOWN(I790,0))*3)*(3*$J790^3-6*$J790^2+3*$J790)+INDIRECT("C$"&amp;4+MIN(2,ROUNDDOWN(I790,0))*3)*(-3*$J790^3+3*$J790^2)+INDIRECT("C$"&amp;5+MIN(2,ROUNDDOWN(I790,0))*3)*$J790^3</f>
      </c>
      <c r="L790" s="7">
        <f>INDIRECT("D$"&amp;2+MIN(2,ROUNDDOWN(I790,0))*3)*(-$J790^3+3*$J790^2-3*$J790+1)+INDIRECT("D$"&amp;3+MIN(2,ROUNDDOWN(I790,0))*3)*(3*$J790^3-6*$J790^2+3*$J790)+INDIRECT("D$"&amp;4+MIN(2,ROUNDDOWN(I790,0))*3)*(-3*$J790^3+3*$J790^2)+INDIRECT("D$"&amp;5+MIN(2,ROUNDDOWN(I790,0))*3)*$J790^3</f>
      </c>
      <c r="M790" s="7">
        <f>SQRT(K790^2+L790^2)</f>
      </c>
      <c r="N790" s="7">
        <f>(K791-K789)</f>
      </c>
      <c r="O790" s="7">
        <f>+(L791-L789)</f>
      </c>
      <c r="P790" s="7">
        <f>SQRT(O790^2+N790^2)</f>
      </c>
      <c r="Q790" s="7">
        <f>N790/$P790</f>
      </c>
      <c r="R790" s="7">
        <f>O790/$P790</f>
      </c>
      <c r="S790" s="7">
        <f>Q790^2+R790^2</f>
      </c>
      <c r="T790" s="7">
        <f>-R790</f>
      </c>
      <c r="U790" s="7">
        <f>Q790</f>
      </c>
      <c r="V790" s="7">
        <f>($C$14+($C$15-$C$14)/($D$15-$D$14)*(I790-$D$14))/2</f>
      </c>
      <c r="W790" s="7">
        <f>($B$22*I790^4+$C$22*I790^3+$D$22*I790^2+$E$22*I790+$F$22)/2</f>
      </c>
      <c r="X790" s="7">
        <f>($W790)*(T790)</f>
      </c>
      <c r="Y790" s="7">
        <f>($W790)*(U790)</f>
      </c>
      <c r="Z790" s="7">
        <f>SQRT(X790^2+Y790^2)</f>
      </c>
      <c r="AA790" s="7">
        <f>$K790+$X790</f>
      </c>
      <c r="AB790" s="7">
        <f>$L790+$Y790</f>
      </c>
      <c r="AC790" s="7">
        <f>$K790-$X790</f>
      </c>
      <c r="AD790" s="7">
        <f>$L790-$Y790</f>
      </c>
      <c r="AE790" s="7">
        <f>AA790/39.3701</f>
      </c>
      <c r="AF790" s="7">
        <f>AB790/39.3701</f>
      </c>
      <c r="AG790" s="7">
        <f>AC790/39.3701</f>
      </c>
      <c r="AH790" s="7">
        <f>AD790/39.3701</f>
      </c>
      <c r="AI790" s="1"/>
      <c r="AJ790" s="1"/>
      <c r="AK790" s="1"/>
      <c r="AL790" s="1"/>
      <c r="AM790" s="2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</row>
    <row x14ac:dyDescent="0.25" r="791" customHeight="1" ht="18.75">
      <c r="A791" s="1"/>
      <c r="B791" s="2"/>
      <c r="C791" s="2"/>
      <c r="D791" s="2"/>
      <c r="E791" s="2"/>
      <c r="F791" s="2"/>
      <c r="G791" s="1"/>
      <c r="H791" s="1"/>
      <c r="I791" s="7">
        <v>0.788</v>
      </c>
      <c r="J791" s="7">
        <f>IF((I791-ROUNDDOWN(I791,0))=0, 0, (I791-ROUNDDOWN(I791,0)))</f>
      </c>
      <c r="K791" s="7">
        <f>INDIRECT("C$"&amp;2+MIN(2,ROUNDDOWN(I791,0))*3)*(-$J791^3+3*$J791^2-3*$J791+1)+INDIRECT("C$"&amp;3+MIN(2,ROUNDDOWN(I791,0))*3)*(3*$J791^3-6*$J791^2+3*$J791)+INDIRECT("C$"&amp;4+MIN(2,ROUNDDOWN(I791,0))*3)*(-3*$J791^3+3*$J791^2)+INDIRECT("C$"&amp;5+MIN(2,ROUNDDOWN(I791,0))*3)*$J791^3</f>
      </c>
      <c r="L791" s="7">
        <f>INDIRECT("D$"&amp;2+MIN(2,ROUNDDOWN(I791,0))*3)*(-$J791^3+3*$J791^2-3*$J791+1)+INDIRECT("D$"&amp;3+MIN(2,ROUNDDOWN(I791,0))*3)*(3*$J791^3-6*$J791^2+3*$J791)+INDIRECT("D$"&amp;4+MIN(2,ROUNDDOWN(I791,0))*3)*(-3*$J791^3+3*$J791^2)+INDIRECT("D$"&amp;5+MIN(2,ROUNDDOWN(I791,0))*3)*$J791^3</f>
      </c>
      <c r="M791" s="7">
        <f>SQRT(K791^2+L791^2)</f>
      </c>
      <c r="N791" s="7">
        <f>(K792-K790)</f>
      </c>
      <c r="O791" s="7">
        <f>+(L792-L790)</f>
      </c>
      <c r="P791" s="7">
        <f>SQRT(O791^2+N791^2)</f>
      </c>
      <c r="Q791" s="7">
        <f>N791/$P791</f>
      </c>
      <c r="R791" s="7">
        <f>O791/$P791</f>
      </c>
      <c r="S791" s="8">
        <f>Q791^2+R791^2</f>
      </c>
      <c r="T791" s="7">
        <f>-R791</f>
      </c>
      <c r="U791" s="7">
        <f>Q791</f>
      </c>
      <c r="V791" s="7">
        <f>($C$14+($C$15-$C$14)/($D$15-$D$14)*(I791-$D$14))/2</f>
      </c>
      <c r="W791" s="7">
        <f>($B$22*I791^4+$C$22*I791^3+$D$22*I791^2+$E$22*I791+$F$22)/2</f>
      </c>
      <c r="X791" s="7">
        <f>($W791)*(T791)</f>
      </c>
      <c r="Y791" s="7">
        <f>($W791)*(U791)</f>
      </c>
      <c r="Z791" s="7">
        <f>SQRT(X791^2+Y791^2)</f>
      </c>
      <c r="AA791" s="7">
        <f>$K791+$X791</f>
      </c>
      <c r="AB791" s="7">
        <f>$L791+$Y791</f>
      </c>
      <c r="AC791" s="7">
        <f>$K791-$X791</f>
      </c>
      <c r="AD791" s="7">
        <f>$L791-$Y791</f>
      </c>
      <c r="AE791" s="7">
        <f>AA791/39.3701</f>
      </c>
      <c r="AF791" s="7">
        <f>AB791/39.3701</f>
      </c>
      <c r="AG791" s="7">
        <f>AC791/39.3701</f>
      </c>
      <c r="AH791" s="7">
        <f>AD791/39.3701</f>
      </c>
      <c r="AI791" s="1"/>
      <c r="AJ791" s="1"/>
      <c r="AK791" s="1"/>
      <c r="AL791" s="1"/>
      <c r="AM791" s="2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</row>
    <row x14ac:dyDescent="0.25" r="792" customHeight="1" ht="18.75">
      <c r="A792" s="1"/>
      <c r="B792" s="2"/>
      <c r="C792" s="2"/>
      <c r="D792" s="2"/>
      <c r="E792" s="2"/>
      <c r="F792" s="2"/>
      <c r="G792" s="1"/>
      <c r="H792" s="1"/>
      <c r="I792" s="7">
        <v>0.789</v>
      </c>
      <c r="J792" s="7">
        <f>IF((I792-ROUNDDOWN(I792,0))=0, 0, (I792-ROUNDDOWN(I792,0)))</f>
      </c>
      <c r="K792" s="7">
        <f>INDIRECT("C$"&amp;2+MIN(2,ROUNDDOWN(I792,0))*3)*(-$J792^3+3*$J792^2-3*$J792+1)+INDIRECT("C$"&amp;3+MIN(2,ROUNDDOWN(I792,0))*3)*(3*$J792^3-6*$J792^2+3*$J792)+INDIRECT("C$"&amp;4+MIN(2,ROUNDDOWN(I792,0))*3)*(-3*$J792^3+3*$J792^2)+INDIRECT("C$"&amp;5+MIN(2,ROUNDDOWN(I792,0))*3)*$J792^3</f>
      </c>
      <c r="L792" s="7">
        <f>INDIRECT("D$"&amp;2+MIN(2,ROUNDDOWN(I792,0))*3)*(-$J792^3+3*$J792^2-3*$J792+1)+INDIRECT("D$"&amp;3+MIN(2,ROUNDDOWN(I792,0))*3)*(3*$J792^3-6*$J792^2+3*$J792)+INDIRECT("D$"&amp;4+MIN(2,ROUNDDOWN(I792,0))*3)*(-3*$J792^3+3*$J792^2)+INDIRECT("D$"&amp;5+MIN(2,ROUNDDOWN(I792,0))*3)*$J792^3</f>
      </c>
      <c r="M792" s="7">
        <f>SQRT(K792^2+L792^2)</f>
      </c>
      <c r="N792" s="7">
        <f>(K793-K791)</f>
      </c>
      <c r="O792" s="7">
        <f>+(L793-L791)</f>
      </c>
      <c r="P792" s="7">
        <f>SQRT(O792^2+N792^2)</f>
      </c>
      <c r="Q792" s="7">
        <f>N792/$P792</f>
      </c>
      <c r="R792" s="7">
        <f>O792/$P792</f>
      </c>
      <c r="S792" s="8">
        <f>Q792^2+R792^2</f>
      </c>
      <c r="T792" s="7">
        <f>-R792</f>
      </c>
      <c r="U792" s="7">
        <f>Q792</f>
      </c>
      <c r="V792" s="7">
        <f>($C$14+($C$15-$C$14)/($D$15-$D$14)*(I792-$D$14))/2</f>
      </c>
      <c r="W792" s="7">
        <f>($B$22*I792^4+$C$22*I792^3+$D$22*I792^2+$E$22*I792+$F$22)/2</f>
      </c>
      <c r="X792" s="7">
        <f>($W792)*(T792)</f>
      </c>
      <c r="Y792" s="7">
        <f>($W792)*(U792)</f>
      </c>
      <c r="Z792" s="7">
        <f>SQRT(X792^2+Y792^2)</f>
      </c>
      <c r="AA792" s="7">
        <f>$K792+$X792</f>
      </c>
      <c r="AB792" s="7">
        <f>$L792+$Y792</f>
      </c>
      <c r="AC792" s="7">
        <f>$K792-$X792</f>
      </c>
      <c r="AD792" s="7">
        <f>$L792-$Y792</f>
      </c>
      <c r="AE792" s="7">
        <f>AA792/39.3701</f>
      </c>
      <c r="AF792" s="7">
        <f>AB792/39.3701</f>
      </c>
      <c r="AG792" s="7">
        <f>AC792/39.3701</f>
      </c>
      <c r="AH792" s="7">
        <f>AD792/39.3701</f>
      </c>
      <c r="AI792" s="1"/>
      <c r="AJ792" s="1"/>
      <c r="AK792" s="1"/>
      <c r="AL792" s="1"/>
      <c r="AM792" s="2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</row>
    <row x14ac:dyDescent="0.25" r="793" customHeight="1" ht="18.75">
      <c r="A793" s="1"/>
      <c r="B793" s="2"/>
      <c r="C793" s="2"/>
      <c r="D793" s="2"/>
      <c r="E793" s="2"/>
      <c r="F793" s="2"/>
      <c r="G793" s="1"/>
      <c r="H793" s="1"/>
      <c r="I793" s="7">
        <v>0.79</v>
      </c>
      <c r="J793" s="7">
        <f>IF((I793-ROUNDDOWN(I793,0))=0, 0, (I793-ROUNDDOWN(I793,0)))</f>
      </c>
      <c r="K793" s="7">
        <f>INDIRECT("C$"&amp;2+MIN(2,ROUNDDOWN(I793,0))*3)*(-$J793^3+3*$J793^2-3*$J793+1)+INDIRECT("C$"&amp;3+MIN(2,ROUNDDOWN(I793,0))*3)*(3*$J793^3-6*$J793^2+3*$J793)+INDIRECT("C$"&amp;4+MIN(2,ROUNDDOWN(I793,0))*3)*(-3*$J793^3+3*$J793^2)+INDIRECT("C$"&amp;5+MIN(2,ROUNDDOWN(I793,0))*3)*$J793^3</f>
      </c>
      <c r="L793" s="7">
        <f>INDIRECT("D$"&amp;2+MIN(2,ROUNDDOWN(I793,0))*3)*(-$J793^3+3*$J793^2-3*$J793+1)+INDIRECT("D$"&amp;3+MIN(2,ROUNDDOWN(I793,0))*3)*(3*$J793^3-6*$J793^2+3*$J793)+INDIRECT("D$"&amp;4+MIN(2,ROUNDDOWN(I793,0))*3)*(-3*$J793^3+3*$J793^2)+INDIRECT("D$"&amp;5+MIN(2,ROUNDDOWN(I793,0))*3)*$J793^3</f>
      </c>
      <c r="M793" s="7">
        <f>SQRT(K793^2+L793^2)</f>
      </c>
      <c r="N793" s="7">
        <f>(K794-K792)</f>
      </c>
      <c r="O793" s="7">
        <f>+(L794-L792)</f>
      </c>
      <c r="P793" s="7">
        <f>SQRT(O793^2+N793^2)</f>
      </c>
      <c r="Q793" s="7">
        <f>N793/$P793</f>
      </c>
      <c r="R793" s="7">
        <f>O793/$P793</f>
      </c>
      <c r="S793" s="8">
        <f>Q793^2+R793^2</f>
      </c>
      <c r="T793" s="7">
        <f>-R793</f>
      </c>
      <c r="U793" s="7">
        <f>Q793</f>
      </c>
      <c r="V793" s="7">
        <f>($C$14+($C$15-$C$14)/($D$15-$D$14)*(I793-$D$14))/2</f>
      </c>
      <c r="W793" s="7">
        <f>($B$22*I793^4+$C$22*I793^3+$D$22*I793^2+$E$22*I793+$F$22)/2</f>
      </c>
      <c r="X793" s="7">
        <f>($W793)*(T793)</f>
      </c>
      <c r="Y793" s="7">
        <f>($W793)*(U793)</f>
      </c>
      <c r="Z793" s="7">
        <f>SQRT(X793^2+Y793^2)</f>
      </c>
      <c r="AA793" s="7">
        <f>$K793+$X793</f>
      </c>
      <c r="AB793" s="7">
        <f>$L793+$Y793</f>
      </c>
      <c r="AC793" s="7">
        <f>$K793-$X793</f>
      </c>
      <c r="AD793" s="7">
        <f>$L793-$Y793</f>
      </c>
      <c r="AE793" s="7">
        <f>AA793/39.3701</f>
      </c>
      <c r="AF793" s="7">
        <f>AB793/39.3701</f>
      </c>
      <c r="AG793" s="7">
        <f>AC793/39.3701</f>
      </c>
      <c r="AH793" s="7">
        <f>AD793/39.3701</f>
      </c>
      <c r="AI793" s="1"/>
      <c r="AJ793" s="1"/>
      <c r="AK793" s="1"/>
      <c r="AL793" s="1"/>
      <c r="AM793" s="2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</row>
    <row x14ac:dyDescent="0.25" r="794" customHeight="1" ht="18.75">
      <c r="A794" s="1"/>
      <c r="B794" s="2"/>
      <c r="C794" s="2"/>
      <c r="D794" s="2"/>
      <c r="E794" s="2"/>
      <c r="F794" s="2"/>
      <c r="G794" s="1"/>
      <c r="H794" s="1"/>
      <c r="I794" s="7">
        <v>0.791</v>
      </c>
      <c r="J794" s="7">
        <f>IF((I794-ROUNDDOWN(I794,0))=0, 0, (I794-ROUNDDOWN(I794,0)))</f>
      </c>
      <c r="K794" s="7">
        <f>INDIRECT("C$"&amp;2+MIN(2,ROUNDDOWN(I794,0))*3)*(-$J794^3+3*$J794^2-3*$J794+1)+INDIRECT("C$"&amp;3+MIN(2,ROUNDDOWN(I794,0))*3)*(3*$J794^3-6*$J794^2+3*$J794)+INDIRECT("C$"&amp;4+MIN(2,ROUNDDOWN(I794,0))*3)*(-3*$J794^3+3*$J794^2)+INDIRECT("C$"&amp;5+MIN(2,ROUNDDOWN(I794,0))*3)*$J794^3</f>
      </c>
      <c r="L794" s="7">
        <f>INDIRECT("D$"&amp;2+MIN(2,ROUNDDOWN(I794,0))*3)*(-$J794^3+3*$J794^2-3*$J794+1)+INDIRECT("D$"&amp;3+MIN(2,ROUNDDOWN(I794,0))*3)*(3*$J794^3-6*$J794^2+3*$J794)+INDIRECT("D$"&amp;4+MIN(2,ROUNDDOWN(I794,0))*3)*(-3*$J794^3+3*$J794^2)+INDIRECT("D$"&amp;5+MIN(2,ROUNDDOWN(I794,0))*3)*$J794^3</f>
      </c>
      <c r="M794" s="7">
        <f>SQRT(K794^2+L794^2)</f>
      </c>
      <c r="N794" s="7">
        <f>(K795-K793)</f>
      </c>
      <c r="O794" s="7">
        <f>+(L795-L793)</f>
      </c>
      <c r="P794" s="7">
        <f>SQRT(O794^2+N794^2)</f>
      </c>
      <c r="Q794" s="7">
        <f>N794/$P794</f>
      </c>
      <c r="R794" s="7">
        <f>O794/$P794</f>
      </c>
      <c r="S794" s="8">
        <f>Q794^2+R794^2</f>
      </c>
      <c r="T794" s="7">
        <f>-R794</f>
      </c>
      <c r="U794" s="7">
        <f>Q794</f>
      </c>
      <c r="V794" s="7">
        <f>($C$14+($C$15-$C$14)/($D$15-$D$14)*(I794-$D$14))/2</f>
      </c>
      <c r="W794" s="7">
        <f>($B$22*I794^4+$C$22*I794^3+$D$22*I794^2+$E$22*I794+$F$22)/2</f>
      </c>
      <c r="X794" s="7">
        <f>($W794)*(T794)</f>
      </c>
      <c r="Y794" s="7">
        <f>($W794)*(U794)</f>
      </c>
      <c r="Z794" s="7">
        <f>SQRT(X794^2+Y794^2)</f>
      </c>
      <c r="AA794" s="7">
        <f>$K794+$X794</f>
      </c>
      <c r="AB794" s="7">
        <f>$L794+$Y794</f>
      </c>
      <c r="AC794" s="7">
        <f>$K794-$X794</f>
      </c>
      <c r="AD794" s="7">
        <f>$L794-$Y794</f>
      </c>
      <c r="AE794" s="7">
        <f>AA794/39.3701</f>
      </c>
      <c r="AF794" s="7">
        <f>AB794/39.3701</f>
      </c>
      <c r="AG794" s="7">
        <f>AC794/39.3701</f>
      </c>
      <c r="AH794" s="7">
        <f>AD794/39.3701</f>
      </c>
      <c r="AI794" s="1"/>
      <c r="AJ794" s="1"/>
      <c r="AK794" s="1"/>
      <c r="AL794" s="1"/>
      <c r="AM794" s="2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</row>
    <row x14ac:dyDescent="0.25" r="795" customHeight="1" ht="18.75">
      <c r="A795" s="1"/>
      <c r="B795" s="2"/>
      <c r="C795" s="2"/>
      <c r="D795" s="2"/>
      <c r="E795" s="2"/>
      <c r="F795" s="2"/>
      <c r="G795" s="1"/>
      <c r="H795" s="1"/>
      <c r="I795" s="7">
        <v>0.792</v>
      </c>
      <c r="J795" s="7">
        <f>IF((I795-ROUNDDOWN(I795,0))=0, 0, (I795-ROUNDDOWN(I795,0)))</f>
      </c>
      <c r="K795" s="7">
        <f>INDIRECT("C$"&amp;2+MIN(2,ROUNDDOWN(I795,0))*3)*(-$J795^3+3*$J795^2-3*$J795+1)+INDIRECT("C$"&amp;3+MIN(2,ROUNDDOWN(I795,0))*3)*(3*$J795^3-6*$J795^2+3*$J795)+INDIRECT("C$"&amp;4+MIN(2,ROUNDDOWN(I795,0))*3)*(-3*$J795^3+3*$J795^2)+INDIRECT("C$"&amp;5+MIN(2,ROUNDDOWN(I795,0))*3)*$J795^3</f>
      </c>
      <c r="L795" s="7">
        <f>INDIRECT("D$"&amp;2+MIN(2,ROUNDDOWN(I795,0))*3)*(-$J795^3+3*$J795^2-3*$J795+1)+INDIRECT("D$"&amp;3+MIN(2,ROUNDDOWN(I795,0))*3)*(3*$J795^3-6*$J795^2+3*$J795)+INDIRECT("D$"&amp;4+MIN(2,ROUNDDOWN(I795,0))*3)*(-3*$J795^3+3*$J795^2)+INDIRECT("D$"&amp;5+MIN(2,ROUNDDOWN(I795,0))*3)*$J795^3</f>
      </c>
      <c r="M795" s="7">
        <f>SQRT(K795^2+L795^2)</f>
      </c>
      <c r="N795" s="7">
        <f>(K796-K794)</f>
      </c>
      <c r="O795" s="7">
        <f>+(L796-L794)</f>
      </c>
      <c r="P795" s="7">
        <f>SQRT(O795^2+N795^2)</f>
      </c>
      <c r="Q795" s="7">
        <f>N795/$P795</f>
      </c>
      <c r="R795" s="7">
        <f>O795/$P795</f>
      </c>
      <c r="S795" s="7">
        <f>Q795^2+R795^2</f>
      </c>
      <c r="T795" s="7">
        <f>-R795</f>
      </c>
      <c r="U795" s="7">
        <f>Q795</f>
      </c>
      <c r="V795" s="7">
        <f>($C$14+($C$15-$C$14)/($D$15-$D$14)*(I795-$D$14))/2</f>
      </c>
      <c r="W795" s="7">
        <f>($B$22*I795^4+$C$22*I795^3+$D$22*I795^2+$E$22*I795+$F$22)/2</f>
      </c>
      <c r="X795" s="7">
        <f>($W795)*(T795)</f>
      </c>
      <c r="Y795" s="7">
        <f>($W795)*(U795)</f>
      </c>
      <c r="Z795" s="7">
        <f>SQRT(X795^2+Y795^2)</f>
      </c>
      <c r="AA795" s="7">
        <f>$K795+$X795</f>
      </c>
      <c r="AB795" s="7">
        <f>$L795+$Y795</f>
      </c>
      <c r="AC795" s="7">
        <f>$K795-$X795</f>
      </c>
      <c r="AD795" s="7">
        <f>$L795-$Y795</f>
      </c>
      <c r="AE795" s="7">
        <f>AA795/39.3701</f>
      </c>
      <c r="AF795" s="7">
        <f>AB795/39.3701</f>
      </c>
      <c r="AG795" s="7">
        <f>AC795/39.3701</f>
      </c>
      <c r="AH795" s="7">
        <f>AD795/39.3701</f>
      </c>
      <c r="AI795" s="1"/>
      <c r="AJ795" s="1"/>
      <c r="AK795" s="1"/>
      <c r="AL795" s="1"/>
      <c r="AM795" s="2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</row>
    <row x14ac:dyDescent="0.25" r="796" customHeight="1" ht="18.75">
      <c r="A796" s="1"/>
      <c r="B796" s="2"/>
      <c r="C796" s="2"/>
      <c r="D796" s="2"/>
      <c r="E796" s="2"/>
      <c r="F796" s="2"/>
      <c r="G796" s="1"/>
      <c r="H796" s="1"/>
      <c r="I796" s="7">
        <v>0.793</v>
      </c>
      <c r="J796" s="7">
        <f>IF((I796-ROUNDDOWN(I796,0))=0, 0, (I796-ROUNDDOWN(I796,0)))</f>
      </c>
      <c r="K796" s="7">
        <f>INDIRECT("C$"&amp;2+MIN(2,ROUNDDOWN(I796,0))*3)*(-$J796^3+3*$J796^2-3*$J796+1)+INDIRECT("C$"&amp;3+MIN(2,ROUNDDOWN(I796,0))*3)*(3*$J796^3-6*$J796^2+3*$J796)+INDIRECT("C$"&amp;4+MIN(2,ROUNDDOWN(I796,0))*3)*(-3*$J796^3+3*$J796^2)+INDIRECT("C$"&amp;5+MIN(2,ROUNDDOWN(I796,0))*3)*$J796^3</f>
      </c>
      <c r="L796" s="7">
        <f>INDIRECT("D$"&amp;2+MIN(2,ROUNDDOWN(I796,0))*3)*(-$J796^3+3*$J796^2-3*$J796+1)+INDIRECT("D$"&amp;3+MIN(2,ROUNDDOWN(I796,0))*3)*(3*$J796^3-6*$J796^2+3*$J796)+INDIRECT("D$"&amp;4+MIN(2,ROUNDDOWN(I796,0))*3)*(-3*$J796^3+3*$J796^2)+INDIRECT("D$"&amp;5+MIN(2,ROUNDDOWN(I796,0))*3)*$J796^3</f>
      </c>
      <c r="M796" s="7">
        <f>SQRT(K796^2+L796^2)</f>
      </c>
      <c r="N796" s="7">
        <f>(K797-K795)</f>
      </c>
      <c r="O796" s="7">
        <f>+(L797-L795)</f>
      </c>
      <c r="P796" s="7">
        <f>SQRT(O796^2+N796^2)</f>
      </c>
      <c r="Q796" s="7">
        <f>N796/$P796</f>
      </c>
      <c r="R796" s="7">
        <f>O796/$P796</f>
      </c>
      <c r="S796" s="8">
        <f>Q796^2+R796^2</f>
      </c>
      <c r="T796" s="7">
        <f>-R796</f>
      </c>
      <c r="U796" s="7">
        <f>Q796</f>
      </c>
      <c r="V796" s="7">
        <f>($C$14+($C$15-$C$14)/($D$15-$D$14)*(I796-$D$14))/2</f>
      </c>
      <c r="W796" s="7">
        <f>($B$22*I796^4+$C$22*I796^3+$D$22*I796^2+$E$22*I796+$F$22)/2</f>
      </c>
      <c r="X796" s="7">
        <f>($W796)*(T796)</f>
      </c>
      <c r="Y796" s="7">
        <f>($W796)*(U796)</f>
      </c>
      <c r="Z796" s="7">
        <f>SQRT(X796^2+Y796^2)</f>
      </c>
      <c r="AA796" s="7">
        <f>$K796+$X796</f>
      </c>
      <c r="AB796" s="7">
        <f>$L796+$Y796</f>
      </c>
      <c r="AC796" s="7">
        <f>$K796-$X796</f>
      </c>
      <c r="AD796" s="7">
        <f>$L796-$Y796</f>
      </c>
      <c r="AE796" s="7">
        <f>AA796/39.3701</f>
      </c>
      <c r="AF796" s="7">
        <f>AB796/39.3701</f>
      </c>
      <c r="AG796" s="7">
        <f>AC796/39.3701</f>
      </c>
      <c r="AH796" s="7">
        <f>AD796/39.3701</f>
      </c>
      <c r="AI796" s="1"/>
      <c r="AJ796" s="1"/>
      <c r="AK796" s="1"/>
      <c r="AL796" s="1"/>
      <c r="AM796" s="2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</row>
    <row x14ac:dyDescent="0.25" r="797" customHeight="1" ht="18.75">
      <c r="A797" s="1"/>
      <c r="B797" s="2"/>
      <c r="C797" s="2"/>
      <c r="D797" s="2"/>
      <c r="E797" s="2"/>
      <c r="F797" s="2"/>
      <c r="G797" s="1"/>
      <c r="H797" s="1"/>
      <c r="I797" s="7">
        <v>0.794</v>
      </c>
      <c r="J797" s="7">
        <f>IF((I797-ROUNDDOWN(I797,0))=0, 0, (I797-ROUNDDOWN(I797,0)))</f>
      </c>
      <c r="K797" s="7">
        <f>INDIRECT("C$"&amp;2+MIN(2,ROUNDDOWN(I797,0))*3)*(-$J797^3+3*$J797^2-3*$J797+1)+INDIRECT("C$"&amp;3+MIN(2,ROUNDDOWN(I797,0))*3)*(3*$J797^3-6*$J797^2+3*$J797)+INDIRECT("C$"&amp;4+MIN(2,ROUNDDOWN(I797,0))*3)*(-3*$J797^3+3*$J797^2)+INDIRECT("C$"&amp;5+MIN(2,ROUNDDOWN(I797,0))*3)*$J797^3</f>
      </c>
      <c r="L797" s="7">
        <f>INDIRECT("D$"&amp;2+MIN(2,ROUNDDOWN(I797,0))*3)*(-$J797^3+3*$J797^2-3*$J797+1)+INDIRECT("D$"&amp;3+MIN(2,ROUNDDOWN(I797,0))*3)*(3*$J797^3-6*$J797^2+3*$J797)+INDIRECT("D$"&amp;4+MIN(2,ROUNDDOWN(I797,0))*3)*(-3*$J797^3+3*$J797^2)+INDIRECT("D$"&amp;5+MIN(2,ROUNDDOWN(I797,0))*3)*$J797^3</f>
      </c>
      <c r="M797" s="7">
        <f>SQRT(K797^2+L797^2)</f>
      </c>
      <c r="N797" s="7">
        <f>(K798-K796)</f>
      </c>
      <c r="O797" s="7">
        <f>+(L798-L796)</f>
      </c>
      <c r="P797" s="7">
        <f>SQRT(O797^2+N797^2)</f>
      </c>
      <c r="Q797" s="7">
        <f>N797/$P797</f>
      </c>
      <c r="R797" s="7">
        <f>O797/$P797</f>
      </c>
      <c r="S797" s="7">
        <f>Q797^2+R797^2</f>
      </c>
      <c r="T797" s="7">
        <f>-R797</f>
      </c>
      <c r="U797" s="7">
        <f>Q797</f>
      </c>
      <c r="V797" s="7">
        <f>($C$14+($C$15-$C$14)/($D$15-$D$14)*(I797-$D$14))/2</f>
      </c>
      <c r="W797" s="7">
        <f>($B$22*I797^4+$C$22*I797^3+$D$22*I797^2+$E$22*I797+$F$22)/2</f>
      </c>
      <c r="X797" s="7">
        <f>($W797)*(T797)</f>
      </c>
      <c r="Y797" s="7">
        <f>($W797)*(U797)</f>
      </c>
      <c r="Z797" s="7">
        <f>SQRT(X797^2+Y797^2)</f>
      </c>
      <c r="AA797" s="7">
        <f>$K797+$X797</f>
      </c>
      <c r="AB797" s="7">
        <f>$L797+$Y797</f>
      </c>
      <c r="AC797" s="7">
        <f>$K797-$X797</f>
      </c>
      <c r="AD797" s="7">
        <f>$L797-$Y797</f>
      </c>
      <c r="AE797" s="7">
        <f>AA797/39.3701</f>
      </c>
      <c r="AF797" s="7">
        <f>AB797/39.3701</f>
      </c>
      <c r="AG797" s="7">
        <f>AC797/39.3701</f>
      </c>
      <c r="AH797" s="7">
        <f>AD797/39.3701</f>
      </c>
      <c r="AI797" s="1"/>
      <c r="AJ797" s="1"/>
      <c r="AK797" s="1"/>
      <c r="AL797" s="1"/>
      <c r="AM797" s="2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</row>
    <row x14ac:dyDescent="0.25" r="798" customHeight="1" ht="18.75">
      <c r="A798" s="1"/>
      <c r="B798" s="2"/>
      <c r="C798" s="2"/>
      <c r="D798" s="2"/>
      <c r="E798" s="2"/>
      <c r="F798" s="2"/>
      <c r="G798" s="1"/>
      <c r="H798" s="1"/>
      <c r="I798" s="7">
        <v>0.795</v>
      </c>
      <c r="J798" s="7">
        <f>IF((I798-ROUNDDOWN(I798,0))=0, 0, (I798-ROUNDDOWN(I798,0)))</f>
      </c>
      <c r="K798" s="7">
        <f>INDIRECT("C$"&amp;2+MIN(2,ROUNDDOWN(I798,0))*3)*(-$J798^3+3*$J798^2-3*$J798+1)+INDIRECT("C$"&amp;3+MIN(2,ROUNDDOWN(I798,0))*3)*(3*$J798^3-6*$J798^2+3*$J798)+INDIRECT("C$"&amp;4+MIN(2,ROUNDDOWN(I798,0))*3)*(-3*$J798^3+3*$J798^2)+INDIRECT("C$"&amp;5+MIN(2,ROUNDDOWN(I798,0))*3)*$J798^3</f>
      </c>
      <c r="L798" s="7">
        <f>INDIRECT("D$"&amp;2+MIN(2,ROUNDDOWN(I798,0))*3)*(-$J798^3+3*$J798^2-3*$J798+1)+INDIRECT("D$"&amp;3+MIN(2,ROUNDDOWN(I798,0))*3)*(3*$J798^3-6*$J798^2+3*$J798)+INDIRECT("D$"&amp;4+MIN(2,ROUNDDOWN(I798,0))*3)*(-3*$J798^3+3*$J798^2)+INDIRECT("D$"&amp;5+MIN(2,ROUNDDOWN(I798,0))*3)*$J798^3</f>
      </c>
      <c r="M798" s="7">
        <f>SQRT(K798^2+L798^2)</f>
      </c>
      <c r="N798" s="7">
        <f>(K799-K797)</f>
      </c>
      <c r="O798" s="7">
        <f>+(L799-L797)</f>
      </c>
      <c r="P798" s="7">
        <f>SQRT(O798^2+N798^2)</f>
      </c>
      <c r="Q798" s="7">
        <f>N798/$P798</f>
      </c>
      <c r="R798" s="7">
        <f>O798/$P798</f>
      </c>
      <c r="S798" s="8">
        <f>Q798^2+R798^2</f>
      </c>
      <c r="T798" s="7">
        <f>-R798</f>
      </c>
      <c r="U798" s="7">
        <f>Q798</f>
      </c>
      <c r="V798" s="7">
        <f>($C$14+($C$15-$C$14)/($D$15-$D$14)*(I798-$D$14))/2</f>
      </c>
      <c r="W798" s="7">
        <f>($B$22*I798^4+$C$22*I798^3+$D$22*I798^2+$E$22*I798+$F$22)/2</f>
      </c>
      <c r="X798" s="7">
        <f>($W798)*(T798)</f>
      </c>
      <c r="Y798" s="7">
        <f>($W798)*(U798)</f>
      </c>
      <c r="Z798" s="7">
        <f>SQRT(X798^2+Y798^2)</f>
      </c>
      <c r="AA798" s="7">
        <f>$K798+$X798</f>
      </c>
      <c r="AB798" s="7">
        <f>$L798+$Y798</f>
      </c>
      <c r="AC798" s="7">
        <f>$K798-$X798</f>
      </c>
      <c r="AD798" s="7">
        <f>$L798-$Y798</f>
      </c>
      <c r="AE798" s="7">
        <f>AA798/39.3701</f>
      </c>
      <c r="AF798" s="7">
        <f>AB798/39.3701</f>
      </c>
      <c r="AG798" s="7">
        <f>AC798/39.3701</f>
      </c>
      <c r="AH798" s="7">
        <f>AD798/39.3701</f>
      </c>
      <c r="AI798" s="1"/>
      <c r="AJ798" s="1"/>
      <c r="AK798" s="1"/>
      <c r="AL798" s="1"/>
      <c r="AM798" s="2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</row>
    <row x14ac:dyDescent="0.25" r="799" customHeight="1" ht="18.75">
      <c r="A799" s="1"/>
      <c r="B799" s="2"/>
      <c r="C799" s="2"/>
      <c r="D799" s="2"/>
      <c r="E799" s="2"/>
      <c r="F799" s="2"/>
      <c r="G799" s="1"/>
      <c r="H799" s="1"/>
      <c r="I799" s="7">
        <v>0.796</v>
      </c>
      <c r="J799" s="7">
        <f>IF((I799-ROUNDDOWN(I799,0))=0, 0, (I799-ROUNDDOWN(I799,0)))</f>
      </c>
      <c r="K799" s="7">
        <f>INDIRECT("C$"&amp;2+MIN(2,ROUNDDOWN(I799,0))*3)*(-$J799^3+3*$J799^2-3*$J799+1)+INDIRECT("C$"&amp;3+MIN(2,ROUNDDOWN(I799,0))*3)*(3*$J799^3-6*$J799^2+3*$J799)+INDIRECT("C$"&amp;4+MIN(2,ROUNDDOWN(I799,0))*3)*(-3*$J799^3+3*$J799^2)+INDIRECT("C$"&amp;5+MIN(2,ROUNDDOWN(I799,0))*3)*$J799^3</f>
      </c>
      <c r="L799" s="7">
        <f>INDIRECT("D$"&amp;2+MIN(2,ROUNDDOWN(I799,0))*3)*(-$J799^3+3*$J799^2-3*$J799+1)+INDIRECT("D$"&amp;3+MIN(2,ROUNDDOWN(I799,0))*3)*(3*$J799^3-6*$J799^2+3*$J799)+INDIRECT("D$"&amp;4+MIN(2,ROUNDDOWN(I799,0))*3)*(-3*$J799^3+3*$J799^2)+INDIRECT("D$"&amp;5+MIN(2,ROUNDDOWN(I799,0))*3)*$J799^3</f>
      </c>
      <c r="M799" s="7">
        <f>SQRT(K799^2+L799^2)</f>
      </c>
      <c r="N799" s="7">
        <f>(K800-K798)</f>
      </c>
      <c r="O799" s="7">
        <f>+(L800-L798)</f>
      </c>
      <c r="P799" s="7">
        <f>SQRT(O799^2+N799^2)</f>
      </c>
      <c r="Q799" s="7">
        <f>N799/$P799</f>
      </c>
      <c r="R799" s="7">
        <f>O799/$P799</f>
      </c>
      <c r="S799" s="8">
        <f>Q799^2+R799^2</f>
      </c>
      <c r="T799" s="7">
        <f>-R799</f>
      </c>
      <c r="U799" s="7">
        <f>Q799</f>
      </c>
      <c r="V799" s="7">
        <f>($C$14+($C$15-$C$14)/($D$15-$D$14)*(I799-$D$14))/2</f>
      </c>
      <c r="W799" s="7">
        <f>($B$22*I799^4+$C$22*I799^3+$D$22*I799^2+$E$22*I799+$F$22)/2</f>
      </c>
      <c r="X799" s="7">
        <f>($W799)*(T799)</f>
      </c>
      <c r="Y799" s="7">
        <f>($W799)*(U799)</f>
      </c>
      <c r="Z799" s="7">
        <f>SQRT(X799^2+Y799^2)</f>
      </c>
      <c r="AA799" s="7">
        <f>$K799+$X799</f>
      </c>
      <c r="AB799" s="7">
        <f>$L799+$Y799</f>
      </c>
      <c r="AC799" s="7">
        <f>$K799-$X799</f>
      </c>
      <c r="AD799" s="7">
        <f>$L799-$Y799</f>
      </c>
      <c r="AE799" s="7">
        <f>AA799/39.3701</f>
      </c>
      <c r="AF799" s="7">
        <f>AB799/39.3701</f>
      </c>
      <c r="AG799" s="7">
        <f>AC799/39.3701</f>
      </c>
      <c r="AH799" s="7">
        <f>AD799/39.3701</f>
      </c>
      <c r="AI799" s="1"/>
      <c r="AJ799" s="1"/>
      <c r="AK799" s="1"/>
      <c r="AL799" s="1"/>
      <c r="AM799" s="2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</row>
    <row x14ac:dyDescent="0.25" r="800" customHeight="1" ht="18.75">
      <c r="A800" s="1"/>
      <c r="B800" s="2"/>
      <c r="C800" s="2"/>
      <c r="D800" s="2"/>
      <c r="E800" s="2"/>
      <c r="F800" s="2"/>
      <c r="G800" s="1"/>
      <c r="H800" s="1"/>
      <c r="I800" s="7">
        <v>0.797</v>
      </c>
      <c r="J800" s="7">
        <f>IF((I800-ROUNDDOWN(I800,0))=0, 0, (I800-ROUNDDOWN(I800,0)))</f>
      </c>
      <c r="K800" s="7">
        <f>INDIRECT("C$"&amp;2+MIN(2,ROUNDDOWN(I800,0))*3)*(-$J800^3+3*$J800^2-3*$J800+1)+INDIRECT("C$"&amp;3+MIN(2,ROUNDDOWN(I800,0))*3)*(3*$J800^3-6*$J800^2+3*$J800)+INDIRECT("C$"&amp;4+MIN(2,ROUNDDOWN(I800,0))*3)*(-3*$J800^3+3*$J800^2)+INDIRECT("C$"&amp;5+MIN(2,ROUNDDOWN(I800,0))*3)*$J800^3</f>
      </c>
      <c r="L800" s="7">
        <f>INDIRECT("D$"&amp;2+MIN(2,ROUNDDOWN(I800,0))*3)*(-$J800^3+3*$J800^2-3*$J800+1)+INDIRECT("D$"&amp;3+MIN(2,ROUNDDOWN(I800,0))*3)*(3*$J800^3-6*$J800^2+3*$J800)+INDIRECT("D$"&amp;4+MIN(2,ROUNDDOWN(I800,0))*3)*(-3*$J800^3+3*$J800^2)+INDIRECT("D$"&amp;5+MIN(2,ROUNDDOWN(I800,0))*3)*$J800^3</f>
      </c>
      <c r="M800" s="7">
        <f>SQRT(K800^2+L800^2)</f>
      </c>
      <c r="N800" s="7">
        <f>(K801-K799)</f>
      </c>
      <c r="O800" s="7">
        <f>+(L801-L799)</f>
      </c>
      <c r="P800" s="7">
        <f>SQRT(O800^2+N800^2)</f>
      </c>
      <c r="Q800" s="7">
        <f>N800/$P800</f>
      </c>
      <c r="R800" s="7">
        <f>O800/$P800</f>
      </c>
      <c r="S800" s="7">
        <f>Q800^2+R800^2</f>
      </c>
      <c r="T800" s="7">
        <f>-R800</f>
      </c>
      <c r="U800" s="7">
        <f>Q800</f>
      </c>
      <c r="V800" s="7">
        <f>($C$14+($C$15-$C$14)/($D$15-$D$14)*(I800-$D$14))/2</f>
      </c>
      <c r="W800" s="7">
        <f>($B$22*I800^4+$C$22*I800^3+$D$22*I800^2+$E$22*I800+$F$22)/2</f>
      </c>
      <c r="X800" s="7">
        <f>($W800)*(T800)</f>
      </c>
      <c r="Y800" s="7">
        <f>($W800)*(U800)</f>
      </c>
      <c r="Z800" s="7">
        <f>SQRT(X800^2+Y800^2)</f>
      </c>
      <c r="AA800" s="7">
        <f>$K800+$X800</f>
      </c>
      <c r="AB800" s="7">
        <f>$L800+$Y800</f>
      </c>
      <c r="AC800" s="7">
        <f>$K800-$X800</f>
      </c>
      <c r="AD800" s="7">
        <f>$L800-$Y800</f>
      </c>
      <c r="AE800" s="7">
        <f>AA800/39.3701</f>
      </c>
      <c r="AF800" s="7">
        <f>AB800/39.3701</f>
      </c>
      <c r="AG800" s="7">
        <f>AC800/39.3701</f>
      </c>
      <c r="AH800" s="7">
        <f>AD800/39.3701</f>
      </c>
      <c r="AI800" s="1"/>
      <c r="AJ800" s="1"/>
      <c r="AK800" s="1"/>
      <c r="AL800" s="1"/>
      <c r="AM800" s="2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</row>
    <row x14ac:dyDescent="0.25" r="801" customHeight="1" ht="18.75">
      <c r="A801" s="1"/>
      <c r="B801" s="2"/>
      <c r="C801" s="2"/>
      <c r="D801" s="2"/>
      <c r="E801" s="2"/>
      <c r="F801" s="2"/>
      <c r="G801" s="1"/>
      <c r="H801" s="1"/>
      <c r="I801" s="7">
        <v>0.798</v>
      </c>
      <c r="J801" s="7">
        <f>IF((I801-ROUNDDOWN(I801,0))=0, 0, (I801-ROUNDDOWN(I801,0)))</f>
      </c>
      <c r="K801" s="7">
        <f>INDIRECT("C$"&amp;2+MIN(2,ROUNDDOWN(I801,0))*3)*(-$J801^3+3*$J801^2-3*$J801+1)+INDIRECT("C$"&amp;3+MIN(2,ROUNDDOWN(I801,0))*3)*(3*$J801^3-6*$J801^2+3*$J801)+INDIRECT("C$"&amp;4+MIN(2,ROUNDDOWN(I801,0))*3)*(-3*$J801^3+3*$J801^2)+INDIRECT("C$"&amp;5+MIN(2,ROUNDDOWN(I801,0))*3)*$J801^3</f>
      </c>
      <c r="L801" s="7">
        <f>INDIRECT("D$"&amp;2+MIN(2,ROUNDDOWN(I801,0))*3)*(-$J801^3+3*$J801^2-3*$J801+1)+INDIRECT("D$"&amp;3+MIN(2,ROUNDDOWN(I801,0))*3)*(3*$J801^3-6*$J801^2+3*$J801)+INDIRECT("D$"&amp;4+MIN(2,ROUNDDOWN(I801,0))*3)*(-3*$J801^3+3*$J801^2)+INDIRECT("D$"&amp;5+MIN(2,ROUNDDOWN(I801,0))*3)*$J801^3</f>
      </c>
      <c r="M801" s="7">
        <f>SQRT(K801^2+L801^2)</f>
      </c>
      <c r="N801" s="7">
        <f>(K802-K800)</f>
      </c>
      <c r="O801" s="7">
        <f>+(L802-L800)</f>
      </c>
      <c r="P801" s="7">
        <f>SQRT(O801^2+N801^2)</f>
      </c>
      <c r="Q801" s="7">
        <f>N801/$P801</f>
      </c>
      <c r="R801" s="7">
        <f>O801/$P801</f>
      </c>
      <c r="S801" s="7">
        <f>Q801^2+R801^2</f>
      </c>
      <c r="T801" s="7">
        <f>-R801</f>
      </c>
      <c r="U801" s="7">
        <f>Q801</f>
      </c>
      <c r="V801" s="7">
        <f>($C$14+($C$15-$C$14)/($D$15-$D$14)*(I801-$D$14))/2</f>
      </c>
      <c r="W801" s="7">
        <f>($B$22*I801^4+$C$22*I801^3+$D$22*I801^2+$E$22*I801+$F$22)/2</f>
      </c>
      <c r="X801" s="7">
        <f>($W801)*(T801)</f>
      </c>
      <c r="Y801" s="7">
        <f>($W801)*(U801)</f>
      </c>
      <c r="Z801" s="7">
        <f>SQRT(X801^2+Y801^2)</f>
      </c>
      <c r="AA801" s="7">
        <f>$K801+$X801</f>
      </c>
      <c r="AB801" s="7">
        <f>$L801+$Y801</f>
      </c>
      <c r="AC801" s="7">
        <f>$K801-$X801</f>
      </c>
      <c r="AD801" s="7">
        <f>$L801-$Y801</f>
      </c>
      <c r="AE801" s="7">
        <f>AA801/39.3701</f>
      </c>
      <c r="AF801" s="7">
        <f>AB801/39.3701</f>
      </c>
      <c r="AG801" s="7">
        <f>AC801/39.3701</f>
      </c>
      <c r="AH801" s="7">
        <f>AD801/39.3701</f>
      </c>
      <c r="AI801" s="1"/>
      <c r="AJ801" s="1"/>
      <c r="AK801" s="1"/>
      <c r="AL801" s="1"/>
      <c r="AM801" s="2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</row>
    <row x14ac:dyDescent="0.25" r="802" customHeight="1" ht="18.75">
      <c r="A802" s="1"/>
      <c r="B802" s="2"/>
      <c r="C802" s="2"/>
      <c r="D802" s="2"/>
      <c r="E802" s="2"/>
      <c r="F802" s="2"/>
      <c r="G802" s="1"/>
      <c r="H802" s="1"/>
      <c r="I802" s="7">
        <v>0.799</v>
      </c>
      <c r="J802" s="7">
        <f>IF((I802-ROUNDDOWN(I802,0))=0, 0, (I802-ROUNDDOWN(I802,0)))</f>
      </c>
      <c r="K802" s="7">
        <f>INDIRECT("C$"&amp;2+MIN(2,ROUNDDOWN(I802,0))*3)*(-$J802^3+3*$J802^2-3*$J802+1)+INDIRECT("C$"&amp;3+MIN(2,ROUNDDOWN(I802,0))*3)*(3*$J802^3-6*$J802^2+3*$J802)+INDIRECT("C$"&amp;4+MIN(2,ROUNDDOWN(I802,0))*3)*(-3*$J802^3+3*$J802^2)+INDIRECT("C$"&amp;5+MIN(2,ROUNDDOWN(I802,0))*3)*$J802^3</f>
      </c>
      <c r="L802" s="7">
        <f>INDIRECT("D$"&amp;2+MIN(2,ROUNDDOWN(I802,0))*3)*(-$J802^3+3*$J802^2-3*$J802+1)+INDIRECT("D$"&amp;3+MIN(2,ROUNDDOWN(I802,0))*3)*(3*$J802^3-6*$J802^2+3*$J802)+INDIRECT("D$"&amp;4+MIN(2,ROUNDDOWN(I802,0))*3)*(-3*$J802^3+3*$J802^2)+INDIRECT("D$"&amp;5+MIN(2,ROUNDDOWN(I802,0))*3)*$J802^3</f>
      </c>
      <c r="M802" s="7">
        <f>SQRT(K802^2+L802^2)</f>
      </c>
      <c r="N802" s="7">
        <f>(K803-K801)</f>
      </c>
      <c r="O802" s="7">
        <f>+(L803-L801)</f>
      </c>
      <c r="P802" s="7">
        <f>SQRT(O802^2+N802^2)</f>
      </c>
      <c r="Q802" s="7">
        <f>N802/$P802</f>
      </c>
      <c r="R802" s="7">
        <f>O802/$P802</f>
      </c>
      <c r="S802" s="7">
        <f>Q802^2+R802^2</f>
      </c>
      <c r="T802" s="7">
        <f>-R802</f>
      </c>
      <c r="U802" s="7">
        <f>Q802</f>
      </c>
      <c r="V802" s="7">
        <f>($C$14+($C$15-$C$14)/($D$15-$D$14)*(I802-$D$14))/2</f>
      </c>
      <c r="W802" s="7">
        <f>($B$22*I802^4+$C$22*I802^3+$D$22*I802^2+$E$22*I802+$F$22)/2</f>
      </c>
      <c r="X802" s="7">
        <f>($W802)*(T802)</f>
      </c>
      <c r="Y802" s="7">
        <f>($W802)*(U802)</f>
      </c>
      <c r="Z802" s="7">
        <f>SQRT(X802^2+Y802^2)</f>
      </c>
      <c r="AA802" s="7">
        <f>$K802+$X802</f>
      </c>
      <c r="AB802" s="7">
        <f>$L802+$Y802</f>
      </c>
      <c r="AC802" s="7">
        <f>$K802-$X802</f>
      </c>
      <c r="AD802" s="7">
        <f>$L802-$Y802</f>
      </c>
      <c r="AE802" s="7">
        <f>AA802/39.3701</f>
      </c>
      <c r="AF802" s="7">
        <f>AB802/39.3701</f>
      </c>
      <c r="AG802" s="7">
        <f>AC802/39.3701</f>
      </c>
      <c r="AH802" s="7">
        <f>AD802/39.3701</f>
      </c>
      <c r="AI802" s="1"/>
      <c r="AJ802" s="1"/>
      <c r="AK802" s="1"/>
      <c r="AL802" s="1"/>
      <c r="AM802" s="2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</row>
    <row x14ac:dyDescent="0.25" r="803" customHeight="1" ht="18.75">
      <c r="A803" s="1"/>
      <c r="B803" s="2"/>
      <c r="C803" s="2"/>
      <c r="D803" s="2"/>
      <c r="E803" s="2"/>
      <c r="F803" s="2"/>
      <c r="G803" s="1"/>
      <c r="H803" s="1"/>
      <c r="I803" s="7">
        <v>0.8</v>
      </c>
      <c r="J803" s="7">
        <f>IF((I803-ROUNDDOWN(I803,0))=0, 0, (I803-ROUNDDOWN(I803,0)))</f>
      </c>
      <c r="K803" s="7">
        <f>INDIRECT("C$"&amp;2+MIN(2,ROUNDDOWN(I803,0))*3)*(-$J803^3+3*$J803^2-3*$J803+1)+INDIRECT("C$"&amp;3+MIN(2,ROUNDDOWN(I803,0))*3)*(3*$J803^3-6*$J803^2+3*$J803)+INDIRECT("C$"&amp;4+MIN(2,ROUNDDOWN(I803,0))*3)*(-3*$J803^3+3*$J803^2)+INDIRECT("C$"&amp;5+MIN(2,ROUNDDOWN(I803,0))*3)*$J803^3</f>
      </c>
      <c r="L803" s="7">
        <f>INDIRECT("D$"&amp;2+MIN(2,ROUNDDOWN(I803,0))*3)*(-$J803^3+3*$J803^2-3*$J803+1)+INDIRECT("D$"&amp;3+MIN(2,ROUNDDOWN(I803,0))*3)*(3*$J803^3-6*$J803^2+3*$J803)+INDIRECT("D$"&amp;4+MIN(2,ROUNDDOWN(I803,0))*3)*(-3*$J803^3+3*$J803^2)+INDIRECT("D$"&amp;5+MIN(2,ROUNDDOWN(I803,0))*3)*$J803^3</f>
      </c>
      <c r="M803" s="7">
        <f>SQRT(K803^2+L803^2)</f>
      </c>
      <c r="N803" s="7">
        <f>(K804-K802)</f>
      </c>
      <c r="O803" s="7">
        <f>+(L804-L802)</f>
      </c>
      <c r="P803" s="7">
        <f>SQRT(O803^2+N803^2)</f>
      </c>
      <c r="Q803" s="7">
        <f>N803/$P803</f>
      </c>
      <c r="R803" s="7">
        <f>O803/$P803</f>
      </c>
      <c r="S803" s="8">
        <f>Q803^2+R803^2</f>
      </c>
      <c r="T803" s="7">
        <f>-R803</f>
      </c>
      <c r="U803" s="7">
        <f>Q803</f>
      </c>
      <c r="V803" s="7">
        <f>($C$14+($C$15-$C$14)/($D$15-$D$14)*(I803-$D$14))/2</f>
      </c>
      <c r="W803" s="7">
        <f>($B$22*I803^4+$C$22*I803^3+$D$22*I803^2+$E$22*I803+$F$22)/2</f>
      </c>
      <c r="X803" s="7">
        <f>($W803)*(T803)</f>
      </c>
      <c r="Y803" s="7">
        <f>($W803)*(U803)</f>
      </c>
      <c r="Z803" s="7">
        <f>SQRT(X803^2+Y803^2)</f>
      </c>
      <c r="AA803" s="7">
        <f>$K803+$X803</f>
      </c>
      <c r="AB803" s="7">
        <f>$L803+$Y803</f>
      </c>
      <c r="AC803" s="7">
        <f>$K803-$X803</f>
      </c>
      <c r="AD803" s="7">
        <f>$L803-$Y803</f>
      </c>
      <c r="AE803" s="7">
        <f>AA803/39.3701</f>
      </c>
      <c r="AF803" s="7">
        <f>AB803/39.3701</f>
      </c>
      <c r="AG803" s="7">
        <f>AC803/39.3701</f>
      </c>
      <c r="AH803" s="7">
        <f>AD803/39.3701</f>
      </c>
      <c r="AI803" s="1"/>
      <c r="AJ803" s="1"/>
      <c r="AK803" s="1"/>
      <c r="AL803" s="1"/>
      <c r="AM803" s="2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</row>
    <row x14ac:dyDescent="0.25" r="804" customHeight="1" ht="18.75">
      <c r="A804" s="1"/>
      <c r="B804" s="2"/>
      <c r="C804" s="2"/>
      <c r="D804" s="2"/>
      <c r="E804" s="2"/>
      <c r="F804" s="2"/>
      <c r="G804" s="1"/>
      <c r="H804" s="1"/>
      <c r="I804" s="7">
        <v>0.801</v>
      </c>
      <c r="J804" s="7">
        <f>IF((I804-ROUNDDOWN(I804,0))=0, 0, (I804-ROUNDDOWN(I804,0)))</f>
      </c>
      <c r="K804" s="7">
        <f>INDIRECT("C$"&amp;2+MIN(2,ROUNDDOWN(I804,0))*3)*(-$J804^3+3*$J804^2-3*$J804+1)+INDIRECT("C$"&amp;3+MIN(2,ROUNDDOWN(I804,0))*3)*(3*$J804^3-6*$J804^2+3*$J804)+INDIRECT("C$"&amp;4+MIN(2,ROUNDDOWN(I804,0))*3)*(-3*$J804^3+3*$J804^2)+INDIRECT("C$"&amp;5+MIN(2,ROUNDDOWN(I804,0))*3)*$J804^3</f>
      </c>
      <c r="L804" s="7">
        <f>INDIRECT("D$"&amp;2+MIN(2,ROUNDDOWN(I804,0))*3)*(-$J804^3+3*$J804^2-3*$J804+1)+INDIRECT("D$"&amp;3+MIN(2,ROUNDDOWN(I804,0))*3)*(3*$J804^3-6*$J804^2+3*$J804)+INDIRECT("D$"&amp;4+MIN(2,ROUNDDOWN(I804,0))*3)*(-3*$J804^3+3*$J804^2)+INDIRECT("D$"&amp;5+MIN(2,ROUNDDOWN(I804,0))*3)*$J804^3</f>
      </c>
      <c r="M804" s="7">
        <f>SQRT(K804^2+L804^2)</f>
      </c>
      <c r="N804" s="7">
        <f>(K805-K803)</f>
      </c>
      <c r="O804" s="7">
        <f>+(L805-L803)</f>
      </c>
      <c r="P804" s="7">
        <f>SQRT(O804^2+N804^2)</f>
      </c>
      <c r="Q804" s="7">
        <f>N804/$P804</f>
      </c>
      <c r="R804" s="7">
        <f>O804/$P804</f>
      </c>
      <c r="S804" s="7">
        <f>Q804^2+R804^2</f>
      </c>
      <c r="T804" s="7">
        <f>-R804</f>
      </c>
      <c r="U804" s="7">
        <f>Q804</f>
      </c>
      <c r="V804" s="7">
        <f>($C$14+($C$15-$C$14)/($D$15-$D$14)*(I804-$D$14))/2</f>
      </c>
      <c r="W804" s="7">
        <f>($B$22*I804^4+$C$22*I804^3+$D$22*I804^2+$E$22*I804+$F$22)/2</f>
      </c>
      <c r="X804" s="7">
        <f>($W804)*(T804)</f>
      </c>
      <c r="Y804" s="7">
        <f>($W804)*(U804)</f>
      </c>
      <c r="Z804" s="7">
        <f>SQRT(X804^2+Y804^2)</f>
      </c>
      <c r="AA804" s="7">
        <f>$K804+$X804</f>
      </c>
      <c r="AB804" s="7">
        <f>$L804+$Y804</f>
      </c>
      <c r="AC804" s="7">
        <f>$K804-$X804</f>
      </c>
      <c r="AD804" s="7">
        <f>$L804-$Y804</f>
      </c>
      <c r="AE804" s="7">
        <f>AA804/39.3701</f>
      </c>
      <c r="AF804" s="7">
        <f>AB804/39.3701</f>
      </c>
      <c r="AG804" s="7">
        <f>AC804/39.3701</f>
      </c>
      <c r="AH804" s="7">
        <f>AD804/39.3701</f>
      </c>
      <c r="AI804" s="1"/>
      <c r="AJ804" s="1"/>
      <c r="AK804" s="1"/>
      <c r="AL804" s="1"/>
      <c r="AM804" s="2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</row>
    <row x14ac:dyDescent="0.25" r="805" customHeight="1" ht="18.75">
      <c r="A805" s="1"/>
      <c r="B805" s="2"/>
      <c r="C805" s="2"/>
      <c r="D805" s="2"/>
      <c r="E805" s="2"/>
      <c r="F805" s="2"/>
      <c r="G805" s="1"/>
      <c r="H805" s="1"/>
      <c r="I805" s="7">
        <v>0.802</v>
      </c>
      <c r="J805" s="7">
        <f>IF((I805-ROUNDDOWN(I805,0))=0, 0, (I805-ROUNDDOWN(I805,0)))</f>
      </c>
      <c r="K805" s="7">
        <f>INDIRECT("C$"&amp;2+MIN(2,ROUNDDOWN(I805,0))*3)*(-$J805^3+3*$J805^2-3*$J805+1)+INDIRECT("C$"&amp;3+MIN(2,ROUNDDOWN(I805,0))*3)*(3*$J805^3-6*$J805^2+3*$J805)+INDIRECT("C$"&amp;4+MIN(2,ROUNDDOWN(I805,0))*3)*(-3*$J805^3+3*$J805^2)+INDIRECT("C$"&amp;5+MIN(2,ROUNDDOWN(I805,0))*3)*$J805^3</f>
      </c>
      <c r="L805" s="7">
        <f>INDIRECT("D$"&amp;2+MIN(2,ROUNDDOWN(I805,0))*3)*(-$J805^3+3*$J805^2-3*$J805+1)+INDIRECT("D$"&amp;3+MIN(2,ROUNDDOWN(I805,0))*3)*(3*$J805^3-6*$J805^2+3*$J805)+INDIRECT("D$"&amp;4+MIN(2,ROUNDDOWN(I805,0))*3)*(-3*$J805^3+3*$J805^2)+INDIRECT("D$"&amp;5+MIN(2,ROUNDDOWN(I805,0))*3)*$J805^3</f>
      </c>
      <c r="M805" s="7">
        <f>SQRT(K805^2+L805^2)</f>
      </c>
      <c r="N805" s="7">
        <f>(K806-K804)</f>
      </c>
      <c r="O805" s="7">
        <f>+(L806-L804)</f>
      </c>
      <c r="P805" s="7">
        <f>SQRT(O805^2+N805^2)</f>
      </c>
      <c r="Q805" s="7">
        <f>N805/$P805</f>
      </c>
      <c r="R805" s="7">
        <f>O805/$P805</f>
      </c>
      <c r="S805" s="8">
        <f>Q805^2+R805^2</f>
      </c>
      <c r="T805" s="7">
        <f>-R805</f>
      </c>
      <c r="U805" s="7">
        <f>Q805</f>
      </c>
      <c r="V805" s="7">
        <f>($C$14+($C$15-$C$14)/($D$15-$D$14)*(I805-$D$14))/2</f>
      </c>
      <c r="W805" s="7">
        <f>($B$22*I805^4+$C$22*I805^3+$D$22*I805^2+$E$22*I805+$F$22)/2</f>
      </c>
      <c r="X805" s="7">
        <f>($W805)*(T805)</f>
      </c>
      <c r="Y805" s="7">
        <f>($W805)*(U805)</f>
      </c>
      <c r="Z805" s="7">
        <f>SQRT(X805^2+Y805^2)</f>
      </c>
      <c r="AA805" s="7">
        <f>$K805+$X805</f>
      </c>
      <c r="AB805" s="7">
        <f>$L805+$Y805</f>
      </c>
      <c r="AC805" s="7">
        <f>$K805-$X805</f>
      </c>
      <c r="AD805" s="7">
        <f>$L805-$Y805</f>
      </c>
      <c r="AE805" s="7">
        <f>AA805/39.3701</f>
      </c>
      <c r="AF805" s="7">
        <f>AB805/39.3701</f>
      </c>
      <c r="AG805" s="7">
        <f>AC805/39.3701</f>
      </c>
      <c r="AH805" s="7">
        <f>AD805/39.3701</f>
      </c>
      <c r="AI805" s="1"/>
      <c r="AJ805" s="1"/>
      <c r="AK805" s="1"/>
      <c r="AL805" s="1"/>
      <c r="AM805" s="2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</row>
    <row x14ac:dyDescent="0.25" r="806" customHeight="1" ht="18.75">
      <c r="A806" s="1"/>
      <c r="B806" s="2"/>
      <c r="C806" s="2"/>
      <c r="D806" s="2"/>
      <c r="E806" s="2"/>
      <c r="F806" s="2"/>
      <c r="G806" s="1"/>
      <c r="H806" s="1"/>
      <c r="I806" s="7">
        <v>0.803</v>
      </c>
      <c r="J806" s="7">
        <f>IF((I806-ROUNDDOWN(I806,0))=0, 0, (I806-ROUNDDOWN(I806,0)))</f>
      </c>
      <c r="K806" s="7">
        <f>INDIRECT("C$"&amp;2+MIN(2,ROUNDDOWN(I806,0))*3)*(-$J806^3+3*$J806^2-3*$J806+1)+INDIRECT("C$"&amp;3+MIN(2,ROUNDDOWN(I806,0))*3)*(3*$J806^3-6*$J806^2+3*$J806)+INDIRECT("C$"&amp;4+MIN(2,ROUNDDOWN(I806,0))*3)*(-3*$J806^3+3*$J806^2)+INDIRECT("C$"&amp;5+MIN(2,ROUNDDOWN(I806,0))*3)*$J806^3</f>
      </c>
      <c r="L806" s="7">
        <f>INDIRECT("D$"&amp;2+MIN(2,ROUNDDOWN(I806,0))*3)*(-$J806^3+3*$J806^2-3*$J806+1)+INDIRECT("D$"&amp;3+MIN(2,ROUNDDOWN(I806,0))*3)*(3*$J806^3-6*$J806^2+3*$J806)+INDIRECT("D$"&amp;4+MIN(2,ROUNDDOWN(I806,0))*3)*(-3*$J806^3+3*$J806^2)+INDIRECT("D$"&amp;5+MIN(2,ROUNDDOWN(I806,0))*3)*$J806^3</f>
      </c>
      <c r="M806" s="7">
        <f>SQRT(K806^2+L806^2)</f>
      </c>
      <c r="N806" s="7">
        <f>(K807-K805)</f>
      </c>
      <c r="O806" s="7">
        <f>+(L807-L805)</f>
      </c>
      <c r="P806" s="7">
        <f>SQRT(O806^2+N806^2)</f>
      </c>
      <c r="Q806" s="7">
        <f>N806/$P806</f>
      </c>
      <c r="R806" s="7">
        <f>O806/$P806</f>
      </c>
      <c r="S806" s="8">
        <f>Q806^2+R806^2</f>
      </c>
      <c r="T806" s="7">
        <f>-R806</f>
      </c>
      <c r="U806" s="7">
        <f>Q806</f>
      </c>
      <c r="V806" s="7">
        <f>($C$14+($C$15-$C$14)/($D$15-$D$14)*(I806-$D$14))/2</f>
      </c>
      <c r="W806" s="7">
        <f>($B$22*I806^4+$C$22*I806^3+$D$22*I806^2+$E$22*I806+$F$22)/2</f>
      </c>
      <c r="X806" s="7">
        <f>($W806)*(T806)</f>
      </c>
      <c r="Y806" s="7">
        <f>($W806)*(U806)</f>
      </c>
      <c r="Z806" s="7">
        <f>SQRT(X806^2+Y806^2)</f>
      </c>
      <c r="AA806" s="7">
        <f>$K806+$X806</f>
      </c>
      <c r="AB806" s="7">
        <f>$L806+$Y806</f>
      </c>
      <c r="AC806" s="7">
        <f>$K806-$X806</f>
      </c>
      <c r="AD806" s="7">
        <f>$L806-$Y806</f>
      </c>
      <c r="AE806" s="7">
        <f>AA806/39.3701</f>
      </c>
      <c r="AF806" s="7">
        <f>AB806/39.3701</f>
      </c>
      <c r="AG806" s="7">
        <f>AC806/39.3701</f>
      </c>
      <c r="AH806" s="7">
        <f>AD806/39.3701</f>
      </c>
      <c r="AI806" s="1"/>
      <c r="AJ806" s="1"/>
      <c r="AK806" s="1"/>
      <c r="AL806" s="1"/>
      <c r="AM806" s="2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</row>
    <row x14ac:dyDescent="0.25" r="807" customHeight="1" ht="18.75">
      <c r="A807" s="1"/>
      <c r="B807" s="2"/>
      <c r="C807" s="2"/>
      <c r="D807" s="2"/>
      <c r="E807" s="2"/>
      <c r="F807" s="2"/>
      <c r="G807" s="1"/>
      <c r="H807" s="1"/>
      <c r="I807" s="7">
        <v>0.804</v>
      </c>
      <c r="J807" s="7">
        <f>IF((I807-ROUNDDOWN(I807,0))=0, 0, (I807-ROUNDDOWN(I807,0)))</f>
      </c>
      <c r="K807" s="7">
        <f>INDIRECT("C$"&amp;2+MIN(2,ROUNDDOWN(I807,0))*3)*(-$J807^3+3*$J807^2-3*$J807+1)+INDIRECT("C$"&amp;3+MIN(2,ROUNDDOWN(I807,0))*3)*(3*$J807^3-6*$J807^2+3*$J807)+INDIRECT("C$"&amp;4+MIN(2,ROUNDDOWN(I807,0))*3)*(-3*$J807^3+3*$J807^2)+INDIRECT("C$"&amp;5+MIN(2,ROUNDDOWN(I807,0))*3)*$J807^3</f>
      </c>
      <c r="L807" s="7">
        <f>INDIRECT("D$"&amp;2+MIN(2,ROUNDDOWN(I807,0))*3)*(-$J807^3+3*$J807^2-3*$J807+1)+INDIRECT("D$"&amp;3+MIN(2,ROUNDDOWN(I807,0))*3)*(3*$J807^3-6*$J807^2+3*$J807)+INDIRECT("D$"&amp;4+MIN(2,ROUNDDOWN(I807,0))*3)*(-3*$J807^3+3*$J807^2)+INDIRECT("D$"&amp;5+MIN(2,ROUNDDOWN(I807,0))*3)*$J807^3</f>
      </c>
      <c r="M807" s="7">
        <f>SQRT(K807^2+L807^2)</f>
      </c>
      <c r="N807" s="7">
        <f>(K808-K806)</f>
      </c>
      <c r="O807" s="7">
        <f>+(L808-L806)</f>
      </c>
      <c r="P807" s="7">
        <f>SQRT(O807^2+N807^2)</f>
      </c>
      <c r="Q807" s="7">
        <f>N807/$P807</f>
      </c>
      <c r="R807" s="7">
        <f>O807/$P807</f>
      </c>
      <c r="S807" s="8">
        <f>Q807^2+R807^2</f>
      </c>
      <c r="T807" s="7">
        <f>-R807</f>
      </c>
      <c r="U807" s="7">
        <f>Q807</f>
      </c>
      <c r="V807" s="7">
        <f>($C$14+($C$15-$C$14)/($D$15-$D$14)*(I807-$D$14))/2</f>
      </c>
      <c r="W807" s="7">
        <f>($B$22*I807^4+$C$22*I807^3+$D$22*I807^2+$E$22*I807+$F$22)/2</f>
      </c>
      <c r="X807" s="7">
        <f>($W807)*(T807)</f>
      </c>
      <c r="Y807" s="7">
        <f>($W807)*(U807)</f>
      </c>
      <c r="Z807" s="7">
        <f>SQRT(X807^2+Y807^2)</f>
      </c>
      <c r="AA807" s="7">
        <f>$K807+$X807</f>
      </c>
      <c r="AB807" s="7">
        <f>$L807+$Y807</f>
      </c>
      <c r="AC807" s="7">
        <f>$K807-$X807</f>
      </c>
      <c r="AD807" s="7">
        <f>$L807-$Y807</f>
      </c>
      <c r="AE807" s="7">
        <f>AA807/39.3701</f>
      </c>
      <c r="AF807" s="7">
        <f>AB807/39.3701</f>
      </c>
      <c r="AG807" s="7">
        <f>AC807/39.3701</f>
      </c>
      <c r="AH807" s="7">
        <f>AD807/39.3701</f>
      </c>
      <c r="AI807" s="1"/>
      <c r="AJ807" s="1"/>
      <c r="AK807" s="1"/>
      <c r="AL807" s="1"/>
      <c r="AM807" s="2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</row>
    <row x14ac:dyDescent="0.25" r="808" customHeight="1" ht="18.75">
      <c r="A808" s="1"/>
      <c r="B808" s="2"/>
      <c r="C808" s="2"/>
      <c r="D808" s="2"/>
      <c r="E808" s="2"/>
      <c r="F808" s="2"/>
      <c r="G808" s="1"/>
      <c r="H808" s="1"/>
      <c r="I808" s="7">
        <v>0.805</v>
      </c>
      <c r="J808" s="7">
        <f>IF((I808-ROUNDDOWN(I808,0))=0, 0, (I808-ROUNDDOWN(I808,0)))</f>
      </c>
      <c r="K808" s="7">
        <f>INDIRECT("C$"&amp;2+MIN(2,ROUNDDOWN(I808,0))*3)*(-$J808^3+3*$J808^2-3*$J808+1)+INDIRECT("C$"&amp;3+MIN(2,ROUNDDOWN(I808,0))*3)*(3*$J808^3-6*$J808^2+3*$J808)+INDIRECT("C$"&amp;4+MIN(2,ROUNDDOWN(I808,0))*3)*(-3*$J808^3+3*$J808^2)+INDIRECT("C$"&amp;5+MIN(2,ROUNDDOWN(I808,0))*3)*$J808^3</f>
      </c>
      <c r="L808" s="7">
        <f>INDIRECT("D$"&amp;2+MIN(2,ROUNDDOWN(I808,0))*3)*(-$J808^3+3*$J808^2-3*$J808+1)+INDIRECT("D$"&amp;3+MIN(2,ROUNDDOWN(I808,0))*3)*(3*$J808^3-6*$J808^2+3*$J808)+INDIRECT("D$"&amp;4+MIN(2,ROUNDDOWN(I808,0))*3)*(-3*$J808^3+3*$J808^2)+INDIRECT("D$"&amp;5+MIN(2,ROUNDDOWN(I808,0))*3)*$J808^3</f>
      </c>
      <c r="M808" s="7">
        <f>SQRT(K808^2+L808^2)</f>
      </c>
      <c r="N808" s="7">
        <f>(K809-K807)</f>
      </c>
      <c r="O808" s="7">
        <f>+(L809-L807)</f>
      </c>
      <c r="P808" s="7">
        <f>SQRT(O808^2+N808^2)</f>
      </c>
      <c r="Q808" s="7">
        <f>N808/$P808</f>
      </c>
      <c r="R808" s="7">
        <f>O808/$P808</f>
      </c>
      <c r="S808" s="8">
        <f>Q808^2+R808^2</f>
      </c>
      <c r="T808" s="7">
        <f>-R808</f>
      </c>
      <c r="U808" s="7">
        <f>Q808</f>
      </c>
      <c r="V808" s="7">
        <f>($C$14+($C$15-$C$14)/($D$15-$D$14)*(I808-$D$14))/2</f>
      </c>
      <c r="W808" s="7">
        <f>($B$22*I808^4+$C$22*I808^3+$D$22*I808^2+$E$22*I808+$F$22)/2</f>
      </c>
      <c r="X808" s="7">
        <f>($W808)*(T808)</f>
      </c>
      <c r="Y808" s="7">
        <f>($W808)*(U808)</f>
      </c>
      <c r="Z808" s="7">
        <f>SQRT(X808^2+Y808^2)</f>
      </c>
      <c r="AA808" s="7">
        <f>$K808+$X808</f>
      </c>
      <c r="AB808" s="7">
        <f>$L808+$Y808</f>
      </c>
      <c r="AC808" s="7">
        <f>$K808-$X808</f>
      </c>
      <c r="AD808" s="7">
        <f>$L808-$Y808</f>
      </c>
      <c r="AE808" s="7">
        <f>AA808/39.3701</f>
      </c>
      <c r="AF808" s="7">
        <f>AB808/39.3701</f>
      </c>
      <c r="AG808" s="7">
        <f>AC808/39.3701</f>
      </c>
      <c r="AH808" s="7">
        <f>AD808/39.3701</f>
      </c>
      <c r="AI808" s="1"/>
      <c r="AJ808" s="1"/>
      <c r="AK808" s="1"/>
      <c r="AL808" s="1"/>
      <c r="AM808" s="2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</row>
    <row x14ac:dyDescent="0.25" r="809" customHeight="1" ht="18.75">
      <c r="A809" s="1"/>
      <c r="B809" s="2"/>
      <c r="C809" s="2"/>
      <c r="D809" s="2"/>
      <c r="E809" s="2"/>
      <c r="F809" s="2"/>
      <c r="G809" s="1"/>
      <c r="H809" s="1"/>
      <c r="I809" s="7">
        <v>0.806</v>
      </c>
      <c r="J809" s="7">
        <f>IF((I809-ROUNDDOWN(I809,0))=0, 0, (I809-ROUNDDOWN(I809,0)))</f>
      </c>
      <c r="K809" s="7">
        <f>INDIRECT("C$"&amp;2+MIN(2,ROUNDDOWN(I809,0))*3)*(-$J809^3+3*$J809^2-3*$J809+1)+INDIRECT("C$"&amp;3+MIN(2,ROUNDDOWN(I809,0))*3)*(3*$J809^3-6*$J809^2+3*$J809)+INDIRECT("C$"&amp;4+MIN(2,ROUNDDOWN(I809,0))*3)*(-3*$J809^3+3*$J809^2)+INDIRECT("C$"&amp;5+MIN(2,ROUNDDOWN(I809,0))*3)*$J809^3</f>
      </c>
      <c r="L809" s="7">
        <f>INDIRECT("D$"&amp;2+MIN(2,ROUNDDOWN(I809,0))*3)*(-$J809^3+3*$J809^2-3*$J809+1)+INDIRECT("D$"&amp;3+MIN(2,ROUNDDOWN(I809,0))*3)*(3*$J809^3-6*$J809^2+3*$J809)+INDIRECT("D$"&amp;4+MIN(2,ROUNDDOWN(I809,0))*3)*(-3*$J809^3+3*$J809^2)+INDIRECT("D$"&amp;5+MIN(2,ROUNDDOWN(I809,0))*3)*$J809^3</f>
      </c>
      <c r="M809" s="7">
        <f>SQRT(K809^2+L809^2)</f>
      </c>
      <c r="N809" s="7">
        <f>(K810-K808)</f>
      </c>
      <c r="O809" s="7">
        <f>+(L810-L808)</f>
      </c>
      <c r="P809" s="7">
        <f>SQRT(O809^2+N809^2)</f>
      </c>
      <c r="Q809" s="7">
        <f>N809/$P809</f>
      </c>
      <c r="R809" s="7">
        <f>O809/$P809</f>
      </c>
      <c r="S809" s="7">
        <f>Q809^2+R809^2</f>
      </c>
      <c r="T809" s="7">
        <f>-R809</f>
      </c>
      <c r="U809" s="7">
        <f>Q809</f>
      </c>
      <c r="V809" s="7">
        <f>($C$14+($C$15-$C$14)/($D$15-$D$14)*(I809-$D$14))/2</f>
      </c>
      <c r="W809" s="7">
        <f>($B$22*I809^4+$C$22*I809^3+$D$22*I809^2+$E$22*I809+$F$22)/2</f>
      </c>
      <c r="X809" s="7">
        <f>($W809)*(T809)</f>
      </c>
      <c r="Y809" s="7">
        <f>($W809)*(U809)</f>
      </c>
      <c r="Z809" s="7">
        <f>SQRT(X809^2+Y809^2)</f>
      </c>
      <c r="AA809" s="7">
        <f>$K809+$X809</f>
      </c>
      <c r="AB809" s="7">
        <f>$L809+$Y809</f>
      </c>
      <c r="AC809" s="7">
        <f>$K809-$X809</f>
      </c>
      <c r="AD809" s="7">
        <f>$L809-$Y809</f>
      </c>
      <c r="AE809" s="7">
        <f>AA809/39.3701</f>
      </c>
      <c r="AF809" s="7">
        <f>AB809/39.3701</f>
      </c>
      <c r="AG809" s="7">
        <f>AC809/39.3701</f>
      </c>
      <c r="AH809" s="7">
        <f>AD809/39.3701</f>
      </c>
      <c r="AI809" s="1"/>
      <c r="AJ809" s="1"/>
      <c r="AK809" s="1"/>
      <c r="AL809" s="1"/>
      <c r="AM809" s="2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</row>
    <row x14ac:dyDescent="0.25" r="810" customHeight="1" ht="18.75">
      <c r="A810" s="1"/>
      <c r="B810" s="2"/>
      <c r="C810" s="2"/>
      <c r="D810" s="2"/>
      <c r="E810" s="2"/>
      <c r="F810" s="2"/>
      <c r="G810" s="1"/>
      <c r="H810" s="1"/>
      <c r="I810" s="7">
        <v>0.807</v>
      </c>
      <c r="J810" s="7">
        <f>IF((I810-ROUNDDOWN(I810,0))=0, 0, (I810-ROUNDDOWN(I810,0)))</f>
      </c>
      <c r="K810" s="7">
        <f>INDIRECT("C$"&amp;2+MIN(2,ROUNDDOWN(I810,0))*3)*(-$J810^3+3*$J810^2-3*$J810+1)+INDIRECT("C$"&amp;3+MIN(2,ROUNDDOWN(I810,0))*3)*(3*$J810^3-6*$J810^2+3*$J810)+INDIRECT("C$"&amp;4+MIN(2,ROUNDDOWN(I810,0))*3)*(-3*$J810^3+3*$J810^2)+INDIRECT("C$"&amp;5+MIN(2,ROUNDDOWN(I810,0))*3)*$J810^3</f>
      </c>
      <c r="L810" s="7">
        <f>INDIRECT("D$"&amp;2+MIN(2,ROUNDDOWN(I810,0))*3)*(-$J810^3+3*$J810^2-3*$J810+1)+INDIRECT("D$"&amp;3+MIN(2,ROUNDDOWN(I810,0))*3)*(3*$J810^3-6*$J810^2+3*$J810)+INDIRECT("D$"&amp;4+MIN(2,ROUNDDOWN(I810,0))*3)*(-3*$J810^3+3*$J810^2)+INDIRECT("D$"&amp;5+MIN(2,ROUNDDOWN(I810,0))*3)*$J810^3</f>
      </c>
      <c r="M810" s="7">
        <f>SQRT(K810^2+L810^2)</f>
      </c>
      <c r="N810" s="7">
        <f>(K811-K809)</f>
      </c>
      <c r="O810" s="7">
        <f>+(L811-L809)</f>
      </c>
      <c r="P810" s="7">
        <f>SQRT(O810^2+N810^2)</f>
      </c>
      <c r="Q810" s="7">
        <f>N810/$P810</f>
      </c>
      <c r="R810" s="7">
        <f>O810/$P810</f>
      </c>
      <c r="S810" s="7">
        <f>Q810^2+R810^2</f>
      </c>
      <c r="T810" s="7">
        <f>-R810</f>
      </c>
      <c r="U810" s="7">
        <f>Q810</f>
      </c>
      <c r="V810" s="7">
        <f>($C$14+($C$15-$C$14)/($D$15-$D$14)*(I810-$D$14))/2</f>
      </c>
      <c r="W810" s="7">
        <f>($B$22*I810^4+$C$22*I810^3+$D$22*I810^2+$E$22*I810+$F$22)/2</f>
      </c>
      <c r="X810" s="7">
        <f>($W810)*(T810)</f>
      </c>
      <c r="Y810" s="7">
        <f>($W810)*(U810)</f>
      </c>
      <c r="Z810" s="7">
        <f>SQRT(X810^2+Y810^2)</f>
      </c>
      <c r="AA810" s="7">
        <f>$K810+$X810</f>
      </c>
      <c r="AB810" s="7">
        <f>$L810+$Y810</f>
      </c>
      <c r="AC810" s="7">
        <f>$K810-$X810</f>
      </c>
      <c r="AD810" s="7">
        <f>$L810-$Y810</f>
      </c>
      <c r="AE810" s="7">
        <f>AA810/39.3701</f>
      </c>
      <c r="AF810" s="7">
        <f>AB810/39.3701</f>
      </c>
      <c r="AG810" s="7">
        <f>AC810/39.3701</f>
      </c>
      <c r="AH810" s="7">
        <f>AD810/39.3701</f>
      </c>
      <c r="AI810" s="1"/>
      <c r="AJ810" s="1"/>
      <c r="AK810" s="1"/>
      <c r="AL810" s="1"/>
      <c r="AM810" s="2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</row>
    <row x14ac:dyDescent="0.25" r="811" customHeight="1" ht="18.75">
      <c r="A811" s="1"/>
      <c r="B811" s="2"/>
      <c r="C811" s="2"/>
      <c r="D811" s="2"/>
      <c r="E811" s="2"/>
      <c r="F811" s="2"/>
      <c r="G811" s="1"/>
      <c r="H811" s="1"/>
      <c r="I811" s="7">
        <v>0.808</v>
      </c>
      <c r="J811" s="7">
        <f>IF((I811-ROUNDDOWN(I811,0))=0, 0, (I811-ROUNDDOWN(I811,0)))</f>
      </c>
      <c r="K811" s="7">
        <f>INDIRECT("C$"&amp;2+MIN(2,ROUNDDOWN(I811,0))*3)*(-$J811^3+3*$J811^2-3*$J811+1)+INDIRECT("C$"&amp;3+MIN(2,ROUNDDOWN(I811,0))*3)*(3*$J811^3-6*$J811^2+3*$J811)+INDIRECT("C$"&amp;4+MIN(2,ROUNDDOWN(I811,0))*3)*(-3*$J811^3+3*$J811^2)+INDIRECT("C$"&amp;5+MIN(2,ROUNDDOWN(I811,0))*3)*$J811^3</f>
      </c>
      <c r="L811" s="7">
        <f>INDIRECT("D$"&amp;2+MIN(2,ROUNDDOWN(I811,0))*3)*(-$J811^3+3*$J811^2-3*$J811+1)+INDIRECT("D$"&amp;3+MIN(2,ROUNDDOWN(I811,0))*3)*(3*$J811^3-6*$J811^2+3*$J811)+INDIRECT("D$"&amp;4+MIN(2,ROUNDDOWN(I811,0))*3)*(-3*$J811^3+3*$J811^2)+INDIRECT("D$"&amp;5+MIN(2,ROUNDDOWN(I811,0))*3)*$J811^3</f>
      </c>
      <c r="M811" s="7">
        <f>SQRT(K811^2+L811^2)</f>
      </c>
      <c r="N811" s="7">
        <f>(K812-K810)</f>
      </c>
      <c r="O811" s="7">
        <f>+(L812-L810)</f>
      </c>
      <c r="P811" s="7">
        <f>SQRT(O811^2+N811^2)</f>
      </c>
      <c r="Q811" s="7">
        <f>N811/$P811</f>
      </c>
      <c r="R811" s="7">
        <f>O811/$P811</f>
      </c>
      <c r="S811" s="8">
        <f>Q811^2+R811^2</f>
      </c>
      <c r="T811" s="7">
        <f>-R811</f>
      </c>
      <c r="U811" s="7">
        <f>Q811</f>
      </c>
      <c r="V811" s="7">
        <f>($C$14+($C$15-$C$14)/($D$15-$D$14)*(I811-$D$14))/2</f>
      </c>
      <c r="W811" s="7">
        <f>($B$22*I811^4+$C$22*I811^3+$D$22*I811^2+$E$22*I811+$F$22)/2</f>
      </c>
      <c r="X811" s="7">
        <f>($W811)*(T811)</f>
      </c>
      <c r="Y811" s="7">
        <f>($W811)*(U811)</f>
      </c>
      <c r="Z811" s="7">
        <f>SQRT(X811^2+Y811^2)</f>
      </c>
      <c r="AA811" s="7">
        <f>$K811+$X811</f>
      </c>
      <c r="AB811" s="7">
        <f>$L811+$Y811</f>
      </c>
      <c r="AC811" s="7">
        <f>$K811-$X811</f>
      </c>
      <c r="AD811" s="7">
        <f>$L811-$Y811</f>
      </c>
      <c r="AE811" s="7">
        <f>AA811/39.3701</f>
      </c>
      <c r="AF811" s="7">
        <f>AB811/39.3701</f>
      </c>
      <c r="AG811" s="7">
        <f>AC811/39.3701</f>
      </c>
      <c r="AH811" s="7">
        <f>AD811/39.3701</f>
      </c>
      <c r="AI811" s="1"/>
      <c r="AJ811" s="1"/>
      <c r="AK811" s="1"/>
      <c r="AL811" s="1"/>
      <c r="AM811" s="2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</row>
    <row x14ac:dyDescent="0.25" r="812" customHeight="1" ht="18.75">
      <c r="A812" s="1"/>
      <c r="B812" s="2"/>
      <c r="C812" s="2"/>
      <c r="D812" s="2"/>
      <c r="E812" s="2"/>
      <c r="F812" s="2"/>
      <c r="G812" s="1"/>
      <c r="H812" s="1"/>
      <c r="I812" s="7">
        <v>0.809</v>
      </c>
      <c r="J812" s="7">
        <f>IF((I812-ROUNDDOWN(I812,0))=0, 0, (I812-ROUNDDOWN(I812,0)))</f>
      </c>
      <c r="K812" s="7">
        <f>INDIRECT("C$"&amp;2+MIN(2,ROUNDDOWN(I812,0))*3)*(-$J812^3+3*$J812^2-3*$J812+1)+INDIRECT("C$"&amp;3+MIN(2,ROUNDDOWN(I812,0))*3)*(3*$J812^3-6*$J812^2+3*$J812)+INDIRECT("C$"&amp;4+MIN(2,ROUNDDOWN(I812,0))*3)*(-3*$J812^3+3*$J812^2)+INDIRECT("C$"&amp;5+MIN(2,ROUNDDOWN(I812,0))*3)*$J812^3</f>
      </c>
      <c r="L812" s="7">
        <f>INDIRECT("D$"&amp;2+MIN(2,ROUNDDOWN(I812,0))*3)*(-$J812^3+3*$J812^2-3*$J812+1)+INDIRECT("D$"&amp;3+MIN(2,ROUNDDOWN(I812,0))*3)*(3*$J812^3-6*$J812^2+3*$J812)+INDIRECT("D$"&amp;4+MIN(2,ROUNDDOWN(I812,0))*3)*(-3*$J812^3+3*$J812^2)+INDIRECT("D$"&amp;5+MIN(2,ROUNDDOWN(I812,0))*3)*$J812^3</f>
      </c>
      <c r="M812" s="7">
        <f>SQRT(K812^2+L812^2)</f>
      </c>
      <c r="N812" s="7">
        <f>(K813-K811)</f>
      </c>
      <c r="O812" s="7">
        <f>+(L813-L811)</f>
      </c>
      <c r="P812" s="7">
        <f>SQRT(O812^2+N812^2)</f>
      </c>
      <c r="Q812" s="7">
        <f>N812/$P812</f>
      </c>
      <c r="R812" s="7">
        <f>O812/$P812</f>
      </c>
      <c r="S812" s="7">
        <f>Q812^2+R812^2</f>
      </c>
      <c r="T812" s="7">
        <f>-R812</f>
      </c>
      <c r="U812" s="7">
        <f>Q812</f>
      </c>
      <c r="V812" s="7">
        <f>($C$14+($C$15-$C$14)/($D$15-$D$14)*(I812-$D$14))/2</f>
      </c>
      <c r="W812" s="7">
        <f>($B$22*I812^4+$C$22*I812^3+$D$22*I812^2+$E$22*I812+$F$22)/2</f>
      </c>
      <c r="X812" s="7">
        <f>($W812)*(T812)</f>
      </c>
      <c r="Y812" s="7">
        <f>($W812)*(U812)</f>
      </c>
      <c r="Z812" s="7">
        <f>SQRT(X812^2+Y812^2)</f>
      </c>
      <c r="AA812" s="7">
        <f>$K812+$X812</f>
      </c>
      <c r="AB812" s="7">
        <f>$L812+$Y812</f>
      </c>
      <c r="AC812" s="7">
        <f>$K812-$X812</f>
      </c>
      <c r="AD812" s="7">
        <f>$L812-$Y812</f>
      </c>
      <c r="AE812" s="7">
        <f>AA812/39.3701</f>
      </c>
      <c r="AF812" s="7">
        <f>AB812/39.3701</f>
      </c>
      <c r="AG812" s="7">
        <f>AC812/39.3701</f>
      </c>
      <c r="AH812" s="7">
        <f>AD812/39.3701</f>
      </c>
      <c r="AI812" s="1"/>
      <c r="AJ812" s="1"/>
      <c r="AK812" s="1"/>
      <c r="AL812" s="1"/>
      <c r="AM812" s="2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</row>
    <row x14ac:dyDescent="0.25" r="813" customHeight="1" ht="18.75">
      <c r="A813" s="1"/>
      <c r="B813" s="2"/>
      <c r="C813" s="2"/>
      <c r="D813" s="2"/>
      <c r="E813" s="2"/>
      <c r="F813" s="2"/>
      <c r="G813" s="1"/>
      <c r="H813" s="1"/>
      <c r="I813" s="7">
        <v>0.81</v>
      </c>
      <c r="J813" s="7">
        <f>IF((I813-ROUNDDOWN(I813,0))=0, 0, (I813-ROUNDDOWN(I813,0)))</f>
      </c>
      <c r="K813" s="7">
        <f>INDIRECT("C$"&amp;2+MIN(2,ROUNDDOWN(I813,0))*3)*(-$J813^3+3*$J813^2-3*$J813+1)+INDIRECT("C$"&amp;3+MIN(2,ROUNDDOWN(I813,0))*3)*(3*$J813^3-6*$J813^2+3*$J813)+INDIRECT("C$"&amp;4+MIN(2,ROUNDDOWN(I813,0))*3)*(-3*$J813^3+3*$J813^2)+INDIRECT("C$"&amp;5+MIN(2,ROUNDDOWN(I813,0))*3)*$J813^3</f>
      </c>
      <c r="L813" s="7">
        <f>INDIRECT("D$"&amp;2+MIN(2,ROUNDDOWN(I813,0))*3)*(-$J813^3+3*$J813^2-3*$J813+1)+INDIRECT("D$"&amp;3+MIN(2,ROUNDDOWN(I813,0))*3)*(3*$J813^3-6*$J813^2+3*$J813)+INDIRECT("D$"&amp;4+MIN(2,ROUNDDOWN(I813,0))*3)*(-3*$J813^3+3*$J813^2)+INDIRECT("D$"&amp;5+MIN(2,ROUNDDOWN(I813,0))*3)*$J813^3</f>
      </c>
      <c r="M813" s="7">
        <f>SQRT(K813^2+L813^2)</f>
      </c>
      <c r="N813" s="7">
        <f>(K814-K812)</f>
      </c>
      <c r="O813" s="7">
        <f>+(L814-L812)</f>
      </c>
      <c r="P813" s="7">
        <f>SQRT(O813^2+N813^2)</f>
      </c>
      <c r="Q813" s="7">
        <f>N813/$P813</f>
      </c>
      <c r="R813" s="7">
        <f>O813/$P813</f>
      </c>
      <c r="S813" s="8">
        <f>Q813^2+R813^2</f>
      </c>
      <c r="T813" s="7">
        <f>-R813</f>
      </c>
      <c r="U813" s="7">
        <f>Q813</f>
      </c>
      <c r="V813" s="7">
        <f>($C$14+($C$15-$C$14)/($D$15-$D$14)*(I813-$D$14))/2</f>
      </c>
      <c r="W813" s="7">
        <f>($B$22*I813^4+$C$22*I813^3+$D$22*I813^2+$E$22*I813+$F$22)/2</f>
      </c>
      <c r="X813" s="7">
        <f>($W813)*(T813)</f>
      </c>
      <c r="Y813" s="7">
        <f>($W813)*(U813)</f>
      </c>
      <c r="Z813" s="7">
        <f>SQRT(X813^2+Y813^2)</f>
      </c>
      <c r="AA813" s="7">
        <f>$K813+$X813</f>
      </c>
      <c r="AB813" s="7">
        <f>$L813+$Y813</f>
      </c>
      <c r="AC813" s="7">
        <f>$K813-$X813</f>
      </c>
      <c r="AD813" s="7">
        <f>$L813-$Y813</f>
      </c>
      <c r="AE813" s="7">
        <f>AA813/39.3701</f>
      </c>
      <c r="AF813" s="7">
        <f>AB813/39.3701</f>
      </c>
      <c r="AG813" s="7">
        <f>AC813/39.3701</f>
      </c>
      <c r="AH813" s="7">
        <f>AD813/39.3701</f>
      </c>
      <c r="AI813" s="1"/>
      <c r="AJ813" s="1"/>
      <c r="AK813" s="1"/>
      <c r="AL813" s="1"/>
      <c r="AM813" s="2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</row>
    <row x14ac:dyDescent="0.25" r="814" customHeight="1" ht="18.75">
      <c r="A814" s="1"/>
      <c r="B814" s="2"/>
      <c r="C814" s="2"/>
      <c r="D814" s="2"/>
      <c r="E814" s="2"/>
      <c r="F814" s="2"/>
      <c r="G814" s="1"/>
      <c r="H814" s="1"/>
      <c r="I814" s="7">
        <v>0.811</v>
      </c>
      <c r="J814" s="7">
        <f>IF((I814-ROUNDDOWN(I814,0))=0, 0, (I814-ROUNDDOWN(I814,0)))</f>
      </c>
      <c r="K814" s="7">
        <f>INDIRECT("C$"&amp;2+MIN(2,ROUNDDOWN(I814,0))*3)*(-$J814^3+3*$J814^2-3*$J814+1)+INDIRECT("C$"&amp;3+MIN(2,ROUNDDOWN(I814,0))*3)*(3*$J814^3-6*$J814^2+3*$J814)+INDIRECT("C$"&amp;4+MIN(2,ROUNDDOWN(I814,0))*3)*(-3*$J814^3+3*$J814^2)+INDIRECT("C$"&amp;5+MIN(2,ROUNDDOWN(I814,0))*3)*$J814^3</f>
      </c>
      <c r="L814" s="7">
        <f>INDIRECT("D$"&amp;2+MIN(2,ROUNDDOWN(I814,0))*3)*(-$J814^3+3*$J814^2-3*$J814+1)+INDIRECT("D$"&amp;3+MIN(2,ROUNDDOWN(I814,0))*3)*(3*$J814^3-6*$J814^2+3*$J814)+INDIRECT("D$"&amp;4+MIN(2,ROUNDDOWN(I814,0))*3)*(-3*$J814^3+3*$J814^2)+INDIRECT("D$"&amp;5+MIN(2,ROUNDDOWN(I814,0))*3)*$J814^3</f>
      </c>
      <c r="M814" s="7">
        <f>SQRT(K814^2+L814^2)</f>
      </c>
      <c r="N814" s="7">
        <f>(K815-K813)</f>
      </c>
      <c r="O814" s="7">
        <f>+(L815-L813)</f>
      </c>
      <c r="P814" s="7">
        <f>SQRT(O814^2+N814^2)</f>
      </c>
      <c r="Q814" s="7">
        <f>N814/$P814</f>
      </c>
      <c r="R814" s="7">
        <f>O814/$P814</f>
      </c>
      <c r="S814" s="8">
        <f>Q814^2+R814^2</f>
      </c>
      <c r="T814" s="7">
        <f>-R814</f>
      </c>
      <c r="U814" s="7">
        <f>Q814</f>
      </c>
      <c r="V814" s="7">
        <f>($C$14+($C$15-$C$14)/($D$15-$D$14)*(I814-$D$14))/2</f>
      </c>
      <c r="W814" s="7">
        <f>($B$22*I814^4+$C$22*I814^3+$D$22*I814^2+$E$22*I814+$F$22)/2</f>
      </c>
      <c r="X814" s="7">
        <f>($W814)*(T814)</f>
      </c>
      <c r="Y814" s="7">
        <f>($W814)*(U814)</f>
      </c>
      <c r="Z814" s="7">
        <f>SQRT(X814^2+Y814^2)</f>
      </c>
      <c r="AA814" s="7">
        <f>$K814+$X814</f>
      </c>
      <c r="AB814" s="7">
        <f>$L814+$Y814</f>
      </c>
      <c r="AC814" s="7">
        <f>$K814-$X814</f>
      </c>
      <c r="AD814" s="7">
        <f>$L814-$Y814</f>
      </c>
      <c r="AE814" s="7">
        <f>AA814/39.3701</f>
      </c>
      <c r="AF814" s="7">
        <f>AB814/39.3701</f>
      </c>
      <c r="AG814" s="7">
        <f>AC814/39.3701</f>
      </c>
      <c r="AH814" s="7">
        <f>AD814/39.3701</f>
      </c>
      <c r="AI814" s="1"/>
      <c r="AJ814" s="1"/>
      <c r="AK814" s="1"/>
      <c r="AL814" s="1"/>
      <c r="AM814" s="2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</row>
    <row x14ac:dyDescent="0.25" r="815" customHeight="1" ht="18.75">
      <c r="A815" s="1"/>
      <c r="B815" s="2"/>
      <c r="C815" s="2"/>
      <c r="D815" s="2"/>
      <c r="E815" s="2"/>
      <c r="F815" s="2"/>
      <c r="G815" s="1"/>
      <c r="H815" s="1"/>
      <c r="I815" s="7">
        <v>0.812</v>
      </c>
      <c r="J815" s="7">
        <f>IF((I815-ROUNDDOWN(I815,0))=0, 0, (I815-ROUNDDOWN(I815,0)))</f>
      </c>
      <c r="K815" s="7">
        <f>INDIRECT("C$"&amp;2+MIN(2,ROUNDDOWN(I815,0))*3)*(-$J815^3+3*$J815^2-3*$J815+1)+INDIRECT("C$"&amp;3+MIN(2,ROUNDDOWN(I815,0))*3)*(3*$J815^3-6*$J815^2+3*$J815)+INDIRECT("C$"&amp;4+MIN(2,ROUNDDOWN(I815,0))*3)*(-3*$J815^3+3*$J815^2)+INDIRECT("C$"&amp;5+MIN(2,ROUNDDOWN(I815,0))*3)*$J815^3</f>
      </c>
      <c r="L815" s="7">
        <f>INDIRECT("D$"&amp;2+MIN(2,ROUNDDOWN(I815,0))*3)*(-$J815^3+3*$J815^2-3*$J815+1)+INDIRECT("D$"&amp;3+MIN(2,ROUNDDOWN(I815,0))*3)*(3*$J815^3-6*$J815^2+3*$J815)+INDIRECT("D$"&amp;4+MIN(2,ROUNDDOWN(I815,0))*3)*(-3*$J815^3+3*$J815^2)+INDIRECT("D$"&amp;5+MIN(2,ROUNDDOWN(I815,0))*3)*$J815^3</f>
      </c>
      <c r="M815" s="7">
        <f>SQRT(K815^2+L815^2)</f>
      </c>
      <c r="N815" s="7">
        <f>(K816-K814)</f>
      </c>
      <c r="O815" s="7">
        <f>+(L816-L814)</f>
      </c>
      <c r="P815" s="7">
        <f>SQRT(O815^2+N815^2)</f>
      </c>
      <c r="Q815" s="7">
        <f>N815/$P815</f>
      </c>
      <c r="R815" s="7">
        <f>O815/$P815</f>
      </c>
      <c r="S815" s="8">
        <f>Q815^2+R815^2</f>
      </c>
      <c r="T815" s="7">
        <f>-R815</f>
      </c>
      <c r="U815" s="7">
        <f>Q815</f>
      </c>
      <c r="V815" s="7">
        <f>($C$14+($C$15-$C$14)/($D$15-$D$14)*(I815-$D$14))/2</f>
      </c>
      <c r="W815" s="7">
        <f>($B$22*I815^4+$C$22*I815^3+$D$22*I815^2+$E$22*I815+$F$22)/2</f>
      </c>
      <c r="X815" s="7">
        <f>($W815)*(T815)</f>
      </c>
      <c r="Y815" s="7">
        <f>($W815)*(U815)</f>
      </c>
      <c r="Z815" s="7">
        <f>SQRT(X815^2+Y815^2)</f>
      </c>
      <c r="AA815" s="7">
        <f>$K815+$X815</f>
      </c>
      <c r="AB815" s="7">
        <f>$L815+$Y815</f>
      </c>
      <c r="AC815" s="7">
        <f>$K815-$X815</f>
      </c>
      <c r="AD815" s="7">
        <f>$L815-$Y815</f>
      </c>
      <c r="AE815" s="7">
        <f>AA815/39.3701</f>
      </c>
      <c r="AF815" s="7">
        <f>AB815/39.3701</f>
      </c>
      <c r="AG815" s="7">
        <f>AC815/39.3701</f>
      </c>
      <c r="AH815" s="7">
        <f>AD815/39.3701</f>
      </c>
      <c r="AI815" s="1"/>
      <c r="AJ815" s="1"/>
      <c r="AK815" s="1"/>
      <c r="AL815" s="1"/>
      <c r="AM815" s="2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</row>
    <row x14ac:dyDescent="0.25" r="816" customHeight="1" ht="18.75">
      <c r="A816" s="1"/>
      <c r="B816" s="2"/>
      <c r="C816" s="2"/>
      <c r="D816" s="2"/>
      <c r="E816" s="2"/>
      <c r="F816" s="2"/>
      <c r="G816" s="1"/>
      <c r="H816" s="1"/>
      <c r="I816" s="7">
        <v>0.813</v>
      </c>
      <c r="J816" s="7">
        <f>IF((I816-ROUNDDOWN(I816,0))=0, 0, (I816-ROUNDDOWN(I816,0)))</f>
      </c>
      <c r="K816" s="7">
        <f>INDIRECT("C$"&amp;2+MIN(2,ROUNDDOWN(I816,0))*3)*(-$J816^3+3*$J816^2-3*$J816+1)+INDIRECT("C$"&amp;3+MIN(2,ROUNDDOWN(I816,0))*3)*(3*$J816^3-6*$J816^2+3*$J816)+INDIRECT("C$"&amp;4+MIN(2,ROUNDDOWN(I816,0))*3)*(-3*$J816^3+3*$J816^2)+INDIRECT("C$"&amp;5+MIN(2,ROUNDDOWN(I816,0))*3)*$J816^3</f>
      </c>
      <c r="L816" s="7">
        <f>INDIRECT("D$"&amp;2+MIN(2,ROUNDDOWN(I816,0))*3)*(-$J816^3+3*$J816^2-3*$J816+1)+INDIRECT("D$"&amp;3+MIN(2,ROUNDDOWN(I816,0))*3)*(3*$J816^3-6*$J816^2+3*$J816)+INDIRECT("D$"&amp;4+MIN(2,ROUNDDOWN(I816,0))*3)*(-3*$J816^3+3*$J816^2)+INDIRECT("D$"&amp;5+MIN(2,ROUNDDOWN(I816,0))*3)*$J816^3</f>
      </c>
      <c r="M816" s="7">
        <f>SQRT(K816^2+L816^2)</f>
      </c>
      <c r="N816" s="7">
        <f>(K817-K815)</f>
      </c>
      <c r="O816" s="7">
        <f>+(L817-L815)</f>
      </c>
      <c r="P816" s="7">
        <f>SQRT(O816^2+N816^2)</f>
      </c>
      <c r="Q816" s="7">
        <f>N816/$P816</f>
      </c>
      <c r="R816" s="7">
        <f>O816/$P816</f>
      </c>
      <c r="S816" s="7">
        <f>Q816^2+R816^2</f>
      </c>
      <c r="T816" s="7">
        <f>-R816</f>
      </c>
      <c r="U816" s="7">
        <f>Q816</f>
      </c>
      <c r="V816" s="7">
        <f>($C$14+($C$15-$C$14)/($D$15-$D$14)*(I816-$D$14))/2</f>
      </c>
      <c r="W816" s="7">
        <f>($B$22*I816^4+$C$22*I816^3+$D$22*I816^2+$E$22*I816+$F$22)/2</f>
      </c>
      <c r="X816" s="7">
        <f>($W816)*(T816)</f>
      </c>
      <c r="Y816" s="7">
        <f>($W816)*(U816)</f>
      </c>
      <c r="Z816" s="7">
        <f>SQRT(X816^2+Y816^2)</f>
      </c>
      <c r="AA816" s="7">
        <f>$K816+$X816</f>
      </c>
      <c r="AB816" s="7">
        <f>$L816+$Y816</f>
      </c>
      <c r="AC816" s="7">
        <f>$K816-$X816</f>
      </c>
      <c r="AD816" s="7">
        <f>$L816-$Y816</f>
      </c>
      <c r="AE816" s="7">
        <f>AA816/39.3701</f>
      </c>
      <c r="AF816" s="7">
        <f>AB816/39.3701</f>
      </c>
      <c r="AG816" s="7">
        <f>AC816/39.3701</f>
      </c>
      <c r="AH816" s="7">
        <f>AD816/39.3701</f>
      </c>
      <c r="AI816" s="1"/>
      <c r="AJ816" s="1"/>
      <c r="AK816" s="1"/>
      <c r="AL816" s="1"/>
      <c r="AM816" s="2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</row>
    <row x14ac:dyDescent="0.25" r="817" customHeight="1" ht="18.75">
      <c r="A817" s="1"/>
      <c r="B817" s="2"/>
      <c r="C817" s="2"/>
      <c r="D817" s="2"/>
      <c r="E817" s="2"/>
      <c r="F817" s="2"/>
      <c r="G817" s="1"/>
      <c r="H817" s="1"/>
      <c r="I817" s="7">
        <v>0.814</v>
      </c>
      <c r="J817" s="7">
        <f>IF((I817-ROUNDDOWN(I817,0))=0, 0, (I817-ROUNDDOWN(I817,0)))</f>
      </c>
      <c r="K817" s="7">
        <f>INDIRECT("C$"&amp;2+MIN(2,ROUNDDOWN(I817,0))*3)*(-$J817^3+3*$J817^2-3*$J817+1)+INDIRECT("C$"&amp;3+MIN(2,ROUNDDOWN(I817,0))*3)*(3*$J817^3-6*$J817^2+3*$J817)+INDIRECT("C$"&amp;4+MIN(2,ROUNDDOWN(I817,0))*3)*(-3*$J817^3+3*$J817^2)+INDIRECT("C$"&amp;5+MIN(2,ROUNDDOWN(I817,0))*3)*$J817^3</f>
      </c>
      <c r="L817" s="7">
        <f>INDIRECT("D$"&amp;2+MIN(2,ROUNDDOWN(I817,0))*3)*(-$J817^3+3*$J817^2-3*$J817+1)+INDIRECT("D$"&amp;3+MIN(2,ROUNDDOWN(I817,0))*3)*(3*$J817^3-6*$J817^2+3*$J817)+INDIRECT("D$"&amp;4+MIN(2,ROUNDDOWN(I817,0))*3)*(-3*$J817^3+3*$J817^2)+INDIRECT("D$"&amp;5+MIN(2,ROUNDDOWN(I817,0))*3)*$J817^3</f>
      </c>
      <c r="M817" s="7">
        <f>SQRT(K817^2+L817^2)</f>
      </c>
      <c r="N817" s="7">
        <f>(K818-K816)</f>
      </c>
      <c r="O817" s="7">
        <f>+(L818-L816)</f>
      </c>
      <c r="P817" s="7">
        <f>SQRT(O817^2+N817^2)</f>
      </c>
      <c r="Q817" s="7">
        <f>N817/$P817</f>
      </c>
      <c r="R817" s="7">
        <f>O817/$P817</f>
      </c>
      <c r="S817" s="8">
        <f>Q817^2+R817^2</f>
      </c>
      <c r="T817" s="7">
        <f>-R817</f>
      </c>
      <c r="U817" s="7">
        <f>Q817</f>
      </c>
      <c r="V817" s="7">
        <f>($C$14+($C$15-$C$14)/($D$15-$D$14)*(I817-$D$14))/2</f>
      </c>
      <c r="W817" s="7">
        <f>($B$22*I817^4+$C$22*I817^3+$D$22*I817^2+$E$22*I817+$F$22)/2</f>
      </c>
      <c r="X817" s="7">
        <f>($W817)*(T817)</f>
      </c>
      <c r="Y817" s="7">
        <f>($W817)*(U817)</f>
      </c>
      <c r="Z817" s="7">
        <f>SQRT(X817^2+Y817^2)</f>
      </c>
      <c r="AA817" s="7">
        <f>$K817+$X817</f>
      </c>
      <c r="AB817" s="7">
        <f>$L817+$Y817</f>
      </c>
      <c r="AC817" s="7">
        <f>$K817-$X817</f>
      </c>
      <c r="AD817" s="7">
        <f>$L817-$Y817</f>
      </c>
      <c r="AE817" s="7">
        <f>AA817/39.3701</f>
      </c>
      <c r="AF817" s="7">
        <f>AB817/39.3701</f>
      </c>
      <c r="AG817" s="7">
        <f>AC817/39.3701</f>
      </c>
      <c r="AH817" s="7">
        <f>AD817/39.3701</f>
      </c>
      <c r="AI817" s="1"/>
      <c r="AJ817" s="1"/>
      <c r="AK817" s="1"/>
      <c r="AL817" s="1"/>
      <c r="AM817" s="2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</row>
    <row x14ac:dyDescent="0.25" r="818" customHeight="1" ht="18.75">
      <c r="A818" s="1"/>
      <c r="B818" s="2"/>
      <c r="C818" s="2"/>
      <c r="D818" s="2"/>
      <c r="E818" s="2"/>
      <c r="F818" s="2"/>
      <c r="G818" s="1"/>
      <c r="H818" s="1"/>
      <c r="I818" s="7">
        <v>0.815</v>
      </c>
      <c r="J818" s="7">
        <f>IF((I818-ROUNDDOWN(I818,0))=0, 0, (I818-ROUNDDOWN(I818,0)))</f>
      </c>
      <c r="K818" s="7">
        <f>INDIRECT("C$"&amp;2+MIN(2,ROUNDDOWN(I818,0))*3)*(-$J818^3+3*$J818^2-3*$J818+1)+INDIRECT("C$"&amp;3+MIN(2,ROUNDDOWN(I818,0))*3)*(3*$J818^3-6*$J818^2+3*$J818)+INDIRECT("C$"&amp;4+MIN(2,ROUNDDOWN(I818,0))*3)*(-3*$J818^3+3*$J818^2)+INDIRECT("C$"&amp;5+MIN(2,ROUNDDOWN(I818,0))*3)*$J818^3</f>
      </c>
      <c r="L818" s="7">
        <f>INDIRECT("D$"&amp;2+MIN(2,ROUNDDOWN(I818,0))*3)*(-$J818^3+3*$J818^2-3*$J818+1)+INDIRECT("D$"&amp;3+MIN(2,ROUNDDOWN(I818,0))*3)*(3*$J818^3-6*$J818^2+3*$J818)+INDIRECT("D$"&amp;4+MIN(2,ROUNDDOWN(I818,0))*3)*(-3*$J818^3+3*$J818^2)+INDIRECT("D$"&amp;5+MIN(2,ROUNDDOWN(I818,0))*3)*$J818^3</f>
      </c>
      <c r="M818" s="7">
        <f>SQRT(K818^2+L818^2)</f>
      </c>
      <c r="N818" s="7">
        <f>(K819-K817)</f>
      </c>
      <c r="O818" s="7">
        <f>+(L819-L817)</f>
      </c>
      <c r="P818" s="7">
        <f>SQRT(O818^2+N818^2)</f>
      </c>
      <c r="Q818" s="7">
        <f>N818/$P818</f>
      </c>
      <c r="R818" s="7">
        <f>O818/$P818</f>
      </c>
      <c r="S818" s="8">
        <f>Q818^2+R818^2</f>
      </c>
      <c r="T818" s="7">
        <f>-R818</f>
      </c>
      <c r="U818" s="7">
        <f>Q818</f>
      </c>
      <c r="V818" s="7">
        <f>($C$14+($C$15-$C$14)/($D$15-$D$14)*(I818-$D$14))/2</f>
      </c>
      <c r="W818" s="7">
        <f>($B$22*I818^4+$C$22*I818^3+$D$22*I818^2+$E$22*I818+$F$22)/2</f>
      </c>
      <c r="X818" s="7">
        <f>($W818)*(T818)</f>
      </c>
      <c r="Y818" s="7">
        <f>($W818)*(U818)</f>
      </c>
      <c r="Z818" s="7">
        <f>SQRT(X818^2+Y818^2)</f>
      </c>
      <c r="AA818" s="7">
        <f>$K818+$X818</f>
      </c>
      <c r="AB818" s="7">
        <f>$L818+$Y818</f>
      </c>
      <c r="AC818" s="7">
        <f>$K818-$X818</f>
      </c>
      <c r="AD818" s="7">
        <f>$L818-$Y818</f>
      </c>
      <c r="AE818" s="7">
        <f>AA818/39.3701</f>
      </c>
      <c r="AF818" s="7">
        <f>AB818/39.3701</f>
      </c>
      <c r="AG818" s="7">
        <f>AC818/39.3701</f>
      </c>
      <c r="AH818" s="7">
        <f>AD818/39.3701</f>
      </c>
      <c r="AI818" s="1"/>
      <c r="AJ818" s="1"/>
      <c r="AK818" s="1"/>
      <c r="AL818" s="1"/>
      <c r="AM818" s="2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</row>
    <row x14ac:dyDescent="0.25" r="819" customHeight="1" ht="18.75">
      <c r="A819" s="1"/>
      <c r="B819" s="2"/>
      <c r="C819" s="2"/>
      <c r="D819" s="2"/>
      <c r="E819" s="2"/>
      <c r="F819" s="2"/>
      <c r="G819" s="1"/>
      <c r="H819" s="1"/>
      <c r="I819" s="7">
        <v>0.816</v>
      </c>
      <c r="J819" s="7">
        <f>IF((I819-ROUNDDOWN(I819,0))=0, 0, (I819-ROUNDDOWN(I819,0)))</f>
      </c>
      <c r="K819" s="7">
        <f>INDIRECT("C$"&amp;2+MIN(2,ROUNDDOWN(I819,0))*3)*(-$J819^3+3*$J819^2-3*$J819+1)+INDIRECT("C$"&amp;3+MIN(2,ROUNDDOWN(I819,0))*3)*(3*$J819^3-6*$J819^2+3*$J819)+INDIRECT("C$"&amp;4+MIN(2,ROUNDDOWN(I819,0))*3)*(-3*$J819^3+3*$J819^2)+INDIRECT("C$"&amp;5+MIN(2,ROUNDDOWN(I819,0))*3)*$J819^3</f>
      </c>
      <c r="L819" s="7">
        <f>INDIRECT("D$"&amp;2+MIN(2,ROUNDDOWN(I819,0))*3)*(-$J819^3+3*$J819^2-3*$J819+1)+INDIRECT("D$"&amp;3+MIN(2,ROUNDDOWN(I819,0))*3)*(3*$J819^3-6*$J819^2+3*$J819)+INDIRECT("D$"&amp;4+MIN(2,ROUNDDOWN(I819,0))*3)*(-3*$J819^3+3*$J819^2)+INDIRECT("D$"&amp;5+MIN(2,ROUNDDOWN(I819,0))*3)*$J819^3</f>
      </c>
      <c r="M819" s="7">
        <f>SQRT(K819^2+L819^2)</f>
      </c>
      <c r="N819" s="7">
        <f>(K820-K818)</f>
      </c>
      <c r="O819" s="7">
        <f>+(L820-L818)</f>
      </c>
      <c r="P819" s="7">
        <f>SQRT(O819^2+N819^2)</f>
      </c>
      <c r="Q819" s="7">
        <f>N819/$P819</f>
      </c>
      <c r="R819" s="7">
        <f>O819/$P819</f>
      </c>
      <c r="S819" s="8">
        <f>Q819^2+R819^2</f>
      </c>
      <c r="T819" s="7">
        <f>-R819</f>
      </c>
      <c r="U819" s="7">
        <f>Q819</f>
      </c>
      <c r="V819" s="7">
        <f>($C$14+($C$15-$C$14)/($D$15-$D$14)*(I819-$D$14))/2</f>
      </c>
      <c r="W819" s="7">
        <f>($B$22*I819^4+$C$22*I819^3+$D$22*I819^2+$E$22*I819+$F$22)/2</f>
      </c>
      <c r="X819" s="7">
        <f>($W819)*(T819)</f>
      </c>
      <c r="Y819" s="7">
        <f>($W819)*(U819)</f>
      </c>
      <c r="Z819" s="7">
        <f>SQRT(X819^2+Y819^2)</f>
      </c>
      <c r="AA819" s="7">
        <f>$K819+$X819</f>
      </c>
      <c r="AB819" s="7">
        <f>$L819+$Y819</f>
      </c>
      <c r="AC819" s="7">
        <f>$K819-$X819</f>
      </c>
      <c r="AD819" s="7">
        <f>$L819-$Y819</f>
      </c>
      <c r="AE819" s="7">
        <f>AA819/39.3701</f>
      </c>
      <c r="AF819" s="7">
        <f>AB819/39.3701</f>
      </c>
      <c r="AG819" s="7">
        <f>AC819/39.3701</f>
      </c>
      <c r="AH819" s="7">
        <f>AD819/39.3701</f>
      </c>
      <c r="AI819" s="1"/>
      <c r="AJ819" s="1"/>
      <c r="AK819" s="1"/>
      <c r="AL819" s="1"/>
      <c r="AM819" s="2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</row>
    <row x14ac:dyDescent="0.25" r="820" customHeight="1" ht="18.75">
      <c r="A820" s="1"/>
      <c r="B820" s="2"/>
      <c r="C820" s="2"/>
      <c r="D820" s="2"/>
      <c r="E820" s="2"/>
      <c r="F820" s="2"/>
      <c r="G820" s="1"/>
      <c r="H820" s="1"/>
      <c r="I820" s="7">
        <v>0.817</v>
      </c>
      <c r="J820" s="7">
        <f>IF((I820-ROUNDDOWN(I820,0))=0, 0, (I820-ROUNDDOWN(I820,0)))</f>
      </c>
      <c r="K820" s="7">
        <f>INDIRECT("C$"&amp;2+MIN(2,ROUNDDOWN(I820,0))*3)*(-$J820^3+3*$J820^2-3*$J820+1)+INDIRECT("C$"&amp;3+MIN(2,ROUNDDOWN(I820,0))*3)*(3*$J820^3-6*$J820^2+3*$J820)+INDIRECT("C$"&amp;4+MIN(2,ROUNDDOWN(I820,0))*3)*(-3*$J820^3+3*$J820^2)+INDIRECT("C$"&amp;5+MIN(2,ROUNDDOWN(I820,0))*3)*$J820^3</f>
      </c>
      <c r="L820" s="7">
        <f>INDIRECT("D$"&amp;2+MIN(2,ROUNDDOWN(I820,0))*3)*(-$J820^3+3*$J820^2-3*$J820+1)+INDIRECT("D$"&amp;3+MIN(2,ROUNDDOWN(I820,0))*3)*(3*$J820^3-6*$J820^2+3*$J820)+INDIRECT("D$"&amp;4+MIN(2,ROUNDDOWN(I820,0))*3)*(-3*$J820^3+3*$J820^2)+INDIRECT("D$"&amp;5+MIN(2,ROUNDDOWN(I820,0))*3)*$J820^3</f>
      </c>
      <c r="M820" s="7">
        <f>SQRT(K820^2+L820^2)</f>
      </c>
      <c r="N820" s="7">
        <f>(K821-K819)</f>
      </c>
      <c r="O820" s="7">
        <f>+(L821-L819)</f>
      </c>
      <c r="P820" s="7">
        <f>SQRT(O820^2+N820^2)</f>
      </c>
      <c r="Q820" s="7">
        <f>N820/$P820</f>
      </c>
      <c r="R820" s="7">
        <f>O820/$P820</f>
      </c>
      <c r="S820" s="8">
        <f>Q820^2+R820^2</f>
      </c>
      <c r="T820" s="7">
        <f>-R820</f>
      </c>
      <c r="U820" s="7">
        <f>Q820</f>
      </c>
      <c r="V820" s="7">
        <f>($C$14+($C$15-$C$14)/($D$15-$D$14)*(I820-$D$14))/2</f>
      </c>
      <c r="W820" s="7">
        <f>($B$22*I820^4+$C$22*I820^3+$D$22*I820^2+$E$22*I820+$F$22)/2</f>
      </c>
      <c r="X820" s="7">
        <f>($W820)*(T820)</f>
      </c>
      <c r="Y820" s="7">
        <f>($W820)*(U820)</f>
      </c>
      <c r="Z820" s="7">
        <f>SQRT(X820^2+Y820^2)</f>
      </c>
      <c r="AA820" s="7">
        <f>$K820+$X820</f>
      </c>
      <c r="AB820" s="7">
        <f>$L820+$Y820</f>
      </c>
      <c r="AC820" s="7">
        <f>$K820-$X820</f>
      </c>
      <c r="AD820" s="7">
        <f>$L820-$Y820</f>
      </c>
      <c r="AE820" s="7">
        <f>AA820/39.3701</f>
      </c>
      <c r="AF820" s="7">
        <f>AB820/39.3701</f>
      </c>
      <c r="AG820" s="7">
        <f>AC820/39.3701</f>
      </c>
      <c r="AH820" s="7">
        <f>AD820/39.3701</f>
      </c>
      <c r="AI820" s="1"/>
      <c r="AJ820" s="1"/>
      <c r="AK820" s="1"/>
      <c r="AL820" s="1"/>
      <c r="AM820" s="2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</row>
    <row x14ac:dyDescent="0.25" r="821" customHeight="1" ht="18.75">
      <c r="A821" s="1"/>
      <c r="B821" s="2"/>
      <c r="C821" s="2"/>
      <c r="D821" s="2"/>
      <c r="E821" s="2"/>
      <c r="F821" s="2"/>
      <c r="G821" s="1"/>
      <c r="H821" s="1"/>
      <c r="I821" s="7">
        <v>0.818</v>
      </c>
      <c r="J821" s="7">
        <f>IF((I821-ROUNDDOWN(I821,0))=0, 0, (I821-ROUNDDOWN(I821,0)))</f>
      </c>
      <c r="K821" s="7">
        <f>INDIRECT("C$"&amp;2+MIN(2,ROUNDDOWN(I821,0))*3)*(-$J821^3+3*$J821^2-3*$J821+1)+INDIRECT("C$"&amp;3+MIN(2,ROUNDDOWN(I821,0))*3)*(3*$J821^3-6*$J821^2+3*$J821)+INDIRECT("C$"&amp;4+MIN(2,ROUNDDOWN(I821,0))*3)*(-3*$J821^3+3*$J821^2)+INDIRECT("C$"&amp;5+MIN(2,ROUNDDOWN(I821,0))*3)*$J821^3</f>
      </c>
      <c r="L821" s="7">
        <f>INDIRECT("D$"&amp;2+MIN(2,ROUNDDOWN(I821,0))*3)*(-$J821^3+3*$J821^2-3*$J821+1)+INDIRECT("D$"&amp;3+MIN(2,ROUNDDOWN(I821,0))*3)*(3*$J821^3-6*$J821^2+3*$J821)+INDIRECT("D$"&amp;4+MIN(2,ROUNDDOWN(I821,0))*3)*(-3*$J821^3+3*$J821^2)+INDIRECT("D$"&amp;5+MIN(2,ROUNDDOWN(I821,0))*3)*$J821^3</f>
      </c>
      <c r="M821" s="7">
        <f>SQRT(K821^2+L821^2)</f>
      </c>
      <c r="N821" s="7">
        <f>(K822-K820)</f>
      </c>
      <c r="O821" s="7">
        <f>+(L822-L820)</f>
      </c>
      <c r="P821" s="7">
        <f>SQRT(O821^2+N821^2)</f>
      </c>
      <c r="Q821" s="7">
        <f>N821/$P821</f>
      </c>
      <c r="R821" s="7">
        <f>O821/$P821</f>
      </c>
      <c r="S821" s="8">
        <f>Q821^2+R821^2</f>
      </c>
      <c r="T821" s="7">
        <f>-R821</f>
      </c>
      <c r="U821" s="7">
        <f>Q821</f>
      </c>
      <c r="V821" s="7">
        <f>($C$14+($C$15-$C$14)/($D$15-$D$14)*(I821-$D$14))/2</f>
      </c>
      <c r="W821" s="7">
        <f>($B$22*I821^4+$C$22*I821^3+$D$22*I821^2+$E$22*I821+$F$22)/2</f>
      </c>
      <c r="X821" s="7">
        <f>($W821)*(T821)</f>
      </c>
      <c r="Y821" s="7">
        <f>($W821)*(U821)</f>
      </c>
      <c r="Z821" s="7">
        <f>SQRT(X821^2+Y821^2)</f>
      </c>
      <c r="AA821" s="7">
        <f>$K821+$X821</f>
      </c>
      <c r="AB821" s="7">
        <f>$L821+$Y821</f>
      </c>
      <c r="AC821" s="7">
        <f>$K821-$X821</f>
      </c>
      <c r="AD821" s="7">
        <f>$L821-$Y821</f>
      </c>
      <c r="AE821" s="7">
        <f>AA821/39.3701</f>
      </c>
      <c r="AF821" s="7">
        <f>AB821/39.3701</f>
      </c>
      <c r="AG821" s="7">
        <f>AC821/39.3701</f>
      </c>
      <c r="AH821" s="7">
        <f>AD821/39.3701</f>
      </c>
      <c r="AI821" s="1"/>
      <c r="AJ821" s="1"/>
      <c r="AK821" s="1"/>
      <c r="AL821" s="1"/>
      <c r="AM821" s="2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</row>
    <row x14ac:dyDescent="0.25" r="822" customHeight="1" ht="18.75">
      <c r="A822" s="1"/>
      <c r="B822" s="2"/>
      <c r="C822" s="2"/>
      <c r="D822" s="2"/>
      <c r="E822" s="2"/>
      <c r="F822" s="2"/>
      <c r="G822" s="1"/>
      <c r="H822" s="1"/>
      <c r="I822" s="7">
        <v>0.819</v>
      </c>
      <c r="J822" s="7">
        <f>IF((I822-ROUNDDOWN(I822,0))=0, 0, (I822-ROUNDDOWN(I822,0)))</f>
      </c>
      <c r="K822" s="7">
        <f>INDIRECT("C$"&amp;2+MIN(2,ROUNDDOWN(I822,0))*3)*(-$J822^3+3*$J822^2-3*$J822+1)+INDIRECT("C$"&amp;3+MIN(2,ROUNDDOWN(I822,0))*3)*(3*$J822^3-6*$J822^2+3*$J822)+INDIRECT("C$"&amp;4+MIN(2,ROUNDDOWN(I822,0))*3)*(-3*$J822^3+3*$J822^2)+INDIRECT("C$"&amp;5+MIN(2,ROUNDDOWN(I822,0))*3)*$J822^3</f>
      </c>
      <c r="L822" s="7">
        <f>INDIRECT("D$"&amp;2+MIN(2,ROUNDDOWN(I822,0))*3)*(-$J822^3+3*$J822^2-3*$J822+1)+INDIRECT("D$"&amp;3+MIN(2,ROUNDDOWN(I822,0))*3)*(3*$J822^3-6*$J822^2+3*$J822)+INDIRECT("D$"&amp;4+MIN(2,ROUNDDOWN(I822,0))*3)*(-3*$J822^3+3*$J822^2)+INDIRECT("D$"&amp;5+MIN(2,ROUNDDOWN(I822,0))*3)*$J822^3</f>
      </c>
      <c r="M822" s="7">
        <f>SQRT(K822^2+L822^2)</f>
      </c>
      <c r="N822" s="7">
        <f>(K823-K821)</f>
      </c>
      <c r="O822" s="7">
        <f>+(L823-L821)</f>
      </c>
      <c r="P822" s="7">
        <f>SQRT(O822^2+N822^2)</f>
      </c>
      <c r="Q822" s="7">
        <f>N822/$P822</f>
      </c>
      <c r="R822" s="7">
        <f>O822/$P822</f>
      </c>
      <c r="S822" s="8">
        <f>Q822^2+R822^2</f>
      </c>
      <c r="T822" s="7">
        <f>-R822</f>
      </c>
      <c r="U822" s="7">
        <f>Q822</f>
      </c>
      <c r="V822" s="7">
        <f>($C$14+($C$15-$C$14)/($D$15-$D$14)*(I822-$D$14))/2</f>
      </c>
      <c r="W822" s="7">
        <f>($B$22*I822^4+$C$22*I822^3+$D$22*I822^2+$E$22*I822+$F$22)/2</f>
      </c>
      <c r="X822" s="7">
        <f>($W822)*(T822)</f>
      </c>
      <c r="Y822" s="7">
        <f>($W822)*(U822)</f>
      </c>
      <c r="Z822" s="7">
        <f>SQRT(X822^2+Y822^2)</f>
      </c>
      <c r="AA822" s="7">
        <f>$K822+$X822</f>
      </c>
      <c r="AB822" s="7">
        <f>$L822+$Y822</f>
      </c>
      <c r="AC822" s="7">
        <f>$K822-$X822</f>
      </c>
      <c r="AD822" s="7">
        <f>$L822-$Y822</f>
      </c>
      <c r="AE822" s="7">
        <f>AA822/39.3701</f>
      </c>
      <c r="AF822" s="7">
        <f>AB822/39.3701</f>
      </c>
      <c r="AG822" s="7">
        <f>AC822/39.3701</f>
      </c>
      <c r="AH822" s="7">
        <f>AD822/39.3701</f>
      </c>
      <c r="AI822" s="1"/>
      <c r="AJ822" s="1"/>
      <c r="AK822" s="1"/>
      <c r="AL822" s="1"/>
      <c r="AM822" s="2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</row>
    <row x14ac:dyDescent="0.25" r="823" customHeight="1" ht="18.75">
      <c r="A823" s="1"/>
      <c r="B823" s="2"/>
      <c r="C823" s="2"/>
      <c r="D823" s="2"/>
      <c r="E823" s="2"/>
      <c r="F823" s="2"/>
      <c r="G823" s="1"/>
      <c r="H823" s="1"/>
      <c r="I823" s="7">
        <v>0.82</v>
      </c>
      <c r="J823" s="7">
        <f>IF((I823-ROUNDDOWN(I823,0))=0, 0, (I823-ROUNDDOWN(I823,0)))</f>
      </c>
      <c r="K823" s="7">
        <f>INDIRECT("C$"&amp;2+MIN(2,ROUNDDOWN(I823,0))*3)*(-$J823^3+3*$J823^2-3*$J823+1)+INDIRECT("C$"&amp;3+MIN(2,ROUNDDOWN(I823,0))*3)*(3*$J823^3-6*$J823^2+3*$J823)+INDIRECT("C$"&amp;4+MIN(2,ROUNDDOWN(I823,0))*3)*(-3*$J823^3+3*$J823^2)+INDIRECT("C$"&amp;5+MIN(2,ROUNDDOWN(I823,0))*3)*$J823^3</f>
      </c>
      <c r="L823" s="7">
        <f>INDIRECT("D$"&amp;2+MIN(2,ROUNDDOWN(I823,0))*3)*(-$J823^3+3*$J823^2-3*$J823+1)+INDIRECT("D$"&amp;3+MIN(2,ROUNDDOWN(I823,0))*3)*(3*$J823^3-6*$J823^2+3*$J823)+INDIRECT("D$"&amp;4+MIN(2,ROUNDDOWN(I823,0))*3)*(-3*$J823^3+3*$J823^2)+INDIRECT("D$"&amp;5+MIN(2,ROUNDDOWN(I823,0))*3)*$J823^3</f>
      </c>
      <c r="M823" s="7">
        <f>SQRT(K823^2+L823^2)</f>
      </c>
      <c r="N823" s="7">
        <f>(K824-K822)</f>
      </c>
      <c r="O823" s="7">
        <f>+(L824-L822)</f>
      </c>
      <c r="P823" s="7">
        <f>SQRT(O823^2+N823^2)</f>
      </c>
      <c r="Q823" s="7">
        <f>N823/$P823</f>
      </c>
      <c r="R823" s="7">
        <f>O823/$P823</f>
      </c>
      <c r="S823" s="7">
        <f>Q823^2+R823^2</f>
      </c>
      <c r="T823" s="7">
        <f>-R823</f>
      </c>
      <c r="U823" s="7">
        <f>Q823</f>
      </c>
      <c r="V823" s="7">
        <f>($C$14+($C$15-$C$14)/($D$15-$D$14)*(I823-$D$14))/2</f>
      </c>
      <c r="W823" s="7">
        <f>($B$22*I823^4+$C$22*I823^3+$D$22*I823^2+$E$22*I823+$F$22)/2</f>
      </c>
      <c r="X823" s="7">
        <f>($W823)*(T823)</f>
      </c>
      <c r="Y823" s="7">
        <f>($W823)*(U823)</f>
      </c>
      <c r="Z823" s="7">
        <f>SQRT(X823^2+Y823^2)</f>
      </c>
      <c r="AA823" s="7">
        <f>$K823+$X823</f>
      </c>
      <c r="AB823" s="7">
        <f>$L823+$Y823</f>
      </c>
      <c r="AC823" s="7">
        <f>$K823-$X823</f>
      </c>
      <c r="AD823" s="7">
        <f>$L823-$Y823</f>
      </c>
      <c r="AE823" s="7">
        <f>AA823/39.3701</f>
      </c>
      <c r="AF823" s="7">
        <f>AB823/39.3701</f>
      </c>
      <c r="AG823" s="7">
        <f>AC823/39.3701</f>
      </c>
      <c r="AH823" s="7">
        <f>AD823/39.3701</f>
      </c>
      <c r="AI823" s="1"/>
      <c r="AJ823" s="1"/>
      <c r="AK823" s="1"/>
      <c r="AL823" s="1"/>
      <c r="AM823" s="2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</row>
    <row x14ac:dyDescent="0.25" r="824" customHeight="1" ht="18.75">
      <c r="A824" s="1"/>
      <c r="B824" s="2"/>
      <c r="C824" s="2"/>
      <c r="D824" s="2"/>
      <c r="E824" s="2"/>
      <c r="F824" s="2"/>
      <c r="G824" s="1"/>
      <c r="H824" s="1"/>
      <c r="I824" s="7">
        <v>0.821</v>
      </c>
      <c r="J824" s="7">
        <f>IF((I824-ROUNDDOWN(I824,0))=0, 0, (I824-ROUNDDOWN(I824,0)))</f>
      </c>
      <c r="K824" s="7">
        <f>INDIRECT("C$"&amp;2+MIN(2,ROUNDDOWN(I824,0))*3)*(-$J824^3+3*$J824^2-3*$J824+1)+INDIRECT("C$"&amp;3+MIN(2,ROUNDDOWN(I824,0))*3)*(3*$J824^3-6*$J824^2+3*$J824)+INDIRECT("C$"&amp;4+MIN(2,ROUNDDOWN(I824,0))*3)*(-3*$J824^3+3*$J824^2)+INDIRECT("C$"&amp;5+MIN(2,ROUNDDOWN(I824,0))*3)*$J824^3</f>
      </c>
      <c r="L824" s="7">
        <f>INDIRECT("D$"&amp;2+MIN(2,ROUNDDOWN(I824,0))*3)*(-$J824^3+3*$J824^2-3*$J824+1)+INDIRECT("D$"&amp;3+MIN(2,ROUNDDOWN(I824,0))*3)*(3*$J824^3-6*$J824^2+3*$J824)+INDIRECT("D$"&amp;4+MIN(2,ROUNDDOWN(I824,0))*3)*(-3*$J824^3+3*$J824^2)+INDIRECT("D$"&amp;5+MIN(2,ROUNDDOWN(I824,0))*3)*$J824^3</f>
      </c>
      <c r="M824" s="7">
        <f>SQRT(K824^2+L824^2)</f>
      </c>
      <c r="N824" s="7">
        <f>(K825-K823)</f>
      </c>
      <c r="O824" s="7">
        <f>+(L825-L823)</f>
      </c>
      <c r="P824" s="7">
        <f>SQRT(O824^2+N824^2)</f>
      </c>
      <c r="Q824" s="7">
        <f>N824/$P824</f>
      </c>
      <c r="R824" s="7">
        <f>O824/$P824</f>
      </c>
      <c r="S824" s="8">
        <f>Q824^2+R824^2</f>
      </c>
      <c r="T824" s="7">
        <f>-R824</f>
      </c>
      <c r="U824" s="7">
        <f>Q824</f>
      </c>
      <c r="V824" s="7">
        <f>($C$14+($C$15-$C$14)/($D$15-$D$14)*(I824-$D$14))/2</f>
      </c>
      <c r="W824" s="7">
        <f>($B$22*I824^4+$C$22*I824^3+$D$22*I824^2+$E$22*I824+$F$22)/2</f>
      </c>
      <c r="X824" s="7">
        <f>($W824)*(T824)</f>
      </c>
      <c r="Y824" s="7">
        <f>($W824)*(U824)</f>
      </c>
      <c r="Z824" s="7">
        <f>SQRT(X824^2+Y824^2)</f>
      </c>
      <c r="AA824" s="7">
        <f>$K824+$X824</f>
      </c>
      <c r="AB824" s="7">
        <f>$L824+$Y824</f>
      </c>
      <c r="AC824" s="7">
        <f>$K824-$X824</f>
      </c>
      <c r="AD824" s="7">
        <f>$L824-$Y824</f>
      </c>
      <c r="AE824" s="7">
        <f>AA824/39.3701</f>
      </c>
      <c r="AF824" s="7">
        <f>AB824/39.3701</f>
      </c>
      <c r="AG824" s="7">
        <f>AC824/39.3701</f>
      </c>
      <c r="AH824" s="7">
        <f>AD824/39.3701</f>
      </c>
      <c r="AI824" s="1"/>
      <c r="AJ824" s="1"/>
      <c r="AK824" s="1"/>
      <c r="AL824" s="1"/>
      <c r="AM824" s="2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</row>
    <row x14ac:dyDescent="0.25" r="825" customHeight="1" ht="18.75">
      <c r="A825" s="1"/>
      <c r="B825" s="2"/>
      <c r="C825" s="2"/>
      <c r="D825" s="2"/>
      <c r="E825" s="2"/>
      <c r="F825" s="2"/>
      <c r="G825" s="1"/>
      <c r="H825" s="1"/>
      <c r="I825" s="7">
        <v>0.822</v>
      </c>
      <c r="J825" s="7">
        <f>IF((I825-ROUNDDOWN(I825,0))=0, 0, (I825-ROUNDDOWN(I825,0)))</f>
      </c>
      <c r="K825" s="7">
        <f>INDIRECT("C$"&amp;2+MIN(2,ROUNDDOWN(I825,0))*3)*(-$J825^3+3*$J825^2-3*$J825+1)+INDIRECT("C$"&amp;3+MIN(2,ROUNDDOWN(I825,0))*3)*(3*$J825^3-6*$J825^2+3*$J825)+INDIRECT("C$"&amp;4+MIN(2,ROUNDDOWN(I825,0))*3)*(-3*$J825^3+3*$J825^2)+INDIRECT("C$"&amp;5+MIN(2,ROUNDDOWN(I825,0))*3)*$J825^3</f>
      </c>
      <c r="L825" s="7">
        <f>INDIRECT("D$"&amp;2+MIN(2,ROUNDDOWN(I825,0))*3)*(-$J825^3+3*$J825^2-3*$J825+1)+INDIRECT("D$"&amp;3+MIN(2,ROUNDDOWN(I825,0))*3)*(3*$J825^3-6*$J825^2+3*$J825)+INDIRECT("D$"&amp;4+MIN(2,ROUNDDOWN(I825,0))*3)*(-3*$J825^3+3*$J825^2)+INDIRECT("D$"&amp;5+MIN(2,ROUNDDOWN(I825,0))*3)*$J825^3</f>
      </c>
      <c r="M825" s="7">
        <f>SQRT(K825^2+L825^2)</f>
      </c>
      <c r="N825" s="7">
        <f>(K826-K824)</f>
      </c>
      <c r="O825" s="7">
        <f>+(L826-L824)</f>
      </c>
      <c r="P825" s="7">
        <f>SQRT(O825^2+N825^2)</f>
      </c>
      <c r="Q825" s="7">
        <f>N825/$P825</f>
      </c>
      <c r="R825" s="7">
        <f>O825/$P825</f>
      </c>
      <c r="S825" s="8">
        <f>Q825^2+R825^2</f>
      </c>
      <c r="T825" s="7">
        <f>-R825</f>
      </c>
      <c r="U825" s="7">
        <f>Q825</f>
      </c>
      <c r="V825" s="7">
        <f>($C$14+($C$15-$C$14)/($D$15-$D$14)*(I825-$D$14))/2</f>
      </c>
      <c r="W825" s="7">
        <f>($B$22*I825^4+$C$22*I825^3+$D$22*I825^2+$E$22*I825+$F$22)/2</f>
      </c>
      <c r="X825" s="7">
        <f>($W825)*(T825)</f>
      </c>
      <c r="Y825" s="7">
        <f>($W825)*(U825)</f>
      </c>
      <c r="Z825" s="7">
        <f>SQRT(X825^2+Y825^2)</f>
      </c>
      <c r="AA825" s="7">
        <f>$K825+$X825</f>
      </c>
      <c r="AB825" s="7">
        <f>$L825+$Y825</f>
      </c>
      <c r="AC825" s="7">
        <f>$K825-$X825</f>
      </c>
      <c r="AD825" s="7">
        <f>$L825-$Y825</f>
      </c>
      <c r="AE825" s="7">
        <f>AA825/39.3701</f>
      </c>
      <c r="AF825" s="7">
        <f>AB825/39.3701</f>
      </c>
      <c r="AG825" s="7">
        <f>AC825/39.3701</f>
      </c>
      <c r="AH825" s="7">
        <f>AD825/39.3701</f>
      </c>
      <c r="AI825" s="1"/>
      <c r="AJ825" s="1"/>
      <c r="AK825" s="1"/>
      <c r="AL825" s="1"/>
      <c r="AM825" s="2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</row>
    <row x14ac:dyDescent="0.25" r="826" customHeight="1" ht="18.75">
      <c r="A826" s="1"/>
      <c r="B826" s="2"/>
      <c r="C826" s="2"/>
      <c r="D826" s="2"/>
      <c r="E826" s="2"/>
      <c r="F826" s="2"/>
      <c r="G826" s="1"/>
      <c r="H826" s="1"/>
      <c r="I826" s="7">
        <v>0.823</v>
      </c>
      <c r="J826" s="7">
        <f>IF((I826-ROUNDDOWN(I826,0))=0, 0, (I826-ROUNDDOWN(I826,0)))</f>
      </c>
      <c r="K826" s="7">
        <f>INDIRECT("C$"&amp;2+MIN(2,ROUNDDOWN(I826,0))*3)*(-$J826^3+3*$J826^2-3*$J826+1)+INDIRECT("C$"&amp;3+MIN(2,ROUNDDOWN(I826,0))*3)*(3*$J826^3-6*$J826^2+3*$J826)+INDIRECT("C$"&amp;4+MIN(2,ROUNDDOWN(I826,0))*3)*(-3*$J826^3+3*$J826^2)+INDIRECT("C$"&amp;5+MIN(2,ROUNDDOWN(I826,0))*3)*$J826^3</f>
      </c>
      <c r="L826" s="7">
        <f>INDIRECT("D$"&amp;2+MIN(2,ROUNDDOWN(I826,0))*3)*(-$J826^3+3*$J826^2-3*$J826+1)+INDIRECT("D$"&amp;3+MIN(2,ROUNDDOWN(I826,0))*3)*(3*$J826^3-6*$J826^2+3*$J826)+INDIRECT("D$"&amp;4+MIN(2,ROUNDDOWN(I826,0))*3)*(-3*$J826^3+3*$J826^2)+INDIRECT("D$"&amp;5+MIN(2,ROUNDDOWN(I826,0))*3)*$J826^3</f>
      </c>
      <c r="M826" s="7">
        <f>SQRT(K826^2+L826^2)</f>
      </c>
      <c r="N826" s="7">
        <f>(K827-K825)</f>
      </c>
      <c r="O826" s="7">
        <f>+(L827-L825)</f>
      </c>
      <c r="P826" s="7">
        <f>SQRT(O826^2+N826^2)</f>
      </c>
      <c r="Q826" s="7">
        <f>N826/$P826</f>
      </c>
      <c r="R826" s="7">
        <f>O826/$P826</f>
      </c>
      <c r="S826" s="7">
        <f>Q826^2+R826^2</f>
      </c>
      <c r="T826" s="7">
        <f>-R826</f>
      </c>
      <c r="U826" s="7">
        <f>Q826</f>
      </c>
      <c r="V826" s="7">
        <f>($C$14+($C$15-$C$14)/($D$15-$D$14)*(I826-$D$14))/2</f>
      </c>
      <c r="W826" s="7">
        <f>($B$22*I826^4+$C$22*I826^3+$D$22*I826^2+$E$22*I826+$F$22)/2</f>
      </c>
      <c r="X826" s="7">
        <f>($W826)*(T826)</f>
      </c>
      <c r="Y826" s="7">
        <f>($W826)*(U826)</f>
      </c>
      <c r="Z826" s="7">
        <f>SQRT(X826^2+Y826^2)</f>
      </c>
      <c r="AA826" s="7">
        <f>$K826+$X826</f>
      </c>
      <c r="AB826" s="7">
        <f>$L826+$Y826</f>
      </c>
      <c r="AC826" s="7">
        <f>$K826-$X826</f>
      </c>
      <c r="AD826" s="7">
        <f>$L826-$Y826</f>
      </c>
      <c r="AE826" s="7">
        <f>AA826/39.3701</f>
      </c>
      <c r="AF826" s="7">
        <f>AB826/39.3701</f>
      </c>
      <c r="AG826" s="7">
        <f>AC826/39.3701</f>
      </c>
      <c r="AH826" s="7">
        <f>AD826/39.3701</f>
      </c>
      <c r="AI826" s="1"/>
      <c r="AJ826" s="1"/>
      <c r="AK826" s="1"/>
      <c r="AL826" s="1"/>
      <c r="AM826" s="2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</row>
    <row x14ac:dyDescent="0.25" r="827" customHeight="1" ht="18.75">
      <c r="A827" s="1"/>
      <c r="B827" s="2"/>
      <c r="C827" s="2"/>
      <c r="D827" s="2"/>
      <c r="E827" s="2"/>
      <c r="F827" s="2"/>
      <c r="G827" s="1"/>
      <c r="H827" s="1"/>
      <c r="I827" s="7">
        <v>0.824</v>
      </c>
      <c r="J827" s="7">
        <f>IF((I827-ROUNDDOWN(I827,0))=0, 0, (I827-ROUNDDOWN(I827,0)))</f>
      </c>
      <c r="K827" s="7">
        <f>INDIRECT("C$"&amp;2+MIN(2,ROUNDDOWN(I827,0))*3)*(-$J827^3+3*$J827^2-3*$J827+1)+INDIRECT("C$"&amp;3+MIN(2,ROUNDDOWN(I827,0))*3)*(3*$J827^3-6*$J827^2+3*$J827)+INDIRECT("C$"&amp;4+MIN(2,ROUNDDOWN(I827,0))*3)*(-3*$J827^3+3*$J827^2)+INDIRECT("C$"&amp;5+MIN(2,ROUNDDOWN(I827,0))*3)*$J827^3</f>
      </c>
      <c r="L827" s="7">
        <f>INDIRECT("D$"&amp;2+MIN(2,ROUNDDOWN(I827,0))*3)*(-$J827^3+3*$J827^2-3*$J827+1)+INDIRECT("D$"&amp;3+MIN(2,ROUNDDOWN(I827,0))*3)*(3*$J827^3-6*$J827^2+3*$J827)+INDIRECT("D$"&amp;4+MIN(2,ROUNDDOWN(I827,0))*3)*(-3*$J827^3+3*$J827^2)+INDIRECT("D$"&amp;5+MIN(2,ROUNDDOWN(I827,0))*3)*$J827^3</f>
      </c>
      <c r="M827" s="7">
        <f>SQRT(K827^2+L827^2)</f>
      </c>
      <c r="N827" s="7">
        <f>(K828-K826)</f>
      </c>
      <c r="O827" s="7">
        <f>+(L828-L826)</f>
      </c>
      <c r="P827" s="7">
        <f>SQRT(O827^2+N827^2)</f>
      </c>
      <c r="Q827" s="7">
        <f>N827/$P827</f>
      </c>
      <c r="R827" s="7">
        <f>O827/$P827</f>
      </c>
      <c r="S827" s="7">
        <f>Q827^2+R827^2</f>
      </c>
      <c r="T827" s="7">
        <f>-R827</f>
      </c>
      <c r="U827" s="7">
        <f>Q827</f>
      </c>
      <c r="V827" s="7">
        <f>($C$14+($C$15-$C$14)/($D$15-$D$14)*(I827-$D$14))/2</f>
      </c>
      <c r="W827" s="7">
        <f>($B$22*I827^4+$C$22*I827^3+$D$22*I827^2+$E$22*I827+$F$22)/2</f>
      </c>
      <c r="X827" s="7">
        <f>($W827)*(T827)</f>
      </c>
      <c r="Y827" s="7">
        <f>($W827)*(U827)</f>
      </c>
      <c r="Z827" s="7">
        <f>SQRT(X827^2+Y827^2)</f>
      </c>
      <c r="AA827" s="7">
        <f>$K827+$X827</f>
      </c>
      <c r="AB827" s="7">
        <f>$L827+$Y827</f>
      </c>
      <c r="AC827" s="7">
        <f>$K827-$X827</f>
      </c>
      <c r="AD827" s="7">
        <f>$L827-$Y827</f>
      </c>
      <c r="AE827" s="7">
        <f>AA827/39.3701</f>
      </c>
      <c r="AF827" s="7">
        <f>AB827/39.3701</f>
      </c>
      <c r="AG827" s="7">
        <f>AC827/39.3701</f>
      </c>
      <c r="AH827" s="7">
        <f>AD827/39.3701</f>
      </c>
      <c r="AI827" s="1"/>
      <c r="AJ827" s="1"/>
      <c r="AK827" s="1"/>
      <c r="AL827" s="1"/>
      <c r="AM827" s="2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</row>
    <row x14ac:dyDescent="0.25" r="828" customHeight="1" ht="18.75">
      <c r="A828" s="1"/>
      <c r="B828" s="2"/>
      <c r="C828" s="2"/>
      <c r="D828" s="2"/>
      <c r="E828" s="2"/>
      <c r="F828" s="2"/>
      <c r="G828" s="1"/>
      <c r="H828" s="1"/>
      <c r="I828" s="7">
        <v>0.825</v>
      </c>
      <c r="J828" s="7">
        <f>IF((I828-ROUNDDOWN(I828,0))=0, 0, (I828-ROUNDDOWN(I828,0)))</f>
      </c>
      <c r="K828" s="7">
        <f>INDIRECT("C$"&amp;2+MIN(2,ROUNDDOWN(I828,0))*3)*(-$J828^3+3*$J828^2-3*$J828+1)+INDIRECT("C$"&amp;3+MIN(2,ROUNDDOWN(I828,0))*3)*(3*$J828^3-6*$J828^2+3*$J828)+INDIRECT("C$"&amp;4+MIN(2,ROUNDDOWN(I828,0))*3)*(-3*$J828^3+3*$J828^2)+INDIRECT("C$"&amp;5+MIN(2,ROUNDDOWN(I828,0))*3)*$J828^3</f>
      </c>
      <c r="L828" s="7">
        <f>INDIRECT("D$"&amp;2+MIN(2,ROUNDDOWN(I828,0))*3)*(-$J828^3+3*$J828^2-3*$J828+1)+INDIRECT("D$"&amp;3+MIN(2,ROUNDDOWN(I828,0))*3)*(3*$J828^3-6*$J828^2+3*$J828)+INDIRECT("D$"&amp;4+MIN(2,ROUNDDOWN(I828,0))*3)*(-3*$J828^3+3*$J828^2)+INDIRECT("D$"&amp;5+MIN(2,ROUNDDOWN(I828,0))*3)*$J828^3</f>
      </c>
      <c r="M828" s="7">
        <f>SQRT(K828^2+L828^2)</f>
      </c>
      <c r="N828" s="7">
        <f>(K829-K827)</f>
      </c>
      <c r="O828" s="7">
        <f>+(L829-L827)</f>
      </c>
      <c r="P828" s="7">
        <f>SQRT(O828^2+N828^2)</f>
      </c>
      <c r="Q828" s="7">
        <f>N828/$P828</f>
      </c>
      <c r="R828" s="7">
        <f>O828/$P828</f>
      </c>
      <c r="S828" s="8">
        <f>Q828^2+R828^2</f>
      </c>
      <c r="T828" s="7">
        <f>-R828</f>
      </c>
      <c r="U828" s="7">
        <f>Q828</f>
      </c>
      <c r="V828" s="7">
        <f>($C$14+($C$15-$C$14)/($D$15-$D$14)*(I828-$D$14))/2</f>
      </c>
      <c r="W828" s="7">
        <f>($B$22*I828^4+$C$22*I828^3+$D$22*I828^2+$E$22*I828+$F$22)/2</f>
      </c>
      <c r="X828" s="7">
        <f>($W828)*(T828)</f>
      </c>
      <c r="Y828" s="7">
        <f>($W828)*(U828)</f>
      </c>
      <c r="Z828" s="7">
        <f>SQRT(X828^2+Y828^2)</f>
      </c>
      <c r="AA828" s="7">
        <f>$K828+$X828</f>
      </c>
      <c r="AB828" s="7">
        <f>$L828+$Y828</f>
      </c>
      <c r="AC828" s="7">
        <f>$K828-$X828</f>
      </c>
      <c r="AD828" s="7">
        <f>$L828-$Y828</f>
      </c>
      <c r="AE828" s="7">
        <f>AA828/39.3701</f>
      </c>
      <c r="AF828" s="7">
        <f>AB828/39.3701</f>
      </c>
      <c r="AG828" s="7">
        <f>AC828/39.3701</f>
      </c>
      <c r="AH828" s="7">
        <f>AD828/39.3701</f>
      </c>
      <c r="AI828" s="1"/>
      <c r="AJ828" s="1"/>
      <c r="AK828" s="1"/>
      <c r="AL828" s="1"/>
      <c r="AM828" s="2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</row>
    <row x14ac:dyDescent="0.25" r="829" customHeight="1" ht="18.75">
      <c r="A829" s="1"/>
      <c r="B829" s="2"/>
      <c r="C829" s="2"/>
      <c r="D829" s="2"/>
      <c r="E829" s="2"/>
      <c r="F829" s="2"/>
      <c r="G829" s="1"/>
      <c r="H829" s="1"/>
      <c r="I829" s="7">
        <v>0.826</v>
      </c>
      <c r="J829" s="7">
        <f>IF((I829-ROUNDDOWN(I829,0))=0, 0, (I829-ROUNDDOWN(I829,0)))</f>
      </c>
      <c r="K829" s="7">
        <f>INDIRECT("C$"&amp;2+MIN(2,ROUNDDOWN(I829,0))*3)*(-$J829^3+3*$J829^2-3*$J829+1)+INDIRECT("C$"&amp;3+MIN(2,ROUNDDOWN(I829,0))*3)*(3*$J829^3-6*$J829^2+3*$J829)+INDIRECT("C$"&amp;4+MIN(2,ROUNDDOWN(I829,0))*3)*(-3*$J829^3+3*$J829^2)+INDIRECT("C$"&amp;5+MIN(2,ROUNDDOWN(I829,0))*3)*$J829^3</f>
      </c>
      <c r="L829" s="7">
        <f>INDIRECT("D$"&amp;2+MIN(2,ROUNDDOWN(I829,0))*3)*(-$J829^3+3*$J829^2-3*$J829+1)+INDIRECT("D$"&amp;3+MIN(2,ROUNDDOWN(I829,0))*3)*(3*$J829^3-6*$J829^2+3*$J829)+INDIRECT("D$"&amp;4+MIN(2,ROUNDDOWN(I829,0))*3)*(-3*$J829^3+3*$J829^2)+INDIRECT("D$"&amp;5+MIN(2,ROUNDDOWN(I829,0))*3)*$J829^3</f>
      </c>
      <c r="M829" s="7">
        <f>SQRT(K829^2+L829^2)</f>
      </c>
      <c r="N829" s="7">
        <f>(K830-K828)</f>
      </c>
      <c r="O829" s="7">
        <f>+(L830-L828)</f>
      </c>
      <c r="P829" s="7">
        <f>SQRT(O829^2+N829^2)</f>
      </c>
      <c r="Q829" s="7">
        <f>N829/$P829</f>
      </c>
      <c r="R829" s="7">
        <f>O829/$P829</f>
      </c>
      <c r="S829" s="8">
        <f>Q829^2+R829^2</f>
      </c>
      <c r="T829" s="7">
        <f>-R829</f>
      </c>
      <c r="U829" s="7">
        <f>Q829</f>
      </c>
      <c r="V829" s="7">
        <f>($C$14+($C$15-$C$14)/($D$15-$D$14)*(I829-$D$14))/2</f>
      </c>
      <c r="W829" s="7">
        <f>($B$22*I829^4+$C$22*I829^3+$D$22*I829^2+$E$22*I829+$F$22)/2</f>
      </c>
      <c r="X829" s="7">
        <f>($W829)*(T829)</f>
      </c>
      <c r="Y829" s="7">
        <f>($W829)*(U829)</f>
      </c>
      <c r="Z829" s="7">
        <f>SQRT(X829^2+Y829^2)</f>
      </c>
      <c r="AA829" s="7">
        <f>$K829+$X829</f>
      </c>
      <c r="AB829" s="7">
        <f>$L829+$Y829</f>
      </c>
      <c r="AC829" s="7">
        <f>$K829-$X829</f>
      </c>
      <c r="AD829" s="7">
        <f>$L829-$Y829</f>
      </c>
      <c r="AE829" s="7">
        <f>AA829/39.3701</f>
      </c>
      <c r="AF829" s="7">
        <f>AB829/39.3701</f>
      </c>
      <c r="AG829" s="7">
        <f>AC829/39.3701</f>
      </c>
      <c r="AH829" s="7">
        <f>AD829/39.3701</f>
      </c>
      <c r="AI829" s="1"/>
      <c r="AJ829" s="1"/>
      <c r="AK829" s="1"/>
      <c r="AL829" s="1"/>
      <c r="AM829" s="2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</row>
    <row x14ac:dyDescent="0.25" r="830" customHeight="1" ht="18.75">
      <c r="A830" s="1"/>
      <c r="B830" s="2"/>
      <c r="C830" s="2"/>
      <c r="D830" s="2"/>
      <c r="E830" s="2"/>
      <c r="F830" s="2"/>
      <c r="G830" s="1"/>
      <c r="H830" s="1"/>
      <c r="I830" s="7">
        <v>0.827</v>
      </c>
      <c r="J830" s="7">
        <f>IF((I830-ROUNDDOWN(I830,0))=0, 0, (I830-ROUNDDOWN(I830,0)))</f>
      </c>
      <c r="K830" s="7">
        <f>INDIRECT("C$"&amp;2+MIN(2,ROUNDDOWN(I830,0))*3)*(-$J830^3+3*$J830^2-3*$J830+1)+INDIRECT("C$"&amp;3+MIN(2,ROUNDDOWN(I830,0))*3)*(3*$J830^3-6*$J830^2+3*$J830)+INDIRECT("C$"&amp;4+MIN(2,ROUNDDOWN(I830,0))*3)*(-3*$J830^3+3*$J830^2)+INDIRECT("C$"&amp;5+MIN(2,ROUNDDOWN(I830,0))*3)*$J830^3</f>
      </c>
      <c r="L830" s="7">
        <f>INDIRECT("D$"&amp;2+MIN(2,ROUNDDOWN(I830,0))*3)*(-$J830^3+3*$J830^2-3*$J830+1)+INDIRECT("D$"&amp;3+MIN(2,ROUNDDOWN(I830,0))*3)*(3*$J830^3-6*$J830^2+3*$J830)+INDIRECT("D$"&amp;4+MIN(2,ROUNDDOWN(I830,0))*3)*(-3*$J830^3+3*$J830^2)+INDIRECT("D$"&amp;5+MIN(2,ROUNDDOWN(I830,0))*3)*$J830^3</f>
      </c>
      <c r="M830" s="7">
        <f>SQRT(K830^2+L830^2)</f>
      </c>
      <c r="N830" s="7">
        <f>(K831-K829)</f>
      </c>
      <c r="O830" s="7">
        <f>+(L831-L829)</f>
      </c>
      <c r="P830" s="7">
        <f>SQRT(O830^2+N830^2)</f>
      </c>
      <c r="Q830" s="7">
        <f>N830/$P830</f>
      </c>
      <c r="R830" s="7">
        <f>O830/$P830</f>
      </c>
      <c r="S830" s="7">
        <f>Q830^2+R830^2</f>
      </c>
      <c r="T830" s="7">
        <f>-R830</f>
      </c>
      <c r="U830" s="7">
        <f>Q830</f>
      </c>
      <c r="V830" s="7">
        <f>($C$14+($C$15-$C$14)/($D$15-$D$14)*(I830-$D$14))/2</f>
      </c>
      <c r="W830" s="7">
        <f>($B$22*I830^4+$C$22*I830^3+$D$22*I830^2+$E$22*I830+$F$22)/2</f>
      </c>
      <c r="X830" s="7">
        <f>($W830)*(T830)</f>
      </c>
      <c r="Y830" s="7">
        <f>($W830)*(U830)</f>
      </c>
      <c r="Z830" s="7">
        <f>SQRT(X830^2+Y830^2)</f>
      </c>
      <c r="AA830" s="7">
        <f>$K830+$X830</f>
      </c>
      <c r="AB830" s="7">
        <f>$L830+$Y830</f>
      </c>
      <c r="AC830" s="7">
        <f>$K830-$X830</f>
      </c>
      <c r="AD830" s="7">
        <f>$L830-$Y830</f>
      </c>
      <c r="AE830" s="7">
        <f>AA830/39.3701</f>
      </c>
      <c r="AF830" s="7">
        <f>AB830/39.3701</f>
      </c>
      <c r="AG830" s="7">
        <f>AC830/39.3701</f>
      </c>
      <c r="AH830" s="7">
        <f>AD830/39.3701</f>
      </c>
      <c r="AI830" s="1"/>
      <c r="AJ830" s="1"/>
      <c r="AK830" s="1"/>
      <c r="AL830" s="1"/>
      <c r="AM830" s="2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</row>
    <row x14ac:dyDescent="0.25" r="831" customHeight="1" ht="18.75">
      <c r="A831" s="1"/>
      <c r="B831" s="2"/>
      <c r="C831" s="2"/>
      <c r="D831" s="2"/>
      <c r="E831" s="2"/>
      <c r="F831" s="2"/>
      <c r="G831" s="1"/>
      <c r="H831" s="1"/>
      <c r="I831" s="7">
        <v>0.828</v>
      </c>
      <c r="J831" s="7">
        <f>IF((I831-ROUNDDOWN(I831,0))=0, 0, (I831-ROUNDDOWN(I831,0)))</f>
      </c>
      <c r="K831" s="7">
        <f>INDIRECT("C$"&amp;2+MIN(2,ROUNDDOWN(I831,0))*3)*(-$J831^3+3*$J831^2-3*$J831+1)+INDIRECT("C$"&amp;3+MIN(2,ROUNDDOWN(I831,0))*3)*(3*$J831^3-6*$J831^2+3*$J831)+INDIRECT("C$"&amp;4+MIN(2,ROUNDDOWN(I831,0))*3)*(-3*$J831^3+3*$J831^2)+INDIRECT("C$"&amp;5+MIN(2,ROUNDDOWN(I831,0))*3)*$J831^3</f>
      </c>
      <c r="L831" s="7">
        <f>INDIRECT("D$"&amp;2+MIN(2,ROUNDDOWN(I831,0))*3)*(-$J831^3+3*$J831^2-3*$J831+1)+INDIRECT("D$"&amp;3+MIN(2,ROUNDDOWN(I831,0))*3)*(3*$J831^3-6*$J831^2+3*$J831)+INDIRECT("D$"&amp;4+MIN(2,ROUNDDOWN(I831,0))*3)*(-3*$J831^3+3*$J831^2)+INDIRECT("D$"&amp;5+MIN(2,ROUNDDOWN(I831,0))*3)*$J831^3</f>
      </c>
      <c r="M831" s="7">
        <f>SQRT(K831^2+L831^2)</f>
      </c>
      <c r="N831" s="7">
        <f>(K832-K830)</f>
      </c>
      <c r="O831" s="7">
        <f>+(L832-L830)</f>
      </c>
      <c r="P831" s="7">
        <f>SQRT(O831^2+N831^2)</f>
      </c>
      <c r="Q831" s="7">
        <f>N831/$P831</f>
      </c>
      <c r="R831" s="7">
        <f>O831/$P831</f>
      </c>
      <c r="S831" s="8">
        <f>Q831^2+R831^2</f>
      </c>
      <c r="T831" s="7">
        <f>-R831</f>
      </c>
      <c r="U831" s="7">
        <f>Q831</f>
      </c>
      <c r="V831" s="7">
        <f>($C$14+($C$15-$C$14)/($D$15-$D$14)*(I831-$D$14))/2</f>
      </c>
      <c r="W831" s="7">
        <f>($B$22*I831^4+$C$22*I831^3+$D$22*I831^2+$E$22*I831+$F$22)/2</f>
      </c>
      <c r="X831" s="7">
        <f>($W831)*(T831)</f>
      </c>
      <c r="Y831" s="7">
        <f>($W831)*(U831)</f>
      </c>
      <c r="Z831" s="7">
        <f>SQRT(X831^2+Y831^2)</f>
      </c>
      <c r="AA831" s="7">
        <f>$K831+$X831</f>
      </c>
      <c r="AB831" s="7">
        <f>$L831+$Y831</f>
      </c>
      <c r="AC831" s="7">
        <f>$K831-$X831</f>
      </c>
      <c r="AD831" s="7">
        <f>$L831-$Y831</f>
      </c>
      <c r="AE831" s="7">
        <f>AA831/39.3701</f>
      </c>
      <c r="AF831" s="7">
        <f>AB831/39.3701</f>
      </c>
      <c r="AG831" s="7">
        <f>AC831/39.3701</f>
      </c>
      <c r="AH831" s="7">
        <f>AD831/39.3701</f>
      </c>
      <c r="AI831" s="1"/>
      <c r="AJ831" s="1"/>
      <c r="AK831" s="1"/>
      <c r="AL831" s="1"/>
      <c r="AM831" s="2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</row>
    <row x14ac:dyDescent="0.25" r="832" customHeight="1" ht="18.75">
      <c r="A832" s="1"/>
      <c r="B832" s="2"/>
      <c r="C832" s="2"/>
      <c r="D832" s="2"/>
      <c r="E832" s="2"/>
      <c r="F832" s="2"/>
      <c r="G832" s="1"/>
      <c r="H832" s="1"/>
      <c r="I832" s="7">
        <v>0.829</v>
      </c>
      <c r="J832" s="7">
        <f>IF((I832-ROUNDDOWN(I832,0))=0, 0, (I832-ROUNDDOWN(I832,0)))</f>
      </c>
      <c r="K832" s="7">
        <f>INDIRECT("C$"&amp;2+MIN(2,ROUNDDOWN(I832,0))*3)*(-$J832^3+3*$J832^2-3*$J832+1)+INDIRECT("C$"&amp;3+MIN(2,ROUNDDOWN(I832,0))*3)*(3*$J832^3-6*$J832^2+3*$J832)+INDIRECT("C$"&amp;4+MIN(2,ROUNDDOWN(I832,0))*3)*(-3*$J832^3+3*$J832^2)+INDIRECT("C$"&amp;5+MIN(2,ROUNDDOWN(I832,0))*3)*$J832^3</f>
      </c>
      <c r="L832" s="7">
        <f>INDIRECT("D$"&amp;2+MIN(2,ROUNDDOWN(I832,0))*3)*(-$J832^3+3*$J832^2-3*$J832+1)+INDIRECT("D$"&amp;3+MIN(2,ROUNDDOWN(I832,0))*3)*(3*$J832^3-6*$J832^2+3*$J832)+INDIRECT("D$"&amp;4+MIN(2,ROUNDDOWN(I832,0))*3)*(-3*$J832^3+3*$J832^2)+INDIRECT("D$"&amp;5+MIN(2,ROUNDDOWN(I832,0))*3)*$J832^3</f>
      </c>
      <c r="M832" s="7">
        <f>SQRT(K832^2+L832^2)</f>
      </c>
      <c r="N832" s="7">
        <f>(K833-K831)</f>
      </c>
      <c r="O832" s="7">
        <f>+(L833-L831)</f>
      </c>
      <c r="P832" s="7">
        <f>SQRT(O832^2+N832^2)</f>
      </c>
      <c r="Q832" s="7">
        <f>N832/$P832</f>
      </c>
      <c r="R832" s="7">
        <f>O832/$P832</f>
      </c>
      <c r="S832" s="7">
        <f>Q832^2+R832^2</f>
      </c>
      <c r="T832" s="7">
        <f>-R832</f>
      </c>
      <c r="U832" s="7">
        <f>Q832</f>
      </c>
      <c r="V832" s="7">
        <f>($C$14+($C$15-$C$14)/($D$15-$D$14)*(I832-$D$14))/2</f>
      </c>
      <c r="W832" s="7">
        <f>($B$22*I832^4+$C$22*I832^3+$D$22*I832^2+$E$22*I832+$F$22)/2</f>
      </c>
      <c r="X832" s="7">
        <f>($W832)*(T832)</f>
      </c>
      <c r="Y832" s="7">
        <f>($W832)*(U832)</f>
      </c>
      <c r="Z832" s="7">
        <f>SQRT(X832^2+Y832^2)</f>
      </c>
      <c r="AA832" s="7">
        <f>$K832+$X832</f>
      </c>
      <c r="AB832" s="7">
        <f>$L832+$Y832</f>
      </c>
      <c r="AC832" s="7">
        <f>$K832-$X832</f>
      </c>
      <c r="AD832" s="7">
        <f>$L832-$Y832</f>
      </c>
      <c r="AE832" s="7">
        <f>AA832/39.3701</f>
      </c>
      <c r="AF832" s="7">
        <f>AB832/39.3701</f>
      </c>
      <c r="AG832" s="7">
        <f>AC832/39.3701</f>
      </c>
      <c r="AH832" s="7">
        <f>AD832/39.3701</f>
      </c>
      <c r="AI832" s="1"/>
      <c r="AJ832" s="1"/>
      <c r="AK832" s="1"/>
      <c r="AL832" s="1"/>
      <c r="AM832" s="2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</row>
    <row x14ac:dyDescent="0.25" r="833" customHeight="1" ht="18.75">
      <c r="A833" s="1"/>
      <c r="B833" s="2"/>
      <c r="C833" s="2"/>
      <c r="D833" s="2"/>
      <c r="E833" s="2"/>
      <c r="F833" s="2"/>
      <c r="G833" s="1"/>
      <c r="H833" s="1"/>
      <c r="I833" s="7">
        <v>0.83</v>
      </c>
      <c r="J833" s="7">
        <f>IF((I833-ROUNDDOWN(I833,0))=0, 0, (I833-ROUNDDOWN(I833,0)))</f>
      </c>
      <c r="K833" s="7">
        <f>INDIRECT("C$"&amp;2+MIN(2,ROUNDDOWN(I833,0))*3)*(-$J833^3+3*$J833^2-3*$J833+1)+INDIRECT("C$"&amp;3+MIN(2,ROUNDDOWN(I833,0))*3)*(3*$J833^3-6*$J833^2+3*$J833)+INDIRECT("C$"&amp;4+MIN(2,ROUNDDOWN(I833,0))*3)*(-3*$J833^3+3*$J833^2)+INDIRECT("C$"&amp;5+MIN(2,ROUNDDOWN(I833,0))*3)*$J833^3</f>
      </c>
      <c r="L833" s="7">
        <f>INDIRECT("D$"&amp;2+MIN(2,ROUNDDOWN(I833,0))*3)*(-$J833^3+3*$J833^2-3*$J833+1)+INDIRECT("D$"&amp;3+MIN(2,ROUNDDOWN(I833,0))*3)*(3*$J833^3-6*$J833^2+3*$J833)+INDIRECT("D$"&amp;4+MIN(2,ROUNDDOWN(I833,0))*3)*(-3*$J833^3+3*$J833^2)+INDIRECT("D$"&amp;5+MIN(2,ROUNDDOWN(I833,0))*3)*$J833^3</f>
      </c>
      <c r="M833" s="7">
        <f>SQRT(K833^2+L833^2)</f>
      </c>
      <c r="N833" s="7">
        <f>(K834-K832)</f>
      </c>
      <c r="O833" s="7">
        <f>+(L834-L832)</f>
      </c>
      <c r="P833" s="7">
        <f>SQRT(O833^2+N833^2)</f>
      </c>
      <c r="Q833" s="7">
        <f>N833/$P833</f>
      </c>
      <c r="R833" s="7">
        <f>O833/$P833</f>
      </c>
      <c r="S833" s="7">
        <f>Q833^2+R833^2</f>
      </c>
      <c r="T833" s="7">
        <f>-R833</f>
      </c>
      <c r="U833" s="7">
        <f>Q833</f>
      </c>
      <c r="V833" s="7">
        <f>($C$14+($C$15-$C$14)/($D$15-$D$14)*(I833-$D$14))/2</f>
      </c>
      <c r="W833" s="7">
        <f>($B$22*I833^4+$C$22*I833^3+$D$22*I833^2+$E$22*I833+$F$22)/2</f>
      </c>
      <c r="X833" s="7">
        <f>($W833)*(T833)</f>
      </c>
      <c r="Y833" s="7">
        <f>($W833)*(U833)</f>
      </c>
      <c r="Z833" s="7">
        <f>SQRT(X833^2+Y833^2)</f>
      </c>
      <c r="AA833" s="7">
        <f>$K833+$X833</f>
      </c>
      <c r="AB833" s="7">
        <f>$L833+$Y833</f>
      </c>
      <c r="AC833" s="7">
        <f>$K833-$X833</f>
      </c>
      <c r="AD833" s="7">
        <f>$L833-$Y833</f>
      </c>
      <c r="AE833" s="7">
        <f>AA833/39.3701</f>
      </c>
      <c r="AF833" s="7">
        <f>AB833/39.3701</f>
      </c>
      <c r="AG833" s="7">
        <f>AC833/39.3701</f>
      </c>
      <c r="AH833" s="7">
        <f>AD833/39.3701</f>
      </c>
      <c r="AI833" s="1"/>
      <c r="AJ833" s="1"/>
      <c r="AK833" s="1"/>
      <c r="AL833" s="1"/>
      <c r="AM833" s="2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</row>
    <row x14ac:dyDescent="0.25" r="834" customHeight="1" ht="18.75">
      <c r="A834" s="1"/>
      <c r="B834" s="2"/>
      <c r="C834" s="2"/>
      <c r="D834" s="2"/>
      <c r="E834" s="2"/>
      <c r="F834" s="2"/>
      <c r="G834" s="1"/>
      <c r="H834" s="1"/>
      <c r="I834" s="7">
        <v>0.831</v>
      </c>
      <c r="J834" s="7">
        <f>IF((I834-ROUNDDOWN(I834,0))=0, 0, (I834-ROUNDDOWN(I834,0)))</f>
      </c>
      <c r="K834" s="7">
        <f>INDIRECT("C$"&amp;2+MIN(2,ROUNDDOWN(I834,0))*3)*(-$J834^3+3*$J834^2-3*$J834+1)+INDIRECT("C$"&amp;3+MIN(2,ROUNDDOWN(I834,0))*3)*(3*$J834^3-6*$J834^2+3*$J834)+INDIRECT("C$"&amp;4+MIN(2,ROUNDDOWN(I834,0))*3)*(-3*$J834^3+3*$J834^2)+INDIRECT("C$"&amp;5+MIN(2,ROUNDDOWN(I834,0))*3)*$J834^3</f>
      </c>
      <c r="L834" s="7">
        <f>INDIRECT("D$"&amp;2+MIN(2,ROUNDDOWN(I834,0))*3)*(-$J834^3+3*$J834^2-3*$J834+1)+INDIRECT("D$"&amp;3+MIN(2,ROUNDDOWN(I834,0))*3)*(3*$J834^3-6*$J834^2+3*$J834)+INDIRECT("D$"&amp;4+MIN(2,ROUNDDOWN(I834,0))*3)*(-3*$J834^3+3*$J834^2)+INDIRECT("D$"&amp;5+MIN(2,ROUNDDOWN(I834,0))*3)*$J834^3</f>
      </c>
      <c r="M834" s="7">
        <f>SQRT(K834^2+L834^2)</f>
      </c>
      <c r="N834" s="7">
        <f>(K835-K833)</f>
      </c>
      <c r="O834" s="7">
        <f>+(L835-L833)</f>
      </c>
      <c r="P834" s="7">
        <f>SQRT(O834^2+N834^2)</f>
      </c>
      <c r="Q834" s="7">
        <f>N834/$P834</f>
      </c>
      <c r="R834" s="7">
        <f>O834/$P834</f>
      </c>
      <c r="S834" s="7">
        <f>Q834^2+R834^2</f>
      </c>
      <c r="T834" s="7">
        <f>-R834</f>
      </c>
      <c r="U834" s="7">
        <f>Q834</f>
      </c>
      <c r="V834" s="7">
        <f>($C$14+($C$15-$C$14)/($D$15-$D$14)*(I834-$D$14))/2</f>
      </c>
      <c r="W834" s="7">
        <f>($B$22*I834^4+$C$22*I834^3+$D$22*I834^2+$E$22*I834+$F$22)/2</f>
      </c>
      <c r="X834" s="7">
        <f>($W834)*(T834)</f>
      </c>
      <c r="Y834" s="7">
        <f>($W834)*(U834)</f>
      </c>
      <c r="Z834" s="7">
        <f>SQRT(X834^2+Y834^2)</f>
      </c>
      <c r="AA834" s="7">
        <f>$K834+$X834</f>
      </c>
      <c r="AB834" s="7">
        <f>$L834+$Y834</f>
      </c>
      <c r="AC834" s="7">
        <f>$K834-$X834</f>
      </c>
      <c r="AD834" s="7">
        <f>$L834-$Y834</f>
      </c>
      <c r="AE834" s="7">
        <f>AA834/39.3701</f>
      </c>
      <c r="AF834" s="7">
        <f>AB834/39.3701</f>
      </c>
      <c r="AG834" s="7">
        <f>AC834/39.3701</f>
      </c>
      <c r="AH834" s="7">
        <f>AD834/39.3701</f>
      </c>
      <c r="AI834" s="1"/>
      <c r="AJ834" s="1"/>
      <c r="AK834" s="1"/>
      <c r="AL834" s="1"/>
      <c r="AM834" s="2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</row>
    <row x14ac:dyDescent="0.25" r="835" customHeight="1" ht="18.75">
      <c r="A835" s="1"/>
      <c r="B835" s="2"/>
      <c r="C835" s="2"/>
      <c r="D835" s="2"/>
      <c r="E835" s="2"/>
      <c r="F835" s="2"/>
      <c r="G835" s="1"/>
      <c r="H835" s="1"/>
      <c r="I835" s="7">
        <v>0.832</v>
      </c>
      <c r="J835" s="7">
        <f>IF((I835-ROUNDDOWN(I835,0))=0, 0, (I835-ROUNDDOWN(I835,0)))</f>
      </c>
      <c r="K835" s="7">
        <f>INDIRECT("C$"&amp;2+MIN(2,ROUNDDOWN(I835,0))*3)*(-$J835^3+3*$J835^2-3*$J835+1)+INDIRECT("C$"&amp;3+MIN(2,ROUNDDOWN(I835,0))*3)*(3*$J835^3-6*$J835^2+3*$J835)+INDIRECT("C$"&amp;4+MIN(2,ROUNDDOWN(I835,0))*3)*(-3*$J835^3+3*$J835^2)+INDIRECT("C$"&amp;5+MIN(2,ROUNDDOWN(I835,0))*3)*$J835^3</f>
      </c>
      <c r="L835" s="7">
        <f>INDIRECT("D$"&amp;2+MIN(2,ROUNDDOWN(I835,0))*3)*(-$J835^3+3*$J835^2-3*$J835+1)+INDIRECT("D$"&amp;3+MIN(2,ROUNDDOWN(I835,0))*3)*(3*$J835^3-6*$J835^2+3*$J835)+INDIRECT("D$"&amp;4+MIN(2,ROUNDDOWN(I835,0))*3)*(-3*$J835^3+3*$J835^2)+INDIRECT("D$"&amp;5+MIN(2,ROUNDDOWN(I835,0))*3)*$J835^3</f>
      </c>
      <c r="M835" s="7">
        <f>SQRT(K835^2+L835^2)</f>
      </c>
      <c r="N835" s="7">
        <f>(K836-K834)</f>
      </c>
      <c r="O835" s="7">
        <f>+(L836-L834)</f>
      </c>
      <c r="P835" s="7">
        <f>SQRT(O835^2+N835^2)</f>
      </c>
      <c r="Q835" s="7">
        <f>N835/$P835</f>
      </c>
      <c r="R835" s="7">
        <f>O835/$P835</f>
      </c>
      <c r="S835" s="7">
        <f>Q835^2+R835^2</f>
      </c>
      <c r="T835" s="7">
        <f>-R835</f>
      </c>
      <c r="U835" s="7">
        <f>Q835</f>
      </c>
      <c r="V835" s="7">
        <f>($C$14+($C$15-$C$14)/($D$15-$D$14)*(I835-$D$14))/2</f>
      </c>
      <c r="W835" s="7">
        <f>($B$22*I835^4+$C$22*I835^3+$D$22*I835^2+$E$22*I835+$F$22)/2</f>
      </c>
      <c r="X835" s="7">
        <f>($W835)*(T835)</f>
      </c>
      <c r="Y835" s="7">
        <f>($W835)*(U835)</f>
      </c>
      <c r="Z835" s="7">
        <f>SQRT(X835^2+Y835^2)</f>
      </c>
      <c r="AA835" s="7">
        <f>$K835+$X835</f>
      </c>
      <c r="AB835" s="7">
        <f>$L835+$Y835</f>
      </c>
      <c r="AC835" s="7">
        <f>$K835-$X835</f>
      </c>
      <c r="AD835" s="7">
        <f>$L835-$Y835</f>
      </c>
      <c r="AE835" s="7">
        <f>AA835/39.3701</f>
      </c>
      <c r="AF835" s="7">
        <f>AB835/39.3701</f>
      </c>
      <c r="AG835" s="7">
        <f>AC835/39.3701</f>
      </c>
      <c r="AH835" s="7">
        <f>AD835/39.3701</f>
      </c>
      <c r="AI835" s="1"/>
      <c r="AJ835" s="1"/>
      <c r="AK835" s="1"/>
      <c r="AL835" s="1"/>
      <c r="AM835" s="2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</row>
    <row x14ac:dyDescent="0.25" r="836" customHeight="1" ht="18.75">
      <c r="A836" s="1"/>
      <c r="B836" s="2"/>
      <c r="C836" s="2"/>
      <c r="D836" s="2"/>
      <c r="E836" s="2"/>
      <c r="F836" s="2"/>
      <c r="G836" s="1"/>
      <c r="H836" s="1"/>
      <c r="I836" s="7">
        <v>0.833</v>
      </c>
      <c r="J836" s="7">
        <f>IF((I836-ROUNDDOWN(I836,0))=0, 0, (I836-ROUNDDOWN(I836,0)))</f>
      </c>
      <c r="K836" s="7">
        <f>INDIRECT("C$"&amp;2+MIN(2,ROUNDDOWN(I836,0))*3)*(-$J836^3+3*$J836^2-3*$J836+1)+INDIRECT("C$"&amp;3+MIN(2,ROUNDDOWN(I836,0))*3)*(3*$J836^3-6*$J836^2+3*$J836)+INDIRECT("C$"&amp;4+MIN(2,ROUNDDOWN(I836,0))*3)*(-3*$J836^3+3*$J836^2)+INDIRECT("C$"&amp;5+MIN(2,ROUNDDOWN(I836,0))*3)*$J836^3</f>
      </c>
      <c r="L836" s="7">
        <f>INDIRECT("D$"&amp;2+MIN(2,ROUNDDOWN(I836,0))*3)*(-$J836^3+3*$J836^2-3*$J836+1)+INDIRECT("D$"&amp;3+MIN(2,ROUNDDOWN(I836,0))*3)*(3*$J836^3-6*$J836^2+3*$J836)+INDIRECT("D$"&amp;4+MIN(2,ROUNDDOWN(I836,0))*3)*(-3*$J836^3+3*$J836^2)+INDIRECT("D$"&amp;5+MIN(2,ROUNDDOWN(I836,0))*3)*$J836^3</f>
      </c>
      <c r="M836" s="7">
        <f>SQRT(K836^2+L836^2)</f>
      </c>
      <c r="N836" s="7">
        <f>(K837-K835)</f>
      </c>
      <c r="O836" s="7">
        <f>+(L837-L835)</f>
      </c>
      <c r="P836" s="7">
        <f>SQRT(O836^2+N836^2)</f>
      </c>
      <c r="Q836" s="7">
        <f>N836/$P836</f>
      </c>
      <c r="R836" s="7">
        <f>O836/$P836</f>
      </c>
      <c r="S836" s="7">
        <f>Q836^2+R836^2</f>
      </c>
      <c r="T836" s="7">
        <f>-R836</f>
      </c>
      <c r="U836" s="7">
        <f>Q836</f>
      </c>
      <c r="V836" s="7">
        <f>($C$14+($C$15-$C$14)/($D$15-$D$14)*(I836-$D$14))/2</f>
      </c>
      <c r="W836" s="7">
        <f>($B$22*I836^4+$C$22*I836^3+$D$22*I836^2+$E$22*I836+$F$22)/2</f>
      </c>
      <c r="X836" s="7">
        <f>($W836)*(T836)</f>
      </c>
      <c r="Y836" s="7">
        <f>($W836)*(U836)</f>
      </c>
      <c r="Z836" s="7">
        <f>SQRT(X836^2+Y836^2)</f>
      </c>
      <c r="AA836" s="7">
        <f>$K836+$X836</f>
      </c>
      <c r="AB836" s="7">
        <f>$L836+$Y836</f>
      </c>
      <c r="AC836" s="7">
        <f>$K836-$X836</f>
      </c>
      <c r="AD836" s="7">
        <f>$L836-$Y836</f>
      </c>
      <c r="AE836" s="7">
        <f>AA836/39.3701</f>
      </c>
      <c r="AF836" s="7">
        <f>AB836/39.3701</f>
      </c>
      <c r="AG836" s="7">
        <f>AC836/39.3701</f>
      </c>
      <c r="AH836" s="7">
        <f>AD836/39.3701</f>
      </c>
      <c r="AI836" s="1"/>
      <c r="AJ836" s="1"/>
      <c r="AK836" s="1"/>
      <c r="AL836" s="1"/>
      <c r="AM836" s="2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</row>
    <row x14ac:dyDescent="0.25" r="837" customHeight="1" ht="18.75">
      <c r="A837" s="1"/>
      <c r="B837" s="2"/>
      <c r="C837" s="2"/>
      <c r="D837" s="2"/>
      <c r="E837" s="2"/>
      <c r="F837" s="2"/>
      <c r="G837" s="1"/>
      <c r="H837" s="1"/>
      <c r="I837" s="7">
        <v>0.834</v>
      </c>
      <c r="J837" s="7">
        <f>IF((I837-ROUNDDOWN(I837,0))=0, 0, (I837-ROUNDDOWN(I837,0)))</f>
      </c>
      <c r="K837" s="7">
        <f>INDIRECT("C$"&amp;2+MIN(2,ROUNDDOWN(I837,0))*3)*(-$J837^3+3*$J837^2-3*$J837+1)+INDIRECT("C$"&amp;3+MIN(2,ROUNDDOWN(I837,0))*3)*(3*$J837^3-6*$J837^2+3*$J837)+INDIRECT("C$"&amp;4+MIN(2,ROUNDDOWN(I837,0))*3)*(-3*$J837^3+3*$J837^2)+INDIRECT("C$"&amp;5+MIN(2,ROUNDDOWN(I837,0))*3)*$J837^3</f>
      </c>
      <c r="L837" s="7">
        <f>INDIRECT("D$"&amp;2+MIN(2,ROUNDDOWN(I837,0))*3)*(-$J837^3+3*$J837^2-3*$J837+1)+INDIRECT("D$"&amp;3+MIN(2,ROUNDDOWN(I837,0))*3)*(3*$J837^3-6*$J837^2+3*$J837)+INDIRECT("D$"&amp;4+MIN(2,ROUNDDOWN(I837,0))*3)*(-3*$J837^3+3*$J837^2)+INDIRECT("D$"&amp;5+MIN(2,ROUNDDOWN(I837,0))*3)*$J837^3</f>
      </c>
      <c r="M837" s="7">
        <f>SQRT(K837^2+L837^2)</f>
      </c>
      <c r="N837" s="7">
        <f>(K838-K836)</f>
      </c>
      <c r="O837" s="7">
        <f>+(L838-L836)</f>
      </c>
      <c r="P837" s="7">
        <f>SQRT(O837^2+N837^2)</f>
      </c>
      <c r="Q837" s="7">
        <f>N837/$P837</f>
      </c>
      <c r="R837" s="7">
        <f>O837/$P837</f>
      </c>
      <c r="S837" s="7">
        <f>Q837^2+R837^2</f>
      </c>
      <c r="T837" s="7">
        <f>-R837</f>
      </c>
      <c r="U837" s="7">
        <f>Q837</f>
      </c>
      <c r="V837" s="7">
        <f>($C$14+($C$15-$C$14)/($D$15-$D$14)*(I837-$D$14))/2</f>
      </c>
      <c r="W837" s="7">
        <f>($B$22*I837^4+$C$22*I837^3+$D$22*I837^2+$E$22*I837+$F$22)/2</f>
      </c>
      <c r="X837" s="7">
        <f>($W837)*(T837)</f>
      </c>
      <c r="Y837" s="7">
        <f>($W837)*(U837)</f>
      </c>
      <c r="Z837" s="7">
        <f>SQRT(X837^2+Y837^2)</f>
      </c>
      <c r="AA837" s="7">
        <f>$K837+$X837</f>
      </c>
      <c r="AB837" s="7">
        <f>$L837+$Y837</f>
      </c>
      <c r="AC837" s="7">
        <f>$K837-$X837</f>
      </c>
      <c r="AD837" s="7">
        <f>$L837-$Y837</f>
      </c>
      <c r="AE837" s="7">
        <f>AA837/39.3701</f>
      </c>
      <c r="AF837" s="7">
        <f>AB837/39.3701</f>
      </c>
      <c r="AG837" s="7">
        <f>AC837/39.3701</f>
      </c>
      <c r="AH837" s="7">
        <f>AD837/39.3701</f>
      </c>
      <c r="AI837" s="1"/>
      <c r="AJ837" s="1"/>
      <c r="AK837" s="1"/>
      <c r="AL837" s="1"/>
      <c r="AM837" s="2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</row>
    <row x14ac:dyDescent="0.25" r="838" customHeight="1" ht="18.75">
      <c r="A838" s="1"/>
      <c r="B838" s="2"/>
      <c r="C838" s="2"/>
      <c r="D838" s="2"/>
      <c r="E838" s="2"/>
      <c r="F838" s="2"/>
      <c r="G838" s="1"/>
      <c r="H838" s="1"/>
      <c r="I838" s="7">
        <v>0.835</v>
      </c>
      <c r="J838" s="7">
        <f>IF((I838-ROUNDDOWN(I838,0))=0, 0, (I838-ROUNDDOWN(I838,0)))</f>
      </c>
      <c r="K838" s="7">
        <f>INDIRECT("C$"&amp;2+MIN(2,ROUNDDOWN(I838,0))*3)*(-$J838^3+3*$J838^2-3*$J838+1)+INDIRECT("C$"&amp;3+MIN(2,ROUNDDOWN(I838,0))*3)*(3*$J838^3-6*$J838^2+3*$J838)+INDIRECT("C$"&amp;4+MIN(2,ROUNDDOWN(I838,0))*3)*(-3*$J838^3+3*$J838^2)+INDIRECT("C$"&amp;5+MIN(2,ROUNDDOWN(I838,0))*3)*$J838^3</f>
      </c>
      <c r="L838" s="7">
        <f>INDIRECT("D$"&amp;2+MIN(2,ROUNDDOWN(I838,0))*3)*(-$J838^3+3*$J838^2-3*$J838+1)+INDIRECT("D$"&amp;3+MIN(2,ROUNDDOWN(I838,0))*3)*(3*$J838^3-6*$J838^2+3*$J838)+INDIRECT("D$"&amp;4+MIN(2,ROUNDDOWN(I838,0))*3)*(-3*$J838^3+3*$J838^2)+INDIRECT("D$"&amp;5+MIN(2,ROUNDDOWN(I838,0))*3)*$J838^3</f>
      </c>
      <c r="M838" s="7">
        <f>SQRT(K838^2+L838^2)</f>
      </c>
      <c r="N838" s="7">
        <f>(K839-K837)</f>
      </c>
      <c r="O838" s="7">
        <f>+(L839-L837)</f>
      </c>
      <c r="P838" s="7">
        <f>SQRT(O838^2+N838^2)</f>
      </c>
      <c r="Q838" s="7">
        <f>N838/$P838</f>
      </c>
      <c r="R838" s="7">
        <f>O838/$P838</f>
      </c>
      <c r="S838" s="7">
        <f>Q838^2+R838^2</f>
      </c>
      <c r="T838" s="7">
        <f>-R838</f>
      </c>
      <c r="U838" s="7">
        <f>Q838</f>
      </c>
      <c r="V838" s="7">
        <f>($C$14+($C$15-$C$14)/($D$15-$D$14)*(I838-$D$14))/2</f>
      </c>
      <c r="W838" s="7">
        <f>($B$22*I838^4+$C$22*I838^3+$D$22*I838^2+$E$22*I838+$F$22)/2</f>
      </c>
      <c r="X838" s="7">
        <f>($W838)*(T838)</f>
      </c>
      <c r="Y838" s="7">
        <f>($W838)*(U838)</f>
      </c>
      <c r="Z838" s="7">
        <f>SQRT(X838^2+Y838^2)</f>
      </c>
      <c r="AA838" s="7">
        <f>$K838+$X838</f>
      </c>
      <c r="AB838" s="7">
        <f>$L838+$Y838</f>
      </c>
      <c r="AC838" s="7">
        <f>$K838-$X838</f>
      </c>
      <c r="AD838" s="7">
        <f>$L838-$Y838</f>
      </c>
      <c r="AE838" s="7">
        <f>AA838/39.3701</f>
      </c>
      <c r="AF838" s="7">
        <f>AB838/39.3701</f>
      </c>
      <c r="AG838" s="7">
        <f>AC838/39.3701</f>
      </c>
      <c r="AH838" s="7">
        <f>AD838/39.3701</f>
      </c>
      <c r="AI838" s="1"/>
      <c r="AJ838" s="1"/>
      <c r="AK838" s="1"/>
      <c r="AL838" s="1"/>
      <c r="AM838" s="2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</row>
    <row x14ac:dyDescent="0.25" r="839" customHeight="1" ht="18.75">
      <c r="A839" s="1"/>
      <c r="B839" s="2"/>
      <c r="C839" s="2"/>
      <c r="D839" s="2"/>
      <c r="E839" s="2"/>
      <c r="F839" s="2"/>
      <c r="G839" s="1"/>
      <c r="H839" s="1"/>
      <c r="I839" s="7">
        <v>0.836</v>
      </c>
      <c r="J839" s="7">
        <f>IF((I839-ROUNDDOWN(I839,0))=0, 0, (I839-ROUNDDOWN(I839,0)))</f>
      </c>
      <c r="K839" s="7">
        <f>INDIRECT("C$"&amp;2+MIN(2,ROUNDDOWN(I839,0))*3)*(-$J839^3+3*$J839^2-3*$J839+1)+INDIRECT("C$"&amp;3+MIN(2,ROUNDDOWN(I839,0))*3)*(3*$J839^3-6*$J839^2+3*$J839)+INDIRECT("C$"&amp;4+MIN(2,ROUNDDOWN(I839,0))*3)*(-3*$J839^3+3*$J839^2)+INDIRECT("C$"&amp;5+MIN(2,ROUNDDOWN(I839,0))*3)*$J839^3</f>
      </c>
      <c r="L839" s="7">
        <f>INDIRECT("D$"&amp;2+MIN(2,ROUNDDOWN(I839,0))*3)*(-$J839^3+3*$J839^2-3*$J839+1)+INDIRECT("D$"&amp;3+MIN(2,ROUNDDOWN(I839,0))*3)*(3*$J839^3-6*$J839^2+3*$J839)+INDIRECT("D$"&amp;4+MIN(2,ROUNDDOWN(I839,0))*3)*(-3*$J839^3+3*$J839^2)+INDIRECT("D$"&amp;5+MIN(2,ROUNDDOWN(I839,0))*3)*$J839^3</f>
      </c>
      <c r="M839" s="7">
        <f>SQRT(K839^2+L839^2)</f>
      </c>
      <c r="N839" s="7">
        <f>(K840-K838)</f>
      </c>
      <c r="O839" s="7">
        <f>+(L840-L838)</f>
      </c>
      <c r="P839" s="7">
        <f>SQRT(O839^2+N839^2)</f>
      </c>
      <c r="Q839" s="7">
        <f>N839/$P839</f>
      </c>
      <c r="R839" s="7">
        <f>O839/$P839</f>
      </c>
      <c r="S839" s="7">
        <f>Q839^2+R839^2</f>
      </c>
      <c r="T839" s="7">
        <f>-R839</f>
      </c>
      <c r="U839" s="7">
        <f>Q839</f>
      </c>
      <c r="V839" s="7">
        <f>($C$14+($C$15-$C$14)/($D$15-$D$14)*(I839-$D$14))/2</f>
      </c>
      <c r="W839" s="7">
        <f>($B$22*I839^4+$C$22*I839^3+$D$22*I839^2+$E$22*I839+$F$22)/2</f>
      </c>
      <c r="X839" s="7">
        <f>($W839)*(T839)</f>
      </c>
      <c r="Y839" s="7">
        <f>($W839)*(U839)</f>
      </c>
      <c r="Z839" s="7">
        <f>SQRT(X839^2+Y839^2)</f>
      </c>
      <c r="AA839" s="7">
        <f>$K839+$X839</f>
      </c>
      <c r="AB839" s="7">
        <f>$L839+$Y839</f>
      </c>
      <c r="AC839" s="7">
        <f>$K839-$X839</f>
      </c>
      <c r="AD839" s="7">
        <f>$L839-$Y839</f>
      </c>
      <c r="AE839" s="7">
        <f>AA839/39.3701</f>
      </c>
      <c r="AF839" s="7">
        <f>AB839/39.3701</f>
      </c>
      <c r="AG839" s="7">
        <f>AC839/39.3701</f>
      </c>
      <c r="AH839" s="7">
        <f>AD839/39.3701</f>
      </c>
      <c r="AI839" s="1"/>
      <c r="AJ839" s="1"/>
      <c r="AK839" s="1"/>
      <c r="AL839" s="1"/>
      <c r="AM839" s="2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</row>
    <row x14ac:dyDescent="0.25" r="840" customHeight="1" ht="18.75">
      <c r="A840" s="1"/>
      <c r="B840" s="2"/>
      <c r="C840" s="2"/>
      <c r="D840" s="2"/>
      <c r="E840" s="2"/>
      <c r="F840" s="2"/>
      <c r="G840" s="1"/>
      <c r="H840" s="1"/>
      <c r="I840" s="7">
        <v>0.837</v>
      </c>
      <c r="J840" s="7">
        <f>IF((I840-ROUNDDOWN(I840,0))=0, 0, (I840-ROUNDDOWN(I840,0)))</f>
      </c>
      <c r="K840" s="7">
        <f>INDIRECT("C$"&amp;2+MIN(2,ROUNDDOWN(I840,0))*3)*(-$J840^3+3*$J840^2-3*$J840+1)+INDIRECT("C$"&amp;3+MIN(2,ROUNDDOWN(I840,0))*3)*(3*$J840^3-6*$J840^2+3*$J840)+INDIRECT("C$"&amp;4+MIN(2,ROUNDDOWN(I840,0))*3)*(-3*$J840^3+3*$J840^2)+INDIRECT("C$"&amp;5+MIN(2,ROUNDDOWN(I840,0))*3)*$J840^3</f>
      </c>
      <c r="L840" s="7">
        <f>INDIRECT("D$"&amp;2+MIN(2,ROUNDDOWN(I840,0))*3)*(-$J840^3+3*$J840^2-3*$J840+1)+INDIRECT("D$"&amp;3+MIN(2,ROUNDDOWN(I840,0))*3)*(3*$J840^3-6*$J840^2+3*$J840)+INDIRECT("D$"&amp;4+MIN(2,ROUNDDOWN(I840,0))*3)*(-3*$J840^3+3*$J840^2)+INDIRECT("D$"&amp;5+MIN(2,ROUNDDOWN(I840,0))*3)*$J840^3</f>
      </c>
      <c r="M840" s="7">
        <f>SQRT(K840^2+L840^2)</f>
      </c>
      <c r="N840" s="7">
        <f>(K841-K839)</f>
      </c>
      <c r="O840" s="7">
        <f>+(L841-L839)</f>
      </c>
      <c r="P840" s="7">
        <f>SQRT(O840^2+N840^2)</f>
      </c>
      <c r="Q840" s="7">
        <f>N840/$P840</f>
      </c>
      <c r="R840" s="7">
        <f>O840/$P840</f>
      </c>
      <c r="S840" s="7">
        <f>Q840^2+R840^2</f>
      </c>
      <c r="T840" s="7">
        <f>-R840</f>
      </c>
      <c r="U840" s="7">
        <f>Q840</f>
      </c>
      <c r="V840" s="7">
        <f>($C$14+($C$15-$C$14)/($D$15-$D$14)*(I840-$D$14))/2</f>
      </c>
      <c r="W840" s="7">
        <f>($B$22*I840^4+$C$22*I840^3+$D$22*I840^2+$E$22*I840+$F$22)/2</f>
      </c>
      <c r="X840" s="7">
        <f>($W840)*(T840)</f>
      </c>
      <c r="Y840" s="7">
        <f>($W840)*(U840)</f>
      </c>
      <c r="Z840" s="7">
        <f>SQRT(X840^2+Y840^2)</f>
      </c>
      <c r="AA840" s="7">
        <f>$K840+$X840</f>
      </c>
      <c r="AB840" s="7">
        <f>$L840+$Y840</f>
      </c>
      <c r="AC840" s="7">
        <f>$K840-$X840</f>
      </c>
      <c r="AD840" s="7">
        <f>$L840-$Y840</f>
      </c>
      <c r="AE840" s="7">
        <f>AA840/39.3701</f>
      </c>
      <c r="AF840" s="7">
        <f>AB840/39.3701</f>
      </c>
      <c r="AG840" s="7">
        <f>AC840/39.3701</f>
      </c>
      <c r="AH840" s="7">
        <f>AD840/39.3701</f>
      </c>
      <c r="AI840" s="1"/>
      <c r="AJ840" s="1"/>
      <c r="AK840" s="1"/>
      <c r="AL840" s="1"/>
      <c r="AM840" s="2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</row>
    <row x14ac:dyDescent="0.25" r="841" customHeight="1" ht="18.75">
      <c r="A841" s="1"/>
      <c r="B841" s="2"/>
      <c r="C841" s="2"/>
      <c r="D841" s="2"/>
      <c r="E841" s="2"/>
      <c r="F841" s="2"/>
      <c r="G841" s="1"/>
      <c r="H841" s="1"/>
      <c r="I841" s="7">
        <v>0.838</v>
      </c>
      <c r="J841" s="7">
        <f>IF((I841-ROUNDDOWN(I841,0))=0, 0, (I841-ROUNDDOWN(I841,0)))</f>
      </c>
      <c r="K841" s="7">
        <f>INDIRECT("C$"&amp;2+MIN(2,ROUNDDOWN(I841,0))*3)*(-$J841^3+3*$J841^2-3*$J841+1)+INDIRECT("C$"&amp;3+MIN(2,ROUNDDOWN(I841,0))*3)*(3*$J841^3-6*$J841^2+3*$J841)+INDIRECT("C$"&amp;4+MIN(2,ROUNDDOWN(I841,0))*3)*(-3*$J841^3+3*$J841^2)+INDIRECT("C$"&amp;5+MIN(2,ROUNDDOWN(I841,0))*3)*$J841^3</f>
      </c>
      <c r="L841" s="7">
        <f>INDIRECT("D$"&amp;2+MIN(2,ROUNDDOWN(I841,0))*3)*(-$J841^3+3*$J841^2-3*$J841+1)+INDIRECT("D$"&amp;3+MIN(2,ROUNDDOWN(I841,0))*3)*(3*$J841^3-6*$J841^2+3*$J841)+INDIRECT("D$"&amp;4+MIN(2,ROUNDDOWN(I841,0))*3)*(-3*$J841^3+3*$J841^2)+INDIRECT("D$"&amp;5+MIN(2,ROUNDDOWN(I841,0))*3)*$J841^3</f>
      </c>
      <c r="M841" s="7">
        <f>SQRT(K841^2+L841^2)</f>
      </c>
      <c r="N841" s="7">
        <f>(K842-K840)</f>
      </c>
      <c r="O841" s="7">
        <f>+(L842-L840)</f>
      </c>
      <c r="P841" s="7">
        <f>SQRT(O841^2+N841^2)</f>
      </c>
      <c r="Q841" s="7">
        <f>N841/$P841</f>
      </c>
      <c r="R841" s="7">
        <f>O841/$P841</f>
      </c>
      <c r="S841" s="8">
        <f>Q841^2+R841^2</f>
      </c>
      <c r="T841" s="7">
        <f>-R841</f>
      </c>
      <c r="U841" s="7">
        <f>Q841</f>
      </c>
      <c r="V841" s="7">
        <f>($C$14+($C$15-$C$14)/($D$15-$D$14)*(I841-$D$14))/2</f>
      </c>
      <c r="W841" s="7">
        <f>($B$22*I841^4+$C$22*I841^3+$D$22*I841^2+$E$22*I841+$F$22)/2</f>
      </c>
      <c r="X841" s="7">
        <f>($W841)*(T841)</f>
      </c>
      <c r="Y841" s="7">
        <f>($W841)*(U841)</f>
      </c>
      <c r="Z841" s="7">
        <f>SQRT(X841^2+Y841^2)</f>
      </c>
      <c r="AA841" s="7">
        <f>$K841+$X841</f>
      </c>
      <c r="AB841" s="7">
        <f>$L841+$Y841</f>
      </c>
      <c r="AC841" s="7">
        <f>$K841-$X841</f>
      </c>
      <c r="AD841" s="7">
        <f>$L841-$Y841</f>
      </c>
      <c r="AE841" s="7">
        <f>AA841/39.3701</f>
      </c>
      <c r="AF841" s="7">
        <f>AB841/39.3701</f>
      </c>
      <c r="AG841" s="7">
        <f>AC841/39.3701</f>
      </c>
      <c r="AH841" s="7">
        <f>AD841/39.3701</f>
      </c>
      <c r="AI841" s="1"/>
      <c r="AJ841" s="1"/>
      <c r="AK841" s="1"/>
      <c r="AL841" s="1"/>
      <c r="AM841" s="2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</row>
    <row x14ac:dyDescent="0.25" r="842" customHeight="1" ht="18.75">
      <c r="A842" s="1"/>
      <c r="B842" s="2"/>
      <c r="C842" s="2"/>
      <c r="D842" s="2"/>
      <c r="E842" s="2"/>
      <c r="F842" s="2"/>
      <c r="G842" s="1"/>
      <c r="H842" s="1"/>
      <c r="I842" s="7">
        <v>0.839</v>
      </c>
      <c r="J842" s="7">
        <f>IF((I842-ROUNDDOWN(I842,0))=0, 0, (I842-ROUNDDOWN(I842,0)))</f>
      </c>
      <c r="K842" s="7">
        <f>INDIRECT("C$"&amp;2+MIN(2,ROUNDDOWN(I842,0))*3)*(-$J842^3+3*$J842^2-3*$J842+1)+INDIRECT("C$"&amp;3+MIN(2,ROUNDDOWN(I842,0))*3)*(3*$J842^3-6*$J842^2+3*$J842)+INDIRECT("C$"&amp;4+MIN(2,ROUNDDOWN(I842,0))*3)*(-3*$J842^3+3*$J842^2)+INDIRECT("C$"&amp;5+MIN(2,ROUNDDOWN(I842,0))*3)*$J842^3</f>
      </c>
      <c r="L842" s="7">
        <f>INDIRECT("D$"&amp;2+MIN(2,ROUNDDOWN(I842,0))*3)*(-$J842^3+3*$J842^2-3*$J842+1)+INDIRECT("D$"&amp;3+MIN(2,ROUNDDOWN(I842,0))*3)*(3*$J842^3-6*$J842^2+3*$J842)+INDIRECT("D$"&amp;4+MIN(2,ROUNDDOWN(I842,0))*3)*(-3*$J842^3+3*$J842^2)+INDIRECT("D$"&amp;5+MIN(2,ROUNDDOWN(I842,0))*3)*$J842^3</f>
      </c>
      <c r="M842" s="7">
        <f>SQRT(K842^2+L842^2)</f>
      </c>
      <c r="N842" s="7">
        <f>(K843-K841)</f>
      </c>
      <c r="O842" s="7">
        <f>+(L843-L841)</f>
      </c>
      <c r="P842" s="7">
        <f>SQRT(O842^2+N842^2)</f>
      </c>
      <c r="Q842" s="7">
        <f>N842/$P842</f>
      </c>
      <c r="R842" s="7">
        <f>O842/$P842</f>
      </c>
      <c r="S842" s="8">
        <f>Q842^2+R842^2</f>
      </c>
      <c r="T842" s="7">
        <f>-R842</f>
      </c>
      <c r="U842" s="7">
        <f>Q842</f>
      </c>
      <c r="V842" s="7">
        <f>($C$14+($C$15-$C$14)/($D$15-$D$14)*(I842-$D$14))/2</f>
      </c>
      <c r="W842" s="7">
        <f>($B$22*I842^4+$C$22*I842^3+$D$22*I842^2+$E$22*I842+$F$22)/2</f>
      </c>
      <c r="X842" s="7">
        <f>($W842)*(T842)</f>
      </c>
      <c r="Y842" s="7">
        <f>($W842)*(U842)</f>
      </c>
      <c r="Z842" s="7">
        <f>SQRT(X842^2+Y842^2)</f>
      </c>
      <c r="AA842" s="7">
        <f>$K842+$X842</f>
      </c>
      <c r="AB842" s="7">
        <f>$L842+$Y842</f>
      </c>
      <c r="AC842" s="7">
        <f>$K842-$X842</f>
      </c>
      <c r="AD842" s="7">
        <f>$L842-$Y842</f>
      </c>
      <c r="AE842" s="7">
        <f>AA842/39.3701</f>
      </c>
      <c r="AF842" s="7">
        <f>AB842/39.3701</f>
      </c>
      <c r="AG842" s="7">
        <f>AC842/39.3701</f>
      </c>
      <c r="AH842" s="7">
        <f>AD842/39.3701</f>
      </c>
      <c r="AI842" s="1"/>
      <c r="AJ842" s="1"/>
      <c r="AK842" s="1"/>
      <c r="AL842" s="1"/>
      <c r="AM842" s="2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</row>
    <row x14ac:dyDescent="0.25" r="843" customHeight="1" ht="18.75">
      <c r="A843" s="1"/>
      <c r="B843" s="2"/>
      <c r="C843" s="2"/>
      <c r="D843" s="2"/>
      <c r="E843" s="2"/>
      <c r="F843" s="2"/>
      <c r="G843" s="1"/>
      <c r="H843" s="1"/>
      <c r="I843" s="7">
        <v>0.84</v>
      </c>
      <c r="J843" s="7">
        <f>IF((I843-ROUNDDOWN(I843,0))=0, 0, (I843-ROUNDDOWN(I843,0)))</f>
      </c>
      <c r="K843" s="7">
        <f>INDIRECT("C$"&amp;2+MIN(2,ROUNDDOWN(I843,0))*3)*(-$J843^3+3*$J843^2-3*$J843+1)+INDIRECT("C$"&amp;3+MIN(2,ROUNDDOWN(I843,0))*3)*(3*$J843^3-6*$J843^2+3*$J843)+INDIRECT("C$"&amp;4+MIN(2,ROUNDDOWN(I843,0))*3)*(-3*$J843^3+3*$J843^2)+INDIRECT("C$"&amp;5+MIN(2,ROUNDDOWN(I843,0))*3)*$J843^3</f>
      </c>
      <c r="L843" s="7">
        <f>INDIRECT("D$"&amp;2+MIN(2,ROUNDDOWN(I843,0))*3)*(-$J843^3+3*$J843^2-3*$J843+1)+INDIRECT("D$"&amp;3+MIN(2,ROUNDDOWN(I843,0))*3)*(3*$J843^3-6*$J843^2+3*$J843)+INDIRECT("D$"&amp;4+MIN(2,ROUNDDOWN(I843,0))*3)*(-3*$J843^3+3*$J843^2)+INDIRECT("D$"&amp;5+MIN(2,ROUNDDOWN(I843,0))*3)*$J843^3</f>
      </c>
      <c r="M843" s="7">
        <f>SQRT(K843^2+L843^2)</f>
      </c>
      <c r="N843" s="7">
        <f>(K844-K842)</f>
      </c>
      <c r="O843" s="7">
        <f>+(L844-L842)</f>
      </c>
      <c r="P843" s="7">
        <f>SQRT(O843^2+N843^2)</f>
      </c>
      <c r="Q843" s="7">
        <f>N843/$P843</f>
      </c>
      <c r="R843" s="7">
        <f>O843/$P843</f>
      </c>
      <c r="S843" s="7">
        <f>Q843^2+R843^2</f>
      </c>
      <c r="T843" s="7">
        <f>-R843</f>
      </c>
      <c r="U843" s="7">
        <f>Q843</f>
      </c>
      <c r="V843" s="7">
        <f>($C$14+($C$15-$C$14)/($D$15-$D$14)*(I843-$D$14))/2</f>
      </c>
      <c r="W843" s="7">
        <f>($B$22*I843^4+$C$22*I843^3+$D$22*I843^2+$E$22*I843+$F$22)/2</f>
      </c>
      <c r="X843" s="7">
        <f>($W843)*(T843)</f>
      </c>
      <c r="Y843" s="7">
        <f>($W843)*(U843)</f>
      </c>
      <c r="Z843" s="7">
        <f>SQRT(X843^2+Y843^2)</f>
      </c>
      <c r="AA843" s="7">
        <f>$K843+$X843</f>
      </c>
      <c r="AB843" s="7">
        <f>$L843+$Y843</f>
      </c>
      <c r="AC843" s="7">
        <f>$K843-$X843</f>
      </c>
      <c r="AD843" s="7">
        <f>$L843-$Y843</f>
      </c>
      <c r="AE843" s="7">
        <f>AA843/39.3701</f>
      </c>
      <c r="AF843" s="7">
        <f>AB843/39.3701</f>
      </c>
      <c r="AG843" s="7">
        <f>AC843/39.3701</f>
      </c>
      <c r="AH843" s="7">
        <f>AD843/39.3701</f>
      </c>
      <c r="AI843" s="1"/>
      <c r="AJ843" s="1"/>
      <c r="AK843" s="1"/>
      <c r="AL843" s="1"/>
      <c r="AM843" s="2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</row>
    <row x14ac:dyDescent="0.25" r="844" customHeight="1" ht="18.75">
      <c r="A844" s="1"/>
      <c r="B844" s="2"/>
      <c r="C844" s="2"/>
      <c r="D844" s="2"/>
      <c r="E844" s="2"/>
      <c r="F844" s="2"/>
      <c r="G844" s="1"/>
      <c r="H844" s="1"/>
      <c r="I844" s="7">
        <v>0.841</v>
      </c>
      <c r="J844" s="7">
        <f>IF((I844-ROUNDDOWN(I844,0))=0, 0, (I844-ROUNDDOWN(I844,0)))</f>
      </c>
      <c r="K844" s="7">
        <f>INDIRECT("C$"&amp;2+MIN(2,ROUNDDOWN(I844,0))*3)*(-$J844^3+3*$J844^2-3*$J844+1)+INDIRECT("C$"&amp;3+MIN(2,ROUNDDOWN(I844,0))*3)*(3*$J844^3-6*$J844^2+3*$J844)+INDIRECT("C$"&amp;4+MIN(2,ROUNDDOWN(I844,0))*3)*(-3*$J844^3+3*$J844^2)+INDIRECT("C$"&amp;5+MIN(2,ROUNDDOWN(I844,0))*3)*$J844^3</f>
      </c>
      <c r="L844" s="7">
        <f>INDIRECT("D$"&amp;2+MIN(2,ROUNDDOWN(I844,0))*3)*(-$J844^3+3*$J844^2-3*$J844+1)+INDIRECT("D$"&amp;3+MIN(2,ROUNDDOWN(I844,0))*3)*(3*$J844^3-6*$J844^2+3*$J844)+INDIRECT("D$"&amp;4+MIN(2,ROUNDDOWN(I844,0))*3)*(-3*$J844^3+3*$J844^2)+INDIRECT("D$"&amp;5+MIN(2,ROUNDDOWN(I844,0))*3)*$J844^3</f>
      </c>
      <c r="M844" s="7">
        <f>SQRT(K844^2+L844^2)</f>
      </c>
      <c r="N844" s="7">
        <f>(K845-K843)</f>
      </c>
      <c r="O844" s="7">
        <f>+(L845-L843)</f>
      </c>
      <c r="P844" s="7">
        <f>SQRT(O844^2+N844^2)</f>
      </c>
      <c r="Q844" s="7">
        <f>N844/$P844</f>
      </c>
      <c r="R844" s="7">
        <f>O844/$P844</f>
      </c>
      <c r="S844" s="7">
        <f>Q844^2+R844^2</f>
      </c>
      <c r="T844" s="7">
        <f>-R844</f>
      </c>
      <c r="U844" s="7">
        <f>Q844</f>
      </c>
      <c r="V844" s="7">
        <f>($C$14+($C$15-$C$14)/($D$15-$D$14)*(I844-$D$14))/2</f>
      </c>
      <c r="W844" s="7">
        <f>($B$22*I844^4+$C$22*I844^3+$D$22*I844^2+$E$22*I844+$F$22)/2</f>
      </c>
      <c r="X844" s="7">
        <f>($W844)*(T844)</f>
      </c>
      <c r="Y844" s="7">
        <f>($W844)*(U844)</f>
      </c>
      <c r="Z844" s="7">
        <f>SQRT(X844^2+Y844^2)</f>
      </c>
      <c r="AA844" s="7">
        <f>$K844+$X844</f>
      </c>
      <c r="AB844" s="7">
        <f>$L844+$Y844</f>
      </c>
      <c r="AC844" s="7">
        <f>$K844-$X844</f>
      </c>
      <c r="AD844" s="7">
        <f>$L844-$Y844</f>
      </c>
      <c r="AE844" s="7">
        <f>AA844/39.3701</f>
      </c>
      <c r="AF844" s="7">
        <f>AB844/39.3701</f>
      </c>
      <c r="AG844" s="7">
        <f>AC844/39.3701</f>
      </c>
      <c r="AH844" s="7">
        <f>AD844/39.3701</f>
      </c>
      <c r="AI844" s="1"/>
      <c r="AJ844" s="1"/>
      <c r="AK844" s="1"/>
      <c r="AL844" s="1"/>
      <c r="AM844" s="2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</row>
    <row x14ac:dyDescent="0.25" r="845" customHeight="1" ht="18.75">
      <c r="A845" s="1"/>
      <c r="B845" s="2"/>
      <c r="C845" s="2"/>
      <c r="D845" s="2"/>
      <c r="E845" s="2"/>
      <c r="F845" s="2"/>
      <c r="G845" s="1"/>
      <c r="H845" s="1"/>
      <c r="I845" s="7">
        <v>0.842</v>
      </c>
      <c r="J845" s="7">
        <f>IF((I845-ROUNDDOWN(I845,0))=0, 0, (I845-ROUNDDOWN(I845,0)))</f>
      </c>
      <c r="K845" s="7">
        <f>INDIRECT("C$"&amp;2+MIN(2,ROUNDDOWN(I845,0))*3)*(-$J845^3+3*$J845^2-3*$J845+1)+INDIRECT("C$"&amp;3+MIN(2,ROUNDDOWN(I845,0))*3)*(3*$J845^3-6*$J845^2+3*$J845)+INDIRECT("C$"&amp;4+MIN(2,ROUNDDOWN(I845,0))*3)*(-3*$J845^3+3*$J845^2)+INDIRECT("C$"&amp;5+MIN(2,ROUNDDOWN(I845,0))*3)*$J845^3</f>
      </c>
      <c r="L845" s="7">
        <f>INDIRECT("D$"&amp;2+MIN(2,ROUNDDOWN(I845,0))*3)*(-$J845^3+3*$J845^2-3*$J845+1)+INDIRECT("D$"&amp;3+MIN(2,ROUNDDOWN(I845,0))*3)*(3*$J845^3-6*$J845^2+3*$J845)+INDIRECT("D$"&amp;4+MIN(2,ROUNDDOWN(I845,0))*3)*(-3*$J845^3+3*$J845^2)+INDIRECT("D$"&amp;5+MIN(2,ROUNDDOWN(I845,0))*3)*$J845^3</f>
      </c>
      <c r="M845" s="7">
        <f>SQRT(K845^2+L845^2)</f>
      </c>
      <c r="N845" s="7">
        <f>(K846-K844)</f>
      </c>
      <c r="O845" s="7">
        <f>+(L846-L844)</f>
      </c>
      <c r="P845" s="7">
        <f>SQRT(O845^2+N845^2)</f>
      </c>
      <c r="Q845" s="7">
        <f>N845/$P845</f>
      </c>
      <c r="R845" s="7">
        <f>O845/$P845</f>
      </c>
      <c r="S845" s="7">
        <f>Q845^2+R845^2</f>
      </c>
      <c r="T845" s="7">
        <f>-R845</f>
      </c>
      <c r="U845" s="7">
        <f>Q845</f>
      </c>
      <c r="V845" s="7">
        <f>($C$14+($C$15-$C$14)/($D$15-$D$14)*(I845-$D$14))/2</f>
      </c>
      <c r="W845" s="7">
        <f>($B$22*I845^4+$C$22*I845^3+$D$22*I845^2+$E$22*I845+$F$22)/2</f>
      </c>
      <c r="X845" s="7">
        <f>($W845)*(T845)</f>
      </c>
      <c r="Y845" s="7">
        <f>($W845)*(U845)</f>
      </c>
      <c r="Z845" s="7">
        <f>SQRT(X845^2+Y845^2)</f>
      </c>
      <c r="AA845" s="7">
        <f>$K845+$X845</f>
      </c>
      <c r="AB845" s="7">
        <f>$L845+$Y845</f>
      </c>
      <c r="AC845" s="7">
        <f>$K845-$X845</f>
      </c>
      <c r="AD845" s="7">
        <f>$L845-$Y845</f>
      </c>
      <c r="AE845" s="7">
        <f>AA845/39.3701</f>
      </c>
      <c r="AF845" s="7">
        <f>AB845/39.3701</f>
      </c>
      <c r="AG845" s="7">
        <f>AC845/39.3701</f>
      </c>
      <c r="AH845" s="7">
        <f>AD845/39.3701</f>
      </c>
      <c r="AI845" s="1"/>
      <c r="AJ845" s="1"/>
      <c r="AK845" s="1"/>
      <c r="AL845" s="1"/>
      <c r="AM845" s="2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</row>
    <row x14ac:dyDescent="0.25" r="846" customHeight="1" ht="18.75">
      <c r="A846" s="1"/>
      <c r="B846" s="2"/>
      <c r="C846" s="2"/>
      <c r="D846" s="2"/>
      <c r="E846" s="2"/>
      <c r="F846" s="2"/>
      <c r="G846" s="1"/>
      <c r="H846" s="1"/>
      <c r="I846" s="7">
        <v>0.843</v>
      </c>
      <c r="J846" s="7">
        <f>IF((I846-ROUNDDOWN(I846,0))=0, 0, (I846-ROUNDDOWN(I846,0)))</f>
      </c>
      <c r="K846" s="7">
        <f>INDIRECT("C$"&amp;2+MIN(2,ROUNDDOWN(I846,0))*3)*(-$J846^3+3*$J846^2-3*$J846+1)+INDIRECT("C$"&amp;3+MIN(2,ROUNDDOWN(I846,0))*3)*(3*$J846^3-6*$J846^2+3*$J846)+INDIRECT("C$"&amp;4+MIN(2,ROUNDDOWN(I846,0))*3)*(-3*$J846^3+3*$J846^2)+INDIRECT("C$"&amp;5+MIN(2,ROUNDDOWN(I846,0))*3)*$J846^3</f>
      </c>
      <c r="L846" s="7">
        <f>INDIRECT("D$"&amp;2+MIN(2,ROUNDDOWN(I846,0))*3)*(-$J846^3+3*$J846^2-3*$J846+1)+INDIRECT("D$"&amp;3+MIN(2,ROUNDDOWN(I846,0))*3)*(3*$J846^3-6*$J846^2+3*$J846)+INDIRECT("D$"&amp;4+MIN(2,ROUNDDOWN(I846,0))*3)*(-3*$J846^3+3*$J846^2)+INDIRECT("D$"&amp;5+MIN(2,ROUNDDOWN(I846,0))*3)*$J846^3</f>
      </c>
      <c r="M846" s="7">
        <f>SQRT(K846^2+L846^2)</f>
      </c>
      <c r="N846" s="7">
        <f>(K847-K845)</f>
      </c>
      <c r="O846" s="7">
        <f>+(L847-L845)</f>
      </c>
      <c r="P846" s="7">
        <f>SQRT(O846^2+N846^2)</f>
      </c>
      <c r="Q846" s="7">
        <f>N846/$P846</f>
      </c>
      <c r="R846" s="7">
        <f>O846/$P846</f>
      </c>
      <c r="S846" s="7">
        <f>Q846^2+R846^2</f>
      </c>
      <c r="T846" s="7">
        <f>-R846</f>
      </c>
      <c r="U846" s="7">
        <f>Q846</f>
      </c>
      <c r="V846" s="7">
        <f>($C$14+($C$15-$C$14)/($D$15-$D$14)*(I846-$D$14))/2</f>
      </c>
      <c r="W846" s="7">
        <f>($B$22*I846^4+$C$22*I846^3+$D$22*I846^2+$E$22*I846+$F$22)/2</f>
      </c>
      <c r="X846" s="7">
        <f>($W846)*(T846)</f>
      </c>
      <c r="Y846" s="7">
        <f>($W846)*(U846)</f>
      </c>
      <c r="Z846" s="7">
        <f>SQRT(X846^2+Y846^2)</f>
      </c>
      <c r="AA846" s="7">
        <f>$K846+$X846</f>
      </c>
      <c r="AB846" s="7">
        <f>$L846+$Y846</f>
      </c>
      <c r="AC846" s="7">
        <f>$K846-$X846</f>
      </c>
      <c r="AD846" s="7">
        <f>$L846-$Y846</f>
      </c>
      <c r="AE846" s="7">
        <f>AA846/39.3701</f>
      </c>
      <c r="AF846" s="7">
        <f>AB846/39.3701</f>
      </c>
      <c r="AG846" s="7">
        <f>AC846/39.3701</f>
      </c>
      <c r="AH846" s="7">
        <f>AD846/39.3701</f>
      </c>
      <c r="AI846" s="1"/>
      <c r="AJ846" s="1"/>
      <c r="AK846" s="1"/>
      <c r="AL846" s="1"/>
      <c r="AM846" s="2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</row>
    <row x14ac:dyDescent="0.25" r="847" customHeight="1" ht="18.75">
      <c r="A847" s="1"/>
      <c r="B847" s="2"/>
      <c r="C847" s="2"/>
      <c r="D847" s="2"/>
      <c r="E847" s="2"/>
      <c r="F847" s="2"/>
      <c r="G847" s="1"/>
      <c r="H847" s="1"/>
      <c r="I847" s="7">
        <v>0.844</v>
      </c>
      <c r="J847" s="7">
        <f>IF((I847-ROUNDDOWN(I847,0))=0, 0, (I847-ROUNDDOWN(I847,0)))</f>
      </c>
      <c r="K847" s="7">
        <f>INDIRECT("C$"&amp;2+MIN(2,ROUNDDOWN(I847,0))*3)*(-$J847^3+3*$J847^2-3*$J847+1)+INDIRECT("C$"&amp;3+MIN(2,ROUNDDOWN(I847,0))*3)*(3*$J847^3-6*$J847^2+3*$J847)+INDIRECT("C$"&amp;4+MIN(2,ROUNDDOWN(I847,0))*3)*(-3*$J847^3+3*$J847^2)+INDIRECT("C$"&amp;5+MIN(2,ROUNDDOWN(I847,0))*3)*$J847^3</f>
      </c>
      <c r="L847" s="7">
        <f>INDIRECT("D$"&amp;2+MIN(2,ROUNDDOWN(I847,0))*3)*(-$J847^3+3*$J847^2-3*$J847+1)+INDIRECT("D$"&amp;3+MIN(2,ROUNDDOWN(I847,0))*3)*(3*$J847^3-6*$J847^2+3*$J847)+INDIRECT("D$"&amp;4+MIN(2,ROUNDDOWN(I847,0))*3)*(-3*$J847^3+3*$J847^2)+INDIRECT("D$"&amp;5+MIN(2,ROUNDDOWN(I847,0))*3)*$J847^3</f>
      </c>
      <c r="M847" s="7">
        <f>SQRT(K847^2+L847^2)</f>
      </c>
      <c r="N847" s="7">
        <f>(K848-K846)</f>
      </c>
      <c r="O847" s="7">
        <f>+(L848-L846)</f>
      </c>
      <c r="P847" s="7">
        <f>SQRT(O847^2+N847^2)</f>
      </c>
      <c r="Q847" s="7">
        <f>N847/$P847</f>
      </c>
      <c r="R847" s="7">
        <f>O847/$P847</f>
      </c>
      <c r="S847" s="8">
        <f>Q847^2+R847^2</f>
      </c>
      <c r="T847" s="7">
        <f>-R847</f>
      </c>
      <c r="U847" s="7">
        <f>Q847</f>
      </c>
      <c r="V847" s="7">
        <f>($C$14+($C$15-$C$14)/($D$15-$D$14)*(I847-$D$14))/2</f>
      </c>
      <c r="W847" s="7">
        <f>($B$22*I847^4+$C$22*I847^3+$D$22*I847^2+$E$22*I847+$F$22)/2</f>
      </c>
      <c r="X847" s="7">
        <f>($W847)*(T847)</f>
      </c>
      <c r="Y847" s="7">
        <f>($W847)*(U847)</f>
      </c>
      <c r="Z847" s="7">
        <f>SQRT(X847^2+Y847^2)</f>
      </c>
      <c r="AA847" s="7">
        <f>$K847+$X847</f>
      </c>
      <c r="AB847" s="7">
        <f>$L847+$Y847</f>
      </c>
      <c r="AC847" s="7">
        <f>$K847-$X847</f>
      </c>
      <c r="AD847" s="7">
        <f>$L847-$Y847</f>
      </c>
      <c r="AE847" s="7">
        <f>AA847/39.3701</f>
      </c>
      <c r="AF847" s="7">
        <f>AB847/39.3701</f>
      </c>
      <c r="AG847" s="7">
        <f>AC847/39.3701</f>
      </c>
      <c r="AH847" s="7">
        <f>AD847/39.3701</f>
      </c>
      <c r="AI847" s="1"/>
      <c r="AJ847" s="1"/>
      <c r="AK847" s="1"/>
      <c r="AL847" s="1"/>
      <c r="AM847" s="2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</row>
    <row x14ac:dyDescent="0.25" r="848" customHeight="1" ht="18.75">
      <c r="A848" s="1"/>
      <c r="B848" s="2"/>
      <c r="C848" s="2"/>
      <c r="D848" s="2"/>
      <c r="E848" s="2"/>
      <c r="F848" s="2"/>
      <c r="G848" s="1"/>
      <c r="H848" s="1"/>
      <c r="I848" s="7">
        <v>0.845</v>
      </c>
      <c r="J848" s="7">
        <f>IF((I848-ROUNDDOWN(I848,0))=0, 0, (I848-ROUNDDOWN(I848,0)))</f>
      </c>
      <c r="K848" s="7">
        <f>INDIRECT("C$"&amp;2+MIN(2,ROUNDDOWN(I848,0))*3)*(-$J848^3+3*$J848^2-3*$J848+1)+INDIRECT("C$"&amp;3+MIN(2,ROUNDDOWN(I848,0))*3)*(3*$J848^3-6*$J848^2+3*$J848)+INDIRECT("C$"&amp;4+MIN(2,ROUNDDOWN(I848,0))*3)*(-3*$J848^3+3*$J848^2)+INDIRECT("C$"&amp;5+MIN(2,ROUNDDOWN(I848,0))*3)*$J848^3</f>
      </c>
      <c r="L848" s="7">
        <f>INDIRECT("D$"&amp;2+MIN(2,ROUNDDOWN(I848,0))*3)*(-$J848^3+3*$J848^2-3*$J848+1)+INDIRECT("D$"&amp;3+MIN(2,ROUNDDOWN(I848,0))*3)*(3*$J848^3-6*$J848^2+3*$J848)+INDIRECT("D$"&amp;4+MIN(2,ROUNDDOWN(I848,0))*3)*(-3*$J848^3+3*$J848^2)+INDIRECT("D$"&amp;5+MIN(2,ROUNDDOWN(I848,0))*3)*$J848^3</f>
      </c>
      <c r="M848" s="7">
        <f>SQRT(K848^2+L848^2)</f>
      </c>
      <c r="N848" s="7">
        <f>(K849-K847)</f>
      </c>
      <c r="O848" s="7">
        <f>+(L849-L847)</f>
      </c>
      <c r="P848" s="7">
        <f>SQRT(O848^2+N848^2)</f>
      </c>
      <c r="Q848" s="7">
        <f>N848/$P848</f>
      </c>
      <c r="R848" s="7">
        <f>O848/$P848</f>
      </c>
      <c r="S848" s="7">
        <f>Q848^2+R848^2</f>
      </c>
      <c r="T848" s="7">
        <f>-R848</f>
      </c>
      <c r="U848" s="7">
        <f>Q848</f>
      </c>
      <c r="V848" s="7">
        <f>($C$14+($C$15-$C$14)/($D$15-$D$14)*(I848-$D$14))/2</f>
      </c>
      <c r="W848" s="7">
        <f>($B$22*I848^4+$C$22*I848^3+$D$22*I848^2+$E$22*I848+$F$22)/2</f>
      </c>
      <c r="X848" s="7">
        <f>($W848)*(T848)</f>
      </c>
      <c r="Y848" s="7">
        <f>($W848)*(U848)</f>
      </c>
      <c r="Z848" s="7">
        <f>SQRT(X848^2+Y848^2)</f>
      </c>
      <c r="AA848" s="7">
        <f>$K848+$X848</f>
      </c>
      <c r="AB848" s="7">
        <f>$L848+$Y848</f>
      </c>
      <c r="AC848" s="7">
        <f>$K848-$X848</f>
      </c>
      <c r="AD848" s="7">
        <f>$L848-$Y848</f>
      </c>
      <c r="AE848" s="7">
        <f>AA848/39.3701</f>
      </c>
      <c r="AF848" s="7">
        <f>AB848/39.3701</f>
      </c>
      <c r="AG848" s="7">
        <f>AC848/39.3701</f>
      </c>
      <c r="AH848" s="7">
        <f>AD848/39.3701</f>
      </c>
      <c r="AI848" s="1"/>
      <c r="AJ848" s="1"/>
      <c r="AK848" s="1"/>
      <c r="AL848" s="1"/>
      <c r="AM848" s="2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</row>
    <row x14ac:dyDescent="0.25" r="849" customHeight="1" ht="18.75">
      <c r="A849" s="1"/>
      <c r="B849" s="2"/>
      <c r="C849" s="2"/>
      <c r="D849" s="2"/>
      <c r="E849" s="2"/>
      <c r="F849" s="2"/>
      <c r="G849" s="1"/>
      <c r="H849" s="1"/>
      <c r="I849" s="7">
        <v>0.846</v>
      </c>
      <c r="J849" s="7">
        <f>IF((I849-ROUNDDOWN(I849,0))=0, 0, (I849-ROUNDDOWN(I849,0)))</f>
      </c>
      <c r="K849" s="7">
        <f>INDIRECT("C$"&amp;2+MIN(2,ROUNDDOWN(I849,0))*3)*(-$J849^3+3*$J849^2-3*$J849+1)+INDIRECT("C$"&amp;3+MIN(2,ROUNDDOWN(I849,0))*3)*(3*$J849^3-6*$J849^2+3*$J849)+INDIRECT("C$"&amp;4+MIN(2,ROUNDDOWN(I849,0))*3)*(-3*$J849^3+3*$J849^2)+INDIRECT("C$"&amp;5+MIN(2,ROUNDDOWN(I849,0))*3)*$J849^3</f>
      </c>
      <c r="L849" s="7">
        <f>INDIRECT("D$"&amp;2+MIN(2,ROUNDDOWN(I849,0))*3)*(-$J849^3+3*$J849^2-3*$J849+1)+INDIRECT("D$"&amp;3+MIN(2,ROUNDDOWN(I849,0))*3)*(3*$J849^3-6*$J849^2+3*$J849)+INDIRECT("D$"&amp;4+MIN(2,ROUNDDOWN(I849,0))*3)*(-3*$J849^3+3*$J849^2)+INDIRECT("D$"&amp;5+MIN(2,ROUNDDOWN(I849,0))*3)*$J849^3</f>
      </c>
      <c r="M849" s="7">
        <f>SQRT(K849^2+L849^2)</f>
      </c>
      <c r="N849" s="7">
        <f>(K850-K848)</f>
      </c>
      <c r="O849" s="7">
        <f>+(L850-L848)</f>
      </c>
      <c r="P849" s="7">
        <f>SQRT(O849^2+N849^2)</f>
      </c>
      <c r="Q849" s="7">
        <f>N849/$P849</f>
      </c>
      <c r="R849" s="7">
        <f>O849/$P849</f>
      </c>
      <c r="S849" s="8">
        <f>Q849^2+R849^2</f>
      </c>
      <c r="T849" s="7">
        <f>-R849</f>
      </c>
      <c r="U849" s="7">
        <f>Q849</f>
      </c>
      <c r="V849" s="7">
        <f>($C$14+($C$15-$C$14)/($D$15-$D$14)*(I849-$D$14))/2</f>
      </c>
      <c r="W849" s="7">
        <f>($B$22*I849^4+$C$22*I849^3+$D$22*I849^2+$E$22*I849+$F$22)/2</f>
      </c>
      <c r="X849" s="7">
        <f>($W849)*(T849)</f>
      </c>
      <c r="Y849" s="7">
        <f>($W849)*(U849)</f>
      </c>
      <c r="Z849" s="7">
        <f>SQRT(X849^2+Y849^2)</f>
      </c>
      <c r="AA849" s="7">
        <f>$K849+$X849</f>
      </c>
      <c r="AB849" s="7">
        <f>$L849+$Y849</f>
      </c>
      <c r="AC849" s="7">
        <f>$K849-$X849</f>
      </c>
      <c r="AD849" s="7">
        <f>$L849-$Y849</f>
      </c>
      <c r="AE849" s="7">
        <f>AA849/39.3701</f>
      </c>
      <c r="AF849" s="7">
        <f>AB849/39.3701</f>
      </c>
      <c r="AG849" s="7">
        <f>AC849/39.3701</f>
      </c>
      <c r="AH849" s="7">
        <f>AD849/39.3701</f>
      </c>
      <c r="AI849" s="1"/>
      <c r="AJ849" s="1"/>
      <c r="AK849" s="1"/>
      <c r="AL849" s="1"/>
      <c r="AM849" s="2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</row>
    <row x14ac:dyDescent="0.25" r="850" customHeight="1" ht="18.75">
      <c r="A850" s="1"/>
      <c r="B850" s="2"/>
      <c r="C850" s="2"/>
      <c r="D850" s="2"/>
      <c r="E850" s="2"/>
      <c r="F850" s="2"/>
      <c r="G850" s="1"/>
      <c r="H850" s="1"/>
      <c r="I850" s="7">
        <v>0.847</v>
      </c>
      <c r="J850" s="7">
        <f>IF((I850-ROUNDDOWN(I850,0))=0, 0, (I850-ROUNDDOWN(I850,0)))</f>
      </c>
      <c r="K850" s="7">
        <f>INDIRECT("C$"&amp;2+MIN(2,ROUNDDOWN(I850,0))*3)*(-$J850^3+3*$J850^2-3*$J850+1)+INDIRECT("C$"&amp;3+MIN(2,ROUNDDOWN(I850,0))*3)*(3*$J850^3-6*$J850^2+3*$J850)+INDIRECT("C$"&amp;4+MIN(2,ROUNDDOWN(I850,0))*3)*(-3*$J850^3+3*$J850^2)+INDIRECT("C$"&amp;5+MIN(2,ROUNDDOWN(I850,0))*3)*$J850^3</f>
      </c>
      <c r="L850" s="7">
        <f>INDIRECT("D$"&amp;2+MIN(2,ROUNDDOWN(I850,0))*3)*(-$J850^3+3*$J850^2-3*$J850+1)+INDIRECT("D$"&amp;3+MIN(2,ROUNDDOWN(I850,0))*3)*(3*$J850^3-6*$J850^2+3*$J850)+INDIRECT("D$"&amp;4+MIN(2,ROUNDDOWN(I850,0))*3)*(-3*$J850^3+3*$J850^2)+INDIRECT("D$"&amp;5+MIN(2,ROUNDDOWN(I850,0))*3)*$J850^3</f>
      </c>
      <c r="M850" s="7">
        <f>SQRT(K850^2+L850^2)</f>
      </c>
      <c r="N850" s="7">
        <f>(K851-K849)</f>
      </c>
      <c r="O850" s="7">
        <f>+(L851-L849)</f>
      </c>
      <c r="P850" s="7">
        <f>SQRT(O850^2+N850^2)</f>
      </c>
      <c r="Q850" s="7">
        <f>N850/$P850</f>
      </c>
      <c r="R850" s="7">
        <f>O850/$P850</f>
      </c>
      <c r="S850" s="8">
        <f>Q850^2+R850^2</f>
      </c>
      <c r="T850" s="7">
        <f>-R850</f>
      </c>
      <c r="U850" s="7">
        <f>Q850</f>
      </c>
      <c r="V850" s="7">
        <f>($C$14+($C$15-$C$14)/($D$15-$D$14)*(I850-$D$14))/2</f>
      </c>
      <c r="W850" s="7">
        <f>($B$22*I850^4+$C$22*I850^3+$D$22*I850^2+$E$22*I850+$F$22)/2</f>
      </c>
      <c r="X850" s="7">
        <f>($W850)*(T850)</f>
      </c>
      <c r="Y850" s="7">
        <f>($W850)*(U850)</f>
      </c>
      <c r="Z850" s="7">
        <f>SQRT(X850^2+Y850^2)</f>
      </c>
      <c r="AA850" s="7">
        <f>$K850+$X850</f>
      </c>
      <c r="AB850" s="7">
        <f>$L850+$Y850</f>
      </c>
      <c r="AC850" s="7">
        <f>$K850-$X850</f>
      </c>
      <c r="AD850" s="7">
        <f>$L850-$Y850</f>
      </c>
      <c r="AE850" s="7">
        <f>AA850/39.3701</f>
      </c>
      <c r="AF850" s="7">
        <f>AB850/39.3701</f>
      </c>
      <c r="AG850" s="7">
        <f>AC850/39.3701</f>
      </c>
      <c r="AH850" s="7">
        <f>AD850/39.3701</f>
      </c>
      <c r="AI850" s="1"/>
      <c r="AJ850" s="1"/>
      <c r="AK850" s="1"/>
      <c r="AL850" s="1"/>
      <c r="AM850" s="2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</row>
    <row x14ac:dyDescent="0.25" r="851" customHeight="1" ht="18.75">
      <c r="A851" s="1"/>
      <c r="B851" s="2"/>
      <c r="C851" s="2"/>
      <c r="D851" s="2"/>
      <c r="E851" s="2"/>
      <c r="F851" s="2"/>
      <c r="G851" s="1"/>
      <c r="H851" s="1"/>
      <c r="I851" s="7">
        <v>0.848</v>
      </c>
      <c r="J851" s="7">
        <f>IF((I851-ROUNDDOWN(I851,0))=0, 0, (I851-ROUNDDOWN(I851,0)))</f>
      </c>
      <c r="K851" s="7">
        <f>INDIRECT("C$"&amp;2+MIN(2,ROUNDDOWN(I851,0))*3)*(-$J851^3+3*$J851^2-3*$J851+1)+INDIRECT("C$"&amp;3+MIN(2,ROUNDDOWN(I851,0))*3)*(3*$J851^3-6*$J851^2+3*$J851)+INDIRECT("C$"&amp;4+MIN(2,ROUNDDOWN(I851,0))*3)*(-3*$J851^3+3*$J851^2)+INDIRECT("C$"&amp;5+MIN(2,ROUNDDOWN(I851,0))*3)*$J851^3</f>
      </c>
      <c r="L851" s="7">
        <f>INDIRECT("D$"&amp;2+MIN(2,ROUNDDOWN(I851,0))*3)*(-$J851^3+3*$J851^2-3*$J851+1)+INDIRECT("D$"&amp;3+MIN(2,ROUNDDOWN(I851,0))*3)*(3*$J851^3-6*$J851^2+3*$J851)+INDIRECT("D$"&amp;4+MIN(2,ROUNDDOWN(I851,0))*3)*(-3*$J851^3+3*$J851^2)+INDIRECT("D$"&amp;5+MIN(2,ROUNDDOWN(I851,0))*3)*$J851^3</f>
      </c>
      <c r="M851" s="7">
        <f>SQRT(K851^2+L851^2)</f>
      </c>
      <c r="N851" s="7">
        <f>(K852-K850)</f>
      </c>
      <c r="O851" s="7">
        <f>+(L852-L850)</f>
      </c>
      <c r="P851" s="7">
        <f>SQRT(O851^2+N851^2)</f>
      </c>
      <c r="Q851" s="7">
        <f>N851/$P851</f>
      </c>
      <c r="R851" s="7">
        <f>O851/$P851</f>
      </c>
      <c r="S851" s="8">
        <f>Q851^2+R851^2</f>
      </c>
      <c r="T851" s="7">
        <f>-R851</f>
      </c>
      <c r="U851" s="7">
        <f>Q851</f>
      </c>
      <c r="V851" s="7">
        <f>($C$14+($C$15-$C$14)/($D$15-$D$14)*(I851-$D$14))/2</f>
      </c>
      <c r="W851" s="7">
        <f>($B$22*I851^4+$C$22*I851^3+$D$22*I851^2+$E$22*I851+$F$22)/2</f>
      </c>
      <c r="X851" s="7">
        <f>($W851)*(T851)</f>
      </c>
      <c r="Y851" s="7">
        <f>($W851)*(U851)</f>
      </c>
      <c r="Z851" s="7">
        <f>SQRT(X851^2+Y851^2)</f>
      </c>
      <c r="AA851" s="7">
        <f>$K851+$X851</f>
      </c>
      <c r="AB851" s="7">
        <f>$L851+$Y851</f>
      </c>
      <c r="AC851" s="7">
        <f>$K851-$X851</f>
      </c>
      <c r="AD851" s="7">
        <f>$L851-$Y851</f>
      </c>
      <c r="AE851" s="7">
        <f>AA851/39.3701</f>
      </c>
      <c r="AF851" s="7">
        <f>AB851/39.3701</f>
      </c>
      <c r="AG851" s="7">
        <f>AC851/39.3701</f>
      </c>
      <c r="AH851" s="7">
        <f>AD851/39.3701</f>
      </c>
      <c r="AI851" s="1"/>
      <c r="AJ851" s="1"/>
      <c r="AK851" s="1"/>
      <c r="AL851" s="1"/>
      <c r="AM851" s="2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</row>
    <row x14ac:dyDescent="0.25" r="852" customHeight="1" ht="18.75">
      <c r="A852" s="1"/>
      <c r="B852" s="2"/>
      <c r="C852" s="2"/>
      <c r="D852" s="2"/>
      <c r="E852" s="2"/>
      <c r="F852" s="2"/>
      <c r="G852" s="1"/>
      <c r="H852" s="1"/>
      <c r="I852" s="7">
        <v>0.849</v>
      </c>
      <c r="J852" s="7">
        <f>IF((I852-ROUNDDOWN(I852,0))=0, 0, (I852-ROUNDDOWN(I852,0)))</f>
      </c>
      <c r="K852" s="7">
        <f>INDIRECT("C$"&amp;2+MIN(2,ROUNDDOWN(I852,0))*3)*(-$J852^3+3*$J852^2-3*$J852+1)+INDIRECT("C$"&amp;3+MIN(2,ROUNDDOWN(I852,0))*3)*(3*$J852^3-6*$J852^2+3*$J852)+INDIRECT("C$"&amp;4+MIN(2,ROUNDDOWN(I852,0))*3)*(-3*$J852^3+3*$J852^2)+INDIRECT("C$"&amp;5+MIN(2,ROUNDDOWN(I852,0))*3)*$J852^3</f>
      </c>
      <c r="L852" s="7">
        <f>INDIRECT("D$"&amp;2+MIN(2,ROUNDDOWN(I852,0))*3)*(-$J852^3+3*$J852^2-3*$J852+1)+INDIRECT("D$"&amp;3+MIN(2,ROUNDDOWN(I852,0))*3)*(3*$J852^3-6*$J852^2+3*$J852)+INDIRECT("D$"&amp;4+MIN(2,ROUNDDOWN(I852,0))*3)*(-3*$J852^3+3*$J852^2)+INDIRECT("D$"&amp;5+MIN(2,ROUNDDOWN(I852,0))*3)*$J852^3</f>
      </c>
      <c r="M852" s="7">
        <f>SQRT(K852^2+L852^2)</f>
      </c>
      <c r="N852" s="7">
        <f>(K853-K851)</f>
      </c>
      <c r="O852" s="7">
        <f>+(L853-L851)</f>
      </c>
      <c r="P852" s="7">
        <f>SQRT(O852^2+N852^2)</f>
      </c>
      <c r="Q852" s="7">
        <f>N852/$P852</f>
      </c>
      <c r="R852" s="7">
        <f>O852/$P852</f>
      </c>
      <c r="S852" s="7">
        <f>Q852^2+R852^2</f>
      </c>
      <c r="T852" s="7">
        <f>-R852</f>
      </c>
      <c r="U852" s="7">
        <f>Q852</f>
      </c>
      <c r="V852" s="7">
        <f>($C$14+($C$15-$C$14)/($D$15-$D$14)*(I852-$D$14))/2</f>
      </c>
      <c r="W852" s="7">
        <f>($B$22*I852^4+$C$22*I852^3+$D$22*I852^2+$E$22*I852+$F$22)/2</f>
      </c>
      <c r="X852" s="7">
        <f>($W852)*(T852)</f>
      </c>
      <c r="Y852" s="7">
        <f>($W852)*(U852)</f>
      </c>
      <c r="Z852" s="7">
        <f>SQRT(X852^2+Y852^2)</f>
      </c>
      <c r="AA852" s="7">
        <f>$K852+$X852</f>
      </c>
      <c r="AB852" s="7">
        <f>$L852+$Y852</f>
      </c>
      <c r="AC852" s="7">
        <f>$K852-$X852</f>
      </c>
      <c r="AD852" s="7">
        <f>$L852-$Y852</f>
      </c>
      <c r="AE852" s="7">
        <f>AA852/39.3701</f>
      </c>
      <c r="AF852" s="7">
        <f>AB852/39.3701</f>
      </c>
      <c r="AG852" s="7">
        <f>AC852/39.3701</f>
      </c>
      <c r="AH852" s="7">
        <f>AD852/39.3701</f>
      </c>
      <c r="AI852" s="1"/>
      <c r="AJ852" s="1"/>
      <c r="AK852" s="1"/>
      <c r="AL852" s="1"/>
      <c r="AM852" s="2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</row>
    <row x14ac:dyDescent="0.25" r="853" customHeight="1" ht="18.75">
      <c r="A853" s="1"/>
      <c r="B853" s="2"/>
      <c r="C853" s="2"/>
      <c r="D853" s="2"/>
      <c r="E853" s="2"/>
      <c r="F853" s="2"/>
      <c r="G853" s="1"/>
      <c r="H853" s="1"/>
      <c r="I853" s="7">
        <v>0.85</v>
      </c>
      <c r="J853" s="7">
        <f>IF((I853-ROUNDDOWN(I853,0))=0, 0, (I853-ROUNDDOWN(I853,0)))</f>
      </c>
      <c r="K853" s="7">
        <f>INDIRECT("C$"&amp;2+MIN(2,ROUNDDOWN(I853,0))*3)*(-$J853^3+3*$J853^2-3*$J853+1)+INDIRECT("C$"&amp;3+MIN(2,ROUNDDOWN(I853,0))*3)*(3*$J853^3-6*$J853^2+3*$J853)+INDIRECT("C$"&amp;4+MIN(2,ROUNDDOWN(I853,0))*3)*(-3*$J853^3+3*$J853^2)+INDIRECT("C$"&amp;5+MIN(2,ROUNDDOWN(I853,0))*3)*$J853^3</f>
      </c>
      <c r="L853" s="7">
        <f>INDIRECT("D$"&amp;2+MIN(2,ROUNDDOWN(I853,0))*3)*(-$J853^3+3*$J853^2-3*$J853+1)+INDIRECT("D$"&amp;3+MIN(2,ROUNDDOWN(I853,0))*3)*(3*$J853^3-6*$J853^2+3*$J853)+INDIRECT("D$"&amp;4+MIN(2,ROUNDDOWN(I853,0))*3)*(-3*$J853^3+3*$J853^2)+INDIRECT("D$"&amp;5+MIN(2,ROUNDDOWN(I853,0))*3)*$J853^3</f>
      </c>
      <c r="M853" s="7">
        <f>SQRT(K853^2+L853^2)</f>
      </c>
      <c r="N853" s="7">
        <f>(K854-K852)</f>
      </c>
      <c r="O853" s="7">
        <f>+(L854-L852)</f>
      </c>
      <c r="P853" s="7">
        <f>SQRT(O853^2+N853^2)</f>
      </c>
      <c r="Q853" s="7">
        <f>N853/$P853</f>
      </c>
      <c r="R853" s="7">
        <f>O853/$P853</f>
      </c>
      <c r="S853" s="8">
        <f>Q853^2+R853^2</f>
      </c>
      <c r="T853" s="7">
        <f>-R853</f>
      </c>
      <c r="U853" s="7">
        <f>Q853</f>
      </c>
      <c r="V853" s="7">
        <f>($C$14+($C$15-$C$14)/($D$15-$D$14)*(I853-$D$14))/2</f>
      </c>
      <c r="W853" s="7">
        <f>($B$22*I853^4+$C$22*I853^3+$D$22*I853^2+$E$22*I853+$F$22)/2</f>
      </c>
      <c r="X853" s="7">
        <f>($W853)*(T853)</f>
      </c>
      <c r="Y853" s="7">
        <f>($W853)*(U853)</f>
      </c>
      <c r="Z853" s="7">
        <f>SQRT(X853^2+Y853^2)</f>
      </c>
      <c r="AA853" s="7">
        <f>$K853+$X853</f>
      </c>
      <c r="AB853" s="7">
        <f>$L853+$Y853</f>
      </c>
      <c r="AC853" s="7">
        <f>$K853-$X853</f>
      </c>
      <c r="AD853" s="7">
        <f>$L853-$Y853</f>
      </c>
      <c r="AE853" s="7">
        <f>AA853/39.3701</f>
      </c>
      <c r="AF853" s="7">
        <f>AB853/39.3701</f>
      </c>
      <c r="AG853" s="7">
        <f>AC853/39.3701</f>
      </c>
      <c r="AH853" s="7">
        <f>AD853/39.3701</f>
      </c>
      <c r="AI853" s="1"/>
      <c r="AJ853" s="1"/>
      <c r="AK853" s="1"/>
      <c r="AL853" s="1"/>
      <c r="AM853" s="2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</row>
    <row x14ac:dyDescent="0.25" r="854" customHeight="1" ht="18.75">
      <c r="A854" s="1"/>
      <c r="B854" s="2"/>
      <c r="C854" s="2"/>
      <c r="D854" s="2"/>
      <c r="E854" s="2"/>
      <c r="F854" s="2"/>
      <c r="G854" s="1"/>
      <c r="H854" s="1"/>
      <c r="I854" s="7">
        <v>0.851</v>
      </c>
      <c r="J854" s="7">
        <f>IF((I854-ROUNDDOWN(I854,0))=0, 0, (I854-ROUNDDOWN(I854,0)))</f>
      </c>
      <c r="K854" s="7">
        <f>INDIRECT("C$"&amp;2+MIN(2,ROUNDDOWN(I854,0))*3)*(-$J854^3+3*$J854^2-3*$J854+1)+INDIRECT("C$"&amp;3+MIN(2,ROUNDDOWN(I854,0))*3)*(3*$J854^3-6*$J854^2+3*$J854)+INDIRECT("C$"&amp;4+MIN(2,ROUNDDOWN(I854,0))*3)*(-3*$J854^3+3*$J854^2)+INDIRECT("C$"&amp;5+MIN(2,ROUNDDOWN(I854,0))*3)*$J854^3</f>
      </c>
      <c r="L854" s="7">
        <f>INDIRECT("D$"&amp;2+MIN(2,ROUNDDOWN(I854,0))*3)*(-$J854^3+3*$J854^2-3*$J854+1)+INDIRECT("D$"&amp;3+MIN(2,ROUNDDOWN(I854,0))*3)*(3*$J854^3-6*$J854^2+3*$J854)+INDIRECT("D$"&amp;4+MIN(2,ROUNDDOWN(I854,0))*3)*(-3*$J854^3+3*$J854^2)+INDIRECT("D$"&amp;5+MIN(2,ROUNDDOWN(I854,0))*3)*$J854^3</f>
      </c>
      <c r="M854" s="7">
        <f>SQRT(K854^2+L854^2)</f>
      </c>
      <c r="N854" s="7">
        <f>(K855-K853)</f>
      </c>
      <c r="O854" s="7">
        <f>+(L855-L853)</f>
      </c>
      <c r="P854" s="7">
        <f>SQRT(O854^2+N854^2)</f>
      </c>
      <c r="Q854" s="7">
        <f>N854/$P854</f>
      </c>
      <c r="R854" s="7">
        <f>O854/$P854</f>
      </c>
      <c r="S854" s="8">
        <f>Q854^2+R854^2</f>
      </c>
      <c r="T854" s="7">
        <f>-R854</f>
      </c>
      <c r="U854" s="7">
        <f>Q854</f>
      </c>
      <c r="V854" s="7">
        <f>($C$14+($C$15-$C$14)/($D$15-$D$14)*(I854-$D$14))/2</f>
      </c>
      <c r="W854" s="7">
        <f>($B$22*I854^4+$C$22*I854^3+$D$22*I854^2+$E$22*I854+$F$22)/2</f>
      </c>
      <c r="X854" s="7">
        <f>($W854)*(T854)</f>
      </c>
      <c r="Y854" s="7">
        <f>($W854)*(U854)</f>
      </c>
      <c r="Z854" s="7">
        <f>SQRT(X854^2+Y854^2)</f>
      </c>
      <c r="AA854" s="7">
        <f>$K854+$X854</f>
      </c>
      <c r="AB854" s="7">
        <f>$L854+$Y854</f>
      </c>
      <c r="AC854" s="7">
        <f>$K854-$X854</f>
      </c>
      <c r="AD854" s="7">
        <f>$L854-$Y854</f>
      </c>
      <c r="AE854" s="7">
        <f>AA854/39.3701</f>
      </c>
      <c r="AF854" s="7">
        <f>AB854/39.3701</f>
      </c>
      <c r="AG854" s="7">
        <f>AC854/39.3701</f>
      </c>
      <c r="AH854" s="7">
        <f>AD854/39.3701</f>
      </c>
      <c r="AI854" s="1"/>
      <c r="AJ854" s="1"/>
      <c r="AK854" s="1"/>
      <c r="AL854" s="1"/>
      <c r="AM854" s="2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</row>
    <row x14ac:dyDescent="0.25" r="855" customHeight="1" ht="18.75">
      <c r="A855" s="1"/>
      <c r="B855" s="2"/>
      <c r="C855" s="2"/>
      <c r="D855" s="2"/>
      <c r="E855" s="2"/>
      <c r="F855" s="2"/>
      <c r="G855" s="1"/>
      <c r="H855" s="1"/>
      <c r="I855" s="7">
        <v>0.852</v>
      </c>
      <c r="J855" s="7">
        <f>IF((I855-ROUNDDOWN(I855,0))=0, 0, (I855-ROUNDDOWN(I855,0)))</f>
      </c>
      <c r="K855" s="7">
        <f>INDIRECT("C$"&amp;2+MIN(2,ROUNDDOWN(I855,0))*3)*(-$J855^3+3*$J855^2-3*$J855+1)+INDIRECT("C$"&amp;3+MIN(2,ROUNDDOWN(I855,0))*3)*(3*$J855^3-6*$J855^2+3*$J855)+INDIRECT("C$"&amp;4+MIN(2,ROUNDDOWN(I855,0))*3)*(-3*$J855^3+3*$J855^2)+INDIRECT("C$"&amp;5+MIN(2,ROUNDDOWN(I855,0))*3)*$J855^3</f>
      </c>
      <c r="L855" s="7">
        <f>INDIRECT("D$"&amp;2+MIN(2,ROUNDDOWN(I855,0))*3)*(-$J855^3+3*$J855^2-3*$J855+1)+INDIRECT("D$"&amp;3+MIN(2,ROUNDDOWN(I855,0))*3)*(3*$J855^3-6*$J855^2+3*$J855)+INDIRECT("D$"&amp;4+MIN(2,ROUNDDOWN(I855,0))*3)*(-3*$J855^3+3*$J855^2)+INDIRECT("D$"&amp;5+MIN(2,ROUNDDOWN(I855,0))*3)*$J855^3</f>
      </c>
      <c r="M855" s="7">
        <f>SQRT(K855^2+L855^2)</f>
      </c>
      <c r="N855" s="7">
        <f>(K856-K854)</f>
      </c>
      <c r="O855" s="7">
        <f>+(L856-L854)</f>
      </c>
      <c r="P855" s="7">
        <f>SQRT(O855^2+N855^2)</f>
      </c>
      <c r="Q855" s="7">
        <f>N855/$P855</f>
      </c>
      <c r="R855" s="7">
        <f>O855/$P855</f>
      </c>
      <c r="S855" s="7">
        <f>Q855^2+R855^2</f>
      </c>
      <c r="T855" s="7">
        <f>-R855</f>
      </c>
      <c r="U855" s="7">
        <f>Q855</f>
      </c>
      <c r="V855" s="7">
        <f>($C$14+($C$15-$C$14)/($D$15-$D$14)*(I855-$D$14))/2</f>
      </c>
      <c r="W855" s="7">
        <f>($B$22*I855^4+$C$22*I855^3+$D$22*I855^2+$E$22*I855+$F$22)/2</f>
      </c>
      <c r="X855" s="7">
        <f>($W855)*(T855)</f>
      </c>
      <c r="Y855" s="7">
        <f>($W855)*(U855)</f>
      </c>
      <c r="Z855" s="7">
        <f>SQRT(X855^2+Y855^2)</f>
      </c>
      <c r="AA855" s="7">
        <f>$K855+$X855</f>
      </c>
      <c r="AB855" s="7">
        <f>$L855+$Y855</f>
      </c>
      <c r="AC855" s="7">
        <f>$K855-$X855</f>
      </c>
      <c r="AD855" s="7">
        <f>$L855-$Y855</f>
      </c>
      <c r="AE855" s="7">
        <f>AA855/39.3701</f>
      </c>
      <c r="AF855" s="7">
        <f>AB855/39.3701</f>
      </c>
      <c r="AG855" s="7">
        <f>AC855/39.3701</f>
      </c>
      <c r="AH855" s="7">
        <f>AD855/39.3701</f>
      </c>
      <c r="AI855" s="1"/>
      <c r="AJ855" s="1"/>
      <c r="AK855" s="1"/>
      <c r="AL855" s="1"/>
      <c r="AM855" s="2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</row>
    <row x14ac:dyDescent="0.25" r="856" customHeight="1" ht="18.75">
      <c r="A856" s="1"/>
      <c r="B856" s="2"/>
      <c r="C856" s="2"/>
      <c r="D856" s="2"/>
      <c r="E856" s="2"/>
      <c r="F856" s="2"/>
      <c r="G856" s="1"/>
      <c r="H856" s="1"/>
      <c r="I856" s="7">
        <v>0.853</v>
      </c>
      <c r="J856" s="7">
        <f>IF((I856-ROUNDDOWN(I856,0))=0, 0, (I856-ROUNDDOWN(I856,0)))</f>
      </c>
      <c r="K856" s="7">
        <f>INDIRECT("C$"&amp;2+MIN(2,ROUNDDOWN(I856,0))*3)*(-$J856^3+3*$J856^2-3*$J856+1)+INDIRECT("C$"&amp;3+MIN(2,ROUNDDOWN(I856,0))*3)*(3*$J856^3-6*$J856^2+3*$J856)+INDIRECT("C$"&amp;4+MIN(2,ROUNDDOWN(I856,0))*3)*(-3*$J856^3+3*$J856^2)+INDIRECT("C$"&amp;5+MIN(2,ROUNDDOWN(I856,0))*3)*$J856^3</f>
      </c>
      <c r="L856" s="7">
        <f>INDIRECT("D$"&amp;2+MIN(2,ROUNDDOWN(I856,0))*3)*(-$J856^3+3*$J856^2-3*$J856+1)+INDIRECT("D$"&amp;3+MIN(2,ROUNDDOWN(I856,0))*3)*(3*$J856^3-6*$J856^2+3*$J856)+INDIRECT("D$"&amp;4+MIN(2,ROUNDDOWN(I856,0))*3)*(-3*$J856^3+3*$J856^2)+INDIRECT("D$"&amp;5+MIN(2,ROUNDDOWN(I856,0))*3)*$J856^3</f>
      </c>
      <c r="M856" s="7">
        <f>SQRT(K856^2+L856^2)</f>
      </c>
      <c r="N856" s="7">
        <f>(K857-K855)</f>
      </c>
      <c r="O856" s="7">
        <f>+(L857-L855)</f>
      </c>
      <c r="P856" s="7">
        <f>SQRT(O856^2+N856^2)</f>
      </c>
      <c r="Q856" s="7">
        <f>N856/$P856</f>
      </c>
      <c r="R856" s="7">
        <f>O856/$P856</f>
      </c>
      <c r="S856" s="8">
        <f>Q856^2+R856^2</f>
      </c>
      <c r="T856" s="7">
        <f>-R856</f>
      </c>
      <c r="U856" s="7">
        <f>Q856</f>
      </c>
      <c r="V856" s="7">
        <f>($C$14+($C$15-$C$14)/($D$15-$D$14)*(I856-$D$14))/2</f>
      </c>
      <c r="W856" s="7">
        <f>($B$22*I856^4+$C$22*I856^3+$D$22*I856^2+$E$22*I856+$F$22)/2</f>
      </c>
      <c r="X856" s="7">
        <f>($W856)*(T856)</f>
      </c>
      <c r="Y856" s="7">
        <f>($W856)*(U856)</f>
      </c>
      <c r="Z856" s="7">
        <f>SQRT(X856^2+Y856^2)</f>
      </c>
      <c r="AA856" s="7">
        <f>$K856+$X856</f>
      </c>
      <c r="AB856" s="7">
        <f>$L856+$Y856</f>
      </c>
      <c r="AC856" s="7">
        <f>$K856-$X856</f>
      </c>
      <c r="AD856" s="7">
        <f>$L856-$Y856</f>
      </c>
      <c r="AE856" s="7">
        <f>AA856/39.3701</f>
      </c>
      <c r="AF856" s="7">
        <f>AB856/39.3701</f>
      </c>
      <c r="AG856" s="7">
        <f>AC856/39.3701</f>
      </c>
      <c r="AH856" s="7">
        <f>AD856/39.3701</f>
      </c>
      <c r="AI856" s="1"/>
      <c r="AJ856" s="1"/>
      <c r="AK856" s="1"/>
      <c r="AL856" s="1"/>
      <c r="AM856" s="2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</row>
    <row x14ac:dyDescent="0.25" r="857" customHeight="1" ht="18.75">
      <c r="A857" s="1"/>
      <c r="B857" s="2"/>
      <c r="C857" s="2"/>
      <c r="D857" s="2"/>
      <c r="E857" s="2"/>
      <c r="F857" s="2"/>
      <c r="G857" s="1"/>
      <c r="H857" s="1"/>
      <c r="I857" s="7">
        <v>0.854</v>
      </c>
      <c r="J857" s="7">
        <f>IF((I857-ROUNDDOWN(I857,0))=0, 0, (I857-ROUNDDOWN(I857,0)))</f>
      </c>
      <c r="K857" s="7">
        <f>INDIRECT("C$"&amp;2+MIN(2,ROUNDDOWN(I857,0))*3)*(-$J857^3+3*$J857^2-3*$J857+1)+INDIRECT("C$"&amp;3+MIN(2,ROUNDDOWN(I857,0))*3)*(3*$J857^3-6*$J857^2+3*$J857)+INDIRECT("C$"&amp;4+MIN(2,ROUNDDOWN(I857,0))*3)*(-3*$J857^3+3*$J857^2)+INDIRECT("C$"&amp;5+MIN(2,ROUNDDOWN(I857,0))*3)*$J857^3</f>
      </c>
      <c r="L857" s="7">
        <f>INDIRECT("D$"&amp;2+MIN(2,ROUNDDOWN(I857,0))*3)*(-$J857^3+3*$J857^2-3*$J857+1)+INDIRECT("D$"&amp;3+MIN(2,ROUNDDOWN(I857,0))*3)*(3*$J857^3-6*$J857^2+3*$J857)+INDIRECT("D$"&amp;4+MIN(2,ROUNDDOWN(I857,0))*3)*(-3*$J857^3+3*$J857^2)+INDIRECT("D$"&amp;5+MIN(2,ROUNDDOWN(I857,0))*3)*$J857^3</f>
      </c>
      <c r="M857" s="7">
        <f>SQRT(K857^2+L857^2)</f>
      </c>
      <c r="N857" s="7">
        <f>(K858-K856)</f>
      </c>
      <c r="O857" s="7">
        <f>+(L858-L856)</f>
      </c>
      <c r="P857" s="7">
        <f>SQRT(O857^2+N857^2)</f>
      </c>
      <c r="Q857" s="7">
        <f>N857/$P857</f>
      </c>
      <c r="R857" s="7">
        <f>O857/$P857</f>
      </c>
      <c r="S857" s="7">
        <f>Q857^2+R857^2</f>
      </c>
      <c r="T857" s="7">
        <f>-R857</f>
      </c>
      <c r="U857" s="7">
        <f>Q857</f>
      </c>
      <c r="V857" s="7">
        <f>($C$14+($C$15-$C$14)/($D$15-$D$14)*(I857-$D$14))/2</f>
      </c>
      <c r="W857" s="7">
        <f>($B$22*I857^4+$C$22*I857^3+$D$22*I857^2+$E$22*I857+$F$22)/2</f>
      </c>
      <c r="X857" s="7">
        <f>($W857)*(T857)</f>
      </c>
      <c r="Y857" s="7">
        <f>($W857)*(U857)</f>
      </c>
      <c r="Z857" s="7">
        <f>SQRT(X857^2+Y857^2)</f>
      </c>
      <c r="AA857" s="7">
        <f>$K857+$X857</f>
      </c>
      <c r="AB857" s="7">
        <f>$L857+$Y857</f>
      </c>
      <c r="AC857" s="7">
        <f>$K857-$X857</f>
      </c>
      <c r="AD857" s="7">
        <f>$L857-$Y857</f>
      </c>
      <c r="AE857" s="7">
        <f>AA857/39.3701</f>
      </c>
      <c r="AF857" s="7">
        <f>AB857/39.3701</f>
      </c>
      <c r="AG857" s="7">
        <f>AC857/39.3701</f>
      </c>
      <c r="AH857" s="7">
        <f>AD857/39.3701</f>
      </c>
      <c r="AI857" s="1"/>
      <c r="AJ857" s="1"/>
      <c r="AK857" s="1"/>
      <c r="AL857" s="1"/>
      <c r="AM857" s="2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</row>
    <row x14ac:dyDescent="0.25" r="858" customHeight="1" ht="18.75">
      <c r="A858" s="1"/>
      <c r="B858" s="2"/>
      <c r="C858" s="2"/>
      <c r="D858" s="2"/>
      <c r="E858" s="2"/>
      <c r="F858" s="2"/>
      <c r="G858" s="1"/>
      <c r="H858" s="1"/>
      <c r="I858" s="7">
        <v>0.855</v>
      </c>
      <c r="J858" s="7">
        <f>IF((I858-ROUNDDOWN(I858,0))=0, 0, (I858-ROUNDDOWN(I858,0)))</f>
      </c>
      <c r="K858" s="7">
        <f>INDIRECT("C$"&amp;2+MIN(2,ROUNDDOWN(I858,0))*3)*(-$J858^3+3*$J858^2-3*$J858+1)+INDIRECT("C$"&amp;3+MIN(2,ROUNDDOWN(I858,0))*3)*(3*$J858^3-6*$J858^2+3*$J858)+INDIRECT("C$"&amp;4+MIN(2,ROUNDDOWN(I858,0))*3)*(-3*$J858^3+3*$J858^2)+INDIRECT("C$"&amp;5+MIN(2,ROUNDDOWN(I858,0))*3)*$J858^3</f>
      </c>
      <c r="L858" s="7">
        <f>INDIRECT("D$"&amp;2+MIN(2,ROUNDDOWN(I858,0))*3)*(-$J858^3+3*$J858^2-3*$J858+1)+INDIRECT("D$"&amp;3+MIN(2,ROUNDDOWN(I858,0))*3)*(3*$J858^3-6*$J858^2+3*$J858)+INDIRECT("D$"&amp;4+MIN(2,ROUNDDOWN(I858,0))*3)*(-3*$J858^3+3*$J858^2)+INDIRECT("D$"&amp;5+MIN(2,ROUNDDOWN(I858,0))*3)*$J858^3</f>
      </c>
      <c r="M858" s="7">
        <f>SQRT(K858^2+L858^2)</f>
      </c>
      <c r="N858" s="7">
        <f>(K859-K857)</f>
      </c>
      <c r="O858" s="7">
        <f>+(L859-L857)</f>
      </c>
      <c r="P858" s="7">
        <f>SQRT(O858^2+N858^2)</f>
      </c>
      <c r="Q858" s="7">
        <f>N858/$P858</f>
      </c>
      <c r="R858" s="7">
        <f>O858/$P858</f>
      </c>
      <c r="S858" s="8">
        <f>Q858^2+R858^2</f>
      </c>
      <c r="T858" s="7">
        <f>-R858</f>
      </c>
      <c r="U858" s="7">
        <f>Q858</f>
      </c>
      <c r="V858" s="7">
        <f>($C$14+($C$15-$C$14)/($D$15-$D$14)*(I858-$D$14))/2</f>
      </c>
      <c r="W858" s="7">
        <f>($B$22*I858^4+$C$22*I858^3+$D$22*I858^2+$E$22*I858+$F$22)/2</f>
      </c>
      <c r="X858" s="7">
        <f>($W858)*(T858)</f>
      </c>
      <c r="Y858" s="7">
        <f>($W858)*(U858)</f>
      </c>
      <c r="Z858" s="7">
        <f>SQRT(X858^2+Y858^2)</f>
      </c>
      <c r="AA858" s="7">
        <f>$K858+$X858</f>
      </c>
      <c r="AB858" s="7">
        <f>$L858+$Y858</f>
      </c>
      <c r="AC858" s="7">
        <f>$K858-$X858</f>
      </c>
      <c r="AD858" s="7">
        <f>$L858-$Y858</f>
      </c>
      <c r="AE858" s="7">
        <f>AA858/39.3701</f>
      </c>
      <c r="AF858" s="7">
        <f>AB858/39.3701</f>
      </c>
      <c r="AG858" s="7">
        <f>AC858/39.3701</f>
      </c>
      <c r="AH858" s="7">
        <f>AD858/39.3701</f>
      </c>
      <c r="AI858" s="1"/>
      <c r="AJ858" s="1"/>
      <c r="AK858" s="1"/>
      <c r="AL858" s="1"/>
      <c r="AM858" s="2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</row>
    <row x14ac:dyDescent="0.25" r="859" customHeight="1" ht="18.75">
      <c r="A859" s="1"/>
      <c r="B859" s="2"/>
      <c r="C859" s="2"/>
      <c r="D859" s="2"/>
      <c r="E859" s="2"/>
      <c r="F859" s="2"/>
      <c r="G859" s="1"/>
      <c r="H859" s="1"/>
      <c r="I859" s="7">
        <v>0.856</v>
      </c>
      <c r="J859" s="7">
        <f>IF((I859-ROUNDDOWN(I859,0))=0, 0, (I859-ROUNDDOWN(I859,0)))</f>
      </c>
      <c r="K859" s="7">
        <f>INDIRECT("C$"&amp;2+MIN(2,ROUNDDOWN(I859,0))*3)*(-$J859^3+3*$J859^2-3*$J859+1)+INDIRECT("C$"&amp;3+MIN(2,ROUNDDOWN(I859,0))*3)*(3*$J859^3-6*$J859^2+3*$J859)+INDIRECT("C$"&amp;4+MIN(2,ROUNDDOWN(I859,0))*3)*(-3*$J859^3+3*$J859^2)+INDIRECT("C$"&amp;5+MIN(2,ROUNDDOWN(I859,0))*3)*$J859^3</f>
      </c>
      <c r="L859" s="7">
        <f>INDIRECT("D$"&amp;2+MIN(2,ROUNDDOWN(I859,0))*3)*(-$J859^3+3*$J859^2-3*$J859+1)+INDIRECT("D$"&amp;3+MIN(2,ROUNDDOWN(I859,0))*3)*(3*$J859^3-6*$J859^2+3*$J859)+INDIRECT("D$"&amp;4+MIN(2,ROUNDDOWN(I859,0))*3)*(-3*$J859^3+3*$J859^2)+INDIRECT("D$"&amp;5+MIN(2,ROUNDDOWN(I859,0))*3)*$J859^3</f>
      </c>
      <c r="M859" s="7">
        <f>SQRT(K859^2+L859^2)</f>
      </c>
      <c r="N859" s="7">
        <f>(K860-K858)</f>
      </c>
      <c r="O859" s="7">
        <f>+(L860-L858)</f>
      </c>
      <c r="P859" s="7">
        <f>SQRT(O859^2+N859^2)</f>
      </c>
      <c r="Q859" s="7">
        <f>N859/$P859</f>
      </c>
      <c r="R859" s="7">
        <f>O859/$P859</f>
      </c>
      <c r="S859" s="7">
        <f>Q859^2+R859^2</f>
      </c>
      <c r="T859" s="7">
        <f>-R859</f>
      </c>
      <c r="U859" s="7">
        <f>Q859</f>
      </c>
      <c r="V859" s="7">
        <f>($C$14+($C$15-$C$14)/($D$15-$D$14)*(I859-$D$14))/2</f>
      </c>
      <c r="W859" s="7">
        <f>($B$22*I859^4+$C$22*I859^3+$D$22*I859^2+$E$22*I859+$F$22)/2</f>
      </c>
      <c r="X859" s="7">
        <f>($W859)*(T859)</f>
      </c>
      <c r="Y859" s="7">
        <f>($W859)*(U859)</f>
      </c>
      <c r="Z859" s="7">
        <f>SQRT(X859^2+Y859^2)</f>
      </c>
      <c r="AA859" s="7">
        <f>$K859+$X859</f>
      </c>
      <c r="AB859" s="7">
        <f>$L859+$Y859</f>
      </c>
      <c r="AC859" s="7">
        <f>$K859-$X859</f>
      </c>
      <c r="AD859" s="7">
        <f>$L859-$Y859</f>
      </c>
      <c r="AE859" s="7">
        <f>AA859/39.3701</f>
      </c>
      <c r="AF859" s="7">
        <f>AB859/39.3701</f>
      </c>
      <c r="AG859" s="7">
        <f>AC859/39.3701</f>
      </c>
      <c r="AH859" s="7">
        <f>AD859/39.3701</f>
      </c>
      <c r="AI859" s="1"/>
      <c r="AJ859" s="1"/>
      <c r="AK859" s="1"/>
      <c r="AL859" s="1"/>
      <c r="AM859" s="2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</row>
    <row x14ac:dyDescent="0.25" r="860" customHeight="1" ht="18.75">
      <c r="A860" s="1"/>
      <c r="B860" s="2"/>
      <c r="C860" s="2"/>
      <c r="D860" s="2"/>
      <c r="E860" s="2"/>
      <c r="F860" s="2"/>
      <c r="G860" s="1"/>
      <c r="H860" s="1"/>
      <c r="I860" s="7">
        <v>0.857</v>
      </c>
      <c r="J860" s="7">
        <f>IF((I860-ROUNDDOWN(I860,0))=0, 0, (I860-ROUNDDOWN(I860,0)))</f>
      </c>
      <c r="K860" s="7">
        <f>INDIRECT("C$"&amp;2+MIN(2,ROUNDDOWN(I860,0))*3)*(-$J860^3+3*$J860^2-3*$J860+1)+INDIRECT("C$"&amp;3+MIN(2,ROUNDDOWN(I860,0))*3)*(3*$J860^3-6*$J860^2+3*$J860)+INDIRECT("C$"&amp;4+MIN(2,ROUNDDOWN(I860,0))*3)*(-3*$J860^3+3*$J860^2)+INDIRECT("C$"&amp;5+MIN(2,ROUNDDOWN(I860,0))*3)*$J860^3</f>
      </c>
      <c r="L860" s="7">
        <f>INDIRECT("D$"&amp;2+MIN(2,ROUNDDOWN(I860,0))*3)*(-$J860^3+3*$J860^2-3*$J860+1)+INDIRECT("D$"&amp;3+MIN(2,ROUNDDOWN(I860,0))*3)*(3*$J860^3-6*$J860^2+3*$J860)+INDIRECT("D$"&amp;4+MIN(2,ROUNDDOWN(I860,0))*3)*(-3*$J860^3+3*$J860^2)+INDIRECT("D$"&amp;5+MIN(2,ROUNDDOWN(I860,0))*3)*$J860^3</f>
      </c>
      <c r="M860" s="7">
        <f>SQRT(K860^2+L860^2)</f>
      </c>
      <c r="N860" s="7">
        <f>(K861-K859)</f>
      </c>
      <c r="O860" s="7">
        <f>+(L861-L859)</f>
      </c>
      <c r="P860" s="7">
        <f>SQRT(O860^2+N860^2)</f>
      </c>
      <c r="Q860" s="7">
        <f>N860/$P860</f>
      </c>
      <c r="R860" s="7">
        <f>O860/$P860</f>
      </c>
      <c r="S860" s="8">
        <f>Q860^2+R860^2</f>
      </c>
      <c r="T860" s="7">
        <f>-R860</f>
      </c>
      <c r="U860" s="7">
        <f>Q860</f>
      </c>
      <c r="V860" s="7">
        <f>($C$14+($C$15-$C$14)/($D$15-$D$14)*(I860-$D$14))/2</f>
      </c>
      <c r="W860" s="7">
        <f>($B$22*I860^4+$C$22*I860^3+$D$22*I860^2+$E$22*I860+$F$22)/2</f>
      </c>
      <c r="X860" s="7">
        <f>($W860)*(T860)</f>
      </c>
      <c r="Y860" s="7">
        <f>($W860)*(U860)</f>
      </c>
      <c r="Z860" s="7">
        <f>SQRT(X860^2+Y860^2)</f>
      </c>
      <c r="AA860" s="7">
        <f>$K860+$X860</f>
      </c>
      <c r="AB860" s="7">
        <f>$L860+$Y860</f>
      </c>
      <c r="AC860" s="7">
        <f>$K860-$X860</f>
      </c>
      <c r="AD860" s="7">
        <f>$L860-$Y860</f>
      </c>
      <c r="AE860" s="7">
        <f>AA860/39.3701</f>
      </c>
      <c r="AF860" s="7">
        <f>AB860/39.3701</f>
      </c>
      <c r="AG860" s="7">
        <f>AC860/39.3701</f>
      </c>
      <c r="AH860" s="7">
        <f>AD860/39.3701</f>
      </c>
      <c r="AI860" s="1"/>
      <c r="AJ860" s="1"/>
      <c r="AK860" s="1"/>
      <c r="AL860" s="1"/>
      <c r="AM860" s="2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</row>
    <row x14ac:dyDescent="0.25" r="861" customHeight="1" ht="18.75">
      <c r="A861" s="1"/>
      <c r="B861" s="2"/>
      <c r="C861" s="2"/>
      <c r="D861" s="2"/>
      <c r="E861" s="2"/>
      <c r="F861" s="2"/>
      <c r="G861" s="1"/>
      <c r="H861" s="1"/>
      <c r="I861" s="7">
        <v>0.858</v>
      </c>
      <c r="J861" s="7">
        <f>IF((I861-ROUNDDOWN(I861,0))=0, 0, (I861-ROUNDDOWN(I861,0)))</f>
      </c>
      <c r="K861" s="7">
        <f>INDIRECT("C$"&amp;2+MIN(2,ROUNDDOWN(I861,0))*3)*(-$J861^3+3*$J861^2-3*$J861+1)+INDIRECT("C$"&amp;3+MIN(2,ROUNDDOWN(I861,0))*3)*(3*$J861^3-6*$J861^2+3*$J861)+INDIRECT("C$"&amp;4+MIN(2,ROUNDDOWN(I861,0))*3)*(-3*$J861^3+3*$J861^2)+INDIRECT("C$"&amp;5+MIN(2,ROUNDDOWN(I861,0))*3)*$J861^3</f>
      </c>
      <c r="L861" s="7">
        <f>INDIRECT("D$"&amp;2+MIN(2,ROUNDDOWN(I861,0))*3)*(-$J861^3+3*$J861^2-3*$J861+1)+INDIRECT("D$"&amp;3+MIN(2,ROUNDDOWN(I861,0))*3)*(3*$J861^3-6*$J861^2+3*$J861)+INDIRECT("D$"&amp;4+MIN(2,ROUNDDOWN(I861,0))*3)*(-3*$J861^3+3*$J861^2)+INDIRECT("D$"&amp;5+MIN(2,ROUNDDOWN(I861,0))*3)*$J861^3</f>
      </c>
      <c r="M861" s="7">
        <f>SQRT(K861^2+L861^2)</f>
      </c>
      <c r="N861" s="7">
        <f>(K862-K860)</f>
      </c>
      <c r="O861" s="7">
        <f>+(L862-L860)</f>
      </c>
      <c r="P861" s="7">
        <f>SQRT(O861^2+N861^2)</f>
      </c>
      <c r="Q861" s="7">
        <f>N861/$P861</f>
      </c>
      <c r="R861" s="7">
        <f>O861/$P861</f>
      </c>
      <c r="S861" s="8">
        <f>Q861^2+R861^2</f>
      </c>
      <c r="T861" s="7">
        <f>-R861</f>
      </c>
      <c r="U861" s="7">
        <f>Q861</f>
      </c>
      <c r="V861" s="7">
        <f>($C$14+($C$15-$C$14)/($D$15-$D$14)*(I861-$D$14))/2</f>
      </c>
      <c r="W861" s="7">
        <f>($B$22*I861^4+$C$22*I861^3+$D$22*I861^2+$E$22*I861+$F$22)/2</f>
      </c>
      <c r="X861" s="7">
        <f>($W861)*(T861)</f>
      </c>
      <c r="Y861" s="7">
        <f>($W861)*(U861)</f>
      </c>
      <c r="Z861" s="7">
        <f>SQRT(X861^2+Y861^2)</f>
      </c>
      <c r="AA861" s="7">
        <f>$K861+$X861</f>
      </c>
      <c r="AB861" s="7">
        <f>$L861+$Y861</f>
      </c>
      <c r="AC861" s="7">
        <f>$K861-$X861</f>
      </c>
      <c r="AD861" s="7">
        <f>$L861-$Y861</f>
      </c>
      <c r="AE861" s="7">
        <f>AA861/39.3701</f>
      </c>
      <c r="AF861" s="7">
        <f>AB861/39.3701</f>
      </c>
      <c r="AG861" s="7">
        <f>AC861/39.3701</f>
      </c>
      <c r="AH861" s="7">
        <f>AD861/39.3701</f>
      </c>
      <c r="AI861" s="1"/>
      <c r="AJ861" s="1"/>
      <c r="AK861" s="1"/>
      <c r="AL861" s="1"/>
      <c r="AM861" s="2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</row>
    <row x14ac:dyDescent="0.25" r="862" customHeight="1" ht="18.75">
      <c r="A862" s="1"/>
      <c r="B862" s="2"/>
      <c r="C862" s="2"/>
      <c r="D862" s="2"/>
      <c r="E862" s="2"/>
      <c r="F862" s="2"/>
      <c r="G862" s="1"/>
      <c r="H862" s="1"/>
      <c r="I862" s="7">
        <v>0.859</v>
      </c>
      <c r="J862" s="7">
        <f>IF((I862-ROUNDDOWN(I862,0))=0, 0, (I862-ROUNDDOWN(I862,0)))</f>
      </c>
      <c r="K862" s="7">
        <f>INDIRECT("C$"&amp;2+MIN(2,ROUNDDOWN(I862,0))*3)*(-$J862^3+3*$J862^2-3*$J862+1)+INDIRECT("C$"&amp;3+MIN(2,ROUNDDOWN(I862,0))*3)*(3*$J862^3-6*$J862^2+3*$J862)+INDIRECT("C$"&amp;4+MIN(2,ROUNDDOWN(I862,0))*3)*(-3*$J862^3+3*$J862^2)+INDIRECT("C$"&amp;5+MIN(2,ROUNDDOWN(I862,0))*3)*$J862^3</f>
      </c>
      <c r="L862" s="7">
        <f>INDIRECT("D$"&amp;2+MIN(2,ROUNDDOWN(I862,0))*3)*(-$J862^3+3*$J862^2-3*$J862+1)+INDIRECT("D$"&amp;3+MIN(2,ROUNDDOWN(I862,0))*3)*(3*$J862^3-6*$J862^2+3*$J862)+INDIRECT("D$"&amp;4+MIN(2,ROUNDDOWN(I862,0))*3)*(-3*$J862^3+3*$J862^2)+INDIRECT("D$"&amp;5+MIN(2,ROUNDDOWN(I862,0))*3)*$J862^3</f>
      </c>
      <c r="M862" s="7">
        <f>SQRT(K862^2+L862^2)</f>
      </c>
      <c r="N862" s="7">
        <f>(K863-K861)</f>
      </c>
      <c r="O862" s="7">
        <f>+(L863-L861)</f>
      </c>
      <c r="P862" s="7">
        <f>SQRT(O862^2+N862^2)</f>
      </c>
      <c r="Q862" s="7">
        <f>N862/$P862</f>
      </c>
      <c r="R862" s="7">
        <f>O862/$P862</f>
      </c>
      <c r="S862" s="7">
        <f>Q862^2+R862^2</f>
      </c>
      <c r="T862" s="7">
        <f>-R862</f>
      </c>
      <c r="U862" s="7">
        <f>Q862</f>
      </c>
      <c r="V862" s="7">
        <f>($C$14+($C$15-$C$14)/($D$15-$D$14)*(I862-$D$14))/2</f>
      </c>
      <c r="W862" s="7">
        <f>($B$22*I862^4+$C$22*I862^3+$D$22*I862^2+$E$22*I862+$F$22)/2</f>
      </c>
      <c r="X862" s="7">
        <f>($W862)*(T862)</f>
      </c>
      <c r="Y862" s="7">
        <f>($W862)*(U862)</f>
      </c>
      <c r="Z862" s="7">
        <f>SQRT(X862^2+Y862^2)</f>
      </c>
      <c r="AA862" s="7">
        <f>$K862+$X862</f>
      </c>
      <c r="AB862" s="7">
        <f>$L862+$Y862</f>
      </c>
      <c r="AC862" s="7">
        <f>$K862-$X862</f>
      </c>
      <c r="AD862" s="7">
        <f>$L862-$Y862</f>
      </c>
      <c r="AE862" s="7">
        <f>AA862/39.3701</f>
      </c>
      <c r="AF862" s="7">
        <f>AB862/39.3701</f>
      </c>
      <c r="AG862" s="7">
        <f>AC862/39.3701</f>
      </c>
      <c r="AH862" s="7">
        <f>AD862/39.3701</f>
      </c>
      <c r="AI862" s="1"/>
      <c r="AJ862" s="1"/>
      <c r="AK862" s="1"/>
      <c r="AL862" s="1"/>
      <c r="AM862" s="2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</row>
    <row x14ac:dyDescent="0.25" r="863" customHeight="1" ht="18.75">
      <c r="A863" s="1"/>
      <c r="B863" s="2"/>
      <c r="C863" s="2"/>
      <c r="D863" s="2"/>
      <c r="E863" s="2"/>
      <c r="F863" s="2"/>
      <c r="G863" s="1"/>
      <c r="H863" s="1"/>
      <c r="I863" s="7">
        <v>0.86</v>
      </c>
      <c r="J863" s="7">
        <f>IF((I863-ROUNDDOWN(I863,0))=0, 0, (I863-ROUNDDOWN(I863,0)))</f>
      </c>
      <c r="K863" s="7">
        <f>INDIRECT("C$"&amp;2+MIN(2,ROUNDDOWN(I863,0))*3)*(-$J863^3+3*$J863^2-3*$J863+1)+INDIRECT("C$"&amp;3+MIN(2,ROUNDDOWN(I863,0))*3)*(3*$J863^3-6*$J863^2+3*$J863)+INDIRECT("C$"&amp;4+MIN(2,ROUNDDOWN(I863,0))*3)*(-3*$J863^3+3*$J863^2)+INDIRECT("C$"&amp;5+MIN(2,ROUNDDOWN(I863,0))*3)*$J863^3</f>
      </c>
      <c r="L863" s="7">
        <f>INDIRECT("D$"&amp;2+MIN(2,ROUNDDOWN(I863,0))*3)*(-$J863^3+3*$J863^2-3*$J863+1)+INDIRECT("D$"&amp;3+MIN(2,ROUNDDOWN(I863,0))*3)*(3*$J863^3-6*$J863^2+3*$J863)+INDIRECT("D$"&amp;4+MIN(2,ROUNDDOWN(I863,0))*3)*(-3*$J863^3+3*$J863^2)+INDIRECT("D$"&amp;5+MIN(2,ROUNDDOWN(I863,0))*3)*$J863^3</f>
      </c>
      <c r="M863" s="7">
        <f>SQRT(K863^2+L863^2)</f>
      </c>
      <c r="N863" s="7">
        <f>(K864-K862)</f>
      </c>
      <c r="O863" s="7">
        <f>+(L864-L862)</f>
      </c>
      <c r="P863" s="7">
        <f>SQRT(O863^2+N863^2)</f>
      </c>
      <c r="Q863" s="7">
        <f>N863/$P863</f>
      </c>
      <c r="R863" s="7">
        <f>O863/$P863</f>
      </c>
      <c r="S863" s="8">
        <f>Q863^2+R863^2</f>
      </c>
      <c r="T863" s="7">
        <f>-R863</f>
      </c>
      <c r="U863" s="7">
        <f>Q863</f>
      </c>
      <c r="V863" s="7">
        <f>($C$14+($C$15-$C$14)/($D$15-$D$14)*(I863-$D$14))/2</f>
      </c>
      <c r="W863" s="7">
        <f>($B$22*I863^4+$C$22*I863^3+$D$22*I863^2+$E$22*I863+$F$22)/2</f>
      </c>
      <c r="X863" s="7">
        <f>($W863)*(T863)</f>
      </c>
      <c r="Y863" s="7">
        <f>($W863)*(U863)</f>
      </c>
      <c r="Z863" s="7">
        <f>SQRT(X863^2+Y863^2)</f>
      </c>
      <c r="AA863" s="7">
        <f>$K863+$X863</f>
      </c>
      <c r="AB863" s="7">
        <f>$L863+$Y863</f>
      </c>
      <c r="AC863" s="7">
        <f>$K863-$X863</f>
      </c>
      <c r="AD863" s="7">
        <f>$L863-$Y863</f>
      </c>
      <c r="AE863" s="7">
        <f>AA863/39.3701</f>
      </c>
      <c r="AF863" s="7">
        <f>AB863/39.3701</f>
      </c>
      <c r="AG863" s="7">
        <f>AC863/39.3701</f>
      </c>
      <c r="AH863" s="7">
        <f>AD863/39.3701</f>
      </c>
      <c r="AI863" s="1"/>
      <c r="AJ863" s="1"/>
      <c r="AK863" s="1"/>
      <c r="AL863" s="1"/>
      <c r="AM863" s="2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</row>
    <row x14ac:dyDescent="0.25" r="864" customHeight="1" ht="18.75">
      <c r="A864" s="1"/>
      <c r="B864" s="2"/>
      <c r="C864" s="2"/>
      <c r="D864" s="2"/>
      <c r="E864" s="2"/>
      <c r="F864" s="2"/>
      <c r="G864" s="1"/>
      <c r="H864" s="1"/>
      <c r="I864" s="7">
        <v>0.861</v>
      </c>
      <c r="J864" s="7">
        <f>IF((I864-ROUNDDOWN(I864,0))=0, 0, (I864-ROUNDDOWN(I864,0)))</f>
      </c>
      <c r="K864" s="7">
        <f>INDIRECT("C$"&amp;2+MIN(2,ROUNDDOWN(I864,0))*3)*(-$J864^3+3*$J864^2-3*$J864+1)+INDIRECT("C$"&amp;3+MIN(2,ROUNDDOWN(I864,0))*3)*(3*$J864^3-6*$J864^2+3*$J864)+INDIRECT("C$"&amp;4+MIN(2,ROUNDDOWN(I864,0))*3)*(-3*$J864^3+3*$J864^2)+INDIRECT("C$"&amp;5+MIN(2,ROUNDDOWN(I864,0))*3)*$J864^3</f>
      </c>
      <c r="L864" s="7">
        <f>INDIRECT("D$"&amp;2+MIN(2,ROUNDDOWN(I864,0))*3)*(-$J864^3+3*$J864^2-3*$J864+1)+INDIRECT("D$"&amp;3+MIN(2,ROUNDDOWN(I864,0))*3)*(3*$J864^3-6*$J864^2+3*$J864)+INDIRECT("D$"&amp;4+MIN(2,ROUNDDOWN(I864,0))*3)*(-3*$J864^3+3*$J864^2)+INDIRECT("D$"&amp;5+MIN(2,ROUNDDOWN(I864,0))*3)*$J864^3</f>
      </c>
      <c r="M864" s="7">
        <f>SQRT(K864^2+L864^2)</f>
      </c>
      <c r="N864" s="7">
        <f>(K865-K863)</f>
      </c>
      <c r="O864" s="7">
        <f>+(L865-L863)</f>
      </c>
      <c r="P864" s="7">
        <f>SQRT(O864^2+N864^2)</f>
      </c>
      <c r="Q864" s="7">
        <f>N864/$P864</f>
      </c>
      <c r="R864" s="7">
        <f>O864/$P864</f>
      </c>
      <c r="S864" s="7">
        <f>Q864^2+R864^2</f>
      </c>
      <c r="T864" s="7">
        <f>-R864</f>
      </c>
      <c r="U864" s="7">
        <f>Q864</f>
      </c>
      <c r="V864" s="7">
        <f>($C$14+($C$15-$C$14)/($D$15-$D$14)*(I864-$D$14))/2</f>
      </c>
      <c r="W864" s="7">
        <f>($B$22*I864^4+$C$22*I864^3+$D$22*I864^2+$E$22*I864+$F$22)/2</f>
      </c>
      <c r="X864" s="7">
        <f>($W864)*(T864)</f>
      </c>
      <c r="Y864" s="7">
        <f>($W864)*(U864)</f>
      </c>
      <c r="Z864" s="7">
        <f>SQRT(X864^2+Y864^2)</f>
      </c>
      <c r="AA864" s="7">
        <f>$K864+$X864</f>
      </c>
      <c r="AB864" s="7">
        <f>$L864+$Y864</f>
      </c>
      <c r="AC864" s="7">
        <f>$K864-$X864</f>
      </c>
      <c r="AD864" s="7">
        <f>$L864-$Y864</f>
      </c>
      <c r="AE864" s="7">
        <f>AA864/39.3701</f>
      </c>
      <c r="AF864" s="7">
        <f>AB864/39.3701</f>
      </c>
      <c r="AG864" s="7">
        <f>AC864/39.3701</f>
      </c>
      <c r="AH864" s="7">
        <f>AD864/39.3701</f>
      </c>
      <c r="AI864" s="1"/>
      <c r="AJ864" s="1"/>
      <c r="AK864" s="1"/>
      <c r="AL864" s="1"/>
      <c r="AM864" s="2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</row>
    <row x14ac:dyDescent="0.25" r="865" customHeight="1" ht="18.75">
      <c r="A865" s="1"/>
      <c r="B865" s="2"/>
      <c r="C865" s="2"/>
      <c r="D865" s="2"/>
      <c r="E865" s="2"/>
      <c r="F865" s="2"/>
      <c r="G865" s="1"/>
      <c r="H865" s="1"/>
      <c r="I865" s="7">
        <v>0.862</v>
      </c>
      <c r="J865" s="7">
        <f>IF((I865-ROUNDDOWN(I865,0))=0, 0, (I865-ROUNDDOWN(I865,0)))</f>
      </c>
      <c r="K865" s="7">
        <f>INDIRECT("C$"&amp;2+MIN(2,ROUNDDOWN(I865,0))*3)*(-$J865^3+3*$J865^2-3*$J865+1)+INDIRECT("C$"&amp;3+MIN(2,ROUNDDOWN(I865,0))*3)*(3*$J865^3-6*$J865^2+3*$J865)+INDIRECT("C$"&amp;4+MIN(2,ROUNDDOWN(I865,0))*3)*(-3*$J865^3+3*$J865^2)+INDIRECT("C$"&amp;5+MIN(2,ROUNDDOWN(I865,0))*3)*$J865^3</f>
      </c>
      <c r="L865" s="7">
        <f>INDIRECT("D$"&amp;2+MIN(2,ROUNDDOWN(I865,0))*3)*(-$J865^3+3*$J865^2-3*$J865+1)+INDIRECT("D$"&amp;3+MIN(2,ROUNDDOWN(I865,0))*3)*(3*$J865^3-6*$J865^2+3*$J865)+INDIRECT("D$"&amp;4+MIN(2,ROUNDDOWN(I865,0))*3)*(-3*$J865^3+3*$J865^2)+INDIRECT("D$"&amp;5+MIN(2,ROUNDDOWN(I865,0))*3)*$J865^3</f>
      </c>
      <c r="M865" s="7">
        <f>SQRT(K865^2+L865^2)</f>
      </c>
      <c r="N865" s="7">
        <f>(K866-K864)</f>
      </c>
      <c r="O865" s="7">
        <f>+(L866-L864)</f>
      </c>
      <c r="P865" s="7">
        <f>SQRT(O865^2+N865^2)</f>
      </c>
      <c r="Q865" s="7">
        <f>N865/$P865</f>
      </c>
      <c r="R865" s="7">
        <f>O865/$P865</f>
      </c>
      <c r="S865" s="7">
        <f>Q865^2+R865^2</f>
      </c>
      <c r="T865" s="7">
        <f>-R865</f>
      </c>
      <c r="U865" s="7">
        <f>Q865</f>
      </c>
      <c r="V865" s="7">
        <f>($C$14+($C$15-$C$14)/($D$15-$D$14)*(I865-$D$14))/2</f>
      </c>
      <c r="W865" s="7">
        <f>($B$22*I865^4+$C$22*I865^3+$D$22*I865^2+$E$22*I865+$F$22)/2</f>
      </c>
      <c r="X865" s="7">
        <f>($W865)*(T865)</f>
      </c>
      <c r="Y865" s="7">
        <f>($W865)*(U865)</f>
      </c>
      <c r="Z865" s="7">
        <f>SQRT(X865^2+Y865^2)</f>
      </c>
      <c r="AA865" s="7">
        <f>$K865+$X865</f>
      </c>
      <c r="AB865" s="7">
        <f>$L865+$Y865</f>
      </c>
      <c r="AC865" s="7">
        <f>$K865-$X865</f>
      </c>
      <c r="AD865" s="7">
        <f>$L865-$Y865</f>
      </c>
      <c r="AE865" s="7">
        <f>AA865/39.3701</f>
      </c>
      <c r="AF865" s="7">
        <f>AB865/39.3701</f>
      </c>
      <c r="AG865" s="7">
        <f>AC865/39.3701</f>
      </c>
      <c r="AH865" s="7">
        <f>AD865/39.3701</f>
      </c>
      <c r="AI865" s="1"/>
      <c r="AJ865" s="1"/>
      <c r="AK865" s="1"/>
      <c r="AL865" s="1"/>
      <c r="AM865" s="2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</row>
    <row x14ac:dyDescent="0.25" r="866" customHeight="1" ht="18.75">
      <c r="A866" s="1"/>
      <c r="B866" s="2"/>
      <c r="C866" s="2"/>
      <c r="D866" s="2"/>
      <c r="E866" s="2"/>
      <c r="F866" s="2"/>
      <c r="G866" s="1"/>
      <c r="H866" s="1"/>
      <c r="I866" s="7">
        <v>0.863</v>
      </c>
      <c r="J866" s="7">
        <f>IF((I866-ROUNDDOWN(I866,0))=0, 0, (I866-ROUNDDOWN(I866,0)))</f>
      </c>
      <c r="K866" s="7">
        <f>INDIRECT("C$"&amp;2+MIN(2,ROUNDDOWN(I866,0))*3)*(-$J866^3+3*$J866^2-3*$J866+1)+INDIRECT("C$"&amp;3+MIN(2,ROUNDDOWN(I866,0))*3)*(3*$J866^3-6*$J866^2+3*$J866)+INDIRECT("C$"&amp;4+MIN(2,ROUNDDOWN(I866,0))*3)*(-3*$J866^3+3*$J866^2)+INDIRECT("C$"&amp;5+MIN(2,ROUNDDOWN(I866,0))*3)*$J866^3</f>
      </c>
      <c r="L866" s="7">
        <f>INDIRECT("D$"&amp;2+MIN(2,ROUNDDOWN(I866,0))*3)*(-$J866^3+3*$J866^2-3*$J866+1)+INDIRECT("D$"&amp;3+MIN(2,ROUNDDOWN(I866,0))*3)*(3*$J866^3-6*$J866^2+3*$J866)+INDIRECT("D$"&amp;4+MIN(2,ROUNDDOWN(I866,0))*3)*(-3*$J866^3+3*$J866^2)+INDIRECT("D$"&amp;5+MIN(2,ROUNDDOWN(I866,0))*3)*$J866^3</f>
      </c>
      <c r="M866" s="7">
        <f>SQRT(K866^2+L866^2)</f>
      </c>
      <c r="N866" s="7">
        <f>(K867-K865)</f>
      </c>
      <c r="O866" s="7">
        <f>+(L867-L865)</f>
      </c>
      <c r="P866" s="7">
        <f>SQRT(O866^2+N866^2)</f>
      </c>
      <c r="Q866" s="7">
        <f>N866/$P866</f>
      </c>
      <c r="R866" s="7">
        <f>O866/$P866</f>
      </c>
      <c r="S866" s="7">
        <f>Q866^2+R866^2</f>
      </c>
      <c r="T866" s="7">
        <f>-R866</f>
      </c>
      <c r="U866" s="7">
        <f>Q866</f>
      </c>
      <c r="V866" s="7">
        <f>($C$14+($C$15-$C$14)/($D$15-$D$14)*(I866-$D$14))/2</f>
      </c>
      <c r="W866" s="7">
        <f>($B$22*I866^4+$C$22*I866^3+$D$22*I866^2+$E$22*I866+$F$22)/2</f>
      </c>
      <c r="X866" s="7">
        <f>($W866)*(T866)</f>
      </c>
      <c r="Y866" s="7">
        <f>($W866)*(U866)</f>
      </c>
      <c r="Z866" s="7">
        <f>SQRT(X866^2+Y866^2)</f>
      </c>
      <c r="AA866" s="7">
        <f>$K866+$X866</f>
      </c>
      <c r="AB866" s="7">
        <f>$L866+$Y866</f>
      </c>
      <c r="AC866" s="7">
        <f>$K866-$X866</f>
      </c>
      <c r="AD866" s="7">
        <f>$L866-$Y866</f>
      </c>
      <c r="AE866" s="7">
        <f>AA866/39.3701</f>
      </c>
      <c r="AF866" s="7">
        <f>AB866/39.3701</f>
      </c>
      <c r="AG866" s="7">
        <f>AC866/39.3701</f>
      </c>
      <c r="AH866" s="7">
        <f>AD866/39.3701</f>
      </c>
      <c r="AI866" s="1"/>
      <c r="AJ866" s="1"/>
      <c r="AK866" s="1"/>
      <c r="AL866" s="1"/>
      <c r="AM866" s="2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</row>
    <row x14ac:dyDescent="0.25" r="867" customHeight="1" ht="18.75">
      <c r="A867" s="1"/>
      <c r="B867" s="2"/>
      <c r="C867" s="2"/>
      <c r="D867" s="2"/>
      <c r="E867" s="2"/>
      <c r="F867" s="2"/>
      <c r="G867" s="1"/>
      <c r="H867" s="1"/>
      <c r="I867" s="7">
        <v>0.864</v>
      </c>
      <c r="J867" s="7">
        <f>IF((I867-ROUNDDOWN(I867,0))=0, 0, (I867-ROUNDDOWN(I867,0)))</f>
      </c>
      <c r="K867" s="7">
        <f>INDIRECT("C$"&amp;2+MIN(2,ROUNDDOWN(I867,0))*3)*(-$J867^3+3*$J867^2-3*$J867+1)+INDIRECT("C$"&amp;3+MIN(2,ROUNDDOWN(I867,0))*3)*(3*$J867^3-6*$J867^2+3*$J867)+INDIRECT("C$"&amp;4+MIN(2,ROUNDDOWN(I867,0))*3)*(-3*$J867^3+3*$J867^2)+INDIRECT("C$"&amp;5+MIN(2,ROUNDDOWN(I867,0))*3)*$J867^3</f>
      </c>
      <c r="L867" s="7">
        <f>INDIRECT("D$"&amp;2+MIN(2,ROUNDDOWN(I867,0))*3)*(-$J867^3+3*$J867^2-3*$J867+1)+INDIRECT("D$"&amp;3+MIN(2,ROUNDDOWN(I867,0))*3)*(3*$J867^3-6*$J867^2+3*$J867)+INDIRECT("D$"&amp;4+MIN(2,ROUNDDOWN(I867,0))*3)*(-3*$J867^3+3*$J867^2)+INDIRECT("D$"&amp;5+MIN(2,ROUNDDOWN(I867,0))*3)*$J867^3</f>
      </c>
      <c r="M867" s="7">
        <f>SQRT(K867^2+L867^2)</f>
      </c>
      <c r="N867" s="7">
        <f>(K868-K866)</f>
      </c>
      <c r="O867" s="7">
        <f>+(L868-L866)</f>
      </c>
      <c r="P867" s="7">
        <f>SQRT(O867^2+N867^2)</f>
      </c>
      <c r="Q867" s="7">
        <f>N867/$P867</f>
      </c>
      <c r="R867" s="7">
        <f>O867/$P867</f>
      </c>
      <c r="S867" s="8">
        <f>Q867^2+R867^2</f>
      </c>
      <c r="T867" s="7">
        <f>-R867</f>
      </c>
      <c r="U867" s="7">
        <f>Q867</f>
      </c>
      <c r="V867" s="7">
        <f>($C$14+($C$15-$C$14)/($D$15-$D$14)*(I867-$D$14))/2</f>
      </c>
      <c r="W867" s="7">
        <f>($B$22*I867^4+$C$22*I867^3+$D$22*I867^2+$E$22*I867+$F$22)/2</f>
      </c>
      <c r="X867" s="7">
        <f>($W867)*(T867)</f>
      </c>
      <c r="Y867" s="7">
        <f>($W867)*(U867)</f>
      </c>
      <c r="Z867" s="7">
        <f>SQRT(X867^2+Y867^2)</f>
      </c>
      <c r="AA867" s="7">
        <f>$K867+$X867</f>
      </c>
      <c r="AB867" s="7">
        <f>$L867+$Y867</f>
      </c>
      <c r="AC867" s="7">
        <f>$K867-$X867</f>
      </c>
      <c r="AD867" s="7">
        <f>$L867-$Y867</f>
      </c>
      <c r="AE867" s="7">
        <f>AA867/39.3701</f>
      </c>
      <c r="AF867" s="7">
        <f>AB867/39.3701</f>
      </c>
      <c r="AG867" s="7">
        <f>AC867/39.3701</f>
      </c>
      <c r="AH867" s="7">
        <f>AD867/39.3701</f>
      </c>
      <c r="AI867" s="1"/>
      <c r="AJ867" s="1"/>
      <c r="AK867" s="1"/>
      <c r="AL867" s="1"/>
      <c r="AM867" s="2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</row>
    <row x14ac:dyDescent="0.25" r="868" customHeight="1" ht="18.75">
      <c r="A868" s="1"/>
      <c r="B868" s="2"/>
      <c r="C868" s="2"/>
      <c r="D868" s="2"/>
      <c r="E868" s="2"/>
      <c r="F868" s="2"/>
      <c r="G868" s="1"/>
      <c r="H868" s="1"/>
      <c r="I868" s="7">
        <v>0.865</v>
      </c>
      <c r="J868" s="7">
        <f>IF((I868-ROUNDDOWN(I868,0))=0, 0, (I868-ROUNDDOWN(I868,0)))</f>
      </c>
      <c r="K868" s="7">
        <f>INDIRECT("C$"&amp;2+MIN(2,ROUNDDOWN(I868,0))*3)*(-$J868^3+3*$J868^2-3*$J868+1)+INDIRECT("C$"&amp;3+MIN(2,ROUNDDOWN(I868,0))*3)*(3*$J868^3-6*$J868^2+3*$J868)+INDIRECT("C$"&amp;4+MIN(2,ROUNDDOWN(I868,0))*3)*(-3*$J868^3+3*$J868^2)+INDIRECT("C$"&amp;5+MIN(2,ROUNDDOWN(I868,0))*3)*$J868^3</f>
      </c>
      <c r="L868" s="7">
        <f>INDIRECT("D$"&amp;2+MIN(2,ROUNDDOWN(I868,0))*3)*(-$J868^3+3*$J868^2-3*$J868+1)+INDIRECT("D$"&amp;3+MIN(2,ROUNDDOWN(I868,0))*3)*(3*$J868^3-6*$J868^2+3*$J868)+INDIRECT("D$"&amp;4+MIN(2,ROUNDDOWN(I868,0))*3)*(-3*$J868^3+3*$J868^2)+INDIRECT("D$"&amp;5+MIN(2,ROUNDDOWN(I868,0))*3)*$J868^3</f>
      </c>
      <c r="M868" s="7">
        <f>SQRT(K868^2+L868^2)</f>
      </c>
      <c r="N868" s="7">
        <f>(K869-K867)</f>
      </c>
      <c r="O868" s="7">
        <f>+(L869-L867)</f>
      </c>
      <c r="P868" s="7">
        <f>SQRT(O868^2+N868^2)</f>
      </c>
      <c r="Q868" s="7">
        <f>N868/$P868</f>
      </c>
      <c r="R868" s="7">
        <f>O868/$P868</f>
      </c>
      <c r="S868" s="7">
        <f>Q868^2+R868^2</f>
      </c>
      <c r="T868" s="7">
        <f>-R868</f>
      </c>
      <c r="U868" s="7">
        <f>Q868</f>
      </c>
      <c r="V868" s="7">
        <f>($C$14+($C$15-$C$14)/($D$15-$D$14)*(I868-$D$14))/2</f>
      </c>
      <c r="W868" s="7">
        <f>($B$22*I868^4+$C$22*I868^3+$D$22*I868^2+$E$22*I868+$F$22)/2</f>
      </c>
      <c r="X868" s="7">
        <f>($W868)*(T868)</f>
      </c>
      <c r="Y868" s="7">
        <f>($W868)*(U868)</f>
      </c>
      <c r="Z868" s="7">
        <f>SQRT(X868^2+Y868^2)</f>
      </c>
      <c r="AA868" s="7">
        <f>$K868+$X868</f>
      </c>
      <c r="AB868" s="7">
        <f>$L868+$Y868</f>
      </c>
      <c r="AC868" s="7">
        <f>$K868-$X868</f>
      </c>
      <c r="AD868" s="7">
        <f>$L868-$Y868</f>
      </c>
      <c r="AE868" s="7">
        <f>AA868/39.3701</f>
      </c>
      <c r="AF868" s="7">
        <f>AB868/39.3701</f>
      </c>
      <c r="AG868" s="7">
        <f>AC868/39.3701</f>
      </c>
      <c r="AH868" s="7">
        <f>AD868/39.3701</f>
      </c>
      <c r="AI868" s="1"/>
      <c r="AJ868" s="1"/>
      <c r="AK868" s="1"/>
      <c r="AL868" s="1"/>
      <c r="AM868" s="2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</row>
    <row x14ac:dyDescent="0.25" r="869" customHeight="1" ht="18.75">
      <c r="A869" s="1"/>
      <c r="B869" s="2"/>
      <c r="C869" s="2"/>
      <c r="D869" s="2"/>
      <c r="E869" s="2"/>
      <c r="F869" s="2"/>
      <c r="G869" s="1"/>
      <c r="H869" s="1"/>
      <c r="I869" s="7">
        <v>0.866</v>
      </c>
      <c r="J869" s="7">
        <f>IF((I869-ROUNDDOWN(I869,0))=0, 0, (I869-ROUNDDOWN(I869,0)))</f>
      </c>
      <c r="K869" s="7">
        <f>INDIRECT("C$"&amp;2+MIN(2,ROUNDDOWN(I869,0))*3)*(-$J869^3+3*$J869^2-3*$J869+1)+INDIRECT("C$"&amp;3+MIN(2,ROUNDDOWN(I869,0))*3)*(3*$J869^3-6*$J869^2+3*$J869)+INDIRECT("C$"&amp;4+MIN(2,ROUNDDOWN(I869,0))*3)*(-3*$J869^3+3*$J869^2)+INDIRECT("C$"&amp;5+MIN(2,ROUNDDOWN(I869,0))*3)*$J869^3</f>
      </c>
      <c r="L869" s="7">
        <f>INDIRECT("D$"&amp;2+MIN(2,ROUNDDOWN(I869,0))*3)*(-$J869^3+3*$J869^2-3*$J869+1)+INDIRECT("D$"&amp;3+MIN(2,ROUNDDOWN(I869,0))*3)*(3*$J869^3-6*$J869^2+3*$J869)+INDIRECT("D$"&amp;4+MIN(2,ROUNDDOWN(I869,0))*3)*(-3*$J869^3+3*$J869^2)+INDIRECT("D$"&amp;5+MIN(2,ROUNDDOWN(I869,0))*3)*$J869^3</f>
      </c>
      <c r="M869" s="7">
        <f>SQRT(K869^2+L869^2)</f>
      </c>
      <c r="N869" s="7">
        <f>(K870-K868)</f>
      </c>
      <c r="O869" s="7">
        <f>+(L870-L868)</f>
      </c>
      <c r="P869" s="7">
        <f>SQRT(O869^2+N869^2)</f>
      </c>
      <c r="Q869" s="7">
        <f>N869/$P869</f>
      </c>
      <c r="R869" s="7">
        <f>O869/$P869</f>
      </c>
      <c r="S869" s="8">
        <f>Q869^2+R869^2</f>
      </c>
      <c r="T869" s="7">
        <f>-R869</f>
      </c>
      <c r="U869" s="7">
        <f>Q869</f>
      </c>
      <c r="V869" s="7">
        <f>($C$14+($C$15-$C$14)/($D$15-$D$14)*(I869-$D$14))/2</f>
      </c>
      <c r="W869" s="7">
        <f>($B$22*I869^4+$C$22*I869^3+$D$22*I869^2+$E$22*I869+$F$22)/2</f>
      </c>
      <c r="X869" s="7">
        <f>($W869)*(T869)</f>
      </c>
      <c r="Y869" s="7">
        <f>($W869)*(U869)</f>
      </c>
      <c r="Z869" s="7">
        <f>SQRT(X869^2+Y869^2)</f>
      </c>
      <c r="AA869" s="7">
        <f>$K869+$X869</f>
      </c>
      <c r="AB869" s="7">
        <f>$L869+$Y869</f>
      </c>
      <c r="AC869" s="7">
        <f>$K869-$X869</f>
      </c>
      <c r="AD869" s="7">
        <f>$L869-$Y869</f>
      </c>
      <c r="AE869" s="7">
        <f>AA869/39.3701</f>
      </c>
      <c r="AF869" s="7">
        <f>AB869/39.3701</f>
      </c>
      <c r="AG869" s="7">
        <f>AC869/39.3701</f>
      </c>
      <c r="AH869" s="7">
        <f>AD869/39.3701</f>
      </c>
      <c r="AI869" s="1"/>
      <c r="AJ869" s="1"/>
      <c r="AK869" s="1"/>
      <c r="AL869" s="1"/>
      <c r="AM869" s="2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</row>
    <row x14ac:dyDescent="0.25" r="870" customHeight="1" ht="18.75">
      <c r="A870" s="1"/>
      <c r="B870" s="2"/>
      <c r="C870" s="2"/>
      <c r="D870" s="2"/>
      <c r="E870" s="2"/>
      <c r="F870" s="2"/>
      <c r="G870" s="1"/>
      <c r="H870" s="1"/>
      <c r="I870" s="7">
        <v>0.867</v>
      </c>
      <c r="J870" s="7">
        <f>IF((I870-ROUNDDOWN(I870,0))=0, 0, (I870-ROUNDDOWN(I870,0)))</f>
      </c>
      <c r="K870" s="7">
        <f>INDIRECT("C$"&amp;2+MIN(2,ROUNDDOWN(I870,0))*3)*(-$J870^3+3*$J870^2-3*$J870+1)+INDIRECT("C$"&amp;3+MIN(2,ROUNDDOWN(I870,0))*3)*(3*$J870^3-6*$J870^2+3*$J870)+INDIRECT("C$"&amp;4+MIN(2,ROUNDDOWN(I870,0))*3)*(-3*$J870^3+3*$J870^2)+INDIRECT("C$"&amp;5+MIN(2,ROUNDDOWN(I870,0))*3)*$J870^3</f>
      </c>
      <c r="L870" s="7">
        <f>INDIRECT("D$"&amp;2+MIN(2,ROUNDDOWN(I870,0))*3)*(-$J870^3+3*$J870^2-3*$J870+1)+INDIRECT("D$"&amp;3+MIN(2,ROUNDDOWN(I870,0))*3)*(3*$J870^3-6*$J870^2+3*$J870)+INDIRECT("D$"&amp;4+MIN(2,ROUNDDOWN(I870,0))*3)*(-3*$J870^3+3*$J870^2)+INDIRECT("D$"&amp;5+MIN(2,ROUNDDOWN(I870,0))*3)*$J870^3</f>
      </c>
      <c r="M870" s="7">
        <f>SQRT(K870^2+L870^2)</f>
      </c>
      <c r="N870" s="7">
        <f>(K871-K869)</f>
      </c>
      <c r="O870" s="7">
        <f>+(L871-L869)</f>
      </c>
      <c r="P870" s="7">
        <f>SQRT(O870^2+N870^2)</f>
      </c>
      <c r="Q870" s="7">
        <f>N870/$P870</f>
      </c>
      <c r="R870" s="7">
        <f>O870/$P870</f>
      </c>
      <c r="S870" s="7">
        <f>Q870^2+R870^2</f>
      </c>
      <c r="T870" s="7">
        <f>-R870</f>
      </c>
      <c r="U870" s="7">
        <f>Q870</f>
      </c>
      <c r="V870" s="7">
        <f>($C$14+($C$15-$C$14)/($D$15-$D$14)*(I870-$D$14))/2</f>
      </c>
      <c r="W870" s="7">
        <f>($B$22*I870^4+$C$22*I870^3+$D$22*I870^2+$E$22*I870+$F$22)/2</f>
      </c>
      <c r="X870" s="7">
        <f>($W870)*(T870)</f>
      </c>
      <c r="Y870" s="7">
        <f>($W870)*(U870)</f>
      </c>
      <c r="Z870" s="7">
        <f>SQRT(X870^2+Y870^2)</f>
      </c>
      <c r="AA870" s="7">
        <f>$K870+$X870</f>
      </c>
      <c r="AB870" s="7">
        <f>$L870+$Y870</f>
      </c>
      <c r="AC870" s="7">
        <f>$K870-$X870</f>
      </c>
      <c r="AD870" s="7">
        <f>$L870-$Y870</f>
      </c>
      <c r="AE870" s="7">
        <f>AA870/39.3701</f>
      </c>
      <c r="AF870" s="7">
        <f>AB870/39.3701</f>
      </c>
      <c r="AG870" s="7">
        <f>AC870/39.3701</f>
      </c>
      <c r="AH870" s="7">
        <f>AD870/39.3701</f>
      </c>
      <c r="AI870" s="1"/>
      <c r="AJ870" s="1"/>
      <c r="AK870" s="1"/>
      <c r="AL870" s="1"/>
      <c r="AM870" s="2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</row>
    <row x14ac:dyDescent="0.25" r="871" customHeight="1" ht="18.75">
      <c r="A871" s="1"/>
      <c r="B871" s="2"/>
      <c r="C871" s="2"/>
      <c r="D871" s="2"/>
      <c r="E871" s="2"/>
      <c r="F871" s="2"/>
      <c r="G871" s="1"/>
      <c r="H871" s="1"/>
      <c r="I871" s="7">
        <v>0.868</v>
      </c>
      <c r="J871" s="7">
        <f>IF((I871-ROUNDDOWN(I871,0))=0, 0, (I871-ROUNDDOWN(I871,0)))</f>
      </c>
      <c r="K871" s="7">
        <f>INDIRECT("C$"&amp;2+MIN(2,ROUNDDOWN(I871,0))*3)*(-$J871^3+3*$J871^2-3*$J871+1)+INDIRECT("C$"&amp;3+MIN(2,ROUNDDOWN(I871,0))*3)*(3*$J871^3-6*$J871^2+3*$J871)+INDIRECT("C$"&amp;4+MIN(2,ROUNDDOWN(I871,0))*3)*(-3*$J871^3+3*$J871^2)+INDIRECT("C$"&amp;5+MIN(2,ROUNDDOWN(I871,0))*3)*$J871^3</f>
      </c>
      <c r="L871" s="7">
        <f>INDIRECT("D$"&amp;2+MIN(2,ROUNDDOWN(I871,0))*3)*(-$J871^3+3*$J871^2-3*$J871+1)+INDIRECT("D$"&amp;3+MIN(2,ROUNDDOWN(I871,0))*3)*(3*$J871^3-6*$J871^2+3*$J871)+INDIRECT("D$"&amp;4+MIN(2,ROUNDDOWN(I871,0))*3)*(-3*$J871^3+3*$J871^2)+INDIRECT("D$"&amp;5+MIN(2,ROUNDDOWN(I871,0))*3)*$J871^3</f>
      </c>
      <c r="M871" s="7">
        <f>SQRT(K871^2+L871^2)</f>
      </c>
      <c r="N871" s="7">
        <f>(K872-K870)</f>
      </c>
      <c r="O871" s="7">
        <f>+(L872-L870)</f>
      </c>
      <c r="P871" s="7">
        <f>SQRT(O871^2+N871^2)</f>
      </c>
      <c r="Q871" s="7">
        <f>N871/$P871</f>
      </c>
      <c r="R871" s="7">
        <f>O871/$P871</f>
      </c>
      <c r="S871" s="8">
        <f>Q871^2+R871^2</f>
      </c>
      <c r="T871" s="7">
        <f>-R871</f>
      </c>
      <c r="U871" s="7">
        <f>Q871</f>
      </c>
      <c r="V871" s="7">
        <f>($C$14+($C$15-$C$14)/($D$15-$D$14)*(I871-$D$14))/2</f>
      </c>
      <c r="W871" s="7">
        <f>($B$22*I871^4+$C$22*I871^3+$D$22*I871^2+$E$22*I871+$F$22)/2</f>
      </c>
      <c r="X871" s="7">
        <f>($W871)*(T871)</f>
      </c>
      <c r="Y871" s="7">
        <f>($W871)*(U871)</f>
      </c>
      <c r="Z871" s="7">
        <f>SQRT(X871^2+Y871^2)</f>
      </c>
      <c r="AA871" s="7">
        <f>$K871+$X871</f>
      </c>
      <c r="AB871" s="7">
        <f>$L871+$Y871</f>
      </c>
      <c r="AC871" s="7">
        <f>$K871-$X871</f>
      </c>
      <c r="AD871" s="7">
        <f>$L871-$Y871</f>
      </c>
      <c r="AE871" s="7">
        <f>AA871/39.3701</f>
      </c>
      <c r="AF871" s="7">
        <f>AB871/39.3701</f>
      </c>
      <c r="AG871" s="7">
        <f>AC871/39.3701</f>
      </c>
      <c r="AH871" s="7">
        <f>AD871/39.3701</f>
      </c>
      <c r="AI871" s="1"/>
      <c r="AJ871" s="1"/>
      <c r="AK871" s="1"/>
      <c r="AL871" s="1"/>
      <c r="AM871" s="2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</row>
    <row x14ac:dyDescent="0.25" r="872" customHeight="1" ht="18.75">
      <c r="A872" s="1"/>
      <c r="B872" s="2"/>
      <c r="C872" s="2"/>
      <c r="D872" s="2"/>
      <c r="E872" s="2"/>
      <c r="F872" s="2"/>
      <c r="G872" s="1"/>
      <c r="H872" s="1"/>
      <c r="I872" s="7">
        <v>0.869</v>
      </c>
      <c r="J872" s="7">
        <f>IF((I872-ROUNDDOWN(I872,0))=0, 0, (I872-ROUNDDOWN(I872,0)))</f>
      </c>
      <c r="K872" s="7">
        <f>INDIRECT("C$"&amp;2+MIN(2,ROUNDDOWN(I872,0))*3)*(-$J872^3+3*$J872^2-3*$J872+1)+INDIRECT("C$"&amp;3+MIN(2,ROUNDDOWN(I872,0))*3)*(3*$J872^3-6*$J872^2+3*$J872)+INDIRECT("C$"&amp;4+MIN(2,ROUNDDOWN(I872,0))*3)*(-3*$J872^3+3*$J872^2)+INDIRECT("C$"&amp;5+MIN(2,ROUNDDOWN(I872,0))*3)*$J872^3</f>
      </c>
      <c r="L872" s="7">
        <f>INDIRECT("D$"&amp;2+MIN(2,ROUNDDOWN(I872,0))*3)*(-$J872^3+3*$J872^2-3*$J872+1)+INDIRECT("D$"&amp;3+MIN(2,ROUNDDOWN(I872,0))*3)*(3*$J872^3-6*$J872^2+3*$J872)+INDIRECT("D$"&amp;4+MIN(2,ROUNDDOWN(I872,0))*3)*(-3*$J872^3+3*$J872^2)+INDIRECT("D$"&amp;5+MIN(2,ROUNDDOWN(I872,0))*3)*$J872^3</f>
      </c>
      <c r="M872" s="7">
        <f>SQRT(K872^2+L872^2)</f>
      </c>
      <c r="N872" s="7">
        <f>(K873-K871)</f>
      </c>
      <c r="O872" s="7">
        <f>+(L873-L871)</f>
      </c>
      <c r="P872" s="7">
        <f>SQRT(O872^2+N872^2)</f>
      </c>
      <c r="Q872" s="7">
        <f>N872/$P872</f>
      </c>
      <c r="R872" s="7">
        <f>O872/$P872</f>
      </c>
      <c r="S872" s="8">
        <f>Q872^2+R872^2</f>
      </c>
      <c r="T872" s="7">
        <f>-R872</f>
      </c>
      <c r="U872" s="7">
        <f>Q872</f>
      </c>
      <c r="V872" s="7">
        <f>($C$14+($C$15-$C$14)/($D$15-$D$14)*(I872-$D$14))/2</f>
      </c>
      <c r="W872" s="7">
        <f>($B$22*I872^4+$C$22*I872^3+$D$22*I872^2+$E$22*I872+$F$22)/2</f>
      </c>
      <c r="X872" s="7">
        <f>($W872)*(T872)</f>
      </c>
      <c r="Y872" s="7">
        <f>($W872)*(U872)</f>
      </c>
      <c r="Z872" s="7">
        <f>SQRT(X872^2+Y872^2)</f>
      </c>
      <c r="AA872" s="7">
        <f>$K872+$X872</f>
      </c>
      <c r="AB872" s="7">
        <f>$L872+$Y872</f>
      </c>
      <c r="AC872" s="7">
        <f>$K872-$X872</f>
      </c>
      <c r="AD872" s="7">
        <f>$L872-$Y872</f>
      </c>
      <c r="AE872" s="7">
        <f>AA872/39.3701</f>
      </c>
      <c r="AF872" s="7">
        <f>AB872/39.3701</f>
      </c>
      <c r="AG872" s="7">
        <f>AC872/39.3701</f>
      </c>
      <c r="AH872" s="7">
        <f>AD872/39.3701</f>
      </c>
      <c r="AI872" s="1"/>
      <c r="AJ872" s="1"/>
      <c r="AK872" s="1"/>
      <c r="AL872" s="1"/>
      <c r="AM872" s="2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</row>
    <row x14ac:dyDescent="0.25" r="873" customHeight="1" ht="18.75">
      <c r="A873" s="1"/>
      <c r="B873" s="2"/>
      <c r="C873" s="2"/>
      <c r="D873" s="2"/>
      <c r="E873" s="2"/>
      <c r="F873" s="2"/>
      <c r="G873" s="1"/>
      <c r="H873" s="1"/>
      <c r="I873" s="7">
        <v>0.87</v>
      </c>
      <c r="J873" s="7">
        <f>IF((I873-ROUNDDOWN(I873,0))=0, 0, (I873-ROUNDDOWN(I873,0)))</f>
      </c>
      <c r="K873" s="7">
        <f>INDIRECT("C$"&amp;2+MIN(2,ROUNDDOWN(I873,0))*3)*(-$J873^3+3*$J873^2-3*$J873+1)+INDIRECT("C$"&amp;3+MIN(2,ROUNDDOWN(I873,0))*3)*(3*$J873^3-6*$J873^2+3*$J873)+INDIRECT("C$"&amp;4+MIN(2,ROUNDDOWN(I873,0))*3)*(-3*$J873^3+3*$J873^2)+INDIRECT("C$"&amp;5+MIN(2,ROUNDDOWN(I873,0))*3)*$J873^3</f>
      </c>
      <c r="L873" s="7">
        <f>INDIRECT("D$"&amp;2+MIN(2,ROUNDDOWN(I873,0))*3)*(-$J873^3+3*$J873^2-3*$J873+1)+INDIRECT("D$"&amp;3+MIN(2,ROUNDDOWN(I873,0))*3)*(3*$J873^3-6*$J873^2+3*$J873)+INDIRECT("D$"&amp;4+MIN(2,ROUNDDOWN(I873,0))*3)*(-3*$J873^3+3*$J873^2)+INDIRECT("D$"&amp;5+MIN(2,ROUNDDOWN(I873,0))*3)*$J873^3</f>
      </c>
      <c r="M873" s="7">
        <f>SQRT(K873^2+L873^2)</f>
      </c>
      <c r="N873" s="7">
        <f>(K874-K872)</f>
      </c>
      <c r="O873" s="7">
        <f>+(L874-L872)</f>
      </c>
      <c r="P873" s="7">
        <f>SQRT(O873^2+N873^2)</f>
      </c>
      <c r="Q873" s="7">
        <f>N873/$P873</f>
      </c>
      <c r="R873" s="7">
        <f>O873/$P873</f>
      </c>
      <c r="S873" s="8">
        <f>Q873^2+R873^2</f>
      </c>
      <c r="T873" s="7">
        <f>-R873</f>
      </c>
      <c r="U873" s="7">
        <f>Q873</f>
      </c>
      <c r="V873" s="7">
        <f>($C$14+($C$15-$C$14)/($D$15-$D$14)*(I873-$D$14))/2</f>
      </c>
      <c r="W873" s="7">
        <f>($B$22*I873^4+$C$22*I873^3+$D$22*I873^2+$E$22*I873+$F$22)/2</f>
      </c>
      <c r="X873" s="7">
        <f>($W873)*(T873)</f>
      </c>
      <c r="Y873" s="7">
        <f>($W873)*(U873)</f>
      </c>
      <c r="Z873" s="7">
        <f>SQRT(X873^2+Y873^2)</f>
      </c>
      <c r="AA873" s="7">
        <f>$K873+$X873</f>
      </c>
      <c r="AB873" s="7">
        <f>$L873+$Y873</f>
      </c>
      <c r="AC873" s="7">
        <f>$K873-$X873</f>
      </c>
      <c r="AD873" s="7">
        <f>$L873-$Y873</f>
      </c>
      <c r="AE873" s="7">
        <f>AA873/39.3701</f>
      </c>
      <c r="AF873" s="7">
        <f>AB873/39.3701</f>
      </c>
      <c r="AG873" s="7">
        <f>AC873/39.3701</f>
      </c>
      <c r="AH873" s="7">
        <f>AD873/39.3701</f>
      </c>
      <c r="AI873" s="1"/>
      <c r="AJ873" s="1"/>
      <c r="AK873" s="1"/>
      <c r="AL873" s="1"/>
      <c r="AM873" s="2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</row>
    <row x14ac:dyDescent="0.25" r="874" customHeight="1" ht="18.75">
      <c r="A874" s="1"/>
      <c r="B874" s="2"/>
      <c r="C874" s="2"/>
      <c r="D874" s="2"/>
      <c r="E874" s="2"/>
      <c r="F874" s="2"/>
      <c r="G874" s="1"/>
      <c r="H874" s="1"/>
      <c r="I874" s="7">
        <v>0.871</v>
      </c>
      <c r="J874" s="7">
        <f>IF((I874-ROUNDDOWN(I874,0))=0, 0, (I874-ROUNDDOWN(I874,0)))</f>
      </c>
      <c r="K874" s="7">
        <f>INDIRECT("C$"&amp;2+MIN(2,ROUNDDOWN(I874,0))*3)*(-$J874^3+3*$J874^2-3*$J874+1)+INDIRECT("C$"&amp;3+MIN(2,ROUNDDOWN(I874,0))*3)*(3*$J874^3-6*$J874^2+3*$J874)+INDIRECT("C$"&amp;4+MIN(2,ROUNDDOWN(I874,0))*3)*(-3*$J874^3+3*$J874^2)+INDIRECT("C$"&amp;5+MIN(2,ROUNDDOWN(I874,0))*3)*$J874^3</f>
      </c>
      <c r="L874" s="7">
        <f>INDIRECT("D$"&amp;2+MIN(2,ROUNDDOWN(I874,0))*3)*(-$J874^3+3*$J874^2-3*$J874+1)+INDIRECT("D$"&amp;3+MIN(2,ROUNDDOWN(I874,0))*3)*(3*$J874^3-6*$J874^2+3*$J874)+INDIRECT("D$"&amp;4+MIN(2,ROUNDDOWN(I874,0))*3)*(-3*$J874^3+3*$J874^2)+INDIRECT("D$"&amp;5+MIN(2,ROUNDDOWN(I874,0))*3)*$J874^3</f>
      </c>
      <c r="M874" s="7">
        <f>SQRT(K874^2+L874^2)</f>
      </c>
      <c r="N874" s="7">
        <f>(K875-K873)</f>
      </c>
      <c r="O874" s="7">
        <f>+(L875-L873)</f>
      </c>
      <c r="P874" s="7">
        <f>SQRT(O874^2+N874^2)</f>
      </c>
      <c r="Q874" s="7">
        <f>N874/$P874</f>
      </c>
      <c r="R874" s="7">
        <f>O874/$P874</f>
      </c>
      <c r="S874" s="7">
        <f>Q874^2+R874^2</f>
      </c>
      <c r="T874" s="7">
        <f>-R874</f>
      </c>
      <c r="U874" s="7">
        <f>Q874</f>
      </c>
      <c r="V874" s="7">
        <f>($C$14+($C$15-$C$14)/($D$15-$D$14)*(I874-$D$14))/2</f>
      </c>
      <c r="W874" s="7">
        <f>($B$22*I874^4+$C$22*I874^3+$D$22*I874^2+$E$22*I874+$F$22)/2</f>
      </c>
      <c r="X874" s="7">
        <f>($W874)*(T874)</f>
      </c>
      <c r="Y874" s="7">
        <f>($W874)*(U874)</f>
      </c>
      <c r="Z874" s="7">
        <f>SQRT(X874^2+Y874^2)</f>
      </c>
      <c r="AA874" s="7">
        <f>$K874+$X874</f>
      </c>
      <c r="AB874" s="7">
        <f>$L874+$Y874</f>
      </c>
      <c r="AC874" s="7">
        <f>$K874-$X874</f>
      </c>
      <c r="AD874" s="7">
        <f>$L874-$Y874</f>
      </c>
      <c r="AE874" s="7">
        <f>AA874/39.3701</f>
      </c>
      <c r="AF874" s="7">
        <f>AB874/39.3701</f>
      </c>
      <c r="AG874" s="7">
        <f>AC874/39.3701</f>
      </c>
      <c r="AH874" s="7">
        <f>AD874/39.3701</f>
      </c>
      <c r="AI874" s="1"/>
      <c r="AJ874" s="1"/>
      <c r="AK874" s="1"/>
      <c r="AL874" s="1"/>
      <c r="AM874" s="2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</row>
    <row x14ac:dyDescent="0.25" r="875" customHeight="1" ht="18.75">
      <c r="A875" s="1"/>
      <c r="B875" s="2"/>
      <c r="C875" s="2"/>
      <c r="D875" s="2"/>
      <c r="E875" s="2"/>
      <c r="F875" s="2"/>
      <c r="G875" s="1"/>
      <c r="H875" s="1"/>
      <c r="I875" s="7">
        <v>0.872</v>
      </c>
      <c r="J875" s="7">
        <f>IF((I875-ROUNDDOWN(I875,0))=0, 0, (I875-ROUNDDOWN(I875,0)))</f>
      </c>
      <c r="K875" s="7">
        <f>INDIRECT("C$"&amp;2+MIN(2,ROUNDDOWN(I875,0))*3)*(-$J875^3+3*$J875^2-3*$J875+1)+INDIRECT("C$"&amp;3+MIN(2,ROUNDDOWN(I875,0))*3)*(3*$J875^3-6*$J875^2+3*$J875)+INDIRECT("C$"&amp;4+MIN(2,ROUNDDOWN(I875,0))*3)*(-3*$J875^3+3*$J875^2)+INDIRECT("C$"&amp;5+MIN(2,ROUNDDOWN(I875,0))*3)*$J875^3</f>
      </c>
      <c r="L875" s="7">
        <f>INDIRECT("D$"&amp;2+MIN(2,ROUNDDOWN(I875,0))*3)*(-$J875^3+3*$J875^2-3*$J875+1)+INDIRECT("D$"&amp;3+MIN(2,ROUNDDOWN(I875,0))*3)*(3*$J875^3-6*$J875^2+3*$J875)+INDIRECT("D$"&amp;4+MIN(2,ROUNDDOWN(I875,0))*3)*(-3*$J875^3+3*$J875^2)+INDIRECT("D$"&amp;5+MIN(2,ROUNDDOWN(I875,0))*3)*$J875^3</f>
      </c>
      <c r="M875" s="7">
        <f>SQRT(K875^2+L875^2)</f>
      </c>
      <c r="N875" s="7">
        <f>(K876-K874)</f>
      </c>
      <c r="O875" s="7">
        <f>+(L876-L874)</f>
      </c>
      <c r="P875" s="7">
        <f>SQRT(O875^2+N875^2)</f>
      </c>
      <c r="Q875" s="7">
        <f>N875/$P875</f>
      </c>
      <c r="R875" s="7">
        <f>O875/$P875</f>
      </c>
      <c r="S875" s="8">
        <f>Q875^2+R875^2</f>
      </c>
      <c r="T875" s="7">
        <f>-R875</f>
      </c>
      <c r="U875" s="7">
        <f>Q875</f>
      </c>
      <c r="V875" s="7">
        <f>($C$14+($C$15-$C$14)/($D$15-$D$14)*(I875-$D$14))/2</f>
      </c>
      <c r="W875" s="7">
        <f>($B$22*I875^4+$C$22*I875^3+$D$22*I875^2+$E$22*I875+$F$22)/2</f>
      </c>
      <c r="X875" s="7">
        <f>($W875)*(T875)</f>
      </c>
      <c r="Y875" s="7">
        <f>($W875)*(U875)</f>
      </c>
      <c r="Z875" s="7">
        <f>SQRT(X875^2+Y875^2)</f>
      </c>
      <c r="AA875" s="7">
        <f>$K875+$X875</f>
      </c>
      <c r="AB875" s="7">
        <f>$L875+$Y875</f>
      </c>
      <c r="AC875" s="7">
        <f>$K875-$X875</f>
      </c>
      <c r="AD875" s="7">
        <f>$L875-$Y875</f>
      </c>
      <c r="AE875" s="7">
        <f>AA875/39.3701</f>
      </c>
      <c r="AF875" s="7">
        <f>AB875/39.3701</f>
      </c>
      <c r="AG875" s="7">
        <f>AC875/39.3701</f>
      </c>
      <c r="AH875" s="7">
        <f>AD875/39.3701</f>
      </c>
      <c r="AI875" s="1"/>
      <c r="AJ875" s="1"/>
      <c r="AK875" s="1"/>
      <c r="AL875" s="1"/>
      <c r="AM875" s="2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</row>
    <row x14ac:dyDescent="0.25" r="876" customHeight="1" ht="18.75">
      <c r="A876" s="1"/>
      <c r="B876" s="2"/>
      <c r="C876" s="2"/>
      <c r="D876" s="2"/>
      <c r="E876" s="2"/>
      <c r="F876" s="2"/>
      <c r="G876" s="1"/>
      <c r="H876" s="1"/>
      <c r="I876" s="7">
        <v>0.873</v>
      </c>
      <c r="J876" s="7">
        <f>IF((I876-ROUNDDOWN(I876,0))=0, 0, (I876-ROUNDDOWN(I876,0)))</f>
      </c>
      <c r="K876" s="7">
        <f>INDIRECT("C$"&amp;2+MIN(2,ROUNDDOWN(I876,0))*3)*(-$J876^3+3*$J876^2-3*$J876+1)+INDIRECT("C$"&amp;3+MIN(2,ROUNDDOWN(I876,0))*3)*(3*$J876^3-6*$J876^2+3*$J876)+INDIRECT("C$"&amp;4+MIN(2,ROUNDDOWN(I876,0))*3)*(-3*$J876^3+3*$J876^2)+INDIRECT("C$"&amp;5+MIN(2,ROUNDDOWN(I876,0))*3)*$J876^3</f>
      </c>
      <c r="L876" s="7">
        <f>INDIRECT("D$"&amp;2+MIN(2,ROUNDDOWN(I876,0))*3)*(-$J876^3+3*$J876^2-3*$J876+1)+INDIRECT("D$"&amp;3+MIN(2,ROUNDDOWN(I876,0))*3)*(3*$J876^3-6*$J876^2+3*$J876)+INDIRECT("D$"&amp;4+MIN(2,ROUNDDOWN(I876,0))*3)*(-3*$J876^3+3*$J876^2)+INDIRECT("D$"&amp;5+MIN(2,ROUNDDOWN(I876,0))*3)*$J876^3</f>
      </c>
      <c r="M876" s="7">
        <f>SQRT(K876^2+L876^2)</f>
      </c>
      <c r="N876" s="7">
        <f>(K877-K875)</f>
      </c>
      <c r="O876" s="7">
        <f>+(L877-L875)</f>
      </c>
      <c r="P876" s="7">
        <f>SQRT(O876^2+N876^2)</f>
      </c>
      <c r="Q876" s="7">
        <f>N876/$P876</f>
      </c>
      <c r="R876" s="7">
        <f>O876/$P876</f>
      </c>
      <c r="S876" s="8">
        <f>Q876^2+R876^2</f>
      </c>
      <c r="T876" s="7">
        <f>-R876</f>
      </c>
      <c r="U876" s="7">
        <f>Q876</f>
      </c>
      <c r="V876" s="7">
        <f>($C$14+($C$15-$C$14)/($D$15-$D$14)*(I876-$D$14))/2</f>
      </c>
      <c r="W876" s="7">
        <f>($B$22*I876^4+$C$22*I876^3+$D$22*I876^2+$E$22*I876+$F$22)/2</f>
      </c>
      <c r="X876" s="7">
        <f>($W876)*(T876)</f>
      </c>
      <c r="Y876" s="7">
        <f>($W876)*(U876)</f>
      </c>
      <c r="Z876" s="7">
        <f>SQRT(X876^2+Y876^2)</f>
      </c>
      <c r="AA876" s="7">
        <f>$K876+$X876</f>
      </c>
      <c r="AB876" s="7">
        <f>$L876+$Y876</f>
      </c>
      <c r="AC876" s="7">
        <f>$K876-$X876</f>
      </c>
      <c r="AD876" s="7">
        <f>$L876-$Y876</f>
      </c>
      <c r="AE876" s="7">
        <f>AA876/39.3701</f>
      </c>
      <c r="AF876" s="7">
        <f>AB876/39.3701</f>
      </c>
      <c r="AG876" s="7">
        <f>AC876/39.3701</f>
      </c>
      <c r="AH876" s="7">
        <f>AD876/39.3701</f>
      </c>
      <c r="AI876" s="1"/>
      <c r="AJ876" s="1"/>
      <c r="AK876" s="1"/>
      <c r="AL876" s="1"/>
      <c r="AM876" s="2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</row>
    <row x14ac:dyDescent="0.25" r="877" customHeight="1" ht="18.75">
      <c r="A877" s="1"/>
      <c r="B877" s="2"/>
      <c r="C877" s="2"/>
      <c r="D877" s="2"/>
      <c r="E877" s="2"/>
      <c r="F877" s="2"/>
      <c r="G877" s="1"/>
      <c r="H877" s="1"/>
      <c r="I877" s="7">
        <v>0.874</v>
      </c>
      <c r="J877" s="7">
        <f>IF((I877-ROUNDDOWN(I877,0))=0, 0, (I877-ROUNDDOWN(I877,0)))</f>
      </c>
      <c r="K877" s="7">
        <f>INDIRECT("C$"&amp;2+MIN(2,ROUNDDOWN(I877,0))*3)*(-$J877^3+3*$J877^2-3*$J877+1)+INDIRECT("C$"&amp;3+MIN(2,ROUNDDOWN(I877,0))*3)*(3*$J877^3-6*$J877^2+3*$J877)+INDIRECT("C$"&amp;4+MIN(2,ROUNDDOWN(I877,0))*3)*(-3*$J877^3+3*$J877^2)+INDIRECT("C$"&amp;5+MIN(2,ROUNDDOWN(I877,0))*3)*$J877^3</f>
      </c>
      <c r="L877" s="7">
        <f>INDIRECT("D$"&amp;2+MIN(2,ROUNDDOWN(I877,0))*3)*(-$J877^3+3*$J877^2-3*$J877+1)+INDIRECT("D$"&amp;3+MIN(2,ROUNDDOWN(I877,0))*3)*(3*$J877^3-6*$J877^2+3*$J877)+INDIRECT("D$"&amp;4+MIN(2,ROUNDDOWN(I877,0))*3)*(-3*$J877^3+3*$J877^2)+INDIRECT("D$"&amp;5+MIN(2,ROUNDDOWN(I877,0))*3)*$J877^3</f>
      </c>
      <c r="M877" s="7">
        <f>SQRT(K877^2+L877^2)</f>
      </c>
      <c r="N877" s="7">
        <f>(K878-K876)</f>
      </c>
      <c r="O877" s="7">
        <f>+(L878-L876)</f>
      </c>
      <c r="P877" s="7">
        <f>SQRT(O877^2+N877^2)</f>
      </c>
      <c r="Q877" s="7">
        <f>N877/$P877</f>
      </c>
      <c r="R877" s="7">
        <f>O877/$P877</f>
      </c>
      <c r="S877" s="8">
        <f>Q877^2+R877^2</f>
      </c>
      <c r="T877" s="7">
        <f>-R877</f>
      </c>
      <c r="U877" s="7">
        <f>Q877</f>
      </c>
      <c r="V877" s="7">
        <f>($C$14+($C$15-$C$14)/($D$15-$D$14)*(I877-$D$14))/2</f>
      </c>
      <c r="W877" s="7">
        <f>($B$22*I877^4+$C$22*I877^3+$D$22*I877^2+$E$22*I877+$F$22)/2</f>
      </c>
      <c r="X877" s="7">
        <f>($W877)*(T877)</f>
      </c>
      <c r="Y877" s="7">
        <f>($W877)*(U877)</f>
      </c>
      <c r="Z877" s="7">
        <f>SQRT(X877^2+Y877^2)</f>
      </c>
      <c r="AA877" s="7">
        <f>$K877+$X877</f>
      </c>
      <c r="AB877" s="7">
        <f>$L877+$Y877</f>
      </c>
      <c r="AC877" s="7">
        <f>$K877-$X877</f>
      </c>
      <c r="AD877" s="7">
        <f>$L877-$Y877</f>
      </c>
      <c r="AE877" s="7">
        <f>AA877/39.3701</f>
      </c>
      <c r="AF877" s="7">
        <f>AB877/39.3701</f>
      </c>
      <c r="AG877" s="7">
        <f>AC877/39.3701</f>
      </c>
      <c r="AH877" s="7">
        <f>AD877/39.3701</f>
      </c>
      <c r="AI877" s="1"/>
      <c r="AJ877" s="1"/>
      <c r="AK877" s="1"/>
      <c r="AL877" s="1"/>
      <c r="AM877" s="2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</row>
    <row x14ac:dyDescent="0.25" r="878" customHeight="1" ht="18.75">
      <c r="A878" s="1"/>
      <c r="B878" s="2"/>
      <c r="C878" s="2"/>
      <c r="D878" s="2"/>
      <c r="E878" s="2"/>
      <c r="F878" s="2"/>
      <c r="G878" s="1"/>
      <c r="H878" s="1"/>
      <c r="I878" s="7">
        <v>0.875</v>
      </c>
      <c r="J878" s="7">
        <f>IF((I878-ROUNDDOWN(I878,0))=0, 0, (I878-ROUNDDOWN(I878,0)))</f>
      </c>
      <c r="K878" s="7">
        <f>INDIRECT("C$"&amp;2+MIN(2,ROUNDDOWN(I878,0))*3)*(-$J878^3+3*$J878^2-3*$J878+1)+INDIRECT("C$"&amp;3+MIN(2,ROUNDDOWN(I878,0))*3)*(3*$J878^3-6*$J878^2+3*$J878)+INDIRECT("C$"&amp;4+MIN(2,ROUNDDOWN(I878,0))*3)*(-3*$J878^3+3*$J878^2)+INDIRECT("C$"&amp;5+MIN(2,ROUNDDOWN(I878,0))*3)*$J878^3</f>
      </c>
      <c r="L878" s="7">
        <f>INDIRECT("D$"&amp;2+MIN(2,ROUNDDOWN(I878,0))*3)*(-$J878^3+3*$J878^2-3*$J878+1)+INDIRECT("D$"&amp;3+MIN(2,ROUNDDOWN(I878,0))*3)*(3*$J878^3-6*$J878^2+3*$J878)+INDIRECT("D$"&amp;4+MIN(2,ROUNDDOWN(I878,0))*3)*(-3*$J878^3+3*$J878^2)+INDIRECT("D$"&amp;5+MIN(2,ROUNDDOWN(I878,0))*3)*$J878^3</f>
      </c>
      <c r="M878" s="7">
        <f>SQRT(K878^2+L878^2)</f>
      </c>
      <c r="N878" s="7">
        <f>(K879-K877)</f>
      </c>
      <c r="O878" s="7">
        <f>+(L879-L877)</f>
      </c>
      <c r="P878" s="7">
        <f>SQRT(O878^2+N878^2)</f>
      </c>
      <c r="Q878" s="7">
        <f>N878/$P878</f>
      </c>
      <c r="R878" s="7">
        <f>O878/$P878</f>
      </c>
      <c r="S878" s="8">
        <f>Q878^2+R878^2</f>
      </c>
      <c r="T878" s="7">
        <f>-R878</f>
      </c>
      <c r="U878" s="7">
        <f>Q878</f>
      </c>
      <c r="V878" s="7">
        <f>($C$14+($C$15-$C$14)/($D$15-$D$14)*(I878-$D$14))/2</f>
      </c>
      <c r="W878" s="7">
        <f>($B$22*I878^4+$C$22*I878^3+$D$22*I878^2+$E$22*I878+$F$22)/2</f>
      </c>
      <c r="X878" s="7">
        <f>($W878)*(T878)</f>
      </c>
      <c r="Y878" s="7">
        <f>($W878)*(U878)</f>
      </c>
      <c r="Z878" s="7">
        <f>SQRT(X878^2+Y878^2)</f>
      </c>
      <c r="AA878" s="7">
        <f>$K878+$X878</f>
      </c>
      <c r="AB878" s="7">
        <f>$L878+$Y878</f>
      </c>
      <c r="AC878" s="7">
        <f>$K878-$X878</f>
      </c>
      <c r="AD878" s="7">
        <f>$L878-$Y878</f>
      </c>
      <c r="AE878" s="7">
        <f>AA878/39.3701</f>
      </c>
      <c r="AF878" s="7">
        <f>AB878/39.3701</f>
      </c>
      <c r="AG878" s="7">
        <f>AC878/39.3701</f>
      </c>
      <c r="AH878" s="7">
        <f>AD878/39.3701</f>
      </c>
      <c r="AI878" s="1"/>
      <c r="AJ878" s="1"/>
      <c r="AK878" s="1"/>
      <c r="AL878" s="1"/>
      <c r="AM878" s="2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</row>
    <row x14ac:dyDescent="0.25" r="879" customHeight="1" ht="18.75">
      <c r="A879" s="1"/>
      <c r="B879" s="2"/>
      <c r="C879" s="2"/>
      <c r="D879" s="2"/>
      <c r="E879" s="2"/>
      <c r="F879" s="2"/>
      <c r="G879" s="1"/>
      <c r="H879" s="1"/>
      <c r="I879" s="7">
        <v>0.876</v>
      </c>
      <c r="J879" s="7">
        <f>IF((I879-ROUNDDOWN(I879,0))=0, 0, (I879-ROUNDDOWN(I879,0)))</f>
      </c>
      <c r="K879" s="7">
        <f>INDIRECT("C$"&amp;2+MIN(2,ROUNDDOWN(I879,0))*3)*(-$J879^3+3*$J879^2-3*$J879+1)+INDIRECT("C$"&amp;3+MIN(2,ROUNDDOWN(I879,0))*3)*(3*$J879^3-6*$J879^2+3*$J879)+INDIRECT("C$"&amp;4+MIN(2,ROUNDDOWN(I879,0))*3)*(-3*$J879^3+3*$J879^2)+INDIRECT("C$"&amp;5+MIN(2,ROUNDDOWN(I879,0))*3)*$J879^3</f>
      </c>
      <c r="L879" s="7">
        <f>INDIRECT("D$"&amp;2+MIN(2,ROUNDDOWN(I879,0))*3)*(-$J879^3+3*$J879^2-3*$J879+1)+INDIRECT("D$"&amp;3+MIN(2,ROUNDDOWN(I879,0))*3)*(3*$J879^3-6*$J879^2+3*$J879)+INDIRECT("D$"&amp;4+MIN(2,ROUNDDOWN(I879,0))*3)*(-3*$J879^3+3*$J879^2)+INDIRECT("D$"&amp;5+MIN(2,ROUNDDOWN(I879,0))*3)*$J879^3</f>
      </c>
      <c r="M879" s="7">
        <f>SQRT(K879^2+L879^2)</f>
      </c>
      <c r="N879" s="7">
        <f>(K880-K878)</f>
      </c>
      <c r="O879" s="7">
        <f>+(L880-L878)</f>
      </c>
      <c r="P879" s="7">
        <f>SQRT(O879^2+N879^2)</f>
      </c>
      <c r="Q879" s="7">
        <f>N879/$P879</f>
      </c>
      <c r="R879" s="7">
        <f>O879/$P879</f>
      </c>
      <c r="S879" s="7">
        <f>Q879^2+R879^2</f>
      </c>
      <c r="T879" s="7">
        <f>-R879</f>
      </c>
      <c r="U879" s="7">
        <f>Q879</f>
      </c>
      <c r="V879" s="7">
        <f>($C$14+($C$15-$C$14)/($D$15-$D$14)*(I879-$D$14))/2</f>
      </c>
      <c r="W879" s="7">
        <f>($B$22*I879^4+$C$22*I879^3+$D$22*I879^2+$E$22*I879+$F$22)/2</f>
      </c>
      <c r="X879" s="7">
        <f>($W879)*(T879)</f>
      </c>
      <c r="Y879" s="7">
        <f>($W879)*(U879)</f>
      </c>
      <c r="Z879" s="7">
        <f>SQRT(X879^2+Y879^2)</f>
      </c>
      <c r="AA879" s="7">
        <f>$K879+$X879</f>
      </c>
      <c r="AB879" s="7">
        <f>$L879+$Y879</f>
      </c>
      <c r="AC879" s="7">
        <f>$K879-$X879</f>
      </c>
      <c r="AD879" s="7">
        <f>$L879-$Y879</f>
      </c>
      <c r="AE879" s="7">
        <f>AA879/39.3701</f>
      </c>
      <c r="AF879" s="7">
        <f>AB879/39.3701</f>
      </c>
      <c r="AG879" s="7">
        <f>AC879/39.3701</f>
      </c>
      <c r="AH879" s="7">
        <f>AD879/39.3701</f>
      </c>
      <c r="AI879" s="1"/>
      <c r="AJ879" s="1"/>
      <c r="AK879" s="1"/>
      <c r="AL879" s="1"/>
      <c r="AM879" s="2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</row>
    <row x14ac:dyDescent="0.25" r="880" customHeight="1" ht="18.75">
      <c r="A880" s="1"/>
      <c r="B880" s="2"/>
      <c r="C880" s="2"/>
      <c r="D880" s="2"/>
      <c r="E880" s="2"/>
      <c r="F880" s="2"/>
      <c r="G880" s="1"/>
      <c r="H880" s="1"/>
      <c r="I880" s="7">
        <v>0.877</v>
      </c>
      <c r="J880" s="7">
        <f>IF((I880-ROUNDDOWN(I880,0))=0, 0, (I880-ROUNDDOWN(I880,0)))</f>
      </c>
      <c r="K880" s="7">
        <f>INDIRECT("C$"&amp;2+MIN(2,ROUNDDOWN(I880,0))*3)*(-$J880^3+3*$J880^2-3*$J880+1)+INDIRECT("C$"&amp;3+MIN(2,ROUNDDOWN(I880,0))*3)*(3*$J880^3-6*$J880^2+3*$J880)+INDIRECT("C$"&amp;4+MIN(2,ROUNDDOWN(I880,0))*3)*(-3*$J880^3+3*$J880^2)+INDIRECT("C$"&amp;5+MIN(2,ROUNDDOWN(I880,0))*3)*$J880^3</f>
      </c>
      <c r="L880" s="7">
        <f>INDIRECT("D$"&amp;2+MIN(2,ROUNDDOWN(I880,0))*3)*(-$J880^3+3*$J880^2-3*$J880+1)+INDIRECT("D$"&amp;3+MIN(2,ROUNDDOWN(I880,0))*3)*(3*$J880^3-6*$J880^2+3*$J880)+INDIRECT("D$"&amp;4+MIN(2,ROUNDDOWN(I880,0))*3)*(-3*$J880^3+3*$J880^2)+INDIRECT("D$"&amp;5+MIN(2,ROUNDDOWN(I880,0))*3)*$J880^3</f>
      </c>
      <c r="M880" s="7">
        <f>SQRT(K880^2+L880^2)</f>
      </c>
      <c r="N880" s="7">
        <f>(K881-K879)</f>
      </c>
      <c r="O880" s="7">
        <f>+(L881-L879)</f>
      </c>
      <c r="P880" s="7">
        <f>SQRT(O880^2+N880^2)</f>
      </c>
      <c r="Q880" s="7">
        <f>N880/$P880</f>
      </c>
      <c r="R880" s="7">
        <f>O880/$P880</f>
      </c>
      <c r="S880" s="7">
        <f>Q880^2+R880^2</f>
      </c>
      <c r="T880" s="7">
        <f>-R880</f>
      </c>
      <c r="U880" s="7">
        <f>Q880</f>
      </c>
      <c r="V880" s="7">
        <f>($C$14+($C$15-$C$14)/($D$15-$D$14)*(I880-$D$14))/2</f>
      </c>
      <c r="W880" s="7">
        <f>($B$22*I880^4+$C$22*I880^3+$D$22*I880^2+$E$22*I880+$F$22)/2</f>
      </c>
      <c r="X880" s="7">
        <f>($W880)*(T880)</f>
      </c>
      <c r="Y880" s="7">
        <f>($W880)*(U880)</f>
      </c>
      <c r="Z880" s="7">
        <f>SQRT(X880^2+Y880^2)</f>
      </c>
      <c r="AA880" s="7">
        <f>$K880+$X880</f>
      </c>
      <c r="AB880" s="7">
        <f>$L880+$Y880</f>
      </c>
      <c r="AC880" s="7">
        <f>$K880-$X880</f>
      </c>
      <c r="AD880" s="7">
        <f>$L880-$Y880</f>
      </c>
      <c r="AE880" s="7">
        <f>AA880/39.3701</f>
      </c>
      <c r="AF880" s="7">
        <f>AB880/39.3701</f>
      </c>
      <c r="AG880" s="7">
        <f>AC880/39.3701</f>
      </c>
      <c r="AH880" s="7">
        <f>AD880/39.3701</f>
      </c>
      <c r="AI880" s="1"/>
      <c r="AJ880" s="1"/>
      <c r="AK880" s="1"/>
      <c r="AL880" s="1"/>
      <c r="AM880" s="2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</row>
    <row x14ac:dyDescent="0.25" r="881" customHeight="1" ht="18.75">
      <c r="A881" s="1"/>
      <c r="B881" s="2"/>
      <c r="C881" s="2"/>
      <c r="D881" s="2"/>
      <c r="E881" s="2"/>
      <c r="F881" s="2"/>
      <c r="G881" s="1"/>
      <c r="H881" s="1"/>
      <c r="I881" s="7">
        <v>0.878</v>
      </c>
      <c r="J881" s="7">
        <f>IF((I881-ROUNDDOWN(I881,0))=0, 0, (I881-ROUNDDOWN(I881,0)))</f>
      </c>
      <c r="K881" s="7">
        <f>INDIRECT("C$"&amp;2+MIN(2,ROUNDDOWN(I881,0))*3)*(-$J881^3+3*$J881^2-3*$J881+1)+INDIRECT("C$"&amp;3+MIN(2,ROUNDDOWN(I881,0))*3)*(3*$J881^3-6*$J881^2+3*$J881)+INDIRECT("C$"&amp;4+MIN(2,ROUNDDOWN(I881,0))*3)*(-3*$J881^3+3*$J881^2)+INDIRECT("C$"&amp;5+MIN(2,ROUNDDOWN(I881,0))*3)*$J881^3</f>
      </c>
      <c r="L881" s="7">
        <f>INDIRECT("D$"&amp;2+MIN(2,ROUNDDOWN(I881,0))*3)*(-$J881^3+3*$J881^2-3*$J881+1)+INDIRECT("D$"&amp;3+MIN(2,ROUNDDOWN(I881,0))*3)*(3*$J881^3-6*$J881^2+3*$J881)+INDIRECT("D$"&amp;4+MIN(2,ROUNDDOWN(I881,0))*3)*(-3*$J881^3+3*$J881^2)+INDIRECT("D$"&amp;5+MIN(2,ROUNDDOWN(I881,0))*3)*$J881^3</f>
      </c>
      <c r="M881" s="7">
        <f>SQRT(K881^2+L881^2)</f>
      </c>
      <c r="N881" s="7">
        <f>(K882-K880)</f>
      </c>
      <c r="O881" s="7">
        <f>+(L882-L880)</f>
      </c>
      <c r="P881" s="7">
        <f>SQRT(O881^2+N881^2)</f>
      </c>
      <c r="Q881" s="7">
        <f>N881/$P881</f>
      </c>
      <c r="R881" s="7">
        <f>O881/$P881</f>
      </c>
      <c r="S881" s="7">
        <f>Q881^2+R881^2</f>
      </c>
      <c r="T881" s="7">
        <f>-R881</f>
      </c>
      <c r="U881" s="7">
        <f>Q881</f>
      </c>
      <c r="V881" s="7">
        <f>($C$14+($C$15-$C$14)/($D$15-$D$14)*(I881-$D$14))/2</f>
      </c>
      <c r="W881" s="7">
        <f>($B$22*I881^4+$C$22*I881^3+$D$22*I881^2+$E$22*I881+$F$22)/2</f>
      </c>
      <c r="X881" s="7">
        <f>($W881)*(T881)</f>
      </c>
      <c r="Y881" s="7">
        <f>($W881)*(U881)</f>
      </c>
      <c r="Z881" s="7">
        <f>SQRT(X881^2+Y881^2)</f>
      </c>
      <c r="AA881" s="7">
        <f>$K881+$X881</f>
      </c>
      <c r="AB881" s="7">
        <f>$L881+$Y881</f>
      </c>
      <c r="AC881" s="7">
        <f>$K881-$X881</f>
      </c>
      <c r="AD881" s="7">
        <f>$L881-$Y881</f>
      </c>
      <c r="AE881" s="7">
        <f>AA881/39.3701</f>
      </c>
      <c r="AF881" s="7">
        <f>AB881/39.3701</f>
      </c>
      <c r="AG881" s="7">
        <f>AC881/39.3701</f>
      </c>
      <c r="AH881" s="7">
        <f>AD881/39.3701</f>
      </c>
      <c r="AI881" s="1"/>
      <c r="AJ881" s="1"/>
      <c r="AK881" s="1"/>
      <c r="AL881" s="1"/>
      <c r="AM881" s="2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</row>
    <row x14ac:dyDescent="0.25" r="882" customHeight="1" ht="18.75">
      <c r="A882" s="1"/>
      <c r="B882" s="2"/>
      <c r="C882" s="2"/>
      <c r="D882" s="2"/>
      <c r="E882" s="2"/>
      <c r="F882" s="2"/>
      <c r="G882" s="1"/>
      <c r="H882" s="1"/>
      <c r="I882" s="7">
        <v>0.879</v>
      </c>
      <c r="J882" s="7">
        <f>IF((I882-ROUNDDOWN(I882,0))=0, 0, (I882-ROUNDDOWN(I882,0)))</f>
      </c>
      <c r="K882" s="7">
        <f>INDIRECT("C$"&amp;2+MIN(2,ROUNDDOWN(I882,0))*3)*(-$J882^3+3*$J882^2-3*$J882+1)+INDIRECT("C$"&amp;3+MIN(2,ROUNDDOWN(I882,0))*3)*(3*$J882^3-6*$J882^2+3*$J882)+INDIRECT("C$"&amp;4+MIN(2,ROUNDDOWN(I882,0))*3)*(-3*$J882^3+3*$J882^2)+INDIRECT("C$"&amp;5+MIN(2,ROUNDDOWN(I882,0))*3)*$J882^3</f>
      </c>
      <c r="L882" s="7">
        <f>INDIRECT("D$"&amp;2+MIN(2,ROUNDDOWN(I882,0))*3)*(-$J882^3+3*$J882^2-3*$J882+1)+INDIRECT("D$"&amp;3+MIN(2,ROUNDDOWN(I882,0))*3)*(3*$J882^3-6*$J882^2+3*$J882)+INDIRECT("D$"&amp;4+MIN(2,ROUNDDOWN(I882,0))*3)*(-3*$J882^3+3*$J882^2)+INDIRECT("D$"&amp;5+MIN(2,ROUNDDOWN(I882,0))*3)*$J882^3</f>
      </c>
      <c r="M882" s="7">
        <f>SQRT(K882^2+L882^2)</f>
      </c>
      <c r="N882" s="7">
        <f>(K883-K881)</f>
      </c>
      <c r="O882" s="7">
        <f>+(L883-L881)</f>
      </c>
      <c r="P882" s="7">
        <f>SQRT(O882^2+N882^2)</f>
      </c>
      <c r="Q882" s="7">
        <f>N882/$P882</f>
      </c>
      <c r="R882" s="7">
        <f>O882/$P882</f>
      </c>
      <c r="S882" s="8">
        <f>Q882^2+R882^2</f>
      </c>
      <c r="T882" s="7">
        <f>-R882</f>
      </c>
      <c r="U882" s="7">
        <f>Q882</f>
      </c>
      <c r="V882" s="7">
        <f>($C$14+($C$15-$C$14)/($D$15-$D$14)*(I882-$D$14))/2</f>
      </c>
      <c r="W882" s="7">
        <f>($B$22*I882^4+$C$22*I882^3+$D$22*I882^2+$E$22*I882+$F$22)/2</f>
      </c>
      <c r="X882" s="7">
        <f>($W882)*(T882)</f>
      </c>
      <c r="Y882" s="7">
        <f>($W882)*(U882)</f>
      </c>
      <c r="Z882" s="7">
        <f>SQRT(X882^2+Y882^2)</f>
      </c>
      <c r="AA882" s="7">
        <f>$K882+$X882</f>
      </c>
      <c r="AB882" s="7">
        <f>$L882+$Y882</f>
      </c>
      <c r="AC882" s="7">
        <f>$K882-$X882</f>
      </c>
      <c r="AD882" s="7">
        <f>$L882-$Y882</f>
      </c>
      <c r="AE882" s="7">
        <f>AA882/39.3701</f>
      </c>
      <c r="AF882" s="7">
        <f>AB882/39.3701</f>
      </c>
      <c r="AG882" s="7">
        <f>AC882/39.3701</f>
      </c>
      <c r="AH882" s="7">
        <f>AD882/39.3701</f>
      </c>
      <c r="AI882" s="1"/>
      <c r="AJ882" s="1"/>
      <c r="AK882" s="1"/>
      <c r="AL882" s="1"/>
      <c r="AM882" s="2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</row>
    <row x14ac:dyDescent="0.25" r="883" customHeight="1" ht="18.75">
      <c r="A883" s="1"/>
      <c r="B883" s="2"/>
      <c r="C883" s="2"/>
      <c r="D883" s="2"/>
      <c r="E883" s="2"/>
      <c r="F883" s="2"/>
      <c r="G883" s="1"/>
      <c r="H883" s="1"/>
      <c r="I883" s="7">
        <v>0.88</v>
      </c>
      <c r="J883" s="7">
        <f>IF((I883-ROUNDDOWN(I883,0))=0, 0, (I883-ROUNDDOWN(I883,0)))</f>
      </c>
      <c r="K883" s="7">
        <f>INDIRECT("C$"&amp;2+MIN(2,ROUNDDOWN(I883,0))*3)*(-$J883^3+3*$J883^2-3*$J883+1)+INDIRECT("C$"&amp;3+MIN(2,ROUNDDOWN(I883,0))*3)*(3*$J883^3-6*$J883^2+3*$J883)+INDIRECT("C$"&amp;4+MIN(2,ROUNDDOWN(I883,0))*3)*(-3*$J883^3+3*$J883^2)+INDIRECT("C$"&amp;5+MIN(2,ROUNDDOWN(I883,0))*3)*$J883^3</f>
      </c>
      <c r="L883" s="7">
        <f>INDIRECT("D$"&amp;2+MIN(2,ROUNDDOWN(I883,0))*3)*(-$J883^3+3*$J883^2-3*$J883+1)+INDIRECT("D$"&amp;3+MIN(2,ROUNDDOWN(I883,0))*3)*(3*$J883^3-6*$J883^2+3*$J883)+INDIRECT("D$"&amp;4+MIN(2,ROUNDDOWN(I883,0))*3)*(-3*$J883^3+3*$J883^2)+INDIRECT("D$"&amp;5+MIN(2,ROUNDDOWN(I883,0))*3)*$J883^3</f>
      </c>
      <c r="M883" s="7">
        <f>SQRT(K883^2+L883^2)</f>
      </c>
      <c r="N883" s="7">
        <f>(K884-K882)</f>
      </c>
      <c r="O883" s="7">
        <f>+(L884-L882)</f>
      </c>
      <c r="P883" s="7">
        <f>SQRT(O883^2+N883^2)</f>
      </c>
      <c r="Q883" s="7">
        <f>N883/$P883</f>
      </c>
      <c r="R883" s="7">
        <f>O883/$P883</f>
      </c>
      <c r="S883" s="8">
        <f>Q883^2+R883^2</f>
      </c>
      <c r="T883" s="7">
        <f>-R883</f>
      </c>
      <c r="U883" s="7">
        <f>Q883</f>
      </c>
      <c r="V883" s="7">
        <f>($C$14+($C$15-$C$14)/($D$15-$D$14)*(I883-$D$14))/2</f>
      </c>
      <c r="W883" s="7">
        <f>($B$22*I883^4+$C$22*I883^3+$D$22*I883^2+$E$22*I883+$F$22)/2</f>
      </c>
      <c r="X883" s="7">
        <f>($W883)*(T883)</f>
      </c>
      <c r="Y883" s="7">
        <f>($W883)*(U883)</f>
      </c>
      <c r="Z883" s="7">
        <f>SQRT(X883^2+Y883^2)</f>
      </c>
      <c r="AA883" s="7">
        <f>$K883+$X883</f>
      </c>
      <c r="AB883" s="7">
        <f>$L883+$Y883</f>
      </c>
      <c r="AC883" s="7">
        <f>$K883-$X883</f>
      </c>
      <c r="AD883" s="7">
        <f>$L883-$Y883</f>
      </c>
      <c r="AE883" s="7">
        <f>AA883/39.3701</f>
      </c>
      <c r="AF883" s="7">
        <f>AB883/39.3701</f>
      </c>
      <c r="AG883" s="7">
        <f>AC883/39.3701</f>
      </c>
      <c r="AH883" s="7">
        <f>AD883/39.3701</f>
      </c>
      <c r="AI883" s="1"/>
      <c r="AJ883" s="1"/>
      <c r="AK883" s="1"/>
      <c r="AL883" s="1"/>
      <c r="AM883" s="2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</row>
    <row x14ac:dyDescent="0.25" r="884" customHeight="1" ht="18.75">
      <c r="A884" s="1"/>
      <c r="B884" s="2"/>
      <c r="C884" s="2"/>
      <c r="D884" s="2"/>
      <c r="E884" s="2"/>
      <c r="F884" s="2"/>
      <c r="G884" s="1"/>
      <c r="H884" s="1"/>
      <c r="I884" s="7">
        <v>0.881</v>
      </c>
      <c r="J884" s="7">
        <f>IF((I884-ROUNDDOWN(I884,0))=0, 0, (I884-ROUNDDOWN(I884,0)))</f>
      </c>
      <c r="K884" s="7">
        <f>INDIRECT("C$"&amp;2+MIN(2,ROUNDDOWN(I884,0))*3)*(-$J884^3+3*$J884^2-3*$J884+1)+INDIRECT("C$"&amp;3+MIN(2,ROUNDDOWN(I884,0))*3)*(3*$J884^3-6*$J884^2+3*$J884)+INDIRECT("C$"&amp;4+MIN(2,ROUNDDOWN(I884,0))*3)*(-3*$J884^3+3*$J884^2)+INDIRECT("C$"&amp;5+MIN(2,ROUNDDOWN(I884,0))*3)*$J884^3</f>
      </c>
      <c r="L884" s="7">
        <f>INDIRECT("D$"&amp;2+MIN(2,ROUNDDOWN(I884,0))*3)*(-$J884^3+3*$J884^2-3*$J884+1)+INDIRECT("D$"&amp;3+MIN(2,ROUNDDOWN(I884,0))*3)*(3*$J884^3-6*$J884^2+3*$J884)+INDIRECT("D$"&amp;4+MIN(2,ROUNDDOWN(I884,0))*3)*(-3*$J884^3+3*$J884^2)+INDIRECT("D$"&amp;5+MIN(2,ROUNDDOWN(I884,0))*3)*$J884^3</f>
      </c>
      <c r="M884" s="7">
        <f>SQRT(K884^2+L884^2)</f>
      </c>
      <c r="N884" s="7">
        <f>(K885-K883)</f>
      </c>
      <c r="O884" s="7">
        <f>+(L885-L883)</f>
      </c>
      <c r="P884" s="7">
        <f>SQRT(O884^2+N884^2)</f>
      </c>
      <c r="Q884" s="7">
        <f>N884/$P884</f>
      </c>
      <c r="R884" s="7">
        <f>O884/$P884</f>
      </c>
      <c r="S884" s="7">
        <f>Q884^2+R884^2</f>
      </c>
      <c r="T884" s="7">
        <f>-R884</f>
      </c>
      <c r="U884" s="7">
        <f>Q884</f>
      </c>
      <c r="V884" s="7">
        <f>($C$14+($C$15-$C$14)/($D$15-$D$14)*(I884-$D$14))/2</f>
      </c>
      <c r="W884" s="7">
        <f>($B$22*I884^4+$C$22*I884^3+$D$22*I884^2+$E$22*I884+$F$22)/2</f>
      </c>
      <c r="X884" s="7">
        <f>($W884)*(T884)</f>
      </c>
      <c r="Y884" s="7">
        <f>($W884)*(U884)</f>
      </c>
      <c r="Z884" s="7">
        <f>SQRT(X884^2+Y884^2)</f>
      </c>
      <c r="AA884" s="7">
        <f>$K884+$X884</f>
      </c>
      <c r="AB884" s="7">
        <f>$L884+$Y884</f>
      </c>
      <c r="AC884" s="7">
        <f>$K884-$X884</f>
      </c>
      <c r="AD884" s="7">
        <f>$L884-$Y884</f>
      </c>
      <c r="AE884" s="7">
        <f>AA884/39.3701</f>
      </c>
      <c r="AF884" s="7">
        <f>AB884/39.3701</f>
      </c>
      <c r="AG884" s="7">
        <f>AC884/39.3701</f>
      </c>
      <c r="AH884" s="7">
        <f>AD884/39.3701</f>
      </c>
      <c r="AI884" s="1"/>
      <c r="AJ884" s="1"/>
      <c r="AK884" s="1"/>
      <c r="AL884" s="1"/>
      <c r="AM884" s="2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</row>
    <row x14ac:dyDescent="0.25" r="885" customHeight="1" ht="18.75">
      <c r="A885" s="1"/>
      <c r="B885" s="2"/>
      <c r="C885" s="2"/>
      <c r="D885" s="2"/>
      <c r="E885" s="2"/>
      <c r="F885" s="2"/>
      <c r="G885" s="1"/>
      <c r="H885" s="1"/>
      <c r="I885" s="7">
        <v>0.882</v>
      </c>
      <c r="J885" s="7">
        <f>IF((I885-ROUNDDOWN(I885,0))=0, 0, (I885-ROUNDDOWN(I885,0)))</f>
      </c>
      <c r="K885" s="7">
        <f>INDIRECT("C$"&amp;2+MIN(2,ROUNDDOWN(I885,0))*3)*(-$J885^3+3*$J885^2-3*$J885+1)+INDIRECT("C$"&amp;3+MIN(2,ROUNDDOWN(I885,0))*3)*(3*$J885^3-6*$J885^2+3*$J885)+INDIRECT("C$"&amp;4+MIN(2,ROUNDDOWN(I885,0))*3)*(-3*$J885^3+3*$J885^2)+INDIRECT("C$"&amp;5+MIN(2,ROUNDDOWN(I885,0))*3)*$J885^3</f>
      </c>
      <c r="L885" s="7">
        <f>INDIRECT("D$"&amp;2+MIN(2,ROUNDDOWN(I885,0))*3)*(-$J885^3+3*$J885^2-3*$J885+1)+INDIRECT("D$"&amp;3+MIN(2,ROUNDDOWN(I885,0))*3)*(3*$J885^3-6*$J885^2+3*$J885)+INDIRECT("D$"&amp;4+MIN(2,ROUNDDOWN(I885,0))*3)*(-3*$J885^3+3*$J885^2)+INDIRECT("D$"&amp;5+MIN(2,ROUNDDOWN(I885,0))*3)*$J885^3</f>
      </c>
      <c r="M885" s="7">
        <f>SQRT(K885^2+L885^2)</f>
      </c>
      <c r="N885" s="7">
        <f>(K886-K884)</f>
      </c>
      <c r="O885" s="7">
        <f>+(L886-L884)</f>
      </c>
      <c r="P885" s="7">
        <f>SQRT(O885^2+N885^2)</f>
      </c>
      <c r="Q885" s="7">
        <f>N885/$P885</f>
      </c>
      <c r="R885" s="7">
        <f>O885/$P885</f>
      </c>
      <c r="S885" s="8">
        <f>Q885^2+R885^2</f>
      </c>
      <c r="T885" s="7">
        <f>-R885</f>
      </c>
      <c r="U885" s="7">
        <f>Q885</f>
      </c>
      <c r="V885" s="7">
        <f>($C$14+($C$15-$C$14)/($D$15-$D$14)*(I885-$D$14))/2</f>
      </c>
      <c r="W885" s="7">
        <f>($B$22*I885^4+$C$22*I885^3+$D$22*I885^2+$E$22*I885+$F$22)/2</f>
      </c>
      <c r="X885" s="7">
        <f>($W885)*(T885)</f>
      </c>
      <c r="Y885" s="7">
        <f>($W885)*(U885)</f>
      </c>
      <c r="Z885" s="7">
        <f>SQRT(X885^2+Y885^2)</f>
      </c>
      <c r="AA885" s="7">
        <f>$K885+$X885</f>
      </c>
      <c r="AB885" s="7">
        <f>$L885+$Y885</f>
      </c>
      <c r="AC885" s="7">
        <f>$K885-$X885</f>
      </c>
      <c r="AD885" s="7">
        <f>$L885-$Y885</f>
      </c>
      <c r="AE885" s="7">
        <f>AA885/39.3701</f>
      </c>
      <c r="AF885" s="7">
        <f>AB885/39.3701</f>
      </c>
      <c r="AG885" s="7">
        <f>AC885/39.3701</f>
      </c>
      <c r="AH885" s="7">
        <f>AD885/39.3701</f>
      </c>
      <c r="AI885" s="1"/>
      <c r="AJ885" s="1"/>
      <c r="AK885" s="1"/>
      <c r="AL885" s="1"/>
      <c r="AM885" s="2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</row>
    <row x14ac:dyDescent="0.25" r="886" customHeight="1" ht="18.75">
      <c r="A886" s="1"/>
      <c r="B886" s="2"/>
      <c r="C886" s="2"/>
      <c r="D886" s="2"/>
      <c r="E886" s="2"/>
      <c r="F886" s="2"/>
      <c r="G886" s="1"/>
      <c r="H886" s="1"/>
      <c r="I886" s="7">
        <v>0.883</v>
      </c>
      <c r="J886" s="7">
        <f>IF((I886-ROUNDDOWN(I886,0))=0, 0, (I886-ROUNDDOWN(I886,0)))</f>
      </c>
      <c r="K886" s="7">
        <f>INDIRECT("C$"&amp;2+MIN(2,ROUNDDOWN(I886,0))*3)*(-$J886^3+3*$J886^2-3*$J886+1)+INDIRECT("C$"&amp;3+MIN(2,ROUNDDOWN(I886,0))*3)*(3*$J886^3-6*$J886^2+3*$J886)+INDIRECT("C$"&amp;4+MIN(2,ROUNDDOWN(I886,0))*3)*(-3*$J886^3+3*$J886^2)+INDIRECT("C$"&amp;5+MIN(2,ROUNDDOWN(I886,0))*3)*$J886^3</f>
      </c>
      <c r="L886" s="7">
        <f>INDIRECT("D$"&amp;2+MIN(2,ROUNDDOWN(I886,0))*3)*(-$J886^3+3*$J886^2-3*$J886+1)+INDIRECT("D$"&amp;3+MIN(2,ROUNDDOWN(I886,0))*3)*(3*$J886^3-6*$J886^2+3*$J886)+INDIRECT("D$"&amp;4+MIN(2,ROUNDDOWN(I886,0))*3)*(-3*$J886^3+3*$J886^2)+INDIRECT("D$"&amp;5+MIN(2,ROUNDDOWN(I886,0))*3)*$J886^3</f>
      </c>
      <c r="M886" s="7">
        <f>SQRT(K886^2+L886^2)</f>
      </c>
      <c r="N886" s="7">
        <f>(K887-K885)</f>
      </c>
      <c r="O886" s="7">
        <f>+(L887-L885)</f>
      </c>
      <c r="P886" s="7">
        <f>SQRT(O886^2+N886^2)</f>
      </c>
      <c r="Q886" s="7">
        <f>N886/$P886</f>
      </c>
      <c r="R886" s="7">
        <f>O886/$P886</f>
      </c>
      <c r="S886" s="8">
        <f>Q886^2+R886^2</f>
      </c>
      <c r="T886" s="7">
        <f>-R886</f>
      </c>
      <c r="U886" s="7">
        <f>Q886</f>
      </c>
      <c r="V886" s="7">
        <f>($C$14+($C$15-$C$14)/($D$15-$D$14)*(I886-$D$14))/2</f>
      </c>
      <c r="W886" s="7">
        <f>($B$22*I886^4+$C$22*I886^3+$D$22*I886^2+$E$22*I886+$F$22)/2</f>
      </c>
      <c r="X886" s="7">
        <f>($W886)*(T886)</f>
      </c>
      <c r="Y886" s="7">
        <f>($W886)*(U886)</f>
      </c>
      <c r="Z886" s="7">
        <f>SQRT(X886^2+Y886^2)</f>
      </c>
      <c r="AA886" s="7">
        <f>$K886+$X886</f>
      </c>
      <c r="AB886" s="7">
        <f>$L886+$Y886</f>
      </c>
      <c r="AC886" s="7">
        <f>$K886-$X886</f>
      </c>
      <c r="AD886" s="7">
        <f>$L886-$Y886</f>
      </c>
      <c r="AE886" s="7">
        <f>AA886/39.3701</f>
      </c>
      <c r="AF886" s="7">
        <f>AB886/39.3701</f>
      </c>
      <c r="AG886" s="7">
        <f>AC886/39.3701</f>
      </c>
      <c r="AH886" s="7">
        <f>AD886/39.3701</f>
      </c>
      <c r="AI886" s="1"/>
      <c r="AJ886" s="1"/>
      <c r="AK886" s="1"/>
      <c r="AL886" s="1"/>
      <c r="AM886" s="2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</row>
    <row x14ac:dyDescent="0.25" r="887" customHeight="1" ht="18.75">
      <c r="A887" s="1"/>
      <c r="B887" s="2"/>
      <c r="C887" s="2"/>
      <c r="D887" s="2"/>
      <c r="E887" s="2"/>
      <c r="F887" s="2"/>
      <c r="G887" s="1"/>
      <c r="H887" s="1"/>
      <c r="I887" s="7">
        <v>0.884</v>
      </c>
      <c r="J887" s="7">
        <f>IF((I887-ROUNDDOWN(I887,0))=0, 0, (I887-ROUNDDOWN(I887,0)))</f>
      </c>
      <c r="K887" s="7">
        <f>INDIRECT("C$"&amp;2+MIN(2,ROUNDDOWN(I887,0))*3)*(-$J887^3+3*$J887^2-3*$J887+1)+INDIRECT("C$"&amp;3+MIN(2,ROUNDDOWN(I887,0))*3)*(3*$J887^3-6*$J887^2+3*$J887)+INDIRECT("C$"&amp;4+MIN(2,ROUNDDOWN(I887,0))*3)*(-3*$J887^3+3*$J887^2)+INDIRECT("C$"&amp;5+MIN(2,ROUNDDOWN(I887,0))*3)*$J887^3</f>
      </c>
      <c r="L887" s="7">
        <f>INDIRECT("D$"&amp;2+MIN(2,ROUNDDOWN(I887,0))*3)*(-$J887^3+3*$J887^2-3*$J887+1)+INDIRECT("D$"&amp;3+MIN(2,ROUNDDOWN(I887,0))*3)*(3*$J887^3-6*$J887^2+3*$J887)+INDIRECT("D$"&amp;4+MIN(2,ROUNDDOWN(I887,0))*3)*(-3*$J887^3+3*$J887^2)+INDIRECT("D$"&amp;5+MIN(2,ROUNDDOWN(I887,0))*3)*$J887^3</f>
      </c>
      <c r="M887" s="7">
        <f>SQRT(K887^2+L887^2)</f>
      </c>
      <c r="N887" s="7">
        <f>(K888-K886)</f>
      </c>
      <c r="O887" s="7">
        <f>+(L888-L886)</f>
      </c>
      <c r="P887" s="7">
        <f>SQRT(O887^2+N887^2)</f>
      </c>
      <c r="Q887" s="7">
        <f>N887/$P887</f>
      </c>
      <c r="R887" s="7">
        <f>O887/$P887</f>
      </c>
      <c r="S887" s="8">
        <f>Q887^2+R887^2</f>
      </c>
      <c r="T887" s="7">
        <f>-R887</f>
      </c>
      <c r="U887" s="7">
        <f>Q887</f>
      </c>
      <c r="V887" s="7">
        <f>($C$14+($C$15-$C$14)/($D$15-$D$14)*(I887-$D$14))/2</f>
      </c>
      <c r="W887" s="7">
        <f>($B$22*I887^4+$C$22*I887^3+$D$22*I887^2+$E$22*I887+$F$22)/2</f>
      </c>
      <c r="X887" s="7">
        <f>($W887)*(T887)</f>
      </c>
      <c r="Y887" s="7">
        <f>($W887)*(U887)</f>
      </c>
      <c r="Z887" s="7">
        <f>SQRT(X887^2+Y887^2)</f>
      </c>
      <c r="AA887" s="7">
        <f>$K887+$X887</f>
      </c>
      <c r="AB887" s="7">
        <f>$L887+$Y887</f>
      </c>
      <c r="AC887" s="7">
        <f>$K887-$X887</f>
      </c>
      <c r="AD887" s="7">
        <f>$L887-$Y887</f>
      </c>
      <c r="AE887" s="7">
        <f>AA887/39.3701</f>
      </c>
      <c r="AF887" s="7">
        <f>AB887/39.3701</f>
      </c>
      <c r="AG887" s="7">
        <f>AC887/39.3701</f>
      </c>
      <c r="AH887" s="7">
        <f>AD887/39.3701</f>
      </c>
      <c r="AI887" s="1"/>
      <c r="AJ887" s="1"/>
      <c r="AK887" s="1"/>
      <c r="AL887" s="1"/>
      <c r="AM887" s="2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</row>
    <row x14ac:dyDescent="0.25" r="888" customHeight="1" ht="18.75">
      <c r="A888" s="1"/>
      <c r="B888" s="2"/>
      <c r="C888" s="2"/>
      <c r="D888" s="2"/>
      <c r="E888" s="2"/>
      <c r="F888" s="2"/>
      <c r="G888" s="1"/>
      <c r="H888" s="1"/>
      <c r="I888" s="7">
        <v>0.885</v>
      </c>
      <c r="J888" s="7">
        <f>IF((I888-ROUNDDOWN(I888,0))=0, 0, (I888-ROUNDDOWN(I888,0)))</f>
      </c>
      <c r="K888" s="7">
        <f>INDIRECT("C$"&amp;2+MIN(2,ROUNDDOWN(I888,0))*3)*(-$J888^3+3*$J888^2-3*$J888+1)+INDIRECT("C$"&amp;3+MIN(2,ROUNDDOWN(I888,0))*3)*(3*$J888^3-6*$J888^2+3*$J888)+INDIRECT("C$"&amp;4+MIN(2,ROUNDDOWN(I888,0))*3)*(-3*$J888^3+3*$J888^2)+INDIRECT("C$"&amp;5+MIN(2,ROUNDDOWN(I888,0))*3)*$J888^3</f>
      </c>
      <c r="L888" s="7">
        <f>INDIRECT("D$"&amp;2+MIN(2,ROUNDDOWN(I888,0))*3)*(-$J888^3+3*$J888^2-3*$J888+1)+INDIRECT("D$"&amp;3+MIN(2,ROUNDDOWN(I888,0))*3)*(3*$J888^3-6*$J888^2+3*$J888)+INDIRECT("D$"&amp;4+MIN(2,ROUNDDOWN(I888,0))*3)*(-3*$J888^3+3*$J888^2)+INDIRECT("D$"&amp;5+MIN(2,ROUNDDOWN(I888,0))*3)*$J888^3</f>
      </c>
      <c r="M888" s="7">
        <f>SQRT(K888^2+L888^2)</f>
      </c>
      <c r="N888" s="7">
        <f>(K889-K887)</f>
      </c>
      <c r="O888" s="7">
        <f>+(L889-L887)</f>
      </c>
      <c r="P888" s="7">
        <f>SQRT(O888^2+N888^2)</f>
      </c>
      <c r="Q888" s="7">
        <f>N888/$P888</f>
      </c>
      <c r="R888" s="7">
        <f>O888/$P888</f>
      </c>
      <c r="S888" s="8">
        <f>Q888^2+R888^2</f>
      </c>
      <c r="T888" s="7">
        <f>-R888</f>
      </c>
      <c r="U888" s="7">
        <f>Q888</f>
      </c>
      <c r="V888" s="7">
        <f>($C$14+($C$15-$C$14)/($D$15-$D$14)*(I888-$D$14))/2</f>
      </c>
      <c r="W888" s="7">
        <f>($B$22*I888^4+$C$22*I888^3+$D$22*I888^2+$E$22*I888+$F$22)/2</f>
      </c>
      <c r="X888" s="7">
        <f>($W888)*(T888)</f>
      </c>
      <c r="Y888" s="7">
        <f>($W888)*(U888)</f>
      </c>
      <c r="Z888" s="7">
        <f>SQRT(X888^2+Y888^2)</f>
      </c>
      <c r="AA888" s="7">
        <f>$K888+$X888</f>
      </c>
      <c r="AB888" s="7">
        <f>$L888+$Y888</f>
      </c>
      <c r="AC888" s="7">
        <f>$K888-$X888</f>
      </c>
      <c r="AD888" s="7">
        <f>$L888-$Y888</f>
      </c>
      <c r="AE888" s="7">
        <f>AA888/39.3701</f>
      </c>
      <c r="AF888" s="7">
        <f>AB888/39.3701</f>
      </c>
      <c r="AG888" s="7">
        <f>AC888/39.3701</f>
      </c>
      <c r="AH888" s="7">
        <f>AD888/39.3701</f>
      </c>
      <c r="AI888" s="1"/>
      <c r="AJ888" s="1"/>
      <c r="AK888" s="1"/>
      <c r="AL888" s="1"/>
      <c r="AM888" s="2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</row>
    <row x14ac:dyDescent="0.25" r="889" customHeight="1" ht="18.75">
      <c r="A889" s="1"/>
      <c r="B889" s="2"/>
      <c r="C889" s="2"/>
      <c r="D889" s="2"/>
      <c r="E889" s="2"/>
      <c r="F889" s="2"/>
      <c r="G889" s="1"/>
      <c r="H889" s="1"/>
      <c r="I889" s="7">
        <v>0.886</v>
      </c>
      <c r="J889" s="7">
        <f>IF((I889-ROUNDDOWN(I889,0))=0, 0, (I889-ROUNDDOWN(I889,0)))</f>
      </c>
      <c r="K889" s="7">
        <f>INDIRECT("C$"&amp;2+MIN(2,ROUNDDOWN(I889,0))*3)*(-$J889^3+3*$J889^2-3*$J889+1)+INDIRECT("C$"&amp;3+MIN(2,ROUNDDOWN(I889,0))*3)*(3*$J889^3-6*$J889^2+3*$J889)+INDIRECT("C$"&amp;4+MIN(2,ROUNDDOWN(I889,0))*3)*(-3*$J889^3+3*$J889^2)+INDIRECT("C$"&amp;5+MIN(2,ROUNDDOWN(I889,0))*3)*$J889^3</f>
      </c>
      <c r="L889" s="7">
        <f>INDIRECT("D$"&amp;2+MIN(2,ROUNDDOWN(I889,0))*3)*(-$J889^3+3*$J889^2-3*$J889+1)+INDIRECT("D$"&amp;3+MIN(2,ROUNDDOWN(I889,0))*3)*(3*$J889^3-6*$J889^2+3*$J889)+INDIRECT("D$"&amp;4+MIN(2,ROUNDDOWN(I889,0))*3)*(-3*$J889^3+3*$J889^2)+INDIRECT("D$"&amp;5+MIN(2,ROUNDDOWN(I889,0))*3)*$J889^3</f>
      </c>
      <c r="M889" s="7">
        <f>SQRT(K889^2+L889^2)</f>
      </c>
      <c r="N889" s="7">
        <f>(K890-K888)</f>
      </c>
      <c r="O889" s="7">
        <f>+(L890-L888)</f>
      </c>
      <c r="P889" s="7">
        <f>SQRT(O889^2+N889^2)</f>
      </c>
      <c r="Q889" s="7">
        <f>N889/$P889</f>
      </c>
      <c r="R889" s="7">
        <f>O889/$P889</f>
      </c>
      <c r="S889" s="8">
        <f>Q889^2+R889^2</f>
      </c>
      <c r="T889" s="7">
        <f>-R889</f>
      </c>
      <c r="U889" s="7">
        <f>Q889</f>
      </c>
      <c r="V889" s="7">
        <f>($C$14+($C$15-$C$14)/($D$15-$D$14)*(I889-$D$14))/2</f>
      </c>
      <c r="W889" s="7">
        <f>($B$22*I889^4+$C$22*I889^3+$D$22*I889^2+$E$22*I889+$F$22)/2</f>
      </c>
      <c r="X889" s="7">
        <f>($W889)*(T889)</f>
      </c>
      <c r="Y889" s="7">
        <f>($W889)*(U889)</f>
      </c>
      <c r="Z889" s="7">
        <f>SQRT(X889^2+Y889^2)</f>
      </c>
      <c r="AA889" s="7">
        <f>$K889+$X889</f>
      </c>
      <c r="AB889" s="7">
        <f>$L889+$Y889</f>
      </c>
      <c r="AC889" s="7">
        <f>$K889-$X889</f>
      </c>
      <c r="AD889" s="7">
        <f>$L889-$Y889</f>
      </c>
      <c r="AE889" s="7">
        <f>AA889/39.3701</f>
      </c>
      <c r="AF889" s="7">
        <f>AB889/39.3701</f>
      </c>
      <c r="AG889" s="7">
        <f>AC889/39.3701</f>
      </c>
      <c r="AH889" s="7">
        <f>AD889/39.3701</f>
      </c>
      <c r="AI889" s="1"/>
      <c r="AJ889" s="1"/>
      <c r="AK889" s="1"/>
      <c r="AL889" s="1"/>
      <c r="AM889" s="2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</row>
    <row x14ac:dyDescent="0.25" r="890" customHeight="1" ht="18.75">
      <c r="A890" s="1"/>
      <c r="B890" s="2"/>
      <c r="C890" s="2"/>
      <c r="D890" s="2"/>
      <c r="E890" s="2"/>
      <c r="F890" s="2"/>
      <c r="G890" s="1"/>
      <c r="H890" s="1"/>
      <c r="I890" s="7">
        <v>0.887</v>
      </c>
      <c r="J890" s="7">
        <f>IF((I890-ROUNDDOWN(I890,0))=0, 0, (I890-ROUNDDOWN(I890,0)))</f>
      </c>
      <c r="K890" s="7">
        <f>INDIRECT("C$"&amp;2+MIN(2,ROUNDDOWN(I890,0))*3)*(-$J890^3+3*$J890^2-3*$J890+1)+INDIRECT("C$"&amp;3+MIN(2,ROUNDDOWN(I890,0))*3)*(3*$J890^3-6*$J890^2+3*$J890)+INDIRECT("C$"&amp;4+MIN(2,ROUNDDOWN(I890,0))*3)*(-3*$J890^3+3*$J890^2)+INDIRECT("C$"&amp;5+MIN(2,ROUNDDOWN(I890,0))*3)*$J890^3</f>
      </c>
      <c r="L890" s="7">
        <f>INDIRECT("D$"&amp;2+MIN(2,ROUNDDOWN(I890,0))*3)*(-$J890^3+3*$J890^2-3*$J890+1)+INDIRECT("D$"&amp;3+MIN(2,ROUNDDOWN(I890,0))*3)*(3*$J890^3-6*$J890^2+3*$J890)+INDIRECT("D$"&amp;4+MIN(2,ROUNDDOWN(I890,0))*3)*(-3*$J890^3+3*$J890^2)+INDIRECT("D$"&amp;5+MIN(2,ROUNDDOWN(I890,0))*3)*$J890^3</f>
      </c>
      <c r="M890" s="7">
        <f>SQRT(K890^2+L890^2)</f>
      </c>
      <c r="N890" s="7">
        <f>(K891-K889)</f>
      </c>
      <c r="O890" s="7">
        <f>+(L891-L889)</f>
      </c>
      <c r="P890" s="7">
        <f>SQRT(O890^2+N890^2)</f>
      </c>
      <c r="Q890" s="7">
        <f>N890/$P890</f>
      </c>
      <c r="R890" s="7">
        <f>O890/$P890</f>
      </c>
      <c r="S890" s="7">
        <f>Q890^2+R890^2</f>
      </c>
      <c r="T890" s="7">
        <f>-R890</f>
      </c>
      <c r="U890" s="7">
        <f>Q890</f>
      </c>
      <c r="V890" s="7">
        <f>($C$14+($C$15-$C$14)/($D$15-$D$14)*(I890-$D$14))/2</f>
      </c>
      <c r="W890" s="7">
        <f>($B$22*I890^4+$C$22*I890^3+$D$22*I890^2+$E$22*I890+$F$22)/2</f>
      </c>
      <c r="X890" s="7">
        <f>($W890)*(T890)</f>
      </c>
      <c r="Y890" s="7">
        <f>($W890)*(U890)</f>
      </c>
      <c r="Z890" s="7">
        <f>SQRT(X890^2+Y890^2)</f>
      </c>
      <c r="AA890" s="7">
        <f>$K890+$X890</f>
      </c>
      <c r="AB890" s="7">
        <f>$L890+$Y890</f>
      </c>
      <c r="AC890" s="7">
        <f>$K890-$X890</f>
      </c>
      <c r="AD890" s="7">
        <f>$L890-$Y890</f>
      </c>
      <c r="AE890" s="7">
        <f>AA890/39.3701</f>
      </c>
      <c r="AF890" s="7">
        <f>AB890/39.3701</f>
      </c>
      <c r="AG890" s="7">
        <f>AC890/39.3701</f>
      </c>
      <c r="AH890" s="7">
        <f>AD890/39.3701</f>
      </c>
      <c r="AI890" s="1"/>
      <c r="AJ890" s="1"/>
      <c r="AK890" s="1"/>
      <c r="AL890" s="1"/>
      <c r="AM890" s="2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</row>
    <row x14ac:dyDescent="0.25" r="891" customHeight="1" ht="18.75">
      <c r="A891" s="1"/>
      <c r="B891" s="2"/>
      <c r="C891" s="2"/>
      <c r="D891" s="2"/>
      <c r="E891" s="2"/>
      <c r="F891" s="2"/>
      <c r="G891" s="1"/>
      <c r="H891" s="1"/>
      <c r="I891" s="7">
        <v>0.888</v>
      </c>
      <c r="J891" s="7">
        <f>IF((I891-ROUNDDOWN(I891,0))=0, 0, (I891-ROUNDDOWN(I891,0)))</f>
      </c>
      <c r="K891" s="7">
        <f>INDIRECT("C$"&amp;2+MIN(2,ROUNDDOWN(I891,0))*3)*(-$J891^3+3*$J891^2-3*$J891+1)+INDIRECT("C$"&amp;3+MIN(2,ROUNDDOWN(I891,0))*3)*(3*$J891^3-6*$J891^2+3*$J891)+INDIRECT("C$"&amp;4+MIN(2,ROUNDDOWN(I891,0))*3)*(-3*$J891^3+3*$J891^2)+INDIRECT("C$"&amp;5+MIN(2,ROUNDDOWN(I891,0))*3)*$J891^3</f>
      </c>
      <c r="L891" s="7">
        <f>INDIRECT("D$"&amp;2+MIN(2,ROUNDDOWN(I891,0))*3)*(-$J891^3+3*$J891^2-3*$J891+1)+INDIRECT("D$"&amp;3+MIN(2,ROUNDDOWN(I891,0))*3)*(3*$J891^3-6*$J891^2+3*$J891)+INDIRECT("D$"&amp;4+MIN(2,ROUNDDOWN(I891,0))*3)*(-3*$J891^3+3*$J891^2)+INDIRECT("D$"&amp;5+MIN(2,ROUNDDOWN(I891,0))*3)*$J891^3</f>
      </c>
      <c r="M891" s="7">
        <f>SQRT(K891^2+L891^2)</f>
      </c>
      <c r="N891" s="7">
        <f>(K892-K890)</f>
      </c>
      <c r="O891" s="7">
        <f>+(L892-L890)</f>
      </c>
      <c r="P891" s="7">
        <f>SQRT(O891^2+N891^2)</f>
      </c>
      <c r="Q891" s="7">
        <f>N891/$P891</f>
      </c>
      <c r="R891" s="7">
        <f>O891/$P891</f>
      </c>
      <c r="S891" s="7">
        <f>Q891^2+R891^2</f>
      </c>
      <c r="T891" s="7">
        <f>-R891</f>
      </c>
      <c r="U891" s="7">
        <f>Q891</f>
      </c>
      <c r="V891" s="7">
        <f>($C$14+($C$15-$C$14)/($D$15-$D$14)*(I891-$D$14))/2</f>
      </c>
      <c r="W891" s="7">
        <f>($B$22*I891^4+$C$22*I891^3+$D$22*I891^2+$E$22*I891+$F$22)/2</f>
      </c>
      <c r="X891" s="7">
        <f>($W891)*(T891)</f>
      </c>
      <c r="Y891" s="7">
        <f>($W891)*(U891)</f>
      </c>
      <c r="Z891" s="7">
        <f>SQRT(X891^2+Y891^2)</f>
      </c>
      <c r="AA891" s="7">
        <f>$K891+$X891</f>
      </c>
      <c r="AB891" s="7">
        <f>$L891+$Y891</f>
      </c>
      <c r="AC891" s="7">
        <f>$K891-$X891</f>
      </c>
      <c r="AD891" s="7">
        <f>$L891-$Y891</f>
      </c>
      <c r="AE891" s="7">
        <f>AA891/39.3701</f>
      </c>
      <c r="AF891" s="7">
        <f>AB891/39.3701</f>
      </c>
      <c r="AG891" s="7">
        <f>AC891/39.3701</f>
      </c>
      <c r="AH891" s="7">
        <f>AD891/39.3701</f>
      </c>
      <c r="AI891" s="1"/>
      <c r="AJ891" s="1"/>
      <c r="AK891" s="1"/>
      <c r="AL891" s="1"/>
      <c r="AM891" s="2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</row>
    <row x14ac:dyDescent="0.25" r="892" customHeight="1" ht="18.75">
      <c r="A892" s="1"/>
      <c r="B892" s="2"/>
      <c r="C892" s="2"/>
      <c r="D892" s="2"/>
      <c r="E892" s="2"/>
      <c r="F892" s="2"/>
      <c r="G892" s="1"/>
      <c r="H892" s="1"/>
      <c r="I892" s="7">
        <v>0.889</v>
      </c>
      <c r="J892" s="7">
        <f>IF((I892-ROUNDDOWN(I892,0))=0, 0, (I892-ROUNDDOWN(I892,0)))</f>
      </c>
      <c r="K892" s="7">
        <f>INDIRECT("C$"&amp;2+MIN(2,ROUNDDOWN(I892,0))*3)*(-$J892^3+3*$J892^2-3*$J892+1)+INDIRECT("C$"&amp;3+MIN(2,ROUNDDOWN(I892,0))*3)*(3*$J892^3-6*$J892^2+3*$J892)+INDIRECT("C$"&amp;4+MIN(2,ROUNDDOWN(I892,0))*3)*(-3*$J892^3+3*$J892^2)+INDIRECT("C$"&amp;5+MIN(2,ROUNDDOWN(I892,0))*3)*$J892^3</f>
      </c>
      <c r="L892" s="7">
        <f>INDIRECT("D$"&amp;2+MIN(2,ROUNDDOWN(I892,0))*3)*(-$J892^3+3*$J892^2-3*$J892+1)+INDIRECT("D$"&amp;3+MIN(2,ROUNDDOWN(I892,0))*3)*(3*$J892^3-6*$J892^2+3*$J892)+INDIRECT("D$"&amp;4+MIN(2,ROUNDDOWN(I892,0))*3)*(-3*$J892^3+3*$J892^2)+INDIRECT("D$"&amp;5+MIN(2,ROUNDDOWN(I892,0))*3)*$J892^3</f>
      </c>
      <c r="M892" s="7">
        <f>SQRT(K892^2+L892^2)</f>
      </c>
      <c r="N892" s="7">
        <f>(K893-K891)</f>
      </c>
      <c r="O892" s="7">
        <f>+(L893-L891)</f>
      </c>
      <c r="P892" s="7">
        <f>SQRT(O892^2+N892^2)</f>
      </c>
      <c r="Q892" s="7">
        <f>N892/$P892</f>
      </c>
      <c r="R892" s="7">
        <f>O892/$P892</f>
      </c>
      <c r="S892" s="8">
        <f>Q892^2+R892^2</f>
      </c>
      <c r="T892" s="7">
        <f>-R892</f>
      </c>
      <c r="U892" s="7">
        <f>Q892</f>
      </c>
      <c r="V892" s="7">
        <f>($C$14+($C$15-$C$14)/($D$15-$D$14)*(I892-$D$14))/2</f>
      </c>
      <c r="W892" s="7">
        <f>($B$22*I892^4+$C$22*I892^3+$D$22*I892^2+$E$22*I892+$F$22)/2</f>
      </c>
      <c r="X892" s="7">
        <f>($W892)*(T892)</f>
      </c>
      <c r="Y892" s="7">
        <f>($W892)*(U892)</f>
      </c>
      <c r="Z892" s="7">
        <f>SQRT(X892^2+Y892^2)</f>
      </c>
      <c r="AA892" s="7">
        <f>$K892+$X892</f>
      </c>
      <c r="AB892" s="7">
        <f>$L892+$Y892</f>
      </c>
      <c r="AC892" s="7">
        <f>$K892-$X892</f>
      </c>
      <c r="AD892" s="7">
        <f>$L892-$Y892</f>
      </c>
      <c r="AE892" s="7">
        <f>AA892/39.3701</f>
      </c>
      <c r="AF892" s="7">
        <f>AB892/39.3701</f>
      </c>
      <c r="AG892" s="7">
        <f>AC892/39.3701</f>
      </c>
      <c r="AH892" s="7">
        <f>AD892/39.3701</f>
      </c>
      <c r="AI892" s="1"/>
      <c r="AJ892" s="1"/>
      <c r="AK892" s="1"/>
      <c r="AL892" s="1"/>
      <c r="AM892" s="2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</row>
    <row x14ac:dyDescent="0.25" r="893" customHeight="1" ht="18.75">
      <c r="A893" s="1"/>
      <c r="B893" s="2"/>
      <c r="C893" s="2"/>
      <c r="D893" s="2"/>
      <c r="E893" s="2"/>
      <c r="F893" s="2"/>
      <c r="G893" s="1"/>
      <c r="H893" s="1"/>
      <c r="I893" s="7">
        <v>0.89</v>
      </c>
      <c r="J893" s="7">
        <f>IF((I893-ROUNDDOWN(I893,0))=0, 0, (I893-ROUNDDOWN(I893,0)))</f>
      </c>
      <c r="K893" s="7">
        <f>INDIRECT("C$"&amp;2+MIN(2,ROUNDDOWN(I893,0))*3)*(-$J893^3+3*$J893^2-3*$J893+1)+INDIRECT("C$"&amp;3+MIN(2,ROUNDDOWN(I893,0))*3)*(3*$J893^3-6*$J893^2+3*$J893)+INDIRECT("C$"&amp;4+MIN(2,ROUNDDOWN(I893,0))*3)*(-3*$J893^3+3*$J893^2)+INDIRECT("C$"&amp;5+MIN(2,ROUNDDOWN(I893,0))*3)*$J893^3</f>
      </c>
      <c r="L893" s="7">
        <f>INDIRECT("D$"&amp;2+MIN(2,ROUNDDOWN(I893,0))*3)*(-$J893^3+3*$J893^2-3*$J893+1)+INDIRECT("D$"&amp;3+MIN(2,ROUNDDOWN(I893,0))*3)*(3*$J893^3-6*$J893^2+3*$J893)+INDIRECT("D$"&amp;4+MIN(2,ROUNDDOWN(I893,0))*3)*(-3*$J893^3+3*$J893^2)+INDIRECT("D$"&amp;5+MIN(2,ROUNDDOWN(I893,0))*3)*$J893^3</f>
      </c>
      <c r="M893" s="7">
        <f>SQRT(K893^2+L893^2)</f>
      </c>
      <c r="N893" s="7">
        <f>(K894-K892)</f>
      </c>
      <c r="O893" s="7">
        <f>+(L894-L892)</f>
      </c>
      <c r="P893" s="7">
        <f>SQRT(O893^2+N893^2)</f>
      </c>
      <c r="Q893" s="7">
        <f>N893/$P893</f>
      </c>
      <c r="R893" s="7">
        <f>O893/$P893</f>
      </c>
      <c r="S893" s="8">
        <f>Q893^2+R893^2</f>
      </c>
      <c r="T893" s="7">
        <f>-R893</f>
      </c>
      <c r="U893" s="7">
        <f>Q893</f>
      </c>
      <c r="V893" s="7">
        <f>($C$14+($C$15-$C$14)/($D$15-$D$14)*(I893-$D$14))/2</f>
      </c>
      <c r="W893" s="7">
        <f>($B$22*I893^4+$C$22*I893^3+$D$22*I893^2+$E$22*I893+$F$22)/2</f>
      </c>
      <c r="X893" s="7">
        <f>($W893)*(T893)</f>
      </c>
      <c r="Y893" s="7">
        <f>($W893)*(U893)</f>
      </c>
      <c r="Z893" s="7">
        <f>SQRT(X893^2+Y893^2)</f>
      </c>
      <c r="AA893" s="7">
        <f>$K893+$X893</f>
      </c>
      <c r="AB893" s="7">
        <f>$L893+$Y893</f>
      </c>
      <c r="AC893" s="7">
        <f>$K893-$X893</f>
      </c>
      <c r="AD893" s="7">
        <f>$L893-$Y893</f>
      </c>
      <c r="AE893" s="7">
        <f>AA893/39.3701</f>
      </c>
      <c r="AF893" s="7">
        <f>AB893/39.3701</f>
      </c>
      <c r="AG893" s="7">
        <f>AC893/39.3701</f>
      </c>
      <c r="AH893" s="7">
        <f>AD893/39.3701</f>
      </c>
      <c r="AI893" s="1"/>
      <c r="AJ893" s="1"/>
      <c r="AK893" s="1"/>
      <c r="AL893" s="1"/>
      <c r="AM893" s="2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</row>
    <row x14ac:dyDescent="0.25" r="894" customHeight="1" ht="18.75">
      <c r="A894" s="1"/>
      <c r="B894" s="2"/>
      <c r="C894" s="2"/>
      <c r="D894" s="2"/>
      <c r="E894" s="2"/>
      <c r="F894" s="2"/>
      <c r="G894" s="1"/>
      <c r="H894" s="1"/>
      <c r="I894" s="7">
        <v>0.891</v>
      </c>
      <c r="J894" s="7">
        <f>IF((I894-ROUNDDOWN(I894,0))=0, 0, (I894-ROUNDDOWN(I894,0)))</f>
      </c>
      <c r="K894" s="7">
        <f>INDIRECT("C$"&amp;2+MIN(2,ROUNDDOWN(I894,0))*3)*(-$J894^3+3*$J894^2-3*$J894+1)+INDIRECT("C$"&amp;3+MIN(2,ROUNDDOWN(I894,0))*3)*(3*$J894^3-6*$J894^2+3*$J894)+INDIRECT("C$"&amp;4+MIN(2,ROUNDDOWN(I894,0))*3)*(-3*$J894^3+3*$J894^2)+INDIRECT("C$"&amp;5+MIN(2,ROUNDDOWN(I894,0))*3)*$J894^3</f>
      </c>
      <c r="L894" s="7">
        <f>INDIRECT("D$"&amp;2+MIN(2,ROUNDDOWN(I894,0))*3)*(-$J894^3+3*$J894^2-3*$J894+1)+INDIRECT("D$"&amp;3+MIN(2,ROUNDDOWN(I894,0))*3)*(3*$J894^3-6*$J894^2+3*$J894)+INDIRECT("D$"&amp;4+MIN(2,ROUNDDOWN(I894,0))*3)*(-3*$J894^3+3*$J894^2)+INDIRECT("D$"&amp;5+MIN(2,ROUNDDOWN(I894,0))*3)*$J894^3</f>
      </c>
      <c r="M894" s="7">
        <f>SQRT(K894^2+L894^2)</f>
      </c>
      <c r="N894" s="7">
        <f>(K895-K893)</f>
      </c>
      <c r="O894" s="7">
        <f>+(L895-L893)</f>
      </c>
      <c r="P894" s="7">
        <f>SQRT(O894^2+N894^2)</f>
      </c>
      <c r="Q894" s="7">
        <f>N894/$P894</f>
      </c>
      <c r="R894" s="7">
        <f>O894/$P894</f>
      </c>
      <c r="S894" s="8">
        <f>Q894^2+R894^2</f>
      </c>
      <c r="T894" s="7">
        <f>-R894</f>
      </c>
      <c r="U894" s="7">
        <f>Q894</f>
      </c>
      <c r="V894" s="7">
        <f>($C$14+($C$15-$C$14)/($D$15-$D$14)*(I894-$D$14))/2</f>
      </c>
      <c r="W894" s="7">
        <f>($B$22*I894^4+$C$22*I894^3+$D$22*I894^2+$E$22*I894+$F$22)/2</f>
      </c>
      <c r="X894" s="7">
        <f>($W894)*(T894)</f>
      </c>
      <c r="Y894" s="7">
        <f>($W894)*(U894)</f>
      </c>
      <c r="Z894" s="7">
        <f>SQRT(X894^2+Y894^2)</f>
      </c>
      <c r="AA894" s="7">
        <f>$K894+$X894</f>
      </c>
      <c r="AB894" s="7">
        <f>$L894+$Y894</f>
      </c>
      <c r="AC894" s="7">
        <f>$K894-$X894</f>
      </c>
      <c r="AD894" s="7">
        <f>$L894-$Y894</f>
      </c>
      <c r="AE894" s="7">
        <f>AA894/39.3701</f>
      </c>
      <c r="AF894" s="7">
        <f>AB894/39.3701</f>
      </c>
      <c r="AG894" s="7">
        <f>AC894/39.3701</f>
      </c>
      <c r="AH894" s="7">
        <f>AD894/39.3701</f>
      </c>
      <c r="AI894" s="1"/>
      <c r="AJ894" s="1"/>
      <c r="AK894" s="1"/>
      <c r="AL894" s="1"/>
      <c r="AM894" s="2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</row>
    <row x14ac:dyDescent="0.25" r="895" customHeight="1" ht="18.75">
      <c r="A895" s="1"/>
      <c r="B895" s="2"/>
      <c r="C895" s="2"/>
      <c r="D895" s="2"/>
      <c r="E895" s="2"/>
      <c r="F895" s="2"/>
      <c r="G895" s="1"/>
      <c r="H895" s="1"/>
      <c r="I895" s="7">
        <v>0.892</v>
      </c>
      <c r="J895" s="7">
        <f>IF((I895-ROUNDDOWN(I895,0))=0, 0, (I895-ROUNDDOWN(I895,0)))</f>
      </c>
      <c r="K895" s="7">
        <f>INDIRECT("C$"&amp;2+MIN(2,ROUNDDOWN(I895,0))*3)*(-$J895^3+3*$J895^2-3*$J895+1)+INDIRECT("C$"&amp;3+MIN(2,ROUNDDOWN(I895,0))*3)*(3*$J895^3-6*$J895^2+3*$J895)+INDIRECT("C$"&amp;4+MIN(2,ROUNDDOWN(I895,0))*3)*(-3*$J895^3+3*$J895^2)+INDIRECT("C$"&amp;5+MIN(2,ROUNDDOWN(I895,0))*3)*$J895^3</f>
      </c>
      <c r="L895" s="7">
        <f>INDIRECT("D$"&amp;2+MIN(2,ROUNDDOWN(I895,0))*3)*(-$J895^3+3*$J895^2-3*$J895+1)+INDIRECT("D$"&amp;3+MIN(2,ROUNDDOWN(I895,0))*3)*(3*$J895^3-6*$J895^2+3*$J895)+INDIRECT("D$"&amp;4+MIN(2,ROUNDDOWN(I895,0))*3)*(-3*$J895^3+3*$J895^2)+INDIRECT("D$"&amp;5+MIN(2,ROUNDDOWN(I895,0))*3)*$J895^3</f>
      </c>
      <c r="M895" s="7">
        <f>SQRT(K895^2+L895^2)</f>
      </c>
      <c r="N895" s="7">
        <f>(K896-K894)</f>
      </c>
      <c r="O895" s="7">
        <f>+(L896-L894)</f>
      </c>
      <c r="P895" s="7">
        <f>SQRT(O895^2+N895^2)</f>
      </c>
      <c r="Q895" s="7">
        <f>N895/$P895</f>
      </c>
      <c r="R895" s="7">
        <f>O895/$P895</f>
      </c>
      <c r="S895" s="8">
        <f>Q895^2+R895^2</f>
      </c>
      <c r="T895" s="7">
        <f>-R895</f>
      </c>
      <c r="U895" s="7">
        <f>Q895</f>
      </c>
      <c r="V895" s="7">
        <f>($C$14+($C$15-$C$14)/($D$15-$D$14)*(I895-$D$14))/2</f>
      </c>
      <c r="W895" s="7">
        <f>($B$22*I895^4+$C$22*I895^3+$D$22*I895^2+$E$22*I895+$F$22)/2</f>
      </c>
      <c r="X895" s="7">
        <f>($W895)*(T895)</f>
      </c>
      <c r="Y895" s="7">
        <f>($W895)*(U895)</f>
      </c>
      <c r="Z895" s="7">
        <f>SQRT(X895^2+Y895^2)</f>
      </c>
      <c r="AA895" s="7">
        <f>$K895+$X895</f>
      </c>
      <c r="AB895" s="7">
        <f>$L895+$Y895</f>
      </c>
      <c r="AC895" s="7">
        <f>$K895-$X895</f>
      </c>
      <c r="AD895" s="7">
        <f>$L895-$Y895</f>
      </c>
      <c r="AE895" s="7">
        <f>AA895/39.3701</f>
      </c>
      <c r="AF895" s="7">
        <f>AB895/39.3701</f>
      </c>
      <c r="AG895" s="7">
        <f>AC895/39.3701</f>
      </c>
      <c r="AH895" s="7">
        <f>AD895/39.3701</f>
      </c>
      <c r="AI895" s="1"/>
      <c r="AJ895" s="1"/>
      <c r="AK895" s="1"/>
      <c r="AL895" s="1"/>
      <c r="AM895" s="2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</row>
    <row x14ac:dyDescent="0.25" r="896" customHeight="1" ht="18.75">
      <c r="A896" s="1"/>
      <c r="B896" s="2"/>
      <c r="C896" s="2"/>
      <c r="D896" s="2"/>
      <c r="E896" s="2"/>
      <c r="F896" s="2"/>
      <c r="G896" s="1"/>
      <c r="H896" s="1"/>
      <c r="I896" s="7">
        <v>0.893</v>
      </c>
      <c r="J896" s="7">
        <f>IF((I896-ROUNDDOWN(I896,0))=0, 0, (I896-ROUNDDOWN(I896,0)))</f>
      </c>
      <c r="K896" s="7">
        <f>INDIRECT("C$"&amp;2+MIN(2,ROUNDDOWN(I896,0))*3)*(-$J896^3+3*$J896^2-3*$J896+1)+INDIRECT("C$"&amp;3+MIN(2,ROUNDDOWN(I896,0))*3)*(3*$J896^3-6*$J896^2+3*$J896)+INDIRECT("C$"&amp;4+MIN(2,ROUNDDOWN(I896,0))*3)*(-3*$J896^3+3*$J896^2)+INDIRECT("C$"&amp;5+MIN(2,ROUNDDOWN(I896,0))*3)*$J896^3</f>
      </c>
      <c r="L896" s="7">
        <f>INDIRECT("D$"&amp;2+MIN(2,ROUNDDOWN(I896,0))*3)*(-$J896^3+3*$J896^2-3*$J896+1)+INDIRECT("D$"&amp;3+MIN(2,ROUNDDOWN(I896,0))*3)*(3*$J896^3-6*$J896^2+3*$J896)+INDIRECT("D$"&amp;4+MIN(2,ROUNDDOWN(I896,0))*3)*(-3*$J896^3+3*$J896^2)+INDIRECT("D$"&amp;5+MIN(2,ROUNDDOWN(I896,0))*3)*$J896^3</f>
      </c>
      <c r="M896" s="7">
        <f>SQRT(K896^2+L896^2)</f>
      </c>
      <c r="N896" s="7">
        <f>(K897-K895)</f>
      </c>
      <c r="O896" s="7">
        <f>+(L897-L895)</f>
      </c>
      <c r="P896" s="7">
        <f>SQRT(O896^2+N896^2)</f>
      </c>
      <c r="Q896" s="7">
        <f>N896/$P896</f>
      </c>
      <c r="R896" s="7">
        <f>O896/$P896</f>
      </c>
      <c r="S896" s="8">
        <f>Q896^2+R896^2</f>
      </c>
      <c r="T896" s="7">
        <f>-R896</f>
      </c>
      <c r="U896" s="7">
        <f>Q896</f>
      </c>
      <c r="V896" s="7">
        <f>($C$14+($C$15-$C$14)/($D$15-$D$14)*(I896-$D$14))/2</f>
      </c>
      <c r="W896" s="7">
        <f>($B$22*I896^4+$C$22*I896^3+$D$22*I896^2+$E$22*I896+$F$22)/2</f>
      </c>
      <c r="X896" s="7">
        <f>($W896)*(T896)</f>
      </c>
      <c r="Y896" s="7">
        <f>($W896)*(U896)</f>
      </c>
      <c r="Z896" s="7">
        <f>SQRT(X896^2+Y896^2)</f>
      </c>
      <c r="AA896" s="7">
        <f>$K896+$X896</f>
      </c>
      <c r="AB896" s="7">
        <f>$L896+$Y896</f>
      </c>
      <c r="AC896" s="7">
        <f>$K896-$X896</f>
      </c>
      <c r="AD896" s="7">
        <f>$L896-$Y896</f>
      </c>
      <c r="AE896" s="7">
        <f>AA896/39.3701</f>
      </c>
      <c r="AF896" s="7">
        <f>AB896/39.3701</f>
      </c>
      <c r="AG896" s="7">
        <f>AC896/39.3701</f>
      </c>
      <c r="AH896" s="7">
        <f>AD896/39.3701</f>
      </c>
      <c r="AI896" s="1"/>
      <c r="AJ896" s="1"/>
      <c r="AK896" s="1"/>
      <c r="AL896" s="1"/>
      <c r="AM896" s="2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</row>
    <row x14ac:dyDescent="0.25" r="897" customHeight="1" ht="18.75">
      <c r="A897" s="1"/>
      <c r="B897" s="2"/>
      <c r="C897" s="2"/>
      <c r="D897" s="2"/>
      <c r="E897" s="2"/>
      <c r="F897" s="2"/>
      <c r="G897" s="1"/>
      <c r="H897" s="1"/>
      <c r="I897" s="7">
        <v>0.894</v>
      </c>
      <c r="J897" s="7">
        <f>IF((I897-ROUNDDOWN(I897,0))=0, 0, (I897-ROUNDDOWN(I897,0)))</f>
      </c>
      <c r="K897" s="7">
        <f>INDIRECT("C$"&amp;2+MIN(2,ROUNDDOWN(I897,0))*3)*(-$J897^3+3*$J897^2-3*$J897+1)+INDIRECT("C$"&amp;3+MIN(2,ROUNDDOWN(I897,0))*3)*(3*$J897^3-6*$J897^2+3*$J897)+INDIRECT("C$"&amp;4+MIN(2,ROUNDDOWN(I897,0))*3)*(-3*$J897^3+3*$J897^2)+INDIRECT("C$"&amp;5+MIN(2,ROUNDDOWN(I897,0))*3)*$J897^3</f>
      </c>
      <c r="L897" s="7">
        <f>INDIRECT("D$"&amp;2+MIN(2,ROUNDDOWN(I897,0))*3)*(-$J897^3+3*$J897^2-3*$J897+1)+INDIRECT("D$"&amp;3+MIN(2,ROUNDDOWN(I897,0))*3)*(3*$J897^3-6*$J897^2+3*$J897)+INDIRECT("D$"&amp;4+MIN(2,ROUNDDOWN(I897,0))*3)*(-3*$J897^3+3*$J897^2)+INDIRECT("D$"&amp;5+MIN(2,ROUNDDOWN(I897,0))*3)*$J897^3</f>
      </c>
      <c r="M897" s="7">
        <f>SQRT(K897^2+L897^2)</f>
      </c>
      <c r="N897" s="7">
        <f>(K898-K896)</f>
      </c>
      <c r="O897" s="7">
        <f>+(L898-L896)</f>
      </c>
      <c r="P897" s="7">
        <f>SQRT(O897^2+N897^2)</f>
      </c>
      <c r="Q897" s="7">
        <f>N897/$P897</f>
      </c>
      <c r="R897" s="7">
        <f>O897/$P897</f>
      </c>
      <c r="S897" s="7">
        <f>Q897^2+R897^2</f>
      </c>
      <c r="T897" s="7">
        <f>-R897</f>
      </c>
      <c r="U897" s="7">
        <f>Q897</f>
      </c>
      <c r="V897" s="7">
        <f>($C$14+($C$15-$C$14)/($D$15-$D$14)*(I897-$D$14))/2</f>
      </c>
      <c r="W897" s="7">
        <f>($B$22*I897^4+$C$22*I897^3+$D$22*I897^2+$E$22*I897+$F$22)/2</f>
      </c>
      <c r="X897" s="7">
        <f>($W897)*(T897)</f>
      </c>
      <c r="Y897" s="7">
        <f>($W897)*(U897)</f>
      </c>
      <c r="Z897" s="7">
        <f>SQRT(X897^2+Y897^2)</f>
      </c>
      <c r="AA897" s="7">
        <f>$K897+$X897</f>
      </c>
      <c r="AB897" s="7">
        <f>$L897+$Y897</f>
      </c>
      <c r="AC897" s="7">
        <f>$K897-$X897</f>
      </c>
      <c r="AD897" s="7">
        <f>$L897-$Y897</f>
      </c>
      <c r="AE897" s="7">
        <f>AA897/39.3701</f>
      </c>
      <c r="AF897" s="7">
        <f>AB897/39.3701</f>
      </c>
      <c r="AG897" s="7">
        <f>AC897/39.3701</f>
      </c>
      <c r="AH897" s="7">
        <f>AD897/39.3701</f>
      </c>
      <c r="AI897" s="1"/>
      <c r="AJ897" s="1"/>
      <c r="AK897" s="1"/>
      <c r="AL897" s="1"/>
      <c r="AM897" s="2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</row>
    <row x14ac:dyDescent="0.25" r="898" customHeight="1" ht="18.75">
      <c r="A898" s="1"/>
      <c r="B898" s="2"/>
      <c r="C898" s="2"/>
      <c r="D898" s="2"/>
      <c r="E898" s="2"/>
      <c r="F898" s="2"/>
      <c r="G898" s="1"/>
      <c r="H898" s="1"/>
      <c r="I898" s="7">
        <v>0.895</v>
      </c>
      <c r="J898" s="7">
        <f>IF((I898-ROUNDDOWN(I898,0))=0, 0, (I898-ROUNDDOWN(I898,0)))</f>
      </c>
      <c r="K898" s="7">
        <f>INDIRECT("C$"&amp;2+MIN(2,ROUNDDOWN(I898,0))*3)*(-$J898^3+3*$J898^2-3*$J898+1)+INDIRECT("C$"&amp;3+MIN(2,ROUNDDOWN(I898,0))*3)*(3*$J898^3-6*$J898^2+3*$J898)+INDIRECT("C$"&amp;4+MIN(2,ROUNDDOWN(I898,0))*3)*(-3*$J898^3+3*$J898^2)+INDIRECT("C$"&amp;5+MIN(2,ROUNDDOWN(I898,0))*3)*$J898^3</f>
      </c>
      <c r="L898" s="7">
        <f>INDIRECT("D$"&amp;2+MIN(2,ROUNDDOWN(I898,0))*3)*(-$J898^3+3*$J898^2-3*$J898+1)+INDIRECT("D$"&amp;3+MIN(2,ROUNDDOWN(I898,0))*3)*(3*$J898^3-6*$J898^2+3*$J898)+INDIRECT("D$"&amp;4+MIN(2,ROUNDDOWN(I898,0))*3)*(-3*$J898^3+3*$J898^2)+INDIRECT("D$"&amp;5+MIN(2,ROUNDDOWN(I898,0))*3)*$J898^3</f>
      </c>
      <c r="M898" s="7">
        <f>SQRT(K898^2+L898^2)</f>
      </c>
      <c r="N898" s="7">
        <f>(K899-K897)</f>
      </c>
      <c r="O898" s="7">
        <f>+(L899-L897)</f>
      </c>
      <c r="P898" s="7">
        <f>SQRT(O898^2+N898^2)</f>
      </c>
      <c r="Q898" s="7">
        <f>N898/$P898</f>
      </c>
      <c r="R898" s="7">
        <f>O898/$P898</f>
      </c>
      <c r="S898" s="8">
        <f>Q898^2+R898^2</f>
      </c>
      <c r="T898" s="7">
        <f>-R898</f>
      </c>
      <c r="U898" s="7">
        <f>Q898</f>
      </c>
      <c r="V898" s="7">
        <f>($C$14+($C$15-$C$14)/($D$15-$D$14)*(I898-$D$14))/2</f>
      </c>
      <c r="W898" s="7">
        <f>($B$22*I898^4+$C$22*I898^3+$D$22*I898^2+$E$22*I898+$F$22)/2</f>
      </c>
      <c r="X898" s="7">
        <f>($W898)*(T898)</f>
      </c>
      <c r="Y898" s="7">
        <f>($W898)*(U898)</f>
      </c>
      <c r="Z898" s="7">
        <f>SQRT(X898^2+Y898^2)</f>
      </c>
      <c r="AA898" s="7">
        <f>$K898+$X898</f>
      </c>
      <c r="AB898" s="7">
        <f>$L898+$Y898</f>
      </c>
      <c r="AC898" s="7">
        <f>$K898-$X898</f>
      </c>
      <c r="AD898" s="7">
        <f>$L898-$Y898</f>
      </c>
      <c r="AE898" s="7">
        <f>AA898/39.3701</f>
      </c>
      <c r="AF898" s="7">
        <f>AB898/39.3701</f>
      </c>
      <c r="AG898" s="7">
        <f>AC898/39.3701</f>
      </c>
      <c r="AH898" s="7">
        <f>AD898/39.3701</f>
      </c>
      <c r="AI898" s="1"/>
      <c r="AJ898" s="1"/>
      <c r="AK898" s="1"/>
      <c r="AL898" s="1"/>
      <c r="AM898" s="2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</row>
    <row x14ac:dyDescent="0.25" r="899" customHeight="1" ht="18.75">
      <c r="A899" s="1"/>
      <c r="B899" s="2"/>
      <c r="C899" s="2"/>
      <c r="D899" s="2"/>
      <c r="E899" s="2"/>
      <c r="F899" s="2"/>
      <c r="G899" s="1"/>
      <c r="H899" s="1"/>
      <c r="I899" s="7">
        <v>0.896</v>
      </c>
      <c r="J899" s="7">
        <f>IF((I899-ROUNDDOWN(I899,0))=0, 0, (I899-ROUNDDOWN(I899,0)))</f>
      </c>
      <c r="K899" s="7">
        <f>INDIRECT("C$"&amp;2+MIN(2,ROUNDDOWN(I899,0))*3)*(-$J899^3+3*$J899^2-3*$J899+1)+INDIRECT("C$"&amp;3+MIN(2,ROUNDDOWN(I899,0))*3)*(3*$J899^3-6*$J899^2+3*$J899)+INDIRECT("C$"&amp;4+MIN(2,ROUNDDOWN(I899,0))*3)*(-3*$J899^3+3*$J899^2)+INDIRECT("C$"&amp;5+MIN(2,ROUNDDOWN(I899,0))*3)*$J899^3</f>
      </c>
      <c r="L899" s="7">
        <f>INDIRECT("D$"&amp;2+MIN(2,ROUNDDOWN(I899,0))*3)*(-$J899^3+3*$J899^2-3*$J899+1)+INDIRECT("D$"&amp;3+MIN(2,ROUNDDOWN(I899,0))*3)*(3*$J899^3-6*$J899^2+3*$J899)+INDIRECT("D$"&amp;4+MIN(2,ROUNDDOWN(I899,0))*3)*(-3*$J899^3+3*$J899^2)+INDIRECT("D$"&amp;5+MIN(2,ROUNDDOWN(I899,0))*3)*$J899^3</f>
      </c>
      <c r="M899" s="7">
        <f>SQRT(K899^2+L899^2)</f>
      </c>
      <c r="N899" s="7">
        <f>(K900-K898)</f>
      </c>
      <c r="O899" s="7">
        <f>+(L900-L898)</f>
      </c>
      <c r="P899" s="7">
        <f>SQRT(O899^2+N899^2)</f>
      </c>
      <c r="Q899" s="7">
        <f>N899/$P899</f>
      </c>
      <c r="R899" s="7">
        <f>O899/$P899</f>
      </c>
      <c r="S899" s="8">
        <f>Q899^2+R899^2</f>
      </c>
      <c r="T899" s="7">
        <f>-R899</f>
      </c>
      <c r="U899" s="7">
        <f>Q899</f>
      </c>
      <c r="V899" s="7">
        <f>($C$14+($C$15-$C$14)/($D$15-$D$14)*(I899-$D$14))/2</f>
      </c>
      <c r="W899" s="7">
        <f>($B$22*I899^4+$C$22*I899^3+$D$22*I899^2+$E$22*I899+$F$22)/2</f>
      </c>
      <c r="X899" s="7">
        <f>($W899)*(T899)</f>
      </c>
      <c r="Y899" s="7">
        <f>($W899)*(U899)</f>
      </c>
      <c r="Z899" s="7">
        <f>SQRT(X899^2+Y899^2)</f>
      </c>
      <c r="AA899" s="7">
        <f>$K899+$X899</f>
      </c>
      <c r="AB899" s="7">
        <f>$L899+$Y899</f>
      </c>
      <c r="AC899" s="7">
        <f>$K899-$X899</f>
      </c>
      <c r="AD899" s="7">
        <f>$L899-$Y899</f>
      </c>
      <c r="AE899" s="7">
        <f>AA899/39.3701</f>
      </c>
      <c r="AF899" s="7">
        <f>AB899/39.3701</f>
      </c>
      <c r="AG899" s="7">
        <f>AC899/39.3701</f>
      </c>
      <c r="AH899" s="7">
        <f>AD899/39.3701</f>
      </c>
      <c r="AI899" s="1"/>
      <c r="AJ899" s="1"/>
      <c r="AK899" s="1"/>
      <c r="AL899" s="1"/>
      <c r="AM899" s="2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</row>
    <row x14ac:dyDescent="0.25" r="900" customHeight="1" ht="18.75">
      <c r="A900" s="1"/>
      <c r="B900" s="2"/>
      <c r="C900" s="2"/>
      <c r="D900" s="2"/>
      <c r="E900" s="2"/>
      <c r="F900" s="2"/>
      <c r="G900" s="1"/>
      <c r="H900" s="1"/>
      <c r="I900" s="7">
        <v>0.897</v>
      </c>
      <c r="J900" s="7">
        <f>IF((I900-ROUNDDOWN(I900,0))=0, 0, (I900-ROUNDDOWN(I900,0)))</f>
      </c>
      <c r="K900" s="7">
        <f>INDIRECT("C$"&amp;2+MIN(2,ROUNDDOWN(I900,0))*3)*(-$J900^3+3*$J900^2-3*$J900+1)+INDIRECT("C$"&amp;3+MIN(2,ROUNDDOWN(I900,0))*3)*(3*$J900^3-6*$J900^2+3*$J900)+INDIRECT("C$"&amp;4+MIN(2,ROUNDDOWN(I900,0))*3)*(-3*$J900^3+3*$J900^2)+INDIRECT("C$"&amp;5+MIN(2,ROUNDDOWN(I900,0))*3)*$J900^3</f>
      </c>
      <c r="L900" s="7">
        <f>INDIRECT("D$"&amp;2+MIN(2,ROUNDDOWN(I900,0))*3)*(-$J900^3+3*$J900^2-3*$J900+1)+INDIRECT("D$"&amp;3+MIN(2,ROUNDDOWN(I900,0))*3)*(3*$J900^3-6*$J900^2+3*$J900)+INDIRECT("D$"&amp;4+MIN(2,ROUNDDOWN(I900,0))*3)*(-3*$J900^3+3*$J900^2)+INDIRECT("D$"&amp;5+MIN(2,ROUNDDOWN(I900,0))*3)*$J900^3</f>
      </c>
      <c r="M900" s="7">
        <f>SQRT(K900^2+L900^2)</f>
      </c>
      <c r="N900" s="7">
        <f>(K901-K899)</f>
      </c>
      <c r="O900" s="7">
        <f>+(L901-L899)</f>
      </c>
      <c r="P900" s="7">
        <f>SQRT(O900^2+N900^2)</f>
      </c>
      <c r="Q900" s="7">
        <f>N900/$P900</f>
      </c>
      <c r="R900" s="7">
        <f>O900/$P900</f>
      </c>
      <c r="S900" s="7">
        <f>Q900^2+R900^2</f>
      </c>
      <c r="T900" s="7">
        <f>-R900</f>
      </c>
      <c r="U900" s="7">
        <f>Q900</f>
      </c>
      <c r="V900" s="7">
        <f>($C$14+($C$15-$C$14)/($D$15-$D$14)*(I900-$D$14))/2</f>
      </c>
      <c r="W900" s="7">
        <f>($B$22*I900^4+$C$22*I900^3+$D$22*I900^2+$E$22*I900+$F$22)/2</f>
      </c>
      <c r="X900" s="7">
        <f>($W900)*(T900)</f>
      </c>
      <c r="Y900" s="7">
        <f>($W900)*(U900)</f>
      </c>
      <c r="Z900" s="7">
        <f>SQRT(X900^2+Y900^2)</f>
      </c>
      <c r="AA900" s="7">
        <f>$K900+$X900</f>
      </c>
      <c r="AB900" s="7">
        <f>$L900+$Y900</f>
      </c>
      <c r="AC900" s="7">
        <f>$K900-$X900</f>
      </c>
      <c r="AD900" s="7">
        <f>$L900-$Y900</f>
      </c>
      <c r="AE900" s="7">
        <f>AA900/39.3701</f>
      </c>
      <c r="AF900" s="7">
        <f>AB900/39.3701</f>
      </c>
      <c r="AG900" s="7">
        <f>AC900/39.3701</f>
      </c>
      <c r="AH900" s="7">
        <f>AD900/39.3701</f>
      </c>
      <c r="AI900" s="1"/>
      <c r="AJ900" s="1"/>
      <c r="AK900" s="1"/>
      <c r="AL900" s="1"/>
      <c r="AM900" s="2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</row>
    <row x14ac:dyDescent="0.25" r="901" customHeight="1" ht="18.75">
      <c r="A901" s="1"/>
      <c r="B901" s="2"/>
      <c r="C901" s="2"/>
      <c r="D901" s="2"/>
      <c r="E901" s="2"/>
      <c r="F901" s="2"/>
      <c r="G901" s="1"/>
      <c r="H901" s="1"/>
      <c r="I901" s="7">
        <v>0.898</v>
      </c>
      <c r="J901" s="7">
        <f>IF((I901-ROUNDDOWN(I901,0))=0, 0, (I901-ROUNDDOWN(I901,0)))</f>
      </c>
      <c r="K901" s="7">
        <f>INDIRECT("C$"&amp;2+MIN(2,ROUNDDOWN(I901,0))*3)*(-$J901^3+3*$J901^2-3*$J901+1)+INDIRECT("C$"&amp;3+MIN(2,ROUNDDOWN(I901,0))*3)*(3*$J901^3-6*$J901^2+3*$J901)+INDIRECT("C$"&amp;4+MIN(2,ROUNDDOWN(I901,0))*3)*(-3*$J901^3+3*$J901^2)+INDIRECT("C$"&amp;5+MIN(2,ROUNDDOWN(I901,0))*3)*$J901^3</f>
      </c>
      <c r="L901" s="7">
        <f>INDIRECT("D$"&amp;2+MIN(2,ROUNDDOWN(I901,0))*3)*(-$J901^3+3*$J901^2-3*$J901+1)+INDIRECT("D$"&amp;3+MIN(2,ROUNDDOWN(I901,0))*3)*(3*$J901^3-6*$J901^2+3*$J901)+INDIRECT("D$"&amp;4+MIN(2,ROUNDDOWN(I901,0))*3)*(-3*$J901^3+3*$J901^2)+INDIRECT("D$"&amp;5+MIN(2,ROUNDDOWN(I901,0))*3)*$J901^3</f>
      </c>
      <c r="M901" s="7">
        <f>SQRT(K901^2+L901^2)</f>
      </c>
      <c r="N901" s="7">
        <f>(K902-K900)</f>
      </c>
      <c r="O901" s="7">
        <f>+(L902-L900)</f>
      </c>
      <c r="P901" s="7">
        <f>SQRT(O901^2+N901^2)</f>
      </c>
      <c r="Q901" s="7">
        <f>N901/$P901</f>
      </c>
      <c r="R901" s="7">
        <f>O901/$P901</f>
      </c>
      <c r="S901" s="7">
        <f>Q901^2+R901^2</f>
      </c>
      <c r="T901" s="7">
        <f>-R901</f>
      </c>
      <c r="U901" s="7">
        <f>Q901</f>
      </c>
      <c r="V901" s="7">
        <f>($C$14+($C$15-$C$14)/($D$15-$D$14)*(I901-$D$14))/2</f>
      </c>
      <c r="W901" s="7">
        <f>($B$22*I901^4+$C$22*I901^3+$D$22*I901^2+$E$22*I901+$F$22)/2</f>
      </c>
      <c r="X901" s="7">
        <f>($W901)*(T901)</f>
      </c>
      <c r="Y901" s="7">
        <f>($W901)*(U901)</f>
      </c>
      <c r="Z901" s="7">
        <f>SQRT(X901^2+Y901^2)</f>
      </c>
      <c r="AA901" s="7">
        <f>$K901+$X901</f>
      </c>
      <c r="AB901" s="7">
        <f>$L901+$Y901</f>
      </c>
      <c r="AC901" s="7">
        <f>$K901-$X901</f>
      </c>
      <c r="AD901" s="7">
        <f>$L901-$Y901</f>
      </c>
      <c r="AE901" s="7">
        <f>AA901/39.3701</f>
      </c>
      <c r="AF901" s="7">
        <f>AB901/39.3701</f>
      </c>
      <c r="AG901" s="7">
        <f>AC901/39.3701</f>
      </c>
      <c r="AH901" s="7">
        <f>AD901/39.3701</f>
      </c>
      <c r="AI901" s="1"/>
      <c r="AJ901" s="1"/>
      <c r="AK901" s="1"/>
      <c r="AL901" s="1"/>
      <c r="AM901" s="2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</row>
    <row x14ac:dyDescent="0.25" r="902" customHeight="1" ht="18.75">
      <c r="A902" s="1"/>
      <c r="B902" s="2"/>
      <c r="C902" s="2"/>
      <c r="D902" s="2"/>
      <c r="E902" s="2"/>
      <c r="F902" s="2"/>
      <c r="G902" s="1"/>
      <c r="H902" s="1"/>
      <c r="I902" s="7">
        <v>0.899</v>
      </c>
      <c r="J902" s="7">
        <f>IF((I902-ROUNDDOWN(I902,0))=0, 0, (I902-ROUNDDOWN(I902,0)))</f>
      </c>
      <c r="K902" s="7">
        <f>INDIRECT("C$"&amp;2+MIN(2,ROUNDDOWN(I902,0))*3)*(-$J902^3+3*$J902^2-3*$J902+1)+INDIRECT("C$"&amp;3+MIN(2,ROUNDDOWN(I902,0))*3)*(3*$J902^3-6*$J902^2+3*$J902)+INDIRECT("C$"&amp;4+MIN(2,ROUNDDOWN(I902,0))*3)*(-3*$J902^3+3*$J902^2)+INDIRECT("C$"&amp;5+MIN(2,ROUNDDOWN(I902,0))*3)*$J902^3</f>
      </c>
      <c r="L902" s="7">
        <f>INDIRECT("D$"&amp;2+MIN(2,ROUNDDOWN(I902,0))*3)*(-$J902^3+3*$J902^2-3*$J902+1)+INDIRECT("D$"&amp;3+MIN(2,ROUNDDOWN(I902,0))*3)*(3*$J902^3-6*$J902^2+3*$J902)+INDIRECT("D$"&amp;4+MIN(2,ROUNDDOWN(I902,0))*3)*(-3*$J902^3+3*$J902^2)+INDIRECT("D$"&amp;5+MIN(2,ROUNDDOWN(I902,0))*3)*$J902^3</f>
      </c>
      <c r="M902" s="7">
        <f>SQRT(K902^2+L902^2)</f>
      </c>
      <c r="N902" s="7">
        <f>(K903-K901)</f>
      </c>
      <c r="O902" s="7">
        <f>+(L903-L901)</f>
      </c>
      <c r="P902" s="7">
        <f>SQRT(O902^2+N902^2)</f>
      </c>
      <c r="Q902" s="7">
        <f>N902/$P902</f>
      </c>
      <c r="R902" s="7">
        <f>O902/$P902</f>
      </c>
      <c r="S902" s="8">
        <f>Q902^2+R902^2</f>
      </c>
      <c r="T902" s="7">
        <f>-R902</f>
      </c>
      <c r="U902" s="7">
        <f>Q902</f>
      </c>
      <c r="V902" s="7">
        <f>($C$14+($C$15-$C$14)/($D$15-$D$14)*(I902-$D$14))/2</f>
      </c>
      <c r="W902" s="7">
        <f>($B$22*I902^4+$C$22*I902^3+$D$22*I902^2+$E$22*I902+$F$22)/2</f>
      </c>
      <c r="X902" s="7">
        <f>($W902)*(T902)</f>
      </c>
      <c r="Y902" s="7">
        <f>($W902)*(U902)</f>
      </c>
      <c r="Z902" s="7">
        <f>SQRT(X902^2+Y902^2)</f>
      </c>
      <c r="AA902" s="7">
        <f>$K902+$X902</f>
      </c>
      <c r="AB902" s="7">
        <f>$L902+$Y902</f>
      </c>
      <c r="AC902" s="7">
        <f>$K902-$X902</f>
      </c>
      <c r="AD902" s="7">
        <f>$L902-$Y902</f>
      </c>
      <c r="AE902" s="7">
        <f>AA902/39.3701</f>
      </c>
      <c r="AF902" s="7">
        <f>AB902/39.3701</f>
      </c>
      <c r="AG902" s="7">
        <f>AC902/39.3701</f>
      </c>
      <c r="AH902" s="7">
        <f>AD902/39.3701</f>
      </c>
      <c r="AI902" s="1"/>
      <c r="AJ902" s="1"/>
      <c r="AK902" s="1"/>
      <c r="AL902" s="1"/>
      <c r="AM902" s="2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</row>
    <row x14ac:dyDescent="0.25" r="903" customHeight="1" ht="18.75">
      <c r="A903" s="1"/>
      <c r="B903" s="2"/>
      <c r="C903" s="2"/>
      <c r="D903" s="2"/>
      <c r="E903" s="2"/>
      <c r="F903" s="2"/>
      <c r="G903" s="1"/>
      <c r="H903" s="1"/>
      <c r="I903" s="7">
        <v>0.9</v>
      </c>
      <c r="J903" s="7">
        <f>IF((I903-ROUNDDOWN(I903,0))=0, 0, (I903-ROUNDDOWN(I903,0)))</f>
      </c>
      <c r="K903" s="7">
        <f>INDIRECT("C$"&amp;2+MIN(2,ROUNDDOWN(I903,0))*3)*(-$J903^3+3*$J903^2-3*$J903+1)+INDIRECT("C$"&amp;3+MIN(2,ROUNDDOWN(I903,0))*3)*(3*$J903^3-6*$J903^2+3*$J903)+INDIRECT("C$"&amp;4+MIN(2,ROUNDDOWN(I903,0))*3)*(-3*$J903^3+3*$J903^2)+INDIRECT("C$"&amp;5+MIN(2,ROUNDDOWN(I903,0))*3)*$J903^3</f>
      </c>
      <c r="L903" s="7">
        <f>INDIRECT("D$"&amp;2+MIN(2,ROUNDDOWN(I903,0))*3)*(-$J903^3+3*$J903^2-3*$J903+1)+INDIRECT("D$"&amp;3+MIN(2,ROUNDDOWN(I903,0))*3)*(3*$J903^3-6*$J903^2+3*$J903)+INDIRECT("D$"&amp;4+MIN(2,ROUNDDOWN(I903,0))*3)*(-3*$J903^3+3*$J903^2)+INDIRECT("D$"&amp;5+MIN(2,ROUNDDOWN(I903,0))*3)*$J903^3</f>
      </c>
      <c r="M903" s="7">
        <f>SQRT(K903^2+L903^2)</f>
      </c>
      <c r="N903" s="7">
        <f>(K904-K902)</f>
      </c>
      <c r="O903" s="7">
        <f>+(L904-L902)</f>
      </c>
      <c r="P903" s="7">
        <f>SQRT(O903^2+N903^2)</f>
      </c>
      <c r="Q903" s="7">
        <f>N903/$P903</f>
      </c>
      <c r="R903" s="7">
        <f>O903/$P903</f>
      </c>
      <c r="S903" s="7">
        <f>Q903^2+R903^2</f>
      </c>
      <c r="T903" s="7">
        <f>-R903</f>
      </c>
      <c r="U903" s="7">
        <f>Q903</f>
      </c>
      <c r="V903" s="7">
        <f>($C$14+($C$15-$C$14)/($D$15-$D$14)*(I903-$D$14))/2</f>
      </c>
      <c r="W903" s="7">
        <f>($B$22*I903^4+$C$22*I903^3+$D$22*I903^2+$E$22*I903+$F$22)/2</f>
      </c>
      <c r="X903" s="7">
        <f>($W903)*(T903)</f>
      </c>
      <c r="Y903" s="7">
        <f>($W903)*(U903)</f>
      </c>
      <c r="Z903" s="7">
        <f>SQRT(X903^2+Y903^2)</f>
      </c>
      <c r="AA903" s="7">
        <f>$K903+$X903</f>
      </c>
      <c r="AB903" s="7">
        <f>$L903+$Y903</f>
      </c>
      <c r="AC903" s="7">
        <f>$K903-$X903</f>
      </c>
      <c r="AD903" s="7">
        <f>$L903-$Y903</f>
      </c>
      <c r="AE903" s="7">
        <f>AA903/39.3701</f>
      </c>
      <c r="AF903" s="7">
        <f>AB903/39.3701</f>
      </c>
      <c r="AG903" s="7">
        <f>AC903/39.3701</f>
      </c>
      <c r="AH903" s="7">
        <f>AD903/39.3701</f>
      </c>
      <c r="AI903" s="1"/>
      <c r="AJ903" s="1"/>
      <c r="AK903" s="1"/>
      <c r="AL903" s="1"/>
      <c r="AM903" s="2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</row>
    <row x14ac:dyDescent="0.25" r="904" customHeight="1" ht="18.75">
      <c r="A904" s="1"/>
      <c r="B904" s="2"/>
      <c r="C904" s="2"/>
      <c r="D904" s="2"/>
      <c r="E904" s="2"/>
      <c r="F904" s="2"/>
      <c r="G904" s="1"/>
      <c r="H904" s="1"/>
      <c r="I904" s="7">
        <v>0.901</v>
      </c>
      <c r="J904" s="7">
        <f>IF((I904-ROUNDDOWN(I904,0))=0, 0, (I904-ROUNDDOWN(I904,0)))</f>
      </c>
      <c r="K904" s="7">
        <f>INDIRECT("C$"&amp;2+MIN(2,ROUNDDOWN(I904,0))*3)*(-$J904^3+3*$J904^2-3*$J904+1)+INDIRECT("C$"&amp;3+MIN(2,ROUNDDOWN(I904,0))*3)*(3*$J904^3-6*$J904^2+3*$J904)+INDIRECT("C$"&amp;4+MIN(2,ROUNDDOWN(I904,0))*3)*(-3*$J904^3+3*$J904^2)+INDIRECT("C$"&amp;5+MIN(2,ROUNDDOWN(I904,0))*3)*$J904^3</f>
      </c>
      <c r="L904" s="7">
        <f>INDIRECT("D$"&amp;2+MIN(2,ROUNDDOWN(I904,0))*3)*(-$J904^3+3*$J904^2-3*$J904+1)+INDIRECT("D$"&amp;3+MIN(2,ROUNDDOWN(I904,0))*3)*(3*$J904^3-6*$J904^2+3*$J904)+INDIRECT("D$"&amp;4+MIN(2,ROUNDDOWN(I904,0))*3)*(-3*$J904^3+3*$J904^2)+INDIRECT("D$"&amp;5+MIN(2,ROUNDDOWN(I904,0))*3)*$J904^3</f>
      </c>
      <c r="M904" s="7">
        <f>SQRT(K904^2+L904^2)</f>
      </c>
      <c r="N904" s="7">
        <f>(K905-K903)</f>
      </c>
      <c r="O904" s="7">
        <f>+(L905-L903)</f>
      </c>
      <c r="P904" s="7">
        <f>SQRT(O904^2+N904^2)</f>
      </c>
      <c r="Q904" s="7">
        <f>N904/$P904</f>
      </c>
      <c r="R904" s="7">
        <f>O904/$P904</f>
      </c>
      <c r="S904" s="8">
        <f>Q904^2+R904^2</f>
      </c>
      <c r="T904" s="7">
        <f>-R904</f>
      </c>
      <c r="U904" s="7">
        <f>Q904</f>
      </c>
      <c r="V904" s="7">
        <f>($C$14+($C$15-$C$14)/($D$15-$D$14)*(I904-$D$14))/2</f>
      </c>
      <c r="W904" s="7">
        <f>($B$22*I904^4+$C$22*I904^3+$D$22*I904^2+$E$22*I904+$F$22)/2</f>
      </c>
      <c r="X904" s="7">
        <f>($W904)*(T904)</f>
      </c>
      <c r="Y904" s="7">
        <f>($W904)*(U904)</f>
      </c>
      <c r="Z904" s="7">
        <f>SQRT(X904^2+Y904^2)</f>
      </c>
      <c r="AA904" s="7">
        <f>$K904+$X904</f>
      </c>
      <c r="AB904" s="7">
        <f>$L904+$Y904</f>
      </c>
      <c r="AC904" s="7">
        <f>$K904-$X904</f>
      </c>
      <c r="AD904" s="7">
        <f>$L904-$Y904</f>
      </c>
      <c r="AE904" s="7">
        <f>AA904/39.3701</f>
      </c>
      <c r="AF904" s="7">
        <f>AB904/39.3701</f>
      </c>
      <c r="AG904" s="7">
        <f>AC904/39.3701</f>
      </c>
      <c r="AH904" s="7">
        <f>AD904/39.3701</f>
      </c>
      <c r="AI904" s="1"/>
      <c r="AJ904" s="1"/>
      <c r="AK904" s="1"/>
      <c r="AL904" s="1"/>
      <c r="AM904" s="2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</row>
    <row x14ac:dyDescent="0.25" r="905" customHeight="1" ht="18.75">
      <c r="A905" s="1"/>
      <c r="B905" s="2"/>
      <c r="C905" s="2"/>
      <c r="D905" s="2"/>
      <c r="E905" s="2"/>
      <c r="F905" s="2"/>
      <c r="G905" s="1"/>
      <c r="H905" s="1"/>
      <c r="I905" s="7">
        <v>0.902</v>
      </c>
      <c r="J905" s="7">
        <f>IF((I905-ROUNDDOWN(I905,0))=0, 0, (I905-ROUNDDOWN(I905,0)))</f>
      </c>
      <c r="K905" s="7">
        <f>INDIRECT("C$"&amp;2+MIN(2,ROUNDDOWN(I905,0))*3)*(-$J905^3+3*$J905^2-3*$J905+1)+INDIRECT("C$"&amp;3+MIN(2,ROUNDDOWN(I905,0))*3)*(3*$J905^3-6*$J905^2+3*$J905)+INDIRECT("C$"&amp;4+MIN(2,ROUNDDOWN(I905,0))*3)*(-3*$J905^3+3*$J905^2)+INDIRECT("C$"&amp;5+MIN(2,ROUNDDOWN(I905,0))*3)*$J905^3</f>
      </c>
      <c r="L905" s="7">
        <f>INDIRECT("D$"&amp;2+MIN(2,ROUNDDOWN(I905,0))*3)*(-$J905^3+3*$J905^2-3*$J905+1)+INDIRECT("D$"&amp;3+MIN(2,ROUNDDOWN(I905,0))*3)*(3*$J905^3-6*$J905^2+3*$J905)+INDIRECT("D$"&amp;4+MIN(2,ROUNDDOWN(I905,0))*3)*(-3*$J905^3+3*$J905^2)+INDIRECT("D$"&amp;5+MIN(2,ROUNDDOWN(I905,0))*3)*$J905^3</f>
      </c>
      <c r="M905" s="7">
        <f>SQRT(K905^2+L905^2)</f>
      </c>
      <c r="N905" s="7">
        <f>(K906-K904)</f>
      </c>
      <c r="O905" s="7">
        <f>+(L906-L904)</f>
      </c>
      <c r="P905" s="7">
        <f>SQRT(O905^2+N905^2)</f>
      </c>
      <c r="Q905" s="7">
        <f>N905/$P905</f>
      </c>
      <c r="R905" s="7">
        <f>O905/$P905</f>
      </c>
      <c r="S905" s="8">
        <f>Q905^2+R905^2</f>
      </c>
      <c r="T905" s="7">
        <f>-R905</f>
      </c>
      <c r="U905" s="7">
        <f>Q905</f>
      </c>
      <c r="V905" s="7">
        <f>($C$14+($C$15-$C$14)/($D$15-$D$14)*(I905-$D$14))/2</f>
      </c>
      <c r="W905" s="7">
        <f>($B$22*I905^4+$C$22*I905^3+$D$22*I905^2+$E$22*I905+$F$22)/2</f>
      </c>
      <c r="X905" s="7">
        <f>($W905)*(T905)</f>
      </c>
      <c r="Y905" s="7">
        <f>($W905)*(U905)</f>
      </c>
      <c r="Z905" s="7">
        <f>SQRT(X905^2+Y905^2)</f>
      </c>
      <c r="AA905" s="7">
        <f>$K905+$X905</f>
      </c>
      <c r="AB905" s="7">
        <f>$L905+$Y905</f>
      </c>
      <c r="AC905" s="7">
        <f>$K905-$X905</f>
      </c>
      <c r="AD905" s="7">
        <f>$L905-$Y905</f>
      </c>
      <c r="AE905" s="7">
        <f>AA905/39.3701</f>
      </c>
      <c r="AF905" s="7">
        <f>AB905/39.3701</f>
      </c>
      <c r="AG905" s="7">
        <f>AC905/39.3701</f>
      </c>
      <c r="AH905" s="7">
        <f>AD905/39.3701</f>
      </c>
      <c r="AI905" s="1"/>
      <c r="AJ905" s="1"/>
      <c r="AK905" s="1"/>
      <c r="AL905" s="1"/>
      <c r="AM905" s="2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</row>
    <row x14ac:dyDescent="0.25" r="906" customHeight="1" ht="18.75">
      <c r="A906" s="1"/>
      <c r="B906" s="2"/>
      <c r="C906" s="2"/>
      <c r="D906" s="2"/>
      <c r="E906" s="2"/>
      <c r="F906" s="2"/>
      <c r="G906" s="1"/>
      <c r="H906" s="1"/>
      <c r="I906" s="7">
        <v>0.903</v>
      </c>
      <c r="J906" s="7">
        <f>IF((I906-ROUNDDOWN(I906,0))=0, 0, (I906-ROUNDDOWN(I906,0)))</f>
      </c>
      <c r="K906" s="7">
        <f>INDIRECT("C$"&amp;2+MIN(2,ROUNDDOWN(I906,0))*3)*(-$J906^3+3*$J906^2-3*$J906+1)+INDIRECT("C$"&amp;3+MIN(2,ROUNDDOWN(I906,0))*3)*(3*$J906^3-6*$J906^2+3*$J906)+INDIRECT("C$"&amp;4+MIN(2,ROUNDDOWN(I906,0))*3)*(-3*$J906^3+3*$J906^2)+INDIRECT("C$"&amp;5+MIN(2,ROUNDDOWN(I906,0))*3)*$J906^3</f>
      </c>
      <c r="L906" s="7">
        <f>INDIRECT("D$"&amp;2+MIN(2,ROUNDDOWN(I906,0))*3)*(-$J906^3+3*$J906^2-3*$J906+1)+INDIRECT("D$"&amp;3+MIN(2,ROUNDDOWN(I906,0))*3)*(3*$J906^3-6*$J906^2+3*$J906)+INDIRECT("D$"&amp;4+MIN(2,ROUNDDOWN(I906,0))*3)*(-3*$J906^3+3*$J906^2)+INDIRECT("D$"&amp;5+MIN(2,ROUNDDOWN(I906,0))*3)*$J906^3</f>
      </c>
      <c r="M906" s="7">
        <f>SQRT(K906^2+L906^2)</f>
      </c>
      <c r="N906" s="7">
        <f>(K907-K905)</f>
      </c>
      <c r="O906" s="7">
        <f>+(L907-L905)</f>
      </c>
      <c r="P906" s="7">
        <f>SQRT(O906^2+N906^2)</f>
      </c>
      <c r="Q906" s="7">
        <f>N906/$P906</f>
      </c>
      <c r="R906" s="7">
        <f>O906/$P906</f>
      </c>
      <c r="S906" s="7">
        <f>Q906^2+R906^2</f>
      </c>
      <c r="T906" s="7">
        <f>-R906</f>
      </c>
      <c r="U906" s="7">
        <f>Q906</f>
      </c>
      <c r="V906" s="7">
        <f>($C$14+($C$15-$C$14)/($D$15-$D$14)*(I906-$D$14))/2</f>
      </c>
      <c r="W906" s="7">
        <f>($B$22*I906^4+$C$22*I906^3+$D$22*I906^2+$E$22*I906+$F$22)/2</f>
      </c>
      <c r="X906" s="7">
        <f>($W906)*(T906)</f>
      </c>
      <c r="Y906" s="7">
        <f>($W906)*(U906)</f>
      </c>
      <c r="Z906" s="7">
        <f>SQRT(X906^2+Y906^2)</f>
      </c>
      <c r="AA906" s="7">
        <f>$K906+$X906</f>
      </c>
      <c r="AB906" s="7">
        <f>$L906+$Y906</f>
      </c>
      <c r="AC906" s="7">
        <f>$K906-$X906</f>
      </c>
      <c r="AD906" s="7">
        <f>$L906-$Y906</f>
      </c>
      <c r="AE906" s="7">
        <f>AA906/39.3701</f>
      </c>
      <c r="AF906" s="7">
        <f>AB906/39.3701</f>
      </c>
      <c r="AG906" s="7">
        <f>AC906/39.3701</f>
      </c>
      <c r="AH906" s="7">
        <f>AD906/39.3701</f>
      </c>
      <c r="AI906" s="1"/>
      <c r="AJ906" s="1"/>
      <c r="AK906" s="1"/>
      <c r="AL906" s="1"/>
      <c r="AM906" s="2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</row>
    <row x14ac:dyDescent="0.25" r="907" customHeight="1" ht="18.75">
      <c r="A907" s="1"/>
      <c r="B907" s="2"/>
      <c r="C907" s="2"/>
      <c r="D907" s="2"/>
      <c r="E907" s="2"/>
      <c r="F907" s="2"/>
      <c r="G907" s="1"/>
      <c r="H907" s="1"/>
      <c r="I907" s="7">
        <v>0.904</v>
      </c>
      <c r="J907" s="7">
        <f>IF((I907-ROUNDDOWN(I907,0))=0, 0, (I907-ROUNDDOWN(I907,0)))</f>
      </c>
      <c r="K907" s="7">
        <f>INDIRECT("C$"&amp;2+MIN(2,ROUNDDOWN(I907,0))*3)*(-$J907^3+3*$J907^2-3*$J907+1)+INDIRECT("C$"&amp;3+MIN(2,ROUNDDOWN(I907,0))*3)*(3*$J907^3-6*$J907^2+3*$J907)+INDIRECT("C$"&amp;4+MIN(2,ROUNDDOWN(I907,0))*3)*(-3*$J907^3+3*$J907^2)+INDIRECT("C$"&amp;5+MIN(2,ROUNDDOWN(I907,0))*3)*$J907^3</f>
      </c>
      <c r="L907" s="7">
        <f>INDIRECT("D$"&amp;2+MIN(2,ROUNDDOWN(I907,0))*3)*(-$J907^3+3*$J907^2-3*$J907+1)+INDIRECT("D$"&amp;3+MIN(2,ROUNDDOWN(I907,0))*3)*(3*$J907^3-6*$J907^2+3*$J907)+INDIRECT("D$"&amp;4+MIN(2,ROUNDDOWN(I907,0))*3)*(-3*$J907^3+3*$J907^2)+INDIRECT("D$"&amp;5+MIN(2,ROUNDDOWN(I907,0))*3)*$J907^3</f>
      </c>
      <c r="M907" s="7">
        <f>SQRT(K907^2+L907^2)</f>
      </c>
      <c r="N907" s="7">
        <f>(K908-K906)</f>
      </c>
      <c r="O907" s="7">
        <f>+(L908-L906)</f>
      </c>
      <c r="P907" s="7">
        <f>SQRT(O907^2+N907^2)</f>
      </c>
      <c r="Q907" s="7">
        <f>N907/$P907</f>
      </c>
      <c r="R907" s="7">
        <f>O907/$P907</f>
      </c>
      <c r="S907" s="7">
        <f>Q907^2+R907^2</f>
      </c>
      <c r="T907" s="7">
        <f>-R907</f>
      </c>
      <c r="U907" s="7">
        <f>Q907</f>
      </c>
      <c r="V907" s="7">
        <f>($C$14+($C$15-$C$14)/($D$15-$D$14)*(I907-$D$14))/2</f>
      </c>
      <c r="W907" s="7">
        <f>($B$22*I907^4+$C$22*I907^3+$D$22*I907^2+$E$22*I907+$F$22)/2</f>
      </c>
      <c r="X907" s="7">
        <f>($W907)*(T907)</f>
      </c>
      <c r="Y907" s="7">
        <f>($W907)*(U907)</f>
      </c>
      <c r="Z907" s="7">
        <f>SQRT(X907^2+Y907^2)</f>
      </c>
      <c r="AA907" s="7">
        <f>$K907+$X907</f>
      </c>
      <c r="AB907" s="7">
        <f>$L907+$Y907</f>
      </c>
      <c r="AC907" s="7">
        <f>$K907-$X907</f>
      </c>
      <c r="AD907" s="7">
        <f>$L907-$Y907</f>
      </c>
      <c r="AE907" s="7">
        <f>AA907/39.3701</f>
      </c>
      <c r="AF907" s="7">
        <f>AB907/39.3701</f>
      </c>
      <c r="AG907" s="7">
        <f>AC907/39.3701</f>
      </c>
      <c r="AH907" s="7">
        <f>AD907/39.3701</f>
      </c>
      <c r="AI907" s="1"/>
      <c r="AJ907" s="1"/>
      <c r="AK907" s="1"/>
      <c r="AL907" s="1"/>
      <c r="AM907" s="2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</row>
    <row x14ac:dyDescent="0.25" r="908" customHeight="1" ht="18.75">
      <c r="A908" s="1"/>
      <c r="B908" s="2"/>
      <c r="C908" s="2"/>
      <c r="D908" s="2"/>
      <c r="E908" s="2"/>
      <c r="F908" s="2"/>
      <c r="G908" s="1"/>
      <c r="H908" s="1"/>
      <c r="I908" s="7">
        <v>0.905</v>
      </c>
      <c r="J908" s="7">
        <f>IF((I908-ROUNDDOWN(I908,0))=0, 0, (I908-ROUNDDOWN(I908,0)))</f>
      </c>
      <c r="K908" s="7">
        <f>INDIRECT("C$"&amp;2+MIN(2,ROUNDDOWN(I908,0))*3)*(-$J908^3+3*$J908^2-3*$J908+1)+INDIRECT("C$"&amp;3+MIN(2,ROUNDDOWN(I908,0))*3)*(3*$J908^3-6*$J908^2+3*$J908)+INDIRECT("C$"&amp;4+MIN(2,ROUNDDOWN(I908,0))*3)*(-3*$J908^3+3*$J908^2)+INDIRECT("C$"&amp;5+MIN(2,ROUNDDOWN(I908,0))*3)*$J908^3</f>
      </c>
      <c r="L908" s="7">
        <f>INDIRECT("D$"&amp;2+MIN(2,ROUNDDOWN(I908,0))*3)*(-$J908^3+3*$J908^2-3*$J908+1)+INDIRECT("D$"&amp;3+MIN(2,ROUNDDOWN(I908,0))*3)*(3*$J908^3-6*$J908^2+3*$J908)+INDIRECT("D$"&amp;4+MIN(2,ROUNDDOWN(I908,0))*3)*(-3*$J908^3+3*$J908^2)+INDIRECT("D$"&amp;5+MIN(2,ROUNDDOWN(I908,0))*3)*$J908^3</f>
      </c>
      <c r="M908" s="7">
        <f>SQRT(K908^2+L908^2)</f>
      </c>
      <c r="N908" s="7">
        <f>(K909-K907)</f>
      </c>
      <c r="O908" s="7">
        <f>+(L909-L907)</f>
      </c>
      <c r="P908" s="7">
        <f>SQRT(O908^2+N908^2)</f>
      </c>
      <c r="Q908" s="7">
        <f>N908/$P908</f>
      </c>
      <c r="R908" s="7">
        <f>O908/$P908</f>
      </c>
      <c r="S908" s="8">
        <f>Q908^2+R908^2</f>
      </c>
      <c r="T908" s="7">
        <f>-R908</f>
      </c>
      <c r="U908" s="7">
        <f>Q908</f>
      </c>
      <c r="V908" s="7">
        <f>($C$14+($C$15-$C$14)/($D$15-$D$14)*(I908-$D$14))/2</f>
      </c>
      <c r="W908" s="7">
        <f>($B$22*I908^4+$C$22*I908^3+$D$22*I908^2+$E$22*I908+$F$22)/2</f>
      </c>
      <c r="X908" s="7">
        <f>($W908)*(T908)</f>
      </c>
      <c r="Y908" s="7">
        <f>($W908)*(U908)</f>
      </c>
      <c r="Z908" s="7">
        <f>SQRT(X908^2+Y908^2)</f>
      </c>
      <c r="AA908" s="7">
        <f>$K908+$X908</f>
      </c>
      <c r="AB908" s="7">
        <f>$L908+$Y908</f>
      </c>
      <c r="AC908" s="7">
        <f>$K908-$X908</f>
      </c>
      <c r="AD908" s="7">
        <f>$L908-$Y908</f>
      </c>
      <c r="AE908" s="7">
        <f>AA908/39.3701</f>
      </c>
      <c r="AF908" s="7">
        <f>AB908/39.3701</f>
      </c>
      <c r="AG908" s="7">
        <f>AC908/39.3701</f>
      </c>
      <c r="AH908" s="7">
        <f>AD908/39.3701</f>
      </c>
      <c r="AI908" s="1"/>
      <c r="AJ908" s="1"/>
      <c r="AK908" s="1"/>
      <c r="AL908" s="1"/>
      <c r="AM908" s="2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</row>
    <row x14ac:dyDescent="0.25" r="909" customHeight="1" ht="18.75">
      <c r="A909" s="1"/>
      <c r="B909" s="2"/>
      <c r="C909" s="2"/>
      <c r="D909" s="2"/>
      <c r="E909" s="2"/>
      <c r="F909" s="2"/>
      <c r="G909" s="1"/>
      <c r="H909" s="1"/>
      <c r="I909" s="7">
        <v>0.906</v>
      </c>
      <c r="J909" s="7">
        <f>IF((I909-ROUNDDOWN(I909,0))=0, 0, (I909-ROUNDDOWN(I909,0)))</f>
      </c>
      <c r="K909" s="7">
        <f>INDIRECT("C$"&amp;2+MIN(2,ROUNDDOWN(I909,0))*3)*(-$J909^3+3*$J909^2-3*$J909+1)+INDIRECT("C$"&amp;3+MIN(2,ROUNDDOWN(I909,0))*3)*(3*$J909^3-6*$J909^2+3*$J909)+INDIRECT("C$"&amp;4+MIN(2,ROUNDDOWN(I909,0))*3)*(-3*$J909^3+3*$J909^2)+INDIRECT("C$"&amp;5+MIN(2,ROUNDDOWN(I909,0))*3)*$J909^3</f>
      </c>
      <c r="L909" s="7">
        <f>INDIRECT("D$"&amp;2+MIN(2,ROUNDDOWN(I909,0))*3)*(-$J909^3+3*$J909^2-3*$J909+1)+INDIRECT("D$"&amp;3+MIN(2,ROUNDDOWN(I909,0))*3)*(3*$J909^3-6*$J909^2+3*$J909)+INDIRECT("D$"&amp;4+MIN(2,ROUNDDOWN(I909,0))*3)*(-3*$J909^3+3*$J909^2)+INDIRECT("D$"&amp;5+MIN(2,ROUNDDOWN(I909,0))*3)*$J909^3</f>
      </c>
      <c r="M909" s="7">
        <f>SQRT(K909^2+L909^2)</f>
      </c>
      <c r="N909" s="7">
        <f>(K910-K908)</f>
      </c>
      <c r="O909" s="7">
        <f>+(L910-L908)</f>
      </c>
      <c r="P909" s="7">
        <f>SQRT(O909^2+N909^2)</f>
      </c>
      <c r="Q909" s="7">
        <f>N909/$P909</f>
      </c>
      <c r="R909" s="7">
        <f>O909/$P909</f>
      </c>
      <c r="S909" s="8">
        <f>Q909^2+R909^2</f>
      </c>
      <c r="T909" s="7">
        <f>-R909</f>
      </c>
      <c r="U909" s="7">
        <f>Q909</f>
      </c>
      <c r="V909" s="7">
        <f>($C$14+($C$15-$C$14)/($D$15-$D$14)*(I909-$D$14))/2</f>
      </c>
      <c r="W909" s="7">
        <f>($B$22*I909^4+$C$22*I909^3+$D$22*I909^2+$E$22*I909+$F$22)/2</f>
      </c>
      <c r="X909" s="7">
        <f>($W909)*(T909)</f>
      </c>
      <c r="Y909" s="7">
        <f>($W909)*(U909)</f>
      </c>
      <c r="Z909" s="7">
        <f>SQRT(X909^2+Y909^2)</f>
      </c>
      <c r="AA909" s="7">
        <f>$K909+$X909</f>
      </c>
      <c r="AB909" s="7">
        <f>$L909+$Y909</f>
      </c>
      <c r="AC909" s="7">
        <f>$K909-$X909</f>
      </c>
      <c r="AD909" s="7">
        <f>$L909-$Y909</f>
      </c>
      <c r="AE909" s="7">
        <f>AA909/39.3701</f>
      </c>
      <c r="AF909" s="7">
        <f>AB909/39.3701</f>
      </c>
      <c r="AG909" s="7">
        <f>AC909/39.3701</f>
      </c>
      <c r="AH909" s="7">
        <f>AD909/39.3701</f>
      </c>
      <c r="AI909" s="1"/>
      <c r="AJ909" s="1"/>
      <c r="AK909" s="1"/>
      <c r="AL909" s="1"/>
      <c r="AM909" s="2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</row>
    <row x14ac:dyDescent="0.25" r="910" customHeight="1" ht="18.75">
      <c r="A910" s="1"/>
      <c r="B910" s="2"/>
      <c r="C910" s="2"/>
      <c r="D910" s="2"/>
      <c r="E910" s="2"/>
      <c r="F910" s="2"/>
      <c r="G910" s="1"/>
      <c r="H910" s="1"/>
      <c r="I910" s="7">
        <v>0.907</v>
      </c>
      <c r="J910" s="7">
        <f>IF((I910-ROUNDDOWN(I910,0))=0, 0, (I910-ROUNDDOWN(I910,0)))</f>
      </c>
      <c r="K910" s="7">
        <f>INDIRECT("C$"&amp;2+MIN(2,ROUNDDOWN(I910,0))*3)*(-$J910^3+3*$J910^2-3*$J910+1)+INDIRECT("C$"&amp;3+MIN(2,ROUNDDOWN(I910,0))*3)*(3*$J910^3-6*$J910^2+3*$J910)+INDIRECT("C$"&amp;4+MIN(2,ROUNDDOWN(I910,0))*3)*(-3*$J910^3+3*$J910^2)+INDIRECT("C$"&amp;5+MIN(2,ROUNDDOWN(I910,0))*3)*$J910^3</f>
      </c>
      <c r="L910" s="7">
        <f>INDIRECT("D$"&amp;2+MIN(2,ROUNDDOWN(I910,0))*3)*(-$J910^3+3*$J910^2-3*$J910+1)+INDIRECT("D$"&amp;3+MIN(2,ROUNDDOWN(I910,0))*3)*(3*$J910^3-6*$J910^2+3*$J910)+INDIRECT("D$"&amp;4+MIN(2,ROUNDDOWN(I910,0))*3)*(-3*$J910^3+3*$J910^2)+INDIRECT("D$"&amp;5+MIN(2,ROUNDDOWN(I910,0))*3)*$J910^3</f>
      </c>
      <c r="M910" s="7">
        <f>SQRT(K910^2+L910^2)</f>
      </c>
      <c r="N910" s="7">
        <f>(K911-K909)</f>
      </c>
      <c r="O910" s="7">
        <f>+(L911-L909)</f>
      </c>
      <c r="P910" s="7">
        <f>SQRT(O910^2+N910^2)</f>
      </c>
      <c r="Q910" s="7">
        <f>N910/$P910</f>
      </c>
      <c r="R910" s="7">
        <f>O910/$P910</f>
      </c>
      <c r="S910" s="8">
        <f>Q910^2+R910^2</f>
      </c>
      <c r="T910" s="7">
        <f>-R910</f>
      </c>
      <c r="U910" s="7">
        <f>Q910</f>
      </c>
      <c r="V910" s="7">
        <f>($C$14+($C$15-$C$14)/($D$15-$D$14)*(I910-$D$14))/2</f>
      </c>
      <c r="W910" s="7">
        <f>($B$22*I910^4+$C$22*I910^3+$D$22*I910^2+$E$22*I910+$F$22)/2</f>
      </c>
      <c r="X910" s="7">
        <f>($W910)*(T910)</f>
      </c>
      <c r="Y910" s="7">
        <f>($W910)*(U910)</f>
      </c>
      <c r="Z910" s="7">
        <f>SQRT(X910^2+Y910^2)</f>
      </c>
      <c r="AA910" s="7">
        <f>$K910+$X910</f>
      </c>
      <c r="AB910" s="7">
        <f>$L910+$Y910</f>
      </c>
      <c r="AC910" s="7">
        <f>$K910-$X910</f>
      </c>
      <c r="AD910" s="7">
        <f>$L910-$Y910</f>
      </c>
      <c r="AE910" s="7">
        <f>AA910/39.3701</f>
      </c>
      <c r="AF910" s="7">
        <f>AB910/39.3701</f>
      </c>
      <c r="AG910" s="7">
        <f>AC910/39.3701</f>
      </c>
      <c r="AH910" s="7">
        <f>AD910/39.3701</f>
      </c>
      <c r="AI910" s="1"/>
      <c r="AJ910" s="1"/>
      <c r="AK910" s="1"/>
      <c r="AL910" s="1"/>
      <c r="AM910" s="2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</row>
    <row x14ac:dyDescent="0.25" r="911" customHeight="1" ht="18.75">
      <c r="A911" s="1"/>
      <c r="B911" s="2"/>
      <c r="C911" s="2"/>
      <c r="D911" s="2"/>
      <c r="E911" s="2"/>
      <c r="F911" s="2"/>
      <c r="G911" s="1"/>
      <c r="H911" s="1"/>
      <c r="I911" s="7">
        <v>0.908</v>
      </c>
      <c r="J911" s="7">
        <f>IF((I911-ROUNDDOWN(I911,0))=0, 0, (I911-ROUNDDOWN(I911,0)))</f>
      </c>
      <c r="K911" s="7">
        <f>INDIRECT("C$"&amp;2+MIN(2,ROUNDDOWN(I911,0))*3)*(-$J911^3+3*$J911^2-3*$J911+1)+INDIRECT("C$"&amp;3+MIN(2,ROUNDDOWN(I911,0))*3)*(3*$J911^3-6*$J911^2+3*$J911)+INDIRECT("C$"&amp;4+MIN(2,ROUNDDOWN(I911,0))*3)*(-3*$J911^3+3*$J911^2)+INDIRECT("C$"&amp;5+MIN(2,ROUNDDOWN(I911,0))*3)*$J911^3</f>
      </c>
      <c r="L911" s="7">
        <f>INDIRECT("D$"&amp;2+MIN(2,ROUNDDOWN(I911,0))*3)*(-$J911^3+3*$J911^2-3*$J911+1)+INDIRECT("D$"&amp;3+MIN(2,ROUNDDOWN(I911,0))*3)*(3*$J911^3-6*$J911^2+3*$J911)+INDIRECT("D$"&amp;4+MIN(2,ROUNDDOWN(I911,0))*3)*(-3*$J911^3+3*$J911^2)+INDIRECT("D$"&amp;5+MIN(2,ROUNDDOWN(I911,0))*3)*$J911^3</f>
      </c>
      <c r="M911" s="7">
        <f>SQRT(K911^2+L911^2)</f>
      </c>
      <c r="N911" s="7">
        <f>(K912-K910)</f>
      </c>
      <c r="O911" s="7">
        <f>+(L912-L910)</f>
      </c>
      <c r="P911" s="7">
        <f>SQRT(O911^2+N911^2)</f>
      </c>
      <c r="Q911" s="7">
        <f>N911/$P911</f>
      </c>
      <c r="R911" s="7">
        <f>O911/$P911</f>
      </c>
      <c r="S911" s="8">
        <f>Q911^2+R911^2</f>
      </c>
      <c r="T911" s="7">
        <f>-R911</f>
      </c>
      <c r="U911" s="7">
        <f>Q911</f>
      </c>
      <c r="V911" s="7">
        <f>($C$14+($C$15-$C$14)/($D$15-$D$14)*(I911-$D$14))/2</f>
      </c>
      <c r="W911" s="7">
        <f>($B$22*I911^4+$C$22*I911^3+$D$22*I911^2+$E$22*I911+$F$22)/2</f>
      </c>
      <c r="X911" s="7">
        <f>($W911)*(T911)</f>
      </c>
      <c r="Y911" s="7">
        <f>($W911)*(U911)</f>
      </c>
      <c r="Z911" s="7">
        <f>SQRT(X911^2+Y911^2)</f>
      </c>
      <c r="AA911" s="7">
        <f>$K911+$X911</f>
      </c>
      <c r="AB911" s="7">
        <f>$L911+$Y911</f>
      </c>
      <c r="AC911" s="7">
        <f>$K911-$X911</f>
      </c>
      <c r="AD911" s="7">
        <f>$L911-$Y911</f>
      </c>
      <c r="AE911" s="7">
        <f>AA911/39.3701</f>
      </c>
      <c r="AF911" s="7">
        <f>AB911/39.3701</f>
      </c>
      <c r="AG911" s="7">
        <f>AC911/39.3701</f>
      </c>
      <c r="AH911" s="7">
        <f>AD911/39.3701</f>
      </c>
      <c r="AI911" s="1"/>
      <c r="AJ911" s="1"/>
      <c r="AK911" s="1"/>
      <c r="AL911" s="1"/>
      <c r="AM911" s="2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</row>
    <row x14ac:dyDescent="0.25" r="912" customHeight="1" ht="18.75">
      <c r="A912" s="1"/>
      <c r="B912" s="2"/>
      <c r="C912" s="2"/>
      <c r="D912" s="2"/>
      <c r="E912" s="2"/>
      <c r="F912" s="2"/>
      <c r="G912" s="1"/>
      <c r="H912" s="1"/>
      <c r="I912" s="7">
        <v>0.909</v>
      </c>
      <c r="J912" s="7">
        <f>IF((I912-ROUNDDOWN(I912,0))=0, 0, (I912-ROUNDDOWN(I912,0)))</f>
      </c>
      <c r="K912" s="7">
        <f>INDIRECT("C$"&amp;2+MIN(2,ROUNDDOWN(I912,0))*3)*(-$J912^3+3*$J912^2-3*$J912+1)+INDIRECT("C$"&amp;3+MIN(2,ROUNDDOWN(I912,0))*3)*(3*$J912^3-6*$J912^2+3*$J912)+INDIRECT("C$"&amp;4+MIN(2,ROUNDDOWN(I912,0))*3)*(-3*$J912^3+3*$J912^2)+INDIRECT("C$"&amp;5+MIN(2,ROUNDDOWN(I912,0))*3)*$J912^3</f>
      </c>
      <c r="L912" s="7">
        <f>INDIRECT("D$"&amp;2+MIN(2,ROUNDDOWN(I912,0))*3)*(-$J912^3+3*$J912^2-3*$J912+1)+INDIRECT("D$"&amp;3+MIN(2,ROUNDDOWN(I912,0))*3)*(3*$J912^3-6*$J912^2+3*$J912)+INDIRECT("D$"&amp;4+MIN(2,ROUNDDOWN(I912,0))*3)*(-3*$J912^3+3*$J912^2)+INDIRECT("D$"&amp;5+MIN(2,ROUNDDOWN(I912,0))*3)*$J912^3</f>
      </c>
      <c r="M912" s="7">
        <f>SQRT(K912^2+L912^2)</f>
      </c>
      <c r="N912" s="7">
        <f>(K913-K911)</f>
      </c>
      <c r="O912" s="7">
        <f>+(L913-L911)</f>
      </c>
      <c r="P912" s="7">
        <f>SQRT(O912^2+N912^2)</f>
      </c>
      <c r="Q912" s="7">
        <f>N912/$P912</f>
      </c>
      <c r="R912" s="7">
        <f>O912/$P912</f>
      </c>
      <c r="S912" s="8">
        <f>Q912^2+R912^2</f>
      </c>
      <c r="T912" s="7">
        <f>-R912</f>
      </c>
      <c r="U912" s="7">
        <f>Q912</f>
      </c>
      <c r="V912" s="7">
        <f>($C$14+($C$15-$C$14)/($D$15-$D$14)*(I912-$D$14))/2</f>
      </c>
      <c r="W912" s="7">
        <f>($B$22*I912^4+$C$22*I912^3+$D$22*I912^2+$E$22*I912+$F$22)/2</f>
      </c>
      <c r="X912" s="7">
        <f>($W912)*(T912)</f>
      </c>
      <c r="Y912" s="7">
        <f>($W912)*(U912)</f>
      </c>
      <c r="Z912" s="7">
        <f>SQRT(X912^2+Y912^2)</f>
      </c>
      <c r="AA912" s="7">
        <f>$K912+$X912</f>
      </c>
      <c r="AB912" s="7">
        <f>$L912+$Y912</f>
      </c>
      <c r="AC912" s="7">
        <f>$K912-$X912</f>
      </c>
      <c r="AD912" s="7">
        <f>$L912-$Y912</f>
      </c>
      <c r="AE912" s="7">
        <f>AA912/39.3701</f>
      </c>
      <c r="AF912" s="7">
        <f>AB912/39.3701</f>
      </c>
      <c r="AG912" s="7">
        <f>AC912/39.3701</f>
      </c>
      <c r="AH912" s="7">
        <f>AD912/39.3701</f>
      </c>
      <c r="AI912" s="1"/>
      <c r="AJ912" s="1"/>
      <c r="AK912" s="1"/>
      <c r="AL912" s="1"/>
      <c r="AM912" s="2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</row>
    <row x14ac:dyDescent="0.25" r="913" customHeight="1" ht="18.75">
      <c r="A913" s="1"/>
      <c r="B913" s="2"/>
      <c r="C913" s="2"/>
      <c r="D913" s="2"/>
      <c r="E913" s="2"/>
      <c r="F913" s="2"/>
      <c r="G913" s="1"/>
      <c r="H913" s="1"/>
      <c r="I913" s="7">
        <v>0.91</v>
      </c>
      <c r="J913" s="7">
        <f>IF((I913-ROUNDDOWN(I913,0))=0, 0, (I913-ROUNDDOWN(I913,0)))</f>
      </c>
      <c r="K913" s="7">
        <f>INDIRECT("C$"&amp;2+MIN(2,ROUNDDOWN(I913,0))*3)*(-$J913^3+3*$J913^2-3*$J913+1)+INDIRECT("C$"&amp;3+MIN(2,ROUNDDOWN(I913,0))*3)*(3*$J913^3-6*$J913^2+3*$J913)+INDIRECT("C$"&amp;4+MIN(2,ROUNDDOWN(I913,0))*3)*(-3*$J913^3+3*$J913^2)+INDIRECT("C$"&amp;5+MIN(2,ROUNDDOWN(I913,0))*3)*$J913^3</f>
      </c>
      <c r="L913" s="7">
        <f>INDIRECT("D$"&amp;2+MIN(2,ROUNDDOWN(I913,0))*3)*(-$J913^3+3*$J913^2-3*$J913+1)+INDIRECT("D$"&amp;3+MIN(2,ROUNDDOWN(I913,0))*3)*(3*$J913^3-6*$J913^2+3*$J913)+INDIRECT("D$"&amp;4+MIN(2,ROUNDDOWN(I913,0))*3)*(-3*$J913^3+3*$J913^2)+INDIRECT("D$"&amp;5+MIN(2,ROUNDDOWN(I913,0))*3)*$J913^3</f>
      </c>
      <c r="M913" s="7">
        <f>SQRT(K913^2+L913^2)</f>
      </c>
      <c r="N913" s="7">
        <f>(K914-K912)</f>
      </c>
      <c r="O913" s="7">
        <f>+(L914-L912)</f>
      </c>
      <c r="P913" s="7">
        <f>SQRT(O913^2+N913^2)</f>
      </c>
      <c r="Q913" s="7">
        <f>N913/$P913</f>
      </c>
      <c r="R913" s="7">
        <f>O913/$P913</f>
      </c>
      <c r="S913" s="7">
        <f>Q913^2+R913^2</f>
      </c>
      <c r="T913" s="7">
        <f>-R913</f>
      </c>
      <c r="U913" s="7">
        <f>Q913</f>
      </c>
      <c r="V913" s="7">
        <f>($C$14+($C$15-$C$14)/($D$15-$D$14)*(I913-$D$14))/2</f>
      </c>
      <c r="W913" s="7">
        <f>($B$22*I913^4+$C$22*I913^3+$D$22*I913^2+$E$22*I913+$F$22)/2</f>
      </c>
      <c r="X913" s="7">
        <f>($W913)*(T913)</f>
      </c>
      <c r="Y913" s="7">
        <f>($W913)*(U913)</f>
      </c>
      <c r="Z913" s="7">
        <f>SQRT(X913^2+Y913^2)</f>
      </c>
      <c r="AA913" s="7">
        <f>$K913+$X913</f>
      </c>
      <c r="AB913" s="7">
        <f>$L913+$Y913</f>
      </c>
      <c r="AC913" s="7">
        <f>$K913-$X913</f>
      </c>
      <c r="AD913" s="7">
        <f>$L913-$Y913</f>
      </c>
      <c r="AE913" s="7">
        <f>AA913/39.3701</f>
      </c>
      <c r="AF913" s="7">
        <f>AB913/39.3701</f>
      </c>
      <c r="AG913" s="7">
        <f>AC913/39.3701</f>
      </c>
      <c r="AH913" s="7">
        <f>AD913/39.3701</f>
      </c>
      <c r="AI913" s="1"/>
      <c r="AJ913" s="1"/>
      <c r="AK913" s="1"/>
      <c r="AL913" s="1"/>
      <c r="AM913" s="2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</row>
    <row x14ac:dyDescent="0.25" r="914" customHeight="1" ht="18.75">
      <c r="A914" s="1"/>
      <c r="B914" s="2"/>
      <c r="C914" s="2"/>
      <c r="D914" s="2"/>
      <c r="E914" s="2"/>
      <c r="F914" s="2"/>
      <c r="G914" s="1"/>
      <c r="H914" s="1"/>
      <c r="I914" s="7">
        <v>0.911</v>
      </c>
      <c r="J914" s="7">
        <f>IF((I914-ROUNDDOWN(I914,0))=0, 0, (I914-ROUNDDOWN(I914,0)))</f>
      </c>
      <c r="K914" s="7">
        <f>INDIRECT("C$"&amp;2+MIN(2,ROUNDDOWN(I914,0))*3)*(-$J914^3+3*$J914^2-3*$J914+1)+INDIRECT("C$"&amp;3+MIN(2,ROUNDDOWN(I914,0))*3)*(3*$J914^3-6*$J914^2+3*$J914)+INDIRECT("C$"&amp;4+MIN(2,ROUNDDOWN(I914,0))*3)*(-3*$J914^3+3*$J914^2)+INDIRECT("C$"&amp;5+MIN(2,ROUNDDOWN(I914,0))*3)*$J914^3</f>
      </c>
      <c r="L914" s="7">
        <f>INDIRECT("D$"&amp;2+MIN(2,ROUNDDOWN(I914,0))*3)*(-$J914^3+3*$J914^2-3*$J914+1)+INDIRECT("D$"&amp;3+MIN(2,ROUNDDOWN(I914,0))*3)*(3*$J914^3-6*$J914^2+3*$J914)+INDIRECT("D$"&amp;4+MIN(2,ROUNDDOWN(I914,0))*3)*(-3*$J914^3+3*$J914^2)+INDIRECT("D$"&amp;5+MIN(2,ROUNDDOWN(I914,0))*3)*$J914^3</f>
      </c>
      <c r="M914" s="7">
        <f>SQRT(K914^2+L914^2)</f>
      </c>
      <c r="N914" s="7">
        <f>(K915-K913)</f>
      </c>
      <c r="O914" s="7">
        <f>+(L915-L913)</f>
      </c>
      <c r="P914" s="7">
        <f>SQRT(O914^2+N914^2)</f>
      </c>
      <c r="Q914" s="7">
        <f>N914/$P914</f>
      </c>
      <c r="R914" s="7">
        <f>O914/$P914</f>
      </c>
      <c r="S914" s="8">
        <f>Q914^2+R914^2</f>
      </c>
      <c r="T914" s="7">
        <f>-R914</f>
      </c>
      <c r="U914" s="7">
        <f>Q914</f>
      </c>
      <c r="V914" s="7">
        <f>($C$14+($C$15-$C$14)/($D$15-$D$14)*(I914-$D$14))/2</f>
      </c>
      <c r="W914" s="7">
        <f>($B$22*I914^4+$C$22*I914^3+$D$22*I914^2+$E$22*I914+$F$22)/2</f>
      </c>
      <c r="X914" s="7">
        <f>($W914)*(T914)</f>
      </c>
      <c r="Y914" s="7">
        <f>($W914)*(U914)</f>
      </c>
      <c r="Z914" s="7">
        <f>SQRT(X914^2+Y914^2)</f>
      </c>
      <c r="AA914" s="7">
        <f>$K914+$X914</f>
      </c>
      <c r="AB914" s="7">
        <f>$L914+$Y914</f>
      </c>
      <c r="AC914" s="7">
        <f>$K914-$X914</f>
      </c>
      <c r="AD914" s="7">
        <f>$L914-$Y914</f>
      </c>
      <c r="AE914" s="7">
        <f>AA914/39.3701</f>
      </c>
      <c r="AF914" s="7">
        <f>AB914/39.3701</f>
      </c>
      <c r="AG914" s="7">
        <f>AC914/39.3701</f>
      </c>
      <c r="AH914" s="7">
        <f>AD914/39.3701</f>
      </c>
      <c r="AI914" s="1"/>
      <c r="AJ914" s="1"/>
      <c r="AK914" s="1"/>
      <c r="AL914" s="1"/>
      <c r="AM914" s="2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</row>
    <row x14ac:dyDescent="0.25" r="915" customHeight="1" ht="18.75">
      <c r="A915" s="1"/>
      <c r="B915" s="2"/>
      <c r="C915" s="2"/>
      <c r="D915" s="2"/>
      <c r="E915" s="2"/>
      <c r="F915" s="2"/>
      <c r="G915" s="1"/>
      <c r="H915" s="1"/>
      <c r="I915" s="7">
        <v>0.912</v>
      </c>
      <c r="J915" s="7">
        <f>IF((I915-ROUNDDOWN(I915,0))=0, 0, (I915-ROUNDDOWN(I915,0)))</f>
      </c>
      <c r="K915" s="7">
        <f>INDIRECT("C$"&amp;2+MIN(2,ROUNDDOWN(I915,0))*3)*(-$J915^3+3*$J915^2-3*$J915+1)+INDIRECT("C$"&amp;3+MIN(2,ROUNDDOWN(I915,0))*3)*(3*$J915^3-6*$J915^2+3*$J915)+INDIRECT("C$"&amp;4+MIN(2,ROUNDDOWN(I915,0))*3)*(-3*$J915^3+3*$J915^2)+INDIRECT("C$"&amp;5+MIN(2,ROUNDDOWN(I915,0))*3)*$J915^3</f>
      </c>
      <c r="L915" s="7">
        <f>INDIRECT("D$"&amp;2+MIN(2,ROUNDDOWN(I915,0))*3)*(-$J915^3+3*$J915^2-3*$J915+1)+INDIRECT("D$"&amp;3+MIN(2,ROUNDDOWN(I915,0))*3)*(3*$J915^3-6*$J915^2+3*$J915)+INDIRECT("D$"&amp;4+MIN(2,ROUNDDOWN(I915,0))*3)*(-3*$J915^3+3*$J915^2)+INDIRECT("D$"&amp;5+MIN(2,ROUNDDOWN(I915,0))*3)*$J915^3</f>
      </c>
      <c r="M915" s="7">
        <f>SQRT(K915^2+L915^2)</f>
      </c>
      <c r="N915" s="7">
        <f>(K916-K914)</f>
      </c>
      <c r="O915" s="7">
        <f>+(L916-L914)</f>
      </c>
      <c r="P915" s="7">
        <f>SQRT(O915^2+N915^2)</f>
      </c>
      <c r="Q915" s="7">
        <f>N915/$P915</f>
      </c>
      <c r="R915" s="7">
        <f>O915/$P915</f>
      </c>
      <c r="S915" s="7">
        <f>Q915^2+R915^2</f>
      </c>
      <c r="T915" s="7">
        <f>-R915</f>
      </c>
      <c r="U915" s="7">
        <f>Q915</f>
      </c>
      <c r="V915" s="7">
        <f>($C$14+($C$15-$C$14)/($D$15-$D$14)*(I915-$D$14))/2</f>
      </c>
      <c r="W915" s="7">
        <f>($B$22*I915^4+$C$22*I915^3+$D$22*I915^2+$E$22*I915+$F$22)/2</f>
      </c>
      <c r="X915" s="7">
        <f>($W915)*(T915)</f>
      </c>
      <c r="Y915" s="7">
        <f>($W915)*(U915)</f>
      </c>
      <c r="Z915" s="7">
        <f>SQRT(X915^2+Y915^2)</f>
      </c>
      <c r="AA915" s="7">
        <f>$K915+$X915</f>
      </c>
      <c r="AB915" s="7">
        <f>$L915+$Y915</f>
      </c>
      <c r="AC915" s="7">
        <f>$K915-$X915</f>
      </c>
      <c r="AD915" s="7">
        <f>$L915-$Y915</f>
      </c>
      <c r="AE915" s="7">
        <f>AA915/39.3701</f>
      </c>
      <c r="AF915" s="7">
        <f>AB915/39.3701</f>
      </c>
      <c r="AG915" s="7">
        <f>AC915/39.3701</f>
      </c>
      <c r="AH915" s="7">
        <f>AD915/39.3701</f>
      </c>
      <c r="AI915" s="1"/>
      <c r="AJ915" s="1"/>
      <c r="AK915" s="1"/>
      <c r="AL915" s="1"/>
      <c r="AM915" s="2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</row>
    <row x14ac:dyDescent="0.25" r="916" customHeight="1" ht="18.75">
      <c r="A916" s="1"/>
      <c r="B916" s="2"/>
      <c r="C916" s="2"/>
      <c r="D916" s="2"/>
      <c r="E916" s="2"/>
      <c r="F916" s="2"/>
      <c r="G916" s="1"/>
      <c r="H916" s="1"/>
      <c r="I916" s="7">
        <v>0.913</v>
      </c>
      <c r="J916" s="7">
        <f>IF((I916-ROUNDDOWN(I916,0))=0, 0, (I916-ROUNDDOWN(I916,0)))</f>
      </c>
      <c r="K916" s="7">
        <f>INDIRECT("C$"&amp;2+MIN(2,ROUNDDOWN(I916,0))*3)*(-$J916^3+3*$J916^2-3*$J916+1)+INDIRECT("C$"&amp;3+MIN(2,ROUNDDOWN(I916,0))*3)*(3*$J916^3-6*$J916^2+3*$J916)+INDIRECT("C$"&amp;4+MIN(2,ROUNDDOWN(I916,0))*3)*(-3*$J916^3+3*$J916^2)+INDIRECT("C$"&amp;5+MIN(2,ROUNDDOWN(I916,0))*3)*$J916^3</f>
      </c>
      <c r="L916" s="7">
        <f>INDIRECT("D$"&amp;2+MIN(2,ROUNDDOWN(I916,0))*3)*(-$J916^3+3*$J916^2-3*$J916+1)+INDIRECT("D$"&amp;3+MIN(2,ROUNDDOWN(I916,0))*3)*(3*$J916^3-6*$J916^2+3*$J916)+INDIRECT("D$"&amp;4+MIN(2,ROUNDDOWN(I916,0))*3)*(-3*$J916^3+3*$J916^2)+INDIRECT("D$"&amp;5+MIN(2,ROUNDDOWN(I916,0))*3)*$J916^3</f>
      </c>
      <c r="M916" s="7">
        <f>SQRT(K916^2+L916^2)</f>
      </c>
      <c r="N916" s="7">
        <f>(K917-K915)</f>
      </c>
      <c r="O916" s="7">
        <f>+(L917-L915)</f>
      </c>
      <c r="P916" s="7">
        <f>SQRT(O916^2+N916^2)</f>
      </c>
      <c r="Q916" s="7">
        <f>N916/$P916</f>
      </c>
      <c r="R916" s="7">
        <f>O916/$P916</f>
      </c>
      <c r="S916" s="7">
        <f>Q916^2+R916^2</f>
      </c>
      <c r="T916" s="7">
        <f>-R916</f>
      </c>
      <c r="U916" s="7">
        <f>Q916</f>
      </c>
      <c r="V916" s="7">
        <f>($C$14+($C$15-$C$14)/($D$15-$D$14)*(I916-$D$14))/2</f>
      </c>
      <c r="W916" s="7">
        <f>($B$22*I916^4+$C$22*I916^3+$D$22*I916^2+$E$22*I916+$F$22)/2</f>
      </c>
      <c r="X916" s="7">
        <f>($W916)*(T916)</f>
      </c>
      <c r="Y916" s="7">
        <f>($W916)*(U916)</f>
      </c>
      <c r="Z916" s="7">
        <f>SQRT(X916^2+Y916^2)</f>
      </c>
      <c r="AA916" s="7">
        <f>$K916+$X916</f>
      </c>
      <c r="AB916" s="7">
        <f>$L916+$Y916</f>
      </c>
      <c r="AC916" s="7">
        <f>$K916-$X916</f>
      </c>
      <c r="AD916" s="7">
        <f>$L916-$Y916</f>
      </c>
      <c r="AE916" s="7">
        <f>AA916/39.3701</f>
      </c>
      <c r="AF916" s="7">
        <f>AB916/39.3701</f>
      </c>
      <c r="AG916" s="7">
        <f>AC916/39.3701</f>
      </c>
      <c r="AH916" s="7">
        <f>AD916/39.3701</f>
      </c>
      <c r="AI916" s="1"/>
      <c r="AJ916" s="1"/>
      <c r="AK916" s="1"/>
      <c r="AL916" s="1"/>
      <c r="AM916" s="2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</row>
    <row x14ac:dyDescent="0.25" r="917" customHeight="1" ht="18.75">
      <c r="A917" s="1"/>
      <c r="B917" s="2"/>
      <c r="C917" s="2"/>
      <c r="D917" s="2"/>
      <c r="E917" s="2"/>
      <c r="F917" s="2"/>
      <c r="G917" s="1"/>
      <c r="H917" s="1"/>
      <c r="I917" s="7">
        <v>0.914</v>
      </c>
      <c r="J917" s="7">
        <f>IF((I917-ROUNDDOWN(I917,0))=0, 0, (I917-ROUNDDOWN(I917,0)))</f>
      </c>
      <c r="K917" s="7">
        <f>INDIRECT("C$"&amp;2+MIN(2,ROUNDDOWN(I917,0))*3)*(-$J917^3+3*$J917^2-3*$J917+1)+INDIRECT("C$"&amp;3+MIN(2,ROUNDDOWN(I917,0))*3)*(3*$J917^3-6*$J917^2+3*$J917)+INDIRECT("C$"&amp;4+MIN(2,ROUNDDOWN(I917,0))*3)*(-3*$J917^3+3*$J917^2)+INDIRECT("C$"&amp;5+MIN(2,ROUNDDOWN(I917,0))*3)*$J917^3</f>
      </c>
      <c r="L917" s="7">
        <f>INDIRECT("D$"&amp;2+MIN(2,ROUNDDOWN(I917,0))*3)*(-$J917^3+3*$J917^2-3*$J917+1)+INDIRECT("D$"&amp;3+MIN(2,ROUNDDOWN(I917,0))*3)*(3*$J917^3-6*$J917^2+3*$J917)+INDIRECT("D$"&amp;4+MIN(2,ROUNDDOWN(I917,0))*3)*(-3*$J917^3+3*$J917^2)+INDIRECT("D$"&amp;5+MIN(2,ROUNDDOWN(I917,0))*3)*$J917^3</f>
      </c>
      <c r="M917" s="7">
        <f>SQRT(K917^2+L917^2)</f>
      </c>
      <c r="N917" s="7">
        <f>(K918-K916)</f>
      </c>
      <c r="O917" s="7">
        <f>+(L918-L916)</f>
      </c>
      <c r="P917" s="7">
        <f>SQRT(O917^2+N917^2)</f>
      </c>
      <c r="Q917" s="7">
        <f>N917/$P917</f>
      </c>
      <c r="R917" s="7">
        <f>O917/$P917</f>
      </c>
      <c r="S917" s="8">
        <f>Q917^2+R917^2</f>
      </c>
      <c r="T917" s="7">
        <f>-R917</f>
      </c>
      <c r="U917" s="7">
        <f>Q917</f>
      </c>
      <c r="V917" s="7">
        <f>($C$14+($C$15-$C$14)/($D$15-$D$14)*(I917-$D$14))/2</f>
      </c>
      <c r="W917" s="7">
        <f>($B$22*I917^4+$C$22*I917^3+$D$22*I917^2+$E$22*I917+$F$22)/2</f>
      </c>
      <c r="X917" s="7">
        <f>($W917)*(T917)</f>
      </c>
      <c r="Y917" s="7">
        <f>($W917)*(U917)</f>
      </c>
      <c r="Z917" s="7">
        <f>SQRT(X917^2+Y917^2)</f>
      </c>
      <c r="AA917" s="7">
        <f>$K917+$X917</f>
      </c>
      <c r="AB917" s="7">
        <f>$L917+$Y917</f>
      </c>
      <c r="AC917" s="7">
        <f>$K917-$X917</f>
      </c>
      <c r="AD917" s="7">
        <f>$L917-$Y917</f>
      </c>
      <c r="AE917" s="7">
        <f>AA917/39.3701</f>
      </c>
      <c r="AF917" s="7">
        <f>AB917/39.3701</f>
      </c>
      <c r="AG917" s="7">
        <f>AC917/39.3701</f>
      </c>
      <c r="AH917" s="7">
        <f>AD917/39.3701</f>
      </c>
      <c r="AI917" s="1"/>
      <c r="AJ917" s="1"/>
      <c r="AK917" s="1"/>
      <c r="AL917" s="1"/>
      <c r="AM917" s="2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</row>
    <row x14ac:dyDescent="0.25" r="918" customHeight="1" ht="18.75">
      <c r="A918" s="1"/>
      <c r="B918" s="2"/>
      <c r="C918" s="2"/>
      <c r="D918" s="2"/>
      <c r="E918" s="2"/>
      <c r="F918" s="2"/>
      <c r="G918" s="1"/>
      <c r="H918" s="1"/>
      <c r="I918" s="7">
        <v>0.915</v>
      </c>
      <c r="J918" s="7">
        <f>IF((I918-ROUNDDOWN(I918,0))=0, 0, (I918-ROUNDDOWN(I918,0)))</f>
      </c>
      <c r="K918" s="7">
        <f>INDIRECT("C$"&amp;2+MIN(2,ROUNDDOWN(I918,0))*3)*(-$J918^3+3*$J918^2-3*$J918+1)+INDIRECT("C$"&amp;3+MIN(2,ROUNDDOWN(I918,0))*3)*(3*$J918^3-6*$J918^2+3*$J918)+INDIRECT("C$"&amp;4+MIN(2,ROUNDDOWN(I918,0))*3)*(-3*$J918^3+3*$J918^2)+INDIRECT("C$"&amp;5+MIN(2,ROUNDDOWN(I918,0))*3)*$J918^3</f>
      </c>
      <c r="L918" s="7">
        <f>INDIRECT("D$"&amp;2+MIN(2,ROUNDDOWN(I918,0))*3)*(-$J918^3+3*$J918^2-3*$J918+1)+INDIRECT("D$"&amp;3+MIN(2,ROUNDDOWN(I918,0))*3)*(3*$J918^3-6*$J918^2+3*$J918)+INDIRECT("D$"&amp;4+MIN(2,ROUNDDOWN(I918,0))*3)*(-3*$J918^3+3*$J918^2)+INDIRECT("D$"&amp;5+MIN(2,ROUNDDOWN(I918,0))*3)*$J918^3</f>
      </c>
      <c r="M918" s="7">
        <f>SQRT(K918^2+L918^2)</f>
      </c>
      <c r="N918" s="7">
        <f>(K919-K917)</f>
      </c>
      <c r="O918" s="7">
        <f>+(L919-L917)</f>
      </c>
      <c r="P918" s="7">
        <f>SQRT(O918^2+N918^2)</f>
      </c>
      <c r="Q918" s="7">
        <f>N918/$P918</f>
      </c>
      <c r="R918" s="7">
        <f>O918/$P918</f>
      </c>
      <c r="S918" s="7">
        <f>Q918^2+R918^2</f>
      </c>
      <c r="T918" s="7">
        <f>-R918</f>
      </c>
      <c r="U918" s="7">
        <f>Q918</f>
      </c>
      <c r="V918" s="7">
        <f>($C$14+($C$15-$C$14)/($D$15-$D$14)*(I918-$D$14))/2</f>
      </c>
      <c r="W918" s="7">
        <f>($B$22*I918^4+$C$22*I918^3+$D$22*I918^2+$E$22*I918+$F$22)/2</f>
      </c>
      <c r="X918" s="7">
        <f>($W918)*(T918)</f>
      </c>
      <c r="Y918" s="7">
        <f>($W918)*(U918)</f>
      </c>
      <c r="Z918" s="7">
        <f>SQRT(X918^2+Y918^2)</f>
      </c>
      <c r="AA918" s="7">
        <f>$K918+$X918</f>
      </c>
      <c r="AB918" s="7">
        <f>$L918+$Y918</f>
      </c>
      <c r="AC918" s="7">
        <f>$K918-$X918</f>
      </c>
      <c r="AD918" s="7">
        <f>$L918-$Y918</f>
      </c>
      <c r="AE918" s="7">
        <f>AA918/39.3701</f>
      </c>
      <c r="AF918" s="7">
        <f>AB918/39.3701</f>
      </c>
      <c r="AG918" s="7">
        <f>AC918/39.3701</f>
      </c>
      <c r="AH918" s="7">
        <f>AD918/39.3701</f>
      </c>
      <c r="AI918" s="1"/>
      <c r="AJ918" s="1"/>
      <c r="AK918" s="1"/>
      <c r="AL918" s="1"/>
      <c r="AM918" s="2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</row>
    <row x14ac:dyDescent="0.25" r="919" customHeight="1" ht="18.75">
      <c r="A919" s="1"/>
      <c r="B919" s="2"/>
      <c r="C919" s="2"/>
      <c r="D919" s="2"/>
      <c r="E919" s="2"/>
      <c r="F919" s="2"/>
      <c r="G919" s="1"/>
      <c r="H919" s="1"/>
      <c r="I919" s="7">
        <v>0.916</v>
      </c>
      <c r="J919" s="7">
        <f>IF((I919-ROUNDDOWN(I919,0))=0, 0, (I919-ROUNDDOWN(I919,0)))</f>
      </c>
      <c r="K919" s="7">
        <f>INDIRECT("C$"&amp;2+MIN(2,ROUNDDOWN(I919,0))*3)*(-$J919^3+3*$J919^2-3*$J919+1)+INDIRECT("C$"&amp;3+MIN(2,ROUNDDOWN(I919,0))*3)*(3*$J919^3-6*$J919^2+3*$J919)+INDIRECT("C$"&amp;4+MIN(2,ROUNDDOWN(I919,0))*3)*(-3*$J919^3+3*$J919^2)+INDIRECT("C$"&amp;5+MIN(2,ROUNDDOWN(I919,0))*3)*$J919^3</f>
      </c>
      <c r="L919" s="7">
        <f>INDIRECT("D$"&amp;2+MIN(2,ROUNDDOWN(I919,0))*3)*(-$J919^3+3*$J919^2-3*$J919+1)+INDIRECT("D$"&amp;3+MIN(2,ROUNDDOWN(I919,0))*3)*(3*$J919^3-6*$J919^2+3*$J919)+INDIRECT("D$"&amp;4+MIN(2,ROUNDDOWN(I919,0))*3)*(-3*$J919^3+3*$J919^2)+INDIRECT("D$"&amp;5+MIN(2,ROUNDDOWN(I919,0))*3)*$J919^3</f>
      </c>
      <c r="M919" s="7">
        <f>SQRT(K919^2+L919^2)</f>
      </c>
      <c r="N919" s="7">
        <f>(K920-K918)</f>
      </c>
      <c r="O919" s="7">
        <f>+(L920-L918)</f>
      </c>
      <c r="P919" s="7">
        <f>SQRT(O919^2+N919^2)</f>
      </c>
      <c r="Q919" s="7">
        <f>N919/$P919</f>
      </c>
      <c r="R919" s="7">
        <f>O919/$P919</f>
      </c>
      <c r="S919" s="8">
        <f>Q919^2+R919^2</f>
      </c>
      <c r="T919" s="7">
        <f>-R919</f>
      </c>
      <c r="U919" s="7">
        <f>Q919</f>
      </c>
      <c r="V919" s="7">
        <f>($C$14+($C$15-$C$14)/($D$15-$D$14)*(I919-$D$14))/2</f>
      </c>
      <c r="W919" s="7">
        <f>($B$22*I919^4+$C$22*I919^3+$D$22*I919^2+$E$22*I919+$F$22)/2</f>
      </c>
      <c r="X919" s="7">
        <f>($W919)*(T919)</f>
      </c>
      <c r="Y919" s="7">
        <f>($W919)*(U919)</f>
      </c>
      <c r="Z919" s="7">
        <f>SQRT(X919^2+Y919^2)</f>
      </c>
      <c r="AA919" s="7">
        <f>$K919+$X919</f>
      </c>
      <c r="AB919" s="7">
        <f>$L919+$Y919</f>
      </c>
      <c r="AC919" s="7">
        <f>$K919-$X919</f>
      </c>
      <c r="AD919" s="7">
        <f>$L919-$Y919</f>
      </c>
      <c r="AE919" s="7">
        <f>AA919/39.3701</f>
      </c>
      <c r="AF919" s="7">
        <f>AB919/39.3701</f>
      </c>
      <c r="AG919" s="7">
        <f>AC919/39.3701</f>
      </c>
      <c r="AH919" s="7">
        <f>AD919/39.3701</f>
      </c>
      <c r="AI919" s="1"/>
      <c r="AJ919" s="1"/>
      <c r="AK919" s="1"/>
      <c r="AL919" s="1"/>
      <c r="AM919" s="2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</row>
    <row x14ac:dyDescent="0.25" r="920" customHeight="1" ht="18.75">
      <c r="A920" s="1"/>
      <c r="B920" s="2"/>
      <c r="C920" s="2"/>
      <c r="D920" s="2"/>
      <c r="E920" s="2"/>
      <c r="F920" s="2"/>
      <c r="G920" s="1"/>
      <c r="H920" s="1"/>
      <c r="I920" s="7">
        <v>0.917</v>
      </c>
      <c r="J920" s="7">
        <f>IF((I920-ROUNDDOWN(I920,0))=0, 0, (I920-ROUNDDOWN(I920,0)))</f>
      </c>
      <c r="K920" s="7">
        <f>INDIRECT("C$"&amp;2+MIN(2,ROUNDDOWN(I920,0))*3)*(-$J920^3+3*$J920^2-3*$J920+1)+INDIRECT("C$"&amp;3+MIN(2,ROUNDDOWN(I920,0))*3)*(3*$J920^3-6*$J920^2+3*$J920)+INDIRECT("C$"&amp;4+MIN(2,ROUNDDOWN(I920,0))*3)*(-3*$J920^3+3*$J920^2)+INDIRECT("C$"&amp;5+MIN(2,ROUNDDOWN(I920,0))*3)*$J920^3</f>
      </c>
      <c r="L920" s="7">
        <f>INDIRECT("D$"&amp;2+MIN(2,ROUNDDOWN(I920,0))*3)*(-$J920^3+3*$J920^2-3*$J920+1)+INDIRECT("D$"&amp;3+MIN(2,ROUNDDOWN(I920,0))*3)*(3*$J920^3-6*$J920^2+3*$J920)+INDIRECT("D$"&amp;4+MIN(2,ROUNDDOWN(I920,0))*3)*(-3*$J920^3+3*$J920^2)+INDIRECT("D$"&amp;5+MIN(2,ROUNDDOWN(I920,0))*3)*$J920^3</f>
      </c>
      <c r="M920" s="7">
        <f>SQRT(K920^2+L920^2)</f>
      </c>
      <c r="N920" s="7">
        <f>(K921-K919)</f>
      </c>
      <c r="O920" s="7">
        <f>+(L921-L919)</f>
      </c>
      <c r="P920" s="7">
        <f>SQRT(O920^2+N920^2)</f>
      </c>
      <c r="Q920" s="7">
        <f>N920/$P920</f>
      </c>
      <c r="R920" s="7">
        <f>O920/$P920</f>
      </c>
      <c r="S920" s="8">
        <f>Q920^2+R920^2</f>
      </c>
      <c r="T920" s="7">
        <f>-R920</f>
      </c>
      <c r="U920" s="7">
        <f>Q920</f>
      </c>
      <c r="V920" s="7">
        <f>($C$14+($C$15-$C$14)/($D$15-$D$14)*(I920-$D$14))/2</f>
      </c>
      <c r="W920" s="7">
        <f>($B$22*I920^4+$C$22*I920^3+$D$22*I920^2+$E$22*I920+$F$22)/2</f>
      </c>
      <c r="X920" s="7">
        <f>($W920)*(T920)</f>
      </c>
      <c r="Y920" s="7">
        <f>($W920)*(U920)</f>
      </c>
      <c r="Z920" s="7">
        <f>SQRT(X920^2+Y920^2)</f>
      </c>
      <c r="AA920" s="7">
        <f>$K920+$X920</f>
      </c>
      <c r="AB920" s="7">
        <f>$L920+$Y920</f>
      </c>
      <c r="AC920" s="7">
        <f>$K920-$X920</f>
      </c>
      <c r="AD920" s="7">
        <f>$L920-$Y920</f>
      </c>
      <c r="AE920" s="7">
        <f>AA920/39.3701</f>
      </c>
      <c r="AF920" s="7">
        <f>AB920/39.3701</f>
      </c>
      <c r="AG920" s="7">
        <f>AC920/39.3701</f>
      </c>
      <c r="AH920" s="7">
        <f>AD920/39.3701</f>
      </c>
      <c r="AI920" s="1"/>
      <c r="AJ920" s="1"/>
      <c r="AK920" s="1"/>
      <c r="AL920" s="1"/>
      <c r="AM920" s="2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</row>
    <row x14ac:dyDescent="0.25" r="921" customHeight="1" ht="18.75">
      <c r="A921" s="1"/>
      <c r="B921" s="2"/>
      <c r="C921" s="2"/>
      <c r="D921" s="2"/>
      <c r="E921" s="2"/>
      <c r="F921" s="2"/>
      <c r="G921" s="1"/>
      <c r="H921" s="1"/>
      <c r="I921" s="7">
        <v>0.918</v>
      </c>
      <c r="J921" s="7">
        <f>IF((I921-ROUNDDOWN(I921,0))=0, 0, (I921-ROUNDDOWN(I921,0)))</f>
      </c>
      <c r="K921" s="7">
        <f>INDIRECT("C$"&amp;2+MIN(2,ROUNDDOWN(I921,0))*3)*(-$J921^3+3*$J921^2-3*$J921+1)+INDIRECT("C$"&amp;3+MIN(2,ROUNDDOWN(I921,0))*3)*(3*$J921^3-6*$J921^2+3*$J921)+INDIRECT("C$"&amp;4+MIN(2,ROUNDDOWN(I921,0))*3)*(-3*$J921^3+3*$J921^2)+INDIRECT("C$"&amp;5+MIN(2,ROUNDDOWN(I921,0))*3)*$J921^3</f>
      </c>
      <c r="L921" s="7">
        <f>INDIRECT("D$"&amp;2+MIN(2,ROUNDDOWN(I921,0))*3)*(-$J921^3+3*$J921^2-3*$J921+1)+INDIRECT("D$"&amp;3+MIN(2,ROUNDDOWN(I921,0))*3)*(3*$J921^3-6*$J921^2+3*$J921)+INDIRECT("D$"&amp;4+MIN(2,ROUNDDOWN(I921,0))*3)*(-3*$J921^3+3*$J921^2)+INDIRECT("D$"&amp;5+MIN(2,ROUNDDOWN(I921,0))*3)*$J921^3</f>
      </c>
      <c r="M921" s="7">
        <f>SQRT(K921^2+L921^2)</f>
      </c>
      <c r="N921" s="7">
        <f>(K922-K920)</f>
      </c>
      <c r="O921" s="7">
        <f>+(L922-L920)</f>
      </c>
      <c r="P921" s="7">
        <f>SQRT(O921^2+N921^2)</f>
      </c>
      <c r="Q921" s="7">
        <f>N921/$P921</f>
      </c>
      <c r="R921" s="7">
        <f>O921/$P921</f>
      </c>
      <c r="S921" s="7">
        <f>Q921^2+R921^2</f>
      </c>
      <c r="T921" s="7">
        <f>-R921</f>
      </c>
      <c r="U921" s="7">
        <f>Q921</f>
      </c>
      <c r="V921" s="7">
        <f>($C$14+($C$15-$C$14)/($D$15-$D$14)*(I921-$D$14))/2</f>
      </c>
      <c r="W921" s="7">
        <f>($B$22*I921^4+$C$22*I921^3+$D$22*I921^2+$E$22*I921+$F$22)/2</f>
      </c>
      <c r="X921" s="7">
        <f>($W921)*(T921)</f>
      </c>
      <c r="Y921" s="7">
        <f>($W921)*(U921)</f>
      </c>
      <c r="Z921" s="7">
        <f>SQRT(X921^2+Y921^2)</f>
      </c>
      <c r="AA921" s="7">
        <f>$K921+$X921</f>
      </c>
      <c r="AB921" s="7">
        <f>$L921+$Y921</f>
      </c>
      <c r="AC921" s="7">
        <f>$K921-$X921</f>
      </c>
      <c r="AD921" s="7">
        <f>$L921-$Y921</f>
      </c>
      <c r="AE921" s="7">
        <f>AA921/39.3701</f>
      </c>
      <c r="AF921" s="7">
        <f>AB921/39.3701</f>
      </c>
      <c r="AG921" s="7">
        <f>AC921/39.3701</f>
      </c>
      <c r="AH921" s="7">
        <f>AD921/39.3701</f>
      </c>
      <c r="AI921" s="1"/>
      <c r="AJ921" s="1"/>
      <c r="AK921" s="1"/>
      <c r="AL921" s="1"/>
      <c r="AM921" s="2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</row>
    <row x14ac:dyDescent="0.25" r="922" customHeight="1" ht="18.75">
      <c r="A922" s="1"/>
      <c r="B922" s="2"/>
      <c r="C922" s="2"/>
      <c r="D922" s="2"/>
      <c r="E922" s="2"/>
      <c r="F922" s="2"/>
      <c r="G922" s="1"/>
      <c r="H922" s="1"/>
      <c r="I922" s="7">
        <v>0.919</v>
      </c>
      <c r="J922" s="7">
        <f>IF((I922-ROUNDDOWN(I922,0))=0, 0, (I922-ROUNDDOWN(I922,0)))</f>
      </c>
      <c r="K922" s="7">
        <f>INDIRECT("C$"&amp;2+MIN(2,ROUNDDOWN(I922,0))*3)*(-$J922^3+3*$J922^2-3*$J922+1)+INDIRECT("C$"&amp;3+MIN(2,ROUNDDOWN(I922,0))*3)*(3*$J922^3-6*$J922^2+3*$J922)+INDIRECT("C$"&amp;4+MIN(2,ROUNDDOWN(I922,0))*3)*(-3*$J922^3+3*$J922^2)+INDIRECT("C$"&amp;5+MIN(2,ROUNDDOWN(I922,0))*3)*$J922^3</f>
      </c>
      <c r="L922" s="7">
        <f>INDIRECT("D$"&amp;2+MIN(2,ROUNDDOWN(I922,0))*3)*(-$J922^3+3*$J922^2-3*$J922+1)+INDIRECT("D$"&amp;3+MIN(2,ROUNDDOWN(I922,0))*3)*(3*$J922^3-6*$J922^2+3*$J922)+INDIRECT("D$"&amp;4+MIN(2,ROUNDDOWN(I922,0))*3)*(-3*$J922^3+3*$J922^2)+INDIRECT("D$"&amp;5+MIN(2,ROUNDDOWN(I922,0))*3)*$J922^3</f>
      </c>
      <c r="M922" s="7">
        <f>SQRT(K922^2+L922^2)</f>
      </c>
      <c r="N922" s="7">
        <f>(K923-K921)</f>
      </c>
      <c r="O922" s="7">
        <f>+(L923-L921)</f>
      </c>
      <c r="P922" s="7">
        <f>SQRT(O922^2+N922^2)</f>
      </c>
      <c r="Q922" s="7">
        <f>N922/$P922</f>
      </c>
      <c r="R922" s="7">
        <f>O922/$P922</f>
      </c>
      <c r="S922" s="8">
        <f>Q922^2+R922^2</f>
      </c>
      <c r="T922" s="7">
        <f>-R922</f>
      </c>
      <c r="U922" s="7">
        <f>Q922</f>
      </c>
      <c r="V922" s="7">
        <f>($C$14+($C$15-$C$14)/($D$15-$D$14)*(I922-$D$14))/2</f>
      </c>
      <c r="W922" s="7">
        <f>($B$22*I922^4+$C$22*I922^3+$D$22*I922^2+$E$22*I922+$F$22)/2</f>
      </c>
      <c r="X922" s="7">
        <f>($W922)*(T922)</f>
      </c>
      <c r="Y922" s="7">
        <f>($W922)*(U922)</f>
      </c>
      <c r="Z922" s="7">
        <f>SQRT(X922^2+Y922^2)</f>
      </c>
      <c r="AA922" s="7">
        <f>$K922+$X922</f>
      </c>
      <c r="AB922" s="7">
        <f>$L922+$Y922</f>
      </c>
      <c r="AC922" s="7">
        <f>$K922-$X922</f>
      </c>
      <c r="AD922" s="7">
        <f>$L922-$Y922</f>
      </c>
      <c r="AE922" s="7">
        <f>AA922/39.3701</f>
      </c>
      <c r="AF922" s="7">
        <f>AB922/39.3701</f>
      </c>
      <c r="AG922" s="7">
        <f>AC922/39.3701</f>
      </c>
      <c r="AH922" s="7">
        <f>AD922/39.3701</f>
      </c>
      <c r="AI922" s="1"/>
      <c r="AJ922" s="1"/>
      <c r="AK922" s="1"/>
      <c r="AL922" s="1"/>
      <c r="AM922" s="2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</row>
    <row x14ac:dyDescent="0.25" r="923" customHeight="1" ht="18.75">
      <c r="A923" s="1"/>
      <c r="B923" s="2"/>
      <c r="C923" s="2"/>
      <c r="D923" s="2"/>
      <c r="E923" s="2"/>
      <c r="F923" s="2"/>
      <c r="G923" s="1"/>
      <c r="H923" s="1"/>
      <c r="I923" s="7">
        <v>0.92</v>
      </c>
      <c r="J923" s="7">
        <f>IF((I923-ROUNDDOWN(I923,0))=0, 0, (I923-ROUNDDOWN(I923,0)))</f>
      </c>
      <c r="K923" s="7">
        <f>INDIRECT("C$"&amp;2+MIN(2,ROUNDDOWN(I923,0))*3)*(-$J923^3+3*$J923^2-3*$J923+1)+INDIRECT("C$"&amp;3+MIN(2,ROUNDDOWN(I923,0))*3)*(3*$J923^3-6*$J923^2+3*$J923)+INDIRECT("C$"&amp;4+MIN(2,ROUNDDOWN(I923,0))*3)*(-3*$J923^3+3*$J923^2)+INDIRECT("C$"&amp;5+MIN(2,ROUNDDOWN(I923,0))*3)*$J923^3</f>
      </c>
      <c r="L923" s="7">
        <f>INDIRECT("D$"&amp;2+MIN(2,ROUNDDOWN(I923,0))*3)*(-$J923^3+3*$J923^2-3*$J923+1)+INDIRECT("D$"&amp;3+MIN(2,ROUNDDOWN(I923,0))*3)*(3*$J923^3-6*$J923^2+3*$J923)+INDIRECT("D$"&amp;4+MIN(2,ROUNDDOWN(I923,0))*3)*(-3*$J923^3+3*$J923^2)+INDIRECT("D$"&amp;5+MIN(2,ROUNDDOWN(I923,0))*3)*$J923^3</f>
      </c>
      <c r="M923" s="7">
        <f>SQRT(K923^2+L923^2)</f>
      </c>
      <c r="N923" s="7">
        <f>(K924-K922)</f>
      </c>
      <c r="O923" s="7">
        <f>+(L924-L922)</f>
      </c>
      <c r="P923" s="7">
        <f>SQRT(O923^2+N923^2)</f>
      </c>
      <c r="Q923" s="7">
        <f>N923/$P923</f>
      </c>
      <c r="R923" s="7">
        <f>O923/$P923</f>
      </c>
      <c r="S923" s="7">
        <f>Q923^2+R923^2</f>
      </c>
      <c r="T923" s="7">
        <f>-R923</f>
      </c>
      <c r="U923" s="7">
        <f>Q923</f>
      </c>
      <c r="V923" s="7">
        <f>($C$14+($C$15-$C$14)/($D$15-$D$14)*(I923-$D$14))/2</f>
      </c>
      <c r="W923" s="7">
        <f>($B$22*I923^4+$C$22*I923^3+$D$22*I923^2+$E$22*I923+$F$22)/2</f>
      </c>
      <c r="X923" s="7">
        <f>($W923)*(T923)</f>
      </c>
      <c r="Y923" s="7">
        <f>($W923)*(U923)</f>
      </c>
      <c r="Z923" s="7">
        <f>SQRT(X923^2+Y923^2)</f>
      </c>
      <c r="AA923" s="7">
        <f>$K923+$X923</f>
      </c>
      <c r="AB923" s="7">
        <f>$L923+$Y923</f>
      </c>
      <c r="AC923" s="7">
        <f>$K923-$X923</f>
      </c>
      <c r="AD923" s="7">
        <f>$L923-$Y923</f>
      </c>
      <c r="AE923" s="7">
        <f>AA923/39.3701</f>
      </c>
      <c r="AF923" s="7">
        <f>AB923/39.3701</f>
      </c>
      <c r="AG923" s="7">
        <f>AC923/39.3701</f>
      </c>
      <c r="AH923" s="7">
        <f>AD923/39.3701</f>
      </c>
      <c r="AI923" s="1"/>
      <c r="AJ923" s="1"/>
      <c r="AK923" s="1"/>
      <c r="AL923" s="1"/>
      <c r="AM923" s="2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</row>
    <row x14ac:dyDescent="0.25" r="924" customHeight="1" ht="18.75">
      <c r="A924" s="1"/>
      <c r="B924" s="2"/>
      <c r="C924" s="2"/>
      <c r="D924" s="2"/>
      <c r="E924" s="2"/>
      <c r="F924" s="2"/>
      <c r="G924" s="1"/>
      <c r="H924" s="1"/>
      <c r="I924" s="7">
        <v>0.921</v>
      </c>
      <c r="J924" s="7">
        <f>IF((I924-ROUNDDOWN(I924,0))=0, 0, (I924-ROUNDDOWN(I924,0)))</f>
      </c>
      <c r="K924" s="7">
        <f>INDIRECT("C$"&amp;2+MIN(2,ROUNDDOWN(I924,0))*3)*(-$J924^3+3*$J924^2-3*$J924+1)+INDIRECT("C$"&amp;3+MIN(2,ROUNDDOWN(I924,0))*3)*(3*$J924^3-6*$J924^2+3*$J924)+INDIRECT("C$"&amp;4+MIN(2,ROUNDDOWN(I924,0))*3)*(-3*$J924^3+3*$J924^2)+INDIRECT("C$"&amp;5+MIN(2,ROUNDDOWN(I924,0))*3)*$J924^3</f>
      </c>
      <c r="L924" s="7">
        <f>INDIRECT("D$"&amp;2+MIN(2,ROUNDDOWN(I924,0))*3)*(-$J924^3+3*$J924^2-3*$J924+1)+INDIRECT("D$"&amp;3+MIN(2,ROUNDDOWN(I924,0))*3)*(3*$J924^3-6*$J924^2+3*$J924)+INDIRECT("D$"&amp;4+MIN(2,ROUNDDOWN(I924,0))*3)*(-3*$J924^3+3*$J924^2)+INDIRECT("D$"&amp;5+MIN(2,ROUNDDOWN(I924,0))*3)*$J924^3</f>
      </c>
      <c r="M924" s="7">
        <f>SQRT(K924^2+L924^2)</f>
      </c>
      <c r="N924" s="7">
        <f>(K925-K923)</f>
      </c>
      <c r="O924" s="7">
        <f>+(L925-L923)</f>
      </c>
      <c r="P924" s="7">
        <f>SQRT(O924^2+N924^2)</f>
      </c>
      <c r="Q924" s="7">
        <f>N924/$P924</f>
      </c>
      <c r="R924" s="7">
        <f>O924/$P924</f>
      </c>
      <c r="S924" s="7">
        <f>Q924^2+R924^2</f>
      </c>
      <c r="T924" s="7">
        <f>-R924</f>
      </c>
      <c r="U924" s="7">
        <f>Q924</f>
      </c>
      <c r="V924" s="7">
        <f>($C$14+($C$15-$C$14)/($D$15-$D$14)*(I924-$D$14))/2</f>
      </c>
      <c r="W924" s="7">
        <f>($B$22*I924^4+$C$22*I924^3+$D$22*I924^2+$E$22*I924+$F$22)/2</f>
      </c>
      <c r="X924" s="7">
        <f>($W924)*(T924)</f>
      </c>
      <c r="Y924" s="7">
        <f>($W924)*(U924)</f>
      </c>
      <c r="Z924" s="7">
        <f>SQRT(X924^2+Y924^2)</f>
      </c>
      <c r="AA924" s="7">
        <f>$K924+$X924</f>
      </c>
      <c r="AB924" s="7">
        <f>$L924+$Y924</f>
      </c>
      <c r="AC924" s="7">
        <f>$K924-$X924</f>
      </c>
      <c r="AD924" s="7">
        <f>$L924-$Y924</f>
      </c>
      <c r="AE924" s="7">
        <f>AA924/39.3701</f>
      </c>
      <c r="AF924" s="7">
        <f>AB924/39.3701</f>
      </c>
      <c r="AG924" s="7">
        <f>AC924/39.3701</f>
      </c>
      <c r="AH924" s="7">
        <f>AD924/39.3701</f>
      </c>
      <c r="AI924" s="1"/>
      <c r="AJ924" s="1"/>
      <c r="AK924" s="1"/>
      <c r="AL924" s="1"/>
      <c r="AM924" s="2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</row>
    <row x14ac:dyDescent="0.25" r="925" customHeight="1" ht="18.75">
      <c r="A925" s="1"/>
      <c r="B925" s="2"/>
      <c r="C925" s="2"/>
      <c r="D925" s="2"/>
      <c r="E925" s="2"/>
      <c r="F925" s="2"/>
      <c r="G925" s="1"/>
      <c r="H925" s="1"/>
      <c r="I925" s="7">
        <v>0.922</v>
      </c>
      <c r="J925" s="7">
        <f>IF((I925-ROUNDDOWN(I925,0))=0, 0, (I925-ROUNDDOWN(I925,0)))</f>
      </c>
      <c r="K925" s="7">
        <f>INDIRECT("C$"&amp;2+MIN(2,ROUNDDOWN(I925,0))*3)*(-$J925^3+3*$J925^2-3*$J925+1)+INDIRECT("C$"&amp;3+MIN(2,ROUNDDOWN(I925,0))*3)*(3*$J925^3-6*$J925^2+3*$J925)+INDIRECT("C$"&amp;4+MIN(2,ROUNDDOWN(I925,0))*3)*(-3*$J925^3+3*$J925^2)+INDIRECT("C$"&amp;5+MIN(2,ROUNDDOWN(I925,0))*3)*$J925^3</f>
      </c>
      <c r="L925" s="7">
        <f>INDIRECT("D$"&amp;2+MIN(2,ROUNDDOWN(I925,0))*3)*(-$J925^3+3*$J925^2-3*$J925+1)+INDIRECT("D$"&amp;3+MIN(2,ROUNDDOWN(I925,0))*3)*(3*$J925^3-6*$J925^2+3*$J925)+INDIRECT("D$"&amp;4+MIN(2,ROUNDDOWN(I925,0))*3)*(-3*$J925^3+3*$J925^2)+INDIRECT("D$"&amp;5+MIN(2,ROUNDDOWN(I925,0))*3)*$J925^3</f>
      </c>
      <c r="M925" s="7">
        <f>SQRT(K925^2+L925^2)</f>
      </c>
      <c r="N925" s="7">
        <f>(K926-K924)</f>
      </c>
      <c r="O925" s="7">
        <f>+(L926-L924)</f>
      </c>
      <c r="P925" s="7">
        <f>SQRT(O925^2+N925^2)</f>
      </c>
      <c r="Q925" s="7">
        <f>N925/$P925</f>
      </c>
      <c r="R925" s="7">
        <f>O925/$P925</f>
      </c>
      <c r="S925" s="8">
        <f>Q925^2+R925^2</f>
      </c>
      <c r="T925" s="7">
        <f>-R925</f>
      </c>
      <c r="U925" s="7">
        <f>Q925</f>
      </c>
      <c r="V925" s="7">
        <f>($C$14+($C$15-$C$14)/($D$15-$D$14)*(I925-$D$14))/2</f>
      </c>
      <c r="W925" s="7">
        <f>($B$22*I925^4+$C$22*I925^3+$D$22*I925^2+$E$22*I925+$F$22)/2</f>
      </c>
      <c r="X925" s="7">
        <f>($W925)*(T925)</f>
      </c>
      <c r="Y925" s="7">
        <f>($W925)*(U925)</f>
      </c>
      <c r="Z925" s="7">
        <f>SQRT(X925^2+Y925^2)</f>
      </c>
      <c r="AA925" s="7">
        <f>$K925+$X925</f>
      </c>
      <c r="AB925" s="7">
        <f>$L925+$Y925</f>
      </c>
      <c r="AC925" s="7">
        <f>$K925-$X925</f>
      </c>
      <c r="AD925" s="7">
        <f>$L925-$Y925</f>
      </c>
      <c r="AE925" s="7">
        <f>AA925/39.3701</f>
      </c>
      <c r="AF925" s="7">
        <f>AB925/39.3701</f>
      </c>
      <c r="AG925" s="7">
        <f>AC925/39.3701</f>
      </c>
      <c r="AH925" s="7">
        <f>AD925/39.3701</f>
      </c>
      <c r="AI925" s="1"/>
      <c r="AJ925" s="1"/>
      <c r="AK925" s="1"/>
      <c r="AL925" s="1"/>
      <c r="AM925" s="2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</row>
    <row x14ac:dyDescent="0.25" r="926" customHeight="1" ht="18.75">
      <c r="A926" s="1"/>
      <c r="B926" s="2"/>
      <c r="C926" s="2"/>
      <c r="D926" s="2"/>
      <c r="E926" s="2"/>
      <c r="F926" s="2"/>
      <c r="G926" s="1"/>
      <c r="H926" s="1"/>
      <c r="I926" s="7">
        <v>0.923</v>
      </c>
      <c r="J926" s="7">
        <f>IF((I926-ROUNDDOWN(I926,0))=0, 0, (I926-ROUNDDOWN(I926,0)))</f>
      </c>
      <c r="K926" s="7">
        <f>INDIRECT("C$"&amp;2+MIN(2,ROUNDDOWN(I926,0))*3)*(-$J926^3+3*$J926^2-3*$J926+1)+INDIRECT("C$"&amp;3+MIN(2,ROUNDDOWN(I926,0))*3)*(3*$J926^3-6*$J926^2+3*$J926)+INDIRECT("C$"&amp;4+MIN(2,ROUNDDOWN(I926,0))*3)*(-3*$J926^3+3*$J926^2)+INDIRECT("C$"&amp;5+MIN(2,ROUNDDOWN(I926,0))*3)*$J926^3</f>
      </c>
      <c r="L926" s="7">
        <f>INDIRECT("D$"&amp;2+MIN(2,ROUNDDOWN(I926,0))*3)*(-$J926^3+3*$J926^2-3*$J926+1)+INDIRECT("D$"&amp;3+MIN(2,ROUNDDOWN(I926,0))*3)*(3*$J926^3-6*$J926^2+3*$J926)+INDIRECT("D$"&amp;4+MIN(2,ROUNDDOWN(I926,0))*3)*(-3*$J926^3+3*$J926^2)+INDIRECT("D$"&amp;5+MIN(2,ROUNDDOWN(I926,0))*3)*$J926^3</f>
      </c>
      <c r="M926" s="7">
        <f>SQRT(K926^2+L926^2)</f>
      </c>
      <c r="N926" s="7">
        <f>(K927-K925)</f>
      </c>
      <c r="O926" s="7">
        <f>+(L927-L925)</f>
      </c>
      <c r="P926" s="7">
        <f>SQRT(O926^2+N926^2)</f>
      </c>
      <c r="Q926" s="7">
        <f>N926/$P926</f>
      </c>
      <c r="R926" s="7">
        <f>O926/$P926</f>
      </c>
      <c r="S926" s="8">
        <f>Q926^2+R926^2</f>
      </c>
      <c r="T926" s="7">
        <f>-R926</f>
      </c>
      <c r="U926" s="7">
        <f>Q926</f>
      </c>
      <c r="V926" s="7">
        <f>($C$14+($C$15-$C$14)/($D$15-$D$14)*(I926-$D$14))/2</f>
      </c>
      <c r="W926" s="7">
        <f>($B$22*I926^4+$C$22*I926^3+$D$22*I926^2+$E$22*I926+$F$22)/2</f>
      </c>
      <c r="X926" s="7">
        <f>($W926)*(T926)</f>
      </c>
      <c r="Y926" s="7">
        <f>($W926)*(U926)</f>
      </c>
      <c r="Z926" s="7">
        <f>SQRT(X926^2+Y926^2)</f>
      </c>
      <c r="AA926" s="7">
        <f>$K926+$X926</f>
      </c>
      <c r="AB926" s="7">
        <f>$L926+$Y926</f>
      </c>
      <c r="AC926" s="7">
        <f>$K926-$X926</f>
      </c>
      <c r="AD926" s="7">
        <f>$L926-$Y926</f>
      </c>
      <c r="AE926" s="7">
        <f>AA926/39.3701</f>
      </c>
      <c r="AF926" s="7">
        <f>AB926/39.3701</f>
      </c>
      <c r="AG926" s="7">
        <f>AC926/39.3701</f>
      </c>
      <c r="AH926" s="7">
        <f>AD926/39.3701</f>
      </c>
      <c r="AI926" s="1"/>
      <c r="AJ926" s="1"/>
      <c r="AK926" s="1"/>
      <c r="AL926" s="1"/>
      <c r="AM926" s="2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</row>
    <row x14ac:dyDescent="0.25" r="927" customHeight="1" ht="18.75">
      <c r="A927" s="1"/>
      <c r="B927" s="2"/>
      <c r="C927" s="2"/>
      <c r="D927" s="2"/>
      <c r="E927" s="2"/>
      <c r="F927" s="2"/>
      <c r="G927" s="1"/>
      <c r="H927" s="1"/>
      <c r="I927" s="7">
        <v>0.924</v>
      </c>
      <c r="J927" s="7">
        <f>IF((I927-ROUNDDOWN(I927,0))=0, 0, (I927-ROUNDDOWN(I927,0)))</f>
      </c>
      <c r="K927" s="7">
        <f>INDIRECT("C$"&amp;2+MIN(2,ROUNDDOWN(I927,0))*3)*(-$J927^3+3*$J927^2-3*$J927+1)+INDIRECT("C$"&amp;3+MIN(2,ROUNDDOWN(I927,0))*3)*(3*$J927^3-6*$J927^2+3*$J927)+INDIRECT("C$"&amp;4+MIN(2,ROUNDDOWN(I927,0))*3)*(-3*$J927^3+3*$J927^2)+INDIRECT("C$"&amp;5+MIN(2,ROUNDDOWN(I927,0))*3)*$J927^3</f>
      </c>
      <c r="L927" s="7">
        <f>INDIRECT("D$"&amp;2+MIN(2,ROUNDDOWN(I927,0))*3)*(-$J927^3+3*$J927^2-3*$J927+1)+INDIRECT("D$"&amp;3+MIN(2,ROUNDDOWN(I927,0))*3)*(3*$J927^3-6*$J927^2+3*$J927)+INDIRECT("D$"&amp;4+MIN(2,ROUNDDOWN(I927,0))*3)*(-3*$J927^3+3*$J927^2)+INDIRECT("D$"&amp;5+MIN(2,ROUNDDOWN(I927,0))*3)*$J927^3</f>
      </c>
      <c r="M927" s="7">
        <f>SQRT(K927^2+L927^2)</f>
      </c>
      <c r="N927" s="7">
        <f>(K928-K926)</f>
      </c>
      <c r="O927" s="7">
        <f>+(L928-L926)</f>
      </c>
      <c r="P927" s="7">
        <f>SQRT(O927^2+N927^2)</f>
      </c>
      <c r="Q927" s="7">
        <f>N927/$P927</f>
      </c>
      <c r="R927" s="7">
        <f>O927/$P927</f>
      </c>
      <c r="S927" s="8">
        <f>Q927^2+R927^2</f>
      </c>
      <c r="T927" s="7">
        <f>-R927</f>
      </c>
      <c r="U927" s="7">
        <f>Q927</f>
      </c>
      <c r="V927" s="7">
        <f>($C$14+($C$15-$C$14)/($D$15-$D$14)*(I927-$D$14))/2</f>
      </c>
      <c r="W927" s="7">
        <f>($B$22*I927^4+$C$22*I927^3+$D$22*I927^2+$E$22*I927+$F$22)/2</f>
      </c>
      <c r="X927" s="7">
        <f>($W927)*(T927)</f>
      </c>
      <c r="Y927" s="7">
        <f>($W927)*(U927)</f>
      </c>
      <c r="Z927" s="7">
        <f>SQRT(X927^2+Y927^2)</f>
      </c>
      <c r="AA927" s="7">
        <f>$K927+$X927</f>
      </c>
      <c r="AB927" s="7">
        <f>$L927+$Y927</f>
      </c>
      <c r="AC927" s="7">
        <f>$K927-$X927</f>
      </c>
      <c r="AD927" s="7">
        <f>$L927-$Y927</f>
      </c>
      <c r="AE927" s="7">
        <f>AA927/39.3701</f>
      </c>
      <c r="AF927" s="7">
        <f>AB927/39.3701</f>
      </c>
      <c r="AG927" s="7">
        <f>AC927/39.3701</f>
      </c>
      <c r="AH927" s="7">
        <f>AD927/39.3701</f>
      </c>
      <c r="AI927" s="1"/>
      <c r="AJ927" s="1"/>
      <c r="AK927" s="1"/>
      <c r="AL927" s="1"/>
      <c r="AM927" s="2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</row>
    <row x14ac:dyDescent="0.25" r="928" customHeight="1" ht="18.75">
      <c r="A928" s="1"/>
      <c r="B928" s="2"/>
      <c r="C928" s="2"/>
      <c r="D928" s="2"/>
      <c r="E928" s="2"/>
      <c r="F928" s="2"/>
      <c r="G928" s="1"/>
      <c r="H928" s="1"/>
      <c r="I928" s="7">
        <v>0.925</v>
      </c>
      <c r="J928" s="7">
        <f>IF((I928-ROUNDDOWN(I928,0))=0, 0, (I928-ROUNDDOWN(I928,0)))</f>
      </c>
      <c r="K928" s="7">
        <f>INDIRECT("C$"&amp;2+MIN(2,ROUNDDOWN(I928,0))*3)*(-$J928^3+3*$J928^2-3*$J928+1)+INDIRECT("C$"&amp;3+MIN(2,ROUNDDOWN(I928,0))*3)*(3*$J928^3-6*$J928^2+3*$J928)+INDIRECT("C$"&amp;4+MIN(2,ROUNDDOWN(I928,0))*3)*(-3*$J928^3+3*$J928^2)+INDIRECT("C$"&amp;5+MIN(2,ROUNDDOWN(I928,0))*3)*$J928^3</f>
      </c>
      <c r="L928" s="7">
        <f>INDIRECT("D$"&amp;2+MIN(2,ROUNDDOWN(I928,0))*3)*(-$J928^3+3*$J928^2-3*$J928+1)+INDIRECT("D$"&amp;3+MIN(2,ROUNDDOWN(I928,0))*3)*(3*$J928^3-6*$J928^2+3*$J928)+INDIRECT("D$"&amp;4+MIN(2,ROUNDDOWN(I928,0))*3)*(-3*$J928^3+3*$J928^2)+INDIRECT("D$"&amp;5+MIN(2,ROUNDDOWN(I928,0))*3)*$J928^3</f>
      </c>
      <c r="M928" s="7">
        <f>SQRT(K928^2+L928^2)</f>
      </c>
      <c r="N928" s="7">
        <f>(K929-K927)</f>
      </c>
      <c r="O928" s="7">
        <f>+(L929-L927)</f>
      </c>
      <c r="P928" s="7">
        <f>SQRT(O928^2+N928^2)</f>
      </c>
      <c r="Q928" s="7">
        <f>N928/$P928</f>
      </c>
      <c r="R928" s="7">
        <f>O928/$P928</f>
      </c>
      <c r="S928" s="8">
        <f>Q928^2+R928^2</f>
      </c>
      <c r="T928" s="7">
        <f>-R928</f>
      </c>
      <c r="U928" s="7">
        <f>Q928</f>
      </c>
      <c r="V928" s="7">
        <f>($C$14+($C$15-$C$14)/($D$15-$D$14)*(I928-$D$14))/2</f>
      </c>
      <c r="W928" s="7">
        <f>($B$22*I928^4+$C$22*I928^3+$D$22*I928^2+$E$22*I928+$F$22)/2</f>
      </c>
      <c r="X928" s="7">
        <f>($W928)*(T928)</f>
      </c>
      <c r="Y928" s="7">
        <f>($W928)*(U928)</f>
      </c>
      <c r="Z928" s="7">
        <f>SQRT(X928^2+Y928^2)</f>
      </c>
      <c r="AA928" s="7">
        <f>$K928+$X928</f>
      </c>
      <c r="AB928" s="7">
        <f>$L928+$Y928</f>
      </c>
      <c r="AC928" s="7">
        <f>$K928-$X928</f>
      </c>
      <c r="AD928" s="7">
        <f>$L928-$Y928</f>
      </c>
      <c r="AE928" s="7">
        <f>AA928/39.3701</f>
      </c>
      <c r="AF928" s="7">
        <f>AB928/39.3701</f>
      </c>
      <c r="AG928" s="7">
        <f>AC928/39.3701</f>
      </c>
      <c r="AH928" s="7">
        <f>AD928/39.3701</f>
      </c>
      <c r="AI928" s="1"/>
      <c r="AJ928" s="1"/>
      <c r="AK928" s="1"/>
      <c r="AL928" s="1"/>
      <c r="AM928" s="2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</row>
    <row x14ac:dyDescent="0.25" r="929" customHeight="1" ht="18.75">
      <c r="A929" s="1"/>
      <c r="B929" s="2"/>
      <c r="C929" s="2"/>
      <c r="D929" s="2"/>
      <c r="E929" s="2"/>
      <c r="F929" s="2"/>
      <c r="G929" s="1"/>
      <c r="H929" s="1"/>
      <c r="I929" s="7">
        <v>0.926</v>
      </c>
      <c r="J929" s="7">
        <f>IF((I929-ROUNDDOWN(I929,0))=0, 0, (I929-ROUNDDOWN(I929,0)))</f>
      </c>
      <c r="K929" s="7">
        <f>INDIRECT("C$"&amp;2+MIN(2,ROUNDDOWN(I929,0))*3)*(-$J929^3+3*$J929^2-3*$J929+1)+INDIRECT("C$"&amp;3+MIN(2,ROUNDDOWN(I929,0))*3)*(3*$J929^3-6*$J929^2+3*$J929)+INDIRECT("C$"&amp;4+MIN(2,ROUNDDOWN(I929,0))*3)*(-3*$J929^3+3*$J929^2)+INDIRECT("C$"&amp;5+MIN(2,ROUNDDOWN(I929,0))*3)*$J929^3</f>
      </c>
      <c r="L929" s="7">
        <f>INDIRECT("D$"&amp;2+MIN(2,ROUNDDOWN(I929,0))*3)*(-$J929^3+3*$J929^2-3*$J929+1)+INDIRECT("D$"&amp;3+MIN(2,ROUNDDOWN(I929,0))*3)*(3*$J929^3-6*$J929^2+3*$J929)+INDIRECT("D$"&amp;4+MIN(2,ROUNDDOWN(I929,0))*3)*(-3*$J929^3+3*$J929^2)+INDIRECT("D$"&amp;5+MIN(2,ROUNDDOWN(I929,0))*3)*$J929^3</f>
      </c>
      <c r="M929" s="7">
        <f>SQRT(K929^2+L929^2)</f>
      </c>
      <c r="N929" s="7">
        <f>(K930-K928)</f>
      </c>
      <c r="O929" s="7">
        <f>+(L930-L928)</f>
      </c>
      <c r="P929" s="7">
        <f>SQRT(O929^2+N929^2)</f>
      </c>
      <c r="Q929" s="7">
        <f>N929/$P929</f>
      </c>
      <c r="R929" s="7">
        <f>O929/$P929</f>
      </c>
      <c r="S929" s="7">
        <f>Q929^2+R929^2</f>
      </c>
      <c r="T929" s="7">
        <f>-R929</f>
      </c>
      <c r="U929" s="7">
        <f>Q929</f>
      </c>
      <c r="V929" s="7">
        <f>($C$14+($C$15-$C$14)/($D$15-$D$14)*(I929-$D$14))/2</f>
      </c>
      <c r="W929" s="7">
        <f>($B$22*I929^4+$C$22*I929^3+$D$22*I929^2+$E$22*I929+$F$22)/2</f>
      </c>
      <c r="X929" s="7">
        <f>($W929)*(T929)</f>
      </c>
      <c r="Y929" s="7">
        <f>($W929)*(U929)</f>
      </c>
      <c r="Z929" s="7">
        <f>SQRT(X929^2+Y929^2)</f>
      </c>
      <c r="AA929" s="7">
        <f>$K929+$X929</f>
      </c>
      <c r="AB929" s="7">
        <f>$L929+$Y929</f>
      </c>
      <c r="AC929" s="7">
        <f>$K929-$X929</f>
      </c>
      <c r="AD929" s="7">
        <f>$L929-$Y929</f>
      </c>
      <c r="AE929" s="7">
        <f>AA929/39.3701</f>
      </c>
      <c r="AF929" s="7">
        <f>AB929/39.3701</f>
      </c>
      <c r="AG929" s="7">
        <f>AC929/39.3701</f>
      </c>
      <c r="AH929" s="7">
        <f>AD929/39.3701</f>
      </c>
      <c r="AI929" s="1"/>
      <c r="AJ929" s="1"/>
      <c r="AK929" s="1"/>
      <c r="AL929" s="1"/>
      <c r="AM929" s="2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</row>
    <row x14ac:dyDescent="0.25" r="930" customHeight="1" ht="18.75">
      <c r="A930" s="1"/>
      <c r="B930" s="2"/>
      <c r="C930" s="2"/>
      <c r="D930" s="2"/>
      <c r="E930" s="2"/>
      <c r="F930" s="2"/>
      <c r="G930" s="1"/>
      <c r="H930" s="1"/>
      <c r="I930" s="7">
        <v>0.927</v>
      </c>
      <c r="J930" s="7">
        <f>IF((I930-ROUNDDOWN(I930,0))=0, 0, (I930-ROUNDDOWN(I930,0)))</f>
      </c>
      <c r="K930" s="7">
        <f>INDIRECT("C$"&amp;2+MIN(2,ROUNDDOWN(I930,0))*3)*(-$J930^3+3*$J930^2-3*$J930+1)+INDIRECT("C$"&amp;3+MIN(2,ROUNDDOWN(I930,0))*3)*(3*$J930^3-6*$J930^2+3*$J930)+INDIRECT("C$"&amp;4+MIN(2,ROUNDDOWN(I930,0))*3)*(-3*$J930^3+3*$J930^2)+INDIRECT("C$"&amp;5+MIN(2,ROUNDDOWN(I930,0))*3)*$J930^3</f>
      </c>
      <c r="L930" s="7">
        <f>INDIRECT("D$"&amp;2+MIN(2,ROUNDDOWN(I930,0))*3)*(-$J930^3+3*$J930^2-3*$J930+1)+INDIRECT("D$"&amp;3+MIN(2,ROUNDDOWN(I930,0))*3)*(3*$J930^3-6*$J930^2+3*$J930)+INDIRECT("D$"&amp;4+MIN(2,ROUNDDOWN(I930,0))*3)*(-3*$J930^3+3*$J930^2)+INDIRECT("D$"&amp;5+MIN(2,ROUNDDOWN(I930,0))*3)*$J930^3</f>
      </c>
      <c r="M930" s="7">
        <f>SQRT(K930^2+L930^2)</f>
      </c>
      <c r="N930" s="7">
        <f>(K931-K929)</f>
      </c>
      <c r="O930" s="7">
        <f>+(L931-L929)</f>
      </c>
      <c r="P930" s="7">
        <f>SQRT(O930^2+N930^2)</f>
      </c>
      <c r="Q930" s="7">
        <f>N930/$P930</f>
      </c>
      <c r="R930" s="7">
        <f>O930/$P930</f>
      </c>
      <c r="S930" s="8">
        <f>Q930^2+R930^2</f>
      </c>
      <c r="T930" s="7">
        <f>-R930</f>
      </c>
      <c r="U930" s="7">
        <f>Q930</f>
      </c>
      <c r="V930" s="7">
        <f>($C$14+($C$15-$C$14)/($D$15-$D$14)*(I930-$D$14))/2</f>
      </c>
      <c r="W930" s="7">
        <f>($B$22*I930^4+$C$22*I930^3+$D$22*I930^2+$E$22*I930+$F$22)/2</f>
      </c>
      <c r="X930" s="7">
        <f>($W930)*(T930)</f>
      </c>
      <c r="Y930" s="7">
        <f>($W930)*(U930)</f>
      </c>
      <c r="Z930" s="7">
        <f>SQRT(X930^2+Y930^2)</f>
      </c>
      <c r="AA930" s="7">
        <f>$K930+$X930</f>
      </c>
      <c r="AB930" s="7">
        <f>$L930+$Y930</f>
      </c>
      <c r="AC930" s="7">
        <f>$K930-$X930</f>
      </c>
      <c r="AD930" s="7">
        <f>$L930-$Y930</f>
      </c>
      <c r="AE930" s="7">
        <f>AA930/39.3701</f>
      </c>
      <c r="AF930" s="7">
        <f>AB930/39.3701</f>
      </c>
      <c r="AG930" s="7">
        <f>AC930/39.3701</f>
      </c>
      <c r="AH930" s="7">
        <f>AD930/39.3701</f>
      </c>
      <c r="AI930" s="1"/>
      <c r="AJ930" s="1"/>
      <c r="AK930" s="1"/>
      <c r="AL930" s="1"/>
      <c r="AM930" s="2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</row>
    <row x14ac:dyDescent="0.25" r="931" customHeight="1" ht="18.75">
      <c r="A931" s="1"/>
      <c r="B931" s="2"/>
      <c r="C931" s="2"/>
      <c r="D931" s="2"/>
      <c r="E931" s="2"/>
      <c r="F931" s="2"/>
      <c r="G931" s="1"/>
      <c r="H931" s="1"/>
      <c r="I931" s="7">
        <v>0.928</v>
      </c>
      <c r="J931" s="7">
        <f>IF((I931-ROUNDDOWN(I931,0))=0, 0, (I931-ROUNDDOWN(I931,0)))</f>
      </c>
      <c r="K931" s="7">
        <f>INDIRECT("C$"&amp;2+MIN(2,ROUNDDOWN(I931,0))*3)*(-$J931^3+3*$J931^2-3*$J931+1)+INDIRECT("C$"&amp;3+MIN(2,ROUNDDOWN(I931,0))*3)*(3*$J931^3-6*$J931^2+3*$J931)+INDIRECT("C$"&amp;4+MIN(2,ROUNDDOWN(I931,0))*3)*(-3*$J931^3+3*$J931^2)+INDIRECT("C$"&amp;5+MIN(2,ROUNDDOWN(I931,0))*3)*$J931^3</f>
      </c>
      <c r="L931" s="7">
        <f>INDIRECT("D$"&amp;2+MIN(2,ROUNDDOWN(I931,0))*3)*(-$J931^3+3*$J931^2-3*$J931+1)+INDIRECT("D$"&amp;3+MIN(2,ROUNDDOWN(I931,0))*3)*(3*$J931^3-6*$J931^2+3*$J931)+INDIRECT("D$"&amp;4+MIN(2,ROUNDDOWN(I931,0))*3)*(-3*$J931^3+3*$J931^2)+INDIRECT("D$"&amp;5+MIN(2,ROUNDDOWN(I931,0))*3)*$J931^3</f>
      </c>
      <c r="M931" s="7">
        <f>SQRT(K931^2+L931^2)</f>
      </c>
      <c r="N931" s="7">
        <f>(K932-K930)</f>
      </c>
      <c r="O931" s="7">
        <f>+(L932-L930)</f>
      </c>
      <c r="P931" s="7">
        <f>SQRT(O931^2+N931^2)</f>
      </c>
      <c r="Q931" s="7">
        <f>N931/$P931</f>
      </c>
      <c r="R931" s="7">
        <f>O931/$P931</f>
      </c>
      <c r="S931" s="8">
        <f>Q931^2+R931^2</f>
      </c>
      <c r="T931" s="7">
        <f>-R931</f>
      </c>
      <c r="U931" s="7">
        <f>Q931</f>
      </c>
      <c r="V931" s="7">
        <f>($C$14+($C$15-$C$14)/($D$15-$D$14)*(I931-$D$14))/2</f>
      </c>
      <c r="W931" s="7">
        <f>($B$22*I931^4+$C$22*I931^3+$D$22*I931^2+$E$22*I931+$F$22)/2</f>
      </c>
      <c r="X931" s="7">
        <f>($W931)*(T931)</f>
      </c>
      <c r="Y931" s="7">
        <f>($W931)*(U931)</f>
      </c>
      <c r="Z931" s="7">
        <f>SQRT(X931^2+Y931^2)</f>
      </c>
      <c r="AA931" s="7">
        <f>$K931+$X931</f>
      </c>
      <c r="AB931" s="7">
        <f>$L931+$Y931</f>
      </c>
      <c r="AC931" s="7">
        <f>$K931-$X931</f>
      </c>
      <c r="AD931" s="7">
        <f>$L931-$Y931</f>
      </c>
      <c r="AE931" s="7">
        <f>AA931/39.3701</f>
      </c>
      <c r="AF931" s="7">
        <f>AB931/39.3701</f>
      </c>
      <c r="AG931" s="7">
        <f>AC931/39.3701</f>
      </c>
      <c r="AH931" s="7">
        <f>AD931/39.3701</f>
      </c>
      <c r="AI931" s="1"/>
      <c r="AJ931" s="1"/>
      <c r="AK931" s="1"/>
      <c r="AL931" s="1"/>
      <c r="AM931" s="2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</row>
    <row x14ac:dyDescent="0.25" r="932" customHeight="1" ht="18.75">
      <c r="A932" s="1"/>
      <c r="B932" s="2"/>
      <c r="C932" s="2"/>
      <c r="D932" s="2"/>
      <c r="E932" s="2"/>
      <c r="F932" s="2"/>
      <c r="G932" s="1"/>
      <c r="H932" s="1"/>
      <c r="I932" s="7">
        <v>0.929</v>
      </c>
      <c r="J932" s="7">
        <f>IF((I932-ROUNDDOWN(I932,0))=0, 0, (I932-ROUNDDOWN(I932,0)))</f>
      </c>
      <c r="K932" s="7">
        <f>INDIRECT("C$"&amp;2+MIN(2,ROUNDDOWN(I932,0))*3)*(-$J932^3+3*$J932^2-3*$J932+1)+INDIRECT("C$"&amp;3+MIN(2,ROUNDDOWN(I932,0))*3)*(3*$J932^3-6*$J932^2+3*$J932)+INDIRECT("C$"&amp;4+MIN(2,ROUNDDOWN(I932,0))*3)*(-3*$J932^3+3*$J932^2)+INDIRECT("C$"&amp;5+MIN(2,ROUNDDOWN(I932,0))*3)*$J932^3</f>
      </c>
      <c r="L932" s="7">
        <f>INDIRECT("D$"&amp;2+MIN(2,ROUNDDOWN(I932,0))*3)*(-$J932^3+3*$J932^2-3*$J932+1)+INDIRECT("D$"&amp;3+MIN(2,ROUNDDOWN(I932,0))*3)*(3*$J932^3-6*$J932^2+3*$J932)+INDIRECT("D$"&amp;4+MIN(2,ROUNDDOWN(I932,0))*3)*(-3*$J932^3+3*$J932^2)+INDIRECT("D$"&amp;5+MIN(2,ROUNDDOWN(I932,0))*3)*$J932^3</f>
      </c>
      <c r="M932" s="7">
        <f>SQRT(K932^2+L932^2)</f>
      </c>
      <c r="N932" s="7">
        <f>(K933-K931)</f>
      </c>
      <c r="O932" s="7">
        <f>+(L933-L931)</f>
      </c>
      <c r="P932" s="7">
        <f>SQRT(O932^2+N932^2)</f>
      </c>
      <c r="Q932" s="7">
        <f>N932/$P932</f>
      </c>
      <c r="R932" s="7">
        <f>O932/$P932</f>
      </c>
      <c r="S932" s="8">
        <f>Q932^2+R932^2</f>
      </c>
      <c r="T932" s="7">
        <f>-R932</f>
      </c>
      <c r="U932" s="7">
        <f>Q932</f>
      </c>
      <c r="V932" s="7">
        <f>($C$14+($C$15-$C$14)/($D$15-$D$14)*(I932-$D$14))/2</f>
      </c>
      <c r="W932" s="7">
        <f>($B$22*I932^4+$C$22*I932^3+$D$22*I932^2+$E$22*I932+$F$22)/2</f>
      </c>
      <c r="X932" s="7">
        <f>($W932)*(T932)</f>
      </c>
      <c r="Y932" s="7">
        <f>($W932)*(U932)</f>
      </c>
      <c r="Z932" s="7">
        <f>SQRT(X932^2+Y932^2)</f>
      </c>
      <c r="AA932" s="7">
        <f>$K932+$X932</f>
      </c>
      <c r="AB932" s="7">
        <f>$L932+$Y932</f>
      </c>
      <c r="AC932" s="7">
        <f>$K932-$X932</f>
      </c>
      <c r="AD932" s="7">
        <f>$L932-$Y932</f>
      </c>
      <c r="AE932" s="7">
        <f>AA932/39.3701</f>
      </c>
      <c r="AF932" s="7">
        <f>AB932/39.3701</f>
      </c>
      <c r="AG932" s="7">
        <f>AC932/39.3701</f>
      </c>
      <c r="AH932" s="7">
        <f>AD932/39.3701</f>
      </c>
      <c r="AI932" s="1"/>
      <c r="AJ932" s="1"/>
      <c r="AK932" s="1"/>
      <c r="AL932" s="1"/>
      <c r="AM932" s="2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</row>
    <row x14ac:dyDescent="0.25" r="933" customHeight="1" ht="18.75">
      <c r="A933" s="1"/>
      <c r="B933" s="2"/>
      <c r="C933" s="2"/>
      <c r="D933" s="2"/>
      <c r="E933" s="2"/>
      <c r="F933" s="2"/>
      <c r="G933" s="1"/>
      <c r="H933" s="1"/>
      <c r="I933" s="7">
        <v>0.93</v>
      </c>
      <c r="J933" s="7">
        <f>IF((I933-ROUNDDOWN(I933,0))=0, 0, (I933-ROUNDDOWN(I933,0)))</f>
      </c>
      <c r="K933" s="7">
        <f>INDIRECT("C$"&amp;2+MIN(2,ROUNDDOWN(I933,0))*3)*(-$J933^3+3*$J933^2-3*$J933+1)+INDIRECT("C$"&amp;3+MIN(2,ROUNDDOWN(I933,0))*3)*(3*$J933^3-6*$J933^2+3*$J933)+INDIRECT("C$"&amp;4+MIN(2,ROUNDDOWN(I933,0))*3)*(-3*$J933^3+3*$J933^2)+INDIRECT("C$"&amp;5+MIN(2,ROUNDDOWN(I933,0))*3)*$J933^3</f>
      </c>
      <c r="L933" s="7">
        <f>INDIRECT("D$"&amp;2+MIN(2,ROUNDDOWN(I933,0))*3)*(-$J933^3+3*$J933^2-3*$J933+1)+INDIRECT("D$"&amp;3+MIN(2,ROUNDDOWN(I933,0))*3)*(3*$J933^3-6*$J933^2+3*$J933)+INDIRECT("D$"&amp;4+MIN(2,ROUNDDOWN(I933,0))*3)*(-3*$J933^3+3*$J933^2)+INDIRECT("D$"&amp;5+MIN(2,ROUNDDOWN(I933,0))*3)*$J933^3</f>
      </c>
      <c r="M933" s="7">
        <f>SQRT(K933^2+L933^2)</f>
      </c>
      <c r="N933" s="7">
        <f>(K934-K932)</f>
      </c>
      <c r="O933" s="7">
        <f>+(L934-L932)</f>
      </c>
      <c r="P933" s="7">
        <f>SQRT(O933^2+N933^2)</f>
      </c>
      <c r="Q933" s="7">
        <f>N933/$P933</f>
      </c>
      <c r="R933" s="7">
        <f>O933/$P933</f>
      </c>
      <c r="S933" s="8">
        <f>Q933^2+R933^2</f>
      </c>
      <c r="T933" s="7">
        <f>-R933</f>
      </c>
      <c r="U933" s="7">
        <f>Q933</f>
      </c>
      <c r="V933" s="7">
        <f>($C$14+($C$15-$C$14)/($D$15-$D$14)*(I933-$D$14))/2</f>
      </c>
      <c r="W933" s="7">
        <f>($B$22*I933^4+$C$22*I933^3+$D$22*I933^2+$E$22*I933+$F$22)/2</f>
      </c>
      <c r="X933" s="7">
        <f>($W933)*(T933)</f>
      </c>
      <c r="Y933" s="7">
        <f>($W933)*(U933)</f>
      </c>
      <c r="Z933" s="7">
        <f>SQRT(X933^2+Y933^2)</f>
      </c>
      <c r="AA933" s="7">
        <f>$K933+$X933</f>
      </c>
      <c r="AB933" s="7">
        <f>$L933+$Y933</f>
      </c>
      <c r="AC933" s="7">
        <f>$K933-$X933</f>
      </c>
      <c r="AD933" s="7">
        <f>$L933-$Y933</f>
      </c>
      <c r="AE933" s="7">
        <f>AA933/39.3701</f>
      </c>
      <c r="AF933" s="7">
        <f>AB933/39.3701</f>
      </c>
      <c r="AG933" s="7">
        <f>AC933/39.3701</f>
      </c>
      <c r="AH933" s="7">
        <f>AD933/39.3701</f>
      </c>
      <c r="AI933" s="1"/>
      <c r="AJ933" s="1"/>
      <c r="AK933" s="1"/>
      <c r="AL933" s="1"/>
      <c r="AM933" s="2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</row>
    <row x14ac:dyDescent="0.25" r="934" customHeight="1" ht="18.75">
      <c r="A934" s="1"/>
      <c r="B934" s="2"/>
      <c r="C934" s="2"/>
      <c r="D934" s="2"/>
      <c r="E934" s="2"/>
      <c r="F934" s="2"/>
      <c r="G934" s="1"/>
      <c r="H934" s="1"/>
      <c r="I934" s="7">
        <v>0.931</v>
      </c>
      <c r="J934" s="7">
        <f>IF((I934-ROUNDDOWN(I934,0))=0, 0, (I934-ROUNDDOWN(I934,0)))</f>
      </c>
      <c r="K934" s="7">
        <f>INDIRECT("C$"&amp;2+MIN(2,ROUNDDOWN(I934,0))*3)*(-$J934^3+3*$J934^2-3*$J934+1)+INDIRECT("C$"&amp;3+MIN(2,ROUNDDOWN(I934,0))*3)*(3*$J934^3-6*$J934^2+3*$J934)+INDIRECT("C$"&amp;4+MIN(2,ROUNDDOWN(I934,0))*3)*(-3*$J934^3+3*$J934^2)+INDIRECT("C$"&amp;5+MIN(2,ROUNDDOWN(I934,0))*3)*$J934^3</f>
      </c>
      <c r="L934" s="7">
        <f>INDIRECT("D$"&amp;2+MIN(2,ROUNDDOWN(I934,0))*3)*(-$J934^3+3*$J934^2-3*$J934+1)+INDIRECT("D$"&amp;3+MIN(2,ROUNDDOWN(I934,0))*3)*(3*$J934^3-6*$J934^2+3*$J934)+INDIRECT("D$"&amp;4+MIN(2,ROUNDDOWN(I934,0))*3)*(-3*$J934^3+3*$J934^2)+INDIRECT("D$"&amp;5+MIN(2,ROUNDDOWN(I934,0))*3)*$J934^3</f>
      </c>
      <c r="M934" s="7">
        <f>SQRT(K934^2+L934^2)</f>
      </c>
      <c r="N934" s="7">
        <f>(K935-K933)</f>
      </c>
      <c r="O934" s="7">
        <f>+(L935-L933)</f>
      </c>
      <c r="P934" s="7">
        <f>SQRT(O934^2+N934^2)</f>
      </c>
      <c r="Q934" s="7">
        <f>N934/$P934</f>
      </c>
      <c r="R934" s="7">
        <f>O934/$P934</f>
      </c>
      <c r="S934" s="8">
        <f>Q934^2+R934^2</f>
      </c>
      <c r="T934" s="7">
        <f>-R934</f>
      </c>
      <c r="U934" s="7">
        <f>Q934</f>
      </c>
      <c r="V934" s="7">
        <f>($C$14+($C$15-$C$14)/($D$15-$D$14)*(I934-$D$14))/2</f>
      </c>
      <c r="W934" s="7">
        <f>($B$22*I934^4+$C$22*I934^3+$D$22*I934^2+$E$22*I934+$F$22)/2</f>
      </c>
      <c r="X934" s="7">
        <f>($W934)*(T934)</f>
      </c>
      <c r="Y934" s="7">
        <f>($W934)*(U934)</f>
      </c>
      <c r="Z934" s="7">
        <f>SQRT(X934^2+Y934^2)</f>
      </c>
      <c r="AA934" s="7">
        <f>$K934+$X934</f>
      </c>
      <c r="AB934" s="7">
        <f>$L934+$Y934</f>
      </c>
      <c r="AC934" s="7">
        <f>$K934-$X934</f>
      </c>
      <c r="AD934" s="7">
        <f>$L934-$Y934</f>
      </c>
      <c r="AE934" s="7">
        <f>AA934/39.3701</f>
      </c>
      <c r="AF934" s="7">
        <f>AB934/39.3701</f>
      </c>
      <c r="AG934" s="7">
        <f>AC934/39.3701</f>
      </c>
      <c r="AH934" s="7">
        <f>AD934/39.3701</f>
      </c>
      <c r="AI934" s="1"/>
      <c r="AJ934" s="1"/>
      <c r="AK934" s="1"/>
      <c r="AL934" s="1"/>
      <c r="AM934" s="2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</row>
    <row x14ac:dyDescent="0.25" r="935" customHeight="1" ht="18.75">
      <c r="A935" s="1"/>
      <c r="B935" s="2"/>
      <c r="C935" s="2"/>
      <c r="D935" s="2"/>
      <c r="E935" s="2"/>
      <c r="F935" s="2"/>
      <c r="G935" s="1"/>
      <c r="H935" s="1"/>
      <c r="I935" s="7">
        <v>0.932</v>
      </c>
      <c r="J935" s="7">
        <f>IF((I935-ROUNDDOWN(I935,0))=0, 0, (I935-ROUNDDOWN(I935,0)))</f>
      </c>
      <c r="K935" s="7">
        <f>INDIRECT("C$"&amp;2+MIN(2,ROUNDDOWN(I935,0))*3)*(-$J935^3+3*$J935^2-3*$J935+1)+INDIRECT("C$"&amp;3+MIN(2,ROUNDDOWN(I935,0))*3)*(3*$J935^3-6*$J935^2+3*$J935)+INDIRECT("C$"&amp;4+MIN(2,ROUNDDOWN(I935,0))*3)*(-3*$J935^3+3*$J935^2)+INDIRECT("C$"&amp;5+MIN(2,ROUNDDOWN(I935,0))*3)*$J935^3</f>
      </c>
      <c r="L935" s="7">
        <f>INDIRECT("D$"&amp;2+MIN(2,ROUNDDOWN(I935,0))*3)*(-$J935^3+3*$J935^2-3*$J935+1)+INDIRECT("D$"&amp;3+MIN(2,ROUNDDOWN(I935,0))*3)*(3*$J935^3-6*$J935^2+3*$J935)+INDIRECT("D$"&amp;4+MIN(2,ROUNDDOWN(I935,0))*3)*(-3*$J935^3+3*$J935^2)+INDIRECT("D$"&amp;5+MIN(2,ROUNDDOWN(I935,0))*3)*$J935^3</f>
      </c>
      <c r="M935" s="7">
        <f>SQRT(K935^2+L935^2)</f>
      </c>
      <c r="N935" s="7">
        <f>(K936-K934)</f>
      </c>
      <c r="O935" s="7">
        <f>+(L936-L934)</f>
      </c>
      <c r="P935" s="7">
        <f>SQRT(O935^2+N935^2)</f>
      </c>
      <c r="Q935" s="7">
        <f>N935/$P935</f>
      </c>
      <c r="R935" s="7">
        <f>O935/$P935</f>
      </c>
      <c r="S935" s="8">
        <f>Q935^2+R935^2</f>
      </c>
      <c r="T935" s="7">
        <f>-R935</f>
      </c>
      <c r="U935" s="7">
        <f>Q935</f>
      </c>
      <c r="V935" s="7">
        <f>($C$14+($C$15-$C$14)/($D$15-$D$14)*(I935-$D$14))/2</f>
      </c>
      <c r="W935" s="7">
        <f>($B$22*I935^4+$C$22*I935^3+$D$22*I935^2+$E$22*I935+$F$22)/2</f>
      </c>
      <c r="X935" s="7">
        <f>($W935)*(T935)</f>
      </c>
      <c r="Y935" s="7">
        <f>($W935)*(U935)</f>
      </c>
      <c r="Z935" s="7">
        <f>SQRT(X935^2+Y935^2)</f>
      </c>
      <c r="AA935" s="7">
        <f>$K935+$X935</f>
      </c>
      <c r="AB935" s="7">
        <f>$L935+$Y935</f>
      </c>
      <c r="AC935" s="7">
        <f>$K935-$X935</f>
      </c>
      <c r="AD935" s="7">
        <f>$L935-$Y935</f>
      </c>
      <c r="AE935" s="7">
        <f>AA935/39.3701</f>
      </c>
      <c r="AF935" s="7">
        <f>AB935/39.3701</f>
      </c>
      <c r="AG935" s="7">
        <f>AC935/39.3701</f>
      </c>
      <c r="AH935" s="7">
        <f>AD935/39.3701</f>
      </c>
      <c r="AI935" s="1"/>
      <c r="AJ935" s="1"/>
      <c r="AK935" s="1"/>
      <c r="AL935" s="1"/>
      <c r="AM935" s="2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</row>
    <row x14ac:dyDescent="0.25" r="936" customHeight="1" ht="18.75">
      <c r="A936" s="1"/>
      <c r="B936" s="2"/>
      <c r="C936" s="2"/>
      <c r="D936" s="2"/>
      <c r="E936" s="2"/>
      <c r="F936" s="2"/>
      <c r="G936" s="1"/>
      <c r="H936" s="1"/>
      <c r="I936" s="7">
        <v>0.933</v>
      </c>
      <c r="J936" s="7">
        <f>IF((I936-ROUNDDOWN(I936,0))=0, 0, (I936-ROUNDDOWN(I936,0)))</f>
      </c>
      <c r="K936" s="7">
        <f>INDIRECT("C$"&amp;2+MIN(2,ROUNDDOWN(I936,0))*3)*(-$J936^3+3*$J936^2-3*$J936+1)+INDIRECT("C$"&amp;3+MIN(2,ROUNDDOWN(I936,0))*3)*(3*$J936^3-6*$J936^2+3*$J936)+INDIRECT("C$"&amp;4+MIN(2,ROUNDDOWN(I936,0))*3)*(-3*$J936^3+3*$J936^2)+INDIRECT("C$"&amp;5+MIN(2,ROUNDDOWN(I936,0))*3)*$J936^3</f>
      </c>
      <c r="L936" s="7">
        <f>INDIRECT("D$"&amp;2+MIN(2,ROUNDDOWN(I936,0))*3)*(-$J936^3+3*$J936^2-3*$J936+1)+INDIRECT("D$"&amp;3+MIN(2,ROUNDDOWN(I936,0))*3)*(3*$J936^3-6*$J936^2+3*$J936)+INDIRECT("D$"&amp;4+MIN(2,ROUNDDOWN(I936,0))*3)*(-3*$J936^3+3*$J936^2)+INDIRECT("D$"&amp;5+MIN(2,ROUNDDOWN(I936,0))*3)*$J936^3</f>
      </c>
      <c r="M936" s="7">
        <f>SQRT(K936^2+L936^2)</f>
      </c>
      <c r="N936" s="7">
        <f>(K937-K935)</f>
      </c>
      <c r="O936" s="7">
        <f>+(L937-L935)</f>
      </c>
      <c r="P936" s="7">
        <f>SQRT(O936^2+N936^2)</f>
      </c>
      <c r="Q936" s="7">
        <f>N936/$P936</f>
      </c>
      <c r="R936" s="7">
        <f>O936/$P936</f>
      </c>
      <c r="S936" s="8">
        <f>Q936^2+R936^2</f>
      </c>
      <c r="T936" s="7">
        <f>-R936</f>
      </c>
      <c r="U936" s="7">
        <f>Q936</f>
      </c>
      <c r="V936" s="7">
        <f>($C$14+($C$15-$C$14)/($D$15-$D$14)*(I936-$D$14))/2</f>
      </c>
      <c r="W936" s="7">
        <f>($B$22*I936^4+$C$22*I936^3+$D$22*I936^2+$E$22*I936+$F$22)/2</f>
      </c>
      <c r="X936" s="7">
        <f>($W936)*(T936)</f>
      </c>
      <c r="Y936" s="7">
        <f>($W936)*(U936)</f>
      </c>
      <c r="Z936" s="7">
        <f>SQRT(X936^2+Y936^2)</f>
      </c>
      <c r="AA936" s="7">
        <f>$K936+$X936</f>
      </c>
      <c r="AB936" s="7">
        <f>$L936+$Y936</f>
      </c>
      <c r="AC936" s="7">
        <f>$K936-$X936</f>
      </c>
      <c r="AD936" s="7">
        <f>$L936-$Y936</f>
      </c>
      <c r="AE936" s="7">
        <f>AA936/39.3701</f>
      </c>
      <c r="AF936" s="7">
        <f>AB936/39.3701</f>
      </c>
      <c r="AG936" s="7">
        <f>AC936/39.3701</f>
      </c>
      <c r="AH936" s="7">
        <f>AD936/39.3701</f>
      </c>
      <c r="AI936" s="1"/>
      <c r="AJ936" s="1"/>
      <c r="AK936" s="1"/>
      <c r="AL936" s="1"/>
      <c r="AM936" s="2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</row>
    <row x14ac:dyDescent="0.25" r="937" customHeight="1" ht="18.75">
      <c r="A937" s="1"/>
      <c r="B937" s="2"/>
      <c r="C937" s="2"/>
      <c r="D937" s="2"/>
      <c r="E937" s="2"/>
      <c r="F937" s="2"/>
      <c r="G937" s="1"/>
      <c r="H937" s="1"/>
      <c r="I937" s="7">
        <v>0.934</v>
      </c>
      <c r="J937" s="7">
        <f>IF((I937-ROUNDDOWN(I937,0))=0, 0, (I937-ROUNDDOWN(I937,0)))</f>
      </c>
      <c r="K937" s="7">
        <f>INDIRECT("C$"&amp;2+MIN(2,ROUNDDOWN(I937,0))*3)*(-$J937^3+3*$J937^2-3*$J937+1)+INDIRECT("C$"&amp;3+MIN(2,ROUNDDOWN(I937,0))*3)*(3*$J937^3-6*$J937^2+3*$J937)+INDIRECT("C$"&amp;4+MIN(2,ROUNDDOWN(I937,0))*3)*(-3*$J937^3+3*$J937^2)+INDIRECT("C$"&amp;5+MIN(2,ROUNDDOWN(I937,0))*3)*$J937^3</f>
      </c>
      <c r="L937" s="7">
        <f>INDIRECT("D$"&amp;2+MIN(2,ROUNDDOWN(I937,0))*3)*(-$J937^3+3*$J937^2-3*$J937+1)+INDIRECT("D$"&amp;3+MIN(2,ROUNDDOWN(I937,0))*3)*(3*$J937^3-6*$J937^2+3*$J937)+INDIRECT("D$"&amp;4+MIN(2,ROUNDDOWN(I937,0))*3)*(-3*$J937^3+3*$J937^2)+INDIRECT("D$"&amp;5+MIN(2,ROUNDDOWN(I937,0))*3)*$J937^3</f>
      </c>
      <c r="M937" s="7">
        <f>SQRT(K937^2+L937^2)</f>
      </c>
      <c r="N937" s="7">
        <f>(K938-K936)</f>
      </c>
      <c r="O937" s="7">
        <f>+(L938-L936)</f>
      </c>
      <c r="P937" s="7">
        <f>SQRT(O937^2+N937^2)</f>
      </c>
      <c r="Q937" s="7">
        <f>N937/$P937</f>
      </c>
      <c r="R937" s="7">
        <f>O937/$P937</f>
      </c>
      <c r="S937" s="7">
        <f>Q937^2+R937^2</f>
      </c>
      <c r="T937" s="7">
        <f>-R937</f>
      </c>
      <c r="U937" s="7">
        <f>Q937</f>
      </c>
      <c r="V937" s="7">
        <f>($C$14+($C$15-$C$14)/($D$15-$D$14)*(I937-$D$14))/2</f>
      </c>
      <c r="W937" s="7">
        <f>($B$22*I937^4+$C$22*I937^3+$D$22*I937^2+$E$22*I937+$F$22)/2</f>
      </c>
      <c r="X937" s="7">
        <f>($W937)*(T937)</f>
      </c>
      <c r="Y937" s="7">
        <f>($W937)*(U937)</f>
      </c>
      <c r="Z937" s="7">
        <f>SQRT(X937^2+Y937^2)</f>
      </c>
      <c r="AA937" s="7">
        <f>$K937+$X937</f>
      </c>
      <c r="AB937" s="7">
        <f>$L937+$Y937</f>
      </c>
      <c r="AC937" s="7">
        <f>$K937-$X937</f>
      </c>
      <c r="AD937" s="7">
        <f>$L937-$Y937</f>
      </c>
      <c r="AE937" s="7">
        <f>AA937/39.3701</f>
      </c>
      <c r="AF937" s="7">
        <f>AB937/39.3701</f>
      </c>
      <c r="AG937" s="7">
        <f>AC937/39.3701</f>
      </c>
      <c r="AH937" s="7">
        <f>AD937/39.3701</f>
      </c>
      <c r="AI937" s="1"/>
      <c r="AJ937" s="1"/>
      <c r="AK937" s="1"/>
      <c r="AL937" s="1"/>
      <c r="AM937" s="2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</row>
    <row x14ac:dyDescent="0.25" r="938" customHeight="1" ht="18.75">
      <c r="A938" s="1"/>
      <c r="B938" s="2"/>
      <c r="C938" s="2"/>
      <c r="D938" s="2"/>
      <c r="E938" s="2"/>
      <c r="F938" s="2"/>
      <c r="G938" s="1"/>
      <c r="H938" s="1"/>
      <c r="I938" s="7">
        <v>0.935</v>
      </c>
      <c r="J938" s="7">
        <f>IF((I938-ROUNDDOWN(I938,0))=0, 0, (I938-ROUNDDOWN(I938,0)))</f>
      </c>
      <c r="K938" s="7">
        <f>INDIRECT("C$"&amp;2+MIN(2,ROUNDDOWN(I938,0))*3)*(-$J938^3+3*$J938^2-3*$J938+1)+INDIRECT("C$"&amp;3+MIN(2,ROUNDDOWN(I938,0))*3)*(3*$J938^3-6*$J938^2+3*$J938)+INDIRECT("C$"&amp;4+MIN(2,ROUNDDOWN(I938,0))*3)*(-3*$J938^3+3*$J938^2)+INDIRECT("C$"&amp;5+MIN(2,ROUNDDOWN(I938,0))*3)*$J938^3</f>
      </c>
      <c r="L938" s="7">
        <f>INDIRECT("D$"&amp;2+MIN(2,ROUNDDOWN(I938,0))*3)*(-$J938^3+3*$J938^2-3*$J938+1)+INDIRECT("D$"&amp;3+MIN(2,ROUNDDOWN(I938,0))*3)*(3*$J938^3-6*$J938^2+3*$J938)+INDIRECT("D$"&amp;4+MIN(2,ROUNDDOWN(I938,0))*3)*(-3*$J938^3+3*$J938^2)+INDIRECT("D$"&amp;5+MIN(2,ROUNDDOWN(I938,0))*3)*$J938^3</f>
      </c>
      <c r="M938" s="7">
        <f>SQRT(K938^2+L938^2)</f>
      </c>
      <c r="N938" s="7">
        <f>(K939-K937)</f>
      </c>
      <c r="O938" s="7">
        <f>+(L939-L937)</f>
      </c>
      <c r="P938" s="7">
        <f>SQRT(O938^2+N938^2)</f>
      </c>
      <c r="Q938" s="7">
        <f>N938/$P938</f>
      </c>
      <c r="R938" s="7">
        <f>O938/$P938</f>
      </c>
      <c r="S938" s="8">
        <f>Q938^2+R938^2</f>
      </c>
      <c r="T938" s="7">
        <f>-R938</f>
      </c>
      <c r="U938" s="7">
        <f>Q938</f>
      </c>
      <c r="V938" s="7">
        <f>($C$14+($C$15-$C$14)/($D$15-$D$14)*(I938-$D$14))/2</f>
      </c>
      <c r="W938" s="7">
        <f>($B$22*I938^4+$C$22*I938^3+$D$22*I938^2+$E$22*I938+$F$22)/2</f>
      </c>
      <c r="X938" s="7">
        <f>($W938)*(T938)</f>
      </c>
      <c r="Y938" s="7">
        <f>($W938)*(U938)</f>
      </c>
      <c r="Z938" s="7">
        <f>SQRT(X938^2+Y938^2)</f>
      </c>
      <c r="AA938" s="7">
        <f>$K938+$X938</f>
      </c>
      <c r="AB938" s="7">
        <f>$L938+$Y938</f>
      </c>
      <c r="AC938" s="7">
        <f>$K938-$X938</f>
      </c>
      <c r="AD938" s="7">
        <f>$L938-$Y938</f>
      </c>
      <c r="AE938" s="7">
        <f>AA938/39.3701</f>
      </c>
      <c r="AF938" s="7">
        <f>AB938/39.3701</f>
      </c>
      <c r="AG938" s="7">
        <f>AC938/39.3701</f>
      </c>
      <c r="AH938" s="7">
        <f>AD938/39.3701</f>
      </c>
      <c r="AI938" s="1"/>
      <c r="AJ938" s="1"/>
      <c r="AK938" s="1"/>
      <c r="AL938" s="1"/>
      <c r="AM938" s="2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</row>
    <row x14ac:dyDescent="0.25" r="939" customHeight="1" ht="18.75">
      <c r="A939" s="1"/>
      <c r="B939" s="2"/>
      <c r="C939" s="2"/>
      <c r="D939" s="2"/>
      <c r="E939" s="2"/>
      <c r="F939" s="2"/>
      <c r="G939" s="1"/>
      <c r="H939" s="1"/>
      <c r="I939" s="7">
        <v>0.936</v>
      </c>
      <c r="J939" s="7">
        <f>IF((I939-ROUNDDOWN(I939,0))=0, 0, (I939-ROUNDDOWN(I939,0)))</f>
      </c>
      <c r="K939" s="7">
        <f>INDIRECT("C$"&amp;2+MIN(2,ROUNDDOWN(I939,0))*3)*(-$J939^3+3*$J939^2-3*$J939+1)+INDIRECT("C$"&amp;3+MIN(2,ROUNDDOWN(I939,0))*3)*(3*$J939^3-6*$J939^2+3*$J939)+INDIRECT("C$"&amp;4+MIN(2,ROUNDDOWN(I939,0))*3)*(-3*$J939^3+3*$J939^2)+INDIRECT("C$"&amp;5+MIN(2,ROUNDDOWN(I939,0))*3)*$J939^3</f>
      </c>
      <c r="L939" s="7">
        <f>INDIRECT("D$"&amp;2+MIN(2,ROUNDDOWN(I939,0))*3)*(-$J939^3+3*$J939^2-3*$J939+1)+INDIRECT("D$"&amp;3+MIN(2,ROUNDDOWN(I939,0))*3)*(3*$J939^3-6*$J939^2+3*$J939)+INDIRECT("D$"&amp;4+MIN(2,ROUNDDOWN(I939,0))*3)*(-3*$J939^3+3*$J939^2)+INDIRECT("D$"&amp;5+MIN(2,ROUNDDOWN(I939,0))*3)*$J939^3</f>
      </c>
      <c r="M939" s="7">
        <f>SQRT(K939^2+L939^2)</f>
      </c>
      <c r="N939" s="7">
        <f>(K940-K938)</f>
      </c>
      <c r="O939" s="7">
        <f>+(L940-L938)</f>
      </c>
      <c r="P939" s="7">
        <f>SQRT(O939^2+N939^2)</f>
      </c>
      <c r="Q939" s="7">
        <f>N939/$P939</f>
      </c>
      <c r="R939" s="7">
        <f>O939/$P939</f>
      </c>
      <c r="S939" s="8">
        <f>Q939^2+R939^2</f>
      </c>
      <c r="T939" s="7">
        <f>-R939</f>
      </c>
      <c r="U939" s="7">
        <f>Q939</f>
      </c>
      <c r="V939" s="7">
        <f>($C$14+($C$15-$C$14)/($D$15-$D$14)*(I939-$D$14))/2</f>
      </c>
      <c r="W939" s="7">
        <f>($B$22*I939^4+$C$22*I939^3+$D$22*I939^2+$E$22*I939+$F$22)/2</f>
      </c>
      <c r="X939" s="7">
        <f>($W939)*(T939)</f>
      </c>
      <c r="Y939" s="7">
        <f>($W939)*(U939)</f>
      </c>
      <c r="Z939" s="7">
        <f>SQRT(X939^2+Y939^2)</f>
      </c>
      <c r="AA939" s="7">
        <f>$K939+$X939</f>
      </c>
      <c r="AB939" s="7">
        <f>$L939+$Y939</f>
      </c>
      <c r="AC939" s="7">
        <f>$K939-$X939</f>
      </c>
      <c r="AD939" s="7">
        <f>$L939-$Y939</f>
      </c>
      <c r="AE939" s="7">
        <f>AA939/39.3701</f>
      </c>
      <c r="AF939" s="7">
        <f>AB939/39.3701</f>
      </c>
      <c r="AG939" s="7">
        <f>AC939/39.3701</f>
      </c>
      <c r="AH939" s="7">
        <f>AD939/39.3701</f>
      </c>
      <c r="AI939" s="1"/>
      <c r="AJ939" s="1"/>
      <c r="AK939" s="1"/>
      <c r="AL939" s="1"/>
      <c r="AM939" s="2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</row>
    <row x14ac:dyDescent="0.25" r="940" customHeight="1" ht="18.75">
      <c r="A940" s="1"/>
      <c r="B940" s="2"/>
      <c r="C940" s="2"/>
      <c r="D940" s="2"/>
      <c r="E940" s="2"/>
      <c r="F940" s="2"/>
      <c r="G940" s="1"/>
      <c r="H940" s="1"/>
      <c r="I940" s="7">
        <v>0.937</v>
      </c>
      <c r="J940" s="7">
        <f>IF((I940-ROUNDDOWN(I940,0))=0, 0, (I940-ROUNDDOWN(I940,0)))</f>
      </c>
      <c r="K940" s="7">
        <f>INDIRECT("C$"&amp;2+MIN(2,ROUNDDOWN(I940,0))*3)*(-$J940^3+3*$J940^2-3*$J940+1)+INDIRECT("C$"&amp;3+MIN(2,ROUNDDOWN(I940,0))*3)*(3*$J940^3-6*$J940^2+3*$J940)+INDIRECT("C$"&amp;4+MIN(2,ROUNDDOWN(I940,0))*3)*(-3*$J940^3+3*$J940^2)+INDIRECT("C$"&amp;5+MIN(2,ROUNDDOWN(I940,0))*3)*$J940^3</f>
      </c>
      <c r="L940" s="7">
        <f>INDIRECT("D$"&amp;2+MIN(2,ROUNDDOWN(I940,0))*3)*(-$J940^3+3*$J940^2-3*$J940+1)+INDIRECT("D$"&amp;3+MIN(2,ROUNDDOWN(I940,0))*3)*(3*$J940^3-6*$J940^2+3*$J940)+INDIRECT("D$"&amp;4+MIN(2,ROUNDDOWN(I940,0))*3)*(-3*$J940^3+3*$J940^2)+INDIRECT("D$"&amp;5+MIN(2,ROUNDDOWN(I940,0))*3)*$J940^3</f>
      </c>
      <c r="M940" s="7">
        <f>SQRT(K940^2+L940^2)</f>
      </c>
      <c r="N940" s="7">
        <f>(K941-K939)</f>
      </c>
      <c r="O940" s="7">
        <f>+(L941-L939)</f>
      </c>
      <c r="P940" s="7">
        <f>SQRT(O940^2+N940^2)</f>
      </c>
      <c r="Q940" s="7">
        <f>N940/$P940</f>
      </c>
      <c r="R940" s="7">
        <f>O940/$P940</f>
      </c>
      <c r="S940" s="7">
        <f>Q940^2+R940^2</f>
      </c>
      <c r="T940" s="7">
        <f>-R940</f>
      </c>
      <c r="U940" s="7">
        <f>Q940</f>
      </c>
      <c r="V940" s="7">
        <f>($C$14+($C$15-$C$14)/($D$15-$D$14)*(I940-$D$14))/2</f>
      </c>
      <c r="W940" s="7">
        <f>($B$22*I940^4+$C$22*I940^3+$D$22*I940^2+$E$22*I940+$F$22)/2</f>
      </c>
      <c r="X940" s="7">
        <f>($W940)*(T940)</f>
      </c>
      <c r="Y940" s="7">
        <f>($W940)*(U940)</f>
      </c>
      <c r="Z940" s="7">
        <f>SQRT(X940^2+Y940^2)</f>
      </c>
      <c r="AA940" s="7">
        <f>$K940+$X940</f>
      </c>
      <c r="AB940" s="7">
        <f>$L940+$Y940</f>
      </c>
      <c r="AC940" s="7">
        <f>$K940-$X940</f>
      </c>
      <c r="AD940" s="7">
        <f>$L940-$Y940</f>
      </c>
      <c r="AE940" s="7">
        <f>AA940/39.3701</f>
      </c>
      <c r="AF940" s="7">
        <f>AB940/39.3701</f>
      </c>
      <c r="AG940" s="7">
        <f>AC940/39.3701</f>
      </c>
      <c r="AH940" s="7">
        <f>AD940/39.3701</f>
      </c>
      <c r="AI940" s="1"/>
      <c r="AJ940" s="1"/>
      <c r="AK940" s="1"/>
      <c r="AL940" s="1"/>
      <c r="AM940" s="2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</row>
    <row x14ac:dyDescent="0.25" r="941" customHeight="1" ht="18.75">
      <c r="A941" s="1"/>
      <c r="B941" s="2"/>
      <c r="C941" s="2"/>
      <c r="D941" s="2"/>
      <c r="E941" s="2"/>
      <c r="F941" s="2"/>
      <c r="G941" s="1"/>
      <c r="H941" s="1"/>
      <c r="I941" s="7">
        <v>0.938</v>
      </c>
      <c r="J941" s="7">
        <f>IF((I941-ROUNDDOWN(I941,0))=0, 0, (I941-ROUNDDOWN(I941,0)))</f>
      </c>
      <c r="K941" s="7">
        <f>INDIRECT("C$"&amp;2+MIN(2,ROUNDDOWN(I941,0))*3)*(-$J941^3+3*$J941^2-3*$J941+1)+INDIRECT("C$"&amp;3+MIN(2,ROUNDDOWN(I941,0))*3)*(3*$J941^3-6*$J941^2+3*$J941)+INDIRECT("C$"&amp;4+MIN(2,ROUNDDOWN(I941,0))*3)*(-3*$J941^3+3*$J941^2)+INDIRECT("C$"&amp;5+MIN(2,ROUNDDOWN(I941,0))*3)*$J941^3</f>
      </c>
      <c r="L941" s="7">
        <f>INDIRECT("D$"&amp;2+MIN(2,ROUNDDOWN(I941,0))*3)*(-$J941^3+3*$J941^2-3*$J941+1)+INDIRECT("D$"&amp;3+MIN(2,ROUNDDOWN(I941,0))*3)*(3*$J941^3-6*$J941^2+3*$J941)+INDIRECT("D$"&amp;4+MIN(2,ROUNDDOWN(I941,0))*3)*(-3*$J941^3+3*$J941^2)+INDIRECT("D$"&amp;5+MIN(2,ROUNDDOWN(I941,0))*3)*$J941^3</f>
      </c>
      <c r="M941" s="7">
        <f>SQRT(K941^2+L941^2)</f>
      </c>
      <c r="N941" s="7">
        <f>(K942-K940)</f>
      </c>
      <c r="O941" s="7">
        <f>+(L942-L940)</f>
      </c>
      <c r="P941" s="7">
        <f>SQRT(O941^2+N941^2)</f>
      </c>
      <c r="Q941" s="7">
        <f>N941/$P941</f>
      </c>
      <c r="R941" s="7">
        <f>O941/$P941</f>
      </c>
      <c r="S941" s="8">
        <f>Q941^2+R941^2</f>
      </c>
      <c r="T941" s="7">
        <f>-R941</f>
      </c>
      <c r="U941" s="7">
        <f>Q941</f>
      </c>
      <c r="V941" s="7">
        <f>($C$14+($C$15-$C$14)/($D$15-$D$14)*(I941-$D$14))/2</f>
      </c>
      <c r="W941" s="7">
        <f>($B$22*I941^4+$C$22*I941^3+$D$22*I941^2+$E$22*I941+$F$22)/2</f>
      </c>
      <c r="X941" s="7">
        <f>($W941)*(T941)</f>
      </c>
      <c r="Y941" s="7">
        <f>($W941)*(U941)</f>
      </c>
      <c r="Z941" s="7">
        <f>SQRT(X941^2+Y941^2)</f>
      </c>
      <c r="AA941" s="7">
        <f>$K941+$X941</f>
      </c>
      <c r="AB941" s="7">
        <f>$L941+$Y941</f>
      </c>
      <c r="AC941" s="7">
        <f>$K941-$X941</f>
      </c>
      <c r="AD941" s="7">
        <f>$L941-$Y941</f>
      </c>
      <c r="AE941" s="7">
        <f>AA941/39.3701</f>
      </c>
      <c r="AF941" s="7">
        <f>AB941/39.3701</f>
      </c>
      <c r="AG941" s="7">
        <f>AC941/39.3701</f>
      </c>
      <c r="AH941" s="7">
        <f>AD941/39.3701</f>
      </c>
      <c r="AI941" s="1"/>
      <c r="AJ941" s="1"/>
      <c r="AK941" s="1"/>
      <c r="AL941" s="1"/>
      <c r="AM941" s="2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</row>
    <row x14ac:dyDescent="0.25" r="942" customHeight="1" ht="18.75">
      <c r="A942" s="1"/>
      <c r="B942" s="2"/>
      <c r="C942" s="2"/>
      <c r="D942" s="2"/>
      <c r="E942" s="2"/>
      <c r="F942" s="2"/>
      <c r="G942" s="1"/>
      <c r="H942" s="1"/>
      <c r="I942" s="7">
        <v>0.939</v>
      </c>
      <c r="J942" s="7">
        <f>IF((I942-ROUNDDOWN(I942,0))=0, 0, (I942-ROUNDDOWN(I942,0)))</f>
      </c>
      <c r="K942" s="7">
        <f>INDIRECT("C$"&amp;2+MIN(2,ROUNDDOWN(I942,0))*3)*(-$J942^3+3*$J942^2-3*$J942+1)+INDIRECT("C$"&amp;3+MIN(2,ROUNDDOWN(I942,0))*3)*(3*$J942^3-6*$J942^2+3*$J942)+INDIRECT("C$"&amp;4+MIN(2,ROUNDDOWN(I942,0))*3)*(-3*$J942^3+3*$J942^2)+INDIRECT("C$"&amp;5+MIN(2,ROUNDDOWN(I942,0))*3)*$J942^3</f>
      </c>
      <c r="L942" s="7">
        <f>INDIRECT("D$"&amp;2+MIN(2,ROUNDDOWN(I942,0))*3)*(-$J942^3+3*$J942^2-3*$J942+1)+INDIRECT("D$"&amp;3+MIN(2,ROUNDDOWN(I942,0))*3)*(3*$J942^3-6*$J942^2+3*$J942)+INDIRECT("D$"&amp;4+MIN(2,ROUNDDOWN(I942,0))*3)*(-3*$J942^3+3*$J942^2)+INDIRECT("D$"&amp;5+MIN(2,ROUNDDOWN(I942,0))*3)*$J942^3</f>
      </c>
      <c r="M942" s="7">
        <f>SQRT(K942^2+L942^2)</f>
      </c>
      <c r="N942" s="7">
        <f>(K943-K941)</f>
      </c>
      <c r="O942" s="7">
        <f>+(L943-L941)</f>
      </c>
      <c r="P942" s="7">
        <f>SQRT(O942^2+N942^2)</f>
      </c>
      <c r="Q942" s="7">
        <f>N942/$P942</f>
      </c>
      <c r="R942" s="7">
        <f>O942/$P942</f>
      </c>
      <c r="S942" s="8">
        <f>Q942^2+R942^2</f>
      </c>
      <c r="T942" s="7">
        <f>-R942</f>
      </c>
      <c r="U942" s="7">
        <f>Q942</f>
      </c>
      <c r="V942" s="7">
        <f>($C$14+($C$15-$C$14)/($D$15-$D$14)*(I942-$D$14))/2</f>
      </c>
      <c r="W942" s="7">
        <f>($B$22*I942^4+$C$22*I942^3+$D$22*I942^2+$E$22*I942+$F$22)/2</f>
      </c>
      <c r="X942" s="7">
        <f>($W942)*(T942)</f>
      </c>
      <c r="Y942" s="7">
        <f>($W942)*(U942)</f>
      </c>
      <c r="Z942" s="7">
        <f>SQRT(X942^2+Y942^2)</f>
      </c>
      <c r="AA942" s="7">
        <f>$K942+$X942</f>
      </c>
      <c r="AB942" s="7">
        <f>$L942+$Y942</f>
      </c>
      <c r="AC942" s="7">
        <f>$K942-$X942</f>
      </c>
      <c r="AD942" s="7">
        <f>$L942-$Y942</f>
      </c>
      <c r="AE942" s="7">
        <f>AA942/39.3701</f>
      </c>
      <c r="AF942" s="7">
        <f>AB942/39.3701</f>
      </c>
      <c r="AG942" s="7">
        <f>AC942/39.3701</f>
      </c>
      <c r="AH942" s="7">
        <f>AD942/39.3701</f>
      </c>
      <c r="AI942" s="1"/>
      <c r="AJ942" s="1"/>
      <c r="AK942" s="1"/>
      <c r="AL942" s="1"/>
      <c r="AM942" s="2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</row>
    <row x14ac:dyDescent="0.25" r="943" customHeight="1" ht="18.75">
      <c r="A943" s="1"/>
      <c r="B943" s="2"/>
      <c r="C943" s="2"/>
      <c r="D943" s="2"/>
      <c r="E943" s="2"/>
      <c r="F943" s="2"/>
      <c r="G943" s="1"/>
      <c r="H943" s="1"/>
      <c r="I943" s="7">
        <v>0.94</v>
      </c>
      <c r="J943" s="7">
        <f>IF((I943-ROUNDDOWN(I943,0))=0, 0, (I943-ROUNDDOWN(I943,0)))</f>
      </c>
      <c r="K943" s="7">
        <f>INDIRECT("C$"&amp;2+MIN(2,ROUNDDOWN(I943,0))*3)*(-$J943^3+3*$J943^2-3*$J943+1)+INDIRECT("C$"&amp;3+MIN(2,ROUNDDOWN(I943,0))*3)*(3*$J943^3-6*$J943^2+3*$J943)+INDIRECT("C$"&amp;4+MIN(2,ROUNDDOWN(I943,0))*3)*(-3*$J943^3+3*$J943^2)+INDIRECT("C$"&amp;5+MIN(2,ROUNDDOWN(I943,0))*3)*$J943^3</f>
      </c>
      <c r="L943" s="7">
        <f>INDIRECT("D$"&amp;2+MIN(2,ROUNDDOWN(I943,0))*3)*(-$J943^3+3*$J943^2-3*$J943+1)+INDIRECT("D$"&amp;3+MIN(2,ROUNDDOWN(I943,0))*3)*(3*$J943^3-6*$J943^2+3*$J943)+INDIRECT("D$"&amp;4+MIN(2,ROUNDDOWN(I943,0))*3)*(-3*$J943^3+3*$J943^2)+INDIRECT("D$"&amp;5+MIN(2,ROUNDDOWN(I943,0))*3)*$J943^3</f>
      </c>
      <c r="M943" s="7">
        <f>SQRT(K943^2+L943^2)</f>
      </c>
      <c r="N943" s="7">
        <f>(K944-K942)</f>
      </c>
      <c r="O943" s="7">
        <f>+(L944-L942)</f>
      </c>
      <c r="P943" s="7">
        <f>SQRT(O943^2+N943^2)</f>
      </c>
      <c r="Q943" s="7">
        <f>N943/$P943</f>
      </c>
      <c r="R943" s="7">
        <f>O943/$P943</f>
      </c>
      <c r="S943" s="8">
        <f>Q943^2+R943^2</f>
      </c>
      <c r="T943" s="7">
        <f>-R943</f>
      </c>
      <c r="U943" s="7">
        <f>Q943</f>
      </c>
      <c r="V943" s="7">
        <f>($C$14+($C$15-$C$14)/($D$15-$D$14)*(I943-$D$14))/2</f>
      </c>
      <c r="W943" s="7">
        <f>($B$22*I943^4+$C$22*I943^3+$D$22*I943^2+$E$22*I943+$F$22)/2</f>
      </c>
      <c r="X943" s="7">
        <f>($W943)*(T943)</f>
      </c>
      <c r="Y943" s="7">
        <f>($W943)*(U943)</f>
      </c>
      <c r="Z943" s="7">
        <f>SQRT(X943^2+Y943^2)</f>
      </c>
      <c r="AA943" s="7">
        <f>$K943+$X943</f>
      </c>
      <c r="AB943" s="7">
        <f>$L943+$Y943</f>
      </c>
      <c r="AC943" s="7">
        <f>$K943-$X943</f>
      </c>
      <c r="AD943" s="7">
        <f>$L943-$Y943</f>
      </c>
      <c r="AE943" s="7">
        <f>AA943/39.3701</f>
      </c>
      <c r="AF943" s="7">
        <f>AB943/39.3701</f>
      </c>
      <c r="AG943" s="7">
        <f>AC943/39.3701</f>
      </c>
      <c r="AH943" s="7">
        <f>AD943/39.3701</f>
      </c>
      <c r="AI943" s="1"/>
      <c r="AJ943" s="1"/>
      <c r="AK943" s="1"/>
      <c r="AL943" s="1"/>
      <c r="AM943" s="2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</row>
    <row x14ac:dyDescent="0.25" r="944" customHeight="1" ht="18.75">
      <c r="A944" s="1"/>
      <c r="B944" s="2"/>
      <c r="C944" s="2"/>
      <c r="D944" s="2"/>
      <c r="E944" s="2"/>
      <c r="F944" s="2"/>
      <c r="G944" s="1"/>
      <c r="H944" s="1"/>
      <c r="I944" s="7">
        <v>0.941</v>
      </c>
      <c r="J944" s="7">
        <f>IF((I944-ROUNDDOWN(I944,0))=0, 0, (I944-ROUNDDOWN(I944,0)))</f>
      </c>
      <c r="K944" s="7">
        <f>INDIRECT("C$"&amp;2+MIN(2,ROUNDDOWN(I944,0))*3)*(-$J944^3+3*$J944^2-3*$J944+1)+INDIRECT("C$"&amp;3+MIN(2,ROUNDDOWN(I944,0))*3)*(3*$J944^3-6*$J944^2+3*$J944)+INDIRECT("C$"&amp;4+MIN(2,ROUNDDOWN(I944,0))*3)*(-3*$J944^3+3*$J944^2)+INDIRECT("C$"&amp;5+MIN(2,ROUNDDOWN(I944,0))*3)*$J944^3</f>
      </c>
      <c r="L944" s="7">
        <f>INDIRECT("D$"&amp;2+MIN(2,ROUNDDOWN(I944,0))*3)*(-$J944^3+3*$J944^2-3*$J944+1)+INDIRECT("D$"&amp;3+MIN(2,ROUNDDOWN(I944,0))*3)*(3*$J944^3-6*$J944^2+3*$J944)+INDIRECT("D$"&amp;4+MIN(2,ROUNDDOWN(I944,0))*3)*(-3*$J944^3+3*$J944^2)+INDIRECT("D$"&amp;5+MIN(2,ROUNDDOWN(I944,0))*3)*$J944^3</f>
      </c>
      <c r="M944" s="7">
        <f>SQRT(K944^2+L944^2)</f>
      </c>
      <c r="N944" s="7">
        <f>(K945-K943)</f>
      </c>
      <c r="O944" s="7">
        <f>+(L945-L943)</f>
      </c>
      <c r="P944" s="7">
        <f>SQRT(O944^2+N944^2)</f>
      </c>
      <c r="Q944" s="7">
        <f>N944/$P944</f>
      </c>
      <c r="R944" s="7">
        <f>O944/$P944</f>
      </c>
      <c r="S944" s="7">
        <f>Q944^2+R944^2</f>
      </c>
      <c r="T944" s="7">
        <f>-R944</f>
      </c>
      <c r="U944" s="7">
        <f>Q944</f>
      </c>
      <c r="V944" s="7">
        <f>($C$14+($C$15-$C$14)/($D$15-$D$14)*(I944-$D$14))/2</f>
      </c>
      <c r="W944" s="7">
        <f>($B$22*I944^4+$C$22*I944^3+$D$22*I944^2+$E$22*I944+$F$22)/2</f>
      </c>
      <c r="X944" s="7">
        <f>($W944)*(T944)</f>
      </c>
      <c r="Y944" s="7">
        <f>($W944)*(U944)</f>
      </c>
      <c r="Z944" s="7">
        <f>SQRT(X944^2+Y944^2)</f>
      </c>
      <c r="AA944" s="7">
        <f>$K944+$X944</f>
      </c>
      <c r="AB944" s="7">
        <f>$L944+$Y944</f>
      </c>
      <c r="AC944" s="7">
        <f>$K944-$X944</f>
      </c>
      <c r="AD944" s="7">
        <f>$L944-$Y944</f>
      </c>
      <c r="AE944" s="7">
        <f>AA944/39.3701</f>
      </c>
      <c r="AF944" s="7">
        <f>AB944/39.3701</f>
      </c>
      <c r="AG944" s="7">
        <f>AC944/39.3701</f>
      </c>
      <c r="AH944" s="7">
        <f>AD944/39.3701</f>
      </c>
      <c r="AI944" s="1"/>
      <c r="AJ944" s="1"/>
      <c r="AK944" s="1"/>
      <c r="AL944" s="1"/>
      <c r="AM944" s="2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</row>
    <row x14ac:dyDescent="0.25" r="945" customHeight="1" ht="18.75">
      <c r="A945" s="1"/>
      <c r="B945" s="2"/>
      <c r="C945" s="2"/>
      <c r="D945" s="2"/>
      <c r="E945" s="2"/>
      <c r="F945" s="2"/>
      <c r="G945" s="1"/>
      <c r="H945" s="1"/>
      <c r="I945" s="7">
        <v>0.942</v>
      </c>
      <c r="J945" s="7">
        <f>IF((I945-ROUNDDOWN(I945,0))=0, 0, (I945-ROUNDDOWN(I945,0)))</f>
      </c>
      <c r="K945" s="7">
        <f>INDIRECT("C$"&amp;2+MIN(2,ROUNDDOWN(I945,0))*3)*(-$J945^3+3*$J945^2-3*$J945+1)+INDIRECT("C$"&amp;3+MIN(2,ROUNDDOWN(I945,0))*3)*(3*$J945^3-6*$J945^2+3*$J945)+INDIRECT("C$"&amp;4+MIN(2,ROUNDDOWN(I945,0))*3)*(-3*$J945^3+3*$J945^2)+INDIRECT("C$"&amp;5+MIN(2,ROUNDDOWN(I945,0))*3)*$J945^3</f>
      </c>
      <c r="L945" s="7">
        <f>INDIRECT("D$"&amp;2+MIN(2,ROUNDDOWN(I945,0))*3)*(-$J945^3+3*$J945^2-3*$J945+1)+INDIRECT("D$"&amp;3+MIN(2,ROUNDDOWN(I945,0))*3)*(3*$J945^3-6*$J945^2+3*$J945)+INDIRECT("D$"&amp;4+MIN(2,ROUNDDOWN(I945,0))*3)*(-3*$J945^3+3*$J945^2)+INDIRECT("D$"&amp;5+MIN(2,ROUNDDOWN(I945,0))*3)*$J945^3</f>
      </c>
      <c r="M945" s="7">
        <f>SQRT(K945^2+L945^2)</f>
      </c>
      <c r="N945" s="7">
        <f>(K946-K944)</f>
      </c>
      <c r="O945" s="7">
        <f>+(L946-L944)</f>
      </c>
      <c r="P945" s="7">
        <f>SQRT(O945^2+N945^2)</f>
      </c>
      <c r="Q945" s="7">
        <f>N945/$P945</f>
      </c>
      <c r="R945" s="7">
        <f>O945/$P945</f>
      </c>
      <c r="S945" s="8">
        <f>Q945^2+R945^2</f>
      </c>
      <c r="T945" s="7">
        <f>-R945</f>
      </c>
      <c r="U945" s="7">
        <f>Q945</f>
      </c>
      <c r="V945" s="7">
        <f>($C$14+($C$15-$C$14)/($D$15-$D$14)*(I945-$D$14))/2</f>
      </c>
      <c r="W945" s="7">
        <f>($B$22*I945^4+$C$22*I945^3+$D$22*I945^2+$E$22*I945+$F$22)/2</f>
      </c>
      <c r="X945" s="7">
        <f>($W945)*(T945)</f>
      </c>
      <c r="Y945" s="7">
        <f>($W945)*(U945)</f>
      </c>
      <c r="Z945" s="7">
        <f>SQRT(X945^2+Y945^2)</f>
      </c>
      <c r="AA945" s="7">
        <f>$K945+$X945</f>
      </c>
      <c r="AB945" s="7">
        <f>$L945+$Y945</f>
      </c>
      <c r="AC945" s="7">
        <f>$K945-$X945</f>
      </c>
      <c r="AD945" s="7">
        <f>$L945-$Y945</f>
      </c>
      <c r="AE945" s="7">
        <f>AA945/39.3701</f>
      </c>
      <c r="AF945" s="7">
        <f>AB945/39.3701</f>
      </c>
      <c r="AG945" s="7">
        <f>AC945/39.3701</f>
      </c>
      <c r="AH945" s="7">
        <f>AD945/39.3701</f>
      </c>
      <c r="AI945" s="1"/>
      <c r="AJ945" s="1"/>
      <c r="AK945" s="1"/>
      <c r="AL945" s="1"/>
      <c r="AM945" s="2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</row>
    <row x14ac:dyDescent="0.25" r="946" customHeight="1" ht="18.75">
      <c r="A946" s="1"/>
      <c r="B946" s="2"/>
      <c r="C946" s="2"/>
      <c r="D946" s="2"/>
      <c r="E946" s="2"/>
      <c r="F946" s="2"/>
      <c r="G946" s="1"/>
      <c r="H946" s="1"/>
      <c r="I946" s="7">
        <v>0.943</v>
      </c>
      <c r="J946" s="7">
        <f>IF((I946-ROUNDDOWN(I946,0))=0, 0, (I946-ROUNDDOWN(I946,0)))</f>
      </c>
      <c r="K946" s="7">
        <f>INDIRECT("C$"&amp;2+MIN(2,ROUNDDOWN(I946,0))*3)*(-$J946^3+3*$J946^2-3*$J946+1)+INDIRECT("C$"&amp;3+MIN(2,ROUNDDOWN(I946,0))*3)*(3*$J946^3-6*$J946^2+3*$J946)+INDIRECT("C$"&amp;4+MIN(2,ROUNDDOWN(I946,0))*3)*(-3*$J946^3+3*$J946^2)+INDIRECT("C$"&amp;5+MIN(2,ROUNDDOWN(I946,0))*3)*$J946^3</f>
      </c>
      <c r="L946" s="7">
        <f>INDIRECT("D$"&amp;2+MIN(2,ROUNDDOWN(I946,0))*3)*(-$J946^3+3*$J946^2-3*$J946+1)+INDIRECT("D$"&amp;3+MIN(2,ROUNDDOWN(I946,0))*3)*(3*$J946^3-6*$J946^2+3*$J946)+INDIRECT("D$"&amp;4+MIN(2,ROUNDDOWN(I946,0))*3)*(-3*$J946^3+3*$J946^2)+INDIRECT("D$"&amp;5+MIN(2,ROUNDDOWN(I946,0))*3)*$J946^3</f>
      </c>
      <c r="M946" s="7">
        <f>SQRT(K946^2+L946^2)</f>
      </c>
      <c r="N946" s="7">
        <f>(K947-K945)</f>
      </c>
      <c r="O946" s="7">
        <f>+(L947-L945)</f>
      </c>
      <c r="P946" s="7">
        <f>SQRT(O946^2+N946^2)</f>
      </c>
      <c r="Q946" s="7">
        <f>N946/$P946</f>
      </c>
      <c r="R946" s="7">
        <f>O946/$P946</f>
      </c>
      <c r="S946" s="7">
        <f>Q946^2+R946^2</f>
      </c>
      <c r="T946" s="7">
        <f>-R946</f>
      </c>
      <c r="U946" s="7">
        <f>Q946</f>
      </c>
      <c r="V946" s="7">
        <f>($C$14+($C$15-$C$14)/($D$15-$D$14)*(I946-$D$14))/2</f>
      </c>
      <c r="W946" s="7">
        <f>($B$22*I946^4+$C$22*I946^3+$D$22*I946^2+$E$22*I946+$F$22)/2</f>
      </c>
      <c r="X946" s="7">
        <f>($W946)*(T946)</f>
      </c>
      <c r="Y946" s="7">
        <f>($W946)*(U946)</f>
      </c>
      <c r="Z946" s="7">
        <f>SQRT(X946^2+Y946^2)</f>
      </c>
      <c r="AA946" s="7">
        <f>$K946+$X946</f>
      </c>
      <c r="AB946" s="7">
        <f>$L946+$Y946</f>
      </c>
      <c r="AC946" s="7">
        <f>$K946-$X946</f>
      </c>
      <c r="AD946" s="7">
        <f>$L946-$Y946</f>
      </c>
      <c r="AE946" s="7">
        <f>AA946/39.3701</f>
      </c>
      <c r="AF946" s="7">
        <f>AB946/39.3701</f>
      </c>
      <c r="AG946" s="7">
        <f>AC946/39.3701</f>
      </c>
      <c r="AH946" s="7">
        <f>AD946/39.3701</f>
      </c>
      <c r="AI946" s="1"/>
      <c r="AJ946" s="1"/>
      <c r="AK946" s="1"/>
      <c r="AL946" s="1"/>
      <c r="AM946" s="2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</row>
    <row x14ac:dyDescent="0.25" r="947" customHeight="1" ht="18.75">
      <c r="A947" s="1"/>
      <c r="B947" s="2"/>
      <c r="C947" s="2"/>
      <c r="D947" s="2"/>
      <c r="E947" s="2"/>
      <c r="F947" s="2"/>
      <c r="G947" s="1"/>
      <c r="H947" s="1"/>
      <c r="I947" s="7">
        <v>0.944</v>
      </c>
      <c r="J947" s="7">
        <f>IF((I947-ROUNDDOWN(I947,0))=0, 0, (I947-ROUNDDOWN(I947,0)))</f>
      </c>
      <c r="K947" s="7">
        <f>INDIRECT("C$"&amp;2+MIN(2,ROUNDDOWN(I947,0))*3)*(-$J947^3+3*$J947^2-3*$J947+1)+INDIRECT("C$"&amp;3+MIN(2,ROUNDDOWN(I947,0))*3)*(3*$J947^3-6*$J947^2+3*$J947)+INDIRECT("C$"&amp;4+MIN(2,ROUNDDOWN(I947,0))*3)*(-3*$J947^3+3*$J947^2)+INDIRECT("C$"&amp;5+MIN(2,ROUNDDOWN(I947,0))*3)*$J947^3</f>
      </c>
      <c r="L947" s="7">
        <f>INDIRECT("D$"&amp;2+MIN(2,ROUNDDOWN(I947,0))*3)*(-$J947^3+3*$J947^2-3*$J947+1)+INDIRECT("D$"&amp;3+MIN(2,ROUNDDOWN(I947,0))*3)*(3*$J947^3-6*$J947^2+3*$J947)+INDIRECT("D$"&amp;4+MIN(2,ROUNDDOWN(I947,0))*3)*(-3*$J947^3+3*$J947^2)+INDIRECT("D$"&amp;5+MIN(2,ROUNDDOWN(I947,0))*3)*$J947^3</f>
      </c>
      <c r="M947" s="7">
        <f>SQRT(K947^2+L947^2)</f>
      </c>
      <c r="N947" s="7">
        <f>(K948-K946)</f>
      </c>
      <c r="O947" s="7">
        <f>+(L948-L946)</f>
      </c>
      <c r="P947" s="7">
        <f>SQRT(O947^2+N947^2)</f>
      </c>
      <c r="Q947" s="7">
        <f>N947/$P947</f>
      </c>
      <c r="R947" s="7">
        <f>O947/$P947</f>
      </c>
      <c r="S947" s="8">
        <f>Q947^2+R947^2</f>
      </c>
      <c r="T947" s="7">
        <f>-R947</f>
      </c>
      <c r="U947" s="7">
        <f>Q947</f>
      </c>
      <c r="V947" s="7">
        <f>($C$14+($C$15-$C$14)/($D$15-$D$14)*(I947-$D$14))/2</f>
      </c>
      <c r="W947" s="7">
        <f>($B$22*I947^4+$C$22*I947^3+$D$22*I947^2+$E$22*I947+$F$22)/2</f>
      </c>
      <c r="X947" s="7">
        <f>($W947)*(T947)</f>
      </c>
      <c r="Y947" s="7">
        <f>($W947)*(U947)</f>
      </c>
      <c r="Z947" s="7">
        <f>SQRT(X947^2+Y947^2)</f>
      </c>
      <c r="AA947" s="7">
        <f>$K947+$X947</f>
      </c>
      <c r="AB947" s="7">
        <f>$L947+$Y947</f>
      </c>
      <c r="AC947" s="7">
        <f>$K947-$X947</f>
      </c>
      <c r="AD947" s="7">
        <f>$L947-$Y947</f>
      </c>
      <c r="AE947" s="7">
        <f>AA947/39.3701</f>
      </c>
      <c r="AF947" s="7">
        <f>AB947/39.3701</f>
      </c>
      <c r="AG947" s="7">
        <f>AC947/39.3701</f>
      </c>
      <c r="AH947" s="7">
        <f>AD947/39.3701</f>
      </c>
      <c r="AI947" s="1"/>
      <c r="AJ947" s="1"/>
      <c r="AK947" s="1"/>
      <c r="AL947" s="1"/>
      <c r="AM947" s="2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</row>
    <row x14ac:dyDescent="0.25" r="948" customHeight="1" ht="18.75">
      <c r="A948" s="1"/>
      <c r="B948" s="2"/>
      <c r="C948" s="2"/>
      <c r="D948" s="2"/>
      <c r="E948" s="2"/>
      <c r="F948" s="2"/>
      <c r="G948" s="1"/>
      <c r="H948" s="1"/>
      <c r="I948" s="7">
        <v>0.945</v>
      </c>
      <c r="J948" s="7">
        <f>IF((I948-ROUNDDOWN(I948,0))=0, 0, (I948-ROUNDDOWN(I948,0)))</f>
      </c>
      <c r="K948" s="7">
        <f>INDIRECT("C$"&amp;2+MIN(2,ROUNDDOWN(I948,0))*3)*(-$J948^3+3*$J948^2-3*$J948+1)+INDIRECT("C$"&amp;3+MIN(2,ROUNDDOWN(I948,0))*3)*(3*$J948^3-6*$J948^2+3*$J948)+INDIRECT("C$"&amp;4+MIN(2,ROUNDDOWN(I948,0))*3)*(-3*$J948^3+3*$J948^2)+INDIRECT("C$"&amp;5+MIN(2,ROUNDDOWN(I948,0))*3)*$J948^3</f>
      </c>
      <c r="L948" s="7">
        <f>INDIRECT("D$"&amp;2+MIN(2,ROUNDDOWN(I948,0))*3)*(-$J948^3+3*$J948^2-3*$J948+1)+INDIRECT("D$"&amp;3+MIN(2,ROUNDDOWN(I948,0))*3)*(3*$J948^3-6*$J948^2+3*$J948)+INDIRECT("D$"&amp;4+MIN(2,ROUNDDOWN(I948,0))*3)*(-3*$J948^3+3*$J948^2)+INDIRECT("D$"&amp;5+MIN(2,ROUNDDOWN(I948,0))*3)*$J948^3</f>
      </c>
      <c r="M948" s="7">
        <f>SQRT(K948^2+L948^2)</f>
      </c>
      <c r="N948" s="7">
        <f>(K949-K947)</f>
      </c>
      <c r="O948" s="7">
        <f>+(L949-L947)</f>
      </c>
      <c r="P948" s="7">
        <f>SQRT(O948^2+N948^2)</f>
      </c>
      <c r="Q948" s="7">
        <f>N948/$P948</f>
      </c>
      <c r="R948" s="7">
        <f>O948/$P948</f>
      </c>
      <c r="S948" s="7">
        <f>Q948^2+R948^2</f>
      </c>
      <c r="T948" s="7">
        <f>-R948</f>
      </c>
      <c r="U948" s="7">
        <f>Q948</f>
      </c>
      <c r="V948" s="7">
        <f>($C$14+($C$15-$C$14)/($D$15-$D$14)*(I948-$D$14))/2</f>
      </c>
      <c r="W948" s="7">
        <f>($B$22*I948^4+$C$22*I948^3+$D$22*I948^2+$E$22*I948+$F$22)/2</f>
      </c>
      <c r="X948" s="7">
        <f>($W948)*(T948)</f>
      </c>
      <c r="Y948" s="7">
        <f>($W948)*(U948)</f>
      </c>
      <c r="Z948" s="7">
        <f>SQRT(X948^2+Y948^2)</f>
      </c>
      <c r="AA948" s="7">
        <f>$K948+$X948</f>
      </c>
      <c r="AB948" s="7">
        <f>$L948+$Y948</f>
      </c>
      <c r="AC948" s="7">
        <f>$K948-$X948</f>
      </c>
      <c r="AD948" s="7">
        <f>$L948-$Y948</f>
      </c>
      <c r="AE948" s="7">
        <f>AA948/39.3701</f>
      </c>
      <c r="AF948" s="7">
        <f>AB948/39.3701</f>
      </c>
      <c r="AG948" s="7">
        <f>AC948/39.3701</f>
      </c>
      <c r="AH948" s="7">
        <f>AD948/39.3701</f>
      </c>
      <c r="AI948" s="1"/>
      <c r="AJ948" s="1"/>
      <c r="AK948" s="1"/>
      <c r="AL948" s="1"/>
      <c r="AM948" s="2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</row>
    <row x14ac:dyDescent="0.25" r="949" customHeight="1" ht="18.75">
      <c r="A949" s="1"/>
      <c r="B949" s="2"/>
      <c r="C949" s="2"/>
      <c r="D949" s="2"/>
      <c r="E949" s="2"/>
      <c r="F949" s="2"/>
      <c r="G949" s="1"/>
      <c r="H949" s="1"/>
      <c r="I949" s="7">
        <v>0.946</v>
      </c>
      <c r="J949" s="7">
        <f>IF((I949-ROUNDDOWN(I949,0))=0, 0, (I949-ROUNDDOWN(I949,0)))</f>
      </c>
      <c r="K949" s="7">
        <f>INDIRECT("C$"&amp;2+MIN(2,ROUNDDOWN(I949,0))*3)*(-$J949^3+3*$J949^2-3*$J949+1)+INDIRECT("C$"&amp;3+MIN(2,ROUNDDOWN(I949,0))*3)*(3*$J949^3-6*$J949^2+3*$J949)+INDIRECT("C$"&amp;4+MIN(2,ROUNDDOWN(I949,0))*3)*(-3*$J949^3+3*$J949^2)+INDIRECT("C$"&amp;5+MIN(2,ROUNDDOWN(I949,0))*3)*$J949^3</f>
      </c>
      <c r="L949" s="7">
        <f>INDIRECT("D$"&amp;2+MIN(2,ROUNDDOWN(I949,0))*3)*(-$J949^3+3*$J949^2-3*$J949+1)+INDIRECT("D$"&amp;3+MIN(2,ROUNDDOWN(I949,0))*3)*(3*$J949^3-6*$J949^2+3*$J949)+INDIRECT("D$"&amp;4+MIN(2,ROUNDDOWN(I949,0))*3)*(-3*$J949^3+3*$J949^2)+INDIRECT("D$"&amp;5+MIN(2,ROUNDDOWN(I949,0))*3)*$J949^3</f>
      </c>
      <c r="M949" s="7">
        <f>SQRT(K949^2+L949^2)</f>
      </c>
      <c r="N949" s="7">
        <f>(K950-K948)</f>
      </c>
      <c r="O949" s="7">
        <f>+(L950-L948)</f>
      </c>
      <c r="P949" s="7">
        <f>SQRT(O949^2+N949^2)</f>
      </c>
      <c r="Q949" s="7">
        <f>N949/$P949</f>
      </c>
      <c r="R949" s="7">
        <f>O949/$P949</f>
      </c>
      <c r="S949" s="8">
        <f>Q949^2+R949^2</f>
      </c>
      <c r="T949" s="7">
        <f>-R949</f>
      </c>
      <c r="U949" s="7">
        <f>Q949</f>
      </c>
      <c r="V949" s="7">
        <f>($C$14+($C$15-$C$14)/($D$15-$D$14)*(I949-$D$14))/2</f>
      </c>
      <c r="W949" s="7">
        <f>($B$22*I949^4+$C$22*I949^3+$D$22*I949^2+$E$22*I949+$F$22)/2</f>
      </c>
      <c r="X949" s="7">
        <f>($W949)*(T949)</f>
      </c>
      <c r="Y949" s="7">
        <f>($W949)*(U949)</f>
      </c>
      <c r="Z949" s="7">
        <f>SQRT(X949^2+Y949^2)</f>
      </c>
      <c r="AA949" s="7">
        <f>$K949+$X949</f>
      </c>
      <c r="AB949" s="7">
        <f>$L949+$Y949</f>
      </c>
      <c r="AC949" s="7">
        <f>$K949-$X949</f>
      </c>
      <c r="AD949" s="7">
        <f>$L949-$Y949</f>
      </c>
      <c r="AE949" s="7">
        <f>AA949/39.3701</f>
      </c>
      <c r="AF949" s="7">
        <f>AB949/39.3701</f>
      </c>
      <c r="AG949" s="7">
        <f>AC949/39.3701</f>
      </c>
      <c r="AH949" s="7">
        <f>AD949/39.3701</f>
      </c>
      <c r="AI949" s="1"/>
      <c r="AJ949" s="1"/>
      <c r="AK949" s="1"/>
      <c r="AL949" s="1"/>
      <c r="AM949" s="2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</row>
    <row x14ac:dyDescent="0.25" r="950" customHeight="1" ht="18.75">
      <c r="A950" s="1"/>
      <c r="B950" s="2"/>
      <c r="C950" s="2"/>
      <c r="D950" s="2"/>
      <c r="E950" s="2"/>
      <c r="F950" s="2"/>
      <c r="G950" s="1"/>
      <c r="H950" s="1"/>
      <c r="I950" s="7">
        <v>0.947</v>
      </c>
      <c r="J950" s="7">
        <f>IF((I950-ROUNDDOWN(I950,0))=0, 0, (I950-ROUNDDOWN(I950,0)))</f>
      </c>
      <c r="K950" s="7">
        <f>INDIRECT("C$"&amp;2+MIN(2,ROUNDDOWN(I950,0))*3)*(-$J950^3+3*$J950^2-3*$J950+1)+INDIRECT("C$"&amp;3+MIN(2,ROUNDDOWN(I950,0))*3)*(3*$J950^3-6*$J950^2+3*$J950)+INDIRECT("C$"&amp;4+MIN(2,ROUNDDOWN(I950,0))*3)*(-3*$J950^3+3*$J950^2)+INDIRECT("C$"&amp;5+MIN(2,ROUNDDOWN(I950,0))*3)*$J950^3</f>
      </c>
      <c r="L950" s="7">
        <f>INDIRECT("D$"&amp;2+MIN(2,ROUNDDOWN(I950,0))*3)*(-$J950^3+3*$J950^2-3*$J950+1)+INDIRECT("D$"&amp;3+MIN(2,ROUNDDOWN(I950,0))*3)*(3*$J950^3-6*$J950^2+3*$J950)+INDIRECT("D$"&amp;4+MIN(2,ROUNDDOWN(I950,0))*3)*(-3*$J950^3+3*$J950^2)+INDIRECT("D$"&amp;5+MIN(2,ROUNDDOWN(I950,0))*3)*$J950^3</f>
      </c>
      <c r="M950" s="7">
        <f>SQRT(K950^2+L950^2)</f>
      </c>
      <c r="N950" s="7">
        <f>(K951-K949)</f>
      </c>
      <c r="O950" s="7">
        <f>+(L951-L949)</f>
      </c>
      <c r="P950" s="7">
        <f>SQRT(O950^2+N950^2)</f>
      </c>
      <c r="Q950" s="7">
        <f>N950/$P950</f>
      </c>
      <c r="R950" s="7">
        <f>O950/$P950</f>
      </c>
      <c r="S950" s="7">
        <f>Q950^2+R950^2</f>
      </c>
      <c r="T950" s="7">
        <f>-R950</f>
      </c>
      <c r="U950" s="7">
        <f>Q950</f>
      </c>
      <c r="V950" s="7">
        <f>($C$14+($C$15-$C$14)/($D$15-$D$14)*(I950-$D$14))/2</f>
      </c>
      <c r="W950" s="7">
        <f>($B$22*I950^4+$C$22*I950^3+$D$22*I950^2+$E$22*I950+$F$22)/2</f>
      </c>
      <c r="X950" s="7">
        <f>($W950)*(T950)</f>
      </c>
      <c r="Y950" s="7">
        <f>($W950)*(U950)</f>
      </c>
      <c r="Z950" s="7">
        <f>SQRT(X950^2+Y950^2)</f>
      </c>
      <c r="AA950" s="7">
        <f>$K950+$X950</f>
      </c>
      <c r="AB950" s="7">
        <f>$L950+$Y950</f>
      </c>
      <c r="AC950" s="7">
        <f>$K950-$X950</f>
      </c>
      <c r="AD950" s="7">
        <f>$L950-$Y950</f>
      </c>
      <c r="AE950" s="7">
        <f>AA950/39.3701</f>
      </c>
      <c r="AF950" s="7">
        <f>AB950/39.3701</f>
      </c>
      <c r="AG950" s="7">
        <f>AC950/39.3701</f>
      </c>
      <c r="AH950" s="7">
        <f>AD950/39.3701</f>
      </c>
      <c r="AI950" s="1"/>
      <c r="AJ950" s="1"/>
      <c r="AK950" s="1"/>
      <c r="AL950" s="1"/>
      <c r="AM950" s="2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</row>
    <row x14ac:dyDescent="0.25" r="951" customHeight="1" ht="18.75">
      <c r="A951" s="1"/>
      <c r="B951" s="2"/>
      <c r="C951" s="2"/>
      <c r="D951" s="2"/>
      <c r="E951" s="2"/>
      <c r="F951" s="2"/>
      <c r="G951" s="1"/>
      <c r="H951" s="1"/>
      <c r="I951" s="7">
        <v>0.948</v>
      </c>
      <c r="J951" s="7">
        <f>IF((I951-ROUNDDOWN(I951,0))=0, 0, (I951-ROUNDDOWN(I951,0)))</f>
      </c>
      <c r="K951" s="7">
        <f>INDIRECT("C$"&amp;2+MIN(2,ROUNDDOWN(I951,0))*3)*(-$J951^3+3*$J951^2-3*$J951+1)+INDIRECT("C$"&amp;3+MIN(2,ROUNDDOWN(I951,0))*3)*(3*$J951^3-6*$J951^2+3*$J951)+INDIRECT("C$"&amp;4+MIN(2,ROUNDDOWN(I951,0))*3)*(-3*$J951^3+3*$J951^2)+INDIRECT("C$"&amp;5+MIN(2,ROUNDDOWN(I951,0))*3)*$J951^3</f>
      </c>
      <c r="L951" s="7">
        <f>INDIRECT("D$"&amp;2+MIN(2,ROUNDDOWN(I951,0))*3)*(-$J951^3+3*$J951^2-3*$J951+1)+INDIRECT("D$"&amp;3+MIN(2,ROUNDDOWN(I951,0))*3)*(3*$J951^3-6*$J951^2+3*$J951)+INDIRECT("D$"&amp;4+MIN(2,ROUNDDOWN(I951,0))*3)*(-3*$J951^3+3*$J951^2)+INDIRECT("D$"&amp;5+MIN(2,ROUNDDOWN(I951,0))*3)*$J951^3</f>
      </c>
      <c r="M951" s="7">
        <f>SQRT(K951^2+L951^2)</f>
      </c>
      <c r="N951" s="7">
        <f>(K952-K950)</f>
      </c>
      <c r="O951" s="7">
        <f>+(L952-L950)</f>
      </c>
      <c r="P951" s="7">
        <f>SQRT(O951^2+N951^2)</f>
      </c>
      <c r="Q951" s="7">
        <f>N951/$P951</f>
      </c>
      <c r="R951" s="7">
        <f>O951/$P951</f>
      </c>
      <c r="S951" s="8">
        <f>Q951^2+R951^2</f>
      </c>
      <c r="T951" s="7">
        <f>-R951</f>
      </c>
      <c r="U951" s="7">
        <f>Q951</f>
      </c>
      <c r="V951" s="7">
        <f>($C$14+($C$15-$C$14)/($D$15-$D$14)*(I951-$D$14))/2</f>
      </c>
      <c r="W951" s="7">
        <f>($B$22*I951^4+$C$22*I951^3+$D$22*I951^2+$E$22*I951+$F$22)/2</f>
      </c>
      <c r="X951" s="7">
        <f>($W951)*(T951)</f>
      </c>
      <c r="Y951" s="7">
        <f>($W951)*(U951)</f>
      </c>
      <c r="Z951" s="7">
        <f>SQRT(X951^2+Y951^2)</f>
      </c>
      <c r="AA951" s="7">
        <f>$K951+$X951</f>
      </c>
      <c r="AB951" s="7">
        <f>$L951+$Y951</f>
      </c>
      <c r="AC951" s="7">
        <f>$K951-$X951</f>
      </c>
      <c r="AD951" s="7">
        <f>$L951-$Y951</f>
      </c>
      <c r="AE951" s="7">
        <f>AA951/39.3701</f>
      </c>
      <c r="AF951" s="7">
        <f>AB951/39.3701</f>
      </c>
      <c r="AG951" s="7">
        <f>AC951/39.3701</f>
      </c>
      <c r="AH951" s="7">
        <f>AD951/39.3701</f>
      </c>
      <c r="AI951" s="1"/>
      <c r="AJ951" s="1"/>
      <c r="AK951" s="1"/>
      <c r="AL951" s="1"/>
      <c r="AM951" s="2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</row>
    <row x14ac:dyDescent="0.25" r="952" customHeight="1" ht="18.75">
      <c r="A952" s="1"/>
      <c r="B952" s="2"/>
      <c r="C952" s="2"/>
      <c r="D952" s="2"/>
      <c r="E952" s="2"/>
      <c r="F952" s="2"/>
      <c r="G952" s="1"/>
      <c r="H952" s="1"/>
      <c r="I952" s="7">
        <v>0.949</v>
      </c>
      <c r="J952" s="7">
        <f>IF((I952-ROUNDDOWN(I952,0))=0, 0, (I952-ROUNDDOWN(I952,0)))</f>
      </c>
      <c r="K952" s="7">
        <f>INDIRECT("C$"&amp;2+MIN(2,ROUNDDOWN(I952,0))*3)*(-$J952^3+3*$J952^2-3*$J952+1)+INDIRECT("C$"&amp;3+MIN(2,ROUNDDOWN(I952,0))*3)*(3*$J952^3-6*$J952^2+3*$J952)+INDIRECT("C$"&amp;4+MIN(2,ROUNDDOWN(I952,0))*3)*(-3*$J952^3+3*$J952^2)+INDIRECT("C$"&amp;5+MIN(2,ROUNDDOWN(I952,0))*3)*$J952^3</f>
      </c>
      <c r="L952" s="7">
        <f>INDIRECT("D$"&amp;2+MIN(2,ROUNDDOWN(I952,0))*3)*(-$J952^3+3*$J952^2-3*$J952+1)+INDIRECT("D$"&amp;3+MIN(2,ROUNDDOWN(I952,0))*3)*(3*$J952^3-6*$J952^2+3*$J952)+INDIRECT("D$"&amp;4+MIN(2,ROUNDDOWN(I952,0))*3)*(-3*$J952^3+3*$J952^2)+INDIRECT("D$"&amp;5+MIN(2,ROUNDDOWN(I952,0))*3)*$J952^3</f>
      </c>
      <c r="M952" s="7">
        <f>SQRT(K952^2+L952^2)</f>
      </c>
      <c r="N952" s="7">
        <f>(K953-K951)</f>
      </c>
      <c r="O952" s="7">
        <f>+(L953-L951)</f>
      </c>
      <c r="P952" s="7">
        <f>SQRT(O952^2+N952^2)</f>
      </c>
      <c r="Q952" s="7">
        <f>N952/$P952</f>
      </c>
      <c r="R952" s="7">
        <f>O952/$P952</f>
      </c>
      <c r="S952" s="8">
        <f>Q952^2+R952^2</f>
      </c>
      <c r="T952" s="7">
        <f>-R952</f>
      </c>
      <c r="U952" s="7">
        <f>Q952</f>
      </c>
      <c r="V952" s="7">
        <f>($C$14+($C$15-$C$14)/($D$15-$D$14)*(I952-$D$14))/2</f>
      </c>
      <c r="W952" s="7">
        <f>($B$22*I952^4+$C$22*I952^3+$D$22*I952^2+$E$22*I952+$F$22)/2</f>
      </c>
      <c r="X952" s="7">
        <f>($W952)*(T952)</f>
      </c>
      <c r="Y952" s="7">
        <f>($W952)*(U952)</f>
      </c>
      <c r="Z952" s="7">
        <f>SQRT(X952^2+Y952^2)</f>
      </c>
      <c r="AA952" s="7">
        <f>$K952+$X952</f>
      </c>
      <c r="AB952" s="7">
        <f>$L952+$Y952</f>
      </c>
      <c r="AC952" s="7">
        <f>$K952-$X952</f>
      </c>
      <c r="AD952" s="7">
        <f>$L952-$Y952</f>
      </c>
      <c r="AE952" s="7">
        <f>AA952/39.3701</f>
      </c>
      <c r="AF952" s="7">
        <f>AB952/39.3701</f>
      </c>
      <c r="AG952" s="7">
        <f>AC952/39.3701</f>
      </c>
      <c r="AH952" s="7">
        <f>AD952/39.3701</f>
      </c>
      <c r="AI952" s="1"/>
      <c r="AJ952" s="1"/>
      <c r="AK952" s="1"/>
      <c r="AL952" s="1"/>
      <c r="AM952" s="2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</row>
    <row x14ac:dyDescent="0.25" r="953" customHeight="1" ht="18.75">
      <c r="A953" s="1"/>
      <c r="B953" s="2"/>
      <c r="C953" s="2"/>
      <c r="D953" s="2"/>
      <c r="E953" s="2"/>
      <c r="F953" s="2"/>
      <c r="G953" s="1"/>
      <c r="H953" s="1"/>
      <c r="I953" s="7">
        <v>0.95</v>
      </c>
      <c r="J953" s="7">
        <f>IF((I953-ROUNDDOWN(I953,0))=0, 0, (I953-ROUNDDOWN(I953,0)))</f>
      </c>
      <c r="K953" s="7">
        <f>INDIRECT("C$"&amp;2+MIN(2,ROUNDDOWN(I953,0))*3)*(-$J953^3+3*$J953^2-3*$J953+1)+INDIRECT("C$"&amp;3+MIN(2,ROUNDDOWN(I953,0))*3)*(3*$J953^3-6*$J953^2+3*$J953)+INDIRECT("C$"&amp;4+MIN(2,ROUNDDOWN(I953,0))*3)*(-3*$J953^3+3*$J953^2)+INDIRECT("C$"&amp;5+MIN(2,ROUNDDOWN(I953,0))*3)*$J953^3</f>
      </c>
      <c r="L953" s="7">
        <f>INDIRECT("D$"&amp;2+MIN(2,ROUNDDOWN(I953,0))*3)*(-$J953^3+3*$J953^2-3*$J953+1)+INDIRECT("D$"&amp;3+MIN(2,ROUNDDOWN(I953,0))*3)*(3*$J953^3-6*$J953^2+3*$J953)+INDIRECT("D$"&amp;4+MIN(2,ROUNDDOWN(I953,0))*3)*(-3*$J953^3+3*$J953^2)+INDIRECT("D$"&amp;5+MIN(2,ROUNDDOWN(I953,0))*3)*$J953^3</f>
      </c>
      <c r="M953" s="7">
        <f>SQRT(K953^2+L953^2)</f>
      </c>
      <c r="N953" s="7">
        <f>(K954-K952)</f>
      </c>
      <c r="O953" s="7">
        <f>+(L954-L952)</f>
      </c>
      <c r="P953" s="7">
        <f>SQRT(O953^2+N953^2)</f>
      </c>
      <c r="Q953" s="7">
        <f>N953/$P953</f>
      </c>
      <c r="R953" s="7">
        <f>O953/$P953</f>
      </c>
      <c r="S953" s="8">
        <f>Q953^2+R953^2</f>
      </c>
      <c r="T953" s="7">
        <f>-R953</f>
      </c>
      <c r="U953" s="7">
        <f>Q953</f>
      </c>
      <c r="V953" s="7">
        <f>($C$14+($C$15-$C$14)/($D$15-$D$14)*(I953-$D$14))/2</f>
      </c>
      <c r="W953" s="7">
        <f>($B$22*I953^4+$C$22*I953^3+$D$22*I953^2+$E$22*I953+$F$22)/2</f>
      </c>
      <c r="X953" s="7">
        <f>($W953)*(T953)</f>
      </c>
      <c r="Y953" s="7">
        <f>($W953)*(U953)</f>
      </c>
      <c r="Z953" s="7">
        <f>SQRT(X953^2+Y953^2)</f>
      </c>
      <c r="AA953" s="7">
        <f>$K953+$X953</f>
      </c>
      <c r="AB953" s="7">
        <f>$L953+$Y953</f>
      </c>
      <c r="AC953" s="7">
        <f>$K953-$X953</f>
      </c>
      <c r="AD953" s="7">
        <f>$L953-$Y953</f>
      </c>
      <c r="AE953" s="7">
        <f>AA953/39.3701</f>
      </c>
      <c r="AF953" s="7">
        <f>AB953/39.3701</f>
      </c>
      <c r="AG953" s="7">
        <f>AC953/39.3701</f>
      </c>
      <c r="AH953" s="7">
        <f>AD953/39.3701</f>
      </c>
      <c r="AI953" s="1"/>
      <c r="AJ953" s="1"/>
      <c r="AK953" s="1"/>
      <c r="AL953" s="1"/>
      <c r="AM953" s="2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</row>
    <row x14ac:dyDescent="0.25" r="954" customHeight="1" ht="18.75">
      <c r="A954" s="1"/>
      <c r="B954" s="2"/>
      <c r="C954" s="2"/>
      <c r="D954" s="2"/>
      <c r="E954" s="2"/>
      <c r="F954" s="2"/>
      <c r="G954" s="1"/>
      <c r="H954" s="1"/>
      <c r="I954" s="7">
        <v>0.951</v>
      </c>
      <c r="J954" s="7">
        <f>IF((I954-ROUNDDOWN(I954,0))=0, 0, (I954-ROUNDDOWN(I954,0)))</f>
      </c>
      <c r="K954" s="7">
        <f>INDIRECT("C$"&amp;2+MIN(2,ROUNDDOWN(I954,0))*3)*(-$J954^3+3*$J954^2-3*$J954+1)+INDIRECT("C$"&amp;3+MIN(2,ROUNDDOWN(I954,0))*3)*(3*$J954^3-6*$J954^2+3*$J954)+INDIRECT("C$"&amp;4+MIN(2,ROUNDDOWN(I954,0))*3)*(-3*$J954^3+3*$J954^2)+INDIRECT("C$"&amp;5+MIN(2,ROUNDDOWN(I954,0))*3)*$J954^3</f>
      </c>
      <c r="L954" s="7">
        <f>INDIRECT("D$"&amp;2+MIN(2,ROUNDDOWN(I954,0))*3)*(-$J954^3+3*$J954^2-3*$J954+1)+INDIRECT("D$"&amp;3+MIN(2,ROUNDDOWN(I954,0))*3)*(3*$J954^3-6*$J954^2+3*$J954)+INDIRECT("D$"&amp;4+MIN(2,ROUNDDOWN(I954,0))*3)*(-3*$J954^3+3*$J954^2)+INDIRECT("D$"&amp;5+MIN(2,ROUNDDOWN(I954,0))*3)*$J954^3</f>
      </c>
      <c r="M954" s="7">
        <f>SQRT(K954^2+L954^2)</f>
      </c>
      <c r="N954" s="7">
        <f>(K955-K953)</f>
      </c>
      <c r="O954" s="7">
        <f>+(L955-L953)</f>
      </c>
      <c r="P954" s="7">
        <f>SQRT(O954^2+N954^2)</f>
      </c>
      <c r="Q954" s="7">
        <f>N954/$P954</f>
      </c>
      <c r="R954" s="7">
        <f>O954/$P954</f>
      </c>
      <c r="S954" s="8">
        <f>Q954^2+R954^2</f>
      </c>
      <c r="T954" s="7">
        <f>-R954</f>
      </c>
      <c r="U954" s="7">
        <f>Q954</f>
      </c>
      <c r="V954" s="7">
        <f>($C$14+($C$15-$C$14)/($D$15-$D$14)*(I954-$D$14))/2</f>
      </c>
      <c r="W954" s="7">
        <f>($B$22*I954^4+$C$22*I954^3+$D$22*I954^2+$E$22*I954+$F$22)/2</f>
      </c>
      <c r="X954" s="7">
        <f>($W954)*(T954)</f>
      </c>
      <c r="Y954" s="7">
        <f>($W954)*(U954)</f>
      </c>
      <c r="Z954" s="7">
        <f>SQRT(X954^2+Y954^2)</f>
      </c>
      <c r="AA954" s="7">
        <f>$K954+$X954</f>
      </c>
      <c r="AB954" s="7">
        <f>$L954+$Y954</f>
      </c>
      <c r="AC954" s="7">
        <f>$K954-$X954</f>
      </c>
      <c r="AD954" s="7">
        <f>$L954-$Y954</f>
      </c>
      <c r="AE954" s="7">
        <f>AA954/39.3701</f>
      </c>
      <c r="AF954" s="7">
        <f>AB954/39.3701</f>
      </c>
      <c r="AG954" s="7">
        <f>AC954/39.3701</f>
      </c>
      <c r="AH954" s="7">
        <f>AD954/39.3701</f>
      </c>
      <c r="AI954" s="1"/>
      <c r="AJ954" s="1"/>
      <c r="AK954" s="1"/>
      <c r="AL954" s="1"/>
      <c r="AM954" s="2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</row>
    <row x14ac:dyDescent="0.25" r="955" customHeight="1" ht="18.75">
      <c r="A955" s="1"/>
      <c r="B955" s="2"/>
      <c r="C955" s="2"/>
      <c r="D955" s="2"/>
      <c r="E955" s="2"/>
      <c r="F955" s="2"/>
      <c r="G955" s="1"/>
      <c r="H955" s="1"/>
      <c r="I955" s="7">
        <v>0.952</v>
      </c>
      <c r="J955" s="7">
        <f>IF((I955-ROUNDDOWN(I955,0))=0, 0, (I955-ROUNDDOWN(I955,0)))</f>
      </c>
      <c r="K955" s="7">
        <f>INDIRECT("C$"&amp;2+MIN(2,ROUNDDOWN(I955,0))*3)*(-$J955^3+3*$J955^2-3*$J955+1)+INDIRECT("C$"&amp;3+MIN(2,ROUNDDOWN(I955,0))*3)*(3*$J955^3-6*$J955^2+3*$J955)+INDIRECT("C$"&amp;4+MIN(2,ROUNDDOWN(I955,0))*3)*(-3*$J955^3+3*$J955^2)+INDIRECT("C$"&amp;5+MIN(2,ROUNDDOWN(I955,0))*3)*$J955^3</f>
      </c>
      <c r="L955" s="7">
        <f>INDIRECT("D$"&amp;2+MIN(2,ROUNDDOWN(I955,0))*3)*(-$J955^3+3*$J955^2-3*$J955+1)+INDIRECT("D$"&amp;3+MIN(2,ROUNDDOWN(I955,0))*3)*(3*$J955^3-6*$J955^2+3*$J955)+INDIRECT("D$"&amp;4+MIN(2,ROUNDDOWN(I955,0))*3)*(-3*$J955^3+3*$J955^2)+INDIRECT("D$"&amp;5+MIN(2,ROUNDDOWN(I955,0))*3)*$J955^3</f>
      </c>
      <c r="M955" s="7">
        <f>SQRT(K955^2+L955^2)</f>
      </c>
      <c r="N955" s="7">
        <f>(K956-K954)</f>
      </c>
      <c r="O955" s="7">
        <f>+(L956-L954)</f>
      </c>
      <c r="P955" s="7">
        <f>SQRT(O955^2+N955^2)</f>
      </c>
      <c r="Q955" s="7">
        <f>N955/$P955</f>
      </c>
      <c r="R955" s="7">
        <f>O955/$P955</f>
      </c>
      <c r="S955" s="8">
        <f>Q955^2+R955^2</f>
      </c>
      <c r="T955" s="7">
        <f>-R955</f>
      </c>
      <c r="U955" s="7">
        <f>Q955</f>
      </c>
      <c r="V955" s="7">
        <f>($C$14+($C$15-$C$14)/($D$15-$D$14)*(I955-$D$14))/2</f>
      </c>
      <c r="W955" s="7">
        <f>($B$22*I955^4+$C$22*I955^3+$D$22*I955^2+$E$22*I955+$F$22)/2</f>
      </c>
      <c r="X955" s="7">
        <f>($W955)*(T955)</f>
      </c>
      <c r="Y955" s="7">
        <f>($W955)*(U955)</f>
      </c>
      <c r="Z955" s="7">
        <f>SQRT(X955^2+Y955^2)</f>
      </c>
      <c r="AA955" s="7">
        <f>$K955+$X955</f>
      </c>
      <c r="AB955" s="7">
        <f>$L955+$Y955</f>
      </c>
      <c r="AC955" s="7">
        <f>$K955-$X955</f>
      </c>
      <c r="AD955" s="7">
        <f>$L955-$Y955</f>
      </c>
      <c r="AE955" s="7">
        <f>AA955/39.3701</f>
      </c>
      <c r="AF955" s="7">
        <f>AB955/39.3701</f>
      </c>
      <c r="AG955" s="7">
        <f>AC955/39.3701</f>
      </c>
      <c r="AH955" s="7">
        <f>AD955/39.3701</f>
      </c>
      <c r="AI955" s="1"/>
      <c r="AJ955" s="1"/>
      <c r="AK955" s="1"/>
      <c r="AL955" s="1"/>
      <c r="AM955" s="2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</row>
    <row x14ac:dyDescent="0.25" r="956" customHeight="1" ht="18.75">
      <c r="A956" s="1"/>
      <c r="B956" s="2"/>
      <c r="C956" s="2"/>
      <c r="D956" s="2"/>
      <c r="E956" s="2"/>
      <c r="F956" s="2"/>
      <c r="G956" s="1"/>
      <c r="H956" s="1"/>
      <c r="I956" s="7">
        <v>0.953</v>
      </c>
      <c r="J956" s="7">
        <f>IF((I956-ROUNDDOWN(I956,0))=0, 0, (I956-ROUNDDOWN(I956,0)))</f>
      </c>
      <c r="K956" s="7">
        <f>INDIRECT("C$"&amp;2+MIN(2,ROUNDDOWN(I956,0))*3)*(-$J956^3+3*$J956^2-3*$J956+1)+INDIRECT("C$"&amp;3+MIN(2,ROUNDDOWN(I956,0))*3)*(3*$J956^3-6*$J956^2+3*$J956)+INDIRECT("C$"&amp;4+MIN(2,ROUNDDOWN(I956,0))*3)*(-3*$J956^3+3*$J956^2)+INDIRECT("C$"&amp;5+MIN(2,ROUNDDOWN(I956,0))*3)*$J956^3</f>
      </c>
      <c r="L956" s="7">
        <f>INDIRECT("D$"&amp;2+MIN(2,ROUNDDOWN(I956,0))*3)*(-$J956^3+3*$J956^2-3*$J956+1)+INDIRECT("D$"&amp;3+MIN(2,ROUNDDOWN(I956,0))*3)*(3*$J956^3-6*$J956^2+3*$J956)+INDIRECT("D$"&amp;4+MIN(2,ROUNDDOWN(I956,0))*3)*(-3*$J956^3+3*$J956^2)+INDIRECT("D$"&amp;5+MIN(2,ROUNDDOWN(I956,0))*3)*$J956^3</f>
      </c>
      <c r="M956" s="7">
        <f>SQRT(K956^2+L956^2)</f>
      </c>
      <c r="N956" s="7">
        <f>(K957-K955)</f>
      </c>
      <c r="O956" s="7">
        <f>+(L957-L955)</f>
      </c>
      <c r="P956" s="7">
        <f>SQRT(O956^2+N956^2)</f>
      </c>
      <c r="Q956" s="7">
        <f>N956/$P956</f>
      </c>
      <c r="R956" s="7">
        <f>O956/$P956</f>
      </c>
      <c r="S956" s="7">
        <f>Q956^2+R956^2</f>
      </c>
      <c r="T956" s="7">
        <f>-R956</f>
      </c>
      <c r="U956" s="7">
        <f>Q956</f>
      </c>
      <c r="V956" s="7">
        <f>($C$14+($C$15-$C$14)/($D$15-$D$14)*(I956-$D$14))/2</f>
      </c>
      <c r="W956" s="7">
        <f>($B$22*I956^4+$C$22*I956^3+$D$22*I956^2+$E$22*I956+$F$22)/2</f>
      </c>
      <c r="X956" s="7">
        <f>($W956)*(T956)</f>
      </c>
      <c r="Y956" s="7">
        <f>($W956)*(U956)</f>
      </c>
      <c r="Z956" s="7">
        <f>SQRT(X956^2+Y956^2)</f>
      </c>
      <c r="AA956" s="7">
        <f>$K956+$X956</f>
      </c>
      <c r="AB956" s="7">
        <f>$L956+$Y956</f>
      </c>
      <c r="AC956" s="7">
        <f>$K956-$X956</f>
      </c>
      <c r="AD956" s="7">
        <f>$L956-$Y956</f>
      </c>
      <c r="AE956" s="7">
        <f>AA956/39.3701</f>
      </c>
      <c r="AF956" s="7">
        <f>AB956/39.3701</f>
      </c>
      <c r="AG956" s="7">
        <f>AC956/39.3701</f>
      </c>
      <c r="AH956" s="7">
        <f>AD956/39.3701</f>
      </c>
      <c r="AI956" s="1"/>
      <c r="AJ956" s="1"/>
      <c r="AK956" s="1"/>
      <c r="AL956" s="1"/>
      <c r="AM956" s="2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</row>
    <row x14ac:dyDescent="0.25" r="957" customHeight="1" ht="18.75">
      <c r="A957" s="1"/>
      <c r="B957" s="2"/>
      <c r="C957" s="2"/>
      <c r="D957" s="2"/>
      <c r="E957" s="2"/>
      <c r="F957" s="2"/>
      <c r="G957" s="1"/>
      <c r="H957" s="1"/>
      <c r="I957" s="7">
        <v>0.954</v>
      </c>
      <c r="J957" s="7">
        <f>IF((I957-ROUNDDOWN(I957,0))=0, 0, (I957-ROUNDDOWN(I957,0)))</f>
      </c>
      <c r="K957" s="7">
        <f>INDIRECT("C$"&amp;2+MIN(2,ROUNDDOWN(I957,0))*3)*(-$J957^3+3*$J957^2-3*$J957+1)+INDIRECT("C$"&amp;3+MIN(2,ROUNDDOWN(I957,0))*3)*(3*$J957^3-6*$J957^2+3*$J957)+INDIRECT("C$"&amp;4+MIN(2,ROUNDDOWN(I957,0))*3)*(-3*$J957^3+3*$J957^2)+INDIRECT("C$"&amp;5+MIN(2,ROUNDDOWN(I957,0))*3)*$J957^3</f>
      </c>
      <c r="L957" s="7">
        <f>INDIRECT("D$"&amp;2+MIN(2,ROUNDDOWN(I957,0))*3)*(-$J957^3+3*$J957^2-3*$J957+1)+INDIRECT("D$"&amp;3+MIN(2,ROUNDDOWN(I957,0))*3)*(3*$J957^3-6*$J957^2+3*$J957)+INDIRECT("D$"&amp;4+MIN(2,ROUNDDOWN(I957,0))*3)*(-3*$J957^3+3*$J957^2)+INDIRECT("D$"&amp;5+MIN(2,ROUNDDOWN(I957,0))*3)*$J957^3</f>
      </c>
      <c r="M957" s="7">
        <f>SQRT(K957^2+L957^2)</f>
      </c>
      <c r="N957" s="7">
        <f>(K958-K956)</f>
      </c>
      <c r="O957" s="7">
        <f>+(L958-L956)</f>
      </c>
      <c r="P957" s="7">
        <f>SQRT(O957^2+N957^2)</f>
      </c>
      <c r="Q957" s="7">
        <f>N957/$P957</f>
      </c>
      <c r="R957" s="7">
        <f>O957/$P957</f>
      </c>
      <c r="S957" s="8">
        <f>Q957^2+R957^2</f>
      </c>
      <c r="T957" s="7">
        <f>-R957</f>
      </c>
      <c r="U957" s="7">
        <f>Q957</f>
      </c>
      <c r="V957" s="7">
        <f>($C$14+($C$15-$C$14)/($D$15-$D$14)*(I957-$D$14))/2</f>
      </c>
      <c r="W957" s="7">
        <f>($B$22*I957^4+$C$22*I957^3+$D$22*I957^2+$E$22*I957+$F$22)/2</f>
      </c>
      <c r="X957" s="7">
        <f>($W957)*(T957)</f>
      </c>
      <c r="Y957" s="7">
        <f>($W957)*(U957)</f>
      </c>
      <c r="Z957" s="7">
        <f>SQRT(X957^2+Y957^2)</f>
      </c>
      <c r="AA957" s="7">
        <f>$K957+$X957</f>
      </c>
      <c r="AB957" s="7">
        <f>$L957+$Y957</f>
      </c>
      <c r="AC957" s="7">
        <f>$K957-$X957</f>
      </c>
      <c r="AD957" s="7">
        <f>$L957-$Y957</f>
      </c>
      <c r="AE957" s="7">
        <f>AA957/39.3701</f>
      </c>
      <c r="AF957" s="7">
        <f>AB957/39.3701</f>
      </c>
      <c r="AG957" s="7">
        <f>AC957/39.3701</f>
      </c>
      <c r="AH957" s="7">
        <f>AD957/39.3701</f>
      </c>
      <c r="AI957" s="1"/>
      <c r="AJ957" s="1"/>
      <c r="AK957" s="1"/>
      <c r="AL957" s="1"/>
      <c r="AM957" s="2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</row>
    <row x14ac:dyDescent="0.25" r="958" customHeight="1" ht="18.75">
      <c r="A958" s="1"/>
      <c r="B958" s="2"/>
      <c r="C958" s="2"/>
      <c r="D958" s="2"/>
      <c r="E958" s="2"/>
      <c r="F958" s="2"/>
      <c r="G958" s="1"/>
      <c r="H958" s="1"/>
      <c r="I958" s="7">
        <v>0.955</v>
      </c>
      <c r="J958" s="7">
        <f>IF((I958-ROUNDDOWN(I958,0))=0, 0, (I958-ROUNDDOWN(I958,0)))</f>
      </c>
      <c r="K958" s="7">
        <f>INDIRECT("C$"&amp;2+MIN(2,ROUNDDOWN(I958,0))*3)*(-$J958^3+3*$J958^2-3*$J958+1)+INDIRECT("C$"&amp;3+MIN(2,ROUNDDOWN(I958,0))*3)*(3*$J958^3-6*$J958^2+3*$J958)+INDIRECT("C$"&amp;4+MIN(2,ROUNDDOWN(I958,0))*3)*(-3*$J958^3+3*$J958^2)+INDIRECT("C$"&amp;5+MIN(2,ROUNDDOWN(I958,0))*3)*$J958^3</f>
      </c>
      <c r="L958" s="7">
        <f>INDIRECT("D$"&amp;2+MIN(2,ROUNDDOWN(I958,0))*3)*(-$J958^3+3*$J958^2-3*$J958+1)+INDIRECT("D$"&amp;3+MIN(2,ROUNDDOWN(I958,0))*3)*(3*$J958^3-6*$J958^2+3*$J958)+INDIRECT("D$"&amp;4+MIN(2,ROUNDDOWN(I958,0))*3)*(-3*$J958^3+3*$J958^2)+INDIRECT("D$"&amp;5+MIN(2,ROUNDDOWN(I958,0))*3)*$J958^3</f>
      </c>
      <c r="M958" s="7">
        <f>SQRT(K958^2+L958^2)</f>
      </c>
      <c r="N958" s="7">
        <f>(K959-K957)</f>
      </c>
      <c r="O958" s="7">
        <f>+(L959-L957)</f>
      </c>
      <c r="P958" s="7">
        <f>SQRT(O958^2+N958^2)</f>
      </c>
      <c r="Q958" s="7">
        <f>N958/$P958</f>
      </c>
      <c r="R958" s="7">
        <f>O958/$P958</f>
      </c>
      <c r="S958" s="8">
        <f>Q958^2+R958^2</f>
      </c>
      <c r="T958" s="7">
        <f>-R958</f>
      </c>
      <c r="U958" s="7">
        <f>Q958</f>
      </c>
      <c r="V958" s="7">
        <f>($C$14+($C$15-$C$14)/($D$15-$D$14)*(I958-$D$14))/2</f>
      </c>
      <c r="W958" s="7">
        <f>($B$22*I958^4+$C$22*I958^3+$D$22*I958^2+$E$22*I958+$F$22)/2</f>
      </c>
      <c r="X958" s="7">
        <f>($W958)*(T958)</f>
      </c>
      <c r="Y958" s="7">
        <f>($W958)*(U958)</f>
      </c>
      <c r="Z958" s="7">
        <f>SQRT(X958^2+Y958^2)</f>
      </c>
      <c r="AA958" s="7">
        <f>$K958+$X958</f>
      </c>
      <c r="AB958" s="7">
        <f>$L958+$Y958</f>
      </c>
      <c r="AC958" s="7">
        <f>$K958-$X958</f>
      </c>
      <c r="AD958" s="7">
        <f>$L958-$Y958</f>
      </c>
      <c r="AE958" s="7">
        <f>AA958/39.3701</f>
      </c>
      <c r="AF958" s="7">
        <f>AB958/39.3701</f>
      </c>
      <c r="AG958" s="7">
        <f>AC958/39.3701</f>
      </c>
      <c r="AH958" s="7">
        <f>AD958/39.3701</f>
      </c>
      <c r="AI958" s="1"/>
      <c r="AJ958" s="1"/>
      <c r="AK958" s="1"/>
      <c r="AL958" s="1"/>
      <c r="AM958" s="2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</row>
    <row x14ac:dyDescent="0.25" r="959" customHeight="1" ht="18.75">
      <c r="A959" s="1"/>
      <c r="B959" s="2"/>
      <c r="C959" s="2"/>
      <c r="D959" s="2"/>
      <c r="E959" s="2"/>
      <c r="F959" s="2"/>
      <c r="G959" s="1"/>
      <c r="H959" s="1"/>
      <c r="I959" s="7">
        <v>0.956</v>
      </c>
      <c r="J959" s="7">
        <f>IF((I959-ROUNDDOWN(I959,0))=0, 0, (I959-ROUNDDOWN(I959,0)))</f>
      </c>
      <c r="K959" s="7">
        <f>INDIRECT("C$"&amp;2+MIN(2,ROUNDDOWN(I959,0))*3)*(-$J959^3+3*$J959^2-3*$J959+1)+INDIRECT("C$"&amp;3+MIN(2,ROUNDDOWN(I959,0))*3)*(3*$J959^3-6*$J959^2+3*$J959)+INDIRECT("C$"&amp;4+MIN(2,ROUNDDOWN(I959,0))*3)*(-3*$J959^3+3*$J959^2)+INDIRECT("C$"&amp;5+MIN(2,ROUNDDOWN(I959,0))*3)*$J959^3</f>
      </c>
      <c r="L959" s="7">
        <f>INDIRECT("D$"&amp;2+MIN(2,ROUNDDOWN(I959,0))*3)*(-$J959^3+3*$J959^2-3*$J959+1)+INDIRECT("D$"&amp;3+MIN(2,ROUNDDOWN(I959,0))*3)*(3*$J959^3-6*$J959^2+3*$J959)+INDIRECT("D$"&amp;4+MIN(2,ROUNDDOWN(I959,0))*3)*(-3*$J959^3+3*$J959^2)+INDIRECT("D$"&amp;5+MIN(2,ROUNDDOWN(I959,0))*3)*$J959^3</f>
      </c>
      <c r="M959" s="7">
        <f>SQRT(K959^2+L959^2)</f>
      </c>
      <c r="N959" s="7">
        <f>(K960-K958)</f>
      </c>
      <c r="O959" s="7">
        <f>+(L960-L958)</f>
      </c>
      <c r="P959" s="7">
        <f>SQRT(O959^2+N959^2)</f>
      </c>
      <c r="Q959" s="7">
        <f>N959/$P959</f>
      </c>
      <c r="R959" s="7">
        <f>O959/$P959</f>
      </c>
      <c r="S959" s="7">
        <f>Q959^2+R959^2</f>
      </c>
      <c r="T959" s="7">
        <f>-R959</f>
      </c>
      <c r="U959" s="7">
        <f>Q959</f>
      </c>
      <c r="V959" s="7">
        <f>($C$14+($C$15-$C$14)/($D$15-$D$14)*(I959-$D$14))/2</f>
      </c>
      <c r="W959" s="7">
        <f>($B$22*I959^4+$C$22*I959^3+$D$22*I959^2+$E$22*I959+$F$22)/2</f>
      </c>
      <c r="X959" s="7">
        <f>($W959)*(T959)</f>
      </c>
      <c r="Y959" s="7">
        <f>($W959)*(U959)</f>
      </c>
      <c r="Z959" s="7">
        <f>SQRT(X959^2+Y959^2)</f>
      </c>
      <c r="AA959" s="7">
        <f>$K959+$X959</f>
      </c>
      <c r="AB959" s="7">
        <f>$L959+$Y959</f>
      </c>
      <c r="AC959" s="7">
        <f>$K959-$X959</f>
      </c>
      <c r="AD959" s="7">
        <f>$L959-$Y959</f>
      </c>
      <c r="AE959" s="7">
        <f>AA959/39.3701</f>
      </c>
      <c r="AF959" s="7">
        <f>AB959/39.3701</f>
      </c>
      <c r="AG959" s="7">
        <f>AC959/39.3701</f>
      </c>
      <c r="AH959" s="7">
        <f>AD959/39.3701</f>
      </c>
      <c r="AI959" s="1"/>
      <c r="AJ959" s="1"/>
      <c r="AK959" s="1"/>
      <c r="AL959" s="1"/>
      <c r="AM959" s="2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</row>
    <row x14ac:dyDescent="0.25" r="960" customHeight="1" ht="18.75">
      <c r="A960" s="1"/>
      <c r="B960" s="2"/>
      <c r="C960" s="2"/>
      <c r="D960" s="2"/>
      <c r="E960" s="2"/>
      <c r="F960" s="2"/>
      <c r="G960" s="1"/>
      <c r="H960" s="1"/>
      <c r="I960" s="7">
        <v>0.957</v>
      </c>
      <c r="J960" s="7">
        <f>IF((I960-ROUNDDOWN(I960,0))=0, 0, (I960-ROUNDDOWN(I960,0)))</f>
      </c>
      <c r="K960" s="7">
        <f>INDIRECT("C$"&amp;2+MIN(2,ROUNDDOWN(I960,0))*3)*(-$J960^3+3*$J960^2-3*$J960+1)+INDIRECT("C$"&amp;3+MIN(2,ROUNDDOWN(I960,0))*3)*(3*$J960^3-6*$J960^2+3*$J960)+INDIRECT("C$"&amp;4+MIN(2,ROUNDDOWN(I960,0))*3)*(-3*$J960^3+3*$J960^2)+INDIRECT("C$"&amp;5+MIN(2,ROUNDDOWN(I960,0))*3)*$J960^3</f>
      </c>
      <c r="L960" s="7">
        <f>INDIRECT("D$"&amp;2+MIN(2,ROUNDDOWN(I960,0))*3)*(-$J960^3+3*$J960^2-3*$J960+1)+INDIRECT("D$"&amp;3+MIN(2,ROUNDDOWN(I960,0))*3)*(3*$J960^3-6*$J960^2+3*$J960)+INDIRECT("D$"&amp;4+MIN(2,ROUNDDOWN(I960,0))*3)*(-3*$J960^3+3*$J960^2)+INDIRECT("D$"&amp;5+MIN(2,ROUNDDOWN(I960,0))*3)*$J960^3</f>
      </c>
      <c r="M960" s="7">
        <f>SQRT(K960^2+L960^2)</f>
      </c>
      <c r="N960" s="7">
        <f>(K961-K959)</f>
      </c>
      <c r="O960" s="7">
        <f>+(L961-L959)</f>
      </c>
      <c r="P960" s="7">
        <f>SQRT(O960^2+N960^2)</f>
      </c>
      <c r="Q960" s="7">
        <f>N960/$P960</f>
      </c>
      <c r="R960" s="7">
        <f>O960/$P960</f>
      </c>
      <c r="S960" s="8">
        <f>Q960^2+R960^2</f>
      </c>
      <c r="T960" s="7">
        <f>-R960</f>
      </c>
      <c r="U960" s="7">
        <f>Q960</f>
      </c>
      <c r="V960" s="7">
        <f>($C$14+($C$15-$C$14)/($D$15-$D$14)*(I960-$D$14))/2</f>
      </c>
      <c r="W960" s="7">
        <f>($B$22*I960^4+$C$22*I960^3+$D$22*I960^2+$E$22*I960+$F$22)/2</f>
      </c>
      <c r="X960" s="7">
        <f>($W960)*(T960)</f>
      </c>
      <c r="Y960" s="7">
        <f>($W960)*(U960)</f>
      </c>
      <c r="Z960" s="7">
        <f>SQRT(X960^2+Y960^2)</f>
      </c>
      <c r="AA960" s="7">
        <f>$K960+$X960</f>
      </c>
      <c r="AB960" s="7">
        <f>$L960+$Y960</f>
      </c>
      <c r="AC960" s="7">
        <f>$K960-$X960</f>
      </c>
      <c r="AD960" s="7">
        <f>$L960-$Y960</f>
      </c>
      <c r="AE960" s="7">
        <f>AA960/39.3701</f>
      </c>
      <c r="AF960" s="7">
        <f>AB960/39.3701</f>
      </c>
      <c r="AG960" s="7">
        <f>AC960/39.3701</f>
      </c>
      <c r="AH960" s="7">
        <f>AD960/39.3701</f>
      </c>
      <c r="AI960" s="1"/>
      <c r="AJ960" s="1"/>
      <c r="AK960" s="1"/>
      <c r="AL960" s="1"/>
      <c r="AM960" s="2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</row>
    <row x14ac:dyDescent="0.25" r="961" customHeight="1" ht="18.75">
      <c r="A961" s="1"/>
      <c r="B961" s="2"/>
      <c r="C961" s="2"/>
      <c r="D961" s="2"/>
      <c r="E961" s="2"/>
      <c r="F961" s="2"/>
      <c r="G961" s="1"/>
      <c r="H961" s="1"/>
      <c r="I961" s="7">
        <v>0.958</v>
      </c>
      <c r="J961" s="7">
        <f>IF((I961-ROUNDDOWN(I961,0))=0, 0, (I961-ROUNDDOWN(I961,0)))</f>
      </c>
      <c r="K961" s="7">
        <f>INDIRECT("C$"&amp;2+MIN(2,ROUNDDOWN(I961,0))*3)*(-$J961^3+3*$J961^2-3*$J961+1)+INDIRECT("C$"&amp;3+MIN(2,ROUNDDOWN(I961,0))*3)*(3*$J961^3-6*$J961^2+3*$J961)+INDIRECT("C$"&amp;4+MIN(2,ROUNDDOWN(I961,0))*3)*(-3*$J961^3+3*$J961^2)+INDIRECT("C$"&amp;5+MIN(2,ROUNDDOWN(I961,0))*3)*$J961^3</f>
      </c>
      <c r="L961" s="7">
        <f>INDIRECT("D$"&amp;2+MIN(2,ROUNDDOWN(I961,0))*3)*(-$J961^3+3*$J961^2-3*$J961+1)+INDIRECT("D$"&amp;3+MIN(2,ROUNDDOWN(I961,0))*3)*(3*$J961^3-6*$J961^2+3*$J961)+INDIRECT("D$"&amp;4+MIN(2,ROUNDDOWN(I961,0))*3)*(-3*$J961^3+3*$J961^2)+INDIRECT("D$"&amp;5+MIN(2,ROUNDDOWN(I961,0))*3)*$J961^3</f>
      </c>
      <c r="M961" s="7">
        <f>SQRT(K961^2+L961^2)</f>
      </c>
      <c r="N961" s="7">
        <f>(K962-K960)</f>
      </c>
      <c r="O961" s="7">
        <f>+(L962-L960)</f>
      </c>
      <c r="P961" s="7">
        <f>SQRT(O961^2+N961^2)</f>
      </c>
      <c r="Q961" s="7">
        <f>N961/$P961</f>
      </c>
      <c r="R961" s="7">
        <f>O961/$P961</f>
      </c>
      <c r="S961" s="8">
        <f>Q961^2+R961^2</f>
      </c>
      <c r="T961" s="7">
        <f>-R961</f>
      </c>
      <c r="U961" s="7">
        <f>Q961</f>
      </c>
      <c r="V961" s="7">
        <f>($C$14+($C$15-$C$14)/($D$15-$D$14)*(I961-$D$14))/2</f>
      </c>
      <c r="W961" s="7">
        <f>($B$22*I961^4+$C$22*I961^3+$D$22*I961^2+$E$22*I961+$F$22)/2</f>
      </c>
      <c r="X961" s="7">
        <f>($W961)*(T961)</f>
      </c>
      <c r="Y961" s="7">
        <f>($W961)*(U961)</f>
      </c>
      <c r="Z961" s="7">
        <f>SQRT(X961^2+Y961^2)</f>
      </c>
      <c r="AA961" s="7">
        <f>$K961+$X961</f>
      </c>
      <c r="AB961" s="7">
        <f>$L961+$Y961</f>
      </c>
      <c r="AC961" s="7">
        <f>$K961-$X961</f>
      </c>
      <c r="AD961" s="7">
        <f>$L961-$Y961</f>
      </c>
      <c r="AE961" s="7">
        <f>AA961/39.3701</f>
      </c>
      <c r="AF961" s="7">
        <f>AB961/39.3701</f>
      </c>
      <c r="AG961" s="7">
        <f>AC961/39.3701</f>
      </c>
      <c r="AH961" s="7">
        <f>AD961/39.3701</f>
      </c>
      <c r="AI961" s="1"/>
      <c r="AJ961" s="1"/>
      <c r="AK961" s="1"/>
      <c r="AL961" s="1"/>
      <c r="AM961" s="2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</row>
    <row x14ac:dyDescent="0.25" r="962" customHeight="1" ht="18.75">
      <c r="A962" s="1"/>
      <c r="B962" s="2"/>
      <c r="C962" s="2"/>
      <c r="D962" s="2"/>
      <c r="E962" s="2"/>
      <c r="F962" s="2"/>
      <c r="G962" s="1"/>
      <c r="H962" s="1"/>
      <c r="I962" s="7">
        <v>0.959</v>
      </c>
      <c r="J962" s="7">
        <f>IF((I962-ROUNDDOWN(I962,0))=0, 0, (I962-ROUNDDOWN(I962,0)))</f>
      </c>
      <c r="K962" s="7">
        <f>INDIRECT("C$"&amp;2+MIN(2,ROUNDDOWN(I962,0))*3)*(-$J962^3+3*$J962^2-3*$J962+1)+INDIRECT("C$"&amp;3+MIN(2,ROUNDDOWN(I962,0))*3)*(3*$J962^3-6*$J962^2+3*$J962)+INDIRECT("C$"&amp;4+MIN(2,ROUNDDOWN(I962,0))*3)*(-3*$J962^3+3*$J962^2)+INDIRECT("C$"&amp;5+MIN(2,ROUNDDOWN(I962,0))*3)*$J962^3</f>
      </c>
      <c r="L962" s="7">
        <f>INDIRECT("D$"&amp;2+MIN(2,ROUNDDOWN(I962,0))*3)*(-$J962^3+3*$J962^2-3*$J962+1)+INDIRECT("D$"&amp;3+MIN(2,ROUNDDOWN(I962,0))*3)*(3*$J962^3-6*$J962^2+3*$J962)+INDIRECT("D$"&amp;4+MIN(2,ROUNDDOWN(I962,0))*3)*(-3*$J962^3+3*$J962^2)+INDIRECT("D$"&amp;5+MIN(2,ROUNDDOWN(I962,0))*3)*$J962^3</f>
      </c>
      <c r="M962" s="7">
        <f>SQRT(K962^2+L962^2)</f>
      </c>
      <c r="N962" s="7">
        <f>(K963-K961)</f>
      </c>
      <c r="O962" s="7">
        <f>+(L963-L961)</f>
      </c>
      <c r="P962" s="7">
        <f>SQRT(O962^2+N962^2)</f>
      </c>
      <c r="Q962" s="7">
        <f>N962/$P962</f>
      </c>
      <c r="R962" s="7">
        <f>O962/$P962</f>
      </c>
      <c r="S962" s="8">
        <f>Q962^2+R962^2</f>
      </c>
      <c r="T962" s="7">
        <f>-R962</f>
      </c>
      <c r="U962" s="7">
        <f>Q962</f>
      </c>
      <c r="V962" s="7">
        <f>($C$14+($C$15-$C$14)/($D$15-$D$14)*(I962-$D$14))/2</f>
      </c>
      <c r="W962" s="7">
        <f>($B$22*I962^4+$C$22*I962^3+$D$22*I962^2+$E$22*I962+$F$22)/2</f>
      </c>
      <c r="X962" s="7">
        <f>($W962)*(T962)</f>
      </c>
      <c r="Y962" s="7">
        <f>($W962)*(U962)</f>
      </c>
      <c r="Z962" s="7">
        <f>SQRT(X962^2+Y962^2)</f>
      </c>
      <c r="AA962" s="7">
        <f>$K962+$X962</f>
      </c>
      <c r="AB962" s="7">
        <f>$L962+$Y962</f>
      </c>
      <c r="AC962" s="7">
        <f>$K962-$X962</f>
      </c>
      <c r="AD962" s="7">
        <f>$L962-$Y962</f>
      </c>
      <c r="AE962" s="7">
        <f>AA962/39.3701</f>
      </c>
      <c r="AF962" s="7">
        <f>AB962/39.3701</f>
      </c>
      <c r="AG962" s="7">
        <f>AC962/39.3701</f>
      </c>
      <c r="AH962" s="7">
        <f>AD962/39.3701</f>
      </c>
      <c r="AI962" s="1"/>
      <c r="AJ962" s="1"/>
      <c r="AK962" s="1"/>
      <c r="AL962" s="1"/>
      <c r="AM962" s="2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</row>
    <row x14ac:dyDescent="0.25" r="963" customHeight="1" ht="18.75">
      <c r="A963" s="1"/>
      <c r="B963" s="2"/>
      <c r="C963" s="2"/>
      <c r="D963" s="2"/>
      <c r="E963" s="2"/>
      <c r="F963" s="2"/>
      <c r="G963" s="1"/>
      <c r="H963" s="1"/>
      <c r="I963" s="7">
        <v>0.96</v>
      </c>
      <c r="J963" s="7">
        <f>IF((I963-ROUNDDOWN(I963,0))=0, 0, (I963-ROUNDDOWN(I963,0)))</f>
      </c>
      <c r="K963" s="7">
        <f>INDIRECT("C$"&amp;2+MIN(2,ROUNDDOWN(I963,0))*3)*(-$J963^3+3*$J963^2-3*$J963+1)+INDIRECT("C$"&amp;3+MIN(2,ROUNDDOWN(I963,0))*3)*(3*$J963^3-6*$J963^2+3*$J963)+INDIRECT("C$"&amp;4+MIN(2,ROUNDDOWN(I963,0))*3)*(-3*$J963^3+3*$J963^2)+INDIRECT("C$"&amp;5+MIN(2,ROUNDDOWN(I963,0))*3)*$J963^3</f>
      </c>
      <c r="L963" s="7">
        <f>INDIRECT("D$"&amp;2+MIN(2,ROUNDDOWN(I963,0))*3)*(-$J963^3+3*$J963^2-3*$J963+1)+INDIRECT("D$"&amp;3+MIN(2,ROUNDDOWN(I963,0))*3)*(3*$J963^3-6*$J963^2+3*$J963)+INDIRECT("D$"&amp;4+MIN(2,ROUNDDOWN(I963,0))*3)*(-3*$J963^3+3*$J963^2)+INDIRECT("D$"&amp;5+MIN(2,ROUNDDOWN(I963,0))*3)*$J963^3</f>
      </c>
      <c r="M963" s="7">
        <f>SQRT(K963^2+L963^2)</f>
      </c>
      <c r="N963" s="7">
        <f>(K964-K962)</f>
      </c>
      <c r="O963" s="7">
        <f>+(L964-L962)</f>
      </c>
      <c r="P963" s="7">
        <f>SQRT(O963^2+N963^2)</f>
      </c>
      <c r="Q963" s="7">
        <f>N963/$P963</f>
      </c>
      <c r="R963" s="7">
        <f>O963/$P963</f>
      </c>
      <c r="S963" s="8">
        <f>Q963^2+R963^2</f>
      </c>
      <c r="T963" s="7">
        <f>-R963</f>
      </c>
      <c r="U963" s="7">
        <f>Q963</f>
      </c>
      <c r="V963" s="7">
        <f>($C$14+($C$15-$C$14)/($D$15-$D$14)*(I963-$D$14))/2</f>
      </c>
      <c r="W963" s="7">
        <f>($B$22*I963^4+$C$22*I963^3+$D$22*I963^2+$E$22*I963+$F$22)/2</f>
      </c>
      <c r="X963" s="7">
        <f>($W963)*(T963)</f>
      </c>
      <c r="Y963" s="7">
        <f>($W963)*(U963)</f>
      </c>
      <c r="Z963" s="7">
        <f>SQRT(X963^2+Y963^2)</f>
      </c>
      <c r="AA963" s="7">
        <f>$K963+$X963</f>
      </c>
      <c r="AB963" s="7">
        <f>$L963+$Y963</f>
      </c>
      <c r="AC963" s="7">
        <f>$K963-$X963</f>
      </c>
      <c r="AD963" s="7">
        <f>$L963-$Y963</f>
      </c>
      <c r="AE963" s="7">
        <f>AA963/39.3701</f>
      </c>
      <c r="AF963" s="7">
        <f>AB963/39.3701</f>
      </c>
      <c r="AG963" s="7">
        <f>AC963/39.3701</f>
      </c>
      <c r="AH963" s="7">
        <f>AD963/39.3701</f>
      </c>
      <c r="AI963" s="1"/>
      <c r="AJ963" s="1"/>
      <c r="AK963" s="1"/>
      <c r="AL963" s="1"/>
      <c r="AM963" s="2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</row>
    <row x14ac:dyDescent="0.25" r="964" customHeight="1" ht="18.75">
      <c r="A964" s="1"/>
      <c r="B964" s="2"/>
      <c r="C964" s="2"/>
      <c r="D964" s="2"/>
      <c r="E964" s="2"/>
      <c r="F964" s="2"/>
      <c r="G964" s="1"/>
      <c r="H964" s="1"/>
      <c r="I964" s="7">
        <v>0.961</v>
      </c>
      <c r="J964" s="7">
        <f>IF((I964-ROUNDDOWN(I964,0))=0, 0, (I964-ROUNDDOWN(I964,0)))</f>
      </c>
      <c r="K964" s="7">
        <f>INDIRECT("C$"&amp;2+MIN(2,ROUNDDOWN(I964,0))*3)*(-$J964^3+3*$J964^2-3*$J964+1)+INDIRECT("C$"&amp;3+MIN(2,ROUNDDOWN(I964,0))*3)*(3*$J964^3-6*$J964^2+3*$J964)+INDIRECT("C$"&amp;4+MIN(2,ROUNDDOWN(I964,0))*3)*(-3*$J964^3+3*$J964^2)+INDIRECT("C$"&amp;5+MIN(2,ROUNDDOWN(I964,0))*3)*$J964^3</f>
      </c>
      <c r="L964" s="7">
        <f>INDIRECT("D$"&amp;2+MIN(2,ROUNDDOWN(I964,0))*3)*(-$J964^3+3*$J964^2-3*$J964+1)+INDIRECT("D$"&amp;3+MIN(2,ROUNDDOWN(I964,0))*3)*(3*$J964^3-6*$J964^2+3*$J964)+INDIRECT("D$"&amp;4+MIN(2,ROUNDDOWN(I964,0))*3)*(-3*$J964^3+3*$J964^2)+INDIRECT("D$"&amp;5+MIN(2,ROUNDDOWN(I964,0))*3)*$J964^3</f>
      </c>
      <c r="M964" s="7">
        <f>SQRT(K964^2+L964^2)</f>
      </c>
      <c r="N964" s="7">
        <f>(K965-K963)</f>
      </c>
      <c r="O964" s="7">
        <f>+(L965-L963)</f>
      </c>
      <c r="P964" s="7">
        <f>SQRT(O964^2+N964^2)</f>
      </c>
      <c r="Q964" s="7">
        <f>N964/$P964</f>
      </c>
      <c r="R964" s="7">
        <f>O964/$P964</f>
      </c>
      <c r="S964" s="7">
        <f>Q964^2+R964^2</f>
      </c>
      <c r="T964" s="7">
        <f>-R964</f>
      </c>
      <c r="U964" s="7">
        <f>Q964</f>
      </c>
      <c r="V964" s="7">
        <f>($C$14+($C$15-$C$14)/($D$15-$D$14)*(I964-$D$14))/2</f>
      </c>
      <c r="W964" s="7">
        <f>($B$22*I964^4+$C$22*I964^3+$D$22*I964^2+$E$22*I964+$F$22)/2</f>
      </c>
      <c r="X964" s="7">
        <f>($W964)*(T964)</f>
      </c>
      <c r="Y964" s="7">
        <f>($W964)*(U964)</f>
      </c>
      <c r="Z964" s="7">
        <f>SQRT(X964^2+Y964^2)</f>
      </c>
      <c r="AA964" s="7">
        <f>$K964+$X964</f>
      </c>
      <c r="AB964" s="7">
        <f>$L964+$Y964</f>
      </c>
      <c r="AC964" s="7">
        <f>$K964-$X964</f>
      </c>
      <c r="AD964" s="7">
        <f>$L964-$Y964</f>
      </c>
      <c r="AE964" s="7">
        <f>AA964/39.3701</f>
      </c>
      <c r="AF964" s="7">
        <f>AB964/39.3701</f>
      </c>
      <c r="AG964" s="7">
        <f>AC964/39.3701</f>
      </c>
      <c r="AH964" s="7">
        <f>AD964/39.3701</f>
      </c>
      <c r="AI964" s="1"/>
      <c r="AJ964" s="1"/>
      <c r="AK964" s="1"/>
      <c r="AL964" s="1"/>
      <c r="AM964" s="2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</row>
    <row x14ac:dyDescent="0.25" r="965" customHeight="1" ht="18.75">
      <c r="A965" s="1"/>
      <c r="B965" s="2"/>
      <c r="C965" s="2"/>
      <c r="D965" s="2"/>
      <c r="E965" s="2"/>
      <c r="F965" s="2"/>
      <c r="G965" s="1"/>
      <c r="H965" s="1"/>
      <c r="I965" s="7">
        <v>0.962</v>
      </c>
      <c r="J965" s="7">
        <f>IF((I965-ROUNDDOWN(I965,0))=0, 0, (I965-ROUNDDOWN(I965,0)))</f>
      </c>
      <c r="K965" s="7">
        <f>INDIRECT("C$"&amp;2+MIN(2,ROUNDDOWN(I965,0))*3)*(-$J965^3+3*$J965^2-3*$J965+1)+INDIRECT("C$"&amp;3+MIN(2,ROUNDDOWN(I965,0))*3)*(3*$J965^3-6*$J965^2+3*$J965)+INDIRECT("C$"&amp;4+MIN(2,ROUNDDOWN(I965,0))*3)*(-3*$J965^3+3*$J965^2)+INDIRECT("C$"&amp;5+MIN(2,ROUNDDOWN(I965,0))*3)*$J965^3</f>
      </c>
      <c r="L965" s="7">
        <f>INDIRECT("D$"&amp;2+MIN(2,ROUNDDOWN(I965,0))*3)*(-$J965^3+3*$J965^2-3*$J965+1)+INDIRECT("D$"&amp;3+MIN(2,ROUNDDOWN(I965,0))*3)*(3*$J965^3-6*$J965^2+3*$J965)+INDIRECT("D$"&amp;4+MIN(2,ROUNDDOWN(I965,0))*3)*(-3*$J965^3+3*$J965^2)+INDIRECT("D$"&amp;5+MIN(2,ROUNDDOWN(I965,0))*3)*$J965^3</f>
      </c>
      <c r="M965" s="7">
        <f>SQRT(K965^2+L965^2)</f>
      </c>
      <c r="N965" s="7">
        <f>(K966-K964)</f>
      </c>
      <c r="O965" s="7">
        <f>+(L966-L964)</f>
      </c>
      <c r="P965" s="7">
        <f>SQRT(O965^2+N965^2)</f>
      </c>
      <c r="Q965" s="7">
        <f>N965/$P965</f>
      </c>
      <c r="R965" s="7">
        <f>O965/$P965</f>
      </c>
      <c r="S965" s="8">
        <f>Q965^2+R965^2</f>
      </c>
      <c r="T965" s="7">
        <f>-R965</f>
      </c>
      <c r="U965" s="7">
        <f>Q965</f>
      </c>
      <c r="V965" s="7">
        <f>($C$14+($C$15-$C$14)/($D$15-$D$14)*(I965-$D$14))/2</f>
      </c>
      <c r="W965" s="7">
        <f>($B$22*I965^4+$C$22*I965^3+$D$22*I965^2+$E$22*I965+$F$22)/2</f>
      </c>
      <c r="X965" s="7">
        <f>($W965)*(T965)</f>
      </c>
      <c r="Y965" s="7">
        <f>($W965)*(U965)</f>
      </c>
      <c r="Z965" s="7">
        <f>SQRT(X965^2+Y965^2)</f>
      </c>
      <c r="AA965" s="7">
        <f>$K965+$X965</f>
      </c>
      <c r="AB965" s="7">
        <f>$L965+$Y965</f>
      </c>
      <c r="AC965" s="7">
        <f>$K965-$X965</f>
      </c>
      <c r="AD965" s="7">
        <f>$L965-$Y965</f>
      </c>
      <c r="AE965" s="7">
        <f>AA965/39.3701</f>
      </c>
      <c r="AF965" s="7">
        <f>AB965/39.3701</f>
      </c>
      <c r="AG965" s="7">
        <f>AC965/39.3701</f>
      </c>
      <c r="AH965" s="7">
        <f>AD965/39.3701</f>
      </c>
      <c r="AI965" s="1"/>
      <c r="AJ965" s="1"/>
      <c r="AK965" s="1"/>
      <c r="AL965" s="1"/>
      <c r="AM965" s="2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</row>
    <row x14ac:dyDescent="0.25" r="966" customHeight="1" ht="18.75">
      <c r="A966" s="1"/>
      <c r="B966" s="2"/>
      <c r="C966" s="2"/>
      <c r="D966" s="2"/>
      <c r="E966" s="2"/>
      <c r="F966" s="2"/>
      <c r="G966" s="1"/>
      <c r="H966" s="1"/>
      <c r="I966" s="7">
        <v>0.963</v>
      </c>
      <c r="J966" s="7">
        <f>IF((I966-ROUNDDOWN(I966,0))=0, 0, (I966-ROUNDDOWN(I966,0)))</f>
      </c>
      <c r="K966" s="7">
        <f>INDIRECT("C$"&amp;2+MIN(2,ROUNDDOWN(I966,0))*3)*(-$J966^3+3*$J966^2-3*$J966+1)+INDIRECT("C$"&amp;3+MIN(2,ROUNDDOWN(I966,0))*3)*(3*$J966^3-6*$J966^2+3*$J966)+INDIRECT("C$"&amp;4+MIN(2,ROUNDDOWN(I966,0))*3)*(-3*$J966^3+3*$J966^2)+INDIRECT("C$"&amp;5+MIN(2,ROUNDDOWN(I966,0))*3)*$J966^3</f>
      </c>
      <c r="L966" s="7">
        <f>INDIRECT("D$"&amp;2+MIN(2,ROUNDDOWN(I966,0))*3)*(-$J966^3+3*$J966^2-3*$J966+1)+INDIRECT("D$"&amp;3+MIN(2,ROUNDDOWN(I966,0))*3)*(3*$J966^3-6*$J966^2+3*$J966)+INDIRECT("D$"&amp;4+MIN(2,ROUNDDOWN(I966,0))*3)*(-3*$J966^3+3*$J966^2)+INDIRECT("D$"&amp;5+MIN(2,ROUNDDOWN(I966,0))*3)*$J966^3</f>
      </c>
      <c r="M966" s="7">
        <f>SQRT(K966^2+L966^2)</f>
      </c>
      <c r="N966" s="7">
        <f>(K967-K965)</f>
      </c>
      <c r="O966" s="7">
        <f>+(L967-L965)</f>
      </c>
      <c r="P966" s="7">
        <f>SQRT(O966^2+N966^2)</f>
      </c>
      <c r="Q966" s="7">
        <f>N966/$P966</f>
      </c>
      <c r="R966" s="7">
        <f>O966/$P966</f>
      </c>
      <c r="S966" s="7">
        <f>Q966^2+R966^2</f>
      </c>
      <c r="T966" s="7">
        <f>-R966</f>
      </c>
      <c r="U966" s="7">
        <f>Q966</f>
      </c>
      <c r="V966" s="7">
        <f>($C$14+($C$15-$C$14)/($D$15-$D$14)*(I966-$D$14))/2</f>
      </c>
      <c r="W966" s="7">
        <f>($B$22*I966^4+$C$22*I966^3+$D$22*I966^2+$E$22*I966+$F$22)/2</f>
      </c>
      <c r="X966" s="7">
        <f>($W966)*(T966)</f>
      </c>
      <c r="Y966" s="7">
        <f>($W966)*(U966)</f>
      </c>
      <c r="Z966" s="7">
        <f>SQRT(X966^2+Y966^2)</f>
      </c>
      <c r="AA966" s="7">
        <f>$K966+$X966</f>
      </c>
      <c r="AB966" s="7">
        <f>$L966+$Y966</f>
      </c>
      <c r="AC966" s="7">
        <f>$K966-$X966</f>
      </c>
      <c r="AD966" s="7">
        <f>$L966-$Y966</f>
      </c>
      <c r="AE966" s="7">
        <f>AA966/39.3701</f>
      </c>
      <c r="AF966" s="7">
        <f>AB966/39.3701</f>
      </c>
      <c r="AG966" s="7">
        <f>AC966/39.3701</f>
      </c>
      <c r="AH966" s="7">
        <f>AD966/39.3701</f>
      </c>
      <c r="AI966" s="1"/>
      <c r="AJ966" s="1"/>
      <c r="AK966" s="1"/>
      <c r="AL966" s="1"/>
      <c r="AM966" s="2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</row>
    <row x14ac:dyDescent="0.25" r="967" customHeight="1" ht="18.75">
      <c r="A967" s="1"/>
      <c r="B967" s="2"/>
      <c r="C967" s="2"/>
      <c r="D967" s="2"/>
      <c r="E967" s="2"/>
      <c r="F967" s="2"/>
      <c r="G967" s="1"/>
      <c r="H967" s="1"/>
      <c r="I967" s="7">
        <v>0.964</v>
      </c>
      <c r="J967" s="7">
        <f>IF((I967-ROUNDDOWN(I967,0))=0, 0, (I967-ROUNDDOWN(I967,0)))</f>
      </c>
      <c r="K967" s="7">
        <f>INDIRECT("C$"&amp;2+MIN(2,ROUNDDOWN(I967,0))*3)*(-$J967^3+3*$J967^2-3*$J967+1)+INDIRECT("C$"&amp;3+MIN(2,ROUNDDOWN(I967,0))*3)*(3*$J967^3-6*$J967^2+3*$J967)+INDIRECT("C$"&amp;4+MIN(2,ROUNDDOWN(I967,0))*3)*(-3*$J967^3+3*$J967^2)+INDIRECT("C$"&amp;5+MIN(2,ROUNDDOWN(I967,0))*3)*$J967^3</f>
      </c>
      <c r="L967" s="7">
        <f>INDIRECT("D$"&amp;2+MIN(2,ROUNDDOWN(I967,0))*3)*(-$J967^3+3*$J967^2-3*$J967+1)+INDIRECT("D$"&amp;3+MIN(2,ROUNDDOWN(I967,0))*3)*(3*$J967^3-6*$J967^2+3*$J967)+INDIRECT("D$"&amp;4+MIN(2,ROUNDDOWN(I967,0))*3)*(-3*$J967^3+3*$J967^2)+INDIRECT("D$"&amp;5+MIN(2,ROUNDDOWN(I967,0))*3)*$J967^3</f>
      </c>
      <c r="M967" s="7">
        <f>SQRT(K967^2+L967^2)</f>
      </c>
      <c r="N967" s="7">
        <f>(K968-K966)</f>
      </c>
      <c r="O967" s="7">
        <f>+(L968-L966)</f>
      </c>
      <c r="P967" s="7">
        <f>SQRT(O967^2+N967^2)</f>
      </c>
      <c r="Q967" s="7">
        <f>N967/$P967</f>
      </c>
      <c r="R967" s="7">
        <f>O967/$P967</f>
      </c>
      <c r="S967" s="7">
        <f>Q967^2+R967^2</f>
      </c>
      <c r="T967" s="7">
        <f>-R967</f>
      </c>
      <c r="U967" s="7">
        <f>Q967</f>
      </c>
      <c r="V967" s="7">
        <f>($C$14+($C$15-$C$14)/($D$15-$D$14)*(I967-$D$14))/2</f>
      </c>
      <c r="W967" s="7">
        <f>($B$22*I967^4+$C$22*I967^3+$D$22*I967^2+$E$22*I967+$F$22)/2</f>
      </c>
      <c r="X967" s="7">
        <f>($W967)*(T967)</f>
      </c>
      <c r="Y967" s="7">
        <f>($W967)*(U967)</f>
      </c>
      <c r="Z967" s="7">
        <f>SQRT(X967^2+Y967^2)</f>
      </c>
      <c r="AA967" s="7">
        <f>$K967+$X967</f>
      </c>
      <c r="AB967" s="7">
        <f>$L967+$Y967</f>
      </c>
      <c r="AC967" s="7">
        <f>$K967-$X967</f>
      </c>
      <c r="AD967" s="7">
        <f>$L967-$Y967</f>
      </c>
      <c r="AE967" s="7">
        <f>AA967/39.3701</f>
      </c>
      <c r="AF967" s="7">
        <f>AB967/39.3701</f>
      </c>
      <c r="AG967" s="7">
        <f>AC967/39.3701</f>
      </c>
      <c r="AH967" s="7">
        <f>AD967/39.3701</f>
      </c>
      <c r="AI967" s="1"/>
      <c r="AJ967" s="1"/>
      <c r="AK967" s="1"/>
      <c r="AL967" s="1"/>
      <c r="AM967" s="2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</row>
    <row x14ac:dyDescent="0.25" r="968" customHeight="1" ht="18.75">
      <c r="A968" s="1"/>
      <c r="B968" s="2"/>
      <c r="C968" s="2"/>
      <c r="D968" s="2"/>
      <c r="E968" s="2"/>
      <c r="F968" s="2"/>
      <c r="G968" s="1"/>
      <c r="H968" s="1"/>
      <c r="I968" s="7">
        <v>0.965</v>
      </c>
      <c r="J968" s="7">
        <f>IF((I968-ROUNDDOWN(I968,0))=0, 0, (I968-ROUNDDOWN(I968,0)))</f>
      </c>
      <c r="K968" s="7">
        <f>INDIRECT("C$"&amp;2+MIN(2,ROUNDDOWN(I968,0))*3)*(-$J968^3+3*$J968^2-3*$J968+1)+INDIRECT("C$"&amp;3+MIN(2,ROUNDDOWN(I968,0))*3)*(3*$J968^3-6*$J968^2+3*$J968)+INDIRECT("C$"&amp;4+MIN(2,ROUNDDOWN(I968,0))*3)*(-3*$J968^3+3*$J968^2)+INDIRECT("C$"&amp;5+MIN(2,ROUNDDOWN(I968,0))*3)*$J968^3</f>
      </c>
      <c r="L968" s="7">
        <f>INDIRECT("D$"&amp;2+MIN(2,ROUNDDOWN(I968,0))*3)*(-$J968^3+3*$J968^2-3*$J968+1)+INDIRECT("D$"&amp;3+MIN(2,ROUNDDOWN(I968,0))*3)*(3*$J968^3-6*$J968^2+3*$J968)+INDIRECT("D$"&amp;4+MIN(2,ROUNDDOWN(I968,0))*3)*(-3*$J968^3+3*$J968^2)+INDIRECT("D$"&amp;5+MIN(2,ROUNDDOWN(I968,0))*3)*$J968^3</f>
      </c>
      <c r="M968" s="7">
        <f>SQRT(K968^2+L968^2)</f>
      </c>
      <c r="N968" s="7">
        <f>(K969-K967)</f>
      </c>
      <c r="O968" s="7">
        <f>+(L969-L967)</f>
      </c>
      <c r="P968" s="7">
        <f>SQRT(O968^2+N968^2)</f>
      </c>
      <c r="Q968" s="7">
        <f>N968/$P968</f>
      </c>
      <c r="R968" s="7">
        <f>O968/$P968</f>
      </c>
      <c r="S968" s="8">
        <f>Q968^2+R968^2</f>
      </c>
      <c r="T968" s="7">
        <f>-R968</f>
      </c>
      <c r="U968" s="7">
        <f>Q968</f>
      </c>
      <c r="V968" s="7">
        <f>($C$14+($C$15-$C$14)/($D$15-$D$14)*(I968-$D$14))/2</f>
      </c>
      <c r="W968" s="7">
        <f>($B$22*I968^4+$C$22*I968^3+$D$22*I968^2+$E$22*I968+$F$22)/2</f>
      </c>
      <c r="X968" s="7">
        <f>($W968)*(T968)</f>
      </c>
      <c r="Y968" s="7">
        <f>($W968)*(U968)</f>
      </c>
      <c r="Z968" s="7">
        <f>SQRT(X968^2+Y968^2)</f>
      </c>
      <c r="AA968" s="7">
        <f>$K968+$X968</f>
      </c>
      <c r="AB968" s="7">
        <f>$L968+$Y968</f>
      </c>
      <c r="AC968" s="7">
        <f>$K968-$X968</f>
      </c>
      <c r="AD968" s="7">
        <f>$L968-$Y968</f>
      </c>
      <c r="AE968" s="7">
        <f>AA968/39.3701</f>
      </c>
      <c r="AF968" s="7">
        <f>AB968/39.3701</f>
      </c>
      <c r="AG968" s="7">
        <f>AC968/39.3701</f>
      </c>
      <c r="AH968" s="7">
        <f>AD968/39.3701</f>
      </c>
      <c r="AI968" s="1"/>
      <c r="AJ968" s="1"/>
      <c r="AK968" s="1"/>
      <c r="AL968" s="1"/>
      <c r="AM968" s="2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</row>
    <row x14ac:dyDescent="0.25" r="969" customHeight="1" ht="18.75">
      <c r="A969" s="1"/>
      <c r="B969" s="2"/>
      <c r="C969" s="2"/>
      <c r="D969" s="2"/>
      <c r="E969" s="2"/>
      <c r="F969" s="2"/>
      <c r="G969" s="1"/>
      <c r="H969" s="1"/>
      <c r="I969" s="7">
        <v>0.966</v>
      </c>
      <c r="J969" s="7">
        <f>IF((I969-ROUNDDOWN(I969,0))=0, 0, (I969-ROUNDDOWN(I969,0)))</f>
      </c>
      <c r="K969" s="7">
        <f>INDIRECT("C$"&amp;2+MIN(2,ROUNDDOWN(I969,0))*3)*(-$J969^3+3*$J969^2-3*$J969+1)+INDIRECT("C$"&amp;3+MIN(2,ROUNDDOWN(I969,0))*3)*(3*$J969^3-6*$J969^2+3*$J969)+INDIRECT("C$"&amp;4+MIN(2,ROUNDDOWN(I969,0))*3)*(-3*$J969^3+3*$J969^2)+INDIRECT("C$"&amp;5+MIN(2,ROUNDDOWN(I969,0))*3)*$J969^3</f>
      </c>
      <c r="L969" s="7">
        <f>INDIRECT("D$"&amp;2+MIN(2,ROUNDDOWN(I969,0))*3)*(-$J969^3+3*$J969^2-3*$J969+1)+INDIRECT("D$"&amp;3+MIN(2,ROUNDDOWN(I969,0))*3)*(3*$J969^3-6*$J969^2+3*$J969)+INDIRECT("D$"&amp;4+MIN(2,ROUNDDOWN(I969,0))*3)*(-3*$J969^3+3*$J969^2)+INDIRECT("D$"&amp;5+MIN(2,ROUNDDOWN(I969,0))*3)*$J969^3</f>
      </c>
      <c r="M969" s="7">
        <f>SQRT(K969^2+L969^2)</f>
      </c>
      <c r="N969" s="7">
        <f>(K970-K968)</f>
      </c>
      <c r="O969" s="7">
        <f>+(L970-L968)</f>
      </c>
      <c r="P969" s="7">
        <f>SQRT(O969^2+N969^2)</f>
      </c>
      <c r="Q969" s="7">
        <f>N969/$P969</f>
      </c>
      <c r="R969" s="7">
        <f>O969/$P969</f>
      </c>
      <c r="S969" s="7">
        <f>Q969^2+R969^2</f>
      </c>
      <c r="T969" s="7">
        <f>-R969</f>
      </c>
      <c r="U969" s="7">
        <f>Q969</f>
      </c>
      <c r="V969" s="7">
        <f>($C$14+($C$15-$C$14)/($D$15-$D$14)*(I969-$D$14))/2</f>
      </c>
      <c r="W969" s="7">
        <f>($B$22*I969^4+$C$22*I969^3+$D$22*I969^2+$E$22*I969+$F$22)/2</f>
      </c>
      <c r="X969" s="7">
        <f>($W969)*(T969)</f>
      </c>
      <c r="Y969" s="7">
        <f>($W969)*(U969)</f>
      </c>
      <c r="Z969" s="7">
        <f>SQRT(X969^2+Y969^2)</f>
      </c>
      <c r="AA969" s="7">
        <f>$K969+$X969</f>
      </c>
      <c r="AB969" s="7">
        <f>$L969+$Y969</f>
      </c>
      <c r="AC969" s="7">
        <f>$K969-$X969</f>
      </c>
      <c r="AD969" s="7">
        <f>$L969-$Y969</f>
      </c>
      <c r="AE969" s="7">
        <f>AA969/39.3701</f>
      </c>
      <c r="AF969" s="7">
        <f>AB969/39.3701</f>
      </c>
      <c r="AG969" s="7">
        <f>AC969/39.3701</f>
      </c>
      <c r="AH969" s="7">
        <f>AD969/39.3701</f>
      </c>
      <c r="AI969" s="1"/>
      <c r="AJ969" s="1"/>
      <c r="AK969" s="1"/>
      <c r="AL969" s="1"/>
      <c r="AM969" s="2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</row>
    <row x14ac:dyDescent="0.25" r="970" customHeight="1" ht="18.75">
      <c r="A970" s="1"/>
      <c r="B970" s="2"/>
      <c r="C970" s="2"/>
      <c r="D970" s="2"/>
      <c r="E970" s="2"/>
      <c r="F970" s="2"/>
      <c r="G970" s="1"/>
      <c r="H970" s="1"/>
      <c r="I970" s="7">
        <v>0.967</v>
      </c>
      <c r="J970" s="7">
        <f>IF((I970-ROUNDDOWN(I970,0))=0, 0, (I970-ROUNDDOWN(I970,0)))</f>
      </c>
      <c r="K970" s="7">
        <f>INDIRECT("C$"&amp;2+MIN(2,ROUNDDOWN(I970,0))*3)*(-$J970^3+3*$J970^2-3*$J970+1)+INDIRECT("C$"&amp;3+MIN(2,ROUNDDOWN(I970,0))*3)*(3*$J970^3-6*$J970^2+3*$J970)+INDIRECT("C$"&amp;4+MIN(2,ROUNDDOWN(I970,0))*3)*(-3*$J970^3+3*$J970^2)+INDIRECT("C$"&amp;5+MIN(2,ROUNDDOWN(I970,0))*3)*$J970^3</f>
      </c>
      <c r="L970" s="7">
        <f>INDIRECT("D$"&amp;2+MIN(2,ROUNDDOWN(I970,0))*3)*(-$J970^3+3*$J970^2-3*$J970+1)+INDIRECT("D$"&amp;3+MIN(2,ROUNDDOWN(I970,0))*3)*(3*$J970^3-6*$J970^2+3*$J970)+INDIRECT("D$"&amp;4+MIN(2,ROUNDDOWN(I970,0))*3)*(-3*$J970^3+3*$J970^2)+INDIRECT("D$"&amp;5+MIN(2,ROUNDDOWN(I970,0))*3)*$J970^3</f>
      </c>
      <c r="M970" s="7">
        <f>SQRT(K970^2+L970^2)</f>
      </c>
      <c r="N970" s="7">
        <f>(K971-K969)</f>
      </c>
      <c r="O970" s="7">
        <f>+(L971-L969)</f>
      </c>
      <c r="P970" s="7">
        <f>SQRT(O970^2+N970^2)</f>
      </c>
      <c r="Q970" s="7">
        <f>N970/$P970</f>
      </c>
      <c r="R970" s="7">
        <f>O970/$P970</f>
      </c>
      <c r="S970" s="8">
        <f>Q970^2+R970^2</f>
      </c>
      <c r="T970" s="7">
        <f>-R970</f>
      </c>
      <c r="U970" s="7">
        <f>Q970</f>
      </c>
      <c r="V970" s="7">
        <f>($C$14+($C$15-$C$14)/($D$15-$D$14)*(I970-$D$14))/2</f>
      </c>
      <c r="W970" s="7">
        <f>($B$22*I970^4+$C$22*I970^3+$D$22*I970^2+$E$22*I970+$F$22)/2</f>
      </c>
      <c r="X970" s="7">
        <f>($W970)*(T970)</f>
      </c>
      <c r="Y970" s="7">
        <f>($W970)*(U970)</f>
      </c>
      <c r="Z970" s="7">
        <f>SQRT(X970^2+Y970^2)</f>
      </c>
      <c r="AA970" s="7">
        <f>$K970+$X970</f>
      </c>
      <c r="AB970" s="7">
        <f>$L970+$Y970</f>
      </c>
      <c r="AC970" s="7">
        <f>$K970-$X970</f>
      </c>
      <c r="AD970" s="7">
        <f>$L970-$Y970</f>
      </c>
      <c r="AE970" s="7">
        <f>AA970/39.3701</f>
      </c>
      <c r="AF970" s="7">
        <f>AB970/39.3701</f>
      </c>
      <c r="AG970" s="7">
        <f>AC970/39.3701</f>
      </c>
      <c r="AH970" s="7">
        <f>AD970/39.3701</f>
      </c>
      <c r="AI970" s="1"/>
      <c r="AJ970" s="1"/>
      <c r="AK970" s="1"/>
      <c r="AL970" s="1"/>
      <c r="AM970" s="2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</row>
    <row x14ac:dyDescent="0.25" r="971" customHeight="1" ht="18.75">
      <c r="A971" s="1"/>
      <c r="B971" s="2"/>
      <c r="C971" s="2"/>
      <c r="D971" s="2"/>
      <c r="E971" s="2"/>
      <c r="F971" s="2"/>
      <c r="G971" s="1"/>
      <c r="H971" s="1"/>
      <c r="I971" s="7">
        <v>0.968</v>
      </c>
      <c r="J971" s="7">
        <f>IF((I971-ROUNDDOWN(I971,0))=0, 0, (I971-ROUNDDOWN(I971,0)))</f>
      </c>
      <c r="K971" s="7">
        <f>INDIRECT("C$"&amp;2+MIN(2,ROUNDDOWN(I971,0))*3)*(-$J971^3+3*$J971^2-3*$J971+1)+INDIRECT("C$"&amp;3+MIN(2,ROUNDDOWN(I971,0))*3)*(3*$J971^3-6*$J971^2+3*$J971)+INDIRECT("C$"&amp;4+MIN(2,ROUNDDOWN(I971,0))*3)*(-3*$J971^3+3*$J971^2)+INDIRECT("C$"&amp;5+MIN(2,ROUNDDOWN(I971,0))*3)*$J971^3</f>
      </c>
      <c r="L971" s="7">
        <f>INDIRECT("D$"&amp;2+MIN(2,ROUNDDOWN(I971,0))*3)*(-$J971^3+3*$J971^2-3*$J971+1)+INDIRECT("D$"&amp;3+MIN(2,ROUNDDOWN(I971,0))*3)*(3*$J971^3-6*$J971^2+3*$J971)+INDIRECT("D$"&amp;4+MIN(2,ROUNDDOWN(I971,0))*3)*(-3*$J971^3+3*$J971^2)+INDIRECT("D$"&amp;5+MIN(2,ROUNDDOWN(I971,0))*3)*$J971^3</f>
      </c>
      <c r="M971" s="7">
        <f>SQRT(K971^2+L971^2)</f>
      </c>
      <c r="N971" s="7">
        <f>(K972-K970)</f>
      </c>
      <c r="O971" s="7">
        <f>+(L972-L970)</f>
      </c>
      <c r="P971" s="7">
        <f>SQRT(O971^2+N971^2)</f>
      </c>
      <c r="Q971" s="7">
        <f>N971/$P971</f>
      </c>
      <c r="R971" s="7">
        <f>O971/$P971</f>
      </c>
      <c r="S971" s="8">
        <f>Q971^2+R971^2</f>
      </c>
      <c r="T971" s="7">
        <f>-R971</f>
      </c>
      <c r="U971" s="7">
        <f>Q971</f>
      </c>
      <c r="V971" s="7">
        <f>($C$14+($C$15-$C$14)/($D$15-$D$14)*(I971-$D$14))/2</f>
      </c>
      <c r="W971" s="7">
        <f>($B$22*I971^4+$C$22*I971^3+$D$22*I971^2+$E$22*I971+$F$22)/2</f>
      </c>
      <c r="X971" s="7">
        <f>($W971)*(T971)</f>
      </c>
      <c r="Y971" s="7">
        <f>($W971)*(U971)</f>
      </c>
      <c r="Z971" s="7">
        <f>SQRT(X971^2+Y971^2)</f>
      </c>
      <c r="AA971" s="7">
        <f>$K971+$X971</f>
      </c>
      <c r="AB971" s="7">
        <f>$L971+$Y971</f>
      </c>
      <c r="AC971" s="7">
        <f>$K971-$X971</f>
      </c>
      <c r="AD971" s="7">
        <f>$L971-$Y971</f>
      </c>
      <c r="AE971" s="7">
        <f>AA971/39.3701</f>
      </c>
      <c r="AF971" s="7">
        <f>AB971/39.3701</f>
      </c>
      <c r="AG971" s="7">
        <f>AC971/39.3701</f>
      </c>
      <c r="AH971" s="7">
        <f>AD971/39.3701</f>
      </c>
      <c r="AI971" s="1"/>
      <c r="AJ971" s="1"/>
      <c r="AK971" s="1"/>
      <c r="AL971" s="1"/>
      <c r="AM971" s="2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</row>
    <row x14ac:dyDescent="0.25" r="972" customHeight="1" ht="18.75">
      <c r="A972" s="1"/>
      <c r="B972" s="2"/>
      <c r="C972" s="2"/>
      <c r="D972" s="2"/>
      <c r="E972" s="2"/>
      <c r="F972" s="2"/>
      <c r="G972" s="1"/>
      <c r="H972" s="1"/>
      <c r="I972" s="7">
        <v>0.969</v>
      </c>
      <c r="J972" s="7">
        <f>IF((I972-ROUNDDOWN(I972,0))=0, 0, (I972-ROUNDDOWN(I972,0)))</f>
      </c>
      <c r="K972" s="7">
        <f>INDIRECT("C$"&amp;2+MIN(2,ROUNDDOWN(I972,0))*3)*(-$J972^3+3*$J972^2-3*$J972+1)+INDIRECT("C$"&amp;3+MIN(2,ROUNDDOWN(I972,0))*3)*(3*$J972^3-6*$J972^2+3*$J972)+INDIRECT("C$"&amp;4+MIN(2,ROUNDDOWN(I972,0))*3)*(-3*$J972^3+3*$J972^2)+INDIRECT("C$"&amp;5+MIN(2,ROUNDDOWN(I972,0))*3)*$J972^3</f>
      </c>
      <c r="L972" s="7">
        <f>INDIRECT("D$"&amp;2+MIN(2,ROUNDDOWN(I972,0))*3)*(-$J972^3+3*$J972^2-3*$J972+1)+INDIRECT("D$"&amp;3+MIN(2,ROUNDDOWN(I972,0))*3)*(3*$J972^3-6*$J972^2+3*$J972)+INDIRECT("D$"&amp;4+MIN(2,ROUNDDOWN(I972,0))*3)*(-3*$J972^3+3*$J972^2)+INDIRECT("D$"&amp;5+MIN(2,ROUNDDOWN(I972,0))*3)*$J972^3</f>
      </c>
      <c r="M972" s="7">
        <f>SQRT(K972^2+L972^2)</f>
      </c>
      <c r="N972" s="7">
        <f>(K973-K971)</f>
      </c>
      <c r="O972" s="7">
        <f>+(L973-L971)</f>
      </c>
      <c r="P972" s="7">
        <f>SQRT(O972^2+N972^2)</f>
      </c>
      <c r="Q972" s="7">
        <f>N972/$P972</f>
      </c>
      <c r="R972" s="7">
        <f>O972/$P972</f>
      </c>
      <c r="S972" s="7">
        <f>Q972^2+R972^2</f>
      </c>
      <c r="T972" s="7">
        <f>-R972</f>
      </c>
      <c r="U972" s="7">
        <f>Q972</f>
      </c>
      <c r="V972" s="7">
        <f>($C$14+($C$15-$C$14)/($D$15-$D$14)*(I972-$D$14))/2</f>
      </c>
      <c r="W972" s="7">
        <f>($B$22*I972^4+$C$22*I972^3+$D$22*I972^2+$E$22*I972+$F$22)/2</f>
      </c>
      <c r="X972" s="7">
        <f>($W972)*(T972)</f>
      </c>
      <c r="Y972" s="7">
        <f>($W972)*(U972)</f>
      </c>
      <c r="Z972" s="7">
        <f>SQRT(X972^2+Y972^2)</f>
      </c>
      <c r="AA972" s="7">
        <f>$K972+$X972</f>
      </c>
      <c r="AB972" s="7">
        <f>$L972+$Y972</f>
      </c>
      <c r="AC972" s="7">
        <f>$K972-$X972</f>
      </c>
      <c r="AD972" s="7">
        <f>$L972-$Y972</f>
      </c>
      <c r="AE972" s="7">
        <f>AA972/39.3701</f>
      </c>
      <c r="AF972" s="7">
        <f>AB972/39.3701</f>
      </c>
      <c r="AG972" s="7">
        <f>AC972/39.3701</f>
      </c>
      <c r="AH972" s="7">
        <f>AD972/39.3701</f>
      </c>
      <c r="AI972" s="1"/>
      <c r="AJ972" s="1"/>
      <c r="AK972" s="1"/>
      <c r="AL972" s="1"/>
      <c r="AM972" s="2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</row>
    <row x14ac:dyDescent="0.25" r="973" customHeight="1" ht="18.75">
      <c r="A973" s="1"/>
      <c r="B973" s="2"/>
      <c r="C973" s="2"/>
      <c r="D973" s="2"/>
      <c r="E973" s="2"/>
      <c r="F973" s="2"/>
      <c r="G973" s="1"/>
      <c r="H973" s="1"/>
      <c r="I973" s="7">
        <v>0.97</v>
      </c>
      <c r="J973" s="7">
        <f>IF((I973-ROUNDDOWN(I973,0))=0, 0, (I973-ROUNDDOWN(I973,0)))</f>
      </c>
      <c r="K973" s="7">
        <f>INDIRECT("C$"&amp;2+MIN(2,ROUNDDOWN(I973,0))*3)*(-$J973^3+3*$J973^2-3*$J973+1)+INDIRECT("C$"&amp;3+MIN(2,ROUNDDOWN(I973,0))*3)*(3*$J973^3-6*$J973^2+3*$J973)+INDIRECT("C$"&amp;4+MIN(2,ROUNDDOWN(I973,0))*3)*(-3*$J973^3+3*$J973^2)+INDIRECT("C$"&amp;5+MIN(2,ROUNDDOWN(I973,0))*3)*$J973^3</f>
      </c>
      <c r="L973" s="7">
        <f>INDIRECT("D$"&amp;2+MIN(2,ROUNDDOWN(I973,0))*3)*(-$J973^3+3*$J973^2-3*$J973+1)+INDIRECT("D$"&amp;3+MIN(2,ROUNDDOWN(I973,0))*3)*(3*$J973^3-6*$J973^2+3*$J973)+INDIRECT("D$"&amp;4+MIN(2,ROUNDDOWN(I973,0))*3)*(-3*$J973^3+3*$J973^2)+INDIRECT("D$"&amp;5+MIN(2,ROUNDDOWN(I973,0))*3)*$J973^3</f>
      </c>
      <c r="M973" s="7">
        <f>SQRT(K973^2+L973^2)</f>
      </c>
      <c r="N973" s="7">
        <f>(K974-K972)</f>
      </c>
      <c r="O973" s="7">
        <f>+(L974-L972)</f>
      </c>
      <c r="P973" s="7">
        <f>SQRT(O973^2+N973^2)</f>
      </c>
      <c r="Q973" s="7">
        <f>N973/$P973</f>
      </c>
      <c r="R973" s="7">
        <f>O973/$P973</f>
      </c>
      <c r="S973" s="8">
        <f>Q973^2+R973^2</f>
      </c>
      <c r="T973" s="7">
        <f>-R973</f>
      </c>
      <c r="U973" s="7">
        <f>Q973</f>
      </c>
      <c r="V973" s="7">
        <f>($C$14+($C$15-$C$14)/($D$15-$D$14)*(I973-$D$14))/2</f>
      </c>
      <c r="W973" s="7">
        <f>($B$22*I973^4+$C$22*I973^3+$D$22*I973^2+$E$22*I973+$F$22)/2</f>
      </c>
      <c r="X973" s="7">
        <f>($W973)*(T973)</f>
      </c>
      <c r="Y973" s="7">
        <f>($W973)*(U973)</f>
      </c>
      <c r="Z973" s="7">
        <f>SQRT(X973^2+Y973^2)</f>
      </c>
      <c r="AA973" s="7">
        <f>$K973+$X973</f>
      </c>
      <c r="AB973" s="7">
        <f>$L973+$Y973</f>
      </c>
      <c r="AC973" s="7">
        <f>$K973-$X973</f>
      </c>
      <c r="AD973" s="7">
        <f>$L973-$Y973</f>
      </c>
      <c r="AE973" s="7">
        <f>AA973/39.3701</f>
      </c>
      <c r="AF973" s="7">
        <f>AB973/39.3701</f>
      </c>
      <c r="AG973" s="7">
        <f>AC973/39.3701</f>
      </c>
      <c r="AH973" s="7">
        <f>AD973/39.3701</f>
      </c>
      <c r="AI973" s="1"/>
      <c r="AJ973" s="1"/>
      <c r="AK973" s="1"/>
      <c r="AL973" s="1"/>
      <c r="AM973" s="2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</row>
    <row x14ac:dyDescent="0.25" r="974" customHeight="1" ht="18.75">
      <c r="A974" s="1"/>
      <c r="B974" s="2"/>
      <c r="C974" s="2"/>
      <c r="D974" s="2"/>
      <c r="E974" s="2"/>
      <c r="F974" s="2"/>
      <c r="G974" s="1"/>
      <c r="H974" s="1"/>
      <c r="I974" s="7">
        <v>0.971</v>
      </c>
      <c r="J974" s="7">
        <f>IF((I974-ROUNDDOWN(I974,0))=0, 0, (I974-ROUNDDOWN(I974,0)))</f>
      </c>
      <c r="K974" s="7">
        <f>INDIRECT("C$"&amp;2+MIN(2,ROUNDDOWN(I974,0))*3)*(-$J974^3+3*$J974^2-3*$J974+1)+INDIRECT("C$"&amp;3+MIN(2,ROUNDDOWN(I974,0))*3)*(3*$J974^3-6*$J974^2+3*$J974)+INDIRECT("C$"&amp;4+MIN(2,ROUNDDOWN(I974,0))*3)*(-3*$J974^3+3*$J974^2)+INDIRECT("C$"&amp;5+MIN(2,ROUNDDOWN(I974,0))*3)*$J974^3</f>
      </c>
      <c r="L974" s="7">
        <f>INDIRECT("D$"&amp;2+MIN(2,ROUNDDOWN(I974,0))*3)*(-$J974^3+3*$J974^2-3*$J974+1)+INDIRECT("D$"&amp;3+MIN(2,ROUNDDOWN(I974,0))*3)*(3*$J974^3-6*$J974^2+3*$J974)+INDIRECT("D$"&amp;4+MIN(2,ROUNDDOWN(I974,0))*3)*(-3*$J974^3+3*$J974^2)+INDIRECT("D$"&amp;5+MIN(2,ROUNDDOWN(I974,0))*3)*$J974^3</f>
      </c>
      <c r="M974" s="7">
        <f>SQRT(K974^2+L974^2)</f>
      </c>
      <c r="N974" s="7">
        <f>(K975-K973)</f>
      </c>
      <c r="O974" s="7">
        <f>+(L975-L973)</f>
      </c>
      <c r="P974" s="7">
        <f>SQRT(O974^2+N974^2)</f>
      </c>
      <c r="Q974" s="7">
        <f>N974/$P974</f>
      </c>
      <c r="R974" s="7">
        <f>O974/$P974</f>
      </c>
      <c r="S974" s="7">
        <f>Q974^2+R974^2</f>
      </c>
      <c r="T974" s="7">
        <f>-R974</f>
      </c>
      <c r="U974" s="7">
        <f>Q974</f>
      </c>
      <c r="V974" s="7">
        <f>($C$14+($C$15-$C$14)/($D$15-$D$14)*(I974-$D$14))/2</f>
      </c>
      <c r="W974" s="7">
        <f>($B$22*I974^4+$C$22*I974^3+$D$22*I974^2+$E$22*I974+$F$22)/2</f>
      </c>
      <c r="X974" s="7">
        <f>($W974)*(T974)</f>
      </c>
      <c r="Y974" s="7">
        <f>($W974)*(U974)</f>
      </c>
      <c r="Z974" s="7">
        <f>SQRT(X974^2+Y974^2)</f>
      </c>
      <c r="AA974" s="7">
        <f>$K974+$X974</f>
      </c>
      <c r="AB974" s="7">
        <f>$L974+$Y974</f>
      </c>
      <c r="AC974" s="7">
        <f>$K974-$X974</f>
      </c>
      <c r="AD974" s="7">
        <f>$L974-$Y974</f>
      </c>
      <c r="AE974" s="7">
        <f>AA974/39.3701</f>
      </c>
      <c r="AF974" s="7">
        <f>AB974/39.3701</f>
      </c>
      <c r="AG974" s="7">
        <f>AC974/39.3701</f>
      </c>
      <c r="AH974" s="7">
        <f>AD974/39.3701</f>
      </c>
      <c r="AI974" s="1"/>
      <c r="AJ974" s="1"/>
      <c r="AK974" s="1"/>
      <c r="AL974" s="1"/>
      <c r="AM974" s="2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</row>
    <row x14ac:dyDescent="0.25" r="975" customHeight="1" ht="18.75">
      <c r="A975" s="1"/>
      <c r="B975" s="2"/>
      <c r="C975" s="2"/>
      <c r="D975" s="2"/>
      <c r="E975" s="2"/>
      <c r="F975" s="2"/>
      <c r="G975" s="1"/>
      <c r="H975" s="1"/>
      <c r="I975" s="7">
        <v>0.972</v>
      </c>
      <c r="J975" s="7">
        <f>IF((I975-ROUNDDOWN(I975,0))=0, 0, (I975-ROUNDDOWN(I975,0)))</f>
      </c>
      <c r="K975" s="7">
        <f>INDIRECT("C$"&amp;2+MIN(2,ROUNDDOWN(I975,0))*3)*(-$J975^3+3*$J975^2-3*$J975+1)+INDIRECT("C$"&amp;3+MIN(2,ROUNDDOWN(I975,0))*3)*(3*$J975^3-6*$J975^2+3*$J975)+INDIRECT("C$"&amp;4+MIN(2,ROUNDDOWN(I975,0))*3)*(-3*$J975^3+3*$J975^2)+INDIRECT("C$"&amp;5+MIN(2,ROUNDDOWN(I975,0))*3)*$J975^3</f>
      </c>
      <c r="L975" s="7">
        <f>INDIRECT("D$"&amp;2+MIN(2,ROUNDDOWN(I975,0))*3)*(-$J975^3+3*$J975^2-3*$J975+1)+INDIRECT("D$"&amp;3+MIN(2,ROUNDDOWN(I975,0))*3)*(3*$J975^3-6*$J975^2+3*$J975)+INDIRECT("D$"&amp;4+MIN(2,ROUNDDOWN(I975,0))*3)*(-3*$J975^3+3*$J975^2)+INDIRECT("D$"&amp;5+MIN(2,ROUNDDOWN(I975,0))*3)*$J975^3</f>
      </c>
      <c r="M975" s="7">
        <f>SQRT(K975^2+L975^2)</f>
      </c>
      <c r="N975" s="7">
        <f>(K976-K974)</f>
      </c>
      <c r="O975" s="7">
        <f>+(L976-L974)</f>
      </c>
      <c r="P975" s="7">
        <f>SQRT(O975^2+N975^2)</f>
      </c>
      <c r="Q975" s="7">
        <f>N975/$P975</f>
      </c>
      <c r="R975" s="7">
        <f>O975/$P975</f>
      </c>
      <c r="S975" s="8">
        <f>Q975^2+R975^2</f>
      </c>
      <c r="T975" s="7">
        <f>-R975</f>
      </c>
      <c r="U975" s="7">
        <f>Q975</f>
      </c>
      <c r="V975" s="7">
        <f>($C$14+($C$15-$C$14)/($D$15-$D$14)*(I975-$D$14))/2</f>
      </c>
      <c r="W975" s="7">
        <f>($B$22*I975^4+$C$22*I975^3+$D$22*I975^2+$E$22*I975+$F$22)/2</f>
      </c>
      <c r="X975" s="7">
        <f>($W975)*(T975)</f>
      </c>
      <c r="Y975" s="7">
        <f>($W975)*(U975)</f>
      </c>
      <c r="Z975" s="7">
        <f>SQRT(X975^2+Y975^2)</f>
      </c>
      <c r="AA975" s="7">
        <f>$K975+$X975</f>
      </c>
      <c r="AB975" s="7">
        <f>$L975+$Y975</f>
      </c>
      <c r="AC975" s="7">
        <f>$K975-$X975</f>
      </c>
      <c r="AD975" s="7">
        <f>$L975-$Y975</f>
      </c>
      <c r="AE975" s="7">
        <f>AA975/39.3701</f>
      </c>
      <c r="AF975" s="7">
        <f>AB975/39.3701</f>
      </c>
      <c r="AG975" s="7">
        <f>AC975/39.3701</f>
      </c>
      <c r="AH975" s="7">
        <f>AD975/39.3701</f>
      </c>
      <c r="AI975" s="1"/>
      <c r="AJ975" s="1"/>
      <c r="AK975" s="1"/>
      <c r="AL975" s="1"/>
      <c r="AM975" s="2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</row>
    <row x14ac:dyDescent="0.25" r="976" customHeight="1" ht="18.75">
      <c r="A976" s="1"/>
      <c r="B976" s="2"/>
      <c r="C976" s="2"/>
      <c r="D976" s="2"/>
      <c r="E976" s="2"/>
      <c r="F976" s="2"/>
      <c r="G976" s="1"/>
      <c r="H976" s="1"/>
      <c r="I976" s="7">
        <v>0.973</v>
      </c>
      <c r="J976" s="7">
        <f>IF((I976-ROUNDDOWN(I976,0))=0, 0, (I976-ROUNDDOWN(I976,0)))</f>
      </c>
      <c r="K976" s="7">
        <f>INDIRECT("C$"&amp;2+MIN(2,ROUNDDOWN(I976,0))*3)*(-$J976^3+3*$J976^2-3*$J976+1)+INDIRECT("C$"&amp;3+MIN(2,ROUNDDOWN(I976,0))*3)*(3*$J976^3-6*$J976^2+3*$J976)+INDIRECT("C$"&amp;4+MIN(2,ROUNDDOWN(I976,0))*3)*(-3*$J976^3+3*$J976^2)+INDIRECT("C$"&amp;5+MIN(2,ROUNDDOWN(I976,0))*3)*$J976^3</f>
      </c>
      <c r="L976" s="7">
        <f>INDIRECT("D$"&amp;2+MIN(2,ROUNDDOWN(I976,0))*3)*(-$J976^3+3*$J976^2-3*$J976+1)+INDIRECT("D$"&amp;3+MIN(2,ROUNDDOWN(I976,0))*3)*(3*$J976^3-6*$J976^2+3*$J976)+INDIRECT("D$"&amp;4+MIN(2,ROUNDDOWN(I976,0))*3)*(-3*$J976^3+3*$J976^2)+INDIRECT("D$"&amp;5+MIN(2,ROUNDDOWN(I976,0))*3)*$J976^3</f>
      </c>
      <c r="M976" s="7">
        <f>SQRT(K976^2+L976^2)</f>
      </c>
      <c r="N976" s="7">
        <f>(K977-K975)</f>
      </c>
      <c r="O976" s="7">
        <f>+(L977-L975)</f>
      </c>
      <c r="P976" s="7">
        <f>SQRT(O976^2+N976^2)</f>
      </c>
      <c r="Q976" s="7">
        <f>N976/$P976</f>
      </c>
      <c r="R976" s="7">
        <f>O976/$P976</f>
      </c>
      <c r="S976" s="8">
        <f>Q976^2+R976^2</f>
      </c>
      <c r="T976" s="7">
        <f>-R976</f>
      </c>
      <c r="U976" s="7">
        <f>Q976</f>
      </c>
      <c r="V976" s="7">
        <f>($C$14+($C$15-$C$14)/($D$15-$D$14)*(I976-$D$14))/2</f>
      </c>
      <c r="W976" s="7">
        <f>($B$22*I976^4+$C$22*I976^3+$D$22*I976^2+$E$22*I976+$F$22)/2</f>
      </c>
      <c r="X976" s="7">
        <f>($W976)*(T976)</f>
      </c>
      <c r="Y976" s="7">
        <f>($W976)*(U976)</f>
      </c>
      <c r="Z976" s="7">
        <f>SQRT(X976^2+Y976^2)</f>
      </c>
      <c r="AA976" s="7">
        <f>$K976+$X976</f>
      </c>
      <c r="AB976" s="7">
        <f>$L976+$Y976</f>
      </c>
      <c r="AC976" s="7">
        <f>$K976-$X976</f>
      </c>
      <c r="AD976" s="7">
        <f>$L976-$Y976</f>
      </c>
      <c r="AE976" s="7">
        <f>AA976/39.3701</f>
      </c>
      <c r="AF976" s="7">
        <f>AB976/39.3701</f>
      </c>
      <c r="AG976" s="7">
        <f>AC976/39.3701</f>
      </c>
      <c r="AH976" s="7">
        <f>AD976/39.3701</f>
      </c>
      <c r="AI976" s="1"/>
      <c r="AJ976" s="1"/>
      <c r="AK976" s="1"/>
      <c r="AL976" s="1"/>
      <c r="AM976" s="2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</row>
    <row x14ac:dyDescent="0.25" r="977" customHeight="1" ht="18.75">
      <c r="A977" s="1"/>
      <c r="B977" s="2"/>
      <c r="C977" s="2"/>
      <c r="D977" s="2"/>
      <c r="E977" s="2"/>
      <c r="F977" s="2"/>
      <c r="G977" s="1"/>
      <c r="H977" s="1"/>
      <c r="I977" s="7">
        <v>0.974</v>
      </c>
      <c r="J977" s="7">
        <f>IF((I977-ROUNDDOWN(I977,0))=0, 0, (I977-ROUNDDOWN(I977,0)))</f>
      </c>
      <c r="K977" s="7">
        <f>INDIRECT("C$"&amp;2+MIN(2,ROUNDDOWN(I977,0))*3)*(-$J977^3+3*$J977^2-3*$J977+1)+INDIRECT("C$"&amp;3+MIN(2,ROUNDDOWN(I977,0))*3)*(3*$J977^3-6*$J977^2+3*$J977)+INDIRECT("C$"&amp;4+MIN(2,ROUNDDOWN(I977,0))*3)*(-3*$J977^3+3*$J977^2)+INDIRECT("C$"&amp;5+MIN(2,ROUNDDOWN(I977,0))*3)*$J977^3</f>
      </c>
      <c r="L977" s="7">
        <f>INDIRECT("D$"&amp;2+MIN(2,ROUNDDOWN(I977,0))*3)*(-$J977^3+3*$J977^2-3*$J977+1)+INDIRECT("D$"&amp;3+MIN(2,ROUNDDOWN(I977,0))*3)*(3*$J977^3-6*$J977^2+3*$J977)+INDIRECT("D$"&amp;4+MIN(2,ROUNDDOWN(I977,0))*3)*(-3*$J977^3+3*$J977^2)+INDIRECT("D$"&amp;5+MIN(2,ROUNDDOWN(I977,0))*3)*$J977^3</f>
      </c>
      <c r="M977" s="7">
        <f>SQRT(K977^2+L977^2)</f>
      </c>
      <c r="N977" s="7">
        <f>(K978-K976)</f>
      </c>
      <c r="O977" s="7">
        <f>+(L978-L976)</f>
      </c>
      <c r="P977" s="7">
        <f>SQRT(O977^2+N977^2)</f>
      </c>
      <c r="Q977" s="7">
        <f>N977/$P977</f>
      </c>
      <c r="R977" s="7">
        <f>O977/$P977</f>
      </c>
      <c r="S977" s="8">
        <f>Q977^2+R977^2</f>
      </c>
      <c r="T977" s="7">
        <f>-R977</f>
      </c>
      <c r="U977" s="7">
        <f>Q977</f>
      </c>
      <c r="V977" s="7">
        <f>($C$14+($C$15-$C$14)/($D$15-$D$14)*(I977-$D$14))/2</f>
      </c>
      <c r="W977" s="7">
        <f>($B$22*I977^4+$C$22*I977^3+$D$22*I977^2+$E$22*I977+$F$22)/2</f>
      </c>
      <c r="X977" s="7">
        <f>($W977)*(T977)</f>
      </c>
      <c r="Y977" s="7">
        <f>($W977)*(U977)</f>
      </c>
      <c r="Z977" s="7">
        <f>SQRT(X977^2+Y977^2)</f>
      </c>
      <c r="AA977" s="7">
        <f>$K977+$X977</f>
      </c>
      <c r="AB977" s="7">
        <f>$L977+$Y977</f>
      </c>
      <c r="AC977" s="7">
        <f>$K977-$X977</f>
      </c>
      <c r="AD977" s="7">
        <f>$L977-$Y977</f>
      </c>
      <c r="AE977" s="7">
        <f>AA977/39.3701</f>
      </c>
      <c r="AF977" s="7">
        <f>AB977/39.3701</f>
      </c>
      <c r="AG977" s="7">
        <f>AC977/39.3701</f>
      </c>
      <c r="AH977" s="7">
        <f>AD977/39.3701</f>
      </c>
      <c r="AI977" s="1"/>
      <c r="AJ977" s="1"/>
      <c r="AK977" s="1"/>
      <c r="AL977" s="1"/>
      <c r="AM977" s="2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</row>
    <row x14ac:dyDescent="0.25" r="978" customHeight="1" ht="18.75">
      <c r="A978" s="1"/>
      <c r="B978" s="2"/>
      <c r="C978" s="2"/>
      <c r="D978" s="2"/>
      <c r="E978" s="2"/>
      <c r="F978" s="2"/>
      <c r="G978" s="1"/>
      <c r="H978" s="1"/>
      <c r="I978" s="7">
        <v>0.975</v>
      </c>
      <c r="J978" s="7">
        <f>IF((I978-ROUNDDOWN(I978,0))=0, 0, (I978-ROUNDDOWN(I978,0)))</f>
      </c>
      <c r="K978" s="7">
        <f>INDIRECT("C$"&amp;2+MIN(2,ROUNDDOWN(I978,0))*3)*(-$J978^3+3*$J978^2-3*$J978+1)+INDIRECT("C$"&amp;3+MIN(2,ROUNDDOWN(I978,0))*3)*(3*$J978^3-6*$J978^2+3*$J978)+INDIRECT("C$"&amp;4+MIN(2,ROUNDDOWN(I978,0))*3)*(-3*$J978^3+3*$J978^2)+INDIRECT("C$"&amp;5+MIN(2,ROUNDDOWN(I978,0))*3)*$J978^3</f>
      </c>
      <c r="L978" s="7">
        <f>INDIRECT("D$"&amp;2+MIN(2,ROUNDDOWN(I978,0))*3)*(-$J978^3+3*$J978^2-3*$J978+1)+INDIRECT("D$"&amp;3+MIN(2,ROUNDDOWN(I978,0))*3)*(3*$J978^3-6*$J978^2+3*$J978)+INDIRECT("D$"&amp;4+MIN(2,ROUNDDOWN(I978,0))*3)*(-3*$J978^3+3*$J978^2)+INDIRECT("D$"&amp;5+MIN(2,ROUNDDOWN(I978,0))*3)*$J978^3</f>
      </c>
      <c r="M978" s="7">
        <f>SQRT(K978^2+L978^2)</f>
      </c>
      <c r="N978" s="7">
        <f>(K979-K977)</f>
      </c>
      <c r="O978" s="7">
        <f>+(L979-L977)</f>
      </c>
      <c r="P978" s="7">
        <f>SQRT(O978^2+N978^2)</f>
      </c>
      <c r="Q978" s="7">
        <f>N978/$P978</f>
      </c>
      <c r="R978" s="7">
        <f>O978/$P978</f>
      </c>
      <c r="S978" s="8">
        <f>Q978^2+R978^2</f>
      </c>
      <c r="T978" s="7">
        <f>-R978</f>
      </c>
      <c r="U978" s="7">
        <f>Q978</f>
      </c>
      <c r="V978" s="7">
        <f>($C$14+($C$15-$C$14)/($D$15-$D$14)*(I978-$D$14))/2</f>
      </c>
      <c r="W978" s="7">
        <f>($B$22*I978^4+$C$22*I978^3+$D$22*I978^2+$E$22*I978+$F$22)/2</f>
      </c>
      <c r="X978" s="7">
        <f>($W978)*(T978)</f>
      </c>
      <c r="Y978" s="7">
        <f>($W978)*(U978)</f>
      </c>
      <c r="Z978" s="7">
        <f>SQRT(X978^2+Y978^2)</f>
      </c>
      <c r="AA978" s="7">
        <f>$K978+$X978</f>
      </c>
      <c r="AB978" s="7">
        <f>$L978+$Y978</f>
      </c>
      <c r="AC978" s="7">
        <f>$K978-$X978</f>
      </c>
      <c r="AD978" s="7">
        <f>$L978-$Y978</f>
      </c>
      <c r="AE978" s="7">
        <f>AA978/39.3701</f>
      </c>
      <c r="AF978" s="7">
        <f>AB978/39.3701</f>
      </c>
      <c r="AG978" s="7">
        <f>AC978/39.3701</f>
      </c>
      <c r="AH978" s="7">
        <f>AD978/39.3701</f>
      </c>
      <c r="AI978" s="1"/>
      <c r="AJ978" s="1"/>
      <c r="AK978" s="1"/>
      <c r="AL978" s="1"/>
      <c r="AM978" s="2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</row>
    <row x14ac:dyDescent="0.25" r="979" customHeight="1" ht="18.75">
      <c r="A979" s="1"/>
      <c r="B979" s="2"/>
      <c r="C979" s="2"/>
      <c r="D979" s="2"/>
      <c r="E979" s="2"/>
      <c r="F979" s="2"/>
      <c r="G979" s="1"/>
      <c r="H979" s="1"/>
      <c r="I979" s="7">
        <v>0.976</v>
      </c>
      <c r="J979" s="7">
        <f>IF((I979-ROUNDDOWN(I979,0))=0, 0, (I979-ROUNDDOWN(I979,0)))</f>
      </c>
      <c r="K979" s="7">
        <f>INDIRECT("C$"&amp;2+MIN(2,ROUNDDOWN(I979,0))*3)*(-$J979^3+3*$J979^2-3*$J979+1)+INDIRECT("C$"&amp;3+MIN(2,ROUNDDOWN(I979,0))*3)*(3*$J979^3-6*$J979^2+3*$J979)+INDIRECT("C$"&amp;4+MIN(2,ROUNDDOWN(I979,0))*3)*(-3*$J979^3+3*$J979^2)+INDIRECT("C$"&amp;5+MIN(2,ROUNDDOWN(I979,0))*3)*$J979^3</f>
      </c>
      <c r="L979" s="7">
        <f>INDIRECT("D$"&amp;2+MIN(2,ROUNDDOWN(I979,0))*3)*(-$J979^3+3*$J979^2-3*$J979+1)+INDIRECT("D$"&amp;3+MIN(2,ROUNDDOWN(I979,0))*3)*(3*$J979^3-6*$J979^2+3*$J979)+INDIRECT("D$"&amp;4+MIN(2,ROUNDDOWN(I979,0))*3)*(-3*$J979^3+3*$J979^2)+INDIRECT("D$"&amp;5+MIN(2,ROUNDDOWN(I979,0))*3)*$J979^3</f>
      </c>
      <c r="M979" s="7">
        <f>SQRT(K979^2+L979^2)</f>
      </c>
      <c r="N979" s="7">
        <f>(K980-K978)</f>
      </c>
      <c r="O979" s="7">
        <f>+(L980-L978)</f>
      </c>
      <c r="P979" s="7">
        <f>SQRT(O979^2+N979^2)</f>
      </c>
      <c r="Q979" s="7">
        <f>N979/$P979</f>
      </c>
      <c r="R979" s="7">
        <f>O979/$P979</f>
      </c>
      <c r="S979" s="8">
        <f>Q979^2+R979^2</f>
      </c>
      <c r="T979" s="7">
        <f>-R979</f>
      </c>
      <c r="U979" s="7">
        <f>Q979</f>
      </c>
      <c r="V979" s="7">
        <f>($C$14+($C$15-$C$14)/($D$15-$D$14)*(I979-$D$14))/2</f>
      </c>
      <c r="W979" s="7">
        <f>($B$22*I979^4+$C$22*I979^3+$D$22*I979^2+$E$22*I979+$F$22)/2</f>
      </c>
      <c r="X979" s="7">
        <f>($W979)*(T979)</f>
      </c>
      <c r="Y979" s="7">
        <f>($W979)*(U979)</f>
      </c>
      <c r="Z979" s="7">
        <f>SQRT(X979^2+Y979^2)</f>
      </c>
      <c r="AA979" s="7">
        <f>$K979+$X979</f>
      </c>
      <c r="AB979" s="7">
        <f>$L979+$Y979</f>
      </c>
      <c r="AC979" s="7">
        <f>$K979-$X979</f>
      </c>
      <c r="AD979" s="7">
        <f>$L979-$Y979</f>
      </c>
      <c r="AE979" s="7">
        <f>AA979/39.3701</f>
      </c>
      <c r="AF979" s="7">
        <f>AB979/39.3701</f>
      </c>
      <c r="AG979" s="7">
        <f>AC979/39.3701</f>
      </c>
      <c r="AH979" s="7">
        <f>AD979/39.3701</f>
      </c>
      <c r="AI979" s="1"/>
      <c r="AJ979" s="1"/>
      <c r="AK979" s="1"/>
      <c r="AL979" s="1"/>
      <c r="AM979" s="2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</row>
    <row x14ac:dyDescent="0.25" r="980" customHeight="1" ht="18.75">
      <c r="A980" s="1"/>
      <c r="B980" s="2"/>
      <c r="C980" s="2"/>
      <c r="D980" s="2"/>
      <c r="E980" s="2"/>
      <c r="F980" s="2"/>
      <c r="G980" s="1"/>
      <c r="H980" s="1"/>
      <c r="I980" s="7">
        <v>0.977</v>
      </c>
      <c r="J980" s="7">
        <f>IF((I980-ROUNDDOWN(I980,0))=0, 0, (I980-ROUNDDOWN(I980,0)))</f>
      </c>
      <c r="K980" s="7">
        <f>INDIRECT("C$"&amp;2+MIN(2,ROUNDDOWN(I980,0))*3)*(-$J980^3+3*$J980^2-3*$J980+1)+INDIRECT("C$"&amp;3+MIN(2,ROUNDDOWN(I980,0))*3)*(3*$J980^3-6*$J980^2+3*$J980)+INDIRECT("C$"&amp;4+MIN(2,ROUNDDOWN(I980,0))*3)*(-3*$J980^3+3*$J980^2)+INDIRECT("C$"&amp;5+MIN(2,ROUNDDOWN(I980,0))*3)*$J980^3</f>
      </c>
      <c r="L980" s="7">
        <f>INDIRECT("D$"&amp;2+MIN(2,ROUNDDOWN(I980,0))*3)*(-$J980^3+3*$J980^2-3*$J980+1)+INDIRECT("D$"&amp;3+MIN(2,ROUNDDOWN(I980,0))*3)*(3*$J980^3-6*$J980^2+3*$J980)+INDIRECT("D$"&amp;4+MIN(2,ROUNDDOWN(I980,0))*3)*(-3*$J980^3+3*$J980^2)+INDIRECT("D$"&amp;5+MIN(2,ROUNDDOWN(I980,0))*3)*$J980^3</f>
      </c>
      <c r="M980" s="7">
        <f>SQRT(K980^2+L980^2)</f>
      </c>
      <c r="N980" s="7">
        <f>(K981-K979)</f>
      </c>
      <c r="O980" s="7">
        <f>+(L981-L979)</f>
      </c>
      <c r="P980" s="7">
        <f>SQRT(O980^2+N980^2)</f>
      </c>
      <c r="Q980" s="7">
        <f>N980/$P980</f>
      </c>
      <c r="R980" s="7">
        <f>O980/$P980</f>
      </c>
      <c r="S980" s="7">
        <f>Q980^2+R980^2</f>
      </c>
      <c r="T980" s="7">
        <f>-R980</f>
      </c>
      <c r="U980" s="7">
        <f>Q980</f>
      </c>
      <c r="V980" s="7">
        <f>($C$14+($C$15-$C$14)/($D$15-$D$14)*(I980-$D$14))/2</f>
      </c>
      <c r="W980" s="7">
        <f>($B$22*I980^4+$C$22*I980^3+$D$22*I980^2+$E$22*I980+$F$22)/2</f>
      </c>
      <c r="X980" s="7">
        <f>($W980)*(T980)</f>
      </c>
      <c r="Y980" s="7">
        <f>($W980)*(U980)</f>
      </c>
      <c r="Z980" s="7">
        <f>SQRT(X980^2+Y980^2)</f>
      </c>
      <c r="AA980" s="7">
        <f>$K980+$X980</f>
      </c>
      <c r="AB980" s="7">
        <f>$L980+$Y980</f>
      </c>
      <c r="AC980" s="7">
        <f>$K980-$X980</f>
      </c>
      <c r="AD980" s="7">
        <f>$L980-$Y980</f>
      </c>
      <c r="AE980" s="7">
        <f>AA980/39.3701</f>
      </c>
      <c r="AF980" s="7">
        <f>AB980/39.3701</f>
      </c>
      <c r="AG980" s="7">
        <f>AC980/39.3701</f>
      </c>
      <c r="AH980" s="7">
        <f>AD980/39.3701</f>
      </c>
      <c r="AI980" s="1"/>
      <c r="AJ980" s="1"/>
      <c r="AK980" s="1"/>
      <c r="AL980" s="1"/>
      <c r="AM980" s="2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</row>
    <row x14ac:dyDescent="0.25" r="981" customHeight="1" ht="18.75">
      <c r="A981" s="1"/>
      <c r="B981" s="2"/>
      <c r="C981" s="2"/>
      <c r="D981" s="2"/>
      <c r="E981" s="2"/>
      <c r="F981" s="2"/>
      <c r="G981" s="1"/>
      <c r="H981" s="1"/>
      <c r="I981" s="7">
        <v>0.978</v>
      </c>
      <c r="J981" s="7">
        <f>IF((I981-ROUNDDOWN(I981,0))=0, 0, (I981-ROUNDDOWN(I981,0)))</f>
      </c>
      <c r="K981" s="7">
        <f>INDIRECT("C$"&amp;2+MIN(2,ROUNDDOWN(I981,0))*3)*(-$J981^3+3*$J981^2-3*$J981+1)+INDIRECT("C$"&amp;3+MIN(2,ROUNDDOWN(I981,0))*3)*(3*$J981^3-6*$J981^2+3*$J981)+INDIRECT("C$"&amp;4+MIN(2,ROUNDDOWN(I981,0))*3)*(-3*$J981^3+3*$J981^2)+INDIRECT("C$"&amp;5+MIN(2,ROUNDDOWN(I981,0))*3)*$J981^3</f>
      </c>
      <c r="L981" s="7">
        <f>INDIRECT("D$"&amp;2+MIN(2,ROUNDDOWN(I981,0))*3)*(-$J981^3+3*$J981^2-3*$J981+1)+INDIRECT("D$"&amp;3+MIN(2,ROUNDDOWN(I981,0))*3)*(3*$J981^3-6*$J981^2+3*$J981)+INDIRECT("D$"&amp;4+MIN(2,ROUNDDOWN(I981,0))*3)*(-3*$J981^3+3*$J981^2)+INDIRECT("D$"&amp;5+MIN(2,ROUNDDOWN(I981,0))*3)*$J981^3</f>
      </c>
      <c r="M981" s="7">
        <f>SQRT(K981^2+L981^2)</f>
      </c>
      <c r="N981" s="7">
        <f>(K982-K980)</f>
      </c>
      <c r="O981" s="7">
        <f>+(L982-L980)</f>
      </c>
      <c r="P981" s="7">
        <f>SQRT(O981^2+N981^2)</f>
      </c>
      <c r="Q981" s="7">
        <f>N981/$P981</f>
      </c>
      <c r="R981" s="7">
        <f>O981/$P981</f>
      </c>
      <c r="S981" s="8">
        <f>Q981^2+R981^2</f>
      </c>
      <c r="T981" s="7">
        <f>-R981</f>
      </c>
      <c r="U981" s="7">
        <f>Q981</f>
      </c>
      <c r="V981" s="7">
        <f>($C$14+($C$15-$C$14)/($D$15-$D$14)*(I981-$D$14))/2</f>
      </c>
      <c r="W981" s="7">
        <f>($B$22*I981^4+$C$22*I981^3+$D$22*I981^2+$E$22*I981+$F$22)/2</f>
      </c>
      <c r="X981" s="7">
        <f>($W981)*(T981)</f>
      </c>
      <c r="Y981" s="7">
        <f>($W981)*(U981)</f>
      </c>
      <c r="Z981" s="7">
        <f>SQRT(X981^2+Y981^2)</f>
      </c>
      <c r="AA981" s="7">
        <f>$K981+$X981</f>
      </c>
      <c r="AB981" s="7">
        <f>$L981+$Y981</f>
      </c>
      <c r="AC981" s="7">
        <f>$K981-$X981</f>
      </c>
      <c r="AD981" s="7">
        <f>$L981-$Y981</f>
      </c>
      <c r="AE981" s="7">
        <f>AA981/39.3701</f>
      </c>
      <c r="AF981" s="7">
        <f>AB981/39.3701</f>
      </c>
      <c r="AG981" s="7">
        <f>AC981/39.3701</f>
      </c>
      <c r="AH981" s="7">
        <f>AD981/39.3701</f>
      </c>
      <c r="AI981" s="1"/>
      <c r="AJ981" s="1"/>
      <c r="AK981" s="1"/>
      <c r="AL981" s="1"/>
      <c r="AM981" s="2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</row>
    <row x14ac:dyDescent="0.25" r="982" customHeight="1" ht="18.75">
      <c r="A982" s="1"/>
      <c r="B982" s="2"/>
      <c r="C982" s="2"/>
      <c r="D982" s="2"/>
      <c r="E982" s="2"/>
      <c r="F982" s="2"/>
      <c r="G982" s="1"/>
      <c r="H982" s="1"/>
      <c r="I982" s="7">
        <v>0.979</v>
      </c>
      <c r="J982" s="7">
        <f>IF((I982-ROUNDDOWN(I982,0))=0, 0, (I982-ROUNDDOWN(I982,0)))</f>
      </c>
      <c r="K982" s="7">
        <f>INDIRECT("C$"&amp;2+MIN(2,ROUNDDOWN(I982,0))*3)*(-$J982^3+3*$J982^2-3*$J982+1)+INDIRECT("C$"&amp;3+MIN(2,ROUNDDOWN(I982,0))*3)*(3*$J982^3-6*$J982^2+3*$J982)+INDIRECT("C$"&amp;4+MIN(2,ROUNDDOWN(I982,0))*3)*(-3*$J982^3+3*$J982^2)+INDIRECT("C$"&amp;5+MIN(2,ROUNDDOWN(I982,0))*3)*$J982^3</f>
      </c>
      <c r="L982" s="7">
        <f>INDIRECT("D$"&amp;2+MIN(2,ROUNDDOWN(I982,0))*3)*(-$J982^3+3*$J982^2-3*$J982+1)+INDIRECT("D$"&amp;3+MIN(2,ROUNDDOWN(I982,0))*3)*(3*$J982^3-6*$J982^2+3*$J982)+INDIRECT("D$"&amp;4+MIN(2,ROUNDDOWN(I982,0))*3)*(-3*$J982^3+3*$J982^2)+INDIRECT("D$"&amp;5+MIN(2,ROUNDDOWN(I982,0))*3)*$J982^3</f>
      </c>
      <c r="M982" s="7">
        <f>SQRT(K982^2+L982^2)</f>
      </c>
      <c r="N982" s="7">
        <f>(K983-K981)</f>
      </c>
      <c r="O982" s="7">
        <f>+(L983-L981)</f>
      </c>
      <c r="P982" s="7">
        <f>SQRT(O982^2+N982^2)</f>
      </c>
      <c r="Q982" s="7">
        <f>N982/$P982</f>
      </c>
      <c r="R982" s="7">
        <f>O982/$P982</f>
      </c>
      <c r="S982" s="8">
        <f>Q982^2+R982^2</f>
      </c>
      <c r="T982" s="7">
        <f>-R982</f>
      </c>
      <c r="U982" s="7">
        <f>Q982</f>
      </c>
      <c r="V982" s="7">
        <f>($C$14+($C$15-$C$14)/($D$15-$D$14)*(I982-$D$14))/2</f>
      </c>
      <c r="W982" s="7">
        <f>($B$22*I982^4+$C$22*I982^3+$D$22*I982^2+$E$22*I982+$F$22)/2</f>
      </c>
      <c r="X982" s="7">
        <f>($W982)*(T982)</f>
      </c>
      <c r="Y982" s="7">
        <f>($W982)*(U982)</f>
      </c>
      <c r="Z982" s="7">
        <f>SQRT(X982^2+Y982^2)</f>
      </c>
      <c r="AA982" s="7">
        <f>$K982+$X982</f>
      </c>
      <c r="AB982" s="7">
        <f>$L982+$Y982</f>
      </c>
      <c r="AC982" s="7">
        <f>$K982-$X982</f>
      </c>
      <c r="AD982" s="7">
        <f>$L982-$Y982</f>
      </c>
      <c r="AE982" s="7">
        <f>AA982/39.3701</f>
      </c>
      <c r="AF982" s="7">
        <f>AB982/39.3701</f>
      </c>
      <c r="AG982" s="7">
        <f>AC982/39.3701</f>
      </c>
      <c r="AH982" s="7">
        <f>AD982/39.3701</f>
      </c>
      <c r="AI982" s="1"/>
      <c r="AJ982" s="1"/>
      <c r="AK982" s="1"/>
      <c r="AL982" s="1"/>
      <c r="AM982" s="2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</row>
    <row x14ac:dyDescent="0.25" r="983" customHeight="1" ht="18.75">
      <c r="A983" s="1"/>
      <c r="B983" s="2"/>
      <c r="C983" s="2"/>
      <c r="D983" s="2"/>
      <c r="E983" s="2"/>
      <c r="F983" s="2"/>
      <c r="G983" s="1"/>
      <c r="H983" s="1"/>
      <c r="I983" s="7">
        <v>0.98</v>
      </c>
      <c r="J983" s="7">
        <f>IF((I983-ROUNDDOWN(I983,0))=0, 0, (I983-ROUNDDOWN(I983,0)))</f>
      </c>
      <c r="K983" s="7">
        <f>INDIRECT("C$"&amp;2+MIN(2,ROUNDDOWN(I983,0))*3)*(-$J983^3+3*$J983^2-3*$J983+1)+INDIRECT("C$"&amp;3+MIN(2,ROUNDDOWN(I983,0))*3)*(3*$J983^3-6*$J983^2+3*$J983)+INDIRECT("C$"&amp;4+MIN(2,ROUNDDOWN(I983,0))*3)*(-3*$J983^3+3*$J983^2)+INDIRECT("C$"&amp;5+MIN(2,ROUNDDOWN(I983,0))*3)*$J983^3</f>
      </c>
      <c r="L983" s="7">
        <f>INDIRECT("D$"&amp;2+MIN(2,ROUNDDOWN(I983,0))*3)*(-$J983^3+3*$J983^2-3*$J983+1)+INDIRECT("D$"&amp;3+MIN(2,ROUNDDOWN(I983,0))*3)*(3*$J983^3-6*$J983^2+3*$J983)+INDIRECT("D$"&amp;4+MIN(2,ROUNDDOWN(I983,0))*3)*(-3*$J983^3+3*$J983^2)+INDIRECT("D$"&amp;5+MIN(2,ROUNDDOWN(I983,0))*3)*$J983^3</f>
      </c>
      <c r="M983" s="7">
        <f>SQRT(K983^2+L983^2)</f>
      </c>
      <c r="N983" s="7">
        <f>(K984-K982)</f>
      </c>
      <c r="O983" s="7">
        <f>+(L984-L982)</f>
      </c>
      <c r="P983" s="7">
        <f>SQRT(O983^2+N983^2)</f>
      </c>
      <c r="Q983" s="7">
        <f>N983/$P983</f>
      </c>
      <c r="R983" s="7">
        <f>O983/$P983</f>
      </c>
      <c r="S983" s="7">
        <f>Q983^2+R983^2</f>
      </c>
      <c r="T983" s="7">
        <f>-R983</f>
      </c>
      <c r="U983" s="7">
        <f>Q983</f>
      </c>
      <c r="V983" s="7">
        <f>($C$14+($C$15-$C$14)/($D$15-$D$14)*(I983-$D$14))/2</f>
      </c>
      <c r="W983" s="7">
        <f>($B$22*I983^4+$C$22*I983^3+$D$22*I983^2+$E$22*I983+$F$22)/2</f>
      </c>
      <c r="X983" s="7">
        <f>($W983)*(T983)</f>
      </c>
      <c r="Y983" s="7">
        <f>($W983)*(U983)</f>
      </c>
      <c r="Z983" s="7">
        <f>SQRT(X983^2+Y983^2)</f>
      </c>
      <c r="AA983" s="7">
        <f>$K983+$X983</f>
      </c>
      <c r="AB983" s="7">
        <f>$L983+$Y983</f>
      </c>
      <c r="AC983" s="7">
        <f>$K983-$X983</f>
      </c>
      <c r="AD983" s="7">
        <f>$L983-$Y983</f>
      </c>
      <c r="AE983" s="7">
        <f>AA983/39.3701</f>
      </c>
      <c r="AF983" s="7">
        <f>AB983/39.3701</f>
      </c>
      <c r="AG983" s="7">
        <f>AC983/39.3701</f>
      </c>
      <c r="AH983" s="7">
        <f>AD983/39.3701</f>
      </c>
      <c r="AI983" s="1"/>
      <c r="AJ983" s="1"/>
      <c r="AK983" s="1"/>
      <c r="AL983" s="1"/>
      <c r="AM983" s="2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</row>
    <row x14ac:dyDescent="0.25" r="984" customHeight="1" ht="18.75">
      <c r="A984" s="1"/>
      <c r="B984" s="2"/>
      <c r="C984" s="2"/>
      <c r="D984" s="2"/>
      <c r="E984" s="2"/>
      <c r="F984" s="2"/>
      <c r="G984" s="1"/>
      <c r="H984" s="1"/>
      <c r="I984" s="7">
        <v>0.981</v>
      </c>
      <c r="J984" s="7">
        <f>IF((I984-ROUNDDOWN(I984,0))=0, 0, (I984-ROUNDDOWN(I984,0)))</f>
      </c>
      <c r="K984" s="7">
        <f>INDIRECT("C$"&amp;2+MIN(2,ROUNDDOWN(I984,0))*3)*(-$J984^3+3*$J984^2-3*$J984+1)+INDIRECT("C$"&amp;3+MIN(2,ROUNDDOWN(I984,0))*3)*(3*$J984^3-6*$J984^2+3*$J984)+INDIRECT("C$"&amp;4+MIN(2,ROUNDDOWN(I984,0))*3)*(-3*$J984^3+3*$J984^2)+INDIRECT("C$"&amp;5+MIN(2,ROUNDDOWN(I984,0))*3)*$J984^3</f>
      </c>
      <c r="L984" s="7">
        <f>INDIRECT("D$"&amp;2+MIN(2,ROUNDDOWN(I984,0))*3)*(-$J984^3+3*$J984^2-3*$J984+1)+INDIRECT("D$"&amp;3+MIN(2,ROUNDDOWN(I984,0))*3)*(3*$J984^3-6*$J984^2+3*$J984)+INDIRECT("D$"&amp;4+MIN(2,ROUNDDOWN(I984,0))*3)*(-3*$J984^3+3*$J984^2)+INDIRECT("D$"&amp;5+MIN(2,ROUNDDOWN(I984,0))*3)*$J984^3</f>
      </c>
      <c r="M984" s="7">
        <f>SQRT(K984^2+L984^2)</f>
      </c>
      <c r="N984" s="7">
        <f>(K985-K983)</f>
      </c>
      <c r="O984" s="7">
        <f>+(L985-L983)</f>
      </c>
      <c r="P984" s="7">
        <f>SQRT(O984^2+N984^2)</f>
      </c>
      <c r="Q984" s="7">
        <f>N984/$P984</f>
      </c>
      <c r="R984" s="7">
        <f>O984/$P984</f>
      </c>
      <c r="S984" s="8">
        <f>Q984^2+R984^2</f>
      </c>
      <c r="T984" s="7">
        <f>-R984</f>
      </c>
      <c r="U984" s="7">
        <f>Q984</f>
      </c>
      <c r="V984" s="7">
        <f>($C$14+($C$15-$C$14)/($D$15-$D$14)*(I984-$D$14))/2</f>
      </c>
      <c r="W984" s="7">
        <f>($B$22*I984^4+$C$22*I984^3+$D$22*I984^2+$E$22*I984+$F$22)/2</f>
      </c>
      <c r="X984" s="7">
        <f>($W984)*(T984)</f>
      </c>
      <c r="Y984" s="7">
        <f>($W984)*(U984)</f>
      </c>
      <c r="Z984" s="7">
        <f>SQRT(X984^2+Y984^2)</f>
      </c>
      <c r="AA984" s="7">
        <f>$K984+$X984</f>
      </c>
      <c r="AB984" s="7">
        <f>$L984+$Y984</f>
      </c>
      <c r="AC984" s="7">
        <f>$K984-$X984</f>
      </c>
      <c r="AD984" s="7">
        <f>$L984-$Y984</f>
      </c>
      <c r="AE984" s="7">
        <f>AA984/39.3701</f>
      </c>
      <c r="AF984" s="7">
        <f>AB984/39.3701</f>
      </c>
      <c r="AG984" s="7">
        <f>AC984/39.3701</f>
      </c>
      <c r="AH984" s="7">
        <f>AD984/39.3701</f>
      </c>
      <c r="AI984" s="1"/>
      <c r="AJ984" s="1"/>
      <c r="AK984" s="1"/>
      <c r="AL984" s="1"/>
      <c r="AM984" s="2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</row>
    <row x14ac:dyDescent="0.25" r="985" customHeight="1" ht="18.75">
      <c r="A985" s="1"/>
      <c r="B985" s="2"/>
      <c r="C985" s="2"/>
      <c r="D985" s="2"/>
      <c r="E985" s="2"/>
      <c r="F985" s="2"/>
      <c r="G985" s="1"/>
      <c r="H985" s="1"/>
      <c r="I985" s="7">
        <v>0.982</v>
      </c>
      <c r="J985" s="7">
        <f>IF((I985-ROUNDDOWN(I985,0))=0, 0, (I985-ROUNDDOWN(I985,0)))</f>
      </c>
      <c r="K985" s="7">
        <f>INDIRECT("C$"&amp;2+MIN(2,ROUNDDOWN(I985,0))*3)*(-$J985^3+3*$J985^2-3*$J985+1)+INDIRECT("C$"&amp;3+MIN(2,ROUNDDOWN(I985,0))*3)*(3*$J985^3-6*$J985^2+3*$J985)+INDIRECT("C$"&amp;4+MIN(2,ROUNDDOWN(I985,0))*3)*(-3*$J985^3+3*$J985^2)+INDIRECT("C$"&amp;5+MIN(2,ROUNDDOWN(I985,0))*3)*$J985^3</f>
      </c>
      <c r="L985" s="7">
        <f>INDIRECT("D$"&amp;2+MIN(2,ROUNDDOWN(I985,0))*3)*(-$J985^3+3*$J985^2-3*$J985+1)+INDIRECT("D$"&amp;3+MIN(2,ROUNDDOWN(I985,0))*3)*(3*$J985^3-6*$J985^2+3*$J985)+INDIRECT("D$"&amp;4+MIN(2,ROUNDDOWN(I985,0))*3)*(-3*$J985^3+3*$J985^2)+INDIRECT("D$"&amp;5+MIN(2,ROUNDDOWN(I985,0))*3)*$J985^3</f>
      </c>
      <c r="M985" s="7">
        <f>SQRT(K985^2+L985^2)</f>
      </c>
      <c r="N985" s="7">
        <f>(K986-K984)</f>
      </c>
      <c r="O985" s="7">
        <f>+(L986-L984)</f>
      </c>
      <c r="P985" s="7">
        <f>SQRT(O985^2+N985^2)</f>
      </c>
      <c r="Q985" s="7">
        <f>N985/$P985</f>
      </c>
      <c r="R985" s="7">
        <f>O985/$P985</f>
      </c>
      <c r="S985" s="7">
        <f>Q985^2+R985^2</f>
      </c>
      <c r="T985" s="7">
        <f>-R985</f>
      </c>
      <c r="U985" s="7">
        <f>Q985</f>
      </c>
      <c r="V985" s="7">
        <f>($C$14+($C$15-$C$14)/($D$15-$D$14)*(I985-$D$14))/2</f>
      </c>
      <c r="W985" s="7">
        <f>($B$22*I985^4+$C$22*I985^3+$D$22*I985^2+$E$22*I985+$F$22)/2</f>
      </c>
      <c r="X985" s="7">
        <f>($W985)*(T985)</f>
      </c>
      <c r="Y985" s="7">
        <f>($W985)*(U985)</f>
      </c>
      <c r="Z985" s="7">
        <f>SQRT(X985^2+Y985^2)</f>
      </c>
      <c r="AA985" s="7">
        <f>$K985+$X985</f>
      </c>
      <c r="AB985" s="7">
        <f>$L985+$Y985</f>
      </c>
      <c r="AC985" s="7">
        <f>$K985-$X985</f>
      </c>
      <c r="AD985" s="7">
        <f>$L985-$Y985</f>
      </c>
      <c r="AE985" s="7">
        <f>AA985/39.3701</f>
      </c>
      <c r="AF985" s="7">
        <f>AB985/39.3701</f>
      </c>
      <c r="AG985" s="7">
        <f>AC985/39.3701</f>
      </c>
      <c r="AH985" s="7">
        <f>AD985/39.3701</f>
      </c>
      <c r="AI985" s="1"/>
      <c r="AJ985" s="1"/>
      <c r="AK985" s="1"/>
      <c r="AL985" s="1"/>
      <c r="AM985" s="2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</row>
    <row x14ac:dyDescent="0.25" r="986" customHeight="1" ht="18.75">
      <c r="A986" s="1"/>
      <c r="B986" s="2"/>
      <c r="C986" s="2"/>
      <c r="D986" s="2"/>
      <c r="E986" s="2"/>
      <c r="F986" s="2"/>
      <c r="G986" s="1"/>
      <c r="H986" s="1"/>
      <c r="I986" s="7">
        <v>0.983</v>
      </c>
      <c r="J986" s="7">
        <f>IF((I986-ROUNDDOWN(I986,0))=0, 0, (I986-ROUNDDOWN(I986,0)))</f>
      </c>
      <c r="K986" s="7">
        <f>INDIRECT("C$"&amp;2+MIN(2,ROUNDDOWN(I986,0))*3)*(-$J986^3+3*$J986^2-3*$J986+1)+INDIRECT("C$"&amp;3+MIN(2,ROUNDDOWN(I986,0))*3)*(3*$J986^3-6*$J986^2+3*$J986)+INDIRECT("C$"&amp;4+MIN(2,ROUNDDOWN(I986,0))*3)*(-3*$J986^3+3*$J986^2)+INDIRECT("C$"&amp;5+MIN(2,ROUNDDOWN(I986,0))*3)*$J986^3</f>
      </c>
      <c r="L986" s="7">
        <f>INDIRECT("D$"&amp;2+MIN(2,ROUNDDOWN(I986,0))*3)*(-$J986^3+3*$J986^2-3*$J986+1)+INDIRECT("D$"&amp;3+MIN(2,ROUNDDOWN(I986,0))*3)*(3*$J986^3-6*$J986^2+3*$J986)+INDIRECT("D$"&amp;4+MIN(2,ROUNDDOWN(I986,0))*3)*(-3*$J986^3+3*$J986^2)+INDIRECT("D$"&amp;5+MIN(2,ROUNDDOWN(I986,0))*3)*$J986^3</f>
      </c>
      <c r="M986" s="7">
        <f>SQRT(K986^2+L986^2)</f>
      </c>
      <c r="N986" s="7">
        <f>(K987-K985)</f>
      </c>
      <c r="O986" s="7">
        <f>+(L987-L985)</f>
      </c>
      <c r="P986" s="7">
        <f>SQRT(O986^2+N986^2)</f>
      </c>
      <c r="Q986" s="7">
        <f>N986/$P986</f>
      </c>
      <c r="R986" s="7">
        <f>O986/$P986</f>
      </c>
      <c r="S986" s="8">
        <f>Q986^2+R986^2</f>
      </c>
      <c r="T986" s="7">
        <f>-R986</f>
      </c>
      <c r="U986" s="7">
        <f>Q986</f>
      </c>
      <c r="V986" s="7">
        <f>($C$14+($C$15-$C$14)/($D$15-$D$14)*(I986-$D$14))/2</f>
      </c>
      <c r="W986" s="7">
        <f>($B$22*I986^4+$C$22*I986^3+$D$22*I986^2+$E$22*I986+$F$22)/2</f>
      </c>
      <c r="X986" s="7">
        <f>($W986)*(T986)</f>
      </c>
      <c r="Y986" s="7">
        <f>($W986)*(U986)</f>
      </c>
      <c r="Z986" s="7">
        <f>SQRT(X986^2+Y986^2)</f>
      </c>
      <c r="AA986" s="7">
        <f>$K986+$X986</f>
      </c>
      <c r="AB986" s="7">
        <f>$L986+$Y986</f>
      </c>
      <c r="AC986" s="7">
        <f>$K986-$X986</f>
      </c>
      <c r="AD986" s="7">
        <f>$L986-$Y986</f>
      </c>
      <c r="AE986" s="7">
        <f>AA986/39.3701</f>
      </c>
      <c r="AF986" s="7">
        <f>AB986/39.3701</f>
      </c>
      <c r="AG986" s="7">
        <f>AC986/39.3701</f>
      </c>
      <c r="AH986" s="7">
        <f>AD986/39.3701</f>
      </c>
      <c r="AI986" s="1"/>
      <c r="AJ986" s="1"/>
      <c r="AK986" s="1"/>
      <c r="AL986" s="1"/>
      <c r="AM986" s="2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</row>
    <row x14ac:dyDescent="0.25" r="987" customHeight="1" ht="18.75">
      <c r="A987" s="1"/>
      <c r="B987" s="2"/>
      <c r="C987" s="2"/>
      <c r="D987" s="2"/>
      <c r="E987" s="2"/>
      <c r="F987" s="2"/>
      <c r="G987" s="1"/>
      <c r="H987" s="1"/>
      <c r="I987" s="7">
        <v>0.984</v>
      </c>
      <c r="J987" s="7">
        <f>IF((I987-ROUNDDOWN(I987,0))=0, 0, (I987-ROUNDDOWN(I987,0)))</f>
      </c>
      <c r="K987" s="7">
        <f>INDIRECT("C$"&amp;2+MIN(2,ROUNDDOWN(I987,0))*3)*(-$J987^3+3*$J987^2-3*$J987+1)+INDIRECT("C$"&amp;3+MIN(2,ROUNDDOWN(I987,0))*3)*(3*$J987^3-6*$J987^2+3*$J987)+INDIRECT("C$"&amp;4+MIN(2,ROUNDDOWN(I987,0))*3)*(-3*$J987^3+3*$J987^2)+INDIRECT("C$"&amp;5+MIN(2,ROUNDDOWN(I987,0))*3)*$J987^3</f>
      </c>
      <c r="L987" s="7">
        <f>INDIRECT("D$"&amp;2+MIN(2,ROUNDDOWN(I987,0))*3)*(-$J987^3+3*$J987^2-3*$J987+1)+INDIRECT("D$"&amp;3+MIN(2,ROUNDDOWN(I987,0))*3)*(3*$J987^3-6*$J987^2+3*$J987)+INDIRECT("D$"&amp;4+MIN(2,ROUNDDOWN(I987,0))*3)*(-3*$J987^3+3*$J987^2)+INDIRECT("D$"&amp;5+MIN(2,ROUNDDOWN(I987,0))*3)*$J987^3</f>
      </c>
      <c r="M987" s="7">
        <f>SQRT(K987^2+L987^2)</f>
      </c>
      <c r="N987" s="7">
        <f>(K988-K986)</f>
      </c>
      <c r="O987" s="7">
        <f>+(L988-L986)</f>
      </c>
      <c r="P987" s="7">
        <f>SQRT(O987^2+N987^2)</f>
      </c>
      <c r="Q987" s="7">
        <f>N987/$P987</f>
      </c>
      <c r="R987" s="7">
        <f>O987/$P987</f>
      </c>
      <c r="S987" s="8">
        <f>Q987^2+R987^2</f>
      </c>
      <c r="T987" s="7">
        <f>-R987</f>
      </c>
      <c r="U987" s="7">
        <f>Q987</f>
      </c>
      <c r="V987" s="7">
        <f>($C$14+($C$15-$C$14)/($D$15-$D$14)*(I987-$D$14))/2</f>
      </c>
      <c r="W987" s="7">
        <f>($B$22*I987^4+$C$22*I987^3+$D$22*I987^2+$E$22*I987+$F$22)/2</f>
      </c>
      <c r="X987" s="7">
        <f>($W987)*(T987)</f>
      </c>
      <c r="Y987" s="7">
        <f>($W987)*(U987)</f>
      </c>
      <c r="Z987" s="7">
        <f>SQRT(X987^2+Y987^2)</f>
      </c>
      <c r="AA987" s="7">
        <f>$K987+$X987</f>
      </c>
      <c r="AB987" s="7">
        <f>$L987+$Y987</f>
      </c>
      <c r="AC987" s="7">
        <f>$K987-$X987</f>
      </c>
      <c r="AD987" s="7">
        <f>$L987-$Y987</f>
      </c>
      <c r="AE987" s="7">
        <f>AA987/39.3701</f>
      </c>
      <c r="AF987" s="7">
        <f>AB987/39.3701</f>
      </c>
      <c r="AG987" s="7">
        <f>AC987/39.3701</f>
      </c>
      <c r="AH987" s="7">
        <f>AD987/39.3701</f>
      </c>
      <c r="AI987" s="1"/>
      <c r="AJ987" s="1"/>
      <c r="AK987" s="1"/>
      <c r="AL987" s="1"/>
      <c r="AM987" s="2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</row>
    <row x14ac:dyDescent="0.25" r="988" customHeight="1" ht="18.75">
      <c r="A988" s="1"/>
      <c r="B988" s="2"/>
      <c r="C988" s="2"/>
      <c r="D988" s="2"/>
      <c r="E988" s="2"/>
      <c r="F988" s="2"/>
      <c r="G988" s="1"/>
      <c r="H988" s="1"/>
      <c r="I988" s="7">
        <v>0.985</v>
      </c>
      <c r="J988" s="7">
        <f>IF((I988-ROUNDDOWN(I988,0))=0, 0, (I988-ROUNDDOWN(I988,0)))</f>
      </c>
      <c r="K988" s="7">
        <f>INDIRECT("C$"&amp;2+MIN(2,ROUNDDOWN(I988,0))*3)*(-$J988^3+3*$J988^2-3*$J988+1)+INDIRECT("C$"&amp;3+MIN(2,ROUNDDOWN(I988,0))*3)*(3*$J988^3-6*$J988^2+3*$J988)+INDIRECT("C$"&amp;4+MIN(2,ROUNDDOWN(I988,0))*3)*(-3*$J988^3+3*$J988^2)+INDIRECT("C$"&amp;5+MIN(2,ROUNDDOWN(I988,0))*3)*$J988^3</f>
      </c>
      <c r="L988" s="7">
        <f>INDIRECT("D$"&amp;2+MIN(2,ROUNDDOWN(I988,0))*3)*(-$J988^3+3*$J988^2-3*$J988+1)+INDIRECT("D$"&amp;3+MIN(2,ROUNDDOWN(I988,0))*3)*(3*$J988^3-6*$J988^2+3*$J988)+INDIRECT("D$"&amp;4+MIN(2,ROUNDDOWN(I988,0))*3)*(-3*$J988^3+3*$J988^2)+INDIRECT("D$"&amp;5+MIN(2,ROUNDDOWN(I988,0))*3)*$J988^3</f>
      </c>
      <c r="M988" s="7">
        <f>SQRT(K988^2+L988^2)</f>
      </c>
      <c r="N988" s="7">
        <f>(K989-K987)</f>
      </c>
      <c r="O988" s="7">
        <f>+(L989-L987)</f>
      </c>
      <c r="P988" s="7">
        <f>SQRT(O988^2+N988^2)</f>
      </c>
      <c r="Q988" s="7">
        <f>N988/$P988</f>
      </c>
      <c r="R988" s="7">
        <f>O988/$P988</f>
      </c>
      <c r="S988" s="8">
        <f>Q988^2+R988^2</f>
      </c>
      <c r="T988" s="7">
        <f>-R988</f>
      </c>
      <c r="U988" s="7">
        <f>Q988</f>
      </c>
      <c r="V988" s="7">
        <f>($C$14+($C$15-$C$14)/($D$15-$D$14)*(I988-$D$14))/2</f>
      </c>
      <c r="W988" s="7">
        <f>($B$22*I988^4+$C$22*I988^3+$D$22*I988^2+$E$22*I988+$F$22)/2</f>
      </c>
      <c r="X988" s="7">
        <f>($W988)*(T988)</f>
      </c>
      <c r="Y988" s="7">
        <f>($W988)*(U988)</f>
      </c>
      <c r="Z988" s="7">
        <f>SQRT(X988^2+Y988^2)</f>
      </c>
      <c r="AA988" s="7">
        <f>$K988+$X988</f>
      </c>
      <c r="AB988" s="7">
        <f>$L988+$Y988</f>
      </c>
      <c r="AC988" s="7">
        <f>$K988-$X988</f>
      </c>
      <c r="AD988" s="7">
        <f>$L988-$Y988</f>
      </c>
      <c r="AE988" s="7">
        <f>AA988/39.3701</f>
      </c>
      <c r="AF988" s="7">
        <f>AB988/39.3701</f>
      </c>
      <c r="AG988" s="7">
        <f>AC988/39.3701</f>
      </c>
      <c r="AH988" s="7">
        <f>AD988/39.3701</f>
      </c>
      <c r="AI988" s="1"/>
      <c r="AJ988" s="1"/>
      <c r="AK988" s="1"/>
      <c r="AL988" s="1"/>
      <c r="AM988" s="2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</row>
    <row x14ac:dyDescent="0.25" r="989" customHeight="1" ht="18.75">
      <c r="A989" s="1"/>
      <c r="B989" s="2"/>
      <c r="C989" s="2"/>
      <c r="D989" s="2"/>
      <c r="E989" s="2"/>
      <c r="F989" s="2"/>
      <c r="G989" s="1"/>
      <c r="H989" s="1"/>
      <c r="I989" s="7">
        <v>0.986</v>
      </c>
      <c r="J989" s="7">
        <f>IF((I989-ROUNDDOWN(I989,0))=0, 0, (I989-ROUNDDOWN(I989,0)))</f>
      </c>
      <c r="K989" s="7">
        <f>INDIRECT("C$"&amp;2+MIN(2,ROUNDDOWN(I989,0))*3)*(-$J989^3+3*$J989^2-3*$J989+1)+INDIRECT("C$"&amp;3+MIN(2,ROUNDDOWN(I989,0))*3)*(3*$J989^3-6*$J989^2+3*$J989)+INDIRECT("C$"&amp;4+MIN(2,ROUNDDOWN(I989,0))*3)*(-3*$J989^3+3*$J989^2)+INDIRECT("C$"&amp;5+MIN(2,ROUNDDOWN(I989,0))*3)*$J989^3</f>
      </c>
      <c r="L989" s="7">
        <f>INDIRECT("D$"&amp;2+MIN(2,ROUNDDOWN(I989,0))*3)*(-$J989^3+3*$J989^2-3*$J989+1)+INDIRECT("D$"&amp;3+MIN(2,ROUNDDOWN(I989,0))*3)*(3*$J989^3-6*$J989^2+3*$J989)+INDIRECT("D$"&amp;4+MIN(2,ROUNDDOWN(I989,0))*3)*(-3*$J989^3+3*$J989^2)+INDIRECT("D$"&amp;5+MIN(2,ROUNDDOWN(I989,0))*3)*$J989^3</f>
      </c>
      <c r="M989" s="7">
        <f>SQRT(K989^2+L989^2)</f>
      </c>
      <c r="N989" s="7">
        <f>(K990-K988)</f>
      </c>
      <c r="O989" s="7">
        <f>+(L990-L988)</f>
      </c>
      <c r="P989" s="7">
        <f>SQRT(O989^2+N989^2)</f>
      </c>
      <c r="Q989" s="7">
        <f>N989/$P989</f>
      </c>
      <c r="R989" s="7">
        <f>O989/$P989</f>
      </c>
      <c r="S989" s="7">
        <f>Q989^2+R989^2</f>
      </c>
      <c r="T989" s="7">
        <f>-R989</f>
      </c>
      <c r="U989" s="7">
        <f>Q989</f>
      </c>
      <c r="V989" s="7">
        <f>($C$14+($C$15-$C$14)/($D$15-$D$14)*(I989-$D$14))/2</f>
      </c>
      <c r="W989" s="7">
        <f>($B$22*I989^4+$C$22*I989^3+$D$22*I989^2+$E$22*I989+$F$22)/2</f>
      </c>
      <c r="X989" s="7">
        <f>($W989)*(T989)</f>
      </c>
      <c r="Y989" s="7">
        <f>($W989)*(U989)</f>
      </c>
      <c r="Z989" s="7">
        <f>SQRT(X989^2+Y989^2)</f>
      </c>
      <c r="AA989" s="7">
        <f>$K989+$X989</f>
      </c>
      <c r="AB989" s="7">
        <f>$L989+$Y989</f>
      </c>
      <c r="AC989" s="7">
        <f>$K989-$X989</f>
      </c>
      <c r="AD989" s="7">
        <f>$L989-$Y989</f>
      </c>
      <c r="AE989" s="7">
        <f>AA989/39.3701</f>
      </c>
      <c r="AF989" s="7">
        <f>AB989/39.3701</f>
      </c>
      <c r="AG989" s="7">
        <f>AC989/39.3701</f>
      </c>
      <c r="AH989" s="7">
        <f>AD989/39.3701</f>
      </c>
      <c r="AI989" s="1"/>
      <c r="AJ989" s="1"/>
      <c r="AK989" s="1"/>
      <c r="AL989" s="1"/>
      <c r="AM989" s="2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</row>
    <row x14ac:dyDescent="0.25" r="990" customHeight="1" ht="18.75">
      <c r="A990" s="1"/>
      <c r="B990" s="2"/>
      <c r="C990" s="2"/>
      <c r="D990" s="2"/>
      <c r="E990" s="2"/>
      <c r="F990" s="2"/>
      <c r="G990" s="1"/>
      <c r="H990" s="1"/>
      <c r="I990" s="7">
        <v>0.987</v>
      </c>
      <c r="J990" s="7">
        <f>IF((I990-ROUNDDOWN(I990,0))=0, 0, (I990-ROUNDDOWN(I990,0)))</f>
      </c>
      <c r="K990" s="7">
        <f>INDIRECT("C$"&amp;2+MIN(2,ROUNDDOWN(I990,0))*3)*(-$J990^3+3*$J990^2-3*$J990+1)+INDIRECT("C$"&amp;3+MIN(2,ROUNDDOWN(I990,0))*3)*(3*$J990^3-6*$J990^2+3*$J990)+INDIRECT("C$"&amp;4+MIN(2,ROUNDDOWN(I990,0))*3)*(-3*$J990^3+3*$J990^2)+INDIRECT("C$"&amp;5+MIN(2,ROUNDDOWN(I990,0))*3)*$J990^3</f>
      </c>
      <c r="L990" s="7">
        <f>INDIRECT("D$"&amp;2+MIN(2,ROUNDDOWN(I990,0))*3)*(-$J990^3+3*$J990^2-3*$J990+1)+INDIRECT("D$"&amp;3+MIN(2,ROUNDDOWN(I990,0))*3)*(3*$J990^3-6*$J990^2+3*$J990)+INDIRECT("D$"&amp;4+MIN(2,ROUNDDOWN(I990,0))*3)*(-3*$J990^3+3*$J990^2)+INDIRECT("D$"&amp;5+MIN(2,ROUNDDOWN(I990,0))*3)*$J990^3</f>
      </c>
      <c r="M990" s="7">
        <f>SQRT(K990^2+L990^2)</f>
      </c>
      <c r="N990" s="7">
        <f>(K991-K989)</f>
      </c>
      <c r="O990" s="7">
        <f>+(L991-L989)</f>
      </c>
      <c r="P990" s="7">
        <f>SQRT(O990^2+N990^2)</f>
      </c>
      <c r="Q990" s="7">
        <f>N990/$P990</f>
      </c>
      <c r="R990" s="7">
        <f>O990/$P990</f>
      </c>
      <c r="S990" s="7">
        <f>Q990^2+R990^2</f>
      </c>
      <c r="T990" s="7">
        <f>-R990</f>
      </c>
      <c r="U990" s="7">
        <f>Q990</f>
      </c>
      <c r="V990" s="7">
        <f>($C$14+($C$15-$C$14)/($D$15-$D$14)*(I990-$D$14))/2</f>
      </c>
      <c r="W990" s="7">
        <f>($B$22*I990^4+$C$22*I990^3+$D$22*I990^2+$E$22*I990+$F$22)/2</f>
      </c>
      <c r="X990" s="7">
        <f>($W990)*(T990)</f>
      </c>
      <c r="Y990" s="7">
        <f>($W990)*(U990)</f>
      </c>
      <c r="Z990" s="7">
        <f>SQRT(X990^2+Y990^2)</f>
      </c>
      <c r="AA990" s="7">
        <f>$K990+$X990</f>
      </c>
      <c r="AB990" s="7">
        <f>$L990+$Y990</f>
      </c>
      <c r="AC990" s="7">
        <f>$K990-$X990</f>
      </c>
      <c r="AD990" s="7">
        <f>$L990-$Y990</f>
      </c>
      <c r="AE990" s="7">
        <f>AA990/39.3701</f>
      </c>
      <c r="AF990" s="7">
        <f>AB990/39.3701</f>
      </c>
      <c r="AG990" s="7">
        <f>AC990/39.3701</f>
      </c>
      <c r="AH990" s="7">
        <f>AD990/39.3701</f>
      </c>
      <c r="AI990" s="1"/>
      <c r="AJ990" s="1"/>
      <c r="AK990" s="1"/>
      <c r="AL990" s="1"/>
      <c r="AM990" s="2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</row>
    <row x14ac:dyDescent="0.25" r="991" customHeight="1" ht="18.75">
      <c r="A991" s="1"/>
      <c r="B991" s="2"/>
      <c r="C991" s="2"/>
      <c r="D991" s="2"/>
      <c r="E991" s="2"/>
      <c r="F991" s="2"/>
      <c r="G991" s="1"/>
      <c r="H991" s="1"/>
      <c r="I991" s="7">
        <v>0.988</v>
      </c>
      <c r="J991" s="7">
        <f>IF((I991-ROUNDDOWN(I991,0))=0, 0, (I991-ROUNDDOWN(I991,0)))</f>
      </c>
      <c r="K991" s="7">
        <f>INDIRECT("C$"&amp;2+MIN(2,ROUNDDOWN(I991,0))*3)*(-$J991^3+3*$J991^2-3*$J991+1)+INDIRECT("C$"&amp;3+MIN(2,ROUNDDOWN(I991,0))*3)*(3*$J991^3-6*$J991^2+3*$J991)+INDIRECT("C$"&amp;4+MIN(2,ROUNDDOWN(I991,0))*3)*(-3*$J991^3+3*$J991^2)+INDIRECT("C$"&amp;5+MIN(2,ROUNDDOWN(I991,0))*3)*$J991^3</f>
      </c>
      <c r="L991" s="7">
        <f>INDIRECT("D$"&amp;2+MIN(2,ROUNDDOWN(I991,0))*3)*(-$J991^3+3*$J991^2-3*$J991+1)+INDIRECT("D$"&amp;3+MIN(2,ROUNDDOWN(I991,0))*3)*(3*$J991^3-6*$J991^2+3*$J991)+INDIRECT("D$"&amp;4+MIN(2,ROUNDDOWN(I991,0))*3)*(-3*$J991^3+3*$J991^2)+INDIRECT("D$"&amp;5+MIN(2,ROUNDDOWN(I991,0))*3)*$J991^3</f>
      </c>
      <c r="M991" s="7">
        <f>SQRT(K991^2+L991^2)</f>
      </c>
      <c r="N991" s="7">
        <f>(K992-K990)</f>
      </c>
      <c r="O991" s="7">
        <f>+(L992-L990)</f>
      </c>
      <c r="P991" s="7">
        <f>SQRT(O991^2+N991^2)</f>
      </c>
      <c r="Q991" s="7">
        <f>N991/$P991</f>
      </c>
      <c r="R991" s="7">
        <f>O991/$P991</f>
      </c>
      <c r="S991" s="8">
        <f>Q991^2+R991^2</f>
      </c>
      <c r="T991" s="7">
        <f>-R991</f>
      </c>
      <c r="U991" s="7">
        <f>Q991</f>
      </c>
      <c r="V991" s="7">
        <f>($C$14+($C$15-$C$14)/($D$15-$D$14)*(I991-$D$14))/2</f>
      </c>
      <c r="W991" s="7">
        <f>($B$22*I991^4+$C$22*I991^3+$D$22*I991^2+$E$22*I991+$F$22)/2</f>
      </c>
      <c r="X991" s="7">
        <f>($W991)*(T991)</f>
      </c>
      <c r="Y991" s="7">
        <f>($W991)*(U991)</f>
      </c>
      <c r="Z991" s="7">
        <f>SQRT(X991^2+Y991^2)</f>
      </c>
      <c r="AA991" s="7">
        <f>$K991+$X991</f>
      </c>
      <c r="AB991" s="7">
        <f>$L991+$Y991</f>
      </c>
      <c r="AC991" s="7">
        <f>$K991-$X991</f>
      </c>
      <c r="AD991" s="7">
        <f>$L991-$Y991</f>
      </c>
      <c r="AE991" s="7">
        <f>AA991/39.3701</f>
      </c>
      <c r="AF991" s="7">
        <f>AB991/39.3701</f>
      </c>
      <c r="AG991" s="7">
        <f>AC991/39.3701</f>
      </c>
      <c r="AH991" s="7">
        <f>AD991/39.3701</f>
      </c>
      <c r="AI991" s="1"/>
      <c r="AJ991" s="1"/>
      <c r="AK991" s="1"/>
      <c r="AL991" s="1"/>
      <c r="AM991" s="2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</row>
    <row x14ac:dyDescent="0.25" r="992" customHeight="1" ht="18.75">
      <c r="A992" s="1"/>
      <c r="B992" s="2"/>
      <c r="C992" s="2"/>
      <c r="D992" s="2"/>
      <c r="E992" s="2"/>
      <c r="F992" s="2"/>
      <c r="G992" s="1"/>
      <c r="H992" s="1"/>
      <c r="I992" s="7">
        <v>0.989</v>
      </c>
      <c r="J992" s="7">
        <f>IF((I992-ROUNDDOWN(I992,0))=0, 0, (I992-ROUNDDOWN(I992,0)))</f>
      </c>
      <c r="K992" s="7">
        <f>INDIRECT("C$"&amp;2+MIN(2,ROUNDDOWN(I992,0))*3)*(-$J992^3+3*$J992^2-3*$J992+1)+INDIRECT("C$"&amp;3+MIN(2,ROUNDDOWN(I992,0))*3)*(3*$J992^3-6*$J992^2+3*$J992)+INDIRECT("C$"&amp;4+MIN(2,ROUNDDOWN(I992,0))*3)*(-3*$J992^3+3*$J992^2)+INDIRECT("C$"&amp;5+MIN(2,ROUNDDOWN(I992,0))*3)*$J992^3</f>
      </c>
      <c r="L992" s="7">
        <f>INDIRECT("D$"&amp;2+MIN(2,ROUNDDOWN(I992,0))*3)*(-$J992^3+3*$J992^2-3*$J992+1)+INDIRECT("D$"&amp;3+MIN(2,ROUNDDOWN(I992,0))*3)*(3*$J992^3-6*$J992^2+3*$J992)+INDIRECT("D$"&amp;4+MIN(2,ROUNDDOWN(I992,0))*3)*(-3*$J992^3+3*$J992^2)+INDIRECT("D$"&amp;5+MIN(2,ROUNDDOWN(I992,0))*3)*$J992^3</f>
      </c>
      <c r="M992" s="7">
        <f>SQRT(K992^2+L992^2)</f>
      </c>
      <c r="N992" s="7">
        <f>(K993-K991)</f>
      </c>
      <c r="O992" s="7">
        <f>+(L993-L991)</f>
      </c>
      <c r="P992" s="7">
        <f>SQRT(O992^2+N992^2)</f>
      </c>
      <c r="Q992" s="7">
        <f>N992/$P992</f>
      </c>
      <c r="R992" s="7">
        <f>O992/$P992</f>
      </c>
      <c r="S992" s="8">
        <f>Q992^2+R992^2</f>
      </c>
      <c r="T992" s="7">
        <f>-R992</f>
      </c>
      <c r="U992" s="7">
        <f>Q992</f>
      </c>
      <c r="V992" s="7">
        <f>($C$14+($C$15-$C$14)/($D$15-$D$14)*(I992-$D$14))/2</f>
      </c>
      <c r="W992" s="7">
        <f>($B$22*I992^4+$C$22*I992^3+$D$22*I992^2+$E$22*I992+$F$22)/2</f>
      </c>
      <c r="X992" s="7">
        <f>($W992)*(T992)</f>
      </c>
      <c r="Y992" s="7">
        <f>($W992)*(U992)</f>
      </c>
      <c r="Z992" s="7">
        <f>SQRT(X992^2+Y992^2)</f>
      </c>
      <c r="AA992" s="7">
        <f>$K992+$X992</f>
      </c>
      <c r="AB992" s="7">
        <f>$L992+$Y992</f>
      </c>
      <c r="AC992" s="7">
        <f>$K992-$X992</f>
      </c>
      <c r="AD992" s="7">
        <f>$L992-$Y992</f>
      </c>
      <c r="AE992" s="7">
        <f>AA992/39.3701</f>
      </c>
      <c r="AF992" s="7">
        <f>AB992/39.3701</f>
      </c>
      <c r="AG992" s="7">
        <f>AC992/39.3701</f>
      </c>
      <c r="AH992" s="7">
        <f>AD992/39.3701</f>
      </c>
      <c r="AI992" s="1"/>
      <c r="AJ992" s="1"/>
      <c r="AK992" s="1"/>
      <c r="AL992" s="1"/>
      <c r="AM992" s="2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</row>
    <row x14ac:dyDescent="0.25" r="993" customHeight="1" ht="18.75">
      <c r="A993" s="1"/>
      <c r="B993" s="2"/>
      <c r="C993" s="2"/>
      <c r="D993" s="2"/>
      <c r="E993" s="2"/>
      <c r="F993" s="2"/>
      <c r="G993" s="1"/>
      <c r="H993" s="1"/>
      <c r="I993" s="7">
        <v>0.99</v>
      </c>
      <c r="J993" s="7">
        <f>IF((I993-ROUNDDOWN(I993,0))=0, 0, (I993-ROUNDDOWN(I993,0)))</f>
      </c>
      <c r="K993" s="7">
        <f>INDIRECT("C$"&amp;2+MIN(2,ROUNDDOWN(I993,0))*3)*(-$J993^3+3*$J993^2-3*$J993+1)+INDIRECT("C$"&amp;3+MIN(2,ROUNDDOWN(I993,0))*3)*(3*$J993^3-6*$J993^2+3*$J993)+INDIRECT("C$"&amp;4+MIN(2,ROUNDDOWN(I993,0))*3)*(-3*$J993^3+3*$J993^2)+INDIRECT("C$"&amp;5+MIN(2,ROUNDDOWN(I993,0))*3)*$J993^3</f>
      </c>
      <c r="L993" s="7">
        <f>INDIRECT("D$"&amp;2+MIN(2,ROUNDDOWN(I993,0))*3)*(-$J993^3+3*$J993^2-3*$J993+1)+INDIRECT("D$"&amp;3+MIN(2,ROUNDDOWN(I993,0))*3)*(3*$J993^3-6*$J993^2+3*$J993)+INDIRECT("D$"&amp;4+MIN(2,ROUNDDOWN(I993,0))*3)*(-3*$J993^3+3*$J993^2)+INDIRECT("D$"&amp;5+MIN(2,ROUNDDOWN(I993,0))*3)*$J993^3</f>
      </c>
      <c r="M993" s="7">
        <f>SQRT(K993^2+L993^2)</f>
      </c>
      <c r="N993" s="7">
        <f>(K994-K992)</f>
      </c>
      <c r="O993" s="7">
        <f>+(L994-L992)</f>
      </c>
      <c r="P993" s="7">
        <f>SQRT(O993^2+N993^2)</f>
      </c>
      <c r="Q993" s="7">
        <f>N993/$P993</f>
      </c>
      <c r="R993" s="7">
        <f>O993/$P993</f>
      </c>
      <c r="S993" s="7">
        <f>Q993^2+R993^2</f>
      </c>
      <c r="T993" s="7">
        <f>-R993</f>
      </c>
      <c r="U993" s="7">
        <f>Q993</f>
      </c>
      <c r="V993" s="7">
        <f>($C$14+($C$15-$C$14)/($D$15-$D$14)*(I993-$D$14))/2</f>
      </c>
      <c r="W993" s="7">
        <f>($B$22*I993^4+$C$22*I993^3+$D$22*I993^2+$E$22*I993+$F$22)/2</f>
      </c>
      <c r="X993" s="7">
        <f>($W993)*(T993)</f>
      </c>
      <c r="Y993" s="7">
        <f>($W993)*(U993)</f>
      </c>
      <c r="Z993" s="7">
        <f>SQRT(X993^2+Y993^2)</f>
      </c>
      <c r="AA993" s="7">
        <f>$K993+$X993</f>
      </c>
      <c r="AB993" s="7">
        <f>$L993+$Y993</f>
      </c>
      <c r="AC993" s="7">
        <f>$K993-$X993</f>
      </c>
      <c r="AD993" s="7">
        <f>$L993-$Y993</f>
      </c>
      <c r="AE993" s="7">
        <f>AA993/39.3701</f>
      </c>
      <c r="AF993" s="7">
        <f>AB993/39.3701</f>
      </c>
      <c r="AG993" s="7">
        <f>AC993/39.3701</f>
      </c>
      <c r="AH993" s="7">
        <f>AD993/39.3701</f>
      </c>
      <c r="AI993" s="1"/>
      <c r="AJ993" s="1"/>
      <c r="AK993" s="1"/>
      <c r="AL993" s="1"/>
      <c r="AM993" s="2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</row>
    <row x14ac:dyDescent="0.25" r="994" customHeight="1" ht="18.75">
      <c r="A994" s="1"/>
      <c r="B994" s="2"/>
      <c r="C994" s="2"/>
      <c r="D994" s="2"/>
      <c r="E994" s="2"/>
      <c r="F994" s="2"/>
      <c r="G994" s="1"/>
      <c r="H994" s="1"/>
      <c r="I994" s="7">
        <v>0.991</v>
      </c>
      <c r="J994" s="7">
        <f>IF((I994-ROUNDDOWN(I994,0))=0, 0, (I994-ROUNDDOWN(I994,0)))</f>
      </c>
      <c r="K994" s="7">
        <f>INDIRECT("C$"&amp;2+MIN(2,ROUNDDOWN(I994,0))*3)*(-$J994^3+3*$J994^2-3*$J994+1)+INDIRECT("C$"&amp;3+MIN(2,ROUNDDOWN(I994,0))*3)*(3*$J994^3-6*$J994^2+3*$J994)+INDIRECT("C$"&amp;4+MIN(2,ROUNDDOWN(I994,0))*3)*(-3*$J994^3+3*$J994^2)+INDIRECT("C$"&amp;5+MIN(2,ROUNDDOWN(I994,0))*3)*$J994^3</f>
      </c>
      <c r="L994" s="7">
        <f>INDIRECT("D$"&amp;2+MIN(2,ROUNDDOWN(I994,0))*3)*(-$J994^3+3*$J994^2-3*$J994+1)+INDIRECT("D$"&amp;3+MIN(2,ROUNDDOWN(I994,0))*3)*(3*$J994^3-6*$J994^2+3*$J994)+INDIRECT("D$"&amp;4+MIN(2,ROUNDDOWN(I994,0))*3)*(-3*$J994^3+3*$J994^2)+INDIRECT("D$"&amp;5+MIN(2,ROUNDDOWN(I994,0))*3)*$J994^3</f>
      </c>
      <c r="M994" s="7">
        <f>SQRT(K994^2+L994^2)</f>
      </c>
      <c r="N994" s="7">
        <f>(K995-K993)</f>
      </c>
      <c r="O994" s="7">
        <f>+(L995-L993)</f>
      </c>
      <c r="P994" s="7">
        <f>SQRT(O994^2+N994^2)</f>
      </c>
      <c r="Q994" s="7">
        <f>N994/$P994</f>
      </c>
      <c r="R994" s="7">
        <f>O994/$P994</f>
      </c>
      <c r="S994" s="7">
        <f>Q994^2+R994^2</f>
      </c>
      <c r="T994" s="7">
        <f>-R994</f>
      </c>
      <c r="U994" s="7">
        <f>Q994</f>
      </c>
      <c r="V994" s="7">
        <f>($C$14+($C$15-$C$14)/($D$15-$D$14)*(I994-$D$14))/2</f>
      </c>
      <c r="W994" s="7">
        <f>($B$22*I994^4+$C$22*I994^3+$D$22*I994^2+$E$22*I994+$F$22)/2</f>
      </c>
      <c r="X994" s="7">
        <f>($W994)*(T994)</f>
      </c>
      <c r="Y994" s="7">
        <f>($W994)*(U994)</f>
      </c>
      <c r="Z994" s="7">
        <f>SQRT(X994^2+Y994^2)</f>
      </c>
      <c r="AA994" s="7">
        <f>$K994+$X994</f>
      </c>
      <c r="AB994" s="7">
        <f>$L994+$Y994</f>
      </c>
      <c r="AC994" s="7">
        <f>$K994-$X994</f>
      </c>
      <c r="AD994" s="7">
        <f>$L994-$Y994</f>
      </c>
      <c r="AE994" s="7">
        <f>AA994/39.3701</f>
      </c>
      <c r="AF994" s="7">
        <f>AB994/39.3701</f>
      </c>
      <c r="AG994" s="7">
        <f>AC994/39.3701</f>
      </c>
      <c r="AH994" s="7">
        <f>AD994/39.3701</f>
      </c>
      <c r="AI994" s="1"/>
      <c r="AJ994" s="1"/>
      <c r="AK994" s="1"/>
      <c r="AL994" s="1"/>
      <c r="AM994" s="2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</row>
    <row x14ac:dyDescent="0.25" r="995" customHeight="1" ht="18.75">
      <c r="A995" s="1"/>
      <c r="B995" s="2"/>
      <c r="C995" s="2"/>
      <c r="D995" s="2"/>
      <c r="E995" s="2"/>
      <c r="F995" s="2"/>
      <c r="G995" s="1"/>
      <c r="H995" s="1"/>
      <c r="I995" s="7">
        <v>0.992</v>
      </c>
      <c r="J995" s="7">
        <f>IF((I995-ROUNDDOWN(I995,0))=0, 0, (I995-ROUNDDOWN(I995,0)))</f>
      </c>
      <c r="K995" s="7">
        <f>INDIRECT("C$"&amp;2+MIN(2,ROUNDDOWN(I995,0))*3)*(-$J995^3+3*$J995^2-3*$J995+1)+INDIRECT("C$"&amp;3+MIN(2,ROUNDDOWN(I995,0))*3)*(3*$J995^3-6*$J995^2+3*$J995)+INDIRECT("C$"&amp;4+MIN(2,ROUNDDOWN(I995,0))*3)*(-3*$J995^3+3*$J995^2)+INDIRECT("C$"&amp;5+MIN(2,ROUNDDOWN(I995,0))*3)*$J995^3</f>
      </c>
      <c r="L995" s="7">
        <f>INDIRECT("D$"&amp;2+MIN(2,ROUNDDOWN(I995,0))*3)*(-$J995^3+3*$J995^2-3*$J995+1)+INDIRECT("D$"&amp;3+MIN(2,ROUNDDOWN(I995,0))*3)*(3*$J995^3-6*$J995^2+3*$J995)+INDIRECT("D$"&amp;4+MIN(2,ROUNDDOWN(I995,0))*3)*(-3*$J995^3+3*$J995^2)+INDIRECT("D$"&amp;5+MIN(2,ROUNDDOWN(I995,0))*3)*$J995^3</f>
      </c>
      <c r="M995" s="7">
        <f>SQRT(K995^2+L995^2)</f>
      </c>
      <c r="N995" s="7">
        <f>(K996-K994)</f>
      </c>
      <c r="O995" s="7">
        <f>+(L996-L994)</f>
      </c>
      <c r="P995" s="7">
        <f>SQRT(O995^2+N995^2)</f>
      </c>
      <c r="Q995" s="7">
        <f>N995/$P995</f>
      </c>
      <c r="R995" s="7">
        <f>O995/$P995</f>
      </c>
      <c r="S995" s="7">
        <f>Q995^2+R995^2</f>
      </c>
      <c r="T995" s="7">
        <f>-R995</f>
      </c>
      <c r="U995" s="7">
        <f>Q995</f>
      </c>
      <c r="V995" s="7">
        <f>($C$14+($C$15-$C$14)/($D$15-$D$14)*(I995-$D$14))/2</f>
      </c>
      <c r="W995" s="7">
        <f>($B$22*I995^4+$C$22*I995^3+$D$22*I995^2+$E$22*I995+$F$22)/2</f>
      </c>
      <c r="X995" s="7">
        <f>($W995)*(T995)</f>
      </c>
      <c r="Y995" s="7">
        <f>($W995)*(U995)</f>
      </c>
      <c r="Z995" s="7">
        <f>SQRT(X995^2+Y995^2)</f>
      </c>
      <c r="AA995" s="7">
        <f>$K995+$X995</f>
      </c>
      <c r="AB995" s="7">
        <f>$L995+$Y995</f>
      </c>
      <c r="AC995" s="7">
        <f>$K995-$X995</f>
      </c>
      <c r="AD995" s="7">
        <f>$L995-$Y995</f>
      </c>
      <c r="AE995" s="7">
        <f>AA995/39.3701</f>
      </c>
      <c r="AF995" s="7">
        <f>AB995/39.3701</f>
      </c>
      <c r="AG995" s="7">
        <f>AC995/39.3701</f>
      </c>
      <c r="AH995" s="7">
        <f>AD995/39.3701</f>
      </c>
      <c r="AI995" s="1"/>
      <c r="AJ995" s="1"/>
      <c r="AK995" s="1"/>
      <c r="AL995" s="1"/>
      <c r="AM995" s="2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</row>
    <row x14ac:dyDescent="0.25" r="996" customHeight="1" ht="18.75">
      <c r="A996" s="1"/>
      <c r="B996" s="2"/>
      <c r="C996" s="2"/>
      <c r="D996" s="2"/>
      <c r="E996" s="2"/>
      <c r="F996" s="2"/>
      <c r="G996" s="1"/>
      <c r="H996" s="1"/>
      <c r="I996" s="7">
        <v>0.993</v>
      </c>
      <c r="J996" s="7">
        <f>IF((I996-ROUNDDOWN(I996,0))=0, 0, (I996-ROUNDDOWN(I996,0)))</f>
      </c>
      <c r="K996" s="7">
        <f>INDIRECT("C$"&amp;2+MIN(2,ROUNDDOWN(I996,0))*3)*(-$J996^3+3*$J996^2-3*$J996+1)+INDIRECT("C$"&amp;3+MIN(2,ROUNDDOWN(I996,0))*3)*(3*$J996^3-6*$J996^2+3*$J996)+INDIRECT("C$"&amp;4+MIN(2,ROUNDDOWN(I996,0))*3)*(-3*$J996^3+3*$J996^2)+INDIRECT("C$"&amp;5+MIN(2,ROUNDDOWN(I996,0))*3)*$J996^3</f>
      </c>
      <c r="L996" s="7">
        <f>INDIRECT("D$"&amp;2+MIN(2,ROUNDDOWN(I996,0))*3)*(-$J996^3+3*$J996^2-3*$J996+1)+INDIRECT("D$"&amp;3+MIN(2,ROUNDDOWN(I996,0))*3)*(3*$J996^3-6*$J996^2+3*$J996)+INDIRECT("D$"&amp;4+MIN(2,ROUNDDOWN(I996,0))*3)*(-3*$J996^3+3*$J996^2)+INDIRECT("D$"&amp;5+MIN(2,ROUNDDOWN(I996,0))*3)*$J996^3</f>
      </c>
      <c r="M996" s="7">
        <f>SQRT(K996^2+L996^2)</f>
      </c>
      <c r="N996" s="7">
        <f>(K997-K995)</f>
      </c>
      <c r="O996" s="7">
        <f>+(L997-L995)</f>
      </c>
      <c r="P996" s="7">
        <f>SQRT(O996^2+N996^2)</f>
      </c>
      <c r="Q996" s="7">
        <f>N996/$P996</f>
      </c>
      <c r="R996" s="7">
        <f>O996/$P996</f>
      </c>
      <c r="S996" s="8">
        <f>Q996^2+R996^2</f>
      </c>
      <c r="T996" s="7">
        <f>-R996</f>
      </c>
      <c r="U996" s="7">
        <f>Q996</f>
      </c>
      <c r="V996" s="7">
        <f>($C$14+($C$15-$C$14)/($D$15-$D$14)*(I996-$D$14))/2</f>
      </c>
      <c r="W996" s="7">
        <f>($B$22*I996^4+$C$22*I996^3+$D$22*I996^2+$E$22*I996+$F$22)/2</f>
      </c>
      <c r="X996" s="7">
        <f>($W996)*(T996)</f>
      </c>
      <c r="Y996" s="7">
        <f>($W996)*(U996)</f>
      </c>
      <c r="Z996" s="7">
        <f>SQRT(X996^2+Y996^2)</f>
      </c>
      <c r="AA996" s="7">
        <f>$K996+$X996</f>
      </c>
      <c r="AB996" s="7">
        <f>$L996+$Y996</f>
      </c>
      <c r="AC996" s="7">
        <f>$K996-$X996</f>
      </c>
      <c r="AD996" s="7">
        <f>$L996-$Y996</f>
      </c>
      <c r="AE996" s="7">
        <f>AA996/39.3701</f>
      </c>
      <c r="AF996" s="7">
        <f>AB996/39.3701</f>
      </c>
      <c r="AG996" s="7">
        <f>AC996/39.3701</f>
      </c>
      <c r="AH996" s="7">
        <f>AD996/39.3701</f>
      </c>
      <c r="AI996" s="1"/>
      <c r="AJ996" s="1"/>
      <c r="AK996" s="1"/>
      <c r="AL996" s="1"/>
      <c r="AM996" s="2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</row>
    <row x14ac:dyDescent="0.25" r="997" customHeight="1" ht="18.75">
      <c r="A997" s="1"/>
      <c r="B997" s="2"/>
      <c r="C997" s="2"/>
      <c r="D997" s="2"/>
      <c r="E997" s="2"/>
      <c r="F997" s="2"/>
      <c r="G997" s="1"/>
      <c r="H997" s="1"/>
      <c r="I997" s="7">
        <v>0.994</v>
      </c>
      <c r="J997" s="7">
        <f>IF((I997-ROUNDDOWN(I997,0))=0, 0, (I997-ROUNDDOWN(I997,0)))</f>
      </c>
      <c r="K997" s="7">
        <f>INDIRECT("C$"&amp;2+MIN(2,ROUNDDOWN(I997,0))*3)*(-$J997^3+3*$J997^2-3*$J997+1)+INDIRECT("C$"&amp;3+MIN(2,ROUNDDOWN(I997,0))*3)*(3*$J997^3-6*$J997^2+3*$J997)+INDIRECT("C$"&amp;4+MIN(2,ROUNDDOWN(I997,0))*3)*(-3*$J997^3+3*$J997^2)+INDIRECT("C$"&amp;5+MIN(2,ROUNDDOWN(I997,0))*3)*$J997^3</f>
      </c>
      <c r="L997" s="7">
        <f>INDIRECT("D$"&amp;2+MIN(2,ROUNDDOWN(I997,0))*3)*(-$J997^3+3*$J997^2-3*$J997+1)+INDIRECT("D$"&amp;3+MIN(2,ROUNDDOWN(I997,0))*3)*(3*$J997^3-6*$J997^2+3*$J997)+INDIRECT("D$"&amp;4+MIN(2,ROUNDDOWN(I997,0))*3)*(-3*$J997^3+3*$J997^2)+INDIRECT("D$"&amp;5+MIN(2,ROUNDDOWN(I997,0))*3)*$J997^3</f>
      </c>
      <c r="M997" s="7">
        <f>SQRT(K997^2+L997^2)</f>
      </c>
      <c r="N997" s="7">
        <f>(K998-K996)</f>
      </c>
      <c r="O997" s="7">
        <f>+(L998-L996)</f>
      </c>
      <c r="P997" s="7">
        <f>SQRT(O997^2+N997^2)</f>
      </c>
      <c r="Q997" s="7">
        <f>N997/$P997</f>
      </c>
      <c r="R997" s="7">
        <f>O997/$P997</f>
      </c>
      <c r="S997" s="8">
        <f>Q997^2+R997^2</f>
      </c>
      <c r="T997" s="7">
        <f>-R997</f>
      </c>
      <c r="U997" s="7">
        <f>Q997</f>
      </c>
      <c r="V997" s="7">
        <f>($C$14+($C$15-$C$14)/($D$15-$D$14)*(I997-$D$14))/2</f>
      </c>
      <c r="W997" s="7">
        <f>($B$22*I997^4+$C$22*I997^3+$D$22*I997^2+$E$22*I997+$F$22)/2</f>
      </c>
      <c r="X997" s="7">
        <f>($W997)*(T997)</f>
      </c>
      <c r="Y997" s="7">
        <f>($W997)*(U997)</f>
      </c>
      <c r="Z997" s="7">
        <f>SQRT(X997^2+Y997^2)</f>
      </c>
      <c r="AA997" s="7">
        <f>$K997+$X997</f>
      </c>
      <c r="AB997" s="7">
        <f>$L997+$Y997</f>
      </c>
      <c r="AC997" s="7">
        <f>$K997-$X997</f>
      </c>
      <c r="AD997" s="7">
        <f>$L997-$Y997</f>
      </c>
      <c r="AE997" s="7">
        <f>AA997/39.3701</f>
      </c>
      <c r="AF997" s="7">
        <f>AB997/39.3701</f>
      </c>
      <c r="AG997" s="7">
        <f>AC997/39.3701</f>
      </c>
      <c r="AH997" s="7">
        <f>AD997/39.3701</f>
      </c>
      <c r="AI997" s="1"/>
      <c r="AJ997" s="1"/>
      <c r="AK997" s="1"/>
      <c r="AL997" s="1"/>
      <c r="AM997" s="2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</row>
    <row x14ac:dyDescent="0.25" r="998" customHeight="1" ht="18.75">
      <c r="A998" s="1"/>
      <c r="B998" s="2"/>
      <c r="C998" s="2"/>
      <c r="D998" s="2"/>
      <c r="E998" s="2"/>
      <c r="F998" s="2"/>
      <c r="G998" s="1"/>
      <c r="H998" s="1"/>
      <c r="I998" s="7">
        <v>0.995</v>
      </c>
      <c r="J998" s="7">
        <f>IF((I998-ROUNDDOWN(I998,0))=0, 0, (I998-ROUNDDOWN(I998,0)))</f>
      </c>
      <c r="K998" s="7">
        <f>INDIRECT("C$"&amp;2+MIN(2,ROUNDDOWN(I998,0))*3)*(-$J998^3+3*$J998^2-3*$J998+1)+INDIRECT("C$"&amp;3+MIN(2,ROUNDDOWN(I998,0))*3)*(3*$J998^3-6*$J998^2+3*$J998)+INDIRECT("C$"&amp;4+MIN(2,ROUNDDOWN(I998,0))*3)*(-3*$J998^3+3*$J998^2)+INDIRECT("C$"&amp;5+MIN(2,ROUNDDOWN(I998,0))*3)*$J998^3</f>
      </c>
      <c r="L998" s="7">
        <f>INDIRECT("D$"&amp;2+MIN(2,ROUNDDOWN(I998,0))*3)*(-$J998^3+3*$J998^2-3*$J998+1)+INDIRECT("D$"&amp;3+MIN(2,ROUNDDOWN(I998,0))*3)*(3*$J998^3-6*$J998^2+3*$J998)+INDIRECT("D$"&amp;4+MIN(2,ROUNDDOWN(I998,0))*3)*(-3*$J998^3+3*$J998^2)+INDIRECT("D$"&amp;5+MIN(2,ROUNDDOWN(I998,0))*3)*$J998^3</f>
      </c>
      <c r="M998" s="7">
        <f>SQRT(K998^2+L998^2)</f>
      </c>
      <c r="N998" s="7">
        <f>(K999-K997)</f>
      </c>
      <c r="O998" s="7">
        <f>+(L999-L997)</f>
      </c>
      <c r="P998" s="7">
        <f>SQRT(O998^2+N998^2)</f>
      </c>
      <c r="Q998" s="7">
        <f>N998/$P998</f>
      </c>
      <c r="R998" s="7">
        <f>O998/$P998</f>
      </c>
      <c r="S998" s="8">
        <f>Q998^2+R998^2</f>
      </c>
      <c r="T998" s="7">
        <f>-R998</f>
      </c>
      <c r="U998" s="7">
        <f>Q998</f>
      </c>
      <c r="V998" s="7">
        <f>($C$14+($C$15-$C$14)/($D$15-$D$14)*(I998-$D$14))/2</f>
      </c>
      <c r="W998" s="7">
        <f>($B$22*I998^4+$C$22*I998^3+$D$22*I998^2+$E$22*I998+$F$22)/2</f>
      </c>
      <c r="X998" s="7">
        <f>($W998)*(T998)</f>
      </c>
      <c r="Y998" s="7">
        <f>($W998)*(U998)</f>
      </c>
      <c r="Z998" s="7">
        <f>SQRT(X998^2+Y998^2)</f>
      </c>
      <c r="AA998" s="7">
        <f>$K998+$X998</f>
      </c>
      <c r="AB998" s="7">
        <f>$L998+$Y998</f>
      </c>
      <c r="AC998" s="7">
        <f>$K998-$X998</f>
      </c>
      <c r="AD998" s="7">
        <f>$L998-$Y998</f>
      </c>
      <c r="AE998" s="7">
        <f>AA998/39.3701</f>
      </c>
      <c r="AF998" s="7">
        <f>AB998/39.3701</f>
      </c>
      <c r="AG998" s="7">
        <f>AC998/39.3701</f>
      </c>
      <c r="AH998" s="7">
        <f>AD998/39.3701</f>
      </c>
      <c r="AI998" s="1"/>
      <c r="AJ998" s="1"/>
      <c r="AK998" s="1"/>
      <c r="AL998" s="1"/>
      <c r="AM998" s="2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</row>
    <row x14ac:dyDescent="0.25" r="999" customHeight="1" ht="18.75">
      <c r="A999" s="1"/>
      <c r="B999" s="2"/>
      <c r="C999" s="2"/>
      <c r="D999" s="2"/>
      <c r="E999" s="2"/>
      <c r="F999" s="2"/>
      <c r="G999" s="1"/>
      <c r="H999" s="1"/>
      <c r="I999" s="7">
        <v>0.996</v>
      </c>
      <c r="J999" s="7">
        <f>IF((I999-ROUNDDOWN(I999,0))=0, 0, (I999-ROUNDDOWN(I999,0)))</f>
      </c>
      <c r="K999" s="7">
        <f>INDIRECT("C$"&amp;2+MIN(2,ROUNDDOWN(I999,0))*3)*(-$J999^3+3*$J999^2-3*$J999+1)+INDIRECT("C$"&amp;3+MIN(2,ROUNDDOWN(I999,0))*3)*(3*$J999^3-6*$J999^2+3*$J999)+INDIRECT("C$"&amp;4+MIN(2,ROUNDDOWN(I999,0))*3)*(-3*$J999^3+3*$J999^2)+INDIRECT("C$"&amp;5+MIN(2,ROUNDDOWN(I999,0))*3)*$J999^3</f>
      </c>
      <c r="L999" s="7">
        <f>INDIRECT("D$"&amp;2+MIN(2,ROUNDDOWN(I999,0))*3)*(-$J999^3+3*$J999^2-3*$J999+1)+INDIRECT("D$"&amp;3+MIN(2,ROUNDDOWN(I999,0))*3)*(3*$J999^3-6*$J999^2+3*$J999)+INDIRECT("D$"&amp;4+MIN(2,ROUNDDOWN(I999,0))*3)*(-3*$J999^3+3*$J999^2)+INDIRECT("D$"&amp;5+MIN(2,ROUNDDOWN(I999,0))*3)*$J999^3</f>
      </c>
      <c r="M999" s="7">
        <f>SQRT(K999^2+L999^2)</f>
      </c>
      <c r="N999" s="7">
        <f>(K1000-K998)</f>
      </c>
      <c r="O999" s="7">
        <f>+(L1000-L998)</f>
      </c>
      <c r="P999" s="7">
        <f>SQRT(O999^2+N999^2)</f>
      </c>
      <c r="Q999" s="7">
        <f>N999/$P999</f>
      </c>
      <c r="R999" s="7">
        <f>O999/$P999</f>
      </c>
      <c r="S999" s="7">
        <f>Q999^2+R999^2</f>
      </c>
      <c r="T999" s="7">
        <f>-R999</f>
      </c>
      <c r="U999" s="7">
        <f>Q999</f>
      </c>
      <c r="V999" s="7">
        <f>($C$14+($C$15-$C$14)/($D$15-$D$14)*(I999-$D$14))/2</f>
      </c>
      <c r="W999" s="7">
        <f>($B$22*I999^4+$C$22*I999^3+$D$22*I999^2+$E$22*I999+$F$22)/2</f>
      </c>
      <c r="X999" s="7">
        <f>($W999)*(T999)</f>
      </c>
      <c r="Y999" s="7">
        <f>($W999)*(U999)</f>
      </c>
      <c r="Z999" s="7">
        <f>SQRT(X999^2+Y999^2)</f>
      </c>
      <c r="AA999" s="7">
        <f>$K999+$X999</f>
      </c>
      <c r="AB999" s="7">
        <f>$L999+$Y999</f>
      </c>
      <c r="AC999" s="7">
        <f>$K999-$X999</f>
      </c>
      <c r="AD999" s="7">
        <f>$L999-$Y999</f>
      </c>
      <c r="AE999" s="7">
        <f>AA999/39.3701</f>
      </c>
      <c r="AF999" s="7">
        <f>AB999/39.3701</f>
      </c>
      <c r="AG999" s="7">
        <f>AC999/39.3701</f>
      </c>
      <c r="AH999" s="7">
        <f>AD999/39.3701</f>
      </c>
      <c r="AI999" s="1"/>
      <c r="AJ999" s="1"/>
      <c r="AK999" s="1"/>
      <c r="AL999" s="1"/>
      <c r="AM999" s="2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</row>
    <row x14ac:dyDescent="0.25" r="1000" customHeight="1" ht="18.75">
      <c r="A1000" s="1"/>
      <c r="B1000" s="2"/>
      <c r="C1000" s="2"/>
      <c r="D1000" s="2"/>
      <c r="E1000" s="2"/>
      <c r="F1000" s="2"/>
      <c r="G1000" s="1"/>
      <c r="H1000" s="1"/>
      <c r="I1000" s="7">
        <v>0.997</v>
      </c>
      <c r="J1000" s="7">
        <f>IF((I1000-ROUNDDOWN(I1000,0))=0, 0, (I1000-ROUNDDOWN(I1000,0)))</f>
      </c>
      <c r="K1000" s="7">
        <f>INDIRECT("C$"&amp;2+MIN(2,ROUNDDOWN(I1000,0))*3)*(-$J1000^3+3*$J1000^2-3*$J1000+1)+INDIRECT("C$"&amp;3+MIN(2,ROUNDDOWN(I1000,0))*3)*(3*$J1000^3-6*$J1000^2+3*$J1000)+INDIRECT("C$"&amp;4+MIN(2,ROUNDDOWN(I1000,0))*3)*(-3*$J1000^3+3*$J1000^2)+INDIRECT("C$"&amp;5+MIN(2,ROUNDDOWN(I1000,0))*3)*$J1000^3</f>
      </c>
      <c r="L1000" s="7">
        <f>INDIRECT("D$"&amp;2+MIN(2,ROUNDDOWN(I1000,0))*3)*(-$J1000^3+3*$J1000^2-3*$J1000+1)+INDIRECT("D$"&amp;3+MIN(2,ROUNDDOWN(I1000,0))*3)*(3*$J1000^3-6*$J1000^2+3*$J1000)+INDIRECT("D$"&amp;4+MIN(2,ROUNDDOWN(I1000,0))*3)*(-3*$J1000^3+3*$J1000^2)+INDIRECT("D$"&amp;5+MIN(2,ROUNDDOWN(I1000,0))*3)*$J1000^3</f>
      </c>
      <c r="M1000" s="7">
        <f>SQRT(K1000^2+L1000^2)</f>
      </c>
      <c r="N1000" s="7">
        <f>(K1001-K999)</f>
      </c>
      <c r="O1000" s="7">
        <f>+(L1001-L999)</f>
      </c>
      <c r="P1000" s="7">
        <f>SQRT(O1000^2+N1000^2)</f>
      </c>
      <c r="Q1000" s="7">
        <f>N1000/$P1000</f>
      </c>
      <c r="R1000" s="7">
        <f>O1000/$P1000</f>
      </c>
      <c r="S1000" s="7">
        <f>Q1000^2+R1000^2</f>
      </c>
      <c r="T1000" s="7">
        <f>-R1000</f>
      </c>
      <c r="U1000" s="7">
        <f>Q1000</f>
      </c>
      <c r="V1000" s="7">
        <f>($C$14+($C$15-$C$14)/($D$15-$D$14)*(I1000-$D$14))/2</f>
      </c>
      <c r="W1000" s="7">
        <f>($B$22*I1000^4+$C$22*I1000^3+$D$22*I1000^2+$E$22*I1000+$F$22)/2</f>
      </c>
      <c r="X1000" s="7">
        <f>($W1000)*(T1000)</f>
      </c>
      <c r="Y1000" s="7">
        <f>($W1000)*(U1000)</f>
      </c>
      <c r="Z1000" s="7">
        <f>SQRT(X1000^2+Y1000^2)</f>
      </c>
      <c r="AA1000" s="7">
        <f>$K1000+$X1000</f>
      </c>
      <c r="AB1000" s="7">
        <f>$L1000+$Y1000</f>
      </c>
      <c r="AC1000" s="7">
        <f>$K1000-$X1000</f>
      </c>
      <c r="AD1000" s="7">
        <f>$L1000-$Y1000</f>
      </c>
      <c r="AE1000" s="7">
        <f>AA1000/39.3701</f>
      </c>
      <c r="AF1000" s="7">
        <f>AB1000/39.3701</f>
      </c>
      <c r="AG1000" s="7">
        <f>AC1000/39.3701</f>
      </c>
      <c r="AH1000" s="7">
        <f>AD1000/39.3701</f>
      </c>
      <c r="AI1000" s="1"/>
      <c r="AJ1000" s="1"/>
      <c r="AK1000" s="1"/>
      <c r="AL1000" s="1"/>
      <c r="AM1000" s="2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</row>
    <row x14ac:dyDescent="0.25" r="1001" customHeight="1" ht="18.75">
      <c r="A1001" s="1"/>
      <c r="B1001" s="2"/>
      <c r="C1001" s="2"/>
      <c r="D1001" s="2"/>
      <c r="E1001" s="2"/>
      <c r="F1001" s="2"/>
      <c r="G1001" s="1"/>
      <c r="H1001" s="1"/>
      <c r="I1001" s="7">
        <v>0.998</v>
      </c>
      <c r="J1001" s="7">
        <f>IF((I1001-ROUNDDOWN(I1001,0))=0, 0, (I1001-ROUNDDOWN(I1001,0)))</f>
      </c>
      <c r="K1001" s="7">
        <f>INDIRECT("C$"&amp;2+MIN(2,ROUNDDOWN(I1001,0))*3)*(-$J1001^3+3*$J1001^2-3*$J1001+1)+INDIRECT("C$"&amp;3+MIN(2,ROUNDDOWN(I1001,0))*3)*(3*$J1001^3-6*$J1001^2+3*$J1001)+INDIRECT("C$"&amp;4+MIN(2,ROUNDDOWN(I1001,0))*3)*(-3*$J1001^3+3*$J1001^2)+INDIRECT("C$"&amp;5+MIN(2,ROUNDDOWN(I1001,0))*3)*$J1001^3</f>
      </c>
      <c r="L1001" s="7">
        <f>INDIRECT("D$"&amp;2+MIN(2,ROUNDDOWN(I1001,0))*3)*(-$J1001^3+3*$J1001^2-3*$J1001+1)+INDIRECT("D$"&amp;3+MIN(2,ROUNDDOWN(I1001,0))*3)*(3*$J1001^3-6*$J1001^2+3*$J1001)+INDIRECT("D$"&amp;4+MIN(2,ROUNDDOWN(I1001,0))*3)*(-3*$J1001^3+3*$J1001^2)+INDIRECT("D$"&amp;5+MIN(2,ROUNDDOWN(I1001,0))*3)*$J1001^3</f>
      </c>
      <c r="M1001" s="7">
        <f>SQRT(K1001^2+L1001^2)</f>
      </c>
      <c r="N1001" s="7">
        <f>(K1002-K1000)</f>
      </c>
      <c r="O1001" s="7">
        <f>+(L1002-L1000)</f>
      </c>
      <c r="P1001" s="7">
        <f>SQRT(O1001^2+N1001^2)</f>
      </c>
      <c r="Q1001" s="7">
        <f>N1001/$P1001</f>
      </c>
      <c r="R1001" s="7">
        <f>O1001/$P1001</f>
      </c>
      <c r="S1001" s="8">
        <f>Q1001^2+R1001^2</f>
      </c>
      <c r="T1001" s="7">
        <f>-R1001</f>
      </c>
      <c r="U1001" s="7">
        <f>Q1001</f>
      </c>
      <c r="V1001" s="7">
        <f>($C$14+($C$15-$C$14)/($D$15-$D$14)*(I1001-$D$14))/2</f>
      </c>
      <c r="W1001" s="7">
        <f>($B$22*I1001^4+$C$22*I1001^3+$D$22*I1001^2+$E$22*I1001+$F$22)/2</f>
      </c>
      <c r="X1001" s="7">
        <f>($W1001)*(T1001)</f>
      </c>
      <c r="Y1001" s="7">
        <f>($W1001)*(U1001)</f>
      </c>
      <c r="Z1001" s="7">
        <f>SQRT(X1001^2+Y1001^2)</f>
      </c>
      <c r="AA1001" s="7">
        <f>$K1001+$X1001</f>
      </c>
      <c r="AB1001" s="7">
        <f>$L1001+$Y1001</f>
      </c>
      <c r="AC1001" s="7">
        <f>$K1001-$X1001</f>
      </c>
      <c r="AD1001" s="7">
        <f>$L1001-$Y1001</f>
      </c>
      <c r="AE1001" s="7">
        <f>AA1001/39.3701</f>
      </c>
      <c r="AF1001" s="7">
        <f>AB1001/39.3701</f>
      </c>
      <c r="AG1001" s="7">
        <f>AC1001/39.3701</f>
      </c>
      <c r="AH1001" s="7">
        <f>AD1001/39.3701</f>
      </c>
      <c r="AI1001" s="1"/>
      <c r="AJ1001" s="1"/>
      <c r="AK1001" s="1"/>
      <c r="AL1001" s="1"/>
      <c r="AM1001" s="2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"/>
      <c r="BB1001" s="1"/>
      <c r="BC1001" s="1"/>
      <c r="BD1001" s="1"/>
      <c r="BE1001" s="1"/>
    </row>
    <row x14ac:dyDescent="0.25" r="1002" customHeight="1" ht="18.75">
      <c r="A1002" s="1"/>
      <c r="B1002" s="2"/>
      <c r="C1002" s="2"/>
      <c r="D1002" s="2"/>
      <c r="E1002" s="2"/>
      <c r="F1002" s="2"/>
      <c r="G1002" s="1"/>
      <c r="H1002" s="1"/>
      <c r="I1002" s="7">
        <v>0.999</v>
      </c>
      <c r="J1002" s="7">
        <f>IF((I1002-ROUNDDOWN(I1002,0))=0, 0, (I1002-ROUNDDOWN(I1002,0)))</f>
      </c>
      <c r="K1002" s="7">
        <f>INDIRECT("C$"&amp;2+MIN(2,ROUNDDOWN(I1002,0))*3)*(-$J1002^3+3*$J1002^2-3*$J1002+1)+INDIRECT("C$"&amp;3+MIN(2,ROUNDDOWN(I1002,0))*3)*(3*$J1002^3-6*$J1002^2+3*$J1002)+INDIRECT("C$"&amp;4+MIN(2,ROUNDDOWN(I1002,0))*3)*(-3*$J1002^3+3*$J1002^2)+INDIRECT("C$"&amp;5+MIN(2,ROUNDDOWN(I1002,0))*3)*$J1002^3</f>
      </c>
      <c r="L1002" s="7">
        <f>INDIRECT("D$"&amp;2+MIN(2,ROUNDDOWN(I1002,0))*3)*(-$J1002^3+3*$J1002^2-3*$J1002+1)+INDIRECT("D$"&amp;3+MIN(2,ROUNDDOWN(I1002,0))*3)*(3*$J1002^3-6*$J1002^2+3*$J1002)+INDIRECT("D$"&amp;4+MIN(2,ROUNDDOWN(I1002,0))*3)*(-3*$J1002^3+3*$J1002^2)+INDIRECT("D$"&amp;5+MIN(2,ROUNDDOWN(I1002,0))*3)*$J1002^3</f>
      </c>
      <c r="M1002" s="7">
        <f>SQRT(K1002^2+L1002^2)</f>
      </c>
      <c r="N1002" s="7">
        <f>(K1003-K1001)</f>
      </c>
      <c r="O1002" s="7">
        <f>+(L1003-L1001)</f>
      </c>
      <c r="P1002" s="7">
        <f>SQRT(O1002^2+N1002^2)</f>
      </c>
      <c r="Q1002" s="7">
        <f>N1002/$P1002</f>
      </c>
      <c r="R1002" s="7">
        <f>O1002/$P1002</f>
      </c>
      <c r="S1002" s="7">
        <f>Q1002^2+R1002^2</f>
      </c>
      <c r="T1002" s="7">
        <f>-R1002</f>
      </c>
      <c r="U1002" s="7">
        <f>Q1002</f>
      </c>
      <c r="V1002" s="7">
        <f>($C$14+($C$15-$C$14)/($D$15-$D$14)*(I1002-$D$14))/2</f>
      </c>
      <c r="W1002" s="7">
        <f>($B$22*I1002^4+$C$22*I1002^3+$D$22*I1002^2+$E$22*I1002+$F$22)/2</f>
      </c>
      <c r="X1002" s="7">
        <f>($W1002)*(T1002)</f>
      </c>
      <c r="Y1002" s="7">
        <f>($W1002)*(U1002)</f>
      </c>
      <c r="Z1002" s="7">
        <f>SQRT(X1002^2+Y1002^2)</f>
      </c>
      <c r="AA1002" s="7">
        <f>$K1002+$X1002</f>
      </c>
      <c r="AB1002" s="7">
        <f>$L1002+$Y1002</f>
      </c>
      <c r="AC1002" s="7">
        <f>$K1002-$X1002</f>
      </c>
      <c r="AD1002" s="7">
        <f>$L1002-$Y1002</f>
      </c>
      <c r="AE1002" s="7">
        <f>AA1002/39.3701</f>
      </c>
      <c r="AF1002" s="7">
        <f>AB1002/39.3701</f>
      </c>
      <c r="AG1002" s="7">
        <f>AC1002/39.3701</f>
      </c>
      <c r="AH1002" s="7">
        <f>AD1002/39.3701</f>
      </c>
      <c r="AI1002" s="1"/>
      <c r="AJ1002" s="1"/>
      <c r="AK1002" s="1"/>
      <c r="AL1002" s="1"/>
      <c r="AM1002" s="2"/>
      <c r="AN1002" s="1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  <c r="BA1002" s="1"/>
      <c r="BB1002" s="1"/>
      <c r="BC1002" s="1"/>
      <c r="BD1002" s="1"/>
      <c r="BE1002" s="1"/>
    </row>
    <row x14ac:dyDescent="0.25" r="1003" customHeight="1" ht="18.75">
      <c r="A1003" s="1"/>
      <c r="B1003" s="2"/>
      <c r="C1003" s="2"/>
      <c r="D1003" s="2"/>
      <c r="E1003" s="2"/>
      <c r="F1003" s="2"/>
      <c r="G1003" s="1"/>
      <c r="H1003" s="1"/>
      <c r="I1003" s="8">
        <v>1</v>
      </c>
      <c r="J1003" s="8">
        <f>IF((I1003-ROUNDDOWN(I1003,0))=0, 0, (I1003-ROUNDDOWN(I1003,0)))</f>
      </c>
      <c r="K1003" s="7">
        <f>INDIRECT("C$"&amp;2+MIN(2,ROUNDDOWN(I1003,0))*3)*(-$J1003^3+3*$J1003^2-3*$J1003+1)+INDIRECT("C$"&amp;3+MIN(2,ROUNDDOWN(I1003,0))*3)*(3*$J1003^3-6*$J1003^2+3*$J1003)+INDIRECT("C$"&amp;4+MIN(2,ROUNDDOWN(I1003,0))*3)*(-3*$J1003^3+3*$J1003^2)+INDIRECT("C$"&amp;5+MIN(2,ROUNDDOWN(I1003,0))*3)*$J1003^3</f>
      </c>
      <c r="L1003" s="7">
        <f>INDIRECT("D$"&amp;2+MIN(2,ROUNDDOWN(I1003,0))*3)*(-$J1003^3+3*$J1003^2-3*$J1003+1)+INDIRECT("D$"&amp;3+MIN(2,ROUNDDOWN(I1003,0))*3)*(3*$J1003^3-6*$J1003^2+3*$J1003)+INDIRECT("D$"&amp;4+MIN(2,ROUNDDOWN(I1003,0))*3)*(-3*$J1003^3+3*$J1003^2)+INDIRECT("D$"&amp;5+MIN(2,ROUNDDOWN(I1003,0))*3)*$J1003^3</f>
      </c>
      <c r="M1003" s="7">
        <f>SQRT(K1003^2+L1003^2)</f>
      </c>
      <c r="N1003" s="7">
        <f>(K1004-K1002)</f>
      </c>
      <c r="O1003" s="7">
        <f>+(L1004-L1002)</f>
      </c>
      <c r="P1003" s="7">
        <f>SQRT(O1003^2+N1003^2)</f>
      </c>
      <c r="Q1003" s="7">
        <f>N1003/$P1003</f>
      </c>
      <c r="R1003" s="7">
        <f>O1003/$P1003</f>
      </c>
      <c r="S1003" s="8">
        <f>Q1003^2+R1003^2</f>
      </c>
      <c r="T1003" s="7">
        <f>-R1003</f>
      </c>
      <c r="U1003" s="7">
        <f>Q1003</f>
      </c>
      <c r="V1003" s="7">
        <f>($C$14+($C$15-$C$14)/($D$15-$D$14)*(I1003-$D$14))/2</f>
      </c>
      <c r="W1003" s="7">
        <f>($B$22*I1003^4+$C$22*I1003^3+$D$22*I1003^2+$E$22*I1003+$F$22)/2</f>
      </c>
      <c r="X1003" s="7">
        <f>($W1003)*(T1003)</f>
      </c>
      <c r="Y1003" s="7">
        <f>($W1003)*(U1003)</f>
      </c>
      <c r="Z1003" s="7">
        <f>SQRT(X1003^2+Y1003^2)</f>
      </c>
      <c r="AA1003" s="7">
        <f>$K1003+$X1003</f>
      </c>
      <c r="AB1003" s="7">
        <f>$L1003+$Y1003</f>
      </c>
      <c r="AC1003" s="7">
        <f>$K1003-$X1003</f>
      </c>
      <c r="AD1003" s="7">
        <f>$L1003-$Y1003</f>
      </c>
      <c r="AE1003" s="7">
        <f>AA1003/39.3701</f>
      </c>
      <c r="AF1003" s="7">
        <f>AB1003/39.3701</f>
      </c>
      <c r="AG1003" s="7">
        <f>AC1003/39.3701</f>
      </c>
      <c r="AH1003" s="7">
        <f>AD1003/39.3701</f>
      </c>
      <c r="AI1003" s="1"/>
      <c r="AJ1003" s="1"/>
      <c r="AK1003" s="1"/>
      <c r="AL1003" s="1"/>
      <c r="AM1003" s="2"/>
      <c r="AN1003" s="1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  <c r="BA1003" s="1"/>
      <c r="BB1003" s="1"/>
      <c r="BC1003" s="1"/>
      <c r="BD1003" s="1"/>
      <c r="BE1003" s="1"/>
    </row>
    <row x14ac:dyDescent="0.25" r="1004" customHeight="1" ht="18.75">
      <c r="A1004" s="1"/>
      <c r="B1004" s="2"/>
      <c r="C1004" s="2"/>
      <c r="D1004" s="2"/>
      <c r="E1004" s="2"/>
      <c r="F1004" s="2"/>
      <c r="G1004" s="1"/>
      <c r="H1004" s="1"/>
      <c r="I1004" s="7">
        <v>1.001</v>
      </c>
      <c r="J1004" s="7">
        <f>IF((I1004-ROUNDDOWN(I1004,0))=0, 0, (I1004-ROUNDDOWN(I1004,0)))</f>
      </c>
      <c r="K1004" s="7">
        <f>INDIRECT("C$"&amp;2+MIN(2,ROUNDDOWN(I1004,0))*3)*(-$J1004^3+3*$J1004^2-3*$J1004+1)+INDIRECT("C$"&amp;3+MIN(2,ROUNDDOWN(I1004,0))*3)*(3*$J1004^3-6*$J1004^2+3*$J1004)+INDIRECT("C$"&amp;4+MIN(2,ROUNDDOWN(I1004,0))*3)*(-3*$J1004^3+3*$J1004^2)+INDIRECT("C$"&amp;5+MIN(2,ROUNDDOWN(I1004,0))*3)*$J1004^3</f>
      </c>
      <c r="L1004" s="7">
        <f>INDIRECT("D$"&amp;2+MIN(2,ROUNDDOWN(I1004,0))*3)*(-$J1004^3+3*$J1004^2-3*$J1004+1)+INDIRECT("D$"&amp;3+MIN(2,ROUNDDOWN(I1004,0))*3)*(3*$J1004^3-6*$J1004^2+3*$J1004)+INDIRECT("D$"&amp;4+MIN(2,ROUNDDOWN(I1004,0))*3)*(-3*$J1004^3+3*$J1004^2)+INDIRECT("D$"&amp;5+MIN(2,ROUNDDOWN(I1004,0))*3)*$J1004^3</f>
      </c>
      <c r="M1004" s="7">
        <f>SQRT(K1004^2+L1004^2)</f>
      </c>
      <c r="N1004" s="7">
        <f>(K1005-K1003)</f>
      </c>
      <c r="O1004" s="7">
        <f>+(L1005-L1003)</f>
      </c>
      <c r="P1004" s="7">
        <f>SQRT(O1004^2+N1004^2)</f>
      </c>
      <c r="Q1004" s="7">
        <f>N1004/$P1004</f>
      </c>
      <c r="R1004" s="7">
        <f>O1004/$P1004</f>
      </c>
      <c r="S1004" s="8">
        <f>Q1004^2+R1004^2</f>
      </c>
      <c r="T1004" s="7">
        <f>-R1004</f>
      </c>
      <c r="U1004" s="7">
        <f>Q1004</f>
      </c>
      <c r="V1004" s="7">
        <f>($C$14+($C$15-$C$14)/($D$15-$D$14)*(I1004-$D$14))/2</f>
      </c>
      <c r="W1004" s="7">
        <f>($B$22*I1004^4+$C$22*I1004^3+$D$22*I1004^2+$E$22*I1004+$F$22)/2</f>
      </c>
      <c r="X1004" s="7">
        <f>($W1004)*(T1004)</f>
      </c>
      <c r="Y1004" s="7">
        <f>($W1004)*(U1004)</f>
      </c>
      <c r="Z1004" s="7">
        <f>SQRT(X1004^2+Y1004^2)</f>
      </c>
      <c r="AA1004" s="7">
        <f>$K1004+$X1004</f>
      </c>
      <c r="AB1004" s="7">
        <f>$L1004+$Y1004</f>
      </c>
      <c r="AC1004" s="7">
        <f>$K1004-$X1004</f>
      </c>
      <c r="AD1004" s="7">
        <f>$L1004-$Y1004</f>
      </c>
      <c r="AE1004" s="7">
        <f>AA1004/39.3701</f>
      </c>
      <c r="AF1004" s="7">
        <f>AB1004/39.3701</f>
      </c>
      <c r="AG1004" s="7">
        <f>AC1004/39.3701</f>
      </c>
      <c r="AH1004" s="7">
        <f>AD1004/39.3701</f>
      </c>
      <c r="AI1004" s="1"/>
      <c r="AJ1004" s="1"/>
      <c r="AK1004" s="1"/>
      <c r="AL1004" s="1"/>
      <c r="AM1004" s="2"/>
      <c r="AN1004" s="1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  <c r="BA1004" s="1"/>
      <c r="BB1004" s="1"/>
      <c r="BC1004" s="1"/>
      <c r="BD1004" s="1"/>
      <c r="BE1004" s="1"/>
    </row>
    <row x14ac:dyDescent="0.25" r="1005" customHeight="1" ht="18.75">
      <c r="A1005" s="1"/>
      <c r="B1005" s="2"/>
      <c r="C1005" s="2"/>
      <c r="D1005" s="2"/>
      <c r="E1005" s="2"/>
      <c r="F1005" s="2"/>
      <c r="G1005" s="1"/>
      <c r="H1005" s="1"/>
      <c r="I1005" s="7">
        <v>1.002</v>
      </c>
      <c r="J1005" s="7">
        <f>IF((I1005-ROUNDDOWN(I1005,0))=0, 0, (I1005-ROUNDDOWN(I1005,0)))</f>
      </c>
      <c r="K1005" s="7">
        <f>INDIRECT("C$"&amp;2+MIN(2,ROUNDDOWN(I1005,0))*3)*(-$J1005^3+3*$J1005^2-3*$J1005+1)+INDIRECT("C$"&amp;3+MIN(2,ROUNDDOWN(I1005,0))*3)*(3*$J1005^3-6*$J1005^2+3*$J1005)+INDIRECT("C$"&amp;4+MIN(2,ROUNDDOWN(I1005,0))*3)*(-3*$J1005^3+3*$J1005^2)+INDIRECT("C$"&amp;5+MIN(2,ROUNDDOWN(I1005,0))*3)*$J1005^3</f>
      </c>
      <c r="L1005" s="7">
        <f>INDIRECT("D$"&amp;2+MIN(2,ROUNDDOWN(I1005,0))*3)*(-$J1005^3+3*$J1005^2-3*$J1005+1)+INDIRECT("D$"&amp;3+MIN(2,ROUNDDOWN(I1005,0))*3)*(3*$J1005^3-6*$J1005^2+3*$J1005)+INDIRECT("D$"&amp;4+MIN(2,ROUNDDOWN(I1005,0))*3)*(-3*$J1005^3+3*$J1005^2)+INDIRECT("D$"&amp;5+MIN(2,ROUNDDOWN(I1005,0))*3)*$J1005^3</f>
      </c>
      <c r="M1005" s="7">
        <f>SQRT(K1005^2+L1005^2)</f>
      </c>
      <c r="N1005" s="7">
        <f>(K1006-K1004)</f>
      </c>
      <c r="O1005" s="7">
        <f>+(L1006-L1004)</f>
      </c>
      <c r="P1005" s="7">
        <f>SQRT(O1005^2+N1005^2)</f>
      </c>
      <c r="Q1005" s="7">
        <f>N1005/$P1005</f>
      </c>
      <c r="R1005" s="7">
        <f>O1005/$P1005</f>
      </c>
      <c r="S1005" s="8">
        <f>Q1005^2+R1005^2</f>
      </c>
      <c r="T1005" s="7">
        <f>-R1005</f>
      </c>
      <c r="U1005" s="7">
        <f>Q1005</f>
      </c>
      <c r="V1005" s="7">
        <f>($C$14+($C$15-$C$14)/($D$15-$D$14)*(I1005-$D$14))/2</f>
      </c>
      <c r="W1005" s="7">
        <f>($B$22*I1005^4+$C$22*I1005^3+$D$22*I1005^2+$E$22*I1005+$F$22)/2</f>
      </c>
      <c r="X1005" s="7">
        <f>($W1005)*(T1005)</f>
      </c>
      <c r="Y1005" s="7">
        <f>($W1005)*(U1005)</f>
      </c>
      <c r="Z1005" s="7">
        <f>SQRT(X1005^2+Y1005^2)</f>
      </c>
      <c r="AA1005" s="7">
        <f>$K1005+$X1005</f>
      </c>
      <c r="AB1005" s="7">
        <f>$L1005+$Y1005</f>
      </c>
      <c r="AC1005" s="7">
        <f>$K1005-$X1005</f>
      </c>
      <c r="AD1005" s="7">
        <f>$L1005-$Y1005</f>
      </c>
      <c r="AE1005" s="7">
        <f>AA1005/39.3701</f>
      </c>
      <c r="AF1005" s="7">
        <f>AB1005/39.3701</f>
      </c>
      <c r="AG1005" s="7">
        <f>AC1005/39.3701</f>
      </c>
      <c r="AH1005" s="7">
        <f>AD1005/39.3701</f>
      </c>
      <c r="AI1005" s="1"/>
      <c r="AJ1005" s="1"/>
      <c r="AK1005" s="1"/>
      <c r="AL1005" s="1"/>
      <c r="AM1005" s="2"/>
      <c r="AN1005" s="1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  <c r="BA1005" s="1"/>
      <c r="BB1005" s="1"/>
      <c r="BC1005" s="1"/>
      <c r="BD1005" s="1"/>
      <c r="BE1005" s="1"/>
    </row>
    <row x14ac:dyDescent="0.25" r="1006" customHeight="1" ht="18.75">
      <c r="A1006" s="1"/>
      <c r="B1006" s="2"/>
      <c r="C1006" s="2"/>
      <c r="D1006" s="2"/>
      <c r="E1006" s="2"/>
      <c r="F1006" s="2"/>
      <c r="G1006" s="1"/>
      <c r="H1006" s="1"/>
      <c r="I1006" s="7">
        <v>1.003</v>
      </c>
      <c r="J1006" s="7">
        <f>IF((I1006-ROUNDDOWN(I1006,0))=0, 0, (I1006-ROUNDDOWN(I1006,0)))</f>
      </c>
      <c r="K1006" s="7">
        <f>INDIRECT("C$"&amp;2+MIN(2,ROUNDDOWN(I1006,0))*3)*(-$J1006^3+3*$J1006^2-3*$J1006+1)+INDIRECT("C$"&amp;3+MIN(2,ROUNDDOWN(I1006,0))*3)*(3*$J1006^3-6*$J1006^2+3*$J1006)+INDIRECT("C$"&amp;4+MIN(2,ROUNDDOWN(I1006,0))*3)*(-3*$J1006^3+3*$J1006^2)+INDIRECT("C$"&amp;5+MIN(2,ROUNDDOWN(I1006,0))*3)*$J1006^3</f>
      </c>
      <c r="L1006" s="7">
        <f>INDIRECT("D$"&amp;2+MIN(2,ROUNDDOWN(I1006,0))*3)*(-$J1006^3+3*$J1006^2-3*$J1006+1)+INDIRECT("D$"&amp;3+MIN(2,ROUNDDOWN(I1006,0))*3)*(3*$J1006^3-6*$J1006^2+3*$J1006)+INDIRECT("D$"&amp;4+MIN(2,ROUNDDOWN(I1006,0))*3)*(-3*$J1006^3+3*$J1006^2)+INDIRECT("D$"&amp;5+MIN(2,ROUNDDOWN(I1006,0))*3)*$J1006^3</f>
      </c>
      <c r="M1006" s="7">
        <f>SQRT(K1006^2+L1006^2)</f>
      </c>
      <c r="N1006" s="7">
        <f>(K1007-K1005)</f>
      </c>
      <c r="O1006" s="7">
        <f>+(L1007-L1005)</f>
      </c>
      <c r="P1006" s="7">
        <f>SQRT(O1006^2+N1006^2)</f>
      </c>
      <c r="Q1006" s="7">
        <f>N1006/$P1006</f>
      </c>
      <c r="R1006" s="7">
        <f>O1006/$P1006</f>
      </c>
      <c r="S1006" s="7">
        <f>Q1006^2+R1006^2</f>
      </c>
      <c r="T1006" s="7">
        <f>-R1006</f>
      </c>
      <c r="U1006" s="7">
        <f>Q1006</f>
      </c>
      <c r="V1006" s="7">
        <f>($C$14+($C$15-$C$14)/($D$15-$D$14)*(I1006-$D$14))/2</f>
      </c>
      <c r="W1006" s="7">
        <f>($B$22*I1006^4+$C$22*I1006^3+$D$22*I1006^2+$E$22*I1006+$F$22)/2</f>
      </c>
      <c r="X1006" s="7">
        <f>($W1006)*(T1006)</f>
      </c>
      <c r="Y1006" s="7">
        <f>($W1006)*(U1006)</f>
      </c>
      <c r="Z1006" s="7">
        <f>SQRT(X1006^2+Y1006^2)</f>
      </c>
      <c r="AA1006" s="7">
        <f>$K1006+$X1006</f>
      </c>
      <c r="AB1006" s="7">
        <f>$L1006+$Y1006</f>
      </c>
      <c r="AC1006" s="7">
        <f>$K1006-$X1006</f>
      </c>
      <c r="AD1006" s="7">
        <f>$L1006-$Y1006</f>
      </c>
      <c r="AE1006" s="7">
        <f>AA1006/39.3701</f>
      </c>
      <c r="AF1006" s="7">
        <f>AB1006/39.3701</f>
      </c>
      <c r="AG1006" s="7">
        <f>AC1006/39.3701</f>
      </c>
      <c r="AH1006" s="7">
        <f>AD1006/39.3701</f>
      </c>
      <c r="AI1006" s="1"/>
      <c r="AJ1006" s="1"/>
      <c r="AK1006" s="1"/>
      <c r="AL1006" s="1"/>
      <c r="AM1006" s="2"/>
      <c r="AN1006" s="1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  <c r="BA1006" s="1"/>
      <c r="BB1006" s="1"/>
      <c r="BC1006" s="1"/>
      <c r="BD1006" s="1"/>
      <c r="BE1006" s="1"/>
    </row>
    <row x14ac:dyDescent="0.25" r="1007" customHeight="1" ht="18.75">
      <c r="A1007" s="1"/>
      <c r="B1007" s="2"/>
      <c r="C1007" s="2"/>
      <c r="D1007" s="2"/>
      <c r="E1007" s="2"/>
      <c r="F1007" s="2"/>
      <c r="G1007" s="1"/>
      <c r="H1007" s="1"/>
      <c r="I1007" s="7">
        <v>1.004</v>
      </c>
      <c r="J1007" s="7">
        <f>IF((I1007-ROUNDDOWN(I1007,0))=0, 0, (I1007-ROUNDDOWN(I1007,0)))</f>
      </c>
      <c r="K1007" s="7">
        <f>INDIRECT("C$"&amp;2+MIN(2,ROUNDDOWN(I1007,0))*3)*(-$J1007^3+3*$J1007^2-3*$J1007+1)+INDIRECT("C$"&amp;3+MIN(2,ROUNDDOWN(I1007,0))*3)*(3*$J1007^3-6*$J1007^2+3*$J1007)+INDIRECT("C$"&amp;4+MIN(2,ROUNDDOWN(I1007,0))*3)*(-3*$J1007^3+3*$J1007^2)+INDIRECT("C$"&amp;5+MIN(2,ROUNDDOWN(I1007,0))*3)*$J1007^3</f>
      </c>
      <c r="L1007" s="7">
        <f>INDIRECT("D$"&amp;2+MIN(2,ROUNDDOWN(I1007,0))*3)*(-$J1007^3+3*$J1007^2-3*$J1007+1)+INDIRECT("D$"&amp;3+MIN(2,ROUNDDOWN(I1007,0))*3)*(3*$J1007^3-6*$J1007^2+3*$J1007)+INDIRECT("D$"&amp;4+MIN(2,ROUNDDOWN(I1007,0))*3)*(-3*$J1007^3+3*$J1007^2)+INDIRECT("D$"&amp;5+MIN(2,ROUNDDOWN(I1007,0))*3)*$J1007^3</f>
      </c>
      <c r="M1007" s="7">
        <f>SQRT(K1007^2+L1007^2)</f>
      </c>
      <c r="N1007" s="7">
        <f>(K1008-K1006)</f>
      </c>
      <c r="O1007" s="7">
        <f>+(L1008-L1006)</f>
      </c>
      <c r="P1007" s="7">
        <f>SQRT(O1007^2+N1007^2)</f>
      </c>
      <c r="Q1007" s="7">
        <f>N1007/$P1007</f>
      </c>
      <c r="R1007" s="7">
        <f>O1007/$P1007</f>
      </c>
      <c r="S1007" s="7">
        <f>Q1007^2+R1007^2</f>
      </c>
      <c r="T1007" s="7">
        <f>-R1007</f>
      </c>
      <c r="U1007" s="7">
        <f>Q1007</f>
      </c>
      <c r="V1007" s="7">
        <f>($C$14+($C$15-$C$14)/($D$15-$D$14)*(I1007-$D$14))/2</f>
      </c>
      <c r="W1007" s="7">
        <f>($B$22*I1007^4+$C$22*I1007^3+$D$22*I1007^2+$E$22*I1007+$F$22)/2</f>
      </c>
      <c r="X1007" s="7">
        <f>($W1007)*(T1007)</f>
      </c>
      <c r="Y1007" s="7">
        <f>($W1007)*(U1007)</f>
      </c>
      <c r="Z1007" s="7">
        <f>SQRT(X1007^2+Y1007^2)</f>
      </c>
      <c r="AA1007" s="7">
        <f>$K1007+$X1007</f>
      </c>
      <c r="AB1007" s="7">
        <f>$L1007+$Y1007</f>
      </c>
      <c r="AC1007" s="7">
        <f>$K1007-$X1007</f>
      </c>
      <c r="AD1007" s="7">
        <f>$L1007-$Y1007</f>
      </c>
      <c r="AE1007" s="7">
        <f>AA1007/39.3701</f>
      </c>
      <c r="AF1007" s="7">
        <f>AB1007/39.3701</f>
      </c>
      <c r="AG1007" s="7">
        <f>AC1007/39.3701</f>
      </c>
      <c r="AH1007" s="7">
        <f>AD1007/39.3701</f>
      </c>
      <c r="AI1007" s="1"/>
      <c r="AJ1007" s="1"/>
      <c r="AK1007" s="1"/>
      <c r="AL1007" s="1"/>
      <c r="AM1007" s="2"/>
      <c r="AN1007" s="1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  <c r="BA1007" s="1"/>
      <c r="BB1007" s="1"/>
      <c r="BC1007" s="1"/>
      <c r="BD1007" s="1"/>
      <c r="BE1007" s="1"/>
    </row>
    <row x14ac:dyDescent="0.25" r="1008" customHeight="1" ht="18.75">
      <c r="A1008" s="1"/>
      <c r="B1008" s="2"/>
      <c r="C1008" s="2"/>
      <c r="D1008" s="2"/>
      <c r="E1008" s="2"/>
      <c r="F1008" s="2"/>
      <c r="G1008" s="1"/>
      <c r="H1008" s="1"/>
      <c r="I1008" s="7">
        <v>1.005</v>
      </c>
      <c r="J1008" s="7">
        <f>IF((I1008-ROUNDDOWN(I1008,0))=0, 0, (I1008-ROUNDDOWN(I1008,0)))</f>
      </c>
      <c r="K1008" s="7">
        <f>INDIRECT("C$"&amp;2+MIN(2,ROUNDDOWN(I1008,0))*3)*(-$J1008^3+3*$J1008^2-3*$J1008+1)+INDIRECT("C$"&amp;3+MIN(2,ROUNDDOWN(I1008,0))*3)*(3*$J1008^3-6*$J1008^2+3*$J1008)+INDIRECT("C$"&amp;4+MIN(2,ROUNDDOWN(I1008,0))*3)*(-3*$J1008^3+3*$J1008^2)+INDIRECT("C$"&amp;5+MIN(2,ROUNDDOWN(I1008,0))*3)*$J1008^3</f>
      </c>
      <c r="L1008" s="7">
        <f>INDIRECT("D$"&amp;2+MIN(2,ROUNDDOWN(I1008,0))*3)*(-$J1008^3+3*$J1008^2-3*$J1008+1)+INDIRECT("D$"&amp;3+MIN(2,ROUNDDOWN(I1008,0))*3)*(3*$J1008^3-6*$J1008^2+3*$J1008)+INDIRECT("D$"&amp;4+MIN(2,ROUNDDOWN(I1008,0))*3)*(-3*$J1008^3+3*$J1008^2)+INDIRECT("D$"&amp;5+MIN(2,ROUNDDOWN(I1008,0))*3)*$J1008^3</f>
      </c>
      <c r="M1008" s="7">
        <f>SQRT(K1008^2+L1008^2)</f>
      </c>
      <c r="N1008" s="7">
        <f>(K1009-K1007)</f>
      </c>
      <c r="O1008" s="7">
        <f>+(L1009-L1007)</f>
      </c>
      <c r="P1008" s="7">
        <f>SQRT(O1008^2+N1008^2)</f>
      </c>
      <c r="Q1008" s="7">
        <f>N1008/$P1008</f>
      </c>
      <c r="R1008" s="7">
        <f>O1008/$P1008</f>
      </c>
      <c r="S1008" s="7">
        <f>Q1008^2+R1008^2</f>
      </c>
      <c r="T1008" s="7">
        <f>-R1008</f>
      </c>
      <c r="U1008" s="7">
        <f>Q1008</f>
      </c>
      <c r="V1008" s="7">
        <f>($C$14+($C$15-$C$14)/($D$15-$D$14)*(I1008-$D$14))/2</f>
      </c>
      <c r="W1008" s="7">
        <f>($B$22*I1008^4+$C$22*I1008^3+$D$22*I1008^2+$E$22*I1008+$F$22)/2</f>
      </c>
      <c r="X1008" s="7">
        <f>($W1008)*(T1008)</f>
      </c>
      <c r="Y1008" s="7">
        <f>($W1008)*(U1008)</f>
      </c>
      <c r="Z1008" s="7">
        <f>SQRT(X1008^2+Y1008^2)</f>
      </c>
      <c r="AA1008" s="7">
        <f>$K1008+$X1008</f>
      </c>
      <c r="AB1008" s="7">
        <f>$L1008+$Y1008</f>
      </c>
      <c r="AC1008" s="7">
        <f>$K1008-$X1008</f>
      </c>
      <c r="AD1008" s="7">
        <f>$L1008-$Y1008</f>
      </c>
      <c r="AE1008" s="7">
        <f>AA1008/39.3701</f>
      </c>
      <c r="AF1008" s="7">
        <f>AB1008/39.3701</f>
      </c>
      <c r="AG1008" s="7">
        <f>AC1008/39.3701</f>
      </c>
      <c r="AH1008" s="7">
        <f>AD1008/39.3701</f>
      </c>
      <c r="AI1008" s="1"/>
      <c r="AJ1008" s="1"/>
      <c r="AK1008" s="1"/>
      <c r="AL1008" s="1"/>
      <c r="AM1008" s="2"/>
      <c r="AN1008" s="1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  <c r="BA1008" s="1"/>
      <c r="BB1008" s="1"/>
      <c r="BC1008" s="1"/>
      <c r="BD1008" s="1"/>
      <c r="BE1008" s="1"/>
    </row>
    <row x14ac:dyDescent="0.25" r="1009" customHeight="1" ht="18.75">
      <c r="A1009" s="1"/>
      <c r="B1009" s="2"/>
      <c r="C1009" s="2"/>
      <c r="D1009" s="2"/>
      <c r="E1009" s="2"/>
      <c r="F1009" s="2"/>
      <c r="G1009" s="1"/>
      <c r="H1009" s="1"/>
      <c r="I1009" s="7">
        <v>1.006</v>
      </c>
      <c r="J1009" s="7">
        <f>IF((I1009-ROUNDDOWN(I1009,0))=0, 0, (I1009-ROUNDDOWN(I1009,0)))</f>
      </c>
      <c r="K1009" s="7">
        <f>INDIRECT("C$"&amp;2+MIN(2,ROUNDDOWN(I1009,0))*3)*(-$J1009^3+3*$J1009^2-3*$J1009+1)+INDIRECT("C$"&amp;3+MIN(2,ROUNDDOWN(I1009,0))*3)*(3*$J1009^3-6*$J1009^2+3*$J1009)+INDIRECT("C$"&amp;4+MIN(2,ROUNDDOWN(I1009,0))*3)*(-3*$J1009^3+3*$J1009^2)+INDIRECT("C$"&amp;5+MIN(2,ROUNDDOWN(I1009,0))*3)*$J1009^3</f>
      </c>
      <c r="L1009" s="7">
        <f>INDIRECT("D$"&amp;2+MIN(2,ROUNDDOWN(I1009,0))*3)*(-$J1009^3+3*$J1009^2-3*$J1009+1)+INDIRECT("D$"&amp;3+MIN(2,ROUNDDOWN(I1009,0))*3)*(3*$J1009^3-6*$J1009^2+3*$J1009)+INDIRECT("D$"&amp;4+MIN(2,ROUNDDOWN(I1009,0))*3)*(-3*$J1009^3+3*$J1009^2)+INDIRECT("D$"&amp;5+MIN(2,ROUNDDOWN(I1009,0))*3)*$J1009^3</f>
      </c>
      <c r="M1009" s="7">
        <f>SQRT(K1009^2+L1009^2)</f>
      </c>
      <c r="N1009" s="7">
        <f>(K1010-K1008)</f>
      </c>
      <c r="O1009" s="7">
        <f>+(L1010-L1008)</f>
      </c>
      <c r="P1009" s="7">
        <f>SQRT(O1009^2+N1009^2)</f>
      </c>
      <c r="Q1009" s="7">
        <f>N1009/$P1009</f>
      </c>
      <c r="R1009" s="7">
        <f>O1009/$P1009</f>
      </c>
      <c r="S1009" s="8">
        <f>Q1009^2+R1009^2</f>
      </c>
      <c r="T1009" s="7">
        <f>-R1009</f>
      </c>
      <c r="U1009" s="7">
        <f>Q1009</f>
      </c>
      <c r="V1009" s="7">
        <f>($C$14+($C$15-$C$14)/($D$15-$D$14)*(I1009-$D$14))/2</f>
      </c>
      <c r="W1009" s="7">
        <f>($B$22*I1009^4+$C$22*I1009^3+$D$22*I1009^2+$E$22*I1009+$F$22)/2</f>
      </c>
      <c r="X1009" s="7">
        <f>($W1009)*(T1009)</f>
      </c>
      <c r="Y1009" s="7">
        <f>($W1009)*(U1009)</f>
      </c>
      <c r="Z1009" s="7">
        <f>SQRT(X1009^2+Y1009^2)</f>
      </c>
      <c r="AA1009" s="7">
        <f>$K1009+$X1009</f>
      </c>
      <c r="AB1009" s="7">
        <f>$L1009+$Y1009</f>
      </c>
      <c r="AC1009" s="7">
        <f>$K1009-$X1009</f>
      </c>
      <c r="AD1009" s="7">
        <f>$L1009-$Y1009</f>
      </c>
      <c r="AE1009" s="7">
        <f>AA1009/39.3701</f>
      </c>
      <c r="AF1009" s="7">
        <f>AB1009/39.3701</f>
      </c>
      <c r="AG1009" s="7">
        <f>AC1009/39.3701</f>
      </c>
      <c r="AH1009" s="7">
        <f>AD1009/39.3701</f>
      </c>
      <c r="AI1009" s="1"/>
      <c r="AJ1009" s="1"/>
      <c r="AK1009" s="1"/>
      <c r="AL1009" s="1"/>
      <c r="AM1009" s="2"/>
      <c r="AN1009" s="1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  <c r="BA1009" s="1"/>
      <c r="BB1009" s="1"/>
      <c r="BC1009" s="1"/>
      <c r="BD1009" s="1"/>
      <c r="BE1009" s="1"/>
    </row>
    <row x14ac:dyDescent="0.25" r="1010" customHeight="1" ht="18.75">
      <c r="A1010" s="1"/>
      <c r="B1010" s="2"/>
      <c r="C1010" s="2"/>
      <c r="D1010" s="2"/>
      <c r="E1010" s="2"/>
      <c r="F1010" s="2"/>
      <c r="G1010" s="1"/>
      <c r="H1010" s="1"/>
      <c r="I1010" s="7">
        <v>1.007</v>
      </c>
      <c r="J1010" s="7">
        <f>IF((I1010-ROUNDDOWN(I1010,0))=0, 0, (I1010-ROUNDDOWN(I1010,0)))</f>
      </c>
      <c r="K1010" s="7">
        <f>INDIRECT("C$"&amp;2+MIN(2,ROUNDDOWN(I1010,0))*3)*(-$J1010^3+3*$J1010^2-3*$J1010+1)+INDIRECT("C$"&amp;3+MIN(2,ROUNDDOWN(I1010,0))*3)*(3*$J1010^3-6*$J1010^2+3*$J1010)+INDIRECT("C$"&amp;4+MIN(2,ROUNDDOWN(I1010,0))*3)*(-3*$J1010^3+3*$J1010^2)+INDIRECT("C$"&amp;5+MIN(2,ROUNDDOWN(I1010,0))*3)*$J1010^3</f>
      </c>
      <c r="L1010" s="7">
        <f>INDIRECT("D$"&amp;2+MIN(2,ROUNDDOWN(I1010,0))*3)*(-$J1010^3+3*$J1010^2-3*$J1010+1)+INDIRECT("D$"&amp;3+MIN(2,ROUNDDOWN(I1010,0))*3)*(3*$J1010^3-6*$J1010^2+3*$J1010)+INDIRECT("D$"&amp;4+MIN(2,ROUNDDOWN(I1010,0))*3)*(-3*$J1010^3+3*$J1010^2)+INDIRECT("D$"&amp;5+MIN(2,ROUNDDOWN(I1010,0))*3)*$J1010^3</f>
      </c>
      <c r="M1010" s="7">
        <f>SQRT(K1010^2+L1010^2)</f>
      </c>
      <c r="N1010" s="7">
        <f>(K1011-K1009)</f>
      </c>
      <c r="O1010" s="7">
        <f>+(L1011-L1009)</f>
      </c>
      <c r="P1010" s="7">
        <f>SQRT(O1010^2+N1010^2)</f>
      </c>
      <c r="Q1010" s="7">
        <f>N1010/$P1010</f>
      </c>
      <c r="R1010" s="7">
        <f>O1010/$P1010</f>
      </c>
      <c r="S1010" s="7">
        <f>Q1010^2+R1010^2</f>
      </c>
      <c r="T1010" s="7">
        <f>-R1010</f>
      </c>
      <c r="U1010" s="7">
        <f>Q1010</f>
      </c>
      <c r="V1010" s="7">
        <f>($C$14+($C$15-$C$14)/($D$15-$D$14)*(I1010-$D$14))/2</f>
      </c>
      <c r="W1010" s="7">
        <f>($B$22*I1010^4+$C$22*I1010^3+$D$22*I1010^2+$E$22*I1010+$F$22)/2</f>
      </c>
      <c r="X1010" s="7">
        <f>($W1010)*(T1010)</f>
      </c>
      <c r="Y1010" s="7">
        <f>($W1010)*(U1010)</f>
      </c>
      <c r="Z1010" s="7">
        <f>SQRT(X1010^2+Y1010^2)</f>
      </c>
      <c r="AA1010" s="7">
        <f>$K1010+$X1010</f>
      </c>
      <c r="AB1010" s="7">
        <f>$L1010+$Y1010</f>
      </c>
      <c r="AC1010" s="7">
        <f>$K1010-$X1010</f>
      </c>
      <c r="AD1010" s="7">
        <f>$L1010-$Y1010</f>
      </c>
      <c r="AE1010" s="7">
        <f>AA1010/39.3701</f>
      </c>
      <c r="AF1010" s="7">
        <f>AB1010/39.3701</f>
      </c>
      <c r="AG1010" s="7">
        <f>AC1010/39.3701</f>
      </c>
      <c r="AH1010" s="7">
        <f>AD1010/39.3701</f>
      </c>
      <c r="AI1010" s="1"/>
      <c r="AJ1010" s="1"/>
      <c r="AK1010" s="1"/>
      <c r="AL1010" s="1"/>
      <c r="AM1010" s="2"/>
      <c r="AN1010" s="1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  <c r="BA1010" s="1"/>
      <c r="BB1010" s="1"/>
      <c r="BC1010" s="1"/>
      <c r="BD1010" s="1"/>
      <c r="BE1010" s="1"/>
    </row>
    <row x14ac:dyDescent="0.25" r="1011" customHeight="1" ht="18.75">
      <c r="A1011" s="1"/>
      <c r="B1011" s="2"/>
      <c r="C1011" s="2"/>
      <c r="D1011" s="2"/>
      <c r="E1011" s="2"/>
      <c r="F1011" s="2"/>
      <c r="G1011" s="1"/>
      <c r="H1011" s="1"/>
      <c r="I1011" s="7">
        <v>1.008</v>
      </c>
      <c r="J1011" s="7">
        <f>IF((I1011-ROUNDDOWN(I1011,0))=0, 0, (I1011-ROUNDDOWN(I1011,0)))</f>
      </c>
      <c r="K1011" s="7">
        <f>INDIRECT("C$"&amp;2+MIN(2,ROUNDDOWN(I1011,0))*3)*(-$J1011^3+3*$J1011^2-3*$J1011+1)+INDIRECT("C$"&amp;3+MIN(2,ROUNDDOWN(I1011,0))*3)*(3*$J1011^3-6*$J1011^2+3*$J1011)+INDIRECT("C$"&amp;4+MIN(2,ROUNDDOWN(I1011,0))*3)*(-3*$J1011^3+3*$J1011^2)+INDIRECT("C$"&amp;5+MIN(2,ROUNDDOWN(I1011,0))*3)*$J1011^3</f>
      </c>
      <c r="L1011" s="7">
        <f>INDIRECT("D$"&amp;2+MIN(2,ROUNDDOWN(I1011,0))*3)*(-$J1011^3+3*$J1011^2-3*$J1011+1)+INDIRECT("D$"&amp;3+MIN(2,ROUNDDOWN(I1011,0))*3)*(3*$J1011^3-6*$J1011^2+3*$J1011)+INDIRECT("D$"&amp;4+MIN(2,ROUNDDOWN(I1011,0))*3)*(-3*$J1011^3+3*$J1011^2)+INDIRECT("D$"&amp;5+MIN(2,ROUNDDOWN(I1011,0))*3)*$J1011^3</f>
      </c>
      <c r="M1011" s="7">
        <f>SQRT(K1011^2+L1011^2)</f>
      </c>
      <c r="N1011" s="7">
        <f>(K1012-K1010)</f>
      </c>
      <c r="O1011" s="7">
        <f>+(L1012-L1010)</f>
      </c>
      <c r="P1011" s="7">
        <f>SQRT(O1011^2+N1011^2)</f>
      </c>
      <c r="Q1011" s="7">
        <f>N1011/$P1011</f>
      </c>
      <c r="R1011" s="7">
        <f>O1011/$P1011</f>
      </c>
      <c r="S1011" s="8">
        <f>Q1011^2+R1011^2</f>
      </c>
      <c r="T1011" s="7">
        <f>-R1011</f>
      </c>
      <c r="U1011" s="7">
        <f>Q1011</f>
      </c>
      <c r="V1011" s="7">
        <f>($C$14+($C$15-$C$14)/($D$15-$D$14)*(I1011-$D$14))/2</f>
      </c>
      <c r="W1011" s="7">
        <f>($B$22*I1011^4+$C$22*I1011^3+$D$22*I1011^2+$E$22*I1011+$F$22)/2</f>
      </c>
      <c r="X1011" s="7">
        <f>($W1011)*(T1011)</f>
      </c>
      <c r="Y1011" s="7">
        <f>($W1011)*(U1011)</f>
      </c>
      <c r="Z1011" s="7">
        <f>SQRT(X1011^2+Y1011^2)</f>
      </c>
      <c r="AA1011" s="7">
        <f>$K1011+$X1011</f>
      </c>
      <c r="AB1011" s="7">
        <f>$L1011+$Y1011</f>
      </c>
      <c r="AC1011" s="7">
        <f>$K1011-$X1011</f>
      </c>
      <c r="AD1011" s="7">
        <f>$L1011-$Y1011</f>
      </c>
      <c r="AE1011" s="7">
        <f>AA1011/39.3701</f>
      </c>
      <c r="AF1011" s="7">
        <f>AB1011/39.3701</f>
      </c>
      <c r="AG1011" s="7">
        <f>AC1011/39.3701</f>
      </c>
      <c r="AH1011" s="7">
        <f>AD1011/39.3701</f>
      </c>
      <c r="AI1011" s="1"/>
      <c r="AJ1011" s="1"/>
      <c r="AK1011" s="1"/>
      <c r="AL1011" s="1"/>
      <c r="AM1011" s="2"/>
      <c r="AN1011" s="1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  <c r="BA1011" s="1"/>
      <c r="BB1011" s="1"/>
      <c r="BC1011" s="1"/>
      <c r="BD1011" s="1"/>
      <c r="BE1011" s="1"/>
    </row>
    <row x14ac:dyDescent="0.25" r="1012" customHeight="1" ht="18.75">
      <c r="A1012" s="1"/>
      <c r="B1012" s="2"/>
      <c r="C1012" s="2"/>
      <c r="D1012" s="2"/>
      <c r="E1012" s="2"/>
      <c r="F1012" s="2"/>
      <c r="G1012" s="1"/>
      <c r="H1012" s="1"/>
      <c r="I1012" s="7">
        <v>1.009</v>
      </c>
      <c r="J1012" s="7">
        <f>IF((I1012-ROUNDDOWN(I1012,0))=0, 0, (I1012-ROUNDDOWN(I1012,0)))</f>
      </c>
      <c r="K1012" s="7">
        <f>INDIRECT("C$"&amp;2+MIN(2,ROUNDDOWN(I1012,0))*3)*(-$J1012^3+3*$J1012^2-3*$J1012+1)+INDIRECT("C$"&amp;3+MIN(2,ROUNDDOWN(I1012,0))*3)*(3*$J1012^3-6*$J1012^2+3*$J1012)+INDIRECT("C$"&amp;4+MIN(2,ROUNDDOWN(I1012,0))*3)*(-3*$J1012^3+3*$J1012^2)+INDIRECT("C$"&amp;5+MIN(2,ROUNDDOWN(I1012,0))*3)*$J1012^3</f>
      </c>
      <c r="L1012" s="7">
        <f>INDIRECT("D$"&amp;2+MIN(2,ROUNDDOWN(I1012,0))*3)*(-$J1012^3+3*$J1012^2-3*$J1012+1)+INDIRECT("D$"&amp;3+MIN(2,ROUNDDOWN(I1012,0))*3)*(3*$J1012^3-6*$J1012^2+3*$J1012)+INDIRECT("D$"&amp;4+MIN(2,ROUNDDOWN(I1012,0))*3)*(-3*$J1012^3+3*$J1012^2)+INDIRECT("D$"&amp;5+MIN(2,ROUNDDOWN(I1012,0))*3)*$J1012^3</f>
      </c>
      <c r="M1012" s="7">
        <f>SQRT(K1012^2+L1012^2)</f>
      </c>
      <c r="N1012" s="7">
        <f>(K1013-K1011)</f>
      </c>
      <c r="O1012" s="7">
        <f>+(L1013-L1011)</f>
      </c>
      <c r="P1012" s="7">
        <f>SQRT(O1012^2+N1012^2)</f>
      </c>
      <c r="Q1012" s="7">
        <f>N1012/$P1012</f>
      </c>
      <c r="R1012" s="7">
        <f>O1012/$P1012</f>
      </c>
      <c r="S1012" s="8">
        <f>Q1012^2+R1012^2</f>
      </c>
      <c r="T1012" s="7">
        <f>-R1012</f>
      </c>
      <c r="U1012" s="7">
        <f>Q1012</f>
      </c>
      <c r="V1012" s="7">
        <f>($C$14+($C$15-$C$14)/($D$15-$D$14)*(I1012-$D$14))/2</f>
      </c>
      <c r="W1012" s="7">
        <f>($B$22*I1012^4+$C$22*I1012^3+$D$22*I1012^2+$E$22*I1012+$F$22)/2</f>
      </c>
      <c r="X1012" s="7">
        <f>($W1012)*(T1012)</f>
      </c>
      <c r="Y1012" s="7">
        <f>($W1012)*(U1012)</f>
      </c>
      <c r="Z1012" s="7">
        <f>SQRT(X1012^2+Y1012^2)</f>
      </c>
      <c r="AA1012" s="7">
        <f>$K1012+$X1012</f>
      </c>
      <c r="AB1012" s="7">
        <f>$L1012+$Y1012</f>
      </c>
      <c r="AC1012" s="7">
        <f>$K1012-$X1012</f>
      </c>
      <c r="AD1012" s="7">
        <f>$L1012-$Y1012</f>
      </c>
      <c r="AE1012" s="7">
        <f>AA1012/39.3701</f>
      </c>
      <c r="AF1012" s="7">
        <f>AB1012/39.3701</f>
      </c>
      <c r="AG1012" s="7">
        <f>AC1012/39.3701</f>
      </c>
      <c r="AH1012" s="7">
        <f>AD1012/39.3701</f>
      </c>
      <c r="AI1012" s="1"/>
      <c r="AJ1012" s="1"/>
      <c r="AK1012" s="1"/>
      <c r="AL1012" s="1"/>
      <c r="AM1012" s="2"/>
      <c r="AN1012" s="1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  <c r="BA1012" s="1"/>
      <c r="BB1012" s="1"/>
      <c r="BC1012" s="1"/>
      <c r="BD1012" s="1"/>
      <c r="BE1012" s="1"/>
    </row>
    <row x14ac:dyDescent="0.25" r="1013" customHeight="1" ht="18.75">
      <c r="A1013" s="1"/>
      <c r="B1013" s="2"/>
      <c r="C1013" s="2"/>
      <c r="D1013" s="2"/>
      <c r="E1013" s="2"/>
      <c r="F1013" s="2"/>
      <c r="G1013" s="1"/>
      <c r="H1013" s="1"/>
      <c r="I1013" s="7">
        <v>1.01</v>
      </c>
      <c r="J1013" s="7">
        <f>IF((I1013-ROUNDDOWN(I1013,0))=0, 0, (I1013-ROUNDDOWN(I1013,0)))</f>
      </c>
      <c r="K1013" s="7">
        <f>INDIRECT("C$"&amp;2+MIN(2,ROUNDDOWN(I1013,0))*3)*(-$J1013^3+3*$J1013^2-3*$J1013+1)+INDIRECT("C$"&amp;3+MIN(2,ROUNDDOWN(I1013,0))*3)*(3*$J1013^3-6*$J1013^2+3*$J1013)+INDIRECT("C$"&amp;4+MIN(2,ROUNDDOWN(I1013,0))*3)*(-3*$J1013^3+3*$J1013^2)+INDIRECT("C$"&amp;5+MIN(2,ROUNDDOWN(I1013,0))*3)*$J1013^3</f>
      </c>
      <c r="L1013" s="7">
        <f>INDIRECT("D$"&amp;2+MIN(2,ROUNDDOWN(I1013,0))*3)*(-$J1013^3+3*$J1013^2-3*$J1013+1)+INDIRECT("D$"&amp;3+MIN(2,ROUNDDOWN(I1013,0))*3)*(3*$J1013^3-6*$J1013^2+3*$J1013)+INDIRECT("D$"&amp;4+MIN(2,ROUNDDOWN(I1013,0))*3)*(-3*$J1013^3+3*$J1013^2)+INDIRECT("D$"&amp;5+MIN(2,ROUNDDOWN(I1013,0))*3)*$J1013^3</f>
      </c>
      <c r="M1013" s="7">
        <f>SQRT(K1013^2+L1013^2)</f>
      </c>
      <c r="N1013" s="7">
        <f>(K1014-K1012)</f>
      </c>
      <c r="O1013" s="7">
        <f>+(L1014-L1012)</f>
      </c>
      <c r="P1013" s="7">
        <f>SQRT(O1013^2+N1013^2)</f>
      </c>
      <c r="Q1013" s="7">
        <f>N1013/$P1013</f>
      </c>
      <c r="R1013" s="7">
        <f>O1013/$P1013</f>
      </c>
      <c r="S1013" s="8">
        <f>Q1013^2+R1013^2</f>
      </c>
      <c r="T1013" s="7">
        <f>-R1013</f>
      </c>
      <c r="U1013" s="7">
        <f>Q1013</f>
      </c>
      <c r="V1013" s="7">
        <f>($C$14+($C$15-$C$14)/($D$15-$D$14)*(I1013-$D$14))/2</f>
      </c>
      <c r="W1013" s="7">
        <f>($B$22*I1013^4+$C$22*I1013^3+$D$22*I1013^2+$E$22*I1013+$F$22)/2</f>
      </c>
      <c r="X1013" s="7">
        <f>($W1013)*(T1013)</f>
      </c>
      <c r="Y1013" s="7">
        <f>($W1013)*(U1013)</f>
      </c>
      <c r="Z1013" s="7">
        <f>SQRT(X1013^2+Y1013^2)</f>
      </c>
      <c r="AA1013" s="7">
        <f>$K1013+$X1013</f>
      </c>
      <c r="AB1013" s="7">
        <f>$L1013+$Y1013</f>
      </c>
      <c r="AC1013" s="7">
        <f>$K1013-$X1013</f>
      </c>
      <c r="AD1013" s="7">
        <f>$L1013-$Y1013</f>
      </c>
      <c r="AE1013" s="7">
        <f>AA1013/39.3701</f>
      </c>
      <c r="AF1013" s="7">
        <f>AB1013/39.3701</f>
      </c>
      <c r="AG1013" s="7">
        <f>AC1013/39.3701</f>
      </c>
      <c r="AH1013" s="7">
        <f>AD1013/39.3701</f>
      </c>
      <c r="AI1013" s="1"/>
      <c r="AJ1013" s="1"/>
      <c r="AK1013" s="1"/>
      <c r="AL1013" s="1"/>
      <c r="AM1013" s="2"/>
      <c r="AN1013" s="1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  <c r="BA1013" s="1"/>
      <c r="BB1013" s="1"/>
      <c r="BC1013" s="1"/>
      <c r="BD1013" s="1"/>
      <c r="BE1013" s="1"/>
    </row>
    <row x14ac:dyDescent="0.25" r="1014" customHeight="1" ht="18.75">
      <c r="A1014" s="1"/>
      <c r="B1014" s="2"/>
      <c r="C1014" s="2"/>
      <c r="D1014" s="2"/>
      <c r="E1014" s="2"/>
      <c r="F1014" s="2"/>
      <c r="G1014" s="1"/>
      <c r="H1014" s="1"/>
      <c r="I1014" s="7">
        <v>1.011</v>
      </c>
      <c r="J1014" s="7">
        <f>IF((I1014-ROUNDDOWN(I1014,0))=0, 0, (I1014-ROUNDDOWN(I1014,0)))</f>
      </c>
      <c r="K1014" s="7">
        <f>INDIRECT("C$"&amp;2+MIN(2,ROUNDDOWN(I1014,0))*3)*(-$J1014^3+3*$J1014^2-3*$J1014+1)+INDIRECT("C$"&amp;3+MIN(2,ROUNDDOWN(I1014,0))*3)*(3*$J1014^3-6*$J1014^2+3*$J1014)+INDIRECT("C$"&amp;4+MIN(2,ROUNDDOWN(I1014,0))*3)*(-3*$J1014^3+3*$J1014^2)+INDIRECT("C$"&amp;5+MIN(2,ROUNDDOWN(I1014,0))*3)*$J1014^3</f>
      </c>
      <c r="L1014" s="7">
        <f>INDIRECT("D$"&amp;2+MIN(2,ROUNDDOWN(I1014,0))*3)*(-$J1014^3+3*$J1014^2-3*$J1014+1)+INDIRECT("D$"&amp;3+MIN(2,ROUNDDOWN(I1014,0))*3)*(3*$J1014^3-6*$J1014^2+3*$J1014)+INDIRECT("D$"&amp;4+MIN(2,ROUNDDOWN(I1014,0))*3)*(-3*$J1014^3+3*$J1014^2)+INDIRECT("D$"&amp;5+MIN(2,ROUNDDOWN(I1014,0))*3)*$J1014^3</f>
      </c>
      <c r="M1014" s="7">
        <f>SQRT(K1014^2+L1014^2)</f>
      </c>
      <c r="N1014" s="7">
        <f>(K1015-K1013)</f>
      </c>
      <c r="O1014" s="7">
        <f>+(L1015-L1013)</f>
      </c>
      <c r="P1014" s="7">
        <f>SQRT(O1014^2+N1014^2)</f>
      </c>
      <c r="Q1014" s="7">
        <f>N1014/$P1014</f>
      </c>
      <c r="R1014" s="7">
        <f>O1014/$P1014</f>
      </c>
      <c r="S1014" s="7">
        <f>Q1014^2+R1014^2</f>
      </c>
      <c r="T1014" s="7">
        <f>-R1014</f>
      </c>
      <c r="U1014" s="7">
        <f>Q1014</f>
      </c>
      <c r="V1014" s="7">
        <f>($C$14+($C$15-$C$14)/($D$15-$D$14)*(I1014-$D$14))/2</f>
      </c>
      <c r="W1014" s="7">
        <f>($B$22*I1014^4+$C$22*I1014^3+$D$22*I1014^2+$E$22*I1014+$F$22)/2</f>
      </c>
      <c r="X1014" s="7">
        <f>($W1014)*(T1014)</f>
      </c>
      <c r="Y1014" s="7">
        <f>($W1014)*(U1014)</f>
      </c>
      <c r="Z1014" s="7">
        <f>SQRT(X1014^2+Y1014^2)</f>
      </c>
      <c r="AA1014" s="7">
        <f>$K1014+$X1014</f>
      </c>
      <c r="AB1014" s="7">
        <f>$L1014+$Y1014</f>
      </c>
      <c r="AC1014" s="7">
        <f>$K1014-$X1014</f>
      </c>
      <c r="AD1014" s="7">
        <f>$L1014-$Y1014</f>
      </c>
      <c r="AE1014" s="7">
        <f>AA1014/39.3701</f>
      </c>
      <c r="AF1014" s="7">
        <f>AB1014/39.3701</f>
      </c>
      <c r="AG1014" s="7">
        <f>AC1014/39.3701</f>
      </c>
      <c r="AH1014" s="7">
        <f>AD1014/39.3701</f>
      </c>
      <c r="AI1014" s="1"/>
      <c r="AJ1014" s="1"/>
      <c r="AK1014" s="1"/>
      <c r="AL1014" s="1"/>
      <c r="AM1014" s="2"/>
      <c r="AN1014" s="1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  <c r="BA1014" s="1"/>
      <c r="BB1014" s="1"/>
      <c r="BC1014" s="1"/>
      <c r="BD1014" s="1"/>
      <c r="BE1014" s="1"/>
    </row>
    <row x14ac:dyDescent="0.25" r="1015" customHeight="1" ht="18.75">
      <c r="A1015" s="1"/>
      <c r="B1015" s="2"/>
      <c r="C1015" s="2"/>
      <c r="D1015" s="2"/>
      <c r="E1015" s="2"/>
      <c r="F1015" s="2"/>
      <c r="G1015" s="1"/>
      <c r="H1015" s="1"/>
      <c r="I1015" s="7">
        <v>1.012</v>
      </c>
      <c r="J1015" s="7">
        <f>IF((I1015-ROUNDDOWN(I1015,0))=0, 0, (I1015-ROUNDDOWN(I1015,0)))</f>
      </c>
      <c r="K1015" s="7">
        <f>INDIRECT("C$"&amp;2+MIN(2,ROUNDDOWN(I1015,0))*3)*(-$J1015^3+3*$J1015^2-3*$J1015+1)+INDIRECT("C$"&amp;3+MIN(2,ROUNDDOWN(I1015,0))*3)*(3*$J1015^3-6*$J1015^2+3*$J1015)+INDIRECT("C$"&amp;4+MIN(2,ROUNDDOWN(I1015,0))*3)*(-3*$J1015^3+3*$J1015^2)+INDIRECT("C$"&amp;5+MIN(2,ROUNDDOWN(I1015,0))*3)*$J1015^3</f>
      </c>
      <c r="L1015" s="7">
        <f>INDIRECT("D$"&amp;2+MIN(2,ROUNDDOWN(I1015,0))*3)*(-$J1015^3+3*$J1015^2-3*$J1015+1)+INDIRECT("D$"&amp;3+MIN(2,ROUNDDOWN(I1015,0))*3)*(3*$J1015^3-6*$J1015^2+3*$J1015)+INDIRECT("D$"&amp;4+MIN(2,ROUNDDOWN(I1015,0))*3)*(-3*$J1015^3+3*$J1015^2)+INDIRECT("D$"&amp;5+MIN(2,ROUNDDOWN(I1015,0))*3)*$J1015^3</f>
      </c>
      <c r="M1015" s="7">
        <f>SQRT(K1015^2+L1015^2)</f>
      </c>
      <c r="N1015" s="7">
        <f>(K1016-K1014)</f>
      </c>
      <c r="O1015" s="7">
        <f>+(L1016-L1014)</f>
      </c>
      <c r="P1015" s="7">
        <f>SQRT(O1015^2+N1015^2)</f>
      </c>
      <c r="Q1015" s="7">
        <f>N1015/$P1015</f>
      </c>
      <c r="R1015" s="7">
        <f>O1015/$P1015</f>
      </c>
      <c r="S1015" s="8">
        <f>Q1015^2+R1015^2</f>
      </c>
      <c r="T1015" s="7">
        <f>-R1015</f>
      </c>
      <c r="U1015" s="7">
        <f>Q1015</f>
      </c>
      <c r="V1015" s="7">
        <f>($C$14+($C$15-$C$14)/($D$15-$D$14)*(I1015-$D$14))/2</f>
      </c>
      <c r="W1015" s="7">
        <f>($B$22*I1015^4+$C$22*I1015^3+$D$22*I1015^2+$E$22*I1015+$F$22)/2</f>
      </c>
      <c r="X1015" s="7">
        <f>($W1015)*(T1015)</f>
      </c>
      <c r="Y1015" s="7">
        <f>($W1015)*(U1015)</f>
      </c>
      <c r="Z1015" s="7">
        <f>SQRT(X1015^2+Y1015^2)</f>
      </c>
      <c r="AA1015" s="7">
        <f>$K1015+$X1015</f>
      </c>
      <c r="AB1015" s="7">
        <f>$L1015+$Y1015</f>
      </c>
      <c r="AC1015" s="7">
        <f>$K1015-$X1015</f>
      </c>
      <c r="AD1015" s="7">
        <f>$L1015-$Y1015</f>
      </c>
      <c r="AE1015" s="7">
        <f>AA1015/39.3701</f>
      </c>
      <c r="AF1015" s="7">
        <f>AB1015/39.3701</f>
      </c>
      <c r="AG1015" s="7">
        <f>AC1015/39.3701</f>
      </c>
      <c r="AH1015" s="7">
        <f>AD1015/39.3701</f>
      </c>
      <c r="AI1015" s="1"/>
      <c r="AJ1015" s="1"/>
      <c r="AK1015" s="1"/>
      <c r="AL1015" s="1"/>
      <c r="AM1015" s="2"/>
      <c r="AN1015" s="1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  <c r="BA1015" s="1"/>
      <c r="BB1015" s="1"/>
      <c r="BC1015" s="1"/>
      <c r="BD1015" s="1"/>
      <c r="BE1015" s="1"/>
    </row>
    <row x14ac:dyDescent="0.25" r="1016" customHeight="1" ht="18.75">
      <c r="A1016" s="1"/>
      <c r="B1016" s="2"/>
      <c r="C1016" s="2"/>
      <c r="D1016" s="2"/>
      <c r="E1016" s="2"/>
      <c r="F1016" s="2"/>
      <c r="G1016" s="1"/>
      <c r="H1016" s="1"/>
      <c r="I1016" s="7">
        <v>1.013</v>
      </c>
      <c r="J1016" s="7">
        <f>IF((I1016-ROUNDDOWN(I1016,0))=0, 0, (I1016-ROUNDDOWN(I1016,0)))</f>
      </c>
      <c r="K1016" s="7">
        <f>INDIRECT("C$"&amp;2+MIN(2,ROUNDDOWN(I1016,0))*3)*(-$J1016^3+3*$J1016^2-3*$J1016+1)+INDIRECT("C$"&amp;3+MIN(2,ROUNDDOWN(I1016,0))*3)*(3*$J1016^3-6*$J1016^2+3*$J1016)+INDIRECT("C$"&amp;4+MIN(2,ROUNDDOWN(I1016,0))*3)*(-3*$J1016^3+3*$J1016^2)+INDIRECT("C$"&amp;5+MIN(2,ROUNDDOWN(I1016,0))*3)*$J1016^3</f>
      </c>
      <c r="L1016" s="7">
        <f>INDIRECT("D$"&amp;2+MIN(2,ROUNDDOWN(I1016,0))*3)*(-$J1016^3+3*$J1016^2-3*$J1016+1)+INDIRECT("D$"&amp;3+MIN(2,ROUNDDOWN(I1016,0))*3)*(3*$J1016^3-6*$J1016^2+3*$J1016)+INDIRECT("D$"&amp;4+MIN(2,ROUNDDOWN(I1016,0))*3)*(-3*$J1016^3+3*$J1016^2)+INDIRECT("D$"&amp;5+MIN(2,ROUNDDOWN(I1016,0))*3)*$J1016^3</f>
      </c>
      <c r="M1016" s="7">
        <f>SQRT(K1016^2+L1016^2)</f>
      </c>
      <c r="N1016" s="7">
        <f>(K1017-K1015)</f>
      </c>
      <c r="O1016" s="7">
        <f>+(L1017-L1015)</f>
      </c>
      <c r="P1016" s="7">
        <f>SQRT(O1016^2+N1016^2)</f>
      </c>
      <c r="Q1016" s="7">
        <f>N1016/$P1016</f>
      </c>
      <c r="R1016" s="7">
        <f>O1016/$P1016</f>
      </c>
      <c r="S1016" s="8">
        <f>Q1016^2+R1016^2</f>
      </c>
      <c r="T1016" s="7">
        <f>-R1016</f>
      </c>
      <c r="U1016" s="7">
        <f>Q1016</f>
      </c>
      <c r="V1016" s="7">
        <f>($C$14+($C$15-$C$14)/($D$15-$D$14)*(I1016-$D$14))/2</f>
      </c>
      <c r="W1016" s="7">
        <f>($B$22*I1016^4+$C$22*I1016^3+$D$22*I1016^2+$E$22*I1016+$F$22)/2</f>
      </c>
      <c r="X1016" s="7">
        <f>($W1016)*(T1016)</f>
      </c>
      <c r="Y1016" s="7">
        <f>($W1016)*(U1016)</f>
      </c>
      <c r="Z1016" s="7">
        <f>SQRT(X1016^2+Y1016^2)</f>
      </c>
      <c r="AA1016" s="7">
        <f>$K1016+$X1016</f>
      </c>
      <c r="AB1016" s="7">
        <f>$L1016+$Y1016</f>
      </c>
      <c r="AC1016" s="7">
        <f>$K1016-$X1016</f>
      </c>
      <c r="AD1016" s="7">
        <f>$L1016-$Y1016</f>
      </c>
      <c r="AE1016" s="7">
        <f>AA1016/39.3701</f>
      </c>
      <c r="AF1016" s="7">
        <f>AB1016/39.3701</f>
      </c>
      <c r="AG1016" s="7">
        <f>AC1016/39.3701</f>
      </c>
      <c r="AH1016" s="7">
        <f>AD1016/39.3701</f>
      </c>
      <c r="AI1016" s="1"/>
      <c r="AJ1016" s="1"/>
      <c r="AK1016" s="1"/>
      <c r="AL1016" s="1"/>
      <c r="AM1016" s="2"/>
      <c r="AN1016" s="1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  <c r="BA1016" s="1"/>
      <c r="BB1016" s="1"/>
      <c r="BC1016" s="1"/>
      <c r="BD1016" s="1"/>
      <c r="BE1016" s="1"/>
    </row>
    <row x14ac:dyDescent="0.25" r="1017" customHeight="1" ht="18.75">
      <c r="A1017" s="1"/>
      <c r="B1017" s="2"/>
      <c r="C1017" s="2"/>
      <c r="D1017" s="2"/>
      <c r="E1017" s="2"/>
      <c r="F1017" s="2"/>
      <c r="G1017" s="1"/>
      <c r="H1017" s="1"/>
      <c r="I1017" s="7">
        <v>1.014</v>
      </c>
      <c r="J1017" s="7">
        <f>IF((I1017-ROUNDDOWN(I1017,0))=0, 0, (I1017-ROUNDDOWN(I1017,0)))</f>
      </c>
      <c r="K1017" s="7">
        <f>INDIRECT("C$"&amp;2+MIN(2,ROUNDDOWN(I1017,0))*3)*(-$J1017^3+3*$J1017^2-3*$J1017+1)+INDIRECT("C$"&amp;3+MIN(2,ROUNDDOWN(I1017,0))*3)*(3*$J1017^3-6*$J1017^2+3*$J1017)+INDIRECT("C$"&amp;4+MIN(2,ROUNDDOWN(I1017,0))*3)*(-3*$J1017^3+3*$J1017^2)+INDIRECT("C$"&amp;5+MIN(2,ROUNDDOWN(I1017,0))*3)*$J1017^3</f>
      </c>
      <c r="L1017" s="7">
        <f>INDIRECT("D$"&amp;2+MIN(2,ROUNDDOWN(I1017,0))*3)*(-$J1017^3+3*$J1017^2-3*$J1017+1)+INDIRECT("D$"&amp;3+MIN(2,ROUNDDOWN(I1017,0))*3)*(3*$J1017^3-6*$J1017^2+3*$J1017)+INDIRECT("D$"&amp;4+MIN(2,ROUNDDOWN(I1017,0))*3)*(-3*$J1017^3+3*$J1017^2)+INDIRECT("D$"&amp;5+MIN(2,ROUNDDOWN(I1017,0))*3)*$J1017^3</f>
      </c>
      <c r="M1017" s="7">
        <f>SQRT(K1017^2+L1017^2)</f>
      </c>
      <c r="N1017" s="7">
        <f>(K1018-K1016)</f>
      </c>
      <c r="O1017" s="7">
        <f>+(L1018-L1016)</f>
      </c>
      <c r="P1017" s="7">
        <f>SQRT(O1017^2+N1017^2)</f>
      </c>
      <c r="Q1017" s="7">
        <f>N1017/$P1017</f>
      </c>
      <c r="R1017" s="7">
        <f>O1017/$P1017</f>
      </c>
      <c r="S1017" s="8">
        <f>Q1017^2+R1017^2</f>
      </c>
      <c r="T1017" s="7">
        <f>-R1017</f>
      </c>
      <c r="U1017" s="7">
        <f>Q1017</f>
      </c>
      <c r="V1017" s="7">
        <f>($C$14+($C$15-$C$14)/($D$15-$D$14)*(I1017-$D$14))/2</f>
      </c>
      <c r="W1017" s="7">
        <f>($B$22*I1017^4+$C$22*I1017^3+$D$22*I1017^2+$E$22*I1017+$F$22)/2</f>
      </c>
      <c r="X1017" s="7">
        <f>($W1017)*(T1017)</f>
      </c>
      <c r="Y1017" s="7">
        <f>($W1017)*(U1017)</f>
      </c>
      <c r="Z1017" s="7">
        <f>SQRT(X1017^2+Y1017^2)</f>
      </c>
      <c r="AA1017" s="7">
        <f>$K1017+$X1017</f>
      </c>
      <c r="AB1017" s="7">
        <f>$L1017+$Y1017</f>
      </c>
      <c r="AC1017" s="7">
        <f>$K1017-$X1017</f>
      </c>
      <c r="AD1017" s="7">
        <f>$L1017-$Y1017</f>
      </c>
      <c r="AE1017" s="7">
        <f>AA1017/39.3701</f>
      </c>
      <c r="AF1017" s="7">
        <f>AB1017/39.3701</f>
      </c>
      <c r="AG1017" s="7">
        <f>AC1017/39.3701</f>
      </c>
      <c r="AH1017" s="7">
        <f>AD1017/39.3701</f>
      </c>
      <c r="AI1017" s="1"/>
      <c r="AJ1017" s="1"/>
      <c r="AK1017" s="1"/>
      <c r="AL1017" s="1"/>
      <c r="AM1017" s="2"/>
      <c r="AN1017" s="1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  <c r="BA1017" s="1"/>
      <c r="BB1017" s="1"/>
      <c r="BC1017" s="1"/>
      <c r="BD1017" s="1"/>
      <c r="BE1017" s="1"/>
    </row>
    <row x14ac:dyDescent="0.25" r="1018" customHeight="1" ht="18.75">
      <c r="A1018" s="1"/>
      <c r="B1018" s="2"/>
      <c r="C1018" s="2"/>
      <c r="D1018" s="2"/>
      <c r="E1018" s="2"/>
      <c r="F1018" s="2"/>
      <c r="G1018" s="1"/>
      <c r="H1018" s="1"/>
      <c r="I1018" s="7">
        <v>1.015</v>
      </c>
      <c r="J1018" s="7">
        <f>IF((I1018-ROUNDDOWN(I1018,0))=0, 0, (I1018-ROUNDDOWN(I1018,0)))</f>
      </c>
      <c r="K1018" s="7">
        <f>INDIRECT("C$"&amp;2+MIN(2,ROUNDDOWN(I1018,0))*3)*(-$J1018^3+3*$J1018^2-3*$J1018+1)+INDIRECT("C$"&amp;3+MIN(2,ROUNDDOWN(I1018,0))*3)*(3*$J1018^3-6*$J1018^2+3*$J1018)+INDIRECT("C$"&amp;4+MIN(2,ROUNDDOWN(I1018,0))*3)*(-3*$J1018^3+3*$J1018^2)+INDIRECT("C$"&amp;5+MIN(2,ROUNDDOWN(I1018,0))*3)*$J1018^3</f>
      </c>
      <c r="L1018" s="7">
        <f>INDIRECT("D$"&amp;2+MIN(2,ROUNDDOWN(I1018,0))*3)*(-$J1018^3+3*$J1018^2-3*$J1018+1)+INDIRECT("D$"&amp;3+MIN(2,ROUNDDOWN(I1018,0))*3)*(3*$J1018^3-6*$J1018^2+3*$J1018)+INDIRECT("D$"&amp;4+MIN(2,ROUNDDOWN(I1018,0))*3)*(-3*$J1018^3+3*$J1018^2)+INDIRECT("D$"&amp;5+MIN(2,ROUNDDOWN(I1018,0))*3)*$J1018^3</f>
      </c>
      <c r="M1018" s="7">
        <f>SQRT(K1018^2+L1018^2)</f>
      </c>
      <c r="N1018" s="7">
        <f>(K1019-K1017)</f>
      </c>
      <c r="O1018" s="7">
        <f>+(L1019-L1017)</f>
      </c>
      <c r="P1018" s="7">
        <f>SQRT(O1018^2+N1018^2)</f>
      </c>
      <c r="Q1018" s="7">
        <f>N1018/$P1018</f>
      </c>
      <c r="R1018" s="7">
        <f>O1018/$P1018</f>
      </c>
      <c r="S1018" s="8">
        <f>Q1018^2+R1018^2</f>
      </c>
      <c r="T1018" s="7">
        <f>-R1018</f>
      </c>
      <c r="U1018" s="7">
        <f>Q1018</f>
      </c>
      <c r="V1018" s="7">
        <f>($C$14+($C$15-$C$14)/($D$15-$D$14)*(I1018-$D$14))/2</f>
      </c>
      <c r="W1018" s="7">
        <f>($B$22*I1018^4+$C$22*I1018^3+$D$22*I1018^2+$E$22*I1018+$F$22)/2</f>
      </c>
      <c r="X1018" s="7">
        <f>($W1018)*(T1018)</f>
      </c>
      <c r="Y1018" s="7">
        <f>($W1018)*(U1018)</f>
      </c>
      <c r="Z1018" s="7">
        <f>SQRT(X1018^2+Y1018^2)</f>
      </c>
      <c r="AA1018" s="7">
        <f>$K1018+$X1018</f>
      </c>
      <c r="AB1018" s="7">
        <f>$L1018+$Y1018</f>
      </c>
      <c r="AC1018" s="7">
        <f>$K1018-$X1018</f>
      </c>
      <c r="AD1018" s="7">
        <f>$L1018-$Y1018</f>
      </c>
      <c r="AE1018" s="7">
        <f>AA1018/39.3701</f>
      </c>
      <c r="AF1018" s="7">
        <f>AB1018/39.3701</f>
      </c>
      <c r="AG1018" s="7">
        <f>AC1018/39.3701</f>
      </c>
      <c r="AH1018" s="7">
        <f>AD1018/39.3701</f>
      </c>
      <c r="AI1018" s="1"/>
      <c r="AJ1018" s="1"/>
      <c r="AK1018" s="1"/>
      <c r="AL1018" s="1"/>
      <c r="AM1018" s="2"/>
      <c r="AN1018" s="1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  <c r="BA1018" s="1"/>
      <c r="BB1018" s="1"/>
      <c r="BC1018" s="1"/>
      <c r="BD1018" s="1"/>
      <c r="BE1018" s="1"/>
    </row>
    <row x14ac:dyDescent="0.25" r="1019" customHeight="1" ht="18.75">
      <c r="A1019" s="1"/>
      <c r="B1019" s="2"/>
      <c r="C1019" s="2"/>
      <c r="D1019" s="2"/>
      <c r="E1019" s="2"/>
      <c r="F1019" s="2"/>
      <c r="G1019" s="1"/>
      <c r="H1019" s="1"/>
      <c r="I1019" s="7">
        <v>1.016</v>
      </c>
      <c r="J1019" s="7">
        <f>IF((I1019-ROUNDDOWN(I1019,0))=0, 0, (I1019-ROUNDDOWN(I1019,0)))</f>
      </c>
      <c r="K1019" s="7">
        <f>INDIRECT("C$"&amp;2+MIN(2,ROUNDDOWN(I1019,0))*3)*(-$J1019^3+3*$J1019^2-3*$J1019+1)+INDIRECT("C$"&amp;3+MIN(2,ROUNDDOWN(I1019,0))*3)*(3*$J1019^3-6*$J1019^2+3*$J1019)+INDIRECT("C$"&amp;4+MIN(2,ROUNDDOWN(I1019,0))*3)*(-3*$J1019^3+3*$J1019^2)+INDIRECT("C$"&amp;5+MIN(2,ROUNDDOWN(I1019,0))*3)*$J1019^3</f>
      </c>
      <c r="L1019" s="7">
        <f>INDIRECT("D$"&amp;2+MIN(2,ROUNDDOWN(I1019,0))*3)*(-$J1019^3+3*$J1019^2-3*$J1019+1)+INDIRECT("D$"&amp;3+MIN(2,ROUNDDOWN(I1019,0))*3)*(3*$J1019^3-6*$J1019^2+3*$J1019)+INDIRECT("D$"&amp;4+MIN(2,ROUNDDOWN(I1019,0))*3)*(-3*$J1019^3+3*$J1019^2)+INDIRECT("D$"&amp;5+MIN(2,ROUNDDOWN(I1019,0))*3)*$J1019^3</f>
      </c>
      <c r="M1019" s="7">
        <f>SQRT(K1019^2+L1019^2)</f>
      </c>
      <c r="N1019" s="7">
        <f>(K1020-K1018)</f>
      </c>
      <c r="O1019" s="7">
        <f>+(L1020-L1018)</f>
      </c>
      <c r="P1019" s="7">
        <f>SQRT(O1019^2+N1019^2)</f>
      </c>
      <c r="Q1019" s="7">
        <f>N1019/$P1019</f>
      </c>
      <c r="R1019" s="7">
        <f>O1019/$P1019</f>
      </c>
      <c r="S1019" s="7">
        <f>Q1019^2+R1019^2</f>
      </c>
      <c r="T1019" s="7">
        <f>-R1019</f>
      </c>
      <c r="U1019" s="7">
        <f>Q1019</f>
      </c>
      <c r="V1019" s="7">
        <f>($C$14+($C$15-$C$14)/($D$15-$D$14)*(I1019-$D$14))/2</f>
      </c>
      <c r="W1019" s="7">
        <f>($B$22*I1019^4+$C$22*I1019^3+$D$22*I1019^2+$E$22*I1019+$F$22)/2</f>
      </c>
      <c r="X1019" s="7">
        <f>($W1019)*(T1019)</f>
      </c>
      <c r="Y1019" s="7">
        <f>($W1019)*(U1019)</f>
      </c>
      <c r="Z1019" s="7">
        <f>SQRT(X1019^2+Y1019^2)</f>
      </c>
      <c r="AA1019" s="7">
        <f>$K1019+$X1019</f>
      </c>
      <c r="AB1019" s="7">
        <f>$L1019+$Y1019</f>
      </c>
      <c r="AC1019" s="7">
        <f>$K1019-$X1019</f>
      </c>
      <c r="AD1019" s="7">
        <f>$L1019-$Y1019</f>
      </c>
      <c r="AE1019" s="7">
        <f>AA1019/39.3701</f>
      </c>
      <c r="AF1019" s="7">
        <f>AB1019/39.3701</f>
      </c>
      <c r="AG1019" s="7">
        <f>AC1019/39.3701</f>
      </c>
      <c r="AH1019" s="7">
        <f>AD1019/39.3701</f>
      </c>
      <c r="AI1019" s="1"/>
      <c r="AJ1019" s="1"/>
      <c r="AK1019" s="1"/>
      <c r="AL1019" s="1"/>
      <c r="AM1019" s="2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  <c r="BA1019" s="1"/>
      <c r="BB1019" s="1"/>
      <c r="BC1019" s="1"/>
      <c r="BD1019" s="1"/>
      <c r="BE1019" s="1"/>
    </row>
    <row x14ac:dyDescent="0.25" r="1020" customHeight="1" ht="18.75">
      <c r="A1020" s="1"/>
      <c r="B1020" s="2"/>
      <c r="C1020" s="2"/>
      <c r="D1020" s="2"/>
      <c r="E1020" s="2"/>
      <c r="F1020" s="2"/>
      <c r="G1020" s="1"/>
      <c r="H1020" s="1"/>
      <c r="I1020" s="7">
        <v>1.017</v>
      </c>
      <c r="J1020" s="7">
        <f>IF((I1020-ROUNDDOWN(I1020,0))=0, 0, (I1020-ROUNDDOWN(I1020,0)))</f>
      </c>
      <c r="K1020" s="7">
        <f>INDIRECT("C$"&amp;2+MIN(2,ROUNDDOWN(I1020,0))*3)*(-$J1020^3+3*$J1020^2-3*$J1020+1)+INDIRECT("C$"&amp;3+MIN(2,ROUNDDOWN(I1020,0))*3)*(3*$J1020^3-6*$J1020^2+3*$J1020)+INDIRECT("C$"&amp;4+MIN(2,ROUNDDOWN(I1020,0))*3)*(-3*$J1020^3+3*$J1020^2)+INDIRECT("C$"&amp;5+MIN(2,ROUNDDOWN(I1020,0))*3)*$J1020^3</f>
      </c>
      <c r="L1020" s="7">
        <f>INDIRECT("D$"&amp;2+MIN(2,ROUNDDOWN(I1020,0))*3)*(-$J1020^3+3*$J1020^2-3*$J1020+1)+INDIRECT("D$"&amp;3+MIN(2,ROUNDDOWN(I1020,0))*3)*(3*$J1020^3-6*$J1020^2+3*$J1020)+INDIRECT("D$"&amp;4+MIN(2,ROUNDDOWN(I1020,0))*3)*(-3*$J1020^3+3*$J1020^2)+INDIRECT("D$"&amp;5+MIN(2,ROUNDDOWN(I1020,0))*3)*$J1020^3</f>
      </c>
      <c r="M1020" s="7">
        <f>SQRT(K1020^2+L1020^2)</f>
      </c>
      <c r="N1020" s="7">
        <f>(K1021-K1019)</f>
      </c>
      <c r="O1020" s="7">
        <f>+(L1021-L1019)</f>
      </c>
      <c r="P1020" s="7">
        <f>SQRT(O1020^2+N1020^2)</f>
      </c>
      <c r="Q1020" s="7">
        <f>N1020/$P1020</f>
      </c>
      <c r="R1020" s="7">
        <f>O1020/$P1020</f>
      </c>
      <c r="S1020" s="8">
        <f>Q1020^2+R1020^2</f>
      </c>
      <c r="T1020" s="7">
        <f>-R1020</f>
      </c>
      <c r="U1020" s="7">
        <f>Q1020</f>
      </c>
      <c r="V1020" s="7">
        <f>($C$14+($C$15-$C$14)/($D$15-$D$14)*(I1020-$D$14))/2</f>
      </c>
      <c r="W1020" s="7">
        <f>($B$22*I1020^4+$C$22*I1020^3+$D$22*I1020^2+$E$22*I1020+$F$22)/2</f>
      </c>
      <c r="X1020" s="7">
        <f>($W1020)*(T1020)</f>
      </c>
      <c r="Y1020" s="7">
        <f>($W1020)*(U1020)</f>
      </c>
      <c r="Z1020" s="7">
        <f>SQRT(X1020^2+Y1020^2)</f>
      </c>
      <c r="AA1020" s="7">
        <f>$K1020+$X1020</f>
      </c>
      <c r="AB1020" s="7">
        <f>$L1020+$Y1020</f>
      </c>
      <c r="AC1020" s="7">
        <f>$K1020-$X1020</f>
      </c>
      <c r="AD1020" s="7">
        <f>$L1020-$Y1020</f>
      </c>
      <c r="AE1020" s="7">
        <f>AA1020/39.3701</f>
      </c>
      <c r="AF1020" s="7">
        <f>AB1020/39.3701</f>
      </c>
      <c r="AG1020" s="7">
        <f>AC1020/39.3701</f>
      </c>
      <c r="AH1020" s="7">
        <f>AD1020/39.3701</f>
      </c>
      <c r="AI1020" s="1"/>
      <c r="AJ1020" s="1"/>
      <c r="AK1020" s="1"/>
      <c r="AL1020" s="1"/>
      <c r="AM1020" s="2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  <c r="BA1020" s="1"/>
      <c r="BB1020" s="1"/>
      <c r="BC1020" s="1"/>
      <c r="BD1020" s="1"/>
      <c r="BE1020" s="1"/>
    </row>
    <row x14ac:dyDescent="0.25" r="1021" customHeight="1" ht="18.75">
      <c r="A1021" s="1"/>
      <c r="B1021" s="2"/>
      <c r="C1021" s="2"/>
      <c r="D1021" s="2"/>
      <c r="E1021" s="2"/>
      <c r="F1021" s="2"/>
      <c r="G1021" s="1"/>
      <c r="H1021" s="1"/>
      <c r="I1021" s="7">
        <v>1.018</v>
      </c>
      <c r="J1021" s="7">
        <f>IF((I1021-ROUNDDOWN(I1021,0))=0, 0, (I1021-ROUNDDOWN(I1021,0)))</f>
      </c>
      <c r="K1021" s="7">
        <f>INDIRECT("C$"&amp;2+MIN(2,ROUNDDOWN(I1021,0))*3)*(-$J1021^3+3*$J1021^2-3*$J1021+1)+INDIRECT("C$"&amp;3+MIN(2,ROUNDDOWN(I1021,0))*3)*(3*$J1021^3-6*$J1021^2+3*$J1021)+INDIRECT("C$"&amp;4+MIN(2,ROUNDDOWN(I1021,0))*3)*(-3*$J1021^3+3*$J1021^2)+INDIRECT("C$"&amp;5+MIN(2,ROUNDDOWN(I1021,0))*3)*$J1021^3</f>
      </c>
      <c r="L1021" s="7">
        <f>INDIRECT("D$"&amp;2+MIN(2,ROUNDDOWN(I1021,0))*3)*(-$J1021^3+3*$J1021^2-3*$J1021+1)+INDIRECT("D$"&amp;3+MIN(2,ROUNDDOWN(I1021,0))*3)*(3*$J1021^3-6*$J1021^2+3*$J1021)+INDIRECT("D$"&amp;4+MIN(2,ROUNDDOWN(I1021,0))*3)*(-3*$J1021^3+3*$J1021^2)+INDIRECT("D$"&amp;5+MIN(2,ROUNDDOWN(I1021,0))*3)*$J1021^3</f>
      </c>
      <c r="M1021" s="7">
        <f>SQRT(K1021^2+L1021^2)</f>
      </c>
      <c r="N1021" s="7">
        <f>(K1022-K1020)</f>
      </c>
      <c r="O1021" s="7">
        <f>+(L1022-L1020)</f>
      </c>
      <c r="P1021" s="7">
        <f>SQRT(O1021^2+N1021^2)</f>
      </c>
      <c r="Q1021" s="7">
        <f>N1021/$P1021</f>
      </c>
      <c r="R1021" s="7">
        <f>O1021/$P1021</f>
      </c>
      <c r="S1021" s="7">
        <f>Q1021^2+R1021^2</f>
      </c>
      <c r="T1021" s="7">
        <f>-R1021</f>
      </c>
      <c r="U1021" s="7">
        <f>Q1021</f>
      </c>
      <c r="V1021" s="7">
        <f>($C$14+($C$15-$C$14)/($D$15-$D$14)*(I1021-$D$14))/2</f>
      </c>
      <c r="W1021" s="7">
        <f>($B$22*I1021^4+$C$22*I1021^3+$D$22*I1021^2+$E$22*I1021+$F$22)/2</f>
      </c>
      <c r="X1021" s="7">
        <f>($W1021)*(T1021)</f>
      </c>
      <c r="Y1021" s="7">
        <f>($W1021)*(U1021)</f>
      </c>
      <c r="Z1021" s="7">
        <f>SQRT(X1021^2+Y1021^2)</f>
      </c>
      <c r="AA1021" s="7">
        <f>$K1021+$X1021</f>
      </c>
      <c r="AB1021" s="7">
        <f>$L1021+$Y1021</f>
      </c>
      <c r="AC1021" s="7">
        <f>$K1021-$X1021</f>
      </c>
      <c r="AD1021" s="7">
        <f>$L1021-$Y1021</f>
      </c>
      <c r="AE1021" s="7">
        <f>AA1021/39.3701</f>
      </c>
      <c r="AF1021" s="7">
        <f>AB1021/39.3701</f>
      </c>
      <c r="AG1021" s="7">
        <f>AC1021/39.3701</f>
      </c>
      <c r="AH1021" s="7">
        <f>AD1021/39.3701</f>
      </c>
      <c r="AI1021" s="1"/>
      <c r="AJ1021" s="1"/>
      <c r="AK1021" s="1"/>
      <c r="AL1021" s="1"/>
      <c r="AM1021" s="2"/>
      <c r="AN1021" s="1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  <c r="BA1021" s="1"/>
      <c r="BB1021" s="1"/>
      <c r="BC1021" s="1"/>
      <c r="BD1021" s="1"/>
      <c r="BE1021" s="1"/>
    </row>
    <row x14ac:dyDescent="0.25" r="1022" customHeight="1" ht="18.75">
      <c r="A1022" s="1"/>
      <c r="B1022" s="2"/>
      <c r="C1022" s="2"/>
      <c r="D1022" s="2"/>
      <c r="E1022" s="2"/>
      <c r="F1022" s="2"/>
      <c r="G1022" s="1"/>
      <c r="H1022" s="1"/>
      <c r="I1022" s="7">
        <v>1.019</v>
      </c>
      <c r="J1022" s="7">
        <f>IF((I1022-ROUNDDOWN(I1022,0))=0, 0, (I1022-ROUNDDOWN(I1022,0)))</f>
      </c>
      <c r="K1022" s="7">
        <f>INDIRECT("C$"&amp;2+MIN(2,ROUNDDOWN(I1022,0))*3)*(-$J1022^3+3*$J1022^2-3*$J1022+1)+INDIRECT("C$"&amp;3+MIN(2,ROUNDDOWN(I1022,0))*3)*(3*$J1022^3-6*$J1022^2+3*$J1022)+INDIRECT("C$"&amp;4+MIN(2,ROUNDDOWN(I1022,0))*3)*(-3*$J1022^3+3*$J1022^2)+INDIRECT("C$"&amp;5+MIN(2,ROUNDDOWN(I1022,0))*3)*$J1022^3</f>
      </c>
      <c r="L1022" s="7">
        <f>INDIRECT("D$"&amp;2+MIN(2,ROUNDDOWN(I1022,0))*3)*(-$J1022^3+3*$J1022^2-3*$J1022+1)+INDIRECT("D$"&amp;3+MIN(2,ROUNDDOWN(I1022,0))*3)*(3*$J1022^3-6*$J1022^2+3*$J1022)+INDIRECT("D$"&amp;4+MIN(2,ROUNDDOWN(I1022,0))*3)*(-3*$J1022^3+3*$J1022^2)+INDIRECT("D$"&amp;5+MIN(2,ROUNDDOWN(I1022,0))*3)*$J1022^3</f>
      </c>
      <c r="M1022" s="7">
        <f>SQRT(K1022^2+L1022^2)</f>
      </c>
      <c r="N1022" s="7">
        <f>(K1023-K1021)</f>
      </c>
      <c r="O1022" s="7">
        <f>+(L1023-L1021)</f>
      </c>
      <c r="P1022" s="7">
        <f>SQRT(O1022^2+N1022^2)</f>
      </c>
      <c r="Q1022" s="7">
        <f>N1022/$P1022</f>
      </c>
      <c r="R1022" s="7">
        <f>O1022/$P1022</f>
      </c>
      <c r="S1022" s="8">
        <f>Q1022^2+R1022^2</f>
      </c>
      <c r="T1022" s="7">
        <f>-R1022</f>
      </c>
      <c r="U1022" s="7">
        <f>Q1022</f>
      </c>
      <c r="V1022" s="7">
        <f>($C$14+($C$15-$C$14)/($D$15-$D$14)*(I1022-$D$14))/2</f>
      </c>
      <c r="W1022" s="7">
        <f>($B$22*I1022^4+$C$22*I1022^3+$D$22*I1022^2+$E$22*I1022+$F$22)/2</f>
      </c>
      <c r="X1022" s="7">
        <f>($W1022)*(T1022)</f>
      </c>
      <c r="Y1022" s="7">
        <f>($W1022)*(U1022)</f>
      </c>
      <c r="Z1022" s="7">
        <f>SQRT(X1022^2+Y1022^2)</f>
      </c>
      <c r="AA1022" s="7">
        <f>$K1022+$X1022</f>
      </c>
      <c r="AB1022" s="7">
        <f>$L1022+$Y1022</f>
      </c>
      <c r="AC1022" s="7">
        <f>$K1022-$X1022</f>
      </c>
      <c r="AD1022" s="7">
        <f>$L1022-$Y1022</f>
      </c>
      <c r="AE1022" s="7">
        <f>AA1022/39.3701</f>
      </c>
      <c r="AF1022" s="7">
        <f>AB1022/39.3701</f>
      </c>
      <c r="AG1022" s="7">
        <f>AC1022/39.3701</f>
      </c>
      <c r="AH1022" s="7">
        <f>AD1022/39.3701</f>
      </c>
      <c r="AI1022" s="1"/>
      <c r="AJ1022" s="1"/>
      <c r="AK1022" s="1"/>
      <c r="AL1022" s="1"/>
      <c r="AM1022" s="2"/>
      <c r="AN1022" s="1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  <c r="BA1022" s="1"/>
      <c r="BB1022" s="1"/>
      <c r="BC1022" s="1"/>
      <c r="BD1022" s="1"/>
      <c r="BE1022" s="1"/>
    </row>
    <row x14ac:dyDescent="0.25" r="1023" customHeight="1" ht="18.75">
      <c r="A1023" s="1"/>
      <c r="B1023" s="2"/>
      <c r="C1023" s="2"/>
      <c r="D1023" s="2"/>
      <c r="E1023" s="2"/>
      <c r="F1023" s="2"/>
      <c r="G1023" s="1"/>
      <c r="H1023" s="1"/>
      <c r="I1023" s="7">
        <v>1.02</v>
      </c>
      <c r="J1023" s="7">
        <f>IF((I1023-ROUNDDOWN(I1023,0))=0, 0, (I1023-ROUNDDOWN(I1023,0)))</f>
      </c>
      <c r="K1023" s="7">
        <f>INDIRECT("C$"&amp;2+MIN(2,ROUNDDOWN(I1023,0))*3)*(-$J1023^3+3*$J1023^2-3*$J1023+1)+INDIRECT("C$"&amp;3+MIN(2,ROUNDDOWN(I1023,0))*3)*(3*$J1023^3-6*$J1023^2+3*$J1023)+INDIRECT("C$"&amp;4+MIN(2,ROUNDDOWN(I1023,0))*3)*(-3*$J1023^3+3*$J1023^2)+INDIRECT("C$"&amp;5+MIN(2,ROUNDDOWN(I1023,0))*3)*$J1023^3</f>
      </c>
      <c r="L1023" s="7">
        <f>INDIRECT("D$"&amp;2+MIN(2,ROUNDDOWN(I1023,0))*3)*(-$J1023^3+3*$J1023^2-3*$J1023+1)+INDIRECT("D$"&amp;3+MIN(2,ROUNDDOWN(I1023,0))*3)*(3*$J1023^3-6*$J1023^2+3*$J1023)+INDIRECT("D$"&amp;4+MIN(2,ROUNDDOWN(I1023,0))*3)*(-3*$J1023^3+3*$J1023^2)+INDIRECT("D$"&amp;5+MIN(2,ROUNDDOWN(I1023,0))*3)*$J1023^3</f>
      </c>
      <c r="M1023" s="7">
        <f>SQRT(K1023^2+L1023^2)</f>
      </c>
      <c r="N1023" s="7">
        <f>(K1024-K1022)</f>
      </c>
      <c r="O1023" s="7">
        <f>+(L1024-L1022)</f>
      </c>
      <c r="P1023" s="7">
        <f>SQRT(O1023^2+N1023^2)</f>
      </c>
      <c r="Q1023" s="7">
        <f>N1023/$P1023</f>
      </c>
      <c r="R1023" s="7">
        <f>O1023/$P1023</f>
      </c>
      <c r="S1023" s="8">
        <f>Q1023^2+R1023^2</f>
      </c>
      <c r="T1023" s="7">
        <f>-R1023</f>
      </c>
      <c r="U1023" s="7">
        <f>Q1023</f>
      </c>
      <c r="V1023" s="7">
        <f>($C$14+($C$15-$C$14)/($D$15-$D$14)*(I1023-$D$14))/2</f>
      </c>
      <c r="W1023" s="7">
        <f>($B$22*I1023^4+$C$22*I1023^3+$D$22*I1023^2+$E$22*I1023+$F$22)/2</f>
      </c>
      <c r="X1023" s="7">
        <f>($W1023)*(T1023)</f>
      </c>
      <c r="Y1023" s="7">
        <f>($W1023)*(U1023)</f>
      </c>
      <c r="Z1023" s="7">
        <f>SQRT(X1023^2+Y1023^2)</f>
      </c>
      <c r="AA1023" s="7">
        <f>$K1023+$X1023</f>
      </c>
      <c r="AB1023" s="7">
        <f>$L1023+$Y1023</f>
      </c>
      <c r="AC1023" s="7">
        <f>$K1023-$X1023</f>
      </c>
      <c r="AD1023" s="7">
        <f>$L1023-$Y1023</f>
      </c>
      <c r="AE1023" s="7">
        <f>AA1023/39.3701</f>
      </c>
      <c r="AF1023" s="7">
        <f>AB1023/39.3701</f>
      </c>
      <c r="AG1023" s="7">
        <f>AC1023/39.3701</f>
      </c>
      <c r="AH1023" s="7">
        <f>AD1023/39.3701</f>
      </c>
      <c r="AI1023" s="1"/>
      <c r="AJ1023" s="1"/>
      <c r="AK1023" s="1"/>
      <c r="AL1023" s="1"/>
      <c r="AM1023" s="2"/>
      <c r="AN1023" s="1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  <c r="BA1023" s="1"/>
      <c r="BB1023" s="1"/>
      <c r="BC1023" s="1"/>
      <c r="BD1023" s="1"/>
      <c r="BE1023" s="1"/>
    </row>
    <row x14ac:dyDescent="0.25" r="1024" customHeight="1" ht="18.75">
      <c r="A1024" s="1"/>
      <c r="B1024" s="2"/>
      <c r="C1024" s="2"/>
      <c r="D1024" s="2"/>
      <c r="E1024" s="2"/>
      <c r="F1024" s="2"/>
      <c r="G1024" s="1"/>
      <c r="H1024" s="1"/>
      <c r="I1024" s="7">
        <v>1.021</v>
      </c>
      <c r="J1024" s="7">
        <f>IF((I1024-ROUNDDOWN(I1024,0))=0, 0, (I1024-ROUNDDOWN(I1024,0)))</f>
      </c>
      <c r="K1024" s="7">
        <f>INDIRECT("C$"&amp;2+MIN(2,ROUNDDOWN(I1024,0))*3)*(-$J1024^3+3*$J1024^2-3*$J1024+1)+INDIRECT("C$"&amp;3+MIN(2,ROUNDDOWN(I1024,0))*3)*(3*$J1024^3-6*$J1024^2+3*$J1024)+INDIRECT("C$"&amp;4+MIN(2,ROUNDDOWN(I1024,0))*3)*(-3*$J1024^3+3*$J1024^2)+INDIRECT("C$"&amp;5+MIN(2,ROUNDDOWN(I1024,0))*3)*$J1024^3</f>
      </c>
      <c r="L1024" s="7">
        <f>INDIRECT("D$"&amp;2+MIN(2,ROUNDDOWN(I1024,0))*3)*(-$J1024^3+3*$J1024^2-3*$J1024+1)+INDIRECT("D$"&amp;3+MIN(2,ROUNDDOWN(I1024,0))*3)*(3*$J1024^3-6*$J1024^2+3*$J1024)+INDIRECT("D$"&amp;4+MIN(2,ROUNDDOWN(I1024,0))*3)*(-3*$J1024^3+3*$J1024^2)+INDIRECT("D$"&amp;5+MIN(2,ROUNDDOWN(I1024,0))*3)*$J1024^3</f>
      </c>
      <c r="M1024" s="7">
        <f>SQRT(K1024^2+L1024^2)</f>
      </c>
      <c r="N1024" s="7">
        <f>(K1025-K1023)</f>
      </c>
      <c r="O1024" s="7">
        <f>+(L1025-L1023)</f>
      </c>
      <c r="P1024" s="7">
        <f>SQRT(O1024^2+N1024^2)</f>
      </c>
      <c r="Q1024" s="7">
        <f>N1024/$P1024</f>
      </c>
      <c r="R1024" s="7">
        <f>O1024/$P1024</f>
      </c>
      <c r="S1024" s="7">
        <f>Q1024^2+R1024^2</f>
      </c>
      <c r="T1024" s="7">
        <f>-R1024</f>
      </c>
      <c r="U1024" s="7">
        <f>Q1024</f>
      </c>
      <c r="V1024" s="7">
        <f>($C$14+($C$15-$C$14)/($D$15-$D$14)*(I1024-$D$14))/2</f>
      </c>
      <c r="W1024" s="7">
        <f>($B$22*I1024^4+$C$22*I1024^3+$D$22*I1024^2+$E$22*I1024+$F$22)/2</f>
      </c>
      <c r="X1024" s="7">
        <f>($W1024)*(T1024)</f>
      </c>
      <c r="Y1024" s="7">
        <f>($W1024)*(U1024)</f>
      </c>
      <c r="Z1024" s="7">
        <f>SQRT(X1024^2+Y1024^2)</f>
      </c>
      <c r="AA1024" s="7">
        <f>$K1024+$X1024</f>
      </c>
      <c r="AB1024" s="7">
        <f>$L1024+$Y1024</f>
      </c>
      <c r="AC1024" s="7">
        <f>$K1024-$X1024</f>
      </c>
      <c r="AD1024" s="7">
        <f>$L1024-$Y1024</f>
      </c>
      <c r="AE1024" s="7">
        <f>AA1024/39.3701</f>
      </c>
      <c r="AF1024" s="7">
        <f>AB1024/39.3701</f>
      </c>
      <c r="AG1024" s="7">
        <f>AC1024/39.3701</f>
      </c>
      <c r="AH1024" s="7">
        <f>AD1024/39.3701</f>
      </c>
      <c r="AI1024" s="1"/>
      <c r="AJ1024" s="1"/>
      <c r="AK1024" s="1"/>
      <c r="AL1024" s="1"/>
      <c r="AM1024" s="2"/>
      <c r="AN1024" s="1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  <c r="BA1024" s="1"/>
      <c r="BB1024" s="1"/>
      <c r="BC1024" s="1"/>
      <c r="BD1024" s="1"/>
      <c r="BE1024" s="1"/>
    </row>
    <row x14ac:dyDescent="0.25" r="1025" customHeight="1" ht="18.75">
      <c r="A1025" s="1"/>
      <c r="B1025" s="2"/>
      <c r="C1025" s="2"/>
      <c r="D1025" s="2"/>
      <c r="E1025" s="2"/>
      <c r="F1025" s="2"/>
      <c r="G1025" s="1"/>
      <c r="H1025" s="1"/>
      <c r="I1025" s="7">
        <v>1.022</v>
      </c>
      <c r="J1025" s="7">
        <f>IF((I1025-ROUNDDOWN(I1025,0))=0, 0, (I1025-ROUNDDOWN(I1025,0)))</f>
      </c>
      <c r="K1025" s="7">
        <f>INDIRECT("C$"&amp;2+MIN(2,ROUNDDOWN(I1025,0))*3)*(-$J1025^3+3*$J1025^2-3*$J1025+1)+INDIRECT("C$"&amp;3+MIN(2,ROUNDDOWN(I1025,0))*3)*(3*$J1025^3-6*$J1025^2+3*$J1025)+INDIRECT("C$"&amp;4+MIN(2,ROUNDDOWN(I1025,0))*3)*(-3*$J1025^3+3*$J1025^2)+INDIRECT("C$"&amp;5+MIN(2,ROUNDDOWN(I1025,0))*3)*$J1025^3</f>
      </c>
      <c r="L1025" s="7">
        <f>INDIRECT("D$"&amp;2+MIN(2,ROUNDDOWN(I1025,0))*3)*(-$J1025^3+3*$J1025^2-3*$J1025+1)+INDIRECT("D$"&amp;3+MIN(2,ROUNDDOWN(I1025,0))*3)*(3*$J1025^3-6*$J1025^2+3*$J1025)+INDIRECT("D$"&amp;4+MIN(2,ROUNDDOWN(I1025,0))*3)*(-3*$J1025^3+3*$J1025^2)+INDIRECT("D$"&amp;5+MIN(2,ROUNDDOWN(I1025,0))*3)*$J1025^3</f>
      </c>
      <c r="M1025" s="7">
        <f>SQRT(K1025^2+L1025^2)</f>
      </c>
      <c r="N1025" s="7">
        <f>(K1026-K1024)</f>
      </c>
      <c r="O1025" s="7">
        <f>+(L1026-L1024)</f>
      </c>
      <c r="P1025" s="7">
        <f>SQRT(O1025^2+N1025^2)</f>
      </c>
      <c r="Q1025" s="7">
        <f>N1025/$P1025</f>
      </c>
      <c r="R1025" s="7">
        <f>O1025/$P1025</f>
      </c>
      <c r="S1025" s="7">
        <f>Q1025^2+R1025^2</f>
      </c>
      <c r="T1025" s="7">
        <f>-R1025</f>
      </c>
      <c r="U1025" s="7">
        <f>Q1025</f>
      </c>
      <c r="V1025" s="7">
        <f>($C$14+($C$15-$C$14)/($D$15-$D$14)*(I1025-$D$14))/2</f>
      </c>
      <c r="W1025" s="7">
        <f>($B$22*I1025^4+$C$22*I1025^3+$D$22*I1025^2+$E$22*I1025+$F$22)/2</f>
      </c>
      <c r="X1025" s="7">
        <f>($W1025)*(T1025)</f>
      </c>
      <c r="Y1025" s="7">
        <f>($W1025)*(U1025)</f>
      </c>
      <c r="Z1025" s="7">
        <f>SQRT(X1025^2+Y1025^2)</f>
      </c>
      <c r="AA1025" s="7">
        <f>$K1025+$X1025</f>
      </c>
      <c r="AB1025" s="7">
        <f>$L1025+$Y1025</f>
      </c>
      <c r="AC1025" s="7">
        <f>$K1025-$X1025</f>
      </c>
      <c r="AD1025" s="7">
        <f>$L1025-$Y1025</f>
      </c>
      <c r="AE1025" s="7">
        <f>AA1025/39.3701</f>
      </c>
      <c r="AF1025" s="7">
        <f>AB1025/39.3701</f>
      </c>
      <c r="AG1025" s="7">
        <f>AC1025/39.3701</f>
      </c>
      <c r="AH1025" s="7">
        <f>AD1025/39.3701</f>
      </c>
      <c r="AI1025" s="1"/>
      <c r="AJ1025" s="1"/>
      <c r="AK1025" s="1"/>
      <c r="AL1025" s="1"/>
      <c r="AM1025" s="2"/>
      <c r="AN1025" s="1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  <c r="BA1025" s="1"/>
      <c r="BB1025" s="1"/>
      <c r="BC1025" s="1"/>
      <c r="BD1025" s="1"/>
      <c r="BE1025" s="1"/>
    </row>
    <row x14ac:dyDescent="0.25" r="1026" customHeight="1" ht="18.75">
      <c r="A1026" s="1"/>
      <c r="B1026" s="2"/>
      <c r="C1026" s="2"/>
      <c r="D1026" s="2"/>
      <c r="E1026" s="2"/>
      <c r="F1026" s="2"/>
      <c r="G1026" s="1"/>
      <c r="H1026" s="1"/>
      <c r="I1026" s="7">
        <v>1.023</v>
      </c>
      <c r="J1026" s="7">
        <f>IF((I1026-ROUNDDOWN(I1026,0))=0, 0, (I1026-ROUNDDOWN(I1026,0)))</f>
      </c>
      <c r="K1026" s="7">
        <f>INDIRECT("C$"&amp;2+MIN(2,ROUNDDOWN(I1026,0))*3)*(-$J1026^3+3*$J1026^2-3*$J1026+1)+INDIRECT("C$"&amp;3+MIN(2,ROUNDDOWN(I1026,0))*3)*(3*$J1026^3-6*$J1026^2+3*$J1026)+INDIRECT("C$"&amp;4+MIN(2,ROUNDDOWN(I1026,0))*3)*(-3*$J1026^3+3*$J1026^2)+INDIRECT("C$"&amp;5+MIN(2,ROUNDDOWN(I1026,0))*3)*$J1026^3</f>
      </c>
      <c r="L1026" s="7">
        <f>INDIRECT("D$"&amp;2+MIN(2,ROUNDDOWN(I1026,0))*3)*(-$J1026^3+3*$J1026^2-3*$J1026+1)+INDIRECT("D$"&amp;3+MIN(2,ROUNDDOWN(I1026,0))*3)*(3*$J1026^3-6*$J1026^2+3*$J1026)+INDIRECT("D$"&amp;4+MIN(2,ROUNDDOWN(I1026,0))*3)*(-3*$J1026^3+3*$J1026^2)+INDIRECT("D$"&amp;5+MIN(2,ROUNDDOWN(I1026,0))*3)*$J1026^3</f>
      </c>
      <c r="M1026" s="7">
        <f>SQRT(K1026^2+L1026^2)</f>
      </c>
      <c r="N1026" s="7">
        <f>(K1027-K1025)</f>
      </c>
      <c r="O1026" s="7">
        <f>+(L1027-L1025)</f>
      </c>
      <c r="P1026" s="7">
        <f>SQRT(O1026^2+N1026^2)</f>
      </c>
      <c r="Q1026" s="7">
        <f>N1026/$P1026</f>
      </c>
      <c r="R1026" s="7">
        <f>O1026/$P1026</f>
      </c>
      <c r="S1026" s="8">
        <f>Q1026^2+R1026^2</f>
      </c>
      <c r="T1026" s="7">
        <f>-R1026</f>
      </c>
      <c r="U1026" s="7">
        <f>Q1026</f>
      </c>
      <c r="V1026" s="7">
        <f>($C$14+($C$15-$C$14)/($D$15-$D$14)*(I1026-$D$14))/2</f>
      </c>
      <c r="W1026" s="7">
        <f>($B$22*I1026^4+$C$22*I1026^3+$D$22*I1026^2+$E$22*I1026+$F$22)/2</f>
      </c>
      <c r="X1026" s="7">
        <f>($W1026)*(T1026)</f>
      </c>
      <c r="Y1026" s="7">
        <f>($W1026)*(U1026)</f>
      </c>
      <c r="Z1026" s="7">
        <f>SQRT(X1026^2+Y1026^2)</f>
      </c>
      <c r="AA1026" s="7">
        <f>$K1026+$X1026</f>
      </c>
      <c r="AB1026" s="7">
        <f>$L1026+$Y1026</f>
      </c>
      <c r="AC1026" s="7">
        <f>$K1026-$X1026</f>
      </c>
      <c r="AD1026" s="7">
        <f>$L1026-$Y1026</f>
      </c>
      <c r="AE1026" s="7">
        <f>AA1026/39.3701</f>
      </c>
      <c r="AF1026" s="7">
        <f>AB1026/39.3701</f>
      </c>
      <c r="AG1026" s="7">
        <f>AC1026/39.3701</f>
      </c>
      <c r="AH1026" s="7">
        <f>AD1026/39.3701</f>
      </c>
      <c r="AI1026" s="1"/>
      <c r="AJ1026" s="1"/>
      <c r="AK1026" s="1"/>
      <c r="AL1026" s="1"/>
      <c r="AM1026" s="2"/>
      <c r="AN1026" s="1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  <c r="BA1026" s="1"/>
      <c r="BB1026" s="1"/>
      <c r="BC1026" s="1"/>
      <c r="BD1026" s="1"/>
      <c r="BE1026" s="1"/>
    </row>
    <row x14ac:dyDescent="0.25" r="1027" customHeight="1" ht="18.75">
      <c r="A1027" s="1"/>
      <c r="B1027" s="2"/>
      <c r="C1027" s="2"/>
      <c r="D1027" s="2"/>
      <c r="E1027" s="2"/>
      <c r="F1027" s="2"/>
      <c r="G1027" s="1"/>
      <c r="H1027" s="1"/>
      <c r="I1027" s="7">
        <v>1.024</v>
      </c>
      <c r="J1027" s="7">
        <f>IF((I1027-ROUNDDOWN(I1027,0))=0, 0, (I1027-ROUNDDOWN(I1027,0)))</f>
      </c>
      <c r="K1027" s="7">
        <f>INDIRECT("C$"&amp;2+MIN(2,ROUNDDOWN(I1027,0))*3)*(-$J1027^3+3*$J1027^2-3*$J1027+1)+INDIRECT("C$"&amp;3+MIN(2,ROUNDDOWN(I1027,0))*3)*(3*$J1027^3-6*$J1027^2+3*$J1027)+INDIRECT("C$"&amp;4+MIN(2,ROUNDDOWN(I1027,0))*3)*(-3*$J1027^3+3*$J1027^2)+INDIRECT("C$"&amp;5+MIN(2,ROUNDDOWN(I1027,0))*3)*$J1027^3</f>
      </c>
      <c r="L1027" s="7">
        <f>INDIRECT("D$"&amp;2+MIN(2,ROUNDDOWN(I1027,0))*3)*(-$J1027^3+3*$J1027^2-3*$J1027+1)+INDIRECT("D$"&amp;3+MIN(2,ROUNDDOWN(I1027,0))*3)*(3*$J1027^3-6*$J1027^2+3*$J1027)+INDIRECT("D$"&amp;4+MIN(2,ROUNDDOWN(I1027,0))*3)*(-3*$J1027^3+3*$J1027^2)+INDIRECT("D$"&amp;5+MIN(2,ROUNDDOWN(I1027,0))*3)*$J1027^3</f>
      </c>
      <c r="M1027" s="7">
        <f>SQRT(K1027^2+L1027^2)</f>
      </c>
      <c r="N1027" s="7">
        <f>(K1028-K1026)</f>
      </c>
      <c r="O1027" s="7">
        <f>+(L1028-L1026)</f>
      </c>
      <c r="P1027" s="7">
        <f>SQRT(O1027^2+N1027^2)</f>
      </c>
      <c r="Q1027" s="7">
        <f>N1027/$P1027</f>
      </c>
      <c r="R1027" s="7">
        <f>O1027/$P1027</f>
      </c>
      <c r="S1027" s="8">
        <f>Q1027^2+R1027^2</f>
      </c>
      <c r="T1027" s="7">
        <f>-R1027</f>
      </c>
      <c r="U1027" s="7">
        <f>Q1027</f>
      </c>
      <c r="V1027" s="7">
        <f>($C$14+($C$15-$C$14)/($D$15-$D$14)*(I1027-$D$14))/2</f>
      </c>
      <c r="W1027" s="7">
        <f>($B$22*I1027^4+$C$22*I1027^3+$D$22*I1027^2+$E$22*I1027+$F$22)/2</f>
      </c>
      <c r="X1027" s="7">
        <f>($W1027)*(T1027)</f>
      </c>
      <c r="Y1027" s="7">
        <f>($W1027)*(U1027)</f>
      </c>
      <c r="Z1027" s="7">
        <f>SQRT(X1027^2+Y1027^2)</f>
      </c>
      <c r="AA1027" s="7">
        <f>$K1027+$X1027</f>
      </c>
      <c r="AB1027" s="7">
        <f>$L1027+$Y1027</f>
      </c>
      <c r="AC1027" s="7">
        <f>$K1027-$X1027</f>
      </c>
      <c r="AD1027" s="7">
        <f>$L1027-$Y1027</f>
      </c>
      <c r="AE1027" s="7">
        <f>AA1027/39.3701</f>
      </c>
      <c r="AF1027" s="7">
        <f>AB1027/39.3701</f>
      </c>
      <c r="AG1027" s="7">
        <f>AC1027/39.3701</f>
      </c>
      <c r="AH1027" s="7">
        <f>AD1027/39.3701</f>
      </c>
      <c r="AI1027" s="1"/>
      <c r="AJ1027" s="1"/>
      <c r="AK1027" s="1"/>
      <c r="AL1027" s="1"/>
      <c r="AM1027" s="2"/>
      <c r="AN1027" s="1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  <c r="BA1027" s="1"/>
      <c r="BB1027" s="1"/>
      <c r="BC1027" s="1"/>
      <c r="BD1027" s="1"/>
      <c r="BE1027" s="1"/>
    </row>
    <row x14ac:dyDescent="0.25" r="1028" customHeight="1" ht="18.75">
      <c r="A1028" s="1"/>
      <c r="B1028" s="2"/>
      <c r="C1028" s="2"/>
      <c r="D1028" s="2"/>
      <c r="E1028" s="2"/>
      <c r="F1028" s="2"/>
      <c r="G1028" s="1"/>
      <c r="H1028" s="1"/>
      <c r="I1028" s="7">
        <v>1.025</v>
      </c>
      <c r="J1028" s="7">
        <f>IF((I1028-ROUNDDOWN(I1028,0))=0, 0, (I1028-ROUNDDOWN(I1028,0)))</f>
      </c>
      <c r="K1028" s="7">
        <f>INDIRECT("C$"&amp;2+MIN(2,ROUNDDOWN(I1028,0))*3)*(-$J1028^3+3*$J1028^2-3*$J1028+1)+INDIRECT("C$"&amp;3+MIN(2,ROUNDDOWN(I1028,0))*3)*(3*$J1028^3-6*$J1028^2+3*$J1028)+INDIRECT("C$"&amp;4+MIN(2,ROUNDDOWN(I1028,0))*3)*(-3*$J1028^3+3*$J1028^2)+INDIRECT("C$"&amp;5+MIN(2,ROUNDDOWN(I1028,0))*3)*$J1028^3</f>
      </c>
      <c r="L1028" s="7">
        <f>INDIRECT("D$"&amp;2+MIN(2,ROUNDDOWN(I1028,0))*3)*(-$J1028^3+3*$J1028^2-3*$J1028+1)+INDIRECT("D$"&amp;3+MIN(2,ROUNDDOWN(I1028,0))*3)*(3*$J1028^3-6*$J1028^2+3*$J1028)+INDIRECT("D$"&amp;4+MIN(2,ROUNDDOWN(I1028,0))*3)*(-3*$J1028^3+3*$J1028^2)+INDIRECT("D$"&amp;5+MIN(2,ROUNDDOWN(I1028,0))*3)*$J1028^3</f>
      </c>
      <c r="M1028" s="7">
        <f>SQRT(K1028^2+L1028^2)</f>
      </c>
      <c r="N1028" s="7">
        <f>(K1029-K1027)</f>
      </c>
      <c r="O1028" s="7">
        <f>+(L1029-L1027)</f>
      </c>
      <c r="P1028" s="7">
        <f>SQRT(O1028^2+N1028^2)</f>
      </c>
      <c r="Q1028" s="7">
        <f>N1028/$P1028</f>
      </c>
      <c r="R1028" s="7">
        <f>O1028/$P1028</f>
      </c>
      <c r="S1028" s="7">
        <f>Q1028^2+R1028^2</f>
      </c>
      <c r="T1028" s="7">
        <f>-R1028</f>
      </c>
      <c r="U1028" s="7">
        <f>Q1028</f>
      </c>
      <c r="V1028" s="7">
        <f>($C$14+($C$15-$C$14)/($D$15-$D$14)*(I1028-$D$14))/2</f>
      </c>
      <c r="W1028" s="7">
        <f>($B$22*I1028^4+$C$22*I1028^3+$D$22*I1028^2+$E$22*I1028+$F$22)/2</f>
      </c>
      <c r="X1028" s="7">
        <f>($W1028)*(T1028)</f>
      </c>
      <c r="Y1028" s="7">
        <f>($W1028)*(U1028)</f>
      </c>
      <c r="Z1028" s="7">
        <f>SQRT(X1028^2+Y1028^2)</f>
      </c>
      <c r="AA1028" s="7">
        <f>$K1028+$X1028</f>
      </c>
      <c r="AB1028" s="7">
        <f>$L1028+$Y1028</f>
      </c>
      <c r="AC1028" s="7">
        <f>$K1028-$X1028</f>
      </c>
      <c r="AD1028" s="7">
        <f>$L1028-$Y1028</f>
      </c>
      <c r="AE1028" s="7">
        <f>AA1028/39.3701</f>
      </c>
      <c r="AF1028" s="7">
        <f>AB1028/39.3701</f>
      </c>
      <c r="AG1028" s="7">
        <f>AC1028/39.3701</f>
      </c>
      <c r="AH1028" s="7">
        <f>AD1028/39.3701</f>
      </c>
      <c r="AI1028" s="1"/>
      <c r="AJ1028" s="1"/>
      <c r="AK1028" s="1"/>
      <c r="AL1028" s="1"/>
      <c r="AM1028" s="2"/>
      <c r="AN1028" s="1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  <c r="BA1028" s="1"/>
      <c r="BB1028" s="1"/>
      <c r="BC1028" s="1"/>
      <c r="BD1028" s="1"/>
      <c r="BE1028" s="1"/>
    </row>
    <row x14ac:dyDescent="0.25" r="1029" customHeight="1" ht="18.75">
      <c r="A1029" s="1"/>
      <c r="B1029" s="2"/>
      <c r="C1029" s="2"/>
      <c r="D1029" s="2"/>
      <c r="E1029" s="2"/>
      <c r="F1029" s="2"/>
      <c r="G1029" s="1"/>
      <c r="H1029" s="1"/>
      <c r="I1029" s="7">
        <v>1.026</v>
      </c>
      <c r="J1029" s="7">
        <f>IF((I1029-ROUNDDOWN(I1029,0))=0, 0, (I1029-ROUNDDOWN(I1029,0)))</f>
      </c>
      <c r="K1029" s="7">
        <f>INDIRECT("C$"&amp;2+MIN(2,ROUNDDOWN(I1029,0))*3)*(-$J1029^3+3*$J1029^2-3*$J1029+1)+INDIRECT("C$"&amp;3+MIN(2,ROUNDDOWN(I1029,0))*3)*(3*$J1029^3-6*$J1029^2+3*$J1029)+INDIRECT("C$"&amp;4+MIN(2,ROUNDDOWN(I1029,0))*3)*(-3*$J1029^3+3*$J1029^2)+INDIRECT("C$"&amp;5+MIN(2,ROUNDDOWN(I1029,0))*3)*$J1029^3</f>
      </c>
      <c r="L1029" s="7">
        <f>INDIRECT("D$"&amp;2+MIN(2,ROUNDDOWN(I1029,0))*3)*(-$J1029^3+3*$J1029^2-3*$J1029+1)+INDIRECT("D$"&amp;3+MIN(2,ROUNDDOWN(I1029,0))*3)*(3*$J1029^3-6*$J1029^2+3*$J1029)+INDIRECT("D$"&amp;4+MIN(2,ROUNDDOWN(I1029,0))*3)*(-3*$J1029^3+3*$J1029^2)+INDIRECT("D$"&amp;5+MIN(2,ROUNDDOWN(I1029,0))*3)*$J1029^3</f>
      </c>
      <c r="M1029" s="7">
        <f>SQRT(K1029^2+L1029^2)</f>
      </c>
      <c r="N1029" s="7">
        <f>(K1030-K1028)</f>
      </c>
      <c r="O1029" s="7">
        <f>+(L1030-L1028)</f>
      </c>
      <c r="P1029" s="7">
        <f>SQRT(O1029^2+N1029^2)</f>
      </c>
      <c r="Q1029" s="7">
        <f>N1029/$P1029</f>
      </c>
      <c r="R1029" s="7">
        <f>O1029/$P1029</f>
      </c>
      <c r="S1029" s="8">
        <f>Q1029^2+R1029^2</f>
      </c>
      <c r="T1029" s="7">
        <f>-R1029</f>
      </c>
      <c r="U1029" s="7">
        <f>Q1029</f>
      </c>
      <c r="V1029" s="7">
        <f>($C$14+($C$15-$C$14)/($D$15-$D$14)*(I1029-$D$14))/2</f>
      </c>
      <c r="W1029" s="7">
        <f>($B$22*I1029^4+$C$22*I1029^3+$D$22*I1029^2+$E$22*I1029+$F$22)/2</f>
      </c>
      <c r="X1029" s="7">
        <f>($W1029)*(T1029)</f>
      </c>
      <c r="Y1029" s="7">
        <f>($W1029)*(U1029)</f>
      </c>
      <c r="Z1029" s="7">
        <f>SQRT(X1029^2+Y1029^2)</f>
      </c>
      <c r="AA1029" s="7">
        <f>$K1029+$X1029</f>
      </c>
      <c r="AB1029" s="7">
        <f>$L1029+$Y1029</f>
      </c>
      <c r="AC1029" s="7">
        <f>$K1029-$X1029</f>
      </c>
      <c r="AD1029" s="7">
        <f>$L1029-$Y1029</f>
      </c>
      <c r="AE1029" s="7">
        <f>AA1029/39.3701</f>
      </c>
      <c r="AF1029" s="7">
        <f>AB1029/39.3701</f>
      </c>
      <c r="AG1029" s="7">
        <f>AC1029/39.3701</f>
      </c>
      <c r="AH1029" s="7">
        <f>AD1029/39.3701</f>
      </c>
      <c r="AI1029" s="1"/>
      <c r="AJ1029" s="1"/>
      <c r="AK1029" s="1"/>
      <c r="AL1029" s="1"/>
      <c r="AM1029" s="2"/>
      <c r="AN1029" s="1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  <c r="BA1029" s="1"/>
      <c r="BB1029" s="1"/>
      <c r="BC1029" s="1"/>
      <c r="BD1029" s="1"/>
      <c r="BE1029" s="1"/>
    </row>
    <row x14ac:dyDescent="0.25" r="1030" customHeight="1" ht="18.75">
      <c r="A1030" s="1"/>
      <c r="B1030" s="2"/>
      <c r="C1030" s="2"/>
      <c r="D1030" s="2"/>
      <c r="E1030" s="2"/>
      <c r="F1030" s="2"/>
      <c r="G1030" s="1"/>
      <c r="H1030" s="1"/>
      <c r="I1030" s="7">
        <v>1.027</v>
      </c>
      <c r="J1030" s="7">
        <f>IF((I1030-ROUNDDOWN(I1030,0))=0, 0, (I1030-ROUNDDOWN(I1030,0)))</f>
      </c>
      <c r="K1030" s="7">
        <f>INDIRECT("C$"&amp;2+MIN(2,ROUNDDOWN(I1030,0))*3)*(-$J1030^3+3*$J1030^2-3*$J1030+1)+INDIRECT("C$"&amp;3+MIN(2,ROUNDDOWN(I1030,0))*3)*(3*$J1030^3-6*$J1030^2+3*$J1030)+INDIRECT("C$"&amp;4+MIN(2,ROUNDDOWN(I1030,0))*3)*(-3*$J1030^3+3*$J1030^2)+INDIRECT("C$"&amp;5+MIN(2,ROUNDDOWN(I1030,0))*3)*$J1030^3</f>
      </c>
      <c r="L1030" s="7">
        <f>INDIRECT("D$"&amp;2+MIN(2,ROUNDDOWN(I1030,0))*3)*(-$J1030^3+3*$J1030^2-3*$J1030+1)+INDIRECT("D$"&amp;3+MIN(2,ROUNDDOWN(I1030,0))*3)*(3*$J1030^3-6*$J1030^2+3*$J1030)+INDIRECT("D$"&amp;4+MIN(2,ROUNDDOWN(I1030,0))*3)*(-3*$J1030^3+3*$J1030^2)+INDIRECT("D$"&amp;5+MIN(2,ROUNDDOWN(I1030,0))*3)*$J1030^3</f>
      </c>
      <c r="M1030" s="7">
        <f>SQRT(K1030^2+L1030^2)</f>
      </c>
      <c r="N1030" s="7">
        <f>(K1031-K1029)</f>
      </c>
      <c r="O1030" s="7">
        <f>+(L1031-L1029)</f>
      </c>
      <c r="P1030" s="7">
        <f>SQRT(O1030^2+N1030^2)</f>
      </c>
      <c r="Q1030" s="7">
        <f>N1030/$P1030</f>
      </c>
      <c r="R1030" s="7">
        <f>O1030/$P1030</f>
      </c>
      <c r="S1030" s="8">
        <f>Q1030^2+R1030^2</f>
      </c>
      <c r="T1030" s="7">
        <f>-R1030</f>
      </c>
      <c r="U1030" s="7">
        <f>Q1030</f>
      </c>
      <c r="V1030" s="7">
        <f>($C$14+($C$15-$C$14)/($D$15-$D$14)*(I1030-$D$14))/2</f>
      </c>
      <c r="W1030" s="7">
        <f>($B$22*I1030^4+$C$22*I1030^3+$D$22*I1030^2+$E$22*I1030+$F$22)/2</f>
      </c>
      <c r="X1030" s="7">
        <f>($W1030)*(T1030)</f>
      </c>
      <c r="Y1030" s="7">
        <f>($W1030)*(U1030)</f>
      </c>
      <c r="Z1030" s="7">
        <f>SQRT(X1030^2+Y1030^2)</f>
      </c>
      <c r="AA1030" s="7">
        <f>$K1030+$X1030</f>
      </c>
      <c r="AB1030" s="7">
        <f>$L1030+$Y1030</f>
      </c>
      <c r="AC1030" s="7">
        <f>$K1030-$X1030</f>
      </c>
      <c r="AD1030" s="7">
        <f>$L1030-$Y1030</f>
      </c>
      <c r="AE1030" s="7">
        <f>AA1030/39.3701</f>
      </c>
      <c r="AF1030" s="7">
        <f>AB1030/39.3701</f>
      </c>
      <c r="AG1030" s="7">
        <f>AC1030/39.3701</f>
      </c>
      <c r="AH1030" s="7">
        <f>AD1030/39.3701</f>
      </c>
      <c r="AI1030" s="1"/>
      <c r="AJ1030" s="1"/>
      <c r="AK1030" s="1"/>
      <c r="AL1030" s="1"/>
      <c r="AM1030" s="2"/>
      <c r="AN1030" s="1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  <c r="BA1030" s="1"/>
      <c r="BB1030" s="1"/>
      <c r="BC1030" s="1"/>
      <c r="BD1030" s="1"/>
      <c r="BE1030" s="1"/>
    </row>
    <row x14ac:dyDescent="0.25" r="1031" customHeight="1" ht="18.75">
      <c r="A1031" s="1"/>
      <c r="B1031" s="2"/>
      <c r="C1031" s="2"/>
      <c r="D1031" s="2"/>
      <c r="E1031" s="2"/>
      <c r="F1031" s="2"/>
      <c r="G1031" s="1"/>
      <c r="H1031" s="1"/>
      <c r="I1031" s="7">
        <v>1.028</v>
      </c>
      <c r="J1031" s="7">
        <f>IF((I1031-ROUNDDOWN(I1031,0))=0, 0, (I1031-ROUNDDOWN(I1031,0)))</f>
      </c>
      <c r="K1031" s="7">
        <f>INDIRECT("C$"&amp;2+MIN(2,ROUNDDOWN(I1031,0))*3)*(-$J1031^3+3*$J1031^2-3*$J1031+1)+INDIRECT("C$"&amp;3+MIN(2,ROUNDDOWN(I1031,0))*3)*(3*$J1031^3-6*$J1031^2+3*$J1031)+INDIRECT("C$"&amp;4+MIN(2,ROUNDDOWN(I1031,0))*3)*(-3*$J1031^3+3*$J1031^2)+INDIRECT("C$"&amp;5+MIN(2,ROUNDDOWN(I1031,0))*3)*$J1031^3</f>
      </c>
      <c r="L1031" s="7">
        <f>INDIRECT("D$"&amp;2+MIN(2,ROUNDDOWN(I1031,0))*3)*(-$J1031^3+3*$J1031^2-3*$J1031+1)+INDIRECT("D$"&amp;3+MIN(2,ROUNDDOWN(I1031,0))*3)*(3*$J1031^3-6*$J1031^2+3*$J1031)+INDIRECT("D$"&amp;4+MIN(2,ROUNDDOWN(I1031,0))*3)*(-3*$J1031^3+3*$J1031^2)+INDIRECT("D$"&amp;5+MIN(2,ROUNDDOWN(I1031,0))*3)*$J1031^3</f>
      </c>
      <c r="M1031" s="7">
        <f>SQRT(K1031^2+L1031^2)</f>
      </c>
      <c r="N1031" s="7">
        <f>(K1032-K1030)</f>
      </c>
      <c r="O1031" s="7">
        <f>+(L1032-L1030)</f>
      </c>
      <c r="P1031" s="7">
        <f>SQRT(O1031^2+N1031^2)</f>
      </c>
      <c r="Q1031" s="7">
        <f>N1031/$P1031</f>
      </c>
      <c r="R1031" s="7">
        <f>O1031/$P1031</f>
      </c>
      <c r="S1031" s="7">
        <f>Q1031^2+R1031^2</f>
      </c>
      <c r="T1031" s="7">
        <f>-R1031</f>
      </c>
      <c r="U1031" s="7">
        <f>Q1031</f>
      </c>
      <c r="V1031" s="7">
        <f>($C$14+($C$15-$C$14)/($D$15-$D$14)*(I1031-$D$14))/2</f>
      </c>
      <c r="W1031" s="7">
        <f>($B$22*I1031^4+$C$22*I1031^3+$D$22*I1031^2+$E$22*I1031+$F$22)/2</f>
      </c>
      <c r="X1031" s="7">
        <f>($W1031)*(T1031)</f>
      </c>
      <c r="Y1031" s="7">
        <f>($W1031)*(U1031)</f>
      </c>
      <c r="Z1031" s="7">
        <f>SQRT(X1031^2+Y1031^2)</f>
      </c>
      <c r="AA1031" s="7">
        <f>$K1031+$X1031</f>
      </c>
      <c r="AB1031" s="7">
        <f>$L1031+$Y1031</f>
      </c>
      <c r="AC1031" s="7">
        <f>$K1031-$X1031</f>
      </c>
      <c r="AD1031" s="7">
        <f>$L1031-$Y1031</f>
      </c>
      <c r="AE1031" s="7">
        <f>AA1031/39.3701</f>
      </c>
      <c r="AF1031" s="7">
        <f>AB1031/39.3701</f>
      </c>
      <c r="AG1031" s="7">
        <f>AC1031/39.3701</f>
      </c>
      <c r="AH1031" s="7">
        <f>AD1031/39.3701</f>
      </c>
      <c r="AI1031" s="1"/>
      <c r="AJ1031" s="1"/>
      <c r="AK1031" s="1"/>
      <c r="AL1031" s="1"/>
      <c r="AM1031" s="2"/>
      <c r="AN1031" s="1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  <c r="BA1031" s="1"/>
      <c r="BB1031" s="1"/>
      <c r="BC1031" s="1"/>
      <c r="BD1031" s="1"/>
      <c r="BE1031" s="1"/>
    </row>
    <row x14ac:dyDescent="0.25" r="1032" customHeight="1" ht="18.75">
      <c r="A1032" s="1"/>
      <c r="B1032" s="2"/>
      <c r="C1032" s="2"/>
      <c r="D1032" s="2"/>
      <c r="E1032" s="2"/>
      <c r="F1032" s="2"/>
      <c r="G1032" s="1"/>
      <c r="H1032" s="1"/>
      <c r="I1032" s="7">
        <v>1.029</v>
      </c>
      <c r="J1032" s="7">
        <f>IF((I1032-ROUNDDOWN(I1032,0))=0, 0, (I1032-ROUNDDOWN(I1032,0)))</f>
      </c>
      <c r="K1032" s="7">
        <f>INDIRECT("C$"&amp;2+MIN(2,ROUNDDOWN(I1032,0))*3)*(-$J1032^3+3*$J1032^2-3*$J1032+1)+INDIRECT("C$"&amp;3+MIN(2,ROUNDDOWN(I1032,0))*3)*(3*$J1032^3-6*$J1032^2+3*$J1032)+INDIRECT("C$"&amp;4+MIN(2,ROUNDDOWN(I1032,0))*3)*(-3*$J1032^3+3*$J1032^2)+INDIRECT("C$"&amp;5+MIN(2,ROUNDDOWN(I1032,0))*3)*$J1032^3</f>
      </c>
      <c r="L1032" s="7">
        <f>INDIRECT("D$"&amp;2+MIN(2,ROUNDDOWN(I1032,0))*3)*(-$J1032^3+3*$J1032^2-3*$J1032+1)+INDIRECT("D$"&amp;3+MIN(2,ROUNDDOWN(I1032,0))*3)*(3*$J1032^3-6*$J1032^2+3*$J1032)+INDIRECT("D$"&amp;4+MIN(2,ROUNDDOWN(I1032,0))*3)*(-3*$J1032^3+3*$J1032^2)+INDIRECT("D$"&amp;5+MIN(2,ROUNDDOWN(I1032,0))*3)*$J1032^3</f>
      </c>
      <c r="M1032" s="7">
        <f>SQRT(K1032^2+L1032^2)</f>
      </c>
      <c r="N1032" s="7">
        <f>(K1033-K1031)</f>
      </c>
      <c r="O1032" s="7">
        <f>+(L1033-L1031)</f>
      </c>
      <c r="P1032" s="7">
        <f>SQRT(O1032^2+N1032^2)</f>
      </c>
      <c r="Q1032" s="7">
        <f>N1032/$P1032</f>
      </c>
      <c r="R1032" s="7">
        <f>O1032/$P1032</f>
      </c>
      <c r="S1032" s="8">
        <f>Q1032^2+R1032^2</f>
      </c>
      <c r="T1032" s="7">
        <f>-R1032</f>
      </c>
      <c r="U1032" s="7">
        <f>Q1032</f>
      </c>
      <c r="V1032" s="7">
        <f>($C$14+($C$15-$C$14)/($D$15-$D$14)*(I1032-$D$14))/2</f>
      </c>
      <c r="W1032" s="7">
        <f>($B$22*I1032^4+$C$22*I1032^3+$D$22*I1032^2+$E$22*I1032+$F$22)/2</f>
      </c>
      <c r="X1032" s="7">
        <f>($W1032)*(T1032)</f>
      </c>
      <c r="Y1032" s="7">
        <f>($W1032)*(U1032)</f>
      </c>
      <c r="Z1032" s="7">
        <f>SQRT(X1032^2+Y1032^2)</f>
      </c>
      <c r="AA1032" s="7">
        <f>$K1032+$X1032</f>
      </c>
      <c r="AB1032" s="7">
        <f>$L1032+$Y1032</f>
      </c>
      <c r="AC1032" s="7">
        <f>$K1032-$X1032</f>
      </c>
      <c r="AD1032" s="7">
        <f>$L1032-$Y1032</f>
      </c>
      <c r="AE1032" s="7">
        <f>AA1032/39.3701</f>
      </c>
      <c r="AF1032" s="7">
        <f>AB1032/39.3701</f>
      </c>
      <c r="AG1032" s="7">
        <f>AC1032/39.3701</f>
      </c>
      <c r="AH1032" s="7">
        <f>AD1032/39.3701</f>
      </c>
      <c r="AI1032" s="1"/>
      <c r="AJ1032" s="1"/>
      <c r="AK1032" s="1"/>
      <c r="AL1032" s="1"/>
      <c r="AM1032" s="2"/>
      <c r="AN1032" s="1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  <c r="BA1032" s="1"/>
      <c r="BB1032" s="1"/>
      <c r="BC1032" s="1"/>
      <c r="BD1032" s="1"/>
      <c r="BE1032" s="1"/>
    </row>
    <row x14ac:dyDescent="0.25" r="1033" customHeight="1" ht="18.75">
      <c r="A1033" s="1"/>
      <c r="B1033" s="2"/>
      <c r="C1033" s="2"/>
      <c r="D1033" s="2"/>
      <c r="E1033" s="2"/>
      <c r="F1033" s="2"/>
      <c r="G1033" s="1"/>
      <c r="H1033" s="1"/>
      <c r="I1033" s="7">
        <v>1.03</v>
      </c>
      <c r="J1033" s="7">
        <f>IF((I1033-ROUNDDOWN(I1033,0))=0, 0, (I1033-ROUNDDOWN(I1033,0)))</f>
      </c>
      <c r="K1033" s="7">
        <f>INDIRECT("C$"&amp;2+MIN(2,ROUNDDOWN(I1033,0))*3)*(-$J1033^3+3*$J1033^2-3*$J1033+1)+INDIRECT("C$"&amp;3+MIN(2,ROUNDDOWN(I1033,0))*3)*(3*$J1033^3-6*$J1033^2+3*$J1033)+INDIRECT("C$"&amp;4+MIN(2,ROUNDDOWN(I1033,0))*3)*(-3*$J1033^3+3*$J1033^2)+INDIRECT("C$"&amp;5+MIN(2,ROUNDDOWN(I1033,0))*3)*$J1033^3</f>
      </c>
      <c r="L1033" s="7">
        <f>INDIRECT("D$"&amp;2+MIN(2,ROUNDDOWN(I1033,0))*3)*(-$J1033^3+3*$J1033^2-3*$J1033+1)+INDIRECT("D$"&amp;3+MIN(2,ROUNDDOWN(I1033,0))*3)*(3*$J1033^3-6*$J1033^2+3*$J1033)+INDIRECT("D$"&amp;4+MIN(2,ROUNDDOWN(I1033,0))*3)*(-3*$J1033^3+3*$J1033^2)+INDIRECT("D$"&amp;5+MIN(2,ROUNDDOWN(I1033,0))*3)*$J1033^3</f>
      </c>
      <c r="M1033" s="7">
        <f>SQRT(K1033^2+L1033^2)</f>
      </c>
      <c r="N1033" s="7">
        <f>(K1034-K1032)</f>
      </c>
      <c r="O1033" s="7">
        <f>+(L1034-L1032)</f>
      </c>
      <c r="P1033" s="7">
        <f>SQRT(O1033^2+N1033^2)</f>
      </c>
      <c r="Q1033" s="7">
        <f>N1033/$P1033</f>
      </c>
      <c r="R1033" s="7">
        <f>O1033/$P1033</f>
      </c>
      <c r="S1033" s="8">
        <f>Q1033^2+R1033^2</f>
      </c>
      <c r="T1033" s="7">
        <f>-R1033</f>
      </c>
      <c r="U1033" s="7">
        <f>Q1033</f>
      </c>
      <c r="V1033" s="7">
        <f>($C$14+($C$15-$C$14)/($D$15-$D$14)*(I1033-$D$14))/2</f>
      </c>
      <c r="W1033" s="7">
        <f>($B$22*I1033^4+$C$22*I1033^3+$D$22*I1033^2+$E$22*I1033+$F$22)/2</f>
      </c>
      <c r="X1033" s="7">
        <f>($W1033)*(T1033)</f>
      </c>
      <c r="Y1033" s="7">
        <f>($W1033)*(U1033)</f>
      </c>
      <c r="Z1033" s="7">
        <f>SQRT(X1033^2+Y1033^2)</f>
      </c>
      <c r="AA1033" s="7">
        <f>$K1033+$X1033</f>
      </c>
      <c r="AB1033" s="7">
        <f>$L1033+$Y1033</f>
      </c>
      <c r="AC1033" s="7">
        <f>$K1033-$X1033</f>
      </c>
      <c r="AD1033" s="7">
        <f>$L1033-$Y1033</f>
      </c>
      <c r="AE1033" s="7">
        <f>AA1033/39.3701</f>
      </c>
      <c r="AF1033" s="7">
        <f>AB1033/39.3701</f>
      </c>
      <c r="AG1033" s="7">
        <f>AC1033/39.3701</f>
      </c>
      <c r="AH1033" s="7">
        <f>AD1033/39.3701</f>
      </c>
      <c r="AI1033" s="1"/>
      <c r="AJ1033" s="1"/>
      <c r="AK1033" s="1"/>
      <c r="AL1033" s="1"/>
      <c r="AM1033" s="2"/>
      <c r="AN1033" s="1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  <c r="BA1033" s="1"/>
      <c r="BB1033" s="1"/>
      <c r="BC1033" s="1"/>
      <c r="BD1033" s="1"/>
      <c r="BE1033" s="1"/>
    </row>
    <row x14ac:dyDescent="0.25" r="1034" customHeight="1" ht="18.75">
      <c r="A1034" s="1"/>
      <c r="B1034" s="2"/>
      <c r="C1034" s="2"/>
      <c r="D1034" s="2"/>
      <c r="E1034" s="2"/>
      <c r="F1034" s="2"/>
      <c r="G1034" s="1"/>
      <c r="H1034" s="1"/>
      <c r="I1034" s="7">
        <v>1.031</v>
      </c>
      <c r="J1034" s="7">
        <f>IF((I1034-ROUNDDOWN(I1034,0))=0, 0, (I1034-ROUNDDOWN(I1034,0)))</f>
      </c>
      <c r="K1034" s="7">
        <f>INDIRECT("C$"&amp;2+MIN(2,ROUNDDOWN(I1034,0))*3)*(-$J1034^3+3*$J1034^2-3*$J1034+1)+INDIRECT("C$"&amp;3+MIN(2,ROUNDDOWN(I1034,0))*3)*(3*$J1034^3-6*$J1034^2+3*$J1034)+INDIRECT("C$"&amp;4+MIN(2,ROUNDDOWN(I1034,0))*3)*(-3*$J1034^3+3*$J1034^2)+INDIRECT("C$"&amp;5+MIN(2,ROUNDDOWN(I1034,0))*3)*$J1034^3</f>
      </c>
      <c r="L1034" s="7">
        <f>INDIRECT("D$"&amp;2+MIN(2,ROUNDDOWN(I1034,0))*3)*(-$J1034^3+3*$J1034^2-3*$J1034+1)+INDIRECT("D$"&amp;3+MIN(2,ROUNDDOWN(I1034,0))*3)*(3*$J1034^3-6*$J1034^2+3*$J1034)+INDIRECT("D$"&amp;4+MIN(2,ROUNDDOWN(I1034,0))*3)*(-3*$J1034^3+3*$J1034^2)+INDIRECT("D$"&amp;5+MIN(2,ROUNDDOWN(I1034,0))*3)*$J1034^3</f>
      </c>
      <c r="M1034" s="7">
        <f>SQRT(K1034^2+L1034^2)</f>
      </c>
      <c r="N1034" s="7">
        <f>(K1035-K1033)</f>
      </c>
      <c r="O1034" s="7">
        <f>+(L1035-L1033)</f>
      </c>
      <c r="P1034" s="7">
        <f>SQRT(O1034^2+N1034^2)</f>
      </c>
      <c r="Q1034" s="7">
        <f>N1034/$P1034</f>
      </c>
      <c r="R1034" s="7">
        <f>O1034/$P1034</f>
      </c>
      <c r="S1034" s="8">
        <f>Q1034^2+R1034^2</f>
      </c>
      <c r="T1034" s="7">
        <f>-R1034</f>
      </c>
      <c r="U1034" s="7">
        <f>Q1034</f>
      </c>
      <c r="V1034" s="7">
        <f>($C$14+($C$15-$C$14)/($D$15-$D$14)*(I1034-$D$14))/2</f>
      </c>
      <c r="W1034" s="7">
        <f>($B$22*I1034^4+$C$22*I1034^3+$D$22*I1034^2+$E$22*I1034+$F$22)/2</f>
      </c>
      <c r="X1034" s="7">
        <f>($W1034)*(T1034)</f>
      </c>
      <c r="Y1034" s="7">
        <f>($W1034)*(U1034)</f>
      </c>
      <c r="Z1034" s="7">
        <f>SQRT(X1034^2+Y1034^2)</f>
      </c>
      <c r="AA1034" s="7">
        <f>$K1034+$X1034</f>
      </c>
      <c r="AB1034" s="7">
        <f>$L1034+$Y1034</f>
      </c>
      <c r="AC1034" s="7">
        <f>$K1034-$X1034</f>
      </c>
      <c r="AD1034" s="7">
        <f>$L1034-$Y1034</f>
      </c>
      <c r="AE1034" s="7">
        <f>AA1034/39.3701</f>
      </c>
      <c r="AF1034" s="7">
        <f>AB1034/39.3701</f>
      </c>
      <c r="AG1034" s="7">
        <f>AC1034/39.3701</f>
      </c>
      <c r="AH1034" s="7">
        <f>AD1034/39.3701</f>
      </c>
      <c r="AI1034" s="1"/>
      <c r="AJ1034" s="1"/>
      <c r="AK1034" s="1"/>
      <c r="AL1034" s="1"/>
      <c r="AM1034" s="2"/>
      <c r="AN1034" s="1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  <c r="BA1034" s="1"/>
      <c r="BB1034" s="1"/>
      <c r="BC1034" s="1"/>
      <c r="BD1034" s="1"/>
      <c r="BE1034" s="1"/>
    </row>
    <row x14ac:dyDescent="0.25" r="1035" customHeight="1" ht="18.75">
      <c r="A1035" s="1"/>
      <c r="B1035" s="2"/>
      <c r="C1035" s="2"/>
      <c r="D1035" s="2"/>
      <c r="E1035" s="2"/>
      <c r="F1035" s="2"/>
      <c r="G1035" s="1"/>
      <c r="H1035" s="1"/>
      <c r="I1035" s="7">
        <v>1.032</v>
      </c>
      <c r="J1035" s="7">
        <f>IF((I1035-ROUNDDOWN(I1035,0))=0, 0, (I1035-ROUNDDOWN(I1035,0)))</f>
      </c>
      <c r="K1035" s="7">
        <f>INDIRECT("C$"&amp;2+MIN(2,ROUNDDOWN(I1035,0))*3)*(-$J1035^3+3*$J1035^2-3*$J1035+1)+INDIRECT("C$"&amp;3+MIN(2,ROUNDDOWN(I1035,0))*3)*(3*$J1035^3-6*$J1035^2+3*$J1035)+INDIRECT("C$"&amp;4+MIN(2,ROUNDDOWN(I1035,0))*3)*(-3*$J1035^3+3*$J1035^2)+INDIRECT("C$"&amp;5+MIN(2,ROUNDDOWN(I1035,0))*3)*$J1035^3</f>
      </c>
      <c r="L1035" s="7">
        <f>INDIRECT("D$"&amp;2+MIN(2,ROUNDDOWN(I1035,0))*3)*(-$J1035^3+3*$J1035^2-3*$J1035+1)+INDIRECT("D$"&amp;3+MIN(2,ROUNDDOWN(I1035,0))*3)*(3*$J1035^3-6*$J1035^2+3*$J1035)+INDIRECT("D$"&amp;4+MIN(2,ROUNDDOWN(I1035,0))*3)*(-3*$J1035^3+3*$J1035^2)+INDIRECT("D$"&amp;5+MIN(2,ROUNDDOWN(I1035,0))*3)*$J1035^3</f>
      </c>
      <c r="M1035" s="7">
        <f>SQRT(K1035^2+L1035^2)</f>
      </c>
      <c r="N1035" s="7">
        <f>(K1036-K1034)</f>
      </c>
      <c r="O1035" s="7">
        <f>+(L1036-L1034)</f>
      </c>
      <c r="P1035" s="7">
        <f>SQRT(O1035^2+N1035^2)</f>
      </c>
      <c r="Q1035" s="7">
        <f>N1035/$P1035</f>
      </c>
      <c r="R1035" s="7">
        <f>O1035/$P1035</f>
      </c>
      <c r="S1035" s="8">
        <f>Q1035^2+R1035^2</f>
      </c>
      <c r="T1035" s="7">
        <f>-R1035</f>
      </c>
      <c r="U1035" s="7">
        <f>Q1035</f>
      </c>
      <c r="V1035" s="7">
        <f>($C$14+($C$15-$C$14)/($D$15-$D$14)*(I1035-$D$14))/2</f>
      </c>
      <c r="W1035" s="7">
        <f>($B$22*I1035^4+$C$22*I1035^3+$D$22*I1035^2+$E$22*I1035+$F$22)/2</f>
      </c>
      <c r="X1035" s="7">
        <f>($W1035)*(T1035)</f>
      </c>
      <c r="Y1035" s="7">
        <f>($W1035)*(U1035)</f>
      </c>
      <c r="Z1035" s="7">
        <f>SQRT(X1035^2+Y1035^2)</f>
      </c>
      <c r="AA1035" s="7">
        <f>$K1035+$X1035</f>
      </c>
      <c r="AB1035" s="7">
        <f>$L1035+$Y1035</f>
      </c>
      <c r="AC1035" s="7">
        <f>$K1035-$X1035</f>
      </c>
      <c r="AD1035" s="7">
        <f>$L1035-$Y1035</f>
      </c>
      <c r="AE1035" s="7">
        <f>AA1035/39.3701</f>
      </c>
      <c r="AF1035" s="7">
        <f>AB1035/39.3701</f>
      </c>
      <c r="AG1035" s="7">
        <f>AC1035/39.3701</f>
      </c>
      <c r="AH1035" s="7">
        <f>AD1035/39.3701</f>
      </c>
      <c r="AI1035" s="1"/>
      <c r="AJ1035" s="1"/>
      <c r="AK1035" s="1"/>
      <c r="AL1035" s="1"/>
      <c r="AM1035" s="2"/>
      <c r="AN1035" s="1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  <c r="BA1035" s="1"/>
      <c r="BB1035" s="1"/>
      <c r="BC1035" s="1"/>
      <c r="BD1035" s="1"/>
      <c r="BE1035" s="1"/>
    </row>
    <row x14ac:dyDescent="0.25" r="1036" customHeight="1" ht="18.75">
      <c r="A1036" s="1"/>
      <c r="B1036" s="2"/>
      <c r="C1036" s="2"/>
      <c r="D1036" s="2"/>
      <c r="E1036" s="2"/>
      <c r="F1036" s="2"/>
      <c r="G1036" s="1"/>
      <c r="H1036" s="1"/>
      <c r="I1036" s="7">
        <v>1.033</v>
      </c>
      <c r="J1036" s="7">
        <f>IF((I1036-ROUNDDOWN(I1036,0))=0, 0, (I1036-ROUNDDOWN(I1036,0)))</f>
      </c>
      <c r="K1036" s="7">
        <f>INDIRECT("C$"&amp;2+MIN(2,ROUNDDOWN(I1036,0))*3)*(-$J1036^3+3*$J1036^2-3*$J1036+1)+INDIRECT("C$"&amp;3+MIN(2,ROUNDDOWN(I1036,0))*3)*(3*$J1036^3-6*$J1036^2+3*$J1036)+INDIRECT("C$"&amp;4+MIN(2,ROUNDDOWN(I1036,0))*3)*(-3*$J1036^3+3*$J1036^2)+INDIRECT("C$"&amp;5+MIN(2,ROUNDDOWN(I1036,0))*3)*$J1036^3</f>
      </c>
      <c r="L1036" s="7">
        <f>INDIRECT("D$"&amp;2+MIN(2,ROUNDDOWN(I1036,0))*3)*(-$J1036^3+3*$J1036^2-3*$J1036+1)+INDIRECT("D$"&amp;3+MIN(2,ROUNDDOWN(I1036,0))*3)*(3*$J1036^3-6*$J1036^2+3*$J1036)+INDIRECT("D$"&amp;4+MIN(2,ROUNDDOWN(I1036,0))*3)*(-3*$J1036^3+3*$J1036^2)+INDIRECT("D$"&amp;5+MIN(2,ROUNDDOWN(I1036,0))*3)*$J1036^3</f>
      </c>
      <c r="M1036" s="7">
        <f>SQRT(K1036^2+L1036^2)</f>
      </c>
      <c r="N1036" s="7">
        <f>(K1037-K1035)</f>
      </c>
      <c r="O1036" s="7">
        <f>+(L1037-L1035)</f>
      </c>
      <c r="P1036" s="7">
        <f>SQRT(O1036^2+N1036^2)</f>
      </c>
      <c r="Q1036" s="7">
        <f>N1036/$P1036</f>
      </c>
      <c r="R1036" s="7">
        <f>O1036/$P1036</f>
      </c>
      <c r="S1036" s="8">
        <f>Q1036^2+R1036^2</f>
      </c>
      <c r="T1036" s="7">
        <f>-R1036</f>
      </c>
      <c r="U1036" s="7">
        <f>Q1036</f>
      </c>
      <c r="V1036" s="7">
        <f>($C$14+($C$15-$C$14)/($D$15-$D$14)*(I1036-$D$14))/2</f>
      </c>
      <c r="W1036" s="7">
        <f>($B$22*I1036^4+$C$22*I1036^3+$D$22*I1036^2+$E$22*I1036+$F$22)/2</f>
      </c>
      <c r="X1036" s="7">
        <f>($W1036)*(T1036)</f>
      </c>
      <c r="Y1036" s="7">
        <f>($W1036)*(U1036)</f>
      </c>
      <c r="Z1036" s="7">
        <f>SQRT(X1036^2+Y1036^2)</f>
      </c>
      <c r="AA1036" s="7">
        <f>$K1036+$X1036</f>
      </c>
      <c r="AB1036" s="7">
        <f>$L1036+$Y1036</f>
      </c>
      <c r="AC1036" s="7">
        <f>$K1036-$X1036</f>
      </c>
      <c r="AD1036" s="7">
        <f>$L1036-$Y1036</f>
      </c>
      <c r="AE1036" s="7">
        <f>AA1036/39.3701</f>
      </c>
      <c r="AF1036" s="7">
        <f>AB1036/39.3701</f>
      </c>
      <c r="AG1036" s="7">
        <f>AC1036/39.3701</f>
      </c>
      <c r="AH1036" s="7">
        <f>AD1036/39.3701</f>
      </c>
      <c r="AI1036" s="1"/>
      <c r="AJ1036" s="1"/>
      <c r="AK1036" s="1"/>
      <c r="AL1036" s="1"/>
      <c r="AM1036" s="2"/>
      <c r="AN1036" s="1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  <c r="BA1036" s="1"/>
      <c r="BB1036" s="1"/>
      <c r="BC1036" s="1"/>
      <c r="BD1036" s="1"/>
      <c r="BE1036" s="1"/>
    </row>
    <row x14ac:dyDescent="0.25" r="1037" customHeight="1" ht="18.75">
      <c r="A1037" s="1"/>
      <c r="B1037" s="2"/>
      <c r="C1037" s="2"/>
      <c r="D1037" s="2"/>
      <c r="E1037" s="2"/>
      <c r="F1037" s="2"/>
      <c r="G1037" s="1"/>
      <c r="H1037" s="1"/>
      <c r="I1037" s="7">
        <v>1.034</v>
      </c>
      <c r="J1037" s="7">
        <f>IF((I1037-ROUNDDOWN(I1037,0))=0, 0, (I1037-ROUNDDOWN(I1037,0)))</f>
      </c>
      <c r="K1037" s="7">
        <f>INDIRECT("C$"&amp;2+MIN(2,ROUNDDOWN(I1037,0))*3)*(-$J1037^3+3*$J1037^2-3*$J1037+1)+INDIRECT("C$"&amp;3+MIN(2,ROUNDDOWN(I1037,0))*3)*(3*$J1037^3-6*$J1037^2+3*$J1037)+INDIRECT("C$"&amp;4+MIN(2,ROUNDDOWN(I1037,0))*3)*(-3*$J1037^3+3*$J1037^2)+INDIRECT("C$"&amp;5+MIN(2,ROUNDDOWN(I1037,0))*3)*$J1037^3</f>
      </c>
      <c r="L1037" s="7">
        <f>INDIRECT("D$"&amp;2+MIN(2,ROUNDDOWN(I1037,0))*3)*(-$J1037^3+3*$J1037^2-3*$J1037+1)+INDIRECT("D$"&amp;3+MIN(2,ROUNDDOWN(I1037,0))*3)*(3*$J1037^3-6*$J1037^2+3*$J1037)+INDIRECT("D$"&amp;4+MIN(2,ROUNDDOWN(I1037,0))*3)*(-3*$J1037^3+3*$J1037^2)+INDIRECT("D$"&amp;5+MIN(2,ROUNDDOWN(I1037,0))*3)*$J1037^3</f>
      </c>
      <c r="M1037" s="7">
        <f>SQRT(K1037^2+L1037^2)</f>
      </c>
      <c r="N1037" s="7">
        <f>(K1038-K1036)</f>
      </c>
      <c r="O1037" s="7">
        <f>+(L1038-L1036)</f>
      </c>
      <c r="P1037" s="7">
        <f>SQRT(O1037^2+N1037^2)</f>
      </c>
      <c r="Q1037" s="7">
        <f>N1037/$P1037</f>
      </c>
      <c r="R1037" s="7">
        <f>O1037/$P1037</f>
      </c>
      <c r="S1037" s="8">
        <f>Q1037^2+R1037^2</f>
      </c>
      <c r="T1037" s="7">
        <f>-R1037</f>
      </c>
      <c r="U1037" s="7">
        <f>Q1037</f>
      </c>
      <c r="V1037" s="7">
        <f>($C$14+($C$15-$C$14)/($D$15-$D$14)*(I1037-$D$14))/2</f>
      </c>
      <c r="W1037" s="7">
        <f>($B$22*I1037^4+$C$22*I1037^3+$D$22*I1037^2+$E$22*I1037+$F$22)/2</f>
      </c>
      <c r="X1037" s="7">
        <f>($W1037)*(T1037)</f>
      </c>
      <c r="Y1037" s="7">
        <f>($W1037)*(U1037)</f>
      </c>
      <c r="Z1037" s="7">
        <f>SQRT(X1037^2+Y1037^2)</f>
      </c>
      <c r="AA1037" s="7">
        <f>$K1037+$X1037</f>
      </c>
      <c r="AB1037" s="7">
        <f>$L1037+$Y1037</f>
      </c>
      <c r="AC1037" s="7">
        <f>$K1037-$X1037</f>
      </c>
      <c r="AD1037" s="7">
        <f>$L1037-$Y1037</f>
      </c>
      <c r="AE1037" s="7">
        <f>AA1037/39.3701</f>
      </c>
      <c r="AF1037" s="7">
        <f>AB1037/39.3701</f>
      </c>
      <c r="AG1037" s="7">
        <f>AC1037/39.3701</f>
      </c>
      <c r="AH1037" s="7">
        <f>AD1037/39.3701</f>
      </c>
      <c r="AI1037" s="1"/>
      <c r="AJ1037" s="1"/>
      <c r="AK1037" s="1"/>
      <c r="AL1037" s="1"/>
      <c r="AM1037" s="2"/>
      <c r="AN1037" s="1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  <c r="BA1037" s="1"/>
      <c r="BB1037" s="1"/>
      <c r="BC1037" s="1"/>
      <c r="BD1037" s="1"/>
      <c r="BE1037" s="1"/>
    </row>
    <row x14ac:dyDescent="0.25" r="1038" customHeight="1" ht="18.75">
      <c r="A1038" s="1"/>
      <c r="B1038" s="2"/>
      <c r="C1038" s="2"/>
      <c r="D1038" s="2"/>
      <c r="E1038" s="2"/>
      <c r="F1038" s="2"/>
      <c r="G1038" s="1"/>
      <c r="H1038" s="1"/>
      <c r="I1038" s="7">
        <v>1.035</v>
      </c>
      <c r="J1038" s="7">
        <f>IF((I1038-ROUNDDOWN(I1038,0))=0, 0, (I1038-ROUNDDOWN(I1038,0)))</f>
      </c>
      <c r="K1038" s="7">
        <f>INDIRECT("C$"&amp;2+MIN(2,ROUNDDOWN(I1038,0))*3)*(-$J1038^3+3*$J1038^2-3*$J1038+1)+INDIRECT("C$"&amp;3+MIN(2,ROUNDDOWN(I1038,0))*3)*(3*$J1038^3-6*$J1038^2+3*$J1038)+INDIRECT("C$"&amp;4+MIN(2,ROUNDDOWN(I1038,0))*3)*(-3*$J1038^3+3*$J1038^2)+INDIRECT("C$"&amp;5+MIN(2,ROUNDDOWN(I1038,0))*3)*$J1038^3</f>
      </c>
      <c r="L1038" s="7">
        <f>INDIRECT("D$"&amp;2+MIN(2,ROUNDDOWN(I1038,0))*3)*(-$J1038^3+3*$J1038^2-3*$J1038+1)+INDIRECT("D$"&amp;3+MIN(2,ROUNDDOWN(I1038,0))*3)*(3*$J1038^3-6*$J1038^2+3*$J1038)+INDIRECT("D$"&amp;4+MIN(2,ROUNDDOWN(I1038,0))*3)*(-3*$J1038^3+3*$J1038^2)+INDIRECT("D$"&amp;5+MIN(2,ROUNDDOWN(I1038,0))*3)*$J1038^3</f>
      </c>
      <c r="M1038" s="7">
        <f>SQRT(K1038^2+L1038^2)</f>
      </c>
      <c r="N1038" s="7">
        <f>(K1039-K1037)</f>
      </c>
      <c r="O1038" s="7">
        <f>+(L1039-L1037)</f>
      </c>
      <c r="P1038" s="7">
        <f>SQRT(O1038^2+N1038^2)</f>
      </c>
      <c r="Q1038" s="7">
        <f>N1038/$P1038</f>
      </c>
      <c r="R1038" s="7">
        <f>O1038/$P1038</f>
      </c>
      <c r="S1038" s="8">
        <f>Q1038^2+R1038^2</f>
      </c>
      <c r="T1038" s="7">
        <f>-R1038</f>
      </c>
      <c r="U1038" s="7">
        <f>Q1038</f>
      </c>
      <c r="V1038" s="7">
        <f>($C$14+($C$15-$C$14)/($D$15-$D$14)*(I1038-$D$14))/2</f>
      </c>
      <c r="W1038" s="7">
        <f>($B$22*I1038^4+$C$22*I1038^3+$D$22*I1038^2+$E$22*I1038+$F$22)/2</f>
      </c>
      <c r="X1038" s="7">
        <f>($W1038)*(T1038)</f>
      </c>
      <c r="Y1038" s="7">
        <f>($W1038)*(U1038)</f>
      </c>
      <c r="Z1038" s="7">
        <f>SQRT(X1038^2+Y1038^2)</f>
      </c>
      <c r="AA1038" s="7">
        <f>$K1038+$X1038</f>
      </c>
      <c r="AB1038" s="7">
        <f>$L1038+$Y1038</f>
      </c>
      <c r="AC1038" s="7">
        <f>$K1038-$X1038</f>
      </c>
      <c r="AD1038" s="7">
        <f>$L1038-$Y1038</f>
      </c>
      <c r="AE1038" s="7">
        <f>AA1038/39.3701</f>
      </c>
      <c r="AF1038" s="7">
        <f>AB1038/39.3701</f>
      </c>
      <c r="AG1038" s="7">
        <f>AC1038/39.3701</f>
      </c>
      <c r="AH1038" s="7">
        <f>AD1038/39.3701</f>
      </c>
      <c r="AI1038" s="1"/>
      <c r="AJ1038" s="1"/>
      <c r="AK1038" s="1"/>
      <c r="AL1038" s="1"/>
      <c r="AM1038" s="2"/>
      <c r="AN1038" s="1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  <c r="BA1038" s="1"/>
      <c r="BB1038" s="1"/>
      <c r="BC1038" s="1"/>
      <c r="BD1038" s="1"/>
      <c r="BE1038" s="1"/>
    </row>
    <row x14ac:dyDescent="0.25" r="1039" customHeight="1" ht="18.75">
      <c r="A1039" s="1"/>
      <c r="B1039" s="2"/>
      <c r="C1039" s="2"/>
      <c r="D1039" s="2"/>
      <c r="E1039" s="2"/>
      <c r="F1039" s="2"/>
      <c r="G1039" s="1"/>
      <c r="H1039" s="1"/>
      <c r="I1039" s="7">
        <v>1.036</v>
      </c>
      <c r="J1039" s="7">
        <f>IF((I1039-ROUNDDOWN(I1039,0))=0, 0, (I1039-ROUNDDOWN(I1039,0)))</f>
      </c>
      <c r="K1039" s="7">
        <f>INDIRECT("C$"&amp;2+MIN(2,ROUNDDOWN(I1039,0))*3)*(-$J1039^3+3*$J1039^2-3*$J1039+1)+INDIRECT("C$"&amp;3+MIN(2,ROUNDDOWN(I1039,0))*3)*(3*$J1039^3-6*$J1039^2+3*$J1039)+INDIRECT("C$"&amp;4+MIN(2,ROUNDDOWN(I1039,0))*3)*(-3*$J1039^3+3*$J1039^2)+INDIRECT("C$"&amp;5+MIN(2,ROUNDDOWN(I1039,0))*3)*$J1039^3</f>
      </c>
      <c r="L1039" s="7">
        <f>INDIRECT("D$"&amp;2+MIN(2,ROUNDDOWN(I1039,0))*3)*(-$J1039^3+3*$J1039^2-3*$J1039+1)+INDIRECT("D$"&amp;3+MIN(2,ROUNDDOWN(I1039,0))*3)*(3*$J1039^3-6*$J1039^2+3*$J1039)+INDIRECT("D$"&amp;4+MIN(2,ROUNDDOWN(I1039,0))*3)*(-3*$J1039^3+3*$J1039^2)+INDIRECT("D$"&amp;5+MIN(2,ROUNDDOWN(I1039,0))*3)*$J1039^3</f>
      </c>
      <c r="M1039" s="7">
        <f>SQRT(K1039^2+L1039^2)</f>
      </c>
      <c r="N1039" s="7">
        <f>(K1040-K1038)</f>
      </c>
      <c r="O1039" s="7">
        <f>+(L1040-L1038)</f>
      </c>
      <c r="P1039" s="7">
        <f>SQRT(O1039^2+N1039^2)</f>
      </c>
      <c r="Q1039" s="7">
        <f>N1039/$P1039</f>
      </c>
      <c r="R1039" s="7">
        <f>O1039/$P1039</f>
      </c>
      <c r="S1039" s="7">
        <f>Q1039^2+R1039^2</f>
      </c>
      <c r="T1039" s="7">
        <f>-R1039</f>
      </c>
      <c r="U1039" s="7">
        <f>Q1039</f>
      </c>
      <c r="V1039" s="7">
        <f>($C$14+($C$15-$C$14)/($D$15-$D$14)*(I1039-$D$14))/2</f>
      </c>
      <c r="W1039" s="7">
        <f>($B$22*I1039^4+$C$22*I1039^3+$D$22*I1039^2+$E$22*I1039+$F$22)/2</f>
      </c>
      <c r="X1039" s="7">
        <f>($W1039)*(T1039)</f>
      </c>
      <c r="Y1039" s="7">
        <f>($W1039)*(U1039)</f>
      </c>
      <c r="Z1039" s="7">
        <f>SQRT(X1039^2+Y1039^2)</f>
      </c>
      <c r="AA1039" s="7">
        <f>$K1039+$X1039</f>
      </c>
      <c r="AB1039" s="7">
        <f>$L1039+$Y1039</f>
      </c>
      <c r="AC1039" s="7">
        <f>$K1039-$X1039</f>
      </c>
      <c r="AD1039" s="7">
        <f>$L1039-$Y1039</f>
      </c>
      <c r="AE1039" s="7">
        <f>AA1039/39.3701</f>
      </c>
      <c r="AF1039" s="7">
        <f>AB1039/39.3701</f>
      </c>
      <c r="AG1039" s="7">
        <f>AC1039/39.3701</f>
      </c>
      <c r="AH1039" s="7">
        <f>AD1039/39.3701</f>
      </c>
      <c r="AI1039" s="1"/>
      <c r="AJ1039" s="1"/>
      <c r="AK1039" s="1"/>
      <c r="AL1039" s="1"/>
      <c r="AM1039" s="2"/>
      <c r="AN1039" s="1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  <c r="BA1039" s="1"/>
      <c r="BB1039" s="1"/>
      <c r="BC1039" s="1"/>
      <c r="BD1039" s="1"/>
      <c r="BE1039" s="1"/>
    </row>
    <row x14ac:dyDescent="0.25" r="1040" customHeight="1" ht="18.75">
      <c r="A1040" s="1"/>
      <c r="B1040" s="2"/>
      <c r="C1040" s="2"/>
      <c r="D1040" s="2"/>
      <c r="E1040" s="2"/>
      <c r="F1040" s="2"/>
      <c r="G1040" s="1"/>
      <c r="H1040" s="1"/>
      <c r="I1040" s="7">
        <v>1.037</v>
      </c>
      <c r="J1040" s="7">
        <f>IF((I1040-ROUNDDOWN(I1040,0))=0, 0, (I1040-ROUNDDOWN(I1040,0)))</f>
      </c>
      <c r="K1040" s="7">
        <f>INDIRECT("C$"&amp;2+MIN(2,ROUNDDOWN(I1040,0))*3)*(-$J1040^3+3*$J1040^2-3*$J1040+1)+INDIRECT("C$"&amp;3+MIN(2,ROUNDDOWN(I1040,0))*3)*(3*$J1040^3-6*$J1040^2+3*$J1040)+INDIRECT("C$"&amp;4+MIN(2,ROUNDDOWN(I1040,0))*3)*(-3*$J1040^3+3*$J1040^2)+INDIRECT("C$"&amp;5+MIN(2,ROUNDDOWN(I1040,0))*3)*$J1040^3</f>
      </c>
      <c r="L1040" s="7">
        <f>INDIRECT("D$"&amp;2+MIN(2,ROUNDDOWN(I1040,0))*3)*(-$J1040^3+3*$J1040^2-3*$J1040+1)+INDIRECT("D$"&amp;3+MIN(2,ROUNDDOWN(I1040,0))*3)*(3*$J1040^3-6*$J1040^2+3*$J1040)+INDIRECT("D$"&amp;4+MIN(2,ROUNDDOWN(I1040,0))*3)*(-3*$J1040^3+3*$J1040^2)+INDIRECT("D$"&amp;5+MIN(2,ROUNDDOWN(I1040,0))*3)*$J1040^3</f>
      </c>
      <c r="M1040" s="7">
        <f>SQRT(K1040^2+L1040^2)</f>
      </c>
      <c r="N1040" s="7">
        <f>(K1041-K1039)</f>
      </c>
      <c r="O1040" s="7">
        <f>+(L1041-L1039)</f>
      </c>
      <c r="P1040" s="7">
        <f>SQRT(O1040^2+N1040^2)</f>
      </c>
      <c r="Q1040" s="7">
        <f>N1040/$P1040</f>
      </c>
      <c r="R1040" s="7">
        <f>O1040/$P1040</f>
      </c>
      <c r="S1040" s="8">
        <f>Q1040^2+R1040^2</f>
      </c>
      <c r="T1040" s="7">
        <f>-R1040</f>
      </c>
      <c r="U1040" s="7">
        <f>Q1040</f>
      </c>
      <c r="V1040" s="7">
        <f>($C$14+($C$15-$C$14)/($D$15-$D$14)*(I1040-$D$14))/2</f>
      </c>
      <c r="W1040" s="7">
        <f>($B$22*I1040^4+$C$22*I1040^3+$D$22*I1040^2+$E$22*I1040+$F$22)/2</f>
      </c>
      <c r="X1040" s="7">
        <f>($W1040)*(T1040)</f>
      </c>
      <c r="Y1040" s="7">
        <f>($W1040)*(U1040)</f>
      </c>
      <c r="Z1040" s="7">
        <f>SQRT(X1040^2+Y1040^2)</f>
      </c>
      <c r="AA1040" s="7">
        <f>$K1040+$X1040</f>
      </c>
      <c r="AB1040" s="7">
        <f>$L1040+$Y1040</f>
      </c>
      <c r="AC1040" s="7">
        <f>$K1040-$X1040</f>
      </c>
      <c r="AD1040" s="7">
        <f>$L1040-$Y1040</f>
      </c>
      <c r="AE1040" s="7">
        <f>AA1040/39.3701</f>
      </c>
      <c r="AF1040" s="7">
        <f>AB1040/39.3701</f>
      </c>
      <c r="AG1040" s="7">
        <f>AC1040/39.3701</f>
      </c>
      <c r="AH1040" s="7">
        <f>AD1040/39.3701</f>
      </c>
      <c r="AI1040" s="1"/>
      <c r="AJ1040" s="1"/>
      <c r="AK1040" s="1"/>
      <c r="AL1040" s="1"/>
      <c r="AM1040" s="2"/>
      <c r="AN1040" s="1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  <c r="BA1040" s="1"/>
      <c r="BB1040" s="1"/>
      <c r="BC1040" s="1"/>
      <c r="BD1040" s="1"/>
      <c r="BE1040" s="1"/>
    </row>
    <row x14ac:dyDescent="0.25" r="1041" customHeight="1" ht="18.75">
      <c r="A1041" s="1"/>
      <c r="B1041" s="2"/>
      <c r="C1041" s="2"/>
      <c r="D1041" s="2"/>
      <c r="E1041" s="2"/>
      <c r="F1041" s="2"/>
      <c r="G1041" s="1"/>
      <c r="H1041" s="1"/>
      <c r="I1041" s="7">
        <v>1.038</v>
      </c>
      <c r="J1041" s="7">
        <f>IF((I1041-ROUNDDOWN(I1041,0))=0, 0, (I1041-ROUNDDOWN(I1041,0)))</f>
      </c>
      <c r="K1041" s="7">
        <f>INDIRECT("C$"&amp;2+MIN(2,ROUNDDOWN(I1041,0))*3)*(-$J1041^3+3*$J1041^2-3*$J1041+1)+INDIRECT("C$"&amp;3+MIN(2,ROUNDDOWN(I1041,0))*3)*(3*$J1041^3-6*$J1041^2+3*$J1041)+INDIRECT("C$"&amp;4+MIN(2,ROUNDDOWN(I1041,0))*3)*(-3*$J1041^3+3*$J1041^2)+INDIRECT("C$"&amp;5+MIN(2,ROUNDDOWN(I1041,0))*3)*$J1041^3</f>
      </c>
      <c r="L1041" s="7">
        <f>INDIRECT("D$"&amp;2+MIN(2,ROUNDDOWN(I1041,0))*3)*(-$J1041^3+3*$J1041^2-3*$J1041+1)+INDIRECT("D$"&amp;3+MIN(2,ROUNDDOWN(I1041,0))*3)*(3*$J1041^3-6*$J1041^2+3*$J1041)+INDIRECT("D$"&amp;4+MIN(2,ROUNDDOWN(I1041,0))*3)*(-3*$J1041^3+3*$J1041^2)+INDIRECT("D$"&amp;5+MIN(2,ROUNDDOWN(I1041,0))*3)*$J1041^3</f>
      </c>
      <c r="M1041" s="7">
        <f>SQRT(K1041^2+L1041^2)</f>
      </c>
      <c r="N1041" s="7">
        <f>(K1042-K1040)</f>
      </c>
      <c r="O1041" s="7">
        <f>+(L1042-L1040)</f>
      </c>
      <c r="P1041" s="7">
        <f>SQRT(O1041^2+N1041^2)</f>
      </c>
      <c r="Q1041" s="7">
        <f>N1041/$P1041</f>
      </c>
      <c r="R1041" s="7">
        <f>O1041/$P1041</f>
      </c>
      <c r="S1041" s="7">
        <f>Q1041^2+R1041^2</f>
      </c>
      <c r="T1041" s="7">
        <f>-R1041</f>
      </c>
      <c r="U1041" s="7">
        <f>Q1041</f>
      </c>
      <c r="V1041" s="7">
        <f>($C$14+($C$15-$C$14)/($D$15-$D$14)*(I1041-$D$14))/2</f>
      </c>
      <c r="W1041" s="7">
        <f>($B$22*I1041^4+$C$22*I1041^3+$D$22*I1041^2+$E$22*I1041+$F$22)/2</f>
      </c>
      <c r="X1041" s="7">
        <f>($W1041)*(T1041)</f>
      </c>
      <c r="Y1041" s="7">
        <f>($W1041)*(U1041)</f>
      </c>
      <c r="Z1041" s="7">
        <f>SQRT(X1041^2+Y1041^2)</f>
      </c>
      <c r="AA1041" s="7">
        <f>$K1041+$X1041</f>
      </c>
      <c r="AB1041" s="7">
        <f>$L1041+$Y1041</f>
      </c>
      <c r="AC1041" s="7">
        <f>$K1041-$X1041</f>
      </c>
      <c r="AD1041" s="7">
        <f>$L1041-$Y1041</f>
      </c>
      <c r="AE1041" s="7">
        <f>AA1041/39.3701</f>
      </c>
      <c r="AF1041" s="7">
        <f>AB1041/39.3701</f>
      </c>
      <c r="AG1041" s="7">
        <f>AC1041/39.3701</f>
      </c>
      <c r="AH1041" s="7">
        <f>AD1041/39.3701</f>
      </c>
      <c r="AI1041" s="1"/>
      <c r="AJ1041" s="1"/>
      <c r="AK1041" s="1"/>
      <c r="AL1041" s="1"/>
      <c r="AM1041" s="2"/>
      <c r="AN1041" s="1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  <c r="BA1041" s="1"/>
      <c r="BB1041" s="1"/>
      <c r="BC1041" s="1"/>
      <c r="BD1041" s="1"/>
      <c r="BE1041" s="1"/>
    </row>
    <row x14ac:dyDescent="0.25" r="1042" customHeight="1" ht="18.75">
      <c r="A1042" s="1"/>
      <c r="B1042" s="2"/>
      <c r="C1042" s="2"/>
      <c r="D1042" s="2"/>
      <c r="E1042" s="2"/>
      <c r="F1042" s="2"/>
      <c r="G1042" s="1"/>
      <c r="H1042" s="1"/>
      <c r="I1042" s="7">
        <v>1.039</v>
      </c>
      <c r="J1042" s="7">
        <f>IF((I1042-ROUNDDOWN(I1042,0))=0, 0, (I1042-ROUNDDOWN(I1042,0)))</f>
      </c>
      <c r="K1042" s="7">
        <f>INDIRECT("C$"&amp;2+MIN(2,ROUNDDOWN(I1042,0))*3)*(-$J1042^3+3*$J1042^2-3*$J1042+1)+INDIRECT("C$"&amp;3+MIN(2,ROUNDDOWN(I1042,0))*3)*(3*$J1042^3-6*$J1042^2+3*$J1042)+INDIRECT("C$"&amp;4+MIN(2,ROUNDDOWN(I1042,0))*3)*(-3*$J1042^3+3*$J1042^2)+INDIRECT("C$"&amp;5+MIN(2,ROUNDDOWN(I1042,0))*3)*$J1042^3</f>
      </c>
      <c r="L1042" s="7">
        <f>INDIRECT("D$"&amp;2+MIN(2,ROUNDDOWN(I1042,0))*3)*(-$J1042^3+3*$J1042^2-3*$J1042+1)+INDIRECT("D$"&amp;3+MIN(2,ROUNDDOWN(I1042,0))*3)*(3*$J1042^3-6*$J1042^2+3*$J1042)+INDIRECT("D$"&amp;4+MIN(2,ROUNDDOWN(I1042,0))*3)*(-3*$J1042^3+3*$J1042^2)+INDIRECT("D$"&amp;5+MIN(2,ROUNDDOWN(I1042,0))*3)*$J1042^3</f>
      </c>
      <c r="M1042" s="7">
        <f>SQRT(K1042^2+L1042^2)</f>
      </c>
      <c r="N1042" s="7">
        <f>(K1043-K1041)</f>
      </c>
      <c r="O1042" s="7">
        <f>+(L1043-L1041)</f>
      </c>
      <c r="P1042" s="7">
        <f>SQRT(O1042^2+N1042^2)</f>
      </c>
      <c r="Q1042" s="7">
        <f>N1042/$P1042</f>
      </c>
      <c r="R1042" s="7">
        <f>O1042/$P1042</f>
      </c>
      <c r="S1042" s="7">
        <f>Q1042^2+R1042^2</f>
      </c>
      <c r="T1042" s="7">
        <f>-R1042</f>
      </c>
      <c r="U1042" s="7">
        <f>Q1042</f>
      </c>
      <c r="V1042" s="7">
        <f>($C$14+($C$15-$C$14)/($D$15-$D$14)*(I1042-$D$14))/2</f>
      </c>
      <c r="W1042" s="7">
        <f>($B$22*I1042^4+$C$22*I1042^3+$D$22*I1042^2+$E$22*I1042+$F$22)/2</f>
      </c>
      <c r="X1042" s="7">
        <f>($W1042)*(T1042)</f>
      </c>
      <c r="Y1042" s="7">
        <f>($W1042)*(U1042)</f>
      </c>
      <c r="Z1042" s="7">
        <f>SQRT(X1042^2+Y1042^2)</f>
      </c>
      <c r="AA1042" s="7">
        <f>$K1042+$X1042</f>
      </c>
      <c r="AB1042" s="7">
        <f>$L1042+$Y1042</f>
      </c>
      <c r="AC1042" s="7">
        <f>$K1042-$X1042</f>
      </c>
      <c r="AD1042" s="7">
        <f>$L1042-$Y1042</f>
      </c>
      <c r="AE1042" s="7">
        <f>AA1042/39.3701</f>
      </c>
      <c r="AF1042" s="7">
        <f>AB1042/39.3701</f>
      </c>
      <c r="AG1042" s="7">
        <f>AC1042/39.3701</f>
      </c>
      <c r="AH1042" s="7">
        <f>AD1042/39.3701</f>
      </c>
      <c r="AI1042" s="1"/>
      <c r="AJ1042" s="1"/>
      <c r="AK1042" s="1"/>
      <c r="AL1042" s="1"/>
      <c r="AM1042" s="2"/>
      <c r="AN1042" s="1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  <c r="BA1042" s="1"/>
      <c r="BB1042" s="1"/>
      <c r="BC1042" s="1"/>
      <c r="BD1042" s="1"/>
      <c r="BE1042" s="1"/>
    </row>
    <row x14ac:dyDescent="0.25" r="1043" customHeight="1" ht="18.75">
      <c r="A1043" s="1"/>
      <c r="B1043" s="2"/>
      <c r="C1043" s="2"/>
      <c r="D1043" s="2"/>
      <c r="E1043" s="2"/>
      <c r="F1043" s="2"/>
      <c r="G1043" s="1"/>
      <c r="H1043" s="1"/>
      <c r="I1043" s="7">
        <v>1.04</v>
      </c>
      <c r="J1043" s="7">
        <f>IF((I1043-ROUNDDOWN(I1043,0))=0, 0, (I1043-ROUNDDOWN(I1043,0)))</f>
      </c>
      <c r="K1043" s="7">
        <f>INDIRECT("C$"&amp;2+MIN(2,ROUNDDOWN(I1043,0))*3)*(-$J1043^3+3*$J1043^2-3*$J1043+1)+INDIRECT("C$"&amp;3+MIN(2,ROUNDDOWN(I1043,0))*3)*(3*$J1043^3-6*$J1043^2+3*$J1043)+INDIRECT("C$"&amp;4+MIN(2,ROUNDDOWN(I1043,0))*3)*(-3*$J1043^3+3*$J1043^2)+INDIRECT("C$"&amp;5+MIN(2,ROUNDDOWN(I1043,0))*3)*$J1043^3</f>
      </c>
      <c r="L1043" s="7">
        <f>INDIRECT("D$"&amp;2+MIN(2,ROUNDDOWN(I1043,0))*3)*(-$J1043^3+3*$J1043^2-3*$J1043+1)+INDIRECT("D$"&amp;3+MIN(2,ROUNDDOWN(I1043,0))*3)*(3*$J1043^3-6*$J1043^2+3*$J1043)+INDIRECT("D$"&amp;4+MIN(2,ROUNDDOWN(I1043,0))*3)*(-3*$J1043^3+3*$J1043^2)+INDIRECT("D$"&amp;5+MIN(2,ROUNDDOWN(I1043,0))*3)*$J1043^3</f>
      </c>
      <c r="M1043" s="7">
        <f>SQRT(K1043^2+L1043^2)</f>
      </c>
      <c r="N1043" s="7">
        <f>(K1044-K1042)</f>
      </c>
      <c r="O1043" s="7">
        <f>+(L1044-L1042)</f>
      </c>
      <c r="P1043" s="7">
        <f>SQRT(O1043^2+N1043^2)</f>
      </c>
      <c r="Q1043" s="7">
        <f>N1043/$P1043</f>
      </c>
      <c r="R1043" s="7">
        <f>O1043/$P1043</f>
      </c>
      <c r="S1043" s="7">
        <f>Q1043^2+R1043^2</f>
      </c>
      <c r="T1043" s="7">
        <f>-R1043</f>
      </c>
      <c r="U1043" s="7">
        <f>Q1043</f>
      </c>
      <c r="V1043" s="7">
        <f>($C$14+($C$15-$C$14)/($D$15-$D$14)*(I1043-$D$14))/2</f>
      </c>
      <c r="W1043" s="7">
        <f>($B$22*I1043^4+$C$22*I1043^3+$D$22*I1043^2+$E$22*I1043+$F$22)/2</f>
      </c>
      <c r="X1043" s="7">
        <f>($W1043)*(T1043)</f>
      </c>
      <c r="Y1043" s="7">
        <f>($W1043)*(U1043)</f>
      </c>
      <c r="Z1043" s="7">
        <f>SQRT(X1043^2+Y1043^2)</f>
      </c>
      <c r="AA1043" s="7">
        <f>$K1043+$X1043</f>
      </c>
      <c r="AB1043" s="7">
        <f>$L1043+$Y1043</f>
      </c>
      <c r="AC1043" s="7">
        <f>$K1043-$X1043</f>
      </c>
      <c r="AD1043" s="7">
        <f>$L1043-$Y1043</f>
      </c>
      <c r="AE1043" s="7">
        <f>AA1043/39.3701</f>
      </c>
      <c r="AF1043" s="7">
        <f>AB1043/39.3701</f>
      </c>
      <c r="AG1043" s="7">
        <f>AC1043/39.3701</f>
      </c>
      <c r="AH1043" s="7">
        <f>AD1043/39.3701</f>
      </c>
      <c r="AI1043" s="1"/>
      <c r="AJ1043" s="1"/>
      <c r="AK1043" s="1"/>
      <c r="AL1043" s="1"/>
      <c r="AM1043" s="2"/>
      <c r="AN1043" s="1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  <c r="BA1043" s="1"/>
      <c r="BB1043" s="1"/>
      <c r="BC1043" s="1"/>
      <c r="BD1043" s="1"/>
      <c r="BE1043" s="1"/>
    </row>
    <row x14ac:dyDescent="0.25" r="1044" customHeight="1" ht="18.75">
      <c r="A1044" s="1"/>
      <c r="B1044" s="2"/>
      <c r="C1044" s="2"/>
      <c r="D1044" s="2"/>
      <c r="E1044" s="2"/>
      <c r="F1044" s="2"/>
      <c r="G1044" s="1"/>
      <c r="H1044" s="1"/>
      <c r="I1044" s="7">
        <v>1.041</v>
      </c>
      <c r="J1044" s="7">
        <f>IF((I1044-ROUNDDOWN(I1044,0))=0, 0, (I1044-ROUNDDOWN(I1044,0)))</f>
      </c>
      <c r="K1044" s="7">
        <f>INDIRECT("C$"&amp;2+MIN(2,ROUNDDOWN(I1044,0))*3)*(-$J1044^3+3*$J1044^2-3*$J1044+1)+INDIRECT("C$"&amp;3+MIN(2,ROUNDDOWN(I1044,0))*3)*(3*$J1044^3-6*$J1044^2+3*$J1044)+INDIRECT("C$"&amp;4+MIN(2,ROUNDDOWN(I1044,0))*3)*(-3*$J1044^3+3*$J1044^2)+INDIRECT("C$"&amp;5+MIN(2,ROUNDDOWN(I1044,0))*3)*$J1044^3</f>
      </c>
      <c r="L1044" s="7">
        <f>INDIRECT("D$"&amp;2+MIN(2,ROUNDDOWN(I1044,0))*3)*(-$J1044^3+3*$J1044^2-3*$J1044+1)+INDIRECT("D$"&amp;3+MIN(2,ROUNDDOWN(I1044,0))*3)*(3*$J1044^3-6*$J1044^2+3*$J1044)+INDIRECT("D$"&amp;4+MIN(2,ROUNDDOWN(I1044,0))*3)*(-3*$J1044^3+3*$J1044^2)+INDIRECT("D$"&amp;5+MIN(2,ROUNDDOWN(I1044,0))*3)*$J1044^3</f>
      </c>
      <c r="M1044" s="7">
        <f>SQRT(K1044^2+L1044^2)</f>
      </c>
      <c r="N1044" s="7">
        <f>(K1045-K1043)</f>
      </c>
      <c r="O1044" s="7">
        <f>+(L1045-L1043)</f>
      </c>
      <c r="P1044" s="7">
        <f>SQRT(O1044^2+N1044^2)</f>
      </c>
      <c r="Q1044" s="7">
        <f>N1044/$P1044</f>
      </c>
      <c r="R1044" s="7">
        <f>O1044/$P1044</f>
      </c>
      <c r="S1044" s="7">
        <f>Q1044^2+R1044^2</f>
      </c>
      <c r="T1044" s="7">
        <f>-R1044</f>
      </c>
      <c r="U1044" s="7">
        <f>Q1044</f>
      </c>
      <c r="V1044" s="7">
        <f>($C$14+($C$15-$C$14)/($D$15-$D$14)*(I1044-$D$14))/2</f>
      </c>
      <c r="W1044" s="7">
        <f>($B$22*I1044^4+$C$22*I1044^3+$D$22*I1044^2+$E$22*I1044+$F$22)/2</f>
      </c>
      <c r="X1044" s="7">
        <f>($W1044)*(T1044)</f>
      </c>
      <c r="Y1044" s="7">
        <f>($W1044)*(U1044)</f>
      </c>
      <c r="Z1044" s="7">
        <f>SQRT(X1044^2+Y1044^2)</f>
      </c>
      <c r="AA1044" s="7">
        <f>$K1044+$X1044</f>
      </c>
      <c r="AB1044" s="7">
        <f>$L1044+$Y1044</f>
      </c>
      <c r="AC1044" s="7">
        <f>$K1044-$X1044</f>
      </c>
      <c r="AD1044" s="7">
        <f>$L1044-$Y1044</f>
      </c>
      <c r="AE1044" s="7">
        <f>AA1044/39.3701</f>
      </c>
      <c r="AF1044" s="7">
        <f>AB1044/39.3701</f>
      </c>
      <c r="AG1044" s="7">
        <f>AC1044/39.3701</f>
      </c>
      <c r="AH1044" s="7">
        <f>AD1044/39.3701</f>
      </c>
      <c r="AI1044" s="1"/>
      <c r="AJ1044" s="1"/>
      <c r="AK1044" s="1"/>
      <c r="AL1044" s="1"/>
      <c r="AM1044" s="2"/>
      <c r="AN1044" s="1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  <c r="BA1044" s="1"/>
      <c r="BB1044" s="1"/>
      <c r="BC1044" s="1"/>
      <c r="BD1044" s="1"/>
      <c r="BE1044" s="1"/>
    </row>
    <row x14ac:dyDescent="0.25" r="1045" customHeight="1" ht="18.75">
      <c r="A1045" s="1"/>
      <c r="B1045" s="2"/>
      <c r="C1045" s="2"/>
      <c r="D1045" s="2"/>
      <c r="E1045" s="2"/>
      <c r="F1045" s="2"/>
      <c r="G1045" s="1"/>
      <c r="H1045" s="1"/>
      <c r="I1045" s="7">
        <v>1.042</v>
      </c>
      <c r="J1045" s="7">
        <f>IF((I1045-ROUNDDOWN(I1045,0))=0, 0, (I1045-ROUNDDOWN(I1045,0)))</f>
      </c>
      <c r="K1045" s="7">
        <f>INDIRECT("C$"&amp;2+MIN(2,ROUNDDOWN(I1045,0))*3)*(-$J1045^3+3*$J1045^2-3*$J1045+1)+INDIRECT("C$"&amp;3+MIN(2,ROUNDDOWN(I1045,0))*3)*(3*$J1045^3-6*$J1045^2+3*$J1045)+INDIRECT("C$"&amp;4+MIN(2,ROUNDDOWN(I1045,0))*3)*(-3*$J1045^3+3*$J1045^2)+INDIRECT("C$"&amp;5+MIN(2,ROUNDDOWN(I1045,0))*3)*$J1045^3</f>
      </c>
      <c r="L1045" s="7">
        <f>INDIRECT("D$"&amp;2+MIN(2,ROUNDDOWN(I1045,0))*3)*(-$J1045^3+3*$J1045^2-3*$J1045+1)+INDIRECT("D$"&amp;3+MIN(2,ROUNDDOWN(I1045,0))*3)*(3*$J1045^3-6*$J1045^2+3*$J1045)+INDIRECT("D$"&amp;4+MIN(2,ROUNDDOWN(I1045,0))*3)*(-3*$J1045^3+3*$J1045^2)+INDIRECT("D$"&amp;5+MIN(2,ROUNDDOWN(I1045,0))*3)*$J1045^3</f>
      </c>
      <c r="M1045" s="7">
        <f>SQRT(K1045^2+L1045^2)</f>
      </c>
      <c r="N1045" s="7">
        <f>(K1046-K1044)</f>
      </c>
      <c r="O1045" s="7">
        <f>+(L1046-L1044)</f>
      </c>
      <c r="P1045" s="7">
        <f>SQRT(O1045^2+N1045^2)</f>
      </c>
      <c r="Q1045" s="7">
        <f>N1045/$P1045</f>
      </c>
      <c r="R1045" s="7">
        <f>O1045/$P1045</f>
      </c>
      <c r="S1045" s="8">
        <f>Q1045^2+R1045^2</f>
      </c>
      <c r="T1045" s="7">
        <f>-R1045</f>
      </c>
      <c r="U1045" s="7">
        <f>Q1045</f>
      </c>
      <c r="V1045" s="7">
        <f>($C$14+($C$15-$C$14)/($D$15-$D$14)*(I1045-$D$14))/2</f>
      </c>
      <c r="W1045" s="7">
        <f>($B$22*I1045^4+$C$22*I1045^3+$D$22*I1045^2+$E$22*I1045+$F$22)/2</f>
      </c>
      <c r="X1045" s="7">
        <f>($W1045)*(T1045)</f>
      </c>
      <c r="Y1045" s="7">
        <f>($W1045)*(U1045)</f>
      </c>
      <c r="Z1045" s="7">
        <f>SQRT(X1045^2+Y1045^2)</f>
      </c>
      <c r="AA1045" s="7">
        <f>$K1045+$X1045</f>
      </c>
      <c r="AB1045" s="7">
        <f>$L1045+$Y1045</f>
      </c>
      <c r="AC1045" s="7">
        <f>$K1045-$X1045</f>
      </c>
      <c r="AD1045" s="7">
        <f>$L1045-$Y1045</f>
      </c>
      <c r="AE1045" s="7">
        <f>AA1045/39.3701</f>
      </c>
      <c r="AF1045" s="7">
        <f>AB1045/39.3701</f>
      </c>
      <c r="AG1045" s="7">
        <f>AC1045/39.3701</f>
      </c>
      <c r="AH1045" s="7">
        <f>AD1045/39.3701</f>
      </c>
      <c r="AI1045" s="1"/>
      <c r="AJ1045" s="1"/>
      <c r="AK1045" s="1"/>
      <c r="AL1045" s="1"/>
      <c r="AM1045" s="2"/>
      <c r="AN1045" s="1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  <c r="BA1045" s="1"/>
      <c r="BB1045" s="1"/>
      <c r="BC1045" s="1"/>
      <c r="BD1045" s="1"/>
      <c r="BE1045" s="1"/>
    </row>
    <row x14ac:dyDescent="0.25" r="1046" customHeight="1" ht="18.75">
      <c r="A1046" s="1"/>
      <c r="B1046" s="2"/>
      <c r="C1046" s="2"/>
      <c r="D1046" s="2"/>
      <c r="E1046" s="2"/>
      <c r="F1046" s="2"/>
      <c r="G1046" s="1"/>
      <c r="H1046" s="1"/>
      <c r="I1046" s="7">
        <v>1.043</v>
      </c>
      <c r="J1046" s="7">
        <f>IF((I1046-ROUNDDOWN(I1046,0))=0, 0, (I1046-ROUNDDOWN(I1046,0)))</f>
      </c>
      <c r="K1046" s="7">
        <f>INDIRECT("C$"&amp;2+MIN(2,ROUNDDOWN(I1046,0))*3)*(-$J1046^3+3*$J1046^2-3*$J1046+1)+INDIRECT("C$"&amp;3+MIN(2,ROUNDDOWN(I1046,0))*3)*(3*$J1046^3-6*$J1046^2+3*$J1046)+INDIRECT("C$"&amp;4+MIN(2,ROUNDDOWN(I1046,0))*3)*(-3*$J1046^3+3*$J1046^2)+INDIRECT("C$"&amp;5+MIN(2,ROUNDDOWN(I1046,0))*3)*$J1046^3</f>
      </c>
      <c r="L1046" s="7">
        <f>INDIRECT("D$"&amp;2+MIN(2,ROUNDDOWN(I1046,0))*3)*(-$J1046^3+3*$J1046^2-3*$J1046+1)+INDIRECT("D$"&amp;3+MIN(2,ROUNDDOWN(I1046,0))*3)*(3*$J1046^3-6*$J1046^2+3*$J1046)+INDIRECT("D$"&amp;4+MIN(2,ROUNDDOWN(I1046,0))*3)*(-3*$J1046^3+3*$J1046^2)+INDIRECT("D$"&amp;5+MIN(2,ROUNDDOWN(I1046,0))*3)*$J1046^3</f>
      </c>
      <c r="M1046" s="7">
        <f>SQRT(K1046^2+L1046^2)</f>
      </c>
      <c r="N1046" s="7">
        <f>(K1047-K1045)</f>
      </c>
      <c r="O1046" s="7">
        <f>+(L1047-L1045)</f>
      </c>
      <c r="P1046" s="7">
        <f>SQRT(O1046^2+N1046^2)</f>
      </c>
      <c r="Q1046" s="7">
        <f>N1046/$P1046</f>
      </c>
      <c r="R1046" s="7">
        <f>O1046/$P1046</f>
      </c>
      <c r="S1046" s="8">
        <f>Q1046^2+R1046^2</f>
      </c>
      <c r="T1046" s="7">
        <f>-R1046</f>
      </c>
      <c r="U1046" s="7">
        <f>Q1046</f>
      </c>
      <c r="V1046" s="7">
        <f>($C$14+($C$15-$C$14)/($D$15-$D$14)*(I1046-$D$14))/2</f>
      </c>
      <c r="W1046" s="7">
        <f>($B$22*I1046^4+$C$22*I1046^3+$D$22*I1046^2+$E$22*I1046+$F$22)/2</f>
      </c>
      <c r="X1046" s="7">
        <f>($W1046)*(T1046)</f>
      </c>
      <c r="Y1046" s="7">
        <f>($W1046)*(U1046)</f>
      </c>
      <c r="Z1046" s="7">
        <f>SQRT(X1046^2+Y1046^2)</f>
      </c>
      <c r="AA1046" s="7">
        <f>$K1046+$X1046</f>
      </c>
      <c r="AB1046" s="7">
        <f>$L1046+$Y1046</f>
      </c>
      <c r="AC1046" s="7">
        <f>$K1046-$X1046</f>
      </c>
      <c r="AD1046" s="7">
        <f>$L1046-$Y1046</f>
      </c>
      <c r="AE1046" s="7">
        <f>AA1046/39.3701</f>
      </c>
      <c r="AF1046" s="7">
        <f>AB1046/39.3701</f>
      </c>
      <c r="AG1046" s="7">
        <f>AC1046/39.3701</f>
      </c>
      <c r="AH1046" s="7">
        <f>AD1046/39.3701</f>
      </c>
      <c r="AI1046" s="1"/>
      <c r="AJ1046" s="1"/>
      <c r="AK1046" s="1"/>
      <c r="AL1046" s="1"/>
      <c r="AM1046" s="2"/>
      <c r="AN1046" s="1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  <c r="BA1046" s="1"/>
      <c r="BB1046" s="1"/>
      <c r="BC1046" s="1"/>
      <c r="BD1046" s="1"/>
      <c r="BE1046" s="1"/>
    </row>
    <row x14ac:dyDescent="0.25" r="1047" customHeight="1" ht="18.75">
      <c r="A1047" s="1"/>
      <c r="B1047" s="2"/>
      <c r="C1047" s="2"/>
      <c r="D1047" s="2"/>
      <c r="E1047" s="2"/>
      <c r="F1047" s="2"/>
      <c r="G1047" s="1"/>
      <c r="H1047" s="1"/>
      <c r="I1047" s="7">
        <v>1.044</v>
      </c>
      <c r="J1047" s="7">
        <f>IF((I1047-ROUNDDOWN(I1047,0))=0, 0, (I1047-ROUNDDOWN(I1047,0)))</f>
      </c>
      <c r="K1047" s="7">
        <f>INDIRECT("C$"&amp;2+MIN(2,ROUNDDOWN(I1047,0))*3)*(-$J1047^3+3*$J1047^2-3*$J1047+1)+INDIRECT("C$"&amp;3+MIN(2,ROUNDDOWN(I1047,0))*3)*(3*$J1047^3-6*$J1047^2+3*$J1047)+INDIRECT("C$"&amp;4+MIN(2,ROUNDDOWN(I1047,0))*3)*(-3*$J1047^3+3*$J1047^2)+INDIRECT("C$"&amp;5+MIN(2,ROUNDDOWN(I1047,0))*3)*$J1047^3</f>
      </c>
      <c r="L1047" s="7">
        <f>INDIRECT("D$"&amp;2+MIN(2,ROUNDDOWN(I1047,0))*3)*(-$J1047^3+3*$J1047^2-3*$J1047+1)+INDIRECT("D$"&amp;3+MIN(2,ROUNDDOWN(I1047,0))*3)*(3*$J1047^3-6*$J1047^2+3*$J1047)+INDIRECT("D$"&amp;4+MIN(2,ROUNDDOWN(I1047,0))*3)*(-3*$J1047^3+3*$J1047^2)+INDIRECT("D$"&amp;5+MIN(2,ROUNDDOWN(I1047,0))*3)*$J1047^3</f>
      </c>
      <c r="M1047" s="7">
        <f>SQRT(K1047^2+L1047^2)</f>
      </c>
      <c r="N1047" s="7">
        <f>(K1048-K1046)</f>
      </c>
      <c r="O1047" s="7">
        <f>+(L1048-L1046)</f>
      </c>
      <c r="P1047" s="7">
        <f>SQRT(O1047^2+N1047^2)</f>
      </c>
      <c r="Q1047" s="7">
        <f>N1047/$P1047</f>
      </c>
      <c r="R1047" s="7">
        <f>O1047/$P1047</f>
      </c>
      <c r="S1047" s="7">
        <f>Q1047^2+R1047^2</f>
      </c>
      <c r="T1047" s="7">
        <f>-R1047</f>
      </c>
      <c r="U1047" s="7">
        <f>Q1047</f>
      </c>
      <c r="V1047" s="7">
        <f>($C$14+($C$15-$C$14)/($D$15-$D$14)*(I1047-$D$14))/2</f>
      </c>
      <c r="W1047" s="7">
        <f>($B$22*I1047^4+$C$22*I1047^3+$D$22*I1047^2+$E$22*I1047+$F$22)/2</f>
      </c>
      <c r="X1047" s="7">
        <f>($W1047)*(T1047)</f>
      </c>
      <c r="Y1047" s="7">
        <f>($W1047)*(U1047)</f>
      </c>
      <c r="Z1047" s="7">
        <f>SQRT(X1047^2+Y1047^2)</f>
      </c>
      <c r="AA1047" s="7">
        <f>$K1047+$X1047</f>
      </c>
      <c r="AB1047" s="7">
        <f>$L1047+$Y1047</f>
      </c>
      <c r="AC1047" s="7">
        <f>$K1047-$X1047</f>
      </c>
      <c r="AD1047" s="7">
        <f>$L1047-$Y1047</f>
      </c>
      <c r="AE1047" s="7">
        <f>AA1047/39.3701</f>
      </c>
      <c r="AF1047" s="7">
        <f>AB1047/39.3701</f>
      </c>
      <c r="AG1047" s="7">
        <f>AC1047/39.3701</f>
      </c>
      <c r="AH1047" s="7">
        <f>AD1047/39.3701</f>
      </c>
      <c r="AI1047" s="1"/>
      <c r="AJ1047" s="1"/>
      <c r="AK1047" s="1"/>
      <c r="AL1047" s="1"/>
      <c r="AM1047" s="2"/>
      <c r="AN1047" s="1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  <c r="BA1047" s="1"/>
      <c r="BB1047" s="1"/>
      <c r="BC1047" s="1"/>
      <c r="BD1047" s="1"/>
      <c r="BE1047" s="1"/>
    </row>
    <row x14ac:dyDescent="0.25" r="1048" customHeight="1" ht="18.75">
      <c r="A1048" s="1"/>
      <c r="B1048" s="2"/>
      <c r="C1048" s="2"/>
      <c r="D1048" s="2"/>
      <c r="E1048" s="2"/>
      <c r="F1048" s="2"/>
      <c r="G1048" s="1"/>
      <c r="H1048" s="1"/>
      <c r="I1048" s="7">
        <v>1.045</v>
      </c>
      <c r="J1048" s="7">
        <f>IF((I1048-ROUNDDOWN(I1048,0))=0, 0, (I1048-ROUNDDOWN(I1048,0)))</f>
      </c>
      <c r="K1048" s="7">
        <f>INDIRECT("C$"&amp;2+MIN(2,ROUNDDOWN(I1048,0))*3)*(-$J1048^3+3*$J1048^2-3*$J1048+1)+INDIRECT("C$"&amp;3+MIN(2,ROUNDDOWN(I1048,0))*3)*(3*$J1048^3-6*$J1048^2+3*$J1048)+INDIRECT("C$"&amp;4+MIN(2,ROUNDDOWN(I1048,0))*3)*(-3*$J1048^3+3*$J1048^2)+INDIRECT("C$"&amp;5+MIN(2,ROUNDDOWN(I1048,0))*3)*$J1048^3</f>
      </c>
      <c r="L1048" s="7">
        <f>INDIRECT("D$"&amp;2+MIN(2,ROUNDDOWN(I1048,0))*3)*(-$J1048^3+3*$J1048^2-3*$J1048+1)+INDIRECT("D$"&amp;3+MIN(2,ROUNDDOWN(I1048,0))*3)*(3*$J1048^3-6*$J1048^2+3*$J1048)+INDIRECT("D$"&amp;4+MIN(2,ROUNDDOWN(I1048,0))*3)*(-3*$J1048^3+3*$J1048^2)+INDIRECT("D$"&amp;5+MIN(2,ROUNDDOWN(I1048,0))*3)*$J1048^3</f>
      </c>
      <c r="M1048" s="7">
        <f>SQRT(K1048^2+L1048^2)</f>
      </c>
      <c r="N1048" s="7">
        <f>(K1049-K1047)</f>
      </c>
      <c r="O1048" s="7">
        <f>+(L1049-L1047)</f>
      </c>
      <c r="P1048" s="7">
        <f>SQRT(O1048^2+N1048^2)</f>
      </c>
      <c r="Q1048" s="7">
        <f>N1048/$P1048</f>
      </c>
      <c r="R1048" s="7">
        <f>O1048/$P1048</f>
      </c>
      <c r="S1048" s="7">
        <f>Q1048^2+R1048^2</f>
      </c>
      <c r="T1048" s="7">
        <f>-R1048</f>
      </c>
      <c r="U1048" s="7">
        <f>Q1048</f>
      </c>
      <c r="V1048" s="7">
        <f>($C$14+($C$15-$C$14)/($D$15-$D$14)*(I1048-$D$14))/2</f>
      </c>
      <c r="W1048" s="7">
        <f>($B$22*I1048^4+$C$22*I1048^3+$D$22*I1048^2+$E$22*I1048+$F$22)/2</f>
      </c>
      <c r="X1048" s="7">
        <f>($W1048)*(T1048)</f>
      </c>
      <c r="Y1048" s="7">
        <f>($W1048)*(U1048)</f>
      </c>
      <c r="Z1048" s="7">
        <f>SQRT(X1048^2+Y1048^2)</f>
      </c>
      <c r="AA1048" s="7">
        <f>$K1048+$X1048</f>
      </c>
      <c r="AB1048" s="7">
        <f>$L1048+$Y1048</f>
      </c>
      <c r="AC1048" s="7">
        <f>$K1048-$X1048</f>
      </c>
      <c r="AD1048" s="7">
        <f>$L1048-$Y1048</f>
      </c>
      <c r="AE1048" s="7">
        <f>AA1048/39.3701</f>
      </c>
      <c r="AF1048" s="7">
        <f>AB1048/39.3701</f>
      </c>
      <c r="AG1048" s="7">
        <f>AC1048/39.3701</f>
      </c>
      <c r="AH1048" s="7">
        <f>AD1048/39.3701</f>
      </c>
      <c r="AI1048" s="1"/>
      <c r="AJ1048" s="1"/>
      <c r="AK1048" s="1"/>
      <c r="AL1048" s="1"/>
      <c r="AM1048" s="2"/>
      <c r="AN1048" s="1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  <c r="BA1048" s="1"/>
      <c r="BB1048" s="1"/>
      <c r="BC1048" s="1"/>
      <c r="BD1048" s="1"/>
      <c r="BE1048" s="1"/>
    </row>
    <row x14ac:dyDescent="0.25" r="1049" customHeight="1" ht="18.75">
      <c r="A1049" s="1"/>
      <c r="B1049" s="2"/>
      <c r="C1049" s="2"/>
      <c r="D1049" s="2"/>
      <c r="E1049" s="2"/>
      <c r="F1049" s="2"/>
      <c r="G1049" s="1"/>
      <c r="H1049" s="1"/>
      <c r="I1049" s="7">
        <v>1.046</v>
      </c>
      <c r="J1049" s="7">
        <f>IF((I1049-ROUNDDOWN(I1049,0))=0, 0, (I1049-ROUNDDOWN(I1049,0)))</f>
      </c>
      <c r="K1049" s="7">
        <f>INDIRECT("C$"&amp;2+MIN(2,ROUNDDOWN(I1049,0))*3)*(-$J1049^3+3*$J1049^2-3*$J1049+1)+INDIRECT("C$"&amp;3+MIN(2,ROUNDDOWN(I1049,0))*3)*(3*$J1049^3-6*$J1049^2+3*$J1049)+INDIRECT("C$"&amp;4+MIN(2,ROUNDDOWN(I1049,0))*3)*(-3*$J1049^3+3*$J1049^2)+INDIRECT("C$"&amp;5+MIN(2,ROUNDDOWN(I1049,0))*3)*$J1049^3</f>
      </c>
      <c r="L1049" s="7">
        <f>INDIRECT("D$"&amp;2+MIN(2,ROUNDDOWN(I1049,0))*3)*(-$J1049^3+3*$J1049^2-3*$J1049+1)+INDIRECT("D$"&amp;3+MIN(2,ROUNDDOWN(I1049,0))*3)*(3*$J1049^3-6*$J1049^2+3*$J1049)+INDIRECT("D$"&amp;4+MIN(2,ROUNDDOWN(I1049,0))*3)*(-3*$J1049^3+3*$J1049^2)+INDIRECT("D$"&amp;5+MIN(2,ROUNDDOWN(I1049,0))*3)*$J1049^3</f>
      </c>
      <c r="M1049" s="7">
        <f>SQRT(K1049^2+L1049^2)</f>
      </c>
      <c r="N1049" s="7">
        <f>(K1050-K1048)</f>
      </c>
      <c r="O1049" s="7">
        <f>+(L1050-L1048)</f>
      </c>
      <c r="P1049" s="7">
        <f>SQRT(O1049^2+N1049^2)</f>
      </c>
      <c r="Q1049" s="7">
        <f>N1049/$P1049</f>
      </c>
      <c r="R1049" s="7">
        <f>O1049/$P1049</f>
      </c>
      <c r="S1049" s="7">
        <f>Q1049^2+R1049^2</f>
      </c>
      <c r="T1049" s="7">
        <f>-R1049</f>
      </c>
      <c r="U1049" s="7">
        <f>Q1049</f>
      </c>
      <c r="V1049" s="7">
        <f>($C$14+($C$15-$C$14)/($D$15-$D$14)*(I1049-$D$14))/2</f>
      </c>
      <c r="W1049" s="7">
        <f>($B$22*I1049^4+$C$22*I1049^3+$D$22*I1049^2+$E$22*I1049+$F$22)/2</f>
      </c>
      <c r="X1049" s="7">
        <f>($W1049)*(T1049)</f>
      </c>
      <c r="Y1049" s="7">
        <f>($W1049)*(U1049)</f>
      </c>
      <c r="Z1049" s="7">
        <f>SQRT(X1049^2+Y1049^2)</f>
      </c>
      <c r="AA1049" s="7">
        <f>$K1049+$X1049</f>
      </c>
      <c r="AB1049" s="7">
        <f>$L1049+$Y1049</f>
      </c>
      <c r="AC1049" s="7">
        <f>$K1049-$X1049</f>
      </c>
      <c r="AD1049" s="7">
        <f>$L1049-$Y1049</f>
      </c>
      <c r="AE1049" s="7">
        <f>AA1049/39.3701</f>
      </c>
      <c r="AF1049" s="7">
        <f>AB1049/39.3701</f>
      </c>
      <c r="AG1049" s="7">
        <f>AC1049/39.3701</f>
      </c>
      <c r="AH1049" s="7">
        <f>AD1049/39.3701</f>
      </c>
      <c r="AI1049" s="1"/>
      <c r="AJ1049" s="1"/>
      <c r="AK1049" s="1"/>
      <c r="AL1049" s="1"/>
      <c r="AM1049" s="2"/>
      <c r="AN1049" s="1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  <c r="BA1049" s="1"/>
      <c r="BB1049" s="1"/>
      <c r="BC1049" s="1"/>
      <c r="BD1049" s="1"/>
      <c r="BE1049" s="1"/>
    </row>
    <row x14ac:dyDescent="0.25" r="1050" customHeight="1" ht="18.75">
      <c r="A1050" s="1"/>
      <c r="B1050" s="2"/>
      <c r="C1050" s="2"/>
      <c r="D1050" s="2"/>
      <c r="E1050" s="2"/>
      <c r="F1050" s="2"/>
      <c r="G1050" s="1"/>
      <c r="H1050" s="1"/>
      <c r="I1050" s="7">
        <v>1.047</v>
      </c>
      <c r="J1050" s="7">
        <f>IF((I1050-ROUNDDOWN(I1050,0))=0, 0, (I1050-ROUNDDOWN(I1050,0)))</f>
      </c>
      <c r="K1050" s="7">
        <f>INDIRECT("C$"&amp;2+MIN(2,ROUNDDOWN(I1050,0))*3)*(-$J1050^3+3*$J1050^2-3*$J1050+1)+INDIRECT("C$"&amp;3+MIN(2,ROUNDDOWN(I1050,0))*3)*(3*$J1050^3-6*$J1050^2+3*$J1050)+INDIRECT("C$"&amp;4+MIN(2,ROUNDDOWN(I1050,0))*3)*(-3*$J1050^3+3*$J1050^2)+INDIRECT("C$"&amp;5+MIN(2,ROUNDDOWN(I1050,0))*3)*$J1050^3</f>
      </c>
      <c r="L1050" s="7">
        <f>INDIRECT("D$"&amp;2+MIN(2,ROUNDDOWN(I1050,0))*3)*(-$J1050^3+3*$J1050^2-3*$J1050+1)+INDIRECT("D$"&amp;3+MIN(2,ROUNDDOWN(I1050,0))*3)*(3*$J1050^3-6*$J1050^2+3*$J1050)+INDIRECT("D$"&amp;4+MIN(2,ROUNDDOWN(I1050,0))*3)*(-3*$J1050^3+3*$J1050^2)+INDIRECT("D$"&amp;5+MIN(2,ROUNDDOWN(I1050,0))*3)*$J1050^3</f>
      </c>
      <c r="M1050" s="7">
        <f>SQRT(K1050^2+L1050^2)</f>
      </c>
      <c r="N1050" s="7">
        <f>(K1051-K1049)</f>
      </c>
      <c r="O1050" s="7">
        <f>+(L1051-L1049)</f>
      </c>
      <c r="P1050" s="7">
        <f>SQRT(O1050^2+N1050^2)</f>
      </c>
      <c r="Q1050" s="7">
        <f>N1050/$P1050</f>
      </c>
      <c r="R1050" s="7">
        <f>O1050/$P1050</f>
      </c>
      <c r="S1050" s="7">
        <f>Q1050^2+R1050^2</f>
      </c>
      <c r="T1050" s="7">
        <f>-R1050</f>
      </c>
      <c r="U1050" s="7">
        <f>Q1050</f>
      </c>
      <c r="V1050" s="7">
        <f>($C$14+($C$15-$C$14)/($D$15-$D$14)*(I1050-$D$14))/2</f>
      </c>
      <c r="W1050" s="7">
        <f>($B$22*I1050^4+$C$22*I1050^3+$D$22*I1050^2+$E$22*I1050+$F$22)/2</f>
      </c>
      <c r="X1050" s="7">
        <f>($W1050)*(T1050)</f>
      </c>
      <c r="Y1050" s="7">
        <f>($W1050)*(U1050)</f>
      </c>
      <c r="Z1050" s="7">
        <f>SQRT(X1050^2+Y1050^2)</f>
      </c>
      <c r="AA1050" s="7">
        <f>$K1050+$X1050</f>
      </c>
      <c r="AB1050" s="7">
        <f>$L1050+$Y1050</f>
      </c>
      <c r="AC1050" s="7">
        <f>$K1050-$X1050</f>
      </c>
      <c r="AD1050" s="7">
        <f>$L1050-$Y1050</f>
      </c>
      <c r="AE1050" s="7">
        <f>AA1050/39.3701</f>
      </c>
      <c r="AF1050" s="7">
        <f>AB1050/39.3701</f>
      </c>
      <c r="AG1050" s="7">
        <f>AC1050/39.3701</f>
      </c>
      <c r="AH1050" s="7">
        <f>AD1050/39.3701</f>
      </c>
      <c r="AI1050" s="1"/>
      <c r="AJ1050" s="1"/>
      <c r="AK1050" s="1"/>
      <c r="AL1050" s="1"/>
      <c r="AM1050" s="2"/>
      <c r="AN1050" s="1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  <c r="BA1050" s="1"/>
      <c r="BB1050" s="1"/>
      <c r="BC1050" s="1"/>
      <c r="BD1050" s="1"/>
      <c r="BE1050" s="1"/>
    </row>
    <row x14ac:dyDescent="0.25" r="1051" customHeight="1" ht="18.75">
      <c r="A1051" s="1"/>
      <c r="B1051" s="2"/>
      <c r="C1051" s="2"/>
      <c r="D1051" s="2"/>
      <c r="E1051" s="2"/>
      <c r="F1051" s="2"/>
      <c r="G1051" s="1"/>
      <c r="H1051" s="1"/>
      <c r="I1051" s="7">
        <v>1.048</v>
      </c>
      <c r="J1051" s="7">
        <f>IF((I1051-ROUNDDOWN(I1051,0))=0, 0, (I1051-ROUNDDOWN(I1051,0)))</f>
      </c>
      <c r="K1051" s="7">
        <f>INDIRECT("C$"&amp;2+MIN(2,ROUNDDOWN(I1051,0))*3)*(-$J1051^3+3*$J1051^2-3*$J1051+1)+INDIRECT("C$"&amp;3+MIN(2,ROUNDDOWN(I1051,0))*3)*(3*$J1051^3-6*$J1051^2+3*$J1051)+INDIRECT("C$"&amp;4+MIN(2,ROUNDDOWN(I1051,0))*3)*(-3*$J1051^3+3*$J1051^2)+INDIRECT("C$"&amp;5+MIN(2,ROUNDDOWN(I1051,0))*3)*$J1051^3</f>
      </c>
      <c r="L1051" s="7">
        <f>INDIRECT("D$"&amp;2+MIN(2,ROUNDDOWN(I1051,0))*3)*(-$J1051^3+3*$J1051^2-3*$J1051+1)+INDIRECT("D$"&amp;3+MIN(2,ROUNDDOWN(I1051,0))*3)*(3*$J1051^3-6*$J1051^2+3*$J1051)+INDIRECT("D$"&amp;4+MIN(2,ROUNDDOWN(I1051,0))*3)*(-3*$J1051^3+3*$J1051^2)+INDIRECT("D$"&amp;5+MIN(2,ROUNDDOWN(I1051,0))*3)*$J1051^3</f>
      </c>
      <c r="M1051" s="7">
        <f>SQRT(K1051^2+L1051^2)</f>
      </c>
      <c r="N1051" s="7">
        <f>(K1052-K1050)</f>
      </c>
      <c r="O1051" s="7">
        <f>+(L1052-L1050)</f>
      </c>
      <c r="P1051" s="7">
        <f>SQRT(O1051^2+N1051^2)</f>
      </c>
      <c r="Q1051" s="7">
        <f>N1051/$P1051</f>
      </c>
      <c r="R1051" s="7">
        <f>O1051/$P1051</f>
      </c>
      <c r="S1051" s="8">
        <f>Q1051^2+R1051^2</f>
      </c>
      <c r="T1051" s="7">
        <f>-R1051</f>
      </c>
      <c r="U1051" s="7">
        <f>Q1051</f>
      </c>
      <c r="V1051" s="7">
        <f>($C$14+($C$15-$C$14)/($D$15-$D$14)*(I1051-$D$14))/2</f>
      </c>
      <c r="W1051" s="7">
        <f>($B$22*I1051^4+$C$22*I1051^3+$D$22*I1051^2+$E$22*I1051+$F$22)/2</f>
      </c>
      <c r="X1051" s="7">
        <f>($W1051)*(T1051)</f>
      </c>
      <c r="Y1051" s="7">
        <f>($W1051)*(U1051)</f>
      </c>
      <c r="Z1051" s="7">
        <f>SQRT(X1051^2+Y1051^2)</f>
      </c>
      <c r="AA1051" s="7">
        <f>$K1051+$X1051</f>
      </c>
      <c r="AB1051" s="7">
        <f>$L1051+$Y1051</f>
      </c>
      <c r="AC1051" s="7">
        <f>$K1051-$X1051</f>
      </c>
      <c r="AD1051" s="7">
        <f>$L1051-$Y1051</f>
      </c>
      <c r="AE1051" s="7">
        <f>AA1051/39.3701</f>
      </c>
      <c r="AF1051" s="7">
        <f>AB1051/39.3701</f>
      </c>
      <c r="AG1051" s="7">
        <f>AC1051/39.3701</f>
      </c>
      <c r="AH1051" s="7">
        <f>AD1051/39.3701</f>
      </c>
      <c r="AI1051" s="1"/>
      <c r="AJ1051" s="1"/>
      <c r="AK1051" s="1"/>
      <c r="AL1051" s="1"/>
      <c r="AM1051" s="2"/>
      <c r="AN1051" s="1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  <c r="BA1051" s="1"/>
      <c r="BB1051" s="1"/>
      <c r="BC1051" s="1"/>
      <c r="BD1051" s="1"/>
      <c r="BE1051" s="1"/>
    </row>
    <row x14ac:dyDescent="0.25" r="1052" customHeight="1" ht="18.75">
      <c r="A1052" s="1"/>
      <c r="B1052" s="2"/>
      <c r="C1052" s="2"/>
      <c r="D1052" s="2"/>
      <c r="E1052" s="2"/>
      <c r="F1052" s="2"/>
      <c r="G1052" s="1"/>
      <c r="H1052" s="1"/>
      <c r="I1052" s="7">
        <v>1.049</v>
      </c>
      <c r="J1052" s="7">
        <f>IF((I1052-ROUNDDOWN(I1052,0))=0, 0, (I1052-ROUNDDOWN(I1052,0)))</f>
      </c>
      <c r="K1052" s="7">
        <f>INDIRECT("C$"&amp;2+MIN(2,ROUNDDOWN(I1052,0))*3)*(-$J1052^3+3*$J1052^2-3*$J1052+1)+INDIRECT("C$"&amp;3+MIN(2,ROUNDDOWN(I1052,0))*3)*(3*$J1052^3-6*$J1052^2+3*$J1052)+INDIRECT("C$"&amp;4+MIN(2,ROUNDDOWN(I1052,0))*3)*(-3*$J1052^3+3*$J1052^2)+INDIRECT("C$"&amp;5+MIN(2,ROUNDDOWN(I1052,0))*3)*$J1052^3</f>
      </c>
      <c r="L1052" s="7">
        <f>INDIRECT("D$"&amp;2+MIN(2,ROUNDDOWN(I1052,0))*3)*(-$J1052^3+3*$J1052^2-3*$J1052+1)+INDIRECT("D$"&amp;3+MIN(2,ROUNDDOWN(I1052,0))*3)*(3*$J1052^3-6*$J1052^2+3*$J1052)+INDIRECT("D$"&amp;4+MIN(2,ROUNDDOWN(I1052,0))*3)*(-3*$J1052^3+3*$J1052^2)+INDIRECT("D$"&amp;5+MIN(2,ROUNDDOWN(I1052,0))*3)*$J1052^3</f>
      </c>
      <c r="M1052" s="7">
        <f>SQRT(K1052^2+L1052^2)</f>
      </c>
      <c r="N1052" s="7">
        <f>(K1053-K1051)</f>
      </c>
      <c r="O1052" s="7">
        <f>+(L1053-L1051)</f>
      </c>
      <c r="P1052" s="7">
        <f>SQRT(O1052^2+N1052^2)</f>
      </c>
      <c r="Q1052" s="7">
        <f>N1052/$P1052</f>
      </c>
      <c r="R1052" s="7">
        <f>O1052/$P1052</f>
      </c>
      <c r="S1052" s="8">
        <f>Q1052^2+R1052^2</f>
      </c>
      <c r="T1052" s="7">
        <f>-R1052</f>
      </c>
      <c r="U1052" s="7">
        <f>Q1052</f>
      </c>
      <c r="V1052" s="7">
        <f>($C$14+($C$15-$C$14)/($D$15-$D$14)*(I1052-$D$14))/2</f>
      </c>
      <c r="W1052" s="7">
        <f>($B$22*I1052^4+$C$22*I1052^3+$D$22*I1052^2+$E$22*I1052+$F$22)/2</f>
      </c>
      <c r="X1052" s="7">
        <f>($W1052)*(T1052)</f>
      </c>
      <c r="Y1052" s="7">
        <f>($W1052)*(U1052)</f>
      </c>
      <c r="Z1052" s="7">
        <f>SQRT(X1052^2+Y1052^2)</f>
      </c>
      <c r="AA1052" s="7">
        <f>$K1052+$X1052</f>
      </c>
      <c r="AB1052" s="7">
        <f>$L1052+$Y1052</f>
      </c>
      <c r="AC1052" s="7">
        <f>$K1052-$X1052</f>
      </c>
      <c r="AD1052" s="7">
        <f>$L1052-$Y1052</f>
      </c>
      <c r="AE1052" s="7">
        <f>AA1052/39.3701</f>
      </c>
      <c r="AF1052" s="7">
        <f>AB1052/39.3701</f>
      </c>
      <c r="AG1052" s="7">
        <f>AC1052/39.3701</f>
      </c>
      <c r="AH1052" s="7">
        <f>AD1052/39.3701</f>
      </c>
      <c r="AI1052" s="1"/>
      <c r="AJ1052" s="1"/>
      <c r="AK1052" s="1"/>
      <c r="AL1052" s="1"/>
      <c r="AM1052" s="2"/>
      <c r="AN1052" s="1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  <c r="BA1052" s="1"/>
      <c r="BB1052" s="1"/>
      <c r="BC1052" s="1"/>
      <c r="BD1052" s="1"/>
      <c r="BE1052" s="1"/>
    </row>
    <row x14ac:dyDescent="0.25" r="1053" customHeight="1" ht="18.75">
      <c r="A1053" s="1"/>
      <c r="B1053" s="2"/>
      <c r="C1053" s="2"/>
      <c r="D1053" s="2"/>
      <c r="E1053" s="2"/>
      <c r="F1053" s="2"/>
      <c r="G1053" s="1"/>
      <c r="H1053" s="1"/>
      <c r="I1053" s="7">
        <v>1.05</v>
      </c>
      <c r="J1053" s="7">
        <f>IF((I1053-ROUNDDOWN(I1053,0))=0, 0, (I1053-ROUNDDOWN(I1053,0)))</f>
      </c>
      <c r="K1053" s="7">
        <f>INDIRECT("C$"&amp;2+MIN(2,ROUNDDOWN(I1053,0))*3)*(-$J1053^3+3*$J1053^2-3*$J1053+1)+INDIRECT("C$"&amp;3+MIN(2,ROUNDDOWN(I1053,0))*3)*(3*$J1053^3-6*$J1053^2+3*$J1053)+INDIRECT("C$"&amp;4+MIN(2,ROUNDDOWN(I1053,0))*3)*(-3*$J1053^3+3*$J1053^2)+INDIRECT("C$"&amp;5+MIN(2,ROUNDDOWN(I1053,0))*3)*$J1053^3</f>
      </c>
      <c r="L1053" s="7">
        <f>INDIRECT("D$"&amp;2+MIN(2,ROUNDDOWN(I1053,0))*3)*(-$J1053^3+3*$J1053^2-3*$J1053+1)+INDIRECT("D$"&amp;3+MIN(2,ROUNDDOWN(I1053,0))*3)*(3*$J1053^3-6*$J1053^2+3*$J1053)+INDIRECT("D$"&amp;4+MIN(2,ROUNDDOWN(I1053,0))*3)*(-3*$J1053^3+3*$J1053^2)+INDIRECT("D$"&amp;5+MIN(2,ROUNDDOWN(I1053,0))*3)*$J1053^3</f>
      </c>
      <c r="M1053" s="7">
        <f>SQRT(K1053^2+L1053^2)</f>
      </c>
      <c r="N1053" s="7">
        <f>(K1054-K1052)</f>
      </c>
      <c r="O1053" s="7">
        <f>+(L1054-L1052)</f>
      </c>
      <c r="P1053" s="7">
        <f>SQRT(O1053^2+N1053^2)</f>
      </c>
      <c r="Q1053" s="7">
        <f>N1053/$P1053</f>
      </c>
      <c r="R1053" s="7">
        <f>O1053/$P1053</f>
      </c>
      <c r="S1053" s="7">
        <f>Q1053^2+R1053^2</f>
      </c>
      <c r="T1053" s="7">
        <f>-R1053</f>
      </c>
      <c r="U1053" s="7">
        <f>Q1053</f>
      </c>
      <c r="V1053" s="7">
        <f>($C$14+($C$15-$C$14)/($D$15-$D$14)*(I1053-$D$14))/2</f>
      </c>
      <c r="W1053" s="7">
        <f>($B$22*I1053^4+$C$22*I1053^3+$D$22*I1053^2+$E$22*I1053+$F$22)/2</f>
      </c>
      <c r="X1053" s="7">
        <f>($W1053)*(T1053)</f>
      </c>
      <c r="Y1053" s="7">
        <f>($W1053)*(U1053)</f>
      </c>
      <c r="Z1053" s="7">
        <f>SQRT(X1053^2+Y1053^2)</f>
      </c>
      <c r="AA1053" s="7">
        <f>$K1053+$X1053</f>
      </c>
      <c r="AB1053" s="7">
        <f>$L1053+$Y1053</f>
      </c>
      <c r="AC1053" s="7">
        <f>$K1053-$X1053</f>
      </c>
      <c r="AD1053" s="7">
        <f>$L1053-$Y1053</f>
      </c>
      <c r="AE1053" s="7">
        <f>AA1053/39.3701</f>
      </c>
      <c r="AF1053" s="7">
        <f>AB1053/39.3701</f>
      </c>
      <c r="AG1053" s="7">
        <f>AC1053/39.3701</f>
      </c>
      <c r="AH1053" s="7">
        <f>AD1053/39.3701</f>
      </c>
      <c r="AI1053" s="1"/>
      <c r="AJ1053" s="1"/>
      <c r="AK1053" s="1"/>
      <c r="AL1053" s="1"/>
      <c r="AM1053" s="2"/>
      <c r="AN1053" s="1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  <c r="BA1053" s="1"/>
      <c r="BB1053" s="1"/>
      <c r="BC1053" s="1"/>
      <c r="BD1053" s="1"/>
      <c r="BE1053" s="1"/>
    </row>
    <row x14ac:dyDescent="0.25" r="1054" customHeight="1" ht="18.75">
      <c r="A1054" s="1"/>
      <c r="B1054" s="2"/>
      <c r="C1054" s="2"/>
      <c r="D1054" s="2"/>
      <c r="E1054" s="2"/>
      <c r="F1054" s="2"/>
      <c r="G1054" s="1"/>
      <c r="H1054" s="1"/>
      <c r="I1054" s="7">
        <v>1.051</v>
      </c>
      <c r="J1054" s="7">
        <f>IF((I1054-ROUNDDOWN(I1054,0))=0, 0, (I1054-ROUNDDOWN(I1054,0)))</f>
      </c>
      <c r="K1054" s="7">
        <f>INDIRECT("C$"&amp;2+MIN(2,ROUNDDOWN(I1054,0))*3)*(-$J1054^3+3*$J1054^2-3*$J1054+1)+INDIRECT("C$"&amp;3+MIN(2,ROUNDDOWN(I1054,0))*3)*(3*$J1054^3-6*$J1054^2+3*$J1054)+INDIRECT("C$"&amp;4+MIN(2,ROUNDDOWN(I1054,0))*3)*(-3*$J1054^3+3*$J1054^2)+INDIRECT("C$"&amp;5+MIN(2,ROUNDDOWN(I1054,0))*3)*$J1054^3</f>
      </c>
      <c r="L1054" s="7">
        <f>INDIRECT("D$"&amp;2+MIN(2,ROUNDDOWN(I1054,0))*3)*(-$J1054^3+3*$J1054^2-3*$J1054+1)+INDIRECT("D$"&amp;3+MIN(2,ROUNDDOWN(I1054,0))*3)*(3*$J1054^3-6*$J1054^2+3*$J1054)+INDIRECT("D$"&amp;4+MIN(2,ROUNDDOWN(I1054,0))*3)*(-3*$J1054^3+3*$J1054^2)+INDIRECT("D$"&amp;5+MIN(2,ROUNDDOWN(I1054,0))*3)*$J1054^3</f>
      </c>
      <c r="M1054" s="7">
        <f>SQRT(K1054^2+L1054^2)</f>
      </c>
      <c r="N1054" s="7">
        <f>(K1055-K1053)</f>
      </c>
      <c r="O1054" s="7">
        <f>+(L1055-L1053)</f>
      </c>
      <c r="P1054" s="7">
        <f>SQRT(O1054^2+N1054^2)</f>
      </c>
      <c r="Q1054" s="7">
        <f>N1054/$P1054</f>
      </c>
      <c r="R1054" s="7">
        <f>O1054/$P1054</f>
      </c>
      <c r="S1054" s="7">
        <f>Q1054^2+R1054^2</f>
      </c>
      <c r="T1054" s="7">
        <f>-R1054</f>
      </c>
      <c r="U1054" s="7">
        <f>Q1054</f>
      </c>
      <c r="V1054" s="7">
        <f>($C$14+($C$15-$C$14)/($D$15-$D$14)*(I1054-$D$14))/2</f>
      </c>
      <c r="W1054" s="7">
        <f>($B$22*I1054^4+$C$22*I1054^3+$D$22*I1054^2+$E$22*I1054+$F$22)/2</f>
      </c>
      <c r="X1054" s="7">
        <f>($W1054)*(T1054)</f>
      </c>
      <c r="Y1054" s="7">
        <f>($W1054)*(U1054)</f>
      </c>
      <c r="Z1054" s="7">
        <f>SQRT(X1054^2+Y1054^2)</f>
      </c>
      <c r="AA1054" s="7">
        <f>$K1054+$X1054</f>
      </c>
      <c r="AB1054" s="7">
        <f>$L1054+$Y1054</f>
      </c>
      <c r="AC1054" s="7">
        <f>$K1054-$X1054</f>
      </c>
      <c r="AD1054" s="7">
        <f>$L1054-$Y1054</f>
      </c>
      <c r="AE1054" s="7">
        <f>AA1054/39.3701</f>
      </c>
      <c r="AF1054" s="7">
        <f>AB1054/39.3701</f>
      </c>
      <c r="AG1054" s="7">
        <f>AC1054/39.3701</f>
      </c>
      <c r="AH1054" s="7">
        <f>AD1054/39.3701</f>
      </c>
      <c r="AI1054" s="1"/>
      <c r="AJ1054" s="1"/>
      <c r="AK1054" s="1"/>
      <c r="AL1054" s="1"/>
      <c r="AM1054" s="2"/>
      <c r="AN1054" s="1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  <c r="BA1054" s="1"/>
      <c r="BB1054" s="1"/>
      <c r="BC1054" s="1"/>
      <c r="BD1054" s="1"/>
      <c r="BE1054" s="1"/>
    </row>
    <row x14ac:dyDescent="0.25" r="1055" customHeight="1" ht="18.75">
      <c r="A1055" s="1"/>
      <c r="B1055" s="2"/>
      <c r="C1055" s="2"/>
      <c r="D1055" s="2"/>
      <c r="E1055" s="2"/>
      <c r="F1055" s="2"/>
      <c r="G1055" s="1"/>
      <c r="H1055" s="1"/>
      <c r="I1055" s="7">
        <v>1.052</v>
      </c>
      <c r="J1055" s="7">
        <f>IF((I1055-ROUNDDOWN(I1055,0))=0, 0, (I1055-ROUNDDOWN(I1055,0)))</f>
      </c>
      <c r="K1055" s="7">
        <f>INDIRECT("C$"&amp;2+MIN(2,ROUNDDOWN(I1055,0))*3)*(-$J1055^3+3*$J1055^2-3*$J1055+1)+INDIRECT("C$"&amp;3+MIN(2,ROUNDDOWN(I1055,0))*3)*(3*$J1055^3-6*$J1055^2+3*$J1055)+INDIRECT("C$"&amp;4+MIN(2,ROUNDDOWN(I1055,0))*3)*(-3*$J1055^3+3*$J1055^2)+INDIRECT("C$"&amp;5+MIN(2,ROUNDDOWN(I1055,0))*3)*$J1055^3</f>
      </c>
      <c r="L1055" s="7">
        <f>INDIRECT("D$"&amp;2+MIN(2,ROUNDDOWN(I1055,0))*3)*(-$J1055^3+3*$J1055^2-3*$J1055+1)+INDIRECT("D$"&amp;3+MIN(2,ROUNDDOWN(I1055,0))*3)*(3*$J1055^3-6*$J1055^2+3*$J1055)+INDIRECT("D$"&amp;4+MIN(2,ROUNDDOWN(I1055,0))*3)*(-3*$J1055^3+3*$J1055^2)+INDIRECT("D$"&amp;5+MIN(2,ROUNDDOWN(I1055,0))*3)*$J1055^3</f>
      </c>
      <c r="M1055" s="7">
        <f>SQRT(K1055^2+L1055^2)</f>
      </c>
      <c r="N1055" s="7">
        <f>(K1056-K1054)</f>
      </c>
      <c r="O1055" s="7">
        <f>+(L1056-L1054)</f>
      </c>
      <c r="P1055" s="7">
        <f>SQRT(O1055^2+N1055^2)</f>
      </c>
      <c r="Q1055" s="7">
        <f>N1055/$P1055</f>
      </c>
      <c r="R1055" s="7">
        <f>O1055/$P1055</f>
      </c>
      <c r="S1055" s="8">
        <f>Q1055^2+R1055^2</f>
      </c>
      <c r="T1055" s="7">
        <f>-R1055</f>
      </c>
      <c r="U1055" s="7">
        <f>Q1055</f>
      </c>
      <c r="V1055" s="7">
        <f>($C$14+($C$15-$C$14)/($D$15-$D$14)*(I1055-$D$14))/2</f>
      </c>
      <c r="W1055" s="7">
        <f>($B$22*I1055^4+$C$22*I1055^3+$D$22*I1055^2+$E$22*I1055+$F$22)/2</f>
      </c>
      <c r="X1055" s="7">
        <f>($W1055)*(T1055)</f>
      </c>
      <c r="Y1055" s="7">
        <f>($W1055)*(U1055)</f>
      </c>
      <c r="Z1055" s="7">
        <f>SQRT(X1055^2+Y1055^2)</f>
      </c>
      <c r="AA1055" s="7">
        <f>$K1055+$X1055</f>
      </c>
      <c r="AB1055" s="7">
        <f>$L1055+$Y1055</f>
      </c>
      <c r="AC1055" s="7">
        <f>$K1055-$X1055</f>
      </c>
      <c r="AD1055" s="7">
        <f>$L1055-$Y1055</f>
      </c>
      <c r="AE1055" s="7">
        <f>AA1055/39.3701</f>
      </c>
      <c r="AF1055" s="7">
        <f>AB1055/39.3701</f>
      </c>
      <c r="AG1055" s="7">
        <f>AC1055/39.3701</f>
      </c>
      <c r="AH1055" s="7">
        <f>AD1055/39.3701</f>
      </c>
      <c r="AI1055" s="1"/>
      <c r="AJ1055" s="1"/>
      <c r="AK1055" s="1"/>
      <c r="AL1055" s="1"/>
      <c r="AM1055" s="2"/>
      <c r="AN1055" s="1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  <c r="BA1055" s="1"/>
      <c r="BB1055" s="1"/>
      <c r="BC1055" s="1"/>
      <c r="BD1055" s="1"/>
      <c r="BE1055" s="1"/>
    </row>
    <row x14ac:dyDescent="0.25" r="1056" customHeight="1" ht="18.75">
      <c r="A1056" s="1"/>
      <c r="B1056" s="2"/>
      <c r="C1056" s="2"/>
      <c r="D1056" s="2"/>
      <c r="E1056" s="2"/>
      <c r="F1056" s="2"/>
      <c r="G1056" s="1"/>
      <c r="H1056" s="1"/>
      <c r="I1056" s="7">
        <v>1.053</v>
      </c>
      <c r="J1056" s="7">
        <f>IF((I1056-ROUNDDOWN(I1056,0))=0, 0, (I1056-ROUNDDOWN(I1056,0)))</f>
      </c>
      <c r="K1056" s="7">
        <f>INDIRECT("C$"&amp;2+MIN(2,ROUNDDOWN(I1056,0))*3)*(-$J1056^3+3*$J1056^2-3*$J1056+1)+INDIRECT("C$"&amp;3+MIN(2,ROUNDDOWN(I1056,0))*3)*(3*$J1056^3-6*$J1056^2+3*$J1056)+INDIRECT("C$"&amp;4+MIN(2,ROUNDDOWN(I1056,0))*3)*(-3*$J1056^3+3*$J1056^2)+INDIRECT("C$"&amp;5+MIN(2,ROUNDDOWN(I1056,0))*3)*$J1056^3</f>
      </c>
      <c r="L1056" s="7">
        <f>INDIRECT("D$"&amp;2+MIN(2,ROUNDDOWN(I1056,0))*3)*(-$J1056^3+3*$J1056^2-3*$J1056+1)+INDIRECT("D$"&amp;3+MIN(2,ROUNDDOWN(I1056,0))*3)*(3*$J1056^3-6*$J1056^2+3*$J1056)+INDIRECT("D$"&amp;4+MIN(2,ROUNDDOWN(I1056,0))*3)*(-3*$J1056^3+3*$J1056^2)+INDIRECT("D$"&amp;5+MIN(2,ROUNDDOWN(I1056,0))*3)*$J1056^3</f>
      </c>
      <c r="M1056" s="7">
        <f>SQRT(K1056^2+L1056^2)</f>
      </c>
      <c r="N1056" s="7">
        <f>(K1057-K1055)</f>
      </c>
      <c r="O1056" s="7">
        <f>+(L1057-L1055)</f>
      </c>
      <c r="P1056" s="7">
        <f>SQRT(O1056^2+N1056^2)</f>
      </c>
      <c r="Q1056" s="7">
        <f>N1056/$P1056</f>
      </c>
      <c r="R1056" s="7">
        <f>O1056/$P1056</f>
      </c>
      <c r="S1056" s="8">
        <f>Q1056^2+R1056^2</f>
      </c>
      <c r="T1056" s="7">
        <f>-R1056</f>
      </c>
      <c r="U1056" s="7">
        <f>Q1056</f>
      </c>
      <c r="V1056" s="7">
        <f>($C$14+($C$15-$C$14)/($D$15-$D$14)*(I1056-$D$14))/2</f>
      </c>
      <c r="W1056" s="7">
        <f>($B$22*I1056^4+$C$22*I1056^3+$D$22*I1056^2+$E$22*I1056+$F$22)/2</f>
      </c>
      <c r="X1056" s="7">
        <f>($W1056)*(T1056)</f>
      </c>
      <c r="Y1056" s="7">
        <f>($W1056)*(U1056)</f>
      </c>
      <c r="Z1056" s="7">
        <f>SQRT(X1056^2+Y1056^2)</f>
      </c>
      <c r="AA1056" s="7">
        <f>$K1056+$X1056</f>
      </c>
      <c r="AB1056" s="7">
        <f>$L1056+$Y1056</f>
      </c>
      <c r="AC1056" s="7">
        <f>$K1056-$X1056</f>
      </c>
      <c r="AD1056" s="7">
        <f>$L1056-$Y1056</f>
      </c>
      <c r="AE1056" s="7">
        <f>AA1056/39.3701</f>
      </c>
      <c r="AF1056" s="7">
        <f>AB1056/39.3701</f>
      </c>
      <c r="AG1056" s="7">
        <f>AC1056/39.3701</f>
      </c>
      <c r="AH1056" s="7">
        <f>AD1056/39.3701</f>
      </c>
      <c r="AI1056" s="1"/>
      <c r="AJ1056" s="1"/>
      <c r="AK1056" s="1"/>
      <c r="AL1056" s="1"/>
      <c r="AM1056" s="2"/>
      <c r="AN1056" s="1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  <c r="BA1056" s="1"/>
      <c r="BB1056" s="1"/>
      <c r="BC1056" s="1"/>
      <c r="BD1056" s="1"/>
      <c r="BE1056" s="1"/>
    </row>
    <row x14ac:dyDescent="0.25" r="1057" customHeight="1" ht="18.75">
      <c r="A1057" s="1"/>
      <c r="B1057" s="2"/>
      <c r="C1057" s="2"/>
      <c r="D1057" s="2"/>
      <c r="E1057" s="2"/>
      <c r="F1057" s="2"/>
      <c r="G1057" s="1"/>
      <c r="H1057" s="1"/>
      <c r="I1057" s="7">
        <v>1.054</v>
      </c>
      <c r="J1057" s="7">
        <f>IF((I1057-ROUNDDOWN(I1057,0))=0, 0, (I1057-ROUNDDOWN(I1057,0)))</f>
      </c>
      <c r="K1057" s="7">
        <f>INDIRECT("C$"&amp;2+MIN(2,ROUNDDOWN(I1057,0))*3)*(-$J1057^3+3*$J1057^2-3*$J1057+1)+INDIRECT("C$"&amp;3+MIN(2,ROUNDDOWN(I1057,0))*3)*(3*$J1057^3-6*$J1057^2+3*$J1057)+INDIRECT("C$"&amp;4+MIN(2,ROUNDDOWN(I1057,0))*3)*(-3*$J1057^3+3*$J1057^2)+INDIRECT("C$"&amp;5+MIN(2,ROUNDDOWN(I1057,0))*3)*$J1057^3</f>
      </c>
      <c r="L1057" s="7">
        <f>INDIRECT("D$"&amp;2+MIN(2,ROUNDDOWN(I1057,0))*3)*(-$J1057^3+3*$J1057^2-3*$J1057+1)+INDIRECT("D$"&amp;3+MIN(2,ROUNDDOWN(I1057,0))*3)*(3*$J1057^3-6*$J1057^2+3*$J1057)+INDIRECT("D$"&amp;4+MIN(2,ROUNDDOWN(I1057,0))*3)*(-3*$J1057^3+3*$J1057^2)+INDIRECT("D$"&amp;5+MIN(2,ROUNDDOWN(I1057,0))*3)*$J1057^3</f>
      </c>
      <c r="M1057" s="7">
        <f>SQRT(K1057^2+L1057^2)</f>
      </c>
      <c r="N1057" s="7">
        <f>(K1058-K1056)</f>
      </c>
      <c r="O1057" s="7">
        <f>+(L1058-L1056)</f>
      </c>
      <c r="P1057" s="7">
        <f>SQRT(O1057^2+N1057^2)</f>
      </c>
      <c r="Q1057" s="7">
        <f>N1057/$P1057</f>
      </c>
      <c r="R1057" s="7">
        <f>O1057/$P1057</f>
      </c>
      <c r="S1057" s="8">
        <f>Q1057^2+R1057^2</f>
      </c>
      <c r="T1057" s="7">
        <f>-R1057</f>
      </c>
      <c r="U1057" s="7">
        <f>Q1057</f>
      </c>
      <c r="V1057" s="7">
        <f>($C$14+($C$15-$C$14)/($D$15-$D$14)*(I1057-$D$14))/2</f>
      </c>
      <c r="W1057" s="7">
        <f>($B$22*I1057^4+$C$22*I1057^3+$D$22*I1057^2+$E$22*I1057+$F$22)/2</f>
      </c>
      <c r="X1057" s="7">
        <f>($W1057)*(T1057)</f>
      </c>
      <c r="Y1057" s="7">
        <f>($W1057)*(U1057)</f>
      </c>
      <c r="Z1057" s="7">
        <f>SQRT(X1057^2+Y1057^2)</f>
      </c>
      <c r="AA1057" s="7">
        <f>$K1057+$X1057</f>
      </c>
      <c r="AB1057" s="7">
        <f>$L1057+$Y1057</f>
      </c>
      <c r="AC1057" s="7">
        <f>$K1057-$X1057</f>
      </c>
      <c r="AD1057" s="7">
        <f>$L1057-$Y1057</f>
      </c>
      <c r="AE1057" s="7">
        <f>AA1057/39.3701</f>
      </c>
      <c r="AF1057" s="7">
        <f>AB1057/39.3701</f>
      </c>
      <c r="AG1057" s="7">
        <f>AC1057/39.3701</f>
      </c>
      <c r="AH1057" s="7">
        <f>AD1057/39.3701</f>
      </c>
      <c r="AI1057" s="1"/>
      <c r="AJ1057" s="1"/>
      <c r="AK1057" s="1"/>
      <c r="AL1057" s="1"/>
      <c r="AM1057" s="2"/>
      <c r="AN1057" s="1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  <c r="BA1057" s="1"/>
      <c r="BB1057" s="1"/>
      <c r="BC1057" s="1"/>
      <c r="BD1057" s="1"/>
      <c r="BE1057" s="1"/>
    </row>
    <row x14ac:dyDescent="0.25" r="1058" customHeight="1" ht="18.75">
      <c r="A1058" s="1"/>
      <c r="B1058" s="2"/>
      <c r="C1058" s="2"/>
      <c r="D1058" s="2"/>
      <c r="E1058" s="2"/>
      <c r="F1058" s="2"/>
      <c r="G1058" s="1"/>
      <c r="H1058" s="1"/>
      <c r="I1058" s="7">
        <v>1.055</v>
      </c>
      <c r="J1058" s="7">
        <f>IF((I1058-ROUNDDOWN(I1058,0))=0, 0, (I1058-ROUNDDOWN(I1058,0)))</f>
      </c>
      <c r="K1058" s="7">
        <f>INDIRECT("C$"&amp;2+MIN(2,ROUNDDOWN(I1058,0))*3)*(-$J1058^3+3*$J1058^2-3*$J1058+1)+INDIRECT("C$"&amp;3+MIN(2,ROUNDDOWN(I1058,0))*3)*(3*$J1058^3-6*$J1058^2+3*$J1058)+INDIRECT("C$"&amp;4+MIN(2,ROUNDDOWN(I1058,0))*3)*(-3*$J1058^3+3*$J1058^2)+INDIRECT("C$"&amp;5+MIN(2,ROUNDDOWN(I1058,0))*3)*$J1058^3</f>
      </c>
      <c r="L1058" s="7">
        <f>INDIRECT("D$"&amp;2+MIN(2,ROUNDDOWN(I1058,0))*3)*(-$J1058^3+3*$J1058^2-3*$J1058+1)+INDIRECT("D$"&amp;3+MIN(2,ROUNDDOWN(I1058,0))*3)*(3*$J1058^3-6*$J1058^2+3*$J1058)+INDIRECT("D$"&amp;4+MIN(2,ROUNDDOWN(I1058,0))*3)*(-3*$J1058^3+3*$J1058^2)+INDIRECT("D$"&amp;5+MIN(2,ROUNDDOWN(I1058,0))*3)*$J1058^3</f>
      </c>
      <c r="M1058" s="7">
        <f>SQRT(K1058^2+L1058^2)</f>
      </c>
      <c r="N1058" s="7">
        <f>(K1059-K1057)</f>
      </c>
      <c r="O1058" s="7">
        <f>+(L1059-L1057)</f>
      </c>
      <c r="P1058" s="7">
        <f>SQRT(O1058^2+N1058^2)</f>
      </c>
      <c r="Q1058" s="7">
        <f>N1058/$P1058</f>
      </c>
      <c r="R1058" s="7">
        <f>O1058/$P1058</f>
      </c>
      <c r="S1058" s="8">
        <f>Q1058^2+R1058^2</f>
      </c>
      <c r="T1058" s="7">
        <f>-R1058</f>
      </c>
      <c r="U1058" s="7">
        <f>Q1058</f>
      </c>
      <c r="V1058" s="7">
        <f>($C$14+($C$15-$C$14)/($D$15-$D$14)*(I1058-$D$14))/2</f>
      </c>
      <c r="W1058" s="7">
        <f>($B$22*I1058^4+$C$22*I1058^3+$D$22*I1058^2+$E$22*I1058+$F$22)/2</f>
      </c>
      <c r="X1058" s="7">
        <f>($W1058)*(T1058)</f>
      </c>
      <c r="Y1058" s="7">
        <f>($W1058)*(U1058)</f>
      </c>
      <c r="Z1058" s="7">
        <f>SQRT(X1058^2+Y1058^2)</f>
      </c>
      <c r="AA1058" s="7">
        <f>$K1058+$X1058</f>
      </c>
      <c r="AB1058" s="7">
        <f>$L1058+$Y1058</f>
      </c>
      <c r="AC1058" s="7">
        <f>$K1058-$X1058</f>
      </c>
      <c r="AD1058" s="7">
        <f>$L1058-$Y1058</f>
      </c>
      <c r="AE1058" s="7">
        <f>AA1058/39.3701</f>
      </c>
      <c r="AF1058" s="7">
        <f>AB1058/39.3701</f>
      </c>
      <c r="AG1058" s="7">
        <f>AC1058/39.3701</f>
      </c>
      <c r="AH1058" s="7">
        <f>AD1058/39.3701</f>
      </c>
      <c r="AI1058" s="1"/>
      <c r="AJ1058" s="1"/>
      <c r="AK1058" s="1"/>
      <c r="AL1058" s="1"/>
      <c r="AM1058" s="2"/>
      <c r="AN1058" s="1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  <c r="BA1058" s="1"/>
      <c r="BB1058" s="1"/>
      <c r="BC1058" s="1"/>
      <c r="BD1058" s="1"/>
      <c r="BE1058" s="1"/>
    </row>
    <row x14ac:dyDescent="0.25" r="1059" customHeight="1" ht="18.75">
      <c r="A1059" s="1"/>
      <c r="B1059" s="2"/>
      <c r="C1059" s="2"/>
      <c r="D1059" s="2"/>
      <c r="E1059" s="2"/>
      <c r="F1059" s="2"/>
      <c r="G1059" s="1"/>
      <c r="H1059" s="1"/>
      <c r="I1059" s="7">
        <v>1.056</v>
      </c>
      <c r="J1059" s="7">
        <f>IF((I1059-ROUNDDOWN(I1059,0))=0, 0, (I1059-ROUNDDOWN(I1059,0)))</f>
      </c>
      <c r="K1059" s="7">
        <f>INDIRECT("C$"&amp;2+MIN(2,ROUNDDOWN(I1059,0))*3)*(-$J1059^3+3*$J1059^2-3*$J1059+1)+INDIRECT("C$"&amp;3+MIN(2,ROUNDDOWN(I1059,0))*3)*(3*$J1059^3-6*$J1059^2+3*$J1059)+INDIRECT("C$"&amp;4+MIN(2,ROUNDDOWN(I1059,0))*3)*(-3*$J1059^3+3*$J1059^2)+INDIRECT("C$"&amp;5+MIN(2,ROUNDDOWN(I1059,0))*3)*$J1059^3</f>
      </c>
      <c r="L1059" s="7">
        <f>INDIRECT("D$"&amp;2+MIN(2,ROUNDDOWN(I1059,0))*3)*(-$J1059^3+3*$J1059^2-3*$J1059+1)+INDIRECT("D$"&amp;3+MIN(2,ROUNDDOWN(I1059,0))*3)*(3*$J1059^3-6*$J1059^2+3*$J1059)+INDIRECT("D$"&amp;4+MIN(2,ROUNDDOWN(I1059,0))*3)*(-3*$J1059^3+3*$J1059^2)+INDIRECT("D$"&amp;5+MIN(2,ROUNDDOWN(I1059,0))*3)*$J1059^3</f>
      </c>
      <c r="M1059" s="7">
        <f>SQRT(K1059^2+L1059^2)</f>
      </c>
      <c r="N1059" s="7">
        <f>(K1060-K1058)</f>
      </c>
      <c r="O1059" s="7">
        <f>+(L1060-L1058)</f>
      </c>
      <c r="P1059" s="7">
        <f>SQRT(O1059^2+N1059^2)</f>
      </c>
      <c r="Q1059" s="7">
        <f>N1059/$P1059</f>
      </c>
      <c r="R1059" s="7">
        <f>O1059/$P1059</f>
      </c>
      <c r="S1059" s="8">
        <f>Q1059^2+R1059^2</f>
      </c>
      <c r="T1059" s="7">
        <f>-R1059</f>
      </c>
      <c r="U1059" s="7">
        <f>Q1059</f>
      </c>
      <c r="V1059" s="7">
        <f>($C$14+($C$15-$C$14)/($D$15-$D$14)*(I1059-$D$14))/2</f>
      </c>
      <c r="W1059" s="7">
        <f>($B$22*I1059^4+$C$22*I1059^3+$D$22*I1059^2+$E$22*I1059+$F$22)/2</f>
      </c>
      <c r="X1059" s="7">
        <f>($W1059)*(T1059)</f>
      </c>
      <c r="Y1059" s="7">
        <f>($W1059)*(U1059)</f>
      </c>
      <c r="Z1059" s="7">
        <f>SQRT(X1059^2+Y1059^2)</f>
      </c>
      <c r="AA1059" s="7">
        <f>$K1059+$X1059</f>
      </c>
      <c r="AB1059" s="7">
        <f>$L1059+$Y1059</f>
      </c>
      <c r="AC1059" s="7">
        <f>$K1059-$X1059</f>
      </c>
      <c r="AD1059" s="7">
        <f>$L1059-$Y1059</f>
      </c>
      <c r="AE1059" s="7">
        <f>AA1059/39.3701</f>
      </c>
      <c r="AF1059" s="7">
        <f>AB1059/39.3701</f>
      </c>
      <c r="AG1059" s="7">
        <f>AC1059/39.3701</f>
      </c>
      <c r="AH1059" s="7">
        <f>AD1059/39.3701</f>
      </c>
      <c r="AI1059" s="1"/>
      <c r="AJ1059" s="1"/>
      <c r="AK1059" s="1"/>
      <c r="AL1059" s="1"/>
      <c r="AM1059" s="2"/>
      <c r="AN1059" s="1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  <c r="BA1059" s="1"/>
      <c r="BB1059" s="1"/>
      <c r="BC1059" s="1"/>
      <c r="BD1059" s="1"/>
      <c r="BE1059" s="1"/>
    </row>
    <row x14ac:dyDescent="0.25" r="1060" customHeight="1" ht="18.75">
      <c r="A1060" s="1"/>
      <c r="B1060" s="2"/>
      <c r="C1060" s="2"/>
      <c r="D1060" s="2"/>
      <c r="E1060" s="2"/>
      <c r="F1060" s="2"/>
      <c r="G1060" s="1"/>
      <c r="H1060" s="1"/>
      <c r="I1060" s="7">
        <v>1.057</v>
      </c>
      <c r="J1060" s="7">
        <f>IF((I1060-ROUNDDOWN(I1060,0))=0, 0, (I1060-ROUNDDOWN(I1060,0)))</f>
      </c>
      <c r="K1060" s="7">
        <f>INDIRECT("C$"&amp;2+MIN(2,ROUNDDOWN(I1060,0))*3)*(-$J1060^3+3*$J1060^2-3*$J1060+1)+INDIRECT("C$"&amp;3+MIN(2,ROUNDDOWN(I1060,0))*3)*(3*$J1060^3-6*$J1060^2+3*$J1060)+INDIRECT("C$"&amp;4+MIN(2,ROUNDDOWN(I1060,0))*3)*(-3*$J1060^3+3*$J1060^2)+INDIRECT("C$"&amp;5+MIN(2,ROUNDDOWN(I1060,0))*3)*$J1060^3</f>
      </c>
      <c r="L1060" s="7">
        <f>INDIRECT("D$"&amp;2+MIN(2,ROUNDDOWN(I1060,0))*3)*(-$J1060^3+3*$J1060^2-3*$J1060+1)+INDIRECT("D$"&amp;3+MIN(2,ROUNDDOWN(I1060,0))*3)*(3*$J1060^3-6*$J1060^2+3*$J1060)+INDIRECT("D$"&amp;4+MIN(2,ROUNDDOWN(I1060,0))*3)*(-3*$J1060^3+3*$J1060^2)+INDIRECT("D$"&amp;5+MIN(2,ROUNDDOWN(I1060,0))*3)*$J1060^3</f>
      </c>
      <c r="M1060" s="7">
        <f>SQRT(K1060^2+L1060^2)</f>
      </c>
      <c r="N1060" s="7">
        <f>(K1061-K1059)</f>
      </c>
      <c r="O1060" s="7">
        <f>+(L1061-L1059)</f>
      </c>
      <c r="P1060" s="7">
        <f>SQRT(O1060^2+N1060^2)</f>
      </c>
      <c r="Q1060" s="7">
        <f>N1060/$P1060</f>
      </c>
      <c r="R1060" s="7">
        <f>O1060/$P1060</f>
      </c>
      <c r="S1060" s="8">
        <f>Q1060^2+R1060^2</f>
      </c>
      <c r="T1060" s="7">
        <f>-R1060</f>
      </c>
      <c r="U1060" s="7">
        <f>Q1060</f>
      </c>
      <c r="V1060" s="7">
        <f>($C$14+($C$15-$C$14)/($D$15-$D$14)*(I1060-$D$14))/2</f>
      </c>
      <c r="W1060" s="7">
        <f>($B$22*I1060^4+$C$22*I1060^3+$D$22*I1060^2+$E$22*I1060+$F$22)/2</f>
      </c>
      <c r="X1060" s="7">
        <f>($W1060)*(T1060)</f>
      </c>
      <c r="Y1060" s="7">
        <f>($W1060)*(U1060)</f>
      </c>
      <c r="Z1060" s="7">
        <f>SQRT(X1060^2+Y1060^2)</f>
      </c>
      <c r="AA1060" s="7">
        <f>$K1060+$X1060</f>
      </c>
      <c r="AB1060" s="7">
        <f>$L1060+$Y1060</f>
      </c>
      <c r="AC1060" s="7">
        <f>$K1060-$X1060</f>
      </c>
      <c r="AD1060" s="7">
        <f>$L1060-$Y1060</f>
      </c>
      <c r="AE1060" s="7">
        <f>AA1060/39.3701</f>
      </c>
      <c r="AF1060" s="7">
        <f>AB1060/39.3701</f>
      </c>
      <c r="AG1060" s="7">
        <f>AC1060/39.3701</f>
      </c>
      <c r="AH1060" s="7">
        <f>AD1060/39.3701</f>
      </c>
      <c r="AI1060" s="1"/>
      <c r="AJ1060" s="1"/>
      <c r="AK1060" s="1"/>
      <c r="AL1060" s="1"/>
      <c r="AM1060" s="2"/>
      <c r="AN1060" s="1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  <c r="BA1060" s="1"/>
      <c r="BB1060" s="1"/>
      <c r="BC1060" s="1"/>
      <c r="BD1060" s="1"/>
      <c r="BE1060" s="1"/>
    </row>
    <row x14ac:dyDescent="0.25" r="1061" customHeight="1" ht="18.75">
      <c r="A1061" s="1"/>
      <c r="B1061" s="2"/>
      <c r="C1061" s="2"/>
      <c r="D1061" s="2"/>
      <c r="E1061" s="2"/>
      <c r="F1061" s="2"/>
      <c r="G1061" s="1"/>
      <c r="H1061" s="1"/>
      <c r="I1061" s="7">
        <v>1.058</v>
      </c>
      <c r="J1061" s="7">
        <f>IF((I1061-ROUNDDOWN(I1061,0))=0, 0, (I1061-ROUNDDOWN(I1061,0)))</f>
      </c>
      <c r="K1061" s="7">
        <f>INDIRECT("C$"&amp;2+MIN(2,ROUNDDOWN(I1061,0))*3)*(-$J1061^3+3*$J1061^2-3*$J1061+1)+INDIRECT("C$"&amp;3+MIN(2,ROUNDDOWN(I1061,0))*3)*(3*$J1061^3-6*$J1061^2+3*$J1061)+INDIRECT("C$"&amp;4+MIN(2,ROUNDDOWN(I1061,0))*3)*(-3*$J1061^3+3*$J1061^2)+INDIRECT("C$"&amp;5+MIN(2,ROUNDDOWN(I1061,0))*3)*$J1061^3</f>
      </c>
      <c r="L1061" s="7">
        <f>INDIRECT("D$"&amp;2+MIN(2,ROUNDDOWN(I1061,0))*3)*(-$J1061^3+3*$J1061^2-3*$J1061+1)+INDIRECT("D$"&amp;3+MIN(2,ROUNDDOWN(I1061,0))*3)*(3*$J1061^3-6*$J1061^2+3*$J1061)+INDIRECT("D$"&amp;4+MIN(2,ROUNDDOWN(I1061,0))*3)*(-3*$J1061^3+3*$J1061^2)+INDIRECT("D$"&amp;5+MIN(2,ROUNDDOWN(I1061,0))*3)*$J1061^3</f>
      </c>
      <c r="M1061" s="7">
        <f>SQRT(K1061^2+L1061^2)</f>
      </c>
      <c r="N1061" s="7">
        <f>(K1062-K1060)</f>
      </c>
      <c r="O1061" s="7">
        <f>+(L1062-L1060)</f>
      </c>
      <c r="P1061" s="7">
        <f>SQRT(O1061^2+N1061^2)</f>
      </c>
      <c r="Q1061" s="7">
        <f>N1061/$P1061</f>
      </c>
      <c r="R1061" s="7">
        <f>O1061/$P1061</f>
      </c>
      <c r="S1061" s="7">
        <f>Q1061^2+R1061^2</f>
      </c>
      <c r="T1061" s="7">
        <f>-R1061</f>
      </c>
      <c r="U1061" s="7">
        <f>Q1061</f>
      </c>
      <c r="V1061" s="7">
        <f>($C$14+($C$15-$C$14)/($D$15-$D$14)*(I1061-$D$14))/2</f>
      </c>
      <c r="W1061" s="7">
        <f>($B$22*I1061^4+$C$22*I1061^3+$D$22*I1061^2+$E$22*I1061+$F$22)/2</f>
      </c>
      <c r="X1061" s="7">
        <f>($W1061)*(T1061)</f>
      </c>
      <c r="Y1061" s="7">
        <f>($W1061)*(U1061)</f>
      </c>
      <c r="Z1061" s="7">
        <f>SQRT(X1061^2+Y1061^2)</f>
      </c>
      <c r="AA1061" s="7">
        <f>$K1061+$X1061</f>
      </c>
      <c r="AB1061" s="7">
        <f>$L1061+$Y1061</f>
      </c>
      <c r="AC1061" s="7">
        <f>$K1061-$X1061</f>
      </c>
      <c r="AD1061" s="7">
        <f>$L1061-$Y1061</f>
      </c>
      <c r="AE1061" s="7">
        <f>AA1061/39.3701</f>
      </c>
      <c r="AF1061" s="7">
        <f>AB1061/39.3701</f>
      </c>
      <c r="AG1061" s="7">
        <f>AC1061/39.3701</f>
      </c>
      <c r="AH1061" s="7">
        <f>AD1061/39.3701</f>
      </c>
      <c r="AI1061" s="1"/>
      <c r="AJ1061" s="1"/>
      <c r="AK1061" s="1"/>
      <c r="AL1061" s="1"/>
      <c r="AM1061" s="2"/>
      <c r="AN1061" s="1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  <c r="BA1061" s="1"/>
      <c r="BB1061" s="1"/>
      <c r="BC1061" s="1"/>
      <c r="BD1061" s="1"/>
      <c r="BE1061" s="1"/>
    </row>
    <row x14ac:dyDescent="0.25" r="1062" customHeight="1" ht="18.75">
      <c r="A1062" s="1"/>
      <c r="B1062" s="2"/>
      <c r="C1062" s="2"/>
      <c r="D1062" s="2"/>
      <c r="E1062" s="2"/>
      <c r="F1062" s="2"/>
      <c r="G1062" s="1"/>
      <c r="H1062" s="1"/>
      <c r="I1062" s="7">
        <v>1.059</v>
      </c>
      <c r="J1062" s="7">
        <f>IF((I1062-ROUNDDOWN(I1062,0))=0, 0, (I1062-ROUNDDOWN(I1062,0)))</f>
      </c>
      <c r="K1062" s="7">
        <f>INDIRECT("C$"&amp;2+MIN(2,ROUNDDOWN(I1062,0))*3)*(-$J1062^3+3*$J1062^2-3*$J1062+1)+INDIRECT("C$"&amp;3+MIN(2,ROUNDDOWN(I1062,0))*3)*(3*$J1062^3-6*$J1062^2+3*$J1062)+INDIRECT("C$"&amp;4+MIN(2,ROUNDDOWN(I1062,0))*3)*(-3*$J1062^3+3*$J1062^2)+INDIRECT("C$"&amp;5+MIN(2,ROUNDDOWN(I1062,0))*3)*$J1062^3</f>
      </c>
      <c r="L1062" s="7">
        <f>INDIRECT("D$"&amp;2+MIN(2,ROUNDDOWN(I1062,0))*3)*(-$J1062^3+3*$J1062^2-3*$J1062+1)+INDIRECT("D$"&amp;3+MIN(2,ROUNDDOWN(I1062,0))*3)*(3*$J1062^3-6*$J1062^2+3*$J1062)+INDIRECT("D$"&amp;4+MIN(2,ROUNDDOWN(I1062,0))*3)*(-3*$J1062^3+3*$J1062^2)+INDIRECT("D$"&amp;5+MIN(2,ROUNDDOWN(I1062,0))*3)*$J1062^3</f>
      </c>
      <c r="M1062" s="7">
        <f>SQRT(K1062^2+L1062^2)</f>
      </c>
      <c r="N1062" s="7">
        <f>(K1063-K1061)</f>
      </c>
      <c r="O1062" s="7">
        <f>+(L1063-L1061)</f>
      </c>
      <c r="P1062" s="7">
        <f>SQRT(O1062^2+N1062^2)</f>
      </c>
      <c r="Q1062" s="7">
        <f>N1062/$P1062</f>
      </c>
      <c r="R1062" s="7">
        <f>O1062/$P1062</f>
      </c>
      <c r="S1062" s="8">
        <f>Q1062^2+R1062^2</f>
      </c>
      <c r="T1062" s="7">
        <f>-R1062</f>
      </c>
      <c r="U1062" s="7">
        <f>Q1062</f>
      </c>
      <c r="V1062" s="7">
        <f>($C$14+($C$15-$C$14)/($D$15-$D$14)*(I1062-$D$14))/2</f>
      </c>
      <c r="W1062" s="7">
        <f>($B$22*I1062^4+$C$22*I1062^3+$D$22*I1062^2+$E$22*I1062+$F$22)/2</f>
      </c>
      <c r="X1062" s="7">
        <f>($W1062)*(T1062)</f>
      </c>
      <c r="Y1062" s="7">
        <f>($W1062)*(U1062)</f>
      </c>
      <c r="Z1062" s="7">
        <f>SQRT(X1062^2+Y1062^2)</f>
      </c>
      <c r="AA1062" s="7">
        <f>$K1062+$X1062</f>
      </c>
      <c r="AB1062" s="7">
        <f>$L1062+$Y1062</f>
      </c>
      <c r="AC1062" s="7">
        <f>$K1062-$X1062</f>
      </c>
      <c r="AD1062" s="7">
        <f>$L1062-$Y1062</f>
      </c>
      <c r="AE1062" s="7">
        <f>AA1062/39.3701</f>
      </c>
      <c r="AF1062" s="7">
        <f>AB1062/39.3701</f>
      </c>
      <c r="AG1062" s="7">
        <f>AC1062/39.3701</f>
      </c>
      <c r="AH1062" s="7">
        <f>AD1062/39.3701</f>
      </c>
      <c r="AI1062" s="1"/>
      <c r="AJ1062" s="1"/>
      <c r="AK1062" s="1"/>
      <c r="AL1062" s="1"/>
      <c r="AM1062" s="2"/>
      <c r="AN1062" s="1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  <c r="BA1062" s="1"/>
      <c r="BB1062" s="1"/>
      <c r="BC1062" s="1"/>
      <c r="BD1062" s="1"/>
      <c r="BE1062" s="1"/>
    </row>
    <row x14ac:dyDescent="0.25" r="1063" customHeight="1" ht="18.75">
      <c r="A1063" s="1"/>
      <c r="B1063" s="2"/>
      <c r="C1063" s="2"/>
      <c r="D1063" s="2"/>
      <c r="E1063" s="2"/>
      <c r="F1063" s="2"/>
      <c r="G1063" s="1"/>
      <c r="H1063" s="1"/>
      <c r="I1063" s="7">
        <v>1.06</v>
      </c>
      <c r="J1063" s="7">
        <f>IF((I1063-ROUNDDOWN(I1063,0))=0, 0, (I1063-ROUNDDOWN(I1063,0)))</f>
      </c>
      <c r="K1063" s="7">
        <f>INDIRECT("C$"&amp;2+MIN(2,ROUNDDOWN(I1063,0))*3)*(-$J1063^3+3*$J1063^2-3*$J1063+1)+INDIRECT("C$"&amp;3+MIN(2,ROUNDDOWN(I1063,0))*3)*(3*$J1063^3-6*$J1063^2+3*$J1063)+INDIRECT("C$"&amp;4+MIN(2,ROUNDDOWN(I1063,0))*3)*(-3*$J1063^3+3*$J1063^2)+INDIRECT("C$"&amp;5+MIN(2,ROUNDDOWN(I1063,0))*3)*$J1063^3</f>
      </c>
      <c r="L1063" s="7">
        <f>INDIRECT("D$"&amp;2+MIN(2,ROUNDDOWN(I1063,0))*3)*(-$J1063^3+3*$J1063^2-3*$J1063+1)+INDIRECT("D$"&amp;3+MIN(2,ROUNDDOWN(I1063,0))*3)*(3*$J1063^3-6*$J1063^2+3*$J1063)+INDIRECT("D$"&amp;4+MIN(2,ROUNDDOWN(I1063,0))*3)*(-3*$J1063^3+3*$J1063^2)+INDIRECT("D$"&amp;5+MIN(2,ROUNDDOWN(I1063,0))*3)*$J1063^3</f>
      </c>
      <c r="M1063" s="7">
        <f>SQRT(K1063^2+L1063^2)</f>
      </c>
      <c r="N1063" s="7">
        <f>(K1064-K1062)</f>
      </c>
      <c r="O1063" s="7">
        <f>+(L1064-L1062)</f>
      </c>
      <c r="P1063" s="7">
        <f>SQRT(O1063^2+N1063^2)</f>
      </c>
      <c r="Q1063" s="7">
        <f>N1063/$P1063</f>
      </c>
      <c r="R1063" s="7">
        <f>O1063/$P1063</f>
      </c>
      <c r="S1063" s="8">
        <f>Q1063^2+R1063^2</f>
      </c>
      <c r="T1063" s="7">
        <f>-R1063</f>
      </c>
      <c r="U1063" s="7">
        <f>Q1063</f>
      </c>
      <c r="V1063" s="7">
        <f>($C$14+($C$15-$C$14)/($D$15-$D$14)*(I1063-$D$14))/2</f>
      </c>
      <c r="W1063" s="7">
        <f>($B$22*I1063^4+$C$22*I1063^3+$D$22*I1063^2+$E$22*I1063+$F$22)/2</f>
      </c>
      <c r="X1063" s="7">
        <f>($W1063)*(T1063)</f>
      </c>
      <c r="Y1063" s="7">
        <f>($W1063)*(U1063)</f>
      </c>
      <c r="Z1063" s="7">
        <f>SQRT(X1063^2+Y1063^2)</f>
      </c>
      <c r="AA1063" s="7">
        <f>$K1063+$X1063</f>
      </c>
      <c r="AB1063" s="7">
        <f>$L1063+$Y1063</f>
      </c>
      <c r="AC1063" s="7">
        <f>$K1063-$X1063</f>
      </c>
      <c r="AD1063" s="7">
        <f>$L1063-$Y1063</f>
      </c>
      <c r="AE1063" s="7">
        <f>AA1063/39.3701</f>
      </c>
      <c r="AF1063" s="7">
        <f>AB1063/39.3701</f>
      </c>
      <c r="AG1063" s="7">
        <f>AC1063/39.3701</f>
      </c>
      <c r="AH1063" s="7">
        <f>AD1063/39.3701</f>
      </c>
      <c r="AI1063" s="1"/>
      <c r="AJ1063" s="1"/>
      <c r="AK1063" s="1"/>
      <c r="AL1063" s="1"/>
      <c r="AM1063" s="2"/>
      <c r="AN1063" s="1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  <c r="BA1063" s="1"/>
      <c r="BB1063" s="1"/>
      <c r="BC1063" s="1"/>
      <c r="BD1063" s="1"/>
      <c r="BE1063" s="1"/>
    </row>
    <row x14ac:dyDescent="0.25" r="1064" customHeight="1" ht="18.75">
      <c r="A1064" s="1"/>
      <c r="B1064" s="2"/>
      <c r="C1064" s="2"/>
      <c r="D1064" s="2"/>
      <c r="E1064" s="2"/>
      <c r="F1064" s="2"/>
      <c r="G1064" s="1"/>
      <c r="H1064" s="1"/>
      <c r="I1064" s="7">
        <v>1.061</v>
      </c>
      <c r="J1064" s="7">
        <f>IF((I1064-ROUNDDOWN(I1064,0))=0, 0, (I1064-ROUNDDOWN(I1064,0)))</f>
      </c>
      <c r="K1064" s="7">
        <f>INDIRECT("C$"&amp;2+MIN(2,ROUNDDOWN(I1064,0))*3)*(-$J1064^3+3*$J1064^2-3*$J1064+1)+INDIRECT("C$"&amp;3+MIN(2,ROUNDDOWN(I1064,0))*3)*(3*$J1064^3-6*$J1064^2+3*$J1064)+INDIRECT("C$"&amp;4+MIN(2,ROUNDDOWN(I1064,0))*3)*(-3*$J1064^3+3*$J1064^2)+INDIRECT("C$"&amp;5+MIN(2,ROUNDDOWN(I1064,0))*3)*$J1064^3</f>
      </c>
      <c r="L1064" s="7">
        <f>INDIRECT("D$"&amp;2+MIN(2,ROUNDDOWN(I1064,0))*3)*(-$J1064^3+3*$J1064^2-3*$J1064+1)+INDIRECT("D$"&amp;3+MIN(2,ROUNDDOWN(I1064,0))*3)*(3*$J1064^3-6*$J1064^2+3*$J1064)+INDIRECT("D$"&amp;4+MIN(2,ROUNDDOWN(I1064,0))*3)*(-3*$J1064^3+3*$J1064^2)+INDIRECT("D$"&amp;5+MIN(2,ROUNDDOWN(I1064,0))*3)*$J1064^3</f>
      </c>
      <c r="M1064" s="7">
        <f>SQRT(K1064^2+L1064^2)</f>
      </c>
      <c r="N1064" s="7">
        <f>(K1065-K1063)</f>
      </c>
      <c r="O1064" s="7">
        <f>+(L1065-L1063)</f>
      </c>
      <c r="P1064" s="7">
        <f>SQRT(O1064^2+N1064^2)</f>
      </c>
      <c r="Q1064" s="7">
        <f>N1064/$P1064</f>
      </c>
      <c r="R1064" s="7">
        <f>O1064/$P1064</f>
      </c>
      <c r="S1064" s="8">
        <f>Q1064^2+R1064^2</f>
      </c>
      <c r="T1064" s="7">
        <f>-R1064</f>
      </c>
      <c r="U1064" s="7">
        <f>Q1064</f>
      </c>
      <c r="V1064" s="7">
        <f>($C$14+($C$15-$C$14)/($D$15-$D$14)*(I1064-$D$14))/2</f>
      </c>
      <c r="W1064" s="7">
        <f>($B$22*I1064^4+$C$22*I1064^3+$D$22*I1064^2+$E$22*I1064+$F$22)/2</f>
      </c>
      <c r="X1064" s="7">
        <f>($W1064)*(T1064)</f>
      </c>
      <c r="Y1064" s="7">
        <f>($W1064)*(U1064)</f>
      </c>
      <c r="Z1064" s="7">
        <f>SQRT(X1064^2+Y1064^2)</f>
      </c>
      <c r="AA1064" s="7">
        <f>$K1064+$X1064</f>
      </c>
      <c r="AB1064" s="7">
        <f>$L1064+$Y1064</f>
      </c>
      <c r="AC1064" s="7">
        <f>$K1064-$X1064</f>
      </c>
      <c r="AD1064" s="7">
        <f>$L1064-$Y1064</f>
      </c>
      <c r="AE1064" s="7">
        <f>AA1064/39.3701</f>
      </c>
      <c r="AF1064" s="7">
        <f>AB1064/39.3701</f>
      </c>
      <c r="AG1064" s="7">
        <f>AC1064/39.3701</f>
      </c>
      <c r="AH1064" s="7">
        <f>AD1064/39.3701</f>
      </c>
      <c r="AI1064" s="1"/>
      <c r="AJ1064" s="1"/>
      <c r="AK1064" s="1"/>
      <c r="AL1064" s="1"/>
      <c r="AM1064" s="2"/>
      <c r="AN1064" s="1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  <c r="BA1064" s="1"/>
      <c r="BB1064" s="1"/>
      <c r="BC1064" s="1"/>
      <c r="BD1064" s="1"/>
      <c r="BE1064" s="1"/>
    </row>
    <row x14ac:dyDescent="0.25" r="1065" customHeight="1" ht="18.75">
      <c r="A1065" s="1"/>
      <c r="B1065" s="2"/>
      <c r="C1065" s="2"/>
      <c r="D1065" s="2"/>
      <c r="E1065" s="2"/>
      <c r="F1065" s="2"/>
      <c r="G1065" s="1"/>
      <c r="H1065" s="1"/>
      <c r="I1065" s="7">
        <v>1.062</v>
      </c>
      <c r="J1065" s="7">
        <f>IF((I1065-ROUNDDOWN(I1065,0))=0, 0, (I1065-ROUNDDOWN(I1065,0)))</f>
      </c>
      <c r="K1065" s="7">
        <f>INDIRECT("C$"&amp;2+MIN(2,ROUNDDOWN(I1065,0))*3)*(-$J1065^3+3*$J1065^2-3*$J1065+1)+INDIRECT("C$"&amp;3+MIN(2,ROUNDDOWN(I1065,0))*3)*(3*$J1065^3-6*$J1065^2+3*$J1065)+INDIRECT("C$"&amp;4+MIN(2,ROUNDDOWN(I1065,0))*3)*(-3*$J1065^3+3*$J1065^2)+INDIRECT("C$"&amp;5+MIN(2,ROUNDDOWN(I1065,0))*3)*$J1065^3</f>
      </c>
      <c r="L1065" s="7">
        <f>INDIRECT("D$"&amp;2+MIN(2,ROUNDDOWN(I1065,0))*3)*(-$J1065^3+3*$J1065^2-3*$J1065+1)+INDIRECT("D$"&amp;3+MIN(2,ROUNDDOWN(I1065,0))*3)*(3*$J1065^3-6*$J1065^2+3*$J1065)+INDIRECT("D$"&amp;4+MIN(2,ROUNDDOWN(I1065,0))*3)*(-3*$J1065^3+3*$J1065^2)+INDIRECT("D$"&amp;5+MIN(2,ROUNDDOWN(I1065,0))*3)*$J1065^3</f>
      </c>
      <c r="M1065" s="7">
        <f>SQRT(K1065^2+L1065^2)</f>
      </c>
      <c r="N1065" s="7">
        <f>(K1066-K1064)</f>
      </c>
      <c r="O1065" s="7">
        <f>+(L1066-L1064)</f>
      </c>
      <c r="P1065" s="7">
        <f>SQRT(O1065^2+N1065^2)</f>
      </c>
      <c r="Q1065" s="7">
        <f>N1065/$P1065</f>
      </c>
      <c r="R1065" s="7">
        <f>O1065/$P1065</f>
      </c>
      <c r="S1065" s="8">
        <f>Q1065^2+R1065^2</f>
      </c>
      <c r="T1065" s="7">
        <f>-R1065</f>
      </c>
      <c r="U1065" s="7">
        <f>Q1065</f>
      </c>
      <c r="V1065" s="7">
        <f>($C$14+($C$15-$C$14)/($D$15-$D$14)*(I1065-$D$14))/2</f>
      </c>
      <c r="W1065" s="7">
        <f>($B$22*I1065^4+$C$22*I1065^3+$D$22*I1065^2+$E$22*I1065+$F$22)/2</f>
      </c>
      <c r="X1065" s="7">
        <f>($W1065)*(T1065)</f>
      </c>
      <c r="Y1065" s="7">
        <f>($W1065)*(U1065)</f>
      </c>
      <c r="Z1065" s="7">
        <f>SQRT(X1065^2+Y1065^2)</f>
      </c>
      <c r="AA1065" s="7">
        <f>$K1065+$X1065</f>
      </c>
      <c r="AB1065" s="7">
        <f>$L1065+$Y1065</f>
      </c>
      <c r="AC1065" s="7">
        <f>$K1065-$X1065</f>
      </c>
      <c r="AD1065" s="7">
        <f>$L1065-$Y1065</f>
      </c>
      <c r="AE1065" s="7">
        <f>AA1065/39.3701</f>
      </c>
      <c r="AF1065" s="7">
        <f>AB1065/39.3701</f>
      </c>
      <c r="AG1065" s="7">
        <f>AC1065/39.3701</f>
      </c>
      <c r="AH1065" s="7">
        <f>AD1065/39.3701</f>
      </c>
      <c r="AI1065" s="1"/>
      <c r="AJ1065" s="1"/>
      <c r="AK1065" s="1"/>
      <c r="AL1065" s="1"/>
      <c r="AM1065" s="2"/>
      <c r="AN1065" s="1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  <c r="BA1065" s="1"/>
      <c r="BB1065" s="1"/>
      <c r="BC1065" s="1"/>
      <c r="BD1065" s="1"/>
      <c r="BE1065" s="1"/>
    </row>
    <row x14ac:dyDescent="0.25" r="1066" customHeight="1" ht="18.75">
      <c r="A1066" s="1"/>
      <c r="B1066" s="2"/>
      <c r="C1066" s="2"/>
      <c r="D1066" s="2"/>
      <c r="E1066" s="2"/>
      <c r="F1066" s="2"/>
      <c r="G1066" s="1"/>
      <c r="H1066" s="1"/>
      <c r="I1066" s="7">
        <v>1.063</v>
      </c>
      <c r="J1066" s="7">
        <f>IF((I1066-ROUNDDOWN(I1066,0))=0, 0, (I1066-ROUNDDOWN(I1066,0)))</f>
      </c>
      <c r="K1066" s="7">
        <f>INDIRECT("C$"&amp;2+MIN(2,ROUNDDOWN(I1066,0))*3)*(-$J1066^3+3*$J1066^2-3*$J1066+1)+INDIRECT("C$"&amp;3+MIN(2,ROUNDDOWN(I1066,0))*3)*(3*$J1066^3-6*$J1066^2+3*$J1066)+INDIRECT("C$"&amp;4+MIN(2,ROUNDDOWN(I1066,0))*3)*(-3*$J1066^3+3*$J1066^2)+INDIRECT("C$"&amp;5+MIN(2,ROUNDDOWN(I1066,0))*3)*$J1066^3</f>
      </c>
      <c r="L1066" s="7">
        <f>INDIRECT("D$"&amp;2+MIN(2,ROUNDDOWN(I1066,0))*3)*(-$J1066^3+3*$J1066^2-3*$J1066+1)+INDIRECT("D$"&amp;3+MIN(2,ROUNDDOWN(I1066,0))*3)*(3*$J1066^3-6*$J1066^2+3*$J1066)+INDIRECT("D$"&amp;4+MIN(2,ROUNDDOWN(I1066,0))*3)*(-3*$J1066^3+3*$J1066^2)+INDIRECT("D$"&amp;5+MIN(2,ROUNDDOWN(I1066,0))*3)*$J1066^3</f>
      </c>
      <c r="M1066" s="7">
        <f>SQRT(K1066^2+L1066^2)</f>
      </c>
      <c r="N1066" s="7">
        <f>(K1067-K1065)</f>
      </c>
      <c r="O1066" s="7">
        <f>+(L1067-L1065)</f>
      </c>
      <c r="P1066" s="7">
        <f>SQRT(O1066^2+N1066^2)</f>
      </c>
      <c r="Q1066" s="7">
        <f>N1066/$P1066</f>
      </c>
      <c r="R1066" s="7">
        <f>O1066/$P1066</f>
      </c>
      <c r="S1066" s="8">
        <f>Q1066^2+R1066^2</f>
      </c>
      <c r="T1066" s="7">
        <f>-R1066</f>
      </c>
      <c r="U1066" s="7">
        <f>Q1066</f>
      </c>
      <c r="V1066" s="7">
        <f>($C$14+($C$15-$C$14)/($D$15-$D$14)*(I1066-$D$14))/2</f>
      </c>
      <c r="W1066" s="7">
        <f>($B$22*I1066^4+$C$22*I1066^3+$D$22*I1066^2+$E$22*I1066+$F$22)/2</f>
      </c>
      <c r="X1066" s="7">
        <f>($W1066)*(T1066)</f>
      </c>
      <c r="Y1066" s="7">
        <f>($W1066)*(U1066)</f>
      </c>
      <c r="Z1066" s="7">
        <f>SQRT(X1066^2+Y1066^2)</f>
      </c>
      <c r="AA1066" s="7">
        <f>$K1066+$X1066</f>
      </c>
      <c r="AB1066" s="7">
        <f>$L1066+$Y1066</f>
      </c>
      <c r="AC1066" s="7">
        <f>$K1066-$X1066</f>
      </c>
      <c r="AD1066" s="7">
        <f>$L1066-$Y1066</f>
      </c>
      <c r="AE1066" s="7">
        <f>AA1066/39.3701</f>
      </c>
      <c r="AF1066" s="7">
        <f>AB1066/39.3701</f>
      </c>
      <c r="AG1066" s="7">
        <f>AC1066/39.3701</f>
      </c>
      <c r="AH1066" s="7">
        <f>AD1066/39.3701</f>
      </c>
      <c r="AI1066" s="1"/>
      <c r="AJ1066" s="1"/>
      <c r="AK1066" s="1"/>
      <c r="AL1066" s="1"/>
      <c r="AM1066" s="2"/>
      <c r="AN1066" s="1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  <c r="BA1066" s="1"/>
      <c r="BB1066" s="1"/>
      <c r="BC1066" s="1"/>
      <c r="BD1066" s="1"/>
      <c r="BE1066" s="1"/>
    </row>
    <row x14ac:dyDescent="0.25" r="1067" customHeight="1" ht="18.75">
      <c r="A1067" s="1"/>
      <c r="B1067" s="2"/>
      <c r="C1067" s="2"/>
      <c r="D1067" s="2"/>
      <c r="E1067" s="2"/>
      <c r="F1067" s="2"/>
      <c r="G1067" s="1"/>
      <c r="H1067" s="1"/>
      <c r="I1067" s="7">
        <v>1.064</v>
      </c>
      <c r="J1067" s="7">
        <f>IF((I1067-ROUNDDOWN(I1067,0))=0, 0, (I1067-ROUNDDOWN(I1067,0)))</f>
      </c>
      <c r="K1067" s="7">
        <f>INDIRECT("C$"&amp;2+MIN(2,ROUNDDOWN(I1067,0))*3)*(-$J1067^3+3*$J1067^2-3*$J1067+1)+INDIRECT("C$"&amp;3+MIN(2,ROUNDDOWN(I1067,0))*3)*(3*$J1067^3-6*$J1067^2+3*$J1067)+INDIRECT("C$"&amp;4+MIN(2,ROUNDDOWN(I1067,0))*3)*(-3*$J1067^3+3*$J1067^2)+INDIRECT("C$"&amp;5+MIN(2,ROUNDDOWN(I1067,0))*3)*$J1067^3</f>
      </c>
      <c r="L1067" s="7">
        <f>INDIRECT("D$"&amp;2+MIN(2,ROUNDDOWN(I1067,0))*3)*(-$J1067^3+3*$J1067^2-3*$J1067+1)+INDIRECT("D$"&amp;3+MIN(2,ROUNDDOWN(I1067,0))*3)*(3*$J1067^3-6*$J1067^2+3*$J1067)+INDIRECT("D$"&amp;4+MIN(2,ROUNDDOWN(I1067,0))*3)*(-3*$J1067^3+3*$J1067^2)+INDIRECT("D$"&amp;5+MIN(2,ROUNDDOWN(I1067,0))*3)*$J1067^3</f>
      </c>
      <c r="M1067" s="7">
        <f>SQRT(K1067^2+L1067^2)</f>
      </c>
      <c r="N1067" s="7">
        <f>(K1068-K1066)</f>
      </c>
      <c r="O1067" s="7">
        <f>+(L1068-L1066)</f>
      </c>
      <c r="P1067" s="7">
        <f>SQRT(O1067^2+N1067^2)</f>
      </c>
      <c r="Q1067" s="7">
        <f>N1067/$P1067</f>
      </c>
      <c r="R1067" s="7">
        <f>O1067/$P1067</f>
      </c>
      <c r="S1067" s="8">
        <f>Q1067^2+R1067^2</f>
      </c>
      <c r="T1067" s="7">
        <f>-R1067</f>
      </c>
      <c r="U1067" s="7">
        <f>Q1067</f>
      </c>
      <c r="V1067" s="7">
        <f>($C$14+($C$15-$C$14)/($D$15-$D$14)*(I1067-$D$14))/2</f>
      </c>
      <c r="W1067" s="7">
        <f>($B$22*I1067^4+$C$22*I1067^3+$D$22*I1067^2+$E$22*I1067+$F$22)/2</f>
      </c>
      <c r="X1067" s="7">
        <f>($W1067)*(T1067)</f>
      </c>
      <c r="Y1067" s="7">
        <f>($W1067)*(U1067)</f>
      </c>
      <c r="Z1067" s="7">
        <f>SQRT(X1067^2+Y1067^2)</f>
      </c>
      <c r="AA1067" s="7">
        <f>$K1067+$X1067</f>
      </c>
      <c r="AB1067" s="7">
        <f>$L1067+$Y1067</f>
      </c>
      <c r="AC1067" s="7">
        <f>$K1067-$X1067</f>
      </c>
      <c r="AD1067" s="7">
        <f>$L1067-$Y1067</f>
      </c>
      <c r="AE1067" s="7">
        <f>AA1067/39.3701</f>
      </c>
      <c r="AF1067" s="7">
        <f>AB1067/39.3701</f>
      </c>
      <c r="AG1067" s="7">
        <f>AC1067/39.3701</f>
      </c>
      <c r="AH1067" s="7">
        <f>AD1067/39.3701</f>
      </c>
      <c r="AI1067" s="1"/>
      <c r="AJ1067" s="1"/>
      <c r="AK1067" s="1"/>
      <c r="AL1067" s="1"/>
      <c r="AM1067" s="2"/>
      <c r="AN1067" s="1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  <c r="BA1067" s="1"/>
      <c r="BB1067" s="1"/>
      <c r="BC1067" s="1"/>
      <c r="BD1067" s="1"/>
      <c r="BE1067" s="1"/>
    </row>
    <row x14ac:dyDescent="0.25" r="1068" customHeight="1" ht="18.75">
      <c r="A1068" s="1"/>
      <c r="B1068" s="2"/>
      <c r="C1068" s="2"/>
      <c r="D1068" s="2"/>
      <c r="E1068" s="2"/>
      <c r="F1068" s="2"/>
      <c r="G1068" s="1"/>
      <c r="H1068" s="1"/>
      <c r="I1068" s="7">
        <v>1.065</v>
      </c>
      <c r="J1068" s="7">
        <f>IF((I1068-ROUNDDOWN(I1068,0))=0, 0, (I1068-ROUNDDOWN(I1068,0)))</f>
      </c>
      <c r="K1068" s="7">
        <f>INDIRECT("C$"&amp;2+MIN(2,ROUNDDOWN(I1068,0))*3)*(-$J1068^3+3*$J1068^2-3*$J1068+1)+INDIRECT("C$"&amp;3+MIN(2,ROUNDDOWN(I1068,0))*3)*(3*$J1068^3-6*$J1068^2+3*$J1068)+INDIRECT("C$"&amp;4+MIN(2,ROUNDDOWN(I1068,0))*3)*(-3*$J1068^3+3*$J1068^2)+INDIRECT("C$"&amp;5+MIN(2,ROUNDDOWN(I1068,0))*3)*$J1068^3</f>
      </c>
      <c r="L1068" s="7">
        <f>INDIRECT("D$"&amp;2+MIN(2,ROUNDDOWN(I1068,0))*3)*(-$J1068^3+3*$J1068^2-3*$J1068+1)+INDIRECT("D$"&amp;3+MIN(2,ROUNDDOWN(I1068,0))*3)*(3*$J1068^3-6*$J1068^2+3*$J1068)+INDIRECT("D$"&amp;4+MIN(2,ROUNDDOWN(I1068,0))*3)*(-3*$J1068^3+3*$J1068^2)+INDIRECT("D$"&amp;5+MIN(2,ROUNDDOWN(I1068,0))*3)*$J1068^3</f>
      </c>
      <c r="M1068" s="7">
        <f>SQRT(K1068^2+L1068^2)</f>
      </c>
      <c r="N1068" s="7">
        <f>(K1069-K1067)</f>
      </c>
      <c r="O1068" s="7">
        <f>+(L1069-L1067)</f>
      </c>
      <c r="P1068" s="7">
        <f>SQRT(O1068^2+N1068^2)</f>
      </c>
      <c r="Q1068" s="7">
        <f>N1068/$P1068</f>
      </c>
      <c r="R1068" s="7">
        <f>O1068/$P1068</f>
      </c>
      <c r="S1068" s="7">
        <f>Q1068^2+R1068^2</f>
      </c>
      <c r="T1068" s="7">
        <f>-R1068</f>
      </c>
      <c r="U1068" s="7">
        <f>Q1068</f>
      </c>
      <c r="V1068" s="7">
        <f>($C$14+($C$15-$C$14)/($D$15-$D$14)*(I1068-$D$14))/2</f>
      </c>
      <c r="W1068" s="7">
        <f>($B$22*I1068^4+$C$22*I1068^3+$D$22*I1068^2+$E$22*I1068+$F$22)/2</f>
      </c>
      <c r="X1068" s="7">
        <f>($W1068)*(T1068)</f>
      </c>
      <c r="Y1068" s="7">
        <f>($W1068)*(U1068)</f>
      </c>
      <c r="Z1068" s="7">
        <f>SQRT(X1068^2+Y1068^2)</f>
      </c>
      <c r="AA1068" s="7">
        <f>$K1068+$X1068</f>
      </c>
      <c r="AB1068" s="7">
        <f>$L1068+$Y1068</f>
      </c>
      <c r="AC1068" s="7">
        <f>$K1068-$X1068</f>
      </c>
      <c r="AD1068" s="7">
        <f>$L1068-$Y1068</f>
      </c>
      <c r="AE1068" s="7">
        <f>AA1068/39.3701</f>
      </c>
      <c r="AF1068" s="7">
        <f>AB1068/39.3701</f>
      </c>
      <c r="AG1068" s="7">
        <f>AC1068/39.3701</f>
      </c>
      <c r="AH1068" s="7">
        <f>AD1068/39.3701</f>
      </c>
      <c r="AI1068" s="1"/>
      <c r="AJ1068" s="1"/>
      <c r="AK1068" s="1"/>
      <c r="AL1068" s="1"/>
      <c r="AM1068" s="2"/>
      <c r="AN1068" s="1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  <c r="BA1068" s="1"/>
      <c r="BB1068" s="1"/>
      <c r="BC1068" s="1"/>
      <c r="BD1068" s="1"/>
      <c r="BE1068" s="1"/>
    </row>
    <row x14ac:dyDescent="0.25" r="1069" customHeight="1" ht="18.75">
      <c r="A1069" s="1"/>
      <c r="B1069" s="2"/>
      <c r="C1069" s="2"/>
      <c r="D1069" s="2"/>
      <c r="E1069" s="2"/>
      <c r="F1069" s="2"/>
      <c r="G1069" s="1"/>
      <c r="H1069" s="1"/>
      <c r="I1069" s="7">
        <v>1.066</v>
      </c>
      <c r="J1069" s="7">
        <f>IF((I1069-ROUNDDOWN(I1069,0))=0, 0, (I1069-ROUNDDOWN(I1069,0)))</f>
      </c>
      <c r="K1069" s="7">
        <f>INDIRECT("C$"&amp;2+MIN(2,ROUNDDOWN(I1069,0))*3)*(-$J1069^3+3*$J1069^2-3*$J1069+1)+INDIRECT("C$"&amp;3+MIN(2,ROUNDDOWN(I1069,0))*3)*(3*$J1069^3-6*$J1069^2+3*$J1069)+INDIRECT("C$"&amp;4+MIN(2,ROUNDDOWN(I1069,0))*3)*(-3*$J1069^3+3*$J1069^2)+INDIRECT("C$"&amp;5+MIN(2,ROUNDDOWN(I1069,0))*3)*$J1069^3</f>
      </c>
      <c r="L1069" s="7">
        <f>INDIRECT("D$"&amp;2+MIN(2,ROUNDDOWN(I1069,0))*3)*(-$J1069^3+3*$J1069^2-3*$J1069+1)+INDIRECT("D$"&amp;3+MIN(2,ROUNDDOWN(I1069,0))*3)*(3*$J1069^3-6*$J1069^2+3*$J1069)+INDIRECT("D$"&amp;4+MIN(2,ROUNDDOWN(I1069,0))*3)*(-3*$J1069^3+3*$J1069^2)+INDIRECT("D$"&amp;5+MIN(2,ROUNDDOWN(I1069,0))*3)*$J1069^3</f>
      </c>
      <c r="M1069" s="7">
        <f>SQRT(K1069^2+L1069^2)</f>
      </c>
      <c r="N1069" s="7">
        <f>(K1070-K1068)</f>
      </c>
      <c r="O1069" s="7">
        <f>+(L1070-L1068)</f>
      </c>
      <c r="P1069" s="7">
        <f>SQRT(O1069^2+N1069^2)</f>
      </c>
      <c r="Q1069" s="7">
        <f>N1069/$P1069</f>
      </c>
      <c r="R1069" s="7">
        <f>O1069/$P1069</f>
      </c>
      <c r="S1069" s="8">
        <f>Q1069^2+R1069^2</f>
      </c>
      <c r="T1069" s="7">
        <f>-R1069</f>
      </c>
      <c r="U1069" s="7">
        <f>Q1069</f>
      </c>
      <c r="V1069" s="7">
        <f>($C$14+($C$15-$C$14)/($D$15-$D$14)*(I1069-$D$14))/2</f>
      </c>
      <c r="W1069" s="7">
        <f>($B$22*I1069^4+$C$22*I1069^3+$D$22*I1069^2+$E$22*I1069+$F$22)/2</f>
      </c>
      <c r="X1069" s="7">
        <f>($W1069)*(T1069)</f>
      </c>
      <c r="Y1069" s="7">
        <f>($W1069)*(U1069)</f>
      </c>
      <c r="Z1069" s="7">
        <f>SQRT(X1069^2+Y1069^2)</f>
      </c>
      <c r="AA1069" s="7">
        <f>$K1069+$X1069</f>
      </c>
      <c r="AB1069" s="7">
        <f>$L1069+$Y1069</f>
      </c>
      <c r="AC1069" s="7">
        <f>$K1069-$X1069</f>
      </c>
      <c r="AD1069" s="7">
        <f>$L1069-$Y1069</f>
      </c>
      <c r="AE1069" s="7">
        <f>AA1069/39.3701</f>
      </c>
      <c r="AF1069" s="7">
        <f>AB1069/39.3701</f>
      </c>
      <c r="AG1069" s="7">
        <f>AC1069/39.3701</f>
      </c>
      <c r="AH1069" s="7">
        <f>AD1069/39.3701</f>
      </c>
      <c r="AI1069" s="1"/>
      <c r="AJ1069" s="1"/>
      <c r="AK1069" s="1"/>
      <c r="AL1069" s="1"/>
      <c r="AM1069" s="2"/>
      <c r="AN1069" s="1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  <c r="BA1069" s="1"/>
      <c r="BB1069" s="1"/>
      <c r="BC1069" s="1"/>
      <c r="BD1069" s="1"/>
      <c r="BE1069" s="1"/>
    </row>
    <row x14ac:dyDescent="0.25" r="1070" customHeight="1" ht="18.75">
      <c r="A1070" s="1"/>
      <c r="B1070" s="2"/>
      <c r="C1070" s="2"/>
      <c r="D1070" s="2"/>
      <c r="E1070" s="2"/>
      <c r="F1070" s="2"/>
      <c r="G1070" s="1"/>
      <c r="H1070" s="1"/>
      <c r="I1070" s="7">
        <v>1.067</v>
      </c>
      <c r="J1070" s="7">
        <f>IF((I1070-ROUNDDOWN(I1070,0))=0, 0, (I1070-ROUNDDOWN(I1070,0)))</f>
      </c>
      <c r="K1070" s="7">
        <f>INDIRECT("C$"&amp;2+MIN(2,ROUNDDOWN(I1070,0))*3)*(-$J1070^3+3*$J1070^2-3*$J1070+1)+INDIRECT("C$"&amp;3+MIN(2,ROUNDDOWN(I1070,0))*3)*(3*$J1070^3-6*$J1070^2+3*$J1070)+INDIRECT("C$"&amp;4+MIN(2,ROUNDDOWN(I1070,0))*3)*(-3*$J1070^3+3*$J1070^2)+INDIRECT("C$"&amp;5+MIN(2,ROUNDDOWN(I1070,0))*3)*$J1070^3</f>
      </c>
      <c r="L1070" s="7">
        <f>INDIRECT("D$"&amp;2+MIN(2,ROUNDDOWN(I1070,0))*3)*(-$J1070^3+3*$J1070^2-3*$J1070+1)+INDIRECT("D$"&amp;3+MIN(2,ROUNDDOWN(I1070,0))*3)*(3*$J1070^3-6*$J1070^2+3*$J1070)+INDIRECT("D$"&amp;4+MIN(2,ROUNDDOWN(I1070,0))*3)*(-3*$J1070^3+3*$J1070^2)+INDIRECT("D$"&amp;5+MIN(2,ROUNDDOWN(I1070,0))*3)*$J1070^3</f>
      </c>
      <c r="M1070" s="7">
        <f>SQRT(K1070^2+L1070^2)</f>
      </c>
      <c r="N1070" s="7">
        <f>(K1071-K1069)</f>
      </c>
      <c r="O1070" s="7">
        <f>+(L1071-L1069)</f>
      </c>
      <c r="P1070" s="7">
        <f>SQRT(O1070^2+N1070^2)</f>
      </c>
      <c r="Q1070" s="7">
        <f>N1070/$P1070</f>
      </c>
      <c r="R1070" s="7">
        <f>O1070/$P1070</f>
      </c>
      <c r="S1070" s="8">
        <f>Q1070^2+R1070^2</f>
      </c>
      <c r="T1070" s="7">
        <f>-R1070</f>
      </c>
      <c r="U1070" s="7">
        <f>Q1070</f>
      </c>
      <c r="V1070" s="7">
        <f>($C$14+($C$15-$C$14)/($D$15-$D$14)*(I1070-$D$14))/2</f>
      </c>
      <c r="W1070" s="7">
        <f>($B$22*I1070^4+$C$22*I1070^3+$D$22*I1070^2+$E$22*I1070+$F$22)/2</f>
      </c>
      <c r="X1070" s="7">
        <f>($W1070)*(T1070)</f>
      </c>
      <c r="Y1070" s="7">
        <f>($W1070)*(U1070)</f>
      </c>
      <c r="Z1070" s="7">
        <f>SQRT(X1070^2+Y1070^2)</f>
      </c>
      <c r="AA1070" s="7">
        <f>$K1070+$X1070</f>
      </c>
      <c r="AB1070" s="7">
        <f>$L1070+$Y1070</f>
      </c>
      <c r="AC1070" s="7">
        <f>$K1070-$X1070</f>
      </c>
      <c r="AD1070" s="7">
        <f>$L1070-$Y1070</f>
      </c>
      <c r="AE1070" s="7">
        <f>AA1070/39.3701</f>
      </c>
      <c r="AF1070" s="7">
        <f>AB1070/39.3701</f>
      </c>
      <c r="AG1070" s="7">
        <f>AC1070/39.3701</f>
      </c>
      <c r="AH1070" s="7">
        <f>AD1070/39.3701</f>
      </c>
      <c r="AI1070" s="1"/>
      <c r="AJ1070" s="1"/>
      <c r="AK1070" s="1"/>
      <c r="AL1070" s="1"/>
      <c r="AM1070" s="2"/>
      <c r="AN1070" s="1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  <c r="BA1070" s="1"/>
      <c r="BB1070" s="1"/>
      <c r="BC1070" s="1"/>
      <c r="BD1070" s="1"/>
      <c r="BE1070" s="1"/>
    </row>
    <row x14ac:dyDescent="0.25" r="1071" customHeight="1" ht="18.75">
      <c r="A1071" s="1"/>
      <c r="B1071" s="2"/>
      <c r="C1071" s="2"/>
      <c r="D1071" s="2"/>
      <c r="E1071" s="2"/>
      <c r="F1071" s="2"/>
      <c r="G1071" s="1"/>
      <c r="H1071" s="1"/>
      <c r="I1071" s="7">
        <v>1.068</v>
      </c>
      <c r="J1071" s="7">
        <f>IF((I1071-ROUNDDOWN(I1071,0))=0, 0, (I1071-ROUNDDOWN(I1071,0)))</f>
      </c>
      <c r="K1071" s="7">
        <f>INDIRECT("C$"&amp;2+MIN(2,ROUNDDOWN(I1071,0))*3)*(-$J1071^3+3*$J1071^2-3*$J1071+1)+INDIRECT("C$"&amp;3+MIN(2,ROUNDDOWN(I1071,0))*3)*(3*$J1071^3-6*$J1071^2+3*$J1071)+INDIRECT("C$"&amp;4+MIN(2,ROUNDDOWN(I1071,0))*3)*(-3*$J1071^3+3*$J1071^2)+INDIRECT("C$"&amp;5+MIN(2,ROUNDDOWN(I1071,0))*3)*$J1071^3</f>
      </c>
      <c r="L1071" s="7">
        <f>INDIRECT("D$"&amp;2+MIN(2,ROUNDDOWN(I1071,0))*3)*(-$J1071^3+3*$J1071^2-3*$J1071+1)+INDIRECT("D$"&amp;3+MIN(2,ROUNDDOWN(I1071,0))*3)*(3*$J1071^3-6*$J1071^2+3*$J1071)+INDIRECT("D$"&amp;4+MIN(2,ROUNDDOWN(I1071,0))*3)*(-3*$J1071^3+3*$J1071^2)+INDIRECT("D$"&amp;5+MIN(2,ROUNDDOWN(I1071,0))*3)*$J1071^3</f>
      </c>
      <c r="M1071" s="7">
        <f>SQRT(K1071^2+L1071^2)</f>
      </c>
      <c r="N1071" s="7">
        <f>(K1072-K1070)</f>
      </c>
      <c r="O1071" s="7">
        <f>+(L1072-L1070)</f>
      </c>
      <c r="P1071" s="7">
        <f>SQRT(O1071^2+N1071^2)</f>
      </c>
      <c r="Q1071" s="7">
        <f>N1071/$P1071</f>
      </c>
      <c r="R1071" s="7">
        <f>O1071/$P1071</f>
      </c>
      <c r="S1071" s="8">
        <f>Q1071^2+R1071^2</f>
      </c>
      <c r="T1071" s="7">
        <f>-R1071</f>
      </c>
      <c r="U1071" s="7">
        <f>Q1071</f>
      </c>
      <c r="V1071" s="7">
        <f>($C$14+($C$15-$C$14)/($D$15-$D$14)*(I1071-$D$14))/2</f>
      </c>
      <c r="W1071" s="7">
        <f>($B$22*I1071^4+$C$22*I1071^3+$D$22*I1071^2+$E$22*I1071+$F$22)/2</f>
      </c>
      <c r="X1071" s="7">
        <f>($W1071)*(T1071)</f>
      </c>
      <c r="Y1071" s="7">
        <f>($W1071)*(U1071)</f>
      </c>
      <c r="Z1071" s="7">
        <f>SQRT(X1071^2+Y1071^2)</f>
      </c>
      <c r="AA1071" s="7">
        <f>$K1071+$X1071</f>
      </c>
      <c r="AB1071" s="7">
        <f>$L1071+$Y1071</f>
      </c>
      <c r="AC1071" s="7">
        <f>$K1071-$X1071</f>
      </c>
      <c r="AD1071" s="7">
        <f>$L1071-$Y1071</f>
      </c>
      <c r="AE1071" s="7">
        <f>AA1071/39.3701</f>
      </c>
      <c r="AF1071" s="7">
        <f>AB1071/39.3701</f>
      </c>
      <c r="AG1071" s="7">
        <f>AC1071/39.3701</f>
      </c>
      <c r="AH1071" s="7">
        <f>AD1071/39.3701</f>
      </c>
      <c r="AI1071" s="1"/>
      <c r="AJ1071" s="1"/>
      <c r="AK1071" s="1"/>
      <c r="AL1071" s="1"/>
      <c r="AM1071" s="2"/>
      <c r="AN1071" s="1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  <c r="BA1071" s="1"/>
      <c r="BB1071" s="1"/>
      <c r="BC1071" s="1"/>
      <c r="BD1071" s="1"/>
      <c r="BE1071" s="1"/>
    </row>
    <row x14ac:dyDescent="0.25" r="1072" customHeight="1" ht="18.75">
      <c r="A1072" s="1"/>
      <c r="B1072" s="2"/>
      <c r="C1072" s="2"/>
      <c r="D1072" s="2"/>
      <c r="E1072" s="2"/>
      <c r="F1072" s="2"/>
      <c r="G1072" s="1"/>
      <c r="H1072" s="1"/>
      <c r="I1072" s="7">
        <v>1.069</v>
      </c>
      <c r="J1072" s="7">
        <f>IF((I1072-ROUNDDOWN(I1072,0))=0, 0, (I1072-ROUNDDOWN(I1072,0)))</f>
      </c>
      <c r="K1072" s="7">
        <f>INDIRECT("C$"&amp;2+MIN(2,ROUNDDOWN(I1072,0))*3)*(-$J1072^3+3*$J1072^2-3*$J1072+1)+INDIRECT("C$"&amp;3+MIN(2,ROUNDDOWN(I1072,0))*3)*(3*$J1072^3-6*$J1072^2+3*$J1072)+INDIRECT("C$"&amp;4+MIN(2,ROUNDDOWN(I1072,0))*3)*(-3*$J1072^3+3*$J1072^2)+INDIRECT("C$"&amp;5+MIN(2,ROUNDDOWN(I1072,0))*3)*$J1072^3</f>
      </c>
      <c r="L1072" s="7">
        <f>INDIRECT("D$"&amp;2+MIN(2,ROUNDDOWN(I1072,0))*3)*(-$J1072^3+3*$J1072^2-3*$J1072+1)+INDIRECT("D$"&amp;3+MIN(2,ROUNDDOWN(I1072,0))*3)*(3*$J1072^3-6*$J1072^2+3*$J1072)+INDIRECT("D$"&amp;4+MIN(2,ROUNDDOWN(I1072,0))*3)*(-3*$J1072^3+3*$J1072^2)+INDIRECT("D$"&amp;5+MIN(2,ROUNDDOWN(I1072,0))*3)*$J1072^3</f>
      </c>
      <c r="M1072" s="7">
        <f>SQRT(K1072^2+L1072^2)</f>
      </c>
      <c r="N1072" s="7">
        <f>(K1073-K1071)</f>
      </c>
      <c r="O1072" s="7">
        <f>+(L1073-L1071)</f>
      </c>
      <c r="P1072" s="7">
        <f>SQRT(O1072^2+N1072^2)</f>
      </c>
      <c r="Q1072" s="7">
        <f>N1072/$P1072</f>
      </c>
      <c r="R1072" s="7">
        <f>O1072/$P1072</f>
      </c>
      <c r="S1072" s="7">
        <f>Q1072^2+R1072^2</f>
      </c>
      <c r="T1072" s="7">
        <f>-R1072</f>
      </c>
      <c r="U1072" s="7">
        <f>Q1072</f>
      </c>
      <c r="V1072" s="7">
        <f>($C$14+($C$15-$C$14)/($D$15-$D$14)*(I1072-$D$14))/2</f>
      </c>
      <c r="W1072" s="7">
        <f>($B$22*I1072^4+$C$22*I1072^3+$D$22*I1072^2+$E$22*I1072+$F$22)/2</f>
      </c>
      <c r="X1072" s="7">
        <f>($W1072)*(T1072)</f>
      </c>
      <c r="Y1072" s="7">
        <f>($W1072)*(U1072)</f>
      </c>
      <c r="Z1072" s="7">
        <f>SQRT(X1072^2+Y1072^2)</f>
      </c>
      <c r="AA1072" s="7">
        <f>$K1072+$X1072</f>
      </c>
      <c r="AB1072" s="7">
        <f>$L1072+$Y1072</f>
      </c>
      <c r="AC1072" s="7">
        <f>$K1072-$X1072</f>
      </c>
      <c r="AD1072" s="7">
        <f>$L1072-$Y1072</f>
      </c>
      <c r="AE1072" s="7">
        <f>AA1072/39.3701</f>
      </c>
      <c r="AF1072" s="7">
        <f>AB1072/39.3701</f>
      </c>
      <c r="AG1072" s="7">
        <f>AC1072/39.3701</f>
      </c>
      <c r="AH1072" s="7">
        <f>AD1072/39.3701</f>
      </c>
      <c r="AI1072" s="1"/>
      <c r="AJ1072" s="1"/>
      <c r="AK1072" s="1"/>
      <c r="AL1072" s="1"/>
      <c r="AM1072" s="2"/>
      <c r="AN1072" s="1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  <c r="BA1072" s="1"/>
      <c r="BB1072" s="1"/>
      <c r="BC1072" s="1"/>
      <c r="BD1072" s="1"/>
      <c r="BE1072" s="1"/>
    </row>
    <row x14ac:dyDescent="0.25" r="1073" customHeight="1" ht="18.75">
      <c r="A1073" s="1"/>
      <c r="B1073" s="2"/>
      <c r="C1073" s="2"/>
      <c r="D1073" s="2"/>
      <c r="E1073" s="2"/>
      <c r="F1073" s="2"/>
      <c r="G1073" s="1"/>
      <c r="H1073" s="1"/>
      <c r="I1073" s="7">
        <v>1.07</v>
      </c>
      <c r="J1073" s="7">
        <f>IF((I1073-ROUNDDOWN(I1073,0))=0, 0, (I1073-ROUNDDOWN(I1073,0)))</f>
      </c>
      <c r="K1073" s="7">
        <f>INDIRECT("C$"&amp;2+MIN(2,ROUNDDOWN(I1073,0))*3)*(-$J1073^3+3*$J1073^2-3*$J1073+1)+INDIRECT("C$"&amp;3+MIN(2,ROUNDDOWN(I1073,0))*3)*(3*$J1073^3-6*$J1073^2+3*$J1073)+INDIRECT("C$"&amp;4+MIN(2,ROUNDDOWN(I1073,0))*3)*(-3*$J1073^3+3*$J1073^2)+INDIRECT("C$"&amp;5+MIN(2,ROUNDDOWN(I1073,0))*3)*$J1073^3</f>
      </c>
      <c r="L1073" s="7">
        <f>INDIRECT("D$"&amp;2+MIN(2,ROUNDDOWN(I1073,0))*3)*(-$J1073^3+3*$J1073^2-3*$J1073+1)+INDIRECT("D$"&amp;3+MIN(2,ROUNDDOWN(I1073,0))*3)*(3*$J1073^3-6*$J1073^2+3*$J1073)+INDIRECT("D$"&amp;4+MIN(2,ROUNDDOWN(I1073,0))*3)*(-3*$J1073^3+3*$J1073^2)+INDIRECT("D$"&amp;5+MIN(2,ROUNDDOWN(I1073,0))*3)*$J1073^3</f>
      </c>
      <c r="M1073" s="7">
        <f>SQRT(K1073^2+L1073^2)</f>
      </c>
      <c r="N1073" s="7">
        <f>(K1074-K1072)</f>
      </c>
      <c r="O1073" s="7">
        <f>+(L1074-L1072)</f>
      </c>
      <c r="P1073" s="7">
        <f>SQRT(O1073^2+N1073^2)</f>
      </c>
      <c r="Q1073" s="7">
        <f>N1073/$P1073</f>
      </c>
      <c r="R1073" s="7">
        <f>O1073/$P1073</f>
      </c>
      <c r="S1073" s="8">
        <f>Q1073^2+R1073^2</f>
      </c>
      <c r="T1073" s="7">
        <f>-R1073</f>
      </c>
      <c r="U1073" s="7">
        <f>Q1073</f>
      </c>
      <c r="V1073" s="7">
        <f>($C$14+($C$15-$C$14)/($D$15-$D$14)*(I1073-$D$14))/2</f>
      </c>
      <c r="W1073" s="7">
        <f>($B$22*I1073^4+$C$22*I1073^3+$D$22*I1073^2+$E$22*I1073+$F$22)/2</f>
      </c>
      <c r="X1073" s="7">
        <f>($W1073)*(T1073)</f>
      </c>
      <c r="Y1073" s="7">
        <f>($W1073)*(U1073)</f>
      </c>
      <c r="Z1073" s="7">
        <f>SQRT(X1073^2+Y1073^2)</f>
      </c>
      <c r="AA1073" s="7">
        <f>$K1073+$X1073</f>
      </c>
      <c r="AB1073" s="7">
        <f>$L1073+$Y1073</f>
      </c>
      <c r="AC1073" s="7">
        <f>$K1073-$X1073</f>
      </c>
      <c r="AD1073" s="7">
        <f>$L1073-$Y1073</f>
      </c>
      <c r="AE1073" s="7">
        <f>AA1073/39.3701</f>
      </c>
      <c r="AF1073" s="7">
        <f>AB1073/39.3701</f>
      </c>
      <c r="AG1073" s="7">
        <f>AC1073/39.3701</f>
      </c>
      <c r="AH1073" s="7">
        <f>AD1073/39.3701</f>
      </c>
      <c r="AI1073" s="1"/>
      <c r="AJ1073" s="1"/>
      <c r="AK1073" s="1"/>
      <c r="AL1073" s="1"/>
      <c r="AM1073" s="2"/>
      <c r="AN1073" s="1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  <c r="BA1073" s="1"/>
      <c r="BB1073" s="1"/>
      <c r="BC1073" s="1"/>
      <c r="BD1073" s="1"/>
      <c r="BE1073" s="1"/>
    </row>
    <row x14ac:dyDescent="0.25" r="1074" customHeight="1" ht="18.75">
      <c r="A1074" s="1"/>
      <c r="B1074" s="2"/>
      <c r="C1074" s="2"/>
      <c r="D1074" s="2"/>
      <c r="E1074" s="2"/>
      <c r="F1074" s="2"/>
      <c r="G1074" s="1"/>
      <c r="H1074" s="1"/>
      <c r="I1074" s="7">
        <v>1.071</v>
      </c>
      <c r="J1074" s="7">
        <f>IF((I1074-ROUNDDOWN(I1074,0))=0, 0, (I1074-ROUNDDOWN(I1074,0)))</f>
      </c>
      <c r="K1074" s="7">
        <f>INDIRECT("C$"&amp;2+MIN(2,ROUNDDOWN(I1074,0))*3)*(-$J1074^3+3*$J1074^2-3*$J1074+1)+INDIRECT("C$"&amp;3+MIN(2,ROUNDDOWN(I1074,0))*3)*(3*$J1074^3-6*$J1074^2+3*$J1074)+INDIRECT("C$"&amp;4+MIN(2,ROUNDDOWN(I1074,0))*3)*(-3*$J1074^3+3*$J1074^2)+INDIRECT("C$"&amp;5+MIN(2,ROUNDDOWN(I1074,0))*3)*$J1074^3</f>
      </c>
      <c r="L1074" s="7">
        <f>INDIRECT("D$"&amp;2+MIN(2,ROUNDDOWN(I1074,0))*3)*(-$J1074^3+3*$J1074^2-3*$J1074+1)+INDIRECT("D$"&amp;3+MIN(2,ROUNDDOWN(I1074,0))*3)*(3*$J1074^3-6*$J1074^2+3*$J1074)+INDIRECT("D$"&amp;4+MIN(2,ROUNDDOWN(I1074,0))*3)*(-3*$J1074^3+3*$J1074^2)+INDIRECT("D$"&amp;5+MIN(2,ROUNDDOWN(I1074,0))*3)*$J1074^3</f>
      </c>
      <c r="M1074" s="7">
        <f>SQRT(K1074^2+L1074^2)</f>
      </c>
      <c r="N1074" s="7">
        <f>(K1075-K1073)</f>
      </c>
      <c r="O1074" s="7">
        <f>+(L1075-L1073)</f>
      </c>
      <c r="P1074" s="7">
        <f>SQRT(O1074^2+N1074^2)</f>
      </c>
      <c r="Q1074" s="7">
        <f>N1074/$P1074</f>
      </c>
      <c r="R1074" s="7">
        <f>O1074/$P1074</f>
      </c>
      <c r="S1074" s="7">
        <f>Q1074^2+R1074^2</f>
      </c>
      <c r="T1074" s="7">
        <f>-R1074</f>
      </c>
      <c r="U1074" s="7">
        <f>Q1074</f>
      </c>
      <c r="V1074" s="7">
        <f>($C$14+($C$15-$C$14)/($D$15-$D$14)*(I1074-$D$14))/2</f>
      </c>
      <c r="W1074" s="7">
        <f>($B$22*I1074^4+$C$22*I1074^3+$D$22*I1074^2+$E$22*I1074+$F$22)/2</f>
      </c>
      <c r="X1074" s="7">
        <f>($W1074)*(T1074)</f>
      </c>
      <c r="Y1074" s="7">
        <f>($W1074)*(U1074)</f>
      </c>
      <c r="Z1074" s="7">
        <f>SQRT(X1074^2+Y1074^2)</f>
      </c>
      <c r="AA1074" s="7">
        <f>$K1074+$X1074</f>
      </c>
      <c r="AB1074" s="7">
        <f>$L1074+$Y1074</f>
      </c>
      <c r="AC1074" s="7">
        <f>$K1074-$X1074</f>
      </c>
      <c r="AD1074" s="7">
        <f>$L1074-$Y1074</f>
      </c>
      <c r="AE1074" s="7">
        <f>AA1074/39.3701</f>
      </c>
      <c r="AF1074" s="7">
        <f>AB1074/39.3701</f>
      </c>
      <c r="AG1074" s="7">
        <f>AC1074/39.3701</f>
      </c>
      <c r="AH1074" s="7">
        <f>AD1074/39.3701</f>
      </c>
      <c r="AI1074" s="1"/>
      <c r="AJ1074" s="1"/>
      <c r="AK1074" s="1"/>
      <c r="AL1074" s="1"/>
      <c r="AM1074" s="2"/>
      <c r="AN1074" s="1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  <c r="BA1074" s="1"/>
      <c r="BB1074" s="1"/>
      <c r="BC1074" s="1"/>
      <c r="BD1074" s="1"/>
      <c r="BE1074" s="1"/>
    </row>
    <row x14ac:dyDescent="0.25" r="1075" customHeight="1" ht="18.75">
      <c r="A1075" s="1"/>
      <c r="B1075" s="2"/>
      <c r="C1075" s="2"/>
      <c r="D1075" s="2"/>
      <c r="E1075" s="2"/>
      <c r="F1075" s="2"/>
      <c r="G1075" s="1"/>
      <c r="H1075" s="1"/>
      <c r="I1075" s="7">
        <v>1.072</v>
      </c>
      <c r="J1075" s="7">
        <f>IF((I1075-ROUNDDOWN(I1075,0))=0, 0, (I1075-ROUNDDOWN(I1075,0)))</f>
      </c>
      <c r="K1075" s="7">
        <f>INDIRECT("C$"&amp;2+MIN(2,ROUNDDOWN(I1075,0))*3)*(-$J1075^3+3*$J1075^2-3*$J1075+1)+INDIRECT("C$"&amp;3+MIN(2,ROUNDDOWN(I1075,0))*3)*(3*$J1075^3-6*$J1075^2+3*$J1075)+INDIRECT("C$"&amp;4+MIN(2,ROUNDDOWN(I1075,0))*3)*(-3*$J1075^3+3*$J1075^2)+INDIRECT("C$"&amp;5+MIN(2,ROUNDDOWN(I1075,0))*3)*$J1075^3</f>
      </c>
      <c r="L1075" s="7">
        <f>INDIRECT("D$"&amp;2+MIN(2,ROUNDDOWN(I1075,0))*3)*(-$J1075^3+3*$J1075^2-3*$J1075+1)+INDIRECT("D$"&amp;3+MIN(2,ROUNDDOWN(I1075,0))*3)*(3*$J1075^3-6*$J1075^2+3*$J1075)+INDIRECT("D$"&amp;4+MIN(2,ROUNDDOWN(I1075,0))*3)*(-3*$J1075^3+3*$J1075^2)+INDIRECT("D$"&amp;5+MIN(2,ROUNDDOWN(I1075,0))*3)*$J1075^3</f>
      </c>
      <c r="M1075" s="7">
        <f>SQRT(K1075^2+L1075^2)</f>
      </c>
      <c r="N1075" s="7">
        <f>(K1076-K1074)</f>
      </c>
      <c r="O1075" s="7">
        <f>+(L1076-L1074)</f>
      </c>
      <c r="P1075" s="7">
        <f>SQRT(O1075^2+N1075^2)</f>
      </c>
      <c r="Q1075" s="7">
        <f>N1075/$P1075</f>
      </c>
      <c r="R1075" s="7">
        <f>O1075/$P1075</f>
      </c>
      <c r="S1075" s="8">
        <f>Q1075^2+R1075^2</f>
      </c>
      <c r="T1075" s="7">
        <f>-R1075</f>
      </c>
      <c r="U1075" s="7">
        <f>Q1075</f>
      </c>
      <c r="V1075" s="7">
        <f>($C$14+($C$15-$C$14)/($D$15-$D$14)*(I1075-$D$14))/2</f>
      </c>
      <c r="W1075" s="7">
        <f>($B$22*I1075^4+$C$22*I1075^3+$D$22*I1075^2+$E$22*I1075+$F$22)/2</f>
      </c>
      <c r="X1075" s="7">
        <f>($W1075)*(T1075)</f>
      </c>
      <c r="Y1075" s="7">
        <f>($W1075)*(U1075)</f>
      </c>
      <c r="Z1075" s="7">
        <f>SQRT(X1075^2+Y1075^2)</f>
      </c>
      <c r="AA1075" s="7">
        <f>$K1075+$X1075</f>
      </c>
      <c r="AB1075" s="7">
        <f>$L1075+$Y1075</f>
      </c>
      <c r="AC1075" s="7">
        <f>$K1075-$X1075</f>
      </c>
      <c r="AD1075" s="7">
        <f>$L1075-$Y1075</f>
      </c>
      <c r="AE1075" s="7">
        <f>AA1075/39.3701</f>
      </c>
      <c r="AF1075" s="7">
        <f>AB1075/39.3701</f>
      </c>
      <c r="AG1075" s="7">
        <f>AC1075/39.3701</f>
      </c>
      <c r="AH1075" s="7">
        <f>AD1075/39.3701</f>
      </c>
      <c r="AI1075" s="1"/>
      <c r="AJ1075" s="1"/>
      <c r="AK1075" s="1"/>
      <c r="AL1075" s="1"/>
      <c r="AM1075" s="2"/>
      <c r="AN1075" s="1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  <c r="BA1075" s="1"/>
      <c r="BB1075" s="1"/>
      <c r="BC1075" s="1"/>
      <c r="BD1075" s="1"/>
      <c r="BE1075" s="1"/>
    </row>
    <row x14ac:dyDescent="0.25" r="1076" customHeight="1" ht="18.75">
      <c r="A1076" s="1"/>
      <c r="B1076" s="2"/>
      <c r="C1076" s="2"/>
      <c r="D1076" s="2"/>
      <c r="E1076" s="2"/>
      <c r="F1076" s="2"/>
      <c r="G1076" s="1"/>
      <c r="H1076" s="1"/>
      <c r="I1076" s="7">
        <v>1.073</v>
      </c>
      <c r="J1076" s="7">
        <f>IF((I1076-ROUNDDOWN(I1076,0))=0, 0, (I1076-ROUNDDOWN(I1076,0)))</f>
      </c>
      <c r="K1076" s="7">
        <f>INDIRECT("C$"&amp;2+MIN(2,ROUNDDOWN(I1076,0))*3)*(-$J1076^3+3*$J1076^2-3*$J1076+1)+INDIRECT("C$"&amp;3+MIN(2,ROUNDDOWN(I1076,0))*3)*(3*$J1076^3-6*$J1076^2+3*$J1076)+INDIRECT("C$"&amp;4+MIN(2,ROUNDDOWN(I1076,0))*3)*(-3*$J1076^3+3*$J1076^2)+INDIRECT("C$"&amp;5+MIN(2,ROUNDDOWN(I1076,0))*3)*$J1076^3</f>
      </c>
      <c r="L1076" s="7">
        <f>INDIRECT("D$"&amp;2+MIN(2,ROUNDDOWN(I1076,0))*3)*(-$J1076^3+3*$J1076^2-3*$J1076+1)+INDIRECT("D$"&amp;3+MIN(2,ROUNDDOWN(I1076,0))*3)*(3*$J1076^3-6*$J1076^2+3*$J1076)+INDIRECT("D$"&amp;4+MIN(2,ROUNDDOWN(I1076,0))*3)*(-3*$J1076^3+3*$J1076^2)+INDIRECT("D$"&amp;5+MIN(2,ROUNDDOWN(I1076,0))*3)*$J1076^3</f>
      </c>
      <c r="M1076" s="7">
        <f>SQRT(K1076^2+L1076^2)</f>
      </c>
      <c r="N1076" s="7">
        <f>(K1077-K1075)</f>
      </c>
      <c r="O1076" s="7">
        <f>+(L1077-L1075)</f>
      </c>
      <c r="P1076" s="7">
        <f>SQRT(O1076^2+N1076^2)</f>
      </c>
      <c r="Q1076" s="7">
        <f>N1076/$P1076</f>
      </c>
      <c r="R1076" s="7">
        <f>O1076/$P1076</f>
      </c>
      <c r="S1076" s="8">
        <f>Q1076^2+R1076^2</f>
      </c>
      <c r="T1076" s="7">
        <f>-R1076</f>
      </c>
      <c r="U1076" s="7">
        <f>Q1076</f>
      </c>
      <c r="V1076" s="7">
        <f>($C$14+($C$15-$C$14)/($D$15-$D$14)*(I1076-$D$14))/2</f>
      </c>
      <c r="W1076" s="7">
        <f>($B$22*I1076^4+$C$22*I1076^3+$D$22*I1076^2+$E$22*I1076+$F$22)/2</f>
      </c>
      <c r="X1076" s="7">
        <f>($W1076)*(T1076)</f>
      </c>
      <c r="Y1076" s="7">
        <f>($W1076)*(U1076)</f>
      </c>
      <c r="Z1076" s="7">
        <f>SQRT(X1076^2+Y1076^2)</f>
      </c>
      <c r="AA1076" s="7">
        <f>$K1076+$X1076</f>
      </c>
      <c r="AB1076" s="7">
        <f>$L1076+$Y1076</f>
      </c>
      <c r="AC1076" s="7">
        <f>$K1076-$X1076</f>
      </c>
      <c r="AD1076" s="7">
        <f>$L1076-$Y1076</f>
      </c>
      <c r="AE1076" s="7">
        <f>AA1076/39.3701</f>
      </c>
      <c r="AF1076" s="7">
        <f>AB1076/39.3701</f>
      </c>
      <c r="AG1076" s="7">
        <f>AC1076/39.3701</f>
      </c>
      <c r="AH1076" s="7">
        <f>AD1076/39.3701</f>
      </c>
      <c r="AI1076" s="1"/>
      <c r="AJ1076" s="1"/>
      <c r="AK1076" s="1"/>
      <c r="AL1076" s="1"/>
      <c r="AM1076" s="2"/>
      <c r="AN1076" s="1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  <c r="BA1076" s="1"/>
      <c r="BB1076" s="1"/>
      <c r="BC1076" s="1"/>
      <c r="BD1076" s="1"/>
      <c r="BE1076" s="1"/>
    </row>
    <row x14ac:dyDescent="0.25" r="1077" customHeight="1" ht="18.75">
      <c r="A1077" s="1"/>
      <c r="B1077" s="2"/>
      <c r="C1077" s="2"/>
      <c r="D1077" s="2"/>
      <c r="E1077" s="2"/>
      <c r="F1077" s="2"/>
      <c r="G1077" s="1"/>
      <c r="H1077" s="1"/>
      <c r="I1077" s="7">
        <v>1.074</v>
      </c>
      <c r="J1077" s="7">
        <f>IF((I1077-ROUNDDOWN(I1077,0))=0, 0, (I1077-ROUNDDOWN(I1077,0)))</f>
      </c>
      <c r="K1077" s="7">
        <f>INDIRECT("C$"&amp;2+MIN(2,ROUNDDOWN(I1077,0))*3)*(-$J1077^3+3*$J1077^2-3*$J1077+1)+INDIRECT("C$"&amp;3+MIN(2,ROUNDDOWN(I1077,0))*3)*(3*$J1077^3-6*$J1077^2+3*$J1077)+INDIRECT("C$"&amp;4+MIN(2,ROUNDDOWN(I1077,0))*3)*(-3*$J1077^3+3*$J1077^2)+INDIRECT("C$"&amp;5+MIN(2,ROUNDDOWN(I1077,0))*3)*$J1077^3</f>
      </c>
      <c r="L1077" s="7">
        <f>INDIRECT("D$"&amp;2+MIN(2,ROUNDDOWN(I1077,0))*3)*(-$J1077^3+3*$J1077^2-3*$J1077+1)+INDIRECT("D$"&amp;3+MIN(2,ROUNDDOWN(I1077,0))*3)*(3*$J1077^3-6*$J1077^2+3*$J1077)+INDIRECT("D$"&amp;4+MIN(2,ROUNDDOWN(I1077,0))*3)*(-3*$J1077^3+3*$J1077^2)+INDIRECT("D$"&amp;5+MIN(2,ROUNDDOWN(I1077,0))*3)*$J1077^3</f>
      </c>
      <c r="M1077" s="7">
        <f>SQRT(K1077^2+L1077^2)</f>
      </c>
      <c r="N1077" s="7">
        <f>(K1078-K1076)</f>
      </c>
      <c r="O1077" s="7">
        <f>+(L1078-L1076)</f>
      </c>
      <c r="P1077" s="7">
        <f>SQRT(O1077^2+N1077^2)</f>
      </c>
      <c r="Q1077" s="7">
        <f>N1077/$P1077</f>
      </c>
      <c r="R1077" s="7">
        <f>O1077/$P1077</f>
      </c>
      <c r="S1077" s="8">
        <f>Q1077^2+R1077^2</f>
      </c>
      <c r="T1077" s="7">
        <f>-R1077</f>
      </c>
      <c r="U1077" s="7">
        <f>Q1077</f>
      </c>
      <c r="V1077" s="7">
        <f>($C$14+($C$15-$C$14)/($D$15-$D$14)*(I1077-$D$14))/2</f>
      </c>
      <c r="W1077" s="7">
        <f>($B$22*I1077^4+$C$22*I1077^3+$D$22*I1077^2+$E$22*I1077+$F$22)/2</f>
      </c>
      <c r="X1077" s="7">
        <f>($W1077)*(T1077)</f>
      </c>
      <c r="Y1077" s="7">
        <f>($W1077)*(U1077)</f>
      </c>
      <c r="Z1077" s="7">
        <f>SQRT(X1077^2+Y1077^2)</f>
      </c>
      <c r="AA1077" s="7">
        <f>$K1077+$X1077</f>
      </c>
      <c r="AB1077" s="7">
        <f>$L1077+$Y1077</f>
      </c>
      <c r="AC1077" s="7">
        <f>$K1077-$X1077</f>
      </c>
      <c r="AD1077" s="7">
        <f>$L1077-$Y1077</f>
      </c>
      <c r="AE1077" s="7">
        <f>AA1077/39.3701</f>
      </c>
      <c r="AF1077" s="7">
        <f>AB1077/39.3701</f>
      </c>
      <c r="AG1077" s="7">
        <f>AC1077/39.3701</f>
      </c>
      <c r="AH1077" s="7">
        <f>AD1077/39.3701</f>
      </c>
      <c r="AI1077" s="1"/>
      <c r="AJ1077" s="1"/>
      <c r="AK1077" s="1"/>
      <c r="AL1077" s="1"/>
      <c r="AM1077" s="2"/>
      <c r="AN1077" s="1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  <c r="BA1077" s="1"/>
      <c r="BB1077" s="1"/>
      <c r="BC1077" s="1"/>
      <c r="BD1077" s="1"/>
      <c r="BE1077" s="1"/>
    </row>
    <row x14ac:dyDescent="0.25" r="1078" customHeight="1" ht="18.75">
      <c r="A1078" s="1"/>
      <c r="B1078" s="2"/>
      <c r="C1078" s="2"/>
      <c r="D1078" s="2"/>
      <c r="E1078" s="2"/>
      <c r="F1078" s="2"/>
      <c r="G1078" s="1"/>
      <c r="H1078" s="1"/>
      <c r="I1078" s="7">
        <v>1.075</v>
      </c>
      <c r="J1078" s="7">
        <f>IF((I1078-ROUNDDOWN(I1078,0))=0, 0, (I1078-ROUNDDOWN(I1078,0)))</f>
      </c>
      <c r="K1078" s="7">
        <f>INDIRECT("C$"&amp;2+MIN(2,ROUNDDOWN(I1078,0))*3)*(-$J1078^3+3*$J1078^2-3*$J1078+1)+INDIRECT("C$"&amp;3+MIN(2,ROUNDDOWN(I1078,0))*3)*(3*$J1078^3-6*$J1078^2+3*$J1078)+INDIRECT("C$"&amp;4+MIN(2,ROUNDDOWN(I1078,0))*3)*(-3*$J1078^3+3*$J1078^2)+INDIRECT("C$"&amp;5+MIN(2,ROUNDDOWN(I1078,0))*3)*$J1078^3</f>
      </c>
      <c r="L1078" s="7">
        <f>INDIRECT("D$"&amp;2+MIN(2,ROUNDDOWN(I1078,0))*3)*(-$J1078^3+3*$J1078^2-3*$J1078+1)+INDIRECT("D$"&amp;3+MIN(2,ROUNDDOWN(I1078,0))*3)*(3*$J1078^3-6*$J1078^2+3*$J1078)+INDIRECT("D$"&amp;4+MIN(2,ROUNDDOWN(I1078,0))*3)*(-3*$J1078^3+3*$J1078^2)+INDIRECT("D$"&amp;5+MIN(2,ROUNDDOWN(I1078,0))*3)*$J1078^3</f>
      </c>
      <c r="M1078" s="7">
        <f>SQRT(K1078^2+L1078^2)</f>
      </c>
      <c r="N1078" s="7">
        <f>(K1079-K1077)</f>
      </c>
      <c r="O1078" s="7">
        <f>+(L1079-L1077)</f>
      </c>
      <c r="P1078" s="7">
        <f>SQRT(O1078^2+N1078^2)</f>
      </c>
      <c r="Q1078" s="7">
        <f>N1078/$P1078</f>
      </c>
      <c r="R1078" s="7">
        <f>O1078/$P1078</f>
      </c>
      <c r="S1078" s="8">
        <f>Q1078^2+R1078^2</f>
      </c>
      <c r="T1078" s="7">
        <f>-R1078</f>
      </c>
      <c r="U1078" s="7">
        <f>Q1078</f>
      </c>
      <c r="V1078" s="7">
        <f>($C$14+($C$15-$C$14)/($D$15-$D$14)*(I1078-$D$14))/2</f>
      </c>
      <c r="W1078" s="7">
        <f>($B$22*I1078^4+$C$22*I1078^3+$D$22*I1078^2+$E$22*I1078+$F$22)/2</f>
      </c>
      <c r="X1078" s="7">
        <f>($W1078)*(T1078)</f>
      </c>
      <c r="Y1078" s="7">
        <f>($W1078)*(U1078)</f>
      </c>
      <c r="Z1078" s="7">
        <f>SQRT(X1078^2+Y1078^2)</f>
      </c>
      <c r="AA1078" s="7">
        <f>$K1078+$X1078</f>
      </c>
      <c r="AB1078" s="7">
        <f>$L1078+$Y1078</f>
      </c>
      <c r="AC1078" s="7">
        <f>$K1078-$X1078</f>
      </c>
      <c r="AD1078" s="7">
        <f>$L1078-$Y1078</f>
      </c>
      <c r="AE1078" s="7">
        <f>AA1078/39.3701</f>
      </c>
      <c r="AF1078" s="7">
        <f>AB1078/39.3701</f>
      </c>
      <c r="AG1078" s="7">
        <f>AC1078/39.3701</f>
      </c>
      <c r="AH1078" s="7">
        <f>AD1078/39.3701</f>
      </c>
      <c r="AI1078" s="1"/>
      <c r="AJ1078" s="1"/>
      <c r="AK1078" s="1"/>
      <c r="AL1078" s="1"/>
      <c r="AM1078" s="2"/>
      <c r="AN1078" s="1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  <c r="BA1078" s="1"/>
      <c r="BB1078" s="1"/>
      <c r="BC1078" s="1"/>
      <c r="BD1078" s="1"/>
      <c r="BE1078" s="1"/>
    </row>
    <row x14ac:dyDescent="0.25" r="1079" customHeight="1" ht="18.75">
      <c r="A1079" s="1"/>
      <c r="B1079" s="2"/>
      <c r="C1079" s="2"/>
      <c r="D1079" s="2"/>
      <c r="E1079" s="2"/>
      <c r="F1079" s="2"/>
      <c r="G1079" s="1"/>
      <c r="H1079" s="1"/>
      <c r="I1079" s="7">
        <v>1.076</v>
      </c>
      <c r="J1079" s="7">
        <f>IF((I1079-ROUNDDOWN(I1079,0))=0, 0, (I1079-ROUNDDOWN(I1079,0)))</f>
      </c>
      <c r="K1079" s="7">
        <f>INDIRECT("C$"&amp;2+MIN(2,ROUNDDOWN(I1079,0))*3)*(-$J1079^3+3*$J1079^2-3*$J1079+1)+INDIRECT("C$"&amp;3+MIN(2,ROUNDDOWN(I1079,0))*3)*(3*$J1079^3-6*$J1079^2+3*$J1079)+INDIRECT("C$"&amp;4+MIN(2,ROUNDDOWN(I1079,0))*3)*(-3*$J1079^3+3*$J1079^2)+INDIRECT("C$"&amp;5+MIN(2,ROUNDDOWN(I1079,0))*3)*$J1079^3</f>
      </c>
      <c r="L1079" s="7">
        <f>INDIRECT("D$"&amp;2+MIN(2,ROUNDDOWN(I1079,0))*3)*(-$J1079^3+3*$J1079^2-3*$J1079+1)+INDIRECT("D$"&amp;3+MIN(2,ROUNDDOWN(I1079,0))*3)*(3*$J1079^3-6*$J1079^2+3*$J1079)+INDIRECT("D$"&amp;4+MIN(2,ROUNDDOWN(I1079,0))*3)*(-3*$J1079^3+3*$J1079^2)+INDIRECT("D$"&amp;5+MIN(2,ROUNDDOWN(I1079,0))*3)*$J1079^3</f>
      </c>
      <c r="M1079" s="7">
        <f>SQRT(K1079^2+L1079^2)</f>
      </c>
      <c r="N1079" s="7">
        <f>(K1080-K1078)</f>
      </c>
      <c r="O1079" s="7">
        <f>+(L1080-L1078)</f>
      </c>
      <c r="P1079" s="7">
        <f>SQRT(O1079^2+N1079^2)</f>
      </c>
      <c r="Q1079" s="7">
        <f>N1079/$P1079</f>
      </c>
      <c r="R1079" s="7">
        <f>O1079/$P1079</f>
      </c>
      <c r="S1079" s="7">
        <f>Q1079^2+R1079^2</f>
      </c>
      <c r="T1079" s="7">
        <f>-R1079</f>
      </c>
      <c r="U1079" s="7">
        <f>Q1079</f>
      </c>
      <c r="V1079" s="7">
        <f>($C$14+($C$15-$C$14)/($D$15-$D$14)*(I1079-$D$14))/2</f>
      </c>
      <c r="W1079" s="7">
        <f>($B$22*I1079^4+$C$22*I1079^3+$D$22*I1079^2+$E$22*I1079+$F$22)/2</f>
      </c>
      <c r="X1079" s="7">
        <f>($W1079)*(T1079)</f>
      </c>
      <c r="Y1079" s="7">
        <f>($W1079)*(U1079)</f>
      </c>
      <c r="Z1079" s="7">
        <f>SQRT(X1079^2+Y1079^2)</f>
      </c>
      <c r="AA1079" s="7">
        <f>$K1079+$X1079</f>
      </c>
      <c r="AB1079" s="7">
        <f>$L1079+$Y1079</f>
      </c>
      <c r="AC1079" s="7">
        <f>$K1079-$X1079</f>
      </c>
      <c r="AD1079" s="7">
        <f>$L1079-$Y1079</f>
      </c>
      <c r="AE1079" s="7">
        <f>AA1079/39.3701</f>
      </c>
      <c r="AF1079" s="7">
        <f>AB1079/39.3701</f>
      </c>
      <c r="AG1079" s="7">
        <f>AC1079/39.3701</f>
      </c>
      <c r="AH1079" s="7">
        <f>AD1079/39.3701</f>
      </c>
      <c r="AI1079" s="1"/>
      <c r="AJ1079" s="1"/>
      <c r="AK1079" s="1"/>
      <c r="AL1079" s="1"/>
      <c r="AM1079" s="2"/>
      <c r="AN1079" s="1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  <c r="BA1079" s="1"/>
      <c r="BB1079" s="1"/>
      <c r="BC1079" s="1"/>
      <c r="BD1079" s="1"/>
      <c r="BE1079" s="1"/>
    </row>
    <row x14ac:dyDescent="0.25" r="1080" customHeight="1" ht="18.75">
      <c r="A1080" s="1"/>
      <c r="B1080" s="2"/>
      <c r="C1080" s="2"/>
      <c r="D1080" s="2"/>
      <c r="E1080" s="2"/>
      <c r="F1080" s="2"/>
      <c r="G1080" s="1"/>
      <c r="H1080" s="1"/>
      <c r="I1080" s="7">
        <v>1.077</v>
      </c>
      <c r="J1080" s="7">
        <f>IF((I1080-ROUNDDOWN(I1080,0))=0, 0, (I1080-ROUNDDOWN(I1080,0)))</f>
      </c>
      <c r="K1080" s="7">
        <f>INDIRECT("C$"&amp;2+MIN(2,ROUNDDOWN(I1080,0))*3)*(-$J1080^3+3*$J1080^2-3*$J1080+1)+INDIRECT("C$"&amp;3+MIN(2,ROUNDDOWN(I1080,0))*3)*(3*$J1080^3-6*$J1080^2+3*$J1080)+INDIRECT("C$"&amp;4+MIN(2,ROUNDDOWN(I1080,0))*3)*(-3*$J1080^3+3*$J1080^2)+INDIRECT("C$"&amp;5+MIN(2,ROUNDDOWN(I1080,0))*3)*$J1080^3</f>
      </c>
      <c r="L1080" s="7">
        <f>INDIRECT("D$"&amp;2+MIN(2,ROUNDDOWN(I1080,0))*3)*(-$J1080^3+3*$J1080^2-3*$J1080+1)+INDIRECT("D$"&amp;3+MIN(2,ROUNDDOWN(I1080,0))*3)*(3*$J1080^3-6*$J1080^2+3*$J1080)+INDIRECT("D$"&amp;4+MIN(2,ROUNDDOWN(I1080,0))*3)*(-3*$J1080^3+3*$J1080^2)+INDIRECT("D$"&amp;5+MIN(2,ROUNDDOWN(I1080,0))*3)*$J1080^3</f>
      </c>
      <c r="M1080" s="7">
        <f>SQRT(K1080^2+L1080^2)</f>
      </c>
      <c r="N1080" s="7">
        <f>(K1081-K1079)</f>
      </c>
      <c r="O1080" s="7">
        <f>+(L1081-L1079)</f>
      </c>
      <c r="P1080" s="7">
        <f>SQRT(O1080^2+N1080^2)</f>
      </c>
      <c r="Q1080" s="7">
        <f>N1080/$P1080</f>
      </c>
      <c r="R1080" s="7">
        <f>O1080/$P1080</f>
      </c>
      <c r="S1080" s="8">
        <f>Q1080^2+R1080^2</f>
      </c>
      <c r="T1080" s="7">
        <f>-R1080</f>
      </c>
      <c r="U1080" s="7">
        <f>Q1080</f>
      </c>
      <c r="V1080" s="7">
        <f>($C$14+($C$15-$C$14)/($D$15-$D$14)*(I1080-$D$14))/2</f>
      </c>
      <c r="W1080" s="7">
        <f>($B$22*I1080^4+$C$22*I1080^3+$D$22*I1080^2+$E$22*I1080+$F$22)/2</f>
      </c>
      <c r="X1080" s="7">
        <f>($W1080)*(T1080)</f>
      </c>
      <c r="Y1080" s="7">
        <f>($W1080)*(U1080)</f>
      </c>
      <c r="Z1080" s="7">
        <f>SQRT(X1080^2+Y1080^2)</f>
      </c>
      <c r="AA1080" s="7">
        <f>$K1080+$X1080</f>
      </c>
      <c r="AB1080" s="7">
        <f>$L1080+$Y1080</f>
      </c>
      <c r="AC1080" s="7">
        <f>$K1080-$X1080</f>
      </c>
      <c r="AD1080" s="7">
        <f>$L1080-$Y1080</f>
      </c>
      <c r="AE1080" s="7">
        <f>AA1080/39.3701</f>
      </c>
      <c r="AF1080" s="7">
        <f>AB1080/39.3701</f>
      </c>
      <c r="AG1080" s="7">
        <f>AC1080/39.3701</f>
      </c>
      <c r="AH1080" s="7">
        <f>AD1080/39.3701</f>
      </c>
      <c r="AI1080" s="1"/>
      <c r="AJ1080" s="1"/>
      <c r="AK1080" s="1"/>
      <c r="AL1080" s="1"/>
      <c r="AM1080" s="2"/>
      <c r="AN1080" s="1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  <c r="BA1080" s="1"/>
      <c r="BB1080" s="1"/>
      <c r="BC1080" s="1"/>
      <c r="BD1080" s="1"/>
      <c r="BE1080" s="1"/>
    </row>
    <row x14ac:dyDescent="0.25" r="1081" customHeight="1" ht="18.75">
      <c r="A1081" s="1"/>
      <c r="B1081" s="2"/>
      <c r="C1081" s="2"/>
      <c r="D1081" s="2"/>
      <c r="E1081" s="2"/>
      <c r="F1081" s="2"/>
      <c r="G1081" s="1"/>
      <c r="H1081" s="1"/>
      <c r="I1081" s="7">
        <v>1.078</v>
      </c>
      <c r="J1081" s="7">
        <f>IF((I1081-ROUNDDOWN(I1081,0))=0, 0, (I1081-ROUNDDOWN(I1081,0)))</f>
      </c>
      <c r="K1081" s="7">
        <f>INDIRECT("C$"&amp;2+MIN(2,ROUNDDOWN(I1081,0))*3)*(-$J1081^3+3*$J1081^2-3*$J1081+1)+INDIRECT("C$"&amp;3+MIN(2,ROUNDDOWN(I1081,0))*3)*(3*$J1081^3-6*$J1081^2+3*$J1081)+INDIRECT("C$"&amp;4+MIN(2,ROUNDDOWN(I1081,0))*3)*(-3*$J1081^3+3*$J1081^2)+INDIRECT("C$"&amp;5+MIN(2,ROUNDDOWN(I1081,0))*3)*$J1081^3</f>
      </c>
      <c r="L1081" s="7">
        <f>INDIRECT("D$"&amp;2+MIN(2,ROUNDDOWN(I1081,0))*3)*(-$J1081^3+3*$J1081^2-3*$J1081+1)+INDIRECT("D$"&amp;3+MIN(2,ROUNDDOWN(I1081,0))*3)*(3*$J1081^3-6*$J1081^2+3*$J1081)+INDIRECT("D$"&amp;4+MIN(2,ROUNDDOWN(I1081,0))*3)*(-3*$J1081^3+3*$J1081^2)+INDIRECT("D$"&amp;5+MIN(2,ROUNDDOWN(I1081,0))*3)*$J1081^3</f>
      </c>
      <c r="M1081" s="7">
        <f>SQRT(K1081^2+L1081^2)</f>
      </c>
      <c r="N1081" s="7">
        <f>(K1082-K1080)</f>
      </c>
      <c r="O1081" s="7">
        <f>+(L1082-L1080)</f>
      </c>
      <c r="P1081" s="7">
        <f>SQRT(O1081^2+N1081^2)</f>
      </c>
      <c r="Q1081" s="7">
        <f>N1081/$P1081</f>
      </c>
      <c r="R1081" s="7">
        <f>O1081/$P1081</f>
      </c>
      <c r="S1081" s="7">
        <f>Q1081^2+R1081^2</f>
      </c>
      <c r="T1081" s="7">
        <f>-R1081</f>
      </c>
      <c r="U1081" s="7">
        <f>Q1081</f>
      </c>
      <c r="V1081" s="7">
        <f>($C$14+($C$15-$C$14)/($D$15-$D$14)*(I1081-$D$14))/2</f>
      </c>
      <c r="W1081" s="7">
        <f>($B$22*I1081^4+$C$22*I1081^3+$D$22*I1081^2+$E$22*I1081+$F$22)/2</f>
      </c>
      <c r="X1081" s="7">
        <f>($W1081)*(T1081)</f>
      </c>
      <c r="Y1081" s="7">
        <f>($W1081)*(U1081)</f>
      </c>
      <c r="Z1081" s="7">
        <f>SQRT(X1081^2+Y1081^2)</f>
      </c>
      <c r="AA1081" s="7">
        <f>$K1081+$X1081</f>
      </c>
      <c r="AB1081" s="7">
        <f>$L1081+$Y1081</f>
      </c>
      <c r="AC1081" s="7">
        <f>$K1081-$X1081</f>
      </c>
      <c r="AD1081" s="7">
        <f>$L1081-$Y1081</f>
      </c>
      <c r="AE1081" s="7">
        <f>AA1081/39.3701</f>
      </c>
      <c r="AF1081" s="7">
        <f>AB1081/39.3701</f>
      </c>
      <c r="AG1081" s="7">
        <f>AC1081/39.3701</f>
      </c>
      <c r="AH1081" s="7">
        <f>AD1081/39.3701</f>
      </c>
      <c r="AI1081" s="1"/>
      <c r="AJ1081" s="1"/>
      <c r="AK1081" s="1"/>
      <c r="AL1081" s="1"/>
      <c r="AM1081" s="2"/>
      <c r="AN1081" s="1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  <c r="BA1081" s="1"/>
      <c r="BB1081" s="1"/>
      <c r="BC1081" s="1"/>
      <c r="BD1081" s="1"/>
      <c r="BE1081" s="1"/>
    </row>
    <row x14ac:dyDescent="0.25" r="1082" customHeight="1" ht="18.75">
      <c r="A1082" s="1"/>
      <c r="B1082" s="2"/>
      <c r="C1082" s="2"/>
      <c r="D1082" s="2"/>
      <c r="E1082" s="2"/>
      <c r="F1082" s="2"/>
      <c r="G1082" s="1"/>
      <c r="H1082" s="1"/>
      <c r="I1082" s="7">
        <v>1.079</v>
      </c>
      <c r="J1082" s="7">
        <f>IF((I1082-ROUNDDOWN(I1082,0))=0, 0, (I1082-ROUNDDOWN(I1082,0)))</f>
      </c>
      <c r="K1082" s="7">
        <f>INDIRECT("C$"&amp;2+MIN(2,ROUNDDOWN(I1082,0))*3)*(-$J1082^3+3*$J1082^2-3*$J1082+1)+INDIRECT("C$"&amp;3+MIN(2,ROUNDDOWN(I1082,0))*3)*(3*$J1082^3-6*$J1082^2+3*$J1082)+INDIRECT("C$"&amp;4+MIN(2,ROUNDDOWN(I1082,0))*3)*(-3*$J1082^3+3*$J1082^2)+INDIRECT("C$"&amp;5+MIN(2,ROUNDDOWN(I1082,0))*3)*$J1082^3</f>
      </c>
      <c r="L1082" s="7">
        <f>INDIRECT("D$"&amp;2+MIN(2,ROUNDDOWN(I1082,0))*3)*(-$J1082^3+3*$J1082^2-3*$J1082+1)+INDIRECT("D$"&amp;3+MIN(2,ROUNDDOWN(I1082,0))*3)*(3*$J1082^3-6*$J1082^2+3*$J1082)+INDIRECT("D$"&amp;4+MIN(2,ROUNDDOWN(I1082,0))*3)*(-3*$J1082^3+3*$J1082^2)+INDIRECT("D$"&amp;5+MIN(2,ROUNDDOWN(I1082,0))*3)*$J1082^3</f>
      </c>
      <c r="M1082" s="7">
        <f>SQRT(K1082^2+L1082^2)</f>
      </c>
      <c r="N1082" s="7">
        <f>(K1083-K1081)</f>
      </c>
      <c r="O1082" s="7">
        <f>+(L1083-L1081)</f>
      </c>
      <c r="P1082" s="7">
        <f>SQRT(O1082^2+N1082^2)</f>
      </c>
      <c r="Q1082" s="7">
        <f>N1082/$P1082</f>
      </c>
      <c r="R1082" s="7">
        <f>O1082/$P1082</f>
      </c>
      <c r="S1082" s="7">
        <f>Q1082^2+R1082^2</f>
      </c>
      <c r="T1082" s="7">
        <f>-R1082</f>
      </c>
      <c r="U1082" s="7">
        <f>Q1082</f>
      </c>
      <c r="V1082" s="7">
        <f>($C$14+($C$15-$C$14)/($D$15-$D$14)*(I1082-$D$14))/2</f>
      </c>
      <c r="W1082" s="7">
        <f>($B$22*I1082^4+$C$22*I1082^3+$D$22*I1082^2+$E$22*I1082+$F$22)/2</f>
      </c>
      <c r="X1082" s="7">
        <f>($W1082)*(T1082)</f>
      </c>
      <c r="Y1082" s="7">
        <f>($W1082)*(U1082)</f>
      </c>
      <c r="Z1082" s="7">
        <f>SQRT(X1082^2+Y1082^2)</f>
      </c>
      <c r="AA1082" s="7">
        <f>$K1082+$X1082</f>
      </c>
      <c r="AB1082" s="7">
        <f>$L1082+$Y1082</f>
      </c>
      <c r="AC1082" s="7">
        <f>$K1082-$X1082</f>
      </c>
      <c r="AD1082" s="7">
        <f>$L1082-$Y1082</f>
      </c>
      <c r="AE1082" s="7">
        <f>AA1082/39.3701</f>
      </c>
      <c r="AF1082" s="7">
        <f>AB1082/39.3701</f>
      </c>
      <c r="AG1082" s="7">
        <f>AC1082/39.3701</f>
      </c>
      <c r="AH1082" s="7">
        <f>AD1082/39.3701</f>
      </c>
      <c r="AI1082" s="1"/>
      <c r="AJ1082" s="1"/>
      <c r="AK1082" s="1"/>
      <c r="AL1082" s="1"/>
      <c r="AM1082" s="2"/>
      <c r="AN1082" s="1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  <c r="BA1082" s="1"/>
      <c r="BB1082" s="1"/>
      <c r="BC1082" s="1"/>
      <c r="BD1082" s="1"/>
      <c r="BE1082" s="1"/>
    </row>
    <row x14ac:dyDescent="0.25" r="1083" customHeight="1" ht="18.75">
      <c r="A1083" s="1"/>
      <c r="B1083" s="2"/>
      <c r="C1083" s="2"/>
      <c r="D1083" s="2"/>
      <c r="E1083" s="2"/>
      <c r="F1083" s="2"/>
      <c r="G1083" s="1"/>
      <c r="H1083" s="1"/>
      <c r="I1083" s="7">
        <v>1.08</v>
      </c>
      <c r="J1083" s="7">
        <f>IF((I1083-ROUNDDOWN(I1083,0))=0, 0, (I1083-ROUNDDOWN(I1083,0)))</f>
      </c>
      <c r="K1083" s="7">
        <f>INDIRECT("C$"&amp;2+MIN(2,ROUNDDOWN(I1083,0))*3)*(-$J1083^3+3*$J1083^2-3*$J1083+1)+INDIRECT("C$"&amp;3+MIN(2,ROUNDDOWN(I1083,0))*3)*(3*$J1083^3-6*$J1083^2+3*$J1083)+INDIRECT("C$"&amp;4+MIN(2,ROUNDDOWN(I1083,0))*3)*(-3*$J1083^3+3*$J1083^2)+INDIRECT("C$"&amp;5+MIN(2,ROUNDDOWN(I1083,0))*3)*$J1083^3</f>
      </c>
      <c r="L1083" s="7">
        <f>INDIRECT("D$"&amp;2+MIN(2,ROUNDDOWN(I1083,0))*3)*(-$J1083^3+3*$J1083^2-3*$J1083+1)+INDIRECT("D$"&amp;3+MIN(2,ROUNDDOWN(I1083,0))*3)*(3*$J1083^3-6*$J1083^2+3*$J1083)+INDIRECT("D$"&amp;4+MIN(2,ROUNDDOWN(I1083,0))*3)*(-3*$J1083^3+3*$J1083^2)+INDIRECT("D$"&amp;5+MIN(2,ROUNDDOWN(I1083,0))*3)*$J1083^3</f>
      </c>
      <c r="M1083" s="7">
        <f>SQRT(K1083^2+L1083^2)</f>
      </c>
      <c r="N1083" s="7">
        <f>(K1084-K1082)</f>
      </c>
      <c r="O1083" s="7">
        <f>+(L1084-L1082)</f>
      </c>
      <c r="P1083" s="7">
        <f>SQRT(O1083^2+N1083^2)</f>
      </c>
      <c r="Q1083" s="7">
        <f>N1083/$P1083</f>
      </c>
      <c r="R1083" s="7">
        <f>O1083/$P1083</f>
      </c>
      <c r="S1083" s="7">
        <f>Q1083^2+R1083^2</f>
      </c>
      <c r="T1083" s="7">
        <f>-R1083</f>
      </c>
      <c r="U1083" s="7">
        <f>Q1083</f>
      </c>
      <c r="V1083" s="7">
        <f>($C$14+($C$15-$C$14)/($D$15-$D$14)*(I1083-$D$14))/2</f>
      </c>
      <c r="W1083" s="7">
        <f>($B$22*I1083^4+$C$22*I1083^3+$D$22*I1083^2+$E$22*I1083+$F$22)/2</f>
      </c>
      <c r="X1083" s="7">
        <f>($W1083)*(T1083)</f>
      </c>
      <c r="Y1083" s="7">
        <f>($W1083)*(U1083)</f>
      </c>
      <c r="Z1083" s="7">
        <f>SQRT(X1083^2+Y1083^2)</f>
      </c>
      <c r="AA1083" s="7">
        <f>$K1083+$X1083</f>
      </c>
      <c r="AB1083" s="7">
        <f>$L1083+$Y1083</f>
      </c>
      <c r="AC1083" s="7">
        <f>$K1083-$X1083</f>
      </c>
      <c r="AD1083" s="7">
        <f>$L1083-$Y1083</f>
      </c>
      <c r="AE1083" s="7">
        <f>AA1083/39.3701</f>
      </c>
      <c r="AF1083" s="7">
        <f>AB1083/39.3701</f>
      </c>
      <c r="AG1083" s="7">
        <f>AC1083/39.3701</f>
      </c>
      <c r="AH1083" s="7">
        <f>AD1083/39.3701</f>
      </c>
      <c r="AI1083" s="1"/>
      <c r="AJ1083" s="1"/>
      <c r="AK1083" s="1"/>
      <c r="AL1083" s="1"/>
      <c r="AM1083" s="2"/>
      <c r="AN1083" s="1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  <c r="BA1083" s="1"/>
      <c r="BB1083" s="1"/>
      <c r="BC1083" s="1"/>
      <c r="BD1083" s="1"/>
      <c r="BE1083" s="1"/>
    </row>
    <row x14ac:dyDescent="0.25" r="1084" customHeight="1" ht="18.75">
      <c r="A1084" s="1"/>
      <c r="B1084" s="2"/>
      <c r="C1084" s="2"/>
      <c r="D1084" s="2"/>
      <c r="E1084" s="2"/>
      <c r="F1084" s="2"/>
      <c r="G1084" s="1"/>
      <c r="H1084" s="1"/>
      <c r="I1084" s="7">
        <v>1.081</v>
      </c>
      <c r="J1084" s="7">
        <f>IF((I1084-ROUNDDOWN(I1084,0))=0, 0, (I1084-ROUNDDOWN(I1084,0)))</f>
      </c>
      <c r="K1084" s="7">
        <f>INDIRECT("C$"&amp;2+MIN(2,ROUNDDOWN(I1084,0))*3)*(-$J1084^3+3*$J1084^2-3*$J1084+1)+INDIRECT("C$"&amp;3+MIN(2,ROUNDDOWN(I1084,0))*3)*(3*$J1084^3-6*$J1084^2+3*$J1084)+INDIRECT("C$"&amp;4+MIN(2,ROUNDDOWN(I1084,0))*3)*(-3*$J1084^3+3*$J1084^2)+INDIRECT("C$"&amp;5+MIN(2,ROUNDDOWN(I1084,0))*3)*$J1084^3</f>
      </c>
      <c r="L1084" s="7">
        <f>INDIRECT("D$"&amp;2+MIN(2,ROUNDDOWN(I1084,0))*3)*(-$J1084^3+3*$J1084^2-3*$J1084+1)+INDIRECT("D$"&amp;3+MIN(2,ROUNDDOWN(I1084,0))*3)*(3*$J1084^3-6*$J1084^2+3*$J1084)+INDIRECT("D$"&amp;4+MIN(2,ROUNDDOWN(I1084,0))*3)*(-3*$J1084^3+3*$J1084^2)+INDIRECT("D$"&amp;5+MIN(2,ROUNDDOWN(I1084,0))*3)*$J1084^3</f>
      </c>
      <c r="M1084" s="7">
        <f>SQRT(K1084^2+L1084^2)</f>
      </c>
      <c r="N1084" s="7">
        <f>(K1085-K1083)</f>
      </c>
      <c r="O1084" s="7">
        <f>+(L1085-L1083)</f>
      </c>
      <c r="P1084" s="7">
        <f>SQRT(O1084^2+N1084^2)</f>
      </c>
      <c r="Q1084" s="7">
        <f>N1084/$P1084</f>
      </c>
      <c r="R1084" s="7">
        <f>O1084/$P1084</f>
      </c>
      <c r="S1084" s="8">
        <f>Q1084^2+R1084^2</f>
      </c>
      <c r="T1084" s="7">
        <f>-R1084</f>
      </c>
      <c r="U1084" s="7">
        <f>Q1084</f>
      </c>
      <c r="V1084" s="7">
        <f>($C$14+($C$15-$C$14)/($D$15-$D$14)*(I1084-$D$14))/2</f>
      </c>
      <c r="W1084" s="7">
        <f>($B$22*I1084^4+$C$22*I1084^3+$D$22*I1084^2+$E$22*I1084+$F$22)/2</f>
      </c>
      <c r="X1084" s="7">
        <f>($W1084)*(T1084)</f>
      </c>
      <c r="Y1084" s="7">
        <f>($W1084)*(U1084)</f>
      </c>
      <c r="Z1084" s="7">
        <f>SQRT(X1084^2+Y1084^2)</f>
      </c>
      <c r="AA1084" s="7">
        <f>$K1084+$X1084</f>
      </c>
      <c r="AB1084" s="7">
        <f>$L1084+$Y1084</f>
      </c>
      <c r="AC1084" s="7">
        <f>$K1084-$X1084</f>
      </c>
      <c r="AD1084" s="7">
        <f>$L1084-$Y1084</f>
      </c>
      <c r="AE1084" s="7">
        <f>AA1084/39.3701</f>
      </c>
      <c r="AF1084" s="7">
        <f>AB1084/39.3701</f>
      </c>
      <c r="AG1084" s="7">
        <f>AC1084/39.3701</f>
      </c>
      <c r="AH1084" s="7">
        <f>AD1084/39.3701</f>
      </c>
      <c r="AI1084" s="1"/>
      <c r="AJ1084" s="1"/>
      <c r="AK1084" s="1"/>
      <c r="AL1084" s="1"/>
      <c r="AM1084" s="2"/>
      <c r="AN1084" s="1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  <c r="BA1084" s="1"/>
      <c r="BB1084" s="1"/>
      <c r="BC1084" s="1"/>
      <c r="BD1084" s="1"/>
      <c r="BE1084" s="1"/>
    </row>
    <row x14ac:dyDescent="0.25" r="1085" customHeight="1" ht="18.75">
      <c r="A1085" s="1"/>
      <c r="B1085" s="2"/>
      <c r="C1085" s="2"/>
      <c r="D1085" s="2"/>
      <c r="E1085" s="2"/>
      <c r="F1085" s="2"/>
      <c r="G1085" s="1"/>
      <c r="H1085" s="1"/>
      <c r="I1085" s="7">
        <v>1.082</v>
      </c>
      <c r="J1085" s="7">
        <f>IF((I1085-ROUNDDOWN(I1085,0))=0, 0, (I1085-ROUNDDOWN(I1085,0)))</f>
      </c>
      <c r="K1085" s="7">
        <f>INDIRECT("C$"&amp;2+MIN(2,ROUNDDOWN(I1085,0))*3)*(-$J1085^3+3*$J1085^2-3*$J1085+1)+INDIRECT("C$"&amp;3+MIN(2,ROUNDDOWN(I1085,0))*3)*(3*$J1085^3-6*$J1085^2+3*$J1085)+INDIRECT("C$"&amp;4+MIN(2,ROUNDDOWN(I1085,0))*3)*(-3*$J1085^3+3*$J1085^2)+INDIRECT("C$"&amp;5+MIN(2,ROUNDDOWN(I1085,0))*3)*$J1085^3</f>
      </c>
      <c r="L1085" s="7">
        <f>INDIRECT("D$"&amp;2+MIN(2,ROUNDDOWN(I1085,0))*3)*(-$J1085^3+3*$J1085^2-3*$J1085+1)+INDIRECT("D$"&amp;3+MIN(2,ROUNDDOWN(I1085,0))*3)*(3*$J1085^3-6*$J1085^2+3*$J1085)+INDIRECT("D$"&amp;4+MIN(2,ROUNDDOWN(I1085,0))*3)*(-3*$J1085^3+3*$J1085^2)+INDIRECT("D$"&amp;5+MIN(2,ROUNDDOWN(I1085,0))*3)*$J1085^3</f>
      </c>
      <c r="M1085" s="7">
        <f>SQRT(K1085^2+L1085^2)</f>
      </c>
      <c r="N1085" s="7">
        <f>(K1086-K1084)</f>
      </c>
      <c r="O1085" s="7">
        <f>+(L1086-L1084)</f>
      </c>
      <c r="P1085" s="7">
        <f>SQRT(O1085^2+N1085^2)</f>
      </c>
      <c r="Q1085" s="7">
        <f>N1085/$P1085</f>
      </c>
      <c r="R1085" s="7">
        <f>O1085/$P1085</f>
      </c>
      <c r="S1085" s="7">
        <f>Q1085^2+R1085^2</f>
      </c>
      <c r="T1085" s="7">
        <f>-R1085</f>
      </c>
      <c r="U1085" s="7">
        <f>Q1085</f>
      </c>
      <c r="V1085" s="7">
        <f>($C$14+($C$15-$C$14)/($D$15-$D$14)*(I1085-$D$14))/2</f>
      </c>
      <c r="W1085" s="7">
        <f>($B$22*I1085^4+$C$22*I1085^3+$D$22*I1085^2+$E$22*I1085+$F$22)/2</f>
      </c>
      <c r="X1085" s="7">
        <f>($W1085)*(T1085)</f>
      </c>
      <c r="Y1085" s="7">
        <f>($W1085)*(U1085)</f>
      </c>
      <c r="Z1085" s="7">
        <f>SQRT(X1085^2+Y1085^2)</f>
      </c>
      <c r="AA1085" s="7">
        <f>$K1085+$X1085</f>
      </c>
      <c r="AB1085" s="7">
        <f>$L1085+$Y1085</f>
      </c>
      <c r="AC1085" s="7">
        <f>$K1085-$X1085</f>
      </c>
      <c r="AD1085" s="7">
        <f>$L1085-$Y1085</f>
      </c>
      <c r="AE1085" s="7">
        <f>AA1085/39.3701</f>
      </c>
      <c r="AF1085" s="7">
        <f>AB1085/39.3701</f>
      </c>
      <c r="AG1085" s="7">
        <f>AC1085/39.3701</f>
      </c>
      <c r="AH1085" s="7">
        <f>AD1085/39.3701</f>
      </c>
      <c r="AI1085" s="1"/>
      <c r="AJ1085" s="1"/>
      <c r="AK1085" s="1"/>
      <c r="AL1085" s="1"/>
      <c r="AM1085" s="2"/>
      <c r="AN1085" s="1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  <c r="BA1085" s="1"/>
      <c r="BB1085" s="1"/>
      <c r="BC1085" s="1"/>
      <c r="BD1085" s="1"/>
      <c r="BE1085" s="1"/>
    </row>
    <row x14ac:dyDescent="0.25" r="1086" customHeight="1" ht="18.75">
      <c r="A1086" s="1"/>
      <c r="B1086" s="2"/>
      <c r="C1086" s="2"/>
      <c r="D1086" s="2"/>
      <c r="E1086" s="2"/>
      <c r="F1086" s="2"/>
      <c r="G1086" s="1"/>
      <c r="H1086" s="1"/>
      <c r="I1086" s="7">
        <v>1.083</v>
      </c>
      <c r="J1086" s="7">
        <f>IF((I1086-ROUNDDOWN(I1086,0))=0, 0, (I1086-ROUNDDOWN(I1086,0)))</f>
      </c>
      <c r="K1086" s="7">
        <f>INDIRECT("C$"&amp;2+MIN(2,ROUNDDOWN(I1086,0))*3)*(-$J1086^3+3*$J1086^2-3*$J1086+1)+INDIRECT("C$"&amp;3+MIN(2,ROUNDDOWN(I1086,0))*3)*(3*$J1086^3-6*$J1086^2+3*$J1086)+INDIRECT("C$"&amp;4+MIN(2,ROUNDDOWN(I1086,0))*3)*(-3*$J1086^3+3*$J1086^2)+INDIRECT("C$"&amp;5+MIN(2,ROUNDDOWN(I1086,0))*3)*$J1086^3</f>
      </c>
      <c r="L1086" s="7">
        <f>INDIRECT("D$"&amp;2+MIN(2,ROUNDDOWN(I1086,0))*3)*(-$J1086^3+3*$J1086^2-3*$J1086+1)+INDIRECT("D$"&amp;3+MIN(2,ROUNDDOWN(I1086,0))*3)*(3*$J1086^3-6*$J1086^2+3*$J1086)+INDIRECT("D$"&amp;4+MIN(2,ROUNDDOWN(I1086,0))*3)*(-3*$J1086^3+3*$J1086^2)+INDIRECT("D$"&amp;5+MIN(2,ROUNDDOWN(I1086,0))*3)*$J1086^3</f>
      </c>
      <c r="M1086" s="7">
        <f>SQRT(K1086^2+L1086^2)</f>
      </c>
      <c r="N1086" s="7">
        <f>(K1087-K1085)</f>
      </c>
      <c r="O1086" s="7">
        <f>+(L1087-L1085)</f>
      </c>
      <c r="P1086" s="7">
        <f>SQRT(O1086^2+N1086^2)</f>
      </c>
      <c r="Q1086" s="7">
        <f>N1086/$P1086</f>
      </c>
      <c r="R1086" s="7">
        <f>O1086/$P1086</f>
      </c>
      <c r="S1086" s="8">
        <f>Q1086^2+R1086^2</f>
      </c>
      <c r="T1086" s="7">
        <f>-R1086</f>
      </c>
      <c r="U1086" s="7">
        <f>Q1086</f>
      </c>
      <c r="V1086" s="7">
        <f>($C$14+($C$15-$C$14)/($D$15-$D$14)*(I1086-$D$14))/2</f>
      </c>
      <c r="W1086" s="7">
        <f>($B$22*I1086^4+$C$22*I1086^3+$D$22*I1086^2+$E$22*I1086+$F$22)/2</f>
      </c>
      <c r="X1086" s="7">
        <f>($W1086)*(T1086)</f>
      </c>
      <c r="Y1086" s="7">
        <f>($W1086)*(U1086)</f>
      </c>
      <c r="Z1086" s="7">
        <f>SQRT(X1086^2+Y1086^2)</f>
      </c>
      <c r="AA1086" s="7">
        <f>$K1086+$X1086</f>
      </c>
      <c r="AB1086" s="7">
        <f>$L1086+$Y1086</f>
      </c>
      <c r="AC1086" s="7">
        <f>$K1086-$X1086</f>
      </c>
      <c r="AD1086" s="7">
        <f>$L1086-$Y1086</f>
      </c>
      <c r="AE1086" s="7">
        <f>AA1086/39.3701</f>
      </c>
      <c r="AF1086" s="7">
        <f>AB1086/39.3701</f>
      </c>
      <c r="AG1086" s="7">
        <f>AC1086/39.3701</f>
      </c>
      <c r="AH1086" s="7">
        <f>AD1086/39.3701</f>
      </c>
      <c r="AI1086" s="1"/>
      <c r="AJ1086" s="1"/>
      <c r="AK1086" s="1"/>
      <c r="AL1086" s="1"/>
      <c r="AM1086" s="2"/>
      <c r="AN1086" s="1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  <c r="BA1086" s="1"/>
      <c r="BB1086" s="1"/>
      <c r="BC1086" s="1"/>
      <c r="BD1086" s="1"/>
      <c r="BE1086" s="1"/>
    </row>
    <row x14ac:dyDescent="0.25" r="1087" customHeight="1" ht="18.75">
      <c r="A1087" s="1"/>
      <c r="B1087" s="2"/>
      <c r="C1087" s="2"/>
      <c r="D1087" s="2"/>
      <c r="E1087" s="2"/>
      <c r="F1087" s="2"/>
      <c r="G1087" s="1"/>
      <c r="H1087" s="1"/>
      <c r="I1087" s="7">
        <v>1.084</v>
      </c>
      <c r="J1087" s="7">
        <f>IF((I1087-ROUNDDOWN(I1087,0))=0, 0, (I1087-ROUNDDOWN(I1087,0)))</f>
      </c>
      <c r="K1087" s="7">
        <f>INDIRECT("C$"&amp;2+MIN(2,ROUNDDOWN(I1087,0))*3)*(-$J1087^3+3*$J1087^2-3*$J1087+1)+INDIRECT("C$"&amp;3+MIN(2,ROUNDDOWN(I1087,0))*3)*(3*$J1087^3-6*$J1087^2+3*$J1087)+INDIRECT("C$"&amp;4+MIN(2,ROUNDDOWN(I1087,0))*3)*(-3*$J1087^3+3*$J1087^2)+INDIRECT("C$"&amp;5+MIN(2,ROUNDDOWN(I1087,0))*3)*$J1087^3</f>
      </c>
      <c r="L1087" s="7">
        <f>INDIRECT("D$"&amp;2+MIN(2,ROUNDDOWN(I1087,0))*3)*(-$J1087^3+3*$J1087^2-3*$J1087+1)+INDIRECT("D$"&amp;3+MIN(2,ROUNDDOWN(I1087,0))*3)*(3*$J1087^3-6*$J1087^2+3*$J1087)+INDIRECT("D$"&amp;4+MIN(2,ROUNDDOWN(I1087,0))*3)*(-3*$J1087^3+3*$J1087^2)+INDIRECT("D$"&amp;5+MIN(2,ROUNDDOWN(I1087,0))*3)*$J1087^3</f>
      </c>
      <c r="M1087" s="7">
        <f>SQRT(K1087^2+L1087^2)</f>
      </c>
      <c r="N1087" s="7">
        <f>(K1088-K1086)</f>
      </c>
      <c r="O1087" s="7">
        <f>+(L1088-L1086)</f>
      </c>
      <c r="P1087" s="7">
        <f>SQRT(O1087^2+N1087^2)</f>
      </c>
      <c r="Q1087" s="7">
        <f>N1087/$P1087</f>
      </c>
      <c r="R1087" s="7">
        <f>O1087/$P1087</f>
      </c>
      <c r="S1087" s="8">
        <f>Q1087^2+R1087^2</f>
      </c>
      <c r="T1087" s="7">
        <f>-R1087</f>
      </c>
      <c r="U1087" s="7">
        <f>Q1087</f>
      </c>
      <c r="V1087" s="7">
        <f>($C$14+($C$15-$C$14)/($D$15-$D$14)*(I1087-$D$14))/2</f>
      </c>
      <c r="W1087" s="7">
        <f>($B$22*I1087^4+$C$22*I1087^3+$D$22*I1087^2+$E$22*I1087+$F$22)/2</f>
      </c>
      <c r="X1087" s="7">
        <f>($W1087)*(T1087)</f>
      </c>
      <c r="Y1087" s="7">
        <f>($W1087)*(U1087)</f>
      </c>
      <c r="Z1087" s="7">
        <f>SQRT(X1087^2+Y1087^2)</f>
      </c>
      <c r="AA1087" s="7">
        <f>$K1087+$X1087</f>
      </c>
      <c r="AB1087" s="7">
        <f>$L1087+$Y1087</f>
      </c>
      <c r="AC1087" s="7">
        <f>$K1087-$X1087</f>
      </c>
      <c r="AD1087" s="7">
        <f>$L1087-$Y1087</f>
      </c>
      <c r="AE1087" s="7">
        <f>AA1087/39.3701</f>
      </c>
      <c r="AF1087" s="7">
        <f>AB1087/39.3701</f>
      </c>
      <c r="AG1087" s="7">
        <f>AC1087/39.3701</f>
      </c>
      <c r="AH1087" s="7">
        <f>AD1087/39.3701</f>
      </c>
      <c r="AI1087" s="1"/>
      <c r="AJ1087" s="1"/>
      <c r="AK1087" s="1"/>
      <c r="AL1087" s="1"/>
      <c r="AM1087" s="2"/>
      <c r="AN1087" s="1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  <c r="BA1087" s="1"/>
      <c r="BB1087" s="1"/>
      <c r="BC1087" s="1"/>
      <c r="BD1087" s="1"/>
      <c r="BE1087" s="1"/>
    </row>
    <row x14ac:dyDescent="0.25" r="1088" customHeight="1" ht="18.75">
      <c r="A1088" s="1"/>
      <c r="B1088" s="2"/>
      <c r="C1088" s="2"/>
      <c r="D1088" s="2"/>
      <c r="E1088" s="2"/>
      <c r="F1088" s="2"/>
      <c r="G1088" s="1"/>
      <c r="H1088" s="1"/>
      <c r="I1088" s="7">
        <v>1.085</v>
      </c>
      <c r="J1088" s="7">
        <f>IF((I1088-ROUNDDOWN(I1088,0))=0, 0, (I1088-ROUNDDOWN(I1088,0)))</f>
      </c>
      <c r="K1088" s="7">
        <f>INDIRECT("C$"&amp;2+MIN(2,ROUNDDOWN(I1088,0))*3)*(-$J1088^3+3*$J1088^2-3*$J1088+1)+INDIRECT("C$"&amp;3+MIN(2,ROUNDDOWN(I1088,0))*3)*(3*$J1088^3-6*$J1088^2+3*$J1088)+INDIRECT("C$"&amp;4+MIN(2,ROUNDDOWN(I1088,0))*3)*(-3*$J1088^3+3*$J1088^2)+INDIRECT("C$"&amp;5+MIN(2,ROUNDDOWN(I1088,0))*3)*$J1088^3</f>
      </c>
      <c r="L1088" s="7">
        <f>INDIRECT("D$"&amp;2+MIN(2,ROUNDDOWN(I1088,0))*3)*(-$J1088^3+3*$J1088^2-3*$J1088+1)+INDIRECT("D$"&amp;3+MIN(2,ROUNDDOWN(I1088,0))*3)*(3*$J1088^3-6*$J1088^2+3*$J1088)+INDIRECT("D$"&amp;4+MIN(2,ROUNDDOWN(I1088,0))*3)*(-3*$J1088^3+3*$J1088^2)+INDIRECT("D$"&amp;5+MIN(2,ROUNDDOWN(I1088,0))*3)*$J1088^3</f>
      </c>
      <c r="M1088" s="7">
        <f>SQRT(K1088^2+L1088^2)</f>
      </c>
      <c r="N1088" s="7">
        <f>(K1089-K1087)</f>
      </c>
      <c r="O1088" s="7">
        <f>+(L1089-L1087)</f>
      </c>
      <c r="P1088" s="7">
        <f>SQRT(O1088^2+N1088^2)</f>
      </c>
      <c r="Q1088" s="7">
        <f>N1088/$P1088</f>
      </c>
      <c r="R1088" s="7">
        <f>O1088/$P1088</f>
      </c>
      <c r="S1088" s="7">
        <f>Q1088^2+R1088^2</f>
      </c>
      <c r="T1088" s="7">
        <f>-R1088</f>
      </c>
      <c r="U1088" s="7">
        <f>Q1088</f>
      </c>
      <c r="V1088" s="7">
        <f>($C$14+($C$15-$C$14)/($D$15-$D$14)*(I1088-$D$14))/2</f>
      </c>
      <c r="W1088" s="7">
        <f>($B$22*I1088^4+$C$22*I1088^3+$D$22*I1088^2+$E$22*I1088+$F$22)/2</f>
      </c>
      <c r="X1088" s="7">
        <f>($W1088)*(T1088)</f>
      </c>
      <c r="Y1088" s="7">
        <f>($W1088)*(U1088)</f>
      </c>
      <c r="Z1088" s="7">
        <f>SQRT(X1088^2+Y1088^2)</f>
      </c>
      <c r="AA1088" s="7">
        <f>$K1088+$X1088</f>
      </c>
      <c r="AB1088" s="7">
        <f>$L1088+$Y1088</f>
      </c>
      <c r="AC1088" s="7">
        <f>$K1088-$X1088</f>
      </c>
      <c r="AD1088" s="7">
        <f>$L1088-$Y1088</f>
      </c>
      <c r="AE1088" s="7">
        <f>AA1088/39.3701</f>
      </c>
      <c r="AF1088" s="7">
        <f>AB1088/39.3701</f>
      </c>
      <c r="AG1088" s="7">
        <f>AC1088/39.3701</f>
      </c>
      <c r="AH1088" s="7">
        <f>AD1088/39.3701</f>
      </c>
      <c r="AI1088" s="1"/>
      <c r="AJ1088" s="1"/>
      <c r="AK1088" s="1"/>
      <c r="AL1088" s="1"/>
      <c r="AM1088" s="2"/>
      <c r="AN1088" s="1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  <c r="BA1088" s="1"/>
      <c r="BB1088" s="1"/>
      <c r="BC1088" s="1"/>
      <c r="BD1088" s="1"/>
      <c r="BE1088" s="1"/>
    </row>
    <row x14ac:dyDescent="0.25" r="1089" customHeight="1" ht="18.75">
      <c r="A1089" s="1"/>
      <c r="B1089" s="2"/>
      <c r="C1089" s="2"/>
      <c r="D1089" s="2"/>
      <c r="E1089" s="2"/>
      <c r="F1089" s="2"/>
      <c r="G1089" s="1"/>
      <c r="H1089" s="1"/>
      <c r="I1089" s="7">
        <v>1.086</v>
      </c>
      <c r="J1089" s="7">
        <f>IF((I1089-ROUNDDOWN(I1089,0))=0, 0, (I1089-ROUNDDOWN(I1089,0)))</f>
      </c>
      <c r="K1089" s="7">
        <f>INDIRECT("C$"&amp;2+MIN(2,ROUNDDOWN(I1089,0))*3)*(-$J1089^3+3*$J1089^2-3*$J1089+1)+INDIRECT("C$"&amp;3+MIN(2,ROUNDDOWN(I1089,0))*3)*(3*$J1089^3-6*$J1089^2+3*$J1089)+INDIRECT("C$"&amp;4+MIN(2,ROUNDDOWN(I1089,0))*3)*(-3*$J1089^3+3*$J1089^2)+INDIRECT("C$"&amp;5+MIN(2,ROUNDDOWN(I1089,0))*3)*$J1089^3</f>
      </c>
      <c r="L1089" s="7">
        <f>INDIRECT("D$"&amp;2+MIN(2,ROUNDDOWN(I1089,0))*3)*(-$J1089^3+3*$J1089^2-3*$J1089+1)+INDIRECT("D$"&amp;3+MIN(2,ROUNDDOWN(I1089,0))*3)*(3*$J1089^3-6*$J1089^2+3*$J1089)+INDIRECT("D$"&amp;4+MIN(2,ROUNDDOWN(I1089,0))*3)*(-3*$J1089^3+3*$J1089^2)+INDIRECT("D$"&amp;5+MIN(2,ROUNDDOWN(I1089,0))*3)*$J1089^3</f>
      </c>
      <c r="M1089" s="7">
        <f>SQRT(K1089^2+L1089^2)</f>
      </c>
      <c r="N1089" s="7">
        <f>(K1090-K1088)</f>
      </c>
      <c r="O1089" s="7">
        <f>+(L1090-L1088)</f>
      </c>
      <c r="P1089" s="7">
        <f>SQRT(O1089^2+N1089^2)</f>
      </c>
      <c r="Q1089" s="7">
        <f>N1089/$P1089</f>
      </c>
      <c r="R1089" s="7">
        <f>O1089/$P1089</f>
      </c>
      <c r="S1089" s="8">
        <f>Q1089^2+R1089^2</f>
      </c>
      <c r="T1089" s="7">
        <f>-R1089</f>
      </c>
      <c r="U1089" s="7">
        <f>Q1089</f>
      </c>
      <c r="V1089" s="7">
        <f>($C$14+($C$15-$C$14)/($D$15-$D$14)*(I1089-$D$14))/2</f>
      </c>
      <c r="W1089" s="7">
        <f>($B$22*I1089^4+$C$22*I1089^3+$D$22*I1089^2+$E$22*I1089+$F$22)/2</f>
      </c>
      <c r="X1089" s="7">
        <f>($W1089)*(T1089)</f>
      </c>
      <c r="Y1089" s="7">
        <f>($W1089)*(U1089)</f>
      </c>
      <c r="Z1089" s="7">
        <f>SQRT(X1089^2+Y1089^2)</f>
      </c>
      <c r="AA1089" s="7">
        <f>$K1089+$X1089</f>
      </c>
      <c r="AB1089" s="7">
        <f>$L1089+$Y1089</f>
      </c>
      <c r="AC1089" s="7">
        <f>$K1089-$X1089</f>
      </c>
      <c r="AD1089" s="7">
        <f>$L1089-$Y1089</f>
      </c>
      <c r="AE1089" s="7">
        <f>AA1089/39.3701</f>
      </c>
      <c r="AF1089" s="7">
        <f>AB1089/39.3701</f>
      </c>
      <c r="AG1089" s="7">
        <f>AC1089/39.3701</f>
      </c>
      <c r="AH1089" s="7">
        <f>AD1089/39.3701</f>
      </c>
      <c r="AI1089" s="1"/>
      <c r="AJ1089" s="1"/>
      <c r="AK1089" s="1"/>
      <c r="AL1089" s="1"/>
      <c r="AM1089" s="2"/>
      <c r="AN1089" s="1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  <c r="BA1089" s="1"/>
      <c r="BB1089" s="1"/>
      <c r="BC1089" s="1"/>
      <c r="BD1089" s="1"/>
      <c r="BE1089" s="1"/>
    </row>
    <row x14ac:dyDescent="0.25" r="1090" customHeight="1" ht="18.75">
      <c r="A1090" s="1"/>
      <c r="B1090" s="2"/>
      <c r="C1090" s="2"/>
      <c r="D1090" s="2"/>
      <c r="E1090" s="2"/>
      <c r="F1090" s="2"/>
      <c r="G1090" s="1"/>
      <c r="H1090" s="1"/>
      <c r="I1090" s="7">
        <v>1.087</v>
      </c>
      <c r="J1090" s="7">
        <f>IF((I1090-ROUNDDOWN(I1090,0))=0, 0, (I1090-ROUNDDOWN(I1090,0)))</f>
      </c>
      <c r="K1090" s="7">
        <f>INDIRECT("C$"&amp;2+MIN(2,ROUNDDOWN(I1090,0))*3)*(-$J1090^3+3*$J1090^2-3*$J1090+1)+INDIRECT("C$"&amp;3+MIN(2,ROUNDDOWN(I1090,0))*3)*(3*$J1090^3-6*$J1090^2+3*$J1090)+INDIRECT("C$"&amp;4+MIN(2,ROUNDDOWN(I1090,0))*3)*(-3*$J1090^3+3*$J1090^2)+INDIRECT("C$"&amp;5+MIN(2,ROUNDDOWN(I1090,0))*3)*$J1090^3</f>
      </c>
      <c r="L1090" s="7">
        <f>INDIRECT("D$"&amp;2+MIN(2,ROUNDDOWN(I1090,0))*3)*(-$J1090^3+3*$J1090^2-3*$J1090+1)+INDIRECT("D$"&amp;3+MIN(2,ROUNDDOWN(I1090,0))*3)*(3*$J1090^3-6*$J1090^2+3*$J1090)+INDIRECT("D$"&amp;4+MIN(2,ROUNDDOWN(I1090,0))*3)*(-3*$J1090^3+3*$J1090^2)+INDIRECT("D$"&amp;5+MIN(2,ROUNDDOWN(I1090,0))*3)*$J1090^3</f>
      </c>
      <c r="M1090" s="7">
        <f>SQRT(K1090^2+L1090^2)</f>
      </c>
      <c r="N1090" s="7">
        <f>(K1091-K1089)</f>
      </c>
      <c r="O1090" s="7">
        <f>+(L1091-L1089)</f>
      </c>
      <c r="P1090" s="7">
        <f>SQRT(O1090^2+N1090^2)</f>
      </c>
      <c r="Q1090" s="7">
        <f>N1090/$P1090</f>
      </c>
      <c r="R1090" s="7">
        <f>O1090/$P1090</f>
      </c>
      <c r="S1090" s="8">
        <f>Q1090^2+R1090^2</f>
      </c>
      <c r="T1090" s="7">
        <f>-R1090</f>
      </c>
      <c r="U1090" s="7">
        <f>Q1090</f>
      </c>
      <c r="V1090" s="7">
        <f>($C$14+($C$15-$C$14)/($D$15-$D$14)*(I1090-$D$14))/2</f>
      </c>
      <c r="W1090" s="7">
        <f>($B$22*I1090^4+$C$22*I1090^3+$D$22*I1090^2+$E$22*I1090+$F$22)/2</f>
      </c>
      <c r="X1090" s="7">
        <f>($W1090)*(T1090)</f>
      </c>
      <c r="Y1090" s="7">
        <f>($W1090)*(U1090)</f>
      </c>
      <c r="Z1090" s="7">
        <f>SQRT(X1090^2+Y1090^2)</f>
      </c>
      <c r="AA1090" s="7">
        <f>$K1090+$X1090</f>
      </c>
      <c r="AB1090" s="7">
        <f>$L1090+$Y1090</f>
      </c>
      <c r="AC1090" s="7">
        <f>$K1090-$X1090</f>
      </c>
      <c r="AD1090" s="7">
        <f>$L1090-$Y1090</f>
      </c>
      <c r="AE1090" s="7">
        <f>AA1090/39.3701</f>
      </c>
      <c r="AF1090" s="7">
        <f>AB1090/39.3701</f>
      </c>
      <c r="AG1090" s="7">
        <f>AC1090/39.3701</f>
      </c>
      <c r="AH1090" s="7">
        <f>AD1090/39.3701</f>
      </c>
      <c r="AI1090" s="1"/>
      <c r="AJ1090" s="1"/>
      <c r="AK1090" s="1"/>
      <c r="AL1090" s="1"/>
      <c r="AM1090" s="2"/>
      <c r="AN1090" s="1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  <c r="BA1090" s="1"/>
      <c r="BB1090" s="1"/>
      <c r="BC1090" s="1"/>
      <c r="BD1090" s="1"/>
      <c r="BE1090" s="1"/>
    </row>
    <row x14ac:dyDescent="0.25" r="1091" customHeight="1" ht="18.75">
      <c r="A1091" s="1"/>
      <c r="B1091" s="2"/>
      <c r="C1091" s="2"/>
      <c r="D1091" s="2"/>
      <c r="E1091" s="2"/>
      <c r="F1091" s="2"/>
      <c r="G1091" s="1"/>
      <c r="H1091" s="1"/>
      <c r="I1091" s="7">
        <v>1.088</v>
      </c>
      <c r="J1091" s="7">
        <f>IF((I1091-ROUNDDOWN(I1091,0))=0, 0, (I1091-ROUNDDOWN(I1091,0)))</f>
      </c>
      <c r="K1091" s="7">
        <f>INDIRECT("C$"&amp;2+MIN(2,ROUNDDOWN(I1091,0))*3)*(-$J1091^3+3*$J1091^2-3*$J1091+1)+INDIRECT("C$"&amp;3+MIN(2,ROUNDDOWN(I1091,0))*3)*(3*$J1091^3-6*$J1091^2+3*$J1091)+INDIRECT("C$"&amp;4+MIN(2,ROUNDDOWN(I1091,0))*3)*(-3*$J1091^3+3*$J1091^2)+INDIRECT("C$"&amp;5+MIN(2,ROUNDDOWN(I1091,0))*3)*$J1091^3</f>
      </c>
      <c r="L1091" s="7">
        <f>INDIRECT("D$"&amp;2+MIN(2,ROUNDDOWN(I1091,0))*3)*(-$J1091^3+3*$J1091^2-3*$J1091+1)+INDIRECT("D$"&amp;3+MIN(2,ROUNDDOWN(I1091,0))*3)*(3*$J1091^3-6*$J1091^2+3*$J1091)+INDIRECT("D$"&amp;4+MIN(2,ROUNDDOWN(I1091,0))*3)*(-3*$J1091^3+3*$J1091^2)+INDIRECT("D$"&amp;5+MIN(2,ROUNDDOWN(I1091,0))*3)*$J1091^3</f>
      </c>
      <c r="M1091" s="7">
        <f>SQRT(K1091^2+L1091^2)</f>
      </c>
      <c r="N1091" s="7">
        <f>(K1092-K1090)</f>
      </c>
      <c r="O1091" s="7">
        <f>+(L1092-L1090)</f>
      </c>
      <c r="P1091" s="7">
        <f>SQRT(O1091^2+N1091^2)</f>
      </c>
      <c r="Q1091" s="7">
        <f>N1091/$P1091</f>
      </c>
      <c r="R1091" s="7">
        <f>O1091/$P1091</f>
      </c>
      <c r="S1091" s="8">
        <f>Q1091^2+R1091^2</f>
      </c>
      <c r="T1091" s="7">
        <f>-R1091</f>
      </c>
      <c r="U1091" s="7">
        <f>Q1091</f>
      </c>
      <c r="V1091" s="7">
        <f>($C$14+($C$15-$C$14)/($D$15-$D$14)*(I1091-$D$14))/2</f>
      </c>
      <c r="W1091" s="7">
        <f>($B$22*I1091^4+$C$22*I1091^3+$D$22*I1091^2+$E$22*I1091+$F$22)/2</f>
      </c>
      <c r="X1091" s="7">
        <f>($W1091)*(T1091)</f>
      </c>
      <c r="Y1091" s="7">
        <f>($W1091)*(U1091)</f>
      </c>
      <c r="Z1091" s="7">
        <f>SQRT(X1091^2+Y1091^2)</f>
      </c>
      <c r="AA1091" s="7">
        <f>$K1091+$X1091</f>
      </c>
      <c r="AB1091" s="7">
        <f>$L1091+$Y1091</f>
      </c>
      <c r="AC1091" s="7">
        <f>$K1091-$X1091</f>
      </c>
      <c r="AD1091" s="7">
        <f>$L1091-$Y1091</f>
      </c>
      <c r="AE1091" s="7">
        <f>AA1091/39.3701</f>
      </c>
      <c r="AF1091" s="7">
        <f>AB1091/39.3701</f>
      </c>
      <c r="AG1091" s="7">
        <f>AC1091/39.3701</f>
      </c>
      <c r="AH1091" s="7">
        <f>AD1091/39.3701</f>
      </c>
      <c r="AI1091" s="1"/>
      <c r="AJ1091" s="1"/>
      <c r="AK1091" s="1"/>
      <c r="AL1091" s="1"/>
      <c r="AM1091" s="2"/>
      <c r="AN1091" s="1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  <c r="BA1091" s="1"/>
      <c r="BB1091" s="1"/>
      <c r="BC1091" s="1"/>
      <c r="BD1091" s="1"/>
      <c r="BE1091" s="1"/>
    </row>
    <row x14ac:dyDescent="0.25" r="1092" customHeight="1" ht="18.75">
      <c r="A1092" s="1"/>
      <c r="B1092" s="2"/>
      <c r="C1092" s="2"/>
      <c r="D1092" s="2"/>
      <c r="E1092" s="2"/>
      <c r="F1092" s="2"/>
      <c r="G1092" s="1"/>
      <c r="H1092" s="1"/>
      <c r="I1092" s="7">
        <v>1.089</v>
      </c>
      <c r="J1092" s="7">
        <f>IF((I1092-ROUNDDOWN(I1092,0))=0, 0, (I1092-ROUNDDOWN(I1092,0)))</f>
      </c>
      <c r="K1092" s="7">
        <f>INDIRECT("C$"&amp;2+MIN(2,ROUNDDOWN(I1092,0))*3)*(-$J1092^3+3*$J1092^2-3*$J1092+1)+INDIRECT("C$"&amp;3+MIN(2,ROUNDDOWN(I1092,0))*3)*(3*$J1092^3-6*$J1092^2+3*$J1092)+INDIRECT("C$"&amp;4+MIN(2,ROUNDDOWN(I1092,0))*3)*(-3*$J1092^3+3*$J1092^2)+INDIRECT("C$"&amp;5+MIN(2,ROUNDDOWN(I1092,0))*3)*$J1092^3</f>
      </c>
      <c r="L1092" s="7">
        <f>INDIRECT("D$"&amp;2+MIN(2,ROUNDDOWN(I1092,0))*3)*(-$J1092^3+3*$J1092^2-3*$J1092+1)+INDIRECT("D$"&amp;3+MIN(2,ROUNDDOWN(I1092,0))*3)*(3*$J1092^3-6*$J1092^2+3*$J1092)+INDIRECT("D$"&amp;4+MIN(2,ROUNDDOWN(I1092,0))*3)*(-3*$J1092^3+3*$J1092^2)+INDIRECT("D$"&amp;5+MIN(2,ROUNDDOWN(I1092,0))*3)*$J1092^3</f>
      </c>
      <c r="M1092" s="7">
        <f>SQRT(K1092^2+L1092^2)</f>
      </c>
      <c r="N1092" s="7">
        <f>(K1093-K1091)</f>
      </c>
      <c r="O1092" s="7">
        <f>+(L1093-L1091)</f>
      </c>
      <c r="P1092" s="7">
        <f>SQRT(O1092^2+N1092^2)</f>
      </c>
      <c r="Q1092" s="7">
        <f>N1092/$P1092</f>
      </c>
      <c r="R1092" s="7">
        <f>O1092/$P1092</f>
      </c>
      <c r="S1092" s="8">
        <f>Q1092^2+R1092^2</f>
      </c>
      <c r="T1092" s="7">
        <f>-R1092</f>
      </c>
      <c r="U1092" s="7">
        <f>Q1092</f>
      </c>
      <c r="V1092" s="7">
        <f>($C$14+($C$15-$C$14)/($D$15-$D$14)*(I1092-$D$14))/2</f>
      </c>
      <c r="W1092" s="7">
        <f>($B$22*I1092^4+$C$22*I1092^3+$D$22*I1092^2+$E$22*I1092+$F$22)/2</f>
      </c>
      <c r="X1092" s="7">
        <f>($W1092)*(T1092)</f>
      </c>
      <c r="Y1092" s="7">
        <f>($W1092)*(U1092)</f>
      </c>
      <c r="Z1092" s="7">
        <f>SQRT(X1092^2+Y1092^2)</f>
      </c>
      <c r="AA1092" s="7">
        <f>$K1092+$X1092</f>
      </c>
      <c r="AB1092" s="7">
        <f>$L1092+$Y1092</f>
      </c>
      <c r="AC1092" s="7">
        <f>$K1092-$X1092</f>
      </c>
      <c r="AD1092" s="7">
        <f>$L1092-$Y1092</f>
      </c>
      <c r="AE1092" s="7">
        <f>AA1092/39.3701</f>
      </c>
      <c r="AF1092" s="7">
        <f>AB1092/39.3701</f>
      </c>
      <c r="AG1092" s="7">
        <f>AC1092/39.3701</f>
      </c>
      <c r="AH1092" s="7">
        <f>AD1092/39.3701</f>
      </c>
      <c r="AI1092" s="1"/>
      <c r="AJ1092" s="1"/>
      <c r="AK1092" s="1"/>
      <c r="AL1092" s="1"/>
      <c r="AM1092" s="2"/>
      <c r="AN1092" s="1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  <c r="BA1092" s="1"/>
      <c r="BB1092" s="1"/>
      <c r="BC1092" s="1"/>
      <c r="BD1092" s="1"/>
      <c r="BE1092" s="1"/>
    </row>
    <row x14ac:dyDescent="0.25" r="1093" customHeight="1" ht="18.75">
      <c r="A1093" s="1"/>
      <c r="B1093" s="2"/>
      <c r="C1093" s="2"/>
      <c r="D1093" s="2"/>
      <c r="E1093" s="2"/>
      <c r="F1093" s="2"/>
      <c r="G1093" s="1"/>
      <c r="H1093" s="1"/>
      <c r="I1093" s="7">
        <v>1.09</v>
      </c>
      <c r="J1093" s="7">
        <f>IF((I1093-ROUNDDOWN(I1093,0))=0, 0, (I1093-ROUNDDOWN(I1093,0)))</f>
      </c>
      <c r="K1093" s="7">
        <f>INDIRECT("C$"&amp;2+MIN(2,ROUNDDOWN(I1093,0))*3)*(-$J1093^3+3*$J1093^2-3*$J1093+1)+INDIRECT("C$"&amp;3+MIN(2,ROUNDDOWN(I1093,0))*3)*(3*$J1093^3-6*$J1093^2+3*$J1093)+INDIRECT("C$"&amp;4+MIN(2,ROUNDDOWN(I1093,0))*3)*(-3*$J1093^3+3*$J1093^2)+INDIRECT("C$"&amp;5+MIN(2,ROUNDDOWN(I1093,0))*3)*$J1093^3</f>
      </c>
      <c r="L1093" s="7">
        <f>INDIRECT("D$"&amp;2+MIN(2,ROUNDDOWN(I1093,0))*3)*(-$J1093^3+3*$J1093^2-3*$J1093+1)+INDIRECT("D$"&amp;3+MIN(2,ROUNDDOWN(I1093,0))*3)*(3*$J1093^3-6*$J1093^2+3*$J1093)+INDIRECT("D$"&amp;4+MIN(2,ROUNDDOWN(I1093,0))*3)*(-3*$J1093^3+3*$J1093^2)+INDIRECT("D$"&amp;5+MIN(2,ROUNDDOWN(I1093,0))*3)*$J1093^3</f>
      </c>
      <c r="M1093" s="7">
        <f>SQRT(K1093^2+L1093^2)</f>
      </c>
      <c r="N1093" s="7">
        <f>(K1094-K1092)</f>
      </c>
      <c r="O1093" s="7">
        <f>+(L1094-L1092)</f>
      </c>
      <c r="P1093" s="7">
        <f>SQRT(O1093^2+N1093^2)</f>
      </c>
      <c r="Q1093" s="7">
        <f>N1093/$P1093</f>
      </c>
      <c r="R1093" s="7">
        <f>O1093/$P1093</f>
      </c>
      <c r="S1093" s="8">
        <f>Q1093^2+R1093^2</f>
      </c>
      <c r="T1093" s="7">
        <f>-R1093</f>
      </c>
      <c r="U1093" s="7">
        <f>Q1093</f>
      </c>
      <c r="V1093" s="7">
        <f>($C$14+($C$15-$C$14)/($D$15-$D$14)*(I1093-$D$14))/2</f>
      </c>
      <c r="W1093" s="7">
        <f>($B$22*I1093^4+$C$22*I1093^3+$D$22*I1093^2+$E$22*I1093+$F$22)/2</f>
      </c>
      <c r="X1093" s="7">
        <f>($W1093)*(T1093)</f>
      </c>
      <c r="Y1093" s="7">
        <f>($W1093)*(U1093)</f>
      </c>
      <c r="Z1093" s="7">
        <f>SQRT(X1093^2+Y1093^2)</f>
      </c>
      <c r="AA1093" s="7">
        <f>$K1093+$X1093</f>
      </c>
      <c r="AB1093" s="7">
        <f>$L1093+$Y1093</f>
      </c>
      <c r="AC1093" s="7">
        <f>$K1093-$X1093</f>
      </c>
      <c r="AD1093" s="7">
        <f>$L1093-$Y1093</f>
      </c>
      <c r="AE1093" s="7">
        <f>AA1093/39.3701</f>
      </c>
      <c r="AF1093" s="7">
        <f>AB1093/39.3701</f>
      </c>
      <c r="AG1093" s="7">
        <f>AC1093/39.3701</f>
      </c>
      <c r="AH1093" s="7">
        <f>AD1093/39.3701</f>
      </c>
      <c r="AI1093" s="1"/>
      <c r="AJ1093" s="1"/>
      <c r="AK1093" s="1"/>
      <c r="AL1093" s="1"/>
      <c r="AM1093" s="2"/>
      <c r="AN1093" s="1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  <c r="BA1093" s="1"/>
      <c r="BB1093" s="1"/>
      <c r="BC1093" s="1"/>
      <c r="BD1093" s="1"/>
      <c r="BE1093" s="1"/>
    </row>
    <row x14ac:dyDescent="0.25" r="1094" customHeight="1" ht="18.75">
      <c r="A1094" s="1"/>
      <c r="B1094" s="2"/>
      <c r="C1094" s="2"/>
      <c r="D1094" s="2"/>
      <c r="E1094" s="2"/>
      <c r="F1094" s="2"/>
      <c r="G1094" s="1"/>
      <c r="H1094" s="1"/>
      <c r="I1094" s="7">
        <v>1.091</v>
      </c>
      <c r="J1094" s="7">
        <f>IF((I1094-ROUNDDOWN(I1094,0))=0, 0, (I1094-ROUNDDOWN(I1094,0)))</f>
      </c>
      <c r="K1094" s="7">
        <f>INDIRECT("C$"&amp;2+MIN(2,ROUNDDOWN(I1094,0))*3)*(-$J1094^3+3*$J1094^2-3*$J1094+1)+INDIRECT("C$"&amp;3+MIN(2,ROUNDDOWN(I1094,0))*3)*(3*$J1094^3-6*$J1094^2+3*$J1094)+INDIRECT("C$"&amp;4+MIN(2,ROUNDDOWN(I1094,0))*3)*(-3*$J1094^3+3*$J1094^2)+INDIRECT("C$"&amp;5+MIN(2,ROUNDDOWN(I1094,0))*3)*$J1094^3</f>
      </c>
      <c r="L1094" s="7">
        <f>INDIRECT("D$"&amp;2+MIN(2,ROUNDDOWN(I1094,0))*3)*(-$J1094^3+3*$J1094^2-3*$J1094+1)+INDIRECT("D$"&amp;3+MIN(2,ROUNDDOWN(I1094,0))*3)*(3*$J1094^3-6*$J1094^2+3*$J1094)+INDIRECT("D$"&amp;4+MIN(2,ROUNDDOWN(I1094,0))*3)*(-3*$J1094^3+3*$J1094^2)+INDIRECT("D$"&amp;5+MIN(2,ROUNDDOWN(I1094,0))*3)*$J1094^3</f>
      </c>
      <c r="M1094" s="7">
        <f>SQRT(K1094^2+L1094^2)</f>
      </c>
      <c r="N1094" s="7">
        <f>(K1095-K1093)</f>
      </c>
      <c r="O1094" s="7">
        <f>+(L1095-L1093)</f>
      </c>
      <c r="P1094" s="7">
        <f>SQRT(O1094^2+N1094^2)</f>
      </c>
      <c r="Q1094" s="7">
        <f>N1094/$P1094</f>
      </c>
      <c r="R1094" s="7">
        <f>O1094/$P1094</f>
      </c>
      <c r="S1094" s="8">
        <f>Q1094^2+R1094^2</f>
      </c>
      <c r="T1094" s="7">
        <f>-R1094</f>
      </c>
      <c r="U1094" s="7">
        <f>Q1094</f>
      </c>
      <c r="V1094" s="7">
        <f>($C$14+($C$15-$C$14)/($D$15-$D$14)*(I1094-$D$14))/2</f>
      </c>
      <c r="W1094" s="7">
        <f>($B$22*I1094^4+$C$22*I1094^3+$D$22*I1094^2+$E$22*I1094+$F$22)/2</f>
      </c>
      <c r="X1094" s="7">
        <f>($W1094)*(T1094)</f>
      </c>
      <c r="Y1094" s="7">
        <f>($W1094)*(U1094)</f>
      </c>
      <c r="Z1094" s="7">
        <f>SQRT(X1094^2+Y1094^2)</f>
      </c>
      <c r="AA1094" s="7">
        <f>$K1094+$X1094</f>
      </c>
      <c r="AB1094" s="7">
        <f>$L1094+$Y1094</f>
      </c>
      <c r="AC1094" s="7">
        <f>$K1094-$X1094</f>
      </c>
      <c r="AD1094" s="7">
        <f>$L1094-$Y1094</f>
      </c>
      <c r="AE1094" s="7">
        <f>AA1094/39.3701</f>
      </c>
      <c r="AF1094" s="7">
        <f>AB1094/39.3701</f>
      </c>
      <c r="AG1094" s="7">
        <f>AC1094/39.3701</f>
      </c>
      <c r="AH1094" s="7">
        <f>AD1094/39.3701</f>
      </c>
      <c r="AI1094" s="1"/>
      <c r="AJ1094" s="1"/>
      <c r="AK1094" s="1"/>
      <c r="AL1094" s="1"/>
      <c r="AM1094" s="2"/>
      <c r="AN1094" s="1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  <c r="BA1094" s="1"/>
      <c r="BB1094" s="1"/>
      <c r="BC1094" s="1"/>
      <c r="BD1094" s="1"/>
      <c r="BE1094" s="1"/>
    </row>
    <row x14ac:dyDescent="0.25" r="1095" customHeight="1" ht="18.75">
      <c r="A1095" s="1"/>
      <c r="B1095" s="2"/>
      <c r="C1095" s="2"/>
      <c r="D1095" s="2"/>
      <c r="E1095" s="2"/>
      <c r="F1095" s="2"/>
      <c r="G1095" s="1"/>
      <c r="H1095" s="1"/>
      <c r="I1095" s="7">
        <v>1.092</v>
      </c>
      <c r="J1095" s="7">
        <f>IF((I1095-ROUNDDOWN(I1095,0))=0, 0, (I1095-ROUNDDOWN(I1095,0)))</f>
      </c>
      <c r="K1095" s="7">
        <f>INDIRECT("C$"&amp;2+MIN(2,ROUNDDOWN(I1095,0))*3)*(-$J1095^3+3*$J1095^2-3*$J1095+1)+INDIRECT("C$"&amp;3+MIN(2,ROUNDDOWN(I1095,0))*3)*(3*$J1095^3-6*$J1095^2+3*$J1095)+INDIRECT("C$"&amp;4+MIN(2,ROUNDDOWN(I1095,0))*3)*(-3*$J1095^3+3*$J1095^2)+INDIRECT("C$"&amp;5+MIN(2,ROUNDDOWN(I1095,0))*3)*$J1095^3</f>
      </c>
      <c r="L1095" s="7">
        <f>INDIRECT("D$"&amp;2+MIN(2,ROUNDDOWN(I1095,0))*3)*(-$J1095^3+3*$J1095^2-3*$J1095+1)+INDIRECT("D$"&amp;3+MIN(2,ROUNDDOWN(I1095,0))*3)*(3*$J1095^3-6*$J1095^2+3*$J1095)+INDIRECT("D$"&amp;4+MIN(2,ROUNDDOWN(I1095,0))*3)*(-3*$J1095^3+3*$J1095^2)+INDIRECT("D$"&amp;5+MIN(2,ROUNDDOWN(I1095,0))*3)*$J1095^3</f>
      </c>
      <c r="M1095" s="7">
        <f>SQRT(K1095^2+L1095^2)</f>
      </c>
      <c r="N1095" s="7">
        <f>(K1096-K1094)</f>
      </c>
      <c r="O1095" s="7">
        <f>+(L1096-L1094)</f>
      </c>
      <c r="P1095" s="7">
        <f>SQRT(O1095^2+N1095^2)</f>
      </c>
      <c r="Q1095" s="7">
        <f>N1095/$P1095</f>
      </c>
      <c r="R1095" s="7">
        <f>O1095/$P1095</f>
      </c>
      <c r="S1095" s="8">
        <f>Q1095^2+R1095^2</f>
      </c>
      <c r="T1095" s="7">
        <f>-R1095</f>
      </c>
      <c r="U1095" s="7">
        <f>Q1095</f>
      </c>
      <c r="V1095" s="7">
        <f>($C$14+($C$15-$C$14)/($D$15-$D$14)*(I1095-$D$14))/2</f>
      </c>
      <c r="W1095" s="7">
        <f>($B$22*I1095^4+$C$22*I1095^3+$D$22*I1095^2+$E$22*I1095+$F$22)/2</f>
      </c>
      <c r="X1095" s="7">
        <f>($W1095)*(T1095)</f>
      </c>
      <c r="Y1095" s="7">
        <f>($W1095)*(U1095)</f>
      </c>
      <c r="Z1095" s="7">
        <f>SQRT(X1095^2+Y1095^2)</f>
      </c>
      <c r="AA1095" s="7">
        <f>$K1095+$X1095</f>
      </c>
      <c r="AB1095" s="7">
        <f>$L1095+$Y1095</f>
      </c>
      <c r="AC1095" s="7">
        <f>$K1095-$X1095</f>
      </c>
      <c r="AD1095" s="7">
        <f>$L1095-$Y1095</f>
      </c>
      <c r="AE1095" s="7">
        <f>AA1095/39.3701</f>
      </c>
      <c r="AF1095" s="7">
        <f>AB1095/39.3701</f>
      </c>
      <c r="AG1095" s="7">
        <f>AC1095/39.3701</f>
      </c>
      <c r="AH1095" s="7">
        <f>AD1095/39.3701</f>
      </c>
      <c r="AI1095" s="1"/>
      <c r="AJ1095" s="1"/>
      <c r="AK1095" s="1"/>
      <c r="AL1095" s="1"/>
      <c r="AM1095" s="2"/>
      <c r="AN1095" s="1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  <c r="BA1095" s="1"/>
      <c r="BB1095" s="1"/>
      <c r="BC1095" s="1"/>
      <c r="BD1095" s="1"/>
      <c r="BE1095" s="1"/>
    </row>
    <row x14ac:dyDescent="0.25" r="1096" customHeight="1" ht="18.75">
      <c r="A1096" s="1"/>
      <c r="B1096" s="2"/>
      <c r="C1096" s="2"/>
      <c r="D1096" s="2"/>
      <c r="E1096" s="2"/>
      <c r="F1096" s="2"/>
      <c r="G1096" s="1"/>
      <c r="H1096" s="1"/>
      <c r="I1096" s="7">
        <v>1.093</v>
      </c>
      <c r="J1096" s="7">
        <f>IF((I1096-ROUNDDOWN(I1096,0))=0, 0, (I1096-ROUNDDOWN(I1096,0)))</f>
      </c>
      <c r="K1096" s="7">
        <f>INDIRECT("C$"&amp;2+MIN(2,ROUNDDOWN(I1096,0))*3)*(-$J1096^3+3*$J1096^2-3*$J1096+1)+INDIRECT("C$"&amp;3+MIN(2,ROUNDDOWN(I1096,0))*3)*(3*$J1096^3-6*$J1096^2+3*$J1096)+INDIRECT("C$"&amp;4+MIN(2,ROUNDDOWN(I1096,0))*3)*(-3*$J1096^3+3*$J1096^2)+INDIRECT("C$"&amp;5+MIN(2,ROUNDDOWN(I1096,0))*3)*$J1096^3</f>
      </c>
      <c r="L1096" s="7">
        <f>INDIRECT("D$"&amp;2+MIN(2,ROUNDDOWN(I1096,0))*3)*(-$J1096^3+3*$J1096^2-3*$J1096+1)+INDIRECT("D$"&amp;3+MIN(2,ROUNDDOWN(I1096,0))*3)*(3*$J1096^3-6*$J1096^2+3*$J1096)+INDIRECT("D$"&amp;4+MIN(2,ROUNDDOWN(I1096,0))*3)*(-3*$J1096^3+3*$J1096^2)+INDIRECT("D$"&amp;5+MIN(2,ROUNDDOWN(I1096,0))*3)*$J1096^3</f>
      </c>
      <c r="M1096" s="7">
        <f>SQRT(K1096^2+L1096^2)</f>
      </c>
      <c r="N1096" s="7">
        <f>(K1097-K1095)</f>
      </c>
      <c r="O1096" s="7">
        <f>+(L1097-L1095)</f>
      </c>
      <c r="P1096" s="7">
        <f>SQRT(O1096^2+N1096^2)</f>
      </c>
      <c r="Q1096" s="7">
        <f>N1096/$P1096</f>
      </c>
      <c r="R1096" s="7">
        <f>O1096/$P1096</f>
      </c>
      <c r="S1096" s="8">
        <f>Q1096^2+R1096^2</f>
      </c>
      <c r="T1096" s="7">
        <f>-R1096</f>
      </c>
      <c r="U1096" s="7">
        <f>Q1096</f>
      </c>
      <c r="V1096" s="7">
        <f>($C$14+($C$15-$C$14)/($D$15-$D$14)*(I1096-$D$14))/2</f>
      </c>
      <c r="W1096" s="7">
        <f>($B$22*I1096^4+$C$22*I1096^3+$D$22*I1096^2+$E$22*I1096+$F$22)/2</f>
      </c>
      <c r="X1096" s="7">
        <f>($W1096)*(T1096)</f>
      </c>
      <c r="Y1096" s="7">
        <f>($W1096)*(U1096)</f>
      </c>
      <c r="Z1096" s="7">
        <f>SQRT(X1096^2+Y1096^2)</f>
      </c>
      <c r="AA1096" s="7">
        <f>$K1096+$X1096</f>
      </c>
      <c r="AB1096" s="7">
        <f>$L1096+$Y1096</f>
      </c>
      <c r="AC1096" s="7">
        <f>$K1096-$X1096</f>
      </c>
      <c r="AD1096" s="7">
        <f>$L1096-$Y1096</f>
      </c>
      <c r="AE1096" s="7">
        <f>AA1096/39.3701</f>
      </c>
      <c r="AF1096" s="7">
        <f>AB1096/39.3701</f>
      </c>
      <c r="AG1096" s="7">
        <f>AC1096/39.3701</f>
      </c>
      <c r="AH1096" s="7">
        <f>AD1096/39.3701</f>
      </c>
      <c r="AI1096" s="1"/>
      <c r="AJ1096" s="1"/>
      <c r="AK1096" s="1"/>
      <c r="AL1096" s="1"/>
      <c r="AM1096" s="2"/>
      <c r="AN1096" s="1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  <c r="BA1096" s="1"/>
      <c r="BB1096" s="1"/>
      <c r="BC1096" s="1"/>
      <c r="BD1096" s="1"/>
      <c r="BE1096" s="1"/>
    </row>
    <row x14ac:dyDescent="0.25" r="1097" customHeight="1" ht="18.75">
      <c r="A1097" s="1"/>
      <c r="B1097" s="2"/>
      <c r="C1097" s="2"/>
      <c r="D1097" s="2"/>
      <c r="E1097" s="2"/>
      <c r="F1097" s="2"/>
      <c r="G1097" s="1"/>
      <c r="H1097" s="1"/>
      <c r="I1097" s="7">
        <v>1.094</v>
      </c>
      <c r="J1097" s="7">
        <f>IF((I1097-ROUNDDOWN(I1097,0))=0, 0, (I1097-ROUNDDOWN(I1097,0)))</f>
      </c>
      <c r="K1097" s="7">
        <f>INDIRECT("C$"&amp;2+MIN(2,ROUNDDOWN(I1097,0))*3)*(-$J1097^3+3*$J1097^2-3*$J1097+1)+INDIRECT("C$"&amp;3+MIN(2,ROUNDDOWN(I1097,0))*3)*(3*$J1097^3-6*$J1097^2+3*$J1097)+INDIRECT("C$"&amp;4+MIN(2,ROUNDDOWN(I1097,0))*3)*(-3*$J1097^3+3*$J1097^2)+INDIRECT("C$"&amp;5+MIN(2,ROUNDDOWN(I1097,0))*3)*$J1097^3</f>
      </c>
      <c r="L1097" s="7">
        <f>INDIRECT("D$"&amp;2+MIN(2,ROUNDDOWN(I1097,0))*3)*(-$J1097^3+3*$J1097^2-3*$J1097+1)+INDIRECT("D$"&amp;3+MIN(2,ROUNDDOWN(I1097,0))*3)*(3*$J1097^3-6*$J1097^2+3*$J1097)+INDIRECT("D$"&amp;4+MIN(2,ROUNDDOWN(I1097,0))*3)*(-3*$J1097^3+3*$J1097^2)+INDIRECT("D$"&amp;5+MIN(2,ROUNDDOWN(I1097,0))*3)*$J1097^3</f>
      </c>
      <c r="M1097" s="7">
        <f>SQRT(K1097^2+L1097^2)</f>
      </c>
      <c r="N1097" s="7">
        <f>(K1098-K1096)</f>
      </c>
      <c r="O1097" s="7">
        <f>+(L1098-L1096)</f>
      </c>
      <c r="P1097" s="7">
        <f>SQRT(O1097^2+N1097^2)</f>
      </c>
      <c r="Q1097" s="7">
        <f>N1097/$P1097</f>
      </c>
      <c r="R1097" s="7">
        <f>O1097/$P1097</f>
      </c>
      <c r="S1097" s="7">
        <f>Q1097^2+R1097^2</f>
      </c>
      <c r="T1097" s="7">
        <f>-R1097</f>
      </c>
      <c r="U1097" s="7">
        <f>Q1097</f>
      </c>
      <c r="V1097" s="7">
        <f>($C$14+($C$15-$C$14)/($D$15-$D$14)*(I1097-$D$14))/2</f>
      </c>
      <c r="W1097" s="7">
        <f>($B$22*I1097^4+$C$22*I1097^3+$D$22*I1097^2+$E$22*I1097+$F$22)/2</f>
      </c>
      <c r="X1097" s="7">
        <f>($W1097)*(T1097)</f>
      </c>
      <c r="Y1097" s="7">
        <f>($W1097)*(U1097)</f>
      </c>
      <c r="Z1097" s="7">
        <f>SQRT(X1097^2+Y1097^2)</f>
      </c>
      <c r="AA1097" s="7">
        <f>$K1097+$X1097</f>
      </c>
      <c r="AB1097" s="7">
        <f>$L1097+$Y1097</f>
      </c>
      <c r="AC1097" s="7">
        <f>$K1097-$X1097</f>
      </c>
      <c r="AD1097" s="7">
        <f>$L1097-$Y1097</f>
      </c>
      <c r="AE1097" s="7">
        <f>AA1097/39.3701</f>
      </c>
      <c r="AF1097" s="7">
        <f>AB1097/39.3701</f>
      </c>
      <c r="AG1097" s="7">
        <f>AC1097/39.3701</f>
      </c>
      <c r="AH1097" s="7">
        <f>AD1097/39.3701</f>
      </c>
      <c r="AI1097" s="1"/>
      <c r="AJ1097" s="1"/>
      <c r="AK1097" s="1"/>
      <c r="AL1097" s="1"/>
      <c r="AM1097" s="2"/>
      <c r="AN1097" s="1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  <c r="BA1097" s="1"/>
      <c r="BB1097" s="1"/>
      <c r="BC1097" s="1"/>
      <c r="BD1097" s="1"/>
      <c r="BE1097" s="1"/>
    </row>
    <row x14ac:dyDescent="0.25" r="1098" customHeight="1" ht="18.75">
      <c r="A1098" s="1"/>
      <c r="B1098" s="2"/>
      <c r="C1098" s="2"/>
      <c r="D1098" s="2"/>
      <c r="E1098" s="2"/>
      <c r="F1098" s="2"/>
      <c r="G1098" s="1"/>
      <c r="H1098" s="1"/>
      <c r="I1098" s="7">
        <v>1.095</v>
      </c>
      <c r="J1098" s="7">
        <f>IF((I1098-ROUNDDOWN(I1098,0))=0, 0, (I1098-ROUNDDOWN(I1098,0)))</f>
      </c>
      <c r="K1098" s="7">
        <f>INDIRECT("C$"&amp;2+MIN(2,ROUNDDOWN(I1098,0))*3)*(-$J1098^3+3*$J1098^2-3*$J1098+1)+INDIRECT("C$"&amp;3+MIN(2,ROUNDDOWN(I1098,0))*3)*(3*$J1098^3-6*$J1098^2+3*$J1098)+INDIRECT("C$"&amp;4+MIN(2,ROUNDDOWN(I1098,0))*3)*(-3*$J1098^3+3*$J1098^2)+INDIRECT("C$"&amp;5+MIN(2,ROUNDDOWN(I1098,0))*3)*$J1098^3</f>
      </c>
      <c r="L1098" s="7">
        <f>INDIRECT("D$"&amp;2+MIN(2,ROUNDDOWN(I1098,0))*3)*(-$J1098^3+3*$J1098^2-3*$J1098+1)+INDIRECT("D$"&amp;3+MIN(2,ROUNDDOWN(I1098,0))*3)*(3*$J1098^3-6*$J1098^2+3*$J1098)+INDIRECT("D$"&amp;4+MIN(2,ROUNDDOWN(I1098,0))*3)*(-3*$J1098^3+3*$J1098^2)+INDIRECT("D$"&amp;5+MIN(2,ROUNDDOWN(I1098,0))*3)*$J1098^3</f>
      </c>
      <c r="M1098" s="7">
        <f>SQRT(K1098^2+L1098^2)</f>
      </c>
      <c r="N1098" s="7">
        <f>(K1099-K1097)</f>
      </c>
      <c r="O1098" s="7">
        <f>+(L1099-L1097)</f>
      </c>
      <c r="P1098" s="7">
        <f>SQRT(O1098^2+N1098^2)</f>
      </c>
      <c r="Q1098" s="7">
        <f>N1098/$P1098</f>
      </c>
      <c r="R1098" s="7">
        <f>O1098/$P1098</f>
      </c>
      <c r="S1098" s="7">
        <f>Q1098^2+R1098^2</f>
      </c>
      <c r="T1098" s="7">
        <f>-R1098</f>
      </c>
      <c r="U1098" s="7">
        <f>Q1098</f>
      </c>
      <c r="V1098" s="7">
        <f>($C$14+($C$15-$C$14)/($D$15-$D$14)*(I1098-$D$14))/2</f>
      </c>
      <c r="W1098" s="7">
        <f>($B$22*I1098^4+$C$22*I1098^3+$D$22*I1098^2+$E$22*I1098+$F$22)/2</f>
      </c>
      <c r="X1098" s="7">
        <f>($W1098)*(T1098)</f>
      </c>
      <c r="Y1098" s="7">
        <f>($W1098)*(U1098)</f>
      </c>
      <c r="Z1098" s="7">
        <f>SQRT(X1098^2+Y1098^2)</f>
      </c>
      <c r="AA1098" s="7">
        <f>$K1098+$X1098</f>
      </c>
      <c r="AB1098" s="7">
        <f>$L1098+$Y1098</f>
      </c>
      <c r="AC1098" s="7">
        <f>$K1098-$X1098</f>
      </c>
      <c r="AD1098" s="7">
        <f>$L1098-$Y1098</f>
      </c>
      <c r="AE1098" s="7">
        <f>AA1098/39.3701</f>
      </c>
      <c r="AF1098" s="7">
        <f>AB1098/39.3701</f>
      </c>
      <c r="AG1098" s="7">
        <f>AC1098/39.3701</f>
      </c>
      <c r="AH1098" s="7">
        <f>AD1098/39.3701</f>
      </c>
      <c r="AI1098" s="1"/>
      <c r="AJ1098" s="1"/>
      <c r="AK1098" s="1"/>
      <c r="AL1098" s="1"/>
      <c r="AM1098" s="2"/>
      <c r="AN1098" s="1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  <c r="BA1098" s="1"/>
      <c r="BB1098" s="1"/>
      <c r="BC1098" s="1"/>
      <c r="BD1098" s="1"/>
      <c r="BE1098" s="1"/>
    </row>
    <row x14ac:dyDescent="0.25" r="1099" customHeight="1" ht="18.75">
      <c r="A1099" s="1"/>
      <c r="B1099" s="2"/>
      <c r="C1099" s="2"/>
      <c r="D1099" s="2"/>
      <c r="E1099" s="2"/>
      <c r="F1099" s="2"/>
      <c r="G1099" s="1"/>
      <c r="H1099" s="1"/>
      <c r="I1099" s="7">
        <v>1.096</v>
      </c>
      <c r="J1099" s="7">
        <f>IF((I1099-ROUNDDOWN(I1099,0))=0, 0, (I1099-ROUNDDOWN(I1099,0)))</f>
      </c>
      <c r="K1099" s="7">
        <f>INDIRECT("C$"&amp;2+MIN(2,ROUNDDOWN(I1099,0))*3)*(-$J1099^3+3*$J1099^2-3*$J1099+1)+INDIRECT("C$"&amp;3+MIN(2,ROUNDDOWN(I1099,0))*3)*(3*$J1099^3-6*$J1099^2+3*$J1099)+INDIRECT("C$"&amp;4+MIN(2,ROUNDDOWN(I1099,0))*3)*(-3*$J1099^3+3*$J1099^2)+INDIRECT("C$"&amp;5+MIN(2,ROUNDDOWN(I1099,0))*3)*$J1099^3</f>
      </c>
      <c r="L1099" s="7">
        <f>INDIRECT("D$"&amp;2+MIN(2,ROUNDDOWN(I1099,0))*3)*(-$J1099^3+3*$J1099^2-3*$J1099+1)+INDIRECT("D$"&amp;3+MIN(2,ROUNDDOWN(I1099,0))*3)*(3*$J1099^3-6*$J1099^2+3*$J1099)+INDIRECT("D$"&amp;4+MIN(2,ROUNDDOWN(I1099,0))*3)*(-3*$J1099^3+3*$J1099^2)+INDIRECT("D$"&amp;5+MIN(2,ROUNDDOWN(I1099,0))*3)*$J1099^3</f>
      </c>
      <c r="M1099" s="7">
        <f>SQRT(K1099^2+L1099^2)</f>
      </c>
      <c r="N1099" s="7">
        <f>(K1100-K1098)</f>
      </c>
      <c r="O1099" s="7">
        <f>+(L1100-L1098)</f>
      </c>
      <c r="P1099" s="7">
        <f>SQRT(O1099^2+N1099^2)</f>
      </c>
      <c r="Q1099" s="7">
        <f>N1099/$P1099</f>
      </c>
      <c r="R1099" s="7">
        <f>O1099/$P1099</f>
      </c>
      <c r="S1099" s="8">
        <f>Q1099^2+R1099^2</f>
      </c>
      <c r="T1099" s="7">
        <f>-R1099</f>
      </c>
      <c r="U1099" s="7">
        <f>Q1099</f>
      </c>
      <c r="V1099" s="7">
        <f>($C$14+($C$15-$C$14)/($D$15-$D$14)*(I1099-$D$14))/2</f>
      </c>
      <c r="W1099" s="7">
        <f>($B$22*I1099^4+$C$22*I1099^3+$D$22*I1099^2+$E$22*I1099+$F$22)/2</f>
      </c>
      <c r="X1099" s="7">
        <f>($W1099)*(T1099)</f>
      </c>
      <c r="Y1099" s="7">
        <f>($W1099)*(U1099)</f>
      </c>
      <c r="Z1099" s="7">
        <f>SQRT(X1099^2+Y1099^2)</f>
      </c>
      <c r="AA1099" s="7">
        <f>$K1099+$X1099</f>
      </c>
      <c r="AB1099" s="7">
        <f>$L1099+$Y1099</f>
      </c>
      <c r="AC1099" s="7">
        <f>$K1099-$X1099</f>
      </c>
      <c r="AD1099" s="7">
        <f>$L1099-$Y1099</f>
      </c>
      <c r="AE1099" s="7">
        <f>AA1099/39.3701</f>
      </c>
      <c r="AF1099" s="7">
        <f>AB1099/39.3701</f>
      </c>
      <c r="AG1099" s="7">
        <f>AC1099/39.3701</f>
      </c>
      <c r="AH1099" s="7">
        <f>AD1099/39.3701</f>
      </c>
      <c r="AI1099" s="1"/>
      <c r="AJ1099" s="1"/>
      <c r="AK1099" s="1"/>
      <c r="AL1099" s="1"/>
      <c r="AM1099" s="2"/>
      <c r="AN1099" s="1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  <c r="BA1099" s="1"/>
      <c r="BB1099" s="1"/>
      <c r="BC1099" s="1"/>
      <c r="BD1099" s="1"/>
      <c r="BE1099" s="1"/>
    </row>
    <row x14ac:dyDescent="0.25" r="1100" customHeight="1" ht="18.75">
      <c r="A1100" s="1"/>
      <c r="B1100" s="2"/>
      <c r="C1100" s="2"/>
      <c r="D1100" s="2"/>
      <c r="E1100" s="2"/>
      <c r="F1100" s="2"/>
      <c r="G1100" s="1"/>
      <c r="H1100" s="1"/>
      <c r="I1100" s="7">
        <v>1.097</v>
      </c>
      <c r="J1100" s="7">
        <f>IF((I1100-ROUNDDOWN(I1100,0))=0, 0, (I1100-ROUNDDOWN(I1100,0)))</f>
      </c>
      <c r="K1100" s="7">
        <f>INDIRECT("C$"&amp;2+MIN(2,ROUNDDOWN(I1100,0))*3)*(-$J1100^3+3*$J1100^2-3*$J1100+1)+INDIRECT("C$"&amp;3+MIN(2,ROUNDDOWN(I1100,0))*3)*(3*$J1100^3-6*$J1100^2+3*$J1100)+INDIRECT("C$"&amp;4+MIN(2,ROUNDDOWN(I1100,0))*3)*(-3*$J1100^3+3*$J1100^2)+INDIRECT("C$"&amp;5+MIN(2,ROUNDDOWN(I1100,0))*3)*$J1100^3</f>
      </c>
      <c r="L1100" s="7">
        <f>INDIRECT("D$"&amp;2+MIN(2,ROUNDDOWN(I1100,0))*3)*(-$J1100^3+3*$J1100^2-3*$J1100+1)+INDIRECT("D$"&amp;3+MIN(2,ROUNDDOWN(I1100,0))*3)*(3*$J1100^3-6*$J1100^2+3*$J1100)+INDIRECT("D$"&amp;4+MIN(2,ROUNDDOWN(I1100,0))*3)*(-3*$J1100^3+3*$J1100^2)+INDIRECT("D$"&amp;5+MIN(2,ROUNDDOWN(I1100,0))*3)*$J1100^3</f>
      </c>
      <c r="M1100" s="7">
        <f>SQRT(K1100^2+L1100^2)</f>
      </c>
      <c r="N1100" s="7">
        <f>(K1101-K1099)</f>
      </c>
      <c r="O1100" s="7">
        <f>+(L1101-L1099)</f>
      </c>
      <c r="P1100" s="7">
        <f>SQRT(O1100^2+N1100^2)</f>
      </c>
      <c r="Q1100" s="7">
        <f>N1100/$P1100</f>
      </c>
      <c r="R1100" s="7">
        <f>O1100/$P1100</f>
      </c>
      <c r="S1100" s="8">
        <f>Q1100^2+R1100^2</f>
      </c>
      <c r="T1100" s="7">
        <f>-R1100</f>
      </c>
      <c r="U1100" s="7">
        <f>Q1100</f>
      </c>
      <c r="V1100" s="7">
        <f>($C$14+($C$15-$C$14)/($D$15-$D$14)*(I1100-$D$14))/2</f>
      </c>
      <c r="W1100" s="7">
        <f>($B$22*I1100^4+$C$22*I1100^3+$D$22*I1100^2+$E$22*I1100+$F$22)/2</f>
      </c>
      <c r="X1100" s="7">
        <f>($W1100)*(T1100)</f>
      </c>
      <c r="Y1100" s="7">
        <f>($W1100)*(U1100)</f>
      </c>
      <c r="Z1100" s="7">
        <f>SQRT(X1100^2+Y1100^2)</f>
      </c>
      <c r="AA1100" s="7">
        <f>$K1100+$X1100</f>
      </c>
      <c r="AB1100" s="7">
        <f>$L1100+$Y1100</f>
      </c>
      <c r="AC1100" s="7">
        <f>$K1100-$X1100</f>
      </c>
      <c r="AD1100" s="7">
        <f>$L1100-$Y1100</f>
      </c>
      <c r="AE1100" s="7">
        <f>AA1100/39.3701</f>
      </c>
      <c r="AF1100" s="7">
        <f>AB1100/39.3701</f>
      </c>
      <c r="AG1100" s="7">
        <f>AC1100/39.3701</f>
      </c>
      <c r="AH1100" s="7">
        <f>AD1100/39.3701</f>
      </c>
      <c r="AI1100" s="1"/>
      <c r="AJ1100" s="1"/>
      <c r="AK1100" s="1"/>
      <c r="AL1100" s="1"/>
      <c r="AM1100" s="2"/>
      <c r="AN1100" s="1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  <c r="BA1100" s="1"/>
      <c r="BB1100" s="1"/>
      <c r="BC1100" s="1"/>
      <c r="BD1100" s="1"/>
      <c r="BE1100" s="1"/>
    </row>
    <row x14ac:dyDescent="0.25" r="1101" customHeight="1" ht="18.75">
      <c r="A1101" s="1"/>
      <c r="B1101" s="2"/>
      <c r="C1101" s="2"/>
      <c r="D1101" s="2"/>
      <c r="E1101" s="2"/>
      <c r="F1101" s="2"/>
      <c r="G1101" s="1"/>
      <c r="H1101" s="1"/>
      <c r="I1101" s="7">
        <v>1.098</v>
      </c>
      <c r="J1101" s="7">
        <f>IF((I1101-ROUNDDOWN(I1101,0))=0, 0, (I1101-ROUNDDOWN(I1101,0)))</f>
      </c>
      <c r="K1101" s="7">
        <f>INDIRECT("C$"&amp;2+MIN(2,ROUNDDOWN(I1101,0))*3)*(-$J1101^3+3*$J1101^2-3*$J1101+1)+INDIRECT("C$"&amp;3+MIN(2,ROUNDDOWN(I1101,0))*3)*(3*$J1101^3-6*$J1101^2+3*$J1101)+INDIRECT("C$"&amp;4+MIN(2,ROUNDDOWN(I1101,0))*3)*(-3*$J1101^3+3*$J1101^2)+INDIRECT("C$"&amp;5+MIN(2,ROUNDDOWN(I1101,0))*3)*$J1101^3</f>
      </c>
      <c r="L1101" s="7">
        <f>INDIRECT("D$"&amp;2+MIN(2,ROUNDDOWN(I1101,0))*3)*(-$J1101^3+3*$J1101^2-3*$J1101+1)+INDIRECT("D$"&amp;3+MIN(2,ROUNDDOWN(I1101,0))*3)*(3*$J1101^3-6*$J1101^2+3*$J1101)+INDIRECT("D$"&amp;4+MIN(2,ROUNDDOWN(I1101,0))*3)*(-3*$J1101^3+3*$J1101^2)+INDIRECT("D$"&amp;5+MIN(2,ROUNDDOWN(I1101,0))*3)*$J1101^3</f>
      </c>
      <c r="M1101" s="7">
        <f>SQRT(K1101^2+L1101^2)</f>
      </c>
      <c r="N1101" s="7">
        <f>(K1102-K1100)</f>
      </c>
      <c r="O1101" s="7">
        <f>+(L1102-L1100)</f>
      </c>
      <c r="P1101" s="7">
        <f>SQRT(O1101^2+N1101^2)</f>
      </c>
      <c r="Q1101" s="7">
        <f>N1101/$P1101</f>
      </c>
      <c r="R1101" s="7">
        <f>O1101/$P1101</f>
      </c>
      <c r="S1101" s="8">
        <f>Q1101^2+R1101^2</f>
      </c>
      <c r="T1101" s="7">
        <f>-R1101</f>
      </c>
      <c r="U1101" s="7">
        <f>Q1101</f>
      </c>
      <c r="V1101" s="7">
        <f>($C$14+($C$15-$C$14)/($D$15-$D$14)*(I1101-$D$14))/2</f>
      </c>
      <c r="W1101" s="7">
        <f>($B$22*I1101^4+$C$22*I1101^3+$D$22*I1101^2+$E$22*I1101+$F$22)/2</f>
      </c>
      <c r="X1101" s="7">
        <f>($W1101)*(T1101)</f>
      </c>
      <c r="Y1101" s="7">
        <f>($W1101)*(U1101)</f>
      </c>
      <c r="Z1101" s="7">
        <f>SQRT(X1101^2+Y1101^2)</f>
      </c>
      <c r="AA1101" s="7">
        <f>$K1101+$X1101</f>
      </c>
      <c r="AB1101" s="7">
        <f>$L1101+$Y1101</f>
      </c>
      <c r="AC1101" s="7">
        <f>$K1101-$X1101</f>
      </c>
      <c r="AD1101" s="7">
        <f>$L1101-$Y1101</f>
      </c>
      <c r="AE1101" s="7">
        <f>AA1101/39.3701</f>
      </c>
      <c r="AF1101" s="7">
        <f>AB1101/39.3701</f>
      </c>
      <c r="AG1101" s="7">
        <f>AC1101/39.3701</f>
      </c>
      <c r="AH1101" s="7">
        <f>AD1101/39.3701</f>
      </c>
      <c r="AI1101" s="1"/>
      <c r="AJ1101" s="1"/>
      <c r="AK1101" s="1"/>
      <c r="AL1101" s="1"/>
      <c r="AM1101" s="2"/>
      <c r="AN1101" s="1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  <c r="BA1101" s="1"/>
      <c r="BB1101" s="1"/>
      <c r="BC1101" s="1"/>
      <c r="BD1101" s="1"/>
      <c r="BE1101" s="1"/>
    </row>
    <row x14ac:dyDescent="0.25" r="1102" customHeight="1" ht="18.75">
      <c r="A1102" s="1"/>
      <c r="B1102" s="2"/>
      <c r="C1102" s="2"/>
      <c r="D1102" s="2"/>
      <c r="E1102" s="2"/>
      <c r="F1102" s="2"/>
      <c r="G1102" s="1"/>
      <c r="H1102" s="1"/>
      <c r="I1102" s="7">
        <v>1.099</v>
      </c>
      <c r="J1102" s="7">
        <f>IF((I1102-ROUNDDOWN(I1102,0))=0, 0, (I1102-ROUNDDOWN(I1102,0)))</f>
      </c>
      <c r="K1102" s="7">
        <f>INDIRECT("C$"&amp;2+MIN(2,ROUNDDOWN(I1102,0))*3)*(-$J1102^3+3*$J1102^2-3*$J1102+1)+INDIRECT("C$"&amp;3+MIN(2,ROUNDDOWN(I1102,0))*3)*(3*$J1102^3-6*$J1102^2+3*$J1102)+INDIRECT("C$"&amp;4+MIN(2,ROUNDDOWN(I1102,0))*3)*(-3*$J1102^3+3*$J1102^2)+INDIRECT("C$"&amp;5+MIN(2,ROUNDDOWN(I1102,0))*3)*$J1102^3</f>
      </c>
      <c r="L1102" s="7">
        <f>INDIRECT("D$"&amp;2+MIN(2,ROUNDDOWN(I1102,0))*3)*(-$J1102^3+3*$J1102^2-3*$J1102+1)+INDIRECT("D$"&amp;3+MIN(2,ROUNDDOWN(I1102,0))*3)*(3*$J1102^3-6*$J1102^2+3*$J1102)+INDIRECT("D$"&amp;4+MIN(2,ROUNDDOWN(I1102,0))*3)*(-3*$J1102^3+3*$J1102^2)+INDIRECT("D$"&amp;5+MIN(2,ROUNDDOWN(I1102,0))*3)*$J1102^3</f>
      </c>
      <c r="M1102" s="7">
        <f>SQRT(K1102^2+L1102^2)</f>
      </c>
      <c r="N1102" s="7">
        <f>(K1103-K1101)</f>
      </c>
      <c r="O1102" s="7">
        <f>+(L1103-L1101)</f>
      </c>
      <c r="P1102" s="7">
        <f>SQRT(O1102^2+N1102^2)</f>
      </c>
      <c r="Q1102" s="7">
        <f>N1102/$P1102</f>
      </c>
      <c r="R1102" s="7">
        <f>O1102/$P1102</f>
      </c>
      <c r="S1102" s="8">
        <f>Q1102^2+R1102^2</f>
      </c>
      <c r="T1102" s="7">
        <f>-R1102</f>
      </c>
      <c r="U1102" s="7">
        <f>Q1102</f>
      </c>
      <c r="V1102" s="7">
        <f>($C$14+($C$15-$C$14)/($D$15-$D$14)*(I1102-$D$14))/2</f>
      </c>
      <c r="W1102" s="7">
        <f>($B$22*I1102^4+$C$22*I1102^3+$D$22*I1102^2+$E$22*I1102+$F$22)/2</f>
      </c>
      <c r="X1102" s="7">
        <f>($W1102)*(T1102)</f>
      </c>
      <c r="Y1102" s="7">
        <f>($W1102)*(U1102)</f>
      </c>
      <c r="Z1102" s="7">
        <f>SQRT(X1102^2+Y1102^2)</f>
      </c>
      <c r="AA1102" s="7">
        <f>$K1102+$X1102</f>
      </c>
      <c r="AB1102" s="7">
        <f>$L1102+$Y1102</f>
      </c>
      <c r="AC1102" s="7">
        <f>$K1102-$X1102</f>
      </c>
      <c r="AD1102" s="7">
        <f>$L1102-$Y1102</f>
      </c>
      <c r="AE1102" s="7">
        <f>AA1102/39.3701</f>
      </c>
      <c r="AF1102" s="7">
        <f>AB1102/39.3701</f>
      </c>
      <c r="AG1102" s="7">
        <f>AC1102/39.3701</f>
      </c>
      <c r="AH1102" s="7">
        <f>AD1102/39.3701</f>
      </c>
      <c r="AI1102" s="1"/>
      <c r="AJ1102" s="1"/>
      <c r="AK1102" s="1"/>
      <c r="AL1102" s="1"/>
      <c r="AM1102" s="2"/>
      <c r="AN1102" s="1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  <c r="BA1102" s="1"/>
      <c r="BB1102" s="1"/>
      <c r="BC1102" s="1"/>
      <c r="BD1102" s="1"/>
      <c r="BE1102" s="1"/>
    </row>
    <row x14ac:dyDescent="0.25" r="1103" customHeight="1" ht="18.75">
      <c r="A1103" s="1"/>
      <c r="B1103" s="2"/>
      <c r="C1103" s="2"/>
      <c r="D1103" s="2"/>
      <c r="E1103" s="2"/>
      <c r="F1103" s="2"/>
      <c r="G1103" s="1"/>
      <c r="H1103" s="1"/>
      <c r="I1103" s="7">
        <v>1.1</v>
      </c>
      <c r="J1103" s="7">
        <f>IF((I1103-ROUNDDOWN(I1103,0))=0, 0, (I1103-ROUNDDOWN(I1103,0)))</f>
      </c>
      <c r="K1103" s="7">
        <f>INDIRECT("C$"&amp;2+MIN(2,ROUNDDOWN(I1103,0))*3)*(-$J1103^3+3*$J1103^2-3*$J1103+1)+INDIRECT("C$"&amp;3+MIN(2,ROUNDDOWN(I1103,0))*3)*(3*$J1103^3-6*$J1103^2+3*$J1103)+INDIRECT("C$"&amp;4+MIN(2,ROUNDDOWN(I1103,0))*3)*(-3*$J1103^3+3*$J1103^2)+INDIRECT("C$"&amp;5+MIN(2,ROUNDDOWN(I1103,0))*3)*$J1103^3</f>
      </c>
      <c r="L1103" s="7">
        <f>INDIRECT("D$"&amp;2+MIN(2,ROUNDDOWN(I1103,0))*3)*(-$J1103^3+3*$J1103^2-3*$J1103+1)+INDIRECT("D$"&amp;3+MIN(2,ROUNDDOWN(I1103,0))*3)*(3*$J1103^3-6*$J1103^2+3*$J1103)+INDIRECT("D$"&amp;4+MIN(2,ROUNDDOWN(I1103,0))*3)*(-3*$J1103^3+3*$J1103^2)+INDIRECT("D$"&amp;5+MIN(2,ROUNDDOWN(I1103,0))*3)*$J1103^3</f>
      </c>
      <c r="M1103" s="7">
        <f>SQRT(K1103^2+L1103^2)</f>
      </c>
      <c r="N1103" s="7">
        <f>(K1104-K1102)</f>
      </c>
      <c r="O1103" s="7">
        <f>+(L1104-L1102)</f>
      </c>
      <c r="P1103" s="7">
        <f>SQRT(O1103^2+N1103^2)</f>
      </c>
      <c r="Q1103" s="7">
        <f>N1103/$P1103</f>
      </c>
      <c r="R1103" s="7">
        <f>O1103/$P1103</f>
      </c>
      <c r="S1103" s="8">
        <f>Q1103^2+R1103^2</f>
      </c>
      <c r="T1103" s="7">
        <f>-R1103</f>
      </c>
      <c r="U1103" s="7">
        <f>Q1103</f>
      </c>
      <c r="V1103" s="7">
        <f>($C$14+($C$15-$C$14)/($D$15-$D$14)*(I1103-$D$14))/2</f>
      </c>
      <c r="W1103" s="7">
        <f>($B$22*I1103^4+$C$22*I1103^3+$D$22*I1103^2+$E$22*I1103+$F$22)/2</f>
      </c>
      <c r="X1103" s="7">
        <f>($W1103)*(T1103)</f>
      </c>
      <c r="Y1103" s="7">
        <f>($W1103)*(U1103)</f>
      </c>
      <c r="Z1103" s="7">
        <f>SQRT(X1103^2+Y1103^2)</f>
      </c>
      <c r="AA1103" s="7">
        <f>$K1103+$X1103</f>
      </c>
      <c r="AB1103" s="7">
        <f>$L1103+$Y1103</f>
      </c>
      <c r="AC1103" s="7">
        <f>$K1103-$X1103</f>
      </c>
      <c r="AD1103" s="7">
        <f>$L1103-$Y1103</f>
      </c>
      <c r="AE1103" s="7">
        <f>AA1103/39.3701</f>
      </c>
      <c r="AF1103" s="7">
        <f>AB1103/39.3701</f>
      </c>
      <c r="AG1103" s="7">
        <f>AC1103/39.3701</f>
      </c>
      <c r="AH1103" s="7">
        <f>AD1103/39.3701</f>
      </c>
      <c r="AI1103" s="1"/>
      <c r="AJ1103" s="1"/>
      <c r="AK1103" s="1"/>
      <c r="AL1103" s="1"/>
      <c r="AM1103" s="2"/>
      <c r="AN1103" s="1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  <c r="BA1103" s="1"/>
      <c r="BB1103" s="1"/>
      <c r="BC1103" s="1"/>
      <c r="BD1103" s="1"/>
      <c r="BE1103" s="1"/>
    </row>
    <row x14ac:dyDescent="0.25" r="1104" customHeight="1" ht="18.75">
      <c r="A1104" s="1"/>
      <c r="B1104" s="2"/>
      <c r="C1104" s="2"/>
      <c r="D1104" s="2"/>
      <c r="E1104" s="2"/>
      <c r="F1104" s="2"/>
      <c r="G1104" s="1"/>
      <c r="H1104" s="1"/>
      <c r="I1104" s="7">
        <v>1.101</v>
      </c>
      <c r="J1104" s="7">
        <f>IF((I1104-ROUNDDOWN(I1104,0))=0, 0, (I1104-ROUNDDOWN(I1104,0)))</f>
      </c>
      <c r="K1104" s="7">
        <f>INDIRECT("C$"&amp;2+MIN(2,ROUNDDOWN(I1104,0))*3)*(-$J1104^3+3*$J1104^2-3*$J1104+1)+INDIRECT("C$"&amp;3+MIN(2,ROUNDDOWN(I1104,0))*3)*(3*$J1104^3-6*$J1104^2+3*$J1104)+INDIRECT("C$"&amp;4+MIN(2,ROUNDDOWN(I1104,0))*3)*(-3*$J1104^3+3*$J1104^2)+INDIRECT("C$"&amp;5+MIN(2,ROUNDDOWN(I1104,0))*3)*$J1104^3</f>
      </c>
      <c r="L1104" s="7">
        <f>INDIRECT("D$"&amp;2+MIN(2,ROUNDDOWN(I1104,0))*3)*(-$J1104^3+3*$J1104^2-3*$J1104+1)+INDIRECT("D$"&amp;3+MIN(2,ROUNDDOWN(I1104,0))*3)*(3*$J1104^3-6*$J1104^2+3*$J1104)+INDIRECT("D$"&amp;4+MIN(2,ROUNDDOWN(I1104,0))*3)*(-3*$J1104^3+3*$J1104^2)+INDIRECT("D$"&amp;5+MIN(2,ROUNDDOWN(I1104,0))*3)*$J1104^3</f>
      </c>
      <c r="M1104" s="7">
        <f>SQRT(K1104^2+L1104^2)</f>
      </c>
      <c r="N1104" s="7">
        <f>(K1105-K1103)</f>
      </c>
      <c r="O1104" s="7">
        <f>+(L1105-L1103)</f>
      </c>
      <c r="P1104" s="7">
        <f>SQRT(O1104^2+N1104^2)</f>
      </c>
      <c r="Q1104" s="7">
        <f>N1104/$P1104</f>
      </c>
      <c r="R1104" s="7">
        <f>O1104/$P1104</f>
      </c>
      <c r="S1104" s="8">
        <f>Q1104^2+R1104^2</f>
      </c>
      <c r="T1104" s="7">
        <f>-R1104</f>
      </c>
      <c r="U1104" s="7">
        <f>Q1104</f>
      </c>
      <c r="V1104" s="7">
        <f>($C$14+($C$15-$C$14)/($D$15-$D$14)*(I1104-$D$14))/2</f>
      </c>
      <c r="W1104" s="7">
        <f>($B$22*I1104^4+$C$22*I1104^3+$D$22*I1104^2+$E$22*I1104+$F$22)/2</f>
      </c>
      <c r="X1104" s="7">
        <f>($W1104)*(T1104)</f>
      </c>
      <c r="Y1104" s="7">
        <f>($W1104)*(U1104)</f>
      </c>
      <c r="Z1104" s="7">
        <f>SQRT(X1104^2+Y1104^2)</f>
      </c>
      <c r="AA1104" s="7">
        <f>$K1104+$X1104</f>
      </c>
      <c r="AB1104" s="7">
        <f>$L1104+$Y1104</f>
      </c>
      <c r="AC1104" s="7">
        <f>$K1104-$X1104</f>
      </c>
      <c r="AD1104" s="7">
        <f>$L1104-$Y1104</f>
      </c>
      <c r="AE1104" s="7">
        <f>AA1104/39.3701</f>
      </c>
      <c r="AF1104" s="7">
        <f>AB1104/39.3701</f>
      </c>
      <c r="AG1104" s="7">
        <f>AC1104/39.3701</f>
      </c>
      <c r="AH1104" s="7">
        <f>AD1104/39.3701</f>
      </c>
      <c r="AI1104" s="1"/>
      <c r="AJ1104" s="1"/>
      <c r="AK1104" s="1"/>
      <c r="AL1104" s="1"/>
      <c r="AM1104" s="2"/>
      <c r="AN1104" s="1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  <c r="BA1104" s="1"/>
      <c r="BB1104" s="1"/>
      <c r="BC1104" s="1"/>
      <c r="BD1104" s="1"/>
      <c r="BE1104" s="1"/>
    </row>
    <row x14ac:dyDescent="0.25" r="1105" customHeight="1" ht="18.75">
      <c r="A1105" s="1"/>
      <c r="B1105" s="2"/>
      <c r="C1105" s="2"/>
      <c r="D1105" s="2"/>
      <c r="E1105" s="2"/>
      <c r="F1105" s="2"/>
      <c r="G1105" s="1"/>
      <c r="H1105" s="1"/>
      <c r="I1105" s="7">
        <v>1.102</v>
      </c>
      <c r="J1105" s="7">
        <f>IF((I1105-ROUNDDOWN(I1105,0))=0, 0, (I1105-ROUNDDOWN(I1105,0)))</f>
      </c>
      <c r="K1105" s="7">
        <f>INDIRECT("C$"&amp;2+MIN(2,ROUNDDOWN(I1105,0))*3)*(-$J1105^3+3*$J1105^2-3*$J1105+1)+INDIRECT("C$"&amp;3+MIN(2,ROUNDDOWN(I1105,0))*3)*(3*$J1105^3-6*$J1105^2+3*$J1105)+INDIRECT("C$"&amp;4+MIN(2,ROUNDDOWN(I1105,0))*3)*(-3*$J1105^3+3*$J1105^2)+INDIRECT("C$"&amp;5+MIN(2,ROUNDDOWN(I1105,0))*3)*$J1105^3</f>
      </c>
      <c r="L1105" s="7">
        <f>INDIRECT("D$"&amp;2+MIN(2,ROUNDDOWN(I1105,0))*3)*(-$J1105^3+3*$J1105^2-3*$J1105+1)+INDIRECT("D$"&amp;3+MIN(2,ROUNDDOWN(I1105,0))*3)*(3*$J1105^3-6*$J1105^2+3*$J1105)+INDIRECT("D$"&amp;4+MIN(2,ROUNDDOWN(I1105,0))*3)*(-3*$J1105^3+3*$J1105^2)+INDIRECT("D$"&amp;5+MIN(2,ROUNDDOWN(I1105,0))*3)*$J1105^3</f>
      </c>
      <c r="M1105" s="7">
        <f>SQRT(K1105^2+L1105^2)</f>
      </c>
      <c r="N1105" s="7">
        <f>(K1106-K1104)</f>
      </c>
      <c r="O1105" s="7">
        <f>+(L1106-L1104)</f>
      </c>
      <c r="P1105" s="7">
        <f>SQRT(O1105^2+N1105^2)</f>
      </c>
      <c r="Q1105" s="7">
        <f>N1105/$P1105</f>
      </c>
      <c r="R1105" s="7">
        <f>O1105/$P1105</f>
      </c>
      <c r="S1105" s="7">
        <f>Q1105^2+R1105^2</f>
      </c>
      <c r="T1105" s="7">
        <f>-R1105</f>
      </c>
      <c r="U1105" s="7">
        <f>Q1105</f>
      </c>
      <c r="V1105" s="7">
        <f>($C$14+($C$15-$C$14)/($D$15-$D$14)*(I1105-$D$14))/2</f>
      </c>
      <c r="W1105" s="7">
        <f>($B$22*I1105^4+$C$22*I1105^3+$D$22*I1105^2+$E$22*I1105+$F$22)/2</f>
      </c>
      <c r="X1105" s="7">
        <f>($W1105)*(T1105)</f>
      </c>
      <c r="Y1105" s="7">
        <f>($W1105)*(U1105)</f>
      </c>
      <c r="Z1105" s="7">
        <f>SQRT(X1105^2+Y1105^2)</f>
      </c>
      <c r="AA1105" s="7">
        <f>$K1105+$X1105</f>
      </c>
      <c r="AB1105" s="7">
        <f>$L1105+$Y1105</f>
      </c>
      <c r="AC1105" s="7">
        <f>$K1105-$X1105</f>
      </c>
      <c r="AD1105" s="7">
        <f>$L1105-$Y1105</f>
      </c>
      <c r="AE1105" s="7">
        <f>AA1105/39.3701</f>
      </c>
      <c r="AF1105" s="7">
        <f>AB1105/39.3701</f>
      </c>
      <c r="AG1105" s="7">
        <f>AC1105/39.3701</f>
      </c>
      <c r="AH1105" s="7">
        <f>AD1105/39.3701</f>
      </c>
      <c r="AI1105" s="1"/>
      <c r="AJ1105" s="1"/>
      <c r="AK1105" s="1"/>
      <c r="AL1105" s="1"/>
      <c r="AM1105" s="2"/>
      <c r="AN1105" s="1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  <c r="BA1105" s="1"/>
      <c r="BB1105" s="1"/>
      <c r="BC1105" s="1"/>
      <c r="BD1105" s="1"/>
      <c r="BE1105" s="1"/>
    </row>
    <row x14ac:dyDescent="0.25" r="1106" customHeight="1" ht="18.75">
      <c r="A1106" s="1"/>
      <c r="B1106" s="2"/>
      <c r="C1106" s="2"/>
      <c r="D1106" s="2"/>
      <c r="E1106" s="2"/>
      <c r="F1106" s="2"/>
      <c r="G1106" s="1"/>
      <c r="H1106" s="1"/>
      <c r="I1106" s="7">
        <v>1.103</v>
      </c>
      <c r="J1106" s="7">
        <f>IF((I1106-ROUNDDOWN(I1106,0))=0, 0, (I1106-ROUNDDOWN(I1106,0)))</f>
      </c>
      <c r="K1106" s="7">
        <f>INDIRECT("C$"&amp;2+MIN(2,ROUNDDOWN(I1106,0))*3)*(-$J1106^3+3*$J1106^2-3*$J1106+1)+INDIRECT("C$"&amp;3+MIN(2,ROUNDDOWN(I1106,0))*3)*(3*$J1106^3-6*$J1106^2+3*$J1106)+INDIRECT("C$"&amp;4+MIN(2,ROUNDDOWN(I1106,0))*3)*(-3*$J1106^3+3*$J1106^2)+INDIRECT("C$"&amp;5+MIN(2,ROUNDDOWN(I1106,0))*3)*$J1106^3</f>
      </c>
      <c r="L1106" s="7">
        <f>INDIRECT("D$"&amp;2+MIN(2,ROUNDDOWN(I1106,0))*3)*(-$J1106^3+3*$J1106^2-3*$J1106+1)+INDIRECT("D$"&amp;3+MIN(2,ROUNDDOWN(I1106,0))*3)*(3*$J1106^3-6*$J1106^2+3*$J1106)+INDIRECT("D$"&amp;4+MIN(2,ROUNDDOWN(I1106,0))*3)*(-3*$J1106^3+3*$J1106^2)+INDIRECT("D$"&amp;5+MIN(2,ROUNDDOWN(I1106,0))*3)*$J1106^3</f>
      </c>
      <c r="M1106" s="7">
        <f>SQRT(K1106^2+L1106^2)</f>
      </c>
      <c r="N1106" s="7">
        <f>(K1107-K1105)</f>
      </c>
      <c r="O1106" s="7">
        <f>+(L1107-L1105)</f>
      </c>
      <c r="P1106" s="7">
        <f>SQRT(O1106^2+N1106^2)</f>
      </c>
      <c r="Q1106" s="7">
        <f>N1106/$P1106</f>
      </c>
      <c r="R1106" s="7">
        <f>O1106/$P1106</f>
      </c>
      <c r="S1106" s="8">
        <f>Q1106^2+R1106^2</f>
      </c>
      <c r="T1106" s="7">
        <f>-R1106</f>
      </c>
      <c r="U1106" s="7">
        <f>Q1106</f>
      </c>
      <c r="V1106" s="7">
        <f>($C$14+($C$15-$C$14)/($D$15-$D$14)*(I1106-$D$14))/2</f>
      </c>
      <c r="W1106" s="7">
        <f>($B$22*I1106^4+$C$22*I1106^3+$D$22*I1106^2+$E$22*I1106+$F$22)/2</f>
      </c>
      <c r="X1106" s="7">
        <f>($W1106)*(T1106)</f>
      </c>
      <c r="Y1106" s="7">
        <f>($W1106)*(U1106)</f>
      </c>
      <c r="Z1106" s="7">
        <f>SQRT(X1106^2+Y1106^2)</f>
      </c>
      <c r="AA1106" s="7">
        <f>$K1106+$X1106</f>
      </c>
      <c r="AB1106" s="7">
        <f>$L1106+$Y1106</f>
      </c>
      <c r="AC1106" s="7">
        <f>$K1106-$X1106</f>
      </c>
      <c r="AD1106" s="7">
        <f>$L1106-$Y1106</f>
      </c>
      <c r="AE1106" s="7">
        <f>AA1106/39.3701</f>
      </c>
      <c r="AF1106" s="7">
        <f>AB1106/39.3701</f>
      </c>
      <c r="AG1106" s="7">
        <f>AC1106/39.3701</f>
      </c>
      <c r="AH1106" s="7">
        <f>AD1106/39.3701</f>
      </c>
      <c r="AI1106" s="1"/>
      <c r="AJ1106" s="1"/>
      <c r="AK1106" s="1"/>
      <c r="AL1106" s="1"/>
      <c r="AM1106" s="2"/>
      <c r="AN1106" s="1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  <c r="BA1106" s="1"/>
      <c r="BB1106" s="1"/>
      <c r="BC1106" s="1"/>
      <c r="BD1106" s="1"/>
      <c r="BE1106" s="1"/>
    </row>
    <row x14ac:dyDescent="0.25" r="1107" customHeight="1" ht="18.75">
      <c r="A1107" s="1"/>
      <c r="B1107" s="2"/>
      <c r="C1107" s="2"/>
      <c r="D1107" s="2"/>
      <c r="E1107" s="2"/>
      <c r="F1107" s="2"/>
      <c r="G1107" s="1"/>
      <c r="H1107" s="1"/>
      <c r="I1107" s="7">
        <v>1.104</v>
      </c>
      <c r="J1107" s="7">
        <f>IF((I1107-ROUNDDOWN(I1107,0))=0, 0, (I1107-ROUNDDOWN(I1107,0)))</f>
      </c>
      <c r="K1107" s="7">
        <f>INDIRECT("C$"&amp;2+MIN(2,ROUNDDOWN(I1107,0))*3)*(-$J1107^3+3*$J1107^2-3*$J1107+1)+INDIRECT("C$"&amp;3+MIN(2,ROUNDDOWN(I1107,0))*3)*(3*$J1107^3-6*$J1107^2+3*$J1107)+INDIRECT("C$"&amp;4+MIN(2,ROUNDDOWN(I1107,0))*3)*(-3*$J1107^3+3*$J1107^2)+INDIRECT("C$"&amp;5+MIN(2,ROUNDDOWN(I1107,0))*3)*$J1107^3</f>
      </c>
      <c r="L1107" s="7">
        <f>INDIRECT("D$"&amp;2+MIN(2,ROUNDDOWN(I1107,0))*3)*(-$J1107^3+3*$J1107^2-3*$J1107+1)+INDIRECT("D$"&amp;3+MIN(2,ROUNDDOWN(I1107,0))*3)*(3*$J1107^3-6*$J1107^2+3*$J1107)+INDIRECT("D$"&amp;4+MIN(2,ROUNDDOWN(I1107,0))*3)*(-3*$J1107^3+3*$J1107^2)+INDIRECT("D$"&amp;5+MIN(2,ROUNDDOWN(I1107,0))*3)*$J1107^3</f>
      </c>
      <c r="M1107" s="7">
        <f>SQRT(K1107^2+L1107^2)</f>
      </c>
      <c r="N1107" s="7">
        <f>(K1108-K1106)</f>
      </c>
      <c r="O1107" s="7">
        <f>+(L1108-L1106)</f>
      </c>
      <c r="P1107" s="7">
        <f>SQRT(O1107^2+N1107^2)</f>
      </c>
      <c r="Q1107" s="7">
        <f>N1107/$P1107</f>
      </c>
      <c r="R1107" s="7">
        <f>O1107/$P1107</f>
      </c>
      <c r="S1107" s="8">
        <f>Q1107^2+R1107^2</f>
      </c>
      <c r="T1107" s="7">
        <f>-R1107</f>
      </c>
      <c r="U1107" s="7">
        <f>Q1107</f>
      </c>
      <c r="V1107" s="7">
        <f>($C$14+($C$15-$C$14)/($D$15-$D$14)*(I1107-$D$14))/2</f>
      </c>
      <c r="W1107" s="7">
        <f>($B$22*I1107^4+$C$22*I1107^3+$D$22*I1107^2+$E$22*I1107+$F$22)/2</f>
      </c>
      <c r="X1107" s="7">
        <f>($W1107)*(T1107)</f>
      </c>
      <c r="Y1107" s="7">
        <f>($W1107)*(U1107)</f>
      </c>
      <c r="Z1107" s="7">
        <f>SQRT(X1107^2+Y1107^2)</f>
      </c>
      <c r="AA1107" s="7">
        <f>$K1107+$X1107</f>
      </c>
      <c r="AB1107" s="7">
        <f>$L1107+$Y1107</f>
      </c>
      <c r="AC1107" s="7">
        <f>$K1107-$X1107</f>
      </c>
      <c r="AD1107" s="7">
        <f>$L1107-$Y1107</f>
      </c>
      <c r="AE1107" s="7">
        <f>AA1107/39.3701</f>
      </c>
      <c r="AF1107" s="7">
        <f>AB1107/39.3701</f>
      </c>
      <c r="AG1107" s="7">
        <f>AC1107/39.3701</f>
      </c>
      <c r="AH1107" s="7">
        <f>AD1107/39.3701</f>
      </c>
      <c r="AI1107" s="1"/>
      <c r="AJ1107" s="1"/>
      <c r="AK1107" s="1"/>
      <c r="AL1107" s="1"/>
      <c r="AM1107" s="2"/>
      <c r="AN1107" s="1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  <c r="BA1107" s="1"/>
      <c r="BB1107" s="1"/>
      <c r="BC1107" s="1"/>
      <c r="BD1107" s="1"/>
      <c r="BE1107" s="1"/>
    </row>
    <row x14ac:dyDescent="0.25" r="1108" customHeight="1" ht="18.75">
      <c r="A1108" s="1"/>
      <c r="B1108" s="2"/>
      <c r="C1108" s="2"/>
      <c r="D1108" s="2"/>
      <c r="E1108" s="2"/>
      <c r="F1108" s="2"/>
      <c r="G1108" s="1"/>
      <c r="H1108" s="1"/>
      <c r="I1108" s="7">
        <v>1.105</v>
      </c>
      <c r="J1108" s="7">
        <f>IF((I1108-ROUNDDOWN(I1108,0))=0, 0, (I1108-ROUNDDOWN(I1108,0)))</f>
      </c>
      <c r="K1108" s="7">
        <f>INDIRECT("C$"&amp;2+MIN(2,ROUNDDOWN(I1108,0))*3)*(-$J1108^3+3*$J1108^2-3*$J1108+1)+INDIRECT("C$"&amp;3+MIN(2,ROUNDDOWN(I1108,0))*3)*(3*$J1108^3-6*$J1108^2+3*$J1108)+INDIRECT("C$"&amp;4+MIN(2,ROUNDDOWN(I1108,0))*3)*(-3*$J1108^3+3*$J1108^2)+INDIRECT("C$"&amp;5+MIN(2,ROUNDDOWN(I1108,0))*3)*$J1108^3</f>
      </c>
      <c r="L1108" s="7">
        <f>INDIRECT("D$"&amp;2+MIN(2,ROUNDDOWN(I1108,0))*3)*(-$J1108^3+3*$J1108^2-3*$J1108+1)+INDIRECT("D$"&amp;3+MIN(2,ROUNDDOWN(I1108,0))*3)*(3*$J1108^3-6*$J1108^2+3*$J1108)+INDIRECT("D$"&amp;4+MIN(2,ROUNDDOWN(I1108,0))*3)*(-3*$J1108^3+3*$J1108^2)+INDIRECT("D$"&amp;5+MIN(2,ROUNDDOWN(I1108,0))*3)*$J1108^3</f>
      </c>
      <c r="M1108" s="7">
        <f>SQRT(K1108^2+L1108^2)</f>
      </c>
      <c r="N1108" s="7">
        <f>(K1109-K1107)</f>
      </c>
      <c r="O1108" s="7">
        <f>+(L1109-L1107)</f>
      </c>
      <c r="P1108" s="7">
        <f>SQRT(O1108^2+N1108^2)</f>
      </c>
      <c r="Q1108" s="7">
        <f>N1108/$P1108</f>
      </c>
      <c r="R1108" s="7">
        <f>O1108/$P1108</f>
      </c>
      <c r="S1108" s="7">
        <f>Q1108^2+R1108^2</f>
      </c>
      <c r="T1108" s="7">
        <f>-R1108</f>
      </c>
      <c r="U1108" s="7">
        <f>Q1108</f>
      </c>
      <c r="V1108" s="7">
        <f>($C$14+($C$15-$C$14)/($D$15-$D$14)*(I1108-$D$14))/2</f>
      </c>
      <c r="W1108" s="7">
        <f>($B$22*I1108^4+$C$22*I1108^3+$D$22*I1108^2+$E$22*I1108+$F$22)/2</f>
      </c>
      <c r="X1108" s="7">
        <f>($W1108)*(T1108)</f>
      </c>
      <c r="Y1108" s="7">
        <f>($W1108)*(U1108)</f>
      </c>
      <c r="Z1108" s="7">
        <f>SQRT(X1108^2+Y1108^2)</f>
      </c>
      <c r="AA1108" s="7">
        <f>$K1108+$X1108</f>
      </c>
      <c r="AB1108" s="7">
        <f>$L1108+$Y1108</f>
      </c>
      <c r="AC1108" s="7">
        <f>$K1108-$X1108</f>
      </c>
      <c r="AD1108" s="7">
        <f>$L1108-$Y1108</f>
      </c>
      <c r="AE1108" s="7">
        <f>AA1108/39.3701</f>
      </c>
      <c r="AF1108" s="7">
        <f>AB1108/39.3701</f>
      </c>
      <c r="AG1108" s="7">
        <f>AC1108/39.3701</f>
      </c>
      <c r="AH1108" s="7">
        <f>AD1108/39.3701</f>
      </c>
      <c r="AI1108" s="1"/>
      <c r="AJ1108" s="1"/>
      <c r="AK1108" s="1"/>
      <c r="AL1108" s="1"/>
      <c r="AM1108" s="2"/>
      <c r="AN1108" s="1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  <c r="BA1108" s="1"/>
      <c r="BB1108" s="1"/>
      <c r="BC1108" s="1"/>
      <c r="BD1108" s="1"/>
      <c r="BE1108" s="1"/>
    </row>
    <row x14ac:dyDescent="0.25" r="1109" customHeight="1" ht="18.75">
      <c r="A1109" s="1"/>
      <c r="B1109" s="2"/>
      <c r="C1109" s="2"/>
      <c r="D1109" s="2"/>
      <c r="E1109" s="2"/>
      <c r="F1109" s="2"/>
      <c r="G1109" s="1"/>
      <c r="H1109" s="1"/>
      <c r="I1109" s="7">
        <v>1.106</v>
      </c>
      <c r="J1109" s="7">
        <f>IF((I1109-ROUNDDOWN(I1109,0))=0, 0, (I1109-ROUNDDOWN(I1109,0)))</f>
      </c>
      <c r="K1109" s="7">
        <f>INDIRECT("C$"&amp;2+MIN(2,ROUNDDOWN(I1109,0))*3)*(-$J1109^3+3*$J1109^2-3*$J1109+1)+INDIRECT("C$"&amp;3+MIN(2,ROUNDDOWN(I1109,0))*3)*(3*$J1109^3-6*$J1109^2+3*$J1109)+INDIRECT("C$"&amp;4+MIN(2,ROUNDDOWN(I1109,0))*3)*(-3*$J1109^3+3*$J1109^2)+INDIRECT("C$"&amp;5+MIN(2,ROUNDDOWN(I1109,0))*3)*$J1109^3</f>
      </c>
      <c r="L1109" s="7">
        <f>INDIRECT("D$"&amp;2+MIN(2,ROUNDDOWN(I1109,0))*3)*(-$J1109^3+3*$J1109^2-3*$J1109+1)+INDIRECT("D$"&amp;3+MIN(2,ROUNDDOWN(I1109,0))*3)*(3*$J1109^3-6*$J1109^2+3*$J1109)+INDIRECT("D$"&amp;4+MIN(2,ROUNDDOWN(I1109,0))*3)*(-3*$J1109^3+3*$J1109^2)+INDIRECT("D$"&amp;5+MIN(2,ROUNDDOWN(I1109,0))*3)*$J1109^3</f>
      </c>
      <c r="M1109" s="7">
        <f>SQRT(K1109^2+L1109^2)</f>
      </c>
      <c r="N1109" s="7">
        <f>(K1110-K1108)</f>
      </c>
      <c r="O1109" s="7">
        <f>+(L1110-L1108)</f>
      </c>
      <c r="P1109" s="7">
        <f>SQRT(O1109^2+N1109^2)</f>
      </c>
      <c r="Q1109" s="7">
        <f>N1109/$P1109</f>
      </c>
      <c r="R1109" s="7">
        <f>O1109/$P1109</f>
      </c>
      <c r="S1109" s="7">
        <f>Q1109^2+R1109^2</f>
      </c>
      <c r="T1109" s="7">
        <f>-R1109</f>
      </c>
      <c r="U1109" s="7">
        <f>Q1109</f>
      </c>
      <c r="V1109" s="7">
        <f>($C$14+($C$15-$C$14)/($D$15-$D$14)*(I1109-$D$14))/2</f>
      </c>
      <c r="W1109" s="7">
        <f>($B$22*I1109^4+$C$22*I1109^3+$D$22*I1109^2+$E$22*I1109+$F$22)/2</f>
      </c>
      <c r="X1109" s="7">
        <f>($W1109)*(T1109)</f>
      </c>
      <c r="Y1109" s="7">
        <f>($W1109)*(U1109)</f>
      </c>
      <c r="Z1109" s="7">
        <f>SQRT(X1109^2+Y1109^2)</f>
      </c>
      <c r="AA1109" s="7">
        <f>$K1109+$X1109</f>
      </c>
      <c r="AB1109" s="7">
        <f>$L1109+$Y1109</f>
      </c>
      <c r="AC1109" s="7">
        <f>$K1109-$X1109</f>
      </c>
      <c r="AD1109" s="7">
        <f>$L1109-$Y1109</f>
      </c>
      <c r="AE1109" s="7">
        <f>AA1109/39.3701</f>
      </c>
      <c r="AF1109" s="7">
        <f>AB1109/39.3701</f>
      </c>
      <c r="AG1109" s="7">
        <f>AC1109/39.3701</f>
      </c>
      <c r="AH1109" s="7">
        <f>AD1109/39.3701</f>
      </c>
      <c r="AI1109" s="1"/>
      <c r="AJ1109" s="1"/>
      <c r="AK1109" s="1"/>
      <c r="AL1109" s="1"/>
      <c r="AM1109" s="2"/>
      <c r="AN1109" s="1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  <c r="BA1109" s="1"/>
      <c r="BB1109" s="1"/>
      <c r="BC1109" s="1"/>
      <c r="BD1109" s="1"/>
      <c r="BE1109" s="1"/>
    </row>
    <row x14ac:dyDescent="0.25" r="1110" customHeight="1" ht="18.75">
      <c r="A1110" s="1"/>
      <c r="B1110" s="2"/>
      <c r="C1110" s="2"/>
      <c r="D1110" s="2"/>
      <c r="E1110" s="2"/>
      <c r="F1110" s="2"/>
      <c r="G1110" s="1"/>
      <c r="H1110" s="1"/>
      <c r="I1110" s="7">
        <v>1.107</v>
      </c>
      <c r="J1110" s="7">
        <f>IF((I1110-ROUNDDOWN(I1110,0))=0, 0, (I1110-ROUNDDOWN(I1110,0)))</f>
      </c>
      <c r="K1110" s="7">
        <f>INDIRECT("C$"&amp;2+MIN(2,ROUNDDOWN(I1110,0))*3)*(-$J1110^3+3*$J1110^2-3*$J1110+1)+INDIRECT("C$"&amp;3+MIN(2,ROUNDDOWN(I1110,0))*3)*(3*$J1110^3-6*$J1110^2+3*$J1110)+INDIRECT("C$"&amp;4+MIN(2,ROUNDDOWN(I1110,0))*3)*(-3*$J1110^3+3*$J1110^2)+INDIRECT("C$"&amp;5+MIN(2,ROUNDDOWN(I1110,0))*3)*$J1110^3</f>
      </c>
      <c r="L1110" s="7">
        <f>INDIRECT("D$"&amp;2+MIN(2,ROUNDDOWN(I1110,0))*3)*(-$J1110^3+3*$J1110^2-3*$J1110+1)+INDIRECT("D$"&amp;3+MIN(2,ROUNDDOWN(I1110,0))*3)*(3*$J1110^3-6*$J1110^2+3*$J1110)+INDIRECT("D$"&amp;4+MIN(2,ROUNDDOWN(I1110,0))*3)*(-3*$J1110^3+3*$J1110^2)+INDIRECT("D$"&amp;5+MIN(2,ROUNDDOWN(I1110,0))*3)*$J1110^3</f>
      </c>
      <c r="M1110" s="7">
        <f>SQRT(K1110^2+L1110^2)</f>
      </c>
      <c r="N1110" s="7">
        <f>(K1111-K1109)</f>
      </c>
      <c r="O1110" s="7">
        <f>+(L1111-L1109)</f>
      </c>
      <c r="P1110" s="7">
        <f>SQRT(O1110^2+N1110^2)</f>
      </c>
      <c r="Q1110" s="7">
        <f>N1110/$P1110</f>
      </c>
      <c r="R1110" s="7">
        <f>O1110/$P1110</f>
      </c>
      <c r="S1110" s="7">
        <f>Q1110^2+R1110^2</f>
      </c>
      <c r="T1110" s="7">
        <f>-R1110</f>
      </c>
      <c r="U1110" s="7">
        <f>Q1110</f>
      </c>
      <c r="V1110" s="7">
        <f>($C$14+($C$15-$C$14)/($D$15-$D$14)*(I1110-$D$14))/2</f>
      </c>
      <c r="W1110" s="7">
        <f>($B$22*I1110^4+$C$22*I1110^3+$D$22*I1110^2+$E$22*I1110+$F$22)/2</f>
      </c>
      <c r="X1110" s="7">
        <f>($W1110)*(T1110)</f>
      </c>
      <c r="Y1110" s="7">
        <f>($W1110)*(U1110)</f>
      </c>
      <c r="Z1110" s="7">
        <f>SQRT(X1110^2+Y1110^2)</f>
      </c>
      <c r="AA1110" s="7">
        <f>$K1110+$X1110</f>
      </c>
      <c r="AB1110" s="7">
        <f>$L1110+$Y1110</f>
      </c>
      <c r="AC1110" s="7">
        <f>$K1110-$X1110</f>
      </c>
      <c r="AD1110" s="7">
        <f>$L1110-$Y1110</f>
      </c>
      <c r="AE1110" s="7">
        <f>AA1110/39.3701</f>
      </c>
      <c r="AF1110" s="7">
        <f>AB1110/39.3701</f>
      </c>
      <c r="AG1110" s="7">
        <f>AC1110/39.3701</f>
      </c>
      <c r="AH1110" s="7">
        <f>AD1110/39.3701</f>
      </c>
      <c r="AI1110" s="1"/>
      <c r="AJ1110" s="1"/>
      <c r="AK1110" s="1"/>
      <c r="AL1110" s="1"/>
      <c r="AM1110" s="2"/>
      <c r="AN1110" s="1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  <c r="BA1110" s="1"/>
      <c r="BB1110" s="1"/>
      <c r="BC1110" s="1"/>
      <c r="BD1110" s="1"/>
      <c r="BE1110" s="1"/>
    </row>
    <row x14ac:dyDescent="0.25" r="1111" customHeight="1" ht="18.75">
      <c r="A1111" s="1"/>
      <c r="B1111" s="2"/>
      <c r="C1111" s="2"/>
      <c r="D1111" s="2"/>
      <c r="E1111" s="2"/>
      <c r="F1111" s="2"/>
      <c r="G1111" s="1"/>
      <c r="H1111" s="1"/>
      <c r="I1111" s="7">
        <v>1.108</v>
      </c>
      <c r="J1111" s="7">
        <f>IF((I1111-ROUNDDOWN(I1111,0))=0, 0, (I1111-ROUNDDOWN(I1111,0)))</f>
      </c>
      <c r="K1111" s="7">
        <f>INDIRECT("C$"&amp;2+MIN(2,ROUNDDOWN(I1111,0))*3)*(-$J1111^3+3*$J1111^2-3*$J1111+1)+INDIRECT("C$"&amp;3+MIN(2,ROUNDDOWN(I1111,0))*3)*(3*$J1111^3-6*$J1111^2+3*$J1111)+INDIRECT("C$"&amp;4+MIN(2,ROUNDDOWN(I1111,0))*3)*(-3*$J1111^3+3*$J1111^2)+INDIRECT("C$"&amp;5+MIN(2,ROUNDDOWN(I1111,0))*3)*$J1111^3</f>
      </c>
      <c r="L1111" s="7">
        <f>INDIRECT("D$"&amp;2+MIN(2,ROUNDDOWN(I1111,0))*3)*(-$J1111^3+3*$J1111^2-3*$J1111+1)+INDIRECT("D$"&amp;3+MIN(2,ROUNDDOWN(I1111,0))*3)*(3*$J1111^3-6*$J1111^2+3*$J1111)+INDIRECT("D$"&amp;4+MIN(2,ROUNDDOWN(I1111,0))*3)*(-3*$J1111^3+3*$J1111^2)+INDIRECT("D$"&amp;5+MIN(2,ROUNDDOWN(I1111,0))*3)*$J1111^3</f>
      </c>
      <c r="M1111" s="7">
        <f>SQRT(K1111^2+L1111^2)</f>
      </c>
      <c r="N1111" s="7">
        <f>(K1112-K1110)</f>
      </c>
      <c r="O1111" s="7">
        <f>+(L1112-L1110)</f>
      </c>
      <c r="P1111" s="7">
        <f>SQRT(O1111^2+N1111^2)</f>
      </c>
      <c r="Q1111" s="7">
        <f>N1111/$P1111</f>
      </c>
      <c r="R1111" s="7">
        <f>O1111/$P1111</f>
      </c>
      <c r="S1111" s="8">
        <f>Q1111^2+R1111^2</f>
      </c>
      <c r="T1111" s="7">
        <f>-R1111</f>
      </c>
      <c r="U1111" s="7">
        <f>Q1111</f>
      </c>
      <c r="V1111" s="7">
        <f>($C$14+($C$15-$C$14)/($D$15-$D$14)*(I1111-$D$14))/2</f>
      </c>
      <c r="W1111" s="7">
        <f>($B$22*I1111^4+$C$22*I1111^3+$D$22*I1111^2+$E$22*I1111+$F$22)/2</f>
      </c>
      <c r="X1111" s="7">
        <f>($W1111)*(T1111)</f>
      </c>
      <c r="Y1111" s="7">
        <f>($W1111)*(U1111)</f>
      </c>
      <c r="Z1111" s="7">
        <f>SQRT(X1111^2+Y1111^2)</f>
      </c>
      <c r="AA1111" s="7">
        <f>$K1111+$X1111</f>
      </c>
      <c r="AB1111" s="7">
        <f>$L1111+$Y1111</f>
      </c>
      <c r="AC1111" s="7">
        <f>$K1111-$X1111</f>
      </c>
      <c r="AD1111" s="7">
        <f>$L1111-$Y1111</f>
      </c>
      <c r="AE1111" s="7">
        <f>AA1111/39.3701</f>
      </c>
      <c r="AF1111" s="7">
        <f>AB1111/39.3701</f>
      </c>
      <c r="AG1111" s="7">
        <f>AC1111/39.3701</f>
      </c>
      <c r="AH1111" s="7">
        <f>AD1111/39.3701</f>
      </c>
      <c r="AI1111" s="1"/>
      <c r="AJ1111" s="1"/>
      <c r="AK1111" s="1"/>
      <c r="AL1111" s="1"/>
      <c r="AM1111" s="2"/>
      <c r="AN1111" s="1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  <c r="BA1111" s="1"/>
      <c r="BB1111" s="1"/>
      <c r="BC1111" s="1"/>
      <c r="BD1111" s="1"/>
      <c r="BE1111" s="1"/>
    </row>
    <row x14ac:dyDescent="0.25" r="1112" customHeight="1" ht="18.75">
      <c r="A1112" s="1"/>
      <c r="B1112" s="2"/>
      <c r="C1112" s="2"/>
      <c r="D1112" s="2"/>
      <c r="E1112" s="2"/>
      <c r="F1112" s="2"/>
      <c r="G1112" s="1"/>
      <c r="H1112" s="1"/>
      <c r="I1112" s="7">
        <v>1.109</v>
      </c>
      <c r="J1112" s="7">
        <f>IF((I1112-ROUNDDOWN(I1112,0))=0, 0, (I1112-ROUNDDOWN(I1112,0)))</f>
      </c>
      <c r="K1112" s="7">
        <f>INDIRECT("C$"&amp;2+MIN(2,ROUNDDOWN(I1112,0))*3)*(-$J1112^3+3*$J1112^2-3*$J1112+1)+INDIRECT("C$"&amp;3+MIN(2,ROUNDDOWN(I1112,0))*3)*(3*$J1112^3-6*$J1112^2+3*$J1112)+INDIRECT("C$"&amp;4+MIN(2,ROUNDDOWN(I1112,0))*3)*(-3*$J1112^3+3*$J1112^2)+INDIRECT("C$"&amp;5+MIN(2,ROUNDDOWN(I1112,0))*3)*$J1112^3</f>
      </c>
      <c r="L1112" s="7">
        <f>INDIRECT("D$"&amp;2+MIN(2,ROUNDDOWN(I1112,0))*3)*(-$J1112^3+3*$J1112^2-3*$J1112+1)+INDIRECT("D$"&amp;3+MIN(2,ROUNDDOWN(I1112,0))*3)*(3*$J1112^3-6*$J1112^2+3*$J1112)+INDIRECT("D$"&amp;4+MIN(2,ROUNDDOWN(I1112,0))*3)*(-3*$J1112^3+3*$J1112^2)+INDIRECT("D$"&amp;5+MIN(2,ROUNDDOWN(I1112,0))*3)*$J1112^3</f>
      </c>
      <c r="M1112" s="7">
        <f>SQRT(K1112^2+L1112^2)</f>
      </c>
      <c r="N1112" s="7">
        <f>(K1113-K1111)</f>
      </c>
      <c r="O1112" s="7">
        <f>+(L1113-L1111)</f>
      </c>
      <c r="P1112" s="7">
        <f>SQRT(O1112^2+N1112^2)</f>
      </c>
      <c r="Q1112" s="7">
        <f>N1112/$P1112</f>
      </c>
      <c r="R1112" s="7">
        <f>O1112/$P1112</f>
      </c>
      <c r="S1112" s="7">
        <f>Q1112^2+R1112^2</f>
      </c>
      <c r="T1112" s="7">
        <f>-R1112</f>
      </c>
      <c r="U1112" s="7">
        <f>Q1112</f>
      </c>
      <c r="V1112" s="7">
        <f>($C$14+($C$15-$C$14)/($D$15-$D$14)*(I1112-$D$14))/2</f>
      </c>
      <c r="W1112" s="7">
        <f>($B$22*I1112^4+$C$22*I1112^3+$D$22*I1112^2+$E$22*I1112+$F$22)/2</f>
      </c>
      <c r="X1112" s="7">
        <f>($W1112)*(T1112)</f>
      </c>
      <c r="Y1112" s="7">
        <f>($W1112)*(U1112)</f>
      </c>
      <c r="Z1112" s="7">
        <f>SQRT(X1112^2+Y1112^2)</f>
      </c>
      <c r="AA1112" s="7">
        <f>$K1112+$X1112</f>
      </c>
      <c r="AB1112" s="7">
        <f>$L1112+$Y1112</f>
      </c>
      <c r="AC1112" s="7">
        <f>$K1112-$X1112</f>
      </c>
      <c r="AD1112" s="7">
        <f>$L1112-$Y1112</f>
      </c>
      <c r="AE1112" s="7">
        <f>AA1112/39.3701</f>
      </c>
      <c r="AF1112" s="7">
        <f>AB1112/39.3701</f>
      </c>
      <c r="AG1112" s="7">
        <f>AC1112/39.3701</f>
      </c>
      <c r="AH1112" s="7">
        <f>AD1112/39.3701</f>
      </c>
      <c r="AI1112" s="1"/>
      <c r="AJ1112" s="1"/>
      <c r="AK1112" s="1"/>
      <c r="AL1112" s="1"/>
      <c r="AM1112" s="2"/>
      <c r="AN1112" s="1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  <c r="BA1112" s="1"/>
      <c r="BB1112" s="1"/>
      <c r="BC1112" s="1"/>
      <c r="BD1112" s="1"/>
      <c r="BE1112" s="1"/>
    </row>
    <row x14ac:dyDescent="0.25" r="1113" customHeight="1" ht="18.75">
      <c r="A1113" s="1"/>
      <c r="B1113" s="2"/>
      <c r="C1113" s="2"/>
      <c r="D1113" s="2"/>
      <c r="E1113" s="2"/>
      <c r="F1113" s="2"/>
      <c r="G1113" s="1"/>
      <c r="H1113" s="1"/>
      <c r="I1113" s="7">
        <v>1.11</v>
      </c>
      <c r="J1113" s="7">
        <f>IF((I1113-ROUNDDOWN(I1113,0))=0, 0, (I1113-ROUNDDOWN(I1113,0)))</f>
      </c>
      <c r="K1113" s="7">
        <f>INDIRECT("C$"&amp;2+MIN(2,ROUNDDOWN(I1113,0))*3)*(-$J1113^3+3*$J1113^2-3*$J1113+1)+INDIRECT("C$"&amp;3+MIN(2,ROUNDDOWN(I1113,0))*3)*(3*$J1113^3-6*$J1113^2+3*$J1113)+INDIRECT("C$"&amp;4+MIN(2,ROUNDDOWN(I1113,0))*3)*(-3*$J1113^3+3*$J1113^2)+INDIRECT("C$"&amp;5+MIN(2,ROUNDDOWN(I1113,0))*3)*$J1113^3</f>
      </c>
      <c r="L1113" s="7">
        <f>INDIRECT("D$"&amp;2+MIN(2,ROUNDDOWN(I1113,0))*3)*(-$J1113^3+3*$J1113^2-3*$J1113+1)+INDIRECT("D$"&amp;3+MIN(2,ROUNDDOWN(I1113,0))*3)*(3*$J1113^3-6*$J1113^2+3*$J1113)+INDIRECT("D$"&amp;4+MIN(2,ROUNDDOWN(I1113,0))*3)*(-3*$J1113^3+3*$J1113^2)+INDIRECT("D$"&amp;5+MIN(2,ROUNDDOWN(I1113,0))*3)*$J1113^3</f>
      </c>
      <c r="M1113" s="7">
        <f>SQRT(K1113^2+L1113^2)</f>
      </c>
      <c r="N1113" s="7">
        <f>(K1114-K1112)</f>
      </c>
      <c r="O1113" s="7">
        <f>+(L1114-L1112)</f>
      </c>
      <c r="P1113" s="7">
        <f>SQRT(O1113^2+N1113^2)</f>
      </c>
      <c r="Q1113" s="7">
        <f>N1113/$P1113</f>
      </c>
      <c r="R1113" s="7">
        <f>O1113/$P1113</f>
      </c>
      <c r="S1113" s="8">
        <f>Q1113^2+R1113^2</f>
      </c>
      <c r="T1113" s="7">
        <f>-R1113</f>
      </c>
      <c r="U1113" s="7">
        <f>Q1113</f>
      </c>
      <c r="V1113" s="7">
        <f>($C$14+($C$15-$C$14)/($D$15-$D$14)*(I1113-$D$14))/2</f>
      </c>
      <c r="W1113" s="7">
        <f>($B$22*I1113^4+$C$22*I1113^3+$D$22*I1113^2+$E$22*I1113+$F$22)/2</f>
      </c>
      <c r="X1113" s="7">
        <f>($W1113)*(T1113)</f>
      </c>
      <c r="Y1113" s="7">
        <f>($W1113)*(U1113)</f>
      </c>
      <c r="Z1113" s="7">
        <f>SQRT(X1113^2+Y1113^2)</f>
      </c>
      <c r="AA1113" s="7">
        <f>$K1113+$X1113</f>
      </c>
      <c r="AB1113" s="7">
        <f>$L1113+$Y1113</f>
      </c>
      <c r="AC1113" s="7">
        <f>$K1113-$X1113</f>
      </c>
      <c r="AD1113" s="7">
        <f>$L1113-$Y1113</f>
      </c>
      <c r="AE1113" s="7">
        <f>AA1113/39.3701</f>
      </c>
      <c r="AF1113" s="7">
        <f>AB1113/39.3701</f>
      </c>
      <c r="AG1113" s="7">
        <f>AC1113/39.3701</f>
      </c>
      <c r="AH1113" s="7">
        <f>AD1113/39.3701</f>
      </c>
      <c r="AI1113" s="1"/>
      <c r="AJ1113" s="1"/>
      <c r="AK1113" s="1"/>
      <c r="AL1113" s="1"/>
      <c r="AM1113" s="2"/>
      <c r="AN1113" s="1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  <c r="BA1113" s="1"/>
      <c r="BB1113" s="1"/>
      <c r="BC1113" s="1"/>
      <c r="BD1113" s="1"/>
      <c r="BE1113" s="1"/>
    </row>
    <row x14ac:dyDescent="0.25" r="1114" customHeight="1" ht="18.75">
      <c r="A1114" s="1"/>
      <c r="B1114" s="2"/>
      <c r="C1114" s="2"/>
      <c r="D1114" s="2"/>
      <c r="E1114" s="2"/>
      <c r="F1114" s="2"/>
      <c r="G1114" s="1"/>
      <c r="H1114" s="1"/>
      <c r="I1114" s="7">
        <v>1.111</v>
      </c>
      <c r="J1114" s="7">
        <f>IF((I1114-ROUNDDOWN(I1114,0))=0, 0, (I1114-ROUNDDOWN(I1114,0)))</f>
      </c>
      <c r="K1114" s="7">
        <f>INDIRECT("C$"&amp;2+MIN(2,ROUNDDOWN(I1114,0))*3)*(-$J1114^3+3*$J1114^2-3*$J1114+1)+INDIRECT("C$"&amp;3+MIN(2,ROUNDDOWN(I1114,0))*3)*(3*$J1114^3-6*$J1114^2+3*$J1114)+INDIRECT("C$"&amp;4+MIN(2,ROUNDDOWN(I1114,0))*3)*(-3*$J1114^3+3*$J1114^2)+INDIRECT("C$"&amp;5+MIN(2,ROUNDDOWN(I1114,0))*3)*$J1114^3</f>
      </c>
      <c r="L1114" s="7">
        <f>INDIRECT("D$"&amp;2+MIN(2,ROUNDDOWN(I1114,0))*3)*(-$J1114^3+3*$J1114^2-3*$J1114+1)+INDIRECT("D$"&amp;3+MIN(2,ROUNDDOWN(I1114,0))*3)*(3*$J1114^3-6*$J1114^2+3*$J1114)+INDIRECT("D$"&amp;4+MIN(2,ROUNDDOWN(I1114,0))*3)*(-3*$J1114^3+3*$J1114^2)+INDIRECT("D$"&amp;5+MIN(2,ROUNDDOWN(I1114,0))*3)*$J1114^3</f>
      </c>
      <c r="M1114" s="7">
        <f>SQRT(K1114^2+L1114^2)</f>
      </c>
      <c r="N1114" s="7">
        <f>(K1115-K1113)</f>
      </c>
      <c r="O1114" s="7">
        <f>+(L1115-L1113)</f>
      </c>
      <c r="P1114" s="7">
        <f>SQRT(O1114^2+N1114^2)</f>
      </c>
      <c r="Q1114" s="7">
        <f>N1114/$P1114</f>
      </c>
      <c r="R1114" s="7">
        <f>O1114/$P1114</f>
      </c>
      <c r="S1114" s="8">
        <f>Q1114^2+R1114^2</f>
      </c>
      <c r="T1114" s="7">
        <f>-R1114</f>
      </c>
      <c r="U1114" s="7">
        <f>Q1114</f>
      </c>
      <c r="V1114" s="7">
        <f>($C$14+($C$15-$C$14)/($D$15-$D$14)*(I1114-$D$14))/2</f>
      </c>
      <c r="W1114" s="7">
        <f>($B$22*I1114^4+$C$22*I1114^3+$D$22*I1114^2+$E$22*I1114+$F$22)/2</f>
      </c>
      <c r="X1114" s="7">
        <f>($W1114)*(T1114)</f>
      </c>
      <c r="Y1114" s="7">
        <f>($W1114)*(U1114)</f>
      </c>
      <c r="Z1114" s="7">
        <f>SQRT(X1114^2+Y1114^2)</f>
      </c>
      <c r="AA1114" s="7">
        <f>$K1114+$X1114</f>
      </c>
      <c r="AB1114" s="7">
        <f>$L1114+$Y1114</f>
      </c>
      <c r="AC1114" s="7">
        <f>$K1114-$X1114</f>
      </c>
      <c r="AD1114" s="7">
        <f>$L1114-$Y1114</f>
      </c>
      <c r="AE1114" s="7">
        <f>AA1114/39.3701</f>
      </c>
      <c r="AF1114" s="7">
        <f>AB1114/39.3701</f>
      </c>
      <c r="AG1114" s="7">
        <f>AC1114/39.3701</f>
      </c>
      <c r="AH1114" s="7">
        <f>AD1114/39.3701</f>
      </c>
      <c r="AI1114" s="1"/>
      <c r="AJ1114" s="1"/>
      <c r="AK1114" s="1"/>
      <c r="AL1114" s="1"/>
      <c r="AM1114" s="2"/>
      <c r="AN1114" s="1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  <c r="BA1114" s="1"/>
      <c r="BB1114" s="1"/>
      <c r="BC1114" s="1"/>
      <c r="BD1114" s="1"/>
      <c r="BE1114" s="1"/>
    </row>
    <row x14ac:dyDescent="0.25" r="1115" customHeight="1" ht="18.75">
      <c r="A1115" s="1"/>
      <c r="B1115" s="2"/>
      <c r="C1115" s="2"/>
      <c r="D1115" s="2"/>
      <c r="E1115" s="2"/>
      <c r="F1115" s="2"/>
      <c r="G1115" s="1"/>
      <c r="H1115" s="1"/>
      <c r="I1115" s="7">
        <v>1.112</v>
      </c>
      <c r="J1115" s="7">
        <f>IF((I1115-ROUNDDOWN(I1115,0))=0, 0, (I1115-ROUNDDOWN(I1115,0)))</f>
      </c>
      <c r="K1115" s="7">
        <f>INDIRECT("C$"&amp;2+MIN(2,ROUNDDOWN(I1115,0))*3)*(-$J1115^3+3*$J1115^2-3*$J1115+1)+INDIRECT("C$"&amp;3+MIN(2,ROUNDDOWN(I1115,0))*3)*(3*$J1115^3-6*$J1115^2+3*$J1115)+INDIRECT("C$"&amp;4+MIN(2,ROUNDDOWN(I1115,0))*3)*(-3*$J1115^3+3*$J1115^2)+INDIRECT("C$"&amp;5+MIN(2,ROUNDDOWN(I1115,0))*3)*$J1115^3</f>
      </c>
      <c r="L1115" s="7">
        <f>INDIRECT("D$"&amp;2+MIN(2,ROUNDDOWN(I1115,0))*3)*(-$J1115^3+3*$J1115^2-3*$J1115+1)+INDIRECT("D$"&amp;3+MIN(2,ROUNDDOWN(I1115,0))*3)*(3*$J1115^3-6*$J1115^2+3*$J1115)+INDIRECT("D$"&amp;4+MIN(2,ROUNDDOWN(I1115,0))*3)*(-3*$J1115^3+3*$J1115^2)+INDIRECT("D$"&amp;5+MIN(2,ROUNDDOWN(I1115,0))*3)*$J1115^3</f>
      </c>
      <c r="M1115" s="7">
        <f>SQRT(K1115^2+L1115^2)</f>
      </c>
      <c r="N1115" s="7">
        <f>(K1116-K1114)</f>
      </c>
      <c r="O1115" s="7">
        <f>+(L1116-L1114)</f>
      </c>
      <c r="P1115" s="7">
        <f>SQRT(O1115^2+N1115^2)</f>
      </c>
      <c r="Q1115" s="7">
        <f>N1115/$P1115</f>
      </c>
      <c r="R1115" s="7">
        <f>O1115/$P1115</f>
      </c>
      <c r="S1115" s="8">
        <f>Q1115^2+R1115^2</f>
      </c>
      <c r="T1115" s="7">
        <f>-R1115</f>
      </c>
      <c r="U1115" s="7">
        <f>Q1115</f>
      </c>
      <c r="V1115" s="7">
        <f>($C$14+($C$15-$C$14)/($D$15-$D$14)*(I1115-$D$14))/2</f>
      </c>
      <c r="W1115" s="7">
        <f>($B$22*I1115^4+$C$22*I1115^3+$D$22*I1115^2+$E$22*I1115+$F$22)/2</f>
      </c>
      <c r="X1115" s="7">
        <f>($W1115)*(T1115)</f>
      </c>
      <c r="Y1115" s="7">
        <f>($W1115)*(U1115)</f>
      </c>
      <c r="Z1115" s="7">
        <f>SQRT(X1115^2+Y1115^2)</f>
      </c>
      <c r="AA1115" s="7">
        <f>$K1115+$X1115</f>
      </c>
      <c r="AB1115" s="7">
        <f>$L1115+$Y1115</f>
      </c>
      <c r="AC1115" s="7">
        <f>$K1115-$X1115</f>
      </c>
      <c r="AD1115" s="7">
        <f>$L1115-$Y1115</f>
      </c>
      <c r="AE1115" s="7">
        <f>AA1115/39.3701</f>
      </c>
      <c r="AF1115" s="7">
        <f>AB1115/39.3701</f>
      </c>
      <c r="AG1115" s="7">
        <f>AC1115/39.3701</f>
      </c>
      <c r="AH1115" s="7">
        <f>AD1115/39.3701</f>
      </c>
      <c r="AI1115" s="1"/>
      <c r="AJ1115" s="1"/>
      <c r="AK1115" s="1"/>
      <c r="AL1115" s="1"/>
      <c r="AM1115" s="2"/>
      <c r="AN1115" s="1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  <c r="BA1115" s="1"/>
      <c r="BB1115" s="1"/>
      <c r="BC1115" s="1"/>
      <c r="BD1115" s="1"/>
      <c r="BE1115" s="1"/>
    </row>
    <row x14ac:dyDescent="0.25" r="1116" customHeight="1" ht="18.75">
      <c r="A1116" s="1"/>
      <c r="B1116" s="2"/>
      <c r="C1116" s="2"/>
      <c r="D1116" s="2"/>
      <c r="E1116" s="2"/>
      <c r="F1116" s="2"/>
      <c r="G1116" s="1"/>
      <c r="H1116" s="1"/>
      <c r="I1116" s="7">
        <v>1.113</v>
      </c>
      <c r="J1116" s="7">
        <f>IF((I1116-ROUNDDOWN(I1116,0))=0, 0, (I1116-ROUNDDOWN(I1116,0)))</f>
      </c>
      <c r="K1116" s="7">
        <f>INDIRECT("C$"&amp;2+MIN(2,ROUNDDOWN(I1116,0))*3)*(-$J1116^3+3*$J1116^2-3*$J1116+1)+INDIRECT("C$"&amp;3+MIN(2,ROUNDDOWN(I1116,0))*3)*(3*$J1116^3-6*$J1116^2+3*$J1116)+INDIRECT("C$"&amp;4+MIN(2,ROUNDDOWN(I1116,0))*3)*(-3*$J1116^3+3*$J1116^2)+INDIRECT("C$"&amp;5+MIN(2,ROUNDDOWN(I1116,0))*3)*$J1116^3</f>
      </c>
      <c r="L1116" s="7">
        <f>INDIRECT("D$"&amp;2+MIN(2,ROUNDDOWN(I1116,0))*3)*(-$J1116^3+3*$J1116^2-3*$J1116+1)+INDIRECT("D$"&amp;3+MIN(2,ROUNDDOWN(I1116,0))*3)*(3*$J1116^3-6*$J1116^2+3*$J1116)+INDIRECT("D$"&amp;4+MIN(2,ROUNDDOWN(I1116,0))*3)*(-3*$J1116^3+3*$J1116^2)+INDIRECT("D$"&amp;5+MIN(2,ROUNDDOWN(I1116,0))*3)*$J1116^3</f>
      </c>
      <c r="M1116" s="7">
        <f>SQRT(K1116^2+L1116^2)</f>
      </c>
      <c r="N1116" s="7">
        <f>(K1117-K1115)</f>
      </c>
      <c r="O1116" s="7">
        <f>+(L1117-L1115)</f>
      </c>
      <c r="P1116" s="7">
        <f>SQRT(O1116^2+N1116^2)</f>
      </c>
      <c r="Q1116" s="7">
        <f>N1116/$P1116</f>
      </c>
      <c r="R1116" s="7">
        <f>O1116/$P1116</f>
      </c>
      <c r="S1116" s="7">
        <f>Q1116^2+R1116^2</f>
      </c>
      <c r="T1116" s="7">
        <f>-R1116</f>
      </c>
      <c r="U1116" s="7">
        <f>Q1116</f>
      </c>
      <c r="V1116" s="7">
        <f>($C$14+($C$15-$C$14)/($D$15-$D$14)*(I1116-$D$14))/2</f>
      </c>
      <c r="W1116" s="7">
        <f>($B$22*I1116^4+$C$22*I1116^3+$D$22*I1116^2+$E$22*I1116+$F$22)/2</f>
      </c>
      <c r="X1116" s="7">
        <f>($W1116)*(T1116)</f>
      </c>
      <c r="Y1116" s="7">
        <f>($W1116)*(U1116)</f>
      </c>
      <c r="Z1116" s="7">
        <f>SQRT(X1116^2+Y1116^2)</f>
      </c>
      <c r="AA1116" s="7">
        <f>$K1116+$X1116</f>
      </c>
      <c r="AB1116" s="7">
        <f>$L1116+$Y1116</f>
      </c>
      <c r="AC1116" s="7">
        <f>$K1116-$X1116</f>
      </c>
      <c r="AD1116" s="7">
        <f>$L1116-$Y1116</f>
      </c>
      <c r="AE1116" s="7">
        <f>AA1116/39.3701</f>
      </c>
      <c r="AF1116" s="7">
        <f>AB1116/39.3701</f>
      </c>
      <c r="AG1116" s="7">
        <f>AC1116/39.3701</f>
      </c>
      <c r="AH1116" s="7">
        <f>AD1116/39.3701</f>
      </c>
      <c r="AI1116" s="1"/>
      <c r="AJ1116" s="1"/>
      <c r="AK1116" s="1"/>
      <c r="AL1116" s="1"/>
      <c r="AM1116" s="2"/>
      <c r="AN1116" s="1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  <c r="BA1116" s="1"/>
      <c r="BB1116" s="1"/>
      <c r="BC1116" s="1"/>
      <c r="BD1116" s="1"/>
      <c r="BE1116" s="1"/>
    </row>
    <row x14ac:dyDescent="0.25" r="1117" customHeight="1" ht="18.75">
      <c r="A1117" s="1"/>
      <c r="B1117" s="2"/>
      <c r="C1117" s="2"/>
      <c r="D1117" s="2"/>
      <c r="E1117" s="2"/>
      <c r="F1117" s="2"/>
      <c r="G1117" s="1"/>
      <c r="H1117" s="1"/>
      <c r="I1117" s="7">
        <v>1.114</v>
      </c>
      <c r="J1117" s="7">
        <f>IF((I1117-ROUNDDOWN(I1117,0))=0, 0, (I1117-ROUNDDOWN(I1117,0)))</f>
      </c>
      <c r="K1117" s="7">
        <f>INDIRECT("C$"&amp;2+MIN(2,ROUNDDOWN(I1117,0))*3)*(-$J1117^3+3*$J1117^2-3*$J1117+1)+INDIRECT("C$"&amp;3+MIN(2,ROUNDDOWN(I1117,0))*3)*(3*$J1117^3-6*$J1117^2+3*$J1117)+INDIRECT("C$"&amp;4+MIN(2,ROUNDDOWN(I1117,0))*3)*(-3*$J1117^3+3*$J1117^2)+INDIRECT("C$"&amp;5+MIN(2,ROUNDDOWN(I1117,0))*3)*$J1117^3</f>
      </c>
      <c r="L1117" s="7">
        <f>INDIRECT("D$"&amp;2+MIN(2,ROUNDDOWN(I1117,0))*3)*(-$J1117^3+3*$J1117^2-3*$J1117+1)+INDIRECT("D$"&amp;3+MIN(2,ROUNDDOWN(I1117,0))*3)*(3*$J1117^3-6*$J1117^2+3*$J1117)+INDIRECT("D$"&amp;4+MIN(2,ROUNDDOWN(I1117,0))*3)*(-3*$J1117^3+3*$J1117^2)+INDIRECT("D$"&amp;5+MIN(2,ROUNDDOWN(I1117,0))*3)*$J1117^3</f>
      </c>
      <c r="M1117" s="7">
        <f>SQRT(K1117^2+L1117^2)</f>
      </c>
      <c r="N1117" s="7">
        <f>(K1118-K1116)</f>
      </c>
      <c r="O1117" s="7">
        <f>+(L1118-L1116)</f>
      </c>
      <c r="P1117" s="7">
        <f>SQRT(O1117^2+N1117^2)</f>
      </c>
      <c r="Q1117" s="7">
        <f>N1117/$P1117</f>
      </c>
      <c r="R1117" s="7">
        <f>O1117/$P1117</f>
      </c>
      <c r="S1117" s="7">
        <f>Q1117^2+R1117^2</f>
      </c>
      <c r="T1117" s="7">
        <f>-R1117</f>
      </c>
      <c r="U1117" s="7">
        <f>Q1117</f>
      </c>
      <c r="V1117" s="7">
        <f>($C$14+($C$15-$C$14)/($D$15-$D$14)*(I1117-$D$14))/2</f>
      </c>
      <c r="W1117" s="7">
        <f>($B$22*I1117^4+$C$22*I1117^3+$D$22*I1117^2+$E$22*I1117+$F$22)/2</f>
      </c>
      <c r="X1117" s="7">
        <f>($W1117)*(T1117)</f>
      </c>
      <c r="Y1117" s="7">
        <f>($W1117)*(U1117)</f>
      </c>
      <c r="Z1117" s="7">
        <f>SQRT(X1117^2+Y1117^2)</f>
      </c>
      <c r="AA1117" s="7">
        <f>$K1117+$X1117</f>
      </c>
      <c r="AB1117" s="7">
        <f>$L1117+$Y1117</f>
      </c>
      <c r="AC1117" s="7">
        <f>$K1117-$X1117</f>
      </c>
      <c r="AD1117" s="7">
        <f>$L1117-$Y1117</f>
      </c>
      <c r="AE1117" s="7">
        <f>AA1117/39.3701</f>
      </c>
      <c r="AF1117" s="7">
        <f>AB1117/39.3701</f>
      </c>
      <c r="AG1117" s="7">
        <f>AC1117/39.3701</f>
      </c>
      <c r="AH1117" s="7">
        <f>AD1117/39.3701</f>
      </c>
      <c r="AI1117" s="1"/>
      <c r="AJ1117" s="1"/>
      <c r="AK1117" s="1"/>
      <c r="AL1117" s="1"/>
      <c r="AM1117" s="2"/>
      <c r="AN1117" s="1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  <c r="BA1117" s="1"/>
      <c r="BB1117" s="1"/>
      <c r="BC1117" s="1"/>
      <c r="BD1117" s="1"/>
      <c r="BE1117" s="1"/>
    </row>
    <row x14ac:dyDescent="0.25" r="1118" customHeight="1" ht="18.75">
      <c r="A1118" s="1"/>
      <c r="B1118" s="2"/>
      <c r="C1118" s="2"/>
      <c r="D1118" s="2"/>
      <c r="E1118" s="2"/>
      <c r="F1118" s="2"/>
      <c r="G1118" s="1"/>
      <c r="H1118" s="1"/>
      <c r="I1118" s="7">
        <v>1.115</v>
      </c>
      <c r="J1118" s="7">
        <f>IF((I1118-ROUNDDOWN(I1118,0))=0, 0, (I1118-ROUNDDOWN(I1118,0)))</f>
      </c>
      <c r="K1118" s="7">
        <f>INDIRECT("C$"&amp;2+MIN(2,ROUNDDOWN(I1118,0))*3)*(-$J1118^3+3*$J1118^2-3*$J1118+1)+INDIRECT("C$"&amp;3+MIN(2,ROUNDDOWN(I1118,0))*3)*(3*$J1118^3-6*$J1118^2+3*$J1118)+INDIRECT("C$"&amp;4+MIN(2,ROUNDDOWN(I1118,0))*3)*(-3*$J1118^3+3*$J1118^2)+INDIRECT("C$"&amp;5+MIN(2,ROUNDDOWN(I1118,0))*3)*$J1118^3</f>
      </c>
      <c r="L1118" s="7">
        <f>INDIRECT("D$"&amp;2+MIN(2,ROUNDDOWN(I1118,0))*3)*(-$J1118^3+3*$J1118^2-3*$J1118+1)+INDIRECT("D$"&amp;3+MIN(2,ROUNDDOWN(I1118,0))*3)*(3*$J1118^3-6*$J1118^2+3*$J1118)+INDIRECT("D$"&amp;4+MIN(2,ROUNDDOWN(I1118,0))*3)*(-3*$J1118^3+3*$J1118^2)+INDIRECT("D$"&amp;5+MIN(2,ROUNDDOWN(I1118,0))*3)*$J1118^3</f>
      </c>
      <c r="M1118" s="7">
        <f>SQRT(K1118^2+L1118^2)</f>
      </c>
      <c r="N1118" s="7">
        <f>(K1119-K1117)</f>
      </c>
      <c r="O1118" s="7">
        <f>+(L1119-L1117)</f>
      </c>
      <c r="P1118" s="7">
        <f>SQRT(O1118^2+N1118^2)</f>
      </c>
      <c r="Q1118" s="7">
        <f>N1118/$P1118</f>
      </c>
      <c r="R1118" s="7">
        <f>O1118/$P1118</f>
      </c>
      <c r="S1118" s="8">
        <f>Q1118^2+R1118^2</f>
      </c>
      <c r="T1118" s="7">
        <f>-R1118</f>
      </c>
      <c r="U1118" s="7">
        <f>Q1118</f>
      </c>
      <c r="V1118" s="7">
        <f>($C$14+($C$15-$C$14)/($D$15-$D$14)*(I1118-$D$14))/2</f>
      </c>
      <c r="W1118" s="7">
        <f>($B$22*I1118^4+$C$22*I1118^3+$D$22*I1118^2+$E$22*I1118+$F$22)/2</f>
      </c>
      <c r="X1118" s="7">
        <f>($W1118)*(T1118)</f>
      </c>
      <c r="Y1118" s="7">
        <f>($W1118)*(U1118)</f>
      </c>
      <c r="Z1118" s="7">
        <f>SQRT(X1118^2+Y1118^2)</f>
      </c>
      <c r="AA1118" s="7">
        <f>$K1118+$X1118</f>
      </c>
      <c r="AB1118" s="7">
        <f>$L1118+$Y1118</f>
      </c>
      <c r="AC1118" s="7">
        <f>$K1118-$X1118</f>
      </c>
      <c r="AD1118" s="7">
        <f>$L1118-$Y1118</f>
      </c>
      <c r="AE1118" s="7">
        <f>AA1118/39.3701</f>
      </c>
      <c r="AF1118" s="7">
        <f>AB1118/39.3701</f>
      </c>
      <c r="AG1118" s="7">
        <f>AC1118/39.3701</f>
      </c>
      <c r="AH1118" s="7">
        <f>AD1118/39.3701</f>
      </c>
      <c r="AI1118" s="1"/>
      <c r="AJ1118" s="1"/>
      <c r="AK1118" s="1"/>
      <c r="AL1118" s="1"/>
      <c r="AM1118" s="2"/>
      <c r="AN1118" s="1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  <c r="BA1118" s="1"/>
      <c r="BB1118" s="1"/>
      <c r="BC1118" s="1"/>
      <c r="BD1118" s="1"/>
      <c r="BE1118" s="1"/>
    </row>
    <row x14ac:dyDescent="0.25" r="1119" customHeight="1" ht="18.75">
      <c r="A1119" s="1"/>
      <c r="B1119" s="2"/>
      <c r="C1119" s="2"/>
      <c r="D1119" s="2"/>
      <c r="E1119" s="2"/>
      <c r="F1119" s="2"/>
      <c r="G1119" s="1"/>
      <c r="H1119" s="1"/>
      <c r="I1119" s="7">
        <v>1.116</v>
      </c>
      <c r="J1119" s="7">
        <f>IF((I1119-ROUNDDOWN(I1119,0))=0, 0, (I1119-ROUNDDOWN(I1119,0)))</f>
      </c>
      <c r="K1119" s="7">
        <f>INDIRECT("C$"&amp;2+MIN(2,ROUNDDOWN(I1119,0))*3)*(-$J1119^3+3*$J1119^2-3*$J1119+1)+INDIRECT("C$"&amp;3+MIN(2,ROUNDDOWN(I1119,0))*3)*(3*$J1119^3-6*$J1119^2+3*$J1119)+INDIRECT("C$"&amp;4+MIN(2,ROUNDDOWN(I1119,0))*3)*(-3*$J1119^3+3*$J1119^2)+INDIRECT("C$"&amp;5+MIN(2,ROUNDDOWN(I1119,0))*3)*$J1119^3</f>
      </c>
      <c r="L1119" s="7">
        <f>INDIRECT("D$"&amp;2+MIN(2,ROUNDDOWN(I1119,0))*3)*(-$J1119^3+3*$J1119^2-3*$J1119+1)+INDIRECT("D$"&amp;3+MIN(2,ROUNDDOWN(I1119,0))*3)*(3*$J1119^3-6*$J1119^2+3*$J1119)+INDIRECT("D$"&amp;4+MIN(2,ROUNDDOWN(I1119,0))*3)*(-3*$J1119^3+3*$J1119^2)+INDIRECT("D$"&amp;5+MIN(2,ROUNDDOWN(I1119,0))*3)*$J1119^3</f>
      </c>
      <c r="M1119" s="7">
        <f>SQRT(K1119^2+L1119^2)</f>
      </c>
      <c r="N1119" s="7">
        <f>(K1120-K1118)</f>
      </c>
      <c r="O1119" s="7">
        <f>+(L1120-L1118)</f>
      </c>
      <c r="P1119" s="7">
        <f>SQRT(O1119^2+N1119^2)</f>
      </c>
      <c r="Q1119" s="7">
        <f>N1119/$P1119</f>
      </c>
      <c r="R1119" s="7">
        <f>O1119/$P1119</f>
      </c>
      <c r="S1119" s="7">
        <f>Q1119^2+R1119^2</f>
      </c>
      <c r="T1119" s="7">
        <f>-R1119</f>
      </c>
      <c r="U1119" s="7">
        <f>Q1119</f>
      </c>
      <c r="V1119" s="7">
        <f>($C$14+($C$15-$C$14)/($D$15-$D$14)*(I1119-$D$14))/2</f>
      </c>
      <c r="W1119" s="7">
        <f>($B$22*I1119^4+$C$22*I1119^3+$D$22*I1119^2+$E$22*I1119+$F$22)/2</f>
      </c>
      <c r="X1119" s="7">
        <f>($W1119)*(T1119)</f>
      </c>
      <c r="Y1119" s="7">
        <f>($W1119)*(U1119)</f>
      </c>
      <c r="Z1119" s="7">
        <f>SQRT(X1119^2+Y1119^2)</f>
      </c>
      <c r="AA1119" s="7">
        <f>$K1119+$X1119</f>
      </c>
      <c r="AB1119" s="7">
        <f>$L1119+$Y1119</f>
      </c>
      <c r="AC1119" s="7">
        <f>$K1119-$X1119</f>
      </c>
      <c r="AD1119" s="7">
        <f>$L1119-$Y1119</f>
      </c>
      <c r="AE1119" s="7">
        <f>AA1119/39.3701</f>
      </c>
      <c r="AF1119" s="7">
        <f>AB1119/39.3701</f>
      </c>
      <c r="AG1119" s="7">
        <f>AC1119/39.3701</f>
      </c>
      <c r="AH1119" s="7">
        <f>AD1119/39.3701</f>
      </c>
      <c r="AI1119" s="1"/>
      <c r="AJ1119" s="1"/>
      <c r="AK1119" s="1"/>
      <c r="AL1119" s="1"/>
      <c r="AM1119" s="2"/>
      <c r="AN1119" s="1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  <c r="BA1119" s="1"/>
      <c r="BB1119" s="1"/>
      <c r="BC1119" s="1"/>
      <c r="BD1119" s="1"/>
      <c r="BE1119" s="1"/>
    </row>
    <row x14ac:dyDescent="0.25" r="1120" customHeight="1" ht="18.75">
      <c r="A1120" s="1"/>
      <c r="B1120" s="2"/>
      <c r="C1120" s="2"/>
      <c r="D1120" s="2"/>
      <c r="E1120" s="2"/>
      <c r="F1120" s="2"/>
      <c r="G1120" s="1"/>
      <c r="H1120" s="1"/>
      <c r="I1120" s="7">
        <v>1.117</v>
      </c>
      <c r="J1120" s="7">
        <f>IF((I1120-ROUNDDOWN(I1120,0))=0, 0, (I1120-ROUNDDOWN(I1120,0)))</f>
      </c>
      <c r="K1120" s="7">
        <f>INDIRECT("C$"&amp;2+MIN(2,ROUNDDOWN(I1120,0))*3)*(-$J1120^3+3*$J1120^2-3*$J1120+1)+INDIRECT("C$"&amp;3+MIN(2,ROUNDDOWN(I1120,0))*3)*(3*$J1120^3-6*$J1120^2+3*$J1120)+INDIRECT("C$"&amp;4+MIN(2,ROUNDDOWN(I1120,0))*3)*(-3*$J1120^3+3*$J1120^2)+INDIRECT("C$"&amp;5+MIN(2,ROUNDDOWN(I1120,0))*3)*$J1120^3</f>
      </c>
      <c r="L1120" s="7">
        <f>INDIRECT("D$"&amp;2+MIN(2,ROUNDDOWN(I1120,0))*3)*(-$J1120^3+3*$J1120^2-3*$J1120+1)+INDIRECT("D$"&amp;3+MIN(2,ROUNDDOWN(I1120,0))*3)*(3*$J1120^3-6*$J1120^2+3*$J1120)+INDIRECT("D$"&amp;4+MIN(2,ROUNDDOWN(I1120,0))*3)*(-3*$J1120^3+3*$J1120^2)+INDIRECT("D$"&amp;5+MIN(2,ROUNDDOWN(I1120,0))*3)*$J1120^3</f>
      </c>
      <c r="M1120" s="7">
        <f>SQRT(K1120^2+L1120^2)</f>
      </c>
      <c r="N1120" s="7">
        <f>(K1121-K1119)</f>
      </c>
      <c r="O1120" s="7">
        <f>+(L1121-L1119)</f>
      </c>
      <c r="P1120" s="7">
        <f>SQRT(O1120^2+N1120^2)</f>
      </c>
      <c r="Q1120" s="7">
        <f>N1120/$P1120</f>
      </c>
      <c r="R1120" s="7">
        <f>O1120/$P1120</f>
      </c>
      <c r="S1120" s="8">
        <f>Q1120^2+R1120^2</f>
      </c>
      <c r="T1120" s="7">
        <f>-R1120</f>
      </c>
      <c r="U1120" s="7">
        <f>Q1120</f>
      </c>
      <c r="V1120" s="7">
        <f>($C$14+($C$15-$C$14)/($D$15-$D$14)*(I1120-$D$14))/2</f>
      </c>
      <c r="W1120" s="7">
        <f>($B$22*I1120^4+$C$22*I1120^3+$D$22*I1120^2+$E$22*I1120+$F$22)/2</f>
      </c>
      <c r="X1120" s="7">
        <f>($W1120)*(T1120)</f>
      </c>
      <c r="Y1120" s="7">
        <f>($W1120)*(U1120)</f>
      </c>
      <c r="Z1120" s="7">
        <f>SQRT(X1120^2+Y1120^2)</f>
      </c>
      <c r="AA1120" s="7">
        <f>$K1120+$X1120</f>
      </c>
      <c r="AB1120" s="7">
        <f>$L1120+$Y1120</f>
      </c>
      <c r="AC1120" s="7">
        <f>$K1120-$X1120</f>
      </c>
      <c r="AD1120" s="7">
        <f>$L1120-$Y1120</f>
      </c>
      <c r="AE1120" s="7">
        <f>AA1120/39.3701</f>
      </c>
      <c r="AF1120" s="7">
        <f>AB1120/39.3701</f>
      </c>
      <c r="AG1120" s="7">
        <f>AC1120/39.3701</f>
      </c>
      <c r="AH1120" s="7">
        <f>AD1120/39.3701</f>
      </c>
      <c r="AI1120" s="1"/>
      <c r="AJ1120" s="1"/>
      <c r="AK1120" s="1"/>
      <c r="AL1120" s="1"/>
      <c r="AM1120" s="2"/>
      <c r="AN1120" s="1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  <c r="BA1120" s="1"/>
      <c r="BB1120" s="1"/>
      <c r="BC1120" s="1"/>
      <c r="BD1120" s="1"/>
      <c r="BE1120" s="1"/>
    </row>
    <row x14ac:dyDescent="0.25" r="1121" customHeight="1" ht="18.75">
      <c r="A1121" s="1"/>
      <c r="B1121" s="2"/>
      <c r="C1121" s="2"/>
      <c r="D1121" s="2"/>
      <c r="E1121" s="2"/>
      <c r="F1121" s="2"/>
      <c r="G1121" s="1"/>
      <c r="H1121" s="1"/>
      <c r="I1121" s="7">
        <v>1.118</v>
      </c>
      <c r="J1121" s="7">
        <f>IF((I1121-ROUNDDOWN(I1121,0))=0, 0, (I1121-ROUNDDOWN(I1121,0)))</f>
      </c>
      <c r="K1121" s="7">
        <f>INDIRECT("C$"&amp;2+MIN(2,ROUNDDOWN(I1121,0))*3)*(-$J1121^3+3*$J1121^2-3*$J1121+1)+INDIRECT("C$"&amp;3+MIN(2,ROUNDDOWN(I1121,0))*3)*(3*$J1121^3-6*$J1121^2+3*$J1121)+INDIRECT("C$"&amp;4+MIN(2,ROUNDDOWN(I1121,0))*3)*(-3*$J1121^3+3*$J1121^2)+INDIRECT("C$"&amp;5+MIN(2,ROUNDDOWN(I1121,0))*3)*$J1121^3</f>
      </c>
      <c r="L1121" s="7">
        <f>INDIRECT("D$"&amp;2+MIN(2,ROUNDDOWN(I1121,0))*3)*(-$J1121^3+3*$J1121^2-3*$J1121+1)+INDIRECT("D$"&amp;3+MIN(2,ROUNDDOWN(I1121,0))*3)*(3*$J1121^3-6*$J1121^2+3*$J1121)+INDIRECT("D$"&amp;4+MIN(2,ROUNDDOWN(I1121,0))*3)*(-3*$J1121^3+3*$J1121^2)+INDIRECT("D$"&amp;5+MIN(2,ROUNDDOWN(I1121,0))*3)*$J1121^3</f>
      </c>
      <c r="M1121" s="7">
        <f>SQRT(K1121^2+L1121^2)</f>
      </c>
      <c r="N1121" s="7">
        <f>(K1122-K1120)</f>
      </c>
      <c r="O1121" s="7">
        <f>+(L1122-L1120)</f>
      </c>
      <c r="P1121" s="7">
        <f>SQRT(O1121^2+N1121^2)</f>
      </c>
      <c r="Q1121" s="7">
        <f>N1121/$P1121</f>
      </c>
      <c r="R1121" s="7">
        <f>O1121/$P1121</f>
      </c>
      <c r="S1121" s="7">
        <f>Q1121^2+R1121^2</f>
      </c>
      <c r="T1121" s="7">
        <f>-R1121</f>
      </c>
      <c r="U1121" s="7">
        <f>Q1121</f>
      </c>
      <c r="V1121" s="7">
        <f>($C$14+($C$15-$C$14)/($D$15-$D$14)*(I1121-$D$14))/2</f>
      </c>
      <c r="W1121" s="7">
        <f>($B$22*I1121^4+$C$22*I1121^3+$D$22*I1121^2+$E$22*I1121+$F$22)/2</f>
      </c>
      <c r="X1121" s="7">
        <f>($W1121)*(T1121)</f>
      </c>
      <c r="Y1121" s="7">
        <f>($W1121)*(U1121)</f>
      </c>
      <c r="Z1121" s="7">
        <f>SQRT(X1121^2+Y1121^2)</f>
      </c>
      <c r="AA1121" s="7">
        <f>$K1121+$X1121</f>
      </c>
      <c r="AB1121" s="7">
        <f>$L1121+$Y1121</f>
      </c>
      <c r="AC1121" s="7">
        <f>$K1121-$X1121</f>
      </c>
      <c r="AD1121" s="7">
        <f>$L1121-$Y1121</f>
      </c>
      <c r="AE1121" s="7">
        <f>AA1121/39.3701</f>
      </c>
      <c r="AF1121" s="7">
        <f>AB1121/39.3701</f>
      </c>
      <c r="AG1121" s="7">
        <f>AC1121/39.3701</f>
      </c>
      <c r="AH1121" s="7">
        <f>AD1121/39.3701</f>
      </c>
      <c r="AI1121" s="1"/>
      <c r="AJ1121" s="1"/>
      <c r="AK1121" s="1"/>
      <c r="AL1121" s="1"/>
      <c r="AM1121" s="2"/>
      <c r="AN1121" s="1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  <c r="BA1121" s="1"/>
      <c r="BB1121" s="1"/>
      <c r="BC1121" s="1"/>
      <c r="BD1121" s="1"/>
      <c r="BE1121" s="1"/>
    </row>
    <row x14ac:dyDescent="0.25" r="1122" customHeight="1" ht="18.75">
      <c r="A1122" s="1"/>
      <c r="B1122" s="2"/>
      <c r="C1122" s="2"/>
      <c r="D1122" s="2"/>
      <c r="E1122" s="2"/>
      <c r="F1122" s="2"/>
      <c r="G1122" s="1"/>
      <c r="H1122" s="1"/>
      <c r="I1122" s="7">
        <v>1.119</v>
      </c>
      <c r="J1122" s="7">
        <f>IF((I1122-ROUNDDOWN(I1122,0))=0, 0, (I1122-ROUNDDOWN(I1122,0)))</f>
      </c>
      <c r="K1122" s="7">
        <f>INDIRECT("C$"&amp;2+MIN(2,ROUNDDOWN(I1122,0))*3)*(-$J1122^3+3*$J1122^2-3*$J1122+1)+INDIRECT("C$"&amp;3+MIN(2,ROUNDDOWN(I1122,0))*3)*(3*$J1122^3-6*$J1122^2+3*$J1122)+INDIRECT("C$"&amp;4+MIN(2,ROUNDDOWN(I1122,0))*3)*(-3*$J1122^3+3*$J1122^2)+INDIRECT("C$"&amp;5+MIN(2,ROUNDDOWN(I1122,0))*3)*$J1122^3</f>
      </c>
      <c r="L1122" s="7">
        <f>INDIRECT("D$"&amp;2+MIN(2,ROUNDDOWN(I1122,0))*3)*(-$J1122^3+3*$J1122^2-3*$J1122+1)+INDIRECT("D$"&amp;3+MIN(2,ROUNDDOWN(I1122,0))*3)*(3*$J1122^3-6*$J1122^2+3*$J1122)+INDIRECT("D$"&amp;4+MIN(2,ROUNDDOWN(I1122,0))*3)*(-3*$J1122^3+3*$J1122^2)+INDIRECT("D$"&amp;5+MIN(2,ROUNDDOWN(I1122,0))*3)*$J1122^3</f>
      </c>
      <c r="M1122" s="7">
        <f>SQRT(K1122^2+L1122^2)</f>
      </c>
      <c r="N1122" s="7">
        <f>(K1123-K1121)</f>
      </c>
      <c r="O1122" s="7">
        <f>+(L1123-L1121)</f>
      </c>
      <c r="P1122" s="7">
        <f>SQRT(O1122^2+N1122^2)</f>
      </c>
      <c r="Q1122" s="7">
        <f>N1122/$P1122</f>
      </c>
      <c r="R1122" s="7">
        <f>O1122/$P1122</f>
      </c>
      <c r="S1122" s="7">
        <f>Q1122^2+R1122^2</f>
      </c>
      <c r="T1122" s="7">
        <f>-R1122</f>
      </c>
      <c r="U1122" s="7">
        <f>Q1122</f>
      </c>
      <c r="V1122" s="7">
        <f>($C$14+($C$15-$C$14)/($D$15-$D$14)*(I1122-$D$14))/2</f>
      </c>
      <c r="W1122" s="7">
        <f>($B$22*I1122^4+$C$22*I1122^3+$D$22*I1122^2+$E$22*I1122+$F$22)/2</f>
      </c>
      <c r="X1122" s="7">
        <f>($W1122)*(T1122)</f>
      </c>
      <c r="Y1122" s="7">
        <f>($W1122)*(U1122)</f>
      </c>
      <c r="Z1122" s="7">
        <f>SQRT(X1122^2+Y1122^2)</f>
      </c>
      <c r="AA1122" s="7">
        <f>$K1122+$X1122</f>
      </c>
      <c r="AB1122" s="7">
        <f>$L1122+$Y1122</f>
      </c>
      <c r="AC1122" s="7">
        <f>$K1122-$X1122</f>
      </c>
      <c r="AD1122" s="7">
        <f>$L1122-$Y1122</f>
      </c>
      <c r="AE1122" s="7">
        <f>AA1122/39.3701</f>
      </c>
      <c r="AF1122" s="7">
        <f>AB1122/39.3701</f>
      </c>
      <c r="AG1122" s="7">
        <f>AC1122/39.3701</f>
      </c>
      <c r="AH1122" s="7">
        <f>AD1122/39.3701</f>
      </c>
      <c r="AI1122" s="1"/>
      <c r="AJ1122" s="1"/>
      <c r="AK1122" s="1"/>
      <c r="AL1122" s="1"/>
      <c r="AM1122" s="2"/>
      <c r="AN1122" s="1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  <c r="BA1122" s="1"/>
      <c r="BB1122" s="1"/>
      <c r="BC1122" s="1"/>
      <c r="BD1122" s="1"/>
      <c r="BE1122" s="1"/>
    </row>
    <row x14ac:dyDescent="0.25" r="1123" customHeight="1" ht="18.75">
      <c r="A1123" s="1"/>
      <c r="B1123" s="2"/>
      <c r="C1123" s="2"/>
      <c r="D1123" s="2"/>
      <c r="E1123" s="2"/>
      <c r="F1123" s="2"/>
      <c r="G1123" s="1"/>
      <c r="H1123" s="1"/>
      <c r="I1123" s="7">
        <v>1.12</v>
      </c>
      <c r="J1123" s="7">
        <f>IF((I1123-ROUNDDOWN(I1123,0))=0, 0, (I1123-ROUNDDOWN(I1123,0)))</f>
      </c>
      <c r="K1123" s="7">
        <f>INDIRECT("C$"&amp;2+MIN(2,ROUNDDOWN(I1123,0))*3)*(-$J1123^3+3*$J1123^2-3*$J1123+1)+INDIRECT("C$"&amp;3+MIN(2,ROUNDDOWN(I1123,0))*3)*(3*$J1123^3-6*$J1123^2+3*$J1123)+INDIRECT("C$"&amp;4+MIN(2,ROUNDDOWN(I1123,0))*3)*(-3*$J1123^3+3*$J1123^2)+INDIRECT("C$"&amp;5+MIN(2,ROUNDDOWN(I1123,0))*3)*$J1123^3</f>
      </c>
      <c r="L1123" s="7">
        <f>INDIRECT("D$"&amp;2+MIN(2,ROUNDDOWN(I1123,0))*3)*(-$J1123^3+3*$J1123^2-3*$J1123+1)+INDIRECT("D$"&amp;3+MIN(2,ROUNDDOWN(I1123,0))*3)*(3*$J1123^3-6*$J1123^2+3*$J1123)+INDIRECT("D$"&amp;4+MIN(2,ROUNDDOWN(I1123,0))*3)*(-3*$J1123^3+3*$J1123^2)+INDIRECT("D$"&amp;5+MIN(2,ROUNDDOWN(I1123,0))*3)*$J1123^3</f>
      </c>
      <c r="M1123" s="7">
        <f>SQRT(K1123^2+L1123^2)</f>
      </c>
      <c r="N1123" s="7">
        <f>(K1124-K1122)</f>
      </c>
      <c r="O1123" s="7">
        <f>+(L1124-L1122)</f>
      </c>
      <c r="P1123" s="7">
        <f>SQRT(O1123^2+N1123^2)</f>
      </c>
      <c r="Q1123" s="7">
        <f>N1123/$P1123</f>
      </c>
      <c r="R1123" s="7">
        <f>O1123/$P1123</f>
      </c>
      <c r="S1123" s="8">
        <f>Q1123^2+R1123^2</f>
      </c>
      <c r="T1123" s="7">
        <f>-R1123</f>
      </c>
      <c r="U1123" s="7">
        <f>Q1123</f>
      </c>
      <c r="V1123" s="7">
        <f>($C$14+($C$15-$C$14)/($D$15-$D$14)*(I1123-$D$14))/2</f>
      </c>
      <c r="W1123" s="7">
        <f>($B$22*I1123^4+$C$22*I1123^3+$D$22*I1123^2+$E$22*I1123+$F$22)/2</f>
      </c>
      <c r="X1123" s="7">
        <f>($W1123)*(T1123)</f>
      </c>
      <c r="Y1123" s="7">
        <f>($W1123)*(U1123)</f>
      </c>
      <c r="Z1123" s="7">
        <f>SQRT(X1123^2+Y1123^2)</f>
      </c>
      <c r="AA1123" s="7">
        <f>$K1123+$X1123</f>
      </c>
      <c r="AB1123" s="7">
        <f>$L1123+$Y1123</f>
      </c>
      <c r="AC1123" s="7">
        <f>$K1123-$X1123</f>
      </c>
      <c r="AD1123" s="7">
        <f>$L1123-$Y1123</f>
      </c>
      <c r="AE1123" s="7">
        <f>AA1123/39.3701</f>
      </c>
      <c r="AF1123" s="7">
        <f>AB1123/39.3701</f>
      </c>
      <c r="AG1123" s="7">
        <f>AC1123/39.3701</f>
      </c>
      <c r="AH1123" s="7">
        <f>AD1123/39.3701</f>
      </c>
      <c r="AI1123" s="1"/>
      <c r="AJ1123" s="1"/>
      <c r="AK1123" s="1"/>
      <c r="AL1123" s="1"/>
      <c r="AM1123" s="2"/>
      <c r="AN1123" s="1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  <c r="BA1123" s="1"/>
      <c r="BB1123" s="1"/>
      <c r="BC1123" s="1"/>
      <c r="BD1123" s="1"/>
      <c r="BE1123" s="1"/>
    </row>
    <row x14ac:dyDescent="0.25" r="1124" customHeight="1" ht="18.75">
      <c r="A1124" s="1"/>
      <c r="B1124" s="2"/>
      <c r="C1124" s="2"/>
      <c r="D1124" s="2"/>
      <c r="E1124" s="2"/>
      <c r="F1124" s="2"/>
      <c r="G1124" s="1"/>
      <c r="H1124" s="1"/>
      <c r="I1124" s="7">
        <v>1.121</v>
      </c>
      <c r="J1124" s="7">
        <f>IF((I1124-ROUNDDOWN(I1124,0))=0, 0, (I1124-ROUNDDOWN(I1124,0)))</f>
      </c>
      <c r="K1124" s="7">
        <f>INDIRECT("C$"&amp;2+MIN(2,ROUNDDOWN(I1124,0))*3)*(-$J1124^3+3*$J1124^2-3*$J1124+1)+INDIRECT("C$"&amp;3+MIN(2,ROUNDDOWN(I1124,0))*3)*(3*$J1124^3-6*$J1124^2+3*$J1124)+INDIRECT("C$"&amp;4+MIN(2,ROUNDDOWN(I1124,0))*3)*(-3*$J1124^3+3*$J1124^2)+INDIRECT("C$"&amp;5+MIN(2,ROUNDDOWN(I1124,0))*3)*$J1124^3</f>
      </c>
      <c r="L1124" s="7">
        <f>INDIRECT("D$"&amp;2+MIN(2,ROUNDDOWN(I1124,0))*3)*(-$J1124^3+3*$J1124^2-3*$J1124+1)+INDIRECT("D$"&amp;3+MIN(2,ROUNDDOWN(I1124,0))*3)*(3*$J1124^3-6*$J1124^2+3*$J1124)+INDIRECT("D$"&amp;4+MIN(2,ROUNDDOWN(I1124,0))*3)*(-3*$J1124^3+3*$J1124^2)+INDIRECT("D$"&amp;5+MIN(2,ROUNDDOWN(I1124,0))*3)*$J1124^3</f>
      </c>
      <c r="M1124" s="7">
        <f>SQRT(K1124^2+L1124^2)</f>
      </c>
      <c r="N1124" s="7">
        <f>(K1125-K1123)</f>
      </c>
      <c r="O1124" s="7">
        <f>+(L1125-L1123)</f>
      </c>
      <c r="P1124" s="7">
        <f>SQRT(O1124^2+N1124^2)</f>
      </c>
      <c r="Q1124" s="7">
        <f>N1124/$P1124</f>
      </c>
      <c r="R1124" s="7">
        <f>O1124/$P1124</f>
      </c>
      <c r="S1124" s="8">
        <f>Q1124^2+R1124^2</f>
      </c>
      <c r="T1124" s="7">
        <f>-R1124</f>
      </c>
      <c r="U1124" s="7">
        <f>Q1124</f>
      </c>
      <c r="V1124" s="7">
        <f>($C$14+($C$15-$C$14)/($D$15-$D$14)*(I1124-$D$14))/2</f>
      </c>
      <c r="W1124" s="7">
        <f>($B$22*I1124^4+$C$22*I1124^3+$D$22*I1124^2+$E$22*I1124+$F$22)/2</f>
      </c>
      <c r="X1124" s="7">
        <f>($W1124)*(T1124)</f>
      </c>
      <c r="Y1124" s="7">
        <f>($W1124)*(U1124)</f>
      </c>
      <c r="Z1124" s="7">
        <f>SQRT(X1124^2+Y1124^2)</f>
      </c>
      <c r="AA1124" s="7">
        <f>$K1124+$X1124</f>
      </c>
      <c r="AB1124" s="7">
        <f>$L1124+$Y1124</f>
      </c>
      <c r="AC1124" s="7">
        <f>$K1124-$X1124</f>
      </c>
      <c r="AD1124" s="7">
        <f>$L1124-$Y1124</f>
      </c>
      <c r="AE1124" s="7">
        <f>AA1124/39.3701</f>
      </c>
      <c r="AF1124" s="7">
        <f>AB1124/39.3701</f>
      </c>
      <c r="AG1124" s="7">
        <f>AC1124/39.3701</f>
      </c>
      <c r="AH1124" s="7">
        <f>AD1124/39.3701</f>
      </c>
      <c r="AI1124" s="1"/>
      <c r="AJ1124" s="1"/>
      <c r="AK1124" s="1"/>
      <c r="AL1124" s="1"/>
      <c r="AM1124" s="2"/>
      <c r="AN1124" s="1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  <c r="BA1124" s="1"/>
      <c r="BB1124" s="1"/>
      <c r="BC1124" s="1"/>
      <c r="BD1124" s="1"/>
      <c r="BE1124" s="1"/>
    </row>
    <row x14ac:dyDescent="0.25" r="1125" customHeight="1" ht="18.75">
      <c r="A1125" s="1"/>
      <c r="B1125" s="2"/>
      <c r="C1125" s="2"/>
      <c r="D1125" s="2"/>
      <c r="E1125" s="2"/>
      <c r="F1125" s="2"/>
      <c r="G1125" s="1"/>
      <c r="H1125" s="1"/>
      <c r="I1125" s="7">
        <v>1.122</v>
      </c>
      <c r="J1125" s="7">
        <f>IF((I1125-ROUNDDOWN(I1125,0))=0, 0, (I1125-ROUNDDOWN(I1125,0)))</f>
      </c>
      <c r="K1125" s="7">
        <f>INDIRECT("C$"&amp;2+MIN(2,ROUNDDOWN(I1125,0))*3)*(-$J1125^3+3*$J1125^2-3*$J1125+1)+INDIRECT("C$"&amp;3+MIN(2,ROUNDDOWN(I1125,0))*3)*(3*$J1125^3-6*$J1125^2+3*$J1125)+INDIRECT("C$"&amp;4+MIN(2,ROUNDDOWN(I1125,0))*3)*(-3*$J1125^3+3*$J1125^2)+INDIRECT("C$"&amp;5+MIN(2,ROUNDDOWN(I1125,0))*3)*$J1125^3</f>
      </c>
      <c r="L1125" s="7">
        <f>INDIRECT("D$"&amp;2+MIN(2,ROUNDDOWN(I1125,0))*3)*(-$J1125^3+3*$J1125^2-3*$J1125+1)+INDIRECT("D$"&amp;3+MIN(2,ROUNDDOWN(I1125,0))*3)*(3*$J1125^3-6*$J1125^2+3*$J1125)+INDIRECT("D$"&amp;4+MIN(2,ROUNDDOWN(I1125,0))*3)*(-3*$J1125^3+3*$J1125^2)+INDIRECT("D$"&amp;5+MIN(2,ROUNDDOWN(I1125,0))*3)*$J1125^3</f>
      </c>
      <c r="M1125" s="7">
        <f>SQRT(K1125^2+L1125^2)</f>
      </c>
      <c r="N1125" s="7">
        <f>(K1126-K1124)</f>
      </c>
      <c r="O1125" s="7">
        <f>+(L1126-L1124)</f>
      </c>
      <c r="P1125" s="7">
        <f>SQRT(O1125^2+N1125^2)</f>
      </c>
      <c r="Q1125" s="7">
        <f>N1125/$P1125</f>
      </c>
      <c r="R1125" s="7">
        <f>O1125/$P1125</f>
      </c>
      <c r="S1125" s="7">
        <f>Q1125^2+R1125^2</f>
      </c>
      <c r="T1125" s="7">
        <f>-R1125</f>
      </c>
      <c r="U1125" s="7">
        <f>Q1125</f>
      </c>
      <c r="V1125" s="7">
        <f>($C$14+($C$15-$C$14)/($D$15-$D$14)*(I1125-$D$14))/2</f>
      </c>
      <c r="W1125" s="7">
        <f>($B$22*I1125^4+$C$22*I1125^3+$D$22*I1125^2+$E$22*I1125+$F$22)/2</f>
      </c>
      <c r="X1125" s="7">
        <f>($W1125)*(T1125)</f>
      </c>
      <c r="Y1125" s="7">
        <f>($W1125)*(U1125)</f>
      </c>
      <c r="Z1125" s="7">
        <f>SQRT(X1125^2+Y1125^2)</f>
      </c>
      <c r="AA1125" s="7">
        <f>$K1125+$X1125</f>
      </c>
      <c r="AB1125" s="7">
        <f>$L1125+$Y1125</f>
      </c>
      <c r="AC1125" s="7">
        <f>$K1125-$X1125</f>
      </c>
      <c r="AD1125" s="7">
        <f>$L1125-$Y1125</f>
      </c>
      <c r="AE1125" s="7">
        <f>AA1125/39.3701</f>
      </c>
      <c r="AF1125" s="7">
        <f>AB1125/39.3701</f>
      </c>
      <c r="AG1125" s="7">
        <f>AC1125/39.3701</f>
      </c>
      <c r="AH1125" s="7">
        <f>AD1125/39.3701</f>
      </c>
      <c r="AI1125" s="1"/>
      <c r="AJ1125" s="1"/>
      <c r="AK1125" s="1"/>
      <c r="AL1125" s="1"/>
      <c r="AM1125" s="2"/>
      <c r="AN1125" s="1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  <c r="BA1125" s="1"/>
      <c r="BB1125" s="1"/>
      <c r="BC1125" s="1"/>
      <c r="BD1125" s="1"/>
      <c r="BE1125" s="1"/>
    </row>
    <row x14ac:dyDescent="0.25" r="1126" customHeight="1" ht="18.75">
      <c r="A1126" s="1"/>
      <c r="B1126" s="2"/>
      <c r="C1126" s="2"/>
      <c r="D1126" s="2"/>
      <c r="E1126" s="2"/>
      <c r="F1126" s="2"/>
      <c r="G1126" s="1"/>
      <c r="H1126" s="1"/>
      <c r="I1126" s="7">
        <v>1.123</v>
      </c>
      <c r="J1126" s="7">
        <f>IF((I1126-ROUNDDOWN(I1126,0))=0, 0, (I1126-ROUNDDOWN(I1126,0)))</f>
      </c>
      <c r="K1126" s="7">
        <f>INDIRECT("C$"&amp;2+MIN(2,ROUNDDOWN(I1126,0))*3)*(-$J1126^3+3*$J1126^2-3*$J1126+1)+INDIRECT("C$"&amp;3+MIN(2,ROUNDDOWN(I1126,0))*3)*(3*$J1126^3-6*$J1126^2+3*$J1126)+INDIRECT("C$"&amp;4+MIN(2,ROUNDDOWN(I1126,0))*3)*(-3*$J1126^3+3*$J1126^2)+INDIRECT("C$"&amp;5+MIN(2,ROUNDDOWN(I1126,0))*3)*$J1126^3</f>
      </c>
      <c r="L1126" s="7">
        <f>INDIRECT("D$"&amp;2+MIN(2,ROUNDDOWN(I1126,0))*3)*(-$J1126^3+3*$J1126^2-3*$J1126+1)+INDIRECT("D$"&amp;3+MIN(2,ROUNDDOWN(I1126,0))*3)*(3*$J1126^3-6*$J1126^2+3*$J1126)+INDIRECT("D$"&amp;4+MIN(2,ROUNDDOWN(I1126,0))*3)*(-3*$J1126^3+3*$J1126^2)+INDIRECT("D$"&amp;5+MIN(2,ROUNDDOWN(I1126,0))*3)*$J1126^3</f>
      </c>
      <c r="M1126" s="7">
        <f>SQRT(K1126^2+L1126^2)</f>
      </c>
      <c r="N1126" s="7">
        <f>(K1127-K1125)</f>
      </c>
      <c r="O1126" s="7">
        <f>+(L1127-L1125)</f>
      </c>
      <c r="P1126" s="7">
        <f>SQRT(O1126^2+N1126^2)</f>
      </c>
      <c r="Q1126" s="7">
        <f>N1126/$P1126</f>
      </c>
      <c r="R1126" s="7">
        <f>O1126/$P1126</f>
      </c>
      <c r="S1126" s="8">
        <f>Q1126^2+R1126^2</f>
      </c>
      <c r="T1126" s="7">
        <f>-R1126</f>
      </c>
      <c r="U1126" s="7">
        <f>Q1126</f>
      </c>
      <c r="V1126" s="7">
        <f>($C$14+($C$15-$C$14)/($D$15-$D$14)*(I1126-$D$14))/2</f>
      </c>
      <c r="W1126" s="7">
        <f>($B$22*I1126^4+$C$22*I1126^3+$D$22*I1126^2+$E$22*I1126+$F$22)/2</f>
      </c>
      <c r="X1126" s="7">
        <f>($W1126)*(T1126)</f>
      </c>
      <c r="Y1126" s="7">
        <f>($W1126)*(U1126)</f>
      </c>
      <c r="Z1126" s="7">
        <f>SQRT(X1126^2+Y1126^2)</f>
      </c>
      <c r="AA1126" s="7">
        <f>$K1126+$X1126</f>
      </c>
      <c r="AB1126" s="7">
        <f>$L1126+$Y1126</f>
      </c>
      <c r="AC1126" s="7">
        <f>$K1126-$X1126</f>
      </c>
      <c r="AD1126" s="7">
        <f>$L1126-$Y1126</f>
      </c>
      <c r="AE1126" s="7">
        <f>AA1126/39.3701</f>
      </c>
      <c r="AF1126" s="7">
        <f>AB1126/39.3701</f>
      </c>
      <c r="AG1126" s="7">
        <f>AC1126/39.3701</f>
      </c>
      <c r="AH1126" s="7">
        <f>AD1126/39.3701</f>
      </c>
      <c r="AI1126" s="1"/>
      <c r="AJ1126" s="1"/>
      <c r="AK1126" s="1"/>
      <c r="AL1126" s="1"/>
      <c r="AM1126" s="2"/>
      <c r="AN1126" s="1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  <c r="BA1126" s="1"/>
      <c r="BB1126" s="1"/>
      <c r="BC1126" s="1"/>
      <c r="BD1126" s="1"/>
      <c r="BE1126" s="1"/>
    </row>
    <row x14ac:dyDescent="0.25" r="1127" customHeight="1" ht="18.75">
      <c r="A1127" s="1"/>
      <c r="B1127" s="2"/>
      <c r="C1127" s="2"/>
      <c r="D1127" s="2"/>
      <c r="E1127" s="2"/>
      <c r="F1127" s="2"/>
      <c r="G1127" s="1"/>
      <c r="H1127" s="1"/>
      <c r="I1127" s="7">
        <v>1.124</v>
      </c>
      <c r="J1127" s="7">
        <f>IF((I1127-ROUNDDOWN(I1127,0))=0, 0, (I1127-ROUNDDOWN(I1127,0)))</f>
      </c>
      <c r="K1127" s="7">
        <f>INDIRECT("C$"&amp;2+MIN(2,ROUNDDOWN(I1127,0))*3)*(-$J1127^3+3*$J1127^2-3*$J1127+1)+INDIRECT("C$"&amp;3+MIN(2,ROUNDDOWN(I1127,0))*3)*(3*$J1127^3-6*$J1127^2+3*$J1127)+INDIRECT("C$"&amp;4+MIN(2,ROUNDDOWN(I1127,0))*3)*(-3*$J1127^3+3*$J1127^2)+INDIRECT("C$"&amp;5+MIN(2,ROUNDDOWN(I1127,0))*3)*$J1127^3</f>
      </c>
      <c r="L1127" s="7">
        <f>INDIRECT("D$"&amp;2+MIN(2,ROUNDDOWN(I1127,0))*3)*(-$J1127^3+3*$J1127^2-3*$J1127+1)+INDIRECT("D$"&amp;3+MIN(2,ROUNDDOWN(I1127,0))*3)*(3*$J1127^3-6*$J1127^2+3*$J1127)+INDIRECT("D$"&amp;4+MIN(2,ROUNDDOWN(I1127,0))*3)*(-3*$J1127^3+3*$J1127^2)+INDIRECT("D$"&amp;5+MIN(2,ROUNDDOWN(I1127,0))*3)*$J1127^3</f>
      </c>
      <c r="M1127" s="7">
        <f>SQRT(K1127^2+L1127^2)</f>
      </c>
      <c r="N1127" s="7">
        <f>(K1128-K1126)</f>
      </c>
      <c r="O1127" s="7">
        <f>+(L1128-L1126)</f>
      </c>
      <c r="P1127" s="7">
        <f>SQRT(O1127^2+N1127^2)</f>
      </c>
      <c r="Q1127" s="7">
        <f>N1127/$P1127</f>
      </c>
      <c r="R1127" s="7">
        <f>O1127/$P1127</f>
      </c>
      <c r="S1127" s="8">
        <f>Q1127^2+R1127^2</f>
      </c>
      <c r="T1127" s="7">
        <f>-R1127</f>
      </c>
      <c r="U1127" s="7">
        <f>Q1127</f>
      </c>
      <c r="V1127" s="7">
        <f>($C$14+($C$15-$C$14)/($D$15-$D$14)*(I1127-$D$14))/2</f>
      </c>
      <c r="W1127" s="7">
        <f>($B$22*I1127^4+$C$22*I1127^3+$D$22*I1127^2+$E$22*I1127+$F$22)/2</f>
      </c>
      <c r="X1127" s="7">
        <f>($W1127)*(T1127)</f>
      </c>
      <c r="Y1127" s="7">
        <f>($W1127)*(U1127)</f>
      </c>
      <c r="Z1127" s="7">
        <f>SQRT(X1127^2+Y1127^2)</f>
      </c>
      <c r="AA1127" s="7">
        <f>$K1127+$X1127</f>
      </c>
      <c r="AB1127" s="7">
        <f>$L1127+$Y1127</f>
      </c>
      <c r="AC1127" s="7">
        <f>$K1127-$X1127</f>
      </c>
      <c r="AD1127" s="7">
        <f>$L1127-$Y1127</f>
      </c>
      <c r="AE1127" s="7">
        <f>AA1127/39.3701</f>
      </c>
      <c r="AF1127" s="7">
        <f>AB1127/39.3701</f>
      </c>
      <c r="AG1127" s="7">
        <f>AC1127/39.3701</f>
      </c>
      <c r="AH1127" s="7">
        <f>AD1127/39.3701</f>
      </c>
      <c r="AI1127" s="1"/>
      <c r="AJ1127" s="1"/>
      <c r="AK1127" s="1"/>
      <c r="AL1127" s="1"/>
      <c r="AM1127" s="2"/>
      <c r="AN1127" s="1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  <c r="BA1127" s="1"/>
      <c r="BB1127" s="1"/>
      <c r="BC1127" s="1"/>
      <c r="BD1127" s="1"/>
      <c r="BE1127" s="1"/>
    </row>
    <row x14ac:dyDescent="0.25" r="1128" customHeight="1" ht="18.75">
      <c r="A1128" s="1"/>
      <c r="B1128" s="2"/>
      <c r="C1128" s="2"/>
      <c r="D1128" s="2"/>
      <c r="E1128" s="2"/>
      <c r="F1128" s="2"/>
      <c r="G1128" s="1"/>
      <c r="H1128" s="1"/>
      <c r="I1128" s="7">
        <v>1.125</v>
      </c>
      <c r="J1128" s="7">
        <f>IF((I1128-ROUNDDOWN(I1128,0))=0, 0, (I1128-ROUNDDOWN(I1128,0)))</f>
      </c>
      <c r="K1128" s="7">
        <f>INDIRECT("C$"&amp;2+MIN(2,ROUNDDOWN(I1128,0))*3)*(-$J1128^3+3*$J1128^2-3*$J1128+1)+INDIRECT("C$"&amp;3+MIN(2,ROUNDDOWN(I1128,0))*3)*(3*$J1128^3-6*$J1128^2+3*$J1128)+INDIRECT("C$"&amp;4+MIN(2,ROUNDDOWN(I1128,0))*3)*(-3*$J1128^3+3*$J1128^2)+INDIRECT("C$"&amp;5+MIN(2,ROUNDDOWN(I1128,0))*3)*$J1128^3</f>
      </c>
      <c r="L1128" s="7">
        <f>INDIRECT("D$"&amp;2+MIN(2,ROUNDDOWN(I1128,0))*3)*(-$J1128^3+3*$J1128^2-3*$J1128+1)+INDIRECT("D$"&amp;3+MIN(2,ROUNDDOWN(I1128,0))*3)*(3*$J1128^3-6*$J1128^2+3*$J1128)+INDIRECT("D$"&amp;4+MIN(2,ROUNDDOWN(I1128,0))*3)*(-3*$J1128^3+3*$J1128^2)+INDIRECT("D$"&amp;5+MIN(2,ROUNDDOWN(I1128,0))*3)*$J1128^3</f>
      </c>
      <c r="M1128" s="7">
        <f>SQRT(K1128^2+L1128^2)</f>
      </c>
      <c r="N1128" s="7">
        <f>(K1129-K1127)</f>
      </c>
      <c r="O1128" s="7">
        <f>+(L1129-L1127)</f>
      </c>
      <c r="P1128" s="7">
        <f>SQRT(O1128^2+N1128^2)</f>
      </c>
      <c r="Q1128" s="7">
        <f>N1128/$P1128</f>
      </c>
      <c r="R1128" s="7">
        <f>O1128/$P1128</f>
      </c>
      <c r="S1128" s="7">
        <f>Q1128^2+R1128^2</f>
      </c>
      <c r="T1128" s="7">
        <f>-R1128</f>
      </c>
      <c r="U1128" s="7">
        <f>Q1128</f>
      </c>
      <c r="V1128" s="7">
        <f>($C$14+($C$15-$C$14)/($D$15-$D$14)*(I1128-$D$14))/2</f>
      </c>
      <c r="W1128" s="7">
        <f>($B$22*I1128^4+$C$22*I1128^3+$D$22*I1128^2+$E$22*I1128+$F$22)/2</f>
      </c>
      <c r="X1128" s="7">
        <f>($W1128)*(T1128)</f>
      </c>
      <c r="Y1128" s="7">
        <f>($W1128)*(U1128)</f>
      </c>
      <c r="Z1128" s="7">
        <f>SQRT(X1128^2+Y1128^2)</f>
      </c>
      <c r="AA1128" s="7">
        <f>$K1128+$X1128</f>
      </c>
      <c r="AB1128" s="7">
        <f>$L1128+$Y1128</f>
      </c>
      <c r="AC1128" s="7">
        <f>$K1128-$X1128</f>
      </c>
      <c r="AD1128" s="7">
        <f>$L1128-$Y1128</f>
      </c>
      <c r="AE1128" s="7">
        <f>AA1128/39.3701</f>
      </c>
      <c r="AF1128" s="7">
        <f>AB1128/39.3701</f>
      </c>
      <c r="AG1128" s="7">
        <f>AC1128/39.3701</f>
      </c>
      <c r="AH1128" s="7">
        <f>AD1128/39.3701</f>
      </c>
      <c r="AI1128" s="1"/>
      <c r="AJ1128" s="1"/>
      <c r="AK1128" s="1"/>
      <c r="AL1128" s="1"/>
      <c r="AM1128" s="2"/>
      <c r="AN1128" s="1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  <c r="BA1128" s="1"/>
      <c r="BB1128" s="1"/>
      <c r="BC1128" s="1"/>
      <c r="BD1128" s="1"/>
      <c r="BE1128" s="1"/>
    </row>
    <row x14ac:dyDescent="0.25" r="1129" customHeight="1" ht="18.75">
      <c r="A1129" s="1"/>
      <c r="B1129" s="2"/>
      <c r="C1129" s="2"/>
      <c r="D1129" s="2"/>
      <c r="E1129" s="2"/>
      <c r="F1129" s="2"/>
      <c r="G1129" s="1"/>
      <c r="H1129" s="1"/>
      <c r="I1129" s="7">
        <v>1.126</v>
      </c>
      <c r="J1129" s="7">
        <f>IF((I1129-ROUNDDOWN(I1129,0))=0, 0, (I1129-ROUNDDOWN(I1129,0)))</f>
      </c>
      <c r="K1129" s="7">
        <f>INDIRECT("C$"&amp;2+MIN(2,ROUNDDOWN(I1129,0))*3)*(-$J1129^3+3*$J1129^2-3*$J1129+1)+INDIRECT("C$"&amp;3+MIN(2,ROUNDDOWN(I1129,0))*3)*(3*$J1129^3-6*$J1129^2+3*$J1129)+INDIRECT("C$"&amp;4+MIN(2,ROUNDDOWN(I1129,0))*3)*(-3*$J1129^3+3*$J1129^2)+INDIRECT("C$"&amp;5+MIN(2,ROUNDDOWN(I1129,0))*3)*$J1129^3</f>
      </c>
      <c r="L1129" s="7">
        <f>INDIRECT("D$"&amp;2+MIN(2,ROUNDDOWN(I1129,0))*3)*(-$J1129^3+3*$J1129^2-3*$J1129+1)+INDIRECT("D$"&amp;3+MIN(2,ROUNDDOWN(I1129,0))*3)*(3*$J1129^3-6*$J1129^2+3*$J1129)+INDIRECT("D$"&amp;4+MIN(2,ROUNDDOWN(I1129,0))*3)*(-3*$J1129^3+3*$J1129^2)+INDIRECT("D$"&amp;5+MIN(2,ROUNDDOWN(I1129,0))*3)*$J1129^3</f>
      </c>
      <c r="M1129" s="7">
        <f>SQRT(K1129^2+L1129^2)</f>
      </c>
      <c r="N1129" s="7">
        <f>(K1130-K1128)</f>
      </c>
      <c r="O1129" s="7">
        <f>+(L1130-L1128)</f>
      </c>
      <c r="P1129" s="7">
        <f>SQRT(O1129^2+N1129^2)</f>
      </c>
      <c r="Q1129" s="7">
        <f>N1129/$P1129</f>
      </c>
      <c r="R1129" s="7">
        <f>O1129/$P1129</f>
      </c>
      <c r="S1129" s="7">
        <f>Q1129^2+R1129^2</f>
      </c>
      <c r="T1129" s="7">
        <f>-R1129</f>
      </c>
      <c r="U1129" s="7">
        <f>Q1129</f>
      </c>
      <c r="V1129" s="7">
        <f>($C$14+($C$15-$C$14)/($D$15-$D$14)*(I1129-$D$14))/2</f>
      </c>
      <c r="W1129" s="7">
        <f>($B$22*I1129^4+$C$22*I1129^3+$D$22*I1129^2+$E$22*I1129+$F$22)/2</f>
      </c>
      <c r="X1129" s="7">
        <f>($W1129)*(T1129)</f>
      </c>
      <c r="Y1129" s="7">
        <f>($W1129)*(U1129)</f>
      </c>
      <c r="Z1129" s="7">
        <f>SQRT(X1129^2+Y1129^2)</f>
      </c>
      <c r="AA1129" s="7">
        <f>$K1129+$X1129</f>
      </c>
      <c r="AB1129" s="7">
        <f>$L1129+$Y1129</f>
      </c>
      <c r="AC1129" s="7">
        <f>$K1129-$X1129</f>
      </c>
      <c r="AD1129" s="7">
        <f>$L1129-$Y1129</f>
      </c>
      <c r="AE1129" s="7">
        <f>AA1129/39.3701</f>
      </c>
      <c r="AF1129" s="7">
        <f>AB1129/39.3701</f>
      </c>
      <c r="AG1129" s="7">
        <f>AC1129/39.3701</f>
      </c>
      <c r="AH1129" s="7">
        <f>AD1129/39.3701</f>
      </c>
      <c r="AI1129" s="1"/>
      <c r="AJ1129" s="1"/>
      <c r="AK1129" s="1"/>
      <c r="AL1129" s="1"/>
      <c r="AM1129" s="2"/>
      <c r="AN1129" s="1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  <c r="BA1129" s="1"/>
      <c r="BB1129" s="1"/>
      <c r="BC1129" s="1"/>
      <c r="BD1129" s="1"/>
      <c r="BE1129" s="1"/>
    </row>
    <row x14ac:dyDescent="0.25" r="1130" customHeight="1" ht="18.75">
      <c r="A1130" s="1"/>
      <c r="B1130" s="2"/>
      <c r="C1130" s="2"/>
      <c r="D1130" s="2"/>
      <c r="E1130" s="2"/>
      <c r="F1130" s="2"/>
      <c r="G1130" s="1"/>
      <c r="H1130" s="1"/>
      <c r="I1130" s="7">
        <v>1.127</v>
      </c>
      <c r="J1130" s="7">
        <f>IF((I1130-ROUNDDOWN(I1130,0))=0, 0, (I1130-ROUNDDOWN(I1130,0)))</f>
      </c>
      <c r="K1130" s="7">
        <f>INDIRECT("C$"&amp;2+MIN(2,ROUNDDOWN(I1130,0))*3)*(-$J1130^3+3*$J1130^2-3*$J1130+1)+INDIRECT("C$"&amp;3+MIN(2,ROUNDDOWN(I1130,0))*3)*(3*$J1130^3-6*$J1130^2+3*$J1130)+INDIRECT("C$"&amp;4+MIN(2,ROUNDDOWN(I1130,0))*3)*(-3*$J1130^3+3*$J1130^2)+INDIRECT("C$"&amp;5+MIN(2,ROUNDDOWN(I1130,0))*3)*$J1130^3</f>
      </c>
      <c r="L1130" s="7">
        <f>INDIRECT("D$"&amp;2+MIN(2,ROUNDDOWN(I1130,0))*3)*(-$J1130^3+3*$J1130^2-3*$J1130+1)+INDIRECT("D$"&amp;3+MIN(2,ROUNDDOWN(I1130,0))*3)*(3*$J1130^3-6*$J1130^2+3*$J1130)+INDIRECT("D$"&amp;4+MIN(2,ROUNDDOWN(I1130,0))*3)*(-3*$J1130^3+3*$J1130^2)+INDIRECT("D$"&amp;5+MIN(2,ROUNDDOWN(I1130,0))*3)*$J1130^3</f>
      </c>
      <c r="M1130" s="7">
        <f>SQRT(K1130^2+L1130^2)</f>
      </c>
      <c r="N1130" s="7">
        <f>(K1131-K1129)</f>
      </c>
      <c r="O1130" s="7">
        <f>+(L1131-L1129)</f>
      </c>
      <c r="P1130" s="7">
        <f>SQRT(O1130^2+N1130^2)</f>
      </c>
      <c r="Q1130" s="7">
        <f>N1130/$P1130</f>
      </c>
      <c r="R1130" s="7">
        <f>O1130/$P1130</f>
      </c>
      <c r="S1130" s="7">
        <f>Q1130^2+R1130^2</f>
      </c>
      <c r="T1130" s="7">
        <f>-R1130</f>
      </c>
      <c r="U1130" s="7">
        <f>Q1130</f>
      </c>
      <c r="V1130" s="7">
        <f>($C$14+($C$15-$C$14)/($D$15-$D$14)*(I1130-$D$14))/2</f>
      </c>
      <c r="W1130" s="7">
        <f>($B$22*I1130^4+$C$22*I1130^3+$D$22*I1130^2+$E$22*I1130+$F$22)/2</f>
      </c>
      <c r="X1130" s="7">
        <f>($W1130)*(T1130)</f>
      </c>
      <c r="Y1130" s="7">
        <f>($W1130)*(U1130)</f>
      </c>
      <c r="Z1130" s="7">
        <f>SQRT(X1130^2+Y1130^2)</f>
      </c>
      <c r="AA1130" s="7">
        <f>$K1130+$X1130</f>
      </c>
      <c r="AB1130" s="7">
        <f>$L1130+$Y1130</f>
      </c>
      <c r="AC1130" s="7">
        <f>$K1130-$X1130</f>
      </c>
      <c r="AD1130" s="7">
        <f>$L1130-$Y1130</f>
      </c>
      <c r="AE1130" s="7">
        <f>AA1130/39.3701</f>
      </c>
      <c r="AF1130" s="7">
        <f>AB1130/39.3701</f>
      </c>
      <c r="AG1130" s="7">
        <f>AC1130/39.3701</f>
      </c>
      <c r="AH1130" s="7">
        <f>AD1130/39.3701</f>
      </c>
      <c r="AI1130" s="1"/>
      <c r="AJ1130" s="1"/>
      <c r="AK1130" s="1"/>
      <c r="AL1130" s="1"/>
      <c r="AM1130" s="2"/>
      <c r="AN1130" s="1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  <c r="BA1130" s="1"/>
      <c r="BB1130" s="1"/>
      <c r="BC1130" s="1"/>
      <c r="BD1130" s="1"/>
      <c r="BE1130" s="1"/>
    </row>
    <row x14ac:dyDescent="0.25" r="1131" customHeight="1" ht="18.75">
      <c r="A1131" s="1"/>
      <c r="B1131" s="2"/>
      <c r="C1131" s="2"/>
      <c r="D1131" s="2"/>
      <c r="E1131" s="2"/>
      <c r="F1131" s="2"/>
      <c r="G1131" s="1"/>
      <c r="H1131" s="1"/>
      <c r="I1131" s="7">
        <v>1.128</v>
      </c>
      <c r="J1131" s="7">
        <f>IF((I1131-ROUNDDOWN(I1131,0))=0, 0, (I1131-ROUNDDOWN(I1131,0)))</f>
      </c>
      <c r="K1131" s="7">
        <f>INDIRECT("C$"&amp;2+MIN(2,ROUNDDOWN(I1131,0))*3)*(-$J1131^3+3*$J1131^2-3*$J1131+1)+INDIRECT("C$"&amp;3+MIN(2,ROUNDDOWN(I1131,0))*3)*(3*$J1131^3-6*$J1131^2+3*$J1131)+INDIRECT("C$"&amp;4+MIN(2,ROUNDDOWN(I1131,0))*3)*(-3*$J1131^3+3*$J1131^2)+INDIRECT("C$"&amp;5+MIN(2,ROUNDDOWN(I1131,0))*3)*$J1131^3</f>
      </c>
      <c r="L1131" s="7">
        <f>INDIRECT("D$"&amp;2+MIN(2,ROUNDDOWN(I1131,0))*3)*(-$J1131^3+3*$J1131^2-3*$J1131+1)+INDIRECT("D$"&amp;3+MIN(2,ROUNDDOWN(I1131,0))*3)*(3*$J1131^3-6*$J1131^2+3*$J1131)+INDIRECT("D$"&amp;4+MIN(2,ROUNDDOWN(I1131,0))*3)*(-3*$J1131^3+3*$J1131^2)+INDIRECT("D$"&amp;5+MIN(2,ROUNDDOWN(I1131,0))*3)*$J1131^3</f>
      </c>
      <c r="M1131" s="7">
        <f>SQRT(K1131^2+L1131^2)</f>
      </c>
      <c r="N1131" s="7">
        <f>(K1132-K1130)</f>
      </c>
      <c r="O1131" s="7">
        <f>+(L1132-L1130)</f>
      </c>
      <c r="P1131" s="7">
        <f>SQRT(O1131^2+N1131^2)</f>
      </c>
      <c r="Q1131" s="7">
        <f>N1131/$P1131</f>
      </c>
      <c r="R1131" s="7">
        <f>O1131/$P1131</f>
      </c>
      <c r="S1131" s="8">
        <f>Q1131^2+R1131^2</f>
      </c>
      <c r="T1131" s="7">
        <f>-R1131</f>
      </c>
      <c r="U1131" s="7">
        <f>Q1131</f>
      </c>
      <c r="V1131" s="7">
        <f>($C$14+($C$15-$C$14)/($D$15-$D$14)*(I1131-$D$14))/2</f>
      </c>
      <c r="W1131" s="7">
        <f>($B$22*I1131^4+$C$22*I1131^3+$D$22*I1131^2+$E$22*I1131+$F$22)/2</f>
      </c>
      <c r="X1131" s="7">
        <f>($W1131)*(T1131)</f>
      </c>
      <c r="Y1131" s="7">
        <f>($W1131)*(U1131)</f>
      </c>
      <c r="Z1131" s="7">
        <f>SQRT(X1131^2+Y1131^2)</f>
      </c>
      <c r="AA1131" s="7">
        <f>$K1131+$X1131</f>
      </c>
      <c r="AB1131" s="7">
        <f>$L1131+$Y1131</f>
      </c>
      <c r="AC1131" s="7">
        <f>$K1131-$X1131</f>
      </c>
      <c r="AD1131" s="7">
        <f>$L1131-$Y1131</f>
      </c>
      <c r="AE1131" s="7">
        <f>AA1131/39.3701</f>
      </c>
      <c r="AF1131" s="7">
        <f>AB1131/39.3701</f>
      </c>
      <c r="AG1131" s="7">
        <f>AC1131/39.3701</f>
      </c>
      <c r="AH1131" s="7">
        <f>AD1131/39.3701</f>
      </c>
      <c r="AI1131" s="1"/>
      <c r="AJ1131" s="1"/>
      <c r="AK1131" s="1"/>
      <c r="AL1131" s="1"/>
      <c r="AM1131" s="2"/>
      <c r="AN1131" s="1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  <c r="BA1131" s="1"/>
      <c r="BB1131" s="1"/>
      <c r="BC1131" s="1"/>
      <c r="BD1131" s="1"/>
      <c r="BE1131" s="1"/>
    </row>
    <row x14ac:dyDescent="0.25" r="1132" customHeight="1" ht="18.75">
      <c r="A1132" s="1"/>
      <c r="B1132" s="2"/>
      <c r="C1132" s="2"/>
      <c r="D1132" s="2"/>
      <c r="E1132" s="2"/>
      <c r="F1132" s="2"/>
      <c r="G1132" s="1"/>
      <c r="H1132" s="1"/>
      <c r="I1132" s="7">
        <v>1.129</v>
      </c>
      <c r="J1132" s="7">
        <f>IF((I1132-ROUNDDOWN(I1132,0))=0, 0, (I1132-ROUNDDOWN(I1132,0)))</f>
      </c>
      <c r="K1132" s="7">
        <f>INDIRECT("C$"&amp;2+MIN(2,ROUNDDOWN(I1132,0))*3)*(-$J1132^3+3*$J1132^2-3*$J1132+1)+INDIRECT("C$"&amp;3+MIN(2,ROUNDDOWN(I1132,0))*3)*(3*$J1132^3-6*$J1132^2+3*$J1132)+INDIRECT("C$"&amp;4+MIN(2,ROUNDDOWN(I1132,0))*3)*(-3*$J1132^3+3*$J1132^2)+INDIRECT("C$"&amp;5+MIN(2,ROUNDDOWN(I1132,0))*3)*$J1132^3</f>
      </c>
      <c r="L1132" s="7">
        <f>INDIRECT("D$"&amp;2+MIN(2,ROUNDDOWN(I1132,0))*3)*(-$J1132^3+3*$J1132^2-3*$J1132+1)+INDIRECT("D$"&amp;3+MIN(2,ROUNDDOWN(I1132,0))*3)*(3*$J1132^3-6*$J1132^2+3*$J1132)+INDIRECT("D$"&amp;4+MIN(2,ROUNDDOWN(I1132,0))*3)*(-3*$J1132^3+3*$J1132^2)+INDIRECT("D$"&amp;5+MIN(2,ROUNDDOWN(I1132,0))*3)*$J1132^3</f>
      </c>
      <c r="M1132" s="7">
        <f>SQRT(K1132^2+L1132^2)</f>
      </c>
      <c r="N1132" s="7">
        <f>(K1133-K1131)</f>
      </c>
      <c r="O1132" s="7">
        <f>+(L1133-L1131)</f>
      </c>
      <c r="P1132" s="7">
        <f>SQRT(O1132^2+N1132^2)</f>
      </c>
      <c r="Q1132" s="7">
        <f>N1132/$P1132</f>
      </c>
      <c r="R1132" s="7">
        <f>O1132/$P1132</f>
      </c>
      <c r="S1132" s="8">
        <f>Q1132^2+R1132^2</f>
      </c>
      <c r="T1132" s="7">
        <f>-R1132</f>
      </c>
      <c r="U1132" s="7">
        <f>Q1132</f>
      </c>
      <c r="V1132" s="7">
        <f>($C$14+($C$15-$C$14)/($D$15-$D$14)*(I1132-$D$14))/2</f>
      </c>
      <c r="W1132" s="7">
        <f>($B$22*I1132^4+$C$22*I1132^3+$D$22*I1132^2+$E$22*I1132+$F$22)/2</f>
      </c>
      <c r="X1132" s="7">
        <f>($W1132)*(T1132)</f>
      </c>
      <c r="Y1132" s="7">
        <f>($W1132)*(U1132)</f>
      </c>
      <c r="Z1132" s="7">
        <f>SQRT(X1132^2+Y1132^2)</f>
      </c>
      <c r="AA1132" s="7">
        <f>$K1132+$X1132</f>
      </c>
      <c r="AB1132" s="7">
        <f>$L1132+$Y1132</f>
      </c>
      <c r="AC1132" s="7">
        <f>$K1132-$X1132</f>
      </c>
      <c r="AD1132" s="7">
        <f>$L1132-$Y1132</f>
      </c>
      <c r="AE1132" s="7">
        <f>AA1132/39.3701</f>
      </c>
      <c r="AF1132" s="7">
        <f>AB1132/39.3701</f>
      </c>
      <c r="AG1132" s="7">
        <f>AC1132/39.3701</f>
      </c>
      <c r="AH1132" s="7">
        <f>AD1132/39.3701</f>
      </c>
      <c r="AI1132" s="1"/>
      <c r="AJ1132" s="1"/>
      <c r="AK1132" s="1"/>
      <c r="AL1132" s="1"/>
      <c r="AM1132" s="2"/>
      <c r="AN1132" s="1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  <c r="BA1132" s="1"/>
      <c r="BB1132" s="1"/>
      <c r="BC1132" s="1"/>
      <c r="BD1132" s="1"/>
      <c r="BE1132" s="1"/>
    </row>
    <row x14ac:dyDescent="0.25" r="1133" customHeight="1" ht="18.75">
      <c r="A1133" s="1"/>
      <c r="B1133" s="2"/>
      <c r="C1133" s="2"/>
      <c r="D1133" s="2"/>
      <c r="E1133" s="2"/>
      <c r="F1133" s="2"/>
      <c r="G1133" s="1"/>
      <c r="H1133" s="1"/>
      <c r="I1133" s="7">
        <v>1.13</v>
      </c>
      <c r="J1133" s="7">
        <f>IF((I1133-ROUNDDOWN(I1133,0))=0, 0, (I1133-ROUNDDOWN(I1133,0)))</f>
      </c>
      <c r="K1133" s="7">
        <f>INDIRECT("C$"&amp;2+MIN(2,ROUNDDOWN(I1133,0))*3)*(-$J1133^3+3*$J1133^2-3*$J1133+1)+INDIRECT("C$"&amp;3+MIN(2,ROUNDDOWN(I1133,0))*3)*(3*$J1133^3-6*$J1133^2+3*$J1133)+INDIRECT("C$"&amp;4+MIN(2,ROUNDDOWN(I1133,0))*3)*(-3*$J1133^3+3*$J1133^2)+INDIRECT("C$"&amp;5+MIN(2,ROUNDDOWN(I1133,0))*3)*$J1133^3</f>
      </c>
      <c r="L1133" s="7">
        <f>INDIRECT("D$"&amp;2+MIN(2,ROUNDDOWN(I1133,0))*3)*(-$J1133^3+3*$J1133^2-3*$J1133+1)+INDIRECT("D$"&amp;3+MIN(2,ROUNDDOWN(I1133,0))*3)*(3*$J1133^3-6*$J1133^2+3*$J1133)+INDIRECT("D$"&amp;4+MIN(2,ROUNDDOWN(I1133,0))*3)*(-3*$J1133^3+3*$J1133^2)+INDIRECT("D$"&amp;5+MIN(2,ROUNDDOWN(I1133,0))*3)*$J1133^3</f>
      </c>
      <c r="M1133" s="7">
        <f>SQRT(K1133^2+L1133^2)</f>
      </c>
      <c r="N1133" s="7">
        <f>(K1134-K1132)</f>
      </c>
      <c r="O1133" s="7">
        <f>+(L1134-L1132)</f>
      </c>
      <c r="P1133" s="7">
        <f>SQRT(O1133^2+N1133^2)</f>
      </c>
      <c r="Q1133" s="7">
        <f>N1133/$P1133</f>
      </c>
      <c r="R1133" s="7">
        <f>O1133/$P1133</f>
      </c>
      <c r="S1133" s="8">
        <f>Q1133^2+R1133^2</f>
      </c>
      <c r="T1133" s="7">
        <f>-R1133</f>
      </c>
      <c r="U1133" s="7">
        <f>Q1133</f>
      </c>
      <c r="V1133" s="7">
        <f>($C$14+($C$15-$C$14)/($D$15-$D$14)*(I1133-$D$14))/2</f>
      </c>
      <c r="W1133" s="7">
        <f>($B$22*I1133^4+$C$22*I1133^3+$D$22*I1133^2+$E$22*I1133+$F$22)/2</f>
      </c>
      <c r="X1133" s="7">
        <f>($W1133)*(T1133)</f>
      </c>
      <c r="Y1133" s="7">
        <f>($W1133)*(U1133)</f>
      </c>
      <c r="Z1133" s="7">
        <f>SQRT(X1133^2+Y1133^2)</f>
      </c>
      <c r="AA1133" s="7">
        <f>$K1133+$X1133</f>
      </c>
      <c r="AB1133" s="7">
        <f>$L1133+$Y1133</f>
      </c>
      <c r="AC1133" s="7">
        <f>$K1133-$X1133</f>
      </c>
      <c r="AD1133" s="7">
        <f>$L1133-$Y1133</f>
      </c>
      <c r="AE1133" s="7">
        <f>AA1133/39.3701</f>
      </c>
      <c r="AF1133" s="7">
        <f>AB1133/39.3701</f>
      </c>
      <c r="AG1133" s="7">
        <f>AC1133/39.3701</f>
      </c>
      <c r="AH1133" s="7">
        <f>AD1133/39.3701</f>
      </c>
      <c r="AI1133" s="1"/>
      <c r="AJ1133" s="1"/>
      <c r="AK1133" s="1"/>
      <c r="AL1133" s="1"/>
      <c r="AM1133" s="2"/>
      <c r="AN1133" s="1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  <c r="BA1133" s="1"/>
      <c r="BB1133" s="1"/>
      <c r="BC1133" s="1"/>
      <c r="BD1133" s="1"/>
      <c r="BE1133" s="1"/>
    </row>
    <row x14ac:dyDescent="0.25" r="1134" customHeight="1" ht="18.75">
      <c r="A1134" s="1"/>
      <c r="B1134" s="2"/>
      <c r="C1134" s="2"/>
      <c r="D1134" s="2"/>
      <c r="E1134" s="2"/>
      <c r="F1134" s="2"/>
      <c r="G1134" s="1"/>
      <c r="H1134" s="1"/>
      <c r="I1134" s="7">
        <v>1.131</v>
      </c>
      <c r="J1134" s="7">
        <f>IF((I1134-ROUNDDOWN(I1134,0))=0, 0, (I1134-ROUNDDOWN(I1134,0)))</f>
      </c>
      <c r="K1134" s="7">
        <f>INDIRECT("C$"&amp;2+MIN(2,ROUNDDOWN(I1134,0))*3)*(-$J1134^3+3*$J1134^2-3*$J1134+1)+INDIRECT("C$"&amp;3+MIN(2,ROUNDDOWN(I1134,0))*3)*(3*$J1134^3-6*$J1134^2+3*$J1134)+INDIRECT("C$"&amp;4+MIN(2,ROUNDDOWN(I1134,0))*3)*(-3*$J1134^3+3*$J1134^2)+INDIRECT("C$"&amp;5+MIN(2,ROUNDDOWN(I1134,0))*3)*$J1134^3</f>
      </c>
      <c r="L1134" s="7">
        <f>INDIRECT("D$"&amp;2+MIN(2,ROUNDDOWN(I1134,0))*3)*(-$J1134^3+3*$J1134^2-3*$J1134+1)+INDIRECT("D$"&amp;3+MIN(2,ROUNDDOWN(I1134,0))*3)*(3*$J1134^3-6*$J1134^2+3*$J1134)+INDIRECT("D$"&amp;4+MIN(2,ROUNDDOWN(I1134,0))*3)*(-3*$J1134^3+3*$J1134^2)+INDIRECT("D$"&amp;5+MIN(2,ROUNDDOWN(I1134,0))*3)*$J1134^3</f>
      </c>
      <c r="M1134" s="7">
        <f>SQRT(K1134^2+L1134^2)</f>
      </c>
      <c r="N1134" s="7">
        <f>(K1135-K1133)</f>
      </c>
      <c r="O1134" s="7">
        <f>+(L1135-L1133)</f>
      </c>
      <c r="P1134" s="7">
        <f>SQRT(O1134^2+N1134^2)</f>
      </c>
      <c r="Q1134" s="7">
        <f>N1134/$P1134</f>
      </c>
      <c r="R1134" s="7">
        <f>O1134/$P1134</f>
      </c>
      <c r="S1134" s="7">
        <f>Q1134^2+R1134^2</f>
      </c>
      <c r="T1134" s="7">
        <f>-R1134</f>
      </c>
      <c r="U1134" s="7">
        <f>Q1134</f>
      </c>
      <c r="V1134" s="7">
        <f>($C$14+($C$15-$C$14)/($D$15-$D$14)*(I1134-$D$14))/2</f>
      </c>
      <c r="W1134" s="7">
        <f>($B$22*I1134^4+$C$22*I1134^3+$D$22*I1134^2+$E$22*I1134+$F$22)/2</f>
      </c>
      <c r="X1134" s="7">
        <f>($W1134)*(T1134)</f>
      </c>
      <c r="Y1134" s="7">
        <f>($W1134)*(U1134)</f>
      </c>
      <c r="Z1134" s="7">
        <f>SQRT(X1134^2+Y1134^2)</f>
      </c>
      <c r="AA1134" s="7">
        <f>$K1134+$X1134</f>
      </c>
      <c r="AB1134" s="7">
        <f>$L1134+$Y1134</f>
      </c>
      <c r="AC1134" s="7">
        <f>$K1134-$X1134</f>
      </c>
      <c r="AD1134" s="7">
        <f>$L1134-$Y1134</f>
      </c>
      <c r="AE1134" s="7">
        <f>AA1134/39.3701</f>
      </c>
      <c r="AF1134" s="7">
        <f>AB1134/39.3701</f>
      </c>
      <c r="AG1134" s="7">
        <f>AC1134/39.3701</f>
      </c>
      <c r="AH1134" s="7">
        <f>AD1134/39.3701</f>
      </c>
      <c r="AI1134" s="1"/>
      <c r="AJ1134" s="1"/>
      <c r="AK1134" s="1"/>
      <c r="AL1134" s="1"/>
      <c r="AM1134" s="2"/>
      <c r="AN1134" s="1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  <c r="BA1134" s="1"/>
      <c r="BB1134" s="1"/>
      <c r="BC1134" s="1"/>
      <c r="BD1134" s="1"/>
      <c r="BE1134" s="1"/>
    </row>
    <row x14ac:dyDescent="0.25" r="1135" customHeight="1" ht="18.75">
      <c r="A1135" s="1"/>
      <c r="B1135" s="2"/>
      <c r="C1135" s="2"/>
      <c r="D1135" s="2"/>
      <c r="E1135" s="2"/>
      <c r="F1135" s="2"/>
      <c r="G1135" s="1"/>
      <c r="H1135" s="1"/>
      <c r="I1135" s="7">
        <v>1.132</v>
      </c>
      <c r="J1135" s="7">
        <f>IF((I1135-ROUNDDOWN(I1135,0))=0, 0, (I1135-ROUNDDOWN(I1135,0)))</f>
      </c>
      <c r="K1135" s="7">
        <f>INDIRECT("C$"&amp;2+MIN(2,ROUNDDOWN(I1135,0))*3)*(-$J1135^3+3*$J1135^2-3*$J1135+1)+INDIRECT("C$"&amp;3+MIN(2,ROUNDDOWN(I1135,0))*3)*(3*$J1135^3-6*$J1135^2+3*$J1135)+INDIRECT("C$"&amp;4+MIN(2,ROUNDDOWN(I1135,0))*3)*(-3*$J1135^3+3*$J1135^2)+INDIRECT("C$"&amp;5+MIN(2,ROUNDDOWN(I1135,0))*3)*$J1135^3</f>
      </c>
      <c r="L1135" s="7">
        <f>INDIRECT("D$"&amp;2+MIN(2,ROUNDDOWN(I1135,0))*3)*(-$J1135^3+3*$J1135^2-3*$J1135+1)+INDIRECT("D$"&amp;3+MIN(2,ROUNDDOWN(I1135,0))*3)*(3*$J1135^3-6*$J1135^2+3*$J1135)+INDIRECT("D$"&amp;4+MIN(2,ROUNDDOWN(I1135,0))*3)*(-3*$J1135^3+3*$J1135^2)+INDIRECT("D$"&amp;5+MIN(2,ROUNDDOWN(I1135,0))*3)*$J1135^3</f>
      </c>
      <c r="M1135" s="7">
        <f>SQRT(K1135^2+L1135^2)</f>
      </c>
      <c r="N1135" s="7">
        <f>(K1136-K1134)</f>
      </c>
      <c r="O1135" s="7">
        <f>+(L1136-L1134)</f>
      </c>
      <c r="P1135" s="7">
        <f>SQRT(O1135^2+N1135^2)</f>
      </c>
      <c r="Q1135" s="7">
        <f>N1135/$P1135</f>
      </c>
      <c r="R1135" s="7">
        <f>O1135/$P1135</f>
      </c>
      <c r="S1135" s="7">
        <f>Q1135^2+R1135^2</f>
      </c>
      <c r="T1135" s="7">
        <f>-R1135</f>
      </c>
      <c r="U1135" s="7">
        <f>Q1135</f>
      </c>
      <c r="V1135" s="7">
        <f>($C$14+($C$15-$C$14)/($D$15-$D$14)*(I1135-$D$14))/2</f>
      </c>
      <c r="W1135" s="7">
        <f>($B$22*I1135^4+$C$22*I1135^3+$D$22*I1135^2+$E$22*I1135+$F$22)/2</f>
      </c>
      <c r="X1135" s="7">
        <f>($W1135)*(T1135)</f>
      </c>
      <c r="Y1135" s="7">
        <f>($W1135)*(U1135)</f>
      </c>
      <c r="Z1135" s="7">
        <f>SQRT(X1135^2+Y1135^2)</f>
      </c>
      <c r="AA1135" s="7">
        <f>$K1135+$X1135</f>
      </c>
      <c r="AB1135" s="7">
        <f>$L1135+$Y1135</f>
      </c>
      <c r="AC1135" s="7">
        <f>$K1135-$X1135</f>
      </c>
      <c r="AD1135" s="7">
        <f>$L1135-$Y1135</f>
      </c>
      <c r="AE1135" s="7">
        <f>AA1135/39.3701</f>
      </c>
      <c r="AF1135" s="7">
        <f>AB1135/39.3701</f>
      </c>
      <c r="AG1135" s="7">
        <f>AC1135/39.3701</f>
      </c>
      <c r="AH1135" s="7">
        <f>AD1135/39.3701</f>
      </c>
      <c r="AI1135" s="1"/>
      <c r="AJ1135" s="1"/>
      <c r="AK1135" s="1"/>
      <c r="AL1135" s="1"/>
      <c r="AM1135" s="2"/>
      <c r="AN1135" s="1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  <c r="BA1135" s="1"/>
      <c r="BB1135" s="1"/>
      <c r="BC1135" s="1"/>
      <c r="BD1135" s="1"/>
      <c r="BE1135" s="1"/>
    </row>
    <row x14ac:dyDescent="0.25" r="1136" customHeight="1" ht="18.75">
      <c r="A1136" s="1"/>
      <c r="B1136" s="2"/>
      <c r="C1136" s="2"/>
      <c r="D1136" s="2"/>
      <c r="E1136" s="2"/>
      <c r="F1136" s="2"/>
      <c r="G1136" s="1"/>
      <c r="H1136" s="1"/>
      <c r="I1136" s="7">
        <v>1.133</v>
      </c>
      <c r="J1136" s="7">
        <f>IF((I1136-ROUNDDOWN(I1136,0))=0, 0, (I1136-ROUNDDOWN(I1136,0)))</f>
      </c>
      <c r="K1136" s="7">
        <f>INDIRECT("C$"&amp;2+MIN(2,ROUNDDOWN(I1136,0))*3)*(-$J1136^3+3*$J1136^2-3*$J1136+1)+INDIRECT("C$"&amp;3+MIN(2,ROUNDDOWN(I1136,0))*3)*(3*$J1136^3-6*$J1136^2+3*$J1136)+INDIRECT("C$"&amp;4+MIN(2,ROUNDDOWN(I1136,0))*3)*(-3*$J1136^3+3*$J1136^2)+INDIRECT("C$"&amp;5+MIN(2,ROUNDDOWN(I1136,0))*3)*$J1136^3</f>
      </c>
      <c r="L1136" s="7">
        <f>INDIRECT("D$"&amp;2+MIN(2,ROUNDDOWN(I1136,0))*3)*(-$J1136^3+3*$J1136^2-3*$J1136+1)+INDIRECT("D$"&amp;3+MIN(2,ROUNDDOWN(I1136,0))*3)*(3*$J1136^3-6*$J1136^2+3*$J1136)+INDIRECT("D$"&amp;4+MIN(2,ROUNDDOWN(I1136,0))*3)*(-3*$J1136^3+3*$J1136^2)+INDIRECT("D$"&amp;5+MIN(2,ROUNDDOWN(I1136,0))*3)*$J1136^3</f>
      </c>
      <c r="M1136" s="7">
        <f>SQRT(K1136^2+L1136^2)</f>
      </c>
      <c r="N1136" s="7">
        <f>(K1137-K1135)</f>
      </c>
      <c r="O1136" s="7">
        <f>+(L1137-L1135)</f>
      </c>
      <c r="P1136" s="7">
        <f>SQRT(O1136^2+N1136^2)</f>
      </c>
      <c r="Q1136" s="7">
        <f>N1136/$P1136</f>
      </c>
      <c r="R1136" s="7">
        <f>O1136/$P1136</f>
      </c>
      <c r="S1136" s="7">
        <f>Q1136^2+R1136^2</f>
      </c>
      <c r="T1136" s="7">
        <f>-R1136</f>
      </c>
      <c r="U1136" s="7">
        <f>Q1136</f>
      </c>
      <c r="V1136" s="7">
        <f>($C$14+($C$15-$C$14)/($D$15-$D$14)*(I1136-$D$14))/2</f>
      </c>
      <c r="W1136" s="7">
        <f>($B$22*I1136^4+$C$22*I1136^3+$D$22*I1136^2+$E$22*I1136+$F$22)/2</f>
      </c>
      <c r="X1136" s="7">
        <f>($W1136)*(T1136)</f>
      </c>
      <c r="Y1136" s="7">
        <f>($W1136)*(U1136)</f>
      </c>
      <c r="Z1136" s="7">
        <f>SQRT(X1136^2+Y1136^2)</f>
      </c>
      <c r="AA1136" s="7">
        <f>$K1136+$X1136</f>
      </c>
      <c r="AB1136" s="7">
        <f>$L1136+$Y1136</f>
      </c>
      <c r="AC1136" s="7">
        <f>$K1136-$X1136</f>
      </c>
      <c r="AD1136" s="7">
        <f>$L1136-$Y1136</f>
      </c>
      <c r="AE1136" s="7">
        <f>AA1136/39.3701</f>
      </c>
      <c r="AF1136" s="7">
        <f>AB1136/39.3701</f>
      </c>
      <c r="AG1136" s="7">
        <f>AC1136/39.3701</f>
      </c>
      <c r="AH1136" s="7">
        <f>AD1136/39.3701</f>
      </c>
      <c r="AI1136" s="1"/>
      <c r="AJ1136" s="1"/>
      <c r="AK1136" s="1"/>
      <c r="AL1136" s="1"/>
      <c r="AM1136" s="2"/>
      <c r="AN1136" s="1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  <c r="BA1136" s="1"/>
      <c r="BB1136" s="1"/>
      <c r="BC1136" s="1"/>
      <c r="BD1136" s="1"/>
      <c r="BE1136" s="1"/>
    </row>
    <row x14ac:dyDescent="0.25" r="1137" customHeight="1" ht="18.75">
      <c r="A1137" s="1"/>
      <c r="B1137" s="2"/>
      <c r="C1137" s="2"/>
      <c r="D1137" s="2"/>
      <c r="E1137" s="2"/>
      <c r="F1137" s="2"/>
      <c r="G1137" s="1"/>
      <c r="H1137" s="1"/>
      <c r="I1137" s="7">
        <v>1.134</v>
      </c>
      <c r="J1137" s="7">
        <f>IF((I1137-ROUNDDOWN(I1137,0))=0, 0, (I1137-ROUNDDOWN(I1137,0)))</f>
      </c>
      <c r="K1137" s="7">
        <f>INDIRECT("C$"&amp;2+MIN(2,ROUNDDOWN(I1137,0))*3)*(-$J1137^3+3*$J1137^2-3*$J1137+1)+INDIRECT("C$"&amp;3+MIN(2,ROUNDDOWN(I1137,0))*3)*(3*$J1137^3-6*$J1137^2+3*$J1137)+INDIRECT("C$"&amp;4+MIN(2,ROUNDDOWN(I1137,0))*3)*(-3*$J1137^3+3*$J1137^2)+INDIRECT("C$"&amp;5+MIN(2,ROUNDDOWN(I1137,0))*3)*$J1137^3</f>
      </c>
      <c r="L1137" s="7">
        <f>INDIRECT("D$"&amp;2+MIN(2,ROUNDDOWN(I1137,0))*3)*(-$J1137^3+3*$J1137^2-3*$J1137+1)+INDIRECT("D$"&amp;3+MIN(2,ROUNDDOWN(I1137,0))*3)*(3*$J1137^3-6*$J1137^2+3*$J1137)+INDIRECT("D$"&amp;4+MIN(2,ROUNDDOWN(I1137,0))*3)*(-3*$J1137^3+3*$J1137^2)+INDIRECT("D$"&amp;5+MIN(2,ROUNDDOWN(I1137,0))*3)*$J1137^3</f>
      </c>
      <c r="M1137" s="7">
        <f>SQRT(K1137^2+L1137^2)</f>
      </c>
      <c r="N1137" s="7">
        <f>(K1138-K1136)</f>
      </c>
      <c r="O1137" s="7">
        <f>+(L1138-L1136)</f>
      </c>
      <c r="P1137" s="7">
        <f>SQRT(O1137^2+N1137^2)</f>
      </c>
      <c r="Q1137" s="7">
        <f>N1137/$P1137</f>
      </c>
      <c r="R1137" s="7">
        <f>O1137/$P1137</f>
      </c>
      <c r="S1137" s="7">
        <f>Q1137^2+R1137^2</f>
      </c>
      <c r="T1137" s="7">
        <f>-R1137</f>
      </c>
      <c r="U1137" s="7">
        <f>Q1137</f>
      </c>
      <c r="V1137" s="7">
        <f>($C$14+($C$15-$C$14)/($D$15-$D$14)*(I1137-$D$14))/2</f>
      </c>
      <c r="W1137" s="7">
        <f>($B$22*I1137^4+$C$22*I1137^3+$D$22*I1137^2+$E$22*I1137+$F$22)/2</f>
      </c>
      <c r="X1137" s="7">
        <f>($W1137)*(T1137)</f>
      </c>
      <c r="Y1137" s="7">
        <f>($W1137)*(U1137)</f>
      </c>
      <c r="Z1137" s="7">
        <f>SQRT(X1137^2+Y1137^2)</f>
      </c>
      <c r="AA1137" s="7">
        <f>$K1137+$X1137</f>
      </c>
      <c r="AB1137" s="7">
        <f>$L1137+$Y1137</f>
      </c>
      <c r="AC1137" s="7">
        <f>$K1137-$X1137</f>
      </c>
      <c r="AD1137" s="7">
        <f>$L1137-$Y1137</f>
      </c>
      <c r="AE1137" s="7">
        <f>AA1137/39.3701</f>
      </c>
      <c r="AF1137" s="7">
        <f>AB1137/39.3701</f>
      </c>
      <c r="AG1137" s="7">
        <f>AC1137/39.3701</f>
      </c>
      <c r="AH1137" s="7">
        <f>AD1137/39.3701</f>
      </c>
      <c r="AI1137" s="1"/>
      <c r="AJ1137" s="1"/>
      <c r="AK1137" s="1"/>
      <c r="AL1137" s="1"/>
      <c r="AM1137" s="2"/>
      <c r="AN1137" s="1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  <c r="BA1137" s="1"/>
      <c r="BB1137" s="1"/>
      <c r="BC1137" s="1"/>
      <c r="BD1137" s="1"/>
      <c r="BE1137" s="1"/>
    </row>
    <row x14ac:dyDescent="0.25" r="1138" customHeight="1" ht="18.75">
      <c r="A1138" s="1"/>
      <c r="B1138" s="2"/>
      <c r="C1138" s="2"/>
      <c r="D1138" s="2"/>
      <c r="E1138" s="2"/>
      <c r="F1138" s="2"/>
      <c r="G1138" s="1"/>
      <c r="H1138" s="1"/>
      <c r="I1138" s="7">
        <v>1.135</v>
      </c>
      <c r="J1138" s="7">
        <f>IF((I1138-ROUNDDOWN(I1138,0))=0, 0, (I1138-ROUNDDOWN(I1138,0)))</f>
      </c>
      <c r="K1138" s="7">
        <f>INDIRECT("C$"&amp;2+MIN(2,ROUNDDOWN(I1138,0))*3)*(-$J1138^3+3*$J1138^2-3*$J1138+1)+INDIRECT("C$"&amp;3+MIN(2,ROUNDDOWN(I1138,0))*3)*(3*$J1138^3-6*$J1138^2+3*$J1138)+INDIRECT("C$"&amp;4+MIN(2,ROUNDDOWN(I1138,0))*3)*(-3*$J1138^3+3*$J1138^2)+INDIRECT("C$"&amp;5+MIN(2,ROUNDDOWN(I1138,0))*3)*$J1138^3</f>
      </c>
      <c r="L1138" s="7">
        <f>INDIRECT("D$"&amp;2+MIN(2,ROUNDDOWN(I1138,0))*3)*(-$J1138^3+3*$J1138^2-3*$J1138+1)+INDIRECT("D$"&amp;3+MIN(2,ROUNDDOWN(I1138,0))*3)*(3*$J1138^3-6*$J1138^2+3*$J1138)+INDIRECT("D$"&amp;4+MIN(2,ROUNDDOWN(I1138,0))*3)*(-3*$J1138^3+3*$J1138^2)+INDIRECT("D$"&amp;5+MIN(2,ROUNDDOWN(I1138,0))*3)*$J1138^3</f>
      </c>
      <c r="M1138" s="7">
        <f>SQRT(K1138^2+L1138^2)</f>
      </c>
      <c r="N1138" s="7">
        <f>(K1139-K1137)</f>
      </c>
      <c r="O1138" s="7">
        <f>+(L1139-L1137)</f>
      </c>
      <c r="P1138" s="7">
        <f>SQRT(O1138^2+N1138^2)</f>
      </c>
      <c r="Q1138" s="7">
        <f>N1138/$P1138</f>
      </c>
      <c r="R1138" s="7">
        <f>O1138/$P1138</f>
      </c>
      <c r="S1138" s="8">
        <f>Q1138^2+R1138^2</f>
      </c>
      <c r="T1138" s="7">
        <f>-R1138</f>
      </c>
      <c r="U1138" s="7">
        <f>Q1138</f>
      </c>
      <c r="V1138" s="7">
        <f>($C$14+($C$15-$C$14)/($D$15-$D$14)*(I1138-$D$14))/2</f>
      </c>
      <c r="W1138" s="7">
        <f>($B$22*I1138^4+$C$22*I1138^3+$D$22*I1138^2+$E$22*I1138+$F$22)/2</f>
      </c>
      <c r="X1138" s="7">
        <f>($W1138)*(T1138)</f>
      </c>
      <c r="Y1138" s="7">
        <f>($W1138)*(U1138)</f>
      </c>
      <c r="Z1138" s="7">
        <f>SQRT(X1138^2+Y1138^2)</f>
      </c>
      <c r="AA1138" s="7">
        <f>$K1138+$X1138</f>
      </c>
      <c r="AB1138" s="7">
        <f>$L1138+$Y1138</f>
      </c>
      <c r="AC1138" s="7">
        <f>$K1138-$X1138</f>
      </c>
      <c r="AD1138" s="7">
        <f>$L1138-$Y1138</f>
      </c>
      <c r="AE1138" s="7">
        <f>AA1138/39.3701</f>
      </c>
      <c r="AF1138" s="7">
        <f>AB1138/39.3701</f>
      </c>
      <c r="AG1138" s="7">
        <f>AC1138/39.3701</f>
      </c>
      <c r="AH1138" s="7">
        <f>AD1138/39.3701</f>
      </c>
      <c r="AI1138" s="1"/>
      <c r="AJ1138" s="1"/>
      <c r="AK1138" s="1"/>
      <c r="AL1138" s="1"/>
      <c r="AM1138" s="2"/>
      <c r="AN1138" s="1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  <c r="BA1138" s="1"/>
      <c r="BB1138" s="1"/>
      <c r="BC1138" s="1"/>
      <c r="BD1138" s="1"/>
      <c r="BE1138" s="1"/>
    </row>
    <row x14ac:dyDescent="0.25" r="1139" customHeight="1" ht="18.75">
      <c r="A1139" s="1"/>
      <c r="B1139" s="2"/>
      <c r="C1139" s="2"/>
      <c r="D1139" s="2"/>
      <c r="E1139" s="2"/>
      <c r="F1139" s="2"/>
      <c r="G1139" s="1"/>
      <c r="H1139" s="1"/>
      <c r="I1139" s="7">
        <v>1.136</v>
      </c>
      <c r="J1139" s="7">
        <f>IF((I1139-ROUNDDOWN(I1139,0))=0, 0, (I1139-ROUNDDOWN(I1139,0)))</f>
      </c>
      <c r="K1139" s="7">
        <f>INDIRECT("C$"&amp;2+MIN(2,ROUNDDOWN(I1139,0))*3)*(-$J1139^3+3*$J1139^2-3*$J1139+1)+INDIRECT("C$"&amp;3+MIN(2,ROUNDDOWN(I1139,0))*3)*(3*$J1139^3-6*$J1139^2+3*$J1139)+INDIRECT("C$"&amp;4+MIN(2,ROUNDDOWN(I1139,0))*3)*(-3*$J1139^3+3*$J1139^2)+INDIRECT("C$"&amp;5+MIN(2,ROUNDDOWN(I1139,0))*3)*$J1139^3</f>
      </c>
      <c r="L1139" s="7">
        <f>INDIRECT("D$"&amp;2+MIN(2,ROUNDDOWN(I1139,0))*3)*(-$J1139^3+3*$J1139^2-3*$J1139+1)+INDIRECT("D$"&amp;3+MIN(2,ROUNDDOWN(I1139,0))*3)*(3*$J1139^3-6*$J1139^2+3*$J1139)+INDIRECT("D$"&amp;4+MIN(2,ROUNDDOWN(I1139,0))*3)*(-3*$J1139^3+3*$J1139^2)+INDIRECT("D$"&amp;5+MIN(2,ROUNDDOWN(I1139,0))*3)*$J1139^3</f>
      </c>
      <c r="M1139" s="7">
        <f>SQRT(K1139^2+L1139^2)</f>
      </c>
      <c r="N1139" s="7">
        <f>(K1140-K1138)</f>
      </c>
      <c r="O1139" s="7">
        <f>+(L1140-L1138)</f>
      </c>
      <c r="P1139" s="7">
        <f>SQRT(O1139^2+N1139^2)</f>
      </c>
      <c r="Q1139" s="7">
        <f>N1139/$P1139</f>
      </c>
      <c r="R1139" s="7">
        <f>O1139/$P1139</f>
      </c>
      <c r="S1139" s="7">
        <f>Q1139^2+R1139^2</f>
      </c>
      <c r="T1139" s="7">
        <f>-R1139</f>
      </c>
      <c r="U1139" s="7">
        <f>Q1139</f>
      </c>
      <c r="V1139" s="7">
        <f>($C$14+($C$15-$C$14)/($D$15-$D$14)*(I1139-$D$14))/2</f>
      </c>
      <c r="W1139" s="7">
        <f>($B$22*I1139^4+$C$22*I1139^3+$D$22*I1139^2+$E$22*I1139+$F$22)/2</f>
      </c>
      <c r="X1139" s="7">
        <f>($W1139)*(T1139)</f>
      </c>
      <c r="Y1139" s="7">
        <f>($W1139)*(U1139)</f>
      </c>
      <c r="Z1139" s="7">
        <f>SQRT(X1139^2+Y1139^2)</f>
      </c>
      <c r="AA1139" s="7">
        <f>$K1139+$X1139</f>
      </c>
      <c r="AB1139" s="7">
        <f>$L1139+$Y1139</f>
      </c>
      <c r="AC1139" s="7">
        <f>$K1139-$X1139</f>
      </c>
      <c r="AD1139" s="7">
        <f>$L1139-$Y1139</f>
      </c>
      <c r="AE1139" s="7">
        <f>AA1139/39.3701</f>
      </c>
      <c r="AF1139" s="7">
        <f>AB1139/39.3701</f>
      </c>
      <c r="AG1139" s="7">
        <f>AC1139/39.3701</f>
      </c>
      <c r="AH1139" s="7">
        <f>AD1139/39.3701</f>
      </c>
      <c r="AI1139" s="1"/>
      <c r="AJ1139" s="1"/>
      <c r="AK1139" s="1"/>
      <c r="AL1139" s="1"/>
      <c r="AM1139" s="2"/>
      <c r="AN1139" s="1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  <c r="BA1139" s="1"/>
      <c r="BB1139" s="1"/>
      <c r="BC1139" s="1"/>
      <c r="BD1139" s="1"/>
      <c r="BE1139" s="1"/>
    </row>
    <row x14ac:dyDescent="0.25" r="1140" customHeight="1" ht="18.75">
      <c r="A1140" s="1"/>
      <c r="B1140" s="2"/>
      <c r="C1140" s="2"/>
      <c r="D1140" s="2"/>
      <c r="E1140" s="2"/>
      <c r="F1140" s="2"/>
      <c r="G1140" s="1"/>
      <c r="H1140" s="1"/>
      <c r="I1140" s="7">
        <v>1.137</v>
      </c>
      <c r="J1140" s="7">
        <f>IF((I1140-ROUNDDOWN(I1140,0))=0, 0, (I1140-ROUNDDOWN(I1140,0)))</f>
      </c>
      <c r="K1140" s="7">
        <f>INDIRECT("C$"&amp;2+MIN(2,ROUNDDOWN(I1140,0))*3)*(-$J1140^3+3*$J1140^2-3*$J1140+1)+INDIRECT("C$"&amp;3+MIN(2,ROUNDDOWN(I1140,0))*3)*(3*$J1140^3-6*$J1140^2+3*$J1140)+INDIRECT("C$"&amp;4+MIN(2,ROUNDDOWN(I1140,0))*3)*(-3*$J1140^3+3*$J1140^2)+INDIRECT("C$"&amp;5+MIN(2,ROUNDDOWN(I1140,0))*3)*$J1140^3</f>
      </c>
      <c r="L1140" s="7">
        <f>INDIRECT("D$"&amp;2+MIN(2,ROUNDDOWN(I1140,0))*3)*(-$J1140^3+3*$J1140^2-3*$J1140+1)+INDIRECT("D$"&amp;3+MIN(2,ROUNDDOWN(I1140,0))*3)*(3*$J1140^3-6*$J1140^2+3*$J1140)+INDIRECT("D$"&amp;4+MIN(2,ROUNDDOWN(I1140,0))*3)*(-3*$J1140^3+3*$J1140^2)+INDIRECT("D$"&amp;5+MIN(2,ROUNDDOWN(I1140,0))*3)*$J1140^3</f>
      </c>
      <c r="M1140" s="7">
        <f>SQRT(K1140^2+L1140^2)</f>
      </c>
      <c r="N1140" s="7">
        <f>(K1141-K1139)</f>
      </c>
      <c r="O1140" s="7">
        <f>+(L1141-L1139)</f>
      </c>
      <c r="P1140" s="7">
        <f>SQRT(O1140^2+N1140^2)</f>
      </c>
      <c r="Q1140" s="7">
        <f>N1140/$P1140</f>
      </c>
      <c r="R1140" s="7">
        <f>O1140/$P1140</f>
      </c>
      <c r="S1140" s="8">
        <f>Q1140^2+R1140^2</f>
      </c>
      <c r="T1140" s="7">
        <f>-R1140</f>
      </c>
      <c r="U1140" s="7">
        <f>Q1140</f>
      </c>
      <c r="V1140" s="7">
        <f>($C$14+($C$15-$C$14)/($D$15-$D$14)*(I1140-$D$14))/2</f>
      </c>
      <c r="W1140" s="7">
        <f>($B$22*I1140^4+$C$22*I1140^3+$D$22*I1140^2+$E$22*I1140+$F$22)/2</f>
      </c>
      <c r="X1140" s="7">
        <f>($W1140)*(T1140)</f>
      </c>
      <c r="Y1140" s="7">
        <f>($W1140)*(U1140)</f>
      </c>
      <c r="Z1140" s="7">
        <f>SQRT(X1140^2+Y1140^2)</f>
      </c>
      <c r="AA1140" s="7">
        <f>$K1140+$X1140</f>
      </c>
      <c r="AB1140" s="7">
        <f>$L1140+$Y1140</f>
      </c>
      <c r="AC1140" s="7">
        <f>$K1140-$X1140</f>
      </c>
      <c r="AD1140" s="7">
        <f>$L1140-$Y1140</f>
      </c>
      <c r="AE1140" s="7">
        <f>AA1140/39.3701</f>
      </c>
      <c r="AF1140" s="7">
        <f>AB1140/39.3701</f>
      </c>
      <c r="AG1140" s="7">
        <f>AC1140/39.3701</f>
      </c>
      <c r="AH1140" s="7">
        <f>AD1140/39.3701</f>
      </c>
      <c r="AI1140" s="1"/>
      <c r="AJ1140" s="1"/>
      <c r="AK1140" s="1"/>
      <c r="AL1140" s="1"/>
      <c r="AM1140" s="2"/>
      <c r="AN1140" s="1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  <c r="BA1140" s="1"/>
      <c r="BB1140" s="1"/>
      <c r="BC1140" s="1"/>
      <c r="BD1140" s="1"/>
      <c r="BE1140" s="1"/>
    </row>
    <row x14ac:dyDescent="0.25" r="1141" customHeight="1" ht="18.75">
      <c r="A1141" s="1"/>
      <c r="B1141" s="2"/>
      <c r="C1141" s="2"/>
      <c r="D1141" s="2"/>
      <c r="E1141" s="2"/>
      <c r="F1141" s="2"/>
      <c r="G1141" s="1"/>
      <c r="H1141" s="1"/>
      <c r="I1141" s="7">
        <v>1.138</v>
      </c>
      <c r="J1141" s="7">
        <f>IF((I1141-ROUNDDOWN(I1141,0))=0, 0, (I1141-ROUNDDOWN(I1141,0)))</f>
      </c>
      <c r="K1141" s="7">
        <f>INDIRECT("C$"&amp;2+MIN(2,ROUNDDOWN(I1141,0))*3)*(-$J1141^3+3*$J1141^2-3*$J1141+1)+INDIRECT("C$"&amp;3+MIN(2,ROUNDDOWN(I1141,0))*3)*(3*$J1141^3-6*$J1141^2+3*$J1141)+INDIRECT("C$"&amp;4+MIN(2,ROUNDDOWN(I1141,0))*3)*(-3*$J1141^3+3*$J1141^2)+INDIRECT("C$"&amp;5+MIN(2,ROUNDDOWN(I1141,0))*3)*$J1141^3</f>
      </c>
      <c r="L1141" s="7">
        <f>INDIRECT("D$"&amp;2+MIN(2,ROUNDDOWN(I1141,0))*3)*(-$J1141^3+3*$J1141^2-3*$J1141+1)+INDIRECT("D$"&amp;3+MIN(2,ROUNDDOWN(I1141,0))*3)*(3*$J1141^3-6*$J1141^2+3*$J1141)+INDIRECT("D$"&amp;4+MIN(2,ROUNDDOWN(I1141,0))*3)*(-3*$J1141^3+3*$J1141^2)+INDIRECT("D$"&amp;5+MIN(2,ROUNDDOWN(I1141,0))*3)*$J1141^3</f>
      </c>
      <c r="M1141" s="7">
        <f>SQRT(K1141^2+L1141^2)</f>
      </c>
      <c r="N1141" s="7">
        <f>(K1142-K1140)</f>
      </c>
      <c r="O1141" s="7">
        <f>+(L1142-L1140)</f>
      </c>
      <c r="P1141" s="7">
        <f>SQRT(O1141^2+N1141^2)</f>
      </c>
      <c r="Q1141" s="7">
        <f>N1141/$P1141</f>
      </c>
      <c r="R1141" s="7">
        <f>O1141/$P1141</f>
      </c>
      <c r="S1141" s="8">
        <f>Q1141^2+R1141^2</f>
      </c>
      <c r="T1141" s="7">
        <f>-R1141</f>
      </c>
      <c r="U1141" s="7">
        <f>Q1141</f>
      </c>
      <c r="V1141" s="7">
        <f>($C$14+($C$15-$C$14)/($D$15-$D$14)*(I1141-$D$14))/2</f>
      </c>
      <c r="W1141" s="7">
        <f>($B$22*I1141^4+$C$22*I1141^3+$D$22*I1141^2+$E$22*I1141+$F$22)/2</f>
      </c>
      <c r="X1141" s="7">
        <f>($W1141)*(T1141)</f>
      </c>
      <c r="Y1141" s="7">
        <f>($W1141)*(U1141)</f>
      </c>
      <c r="Z1141" s="7">
        <f>SQRT(X1141^2+Y1141^2)</f>
      </c>
      <c r="AA1141" s="7">
        <f>$K1141+$X1141</f>
      </c>
      <c r="AB1141" s="7">
        <f>$L1141+$Y1141</f>
      </c>
      <c r="AC1141" s="7">
        <f>$K1141-$X1141</f>
      </c>
      <c r="AD1141" s="7">
        <f>$L1141-$Y1141</f>
      </c>
      <c r="AE1141" s="7">
        <f>AA1141/39.3701</f>
      </c>
      <c r="AF1141" s="7">
        <f>AB1141/39.3701</f>
      </c>
      <c r="AG1141" s="7">
        <f>AC1141/39.3701</f>
      </c>
      <c r="AH1141" s="7">
        <f>AD1141/39.3701</f>
      </c>
      <c r="AI1141" s="1"/>
      <c r="AJ1141" s="1"/>
      <c r="AK1141" s="1"/>
      <c r="AL1141" s="1"/>
      <c r="AM1141" s="2"/>
      <c r="AN1141" s="1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  <c r="BA1141" s="1"/>
      <c r="BB1141" s="1"/>
      <c r="BC1141" s="1"/>
      <c r="BD1141" s="1"/>
      <c r="BE1141" s="1"/>
    </row>
    <row x14ac:dyDescent="0.25" r="1142" customHeight="1" ht="18.75">
      <c r="A1142" s="1"/>
      <c r="B1142" s="2"/>
      <c r="C1142" s="2"/>
      <c r="D1142" s="2"/>
      <c r="E1142" s="2"/>
      <c r="F1142" s="2"/>
      <c r="G1142" s="1"/>
      <c r="H1142" s="1"/>
      <c r="I1142" s="7">
        <v>1.139</v>
      </c>
      <c r="J1142" s="7">
        <f>IF((I1142-ROUNDDOWN(I1142,0))=0, 0, (I1142-ROUNDDOWN(I1142,0)))</f>
      </c>
      <c r="K1142" s="7">
        <f>INDIRECT("C$"&amp;2+MIN(2,ROUNDDOWN(I1142,0))*3)*(-$J1142^3+3*$J1142^2-3*$J1142+1)+INDIRECT("C$"&amp;3+MIN(2,ROUNDDOWN(I1142,0))*3)*(3*$J1142^3-6*$J1142^2+3*$J1142)+INDIRECT("C$"&amp;4+MIN(2,ROUNDDOWN(I1142,0))*3)*(-3*$J1142^3+3*$J1142^2)+INDIRECT("C$"&amp;5+MIN(2,ROUNDDOWN(I1142,0))*3)*$J1142^3</f>
      </c>
      <c r="L1142" s="7">
        <f>INDIRECT("D$"&amp;2+MIN(2,ROUNDDOWN(I1142,0))*3)*(-$J1142^3+3*$J1142^2-3*$J1142+1)+INDIRECT("D$"&amp;3+MIN(2,ROUNDDOWN(I1142,0))*3)*(3*$J1142^3-6*$J1142^2+3*$J1142)+INDIRECT("D$"&amp;4+MIN(2,ROUNDDOWN(I1142,0))*3)*(-3*$J1142^3+3*$J1142^2)+INDIRECT("D$"&amp;5+MIN(2,ROUNDDOWN(I1142,0))*3)*$J1142^3</f>
      </c>
      <c r="M1142" s="7">
        <f>SQRT(K1142^2+L1142^2)</f>
      </c>
      <c r="N1142" s="7">
        <f>(K1143-K1141)</f>
      </c>
      <c r="O1142" s="7">
        <f>+(L1143-L1141)</f>
      </c>
      <c r="P1142" s="7">
        <f>SQRT(O1142^2+N1142^2)</f>
      </c>
      <c r="Q1142" s="7">
        <f>N1142/$P1142</f>
      </c>
      <c r="R1142" s="7">
        <f>O1142/$P1142</f>
      </c>
      <c r="S1142" s="8">
        <f>Q1142^2+R1142^2</f>
      </c>
      <c r="T1142" s="7">
        <f>-R1142</f>
      </c>
      <c r="U1142" s="7">
        <f>Q1142</f>
      </c>
      <c r="V1142" s="7">
        <f>($C$14+($C$15-$C$14)/($D$15-$D$14)*(I1142-$D$14))/2</f>
      </c>
      <c r="W1142" s="7">
        <f>($B$22*I1142^4+$C$22*I1142^3+$D$22*I1142^2+$E$22*I1142+$F$22)/2</f>
      </c>
      <c r="X1142" s="7">
        <f>($W1142)*(T1142)</f>
      </c>
      <c r="Y1142" s="7">
        <f>($W1142)*(U1142)</f>
      </c>
      <c r="Z1142" s="7">
        <f>SQRT(X1142^2+Y1142^2)</f>
      </c>
      <c r="AA1142" s="7">
        <f>$K1142+$X1142</f>
      </c>
      <c r="AB1142" s="7">
        <f>$L1142+$Y1142</f>
      </c>
      <c r="AC1142" s="7">
        <f>$K1142-$X1142</f>
      </c>
      <c r="AD1142" s="7">
        <f>$L1142-$Y1142</f>
      </c>
      <c r="AE1142" s="7">
        <f>AA1142/39.3701</f>
      </c>
      <c r="AF1142" s="7">
        <f>AB1142/39.3701</f>
      </c>
      <c r="AG1142" s="7">
        <f>AC1142/39.3701</f>
      </c>
      <c r="AH1142" s="7">
        <f>AD1142/39.3701</f>
      </c>
      <c r="AI1142" s="1"/>
      <c r="AJ1142" s="1"/>
      <c r="AK1142" s="1"/>
      <c r="AL1142" s="1"/>
      <c r="AM1142" s="2"/>
      <c r="AN1142" s="1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  <c r="BA1142" s="1"/>
      <c r="BB1142" s="1"/>
      <c r="BC1142" s="1"/>
      <c r="BD1142" s="1"/>
      <c r="BE1142" s="1"/>
    </row>
    <row x14ac:dyDescent="0.25" r="1143" customHeight="1" ht="18.75">
      <c r="A1143" s="1"/>
      <c r="B1143" s="2"/>
      <c r="C1143" s="2"/>
      <c r="D1143" s="2"/>
      <c r="E1143" s="2"/>
      <c r="F1143" s="2"/>
      <c r="G1143" s="1"/>
      <c r="H1143" s="1"/>
      <c r="I1143" s="7">
        <v>1.14</v>
      </c>
      <c r="J1143" s="7">
        <f>IF((I1143-ROUNDDOWN(I1143,0))=0, 0, (I1143-ROUNDDOWN(I1143,0)))</f>
      </c>
      <c r="K1143" s="7">
        <f>INDIRECT("C$"&amp;2+MIN(2,ROUNDDOWN(I1143,0))*3)*(-$J1143^3+3*$J1143^2-3*$J1143+1)+INDIRECT("C$"&amp;3+MIN(2,ROUNDDOWN(I1143,0))*3)*(3*$J1143^3-6*$J1143^2+3*$J1143)+INDIRECT("C$"&amp;4+MIN(2,ROUNDDOWN(I1143,0))*3)*(-3*$J1143^3+3*$J1143^2)+INDIRECT("C$"&amp;5+MIN(2,ROUNDDOWN(I1143,0))*3)*$J1143^3</f>
      </c>
      <c r="L1143" s="7">
        <f>INDIRECT("D$"&amp;2+MIN(2,ROUNDDOWN(I1143,0))*3)*(-$J1143^3+3*$J1143^2-3*$J1143+1)+INDIRECT("D$"&amp;3+MIN(2,ROUNDDOWN(I1143,0))*3)*(3*$J1143^3-6*$J1143^2+3*$J1143)+INDIRECT("D$"&amp;4+MIN(2,ROUNDDOWN(I1143,0))*3)*(-3*$J1143^3+3*$J1143^2)+INDIRECT("D$"&amp;5+MIN(2,ROUNDDOWN(I1143,0))*3)*$J1143^3</f>
      </c>
      <c r="M1143" s="7">
        <f>SQRT(K1143^2+L1143^2)</f>
      </c>
      <c r="N1143" s="7">
        <f>(K1144-K1142)</f>
      </c>
      <c r="O1143" s="7">
        <f>+(L1144-L1142)</f>
      </c>
      <c r="P1143" s="7">
        <f>SQRT(O1143^2+N1143^2)</f>
      </c>
      <c r="Q1143" s="7">
        <f>N1143/$P1143</f>
      </c>
      <c r="R1143" s="7">
        <f>O1143/$P1143</f>
      </c>
      <c r="S1143" s="8">
        <f>Q1143^2+R1143^2</f>
      </c>
      <c r="T1143" s="7">
        <f>-R1143</f>
      </c>
      <c r="U1143" s="7">
        <f>Q1143</f>
      </c>
      <c r="V1143" s="7">
        <f>($C$14+($C$15-$C$14)/($D$15-$D$14)*(I1143-$D$14))/2</f>
      </c>
      <c r="W1143" s="7">
        <f>($B$22*I1143^4+$C$22*I1143^3+$D$22*I1143^2+$E$22*I1143+$F$22)/2</f>
      </c>
      <c r="X1143" s="7">
        <f>($W1143)*(T1143)</f>
      </c>
      <c r="Y1143" s="7">
        <f>($W1143)*(U1143)</f>
      </c>
      <c r="Z1143" s="7">
        <f>SQRT(X1143^2+Y1143^2)</f>
      </c>
      <c r="AA1143" s="7">
        <f>$K1143+$X1143</f>
      </c>
      <c r="AB1143" s="7">
        <f>$L1143+$Y1143</f>
      </c>
      <c r="AC1143" s="7">
        <f>$K1143-$X1143</f>
      </c>
      <c r="AD1143" s="7">
        <f>$L1143-$Y1143</f>
      </c>
      <c r="AE1143" s="7">
        <f>AA1143/39.3701</f>
      </c>
      <c r="AF1143" s="7">
        <f>AB1143/39.3701</f>
      </c>
      <c r="AG1143" s="7">
        <f>AC1143/39.3701</f>
      </c>
      <c r="AH1143" s="7">
        <f>AD1143/39.3701</f>
      </c>
      <c r="AI1143" s="1"/>
      <c r="AJ1143" s="1"/>
      <c r="AK1143" s="1"/>
      <c r="AL1143" s="1"/>
      <c r="AM1143" s="2"/>
      <c r="AN1143" s="1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  <c r="BA1143" s="1"/>
      <c r="BB1143" s="1"/>
      <c r="BC1143" s="1"/>
      <c r="BD1143" s="1"/>
      <c r="BE1143" s="1"/>
    </row>
    <row x14ac:dyDescent="0.25" r="1144" customHeight="1" ht="18.75">
      <c r="A1144" s="1"/>
      <c r="B1144" s="2"/>
      <c r="C1144" s="2"/>
      <c r="D1144" s="2"/>
      <c r="E1144" s="2"/>
      <c r="F1144" s="2"/>
      <c r="G1144" s="1"/>
      <c r="H1144" s="1"/>
      <c r="I1144" s="7">
        <v>1.141</v>
      </c>
      <c r="J1144" s="7">
        <f>IF((I1144-ROUNDDOWN(I1144,0))=0, 0, (I1144-ROUNDDOWN(I1144,0)))</f>
      </c>
      <c r="K1144" s="7">
        <f>INDIRECT("C$"&amp;2+MIN(2,ROUNDDOWN(I1144,0))*3)*(-$J1144^3+3*$J1144^2-3*$J1144+1)+INDIRECT("C$"&amp;3+MIN(2,ROUNDDOWN(I1144,0))*3)*(3*$J1144^3-6*$J1144^2+3*$J1144)+INDIRECT("C$"&amp;4+MIN(2,ROUNDDOWN(I1144,0))*3)*(-3*$J1144^3+3*$J1144^2)+INDIRECT("C$"&amp;5+MIN(2,ROUNDDOWN(I1144,0))*3)*$J1144^3</f>
      </c>
      <c r="L1144" s="7">
        <f>INDIRECT("D$"&amp;2+MIN(2,ROUNDDOWN(I1144,0))*3)*(-$J1144^3+3*$J1144^2-3*$J1144+1)+INDIRECT("D$"&amp;3+MIN(2,ROUNDDOWN(I1144,0))*3)*(3*$J1144^3-6*$J1144^2+3*$J1144)+INDIRECT("D$"&amp;4+MIN(2,ROUNDDOWN(I1144,0))*3)*(-3*$J1144^3+3*$J1144^2)+INDIRECT("D$"&amp;5+MIN(2,ROUNDDOWN(I1144,0))*3)*$J1144^3</f>
      </c>
      <c r="M1144" s="7">
        <f>SQRT(K1144^2+L1144^2)</f>
      </c>
      <c r="N1144" s="7">
        <f>(K1145-K1143)</f>
      </c>
      <c r="O1144" s="7">
        <f>+(L1145-L1143)</f>
      </c>
      <c r="P1144" s="7">
        <f>SQRT(O1144^2+N1144^2)</f>
      </c>
      <c r="Q1144" s="7">
        <f>N1144/$P1144</f>
      </c>
      <c r="R1144" s="7">
        <f>O1144/$P1144</f>
      </c>
      <c r="S1144" s="7">
        <f>Q1144^2+R1144^2</f>
      </c>
      <c r="T1144" s="7">
        <f>-R1144</f>
      </c>
      <c r="U1144" s="7">
        <f>Q1144</f>
      </c>
      <c r="V1144" s="7">
        <f>($C$14+($C$15-$C$14)/($D$15-$D$14)*(I1144-$D$14))/2</f>
      </c>
      <c r="W1144" s="7">
        <f>($B$22*I1144^4+$C$22*I1144^3+$D$22*I1144^2+$E$22*I1144+$F$22)/2</f>
      </c>
      <c r="X1144" s="7">
        <f>($W1144)*(T1144)</f>
      </c>
      <c r="Y1144" s="7">
        <f>($W1144)*(U1144)</f>
      </c>
      <c r="Z1144" s="7">
        <f>SQRT(X1144^2+Y1144^2)</f>
      </c>
      <c r="AA1144" s="7">
        <f>$K1144+$X1144</f>
      </c>
      <c r="AB1144" s="7">
        <f>$L1144+$Y1144</f>
      </c>
      <c r="AC1144" s="7">
        <f>$K1144-$X1144</f>
      </c>
      <c r="AD1144" s="7">
        <f>$L1144-$Y1144</f>
      </c>
      <c r="AE1144" s="7">
        <f>AA1144/39.3701</f>
      </c>
      <c r="AF1144" s="7">
        <f>AB1144/39.3701</f>
      </c>
      <c r="AG1144" s="7">
        <f>AC1144/39.3701</f>
      </c>
      <c r="AH1144" s="7">
        <f>AD1144/39.3701</f>
      </c>
      <c r="AI1144" s="1"/>
      <c r="AJ1144" s="1"/>
      <c r="AK1144" s="1"/>
      <c r="AL1144" s="1"/>
      <c r="AM1144" s="2"/>
      <c r="AN1144" s="1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  <c r="BA1144" s="1"/>
      <c r="BB1144" s="1"/>
      <c r="BC1144" s="1"/>
      <c r="BD1144" s="1"/>
      <c r="BE1144" s="1"/>
    </row>
    <row x14ac:dyDescent="0.25" r="1145" customHeight="1" ht="18.75">
      <c r="A1145" s="1"/>
      <c r="B1145" s="2"/>
      <c r="C1145" s="2"/>
      <c r="D1145" s="2"/>
      <c r="E1145" s="2"/>
      <c r="F1145" s="2"/>
      <c r="G1145" s="1"/>
      <c r="H1145" s="1"/>
      <c r="I1145" s="7">
        <v>1.142</v>
      </c>
      <c r="J1145" s="7">
        <f>IF((I1145-ROUNDDOWN(I1145,0))=0, 0, (I1145-ROUNDDOWN(I1145,0)))</f>
      </c>
      <c r="K1145" s="7">
        <f>INDIRECT("C$"&amp;2+MIN(2,ROUNDDOWN(I1145,0))*3)*(-$J1145^3+3*$J1145^2-3*$J1145+1)+INDIRECT("C$"&amp;3+MIN(2,ROUNDDOWN(I1145,0))*3)*(3*$J1145^3-6*$J1145^2+3*$J1145)+INDIRECT("C$"&amp;4+MIN(2,ROUNDDOWN(I1145,0))*3)*(-3*$J1145^3+3*$J1145^2)+INDIRECT("C$"&amp;5+MIN(2,ROUNDDOWN(I1145,0))*3)*$J1145^3</f>
      </c>
      <c r="L1145" s="7">
        <f>INDIRECT("D$"&amp;2+MIN(2,ROUNDDOWN(I1145,0))*3)*(-$J1145^3+3*$J1145^2-3*$J1145+1)+INDIRECT("D$"&amp;3+MIN(2,ROUNDDOWN(I1145,0))*3)*(3*$J1145^3-6*$J1145^2+3*$J1145)+INDIRECT("D$"&amp;4+MIN(2,ROUNDDOWN(I1145,0))*3)*(-3*$J1145^3+3*$J1145^2)+INDIRECT("D$"&amp;5+MIN(2,ROUNDDOWN(I1145,0))*3)*$J1145^3</f>
      </c>
      <c r="M1145" s="7">
        <f>SQRT(K1145^2+L1145^2)</f>
      </c>
      <c r="N1145" s="7">
        <f>(K1146-K1144)</f>
      </c>
      <c r="O1145" s="7">
        <f>+(L1146-L1144)</f>
      </c>
      <c r="P1145" s="7">
        <f>SQRT(O1145^2+N1145^2)</f>
      </c>
      <c r="Q1145" s="7">
        <f>N1145/$P1145</f>
      </c>
      <c r="R1145" s="7">
        <f>O1145/$P1145</f>
      </c>
      <c r="S1145" s="8">
        <f>Q1145^2+R1145^2</f>
      </c>
      <c r="T1145" s="7">
        <f>-R1145</f>
      </c>
      <c r="U1145" s="7">
        <f>Q1145</f>
      </c>
      <c r="V1145" s="7">
        <f>($C$14+($C$15-$C$14)/($D$15-$D$14)*(I1145-$D$14))/2</f>
      </c>
      <c r="W1145" s="7">
        <f>($B$22*I1145^4+$C$22*I1145^3+$D$22*I1145^2+$E$22*I1145+$F$22)/2</f>
      </c>
      <c r="X1145" s="7">
        <f>($W1145)*(T1145)</f>
      </c>
      <c r="Y1145" s="7">
        <f>($W1145)*(U1145)</f>
      </c>
      <c r="Z1145" s="7">
        <f>SQRT(X1145^2+Y1145^2)</f>
      </c>
      <c r="AA1145" s="7">
        <f>$K1145+$X1145</f>
      </c>
      <c r="AB1145" s="7">
        <f>$L1145+$Y1145</f>
      </c>
      <c r="AC1145" s="7">
        <f>$K1145-$X1145</f>
      </c>
      <c r="AD1145" s="7">
        <f>$L1145-$Y1145</f>
      </c>
      <c r="AE1145" s="7">
        <f>AA1145/39.3701</f>
      </c>
      <c r="AF1145" s="7">
        <f>AB1145/39.3701</f>
      </c>
      <c r="AG1145" s="7">
        <f>AC1145/39.3701</f>
      </c>
      <c r="AH1145" s="7">
        <f>AD1145/39.3701</f>
      </c>
      <c r="AI1145" s="1"/>
      <c r="AJ1145" s="1"/>
      <c r="AK1145" s="1"/>
      <c r="AL1145" s="1"/>
      <c r="AM1145" s="2"/>
      <c r="AN1145" s="1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  <c r="BA1145" s="1"/>
      <c r="BB1145" s="1"/>
      <c r="BC1145" s="1"/>
      <c r="BD1145" s="1"/>
      <c r="BE1145" s="1"/>
    </row>
    <row x14ac:dyDescent="0.25" r="1146" customHeight="1" ht="18.75">
      <c r="A1146" s="1"/>
      <c r="B1146" s="2"/>
      <c r="C1146" s="2"/>
      <c r="D1146" s="2"/>
      <c r="E1146" s="2"/>
      <c r="F1146" s="2"/>
      <c r="G1146" s="1"/>
      <c r="H1146" s="1"/>
      <c r="I1146" s="7">
        <v>1.143</v>
      </c>
      <c r="J1146" s="7">
        <f>IF((I1146-ROUNDDOWN(I1146,0))=0, 0, (I1146-ROUNDDOWN(I1146,0)))</f>
      </c>
      <c r="K1146" s="7">
        <f>INDIRECT("C$"&amp;2+MIN(2,ROUNDDOWN(I1146,0))*3)*(-$J1146^3+3*$J1146^2-3*$J1146+1)+INDIRECT("C$"&amp;3+MIN(2,ROUNDDOWN(I1146,0))*3)*(3*$J1146^3-6*$J1146^2+3*$J1146)+INDIRECT("C$"&amp;4+MIN(2,ROUNDDOWN(I1146,0))*3)*(-3*$J1146^3+3*$J1146^2)+INDIRECT("C$"&amp;5+MIN(2,ROUNDDOWN(I1146,0))*3)*$J1146^3</f>
      </c>
      <c r="L1146" s="7">
        <f>INDIRECT("D$"&amp;2+MIN(2,ROUNDDOWN(I1146,0))*3)*(-$J1146^3+3*$J1146^2-3*$J1146+1)+INDIRECT("D$"&amp;3+MIN(2,ROUNDDOWN(I1146,0))*3)*(3*$J1146^3-6*$J1146^2+3*$J1146)+INDIRECT("D$"&amp;4+MIN(2,ROUNDDOWN(I1146,0))*3)*(-3*$J1146^3+3*$J1146^2)+INDIRECT("D$"&amp;5+MIN(2,ROUNDDOWN(I1146,0))*3)*$J1146^3</f>
      </c>
      <c r="M1146" s="7">
        <f>SQRT(K1146^2+L1146^2)</f>
      </c>
      <c r="N1146" s="7">
        <f>(K1147-K1145)</f>
      </c>
      <c r="O1146" s="7">
        <f>+(L1147-L1145)</f>
      </c>
      <c r="P1146" s="7">
        <f>SQRT(O1146^2+N1146^2)</f>
      </c>
      <c r="Q1146" s="7">
        <f>N1146/$P1146</f>
      </c>
      <c r="R1146" s="7">
        <f>O1146/$P1146</f>
      </c>
      <c r="S1146" s="8">
        <f>Q1146^2+R1146^2</f>
      </c>
      <c r="T1146" s="7">
        <f>-R1146</f>
      </c>
      <c r="U1146" s="7">
        <f>Q1146</f>
      </c>
      <c r="V1146" s="7">
        <f>($C$14+($C$15-$C$14)/($D$15-$D$14)*(I1146-$D$14))/2</f>
      </c>
      <c r="W1146" s="7">
        <f>($B$22*I1146^4+$C$22*I1146^3+$D$22*I1146^2+$E$22*I1146+$F$22)/2</f>
      </c>
      <c r="X1146" s="7">
        <f>($W1146)*(T1146)</f>
      </c>
      <c r="Y1146" s="7">
        <f>($W1146)*(U1146)</f>
      </c>
      <c r="Z1146" s="7">
        <f>SQRT(X1146^2+Y1146^2)</f>
      </c>
      <c r="AA1146" s="7">
        <f>$K1146+$X1146</f>
      </c>
      <c r="AB1146" s="7">
        <f>$L1146+$Y1146</f>
      </c>
      <c r="AC1146" s="7">
        <f>$K1146-$X1146</f>
      </c>
      <c r="AD1146" s="7">
        <f>$L1146-$Y1146</f>
      </c>
      <c r="AE1146" s="7">
        <f>AA1146/39.3701</f>
      </c>
      <c r="AF1146" s="7">
        <f>AB1146/39.3701</f>
      </c>
      <c r="AG1146" s="7">
        <f>AC1146/39.3701</f>
      </c>
      <c r="AH1146" s="7">
        <f>AD1146/39.3701</f>
      </c>
      <c r="AI1146" s="1"/>
      <c r="AJ1146" s="1"/>
      <c r="AK1146" s="1"/>
      <c r="AL1146" s="1"/>
      <c r="AM1146" s="2"/>
      <c r="AN1146" s="1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  <c r="BA1146" s="1"/>
      <c r="BB1146" s="1"/>
      <c r="BC1146" s="1"/>
      <c r="BD1146" s="1"/>
      <c r="BE1146" s="1"/>
    </row>
    <row x14ac:dyDescent="0.25" r="1147" customHeight="1" ht="18.75">
      <c r="A1147" s="1"/>
      <c r="B1147" s="2"/>
      <c r="C1147" s="2"/>
      <c r="D1147" s="2"/>
      <c r="E1147" s="2"/>
      <c r="F1147" s="2"/>
      <c r="G1147" s="1"/>
      <c r="H1147" s="1"/>
      <c r="I1147" s="7">
        <v>1.144</v>
      </c>
      <c r="J1147" s="7">
        <f>IF((I1147-ROUNDDOWN(I1147,0))=0, 0, (I1147-ROUNDDOWN(I1147,0)))</f>
      </c>
      <c r="K1147" s="7">
        <f>INDIRECT("C$"&amp;2+MIN(2,ROUNDDOWN(I1147,0))*3)*(-$J1147^3+3*$J1147^2-3*$J1147+1)+INDIRECT("C$"&amp;3+MIN(2,ROUNDDOWN(I1147,0))*3)*(3*$J1147^3-6*$J1147^2+3*$J1147)+INDIRECT("C$"&amp;4+MIN(2,ROUNDDOWN(I1147,0))*3)*(-3*$J1147^3+3*$J1147^2)+INDIRECT("C$"&amp;5+MIN(2,ROUNDDOWN(I1147,0))*3)*$J1147^3</f>
      </c>
      <c r="L1147" s="7">
        <f>INDIRECT("D$"&amp;2+MIN(2,ROUNDDOWN(I1147,0))*3)*(-$J1147^3+3*$J1147^2-3*$J1147+1)+INDIRECT("D$"&amp;3+MIN(2,ROUNDDOWN(I1147,0))*3)*(3*$J1147^3-6*$J1147^2+3*$J1147)+INDIRECT("D$"&amp;4+MIN(2,ROUNDDOWN(I1147,0))*3)*(-3*$J1147^3+3*$J1147^2)+INDIRECT("D$"&amp;5+MIN(2,ROUNDDOWN(I1147,0))*3)*$J1147^3</f>
      </c>
      <c r="M1147" s="7">
        <f>SQRT(K1147^2+L1147^2)</f>
      </c>
      <c r="N1147" s="7">
        <f>(K1148-K1146)</f>
      </c>
      <c r="O1147" s="7">
        <f>+(L1148-L1146)</f>
      </c>
      <c r="P1147" s="7">
        <f>SQRT(O1147^2+N1147^2)</f>
      </c>
      <c r="Q1147" s="7">
        <f>N1147/$P1147</f>
      </c>
      <c r="R1147" s="7">
        <f>O1147/$P1147</f>
      </c>
      <c r="S1147" s="8">
        <f>Q1147^2+R1147^2</f>
      </c>
      <c r="T1147" s="7">
        <f>-R1147</f>
      </c>
      <c r="U1147" s="7">
        <f>Q1147</f>
      </c>
      <c r="V1147" s="7">
        <f>($C$14+($C$15-$C$14)/($D$15-$D$14)*(I1147-$D$14))/2</f>
      </c>
      <c r="W1147" s="7">
        <f>($B$22*I1147^4+$C$22*I1147^3+$D$22*I1147^2+$E$22*I1147+$F$22)/2</f>
      </c>
      <c r="X1147" s="7">
        <f>($W1147)*(T1147)</f>
      </c>
      <c r="Y1147" s="7">
        <f>($W1147)*(U1147)</f>
      </c>
      <c r="Z1147" s="7">
        <f>SQRT(X1147^2+Y1147^2)</f>
      </c>
      <c r="AA1147" s="7">
        <f>$K1147+$X1147</f>
      </c>
      <c r="AB1147" s="7">
        <f>$L1147+$Y1147</f>
      </c>
      <c r="AC1147" s="7">
        <f>$K1147-$X1147</f>
      </c>
      <c r="AD1147" s="7">
        <f>$L1147-$Y1147</f>
      </c>
      <c r="AE1147" s="7">
        <f>AA1147/39.3701</f>
      </c>
      <c r="AF1147" s="7">
        <f>AB1147/39.3701</f>
      </c>
      <c r="AG1147" s="7">
        <f>AC1147/39.3701</f>
      </c>
      <c r="AH1147" s="7">
        <f>AD1147/39.3701</f>
      </c>
      <c r="AI1147" s="1"/>
      <c r="AJ1147" s="1"/>
      <c r="AK1147" s="1"/>
      <c r="AL1147" s="1"/>
      <c r="AM1147" s="2"/>
      <c r="AN1147" s="1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  <c r="BA1147" s="1"/>
      <c r="BB1147" s="1"/>
      <c r="BC1147" s="1"/>
      <c r="BD1147" s="1"/>
      <c r="BE1147" s="1"/>
    </row>
    <row x14ac:dyDescent="0.25" r="1148" customHeight="1" ht="18.75">
      <c r="A1148" s="1"/>
      <c r="B1148" s="2"/>
      <c r="C1148" s="2"/>
      <c r="D1148" s="2"/>
      <c r="E1148" s="2"/>
      <c r="F1148" s="2"/>
      <c r="G1148" s="1"/>
      <c r="H1148" s="1"/>
      <c r="I1148" s="7">
        <v>1.145</v>
      </c>
      <c r="J1148" s="7">
        <f>IF((I1148-ROUNDDOWN(I1148,0))=0, 0, (I1148-ROUNDDOWN(I1148,0)))</f>
      </c>
      <c r="K1148" s="7">
        <f>INDIRECT("C$"&amp;2+MIN(2,ROUNDDOWN(I1148,0))*3)*(-$J1148^3+3*$J1148^2-3*$J1148+1)+INDIRECT("C$"&amp;3+MIN(2,ROUNDDOWN(I1148,0))*3)*(3*$J1148^3-6*$J1148^2+3*$J1148)+INDIRECT("C$"&amp;4+MIN(2,ROUNDDOWN(I1148,0))*3)*(-3*$J1148^3+3*$J1148^2)+INDIRECT("C$"&amp;5+MIN(2,ROUNDDOWN(I1148,0))*3)*$J1148^3</f>
      </c>
      <c r="L1148" s="7">
        <f>INDIRECT("D$"&amp;2+MIN(2,ROUNDDOWN(I1148,0))*3)*(-$J1148^3+3*$J1148^2-3*$J1148+1)+INDIRECT("D$"&amp;3+MIN(2,ROUNDDOWN(I1148,0))*3)*(3*$J1148^3-6*$J1148^2+3*$J1148)+INDIRECT("D$"&amp;4+MIN(2,ROUNDDOWN(I1148,0))*3)*(-3*$J1148^3+3*$J1148^2)+INDIRECT("D$"&amp;5+MIN(2,ROUNDDOWN(I1148,0))*3)*$J1148^3</f>
      </c>
      <c r="M1148" s="7">
        <f>SQRT(K1148^2+L1148^2)</f>
      </c>
      <c r="N1148" s="7">
        <f>(K1149-K1147)</f>
      </c>
      <c r="O1148" s="7">
        <f>+(L1149-L1147)</f>
      </c>
      <c r="P1148" s="7">
        <f>SQRT(O1148^2+N1148^2)</f>
      </c>
      <c r="Q1148" s="7">
        <f>N1148/$P1148</f>
      </c>
      <c r="R1148" s="7">
        <f>O1148/$P1148</f>
      </c>
      <c r="S1148" s="7">
        <f>Q1148^2+R1148^2</f>
      </c>
      <c r="T1148" s="7">
        <f>-R1148</f>
      </c>
      <c r="U1148" s="7">
        <f>Q1148</f>
      </c>
      <c r="V1148" s="7">
        <f>($C$14+($C$15-$C$14)/($D$15-$D$14)*(I1148-$D$14))/2</f>
      </c>
      <c r="W1148" s="7">
        <f>($B$22*I1148^4+$C$22*I1148^3+$D$22*I1148^2+$E$22*I1148+$F$22)/2</f>
      </c>
      <c r="X1148" s="7">
        <f>($W1148)*(T1148)</f>
      </c>
      <c r="Y1148" s="7">
        <f>($W1148)*(U1148)</f>
      </c>
      <c r="Z1148" s="7">
        <f>SQRT(X1148^2+Y1148^2)</f>
      </c>
      <c r="AA1148" s="7">
        <f>$K1148+$X1148</f>
      </c>
      <c r="AB1148" s="7">
        <f>$L1148+$Y1148</f>
      </c>
      <c r="AC1148" s="7">
        <f>$K1148-$X1148</f>
      </c>
      <c r="AD1148" s="7">
        <f>$L1148-$Y1148</f>
      </c>
      <c r="AE1148" s="7">
        <f>AA1148/39.3701</f>
      </c>
      <c r="AF1148" s="7">
        <f>AB1148/39.3701</f>
      </c>
      <c r="AG1148" s="7">
        <f>AC1148/39.3701</f>
      </c>
      <c r="AH1148" s="7">
        <f>AD1148/39.3701</f>
      </c>
      <c r="AI1148" s="1"/>
      <c r="AJ1148" s="1"/>
      <c r="AK1148" s="1"/>
      <c r="AL1148" s="1"/>
      <c r="AM1148" s="2"/>
      <c r="AN1148" s="1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  <c r="BA1148" s="1"/>
      <c r="BB1148" s="1"/>
      <c r="BC1148" s="1"/>
      <c r="BD1148" s="1"/>
      <c r="BE1148" s="1"/>
    </row>
    <row x14ac:dyDescent="0.25" r="1149" customHeight="1" ht="18.75">
      <c r="A1149" s="1"/>
      <c r="B1149" s="2"/>
      <c r="C1149" s="2"/>
      <c r="D1149" s="2"/>
      <c r="E1149" s="2"/>
      <c r="F1149" s="2"/>
      <c r="G1149" s="1"/>
      <c r="H1149" s="1"/>
      <c r="I1149" s="7">
        <v>1.146</v>
      </c>
      <c r="J1149" s="7">
        <f>IF((I1149-ROUNDDOWN(I1149,0))=0, 0, (I1149-ROUNDDOWN(I1149,0)))</f>
      </c>
      <c r="K1149" s="7">
        <f>INDIRECT("C$"&amp;2+MIN(2,ROUNDDOWN(I1149,0))*3)*(-$J1149^3+3*$J1149^2-3*$J1149+1)+INDIRECT("C$"&amp;3+MIN(2,ROUNDDOWN(I1149,0))*3)*(3*$J1149^3-6*$J1149^2+3*$J1149)+INDIRECT("C$"&amp;4+MIN(2,ROUNDDOWN(I1149,0))*3)*(-3*$J1149^3+3*$J1149^2)+INDIRECT("C$"&amp;5+MIN(2,ROUNDDOWN(I1149,0))*3)*$J1149^3</f>
      </c>
      <c r="L1149" s="7">
        <f>INDIRECT("D$"&amp;2+MIN(2,ROUNDDOWN(I1149,0))*3)*(-$J1149^3+3*$J1149^2-3*$J1149+1)+INDIRECT("D$"&amp;3+MIN(2,ROUNDDOWN(I1149,0))*3)*(3*$J1149^3-6*$J1149^2+3*$J1149)+INDIRECT("D$"&amp;4+MIN(2,ROUNDDOWN(I1149,0))*3)*(-3*$J1149^3+3*$J1149^2)+INDIRECT("D$"&amp;5+MIN(2,ROUNDDOWN(I1149,0))*3)*$J1149^3</f>
      </c>
      <c r="M1149" s="7">
        <f>SQRT(K1149^2+L1149^2)</f>
      </c>
      <c r="N1149" s="7">
        <f>(K1150-K1148)</f>
      </c>
      <c r="O1149" s="7">
        <f>+(L1150-L1148)</f>
      </c>
      <c r="P1149" s="7">
        <f>SQRT(O1149^2+N1149^2)</f>
      </c>
      <c r="Q1149" s="7">
        <f>N1149/$P1149</f>
      </c>
      <c r="R1149" s="7">
        <f>O1149/$P1149</f>
      </c>
      <c r="S1149" s="8">
        <f>Q1149^2+R1149^2</f>
      </c>
      <c r="T1149" s="7">
        <f>-R1149</f>
      </c>
      <c r="U1149" s="7">
        <f>Q1149</f>
      </c>
      <c r="V1149" s="7">
        <f>($C$14+($C$15-$C$14)/($D$15-$D$14)*(I1149-$D$14))/2</f>
      </c>
      <c r="W1149" s="7">
        <f>($B$22*I1149^4+$C$22*I1149^3+$D$22*I1149^2+$E$22*I1149+$F$22)/2</f>
      </c>
      <c r="X1149" s="7">
        <f>($W1149)*(T1149)</f>
      </c>
      <c r="Y1149" s="7">
        <f>($W1149)*(U1149)</f>
      </c>
      <c r="Z1149" s="7">
        <f>SQRT(X1149^2+Y1149^2)</f>
      </c>
      <c r="AA1149" s="7">
        <f>$K1149+$X1149</f>
      </c>
      <c r="AB1149" s="7">
        <f>$L1149+$Y1149</f>
      </c>
      <c r="AC1149" s="7">
        <f>$K1149-$X1149</f>
      </c>
      <c r="AD1149" s="7">
        <f>$L1149-$Y1149</f>
      </c>
      <c r="AE1149" s="7">
        <f>AA1149/39.3701</f>
      </c>
      <c r="AF1149" s="7">
        <f>AB1149/39.3701</f>
      </c>
      <c r="AG1149" s="7">
        <f>AC1149/39.3701</f>
      </c>
      <c r="AH1149" s="7">
        <f>AD1149/39.3701</f>
      </c>
      <c r="AI1149" s="1"/>
      <c r="AJ1149" s="1"/>
      <c r="AK1149" s="1"/>
      <c r="AL1149" s="1"/>
      <c r="AM1149" s="2"/>
      <c r="AN1149" s="1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  <c r="BA1149" s="1"/>
      <c r="BB1149" s="1"/>
      <c r="BC1149" s="1"/>
      <c r="BD1149" s="1"/>
      <c r="BE1149" s="1"/>
    </row>
    <row x14ac:dyDescent="0.25" r="1150" customHeight="1" ht="18.75">
      <c r="A1150" s="1"/>
      <c r="B1150" s="2"/>
      <c r="C1150" s="2"/>
      <c r="D1150" s="2"/>
      <c r="E1150" s="2"/>
      <c r="F1150" s="2"/>
      <c r="G1150" s="1"/>
      <c r="H1150" s="1"/>
      <c r="I1150" s="7">
        <v>1.147</v>
      </c>
      <c r="J1150" s="7">
        <f>IF((I1150-ROUNDDOWN(I1150,0))=0, 0, (I1150-ROUNDDOWN(I1150,0)))</f>
      </c>
      <c r="K1150" s="7">
        <f>INDIRECT("C$"&amp;2+MIN(2,ROUNDDOWN(I1150,0))*3)*(-$J1150^3+3*$J1150^2-3*$J1150+1)+INDIRECT("C$"&amp;3+MIN(2,ROUNDDOWN(I1150,0))*3)*(3*$J1150^3-6*$J1150^2+3*$J1150)+INDIRECT("C$"&amp;4+MIN(2,ROUNDDOWN(I1150,0))*3)*(-3*$J1150^3+3*$J1150^2)+INDIRECT("C$"&amp;5+MIN(2,ROUNDDOWN(I1150,0))*3)*$J1150^3</f>
      </c>
      <c r="L1150" s="7">
        <f>INDIRECT("D$"&amp;2+MIN(2,ROUNDDOWN(I1150,0))*3)*(-$J1150^3+3*$J1150^2-3*$J1150+1)+INDIRECT("D$"&amp;3+MIN(2,ROUNDDOWN(I1150,0))*3)*(3*$J1150^3-6*$J1150^2+3*$J1150)+INDIRECT("D$"&amp;4+MIN(2,ROUNDDOWN(I1150,0))*3)*(-3*$J1150^3+3*$J1150^2)+INDIRECT("D$"&amp;5+MIN(2,ROUNDDOWN(I1150,0))*3)*$J1150^3</f>
      </c>
      <c r="M1150" s="7">
        <f>SQRT(K1150^2+L1150^2)</f>
      </c>
      <c r="N1150" s="7">
        <f>(K1151-K1149)</f>
      </c>
      <c r="O1150" s="7">
        <f>+(L1151-L1149)</f>
      </c>
      <c r="P1150" s="7">
        <f>SQRT(O1150^2+N1150^2)</f>
      </c>
      <c r="Q1150" s="7">
        <f>N1150/$P1150</f>
      </c>
      <c r="R1150" s="7">
        <f>O1150/$P1150</f>
      </c>
      <c r="S1150" s="7">
        <f>Q1150^2+R1150^2</f>
      </c>
      <c r="T1150" s="7">
        <f>-R1150</f>
      </c>
      <c r="U1150" s="7">
        <f>Q1150</f>
      </c>
      <c r="V1150" s="7">
        <f>($C$14+($C$15-$C$14)/($D$15-$D$14)*(I1150-$D$14))/2</f>
      </c>
      <c r="W1150" s="7">
        <f>($B$22*I1150^4+$C$22*I1150^3+$D$22*I1150^2+$E$22*I1150+$F$22)/2</f>
      </c>
      <c r="X1150" s="7">
        <f>($W1150)*(T1150)</f>
      </c>
      <c r="Y1150" s="7">
        <f>($W1150)*(U1150)</f>
      </c>
      <c r="Z1150" s="7">
        <f>SQRT(X1150^2+Y1150^2)</f>
      </c>
      <c r="AA1150" s="7">
        <f>$K1150+$X1150</f>
      </c>
      <c r="AB1150" s="7">
        <f>$L1150+$Y1150</f>
      </c>
      <c r="AC1150" s="7">
        <f>$K1150-$X1150</f>
      </c>
      <c r="AD1150" s="7">
        <f>$L1150-$Y1150</f>
      </c>
      <c r="AE1150" s="7">
        <f>AA1150/39.3701</f>
      </c>
      <c r="AF1150" s="7">
        <f>AB1150/39.3701</f>
      </c>
      <c r="AG1150" s="7">
        <f>AC1150/39.3701</f>
      </c>
      <c r="AH1150" s="7">
        <f>AD1150/39.3701</f>
      </c>
      <c r="AI1150" s="1"/>
      <c r="AJ1150" s="1"/>
      <c r="AK1150" s="1"/>
      <c r="AL1150" s="1"/>
      <c r="AM1150" s="2"/>
      <c r="AN1150" s="1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  <c r="BA1150" s="1"/>
      <c r="BB1150" s="1"/>
      <c r="BC1150" s="1"/>
      <c r="BD1150" s="1"/>
      <c r="BE1150" s="1"/>
    </row>
    <row x14ac:dyDescent="0.25" r="1151" customHeight="1" ht="18.75">
      <c r="A1151" s="1"/>
      <c r="B1151" s="2"/>
      <c r="C1151" s="2"/>
      <c r="D1151" s="2"/>
      <c r="E1151" s="2"/>
      <c r="F1151" s="2"/>
      <c r="G1151" s="1"/>
      <c r="H1151" s="1"/>
      <c r="I1151" s="7">
        <v>1.148</v>
      </c>
      <c r="J1151" s="7">
        <f>IF((I1151-ROUNDDOWN(I1151,0))=0, 0, (I1151-ROUNDDOWN(I1151,0)))</f>
      </c>
      <c r="K1151" s="7">
        <f>INDIRECT("C$"&amp;2+MIN(2,ROUNDDOWN(I1151,0))*3)*(-$J1151^3+3*$J1151^2-3*$J1151+1)+INDIRECT("C$"&amp;3+MIN(2,ROUNDDOWN(I1151,0))*3)*(3*$J1151^3-6*$J1151^2+3*$J1151)+INDIRECT("C$"&amp;4+MIN(2,ROUNDDOWN(I1151,0))*3)*(-3*$J1151^3+3*$J1151^2)+INDIRECT("C$"&amp;5+MIN(2,ROUNDDOWN(I1151,0))*3)*$J1151^3</f>
      </c>
      <c r="L1151" s="7">
        <f>INDIRECT("D$"&amp;2+MIN(2,ROUNDDOWN(I1151,0))*3)*(-$J1151^3+3*$J1151^2-3*$J1151+1)+INDIRECT("D$"&amp;3+MIN(2,ROUNDDOWN(I1151,0))*3)*(3*$J1151^3-6*$J1151^2+3*$J1151)+INDIRECT("D$"&amp;4+MIN(2,ROUNDDOWN(I1151,0))*3)*(-3*$J1151^3+3*$J1151^2)+INDIRECT("D$"&amp;5+MIN(2,ROUNDDOWN(I1151,0))*3)*$J1151^3</f>
      </c>
      <c r="M1151" s="7">
        <f>SQRT(K1151^2+L1151^2)</f>
      </c>
      <c r="N1151" s="7">
        <f>(K1152-K1150)</f>
      </c>
      <c r="O1151" s="7">
        <f>+(L1152-L1150)</f>
      </c>
      <c r="P1151" s="7">
        <f>SQRT(O1151^2+N1151^2)</f>
      </c>
      <c r="Q1151" s="7">
        <f>N1151/$P1151</f>
      </c>
      <c r="R1151" s="7">
        <f>O1151/$P1151</f>
      </c>
      <c r="S1151" s="7">
        <f>Q1151^2+R1151^2</f>
      </c>
      <c r="T1151" s="7">
        <f>-R1151</f>
      </c>
      <c r="U1151" s="7">
        <f>Q1151</f>
      </c>
      <c r="V1151" s="7">
        <f>($C$14+($C$15-$C$14)/($D$15-$D$14)*(I1151-$D$14))/2</f>
      </c>
      <c r="W1151" s="7">
        <f>($B$22*I1151^4+$C$22*I1151^3+$D$22*I1151^2+$E$22*I1151+$F$22)/2</f>
      </c>
      <c r="X1151" s="7">
        <f>($W1151)*(T1151)</f>
      </c>
      <c r="Y1151" s="7">
        <f>($W1151)*(U1151)</f>
      </c>
      <c r="Z1151" s="7">
        <f>SQRT(X1151^2+Y1151^2)</f>
      </c>
      <c r="AA1151" s="7">
        <f>$K1151+$X1151</f>
      </c>
      <c r="AB1151" s="7">
        <f>$L1151+$Y1151</f>
      </c>
      <c r="AC1151" s="7">
        <f>$K1151-$X1151</f>
      </c>
      <c r="AD1151" s="7">
        <f>$L1151-$Y1151</f>
      </c>
      <c r="AE1151" s="7">
        <f>AA1151/39.3701</f>
      </c>
      <c r="AF1151" s="7">
        <f>AB1151/39.3701</f>
      </c>
      <c r="AG1151" s="7">
        <f>AC1151/39.3701</f>
      </c>
      <c r="AH1151" s="7">
        <f>AD1151/39.3701</f>
      </c>
      <c r="AI1151" s="1"/>
      <c r="AJ1151" s="1"/>
      <c r="AK1151" s="1"/>
      <c r="AL1151" s="1"/>
      <c r="AM1151" s="2"/>
      <c r="AN1151" s="1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  <c r="BA1151" s="1"/>
      <c r="BB1151" s="1"/>
      <c r="BC1151" s="1"/>
      <c r="BD1151" s="1"/>
      <c r="BE1151" s="1"/>
    </row>
    <row x14ac:dyDescent="0.25" r="1152" customHeight="1" ht="18.75">
      <c r="A1152" s="1"/>
      <c r="B1152" s="2"/>
      <c r="C1152" s="2"/>
      <c r="D1152" s="2"/>
      <c r="E1152" s="2"/>
      <c r="F1152" s="2"/>
      <c r="G1152" s="1"/>
      <c r="H1152" s="1"/>
      <c r="I1152" s="7">
        <v>1.149</v>
      </c>
      <c r="J1152" s="7">
        <f>IF((I1152-ROUNDDOWN(I1152,0))=0, 0, (I1152-ROUNDDOWN(I1152,0)))</f>
      </c>
      <c r="K1152" s="7">
        <f>INDIRECT("C$"&amp;2+MIN(2,ROUNDDOWN(I1152,0))*3)*(-$J1152^3+3*$J1152^2-3*$J1152+1)+INDIRECT("C$"&amp;3+MIN(2,ROUNDDOWN(I1152,0))*3)*(3*$J1152^3-6*$J1152^2+3*$J1152)+INDIRECT("C$"&amp;4+MIN(2,ROUNDDOWN(I1152,0))*3)*(-3*$J1152^3+3*$J1152^2)+INDIRECT("C$"&amp;5+MIN(2,ROUNDDOWN(I1152,0))*3)*$J1152^3</f>
      </c>
      <c r="L1152" s="7">
        <f>INDIRECT("D$"&amp;2+MIN(2,ROUNDDOWN(I1152,0))*3)*(-$J1152^3+3*$J1152^2-3*$J1152+1)+INDIRECT("D$"&amp;3+MIN(2,ROUNDDOWN(I1152,0))*3)*(3*$J1152^3-6*$J1152^2+3*$J1152)+INDIRECT("D$"&amp;4+MIN(2,ROUNDDOWN(I1152,0))*3)*(-3*$J1152^3+3*$J1152^2)+INDIRECT("D$"&amp;5+MIN(2,ROUNDDOWN(I1152,0))*3)*$J1152^3</f>
      </c>
      <c r="M1152" s="7">
        <f>SQRT(K1152^2+L1152^2)</f>
      </c>
      <c r="N1152" s="7">
        <f>(K1153-K1151)</f>
      </c>
      <c r="O1152" s="7">
        <f>+(L1153-L1151)</f>
      </c>
      <c r="P1152" s="7">
        <f>SQRT(O1152^2+N1152^2)</f>
      </c>
      <c r="Q1152" s="7">
        <f>N1152/$P1152</f>
      </c>
      <c r="R1152" s="7">
        <f>O1152/$P1152</f>
      </c>
      <c r="S1152" s="8">
        <f>Q1152^2+R1152^2</f>
      </c>
      <c r="T1152" s="7">
        <f>-R1152</f>
      </c>
      <c r="U1152" s="7">
        <f>Q1152</f>
      </c>
      <c r="V1152" s="7">
        <f>($C$14+($C$15-$C$14)/($D$15-$D$14)*(I1152-$D$14))/2</f>
      </c>
      <c r="W1152" s="7">
        <f>($B$22*I1152^4+$C$22*I1152^3+$D$22*I1152^2+$E$22*I1152+$F$22)/2</f>
      </c>
      <c r="X1152" s="7">
        <f>($W1152)*(T1152)</f>
      </c>
      <c r="Y1152" s="7">
        <f>($W1152)*(U1152)</f>
      </c>
      <c r="Z1152" s="7">
        <f>SQRT(X1152^2+Y1152^2)</f>
      </c>
      <c r="AA1152" s="7">
        <f>$K1152+$X1152</f>
      </c>
      <c r="AB1152" s="7">
        <f>$L1152+$Y1152</f>
      </c>
      <c r="AC1152" s="7">
        <f>$K1152-$X1152</f>
      </c>
      <c r="AD1152" s="7">
        <f>$L1152-$Y1152</f>
      </c>
      <c r="AE1152" s="7">
        <f>AA1152/39.3701</f>
      </c>
      <c r="AF1152" s="7">
        <f>AB1152/39.3701</f>
      </c>
      <c r="AG1152" s="7">
        <f>AC1152/39.3701</f>
      </c>
      <c r="AH1152" s="7">
        <f>AD1152/39.3701</f>
      </c>
      <c r="AI1152" s="1"/>
      <c r="AJ1152" s="1"/>
      <c r="AK1152" s="1"/>
      <c r="AL1152" s="1"/>
      <c r="AM1152" s="2"/>
      <c r="AN1152" s="1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  <c r="BA1152" s="1"/>
      <c r="BB1152" s="1"/>
      <c r="BC1152" s="1"/>
      <c r="BD1152" s="1"/>
      <c r="BE1152" s="1"/>
    </row>
    <row x14ac:dyDescent="0.25" r="1153" customHeight="1" ht="18.75">
      <c r="A1153" s="1"/>
      <c r="B1153" s="2"/>
      <c r="C1153" s="2"/>
      <c r="D1153" s="2"/>
      <c r="E1153" s="2"/>
      <c r="F1153" s="2"/>
      <c r="G1153" s="1"/>
      <c r="H1153" s="1"/>
      <c r="I1153" s="7">
        <v>1.15</v>
      </c>
      <c r="J1153" s="7">
        <f>IF((I1153-ROUNDDOWN(I1153,0))=0, 0, (I1153-ROUNDDOWN(I1153,0)))</f>
      </c>
      <c r="K1153" s="7">
        <f>INDIRECT("C$"&amp;2+MIN(2,ROUNDDOWN(I1153,0))*3)*(-$J1153^3+3*$J1153^2-3*$J1153+1)+INDIRECT("C$"&amp;3+MIN(2,ROUNDDOWN(I1153,0))*3)*(3*$J1153^3-6*$J1153^2+3*$J1153)+INDIRECT("C$"&amp;4+MIN(2,ROUNDDOWN(I1153,0))*3)*(-3*$J1153^3+3*$J1153^2)+INDIRECT("C$"&amp;5+MIN(2,ROUNDDOWN(I1153,0))*3)*$J1153^3</f>
      </c>
      <c r="L1153" s="7">
        <f>INDIRECT("D$"&amp;2+MIN(2,ROUNDDOWN(I1153,0))*3)*(-$J1153^3+3*$J1153^2-3*$J1153+1)+INDIRECT("D$"&amp;3+MIN(2,ROUNDDOWN(I1153,0))*3)*(3*$J1153^3-6*$J1153^2+3*$J1153)+INDIRECT("D$"&amp;4+MIN(2,ROUNDDOWN(I1153,0))*3)*(-3*$J1153^3+3*$J1153^2)+INDIRECT("D$"&amp;5+MIN(2,ROUNDDOWN(I1153,0))*3)*$J1153^3</f>
      </c>
      <c r="M1153" s="7">
        <f>SQRT(K1153^2+L1153^2)</f>
      </c>
      <c r="N1153" s="7">
        <f>(K1154-K1152)</f>
      </c>
      <c r="O1153" s="7">
        <f>+(L1154-L1152)</f>
      </c>
      <c r="P1153" s="7">
        <f>SQRT(O1153^2+N1153^2)</f>
      </c>
      <c r="Q1153" s="7">
        <f>N1153/$P1153</f>
      </c>
      <c r="R1153" s="7">
        <f>O1153/$P1153</f>
      </c>
      <c r="S1153" s="7">
        <f>Q1153^2+R1153^2</f>
      </c>
      <c r="T1153" s="7">
        <f>-R1153</f>
      </c>
      <c r="U1153" s="7">
        <f>Q1153</f>
      </c>
      <c r="V1153" s="7">
        <f>($C$14+($C$15-$C$14)/($D$15-$D$14)*(I1153-$D$14))/2</f>
      </c>
      <c r="W1153" s="7">
        <f>($B$22*I1153^4+$C$22*I1153^3+$D$22*I1153^2+$E$22*I1153+$F$22)/2</f>
      </c>
      <c r="X1153" s="7">
        <f>($W1153)*(T1153)</f>
      </c>
      <c r="Y1153" s="7">
        <f>($W1153)*(U1153)</f>
      </c>
      <c r="Z1153" s="7">
        <f>SQRT(X1153^2+Y1153^2)</f>
      </c>
      <c r="AA1153" s="7">
        <f>$K1153+$X1153</f>
      </c>
      <c r="AB1153" s="7">
        <f>$L1153+$Y1153</f>
      </c>
      <c r="AC1153" s="7">
        <f>$K1153-$X1153</f>
      </c>
      <c r="AD1153" s="7">
        <f>$L1153-$Y1153</f>
      </c>
      <c r="AE1153" s="7">
        <f>AA1153/39.3701</f>
      </c>
      <c r="AF1153" s="7">
        <f>AB1153/39.3701</f>
      </c>
      <c r="AG1153" s="7">
        <f>AC1153/39.3701</f>
      </c>
      <c r="AH1153" s="7">
        <f>AD1153/39.3701</f>
      </c>
      <c r="AI1153" s="1"/>
      <c r="AJ1153" s="1"/>
      <c r="AK1153" s="1"/>
      <c r="AL1153" s="1"/>
      <c r="AM1153" s="2"/>
      <c r="AN1153" s="1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  <c r="BA1153" s="1"/>
      <c r="BB1153" s="1"/>
      <c r="BC1153" s="1"/>
      <c r="BD1153" s="1"/>
      <c r="BE1153" s="1"/>
    </row>
    <row x14ac:dyDescent="0.25" r="1154" customHeight="1" ht="18.75">
      <c r="A1154" s="1"/>
      <c r="B1154" s="2"/>
      <c r="C1154" s="2"/>
      <c r="D1154" s="2"/>
      <c r="E1154" s="2"/>
      <c r="F1154" s="2"/>
      <c r="G1154" s="1"/>
      <c r="H1154" s="1"/>
      <c r="I1154" s="7">
        <v>1.151</v>
      </c>
      <c r="J1154" s="7">
        <f>IF((I1154-ROUNDDOWN(I1154,0))=0, 0, (I1154-ROUNDDOWN(I1154,0)))</f>
      </c>
      <c r="K1154" s="7">
        <f>INDIRECT("C$"&amp;2+MIN(2,ROUNDDOWN(I1154,0))*3)*(-$J1154^3+3*$J1154^2-3*$J1154+1)+INDIRECT("C$"&amp;3+MIN(2,ROUNDDOWN(I1154,0))*3)*(3*$J1154^3-6*$J1154^2+3*$J1154)+INDIRECT("C$"&amp;4+MIN(2,ROUNDDOWN(I1154,0))*3)*(-3*$J1154^3+3*$J1154^2)+INDIRECT("C$"&amp;5+MIN(2,ROUNDDOWN(I1154,0))*3)*$J1154^3</f>
      </c>
      <c r="L1154" s="7">
        <f>INDIRECT("D$"&amp;2+MIN(2,ROUNDDOWN(I1154,0))*3)*(-$J1154^3+3*$J1154^2-3*$J1154+1)+INDIRECT("D$"&amp;3+MIN(2,ROUNDDOWN(I1154,0))*3)*(3*$J1154^3-6*$J1154^2+3*$J1154)+INDIRECT("D$"&amp;4+MIN(2,ROUNDDOWN(I1154,0))*3)*(-3*$J1154^3+3*$J1154^2)+INDIRECT("D$"&amp;5+MIN(2,ROUNDDOWN(I1154,0))*3)*$J1154^3</f>
      </c>
      <c r="M1154" s="7">
        <f>SQRT(K1154^2+L1154^2)</f>
      </c>
      <c r="N1154" s="7">
        <f>(K1155-K1153)</f>
      </c>
      <c r="O1154" s="7">
        <f>+(L1155-L1153)</f>
      </c>
      <c r="P1154" s="7">
        <f>SQRT(O1154^2+N1154^2)</f>
      </c>
      <c r="Q1154" s="7">
        <f>N1154/$P1154</f>
      </c>
      <c r="R1154" s="7">
        <f>O1154/$P1154</f>
      </c>
      <c r="S1154" s="8">
        <f>Q1154^2+R1154^2</f>
      </c>
      <c r="T1154" s="7">
        <f>-R1154</f>
      </c>
      <c r="U1154" s="7">
        <f>Q1154</f>
      </c>
      <c r="V1154" s="7">
        <f>($C$14+($C$15-$C$14)/($D$15-$D$14)*(I1154-$D$14))/2</f>
      </c>
      <c r="W1154" s="7">
        <f>($B$22*I1154^4+$C$22*I1154^3+$D$22*I1154^2+$E$22*I1154+$F$22)/2</f>
      </c>
      <c r="X1154" s="7">
        <f>($W1154)*(T1154)</f>
      </c>
      <c r="Y1154" s="7">
        <f>($W1154)*(U1154)</f>
      </c>
      <c r="Z1154" s="7">
        <f>SQRT(X1154^2+Y1154^2)</f>
      </c>
      <c r="AA1154" s="7">
        <f>$K1154+$X1154</f>
      </c>
      <c r="AB1154" s="7">
        <f>$L1154+$Y1154</f>
      </c>
      <c r="AC1154" s="7">
        <f>$K1154-$X1154</f>
      </c>
      <c r="AD1154" s="7">
        <f>$L1154-$Y1154</f>
      </c>
      <c r="AE1154" s="7">
        <f>AA1154/39.3701</f>
      </c>
      <c r="AF1154" s="7">
        <f>AB1154/39.3701</f>
      </c>
      <c r="AG1154" s="7">
        <f>AC1154/39.3701</f>
      </c>
      <c r="AH1154" s="7">
        <f>AD1154/39.3701</f>
      </c>
      <c r="AI1154" s="1"/>
      <c r="AJ1154" s="1"/>
      <c r="AK1154" s="1"/>
      <c r="AL1154" s="1"/>
      <c r="AM1154" s="2"/>
      <c r="AN1154" s="1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  <c r="BA1154" s="1"/>
      <c r="BB1154" s="1"/>
      <c r="BC1154" s="1"/>
      <c r="BD1154" s="1"/>
      <c r="BE1154" s="1"/>
    </row>
    <row x14ac:dyDescent="0.25" r="1155" customHeight="1" ht="18.75">
      <c r="A1155" s="1"/>
      <c r="B1155" s="2"/>
      <c r="C1155" s="2"/>
      <c r="D1155" s="2"/>
      <c r="E1155" s="2"/>
      <c r="F1155" s="2"/>
      <c r="G1155" s="1"/>
      <c r="H1155" s="1"/>
      <c r="I1155" s="7">
        <v>1.152</v>
      </c>
      <c r="J1155" s="7">
        <f>IF((I1155-ROUNDDOWN(I1155,0))=0, 0, (I1155-ROUNDDOWN(I1155,0)))</f>
      </c>
      <c r="K1155" s="7">
        <f>INDIRECT("C$"&amp;2+MIN(2,ROUNDDOWN(I1155,0))*3)*(-$J1155^3+3*$J1155^2-3*$J1155+1)+INDIRECT("C$"&amp;3+MIN(2,ROUNDDOWN(I1155,0))*3)*(3*$J1155^3-6*$J1155^2+3*$J1155)+INDIRECT("C$"&amp;4+MIN(2,ROUNDDOWN(I1155,0))*3)*(-3*$J1155^3+3*$J1155^2)+INDIRECT("C$"&amp;5+MIN(2,ROUNDDOWN(I1155,0))*3)*$J1155^3</f>
      </c>
      <c r="L1155" s="7">
        <f>INDIRECT("D$"&amp;2+MIN(2,ROUNDDOWN(I1155,0))*3)*(-$J1155^3+3*$J1155^2-3*$J1155+1)+INDIRECT("D$"&amp;3+MIN(2,ROUNDDOWN(I1155,0))*3)*(3*$J1155^3-6*$J1155^2+3*$J1155)+INDIRECT("D$"&amp;4+MIN(2,ROUNDDOWN(I1155,0))*3)*(-3*$J1155^3+3*$J1155^2)+INDIRECT("D$"&amp;5+MIN(2,ROUNDDOWN(I1155,0))*3)*$J1155^3</f>
      </c>
      <c r="M1155" s="7">
        <f>SQRT(K1155^2+L1155^2)</f>
      </c>
      <c r="N1155" s="7">
        <f>(K1156-K1154)</f>
      </c>
      <c r="O1155" s="7">
        <f>+(L1156-L1154)</f>
      </c>
      <c r="P1155" s="7">
        <f>SQRT(O1155^2+N1155^2)</f>
      </c>
      <c r="Q1155" s="7">
        <f>N1155/$P1155</f>
      </c>
      <c r="R1155" s="7">
        <f>O1155/$P1155</f>
      </c>
      <c r="S1155" s="7">
        <f>Q1155^2+R1155^2</f>
      </c>
      <c r="T1155" s="7">
        <f>-R1155</f>
      </c>
      <c r="U1155" s="7">
        <f>Q1155</f>
      </c>
      <c r="V1155" s="7">
        <f>($C$14+($C$15-$C$14)/($D$15-$D$14)*(I1155-$D$14))/2</f>
      </c>
      <c r="W1155" s="7">
        <f>($B$22*I1155^4+$C$22*I1155^3+$D$22*I1155^2+$E$22*I1155+$F$22)/2</f>
      </c>
      <c r="X1155" s="7">
        <f>($W1155)*(T1155)</f>
      </c>
      <c r="Y1155" s="7">
        <f>($W1155)*(U1155)</f>
      </c>
      <c r="Z1155" s="7">
        <f>SQRT(X1155^2+Y1155^2)</f>
      </c>
      <c r="AA1155" s="7">
        <f>$K1155+$X1155</f>
      </c>
      <c r="AB1155" s="7">
        <f>$L1155+$Y1155</f>
      </c>
      <c r="AC1155" s="7">
        <f>$K1155-$X1155</f>
      </c>
      <c r="AD1155" s="7">
        <f>$L1155-$Y1155</f>
      </c>
      <c r="AE1155" s="7">
        <f>AA1155/39.3701</f>
      </c>
      <c r="AF1155" s="7">
        <f>AB1155/39.3701</f>
      </c>
      <c r="AG1155" s="7">
        <f>AC1155/39.3701</f>
      </c>
      <c r="AH1155" s="7">
        <f>AD1155/39.3701</f>
      </c>
      <c r="AI1155" s="1"/>
      <c r="AJ1155" s="1"/>
      <c r="AK1155" s="1"/>
      <c r="AL1155" s="1"/>
      <c r="AM1155" s="2"/>
      <c r="AN1155" s="1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  <c r="BA1155" s="1"/>
      <c r="BB1155" s="1"/>
      <c r="BC1155" s="1"/>
      <c r="BD1155" s="1"/>
      <c r="BE1155" s="1"/>
    </row>
    <row x14ac:dyDescent="0.25" r="1156" customHeight="1" ht="18.75">
      <c r="A1156" s="1"/>
      <c r="B1156" s="2"/>
      <c r="C1156" s="2"/>
      <c r="D1156" s="2"/>
      <c r="E1156" s="2"/>
      <c r="F1156" s="2"/>
      <c r="G1156" s="1"/>
      <c r="H1156" s="1"/>
      <c r="I1156" s="7">
        <v>1.153</v>
      </c>
      <c r="J1156" s="7">
        <f>IF((I1156-ROUNDDOWN(I1156,0))=0, 0, (I1156-ROUNDDOWN(I1156,0)))</f>
      </c>
      <c r="K1156" s="7">
        <f>INDIRECT("C$"&amp;2+MIN(2,ROUNDDOWN(I1156,0))*3)*(-$J1156^3+3*$J1156^2-3*$J1156+1)+INDIRECT("C$"&amp;3+MIN(2,ROUNDDOWN(I1156,0))*3)*(3*$J1156^3-6*$J1156^2+3*$J1156)+INDIRECT("C$"&amp;4+MIN(2,ROUNDDOWN(I1156,0))*3)*(-3*$J1156^3+3*$J1156^2)+INDIRECT("C$"&amp;5+MIN(2,ROUNDDOWN(I1156,0))*3)*$J1156^3</f>
      </c>
      <c r="L1156" s="7">
        <f>INDIRECT("D$"&amp;2+MIN(2,ROUNDDOWN(I1156,0))*3)*(-$J1156^3+3*$J1156^2-3*$J1156+1)+INDIRECT("D$"&amp;3+MIN(2,ROUNDDOWN(I1156,0))*3)*(3*$J1156^3-6*$J1156^2+3*$J1156)+INDIRECT("D$"&amp;4+MIN(2,ROUNDDOWN(I1156,0))*3)*(-3*$J1156^3+3*$J1156^2)+INDIRECT("D$"&amp;5+MIN(2,ROUNDDOWN(I1156,0))*3)*$J1156^3</f>
      </c>
      <c r="M1156" s="7">
        <f>SQRT(K1156^2+L1156^2)</f>
      </c>
      <c r="N1156" s="7">
        <f>(K1157-K1155)</f>
      </c>
      <c r="O1156" s="7">
        <f>+(L1157-L1155)</f>
      </c>
      <c r="P1156" s="7">
        <f>SQRT(O1156^2+N1156^2)</f>
      </c>
      <c r="Q1156" s="7">
        <f>N1156/$P1156</f>
      </c>
      <c r="R1156" s="7">
        <f>O1156/$P1156</f>
      </c>
      <c r="S1156" s="7">
        <f>Q1156^2+R1156^2</f>
      </c>
      <c r="T1156" s="7">
        <f>-R1156</f>
      </c>
      <c r="U1156" s="7">
        <f>Q1156</f>
      </c>
      <c r="V1156" s="7">
        <f>($C$14+($C$15-$C$14)/($D$15-$D$14)*(I1156-$D$14))/2</f>
      </c>
      <c r="W1156" s="7">
        <f>($B$22*I1156^4+$C$22*I1156^3+$D$22*I1156^2+$E$22*I1156+$F$22)/2</f>
      </c>
      <c r="X1156" s="7">
        <f>($W1156)*(T1156)</f>
      </c>
      <c r="Y1156" s="7">
        <f>($W1156)*(U1156)</f>
      </c>
      <c r="Z1156" s="7">
        <f>SQRT(X1156^2+Y1156^2)</f>
      </c>
      <c r="AA1156" s="7">
        <f>$K1156+$X1156</f>
      </c>
      <c r="AB1156" s="7">
        <f>$L1156+$Y1156</f>
      </c>
      <c r="AC1156" s="7">
        <f>$K1156-$X1156</f>
      </c>
      <c r="AD1156" s="7">
        <f>$L1156-$Y1156</f>
      </c>
      <c r="AE1156" s="7">
        <f>AA1156/39.3701</f>
      </c>
      <c r="AF1156" s="7">
        <f>AB1156/39.3701</f>
      </c>
      <c r="AG1156" s="7">
        <f>AC1156/39.3701</f>
      </c>
      <c r="AH1156" s="7">
        <f>AD1156/39.3701</f>
      </c>
      <c r="AI1156" s="1"/>
      <c r="AJ1156" s="1"/>
      <c r="AK1156" s="1"/>
      <c r="AL1156" s="1"/>
      <c r="AM1156" s="2"/>
      <c r="AN1156" s="1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  <c r="BA1156" s="1"/>
      <c r="BB1156" s="1"/>
      <c r="BC1156" s="1"/>
      <c r="BD1156" s="1"/>
      <c r="BE1156" s="1"/>
    </row>
    <row x14ac:dyDescent="0.25" r="1157" customHeight="1" ht="18.75">
      <c r="A1157" s="1"/>
      <c r="B1157" s="2"/>
      <c r="C1157" s="2"/>
      <c r="D1157" s="2"/>
      <c r="E1157" s="2"/>
      <c r="F1157" s="2"/>
      <c r="G1157" s="1"/>
      <c r="H1157" s="1"/>
      <c r="I1157" s="7">
        <v>1.154</v>
      </c>
      <c r="J1157" s="7">
        <f>IF((I1157-ROUNDDOWN(I1157,0))=0, 0, (I1157-ROUNDDOWN(I1157,0)))</f>
      </c>
      <c r="K1157" s="7">
        <f>INDIRECT("C$"&amp;2+MIN(2,ROUNDDOWN(I1157,0))*3)*(-$J1157^3+3*$J1157^2-3*$J1157+1)+INDIRECT("C$"&amp;3+MIN(2,ROUNDDOWN(I1157,0))*3)*(3*$J1157^3-6*$J1157^2+3*$J1157)+INDIRECT("C$"&amp;4+MIN(2,ROUNDDOWN(I1157,0))*3)*(-3*$J1157^3+3*$J1157^2)+INDIRECT("C$"&amp;5+MIN(2,ROUNDDOWN(I1157,0))*3)*$J1157^3</f>
      </c>
      <c r="L1157" s="7">
        <f>INDIRECT("D$"&amp;2+MIN(2,ROUNDDOWN(I1157,0))*3)*(-$J1157^3+3*$J1157^2-3*$J1157+1)+INDIRECT("D$"&amp;3+MIN(2,ROUNDDOWN(I1157,0))*3)*(3*$J1157^3-6*$J1157^2+3*$J1157)+INDIRECT("D$"&amp;4+MIN(2,ROUNDDOWN(I1157,0))*3)*(-3*$J1157^3+3*$J1157^2)+INDIRECT("D$"&amp;5+MIN(2,ROUNDDOWN(I1157,0))*3)*$J1157^3</f>
      </c>
      <c r="M1157" s="7">
        <f>SQRT(K1157^2+L1157^2)</f>
      </c>
      <c r="N1157" s="7">
        <f>(K1158-K1156)</f>
      </c>
      <c r="O1157" s="7">
        <f>+(L1158-L1156)</f>
      </c>
      <c r="P1157" s="7">
        <f>SQRT(O1157^2+N1157^2)</f>
      </c>
      <c r="Q1157" s="7">
        <f>N1157/$P1157</f>
      </c>
      <c r="R1157" s="7">
        <f>O1157/$P1157</f>
      </c>
      <c r="S1157" s="8">
        <f>Q1157^2+R1157^2</f>
      </c>
      <c r="T1157" s="7">
        <f>-R1157</f>
      </c>
      <c r="U1157" s="7">
        <f>Q1157</f>
      </c>
      <c r="V1157" s="7">
        <f>($C$14+($C$15-$C$14)/($D$15-$D$14)*(I1157-$D$14))/2</f>
      </c>
      <c r="W1157" s="7">
        <f>($B$22*I1157^4+$C$22*I1157^3+$D$22*I1157^2+$E$22*I1157+$F$22)/2</f>
      </c>
      <c r="X1157" s="7">
        <f>($W1157)*(T1157)</f>
      </c>
      <c r="Y1157" s="7">
        <f>($W1157)*(U1157)</f>
      </c>
      <c r="Z1157" s="7">
        <f>SQRT(X1157^2+Y1157^2)</f>
      </c>
      <c r="AA1157" s="7">
        <f>$K1157+$X1157</f>
      </c>
      <c r="AB1157" s="7">
        <f>$L1157+$Y1157</f>
      </c>
      <c r="AC1157" s="7">
        <f>$K1157-$X1157</f>
      </c>
      <c r="AD1157" s="7">
        <f>$L1157-$Y1157</f>
      </c>
      <c r="AE1157" s="7">
        <f>AA1157/39.3701</f>
      </c>
      <c r="AF1157" s="7">
        <f>AB1157/39.3701</f>
      </c>
      <c r="AG1157" s="7">
        <f>AC1157/39.3701</f>
      </c>
      <c r="AH1157" s="7">
        <f>AD1157/39.3701</f>
      </c>
      <c r="AI1157" s="1"/>
      <c r="AJ1157" s="1"/>
      <c r="AK1157" s="1"/>
      <c r="AL1157" s="1"/>
      <c r="AM1157" s="2"/>
      <c r="AN1157" s="1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  <c r="BA1157" s="1"/>
      <c r="BB1157" s="1"/>
      <c r="BC1157" s="1"/>
      <c r="BD1157" s="1"/>
      <c r="BE1157" s="1"/>
    </row>
    <row x14ac:dyDescent="0.25" r="1158" customHeight="1" ht="18.75">
      <c r="A1158" s="1"/>
      <c r="B1158" s="2"/>
      <c r="C1158" s="2"/>
      <c r="D1158" s="2"/>
      <c r="E1158" s="2"/>
      <c r="F1158" s="2"/>
      <c r="G1158" s="1"/>
      <c r="H1158" s="1"/>
      <c r="I1158" s="7">
        <v>1.155</v>
      </c>
      <c r="J1158" s="7">
        <f>IF((I1158-ROUNDDOWN(I1158,0))=0, 0, (I1158-ROUNDDOWN(I1158,0)))</f>
      </c>
      <c r="K1158" s="7">
        <f>INDIRECT("C$"&amp;2+MIN(2,ROUNDDOWN(I1158,0))*3)*(-$J1158^3+3*$J1158^2-3*$J1158+1)+INDIRECT("C$"&amp;3+MIN(2,ROUNDDOWN(I1158,0))*3)*(3*$J1158^3-6*$J1158^2+3*$J1158)+INDIRECT("C$"&amp;4+MIN(2,ROUNDDOWN(I1158,0))*3)*(-3*$J1158^3+3*$J1158^2)+INDIRECT("C$"&amp;5+MIN(2,ROUNDDOWN(I1158,0))*3)*$J1158^3</f>
      </c>
      <c r="L1158" s="7">
        <f>INDIRECT("D$"&amp;2+MIN(2,ROUNDDOWN(I1158,0))*3)*(-$J1158^3+3*$J1158^2-3*$J1158+1)+INDIRECT("D$"&amp;3+MIN(2,ROUNDDOWN(I1158,0))*3)*(3*$J1158^3-6*$J1158^2+3*$J1158)+INDIRECT("D$"&amp;4+MIN(2,ROUNDDOWN(I1158,0))*3)*(-3*$J1158^3+3*$J1158^2)+INDIRECT("D$"&amp;5+MIN(2,ROUNDDOWN(I1158,0))*3)*$J1158^3</f>
      </c>
      <c r="M1158" s="7">
        <f>SQRT(K1158^2+L1158^2)</f>
      </c>
      <c r="N1158" s="7">
        <f>(K1159-K1157)</f>
      </c>
      <c r="O1158" s="7">
        <f>+(L1159-L1157)</f>
      </c>
      <c r="P1158" s="7">
        <f>SQRT(O1158^2+N1158^2)</f>
      </c>
      <c r="Q1158" s="7">
        <f>N1158/$P1158</f>
      </c>
      <c r="R1158" s="7">
        <f>O1158/$P1158</f>
      </c>
      <c r="S1158" s="7">
        <f>Q1158^2+R1158^2</f>
      </c>
      <c r="T1158" s="7">
        <f>-R1158</f>
      </c>
      <c r="U1158" s="7">
        <f>Q1158</f>
      </c>
      <c r="V1158" s="7">
        <f>($C$14+($C$15-$C$14)/($D$15-$D$14)*(I1158-$D$14))/2</f>
      </c>
      <c r="W1158" s="7">
        <f>($B$22*I1158^4+$C$22*I1158^3+$D$22*I1158^2+$E$22*I1158+$F$22)/2</f>
      </c>
      <c r="X1158" s="7">
        <f>($W1158)*(T1158)</f>
      </c>
      <c r="Y1158" s="7">
        <f>($W1158)*(U1158)</f>
      </c>
      <c r="Z1158" s="7">
        <f>SQRT(X1158^2+Y1158^2)</f>
      </c>
      <c r="AA1158" s="7">
        <f>$K1158+$X1158</f>
      </c>
      <c r="AB1158" s="7">
        <f>$L1158+$Y1158</f>
      </c>
      <c r="AC1158" s="7">
        <f>$K1158-$X1158</f>
      </c>
      <c r="AD1158" s="7">
        <f>$L1158-$Y1158</f>
      </c>
      <c r="AE1158" s="7">
        <f>AA1158/39.3701</f>
      </c>
      <c r="AF1158" s="7">
        <f>AB1158/39.3701</f>
      </c>
      <c r="AG1158" s="7">
        <f>AC1158/39.3701</f>
      </c>
      <c r="AH1158" s="7">
        <f>AD1158/39.3701</f>
      </c>
      <c r="AI1158" s="1"/>
      <c r="AJ1158" s="1"/>
      <c r="AK1158" s="1"/>
      <c r="AL1158" s="1"/>
      <c r="AM1158" s="2"/>
      <c r="AN1158" s="1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  <c r="BA1158" s="1"/>
      <c r="BB1158" s="1"/>
      <c r="BC1158" s="1"/>
      <c r="BD1158" s="1"/>
      <c r="BE1158" s="1"/>
    </row>
    <row x14ac:dyDescent="0.25" r="1159" customHeight="1" ht="18.75">
      <c r="A1159" s="1"/>
      <c r="B1159" s="2"/>
      <c r="C1159" s="2"/>
      <c r="D1159" s="2"/>
      <c r="E1159" s="2"/>
      <c r="F1159" s="2"/>
      <c r="G1159" s="1"/>
      <c r="H1159" s="1"/>
      <c r="I1159" s="7">
        <v>1.156</v>
      </c>
      <c r="J1159" s="7">
        <f>IF((I1159-ROUNDDOWN(I1159,0))=0, 0, (I1159-ROUNDDOWN(I1159,0)))</f>
      </c>
      <c r="K1159" s="7">
        <f>INDIRECT("C$"&amp;2+MIN(2,ROUNDDOWN(I1159,0))*3)*(-$J1159^3+3*$J1159^2-3*$J1159+1)+INDIRECT("C$"&amp;3+MIN(2,ROUNDDOWN(I1159,0))*3)*(3*$J1159^3-6*$J1159^2+3*$J1159)+INDIRECT("C$"&amp;4+MIN(2,ROUNDDOWN(I1159,0))*3)*(-3*$J1159^3+3*$J1159^2)+INDIRECT("C$"&amp;5+MIN(2,ROUNDDOWN(I1159,0))*3)*$J1159^3</f>
      </c>
      <c r="L1159" s="7">
        <f>INDIRECT("D$"&amp;2+MIN(2,ROUNDDOWN(I1159,0))*3)*(-$J1159^3+3*$J1159^2-3*$J1159+1)+INDIRECT("D$"&amp;3+MIN(2,ROUNDDOWN(I1159,0))*3)*(3*$J1159^3-6*$J1159^2+3*$J1159)+INDIRECT("D$"&amp;4+MIN(2,ROUNDDOWN(I1159,0))*3)*(-3*$J1159^3+3*$J1159^2)+INDIRECT("D$"&amp;5+MIN(2,ROUNDDOWN(I1159,0))*3)*$J1159^3</f>
      </c>
      <c r="M1159" s="7">
        <f>SQRT(K1159^2+L1159^2)</f>
      </c>
      <c r="N1159" s="7">
        <f>(K1160-K1158)</f>
      </c>
      <c r="O1159" s="7">
        <f>+(L1160-L1158)</f>
      </c>
      <c r="P1159" s="7">
        <f>SQRT(O1159^2+N1159^2)</f>
      </c>
      <c r="Q1159" s="7">
        <f>N1159/$P1159</f>
      </c>
      <c r="R1159" s="7">
        <f>O1159/$P1159</f>
      </c>
      <c r="S1159" s="7">
        <f>Q1159^2+R1159^2</f>
      </c>
      <c r="T1159" s="7">
        <f>-R1159</f>
      </c>
      <c r="U1159" s="7">
        <f>Q1159</f>
      </c>
      <c r="V1159" s="7">
        <f>($C$14+($C$15-$C$14)/($D$15-$D$14)*(I1159-$D$14))/2</f>
      </c>
      <c r="W1159" s="7">
        <f>($B$22*I1159^4+$C$22*I1159^3+$D$22*I1159^2+$E$22*I1159+$F$22)/2</f>
      </c>
      <c r="X1159" s="7">
        <f>($W1159)*(T1159)</f>
      </c>
      <c r="Y1159" s="7">
        <f>($W1159)*(U1159)</f>
      </c>
      <c r="Z1159" s="7">
        <f>SQRT(X1159^2+Y1159^2)</f>
      </c>
      <c r="AA1159" s="7">
        <f>$K1159+$X1159</f>
      </c>
      <c r="AB1159" s="7">
        <f>$L1159+$Y1159</f>
      </c>
      <c r="AC1159" s="7">
        <f>$K1159-$X1159</f>
      </c>
      <c r="AD1159" s="7">
        <f>$L1159-$Y1159</f>
      </c>
      <c r="AE1159" s="7">
        <f>AA1159/39.3701</f>
      </c>
      <c r="AF1159" s="7">
        <f>AB1159/39.3701</f>
      </c>
      <c r="AG1159" s="7">
        <f>AC1159/39.3701</f>
      </c>
      <c r="AH1159" s="7">
        <f>AD1159/39.3701</f>
      </c>
      <c r="AI1159" s="1"/>
      <c r="AJ1159" s="1"/>
      <c r="AK1159" s="1"/>
      <c r="AL1159" s="1"/>
      <c r="AM1159" s="2"/>
      <c r="AN1159" s="1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  <c r="BA1159" s="1"/>
      <c r="BB1159" s="1"/>
      <c r="BC1159" s="1"/>
      <c r="BD1159" s="1"/>
      <c r="BE1159" s="1"/>
    </row>
    <row x14ac:dyDescent="0.25" r="1160" customHeight="1" ht="18.75">
      <c r="A1160" s="1"/>
      <c r="B1160" s="2"/>
      <c r="C1160" s="2"/>
      <c r="D1160" s="2"/>
      <c r="E1160" s="2"/>
      <c r="F1160" s="2"/>
      <c r="G1160" s="1"/>
      <c r="H1160" s="1"/>
      <c r="I1160" s="7">
        <v>1.157</v>
      </c>
      <c r="J1160" s="7">
        <f>IF((I1160-ROUNDDOWN(I1160,0))=0, 0, (I1160-ROUNDDOWN(I1160,0)))</f>
      </c>
      <c r="K1160" s="7">
        <f>INDIRECT("C$"&amp;2+MIN(2,ROUNDDOWN(I1160,0))*3)*(-$J1160^3+3*$J1160^2-3*$J1160+1)+INDIRECT("C$"&amp;3+MIN(2,ROUNDDOWN(I1160,0))*3)*(3*$J1160^3-6*$J1160^2+3*$J1160)+INDIRECT("C$"&amp;4+MIN(2,ROUNDDOWN(I1160,0))*3)*(-3*$J1160^3+3*$J1160^2)+INDIRECT("C$"&amp;5+MIN(2,ROUNDDOWN(I1160,0))*3)*$J1160^3</f>
      </c>
      <c r="L1160" s="7">
        <f>INDIRECT("D$"&amp;2+MIN(2,ROUNDDOWN(I1160,0))*3)*(-$J1160^3+3*$J1160^2-3*$J1160+1)+INDIRECT("D$"&amp;3+MIN(2,ROUNDDOWN(I1160,0))*3)*(3*$J1160^3-6*$J1160^2+3*$J1160)+INDIRECT("D$"&amp;4+MIN(2,ROUNDDOWN(I1160,0))*3)*(-3*$J1160^3+3*$J1160^2)+INDIRECT("D$"&amp;5+MIN(2,ROUNDDOWN(I1160,0))*3)*$J1160^3</f>
      </c>
      <c r="M1160" s="7">
        <f>SQRT(K1160^2+L1160^2)</f>
      </c>
      <c r="N1160" s="7">
        <f>(K1161-K1159)</f>
      </c>
      <c r="O1160" s="7">
        <f>+(L1161-L1159)</f>
      </c>
      <c r="P1160" s="7">
        <f>SQRT(O1160^2+N1160^2)</f>
      </c>
      <c r="Q1160" s="7">
        <f>N1160/$P1160</f>
      </c>
      <c r="R1160" s="7">
        <f>O1160/$P1160</f>
      </c>
      <c r="S1160" s="8">
        <f>Q1160^2+R1160^2</f>
      </c>
      <c r="T1160" s="7">
        <f>-R1160</f>
      </c>
      <c r="U1160" s="7">
        <f>Q1160</f>
      </c>
      <c r="V1160" s="7">
        <f>($C$14+($C$15-$C$14)/($D$15-$D$14)*(I1160-$D$14))/2</f>
      </c>
      <c r="W1160" s="7">
        <f>($B$22*I1160^4+$C$22*I1160^3+$D$22*I1160^2+$E$22*I1160+$F$22)/2</f>
      </c>
      <c r="X1160" s="7">
        <f>($W1160)*(T1160)</f>
      </c>
      <c r="Y1160" s="7">
        <f>($W1160)*(U1160)</f>
      </c>
      <c r="Z1160" s="7">
        <f>SQRT(X1160^2+Y1160^2)</f>
      </c>
      <c r="AA1160" s="7">
        <f>$K1160+$X1160</f>
      </c>
      <c r="AB1160" s="7">
        <f>$L1160+$Y1160</f>
      </c>
      <c r="AC1160" s="7">
        <f>$K1160-$X1160</f>
      </c>
      <c r="AD1160" s="7">
        <f>$L1160-$Y1160</f>
      </c>
      <c r="AE1160" s="7">
        <f>AA1160/39.3701</f>
      </c>
      <c r="AF1160" s="7">
        <f>AB1160/39.3701</f>
      </c>
      <c r="AG1160" s="7">
        <f>AC1160/39.3701</f>
      </c>
      <c r="AH1160" s="7">
        <f>AD1160/39.3701</f>
      </c>
      <c r="AI1160" s="1"/>
      <c r="AJ1160" s="1"/>
      <c r="AK1160" s="1"/>
      <c r="AL1160" s="1"/>
      <c r="AM1160" s="2"/>
      <c r="AN1160" s="1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  <c r="BA1160" s="1"/>
      <c r="BB1160" s="1"/>
      <c r="BC1160" s="1"/>
      <c r="BD1160" s="1"/>
      <c r="BE1160" s="1"/>
    </row>
    <row x14ac:dyDescent="0.25" r="1161" customHeight="1" ht="18.75">
      <c r="A1161" s="1"/>
      <c r="B1161" s="2"/>
      <c r="C1161" s="2"/>
      <c r="D1161" s="2"/>
      <c r="E1161" s="2"/>
      <c r="F1161" s="2"/>
      <c r="G1161" s="1"/>
      <c r="H1161" s="1"/>
      <c r="I1161" s="7">
        <v>1.158</v>
      </c>
      <c r="J1161" s="7">
        <f>IF((I1161-ROUNDDOWN(I1161,0))=0, 0, (I1161-ROUNDDOWN(I1161,0)))</f>
      </c>
      <c r="K1161" s="7">
        <f>INDIRECT("C$"&amp;2+MIN(2,ROUNDDOWN(I1161,0))*3)*(-$J1161^3+3*$J1161^2-3*$J1161+1)+INDIRECT("C$"&amp;3+MIN(2,ROUNDDOWN(I1161,0))*3)*(3*$J1161^3-6*$J1161^2+3*$J1161)+INDIRECT("C$"&amp;4+MIN(2,ROUNDDOWN(I1161,0))*3)*(-3*$J1161^3+3*$J1161^2)+INDIRECT("C$"&amp;5+MIN(2,ROUNDDOWN(I1161,0))*3)*$J1161^3</f>
      </c>
      <c r="L1161" s="7">
        <f>INDIRECT("D$"&amp;2+MIN(2,ROUNDDOWN(I1161,0))*3)*(-$J1161^3+3*$J1161^2-3*$J1161+1)+INDIRECT("D$"&amp;3+MIN(2,ROUNDDOWN(I1161,0))*3)*(3*$J1161^3-6*$J1161^2+3*$J1161)+INDIRECT("D$"&amp;4+MIN(2,ROUNDDOWN(I1161,0))*3)*(-3*$J1161^3+3*$J1161^2)+INDIRECT("D$"&amp;5+MIN(2,ROUNDDOWN(I1161,0))*3)*$J1161^3</f>
      </c>
      <c r="M1161" s="7">
        <f>SQRT(K1161^2+L1161^2)</f>
      </c>
      <c r="N1161" s="7">
        <f>(K1162-K1160)</f>
      </c>
      <c r="O1161" s="7">
        <f>+(L1162-L1160)</f>
      </c>
      <c r="P1161" s="7">
        <f>SQRT(O1161^2+N1161^2)</f>
      </c>
      <c r="Q1161" s="7">
        <f>N1161/$P1161</f>
      </c>
      <c r="R1161" s="7">
        <f>O1161/$P1161</f>
      </c>
      <c r="S1161" s="7">
        <f>Q1161^2+R1161^2</f>
      </c>
      <c r="T1161" s="7">
        <f>-R1161</f>
      </c>
      <c r="U1161" s="7">
        <f>Q1161</f>
      </c>
      <c r="V1161" s="7">
        <f>($C$14+($C$15-$C$14)/($D$15-$D$14)*(I1161-$D$14))/2</f>
      </c>
      <c r="W1161" s="7">
        <f>($B$22*I1161^4+$C$22*I1161^3+$D$22*I1161^2+$E$22*I1161+$F$22)/2</f>
      </c>
      <c r="X1161" s="7">
        <f>($W1161)*(T1161)</f>
      </c>
      <c r="Y1161" s="7">
        <f>($W1161)*(U1161)</f>
      </c>
      <c r="Z1161" s="7">
        <f>SQRT(X1161^2+Y1161^2)</f>
      </c>
      <c r="AA1161" s="7">
        <f>$K1161+$X1161</f>
      </c>
      <c r="AB1161" s="7">
        <f>$L1161+$Y1161</f>
      </c>
      <c r="AC1161" s="7">
        <f>$K1161-$X1161</f>
      </c>
      <c r="AD1161" s="7">
        <f>$L1161-$Y1161</f>
      </c>
      <c r="AE1161" s="7">
        <f>AA1161/39.3701</f>
      </c>
      <c r="AF1161" s="7">
        <f>AB1161/39.3701</f>
      </c>
      <c r="AG1161" s="7">
        <f>AC1161/39.3701</f>
      </c>
      <c r="AH1161" s="7">
        <f>AD1161/39.3701</f>
      </c>
      <c r="AI1161" s="1"/>
      <c r="AJ1161" s="1"/>
      <c r="AK1161" s="1"/>
      <c r="AL1161" s="1"/>
      <c r="AM1161" s="2"/>
      <c r="AN1161" s="1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  <c r="BA1161" s="1"/>
      <c r="BB1161" s="1"/>
      <c r="BC1161" s="1"/>
      <c r="BD1161" s="1"/>
      <c r="BE1161" s="1"/>
    </row>
    <row x14ac:dyDescent="0.25" r="1162" customHeight="1" ht="18.75">
      <c r="A1162" s="1"/>
      <c r="B1162" s="2"/>
      <c r="C1162" s="2"/>
      <c r="D1162" s="2"/>
      <c r="E1162" s="2"/>
      <c r="F1162" s="2"/>
      <c r="G1162" s="1"/>
      <c r="H1162" s="1"/>
      <c r="I1162" s="7">
        <v>1.159</v>
      </c>
      <c r="J1162" s="7">
        <f>IF((I1162-ROUNDDOWN(I1162,0))=0, 0, (I1162-ROUNDDOWN(I1162,0)))</f>
      </c>
      <c r="K1162" s="7">
        <f>INDIRECT("C$"&amp;2+MIN(2,ROUNDDOWN(I1162,0))*3)*(-$J1162^3+3*$J1162^2-3*$J1162+1)+INDIRECT("C$"&amp;3+MIN(2,ROUNDDOWN(I1162,0))*3)*(3*$J1162^3-6*$J1162^2+3*$J1162)+INDIRECT("C$"&amp;4+MIN(2,ROUNDDOWN(I1162,0))*3)*(-3*$J1162^3+3*$J1162^2)+INDIRECT("C$"&amp;5+MIN(2,ROUNDDOWN(I1162,0))*3)*$J1162^3</f>
      </c>
      <c r="L1162" s="7">
        <f>INDIRECT("D$"&amp;2+MIN(2,ROUNDDOWN(I1162,0))*3)*(-$J1162^3+3*$J1162^2-3*$J1162+1)+INDIRECT("D$"&amp;3+MIN(2,ROUNDDOWN(I1162,0))*3)*(3*$J1162^3-6*$J1162^2+3*$J1162)+INDIRECT("D$"&amp;4+MIN(2,ROUNDDOWN(I1162,0))*3)*(-3*$J1162^3+3*$J1162^2)+INDIRECT("D$"&amp;5+MIN(2,ROUNDDOWN(I1162,0))*3)*$J1162^3</f>
      </c>
      <c r="M1162" s="7">
        <f>SQRT(K1162^2+L1162^2)</f>
      </c>
      <c r="N1162" s="7">
        <f>(K1163-K1161)</f>
      </c>
      <c r="O1162" s="7">
        <f>+(L1163-L1161)</f>
      </c>
      <c r="P1162" s="7">
        <f>SQRT(O1162^2+N1162^2)</f>
      </c>
      <c r="Q1162" s="7">
        <f>N1162/$P1162</f>
      </c>
      <c r="R1162" s="7">
        <f>O1162/$P1162</f>
      </c>
      <c r="S1162" s="7">
        <f>Q1162^2+R1162^2</f>
      </c>
      <c r="T1162" s="7">
        <f>-R1162</f>
      </c>
      <c r="U1162" s="7">
        <f>Q1162</f>
      </c>
      <c r="V1162" s="7">
        <f>($C$14+($C$15-$C$14)/($D$15-$D$14)*(I1162-$D$14))/2</f>
      </c>
      <c r="W1162" s="7">
        <f>($B$22*I1162^4+$C$22*I1162^3+$D$22*I1162^2+$E$22*I1162+$F$22)/2</f>
      </c>
      <c r="X1162" s="7">
        <f>($W1162)*(T1162)</f>
      </c>
      <c r="Y1162" s="7">
        <f>($W1162)*(U1162)</f>
      </c>
      <c r="Z1162" s="7">
        <f>SQRT(X1162^2+Y1162^2)</f>
      </c>
      <c r="AA1162" s="7">
        <f>$K1162+$X1162</f>
      </c>
      <c r="AB1162" s="7">
        <f>$L1162+$Y1162</f>
      </c>
      <c r="AC1162" s="7">
        <f>$K1162-$X1162</f>
      </c>
      <c r="AD1162" s="7">
        <f>$L1162-$Y1162</f>
      </c>
      <c r="AE1162" s="7">
        <f>AA1162/39.3701</f>
      </c>
      <c r="AF1162" s="7">
        <f>AB1162/39.3701</f>
      </c>
      <c r="AG1162" s="7">
        <f>AC1162/39.3701</f>
      </c>
      <c r="AH1162" s="7">
        <f>AD1162/39.3701</f>
      </c>
      <c r="AI1162" s="1"/>
      <c r="AJ1162" s="1"/>
      <c r="AK1162" s="1"/>
      <c r="AL1162" s="1"/>
      <c r="AM1162" s="2"/>
      <c r="AN1162" s="1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  <c r="BA1162" s="1"/>
      <c r="BB1162" s="1"/>
      <c r="BC1162" s="1"/>
      <c r="BD1162" s="1"/>
      <c r="BE1162" s="1"/>
    </row>
    <row x14ac:dyDescent="0.25" r="1163" customHeight="1" ht="18.75">
      <c r="A1163" s="1"/>
      <c r="B1163" s="2"/>
      <c r="C1163" s="2"/>
      <c r="D1163" s="2"/>
      <c r="E1163" s="2"/>
      <c r="F1163" s="2"/>
      <c r="G1163" s="1"/>
      <c r="H1163" s="1"/>
      <c r="I1163" s="7">
        <v>1.16</v>
      </c>
      <c r="J1163" s="7">
        <f>IF((I1163-ROUNDDOWN(I1163,0))=0, 0, (I1163-ROUNDDOWN(I1163,0)))</f>
      </c>
      <c r="K1163" s="7">
        <f>INDIRECT("C$"&amp;2+MIN(2,ROUNDDOWN(I1163,0))*3)*(-$J1163^3+3*$J1163^2-3*$J1163+1)+INDIRECT("C$"&amp;3+MIN(2,ROUNDDOWN(I1163,0))*3)*(3*$J1163^3-6*$J1163^2+3*$J1163)+INDIRECT("C$"&amp;4+MIN(2,ROUNDDOWN(I1163,0))*3)*(-3*$J1163^3+3*$J1163^2)+INDIRECT("C$"&amp;5+MIN(2,ROUNDDOWN(I1163,0))*3)*$J1163^3</f>
      </c>
      <c r="L1163" s="7">
        <f>INDIRECT("D$"&amp;2+MIN(2,ROUNDDOWN(I1163,0))*3)*(-$J1163^3+3*$J1163^2-3*$J1163+1)+INDIRECT("D$"&amp;3+MIN(2,ROUNDDOWN(I1163,0))*3)*(3*$J1163^3-6*$J1163^2+3*$J1163)+INDIRECT("D$"&amp;4+MIN(2,ROUNDDOWN(I1163,0))*3)*(-3*$J1163^3+3*$J1163^2)+INDIRECT("D$"&amp;5+MIN(2,ROUNDDOWN(I1163,0))*3)*$J1163^3</f>
      </c>
      <c r="M1163" s="7">
        <f>SQRT(K1163^2+L1163^2)</f>
      </c>
      <c r="N1163" s="7">
        <f>(K1164-K1162)</f>
      </c>
      <c r="O1163" s="7">
        <f>+(L1164-L1162)</f>
      </c>
      <c r="P1163" s="7">
        <f>SQRT(O1163^2+N1163^2)</f>
      </c>
      <c r="Q1163" s="7">
        <f>N1163/$P1163</f>
      </c>
      <c r="R1163" s="7">
        <f>O1163/$P1163</f>
      </c>
      <c r="S1163" s="7">
        <f>Q1163^2+R1163^2</f>
      </c>
      <c r="T1163" s="7">
        <f>-R1163</f>
      </c>
      <c r="U1163" s="7">
        <f>Q1163</f>
      </c>
      <c r="V1163" s="7">
        <f>($C$14+($C$15-$C$14)/($D$15-$D$14)*(I1163-$D$14))/2</f>
      </c>
      <c r="W1163" s="7">
        <f>($B$22*I1163^4+$C$22*I1163^3+$D$22*I1163^2+$E$22*I1163+$F$22)/2</f>
      </c>
      <c r="X1163" s="7">
        <f>($W1163)*(T1163)</f>
      </c>
      <c r="Y1163" s="7">
        <f>($W1163)*(U1163)</f>
      </c>
      <c r="Z1163" s="7">
        <f>SQRT(X1163^2+Y1163^2)</f>
      </c>
      <c r="AA1163" s="7">
        <f>$K1163+$X1163</f>
      </c>
      <c r="AB1163" s="7">
        <f>$L1163+$Y1163</f>
      </c>
      <c r="AC1163" s="7">
        <f>$K1163-$X1163</f>
      </c>
      <c r="AD1163" s="7">
        <f>$L1163-$Y1163</f>
      </c>
      <c r="AE1163" s="7">
        <f>AA1163/39.3701</f>
      </c>
      <c r="AF1163" s="7">
        <f>AB1163/39.3701</f>
      </c>
      <c r="AG1163" s="7">
        <f>AC1163/39.3701</f>
      </c>
      <c r="AH1163" s="7">
        <f>AD1163/39.3701</f>
      </c>
      <c r="AI1163" s="1"/>
      <c r="AJ1163" s="1"/>
      <c r="AK1163" s="1"/>
      <c r="AL1163" s="1"/>
      <c r="AM1163" s="2"/>
      <c r="AN1163" s="1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  <c r="BA1163" s="1"/>
      <c r="BB1163" s="1"/>
      <c r="BC1163" s="1"/>
      <c r="BD1163" s="1"/>
      <c r="BE1163" s="1"/>
    </row>
    <row x14ac:dyDescent="0.25" r="1164" customHeight="1" ht="18.75">
      <c r="A1164" s="1"/>
      <c r="B1164" s="2"/>
      <c r="C1164" s="2"/>
      <c r="D1164" s="2"/>
      <c r="E1164" s="2"/>
      <c r="F1164" s="2"/>
      <c r="G1164" s="1"/>
      <c r="H1164" s="1"/>
      <c r="I1164" s="7">
        <v>1.161</v>
      </c>
      <c r="J1164" s="7">
        <f>IF((I1164-ROUNDDOWN(I1164,0))=0, 0, (I1164-ROUNDDOWN(I1164,0)))</f>
      </c>
      <c r="K1164" s="7">
        <f>INDIRECT("C$"&amp;2+MIN(2,ROUNDDOWN(I1164,0))*3)*(-$J1164^3+3*$J1164^2-3*$J1164+1)+INDIRECT("C$"&amp;3+MIN(2,ROUNDDOWN(I1164,0))*3)*(3*$J1164^3-6*$J1164^2+3*$J1164)+INDIRECT("C$"&amp;4+MIN(2,ROUNDDOWN(I1164,0))*3)*(-3*$J1164^3+3*$J1164^2)+INDIRECT("C$"&amp;5+MIN(2,ROUNDDOWN(I1164,0))*3)*$J1164^3</f>
      </c>
      <c r="L1164" s="7">
        <f>INDIRECT("D$"&amp;2+MIN(2,ROUNDDOWN(I1164,0))*3)*(-$J1164^3+3*$J1164^2-3*$J1164+1)+INDIRECT("D$"&amp;3+MIN(2,ROUNDDOWN(I1164,0))*3)*(3*$J1164^3-6*$J1164^2+3*$J1164)+INDIRECT("D$"&amp;4+MIN(2,ROUNDDOWN(I1164,0))*3)*(-3*$J1164^3+3*$J1164^2)+INDIRECT("D$"&amp;5+MIN(2,ROUNDDOWN(I1164,0))*3)*$J1164^3</f>
      </c>
      <c r="M1164" s="7">
        <f>SQRT(K1164^2+L1164^2)</f>
      </c>
      <c r="N1164" s="7">
        <f>(K1165-K1163)</f>
      </c>
      <c r="O1164" s="7">
        <f>+(L1165-L1163)</f>
      </c>
      <c r="P1164" s="7">
        <f>SQRT(O1164^2+N1164^2)</f>
      </c>
      <c r="Q1164" s="7">
        <f>N1164/$P1164</f>
      </c>
      <c r="R1164" s="7">
        <f>O1164/$P1164</f>
      </c>
      <c r="S1164" s="7">
        <f>Q1164^2+R1164^2</f>
      </c>
      <c r="T1164" s="7">
        <f>-R1164</f>
      </c>
      <c r="U1164" s="7">
        <f>Q1164</f>
      </c>
      <c r="V1164" s="7">
        <f>($C$14+($C$15-$C$14)/($D$15-$D$14)*(I1164-$D$14))/2</f>
      </c>
      <c r="W1164" s="7">
        <f>($B$22*I1164^4+$C$22*I1164^3+$D$22*I1164^2+$E$22*I1164+$F$22)/2</f>
      </c>
      <c r="X1164" s="7">
        <f>($W1164)*(T1164)</f>
      </c>
      <c r="Y1164" s="7">
        <f>($W1164)*(U1164)</f>
      </c>
      <c r="Z1164" s="7">
        <f>SQRT(X1164^2+Y1164^2)</f>
      </c>
      <c r="AA1164" s="7">
        <f>$K1164+$X1164</f>
      </c>
      <c r="AB1164" s="7">
        <f>$L1164+$Y1164</f>
      </c>
      <c r="AC1164" s="7">
        <f>$K1164-$X1164</f>
      </c>
      <c r="AD1164" s="7">
        <f>$L1164-$Y1164</f>
      </c>
      <c r="AE1164" s="7">
        <f>AA1164/39.3701</f>
      </c>
      <c r="AF1164" s="7">
        <f>AB1164/39.3701</f>
      </c>
      <c r="AG1164" s="7">
        <f>AC1164/39.3701</f>
      </c>
      <c r="AH1164" s="7">
        <f>AD1164/39.3701</f>
      </c>
      <c r="AI1164" s="1"/>
      <c r="AJ1164" s="1"/>
      <c r="AK1164" s="1"/>
      <c r="AL1164" s="1"/>
      <c r="AM1164" s="2"/>
      <c r="AN1164" s="1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  <c r="BA1164" s="1"/>
      <c r="BB1164" s="1"/>
      <c r="BC1164" s="1"/>
      <c r="BD1164" s="1"/>
      <c r="BE1164" s="1"/>
    </row>
    <row x14ac:dyDescent="0.25" r="1165" customHeight="1" ht="18.75">
      <c r="A1165" s="1"/>
      <c r="B1165" s="2"/>
      <c r="C1165" s="2"/>
      <c r="D1165" s="2"/>
      <c r="E1165" s="2"/>
      <c r="F1165" s="2"/>
      <c r="G1165" s="1"/>
      <c r="H1165" s="1"/>
      <c r="I1165" s="7">
        <v>1.162</v>
      </c>
      <c r="J1165" s="7">
        <f>IF((I1165-ROUNDDOWN(I1165,0))=0, 0, (I1165-ROUNDDOWN(I1165,0)))</f>
      </c>
      <c r="K1165" s="7">
        <f>INDIRECT("C$"&amp;2+MIN(2,ROUNDDOWN(I1165,0))*3)*(-$J1165^3+3*$J1165^2-3*$J1165+1)+INDIRECT("C$"&amp;3+MIN(2,ROUNDDOWN(I1165,0))*3)*(3*$J1165^3-6*$J1165^2+3*$J1165)+INDIRECT("C$"&amp;4+MIN(2,ROUNDDOWN(I1165,0))*3)*(-3*$J1165^3+3*$J1165^2)+INDIRECT("C$"&amp;5+MIN(2,ROUNDDOWN(I1165,0))*3)*$J1165^3</f>
      </c>
      <c r="L1165" s="7">
        <f>INDIRECT("D$"&amp;2+MIN(2,ROUNDDOWN(I1165,0))*3)*(-$J1165^3+3*$J1165^2-3*$J1165+1)+INDIRECT("D$"&amp;3+MIN(2,ROUNDDOWN(I1165,0))*3)*(3*$J1165^3-6*$J1165^2+3*$J1165)+INDIRECT("D$"&amp;4+MIN(2,ROUNDDOWN(I1165,0))*3)*(-3*$J1165^3+3*$J1165^2)+INDIRECT("D$"&amp;5+MIN(2,ROUNDDOWN(I1165,0))*3)*$J1165^3</f>
      </c>
      <c r="M1165" s="7">
        <f>SQRT(K1165^2+L1165^2)</f>
      </c>
      <c r="N1165" s="7">
        <f>(K1166-K1164)</f>
      </c>
      <c r="O1165" s="7">
        <f>+(L1166-L1164)</f>
      </c>
      <c r="P1165" s="7">
        <f>SQRT(O1165^2+N1165^2)</f>
      </c>
      <c r="Q1165" s="7">
        <f>N1165/$P1165</f>
      </c>
      <c r="R1165" s="7">
        <f>O1165/$P1165</f>
      </c>
      <c r="S1165" s="7">
        <f>Q1165^2+R1165^2</f>
      </c>
      <c r="T1165" s="7">
        <f>-R1165</f>
      </c>
      <c r="U1165" s="7">
        <f>Q1165</f>
      </c>
      <c r="V1165" s="7">
        <f>($C$14+($C$15-$C$14)/($D$15-$D$14)*(I1165-$D$14))/2</f>
      </c>
      <c r="W1165" s="7">
        <f>($B$22*I1165^4+$C$22*I1165^3+$D$22*I1165^2+$E$22*I1165+$F$22)/2</f>
      </c>
      <c r="X1165" s="7">
        <f>($W1165)*(T1165)</f>
      </c>
      <c r="Y1165" s="7">
        <f>($W1165)*(U1165)</f>
      </c>
      <c r="Z1165" s="7">
        <f>SQRT(X1165^2+Y1165^2)</f>
      </c>
      <c r="AA1165" s="7">
        <f>$K1165+$X1165</f>
      </c>
      <c r="AB1165" s="7">
        <f>$L1165+$Y1165</f>
      </c>
      <c r="AC1165" s="7">
        <f>$K1165-$X1165</f>
      </c>
      <c r="AD1165" s="7">
        <f>$L1165-$Y1165</f>
      </c>
      <c r="AE1165" s="7">
        <f>AA1165/39.3701</f>
      </c>
      <c r="AF1165" s="7">
        <f>AB1165/39.3701</f>
      </c>
      <c r="AG1165" s="7">
        <f>AC1165/39.3701</f>
      </c>
      <c r="AH1165" s="7">
        <f>AD1165/39.3701</f>
      </c>
      <c r="AI1165" s="1"/>
      <c r="AJ1165" s="1"/>
      <c r="AK1165" s="1"/>
      <c r="AL1165" s="1"/>
      <c r="AM1165" s="2"/>
      <c r="AN1165" s="1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  <c r="BA1165" s="1"/>
      <c r="BB1165" s="1"/>
      <c r="BC1165" s="1"/>
      <c r="BD1165" s="1"/>
      <c r="BE1165" s="1"/>
    </row>
    <row x14ac:dyDescent="0.25" r="1166" customHeight="1" ht="18.75">
      <c r="A1166" s="1"/>
      <c r="B1166" s="2"/>
      <c r="C1166" s="2"/>
      <c r="D1166" s="2"/>
      <c r="E1166" s="2"/>
      <c r="F1166" s="2"/>
      <c r="G1166" s="1"/>
      <c r="H1166" s="1"/>
      <c r="I1166" s="7">
        <v>1.163</v>
      </c>
      <c r="J1166" s="7">
        <f>IF((I1166-ROUNDDOWN(I1166,0))=0, 0, (I1166-ROUNDDOWN(I1166,0)))</f>
      </c>
      <c r="K1166" s="7">
        <f>INDIRECT("C$"&amp;2+MIN(2,ROUNDDOWN(I1166,0))*3)*(-$J1166^3+3*$J1166^2-3*$J1166+1)+INDIRECT("C$"&amp;3+MIN(2,ROUNDDOWN(I1166,0))*3)*(3*$J1166^3-6*$J1166^2+3*$J1166)+INDIRECT("C$"&amp;4+MIN(2,ROUNDDOWN(I1166,0))*3)*(-3*$J1166^3+3*$J1166^2)+INDIRECT("C$"&amp;5+MIN(2,ROUNDDOWN(I1166,0))*3)*$J1166^3</f>
      </c>
      <c r="L1166" s="7">
        <f>INDIRECT("D$"&amp;2+MIN(2,ROUNDDOWN(I1166,0))*3)*(-$J1166^3+3*$J1166^2-3*$J1166+1)+INDIRECT("D$"&amp;3+MIN(2,ROUNDDOWN(I1166,0))*3)*(3*$J1166^3-6*$J1166^2+3*$J1166)+INDIRECT("D$"&amp;4+MIN(2,ROUNDDOWN(I1166,0))*3)*(-3*$J1166^3+3*$J1166^2)+INDIRECT("D$"&amp;5+MIN(2,ROUNDDOWN(I1166,0))*3)*$J1166^3</f>
      </c>
      <c r="M1166" s="7">
        <f>SQRT(K1166^2+L1166^2)</f>
      </c>
      <c r="N1166" s="7">
        <f>(K1167-K1165)</f>
      </c>
      <c r="O1166" s="7">
        <f>+(L1167-L1165)</f>
      </c>
      <c r="P1166" s="7">
        <f>SQRT(O1166^2+N1166^2)</f>
      </c>
      <c r="Q1166" s="7">
        <f>N1166/$P1166</f>
      </c>
      <c r="R1166" s="7">
        <f>O1166/$P1166</f>
      </c>
      <c r="S1166" s="7">
        <f>Q1166^2+R1166^2</f>
      </c>
      <c r="T1166" s="7">
        <f>-R1166</f>
      </c>
      <c r="U1166" s="7">
        <f>Q1166</f>
      </c>
      <c r="V1166" s="7">
        <f>($C$14+($C$15-$C$14)/($D$15-$D$14)*(I1166-$D$14))/2</f>
      </c>
      <c r="W1166" s="7">
        <f>($B$22*I1166^4+$C$22*I1166^3+$D$22*I1166^2+$E$22*I1166+$F$22)/2</f>
      </c>
      <c r="X1166" s="7">
        <f>($W1166)*(T1166)</f>
      </c>
      <c r="Y1166" s="7">
        <f>($W1166)*(U1166)</f>
      </c>
      <c r="Z1166" s="7">
        <f>SQRT(X1166^2+Y1166^2)</f>
      </c>
      <c r="AA1166" s="7">
        <f>$K1166+$X1166</f>
      </c>
      <c r="AB1166" s="7">
        <f>$L1166+$Y1166</f>
      </c>
      <c r="AC1166" s="7">
        <f>$K1166-$X1166</f>
      </c>
      <c r="AD1166" s="7">
        <f>$L1166-$Y1166</f>
      </c>
      <c r="AE1166" s="7">
        <f>AA1166/39.3701</f>
      </c>
      <c r="AF1166" s="7">
        <f>AB1166/39.3701</f>
      </c>
      <c r="AG1166" s="7">
        <f>AC1166/39.3701</f>
      </c>
      <c r="AH1166" s="7">
        <f>AD1166/39.3701</f>
      </c>
      <c r="AI1166" s="1"/>
      <c r="AJ1166" s="1"/>
      <c r="AK1166" s="1"/>
      <c r="AL1166" s="1"/>
      <c r="AM1166" s="2"/>
      <c r="AN1166" s="1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  <c r="BA1166" s="1"/>
      <c r="BB1166" s="1"/>
      <c r="BC1166" s="1"/>
      <c r="BD1166" s="1"/>
      <c r="BE1166" s="1"/>
    </row>
    <row x14ac:dyDescent="0.25" r="1167" customHeight="1" ht="18.75">
      <c r="A1167" s="1"/>
      <c r="B1167" s="2"/>
      <c r="C1167" s="2"/>
      <c r="D1167" s="2"/>
      <c r="E1167" s="2"/>
      <c r="F1167" s="2"/>
      <c r="G1167" s="1"/>
      <c r="H1167" s="1"/>
      <c r="I1167" s="7">
        <v>1.164</v>
      </c>
      <c r="J1167" s="7">
        <f>IF((I1167-ROUNDDOWN(I1167,0))=0, 0, (I1167-ROUNDDOWN(I1167,0)))</f>
      </c>
      <c r="K1167" s="7">
        <f>INDIRECT("C$"&amp;2+MIN(2,ROUNDDOWN(I1167,0))*3)*(-$J1167^3+3*$J1167^2-3*$J1167+1)+INDIRECT("C$"&amp;3+MIN(2,ROUNDDOWN(I1167,0))*3)*(3*$J1167^3-6*$J1167^2+3*$J1167)+INDIRECT("C$"&amp;4+MIN(2,ROUNDDOWN(I1167,0))*3)*(-3*$J1167^3+3*$J1167^2)+INDIRECT("C$"&amp;5+MIN(2,ROUNDDOWN(I1167,0))*3)*$J1167^3</f>
      </c>
      <c r="L1167" s="7">
        <f>INDIRECT("D$"&amp;2+MIN(2,ROUNDDOWN(I1167,0))*3)*(-$J1167^3+3*$J1167^2-3*$J1167+1)+INDIRECT("D$"&amp;3+MIN(2,ROUNDDOWN(I1167,0))*3)*(3*$J1167^3-6*$J1167^2+3*$J1167)+INDIRECT("D$"&amp;4+MIN(2,ROUNDDOWN(I1167,0))*3)*(-3*$J1167^3+3*$J1167^2)+INDIRECT("D$"&amp;5+MIN(2,ROUNDDOWN(I1167,0))*3)*$J1167^3</f>
      </c>
      <c r="M1167" s="7">
        <f>SQRT(K1167^2+L1167^2)</f>
      </c>
      <c r="N1167" s="7">
        <f>(K1168-K1166)</f>
      </c>
      <c r="O1167" s="7">
        <f>+(L1168-L1166)</f>
      </c>
      <c r="P1167" s="7">
        <f>SQRT(O1167^2+N1167^2)</f>
      </c>
      <c r="Q1167" s="7">
        <f>N1167/$P1167</f>
      </c>
      <c r="R1167" s="7">
        <f>O1167/$P1167</f>
      </c>
      <c r="S1167" s="7">
        <f>Q1167^2+R1167^2</f>
      </c>
      <c r="T1167" s="7">
        <f>-R1167</f>
      </c>
      <c r="U1167" s="7">
        <f>Q1167</f>
      </c>
      <c r="V1167" s="7">
        <f>($C$14+($C$15-$C$14)/($D$15-$D$14)*(I1167-$D$14))/2</f>
      </c>
      <c r="W1167" s="7">
        <f>($B$22*I1167^4+$C$22*I1167^3+$D$22*I1167^2+$E$22*I1167+$F$22)/2</f>
      </c>
      <c r="X1167" s="7">
        <f>($W1167)*(T1167)</f>
      </c>
      <c r="Y1167" s="7">
        <f>($W1167)*(U1167)</f>
      </c>
      <c r="Z1167" s="7">
        <f>SQRT(X1167^2+Y1167^2)</f>
      </c>
      <c r="AA1167" s="7">
        <f>$K1167+$X1167</f>
      </c>
      <c r="AB1167" s="7">
        <f>$L1167+$Y1167</f>
      </c>
      <c r="AC1167" s="7">
        <f>$K1167-$X1167</f>
      </c>
      <c r="AD1167" s="7">
        <f>$L1167-$Y1167</f>
      </c>
      <c r="AE1167" s="7">
        <f>AA1167/39.3701</f>
      </c>
      <c r="AF1167" s="7">
        <f>AB1167/39.3701</f>
      </c>
      <c r="AG1167" s="7">
        <f>AC1167/39.3701</f>
      </c>
      <c r="AH1167" s="7">
        <f>AD1167/39.3701</f>
      </c>
      <c r="AI1167" s="1"/>
      <c r="AJ1167" s="1"/>
      <c r="AK1167" s="1"/>
      <c r="AL1167" s="1"/>
      <c r="AM1167" s="2"/>
      <c r="AN1167" s="1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  <c r="BA1167" s="1"/>
      <c r="BB1167" s="1"/>
      <c r="BC1167" s="1"/>
      <c r="BD1167" s="1"/>
      <c r="BE1167" s="1"/>
    </row>
    <row x14ac:dyDescent="0.25" r="1168" customHeight="1" ht="18.75">
      <c r="A1168" s="1"/>
      <c r="B1168" s="2"/>
      <c r="C1168" s="2"/>
      <c r="D1168" s="2"/>
      <c r="E1168" s="2"/>
      <c r="F1168" s="2"/>
      <c r="G1168" s="1"/>
      <c r="H1168" s="1"/>
      <c r="I1168" s="7">
        <v>1.165</v>
      </c>
      <c r="J1168" s="7">
        <f>IF((I1168-ROUNDDOWN(I1168,0))=0, 0, (I1168-ROUNDDOWN(I1168,0)))</f>
      </c>
      <c r="K1168" s="7">
        <f>INDIRECT("C$"&amp;2+MIN(2,ROUNDDOWN(I1168,0))*3)*(-$J1168^3+3*$J1168^2-3*$J1168+1)+INDIRECT("C$"&amp;3+MIN(2,ROUNDDOWN(I1168,0))*3)*(3*$J1168^3-6*$J1168^2+3*$J1168)+INDIRECT("C$"&amp;4+MIN(2,ROUNDDOWN(I1168,0))*3)*(-3*$J1168^3+3*$J1168^2)+INDIRECT("C$"&amp;5+MIN(2,ROUNDDOWN(I1168,0))*3)*$J1168^3</f>
      </c>
      <c r="L1168" s="7">
        <f>INDIRECT("D$"&amp;2+MIN(2,ROUNDDOWN(I1168,0))*3)*(-$J1168^3+3*$J1168^2-3*$J1168+1)+INDIRECT("D$"&amp;3+MIN(2,ROUNDDOWN(I1168,0))*3)*(3*$J1168^3-6*$J1168^2+3*$J1168)+INDIRECT("D$"&amp;4+MIN(2,ROUNDDOWN(I1168,0))*3)*(-3*$J1168^3+3*$J1168^2)+INDIRECT("D$"&amp;5+MIN(2,ROUNDDOWN(I1168,0))*3)*$J1168^3</f>
      </c>
      <c r="M1168" s="7">
        <f>SQRT(K1168^2+L1168^2)</f>
      </c>
      <c r="N1168" s="7">
        <f>(K1169-K1167)</f>
      </c>
      <c r="O1168" s="7">
        <f>+(L1169-L1167)</f>
      </c>
      <c r="P1168" s="7">
        <f>SQRT(O1168^2+N1168^2)</f>
      </c>
      <c r="Q1168" s="7">
        <f>N1168/$P1168</f>
      </c>
      <c r="R1168" s="7">
        <f>O1168/$P1168</f>
      </c>
      <c r="S1168" s="8">
        <f>Q1168^2+R1168^2</f>
      </c>
      <c r="T1168" s="7">
        <f>-R1168</f>
      </c>
      <c r="U1168" s="7">
        <f>Q1168</f>
      </c>
      <c r="V1168" s="7">
        <f>($C$14+($C$15-$C$14)/($D$15-$D$14)*(I1168-$D$14))/2</f>
      </c>
      <c r="W1168" s="7">
        <f>($B$22*I1168^4+$C$22*I1168^3+$D$22*I1168^2+$E$22*I1168+$F$22)/2</f>
      </c>
      <c r="X1168" s="7">
        <f>($W1168)*(T1168)</f>
      </c>
      <c r="Y1168" s="7">
        <f>($W1168)*(U1168)</f>
      </c>
      <c r="Z1168" s="7">
        <f>SQRT(X1168^2+Y1168^2)</f>
      </c>
      <c r="AA1168" s="7">
        <f>$K1168+$X1168</f>
      </c>
      <c r="AB1168" s="7">
        <f>$L1168+$Y1168</f>
      </c>
      <c r="AC1168" s="7">
        <f>$K1168-$X1168</f>
      </c>
      <c r="AD1168" s="7">
        <f>$L1168-$Y1168</f>
      </c>
      <c r="AE1168" s="7">
        <f>AA1168/39.3701</f>
      </c>
      <c r="AF1168" s="7">
        <f>AB1168/39.3701</f>
      </c>
      <c r="AG1168" s="7">
        <f>AC1168/39.3701</f>
      </c>
      <c r="AH1168" s="7">
        <f>AD1168/39.3701</f>
      </c>
      <c r="AI1168" s="1"/>
      <c r="AJ1168" s="1"/>
      <c r="AK1168" s="1"/>
      <c r="AL1168" s="1"/>
      <c r="AM1168" s="2"/>
      <c r="AN1168" s="1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  <c r="BA1168" s="1"/>
      <c r="BB1168" s="1"/>
      <c r="BC1168" s="1"/>
      <c r="BD1168" s="1"/>
      <c r="BE1168" s="1"/>
    </row>
    <row x14ac:dyDescent="0.25" r="1169" customHeight="1" ht="18.75">
      <c r="A1169" s="1"/>
      <c r="B1169" s="2"/>
      <c r="C1169" s="2"/>
      <c r="D1169" s="2"/>
      <c r="E1169" s="2"/>
      <c r="F1169" s="2"/>
      <c r="G1169" s="1"/>
      <c r="H1169" s="1"/>
      <c r="I1169" s="7">
        <v>1.166</v>
      </c>
      <c r="J1169" s="7">
        <f>IF((I1169-ROUNDDOWN(I1169,0))=0, 0, (I1169-ROUNDDOWN(I1169,0)))</f>
      </c>
      <c r="K1169" s="7">
        <f>INDIRECT("C$"&amp;2+MIN(2,ROUNDDOWN(I1169,0))*3)*(-$J1169^3+3*$J1169^2-3*$J1169+1)+INDIRECT("C$"&amp;3+MIN(2,ROUNDDOWN(I1169,0))*3)*(3*$J1169^3-6*$J1169^2+3*$J1169)+INDIRECT("C$"&amp;4+MIN(2,ROUNDDOWN(I1169,0))*3)*(-3*$J1169^3+3*$J1169^2)+INDIRECT("C$"&amp;5+MIN(2,ROUNDDOWN(I1169,0))*3)*$J1169^3</f>
      </c>
      <c r="L1169" s="7">
        <f>INDIRECT("D$"&amp;2+MIN(2,ROUNDDOWN(I1169,0))*3)*(-$J1169^3+3*$J1169^2-3*$J1169+1)+INDIRECT("D$"&amp;3+MIN(2,ROUNDDOWN(I1169,0))*3)*(3*$J1169^3-6*$J1169^2+3*$J1169)+INDIRECT("D$"&amp;4+MIN(2,ROUNDDOWN(I1169,0))*3)*(-3*$J1169^3+3*$J1169^2)+INDIRECT("D$"&amp;5+MIN(2,ROUNDDOWN(I1169,0))*3)*$J1169^3</f>
      </c>
      <c r="M1169" s="7">
        <f>SQRT(K1169^2+L1169^2)</f>
      </c>
      <c r="N1169" s="7">
        <f>(K1170-K1168)</f>
      </c>
      <c r="O1169" s="7">
        <f>+(L1170-L1168)</f>
      </c>
      <c r="P1169" s="7">
        <f>SQRT(O1169^2+N1169^2)</f>
      </c>
      <c r="Q1169" s="7">
        <f>N1169/$P1169</f>
      </c>
      <c r="R1169" s="7">
        <f>O1169/$P1169</f>
      </c>
      <c r="S1169" s="8">
        <f>Q1169^2+R1169^2</f>
      </c>
      <c r="T1169" s="7">
        <f>-R1169</f>
      </c>
      <c r="U1169" s="7">
        <f>Q1169</f>
      </c>
      <c r="V1169" s="7">
        <f>($C$14+($C$15-$C$14)/($D$15-$D$14)*(I1169-$D$14))/2</f>
      </c>
      <c r="W1169" s="7">
        <f>($B$22*I1169^4+$C$22*I1169^3+$D$22*I1169^2+$E$22*I1169+$F$22)/2</f>
      </c>
      <c r="X1169" s="7">
        <f>($W1169)*(T1169)</f>
      </c>
      <c r="Y1169" s="7">
        <f>($W1169)*(U1169)</f>
      </c>
      <c r="Z1169" s="7">
        <f>SQRT(X1169^2+Y1169^2)</f>
      </c>
      <c r="AA1169" s="7">
        <f>$K1169+$X1169</f>
      </c>
      <c r="AB1169" s="7">
        <f>$L1169+$Y1169</f>
      </c>
      <c r="AC1169" s="7">
        <f>$K1169-$X1169</f>
      </c>
      <c r="AD1169" s="7">
        <f>$L1169-$Y1169</f>
      </c>
      <c r="AE1169" s="7">
        <f>AA1169/39.3701</f>
      </c>
      <c r="AF1169" s="7">
        <f>AB1169/39.3701</f>
      </c>
      <c r="AG1169" s="7">
        <f>AC1169/39.3701</f>
      </c>
      <c r="AH1169" s="7">
        <f>AD1169/39.3701</f>
      </c>
      <c r="AI1169" s="1"/>
      <c r="AJ1169" s="1"/>
      <c r="AK1169" s="1"/>
      <c r="AL1169" s="1"/>
      <c r="AM1169" s="2"/>
      <c r="AN1169" s="1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  <c r="BA1169" s="1"/>
      <c r="BB1169" s="1"/>
      <c r="BC1169" s="1"/>
      <c r="BD1169" s="1"/>
      <c r="BE1169" s="1"/>
    </row>
    <row x14ac:dyDescent="0.25" r="1170" customHeight="1" ht="18.75">
      <c r="A1170" s="1"/>
      <c r="B1170" s="2"/>
      <c r="C1170" s="2"/>
      <c r="D1170" s="2"/>
      <c r="E1170" s="2"/>
      <c r="F1170" s="2"/>
      <c r="G1170" s="1"/>
      <c r="H1170" s="1"/>
      <c r="I1170" s="7">
        <v>1.167</v>
      </c>
      <c r="J1170" s="7">
        <f>IF((I1170-ROUNDDOWN(I1170,0))=0, 0, (I1170-ROUNDDOWN(I1170,0)))</f>
      </c>
      <c r="K1170" s="7">
        <f>INDIRECT("C$"&amp;2+MIN(2,ROUNDDOWN(I1170,0))*3)*(-$J1170^3+3*$J1170^2-3*$J1170+1)+INDIRECT("C$"&amp;3+MIN(2,ROUNDDOWN(I1170,0))*3)*(3*$J1170^3-6*$J1170^2+3*$J1170)+INDIRECT("C$"&amp;4+MIN(2,ROUNDDOWN(I1170,0))*3)*(-3*$J1170^3+3*$J1170^2)+INDIRECT("C$"&amp;5+MIN(2,ROUNDDOWN(I1170,0))*3)*$J1170^3</f>
      </c>
      <c r="L1170" s="7">
        <f>INDIRECT("D$"&amp;2+MIN(2,ROUNDDOWN(I1170,0))*3)*(-$J1170^3+3*$J1170^2-3*$J1170+1)+INDIRECT("D$"&amp;3+MIN(2,ROUNDDOWN(I1170,0))*3)*(3*$J1170^3-6*$J1170^2+3*$J1170)+INDIRECT("D$"&amp;4+MIN(2,ROUNDDOWN(I1170,0))*3)*(-3*$J1170^3+3*$J1170^2)+INDIRECT("D$"&amp;5+MIN(2,ROUNDDOWN(I1170,0))*3)*$J1170^3</f>
      </c>
      <c r="M1170" s="7">
        <f>SQRT(K1170^2+L1170^2)</f>
      </c>
      <c r="N1170" s="7">
        <f>(K1171-K1169)</f>
      </c>
      <c r="O1170" s="7">
        <f>+(L1171-L1169)</f>
      </c>
      <c r="P1170" s="7">
        <f>SQRT(O1170^2+N1170^2)</f>
      </c>
      <c r="Q1170" s="7">
        <f>N1170/$P1170</f>
      </c>
      <c r="R1170" s="7">
        <f>O1170/$P1170</f>
      </c>
      <c r="S1170" s="7">
        <f>Q1170^2+R1170^2</f>
      </c>
      <c r="T1170" s="7">
        <f>-R1170</f>
      </c>
      <c r="U1170" s="7">
        <f>Q1170</f>
      </c>
      <c r="V1170" s="7">
        <f>($C$14+($C$15-$C$14)/($D$15-$D$14)*(I1170-$D$14))/2</f>
      </c>
      <c r="W1170" s="7">
        <f>($B$22*I1170^4+$C$22*I1170^3+$D$22*I1170^2+$E$22*I1170+$F$22)/2</f>
      </c>
      <c r="X1170" s="7">
        <f>($W1170)*(T1170)</f>
      </c>
      <c r="Y1170" s="7">
        <f>($W1170)*(U1170)</f>
      </c>
      <c r="Z1170" s="7">
        <f>SQRT(X1170^2+Y1170^2)</f>
      </c>
      <c r="AA1170" s="7">
        <f>$K1170+$X1170</f>
      </c>
      <c r="AB1170" s="7">
        <f>$L1170+$Y1170</f>
      </c>
      <c r="AC1170" s="7">
        <f>$K1170-$X1170</f>
      </c>
      <c r="AD1170" s="7">
        <f>$L1170-$Y1170</f>
      </c>
      <c r="AE1170" s="7">
        <f>AA1170/39.3701</f>
      </c>
      <c r="AF1170" s="7">
        <f>AB1170/39.3701</f>
      </c>
      <c r="AG1170" s="7">
        <f>AC1170/39.3701</f>
      </c>
      <c r="AH1170" s="7">
        <f>AD1170/39.3701</f>
      </c>
      <c r="AI1170" s="1"/>
      <c r="AJ1170" s="1"/>
      <c r="AK1170" s="1"/>
      <c r="AL1170" s="1"/>
      <c r="AM1170" s="2"/>
      <c r="AN1170" s="1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  <c r="BA1170" s="1"/>
      <c r="BB1170" s="1"/>
      <c r="BC1170" s="1"/>
      <c r="BD1170" s="1"/>
      <c r="BE1170" s="1"/>
    </row>
    <row x14ac:dyDescent="0.25" r="1171" customHeight="1" ht="18.75">
      <c r="A1171" s="1"/>
      <c r="B1171" s="2"/>
      <c r="C1171" s="2"/>
      <c r="D1171" s="2"/>
      <c r="E1171" s="2"/>
      <c r="F1171" s="2"/>
      <c r="G1171" s="1"/>
      <c r="H1171" s="1"/>
      <c r="I1171" s="7">
        <v>1.168</v>
      </c>
      <c r="J1171" s="7">
        <f>IF((I1171-ROUNDDOWN(I1171,0))=0, 0, (I1171-ROUNDDOWN(I1171,0)))</f>
      </c>
      <c r="K1171" s="7">
        <f>INDIRECT("C$"&amp;2+MIN(2,ROUNDDOWN(I1171,0))*3)*(-$J1171^3+3*$J1171^2-3*$J1171+1)+INDIRECT("C$"&amp;3+MIN(2,ROUNDDOWN(I1171,0))*3)*(3*$J1171^3-6*$J1171^2+3*$J1171)+INDIRECT("C$"&amp;4+MIN(2,ROUNDDOWN(I1171,0))*3)*(-3*$J1171^3+3*$J1171^2)+INDIRECT("C$"&amp;5+MIN(2,ROUNDDOWN(I1171,0))*3)*$J1171^3</f>
      </c>
      <c r="L1171" s="7">
        <f>INDIRECT("D$"&amp;2+MIN(2,ROUNDDOWN(I1171,0))*3)*(-$J1171^3+3*$J1171^2-3*$J1171+1)+INDIRECT("D$"&amp;3+MIN(2,ROUNDDOWN(I1171,0))*3)*(3*$J1171^3-6*$J1171^2+3*$J1171)+INDIRECT("D$"&amp;4+MIN(2,ROUNDDOWN(I1171,0))*3)*(-3*$J1171^3+3*$J1171^2)+INDIRECT("D$"&amp;5+MIN(2,ROUNDDOWN(I1171,0))*3)*$J1171^3</f>
      </c>
      <c r="M1171" s="7">
        <f>SQRT(K1171^2+L1171^2)</f>
      </c>
      <c r="N1171" s="7">
        <f>(K1172-K1170)</f>
      </c>
      <c r="O1171" s="7">
        <f>+(L1172-L1170)</f>
      </c>
      <c r="P1171" s="7">
        <f>SQRT(O1171^2+N1171^2)</f>
      </c>
      <c r="Q1171" s="7">
        <f>N1171/$P1171</f>
      </c>
      <c r="R1171" s="7">
        <f>O1171/$P1171</f>
      </c>
      <c r="S1171" s="7">
        <f>Q1171^2+R1171^2</f>
      </c>
      <c r="T1171" s="7">
        <f>-R1171</f>
      </c>
      <c r="U1171" s="7">
        <f>Q1171</f>
      </c>
      <c r="V1171" s="7">
        <f>($C$14+($C$15-$C$14)/($D$15-$D$14)*(I1171-$D$14))/2</f>
      </c>
      <c r="W1171" s="7">
        <f>($B$22*I1171^4+$C$22*I1171^3+$D$22*I1171^2+$E$22*I1171+$F$22)/2</f>
      </c>
      <c r="X1171" s="7">
        <f>($W1171)*(T1171)</f>
      </c>
      <c r="Y1171" s="7">
        <f>($W1171)*(U1171)</f>
      </c>
      <c r="Z1171" s="7">
        <f>SQRT(X1171^2+Y1171^2)</f>
      </c>
      <c r="AA1171" s="7">
        <f>$K1171+$X1171</f>
      </c>
      <c r="AB1171" s="7">
        <f>$L1171+$Y1171</f>
      </c>
      <c r="AC1171" s="7">
        <f>$K1171-$X1171</f>
      </c>
      <c r="AD1171" s="7">
        <f>$L1171-$Y1171</f>
      </c>
      <c r="AE1171" s="7">
        <f>AA1171/39.3701</f>
      </c>
      <c r="AF1171" s="7">
        <f>AB1171/39.3701</f>
      </c>
      <c r="AG1171" s="7">
        <f>AC1171/39.3701</f>
      </c>
      <c r="AH1171" s="7">
        <f>AD1171/39.3701</f>
      </c>
      <c r="AI1171" s="1"/>
      <c r="AJ1171" s="1"/>
      <c r="AK1171" s="1"/>
      <c r="AL1171" s="1"/>
      <c r="AM1171" s="2"/>
      <c r="AN1171" s="1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  <c r="BA1171" s="1"/>
      <c r="BB1171" s="1"/>
      <c r="BC1171" s="1"/>
      <c r="BD1171" s="1"/>
      <c r="BE1171" s="1"/>
    </row>
    <row x14ac:dyDescent="0.25" r="1172" customHeight="1" ht="18.75">
      <c r="A1172" s="1"/>
      <c r="B1172" s="2"/>
      <c r="C1172" s="2"/>
      <c r="D1172" s="2"/>
      <c r="E1172" s="2"/>
      <c r="F1172" s="2"/>
      <c r="G1172" s="1"/>
      <c r="H1172" s="1"/>
      <c r="I1172" s="7">
        <v>1.169</v>
      </c>
      <c r="J1172" s="7">
        <f>IF((I1172-ROUNDDOWN(I1172,0))=0, 0, (I1172-ROUNDDOWN(I1172,0)))</f>
      </c>
      <c r="K1172" s="7">
        <f>INDIRECT("C$"&amp;2+MIN(2,ROUNDDOWN(I1172,0))*3)*(-$J1172^3+3*$J1172^2-3*$J1172+1)+INDIRECT("C$"&amp;3+MIN(2,ROUNDDOWN(I1172,0))*3)*(3*$J1172^3-6*$J1172^2+3*$J1172)+INDIRECT("C$"&amp;4+MIN(2,ROUNDDOWN(I1172,0))*3)*(-3*$J1172^3+3*$J1172^2)+INDIRECT("C$"&amp;5+MIN(2,ROUNDDOWN(I1172,0))*3)*$J1172^3</f>
      </c>
      <c r="L1172" s="7">
        <f>INDIRECT("D$"&amp;2+MIN(2,ROUNDDOWN(I1172,0))*3)*(-$J1172^3+3*$J1172^2-3*$J1172+1)+INDIRECT("D$"&amp;3+MIN(2,ROUNDDOWN(I1172,0))*3)*(3*$J1172^3-6*$J1172^2+3*$J1172)+INDIRECT("D$"&amp;4+MIN(2,ROUNDDOWN(I1172,0))*3)*(-3*$J1172^3+3*$J1172^2)+INDIRECT("D$"&amp;5+MIN(2,ROUNDDOWN(I1172,0))*3)*$J1172^3</f>
      </c>
      <c r="M1172" s="7">
        <f>SQRT(K1172^2+L1172^2)</f>
      </c>
      <c r="N1172" s="7">
        <f>(K1173-K1171)</f>
      </c>
      <c r="O1172" s="7">
        <f>+(L1173-L1171)</f>
      </c>
      <c r="P1172" s="7">
        <f>SQRT(O1172^2+N1172^2)</f>
      </c>
      <c r="Q1172" s="7">
        <f>N1172/$P1172</f>
      </c>
      <c r="R1172" s="7">
        <f>O1172/$P1172</f>
      </c>
      <c r="S1172" s="8">
        <f>Q1172^2+R1172^2</f>
      </c>
      <c r="T1172" s="7">
        <f>-R1172</f>
      </c>
      <c r="U1172" s="7">
        <f>Q1172</f>
      </c>
      <c r="V1172" s="7">
        <f>($C$14+($C$15-$C$14)/($D$15-$D$14)*(I1172-$D$14))/2</f>
      </c>
      <c r="W1172" s="7">
        <f>($B$22*I1172^4+$C$22*I1172^3+$D$22*I1172^2+$E$22*I1172+$F$22)/2</f>
      </c>
      <c r="X1172" s="7">
        <f>($W1172)*(T1172)</f>
      </c>
      <c r="Y1172" s="7">
        <f>($W1172)*(U1172)</f>
      </c>
      <c r="Z1172" s="7">
        <f>SQRT(X1172^2+Y1172^2)</f>
      </c>
      <c r="AA1172" s="7">
        <f>$K1172+$X1172</f>
      </c>
      <c r="AB1172" s="7">
        <f>$L1172+$Y1172</f>
      </c>
      <c r="AC1172" s="7">
        <f>$K1172-$X1172</f>
      </c>
      <c r="AD1172" s="7">
        <f>$L1172-$Y1172</f>
      </c>
      <c r="AE1172" s="7">
        <f>AA1172/39.3701</f>
      </c>
      <c r="AF1172" s="7">
        <f>AB1172/39.3701</f>
      </c>
      <c r="AG1172" s="7">
        <f>AC1172/39.3701</f>
      </c>
      <c r="AH1172" s="7">
        <f>AD1172/39.3701</f>
      </c>
      <c r="AI1172" s="1"/>
      <c r="AJ1172" s="1"/>
      <c r="AK1172" s="1"/>
      <c r="AL1172" s="1"/>
      <c r="AM1172" s="2"/>
      <c r="AN1172" s="1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  <c r="BA1172" s="1"/>
      <c r="BB1172" s="1"/>
      <c r="BC1172" s="1"/>
      <c r="BD1172" s="1"/>
      <c r="BE1172" s="1"/>
    </row>
    <row x14ac:dyDescent="0.25" r="1173" customHeight="1" ht="18.75">
      <c r="A1173" s="1"/>
      <c r="B1173" s="2"/>
      <c r="C1173" s="2"/>
      <c r="D1173" s="2"/>
      <c r="E1173" s="2"/>
      <c r="F1173" s="2"/>
      <c r="G1173" s="1"/>
      <c r="H1173" s="1"/>
      <c r="I1173" s="7">
        <v>1.17</v>
      </c>
      <c r="J1173" s="7">
        <f>IF((I1173-ROUNDDOWN(I1173,0))=0, 0, (I1173-ROUNDDOWN(I1173,0)))</f>
      </c>
      <c r="K1173" s="7">
        <f>INDIRECT("C$"&amp;2+MIN(2,ROUNDDOWN(I1173,0))*3)*(-$J1173^3+3*$J1173^2-3*$J1173+1)+INDIRECT("C$"&amp;3+MIN(2,ROUNDDOWN(I1173,0))*3)*(3*$J1173^3-6*$J1173^2+3*$J1173)+INDIRECT("C$"&amp;4+MIN(2,ROUNDDOWN(I1173,0))*3)*(-3*$J1173^3+3*$J1173^2)+INDIRECT("C$"&amp;5+MIN(2,ROUNDDOWN(I1173,0))*3)*$J1173^3</f>
      </c>
      <c r="L1173" s="7">
        <f>INDIRECT("D$"&amp;2+MIN(2,ROUNDDOWN(I1173,0))*3)*(-$J1173^3+3*$J1173^2-3*$J1173+1)+INDIRECT("D$"&amp;3+MIN(2,ROUNDDOWN(I1173,0))*3)*(3*$J1173^3-6*$J1173^2+3*$J1173)+INDIRECT("D$"&amp;4+MIN(2,ROUNDDOWN(I1173,0))*3)*(-3*$J1173^3+3*$J1173^2)+INDIRECT("D$"&amp;5+MIN(2,ROUNDDOWN(I1173,0))*3)*$J1173^3</f>
      </c>
      <c r="M1173" s="7">
        <f>SQRT(K1173^2+L1173^2)</f>
      </c>
      <c r="N1173" s="7">
        <f>(K1174-K1172)</f>
      </c>
      <c r="O1173" s="7">
        <f>+(L1174-L1172)</f>
      </c>
      <c r="P1173" s="7">
        <f>SQRT(O1173^2+N1173^2)</f>
      </c>
      <c r="Q1173" s="7">
        <f>N1173/$P1173</f>
      </c>
      <c r="R1173" s="7">
        <f>O1173/$P1173</f>
      </c>
      <c r="S1173" s="8">
        <f>Q1173^2+R1173^2</f>
      </c>
      <c r="T1173" s="7">
        <f>-R1173</f>
      </c>
      <c r="U1173" s="7">
        <f>Q1173</f>
      </c>
      <c r="V1173" s="7">
        <f>($C$14+($C$15-$C$14)/($D$15-$D$14)*(I1173-$D$14))/2</f>
      </c>
      <c r="W1173" s="7">
        <f>($B$22*I1173^4+$C$22*I1173^3+$D$22*I1173^2+$E$22*I1173+$F$22)/2</f>
      </c>
      <c r="X1173" s="7">
        <f>($W1173)*(T1173)</f>
      </c>
      <c r="Y1173" s="7">
        <f>($W1173)*(U1173)</f>
      </c>
      <c r="Z1173" s="7">
        <f>SQRT(X1173^2+Y1173^2)</f>
      </c>
      <c r="AA1173" s="7">
        <f>$K1173+$X1173</f>
      </c>
      <c r="AB1173" s="7">
        <f>$L1173+$Y1173</f>
      </c>
      <c r="AC1173" s="7">
        <f>$K1173-$X1173</f>
      </c>
      <c r="AD1173" s="7">
        <f>$L1173-$Y1173</f>
      </c>
      <c r="AE1173" s="7">
        <f>AA1173/39.3701</f>
      </c>
      <c r="AF1173" s="7">
        <f>AB1173/39.3701</f>
      </c>
      <c r="AG1173" s="7">
        <f>AC1173/39.3701</f>
      </c>
      <c r="AH1173" s="7">
        <f>AD1173/39.3701</f>
      </c>
      <c r="AI1173" s="1"/>
      <c r="AJ1173" s="1"/>
      <c r="AK1173" s="1"/>
      <c r="AL1173" s="1"/>
      <c r="AM1173" s="2"/>
      <c r="AN1173" s="1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  <c r="BA1173" s="1"/>
      <c r="BB1173" s="1"/>
      <c r="BC1173" s="1"/>
      <c r="BD1173" s="1"/>
      <c r="BE1173" s="1"/>
    </row>
    <row x14ac:dyDescent="0.25" r="1174" customHeight="1" ht="18.75">
      <c r="A1174" s="1"/>
      <c r="B1174" s="2"/>
      <c r="C1174" s="2"/>
      <c r="D1174" s="2"/>
      <c r="E1174" s="2"/>
      <c r="F1174" s="2"/>
      <c r="G1174" s="1"/>
      <c r="H1174" s="1"/>
      <c r="I1174" s="7">
        <v>1.171</v>
      </c>
      <c r="J1174" s="7">
        <f>IF((I1174-ROUNDDOWN(I1174,0))=0, 0, (I1174-ROUNDDOWN(I1174,0)))</f>
      </c>
      <c r="K1174" s="7">
        <f>INDIRECT("C$"&amp;2+MIN(2,ROUNDDOWN(I1174,0))*3)*(-$J1174^3+3*$J1174^2-3*$J1174+1)+INDIRECT("C$"&amp;3+MIN(2,ROUNDDOWN(I1174,0))*3)*(3*$J1174^3-6*$J1174^2+3*$J1174)+INDIRECT("C$"&amp;4+MIN(2,ROUNDDOWN(I1174,0))*3)*(-3*$J1174^3+3*$J1174^2)+INDIRECT("C$"&amp;5+MIN(2,ROUNDDOWN(I1174,0))*3)*$J1174^3</f>
      </c>
      <c r="L1174" s="7">
        <f>INDIRECT("D$"&amp;2+MIN(2,ROUNDDOWN(I1174,0))*3)*(-$J1174^3+3*$J1174^2-3*$J1174+1)+INDIRECT("D$"&amp;3+MIN(2,ROUNDDOWN(I1174,0))*3)*(3*$J1174^3-6*$J1174^2+3*$J1174)+INDIRECT("D$"&amp;4+MIN(2,ROUNDDOWN(I1174,0))*3)*(-3*$J1174^3+3*$J1174^2)+INDIRECT("D$"&amp;5+MIN(2,ROUNDDOWN(I1174,0))*3)*$J1174^3</f>
      </c>
      <c r="M1174" s="7">
        <f>SQRT(K1174^2+L1174^2)</f>
      </c>
      <c r="N1174" s="7">
        <f>(K1175-K1173)</f>
      </c>
      <c r="O1174" s="7">
        <f>+(L1175-L1173)</f>
      </c>
      <c r="P1174" s="7">
        <f>SQRT(O1174^2+N1174^2)</f>
      </c>
      <c r="Q1174" s="7">
        <f>N1174/$P1174</f>
      </c>
      <c r="R1174" s="7">
        <f>O1174/$P1174</f>
      </c>
      <c r="S1174" s="7">
        <f>Q1174^2+R1174^2</f>
      </c>
      <c r="T1174" s="7">
        <f>-R1174</f>
      </c>
      <c r="U1174" s="7">
        <f>Q1174</f>
      </c>
      <c r="V1174" s="7">
        <f>($C$14+($C$15-$C$14)/($D$15-$D$14)*(I1174-$D$14))/2</f>
      </c>
      <c r="W1174" s="7">
        <f>($B$22*I1174^4+$C$22*I1174^3+$D$22*I1174^2+$E$22*I1174+$F$22)/2</f>
      </c>
      <c r="X1174" s="7">
        <f>($W1174)*(T1174)</f>
      </c>
      <c r="Y1174" s="7">
        <f>($W1174)*(U1174)</f>
      </c>
      <c r="Z1174" s="7">
        <f>SQRT(X1174^2+Y1174^2)</f>
      </c>
      <c r="AA1174" s="7">
        <f>$K1174+$X1174</f>
      </c>
      <c r="AB1174" s="7">
        <f>$L1174+$Y1174</f>
      </c>
      <c r="AC1174" s="7">
        <f>$K1174-$X1174</f>
      </c>
      <c r="AD1174" s="7">
        <f>$L1174-$Y1174</f>
      </c>
      <c r="AE1174" s="7">
        <f>AA1174/39.3701</f>
      </c>
      <c r="AF1174" s="7">
        <f>AB1174/39.3701</f>
      </c>
      <c r="AG1174" s="7">
        <f>AC1174/39.3701</f>
      </c>
      <c r="AH1174" s="7">
        <f>AD1174/39.3701</f>
      </c>
      <c r="AI1174" s="1"/>
      <c r="AJ1174" s="1"/>
      <c r="AK1174" s="1"/>
      <c r="AL1174" s="1"/>
      <c r="AM1174" s="2"/>
      <c r="AN1174" s="1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  <c r="BA1174" s="1"/>
      <c r="BB1174" s="1"/>
      <c r="BC1174" s="1"/>
      <c r="BD1174" s="1"/>
      <c r="BE1174" s="1"/>
    </row>
    <row x14ac:dyDescent="0.25" r="1175" customHeight="1" ht="18.75">
      <c r="A1175" s="1"/>
      <c r="B1175" s="2"/>
      <c r="C1175" s="2"/>
      <c r="D1175" s="2"/>
      <c r="E1175" s="2"/>
      <c r="F1175" s="2"/>
      <c r="G1175" s="1"/>
      <c r="H1175" s="1"/>
      <c r="I1175" s="7">
        <v>1.172</v>
      </c>
      <c r="J1175" s="7">
        <f>IF((I1175-ROUNDDOWN(I1175,0))=0, 0, (I1175-ROUNDDOWN(I1175,0)))</f>
      </c>
      <c r="K1175" s="7">
        <f>INDIRECT("C$"&amp;2+MIN(2,ROUNDDOWN(I1175,0))*3)*(-$J1175^3+3*$J1175^2-3*$J1175+1)+INDIRECT("C$"&amp;3+MIN(2,ROUNDDOWN(I1175,0))*3)*(3*$J1175^3-6*$J1175^2+3*$J1175)+INDIRECT("C$"&amp;4+MIN(2,ROUNDDOWN(I1175,0))*3)*(-3*$J1175^3+3*$J1175^2)+INDIRECT("C$"&amp;5+MIN(2,ROUNDDOWN(I1175,0))*3)*$J1175^3</f>
      </c>
      <c r="L1175" s="7">
        <f>INDIRECT("D$"&amp;2+MIN(2,ROUNDDOWN(I1175,0))*3)*(-$J1175^3+3*$J1175^2-3*$J1175+1)+INDIRECT("D$"&amp;3+MIN(2,ROUNDDOWN(I1175,0))*3)*(3*$J1175^3-6*$J1175^2+3*$J1175)+INDIRECT("D$"&amp;4+MIN(2,ROUNDDOWN(I1175,0))*3)*(-3*$J1175^3+3*$J1175^2)+INDIRECT("D$"&amp;5+MIN(2,ROUNDDOWN(I1175,0))*3)*$J1175^3</f>
      </c>
      <c r="M1175" s="7">
        <f>SQRT(K1175^2+L1175^2)</f>
      </c>
      <c r="N1175" s="7">
        <f>(K1176-K1174)</f>
      </c>
      <c r="O1175" s="7">
        <f>+(L1176-L1174)</f>
      </c>
      <c r="P1175" s="7">
        <f>SQRT(O1175^2+N1175^2)</f>
      </c>
      <c r="Q1175" s="7">
        <f>N1175/$P1175</f>
      </c>
      <c r="R1175" s="7">
        <f>O1175/$P1175</f>
      </c>
      <c r="S1175" s="8">
        <f>Q1175^2+R1175^2</f>
      </c>
      <c r="T1175" s="7">
        <f>-R1175</f>
      </c>
      <c r="U1175" s="7">
        <f>Q1175</f>
      </c>
      <c r="V1175" s="7">
        <f>($C$14+($C$15-$C$14)/($D$15-$D$14)*(I1175-$D$14))/2</f>
      </c>
      <c r="W1175" s="7">
        <f>($B$22*I1175^4+$C$22*I1175^3+$D$22*I1175^2+$E$22*I1175+$F$22)/2</f>
      </c>
      <c r="X1175" s="7">
        <f>($W1175)*(T1175)</f>
      </c>
      <c r="Y1175" s="7">
        <f>($W1175)*(U1175)</f>
      </c>
      <c r="Z1175" s="7">
        <f>SQRT(X1175^2+Y1175^2)</f>
      </c>
      <c r="AA1175" s="7">
        <f>$K1175+$X1175</f>
      </c>
      <c r="AB1175" s="7">
        <f>$L1175+$Y1175</f>
      </c>
      <c r="AC1175" s="7">
        <f>$K1175-$X1175</f>
      </c>
      <c r="AD1175" s="7">
        <f>$L1175-$Y1175</f>
      </c>
      <c r="AE1175" s="7">
        <f>AA1175/39.3701</f>
      </c>
      <c r="AF1175" s="7">
        <f>AB1175/39.3701</f>
      </c>
      <c r="AG1175" s="7">
        <f>AC1175/39.3701</f>
      </c>
      <c r="AH1175" s="7">
        <f>AD1175/39.3701</f>
      </c>
      <c r="AI1175" s="1"/>
      <c r="AJ1175" s="1"/>
      <c r="AK1175" s="1"/>
      <c r="AL1175" s="1"/>
      <c r="AM1175" s="2"/>
      <c r="AN1175" s="1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  <c r="BA1175" s="1"/>
      <c r="BB1175" s="1"/>
      <c r="BC1175" s="1"/>
      <c r="BD1175" s="1"/>
      <c r="BE1175" s="1"/>
    </row>
    <row x14ac:dyDescent="0.25" r="1176" customHeight="1" ht="18.75">
      <c r="A1176" s="1"/>
      <c r="B1176" s="2"/>
      <c r="C1176" s="2"/>
      <c r="D1176" s="2"/>
      <c r="E1176" s="2"/>
      <c r="F1176" s="2"/>
      <c r="G1176" s="1"/>
      <c r="H1176" s="1"/>
      <c r="I1176" s="7">
        <v>1.173</v>
      </c>
      <c r="J1176" s="7">
        <f>IF((I1176-ROUNDDOWN(I1176,0))=0, 0, (I1176-ROUNDDOWN(I1176,0)))</f>
      </c>
      <c r="K1176" s="7">
        <f>INDIRECT("C$"&amp;2+MIN(2,ROUNDDOWN(I1176,0))*3)*(-$J1176^3+3*$J1176^2-3*$J1176+1)+INDIRECT("C$"&amp;3+MIN(2,ROUNDDOWN(I1176,0))*3)*(3*$J1176^3-6*$J1176^2+3*$J1176)+INDIRECT("C$"&amp;4+MIN(2,ROUNDDOWN(I1176,0))*3)*(-3*$J1176^3+3*$J1176^2)+INDIRECT("C$"&amp;5+MIN(2,ROUNDDOWN(I1176,0))*3)*$J1176^3</f>
      </c>
      <c r="L1176" s="7">
        <f>INDIRECT("D$"&amp;2+MIN(2,ROUNDDOWN(I1176,0))*3)*(-$J1176^3+3*$J1176^2-3*$J1176+1)+INDIRECT("D$"&amp;3+MIN(2,ROUNDDOWN(I1176,0))*3)*(3*$J1176^3-6*$J1176^2+3*$J1176)+INDIRECT("D$"&amp;4+MIN(2,ROUNDDOWN(I1176,0))*3)*(-3*$J1176^3+3*$J1176^2)+INDIRECT("D$"&amp;5+MIN(2,ROUNDDOWN(I1176,0))*3)*$J1176^3</f>
      </c>
      <c r="M1176" s="7">
        <f>SQRT(K1176^2+L1176^2)</f>
      </c>
      <c r="N1176" s="7">
        <f>(K1177-K1175)</f>
      </c>
      <c r="O1176" s="7">
        <f>+(L1177-L1175)</f>
      </c>
      <c r="P1176" s="7">
        <f>SQRT(O1176^2+N1176^2)</f>
      </c>
      <c r="Q1176" s="7">
        <f>N1176/$P1176</f>
      </c>
      <c r="R1176" s="7">
        <f>O1176/$P1176</f>
      </c>
      <c r="S1176" s="7">
        <f>Q1176^2+R1176^2</f>
      </c>
      <c r="T1176" s="7">
        <f>-R1176</f>
      </c>
      <c r="U1176" s="7">
        <f>Q1176</f>
      </c>
      <c r="V1176" s="7">
        <f>($C$14+($C$15-$C$14)/($D$15-$D$14)*(I1176-$D$14))/2</f>
      </c>
      <c r="W1176" s="7">
        <f>($B$22*I1176^4+$C$22*I1176^3+$D$22*I1176^2+$E$22*I1176+$F$22)/2</f>
      </c>
      <c r="X1176" s="7">
        <f>($W1176)*(T1176)</f>
      </c>
      <c r="Y1176" s="7">
        <f>($W1176)*(U1176)</f>
      </c>
      <c r="Z1176" s="7">
        <f>SQRT(X1176^2+Y1176^2)</f>
      </c>
      <c r="AA1176" s="7">
        <f>$K1176+$X1176</f>
      </c>
      <c r="AB1176" s="7">
        <f>$L1176+$Y1176</f>
      </c>
      <c r="AC1176" s="7">
        <f>$K1176-$X1176</f>
      </c>
      <c r="AD1176" s="7">
        <f>$L1176-$Y1176</f>
      </c>
      <c r="AE1176" s="7">
        <f>AA1176/39.3701</f>
      </c>
      <c r="AF1176" s="7">
        <f>AB1176/39.3701</f>
      </c>
      <c r="AG1176" s="7">
        <f>AC1176/39.3701</f>
      </c>
      <c r="AH1176" s="7">
        <f>AD1176/39.3701</f>
      </c>
      <c r="AI1176" s="1"/>
      <c r="AJ1176" s="1"/>
      <c r="AK1176" s="1"/>
      <c r="AL1176" s="1"/>
      <c r="AM1176" s="2"/>
      <c r="AN1176" s="1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  <c r="BA1176" s="1"/>
      <c r="BB1176" s="1"/>
      <c r="BC1176" s="1"/>
      <c r="BD1176" s="1"/>
      <c r="BE1176" s="1"/>
    </row>
    <row x14ac:dyDescent="0.25" r="1177" customHeight="1" ht="18.75">
      <c r="A1177" s="1"/>
      <c r="B1177" s="2"/>
      <c r="C1177" s="2"/>
      <c r="D1177" s="2"/>
      <c r="E1177" s="2"/>
      <c r="F1177" s="2"/>
      <c r="G1177" s="1"/>
      <c r="H1177" s="1"/>
      <c r="I1177" s="7">
        <v>1.174</v>
      </c>
      <c r="J1177" s="7">
        <f>IF((I1177-ROUNDDOWN(I1177,0))=0, 0, (I1177-ROUNDDOWN(I1177,0)))</f>
      </c>
      <c r="K1177" s="7">
        <f>INDIRECT("C$"&amp;2+MIN(2,ROUNDDOWN(I1177,0))*3)*(-$J1177^3+3*$J1177^2-3*$J1177+1)+INDIRECT("C$"&amp;3+MIN(2,ROUNDDOWN(I1177,0))*3)*(3*$J1177^3-6*$J1177^2+3*$J1177)+INDIRECT("C$"&amp;4+MIN(2,ROUNDDOWN(I1177,0))*3)*(-3*$J1177^3+3*$J1177^2)+INDIRECT("C$"&amp;5+MIN(2,ROUNDDOWN(I1177,0))*3)*$J1177^3</f>
      </c>
      <c r="L1177" s="7">
        <f>INDIRECT("D$"&amp;2+MIN(2,ROUNDDOWN(I1177,0))*3)*(-$J1177^3+3*$J1177^2-3*$J1177+1)+INDIRECT("D$"&amp;3+MIN(2,ROUNDDOWN(I1177,0))*3)*(3*$J1177^3-6*$J1177^2+3*$J1177)+INDIRECT("D$"&amp;4+MIN(2,ROUNDDOWN(I1177,0))*3)*(-3*$J1177^3+3*$J1177^2)+INDIRECT("D$"&amp;5+MIN(2,ROUNDDOWN(I1177,0))*3)*$J1177^3</f>
      </c>
      <c r="M1177" s="7">
        <f>SQRT(K1177^2+L1177^2)</f>
      </c>
      <c r="N1177" s="7">
        <f>(K1178-K1176)</f>
      </c>
      <c r="O1177" s="7">
        <f>+(L1178-L1176)</f>
      </c>
      <c r="P1177" s="7">
        <f>SQRT(O1177^2+N1177^2)</f>
      </c>
      <c r="Q1177" s="7">
        <f>N1177/$P1177</f>
      </c>
      <c r="R1177" s="7">
        <f>O1177/$P1177</f>
      </c>
      <c r="S1177" s="8">
        <f>Q1177^2+R1177^2</f>
      </c>
      <c r="T1177" s="7">
        <f>-R1177</f>
      </c>
      <c r="U1177" s="7">
        <f>Q1177</f>
      </c>
      <c r="V1177" s="7">
        <f>($C$14+($C$15-$C$14)/($D$15-$D$14)*(I1177-$D$14))/2</f>
      </c>
      <c r="W1177" s="7">
        <f>($B$22*I1177^4+$C$22*I1177^3+$D$22*I1177^2+$E$22*I1177+$F$22)/2</f>
      </c>
      <c r="X1177" s="7">
        <f>($W1177)*(T1177)</f>
      </c>
      <c r="Y1177" s="7">
        <f>($W1177)*(U1177)</f>
      </c>
      <c r="Z1177" s="7">
        <f>SQRT(X1177^2+Y1177^2)</f>
      </c>
      <c r="AA1177" s="7">
        <f>$K1177+$X1177</f>
      </c>
      <c r="AB1177" s="7">
        <f>$L1177+$Y1177</f>
      </c>
      <c r="AC1177" s="7">
        <f>$K1177-$X1177</f>
      </c>
      <c r="AD1177" s="7">
        <f>$L1177-$Y1177</f>
      </c>
      <c r="AE1177" s="7">
        <f>AA1177/39.3701</f>
      </c>
      <c r="AF1177" s="7">
        <f>AB1177/39.3701</f>
      </c>
      <c r="AG1177" s="7">
        <f>AC1177/39.3701</f>
      </c>
      <c r="AH1177" s="7">
        <f>AD1177/39.3701</f>
      </c>
      <c r="AI1177" s="1"/>
      <c r="AJ1177" s="1"/>
      <c r="AK1177" s="1"/>
      <c r="AL1177" s="1"/>
      <c r="AM1177" s="2"/>
      <c r="AN1177" s="1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  <c r="BA1177" s="1"/>
      <c r="BB1177" s="1"/>
      <c r="BC1177" s="1"/>
      <c r="BD1177" s="1"/>
      <c r="BE1177" s="1"/>
    </row>
    <row x14ac:dyDescent="0.25" r="1178" customHeight="1" ht="18.75">
      <c r="A1178" s="1"/>
      <c r="B1178" s="2"/>
      <c r="C1178" s="2"/>
      <c r="D1178" s="2"/>
      <c r="E1178" s="2"/>
      <c r="F1178" s="2"/>
      <c r="G1178" s="1"/>
      <c r="H1178" s="1"/>
      <c r="I1178" s="7">
        <v>1.175</v>
      </c>
      <c r="J1178" s="7">
        <f>IF((I1178-ROUNDDOWN(I1178,0))=0, 0, (I1178-ROUNDDOWN(I1178,0)))</f>
      </c>
      <c r="K1178" s="7">
        <f>INDIRECT("C$"&amp;2+MIN(2,ROUNDDOWN(I1178,0))*3)*(-$J1178^3+3*$J1178^2-3*$J1178+1)+INDIRECT("C$"&amp;3+MIN(2,ROUNDDOWN(I1178,0))*3)*(3*$J1178^3-6*$J1178^2+3*$J1178)+INDIRECT("C$"&amp;4+MIN(2,ROUNDDOWN(I1178,0))*3)*(-3*$J1178^3+3*$J1178^2)+INDIRECT("C$"&amp;5+MIN(2,ROUNDDOWN(I1178,0))*3)*$J1178^3</f>
      </c>
      <c r="L1178" s="7">
        <f>INDIRECT("D$"&amp;2+MIN(2,ROUNDDOWN(I1178,0))*3)*(-$J1178^3+3*$J1178^2-3*$J1178+1)+INDIRECT("D$"&amp;3+MIN(2,ROUNDDOWN(I1178,0))*3)*(3*$J1178^3-6*$J1178^2+3*$J1178)+INDIRECT("D$"&amp;4+MIN(2,ROUNDDOWN(I1178,0))*3)*(-3*$J1178^3+3*$J1178^2)+INDIRECT("D$"&amp;5+MIN(2,ROUNDDOWN(I1178,0))*3)*$J1178^3</f>
      </c>
      <c r="M1178" s="7">
        <f>SQRT(K1178^2+L1178^2)</f>
      </c>
      <c r="N1178" s="7">
        <f>(K1179-K1177)</f>
      </c>
      <c r="O1178" s="7">
        <f>+(L1179-L1177)</f>
      </c>
      <c r="P1178" s="7">
        <f>SQRT(O1178^2+N1178^2)</f>
      </c>
      <c r="Q1178" s="7">
        <f>N1178/$P1178</f>
      </c>
      <c r="R1178" s="7">
        <f>O1178/$P1178</f>
      </c>
      <c r="S1178" s="8">
        <f>Q1178^2+R1178^2</f>
      </c>
      <c r="T1178" s="7">
        <f>-R1178</f>
      </c>
      <c r="U1178" s="7">
        <f>Q1178</f>
      </c>
      <c r="V1178" s="7">
        <f>($C$14+($C$15-$C$14)/($D$15-$D$14)*(I1178-$D$14))/2</f>
      </c>
      <c r="W1178" s="7">
        <f>($B$22*I1178^4+$C$22*I1178^3+$D$22*I1178^2+$E$22*I1178+$F$22)/2</f>
      </c>
      <c r="X1178" s="7">
        <f>($W1178)*(T1178)</f>
      </c>
      <c r="Y1178" s="7">
        <f>($W1178)*(U1178)</f>
      </c>
      <c r="Z1178" s="7">
        <f>SQRT(X1178^2+Y1178^2)</f>
      </c>
      <c r="AA1178" s="7">
        <f>$K1178+$X1178</f>
      </c>
      <c r="AB1178" s="7">
        <f>$L1178+$Y1178</f>
      </c>
      <c r="AC1178" s="7">
        <f>$K1178-$X1178</f>
      </c>
      <c r="AD1178" s="7">
        <f>$L1178-$Y1178</f>
      </c>
      <c r="AE1178" s="7">
        <f>AA1178/39.3701</f>
      </c>
      <c r="AF1178" s="7">
        <f>AB1178/39.3701</f>
      </c>
      <c r="AG1178" s="7">
        <f>AC1178/39.3701</f>
      </c>
      <c r="AH1178" s="7">
        <f>AD1178/39.3701</f>
      </c>
      <c r="AI1178" s="1"/>
      <c r="AJ1178" s="1"/>
      <c r="AK1178" s="1"/>
      <c r="AL1178" s="1"/>
      <c r="AM1178" s="2"/>
      <c r="AN1178" s="1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  <c r="BA1178" s="1"/>
      <c r="BB1178" s="1"/>
      <c r="BC1178" s="1"/>
      <c r="BD1178" s="1"/>
      <c r="BE1178" s="1"/>
    </row>
    <row x14ac:dyDescent="0.25" r="1179" customHeight="1" ht="18.75">
      <c r="A1179" s="1"/>
      <c r="B1179" s="2"/>
      <c r="C1179" s="2"/>
      <c r="D1179" s="2"/>
      <c r="E1179" s="2"/>
      <c r="F1179" s="2"/>
      <c r="G1179" s="1"/>
      <c r="H1179" s="1"/>
      <c r="I1179" s="7">
        <v>1.176</v>
      </c>
      <c r="J1179" s="7">
        <f>IF((I1179-ROUNDDOWN(I1179,0))=0, 0, (I1179-ROUNDDOWN(I1179,0)))</f>
      </c>
      <c r="K1179" s="7">
        <f>INDIRECT("C$"&amp;2+MIN(2,ROUNDDOWN(I1179,0))*3)*(-$J1179^3+3*$J1179^2-3*$J1179+1)+INDIRECT("C$"&amp;3+MIN(2,ROUNDDOWN(I1179,0))*3)*(3*$J1179^3-6*$J1179^2+3*$J1179)+INDIRECT("C$"&amp;4+MIN(2,ROUNDDOWN(I1179,0))*3)*(-3*$J1179^3+3*$J1179^2)+INDIRECT("C$"&amp;5+MIN(2,ROUNDDOWN(I1179,0))*3)*$J1179^3</f>
      </c>
      <c r="L1179" s="7">
        <f>INDIRECT("D$"&amp;2+MIN(2,ROUNDDOWN(I1179,0))*3)*(-$J1179^3+3*$J1179^2-3*$J1179+1)+INDIRECT("D$"&amp;3+MIN(2,ROUNDDOWN(I1179,0))*3)*(3*$J1179^3-6*$J1179^2+3*$J1179)+INDIRECT("D$"&amp;4+MIN(2,ROUNDDOWN(I1179,0))*3)*(-3*$J1179^3+3*$J1179^2)+INDIRECT("D$"&amp;5+MIN(2,ROUNDDOWN(I1179,0))*3)*$J1179^3</f>
      </c>
      <c r="M1179" s="7">
        <f>SQRT(K1179^2+L1179^2)</f>
      </c>
      <c r="N1179" s="7">
        <f>(K1180-K1178)</f>
      </c>
      <c r="O1179" s="7">
        <f>+(L1180-L1178)</f>
      </c>
      <c r="P1179" s="7">
        <f>SQRT(O1179^2+N1179^2)</f>
      </c>
      <c r="Q1179" s="7">
        <f>N1179/$P1179</f>
      </c>
      <c r="R1179" s="7">
        <f>O1179/$P1179</f>
      </c>
      <c r="S1179" s="7">
        <f>Q1179^2+R1179^2</f>
      </c>
      <c r="T1179" s="7">
        <f>-R1179</f>
      </c>
      <c r="U1179" s="7">
        <f>Q1179</f>
      </c>
      <c r="V1179" s="7">
        <f>($C$14+($C$15-$C$14)/($D$15-$D$14)*(I1179-$D$14))/2</f>
      </c>
      <c r="W1179" s="7">
        <f>($B$22*I1179^4+$C$22*I1179^3+$D$22*I1179^2+$E$22*I1179+$F$22)/2</f>
      </c>
      <c r="X1179" s="7">
        <f>($W1179)*(T1179)</f>
      </c>
      <c r="Y1179" s="7">
        <f>($W1179)*(U1179)</f>
      </c>
      <c r="Z1179" s="7">
        <f>SQRT(X1179^2+Y1179^2)</f>
      </c>
      <c r="AA1179" s="7">
        <f>$K1179+$X1179</f>
      </c>
      <c r="AB1179" s="7">
        <f>$L1179+$Y1179</f>
      </c>
      <c r="AC1179" s="7">
        <f>$K1179-$X1179</f>
      </c>
      <c r="AD1179" s="7">
        <f>$L1179-$Y1179</f>
      </c>
      <c r="AE1179" s="7">
        <f>AA1179/39.3701</f>
      </c>
      <c r="AF1179" s="7">
        <f>AB1179/39.3701</f>
      </c>
      <c r="AG1179" s="7">
        <f>AC1179/39.3701</f>
      </c>
      <c r="AH1179" s="7">
        <f>AD1179/39.3701</f>
      </c>
      <c r="AI1179" s="1"/>
      <c r="AJ1179" s="1"/>
      <c r="AK1179" s="1"/>
      <c r="AL1179" s="1"/>
      <c r="AM1179" s="2"/>
      <c r="AN1179" s="1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  <c r="BA1179" s="1"/>
      <c r="BB1179" s="1"/>
      <c r="BC1179" s="1"/>
      <c r="BD1179" s="1"/>
      <c r="BE1179" s="1"/>
    </row>
    <row x14ac:dyDescent="0.25" r="1180" customHeight="1" ht="18.75">
      <c r="A1180" s="1"/>
      <c r="B1180" s="2"/>
      <c r="C1180" s="2"/>
      <c r="D1180" s="2"/>
      <c r="E1180" s="2"/>
      <c r="F1180" s="2"/>
      <c r="G1180" s="1"/>
      <c r="H1180" s="1"/>
      <c r="I1180" s="7">
        <v>1.177</v>
      </c>
      <c r="J1180" s="7">
        <f>IF((I1180-ROUNDDOWN(I1180,0))=0, 0, (I1180-ROUNDDOWN(I1180,0)))</f>
      </c>
      <c r="K1180" s="7">
        <f>INDIRECT("C$"&amp;2+MIN(2,ROUNDDOWN(I1180,0))*3)*(-$J1180^3+3*$J1180^2-3*$J1180+1)+INDIRECT("C$"&amp;3+MIN(2,ROUNDDOWN(I1180,0))*3)*(3*$J1180^3-6*$J1180^2+3*$J1180)+INDIRECT("C$"&amp;4+MIN(2,ROUNDDOWN(I1180,0))*3)*(-3*$J1180^3+3*$J1180^2)+INDIRECT("C$"&amp;5+MIN(2,ROUNDDOWN(I1180,0))*3)*$J1180^3</f>
      </c>
      <c r="L1180" s="7">
        <f>INDIRECT("D$"&amp;2+MIN(2,ROUNDDOWN(I1180,0))*3)*(-$J1180^3+3*$J1180^2-3*$J1180+1)+INDIRECT("D$"&amp;3+MIN(2,ROUNDDOWN(I1180,0))*3)*(3*$J1180^3-6*$J1180^2+3*$J1180)+INDIRECT("D$"&amp;4+MIN(2,ROUNDDOWN(I1180,0))*3)*(-3*$J1180^3+3*$J1180^2)+INDIRECT("D$"&amp;5+MIN(2,ROUNDDOWN(I1180,0))*3)*$J1180^3</f>
      </c>
      <c r="M1180" s="7">
        <f>SQRT(K1180^2+L1180^2)</f>
      </c>
      <c r="N1180" s="7">
        <f>(K1181-K1179)</f>
      </c>
      <c r="O1180" s="7">
        <f>+(L1181-L1179)</f>
      </c>
      <c r="P1180" s="7">
        <f>SQRT(O1180^2+N1180^2)</f>
      </c>
      <c r="Q1180" s="7">
        <f>N1180/$P1180</f>
      </c>
      <c r="R1180" s="7">
        <f>O1180/$P1180</f>
      </c>
      <c r="S1180" s="8">
        <f>Q1180^2+R1180^2</f>
      </c>
      <c r="T1180" s="7">
        <f>-R1180</f>
      </c>
      <c r="U1180" s="7">
        <f>Q1180</f>
      </c>
      <c r="V1180" s="7">
        <f>($C$14+($C$15-$C$14)/($D$15-$D$14)*(I1180-$D$14))/2</f>
      </c>
      <c r="W1180" s="7">
        <f>($B$22*I1180^4+$C$22*I1180^3+$D$22*I1180^2+$E$22*I1180+$F$22)/2</f>
      </c>
      <c r="X1180" s="7">
        <f>($W1180)*(T1180)</f>
      </c>
      <c r="Y1180" s="7">
        <f>($W1180)*(U1180)</f>
      </c>
      <c r="Z1180" s="7">
        <f>SQRT(X1180^2+Y1180^2)</f>
      </c>
      <c r="AA1180" s="7">
        <f>$K1180+$X1180</f>
      </c>
      <c r="AB1180" s="7">
        <f>$L1180+$Y1180</f>
      </c>
      <c r="AC1180" s="7">
        <f>$K1180-$X1180</f>
      </c>
      <c r="AD1180" s="7">
        <f>$L1180-$Y1180</f>
      </c>
      <c r="AE1180" s="7">
        <f>AA1180/39.3701</f>
      </c>
      <c r="AF1180" s="7">
        <f>AB1180/39.3701</f>
      </c>
      <c r="AG1180" s="7">
        <f>AC1180/39.3701</f>
      </c>
      <c r="AH1180" s="7">
        <f>AD1180/39.3701</f>
      </c>
      <c r="AI1180" s="1"/>
      <c r="AJ1180" s="1"/>
      <c r="AK1180" s="1"/>
      <c r="AL1180" s="1"/>
      <c r="AM1180" s="2"/>
      <c r="AN1180" s="1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  <c r="BA1180" s="1"/>
      <c r="BB1180" s="1"/>
      <c r="BC1180" s="1"/>
      <c r="BD1180" s="1"/>
      <c r="BE1180" s="1"/>
    </row>
    <row x14ac:dyDescent="0.25" r="1181" customHeight="1" ht="18.75">
      <c r="A1181" s="1"/>
      <c r="B1181" s="2"/>
      <c r="C1181" s="2"/>
      <c r="D1181" s="2"/>
      <c r="E1181" s="2"/>
      <c r="F1181" s="2"/>
      <c r="G1181" s="1"/>
      <c r="H1181" s="1"/>
      <c r="I1181" s="7">
        <v>1.178</v>
      </c>
      <c r="J1181" s="7">
        <f>IF((I1181-ROUNDDOWN(I1181,0))=0, 0, (I1181-ROUNDDOWN(I1181,0)))</f>
      </c>
      <c r="K1181" s="7">
        <f>INDIRECT("C$"&amp;2+MIN(2,ROUNDDOWN(I1181,0))*3)*(-$J1181^3+3*$J1181^2-3*$J1181+1)+INDIRECT("C$"&amp;3+MIN(2,ROUNDDOWN(I1181,0))*3)*(3*$J1181^3-6*$J1181^2+3*$J1181)+INDIRECT("C$"&amp;4+MIN(2,ROUNDDOWN(I1181,0))*3)*(-3*$J1181^3+3*$J1181^2)+INDIRECT("C$"&amp;5+MIN(2,ROUNDDOWN(I1181,0))*3)*$J1181^3</f>
      </c>
      <c r="L1181" s="7">
        <f>INDIRECT("D$"&amp;2+MIN(2,ROUNDDOWN(I1181,0))*3)*(-$J1181^3+3*$J1181^2-3*$J1181+1)+INDIRECT("D$"&amp;3+MIN(2,ROUNDDOWN(I1181,0))*3)*(3*$J1181^3-6*$J1181^2+3*$J1181)+INDIRECT("D$"&amp;4+MIN(2,ROUNDDOWN(I1181,0))*3)*(-3*$J1181^3+3*$J1181^2)+INDIRECT("D$"&amp;5+MIN(2,ROUNDDOWN(I1181,0))*3)*$J1181^3</f>
      </c>
      <c r="M1181" s="7">
        <f>SQRT(K1181^2+L1181^2)</f>
      </c>
      <c r="N1181" s="7">
        <f>(K1182-K1180)</f>
      </c>
      <c r="O1181" s="7">
        <f>+(L1182-L1180)</f>
      </c>
      <c r="P1181" s="7">
        <f>SQRT(O1181^2+N1181^2)</f>
      </c>
      <c r="Q1181" s="7">
        <f>N1181/$P1181</f>
      </c>
      <c r="R1181" s="7">
        <f>O1181/$P1181</f>
      </c>
      <c r="S1181" s="7">
        <f>Q1181^2+R1181^2</f>
      </c>
      <c r="T1181" s="7">
        <f>-R1181</f>
      </c>
      <c r="U1181" s="7">
        <f>Q1181</f>
      </c>
      <c r="V1181" s="7">
        <f>($C$14+($C$15-$C$14)/($D$15-$D$14)*(I1181-$D$14))/2</f>
      </c>
      <c r="W1181" s="7">
        <f>($B$22*I1181^4+$C$22*I1181^3+$D$22*I1181^2+$E$22*I1181+$F$22)/2</f>
      </c>
      <c r="X1181" s="7">
        <f>($W1181)*(T1181)</f>
      </c>
      <c r="Y1181" s="7">
        <f>($W1181)*(U1181)</f>
      </c>
      <c r="Z1181" s="7">
        <f>SQRT(X1181^2+Y1181^2)</f>
      </c>
      <c r="AA1181" s="7">
        <f>$K1181+$X1181</f>
      </c>
      <c r="AB1181" s="7">
        <f>$L1181+$Y1181</f>
      </c>
      <c r="AC1181" s="7">
        <f>$K1181-$X1181</f>
      </c>
      <c r="AD1181" s="7">
        <f>$L1181-$Y1181</f>
      </c>
      <c r="AE1181" s="7">
        <f>AA1181/39.3701</f>
      </c>
      <c r="AF1181" s="7">
        <f>AB1181/39.3701</f>
      </c>
      <c r="AG1181" s="7">
        <f>AC1181/39.3701</f>
      </c>
      <c r="AH1181" s="7">
        <f>AD1181/39.3701</f>
      </c>
      <c r="AI1181" s="1"/>
      <c r="AJ1181" s="1"/>
      <c r="AK1181" s="1"/>
      <c r="AL1181" s="1"/>
      <c r="AM1181" s="2"/>
      <c r="AN1181" s="1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  <c r="BA1181" s="1"/>
      <c r="BB1181" s="1"/>
      <c r="BC1181" s="1"/>
      <c r="BD1181" s="1"/>
      <c r="BE1181" s="1"/>
    </row>
    <row x14ac:dyDescent="0.25" r="1182" customHeight="1" ht="18.75">
      <c r="A1182" s="1"/>
      <c r="B1182" s="2"/>
      <c r="C1182" s="2"/>
      <c r="D1182" s="2"/>
      <c r="E1182" s="2"/>
      <c r="F1182" s="2"/>
      <c r="G1182" s="1"/>
      <c r="H1182" s="1"/>
      <c r="I1182" s="7">
        <v>1.179</v>
      </c>
      <c r="J1182" s="7">
        <f>IF((I1182-ROUNDDOWN(I1182,0))=0, 0, (I1182-ROUNDDOWN(I1182,0)))</f>
      </c>
      <c r="K1182" s="7">
        <f>INDIRECT("C$"&amp;2+MIN(2,ROUNDDOWN(I1182,0))*3)*(-$J1182^3+3*$J1182^2-3*$J1182+1)+INDIRECT("C$"&amp;3+MIN(2,ROUNDDOWN(I1182,0))*3)*(3*$J1182^3-6*$J1182^2+3*$J1182)+INDIRECT("C$"&amp;4+MIN(2,ROUNDDOWN(I1182,0))*3)*(-3*$J1182^3+3*$J1182^2)+INDIRECT("C$"&amp;5+MIN(2,ROUNDDOWN(I1182,0))*3)*$J1182^3</f>
      </c>
      <c r="L1182" s="7">
        <f>INDIRECT("D$"&amp;2+MIN(2,ROUNDDOWN(I1182,0))*3)*(-$J1182^3+3*$J1182^2-3*$J1182+1)+INDIRECT("D$"&amp;3+MIN(2,ROUNDDOWN(I1182,0))*3)*(3*$J1182^3-6*$J1182^2+3*$J1182)+INDIRECT("D$"&amp;4+MIN(2,ROUNDDOWN(I1182,0))*3)*(-3*$J1182^3+3*$J1182^2)+INDIRECT("D$"&amp;5+MIN(2,ROUNDDOWN(I1182,0))*3)*$J1182^3</f>
      </c>
      <c r="M1182" s="7">
        <f>SQRT(K1182^2+L1182^2)</f>
      </c>
      <c r="N1182" s="7">
        <f>(K1183-K1181)</f>
      </c>
      <c r="O1182" s="7">
        <f>+(L1183-L1181)</f>
      </c>
      <c r="P1182" s="7">
        <f>SQRT(O1182^2+N1182^2)</f>
      </c>
      <c r="Q1182" s="7">
        <f>N1182/$P1182</f>
      </c>
      <c r="R1182" s="7">
        <f>O1182/$P1182</f>
      </c>
      <c r="S1182" s="7">
        <f>Q1182^2+R1182^2</f>
      </c>
      <c r="T1182" s="7">
        <f>-R1182</f>
      </c>
      <c r="U1182" s="7">
        <f>Q1182</f>
      </c>
      <c r="V1182" s="7">
        <f>($C$14+($C$15-$C$14)/($D$15-$D$14)*(I1182-$D$14))/2</f>
      </c>
      <c r="W1182" s="7">
        <f>($B$22*I1182^4+$C$22*I1182^3+$D$22*I1182^2+$E$22*I1182+$F$22)/2</f>
      </c>
      <c r="X1182" s="7">
        <f>($W1182)*(T1182)</f>
      </c>
      <c r="Y1182" s="7">
        <f>($W1182)*(U1182)</f>
      </c>
      <c r="Z1182" s="7">
        <f>SQRT(X1182^2+Y1182^2)</f>
      </c>
      <c r="AA1182" s="7">
        <f>$K1182+$X1182</f>
      </c>
      <c r="AB1182" s="7">
        <f>$L1182+$Y1182</f>
      </c>
      <c r="AC1182" s="7">
        <f>$K1182-$X1182</f>
      </c>
      <c r="AD1182" s="7">
        <f>$L1182-$Y1182</f>
      </c>
      <c r="AE1182" s="7">
        <f>AA1182/39.3701</f>
      </c>
      <c r="AF1182" s="7">
        <f>AB1182/39.3701</f>
      </c>
      <c r="AG1182" s="7">
        <f>AC1182/39.3701</f>
      </c>
      <c r="AH1182" s="7">
        <f>AD1182/39.3701</f>
      </c>
      <c r="AI1182" s="1"/>
      <c r="AJ1182" s="1"/>
      <c r="AK1182" s="1"/>
      <c r="AL1182" s="1"/>
      <c r="AM1182" s="2"/>
      <c r="AN1182" s="1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  <c r="BA1182" s="1"/>
      <c r="BB1182" s="1"/>
      <c r="BC1182" s="1"/>
      <c r="BD1182" s="1"/>
      <c r="BE1182" s="1"/>
    </row>
    <row x14ac:dyDescent="0.25" r="1183" customHeight="1" ht="18.75">
      <c r="A1183" s="1"/>
      <c r="B1183" s="2"/>
      <c r="C1183" s="2"/>
      <c r="D1183" s="2"/>
      <c r="E1183" s="2"/>
      <c r="F1183" s="2"/>
      <c r="G1183" s="1"/>
      <c r="H1183" s="1"/>
      <c r="I1183" s="7">
        <v>1.18</v>
      </c>
      <c r="J1183" s="7">
        <f>IF((I1183-ROUNDDOWN(I1183,0))=0, 0, (I1183-ROUNDDOWN(I1183,0)))</f>
      </c>
      <c r="K1183" s="7">
        <f>INDIRECT("C$"&amp;2+MIN(2,ROUNDDOWN(I1183,0))*3)*(-$J1183^3+3*$J1183^2-3*$J1183+1)+INDIRECT("C$"&amp;3+MIN(2,ROUNDDOWN(I1183,0))*3)*(3*$J1183^3-6*$J1183^2+3*$J1183)+INDIRECT("C$"&amp;4+MIN(2,ROUNDDOWN(I1183,0))*3)*(-3*$J1183^3+3*$J1183^2)+INDIRECT("C$"&amp;5+MIN(2,ROUNDDOWN(I1183,0))*3)*$J1183^3</f>
      </c>
      <c r="L1183" s="7">
        <f>INDIRECT("D$"&amp;2+MIN(2,ROUNDDOWN(I1183,0))*3)*(-$J1183^3+3*$J1183^2-3*$J1183+1)+INDIRECT("D$"&amp;3+MIN(2,ROUNDDOWN(I1183,0))*3)*(3*$J1183^3-6*$J1183^2+3*$J1183)+INDIRECT("D$"&amp;4+MIN(2,ROUNDDOWN(I1183,0))*3)*(-3*$J1183^3+3*$J1183^2)+INDIRECT("D$"&amp;5+MIN(2,ROUNDDOWN(I1183,0))*3)*$J1183^3</f>
      </c>
      <c r="M1183" s="7">
        <f>SQRT(K1183^2+L1183^2)</f>
      </c>
      <c r="N1183" s="7">
        <f>(K1184-K1182)</f>
      </c>
      <c r="O1183" s="7">
        <f>+(L1184-L1182)</f>
      </c>
      <c r="P1183" s="7">
        <f>SQRT(O1183^2+N1183^2)</f>
      </c>
      <c r="Q1183" s="7">
        <f>N1183/$P1183</f>
      </c>
      <c r="R1183" s="7">
        <f>O1183/$P1183</f>
      </c>
      <c r="S1183" s="8">
        <f>Q1183^2+R1183^2</f>
      </c>
      <c r="T1183" s="7">
        <f>-R1183</f>
      </c>
      <c r="U1183" s="7">
        <f>Q1183</f>
      </c>
      <c r="V1183" s="7">
        <f>($C$14+($C$15-$C$14)/($D$15-$D$14)*(I1183-$D$14))/2</f>
      </c>
      <c r="W1183" s="7">
        <f>($B$22*I1183^4+$C$22*I1183^3+$D$22*I1183^2+$E$22*I1183+$F$22)/2</f>
      </c>
      <c r="X1183" s="7">
        <f>($W1183)*(T1183)</f>
      </c>
      <c r="Y1183" s="7">
        <f>($W1183)*(U1183)</f>
      </c>
      <c r="Z1183" s="7">
        <f>SQRT(X1183^2+Y1183^2)</f>
      </c>
      <c r="AA1183" s="7">
        <f>$K1183+$X1183</f>
      </c>
      <c r="AB1183" s="7">
        <f>$L1183+$Y1183</f>
      </c>
      <c r="AC1183" s="7">
        <f>$K1183-$X1183</f>
      </c>
      <c r="AD1183" s="7">
        <f>$L1183-$Y1183</f>
      </c>
      <c r="AE1183" s="7">
        <f>AA1183/39.3701</f>
      </c>
      <c r="AF1183" s="7">
        <f>AB1183/39.3701</f>
      </c>
      <c r="AG1183" s="7">
        <f>AC1183/39.3701</f>
      </c>
      <c r="AH1183" s="7">
        <f>AD1183/39.3701</f>
      </c>
      <c r="AI1183" s="1"/>
      <c r="AJ1183" s="1"/>
      <c r="AK1183" s="1"/>
      <c r="AL1183" s="1"/>
      <c r="AM1183" s="2"/>
      <c r="AN1183" s="1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  <c r="BA1183" s="1"/>
      <c r="BB1183" s="1"/>
      <c r="BC1183" s="1"/>
      <c r="BD1183" s="1"/>
      <c r="BE1183" s="1"/>
    </row>
    <row x14ac:dyDescent="0.25" r="1184" customHeight="1" ht="18.75">
      <c r="A1184" s="1"/>
      <c r="B1184" s="2"/>
      <c r="C1184" s="2"/>
      <c r="D1184" s="2"/>
      <c r="E1184" s="2"/>
      <c r="F1184" s="2"/>
      <c r="G1184" s="1"/>
      <c r="H1184" s="1"/>
      <c r="I1184" s="7">
        <v>1.181</v>
      </c>
      <c r="J1184" s="7">
        <f>IF((I1184-ROUNDDOWN(I1184,0))=0, 0, (I1184-ROUNDDOWN(I1184,0)))</f>
      </c>
      <c r="K1184" s="7">
        <f>INDIRECT("C$"&amp;2+MIN(2,ROUNDDOWN(I1184,0))*3)*(-$J1184^3+3*$J1184^2-3*$J1184+1)+INDIRECT("C$"&amp;3+MIN(2,ROUNDDOWN(I1184,0))*3)*(3*$J1184^3-6*$J1184^2+3*$J1184)+INDIRECT("C$"&amp;4+MIN(2,ROUNDDOWN(I1184,0))*3)*(-3*$J1184^3+3*$J1184^2)+INDIRECT("C$"&amp;5+MIN(2,ROUNDDOWN(I1184,0))*3)*$J1184^3</f>
      </c>
      <c r="L1184" s="7">
        <f>INDIRECT("D$"&amp;2+MIN(2,ROUNDDOWN(I1184,0))*3)*(-$J1184^3+3*$J1184^2-3*$J1184+1)+INDIRECT("D$"&amp;3+MIN(2,ROUNDDOWN(I1184,0))*3)*(3*$J1184^3-6*$J1184^2+3*$J1184)+INDIRECT("D$"&amp;4+MIN(2,ROUNDDOWN(I1184,0))*3)*(-3*$J1184^3+3*$J1184^2)+INDIRECT("D$"&amp;5+MIN(2,ROUNDDOWN(I1184,0))*3)*$J1184^3</f>
      </c>
      <c r="M1184" s="7">
        <f>SQRT(K1184^2+L1184^2)</f>
      </c>
      <c r="N1184" s="7">
        <f>(K1185-K1183)</f>
      </c>
      <c r="O1184" s="7">
        <f>+(L1185-L1183)</f>
      </c>
      <c r="P1184" s="7">
        <f>SQRT(O1184^2+N1184^2)</f>
      </c>
      <c r="Q1184" s="7">
        <f>N1184/$P1184</f>
      </c>
      <c r="R1184" s="7">
        <f>O1184/$P1184</f>
      </c>
      <c r="S1184" s="7">
        <f>Q1184^2+R1184^2</f>
      </c>
      <c r="T1184" s="7">
        <f>-R1184</f>
      </c>
      <c r="U1184" s="7">
        <f>Q1184</f>
      </c>
      <c r="V1184" s="7">
        <f>($C$14+($C$15-$C$14)/($D$15-$D$14)*(I1184-$D$14))/2</f>
      </c>
      <c r="W1184" s="7">
        <f>($B$22*I1184^4+$C$22*I1184^3+$D$22*I1184^2+$E$22*I1184+$F$22)/2</f>
      </c>
      <c r="X1184" s="7">
        <f>($W1184)*(T1184)</f>
      </c>
      <c r="Y1184" s="7">
        <f>($W1184)*(U1184)</f>
      </c>
      <c r="Z1184" s="7">
        <f>SQRT(X1184^2+Y1184^2)</f>
      </c>
      <c r="AA1184" s="7">
        <f>$K1184+$X1184</f>
      </c>
      <c r="AB1184" s="7">
        <f>$L1184+$Y1184</f>
      </c>
      <c r="AC1184" s="7">
        <f>$K1184-$X1184</f>
      </c>
      <c r="AD1184" s="7">
        <f>$L1184-$Y1184</f>
      </c>
      <c r="AE1184" s="7">
        <f>AA1184/39.3701</f>
      </c>
      <c r="AF1184" s="7">
        <f>AB1184/39.3701</f>
      </c>
      <c r="AG1184" s="7">
        <f>AC1184/39.3701</f>
      </c>
      <c r="AH1184" s="7">
        <f>AD1184/39.3701</f>
      </c>
      <c r="AI1184" s="1"/>
      <c r="AJ1184" s="1"/>
      <c r="AK1184" s="1"/>
      <c r="AL1184" s="1"/>
      <c r="AM1184" s="2"/>
      <c r="AN1184" s="1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  <c r="BA1184" s="1"/>
      <c r="BB1184" s="1"/>
      <c r="BC1184" s="1"/>
      <c r="BD1184" s="1"/>
      <c r="BE1184" s="1"/>
    </row>
    <row x14ac:dyDescent="0.25" r="1185" customHeight="1" ht="18.75">
      <c r="A1185" s="1"/>
      <c r="B1185" s="2"/>
      <c r="C1185" s="2"/>
      <c r="D1185" s="2"/>
      <c r="E1185" s="2"/>
      <c r="F1185" s="2"/>
      <c r="G1185" s="1"/>
      <c r="H1185" s="1"/>
      <c r="I1185" s="7">
        <v>1.182</v>
      </c>
      <c r="J1185" s="7">
        <f>IF((I1185-ROUNDDOWN(I1185,0))=0, 0, (I1185-ROUNDDOWN(I1185,0)))</f>
      </c>
      <c r="K1185" s="7">
        <f>INDIRECT("C$"&amp;2+MIN(2,ROUNDDOWN(I1185,0))*3)*(-$J1185^3+3*$J1185^2-3*$J1185+1)+INDIRECT("C$"&amp;3+MIN(2,ROUNDDOWN(I1185,0))*3)*(3*$J1185^3-6*$J1185^2+3*$J1185)+INDIRECT("C$"&amp;4+MIN(2,ROUNDDOWN(I1185,0))*3)*(-3*$J1185^3+3*$J1185^2)+INDIRECT("C$"&amp;5+MIN(2,ROUNDDOWN(I1185,0))*3)*$J1185^3</f>
      </c>
      <c r="L1185" s="7">
        <f>INDIRECT("D$"&amp;2+MIN(2,ROUNDDOWN(I1185,0))*3)*(-$J1185^3+3*$J1185^2-3*$J1185+1)+INDIRECT("D$"&amp;3+MIN(2,ROUNDDOWN(I1185,0))*3)*(3*$J1185^3-6*$J1185^2+3*$J1185)+INDIRECT("D$"&amp;4+MIN(2,ROUNDDOWN(I1185,0))*3)*(-3*$J1185^3+3*$J1185^2)+INDIRECT("D$"&amp;5+MIN(2,ROUNDDOWN(I1185,0))*3)*$J1185^3</f>
      </c>
      <c r="M1185" s="7">
        <f>SQRT(K1185^2+L1185^2)</f>
      </c>
      <c r="N1185" s="7">
        <f>(K1186-K1184)</f>
      </c>
      <c r="O1185" s="7">
        <f>+(L1186-L1184)</f>
      </c>
      <c r="P1185" s="7">
        <f>SQRT(O1185^2+N1185^2)</f>
      </c>
      <c r="Q1185" s="7">
        <f>N1185/$P1185</f>
      </c>
      <c r="R1185" s="7">
        <f>O1185/$P1185</f>
      </c>
      <c r="S1185" s="7">
        <f>Q1185^2+R1185^2</f>
      </c>
      <c r="T1185" s="7">
        <f>-R1185</f>
      </c>
      <c r="U1185" s="7">
        <f>Q1185</f>
      </c>
      <c r="V1185" s="7">
        <f>($C$14+($C$15-$C$14)/($D$15-$D$14)*(I1185-$D$14))/2</f>
      </c>
      <c r="W1185" s="7">
        <f>($B$22*I1185^4+$C$22*I1185^3+$D$22*I1185^2+$E$22*I1185+$F$22)/2</f>
      </c>
      <c r="X1185" s="7">
        <f>($W1185)*(T1185)</f>
      </c>
      <c r="Y1185" s="7">
        <f>($W1185)*(U1185)</f>
      </c>
      <c r="Z1185" s="7">
        <f>SQRT(X1185^2+Y1185^2)</f>
      </c>
      <c r="AA1185" s="7">
        <f>$K1185+$X1185</f>
      </c>
      <c r="AB1185" s="7">
        <f>$L1185+$Y1185</f>
      </c>
      <c r="AC1185" s="7">
        <f>$K1185-$X1185</f>
      </c>
      <c r="AD1185" s="7">
        <f>$L1185-$Y1185</f>
      </c>
      <c r="AE1185" s="7">
        <f>AA1185/39.3701</f>
      </c>
      <c r="AF1185" s="7">
        <f>AB1185/39.3701</f>
      </c>
      <c r="AG1185" s="7">
        <f>AC1185/39.3701</f>
      </c>
      <c r="AH1185" s="7">
        <f>AD1185/39.3701</f>
      </c>
      <c r="AI1185" s="1"/>
      <c r="AJ1185" s="1"/>
      <c r="AK1185" s="1"/>
      <c r="AL1185" s="1"/>
      <c r="AM1185" s="2"/>
      <c r="AN1185" s="1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  <c r="BA1185" s="1"/>
      <c r="BB1185" s="1"/>
      <c r="BC1185" s="1"/>
      <c r="BD1185" s="1"/>
      <c r="BE1185" s="1"/>
    </row>
    <row x14ac:dyDescent="0.25" r="1186" customHeight="1" ht="18.75">
      <c r="A1186" s="1"/>
      <c r="B1186" s="2"/>
      <c r="C1186" s="2"/>
      <c r="D1186" s="2"/>
      <c r="E1186" s="2"/>
      <c r="F1186" s="2"/>
      <c r="G1186" s="1"/>
      <c r="H1186" s="1"/>
      <c r="I1186" s="7">
        <v>1.183</v>
      </c>
      <c r="J1186" s="7">
        <f>IF((I1186-ROUNDDOWN(I1186,0))=0, 0, (I1186-ROUNDDOWN(I1186,0)))</f>
      </c>
      <c r="K1186" s="7">
        <f>INDIRECT("C$"&amp;2+MIN(2,ROUNDDOWN(I1186,0))*3)*(-$J1186^3+3*$J1186^2-3*$J1186+1)+INDIRECT("C$"&amp;3+MIN(2,ROUNDDOWN(I1186,0))*3)*(3*$J1186^3-6*$J1186^2+3*$J1186)+INDIRECT("C$"&amp;4+MIN(2,ROUNDDOWN(I1186,0))*3)*(-3*$J1186^3+3*$J1186^2)+INDIRECT("C$"&amp;5+MIN(2,ROUNDDOWN(I1186,0))*3)*$J1186^3</f>
      </c>
      <c r="L1186" s="7">
        <f>INDIRECT("D$"&amp;2+MIN(2,ROUNDDOWN(I1186,0))*3)*(-$J1186^3+3*$J1186^2-3*$J1186+1)+INDIRECT("D$"&amp;3+MIN(2,ROUNDDOWN(I1186,0))*3)*(3*$J1186^3-6*$J1186^2+3*$J1186)+INDIRECT("D$"&amp;4+MIN(2,ROUNDDOWN(I1186,0))*3)*(-3*$J1186^3+3*$J1186^2)+INDIRECT("D$"&amp;5+MIN(2,ROUNDDOWN(I1186,0))*3)*$J1186^3</f>
      </c>
      <c r="M1186" s="7">
        <f>SQRT(K1186^2+L1186^2)</f>
      </c>
      <c r="N1186" s="7">
        <f>(K1187-K1185)</f>
      </c>
      <c r="O1186" s="7">
        <f>+(L1187-L1185)</f>
      </c>
      <c r="P1186" s="7">
        <f>SQRT(O1186^2+N1186^2)</f>
      </c>
      <c r="Q1186" s="7">
        <f>N1186/$P1186</f>
      </c>
      <c r="R1186" s="7">
        <f>O1186/$P1186</f>
      </c>
      <c r="S1186" s="8">
        <f>Q1186^2+R1186^2</f>
      </c>
      <c r="T1186" s="7">
        <f>-R1186</f>
      </c>
      <c r="U1186" s="7">
        <f>Q1186</f>
      </c>
      <c r="V1186" s="7">
        <f>($C$14+($C$15-$C$14)/($D$15-$D$14)*(I1186-$D$14))/2</f>
      </c>
      <c r="W1186" s="7">
        <f>($B$22*I1186^4+$C$22*I1186^3+$D$22*I1186^2+$E$22*I1186+$F$22)/2</f>
      </c>
      <c r="X1186" s="7">
        <f>($W1186)*(T1186)</f>
      </c>
      <c r="Y1186" s="7">
        <f>($W1186)*(U1186)</f>
      </c>
      <c r="Z1186" s="7">
        <f>SQRT(X1186^2+Y1186^2)</f>
      </c>
      <c r="AA1186" s="7">
        <f>$K1186+$X1186</f>
      </c>
      <c r="AB1186" s="7">
        <f>$L1186+$Y1186</f>
      </c>
      <c r="AC1186" s="7">
        <f>$K1186-$X1186</f>
      </c>
      <c r="AD1186" s="7">
        <f>$L1186-$Y1186</f>
      </c>
      <c r="AE1186" s="7">
        <f>AA1186/39.3701</f>
      </c>
      <c r="AF1186" s="7">
        <f>AB1186/39.3701</f>
      </c>
      <c r="AG1186" s="7">
        <f>AC1186/39.3701</f>
      </c>
      <c r="AH1186" s="7">
        <f>AD1186/39.3701</f>
      </c>
      <c r="AI1186" s="1"/>
      <c r="AJ1186" s="1"/>
      <c r="AK1186" s="1"/>
      <c r="AL1186" s="1"/>
      <c r="AM1186" s="2"/>
      <c r="AN1186" s="1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  <c r="BA1186" s="1"/>
      <c r="BB1186" s="1"/>
      <c r="BC1186" s="1"/>
      <c r="BD1186" s="1"/>
      <c r="BE1186" s="1"/>
    </row>
    <row x14ac:dyDescent="0.25" r="1187" customHeight="1" ht="18.75">
      <c r="A1187" s="1"/>
      <c r="B1187" s="2"/>
      <c r="C1187" s="2"/>
      <c r="D1187" s="2"/>
      <c r="E1187" s="2"/>
      <c r="F1187" s="2"/>
      <c r="G1187" s="1"/>
      <c r="H1187" s="1"/>
      <c r="I1187" s="7">
        <v>1.184</v>
      </c>
      <c r="J1187" s="7">
        <f>IF((I1187-ROUNDDOWN(I1187,0))=0, 0, (I1187-ROUNDDOWN(I1187,0)))</f>
      </c>
      <c r="K1187" s="7">
        <f>INDIRECT("C$"&amp;2+MIN(2,ROUNDDOWN(I1187,0))*3)*(-$J1187^3+3*$J1187^2-3*$J1187+1)+INDIRECT("C$"&amp;3+MIN(2,ROUNDDOWN(I1187,0))*3)*(3*$J1187^3-6*$J1187^2+3*$J1187)+INDIRECT("C$"&amp;4+MIN(2,ROUNDDOWN(I1187,0))*3)*(-3*$J1187^3+3*$J1187^2)+INDIRECT("C$"&amp;5+MIN(2,ROUNDDOWN(I1187,0))*3)*$J1187^3</f>
      </c>
      <c r="L1187" s="7">
        <f>INDIRECT("D$"&amp;2+MIN(2,ROUNDDOWN(I1187,0))*3)*(-$J1187^3+3*$J1187^2-3*$J1187+1)+INDIRECT("D$"&amp;3+MIN(2,ROUNDDOWN(I1187,0))*3)*(3*$J1187^3-6*$J1187^2+3*$J1187)+INDIRECT("D$"&amp;4+MIN(2,ROUNDDOWN(I1187,0))*3)*(-3*$J1187^3+3*$J1187^2)+INDIRECT("D$"&amp;5+MIN(2,ROUNDDOWN(I1187,0))*3)*$J1187^3</f>
      </c>
      <c r="M1187" s="7">
        <f>SQRT(K1187^2+L1187^2)</f>
      </c>
      <c r="N1187" s="7">
        <f>(K1188-K1186)</f>
      </c>
      <c r="O1187" s="7">
        <f>+(L1188-L1186)</f>
      </c>
      <c r="P1187" s="7">
        <f>SQRT(O1187^2+N1187^2)</f>
      </c>
      <c r="Q1187" s="7">
        <f>N1187/$P1187</f>
      </c>
      <c r="R1187" s="7">
        <f>O1187/$P1187</f>
      </c>
      <c r="S1187" s="8">
        <f>Q1187^2+R1187^2</f>
      </c>
      <c r="T1187" s="7">
        <f>-R1187</f>
      </c>
      <c r="U1187" s="7">
        <f>Q1187</f>
      </c>
      <c r="V1187" s="7">
        <f>($C$14+($C$15-$C$14)/($D$15-$D$14)*(I1187-$D$14))/2</f>
      </c>
      <c r="W1187" s="7">
        <f>($B$22*I1187^4+$C$22*I1187^3+$D$22*I1187^2+$E$22*I1187+$F$22)/2</f>
      </c>
      <c r="X1187" s="7">
        <f>($W1187)*(T1187)</f>
      </c>
      <c r="Y1187" s="7">
        <f>($W1187)*(U1187)</f>
      </c>
      <c r="Z1187" s="7">
        <f>SQRT(X1187^2+Y1187^2)</f>
      </c>
      <c r="AA1187" s="7">
        <f>$K1187+$X1187</f>
      </c>
      <c r="AB1187" s="7">
        <f>$L1187+$Y1187</f>
      </c>
      <c r="AC1187" s="7">
        <f>$K1187-$X1187</f>
      </c>
      <c r="AD1187" s="7">
        <f>$L1187-$Y1187</f>
      </c>
      <c r="AE1187" s="7">
        <f>AA1187/39.3701</f>
      </c>
      <c r="AF1187" s="7">
        <f>AB1187/39.3701</f>
      </c>
      <c r="AG1187" s="7">
        <f>AC1187/39.3701</f>
      </c>
      <c r="AH1187" s="7">
        <f>AD1187/39.3701</f>
      </c>
      <c r="AI1187" s="1"/>
      <c r="AJ1187" s="1"/>
      <c r="AK1187" s="1"/>
      <c r="AL1187" s="1"/>
      <c r="AM1187" s="2"/>
      <c r="AN1187" s="1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  <c r="BA1187" s="1"/>
      <c r="BB1187" s="1"/>
      <c r="BC1187" s="1"/>
      <c r="BD1187" s="1"/>
      <c r="BE1187" s="1"/>
    </row>
    <row x14ac:dyDescent="0.25" r="1188" customHeight="1" ht="18.75">
      <c r="A1188" s="1"/>
      <c r="B1188" s="2"/>
      <c r="C1188" s="2"/>
      <c r="D1188" s="2"/>
      <c r="E1188" s="2"/>
      <c r="F1188" s="2"/>
      <c r="G1188" s="1"/>
      <c r="H1188" s="1"/>
      <c r="I1188" s="7">
        <v>1.185</v>
      </c>
      <c r="J1188" s="7">
        <f>IF((I1188-ROUNDDOWN(I1188,0))=0, 0, (I1188-ROUNDDOWN(I1188,0)))</f>
      </c>
      <c r="K1188" s="7">
        <f>INDIRECT("C$"&amp;2+MIN(2,ROUNDDOWN(I1188,0))*3)*(-$J1188^3+3*$J1188^2-3*$J1188+1)+INDIRECT("C$"&amp;3+MIN(2,ROUNDDOWN(I1188,0))*3)*(3*$J1188^3-6*$J1188^2+3*$J1188)+INDIRECT("C$"&amp;4+MIN(2,ROUNDDOWN(I1188,0))*3)*(-3*$J1188^3+3*$J1188^2)+INDIRECT("C$"&amp;5+MIN(2,ROUNDDOWN(I1188,0))*3)*$J1188^3</f>
      </c>
      <c r="L1188" s="7">
        <f>INDIRECT("D$"&amp;2+MIN(2,ROUNDDOWN(I1188,0))*3)*(-$J1188^3+3*$J1188^2-3*$J1188+1)+INDIRECT("D$"&amp;3+MIN(2,ROUNDDOWN(I1188,0))*3)*(3*$J1188^3-6*$J1188^2+3*$J1188)+INDIRECT("D$"&amp;4+MIN(2,ROUNDDOWN(I1188,0))*3)*(-3*$J1188^3+3*$J1188^2)+INDIRECT("D$"&amp;5+MIN(2,ROUNDDOWN(I1188,0))*3)*$J1188^3</f>
      </c>
      <c r="M1188" s="7">
        <f>SQRT(K1188^2+L1188^2)</f>
      </c>
      <c r="N1188" s="7">
        <f>(K1189-K1187)</f>
      </c>
      <c r="O1188" s="7">
        <f>+(L1189-L1187)</f>
      </c>
      <c r="P1188" s="7">
        <f>SQRT(O1188^2+N1188^2)</f>
      </c>
      <c r="Q1188" s="7">
        <f>N1188/$P1188</f>
      </c>
      <c r="R1188" s="7">
        <f>O1188/$P1188</f>
      </c>
      <c r="S1188" s="8">
        <f>Q1188^2+R1188^2</f>
      </c>
      <c r="T1188" s="7">
        <f>-R1188</f>
      </c>
      <c r="U1188" s="7">
        <f>Q1188</f>
      </c>
      <c r="V1188" s="7">
        <f>($C$14+($C$15-$C$14)/($D$15-$D$14)*(I1188-$D$14))/2</f>
      </c>
      <c r="W1188" s="7">
        <f>($B$22*I1188^4+$C$22*I1188^3+$D$22*I1188^2+$E$22*I1188+$F$22)/2</f>
      </c>
      <c r="X1188" s="7">
        <f>($W1188)*(T1188)</f>
      </c>
      <c r="Y1188" s="7">
        <f>($W1188)*(U1188)</f>
      </c>
      <c r="Z1188" s="7">
        <f>SQRT(X1188^2+Y1188^2)</f>
      </c>
      <c r="AA1188" s="7">
        <f>$K1188+$X1188</f>
      </c>
      <c r="AB1188" s="7">
        <f>$L1188+$Y1188</f>
      </c>
      <c r="AC1188" s="7">
        <f>$K1188-$X1188</f>
      </c>
      <c r="AD1188" s="7">
        <f>$L1188-$Y1188</f>
      </c>
      <c r="AE1188" s="7">
        <f>AA1188/39.3701</f>
      </c>
      <c r="AF1188" s="7">
        <f>AB1188/39.3701</f>
      </c>
      <c r="AG1188" s="7">
        <f>AC1188/39.3701</f>
      </c>
      <c r="AH1188" s="7">
        <f>AD1188/39.3701</f>
      </c>
      <c r="AI1188" s="1"/>
      <c r="AJ1188" s="1"/>
      <c r="AK1188" s="1"/>
      <c r="AL1188" s="1"/>
      <c r="AM1188" s="2"/>
      <c r="AN1188" s="1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  <c r="BA1188" s="1"/>
      <c r="BB1188" s="1"/>
      <c r="BC1188" s="1"/>
      <c r="BD1188" s="1"/>
      <c r="BE1188" s="1"/>
    </row>
    <row x14ac:dyDescent="0.25" r="1189" customHeight="1" ht="18.75">
      <c r="A1189" s="1"/>
      <c r="B1189" s="2"/>
      <c r="C1189" s="2"/>
      <c r="D1189" s="2"/>
      <c r="E1189" s="2"/>
      <c r="F1189" s="2"/>
      <c r="G1189" s="1"/>
      <c r="H1189" s="1"/>
      <c r="I1189" s="7">
        <v>1.186</v>
      </c>
      <c r="J1189" s="7">
        <f>IF((I1189-ROUNDDOWN(I1189,0))=0, 0, (I1189-ROUNDDOWN(I1189,0)))</f>
      </c>
      <c r="K1189" s="7">
        <f>INDIRECT("C$"&amp;2+MIN(2,ROUNDDOWN(I1189,0))*3)*(-$J1189^3+3*$J1189^2-3*$J1189+1)+INDIRECT("C$"&amp;3+MIN(2,ROUNDDOWN(I1189,0))*3)*(3*$J1189^3-6*$J1189^2+3*$J1189)+INDIRECT("C$"&amp;4+MIN(2,ROUNDDOWN(I1189,0))*3)*(-3*$J1189^3+3*$J1189^2)+INDIRECT("C$"&amp;5+MIN(2,ROUNDDOWN(I1189,0))*3)*$J1189^3</f>
      </c>
      <c r="L1189" s="7">
        <f>INDIRECT("D$"&amp;2+MIN(2,ROUNDDOWN(I1189,0))*3)*(-$J1189^3+3*$J1189^2-3*$J1189+1)+INDIRECT("D$"&amp;3+MIN(2,ROUNDDOWN(I1189,0))*3)*(3*$J1189^3-6*$J1189^2+3*$J1189)+INDIRECT("D$"&amp;4+MIN(2,ROUNDDOWN(I1189,0))*3)*(-3*$J1189^3+3*$J1189^2)+INDIRECT("D$"&amp;5+MIN(2,ROUNDDOWN(I1189,0))*3)*$J1189^3</f>
      </c>
      <c r="M1189" s="7">
        <f>SQRT(K1189^2+L1189^2)</f>
      </c>
      <c r="N1189" s="7">
        <f>(K1190-K1188)</f>
      </c>
      <c r="O1189" s="7">
        <f>+(L1190-L1188)</f>
      </c>
      <c r="P1189" s="7">
        <f>SQRT(O1189^2+N1189^2)</f>
      </c>
      <c r="Q1189" s="7">
        <f>N1189/$P1189</f>
      </c>
      <c r="R1189" s="7">
        <f>O1189/$P1189</f>
      </c>
      <c r="S1189" s="8">
        <f>Q1189^2+R1189^2</f>
      </c>
      <c r="T1189" s="7">
        <f>-R1189</f>
      </c>
      <c r="U1189" s="7">
        <f>Q1189</f>
      </c>
      <c r="V1189" s="7">
        <f>($C$14+($C$15-$C$14)/($D$15-$D$14)*(I1189-$D$14))/2</f>
      </c>
      <c r="W1189" s="7">
        <f>($B$22*I1189^4+$C$22*I1189^3+$D$22*I1189^2+$E$22*I1189+$F$22)/2</f>
      </c>
      <c r="X1189" s="7">
        <f>($W1189)*(T1189)</f>
      </c>
      <c r="Y1189" s="7">
        <f>($W1189)*(U1189)</f>
      </c>
      <c r="Z1189" s="7">
        <f>SQRT(X1189^2+Y1189^2)</f>
      </c>
      <c r="AA1189" s="7">
        <f>$K1189+$X1189</f>
      </c>
      <c r="AB1189" s="7">
        <f>$L1189+$Y1189</f>
      </c>
      <c r="AC1189" s="7">
        <f>$K1189-$X1189</f>
      </c>
      <c r="AD1189" s="7">
        <f>$L1189-$Y1189</f>
      </c>
      <c r="AE1189" s="7">
        <f>AA1189/39.3701</f>
      </c>
      <c r="AF1189" s="7">
        <f>AB1189/39.3701</f>
      </c>
      <c r="AG1189" s="7">
        <f>AC1189/39.3701</f>
      </c>
      <c r="AH1189" s="7">
        <f>AD1189/39.3701</f>
      </c>
      <c r="AI1189" s="1"/>
      <c r="AJ1189" s="1"/>
      <c r="AK1189" s="1"/>
      <c r="AL1189" s="1"/>
      <c r="AM1189" s="2"/>
      <c r="AN1189" s="1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  <c r="BA1189" s="1"/>
      <c r="BB1189" s="1"/>
      <c r="BC1189" s="1"/>
      <c r="BD1189" s="1"/>
      <c r="BE1189" s="1"/>
    </row>
    <row x14ac:dyDescent="0.25" r="1190" customHeight="1" ht="18.75">
      <c r="A1190" s="1"/>
      <c r="B1190" s="2"/>
      <c r="C1190" s="2"/>
      <c r="D1190" s="2"/>
      <c r="E1190" s="2"/>
      <c r="F1190" s="2"/>
      <c r="G1190" s="1"/>
      <c r="H1190" s="1"/>
      <c r="I1190" s="7">
        <v>1.187</v>
      </c>
      <c r="J1190" s="7">
        <f>IF((I1190-ROUNDDOWN(I1190,0))=0, 0, (I1190-ROUNDDOWN(I1190,0)))</f>
      </c>
      <c r="K1190" s="7">
        <f>INDIRECT("C$"&amp;2+MIN(2,ROUNDDOWN(I1190,0))*3)*(-$J1190^3+3*$J1190^2-3*$J1190+1)+INDIRECT("C$"&amp;3+MIN(2,ROUNDDOWN(I1190,0))*3)*(3*$J1190^3-6*$J1190^2+3*$J1190)+INDIRECT("C$"&amp;4+MIN(2,ROUNDDOWN(I1190,0))*3)*(-3*$J1190^3+3*$J1190^2)+INDIRECT("C$"&amp;5+MIN(2,ROUNDDOWN(I1190,0))*3)*$J1190^3</f>
      </c>
      <c r="L1190" s="7">
        <f>INDIRECT("D$"&amp;2+MIN(2,ROUNDDOWN(I1190,0))*3)*(-$J1190^3+3*$J1190^2-3*$J1190+1)+INDIRECT("D$"&amp;3+MIN(2,ROUNDDOWN(I1190,0))*3)*(3*$J1190^3-6*$J1190^2+3*$J1190)+INDIRECT("D$"&amp;4+MIN(2,ROUNDDOWN(I1190,0))*3)*(-3*$J1190^3+3*$J1190^2)+INDIRECT("D$"&amp;5+MIN(2,ROUNDDOWN(I1190,0))*3)*$J1190^3</f>
      </c>
      <c r="M1190" s="7">
        <f>SQRT(K1190^2+L1190^2)</f>
      </c>
      <c r="N1190" s="7">
        <f>(K1191-K1189)</f>
      </c>
      <c r="O1190" s="7">
        <f>+(L1191-L1189)</f>
      </c>
      <c r="P1190" s="7">
        <f>SQRT(O1190^2+N1190^2)</f>
      </c>
      <c r="Q1190" s="7">
        <f>N1190/$P1190</f>
      </c>
      <c r="R1190" s="7">
        <f>O1190/$P1190</f>
      </c>
      <c r="S1190" s="8">
        <f>Q1190^2+R1190^2</f>
      </c>
      <c r="T1190" s="7">
        <f>-R1190</f>
      </c>
      <c r="U1190" s="7">
        <f>Q1190</f>
      </c>
      <c r="V1190" s="7">
        <f>($C$14+($C$15-$C$14)/($D$15-$D$14)*(I1190-$D$14))/2</f>
      </c>
      <c r="W1190" s="7">
        <f>($B$22*I1190^4+$C$22*I1190^3+$D$22*I1190^2+$E$22*I1190+$F$22)/2</f>
      </c>
      <c r="X1190" s="7">
        <f>($W1190)*(T1190)</f>
      </c>
      <c r="Y1190" s="7">
        <f>($W1190)*(U1190)</f>
      </c>
      <c r="Z1190" s="7">
        <f>SQRT(X1190^2+Y1190^2)</f>
      </c>
      <c r="AA1190" s="7">
        <f>$K1190+$X1190</f>
      </c>
      <c r="AB1190" s="7">
        <f>$L1190+$Y1190</f>
      </c>
      <c r="AC1190" s="7">
        <f>$K1190-$X1190</f>
      </c>
      <c r="AD1190" s="7">
        <f>$L1190-$Y1190</f>
      </c>
      <c r="AE1190" s="7">
        <f>AA1190/39.3701</f>
      </c>
      <c r="AF1190" s="7">
        <f>AB1190/39.3701</f>
      </c>
      <c r="AG1190" s="7">
        <f>AC1190/39.3701</f>
      </c>
      <c r="AH1190" s="7">
        <f>AD1190/39.3701</f>
      </c>
      <c r="AI1190" s="1"/>
      <c r="AJ1190" s="1"/>
      <c r="AK1190" s="1"/>
      <c r="AL1190" s="1"/>
      <c r="AM1190" s="2"/>
      <c r="AN1190" s="1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  <c r="BA1190" s="1"/>
      <c r="BB1190" s="1"/>
      <c r="BC1190" s="1"/>
      <c r="BD1190" s="1"/>
      <c r="BE1190" s="1"/>
    </row>
    <row x14ac:dyDescent="0.25" r="1191" customHeight="1" ht="18.75">
      <c r="A1191" s="1"/>
      <c r="B1191" s="2"/>
      <c r="C1191" s="2"/>
      <c r="D1191" s="2"/>
      <c r="E1191" s="2"/>
      <c r="F1191" s="2"/>
      <c r="G1191" s="1"/>
      <c r="H1191" s="1"/>
      <c r="I1191" s="7">
        <v>1.188</v>
      </c>
      <c r="J1191" s="7">
        <f>IF((I1191-ROUNDDOWN(I1191,0))=0, 0, (I1191-ROUNDDOWN(I1191,0)))</f>
      </c>
      <c r="K1191" s="7">
        <f>INDIRECT("C$"&amp;2+MIN(2,ROUNDDOWN(I1191,0))*3)*(-$J1191^3+3*$J1191^2-3*$J1191+1)+INDIRECT("C$"&amp;3+MIN(2,ROUNDDOWN(I1191,0))*3)*(3*$J1191^3-6*$J1191^2+3*$J1191)+INDIRECT("C$"&amp;4+MIN(2,ROUNDDOWN(I1191,0))*3)*(-3*$J1191^3+3*$J1191^2)+INDIRECT("C$"&amp;5+MIN(2,ROUNDDOWN(I1191,0))*3)*$J1191^3</f>
      </c>
      <c r="L1191" s="7">
        <f>INDIRECT("D$"&amp;2+MIN(2,ROUNDDOWN(I1191,0))*3)*(-$J1191^3+3*$J1191^2-3*$J1191+1)+INDIRECT("D$"&amp;3+MIN(2,ROUNDDOWN(I1191,0))*3)*(3*$J1191^3-6*$J1191^2+3*$J1191)+INDIRECT("D$"&amp;4+MIN(2,ROUNDDOWN(I1191,0))*3)*(-3*$J1191^3+3*$J1191^2)+INDIRECT("D$"&amp;5+MIN(2,ROUNDDOWN(I1191,0))*3)*$J1191^3</f>
      </c>
      <c r="M1191" s="7">
        <f>SQRT(K1191^2+L1191^2)</f>
      </c>
      <c r="N1191" s="7">
        <f>(K1192-K1190)</f>
      </c>
      <c r="O1191" s="7">
        <f>+(L1192-L1190)</f>
      </c>
      <c r="P1191" s="7">
        <f>SQRT(O1191^2+N1191^2)</f>
      </c>
      <c r="Q1191" s="7">
        <f>N1191/$P1191</f>
      </c>
      <c r="R1191" s="7">
        <f>O1191/$P1191</f>
      </c>
      <c r="S1191" s="8">
        <f>Q1191^2+R1191^2</f>
      </c>
      <c r="T1191" s="7">
        <f>-R1191</f>
      </c>
      <c r="U1191" s="7">
        <f>Q1191</f>
      </c>
      <c r="V1191" s="7">
        <f>($C$14+($C$15-$C$14)/($D$15-$D$14)*(I1191-$D$14))/2</f>
      </c>
      <c r="W1191" s="7">
        <f>($B$22*I1191^4+$C$22*I1191^3+$D$22*I1191^2+$E$22*I1191+$F$22)/2</f>
      </c>
      <c r="X1191" s="7">
        <f>($W1191)*(T1191)</f>
      </c>
      <c r="Y1191" s="7">
        <f>($W1191)*(U1191)</f>
      </c>
      <c r="Z1191" s="7">
        <f>SQRT(X1191^2+Y1191^2)</f>
      </c>
      <c r="AA1191" s="7">
        <f>$K1191+$X1191</f>
      </c>
      <c r="AB1191" s="7">
        <f>$L1191+$Y1191</f>
      </c>
      <c r="AC1191" s="7">
        <f>$K1191-$X1191</f>
      </c>
      <c r="AD1191" s="7">
        <f>$L1191-$Y1191</f>
      </c>
      <c r="AE1191" s="7">
        <f>AA1191/39.3701</f>
      </c>
      <c r="AF1191" s="7">
        <f>AB1191/39.3701</f>
      </c>
      <c r="AG1191" s="7">
        <f>AC1191/39.3701</f>
      </c>
      <c r="AH1191" s="7">
        <f>AD1191/39.3701</f>
      </c>
      <c r="AI1191" s="1"/>
      <c r="AJ1191" s="1"/>
      <c r="AK1191" s="1"/>
      <c r="AL1191" s="1"/>
      <c r="AM1191" s="2"/>
      <c r="AN1191" s="1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  <c r="BA1191" s="1"/>
      <c r="BB1191" s="1"/>
      <c r="BC1191" s="1"/>
      <c r="BD1191" s="1"/>
      <c r="BE1191" s="1"/>
    </row>
    <row x14ac:dyDescent="0.25" r="1192" customHeight="1" ht="18.75">
      <c r="A1192" s="1"/>
      <c r="B1192" s="2"/>
      <c r="C1192" s="2"/>
      <c r="D1192" s="2"/>
      <c r="E1192" s="2"/>
      <c r="F1192" s="2"/>
      <c r="G1192" s="1"/>
      <c r="H1192" s="1"/>
      <c r="I1192" s="7">
        <v>1.189</v>
      </c>
      <c r="J1192" s="7">
        <f>IF((I1192-ROUNDDOWN(I1192,0))=0, 0, (I1192-ROUNDDOWN(I1192,0)))</f>
      </c>
      <c r="K1192" s="7">
        <f>INDIRECT("C$"&amp;2+MIN(2,ROUNDDOWN(I1192,0))*3)*(-$J1192^3+3*$J1192^2-3*$J1192+1)+INDIRECT("C$"&amp;3+MIN(2,ROUNDDOWN(I1192,0))*3)*(3*$J1192^3-6*$J1192^2+3*$J1192)+INDIRECT("C$"&amp;4+MIN(2,ROUNDDOWN(I1192,0))*3)*(-3*$J1192^3+3*$J1192^2)+INDIRECT("C$"&amp;5+MIN(2,ROUNDDOWN(I1192,0))*3)*$J1192^3</f>
      </c>
      <c r="L1192" s="7">
        <f>INDIRECT("D$"&amp;2+MIN(2,ROUNDDOWN(I1192,0))*3)*(-$J1192^3+3*$J1192^2-3*$J1192+1)+INDIRECT("D$"&amp;3+MIN(2,ROUNDDOWN(I1192,0))*3)*(3*$J1192^3-6*$J1192^2+3*$J1192)+INDIRECT("D$"&amp;4+MIN(2,ROUNDDOWN(I1192,0))*3)*(-3*$J1192^3+3*$J1192^2)+INDIRECT("D$"&amp;5+MIN(2,ROUNDDOWN(I1192,0))*3)*$J1192^3</f>
      </c>
      <c r="M1192" s="7">
        <f>SQRT(K1192^2+L1192^2)</f>
      </c>
      <c r="N1192" s="7">
        <f>(K1193-K1191)</f>
      </c>
      <c r="O1192" s="7">
        <f>+(L1193-L1191)</f>
      </c>
      <c r="P1192" s="7">
        <f>SQRT(O1192^2+N1192^2)</f>
      </c>
      <c r="Q1192" s="7">
        <f>N1192/$P1192</f>
      </c>
      <c r="R1192" s="7">
        <f>O1192/$P1192</f>
      </c>
      <c r="S1192" s="7">
        <f>Q1192^2+R1192^2</f>
      </c>
      <c r="T1192" s="7">
        <f>-R1192</f>
      </c>
      <c r="U1192" s="7">
        <f>Q1192</f>
      </c>
      <c r="V1192" s="7">
        <f>($C$14+($C$15-$C$14)/($D$15-$D$14)*(I1192-$D$14))/2</f>
      </c>
      <c r="W1192" s="7">
        <f>($B$22*I1192^4+$C$22*I1192^3+$D$22*I1192^2+$E$22*I1192+$F$22)/2</f>
      </c>
      <c r="X1192" s="7">
        <f>($W1192)*(T1192)</f>
      </c>
      <c r="Y1192" s="7">
        <f>($W1192)*(U1192)</f>
      </c>
      <c r="Z1192" s="7">
        <f>SQRT(X1192^2+Y1192^2)</f>
      </c>
      <c r="AA1192" s="7">
        <f>$K1192+$X1192</f>
      </c>
      <c r="AB1192" s="7">
        <f>$L1192+$Y1192</f>
      </c>
      <c r="AC1192" s="7">
        <f>$K1192-$X1192</f>
      </c>
      <c r="AD1192" s="7">
        <f>$L1192-$Y1192</f>
      </c>
      <c r="AE1192" s="7">
        <f>AA1192/39.3701</f>
      </c>
      <c r="AF1192" s="7">
        <f>AB1192/39.3701</f>
      </c>
      <c r="AG1192" s="7">
        <f>AC1192/39.3701</f>
      </c>
      <c r="AH1192" s="7">
        <f>AD1192/39.3701</f>
      </c>
      <c r="AI1192" s="1"/>
      <c r="AJ1192" s="1"/>
      <c r="AK1192" s="1"/>
      <c r="AL1192" s="1"/>
      <c r="AM1192" s="2"/>
      <c r="AN1192" s="1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  <c r="BA1192" s="1"/>
      <c r="BB1192" s="1"/>
      <c r="BC1192" s="1"/>
      <c r="BD1192" s="1"/>
      <c r="BE1192" s="1"/>
    </row>
    <row x14ac:dyDescent="0.25" r="1193" customHeight="1" ht="18.75">
      <c r="A1193" s="1"/>
      <c r="B1193" s="2"/>
      <c r="C1193" s="2"/>
      <c r="D1193" s="2"/>
      <c r="E1193" s="2"/>
      <c r="F1193" s="2"/>
      <c r="G1193" s="1"/>
      <c r="H1193" s="1"/>
      <c r="I1193" s="7">
        <v>1.19</v>
      </c>
      <c r="J1193" s="7">
        <f>IF((I1193-ROUNDDOWN(I1193,0))=0, 0, (I1193-ROUNDDOWN(I1193,0)))</f>
      </c>
      <c r="K1193" s="7">
        <f>INDIRECT("C$"&amp;2+MIN(2,ROUNDDOWN(I1193,0))*3)*(-$J1193^3+3*$J1193^2-3*$J1193+1)+INDIRECT("C$"&amp;3+MIN(2,ROUNDDOWN(I1193,0))*3)*(3*$J1193^3-6*$J1193^2+3*$J1193)+INDIRECT("C$"&amp;4+MIN(2,ROUNDDOWN(I1193,0))*3)*(-3*$J1193^3+3*$J1193^2)+INDIRECT("C$"&amp;5+MIN(2,ROUNDDOWN(I1193,0))*3)*$J1193^3</f>
      </c>
      <c r="L1193" s="7">
        <f>INDIRECT("D$"&amp;2+MIN(2,ROUNDDOWN(I1193,0))*3)*(-$J1193^3+3*$J1193^2-3*$J1193+1)+INDIRECT("D$"&amp;3+MIN(2,ROUNDDOWN(I1193,0))*3)*(3*$J1193^3-6*$J1193^2+3*$J1193)+INDIRECT("D$"&amp;4+MIN(2,ROUNDDOWN(I1193,0))*3)*(-3*$J1193^3+3*$J1193^2)+INDIRECT("D$"&amp;5+MIN(2,ROUNDDOWN(I1193,0))*3)*$J1193^3</f>
      </c>
      <c r="M1193" s="7">
        <f>SQRT(K1193^2+L1193^2)</f>
      </c>
      <c r="N1193" s="7">
        <f>(K1194-K1192)</f>
      </c>
      <c r="O1193" s="7">
        <f>+(L1194-L1192)</f>
      </c>
      <c r="P1193" s="7">
        <f>SQRT(O1193^2+N1193^2)</f>
      </c>
      <c r="Q1193" s="7">
        <f>N1193/$P1193</f>
      </c>
      <c r="R1193" s="7">
        <f>O1193/$P1193</f>
      </c>
      <c r="S1193" s="7">
        <f>Q1193^2+R1193^2</f>
      </c>
      <c r="T1193" s="7">
        <f>-R1193</f>
      </c>
      <c r="U1193" s="7">
        <f>Q1193</f>
      </c>
      <c r="V1193" s="7">
        <f>($C$14+($C$15-$C$14)/($D$15-$D$14)*(I1193-$D$14))/2</f>
      </c>
      <c r="W1193" s="7">
        <f>($B$22*I1193^4+$C$22*I1193^3+$D$22*I1193^2+$E$22*I1193+$F$22)/2</f>
      </c>
      <c r="X1193" s="7">
        <f>($W1193)*(T1193)</f>
      </c>
      <c r="Y1193" s="7">
        <f>($W1193)*(U1193)</f>
      </c>
      <c r="Z1193" s="7">
        <f>SQRT(X1193^2+Y1193^2)</f>
      </c>
      <c r="AA1193" s="7">
        <f>$K1193+$X1193</f>
      </c>
      <c r="AB1193" s="7">
        <f>$L1193+$Y1193</f>
      </c>
      <c r="AC1193" s="7">
        <f>$K1193-$X1193</f>
      </c>
      <c r="AD1193" s="7">
        <f>$L1193-$Y1193</f>
      </c>
      <c r="AE1193" s="7">
        <f>AA1193/39.3701</f>
      </c>
      <c r="AF1193" s="7">
        <f>AB1193/39.3701</f>
      </c>
      <c r="AG1193" s="7">
        <f>AC1193/39.3701</f>
      </c>
      <c r="AH1193" s="7">
        <f>AD1193/39.3701</f>
      </c>
      <c r="AI1193" s="1"/>
      <c r="AJ1193" s="1"/>
      <c r="AK1193" s="1"/>
      <c r="AL1193" s="1"/>
      <c r="AM1193" s="2"/>
      <c r="AN1193" s="1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  <c r="BA1193" s="1"/>
      <c r="BB1193" s="1"/>
      <c r="BC1193" s="1"/>
      <c r="BD1193" s="1"/>
      <c r="BE1193" s="1"/>
    </row>
    <row x14ac:dyDescent="0.25" r="1194" customHeight="1" ht="18.75">
      <c r="A1194" s="1"/>
      <c r="B1194" s="2"/>
      <c r="C1194" s="2"/>
      <c r="D1194" s="2"/>
      <c r="E1194" s="2"/>
      <c r="F1194" s="2"/>
      <c r="G1194" s="1"/>
      <c r="H1194" s="1"/>
      <c r="I1194" s="7">
        <v>1.191</v>
      </c>
      <c r="J1194" s="7">
        <f>IF((I1194-ROUNDDOWN(I1194,0))=0, 0, (I1194-ROUNDDOWN(I1194,0)))</f>
      </c>
      <c r="K1194" s="7">
        <f>INDIRECT("C$"&amp;2+MIN(2,ROUNDDOWN(I1194,0))*3)*(-$J1194^3+3*$J1194^2-3*$J1194+1)+INDIRECT("C$"&amp;3+MIN(2,ROUNDDOWN(I1194,0))*3)*(3*$J1194^3-6*$J1194^2+3*$J1194)+INDIRECT("C$"&amp;4+MIN(2,ROUNDDOWN(I1194,0))*3)*(-3*$J1194^3+3*$J1194^2)+INDIRECT("C$"&amp;5+MIN(2,ROUNDDOWN(I1194,0))*3)*$J1194^3</f>
      </c>
      <c r="L1194" s="7">
        <f>INDIRECT("D$"&amp;2+MIN(2,ROUNDDOWN(I1194,0))*3)*(-$J1194^3+3*$J1194^2-3*$J1194+1)+INDIRECT("D$"&amp;3+MIN(2,ROUNDDOWN(I1194,0))*3)*(3*$J1194^3-6*$J1194^2+3*$J1194)+INDIRECT("D$"&amp;4+MIN(2,ROUNDDOWN(I1194,0))*3)*(-3*$J1194^3+3*$J1194^2)+INDIRECT("D$"&amp;5+MIN(2,ROUNDDOWN(I1194,0))*3)*$J1194^3</f>
      </c>
      <c r="M1194" s="7">
        <f>SQRT(K1194^2+L1194^2)</f>
      </c>
      <c r="N1194" s="7">
        <f>(K1195-K1193)</f>
      </c>
      <c r="O1194" s="7">
        <f>+(L1195-L1193)</f>
      </c>
      <c r="P1194" s="7">
        <f>SQRT(O1194^2+N1194^2)</f>
      </c>
      <c r="Q1194" s="7">
        <f>N1194/$P1194</f>
      </c>
      <c r="R1194" s="7">
        <f>O1194/$P1194</f>
      </c>
      <c r="S1194" s="8">
        <f>Q1194^2+R1194^2</f>
      </c>
      <c r="T1194" s="7">
        <f>-R1194</f>
      </c>
      <c r="U1194" s="7">
        <f>Q1194</f>
      </c>
      <c r="V1194" s="7">
        <f>($C$14+($C$15-$C$14)/($D$15-$D$14)*(I1194-$D$14))/2</f>
      </c>
      <c r="W1194" s="7">
        <f>($B$22*I1194^4+$C$22*I1194^3+$D$22*I1194^2+$E$22*I1194+$F$22)/2</f>
      </c>
      <c r="X1194" s="7">
        <f>($W1194)*(T1194)</f>
      </c>
      <c r="Y1194" s="7">
        <f>($W1194)*(U1194)</f>
      </c>
      <c r="Z1194" s="7">
        <f>SQRT(X1194^2+Y1194^2)</f>
      </c>
      <c r="AA1194" s="7">
        <f>$K1194+$X1194</f>
      </c>
      <c r="AB1194" s="7">
        <f>$L1194+$Y1194</f>
      </c>
      <c r="AC1194" s="7">
        <f>$K1194-$X1194</f>
      </c>
      <c r="AD1194" s="7">
        <f>$L1194-$Y1194</f>
      </c>
      <c r="AE1194" s="7">
        <f>AA1194/39.3701</f>
      </c>
      <c r="AF1194" s="7">
        <f>AB1194/39.3701</f>
      </c>
      <c r="AG1194" s="7">
        <f>AC1194/39.3701</f>
      </c>
      <c r="AH1194" s="7">
        <f>AD1194/39.3701</f>
      </c>
      <c r="AI1194" s="1"/>
      <c r="AJ1194" s="1"/>
      <c r="AK1194" s="1"/>
      <c r="AL1194" s="1"/>
      <c r="AM1194" s="2"/>
      <c r="AN1194" s="1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  <c r="BA1194" s="1"/>
      <c r="BB1194" s="1"/>
      <c r="BC1194" s="1"/>
      <c r="BD1194" s="1"/>
      <c r="BE1194" s="1"/>
    </row>
    <row x14ac:dyDescent="0.25" r="1195" customHeight="1" ht="18.75">
      <c r="A1195" s="1"/>
      <c r="B1195" s="2"/>
      <c r="C1195" s="2"/>
      <c r="D1195" s="2"/>
      <c r="E1195" s="2"/>
      <c r="F1195" s="2"/>
      <c r="G1195" s="1"/>
      <c r="H1195" s="1"/>
      <c r="I1195" s="7">
        <v>1.192</v>
      </c>
      <c r="J1195" s="7">
        <f>IF((I1195-ROUNDDOWN(I1195,0))=0, 0, (I1195-ROUNDDOWN(I1195,0)))</f>
      </c>
      <c r="K1195" s="7">
        <f>INDIRECT("C$"&amp;2+MIN(2,ROUNDDOWN(I1195,0))*3)*(-$J1195^3+3*$J1195^2-3*$J1195+1)+INDIRECT("C$"&amp;3+MIN(2,ROUNDDOWN(I1195,0))*3)*(3*$J1195^3-6*$J1195^2+3*$J1195)+INDIRECT("C$"&amp;4+MIN(2,ROUNDDOWN(I1195,0))*3)*(-3*$J1195^3+3*$J1195^2)+INDIRECT("C$"&amp;5+MIN(2,ROUNDDOWN(I1195,0))*3)*$J1195^3</f>
      </c>
      <c r="L1195" s="7">
        <f>INDIRECT("D$"&amp;2+MIN(2,ROUNDDOWN(I1195,0))*3)*(-$J1195^3+3*$J1195^2-3*$J1195+1)+INDIRECT("D$"&amp;3+MIN(2,ROUNDDOWN(I1195,0))*3)*(3*$J1195^3-6*$J1195^2+3*$J1195)+INDIRECT("D$"&amp;4+MIN(2,ROUNDDOWN(I1195,0))*3)*(-3*$J1195^3+3*$J1195^2)+INDIRECT("D$"&amp;5+MIN(2,ROUNDDOWN(I1195,0))*3)*$J1195^3</f>
      </c>
      <c r="M1195" s="7">
        <f>SQRT(K1195^2+L1195^2)</f>
      </c>
      <c r="N1195" s="7">
        <f>(K1196-K1194)</f>
      </c>
      <c r="O1195" s="7">
        <f>+(L1196-L1194)</f>
      </c>
      <c r="P1195" s="7">
        <f>SQRT(O1195^2+N1195^2)</f>
      </c>
      <c r="Q1195" s="7">
        <f>N1195/$P1195</f>
      </c>
      <c r="R1195" s="7">
        <f>O1195/$P1195</f>
      </c>
      <c r="S1195" s="8">
        <f>Q1195^2+R1195^2</f>
      </c>
      <c r="T1195" s="7">
        <f>-R1195</f>
      </c>
      <c r="U1195" s="7">
        <f>Q1195</f>
      </c>
      <c r="V1195" s="7">
        <f>($C$14+($C$15-$C$14)/($D$15-$D$14)*(I1195-$D$14))/2</f>
      </c>
      <c r="W1195" s="7">
        <f>($B$22*I1195^4+$C$22*I1195^3+$D$22*I1195^2+$E$22*I1195+$F$22)/2</f>
      </c>
      <c r="X1195" s="7">
        <f>($W1195)*(T1195)</f>
      </c>
      <c r="Y1195" s="7">
        <f>($W1195)*(U1195)</f>
      </c>
      <c r="Z1195" s="7">
        <f>SQRT(X1195^2+Y1195^2)</f>
      </c>
      <c r="AA1195" s="7">
        <f>$K1195+$X1195</f>
      </c>
      <c r="AB1195" s="7">
        <f>$L1195+$Y1195</f>
      </c>
      <c r="AC1195" s="7">
        <f>$K1195-$X1195</f>
      </c>
      <c r="AD1195" s="7">
        <f>$L1195-$Y1195</f>
      </c>
      <c r="AE1195" s="7">
        <f>AA1195/39.3701</f>
      </c>
      <c r="AF1195" s="7">
        <f>AB1195/39.3701</f>
      </c>
      <c r="AG1195" s="7">
        <f>AC1195/39.3701</f>
      </c>
      <c r="AH1195" s="7">
        <f>AD1195/39.3701</f>
      </c>
      <c r="AI1195" s="1"/>
      <c r="AJ1195" s="1"/>
      <c r="AK1195" s="1"/>
      <c r="AL1195" s="1"/>
      <c r="AM1195" s="2"/>
      <c r="AN1195" s="1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  <c r="BA1195" s="1"/>
      <c r="BB1195" s="1"/>
      <c r="BC1195" s="1"/>
      <c r="BD1195" s="1"/>
      <c r="BE1195" s="1"/>
    </row>
    <row x14ac:dyDescent="0.25" r="1196" customHeight="1" ht="18.75">
      <c r="A1196" s="1"/>
      <c r="B1196" s="2"/>
      <c r="C1196" s="2"/>
      <c r="D1196" s="2"/>
      <c r="E1196" s="2"/>
      <c r="F1196" s="2"/>
      <c r="G1196" s="1"/>
      <c r="H1196" s="1"/>
      <c r="I1196" s="7">
        <v>1.193</v>
      </c>
      <c r="J1196" s="7">
        <f>IF((I1196-ROUNDDOWN(I1196,0))=0, 0, (I1196-ROUNDDOWN(I1196,0)))</f>
      </c>
      <c r="K1196" s="7">
        <f>INDIRECT("C$"&amp;2+MIN(2,ROUNDDOWN(I1196,0))*3)*(-$J1196^3+3*$J1196^2-3*$J1196+1)+INDIRECT("C$"&amp;3+MIN(2,ROUNDDOWN(I1196,0))*3)*(3*$J1196^3-6*$J1196^2+3*$J1196)+INDIRECT("C$"&amp;4+MIN(2,ROUNDDOWN(I1196,0))*3)*(-3*$J1196^3+3*$J1196^2)+INDIRECT("C$"&amp;5+MIN(2,ROUNDDOWN(I1196,0))*3)*$J1196^3</f>
      </c>
      <c r="L1196" s="7">
        <f>INDIRECT("D$"&amp;2+MIN(2,ROUNDDOWN(I1196,0))*3)*(-$J1196^3+3*$J1196^2-3*$J1196+1)+INDIRECT("D$"&amp;3+MIN(2,ROUNDDOWN(I1196,0))*3)*(3*$J1196^3-6*$J1196^2+3*$J1196)+INDIRECT("D$"&amp;4+MIN(2,ROUNDDOWN(I1196,0))*3)*(-3*$J1196^3+3*$J1196^2)+INDIRECT("D$"&amp;5+MIN(2,ROUNDDOWN(I1196,0))*3)*$J1196^3</f>
      </c>
      <c r="M1196" s="7">
        <f>SQRT(K1196^2+L1196^2)</f>
      </c>
      <c r="N1196" s="7">
        <f>(K1197-K1195)</f>
      </c>
      <c r="O1196" s="7">
        <f>+(L1197-L1195)</f>
      </c>
      <c r="P1196" s="7">
        <f>SQRT(O1196^2+N1196^2)</f>
      </c>
      <c r="Q1196" s="7">
        <f>N1196/$P1196</f>
      </c>
      <c r="R1196" s="7">
        <f>O1196/$P1196</f>
      </c>
      <c r="S1196" s="7">
        <f>Q1196^2+R1196^2</f>
      </c>
      <c r="T1196" s="7">
        <f>-R1196</f>
      </c>
      <c r="U1196" s="7">
        <f>Q1196</f>
      </c>
      <c r="V1196" s="7">
        <f>($C$14+($C$15-$C$14)/($D$15-$D$14)*(I1196-$D$14))/2</f>
      </c>
      <c r="W1196" s="7">
        <f>($B$22*I1196^4+$C$22*I1196^3+$D$22*I1196^2+$E$22*I1196+$F$22)/2</f>
      </c>
      <c r="X1196" s="7">
        <f>($W1196)*(T1196)</f>
      </c>
      <c r="Y1196" s="7">
        <f>($W1196)*(U1196)</f>
      </c>
      <c r="Z1196" s="7">
        <f>SQRT(X1196^2+Y1196^2)</f>
      </c>
      <c r="AA1196" s="7">
        <f>$K1196+$X1196</f>
      </c>
      <c r="AB1196" s="7">
        <f>$L1196+$Y1196</f>
      </c>
      <c r="AC1196" s="7">
        <f>$K1196-$X1196</f>
      </c>
      <c r="AD1196" s="7">
        <f>$L1196-$Y1196</f>
      </c>
      <c r="AE1196" s="7">
        <f>AA1196/39.3701</f>
      </c>
      <c r="AF1196" s="7">
        <f>AB1196/39.3701</f>
      </c>
      <c r="AG1196" s="7">
        <f>AC1196/39.3701</f>
      </c>
      <c r="AH1196" s="7">
        <f>AD1196/39.3701</f>
      </c>
      <c r="AI1196" s="1"/>
      <c r="AJ1196" s="1"/>
      <c r="AK1196" s="1"/>
      <c r="AL1196" s="1"/>
      <c r="AM1196" s="2"/>
      <c r="AN1196" s="1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  <c r="BA1196" s="1"/>
      <c r="BB1196" s="1"/>
      <c r="BC1196" s="1"/>
      <c r="BD1196" s="1"/>
      <c r="BE1196" s="1"/>
    </row>
    <row x14ac:dyDescent="0.25" r="1197" customHeight="1" ht="18.75">
      <c r="A1197" s="1"/>
      <c r="B1197" s="2"/>
      <c r="C1197" s="2"/>
      <c r="D1197" s="2"/>
      <c r="E1197" s="2"/>
      <c r="F1197" s="2"/>
      <c r="G1197" s="1"/>
      <c r="H1197" s="1"/>
      <c r="I1197" s="7">
        <v>1.194</v>
      </c>
      <c r="J1197" s="7">
        <f>IF((I1197-ROUNDDOWN(I1197,0))=0, 0, (I1197-ROUNDDOWN(I1197,0)))</f>
      </c>
      <c r="K1197" s="7">
        <f>INDIRECT("C$"&amp;2+MIN(2,ROUNDDOWN(I1197,0))*3)*(-$J1197^3+3*$J1197^2-3*$J1197+1)+INDIRECT("C$"&amp;3+MIN(2,ROUNDDOWN(I1197,0))*3)*(3*$J1197^3-6*$J1197^2+3*$J1197)+INDIRECT("C$"&amp;4+MIN(2,ROUNDDOWN(I1197,0))*3)*(-3*$J1197^3+3*$J1197^2)+INDIRECT("C$"&amp;5+MIN(2,ROUNDDOWN(I1197,0))*3)*$J1197^3</f>
      </c>
      <c r="L1197" s="7">
        <f>INDIRECT("D$"&amp;2+MIN(2,ROUNDDOWN(I1197,0))*3)*(-$J1197^3+3*$J1197^2-3*$J1197+1)+INDIRECT("D$"&amp;3+MIN(2,ROUNDDOWN(I1197,0))*3)*(3*$J1197^3-6*$J1197^2+3*$J1197)+INDIRECT("D$"&amp;4+MIN(2,ROUNDDOWN(I1197,0))*3)*(-3*$J1197^3+3*$J1197^2)+INDIRECT("D$"&amp;5+MIN(2,ROUNDDOWN(I1197,0))*3)*$J1197^3</f>
      </c>
      <c r="M1197" s="7">
        <f>SQRT(K1197^2+L1197^2)</f>
      </c>
      <c r="N1197" s="7">
        <f>(K1198-K1196)</f>
      </c>
      <c r="O1197" s="7">
        <f>+(L1198-L1196)</f>
      </c>
      <c r="P1197" s="7">
        <f>SQRT(O1197^2+N1197^2)</f>
      </c>
      <c r="Q1197" s="7">
        <f>N1197/$P1197</f>
      </c>
      <c r="R1197" s="7">
        <f>O1197/$P1197</f>
      </c>
      <c r="S1197" s="8">
        <f>Q1197^2+R1197^2</f>
      </c>
      <c r="T1197" s="7">
        <f>-R1197</f>
      </c>
      <c r="U1197" s="7">
        <f>Q1197</f>
      </c>
      <c r="V1197" s="7">
        <f>($C$14+($C$15-$C$14)/($D$15-$D$14)*(I1197-$D$14))/2</f>
      </c>
      <c r="W1197" s="7">
        <f>($B$22*I1197^4+$C$22*I1197^3+$D$22*I1197^2+$E$22*I1197+$F$22)/2</f>
      </c>
      <c r="X1197" s="7">
        <f>($W1197)*(T1197)</f>
      </c>
      <c r="Y1197" s="7">
        <f>($W1197)*(U1197)</f>
      </c>
      <c r="Z1197" s="7">
        <f>SQRT(X1197^2+Y1197^2)</f>
      </c>
      <c r="AA1197" s="7">
        <f>$K1197+$X1197</f>
      </c>
      <c r="AB1197" s="7">
        <f>$L1197+$Y1197</f>
      </c>
      <c r="AC1197" s="7">
        <f>$K1197-$X1197</f>
      </c>
      <c r="AD1197" s="7">
        <f>$L1197-$Y1197</f>
      </c>
      <c r="AE1197" s="7">
        <f>AA1197/39.3701</f>
      </c>
      <c r="AF1197" s="7">
        <f>AB1197/39.3701</f>
      </c>
      <c r="AG1197" s="7">
        <f>AC1197/39.3701</f>
      </c>
      <c r="AH1197" s="7">
        <f>AD1197/39.3701</f>
      </c>
      <c r="AI1197" s="1"/>
      <c r="AJ1197" s="1"/>
      <c r="AK1197" s="1"/>
      <c r="AL1197" s="1"/>
      <c r="AM1197" s="2"/>
      <c r="AN1197" s="1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  <c r="BA1197" s="1"/>
      <c r="BB1197" s="1"/>
      <c r="BC1197" s="1"/>
      <c r="BD1197" s="1"/>
      <c r="BE1197" s="1"/>
    </row>
    <row x14ac:dyDescent="0.25" r="1198" customHeight="1" ht="18.75">
      <c r="A1198" s="1"/>
      <c r="B1198" s="2"/>
      <c r="C1198" s="2"/>
      <c r="D1198" s="2"/>
      <c r="E1198" s="2"/>
      <c r="F1198" s="2"/>
      <c r="G1198" s="1"/>
      <c r="H1198" s="1"/>
      <c r="I1198" s="7">
        <v>1.195</v>
      </c>
      <c r="J1198" s="7">
        <f>IF((I1198-ROUNDDOWN(I1198,0))=0, 0, (I1198-ROUNDDOWN(I1198,0)))</f>
      </c>
      <c r="K1198" s="7">
        <f>INDIRECT("C$"&amp;2+MIN(2,ROUNDDOWN(I1198,0))*3)*(-$J1198^3+3*$J1198^2-3*$J1198+1)+INDIRECT("C$"&amp;3+MIN(2,ROUNDDOWN(I1198,0))*3)*(3*$J1198^3-6*$J1198^2+3*$J1198)+INDIRECT("C$"&amp;4+MIN(2,ROUNDDOWN(I1198,0))*3)*(-3*$J1198^3+3*$J1198^2)+INDIRECT("C$"&amp;5+MIN(2,ROUNDDOWN(I1198,0))*3)*$J1198^3</f>
      </c>
      <c r="L1198" s="7">
        <f>INDIRECT("D$"&amp;2+MIN(2,ROUNDDOWN(I1198,0))*3)*(-$J1198^3+3*$J1198^2-3*$J1198+1)+INDIRECT("D$"&amp;3+MIN(2,ROUNDDOWN(I1198,0))*3)*(3*$J1198^3-6*$J1198^2+3*$J1198)+INDIRECT("D$"&amp;4+MIN(2,ROUNDDOWN(I1198,0))*3)*(-3*$J1198^3+3*$J1198^2)+INDIRECT("D$"&amp;5+MIN(2,ROUNDDOWN(I1198,0))*3)*$J1198^3</f>
      </c>
      <c r="M1198" s="7">
        <f>SQRT(K1198^2+L1198^2)</f>
      </c>
      <c r="N1198" s="7">
        <f>(K1199-K1197)</f>
      </c>
      <c r="O1198" s="7">
        <f>+(L1199-L1197)</f>
      </c>
      <c r="P1198" s="7">
        <f>SQRT(O1198^2+N1198^2)</f>
      </c>
      <c r="Q1198" s="7">
        <f>N1198/$P1198</f>
      </c>
      <c r="R1198" s="7">
        <f>O1198/$P1198</f>
      </c>
      <c r="S1198" s="7">
        <f>Q1198^2+R1198^2</f>
      </c>
      <c r="T1198" s="7">
        <f>-R1198</f>
      </c>
      <c r="U1198" s="7">
        <f>Q1198</f>
      </c>
      <c r="V1198" s="7">
        <f>($C$14+($C$15-$C$14)/($D$15-$D$14)*(I1198-$D$14))/2</f>
      </c>
      <c r="W1198" s="7">
        <f>($B$22*I1198^4+$C$22*I1198^3+$D$22*I1198^2+$E$22*I1198+$F$22)/2</f>
      </c>
      <c r="X1198" s="7">
        <f>($W1198)*(T1198)</f>
      </c>
      <c r="Y1198" s="7">
        <f>($W1198)*(U1198)</f>
      </c>
      <c r="Z1198" s="7">
        <f>SQRT(X1198^2+Y1198^2)</f>
      </c>
      <c r="AA1198" s="7">
        <f>$K1198+$X1198</f>
      </c>
      <c r="AB1198" s="7">
        <f>$L1198+$Y1198</f>
      </c>
      <c r="AC1198" s="7">
        <f>$K1198-$X1198</f>
      </c>
      <c r="AD1198" s="7">
        <f>$L1198-$Y1198</f>
      </c>
      <c r="AE1198" s="7">
        <f>AA1198/39.3701</f>
      </c>
      <c r="AF1198" s="7">
        <f>AB1198/39.3701</f>
      </c>
      <c r="AG1198" s="7">
        <f>AC1198/39.3701</f>
      </c>
      <c r="AH1198" s="7">
        <f>AD1198/39.3701</f>
      </c>
      <c r="AI1198" s="1"/>
      <c r="AJ1198" s="1"/>
      <c r="AK1198" s="1"/>
      <c r="AL1198" s="1"/>
      <c r="AM1198" s="2"/>
      <c r="AN1198" s="1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  <c r="BA1198" s="1"/>
      <c r="BB1198" s="1"/>
      <c r="BC1198" s="1"/>
      <c r="BD1198" s="1"/>
      <c r="BE1198" s="1"/>
    </row>
    <row x14ac:dyDescent="0.25" r="1199" customHeight="1" ht="18.75">
      <c r="A1199" s="1"/>
      <c r="B1199" s="2"/>
      <c r="C1199" s="2"/>
      <c r="D1199" s="2"/>
      <c r="E1199" s="2"/>
      <c r="F1199" s="2"/>
      <c r="G1199" s="1"/>
      <c r="H1199" s="1"/>
      <c r="I1199" s="7">
        <v>1.196</v>
      </c>
      <c r="J1199" s="7">
        <f>IF((I1199-ROUNDDOWN(I1199,0))=0, 0, (I1199-ROUNDDOWN(I1199,0)))</f>
      </c>
      <c r="K1199" s="7">
        <f>INDIRECT("C$"&amp;2+MIN(2,ROUNDDOWN(I1199,0))*3)*(-$J1199^3+3*$J1199^2-3*$J1199+1)+INDIRECT("C$"&amp;3+MIN(2,ROUNDDOWN(I1199,0))*3)*(3*$J1199^3-6*$J1199^2+3*$J1199)+INDIRECT("C$"&amp;4+MIN(2,ROUNDDOWN(I1199,0))*3)*(-3*$J1199^3+3*$J1199^2)+INDIRECT("C$"&amp;5+MIN(2,ROUNDDOWN(I1199,0))*3)*$J1199^3</f>
      </c>
      <c r="L1199" s="7">
        <f>INDIRECT("D$"&amp;2+MIN(2,ROUNDDOWN(I1199,0))*3)*(-$J1199^3+3*$J1199^2-3*$J1199+1)+INDIRECT("D$"&amp;3+MIN(2,ROUNDDOWN(I1199,0))*3)*(3*$J1199^3-6*$J1199^2+3*$J1199)+INDIRECT("D$"&amp;4+MIN(2,ROUNDDOWN(I1199,0))*3)*(-3*$J1199^3+3*$J1199^2)+INDIRECT("D$"&amp;5+MIN(2,ROUNDDOWN(I1199,0))*3)*$J1199^3</f>
      </c>
      <c r="M1199" s="7">
        <f>SQRT(K1199^2+L1199^2)</f>
      </c>
      <c r="N1199" s="7">
        <f>(K1200-K1198)</f>
      </c>
      <c r="O1199" s="7">
        <f>+(L1200-L1198)</f>
      </c>
      <c r="P1199" s="7">
        <f>SQRT(O1199^2+N1199^2)</f>
      </c>
      <c r="Q1199" s="7">
        <f>N1199/$P1199</f>
      </c>
      <c r="R1199" s="7">
        <f>O1199/$P1199</f>
      </c>
      <c r="S1199" s="8">
        <f>Q1199^2+R1199^2</f>
      </c>
      <c r="T1199" s="7">
        <f>-R1199</f>
      </c>
      <c r="U1199" s="7">
        <f>Q1199</f>
      </c>
      <c r="V1199" s="7">
        <f>($C$14+($C$15-$C$14)/($D$15-$D$14)*(I1199-$D$14))/2</f>
      </c>
      <c r="W1199" s="7">
        <f>($B$22*I1199^4+$C$22*I1199^3+$D$22*I1199^2+$E$22*I1199+$F$22)/2</f>
      </c>
      <c r="X1199" s="7">
        <f>($W1199)*(T1199)</f>
      </c>
      <c r="Y1199" s="7">
        <f>($W1199)*(U1199)</f>
      </c>
      <c r="Z1199" s="7">
        <f>SQRT(X1199^2+Y1199^2)</f>
      </c>
      <c r="AA1199" s="7">
        <f>$K1199+$X1199</f>
      </c>
      <c r="AB1199" s="7">
        <f>$L1199+$Y1199</f>
      </c>
      <c r="AC1199" s="7">
        <f>$K1199-$X1199</f>
      </c>
      <c r="AD1199" s="7">
        <f>$L1199-$Y1199</f>
      </c>
      <c r="AE1199" s="7">
        <f>AA1199/39.3701</f>
      </c>
      <c r="AF1199" s="7">
        <f>AB1199/39.3701</f>
      </c>
      <c r="AG1199" s="7">
        <f>AC1199/39.3701</f>
      </c>
      <c r="AH1199" s="7">
        <f>AD1199/39.3701</f>
      </c>
      <c r="AI1199" s="1"/>
      <c r="AJ1199" s="1"/>
      <c r="AK1199" s="1"/>
      <c r="AL1199" s="1"/>
      <c r="AM1199" s="2"/>
      <c r="AN1199" s="1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  <c r="BA1199" s="1"/>
      <c r="BB1199" s="1"/>
      <c r="BC1199" s="1"/>
      <c r="BD1199" s="1"/>
      <c r="BE1199" s="1"/>
    </row>
    <row x14ac:dyDescent="0.25" r="1200" customHeight="1" ht="18.75">
      <c r="A1200" s="1"/>
      <c r="B1200" s="2"/>
      <c r="C1200" s="2"/>
      <c r="D1200" s="2"/>
      <c r="E1200" s="2"/>
      <c r="F1200" s="2"/>
      <c r="G1200" s="1"/>
      <c r="H1200" s="1"/>
      <c r="I1200" s="7">
        <v>1.197</v>
      </c>
      <c r="J1200" s="7">
        <f>IF((I1200-ROUNDDOWN(I1200,0))=0, 0, (I1200-ROUNDDOWN(I1200,0)))</f>
      </c>
      <c r="K1200" s="7">
        <f>INDIRECT("C$"&amp;2+MIN(2,ROUNDDOWN(I1200,0))*3)*(-$J1200^3+3*$J1200^2-3*$J1200+1)+INDIRECT("C$"&amp;3+MIN(2,ROUNDDOWN(I1200,0))*3)*(3*$J1200^3-6*$J1200^2+3*$J1200)+INDIRECT("C$"&amp;4+MIN(2,ROUNDDOWN(I1200,0))*3)*(-3*$J1200^3+3*$J1200^2)+INDIRECT("C$"&amp;5+MIN(2,ROUNDDOWN(I1200,0))*3)*$J1200^3</f>
      </c>
      <c r="L1200" s="7">
        <f>INDIRECT("D$"&amp;2+MIN(2,ROUNDDOWN(I1200,0))*3)*(-$J1200^3+3*$J1200^2-3*$J1200+1)+INDIRECT("D$"&amp;3+MIN(2,ROUNDDOWN(I1200,0))*3)*(3*$J1200^3-6*$J1200^2+3*$J1200)+INDIRECT("D$"&amp;4+MIN(2,ROUNDDOWN(I1200,0))*3)*(-3*$J1200^3+3*$J1200^2)+INDIRECT("D$"&amp;5+MIN(2,ROUNDDOWN(I1200,0))*3)*$J1200^3</f>
      </c>
      <c r="M1200" s="7">
        <f>SQRT(K1200^2+L1200^2)</f>
      </c>
      <c r="N1200" s="7">
        <f>(K1201-K1199)</f>
      </c>
      <c r="O1200" s="7">
        <f>+(L1201-L1199)</f>
      </c>
      <c r="P1200" s="7">
        <f>SQRT(O1200^2+N1200^2)</f>
      </c>
      <c r="Q1200" s="7">
        <f>N1200/$P1200</f>
      </c>
      <c r="R1200" s="7">
        <f>O1200/$P1200</f>
      </c>
      <c r="S1200" s="7">
        <f>Q1200^2+R1200^2</f>
      </c>
      <c r="T1200" s="7">
        <f>-R1200</f>
      </c>
      <c r="U1200" s="7">
        <f>Q1200</f>
      </c>
      <c r="V1200" s="7">
        <f>($C$14+($C$15-$C$14)/($D$15-$D$14)*(I1200-$D$14))/2</f>
      </c>
      <c r="W1200" s="7">
        <f>($B$22*I1200^4+$C$22*I1200^3+$D$22*I1200^2+$E$22*I1200+$F$22)/2</f>
      </c>
      <c r="X1200" s="7">
        <f>($W1200)*(T1200)</f>
      </c>
      <c r="Y1200" s="7">
        <f>($W1200)*(U1200)</f>
      </c>
      <c r="Z1200" s="7">
        <f>SQRT(X1200^2+Y1200^2)</f>
      </c>
      <c r="AA1200" s="7">
        <f>$K1200+$X1200</f>
      </c>
      <c r="AB1200" s="7">
        <f>$L1200+$Y1200</f>
      </c>
      <c r="AC1200" s="7">
        <f>$K1200-$X1200</f>
      </c>
      <c r="AD1200" s="7">
        <f>$L1200-$Y1200</f>
      </c>
      <c r="AE1200" s="7">
        <f>AA1200/39.3701</f>
      </c>
      <c r="AF1200" s="7">
        <f>AB1200/39.3701</f>
      </c>
      <c r="AG1200" s="7">
        <f>AC1200/39.3701</f>
      </c>
      <c r="AH1200" s="7">
        <f>AD1200/39.3701</f>
      </c>
      <c r="AI1200" s="1"/>
      <c r="AJ1200" s="1"/>
      <c r="AK1200" s="1"/>
      <c r="AL1200" s="1"/>
      <c r="AM1200" s="2"/>
      <c r="AN1200" s="1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  <c r="BA1200" s="1"/>
      <c r="BB1200" s="1"/>
      <c r="BC1200" s="1"/>
      <c r="BD1200" s="1"/>
      <c r="BE1200" s="1"/>
    </row>
    <row x14ac:dyDescent="0.25" r="1201" customHeight="1" ht="18.75">
      <c r="A1201" s="1"/>
      <c r="B1201" s="2"/>
      <c r="C1201" s="2"/>
      <c r="D1201" s="2"/>
      <c r="E1201" s="2"/>
      <c r="F1201" s="2"/>
      <c r="G1201" s="1"/>
      <c r="H1201" s="1"/>
      <c r="I1201" s="7">
        <v>1.198</v>
      </c>
      <c r="J1201" s="7">
        <f>IF((I1201-ROUNDDOWN(I1201,0))=0, 0, (I1201-ROUNDDOWN(I1201,0)))</f>
      </c>
      <c r="K1201" s="7">
        <f>INDIRECT("C$"&amp;2+MIN(2,ROUNDDOWN(I1201,0))*3)*(-$J1201^3+3*$J1201^2-3*$J1201+1)+INDIRECT("C$"&amp;3+MIN(2,ROUNDDOWN(I1201,0))*3)*(3*$J1201^3-6*$J1201^2+3*$J1201)+INDIRECT("C$"&amp;4+MIN(2,ROUNDDOWN(I1201,0))*3)*(-3*$J1201^3+3*$J1201^2)+INDIRECT("C$"&amp;5+MIN(2,ROUNDDOWN(I1201,0))*3)*$J1201^3</f>
      </c>
      <c r="L1201" s="7">
        <f>INDIRECT("D$"&amp;2+MIN(2,ROUNDDOWN(I1201,0))*3)*(-$J1201^3+3*$J1201^2-3*$J1201+1)+INDIRECT("D$"&amp;3+MIN(2,ROUNDDOWN(I1201,0))*3)*(3*$J1201^3-6*$J1201^2+3*$J1201)+INDIRECT("D$"&amp;4+MIN(2,ROUNDDOWN(I1201,0))*3)*(-3*$J1201^3+3*$J1201^2)+INDIRECT("D$"&amp;5+MIN(2,ROUNDDOWN(I1201,0))*3)*$J1201^3</f>
      </c>
      <c r="M1201" s="7">
        <f>SQRT(K1201^2+L1201^2)</f>
      </c>
      <c r="N1201" s="7">
        <f>(K1202-K1200)</f>
      </c>
      <c r="O1201" s="7">
        <f>+(L1202-L1200)</f>
      </c>
      <c r="P1201" s="7">
        <f>SQRT(O1201^2+N1201^2)</f>
      </c>
      <c r="Q1201" s="7">
        <f>N1201/$P1201</f>
      </c>
      <c r="R1201" s="7">
        <f>O1201/$P1201</f>
      </c>
      <c r="S1201" s="7">
        <f>Q1201^2+R1201^2</f>
      </c>
      <c r="T1201" s="7">
        <f>-R1201</f>
      </c>
      <c r="U1201" s="7">
        <f>Q1201</f>
      </c>
      <c r="V1201" s="7">
        <f>($C$14+($C$15-$C$14)/($D$15-$D$14)*(I1201-$D$14))/2</f>
      </c>
      <c r="W1201" s="7">
        <f>($B$22*I1201^4+$C$22*I1201^3+$D$22*I1201^2+$E$22*I1201+$F$22)/2</f>
      </c>
      <c r="X1201" s="7">
        <f>($W1201)*(T1201)</f>
      </c>
      <c r="Y1201" s="7">
        <f>($W1201)*(U1201)</f>
      </c>
      <c r="Z1201" s="7">
        <f>SQRT(X1201^2+Y1201^2)</f>
      </c>
      <c r="AA1201" s="7">
        <f>$K1201+$X1201</f>
      </c>
      <c r="AB1201" s="7">
        <f>$L1201+$Y1201</f>
      </c>
      <c r="AC1201" s="7">
        <f>$K1201-$X1201</f>
      </c>
      <c r="AD1201" s="7">
        <f>$L1201-$Y1201</f>
      </c>
      <c r="AE1201" s="7">
        <f>AA1201/39.3701</f>
      </c>
      <c r="AF1201" s="7">
        <f>AB1201/39.3701</f>
      </c>
      <c r="AG1201" s="7">
        <f>AC1201/39.3701</f>
      </c>
      <c r="AH1201" s="7">
        <f>AD1201/39.3701</f>
      </c>
      <c r="AI1201" s="1"/>
      <c r="AJ1201" s="1"/>
      <c r="AK1201" s="1"/>
      <c r="AL1201" s="1"/>
      <c r="AM1201" s="2"/>
      <c r="AN1201" s="1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  <c r="BA1201" s="1"/>
      <c r="BB1201" s="1"/>
      <c r="BC1201" s="1"/>
      <c r="BD1201" s="1"/>
      <c r="BE1201" s="1"/>
    </row>
    <row x14ac:dyDescent="0.25" r="1202" customHeight="1" ht="18.75">
      <c r="A1202" s="1"/>
      <c r="B1202" s="2"/>
      <c r="C1202" s="2"/>
      <c r="D1202" s="2"/>
      <c r="E1202" s="2"/>
      <c r="F1202" s="2"/>
      <c r="G1202" s="1"/>
      <c r="H1202" s="1"/>
      <c r="I1202" s="7">
        <v>1.199</v>
      </c>
      <c r="J1202" s="7">
        <f>IF((I1202-ROUNDDOWN(I1202,0))=0, 0, (I1202-ROUNDDOWN(I1202,0)))</f>
      </c>
      <c r="K1202" s="7">
        <f>INDIRECT("C$"&amp;2+MIN(2,ROUNDDOWN(I1202,0))*3)*(-$J1202^3+3*$J1202^2-3*$J1202+1)+INDIRECT("C$"&amp;3+MIN(2,ROUNDDOWN(I1202,0))*3)*(3*$J1202^3-6*$J1202^2+3*$J1202)+INDIRECT("C$"&amp;4+MIN(2,ROUNDDOWN(I1202,0))*3)*(-3*$J1202^3+3*$J1202^2)+INDIRECT("C$"&amp;5+MIN(2,ROUNDDOWN(I1202,0))*3)*$J1202^3</f>
      </c>
      <c r="L1202" s="7">
        <f>INDIRECT("D$"&amp;2+MIN(2,ROUNDDOWN(I1202,0))*3)*(-$J1202^3+3*$J1202^2-3*$J1202+1)+INDIRECT("D$"&amp;3+MIN(2,ROUNDDOWN(I1202,0))*3)*(3*$J1202^3-6*$J1202^2+3*$J1202)+INDIRECT("D$"&amp;4+MIN(2,ROUNDDOWN(I1202,0))*3)*(-3*$J1202^3+3*$J1202^2)+INDIRECT("D$"&amp;5+MIN(2,ROUNDDOWN(I1202,0))*3)*$J1202^3</f>
      </c>
      <c r="M1202" s="7">
        <f>SQRT(K1202^2+L1202^2)</f>
      </c>
      <c r="N1202" s="7">
        <f>(K1203-K1201)</f>
      </c>
      <c r="O1202" s="7">
        <f>+(L1203-L1201)</f>
      </c>
      <c r="P1202" s="7">
        <f>SQRT(O1202^2+N1202^2)</f>
      </c>
      <c r="Q1202" s="7">
        <f>N1202/$P1202</f>
      </c>
      <c r="R1202" s="7">
        <f>O1202/$P1202</f>
      </c>
      <c r="S1202" s="8">
        <f>Q1202^2+R1202^2</f>
      </c>
      <c r="T1202" s="7">
        <f>-R1202</f>
      </c>
      <c r="U1202" s="7">
        <f>Q1202</f>
      </c>
      <c r="V1202" s="7">
        <f>($C$14+($C$15-$C$14)/($D$15-$D$14)*(I1202-$D$14))/2</f>
      </c>
      <c r="W1202" s="7">
        <f>($B$22*I1202^4+$C$22*I1202^3+$D$22*I1202^2+$E$22*I1202+$F$22)/2</f>
      </c>
      <c r="X1202" s="7">
        <f>($W1202)*(T1202)</f>
      </c>
      <c r="Y1202" s="7">
        <f>($W1202)*(U1202)</f>
      </c>
      <c r="Z1202" s="7">
        <f>SQRT(X1202^2+Y1202^2)</f>
      </c>
      <c r="AA1202" s="7">
        <f>$K1202+$X1202</f>
      </c>
      <c r="AB1202" s="7">
        <f>$L1202+$Y1202</f>
      </c>
      <c r="AC1202" s="7">
        <f>$K1202-$X1202</f>
      </c>
      <c r="AD1202" s="7">
        <f>$L1202-$Y1202</f>
      </c>
      <c r="AE1202" s="7">
        <f>AA1202/39.3701</f>
      </c>
      <c r="AF1202" s="7">
        <f>AB1202/39.3701</f>
      </c>
      <c r="AG1202" s="7">
        <f>AC1202/39.3701</f>
      </c>
      <c r="AH1202" s="7">
        <f>AD1202/39.3701</f>
      </c>
      <c r="AI1202" s="1"/>
      <c r="AJ1202" s="1"/>
      <c r="AK1202" s="1"/>
      <c r="AL1202" s="1"/>
      <c r="AM1202" s="2"/>
      <c r="AN1202" s="1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  <c r="BA1202" s="1"/>
      <c r="BB1202" s="1"/>
      <c r="BC1202" s="1"/>
      <c r="BD1202" s="1"/>
      <c r="BE1202" s="1"/>
    </row>
    <row x14ac:dyDescent="0.25" r="1203" customHeight="1" ht="18.75">
      <c r="A1203" s="1"/>
      <c r="B1203" s="2"/>
      <c r="C1203" s="2"/>
      <c r="D1203" s="2"/>
      <c r="E1203" s="2"/>
      <c r="F1203" s="2"/>
      <c r="G1203" s="1"/>
      <c r="H1203" s="1"/>
      <c r="I1203" s="7">
        <v>1.2</v>
      </c>
      <c r="J1203" s="7">
        <f>IF((I1203-ROUNDDOWN(I1203,0))=0, 0, (I1203-ROUNDDOWN(I1203,0)))</f>
      </c>
      <c r="K1203" s="7">
        <f>INDIRECT("C$"&amp;2+MIN(2,ROUNDDOWN(I1203,0))*3)*(-$J1203^3+3*$J1203^2-3*$J1203+1)+INDIRECT("C$"&amp;3+MIN(2,ROUNDDOWN(I1203,0))*3)*(3*$J1203^3-6*$J1203^2+3*$J1203)+INDIRECT("C$"&amp;4+MIN(2,ROUNDDOWN(I1203,0))*3)*(-3*$J1203^3+3*$J1203^2)+INDIRECT("C$"&amp;5+MIN(2,ROUNDDOWN(I1203,0))*3)*$J1203^3</f>
      </c>
      <c r="L1203" s="7">
        <f>INDIRECT("D$"&amp;2+MIN(2,ROUNDDOWN(I1203,0))*3)*(-$J1203^3+3*$J1203^2-3*$J1203+1)+INDIRECT("D$"&amp;3+MIN(2,ROUNDDOWN(I1203,0))*3)*(3*$J1203^3-6*$J1203^2+3*$J1203)+INDIRECT("D$"&amp;4+MIN(2,ROUNDDOWN(I1203,0))*3)*(-3*$J1203^3+3*$J1203^2)+INDIRECT("D$"&amp;5+MIN(2,ROUNDDOWN(I1203,0))*3)*$J1203^3</f>
      </c>
      <c r="M1203" s="7">
        <f>SQRT(K1203^2+L1203^2)</f>
      </c>
      <c r="N1203" s="7">
        <f>(K1204-K1202)</f>
      </c>
      <c r="O1203" s="7">
        <f>+(L1204-L1202)</f>
      </c>
      <c r="P1203" s="7">
        <f>SQRT(O1203^2+N1203^2)</f>
      </c>
      <c r="Q1203" s="7">
        <f>N1203/$P1203</f>
      </c>
      <c r="R1203" s="7">
        <f>O1203/$P1203</f>
      </c>
      <c r="S1203" s="8">
        <f>Q1203^2+R1203^2</f>
      </c>
      <c r="T1203" s="7">
        <f>-R1203</f>
      </c>
      <c r="U1203" s="7">
        <f>Q1203</f>
      </c>
      <c r="V1203" s="7">
        <f>($C$14+($C$15-$C$14)/($D$15-$D$14)*(I1203-$D$14))/2</f>
      </c>
      <c r="W1203" s="7">
        <f>($B$22*I1203^4+$C$22*I1203^3+$D$22*I1203^2+$E$22*I1203+$F$22)/2</f>
      </c>
      <c r="X1203" s="7">
        <f>($W1203)*(T1203)</f>
      </c>
      <c r="Y1203" s="7">
        <f>($W1203)*(U1203)</f>
      </c>
      <c r="Z1203" s="7">
        <f>SQRT(X1203^2+Y1203^2)</f>
      </c>
      <c r="AA1203" s="7">
        <f>$K1203+$X1203</f>
      </c>
      <c r="AB1203" s="7">
        <f>$L1203+$Y1203</f>
      </c>
      <c r="AC1203" s="7">
        <f>$K1203-$X1203</f>
      </c>
      <c r="AD1203" s="7">
        <f>$L1203-$Y1203</f>
      </c>
      <c r="AE1203" s="7">
        <f>AA1203/39.3701</f>
      </c>
      <c r="AF1203" s="7">
        <f>AB1203/39.3701</f>
      </c>
      <c r="AG1203" s="7">
        <f>AC1203/39.3701</f>
      </c>
      <c r="AH1203" s="7">
        <f>AD1203/39.3701</f>
      </c>
      <c r="AI1203" s="1"/>
      <c r="AJ1203" s="1"/>
      <c r="AK1203" s="1"/>
      <c r="AL1203" s="1"/>
      <c r="AM1203" s="2"/>
      <c r="AN1203" s="1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  <c r="BA1203" s="1"/>
      <c r="BB1203" s="1"/>
      <c r="BC1203" s="1"/>
      <c r="BD1203" s="1"/>
      <c r="BE1203" s="1"/>
    </row>
    <row x14ac:dyDescent="0.25" r="1204" customHeight="1" ht="18.75">
      <c r="A1204" s="1"/>
      <c r="B1204" s="2"/>
      <c r="C1204" s="2"/>
      <c r="D1204" s="2"/>
      <c r="E1204" s="2"/>
      <c r="F1204" s="2"/>
      <c r="G1204" s="1"/>
      <c r="H1204" s="1"/>
      <c r="I1204" s="7">
        <v>1.201</v>
      </c>
      <c r="J1204" s="7">
        <f>IF((I1204-ROUNDDOWN(I1204,0))=0, 0, (I1204-ROUNDDOWN(I1204,0)))</f>
      </c>
      <c r="K1204" s="7">
        <f>INDIRECT("C$"&amp;2+MIN(2,ROUNDDOWN(I1204,0))*3)*(-$J1204^3+3*$J1204^2-3*$J1204+1)+INDIRECT("C$"&amp;3+MIN(2,ROUNDDOWN(I1204,0))*3)*(3*$J1204^3-6*$J1204^2+3*$J1204)+INDIRECT("C$"&amp;4+MIN(2,ROUNDDOWN(I1204,0))*3)*(-3*$J1204^3+3*$J1204^2)+INDIRECT("C$"&amp;5+MIN(2,ROUNDDOWN(I1204,0))*3)*$J1204^3</f>
      </c>
      <c r="L1204" s="7">
        <f>INDIRECT("D$"&amp;2+MIN(2,ROUNDDOWN(I1204,0))*3)*(-$J1204^3+3*$J1204^2-3*$J1204+1)+INDIRECT("D$"&amp;3+MIN(2,ROUNDDOWN(I1204,0))*3)*(3*$J1204^3-6*$J1204^2+3*$J1204)+INDIRECT("D$"&amp;4+MIN(2,ROUNDDOWN(I1204,0))*3)*(-3*$J1204^3+3*$J1204^2)+INDIRECT("D$"&amp;5+MIN(2,ROUNDDOWN(I1204,0))*3)*$J1204^3</f>
      </c>
      <c r="M1204" s="7">
        <f>SQRT(K1204^2+L1204^2)</f>
      </c>
      <c r="N1204" s="7">
        <f>(K1205-K1203)</f>
      </c>
      <c r="O1204" s="7">
        <f>+(L1205-L1203)</f>
      </c>
      <c r="P1204" s="7">
        <f>SQRT(O1204^2+N1204^2)</f>
      </c>
      <c r="Q1204" s="7">
        <f>N1204/$P1204</f>
      </c>
      <c r="R1204" s="7">
        <f>O1204/$P1204</f>
      </c>
      <c r="S1204" s="7">
        <f>Q1204^2+R1204^2</f>
      </c>
      <c r="T1204" s="7">
        <f>-R1204</f>
      </c>
      <c r="U1204" s="7">
        <f>Q1204</f>
      </c>
      <c r="V1204" s="7">
        <f>($C$14+($C$15-$C$14)/($D$15-$D$14)*(I1204-$D$14))/2</f>
      </c>
      <c r="W1204" s="7">
        <f>($B$22*I1204^4+$C$22*I1204^3+$D$22*I1204^2+$E$22*I1204+$F$22)/2</f>
      </c>
      <c r="X1204" s="7">
        <f>($W1204)*(T1204)</f>
      </c>
      <c r="Y1204" s="7">
        <f>($W1204)*(U1204)</f>
      </c>
      <c r="Z1204" s="7">
        <f>SQRT(X1204^2+Y1204^2)</f>
      </c>
      <c r="AA1204" s="7">
        <f>$K1204+$X1204</f>
      </c>
      <c r="AB1204" s="7">
        <f>$L1204+$Y1204</f>
      </c>
      <c r="AC1204" s="7">
        <f>$K1204-$X1204</f>
      </c>
      <c r="AD1204" s="7">
        <f>$L1204-$Y1204</f>
      </c>
      <c r="AE1204" s="7">
        <f>AA1204/39.3701</f>
      </c>
      <c r="AF1204" s="7">
        <f>AB1204/39.3701</f>
      </c>
      <c r="AG1204" s="7">
        <f>AC1204/39.3701</f>
      </c>
      <c r="AH1204" s="7">
        <f>AD1204/39.3701</f>
      </c>
      <c r="AI1204" s="1"/>
      <c r="AJ1204" s="1"/>
      <c r="AK1204" s="1"/>
      <c r="AL1204" s="1"/>
      <c r="AM1204" s="2"/>
      <c r="AN1204" s="1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  <c r="BA1204" s="1"/>
      <c r="BB1204" s="1"/>
      <c r="BC1204" s="1"/>
      <c r="BD1204" s="1"/>
      <c r="BE1204" s="1"/>
    </row>
    <row x14ac:dyDescent="0.25" r="1205" customHeight="1" ht="18.75">
      <c r="A1205" s="1"/>
      <c r="B1205" s="2"/>
      <c r="C1205" s="2"/>
      <c r="D1205" s="2"/>
      <c r="E1205" s="2"/>
      <c r="F1205" s="2"/>
      <c r="G1205" s="1"/>
      <c r="H1205" s="1"/>
      <c r="I1205" s="7">
        <v>1.202</v>
      </c>
      <c r="J1205" s="7">
        <f>IF((I1205-ROUNDDOWN(I1205,0))=0, 0, (I1205-ROUNDDOWN(I1205,0)))</f>
      </c>
      <c r="K1205" s="7">
        <f>INDIRECT("C$"&amp;2+MIN(2,ROUNDDOWN(I1205,0))*3)*(-$J1205^3+3*$J1205^2-3*$J1205+1)+INDIRECT("C$"&amp;3+MIN(2,ROUNDDOWN(I1205,0))*3)*(3*$J1205^3-6*$J1205^2+3*$J1205)+INDIRECT("C$"&amp;4+MIN(2,ROUNDDOWN(I1205,0))*3)*(-3*$J1205^3+3*$J1205^2)+INDIRECT("C$"&amp;5+MIN(2,ROUNDDOWN(I1205,0))*3)*$J1205^3</f>
      </c>
      <c r="L1205" s="7">
        <f>INDIRECT("D$"&amp;2+MIN(2,ROUNDDOWN(I1205,0))*3)*(-$J1205^3+3*$J1205^2-3*$J1205+1)+INDIRECT("D$"&amp;3+MIN(2,ROUNDDOWN(I1205,0))*3)*(3*$J1205^3-6*$J1205^2+3*$J1205)+INDIRECT("D$"&amp;4+MIN(2,ROUNDDOWN(I1205,0))*3)*(-3*$J1205^3+3*$J1205^2)+INDIRECT("D$"&amp;5+MIN(2,ROUNDDOWN(I1205,0))*3)*$J1205^3</f>
      </c>
      <c r="M1205" s="7">
        <f>SQRT(K1205^2+L1205^2)</f>
      </c>
      <c r="N1205" s="7">
        <f>(K1206-K1204)</f>
      </c>
      <c r="O1205" s="7">
        <f>+(L1206-L1204)</f>
      </c>
      <c r="P1205" s="7">
        <f>SQRT(O1205^2+N1205^2)</f>
      </c>
      <c r="Q1205" s="7">
        <f>N1205/$P1205</f>
      </c>
      <c r="R1205" s="7">
        <f>O1205/$P1205</f>
      </c>
      <c r="S1205" s="7">
        <f>Q1205^2+R1205^2</f>
      </c>
      <c r="T1205" s="7">
        <f>-R1205</f>
      </c>
      <c r="U1205" s="7">
        <f>Q1205</f>
      </c>
      <c r="V1205" s="7">
        <f>($C$14+($C$15-$C$14)/($D$15-$D$14)*(I1205-$D$14))/2</f>
      </c>
      <c r="W1205" s="7">
        <f>($B$22*I1205^4+$C$22*I1205^3+$D$22*I1205^2+$E$22*I1205+$F$22)/2</f>
      </c>
      <c r="X1205" s="7">
        <f>($W1205)*(T1205)</f>
      </c>
      <c r="Y1205" s="7">
        <f>($W1205)*(U1205)</f>
      </c>
      <c r="Z1205" s="7">
        <f>SQRT(X1205^2+Y1205^2)</f>
      </c>
      <c r="AA1205" s="7">
        <f>$K1205+$X1205</f>
      </c>
      <c r="AB1205" s="7">
        <f>$L1205+$Y1205</f>
      </c>
      <c r="AC1205" s="7">
        <f>$K1205-$X1205</f>
      </c>
      <c r="AD1205" s="7">
        <f>$L1205-$Y1205</f>
      </c>
      <c r="AE1205" s="7">
        <f>AA1205/39.3701</f>
      </c>
      <c r="AF1205" s="7">
        <f>AB1205/39.3701</f>
      </c>
      <c r="AG1205" s="7">
        <f>AC1205/39.3701</f>
      </c>
      <c r="AH1205" s="7">
        <f>AD1205/39.3701</f>
      </c>
      <c r="AI1205" s="1"/>
      <c r="AJ1205" s="1"/>
      <c r="AK1205" s="1"/>
      <c r="AL1205" s="1"/>
      <c r="AM1205" s="2"/>
      <c r="AN1205" s="1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  <c r="BA1205" s="1"/>
      <c r="BB1205" s="1"/>
      <c r="BC1205" s="1"/>
      <c r="BD1205" s="1"/>
      <c r="BE1205" s="1"/>
    </row>
    <row x14ac:dyDescent="0.25" r="1206" customHeight="1" ht="18.75">
      <c r="A1206" s="1"/>
      <c r="B1206" s="2"/>
      <c r="C1206" s="2"/>
      <c r="D1206" s="2"/>
      <c r="E1206" s="2"/>
      <c r="F1206" s="2"/>
      <c r="G1206" s="1"/>
      <c r="H1206" s="1"/>
      <c r="I1206" s="7">
        <v>1.203</v>
      </c>
      <c r="J1206" s="7">
        <f>IF((I1206-ROUNDDOWN(I1206,0))=0, 0, (I1206-ROUNDDOWN(I1206,0)))</f>
      </c>
      <c r="K1206" s="7">
        <f>INDIRECT("C$"&amp;2+MIN(2,ROUNDDOWN(I1206,0))*3)*(-$J1206^3+3*$J1206^2-3*$J1206+1)+INDIRECT("C$"&amp;3+MIN(2,ROUNDDOWN(I1206,0))*3)*(3*$J1206^3-6*$J1206^2+3*$J1206)+INDIRECT("C$"&amp;4+MIN(2,ROUNDDOWN(I1206,0))*3)*(-3*$J1206^3+3*$J1206^2)+INDIRECT("C$"&amp;5+MIN(2,ROUNDDOWN(I1206,0))*3)*$J1206^3</f>
      </c>
      <c r="L1206" s="7">
        <f>INDIRECT("D$"&amp;2+MIN(2,ROUNDDOWN(I1206,0))*3)*(-$J1206^3+3*$J1206^2-3*$J1206+1)+INDIRECT("D$"&amp;3+MIN(2,ROUNDDOWN(I1206,0))*3)*(3*$J1206^3-6*$J1206^2+3*$J1206)+INDIRECT("D$"&amp;4+MIN(2,ROUNDDOWN(I1206,0))*3)*(-3*$J1206^3+3*$J1206^2)+INDIRECT("D$"&amp;5+MIN(2,ROUNDDOWN(I1206,0))*3)*$J1206^3</f>
      </c>
      <c r="M1206" s="7">
        <f>SQRT(K1206^2+L1206^2)</f>
      </c>
      <c r="N1206" s="7">
        <f>(K1207-K1205)</f>
      </c>
      <c r="O1206" s="7">
        <f>+(L1207-L1205)</f>
      </c>
      <c r="P1206" s="7">
        <f>SQRT(O1206^2+N1206^2)</f>
      </c>
      <c r="Q1206" s="7">
        <f>N1206/$P1206</f>
      </c>
      <c r="R1206" s="7">
        <f>O1206/$P1206</f>
      </c>
      <c r="S1206" s="7">
        <f>Q1206^2+R1206^2</f>
      </c>
      <c r="T1206" s="7">
        <f>-R1206</f>
      </c>
      <c r="U1206" s="7">
        <f>Q1206</f>
      </c>
      <c r="V1206" s="7">
        <f>($C$14+($C$15-$C$14)/($D$15-$D$14)*(I1206-$D$14))/2</f>
      </c>
      <c r="W1206" s="7">
        <f>($B$22*I1206^4+$C$22*I1206^3+$D$22*I1206^2+$E$22*I1206+$F$22)/2</f>
      </c>
      <c r="X1206" s="7">
        <f>($W1206)*(T1206)</f>
      </c>
      <c r="Y1206" s="7">
        <f>($W1206)*(U1206)</f>
      </c>
      <c r="Z1206" s="7">
        <f>SQRT(X1206^2+Y1206^2)</f>
      </c>
      <c r="AA1206" s="7">
        <f>$K1206+$X1206</f>
      </c>
      <c r="AB1206" s="7">
        <f>$L1206+$Y1206</f>
      </c>
      <c r="AC1206" s="7">
        <f>$K1206-$X1206</f>
      </c>
      <c r="AD1206" s="7">
        <f>$L1206-$Y1206</f>
      </c>
      <c r="AE1206" s="7">
        <f>AA1206/39.3701</f>
      </c>
      <c r="AF1206" s="7">
        <f>AB1206/39.3701</f>
      </c>
      <c r="AG1206" s="7">
        <f>AC1206/39.3701</f>
      </c>
      <c r="AH1206" s="7">
        <f>AD1206/39.3701</f>
      </c>
      <c r="AI1206" s="1"/>
      <c r="AJ1206" s="1"/>
      <c r="AK1206" s="1"/>
      <c r="AL1206" s="1"/>
      <c r="AM1206" s="2"/>
      <c r="AN1206" s="1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  <c r="BA1206" s="1"/>
      <c r="BB1206" s="1"/>
      <c r="BC1206" s="1"/>
      <c r="BD1206" s="1"/>
      <c r="BE1206" s="1"/>
    </row>
    <row x14ac:dyDescent="0.25" r="1207" customHeight="1" ht="18.75">
      <c r="A1207" s="1"/>
      <c r="B1207" s="2"/>
      <c r="C1207" s="2"/>
      <c r="D1207" s="2"/>
      <c r="E1207" s="2"/>
      <c r="F1207" s="2"/>
      <c r="G1207" s="1"/>
      <c r="H1207" s="1"/>
      <c r="I1207" s="7">
        <v>1.204</v>
      </c>
      <c r="J1207" s="7">
        <f>IF((I1207-ROUNDDOWN(I1207,0))=0, 0, (I1207-ROUNDDOWN(I1207,0)))</f>
      </c>
      <c r="K1207" s="7">
        <f>INDIRECT("C$"&amp;2+MIN(2,ROUNDDOWN(I1207,0))*3)*(-$J1207^3+3*$J1207^2-3*$J1207+1)+INDIRECT("C$"&amp;3+MIN(2,ROUNDDOWN(I1207,0))*3)*(3*$J1207^3-6*$J1207^2+3*$J1207)+INDIRECT("C$"&amp;4+MIN(2,ROUNDDOWN(I1207,0))*3)*(-3*$J1207^3+3*$J1207^2)+INDIRECT("C$"&amp;5+MIN(2,ROUNDDOWN(I1207,0))*3)*$J1207^3</f>
      </c>
      <c r="L1207" s="7">
        <f>INDIRECT("D$"&amp;2+MIN(2,ROUNDDOWN(I1207,0))*3)*(-$J1207^3+3*$J1207^2-3*$J1207+1)+INDIRECT("D$"&amp;3+MIN(2,ROUNDDOWN(I1207,0))*3)*(3*$J1207^3-6*$J1207^2+3*$J1207)+INDIRECT("D$"&amp;4+MIN(2,ROUNDDOWN(I1207,0))*3)*(-3*$J1207^3+3*$J1207^2)+INDIRECT("D$"&amp;5+MIN(2,ROUNDDOWN(I1207,0))*3)*$J1207^3</f>
      </c>
      <c r="M1207" s="7">
        <f>SQRT(K1207^2+L1207^2)</f>
      </c>
      <c r="N1207" s="7">
        <f>(K1208-K1206)</f>
      </c>
      <c r="O1207" s="7">
        <f>+(L1208-L1206)</f>
      </c>
      <c r="P1207" s="7">
        <f>SQRT(O1207^2+N1207^2)</f>
      </c>
      <c r="Q1207" s="7">
        <f>N1207/$P1207</f>
      </c>
      <c r="R1207" s="7">
        <f>O1207/$P1207</f>
      </c>
      <c r="S1207" s="8">
        <f>Q1207^2+R1207^2</f>
      </c>
      <c r="T1207" s="7">
        <f>-R1207</f>
      </c>
      <c r="U1207" s="7">
        <f>Q1207</f>
      </c>
      <c r="V1207" s="7">
        <f>($C$14+($C$15-$C$14)/($D$15-$D$14)*(I1207-$D$14))/2</f>
      </c>
      <c r="W1207" s="7">
        <f>($B$22*I1207^4+$C$22*I1207^3+$D$22*I1207^2+$E$22*I1207+$F$22)/2</f>
      </c>
      <c r="X1207" s="7">
        <f>($W1207)*(T1207)</f>
      </c>
      <c r="Y1207" s="7">
        <f>($W1207)*(U1207)</f>
      </c>
      <c r="Z1207" s="7">
        <f>SQRT(X1207^2+Y1207^2)</f>
      </c>
      <c r="AA1207" s="7">
        <f>$K1207+$X1207</f>
      </c>
      <c r="AB1207" s="7">
        <f>$L1207+$Y1207</f>
      </c>
      <c r="AC1207" s="7">
        <f>$K1207-$X1207</f>
      </c>
      <c r="AD1207" s="7">
        <f>$L1207-$Y1207</f>
      </c>
      <c r="AE1207" s="7">
        <f>AA1207/39.3701</f>
      </c>
      <c r="AF1207" s="7">
        <f>AB1207/39.3701</f>
      </c>
      <c r="AG1207" s="7">
        <f>AC1207/39.3701</f>
      </c>
      <c r="AH1207" s="7">
        <f>AD1207/39.3701</f>
      </c>
      <c r="AI1207" s="1"/>
      <c r="AJ1207" s="1"/>
      <c r="AK1207" s="1"/>
      <c r="AL1207" s="1"/>
      <c r="AM1207" s="2"/>
      <c r="AN1207" s="1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  <c r="BA1207" s="1"/>
      <c r="BB1207" s="1"/>
      <c r="BC1207" s="1"/>
      <c r="BD1207" s="1"/>
      <c r="BE1207" s="1"/>
    </row>
    <row x14ac:dyDescent="0.25" r="1208" customHeight="1" ht="18.75">
      <c r="A1208" s="1"/>
      <c r="B1208" s="2"/>
      <c r="C1208" s="2"/>
      <c r="D1208" s="2"/>
      <c r="E1208" s="2"/>
      <c r="F1208" s="2"/>
      <c r="G1208" s="1"/>
      <c r="H1208" s="1"/>
      <c r="I1208" s="7">
        <v>1.205</v>
      </c>
      <c r="J1208" s="7">
        <f>IF((I1208-ROUNDDOWN(I1208,0))=0, 0, (I1208-ROUNDDOWN(I1208,0)))</f>
      </c>
      <c r="K1208" s="7">
        <f>INDIRECT("C$"&amp;2+MIN(2,ROUNDDOWN(I1208,0))*3)*(-$J1208^3+3*$J1208^2-3*$J1208+1)+INDIRECT("C$"&amp;3+MIN(2,ROUNDDOWN(I1208,0))*3)*(3*$J1208^3-6*$J1208^2+3*$J1208)+INDIRECT("C$"&amp;4+MIN(2,ROUNDDOWN(I1208,0))*3)*(-3*$J1208^3+3*$J1208^2)+INDIRECT("C$"&amp;5+MIN(2,ROUNDDOWN(I1208,0))*3)*$J1208^3</f>
      </c>
      <c r="L1208" s="7">
        <f>INDIRECT("D$"&amp;2+MIN(2,ROUNDDOWN(I1208,0))*3)*(-$J1208^3+3*$J1208^2-3*$J1208+1)+INDIRECT("D$"&amp;3+MIN(2,ROUNDDOWN(I1208,0))*3)*(3*$J1208^3-6*$J1208^2+3*$J1208)+INDIRECT("D$"&amp;4+MIN(2,ROUNDDOWN(I1208,0))*3)*(-3*$J1208^3+3*$J1208^2)+INDIRECT("D$"&amp;5+MIN(2,ROUNDDOWN(I1208,0))*3)*$J1208^3</f>
      </c>
      <c r="M1208" s="7">
        <f>SQRT(K1208^2+L1208^2)</f>
      </c>
      <c r="N1208" s="7">
        <f>(K1209-K1207)</f>
      </c>
      <c r="O1208" s="7">
        <f>+(L1209-L1207)</f>
      </c>
      <c r="P1208" s="7">
        <f>SQRT(O1208^2+N1208^2)</f>
      </c>
      <c r="Q1208" s="7">
        <f>N1208/$P1208</f>
      </c>
      <c r="R1208" s="7">
        <f>O1208/$P1208</f>
      </c>
      <c r="S1208" s="8">
        <f>Q1208^2+R1208^2</f>
      </c>
      <c r="T1208" s="7">
        <f>-R1208</f>
      </c>
      <c r="U1208" s="7">
        <f>Q1208</f>
      </c>
      <c r="V1208" s="7">
        <f>($C$14+($C$15-$C$14)/($D$15-$D$14)*(I1208-$D$14))/2</f>
      </c>
      <c r="W1208" s="7">
        <f>($B$22*I1208^4+$C$22*I1208^3+$D$22*I1208^2+$E$22*I1208+$F$22)/2</f>
      </c>
      <c r="X1208" s="7">
        <f>($W1208)*(T1208)</f>
      </c>
      <c r="Y1208" s="7">
        <f>($W1208)*(U1208)</f>
      </c>
      <c r="Z1208" s="7">
        <f>SQRT(X1208^2+Y1208^2)</f>
      </c>
      <c r="AA1208" s="7">
        <f>$K1208+$X1208</f>
      </c>
      <c r="AB1208" s="7">
        <f>$L1208+$Y1208</f>
      </c>
      <c r="AC1208" s="7">
        <f>$K1208-$X1208</f>
      </c>
      <c r="AD1208" s="7">
        <f>$L1208-$Y1208</f>
      </c>
      <c r="AE1208" s="7">
        <f>AA1208/39.3701</f>
      </c>
      <c r="AF1208" s="7">
        <f>AB1208/39.3701</f>
      </c>
      <c r="AG1208" s="7">
        <f>AC1208/39.3701</f>
      </c>
      <c r="AH1208" s="7">
        <f>AD1208/39.3701</f>
      </c>
      <c r="AI1208" s="1"/>
      <c r="AJ1208" s="1"/>
      <c r="AK1208" s="1"/>
      <c r="AL1208" s="1"/>
      <c r="AM1208" s="2"/>
      <c r="AN1208" s="1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  <c r="BA1208" s="1"/>
      <c r="BB1208" s="1"/>
      <c r="BC1208" s="1"/>
      <c r="BD1208" s="1"/>
      <c r="BE1208" s="1"/>
    </row>
    <row x14ac:dyDescent="0.25" r="1209" customHeight="1" ht="18.75">
      <c r="A1209" s="1"/>
      <c r="B1209" s="2"/>
      <c r="C1209" s="2"/>
      <c r="D1209" s="2"/>
      <c r="E1209" s="2"/>
      <c r="F1209" s="2"/>
      <c r="G1209" s="1"/>
      <c r="H1209" s="1"/>
      <c r="I1209" s="7">
        <v>1.206</v>
      </c>
      <c r="J1209" s="7">
        <f>IF((I1209-ROUNDDOWN(I1209,0))=0, 0, (I1209-ROUNDDOWN(I1209,0)))</f>
      </c>
      <c r="K1209" s="7">
        <f>INDIRECT("C$"&amp;2+MIN(2,ROUNDDOWN(I1209,0))*3)*(-$J1209^3+3*$J1209^2-3*$J1209+1)+INDIRECT("C$"&amp;3+MIN(2,ROUNDDOWN(I1209,0))*3)*(3*$J1209^3-6*$J1209^2+3*$J1209)+INDIRECT("C$"&amp;4+MIN(2,ROUNDDOWN(I1209,0))*3)*(-3*$J1209^3+3*$J1209^2)+INDIRECT("C$"&amp;5+MIN(2,ROUNDDOWN(I1209,0))*3)*$J1209^3</f>
      </c>
      <c r="L1209" s="7">
        <f>INDIRECT("D$"&amp;2+MIN(2,ROUNDDOWN(I1209,0))*3)*(-$J1209^3+3*$J1209^2-3*$J1209+1)+INDIRECT("D$"&amp;3+MIN(2,ROUNDDOWN(I1209,0))*3)*(3*$J1209^3-6*$J1209^2+3*$J1209)+INDIRECT("D$"&amp;4+MIN(2,ROUNDDOWN(I1209,0))*3)*(-3*$J1209^3+3*$J1209^2)+INDIRECT("D$"&amp;5+MIN(2,ROUNDDOWN(I1209,0))*3)*$J1209^3</f>
      </c>
      <c r="M1209" s="7">
        <f>SQRT(K1209^2+L1209^2)</f>
      </c>
      <c r="N1209" s="7">
        <f>(K1210-K1208)</f>
      </c>
      <c r="O1209" s="7">
        <f>+(L1210-L1208)</f>
      </c>
      <c r="P1209" s="7">
        <f>SQRT(O1209^2+N1209^2)</f>
      </c>
      <c r="Q1209" s="7">
        <f>N1209/$P1209</f>
      </c>
      <c r="R1209" s="7">
        <f>O1209/$P1209</f>
      </c>
      <c r="S1209" s="7">
        <f>Q1209^2+R1209^2</f>
      </c>
      <c r="T1209" s="7">
        <f>-R1209</f>
      </c>
      <c r="U1209" s="7">
        <f>Q1209</f>
      </c>
      <c r="V1209" s="7">
        <f>($C$14+($C$15-$C$14)/($D$15-$D$14)*(I1209-$D$14))/2</f>
      </c>
      <c r="W1209" s="7">
        <f>($B$22*I1209^4+$C$22*I1209^3+$D$22*I1209^2+$E$22*I1209+$F$22)/2</f>
      </c>
      <c r="X1209" s="7">
        <f>($W1209)*(T1209)</f>
      </c>
      <c r="Y1209" s="7">
        <f>($W1209)*(U1209)</f>
      </c>
      <c r="Z1209" s="7">
        <f>SQRT(X1209^2+Y1209^2)</f>
      </c>
      <c r="AA1209" s="7">
        <f>$K1209+$X1209</f>
      </c>
      <c r="AB1209" s="7">
        <f>$L1209+$Y1209</f>
      </c>
      <c r="AC1209" s="7">
        <f>$K1209-$X1209</f>
      </c>
      <c r="AD1209" s="7">
        <f>$L1209-$Y1209</f>
      </c>
      <c r="AE1209" s="7">
        <f>AA1209/39.3701</f>
      </c>
      <c r="AF1209" s="7">
        <f>AB1209/39.3701</f>
      </c>
      <c r="AG1209" s="7">
        <f>AC1209/39.3701</f>
      </c>
      <c r="AH1209" s="7">
        <f>AD1209/39.3701</f>
      </c>
      <c r="AI1209" s="1"/>
      <c r="AJ1209" s="1"/>
      <c r="AK1209" s="1"/>
      <c r="AL1209" s="1"/>
      <c r="AM1209" s="2"/>
      <c r="AN1209" s="1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  <c r="BA1209" s="1"/>
      <c r="BB1209" s="1"/>
      <c r="BC1209" s="1"/>
      <c r="BD1209" s="1"/>
      <c r="BE1209" s="1"/>
    </row>
    <row x14ac:dyDescent="0.25" r="1210" customHeight="1" ht="18.75">
      <c r="A1210" s="1"/>
      <c r="B1210" s="2"/>
      <c r="C1210" s="2"/>
      <c r="D1210" s="2"/>
      <c r="E1210" s="2"/>
      <c r="F1210" s="2"/>
      <c r="G1210" s="1"/>
      <c r="H1210" s="1"/>
      <c r="I1210" s="7">
        <v>1.207</v>
      </c>
      <c r="J1210" s="7">
        <f>IF((I1210-ROUNDDOWN(I1210,0))=0, 0, (I1210-ROUNDDOWN(I1210,0)))</f>
      </c>
      <c r="K1210" s="7">
        <f>INDIRECT("C$"&amp;2+MIN(2,ROUNDDOWN(I1210,0))*3)*(-$J1210^3+3*$J1210^2-3*$J1210+1)+INDIRECT("C$"&amp;3+MIN(2,ROUNDDOWN(I1210,0))*3)*(3*$J1210^3-6*$J1210^2+3*$J1210)+INDIRECT("C$"&amp;4+MIN(2,ROUNDDOWN(I1210,0))*3)*(-3*$J1210^3+3*$J1210^2)+INDIRECT("C$"&amp;5+MIN(2,ROUNDDOWN(I1210,0))*3)*$J1210^3</f>
      </c>
      <c r="L1210" s="7">
        <f>INDIRECT("D$"&amp;2+MIN(2,ROUNDDOWN(I1210,0))*3)*(-$J1210^3+3*$J1210^2-3*$J1210+1)+INDIRECT("D$"&amp;3+MIN(2,ROUNDDOWN(I1210,0))*3)*(3*$J1210^3-6*$J1210^2+3*$J1210)+INDIRECT("D$"&amp;4+MIN(2,ROUNDDOWN(I1210,0))*3)*(-3*$J1210^3+3*$J1210^2)+INDIRECT("D$"&amp;5+MIN(2,ROUNDDOWN(I1210,0))*3)*$J1210^3</f>
      </c>
      <c r="M1210" s="7">
        <f>SQRT(K1210^2+L1210^2)</f>
      </c>
      <c r="N1210" s="7">
        <f>(K1211-K1209)</f>
      </c>
      <c r="O1210" s="7">
        <f>+(L1211-L1209)</f>
      </c>
      <c r="P1210" s="7">
        <f>SQRT(O1210^2+N1210^2)</f>
      </c>
      <c r="Q1210" s="7">
        <f>N1210/$P1210</f>
      </c>
      <c r="R1210" s="7">
        <f>O1210/$P1210</f>
      </c>
      <c r="S1210" s="8">
        <f>Q1210^2+R1210^2</f>
      </c>
      <c r="T1210" s="7">
        <f>-R1210</f>
      </c>
      <c r="U1210" s="7">
        <f>Q1210</f>
      </c>
      <c r="V1210" s="7">
        <f>($C$14+($C$15-$C$14)/($D$15-$D$14)*(I1210-$D$14))/2</f>
      </c>
      <c r="W1210" s="7">
        <f>($B$22*I1210^4+$C$22*I1210^3+$D$22*I1210^2+$E$22*I1210+$F$22)/2</f>
      </c>
      <c r="X1210" s="7">
        <f>($W1210)*(T1210)</f>
      </c>
      <c r="Y1210" s="7">
        <f>($W1210)*(U1210)</f>
      </c>
      <c r="Z1210" s="7">
        <f>SQRT(X1210^2+Y1210^2)</f>
      </c>
      <c r="AA1210" s="7">
        <f>$K1210+$X1210</f>
      </c>
      <c r="AB1210" s="7">
        <f>$L1210+$Y1210</f>
      </c>
      <c r="AC1210" s="7">
        <f>$K1210-$X1210</f>
      </c>
      <c r="AD1210" s="7">
        <f>$L1210-$Y1210</f>
      </c>
      <c r="AE1210" s="7">
        <f>AA1210/39.3701</f>
      </c>
      <c r="AF1210" s="7">
        <f>AB1210/39.3701</f>
      </c>
      <c r="AG1210" s="7">
        <f>AC1210/39.3701</f>
      </c>
      <c r="AH1210" s="7">
        <f>AD1210/39.3701</f>
      </c>
      <c r="AI1210" s="1"/>
      <c r="AJ1210" s="1"/>
      <c r="AK1210" s="1"/>
      <c r="AL1210" s="1"/>
      <c r="AM1210" s="2"/>
      <c r="AN1210" s="1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  <c r="BA1210" s="1"/>
      <c r="BB1210" s="1"/>
      <c r="BC1210" s="1"/>
      <c r="BD1210" s="1"/>
      <c r="BE1210" s="1"/>
    </row>
    <row x14ac:dyDescent="0.25" r="1211" customHeight="1" ht="18.75">
      <c r="A1211" s="1"/>
      <c r="B1211" s="2"/>
      <c r="C1211" s="2"/>
      <c r="D1211" s="2"/>
      <c r="E1211" s="2"/>
      <c r="F1211" s="2"/>
      <c r="G1211" s="1"/>
      <c r="H1211" s="1"/>
      <c r="I1211" s="7">
        <v>1.208</v>
      </c>
      <c r="J1211" s="7">
        <f>IF((I1211-ROUNDDOWN(I1211,0))=0, 0, (I1211-ROUNDDOWN(I1211,0)))</f>
      </c>
      <c r="K1211" s="7">
        <f>INDIRECT("C$"&amp;2+MIN(2,ROUNDDOWN(I1211,0))*3)*(-$J1211^3+3*$J1211^2-3*$J1211+1)+INDIRECT("C$"&amp;3+MIN(2,ROUNDDOWN(I1211,0))*3)*(3*$J1211^3-6*$J1211^2+3*$J1211)+INDIRECT("C$"&amp;4+MIN(2,ROUNDDOWN(I1211,0))*3)*(-3*$J1211^3+3*$J1211^2)+INDIRECT("C$"&amp;5+MIN(2,ROUNDDOWN(I1211,0))*3)*$J1211^3</f>
      </c>
      <c r="L1211" s="7">
        <f>INDIRECT("D$"&amp;2+MIN(2,ROUNDDOWN(I1211,0))*3)*(-$J1211^3+3*$J1211^2-3*$J1211+1)+INDIRECT("D$"&amp;3+MIN(2,ROUNDDOWN(I1211,0))*3)*(3*$J1211^3-6*$J1211^2+3*$J1211)+INDIRECT("D$"&amp;4+MIN(2,ROUNDDOWN(I1211,0))*3)*(-3*$J1211^3+3*$J1211^2)+INDIRECT("D$"&amp;5+MIN(2,ROUNDDOWN(I1211,0))*3)*$J1211^3</f>
      </c>
      <c r="M1211" s="7">
        <f>SQRT(K1211^2+L1211^2)</f>
      </c>
      <c r="N1211" s="7">
        <f>(K1212-K1210)</f>
      </c>
      <c r="O1211" s="7">
        <f>+(L1212-L1210)</f>
      </c>
      <c r="P1211" s="7">
        <f>SQRT(O1211^2+N1211^2)</f>
      </c>
      <c r="Q1211" s="7">
        <f>N1211/$P1211</f>
      </c>
      <c r="R1211" s="7">
        <f>O1211/$P1211</f>
      </c>
      <c r="S1211" s="8">
        <f>Q1211^2+R1211^2</f>
      </c>
      <c r="T1211" s="7">
        <f>-R1211</f>
      </c>
      <c r="U1211" s="7">
        <f>Q1211</f>
      </c>
      <c r="V1211" s="7">
        <f>($C$14+($C$15-$C$14)/($D$15-$D$14)*(I1211-$D$14))/2</f>
      </c>
      <c r="W1211" s="7">
        <f>($B$22*I1211^4+$C$22*I1211^3+$D$22*I1211^2+$E$22*I1211+$F$22)/2</f>
      </c>
      <c r="X1211" s="7">
        <f>($W1211)*(T1211)</f>
      </c>
      <c r="Y1211" s="7">
        <f>($W1211)*(U1211)</f>
      </c>
      <c r="Z1211" s="7">
        <f>SQRT(X1211^2+Y1211^2)</f>
      </c>
      <c r="AA1211" s="7">
        <f>$K1211+$X1211</f>
      </c>
      <c r="AB1211" s="7">
        <f>$L1211+$Y1211</f>
      </c>
      <c r="AC1211" s="7">
        <f>$K1211-$X1211</f>
      </c>
      <c r="AD1211" s="7">
        <f>$L1211-$Y1211</f>
      </c>
      <c r="AE1211" s="7">
        <f>AA1211/39.3701</f>
      </c>
      <c r="AF1211" s="7">
        <f>AB1211/39.3701</f>
      </c>
      <c r="AG1211" s="7">
        <f>AC1211/39.3701</f>
      </c>
      <c r="AH1211" s="7">
        <f>AD1211/39.3701</f>
      </c>
      <c r="AI1211" s="1"/>
      <c r="AJ1211" s="1"/>
      <c r="AK1211" s="1"/>
      <c r="AL1211" s="1"/>
      <c r="AM1211" s="2"/>
      <c r="AN1211" s="1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  <c r="BA1211" s="1"/>
      <c r="BB1211" s="1"/>
      <c r="BC1211" s="1"/>
      <c r="BD1211" s="1"/>
      <c r="BE1211" s="1"/>
    </row>
    <row x14ac:dyDescent="0.25" r="1212" customHeight="1" ht="18.75">
      <c r="A1212" s="1"/>
      <c r="B1212" s="2"/>
      <c r="C1212" s="2"/>
      <c r="D1212" s="2"/>
      <c r="E1212" s="2"/>
      <c r="F1212" s="2"/>
      <c r="G1212" s="1"/>
      <c r="H1212" s="1"/>
      <c r="I1212" s="7">
        <v>1.209</v>
      </c>
      <c r="J1212" s="7">
        <f>IF((I1212-ROUNDDOWN(I1212,0))=0, 0, (I1212-ROUNDDOWN(I1212,0)))</f>
      </c>
      <c r="K1212" s="7">
        <f>INDIRECT("C$"&amp;2+MIN(2,ROUNDDOWN(I1212,0))*3)*(-$J1212^3+3*$J1212^2-3*$J1212+1)+INDIRECT("C$"&amp;3+MIN(2,ROUNDDOWN(I1212,0))*3)*(3*$J1212^3-6*$J1212^2+3*$J1212)+INDIRECT("C$"&amp;4+MIN(2,ROUNDDOWN(I1212,0))*3)*(-3*$J1212^3+3*$J1212^2)+INDIRECT("C$"&amp;5+MIN(2,ROUNDDOWN(I1212,0))*3)*$J1212^3</f>
      </c>
      <c r="L1212" s="7">
        <f>INDIRECT("D$"&amp;2+MIN(2,ROUNDDOWN(I1212,0))*3)*(-$J1212^3+3*$J1212^2-3*$J1212+1)+INDIRECT("D$"&amp;3+MIN(2,ROUNDDOWN(I1212,0))*3)*(3*$J1212^3-6*$J1212^2+3*$J1212)+INDIRECT("D$"&amp;4+MIN(2,ROUNDDOWN(I1212,0))*3)*(-3*$J1212^3+3*$J1212^2)+INDIRECT("D$"&amp;5+MIN(2,ROUNDDOWN(I1212,0))*3)*$J1212^3</f>
      </c>
      <c r="M1212" s="7">
        <f>SQRT(K1212^2+L1212^2)</f>
      </c>
      <c r="N1212" s="7">
        <f>(K1213-K1211)</f>
      </c>
      <c r="O1212" s="7">
        <f>+(L1213-L1211)</f>
      </c>
      <c r="P1212" s="7">
        <f>SQRT(O1212^2+N1212^2)</f>
      </c>
      <c r="Q1212" s="7">
        <f>N1212/$P1212</f>
      </c>
      <c r="R1212" s="7">
        <f>O1212/$P1212</f>
      </c>
      <c r="S1212" s="8">
        <f>Q1212^2+R1212^2</f>
      </c>
      <c r="T1212" s="7">
        <f>-R1212</f>
      </c>
      <c r="U1212" s="7">
        <f>Q1212</f>
      </c>
      <c r="V1212" s="7">
        <f>($C$14+($C$15-$C$14)/($D$15-$D$14)*(I1212-$D$14))/2</f>
      </c>
      <c r="W1212" s="7">
        <f>($B$22*I1212^4+$C$22*I1212^3+$D$22*I1212^2+$E$22*I1212+$F$22)/2</f>
      </c>
      <c r="X1212" s="7">
        <f>($W1212)*(T1212)</f>
      </c>
      <c r="Y1212" s="7">
        <f>($W1212)*(U1212)</f>
      </c>
      <c r="Z1212" s="7">
        <f>SQRT(X1212^2+Y1212^2)</f>
      </c>
      <c r="AA1212" s="7">
        <f>$K1212+$X1212</f>
      </c>
      <c r="AB1212" s="7">
        <f>$L1212+$Y1212</f>
      </c>
      <c r="AC1212" s="7">
        <f>$K1212-$X1212</f>
      </c>
      <c r="AD1212" s="7">
        <f>$L1212-$Y1212</f>
      </c>
      <c r="AE1212" s="7">
        <f>AA1212/39.3701</f>
      </c>
      <c r="AF1212" s="7">
        <f>AB1212/39.3701</f>
      </c>
      <c r="AG1212" s="7">
        <f>AC1212/39.3701</f>
      </c>
      <c r="AH1212" s="7">
        <f>AD1212/39.3701</f>
      </c>
      <c r="AI1212" s="1"/>
      <c r="AJ1212" s="1"/>
      <c r="AK1212" s="1"/>
      <c r="AL1212" s="1"/>
      <c r="AM1212" s="2"/>
      <c r="AN1212" s="1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  <c r="BA1212" s="1"/>
      <c r="BB1212" s="1"/>
      <c r="BC1212" s="1"/>
      <c r="BD1212" s="1"/>
      <c r="BE1212" s="1"/>
    </row>
    <row x14ac:dyDescent="0.25" r="1213" customHeight="1" ht="18.75">
      <c r="A1213" s="1"/>
      <c r="B1213" s="2"/>
      <c r="C1213" s="2"/>
      <c r="D1213" s="2"/>
      <c r="E1213" s="2"/>
      <c r="F1213" s="2"/>
      <c r="G1213" s="1"/>
      <c r="H1213" s="1"/>
      <c r="I1213" s="7">
        <v>1.21</v>
      </c>
      <c r="J1213" s="7">
        <f>IF((I1213-ROUNDDOWN(I1213,0))=0, 0, (I1213-ROUNDDOWN(I1213,0)))</f>
      </c>
      <c r="K1213" s="7">
        <f>INDIRECT("C$"&amp;2+MIN(2,ROUNDDOWN(I1213,0))*3)*(-$J1213^3+3*$J1213^2-3*$J1213+1)+INDIRECT("C$"&amp;3+MIN(2,ROUNDDOWN(I1213,0))*3)*(3*$J1213^3-6*$J1213^2+3*$J1213)+INDIRECT("C$"&amp;4+MIN(2,ROUNDDOWN(I1213,0))*3)*(-3*$J1213^3+3*$J1213^2)+INDIRECT("C$"&amp;5+MIN(2,ROUNDDOWN(I1213,0))*3)*$J1213^3</f>
      </c>
      <c r="L1213" s="7">
        <f>INDIRECT("D$"&amp;2+MIN(2,ROUNDDOWN(I1213,0))*3)*(-$J1213^3+3*$J1213^2-3*$J1213+1)+INDIRECT("D$"&amp;3+MIN(2,ROUNDDOWN(I1213,0))*3)*(3*$J1213^3-6*$J1213^2+3*$J1213)+INDIRECT("D$"&amp;4+MIN(2,ROUNDDOWN(I1213,0))*3)*(-3*$J1213^3+3*$J1213^2)+INDIRECT("D$"&amp;5+MIN(2,ROUNDDOWN(I1213,0))*3)*$J1213^3</f>
      </c>
      <c r="M1213" s="7">
        <f>SQRT(K1213^2+L1213^2)</f>
      </c>
      <c r="N1213" s="7">
        <f>(K1214-K1212)</f>
      </c>
      <c r="O1213" s="7">
        <f>+(L1214-L1212)</f>
      </c>
      <c r="P1213" s="7">
        <f>SQRT(O1213^2+N1213^2)</f>
      </c>
      <c r="Q1213" s="7">
        <f>N1213/$P1213</f>
      </c>
      <c r="R1213" s="7">
        <f>O1213/$P1213</f>
      </c>
      <c r="S1213" s="8">
        <f>Q1213^2+R1213^2</f>
      </c>
      <c r="T1213" s="7">
        <f>-R1213</f>
      </c>
      <c r="U1213" s="7">
        <f>Q1213</f>
      </c>
      <c r="V1213" s="7">
        <f>($C$14+($C$15-$C$14)/($D$15-$D$14)*(I1213-$D$14))/2</f>
      </c>
      <c r="W1213" s="7">
        <f>($B$22*I1213^4+$C$22*I1213^3+$D$22*I1213^2+$E$22*I1213+$F$22)/2</f>
      </c>
      <c r="X1213" s="7">
        <f>($W1213)*(T1213)</f>
      </c>
      <c r="Y1213" s="7">
        <f>($W1213)*(U1213)</f>
      </c>
      <c r="Z1213" s="7">
        <f>SQRT(X1213^2+Y1213^2)</f>
      </c>
      <c r="AA1213" s="7">
        <f>$K1213+$X1213</f>
      </c>
      <c r="AB1213" s="7">
        <f>$L1213+$Y1213</f>
      </c>
      <c r="AC1213" s="7">
        <f>$K1213-$X1213</f>
      </c>
      <c r="AD1213" s="7">
        <f>$L1213-$Y1213</f>
      </c>
      <c r="AE1213" s="7">
        <f>AA1213/39.3701</f>
      </c>
      <c r="AF1213" s="7">
        <f>AB1213/39.3701</f>
      </c>
      <c r="AG1213" s="7">
        <f>AC1213/39.3701</f>
      </c>
      <c r="AH1213" s="7">
        <f>AD1213/39.3701</f>
      </c>
      <c r="AI1213" s="1"/>
      <c r="AJ1213" s="1"/>
      <c r="AK1213" s="1"/>
      <c r="AL1213" s="1"/>
      <c r="AM1213" s="2"/>
      <c r="AN1213" s="1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  <c r="BA1213" s="1"/>
      <c r="BB1213" s="1"/>
      <c r="BC1213" s="1"/>
      <c r="BD1213" s="1"/>
      <c r="BE1213" s="1"/>
    </row>
    <row x14ac:dyDescent="0.25" r="1214" customHeight="1" ht="18.75">
      <c r="A1214" s="1"/>
      <c r="B1214" s="2"/>
      <c r="C1214" s="2"/>
      <c r="D1214" s="2"/>
      <c r="E1214" s="2"/>
      <c r="F1214" s="2"/>
      <c r="G1214" s="1"/>
      <c r="H1214" s="1"/>
      <c r="I1214" s="7">
        <v>1.211</v>
      </c>
      <c r="J1214" s="7">
        <f>IF((I1214-ROUNDDOWN(I1214,0))=0, 0, (I1214-ROUNDDOWN(I1214,0)))</f>
      </c>
      <c r="K1214" s="7">
        <f>INDIRECT("C$"&amp;2+MIN(2,ROUNDDOWN(I1214,0))*3)*(-$J1214^3+3*$J1214^2-3*$J1214+1)+INDIRECT("C$"&amp;3+MIN(2,ROUNDDOWN(I1214,0))*3)*(3*$J1214^3-6*$J1214^2+3*$J1214)+INDIRECT("C$"&amp;4+MIN(2,ROUNDDOWN(I1214,0))*3)*(-3*$J1214^3+3*$J1214^2)+INDIRECT("C$"&amp;5+MIN(2,ROUNDDOWN(I1214,0))*3)*$J1214^3</f>
      </c>
      <c r="L1214" s="7">
        <f>INDIRECT("D$"&amp;2+MIN(2,ROUNDDOWN(I1214,0))*3)*(-$J1214^3+3*$J1214^2-3*$J1214+1)+INDIRECT("D$"&amp;3+MIN(2,ROUNDDOWN(I1214,0))*3)*(3*$J1214^3-6*$J1214^2+3*$J1214)+INDIRECT("D$"&amp;4+MIN(2,ROUNDDOWN(I1214,0))*3)*(-3*$J1214^3+3*$J1214^2)+INDIRECT("D$"&amp;5+MIN(2,ROUNDDOWN(I1214,0))*3)*$J1214^3</f>
      </c>
      <c r="M1214" s="7">
        <f>SQRT(K1214^2+L1214^2)</f>
      </c>
      <c r="N1214" s="7">
        <f>(K1215-K1213)</f>
      </c>
      <c r="O1214" s="7">
        <f>+(L1215-L1213)</f>
      </c>
      <c r="P1214" s="7">
        <f>SQRT(O1214^2+N1214^2)</f>
      </c>
      <c r="Q1214" s="7">
        <f>N1214/$P1214</f>
      </c>
      <c r="R1214" s="7">
        <f>O1214/$P1214</f>
      </c>
      <c r="S1214" s="8">
        <f>Q1214^2+R1214^2</f>
      </c>
      <c r="T1214" s="7">
        <f>-R1214</f>
      </c>
      <c r="U1214" s="7">
        <f>Q1214</f>
      </c>
      <c r="V1214" s="7">
        <f>($C$14+($C$15-$C$14)/($D$15-$D$14)*(I1214-$D$14))/2</f>
      </c>
      <c r="W1214" s="7">
        <f>($B$22*I1214^4+$C$22*I1214^3+$D$22*I1214^2+$E$22*I1214+$F$22)/2</f>
      </c>
      <c r="X1214" s="7">
        <f>($W1214)*(T1214)</f>
      </c>
      <c r="Y1214" s="7">
        <f>($W1214)*(U1214)</f>
      </c>
      <c r="Z1214" s="7">
        <f>SQRT(X1214^2+Y1214^2)</f>
      </c>
      <c r="AA1214" s="7">
        <f>$K1214+$X1214</f>
      </c>
      <c r="AB1214" s="7">
        <f>$L1214+$Y1214</f>
      </c>
      <c r="AC1214" s="7">
        <f>$K1214-$X1214</f>
      </c>
      <c r="AD1214" s="7">
        <f>$L1214-$Y1214</f>
      </c>
      <c r="AE1214" s="7">
        <f>AA1214/39.3701</f>
      </c>
      <c r="AF1214" s="7">
        <f>AB1214/39.3701</f>
      </c>
      <c r="AG1214" s="7">
        <f>AC1214/39.3701</f>
      </c>
      <c r="AH1214" s="7">
        <f>AD1214/39.3701</f>
      </c>
      <c r="AI1214" s="1"/>
      <c r="AJ1214" s="1"/>
      <c r="AK1214" s="1"/>
      <c r="AL1214" s="1"/>
      <c r="AM1214" s="2"/>
      <c r="AN1214" s="1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  <c r="BA1214" s="1"/>
      <c r="BB1214" s="1"/>
      <c r="BC1214" s="1"/>
      <c r="BD1214" s="1"/>
      <c r="BE1214" s="1"/>
    </row>
    <row x14ac:dyDescent="0.25" r="1215" customHeight="1" ht="18.75">
      <c r="A1215" s="1"/>
      <c r="B1215" s="2"/>
      <c r="C1215" s="2"/>
      <c r="D1215" s="2"/>
      <c r="E1215" s="2"/>
      <c r="F1215" s="2"/>
      <c r="G1215" s="1"/>
      <c r="H1215" s="1"/>
      <c r="I1215" s="7">
        <v>1.212</v>
      </c>
      <c r="J1215" s="7">
        <f>IF((I1215-ROUNDDOWN(I1215,0))=0, 0, (I1215-ROUNDDOWN(I1215,0)))</f>
      </c>
      <c r="K1215" s="7">
        <f>INDIRECT("C$"&amp;2+MIN(2,ROUNDDOWN(I1215,0))*3)*(-$J1215^3+3*$J1215^2-3*$J1215+1)+INDIRECT("C$"&amp;3+MIN(2,ROUNDDOWN(I1215,0))*3)*(3*$J1215^3-6*$J1215^2+3*$J1215)+INDIRECT("C$"&amp;4+MIN(2,ROUNDDOWN(I1215,0))*3)*(-3*$J1215^3+3*$J1215^2)+INDIRECT("C$"&amp;5+MIN(2,ROUNDDOWN(I1215,0))*3)*$J1215^3</f>
      </c>
      <c r="L1215" s="7">
        <f>INDIRECT("D$"&amp;2+MIN(2,ROUNDDOWN(I1215,0))*3)*(-$J1215^3+3*$J1215^2-3*$J1215+1)+INDIRECT("D$"&amp;3+MIN(2,ROUNDDOWN(I1215,0))*3)*(3*$J1215^3-6*$J1215^2+3*$J1215)+INDIRECT("D$"&amp;4+MIN(2,ROUNDDOWN(I1215,0))*3)*(-3*$J1215^3+3*$J1215^2)+INDIRECT("D$"&amp;5+MIN(2,ROUNDDOWN(I1215,0))*3)*$J1215^3</f>
      </c>
      <c r="M1215" s="7">
        <f>SQRT(K1215^2+L1215^2)</f>
      </c>
      <c r="N1215" s="7">
        <f>(K1216-K1214)</f>
      </c>
      <c r="O1215" s="7">
        <f>+(L1216-L1214)</f>
      </c>
      <c r="P1215" s="7">
        <f>SQRT(O1215^2+N1215^2)</f>
      </c>
      <c r="Q1215" s="7">
        <f>N1215/$P1215</f>
      </c>
      <c r="R1215" s="7">
        <f>O1215/$P1215</f>
      </c>
      <c r="S1215" s="7">
        <f>Q1215^2+R1215^2</f>
      </c>
      <c r="T1215" s="7">
        <f>-R1215</f>
      </c>
      <c r="U1215" s="7">
        <f>Q1215</f>
      </c>
      <c r="V1215" s="7">
        <f>($C$14+($C$15-$C$14)/($D$15-$D$14)*(I1215-$D$14))/2</f>
      </c>
      <c r="W1215" s="7">
        <f>($B$22*I1215^4+$C$22*I1215^3+$D$22*I1215^2+$E$22*I1215+$F$22)/2</f>
      </c>
      <c r="X1215" s="7">
        <f>($W1215)*(T1215)</f>
      </c>
      <c r="Y1215" s="7">
        <f>($W1215)*(U1215)</f>
      </c>
      <c r="Z1215" s="7">
        <f>SQRT(X1215^2+Y1215^2)</f>
      </c>
      <c r="AA1215" s="7">
        <f>$K1215+$X1215</f>
      </c>
      <c r="AB1215" s="7">
        <f>$L1215+$Y1215</f>
      </c>
      <c r="AC1215" s="7">
        <f>$K1215-$X1215</f>
      </c>
      <c r="AD1215" s="7">
        <f>$L1215-$Y1215</f>
      </c>
      <c r="AE1215" s="7">
        <f>AA1215/39.3701</f>
      </c>
      <c r="AF1215" s="7">
        <f>AB1215/39.3701</f>
      </c>
      <c r="AG1215" s="7">
        <f>AC1215/39.3701</f>
      </c>
      <c r="AH1215" s="7">
        <f>AD1215/39.3701</f>
      </c>
      <c r="AI1215" s="1"/>
      <c r="AJ1215" s="1"/>
      <c r="AK1215" s="1"/>
      <c r="AL1215" s="1"/>
      <c r="AM1215" s="2"/>
      <c r="AN1215" s="1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  <c r="BA1215" s="1"/>
      <c r="BB1215" s="1"/>
      <c r="BC1215" s="1"/>
      <c r="BD1215" s="1"/>
      <c r="BE1215" s="1"/>
    </row>
    <row x14ac:dyDescent="0.25" r="1216" customHeight="1" ht="18.75">
      <c r="A1216" s="1"/>
      <c r="B1216" s="2"/>
      <c r="C1216" s="2"/>
      <c r="D1216" s="2"/>
      <c r="E1216" s="2"/>
      <c r="F1216" s="2"/>
      <c r="G1216" s="1"/>
      <c r="H1216" s="1"/>
      <c r="I1216" s="7">
        <v>1.213</v>
      </c>
      <c r="J1216" s="7">
        <f>IF((I1216-ROUNDDOWN(I1216,0))=0, 0, (I1216-ROUNDDOWN(I1216,0)))</f>
      </c>
      <c r="K1216" s="7">
        <f>INDIRECT("C$"&amp;2+MIN(2,ROUNDDOWN(I1216,0))*3)*(-$J1216^3+3*$J1216^2-3*$J1216+1)+INDIRECT("C$"&amp;3+MIN(2,ROUNDDOWN(I1216,0))*3)*(3*$J1216^3-6*$J1216^2+3*$J1216)+INDIRECT("C$"&amp;4+MIN(2,ROUNDDOWN(I1216,0))*3)*(-3*$J1216^3+3*$J1216^2)+INDIRECT("C$"&amp;5+MIN(2,ROUNDDOWN(I1216,0))*3)*$J1216^3</f>
      </c>
      <c r="L1216" s="7">
        <f>INDIRECT("D$"&amp;2+MIN(2,ROUNDDOWN(I1216,0))*3)*(-$J1216^3+3*$J1216^2-3*$J1216+1)+INDIRECT("D$"&amp;3+MIN(2,ROUNDDOWN(I1216,0))*3)*(3*$J1216^3-6*$J1216^2+3*$J1216)+INDIRECT("D$"&amp;4+MIN(2,ROUNDDOWN(I1216,0))*3)*(-3*$J1216^3+3*$J1216^2)+INDIRECT("D$"&amp;5+MIN(2,ROUNDDOWN(I1216,0))*3)*$J1216^3</f>
      </c>
      <c r="M1216" s="7">
        <f>SQRT(K1216^2+L1216^2)</f>
      </c>
      <c r="N1216" s="7">
        <f>(K1217-K1215)</f>
      </c>
      <c r="O1216" s="7">
        <f>+(L1217-L1215)</f>
      </c>
      <c r="P1216" s="7">
        <f>SQRT(O1216^2+N1216^2)</f>
      </c>
      <c r="Q1216" s="7">
        <f>N1216/$P1216</f>
      </c>
      <c r="R1216" s="7">
        <f>O1216/$P1216</f>
      </c>
      <c r="S1216" s="7">
        <f>Q1216^2+R1216^2</f>
      </c>
      <c r="T1216" s="7">
        <f>-R1216</f>
      </c>
      <c r="U1216" s="7">
        <f>Q1216</f>
      </c>
      <c r="V1216" s="7">
        <f>($C$14+($C$15-$C$14)/($D$15-$D$14)*(I1216-$D$14))/2</f>
      </c>
      <c r="W1216" s="7">
        <f>($B$22*I1216^4+$C$22*I1216^3+$D$22*I1216^2+$E$22*I1216+$F$22)/2</f>
      </c>
      <c r="X1216" s="7">
        <f>($W1216)*(T1216)</f>
      </c>
      <c r="Y1216" s="7">
        <f>($W1216)*(U1216)</f>
      </c>
      <c r="Z1216" s="7">
        <f>SQRT(X1216^2+Y1216^2)</f>
      </c>
      <c r="AA1216" s="7">
        <f>$K1216+$X1216</f>
      </c>
      <c r="AB1216" s="7">
        <f>$L1216+$Y1216</f>
      </c>
      <c r="AC1216" s="7">
        <f>$K1216-$X1216</f>
      </c>
      <c r="AD1216" s="7">
        <f>$L1216-$Y1216</f>
      </c>
      <c r="AE1216" s="7">
        <f>AA1216/39.3701</f>
      </c>
      <c r="AF1216" s="7">
        <f>AB1216/39.3701</f>
      </c>
      <c r="AG1216" s="7">
        <f>AC1216/39.3701</f>
      </c>
      <c r="AH1216" s="7">
        <f>AD1216/39.3701</f>
      </c>
      <c r="AI1216" s="1"/>
      <c r="AJ1216" s="1"/>
      <c r="AK1216" s="1"/>
      <c r="AL1216" s="1"/>
      <c r="AM1216" s="2"/>
      <c r="AN1216" s="1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  <c r="BA1216" s="1"/>
      <c r="BB1216" s="1"/>
      <c r="BC1216" s="1"/>
      <c r="BD1216" s="1"/>
      <c r="BE1216" s="1"/>
    </row>
    <row x14ac:dyDescent="0.25" r="1217" customHeight="1" ht="18.75">
      <c r="A1217" s="1"/>
      <c r="B1217" s="2"/>
      <c r="C1217" s="2"/>
      <c r="D1217" s="2"/>
      <c r="E1217" s="2"/>
      <c r="F1217" s="2"/>
      <c r="G1217" s="1"/>
      <c r="H1217" s="1"/>
      <c r="I1217" s="7">
        <v>1.214</v>
      </c>
      <c r="J1217" s="7">
        <f>IF((I1217-ROUNDDOWN(I1217,0))=0, 0, (I1217-ROUNDDOWN(I1217,0)))</f>
      </c>
      <c r="K1217" s="7">
        <f>INDIRECT("C$"&amp;2+MIN(2,ROUNDDOWN(I1217,0))*3)*(-$J1217^3+3*$J1217^2-3*$J1217+1)+INDIRECT("C$"&amp;3+MIN(2,ROUNDDOWN(I1217,0))*3)*(3*$J1217^3-6*$J1217^2+3*$J1217)+INDIRECT("C$"&amp;4+MIN(2,ROUNDDOWN(I1217,0))*3)*(-3*$J1217^3+3*$J1217^2)+INDIRECT("C$"&amp;5+MIN(2,ROUNDDOWN(I1217,0))*3)*$J1217^3</f>
      </c>
      <c r="L1217" s="7">
        <f>INDIRECT("D$"&amp;2+MIN(2,ROUNDDOWN(I1217,0))*3)*(-$J1217^3+3*$J1217^2-3*$J1217+1)+INDIRECT("D$"&amp;3+MIN(2,ROUNDDOWN(I1217,0))*3)*(3*$J1217^3-6*$J1217^2+3*$J1217)+INDIRECT("D$"&amp;4+MIN(2,ROUNDDOWN(I1217,0))*3)*(-3*$J1217^3+3*$J1217^2)+INDIRECT("D$"&amp;5+MIN(2,ROUNDDOWN(I1217,0))*3)*$J1217^3</f>
      </c>
      <c r="M1217" s="7">
        <f>SQRT(K1217^2+L1217^2)</f>
      </c>
      <c r="N1217" s="7">
        <f>(K1218-K1216)</f>
      </c>
      <c r="O1217" s="7">
        <f>+(L1218-L1216)</f>
      </c>
      <c r="P1217" s="7">
        <f>SQRT(O1217^2+N1217^2)</f>
      </c>
      <c r="Q1217" s="7">
        <f>N1217/$P1217</f>
      </c>
      <c r="R1217" s="7">
        <f>O1217/$P1217</f>
      </c>
      <c r="S1217" s="8">
        <f>Q1217^2+R1217^2</f>
      </c>
      <c r="T1217" s="7">
        <f>-R1217</f>
      </c>
      <c r="U1217" s="7">
        <f>Q1217</f>
      </c>
      <c r="V1217" s="7">
        <f>($C$14+($C$15-$C$14)/($D$15-$D$14)*(I1217-$D$14))/2</f>
      </c>
      <c r="W1217" s="7">
        <f>($B$22*I1217^4+$C$22*I1217^3+$D$22*I1217^2+$E$22*I1217+$F$22)/2</f>
      </c>
      <c r="X1217" s="7">
        <f>($W1217)*(T1217)</f>
      </c>
      <c r="Y1217" s="7">
        <f>($W1217)*(U1217)</f>
      </c>
      <c r="Z1217" s="7">
        <f>SQRT(X1217^2+Y1217^2)</f>
      </c>
      <c r="AA1217" s="7">
        <f>$K1217+$X1217</f>
      </c>
      <c r="AB1217" s="7">
        <f>$L1217+$Y1217</f>
      </c>
      <c r="AC1217" s="7">
        <f>$K1217-$X1217</f>
      </c>
      <c r="AD1217" s="7">
        <f>$L1217-$Y1217</f>
      </c>
      <c r="AE1217" s="7">
        <f>AA1217/39.3701</f>
      </c>
      <c r="AF1217" s="7">
        <f>AB1217/39.3701</f>
      </c>
      <c r="AG1217" s="7">
        <f>AC1217/39.3701</f>
      </c>
      <c r="AH1217" s="7">
        <f>AD1217/39.3701</f>
      </c>
      <c r="AI1217" s="1"/>
      <c r="AJ1217" s="1"/>
      <c r="AK1217" s="1"/>
      <c r="AL1217" s="1"/>
      <c r="AM1217" s="2"/>
      <c r="AN1217" s="1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  <c r="BA1217" s="1"/>
      <c r="BB1217" s="1"/>
      <c r="BC1217" s="1"/>
      <c r="BD1217" s="1"/>
      <c r="BE1217" s="1"/>
    </row>
    <row x14ac:dyDescent="0.25" r="1218" customHeight="1" ht="18.75">
      <c r="A1218" s="1"/>
      <c r="B1218" s="2"/>
      <c r="C1218" s="2"/>
      <c r="D1218" s="2"/>
      <c r="E1218" s="2"/>
      <c r="F1218" s="2"/>
      <c r="G1218" s="1"/>
      <c r="H1218" s="1"/>
      <c r="I1218" s="7">
        <v>1.215</v>
      </c>
      <c r="J1218" s="7">
        <f>IF((I1218-ROUNDDOWN(I1218,0))=0, 0, (I1218-ROUNDDOWN(I1218,0)))</f>
      </c>
      <c r="K1218" s="7">
        <f>INDIRECT("C$"&amp;2+MIN(2,ROUNDDOWN(I1218,0))*3)*(-$J1218^3+3*$J1218^2-3*$J1218+1)+INDIRECT("C$"&amp;3+MIN(2,ROUNDDOWN(I1218,0))*3)*(3*$J1218^3-6*$J1218^2+3*$J1218)+INDIRECT("C$"&amp;4+MIN(2,ROUNDDOWN(I1218,0))*3)*(-3*$J1218^3+3*$J1218^2)+INDIRECT("C$"&amp;5+MIN(2,ROUNDDOWN(I1218,0))*3)*$J1218^3</f>
      </c>
      <c r="L1218" s="7">
        <f>INDIRECT("D$"&amp;2+MIN(2,ROUNDDOWN(I1218,0))*3)*(-$J1218^3+3*$J1218^2-3*$J1218+1)+INDIRECT("D$"&amp;3+MIN(2,ROUNDDOWN(I1218,0))*3)*(3*$J1218^3-6*$J1218^2+3*$J1218)+INDIRECT("D$"&amp;4+MIN(2,ROUNDDOWN(I1218,0))*3)*(-3*$J1218^3+3*$J1218^2)+INDIRECT("D$"&amp;5+MIN(2,ROUNDDOWN(I1218,0))*3)*$J1218^3</f>
      </c>
      <c r="M1218" s="7">
        <f>SQRT(K1218^2+L1218^2)</f>
      </c>
      <c r="N1218" s="7">
        <f>(K1219-K1217)</f>
      </c>
      <c r="O1218" s="7">
        <f>+(L1219-L1217)</f>
      </c>
      <c r="P1218" s="7">
        <f>SQRT(O1218^2+N1218^2)</f>
      </c>
      <c r="Q1218" s="7">
        <f>N1218/$P1218</f>
      </c>
      <c r="R1218" s="7">
        <f>O1218/$P1218</f>
      </c>
      <c r="S1218" s="8">
        <f>Q1218^2+R1218^2</f>
      </c>
      <c r="T1218" s="7">
        <f>-R1218</f>
      </c>
      <c r="U1218" s="7">
        <f>Q1218</f>
      </c>
      <c r="V1218" s="7">
        <f>($C$14+($C$15-$C$14)/($D$15-$D$14)*(I1218-$D$14))/2</f>
      </c>
      <c r="W1218" s="7">
        <f>($B$22*I1218^4+$C$22*I1218^3+$D$22*I1218^2+$E$22*I1218+$F$22)/2</f>
      </c>
      <c r="X1218" s="7">
        <f>($W1218)*(T1218)</f>
      </c>
      <c r="Y1218" s="7">
        <f>($W1218)*(U1218)</f>
      </c>
      <c r="Z1218" s="7">
        <f>SQRT(X1218^2+Y1218^2)</f>
      </c>
      <c r="AA1218" s="7">
        <f>$K1218+$X1218</f>
      </c>
      <c r="AB1218" s="7">
        <f>$L1218+$Y1218</f>
      </c>
      <c r="AC1218" s="7">
        <f>$K1218-$X1218</f>
      </c>
      <c r="AD1218" s="7">
        <f>$L1218-$Y1218</f>
      </c>
      <c r="AE1218" s="7">
        <f>AA1218/39.3701</f>
      </c>
      <c r="AF1218" s="7">
        <f>AB1218/39.3701</f>
      </c>
      <c r="AG1218" s="7">
        <f>AC1218/39.3701</f>
      </c>
      <c r="AH1218" s="7">
        <f>AD1218/39.3701</f>
      </c>
      <c r="AI1218" s="1"/>
      <c r="AJ1218" s="1"/>
      <c r="AK1218" s="1"/>
      <c r="AL1218" s="1"/>
      <c r="AM1218" s="2"/>
      <c r="AN1218" s="1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  <c r="BA1218" s="1"/>
      <c r="BB1218" s="1"/>
      <c r="BC1218" s="1"/>
      <c r="BD1218" s="1"/>
      <c r="BE1218" s="1"/>
    </row>
    <row x14ac:dyDescent="0.25" r="1219" customHeight="1" ht="18.75">
      <c r="A1219" s="1"/>
      <c r="B1219" s="2"/>
      <c r="C1219" s="2"/>
      <c r="D1219" s="2"/>
      <c r="E1219" s="2"/>
      <c r="F1219" s="2"/>
      <c r="G1219" s="1"/>
      <c r="H1219" s="1"/>
      <c r="I1219" s="7">
        <v>1.216</v>
      </c>
      <c r="J1219" s="7">
        <f>IF((I1219-ROUNDDOWN(I1219,0))=0, 0, (I1219-ROUNDDOWN(I1219,0)))</f>
      </c>
      <c r="K1219" s="7">
        <f>INDIRECT("C$"&amp;2+MIN(2,ROUNDDOWN(I1219,0))*3)*(-$J1219^3+3*$J1219^2-3*$J1219+1)+INDIRECT("C$"&amp;3+MIN(2,ROUNDDOWN(I1219,0))*3)*(3*$J1219^3-6*$J1219^2+3*$J1219)+INDIRECT("C$"&amp;4+MIN(2,ROUNDDOWN(I1219,0))*3)*(-3*$J1219^3+3*$J1219^2)+INDIRECT("C$"&amp;5+MIN(2,ROUNDDOWN(I1219,0))*3)*$J1219^3</f>
      </c>
      <c r="L1219" s="7">
        <f>INDIRECT("D$"&amp;2+MIN(2,ROUNDDOWN(I1219,0))*3)*(-$J1219^3+3*$J1219^2-3*$J1219+1)+INDIRECT("D$"&amp;3+MIN(2,ROUNDDOWN(I1219,0))*3)*(3*$J1219^3-6*$J1219^2+3*$J1219)+INDIRECT("D$"&amp;4+MIN(2,ROUNDDOWN(I1219,0))*3)*(-3*$J1219^3+3*$J1219^2)+INDIRECT("D$"&amp;5+MIN(2,ROUNDDOWN(I1219,0))*3)*$J1219^3</f>
      </c>
      <c r="M1219" s="7">
        <f>SQRT(K1219^2+L1219^2)</f>
      </c>
      <c r="N1219" s="7">
        <f>(K1220-K1218)</f>
      </c>
      <c r="O1219" s="7">
        <f>+(L1220-L1218)</f>
      </c>
      <c r="P1219" s="7">
        <f>SQRT(O1219^2+N1219^2)</f>
      </c>
      <c r="Q1219" s="7">
        <f>N1219/$P1219</f>
      </c>
      <c r="R1219" s="7">
        <f>O1219/$P1219</f>
      </c>
      <c r="S1219" s="8">
        <f>Q1219^2+R1219^2</f>
      </c>
      <c r="T1219" s="7">
        <f>-R1219</f>
      </c>
      <c r="U1219" s="7">
        <f>Q1219</f>
      </c>
      <c r="V1219" s="7">
        <f>($C$14+($C$15-$C$14)/($D$15-$D$14)*(I1219-$D$14))/2</f>
      </c>
      <c r="W1219" s="7">
        <f>($B$22*I1219^4+$C$22*I1219^3+$D$22*I1219^2+$E$22*I1219+$F$22)/2</f>
      </c>
      <c r="X1219" s="7">
        <f>($W1219)*(T1219)</f>
      </c>
      <c r="Y1219" s="7">
        <f>($W1219)*(U1219)</f>
      </c>
      <c r="Z1219" s="7">
        <f>SQRT(X1219^2+Y1219^2)</f>
      </c>
      <c r="AA1219" s="7">
        <f>$K1219+$X1219</f>
      </c>
      <c r="AB1219" s="7">
        <f>$L1219+$Y1219</f>
      </c>
      <c r="AC1219" s="7">
        <f>$K1219-$X1219</f>
      </c>
      <c r="AD1219" s="7">
        <f>$L1219-$Y1219</f>
      </c>
      <c r="AE1219" s="7">
        <f>AA1219/39.3701</f>
      </c>
      <c r="AF1219" s="7">
        <f>AB1219/39.3701</f>
      </c>
      <c r="AG1219" s="7">
        <f>AC1219/39.3701</f>
      </c>
      <c r="AH1219" s="7">
        <f>AD1219/39.3701</f>
      </c>
      <c r="AI1219" s="1"/>
      <c r="AJ1219" s="1"/>
      <c r="AK1219" s="1"/>
      <c r="AL1219" s="1"/>
      <c r="AM1219" s="2"/>
      <c r="AN1219" s="1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  <c r="BA1219" s="1"/>
      <c r="BB1219" s="1"/>
      <c r="BC1219" s="1"/>
      <c r="BD1219" s="1"/>
      <c r="BE1219" s="1"/>
    </row>
    <row x14ac:dyDescent="0.25" r="1220" customHeight="1" ht="18.75">
      <c r="A1220" s="1"/>
      <c r="B1220" s="2"/>
      <c r="C1220" s="2"/>
      <c r="D1220" s="2"/>
      <c r="E1220" s="2"/>
      <c r="F1220" s="2"/>
      <c r="G1220" s="1"/>
      <c r="H1220" s="1"/>
      <c r="I1220" s="7">
        <v>1.217</v>
      </c>
      <c r="J1220" s="7">
        <f>IF((I1220-ROUNDDOWN(I1220,0))=0, 0, (I1220-ROUNDDOWN(I1220,0)))</f>
      </c>
      <c r="K1220" s="7">
        <f>INDIRECT("C$"&amp;2+MIN(2,ROUNDDOWN(I1220,0))*3)*(-$J1220^3+3*$J1220^2-3*$J1220+1)+INDIRECT("C$"&amp;3+MIN(2,ROUNDDOWN(I1220,0))*3)*(3*$J1220^3-6*$J1220^2+3*$J1220)+INDIRECT("C$"&amp;4+MIN(2,ROUNDDOWN(I1220,0))*3)*(-3*$J1220^3+3*$J1220^2)+INDIRECT("C$"&amp;5+MIN(2,ROUNDDOWN(I1220,0))*3)*$J1220^3</f>
      </c>
      <c r="L1220" s="7">
        <f>INDIRECT("D$"&amp;2+MIN(2,ROUNDDOWN(I1220,0))*3)*(-$J1220^3+3*$J1220^2-3*$J1220+1)+INDIRECT("D$"&amp;3+MIN(2,ROUNDDOWN(I1220,0))*3)*(3*$J1220^3-6*$J1220^2+3*$J1220)+INDIRECT("D$"&amp;4+MIN(2,ROUNDDOWN(I1220,0))*3)*(-3*$J1220^3+3*$J1220^2)+INDIRECT("D$"&amp;5+MIN(2,ROUNDDOWN(I1220,0))*3)*$J1220^3</f>
      </c>
      <c r="M1220" s="7">
        <f>SQRT(K1220^2+L1220^2)</f>
      </c>
      <c r="N1220" s="7">
        <f>(K1221-K1219)</f>
      </c>
      <c r="O1220" s="7">
        <f>+(L1221-L1219)</f>
      </c>
      <c r="P1220" s="7">
        <f>SQRT(O1220^2+N1220^2)</f>
      </c>
      <c r="Q1220" s="7">
        <f>N1220/$P1220</f>
      </c>
      <c r="R1220" s="7">
        <f>O1220/$P1220</f>
      </c>
      <c r="S1220" s="8">
        <f>Q1220^2+R1220^2</f>
      </c>
      <c r="T1220" s="7">
        <f>-R1220</f>
      </c>
      <c r="U1220" s="7">
        <f>Q1220</f>
      </c>
      <c r="V1220" s="7">
        <f>($C$14+($C$15-$C$14)/($D$15-$D$14)*(I1220-$D$14))/2</f>
      </c>
      <c r="W1220" s="7">
        <f>($B$22*I1220^4+$C$22*I1220^3+$D$22*I1220^2+$E$22*I1220+$F$22)/2</f>
      </c>
      <c r="X1220" s="7">
        <f>($W1220)*(T1220)</f>
      </c>
      <c r="Y1220" s="7">
        <f>($W1220)*(U1220)</f>
      </c>
      <c r="Z1220" s="7">
        <f>SQRT(X1220^2+Y1220^2)</f>
      </c>
      <c r="AA1220" s="7">
        <f>$K1220+$X1220</f>
      </c>
      <c r="AB1220" s="7">
        <f>$L1220+$Y1220</f>
      </c>
      <c r="AC1220" s="7">
        <f>$K1220-$X1220</f>
      </c>
      <c r="AD1220" s="7">
        <f>$L1220-$Y1220</f>
      </c>
      <c r="AE1220" s="7">
        <f>AA1220/39.3701</f>
      </c>
      <c r="AF1220" s="7">
        <f>AB1220/39.3701</f>
      </c>
      <c r="AG1220" s="7">
        <f>AC1220/39.3701</f>
      </c>
      <c r="AH1220" s="7">
        <f>AD1220/39.3701</f>
      </c>
      <c r="AI1220" s="1"/>
      <c r="AJ1220" s="1"/>
      <c r="AK1220" s="1"/>
      <c r="AL1220" s="1"/>
      <c r="AM1220" s="2"/>
      <c r="AN1220" s="1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  <c r="BA1220" s="1"/>
      <c r="BB1220" s="1"/>
      <c r="BC1220" s="1"/>
      <c r="BD1220" s="1"/>
      <c r="BE1220" s="1"/>
    </row>
    <row x14ac:dyDescent="0.25" r="1221" customHeight="1" ht="18.75">
      <c r="A1221" s="1"/>
      <c r="B1221" s="2"/>
      <c r="C1221" s="2"/>
      <c r="D1221" s="2"/>
      <c r="E1221" s="2"/>
      <c r="F1221" s="2"/>
      <c r="G1221" s="1"/>
      <c r="H1221" s="1"/>
      <c r="I1221" s="7">
        <v>1.218</v>
      </c>
      <c r="J1221" s="7">
        <f>IF((I1221-ROUNDDOWN(I1221,0))=0, 0, (I1221-ROUNDDOWN(I1221,0)))</f>
      </c>
      <c r="K1221" s="7">
        <f>INDIRECT("C$"&amp;2+MIN(2,ROUNDDOWN(I1221,0))*3)*(-$J1221^3+3*$J1221^2-3*$J1221+1)+INDIRECT("C$"&amp;3+MIN(2,ROUNDDOWN(I1221,0))*3)*(3*$J1221^3-6*$J1221^2+3*$J1221)+INDIRECT("C$"&amp;4+MIN(2,ROUNDDOWN(I1221,0))*3)*(-3*$J1221^3+3*$J1221^2)+INDIRECT("C$"&amp;5+MIN(2,ROUNDDOWN(I1221,0))*3)*$J1221^3</f>
      </c>
      <c r="L1221" s="7">
        <f>INDIRECT("D$"&amp;2+MIN(2,ROUNDDOWN(I1221,0))*3)*(-$J1221^3+3*$J1221^2-3*$J1221+1)+INDIRECT("D$"&amp;3+MIN(2,ROUNDDOWN(I1221,0))*3)*(3*$J1221^3-6*$J1221^2+3*$J1221)+INDIRECT("D$"&amp;4+MIN(2,ROUNDDOWN(I1221,0))*3)*(-3*$J1221^3+3*$J1221^2)+INDIRECT("D$"&amp;5+MIN(2,ROUNDDOWN(I1221,0))*3)*$J1221^3</f>
      </c>
      <c r="M1221" s="7">
        <f>SQRT(K1221^2+L1221^2)</f>
      </c>
      <c r="N1221" s="7">
        <f>(K1222-K1220)</f>
      </c>
      <c r="O1221" s="7">
        <f>+(L1222-L1220)</f>
      </c>
      <c r="P1221" s="7">
        <f>SQRT(O1221^2+N1221^2)</f>
      </c>
      <c r="Q1221" s="7">
        <f>N1221/$P1221</f>
      </c>
      <c r="R1221" s="7">
        <f>O1221/$P1221</f>
      </c>
      <c r="S1221" s="8">
        <f>Q1221^2+R1221^2</f>
      </c>
      <c r="T1221" s="7">
        <f>-R1221</f>
      </c>
      <c r="U1221" s="7">
        <f>Q1221</f>
      </c>
      <c r="V1221" s="7">
        <f>($C$14+($C$15-$C$14)/($D$15-$D$14)*(I1221-$D$14))/2</f>
      </c>
      <c r="W1221" s="7">
        <f>($B$22*I1221^4+$C$22*I1221^3+$D$22*I1221^2+$E$22*I1221+$F$22)/2</f>
      </c>
      <c r="X1221" s="7">
        <f>($W1221)*(T1221)</f>
      </c>
      <c r="Y1221" s="7">
        <f>($W1221)*(U1221)</f>
      </c>
      <c r="Z1221" s="7">
        <f>SQRT(X1221^2+Y1221^2)</f>
      </c>
      <c r="AA1221" s="7">
        <f>$K1221+$X1221</f>
      </c>
      <c r="AB1221" s="7">
        <f>$L1221+$Y1221</f>
      </c>
      <c r="AC1221" s="7">
        <f>$K1221-$X1221</f>
      </c>
      <c r="AD1221" s="7">
        <f>$L1221-$Y1221</f>
      </c>
      <c r="AE1221" s="7">
        <f>AA1221/39.3701</f>
      </c>
      <c r="AF1221" s="7">
        <f>AB1221/39.3701</f>
      </c>
      <c r="AG1221" s="7">
        <f>AC1221/39.3701</f>
      </c>
      <c r="AH1221" s="7">
        <f>AD1221/39.3701</f>
      </c>
      <c r="AI1221" s="1"/>
      <c r="AJ1221" s="1"/>
      <c r="AK1221" s="1"/>
      <c r="AL1221" s="1"/>
      <c r="AM1221" s="2"/>
      <c r="AN1221" s="1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  <c r="BA1221" s="1"/>
      <c r="BB1221" s="1"/>
      <c r="BC1221" s="1"/>
      <c r="BD1221" s="1"/>
      <c r="BE1221" s="1"/>
    </row>
    <row x14ac:dyDescent="0.25" r="1222" customHeight="1" ht="18.75">
      <c r="A1222" s="1"/>
      <c r="B1222" s="2"/>
      <c r="C1222" s="2"/>
      <c r="D1222" s="2"/>
      <c r="E1222" s="2"/>
      <c r="F1222" s="2"/>
      <c r="G1222" s="1"/>
      <c r="H1222" s="1"/>
      <c r="I1222" s="7">
        <v>1.219</v>
      </c>
      <c r="J1222" s="7">
        <f>IF((I1222-ROUNDDOWN(I1222,0))=0, 0, (I1222-ROUNDDOWN(I1222,0)))</f>
      </c>
      <c r="K1222" s="7">
        <f>INDIRECT("C$"&amp;2+MIN(2,ROUNDDOWN(I1222,0))*3)*(-$J1222^3+3*$J1222^2-3*$J1222+1)+INDIRECT("C$"&amp;3+MIN(2,ROUNDDOWN(I1222,0))*3)*(3*$J1222^3-6*$J1222^2+3*$J1222)+INDIRECT("C$"&amp;4+MIN(2,ROUNDDOWN(I1222,0))*3)*(-3*$J1222^3+3*$J1222^2)+INDIRECT("C$"&amp;5+MIN(2,ROUNDDOWN(I1222,0))*3)*$J1222^3</f>
      </c>
      <c r="L1222" s="7">
        <f>INDIRECT("D$"&amp;2+MIN(2,ROUNDDOWN(I1222,0))*3)*(-$J1222^3+3*$J1222^2-3*$J1222+1)+INDIRECT("D$"&amp;3+MIN(2,ROUNDDOWN(I1222,0))*3)*(3*$J1222^3-6*$J1222^2+3*$J1222)+INDIRECT("D$"&amp;4+MIN(2,ROUNDDOWN(I1222,0))*3)*(-3*$J1222^3+3*$J1222^2)+INDIRECT("D$"&amp;5+MIN(2,ROUNDDOWN(I1222,0))*3)*$J1222^3</f>
      </c>
      <c r="M1222" s="7">
        <f>SQRT(K1222^2+L1222^2)</f>
      </c>
      <c r="N1222" s="7">
        <f>(K1223-K1221)</f>
      </c>
      <c r="O1222" s="7">
        <f>+(L1223-L1221)</f>
      </c>
      <c r="P1222" s="7">
        <f>SQRT(O1222^2+N1222^2)</f>
      </c>
      <c r="Q1222" s="7">
        <f>N1222/$P1222</f>
      </c>
      <c r="R1222" s="7">
        <f>O1222/$P1222</f>
      </c>
      <c r="S1222" s="8">
        <f>Q1222^2+R1222^2</f>
      </c>
      <c r="T1222" s="7">
        <f>-R1222</f>
      </c>
      <c r="U1222" s="7">
        <f>Q1222</f>
      </c>
      <c r="V1222" s="7">
        <f>($C$14+($C$15-$C$14)/($D$15-$D$14)*(I1222-$D$14))/2</f>
      </c>
      <c r="W1222" s="7">
        <f>($B$22*I1222^4+$C$22*I1222^3+$D$22*I1222^2+$E$22*I1222+$F$22)/2</f>
      </c>
      <c r="X1222" s="7">
        <f>($W1222)*(T1222)</f>
      </c>
      <c r="Y1222" s="7">
        <f>($W1222)*(U1222)</f>
      </c>
      <c r="Z1222" s="7">
        <f>SQRT(X1222^2+Y1222^2)</f>
      </c>
      <c r="AA1222" s="7">
        <f>$K1222+$X1222</f>
      </c>
      <c r="AB1222" s="7">
        <f>$L1222+$Y1222</f>
      </c>
      <c r="AC1222" s="7">
        <f>$K1222-$X1222</f>
      </c>
      <c r="AD1222" s="7">
        <f>$L1222-$Y1222</f>
      </c>
      <c r="AE1222" s="7">
        <f>AA1222/39.3701</f>
      </c>
      <c r="AF1222" s="7">
        <f>AB1222/39.3701</f>
      </c>
      <c r="AG1222" s="7">
        <f>AC1222/39.3701</f>
      </c>
      <c r="AH1222" s="7">
        <f>AD1222/39.3701</f>
      </c>
      <c r="AI1222" s="1"/>
      <c r="AJ1222" s="1"/>
      <c r="AK1222" s="1"/>
      <c r="AL1222" s="1"/>
      <c r="AM1222" s="2"/>
      <c r="AN1222" s="1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  <c r="BA1222" s="1"/>
      <c r="BB1222" s="1"/>
      <c r="BC1222" s="1"/>
      <c r="BD1222" s="1"/>
      <c r="BE1222" s="1"/>
    </row>
    <row x14ac:dyDescent="0.25" r="1223" customHeight="1" ht="18.75">
      <c r="A1223" s="1"/>
      <c r="B1223" s="2"/>
      <c r="C1223" s="2"/>
      <c r="D1223" s="2"/>
      <c r="E1223" s="2"/>
      <c r="F1223" s="2"/>
      <c r="G1223" s="1"/>
      <c r="H1223" s="1"/>
      <c r="I1223" s="7">
        <v>1.22</v>
      </c>
      <c r="J1223" s="7">
        <f>IF((I1223-ROUNDDOWN(I1223,0))=0, 0, (I1223-ROUNDDOWN(I1223,0)))</f>
      </c>
      <c r="K1223" s="7">
        <f>INDIRECT("C$"&amp;2+MIN(2,ROUNDDOWN(I1223,0))*3)*(-$J1223^3+3*$J1223^2-3*$J1223+1)+INDIRECT("C$"&amp;3+MIN(2,ROUNDDOWN(I1223,0))*3)*(3*$J1223^3-6*$J1223^2+3*$J1223)+INDIRECT("C$"&amp;4+MIN(2,ROUNDDOWN(I1223,0))*3)*(-3*$J1223^3+3*$J1223^2)+INDIRECT("C$"&amp;5+MIN(2,ROUNDDOWN(I1223,0))*3)*$J1223^3</f>
      </c>
      <c r="L1223" s="7">
        <f>INDIRECT("D$"&amp;2+MIN(2,ROUNDDOWN(I1223,0))*3)*(-$J1223^3+3*$J1223^2-3*$J1223+1)+INDIRECT("D$"&amp;3+MIN(2,ROUNDDOWN(I1223,0))*3)*(3*$J1223^3-6*$J1223^2+3*$J1223)+INDIRECT("D$"&amp;4+MIN(2,ROUNDDOWN(I1223,0))*3)*(-3*$J1223^3+3*$J1223^2)+INDIRECT("D$"&amp;5+MIN(2,ROUNDDOWN(I1223,0))*3)*$J1223^3</f>
      </c>
      <c r="M1223" s="7">
        <f>SQRT(K1223^2+L1223^2)</f>
      </c>
      <c r="N1223" s="7">
        <f>(K1224-K1222)</f>
      </c>
      <c r="O1223" s="7">
        <f>+(L1224-L1222)</f>
      </c>
      <c r="P1223" s="7">
        <f>SQRT(O1223^2+N1223^2)</f>
      </c>
      <c r="Q1223" s="7">
        <f>N1223/$P1223</f>
      </c>
      <c r="R1223" s="7">
        <f>O1223/$P1223</f>
      </c>
      <c r="S1223" s="8">
        <f>Q1223^2+R1223^2</f>
      </c>
      <c r="T1223" s="7">
        <f>-R1223</f>
      </c>
      <c r="U1223" s="7">
        <f>Q1223</f>
      </c>
      <c r="V1223" s="7">
        <f>($C$14+($C$15-$C$14)/($D$15-$D$14)*(I1223-$D$14))/2</f>
      </c>
      <c r="W1223" s="7">
        <f>($B$22*I1223^4+$C$22*I1223^3+$D$22*I1223^2+$E$22*I1223+$F$22)/2</f>
      </c>
      <c r="X1223" s="7">
        <f>($W1223)*(T1223)</f>
      </c>
      <c r="Y1223" s="7">
        <f>($W1223)*(U1223)</f>
      </c>
      <c r="Z1223" s="7">
        <f>SQRT(X1223^2+Y1223^2)</f>
      </c>
      <c r="AA1223" s="7">
        <f>$K1223+$X1223</f>
      </c>
      <c r="AB1223" s="7">
        <f>$L1223+$Y1223</f>
      </c>
      <c r="AC1223" s="7">
        <f>$K1223-$X1223</f>
      </c>
      <c r="AD1223" s="7">
        <f>$L1223-$Y1223</f>
      </c>
      <c r="AE1223" s="7">
        <f>AA1223/39.3701</f>
      </c>
      <c r="AF1223" s="7">
        <f>AB1223/39.3701</f>
      </c>
      <c r="AG1223" s="7">
        <f>AC1223/39.3701</f>
      </c>
      <c r="AH1223" s="7">
        <f>AD1223/39.3701</f>
      </c>
      <c r="AI1223" s="1"/>
      <c r="AJ1223" s="1"/>
      <c r="AK1223" s="1"/>
      <c r="AL1223" s="1"/>
      <c r="AM1223" s="2"/>
      <c r="AN1223" s="1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  <c r="BA1223" s="1"/>
      <c r="BB1223" s="1"/>
      <c r="BC1223" s="1"/>
      <c r="BD1223" s="1"/>
      <c r="BE1223" s="1"/>
    </row>
    <row x14ac:dyDescent="0.25" r="1224" customHeight="1" ht="18.75">
      <c r="A1224" s="1"/>
      <c r="B1224" s="2"/>
      <c r="C1224" s="2"/>
      <c r="D1224" s="2"/>
      <c r="E1224" s="2"/>
      <c r="F1224" s="2"/>
      <c r="G1224" s="1"/>
      <c r="H1224" s="1"/>
      <c r="I1224" s="7">
        <v>1.221</v>
      </c>
      <c r="J1224" s="7">
        <f>IF((I1224-ROUNDDOWN(I1224,0))=0, 0, (I1224-ROUNDDOWN(I1224,0)))</f>
      </c>
      <c r="K1224" s="7">
        <f>INDIRECT("C$"&amp;2+MIN(2,ROUNDDOWN(I1224,0))*3)*(-$J1224^3+3*$J1224^2-3*$J1224+1)+INDIRECT("C$"&amp;3+MIN(2,ROUNDDOWN(I1224,0))*3)*(3*$J1224^3-6*$J1224^2+3*$J1224)+INDIRECT("C$"&amp;4+MIN(2,ROUNDDOWN(I1224,0))*3)*(-3*$J1224^3+3*$J1224^2)+INDIRECT("C$"&amp;5+MIN(2,ROUNDDOWN(I1224,0))*3)*$J1224^3</f>
      </c>
      <c r="L1224" s="7">
        <f>INDIRECT("D$"&amp;2+MIN(2,ROUNDDOWN(I1224,0))*3)*(-$J1224^3+3*$J1224^2-3*$J1224+1)+INDIRECT("D$"&amp;3+MIN(2,ROUNDDOWN(I1224,0))*3)*(3*$J1224^3-6*$J1224^2+3*$J1224)+INDIRECT("D$"&amp;4+MIN(2,ROUNDDOWN(I1224,0))*3)*(-3*$J1224^3+3*$J1224^2)+INDIRECT("D$"&amp;5+MIN(2,ROUNDDOWN(I1224,0))*3)*$J1224^3</f>
      </c>
      <c r="M1224" s="7">
        <f>SQRT(K1224^2+L1224^2)</f>
      </c>
      <c r="N1224" s="7">
        <f>(K1225-K1223)</f>
      </c>
      <c r="O1224" s="7">
        <f>+(L1225-L1223)</f>
      </c>
      <c r="P1224" s="7">
        <f>SQRT(O1224^2+N1224^2)</f>
      </c>
      <c r="Q1224" s="7">
        <f>N1224/$P1224</f>
      </c>
      <c r="R1224" s="7">
        <f>O1224/$P1224</f>
      </c>
      <c r="S1224" s="8">
        <f>Q1224^2+R1224^2</f>
      </c>
      <c r="T1224" s="7">
        <f>-R1224</f>
      </c>
      <c r="U1224" s="7">
        <f>Q1224</f>
      </c>
      <c r="V1224" s="7">
        <f>($C$14+($C$15-$C$14)/($D$15-$D$14)*(I1224-$D$14))/2</f>
      </c>
      <c r="W1224" s="7">
        <f>($B$22*I1224^4+$C$22*I1224^3+$D$22*I1224^2+$E$22*I1224+$F$22)/2</f>
      </c>
      <c r="X1224" s="7">
        <f>($W1224)*(T1224)</f>
      </c>
      <c r="Y1224" s="7">
        <f>($W1224)*(U1224)</f>
      </c>
      <c r="Z1224" s="7">
        <f>SQRT(X1224^2+Y1224^2)</f>
      </c>
      <c r="AA1224" s="7">
        <f>$K1224+$X1224</f>
      </c>
      <c r="AB1224" s="7">
        <f>$L1224+$Y1224</f>
      </c>
      <c r="AC1224" s="7">
        <f>$K1224-$X1224</f>
      </c>
      <c r="AD1224" s="7">
        <f>$L1224-$Y1224</f>
      </c>
      <c r="AE1224" s="7">
        <f>AA1224/39.3701</f>
      </c>
      <c r="AF1224" s="7">
        <f>AB1224/39.3701</f>
      </c>
      <c r="AG1224" s="7">
        <f>AC1224/39.3701</f>
      </c>
      <c r="AH1224" s="7">
        <f>AD1224/39.3701</f>
      </c>
      <c r="AI1224" s="1"/>
      <c r="AJ1224" s="1"/>
      <c r="AK1224" s="1"/>
      <c r="AL1224" s="1"/>
      <c r="AM1224" s="2"/>
      <c r="AN1224" s="1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  <c r="BA1224" s="1"/>
      <c r="BB1224" s="1"/>
      <c r="BC1224" s="1"/>
      <c r="BD1224" s="1"/>
      <c r="BE1224" s="1"/>
    </row>
    <row x14ac:dyDescent="0.25" r="1225" customHeight="1" ht="18.75">
      <c r="A1225" s="1"/>
      <c r="B1225" s="2"/>
      <c r="C1225" s="2"/>
      <c r="D1225" s="2"/>
      <c r="E1225" s="2"/>
      <c r="F1225" s="2"/>
      <c r="G1225" s="1"/>
      <c r="H1225" s="1"/>
      <c r="I1225" s="7">
        <v>1.222</v>
      </c>
      <c r="J1225" s="7">
        <f>IF((I1225-ROUNDDOWN(I1225,0))=0, 0, (I1225-ROUNDDOWN(I1225,0)))</f>
      </c>
      <c r="K1225" s="7">
        <f>INDIRECT("C$"&amp;2+MIN(2,ROUNDDOWN(I1225,0))*3)*(-$J1225^3+3*$J1225^2-3*$J1225+1)+INDIRECT("C$"&amp;3+MIN(2,ROUNDDOWN(I1225,0))*3)*(3*$J1225^3-6*$J1225^2+3*$J1225)+INDIRECT("C$"&amp;4+MIN(2,ROUNDDOWN(I1225,0))*3)*(-3*$J1225^3+3*$J1225^2)+INDIRECT("C$"&amp;5+MIN(2,ROUNDDOWN(I1225,0))*3)*$J1225^3</f>
      </c>
      <c r="L1225" s="7">
        <f>INDIRECT("D$"&amp;2+MIN(2,ROUNDDOWN(I1225,0))*3)*(-$J1225^3+3*$J1225^2-3*$J1225+1)+INDIRECT("D$"&amp;3+MIN(2,ROUNDDOWN(I1225,0))*3)*(3*$J1225^3-6*$J1225^2+3*$J1225)+INDIRECT("D$"&amp;4+MIN(2,ROUNDDOWN(I1225,0))*3)*(-3*$J1225^3+3*$J1225^2)+INDIRECT("D$"&amp;5+MIN(2,ROUNDDOWN(I1225,0))*3)*$J1225^3</f>
      </c>
      <c r="M1225" s="7">
        <f>SQRT(K1225^2+L1225^2)</f>
      </c>
      <c r="N1225" s="7">
        <f>(K1226-K1224)</f>
      </c>
      <c r="O1225" s="7">
        <f>+(L1226-L1224)</f>
      </c>
      <c r="P1225" s="7">
        <f>SQRT(O1225^2+N1225^2)</f>
      </c>
      <c r="Q1225" s="7">
        <f>N1225/$P1225</f>
      </c>
      <c r="R1225" s="7">
        <f>O1225/$P1225</f>
      </c>
      <c r="S1225" s="8">
        <f>Q1225^2+R1225^2</f>
      </c>
      <c r="T1225" s="7">
        <f>-R1225</f>
      </c>
      <c r="U1225" s="7">
        <f>Q1225</f>
      </c>
      <c r="V1225" s="7">
        <f>($C$14+($C$15-$C$14)/($D$15-$D$14)*(I1225-$D$14))/2</f>
      </c>
      <c r="W1225" s="7">
        <f>($B$22*I1225^4+$C$22*I1225^3+$D$22*I1225^2+$E$22*I1225+$F$22)/2</f>
      </c>
      <c r="X1225" s="7">
        <f>($W1225)*(T1225)</f>
      </c>
      <c r="Y1225" s="7">
        <f>($W1225)*(U1225)</f>
      </c>
      <c r="Z1225" s="7">
        <f>SQRT(X1225^2+Y1225^2)</f>
      </c>
      <c r="AA1225" s="7">
        <f>$K1225+$X1225</f>
      </c>
      <c r="AB1225" s="7">
        <f>$L1225+$Y1225</f>
      </c>
      <c r="AC1225" s="7">
        <f>$K1225-$X1225</f>
      </c>
      <c r="AD1225" s="7">
        <f>$L1225-$Y1225</f>
      </c>
      <c r="AE1225" s="7">
        <f>AA1225/39.3701</f>
      </c>
      <c r="AF1225" s="7">
        <f>AB1225/39.3701</f>
      </c>
      <c r="AG1225" s="7">
        <f>AC1225/39.3701</f>
      </c>
      <c r="AH1225" s="7">
        <f>AD1225/39.3701</f>
      </c>
      <c r="AI1225" s="1"/>
      <c r="AJ1225" s="1"/>
      <c r="AK1225" s="1"/>
      <c r="AL1225" s="1"/>
      <c r="AM1225" s="2"/>
      <c r="AN1225" s="1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  <c r="BA1225" s="1"/>
      <c r="BB1225" s="1"/>
      <c r="BC1225" s="1"/>
      <c r="BD1225" s="1"/>
      <c r="BE1225" s="1"/>
    </row>
    <row x14ac:dyDescent="0.25" r="1226" customHeight="1" ht="18.75">
      <c r="A1226" s="1"/>
      <c r="B1226" s="2"/>
      <c r="C1226" s="2"/>
      <c r="D1226" s="2"/>
      <c r="E1226" s="2"/>
      <c r="F1226" s="2"/>
      <c r="G1226" s="1"/>
      <c r="H1226" s="1"/>
      <c r="I1226" s="7">
        <v>1.223</v>
      </c>
      <c r="J1226" s="7">
        <f>IF((I1226-ROUNDDOWN(I1226,0))=0, 0, (I1226-ROUNDDOWN(I1226,0)))</f>
      </c>
      <c r="K1226" s="7">
        <f>INDIRECT("C$"&amp;2+MIN(2,ROUNDDOWN(I1226,0))*3)*(-$J1226^3+3*$J1226^2-3*$J1226+1)+INDIRECT("C$"&amp;3+MIN(2,ROUNDDOWN(I1226,0))*3)*(3*$J1226^3-6*$J1226^2+3*$J1226)+INDIRECT("C$"&amp;4+MIN(2,ROUNDDOWN(I1226,0))*3)*(-3*$J1226^3+3*$J1226^2)+INDIRECT("C$"&amp;5+MIN(2,ROUNDDOWN(I1226,0))*3)*$J1226^3</f>
      </c>
      <c r="L1226" s="7">
        <f>INDIRECT("D$"&amp;2+MIN(2,ROUNDDOWN(I1226,0))*3)*(-$J1226^3+3*$J1226^2-3*$J1226+1)+INDIRECT("D$"&amp;3+MIN(2,ROUNDDOWN(I1226,0))*3)*(3*$J1226^3-6*$J1226^2+3*$J1226)+INDIRECT("D$"&amp;4+MIN(2,ROUNDDOWN(I1226,0))*3)*(-3*$J1226^3+3*$J1226^2)+INDIRECT("D$"&amp;5+MIN(2,ROUNDDOWN(I1226,0))*3)*$J1226^3</f>
      </c>
      <c r="M1226" s="7">
        <f>SQRT(K1226^2+L1226^2)</f>
      </c>
      <c r="N1226" s="7">
        <f>(K1227-K1225)</f>
      </c>
      <c r="O1226" s="7">
        <f>+(L1227-L1225)</f>
      </c>
      <c r="P1226" s="7">
        <f>SQRT(O1226^2+N1226^2)</f>
      </c>
      <c r="Q1226" s="7">
        <f>N1226/$P1226</f>
      </c>
      <c r="R1226" s="7">
        <f>O1226/$P1226</f>
      </c>
      <c r="S1226" s="8">
        <f>Q1226^2+R1226^2</f>
      </c>
      <c r="T1226" s="7">
        <f>-R1226</f>
      </c>
      <c r="U1226" s="7">
        <f>Q1226</f>
      </c>
      <c r="V1226" s="7">
        <f>($C$14+($C$15-$C$14)/($D$15-$D$14)*(I1226-$D$14))/2</f>
      </c>
      <c r="W1226" s="7">
        <f>($B$22*I1226^4+$C$22*I1226^3+$D$22*I1226^2+$E$22*I1226+$F$22)/2</f>
      </c>
      <c r="X1226" s="7">
        <f>($W1226)*(T1226)</f>
      </c>
      <c r="Y1226" s="7">
        <f>($W1226)*(U1226)</f>
      </c>
      <c r="Z1226" s="7">
        <f>SQRT(X1226^2+Y1226^2)</f>
      </c>
      <c r="AA1226" s="7">
        <f>$K1226+$X1226</f>
      </c>
      <c r="AB1226" s="7">
        <f>$L1226+$Y1226</f>
      </c>
      <c r="AC1226" s="7">
        <f>$K1226-$X1226</f>
      </c>
      <c r="AD1226" s="7">
        <f>$L1226-$Y1226</f>
      </c>
      <c r="AE1226" s="7">
        <f>AA1226/39.3701</f>
      </c>
      <c r="AF1226" s="7">
        <f>AB1226/39.3701</f>
      </c>
      <c r="AG1226" s="7">
        <f>AC1226/39.3701</f>
      </c>
      <c r="AH1226" s="7">
        <f>AD1226/39.3701</f>
      </c>
      <c r="AI1226" s="1"/>
      <c r="AJ1226" s="1"/>
      <c r="AK1226" s="1"/>
      <c r="AL1226" s="1"/>
      <c r="AM1226" s="2"/>
      <c r="AN1226" s="1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  <c r="BA1226" s="1"/>
      <c r="BB1226" s="1"/>
      <c r="BC1226" s="1"/>
      <c r="BD1226" s="1"/>
      <c r="BE1226" s="1"/>
    </row>
    <row x14ac:dyDescent="0.25" r="1227" customHeight="1" ht="18.75">
      <c r="A1227" s="1"/>
      <c r="B1227" s="2"/>
      <c r="C1227" s="2"/>
      <c r="D1227" s="2"/>
      <c r="E1227" s="2"/>
      <c r="F1227" s="2"/>
      <c r="G1227" s="1"/>
      <c r="H1227" s="1"/>
      <c r="I1227" s="7">
        <v>1.224</v>
      </c>
      <c r="J1227" s="7">
        <f>IF((I1227-ROUNDDOWN(I1227,0))=0, 0, (I1227-ROUNDDOWN(I1227,0)))</f>
      </c>
      <c r="K1227" s="7">
        <f>INDIRECT("C$"&amp;2+MIN(2,ROUNDDOWN(I1227,0))*3)*(-$J1227^3+3*$J1227^2-3*$J1227+1)+INDIRECT("C$"&amp;3+MIN(2,ROUNDDOWN(I1227,0))*3)*(3*$J1227^3-6*$J1227^2+3*$J1227)+INDIRECT("C$"&amp;4+MIN(2,ROUNDDOWN(I1227,0))*3)*(-3*$J1227^3+3*$J1227^2)+INDIRECT("C$"&amp;5+MIN(2,ROUNDDOWN(I1227,0))*3)*$J1227^3</f>
      </c>
      <c r="L1227" s="7">
        <f>INDIRECT("D$"&amp;2+MIN(2,ROUNDDOWN(I1227,0))*3)*(-$J1227^3+3*$J1227^2-3*$J1227+1)+INDIRECT("D$"&amp;3+MIN(2,ROUNDDOWN(I1227,0))*3)*(3*$J1227^3-6*$J1227^2+3*$J1227)+INDIRECT("D$"&amp;4+MIN(2,ROUNDDOWN(I1227,0))*3)*(-3*$J1227^3+3*$J1227^2)+INDIRECT("D$"&amp;5+MIN(2,ROUNDDOWN(I1227,0))*3)*$J1227^3</f>
      </c>
      <c r="M1227" s="7">
        <f>SQRT(K1227^2+L1227^2)</f>
      </c>
      <c r="N1227" s="7">
        <f>(K1228-K1226)</f>
      </c>
      <c r="O1227" s="7">
        <f>+(L1228-L1226)</f>
      </c>
      <c r="P1227" s="7">
        <f>SQRT(O1227^2+N1227^2)</f>
      </c>
      <c r="Q1227" s="7">
        <f>N1227/$P1227</f>
      </c>
      <c r="R1227" s="7">
        <f>O1227/$P1227</f>
      </c>
      <c r="S1227" s="8">
        <f>Q1227^2+R1227^2</f>
      </c>
      <c r="T1227" s="7">
        <f>-R1227</f>
      </c>
      <c r="U1227" s="7">
        <f>Q1227</f>
      </c>
      <c r="V1227" s="7">
        <f>($C$14+($C$15-$C$14)/($D$15-$D$14)*(I1227-$D$14))/2</f>
      </c>
      <c r="W1227" s="7">
        <f>($B$22*I1227^4+$C$22*I1227^3+$D$22*I1227^2+$E$22*I1227+$F$22)/2</f>
      </c>
      <c r="X1227" s="7">
        <f>($W1227)*(T1227)</f>
      </c>
      <c r="Y1227" s="7">
        <f>($W1227)*(U1227)</f>
      </c>
      <c r="Z1227" s="7">
        <f>SQRT(X1227^2+Y1227^2)</f>
      </c>
      <c r="AA1227" s="7">
        <f>$K1227+$X1227</f>
      </c>
      <c r="AB1227" s="7">
        <f>$L1227+$Y1227</f>
      </c>
      <c r="AC1227" s="7">
        <f>$K1227-$X1227</f>
      </c>
      <c r="AD1227" s="7">
        <f>$L1227-$Y1227</f>
      </c>
      <c r="AE1227" s="7">
        <f>AA1227/39.3701</f>
      </c>
      <c r="AF1227" s="7">
        <f>AB1227/39.3701</f>
      </c>
      <c r="AG1227" s="7">
        <f>AC1227/39.3701</f>
      </c>
      <c r="AH1227" s="7">
        <f>AD1227/39.3701</f>
      </c>
      <c r="AI1227" s="1"/>
      <c r="AJ1227" s="1"/>
      <c r="AK1227" s="1"/>
      <c r="AL1227" s="1"/>
      <c r="AM1227" s="2"/>
      <c r="AN1227" s="1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  <c r="BA1227" s="1"/>
      <c r="BB1227" s="1"/>
      <c r="BC1227" s="1"/>
      <c r="BD1227" s="1"/>
      <c r="BE1227" s="1"/>
    </row>
    <row x14ac:dyDescent="0.25" r="1228" customHeight="1" ht="18.75">
      <c r="A1228" s="1"/>
      <c r="B1228" s="2"/>
      <c r="C1228" s="2"/>
      <c r="D1228" s="2"/>
      <c r="E1228" s="2"/>
      <c r="F1228" s="2"/>
      <c r="G1228" s="1"/>
      <c r="H1228" s="1"/>
      <c r="I1228" s="7">
        <v>1.225</v>
      </c>
      <c r="J1228" s="7">
        <f>IF((I1228-ROUNDDOWN(I1228,0))=0, 0, (I1228-ROUNDDOWN(I1228,0)))</f>
      </c>
      <c r="K1228" s="7">
        <f>INDIRECT("C$"&amp;2+MIN(2,ROUNDDOWN(I1228,0))*3)*(-$J1228^3+3*$J1228^2-3*$J1228+1)+INDIRECT("C$"&amp;3+MIN(2,ROUNDDOWN(I1228,0))*3)*(3*$J1228^3-6*$J1228^2+3*$J1228)+INDIRECT("C$"&amp;4+MIN(2,ROUNDDOWN(I1228,0))*3)*(-3*$J1228^3+3*$J1228^2)+INDIRECT("C$"&amp;5+MIN(2,ROUNDDOWN(I1228,0))*3)*$J1228^3</f>
      </c>
      <c r="L1228" s="7">
        <f>INDIRECT("D$"&amp;2+MIN(2,ROUNDDOWN(I1228,0))*3)*(-$J1228^3+3*$J1228^2-3*$J1228+1)+INDIRECT("D$"&amp;3+MIN(2,ROUNDDOWN(I1228,0))*3)*(3*$J1228^3-6*$J1228^2+3*$J1228)+INDIRECT("D$"&amp;4+MIN(2,ROUNDDOWN(I1228,0))*3)*(-3*$J1228^3+3*$J1228^2)+INDIRECT("D$"&amp;5+MIN(2,ROUNDDOWN(I1228,0))*3)*$J1228^3</f>
      </c>
      <c r="M1228" s="7">
        <f>SQRT(K1228^2+L1228^2)</f>
      </c>
      <c r="N1228" s="7">
        <f>(K1229-K1227)</f>
      </c>
      <c r="O1228" s="7">
        <f>+(L1229-L1227)</f>
      </c>
      <c r="P1228" s="7">
        <f>SQRT(O1228^2+N1228^2)</f>
      </c>
      <c r="Q1228" s="7">
        <f>N1228/$P1228</f>
      </c>
      <c r="R1228" s="7">
        <f>O1228/$P1228</f>
      </c>
      <c r="S1228" s="7">
        <f>Q1228^2+R1228^2</f>
      </c>
      <c r="T1228" s="7">
        <f>-R1228</f>
      </c>
      <c r="U1228" s="7">
        <f>Q1228</f>
      </c>
      <c r="V1228" s="7">
        <f>($C$14+($C$15-$C$14)/($D$15-$D$14)*(I1228-$D$14))/2</f>
      </c>
      <c r="W1228" s="7">
        <f>($B$22*I1228^4+$C$22*I1228^3+$D$22*I1228^2+$E$22*I1228+$F$22)/2</f>
      </c>
      <c r="X1228" s="7">
        <f>($W1228)*(T1228)</f>
      </c>
      <c r="Y1228" s="7">
        <f>($W1228)*(U1228)</f>
      </c>
      <c r="Z1228" s="7">
        <f>SQRT(X1228^2+Y1228^2)</f>
      </c>
      <c r="AA1228" s="7">
        <f>$K1228+$X1228</f>
      </c>
      <c r="AB1228" s="7">
        <f>$L1228+$Y1228</f>
      </c>
      <c r="AC1228" s="7">
        <f>$K1228-$X1228</f>
      </c>
      <c r="AD1228" s="7">
        <f>$L1228-$Y1228</f>
      </c>
      <c r="AE1228" s="7">
        <f>AA1228/39.3701</f>
      </c>
      <c r="AF1228" s="7">
        <f>AB1228/39.3701</f>
      </c>
      <c r="AG1228" s="7">
        <f>AC1228/39.3701</f>
      </c>
      <c r="AH1228" s="7">
        <f>AD1228/39.3701</f>
      </c>
      <c r="AI1228" s="1"/>
      <c r="AJ1228" s="1"/>
      <c r="AK1228" s="1"/>
      <c r="AL1228" s="1"/>
      <c r="AM1228" s="2"/>
      <c r="AN1228" s="1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  <c r="BA1228" s="1"/>
      <c r="BB1228" s="1"/>
      <c r="BC1228" s="1"/>
      <c r="BD1228" s="1"/>
      <c r="BE1228" s="1"/>
    </row>
    <row x14ac:dyDescent="0.25" r="1229" customHeight="1" ht="18.75">
      <c r="A1229" s="1"/>
      <c r="B1229" s="2"/>
      <c r="C1229" s="2"/>
      <c r="D1229" s="2"/>
      <c r="E1229" s="2"/>
      <c r="F1229" s="2"/>
      <c r="G1229" s="1"/>
      <c r="H1229" s="1"/>
      <c r="I1229" s="7">
        <v>1.226</v>
      </c>
      <c r="J1229" s="7">
        <f>IF((I1229-ROUNDDOWN(I1229,0))=0, 0, (I1229-ROUNDDOWN(I1229,0)))</f>
      </c>
      <c r="K1229" s="7">
        <f>INDIRECT("C$"&amp;2+MIN(2,ROUNDDOWN(I1229,0))*3)*(-$J1229^3+3*$J1229^2-3*$J1229+1)+INDIRECT("C$"&amp;3+MIN(2,ROUNDDOWN(I1229,0))*3)*(3*$J1229^3-6*$J1229^2+3*$J1229)+INDIRECT("C$"&amp;4+MIN(2,ROUNDDOWN(I1229,0))*3)*(-3*$J1229^3+3*$J1229^2)+INDIRECT("C$"&amp;5+MIN(2,ROUNDDOWN(I1229,0))*3)*$J1229^3</f>
      </c>
      <c r="L1229" s="7">
        <f>INDIRECT("D$"&amp;2+MIN(2,ROUNDDOWN(I1229,0))*3)*(-$J1229^3+3*$J1229^2-3*$J1229+1)+INDIRECT("D$"&amp;3+MIN(2,ROUNDDOWN(I1229,0))*3)*(3*$J1229^3-6*$J1229^2+3*$J1229)+INDIRECT("D$"&amp;4+MIN(2,ROUNDDOWN(I1229,0))*3)*(-3*$J1229^3+3*$J1229^2)+INDIRECT("D$"&amp;5+MIN(2,ROUNDDOWN(I1229,0))*3)*$J1229^3</f>
      </c>
      <c r="M1229" s="7">
        <f>SQRT(K1229^2+L1229^2)</f>
      </c>
      <c r="N1229" s="7">
        <f>(K1230-K1228)</f>
      </c>
      <c r="O1229" s="7">
        <f>+(L1230-L1228)</f>
      </c>
      <c r="P1229" s="7">
        <f>SQRT(O1229^2+N1229^2)</f>
      </c>
      <c r="Q1229" s="7">
        <f>N1229/$P1229</f>
      </c>
      <c r="R1229" s="7">
        <f>O1229/$P1229</f>
      </c>
      <c r="S1229" s="8">
        <f>Q1229^2+R1229^2</f>
      </c>
      <c r="T1229" s="7">
        <f>-R1229</f>
      </c>
      <c r="U1229" s="7">
        <f>Q1229</f>
      </c>
      <c r="V1229" s="7">
        <f>($C$14+($C$15-$C$14)/($D$15-$D$14)*(I1229-$D$14))/2</f>
      </c>
      <c r="W1229" s="7">
        <f>($B$22*I1229^4+$C$22*I1229^3+$D$22*I1229^2+$E$22*I1229+$F$22)/2</f>
      </c>
      <c r="X1229" s="7">
        <f>($W1229)*(T1229)</f>
      </c>
      <c r="Y1229" s="7">
        <f>($W1229)*(U1229)</f>
      </c>
      <c r="Z1229" s="7">
        <f>SQRT(X1229^2+Y1229^2)</f>
      </c>
      <c r="AA1229" s="7">
        <f>$K1229+$X1229</f>
      </c>
      <c r="AB1229" s="7">
        <f>$L1229+$Y1229</f>
      </c>
      <c r="AC1229" s="7">
        <f>$K1229-$X1229</f>
      </c>
      <c r="AD1229" s="7">
        <f>$L1229-$Y1229</f>
      </c>
      <c r="AE1229" s="7">
        <f>AA1229/39.3701</f>
      </c>
      <c r="AF1229" s="7">
        <f>AB1229/39.3701</f>
      </c>
      <c r="AG1229" s="7">
        <f>AC1229/39.3701</f>
      </c>
      <c r="AH1229" s="7">
        <f>AD1229/39.3701</f>
      </c>
      <c r="AI1229" s="1"/>
      <c r="AJ1229" s="1"/>
      <c r="AK1229" s="1"/>
      <c r="AL1229" s="1"/>
      <c r="AM1229" s="2"/>
      <c r="AN1229" s="1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  <c r="BA1229" s="1"/>
      <c r="BB1229" s="1"/>
      <c r="BC1229" s="1"/>
      <c r="BD1229" s="1"/>
      <c r="BE1229" s="1"/>
    </row>
    <row x14ac:dyDescent="0.25" r="1230" customHeight="1" ht="18.75">
      <c r="A1230" s="1"/>
      <c r="B1230" s="2"/>
      <c r="C1230" s="2"/>
      <c r="D1230" s="2"/>
      <c r="E1230" s="2"/>
      <c r="F1230" s="2"/>
      <c r="G1230" s="1"/>
      <c r="H1230" s="1"/>
      <c r="I1230" s="7">
        <v>1.227</v>
      </c>
      <c r="J1230" s="7">
        <f>IF((I1230-ROUNDDOWN(I1230,0))=0, 0, (I1230-ROUNDDOWN(I1230,0)))</f>
      </c>
      <c r="K1230" s="7">
        <f>INDIRECT("C$"&amp;2+MIN(2,ROUNDDOWN(I1230,0))*3)*(-$J1230^3+3*$J1230^2-3*$J1230+1)+INDIRECT("C$"&amp;3+MIN(2,ROUNDDOWN(I1230,0))*3)*(3*$J1230^3-6*$J1230^2+3*$J1230)+INDIRECT("C$"&amp;4+MIN(2,ROUNDDOWN(I1230,0))*3)*(-3*$J1230^3+3*$J1230^2)+INDIRECT("C$"&amp;5+MIN(2,ROUNDDOWN(I1230,0))*3)*$J1230^3</f>
      </c>
      <c r="L1230" s="7">
        <f>INDIRECT("D$"&amp;2+MIN(2,ROUNDDOWN(I1230,0))*3)*(-$J1230^3+3*$J1230^2-3*$J1230+1)+INDIRECT("D$"&amp;3+MIN(2,ROUNDDOWN(I1230,0))*3)*(3*$J1230^3-6*$J1230^2+3*$J1230)+INDIRECT("D$"&amp;4+MIN(2,ROUNDDOWN(I1230,0))*3)*(-3*$J1230^3+3*$J1230^2)+INDIRECT("D$"&amp;5+MIN(2,ROUNDDOWN(I1230,0))*3)*$J1230^3</f>
      </c>
      <c r="M1230" s="7">
        <f>SQRT(K1230^2+L1230^2)</f>
      </c>
      <c r="N1230" s="7">
        <f>(K1231-K1229)</f>
      </c>
      <c r="O1230" s="7">
        <f>+(L1231-L1229)</f>
      </c>
      <c r="P1230" s="7">
        <f>SQRT(O1230^2+N1230^2)</f>
      </c>
      <c r="Q1230" s="7">
        <f>N1230/$P1230</f>
      </c>
      <c r="R1230" s="7">
        <f>O1230/$P1230</f>
      </c>
      <c r="S1230" s="7">
        <f>Q1230^2+R1230^2</f>
      </c>
      <c r="T1230" s="7">
        <f>-R1230</f>
      </c>
      <c r="U1230" s="7">
        <f>Q1230</f>
      </c>
      <c r="V1230" s="7">
        <f>($C$14+($C$15-$C$14)/($D$15-$D$14)*(I1230-$D$14))/2</f>
      </c>
      <c r="W1230" s="7">
        <f>($B$22*I1230^4+$C$22*I1230^3+$D$22*I1230^2+$E$22*I1230+$F$22)/2</f>
      </c>
      <c r="X1230" s="7">
        <f>($W1230)*(T1230)</f>
      </c>
      <c r="Y1230" s="7">
        <f>($W1230)*(U1230)</f>
      </c>
      <c r="Z1230" s="7">
        <f>SQRT(X1230^2+Y1230^2)</f>
      </c>
      <c r="AA1230" s="7">
        <f>$K1230+$X1230</f>
      </c>
      <c r="AB1230" s="7">
        <f>$L1230+$Y1230</f>
      </c>
      <c r="AC1230" s="7">
        <f>$K1230-$X1230</f>
      </c>
      <c r="AD1230" s="7">
        <f>$L1230-$Y1230</f>
      </c>
      <c r="AE1230" s="7">
        <f>AA1230/39.3701</f>
      </c>
      <c r="AF1230" s="7">
        <f>AB1230/39.3701</f>
      </c>
      <c r="AG1230" s="7">
        <f>AC1230/39.3701</f>
      </c>
      <c r="AH1230" s="7">
        <f>AD1230/39.3701</f>
      </c>
      <c r="AI1230" s="1"/>
      <c r="AJ1230" s="1"/>
      <c r="AK1230" s="1"/>
      <c r="AL1230" s="1"/>
      <c r="AM1230" s="2"/>
      <c r="AN1230" s="1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  <c r="BA1230" s="1"/>
      <c r="BB1230" s="1"/>
      <c r="BC1230" s="1"/>
      <c r="BD1230" s="1"/>
      <c r="BE1230" s="1"/>
    </row>
    <row x14ac:dyDescent="0.25" r="1231" customHeight="1" ht="18.75">
      <c r="A1231" s="1"/>
      <c r="B1231" s="2"/>
      <c r="C1231" s="2"/>
      <c r="D1231" s="2"/>
      <c r="E1231" s="2"/>
      <c r="F1231" s="2"/>
      <c r="G1231" s="1"/>
      <c r="H1231" s="1"/>
      <c r="I1231" s="7">
        <v>1.228</v>
      </c>
      <c r="J1231" s="7">
        <f>IF((I1231-ROUNDDOWN(I1231,0))=0, 0, (I1231-ROUNDDOWN(I1231,0)))</f>
      </c>
      <c r="K1231" s="7">
        <f>INDIRECT("C$"&amp;2+MIN(2,ROUNDDOWN(I1231,0))*3)*(-$J1231^3+3*$J1231^2-3*$J1231+1)+INDIRECT("C$"&amp;3+MIN(2,ROUNDDOWN(I1231,0))*3)*(3*$J1231^3-6*$J1231^2+3*$J1231)+INDIRECT("C$"&amp;4+MIN(2,ROUNDDOWN(I1231,0))*3)*(-3*$J1231^3+3*$J1231^2)+INDIRECT("C$"&amp;5+MIN(2,ROUNDDOWN(I1231,0))*3)*$J1231^3</f>
      </c>
      <c r="L1231" s="7">
        <f>INDIRECT("D$"&amp;2+MIN(2,ROUNDDOWN(I1231,0))*3)*(-$J1231^3+3*$J1231^2-3*$J1231+1)+INDIRECT("D$"&amp;3+MIN(2,ROUNDDOWN(I1231,0))*3)*(3*$J1231^3-6*$J1231^2+3*$J1231)+INDIRECT("D$"&amp;4+MIN(2,ROUNDDOWN(I1231,0))*3)*(-3*$J1231^3+3*$J1231^2)+INDIRECT("D$"&amp;5+MIN(2,ROUNDDOWN(I1231,0))*3)*$J1231^3</f>
      </c>
      <c r="M1231" s="7">
        <f>SQRT(K1231^2+L1231^2)</f>
      </c>
      <c r="N1231" s="7">
        <f>(K1232-K1230)</f>
      </c>
      <c r="O1231" s="7">
        <f>+(L1232-L1230)</f>
      </c>
      <c r="P1231" s="7">
        <f>SQRT(O1231^2+N1231^2)</f>
      </c>
      <c r="Q1231" s="7">
        <f>N1231/$P1231</f>
      </c>
      <c r="R1231" s="7">
        <f>O1231/$P1231</f>
      </c>
      <c r="S1231" s="8">
        <f>Q1231^2+R1231^2</f>
      </c>
      <c r="T1231" s="7">
        <f>-R1231</f>
      </c>
      <c r="U1231" s="7">
        <f>Q1231</f>
      </c>
      <c r="V1231" s="7">
        <f>($C$14+($C$15-$C$14)/($D$15-$D$14)*(I1231-$D$14))/2</f>
      </c>
      <c r="W1231" s="7">
        <f>($B$22*I1231^4+$C$22*I1231^3+$D$22*I1231^2+$E$22*I1231+$F$22)/2</f>
      </c>
      <c r="X1231" s="7">
        <f>($W1231)*(T1231)</f>
      </c>
      <c r="Y1231" s="7">
        <f>($W1231)*(U1231)</f>
      </c>
      <c r="Z1231" s="7">
        <f>SQRT(X1231^2+Y1231^2)</f>
      </c>
      <c r="AA1231" s="7">
        <f>$K1231+$X1231</f>
      </c>
      <c r="AB1231" s="7">
        <f>$L1231+$Y1231</f>
      </c>
      <c r="AC1231" s="7">
        <f>$K1231-$X1231</f>
      </c>
      <c r="AD1231" s="7">
        <f>$L1231-$Y1231</f>
      </c>
      <c r="AE1231" s="7">
        <f>AA1231/39.3701</f>
      </c>
      <c r="AF1231" s="7">
        <f>AB1231/39.3701</f>
      </c>
      <c r="AG1231" s="7">
        <f>AC1231/39.3701</f>
      </c>
      <c r="AH1231" s="7">
        <f>AD1231/39.3701</f>
      </c>
      <c r="AI1231" s="1"/>
      <c r="AJ1231" s="1"/>
      <c r="AK1231" s="1"/>
      <c r="AL1231" s="1"/>
      <c r="AM1231" s="2"/>
      <c r="AN1231" s="1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  <c r="BA1231" s="1"/>
      <c r="BB1231" s="1"/>
      <c r="BC1231" s="1"/>
      <c r="BD1231" s="1"/>
      <c r="BE1231" s="1"/>
    </row>
    <row x14ac:dyDescent="0.25" r="1232" customHeight="1" ht="18.75">
      <c r="A1232" s="1"/>
      <c r="B1232" s="2"/>
      <c r="C1232" s="2"/>
      <c r="D1232" s="2"/>
      <c r="E1232" s="2"/>
      <c r="F1232" s="2"/>
      <c r="G1232" s="1"/>
      <c r="H1232" s="1"/>
      <c r="I1232" s="7">
        <v>1.229</v>
      </c>
      <c r="J1232" s="7">
        <f>IF((I1232-ROUNDDOWN(I1232,0))=0, 0, (I1232-ROUNDDOWN(I1232,0)))</f>
      </c>
      <c r="K1232" s="7">
        <f>INDIRECT("C$"&amp;2+MIN(2,ROUNDDOWN(I1232,0))*3)*(-$J1232^3+3*$J1232^2-3*$J1232+1)+INDIRECT("C$"&amp;3+MIN(2,ROUNDDOWN(I1232,0))*3)*(3*$J1232^3-6*$J1232^2+3*$J1232)+INDIRECT("C$"&amp;4+MIN(2,ROUNDDOWN(I1232,0))*3)*(-3*$J1232^3+3*$J1232^2)+INDIRECT("C$"&amp;5+MIN(2,ROUNDDOWN(I1232,0))*3)*$J1232^3</f>
      </c>
      <c r="L1232" s="7">
        <f>INDIRECT("D$"&amp;2+MIN(2,ROUNDDOWN(I1232,0))*3)*(-$J1232^3+3*$J1232^2-3*$J1232+1)+INDIRECT("D$"&amp;3+MIN(2,ROUNDDOWN(I1232,0))*3)*(3*$J1232^3-6*$J1232^2+3*$J1232)+INDIRECT("D$"&amp;4+MIN(2,ROUNDDOWN(I1232,0))*3)*(-3*$J1232^3+3*$J1232^2)+INDIRECT("D$"&amp;5+MIN(2,ROUNDDOWN(I1232,0))*3)*$J1232^3</f>
      </c>
      <c r="M1232" s="7">
        <f>SQRT(K1232^2+L1232^2)</f>
      </c>
      <c r="N1232" s="7">
        <f>(K1233-K1231)</f>
      </c>
      <c r="O1232" s="7">
        <f>+(L1233-L1231)</f>
      </c>
      <c r="P1232" s="7">
        <f>SQRT(O1232^2+N1232^2)</f>
      </c>
      <c r="Q1232" s="7">
        <f>N1232/$P1232</f>
      </c>
      <c r="R1232" s="7">
        <f>O1232/$P1232</f>
      </c>
      <c r="S1232" s="8">
        <f>Q1232^2+R1232^2</f>
      </c>
      <c r="T1232" s="7">
        <f>-R1232</f>
      </c>
      <c r="U1232" s="7">
        <f>Q1232</f>
      </c>
      <c r="V1232" s="7">
        <f>($C$14+($C$15-$C$14)/($D$15-$D$14)*(I1232-$D$14))/2</f>
      </c>
      <c r="W1232" s="7">
        <f>($B$22*I1232^4+$C$22*I1232^3+$D$22*I1232^2+$E$22*I1232+$F$22)/2</f>
      </c>
      <c r="X1232" s="7">
        <f>($W1232)*(T1232)</f>
      </c>
      <c r="Y1232" s="7">
        <f>($W1232)*(U1232)</f>
      </c>
      <c r="Z1232" s="7">
        <f>SQRT(X1232^2+Y1232^2)</f>
      </c>
      <c r="AA1232" s="7">
        <f>$K1232+$X1232</f>
      </c>
      <c r="AB1232" s="7">
        <f>$L1232+$Y1232</f>
      </c>
      <c r="AC1232" s="7">
        <f>$K1232-$X1232</f>
      </c>
      <c r="AD1232" s="7">
        <f>$L1232-$Y1232</f>
      </c>
      <c r="AE1232" s="7">
        <f>AA1232/39.3701</f>
      </c>
      <c r="AF1232" s="7">
        <f>AB1232/39.3701</f>
      </c>
      <c r="AG1232" s="7">
        <f>AC1232/39.3701</f>
      </c>
      <c r="AH1232" s="7">
        <f>AD1232/39.3701</f>
      </c>
      <c r="AI1232" s="1"/>
      <c r="AJ1232" s="1"/>
      <c r="AK1232" s="1"/>
      <c r="AL1232" s="1"/>
      <c r="AM1232" s="2"/>
      <c r="AN1232" s="1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  <c r="BA1232" s="1"/>
      <c r="BB1232" s="1"/>
      <c r="BC1232" s="1"/>
      <c r="BD1232" s="1"/>
      <c r="BE1232" s="1"/>
    </row>
    <row x14ac:dyDescent="0.25" r="1233" customHeight="1" ht="18.75">
      <c r="A1233" s="1"/>
      <c r="B1233" s="2"/>
      <c r="C1233" s="2"/>
      <c r="D1233" s="2"/>
      <c r="E1233" s="2"/>
      <c r="F1233" s="2"/>
      <c r="G1233" s="1"/>
      <c r="H1233" s="1"/>
      <c r="I1233" s="7">
        <v>1.23</v>
      </c>
      <c r="J1233" s="7">
        <f>IF((I1233-ROUNDDOWN(I1233,0))=0, 0, (I1233-ROUNDDOWN(I1233,0)))</f>
      </c>
      <c r="K1233" s="7">
        <f>INDIRECT("C$"&amp;2+MIN(2,ROUNDDOWN(I1233,0))*3)*(-$J1233^3+3*$J1233^2-3*$J1233+1)+INDIRECT("C$"&amp;3+MIN(2,ROUNDDOWN(I1233,0))*3)*(3*$J1233^3-6*$J1233^2+3*$J1233)+INDIRECT("C$"&amp;4+MIN(2,ROUNDDOWN(I1233,0))*3)*(-3*$J1233^3+3*$J1233^2)+INDIRECT("C$"&amp;5+MIN(2,ROUNDDOWN(I1233,0))*3)*$J1233^3</f>
      </c>
      <c r="L1233" s="7">
        <f>INDIRECT("D$"&amp;2+MIN(2,ROUNDDOWN(I1233,0))*3)*(-$J1233^3+3*$J1233^2-3*$J1233+1)+INDIRECT("D$"&amp;3+MIN(2,ROUNDDOWN(I1233,0))*3)*(3*$J1233^3-6*$J1233^2+3*$J1233)+INDIRECT("D$"&amp;4+MIN(2,ROUNDDOWN(I1233,0))*3)*(-3*$J1233^3+3*$J1233^2)+INDIRECT("D$"&amp;5+MIN(2,ROUNDDOWN(I1233,0))*3)*$J1233^3</f>
      </c>
      <c r="M1233" s="7">
        <f>SQRT(K1233^2+L1233^2)</f>
      </c>
      <c r="N1233" s="7">
        <f>(K1234-K1232)</f>
      </c>
      <c r="O1233" s="7">
        <f>+(L1234-L1232)</f>
      </c>
      <c r="P1233" s="7">
        <f>SQRT(O1233^2+N1233^2)</f>
      </c>
      <c r="Q1233" s="7">
        <f>N1233/$P1233</f>
      </c>
      <c r="R1233" s="7">
        <f>O1233/$P1233</f>
      </c>
      <c r="S1233" s="7">
        <f>Q1233^2+R1233^2</f>
      </c>
      <c r="T1233" s="7">
        <f>-R1233</f>
      </c>
      <c r="U1233" s="7">
        <f>Q1233</f>
      </c>
      <c r="V1233" s="7">
        <f>($C$14+($C$15-$C$14)/($D$15-$D$14)*(I1233-$D$14))/2</f>
      </c>
      <c r="W1233" s="7">
        <f>($B$22*I1233^4+$C$22*I1233^3+$D$22*I1233^2+$E$22*I1233+$F$22)/2</f>
      </c>
      <c r="X1233" s="7">
        <f>($W1233)*(T1233)</f>
      </c>
      <c r="Y1233" s="7">
        <f>($W1233)*(U1233)</f>
      </c>
      <c r="Z1233" s="7">
        <f>SQRT(X1233^2+Y1233^2)</f>
      </c>
      <c r="AA1233" s="7">
        <f>$K1233+$X1233</f>
      </c>
      <c r="AB1233" s="7">
        <f>$L1233+$Y1233</f>
      </c>
      <c r="AC1233" s="7">
        <f>$K1233-$X1233</f>
      </c>
      <c r="AD1233" s="7">
        <f>$L1233-$Y1233</f>
      </c>
      <c r="AE1233" s="7">
        <f>AA1233/39.3701</f>
      </c>
      <c r="AF1233" s="7">
        <f>AB1233/39.3701</f>
      </c>
      <c r="AG1233" s="7">
        <f>AC1233/39.3701</f>
      </c>
      <c r="AH1233" s="7">
        <f>AD1233/39.3701</f>
      </c>
      <c r="AI1233" s="1"/>
      <c r="AJ1233" s="1"/>
      <c r="AK1233" s="1"/>
      <c r="AL1233" s="1"/>
      <c r="AM1233" s="2"/>
      <c r="AN1233" s="1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  <c r="BA1233" s="1"/>
      <c r="BB1233" s="1"/>
      <c r="BC1233" s="1"/>
      <c r="BD1233" s="1"/>
      <c r="BE1233" s="1"/>
    </row>
    <row x14ac:dyDescent="0.25" r="1234" customHeight="1" ht="18.75">
      <c r="A1234" s="1"/>
      <c r="B1234" s="2"/>
      <c r="C1234" s="2"/>
      <c r="D1234" s="2"/>
      <c r="E1234" s="2"/>
      <c r="F1234" s="2"/>
      <c r="G1234" s="1"/>
      <c r="H1234" s="1"/>
      <c r="I1234" s="7">
        <v>1.231</v>
      </c>
      <c r="J1234" s="7">
        <f>IF((I1234-ROUNDDOWN(I1234,0))=0, 0, (I1234-ROUNDDOWN(I1234,0)))</f>
      </c>
      <c r="K1234" s="7">
        <f>INDIRECT("C$"&amp;2+MIN(2,ROUNDDOWN(I1234,0))*3)*(-$J1234^3+3*$J1234^2-3*$J1234+1)+INDIRECT("C$"&amp;3+MIN(2,ROUNDDOWN(I1234,0))*3)*(3*$J1234^3-6*$J1234^2+3*$J1234)+INDIRECT("C$"&amp;4+MIN(2,ROUNDDOWN(I1234,0))*3)*(-3*$J1234^3+3*$J1234^2)+INDIRECT("C$"&amp;5+MIN(2,ROUNDDOWN(I1234,0))*3)*$J1234^3</f>
      </c>
      <c r="L1234" s="7">
        <f>INDIRECT("D$"&amp;2+MIN(2,ROUNDDOWN(I1234,0))*3)*(-$J1234^3+3*$J1234^2-3*$J1234+1)+INDIRECT("D$"&amp;3+MIN(2,ROUNDDOWN(I1234,0))*3)*(3*$J1234^3-6*$J1234^2+3*$J1234)+INDIRECT("D$"&amp;4+MIN(2,ROUNDDOWN(I1234,0))*3)*(-3*$J1234^3+3*$J1234^2)+INDIRECT("D$"&amp;5+MIN(2,ROUNDDOWN(I1234,0))*3)*$J1234^3</f>
      </c>
      <c r="M1234" s="7">
        <f>SQRT(K1234^2+L1234^2)</f>
      </c>
      <c r="N1234" s="7">
        <f>(K1235-K1233)</f>
      </c>
      <c r="O1234" s="7">
        <f>+(L1235-L1233)</f>
      </c>
      <c r="P1234" s="7">
        <f>SQRT(O1234^2+N1234^2)</f>
      </c>
      <c r="Q1234" s="7">
        <f>N1234/$P1234</f>
      </c>
      <c r="R1234" s="7">
        <f>O1234/$P1234</f>
      </c>
      <c r="S1234" s="8">
        <f>Q1234^2+R1234^2</f>
      </c>
      <c r="T1234" s="7">
        <f>-R1234</f>
      </c>
      <c r="U1234" s="7">
        <f>Q1234</f>
      </c>
      <c r="V1234" s="7">
        <f>($C$14+($C$15-$C$14)/($D$15-$D$14)*(I1234-$D$14))/2</f>
      </c>
      <c r="W1234" s="7">
        <f>($B$22*I1234^4+$C$22*I1234^3+$D$22*I1234^2+$E$22*I1234+$F$22)/2</f>
      </c>
      <c r="X1234" s="7">
        <f>($W1234)*(T1234)</f>
      </c>
      <c r="Y1234" s="7">
        <f>($W1234)*(U1234)</f>
      </c>
      <c r="Z1234" s="7">
        <f>SQRT(X1234^2+Y1234^2)</f>
      </c>
      <c r="AA1234" s="7">
        <f>$K1234+$X1234</f>
      </c>
      <c r="AB1234" s="7">
        <f>$L1234+$Y1234</f>
      </c>
      <c r="AC1234" s="7">
        <f>$K1234-$X1234</f>
      </c>
      <c r="AD1234" s="7">
        <f>$L1234-$Y1234</f>
      </c>
      <c r="AE1234" s="7">
        <f>AA1234/39.3701</f>
      </c>
      <c r="AF1234" s="7">
        <f>AB1234/39.3701</f>
      </c>
      <c r="AG1234" s="7">
        <f>AC1234/39.3701</f>
      </c>
      <c r="AH1234" s="7">
        <f>AD1234/39.3701</f>
      </c>
      <c r="AI1234" s="1"/>
      <c r="AJ1234" s="1"/>
      <c r="AK1234" s="1"/>
      <c r="AL1234" s="1"/>
      <c r="AM1234" s="2"/>
      <c r="AN1234" s="1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  <c r="BA1234" s="1"/>
      <c r="BB1234" s="1"/>
      <c r="BC1234" s="1"/>
      <c r="BD1234" s="1"/>
      <c r="BE1234" s="1"/>
    </row>
    <row x14ac:dyDescent="0.25" r="1235" customHeight="1" ht="18.75">
      <c r="A1235" s="1"/>
      <c r="B1235" s="2"/>
      <c r="C1235" s="2"/>
      <c r="D1235" s="2"/>
      <c r="E1235" s="2"/>
      <c r="F1235" s="2"/>
      <c r="G1235" s="1"/>
      <c r="H1235" s="1"/>
      <c r="I1235" s="7">
        <v>1.232</v>
      </c>
      <c r="J1235" s="7">
        <f>IF((I1235-ROUNDDOWN(I1235,0))=0, 0, (I1235-ROUNDDOWN(I1235,0)))</f>
      </c>
      <c r="K1235" s="7">
        <f>INDIRECT("C$"&amp;2+MIN(2,ROUNDDOWN(I1235,0))*3)*(-$J1235^3+3*$J1235^2-3*$J1235+1)+INDIRECT("C$"&amp;3+MIN(2,ROUNDDOWN(I1235,0))*3)*(3*$J1235^3-6*$J1235^2+3*$J1235)+INDIRECT("C$"&amp;4+MIN(2,ROUNDDOWN(I1235,0))*3)*(-3*$J1235^3+3*$J1235^2)+INDIRECT("C$"&amp;5+MIN(2,ROUNDDOWN(I1235,0))*3)*$J1235^3</f>
      </c>
      <c r="L1235" s="7">
        <f>INDIRECT("D$"&amp;2+MIN(2,ROUNDDOWN(I1235,0))*3)*(-$J1235^3+3*$J1235^2-3*$J1235+1)+INDIRECT("D$"&amp;3+MIN(2,ROUNDDOWN(I1235,0))*3)*(3*$J1235^3-6*$J1235^2+3*$J1235)+INDIRECT("D$"&amp;4+MIN(2,ROUNDDOWN(I1235,0))*3)*(-3*$J1235^3+3*$J1235^2)+INDIRECT("D$"&amp;5+MIN(2,ROUNDDOWN(I1235,0))*3)*$J1235^3</f>
      </c>
      <c r="M1235" s="7">
        <f>SQRT(K1235^2+L1235^2)</f>
      </c>
      <c r="N1235" s="7">
        <f>(K1236-K1234)</f>
      </c>
      <c r="O1235" s="7">
        <f>+(L1236-L1234)</f>
      </c>
      <c r="P1235" s="7">
        <f>SQRT(O1235^2+N1235^2)</f>
      </c>
      <c r="Q1235" s="7">
        <f>N1235/$P1235</f>
      </c>
      <c r="R1235" s="7">
        <f>O1235/$P1235</f>
      </c>
      <c r="S1235" s="7">
        <f>Q1235^2+R1235^2</f>
      </c>
      <c r="T1235" s="7">
        <f>-R1235</f>
      </c>
      <c r="U1235" s="7">
        <f>Q1235</f>
      </c>
      <c r="V1235" s="7">
        <f>($C$14+($C$15-$C$14)/($D$15-$D$14)*(I1235-$D$14))/2</f>
      </c>
      <c r="W1235" s="7">
        <f>($B$22*I1235^4+$C$22*I1235^3+$D$22*I1235^2+$E$22*I1235+$F$22)/2</f>
      </c>
      <c r="X1235" s="7">
        <f>($W1235)*(T1235)</f>
      </c>
      <c r="Y1235" s="7">
        <f>($W1235)*(U1235)</f>
      </c>
      <c r="Z1235" s="7">
        <f>SQRT(X1235^2+Y1235^2)</f>
      </c>
      <c r="AA1235" s="7">
        <f>$K1235+$X1235</f>
      </c>
      <c r="AB1235" s="7">
        <f>$L1235+$Y1235</f>
      </c>
      <c r="AC1235" s="7">
        <f>$K1235-$X1235</f>
      </c>
      <c r="AD1235" s="7">
        <f>$L1235-$Y1235</f>
      </c>
      <c r="AE1235" s="7">
        <f>AA1235/39.3701</f>
      </c>
      <c r="AF1235" s="7">
        <f>AB1235/39.3701</f>
      </c>
      <c r="AG1235" s="7">
        <f>AC1235/39.3701</f>
      </c>
      <c r="AH1235" s="7">
        <f>AD1235/39.3701</f>
      </c>
      <c r="AI1235" s="1"/>
      <c r="AJ1235" s="1"/>
      <c r="AK1235" s="1"/>
      <c r="AL1235" s="1"/>
      <c r="AM1235" s="2"/>
      <c r="AN1235" s="1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  <c r="BA1235" s="1"/>
      <c r="BB1235" s="1"/>
      <c r="BC1235" s="1"/>
      <c r="BD1235" s="1"/>
      <c r="BE1235" s="1"/>
    </row>
    <row x14ac:dyDescent="0.25" r="1236" customHeight="1" ht="18.75">
      <c r="A1236" s="1"/>
      <c r="B1236" s="2"/>
      <c r="C1236" s="2"/>
      <c r="D1236" s="2"/>
      <c r="E1236" s="2"/>
      <c r="F1236" s="2"/>
      <c r="G1236" s="1"/>
      <c r="H1236" s="1"/>
      <c r="I1236" s="7">
        <v>1.233</v>
      </c>
      <c r="J1236" s="7">
        <f>IF((I1236-ROUNDDOWN(I1236,0))=0, 0, (I1236-ROUNDDOWN(I1236,0)))</f>
      </c>
      <c r="K1236" s="7">
        <f>INDIRECT("C$"&amp;2+MIN(2,ROUNDDOWN(I1236,0))*3)*(-$J1236^3+3*$J1236^2-3*$J1236+1)+INDIRECT("C$"&amp;3+MIN(2,ROUNDDOWN(I1236,0))*3)*(3*$J1236^3-6*$J1236^2+3*$J1236)+INDIRECT("C$"&amp;4+MIN(2,ROUNDDOWN(I1236,0))*3)*(-3*$J1236^3+3*$J1236^2)+INDIRECT("C$"&amp;5+MIN(2,ROUNDDOWN(I1236,0))*3)*$J1236^3</f>
      </c>
      <c r="L1236" s="7">
        <f>INDIRECT("D$"&amp;2+MIN(2,ROUNDDOWN(I1236,0))*3)*(-$J1236^3+3*$J1236^2-3*$J1236+1)+INDIRECT("D$"&amp;3+MIN(2,ROUNDDOWN(I1236,0))*3)*(3*$J1236^3-6*$J1236^2+3*$J1236)+INDIRECT("D$"&amp;4+MIN(2,ROUNDDOWN(I1236,0))*3)*(-3*$J1236^3+3*$J1236^2)+INDIRECT("D$"&amp;5+MIN(2,ROUNDDOWN(I1236,0))*3)*$J1236^3</f>
      </c>
      <c r="M1236" s="7">
        <f>SQRT(K1236^2+L1236^2)</f>
      </c>
      <c r="N1236" s="7">
        <f>(K1237-K1235)</f>
      </c>
      <c r="O1236" s="7">
        <f>+(L1237-L1235)</f>
      </c>
      <c r="P1236" s="7">
        <f>SQRT(O1236^2+N1236^2)</f>
      </c>
      <c r="Q1236" s="7">
        <f>N1236/$P1236</f>
      </c>
      <c r="R1236" s="7">
        <f>O1236/$P1236</f>
      </c>
      <c r="S1236" s="7">
        <f>Q1236^2+R1236^2</f>
      </c>
      <c r="T1236" s="7">
        <f>-R1236</f>
      </c>
      <c r="U1236" s="7">
        <f>Q1236</f>
      </c>
      <c r="V1236" s="7">
        <f>($C$14+($C$15-$C$14)/($D$15-$D$14)*(I1236-$D$14))/2</f>
      </c>
      <c r="W1236" s="7">
        <f>($B$22*I1236^4+$C$22*I1236^3+$D$22*I1236^2+$E$22*I1236+$F$22)/2</f>
      </c>
      <c r="X1236" s="7">
        <f>($W1236)*(T1236)</f>
      </c>
      <c r="Y1236" s="7">
        <f>($W1236)*(U1236)</f>
      </c>
      <c r="Z1236" s="7">
        <f>SQRT(X1236^2+Y1236^2)</f>
      </c>
      <c r="AA1236" s="7">
        <f>$K1236+$X1236</f>
      </c>
      <c r="AB1236" s="7">
        <f>$L1236+$Y1236</f>
      </c>
      <c r="AC1236" s="7">
        <f>$K1236-$X1236</f>
      </c>
      <c r="AD1236" s="7">
        <f>$L1236-$Y1236</f>
      </c>
      <c r="AE1236" s="7">
        <f>AA1236/39.3701</f>
      </c>
      <c r="AF1236" s="7">
        <f>AB1236/39.3701</f>
      </c>
      <c r="AG1236" s="7">
        <f>AC1236/39.3701</f>
      </c>
      <c r="AH1236" s="7">
        <f>AD1236/39.3701</f>
      </c>
      <c r="AI1236" s="1"/>
      <c r="AJ1236" s="1"/>
      <c r="AK1236" s="1"/>
      <c r="AL1236" s="1"/>
      <c r="AM1236" s="2"/>
      <c r="AN1236" s="1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  <c r="BA1236" s="1"/>
      <c r="BB1236" s="1"/>
      <c r="BC1236" s="1"/>
      <c r="BD1236" s="1"/>
      <c r="BE1236" s="1"/>
    </row>
    <row x14ac:dyDescent="0.25" r="1237" customHeight="1" ht="18.75">
      <c r="A1237" s="1"/>
      <c r="B1237" s="2"/>
      <c r="C1237" s="2"/>
      <c r="D1237" s="2"/>
      <c r="E1237" s="2"/>
      <c r="F1237" s="2"/>
      <c r="G1237" s="1"/>
      <c r="H1237" s="1"/>
      <c r="I1237" s="7">
        <v>1.234</v>
      </c>
      <c r="J1237" s="7">
        <f>IF((I1237-ROUNDDOWN(I1237,0))=0, 0, (I1237-ROUNDDOWN(I1237,0)))</f>
      </c>
      <c r="K1237" s="7">
        <f>INDIRECT("C$"&amp;2+MIN(2,ROUNDDOWN(I1237,0))*3)*(-$J1237^3+3*$J1237^2-3*$J1237+1)+INDIRECT("C$"&amp;3+MIN(2,ROUNDDOWN(I1237,0))*3)*(3*$J1237^3-6*$J1237^2+3*$J1237)+INDIRECT("C$"&amp;4+MIN(2,ROUNDDOWN(I1237,0))*3)*(-3*$J1237^3+3*$J1237^2)+INDIRECT("C$"&amp;5+MIN(2,ROUNDDOWN(I1237,0))*3)*$J1237^3</f>
      </c>
      <c r="L1237" s="7">
        <f>INDIRECT("D$"&amp;2+MIN(2,ROUNDDOWN(I1237,0))*3)*(-$J1237^3+3*$J1237^2-3*$J1237+1)+INDIRECT("D$"&amp;3+MIN(2,ROUNDDOWN(I1237,0))*3)*(3*$J1237^3-6*$J1237^2+3*$J1237)+INDIRECT("D$"&amp;4+MIN(2,ROUNDDOWN(I1237,0))*3)*(-3*$J1237^3+3*$J1237^2)+INDIRECT("D$"&amp;5+MIN(2,ROUNDDOWN(I1237,0))*3)*$J1237^3</f>
      </c>
      <c r="M1237" s="7">
        <f>SQRT(K1237^2+L1237^2)</f>
      </c>
      <c r="N1237" s="7">
        <f>(K1238-K1236)</f>
      </c>
      <c r="O1237" s="7">
        <f>+(L1238-L1236)</f>
      </c>
      <c r="P1237" s="7">
        <f>SQRT(O1237^2+N1237^2)</f>
      </c>
      <c r="Q1237" s="7">
        <f>N1237/$P1237</f>
      </c>
      <c r="R1237" s="7">
        <f>O1237/$P1237</f>
      </c>
      <c r="S1237" s="8">
        <f>Q1237^2+R1237^2</f>
      </c>
      <c r="T1237" s="7">
        <f>-R1237</f>
      </c>
      <c r="U1237" s="7">
        <f>Q1237</f>
      </c>
      <c r="V1237" s="7">
        <f>($C$14+($C$15-$C$14)/($D$15-$D$14)*(I1237-$D$14))/2</f>
      </c>
      <c r="W1237" s="7">
        <f>($B$22*I1237^4+$C$22*I1237^3+$D$22*I1237^2+$E$22*I1237+$F$22)/2</f>
      </c>
      <c r="X1237" s="7">
        <f>($W1237)*(T1237)</f>
      </c>
      <c r="Y1237" s="7">
        <f>($W1237)*(U1237)</f>
      </c>
      <c r="Z1237" s="7">
        <f>SQRT(X1237^2+Y1237^2)</f>
      </c>
      <c r="AA1237" s="7">
        <f>$K1237+$X1237</f>
      </c>
      <c r="AB1237" s="7">
        <f>$L1237+$Y1237</f>
      </c>
      <c r="AC1237" s="7">
        <f>$K1237-$X1237</f>
      </c>
      <c r="AD1237" s="7">
        <f>$L1237-$Y1237</f>
      </c>
      <c r="AE1237" s="7">
        <f>AA1237/39.3701</f>
      </c>
      <c r="AF1237" s="7">
        <f>AB1237/39.3701</f>
      </c>
      <c r="AG1237" s="7">
        <f>AC1237/39.3701</f>
      </c>
      <c r="AH1237" s="7">
        <f>AD1237/39.3701</f>
      </c>
      <c r="AI1237" s="1"/>
      <c r="AJ1237" s="1"/>
      <c r="AK1237" s="1"/>
      <c r="AL1237" s="1"/>
      <c r="AM1237" s="2"/>
      <c r="AN1237" s="1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  <c r="BA1237" s="1"/>
      <c r="BB1237" s="1"/>
      <c r="BC1237" s="1"/>
      <c r="BD1237" s="1"/>
      <c r="BE1237" s="1"/>
    </row>
    <row x14ac:dyDescent="0.25" r="1238" customHeight="1" ht="18.75">
      <c r="A1238" s="1"/>
      <c r="B1238" s="2"/>
      <c r="C1238" s="2"/>
      <c r="D1238" s="2"/>
      <c r="E1238" s="2"/>
      <c r="F1238" s="2"/>
      <c r="G1238" s="1"/>
      <c r="H1238" s="1"/>
      <c r="I1238" s="7">
        <v>1.235</v>
      </c>
      <c r="J1238" s="7">
        <f>IF((I1238-ROUNDDOWN(I1238,0))=0, 0, (I1238-ROUNDDOWN(I1238,0)))</f>
      </c>
      <c r="K1238" s="7">
        <f>INDIRECT("C$"&amp;2+MIN(2,ROUNDDOWN(I1238,0))*3)*(-$J1238^3+3*$J1238^2-3*$J1238+1)+INDIRECT("C$"&amp;3+MIN(2,ROUNDDOWN(I1238,0))*3)*(3*$J1238^3-6*$J1238^2+3*$J1238)+INDIRECT("C$"&amp;4+MIN(2,ROUNDDOWN(I1238,0))*3)*(-3*$J1238^3+3*$J1238^2)+INDIRECT("C$"&amp;5+MIN(2,ROUNDDOWN(I1238,0))*3)*$J1238^3</f>
      </c>
      <c r="L1238" s="7">
        <f>INDIRECT("D$"&amp;2+MIN(2,ROUNDDOWN(I1238,0))*3)*(-$J1238^3+3*$J1238^2-3*$J1238+1)+INDIRECT("D$"&amp;3+MIN(2,ROUNDDOWN(I1238,0))*3)*(3*$J1238^3-6*$J1238^2+3*$J1238)+INDIRECT("D$"&amp;4+MIN(2,ROUNDDOWN(I1238,0))*3)*(-3*$J1238^3+3*$J1238^2)+INDIRECT("D$"&amp;5+MIN(2,ROUNDDOWN(I1238,0))*3)*$J1238^3</f>
      </c>
      <c r="M1238" s="7">
        <f>SQRT(K1238^2+L1238^2)</f>
      </c>
      <c r="N1238" s="7">
        <f>(K1239-K1237)</f>
      </c>
      <c r="O1238" s="7">
        <f>+(L1239-L1237)</f>
      </c>
      <c r="P1238" s="7">
        <f>SQRT(O1238^2+N1238^2)</f>
      </c>
      <c r="Q1238" s="7">
        <f>N1238/$P1238</f>
      </c>
      <c r="R1238" s="7">
        <f>O1238/$P1238</f>
      </c>
      <c r="S1238" s="7">
        <f>Q1238^2+R1238^2</f>
      </c>
      <c r="T1238" s="7">
        <f>-R1238</f>
      </c>
      <c r="U1238" s="7">
        <f>Q1238</f>
      </c>
      <c r="V1238" s="7">
        <f>($C$14+($C$15-$C$14)/($D$15-$D$14)*(I1238-$D$14))/2</f>
      </c>
      <c r="W1238" s="7">
        <f>($B$22*I1238^4+$C$22*I1238^3+$D$22*I1238^2+$E$22*I1238+$F$22)/2</f>
      </c>
      <c r="X1238" s="7">
        <f>($W1238)*(T1238)</f>
      </c>
      <c r="Y1238" s="7">
        <f>($W1238)*(U1238)</f>
      </c>
      <c r="Z1238" s="7">
        <f>SQRT(X1238^2+Y1238^2)</f>
      </c>
      <c r="AA1238" s="7">
        <f>$K1238+$X1238</f>
      </c>
      <c r="AB1238" s="7">
        <f>$L1238+$Y1238</f>
      </c>
      <c r="AC1238" s="7">
        <f>$K1238-$X1238</f>
      </c>
      <c r="AD1238" s="7">
        <f>$L1238-$Y1238</f>
      </c>
      <c r="AE1238" s="7">
        <f>AA1238/39.3701</f>
      </c>
      <c r="AF1238" s="7">
        <f>AB1238/39.3701</f>
      </c>
      <c r="AG1238" s="7">
        <f>AC1238/39.3701</f>
      </c>
      <c r="AH1238" s="7">
        <f>AD1238/39.3701</f>
      </c>
      <c r="AI1238" s="1"/>
      <c r="AJ1238" s="1"/>
      <c r="AK1238" s="1"/>
      <c r="AL1238" s="1"/>
      <c r="AM1238" s="2"/>
      <c r="AN1238" s="1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  <c r="BA1238" s="1"/>
      <c r="BB1238" s="1"/>
      <c r="BC1238" s="1"/>
      <c r="BD1238" s="1"/>
      <c r="BE1238" s="1"/>
    </row>
    <row x14ac:dyDescent="0.25" r="1239" customHeight="1" ht="18.75">
      <c r="A1239" s="1"/>
      <c r="B1239" s="2"/>
      <c r="C1239" s="2"/>
      <c r="D1239" s="2"/>
      <c r="E1239" s="2"/>
      <c r="F1239" s="2"/>
      <c r="G1239" s="1"/>
      <c r="H1239" s="1"/>
      <c r="I1239" s="7">
        <v>1.236</v>
      </c>
      <c r="J1239" s="7">
        <f>IF((I1239-ROUNDDOWN(I1239,0))=0, 0, (I1239-ROUNDDOWN(I1239,0)))</f>
      </c>
      <c r="K1239" s="7">
        <f>INDIRECT("C$"&amp;2+MIN(2,ROUNDDOWN(I1239,0))*3)*(-$J1239^3+3*$J1239^2-3*$J1239+1)+INDIRECT("C$"&amp;3+MIN(2,ROUNDDOWN(I1239,0))*3)*(3*$J1239^3-6*$J1239^2+3*$J1239)+INDIRECT("C$"&amp;4+MIN(2,ROUNDDOWN(I1239,0))*3)*(-3*$J1239^3+3*$J1239^2)+INDIRECT("C$"&amp;5+MIN(2,ROUNDDOWN(I1239,0))*3)*$J1239^3</f>
      </c>
      <c r="L1239" s="7">
        <f>INDIRECT("D$"&amp;2+MIN(2,ROUNDDOWN(I1239,0))*3)*(-$J1239^3+3*$J1239^2-3*$J1239+1)+INDIRECT("D$"&amp;3+MIN(2,ROUNDDOWN(I1239,0))*3)*(3*$J1239^3-6*$J1239^2+3*$J1239)+INDIRECT("D$"&amp;4+MIN(2,ROUNDDOWN(I1239,0))*3)*(-3*$J1239^3+3*$J1239^2)+INDIRECT("D$"&amp;5+MIN(2,ROUNDDOWN(I1239,0))*3)*$J1239^3</f>
      </c>
      <c r="M1239" s="7">
        <f>SQRT(K1239^2+L1239^2)</f>
      </c>
      <c r="N1239" s="7">
        <f>(K1240-K1238)</f>
      </c>
      <c r="O1239" s="7">
        <f>+(L1240-L1238)</f>
      </c>
      <c r="P1239" s="7">
        <f>SQRT(O1239^2+N1239^2)</f>
      </c>
      <c r="Q1239" s="7">
        <f>N1239/$P1239</f>
      </c>
      <c r="R1239" s="7">
        <f>O1239/$P1239</f>
      </c>
      <c r="S1239" s="7">
        <f>Q1239^2+R1239^2</f>
      </c>
      <c r="T1239" s="7">
        <f>-R1239</f>
      </c>
      <c r="U1239" s="7">
        <f>Q1239</f>
      </c>
      <c r="V1239" s="7">
        <f>($C$14+($C$15-$C$14)/($D$15-$D$14)*(I1239-$D$14))/2</f>
      </c>
      <c r="W1239" s="7">
        <f>($B$22*I1239^4+$C$22*I1239^3+$D$22*I1239^2+$E$22*I1239+$F$22)/2</f>
      </c>
      <c r="X1239" s="7">
        <f>($W1239)*(T1239)</f>
      </c>
      <c r="Y1239" s="7">
        <f>($W1239)*(U1239)</f>
      </c>
      <c r="Z1239" s="7">
        <f>SQRT(X1239^2+Y1239^2)</f>
      </c>
      <c r="AA1239" s="7">
        <f>$K1239+$X1239</f>
      </c>
      <c r="AB1239" s="7">
        <f>$L1239+$Y1239</f>
      </c>
      <c r="AC1239" s="7">
        <f>$K1239-$X1239</f>
      </c>
      <c r="AD1239" s="7">
        <f>$L1239-$Y1239</f>
      </c>
      <c r="AE1239" s="7">
        <f>AA1239/39.3701</f>
      </c>
      <c r="AF1239" s="7">
        <f>AB1239/39.3701</f>
      </c>
      <c r="AG1239" s="7">
        <f>AC1239/39.3701</f>
      </c>
      <c r="AH1239" s="7">
        <f>AD1239/39.3701</f>
      </c>
      <c r="AI1239" s="1"/>
      <c r="AJ1239" s="1"/>
      <c r="AK1239" s="1"/>
      <c r="AL1239" s="1"/>
      <c r="AM1239" s="2"/>
      <c r="AN1239" s="1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  <c r="BA1239" s="1"/>
      <c r="BB1239" s="1"/>
      <c r="BC1239" s="1"/>
      <c r="BD1239" s="1"/>
      <c r="BE1239" s="1"/>
    </row>
    <row x14ac:dyDescent="0.25" r="1240" customHeight="1" ht="18.75">
      <c r="A1240" s="1"/>
      <c r="B1240" s="2"/>
      <c r="C1240" s="2"/>
      <c r="D1240" s="2"/>
      <c r="E1240" s="2"/>
      <c r="F1240" s="2"/>
      <c r="G1240" s="1"/>
      <c r="H1240" s="1"/>
      <c r="I1240" s="7">
        <v>1.237</v>
      </c>
      <c r="J1240" s="7">
        <f>IF((I1240-ROUNDDOWN(I1240,0))=0, 0, (I1240-ROUNDDOWN(I1240,0)))</f>
      </c>
      <c r="K1240" s="7">
        <f>INDIRECT("C$"&amp;2+MIN(2,ROUNDDOWN(I1240,0))*3)*(-$J1240^3+3*$J1240^2-3*$J1240+1)+INDIRECT("C$"&amp;3+MIN(2,ROUNDDOWN(I1240,0))*3)*(3*$J1240^3-6*$J1240^2+3*$J1240)+INDIRECT("C$"&amp;4+MIN(2,ROUNDDOWN(I1240,0))*3)*(-3*$J1240^3+3*$J1240^2)+INDIRECT("C$"&amp;5+MIN(2,ROUNDDOWN(I1240,0))*3)*$J1240^3</f>
      </c>
      <c r="L1240" s="7">
        <f>INDIRECT("D$"&amp;2+MIN(2,ROUNDDOWN(I1240,0))*3)*(-$J1240^3+3*$J1240^2-3*$J1240+1)+INDIRECT("D$"&amp;3+MIN(2,ROUNDDOWN(I1240,0))*3)*(3*$J1240^3-6*$J1240^2+3*$J1240)+INDIRECT("D$"&amp;4+MIN(2,ROUNDDOWN(I1240,0))*3)*(-3*$J1240^3+3*$J1240^2)+INDIRECT("D$"&amp;5+MIN(2,ROUNDDOWN(I1240,0))*3)*$J1240^3</f>
      </c>
      <c r="M1240" s="7">
        <f>SQRT(K1240^2+L1240^2)</f>
      </c>
      <c r="N1240" s="7">
        <f>(K1241-K1239)</f>
      </c>
      <c r="O1240" s="7">
        <f>+(L1241-L1239)</f>
      </c>
      <c r="P1240" s="7">
        <f>SQRT(O1240^2+N1240^2)</f>
      </c>
      <c r="Q1240" s="7">
        <f>N1240/$P1240</f>
      </c>
      <c r="R1240" s="7">
        <f>O1240/$P1240</f>
      </c>
      <c r="S1240" s="8">
        <f>Q1240^2+R1240^2</f>
      </c>
      <c r="T1240" s="7">
        <f>-R1240</f>
      </c>
      <c r="U1240" s="7">
        <f>Q1240</f>
      </c>
      <c r="V1240" s="7">
        <f>($C$14+($C$15-$C$14)/($D$15-$D$14)*(I1240-$D$14))/2</f>
      </c>
      <c r="W1240" s="7">
        <f>($B$22*I1240^4+$C$22*I1240^3+$D$22*I1240^2+$E$22*I1240+$F$22)/2</f>
      </c>
      <c r="X1240" s="7">
        <f>($W1240)*(T1240)</f>
      </c>
      <c r="Y1240" s="7">
        <f>($W1240)*(U1240)</f>
      </c>
      <c r="Z1240" s="7">
        <f>SQRT(X1240^2+Y1240^2)</f>
      </c>
      <c r="AA1240" s="7">
        <f>$K1240+$X1240</f>
      </c>
      <c r="AB1240" s="7">
        <f>$L1240+$Y1240</f>
      </c>
      <c r="AC1240" s="7">
        <f>$K1240-$X1240</f>
      </c>
      <c r="AD1240" s="7">
        <f>$L1240-$Y1240</f>
      </c>
      <c r="AE1240" s="7">
        <f>AA1240/39.3701</f>
      </c>
      <c r="AF1240" s="7">
        <f>AB1240/39.3701</f>
      </c>
      <c r="AG1240" s="7">
        <f>AC1240/39.3701</f>
      </c>
      <c r="AH1240" s="7">
        <f>AD1240/39.3701</f>
      </c>
      <c r="AI1240" s="1"/>
      <c r="AJ1240" s="1"/>
      <c r="AK1240" s="1"/>
      <c r="AL1240" s="1"/>
      <c r="AM1240" s="2"/>
      <c r="AN1240" s="1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  <c r="BA1240" s="1"/>
      <c r="BB1240" s="1"/>
      <c r="BC1240" s="1"/>
      <c r="BD1240" s="1"/>
      <c r="BE1240" s="1"/>
    </row>
    <row x14ac:dyDescent="0.25" r="1241" customHeight="1" ht="18.75">
      <c r="A1241" s="1"/>
      <c r="B1241" s="2"/>
      <c r="C1241" s="2"/>
      <c r="D1241" s="2"/>
      <c r="E1241" s="2"/>
      <c r="F1241" s="2"/>
      <c r="G1241" s="1"/>
      <c r="H1241" s="1"/>
      <c r="I1241" s="7">
        <v>1.238</v>
      </c>
      <c r="J1241" s="7">
        <f>IF((I1241-ROUNDDOWN(I1241,0))=0, 0, (I1241-ROUNDDOWN(I1241,0)))</f>
      </c>
      <c r="K1241" s="7">
        <f>INDIRECT("C$"&amp;2+MIN(2,ROUNDDOWN(I1241,0))*3)*(-$J1241^3+3*$J1241^2-3*$J1241+1)+INDIRECT("C$"&amp;3+MIN(2,ROUNDDOWN(I1241,0))*3)*(3*$J1241^3-6*$J1241^2+3*$J1241)+INDIRECT("C$"&amp;4+MIN(2,ROUNDDOWN(I1241,0))*3)*(-3*$J1241^3+3*$J1241^2)+INDIRECT("C$"&amp;5+MIN(2,ROUNDDOWN(I1241,0))*3)*$J1241^3</f>
      </c>
      <c r="L1241" s="7">
        <f>INDIRECT("D$"&amp;2+MIN(2,ROUNDDOWN(I1241,0))*3)*(-$J1241^3+3*$J1241^2-3*$J1241+1)+INDIRECT("D$"&amp;3+MIN(2,ROUNDDOWN(I1241,0))*3)*(3*$J1241^3-6*$J1241^2+3*$J1241)+INDIRECT("D$"&amp;4+MIN(2,ROUNDDOWN(I1241,0))*3)*(-3*$J1241^3+3*$J1241^2)+INDIRECT("D$"&amp;5+MIN(2,ROUNDDOWN(I1241,0))*3)*$J1241^3</f>
      </c>
      <c r="M1241" s="7">
        <f>SQRT(K1241^2+L1241^2)</f>
      </c>
      <c r="N1241" s="7">
        <f>(K1242-K1240)</f>
      </c>
      <c r="O1241" s="7">
        <f>+(L1242-L1240)</f>
      </c>
      <c r="P1241" s="7">
        <f>SQRT(O1241^2+N1241^2)</f>
      </c>
      <c r="Q1241" s="7">
        <f>N1241/$P1241</f>
      </c>
      <c r="R1241" s="7">
        <f>O1241/$P1241</f>
      </c>
      <c r="S1241" s="8">
        <f>Q1241^2+R1241^2</f>
      </c>
      <c r="T1241" s="7">
        <f>-R1241</f>
      </c>
      <c r="U1241" s="7">
        <f>Q1241</f>
      </c>
      <c r="V1241" s="7">
        <f>($C$14+($C$15-$C$14)/($D$15-$D$14)*(I1241-$D$14))/2</f>
      </c>
      <c r="W1241" s="7">
        <f>($B$22*I1241^4+$C$22*I1241^3+$D$22*I1241^2+$E$22*I1241+$F$22)/2</f>
      </c>
      <c r="X1241" s="7">
        <f>($W1241)*(T1241)</f>
      </c>
      <c r="Y1241" s="7">
        <f>($W1241)*(U1241)</f>
      </c>
      <c r="Z1241" s="7">
        <f>SQRT(X1241^2+Y1241^2)</f>
      </c>
      <c r="AA1241" s="7">
        <f>$K1241+$X1241</f>
      </c>
      <c r="AB1241" s="7">
        <f>$L1241+$Y1241</f>
      </c>
      <c r="AC1241" s="7">
        <f>$K1241-$X1241</f>
      </c>
      <c r="AD1241" s="7">
        <f>$L1241-$Y1241</f>
      </c>
      <c r="AE1241" s="7">
        <f>AA1241/39.3701</f>
      </c>
      <c r="AF1241" s="7">
        <f>AB1241/39.3701</f>
      </c>
      <c r="AG1241" s="7">
        <f>AC1241/39.3701</f>
      </c>
      <c r="AH1241" s="7">
        <f>AD1241/39.3701</f>
      </c>
      <c r="AI1241" s="1"/>
      <c r="AJ1241" s="1"/>
      <c r="AK1241" s="1"/>
      <c r="AL1241" s="1"/>
      <c r="AM1241" s="2"/>
      <c r="AN1241" s="1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  <c r="BA1241" s="1"/>
      <c r="BB1241" s="1"/>
      <c r="BC1241" s="1"/>
      <c r="BD1241" s="1"/>
      <c r="BE1241" s="1"/>
    </row>
    <row x14ac:dyDescent="0.25" r="1242" customHeight="1" ht="18.75">
      <c r="A1242" s="1"/>
      <c r="B1242" s="2"/>
      <c r="C1242" s="2"/>
      <c r="D1242" s="2"/>
      <c r="E1242" s="2"/>
      <c r="F1242" s="2"/>
      <c r="G1242" s="1"/>
      <c r="H1242" s="1"/>
      <c r="I1242" s="7">
        <v>1.239</v>
      </c>
      <c r="J1242" s="7">
        <f>IF((I1242-ROUNDDOWN(I1242,0))=0, 0, (I1242-ROUNDDOWN(I1242,0)))</f>
      </c>
      <c r="K1242" s="7">
        <f>INDIRECT("C$"&amp;2+MIN(2,ROUNDDOWN(I1242,0))*3)*(-$J1242^3+3*$J1242^2-3*$J1242+1)+INDIRECT("C$"&amp;3+MIN(2,ROUNDDOWN(I1242,0))*3)*(3*$J1242^3-6*$J1242^2+3*$J1242)+INDIRECT("C$"&amp;4+MIN(2,ROUNDDOWN(I1242,0))*3)*(-3*$J1242^3+3*$J1242^2)+INDIRECT("C$"&amp;5+MIN(2,ROUNDDOWN(I1242,0))*3)*$J1242^3</f>
      </c>
      <c r="L1242" s="7">
        <f>INDIRECT("D$"&amp;2+MIN(2,ROUNDDOWN(I1242,0))*3)*(-$J1242^3+3*$J1242^2-3*$J1242+1)+INDIRECT("D$"&amp;3+MIN(2,ROUNDDOWN(I1242,0))*3)*(3*$J1242^3-6*$J1242^2+3*$J1242)+INDIRECT("D$"&amp;4+MIN(2,ROUNDDOWN(I1242,0))*3)*(-3*$J1242^3+3*$J1242^2)+INDIRECT("D$"&amp;5+MIN(2,ROUNDDOWN(I1242,0))*3)*$J1242^3</f>
      </c>
      <c r="M1242" s="7">
        <f>SQRT(K1242^2+L1242^2)</f>
      </c>
      <c r="N1242" s="7">
        <f>(K1243-K1241)</f>
      </c>
      <c r="O1242" s="7">
        <f>+(L1243-L1241)</f>
      </c>
      <c r="P1242" s="7">
        <f>SQRT(O1242^2+N1242^2)</f>
      </c>
      <c r="Q1242" s="7">
        <f>N1242/$P1242</f>
      </c>
      <c r="R1242" s="7">
        <f>O1242/$P1242</f>
      </c>
      <c r="S1242" s="8">
        <f>Q1242^2+R1242^2</f>
      </c>
      <c r="T1242" s="7">
        <f>-R1242</f>
      </c>
      <c r="U1242" s="7">
        <f>Q1242</f>
      </c>
      <c r="V1242" s="7">
        <f>($C$14+($C$15-$C$14)/($D$15-$D$14)*(I1242-$D$14))/2</f>
      </c>
      <c r="W1242" s="7">
        <f>($B$22*I1242^4+$C$22*I1242^3+$D$22*I1242^2+$E$22*I1242+$F$22)/2</f>
      </c>
      <c r="X1242" s="7">
        <f>($W1242)*(T1242)</f>
      </c>
      <c r="Y1242" s="7">
        <f>($W1242)*(U1242)</f>
      </c>
      <c r="Z1242" s="7">
        <f>SQRT(X1242^2+Y1242^2)</f>
      </c>
      <c r="AA1242" s="7">
        <f>$K1242+$X1242</f>
      </c>
      <c r="AB1242" s="7">
        <f>$L1242+$Y1242</f>
      </c>
      <c r="AC1242" s="7">
        <f>$K1242-$X1242</f>
      </c>
      <c r="AD1242" s="7">
        <f>$L1242-$Y1242</f>
      </c>
      <c r="AE1242" s="7">
        <f>AA1242/39.3701</f>
      </c>
      <c r="AF1242" s="7">
        <f>AB1242/39.3701</f>
      </c>
      <c r="AG1242" s="7">
        <f>AC1242/39.3701</f>
      </c>
      <c r="AH1242" s="7">
        <f>AD1242/39.3701</f>
      </c>
      <c r="AI1242" s="1"/>
      <c r="AJ1242" s="1"/>
      <c r="AK1242" s="1"/>
      <c r="AL1242" s="1"/>
      <c r="AM1242" s="2"/>
      <c r="AN1242" s="1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  <c r="BA1242" s="1"/>
      <c r="BB1242" s="1"/>
      <c r="BC1242" s="1"/>
      <c r="BD1242" s="1"/>
      <c r="BE1242" s="1"/>
    </row>
    <row x14ac:dyDescent="0.25" r="1243" customHeight="1" ht="18.75">
      <c r="A1243" s="1"/>
      <c r="B1243" s="2"/>
      <c r="C1243" s="2"/>
      <c r="D1243" s="2"/>
      <c r="E1243" s="2"/>
      <c r="F1243" s="2"/>
      <c r="G1243" s="1"/>
      <c r="H1243" s="1"/>
      <c r="I1243" s="7">
        <v>1.24</v>
      </c>
      <c r="J1243" s="7">
        <f>IF((I1243-ROUNDDOWN(I1243,0))=0, 0, (I1243-ROUNDDOWN(I1243,0)))</f>
      </c>
      <c r="K1243" s="7">
        <f>INDIRECT("C$"&amp;2+MIN(2,ROUNDDOWN(I1243,0))*3)*(-$J1243^3+3*$J1243^2-3*$J1243+1)+INDIRECT("C$"&amp;3+MIN(2,ROUNDDOWN(I1243,0))*3)*(3*$J1243^3-6*$J1243^2+3*$J1243)+INDIRECT("C$"&amp;4+MIN(2,ROUNDDOWN(I1243,0))*3)*(-3*$J1243^3+3*$J1243^2)+INDIRECT("C$"&amp;5+MIN(2,ROUNDDOWN(I1243,0))*3)*$J1243^3</f>
      </c>
      <c r="L1243" s="7">
        <f>INDIRECT("D$"&amp;2+MIN(2,ROUNDDOWN(I1243,0))*3)*(-$J1243^3+3*$J1243^2-3*$J1243+1)+INDIRECT("D$"&amp;3+MIN(2,ROUNDDOWN(I1243,0))*3)*(3*$J1243^3-6*$J1243^2+3*$J1243)+INDIRECT("D$"&amp;4+MIN(2,ROUNDDOWN(I1243,0))*3)*(-3*$J1243^3+3*$J1243^2)+INDIRECT("D$"&amp;5+MIN(2,ROUNDDOWN(I1243,0))*3)*$J1243^3</f>
      </c>
      <c r="M1243" s="7">
        <f>SQRT(K1243^2+L1243^2)</f>
      </c>
      <c r="N1243" s="7">
        <f>(K1244-K1242)</f>
      </c>
      <c r="O1243" s="7">
        <f>+(L1244-L1242)</f>
      </c>
      <c r="P1243" s="7">
        <f>SQRT(O1243^2+N1243^2)</f>
      </c>
      <c r="Q1243" s="7">
        <f>N1243/$P1243</f>
      </c>
      <c r="R1243" s="7">
        <f>O1243/$P1243</f>
      </c>
      <c r="S1243" s="8">
        <f>Q1243^2+R1243^2</f>
      </c>
      <c r="T1243" s="7">
        <f>-R1243</f>
      </c>
      <c r="U1243" s="7">
        <f>Q1243</f>
      </c>
      <c r="V1243" s="7">
        <f>($C$14+($C$15-$C$14)/($D$15-$D$14)*(I1243-$D$14))/2</f>
      </c>
      <c r="W1243" s="7">
        <f>($B$22*I1243^4+$C$22*I1243^3+$D$22*I1243^2+$E$22*I1243+$F$22)/2</f>
      </c>
      <c r="X1243" s="7">
        <f>($W1243)*(T1243)</f>
      </c>
      <c r="Y1243" s="7">
        <f>($W1243)*(U1243)</f>
      </c>
      <c r="Z1243" s="7">
        <f>SQRT(X1243^2+Y1243^2)</f>
      </c>
      <c r="AA1243" s="7">
        <f>$K1243+$X1243</f>
      </c>
      <c r="AB1243" s="7">
        <f>$L1243+$Y1243</f>
      </c>
      <c r="AC1243" s="7">
        <f>$K1243-$X1243</f>
      </c>
      <c r="AD1243" s="7">
        <f>$L1243-$Y1243</f>
      </c>
      <c r="AE1243" s="7">
        <f>AA1243/39.3701</f>
      </c>
      <c r="AF1243" s="7">
        <f>AB1243/39.3701</f>
      </c>
      <c r="AG1243" s="7">
        <f>AC1243/39.3701</f>
      </c>
      <c r="AH1243" s="7">
        <f>AD1243/39.3701</f>
      </c>
      <c r="AI1243" s="1"/>
      <c r="AJ1243" s="1"/>
      <c r="AK1243" s="1"/>
      <c r="AL1243" s="1"/>
      <c r="AM1243" s="2"/>
      <c r="AN1243" s="1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  <c r="BA1243" s="1"/>
      <c r="BB1243" s="1"/>
      <c r="BC1243" s="1"/>
      <c r="BD1243" s="1"/>
      <c r="BE1243" s="1"/>
    </row>
    <row x14ac:dyDescent="0.25" r="1244" customHeight="1" ht="18.75">
      <c r="A1244" s="1"/>
      <c r="B1244" s="2"/>
      <c r="C1244" s="2"/>
      <c r="D1244" s="2"/>
      <c r="E1244" s="2"/>
      <c r="F1244" s="2"/>
      <c r="G1244" s="1"/>
      <c r="H1244" s="1"/>
      <c r="I1244" s="7">
        <v>1.241</v>
      </c>
      <c r="J1244" s="7">
        <f>IF((I1244-ROUNDDOWN(I1244,0))=0, 0, (I1244-ROUNDDOWN(I1244,0)))</f>
      </c>
      <c r="K1244" s="7">
        <f>INDIRECT("C$"&amp;2+MIN(2,ROUNDDOWN(I1244,0))*3)*(-$J1244^3+3*$J1244^2-3*$J1244+1)+INDIRECT("C$"&amp;3+MIN(2,ROUNDDOWN(I1244,0))*3)*(3*$J1244^3-6*$J1244^2+3*$J1244)+INDIRECT("C$"&amp;4+MIN(2,ROUNDDOWN(I1244,0))*3)*(-3*$J1244^3+3*$J1244^2)+INDIRECT("C$"&amp;5+MIN(2,ROUNDDOWN(I1244,0))*3)*$J1244^3</f>
      </c>
      <c r="L1244" s="7">
        <f>INDIRECT("D$"&amp;2+MIN(2,ROUNDDOWN(I1244,0))*3)*(-$J1244^3+3*$J1244^2-3*$J1244+1)+INDIRECT("D$"&amp;3+MIN(2,ROUNDDOWN(I1244,0))*3)*(3*$J1244^3-6*$J1244^2+3*$J1244)+INDIRECT("D$"&amp;4+MIN(2,ROUNDDOWN(I1244,0))*3)*(-3*$J1244^3+3*$J1244^2)+INDIRECT("D$"&amp;5+MIN(2,ROUNDDOWN(I1244,0))*3)*$J1244^3</f>
      </c>
      <c r="M1244" s="7">
        <f>SQRT(K1244^2+L1244^2)</f>
      </c>
      <c r="N1244" s="7">
        <f>(K1245-K1243)</f>
      </c>
      <c r="O1244" s="7">
        <f>+(L1245-L1243)</f>
      </c>
      <c r="P1244" s="7">
        <f>SQRT(O1244^2+N1244^2)</f>
      </c>
      <c r="Q1244" s="7">
        <f>N1244/$P1244</f>
      </c>
      <c r="R1244" s="7">
        <f>O1244/$P1244</f>
      </c>
      <c r="S1244" s="8">
        <f>Q1244^2+R1244^2</f>
      </c>
      <c r="T1244" s="7">
        <f>-R1244</f>
      </c>
      <c r="U1244" s="7">
        <f>Q1244</f>
      </c>
      <c r="V1244" s="7">
        <f>($C$14+($C$15-$C$14)/($D$15-$D$14)*(I1244-$D$14))/2</f>
      </c>
      <c r="W1244" s="7">
        <f>($B$22*I1244^4+$C$22*I1244^3+$D$22*I1244^2+$E$22*I1244+$F$22)/2</f>
      </c>
      <c r="X1244" s="7">
        <f>($W1244)*(T1244)</f>
      </c>
      <c r="Y1244" s="7">
        <f>($W1244)*(U1244)</f>
      </c>
      <c r="Z1244" s="7">
        <f>SQRT(X1244^2+Y1244^2)</f>
      </c>
      <c r="AA1244" s="7">
        <f>$K1244+$X1244</f>
      </c>
      <c r="AB1244" s="7">
        <f>$L1244+$Y1244</f>
      </c>
      <c r="AC1244" s="7">
        <f>$K1244-$X1244</f>
      </c>
      <c r="AD1244" s="7">
        <f>$L1244-$Y1244</f>
      </c>
      <c r="AE1244" s="7">
        <f>AA1244/39.3701</f>
      </c>
      <c r="AF1244" s="7">
        <f>AB1244/39.3701</f>
      </c>
      <c r="AG1244" s="7">
        <f>AC1244/39.3701</f>
      </c>
      <c r="AH1244" s="7">
        <f>AD1244/39.3701</f>
      </c>
      <c r="AI1244" s="1"/>
      <c r="AJ1244" s="1"/>
      <c r="AK1244" s="1"/>
      <c r="AL1244" s="1"/>
      <c r="AM1244" s="2"/>
      <c r="AN1244" s="1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  <c r="BA1244" s="1"/>
      <c r="BB1244" s="1"/>
      <c r="BC1244" s="1"/>
      <c r="BD1244" s="1"/>
      <c r="BE1244" s="1"/>
    </row>
    <row x14ac:dyDescent="0.25" r="1245" customHeight="1" ht="18.75">
      <c r="A1245" s="1"/>
      <c r="B1245" s="2"/>
      <c r="C1245" s="2"/>
      <c r="D1245" s="2"/>
      <c r="E1245" s="2"/>
      <c r="F1245" s="2"/>
      <c r="G1245" s="1"/>
      <c r="H1245" s="1"/>
      <c r="I1245" s="7">
        <v>1.242</v>
      </c>
      <c r="J1245" s="7">
        <f>IF((I1245-ROUNDDOWN(I1245,0))=0, 0, (I1245-ROUNDDOWN(I1245,0)))</f>
      </c>
      <c r="K1245" s="7">
        <f>INDIRECT("C$"&amp;2+MIN(2,ROUNDDOWN(I1245,0))*3)*(-$J1245^3+3*$J1245^2-3*$J1245+1)+INDIRECT("C$"&amp;3+MIN(2,ROUNDDOWN(I1245,0))*3)*(3*$J1245^3-6*$J1245^2+3*$J1245)+INDIRECT("C$"&amp;4+MIN(2,ROUNDDOWN(I1245,0))*3)*(-3*$J1245^3+3*$J1245^2)+INDIRECT("C$"&amp;5+MIN(2,ROUNDDOWN(I1245,0))*3)*$J1245^3</f>
      </c>
      <c r="L1245" s="7">
        <f>INDIRECT("D$"&amp;2+MIN(2,ROUNDDOWN(I1245,0))*3)*(-$J1245^3+3*$J1245^2-3*$J1245+1)+INDIRECT("D$"&amp;3+MIN(2,ROUNDDOWN(I1245,0))*3)*(3*$J1245^3-6*$J1245^2+3*$J1245)+INDIRECT("D$"&amp;4+MIN(2,ROUNDDOWN(I1245,0))*3)*(-3*$J1245^3+3*$J1245^2)+INDIRECT("D$"&amp;5+MIN(2,ROUNDDOWN(I1245,0))*3)*$J1245^3</f>
      </c>
      <c r="M1245" s="7">
        <f>SQRT(K1245^2+L1245^2)</f>
      </c>
      <c r="N1245" s="7">
        <f>(K1246-K1244)</f>
      </c>
      <c r="O1245" s="7">
        <f>+(L1246-L1244)</f>
      </c>
      <c r="P1245" s="7">
        <f>SQRT(O1245^2+N1245^2)</f>
      </c>
      <c r="Q1245" s="7">
        <f>N1245/$P1245</f>
      </c>
      <c r="R1245" s="7">
        <f>O1245/$P1245</f>
      </c>
      <c r="S1245" s="8">
        <f>Q1245^2+R1245^2</f>
      </c>
      <c r="T1245" s="7">
        <f>-R1245</f>
      </c>
      <c r="U1245" s="7">
        <f>Q1245</f>
      </c>
      <c r="V1245" s="7">
        <f>($C$14+($C$15-$C$14)/($D$15-$D$14)*(I1245-$D$14))/2</f>
      </c>
      <c r="W1245" s="7">
        <f>($B$22*I1245^4+$C$22*I1245^3+$D$22*I1245^2+$E$22*I1245+$F$22)/2</f>
      </c>
      <c r="X1245" s="7">
        <f>($W1245)*(T1245)</f>
      </c>
      <c r="Y1245" s="7">
        <f>($W1245)*(U1245)</f>
      </c>
      <c r="Z1245" s="7">
        <f>SQRT(X1245^2+Y1245^2)</f>
      </c>
      <c r="AA1245" s="7">
        <f>$K1245+$X1245</f>
      </c>
      <c r="AB1245" s="7">
        <f>$L1245+$Y1245</f>
      </c>
      <c r="AC1245" s="7">
        <f>$K1245-$X1245</f>
      </c>
      <c r="AD1245" s="7">
        <f>$L1245-$Y1245</f>
      </c>
      <c r="AE1245" s="7">
        <f>AA1245/39.3701</f>
      </c>
      <c r="AF1245" s="7">
        <f>AB1245/39.3701</f>
      </c>
      <c r="AG1245" s="7">
        <f>AC1245/39.3701</f>
      </c>
      <c r="AH1245" s="7">
        <f>AD1245/39.3701</f>
      </c>
      <c r="AI1245" s="1"/>
      <c r="AJ1245" s="1"/>
      <c r="AK1245" s="1"/>
      <c r="AL1245" s="1"/>
      <c r="AM1245" s="2"/>
      <c r="AN1245" s="1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  <c r="BA1245" s="1"/>
      <c r="BB1245" s="1"/>
      <c r="BC1245" s="1"/>
      <c r="BD1245" s="1"/>
      <c r="BE1245" s="1"/>
    </row>
    <row x14ac:dyDescent="0.25" r="1246" customHeight="1" ht="18.75">
      <c r="A1246" s="1"/>
      <c r="B1246" s="2"/>
      <c r="C1246" s="2"/>
      <c r="D1246" s="2"/>
      <c r="E1246" s="2"/>
      <c r="F1246" s="2"/>
      <c r="G1246" s="1"/>
      <c r="H1246" s="1"/>
      <c r="I1246" s="7">
        <v>1.243</v>
      </c>
      <c r="J1246" s="7">
        <f>IF((I1246-ROUNDDOWN(I1246,0))=0, 0, (I1246-ROUNDDOWN(I1246,0)))</f>
      </c>
      <c r="K1246" s="7">
        <f>INDIRECT("C$"&amp;2+MIN(2,ROUNDDOWN(I1246,0))*3)*(-$J1246^3+3*$J1246^2-3*$J1246+1)+INDIRECT("C$"&amp;3+MIN(2,ROUNDDOWN(I1246,0))*3)*(3*$J1246^3-6*$J1246^2+3*$J1246)+INDIRECT("C$"&amp;4+MIN(2,ROUNDDOWN(I1246,0))*3)*(-3*$J1246^3+3*$J1246^2)+INDIRECT("C$"&amp;5+MIN(2,ROUNDDOWN(I1246,0))*3)*$J1246^3</f>
      </c>
      <c r="L1246" s="7">
        <f>INDIRECT("D$"&amp;2+MIN(2,ROUNDDOWN(I1246,0))*3)*(-$J1246^3+3*$J1246^2-3*$J1246+1)+INDIRECT("D$"&amp;3+MIN(2,ROUNDDOWN(I1246,0))*3)*(3*$J1246^3-6*$J1246^2+3*$J1246)+INDIRECT("D$"&amp;4+MIN(2,ROUNDDOWN(I1246,0))*3)*(-3*$J1246^3+3*$J1246^2)+INDIRECT("D$"&amp;5+MIN(2,ROUNDDOWN(I1246,0))*3)*$J1246^3</f>
      </c>
      <c r="M1246" s="7">
        <f>SQRT(K1246^2+L1246^2)</f>
      </c>
      <c r="N1246" s="7">
        <f>(K1247-K1245)</f>
      </c>
      <c r="O1246" s="7">
        <f>+(L1247-L1245)</f>
      </c>
      <c r="P1246" s="7">
        <f>SQRT(O1246^2+N1246^2)</f>
      </c>
      <c r="Q1246" s="7">
        <f>N1246/$P1246</f>
      </c>
      <c r="R1246" s="7">
        <f>O1246/$P1246</f>
      </c>
      <c r="S1246" s="8">
        <f>Q1246^2+R1246^2</f>
      </c>
      <c r="T1246" s="7">
        <f>-R1246</f>
      </c>
      <c r="U1246" s="7">
        <f>Q1246</f>
      </c>
      <c r="V1246" s="7">
        <f>($C$14+($C$15-$C$14)/($D$15-$D$14)*(I1246-$D$14))/2</f>
      </c>
      <c r="W1246" s="7">
        <f>($B$22*I1246^4+$C$22*I1246^3+$D$22*I1246^2+$E$22*I1246+$F$22)/2</f>
      </c>
      <c r="X1246" s="7">
        <f>($W1246)*(T1246)</f>
      </c>
      <c r="Y1246" s="7">
        <f>($W1246)*(U1246)</f>
      </c>
      <c r="Z1246" s="7">
        <f>SQRT(X1246^2+Y1246^2)</f>
      </c>
      <c r="AA1246" s="7">
        <f>$K1246+$X1246</f>
      </c>
      <c r="AB1246" s="7">
        <f>$L1246+$Y1246</f>
      </c>
      <c r="AC1246" s="7">
        <f>$K1246-$X1246</f>
      </c>
      <c r="AD1246" s="7">
        <f>$L1246-$Y1246</f>
      </c>
      <c r="AE1246" s="7">
        <f>AA1246/39.3701</f>
      </c>
      <c r="AF1246" s="7">
        <f>AB1246/39.3701</f>
      </c>
      <c r="AG1246" s="7">
        <f>AC1246/39.3701</f>
      </c>
      <c r="AH1246" s="7">
        <f>AD1246/39.3701</f>
      </c>
      <c r="AI1246" s="1"/>
      <c r="AJ1246" s="1"/>
      <c r="AK1246" s="1"/>
      <c r="AL1246" s="1"/>
      <c r="AM1246" s="2"/>
      <c r="AN1246" s="1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  <c r="BA1246" s="1"/>
      <c r="BB1246" s="1"/>
      <c r="BC1246" s="1"/>
      <c r="BD1246" s="1"/>
      <c r="BE1246" s="1"/>
    </row>
    <row x14ac:dyDescent="0.25" r="1247" customHeight="1" ht="18.75">
      <c r="A1247" s="1"/>
      <c r="B1247" s="2"/>
      <c r="C1247" s="2"/>
      <c r="D1247" s="2"/>
      <c r="E1247" s="2"/>
      <c r="F1247" s="2"/>
      <c r="G1247" s="1"/>
      <c r="H1247" s="1"/>
      <c r="I1247" s="7">
        <v>1.244</v>
      </c>
      <c r="J1247" s="7">
        <f>IF((I1247-ROUNDDOWN(I1247,0))=0, 0, (I1247-ROUNDDOWN(I1247,0)))</f>
      </c>
      <c r="K1247" s="7">
        <f>INDIRECT("C$"&amp;2+MIN(2,ROUNDDOWN(I1247,0))*3)*(-$J1247^3+3*$J1247^2-3*$J1247+1)+INDIRECT("C$"&amp;3+MIN(2,ROUNDDOWN(I1247,0))*3)*(3*$J1247^3-6*$J1247^2+3*$J1247)+INDIRECT("C$"&amp;4+MIN(2,ROUNDDOWN(I1247,0))*3)*(-3*$J1247^3+3*$J1247^2)+INDIRECT("C$"&amp;5+MIN(2,ROUNDDOWN(I1247,0))*3)*$J1247^3</f>
      </c>
      <c r="L1247" s="7">
        <f>INDIRECT("D$"&amp;2+MIN(2,ROUNDDOWN(I1247,0))*3)*(-$J1247^3+3*$J1247^2-3*$J1247+1)+INDIRECT("D$"&amp;3+MIN(2,ROUNDDOWN(I1247,0))*3)*(3*$J1247^3-6*$J1247^2+3*$J1247)+INDIRECT("D$"&amp;4+MIN(2,ROUNDDOWN(I1247,0))*3)*(-3*$J1247^3+3*$J1247^2)+INDIRECT("D$"&amp;5+MIN(2,ROUNDDOWN(I1247,0))*3)*$J1247^3</f>
      </c>
      <c r="M1247" s="7">
        <f>SQRT(K1247^2+L1247^2)</f>
      </c>
      <c r="N1247" s="7">
        <f>(K1248-K1246)</f>
      </c>
      <c r="O1247" s="7">
        <f>+(L1248-L1246)</f>
      </c>
      <c r="P1247" s="7">
        <f>SQRT(O1247^2+N1247^2)</f>
      </c>
      <c r="Q1247" s="7">
        <f>N1247/$P1247</f>
      </c>
      <c r="R1247" s="7">
        <f>O1247/$P1247</f>
      </c>
      <c r="S1247" s="7">
        <f>Q1247^2+R1247^2</f>
      </c>
      <c r="T1247" s="7">
        <f>-R1247</f>
      </c>
      <c r="U1247" s="7">
        <f>Q1247</f>
      </c>
      <c r="V1247" s="7">
        <f>($C$14+($C$15-$C$14)/($D$15-$D$14)*(I1247-$D$14))/2</f>
      </c>
      <c r="W1247" s="7">
        <f>($B$22*I1247^4+$C$22*I1247^3+$D$22*I1247^2+$E$22*I1247+$F$22)/2</f>
      </c>
      <c r="X1247" s="7">
        <f>($W1247)*(T1247)</f>
      </c>
      <c r="Y1247" s="7">
        <f>($W1247)*(U1247)</f>
      </c>
      <c r="Z1247" s="7">
        <f>SQRT(X1247^2+Y1247^2)</f>
      </c>
      <c r="AA1247" s="7">
        <f>$K1247+$X1247</f>
      </c>
      <c r="AB1247" s="7">
        <f>$L1247+$Y1247</f>
      </c>
      <c r="AC1247" s="7">
        <f>$K1247-$X1247</f>
      </c>
      <c r="AD1247" s="7">
        <f>$L1247-$Y1247</f>
      </c>
      <c r="AE1247" s="7">
        <f>AA1247/39.3701</f>
      </c>
      <c r="AF1247" s="7">
        <f>AB1247/39.3701</f>
      </c>
      <c r="AG1247" s="7">
        <f>AC1247/39.3701</f>
      </c>
      <c r="AH1247" s="7">
        <f>AD1247/39.3701</f>
      </c>
      <c r="AI1247" s="1"/>
      <c r="AJ1247" s="1"/>
      <c r="AK1247" s="1"/>
      <c r="AL1247" s="1"/>
      <c r="AM1247" s="2"/>
      <c r="AN1247" s="1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  <c r="BA1247" s="1"/>
      <c r="BB1247" s="1"/>
      <c r="BC1247" s="1"/>
      <c r="BD1247" s="1"/>
      <c r="BE1247" s="1"/>
    </row>
    <row x14ac:dyDescent="0.25" r="1248" customHeight="1" ht="18.75">
      <c r="A1248" s="1"/>
      <c r="B1248" s="2"/>
      <c r="C1248" s="2"/>
      <c r="D1248" s="2"/>
      <c r="E1248" s="2"/>
      <c r="F1248" s="2"/>
      <c r="G1248" s="1"/>
      <c r="H1248" s="1"/>
      <c r="I1248" s="7">
        <v>1.245</v>
      </c>
      <c r="J1248" s="7">
        <f>IF((I1248-ROUNDDOWN(I1248,0))=0, 0, (I1248-ROUNDDOWN(I1248,0)))</f>
      </c>
      <c r="K1248" s="7">
        <f>INDIRECT("C$"&amp;2+MIN(2,ROUNDDOWN(I1248,0))*3)*(-$J1248^3+3*$J1248^2-3*$J1248+1)+INDIRECT("C$"&amp;3+MIN(2,ROUNDDOWN(I1248,0))*3)*(3*$J1248^3-6*$J1248^2+3*$J1248)+INDIRECT("C$"&amp;4+MIN(2,ROUNDDOWN(I1248,0))*3)*(-3*$J1248^3+3*$J1248^2)+INDIRECT("C$"&amp;5+MIN(2,ROUNDDOWN(I1248,0))*3)*$J1248^3</f>
      </c>
      <c r="L1248" s="7">
        <f>INDIRECT("D$"&amp;2+MIN(2,ROUNDDOWN(I1248,0))*3)*(-$J1248^3+3*$J1248^2-3*$J1248+1)+INDIRECT("D$"&amp;3+MIN(2,ROUNDDOWN(I1248,0))*3)*(3*$J1248^3-6*$J1248^2+3*$J1248)+INDIRECT("D$"&amp;4+MIN(2,ROUNDDOWN(I1248,0))*3)*(-3*$J1248^3+3*$J1248^2)+INDIRECT("D$"&amp;5+MIN(2,ROUNDDOWN(I1248,0))*3)*$J1248^3</f>
      </c>
      <c r="M1248" s="7">
        <f>SQRT(K1248^2+L1248^2)</f>
      </c>
      <c r="N1248" s="7">
        <f>(K1249-K1247)</f>
      </c>
      <c r="O1248" s="7">
        <f>+(L1249-L1247)</f>
      </c>
      <c r="P1248" s="7">
        <f>SQRT(O1248^2+N1248^2)</f>
      </c>
      <c r="Q1248" s="7">
        <f>N1248/$P1248</f>
      </c>
      <c r="R1248" s="7">
        <f>O1248/$P1248</f>
      </c>
      <c r="S1248" s="8">
        <f>Q1248^2+R1248^2</f>
      </c>
      <c r="T1248" s="7">
        <f>-R1248</f>
      </c>
      <c r="U1248" s="7">
        <f>Q1248</f>
      </c>
      <c r="V1248" s="7">
        <f>($C$14+($C$15-$C$14)/($D$15-$D$14)*(I1248-$D$14))/2</f>
      </c>
      <c r="W1248" s="7">
        <f>($B$22*I1248^4+$C$22*I1248^3+$D$22*I1248^2+$E$22*I1248+$F$22)/2</f>
      </c>
      <c r="X1248" s="7">
        <f>($W1248)*(T1248)</f>
      </c>
      <c r="Y1248" s="7">
        <f>($W1248)*(U1248)</f>
      </c>
      <c r="Z1248" s="7">
        <f>SQRT(X1248^2+Y1248^2)</f>
      </c>
      <c r="AA1248" s="7">
        <f>$K1248+$X1248</f>
      </c>
      <c r="AB1248" s="7">
        <f>$L1248+$Y1248</f>
      </c>
      <c r="AC1248" s="7">
        <f>$K1248-$X1248</f>
      </c>
      <c r="AD1248" s="7">
        <f>$L1248-$Y1248</f>
      </c>
      <c r="AE1248" s="7">
        <f>AA1248/39.3701</f>
      </c>
      <c r="AF1248" s="7">
        <f>AB1248/39.3701</f>
      </c>
      <c r="AG1248" s="7">
        <f>AC1248/39.3701</f>
      </c>
      <c r="AH1248" s="7">
        <f>AD1248/39.3701</f>
      </c>
      <c r="AI1248" s="1"/>
      <c r="AJ1248" s="1"/>
      <c r="AK1248" s="1"/>
      <c r="AL1248" s="1"/>
      <c r="AM1248" s="2"/>
      <c r="AN1248" s="1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  <c r="BA1248" s="1"/>
      <c r="BB1248" s="1"/>
      <c r="BC1248" s="1"/>
      <c r="BD1248" s="1"/>
      <c r="BE1248" s="1"/>
    </row>
    <row x14ac:dyDescent="0.25" r="1249" customHeight="1" ht="18.75">
      <c r="A1249" s="1"/>
      <c r="B1249" s="2"/>
      <c r="C1249" s="2"/>
      <c r="D1249" s="2"/>
      <c r="E1249" s="2"/>
      <c r="F1249" s="2"/>
      <c r="G1249" s="1"/>
      <c r="H1249" s="1"/>
      <c r="I1249" s="7">
        <v>1.246</v>
      </c>
      <c r="J1249" s="7">
        <f>IF((I1249-ROUNDDOWN(I1249,0))=0, 0, (I1249-ROUNDDOWN(I1249,0)))</f>
      </c>
      <c r="K1249" s="7">
        <f>INDIRECT("C$"&amp;2+MIN(2,ROUNDDOWN(I1249,0))*3)*(-$J1249^3+3*$J1249^2-3*$J1249+1)+INDIRECT("C$"&amp;3+MIN(2,ROUNDDOWN(I1249,0))*3)*(3*$J1249^3-6*$J1249^2+3*$J1249)+INDIRECT("C$"&amp;4+MIN(2,ROUNDDOWN(I1249,0))*3)*(-3*$J1249^3+3*$J1249^2)+INDIRECT("C$"&amp;5+MIN(2,ROUNDDOWN(I1249,0))*3)*$J1249^3</f>
      </c>
      <c r="L1249" s="7">
        <f>INDIRECT("D$"&amp;2+MIN(2,ROUNDDOWN(I1249,0))*3)*(-$J1249^3+3*$J1249^2-3*$J1249+1)+INDIRECT("D$"&amp;3+MIN(2,ROUNDDOWN(I1249,0))*3)*(3*$J1249^3-6*$J1249^2+3*$J1249)+INDIRECT("D$"&amp;4+MIN(2,ROUNDDOWN(I1249,0))*3)*(-3*$J1249^3+3*$J1249^2)+INDIRECT("D$"&amp;5+MIN(2,ROUNDDOWN(I1249,0))*3)*$J1249^3</f>
      </c>
      <c r="M1249" s="7">
        <f>SQRT(K1249^2+L1249^2)</f>
      </c>
      <c r="N1249" s="7">
        <f>(K1250-K1248)</f>
      </c>
      <c r="O1249" s="7">
        <f>+(L1250-L1248)</f>
      </c>
      <c r="P1249" s="7">
        <f>SQRT(O1249^2+N1249^2)</f>
      </c>
      <c r="Q1249" s="7">
        <f>N1249/$P1249</f>
      </c>
      <c r="R1249" s="7">
        <f>O1249/$P1249</f>
      </c>
      <c r="S1249" s="7">
        <f>Q1249^2+R1249^2</f>
      </c>
      <c r="T1249" s="7">
        <f>-R1249</f>
      </c>
      <c r="U1249" s="7">
        <f>Q1249</f>
      </c>
      <c r="V1249" s="7">
        <f>($C$14+($C$15-$C$14)/($D$15-$D$14)*(I1249-$D$14))/2</f>
      </c>
      <c r="W1249" s="7">
        <f>($B$22*I1249^4+$C$22*I1249^3+$D$22*I1249^2+$E$22*I1249+$F$22)/2</f>
      </c>
      <c r="X1249" s="7">
        <f>($W1249)*(T1249)</f>
      </c>
      <c r="Y1249" s="7">
        <f>($W1249)*(U1249)</f>
      </c>
      <c r="Z1249" s="7">
        <f>SQRT(X1249^2+Y1249^2)</f>
      </c>
      <c r="AA1249" s="7">
        <f>$K1249+$X1249</f>
      </c>
      <c r="AB1249" s="7">
        <f>$L1249+$Y1249</f>
      </c>
      <c r="AC1249" s="7">
        <f>$K1249-$X1249</f>
      </c>
      <c r="AD1249" s="7">
        <f>$L1249-$Y1249</f>
      </c>
      <c r="AE1249" s="7">
        <f>AA1249/39.3701</f>
      </c>
      <c r="AF1249" s="7">
        <f>AB1249/39.3701</f>
      </c>
      <c r="AG1249" s="7">
        <f>AC1249/39.3701</f>
      </c>
      <c r="AH1249" s="7">
        <f>AD1249/39.3701</f>
      </c>
      <c r="AI1249" s="1"/>
      <c r="AJ1249" s="1"/>
      <c r="AK1249" s="1"/>
      <c r="AL1249" s="1"/>
      <c r="AM1249" s="2"/>
      <c r="AN1249" s="1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  <c r="BA1249" s="1"/>
      <c r="BB1249" s="1"/>
      <c r="BC1249" s="1"/>
      <c r="BD1249" s="1"/>
      <c r="BE1249" s="1"/>
    </row>
    <row x14ac:dyDescent="0.25" r="1250" customHeight="1" ht="18.75">
      <c r="A1250" s="1"/>
      <c r="B1250" s="2"/>
      <c r="C1250" s="2"/>
      <c r="D1250" s="2"/>
      <c r="E1250" s="2"/>
      <c r="F1250" s="2"/>
      <c r="G1250" s="1"/>
      <c r="H1250" s="1"/>
      <c r="I1250" s="7">
        <v>1.247</v>
      </c>
      <c r="J1250" s="7">
        <f>IF((I1250-ROUNDDOWN(I1250,0))=0, 0, (I1250-ROUNDDOWN(I1250,0)))</f>
      </c>
      <c r="K1250" s="7">
        <f>INDIRECT("C$"&amp;2+MIN(2,ROUNDDOWN(I1250,0))*3)*(-$J1250^3+3*$J1250^2-3*$J1250+1)+INDIRECT("C$"&amp;3+MIN(2,ROUNDDOWN(I1250,0))*3)*(3*$J1250^3-6*$J1250^2+3*$J1250)+INDIRECT("C$"&amp;4+MIN(2,ROUNDDOWN(I1250,0))*3)*(-3*$J1250^3+3*$J1250^2)+INDIRECT("C$"&amp;5+MIN(2,ROUNDDOWN(I1250,0))*3)*$J1250^3</f>
      </c>
      <c r="L1250" s="7">
        <f>INDIRECT("D$"&amp;2+MIN(2,ROUNDDOWN(I1250,0))*3)*(-$J1250^3+3*$J1250^2-3*$J1250+1)+INDIRECT("D$"&amp;3+MIN(2,ROUNDDOWN(I1250,0))*3)*(3*$J1250^3-6*$J1250^2+3*$J1250)+INDIRECT("D$"&amp;4+MIN(2,ROUNDDOWN(I1250,0))*3)*(-3*$J1250^3+3*$J1250^2)+INDIRECT("D$"&amp;5+MIN(2,ROUNDDOWN(I1250,0))*3)*$J1250^3</f>
      </c>
      <c r="M1250" s="7">
        <f>SQRT(K1250^2+L1250^2)</f>
      </c>
      <c r="N1250" s="7">
        <f>(K1251-K1249)</f>
      </c>
      <c r="O1250" s="7">
        <f>+(L1251-L1249)</f>
      </c>
      <c r="P1250" s="7">
        <f>SQRT(O1250^2+N1250^2)</f>
      </c>
      <c r="Q1250" s="7">
        <f>N1250/$P1250</f>
      </c>
      <c r="R1250" s="7">
        <f>O1250/$P1250</f>
      </c>
      <c r="S1250" s="7">
        <f>Q1250^2+R1250^2</f>
      </c>
      <c r="T1250" s="7">
        <f>-R1250</f>
      </c>
      <c r="U1250" s="7">
        <f>Q1250</f>
      </c>
      <c r="V1250" s="7">
        <f>($C$14+($C$15-$C$14)/($D$15-$D$14)*(I1250-$D$14))/2</f>
      </c>
      <c r="W1250" s="7">
        <f>($B$22*I1250^4+$C$22*I1250^3+$D$22*I1250^2+$E$22*I1250+$F$22)/2</f>
      </c>
      <c r="X1250" s="7">
        <f>($W1250)*(T1250)</f>
      </c>
      <c r="Y1250" s="7">
        <f>($W1250)*(U1250)</f>
      </c>
      <c r="Z1250" s="7">
        <f>SQRT(X1250^2+Y1250^2)</f>
      </c>
      <c r="AA1250" s="7">
        <f>$K1250+$X1250</f>
      </c>
      <c r="AB1250" s="7">
        <f>$L1250+$Y1250</f>
      </c>
      <c r="AC1250" s="7">
        <f>$K1250-$X1250</f>
      </c>
      <c r="AD1250" s="7">
        <f>$L1250-$Y1250</f>
      </c>
      <c r="AE1250" s="7">
        <f>AA1250/39.3701</f>
      </c>
      <c r="AF1250" s="7">
        <f>AB1250/39.3701</f>
      </c>
      <c r="AG1250" s="7">
        <f>AC1250/39.3701</f>
      </c>
      <c r="AH1250" s="7">
        <f>AD1250/39.3701</f>
      </c>
      <c r="AI1250" s="1"/>
      <c r="AJ1250" s="1"/>
      <c r="AK1250" s="1"/>
      <c r="AL1250" s="1"/>
      <c r="AM1250" s="2"/>
      <c r="AN1250" s="1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  <c r="BA1250" s="1"/>
      <c r="BB1250" s="1"/>
      <c r="BC1250" s="1"/>
      <c r="BD1250" s="1"/>
      <c r="BE1250" s="1"/>
    </row>
    <row x14ac:dyDescent="0.25" r="1251" customHeight="1" ht="18.75">
      <c r="A1251" s="1"/>
      <c r="B1251" s="2"/>
      <c r="C1251" s="2"/>
      <c r="D1251" s="2"/>
      <c r="E1251" s="2"/>
      <c r="F1251" s="2"/>
      <c r="G1251" s="1"/>
      <c r="H1251" s="1"/>
      <c r="I1251" s="7">
        <v>1.248</v>
      </c>
      <c r="J1251" s="7">
        <f>IF((I1251-ROUNDDOWN(I1251,0))=0, 0, (I1251-ROUNDDOWN(I1251,0)))</f>
      </c>
      <c r="K1251" s="7">
        <f>INDIRECT("C$"&amp;2+MIN(2,ROUNDDOWN(I1251,0))*3)*(-$J1251^3+3*$J1251^2-3*$J1251+1)+INDIRECT("C$"&amp;3+MIN(2,ROUNDDOWN(I1251,0))*3)*(3*$J1251^3-6*$J1251^2+3*$J1251)+INDIRECT("C$"&amp;4+MIN(2,ROUNDDOWN(I1251,0))*3)*(-3*$J1251^3+3*$J1251^2)+INDIRECT("C$"&amp;5+MIN(2,ROUNDDOWN(I1251,0))*3)*$J1251^3</f>
      </c>
      <c r="L1251" s="7">
        <f>INDIRECT("D$"&amp;2+MIN(2,ROUNDDOWN(I1251,0))*3)*(-$J1251^3+3*$J1251^2-3*$J1251+1)+INDIRECT("D$"&amp;3+MIN(2,ROUNDDOWN(I1251,0))*3)*(3*$J1251^3-6*$J1251^2+3*$J1251)+INDIRECT("D$"&amp;4+MIN(2,ROUNDDOWN(I1251,0))*3)*(-3*$J1251^3+3*$J1251^2)+INDIRECT("D$"&amp;5+MIN(2,ROUNDDOWN(I1251,0))*3)*$J1251^3</f>
      </c>
      <c r="M1251" s="7">
        <f>SQRT(K1251^2+L1251^2)</f>
      </c>
      <c r="N1251" s="7">
        <f>(K1252-K1250)</f>
      </c>
      <c r="O1251" s="7">
        <f>+(L1252-L1250)</f>
      </c>
      <c r="P1251" s="7">
        <f>SQRT(O1251^2+N1251^2)</f>
      </c>
      <c r="Q1251" s="7">
        <f>N1251/$P1251</f>
      </c>
      <c r="R1251" s="7">
        <f>O1251/$P1251</f>
      </c>
      <c r="S1251" s="7">
        <f>Q1251^2+R1251^2</f>
      </c>
      <c r="T1251" s="7">
        <f>-R1251</f>
      </c>
      <c r="U1251" s="7">
        <f>Q1251</f>
      </c>
      <c r="V1251" s="7">
        <f>($C$14+($C$15-$C$14)/($D$15-$D$14)*(I1251-$D$14))/2</f>
      </c>
      <c r="W1251" s="7">
        <f>($B$22*I1251^4+$C$22*I1251^3+$D$22*I1251^2+$E$22*I1251+$F$22)/2</f>
      </c>
      <c r="X1251" s="7">
        <f>($W1251)*(T1251)</f>
      </c>
      <c r="Y1251" s="7">
        <f>($W1251)*(U1251)</f>
      </c>
      <c r="Z1251" s="7">
        <f>SQRT(X1251^2+Y1251^2)</f>
      </c>
      <c r="AA1251" s="7">
        <f>$K1251+$X1251</f>
      </c>
      <c r="AB1251" s="7">
        <f>$L1251+$Y1251</f>
      </c>
      <c r="AC1251" s="7">
        <f>$K1251-$X1251</f>
      </c>
      <c r="AD1251" s="7">
        <f>$L1251-$Y1251</f>
      </c>
      <c r="AE1251" s="7">
        <f>AA1251/39.3701</f>
      </c>
      <c r="AF1251" s="7">
        <f>AB1251/39.3701</f>
      </c>
      <c r="AG1251" s="7">
        <f>AC1251/39.3701</f>
      </c>
      <c r="AH1251" s="7">
        <f>AD1251/39.3701</f>
      </c>
      <c r="AI1251" s="1"/>
      <c r="AJ1251" s="1"/>
      <c r="AK1251" s="1"/>
      <c r="AL1251" s="1"/>
      <c r="AM1251" s="2"/>
      <c r="AN1251" s="1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  <c r="BA1251" s="1"/>
      <c r="BB1251" s="1"/>
      <c r="BC1251" s="1"/>
      <c r="BD1251" s="1"/>
      <c r="BE1251" s="1"/>
    </row>
    <row x14ac:dyDescent="0.25" r="1252" customHeight="1" ht="18.75">
      <c r="A1252" s="1"/>
      <c r="B1252" s="2"/>
      <c r="C1252" s="2"/>
      <c r="D1252" s="2"/>
      <c r="E1252" s="2"/>
      <c r="F1252" s="2"/>
      <c r="G1252" s="1"/>
      <c r="H1252" s="1"/>
      <c r="I1252" s="7">
        <v>1.249</v>
      </c>
      <c r="J1252" s="7">
        <f>IF((I1252-ROUNDDOWN(I1252,0))=0, 0, (I1252-ROUNDDOWN(I1252,0)))</f>
      </c>
      <c r="K1252" s="7">
        <f>INDIRECT("C$"&amp;2+MIN(2,ROUNDDOWN(I1252,0))*3)*(-$J1252^3+3*$J1252^2-3*$J1252+1)+INDIRECT("C$"&amp;3+MIN(2,ROUNDDOWN(I1252,0))*3)*(3*$J1252^3-6*$J1252^2+3*$J1252)+INDIRECT("C$"&amp;4+MIN(2,ROUNDDOWN(I1252,0))*3)*(-3*$J1252^3+3*$J1252^2)+INDIRECT("C$"&amp;5+MIN(2,ROUNDDOWN(I1252,0))*3)*$J1252^3</f>
      </c>
      <c r="L1252" s="7">
        <f>INDIRECT("D$"&amp;2+MIN(2,ROUNDDOWN(I1252,0))*3)*(-$J1252^3+3*$J1252^2-3*$J1252+1)+INDIRECT("D$"&amp;3+MIN(2,ROUNDDOWN(I1252,0))*3)*(3*$J1252^3-6*$J1252^2+3*$J1252)+INDIRECT("D$"&amp;4+MIN(2,ROUNDDOWN(I1252,0))*3)*(-3*$J1252^3+3*$J1252^2)+INDIRECT("D$"&amp;5+MIN(2,ROUNDDOWN(I1252,0))*3)*$J1252^3</f>
      </c>
      <c r="M1252" s="7">
        <f>SQRT(K1252^2+L1252^2)</f>
      </c>
      <c r="N1252" s="7">
        <f>(K1253-K1251)</f>
      </c>
      <c r="O1252" s="7">
        <f>+(L1253-L1251)</f>
      </c>
      <c r="P1252" s="7">
        <f>SQRT(O1252^2+N1252^2)</f>
      </c>
      <c r="Q1252" s="7">
        <f>N1252/$P1252</f>
      </c>
      <c r="R1252" s="7">
        <f>O1252/$P1252</f>
      </c>
      <c r="S1252" s="7">
        <f>Q1252^2+R1252^2</f>
      </c>
      <c r="T1252" s="7">
        <f>-R1252</f>
      </c>
      <c r="U1252" s="7">
        <f>Q1252</f>
      </c>
      <c r="V1252" s="7">
        <f>($C$14+($C$15-$C$14)/($D$15-$D$14)*(I1252-$D$14))/2</f>
      </c>
      <c r="W1252" s="7">
        <f>($B$22*I1252^4+$C$22*I1252^3+$D$22*I1252^2+$E$22*I1252+$F$22)/2</f>
      </c>
      <c r="X1252" s="7">
        <f>($W1252)*(T1252)</f>
      </c>
      <c r="Y1252" s="7">
        <f>($W1252)*(U1252)</f>
      </c>
      <c r="Z1252" s="7">
        <f>SQRT(X1252^2+Y1252^2)</f>
      </c>
      <c r="AA1252" s="7">
        <f>$K1252+$X1252</f>
      </c>
      <c r="AB1252" s="7">
        <f>$L1252+$Y1252</f>
      </c>
      <c r="AC1252" s="7">
        <f>$K1252-$X1252</f>
      </c>
      <c r="AD1252" s="7">
        <f>$L1252-$Y1252</f>
      </c>
      <c r="AE1252" s="7">
        <f>AA1252/39.3701</f>
      </c>
      <c r="AF1252" s="7">
        <f>AB1252/39.3701</f>
      </c>
      <c r="AG1252" s="7">
        <f>AC1252/39.3701</f>
      </c>
      <c r="AH1252" s="7">
        <f>AD1252/39.3701</f>
      </c>
      <c r="AI1252" s="1"/>
      <c r="AJ1252" s="1"/>
      <c r="AK1252" s="1"/>
      <c r="AL1252" s="1"/>
      <c r="AM1252" s="2"/>
      <c r="AN1252" s="1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  <c r="BA1252" s="1"/>
      <c r="BB1252" s="1"/>
      <c r="BC1252" s="1"/>
      <c r="BD1252" s="1"/>
      <c r="BE1252" s="1"/>
    </row>
    <row x14ac:dyDescent="0.25" r="1253" customHeight="1" ht="18.75">
      <c r="A1253" s="1"/>
      <c r="B1253" s="2"/>
      <c r="C1253" s="2"/>
      <c r="D1253" s="2"/>
      <c r="E1253" s="2"/>
      <c r="F1253" s="2"/>
      <c r="G1253" s="1"/>
      <c r="H1253" s="1"/>
      <c r="I1253" s="7">
        <v>1.25</v>
      </c>
      <c r="J1253" s="7">
        <f>IF((I1253-ROUNDDOWN(I1253,0))=0, 0, (I1253-ROUNDDOWN(I1253,0)))</f>
      </c>
      <c r="K1253" s="7">
        <f>INDIRECT("C$"&amp;2+MIN(2,ROUNDDOWN(I1253,0))*3)*(-$J1253^3+3*$J1253^2-3*$J1253+1)+INDIRECT("C$"&amp;3+MIN(2,ROUNDDOWN(I1253,0))*3)*(3*$J1253^3-6*$J1253^2+3*$J1253)+INDIRECT("C$"&amp;4+MIN(2,ROUNDDOWN(I1253,0))*3)*(-3*$J1253^3+3*$J1253^2)+INDIRECT("C$"&amp;5+MIN(2,ROUNDDOWN(I1253,0))*3)*$J1253^3</f>
      </c>
      <c r="L1253" s="7">
        <f>INDIRECT("D$"&amp;2+MIN(2,ROUNDDOWN(I1253,0))*3)*(-$J1253^3+3*$J1253^2-3*$J1253+1)+INDIRECT("D$"&amp;3+MIN(2,ROUNDDOWN(I1253,0))*3)*(3*$J1253^3-6*$J1253^2+3*$J1253)+INDIRECT("D$"&amp;4+MIN(2,ROUNDDOWN(I1253,0))*3)*(-3*$J1253^3+3*$J1253^2)+INDIRECT("D$"&amp;5+MIN(2,ROUNDDOWN(I1253,0))*3)*$J1253^3</f>
      </c>
      <c r="M1253" s="7">
        <f>SQRT(K1253^2+L1253^2)</f>
      </c>
      <c r="N1253" s="7">
        <f>(K1254-K1252)</f>
      </c>
      <c r="O1253" s="7">
        <f>+(L1254-L1252)</f>
      </c>
      <c r="P1253" s="7">
        <f>SQRT(O1253^2+N1253^2)</f>
      </c>
      <c r="Q1253" s="7">
        <f>N1253/$P1253</f>
      </c>
      <c r="R1253" s="7">
        <f>O1253/$P1253</f>
      </c>
      <c r="S1253" s="8">
        <f>Q1253^2+R1253^2</f>
      </c>
      <c r="T1253" s="7">
        <f>-R1253</f>
      </c>
      <c r="U1253" s="7">
        <f>Q1253</f>
      </c>
      <c r="V1253" s="7">
        <f>($C$14+($C$15-$C$14)/($D$15-$D$14)*(I1253-$D$14))/2</f>
      </c>
      <c r="W1253" s="7">
        <f>($B$22*I1253^4+$C$22*I1253^3+$D$22*I1253^2+$E$22*I1253+$F$22)/2</f>
      </c>
      <c r="X1253" s="7">
        <f>($W1253)*(T1253)</f>
      </c>
      <c r="Y1253" s="7">
        <f>($W1253)*(U1253)</f>
      </c>
      <c r="Z1253" s="7">
        <f>SQRT(X1253^2+Y1253^2)</f>
      </c>
      <c r="AA1253" s="7">
        <f>$K1253+$X1253</f>
      </c>
      <c r="AB1253" s="7">
        <f>$L1253+$Y1253</f>
      </c>
      <c r="AC1253" s="7">
        <f>$K1253-$X1253</f>
      </c>
      <c r="AD1253" s="7">
        <f>$L1253-$Y1253</f>
      </c>
      <c r="AE1253" s="7">
        <f>AA1253/39.3701</f>
      </c>
      <c r="AF1253" s="7">
        <f>AB1253/39.3701</f>
      </c>
      <c r="AG1253" s="7">
        <f>AC1253/39.3701</f>
      </c>
      <c r="AH1253" s="7">
        <f>AD1253/39.3701</f>
      </c>
      <c r="AI1253" s="1"/>
      <c r="AJ1253" s="1"/>
      <c r="AK1253" s="1"/>
      <c r="AL1253" s="1"/>
      <c r="AM1253" s="2"/>
      <c r="AN1253" s="1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  <c r="BA1253" s="1"/>
      <c r="BB1253" s="1"/>
      <c r="BC1253" s="1"/>
      <c r="BD1253" s="1"/>
      <c r="BE1253" s="1"/>
    </row>
    <row x14ac:dyDescent="0.25" r="1254" customHeight="1" ht="18.75">
      <c r="A1254" s="1"/>
      <c r="B1254" s="2"/>
      <c r="C1254" s="2"/>
      <c r="D1254" s="2"/>
      <c r="E1254" s="2"/>
      <c r="F1254" s="2"/>
      <c r="G1254" s="1"/>
      <c r="H1254" s="1"/>
      <c r="I1254" s="7">
        <v>1.251</v>
      </c>
      <c r="J1254" s="7">
        <f>IF((I1254-ROUNDDOWN(I1254,0))=0, 0, (I1254-ROUNDDOWN(I1254,0)))</f>
      </c>
      <c r="K1254" s="7">
        <f>INDIRECT("C$"&amp;2+MIN(2,ROUNDDOWN(I1254,0))*3)*(-$J1254^3+3*$J1254^2-3*$J1254+1)+INDIRECT("C$"&amp;3+MIN(2,ROUNDDOWN(I1254,0))*3)*(3*$J1254^3-6*$J1254^2+3*$J1254)+INDIRECT("C$"&amp;4+MIN(2,ROUNDDOWN(I1254,0))*3)*(-3*$J1254^3+3*$J1254^2)+INDIRECT("C$"&amp;5+MIN(2,ROUNDDOWN(I1254,0))*3)*$J1254^3</f>
      </c>
      <c r="L1254" s="7">
        <f>INDIRECT("D$"&amp;2+MIN(2,ROUNDDOWN(I1254,0))*3)*(-$J1254^3+3*$J1254^2-3*$J1254+1)+INDIRECT("D$"&amp;3+MIN(2,ROUNDDOWN(I1254,0))*3)*(3*$J1254^3-6*$J1254^2+3*$J1254)+INDIRECT("D$"&amp;4+MIN(2,ROUNDDOWN(I1254,0))*3)*(-3*$J1254^3+3*$J1254^2)+INDIRECT("D$"&amp;5+MIN(2,ROUNDDOWN(I1254,0))*3)*$J1254^3</f>
      </c>
      <c r="M1254" s="7">
        <f>SQRT(K1254^2+L1254^2)</f>
      </c>
      <c r="N1254" s="7">
        <f>(K1255-K1253)</f>
      </c>
      <c r="O1254" s="7">
        <f>+(L1255-L1253)</f>
      </c>
      <c r="P1254" s="7">
        <f>SQRT(O1254^2+N1254^2)</f>
      </c>
      <c r="Q1254" s="7">
        <f>N1254/$P1254</f>
      </c>
      <c r="R1254" s="7">
        <f>O1254/$P1254</f>
      </c>
      <c r="S1254" s="8">
        <f>Q1254^2+R1254^2</f>
      </c>
      <c r="T1254" s="7">
        <f>-R1254</f>
      </c>
      <c r="U1254" s="7">
        <f>Q1254</f>
      </c>
      <c r="V1254" s="7">
        <f>($C$14+($C$15-$C$14)/($D$15-$D$14)*(I1254-$D$14))/2</f>
      </c>
      <c r="W1254" s="7">
        <f>($B$22*I1254^4+$C$22*I1254^3+$D$22*I1254^2+$E$22*I1254+$F$22)/2</f>
      </c>
      <c r="X1254" s="7">
        <f>($W1254)*(T1254)</f>
      </c>
      <c r="Y1254" s="7">
        <f>($W1254)*(U1254)</f>
      </c>
      <c r="Z1254" s="7">
        <f>SQRT(X1254^2+Y1254^2)</f>
      </c>
      <c r="AA1254" s="7">
        <f>$K1254+$X1254</f>
      </c>
      <c r="AB1254" s="7">
        <f>$L1254+$Y1254</f>
      </c>
      <c r="AC1254" s="7">
        <f>$K1254-$X1254</f>
      </c>
      <c r="AD1254" s="7">
        <f>$L1254-$Y1254</f>
      </c>
      <c r="AE1254" s="7">
        <f>AA1254/39.3701</f>
      </c>
      <c r="AF1254" s="7">
        <f>AB1254/39.3701</f>
      </c>
      <c r="AG1254" s="7">
        <f>AC1254/39.3701</f>
      </c>
      <c r="AH1254" s="7">
        <f>AD1254/39.3701</f>
      </c>
      <c r="AI1254" s="1"/>
      <c r="AJ1254" s="1"/>
      <c r="AK1254" s="1"/>
      <c r="AL1254" s="1"/>
      <c r="AM1254" s="2"/>
      <c r="AN1254" s="1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  <c r="BA1254" s="1"/>
      <c r="BB1254" s="1"/>
      <c r="BC1254" s="1"/>
      <c r="BD1254" s="1"/>
      <c r="BE1254" s="1"/>
    </row>
    <row x14ac:dyDescent="0.25" r="1255" customHeight="1" ht="18.75">
      <c r="A1255" s="1"/>
      <c r="B1255" s="2"/>
      <c r="C1255" s="2"/>
      <c r="D1255" s="2"/>
      <c r="E1255" s="2"/>
      <c r="F1255" s="2"/>
      <c r="G1255" s="1"/>
      <c r="H1255" s="1"/>
      <c r="I1255" s="7">
        <v>1.252</v>
      </c>
      <c r="J1255" s="7">
        <f>IF((I1255-ROUNDDOWN(I1255,0))=0, 0, (I1255-ROUNDDOWN(I1255,0)))</f>
      </c>
      <c r="K1255" s="7">
        <f>INDIRECT("C$"&amp;2+MIN(2,ROUNDDOWN(I1255,0))*3)*(-$J1255^3+3*$J1255^2-3*$J1255+1)+INDIRECT("C$"&amp;3+MIN(2,ROUNDDOWN(I1255,0))*3)*(3*$J1255^3-6*$J1255^2+3*$J1255)+INDIRECT("C$"&amp;4+MIN(2,ROUNDDOWN(I1255,0))*3)*(-3*$J1255^3+3*$J1255^2)+INDIRECT("C$"&amp;5+MIN(2,ROUNDDOWN(I1255,0))*3)*$J1255^3</f>
      </c>
      <c r="L1255" s="7">
        <f>INDIRECT("D$"&amp;2+MIN(2,ROUNDDOWN(I1255,0))*3)*(-$J1255^3+3*$J1255^2-3*$J1255+1)+INDIRECT("D$"&amp;3+MIN(2,ROUNDDOWN(I1255,0))*3)*(3*$J1255^3-6*$J1255^2+3*$J1255)+INDIRECT("D$"&amp;4+MIN(2,ROUNDDOWN(I1255,0))*3)*(-3*$J1255^3+3*$J1255^2)+INDIRECT("D$"&amp;5+MIN(2,ROUNDDOWN(I1255,0))*3)*$J1255^3</f>
      </c>
      <c r="M1255" s="7">
        <f>SQRT(K1255^2+L1255^2)</f>
      </c>
      <c r="N1255" s="7">
        <f>(K1256-K1254)</f>
      </c>
      <c r="O1255" s="7">
        <f>+(L1256-L1254)</f>
      </c>
      <c r="P1255" s="7">
        <f>SQRT(O1255^2+N1255^2)</f>
      </c>
      <c r="Q1255" s="7">
        <f>N1255/$P1255</f>
      </c>
      <c r="R1255" s="7">
        <f>O1255/$P1255</f>
      </c>
      <c r="S1255" s="7">
        <f>Q1255^2+R1255^2</f>
      </c>
      <c r="T1255" s="7">
        <f>-R1255</f>
      </c>
      <c r="U1255" s="7">
        <f>Q1255</f>
      </c>
      <c r="V1255" s="7">
        <f>($C$14+($C$15-$C$14)/($D$15-$D$14)*(I1255-$D$14))/2</f>
      </c>
      <c r="W1255" s="7">
        <f>($B$22*I1255^4+$C$22*I1255^3+$D$22*I1255^2+$E$22*I1255+$F$22)/2</f>
      </c>
      <c r="X1255" s="7">
        <f>($W1255)*(T1255)</f>
      </c>
      <c r="Y1255" s="7">
        <f>($W1255)*(U1255)</f>
      </c>
      <c r="Z1255" s="7">
        <f>SQRT(X1255^2+Y1255^2)</f>
      </c>
      <c r="AA1255" s="7">
        <f>$K1255+$X1255</f>
      </c>
      <c r="AB1255" s="7">
        <f>$L1255+$Y1255</f>
      </c>
      <c r="AC1255" s="7">
        <f>$K1255-$X1255</f>
      </c>
      <c r="AD1255" s="7">
        <f>$L1255-$Y1255</f>
      </c>
      <c r="AE1255" s="7">
        <f>AA1255/39.3701</f>
      </c>
      <c r="AF1255" s="7">
        <f>AB1255/39.3701</f>
      </c>
      <c r="AG1255" s="7">
        <f>AC1255/39.3701</f>
      </c>
      <c r="AH1255" s="7">
        <f>AD1255/39.3701</f>
      </c>
      <c r="AI1255" s="1"/>
      <c r="AJ1255" s="1"/>
      <c r="AK1255" s="1"/>
      <c r="AL1255" s="1"/>
      <c r="AM1255" s="2"/>
      <c r="AN1255" s="1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  <c r="BA1255" s="1"/>
      <c r="BB1255" s="1"/>
      <c r="BC1255" s="1"/>
      <c r="BD1255" s="1"/>
      <c r="BE1255" s="1"/>
    </row>
    <row x14ac:dyDescent="0.25" r="1256" customHeight="1" ht="18.75">
      <c r="A1256" s="1"/>
      <c r="B1256" s="2"/>
      <c r="C1256" s="2"/>
      <c r="D1256" s="2"/>
      <c r="E1256" s="2"/>
      <c r="F1256" s="2"/>
      <c r="G1256" s="1"/>
      <c r="H1256" s="1"/>
      <c r="I1256" s="7">
        <v>1.253</v>
      </c>
      <c r="J1256" s="7">
        <f>IF((I1256-ROUNDDOWN(I1256,0))=0, 0, (I1256-ROUNDDOWN(I1256,0)))</f>
      </c>
      <c r="K1256" s="7">
        <f>INDIRECT("C$"&amp;2+MIN(2,ROUNDDOWN(I1256,0))*3)*(-$J1256^3+3*$J1256^2-3*$J1256+1)+INDIRECT("C$"&amp;3+MIN(2,ROUNDDOWN(I1256,0))*3)*(3*$J1256^3-6*$J1256^2+3*$J1256)+INDIRECT("C$"&amp;4+MIN(2,ROUNDDOWN(I1256,0))*3)*(-3*$J1256^3+3*$J1256^2)+INDIRECT("C$"&amp;5+MIN(2,ROUNDDOWN(I1256,0))*3)*$J1256^3</f>
      </c>
      <c r="L1256" s="7">
        <f>INDIRECT("D$"&amp;2+MIN(2,ROUNDDOWN(I1256,0))*3)*(-$J1256^3+3*$J1256^2-3*$J1256+1)+INDIRECT("D$"&amp;3+MIN(2,ROUNDDOWN(I1256,0))*3)*(3*$J1256^3-6*$J1256^2+3*$J1256)+INDIRECT("D$"&amp;4+MIN(2,ROUNDDOWN(I1256,0))*3)*(-3*$J1256^3+3*$J1256^2)+INDIRECT("D$"&amp;5+MIN(2,ROUNDDOWN(I1256,0))*3)*$J1256^3</f>
      </c>
      <c r="M1256" s="7">
        <f>SQRT(K1256^2+L1256^2)</f>
      </c>
      <c r="N1256" s="7">
        <f>(K1257-K1255)</f>
      </c>
      <c r="O1256" s="7">
        <f>+(L1257-L1255)</f>
      </c>
      <c r="P1256" s="7">
        <f>SQRT(O1256^2+N1256^2)</f>
      </c>
      <c r="Q1256" s="7">
        <f>N1256/$P1256</f>
      </c>
      <c r="R1256" s="7">
        <f>O1256/$P1256</f>
      </c>
      <c r="S1256" s="8">
        <f>Q1256^2+R1256^2</f>
      </c>
      <c r="T1256" s="7">
        <f>-R1256</f>
      </c>
      <c r="U1256" s="7">
        <f>Q1256</f>
      </c>
      <c r="V1256" s="7">
        <f>($C$14+($C$15-$C$14)/($D$15-$D$14)*(I1256-$D$14))/2</f>
      </c>
      <c r="W1256" s="7">
        <f>($B$22*I1256^4+$C$22*I1256^3+$D$22*I1256^2+$E$22*I1256+$F$22)/2</f>
      </c>
      <c r="X1256" s="7">
        <f>($W1256)*(T1256)</f>
      </c>
      <c r="Y1256" s="7">
        <f>($W1256)*(U1256)</f>
      </c>
      <c r="Z1256" s="7">
        <f>SQRT(X1256^2+Y1256^2)</f>
      </c>
      <c r="AA1256" s="7">
        <f>$K1256+$X1256</f>
      </c>
      <c r="AB1256" s="7">
        <f>$L1256+$Y1256</f>
      </c>
      <c r="AC1256" s="7">
        <f>$K1256-$X1256</f>
      </c>
      <c r="AD1256" s="7">
        <f>$L1256-$Y1256</f>
      </c>
      <c r="AE1256" s="7">
        <f>AA1256/39.3701</f>
      </c>
      <c r="AF1256" s="7">
        <f>AB1256/39.3701</f>
      </c>
      <c r="AG1256" s="7">
        <f>AC1256/39.3701</f>
      </c>
      <c r="AH1256" s="7">
        <f>AD1256/39.3701</f>
      </c>
      <c r="AI1256" s="1"/>
      <c r="AJ1256" s="1"/>
      <c r="AK1256" s="1"/>
      <c r="AL1256" s="1"/>
      <c r="AM1256" s="2"/>
      <c r="AN1256" s="1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  <c r="BA1256" s="1"/>
      <c r="BB1256" s="1"/>
      <c r="BC1256" s="1"/>
      <c r="BD1256" s="1"/>
      <c r="BE1256" s="1"/>
    </row>
    <row x14ac:dyDescent="0.25" r="1257" customHeight="1" ht="18.75">
      <c r="A1257" s="1"/>
      <c r="B1257" s="2"/>
      <c r="C1257" s="2"/>
      <c r="D1257" s="2"/>
      <c r="E1257" s="2"/>
      <c r="F1257" s="2"/>
      <c r="G1257" s="1"/>
      <c r="H1257" s="1"/>
      <c r="I1257" s="7">
        <v>1.254</v>
      </c>
      <c r="J1257" s="7">
        <f>IF((I1257-ROUNDDOWN(I1257,0))=0, 0, (I1257-ROUNDDOWN(I1257,0)))</f>
      </c>
      <c r="K1257" s="7">
        <f>INDIRECT("C$"&amp;2+MIN(2,ROUNDDOWN(I1257,0))*3)*(-$J1257^3+3*$J1257^2-3*$J1257+1)+INDIRECT("C$"&amp;3+MIN(2,ROUNDDOWN(I1257,0))*3)*(3*$J1257^3-6*$J1257^2+3*$J1257)+INDIRECT("C$"&amp;4+MIN(2,ROUNDDOWN(I1257,0))*3)*(-3*$J1257^3+3*$J1257^2)+INDIRECT("C$"&amp;5+MIN(2,ROUNDDOWN(I1257,0))*3)*$J1257^3</f>
      </c>
      <c r="L1257" s="7">
        <f>INDIRECT("D$"&amp;2+MIN(2,ROUNDDOWN(I1257,0))*3)*(-$J1257^3+3*$J1257^2-3*$J1257+1)+INDIRECT("D$"&amp;3+MIN(2,ROUNDDOWN(I1257,0))*3)*(3*$J1257^3-6*$J1257^2+3*$J1257)+INDIRECT("D$"&amp;4+MIN(2,ROUNDDOWN(I1257,0))*3)*(-3*$J1257^3+3*$J1257^2)+INDIRECT("D$"&amp;5+MIN(2,ROUNDDOWN(I1257,0))*3)*$J1257^3</f>
      </c>
      <c r="M1257" s="7">
        <f>SQRT(K1257^2+L1257^2)</f>
      </c>
      <c r="N1257" s="7">
        <f>(K1258-K1256)</f>
      </c>
      <c r="O1257" s="7">
        <f>+(L1258-L1256)</f>
      </c>
      <c r="P1257" s="7">
        <f>SQRT(O1257^2+N1257^2)</f>
      </c>
      <c r="Q1257" s="7">
        <f>N1257/$P1257</f>
      </c>
      <c r="R1257" s="7">
        <f>O1257/$P1257</f>
      </c>
      <c r="S1257" s="8">
        <f>Q1257^2+R1257^2</f>
      </c>
      <c r="T1257" s="7">
        <f>-R1257</f>
      </c>
      <c r="U1257" s="7">
        <f>Q1257</f>
      </c>
      <c r="V1257" s="7">
        <f>($C$14+($C$15-$C$14)/($D$15-$D$14)*(I1257-$D$14))/2</f>
      </c>
      <c r="W1257" s="7">
        <f>($B$22*I1257^4+$C$22*I1257^3+$D$22*I1257^2+$E$22*I1257+$F$22)/2</f>
      </c>
      <c r="X1257" s="7">
        <f>($W1257)*(T1257)</f>
      </c>
      <c r="Y1257" s="7">
        <f>($W1257)*(U1257)</f>
      </c>
      <c r="Z1257" s="7">
        <f>SQRT(X1257^2+Y1257^2)</f>
      </c>
      <c r="AA1257" s="7">
        <f>$K1257+$X1257</f>
      </c>
      <c r="AB1257" s="7">
        <f>$L1257+$Y1257</f>
      </c>
      <c r="AC1257" s="7">
        <f>$K1257-$X1257</f>
      </c>
      <c r="AD1257" s="7">
        <f>$L1257-$Y1257</f>
      </c>
      <c r="AE1257" s="7">
        <f>AA1257/39.3701</f>
      </c>
      <c r="AF1257" s="7">
        <f>AB1257/39.3701</f>
      </c>
      <c r="AG1257" s="7">
        <f>AC1257/39.3701</f>
      </c>
      <c r="AH1257" s="7">
        <f>AD1257/39.3701</f>
      </c>
      <c r="AI1257" s="1"/>
      <c r="AJ1257" s="1"/>
      <c r="AK1257" s="1"/>
      <c r="AL1257" s="1"/>
      <c r="AM1257" s="2"/>
      <c r="AN1257" s="1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  <c r="BA1257" s="1"/>
      <c r="BB1257" s="1"/>
      <c r="BC1257" s="1"/>
      <c r="BD1257" s="1"/>
      <c r="BE1257" s="1"/>
    </row>
    <row x14ac:dyDescent="0.25" r="1258" customHeight="1" ht="18.75">
      <c r="A1258" s="1"/>
      <c r="B1258" s="2"/>
      <c r="C1258" s="2"/>
      <c r="D1258" s="2"/>
      <c r="E1258" s="2"/>
      <c r="F1258" s="2"/>
      <c r="G1258" s="1"/>
      <c r="H1258" s="1"/>
      <c r="I1258" s="7">
        <v>1.255</v>
      </c>
      <c r="J1258" s="7">
        <f>IF((I1258-ROUNDDOWN(I1258,0))=0, 0, (I1258-ROUNDDOWN(I1258,0)))</f>
      </c>
      <c r="K1258" s="7">
        <f>INDIRECT("C$"&amp;2+MIN(2,ROUNDDOWN(I1258,0))*3)*(-$J1258^3+3*$J1258^2-3*$J1258+1)+INDIRECT("C$"&amp;3+MIN(2,ROUNDDOWN(I1258,0))*3)*(3*$J1258^3-6*$J1258^2+3*$J1258)+INDIRECT("C$"&amp;4+MIN(2,ROUNDDOWN(I1258,0))*3)*(-3*$J1258^3+3*$J1258^2)+INDIRECT("C$"&amp;5+MIN(2,ROUNDDOWN(I1258,0))*3)*$J1258^3</f>
      </c>
      <c r="L1258" s="7">
        <f>INDIRECT("D$"&amp;2+MIN(2,ROUNDDOWN(I1258,0))*3)*(-$J1258^3+3*$J1258^2-3*$J1258+1)+INDIRECT("D$"&amp;3+MIN(2,ROUNDDOWN(I1258,0))*3)*(3*$J1258^3-6*$J1258^2+3*$J1258)+INDIRECT("D$"&amp;4+MIN(2,ROUNDDOWN(I1258,0))*3)*(-3*$J1258^3+3*$J1258^2)+INDIRECT("D$"&amp;5+MIN(2,ROUNDDOWN(I1258,0))*3)*$J1258^3</f>
      </c>
      <c r="M1258" s="7">
        <f>SQRT(K1258^2+L1258^2)</f>
      </c>
      <c r="N1258" s="7">
        <f>(K1259-K1257)</f>
      </c>
      <c r="O1258" s="7">
        <f>+(L1259-L1257)</f>
      </c>
      <c r="P1258" s="7">
        <f>SQRT(O1258^2+N1258^2)</f>
      </c>
      <c r="Q1258" s="7">
        <f>N1258/$P1258</f>
      </c>
      <c r="R1258" s="7">
        <f>O1258/$P1258</f>
      </c>
      <c r="S1258" s="8">
        <f>Q1258^2+R1258^2</f>
      </c>
      <c r="T1258" s="7">
        <f>-R1258</f>
      </c>
      <c r="U1258" s="7">
        <f>Q1258</f>
      </c>
      <c r="V1258" s="7">
        <f>($C$14+($C$15-$C$14)/($D$15-$D$14)*(I1258-$D$14))/2</f>
      </c>
      <c r="W1258" s="7">
        <f>($B$22*I1258^4+$C$22*I1258^3+$D$22*I1258^2+$E$22*I1258+$F$22)/2</f>
      </c>
      <c r="X1258" s="7">
        <f>($W1258)*(T1258)</f>
      </c>
      <c r="Y1258" s="7">
        <f>($W1258)*(U1258)</f>
      </c>
      <c r="Z1258" s="7">
        <f>SQRT(X1258^2+Y1258^2)</f>
      </c>
      <c r="AA1258" s="7">
        <f>$K1258+$X1258</f>
      </c>
      <c r="AB1258" s="7">
        <f>$L1258+$Y1258</f>
      </c>
      <c r="AC1258" s="7">
        <f>$K1258-$X1258</f>
      </c>
      <c r="AD1258" s="7">
        <f>$L1258-$Y1258</f>
      </c>
      <c r="AE1258" s="7">
        <f>AA1258/39.3701</f>
      </c>
      <c r="AF1258" s="7">
        <f>AB1258/39.3701</f>
      </c>
      <c r="AG1258" s="7">
        <f>AC1258/39.3701</f>
      </c>
      <c r="AH1258" s="7">
        <f>AD1258/39.3701</f>
      </c>
      <c r="AI1258" s="1"/>
      <c r="AJ1258" s="1"/>
      <c r="AK1258" s="1"/>
      <c r="AL1258" s="1"/>
      <c r="AM1258" s="2"/>
      <c r="AN1258" s="1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  <c r="BA1258" s="1"/>
      <c r="BB1258" s="1"/>
      <c r="BC1258" s="1"/>
      <c r="BD1258" s="1"/>
      <c r="BE1258" s="1"/>
    </row>
    <row x14ac:dyDescent="0.25" r="1259" customHeight="1" ht="18.75">
      <c r="A1259" s="1"/>
      <c r="B1259" s="2"/>
      <c r="C1259" s="2"/>
      <c r="D1259" s="2"/>
      <c r="E1259" s="2"/>
      <c r="F1259" s="2"/>
      <c r="G1259" s="1"/>
      <c r="H1259" s="1"/>
      <c r="I1259" s="7">
        <v>1.256</v>
      </c>
      <c r="J1259" s="7">
        <f>IF((I1259-ROUNDDOWN(I1259,0))=0, 0, (I1259-ROUNDDOWN(I1259,0)))</f>
      </c>
      <c r="K1259" s="7">
        <f>INDIRECT("C$"&amp;2+MIN(2,ROUNDDOWN(I1259,0))*3)*(-$J1259^3+3*$J1259^2-3*$J1259+1)+INDIRECT("C$"&amp;3+MIN(2,ROUNDDOWN(I1259,0))*3)*(3*$J1259^3-6*$J1259^2+3*$J1259)+INDIRECT("C$"&amp;4+MIN(2,ROUNDDOWN(I1259,0))*3)*(-3*$J1259^3+3*$J1259^2)+INDIRECT("C$"&amp;5+MIN(2,ROUNDDOWN(I1259,0))*3)*$J1259^3</f>
      </c>
      <c r="L1259" s="7">
        <f>INDIRECT("D$"&amp;2+MIN(2,ROUNDDOWN(I1259,0))*3)*(-$J1259^3+3*$J1259^2-3*$J1259+1)+INDIRECT("D$"&amp;3+MIN(2,ROUNDDOWN(I1259,0))*3)*(3*$J1259^3-6*$J1259^2+3*$J1259)+INDIRECT("D$"&amp;4+MIN(2,ROUNDDOWN(I1259,0))*3)*(-3*$J1259^3+3*$J1259^2)+INDIRECT("D$"&amp;5+MIN(2,ROUNDDOWN(I1259,0))*3)*$J1259^3</f>
      </c>
      <c r="M1259" s="7">
        <f>SQRT(K1259^2+L1259^2)</f>
      </c>
      <c r="N1259" s="7">
        <f>(K1260-K1258)</f>
      </c>
      <c r="O1259" s="7">
        <f>+(L1260-L1258)</f>
      </c>
      <c r="P1259" s="7">
        <f>SQRT(O1259^2+N1259^2)</f>
      </c>
      <c r="Q1259" s="7">
        <f>N1259/$P1259</f>
      </c>
      <c r="R1259" s="7">
        <f>O1259/$P1259</f>
      </c>
      <c r="S1259" s="7">
        <f>Q1259^2+R1259^2</f>
      </c>
      <c r="T1259" s="7">
        <f>-R1259</f>
      </c>
      <c r="U1259" s="7">
        <f>Q1259</f>
      </c>
      <c r="V1259" s="7">
        <f>($C$14+($C$15-$C$14)/($D$15-$D$14)*(I1259-$D$14))/2</f>
      </c>
      <c r="W1259" s="7">
        <f>($B$22*I1259^4+$C$22*I1259^3+$D$22*I1259^2+$E$22*I1259+$F$22)/2</f>
      </c>
      <c r="X1259" s="7">
        <f>($W1259)*(T1259)</f>
      </c>
      <c r="Y1259" s="7">
        <f>($W1259)*(U1259)</f>
      </c>
      <c r="Z1259" s="7">
        <f>SQRT(X1259^2+Y1259^2)</f>
      </c>
      <c r="AA1259" s="7">
        <f>$K1259+$X1259</f>
      </c>
      <c r="AB1259" s="7">
        <f>$L1259+$Y1259</f>
      </c>
      <c r="AC1259" s="7">
        <f>$K1259-$X1259</f>
      </c>
      <c r="AD1259" s="7">
        <f>$L1259-$Y1259</f>
      </c>
      <c r="AE1259" s="7">
        <f>AA1259/39.3701</f>
      </c>
      <c r="AF1259" s="7">
        <f>AB1259/39.3701</f>
      </c>
      <c r="AG1259" s="7">
        <f>AC1259/39.3701</f>
      </c>
      <c r="AH1259" s="7">
        <f>AD1259/39.3701</f>
      </c>
      <c r="AI1259" s="1"/>
      <c r="AJ1259" s="1"/>
      <c r="AK1259" s="1"/>
      <c r="AL1259" s="1"/>
      <c r="AM1259" s="2"/>
      <c r="AN1259" s="1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  <c r="BA1259" s="1"/>
      <c r="BB1259" s="1"/>
      <c r="BC1259" s="1"/>
      <c r="BD1259" s="1"/>
      <c r="BE1259" s="1"/>
    </row>
    <row x14ac:dyDescent="0.25" r="1260" customHeight="1" ht="18.75">
      <c r="A1260" s="1"/>
      <c r="B1260" s="2"/>
      <c r="C1260" s="2"/>
      <c r="D1260" s="2"/>
      <c r="E1260" s="2"/>
      <c r="F1260" s="2"/>
      <c r="G1260" s="1"/>
      <c r="H1260" s="1"/>
      <c r="I1260" s="7">
        <v>1.257</v>
      </c>
      <c r="J1260" s="7">
        <f>IF((I1260-ROUNDDOWN(I1260,0))=0, 0, (I1260-ROUNDDOWN(I1260,0)))</f>
      </c>
      <c r="K1260" s="7">
        <f>INDIRECT("C$"&amp;2+MIN(2,ROUNDDOWN(I1260,0))*3)*(-$J1260^3+3*$J1260^2-3*$J1260+1)+INDIRECT("C$"&amp;3+MIN(2,ROUNDDOWN(I1260,0))*3)*(3*$J1260^3-6*$J1260^2+3*$J1260)+INDIRECT("C$"&amp;4+MIN(2,ROUNDDOWN(I1260,0))*3)*(-3*$J1260^3+3*$J1260^2)+INDIRECT("C$"&amp;5+MIN(2,ROUNDDOWN(I1260,0))*3)*$J1260^3</f>
      </c>
      <c r="L1260" s="7">
        <f>INDIRECT("D$"&amp;2+MIN(2,ROUNDDOWN(I1260,0))*3)*(-$J1260^3+3*$J1260^2-3*$J1260+1)+INDIRECT("D$"&amp;3+MIN(2,ROUNDDOWN(I1260,0))*3)*(3*$J1260^3-6*$J1260^2+3*$J1260)+INDIRECT("D$"&amp;4+MIN(2,ROUNDDOWN(I1260,0))*3)*(-3*$J1260^3+3*$J1260^2)+INDIRECT("D$"&amp;5+MIN(2,ROUNDDOWN(I1260,0))*3)*$J1260^3</f>
      </c>
      <c r="M1260" s="7">
        <f>SQRT(K1260^2+L1260^2)</f>
      </c>
      <c r="N1260" s="7">
        <f>(K1261-K1259)</f>
      </c>
      <c r="O1260" s="7">
        <f>+(L1261-L1259)</f>
      </c>
      <c r="P1260" s="7">
        <f>SQRT(O1260^2+N1260^2)</f>
      </c>
      <c r="Q1260" s="7">
        <f>N1260/$P1260</f>
      </c>
      <c r="R1260" s="7">
        <f>O1260/$P1260</f>
      </c>
      <c r="S1260" s="7">
        <f>Q1260^2+R1260^2</f>
      </c>
      <c r="T1260" s="7">
        <f>-R1260</f>
      </c>
      <c r="U1260" s="7">
        <f>Q1260</f>
      </c>
      <c r="V1260" s="7">
        <f>($C$14+($C$15-$C$14)/($D$15-$D$14)*(I1260-$D$14))/2</f>
      </c>
      <c r="W1260" s="7">
        <f>($B$22*I1260^4+$C$22*I1260^3+$D$22*I1260^2+$E$22*I1260+$F$22)/2</f>
      </c>
      <c r="X1260" s="7">
        <f>($W1260)*(T1260)</f>
      </c>
      <c r="Y1260" s="7">
        <f>($W1260)*(U1260)</f>
      </c>
      <c r="Z1260" s="7">
        <f>SQRT(X1260^2+Y1260^2)</f>
      </c>
      <c r="AA1260" s="7">
        <f>$K1260+$X1260</f>
      </c>
      <c r="AB1260" s="7">
        <f>$L1260+$Y1260</f>
      </c>
      <c r="AC1260" s="7">
        <f>$K1260-$X1260</f>
      </c>
      <c r="AD1260" s="7">
        <f>$L1260-$Y1260</f>
      </c>
      <c r="AE1260" s="7">
        <f>AA1260/39.3701</f>
      </c>
      <c r="AF1260" s="7">
        <f>AB1260/39.3701</f>
      </c>
      <c r="AG1260" s="7">
        <f>AC1260/39.3701</f>
      </c>
      <c r="AH1260" s="7">
        <f>AD1260/39.3701</f>
      </c>
      <c r="AI1260" s="1"/>
      <c r="AJ1260" s="1"/>
      <c r="AK1260" s="1"/>
      <c r="AL1260" s="1"/>
      <c r="AM1260" s="2"/>
      <c r="AN1260" s="1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  <c r="BA1260" s="1"/>
      <c r="BB1260" s="1"/>
      <c r="BC1260" s="1"/>
      <c r="BD1260" s="1"/>
      <c r="BE1260" s="1"/>
    </row>
    <row x14ac:dyDescent="0.25" r="1261" customHeight="1" ht="18.75">
      <c r="A1261" s="1"/>
      <c r="B1261" s="2"/>
      <c r="C1261" s="2"/>
      <c r="D1261" s="2"/>
      <c r="E1261" s="2"/>
      <c r="F1261" s="2"/>
      <c r="G1261" s="1"/>
      <c r="H1261" s="1"/>
      <c r="I1261" s="7">
        <v>1.258</v>
      </c>
      <c r="J1261" s="7">
        <f>IF((I1261-ROUNDDOWN(I1261,0))=0, 0, (I1261-ROUNDDOWN(I1261,0)))</f>
      </c>
      <c r="K1261" s="7">
        <f>INDIRECT("C$"&amp;2+MIN(2,ROUNDDOWN(I1261,0))*3)*(-$J1261^3+3*$J1261^2-3*$J1261+1)+INDIRECT("C$"&amp;3+MIN(2,ROUNDDOWN(I1261,0))*3)*(3*$J1261^3-6*$J1261^2+3*$J1261)+INDIRECT("C$"&amp;4+MIN(2,ROUNDDOWN(I1261,0))*3)*(-3*$J1261^3+3*$J1261^2)+INDIRECT("C$"&amp;5+MIN(2,ROUNDDOWN(I1261,0))*3)*$J1261^3</f>
      </c>
      <c r="L1261" s="7">
        <f>INDIRECT("D$"&amp;2+MIN(2,ROUNDDOWN(I1261,0))*3)*(-$J1261^3+3*$J1261^2-3*$J1261+1)+INDIRECT("D$"&amp;3+MIN(2,ROUNDDOWN(I1261,0))*3)*(3*$J1261^3-6*$J1261^2+3*$J1261)+INDIRECT("D$"&amp;4+MIN(2,ROUNDDOWN(I1261,0))*3)*(-3*$J1261^3+3*$J1261^2)+INDIRECT("D$"&amp;5+MIN(2,ROUNDDOWN(I1261,0))*3)*$J1261^3</f>
      </c>
      <c r="M1261" s="7">
        <f>SQRT(K1261^2+L1261^2)</f>
      </c>
      <c r="N1261" s="7">
        <f>(K1262-K1260)</f>
      </c>
      <c r="O1261" s="7">
        <f>+(L1262-L1260)</f>
      </c>
      <c r="P1261" s="7">
        <f>SQRT(O1261^2+N1261^2)</f>
      </c>
      <c r="Q1261" s="7">
        <f>N1261/$P1261</f>
      </c>
      <c r="R1261" s="7">
        <f>O1261/$P1261</f>
      </c>
      <c r="S1261" s="8">
        <f>Q1261^2+R1261^2</f>
      </c>
      <c r="T1261" s="7">
        <f>-R1261</f>
      </c>
      <c r="U1261" s="7">
        <f>Q1261</f>
      </c>
      <c r="V1261" s="7">
        <f>($C$14+($C$15-$C$14)/($D$15-$D$14)*(I1261-$D$14))/2</f>
      </c>
      <c r="W1261" s="7">
        <f>($B$22*I1261^4+$C$22*I1261^3+$D$22*I1261^2+$E$22*I1261+$F$22)/2</f>
      </c>
      <c r="X1261" s="7">
        <f>($W1261)*(T1261)</f>
      </c>
      <c r="Y1261" s="7">
        <f>($W1261)*(U1261)</f>
      </c>
      <c r="Z1261" s="7">
        <f>SQRT(X1261^2+Y1261^2)</f>
      </c>
      <c r="AA1261" s="7">
        <f>$K1261+$X1261</f>
      </c>
      <c r="AB1261" s="7">
        <f>$L1261+$Y1261</f>
      </c>
      <c r="AC1261" s="7">
        <f>$K1261-$X1261</f>
      </c>
      <c r="AD1261" s="7">
        <f>$L1261-$Y1261</f>
      </c>
      <c r="AE1261" s="7">
        <f>AA1261/39.3701</f>
      </c>
      <c r="AF1261" s="7">
        <f>AB1261/39.3701</f>
      </c>
      <c r="AG1261" s="7">
        <f>AC1261/39.3701</f>
      </c>
      <c r="AH1261" s="7">
        <f>AD1261/39.3701</f>
      </c>
      <c r="AI1261" s="1"/>
      <c r="AJ1261" s="1"/>
      <c r="AK1261" s="1"/>
      <c r="AL1261" s="1"/>
      <c r="AM1261" s="2"/>
      <c r="AN1261" s="1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  <c r="BA1261" s="1"/>
      <c r="BB1261" s="1"/>
      <c r="BC1261" s="1"/>
      <c r="BD1261" s="1"/>
      <c r="BE1261" s="1"/>
    </row>
    <row x14ac:dyDescent="0.25" r="1262" customHeight="1" ht="18.75">
      <c r="A1262" s="1"/>
      <c r="B1262" s="2"/>
      <c r="C1262" s="2"/>
      <c r="D1262" s="2"/>
      <c r="E1262" s="2"/>
      <c r="F1262" s="2"/>
      <c r="G1262" s="1"/>
      <c r="H1262" s="1"/>
      <c r="I1262" s="7">
        <v>1.259</v>
      </c>
      <c r="J1262" s="7">
        <f>IF((I1262-ROUNDDOWN(I1262,0))=0, 0, (I1262-ROUNDDOWN(I1262,0)))</f>
      </c>
      <c r="K1262" s="7">
        <f>INDIRECT("C$"&amp;2+MIN(2,ROUNDDOWN(I1262,0))*3)*(-$J1262^3+3*$J1262^2-3*$J1262+1)+INDIRECT("C$"&amp;3+MIN(2,ROUNDDOWN(I1262,0))*3)*(3*$J1262^3-6*$J1262^2+3*$J1262)+INDIRECT("C$"&amp;4+MIN(2,ROUNDDOWN(I1262,0))*3)*(-3*$J1262^3+3*$J1262^2)+INDIRECT("C$"&amp;5+MIN(2,ROUNDDOWN(I1262,0))*3)*$J1262^3</f>
      </c>
      <c r="L1262" s="7">
        <f>INDIRECT("D$"&amp;2+MIN(2,ROUNDDOWN(I1262,0))*3)*(-$J1262^3+3*$J1262^2-3*$J1262+1)+INDIRECT("D$"&amp;3+MIN(2,ROUNDDOWN(I1262,0))*3)*(3*$J1262^3-6*$J1262^2+3*$J1262)+INDIRECT("D$"&amp;4+MIN(2,ROUNDDOWN(I1262,0))*3)*(-3*$J1262^3+3*$J1262^2)+INDIRECT("D$"&amp;5+MIN(2,ROUNDDOWN(I1262,0))*3)*$J1262^3</f>
      </c>
      <c r="M1262" s="7">
        <f>SQRT(K1262^2+L1262^2)</f>
      </c>
      <c r="N1262" s="7">
        <f>(K1263-K1261)</f>
      </c>
      <c r="O1262" s="7">
        <f>+(L1263-L1261)</f>
      </c>
      <c r="P1262" s="7">
        <f>SQRT(O1262^2+N1262^2)</f>
      </c>
      <c r="Q1262" s="7">
        <f>N1262/$P1262</f>
      </c>
      <c r="R1262" s="7">
        <f>O1262/$P1262</f>
      </c>
      <c r="S1262" s="8">
        <f>Q1262^2+R1262^2</f>
      </c>
      <c r="T1262" s="7">
        <f>-R1262</f>
      </c>
      <c r="U1262" s="7">
        <f>Q1262</f>
      </c>
      <c r="V1262" s="7">
        <f>($C$14+($C$15-$C$14)/($D$15-$D$14)*(I1262-$D$14))/2</f>
      </c>
      <c r="W1262" s="7">
        <f>($B$22*I1262^4+$C$22*I1262^3+$D$22*I1262^2+$E$22*I1262+$F$22)/2</f>
      </c>
      <c r="X1262" s="7">
        <f>($W1262)*(T1262)</f>
      </c>
      <c r="Y1262" s="7">
        <f>($W1262)*(U1262)</f>
      </c>
      <c r="Z1262" s="7">
        <f>SQRT(X1262^2+Y1262^2)</f>
      </c>
      <c r="AA1262" s="7">
        <f>$K1262+$X1262</f>
      </c>
      <c r="AB1262" s="7">
        <f>$L1262+$Y1262</f>
      </c>
      <c r="AC1262" s="7">
        <f>$K1262-$X1262</f>
      </c>
      <c r="AD1262" s="7">
        <f>$L1262-$Y1262</f>
      </c>
      <c r="AE1262" s="7">
        <f>AA1262/39.3701</f>
      </c>
      <c r="AF1262" s="7">
        <f>AB1262/39.3701</f>
      </c>
      <c r="AG1262" s="7">
        <f>AC1262/39.3701</f>
      </c>
      <c r="AH1262" s="7">
        <f>AD1262/39.3701</f>
      </c>
      <c r="AI1262" s="1"/>
      <c r="AJ1262" s="1"/>
      <c r="AK1262" s="1"/>
      <c r="AL1262" s="1"/>
      <c r="AM1262" s="2"/>
      <c r="AN1262" s="1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  <c r="BA1262" s="1"/>
      <c r="BB1262" s="1"/>
      <c r="BC1262" s="1"/>
      <c r="BD1262" s="1"/>
      <c r="BE1262" s="1"/>
    </row>
    <row x14ac:dyDescent="0.25" r="1263" customHeight="1" ht="18.75">
      <c r="A1263" s="1"/>
      <c r="B1263" s="2"/>
      <c r="C1263" s="2"/>
      <c r="D1263" s="2"/>
      <c r="E1263" s="2"/>
      <c r="F1263" s="2"/>
      <c r="G1263" s="1"/>
      <c r="H1263" s="1"/>
      <c r="I1263" s="7">
        <v>1.26</v>
      </c>
      <c r="J1263" s="7">
        <f>IF((I1263-ROUNDDOWN(I1263,0))=0, 0, (I1263-ROUNDDOWN(I1263,0)))</f>
      </c>
      <c r="K1263" s="7">
        <f>INDIRECT("C$"&amp;2+MIN(2,ROUNDDOWN(I1263,0))*3)*(-$J1263^3+3*$J1263^2-3*$J1263+1)+INDIRECT("C$"&amp;3+MIN(2,ROUNDDOWN(I1263,0))*3)*(3*$J1263^3-6*$J1263^2+3*$J1263)+INDIRECT("C$"&amp;4+MIN(2,ROUNDDOWN(I1263,0))*3)*(-3*$J1263^3+3*$J1263^2)+INDIRECT("C$"&amp;5+MIN(2,ROUNDDOWN(I1263,0))*3)*$J1263^3</f>
      </c>
      <c r="L1263" s="7">
        <f>INDIRECT("D$"&amp;2+MIN(2,ROUNDDOWN(I1263,0))*3)*(-$J1263^3+3*$J1263^2-3*$J1263+1)+INDIRECT("D$"&amp;3+MIN(2,ROUNDDOWN(I1263,0))*3)*(3*$J1263^3-6*$J1263^2+3*$J1263)+INDIRECT("D$"&amp;4+MIN(2,ROUNDDOWN(I1263,0))*3)*(-3*$J1263^3+3*$J1263^2)+INDIRECT("D$"&amp;5+MIN(2,ROUNDDOWN(I1263,0))*3)*$J1263^3</f>
      </c>
      <c r="M1263" s="7">
        <f>SQRT(K1263^2+L1263^2)</f>
      </c>
      <c r="N1263" s="7">
        <f>(K1264-K1262)</f>
      </c>
      <c r="O1263" s="7">
        <f>+(L1264-L1262)</f>
      </c>
      <c r="P1263" s="7">
        <f>SQRT(O1263^2+N1263^2)</f>
      </c>
      <c r="Q1263" s="7">
        <f>N1263/$P1263</f>
      </c>
      <c r="R1263" s="7">
        <f>O1263/$P1263</f>
      </c>
      <c r="S1263" s="7">
        <f>Q1263^2+R1263^2</f>
      </c>
      <c r="T1263" s="7">
        <f>-R1263</f>
      </c>
      <c r="U1263" s="7">
        <f>Q1263</f>
      </c>
      <c r="V1263" s="7">
        <f>($C$14+($C$15-$C$14)/($D$15-$D$14)*(I1263-$D$14))/2</f>
      </c>
      <c r="W1263" s="7">
        <f>($B$22*I1263^4+$C$22*I1263^3+$D$22*I1263^2+$E$22*I1263+$F$22)/2</f>
      </c>
      <c r="X1263" s="7">
        <f>($W1263)*(T1263)</f>
      </c>
      <c r="Y1263" s="7">
        <f>($W1263)*(U1263)</f>
      </c>
      <c r="Z1263" s="7">
        <f>SQRT(X1263^2+Y1263^2)</f>
      </c>
      <c r="AA1263" s="7">
        <f>$K1263+$X1263</f>
      </c>
      <c r="AB1263" s="7">
        <f>$L1263+$Y1263</f>
      </c>
      <c r="AC1263" s="7">
        <f>$K1263-$X1263</f>
      </c>
      <c r="AD1263" s="7">
        <f>$L1263-$Y1263</f>
      </c>
      <c r="AE1263" s="7">
        <f>AA1263/39.3701</f>
      </c>
      <c r="AF1263" s="7">
        <f>AB1263/39.3701</f>
      </c>
      <c r="AG1263" s="7">
        <f>AC1263/39.3701</f>
      </c>
      <c r="AH1263" s="7">
        <f>AD1263/39.3701</f>
      </c>
      <c r="AI1263" s="1"/>
      <c r="AJ1263" s="1"/>
      <c r="AK1263" s="1"/>
      <c r="AL1263" s="1"/>
      <c r="AM1263" s="2"/>
      <c r="AN1263" s="1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  <c r="BA1263" s="1"/>
      <c r="BB1263" s="1"/>
      <c r="BC1263" s="1"/>
      <c r="BD1263" s="1"/>
      <c r="BE1263" s="1"/>
    </row>
    <row x14ac:dyDescent="0.25" r="1264" customHeight="1" ht="18.75">
      <c r="A1264" s="1"/>
      <c r="B1264" s="2"/>
      <c r="C1264" s="2"/>
      <c r="D1264" s="2"/>
      <c r="E1264" s="2"/>
      <c r="F1264" s="2"/>
      <c r="G1264" s="1"/>
      <c r="H1264" s="1"/>
      <c r="I1264" s="7">
        <v>1.261</v>
      </c>
      <c r="J1264" s="7">
        <f>IF((I1264-ROUNDDOWN(I1264,0))=0, 0, (I1264-ROUNDDOWN(I1264,0)))</f>
      </c>
      <c r="K1264" s="7">
        <f>INDIRECT("C$"&amp;2+MIN(2,ROUNDDOWN(I1264,0))*3)*(-$J1264^3+3*$J1264^2-3*$J1264+1)+INDIRECT("C$"&amp;3+MIN(2,ROUNDDOWN(I1264,0))*3)*(3*$J1264^3-6*$J1264^2+3*$J1264)+INDIRECT("C$"&amp;4+MIN(2,ROUNDDOWN(I1264,0))*3)*(-3*$J1264^3+3*$J1264^2)+INDIRECT("C$"&amp;5+MIN(2,ROUNDDOWN(I1264,0))*3)*$J1264^3</f>
      </c>
      <c r="L1264" s="7">
        <f>INDIRECT("D$"&amp;2+MIN(2,ROUNDDOWN(I1264,0))*3)*(-$J1264^3+3*$J1264^2-3*$J1264+1)+INDIRECT("D$"&amp;3+MIN(2,ROUNDDOWN(I1264,0))*3)*(3*$J1264^3-6*$J1264^2+3*$J1264)+INDIRECT("D$"&amp;4+MIN(2,ROUNDDOWN(I1264,0))*3)*(-3*$J1264^3+3*$J1264^2)+INDIRECT("D$"&amp;5+MIN(2,ROUNDDOWN(I1264,0))*3)*$J1264^3</f>
      </c>
      <c r="M1264" s="7">
        <f>SQRT(K1264^2+L1264^2)</f>
      </c>
      <c r="N1264" s="7">
        <f>(K1265-K1263)</f>
      </c>
      <c r="O1264" s="7">
        <f>+(L1265-L1263)</f>
      </c>
      <c r="P1264" s="7">
        <f>SQRT(O1264^2+N1264^2)</f>
      </c>
      <c r="Q1264" s="7">
        <f>N1264/$P1264</f>
      </c>
      <c r="R1264" s="7">
        <f>O1264/$P1264</f>
      </c>
      <c r="S1264" s="8">
        <f>Q1264^2+R1264^2</f>
      </c>
      <c r="T1264" s="7">
        <f>-R1264</f>
      </c>
      <c r="U1264" s="7">
        <f>Q1264</f>
      </c>
      <c r="V1264" s="7">
        <f>($C$14+($C$15-$C$14)/($D$15-$D$14)*(I1264-$D$14))/2</f>
      </c>
      <c r="W1264" s="7">
        <f>($B$22*I1264^4+$C$22*I1264^3+$D$22*I1264^2+$E$22*I1264+$F$22)/2</f>
      </c>
      <c r="X1264" s="7">
        <f>($W1264)*(T1264)</f>
      </c>
      <c r="Y1264" s="7">
        <f>($W1264)*(U1264)</f>
      </c>
      <c r="Z1264" s="7">
        <f>SQRT(X1264^2+Y1264^2)</f>
      </c>
      <c r="AA1264" s="7">
        <f>$K1264+$X1264</f>
      </c>
      <c r="AB1264" s="7">
        <f>$L1264+$Y1264</f>
      </c>
      <c r="AC1264" s="7">
        <f>$K1264-$X1264</f>
      </c>
      <c r="AD1264" s="7">
        <f>$L1264-$Y1264</f>
      </c>
      <c r="AE1264" s="7">
        <f>AA1264/39.3701</f>
      </c>
      <c r="AF1264" s="7">
        <f>AB1264/39.3701</f>
      </c>
      <c r="AG1264" s="7">
        <f>AC1264/39.3701</f>
      </c>
      <c r="AH1264" s="7">
        <f>AD1264/39.3701</f>
      </c>
      <c r="AI1264" s="1"/>
      <c r="AJ1264" s="1"/>
      <c r="AK1264" s="1"/>
      <c r="AL1264" s="1"/>
      <c r="AM1264" s="2"/>
      <c r="AN1264" s="1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  <c r="BA1264" s="1"/>
      <c r="BB1264" s="1"/>
      <c r="BC1264" s="1"/>
      <c r="BD1264" s="1"/>
      <c r="BE1264" s="1"/>
    </row>
    <row x14ac:dyDescent="0.25" r="1265" customHeight="1" ht="18.75">
      <c r="A1265" s="1"/>
      <c r="B1265" s="2"/>
      <c r="C1265" s="2"/>
      <c r="D1265" s="2"/>
      <c r="E1265" s="2"/>
      <c r="F1265" s="2"/>
      <c r="G1265" s="1"/>
      <c r="H1265" s="1"/>
      <c r="I1265" s="7">
        <v>1.262</v>
      </c>
      <c r="J1265" s="7">
        <f>IF((I1265-ROUNDDOWN(I1265,0))=0, 0, (I1265-ROUNDDOWN(I1265,0)))</f>
      </c>
      <c r="K1265" s="7">
        <f>INDIRECT("C$"&amp;2+MIN(2,ROUNDDOWN(I1265,0))*3)*(-$J1265^3+3*$J1265^2-3*$J1265+1)+INDIRECT("C$"&amp;3+MIN(2,ROUNDDOWN(I1265,0))*3)*(3*$J1265^3-6*$J1265^2+3*$J1265)+INDIRECT("C$"&amp;4+MIN(2,ROUNDDOWN(I1265,0))*3)*(-3*$J1265^3+3*$J1265^2)+INDIRECT("C$"&amp;5+MIN(2,ROUNDDOWN(I1265,0))*3)*$J1265^3</f>
      </c>
      <c r="L1265" s="7">
        <f>INDIRECT("D$"&amp;2+MIN(2,ROUNDDOWN(I1265,0))*3)*(-$J1265^3+3*$J1265^2-3*$J1265+1)+INDIRECT("D$"&amp;3+MIN(2,ROUNDDOWN(I1265,0))*3)*(3*$J1265^3-6*$J1265^2+3*$J1265)+INDIRECT("D$"&amp;4+MIN(2,ROUNDDOWN(I1265,0))*3)*(-3*$J1265^3+3*$J1265^2)+INDIRECT("D$"&amp;5+MIN(2,ROUNDDOWN(I1265,0))*3)*$J1265^3</f>
      </c>
      <c r="M1265" s="7">
        <f>SQRT(K1265^2+L1265^2)</f>
      </c>
      <c r="N1265" s="7">
        <f>(K1266-K1264)</f>
      </c>
      <c r="O1265" s="7">
        <f>+(L1266-L1264)</f>
      </c>
      <c r="P1265" s="7">
        <f>SQRT(O1265^2+N1265^2)</f>
      </c>
      <c r="Q1265" s="7">
        <f>N1265/$P1265</f>
      </c>
      <c r="R1265" s="7">
        <f>O1265/$P1265</f>
      </c>
      <c r="S1265" s="8">
        <f>Q1265^2+R1265^2</f>
      </c>
      <c r="T1265" s="7">
        <f>-R1265</f>
      </c>
      <c r="U1265" s="7">
        <f>Q1265</f>
      </c>
      <c r="V1265" s="7">
        <f>($C$14+($C$15-$C$14)/($D$15-$D$14)*(I1265-$D$14))/2</f>
      </c>
      <c r="W1265" s="7">
        <f>($B$22*I1265^4+$C$22*I1265^3+$D$22*I1265^2+$E$22*I1265+$F$22)/2</f>
      </c>
      <c r="X1265" s="7">
        <f>($W1265)*(T1265)</f>
      </c>
      <c r="Y1265" s="7">
        <f>($W1265)*(U1265)</f>
      </c>
      <c r="Z1265" s="7">
        <f>SQRT(X1265^2+Y1265^2)</f>
      </c>
      <c r="AA1265" s="7">
        <f>$K1265+$X1265</f>
      </c>
      <c r="AB1265" s="7">
        <f>$L1265+$Y1265</f>
      </c>
      <c r="AC1265" s="7">
        <f>$K1265-$X1265</f>
      </c>
      <c r="AD1265" s="7">
        <f>$L1265-$Y1265</f>
      </c>
      <c r="AE1265" s="7">
        <f>AA1265/39.3701</f>
      </c>
      <c r="AF1265" s="7">
        <f>AB1265/39.3701</f>
      </c>
      <c r="AG1265" s="7">
        <f>AC1265/39.3701</f>
      </c>
      <c r="AH1265" s="7">
        <f>AD1265/39.3701</f>
      </c>
      <c r="AI1265" s="1"/>
      <c r="AJ1265" s="1"/>
      <c r="AK1265" s="1"/>
      <c r="AL1265" s="1"/>
      <c r="AM1265" s="2"/>
      <c r="AN1265" s="1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  <c r="BA1265" s="1"/>
      <c r="BB1265" s="1"/>
      <c r="BC1265" s="1"/>
      <c r="BD1265" s="1"/>
      <c r="BE1265" s="1"/>
    </row>
    <row x14ac:dyDescent="0.25" r="1266" customHeight="1" ht="18.75">
      <c r="A1266" s="1"/>
      <c r="B1266" s="2"/>
      <c r="C1266" s="2"/>
      <c r="D1266" s="2"/>
      <c r="E1266" s="2"/>
      <c r="F1266" s="2"/>
      <c r="G1266" s="1"/>
      <c r="H1266" s="1"/>
      <c r="I1266" s="7">
        <v>1.263</v>
      </c>
      <c r="J1266" s="7">
        <f>IF((I1266-ROUNDDOWN(I1266,0))=0, 0, (I1266-ROUNDDOWN(I1266,0)))</f>
      </c>
      <c r="K1266" s="7">
        <f>INDIRECT("C$"&amp;2+MIN(2,ROUNDDOWN(I1266,0))*3)*(-$J1266^3+3*$J1266^2-3*$J1266+1)+INDIRECT("C$"&amp;3+MIN(2,ROUNDDOWN(I1266,0))*3)*(3*$J1266^3-6*$J1266^2+3*$J1266)+INDIRECT("C$"&amp;4+MIN(2,ROUNDDOWN(I1266,0))*3)*(-3*$J1266^3+3*$J1266^2)+INDIRECT("C$"&amp;5+MIN(2,ROUNDDOWN(I1266,0))*3)*$J1266^3</f>
      </c>
      <c r="L1266" s="7">
        <f>INDIRECT("D$"&amp;2+MIN(2,ROUNDDOWN(I1266,0))*3)*(-$J1266^3+3*$J1266^2-3*$J1266+1)+INDIRECT("D$"&amp;3+MIN(2,ROUNDDOWN(I1266,0))*3)*(3*$J1266^3-6*$J1266^2+3*$J1266)+INDIRECT("D$"&amp;4+MIN(2,ROUNDDOWN(I1266,0))*3)*(-3*$J1266^3+3*$J1266^2)+INDIRECT("D$"&amp;5+MIN(2,ROUNDDOWN(I1266,0))*3)*$J1266^3</f>
      </c>
      <c r="M1266" s="7">
        <f>SQRT(K1266^2+L1266^2)</f>
      </c>
      <c r="N1266" s="7">
        <f>(K1267-K1265)</f>
      </c>
      <c r="O1266" s="7">
        <f>+(L1267-L1265)</f>
      </c>
      <c r="P1266" s="7">
        <f>SQRT(O1266^2+N1266^2)</f>
      </c>
      <c r="Q1266" s="7">
        <f>N1266/$P1266</f>
      </c>
      <c r="R1266" s="7">
        <f>O1266/$P1266</f>
      </c>
      <c r="S1266" s="8">
        <f>Q1266^2+R1266^2</f>
      </c>
      <c r="T1266" s="7">
        <f>-R1266</f>
      </c>
      <c r="U1266" s="7">
        <f>Q1266</f>
      </c>
      <c r="V1266" s="7">
        <f>($C$14+($C$15-$C$14)/($D$15-$D$14)*(I1266-$D$14))/2</f>
      </c>
      <c r="W1266" s="7">
        <f>($B$22*I1266^4+$C$22*I1266^3+$D$22*I1266^2+$E$22*I1266+$F$22)/2</f>
      </c>
      <c r="X1266" s="7">
        <f>($W1266)*(T1266)</f>
      </c>
      <c r="Y1266" s="7">
        <f>($W1266)*(U1266)</f>
      </c>
      <c r="Z1266" s="7">
        <f>SQRT(X1266^2+Y1266^2)</f>
      </c>
      <c r="AA1266" s="7">
        <f>$K1266+$X1266</f>
      </c>
      <c r="AB1266" s="7">
        <f>$L1266+$Y1266</f>
      </c>
      <c r="AC1266" s="7">
        <f>$K1266-$X1266</f>
      </c>
      <c r="AD1266" s="7">
        <f>$L1266-$Y1266</f>
      </c>
      <c r="AE1266" s="7">
        <f>AA1266/39.3701</f>
      </c>
      <c r="AF1266" s="7">
        <f>AB1266/39.3701</f>
      </c>
      <c r="AG1266" s="7">
        <f>AC1266/39.3701</f>
      </c>
      <c r="AH1266" s="7">
        <f>AD1266/39.3701</f>
      </c>
      <c r="AI1266" s="1"/>
      <c r="AJ1266" s="1"/>
      <c r="AK1266" s="1"/>
      <c r="AL1266" s="1"/>
      <c r="AM1266" s="2"/>
      <c r="AN1266" s="1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  <c r="BA1266" s="1"/>
      <c r="BB1266" s="1"/>
      <c r="BC1266" s="1"/>
      <c r="BD1266" s="1"/>
      <c r="BE1266" s="1"/>
    </row>
    <row x14ac:dyDescent="0.25" r="1267" customHeight="1" ht="18.75">
      <c r="A1267" s="1"/>
      <c r="B1267" s="2"/>
      <c r="C1267" s="2"/>
      <c r="D1267" s="2"/>
      <c r="E1267" s="2"/>
      <c r="F1267" s="2"/>
      <c r="G1267" s="1"/>
      <c r="H1267" s="1"/>
      <c r="I1267" s="7">
        <v>1.264</v>
      </c>
      <c r="J1267" s="7">
        <f>IF((I1267-ROUNDDOWN(I1267,0))=0, 0, (I1267-ROUNDDOWN(I1267,0)))</f>
      </c>
      <c r="K1267" s="7">
        <f>INDIRECT("C$"&amp;2+MIN(2,ROUNDDOWN(I1267,0))*3)*(-$J1267^3+3*$J1267^2-3*$J1267+1)+INDIRECT("C$"&amp;3+MIN(2,ROUNDDOWN(I1267,0))*3)*(3*$J1267^3-6*$J1267^2+3*$J1267)+INDIRECT("C$"&amp;4+MIN(2,ROUNDDOWN(I1267,0))*3)*(-3*$J1267^3+3*$J1267^2)+INDIRECT("C$"&amp;5+MIN(2,ROUNDDOWN(I1267,0))*3)*$J1267^3</f>
      </c>
      <c r="L1267" s="7">
        <f>INDIRECT("D$"&amp;2+MIN(2,ROUNDDOWN(I1267,0))*3)*(-$J1267^3+3*$J1267^2-3*$J1267+1)+INDIRECT("D$"&amp;3+MIN(2,ROUNDDOWN(I1267,0))*3)*(3*$J1267^3-6*$J1267^2+3*$J1267)+INDIRECT("D$"&amp;4+MIN(2,ROUNDDOWN(I1267,0))*3)*(-3*$J1267^3+3*$J1267^2)+INDIRECT("D$"&amp;5+MIN(2,ROUNDDOWN(I1267,0))*3)*$J1267^3</f>
      </c>
      <c r="M1267" s="7">
        <f>SQRT(K1267^2+L1267^2)</f>
      </c>
      <c r="N1267" s="7">
        <f>(K1268-K1266)</f>
      </c>
      <c r="O1267" s="7">
        <f>+(L1268-L1266)</f>
      </c>
      <c r="P1267" s="7">
        <f>SQRT(O1267^2+N1267^2)</f>
      </c>
      <c r="Q1267" s="7">
        <f>N1267/$P1267</f>
      </c>
      <c r="R1267" s="7">
        <f>O1267/$P1267</f>
      </c>
      <c r="S1267" s="8">
        <f>Q1267^2+R1267^2</f>
      </c>
      <c r="T1267" s="7">
        <f>-R1267</f>
      </c>
      <c r="U1267" s="7">
        <f>Q1267</f>
      </c>
      <c r="V1267" s="7">
        <f>($C$14+($C$15-$C$14)/($D$15-$D$14)*(I1267-$D$14))/2</f>
      </c>
      <c r="W1267" s="7">
        <f>($B$22*I1267^4+$C$22*I1267^3+$D$22*I1267^2+$E$22*I1267+$F$22)/2</f>
      </c>
      <c r="X1267" s="7">
        <f>($W1267)*(T1267)</f>
      </c>
      <c r="Y1267" s="7">
        <f>($W1267)*(U1267)</f>
      </c>
      <c r="Z1267" s="7">
        <f>SQRT(X1267^2+Y1267^2)</f>
      </c>
      <c r="AA1267" s="7">
        <f>$K1267+$X1267</f>
      </c>
      <c r="AB1267" s="7">
        <f>$L1267+$Y1267</f>
      </c>
      <c r="AC1267" s="7">
        <f>$K1267-$X1267</f>
      </c>
      <c r="AD1267" s="7">
        <f>$L1267-$Y1267</f>
      </c>
      <c r="AE1267" s="7">
        <f>AA1267/39.3701</f>
      </c>
      <c r="AF1267" s="7">
        <f>AB1267/39.3701</f>
      </c>
      <c r="AG1267" s="7">
        <f>AC1267/39.3701</f>
      </c>
      <c r="AH1267" s="7">
        <f>AD1267/39.3701</f>
      </c>
      <c r="AI1267" s="1"/>
      <c r="AJ1267" s="1"/>
      <c r="AK1267" s="1"/>
      <c r="AL1267" s="1"/>
      <c r="AM1267" s="2"/>
      <c r="AN1267" s="1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  <c r="BA1267" s="1"/>
      <c r="BB1267" s="1"/>
      <c r="BC1267" s="1"/>
      <c r="BD1267" s="1"/>
      <c r="BE1267" s="1"/>
    </row>
    <row x14ac:dyDescent="0.25" r="1268" customHeight="1" ht="18.75">
      <c r="A1268" s="1"/>
      <c r="B1268" s="2"/>
      <c r="C1268" s="2"/>
      <c r="D1268" s="2"/>
      <c r="E1268" s="2"/>
      <c r="F1268" s="2"/>
      <c r="G1268" s="1"/>
      <c r="H1268" s="1"/>
      <c r="I1268" s="7">
        <v>1.265</v>
      </c>
      <c r="J1268" s="7">
        <f>IF((I1268-ROUNDDOWN(I1268,0))=0, 0, (I1268-ROUNDDOWN(I1268,0)))</f>
      </c>
      <c r="K1268" s="7">
        <f>INDIRECT("C$"&amp;2+MIN(2,ROUNDDOWN(I1268,0))*3)*(-$J1268^3+3*$J1268^2-3*$J1268+1)+INDIRECT("C$"&amp;3+MIN(2,ROUNDDOWN(I1268,0))*3)*(3*$J1268^3-6*$J1268^2+3*$J1268)+INDIRECT("C$"&amp;4+MIN(2,ROUNDDOWN(I1268,0))*3)*(-3*$J1268^3+3*$J1268^2)+INDIRECT("C$"&amp;5+MIN(2,ROUNDDOWN(I1268,0))*3)*$J1268^3</f>
      </c>
      <c r="L1268" s="7">
        <f>INDIRECT("D$"&amp;2+MIN(2,ROUNDDOWN(I1268,0))*3)*(-$J1268^3+3*$J1268^2-3*$J1268+1)+INDIRECT("D$"&amp;3+MIN(2,ROUNDDOWN(I1268,0))*3)*(3*$J1268^3-6*$J1268^2+3*$J1268)+INDIRECT("D$"&amp;4+MIN(2,ROUNDDOWN(I1268,0))*3)*(-3*$J1268^3+3*$J1268^2)+INDIRECT("D$"&amp;5+MIN(2,ROUNDDOWN(I1268,0))*3)*$J1268^3</f>
      </c>
      <c r="M1268" s="7">
        <f>SQRT(K1268^2+L1268^2)</f>
      </c>
      <c r="N1268" s="7">
        <f>(K1269-K1267)</f>
      </c>
      <c r="O1268" s="7">
        <f>+(L1269-L1267)</f>
      </c>
      <c r="P1268" s="7">
        <f>SQRT(O1268^2+N1268^2)</f>
      </c>
      <c r="Q1268" s="7">
        <f>N1268/$P1268</f>
      </c>
      <c r="R1268" s="7">
        <f>O1268/$P1268</f>
      </c>
      <c r="S1268" s="8">
        <f>Q1268^2+R1268^2</f>
      </c>
      <c r="T1268" s="7">
        <f>-R1268</f>
      </c>
      <c r="U1268" s="7">
        <f>Q1268</f>
      </c>
      <c r="V1268" s="7">
        <f>($C$14+($C$15-$C$14)/($D$15-$D$14)*(I1268-$D$14))/2</f>
      </c>
      <c r="W1268" s="7">
        <f>($B$22*I1268^4+$C$22*I1268^3+$D$22*I1268^2+$E$22*I1268+$F$22)/2</f>
      </c>
      <c r="X1268" s="7">
        <f>($W1268)*(T1268)</f>
      </c>
      <c r="Y1268" s="7">
        <f>($W1268)*(U1268)</f>
      </c>
      <c r="Z1268" s="7">
        <f>SQRT(X1268^2+Y1268^2)</f>
      </c>
      <c r="AA1268" s="7">
        <f>$K1268+$X1268</f>
      </c>
      <c r="AB1268" s="7">
        <f>$L1268+$Y1268</f>
      </c>
      <c r="AC1268" s="7">
        <f>$K1268-$X1268</f>
      </c>
      <c r="AD1268" s="7">
        <f>$L1268-$Y1268</f>
      </c>
      <c r="AE1268" s="7">
        <f>AA1268/39.3701</f>
      </c>
      <c r="AF1268" s="7">
        <f>AB1268/39.3701</f>
      </c>
      <c r="AG1268" s="7">
        <f>AC1268/39.3701</f>
      </c>
      <c r="AH1268" s="7">
        <f>AD1268/39.3701</f>
      </c>
      <c r="AI1268" s="1"/>
      <c r="AJ1268" s="1"/>
      <c r="AK1268" s="1"/>
      <c r="AL1268" s="1"/>
      <c r="AM1268" s="2"/>
      <c r="AN1268" s="1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  <c r="BA1268" s="1"/>
      <c r="BB1268" s="1"/>
      <c r="BC1268" s="1"/>
      <c r="BD1268" s="1"/>
      <c r="BE1268" s="1"/>
    </row>
    <row x14ac:dyDescent="0.25" r="1269" customHeight="1" ht="18.75">
      <c r="A1269" s="1"/>
      <c r="B1269" s="2"/>
      <c r="C1269" s="2"/>
      <c r="D1269" s="2"/>
      <c r="E1269" s="2"/>
      <c r="F1269" s="2"/>
      <c r="G1269" s="1"/>
      <c r="H1269" s="1"/>
      <c r="I1269" s="7">
        <v>1.266</v>
      </c>
      <c r="J1269" s="7">
        <f>IF((I1269-ROUNDDOWN(I1269,0))=0, 0, (I1269-ROUNDDOWN(I1269,0)))</f>
      </c>
      <c r="K1269" s="7">
        <f>INDIRECT("C$"&amp;2+MIN(2,ROUNDDOWN(I1269,0))*3)*(-$J1269^3+3*$J1269^2-3*$J1269+1)+INDIRECT("C$"&amp;3+MIN(2,ROUNDDOWN(I1269,0))*3)*(3*$J1269^3-6*$J1269^2+3*$J1269)+INDIRECT("C$"&amp;4+MIN(2,ROUNDDOWN(I1269,0))*3)*(-3*$J1269^3+3*$J1269^2)+INDIRECT("C$"&amp;5+MIN(2,ROUNDDOWN(I1269,0))*3)*$J1269^3</f>
      </c>
      <c r="L1269" s="7">
        <f>INDIRECT("D$"&amp;2+MIN(2,ROUNDDOWN(I1269,0))*3)*(-$J1269^3+3*$J1269^2-3*$J1269+1)+INDIRECT("D$"&amp;3+MIN(2,ROUNDDOWN(I1269,0))*3)*(3*$J1269^3-6*$J1269^2+3*$J1269)+INDIRECT("D$"&amp;4+MIN(2,ROUNDDOWN(I1269,0))*3)*(-3*$J1269^3+3*$J1269^2)+INDIRECT("D$"&amp;5+MIN(2,ROUNDDOWN(I1269,0))*3)*$J1269^3</f>
      </c>
      <c r="M1269" s="7">
        <f>SQRT(K1269^2+L1269^2)</f>
      </c>
      <c r="N1269" s="7">
        <f>(K1270-K1268)</f>
      </c>
      <c r="O1269" s="7">
        <f>+(L1270-L1268)</f>
      </c>
      <c r="P1269" s="7">
        <f>SQRT(O1269^2+N1269^2)</f>
      </c>
      <c r="Q1269" s="7">
        <f>N1269/$P1269</f>
      </c>
      <c r="R1269" s="7">
        <f>O1269/$P1269</f>
      </c>
      <c r="S1269" s="8">
        <f>Q1269^2+R1269^2</f>
      </c>
      <c r="T1269" s="7">
        <f>-R1269</f>
      </c>
      <c r="U1269" s="7">
        <f>Q1269</f>
      </c>
      <c r="V1269" s="7">
        <f>($C$14+($C$15-$C$14)/($D$15-$D$14)*(I1269-$D$14))/2</f>
      </c>
      <c r="W1269" s="7">
        <f>($B$22*I1269^4+$C$22*I1269^3+$D$22*I1269^2+$E$22*I1269+$F$22)/2</f>
      </c>
      <c r="X1269" s="7">
        <f>($W1269)*(T1269)</f>
      </c>
      <c r="Y1269" s="7">
        <f>($W1269)*(U1269)</f>
      </c>
      <c r="Z1269" s="7">
        <f>SQRT(X1269^2+Y1269^2)</f>
      </c>
      <c r="AA1269" s="7">
        <f>$K1269+$X1269</f>
      </c>
      <c r="AB1269" s="7">
        <f>$L1269+$Y1269</f>
      </c>
      <c r="AC1269" s="7">
        <f>$K1269-$X1269</f>
      </c>
      <c r="AD1269" s="7">
        <f>$L1269-$Y1269</f>
      </c>
      <c r="AE1269" s="7">
        <f>AA1269/39.3701</f>
      </c>
      <c r="AF1269" s="7">
        <f>AB1269/39.3701</f>
      </c>
      <c r="AG1269" s="7">
        <f>AC1269/39.3701</f>
      </c>
      <c r="AH1269" s="7">
        <f>AD1269/39.3701</f>
      </c>
      <c r="AI1269" s="1"/>
      <c r="AJ1269" s="1"/>
      <c r="AK1269" s="1"/>
      <c r="AL1269" s="1"/>
      <c r="AM1269" s="2"/>
      <c r="AN1269" s="1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  <c r="BA1269" s="1"/>
      <c r="BB1269" s="1"/>
      <c r="BC1269" s="1"/>
      <c r="BD1269" s="1"/>
      <c r="BE1269" s="1"/>
    </row>
    <row x14ac:dyDescent="0.25" r="1270" customHeight="1" ht="18.75">
      <c r="A1270" s="1"/>
      <c r="B1270" s="2"/>
      <c r="C1270" s="2"/>
      <c r="D1270" s="2"/>
      <c r="E1270" s="2"/>
      <c r="F1270" s="2"/>
      <c r="G1270" s="1"/>
      <c r="H1270" s="1"/>
      <c r="I1270" s="7">
        <v>1.267</v>
      </c>
      <c r="J1270" s="7">
        <f>IF((I1270-ROUNDDOWN(I1270,0))=0, 0, (I1270-ROUNDDOWN(I1270,0)))</f>
      </c>
      <c r="K1270" s="7">
        <f>INDIRECT("C$"&amp;2+MIN(2,ROUNDDOWN(I1270,0))*3)*(-$J1270^3+3*$J1270^2-3*$J1270+1)+INDIRECT("C$"&amp;3+MIN(2,ROUNDDOWN(I1270,0))*3)*(3*$J1270^3-6*$J1270^2+3*$J1270)+INDIRECT("C$"&amp;4+MIN(2,ROUNDDOWN(I1270,0))*3)*(-3*$J1270^3+3*$J1270^2)+INDIRECT("C$"&amp;5+MIN(2,ROUNDDOWN(I1270,0))*3)*$J1270^3</f>
      </c>
      <c r="L1270" s="7">
        <f>INDIRECT("D$"&amp;2+MIN(2,ROUNDDOWN(I1270,0))*3)*(-$J1270^3+3*$J1270^2-3*$J1270+1)+INDIRECT("D$"&amp;3+MIN(2,ROUNDDOWN(I1270,0))*3)*(3*$J1270^3-6*$J1270^2+3*$J1270)+INDIRECT("D$"&amp;4+MIN(2,ROUNDDOWN(I1270,0))*3)*(-3*$J1270^3+3*$J1270^2)+INDIRECT("D$"&amp;5+MIN(2,ROUNDDOWN(I1270,0))*3)*$J1270^3</f>
      </c>
      <c r="M1270" s="7">
        <f>SQRT(K1270^2+L1270^2)</f>
      </c>
      <c r="N1270" s="7">
        <f>(K1271-K1269)</f>
      </c>
      <c r="O1270" s="7">
        <f>+(L1271-L1269)</f>
      </c>
      <c r="P1270" s="7">
        <f>SQRT(O1270^2+N1270^2)</f>
      </c>
      <c r="Q1270" s="7">
        <f>N1270/$P1270</f>
      </c>
      <c r="R1270" s="7">
        <f>O1270/$P1270</f>
      </c>
      <c r="S1270" s="7">
        <f>Q1270^2+R1270^2</f>
      </c>
      <c r="T1270" s="7">
        <f>-R1270</f>
      </c>
      <c r="U1270" s="7">
        <f>Q1270</f>
      </c>
      <c r="V1270" s="7">
        <f>($C$14+($C$15-$C$14)/($D$15-$D$14)*(I1270-$D$14))/2</f>
      </c>
      <c r="W1270" s="7">
        <f>($B$22*I1270^4+$C$22*I1270^3+$D$22*I1270^2+$E$22*I1270+$F$22)/2</f>
      </c>
      <c r="X1270" s="7">
        <f>($W1270)*(T1270)</f>
      </c>
      <c r="Y1270" s="7">
        <f>($W1270)*(U1270)</f>
      </c>
      <c r="Z1270" s="7">
        <f>SQRT(X1270^2+Y1270^2)</f>
      </c>
      <c r="AA1270" s="7">
        <f>$K1270+$X1270</f>
      </c>
      <c r="AB1270" s="7">
        <f>$L1270+$Y1270</f>
      </c>
      <c r="AC1270" s="7">
        <f>$K1270-$X1270</f>
      </c>
      <c r="AD1270" s="7">
        <f>$L1270-$Y1270</f>
      </c>
      <c r="AE1270" s="7">
        <f>AA1270/39.3701</f>
      </c>
      <c r="AF1270" s="7">
        <f>AB1270/39.3701</f>
      </c>
      <c r="AG1270" s="7">
        <f>AC1270/39.3701</f>
      </c>
      <c r="AH1270" s="7">
        <f>AD1270/39.3701</f>
      </c>
      <c r="AI1270" s="1"/>
      <c r="AJ1270" s="1"/>
      <c r="AK1270" s="1"/>
      <c r="AL1270" s="1"/>
      <c r="AM1270" s="2"/>
      <c r="AN1270" s="1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  <c r="BA1270" s="1"/>
      <c r="BB1270" s="1"/>
      <c r="BC1270" s="1"/>
      <c r="BD1270" s="1"/>
      <c r="BE1270" s="1"/>
    </row>
    <row x14ac:dyDescent="0.25" r="1271" customHeight="1" ht="18.75">
      <c r="A1271" s="1"/>
      <c r="B1271" s="2"/>
      <c r="C1271" s="2"/>
      <c r="D1271" s="2"/>
      <c r="E1271" s="2"/>
      <c r="F1271" s="2"/>
      <c r="G1271" s="1"/>
      <c r="H1271" s="1"/>
      <c r="I1271" s="7">
        <v>1.268</v>
      </c>
      <c r="J1271" s="7">
        <f>IF((I1271-ROUNDDOWN(I1271,0))=0, 0, (I1271-ROUNDDOWN(I1271,0)))</f>
      </c>
      <c r="K1271" s="7">
        <f>INDIRECT("C$"&amp;2+MIN(2,ROUNDDOWN(I1271,0))*3)*(-$J1271^3+3*$J1271^2-3*$J1271+1)+INDIRECT("C$"&amp;3+MIN(2,ROUNDDOWN(I1271,0))*3)*(3*$J1271^3-6*$J1271^2+3*$J1271)+INDIRECT("C$"&amp;4+MIN(2,ROUNDDOWN(I1271,0))*3)*(-3*$J1271^3+3*$J1271^2)+INDIRECT("C$"&amp;5+MIN(2,ROUNDDOWN(I1271,0))*3)*$J1271^3</f>
      </c>
      <c r="L1271" s="7">
        <f>INDIRECT("D$"&amp;2+MIN(2,ROUNDDOWN(I1271,0))*3)*(-$J1271^3+3*$J1271^2-3*$J1271+1)+INDIRECT("D$"&amp;3+MIN(2,ROUNDDOWN(I1271,0))*3)*(3*$J1271^3-6*$J1271^2+3*$J1271)+INDIRECT("D$"&amp;4+MIN(2,ROUNDDOWN(I1271,0))*3)*(-3*$J1271^3+3*$J1271^2)+INDIRECT("D$"&amp;5+MIN(2,ROUNDDOWN(I1271,0))*3)*$J1271^3</f>
      </c>
      <c r="M1271" s="7">
        <f>SQRT(K1271^2+L1271^2)</f>
      </c>
      <c r="N1271" s="7">
        <f>(K1272-K1270)</f>
      </c>
      <c r="O1271" s="7">
        <f>+(L1272-L1270)</f>
      </c>
      <c r="P1271" s="7">
        <f>SQRT(O1271^2+N1271^2)</f>
      </c>
      <c r="Q1271" s="7">
        <f>N1271/$P1271</f>
      </c>
      <c r="R1271" s="7">
        <f>O1271/$P1271</f>
      </c>
      <c r="S1271" s="8">
        <f>Q1271^2+R1271^2</f>
      </c>
      <c r="T1271" s="7">
        <f>-R1271</f>
      </c>
      <c r="U1271" s="7">
        <f>Q1271</f>
      </c>
      <c r="V1271" s="7">
        <f>($C$14+($C$15-$C$14)/($D$15-$D$14)*(I1271-$D$14))/2</f>
      </c>
      <c r="W1271" s="7">
        <f>($B$22*I1271^4+$C$22*I1271^3+$D$22*I1271^2+$E$22*I1271+$F$22)/2</f>
      </c>
      <c r="X1271" s="7">
        <f>($W1271)*(T1271)</f>
      </c>
      <c r="Y1271" s="7">
        <f>($W1271)*(U1271)</f>
      </c>
      <c r="Z1271" s="7">
        <f>SQRT(X1271^2+Y1271^2)</f>
      </c>
      <c r="AA1271" s="7">
        <f>$K1271+$X1271</f>
      </c>
      <c r="AB1271" s="7">
        <f>$L1271+$Y1271</f>
      </c>
      <c r="AC1271" s="7">
        <f>$K1271-$X1271</f>
      </c>
      <c r="AD1271" s="7">
        <f>$L1271-$Y1271</f>
      </c>
      <c r="AE1271" s="7">
        <f>AA1271/39.3701</f>
      </c>
      <c r="AF1271" s="7">
        <f>AB1271/39.3701</f>
      </c>
      <c r="AG1271" s="7">
        <f>AC1271/39.3701</f>
      </c>
      <c r="AH1271" s="7">
        <f>AD1271/39.3701</f>
      </c>
      <c r="AI1271" s="1"/>
      <c r="AJ1271" s="1"/>
      <c r="AK1271" s="1"/>
      <c r="AL1271" s="1"/>
      <c r="AM1271" s="2"/>
      <c r="AN1271" s="1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  <c r="BA1271" s="1"/>
      <c r="BB1271" s="1"/>
      <c r="BC1271" s="1"/>
      <c r="BD1271" s="1"/>
      <c r="BE1271" s="1"/>
    </row>
    <row x14ac:dyDescent="0.25" r="1272" customHeight="1" ht="18.75">
      <c r="A1272" s="1"/>
      <c r="B1272" s="2"/>
      <c r="C1272" s="2"/>
      <c r="D1272" s="2"/>
      <c r="E1272" s="2"/>
      <c r="F1272" s="2"/>
      <c r="G1272" s="1"/>
      <c r="H1272" s="1"/>
      <c r="I1272" s="7">
        <v>1.269</v>
      </c>
      <c r="J1272" s="7">
        <f>IF((I1272-ROUNDDOWN(I1272,0))=0, 0, (I1272-ROUNDDOWN(I1272,0)))</f>
      </c>
      <c r="K1272" s="7">
        <f>INDIRECT("C$"&amp;2+MIN(2,ROUNDDOWN(I1272,0))*3)*(-$J1272^3+3*$J1272^2-3*$J1272+1)+INDIRECT("C$"&amp;3+MIN(2,ROUNDDOWN(I1272,0))*3)*(3*$J1272^3-6*$J1272^2+3*$J1272)+INDIRECT("C$"&amp;4+MIN(2,ROUNDDOWN(I1272,0))*3)*(-3*$J1272^3+3*$J1272^2)+INDIRECT("C$"&amp;5+MIN(2,ROUNDDOWN(I1272,0))*3)*$J1272^3</f>
      </c>
      <c r="L1272" s="7">
        <f>INDIRECT("D$"&amp;2+MIN(2,ROUNDDOWN(I1272,0))*3)*(-$J1272^3+3*$J1272^2-3*$J1272+1)+INDIRECT("D$"&amp;3+MIN(2,ROUNDDOWN(I1272,0))*3)*(3*$J1272^3-6*$J1272^2+3*$J1272)+INDIRECT("D$"&amp;4+MIN(2,ROUNDDOWN(I1272,0))*3)*(-3*$J1272^3+3*$J1272^2)+INDIRECT("D$"&amp;5+MIN(2,ROUNDDOWN(I1272,0))*3)*$J1272^3</f>
      </c>
      <c r="M1272" s="7">
        <f>SQRT(K1272^2+L1272^2)</f>
      </c>
      <c r="N1272" s="7">
        <f>(K1273-K1271)</f>
      </c>
      <c r="O1272" s="7">
        <f>+(L1273-L1271)</f>
      </c>
      <c r="P1272" s="7">
        <f>SQRT(O1272^2+N1272^2)</f>
      </c>
      <c r="Q1272" s="7">
        <f>N1272/$P1272</f>
      </c>
      <c r="R1272" s="7">
        <f>O1272/$P1272</f>
      </c>
      <c r="S1272" s="8">
        <f>Q1272^2+R1272^2</f>
      </c>
      <c r="T1272" s="7">
        <f>-R1272</f>
      </c>
      <c r="U1272" s="7">
        <f>Q1272</f>
      </c>
      <c r="V1272" s="7">
        <f>($C$14+($C$15-$C$14)/($D$15-$D$14)*(I1272-$D$14))/2</f>
      </c>
      <c r="W1272" s="7">
        <f>($B$22*I1272^4+$C$22*I1272^3+$D$22*I1272^2+$E$22*I1272+$F$22)/2</f>
      </c>
      <c r="X1272" s="7">
        <f>($W1272)*(T1272)</f>
      </c>
      <c r="Y1272" s="7">
        <f>($W1272)*(U1272)</f>
      </c>
      <c r="Z1272" s="7">
        <f>SQRT(X1272^2+Y1272^2)</f>
      </c>
      <c r="AA1272" s="7">
        <f>$K1272+$X1272</f>
      </c>
      <c r="AB1272" s="7">
        <f>$L1272+$Y1272</f>
      </c>
      <c r="AC1272" s="7">
        <f>$K1272-$X1272</f>
      </c>
      <c r="AD1272" s="7">
        <f>$L1272-$Y1272</f>
      </c>
      <c r="AE1272" s="7">
        <f>AA1272/39.3701</f>
      </c>
      <c r="AF1272" s="7">
        <f>AB1272/39.3701</f>
      </c>
      <c r="AG1272" s="7">
        <f>AC1272/39.3701</f>
      </c>
      <c r="AH1272" s="7">
        <f>AD1272/39.3701</f>
      </c>
      <c r="AI1272" s="1"/>
      <c r="AJ1272" s="1"/>
      <c r="AK1272" s="1"/>
      <c r="AL1272" s="1"/>
      <c r="AM1272" s="2"/>
      <c r="AN1272" s="1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  <c r="BA1272" s="1"/>
      <c r="BB1272" s="1"/>
      <c r="BC1272" s="1"/>
      <c r="BD1272" s="1"/>
      <c r="BE1272" s="1"/>
    </row>
    <row x14ac:dyDescent="0.25" r="1273" customHeight="1" ht="18.75">
      <c r="A1273" s="1"/>
      <c r="B1273" s="2"/>
      <c r="C1273" s="2"/>
      <c r="D1273" s="2"/>
      <c r="E1273" s="2"/>
      <c r="F1273" s="2"/>
      <c r="G1273" s="1"/>
      <c r="H1273" s="1"/>
      <c r="I1273" s="7">
        <v>1.27</v>
      </c>
      <c r="J1273" s="7">
        <f>IF((I1273-ROUNDDOWN(I1273,0))=0, 0, (I1273-ROUNDDOWN(I1273,0)))</f>
      </c>
      <c r="K1273" s="7">
        <f>INDIRECT("C$"&amp;2+MIN(2,ROUNDDOWN(I1273,0))*3)*(-$J1273^3+3*$J1273^2-3*$J1273+1)+INDIRECT("C$"&amp;3+MIN(2,ROUNDDOWN(I1273,0))*3)*(3*$J1273^3-6*$J1273^2+3*$J1273)+INDIRECT("C$"&amp;4+MIN(2,ROUNDDOWN(I1273,0))*3)*(-3*$J1273^3+3*$J1273^2)+INDIRECT("C$"&amp;5+MIN(2,ROUNDDOWN(I1273,0))*3)*$J1273^3</f>
      </c>
      <c r="L1273" s="7">
        <f>INDIRECT("D$"&amp;2+MIN(2,ROUNDDOWN(I1273,0))*3)*(-$J1273^3+3*$J1273^2-3*$J1273+1)+INDIRECT("D$"&amp;3+MIN(2,ROUNDDOWN(I1273,0))*3)*(3*$J1273^3-6*$J1273^2+3*$J1273)+INDIRECT("D$"&amp;4+MIN(2,ROUNDDOWN(I1273,0))*3)*(-3*$J1273^3+3*$J1273^2)+INDIRECT("D$"&amp;5+MIN(2,ROUNDDOWN(I1273,0))*3)*$J1273^3</f>
      </c>
      <c r="M1273" s="7">
        <f>SQRT(K1273^2+L1273^2)</f>
      </c>
      <c r="N1273" s="7">
        <f>(K1274-K1272)</f>
      </c>
      <c r="O1273" s="7">
        <f>+(L1274-L1272)</f>
      </c>
      <c r="P1273" s="7">
        <f>SQRT(O1273^2+N1273^2)</f>
      </c>
      <c r="Q1273" s="7">
        <f>N1273/$P1273</f>
      </c>
      <c r="R1273" s="7">
        <f>O1273/$P1273</f>
      </c>
      <c r="S1273" s="7">
        <f>Q1273^2+R1273^2</f>
      </c>
      <c r="T1273" s="7">
        <f>-R1273</f>
      </c>
      <c r="U1273" s="7">
        <f>Q1273</f>
      </c>
      <c r="V1273" s="7">
        <f>($C$14+($C$15-$C$14)/($D$15-$D$14)*(I1273-$D$14))/2</f>
      </c>
      <c r="W1273" s="7">
        <f>($B$22*I1273^4+$C$22*I1273^3+$D$22*I1273^2+$E$22*I1273+$F$22)/2</f>
      </c>
      <c r="X1273" s="7">
        <f>($W1273)*(T1273)</f>
      </c>
      <c r="Y1273" s="7">
        <f>($W1273)*(U1273)</f>
      </c>
      <c r="Z1273" s="7">
        <f>SQRT(X1273^2+Y1273^2)</f>
      </c>
      <c r="AA1273" s="7">
        <f>$K1273+$X1273</f>
      </c>
      <c r="AB1273" s="7">
        <f>$L1273+$Y1273</f>
      </c>
      <c r="AC1273" s="7">
        <f>$K1273-$X1273</f>
      </c>
      <c r="AD1273" s="7">
        <f>$L1273-$Y1273</f>
      </c>
      <c r="AE1273" s="7">
        <f>AA1273/39.3701</f>
      </c>
      <c r="AF1273" s="7">
        <f>AB1273/39.3701</f>
      </c>
      <c r="AG1273" s="7">
        <f>AC1273/39.3701</f>
      </c>
      <c r="AH1273" s="7">
        <f>AD1273/39.3701</f>
      </c>
      <c r="AI1273" s="1"/>
      <c r="AJ1273" s="1"/>
      <c r="AK1273" s="1"/>
      <c r="AL1273" s="1"/>
      <c r="AM1273" s="2"/>
      <c r="AN1273" s="1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  <c r="BA1273" s="1"/>
      <c r="BB1273" s="1"/>
      <c r="BC1273" s="1"/>
      <c r="BD1273" s="1"/>
      <c r="BE1273" s="1"/>
    </row>
    <row x14ac:dyDescent="0.25" r="1274" customHeight="1" ht="18.75">
      <c r="A1274" s="1"/>
      <c r="B1274" s="2"/>
      <c r="C1274" s="2"/>
      <c r="D1274" s="2"/>
      <c r="E1274" s="2"/>
      <c r="F1274" s="2"/>
      <c r="G1274" s="1"/>
      <c r="H1274" s="1"/>
      <c r="I1274" s="7">
        <v>1.271</v>
      </c>
      <c r="J1274" s="7">
        <f>IF((I1274-ROUNDDOWN(I1274,0))=0, 0, (I1274-ROUNDDOWN(I1274,0)))</f>
      </c>
      <c r="K1274" s="7">
        <f>INDIRECT("C$"&amp;2+MIN(2,ROUNDDOWN(I1274,0))*3)*(-$J1274^3+3*$J1274^2-3*$J1274+1)+INDIRECT("C$"&amp;3+MIN(2,ROUNDDOWN(I1274,0))*3)*(3*$J1274^3-6*$J1274^2+3*$J1274)+INDIRECT("C$"&amp;4+MIN(2,ROUNDDOWN(I1274,0))*3)*(-3*$J1274^3+3*$J1274^2)+INDIRECT("C$"&amp;5+MIN(2,ROUNDDOWN(I1274,0))*3)*$J1274^3</f>
      </c>
      <c r="L1274" s="7">
        <f>INDIRECT("D$"&amp;2+MIN(2,ROUNDDOWN(I1274,0))*3)*(-$J1274^3+3*$J1274^2-3*$J1274+1)+INDIRECT("D$"&amp;3+MIN(2,ROUNDDOWN(I1274,0))*3)*(3*$J1274^3-6*$J1274^2+3*$J1274)+INDIRECT("D$"&amp;4+MIN(2,ROUNDDOWN(I1274,0))*3)*(-3*$J1274^3+3*$J1274^2)+INDIRECT("D$"&amp;5+MIN(2,ROUNDDOWN(I1274,0))*3)*$J1274^3</f>
      </c>
      <c r="M1274" s="7">
        <f>SQRT(K1274^2+L1274^2)</f>
      </c>
      <c r="N1274" s="7">
        <f>(K1275-K1273)</f>
      </c>
      <c r="O1274" s="7">
        <f>+(L1275-L1273)</f>
      </c>
      <c r="P1274" s="7">
        <f>SQRT(O1274^2+N1274^2)</f>
      </c>
      <c r="Q1274" s="7">
        <f>N1274/$P1274</f>
      </c>
      <c r="R1274" s="7">
        <f>O1274/$P1274</f>
      </c>
      <c r="S1274" s="7">
        <f>Q1274^2+R1274^2</f>
      </c>
      <c r="T1274" s="7">
        <f>-R1274</f>
      </c>
      <c r="U1274" s="7">
        <f>Q1274</f>
      </c>
      <c r="V1274" s="7">
        <f>($C$14+($C$15-$C$14)/($D$15-$D$14)*(I1274-$D$14))/2</f>
      </c>
      <c r="W1274" s="7">
        <f>($B$22*I1274^4+$C$22*I1274^3+$D$22*I1274^2+$E$22*I1274+$F$22)/2</f>
      </c>
      <c r="X1274" s="7">
        <f>($W1274)*(T1274)</f>
      </c>
      <c r="Y1274" s="7">
        <f>($W1274)*(U1274)</f>
      </c>
      <c r="Z1274" s="7">
        <f>SQRT(X1274^2+Y1274^2)</f>
      </c>
      <c r="AA1274" s="7">
        <f>$K1274+$X1274</f>
      </c>
      <c r="AB1274" s="7">
        <f>$L1274+$Y1274</f>
      </c>
      <c r="AC1274" s="7">
        <f>$K1274-$X1274</f>
      </c>
      <c r="AD1274" s="7">
        <f>$L1274-$Y1274</f>
      </c>
      <c r="AE1274" s="7">
        <f>AA1274/39.3701</f>
      </c>
      <c r="AF1274" s="7">
        <f>AB1274/39.3701</f>
      </c>
      <c r="AG1274" s="7">
        <f>AC1274/39.3701</f>
      </c>
      <c r="AH1274" s="7">
        <f>AD1274/39.3701</f>
      </c>
      <c r="AI1274" s="1"/>
      <c r="AJ1274" s="1"/>
      <c r="AK1274" s="1"/>
      <c r="AL1274" s="1"/>
      <c r="AM1274" s="2"/>
      <c r="AN1274" s="1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  <c r="BA1274" s="1"/>
      <c r="BB1274" s="1"/>
      <c r="BC1274" s="1"/>
      <c r="BD1274" s="1"/>
      <c r="BE1274" s="1"/>
    </row>
    <row x14ac:dyDescent="0.25" r="1275" customHeight="1" ht="18.75">
      <c r="A1275" s="1"/>
      <c r="B1275" s="2"/>
      <c r="C1275" s="2"/>
      <c r="D1275" s="2"/>
      <c r="E1275" s="2"/>
      <c r="F1275" s="2"/>
      <c r="G1275" s="1"/>
      <c r="H1275" s="1"/>
      <c r="I1275" s="7">
        <v>1.272</v>
      </c>
      <c r="J1275" s="7">
        <f>IF((I1275-ROUNDDOWN(I1275,0))=0, 0, (I1275-ROUNDDOWN(I1275,0)))</f>
      </c>
      <c r="K1275" s="7">
        <f>INDIRECT("C$"&amp;2+MIN(2,ROUNDDOWN(I1275,0))*3)*(-$J1275^3+3*$J1275^2-3*$J1275+1)+INDIRECT("C$"&amp;3+MIN(2,ROUNDDOWN(I1275,0))*3)*(3*$J1275^3-6*$J1275^2+3*$J1275)+INDIRECT("C$"&amp;4+MIN(2,ROUNDDOWN(I1275,0))*3)*(-3*$J1275^3+3*$J1275^2)+INDIRECT("C$"&amp;5+MIN(2,ROUNDDOWN(I1275,0))*3)*$J1275^3</f>
      </c>
      <c r="L1275" s="7">
        <f>INDIRECT("D$"&amp;2+MIN(2,ROUNDDOWN(I1275,0))*3)*(-$J1275^3+3*$J1275^2-3*$J1275+1)+INDIRECT("D$"&amp;3+MIN(2,ROUNDDOWN(I1275,0))*3)*(3*$J1275^3-6*$J1275^2+3*$J1275)+INDIRECT("D$"&amp;4+MIN(2,ROUNDDOWN(I1275,0))*3)*(-3*$J1275^3+3*$J1275^2)+INDIRECT("D$"&amp;5+MIN(2,ROUNDDOWN(I1275,0))*3)*$J1275^3</f>
      </c>
      <c r="M1275" s="7">
        <f>SQRT(K1275^2+L1275^2)</f>
      </c>
      <c r="N1275" s="7">
        <f>(K1276-K1274)</f>
      </c>
      <c r="O1275" s="7">
        <f>+(L1276-L1274)</f>
      </c>
      <c r="P1275" s="7">
        <f>SQRT(O1275^2+N1275^2)</f>
      </c>
      <c r="Q1275" s="7">
        <f>N1275/$P1275</f>
      </c>
      <c r="R1275" s="7">
        <f>O1275/$P1275</f>
      </c>
      <c r="S1275" s="8">
        <f>Q1275^2+R1275^2</f>
      </c>
      <c r="T1275" s="7">
        <f>-R1275</f>
      </c>
      <c r="U1275" s="7">
        <f>Q1275</f>
      </c>
      <c r="V1275" s="7">
        <f>($C$14+($C$15-$C$14)/($D$15-$D$14)*(I1275-$D$14))/2</f>
      </c>
      <c r="W1275" s="7">
        <f>($B$22*I1275^4+$C$22*I1275^3+$D$22*I1275^2+$E$22*I1275+$F$22)/2</f>
      </c>
      <c r="X1275" s="7">
        <f>($W1275)*(T1275)</f>
      </c>
      <c r="Y1275" s="7">
        <f>($W1275)*(U1275)</f>
      </c>
      <c r="Z1275" s="7">
        <f>SQRT(X1275^2+Y1275^2)</f>
      </c>
      <c r="AA1275" s="7">
        <f>$K1275+$X1275</f>
      </c>
      <c r="AB1275" s="7">
        <f>$L1275+$Y1275</f>
      </c>
      <c r="AC1275" s="7">
        <f>$K1275-$X1275</f>
      </c>
      <c r="AD1275" s="7">
        <f>$L1275-$Y1275</f>
      </c>
      <c r="AE1275" s="7">
        <f>AA1275/39.3701</f>
      </c>
      <c r="AF1275" s="7">
        <f>AB1275/39.3701</f>
      </c>
      <c r="AG1275" s="7">
        <f>AC1275/39.3701</f>
      </c>
      <c r="AH1275" s="7">
        <f>AD1275/39.3701</f>
      </c>
      <c r="AI1275" s="1"/>
      <c r="AJ1275" s="1"/>
      <c r="AK1275" s="1"/>
      <c r="AL1275" s="1"/>
      <c r="AM1275" s="2"/>
      <c r="AN1275" s="1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  <c r="BA1275" s="1"/>
      <c r="BB1275" s="1"/>
      <c r="BC1275" s="1"/>
      <c r="BD1275" s="1"/>
      <c r="BE1275" s="1"/>
    </row>
    <row x14ac:dyDescent="0.25" r="1276" customHeight="1" ht="18.75">
      <c r="A1276" s="1"/>
      <c r="B1276" s="2"/>
      <c r="C1276" s="2"/>
      <c r="D1276" s="2"/>
      <c r="E1276" s="2"/>
      <c r="F1276" s="2"/>
      <c r="G1276" s="1"/>
      <c r="H1276" s="1"/>
      <c r="I1276" s="7">
        <v>1.273</v>
      </c>
      <c r="J1276" s="7">
        <f>IF((I1276-ROUNDDOWN(I1276,0))=0, 0, (I1276-ROUNDDOWN(I1276,0)))</f>
      </c>
      <c r="K1276" s="7">
        <f>INDIRECT("C$"&amp;2+MIN(2,ROUNDDOWN(I1276,0))*3)*(-$J1276^3+3*$J1276^2-3*$J1276+1)+INDIRECT("C$"&amp;3+MIN(2,ROUNDDOWN(I1276,0))*3)*(3*$J1276^3-6*$J1276^2+3*$J1276)+INDIRECT("C$"&amp;4+MIN(2,ROUNDDOWN(I1276,0))*3)*(-3*$J1276^3+3*$J1276^2)+INDIRECT("C$"&amp;5+MIN(2,ROUNDDOWN(I1276,0))*3)*$J1276^3</f>
      </c>
      <c r="L1276" s="7">
        <f>INDIRECT("D$"&amp;2+MIN(2,ROUNDDOWN(I1276,0))*3)*(-$J1276^3+3*$J1276^2-3*$J1276+1)+INDIRECT("D$"&amp;3+MIN(2,ROUNDDOWN(I1276,0))*3)*(3*$J1276^3-6*$J1276^2+3*$J1276)+INDIRECT("D$"&amp;4+MIN(2,ROUNDDOWN(I1276,0))*3)*(-3*$J1276^3+3*$J1276^2)+INDIRECT("D$"&amp;5+MIN(2,ROUNDDOWN(I1276,0))*3)*$J1276^3</f>
      </c>
      <c r="M1276" s="7">
        <f>SQRT(K1276^2+L1276^2)</f>
      </c>
      <c r="N1276" s="7">
        <f>(K1277-K1275)</f>
      </c>
      <c r="O1276" s="7">
        <f>+(L1277-L1275)</f>
      </c>
      <c r="P1276" s="7">
        <f>SQRT(O1276^2+N1276^2)</f>
      </c>
      <c r="Q1276" s="7">
        <f>N1276/$P1276</f>
      </c>
      <c r="R1276" s="7">
        <f>O1276/$P1276</f>
      </c>
      <c r="S1276" s="7">
        <f>Q1276^2+R1276^2</f>
      </c>
      <c r="T1276" s="7">
        <f>-R1276</f>
      </c>
      <c r="U1276" s="7">
        <f>Q1276</f>
      </c>
      <c r="V1276" s="7">
        <f>($C$14+($C$15-$C$14)/($D$15-$D$14)*(I1276-$D$14))/2</f>
      </c>
      <c r="W1276" s="7">
        <f>($B$22*I1276^4+$C$22*I1276^3+$D$22*I1276^2+$E$22*I1276+$F$22)/2</f>
      </c>
      <c r="X1276" s="7">
        <f>($W1276)*(T1276)</f>
      </c>
      <c r="Y1276" s="7">
        <f>($W1276)*(U1276)</f>
      </c>
      <c r="Z1276" s="7">
        <f>SQRT(X1276^2+Y1276^2)</f>
      </c>
      <c r="AA1276" s="7">
        <f>$K1276+$X1276</f>
      </c>
      <c r="AB1276" s="7">
        <f>$L1276+$Y1276</f>
      </c>
      <c r="AC1276" s="7">
        <f>$K1276-$X1276</f>
      </c>
      <c r="AD1276" s="7">
        <f>$L1276-$Y1276</f>
      </c>
      <c r="AE1276" s="7">
        <f>AA1276/39.3701</f>
      </c>
      <c r="AF1276" s="7">
        <f>AB1276/39.3701</f>
      </c>
      <c r="AG1276" s="7">
        <f>AC1276/39.3701</f>
      </c>
      <c r="AH1276" s="7">
        <f>AD1276/39.3701</f>
      </c>
      <c r="AI1276" s="1"/>
      <c r="AJ1276" s="1"/>
      <c r="AK1276" s="1"/>
      <c r="AL1276" s="1"/>
      <c r="AM1276" s="2"/>
      <c r="AN1276" s="1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  <c r="BA1276" s="1"/>
      <c r="BB1276" s="1"/>
      <c r="BC1276" s="1"/>
      <c r="BD1276" s="1"/>
      <c r="BE1276" s="1"/>
    </row>
    <row x14ac:dyDescent="0.25" r="1277" customHeight="1" ht="18.75">
      <c r="A1277" s="1"/>
      <c r="B1277" s="2"/>
      <c r="C1277" s="2"/>
      <c r="D1277" s="2"/>
      <c r="E1277" s="2"/>
      <c r="F1277" s="2"/>
      <c r="G1277" s="1"/>
      <c r="H1277" s="1"/>
      <c r="I1277" s="7">
        <v>1.274</v>
      </c>
      <c r="J1277" s="7">
        <f>IF((I1277-ROUNDDOWN(I1277,0))=0, 0, (I1277-ROUNDDOWN(I1277,0)))</f>
      </c>
      <c r="K1277" s="7">
        <f>INDIRECT("C$"&amp;2+MIN(2,ROUNDDOWN(I1277,0))*3)*(-$J1277^3+3*$J1277^2-3*$J1277+1)+INDIRECT("C$"&amp;3+MIN(2,ROUNDDOWN(I1277,0))*3)*(3*$J1277^3-6*$J1277^2+3*$J1277)+INDIRECT("C$"&amp;4+MIN(2,ROUNDDOWN(I1277,0))*3)*(-3*$J1277^3+3*$J1277^2)+INDIRECT("C$"&amp;5+MIN(2,ROUNDDOWN(I1277,0))*3)*$J1277^3</f>
      </c>
      <c r="L1277" s="7">
        <f>INDIRECT("D$"&amp;2+MIN(2,ROUNDDOWN(I1277,0))*3)*(-$J1277^3+3*$J1277^2-3*$J1277+1)+INDIRECT("D$"&amp;3+MIN(2,ROUNDDOWN(I1277,0))*3)*(3*$J1277^3-6*$J1277^2+3*$J1277)+INDIRECT("D$"&amp;4+MIN(2,ROUNDDOWN(I1277,0))*3)*(-3*$J1277^3+3*$J1277^2)+INDIRECT("D$"&amp;5+MIN(2,ROUNDDOWN(I1277,0))*3)*$J1277^3</f>
      </c>
      <c r="M1277" s="7">
        <f>SQRT(K1277^2+L1277^2)</f>
      </c>
      <c r="N1277" s="7">
        <f>(K1278-K1276)</f>
      </c>
      <c r="O1277" s="7">
        <f>+(L1278-L1276)</f>
      </c>
      <c r="P1277" s="7">
        <f>SQRT(O1277^2+N1277^2)</f>
      </c>
      <c r="Q1277" s="7">
        <f>N1277/$P1277</f>
      </c>
      <c r="R1277" s="7">
        <f>O1277/$P1277</f>
      </c>
      <c r="S1277" s="7">
        <f>Q1277^2+R1277^2</f>
      </c>
      <c r="T1277" s="7">
        <f>-R1277</f>
      </c>
      <c r="U1277" s="7">
        <f>Q1277</f>
      </c>
      <c r="V1277" s="7">
        <f>($C$14+($C$15-$C$14)/($D$15-$D$14)*(I1277-$D$14))/2</f>
      </c>
      <c r="W1277" s="7">
        <f>($B$22*I1277^4+$C$22*I1277^3+$D$22*I1277^2+$E$22*I1277+$F$22)/2</f>
      </c>
      <c r="X1277" s="7">
        <f>($W1277)*(T1277)</f>
      </c>
      <c r="Y1277" s="7">
        <f>($W1277)*(U1277)</f>
      </c>
      <c r="Z1277" s="7">
        <f>SQRT(X1277^2+Y1277^2)</f>
      </c>
      <c r="AA1277" s="7">
        <f>$K1277+$X1277</f>
      </c>
      <c r="AB1277" s="7">
        <f>$L1277+$Y1277</f>
      </c>
      <c r="AC1277" s="7">
        <f>$K1277-$X1277</f>
      </c>
      <c r="AD1277" s="7">
        <f>$L1277-$Y1277</f>
      </c>
      <c r="AE1277" s="7">
        <f>AA1277/39.3701</f>
      </c>
      <c r="AF1277" s="7">
        <f>AB1277/39.3701</f>
      </c>
      <c r="AG1277" s="7">
        <f>AC1277/39.3701</f>
      </c>
      <c r="AH1277" s="7">
        <f>AD1277/39.3701</f>
      </c>
      <c r="AI1277" s="1"/>
      <c r="AJ1277" s="1"/>
      <c r="AK1277" s="1"/>
      <c r="AL1277" s="1"/>
      <c r="AM1277" s="2"/>
      <c r="AN1277" s="1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  <c r="BA1277" s="1"/>
      <c r="BB1277" s="1"/>
      <c r="BC1277" s="1"/>
      <c r="BD1277" s="1"/>
      <c r="BE1277" s="1"/>
    </row>
    <row x14ac:dyDescent="0.25" r="1278" customHeight="1" ht="18.75">
      <c r="A1278" s="1"/>
      <c r="B1278" s="2"/>
      <c r="C1278" s="2"/>
      <c r="D1278" s="2"/>
      <c r="E1278" s="2"/>
      <c r="F1278" s="2"/>
      <c r="G1278" s="1"/>
      <c r="H1278" s="1"/>
      <c r="I1278" s="7">
        <v>1.275</v>
      </c>
      <c r="J1278" s="7">
        <f>IF((I1278-ROUNDDOWN(I1278,0))=0, 0, (I1278-ROUNDDOWN(I1278,0)))</f>
      </c>
      <c r="K1278" s="7">
        <f>INDIRECT("C$"&amp;2+MIN(2,ROUNDDOWN(I1278,0))*3)*(-$J1278^3+3*$J1278^2-3*$J1278+1)+INDIRECT("C$"&amp;3+MIN(2,ROUNDDOWN(I1278,0))*3)*(3*$J1278^3-6*$J1278^2+3*$J1278)+INDIRECT("C$"&amp;4+MIN(2,ROUNDDOWN(I1278,0))*3)*(-3*$J1278^3+3*$J1278^2)+INDIRECT("C$"&amp;5+MIN(2,ROUNDDOWN(I1278,0))*3)*$J1278^3</f>
      </c>
      <c r="L1278" s="7">
        <f>INDIRECT("D$"&amp;2+MIN(2,ROUNDDOWN(I1278,0))*3)*(-$J1278^3+3*$J1278^2-3*$J1278+1)+INDIRECT("D$"&amp;3+MIN(2,ROUNDDOWN(I1278,0))*3)*(3*$J1278^3-6*$J1278^2+3*$J1278)+INDIRECT("D$"&amp;4+MIN(2,ROUNDDOWN(I1278,0))*3)*(-3*$J1278^3+3*$J1278^2)+INDIRECT("D$"&amp;5+MIN(2,ROUNDDOWN(I1278,0))*3)*$J1278^3</f>
      </c>
      <c r="M1278" s="7">
        <f>SQRT(K1278^2+L1278^2)</f>
      </c>
      <c r="N1278" s="7">
        <f>(K1279-K1277)</f>
      </c>
      <c r="O1278" s="7">
        <f>+(L1279-L1277)</f>
      </c>
      <c r="P1278" s="7">
        <f>SQRT(O1278^2+N1278^2)</f>
      </c>
      <c r="Q1278" s="7">
        <f>N1278/$P1278</f>
      </c>
      <c r="R1278" s="7">
        <f>O1278/$P1278</f>
      </c>
      <c r="S1278" s="7">
        <f>Q1278^2+R1278^2</f>
      </c>
      <c r="T1278" s="7">
        <f>-R1278</f>
      </c>
      <c r="U1278" s="7">
        <f>Q1278</f>
      </c>
      <c r="V1278" s="7">
        <f>($C$14+($C$15-$C$14)/($D$15-$D$14)*(I1278-$D$14))/2</f>
      </c>
      <c r="W1278" s="7">
        <f>($B$22*I1278^4+$C$22*I1278^3+$D$22*I1278^2+$E$22*I1278+$F$22)/2</f>
      </c>
      <c r="X1278" s="7">
        <f>($W1278)*(T1278)</f>
      </c>
      <c r="Y1278" s="7">
        <f>($W1278)*(U1278)</f>
      </c>
      <c r="Z1278" s="7">
        <f>SQRT(X1278^2+Y1278^2)</f>
      </c>
      <c r="AA1278" s="7">
        <f>$K1278+$X1278</f>
      </c>
      <c r="AB1278" s="7">
        <f>$L1278+$Y1278</f>
      </c>
      <c r="AC1278" s="7">
        <f>$K1278-$X1278</f>
      </c>
      <c r="AD1278" s="7">
        <f>$L1278-$Y1278</f>
      </c>
      <c r="AE1278" s="7">
        <f>AA1278/39.3701</f>
      </c>
      <c r="AF1278" s="7">
        <f>AB1278/39.3701</f>
      </c>
      <c r="AG1278" s="7">
        <f>AC1278/39.3701</f>
      </c>
      <c r="AH1278" s="7">
        <f>AD1278/39.3701</f>
      </c>
      <c r="AI1278" s="1"/>
      <c r="AJ1278" s="1"/>
      <c r="AK1278" s="1"/>
      <c r="AL1278" s="1"/>
      <c r="AM1278" s="2"/>
      <c r="AN1278" s="1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  <c r="BA1278" s="1"/>
      <c r="BB1278" s="1"/>
      <c r="BC1278" s="1"/>
      <c r="BD1278" s="1"/>
      <c r="BE1278" s="1"/>
    </row>
    <row x14ac:dyDescent="0.25" r="1279" customHeight="1" ht="18.75">
      <c r="A1279" s="1"/>
      <c r="B1279" s="2"/>
      <c r="C1279" s="2"/>
      <c r="D1279" s="2"/>
      <c r="E1279" s="2"/>
      <c r="F1279" s="2"/>
      <c r="G1279" s="1"/>
      <c r="H1279" s="1"/>
      <c r="I1279" s="7">
        <v>1.276</v>
      </c>
      <c r="J1279" s="7">
        <f>IF((I1279-ROUNDDOWN(I1279,0))=0, 0, (I1279-ROUNDDOWN(I1279,0)))</f>
      </c>
      <c r="K1279" s="7">
        <f>INDIRECT("C$"&amp;2+MIN(2,ROUNDDOWN(I1279,0))*3)*(-$J1279^3+3*$J1279^2-3*$J1279+1)+INDIRECT("C$"&amp;3+MIN(2,ROUNDDOWN(I1279,0))*3)*(3*$J1279^3-6*$J1279^2+3*$J1279)+INDIRECT("C$"&amp;4+MIN(2,ROUNDDOWN(I1279,0))*3)*(-3*$J1279^3+3*$J1279^2)+INDIRECT("C$"&amp;5+MIN(2,ROUNDDOWN(I1279,0))*3)*$J1279^3</f>
      </c>
      <c r="L1279" s="7">
        <f>INDIRECT("D$"&amp;2+MIN(2,ROUNDDOWN(I1279,0))*3)*(-$J1279^3+3*$J1279^2-3*$J1279+1)+INDIRECT("D$"&amp;3+MIN(2,ROUNDDOWN(I1279,0))*3)*(3*$J1279^3-6*$J1279^2+3*$J1279)+INDIRECT("D$"&amp;4+MIN(2,ROUNDDOWN(I1279,0))*3)*(-3*$J1279^3+3*$J1279^2)+INDIRECT("D$"&amp;5+MIN(2,ROUNDDOWN(I1279,0))*3)*$J1279^3</f>
      </c>
      <c r="M1279" s="7">
        <f>SQRT(K1279^2+L1279^2)</f>
      </c>
      <c r="N1279" s="7">
        <f>(K1280-K1278)</f>
      </c>
      <c r="O1279" s="7">
        <f>+(L1280-L1278)</f>
      </c>
      <c r="P1279" s="7">
        <f>SQRT(O1279^2+N1279^2)</f>
      </c>
      <c r="Q1279" s="7">
        <f>N1279/$P1279</f>
      </c>
      <c r="R1279" s="7">
        <f>O1279/$P1279</f>
      </c>
      <c r="S1279" s="7">
        <f>Q1279^2+R1279^2</f>
      </c>
      <c r="T1279" s="7">
        <f>-R1279</f>
      </c>
      <c r="U1279" s="7">
        <f>Q1279</f>
      </c>
      <c r="V1279" s="7">
        <f>($C$14+($C$15-$C$14)/($D$15-$D$14)*(I1279-$D$14))/2</f>
      </c>
      <c r="W1279" s="7">
        <f>($B$22*I1279^4+$C$22*I1279^3+$D$22*I1279^2+$E$22*I1279+$F$22)/2</f>
      </c>
      <c r="X1279" s="7">
        <f>($W1279)*(T1279)</f>
      </c>
      <c r="Y1279" s="7">
        <f>($W1279)*(U1279)</f>
      </c>
      <c r="Z1279" s="7">
        <f>SQRT(X1279^2+Y1279^2)</f>
      </c>
      <c r="AA1279" s="7">
        <f>$K1279+$X1279</f>
      </c>
      <c r="AB1279" s="7">
        <f>$L1279+$Y1279</f>
      </c>
      <c r="AC1279" s="7">
        <f>$K1279-$X1279</f>
      </c>
      <c r="AD1279" s="7">
        <f>$L1279-$Y1279</f>
      </c>
      <c r="AE1279" s="7">
        <f>AA1279/39.3701</f>
      </c>
      <c r="AF1279" s="7">
        <f>AB1279/39.3701</f>
      </c>
      <c r="AG1279" s="7">
        <f>AC1279/39.3701</f>
      </c>
      <c r="AH1279" s="7">
        <f>AD1279/39.3701</f>
      </c>
      <c r="AI1279" s="1"/>
      <c r="AJ1279" s="1"/>
      <c r="AK1279" s="1"/>
      <c r="AL1279" s="1"/>
      <c r="AM1279" s="2"/>
      <c r="AN1279" s="1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  <c r="BA1279" s="1"/>
      <c r="BB1279" s="1"/>
      <c r="BC1279" s="1"/>
      <c r="BD1279" s="1"/>
      <c r="BE1279" s="1"/>
    </row>
    <row x14ac:dyDescent="0.25" r="1280" customHeight="1" ht="18.75">
      <c r="A1280" s="1"/>
      <c r="B1280" s="2"/>
      <c r="C1280" s="2"/>
      <c r="D1280" s="2"/>
      <c r="E1280" s="2"/>
      <c r="F1280" s="2"/>
      <c r="G1280" s="1"/>
      <c r="H1280" s="1"/>
      <c r="I1280" s="7">
        <v>1.277</v>
      </c>
      <c r="J1280" s="7">
        <f>IF((I1280-ROUNDDOWN(I1280,0))=0, 0, (I1280-ROUNDDOWN(I1280,0)))</f>
      </c>
      <c r="K1280" s="7">
        <f>INDIRECT("C$"&amp;2+MIN(2,ROUNDDOWN(I1280,0))*3)*(-$J1280^3+3*$J1280^2-3*$J1280+1)+INDIRECT("C$"&amp;3+MIN(2,ROUNDDOWN(I1280,0))*3)*(3*$J1280^3-6*$J1280^2+3*$J1280)+INDIRECT("C$"&amp;4+MIN(2,ROUNDDOWN(I1280,0))*3)*(-3*$J1280^3+3*$J1280^2)+INDIRECT("C$"&amp;5+MIN(2,ROUNDDOWN(I1280,0))*3)*$J1280^3</f>
      </c>
      <c r="L1280" s="7">
        <f>INDIRECT("D$"&amp;2+MIN(2,ROUNDDOWN(I1280,0))*3)*(-$J1280^3+3*$J1280^2-3*$J1280+1)+INDIRECT("D$"&amp;3+MIN(2,ROUNDDOWN(I1280,0))*3)*(3*$J1280^3-6*$J1280^2+3*$J1280)+INDIRECT("D$"&amp;4+MIN(2,ROUNDDOWN(I1280,0))*3)*(-3*$J1280^3+3*$J1280^2)+INDIRECT("D$"&amp;5+MIN(2,ROUNDDOWN(I1280,0))*3)*$J1280^3</f>
      </c>
      <c r="M1280" s="7">
        <f>SQRT(K1280^2+L1280^2)</f>
      </c>
      <c r="N1280" s="7">
        <f>(K1281-K1279)</f>
      </c>
      <c r="O1280" s="7">
        <f>+(L1281-L1279)</f>
      </c>
      <c r="P1280" s="7">
        <f>SQRT(O1280^2+N1280^2)</f>
      </c>
      <c r="Q1280" s="7">
        <f>N1280/$P1280</f>
      </c>
      <c r="R1280" s="7">
        <f>O1280/$P1280</f>
      </c>
      <c r="S1280" s="8">
        <f>Q1280^2+R1280^2</f>
      </c>
      <c r="T1280" s="7">
        <f>-R1280</f>
      </c>
      <c r="U1280" s="7">
        <f>Q1280</f>
      </c>
      <c r="V1280" s="7">
        <f>($C$14+($C$15-$C$14)/($D$15-$D$14)*(I1280-$D$14))/2</f>
      </c>
      <c r="W1280" s="7">
        <f>($B$22*I1280^4+$C$22*I1280^3+$D$22*I1280^2+$E$22*I1280+$F$22)/2</f>
      </c>
      <c r="X1280" s="7">
        <f>($W1280)*(T1280)</f>
      </c>
      <c r="Y1280" s="7">
        <f>($W1280)*(U1280)</f>
      </c>
      <c r="Z1280" s="7">
        <f>SQRT(X1280^2+Y1280^2)</f>
      </c>
      <c r="AA1280" s="7">
        <f>$K1280+$X1280</f>
      </c>
      <c r="AB1280" s="7">
        <f>$L1280+$Y1280</f>
      </c>
      <c r="AC1280" s="7">
        <f>$K1280-$X1280</f>
      </c>
      <c r="AD1280" s="7">
        <f>$L1280-$Y1280</f>
      </c>
      <c r="AE1280" s="7">
        <f>AA1280/39.3701</f>
      </c>
      <c r="AF1280" s="7">
        <f>AB1280/39.3701</f>
      </c>
      <c r="AG1280" s="7">
        <f>AC1280/39.3701</f>
      </c>
      <c r="AH1280" s="7">
        <f>AD1280/39.3701</f>
      </c>
      <c r="AI1280" s="1"/>
      <c r="AJ1280" s="1"/>
      <c r="AK1280" s="1"/>
      <c r="AL1280" s="1"/>
      <c r="AM1280" s="2"/>
      <c r="AN1280" s="1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  <c r="BA1280" s="1"/>
      <c r="BB1280" s="1"/>
      <c r="BC1280" s="1"/>
      <c r="BD1280" s="1"/>
      <c r="BE1280" s="1"/>
    </row>
    <row x14ac:dyDescent="0.25" r="1281" customHeight="1" ht="18.75">
      <c r="A1281" s="1"/>
      <c r="B1281" s="2"/>
      <c r="C1281" s="2"/>
      <c r="D1281" s="2"/>
      <c r="E1281" s="2"/>
      <c r="F1281" s="2"/>
      <c r="G1281" s="1"/>
      <c r="H1281" s="1"/>
      <c r="I1281" s="7">
        <v>1.278</v>
      </c>
      <c r="J1281" s="7">
        <f>IF((I1281-ROUNDDOWN(I1281,0))=0, 0, (I1281-ROUNDDOWN(I1281,0)))</f>
      </c>
      <c r="K1281" s="7">
        <f>INDIRECT("C$"&amp;2+MIN(2,ROUNDDOWN(I1281,0))*3)*(-$J1281^3+3*$J1281^2-3*$J1281+1)+INDIRECT("C$"&amp;3+MIN(2,ROUNDDOWN(I1281,0))*3)*(3*$J1281^3-6*$J1281^2+3*$J1281)+INDIRECT("C$"&amp;4+MIN(2,ROUNDDOWN(I1281,0))*3)*(-3*$J1281^3+3*$J1281^2)+INDIRECT("C$"&amp;5+MIN(2,ROUNDDOWN(I1281,0))*3)*$J1281^3</f>
      </c>
      <c r="L1281" s="7">
        <f>INDIRECT("D$"&amp;2+MIN(2,ROUNDDOWN(I1281,0))*3)*(-$J1281^3+3*$J1281^2-3*$J1281+1)+INDIRECT("D$"&amp;3+MIN(2,ROUNDDOWN(I1281,0))*3)*(3*$J1281^3-6*$J1281^2+3*$J1281)+INDIRECT("D$"&amp;4+MIN(2,ROUNDDOWN(I1281,0))*3)*(-3*$J1281^3+3*$J1281^2)+INDIRECT("D$"&amp;5+MIN(2,ROUNDDOWN(I1281,0))*3)*$J1281^3</f>
      </c>
      <c r="M1281" s="7">
        <f>SQRT(K1281^2+L1281^2)</f>
      </c>
      <c r="N1281" s="7">
        <f>(K1282-K1280)</f>
      </c>
      <c r="O1281" s="7">
        <f>+(L1282-L1280)</f>
      </c>
      <c r="P1281" s="7">
        <f>SQRT(O1281^2+N1281^2)</f>
      </c>
      <c r="Q1281" s="7">
        <f>N1281/$P1281</f>
      </c>
      <c r="R1281" s="7">
        <f>O1281/$P1281</f>
      </c>
      <c r="S1281" s="7">
        <f>Q1281^2+R1281^2</f>
      </c>
      <c r="T1281" s="7">
        <f>-R1281</f>
      </c>
      <c r="U1281" s="7">
        <f>Q1281</f>
      </c>
      <c r="V1281" s="7">
        <f>($C$14+($C$15-$C$14)/($D$15-$D$14)*(I1281-$D$14))/2</f>
      </c>
      <c r="W1281" s="7">
        <f>($B$22*I1281^4+$C$22*I1281^3+$D$22*I1281^2+$E$22*I1281+$F$22)/2</f>
      </c>
      <c r="X1281" s="7">
        <f>($W1281)*(T1281)</f>
      </c>
      <c r="Y1281" s="7">
        <f>($W1281)*(U1281)</f>
      </c>
      <c r="Z1281" s="7">
        <f>SQRT(X1281^2+Y1281^2)</f>
      </c>
      <c r="AA1281" s="7">
        <f>$K1281+$X1281</f>
      </c>
      <c r="AB1281" s="7">
        <f>$L1281+$Y1281</f>
      </c>
      <c r="AC1281" s="7">
        <f>$K1281-$X1281</f>
      </c>
      <c r="AD1281" s="7">
        <f>$L1281-$Y1281</f>
      </c>
      <c r="AE1281" s="7">
        <f>AA1281/39.3701</f>
      </c>
      <c r="AF1281" s="7">
        <f>AB1281/39.3701</f>
      </c>
      <c r="AG1281" s="7">
        <f>AC1281/39.3701</f>
      </c>
      <c r="AH1281" s="7">
        <f>AD1281/39.3701</f>
      </c>
      <c r="AI1281" s="1"/>
      <c r="AJ1281" s="1"/>
      <c r="AK1281" s="1"/>
      <c r="AL1281" s="1"/>
      <c r="AM1281" s="2"/>
      <c r="AN1281" s="1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  <c r="BA1281" s="1"/>
      <c r="BB1281" s="1"/>
      <c r="BC1281" s="1"/>
      <c r="BD1281" s="1"/>
      <c r="BE1281" s="1"/>
    </row>
    <row x14ac:dyDescent="0.25" r="1282" customHeight="1" ht="18.75">
      <c r="A1282" s="1"/>
      <c r="B1282" s="2"/>
      <c r="C1282" s="2"/>
      <c r="D1282" s="2"/>
      <c r="E1282" s="2"/>
      <c r="F1282" s="2"/>
      <c r="G1282" s="1"/>
      <c r="H1282" s="1"/>
      <c r="I1282" s="7">
        <v>1.279</v>
      </c>
      <c r="J1282" s="7">
        <f>IF((I1282-ROUNDDOWN(I1282,0))=0, 0, (I1282-ROUNDDOWN(I1282,0)))</f>
      </c>
      <c r="K1282" s="7">
        <f>INDIRECT("C$"&amp;2+MIN(2,ROUNDDOWN(I1282,0))*3)*(-$J1282^3+3*$J1282^2-3*$J1282+1)+INDIRECT("C$"&amp;3+MIN(2,ROUNDDOWN(I1282,0))*3)*(3*$J1282^3-6*$J1282^2+3*$J1282)+INDIRECT("C$"&amp;4+MIN(2,ROUNDDOWN(I1282,0))*3)*(-3*$J1282^3+3*$J1282^2)+INDIRECT("C$"&amp;5+MIN(2,ROUNDDOWN(I1282,0))*3)*$J1282^3</f>
      </c>
      <c r="L1282" s="7">
        <f>INDIRECT("D$"&amp;2+MIN(2,ROUNDDOWN(I1282,0))*3)*(-$J1282^3+3*$J1282^2-3*$J1282+1)+INDIRECT("D$"&amp;3+MIN(2,ROUNDDOWN(I1282,0))*3)*(3*$J1282^3-6*$J1282^2+3*$J1282)+INDIRECT("D$"&amp;4+MIN(2,ROUNDDOWN(I1282,0))*3)*(-3*$J1282^3+3*$J1282^2)+INDIRECT("D$"&amp;5+MIN(2,ROUNDDOWN(I1282,0))*3)*$J1282^3</f>
      </c>
      <c r="M1282" s="7">
        <f>SQRT(K1282^2+L1282^2)</f>
      </c>
      <c r="N1282" s="7">
        <f>(K1283-K1281)</f>
      </c>
      <c r="O1282" s="7">
        <f>+(L1283-L1281)</f>
      </c>
      <c r="P1282" s="7">
        <f>SQRT(O1282^2+N1282^2)</f>
      </c>
      <c r="Q1282" s="7">
        <f>N1282/$P1282</f>
      </c>
      <c r="R1282" s="7">
        <f>O1282/$P1282</f>
      </c>
      <c r="S1282" s="7">
        <f>Q1282^2+R1282^2</f>
      </c>
      <c r="T1282" s="7">
        <f>-R1282</f>
      </c>
      <c r="U1282" s="7">
        <f>Q1282</f>
      </c>
      <c r="V1282" s="7">
        <f>($C$14+($C$15-$C$14)/($D$15-$D$14)*(I1282-$D$14))/2</f>
      </c>
      <c r="W1282" s="7">
        <f>($B$22*I1282^4+$C$22*I1282^3+$D$22*I1282^2+$E$22*I1282+$F$22)/2</f>
      </c>
      <c r="X1282" s="7">
        <f>($W1282)*(T1282)</f>
      </c>
      <c r="Y1282" s="7">
        <f>($W1282)*(U1282)</f>
      </c>
      <c r="Z1282" s="7">
        <f>SQRT(X1282^2+Y1282^2)</f>
      </c>
      <c r="AA1282" s="7">
        <f>$K1282+$X1282</f>
      </c>
      <c r="AB1282" s="7">
        <f>$L1282+$Y1282</f>
      </c>
      <c r="AC1282" s="7">
        <f>$K1282-$X1282</f>
      </c>
      <c r="AD1282" s="7">
        <f>$L1282-$Y1282</f>
      </c>
      <c r="AE1282" s="7">
        <f>AA1282/39.3701</f>
      </c>
      <c r="AF1282" s="7">
        <f>AB1282/39.3701</f>
      </c>
      <c r="AG1282" s="7">
        <f>AC1282/39.3701</f>
      </c>
      <c r="AH1282" s="7">
        <f>AD1282/39.3701</f>
      </c>
      <c r="AI1282" s="1"/>
      <c r="AJ1282" s="1"/>
      <c r="AK1282" s="1"/>
      <c r="AL1282" s="1"/>
      <c r="AM1282" s="2"/>
      <c r="AN1282" s="1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  <c r="BA1282" s="1"/>
      <c r="BB1282" s="1"/>
      <c r="BC1282" s="1"/>
      <c r="BD1282" s="1"/>
      <c r="BE1282" s="1"/>
    </row>
    <row x14ac:dyDescent="0.25" r="1283" customHeight="1" ht="18.75">
      <c r="A1283" s="1"/>
      <c r="B1283" s="2"/>
      <c r="C1283" s="2"/>
      <c r="D1283" s="2"/>
      <c r="E1283" s="2"/>
      <c r="F1283" s="2"/>
      <c r="G1283" s="1"/>
      <c r="H1283" s="1"/>
      <c r="I1283" s="7">
        <v>1.28</v>
      </c>
      <c r="J1283" s="7">
        <f>IF((I1283-ROUNDDOWN(I1283,0))=0, 0, (I1283-ROUNDDOWN(I1283,0)))</f>
      </c>
      <c r="K1283" s="7">
        <f>INDIRECT("C$"&amp;2+MIN(2,ROUNDDOWN(I1283,0))*3)*(-$J1283^3+3*$J1283^2-3*$J1283+1)+INDIRECT("C$"&amp;3+MIN(2,ROUNDDOWN(I1283,0))*3)*(3*$J1283^3-6*$J1283^2+3*$J1283)+INDIRECT("C$"&amp;4+MIN(2,ROUNDDOWN(I1283,0))*3)*(-3*$J1283^3+3*$J1283^2)+INDIRECT("C$"&amp;5+MIN(2,ROUNDDOWN(I1283,0))*3)*$J1283^3</f>
      </c>
      <c r="L1283" s="7">
        <f>INDIRECT("D$"&amp;2+MIN(2,ROUNDDOWN(I1283,0))*3)*(-$J1283^3+3*$J1283^2-3*$J1283+1)+INDIRECT("D$"&amp;3+MIN(2,ROUNDDOWN(I1283,0))*3)*(3*$J1283^3-6*$J1283^2+3*$J1283)+INDIRECT("D$"&amp;4+MIN(2,ROUNDDOWN(I1283,0))*3)*(-3*$J1283^3+3*$J1283^2)+INDIRECT("D$"&amp;5+MIN(2,ROUNDDOWN(I1283,0))*3)*$J1283^3</f>
      </c>
      <c r="M1283" s="7">
        <f>SQRT(K1283^2+L1283^2)</f>
      </c>
      <c r="N1283" s="7">
        <f>(K1284-K1282)</f>
      </c>
      <c r="O1283" s="7">
        <f>+(L1284-L1282)</f>
      </c>
      <c r="P1283" s="7">
        <f>SQRT(O1283^2+N1283^2)</f>
      </c>
      <c r="Q1283" s="7">
        <f>N1283/$P1283</f>
      </c>
      <c r="R1283" s="7">
        <f>O1283/$P1283</f>
      </c>
      <c r="S1283" s="8">
        <f>Q1283^2+R1283^2</f>
      </c>
      <c r="T1283" s="7">
        <f>-R1283</f>
      </c>
      <c r="U1283" s="7">
        <f>Q1283</f>
      </c>
      <c r="V1283" s="7">
        <f>($C$14+($C$15-$C$14)/($D$15-$D$14)*(I1283-$D$14))/2</f>
      </c>
      <c r="W1283" s="7">
        <f>($B$22*I1283^4+$C$22*I1283^3+$D$22*I1283^2+$E$22*I1283+$F$22)/2</f>
      </c>
      <c r="X1283" s="7">
        <f>($W1283)*(T1283)</f>
      </c>
      <c r="Y1283" s="7">
        <f>($W1283)*(U1283)</f>
      </c>
      <c r="Z1283" s="7">
        <f>SQRT(X1283^2+Y1283^2)</f>
      </c>
      <c r="AA1283" s="7">
        <f>$K1283+$X1283</f>
      </c>
      <c r="AB1283" s="7">
        <f>$L1283+$Y1283</f>
      </c>
      <c r="AC1283" s="7">
        <f>$K1283-$X1283</f>
      </c>
      <c r="AD1283" s="7">
        <f>$L1283-$Y1283</f>
      </c>
      <c r="AE1283" s="7">
        <f>AA1283/39.3701</f>
      </c>
      <c r="AF1283" s="7">
        <f>AB1283/39.3701</f>
      </c>
      <c r="AG1283" s="7">
        <f>AC1283/39.3701</f>
      </c>
      <c r="AH1283" s="7">
        <f>AD1283/39.3701</f>
      </c>
      <c r="AI1283" s="1"/>
      <c r="AJ1283" s="1"/>
      <c r="AK1283" s="1"/>
      <c r="AL1283" s="1"/>
      <c r="AM1283" s="2"/>
      <c r="AN1283" s="1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  <c r="BA1283" s="1"/>
      <c r="BB1283" s="1"/>
      <c r="BC1283" s="1"/>
      <c r="BD1283" s="1"/>
      <c r="BE1283" s="1"/>
    </row>
    <row x14ac:dyDescent="0.25" r="1284" customHeight="1" ht="18.75">
      <c r="A1284" s="1"/>
      <c r="B1284" s="2"/>
      <c r="C1284" s="2"/>
      <c r="D1284" s="2"/>
      <c r="E1284" s="2"/>
      <c r="F1284" s="2"/>
      <c r="G1284" s="1"/>
      <c r="H1284" s="1"/>
      <c r="I1284" s="7">
        <v>1.281</v>
      </c>
      <c r="J1284" s="7">
        <f>IF((I1284-ROUNDDOWN(I1284,0))=0, 0, (I1284-ROUNDDOWN(I1284,0)))</f>
      </c>
      <c r="K1284" s="7">
        <f>INDIRECT("C$"&amp;2+MIN(2,ROUNDDOWN(I1284,0))*3)*(-$J1284^3+3*$J1284^2-3*$J1284+1)+INDIRECT("C$"&amp;3+MIN(2,ROUNDDOWN(I1284,0))*3)*(3*$J1284^3-6*$J1284^2+3*$J1284)+INDIRECT("C$"&amp;4+MIN(2,ROUNDDOWN(I1284,0))*3)*(-3*$J1284^3+3*$J1284^2)+INDIRECT("C$"&amp;5+MIN(2,ROUNDDOWN(I1284,0))*3)*$J1284^3</f>
      </c>
      <c r="L1284" s="7">
        <f>INDIRECT("D$"&amp;2+MIN(2,ROUNDDOWN(I1284,0))*3)*(-$J1284^3+3*$J1284^2-3*$J1284+1)+INDIRECT("D$"&amp;3+MIN(2,ROUNDDOWN(I1284,0))*3)*(3*$J1284^3-6*$J1284^2+3*$J1284)+INDIRECT("D$"&amp;4+MIN(2,ROUNDDOWN(I1284,0))*3)*(-3*$J1284^3+3*$J1284^2)+INDIRECT("D$"&amp;5+MIN(2,ROUNDDOWN(I1284,0))*3)*$J1284^3</f>
      </c>
      <c r="M1284" s="7">
        <f>SQRT(K1284^2+L1284^2)</f>
      </c>
      <c r="N1284" s="7">
        <f>(K1285-K1283)</f>
      </c>
      <c r="O1284" s="7">
        <f>+(L1285-L1283)</f>
      </c>
      <c r="P1284" s="7">
        <f>SQRT(O1284^2+N1284^2)</f>
      </c>
      <c r="Q1284" s="7">
        <f>N1284/$P1284</f>
      </c>
      <c r="R1284" s="7">
        <f>O1284/$P1284</f>
      </c>
      <c r="S1284" s="8">
        <f>Q1284^2+R1284^2</f>
      </c>
      <c r="T1284" s="7">
        <f>-R1284</f>
      </c>
      <c r="U1284" s="7">
        <f>Q1284</f>
      </c>
      <c r="V1284" s="7">
        <f>($C$14+($C$15-$C$14)/($D$15-$D$14)*(I1284-$D$14))/2</f>
      </c>
      <c r="W1284" s="7">
        <f>($B$22*I1284^4+$C$22*I1284^3+$D$22*I1284^2+$E$22*I1284+$F$22)/2</f>
      </c>
      <c r="X1284" s="7">
        <f>($W1284)*(T1284)</f>
      </c>
      <c r="Y1284" s="7">
        <f>($W1284)*(U1284)</f>
      </c>
      <c r="Z1284" s="7">
        <f>SQRT(X1284^2+Y1284^2)</f>
      </c>
      <c r="AA1284" s="7">
        <f>$K1284+$X1284</f>
      </c>
      <c r="AB1284" s="7">
        <f>$L1284+$Y1284</f>
      </c>
      <c r="AC1284" s="7">
        <f>$K1284-$X1284</f>
      </c>
      <c r="AD1284" s="7">
        <f>$L1284-$Y1284</f>
      </c>
      <c r="AE1284" s="7">
        <f>AA1284/39.3701</f>
      </c>
      <c r="AF1284" s="7">
        <f>AB1284/39.3701</f>
      </c>
      <c r="AG1284" s="7">
        <f>AC1284/39.3701</f>
      </c>
      <c r="AH1284" s="7">
        <f>AD1284/39.3701</f>
      </c>
      <c r="AI1284" s="1"/>
      <c r="AJ1284" s="1"/>
      <c r="AK1284" s="1"/>
      <c r="AL1284" s="1"/>
      <c r="AM1284" s="2"/>
      <c r="AN1284" s="1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  <c r="BA1284" s="1"/>
      <c r="BB1284" s="1"/>
      <c r="BC1284" s="1"/>
      <c r="BD1284" s="1"/>
      <c r="BE1284" s="1"/>
    </row>
    <row x14ac:dyDescent="0.25" r="1285" customHeight="1" ht="18.75">
      <c r="A1285" s="1"/>
      <c r="B1285" s="2"/>
      <c r="C1285" s="2"/>
      <c r="D1285" s="2"/>
      <c r="E1285" s="2"/>
      <c r="F1285" s="2"/>
      <c r="G1285" s="1"/>
      <c r="H1285" s="1"/>
      <c r="I1285" s="7">
        <v>1.282</v>
      </c>
      <c r="J1285" s="7">
        <f>IF((I1285-ROUNDDOWN(I1285,0))=0, 0, (I1285-ROUNDDOWN(I1285,0)))</f>
      </c>
      <c r="K1285" s="7">
        <f>INDIRECT("C$"&amp;2+MIN(2,ROUNDDOWN(I1285,0))*3)*(-$J1285^3+3*$J1285^2-3*$J1285+1)+INDIRECT("C$"&amp;3+MIN(2,ROUNDDOWN(I1285,0))*3)*(3*$J1285^3-6*$J1285^2+3*$J1285)+INDIRECT("C$"&amp;4+MIN(2,ROUNDDOWN(I1285,0))*3)*(-3*$J1285^3+3*$J1285^2)+INDIRECT("C$"&amp;5+MIN(2,ROUNDDOWN(I1285,0))*3)*$J1285^3</f>
      </c>
      <c r="L1285" s="7">
        <f>INDIRECT("D$"&amp;2+MIN(2,ROUNDDOWN(I1285,0))*3)*(-$J1285^3+3*$J1285^2-3*$J1285+1)+INDIRECT("D$"&amp;3+MIN(2,ROUNDDOWN(I1285,0))*3)*(3*$J1285^3-6*$J1285^2+3*$J1285)+INDIRECT("D$"&amp;4+MIN(2,ROUNDDOWN(I1285,0))*3)*(-3*$J1285^3+3*$J1285^2)+INDIRECT("D$"&amp;5+MIN(2,ROUNDDOWN(I1285,0))*3)*$J1285^3</f>
      </c>
      <c r="M1285" s="7">
        <f>SQRT(K1285^2+L1285^2)</f>
      </c>
      <c r="N1285" s="7">
        <f>(K1286-K1284)</f>
      </c>
      <c r="O1285" s="7">
        <f>+(L1286-L1284)</f>
      </c>
      <c r="P1285" s="7">
        <f>SQRT(O1285^2+N1285^2)</f>
      </c>
      <c r="Q1285" s="7">
        <f>N1285/$P1285</f>
      </c>
      <c r="R1285" s="7">
        <f>O1285/$P1285</f>
      </c>
      <c r="S1285" s="7">
        <f>Q1285^2+R1285^2</f>
      </c>
      <c r="T1285" s="7">
        <f>-R1285</f>
      </c>
      <c r="U1285" s="7">
        <f>Q1285</f>
      </c>
      <c r="V1285" s="7">
        <f>($C$14+($C$15-$C$14)/($D$15-$D$14)*(I1285-$D$14))/2</f>
      </c>
      <c r="W1285" s="7">
        <f>($B$22*I1285^4+$C$22*I1285^3+$D$22*I1285^2+$E$22*I1285+$F$22)/2</f>
      </c>
      <c r="X1285" s="7">
        <f>($W1285)*(T1285)</f>
      </c>
      <c r="Y1285" s="7">
        <f>($W1285)*(U1285)</f>
      </c>
      <c r="Z1285" s="7">
        <f>SQRT(X1285^2+Y1285^2)</f>
      </c>
      <c r="AA1285" s="7">
        <f>$K1285+$X1285</f>
      </c>
      <c r="AB1285" s="7">
        <f>$L1285+$Y1285</f>
      </c>
      <c r="AC1285" s="7">
        <f>$K1285-$X1285</f>
      </c>
      <c r="AD1285" s="7">
        <f>$L1285-$Y1285</f>
      </c>
      <c r="AE1285" s="7">
        <f>AA1285/39.3701</f>
      </c>
      <c r="AF1285" s="7">
        <f>AB1285/39.3701</f>
      </c>
      <c r="AG1285" s="7">
        <f>AC1285/39.3701</f>
      </c>
      <c r="AH1285" s="7">
        <f>AD1285/39.3701</f>
      </c>
      <c r="AI1285" s="1"/>
      <c r="AJ1285" s="1"/>
      <c r="AK1285" s="1"/>
      <c r="AL1285" s="1"/>
      <c r="AM1285" s="2"/>
      <c r="AN1285" s="1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  <c r="BA1285" s="1"/>
      <c r="BB1285" s="1"/>
      <c r="BC1285" s="1"/>
      <c r="BD1285" s="1"/>
      <c r="BE1285" s="1"/>
    </row>
    <row x14ac:dyDescent="0.25" r="1286" customHeight="1" ht="18.75">
      <c r="A1286" s="1"/>
      <c r="B1286" s="2"/>
      <c r="C1286" s="2"/>
      <c r="D1286" s="2"/>
      <c r="E1286" s="2"/>
      <c r="F1286" s="2"/>
      <c r="G1286" s="1"/>
      <c r="H1286" s="1"/>
      <c r="I1286" s="7">
        <v>1.283</v>
      </c>
      <c r="J1286" s="7">
        <f>IF((I1286-ROUNDDOWN(I1286,0))=0, 0, (I1286-ROUNDDOWN(I1286,0)))</f>
      </c>
      <c r="K1286" s="7">
        <f>INDIRECT("C$"&amp;2+MIN(2,ROUNDDOWN(I1286,0))*3)*(-$J1286^3+3*$J1286^2-3*$J1286+1)+INDIRECT("C$"&amp;3+MIN(2,ROUNDDOWN(I1286,0))*3)*(3*$J1286^3-6*$J1286^2+3*$J1286)+INDIRECT("C$"&amp;4+MIN(2,ROUNDDOWN(I1286,0))*3)*(-3*$J1286^3+3*$J1286^2)+INDIRECT("C$"&amp;5+MIN(2,ROUNDDOWN(I1286,0))*3)*$J1286^3</f>
      </c>
      <c r="L1286" s="7">
        <f>INDIRECT("D$"&amp;2+MIN(2,ROUNDDOWN(I1286,0))*3)*(-$J1286^3+3*$J1286^2-3*$J1286+1)+INDIRECT("D$"&amp;3+MIN(2,ROUNDDOWN(I1286,0))*3)*(3*$J1286^3-6*$J1286^2+3*$J1286)+INDIRECT("D$"&amp;4+MIN(2,ROUNDDOWN(I1286,0))*3)*(-3*$J1286^3+3*$J1286^2)+INDIRECT("D$"&amp;5+MIN(2,ROUNDDOWN(I1286,0))*3)*$J1286^3</f>
      </c>
      <c r="M1286" s="7">
        <f>SQRT(K1286^2+L1286^2)</f>
      </c>
      <c r="N1286" s="7">
        <f>(K1287-K1285)</f>
      </c>
      <c r="O1286" s="7">
        <f>+(L1287-L1285)</f>
      </c>
      <c r="P1286" s="7">
        <f>SQRT(O1286^2+N1286^2)</f>
      </c>
      <c r="Q1286" s="7">
        <f>N1286/$P1286</f>
      </c>
      <c r="R1286" s="7">
        <f>O1286/$P1286</f>
      </c>
      <c r="S1286" s="8">
        <f>Q1286^2+R1286^2</f>
      </c>
      <c r="T1286" s="7">
        <f>-R1286</f>
      </c>
      <c r="U1286" s="7">
        <f>Q1286</f>
      </c>
      <c r="V1286" s="7">
        <f>($C$14+($C$15-$C$14)/($D$15-$D$14)*(I1286-$D$14))/2</f>
      </c>
      <c r="W1286" s="7">
        <f>($B$22*I1286^4+$C$22*I1286^3+$D$22*I1286^2+$E$22*I1286+$F$22)/2</f>
      </c>
      <c r="X1286" s="7">
        <f>($W1286)*(T1286)</f>
      </c>
      <c r="Y1286" s="7">
        <f>($W1286)*(U1286)</f>
      </c>
      <c r="Z1286" s="7">
        <f>SQRT(X1286^2+Y1286^2)</f>
      </c>
      <c r="AA1286" s="7">
        <f>$K1286+$X1286</f>
      </c>
      <c r="AB1286" s="7">
        <f>$L1286+$Y1286</f>
      </c>
      <c r="AC1286" s="7">
        <f>$K1286-$X1286</f>
      </c>
      <c r="AD1286" s="7">
        <f>$L1286-$Y1286</f>
      </c>
      <c r="AE1286" s="7">
        <f>AA1286/39.3701</f>
      </c>
      <c r="AF1286" s="7">
        <f>AB1286/39.3701</f>
      </c>
      <c r="AG1286" s="7">
        <f>AC1286/39.3701</f>
      </c>
      <c r="AH1286" s="7">
        <f>AD1286/39.3701</f>
      </c>
      <c r="AI1286" s="1"/>
      <c r="AJ1286" s="1"/>
      <c r="AK1286" s="1"/>
      <c r="AL1286" s="1"/>
      <c r="AM1286" s="2"/>
      <c r="AN1286" s="1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  <c r="BA1286" s="1"/>
      <c r="BB1286" s="1"/>
      <c r="BC1286" s="1"/>
      <c r="BD1286" s="1"/>
      <c r="BE1286" s="1"/>
    </row>
    <row x14ac:dyDescent="0.25" r="1287" customHeight="1" ht="18.75">
      <c r="A1287" s="1"/>
      <c r="B1287" s="2"/>
      <c r="C1287" s="2"/>
      <c r="D1287" s="2"/>
      <c r="E1287" s="2"/>
      <c r="F1287" s="2"/>
      <c r="G1287" s="1"/>
      <c r="H1287" s="1"/>
      <c r="I1287" s="7">
        <v>1.284</v>
      </c>
      <c r="J1287" s="7">
        <f>IF((I1287-ROUNDDOWN(I1287,0))=0, 0, (I1287-ROUNDDOWN(I1287,0)))</f>
      </c>
      <c r="K1287" s="7">
        <f>INDIRECT("C$"&amp;2+MIN(2,ROUNDDOWN(I1287,0))*3)*(-$J1287^3+3*$J1287^2-3*$J1287+1)+INDIRECT("C$"&amp;3+MIN(2,ROUNDDOWN(I1287,0))*3)*(3*$J1287^3-6*$J1287^2+3*$J1287)+INDIRECT("C$"&amp;4+MIN(2,ROUNDDOWN(I1287,0))*3)*(-3*$J1287^3+3*$J1287^2)+INDIRECT("C$"&amp;5+MIN(2,ROUNDDOWN(I1287,0))*3)*$J1287^3</f>
      </c>
      <c r="L1287" s="7">
        <f>INDIRECT("D$"&amp;2+MIN(2,ROUNDDOWN(I1287,0))*3)*(-$J1287^3+3*$J1287^2-3*$J1287+1)+INDIRECT("D$"&amp;3+MIN(2,ROUNDDOWN(I1287,0))*3)*(3*$J1287^3-6*$J1287^2+3*$J1287)+INDIRECT("D$"&amp;4+MIN(2,ROUNDDOWN(I1287,0))*3)*(-3*$J1287^3+3*$J1287^2)+INDIRECT("D$"&amp;5+MIN(2,ROUNDDOWN(I1287,0))*3)*$J1287^3</f>
      </c>
      <c r="M1287" s="7">
        <f>SQRT(K1287^2+L1287^2)</f>
      </c>
      <c r="N1287" s="7">
        <f>(K1288-K1286)</f>
      </c>
      <c r="O1287" s="7">
        <f>+(L1288-L1286)</f>
      </c>
      <c r="P1287" s="7">
        <f>SQRT(O1287^2+N1287^2)</f>
      </c>
      <c r="Q1287" s="7">
        <f>N1287/$P1287</f>
      </c>
      <c r="R1287" s="7">
        <f>O1287/$P1287</f>
      </c>
      <c r="S1287" s="7">
        <f>Q1287^2+R1287^2</f>
      </c>
      <c r="T1287" s="7">
        <f>-R1287</f>
      </c>
      <c r="U1287" s="7">
        <f>Q1287</f>
      </c>
      <c r="V1287" s="7">
        <f>($C$14+($C$15-$C$14)/($D$15-$D$14)*(I1287-$D$14))/2</f>
      </c>
      <c r="W1287" s="7">
        <f>($B$22*I1287^4+$C$22*I1287^3+$D$22*I1287^2+$E$22*I1287+$F$22)/2</f>
      </c>
      <c r="X1287" s="7">
        <f>($W1287)*(T1287)</f>
      </c>
      <c r="Y1287" s="7">
        <f>($W1287)*(U1287)</f>
      </c>
      <c r="Z1287" s="7">
        <f>SQRT(X1287^2+Y1287^2)</f>
      </c>
      <c r="AA1287" s="7">
        <f>$K1287+$X1287</f>
      </c>
      <c r="AB1287" s="7">
        <f>$L1287+$Y1287</f>
      </c>
      <c r="AC1287" s="7">
        <f>$K1287-$X1287</f>
      </c>
      <c r="AD1287" s="7">
        <f>$L1287-$Y1287</f>
      </c>
      <c r="AE1287" s="7">
        <f>AA1287/39.3701</f>
      </c>
      <c r="AF1287" s="7">
        <f>AB1287/39.3701</f>
      </c>
      <c r="AG1287" s="7">
        <f>AC1287/39.3701</f>
      </c>
      <c r="AH1287" s="7">
        <f>AD1287/39.3701</f>
      </c>
      <c r="AI1287" s="1"/>
      <c r="AJ1287" s="1"/>
      <c r="AK1287" s="1"/>
      <c r="AL1287" s="1"/>
      <c r="AM1287" s="2"/>
      <c r="AN1287" s="1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  <c r="BA1287" s="1"/>
      <c r="BB1287" s="1"/>
      <c r="BC1287" s="1"/>
      <c r="BD1287" s="1"/>
      <c r="BE1287" s="1"/>
    </row>
    <row x14ac:dyDescent="0.25" r="1288" customHeight="1" ht="18.75">
      <c r="A1288" s="1"/>
      <c r="B1288" s="2"/>
      <c r="C1288" s="2"/>
      <c r="D1288" s="2"/>
      <c r="E1288" s="2"/>
      <c r="F1288" s="2"/>
      <c r="G1288" s="1"/>
      <c r="H1288" s="1"/>
      <c r="I1288" s="7">
        <v>1.285</v>
      </c>
      <c r="J1288" s="7">
        <f>IF((I1288-ROUNDDOWN(I1288,0))=0, 0, (I1288-ROUNDDOWN(I1288,0)))</f>
      </c>
      <c r="K1288" s="7">
        <f>INDIRECT("C$"&amp;2+MIN(2,ROUNDDOWN(I1288,0))*3)*(-$J1288^3+3*$J1288^2-3*$J1288+1)+INDIRECT("C$"&amp;3+MIN(2,ROUNDDOWN(I1288,0))*3)*(3*$J1288^3-6*$J1288^2+3*$J1288)+INDIRECT("C$"&amp;4+MIN(2,ROUNDDOWN(I1288,0))*3)*(-3*$J1288^3+3*$J1288^2)+INDIRECT("C$"&amp;5+MIN(2,ROUNDDOWN(I1288,0))*3)*$J1288^3</f>
      </c>
      <c r="L1288" s="7">
        <f>INDIRECT("D$"&amp;2+MIN(2,ROUNDDOWN(I1288,0))*3)*(-$J1288^3+3*$J1288^2-3*$J1288+1)+INDIRECT("D$"&amp;3+MIN(2,ROUNDDOWN(I1288,0))*3)*(3*$J1288^3-6*$J1288^2+3*$J1288)+INDIRECT("D$"&amp;4+MIN(2,ROUNDDOWN(I1288,0))*3)*(-3*$J1288^3+3*$J1288^2)+INDIRECT("D$"&amp;5+MIN(2,ROUNDDOWN(I1288,0))*3)*$J1288^3</f>
      </c>
      <c r="M1288" s="7">
        <f>SQRT(K1288^2+L1288^2)</f>
      </c>
      <c r="N1288" s="7">
        <f>(K1289-K1287)</f>
      </c>
      <c r="O1288" s="7">
        <f>+(L1289-L1287)</f>
      </c>
      <c r="P1288" s="7">
        <f>SQRT(O1288^2+N1288^2)</f>
      </c>
      <c r="Q1288" s="7">
        <f>N1288/$P1288</f>
      </c>
      <c r="R1288" s="7">
        <f>O1288/$P1288</f>
      </c>
      <c r="S1288" s="7">
        <f>Q1288^2+R1288^2</f>
      </c>
      <c r="T1288" s="7">
        <f>-R1288</f>
      </c>
      <c r="U1288" s="7">
        <f>Q1288</f>
      </c>
      <c r="V1288" s="7">
        <f>($C$14+($C$15-$C$14)/($D$15-$D$14)*(I1288-$D$14))/2</f>
      </c>
      <c r="W1288" s="7">
        <f>($B$22*I1288^4+$C$22*I1288^3+$D$22*I1288^2+$E$22*I1288+$F$22)/2</f>
      </c>
      <c r="X1288" s="7">
        <f>($W1288)*(T1288)</f>
      </c>
      <c r="Y1288" s="7">
        <f>($W1288)*(U1288)</f>
      </c>
      <c r="Z1288" s="7">
        <f>SQRT(X1288^2+Y1288^2)</f>
      </c>
      <c r="AA1288" s="7">
        <f>$K1288+$X1288</f>
      </c>
      <c r="AB1288" s="7">
        <f>$L1288+$Y1288</f>
      </c>
      <c r="AC1288" s="7">
        <f>$K1288-$X1288</f>
      </c>
      <c r="AD1288" s="7">
        <f>$L1288-$Y1288</f>
      </c>
      <c r="AE1288" s="7">
        <f>AA1288/39.3701</f>
      </c>
      <c r="AF1288" s="7">
        <f>AB1288/39.3701</f>
      </c>
      <c r="AG1288" s="7">
        <f>AC1288/39.3701</f>
      </c>
      <c r="AH1288" s="7">
        <f>AD1288/39.3701</f>
      </c>
      <c r="AI1288" s="1"/>
      <c r="AJ1288" s="1"/>
      <c r="AK1288" s="1"/>
      <c r="AL1288" s="1"/>
      <c r="AM1288" s="2"/>
      <c r="AN1288" s="1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  <c r="BA1288" s="1"/>
      <c r="BB1288" s="1"/>
      <c r="BC1288" s="1"/>
      <c r="BD1288" s="1"/>
      <c r="BE1288" s="1"/>
    </row>
    <row x14ac:dyDescent="0.25" r="1289" customHeight="1" ht="18.75">
      <c r="A1289" s="1"/>
      <c r="B1289" s="2"/>
      <c r="C1289" s="2"/>
      <c r="D1289" s="2"/>
      <c r="E1289" s="2"/>
      <c r="F1289" s="2"/>
      <c r="G1289" s="1"/>
      <c r="H1289" s="1"/>
      <c r="I1289" s="7">
        <v>1.286</v>
      </c>
      <c r="J1289" s="7">
        <f>IF((I1289-ROUNDDOWN(I1289,0))=0, 0, (I1289-ROUNDDOWN(I1289,0)))</f>
      </c>
      <c r="K1289" s="7">
        <f>INDIRECT("C$"&amp;2+MIN(2,ROUNDDOWN(I1289,0))*3)*(-$J1289^3+3*$J1289^2-3*$J1289+1)+INDIRECT("C$"&amp;3+MIN(2,ROUNDDOWN(I1289,0))*3)*(3*$J1289^3-6*$J1289^2+3*$J1289)+INDIRECT("C$"&amp;4+MIN(2,ROUNDDOWN(I1289,0))*3)*(-3*$J1289^3+3*$J1289^2)+INDIRECT("C$"&amp;5+MIN(2,ROUNDDOWN(I1289,0))*3)*$J1289^3</f>
      </c>
      <c r="L1289" s="7">
        <f>INDIRECT("D$"&amp;2+MIN(2,ROUNDDOWN(I1289,0))*3)*(-$J1289^3+3*$J1289^2-3*$J1289+1)+INDIRECT("D$"&amp;3+MIN(2,ROUNDDOWN(I1289,0))*3)*(3*$J1289^3-6*$J1289^2+3*$J1289)+INDIRECT("D$"&amp;4+MIN(2,ROUNDDOWN(I1289,0))*3)*(-3*$J1289^3+3*$J1289^2)+INDIRECT("D$"&amp;5+MIN(2,ROUNDDOWN(I1289,0))*3)*$J1289^3</f>
      </c>
      <c r="M1289" s="7">
        <f>SQRT(K1289^2+L1289^2)</f>
      </c>
      <c r="N1289" s="7">
        <f>(K1290-K1288)</f>
      </c>
      <c r="O1289" s="7">
        <f>+(L1290-L1288)</f>
      </c>
      <c r="P1289" s="7">
        <f>SQRT(O1289^2+N1289^2)</f>
      </c>
      <c r="Q1289" s="7">
        <f>N1289/$P1289</f>
      </c>
      <c r="R1289" s="7">
        <f>O1289/$P1289</f>
      </c>
      <c r="S1289" s="8">
        <f>Q1289^2+R1289^2</f>
      </c>
      <c r="T1289" s="7">
        <f>-R1289</f>
      </c>
      <c r="U1289" s="7">
        <f>Q1289</f>
      </c>
      <c r="V1289" s="7">
        <f>($C$14+($C$15-$C$14)/($D$15-$D$14)*(I1289-$D$14))/2</f>
      </c>
      <c r="W1289" s="7">
        <f>($B$22*I1289^4+$C$22*I1289^3+$D$22*I1289^2+$E$22*I1289+$F$22)/2</f>
      </c>
      <c r="X1289" s="7">
        <f>($W1289)*(T1289)</f>
      </c>
      <c r="Y1289" s="7">
        <f>($W1289)*(U1289)</f>
      </c>
      <c r="Z1289" s="7">
        <f>SQRT(X1289^2+Y1289^2)</f>
      </c>
      <c r="AA1289" s="7">
        <f>$K1289+$X1289</f>
      </c>
      <c r="AB1289" s="7">
        <f>$L1289+$Y1289</f>
      </c>
      <c r="AC1289" s="7">
        <f>$K1289-$X1289</f>
      </c>
      <c r="AD1289" s="7">
        <f>$L1289-$Y1289</f>
      </c>
      <c r="AE1289" s="7">
        <f>AA1289/39.3701</f>
      </c>
      <c r="AF1289" s="7">
        <f>AB1289/39.3701</f>
      </c>
      <c r="AG1289" s="7">
        <f>AC1289/39.3701</f>
      </c>
      <c r="AH1289" s="7">
        <f>AD1289/39.3701</f>
      </c>
      <c r="AI1289" s="1"/>
      <c r="AJ1289" s="1"/>
      <c r="AK1289" s="1"/>
      <c r="AL1289" s="1"/>
      <c r="AM1289" s="2"/>
      <c r="AN1289" s="1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  <c r="BA1289" s="1"/>
      <c r="BB1289" s="1"/>
      <c r="BC1289" s="1"/>
      <c r="BD1289" s="1"/>
      <c r="BE1289" s="1"/>
    </row>
    <row x14ac:dyDescent="0.25" r="1290" customHeight="1" ht="18.75">
      <c r="A1290" s="1"/>
      <c r="B1290" s="2"/>
      <c r="C1290" s="2"/>
      <c r="D1290" s="2"/>
      <c r="E1290" s="2"/>
      <c r="F1290" s="2"/>
      <c r="G1290" s="1"/>
      <c r="H1290" s="1"/>
      <c r="I1290" s="7">
        <v>1.287</v>
      </c>
      <c r="J1290" s="7">
        <f>IF((I1290-ROUNDDOWN(I1290,0))=0, 0, (I1290-ROUNDDOWN(I1290,0)))</f>
      </c>
      <c r="K1290" s="7">
        <f>INDIRECT("C$"&amp;2+MIN(2,ROUNDDOWN(I1290,0))*3)*(-$J1290^3+3*$J1290^2-3*$J1290+1)+INDIRECT("C$"&amp;3+MIN(2,ROUNDDOWN(I1290,0))*3)*(3*$J1290^3-6*$J1290^2+3*$J1290)+INDIRECT("C$"&amp;4+MIN(2,ROUNDDOWN(I1290,0))*3)*(-3*$J1290^3+3*$J1290^2)+INDIRECT("C$"&amp;5+MIN(2,ROUNDDOWN(I1290,0))*3)*$J1290^3</f>
      </c>
      <c r="L1290" s="7">
        <f>INDIRECT("D$"&amp;2+MIN(2,ROUNDDOWN(I1290,0))*3)*(-$J1290^3+3*$J1290^2-3*$J1290+1)+INDIRECT("D$"&amp;3+MIN(2,ROUNDDOWN(I1290,0))*3)*(3*$J1290^3-6*$J1290^2+3*$J1290)+INDIRECT("D$"&amp;4+MIN(2,ROUNDDOWN(I1290,0))*3)*(-3*$J1290^3+3*$J1290^2)+INDIRECT("D$"&amp;5+MIN(2,ROUNDDOWN(I1290,0))*3)*$J1290^3</f>
      </c>
      <c r="M1290" s="7">
        <f>SQRT(K1290^2+L1290^2)</f>
      </c>
      <c r="N1290" s="7">
        <f>(K1291-K1289)</f>
      </c>
      <c r="O1290" s="7">
        <f>+(L1291-L1289)</f>
      </c>
      <c r="P1290" s="7">
        <f>SQRT(O1290^2+N1290^2)</f>
      </c>
      <c r="Q1290" s="7">
        <f>N1290/$P1290</f>
      </c>
      <c r="R1290" s="7">
        <f>O1290/$P1290</f>
      </c>
      <c r="S1290" s="7">
        <f>Q1290^2+R1290^2</f>
      </c>
      <c r="T1290" s="7">
        <f>-R1290</f>
      </c>
      <c r="U1290" s="7">
        <f>Q1290</f>
      </c>
      <c r="V1290" s="7">
        <f>($C$14+($C$15-$C$14)/($D$15-$D$14)*(I1290-$D$14))/2</f>
      </c>
      <c r="W1290" s="7">
        <f>($B$22*I1290^4+$C$22*I1290^3+$D$22*I1290^2+$E$22*I1290+$F$22)/2</f>
      </c>
      <c r="X1290" s="7">
        <f>($W1290)*(T1290)</f>
      </c>
      <c r="Y1290" s="7">
        <f>($W1290)*(U1290)</f>
      </c>
      <c r="Z1290" s="7">
        <f>SQRT(X1290^2+Y1290^2)</f>
      </c>
      <c r="AA1290" s="7">
        <f>$K1290+$X1290</f>
      </c>
      <c r="AB1290" s="7">
        <f>$L1290+$Y1290</f>
      </c>
      <c r="AC1290" s="7">
        <f>$K1290-$X1290</f>
      </c>
      <c r="AD1290" s="7">
        <f>$L1290-$Y1290</f>
      </c>
      <c r="AE1290" s="7">
        <f>AA1290/39.3701</f>
      </c>
      <c r="AF1290" s="7">
        <f>AB1290/39.3701</f>
      </c>
      <c r="AG1290" s="7">
        <f>AC1290/39.3701</f>
      </c>
      <c r="AH1290" s="7">
        <f>AD1290/39.3701</f>
      </c>
      <c r="AI1290" s="1"/>
      <c r="AJ1290" s="1"/>
      <c r="AK1290" s="1"/>
      <c r="AL1290" s="1"/>
      <c r="AM1290" s="2"/>
      <c r="AN1290" s="1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  <c r="BA1290" s="1"/>
      <c r="BB1290" s="1"/>
      <c r="BC1290" s="1"/>
      <c r="BD1290" s="1"/>
      <c r="BE1290" s="1"/>
    </row>
    <row x14ac:dyDescent="0.25" r="1291" customHeight="1" ht="18.75">
      <c r="A1291" s="1"/>
      <c r="B1291" s="2"/>
      <c r="C1291" s="2"/>
      <c r="D1291" s="2"/>
      <c r="E1291" s="2"/>
      <c r="F1291" s="2"/>
      <c r="G1291" s="1"/>
      <c r="H1291" s="1"/>
      <c r="I1291" s="7">
        <v>1.288</v>
      </c>
      <c r="J1291" s="7">
        <f>IF((I1291-ROUNDDOWN(I1291,0))=0, 0, (I1291-ROUNDDOWN(I1291,0)))</f>
      </c>
      <c r="K1291" s="7">
        <f>INDIRECT("C$"&amp;2+MIN(2,ROUNDDOWN(I1291,0))*3)*(-$J1291^3+3*$J1291^2-3*$J1291+1)+INDIRECT("C$"&amp;3+MIN(2,ROUNDDOWN(I1291,0))*3)*(3*$J1291^3-6*$J1291^2+3*$J1291)+INDIRECT("C$"&amp;4+MIN(2,ROUNDDOWN(I1291,0))*3)*(-3*$J1291^3+3*$J1291^2)+INDIRECT("C$"&amp;5+MIN(2,ROUNDDOWN(I1291,0))*3)*$J1291^3</f>
      </c>
      <c r="L1291" s="7">
        <f>INDIRECT("D$"&amp;2+MIN(2,ROUNDDOWN(I1291,0))*3)*(-$J1291^3+3*$J1291^2-3*$J1291+1)+INDIRECT("D$"&amp;3+MIN(2,ROUNDDOWN(I1291,0))*3)*(3*$J1291^3-6*$J1291^2+3*$J1291)+INDIRECT("D$"&amp;4+MIN(2,ROUNDDOWN(I1291,0))*3)*(-3*$J1291^3+3*$J1291^2)+INDIRECT("D$"&amp;5+MIN(2,ROUNDDOWN(I1291,0))*3)*$J1291^3</f>
      </c>
      <c r="M1291" s="7">
        <f>SQRT(K1291^2+L1291^2)</f>
      </c>
      <c r="N1291" s="7">
        <f>(K1292-K1290)</f>
      </c>
      <c r="O1291" s="7">
        <f>+(L1292-L1290)</f>
      </c>
      <c r="P1291" s="7">
        <f>SQRT(O1291^2+N1291^2)</f>
      </c>
      <c r="Q1291" s="7">
        <f>N1291/$P1291</f>
      </c>
      <c r="R1291" s="7">
        <f>O1291/$P1291</f>
      </c>
      <c r="S1291" s="7">
        <f>Q1291^2+R1291^2</f>
      </c>
      <c r="T1291" s="7">
        <f>-R1291</f>
      </c>
      <c r="U1291" s="7">
        <f>Q1291</f>
      </c>
      <c r="V1291" s="7">
        <f>($C$14+($C$15-$C$14)/($D$15-$D$14)*(I1291-$D$14))/2</f>
      </c>
      <c r="W1291" s="7">
        <f>($B$22*I1291^4+$C$22*I1291^3+$D$22*I1291^2+$E$22*I1291+$F$22)/2</f>
      </c>
      <c r="X1291" s="7">
        <f>($W1291)*(T1291)</f>
      </c>
      <c r="Y1291" s="7">
        <f>($W1291)*(U1291)</f>
      </c>
      <c r="Z1291" s="7">
        <f>SQRT(X1291^2+Y1291^2)</f>
      </c>
      <c r="AA1291" s="7">
        <f>$K1291+$X1291</f>
      </c>
      <c r="AB1291" s="7">
        <f>$L1291+$Y1291</f>
      </c>
      <c r="AC1291" s="7">
        <f>$K1291-$X1291</f>
      </c>
      <c r="AD1291" s="7">
        <f>$L1291-$Y1291</f>
      </c>
      <c r="AE1291" s="7">
        <f>AA1291/39.3701</f>
      </c>
      <c r="AF1291" s="7">
        <f>AB1291/39.3701</f>
      </c>
      <c r="AG1291" s="7">
        <f>AC1291/39.3701</f>
      </c>
      <c r="AH1291" s="7">
        <f>AD1291/39.3701</f>
      </c>
      <c r="AI1291" s="1"/>
      <c r="AJ1291" s="1"/>
      <c r="AK1291" s="1"/>
      <c r="AL1291" s="1"/>
      <c r="AM1291" s="2"/>
      <c r="AN1291" s="1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  <c r="BA1291" s="1"/>
      <c r="BB1291" s="1"/>
      <c r="BC1291" s="1"/>
      <c r="BD1291" s="1"/>
      <c r="BE1291" s="1"/>
    </row>
    <row x14ac:dyDescent="0.25" r="1292" customHeight="1" ht="18.75">
      <c r="A1292" s="1"/>
      <c r="B1292" s="2"/>
      <c r="C1292" s="2"/>
      <c r="D1292" s="2"/>
      <c r="E1292" s="2"/>
      <c r="F1292" s="2"/>
      <c r="G1292" s="1"/>
      <c r="H1292" s="1"/>
      <c r="I1292" s="7">
        <v>1.289</v>
      </c>
      <c r="J1292" s="7">
        <f>IF((I1292-ROUNDDOWN(I1292,0))=0, 0, (I1292-ROUNDDOWN(I1292,0)))</f>
      </c>
      <c r="K1292" s="7">
        <f>INDIRECT("C$"&amp;2+MIN(2,ROUNDDOWN(I1292,0))*3)*(-$J1292^3+3*$J1292^2-3*$J1292+1)+INDIRECT("C$"&amp;3+MIN(2,ROUNDDOWN(I1292,0))*3)*(3*$J1292^3-6*$J1292^2+3*$J1292)+INDIRECT("C$"&amp;4+MIN(2,ROUNDDOWN(I1292,0))*3)*(-3*$J1292^3+3*$J1292^2)+INDIRECT("C$"&amp;5+MIN(2,ROUNDDOWN(I1292,0))*3)*$J1292^3</f>
      </c>
      <c r="L1292" s="7">
        <f>INDIRECT("D$"&amp;2+MIN(2,ROUNDDOWN(I1292,0))*3)*(-$J1292^3+3*$J1292^2-3*$J1292+1)+INDIRECT("D$"&amp;3+MIN(2,ROUNDDOWN(I1292,0))*3)*(3*$J1292^3-6*$J1292^2+3*$J1292)+INDIRECT("D$"&amp;4+MIN(2,ROUNDDOWN(I1292,0))*3)*(-3*$J1292^3+3*$J1292^2)+INDIRECT("D$"&amp;5+MIN(2,ROUNDDOWN(I1292,0))*3)*$J1292^3</f>
      </c>
      <c r="M1292" s="7">
        <f>SQRT(K1292^2+L1292^2)</f>
      </c>
      <c r="N1292" s="7">
        <f>(K1293-K1291)</f>
      </c>
      <c r="O1292" s="7">
        <f>+(L1293-L1291)</f>
      </c>
      <c r="P1292" s="7">
        <f>SQRT(O1292^2+N1292^2)</f>
      </c>
      <c r="Q1292" s="7">
        <f>N1292/$P1292</f>
      </c>
      <c r="R1292" s="7">
        <f>O1292/$P1292</f>
      </c>
      <c r="S1292" s="8">
        <f>Q1292^2+R1292^2</f>
      </c>
      <c r="T1292" s="7">
        <f>-R1292</f>
      </c>
      <c r="U1292" s="7">
        <f>Q1292</f>
      </c>
      <c r="V1292" s="7">
        <f>($C$14+($C$15-$C$14)/($D$15-$D$14)*(I1292-$D$14))/2</f>
      </c>
      <c r="W1292" s="7">
        <f>($B$22*I1292^4+$C$22*I1292^3+$D$22*I1292^2+$E$22*I1292+$F$22)/2</f>
      </c>
      <c r="X1292" s="7">
        <f>($W1292)*(T1292)</f>
      </c>
      <c r="Y1292" s="7">
        <f>($W1292)*(U1292)</f>
      </c>
      <c r="Z1292" s="7">
        <f>SQRT(X1292^2+Y1292^2)</f>
      </c>
      <c r="AA1292" s="7">
        <f>$K1292+$X1292</f>
      </c>
      <c r="AB1292" s="7">
        <f>$L1292+$Y1292</f>
      </c>
      <c r="AC1292" s="7">
        <f>$K1292-$X1292</f>
      </c>
      <c r="AD1292" s="7">
        <f>$L1292-$Y1292</f>
      </c>
      <c r="AE1292" s="7">
        <f>AA1292/39.3701</f>
      </c>
      <c r="AF1292" s="7">
        <f>AB1292/39.3701</f>
      </c>
      <c r="AG1292" s="7">
        <f>AC1292/39.3701</f>
      </c>
      <c r="AH1292" s="7">
        <f>AD1292/39.3701</f>
      </c>
      <c r="AI1292" s="1"/>
      <c r="AJ1292" s="1"/>
      <c r="AK1292" s="1"/>
      <c r="AL1292" s="1"/>
      <c r="AM1292" s="2"/>
      <c r="AN1292" s="1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  <c r="BA1292" s="1"/>
      <c r="BB1292" s="1"/>
      <c r="BC1292" s="1"/>
      <c r="BD1292" s="1"/>
      <c r="BE1292" s="1"/>
    </row>
    <row x14ac:dyDescent="0.25" r="1293" customHeight="1" ht="18.75">
      <c r="A1293" s="1"/>
      <c r="B1293" s="2"/>
      <c r="C1293" s="2"/>
      <c r="D1293" s="2"/>
      <c r="E1293" s="2"/>
      <c r="F1293" s="2"/>
      <c r="G1293" s="1"/>
      <c r="H1293" s="1"/>
      <c r="I1293" s="7">
        <v>1.29</v>
      </c>
      <c r="J1293" s="7">
        <f>IF((I1293-ROUNDDOWN(I1293,0))=0, 0, (I1293-ROUNDDOWN(I1293,0)))</f>
      </c>
      <c r="K1293" s="7">
        <f>INDIRECT("C$"&amp;2+MIN(2,ROUNDDOWN(I1293,0))*3)*(-$J1293^3+3*$J1293^2-3*$J1293+1)+INDIRECT("C$"&amp;3+MIN(2,ROUNDDOWN(I1293,0))*3)*(3*$J1293^3-6*$J1293^2+3*$J1293)+INDIRECT("C$"&amp;4+MIN(2,ROUNDDOWN(I1293,0))*3)*(-3*$J1293^3+3*$J1293^2)+INDIRECT("C$"&amp;5+MIN(2,ROUNDDOWN(I1293,0))*3)*$J1293^3</f>
      </c>
      <c r="L1293" s="7">
        <f>INDIRECT("D$"&amp;2+MIN(2,ROUNDDOWN(I1293,0))*3)*(-$J1293^3+3*$J1293^2-3*$J1293+1)+INDIRECT("D$"&amp;3+MIN(2,ROUNDDOWN(I1293,0))*3)*(3*$J1293^3-6*$J1293^2+3*$J1293)+INDIRECT("D$"&amp;4+MIN(2,ROUNDDOWN(I1293,0))*3)*(-3*$J1293^3+3*$J1293^2)+INDIRECT("D$"&amp;5+MIN(2,ROUNDDOWN(I1293,0))*3)*$J1293^3</f>
      </c>
      <c r="M1293" s="7">
        <f>SQRT(K1293^2+L1293^2)</f>
      </c>
      <c r="N1293" s="7">
        <f>(K1294-K1292)</f>
      </c>
      <c r="O1293" s="7">
        <f>+(L1294-L1292)</f>
      </c>
      <c r="P1293" s="7">
        <f>SQRT(O1293^2+N1293^2)</f>
      </c>
      <c r="Q1293" s="7">
        <f>N1293/$P1293</f>
      </c>
      <c r="R1293" s="7">
        <f>O1293/$P1293</f>
      </c>
      <c r="S1293" s="8">
        <f>Q1293^2+R1293^2</f>
      </c>
      <c r="T1293" s="7">
        <f>-R1293</f>
      </c>
      <c r="U1293" s="7">
        <f>Q1293</f>
      </c>
      <c r="V1293" s="7">
        <f>($C$14+($C$15-$C$14)/($D$15-$D$14)*(I1293-$D$14))/2</f>
      </c>
      <c r="W1293" s="7">
        <f>($B$22*I1293^4+$C$22*I1293^3+$D$22*I1293^2+$E$22*I1293+$F$22)/2</f>
      </c>
      <c r="X1293" s="7">
        <f>($W1293)*(T1293)</f>
      </c>
      <c r="Y1293" s="7">
        <f>($W1293)*(U1293)</f>
      </c>
      <c r="Z1293" s="7">
        <f>SQRT(X1293^2+Y1293^2)</f>
      </c>
      <c r="AA1293" s="7">
        <f>$K1293+$X1293</f>
      </c>
      <c r="AB1293" s="7">
        <f>$L1293+$Y1293</f>
      </c>
      <c r="AC1293" s="7">
        <f>$K1293-$X1293</f>
      </c>
      <c r="AD1293" s="7">
        <f>$L1293-$Y1293</f>
      </c>
      <c r="AE1293" s="7">
        <f>AA1293/39.3701</f>
      </c>
      <c r="AF1293" s="7">
        <f>AB1293/39.3701</f>
      </c>
      <c r="AG1293" s="7">
        <f>AC1293/39.3701</f>
      </c>
      <c r="AH1293" s="7">
        <f>AD1293/39.3701</f>
      </c>
      <c r="AI1293" s="1"/>
      <c r="AJ1293" s="1"/>
      <c r="AK1293" s="1"/>
      <c r="AL1293" s="1"/>
      <c r="AM1293" s="2"/>
      <c r="AN1293" s="1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  <c r="BA1293" s="1"/>
      <c r="BB1293" s="1"/>
      <c r="BC1293" s="1"/>
      <c r="BD1293" s="1"/>
      <c r="BE1293" s="1"/>
    </row>
    <row x14ac:dyDescent="0.25" r="1294" customHeight="1" ht="18.75">
      <c r="A1294" s="1"/>
      <c r="B1294" s="2"/>
      <c r="C1294" s="2"/>
      <c r="D1294" s="2"/>
      <c r="E1294" s="2"/>
      <c r="F1294" s="2"/>
      <c r="G1294" s="1"/>
      <c r="H1294" s="1"/>
      <c r="I1294" s="7">
        <v>1.291</v>
      </c>
      <c r="J1294" s="7">
        <f>IF((I1294-ROUNDDOWN(I1294,0))=0, 0, (I1294-ROUNDDOWN(I1294,0)))</f>
      </c>
      <c r="K1294" s="7">
        <f>INDIRECT("C$"&amp;2+MIN(2,ROUNDDOWN(I1294,0))*3)*(-$J1294^3+3*$J1294^2-3*$J1294+1)+INDIRECT("C$"&amp;3+MIN(2,ROUNDDOWN(I1294,0))*3)*(3*$J1294^3-6*$J1294^2+3*$J1294)+INDIRECT("C$"&amp;4+MIN(2,ROUNDDOWN(I1294,0))*3)*(-3*$J1294^3+3*$J1294^2)+INDIRECT("C$"&amp;5+MIN(2,ROUNDDOWN(I1294,0))*3)*$J1294^3</f>
      </c>
      <c r="L1294" s="7">
        <f>INDIRECT("D$"&amp;2+MIN(2,ROUNDDOWN(I1294,0))*3)*(-$J1294^3+3*$J1294^2-3*$J1294+1)+INDIRECT("D$"&amp;3+MIN(2,ROUNDDOWN(I1294,0))*3)*(3*$J1294^3-6*$J1294^2+3*$J1294)+INDIRECT("D$"&amp;4+MIN(2,ROUNDDOWN(I1294,0))*3)*(-3*$J1294^3+3*$J1294^2)+INDIRECT("D$"&amp;5+MIN(2,ROUNDDOWN(I1294,0))*3)*$J1294^3</f>
      </c>
      <c r="M1294" s="7">
        <f>SQRT(K1294^2+L1294^2)</f>
      </c>
      <c r="N1294" s="7">
        <f>(K1295-K1293)</f>
      </c>
      <c r="O1294" s="7">
        <f>+(L1295-L1293)</f>
      </c>
      <c r="P1294" s="7">
        <f>SQRT(O1294^2+N1294^2)</f>
      </c>
      <c r="Q1294" s="7">
        <f>N1294/$P1294</f>
      </c>
      <c r="R1294" s="7">
        <f>O1294/$P1294</f>
      </c>
      <c r="S1294" s="8">
        <f>Q1294^2+R1294^2</f>
      </c>
      <c r="T1294" s="7">
        <f>-R1294</f>
      </c>
      <c r="U1294" s="7">
        <f>Q1294</f>
      </c>
      <c r="V1294" s="7">
        <f>($C$14+($C$15-$C$14)/($D$15-$D$14)*(I1294-$D$14))/2</f>
      </c>
      <c r="W1294" s="7">
        <f>($B$22*I1294^4+$C$22*I1294^3+$D$22*I1294^2+$E$22*I1294+$F$22)/2</f>
      </c>
      <c r="X1294" s="7">
        <f>($W1294)*(T1294)</f>
      </c>
      <c r="Y1294" s="7">
        <f>($W1294)*(U1294)</f>
      </c>
      <c r="Z1294" s="7">
        <f>SQRT(X1294^2+Y1294^2)</f>
      </c>
      <c r="AA1294" s="7">
        <f>$K1294+$X1294</f>
      </c>
      <c r="AB1294" s="7">
        <f>$L1294+$Y1294</f>
      </c>
      <c r="AC1294" s="7">
        <f>$K1294-$X1294</f>
      </c>
      <c r="AD1294" s="7">
        <f>$L1294-$Y1294</f>
      </c>
      <c r="AE1294" s="7">
        <f>AA1294/39.3701</f>
      </c>
      <c r="AF1294" s="7">
        <f>AB1294/39.3701</f>
      </c>
      <c r="AG1294" s="7">
        <f>AC1294/39.3701</f>
      </c>
      <c r="AH1294" s="7">
        <f>AD1294/39.3701</f>
      </c>
      <c r="AI1294" s="1"/>
      <c r="AJ1294" s="1"/>
      <c r="AK1294" s="1"/>
      <c r="AL1294" s="1"/>
      <c r="AM1294" s="2"/>
      <c r="AN1294" s="1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  <c r="BA1294" s="1"/>
      <c r="BB1294" s="1"/>
      <c r="BC1294" s="1"/>
      <c r="BD1294" s="1"/>
      <c r="BE1294" s="1"/>
    </row>
    <row x14ac:dyDescent="0.25" r="1295" customHeight="1" ht="18.75">
      <c r="A1295" s="1"/>
      <c r="B1295" s="2"/>
      <c r="C1295" s="2"/>
      <c r="D1295" s="2"/>
      <c r="E1295" s="2"/>
      <c r="F1295" s="2"/>
      <c r="G1295" s="1"/>
      <c r="H1295" s="1"/>
      <c r="I1295" s="7">
        <v>1.292</v>
      </c>
      <c r="J1295" s="7">
        <f>IF((I1295-ROUNDDOWN(I1295,0))=0, 0, (I1295-ROUNDDOWN(I1295,0)))</f>
      </c>
      <c r="K1295" s="7">
        <f>INDIRECT("C$"&amp;2+MIN(2,ROUNDDOWN(I1295,0))*3)*(-$J1295^3+3*$J1295^2-3*$J1295+1)+INDIRECT("C$"&amp;3+MIN(2,ROUNDDOWN(I1295,0))*3)*(3*$J1295^3-6*$J1295^2+3*$J1295)+INDIRECT("C$"&amp;4+MIN(2,ROUNDDOWN(I1295,0))*3)*(-3*$J1295^3+3*$J1295^2)+INDIRECT("C$"&amp;5+MIN(2,ROUNDDOWN(I1295,0))*3)*$J1295^3</f>
      </c>
      <c r="L1295" s="7">
        <f>INDIRECT("D$"&amp;2+MIN(2,ROUNDDOWN(I1295,0))*3)*(-$J1295^3+3*$J1295^2-3*$J1295+1)+INDIRECT("D$"&amp;3+MIN(2,ROUNDDOWN(I1295,0))*3)*(3*$J1295^3-6*$J1295^2+3*$J1295)+INDIRECT("D$"&amp;4+MIN(2,ROUNDDOWN(I1295,0))*3)*(-3*$J1295^3+3*$J1295^2)+INDIRECT("D$"&amp;5+MIN(2,ROUNDDOWN(I1295,0))*3)*$J1295^3</f>
      </c>
      <c r="M1295" s="7">
        <f>SQRT(K1295^2+L1295^2)</f>
      </c>
      <c r="N1295" s="7">
        <f>(K1296-K1294)</f>
      </c>
      <c r="O1295" s="7">
        <f>+(L1296-L1294)</f>
      </c>
      <c r="P1295" s="7">
        <f>SQRT(O1295^2+N1295^2)</f>
      </c>
      <c r="Q1295" s="7">
        <f>N1295/$P1295</f>
      </c>
      <c r="R1295" s="7">
        <f>O1295/$P1295</f>
      </c>
      <c r="S1295" s="7">
        <f>Q1295^2+R1295^2</f>
      </c>
      <c r="T1295" s="7">
        <f>-R1295</f>
      </c>
      <c r="U1295" s="7">
        <f>Q1295</f>
      </c>
      <c r="V1295" s="7">
        <f>($C$14+($C$15-$C$14)/($D$15-$D$14)*(I1295-$D$14))/2</f>
      </c>
      <c r="W1295" s="7">
        <f>($B$22*I1295^4+$C$22*I1295^3+$D$22*I1295^2+$E$22*I1295+$F$22)/2</f>
      </c>
      <c r="X1295" s="7">
        <f>($W1295)*(T1295)</f>
      </c>
      <c r="Y1295" s="7">
        <f>($W1295)*(U1295)</f>
      </c>
      <c r="Z1295" s="7">
        <f>SQRT(X1295^2+Y1295^2)</f>
      </c>
      <c r="AA1295" s="7">
        <f>$K1295+$X1295</f>
      </c>
      <c r="AB1295" s="7">
        <f>$L1295+$Y1295</f>
      </c>
      <c r="AC1295" s="7">
        <f>$K1295-$X1295</f>
      </c>
      <c r="AD1295" s="7">
        <f>$L1295-$Y1295</f>
      </c>
      <c r="AE1295" s="7">
        <f>AA1295/39.3701</f>
      </c>
      <c r="AF1295" s="7">
        <f>AB1295/39.3701</f>
      </c>
      <c r="AG1295" s="7">
        <f>AC1295/39.3701</f>
      </c>
      <c r="AH1295" s="7">
        <f>AD1295/39.3701</f>
      </c>
      <c r="AI1295" s="1"/>
      <c r="AJ1295" s="1"/>
      <c r="AK1295" s="1"/>
      <c r="AL1295" s="1"/>
      <c r="AM1295" s="2"/>
      <c r="AN1295" s="1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  <c r="BA1295" s="1"/>
      <c r="BB1295" s="1"/>
      <c r="BC1295" s="1"/>
      <c r="BD1295" s="1"/>
      <c r="BE1295" s="1"/>
    </row>
    <row x14ac:dyDescent="0.25" r="1296" customHeight="1" ht="18.75">
      <c r="A1296" s="1"/>
      <c r="B1296" s="2"/>
      <c r="C1296" s="2"/>
      <c r="D1296" s="2"/>
      <c r="E1296" s="2"/>
      <c r="F1296" s="2"/>
      <c r="G1296" s="1"/>
      <c r="H1296" s="1"/>
      <c r="I1296" s="7">
        <v>1.293</v>
      </c>
      <c r="J1296" s="7">
        <f>IF((I1296-ROUNDDOWN(I1296,0))=0, 0, (I1296-ROUNDDOWN(I1296,0)))</f>
      </c>
      <c r="K1296" s="7">
        <f>INDIRECT("C$"&amp;2+MIN(2,ROUNDDOWN(I1296,0))*3)*(-$J1296^3+3*$J1296^2-3*$J1296+1)+INDIRECT("C$"&amp;3+MIN(2,ROUNDDOWN(I1296,0))*3)*(3*$J1296^3-6*$J1296^2+3*$J1296)+INDIRECT("C$"&amp;4+MIN(2,ROUNDDOWN(I1296,0))*3)*(-3*$J1296^3+3*$J1296^2)+INDIRECT("C$"&amp;5+MIN(2,ROUNDDOWN(I1296,0))*3)*$J1296^3</f>
      </c>
      <c r="L1296" s="7">
        <f>INDIRECT("D$"&amp;2+MIN(2,ROUNDDOWN(I1296,0))*3)*(-$J1296^3+3*$J1296^2-3*$J1296+1)+INDIRECT("D$"&amp;3+MIN(2,ROUNDDOWN(I1296,0))*3)*(3*$J1296^3-6*$J1296^2+3*$J1296)+INDIRECT("D$"&amp;4+MIN(2,ROUNDDOWN(I1296,0))*3)*(-3*$J1296^3+3*$J1296^2)+INDIRECT("D$"&amp;5+MIN(2,ROUNDDOWN(I1296,0))*3)*$J1296^3</f>
      </c>
      <c r="M1296" s="7">
        <f>SQRT(K1296^2+L1296^2)</f>
      </c>
      <c r="N1296" s="7">
        <f>(K1297-K1295)</f>
      </c>
      <c r="O1296" s="7">
        <f>+(L1297-L1295)</f>
      </c>
      <c r="P1296" s="7">
        <f>SQRT(O1296^2+N1296^2)</f>
      </c>
      <c r="Q1296" s="7">
        <f>N1296/$P1296</f>
      </c>
      <c r="R1296" s="7">
        <f>O1296/$P1296</f>
      </c>
      <c r="S1296" s="8">
        <f>Q1296^2+R1296^2</f>
      </c>
      <c r="T1296" s="7">
        <f>-R1296</f>
      </c>
      <c r="U1296" s="7">
        <f>Q1296</f>
      </c>
      <c r="V1296" s="7">
        <f>($C$14+($C$15-$C$14)/($D$15-$D$14)*(I1296-$D$14))/2</f>
      </c>
      <c r="W1296" s="7">
        <f>($B$22*I1296^4+$C$22*I1296^3+$D$22*I1296^2+$E$22*I1296+$F$22)/2</f>
      </c>
      <c r="X1296" s="7">
        <f>($W1296)*(T1296)</f>
      </c>
      <c r="Y1296" s="7">
        <f>($W1296)*(U1296)</f>
      </c>
      <c r="Z1296" s="7">
        <f>SQRT(X1296^2+Y1296^2)</f>
      </c>
      <c r="AA1296" s="7">
        <f>$K1296+$X1296</f>
      </c>
      <c r="AB1296" s="7">
        <f>$L1296+$Y1296</f>
      </c>
      <c r="AC1296" s="7">
        <f>$K1296-$X1296</f>
      </c>
      <c r="AD1296" s="7">
        <f>$L1296-$Y1296</f>
      </c>
      <c r="AE1296" s="7">
        <f>AA1296/39.3701</f>
      </c>
      <c r="AF1296" s="7">
        <f>AB1296/39.3701</f>
      </c>
      <c r="AG1296" s="7">
        <f>AC1296/39.3701</f>
      </c>
      <c r="AH1296" s="7">
        <f>AD1296/39.3701</f>
      </c>
      <c r="AI1296" s="1"/>
      <c r="AJ1296" s="1"/>
      <c r="AK1296" s="1"/>
      <c r="AL1296" s="1"/>
      <c r="AM1296" s="2"/>
      <c r="AN1296" s="1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  <c r="BA1296" s="1"/>
      <c r="BB1296" s="1"/>
      <c r="BC1296" s="1"/>
      <c r="BD1296" s="1"/>
      <c r="BE1296" s="1"/>
    </row>
    <row x14ac:dyDescent="0.25" r="1297" customHeight="1" ht="18.75">
      <c r="A1297" s="1"/>
      <c r="B1297" s="2"/>
      <c r="C1297" s="2"/>
      <c r="D1297" s="2"/>
      <c r="E1297" s="2"/>
      <c r="F1297" s="2"/>
      <c r="G1297" s="1"/>
      <c r="H1297" s="1"/>
      <c r="I1297" s="7">
        <v>1.294</v>
      </c>
      <c r="J1297" s="7">
        <f>IF((I1297-ROUNDDOWN(I1297,0))=0, 0, (I1297-ROUNDDOWN(I1297,0)))</f>
      </c>
      <c r="K1297" s="7">
        <f>INDIRECT("C$"&amp;2+MIN(2,ROUNDDOWN(I1297,0))*3)*(-$J1297^3+3*$J1297^2-3*$J1297+1)+INDIRECT("C$"&amp;3+MIN(2,ROUNDDOWN(I1297,0))*3)*(3*$J1297^3-6*$J1297^2+3*$J1297)+INDIRECT("C$"&amp;4+MIN(2,ROUNDDOWN(I1297,0))*3)*(-3*$J1297^3+3*$J1297^2)+INDIRECT("C$"&amp;5+MIN(2,ROUNDDOWN(I1297,0))*3)*$J1297^3</f>
      </c>
      <c r="L1297" s="7">
        <f>INDIRECT("D$"&amp;2+MIN(2,ROUNDDOWN(I1297,0))*3)*(-$J1297^3+3*$J1297^2-3*$J1297+1)+INDIRECT("D$"&amp;3+MIN(2,ROUNDDOWN(I1297,0))*3)*(3*$J1297^3-6*$J1297^2+3*$J1297)+INDIRECT("D$"&amp;4+MIN(2,ROUNDDOWN(I1297,0))*3)*(-3*$J1297^3+3*$J1297^2)+INDIRECT("D$"&amp;5+MIN(2,ROUNDDOWN(I1297,0))*3)*$J1297^3</f>
      </c>
      <c r="M1297" s="7">
        <f>SQRT(K1297^2+L1297^2)</f>
      </c>
      <c r="N1297" s="7">
        <f>(K1298-K1296)</f>
      </c>
      <c r="O1297" s="7">
        <f>+(L1298-L1296)</f>
      </c>
      <c r="P1297" s="7">
        <f>SQRT(O1297^2+N1297^2)</f>
      </c>
      <c r="Q1297" s="7">
        <f>N1297/$P1297</f>
      </c>
      <c r="R1297" s="7">
        <f>O1297/$P1297</f>
      </c>
      <c r="S1297" s="8">
        <f>Q1297^2+R1297^2</f>
      </c>
      <c r="T1297" s="7">
        <f>-R1297</f>
      </c>
      <c r="U1297" s="7">
        <f>Q1297</f>
      </c>
      <c r="V1297" s="7">
        <f>($C$14+($C$15-$C$14)/($D$15-$D$14)*(I1297-$D$14))/2</f>
      </c>
      <c r="W1297" s="7">
        <f>($B$22*I1297^4+$C$22*I1297^3+$D$22*I1297^2+$E$22*I1297+$F$22)/2</f>
      </c>
      <c r="X1297" s="7">
        <f>($W1297)*(T1297)</f>
      </c>
      <c r="Y1297" s="7">
        <f>($W1297)*(U1297)</f>
      </c>
      <c r="Z1297" s="7">
        <f>SQRT(X1297^2+Y1297^2)</f>
      </c>
      <c r="AA1297" s="7">
        <f>$K1297+$X1297</f>
      </c>
      <c r="AB1297" s="7">
        <f>$L1297+$Y1297</f>
      </c>
      <c r="AC1297" s="7">
        <f>$K1297-$X1297</f>
      </c>
      <c r="AD1297" s="7">
        <f>$L1297-$Y1297</f>
      </c>
      <c r="AE1297" s="7">
        <f>AA1297/39.3701</f>
      </c>
      <c r="AF1297" s="7">
        <f>AB1297/39.3701</f>
      </c>
      <c r="AG1297" s="7">
        <f>AC1297/39.3701</f>
      </c>
      <c r="AH1297" s="7">
        <f>AD1297/39.3701</f>
      </c>
      <c r="AI1297" s="1"/>
      <c r="AJ1297" s="1"/>
      <c r="AK1297" s="1"/>
      <c r="AL1297" s="1"/>
      <c r="AM1297" s="2"/>
      <c r="AN1297" s="1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  <c r="BA1297" s="1"/>
      <c r="BB1297" s="1"/>
      <c r="BC1297" s="1"/>
      <c r="BD1297" s="1"/>
      <c r="BE1297" s="1"/>
    </row>
    <row x14ac:dyDescent="0.25" r="1298" customHeight="1" ht="18.75">
      <c r="A1298" s="1"/>
      <c r="B1298" s="2"/>
      <c r="C1298" s="2"/>
      <c r="D1298" s="2"/>
      <c r="E1298" s="2"/>
      <c r="F1298" s="2"/>
      <c r="G1298" s="1"/>
      <c r="H1298" s="1"/>
      <c r="I1298" s="7">
        <v>1.295</v>
      </c>
      <c r="J1298" s="7">
        <f>IF((I1298-ROUNDDOWN(I1298,0))=0, 0, (I1298-ROUNDDOWN(I1298,0)))</f>
      </c>
      <c r="K1298" s="7">
        <f>INDIRECT("C$"&amp;2+MIN(2,ROUNDDOWN(I1298,0))*3)*(-$J1298^3+3*$J1298^2-3*$J1298+1)+INDIRECT("C$"&amp;3+MIN(2,ROUNDDOWN(I1298,0))*3)*(3*$J1298^3-6*$J1298^2+3*$J1298)+INDIRECT("C$"&amp;4+MIN(2,ROUNDDOWN(I1298,0))*3)*(-3*$J1298^3+3*$J1298^2)+INDIRECT("C$"&amp;5+MIN(2,ROUNDDOWN(I1298,0))*3)*$J1298^3</f>
      </c>
      <c r="L1298" s="7">
        <f>INDIRECT("D$"&amp;2+MIN(2,ROUNDDOWN(I1298,0))*3)*(-$J1298^3+3*$J1298^2-3*$J1298+1)+INDIRECT("D$"&amp;3+MIN(2,ROUNDDOWN(I1298,0))*3)*(3*$J1298^3-6*$J1298^2+3*$J1298)+INDIRECT("D$"&amp;4+MIN(2,ROUNDDOWN(I1298,0))*3)*(-3*$J1298^3+3*$J1298^2)+INDIRECT("D$"&amp;5+MIN(2,ROUNDDOWN(I1298,0))*3)*$J1298^3</f>
      </c>
      <c r="M1298" s="7">
        <f>SQRT(K1298^2+L1298^2)</f>
      </c>
      <c r="N1298" s="7">
        <f>(K1299-K1297)</f>
      </c>
      <c r="O1298" s="7">
        <f>+(L1299-L1297)</f>
      </c>
      <c r="P1298" s="7">
        <f>SQRT(O1298^2+N1298^2)</f>
      </c>
      <c r="Q1298" s="7">
        <f>N1298/$P1298</f>
      </c>
      <c r="R1298" s="7">
        <f>O1298/$P1298</f>
      </c>
      <c r="S1298" s="7">
        <f>Q1298^2+R1298^2</f>
      </c>
      <c r="T1298" s="7">
        <f>-R1298</f>
      </c>
      <c r="U1298" s="7">
        <f>Q1298</f>
      </c>
      <c r="V1298" s="7">
        <f>($C$14+($C$15-$C$14)/($D$15-$D$14)*(I1298-$D$14))/2</f>
      </c>
      <c r="W1298" s="7">
        <f>($B$22*I1298^4+$C$22*I1298^3+$D$22*I1298^2+$E$22*I1298+$F$22)/2</f>
      </c>
      <c r="X1298" s="7">
        <f>($W1298)*(T1298)</f>
      </c>
      <c r="Y1298" s="7">
        <f>($W1298)*(U1298)</f>
      </c>
      <c r="Z1298" s="7">
        <f>SQRT(X1298^2+Y1298^2)</f>
      </c>
      <c r="AA1298" s="7">
        <f>$K1298+$X1298</f>
      </c>
      <c r="AB1298" s="7">
        <f>$L1298+$Y1298</f>
      </c>
      <c r="AC1298" s="7">
        <f>$K1298-$X1298</f>
      </c>
      <c r="AD1298" s="7">
        <f>$L1298-$Y1298</f>
      </c>
      <c r="AE1298" s="7">
        <f>AA1298/39.3701</f>
      </c>
      <c r="AF1298" s="7">
        <f>AB1298/39.3701</f>
      </c>
      <c r="AG1298" s="7">
        <f>AC1298/39.3701</f>
      </c>
      <c r="AH1298" s="7">
        <f>AD1298/39.3701</f>
      </c>
      <c r="AI1298" s="1"/>
      <c r="AJ1298" s="1"/>
      <c r="AK1298" s="1"/>
      <c r="AL1298" s="1"/>
      <c r="AM1298" s="2"/>
      <c r="AN1298" s="1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  <c r="BA1298" s="1"/>
      <c r="BB1298" s="1"/>
      <c r="BC1298" s="1"/>
      <c r="BD1298" s="1"/>
      <c r="BE1298" s="1"/>
    </row>
    <row x14ac:dyDescent="0.25" r="1299" customHeight="1" ht="18.75">
      <c r="A1299" s="1"/>
      <c r="B1299" s="2"/>
      <c r="C1299" s="2"/>
      <c r="D1299" s="2"/>
      <c r="E1299" s="2"/>
      <c r="F1299" s="2"/>
      <c r="G1299" s="1"/>
      <c r="H1299" s="1"/>
      <c r="I1299" s="7">
        <v>1.296</v>
      </c>
      <c r="J1299" s="7">
        <f>IF((I1299-ROUNDDOWN(I1299,0))=0, 0, (I1299-ROUNDDOWN(I1299,0)))</f>
      </c>
      <c r="K1299" s="7">
        <f>INDIRECT("C$"&amp;2+MIN(2,ROUNDDOWN(I1299,0))*3)*(-$J1299^3+3*$J1299^2-3*$J1299+1)+INDIRECT("C$"&amp;3+MIN(2,ROUNDDOWN(I1299,0))*3)*(3*$J1299^3-6*$J1299^2+3*$J1299)+INDIRECT("C$"&amp;4+MIN(2,ROUNDDOWN(I1299,0))*3)*(-3*$J1299^3+3*$J1299^2)+INDIRECT("C$"&amp;5+MIN(2,ROUNDDOWN(I1299,0))*3)*$J1299^3</f>
      </c>
      <c r="L1299" s="7">
        <f>INDIRECT("D$"&amp;2+MIN(2,ROUNDDOWN(I1299,0))*3)*(-$J1299^3+3*$J1299^2-3*$J1299+1)+INDIRECT("D$"&amp;3+MIN(2,ROUNDDOWN(I1299,0))*3)*(3*$J1299^3-6*$J1299^2+3*$J1299)+INDIRECT("D$"&amp;4+MIN(2,ROUNDDOWN(I1299,0))*3)*(-3*$J1299^3+3*$J1299^2)+INDIRECT("D$"&amp;5+MIN(2,ROUNDDOWN(I1299,0))*3)*$J1299^3</f>
      </c>
      <c r="M1299" s="7">
        <f>SQRT(K1299^2+L1299^2)</f>
      </c>
      <c r="N1299" s="7">
        <f>(K1300-K1298)</f>
      </c>
      <c r="O1299" s="7">
        <f>+(L1300-L1298)</f>
      </c>
      <c r="P1299" s="7">
        <f>SQRT(O1299^2+N1299^2)</f>
      </c>
      <c r="Q1299" s="7">
        <f>N1299/$P1299</f>
      </c>
      <c r="R1299" s="7">
        <f>O1299/$P1299</f>
      </c>
      <c r="S1299" s="8">
        <f>Q1299^2+R1299^2</f>
      </c>
      <c r="T1299" s="7">
        <f>-R1299</f>
      </c>
      <c r="U1299" s="7">
        <f>Q1299</f>
      </c>
      <c r="V1299" s="7">
        <f>($C$14+($C$15-$C$14)/($D$15-$D$14)*(I1299-$D$14))/2</f>
      </c>
      <c r="W1299" s="7">
        <f>($B$22*I1299^4+$C$22*I1299^3+$D$22*I1299^2+$E$22*I1299+$F$22)/2</f>
      </c>
      <c r="X1299" s="7">
        <f>($W1299)*(T1299)</f>
      </c>
      <c r="Y1299" s="7">
        <f>($W1299)*(U1299)</f>
      </c>
      <c r="Z1299" s="7">
        <f>SQRT(X1299^2+Y1299^2)</f>
      </c>
      <c r="AA1299" s="7">
        <f>$K1299+$X1299</f>
      </c>
      <c r="AB1299" s="7">
        <f>$L1299+$Y1299</f>
      </c>
      <c r="AC1299" s="7">
        <f>$K1299-$X1299</f>
      </c>
      <c r="AD1299" s="7">
        <f>$L1299-$Y1299</f>
      </c>
      <c r="AE1299" s="7">
        <f>AA1299/39.3701</f>
      </c>
      <c r="AF1299" s="7">
        <f>AB1299/39.3701</f>
      </c>
      <c r="AG1299" s="7">
        <f>AC1299/39.3701</f>
      </c>
      <c r="AH1299" s="7">
        <f>AD1299/39.3701</f>
      </c>
      <c r="AI1299" s="1"/>
      <c r="AJ1299" s="1"/>
      <c r="AK1299" s="1"/>
      <c r="AL1299" s="1"/>
      <c r="AM1299" s="2"/>
      <c r="AN1299" s="1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  <c r="BA1299" s="1"/>
      <c r="BB1299" s="1"/>
      <c r="BC1299" s="1"/>
      <c r="BD1299" s="1"/>
      <c r="BE1299" s="1"/>
    </row>
    <row x14ac:dyDescent="0.25" r="1300" customHeight="1" ht="18.75">
      <c r="A1300" s="1"/>
      <c r="B1300" s="2"/>
      <c r="C1300" s="2"/>
      <c r="D1300" s="2"/>
      <c r="E1300" s="2"/>
      <c r="F1300" s="2"/>
      <c r="G1300" s="1"/>
      <c r="H1300" s="1"/>
      <c r="I1300" s="7">
        <v>1.297</v>
      </c>
      <c r="J1300" s="7">
        <f>IF((I1300-ROUNDDOWN(I1300,0))=0, 0, (I1300-ROUNDDOWN(I1300,0)))</f>
      </c>
      <c r="K1300" s="7">
        <f>INDIRECT("C$"&amp;2+MIN(2,ROUNDDOWN(I1300,0))*3)*(-$J1300^3+3*$J1300^2-3*$J1300+1)+INDIRECT("C$"&amp;3+MIN(2,ROUNDDOWN(I1300,0))*3)*(3*$J1300^3-6*$J1300^2+3*$J1300)+INDIRECT("C$"&amp;4+MIN(2,ROUNDDOWN(I1300,0))*3)*(-3*$J1300^3+3*$J1300^2)+INDIRECT("C$"&amp;5+MIN(2,ROUNDDOWN(I1300,0))*3)*$J1300^3</f>
      </c>
      <c r="L1300" s="7">
        <f>INDIRECT("D$"&amp;2+MIN(2,ROUNDDOWN(I1300,0))*3)*(-$J1300^3+3*$J1300^2-3*$J1300+1)+INDIRECT("D$"&amp;3+MIN(2,ROUNDDOWN(I1300,0))*3)*(3*$J1300^3-6*$J1300^2+3*$J1300)+INDIRECT("D$"&amp;4+MIN(2,ROUNDDOWN(I1300,0))*3)*(-3*$J1300^3+3*$J1300^2)+INDIRECT("D$"&amp;5+MIN(2,ROUNDDOWN(I1300,0))*3)*$J1300^3</f>
      </c>
      <c r="M1300" s="7">
        <f>SQRT(K1300^2+L1300^2)</f>
      </c>
      <c r="N1300" s="7">
        <f>(K1301-K1299)</f>
      </c>
      <c r="O1300" s="7">
        <f>+(L1301-L1299)</f>
      </c>
      <c r="P1300" s="7">
        <f>SQRT(O1300^2+N1300^2)</f>
      </c>
      <c r="Q1300" s="7">
        <f>N1300/$P1300</f>
      </c>
      <c r="R1300" s="7">
        <f>O1300/$P1300</f>
      </c>
      <c r="S1300" s="8">
        <f>Q1300^2+R1300^2</f>
      </c>
      <c r="T1300" s="7">
        <f>-R1300</f>
      </c>
      <c r="U1300" s="7">
        <f>Q1300</f>
      </c>
      <c r="V1300" s="7">
        <f>($C$14+($C$15-$C$14)/($D$15-$D$14)*(I1300-$D$14))/2</f>
      </c>
      <c r="W1300" s="7">
        <f>($B$22*I1300^4+$C$22*I1300^3+$D$22*I1300^2+$E$22*I1300+$F$22)/2</f>
      </c>
      <c r="X1300" s="7">
        <f>($W1300)*(T1300)</f>
      </c>
      <c r="Y1300" s="7">
        <f>($W1300)*(U1300)</f>
      </c>
      <c r="Z1300" s="7">
        <f>SQRT(X1300^2+Y1300^2)</f>
      </c>
      <c r="AA1300" s="7">
        <f>$K1300+$X1300</f>
      </c>
      <c r="AB1300" s="7">
        <f>$L1300+$Y1300</f>
      </c>
      <c r="AC1300" s="7">
        <f>$K1300-$X1300</f>
      </c>
      <c r="AD1300" s="7">
        <f>$L1300-$Y1300</f>
      </c>
      <c r="AE1300" s="7">
        <f>AA1300/39.3701</f>
      </c>
      <c r="AF1300" s="7">
        <f>AB1300/39.3701</f>
      </c>
      <c r="AG1300" s="7">
        <f>AC1300/39.3701</f>
      </c>
      <c r="AH1300" s="7">
        <f>AD1300/39.3701</f>
      </c>
      <c r="AI1300" s="1"/>
      <c r="AJ1300" s="1"/>
      <c r="AK1300" s="1"/>
      <c r="AL1300" s="1"/>
      <c r="AM1300" s="2"/>
      <c r="AN1300" s="1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  <c r="BA1300" s="1"/>
      <c r="BB1300" s="1"/>
      <c r="BC1300" s="1"/>
      <c r="BD1300" s="1"/>
      <c r="BE1300" s="1"/>
    </row>
    <row x14ac:dyDescent="0.25" r="1301" customHeight="1" ht="18.75">
      <c r="A1301" s="1"/>
      <c r="B1301" s="2"/>
      <c r="C1301" s="2"/>
      <c r="D1301" s="2"/>
      <c r="E1301" s="2"/>
      <c r="F1301" s="2"/>
      <c r="G1301" s="1"/>
      <c r="H1301" s="1"/>
      <c r="I1301" s="7">
        <v>1.298</v>
      </c>
      <c r="J1301" s="7">
        <f>IF((I1301-ROUNDDOWN(I1301,0))=0, 0, (I1301-ROUNDDOWN(I1301,0)))</f>
      </c>
      <c r="K1301" s="7">
        <f>INDIRECT("C$"&amp;2+MIN(2,ROUNDDOWN(I1301,0))*3)*(-$J1301^3+3*$J1301^2-3*$J1301+1)+INDIRECT("C$"&amp;3+MIN(2,ROUNDDOWN(I1301,0))*3)*(3*$J1301^3-6*$J1301^2+3*$J1301)+INDIRECT("C$"&amp;4+MIN(2,ROUNDDOWN(I1301,0))*3)*(-3*$J1301^3+3*$J1301^2)+INDIRECT("C$"&amp;5+MIN(2,ROUNDDOWN(I1301,0))*3)*$J1301^3</f>
      </c>
      <c r="L1301" s="7">
        <f>INDIRECT("D$"&amp;2+MIN(2,ROUNDDOWN(I1301,0))*3)*(-$J1301^3+3*$J1301^2-3*$J1301+1)+INDIRECT("D$"&amp;3+MIN(2,ROUNDDOWN(I1301,0))*3)*(3*$J1301^3-6*$J1301^2+3*$J1301)+INDIRECT("D$"&amp;4+MIN(2,ROUNDDOWN(I1301,0))*3)*(-3*$J1301^3+3*$J1301^2)+INDIRECT("D$"&amp;5+MIN(2,ROUNDDOWN(I1301,0))*3)*$J1301^3</f>
      </c>
      <c r="M1301" s="7">
        <f>SQRT(K1301^2+L1301^2)</f>
      </c>
      <c r="N1301" s="7">
        <f>(K1302-K1300)</f>
      </c>
      <c r="O1301" s="7">
        <f>+(L1302-L1300)</f>
      </c>
      <c r="P1301" s="7">
        <f>SQRT(O1301^2+N1301^2)</f>
      </c>
      <c r="Q1301" s="7">
        <f>N1301/$P1301</f>
      </c>
      <c r="R1301" s="7">
        <f>O1301/$P1301</f>
      </c>
      <c r="S1301" s="8">
        <f>Q1301^2+R1301^2</f>
      </c>
      <c r="T1301" s="7">
        <f>-R1301</f>
      </c>
      <c r="U1301" s="7">
        <f>Q1301</f>
      </c>
      <c r="V1301" s="7">
        <f>($C$14+($C$15-$C$14)/($D$15-$D$14)*(I1301-$D$14))/2</f>
      </c>
      <c r="W1301" s="7">
        <f>($B$22*I1301^4+$C$22*I1301^3+$D$22*I1301^2+$E$22*I1301+$F$22)/2</f>
      </c>
      <c r="X1301" s="7">
        <f>($W1301)*(T1301)</f>
      </c>
      <c r="Y1301" s="7">
        <f>($W1301)*(U1301)</f>
      </c>
      <c r="Z1301" s="7">
        <f>SQRT(X1301^2+Y1301^2)</f>
      </c>
      <c r="AA1301" s="7">
        <f>$K1301+$X1301</f>
      </c>
      <c r="AB1301" s="7">
        <f>$L1301+$Y1301</f>
      </c>
      <c r="AC1301" s="7">
        <f>$K1301-$X1301</f>
      </c>
      <c r="AD1301" s="7">
        <f>$L1301-$Y1301</f>
      </c>
      <c r="AE1301" s="7">
        <f>AA1301/39.3701</f>
      </c>
      <c r="AF1301" s="7">
        <f>AB1301/39.3701</f>
      </c>
      <c r="AG1301" s="7">
        <f>AC1301/39.3701</f>
      </c>
      <c r="AH1301" s="7">
        <f>AD1301/39.3701</f>
      </c>
      <c r="AI1301" s="1"/>
      <c r="AJ1301" s="1"/>
      <c r="AK1301" s="1"/>
      <c r="AL1301" s="1"/>
      <c r="AM1301" s="2"/>
      <c r="AN1301" s="1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  <c r="BA1301" s="1"/>
      <c r="BB1301" s="1"/>
      <c r="BC1301" s="1"/>
      <c r="BD1301" s="1"/>
      <c r="BE1301" s="1"/>
    </row>
    <row x14ac:dyDescent="0.25" r="1302" customHeight="1" ht="18.75">
      <c r="A1302" s="1"/>
      <c r="B1302" s="2"/>
      <c r="C1302" s="2"/>
      <c r="D1302" s="2"/>
      <c r="E1302" s="2"/>
      <c r="F1302" s="2"/>
      <c r="G1302" s="1"/>
      <c r="H1302" s="1"/>
      <c r="I1302" s="7">
        <v>1.299</v>
      </c>
      <c r="J1302" s="7">
        <f>IF((I1302-ROUNDDOWN(I1302,0))=0, 0, (I1302-ROUNDDOWN(I1302,0)))</f>
      </c>
      <c r="K1302" s="7">
        <f>INDIRECT("C$"&amp;2+MIN(2,ROUNDDOWN(I1302,0))*3)*(-$J1302^3+3*$J1302^2-3*$J1302+1)+INDIRECT("C$"&amp;3+MIN(2,ROUNDDOWN(I1302,0))*3)*(3*$J1302^3-6*$J1302^2+3*$J1302)+INDIRECT("C$"&amp;4+MIN(2,ROUNDDOWN(I1302,0))*3)*(-3*$J1302^3+3*$J1302^2)+INDIRECT("C$"&amp;5+MIN(2,ROUNDDOWN(I1302,0))*3)*$J1302^3</f>
      </c>
      <c r="L1302" s="7">
        <f>INDIRECT("D$"&amp;2+MIN(2,ROUNDDOWN(I1302,0))*3)*(-$J1302^3+3*$J1302^2-3*$J1302+1)+INDIRECT("D$"&amp;3+MIN(2,ROUNDDOWN(I1302,0))*3)*(3*$J1302^3-6*$J1302^2+3*$J1302)+INDIRECT("D$"&amp;4+MIN(2,ROUNDDOWN(I1302,0))*3)*(-3*$J1302^3+3*$J1302^2)+INDIRECT("D$"&amp;5+MIN(2,ROUNDDOWN(I1302,0))*3)*$J1302^3</f>
      </c>
      <c r="M1302" s="7">
        <f>SQRT(K1302^2+L1302^2)</f>
      </c>
      <c r="N1302" s="7">
        <f>(K1303-K1301)</f>
      </c>
      <c r="O1302" s="7">
        <f>+(L1303-L1301)</f>
      </c>
      <c r="P1302" s="7">
        <f>SQRT(O1302^2+N1302^2)</f>
      </c>
      <c r="Q1302" s="7">
        <f>N1302/$P1302</f>
      </c>
      <c r="R1302" s="7">
        <f>O1302/$P1302</f>
      </c>
      <c r="S1302" s="7">
        <f>Q1302^2+R1302^2</f>
      </c>
      <c r="T1302" s="7">
        <f>-R1302</f>
      </c>
      <c r="U1302" s="7">
        <f>Q1302</f>
      </c>
      <c r="V1302" s="7">
        <f>($C$14+($C$15-$C$14)/($D$15-$D$14)*(I1302-$D$14))/2</f>
      </c>
      <c r="W1302" s="7">
        <f>($B$22*I1302^4+$C$22*I1302^3+$D$22*I1302^2+$E$22*I1302+$F$22)/2</f>
      </c>
      <c r="X1302" s="7">
        <f>($W1302)*(T1302)</f>
      </c>
      <c r="Y1302" s="7">
        <f>($W1302)*(U1302)</f>
      </c>
      <c r="Z1302" s="7">
        <f>SQRT(X1302^2+Y1302^2)</f>
      </c>
      <c r="AA1302" s="7">
        <f>$K1302+$X1302</f>
      </c>
      <c r="AB1302" s="7">
        <f>$L1302+$Y1302</f>
      </c>
      <c r="AC1302" s="7">
        <f>$K1302-$X1302</f>
      </c>
      <c r="AD1302" s="7">
        <f>$L1302-$Y1302</f>
      </c>
      <c r="AE1302" s="7">
        <f>AA1302/39.3701</f>
      </c>
      <c r="AF1302" s="7">
        <f>AB1302/39.3701</f>
      </c>
      <c r="AG1302" s="7">
        <f>AC1302/39.3701</f>
      </c>
      <c r="AH1302" s="7">
        <f>AD1302/39.3701</f>
      </c>
      <c r="AI1302" s="1"/>
      <c r="AJ1302" s="1"/>
      <c r="AK1302" s="1"/>
      <c r="AL1302" s="1"/>
      <c r="AM1302" s="2"/>
      <c r="AN1302" s="1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  <c r="BA1302" s="1"/>
      <c r="BB1302" s="1"/>
      <c r="BC1302" s="1"/>
      <c r="BD1302" s="1"/>
      <c r="BE1302" s="1"/>
    </row>
    <row x14ac:dyDescent="0.25" r="1303" customHeight="1" ht="18.75">
      <c r="A1303" s="1"/>
      <c r="B1303" s="2"/>
      <c r="C1303" s="2"/>
      <c r="D1303" s="2"/>
      <c r="E1303" s="2"/>
      <c r="F1303" s="2"/>
      <c r="G1303" s="1"/>
      <c r="H1303" s="1"/>
      <c r="I1303" s="7">
        <v>1.3</v>
      </c>
      <c r="J1303" s="7">
        <f>IF((I1303-ROUNDDOWN(I1303,0))=0, 0, (I1303-ROUNDDOWN(I1303,0)))</f>
      </c>
      <c r="K1303" s="7">
        <f>INDIRECT("C$"&amp;2+MIN(2,ROUNDDOWN(I1303,0))*3)*(-$J1303^3+3*$J1303^2-3*$J1303+1)+INDIRECT("C$"&amp;3+MIN(2,ROUNDDOWN(I1303,0))*3)*(3*$J1303^3-6*$J1303^2+3*$J1303)+INDIRECT("C$"&amp;4+MIN(2,ROUNDDOWN(I1303,0))*3)*(-3*$J1303^3+3*$J1303^2)+INDIRECT("C$"&amp;5+MIN(2,ROUNDDOWN(I1303,0))*3)*$J1303^3</f>
      </c>
      <c r="L1303" s="7">
        <f>INDIRECT("D$"&amp;2+MIN(2,ROUNDDOWN(I1303,0))*3)*(-$J1303^3+3*$J1303^2-3*$J1303+1)+INDIRECT("D$"&amp;3+MIN(2,ROUNDDOWN(I1303,0))*3)*(3*$J1303^3-6*$J1303^2+3*$J1303)+INDIRECT("D$"&amp;4+MIN(2,ROUNDDOWN(I1303,0))*3)*(-3*$J1303^3+3*$J1303^2)+INDIRECT("D$"&amp;5+MIN(2,ROUNDDOWN(I1303,0))*3)*$J1303^3</f>
      </c>
      <c r="M1303" s="7">
        <f>SQRT(K1303^2+L1303^2)</f>
      </c>
      <c r="N1303" s="7">
        <f>(K1304-K1302)</f>
      </c>
      <c r="O1303" s="7">
        <f>+(L1304-L1302)</f>
      </c>
      <c r="P1303" s="7">
        <f>SQRT(O1303^2+N1303^2)</f>
      </c>
      <c r="Q1303" s="7">
        <f>N1303/$P1303</f>
      </c>
      <c r="R1303" s="7">
        <f>O1303/$P1303</f>
      </c>
      <c r="S1303" s="8">
        <f>Q1303^2+R1303^2</f>
      </c>
      <c r="T1303" s="7">
        <f>-R1303</f>
      </c>
      <c r="U1303" s="7">
        <f>Q1303</f>
      </c>
      <c r="V1303" s="7">
        <f>($C$14+($C$15-$C$14)/($D$15-$D$14)*(I1303-$D$14))/2</f>
      </c>
      <c r="W1303" s="7">
        <f>($B$22*I1303^4+$C$22*I1303^3+$D$22*I1303^2+$E$22*I1303+$F$22)/2</f>
      </c>
      <c r="X1303" s="7">
        <f>($W1303)*(T1303)</f>
      </c>
      <c r="Y1303" s="7">
        <f>($W1303)*(U1303)</f>
      </c>
      <c r="Z1303" s="7">
        <f>SQRT(X1303^2+Y1303^2)</f>
      </c>
      <c r="AA1303" s="7">
        <f>$K1303+$X1303</f>
      </c>
      <c r="AB1303" s="7">
        <f>$L1303+$Y1303</f>
      </c>
      <c r="AC1303" s="7">
        <f>$K1303-$X1303</f>
      </c>
      <c r="AD1303" s="7">
        <f>$L1303-$Y1303</f>
      </c>
      <c r="AE1303" s="7">
        <f>AA1303/39.3701</f>
      </c>
      <c r="AF1303" s="7">
        <f>AB1303/39.3701</f>
      </c>
      <c r="AG1303" s="7">
        <f>AC1303/39.3701</f>
      </c>
      <c r="AH1303" s="7">
        <f>AD1303/39.3701</f>
      </c>
      <c r="AI1303" s="1"/>
      <c r="AJ1303" s="1"/>
      <c r="AK1303" s="1"/>
      <c r="AL1303" s="1"/>
      <c r="AM1303" s="2"/>
      <c r="AN1303" s="1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  <c r="BA1303" s="1"/>
      <c r="BB1303" s="1"/>
      <c r="BC1303" s="1"/>
      <c r="BD1303" s="1"/>
      <c r="BE1303" s="1"/>
    </row>
    <row x14ac:dyDescent="0.25" r="1304" customHeight="1" ht="18.75">
      <c r="A1304" s="1"/>
      <c r="B1304" s="2"/>
      <c r="C1304" s="2"/>
      <c r="D1304" s="2"/>
      <c r="E1304" s="2"/>
      <c r="F1304" s="2"/>
      <c r="G1304" s="1"/>
      <c r="H1304" s="1"/>
      <c r="I1304" s="7">
        <v>1.301</v>
      </c>
      <c r="J1304" s="7">
        <f>IF((I1304-ROUNDDOWN(I1304,0))=0, 0, (I1304-ROUNDDOWN(I1304,0)))</f>
      </c>
      <c r="K1304" s="7">
        <f>INDIRECT("C$"&amp;2+MIN(2,ROUNDDOWN(I1304,0))*3)*(-$J1304^3+3*$J1304^2-3*$J1304+1)+INDIRECT("C$"&amp;3+MIN(2,ROUNDDOWN(I1304,0))*3)*(3*$J1304^3-6*$J1304^2+3*$J1304)+INDIRECT("C$"&amp;4+MIN(2,ROUNDDOWN(I1304,0))*3)*(-3*$J1304^3+3*$J1304^2)+INDIRECT("C$"&amp;5+MIN(2,ROUNDDOWN(I1304,0))*3)*$J1304^3</f>
      </c>
      <c r="L1304" s="7">
        <f>INDIRECT("D$"&amp;2+MIN(2,ROUNDDOWN(I1304,0))*3)*(-$J1304^3+3*$J1304^2-3*$J1304+1)+INDIRECT("D$"&amp;3+MIN(2,ROUNDDOWN(I1304,0))*3)*(3*$J1304^3-6*$J1304^2+3*$J1304)+INDIRECT("D$"&amp;4+MIN(2,ROUNDDOWN(I1304,0))*3)*(-3*$J1304^3+3*$J1304^2)+INDIRECT("D$"&amp;5+MIN(2,ROUNDDOWN(I1304,0))*3)*$J1304^3</f>
      </c>
      <c r="M1304" s="7">
        <f>SQRT(K1304^2+L1304^2)</f>
      </c>
      <c r="N1304" s="7">
        <f>(K1305-K1303)</f>
      </c>
      <c r="O1304" s="7">
        <f>+(L1305-L1303)</f>
      </c>
      <c r="P1304" s="7">
        <f>SQRT(O1304^2+N1304^2)</f>
      </c>
      <c r="Q1304" s="7">
        <f>N1304/$P1304</f>
      </c>
      <c r="R1304" s="7">
        <f>O1304/$P1304</f>
      </c>
      <c r="S1304" s="8">
        <f>Q1304^2+R1304^2</f>
      </c>
      <c r="T1304" s="7">
        <f>-R1304</f>
      </c>
      <c r="U1304" s="7">
        <f>Q1304</f>
      </c>
      <c r="V1304" s="7">
        <f>($C$14+($C$15-$C$14)/($D$15-$D$14)*(I1304-$D$14))/2</f>
      </c>
      <c r="W1304" s="7">
        <f>($B$22*I1304^4+$C$22*I1304^3+$D$22*I1304^2+$E$22*I1304+$F$22)/2</f>
      </c>
      <c r="X1304" s="7">
        <f>($W1304)*(T1304)</f>
      </c>
      <c r="Y1304" s="7">
        <f>($W1304)*(U1304)</f>
      </c>
      <c r="Z1304" s="7">
        <f>SQRT(X1304^2+Y1304^2)</f>
      </c>
      <c r="AA1304" s="7">
        <f>$K1304+$X1304</f>
      </c>
      <c r="AB1304" s="7">
        <f>$L1304+$Y1304</f>
      </c>
      <c r="AC1304" s="7">
        <f>$K1304-$X1304</f>
      </c>
      <c r="AD1304" s="7">
        <f>$L1304-$Y1304</f>
      </c>
      <c r="AE1304" s="7">
        <f>AA1304/39.3701</f>
      </c>
      <c r="AF1304" s="7">
        <f>AB1304/39.3701</f>
      </c>
      <c r="AG1304" s="7">
        <f>AC1304/39.3701</f>
      </c>
      <c r="AH1304" s="7">
        <f>AD1304/39.3701</f>
      </c>
      <c r="AI1304" s="1"/>
      <c r="AJ1304" s="1"/>
      <c r="AK1304" s="1"/>
      <c r="AL1304" s="1"/>
      <c r="AM1304" s="2"/>
      <c r="AN1304" s="1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  <c r="BA1304" s="1"/>
      <c r="BB1304" s="1"/>
      <c r="BC1304" s="1"/>
      <c r="BD1304" s="1"/>
      <c r="BE1304" s="1"/>
    </row>
    <row x14ac:dyDescent="0.25" r="1305" customHeight="1" ht="18.75">
      <c r="A1305" s="1"/>
      <c r="B1305" s="2"/>
      <c r="C1305" s="2"/>
      <c r="D1305" s="2"/>
      <c r="E1305" s="2"/>
      <c r="F1305" s="2"/>
      <c r="G1305" s="1"/>
      <c r="H1305" s="1"/>
      <c r="I1305" s="7">
        <v>1.302</v>
      </c>
      <c r="J1305" s="7">
        <f>IF((I1305-ROUNDDOWN(I1305,0))=0, 0, (I1305-ROUNDDOWN(I1305,0)))</f>
      </c>
      <c r="K1305" s="7">
        <f>INDIRECT("C$"&amp;2+MIN(2,ROUNDDOWN(I1305,0))*3)*(-$J1305^3+3*$J1305^2-3*$J1305+1)+INDIRECT("C$"&amp;3+MIN(2,ROUNDDOWN(I1305,0))*3)*(3*$J1305^3-6*$J1305^2+3*$J1305)+INDIRECT("C$"&amp;4+MIN(2,ROUNDDOWN(I1305,0))*3)*(-3*$J1305^3+3*$J1305^2)+INDIRECT("C$"&amp;5+MIN(2,ROUNDDOWN(I1305,0))*3)*$J1305^3</f>
      </c>
      <c r="L1305" s="7">
        <f>INDIRECT("D$"&amp;2+MIN(2,ROUNDDOWN(I1305,0))*3)*(-$J1305^3+3*$J1305^2-3*$J1305+1)+INDIRECT("D$"&amp;3+MIN(2,ROUNDDOWN(I1305,0))*3)*(3*$J1305^3-6*$J1305^2+3*$J1305)+INDIRECT("D$"&amp;4+MIN(2,ROUNDDOWN(I1305,0))*3)*(-3*$J1305^3+3*$J1305^2)+INDIRECT("D$"&amp;5+MIN(2,ROUNDDOWN(I1305,0))*3)*$J1305^3</f>
      </c>
      <c r="M1305" s="7">
        <f>SQRT(K1305^2+L1305^2)</f>
      </c>
      <c r="N1305" s="7">
        <f>(K1306-K1304)</f>
      </c>
      <c r="O1305" s="7">
        <f>+(L1306-L1304)</f>
      </c>
      <c r="P1305" s="7">
        <f>SQRT(O1305^2+N1305^2)</f>
      </c>
      <c r="Q1305" s="7">
        <f>N1305/$P1305</f>
      </c>
      <c r="R1305" s="7">
        <f>O1305/$P1305</f>
      </c>
      <c r="S1305" s="7">
        <f>Q1305^2+R1305^2</f>
      </c>
      <c r="T1305" s="7">
        <f>-R1305</f>
      </c>
      <c r="U1305" s="7">
        <f>Q1305</f>
      </c>
      <c r="V1305" s="7">
        <f>($C$14+($C$15-$C$14)/($D$15-$D$14)*(I1305-$D$14))/2</f>
      </c>
      <c r="W1305" s="7">
        <f>($B$22*I1305^4+$C$22*I1305^3+$D$22*I1305^2+$E$22*I1305+$F$22)/2</f>
      </c>
      <c r="X1305" s="7">
        <f>($W1305)*(T1305)</f>
      </c>
      <c r="Y1305" s="7">
        <f>($W1305)*(U1305)</f>
      </c>
      <c r="Z1305" s="7">
        <f>SQRT(X1305^2+Y1305^2)</f>
      </c>
      <c r="AA1305" s="7">
        <f>$K1305+$X1305</f>
      </c>
      <c r="AB1305" s="7">
        <f>$L1305+$Y1305</f>
      </c>
      <c r="AC1305" s="7">
        <f>$K1305-$X1305</f>
      </c>
      <c r="AD1305" s="7">
        <f>$L1305-$Y1305</f>
      </c>
      <c r="AE1305" s="7">
        <f>AA1305/39.3701</f>
      </c>
      <c r="AF1305" s="7">
        <f>AB1305/39.3701</f>
      </c>
      <c r="AG1305" s="7">
        <f>AC1305/39.3701</f>
      </c>
      <c r="AH1305" s="7">
        <f>AD1305/39.3701</f>
      </c>
      <c r="AI1305" s="1"/>
      <c r="AJ1305" s="1"/>
      <c r="AK1305" s="1"/>
      <c r="AL1305" s="1"/>
      <c r="AM1305" s="2"/>
      <c r="AN1305" s="1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  <c r="BA1305" s="1"/>
      <c r="BB1305" s="1"/>
      <c r="BC1305" s="1"/>
      <c r="BD1305" s="1"/>
      <c r="BE1305" s="1"/>
    </row>
    <row x14ac:dyDescent="0.25" r="1306" customHeight="1" ht="18.75">
      <c r="A1306" s="1"/>
      <c r="B1306" s="2"/>
      <c r="C1306" s="2"/>
      <c r="D1306" s="2"/>
      <c r="E1306" s="2"/>
      <c r="F1306" s="2"/>
      <c r="G1306" s="1"/>
      <c r="H1306" s="1"/>
      <c r="I1306" s="7">
        <v>1.303</v>
      </c>
      <c r="J1306" s="7">
        <f>IF((I1306-ROUNDDOWN(I1306,0))=0, 0, (I1306-ROUNDDOWN(I1306,0)))</f>
      </c>
      <c r="K1306" s="7">
        <f>INDIRECT("C$"&amp;2+MIN(2,ROUNDDOWN(I1306,0))*3)*(-$J1306^3+3*$J1306^2-3*$J1306+1)+INDIRECT("C$"&amp;3+MIN(2,ROUNDDOWN(I1306,0))*3)*(3*$J1306^3-6*$J1306^2+3*$J1306)+INDIRECT("C$"&amp;4+MIN(2,ROUNDDOWN(I1306,0))*3)*(-3*$J1306^3+3*$J1306^2)+INDIRECT("C$"&amp;5+MIN(2,ROUNDDOWN(I1306,0))*3)*$J1306^3</f>
      </c>
      <c r="L1306" s="7">
        <f>INDIRECT("D$"&amp;2+MIN(2,ROUNDDOWN(I1306,0))*3)*(-$J1306^3+3*$J1306^2-3*$J1306+1)+INDIRECT("D$"&amp;3+MIN(2,ROUNDDOWN(I1306,0))*3)*(3*$J1306^3-6*$J1306^2+3*$J1306)+INDIRECT("D$"&amp;4+MIN(2,ROUNDDOWN(I1306,0))*3)*(-3*$J1306^3+3*$J1306^2)+INDIRECT("D$"&amp;5+MIN(2,ROUNDDOWN(I1306,0))*3)*$J1306^3</f>
      </c>
      <c r="M1306" s="7">
        <f>SQRT(K1306^2+L1306^2)</f>
      </c>
      <c r="N1306" s="7">
        <f>(K1307-K1305)</f>
      </c>
      <c r="O1306" s="7">
        <f>+(L1307-L1305)</f>
      </c>
      <c r="P1306" s="7">
        <f>SQRT(O1306^2+N1306^2)</f>
      </c>
      <c r="Q1306" s="7">
        <f>N1306/$P1306</f>
      </c>
      <c r="R1306" s="7">
        <f>O1306/$P1306</f>
      </c>
      <c r="S1306" s="8">
        <f>Q1306^2+R1306^2</f>
      </c>
      <c r="T1306" s="7">
        <f>-R1306</f>
      </c>
      <c r="U1306" s="7">
        <f>Q1306</f>
      </c>
      <c r="V1306" s="7">
        <f>($C$14+($C$15-$C$14)/($D$15-$D$14)*(I1306-$D$14))/2</f>
      </c>
      <c r="W1306" s="7">
        <f>($B$22*I1306^4+$C$22*I1306^3+$D$22*I1306^2+$E$22*I1306+$F$22)/2</f>
      </c>
      <c r="X1306" s="7">
        <f>($W1306)*(T1306)</f>
      </c>
      <c r="Y1306" s="7">
        <f>($W1306)*(U1306)</f>
      </c>
      <c r="Z1306" s="7">
        <f>SQRT(X1306^2+Y1306^2)</f>
      </c>
      <c r="AA1306" s="7">
        <f>$K1306+$X1306</f>
      </c>
      <c r="AB1306" s="7">
        <f>$L1306+$Y1306</f>
      </c>
      <c r="AC1306" s="7">
        <f>$K1306-$X1306</f>
      </c>
      <c r="AD1306" s="7">
        <f>$L1306-$Y1306</f>
      </c>
      <c r="AE1306" s="7">
        <f>AA1306/39.3701</f>
      </c>
      <c r="AF1306" s="7">
        <f>AB1306/39.3701</f>
      </c>
      <c r="AG1306" s="7">
        <f>AC1306/39.3701</f>
      </c>
      <c r="AH1306" s="7">
        <f>AD1306/39.3701</f>
      </c>
      <c r="AI1306" s="1"/>
      <c r="AJ1306" s="1"/>
      <c r="AK1306" s="1"/>
      <c r="AL1306" s="1"/>
      <c r="AM1306" s="2"/>
      <c r="AN1306" s="1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  <c r="BA1306" s="1"/>
      <c r="BB1306" s="1"/>
      <c r="BC1306" s="1"/>
      <c r="BD1306" s="1"/>
      <c r="BE1306" s="1"/>
    </row>
    <row x14ac:dyDescent="0.25" r="1307" customHeight="1" ht="18.75">
      <c r="A1307" s="1"/>
      <c r="B1307" s="2"/>
      <c r="C1307" s="2"/>
      <c r="D1307" s="2"/>
      <c r="E1307" s="2"/>
      <c r="F1307" s="2"/>
      <c r="G1307" s="1"/>
      <c r="H1307" s="1"/>
      <c r="I1307" s="7">
        <v>1.304</v>
      </c>
      <c r="J1307" s="7">
        <f>IF((I1307-ROUNDDOWN(I1307,0))=0, 0, (I1307-ROUNDDOWN(I1307,0)))</f>
      </c>
      <c r="K1307" s="7">
        <f>INDIRECT("C$"&amp;2+MIN(2,ROUNDDOWN(I1307,0))*3)*(-$J1307^3+3*$J1307^2-3*$J1307+1)+INDIRECT("C$"&amp;3+MIN(2,ROUNDDOWN(I1307,0))*3)*(3*$J1307^3-6*$J1307^2+3*$J1307)+INDIRECT("C$"&amp;4+MIN(2,ROUNDDOWN(I1307,0))*3)*(-3*$J1307^3+3*$J1307^2)+INDIRECT("C$"&amp;5+MIN(2,ROUNDDOWN(I1307,0))*3)*$J1307^3</f>
      </c>
      <c r="L1307" s="7">
        <f>INDIRECT("D$"&amp;2+MIN(2,ROUNDDOWN(I1307,0))*3)*(-$J1307^3+3*$J1307^2-3*$J1307+1)+INDIRECT("D$"&amp;3+MIN(2,ROUNDDOWN(I1307,0))*3)*(3*$J1307^3-6*$J1307^2+3*$J1307)+INDIRECT("D$"&amp;4+MIN(2,ROUNDDOWN(I1307,0))*3)*(-3*$J1307^3+3*$J1307^2)+INDIRECT("D$"&amp;5+MIN(2,ROUNDDOWN(I1307,0))*3)*$J1307^3</f>
      </c>
      <c r="M1307" s="7">
        <f>SQRT(K1307^2+L1307^2)</f>
      </c>
      <c r="N1307" s="7">
        <f>(K1308-K1306)</f>
      </c>
      <c r="O1307" s="7">
        <f>+(L1308-L1306)</f>
      </c>
      <c r="P1307" s="7">
        <f>SQRT(O1307^2+N1307^2)</f>
      </c>
      <c r="Q1307" s="7">
        <f>N1307/$P1307</f>
      </c>
      <c r="R1307" s="7">
        <f>O1307/$P1307</f>
      </c>
      <c r="S1307" s="8">
        <f>Q1307^2+R1307^2</f>
      </c>
      <c r="T1307" s="7">
        <f>-R1307</f>
      </c>
      <c r="U1307" s="7">
        <f>Q1307</f>
      </c>
      <c r="V1307" s="7">
        <f>($C$14+($C$15-$C$14)/($D$15-$D$14)*(I1307-$D$14))/2</f>
      </c>
      <c r="W1307" s="7">
        <f>($B$22*I1307^4+$C$22*I1307^3+$D$22*I1307^2+$E$22*I1307+$F$22)/2</f>
      </c>
      <c r="X1307" s="7">
        <f>($W1307)*(T1307)</f>
      </c>
      <c r="Y1307" s="7">
        <f>($W1307)*(U1307)</f>
      </c>
      <c r="Z1307" s="7">
        <f>SQRT(X1307^2+Y1307^2)</f>
      </c>
      <c r="AA1307" s="7">
        <f>$K1307+$X1307</f>
      </c>
      <c r="AB1307" s="7">
        <f>$L1307+$Y1307</f>
      </c>
      <c r="AC1307" s="7">
        <f>$K1307-$X1307</f>
      </c>
      <c r="AD1307" s="7">
        <f>$L1307-$Y1307</f>
      </c>
      <c r="AE1307" s="7">
        <f>AA1307/39.3701</f>
      </c>
      <c r="AF1307" s="7">
        <f>AB1307/39.3701</f>
      </c>
      <c r="AG1307" s="7">
        <f>AC1307/39.3701</f>
      </c>
      <c r="AH1307" s="7">
        <f>AD1307/39.3701</f>
      </c>
      <c r="AI1307" s="1"/>
      <c r="AJ1307" s="1"/>
      <c r="AK1307" s="1"/>
      <c r="AL1307" s="1"/>
      <c r="AM1307" s="2"/>
      <c r="AN1307" s="1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  <c r="BA1307" s="1"/>
      <c r="BB1307" s="1"/>
      <c r="BC1307" s="1"/>
      <c r="BD1307" s="1"/>
      <c r="BE1307" s="1"/>
    </row>
    <row x14ac:dyDescent="0.25" r="1308" customHeight="1" ht="18.75">
      <c r="A1308" s="1"/>
      <c r="B1308" s="2"/>
      <c r="C1308" s="2"/>
      <c r="D1308" s="2"/>
      <c r="E1308" s="2"/>
      <c r="F1308" s="2"/>
      <c r="G1308" s="1"/>
      <c r="H1308" s="1"/>
      <c r="I1308" s="7">
        <v>1.305</v>
      </c>
      <c r="J1308" s="7">
        <f>IF((I1308-ROUNDDOWN(I1308,0))=0, 0, (I1308-ROUNDDOWN(I1308,0)))</f>
      </c>
      <c r="K1308" s="7">
        <f>INDIRECT("C$"&amp;2+MIN(2,ROUNDDOWN(I1308,0))*3)*(-$J1308^3+3*$J1308^2-3*$J1308+1)+INDIRECT("C$"&amp;3+MIN(2,ROUNDDOWN(I1308,0))*3)*(3*$J1308^3-6*$J1308^2+3*$J1308)+INDIRECT("C$"&amp;4+MIN(2,ROUNDDOWN(I1308,0))*3)*(-3*$J1308^3+3*$J1308^2)+INDIRECT("C$"&amp;5+MIN(2,ROUNDDOWN(I1308,0))*3)*$J1308^3</f>
      </c>
      <c r="L1308" s="7">
        <f>INDIRECT("D$"&amp;2+MIN(2,ROUNDDOWN(I1308,0))*3)*(-$J1308^3+3*$J1308^2-3*$J1308+1)+INDIRECT("D$"&amp;3+MIN(2,ROUNDDOWN(I1308,0))*3)*(3*$J1308^3-6*$J1308^2+3*$J1308)+INDIRECT("D$"&amp;4+MIN(2,ROUNDDOWN(I1308,0))*3)*(-3*$J1308^3+3*$J1308^2)+INDIRECT("D$"&amp;5+MIN(2,ROUNDDOWN(I1308,0))*3)*$J1308^3</f>
      </c>
      <c r="M1308" s="7">
        <f>SQRT(K1308^2+L1308^2)</f>
      </c>
      <c r="N1308" s="7">
        <f>(K1309-K1307)</f>
      </c>
      <c r="O1308" s="7">
        <f>+(L1309-L1307)</f>
      </c>
      <c r="P1308" s="7">
        <f>SQRT(O1308^2+N1308^2)</f>
      </c>
      <c r="Q1308" s="7">
        <f>N1308/$P1308</f>
      </c>
      <c r="R1308" s="7">
        <f>O1308/$P1308</f>
      </c>
      <c r="S1308" s="8">
        <f>Q1308^2+R1308^2</f>
      </c>
      <c r="T1308" s="7">
        <f>-R1308</f>
      </c>
      <c r="U1308" s="7">
        <f>Q1308</f>
      </c>
      <c r="V1308" s="7">
        <f>($C$14+($C$15-$C$14)/($D$15-$D$14)*(I1308-$D$14))/2</f>
      </c>
      <c r="W1308" s="7">
        <f>($B$22*I1308^4+$C$22*I1308^3+$D$22*I1308^2+$E$22*I1308+$F$22)/2</f>
      </c>
      <c r="X1308" s="7">
        <f>($W1308)*(T1308)</f>
      </c>
      <c r="Y1308" s="7">
        <f>($W1308)*(U1308)</f>
      </c>
      <c r="Z1308" s="7">
        <f>SQRT(X1308^2+Y1308^2)</f>
      </c>
      <c r="AA1308" s="7">
        <f>$K1308+$X1308</f>
      </c>
      <c r="AB1308" s="7">
        <f>$L1308+$Y1308</f>
      </c>
      <c r="AC1308" s="7">
        <f>$K1308-$X1308</f>
      </c>
      <c r="AD1308" s="7">
        <f>$L1308-$Y1308</f>
      </c>
      <c r="AE1308" s="7">
        <f>AA1308/39.3701</f>
      </c>
      <c r="AF1308" s="7">
        <f>AB1308/39.3701</f>
      </c>
      <c r="AG1308" s="7">
        <f>AC1308/39.3701</f>
      </c>
      <c r="AH1308" s="7">
        <f>AD1308/39.3701</f>
      </c>
      <c r="AI1308" s="1"/>
      <c r="AJ1308" s="1"/>
      <c r="AK1308" s="1"/>
      <c r="AL1308" s="1"/>
      <c r="AM1308" s="2"/>
      <c r="AN1308" s="1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  <c r="BA1308" s="1"/>
      <c r="BB1308" s="1"/>
      <c r="BC1308" s="1"/>
      <c r="BD1308" s="1"/>
      <c r="BE1308" s="1"/>
    </row>
    <row x14ac:dyDescent="0.25" r="1309" customHeight="1" ht="18.75">
      <c r="A1309" s="1"/>
      <c r="B1309" s="2"/>
      <c r="C1309" s="2"/>
      <c r="D1309" s="2"/>
      <c r="E1309" s="2"/>
      <c r="F1309" s="2"/>
      <c r="G1309" s="1"/>
      <c r="H1309" s="1"/>
      <c r="I1309" s="7">
        <v>1.306</v>
      </c>
      <c r="J1309" s="7">
        <f>IF((I1309-ROUNDDOWN(I1309,0))=0, 0, (I1309-ROUNDDOWN(I1309,0)))</f>
      </c>
      <c r="K1309" s="7">
        <f>INDIRECT("C$"&amp;2+MIN(2,ROUNDDOWN(I1309,0))*3)*(-$J1309^3+3*$J1309^2-3*$J1309+1)+INDIRECT("C$"&amp;3+MIN(2,ROUNDDOWN(I1309,0))*3)*(3*$J1309^3-6*$J1309^2+3*$J1309)+INDIRECT("C$"&amp;4+MIN(2,ROUNDDOWN(I1309,0))*3)*(-3*$J1309^3+3*$J1309^2)+INDIRECT("C$"&amp;5+MIN(2,ROUNDDOWN(I1309,0))*3)*$J1309^3</f>
      </c>
      <c r="L1309" s="7">
        <f>INDIRECT("D$"&amp;2+MIN(2,ROUNDDOWN(I1309,0))*3)*(-$J1309^3+3*$J1309^2-3*$J1309+1)+INDIRECT("D$"&amp;3+MIN(2,ROUNDDOWN(I1309,0))*3)*(3*$J1309^3-6*$J1309^2+3*$J1309)+INDIRECT("D$"&amp;4+MIN(2,ROUNDDOWN(I1309,0))*3)*(-3*$J1309^3+3*$J1309^2)+INDIRECT("D$"&amp;5+MIN(2,ROUNDDOWN(I1309,0))*3)*$J1309^3</f>
      </c>
      <c r="M1309" s="7">
        <f>SQRT(K1309^2+L1309^2)</f>
      </c>
      <c r="N1309" s="7">
        <f>(K1310-K1308)</f>
      </c>
      <c r="O1309" s="7">
        <f>+(L1310-L1308)</f>
      </c>
      <c r="P1309" s="7">
        <f>SQRT(O1309^2+N1309^2)</f>
      </c>
      <c r="Q1309" s="7">
        <f>N1309/$P1309</f>
      </c>
      <c r="R1309" s="7">
        <f>O1309/$P1309</f>
      </c>
      <c r="S1309" s="7">
        <f>Q1309^2+R1309^2</f>
      </c>
      <c r="T1309" s="7">
        <f>-R1309</f>
      </c>
      <c r="U1309" s="7">
        <f>Q1309</f>
      </c>
      <c r="V1309" s="7">
        <f>($C$14+($C$15-$C$14)/($D$15-$D$14)*(I1309-$D$14))/2</f>
      </c>
      <c r="W1309" s="7">
        <f>($B$22*I1309^4+$C$22*I1309^3+$D$22*I1309^2+$E$22*I1309+$F$22)/2</f>
      </c>
      <c r="X1309" s="7">
        <f>($W1309)*(T1309)</f>
      </c>
      <c r="Y1309" s="7">
        <f>($W1309)*(U1309)</f>
      </c>
      <c r="Z1309" s="7">
        <f>SQRT(X1309^2+Y1309^2)</f>
      </c>
      <c r="AA1309" s="7">
        <f>$K1309+$X1309</f>
      </c>
      <c r="AB1309" s="7">
        <f>$L1309+$Y1309</f>
      </c>
      <c r="AC1309" s="7">
        <f>$K1309-$X1309</f>
      </c>
      <c r="AD1309" s="7">
        <f>$L1309-$Y1309</f>
      </c>
      <c r="AE1309" s="7">
        <f>AA1309/39.3701</f>
      </c>
      <c r="AF1309" s="7">
        <f>AB1309/39.3701</f>
      </c>
      <c r="AG1309" s="7">
        <f>AC1309/39.3701</f>
      </c>
      <c r="AH1309" s="7">
        <f>AD1309/39.3701</f>
      </c>
      <c r="AI1309" s="1"/>
      <c r="AJ1309" s="1"/>
      <c r="AK1309" s="1"/>
      <c r="AL1309" s="1"/>
      <c r="AM1309" s="2"/>
      <c r="AN1309" s="1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  <c r="BA1309" s="1"/>
      <c r="BB1309" s="1"/>
      <c r="BC1309" s="1"/>
      <c r="BD1309" s="1"/>
      <c r="BE1309" s="1"/>
    </row>
    <row x14ac:dyDescent="0.25" r="1310" customHeight="1" ht="18.75">
      <c r="A1310" s="1"/>
      <c r="B1310" s="2"/>
      <c r="C1310" s="2"/>
      <c r="D1310" s="2"/>
      <c r="E1310" s="2"/>
      <c r="F1310" s="2"/>
      <c r="G1310" s="1"/>
      <c r="H1310" s="1"/>
      <c r="I1310" s="7">
        <v>1.307</v>
      </c>
      <c r="J1310" s="7">
        <f>IF((I1310-ROUNDDOWN(I1310,0))=0, 0, (I1310-ROUNDDOWN(I1310,0)))</f>
      </c>
      <c r="K1310" s="7">
        <f>INDIRECT("C$"&amp;2+MIN(2,ROUNDDOWN(I1310,0))*3)*(-$J1310^3+3*$J1310^2-3*$J1310+1)+INDIRECT("C$"&amp;3+MIN(2,ROUNDDOWN(I1310,0))*3)*(3*$J1310^3-6*$J1310^2+3*$J1310)+INDIRECT("C$"&amp;4+MIN(2,ROUNDDOWN(I1310,0))*3)*(-3*$J1310^3+3*$J1310^2)+INDIRECT("C$"&amp;5+MIN(2,ROUNDDOWN(I1310,0))*3)*$J1310^3</f>
      </c>
      <c r="L1310" s="7">
        <f>INDIRECT("D$"&amp;2+MIN(2,ROUNDDOWN(I1310,0))*3)*(-$J1310^3+3*$J1310^2-3*$J1310+1)+INDIRECT("D$"&amp;3+MIN(2,ROUNDDOWN(I1310,0))*3)*(3*$J1310^3-6*$J1310^2+3*$J1310)+INDIRECT("D$"&amp;4+MIN(2,ROUNDDOWN(I1310,0))*3)*(-3*$J1310^3+3*$J1310^2)+INDIRECT("D$"&amp;5+MIN(2,ROUNDDOWN(I1310,0))*3)*$J1310^3</f>
      </c>
      <c r="M1310" s="7">
        <f>SQRT(K1310^2+L1310^2)</f>
      </c>
      <c r="N1310" s="7">
        <f>(K1311-K1309)</f>
      </c>
      <c r="O1310" s="7">
        <f>+(L1311-L1309)</f>
      </c>
      <c r="P1310" s="7">
        <f>SQRT(O1310^2+N1310^2)</f>
      </c>
      <c r="Q1310" s="7">
        <f>N1310/$P1310</f>
      </c>
      <c r="R1310" s="7">
        <f>O1310/$P1310</f>
      </c>
      <c r="S1310" s="8">
        <f>Q1310^2+R1310^2</f>
      </c>
      <c r="T1310" s="7">
        <f>-R1310</f>
      </c>
      <c r="U1310" s="7">
        <f>Q1310</f>
      </c>
      <c r="V1310" s="7">
        <f>($C$14+($C$15-$C$14)/($D$15-$D$14)*(I1310-$D$14))/2</f>
      </c>
      <c r="W1310" s="7">
        <f>($B$22*I1310^4+$C$22*I1310^3+$D$22*I1310^2+$E$22*I1310+$F$22)/2</f>
      </c>
      <c r="X1310" s="7">
        <f>($W1310)*(T1310)</f>
      </c>
      <c r="Y1310" s="7">
        <f>($W1310)*(U1310)</f>
      </c>
      <c r="Z1310" s="7">
        <f>SQRT(X1310^2+Y1310^2)</f>
      </c>
      <c r="AA1310" s="7">
        <f>$K1310+$X1310</f>
      </c>
      <c r="AB1310" s="7">
        <f>$L1310+$Y1310</f>
      </c>
      <c r="AC1310" s="7">
        <f>$K1310-$X1310</f>
      </c>
      <c r="AD1310" s="7">
        <f>$L1310-$Y1310</f>
      </c>
      <c r="AE1310" s="7">
        <f>AA1310/39.3701</f>
      </c>
      <c r="AF1310" s="7">
        <f>AB1310/39.3701</f>
      </c>
      <c r="AG1310" s="7">
        <f>AC1310/39.3701</f>
      </c>
      <c r="AH1310" s="7">
        <f>AD1310/39.3701</f>
      </c>
      <c r="AI1310" s="1"/>
      <c r="AJ1310" s="1"/>
      <c r="AK1310" s="1"/>
      <c r="AL1310" s="1"/>
      <c r="AM1310" s="2"/>
      <c r="AN1310" s="1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  <c r="BA1310" s="1"/>
      <c r="BB1310" s="1"/>
      <c r="BC1310" s="1"/>
      <c r="BD1310" s="1"/>
      <c r="BE1310" s="1"/>
    </row>
    <row x14ac:dyDescent="0.25" r="1311" customHeight="1" ht="18.75">
      <c r="A1311" s="1"/>
      <c r="B1311" s="2"/>
      <c r="C1311" s="2"/>
      <c r="D1311" s="2"/>
      <c r="E1311" s="2"/>
      <c r="F1311" s="2"/>
      <c r="G1311" s="1"/>
      <c r="H1311" s="1"/>
      <c r="I1311" s="7">
        <v>1.308</v>
      </c>
      <c r="J1311" s="7">
        <f>IF((I1311-ROUNDDOWN(I1311,0))=0, 0, (I1311-ROUNDDOWN(I1311,0)))</f>
      </c>
      <c r="K1311" s="7">
        <f>INDIRECT("C$"&amp;2+MIN(2,ROUNDDOWN(I1311,0))*3)*(-$J1311^3+3*$J1311^2-3*$J1311+1)+INDIRECT("C$"&amp;3+MIN(2,ROUNDDOWN(I1311,0))*3)*(3*$J1311^3-6*$J1311^2+3*$J1311)+INDIRECT("C$"&amp;4+MIN(2,ROUNDDOWN(I1311,0))*3)*(-3*$J1311^3+3*$J1311^2)+INDIRECT("C$"&amp;5+MIN(2,ROUNDDOWN(I1311,0))*3)*$J1311^3</f>
      </c>
      <c r="L1311" s="7">
        <f>INDIRECT("D$"&amp;2+MIN(2,ROUNDDOWN(I1311,0))*3)*(-$J1311^3+3*$J1311^2-3*$J1311+1)+INDIRECT("D$"&amp;3+MIN(2,ROUNDDOWN(I1311,0))*3)*(3*$J1311^3-6*$J1311^2+3*$J1311)+INDIRECT("D$"&amp;4+MIN(2,ROUNDDOWN(I1311,0))*3)*(-3*$J1311^3+3*$J1311^2)+INDIRECT("D$"&amp;5+MIN(2,ROUNDDOWN(I1311,0))*3)*$J1311^3</f>
      </c>
      <c r="M1311" s="7">
        <f>SQRT(K1311^2+L1311^2)</f>
      </c>
      <c r="N1311" s="7">
        <f>(K1312-K1310)</f>
      </c>
      <c r="O1311" s="7">
        <f>+(L1312-L1310)</f>
      </c>
      <c r="P1311" s="7">
        <f>SQRT(O1311^2+N1311^2)</f>
      </c>
      <c r="Q1311" s="7">
        <f>N1311/$P1311</f>
      </c>
      <c r="R1311" s="7">
        <f>O1311/$P1311</f>
      </c>
      <c r="S1311" s="7">
        <f>Q1311^2+R1311^2</f>
      </c>
      <c r="T1311" s="7">
        <f>-R1311</f>
      </c>
      <c r="U1311" s="7">
        <f>Q1311</f>
      </c>
      <c r="V1311" s="7">
        <f>($C$14+($C$15-$C$14)/($D$15-$D$14)*(I1311-$D$14))/2</f>
      </c>
      <c r="W1311" s="7">
        <f>($B$22*I1311^4+$C$22*I1311^3+$D$22*I1311^2+$E$22*I1311+$F$22)/2</f>
      </c>
      <c r="X1311" s="7">
        <f>($W1311)*(T1311)</f>
      </c>
      <c r="Y1311" s="7">
        <f>($W1311)*(U1311)</f>
      </c>
      <c r="Z1311" s="7">
        <f>SQRT(X1311^2+Y1311^2)</f>
      </c>
      <c r="AA1311" s="7">
        <f>$K1311+$X1311</f>
      </c>
      <c r="AB1311" s="7">
        <f>$L1311+$Y1311</f>
      </c>
      <c r="AC1311" s="7">
        <f>$K1311-$X1311</f>
      </c>
      <c r="AD1311" s="7">
        <f>$L1311-$Y1311</f>
      </c>
      <c r="AE1311" s="7">
        <f>AA1311/39.3701</f>
      </c>
      <c r="AF1311" s="7">
        <f>AB1311/39.3701</f>
      </c>
      <c r="AG1311" s="7">
        <f>AC1311/39.3701</f>
      </c>
      <c r="AH1311" s="7">
        <f>AD1311/39.3701</f>
      </c>
      <c r="AI1311" s="1"/>
      <c r="AJ1311" s="1"/>
      <c r="AK1311" s="1"/>
      <c r="AL1311" s="1"/>
      <c r="AM1311" s="2"/>
      <c r="AN1311" s="1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  <c r="BA1311" s="1"/>
      <c r="BB1311" s="1"/>
      <c r="BC1311" s="1"/>
      <c r="BD1311" s="1"/>
      <c r="BE1311" s="1"/>
    </row>
    <row x14ac:dyDescent="0.25" r="1312" customHeight="1" ht="18.75">
      <c r="A1312" s="1"/>
      <c r="B1312" s="2"/>
      <c r="C1312" s="2"/>
      <c r="D1312" s="2"/>
      <c r="E1312" s="2"/>
      <c r="F1312" s="2"/>
      <c r="G1312" s="1"/>
      <c r="H1312" s="1"/>
      <c r="I1312" s="7">
        <v>1.309</v>
      </c>
      <c r="J1312" s="7">
        <f>IF((I1312-ROUNDDOWN(I1312,0))=0, 0, (I1312-ROUNDDOWN(I1312,0)))</f>
      </c>
      <c r="K1312" s="7">
        <f>INDIRECT("C$"&amp;2+MIN(2,ROUNDDOWN(I1312,0))*3)*(-$J1312^3+3*$J1312^2-3*$J1312+1)+INDIRECT("C$"&amp;3+MIN(2,ROUNDDOWN(I1312,0))*3)*(3*$J1312^3-6*$J1312^2+3*$J1312)+INDIRECT("C$"&amp;4+MIN(2,ROUNDDOWN(I1312,0))*3)*(-3*$J1312^3+3*$J1312^2)+INDIRECT("C$"&amp;5+MIN(2,ROUNDDOWN(I1312,0))*3)*$J1312^3</f>
      </c>
      <c r="L1312" s="7">
        <f>INDIRECT("D$"&amp;2+MIN(2,ROUNDDOWN(I1312,0))*3)*(-$J1312^3+3*$J1312^2-3*$J1312+1)+INDIRECT("D$"&amp;3+MIN(2,ROUNDDOWN(I1312,0))*3)*(3*$J1312^3-6*$J1312^2+3*$J1312)+INDIRECT("D$"&amp;4+MIN(2,ROUNDDOWN(I1312,0))*3)*(-3*$J1312^3+3*$J1312^2)+INDIRECT("D$"&amp;5+MIN(2,ROUNDDOWN(I1312,0))*3)*$J1312^3</f>
      </c>
      <c r="M1312" s="7">
        <f>SQRT(K1312^2+L1312^2)</f>
      </c>
      <c r="N1312" s="7">
        <f>(K1313-K1311)</f>
      </c>
      <c r="O1312" s="7">
        <f>+(L1313-L1311)</f>
      </c>
      <c r="P1312" s="7">
        <f>SQRT(O1312^2+N1312^2)</f>
      </c>
      <c r="Q1312" s="7">
        <f>N1312/$P1312</f>
      </c>
      <c r="R1312" s="7">
        <f>O1312/$P1312</f>
      </c>
      <c r="S1312" s="7">
        <f>Q1312^2+R1312^2</f>
      </c>
      <c r="T1312" s="7">
        <f>-R1312</f>
      </c>
      <c r="U1312" s="7">
        <f>Q1312</f>
      </c>
      <c r="V1312" s="7">
        <f>($C$14+($C$15-$C$14)/($D$15-$D$14)*(I1312-$D$14))/2</f>
      </c>
      <c r="W1312" s="7">
        <f>($B$22*I1312^4+$C$22*I1312^3+$D$22*I1312^2+$E$22*I1312+$F$22)/2</f>
      </c>
      <c r="X1312" s="7">
        <f>($W1312)*(T1312)</f>
      </c>
      <c r="Y1312" s="7">
        <f>($W1312)*(U1312)</f>
      </c>
      <c r="Z1312" s="7">
        <f>SQRT(X1312^2+Y1312^2)</f>
      </c>
      <c r="AA1312" s="7">
        <f>$K1312+$X1312</f>
      </c>
      <c r="AB1312" s="7">
        <f>$L1312+$Y1312</f>
      </c>
      <c r="AC1312" s="7">
        <f>$K1312-$X1312</f>
      </c>
      <c r="AD1312" s="7">
        <f>$L1312-$Y1312</f>
      </c>
      <c r="AE1312" s="7">
        <f>AA1312/39.3701</f>
      </c>
      <c r="AF1312" s="7">
        <f>AB1312/39.3701</f>
      </c>
      <c r="AG1312" s="7">
        <f>AC1312/39.3701</f>
      </c>
      <c r="AH1312" s="7">
        <f>AD1312/39.3701</f>
      </c>
      <c r="AI1312" s="1"/>
      <c r="AJ1312" s="1"/>
      <c r="AK1312" s="1"/>
      <c r="AL1312" s="1"/>
      <c r="AM1312" s="2"/>
      <c r="AN1312" s="1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  <c r="BA1312" s="1"/>
      <c r="BB1312" s="1"/>
      <c r="BC1312" s="1"/>
      <c r="BD1312" s="1"/>
      <c r="BE1312" s="1"/>
    </row>
    <row x14ac:dyDescent="0.25" r="1313" customHeight="1" ht="18.75">
      <c r="A1313" s="1"/>
      <c r="B1313" s="2"/>
      <c r="C1313" s="2"/>
      <c r="D1313" s="2"/>
      <c r="E1313" s="2"/>
      <c r="F1313" s="2"/>
      <c r="G1313" s="1"/>
      <c r="H1313" s="1"/>
      <c r="I1313" s="7">
        <v>1.31</v>
      </c>
      <c r="J1313" s="7">
        <f>IF((I1313-ROUNDDOWN(I1313,0))=0, 0, (I1313-ROUNDDOWN(I1313,0)))</f>
      </c>
      <c r="K1313" s="7">
        <f>INDIRECT("C$"&amp;2+MIN(2,ROUNDDOWN(I1313,0))*3)*(-$J1313^3+3*$J1313^2-3*$J1313+1)+INDIRECT("C$"&amp;3+MIN(2,ROUNDDOWN(I1313,0))*3)*(3*$J1313^3-6*$J1313^2+3*$J1313)+INDIRECT("C$"&amp;4+MIN(2,ROUNDDOWN(I1313,0))*3)*(-3*$J1313^3+3*$J1313^2)+INDIRECT("C$"&amp;5+MIN(2,ROUNDDOWN(I1313,0))*3)*$J1313^3</f>
      </c>
      <c r="L1313" s="7">
        <f>INDIRECT("D$"&amp;2+MIN(2,ROUNDDOWN(I1313,0))*3)*(-$J1313^3+3*$J1313^2-3*$J1313+1)+INDIRECT("D$"&amp;3+MIN(2,ROUNDDOWN(I1313,0))*3)*(3*$J1313^3-6*$J1313^2+3*$J1313)+INDIRECT("D$"&amp;4+MIN(2,ROUNDDOWN(I1313,0))*3)*(-3*$J1313^3+3*$J1313^2)+INDIRECT("D$"&amp;5+MIN(2,ROUNDDOWN(I1313,0))*3)*$J1313^3</f>
      </c>
      <c r="M1313" s="7">
        <f>SQRT(K1313^2+L1313^2)</f>
      </c>
      <c r="N1313" s="7">
        <f>(K1314-K1312)</f>
      </c>
      <c r="O1313" s="7">
        <f>+(L1314-L1312)</f>
      </c>
      <c r="P1313" s="7">
        <f>SQRT(O1313^2+N1313^2)</f>
      </c>
      <c r="Q1313" s="7">
        <f>N1313/$P1313</f>
      </c>
      <c r="R1313" s="7">
        <f>O1313/$P1313</f>
      </c>
      <c r="S1313" s="7">
        <f>Q1313^2+R1313^2</f>
      </c>
      <c r="T1313" s="7">
        <f>-R1313</f>
      </c>
      <c r="U1313" s="7">
        <f>Q1313</f>
      </c>
      <c r="V1313" s="7">
        <f>($C$14+($C$15-$C$14)/($D$15-$D$14)*(I1313-$D$14))/2</f>
      </c>
      <c r="W1313" s="7">
        <f>($B$22*I1313^4+$C$22*I1313^3+$D$22*I1313^2+$E$22*I1313+$F$22)/2</f>
      </c>
      <c r="X1313" s="7">
        <f>($W1313)*(T1313)</f>
      </c>
      <c r="Y1313" s="7">
        <f>($W1313)*(U1313)</f>
      </c>
      <c r="Z1313" s="7">
        <f>SQRT(X1313^2+Y1313^2)</f>
      </c>
      <c r="AA1313" s="7">
        <f>$K1313+$X1313</f>
      </c>
      <c r="AB1313" s="7">
        <f>$L1313+$Y1313</f>
      </c>
      <c r="AC1313" s="7">
        <f>$K1313-$X1313</f>
      </c>
      <c r="AD1313" s="7">
        <f>$L1313-$Y1313</f>
      </c>
      <c r="AE1313" s="7">
        <f>AA1313/39.3701</f>
      </c>
      <c r="AF1313" s="7">
        <f>AB1313/39.3701</f>
      </c>
      <c r="AG1313" s="7">
        <f>AC1313/39.3701</f>
      </c>
      <c r="AH1313" s="7">
        <f>AD1313/39.3701</f>
      </c>
      <c r="AI1313" s="1"/>
      <c r="AJ1313" s="1"/>
      <c r="AK1313" s="1"/>
      <c r="AL1313" s="1"/>
      <c r="AM1313" s="2"/>
      <c r="AN1313" s="1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  <c r="BA1313" s="1"/>
      <c r="BB1313" s="1"/>
      <c r="BC1313" s="1"/>
      <c r="BD1313" s="1"/>
      <c r="BE1313" s="1"/>
    </row>
    <row x14ac:dyDescent="0.25" r="1314" customHeight="1" ht="18.75">
      <c r="A1314" s="1"/>
      <c r="B1314" s="2"/>
      <c r="C1314" s="2"/>
      <c r="D1314" s="2"/>
      <c r="E1314" s="2"/>
      <c r="F1314" s="2"/>
      <c r="G1314" s="1"/>
      <c r="H1314" s="1"/>
      <c r="I1314" s="7">
        <v>1.311</v>
      </c>
      <c r="J1314" s="7">
        <f>IF((I1314-ROUNDDOWN(I1314,0))=0, 0, (I1314-ROUNDDOWN(I1314,0)))</f>
      </c>
      <c r="K1314" s="7">
        <f>INDIRECT("C$"&amp;2+MIN(2,ROUNDDOWN(I1314,0))*3)*(-$J1314^3+3*$J1314^2-3*$J1314+1)+INDIRECT("C$"&amp;3+MIN(2,ROUNDDOWN(I1314,0))*3)*(3*$J1314^3-6*$J1314^2+3*$J1314)+INDIRECT("C$"&amp;4+MIN(2,ROUNDDOWN(I1314,0))*3)*(-3*$J1314^3+3*$J1314^2)+INDIRECT("C$"&amp;5+MIN(2,ROUNDDOWN(I1314,0))*3)*$J1314^3</f>
      </c>
      <c r="L1314" s="7">
        <f>INDIRECT("D$"&amp;2+MIN(2,ROUNDDOWN(I1314,0))*3)*(-$J1314^3+3*$J1314^2-3*$J1314+1)+INDIRECT("D$"&amp;3+MIN(2,ROUNDDOWN(I1314,0))*3)*(3*$J1314^3-6*$J1314^2+3*$J1314)+INDIRECT("D$"&amp;4+MIN(2,ROUNDDOWN(I1314,0))*3)*(-3*$J1314^3+3*$J1314^2)+INDIRECT("D$"&amp;5+MIN(2,ROUNDDOWN(I1314,0))*3)*$J1314^3</f>
      </c>
      <c r="M1314" s="7">
        <f>SQRT(K1314^2+L1314^2)</f>
      </c>
      <c r="N1314" s="7">
        <f>(K1315-K1313)</f>
      </c>
      <c r="O1314" s="7">
        <f>+(L1315-L1313)</f>
      </c>
      <c r="P1314" s="7">
        <f>SQRT(O1314^2+N1314^2)</f>
      </c>
      <c r="Q1314" s="7">
        <f>N1314/$P1314</f>
      </c>
      <c r="R1314" s="7">
        <f>O1314/$P1314</f>
      </c>
      <c r="S1314" s="8">
        <f>Q1314^2+R1314^2</f>
      </c>
      <c r="T1314" s="7">
        <f>-R1314</f>
      </c>
      <c r="U1314" s="7">
        <f>Q1314</f>
      </c>
      <c r="V1314" s="7">
        <f>($C$14+($C$15-$C$14)/($D$15-$D$14)*(I1314-$D$14))/2</f>
      </c>
      <c r="W1314" s="7">
        <f>($B$22*I1314^4+$C$22*I1314^3+$D$22*I1314^2+$E$22*I1314+$F$22)/2</f>
      </c>
      <c r="X1314" s="7">
        <f>($W1314)*(T1314)</f>
      </c>
      <c r="Y1314" s="7">
        <f>($W1314)*(U1314)</f>
      </c>
      <c r="Z1314" s="7">
        <f>SQRT(X1314^2+Y1314^2)</f>
      </c>
      <c r="AA1314" s="7">
        <f>$K1314+$X1314</f>
      </c>
      <c r="AB1314" s="7">
        <f>$L1314+$Y1314</f>
      </c>
      <c r="AC1314" s="7">
        <f>$K1314-$X1314</f>
      </c>
      <c r="AD1314" s="7">
        <f>$L1314-$Y1314</f>
      </c>
      <c r="AE1314" s="7">
        <f>AA1314/39.3701</f>
      </c>
      <c r="AF1314" s="7">
        <f>AB1314/39.3701</f>
      </c>
      <c r="AG1314" s="7">
        <f>AC1314/39.3701</f>
      </c>
      <c r="AH1314" s="7">
        <f>AD1314/39.3701</f>
      </c>
      <c r="AI1314" s="1"/>
      <c r="AJ1314" s="1"/>
      <c r="AK1314" s="1"/>
      <c r="AL1314" s="1"/>
      <c r="AM1314" s="2"/>
      <c r="AN1314" s="1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  <c r="BA1314" s="1"/>
      <c r="BB1314" s="1"/>
      <c r="BC1314" s="1"/>
      <c r="BD1314" s="1"/>
      <c r="BE1314" s="1"/>
    </row>
    <row x14ac:dyDescent="0.25" r="1315" customHeight="1" ht="18.75">
      <c r="A1315" s="1"/>
      <c r="B1315" s="2"/>
      <c r="C1315" s="2"/>
      <c r="D1315" s="2"/>
      <c r="E1315" s="2"/>
      <c r="F1315" s="2"/>
      <c r="G1315" s="1"/>
      <c r="H1315" s="1"/>
      <c r="I1315" s="7">
        <v>1.312</v>
      </c>
      <c r="J1315" s="7">
        <f>IF((I1315-ROUNDDOWN(I1315,0))=0, 0, (I1315-ROUNDDOWN(I1315,0)))</f>
      </c>
      <c r="K1315" s="7">
        <f>INDIRECT("C$"&amp;2+MIN(2,ROUNDDOWN(I1315,0))*3)*(-$J1315^3+3*$J1315^2-3*$J1315+1)+INDIRECT("C$"&amp;3+MIN(2,ROUNDDOWN(I1315,0))*3)*(3*$J1315^3-6*$J1315^2+3*$J1315)+INDIRECT("C$"&amp;4+MIN(2,ROUNDDOWN(I1315,0))*3)*(-3*$J1315^3+3*$J1315^2)+INDIRECT("C$"&amp;5+MIN(2,ROUNDDOWN(I1315,0))*3)*$J1315^3</f>
      </c>
      <c r="L1315" s="7">
        <f>INDIRECT("D$"&amp;2+MIN(2,ROUNDDOWN(I1315,0))*3)*(-$J1315^3+3*$J1315^2-3*$J1315+1)+INDIRECT("D$"&amp;3+MIN(2,ROUNDDOWN(I1315,0))*3)*(3*$J1315^3-6*$J1315^2+3*$J1315)+INDIRECT("D$"&amp;4+MIN(2,ROUNDDOWN(I1315,0))*3)*(-3*$J1315^3+3*$J1315^2)+INDIRECT("D$"&amp;5+MIN(2,ROUNDDOWN(I1315,0))*3)*$J1315^3</f>
      </c>
      <c r="M1315" s="7">
        <f>SQRT(K1315^2+L1315^2)</f>
      </c>
      <c r="N1315" s="7">
        <f>(K1316-K1314)</f>
      </c>
      <c r="O1315" s="7">
        <f>+(L1316-L1314)</f>
      </c>
      <c r="P1315" s="7">
        <f>SQRT(O1315^2+N1315^2)</f>
      </c>
      <c r="Q1315" s="7">
        <f>N1315/$P1315</f>
      </c>
      <c r="R1315" s="7">
        <f>O1315/$P1315</f>
      </c>
      <c r="S1315" s="7">
        <f>Q1315^2+R1315^2</f>
      </c>
      <c r="T1315" s="7">
        <f>-R1315</f>
      </c>
      <c r="U1315" s="7">
        <f>Q1315</f>
      </c>
      <c r="V1315" s="7">
        <f>($C$14+($C$15-$C$14)/($D$15-$D$14)*(I1315-$D$14))/2</f>
      </c>
      <c r="W1315" s="7">
        <f>($B$22*I1315^4+$C$22*I1315^3+$D$22*I1315^2+$E$22*I1315+$F$22)/2</f>
      </c>
      <c r="X1315" s="7">
        <f>($W1315)*(T1315)</f>
      </c>
      <c r="Y1315" s="7">
        <f>($W1315)*(U1315)</f>
      </c>
      <c r="Z1315" s="7">
        <f>SQRT(X1315^2+Y1315^2)</f>
      </c>
      <c r="AA1315" s="7">
        <f>$K1315+$X1315</f>
      </c>
      <c r="AB1315" s="7">
        <f>$L1315+$Y1315</f>
      </c>
      <c r="AC1315" s="7">
        <f>$K1315-$X1315</f>
      </c>
      <c r="AD1315" s="7">
        <f>$L1315-$Y1315</f>
      </c>
      <c r="AE1315" s="7">
        <f>AA1315/39.3701</f>
      </c>
      <c r="AF1315" s="7">
        <f>AB1315/39.3701</f>
      </c>
      <c r="AG1315" s="7">
        <f>AC1315/39.3701</f>
      </c>
      <c r="AH1315" s="7">
        <f>AD1315/39.3701</f>
      </c>
      <c r="AI1315" s="1"/>
      <c r="AJ1315" s="1"/>
      <c r="AK1315" s="1"/>
      <c r="AL1315" s="1"/>
      <c r="AM1315" s="2"/>
      <c r="AN1315" s="1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  <c r="BA1315" s="1"/>
      <c r="BB1315" s="1"/>
      <c r="BC1315" s="1"/>
      <c r="BD1315" s="1"/>
      <c r="BE1315" s="1"/>
    </row>
    <row x14ac:dyDescent="0.25" r="1316" customHeight="1" ht="18.75">
      <c r="A1316" s="1"/>
      <c r="B1316" s="2"/>
      <c r="C1316" s="2"/>
      <c r="D1316" s="2"/>
      <c r="E1316" s="2"/>
      <c r="F1316" s="2"/>
      <c r="G1316" s="1"/>
      <c r="H1316" s="1"/>
      <c r="I1316" s="7">
        <v>1.313</v>
      </c>
      <c r="J1316" s="7">
        <f>IF((I1316-ROUNDDOWN(I1316,0))=0, 0, (I1316-ROUNDDOWN(I1316,0)))</f>
      </c>
      <c r="K1316" s="7">
        <f>INDIRECT("C$"&amp;2+MIN(2,ROUNDDOWN(I1316,0))*3)*(-$J1316^3+3*$J1316^2-3*$J1316+1)+INDIRECT("C$"&amp;3+MIN(2,ROUNDDOWN(I1316,0))*3)*(3*$J1316^3-6*$J1316^2+3*$J1316)+INDIRECT("C$"&amp;4+MIN(2,ROUNDDOWN(I1316,0))*3)*(-3*$J1316^3+3*$J1316^2)+INDIRECT("C$"&amp;5+MIN(2,ROUNDDOWN(I1316,0))*3)*$J1316^3</f>
      </c>
      <c r="L1316" s="7">
        <f>INDIRECT("D$"&amp;2+MIN(2,ROUNDDOWN(I1316,0))*3)*(-$J1316^3+3*$J1316^2-3*$J1316+1)+INDIRECT("D$"&amp;3+MIN(2,ROUNDDOWN(I1316,0))*3)*(3*$J1316^3-6*$J1316^2+3*$J1316)+INDIRECT("D$"&amp;4+MIN(2,ROUNDDOWN(I1316,0))*3)*(-3*$J1316^3+3*$J1316^2)+INDIRECT("D$"&amp;5+MIN(2,ROUNDDOWN(I1316,0))*3)*$J1316^3</f>
      </c>
      <c r="M1316" s="7">
        <f>SQRT(K1316^2+L1316^2)</f>
      </c>
      <c r="N1316" s="7">
        <f>(K1317-K1315)</f>
      </c>
      <c r="O1316" s="7">
        <f>+(L1317-L1315)</f>
      </c>
      <c r="P1316" s="7">
        <f>SQRT(O1316^2+N1316^2)</f>
      </c>
      <c r="Q1316" s="7">
        <f>N1316/$P1316</f>
      </c>
      <c r="R1316" s="7">
        <f>O1316/$P1316</f>
      </c>
      <c r="S1316" s="8">
        <f>Q1316^2+R1316^2</f>
      </c>
      <c r="T1316" s="7">
        <f>-R1316</f>
      </c>
      <c r="U1316" s="7">
        <f>Q1316</f>
      </c>
      <c r="V1316" s="7">
        <f>($C$14+($C$15-$C$14)/($D$15-$D$14)*(I1316-$D$14))/2</f>
      </c>
      <c r="W1316" s="7">
        <f>($B$22*I1316^4+$C$22*I1316^3+$D$22*I1316^2+$E$22*I1316+$F$22)/2</f>
      </c>
      <c r="X1316" s="7">
        <f>($W1316)*(T1316)</f>
      </c>
      <c r="Y1316" s="7">
        <f>($W1316)*(U1316)</f>
      </c>
      <c r="Z1316" s="7">
        <f>SQRT(X1316^2+Y1316^2)</f>
      </c>
      <c r="AA1316" s="7">
        <f>$K1316+$X1316</f>
      </c>
      <c r="AB1316" s="7">
        <f>$L1316+$Y1316</f>
      </c>
      <c r="AC1316" s="7">
        <f>$K1316-$X1316</f>
      </c>
      <c r="AD1316" s="7">
        <f>$L1316-$Y1316</f>
      </c>
      <c r="AE1316" s="7">
        <f>AA1316/39.3701</f>
      </c>
      <c r="AF1316" s="7">
        <f>AB1316/39.3701</f>
      </c>
      <c r="AG1316" s="7">
        <f>AC1316/39.3701</f>
      </c>
      <c r="AH1316" s="7">
        <f>AD1316/39.3701</f>
      </c>
      <c r="AI1316" s="1"/>
      <c r="AJ1316" s="1"/>
      <c r="AK1316" s="1"/>
      <c r="AL1316" s="1"/>
      <c r="AM1316" s="2"/>
      <c r="AN1316" s="1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  <c r="BA1316" s="1"/>
      <c r="BB1316" s="1"/>
      <c r="BC1316" s="1"/>
      <c r="BD1316" s="1"/>
      <c r="BE1316" s="1"/>
    </row>
    <row x14ac:dyDescent="0.25" r="1317" customHeight="1" ht="18.75">
      <c r="A1317" s="1"/>
      <c r="B1317" s="2"/>
      <c r="C1317" s="2"/>
      <c r="D1317" s="2"/>
      <c r="E1317" s="2"/>
      <c r="F1317" s="2"/>
      <c r="G1317" s="1"/>
      <c r="H1317" s="1"/>
      <c r="I1317" s="7">
        <v>1.314</v>
      </c>
      <c r="J1317" s="7">
        <f>IF((I1317-ROUNDDOWN(I1317,0))=0, 0, (I1317-ROUNDDOWN(I1317,0)))</f>
      </c>
      <c r="K1317" s="7">
        <f>INDIRECT("C$"&amp;2+MIN(2,ROUNDDOWN(I1317,0))*3)*(-$J1317^3+3*$J1317^2-3*$J1317+1)+INDIRECT("C$"&amp;3+MIN(2,ROUNDDOWN(I1317,0))*3)*(3*$J1317^3-6*$J1317^2+3*$J1317)+INDIRECT("C$"&amp;4+MIN(2,ROUNDDOWN(I1317,0))*3)*(-3*$J1317^3+3*$J1317^2)+INDIRECT("C$"&amp;5+MIN(2,ROUNDDOWN(I1317,0))*3)*$J1317^3</f>
      </c>
      <c r="L1317" s="7">
        <f>INDIRECT("D$"&amp;2+MIN(2,ROUNDDOWN(I1317,0))*3)*(-$J1317^3+3*$J1317^2-3*$J1317+1)+INDIRECT("D$"&amp;3+MIN(2,ROUNDDOWN(I1317,0))*3)*(3*$J1317^3-6*$J1317^2+3*$J1317)+INDIRECT("D$"&amp;4+MIN(2,ROUNDDOWN(I1317,0))*3)*(-3*$J1317^3+3*$J1317^2)+INDIRECT("D$"&amp;5+MIN(2,ROUNDDOWN(I1317,0))*3)*$J1317^3</f>
      </c>
      <c r="M1317" s="7">
        <f>SQRT(K1317^2+L1317^2)</f>
      </c>
      <c r="N1317" s="7">
        <f>(K1318-K1316)</f>
      </c>
      <c r="O1317" s="7">
        <f>+(L1318-L1316)</f>
      </c>
      <c r="P1317" s="7">
        <f>SQRT(O1317^2+N1317^2)</f>
      </c>
      <c r="Q1317" s="7">
        <f>N1317/$P1317</f>
      </c>
      <c r="R1317" s="7">
        <f>O1317/$P1317</f>
      </c>
      <c r="S1317" s="8">
        <f>Q1317^2+R1317^2</f>
      </c>
      <c r="T1317" s="7">
        <f>-R1317</f>
      </c>
      <c r="U1317" s="7">
        <f>Q1317</f>
      </c>
      <c r="V1317" s="7">
        <f>($C$14+($C$15-$C$14)/($D$15-$D$14)*(I1317-$D$14))/2</f>
      </c>
      <c r="W1317" s="7">
        <f>($B$22*I1317^4+$C$22*I1317^3+$D$22*I1317^2+$E$22*I1317+$F$22)/2</f>
      </c>
      <c r="X1317" s="7">
        <f>($W1317)*(T1317)</f>
      </c>
      <c r="Y1317" s="7">
        <f>($W1317)*(U1317)</f>
      </c>
      <c r="Z1317" s="7">
        <f>SQRT(X1317^2+Y1317^2)</f>
      </c>
      <c r="AA1317" s="7">
        <f>$K1317+$X1317</f>
      </c>
      <c r="AB1317" s="7">
        <f>$L1317+$Y1317</f>
      </c>
      <c r="AC1317" s="7">
        <f>$K1317-$X1317</f>
      </c>
      <c r="AD1317" s="7">
        <f>$L1317-$Y1317</f>
      </c>
      <c r="AE1317" s="7">
        <f>AA1317/39.3701</f>
      </c>
      <c r="AF1317" s="7">
        <f>AB1317/39.3701</f>
      </c>
      <c r="AG1317" s="7">
        <f>AC1317/39.3701</f>
      </c>
      <c r="AH1317" s="7">
        <f>AD1317/39.3701</f>
      </c>
      <c r="AI1317" s="1"/>
      <c r="AJ1317" s="1"/>
      <c r="AK1317" s="1"/>
      <c r="AL1317" s="1"/>
      <c r="AM1317" s="2"/>
      <c r="AN1317" s="1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  <c r="BA1317" s="1"/>
      <c r="BB1317" s="1"/>
      <c r="BC1317" s="1"/>
      <c r="BD1317" s="1"/>
      <c r="BE1317" s="1"/>
    </row>
    <row x14ac:dyDescent="0.25" r="1318" customHeight="1" ht="18.75">
      <c r="A1318" s="1"/>
      <c r="B1318" s="2"/>
      <c r="C1318" s="2"/>
      <c r="D1318" s="2"/>
      <c r="E1318" s="2"/>
      <c r="F1318" s="2"/>
      <c r="G1318" s="1"/>
      <c r="H1318" s="1"/>
      <c r="I1318" s="7">
        <v>1.315</v>
      </c>
      <c r="J1318" s="7">
        <f>IF((I1318-ROUNDDOWN(I1318,0))=0, 0, (I1318-ROUNDDOWN(I1318,0)))</f>
      </c>
      <c r="K1318" s="7">
        <f>INDIRECT("C$"&amp;2+MIN(2,ROUNDDOWN(I1318,0))*3)*(-$J1318^3+3*$J1318^2-3*$J1318+1)+INDIRECT("C$"&amp;3+MIN(2,ROUNDDOWN(I1318,0))*3)*(3*$J1318^3-6*$J1318^2+3*$J1318)+INDIRECT("C$"&amp;4+MIN(2,ROUNDDOWN(I1318,0))*3)*(-3*$J1318^3+3*$J1318^2)+INDIRECT("C$"&amp;5+MIN(2,ROUNDDOWN(I1318,0))*3)*$J1318^3</f>
      </c>
      <c r="L1318" s="7">
        <f>INDIRECT("D$"&amp;2+MIN(2,ROUNDDOWN(I1318,0))*3)*(-$J1318^3+3*$J1318^2-3*$J1318+1)+INDIRECT("D$"&amp;3+MIN(2,ROUNDDOWN(I1318,0))*3)*(3*$J1318^3-6*$J1318^2+3*$J1318)+INDIRECT("D$"&amp;4+MIN(2,ROUNDDOWN(I1318,0))*3)*(-3*$J1318^3+3*$J1318^2)+INDIRECT("D$"&amp;5+MIN(2,ROUNDDOWN(I1318,0))*3)*$J1318^3</f>
      </c>
      <c r="M1318" s="7">
        <f>SQRT(K1318^2+L1318^2)</f>
      </c>
      <c r="N1318" s="7">
        <f>(K1319-K1317)</f>
      </c>
      <c r="O1318" s="7">
        <f>+(L1319-L1317)</f>
      </c>
      <c r="P1318" s="7">
        <f>SQRT(O1318^2+N1318^2)</f>
      </c>
      <c r="Q1318" s="7">
        <f>N1318/$P1318</f>
      </c>
      <c r="R1318" s="7">
        <f>O1318/$P1318</f>
      </c>
      <c r="S1318" s="7">
        <f>Q1318^2+R1318^2</f>
      </c>
      <c r="T1318" s="7">
        <f>-R1318</f>
      </c>
      <c r="U1318" s="7">
        <f>Q1318</f>
      </c>
      <c r="V1318" s="7">
        <f>($C$14+($C$15-$C$14)/($D$15-$D$14)*(I1318-$D$14))/2</f>
      </c>
      <c r="W1318" s="7">
        <f>($B$22*I1318^4+$C$22*I1318^3+$D$22*I1318^2+$E$22*I1318+$F$22)/2</f>
      </c>
      <c r="X1318" s="7">
        <f>($W1318)*(T1318)</f>
      </c>
      <c r="Y1318" s="7">
        <f>($W1318)*(U1318)</f>
      </c>
      <c r="Z1318" s="7">
        <f>SQRT(X1318^2+Y1318^2)</f>
      </c>
      <c r="AA1318" s="7">
        <f>$K1318+$X1318</f>
      </c>
      <c r="AB1318" s="7">
        <f>$L1318+$Y1318</f>
      </c>
      <c r="AC1318" s="7">
        <f>$K1318-$X1318</f>
      </c>
      <c r="AD1318" s="7">
        <f>$L1318-$Y1318</f>
      </c>
      <c r="AE1318" s="7">
        <f>AA1318/39.3701</f>
      </c>
      <c r="AF1318" s="7">
        <f>AB1318/39.3701</f>
      </c>
      <c r="AG1318" s="7">
        <f>AC1318/39.3701</f>
      </c>
      <c r="AH1318" s="7">
        <f>AD1318/39.3701</f>
      </c>
      <c r="AI1318" s="1"/>
      <c r="AJ1318" s="1"/>
      <c r="AK1318" s="1"/>
      <c r="AL1318" s="1"/>
      <c r="AM1318" s="2"/>
      <c r="AN1318" s="1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  <c r="BA1318" s="1"/>
      <c r="BB1318" s="1"/>
      <c r="BC1318" s="1"/>
      <c r="BD1318" s="1"/>
      <c r="BE1318" s="1"/>
    </row>
    <row x14ac:dyDescent="0.25" r="1319" customHeight="1" ht="18.75">
      <c r="A1319" s="1"/>
      <c r="B1319" s="2"/>
      <c r="C1319" s="2"/>
      <c r="D1319" s="2"/>
      <c r="E1319" s="2"/>
      <c r="F1319" s="2"/>
      <c r="G1319" s="1"/>
      <c r="H1319" s="1"/>
      <c r="I1319" s="7">
        <v>1.316</v>
      </c>
      <c r="J1319" s="7">
        <f>IF((I1319-ROUNDDOWN(I1319,0))=0, 0, (I1319-ROUNDDOWN(I1319,0)))</f>
      </c>
      <c r="K1319" s="7">
        <f>INDIRECT("C$"&amp;2+MIN(2,ROUNDDOWN(I1319,0))*3)*(-$J1319^3+3*$J1319^2-3*$J1319+1)+INDIRECT("C$"&amp;3+MIN(2,ROUNDDOWN(I1319,0))*3)*(3*$J1319^3-6*$J1319^2+3*$J1319)+INDIRECT("C$"&amp;4+MIN(2,ROUNDDOWN(I1319,0))*3)*(-3*$J1319^3+3*$J1319^2)+INDIRECT("C$"&amp;5+MIN(2,ROUNDDOWN(I1319,0))*3)*$J1319^3</f>
      </c>
      <c r="L1319" s="7">
        <f>INDIRECT("D$"&amp;2+MIN(2,ROUNDDOWN(I1319,0))*3)*(-$J1319^3+3*$J1319^2-3*$J1319+1)+INDIRECT("D$"&amp;3+MIN(2,ROUNDDOWN(I1319,0))*3)*(3*$J1319^3-6*$J1319^2+3*$J1319)+INDIRECT("D$"&amp;4+MIN(2,ROUNDDOWN(I1319,0))*3)*(-3*$J1319^3+3*$J1319^2)+INDIRECT("D$"&amp;5+MIN(2,ROUNDDOWN(I1319,0))*3)*$J1319^3</f>
      </c>
      <c r="M1319" s="7">
        <f>SQRT(K1319^2+L1319^2)</f>
      </c>
      <c r="N1319" s="7">
        <f>(K1320-K1318)</f>
      </c>
      <c r="O1319" s="7">
        <f>+(L1320-L1318)</f>
      </c>
      <c r="P1319" s="7">
        <f>SQRT(O1319^2+N1319^2)</f>
      </c>
      <c r="Q1319" s="7">
        <f>N1319/$P1319</f>
      </c>
      <c r="R1319" s="7">
        <f>O1319/$P1319</f>
      </c>
      <c r="S1319" s="8">
        <f>Q1319^2+R1319^2</f>
      </c>
      <c r="T1319" s="7">
        <f>-R1319</f>
      </c>
      <c r="U1319" s="7">
        <f>Q1319</f>
      </c>
      <c r="V1319" s="7">
        <f>($C$14+($C$15-$C$14)/($D$15-$D$14)*(I1319-$D$14))/2</f>
      </c>
      <c r="W1319" s="7">
        <f>($B$22*I1319^4+$C$22*I1319^3+$D$22*I1319^2+$E$22*I1319+$F$22)/2</f>
      </c>
      <c r="X1319" s="7">
        <f>($W1319)*(T1319)</f>
      </c>
      <c r="Y1319" s="7">
        <f>($W1319)*(U1319)</f>
      </c>
      <c r="Z1319" s="7">
        <f>SQRT(X1319^2+Y1319^2)</f>
      </c>
      <c r="AA1319" s="7">
        <f>$K1319+$X1319</f>
      </c>
      <c r="AB1319" s="7">
        <f>$L1319+$Y1319</f>
      </c>
      <c r="AC1319" s="7">
        <f>$K1319-$X1319</f>
      </c>
      <c r="AD1319" s="7">
        <f>$L1319-$Y1319</f>
      </c>
      <c r="AE1319" s="7">
        <f>AA1319/39.3701</f>
      </c>
      <c r="AF1319" s="7">
        <f>AB1319/39.3701</f>
      </c>
      <c r="AG1319" s="7">
        <f>AC1319/39.3701</f>
      </c>
      <c r="AH1319" s="7">
        <f>AD1319/39.3701</f>
      </c>
      <c r="AI1319" s="1"/>
      <c r="AJ1319" s="1"/>
      <c r="AK1319" s="1"/>
      <c r="AL1319" s="1"/>
      <c r="AM1319" s="2"/>
      <c r="AN1319" s="1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  <c r="BA1319" s="1"/>
      <c r="BB1319" s="1"/>
      <c r="BC1319" s="1"/>
      <c r="BD1319" s="1"/>
      <c r="BE1319" s="1"/>
    </row>
    <row x14ac:dyDescent="0.25" r="1320" customHeight="1" ht="18.75">
      <c r="A1320" s="1"/>
      <c r="B1320" s="2"/>
      <c r="C1320" s="2"/>
      <c r="D1320" s="2"/>
      <c r="E1320" s="2"/>
      <c r="F1320" s="2"/>
      <c r="G1320" s="1"/>
      <c r="H1320" s="1"/>
      <c r="I1320" s="7">
        <v>1.317</v>
      </c>
      <c r="J1320" s="7">
        <f>IF((I1320-ROUNDDOWN(I1320,0))=0, 0, (I1320-ROUNDDOWN(I1320,0)))</f>
      </c>
      <c r="K1320" s="7">
        <f>INDIRECT("C$"&amp;2+MIN(2,ROUNDDOWN(I1320,0))*3)*(-$J1320^3+3*$J1320^2-3*$J1320+1)+INDIRECT("C$"&amp;3+MIN(2,ROUNDDOWN(I1320,0))*3)*(3*$J1320^3-6*$J1320^2+3*$J1320)+INDIRECT("C$"&amp;4+MIN(2,ROUNDDOWN(I1320,0))*3)*(-3*$J1320^3+3*$J1320^2)+INDIRECT("C$"&amp;5+MIN(2,ROUNDDOWN(I1320,0))*3)*$J1320^3</f>
      </c>
      <c r="L1320" s="7">
        <f>INDIRECT("D$"&amp;2+MIN(2,ROUNDDOWN(I1320,0))*3)*(-$J1320^3+3*$J1320^2-3*$J1320+1)+INDIRECT("D$"&amp;3+MIN(2,ROUNDDOWN(I1320,0))*3)*(3*$J1320^3-6*$J1320^2+3*$J1320)+INDIRECT("D$"&amp;4+MIN(2,ROUNDDOWN(I1320,0))*3)*(-3*$J1320^3+3*$J1320^2)+INDIRECT("D$"&amp;5+MIN(2,ROUNDDOWN(I1320,0))*3)*$J1320^3</f>
      </c>
      <c r="M1320" s="7">
        <f>SQRT(K1320^2+L1320^2)</f>
      </c>
      <c r="N1320" s="7">
        <f>(K1321-K1319)</f>
      </c>
      <c r="O1320" s="7">
        <f>+(L1321-L1319)</f>
      </c>
      <c r="P1320" s="7">
        <f>SQRT(O1320^2+N1320^2)</f>
      </c>
      <c r="Q1320" s="7">
        <f>N1320/$P1320</f>
      </c>
      <c r="R1320" s="7">
        <f>O1320/$P1320</f>
      </c>
      <c r="S1320" s="7">
        <f>Q1320^2+R1320^2</f>
      </c>
      <c r="T1320" s="7">
        <f>-R1320</f>
      </c>
      <c r="U1320" s="7">
        <f>Q1320</f>
      </c>
      <c r="V1320" s="7">
        <f>($C$14+($C$15-$C$14)/($D$15-$D$14)*(I1320-$D$14))/2</f>
      </c>
      <c r="W1320" s="7">
        <f>($B$22*I1320^4+$C$22*I1320^3+$D$22*I1320^2+$E$22*I1320+$F$22)/2</f>
      </c>
      <c r="X1320" s="7">
        <f>($W1320)*(T1320)</f>
      </c>
      <c r="Y1320" s="7">
        <f>($W1320)*(U1320)</f>
      </c>
      <c r="Z1320" s="7">
        <f>SQRT(X1320^2+Y1320^2)</f>
      </c>
      <c r="AA1320" s="7">
        <f>$K1320+$X1320</f>
      </c>
      <c r="AB1320" s="7">
        <f>$L1320+$Y1320</f>
      </c>
      <c r="AC1320" s="7">
        <f>$K1320-$X1320</f>
      </c>
      <c r="AD1320" s="7">
        <f>$L1320-$Y1320</f>
      </c>
      <c r="AE1320" s="7">
        <f>AA1320/39.3701</f>
      </c>
      <c r="AF1320" s="7">
        <f>AB1320/39.3701</f>
      </c>
      <c r="AG1320" s="7">
        <f>AC1320/39.3701</f>
      </c>
      <c r="AH1320" s="7">
        <f>AD1320/39.3701</f>
      </c>
      <c r="AI1320" s="1"/>
      <c r="AJ1320" s="1"/>
      <c r="AK1320" s="1"/>
      <c r="AL1320" s="1"/>
      <c r="AM1320" s="2"/>
      <c r="AN1320" s="1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  <c r="BA1320" s="1"/>
      <c r="BB1320" s="1"/>
      <c r="BC1320" s="1"/>
      <c r="BD1320" s="1"/>
      <c r="BE1320" s="1"/>
    </row>
    <row x14ac:dyDescent="0.25" r="1321" customHeight="1" ht="18.75">
      <c r="A1321" s="1"/>
      <c r="B1321" s="2"/>
      <c r="C1321" s="2"/>
      <c r="D1321" s="2"/>
      <c r="E1321" s="2"/>
      <c r="F1321" s="2"/>
      <c r="G1321" s="1"/>
      <c r="H1321" s="1"/>
      <c r="I1321" s="7">
        <v>1.318</v>
      </c>
      <c r="J1321" s="7">
        <f>IF((I1321-ROUNDDOWN(I1321,0))=0, 0, (I1321-ROUNDDOWN(I1321,0)))</f>
      </c>
      <c r="K1321" s="7">
        <f>INDIRECT("C$"&amp;2+MIN(2,ROUNDDOWN(I1321,0))*3)*(-$J1321^3+3*$J1321^2-3*$J1321+1)+INDIRECT("C$"&amp;3+MIN(2,ROUNDDOWN(I1321,0))*3)*(3*$J1321^3-6*$J1321^2+3*$J1321)+INDIRECT("C$"&amp;4+MIN(2,ROUNDDOWN(I1321,0))*3)*(-3*$J1321^3+3*$J1321^2)+INDIRECT("C$"&amp;5+MIN(2,ROUNDDOWN(I1321,0))*3)*$J1321^3</f>
      </c>
      <c r="L1321" s="7">
        <f>INDIRECT("D$"&amp;2+MIN(2,ROUNDDOWN(I1321,0))*3)*(-$J1321^3+3*$J1321^2-3*$J1321+1)+INDIRECT("D$"&amp;3+MIN(2,ROUNDDOWN(I1321,0))*3)*(3*$J1321^3-6*$J1321^2+3*$J1321)+INDIRECT("D$"&amp;4+MIN(2,ROUNDDOWN(I1321,0))*3)*(-3*$J1321^3+3*$J1321^2)+INDIRECT("D$"&amp;5+MIN(2,ROUNDDOWN(I1321,0))*3)*$J1321^3</f>
      </c>
      <c r="M1321" s="7">
        <f>SQRT(K1321^2+L1321^2)</f>
      </c>
      <c r="N1321" s="7">
        <f>(K1322-K1320)</f>
      </c>
      <c r="O1321" s="7">
        <f>+(L1322-L1320)</f>
      </c>
      <c r="P1321" s="7">
        <f>SQRT(O1321^2+N1321^2)</f>
      </c>
      <c r="Q1321" s="7">
        <f>N1321/$P1321</f>
      </c>
      <c r="R1321" s="7">
        <f>O1321/$P1321</f>
      </c>
      <c r="S1321" s="8">
        <f>Q1321^2+R1321^2</f>
      </c>
      <c r="T1321" s="7">
        <f>-R1321</f>
      </c>
      <c r="U1321" s="7">
        <f>Q1321</f>
      </c>
      <c r="V1321" s="7">
        <f>($C$14+($C$15-$C$14)/($D$15-$D$14)*(I1321-$D$14))/2</f>
      </c>
      <c r="W1321" s="7">
        <f>($B$22*I1321^4+$C$22*I1321^3+$D$22*I1321^2+$E$22*I1321+$F$22)/2</f>
      </c>
      <c r="X1321" s="7">
        <f>($W1321)*(T1321)</f>
      </c>
      <c r="Y1321" s="7">
        <f>($W1321)*(U1321)</f>
      </c>
      <c r="Z1321" s="7">
        <f>SQRT(X1321^2+Y1321^2)</f>
      </c>
      <c r="AA1321" s="7">
        <f>$K1321+$X1321</f>
      </c>
      <c r="AB1321" s="7">
        <f>$L1321+$Y1321</f>
      </c>
      <c r="AC1321" s="7">
        <f>$K1321-$X1321</f>
      </c>
      <c r="AD1321" s="7">
        <f>$L1321-$Y1321</f>
      </c>
      <c r="AE1321" s="7">
        <f>AA1321/39.3701</f>
      </c>
      <c r="AF1321" s="7">
        <f>AB1321/39.3701</f>
      </c>
      <c r="AG1321" s="7">
        <f>AC1321/39.3701</f>
      </c>
      <c r="AH1321" s="7">
        <f>AD1321/39.3701</f>
      </c>
      <c r="AI1321" s="1"/>
      <c r="AJ1321" s="1"/>
      <c r="AK1321" s="1"/>
      <c r="AL1321" s="1"/>
      <c r="AM1321" s="2"/>
      <c r="AN1321" s="1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  <c r="BA1321" s="1"/>
      <c r="BB1321" s="1"/>
      <c r="BC1321" s="1"/>
      <c r="BD1321" s="1"/>
      <c r="BE1321" s="1"/>
    </row>
    <row x14ac:dyDescent="0.25" r="1322" customHeight="1" ht="18.75">
      <c r="A1322" s="1"/>
      <c r="B1322" s="2"/>
      <c r="C1322" s="2"/>
      <c r="D1322" s="2"/>
      <c r="E1322" s="2"/>
      <c r="F1322" s="2"/>
      <c r="G1322" s="1"/>
      <c r="H1322" s="1"/>
      <c r="I1322" s="7">
        <v>1.319</v>
      </c>
      <c r="J1322" s="7">
        <f>IF((I1322-ROUNDDOWN(I1322,0))=0, 0, (I1322-ROUNDDOWN(I1322,0)))</f>
      </c>
      <c r="K1322" s="7">
        <f>INDIRECT("C$"&amp;2+MIN(2,ROUNDDOWN(I1322,0))*3)*(-$J1322^3+3*$J1322^2-3*$J1322+1)+INDIRECT("C$"&amp;3+MIN(2,ROUNDDOWN(I1322,0))*3)*(3*$J1322^3-6*$J1322^2+3*$J1322)+INDIRECT("C$"&amp;4+MIN(2,ROUNDDOWN(I1322,0))*3)*(-3*$J1322^3+3*$J1322^2)+INDIRECT("C$"&amp;5+MIN(2,ROUNDDOWN(I1322,0))*3)*$J1322^3</f>
      </c>
      <c r="L1322" s="7">
        <f>INDIRECT("D$"&amp;2+MIN(2,ROUNDDOWN(I1322,0))*3)*(-$J1322^3+3*$J1322^2-3*$J1322+1)+INDIRECT("D$"&amp;3+MIN(2,ROUNDDOWN(I1322,0))*3)*(3*$J1322^3-6*$J1322^2+3*$J1322)+INDIRECT("D$"&amp;4+MIN(2,ROUNDDOWN(I1322,0))*3)*(-3*$J1322^3+3*$J1322^2)+INDIRECT("D$"&amp;5+MIN(2,ROUNDDOWN(I1322,0))*3)*$J1322^3</f>
      </c>
      <c r="M1322" s="7">
        <f>SQRT(K1322^2+L1322^2)</f>
      </c>
      <c r="N1322" s="7">
        <f>(K1323-K1321)</f>
      </c>
      <c r="O1322" s="7">
        <f>+(L1323-L1321)</f>
      </c>
      <c r="P1322" s="7">
        <f>SQRT(O1322^2+N1322^2)</f>
      </c>
      <c r="Q1322" s="7">
        <f>N1322/$P1322</f>
      </c>
      <c r="R1322" s="7">
        <f>O1322/$P1322</f>
      </c>
      <c r="S1322" s="7">
        <f>Q1322^2+R1322^2</f>
      </c>
      <c r="T1322" s="7">
        <f>-R1322</f>
      </c>
      <c r="U1322" s="7">
        <f>Q1322</f>
      </c>
      <c r="V1322" s="7">
        <f>($C$14+($C$15-$C$14)/($D$15-$D$14)*(I1322-$D$14))/2</f>
      </c>
      <c r="W1322" s="7">
        <f>($B$22*I1322^4+$C$22*I1322^3+$D$22*I1322^2+$E$22*I1322+$F$22)/2</f>
      </c>
      <c r="X1322" s="7">
        <f>($W1322)*(T1322)</f>
      </c>
      <c r="Y1322" s="7">
        <f>($W1322)*(U1322)</f>
      </c>
      <c r="Z1322" s="7">
        <f>SQRT(X1322^2+Y1322^2)</f>
      </c>
      <c r="AA1322" s="7">
        <f>$K1322+$X1322</f>
      </c>
      <c r="AB1322" s="7">
        <f>$L1322+$Y1322</f>
      </c>
      <c r="AC1322" s="7">
        <f>$K1322-$X1322</f>
      </c>
      <c r="AD1322" s="7">
        <f>$L1322-$Y1322</f>
      </c>
      <c r="AE1322" s="7">
        <f>AA1322/39.3701</f>
      </c>
      <c r="AF1322" s="7">
        <f>AB1322/39.3701</f>
      </c>
      <c r="AG1322" s="7">
        <f>AC1322/39.3701</f>
      </c>
      <c r="AH1322" s="7">
        <f>AD1322/39.3701</f>
      </c>
      <c r="AI1322" s="1"/>
      <c r="AJ1322" s="1"/>
      <c r="AK1322" s="1"/>
      <c r="AL1322" s="1"/>
      <c r="AM1322" s="2"/>
      <c r="AN1322" s="1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  <c r="BA1322" s="1"/>
      <c r="BB1322" s="1"/>
      <c r="BC1322" s="1"/>
      <c r="BD1322" s="1"/>
      <c r="BE1322" s="1"/>
    </row>
    <row x14ac:dyDescent="0.25" r="1323" customHeight="1" ht="18.75">
      <c r="A1323" s="1"/>
      <c r="B1323" s="2"/>
      <c r="C1323" s="2"/>
      <c r="D1323" s="2"/>
      <c r="E1323" s="2"/>
      <c r="F1323" s="2"/>
      <c r="G1323" s="1"/>
      <c r="H1323" s="1"/>
      <c r="I1323" s="7">
        <v>1.32</v>
      </c>
      <c r="J1323" s="7">
        <f>IF((I1323-ROUNDDOWN(I1323,0))=0, 0, (I1323-ROUNDDOWN(I1323,0)))</f>
      </c>
      <c r="K1323" s="7">
        <f>INDIRECT("C$"&amp;2+MIN(2,ROUNDDOWN(I1323,0))*3)*(-$J1323^3+3*$J1323^2-3*$J1323+1)+INDIRECT("C$"&amp;3+MIN(2,ROUNDDOWN(I1323,0))*3)*(3*$J1323^3-6*$J1323^2+3*$J1323)+INDIRECT("C$"&amp;4+MIN(2,ROUNDDOWN(I1323,0))*3)*(-3*$J1323^3+3*$J1323^2)+INDIRECT("C$"&amp;5+MIN(2,ROUNDDOWN(I1323,0))*3)*$J1323^3</f>
      </c>
      <c r="L1323" s="7">
        <f>INDIRECT("D$"&amp;2+MIN(2,ROUNDDOWN(I1323,0))*3)*(-$J1323^3+3*$J1323^2-3*$J1323+1)+INDIRECT("D$"&amp;3+MIN(2,ROUNDDOWN(I1323,0))*3)*(3*$J1323^3-6*$J1323^2+3*$J1323)+INDIRECT("D$"&amp;4+MIN(2,ROUNDDOWN(I1323,0))*3)*(-3*$J1323^3+3*$J1323^2)+INDIRECT("D$"&amp;5+MIN(2,ROUNDDOWN(I1323,0))*3)*$J1323^3</f>
      </c>
      <c r="M1323" s="7">
        <f>SQRT(K1323^2+L1323^2)</f>
      </c>
      <c r="N1323" s="7">
        <f>(K1324-K1322)</f>
      </c>
      <c r="O1323" s="7">
        <f>+(L1324-L1322)</f>
      </c>
      <c r="P1323" s="7">
        <f>SQRT(O1323^2+N1323^2)</f>
      </c>
      <c r="Q1323" s="7">
        <f>N1323/$P1323</f>
      </c>
      <c r="R1323" s="7">
        <f>O1323/$P1323</f>
      </c>
      <c r="S1323" s="7">
        <f>Q1323^2+R1323^2</f>
      </c>
      <c r="T1323" s="7">
        <f>-R1323</f>
      </c>
      <c r="U1323" s="7">
        <f>Q1323</f>
      </c>
      <c r="V1323" s="7">
        <f>($C$14+($C$15-$C$14)/($D$15-$D$14)*(I1323-$D$14))/2</f>
      </c>
      <c r="W1323" s="7">
        <f>($B$22*I1323^4+$C$22*I1323^3+$D$22*I1323^2+$E$22*I1323+$F$22)/2</f>
      </c>
      <c r="X1323" s="7">
        <f>($W1323)*(T1323)</f>
      </c>
      <c r="Y1323" s="7">
        <f>($W1323)*(U1323)</f>
      </c>
      <c r="Z1323" s="7">
        <f>SQRT(X1323^2+Y1323^2)</f>
      </c>
      <c r="AA1323" s="7">
        <f>$K1323+$X1323</f>
      </c>
      <c r="AB1323" s="7">
        <f>$L1323+$Y1323</f>
      </c>
      <c r="AC1323" s="7">
        <f>$K1323-$X1323</f>
      </c>
      <c r="AD1323" s="7">
        <f>$L1323-$Y1323</f>
      </c>
      <c r="AE1323" s="7">
        <f>AA1323/39.3701</f>
      </c>
      <c r="AF1323" s="7">
        <f>AB1323/39.3701</f>
      </c>
      <c r="AG1323" s="7">
        <f>AC1323/39.3701</f>
      </c>
      <c r="AH1323" s="7">
        <f>AD1323/39.3701</f>
      </c>
      <c r="AI1323" s="1"/>
      <c r="AJ1323" s="1"/>
      <c r="AK1323" s="1"/>
      <c r="AL1323" s="1"/>
      <c r="AM1323" s="2"/>
      <c r="AN1323" s="1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  <c r="BA1323" s="1"/>
      <c r="BB1323" s="1"/>
      <c r="BC1323" s="1"/>
      <c r="BD1323" s="1"/>
      <c r="BE1323" s="1"/>
    </row>
    <row x14ac:dyDescent="0.25" r="1324" customHeight="1" ht="18.75">
      <c r="A1324" s="1"/>
      <c r="B1324" s="2"/>
      <c r="C1324" s="2"/>
      <c r="D1324" s="2"/>
      <c r="E1324" s="2"/>
      <c r="F1324" s="2"/>
      <c r="G1324" s="1"/>
      <c r="H1324" s="1"/>
      <c r="I1324" s="7">
        <v>1.321</v>
      </c>
      <c r="J1324" s="7">
        <f>IF((I1324-ROUNDDOWN(I1324,0))=0, 0, (I1324-ROUNDDOWN(I1324,0)))</f>
      </c>
      <c r="K1324" s="7">
        <f>INDIRECT("C$"&amp;2+MIN(2,ROUNDDOWN(I1324,0))*3)*(-$J1324^3+3*$J1324^2-3*$J1324+1)+INDIRECT("C$"&amp;3+MIN(2,ROUNDDOWN(I1324,0))*3)*(3*$J1324^3-6*$J1324^2+3*$J1324)+INDIRECT("C$"&amp;4+MIN(2,ROUNDDOWN(I1324,0))*3)*(-3*$J1324^3+3*$J1324^2)+INDIRECT("C$"&amp;5+MIN(2,ROUNDDOWN(I1324,0))*3)*$J1324^3</f>
      </c>
      <c r="L1324" s="7">
        <f>INDIRECT("D$"&amp;2+MIN(2,ROUNDDOWN(I1324,0))*3)*(-$J1324^3+3*$J1324^2-3*$J1324+1)+INDIRECT("D$"&amp;3+MIN(2,ROUNDDOWN(I1324,0))*3)*(3*$J1324^3-6*$J1324^2+3*$J1324)+INDIRECT("D$"&amp;4+MIN(2,ROUNDDOWN(I1324,0))*3)*(-3*$J1324^3+3*$J1324^2)+INDIRECT("D$"&amp;5+MIN(2,ROUNDDOWN(I1324,0))*3)*$J1324^3</f>
      </c>
      <c r="M1324" s="7">
        <f>SQRT(K1324^2+L1324^2)</f>
      </c>
      <c r="N1324" s="7">
        <f>(K1325-K1323)</f>
      </c>
      <c r="O1324" s="7">
        <f>+(L1325-L1323)</f>
      </c>
      <c r="P1324" s="7">
        <f>SQRT(O1324^2+N1324^2)</f>
      </c>
      <c r="Q1324" s="7">
        <f>N1324/$P1324</f>
      </c>
      <c r="R1324" s="7">
        <f>O1324/$P1324</f>
      </c>
      <c r="S1324" s="7">
        <f>Q1324^2+R1324^2</f>
      </c>
      <c r="T1324" s="7">
        <f>-R1324</f>
      </c>
      <c r="U1324" s="7">
        <f>Q1324</f>
      </c>
      <c r="V1324" s="7">
        <f>($C$14+($C$15-$C$14)/($D$15-$D$14)*(I1324-$D$14))/2</f>
      </c>
      <c r="W1324" s="7">
        <f>($B$22*I1324^4+$C$22*I1324^3+$D$22*I1324^2+$E$22*I1324+$F$22)/2</f>
      </c>
      <c r="X1324" s="7">
        <f>($W1324)*(T1324)</f>
      </c>
      <c r="Y1324" s="7">
        <f>($W1324)*(U1324)</f>
      </c>
      <c r="Z1324" s="7">
        <f>SQRT(X1324^2+Y1324^2)</f>
      </c>
      <c r="AA1324" s="7">
        <f>$K1324+$X1324</f>
      </c>
      <c r="AB1324" s="7">
        <f>$L1324+$Y1324</f>
      </c>
      <c r="AC1324" s="7">
        <f>$K1324-$X1324</f>
      </c>
      <c r="AD1324" s="7">
        <f>$L1324-$Y1324</f>
      </c>
      <c r="AE1324" s="7">
        <f>AA1324/39.3701</f>
      </c>
      <c r="AF1324" s="7">
        <f>AB1324/39.3701</f>
      </c>
      <c r="AG1324" s="7">
        <f>AC1324/39.3701</f>
      </c>
      <c r="AH1324" s="7">
        <f>AD1324/39.3701</f>
      </c>
      <c r="AI1324" s="1"/>
      <c r="AJ1324" s="1"/>
      <c r="AK1324" s="1"/>
      <c r="AL1324" s="1"/>
      <c r="AM1324" s="2"/>
      <c r="AN1324" s="1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  <c r="BA1324" s="1"/>
      <c r="BB1324" s="1"/>
      <c r="BC1324" s="1"/>
      <c r="BD1324" s="1"/>
      <c r="BE1324" s="1"/>
    </row>
    <row x14ac:dyDescent="0.25" r="1325" customHeight="1" ht="18.75">
      <c r="A1325" s="1"/>
      <c r="B1325" s="2"/>
      <c r="C1325" s="2"/>
      <c r="D1325" s="2"/>
      <c r="E1325" s="2"/>
      <c r="F1325" s="2"/>
      <c r="G1325" s="1"/>
      <c r="H1325" s="1"/>
      <c r="I1325" s="7">
        <v>1.322</v>
      </c>
      <c r="J1325" s="7">
        <f>IF((I1325-ROUNDDOWN(I1325,0))=0, 0, (I1325-ROUNDDOWN(I1325,0)))</f>
      </c>
      <c r="K1325" s="7">
        <f>INDIRECT("C$"&amp;2+MIN(2,ROUNDDOWN(I1325,0))*3)*(-$J1325^3+3*$J1325^2-3*$J1325+1)+INDIRECT("C$"&amp;3+MIN(2,ROUNDDOWN(I1325,0))*3)*(3*$J1325^3-6*$J1325^2+3*$J1325)+INDIRECT("C$"&amp;4+MIN(2,ROUNDDOWN(I1325,0))*3)*(-3*$J1325^3+3*$J1325^2)+INDIRECT("C$"&amp;5+MIN(2,ROUNDDOWN(I1325,0))*3)*$J1325^3</f>
      </c>
      <c r="L1325" s="7">
        <f>INDIRECT("D$"&amp;2+MIN(2,ROUNDDOWN(I1325,0))*3)*(-$J1325^3+3*$J1325^2-3*$J1325+1)+INDIRECT("D$"&amp;3+MIN(2,ROUNDDOWN(I1325,0))*3)*(3*$J1325^3-6*$J1325^2+3*$J1325)+INDIRECT("D$"&amp;4+MIN(2,ROUNDDOWN(I1325,0))*3)*(-3*$J1325^3+3*$J1325^2)+INDIRECT("D$"&amp;5+MIN(2,ROUNDDOWN(I1325,0))*3)*$J1325^3</f>
      </c>
      <c r="M1325" s="7">
        <f>SQRT(K1325^2+L1325^2)</f>
      </c>
      <c r="N1325" s="7">
        <f>(K1326-K1324)</f>
      </c>
      <c r="O1325" s="7">
        <f>+(L1326-L1324)</f>
      </c>
      <c r="P1325" s="7">
        <f>SQRT(O1325^2+N1325^2)</f>
      </c>
      <c r="Q1325" s="7">
        <f>N1325/$P1325</f>
      </c>
      <c r="R1325" s="7">
        <f>O1325/$P1325</f>
      </c>
      <c r="S1325" s="7">
        <f>Q1325^2+R1325^2</f>
      </c>
      <c r="T1325" s="7">
        <f>-R1325</f>
      </c>
      <c r="U1325" s="7">
        <f>Q1325</f>
      </c>
      <c r="V1325" s="7">
        <f>($C$14+($C$15-$C$14)/($D$15-$D$14)*(I1325-$D$14))/2</f>
      </c>
      <c r="W1325" s="7">
        <f>($B$22*I1325^4+$C$22*I1325^3+$D$22*I1325^2+$E$22*I1325+$F$22)/2</f>
      </c>
      <c r="X1325" s="7">
        <f>($W1325)*(T1325)</f>
      </c>
      <c r="Y1325" s="7">
        <f>($W1325)*(U1325)</f>
      </c>
      <c r="Z1325" s="7">
        <f>SQRT(X1325^2+Y1325^2)</f>
      </c>
      <c r="AA1325" s="7">
        <f>$K1325+$X1325</f>
      </c>
      <c r="AB1325" s="7">
        <f>$L1325+$Y1325</f>
      </c>
      <c r="AC1325" s="7">
        <f>$K1325-$X1325</f>
      </c>
      <c r="AD1325" s="7">
        <f>$L1325-$Y1325</f>
      </c>
      <c r="AE1325" s="7">
        <f>AA1325/39.3701</f>
      </c>
      <c r="AF1325" s="7">
        <f>AB1325/39.3701</f>
      </c>
      <c r="AG1325" s="7">
        <f>AC1325/39.3701</f>
      </c>
      <c r="AH1325" s="7">
        <f>AD1325/39.3701</f>
      </c>
      <c r="AI1325" s="1"/>
      <c r="AJ1325" s="1"/>
      <c r="AK1325" s="1"/>
      <c r="AL1325" s="1"/>
      <c r="AM1325" s="2"/>
      <c r="AN1325" s="1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  <c r="BA1325" s="1"/>
      <c r="BB1325" s="1"/>
      <c r="BC1325" s="1"/>
      <c r="BD1325" s="1"/>
      <c r="BE1325" s="1"/>
    </row>
    <row x14ac:dyDescent="0.25" r="1326" customHeight="1" ht="18.75">
      <c r="A1326" s="1"/>
      <c r="B1326" s="2"/>
      <c r="C1326" s="2"/>
      <c r="D1326" s="2"/>
      <c r="E1326" s="2"/>
      <c r="F1326" s="2"/>
      <c r="G1326" s="1"/>
      <c r="H1326" s="1"/>
      <c r="I1326" s="7">
        <v>1.323</v>
      </c>
      <c r="J1326" s="7">
        <f>IF((I1326-ROUNDDOWN(I1326,0))=0, 0, (I1326-ROUNDDOWN(I1326,0)))</f>
      </c>
      <c r="K1326" s="7">
        <f>INDIRECT("C$"&amp;2+MIN(2,ROUNDDOWN(I1326,0))*3)*(-$J1326^3+3*$J1326^2-3*$J1326+1)+INDIRECT("C$"&amp;3+MIN(2,ROUNDDOWN(I1326,0))*3)*(3*$J1326^3-6*$J1326^2+3*$J1326)+INDIRECT("C$"&amp;4+MIN(2,ROUNDDOWN(I1326,0))*3)*(-3*$J1326^3+3*$J1326^2)+INDIRECT("C$"&amp;5+MIN(2,ROUNDDOWN(I1326,0))*3)*$J1326^3</f>
      </c>
      <c r="L1326" s="7">
        <f>INDIRECT("D$"&amp;2+MIN(2,ROUNDDOWN(I1326,0))*3)*(-$J1326^3+3*$J1326^2-3*$J1326+1)+INDIRECT("D$"&amp;3+MIN(2,ROUNDDOWN(I1326,0))*3)*(3*$J1326^3-6*$J1326^2+3*$J1326)+INDIRECT("D$"&amp;4+MIN(2,ROUNDDOWN(I1326,0))*3)*(-3*$J1326^3+3*$J1326^2)+INDIRECT("D$"&amp;5+MIN(2,ROUNDDOWN(I1326,0))*3)*$J1326^3</f>
      </c>
      <c r="M1326" s="7">
        <f>SQRT(K1326^2+L1326^2)</f>
      </c>
      <c r="N1326" s="7">
        <f>(K1327-K1325)</f>
      </c>
      <c r="O1326" s="7">
        <f>+(L1327-L1325)</f>
      </c>
      <c r="P1326" s="7">
        <f>SQRT(O1326^2+N1326^2)</f>
      </c>
      <c r="Q1326" s="7">
        <f>N1326/$P1326</f>
      </c>
      <c r="R1326" s="7">
        <f>O1326/$P1326</f>
      </c>
      <c r="S1326" s="8">
        <f>Q1326^2+R1326^2</f>
      </c>
      <c r="T1326" s="7">
        <f>-R1326</f>
      </c>
      <c r="U1326" s="7">
        <f>Q1326</f>
      </c>
      <c r="V1326" s="7">
        <f>($C$14+($C$15-$C$14)/($D$15-$D$14)*(I1326-$D$14))/2</f>
      </c>
      <c r="W1326" s="7">
        <f>($B$22*I1326^4+$C$22*I1326^3+$D$22*I1326^2+$E$22*I1326+$F$22)/2</f>
      </c>
      <c r="X1326" s="7">
        <f>($W1326)*(T1326)</f>
      </c>
      <c r="Y1326" s="7">
        <f>($W1326)*(U1326)</f>
      </c>
      <c r="Z1326" s="7">
        <f>SQRT(X1326^2+Y1326^2)</f>
      </c>
      <c r="AA1326" s="7">
        <f>$K1326+$X1326</f>
      </c>
      <c r="AB1326" s="7">
        <f>$L1326+$Y1326</f>
      </c>
      <c r="AC1326" s="7">
        <f>$K1326-$X1326</f>
      </c>
      <c r="AD1326" s="7">
        <f>$L1326-$Y1326</f>
      </c>
      <c r="AE1326" s="7">
        <f>AA1326/39.3701</f>
      </c>
      <c r="AF1326" s="7">
        <f>AB1326/39.3701</f>
      </c>
      <c r="AG1326" s="7">
        <f>AC1326/39.3701</f>
      </c>
      <c r="AH1326" s="7">
        <f>AD1326/39.3701</f>
      </c>
      <c r="AI1326" s="1"/>
      <c r="AJ1326" s="1"/>
      <c r="AK1326" s="1"/>
      <c r="AL1326" s="1"/>
      <c r="AM1326" s="2"/>
      <c r="AN1326" s="1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  <c r="BA1326" s="1"/>
      <c r="BB1326" s="1"/>
      <c r="BC1326" s="1"/>
      <c r="BD1326" s="1"/>
      <c r="BE1326" s="1"/>
    </row>
    <row x14ac:dyDescent="0.25" r="1327" customHeight="1" ht="18.75">
      <c r="A1327" s="1"/>
      <c r="B1327" s="2"/>
      <c r="C1327" s="2"/>
      <c r="D1327" s="2"/>
      <c r="E1327" s="2"/>
      <c r="F1327" s="2"/>
      <c r="G1327" s="1"/>
      <c r="H1327" s="1"/>
      <c r="I1327" s="7">
        <v>1.324</v>
      </c>
      <c r="J1327" s="7">
        <f>IF((I1327-ROUNDDOWN(I1327,0))=0, 0, (I1327-ROUNDDOWN(I1327,0)))</f>
      </c>
      <c r="K1327" s="7">
        <f>INDIRECT("C$"&amp;2+MIN(2,ROUNDDOWN(I1327,0))*3)*(-$J1327^3+3*$J1327^2-3*$J1327+1)+INDIRECT("C$"&amp;3+MIN(2,ROUNDDOWN(I1327,0))*3)*(3*$J1327^3-6*$J1327^2+3*$J1327)+INDIRECT("C$"&amp;4+MIN(2,ROUNDDOWN(I1327,0))*3)*(-3*$J1327^3+3*$J1327^2)+INDIRECT("C$"&amp;5+MIN(2,ROUNDDOWN(I1327,0))*3)*$J1327^3</f>
      </c>
      <c r="L1327" s="7">
        <f>INDIRECT("D$"&amp;2+MIN(2,ROUNDDOWN(I1327,0))*3)*(-$J1327^3+3*$J1327^2-3*$J1327+1)+INDIRECT("D$"&amp;3+MIN(2,ROUNDDOWN(I1327,0))*3)*(3*$J1327^3-6*$J1327^2+3*$J1327)+INDIRECT("D$"&amp;4+MIN(2,ROUNDDOWN(I1327,0))*3)*(-3*$J1327^3+3*$J1327^2)+INDIRECT("D$"&amp;5+MIN(2,ROUNDDOWN(I1327,0))*3)*$J1327^3</f>
      </c>
      <c r="M1327" s="7">
        <f>SQRT(K1327^2+L1327^2)</f>
      </c>
      <c r="N1327" s="7">
        <f>(K1328-K1326)</f>
      </c>
      <c r="O1327" s="7">
        <f>+(L1328-L1326)</f>
      </c>
      <c r="P1327" s="7">
        <f>SQRT(O1327^2+N1327^2)</f>
      </c>
      <c r="Q1327" s="7">
        <f>N1327/$P1327</f>
      </c>
      <c r="R1327" s="7">
        <f>O1327/$P1327</f>
      </c>
      <c r="S1327" s="7">
        <f>Q1327^2+R1327^2</f>
      </c>
      <c r="T1327" s="7">
        <f>-R1327</f>
      </c>
      <c r="U1327" s="7">
        <f>Q1327</f>
      </c>
      <c r="V1327" s="7">
        <f>($C$14+($C$15-$C$14)/($D$15-$D$14)*(I1327-$D$14))/2</f>
      </c>
      <c r="W1327" s="7">
        <f>($B$22*I1327^4+$C$22*I1327^3+$D$22*I1327^2+$E$22*I1327+$F$22)/2</f>
      </c>
      <c r="X1327" s="7">
        <f>($W1327)*(T1327)</f>
      </c>
      <c r="Y1327" s="7">
        <f>($W1327)*(U1327)</f>
      </c>
      <c r="Z1327" s="7">
        <f>SQRT(X1327^2+Y1327^2)</f>
      </c>
      <c r="AA1327" s="7">
        <f>$K1327+$X1327</f>
      </c>
      <c r="AB1327" s="7">
        <f>$L1327+$Y1327</f>
      </c>
      <c r="AC1327" s="7">
        <f>$K1327-$X1327</f>
      </c>
      <c r="AD1327" s="7">
        <f>$L1327-$Y1327</f>
      </c>
      <c r="AE1327" s="7">
        <f>AA1327/39.3701</f>
      </c>
      <c r="AF1327" s="7">
        <f>AB1327/39.3701</f>
      </c>
      <c r="AG1327" s="7">
        <f>AC1327/39.3701</f>
      </c>
      <c r="AH1327" s="7">
        <f>AD1327/39.3701</f>
      </c>
      <c r="AI1327" s="1"/>
      <c r="AJ1327" s="1"/>
      <c r="AK1327" s="1"/>
      <c r="AL1327" s="1"/>
      <c r="AM1327" s="2"/>
      <c r="AN1327" s="1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  <c r="BA1327" s="1"/>
      <c r="BB1327" s="1"/>
      <c r="BC1327" s="1"/>
      <c r="BD1327" s="1"/>
      <c r="BE1327" s="1"/>
    </row>
    <row x14ac:dyDescent="0.25" r="1328" customHeight="1" ht="18.75">
      <c r="A1328" s="1"/>
      <c r="B1328" s="2"/>
      <c r="C1328" s="2"/>
      <c r="D1328" s="2"/>
      <c r="E1328" s="2"/>
      <c r="F1328" s="2"/>
      <c r="G1328" s="1"/>
      <c r="H1328" s="1"/>
      <c r="I1328" s="7">
        <v>1.325</v>
      </c>
      <c r="J1328" s="7">
        <f>IF((I1328-ROUNDDOWN(I1328,0))=0, 0, (I1328-ROUNDDOWN(I1328,0)))</f>
      </c>
      <c r="K1328" s="7">
        <f>INDIRECT("C$"&amp;2+MIN(2,ROUNDDOWN(I1328,0))*3)*(-$J1328^3+3*$J1328^2-3*$J1328+1)+INDIRECT("C$"&amp;3+MIN(2,ROUNDDOWN(I1328,0))*3)*(3*$J1328^3-6*$J1328^2+3*$J1328)+INDIRECT("C$"&amp;4+MIN(2,ROUNDDOWN(I1328,0))*3)*(-3*$J1328^3+3*$J1328^2)+INDIRECT("C$"&amp;5+MIN(2,ROUNDDOWN(I1328,0))*3)*$J1328^3</f>
      </c>
      <c r="L1328" s="7">
        <f>INDIRECT("D$"&amp;2+MIN(2,ROUNDDOWN(I1328,0))*3)*(-$J1328^3+3*$J1328^2-3*$J1328+1)+INDIRECT("D$"&amp;3+MIN(2,ROUNDDOWN(I1328,0))*3)*(3*$J1328^3-6*$J1328^2+3*$J1328)+INDIRECT("D$"&amp;4+MIN(2,ROUNDDOWN(I1328,0))*3)*(-3*$J1328^3+3*$J1328^2)+INDIRECT("D$"&amp;5+MIN(2,ROUNDDOWN(I1328,0))*3)*$J1328^3</f>
      </c>
      <c r="M1328" s="7">
        <f>SQRT(K1328^2+L1328^2)</f>
      </c>
      <c r="N1328" s="7">
        <f>(K1329-K1327)</f>
      </c>
      <c r="O1328" s="7">
        <f>+(L1329-L1327)</f>
      </c>
      <c r="P1328" s="7">
        <f>SQRT(O1328^2+N1328^2)</f>
      </c>
      <c r="Q1328" s="7">
        <f>N1328/$P1328</f>
      </c>
      <c r="R1328" s="7">
        <f>O1328/$P1328</f>
      </c>
      <c r="S1328" s="7">
        <f>Q1328^2+R1328^2</f>
      </c>
      <c r="T1328" s="7">
        <f>-R1328</f>
      </c>
      <c r="U1328" s="7">
        <f>Q1328</f>
      </c>
      <c r="V1328" s="7">
        <f>($C$14+($C$15-$C$14)/($D$15-$D$14)*(I1328-$D$14))/2</f>
      </c>
      <c r="W1328" s="7">
        <f>($B$22*I1328^4+$C$22*I1328^3+$D$22*I1328^2+$E$22*I1328+$F$22)/2</f>
      </c>
      <c r="X1328" s="7">
        <f>($W1328)*(T1328)</f>
      </c>
      <c r="Y1328" s="7">
        <f>($W1328)*(U1328)</f>
      </c>
      <c r="Z1328" s="7">
        <f>SQRT(X1328^2+Y1328^2)</f>
      </c>
      <c r="AA1328" s="7">
        <f>$K1328+$X1328</f>
      </c>
      <c r="AB1328" s="7">
        <f>$L1328+$Y1328</f>
      </c>
      <c r="AC1328" s="7">
        <f>$K1328-$X1328</f>
      </c>
      <c r="AD1328" s="7">
        <f>$L1328-$Y1328</f>
      </c>
      <c r="AE1328" s="7">
        <f>AA1328/39.3701</f>
      </c>
      <c r="AF1328" s="7">
        <f>AB1328/39.3701</f>
      </c>
      <c r="AG1328" s="7">
        <f>AC1328/39.3701</f>
      </c>
      <c r="AH1328" s="7">
        <f>AD1328/39.3701</f>
      </c>
      <c r="AI1328" s="1"/>
      <c r="AJ1328" s="1"/>
      <c r="AK1328" s="1"/>
      <c r="AL1328" s="1"/>
      <c r="AM1328" s="2"/>
      <c r="AN1328" s="1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  <c r="BA1328" s="1"/>
      <c r="BB1328" s="1"/>
      <c r="BC1328" s="1"/>
      <c r="BD1328" s="1"/>
      <c r="BE1328" s="1"/>
    </row>
    <row x14ac:dyDescent="0.25" r="1329" customHeight="1" ht="18.75">
      <c r="A1329" s="1"/>
      <c r="B1329" s="2"/>
      <c r="C1329" s="2"/>
      <c r="D1329" s="2"/>
      <c r="E1329" s="2"/>
      <c r="F1329" s="2"/>
      <c r="G1329" s="1"/>
      <c r="H1329" s="1"/>
      <c r="I1329" s="7">
        <v>1.326</v>
      </c>
      <c r="J1329" s="7">
        <f>IF((I1329-ROUNDDOWN(I1329,0))=0, 0, (I1329-ROUNDDOWN(I1329,0)))</f>
      </c>
      <c r="K1329" s="7">
        <f>INDIRECT("C$"&amp;2+MIN(2,ROUNDDOWN(I1329,0))*3)*(-$J1329^3+3*$J1329^2-3*$J1329+1)+INDIRECT("C$"&amp;3+MIN(2,ROUNDDOWN(I1329,0))*3)*(3*$J1329^3-6*$J1329^2+3*$J1329)+INDIRECT("C$"&amp;4+MIN(2,ROUNDDOWN(I1329,0))*3)*(-3*$J1329^3+3*$J1329^2)+INDIRECT("C$"&amp;5+MIN(2,ROUNDDOWN(I1329,0))*3)*$J1329^3</f>
      </c>
      <c r="L1329" s="7">
        <f>INDIRECT("D$"&amp;2+MIN(2,ROUNDDOWN(I1329,0))*3)*(-$J1329^3+3*$J1329^2-3*$J1329+1)+INDIRECT("D$"&amp;3+MIN(2,ROUNDDOWN(I1329,0))*3)*(3*$J1329^3-6*$J1329^2+3*$J1329)+INDIRECT("D$"&amp;4+MIN(2,ROUNDDOWN(I1329,0))*3)*(-3*$J1329^3+3*$J1329^2)+INDIRECT("D$"&amp;5+MIN(2,ROUNDDOWN(I1329,0))*3)*$J1329^3</f>
      </c>
      <c r="M1329" s="7">
        <f>SQRT(K1329^2+L1329^2)</f>
      </c>
      <c r="N1329" s="7">
        <f>(K1330-K1328)</f>
      </c>
      <c r="O1329" s="7">
        <f>+(L1330-L1328)</f>
      </c>
      <c r="P1329" s="7">
        <f>SQRT(O1329^2+N1329^2)</f>
      </c>
      <c r="Q1329" s="7">
        <f>N1329/$P1329</f>
      </c>
      <c r="R1329" s="7">
        <f>O1329/$P1329</f>
      </c>
      <c r="S1329" s="8">
        <f>Q1329^2+R1329^2</f>
      </c>
      <c r="T1329" s="7">
        <f>-R1329</f>
      </c>
      <c r="U1329" s="7">
        <f>Q1329</f>
      </c>
      <c r="V1329" s="7">
        <f>($C$14+($C$15-$C$14)/($D$15-$D$14)*(I1329-$D$14))/2</f>
      </c>
      <c r="W1329" s="7">
        <f>($B$22*I1329^4+$C$22*I1329^3+$D$22*I1329^2+$E$22*I1329+$F$22)/2</f>
      </c>
      <c r="X1329" s="7">
        <f>($W1329)*(T1329)</f>
      </c>
      <c r="Y1329" s="7">
        <f>($W1329)*(U1329)</f>
      </c>
      <c r="Z1329" s="7">
        <f>SQRT(X1329^2+Y1329^2)</f>
      </c>
      <c r="AA1329" s="7">
        <f>$K1329+$X1329</f>
      </c>
      <c r="AB1329" s="7">
        <f>$L1329+$Y1329</f>
      </c>
      <c r="AC1329" s="7">
        <f>$K1329-$X1329</f>
      </c>
      <c r="AD1329" s="7">
        <f>$L1329-$Y1329</f>
      </c>
      <c r="AE1329" s="7">
        <f>AA1329/39.3701</f>
      </c>
      <c r="AF1329" s="7">
        <f>AB1329/39.3701</f>
      </c>
      <c r="AG1329" s="7">
        <f>AC1329/39.3701</f>
      </c>
      <c r="AH1329" s="7">
        <f>AD1329/39.3701</f>
      </c>
      <c r="AI1329" s="1"/>
      <c r="AJ1329" s="1"/>
      <c r="AK1329" s="1"/>
      <c r="AL1329" s="1"/>
      <c r="AM1329" s="2"/>
      <c r="AN1329" s="1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  <c r="BA1329" s="1"/>
      <c r="BB1329" s="1"/>
      <c r="BC1329" s="1"/>
      <c r="BD1329" s="1"/>
      <c r="BE1329" s="1"/>
    </row>
    <row x14ac:dyDescent="0.25" r="1330" customHeight="1" ht="18.75">
      <c r="A1330" s="1"/>
      <c r="B1330" s="2"/>
      <c r="C1330" s="2"/>
      <c r="D1330" s="2"/>
      <c r="E1330" s="2"/>
      <c r="F1330" s="2"/>
      <c r="G1330" s="1"/>
      <c r="H1330" s="1"/>
      <c r="I1330" s="7">
        <v>1.327</v>
      </c>
      <c r="J1330" s="7">
        <f>IF((I1330-ROUNDDOWN(I1330,0))=0, 0, (I1330-ROUNDDOWN(I1330,0)))</f>
      </c>
      <c r="K1330" s="7">
        <f>INDIRECT("C$"&amp;2+MIN(2,ROUNDDOWN(I1330,0))*3)*(-$J1330^3+3*$J1330^2-3*$J1330+1)+INDIRECT("C$"&amp;3+MIN(2,ROUNDDOWN(I1330,0))*3)*(3*$J1330^3-6*$J1330^2+3*$J1330)+INDIRECT("C$"&amp;4+MIN(2,ROUNDDOWN(I1330,0))*3)*(-3*$J1330^3+3*$J1330^2)+INDIRECT("C$"&amp;5+MIN(2,ROUNDDOWN(I1330,0))*3)*$J1330^3</f>
      </c>
      <c r="L1330" s="7">
        <f>INDIRECT("D$"&amp;2+MIN(2,ROUNDDOWN(I1330,0))*3)*(-$J1330^3+3*$J1330^2-3*$J1330+1)+INDIRECT("D$"&amp;3+MIN(2,ROUNDDOWN(I1330,0))*3)*(3*$J1330^3-6*$J1330^2+3*$J1330)+INDIRECT("D$"&amp;4+MIN(2,ROUNDDOWN(I1330,0))*3)*(-3*$J1330^3+3*$J1330^2)+INDIRECT("D$"&amp;5+MIN(2,ROUNDDOWN(I1330,0))*3)*$J1330^3</f>
      </c>
      <c r="M1330" s="7">
        <f>SQRT(K1330^2+L1330^2)</f>
      </c>
      <c r="N1330" s="7">
        <f>(K1331-K1329)</f>
      </c>
      <c r="O1330" s="7">
        <f>+(L1331-L1329)</f>
      </c>
      <c r="P1330" s="7">
        <f>SQRT(O1330^2+N1330^2)</f>
      </c>
      <c r="Q1330" s="7">
        <f>N1330/$P1330</f>
      </c>
      <c r="R1330" s="7">
        <f>O1330/$P1330</f>
      </c>
      <c r="S1330" s="7">
        <f>Q1330^2+R1330^2</f>
      </c>
      <c r="T1330" s="7">
        <f>-R1330</f>
      </c>
      <c r="U1330" s="7">
        <f>Q1330</f>
      </c>
      <c r="V1330" s="7">
        <f>($C$14+($C$15-$C$14)/($D$15-$D$14)*(I1330-$D$14))/2</f>
      </c>
      <c r="W1330" s="7">
        <f>($B$22*I1330^4+$C$22*I1330^3+$D$22*I1330^2+$E$22*I1330+$F$22)/2</f>
      </c>
      <c r="X1330" s="7">
        <f>($W1330)*(T1330)</f>
      </c>
      <c r="Y1330" s="7">
        <f>($W1330)*(U1330)</f>
      </c>
      <c r="Z1330" s="7">
        <f>SQRT(X1330^2+Y1330^2)</f>
      </c>
      <c r="AA1330" s="7">
        <f>$K1330+$X1330</f>
      </c>
      <c r="AB1330" s="7">
        <f>$L1330+$Y1330</f>
      </c>
      <c r="AC1330" s="7">
        <f>$K1330-$X1330</f>
      </c>
      <c r="AD1330" s="7">
        <f>$L1330-$Y1330</f>
      </c>
      <c r="AE1330" s="7">
        <f>AA1330/39.3701</f>
      </c>
      <c r="AF1330" s="7">
        <f>AB1330/39.3701</f>
      </c>
      <c r="AG1330" s="7">
        <f>AC1330/39.3701</f>
      </c>
      <c r="AH1330" s="7">
        <f>AD1330/39.3701</f>
      </c>
      <c r="AI1330" s="1"/>
      <c r="AJ1330" s="1"/>
      <c r="AK1330" s="1"/>
      <c r="AL1330" s="1"/>
      <c r="AM1330" s="2"/>
      <c r="AN1330" s="1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  <c r="BA1330" s="1"/>
      <c r="BB1330" s="1"/>
      <c r="BC1330" s="1"/>
      <c r="BD1330" s="1"/>
      <c r="BE1330" s="1"/>
    </row>
    <row x14ac:dyDescent="0.25" r="1331" customHeight="1" ht="18.75">
      <c r="A1331" s="1"/>
      <c r="B1331" s="2"/>
      <c r="C1331" s="2"/>
      <c r="D1331" s="2"/>
      <c r="E1331" s="2"/>
      <c r="F1331" s="2"/>
      <c r="G1331" s="1"/>
      <c r="H1331" s="1"/>
      <c r="I1331" s="7">
        <v>1.328</v>
      </c>
      <c r="J1331" s="7">
        <f>IF((I1331-ROUNDDOWN(I1331,0))=0, 0, (I1331-ROUNDDOWN(I1331,0)))</f>
      </c>
      <c r="K1331" s="7">
        <f>INDIRECT("C$"&amp;2+MIN(2,ROUNDDOWN(I1331,0))*3)*(-$J1331^3+3*$J1331^2-3*$J1331+1)+INDIRECT("C$"&amp;3+MIN(2,ROUNDDOWN(I1331,0))*3)*(3*$J1331^3-6*$J1331^2+3*$J1331)+INDIRECT("C$"&amp;4+MIN(2,ROUNDDOWN(I1331,0))*3)*(-3*$J1331^3+3*$J1331^2)+INDIRECT("C$"&amp;5+MIN(2,ROUNDDOWN(I1331,0))*3)*$J1331^3</f>
      </c>
      <c r="L1331" s="7">
        <f>INDIRECT("D$"&amp;2+MIN(2,ROUNDDOWN(I1331,0))*3)*(-$J1331^3+3*$J1331^2-3*$J1331+1)+INDIRECT("D$"&amp;3+MIN(2,ROUNDDOWN(I1331,0))*3)*(3*$J1331^3-6*$J1331^2+3*$J1331)+INDIRECT("D$"&amp;4+MIN(2,ROUNDDOWN(I1331,0))*3)*(-3*$J1331^3+3*$J1331^2)+INDIRECT("D$"&amp;5+MIN(2,ROUNDDOWN(I1331,0))*3)*$J1331^3</f>
      </c>
      <c r="M1331" s="7">
        <f>SQRT(K1331^2+L1331^2)</f>
      </c>
      <c r="N1331" s="7">
        <f>(K1332-K1330)</f>
      </c>
      <c r="O1331" s="7">
        <f>+(L1332-L1330)</f>
      </c>
      <c r="P1331" s="7">
        <f>SQRT(O1331^2+N1331^2)</f>
      </c>
      <c r="Q1331" s="7">
        <f>N1331/$P1331</f>
      </c>
      <c r="R1331" s="7">
        <f>O1331/$P1331</f>
      </c>
      <c r="S1331" s="8">
        <f>Q1331^2+R1331^2</f>
      </c>
      <c r="T1331" s="7">
        <f>-R1331</f>
      </c>
      <c r="U1331" s="7">
        <f>Q1331</f>
      </c>
      <c r="V1331" s="7">
        <f>($C$14+($C$15-$C$14)/($D$15-$D$14)*(I1331-$D$14))/2</f>
      </c>
      <c r="W1331" s="7">
        <f>($B$22*I1331^4+$C$22*I1331^3+$D$22*I1331^2+$E$22*I1331+$F$22)/2</f>
      </c>
      <c r="X1331" s="7">
        <f>($W1331)*(T1331)</f>
      </c>
      <c r="Y1331" s="7">
        <f>($W1331)*(U1331)</f>
      </c>
      <c r="Z1331" s="7">
        <f>SQRT(X1331^2+Y1331^2)</f>
      </c>
      <c r="AA1331" s="7">
        <f>$K1331+$X1331</f>
      </c>
      <c r="AB1331" s="7">
        <f>$L1331+$Y1331</f>
      </c>
      <c r="AC1331" s="7">
        <f>$K1331-$X1331</f>
      </c>
      <c r="AD1331" s="7">
        <f>$L1331-$Y1331</f>
      </c>
      <c r="AE1331" s="7">
        <f>AA1331/39.3701</f>
      </c>
      <c r="AF1331" s="7">
        <f>AB1331/39.3701</f>
      </c>
      <c r="AG1331" s="7">
        <f>AC1331/39.3701</f>
      </c>
      <c r="AH1331" s="7">
        <f>AD1331/39.3701</f>
      </c>
      <c r="AI1331" s="1"/>
      <c r="AJ1331" s="1"/>
      <c r="AK1331" s="1"/>
      <c r="AL1331" s="1"/>
      <c r="AM1331" s="2"/>
      <c r="AN1331" s="1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  <c r="BA1331" s="1"/>
      <c r="BB1331" s="1"/>
      <c r="BC1331" s="1"/>
      <c r="BD1331" s="1"/>
      <c r="BE1331" s="1"/>
    </row>
    <row x14ac:dyDescent="0.25" r="1332" customHeight="1" ht="18.75">
      <c r="A1332" s="1"/>
      <c r="B1332" s="2"/>
      <c r="C1332" s="2"/>
      <c r="D1332" s="2"/>
      <c r="E1332" s="2"/>
      <c r="F1332" s="2"/>
      <c r="G1332" s="1"/>
      <c r="H1332" s="1"/>
      <c r="I1332" s="7">
        <v>1.329</v>
      </c>
      <c r="J1332" s="7">
        <f>IF((I1332-ROUNDDOWN(I1332,0))=0, 0, (I1332-ROUNDDOWN(I1332,0)))</f>
      </c>
      <c r="K1332" s="7">
        <f>INDIRECT("C$"&amp;2+MIN(2,ROUNDDOWN(I1332,0))*3)*(-$J1332^3+3*$J1332^2-3*$J1332+1)+INDIRECT("C$"&amp;3+MIN(2,ROUNDDOWN(I1332,0))*3)*(3*$J1332^3-6*$J1332^2+3*$J1332)+INDIRECT("C$"&amp;4+MIN(2,ROUNDDOWN(I1332,0))*3)*(-3*$J1332^3+3*$J1332^2)+INDIRECT("C$"&amp;5+MIN(2,ROUNDDOWN(I1332,0))*3)*$J1332^3</f>
      </c>
      <c r="L1332" s="7">
        <f>INDIRECT("D$"&amp;2+MIN(2,ROUNDDOWN(I1332,0))*3)*(-$J1332^3+3*$J1332^2-3*$J1332+1)+INDIRECT("D$"&amp;3+MIN(2,ROUNDDOWN(I1332,0))*3)*(3*$J1332^3-6*$J1332^2+3*$J1332)+INDIRECT("D$"&amp;4+MIN(2,ROUNDDOWN(I1332,0))*3)*(-3*$J1332^3+3*$J1332^2)+INDIRECT("D$"&amp;5+MIN(2,ROUNDDOWN(I1332,0))*3)*$J1332^3</f>
      </c>
      <c r="M1332" s="7">
        <f>SQRT(K1332^2+L1332^2)</f>
      </c>
      <c r="N1332" s="7">
        <f>(K1333-K1331)</f>
      </c>
      <c r="O1332" s="7">
        <f>+(L1333-L1331)</f>
      </c>
      <c r="P1332" s="7">
        <f>SQRT(O1332^2+N1332^2)</f>
      </c>
      <c r="Q1332" s="7">
        <f>N1332/$P1332</f>
      </c>
      <c r="R1332" s="7">
        <f>O1332/$P1332</f>
      </c>
      <c r="S1332" s="8">
        <f>Q1332^2+R1332^2</f>
      </c>
      <c r="T1332" s="7">
        <f>-R1332</f>
      </c>
      <c r="U1332" s="7">
        <f>Q1332</f>
      </c>
      <c r="V1332" s="7">
        <f>($C$14+($C$15-$C$14)/($D$15-$D$14)*(I1332-$D$14))/2</f>
      </c>
      <c r="W1332" s="7">
        <f>($B$22*I1332^4+$C$22*I1332^3+$D$22*I1332^2+$E$22*I1332+$F$22)/2</f>
      </c>
      <c r="X1332" s="7">
        <f>($W1332)*(T1332)</f>
      </c>
      <c r="Y1332" s="7">
        <f>($W1332)*(U1332)</f>
      </c>
      <c r="Z1332" s="7">
        <f>SQRT(X1332^2+Y1332^2)</f>
      </c>
      <c r="AA1332" s="7">
        <f>$K1332+$X1332</f>
      </c>
      <c r="AB1332" s="7">
        <f>$L1332+$Y1332</f>
      </c>
      <c r="AC1332" s="7">
        <f>$K1332-$X1332</f>
      </c>
      <c r="AD1332" s="7">
        <f>$L1332-$Y1332</f>
      </c>
      <c r="AE1332" s="7">
        <f>AA1332/39.3701</f>
      </c>
      <c r="AF1332" s="7">
        <f>AB1332/39.3701</f>
      </c>
      <c r="AG1332" s="7">
        <f>AC1332/39.3701</f>
      </c>
      <c r="AH1332" s="7">
        <f>AD1332/39.3701</f>
      </c>
      <c r="AI1332" s="1"/>
      <c r="AJ1332" s="1"/>
      <c r="AK1332" s="1"/>
      <c r="AL1332" s="1"/>
      <c r="AM1332" s="2"/>
      <c r="AN1332" s="1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  <c r="BA1332" s="1"/>
      <c r="BB1332" s="1"/>
      <c r="BC1332" s="1"/>
      <c r="BD1332" s="1"/>
      <c r="BE1332" s="1"/>
    </row>
    <row x14ac:dyDescent="0.25" r="1333" customHeight="1" ht="18.75">
      <c r="A1333" s="1"/>
      <c r="B1333" s="2"/>
      <c r="C1333" s="2"/>
      <c r="D1333" s="2"/>
      <c r="E1333" s="2"/>
      <c r="F1333" s="2"/>
      <c r="G1333" s="1"/>
      <c r="H1333" s="1"/>
      <c r="I1333" s="7">
        <v>1.33</v>
      </c>
      <c r="J1333" s="7">
        <f>IF((I1333-ROUNDDOWN(I1333,0))=0, 0, (I1333-ROUNDDOWN(I1333,0)))</f>
      </c>
      <c r="K1333" s="7">
        <f>INDIRECT("C$"&amp;2+MIN(2,ROUNDDOWN(I1333,0))*3)*(-$J1333^3+3*$J1333^2-3*$J1333+1)+INDIRECT("C$"&amp;3+MIN(2,ROUNDDOWN(I1333,0))*3)*(3*$J1333^3-6*$J1333^2+3*$J1333)+INDIRECT("C$"&amp;4+MIN(2,ROUNDDOWN(I1333,0))*3)*(-3*$J1333^3+3*$J1333^2)+INDIRECT("C$"&amp;5+MIN(2,ROUNDDOWN(I1333,0))*3)*$J1333^3</f>
      </c>
      <c r="L1333" s="7">
        <f>INDIRECT("D$"&amp;2+MIN(2,ROUNDDOWN(I1333,0))*3)*(-$J1333^3+3*$J1333^2-3*$J1333+1)+INDIRECT("D$"&amp;3+MIN(2,ROUNDDOWN(I1333,0))*3)*(3*$J1333^3-6*$J1333^2+3*$J1333)+INDIRECT("D$"&amp;4+MIN(2,ROUNDDOWN(I1333,0))*3)*(-3*$J1333^3+3*$J1333^2)+INDIRECT("D$"&amp;5+MIN(2,ROUNDDOWN(I1333,0))*3)*$J1333^3</f>
      </c>
      <c r="M1333" s="7">
        <f>SQRT(K1333^2+L1333^2)</f>
      </c>
      <c r="N1333" s="7">
        <f>(K1334-K1332)</f>
      </c>
      <c r="O1333" s="7">
        <f>+(L1334-L1332)</f>
      </c>
      <c r="P1333" s="7">
        <f>SQRT(O1333^2+N1333^2)</f>
      </c>
      <c r="Q1333" s="7">
        <f>N1333/$P1333</f>
      </c>
      <c r="R1333" s="7">
        <f>O1333/$P1333</f>
      </c>
      <c r="S1333" s="7">
        <f>Q1333^2+R1333^2</f>
      </c>
      <c r="T1333" s="7">
        <f>-R1333</f>
      </c>
      <c r="U1333" s="7">
        <f>Q1333</f>
      </c>
      <c r="V1333" s="7">
        <f>($C$14+($C$15-$C$14)/($D$15-$D$14)*(I1333-$D$14))/2</f>
      </c>
      <c r="W1333" s="7">
        <f>($B$22*I1333^4+$C$22*I1333^3+$D$22*I1333^2+$E$22*I1333+$F$22)/2</f>
      </c>
      <c r="X1333" s="7">
        <f>($W1333)*(T1333)</f>
      </c>
      <c r="Y1333" s="7">
        <f>($W1333)*(U1333)</f>
      </c>
      <c r="Z1333" s="7">
        <f>SQRT(X1333^2+Y1333^2)</f>
      </c>
      <c r="AA1333" s="7">
        <f>$K1333+$X1333</f>
      </c>
      <c r="AB1333" s="7">
        <f>$L1333+$Y1333</f>
      </c>
      <c r="AC1333" s="7">
        <f>$K1333-$X1333</f>
      </c>
      <c r="AD1333" s="7">
        <f>$L1333-$Y1333</f>
      </c>
      <c r="AE1333" s="7">
        <f>AA1333/39.3701</f>
      </c>
      <c r="AF1333" s="7">
        <f>AB1333/39.3701</f>
      </c>
      <c r="AG1333" s="7">
        <f>AC1333/39.3701</f>
      </c>
      <c r="AH1333" s="7">
        <f>AD1333/39.3701</f>
      </c>
      <c r="AI1333" s="1"/>
      <c r="AJ1333" s="1"/>
      <c r="AK1333" s="1"/>
      <c r="AL1333" s="1"/>
      <c r="AM1333" s="2"/>
      <c r="AN1333" s="1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  <c r="BA1333" s="1"/>
      <c r="BB1333" s="1"/>
      <c r="BC1333" s="1"/>
      <c r="BD1333" s="1"/>
      <c r="BE1333" s="1"/>
    </row>
    <row x14ac:dyDescent="0.25" r="1334" customHeight="1" ht="18.75">
      <c r="A1334" s="1"/>
      <c r="B1334" s="2"/>
      <c r="C1334" s="2"/>
      <c r="D1334" s="2"/>
      <c r="E1334" s="2"/>
      <c r="F1334" s="2"/>
      <c r="G1334" s="1"/>
      <c r="H1334" s="1"/>
      <c r="I1334" s="7">
        <v>1.331</v>
      </c>
      <c r="J1334" s="7">
        <f>IF((I1334-ROUNDDOWN(I1334,0))=0, 0, (I1334-ROUNDDOWN(I1334,0)))</f>
      </c>
      <c r="K1334" s="7">
        <f>INDIRECT("C$"&amp;2+MIN(2,ROUNDDOWN(I1334,0))*3)*(-$J1334^3+3*$J1334^2-3*$J1334+1)+INDIRECT("C$"&amp;3+MIN(2,ROUNDDOWN(I1334,0))*3)*(3*$J1334^3-6*$J1334^2+3*$J1334)+INDIRECT("C$"&amp;4+MIN(2,ROUNDDOWN(I1334,0))*3)*(-3*$J1334^3+3*$J1334^2)+INDIRECT("C$"&amp;5+MIN(2,ROUNDDOWN(I1334,0))*3)*$J1334^3</f>
      </c>
      <c r="L1334" s="7">
        <f>INDIRECT("D$"&amp;2+MIN(2,ROUNDDOWN(I1334,0))*3)*(-$J1334^3+3*$J1334^2-3*$J1334+1)+INDIRECT("D$"&amp;3+MIN(2,ROUNDDOWN(I1334,0))*3)*(3*$J1334^3-6*$J1334^2+3*$J1334)+INDIRECT("D$"&amp;4+MIN(2,ROUNDDOWN(I1334,0))*3)*(-3*$J1334^3+3*$J1334^2)+INDIRECT("D$"&amp;5+MIN(2,ROUNDDOWN(I1334,0))*3)*$J1334^3</f>
      </c>
      <c r="M1334" s="7">
        <f>SQRT(K1334^2+L1334^2)</f>
      </c>
      <c r="N1334" s="7">
        <f>(K1335-K1333)</f>
      </c>
      <c r="O1334" s="7">
        <f>+(L1335-L1333)</f>
      </c>
      <c r="P1334" s="7">
        <f>SQRT(O1334^2+N1334^2)</f>
      </c>
      <c r="Q1334" s="7">
        <f>N1334/$P1334</f>
      </c>
      <c r="R1334" s="7">
        <f>O1334/$P1334</f>
      </c>
      <c r="S1334" s="8">
        <f>Q1334^2+R1334^2</f>
      </c>
      <c r="T1334" s="7">
        <f>-R1334</f>
      </c>
      <c r="U1334" s="7">
        <f>Q1334</f>
      </c>
      <c r="V1334" s="7">
        <f>($C$14+($C$15-$C$14)/($D$15-$D$14)*(I1334-$D$14))/2</f>
      </c>
      <c r="W1334" s="7">
        <f>($B$22*I1334^4+$C$22*I1334^3+$D$22*I1334^2+$E$22*I1334+$F$22)/2</f>
      </c>
      <c r="X1334" s="7">
        <f>($W1334)*(T1334)</f>
      </c>
      <c r="Y1334" s="7">
        <f>($W1334)*(U1334)</f>
      </c>
      <c r="Z1334" s="7">
        <f>SQRT(X1334^2+Y1334^2)</f>
      </c>
      <c r="AA1334" s="7">
        <f>$K1334+$X1334</f>
      </c>
      <c r="AB1334" s="7">
        <f>$L1334+$Y1334</f>
      </c>
      <c r="AC1334" s="7">
        <f>$K1334-$X1334</f>
      </c>
      <c r="AD1334" s="7">
        <f>$L1334-$Y1334</f>
      </c>
      <c r="AE1334" s="7">
        <f>AA1334/39.3701</f>
      </c>
      <c r="AF1334" s="7">
        <f>AB1334/39.3701</f>
      </c>
      <c r="AG1334" s="7">
        <f>AC1334/39.3701</f>
      </c>
      <c r="AH1334" s="7">
        <f>AD1334/39.3701</f>
      </c>
      <c r="AI1334" s="1"/>
      <c r="AJ1334" s="1"/>
      <c r="AK1334" s="1"/>
      <c r="AL1334" s="1"/>
      <c r="AM1334" s="2"/>
      <c r="AN1334" s="1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  <c r="BA1334" s="1"/>
      <c r="BB1334" s="1"/>
      <c r="BC1334" s="1"/>
      <c r="BD1334" s="1"/>
      <c r="BE1334" s="1"/>
    </row>
    <row x14ac:dyDescent="0.25" r="1335" customHeight="1" ht="18.75">
      <c r="A1335" s="1"/>
      <c r="B1335" s="2"/>
      <c r="C1335" s="2"/>
      <c r="D1335" s="2"/>
      <c r="E1335" s="2"/>
      <c r="F1335" s="2"/>
      <c r="G1335" s="1"/>
      <c r="H1335" s="1"/>
      <c r="I1335" s="7">
        <v>1.332</v>
      </c>
      <c r="J1335" s="7">
        <f>IF((I1335-ROUNDDOWN(I1335,0))=0, 0, (I1335-ROUNDDOWN(I1335,0)))</f>
      </c>
      <c r="K1335" s="7">
        <f>INDIRECT("C$"&amp;2+MIN(2,ROUNDDOWN(I1335,0))*3)*(-$J1335^3+3*$J1335^2-3*$J1335+1)+INDIRECT("C$"&amp;3+MIN(2,ROUNDDOWN(I1335,0))*3)*(3*$J1335^3-6*$J1335^2+3*$J1335)+INDIRECT("C$"&amp;4+MIN(2,ROUNDDOWN(I1335,0))*3)*(-3*$J1335^3+3*$J1335^2)+INDIRECT("C$"&amp;5+MIN(2,ROUNDDOWN(I1335,0))*3)*$J1335^3</f>
      </c>
      <c r="L1335" s="7">
        <f>INDIRECT("D$"&amp;2+MIN(2,ROUNDDOWN(I1335,0))*3)*(-$J1335^3+3*$J1335^2-3*$J1335+1)+INDIRECT("D$"&amp;3+MIN(2,ROUNDDOWN(I1335,0))*3)*(3*$J1335^3-6*$J1335^2+3*$J1335)+INDIRECT("D$"&amp;4+MIN(2,ROUNDDOWN(I1335,0))*3)*(-3*$J1335^3+3*$J1335^2)+INDIRECT("D$"&amp;5+MIN(2,ROUNDDOWN(I1335,0))*3)*$J1335^3</f>
      </c>
      <c r="M1335" s="7">
        <f>SQRT(K1335^2+L1335^2)</f>
      </c>
      <c r="N1335" s="7">
        <f>(K1336-K1334)</f>
      </c>
      <c r="O1335" s="7">
        <f>+(L1336-L1334)</f>
      </c>
      <c r="P1335" s="7">
        <f>SQRT(O1335^2+N1335^2)</f>
      </c>
      <c r="Q1335" s="7">
        <f>N1335/$P1335</f>
      </c>
      <c r="R1335" s="7">
        <f>O1335/$P1335</f>
      </c>
      <c r="S1335" s="7">
        <f>Q1335^2+R1335^2</f>
      </c>
      <c r="T1335" s="7">
        <f>-R1335</f>
      </c>
      <c r="U1335" s="7">
        <f>Q1335</f>
      </c>
      <c r="V1335" s="7">
        <f>($C$14+($C$15-$C$14)/($D$15-$D$14)*(I1335-$D$14))/2</f>
      </c>
      <c r="W1335" s="7">
        <f>($B$22*I1335^4+$C$22*I1335^3+$D$22*I1335^2+$E$22*I1335+$F$22)/2</f>
      </c>
      <c r="X1335" s="7">
        <f>($W1335)*(T1335)</f>
      </c>
      <c r="Y1335" s="7">
        <f>($W1335)*(U1335)</f>
      </c>
      <c r="Z1335" s="7">
        <f>SQRT(X1335^2+Y1335^2)</f>
      </c>
      <c r="AA1335" s="7">
        <f>$K1335+$X1335</f>
      </c>
      <c r="AB1335" s="7">
        <f>$L1335+$Y1335</f>
      </c>
      <c r="AC1335" s="7">
        <f>$K1335-$X1335</f>
      </c>
      <c r="AD1335" s="7">
        <f>$L1335-$Y1335</f>
      </c>
      <c r="AE1335" s="7">
        <f>AA1335/39.3701</f>
      </c>
      <c r="AF1335" s="7">
        <f>AB1335/39.3701</f>
      </c>
      <c r="AG1335" s="7">
        <f>AC1335/39.3701</f>
      </c>
      <c r="AH1335" s="7">
        <f>AD1335/39.3701</f>
      </c>
      <c r="AI1335" s="1"/>
      <c r="AJ1335" s="1"/>
      <c r="AK1335" s="1"/>
      <c r="AL1335" s="1"/>
      <c r="AM1335" s="2"/>
      <c r="AN1335" s="1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  <c r="BA1335" s="1"/>
      <c r="BB1335" s="1"/>
      <c r="BC1335" s="1"/>
      <c r="BD1335" s="1"/>
      <c r="BE1335" s="1"/>
    </row>
    <row x14ac:dyDescent="0.25" r="1336" customHeight="1" ht="18.75">
      <c r="A1336" s="1"/>
      <c r="B1336" s="2"/>
      <c r="C1336" s="2"/>
      <c r="D1336" s="2"/>
      <c r="E1336" s="2"/>
      <c r="F1336" s="2"/>
      <c r="G1336" s="1"/>
      <c r="H1336" s="1"/>
      <c r="I1336" s="7">
        <v>1.333</v>
      </c>
      <c r="J1336" s="7">
        <f>IF((I1336-ROUNDDOWN(I1336,0))=0, 0, (I1336-ROUNDDOWN(I1336,0)))</f>
      </c>
      <c r="K1336" s="7">
        <f>INDIRECT("C$"&amp;2+MIN(2,ROUNDDOWN(I1336,0))*3)*(-$J1336^3+3*$J1336^2-3*$J1336+1)+INDIRECT("C$"&amp;3+MIN(2,ROUNDDOWN(I1336,0))*3)*(3*$J1336^3-6*$J1336^2+3*$J1336)+INDIRECT("C$"&amp;4+MIN(2,ROUNDDOWN(I1336,0))*3)*(-3*$J1336^3+3*$J1336^2)+INDIRECT("C$"&amp;5+MIN(2,ROUNDDOWN(I1336,0))*3)*$J1336^3</f>
      </c>
      <c r="L1336" s="7">
        <f>INDIRECT("D$"&amp;2+MIN(2,ROUNDDOWN(I1336,0))*3)*(-$J1336^3+3*$J1336^2-3*$J1336+1)+INDIRECT("D$"&amp;3+MIN(2,ROUNDDOWN(I1336,0))*3)*(3*$J1336^3-6*$J1336^2+3*$J1336)+INDIRECT("D$"&amp;4+MIN(2,ROUNDDOWN(I1336,0))*3)*(-3*$J1336^3+3*$J1336^2)+INDIRECT("D$"&amp;5+MIN(2,ROUNDDOWN(I1336,0))*3)*$J1336^3</f>
      </c>
      <c r="M1336" s="7">
        <f>SQRT(K1336^2+L1336^2)</f>
      </c>
      <c r="N1336" s="7">
        <f>(K1337-K1335)</f>
      </c>
      <c r="O1336" s="7">
        <f>+(L1337-L1335)</f>
      </c>
      <c r="P1336" s="7">
        <f>SQRT(O1336^2+N1336^2)</f>
      </c>
      <c r="Q1336" s="7">
        <f>N1336/$P1336</f>
      </c>
      <c r="R1336" s="7">
        <f>O1336/$P1336</f>
      </c>
      <c r="S1336" s="7">
        <f>Q1336^2+R1336^2</f>
      </c>
      <c r="T1336" s="7">
        <f>-R1336</f>
      </c>
      <c r="U1336" s="7">
        <f>Q1336</f>
      </c>
      <c r="V1336" s="7">
        <f>($C$14+($C$15-$C$14)/($D$15-$D$14)*(I1336-$D$14))/2</f>
      </c>
      <c r="W1336" s="7">
        <f>($B$22*I1336^4+$C$22*I1336^3+$D$22*I1336^2+$E$22*I1336+$F$22)/2</f>
      </c>
      <c r="X1336" s="7">
        <f>($W1336)*(T1336)</f>
      </c>
      <c r="Y1336" s="7">
        <f>($W1336)*(U1336)</f>
      </c>
      <c r="Z1336" s="7">
        <f>SQRT(X1336^2+Y1336^2)</f>
      </c>
      <c r="AA1336" s="7">
        <f>$K1336+$X1336</f>
      </c>
      <c r="AB1336" s="7">
        <f>$L1336+$Y1336</f>
      </c>
      <c r="AC1336" s="7">
        <f>$K1336-$X1336</f>
      </c>
      <c r="AD1336" s="7">
        <f>$L1336-$Y1336</f>
      </c>
      <c r="AE1336" s="7">
        <f>AA1336/39.3701</f>
      </c>
      <c r="AF1336" s="7">
        <f>AB1336/39.3701</f>
      </c>
      <c r="AG1336" s="7">
        <f>AC1336/39.3701</f>
      </c>
      <c r="AH1336" s="7">
        <f>AD1336/39.3701</f>
      </c>
      <c r="AI1336" s="1"/>
      <c r="AJ1336" s="1"/>
      <c r="AK1336" s="1"/>
      <c r="AL1336" s="1"/>
      <c r="AM1336" s="2"/>
      <c r="AN1336" s="1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  <c r="BA1336" s="1"/>
      <c r="BB1336" s="1"/>
      <c r="BC1336" s="1"/>
      <c r="BD1336" s="1"/>
      <c r="BE1336" s="1"/>
    </row>
    <row x14ac:dyDescent="0.25" r="1337" customHeight="1" ht="18.75">
      <c r="A1337" s="1"/>
      <c r="B1337" s="2"/>
      <c r="C1337" s="2"/>
      <c r="D1337" s="2"/>
      <c r="E1337" s="2"/>
      <c r="F1337" s="2"/>
      <c r="G1337" s="1"/>
      <c r="H1337" s="1"/>
      <c r="I1337" s="7">
        <v>1.334</v>
      </c>
      <c r="J1337" s="7">
        <f>IF((I1337-ROUNDDOWN(I1337,0))=0, 0, (I1337-ROUNDDOWN(I1337,0)))</f>
      </c>
      <c r="K1337" s="7">
        <f>INDIRECT("C$"&amp;2+MIN(2,ROUNDDOWN(I1337,0))*3)*(-$J1337^3+3*$J1337^2-3*$J1337+1)+INDIRECT("C$"&amp;3+MIN(2,ROUNDDOWN(I1337,0))*3)*(3*$J1337^3-6*$J1337^2+3*$J1337)+INDIRECT("C$"&amp;4+MIN(2,ROUNDDOWN(I1337,0))*3)*(-3*$J1337^3+3*$J1337^2)+INDIRECT("C$"&amp;5+MIN(2,ROUNDDOWN(I1337,0))*3)*$J1337^3</f>
      </c>
      <c r="L1337" s="7">
        <f>INDIRECT("D$"&amp;2+MIN(2,ROUNDDOWN(I1337,0))*3)*(-$J1337^3+3*$J1337^2-3*$J1337+1)+INDIRECT("D$"&amp;3+MIN(2,ROUNDDOWN(I1337,0))*3)*(3*$J1337^3-6*$J1337^2+3*$J1337)+INDIRECT("D$"&amp;4+MIN(2,ROUNDDOWN(I1337,0))*3)*(-3*$J1337^3+3*$J1337^2)+INDIRECT("D$"&amp;5+MIN(2,ROUNDDOWN(I1337,0))*3)*$J1337^3</f>
      </c>
      <c r="M1337" s="7">
        <f>SQRT(K1337^2+L1337^2)</f>
      </c>
      <c r="N1337" s="7">
        <f>(K1338-K1336)</f>
      </c>
      <c r="O1337" s="7">
        <f>+(L1338-L1336)</f>
      </c>
      <c r="P1337" s="7">
        <f>SQRT(O1337^2+N1337^2)</f>
      </c>
      <c r="Q1337" s="7">
        <f>N1337/$P1337</f>
      </c>
      <c r="R1337" s="7">
        <f>O1337/$P1337</f>
      </c>
      <c r="S1337" s="8">
        <f>Q1337^2+R1337^2</f>
      </c>
      <c r="T1337" s="7">
        <f>-R1337</f>
      </c>
      <c r="U1337" s="7">
        <f>Q1337</f>
      </c>
      <c r="V1337" s="7">
        <f>($C$14+($C$15-$C$14)/($D$15-$D$14)*(I1337-$D$14))/2</f>
      </c>
      <c r="W1337" s="7">
        <f>($B$22*I1337^4+$C$22*I1337^3+$D$22*I1337^2+$E$22*I1337+$F$22)/2</f>
      </c>
      <c r="X1337" s="7">
        <f>($W1337)*(T1337)</f>
      </c>
      <c r="Y1337" s="7">
        <f>($W1337)*(U1337)</f>
      </c>
      <c r="Z1337" s="7">
        <f>SQRT(X1337^2+Y1337^2)</f>
      </c>
      <c r="AA1337" s="7">
        <f>$K1337+$X1337</f>
      </c>
      <c r="AB1337" s="7">
        <f>$L1337+$Y1337</f>
      </c>
      <c r="AC1337" s="7">
        <f>$K1337-$X1337</f>
      </c>
      <c r="AD1337" s="7">
        <f>$L1337-$Y1337</f>
      </c>
      <c r="AE1337" s="7">
        <f>AA1337/39.3701</f>
      </c>
      <c r="AF1337" s="7">
        <f>AB1337/39.3701</f>
      </c>
      <c r="AG1337" s="7">
        <f>AC1337/39.3701</f>
      </c>
      <c r="AH1337" s="7">
        <f>AD1337/39.3701</f>
      </c>
      <c r="AI1337" s="1"/>
      <c r="AJ1337" s="1"/>
      <c r="AK1337" s="1"/>
      <c r="AL1337" s="1"/>
      <c r="AM1337" s="2"/>
      <c r="AN1337" s="1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  <c r="BA1337" s="1"/>
      <c r="BB1337" s="1"/>
      <c r="BC1337" s="1"/>
      <c r="BD1337" s="1"/>
      <c r="BE1337" s="1"/>
    </row>
    <row x14ac:dyDescent="0.25" r="1338" customHeight="1" ht="18.75">
      <c r="A1338" s="1"/>
      <c r="B1338" s="2"/>
      <c r="C1338" s="2"/>
      <c r="D1338" s="2"/>
      <c r="E1338" s="2"/>
      <c r="F1338" s="2"/>
      <c r="G1338" s="1"/>
      <c r="H1338" s="1"/>
      <c r="I1338" s="7">
        <v>1.335</v>
      </c>
      <c r="J1338" s="7">
        <f>IF((I1338-ROUNDDOWN(I1338,0))=0, 0, (I1338-ROUNDDOWN(I1338,0)))</f>
      </c>
      <c r="K1338" s="7">
        <f>INDIRECT("C$"&amp;2+MIN(2,ROUNDDOWN(I1338,0))*3)*(-$J1338^3+3*$J1338^2-3*$J1338+1)+INDIRECT("C$"&amp;3+MIN(2,ROUNDDOWN(I1338,0))*3)*(3*$J1338^3-6*$J1338^2+3*$J1338)+INDIRECT("C$"&amp;4+MIN(2,ROUNDDOWN(I1338,0))*3)*(-3*$J1338^3+3*$J1338^2)+INDIRECT("C$"&amp;5+MIN(2,ROUNDDOWN(I1338,0))*3)*$J1338^3</f>
      </c>
      <c r="L1338" s="7">
        <f>INDIRECT("D$"&amp;2+MIN(2,ROUNDDOWN(I1338,0))*3)*(-$J1338^3+3*$J1338^2-3*$J1338+1)+INDIRECT("D$"&amp;3+MIN(2,ROUNDDOWN(I1338,0))*3)*(3*$J1338^3-6*$J1338^2+3*$J1338)+INDIRECT("D$"&amp;4+MIN(2,ROUNDDOWN(I1338,0))*3)*(-3*$J1338^3+3*$J1338^2)+INDIRECT("D$"&amp;5+MIN(2,ROUNDDOWN(I1338,0))*3)*$J1338^3</f>
      </c>
      <c r="M1338" s="7">
        <f>SQRT(K1338^2+L1338^2)</f>
      </c>
      <c r="N1338" s="7">
        <f>(K1339-K1337)</f>
      </c>
      <c r="O1338" s="7">
        <f>+(L1339-L1337)</f>
      </c>
      <c r="P1338" s="7">
        <f>SQRT(O1338^2+N1338^2)</f>
      </c>
      <c r="Q1338" s="7">
        <f>N1338/$P1338</f>
      </c>
      <c r="R1338" s="7">
        <f>O1338/$P1338</f>
      </c>
      <c r="S1338" s="8">
        <f>Q1338^2+R1338^2</f>
      </c>
      <c r="T1338" s="7">
        <f>-R1338</f>
      </c>
      <c r="U1338" s="7">
        <f>Q1338</f>
      </c>
      <c r="V1338" s="7">
        <f>($C$14+($C$15-$C$14)/($D$15-$D$14)*(I1338-$D$14))/2</f>
      </c>
      <c r="W1338" s="7">
        <f>($B$22*I1338^4+$C$22*I1338^3+$D$22*I1338^2+$E$22*I1338+$F$22)/2</f>
      </c>
      <c r="X1338" s="7">
        <f>($W1338)*(T1338)</f>
      </c>
      <c r="Y1338" s="7">
        <f>($W1338)*(U1338)</f>
      </c>
      <c r="Z1338" s="7">
        <f>SQRT(X1338^2+Y1338^2)</f>
      </c>
      <c r="AA1338" s="7">
        <f>$K1338+$X1338</f>
      </c>
      <c r="AB1338" s="7">
        <f>$L1338+$Y1338</f>
      </c>
      <c r="AC1338" s="7">
        <f>$K1338-$X1338</f>
      </c>
      <c r="AD1338" s="7">
        <f>$L1338-$Y1338</f>
      </c>
      <c r="AE1338" s="7">
        <f>AA1338/39.3701</f>
      </c>
      <c r="AF1338" s="7">
        <f>AB1338/39.3701</f>
      </c>
      <c r="AG1338" s="7">
        <f>AC1338/39.3701</f>
      </c>
      <c r="AH1338" s="7">
        <f>AD1338/39.3701</f>
      </c>
      <c r="AI1338" s="1"/>
      <c r="AJ1338" s="1"/>
      <c r="AK1338" s="1"/>
      <c r="AL1338" s="1"/>
      <c r="AM1338" s="2"/>
      <c r="AN1338" s="1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  <c r="BA1338" s="1"/>
      <c r="BB1338" s="1"/>
      <c r="BC1338" s="1"/>
      <c r="BD1338" s="1"/>
      <c r="BE1338" s="1"/>
    </row>
    <row x14ac:dyDescent="0.25" r="1339" customHeight="1" ht="18.75">
      <c r="A1339" s="1"/>
      <c r="B1339" s="2"/>
      <c r="C1339" s="2"/>
      <c r="D1339" s="2"/>
      <c r="E1339" s="2"/>
      <c r="F1339" s="2"/>
      <c r="G1339" s="1"/>
      <c r="H1339" s="1"/>
      <c r="I1339" s="7">
        <v>1.336</v>
      </c>
      <c r="J1339" s="7">
        <f>IF((I1339-ROUNDDOWN(I1339,0))=0, 0, (I1339-ROUNDDOWN(I1339,0)))</f>
      </c>
      <c r="K1339" s="7">
        <f>INDIRECT("C$"&amp;2+MIN(2,ROUNDDOWN(I1339,0))*3)*(-$J1339^3+3*$J1339^2-3*$J1339+1)+INDIRECT("C$"&amp;3+MIN(2,ROUNDDOWN(I1339,0))*3)*(3*$J1339^3-6*$J1339^2+3*$J1339)+INDIRECT("C$"&amp;4+MIN(2,ROUNDDOWN(I1339,0))*3)*(-3*$J1339^3+3*$J1339^2)+INDIRECT("C$"&amp;5+MIN(2,ROUNDDOWN(I1339,0))*3)*$J1339^3</f>
      </c>
      <c r="L1339" s="7">
        <f>INDIRECT("D$"&amp;2+MIN(2,ROUNDDOWN(I1339,0))*3)*(-$J1339^3+3*$J1339^2-3*$J1339+1)+INDIRECT("D$"&amp;3+MIN(2,ROUNDDOWN(I1339,0))*3)*(3*$J1339^3-6*$J1339^2+3*$J1339)+INDIRECT("D$"&amp;4+MIN(2,ROUNDDOWN(I1339,0))*3)*(-3*$J1339^3+3*$J1339^2)+INDIRECT("D$"&amp;5+MIN(2,ROUNDDOWN(I1339,0))*3)*$J1339^3</f>
      </c>
      <c r="M1339" s="7">
        <f>SQRT(K1339^2+L1339^2)</f>
      </c>
      <c r="N1339" s="7">
        <f>(K1340-K1338)</f>
      </c>
      <c r="O1339" s="7">
        <f>+(L1340-L1338)</f>
      </c>
      <c r="P1339" s="7">
        <f>SQRT(O1339^2+N1339^2)</f>
      </c>
      <c r="Q1339" s="7">
        <f>N1339/$P1339</f>
      </c>
      <c r="R1339" s="7">
        <f>O1339/$P1339</f>
      </c>
      <c r="S1339" s="7">
        <f>Q1339^2+R1339^2</f>
      </c>
      <c r="T1339" s="7">
        <f>-R1339</f>
      </c>
      <c r="U1339" s="7">
        <f>Q1339</f>
      </c>
      <c r="V1339" s="7">
        <f>($C$14+($C$15-$C$14)/($D$15-$D$14)*(I1339-$D$14))/2</f>
      </c>
      <c r="W1339" s="7">
        <f>($B$22*I1339^4+$C$22*I1339^3+$D$22*I1339^2+$E$22*I1339+$F$22)/2</f>
      </c>
      <c r="X1339" s="7">
        <f>($W1339)*(T1339)</f>
      </c>
      <c r="Y1339" s="7">
        <f>($W1339)*(U1339)</f>
      </c>
      <c r="Z1339" s="7">
        <f>SQRT(X1339^2+Y1339^2)</f>
      </c>
      <c r="AA1339" s="7">
        <f>$K1339+$X1339</f>
      </c>
      <c r="AB1339" s="7">
        <f>$L1339+$Y1339</f>
      </c>
      <c r="AC1339" s="7">
        <f>$K1339-$X1339</f>
      </c>
      <c r="AD1339" s="7">
        <f>$L1339-$Y1339</f>
      </c>
      <c r="AE1339" s="7">
        <f>AA1339/39.3701</f>
      </c>
      <c r="AF1339" s="7">
        <f>AB1339/39.3701</f>
      </c>
      <c r="AG1339" s="7">
        <f>AC1339/39.3701</f>
      </c>
      <c r="AH1339" s="7">
        <f>AD1339/39.3701</f>
      </c>
      <c r="AI1339" s="1"/>
      <c r="AJ1339" s="1"/>
      <c r="AK1339" s="1"/>
      <c r="AL1339" s="1"/>
      <c r="AM1339" s="2"/>
      <c r="AN1339" s="1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  <c r="BA1339" s="1"/>
      <c r="BB1339" s="1"/>
      <c r="BC1339" s="1"/>
      <c r="BD1339" s="1"/>
      <c r="BE1339" s="1"/>
    </row>
    <row x14ac:dyDescent="0.25" r="1340" customHeight="1" ht="18.75">
      <c r="A1340" s="1"/>
      <c r="B1340" s="2"/>
      <c r="C1340" s="2"/>
      <c r="D1340" s="2"/>
      <c r="E1340" s="2"/>
      <c r="F1340" s="2"/>
      <c r="G1340" s="1"/>
      <c r="H1340" s="1"/>
      <c r="I1340" s="7">
        <v>1.337</v>
      </c>
      <c r="J1340" s="7">
        <f>IF((I1340-ROUNDDOWN(I1340,0))=0, 0, (I1340-ROUNDDOWN(I1340,0)))</f>
      </c>
      <c r="K1340" s="7">
        <f>INDIRECT("C$"&amp;2+MIN(2,ROUNDDOWN(I1340,0))*3)*(-$J1340^3+3*$J1340^2-3*$J1340+1)+INDIRECT("C$"&amp;3+MIN(2,ROUNDDOWN(I1340,0))*3)*(3*$J1340^3-6*$J1340^2+3*$J1340)+INDIRECT("C$"&amp;4+MIN(2,ROUNDDOWN(I1340,0))*3)*(-3*$J1340^3+3*$J1340^2)+INDIRECT("C$"&amp;5+MIN(2,ROUNDDOWN(I1340,0))*3)*$J1340^3</f>
      </c>
      <c r="L1340" s="7">
        <f>INDIRECT("D$"&amp;2+MIN(2,ROUNDDOWN(I1340,0))*3)*(-$J1340^3+3*$J1340^2-3*$J1340+1)+INDIRECT("D$"&amp;3+MIN(2,ROUNDDOWN(I1340,0))*3)*(3*$J1340^3-6*$J1340^2+3*$J1340)+INDIRECT("D$"&amp;4+MIN(2,ROUNDDOWN(I1340,0))*3)*(-3*$J1340^3+3*$J1340^2)+INDIRECT("D$"&amp;5+MIN(2,ROUNDDOWN(I1340,0))*3)*$J1340^3</f>
      </c>
      <c r="M1340" s="7">
        <f>SQRT(K1340^2+L1340^2)</f>
      </c>
      <c r="N1340" s="7">
        <f>(K1341-K1339)</f>
      </c>
      <c r="O1340" s="7">
        <f>+(L1341-L1339)</f>
      </c>
      <c r="P1340" s="7">
        <f>SQRT(O1340^2+N1340^2)</f>
      </c>
      <c r="Q1340" s="7">
        <f>N1340/$P1340</f>
      </c>
      <c r="R1340" s="7">
        <f>O1340/$P1340</f>
      </c>
      <c r="S1340" s="8">
        <f>Q1340^2+R1340^2</f>
      </c>
      <c r="T1340" s="7">
        <f>-R1340</f>
      </c>
      <c r="U1340" s="7">
        <f>Q1340</f>
      </c>
      <c r="V1340" s="7">
        <f>($C$14+($C$15-$C$14)/($D$15-$D$14)*(I1340-$D$14))/2</f>
      </c>
      <c r="W1340" s="7">
        <f>($B$22*I1340^4+$C$22*I1340^3+$D$22*I1340^2+$E$22*I1340+$F$22)/2</f>
      </c>
      <c r="X1340" s="7">
        <f>($W1340)*(T1340)</f>
      </c>
      <c r="Y1340" s="7">
        <f>($W1340)*(U1340)</f>
      </c>
      <c r="Z1340" s="7">
        <f>SQRT(X1340^2+Y1340^2)</f>
      </c>
      <c r="AA1340" s="7">
        <f>$K1340+$X1340</f>
      </c>
      <c r="AB1340" s="7">
        <f>$L1340+$Y1340</f>
      </c>
      <c r="AC1340" s="7">
        <f>$K1340-$X1340</f>
      </c>
      <c r="AD1340" s="7">
        <f>$L1340-$Y1340</f>
      </c>
      <c r="AE1340" s="7">
        <f>AA1340/39.3701</f>
      </c>
      <c r="AF1340" s="7">
        <f>AB1340/39.3701</f>
      </c>
      <c r="AG1340" s="7">
        <f>AC1340/39.3701</f>
      </c>
      <c r="AH1340" s="7">
        <f>AD1340/39.3701</f>
      </c>
      <c r="AI1340" s="1"/>
      <c r="AJ1340" s="1"/>
      <c r="AK1340" s="1"/>
      <c r="AL1340" s="1"/>
      <c r="AM1340" s="2"/>
      <c r="AN1340" s="1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  <c r="BA1340" s="1"/>
      <c r="BB1340" s="1"/>
      <c r="BC1340" s="1"/>
      <c r="BD1340" s="1"/>
      <c r="BE1340" s="1"/>
    </row>
    <row x14ac:dyDescent="0.25" r="1341" customHeight="1" ht="18.75">
      <c r="A1341" s="1"/>
      <c r="B1341" s="2"/>
      <c r="C1341" s="2"/>
      <c r="D1341" s="2"/>
      <c r="E1341" s="2"/>
      <c r="F1341" s="2"/>
      <c r="G1341" s="1"/>
      <c r="H1341" s="1"/>
      <c r="I1341" s="7">
        <v>1.338</v>
      </c>
      <c r="J1341" s="7">
        <f>IF((I1341-ROUNDDOWN(I1341,0))=0, 0, (I1341-ROUNDDOWN(I1341,0)))</f>
      </c>
      <c r="K1341" s="7">
        <f>INDIRECT("C$"&amp;2+MIN(2,ROUNDDOWN(I1341,0))*3)*(-$J1341^3+3*$J1341^2-3*$J1341+1)+INDIRECT("C$"&amp;3+MIN(2,ROUNDDOWN(I1341,0))*3)*(3*$J1341^3-6*$J1341^2+3*$J1341)+INDIRECT("C$"&amp;4+MIN(2,ROUNDDOWN(I1341,0))*3)*(-3*$J1341^3+3*$J1341^2)+INDIRECT("C$"&amp;5+MIN(2,ROUNDDOWN(I1341,0))*3)*$J1341^3</f>
      </c>
      <c r="L1341" s="7">
        <f>INDIRECT("D$"&amp;2+MIN(2,ROUNDDOWN(I1341,0))*3)*(-$J1341^3+3*$J1341^2-3*$J1341+1)+INDIRECT("D$"&amp;3+MIN(2,ROUNDDOWN(I1341,0))*3)*(3*$J1341^3-6*$J1341^2+3*$J1341)+INDIRECT("D$"&amp;4+MIN(2,ROUNDDOWN(I1341,0))*3)*(-3*$J1341^3+3*$J1341^2)+INDIRECT("D$"&amp;5+MIN(2,ROUNDDOWN(I1341,0))*3)*$J1341^3</f>
      </c>
      <c r="M1341" s="7">
        <f>SQRT(K1341^2+L1341^2)</f>
      </c>
      <c r="N1341" s="7">
        <f>(K1342-K1340)</f>
      </c>
      <c r="O1341" s="7">
        <f>+(L1342-L1340)</f>
      </c>
      <c r="P1341" s="7">
        <f>SQRT(O1341^2+N1341^2)</f>
      </c>
      <c r="Q1341" s="7">
        <f>N1341/$P1341</f>
      </c>
      <c r="R1341" s="7">
        <f>O1341/$P1341</f>
      </c>
      <c r="S1341" s="8">
        <f>Q1341^2+R1341^2</f>
      </c>
      <c r="T1341" s="7">
        <f>-R1341</f>
      </c>
      <c r="U1341" s="7">
        <f>Q1341</f>
      </c>
      <c r="V1341" s="7">
        <f>($C$14+($C$15-$C$14)/($D$15-$D$14)*(I1341-$D$14))/2</f>
      </c>
      <c r="W1341" s="7">
        <f>($B$22*I1341^4+$C$22*I1341^3+$D$22*I1341^2+$E$22*I1341+$F$22)/2</f>
      </c>
      <c r="X1341" s="7">
        <f>($W1341)*(T1341)</f>
      </c>
      <c r="Y1341" s="7">
        <f>($W1341)*(U1341)</f>
      </c>
      <c r="Z1341" s="7">
        <f>SQRT(X1341^2+Y1341^2)</f>
      </c>
      <c r="AA1341" s="7">
        <f>$K1341+$X1341</f>
      </c>
      <c r="AB1341" s="7">
        <f>$L1341+$Y1341</f>
      </c>
      <c r="AC1341" s="7">
        <f>$K1341-$X1341</f>
      </c>
      <c r="AD1341" s="7">
        <f>$L1341-$Y1341</f>
      </c>
      <c r="AE1341" s="7">
        <f>AA1341/39.3701</f>
      </c>
      <c r="AF1341" s="7">
        <f>AB1341/39.3701</f>
      </c>
      <c r="AG1341" s="7">
        <f>AC1341/39.3701</f>
      </c>
      <c r="AH1341" s="7">
        <f>AD1341/39.3701</f>
      </c>
      <c r="AI1341" s="1"/>
      <c r="AJ1341" s="1"/>
      <c r="AK1341" s="1"/>
      <c r="AL1341" s="1"/>
      <c r="AM1341" s="2"/>
      <c r="AN1341" s="1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  <c r="BA1341" s="1"/>
      <c r="BB1341" s="1"/>
      <c r="BC1341" s="1"/>
      <c r="BD1341" s="1"/>
      <c r="BE1341" s="1"/>
    </row>
    <row x14ac:dyDescent="0.25" r="1342" customHeight="1" ht="18.75">
      <c r="A1342" s="1"/>
      <c r="B1342" s="2"/>
      <c r="C1342" s="2"/>
      <c r="D1342" s="2"/>
      <c r="E1342" s="2"/>
      <c r="F1342" s="2"/>
      <c r="G1342" s="1"/>
      <c r="H1342" s="1"/>
      <c r="I1342" s="7">
        <v>1.339</v>
      </c>
      <c r="J1342" s="7">
        <f>IF((I1342-ROUNDDOWN(I1342,0))=0, 0, (I1342-ROUNDDOWN(I1342,0)))</f>
      </c>
      <c r="K1342" s="7">
        <f>INDIRECT("C$"&amp;2+MIN(2,ROUNDDOWN(I1342,0))*3)*(-$J1342^3+3*$J1342^2-3*$J1342+1)+INDIRECT("C$"&amp;3+MIN(2,ROUNDDOWN(I1342,0))*3)*(3*$J1342^3-6*$J1342^2+3*$J1342)+INDIRECT("C$"&amp;4+MIN(2,ROUNDDOWN(I1342,0))*3)*(-3*$J1342^3+3*$J1342^2)+INDIRECT("C$"&amp;5+MIN(2,ROUNDDOWN(I1342,0))*3)*$J1342^3</f>
      </c>
      <c r="L1342" s="7">
        <f>INDIRECT("D$"&amp;2+MIN(2,ROUNDDOWN(I1342,0))*3)*(-$J1342^3+3*$J1342^2-3*$J1342+1)+INDIRECT("D$"&amp;3+MIN(2,ROUNDDOWN(I1342,0))*3)*(3*$J1342^3-6*$J1342^2+3*$J1342)+INDIRECT("D$"&amp;4+MIN(2,ROUNDDOWN(I1342,0))*3)*(-3*$J1342^3+3*$J1342^2)+INDIRECT("D$"&amp;5+MIN(2,ROUNDDOWN(I1342,0))*3)*$J1342^3</f>
      </c>
      <c r="M1342" s="7">
        <f>SQRT(K1342^2+L1342^2)</f>
      </c>
      <c r="N1342" s="7">
        <f>(K1343-K1341)</f>
      </c>
      <c r="O1342" s="7">
        <f>+(L1343-L1341)</f>
      </c>
      <c r="P1342" s="7">
        <f>SQRT(O1342^2+N1342^2)</f>
      </c>
      <c r="Q1342" s="7">
        <f>N1342/$P1342</f>
      </c>
      <c r="R1342" s="7">
        <f>O1342/$P1342</f>
      </c>
      <c r="S1342" s="7">
        <f>Q1342^2+R1342^2</f>
      </c>
      <c r="T1342" s="7">
        <f>-R1342</f>
      </c>
      <c r="U1342" s="7">
        <f>Q1342</f>
      </c>
      <c r="V1342" s="7">
        <f>($C$14+($C$15-$C$14)/($D$15-$D$14)*(I1342-$D$14))/2</f>
      </c>
      <c r="W1342" s="7">
        <f>($B$22*I1342^4+$C$22*I1342^3+$D$22*I1342^2+$E$22*I1342+$F$22)/2</f>
      </c>
      <c r="X1342" s="7">
        <f>($W1342)*(T1342)</f>
      </c>
      <c r="Y1342" s="7">
        <f>($W1342)*(U1342)</f>
      </c>
      <c r="Z1342" s="7">
        <f>SQRT(X1342^2+Y1342^2)</f>
      </c>
      <c r="AA1342" s="7">
        <f>$K1342+$X1342</f>
      </c>
      <c r="AB1342" s="7">
        <f>$L1342+$Y1342</f>
      </c>
      <c r="AC1342" s="7">
        <f>$K1342-$X1342</f>
      </c>
      <c r="AD1342" s="7">
        <f>$L1342-$Y1342</f>
      </c>
      <c r="AE1342" s="7">
        <f>AA1342/39.3701</f>
      </c>
      <c r="AF1342" s="7">
        <f>AB1342/39.3701</f>
      </c>
      <c r="AG1342" s="7">
        <f>AC1342/39.3701</f>
      </c>
      <c r="AH1342" s="7">
        <f>AD1342/39.3701</f>
      </c>
      <c r="AI1342" s="1"/>
      <c r="AJ1342" s="1"/>
      <c r="AK1342" s="1"/>
      <c r="AL1342" s="1"/>
      <c r="AM1342" s="2"/>
      <c r="AN1342" s="1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  <c r="BA1342" s="1"/>
      <c r="BB1342" s="1"/>
      <c r="BC1342" s="1"/>
      <c r="BD1342" s="1"/>
      <c r="BE1342" s="1"/>
    </row>
    <row x14ac:dyDescent="0.25" r="1343" customHeight="1" ht="18.75">
      <c r="A1343" s="1"/>
      <c r="B1343" s="2"/>
      <c r="C1343" s="2"/>
      <c r="D1343" s="2"/>
      <c r="E1343" s="2"/>
      <c r="F1343" s="2"/>
      <c r="G1343" s="1"/>
      <c r="H1343" s="1"/>
      <c r="I1343" s="7">
        <v>1.34</v>
      </c>
      <c r="J1343" s="7">
        <f>IF((I1343-ROUNDDOWN(I1343,0))=0, 0, (I1343-ROUNDDOWN(I1343,0)))</f>
      </c>
      <c r="K1343" s="7">
        <f>INDIRECT("C$"&amp;2+MIN(2,ROUNDDOWN(I1343,0))*3)*(-$J1343^3+3*$J1343^2-3*$J1343+1)+INDIRECT("C$"&amp;3+MIN(2,ROUNDDOWN(I1343,0))*3)*(3*$J1343^3-6*$J1343^2+3*$J1343)+INDIRECT("C$"&amp;4+MIN(2,ROUNDDOWN(I1343,0))*3)*(-3*$J1343^3+3*$J1343^2)+INDIRECT("C$"&amp;5+MIN(2,ROUNDDOWN(I1343,0))*3)*$J1343^3</f>
      </c>
      <c r="L1343" s="7">
        <f>INDIRECT("D$"&amp;2+MIN(2,ROUNDDOWN(I1343,0))*3)*(-$J1343^3+3*$J1343^2-3*$J1343+1)+INDIRECT("D$"&amp;3+MIN(2,ROUNDDOWN(I1343,0))*3)*(3*$J1343^3-6*$J1343^2+3*$J1343)+INDIRECT("D$"&amp;4+MIN(2,ROUNDDOWN(I1343,0))*3)*(-3*$J1343^3+3*$J1343^2)+INDIRECT("D$"&amp;5+MIN(2,ROUNDDOWN(I1343,0))*3)*$J1343^3</f>
      </c>
      <c r="M1343" s="7">
        <f>SQRT(K1343^2+L1343^2)</f>
      </c>
      <c r="N1343" s="7">
        <f>(K1344-K1342)</f>
      </c>
      <c r="O1343" s="7">
        <f>+(L1344-L1342)</f>
      </c>
      <c r="P1343" s="7">
        <f>SQRT(O1343^2+N1343^2)</f>
      </c>
      <c r="Q1343" s="7">
        <f>N1343/$P1343</f>
      </c>
      <c r="R1343" s="7">
        <f>O1343/$P1343</f>
      </c>
      <c r="S1343" s="8">
        <f>Q1343^2+R1343^2</f>
      </c>
      <c r="T1343" s="7">
        <f>-R1343</f>
      </c>
      <c r="U1343" s="7">
        <f>Q1343</f>
      </c>
      <c r="V1343" s="7">
        <f>($C$14+($C$15-$C$14)/($D$15-$D$14)*(I1343-$D$14))/2</f>
      </c>
      <c r="W1343" s="7">
        <f>($B$22*I1343^4+$C$22*I1343^3+$D$22*I1343^2+$E$22*I1343+$F$22)/2</f>
      </c>
      <c r="X1343" s="7">
        <f>($W1343)*(T1343)</f>
      </c>
      <c r="Y1343" s="7">
        <f>($W1343)*(U1343)</f>
      </c>
      <c r="Z1343" s="7">
        <f>SQRT(X1343^2+Y1343^2)</f>
      </c>
      <c r="AA1343" s="7">
        <f>$K1343+$X1343</f>
      </c>
      <c r="AB1343" s="7">
        <f>$L1343+$Y1343</f>
      </c>
      <c r="AC1343" s="7">
        <f>$K1343-$X1343</f>
      </c>
      <c r="AD1343" s="7">
        <f>$L1343-$Y1343</f>
      </c>
      <c r="AE1343" s="7">
        <f>AA1343/39.3701</f>
      </c>
      <c r="AF1343" s="7">
        <f>AB1343/39.3701</f>
      </c>
      <c r="AG1343" s="7">
        <f>AC1343/39.3701</f>
      </c>
      <c r="AH1343" s="7">
        <f>AD1343/39.3701</f>
      </c>
      <c r="AI1343" s="1"/>
      <c r="AJ1343" s="1"/>
      <c r="AK1343" s="1"/>
      <c r="AL1343" s="1"/>
      <c r="AM1343" s="2"/>
      <c r="AN1343" s="1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  <c r="BA1343" s="1"/>
      <c r="BB1343" s="1"/>
      <c r="BC1343" s="1"/>
      <c r="BD1343" s="1"/>
      <c r="BE1343" s="1"/>
    </row>
    <row x14ac:dyDescent="0.25" r="1344" customHeight="1" ht="18.75">
      <c r="A1344" s="1"/>
      <c r="B1344" s="2"/>
      <c r="C1344" s="2"/>
      <c r="D1344" s="2"/>
      <c r="E1344" s="2"/>
      <c r="F1344" s="2"/>
      <c r="G1344" s="1"/>
      <c r="H1344" s="1"/>
      <c r="I1344" s="7">
        <v>1.341</v>
      </c>
      <c r="J1344" s="7">
        <f>IF((I1344-ROUNDDOWN(I1344,0))=0, 0, (I1344-ROUNDDOWN(I1344,0)))</f>
      </c>
      <c r="K1344" s="7">
        <f>INDIRECT("C$"&amp;2+MIN(2,ROUNDDOWN(I1344,0))*3)*(-$J1344^3+3*$J1344^2-3*$J1344+1)+INDIRECT("C$"&amp;3+MIN(2,ROUNDDOWN(I1344,0))*3)*(3*$J1344^3-6*$J1344^2+3*$J1344)+INDIRECT("C$"&amp;4+MIN(2,ROUNDDOWN(I1344,0))*3)*(-3*$J1344^3+3*$J1344^2)+INDIRECT("C$"&amp;5+MIN(2,ROUNDDOWN(I1344,0))*3)*$J1344^3</f>
      </c>
      <c r="L1344" s="7">
        <f>INDIRECT("D$"&amp;2+MIN(2,ROUNDDOWN(I1344,0))*3)*(-$J1344^3+3*$J1344^2-3*$J1344+1)+INDIRECT("D$"&amp;3+MIN(2,ROUNDDOWN(I1344,0))*3)*(3*$J1344^3-6*$J1344^2+3*$J1344)+INDIRECT("D$"&amp;4+MIN(2,ROUNDDOWN(I1344,0))*3)*(-3*$J1344^3+3*$J1344^2)+INDIRECT("D$"&amp;5+MIN(2,ROUNDDOWN(I1344,0))*3)*$J1344^3</f>
      </c>
      <c r="M1344" s="7">
        <f>SQRT(K1344^2+L1344^2)</f>
      </c>
      <c r="N1344" s="7">
        <f>(K1345-K1343)</f>
      </c>
      <c r="O1344" s="7">
        <f>+(L1345-L1343)</f>
      </c>
      <c r="P1344" s="7">
        <f>SQRT(O1344^2+N1344^2)</f>
      </c>
      <c r="Q1344" s="7">
        <f>N1344/$P1344</f>
      </c>
      <c r="R1344" s="7">
        <f>O1344/$P1344</f>
      </c>
      <c r="S1344" s="7">
        <f>Q1344^2+R1344^2</f>
      </c>
      <c r="T1344" s="7">
        <f>-R1344</f>
      </c>
      <c r="U1344" s="7">
        <f>Q1344</f>
      </c>
      <c r="V1344" s="7">
        <f>($C$14+($C$15-$C$14)/($D$15-$D$14)*(I1344-$D$14))/2</f>
      </c>
      <c r="W1344" s="7">
        <f>($B$22*I1344^4+$C$22*I1344^3+$D$22*I1344^2+$E$22*I1344+$F$22)/2</f>
      </c>
      <c r="X1344" s="7">
        <f>($W1344)*(T1344)</f>
      </c>
      <c r="Y1344" s="7">
        <f>($W1344)*(U1344)</f>
      </c>
      <c r="Z1344" s="7">
        <f>SQRT(X1344^2+Y1344^2)</f>
      </c>
      <c r="AA1344" s="7">
        <f>$K1344+$X1344</f>
      </c>
      <c r="AB1344" s="7">
        <f>$L1344+$Y1344</f>
      </c>
      <c r="AC1344" s="7">
        <f>$K1344-$X1344</f>
      </c>
      <c r="AD1344" s="7">
        <f>$L1344-$Y1344</f>
      </c>
      <c r="AE1344" s="7">
        <f>AA1344/39.3701</f>
      </c>
      <c r="AF1344" s="7">
        <f>AB1344/39.3701</f>
      </c>
      <c r="AG1344" s="7">
        <f>AC1344/39.3701</f>
      </c>
      <c r="AH1344" s="7">
        <f>AD1344/39.3701</f>
      </c>
      <c r="AI1344" s="1"/>
      <c r="AJ1344" s="1"/>
      <c r="AK1344" s="1"/>
      <c r="AL1344" s="1"/>
      <c r="AM1344" s="2"/>
      <c r="AN1344" s="1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  <c r="BA1344" s="1"/>
      <c r="BB1344" s="1"/>
      <c r="BC1344" s="1"/>
      <c r="BD1344" s="1"/>
      <c r="BE1344" s="1"/>
    </row>
    <row x14ac:dyDescent="0.25" r="1345" customHeight="1" ht="18.75">
      <c r="A1345" s="1"/>
      <c r="B1345" s="2"/>
      <c r="C1345" s="2"/>
      <c r="D1345" s="2"/>
      <c r="E1345" s="2"/>
      <c r="F1345" s="2"/>
      <c r="G1345" s="1"/>
      <c r="H1345" s="1"/>
      <c r="I1345" s="7">
        <v>1.342</v>
      </c>
      <c r="J1345" s="7">
        <f>IF((I1345-ROUNDDOWN(I1345,0))=0, 0, (I1345-ROUNDDOWN(I1345,0)))</f>
      </c>
      <c r="K1345" s="7">
        <f>INDIRECT("C$"&amp;2+MIN(2,ROUNDDOWN(I1345,0))*3)*(-$J1345^3+3*$J1345^2-3*$J1345+1)+INDIRECT("C$"&amp;3+MIN(2,ROUNDDOWN(I1345,0))*3)*(3*$J1345^3-6*$J1345^2+3*$J1345)+INDIRECT("C$"&amp;4+MIN(2,ROUNDDOWN(I1345,0))*3)*(-3*$J1345^3+3*$J1345^2)+INDIRECT("C$"&amp;5+MIN(2,ROUNDDOWN(I1345,0))*3)*$J1345^3</f>
      </c>
      <c r="L1345" s="7">
        <f>INDIRECT("D$"&amp;2+MIN(2,ROUNDDOWN(I1345,0))*3)*(-$J1345^3+3*$J1345^2-3*$J1345+1)+INDIRECT("D$"&amp;3+MIN(2,ROUNDDOWN(I1345,0))*3)*(3*$J1345^3-6*$J1345^2+3*$J1345)+INDIRECT("D$"&amp;4+MIN(2,ROUNDDOWN(I1345,0))*3)*(-3*$J1345^3+3*$J1345^2)+INDIRECT("D$"&amp;5+MIN(2,ROUNDDOWN(I1345,0))*3)*$J1345^3</f>
      </c>
      <c r="M1345" s="7">
        <f>SQRT(K1345^2+L1345^2)</f>
      </c>
      <c r="N1345" s="7">
        <f>(K1346-K1344)</f>
      </c>
      <c r="O1345" s="7">
        <f>+(L1346-L1344)</f>
      </c>
      <c r="P1345" s="7">
        <f>SQRT(O1345^2+N1345^2)</f>
      </c>
      <c r="Q1345" s="7">
        <f>N1345/$P1345</f>
      </c>
      <c r="R1345" s="7">
        <f>O1345/$P1345</f>
      </c>
      <c r="S1345" s="8">
        <f>Q1345^2+R1345^2</f>
      </c>
      <c r="T1345" s="7">
        <f>-R1345</f>
      </c>
      <c r="U1345" s="7">
        <f>Q1345</f>
      </c>
      <c r="V1345" s="7">
        <f>($C$14+($C$15-$C$14)/($D$15-$D$14)*(I1345-$D$14))/2</f>
      </c>
      <c r="W1345" s="7">
        <f>($B$22*I1345^4+$C$22*I1345^3+$D$22*I1345^2+$E$22*I1345+$F$22)/2</f>
      </c>
      <c r="X1345" s="7">
        <f>($W1345)*(T1345)</f>
      </c>
      <c r="Y1345" s="7">
        <f>($W1345)*(U1345)</f>
      </c>
      <c r="Z1345" s="7">
        <f>SQRT(X1345^2+Y1345^2)</f>
      </c>
      <c r="AA1345" s="7">
        <f>$K1345+$X1345</f>
      </c>
      <c r="AB1345" s="7">
        <f>$L1345+$Y1345</f>
      </c>
      <c r="AC1345" s="7">
        <f>$K1345-$X1345</f>
      </c>
      <c r="AD1345" s="7">
        <f>$L1345-$Y1345</f>
      </c>
      <c r="AE1345" s="7">
        <f>AA1345/39.3701</f>
      </c>
      <c r="AF1345" s="7">
        <f>AB1345/39.3701</f>
      </c>
      <c r="AG1345" s="7">
        <f>AC1345/39.3701</f>
      </c>
      <c r="AH1345" s="7">
        <f>AD1345/39.3701</f>
      </c>
      <c r="AI1345" s="1"/>
      <c r="AJ1345" s="1"/>
      <c r="AK1345" s="1"/>
      <c r="AL1345" s="1"/>
      <c r="AM1345" s="2"/>
      <c r="AN1345" s="1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  <c r="BA1345" s="1"/>
      <c r="BB1345" s="1"/>
      <c r="BC1345" s="1"/>
      <c r="BD1345" s="1"/>
      <c r="BE1345" s="1"/>
    </row>
    <row x14ac:dyDescent="0.25" r="1346" customHeight="1" ht="18.75">
      <c r="A1346" s="1"/>
      <c r="B1346" s="2"/>
      <c r="C1346" s="2"/>
      <c r="D1346" s="2"/>
      <c r="E1346" s="2"/>
      <c r="F1346" s="2"/>
      <c r="G1346" s="1"/>
      <c r="H1346" s="1"/>
      <c r="I1346" s="7">
        <v>1.343</v>
      </c>
      <c r="J1346" s="7">
        <f>IF((I1346-ROUNDDOWN(I1346,0))=0, 0, (I1346-ROUNDDOWN(I1346,0)))</f>
      </c>
      <c r="K1346" s="7">
        <f>INDIRECT("C$"&amp;2+MIN(2,ROUNDDOWN(I1346,0))*3)*(-$J1346^3+3*$J1346^2-3*$J1346+1)+INDIRECT("C$"&amp;3+MIN(2,ROUNDDOWN(I1346,0))*3)*(3*$J1346^3-6*$J1346^2+3*$J1346)+INDIRECT("C$"&amp;4+MIN(2,ROUNDDOWN(I1346,0))*3)*(-3*$J1346^3+3*$J1346^2)+INDIRECT("C$"&amp;5+MIN(2,ROUNDDOWN(I1346,0))*3)*$J1346^3</f>
      </c>
      <c r="L1346" s="7">
        <f>INDIRECT("D$"&amp;2+MIN(2,ROUNDDOWN(I1346,0))*3)*(-$J1346^3+3*$J1346^2-3*$J1346+1)+INDIRECT("D$"&amp;3+MIN(2,ROUNDDOWN(I1346,0))*3)*(3*$J1346^3-6*$J1346^2+3*$J1346)+INDIRECT("D$"&amp;4+MIN(2,ROUNDDOWN(I1346,0))*3)*(-3*$J1346^3+3*$J1346^2)+INDIRECT("D$"&amp;5+MIN(2,ROUNDDOWN(I1346,0))*3)*$J1346^3</f>
      </c>
      <c r="M1346" s="7">
        <f>SQRT(K1346^2+L1346^2)</f>
      </c>
      <c r="N1346" s="7">
        <f>(K1347-K1345)</f>
      </c>
      <c r="O1346" s="7">
        <f>+(L1347-L1345)</f>
      </c>
      <c r="P1346" s="7">
        <f>SQRT(O1346^2+N1346^2)</f>
      </c>
      <c r="Q1346" s="7">
        <f>N1346/$P1346</f>
      </c>
      <c r="R1346" s="7">
        <f>O1346/$P1346</f>
      </c>
      <c r="S1346" s="8">
        <f>Q1346^2+R1346^2</f>
      </c>
      <c r="T1346" s="7">
        <f>-R1346</f>
      </c>
      <c r="U1346" s="7">
        <f>Q1346</f>
      </c>
      <c r="V1346" s="7">
        <f>($C$14+($C$15-$C$14)/($D$15-$D$14)*(I1346-$D$14))/2</f>
      </c>
      <c r="W1346" s="7">
        <f>($B$22*I1346^4+$C$22*I1346^3+$D$22*I1346^2+$E$22*I1346+$F$22)/2</f>
      </c>
      <c r="X1346" s="7">
        <f>($W1346)*(T1346)</f>
      </c>
      <c r="Y1346" s="7">
        <f>($W1346)*(U1346)</f>
      </c>
      <c r="Z1346" s="7">
        <f>SQRT(X1346^2+Y1346^2)</f>
      </c>
      <c r="AA1346" s="7">
        <f>$K1346+$X1346</f>
      </c>
      <c r="AB1346" s="7">
        <f>$L1346+$Y1346</f>
      </c>
      <c r="AC1346" s="7">
        <f>$K1346-$X1346</f>
      </c>
      <c r="AD1346" s="7">
        <f>$L1346-$Y1346</f>
      </c>
      <c r="AE1346" s="7">
        <f>AA1346/39.3701</f>
      </c>
      <c r="AF1346" s="7">
        <f>AB1346/39.3701</f>
      </c>
      <c r="AG1346" s="7">
        <f>AC1346/39.3701</f>
      </c>
      <c r="AH1346" s="7">
        <f>AD1346/39.3701</f>
      </c>
      <c r="AI1346" s="1"/>
      <c r="AJ1346" s="1"/>
      <c r="AK1346" s="1"/>
      <c r="AL1346" s="1"/>
      <c r="AM1346" s="2"/>
      <c r="AN1346" s="1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  <c r="BA1346" s="1"/>
      <c r="BB1346" s="1"/>
      <c r="BC1346" s="1"/>
      <c r="BD1346" s="1"/>
      <c r="BE1346" s="1"/>
    </row>
    <row x14ac:dyDescent="0.25" r="1347" customHeight="1" ht="18.75">
      <c r="A1347" s="1"/>
      <c r="B1347" s="2"/>
      <c r="C1347" s="2"/>
      <c r="D1347" s="2"/>
      <c r="E1347" s="2"/>
      <c r="F1347" s="2"/>
      <c r="G1347" s="1"/>
      <c r="H1347" s="1"/>
      <c r="I1347" s="7">
        <v>1.344</v>
      </c>
      <c r="J1347" s="7">
        <f>IF((I1347-ROUNDDOWN(I1347,0))=0, 0, (I1347-ROUNDDOWN(I1347,0)))</f>
      </c>
      <c r="K1347" s="7">
        <f>INDIRECT("C$"&amp;2+MIN(2,ROUNDDOWN(I1347,0))*3)*(-$J1347^3+3*$J1347^2-3*$J1347+1)+INDIRECT("C$"&amp;3+MIN(2,ROUNDDOWN(I1347,0))*3)*(3*$J1347^3-6*$J1347^2+3*$J1347)+INDIRECT("C$"&amp;4+MIN(2,ROUNDDOWN(I1347,0))*3)*(-3*$J1347^3+3*$J1347^2)+INDIRECT("C$"&amp;5+MIN(2,ROUNDDOWN(I1347,0))*3)*$J1347^3</f>
      </c>
      <c r="L1347" s="7">
        <f>INDIRECT("D$"&amp;2+MIN(2,ROUNDDOWN(I1347,0))*3)*(-$J1347^3+3*$J1347^2-3*$J1347+1)+INDIRECT("D$"&amp;3+MIN(2,ROUNDDOWN(I1347,0))*3)*(3*$J1347^3-6*$J1347^2+3*$J1347)+INDIRECT("D$"&amp;4+MIN(2,ROUNDDOWN(I1347,0))*3)*(-3*$J1347^3+3*$J1347^2)+INDIRECT("D$"&amp;5+MIN(2,ROUNDDOWN(I1347,0))*3)*$J1347^3</f>
      </c>
      <c r="M1347" s="7">
        <f>SQRT(K1347^2+L1347^2)</f>
      </c>
      <c r="N1347" s="7">
        <f>(K1348-K1346)</f>
      </c>
      <c r="O1347" s="7">
        <f>+(L1348-L1346)</f>
      </c>
      <c r="P1347" s="7">
        <f>SQRT(O1347^2+N1347^2)</f>
      </c>
      <c r="Q1347" s="7">
        <f>N1347/$P1347</f>
      </c>
      <c r="R1347" s="7">
        <f>O1347/$P1347</f>
      </c>
      <c r="S1347" s="8">
        <f>Q1347^2+R1347^2</f>
      </c>
      <c r="T1347" s="7">
        <f>-R1347</f>
      </c>
      <c r="U1347" s="7">
        <f>Q1347</f>
      </c>
      <c r="V1347" s="7">
        <f>($C$14+($C$15-$C$14)/($D$15-$D$14)*(I1347-$D$14))/2</f>
      </c>
      <c r="W1347" s="7">
        <f>($B$22*I1347^4+$C$22*I1347^3+$D$22*I1347^2+$E$22*I1347+$F$22)/2</f>
      </c>
      <c r="X1347" s="7">
        <f>($W1347)*(T1347)</f>
      </c>
      <c r="Y1347" s="7">
        <f>($W1347)*(U1347)</f>
      </c>
      <c r="Z1347" s="7">
        <f>SQRT(X1347^2+Y1347^2)</f>
      </c>
      <c r="AA1347" s="7">
        <f>$K1347+$X1347</f>
      </c>
      <c r="AB1347" s="7">
        <f>$L1347+$Y1347</f>
      </c>
      <c r="AC1347" s="7">
        <f>$K1347-$X1347</f>
      </c>
      <c r="AD1347" s="7">
        <f>$L1347-$Y1347</f>
      </c>
      <c r="AE1347" s="7">
        <f>AA1347/39.3701</f>
      </c>
      <c r="AF1347" s="7">
        <f>AB1347/39.3701</f>
      </c>
      <c r="AG1347" s="7">
        <f>AC1347/39.3701</f>
      </c>
      <c r="AH1347" s="7">
        <f>AD1347/39.3701</f>
      </c>
      <c r="AI1347" s="1"/>
      <c r="AJ1347" s="1"/>
      <c r="AK1347" s="1"/>
      <c r="AL1347" s="1"/>
      <c r="AM1347" s="2"/>
      <c r="AN1347" s="1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  <c r="BA1347" s="1"/>
      <c r="BB1347" s="1"/>
      <c r="BC1347" s="1"/>
      <c r="BD1347" s="1"/>
      <c r="BE1347" s="1"/>
    </row>
    <row x14ac:dyDescent="0.25" r="1348" customHeight="1" ht="18.75">
      <c r="A1348" s="1"/>
      <c r="B1348" s="2"/>
      <c r="C1348" s="2"/>
      <c r="D1348" s="2"/>
      <c r="E1348" s="2"/>
      <c r="F1348" s="2"/>
      <c r="G1348" s="1"/>
      <c r="H1348" s="1"/>
      <c r="I1348" s="7">
        <v>1.345</v>
      </c>
      <c r="J1348" s="7">
        <f>IF((I1348-ROUNDDOWN(I1348,0))=0, 0, (I1348-ROUNDDOWN(I1348,0)))</f>
      </c>
      <c r="K1348" s="7">
        <f>INDIRECT("C$"&amp;2+MIN(2,ROUNDDOWN(I1348,0))*3)*(-$J1348^3+3*$J1348^2-3*$J1348+1)+INDIRECT("C$"&amp;3+MIN(2,ROUNDDOWN(I1348,0))*3)*(3*$J1348^3-6*$J1348^2+3*$J1348)+INDIRECT("C$"&amp;4+MIN(2,ROUNDDOWN(I1348,0))*3)*(-3*$J1348^3+3*$J1348^2)+INDIRECT("C$"&amp;5+MIN(2,ROUNDDOWN(I1348,0))*3)*$J1348^3</f>
      </c>
      <c r="L1348" s="7">
        <f>INDIRECT("D$"&amp;2+MIN(2,ROUNDDOWN(I1348,0))*3)*(-$J1348^3+3*$J1348^2-3*$J1348+1)+INDIRECT("D$"&amp;3+MIN(2,ROUNDDOWN(I1348,0))*3)*(3*$J1348^3-6*$J1348^2+3*$J1348)+INDIRECT("D$"&amp;4+MIN(2,ROUNDDOWN(I1348,0))*3)*(-3*$J1348^3+3*$J1348^2)+INDIRECT("D$"&amp;5+MIN(2,ROUNDDOWN(I1348,0))*3)*$J1348^3</f>
      </c>
      <c r="M1348" s="7">
        <f>SQRT(K1348^2+L1348^2)</f>
      </c>
      <c r="N1348" s="7">
        <f>(K1349-K1347)</f>
      </c>
      <c r="O1348" s="7">
        <f>+(L1349-L1347)</f>
      </c>
      <c r="P1348" s="7">
        <f>SQRT(O1348^2+N1348^2)</f>
      </c>
      <c r="Q1348" s="7">
        <f>N1348/$P1348</f>
      </c>
      <c r="R1348" s="7">
        <f>O1348/$P1348</f>
      </c>
      <c r="S1348" s="8">
        <f>Q1348^2+R1348^2</f>
      </c>
      <c r="T1348" s="7">
        <f>-R1348</f>
      </c>
      <c r="U1348" s="7">
        <f>Q1348</f>
      </c>
      <c r="V1348" s="7">
        <f>($C$14+($C$15-$C$14)/($D$15-$D$14)*(I1348-$D$14))/2</f>
      </c>
      <c r="W1348" s="7">
        <f>($B$22*I1348^4+$C$22*I1348^3+$D$22*I1348^2+$E$22*I1348+$F$22)/2</f>
      </c>
      <c r="X1348" s="7">
        <f>($W1348)*(T1348)</f>
      </c>
      <c r="Y1348" s="7">
        <f>($W1348)*(U1348)</f>
      </c>
      <c r="Z1348" s="7">
        <f>SQRT(X1348^2+Y1348^2)</f>
      </c>
      <c r="AA1348" s="7">
        <f>$K1348+$X1348</f>
      </c>
      <c r="AB1348" s="7">
        <f>$L1348+$Y1348</f>
      </c>
      <c r="AC1348" s="7">
        <f>$K1348-$X1348</f>
      </c>
      <c r="AD1348" s="7">
        <f>$L1348-$Y1348</f>
      </c>
      <c r="AE1348" s="7">
        <f>AA1348/39.3701</f>
      </c>
      <c r="AF1348" s="7">
        <f>AB1348/39.3701</f>
      </c>
      <c r="AG1348" s="7">
        <f>AC1348/39.3701</f>
      </c>
      <c r="AH1348" s="7">
        <f>AD1348/39.3701</f>
      </c>
      <c r="AI1348" s="1"/>
      <c r="AJ1348" s="1"/>
      <c r="AK1348" s="1"/>
      <c r="AL1348" s="1"/>
      <c r="AM1348" s="2"/>
      <c r="AN1348" s="1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  <c r="BA1348" s="1"/>
      <c r="BB1348" s="1"/>
      <c r="BC1348" s="1"/>
      <c r="BD1348" s="1"/>
      <c r="BE1348" s="1"/>
    </row>
    <row x14ac:dyDescent="0.25" r="1349" customHeight="1" ht="18.75">
      <c r="A1349" s="1"/>
      <c r="B1349" s="2"/>
      <c r="C1349" s="2"/>
      <c r="D1349" s="2"/>
      <c r="E1349" s="2"/>
      <c r="F1349" s="2"/>
      <c r="G1349" s="1"/>
      <c r="H1349" s="1"/>
      <c r="I1349" s="7">
        <v>1.346</v>
      </c>
      <c r="J1349" s="7">
        <f>IF((I1349-ROUNDDOWN(I1349,0))=0, 0, (I1349-ROUNDDOWN(I1349,0)))</f>
      </c>
      <c r="K1349" s="7">
        <f>INDIRECT("C$"&amp;2+MIN(2,ROUNDDOWN(I1349,0))*3)*(-$J1349^3+3*$J1349^2-3*$J1349+1)+INDIRECT("C$"&amp;3+MIN(2,ROUNDDOWN(I1349,0))*3)*(3*$J1349^3-6*$J1349^2+3*$J1349)+INDIRECT("C$"&amp;4+MIN(2,ROUNDDOWN(I1349,0))*3)*(-3*$J1349^3+3*$J1349^2)+INDIRECT("C$"&amp;5+MIN(2,ROUNDDOWN(I1349,0))*3)*$J1349^3</f>
      </c>
      <c r="L1349" s="7">
        <f>INDIRECT("D$"&amp;2+MIN(2,ROUNDDOWN(I1349,0))*3)*(-$J1349^3+3*$J1349^2-3*$J1349+1)+INDIRECT("D$"&amp;3+MIN(2,ROUNDDOWN(I1349,0))*3)*(3*$J1349^3-6*$J1349^2+3*$J1349)+INDIRECT("D$"&amp;4+MIN(2,ROUNDDOWN(I1349,0))*3)*(-3*$J1349^3+3*$J1349^2)+INDIRECT("D$"&amp;5+MIN(2,ROUNDDOWN(I1349,0))*3)*$J1349^3</f>
      </c>
      <c r="M1349" s="7">
        <f>SQRT(K1349^2+L1349^2)</f>
      </c>
      <c r="N1349" s="7">
        <f>(K1350-K1348)</f>
      </c>
      <c r="O1349" s="7">
        <f>+(L1350-L1348)</f>
      </c>
      <c r="P1349" s="7">
        <f>SQRT(O1349^2+N1349^2)</f>
      </c>
      <c r="Q1349" s="7">
        <f>N1349/$P1349</f>
      </c>
      <c r="R1349" s="7">
        <f>O1349/$P1349</f>
      </c>
      <c r="S1349" s="8">
        <f>Q1349^2+R1349^2</f>
      </c>
      <c r="T1349" s="7">
        <f>-R1349</f>
      </c>
      <c r="U1349" s="7">
        <f>Q1349</f>
      </c>
      <c r="V1349" s="7">
        <f>($C$14+($C$15-$C$14)/($D$15-$D$14)*(I1349-$D$14))/2</f>
      </c>
      <c r="W1349" s="7">
        <f>($B$22*I1349^4+$C$22*I1349^3+$D$22*I1349^2+$E$22*I1349+$F$22)/2</f>
      </c>
      <c r="X1349" s="7">
        <f>($W1349)*(T1349)</f>
      </c>
      <c r="Y1349" s="7">
        <f>($W1349)*(U1349)</f>
      </c>
      <c r="Z1349" s="7">
        <f>SQRT(X1349^2+Y1349^2)</f>
      </c>
      <c r="AA1349" s="7">
        <f>$K1349+$X1349</f>
      </c>
      <c r="AB1349" s="7">
        <f>$L1349+$Y1349</f>
      </c>
      <c r="AC1349" s="7">
        <f>$K1349-$X1349</f>
      </c>
      <c r="AD1349" s="7">
        <f>$L1349-$Y1349</f>
      </c>
      <c r="AE1349" s="7">
        <f>AA1349/39.3701</f>
      </c>
      <c r="AF1349" s="7">
        <f>AB1349/39.3701</f>
      </c>
      <c r="AG1349" s="7">
        <f>AC1349/39.3701</f>
      </c>
      <c r="AH1349" s="7">
        <f>AD1349/39.3701</f>
      </c>
      <c r="AI1349" s="1"/>
      <c r="AJ1349" s="1"/>
      <c r="AK1349" s="1"/>
      <c r="AL1349" s="1"/>
      <c r="AM1349" s="2"/>
      <c r="AN1349" s="1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  <c r="BA1349" s="1"/>
      <c r="BB1349" s="1"/>
      <c r="BC1349" s="1"/>
      <c r="BD1349" s="1"/>
      <c r="BE1349" s="1"/>
    </row>
    <row x14ac:dyDescent="0.25" r="1350" customHeight="1" ht="18.75">
      <c r="A1350" s="1"/>
      <c r="B1350" s="2"/>
      <c r="C1350" s="2"/>
      <c r="D1350" s="2"/>
      <c r="E1350" s="2"/>
      <c r="F1350" s="2"/>
      <c r="G1350" s="1"/>
      <c r="H1350" s="1"/>
      <c r="I1350" s="7">
        <v>1.347</v>
      </c>
      <c r="J1350" s="7">
        <f>IF((I1350-ROUNDDOWN(I1350,0))=0, 0, (I1350-ROUNDDOWN(I1350,0)))</f>
      </c>
      <c r="K1350" s="7">
        <f>INDIRECT("C$"&amp;2+MIN(2,ROUNDDOWN(I1350,0))*3)*(-$J1350^3+3*$J1350^2-3*$J1350+1)+INDIRECT("C$"&amp;3+MIN(2,ROUNDDOWN(I1350,0))*3)*(3*$J1350^3-6*$J1350^2+3*$J1350)+INDIRECT("C$"&amp;4+MIN(2,ROUNDDOWN(I1350,0))*3)*(-3*$J1350^3+3*$J1350^2)+INDIRECT("C$"&amp;5+MIN(2,ROUNDDOWN(I1350,0))*3)*$J1350^3</f>
      </c>
      <c r="L1350" s="7">
        <f>INDIRECT("D$"&amp;2+MIN(2,ROUNDDOWN(I1350,0))*3)*(-$J1350^3+3*$J1350^2-3*$J1350+1)+INDIRECT("D$"&amp;3+MIN(2,ROUNDDOWN(I1350,0))*3)*(3*$J1350^3-6*$J1350^2+3*$J1350)+INDIRECT("D$"&amp;4+MIN(2,ROUNDDOWN(I1350,0))*3)*(-3*$J1350^3+3*$J1350^2)+INDIRECT("D$"&amp;5+MIN(2,ROUNDDOWN(I1350,0))*3)*$J1350^3</f>
      </c>
      <c r="M1350" s="7">
        <f>SQRT(K1350^2+L1350^2)</f>
      </c>
      <c r="N1350" s="7">
        <f>(K1351-K1349)</f>
      </c>
      <c r="O1350" s="7">
        <f>+(L1351-L1349)</f>
      </c>
      <c r="P1350" s="7">
        <f>SQRT(O1350^2+N1350^2)</f>
      </c>
      <c r="Q1350" s="7">
        <f>N1350/$P1350</f>
      </c>
      <c r="R1350" s="7">
        <f>O1350/$P1350</f>
      </c>
      <c r="S1350" s="7">
        <f>Q1350^2+R1350^2</f>
      </c>
      <c r="T1350" s="7">
        <f>-R1350</f>
      </c>
      <c r="U1350" s="7">
        <f>Q1350</f>
      </c>
      <c r="V1350" s="7">
        <f>($C$14+($C$15-$C$14)/($D$15-$D$14)*(I1350-$D$14))/2</f>
      </c>
      <c r="W1350" s="7">
        <f>($B$22*I1350^4+$C$22*I1350^3+$D$22*I1350^2+$E$22*I1350+$F$22)/2</f>
      </c>
      <c r="X1350" s="7">
        <f>($W1350)*(T1350)</f>
      </c>
      <c r="Y1350" s="7">
        <f>($W1350)*(U1350)</f>
      </c>
      <c r="Z1350" s="7">
        <f>SQRT(X1350^2+Y1350^2)</f>
      </c>
      <c r="AA1350" s="7">
        <f>$K1350+$X1350</f>
      </c>
      <c r="AB1350" s="7">
        <f>$L1350+$Y1350</f>
      </c>
      <c r="AC1350" s="7">
        <f>$K1350-$X1350</f>
      </c>
      <c r="AD1350" s="7">
        <f>$L1350-$Y1350</f>
      </c>
      <c r="AE1350" s="7">
        <f>AA1350/39.3701</f>
      </c>
      <c r="AF1350" s="7">
        <f>AB1350/39.3701</f>
      </c>
      <c r="AG1350" s="7">
        <f>AC1350/39.3701</f>
      </c>
      <c r="AH1350" s="7">
        <f>AD1350/39.3701</f>
      </c>
      <c r="AI1350" s="1"/>
      <c r="AJ1350" s="1"/>
      <c r="AK1350" s="1"/>
      <c r="AL1350" s="1"/>
      <c r="AM1350" s="2"/>
      <c r="AN1350" s="1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  <c r="BA1350" s="1"/>
      <c r="BB1350" s="1"/>
      <c r="BC1350" s="1"/>
      <c r="BD1350" s="1"/>
      <c r="BE1350" s="1"/>
    </row>
    <row x14ac:dyDescent="0.25" r="1351" customHeight="1" ht="18.75">
      <c r="A1351" s="1"/>
      <c r="B1351" s="2"/>
      <c r="C1351" s="2"/>
      <c r="D1351" s="2"/>
      <c r="E1351" s="2"/>
      <c r="F1351" s="2"/>
      <c r="G1351" s="1"/>
      <c r="H1351" s="1"/>
      <c r="I1351" s="7">
        <v>1.348</v>
      </c>
      <c r="J1351" s="7">
        <f>IF((I1351-ROUNDDOWN(I1351,0))=0, 0, (I1351-ROUNDDOWN(I1351,0)))</f>
      </c>
      <c r="K1351" s="7">
        <f>INDIRECT("C$"&amp;2+MIN(2,ROUNDDOWN(I1351,0))*3)*(-$J1351^3+3*$J1351^2-3*$J1351+1)+INDIRECT("C$"&amp;3+MIN(2,ROUNDDOWN(I1351,0))*3)*(3*$J1351^3-6*$J1351^2+3*$J1351)+INDIRECT("C$"&amp;4+MIN(2,ROUNDDOWN(I1351,0))*3)*(-3*$J1351^3+3*$J1351^2)+INDIRECT("C$"&amp;5+MIN(2,ROUNDDOWN(I1351,0))*3)*$J1351^3</f>
      </c>
      <c r="L1351" s="7">
        <f>INDIRECT("D$"&amp;2+MIN(2,ROUNDDOWN(I1351,0))*3)*(-$J1351^3+3*$J1351^2-3*$J1351+1)+INDIRECT("D$"&amp;3+MIN(2,ROUNDDOWN(I1351,0))*3)*(3*$J1351^3-6*$J1351^2+3*$J1351)+INDIRECT("D$"&amp;4+MIN(2,ROUNDDOWN(I1351,0))*3)*(-3*$J1351^3+3*$J1351^2)+INDIRECT("D$"&amp;5+MIN(2,ROUNDDOWN(I1351,0))*3)*$J1351^3</f>
      </c>
      <c r="M1351" s="7">
        <f>SQRT(K1351^2+L1351^2)</f>
      </c>
      <c r="N1351" s="7">
        <f>(K1352-K1350)</f>
      </c>
      <c r="O1351" s="7">
        <f>+(L1352-L1350)</f>
      </c>
      <c r="P1351" s="7">
        <f>SQRT(O1351^2+N1351^2)</f>
      </c>
      <c r="Q1351" s="7">
        <f>N1351/$P1351</f>
      </c>
      <c r="R1351" s="7">
        <f>O1351/$P1351</f>
      </c>
      <c r="S1351" s="7">
        <f>Q1351^2+R1351^2</f>
      </c>
      <c r="T1351" s="7">
        <f>-R1351</f>
      </c>
      <c r="U1351" s="7">
        <f>Q1351</f>
      </c>
      <c r="V1351" s="7">
        <f>($C$14+($C$15-$C$14)/($D$15-$D$14)*(I1351-$D$14))/2</f>
      </c>
      <c r="W1351" s="7">
        <f>($B$22*I1351^4+$C$22*I1351^3+$D$22*I1351^2+$E$22*I1351+$F$22)/2</f>
      </c>
      <c r="X1351" s="7">
        <f>($W1351)*(T1351)</f>
      </c>
      <c r="Y1351" s="7">
        <f>($W1351)*(U1351)</f>
      </c>
      <c r="Z1351" s="7">
        <f>SQRT(X1351^2+Y1351^2)</f>
      </c>
      <c r="AA1351" s="7">
        <f>$K1351+$X1351</f>
      </c>
      <c r="AB1351" s="7">
        <f>$L1351+$Y1351</f>
      </c>
      <c r="AC1351" s="7">
        <f>$K1351-$X1351</f>
      </c>
      <c r="AD1351" s="7">
        <f>$L1351-$Y1351</f>
      </c>
      <c r="AE1351" s="7">
        <f>AA1351/39.3701</f>
      </c>
      <c r="AF1351" s="7">
        <f>AB1351/39.3701</f>
      </c>
      <c r="AG1351" s="7">
        <f>AC1351/39.3701</f>
      </c>
      <c r="AH1351" s="7">
        <f>AD1351/39.3701</f>
      </c>
      <c r="AI1351" s="1"/>
      <c r="AJ1351" s="1"/>
      <c r="AK1351" s="1"/>
      <c r="AL1351" s="1"/>
      <c r="AM1351" s="2"/>
      <c r="AN1351" s="1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  <c r="BA1351" s="1"/>
      <c r="BB1351" s="1"/>
      <c r="BC1351" s="1"/>
      <c r="BD1351" s="1"/>
      <c r="BE1351" s="1"/>
    </row>
    <row x14ac:dyDescent="0.25" r="1352" customHeight="1" ht="18.75">
      <c r="A1352" s="1"/>
      <c r="B1352" s="2"/>
      <c r="C1352" s="2"/>
      <c r="D1352" s="2"/>
      <c r="E1352" s="2"/>
      <c r="F1352" s="2"/>
      <c r="G1352" s="1"/>
      <c r="H1352" s="1"/>
      <c r="I1352" s="7">
        <v>1.349</v>
      </c>
      <c r="J1352" s="7">
        <f>IF((I1352-ROUNDDOWN(I1352,0))=0, 0, (I1352-ROUNDDOWN(I1352,0)))</f>
      </c>
      <c r="K1352" s="7">
        <f>INDIRECT("C$"&amp;2+MIN(2,ROUNDDOWN(I1352,0))*3)*(-$J1352^3+3*$J1352^2-3*$J1352+1)+INDIRECT("C$"&amp;3+MIN(2,ROUNDDOWN(I1352,0))*3)*(3*$J1352^3-6*$J1352^2+3*$J1352)+INDIRECT("C$"&amp;4+MIN(2,ROUNDDOWN(I1352,0))*3)*(-3*$J1352^3+3*$J1352^2)+INDIRECT("C$"&amp;5+MIN(2,ROUNDDOWN(I1352,0))*3)*$J1352^3</f>
      </c>
      <c r="L1352" s="7">
        <f>INDIRECT("D$"&amp;2+MIN(2,ROUNDDOWN(I1352,0))*3)*(-$J1352^3+3*$J1352^2-3*$J1352+1)+INDIRECT("D$"&amp;3+MIN(2,ROUNDDOWN(I1352,0))*3)*(3*$J1352^3-6*$J1352^2+3*$J1352)+INDIRECT("D$"&amp;4+MIN(2,ROUNDDOWN(I1352,0))*3)*(-3*$J1352^3+3*$J1352^2)+INDIRECT("D$"&amp;5+MIN(2,ROUNDDOWN(I1352,0))*3)*$J1352^3</f>
      </c>
      <c r="M1352" s="7">
        <f>SQRT(K1352^2+L1352^2)</f>
      </c>
      <c r="N1352" s="7">
        <f>(K1353-K1351)</f>
      </c>
      <c r="O1352" s="7">
        <f>+(L1353-L1351)</f>
      </c>
      <c r="P1352" s="7">
        <f>SQRT(O1352^2+N1352^2)</f>
      </c>
      <c r="Q1352" s="7">
        <f>N1352/$P1352</f>
      </c>
      <c r="R1352" s="7">
        <f>O1352/$P1352</f>
      </c>
      <c r="S1352" s="8">
        <f>Q1352^2+R1352^2</f>
      </c>
      <c r="T1352" s="7">
        <f>-R1352</f>
      </c>
      <c r="U1352" s="7">
        <f>Q1352</f>
      </c>
      <c r="V1352" s="7">
        <f>($C$14+($C$15-$C$14)/($D$15-$D$14)*(I1352-$D$14))/2</f>
      </c>
      <c r="W1352" s="7">
        <f>($B$22*I1352^4+$C$22*I1352^3+$D$22*I1352^2+$E$22*I1352+$F$22)/2</f>
      </c>
      <c r="X1352" s="7">
        <f>($W1352)*(T1352)</f>
      </c>
      <c r="Y1352" s="7">
        <f>($W1352)*(U1352)</f>
      </c>
      <c r="Z1352" s="7">
        <f>SQRT(X1352^2+Y1352^2)</f>
      </c>
      <c r="AA1352" s="7">
        <f>$K1352+$X1352</f>
      </c>
      <c r="AB1352" s="7">
        <f>$L1352+$Y1352</f>
      </c>
      <c r="AC1352" s="7">
        <f>$K1352-$X1352</f>
      </c>
      <c r="AD1352" s="7">
        <f>$L1352-$Y1352</f>
      </c>
      <c r="AE1352" s="7">
        <f>AA1352/39.3701</f>
      </c>
      <c r="AF1352" s="7">
        <f>AB1352/39.3701</f>
      </c>
      <c r="AG1352" s="7">
        <f>AC1352/39.3701</f>
      </c>
      <c r="AH1352" s="7">
        <f>AD1352/39.3701</f>
      </c>
      <c r="AI1352" s="1"/>
      <c r="AJ1352" s="1"/>
      <c r="AK1352" s="1"/>
      <c r="AL1352" s="1"/>
      <c r="AM1352" s="2"/>
      <c r="AN1352" s="1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  <c r="BA1352" s="1"/>
      <c r="BB1352" s="1"/>
      <c r="BC1352" s="1"/>
      <c r="BD1352" s="1"/>
      <c r="BE1352" s="1"/>
    </row>
    <row x14ac:dyDescent="0.25" r="1353" customHeight="1" ht="18.75">
      <c r="A1353" s="1"/>
      <c r="B1353" s="2"/>
      <c r="C1353" s="2"/>
      <c r="D1353" s="2"/>
      <c r="E1353" s="2"/>
      <c r="F1353" s="2"/>
      <c r="G1353" s="1"/>
      <c r="H1353" s="1"/>
      <c r="I1353" s="7">
        <v>1.35</v>
      </c>
      <c r="J1353" s="7">
        <f>IF((I1353-ROUNDDOWN(I1353,0))=0, 0, (I1353-ROUNDDOWN(I1353,0)))</f>
      </c>
      <c r="K1353" s="7">
        <f>INDIRECT("C$"&amp;2+MIN(2,ROUNDDOWN(I1353,0))*3)*(-$J1353^3+3*$J1353^2-3*$J1353+1)+INDIRECT("C$"&amp;3+MIN(2,ROUNDDOWN(I1353,0))*3)*(3*$J1353^3-6*$J1353^2+3*$J1353)+INDIRECT("C$"&amp;4+MIN(2,ROUNDDOWN(I1353,0))*3)*(-3*$J1353^3+3*$J1353^2)+INDIRECT("C$"&amp;5+MIN(2,ROUNDDOWN(I1353,0))*3)*$J1353^3</f>
      </c>
      <c r="L1353" s="7">
        <f>INDIRECT("D$"&amp;2+MIN(2,ROUNDDOWN(I1353,0))*3)*(-$J1353^3+3*$J1353^2-3*$J1353+1)+INDIRECT("D$"&amp;3+MIN(2,ROUNDDOWN(I1353,0))*3)*(3*$J1353^3-6*$J1353^2+3*$J1353)+INDIRECT("D$"&amp;4+MIN(2,ROUNDDOWN(I1353,0))*3)*(-3*$J1353^3+3*$J1353^2)+INDIRECT("D$"&amp;5+MIN(2,ROUNDDOWN(I1353,0))*3)*$J1353^3</f>
      </c>
      <c r="M1353" s="7">
        <f>SQRT(K1353^2+L1353^2)</f>
      </c>
      <c r="N1353" s="7">
        <f>(K1354-K1352)</f>
      </c>
      <c r="O1353" s="7">
        <f>+(L1354-L1352)</f>
      </c>
      <c r="P1353" s="7">
        <f>SQRT(O1353^2+N1353^2)</f>
      </c>
      <c r="Q1353" s="7">
        <f>N1353/$P1353</f>
      </c>
      <c r="R1353" s="7">
        <f>O1353/$P1353</f>
      </c>
      <c r="S1353" s="8">
        <f>Q1353^2+R1353^2</f>
      </c>
      <c r="T1353" s="7">
        <f>-R1353</f>
      </c>
      <c r="U1353" s="7">
        <f>Q1353</f>
      </c>
      <c r="V1353" s="7">
        <f>($C$14+($C$15-$C$14)/($D$15-$D$14)*(I1353-$D$14))/2</f>
      </c>
      <c r="W1353" s="7">
        <f>($B$22*I1353^4+$C$22*I1353^3+$D$22*I1353^2+$E$22*I1353+$F$22)/2</f>
      </c>
      <c r="X1353" s="7">
        <f>($W1353)*(T1353)</f>
      </c>
      <c r="Y1353" s="7">
        <f>($W1353)*(U1353)</f>
      </c>
      <c r="Z1353" s="7">
        <f>SQRT(X1353^2+Y1353^2)</f>
      </c>
      <c r="AA1353" s="7">
        <f>$K1353+$X1353</f>
      </c>
      <c r="AB1353" s="7">
        <f>$L1353+$Y1353</f>
      </c>
      <c r="AC1353" s="7">
        <f>$K1353-$X1353</f>
      </c>
      <c r="AD1353" s="7">
        <f>$L1353-$Y1353</f>
      </c>
      <c r="AE1353" s="7">
        <f>AA1353/39.3701</f>
      </c>
      <c r="AF1353" s="7">
        <f>AB1353/39.3701</f>
      </c>
      <c r="AG1353" s="7">
        <f>AC1353/39.3701</f>
      </c>
      <c r="AH1353" s="7">
        <f>AD1353/39.3701</f>
      </c>
      <c r="AI1353" s="1"/>
      <c r="AJ1353" s="1"/>
      <c r="AK1353" s="1"/>
      <c r="AL1353" s="1"/>
      <c r="AM1353" s="2"/>
      <c r="AN1353" s="1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  <c r="BA1353" s="1"/>
      <c r="BB1353" s="1"/>
      <c r="BC1353" s="1"/>
      <c r="BD1353" s="1"/>
      <c r="BE1353" s="1"/>
    </row>
    <row x14ac:dyDescent="0.25" r="1354" customHeight="1" ht="18.75">
      <c r="A1354" s="1"/>
      <c r="B1354" s="2"/>
      <c r="C1354" s="2"/>
      <c r="D1354" s="2"/>
      <c r="E1354" s="2"/>
      <c r="F1354" s="2"/>
      <c r="G1354" s="1"/>
      <c r="H1354" s="1"/>
      <c r="I1354" s="7">
        <v>1.351</v>
      </c>
      <c r="J1354" s="7">
        <f>IF((I1354-ROUNDDOWN(I1354,0))=0, 0, (I1354-ROUNDDOWN(I1354,0)))</f>
      </c>
      <c r="K1354" s="7">
        <f>INDIRECT("C$"&amp;2+MIN(2,ROUNDDOWN(I1354,0))*3)*(-$J1354^3+3*$J1354^2-3*$J1354+1)+INDIRECT("C$"&amp;3+MIN(2,ROUNDDOWN(I1354,0))*3)*(3*$J1354^3-6*$J1354^2+3*$J1354)+INDIRECT("C$"&amp;4+MIN(2,ROUNDDOWN(I1354,0))*3)*(-3*$J1354^3+3*$J1354^2)+INDIRECT("C$"&amp;5+MIN(2,ROUNDDOWN(I1354,0))*3)*$J1354^3</f>
      </c>
      <c r="L1354" s="7">
        <f>INDIRECT("D$"&amp;2+MIN(2,ROUNDDOWN(I1354,0))*3)*(-$J1354^3+3*$J1354^2-3*$J1354+1)+INDIRECT("D$"&amp;3+MIN(2,ROUNDDOWN(I1354,0))*3)*(3*$J1354^3-6*$J1354^2+3*$J1354)+INDIRECT("D$"&amp;4+MIN(2,ROUNDDOWN(I1354,0))*3)*(-3*$J1354^3+3*$J1354^2)+INDIRECT("D$"&amp;5+MIN(2,ROUNDDOWN(I1354,0))*3)*$J1354^3</f>
      </c>
      <c r="M1354" s="7">
        <f>SQRT(K1354^2+L1354^2)</f>
      </c>
      <c r="N1354" s="7">
        <f>(K1355-K1353)</f>
      </c>
      <c r="O1354" s="7">
        <f>+(L1355-L1353)</f>
      </c>
      <c r="P1354" s="7">
        <f>SQRT(O1354^2+N1354^2)</f>
      </c>
      <c r="Q1354" s="7">
        <f>N1354/$P1354</f>
      </c>
      <c r="R1354" s="7">
        <f>O1354/$P1354</f>
      </c>
      <c r="S1354" s="7">
        <f>Q1354^2+R1354^2</f>
      </c>
      <c r="T1354" s="7">
        <f>-R1354</f>
      </c>
      <c r="U1354" s="7">
        <f>Q1354</f>
      </c>
      <c r="V1354" s="7">
        <f>($C$14+($C$15-$C$14)/($D$15-$D$14)*(I1354-$D$14))/2</f>
      </c>
      <c r="W1354" s="7">
        <f>($B$22*I1354^4+$C$22*I1354^3+$D$22*I1354^2+$E$22*I1354+$F$22)/2</f>
      </c>
      <c r="X1354" s="7">
        <f>($W1354)*(T1354)</f>
      </c>
      <c r="Y1354" s="7">
        <f>($W1354)*(U1354)</f>
      </c>
      <c r="Z1354" s="7">
        <f>SQRT(X1354^2+Y1354^2)</f>
      </c>
      <c r="AA1354" s="7">
        <f>$K1354+$X1354</f>
      </c>
      <c r="AB1354" s="7">
        <f>$L1354+$Y1354</f>
      </c>
      <c r="AC1354" s="7">
        <f>$K1354-$X1354</f>
      </c>
      <c r="AD1354" s="7">
        <f>$L1354-$Y1354</f>
      </c>
      <c r="AE1354" s="7">
        <f>AA1354/39.3701</f>
      </c>
      <c r="AF1354" s="7">
        <f>AB1354/39.3701</f>
      </c>
      <c r="AG1354" s="7">
        <f>AC1354/39.3701</f>
      </c>
      <c r="AH1354" s="7">
        <f>AD1354/39.3701</f>
      </c>
      <c r="AI1354" s="1"/>
      <c r="AJ1354" s="1"/>
      <c r="AK1354" s="1"/>
      <c r="AL1354" s="1"/>
      <c r="AM1354" s="2"/>
      <c r="AN1354" s="1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  <c r="BA1354" s="1"/>
      <c r="BB1354" s="1"/>
      <c r="BC1354" s="1"/>
      <c r="BD1354" s="1"/>
      <c r="BE1354" s="1"/>
    </row>
    <row x14ac:dyDescent="0.25" r="1355" customHeight="1" ht="18.75">
      <c r="A1355" s="1"/>
      <c r="B1355" s="2"/>
      <c r="C1355" s="2"/>
      <c r="D1355" s="2"/>
      <c r="E1355" s="2"/>
      <c r="F1355" s="2"/>
      <c r="G1355" s="1"/>
      <c r="H1355" s="1"/>
      <c r="I1355" s="7">
        <v>1.352</v>
      </c>
      <c r="J1355" s="7">
        <f>IF((I1355-ROUNDDOWN(I1355,0))=0, 0, (I1355-ROUNDDOWN(I1355,0)))</f>
      </c>
      <c r="K1355" s="7">
        <f>INDIRECT("C$"&amp;2+MIN(2,ROUNDDOWN(I1355,0))*3)*(-$J1355^3+3*$J1355^2-3*$J1355+1)+INDIRECT("C$"&amp;3+MIN(2,ROUNDDOWN(I1355,0))*3)*(3*$J1355^3-6*$J1355^2+3*$J1355)+INDIRECT("C$"&amp;4+MIN(2,ROUNDDOWN(I1355,0))*3)*(-3*$J1355^3+3*$J1355^2)+INDIRECT("C$"&amp;5+MIN(2,ROUNDDOWN(I1355,0))*3)*$J1355^3</f>
      </c>
      <c r="L1355" s="7">
        <f>INDIRECT("D$"&amp;2+MIN(2,ROUNDDOWN(I1355,0))*3)*(-$J1355^3+3*$J1355^2-3*$J1355+1)+INDIRECT("D$"&amp;3+MIN(2,ROUNDDOWN(I1355,0))*3)*(3*$J1355^3-6*$J1355^2+3*$J1355)+INDIRECT("D$"&amp;4+MIN(2,ROUNDDOWN(I1355,0))*3)*(-3*$J1355^3+3*$J1355^2)+INDIRECT("D$"&amp;5+MIN(2,ROUNDDOWN(I1355,0))*3)*$J1355^3</f>
      </c>
      <c r="M1355" s="7">
        <f>SQRT(K1355^2+L1355^2)</f>
      </c>
      <c r="N1355" s="7">
        <f>(K1356-K1354)</f>
      </c>
      <c r="O1355" s="7">
        <f>+(L1356-L1354)</f>
      </c>
      <c r="P1355" s="7">
        <f>SQRT(O1355^2+N1355^2)</f>
      </c>
      <c r="Q1355" s="7">
        <f>N1355/$P1355</f>
      </c>
      <c r="R1355" s="7">
        <f>O1355/$P1355</f>
      </c>
      <c r="S1355" s="8">
        <f>Q1355^2+R1355^2</f>
      </c>
      <c r="T1355" s="7">
        <f>-R1355</f>
      </c>
      <c r="U1355" s="7">
        <f>Q1355</f>
      </c>
      <c r="V1355" s="7">
        <f>($C$14+($C$15-$C$14)/($D$15-$D$14)*(I1355-$D$14))/2</f>
      </c>
      <c r="W1355" s="7">
        <f>($B$22*I1355^4+$C$22*I1355^3+$D$22*I1355^2+$E$22*I1355+$F$22)/2</f>
      </c>
      <c r="X1355" s="7">
        <f>($W1355)*(T1355)</f>
      </c>
      <c r="Y1355" s="7">
        <f>($W1355)*(U1355)</f>
      </c>
      <c r="Z1355" s="7">
        <f>SQRT(X1355^2+Y1355^2)</f>
      </c>
      <c r="AA1355" s="7">
        <f>$K1355+$X1355</f>
      </c>
      <c r="AB1355" s="7">
        <f>$L1355+$Y1355</f>
      </c>
      <c r="AC1355" s="7">
        <f>$K1355-$X1355</f>
      </c>
      <c r="AD1355" s="7">
        <f>$L1355-$Y1355</f>
      </c>
      <c r="AE1355" s="7">
        <f>AA1355/39.3701</f>
      </c>
      <c r="AF1355" s="7">
        <f>AB1355/39.3701</f>
      </c>
      <c r="AG1355" s="7">
        <f>AC1355/39.3701</f>
      </c>
      <c r="AH1355" s="7">
        <f>AD1355/39.3701</f>
      </c>
      <c r="AI1355" s="1"/>
      <c r="AJ1355" s="1"/>
      <c r="AK1355" s="1"/>
      <c r="AL1355" s="1"/>
      <c r="AM1355" s="2"/>
      <c r="AN1355" s="1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  <c r="BA1355" s="1"/>
      <c r="BB1355" s="1"/>
      <c r="BC1355" s="1"/>
      <c r="BD1355" s="1"/>
      <c r="BE1355" s="1"/>
    </row>
    <row x14ac:dyDescent="0.25" r="1356" customHeight="1" ht="18.75">
      <c r="A1356" s="1"/>
      <c r="B1356" s="2"/>
      <c r="C1356" s="2"/>
      <c r="D1356" s="2"/>
      <c r="E1356" s="2"/>
      <c r="F1356" s="2"/>
      <c r="G1356" s="1"/>
      <c r="H1356" s="1"/>
      <c r="I1356" s="7">
        <v>1.353</v>
      </c>
      <c r="J1356" s="7">
        <f>IF((I1356-ROUNDDOWN(I1356,0))=0, 0, (I1356-ROUNDDOWN(I1356,0)))</f>
      </c>
      <c r="K1356" s="7">
        <f>INDIRECT("C$"&amp;2+MIN(2,ROUNDDOWN(I1356,0))*3)*(-$J1356^3+3*$J1356^2-3*$J1356+1)+INDIRECT("C$"&amp;3+MIN(2,ROUNDDOWN(I1356,0))*3)*(3*$J1356^3-6*$J1356^2+3*$J1356)+INDIRECT("C$"&amp;4+MIN(2,ROUNDDOWN(I1356,0))*3)*(-3*$J1356^3+3*$J1356^2)+INDIRECT("C$"&amp;5+MIN(2,ROUNDDOWN(I1356,0))*3)*$J1356^3</f>
      </c>
      <c r="L1356" s="7">
        <f>INDIRECT("D$"&amp;2+MIN(2,ROUNDDOWN(I1356,0))*3)*(-$J1356^3+3*$J1356^2-3*$J1356+1)+INDIRECT("D$"&amp;3+MIN(2,ROUNDDOWN(I1356,0))*3)*(3*$J1356^3-6*$J1356^2+3*$J1356)+INDIRECT("D$"&amp;4+MIN(2,ROUNDDOWN(I1356,0))*3)*(-3*$J1356^3+3*$J1356^2)+INDIRECT("D$"&amp;5+MIN(2,ROUNDDOWN(I1356,0))*3)*$J1356^3</f>
      </c>
      <c r="M1356" s="7">
        <f>SQRT(K1356^2+L1356^2)</f>
      </c>
      <c r="N1356" s="7">
        <f>(K1357-K1355)</f>
      </c>
      <c r="O1356" s="7">
        <f>+(L1357-L1355)</f>
      </c>
      <c r="P1356" s="7">
        <f>SQRT(O1356^2+N1356^2)</f>
      </c>
      <c r="Q1356" s="7">
        <f>N1356/$P1356</f>
      </c>
      <c r="R1356" s="7">
        <f>O1356/$P1356</f>
      </c>
      <c r="S1356" s="8">
        <f>Q1356^2+R1356^2</f>
      </c>
      <c r="T1356" s="7">
        <f>-R1356</f>
      </c>
      <c r="U1356" s="7">
        <f>Q1356</f>
      </c>
      <c r="V1356" s="7">
        <f>($C$14+($C$15-$C$14)/($D$15-$D$14)*(I1356-$D$14))/2</f>
      </c>
      <c r="W1356" s="7">
        <f>($B$22*I1356^4+$C$22*I1356^3+$D$22*I1356^2+$E$22*I1356+$F$22)/2</f>
      </c>
      <c r="X1356" s="7">
        <f>($W1356)*(T1356)</f>
      </c>
      <c r="Y1356" s="7">
        <f>($W1356)*(U1356)</f>
      </c>
      <c r="Z1356" s="7">
        <f>SQRT(X1356^2+Y1356^2)</f>
      </c>
      <c r="AA1356" s="7">
        <f>$K1356+$X1356</f>
      </c>
      <c r="AB1356" s="7">
        <f>$L1356+$Y1356</f>
      </c>
      <c r="AC1356" s="7">
        <f>$K1356-$X1356</f>
      </c>
      <c r="AD1356" s="7">
        <f>$L1356-$Y1356</f>
      </c>
      <c r="AE1356" s="7">
        <f>AA1356/39.3701</f>
      </c>
      <c r="AF1356" s="7">
        <f>AB1356/39.3701</f>
      </c>
      <c r="AG1356" s="7">
        <f>AC1356/39.3701</f>
      </c>
      <c r="AH1356" s="7">
        <f>AD1356/39.3701</f>
      </c>
      <c r="AI1356" s="1"/>
      <c r="AJ1356" s="1"/>
      <c r="AK1356" s="1"/>
      <c r="AL1356" s="1"/>
      <c r="AM1356" s="2"/>
      <c r="AN1356" s="1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  <c r="BA1356" s="1"/>
      <c r="BB1356" s="1"/>
      <c r="BC1356" s="1"/>
      <c r="BD1356" s="1"/>
      <c r="BE1356" s="1"/>
    </row>
    <row x14ac:dyDescent="0.25" r="1357" customHeight="1" ht="18.75">
      <c r="A1357" s="1"/>
      <c r="B1357" s="2"/>
      <c r="C1357" s="2"/>
      <c r="D1357" s="2"/>
      <c r="E1357" s="2"/>
      <c r="F1357" s="2"/>
      <c r="G1357" s="1"/>
      <c r="H1357" s="1"/>
      <c r="I1357" s="7">
        <v>1.354</v>
      </c>
      <c r="J1357" s="7">
        <f>IF((I1357-ROUNDDOWN(I1357,0))=0, 0, (I1357-ROUNDDOWN(I1357,0)))</f>
      </c>
      <c r="K1357" s="7">
        <f>INDIRECT("C$"&amp;2+MIN(2,ROUNDDOWN(I1357,0))*3)*(-$J1357^3+3*$J1357^2-3*$J1357+1)+INDIRECT("C$"&amp;3+MIN(2,ROUNDDOWN(I1357,0))*3)*(3*$J1357^3-6*$J1357^2+3*$J1357)+INDIRECT("C$"&amp;4+MIN(2,ROUNDDOWN(I1357,0))*3)*(-3*$J1357^3+3*$J1357^2)+INDIRECT("C$"&amp;5+MIN(2,ROUNDDOWN(I1357,0))*3)*$J1357^3</f>
      </c>
      <c r="L1357" s="7">
        <f>INDIRECT("D$"&amp;2+MIN(2,ROUNDDOWN(I1357,0))*3)*(-$J1357^3+3*$J1357^2-3*$J1357+1)+INDIRECT("D$"&amp;3+MIN(2,ROUNDDOWN(I1357,0))*3)*(3*$J1357^3-6*$J1357^2+3*$J1357)+INDIRECT("D$"&amp;4+MIN(2,ROUNDDOWN(I1357,0))*3)*(-3*$J1357^3+3*$J1357^2)+INDIRECT("D$"&amp;5+MIN(2,ROUNDDOWN(I1357,0))*3)*$J1357^3</f>
      </c>
      <c r="M1357" s="7">
        <f>SQRT(K1357^2+L1357^2)</f>
      </c>
      <c r="N1357" s="7">
        <f>(K1358-K1356)</f>
      </c>
      <c r="O1357" s="7">
        <f>+(L1358-L1356)</f>
      </c>
      <c r="P1357" s="7">
        <f>SQRT(O1357^2+N1357^2)</f>
      </c>
      <c r="Q1357" s="7">
        <f>N1357/$P1357</f>
      </c>
      <c r="R1357" s="7">
        <f>O1357/$P1357</f>
      </c>
      <c r="S1357" s="8">
        <f>Q1357^2+R1357^2</f>
      </c>
      <c r="T1357" s="7">
        <f>-R1357</f>
      </c>
      <c r="U1357" s="7">
        <f>Q1357</f>
      </c>
      <c r="V1357" s="7">
        <f>($C$14+($C$15-$C$14)/($D$15-$D$14)*(I1357-$D$14))/2</f>
      </c>
      <c r="W1357" s="7">
        <f>($B$22*I1357^4+$C$22*I1357^3+$D$22*I1357^2+$E$22*I1357+$F$22)/2</f>
      </c>
      <c r="X1357" s="7">
        <f>($W1357)*(T1357)</f>
      </c>
      <c r="Y1357" s="7">
        <f>($W1357)*(U1357)</f>
      </c>
      <c r="Z1357" s="7">
        <f>SQRT(X1357^2+Y1357^2)</f>
      </c>
      <c r="AA1357" s="7">
        <f>$K1357+$X1357</f>
      </c>
      <c r="AB1357" s="7">
        <f>$L1357+$Y1357</f>
      </c>
      <c r="AC1357" s="7">
        <f>$K1357-$X1357</f>
      </c>
      <c r="AD1357" s="7">
        <f>$L1357-$Y1357</f>
      </c>
      <c r="AE1357" s="7">
        <f>AA1357/39.3701</f>
      </c>
      <c r="AF1357" s="7">
        <f>AB1357/39.3701</f>
      </c>
      <c r="AG1357" s="7">
        <f>AC1357/39.3701</f>
      </c>
      <c r="AH1357" s="7">
        <f>AD1357/39.3701</f>
      </c>
      <c r="AI1357" s="1"/>
      <c r="AJ1357" s="1"/>
      <c r="AK1357" s="1"/>
      <c r="AL1357" s="1"/>
      <c r="AM1357" s="2"/>
      <c r="AN1357" s="1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  <c r="BA1357" s="1"/>
      <c r="BB1357" s="1"/>
      <c r="BC1357" s="1"/>
      <c r="BD1357" s="1"/>
      <c r="BE1357" s="1"/>
    </row>
    <row x14ac:dyDescent="0.25" r="1358" customHeight="1" ht="18.75">
      <c r="A1358" s="1"/>
      <c r="B1358" s="2"/>
      <c r="C1358" s="2"/>
      <c r="D1358" s="2"/>
      <c r="E1358" s="2"/>
      <c r="F1358" s="2"/>
      <c r="G1358" s="1"/>
      <c r="H1358" s="1"/>
      <c r="I1358" s="7">
        <v>1.355</v>
      </c>
      <c r="J1358" s="7">
        <f>IF((I1358-ROUNDDOWN(I1358,0))=0, 0, (I1358-ROUNDDOWN(I1358,0)))</f>
      </c>
      <c r="K1358" s="7">
        <f>INDIRECT("C$"&amp;2+MIN(2,ROUNDDOWN(I1358,0))*3)*(-$J1358^3+3*$J1358^2-3*$J1358+1)+INDIRECT("C$"&amp;3+MIN(2,ROUNDDOWN(I1358,0))*3)*(3*$J1358^3-6*$J1358^2+3*$J1358)+INDIRECT("C$"&amp;4+MIN(2,ROUNDDOWN(I1358,0))*3)*(-3*$J1358^3+3*$J1358^2)+INDIRECT("C$"&amp;5+MIN(2,ROUNDDOWN(I1358,0))*3)*$J1358^3</f>
      </c>
      <c r="L1358" s="7">
        <f>INDIRECT("D$"&amp;2+MIN(2,ROUNDDOWN(I1358,0))*3)*(-$J1358^3+3*$J1358^2-3*$J1358+1)+INDIRECT("D$"&amp;3+MIN(2,ROUNDDOWN(I1358,0))*3)*(3*$J1358^3-6*$J1358^2+3*$J1358)+INDIRECT("D$"&amp;4+MIN(2,ROUNDDOWN(I1358,0))*3)*(-3*$J1358^3+3*$J1358^2)+INDIRECT("D$"&amp;5+MIN(2,ROUNDDOWN(I1358,0))*3)*$J1358^3</f>
      </c>
      <c r="M1358" s="7">
        <f>SQRT(K1358^2+L1358^2)</f>
      </c>
      <c r="N1358" s="7">
        <f>(K1359-K1357)</f>
      </c>
      <c r="O1358" s="7">
        <f>+(L1359-L1357)</f>
      </c>
      <c r="P1358" s="7">
        <f>SQRT(O1358^2+N1358^2)</f>
      </c>
      <c r="Q1358" s="7">
        <f>N1358/$P1358</f>
      </c>
      <c r="R1358" s="7">
        <f>O1358/$P1358</f>
      </c>
      <c r="S1358" s="7">
        <f>Q1358^2+R1358^2</f>
      </c>
      <c r="T1358" s="7">
        <f>-R1358</f>
      </c>
      <c r="U1358" s="7">
        <f>Q1358</f>
      </c>
      <c r="V1358" s="7">
        <f>($C$14+($C$15-$C$14)/($D$15-$D$14)*(I1358-$D$14))/2</f>
      </c>
      <c r="W1358" s="7">
        <f>($B$22*I1358^4+$C$22*I1358^3+$D$22*I1358^2+$E$22*I1358+$F$22)/2</f>
      </c>
      <c r="X1358" s="7">
        <f>($W1358)*(T1358)</f>
      </c>
      <c r="Y1358" s="7">
        <f>($W1358)*(U1358)</f>
      </c>
      <c r="Z1358" s="7">
        <f>SQRT(X1358^2+Y1358^2)</f>
      </c>
      <c r="AA1358" s="7">
        <f>$K1358+$X1358</f>
      </c>
      <c r="AB1358" s="7">
        <f>$L1358+$Y1358</f>
      </c>
      <c r="AC1358" s="7">
        <f>$K1358-$X1358</f>
      </c>
      <c r="AD1358" s="7">
        <f>$L1358-$Y1358</f>
      </c>
      <c r="AE1358" s="7">
        <f>AA1358/39.3701</f>
      </c>
      <c r="AF1358" s="7">
        <f>AB1358/39.3701</f>
      </c>
      <c r="AG1358" s="7">
        <f>AC1358/39.3701</f>
      </c>
      <c r="AH1358" s="7">
        <f>AD1358/39.3701</f>
      </c>
      <c r="AI1358" s="1"/>
      <c r="AJ1358" s="1"/>
      <c r="AK1358" s="1"/>
      <c r="AL1358" s="1"/>
      <c r="AM1358" s="2"/>
      <c r="AN1358" s="1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  <c r="BA1358" s="1"/>
      <c r="BB1358" s="1"/>
      <c r="BC1358" s="1"/>
      <c r="BD1358" s="1"/>
      <c r="BE1358" s="1"/>
    </row>
    <row x14ac:dyDescent="0.25" r="1359" customHeight="1" ht="18.75">
      <c r="A1359" s="1"/>
      <c r="B1359" s="2"/>
      <c r="C1359" s="2"/>
      <c r="D1359" s="2"/>
      <c r="E1359" s="2"/>
      <c r="F1359" s="2"/>
      <c r="G1359" s="1"/>
      <c r="H1359" s="1"/>
      <c r="I1359" s="7">
        <v>1.356</v>
      </c>
      <c r="J1359" s="7">
        <f>IF((I1359-ROUNDDOWN(I1359,0))=0, 0, (I1359-ROUNDDOWN(I1359,0)))</f>
      </c>
      <c r="K1359" s="7">
        <f>INDIRECT("C$"&amp;2+MIN(2,ROUNDDOWN(I1359,0))*3)*(-$J1359^3+3*$J1359^2-3*$J1359+1)+INDIRECT("C$"&amp;3+MIN(2,ROUNDDOWN(I1359,0))*3)*(3*$J1359^3-6*$J1359^2+3*$J1359)+INDIRECT("C$"&amp;4+MIN(2,ROUNDDOWN(I1359,0))*3)*(-3*$J1359^3+3*$J1359^2)+INDIRECT("C$"&amp;5+MIN(2,ROUNDDOWN(I1359,0))*3)*$J1359^3</f>
      </c>
      <c r="L1359" s="7">
        <f>INDIRECT("D$"&amp;2+MIN(2,ROUNDDOWN(I1359,0))*3)*(-$J1359^3+3*$J1359^2-3*$J1359+1)+INDIRECT("D$"&amp;3+MIN(2,ROUNDDOWN(I1359,0))*3)*(3*$J1359^3-6*$J1359^2+3*$J1359)+INDIRECT("D$"&amp;4+MIN(2,ROUNDDOWN(I1359,0))*3)*(-3*$J1359^3+3*$J1359^2)+INDIRECT("D$"&amp;5+MIN(2,ROUNDDOWN(I1359,0))*3)*$J1359^3</f>
      </c>
      <c r="M1359" s="7">
        <f>SQRT(K1359^2+L1359^2)</f>
      </c>
      <c r="N1359" s="7">
        <f>(K1360-K1358)</f>
      </c>
      <c r="O1359" s="7">
        <f>+(L1360-L1358)</f>
      </c>
      <c r="P1359" s="7">
        <f>SQRT(O1359^2+N1359^2)</f>
      </c>
      <c r="Q1359" s="7">
        <f>N1359/$P1359</f>
      </c>
      <c r="R1359" s="7">
        <f>O1359/$P1359</f>
      </c>
      <c r="S1359" s="7">
        <f>Q1359^2+R1359^2</f>
      </c>
      <c r="T1359" s="7">
        <f>-R1359</f>
      </c>
      <c r="U1359" s="7">
        <f>Q1359</f>
      </c>
      <c r="V1359" s="7">
        <f>($C$14+($C$15-$C$14)/($D$15-$D$14)*(I1359-$D$14))/2</f>
      </c>
      <c r="W1359" s="7">
        <f>($B$22*I1359^4+$C$22*I1359^3+$D$22*I1359^2+$E$22*I1359+$F$22)/2</f>
      </c>
      <c r="X1359" s="7">
        <f>($W1359)*(T1359)</f>
      </c>
      <c r="Y1359" s="7">
        <f>($W1359)*(U1359)</f>
      </c>
      <c r="Z1359" s="7">
        <f>SQRT(X1359^2+Y1359^2)</f>
      </c>
      <c r="AA1359" s="7">
        <f>$K1359+$X1359</f>
      </c>
      <c r="AB1359" s="7">
        <f>$L1359+$Y1359</f>
      </c>
      <c r="AC1359" s="7">
        <f>$K1359-$X1359</f>
      </c>
      <c r="AD1359" s="7">
        <f>$L1359-$Y1359</f>
      </c>
      <c r="AE1359" s="7">
        <f>AA1359/39.3701</f>
      </c>
      <c r="AF1359" s="7">
        <f>AB1359/39.3701</f>
      </c>
      <c r="AG1359" s="7">
        <f>AC1359/39.3701</f>
      </c>
      <c r="AH1359" s="7">
        <f>AD1359/39.3701</f>
      </c>
      <c r="AI1359" s="1"/>
      <c r="AJ1359" s="1"/>
      <c r="AK1359" s="1"/>
      <c r="AL1359" s="1"/>
      <c r="AM1359" s="2"/>
      <c r="AN1359" s="1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  <c r="BA1359" s="1"/>
      <c r="BB1359" s="1"/>
      <c r="BC1359" s="1"/>
      <c r="BD1359" s="1"/>
      <c r="BE1359" s="1"/>
    </row>
    <row x14ac:dyDescent="0.25" r="1360" customHeight="1" ht="18.75">
      <c r="A1360" s="1"/>
      <c r="B1360" s="2"/>
      <c r="C1360" s="2"/>
      <c r="D1360" s="2"/>
      <c r="E1360" s="2"/>
      <c r="F1360" s="2"/>
      <c r="G1360" s="1"/>
      <c r="H1360" s="1"/>
      <c r="I1360" s="7">
        <v>1.357</v>
      </c>
      <c r="J1360" s="7">
        <f>IF((I1360-ROUNDDOWN(I1360,0))=0, 0, (I1360-ROUNDDOWN(I1360,0)))</f>
      </c>
      <c r="K1360" s="7">
        <f>INDIRECT("C$"&amp;2+MIN(2,ROUNDDOWN(I1360,0))*3)*(-$J1360^3+3*$J1360^2-3*$J1360+1)+INDIRECT("C$"&amp;3+MIN(2,ROUNDDOWN(I1360,0))*3)*(3*$J1360^3-6*$J1360^2+3*$J1360)+INDIRECT("C$"&amp;4+MIN(2,ROUNDDOWN(I1360,0))*3)*(-3*$J1360^3+3*$J1360^2)+INDIRECT("C$"&amp;5+MIN(2,ROUNDDOWN(I1360,0))*3)*$J1360^3</f>
      </c>
      <c r="L1360" s="7">
        <f>INDIRECT("D$"&amp;2+MIN(2,ROUNDDOWN(I1360,0))*3)*(-$J1360^3+3*$J1360^2-3*$J1360+1)+INDIRECT("D$"&amp;3+MIN(2,ROUNDDOWN(I1360,0))*3)*(3*$J1360^3-6*$J1360^2+3*$J1360)+INDIRECT("D$"&amp;4+MIN(2,ROUNDDOWN(I1360,0))*3)*(-3*$J1360^3+3*$J1360^2)+INDIRECT("D$"&amp;5+MIN(2,ROUNDDOWN(I1360,0))*3)*$J1360^3</f>
      </c>
      <c r="M1360" s="7">
        <f>SQRT(K1360^2+L1360^2)</f>
      </c>
      <c r="N1360" s="7">
        <f>(K1361-K1359)</f>
      </c>
      <c r="O1360" s="7">
        <f>+(L1361-L1359)</f>
      </c>
      <c r="P1360" s="7">
        <f>SQRT(O1360^2+N1360^2)</f>
      </c>
      <c r="Q1360" s="7">
        <f>N1360/$P1360</f>
      </c>
      <c r="R1360" s="7">
        <f>O1360/$P1360</f>
      </c>
      <c r="S1360" s="7">
        <f>Q1360^2+R1360^2</f>
      </c>
      <c r="T1360" s="7">
        <f>-R1360</f>
      </c>
      <c r="U1360" s="7">
        <f>Q1360</f>
      </c>
      <c r="V1360" s="7">
        <f>($C$14+($C$15-$C$14)/($D$15-$D$14)*(I1360-$D$14))/2</f>
      </c>
      <c r="W1360" s="7">
        <f>($B$22*I1360^4+$C$22*I1360^3+$D$22*I1360^2+$E$22*I1360+$F$22)/2</f>
      </c>
      <c r="X1360" s="7">
        <f>($W1360)*(T1360)</f>
      </c>
      <c r="Y1360" s="7">
        <f>($W1360)*(U1360)</f>
      </c>
      <c r="Z1360" s="7">
        <f>SQRT(X1360^2+Y1360^2)</f>
      </c>
      <c r="AA1360" s="7">
        <f>$K1360+$X1360</f>
      </c>
      <c r="AB1360" s="7">
        <f>$L1360+$Y1360</f>
      </c>
      <c r="AC1360" s="7">
        <f>$K1360-$X1360</f>
      </c>
      <c r="AD1360" s="7">
        <f>$L1360-$Y1360</f>
      </c>
      <c r="AE1360" s="7">
        <f>AA1360/39.3701</f>
      </c>
      <c r="AF1360" s="7">
        <f>AB1360/39.3701</f>
      </c>
      <c r="AG1360" s="7">
        <f>AC1360/39.3701</f>
      </c>
      <c r="AH1360" s="7">
        <f>AD1360/39.3701</f>
      </c>
      <c r="AI1360" s="1"/>
      <c r="AJ1360" s="1"/>
      <c r="AK1360" s="1"/>
      <c r="AL1360" s="1"/>
      <c r="AM1360" s="2"/>
      <c r="AN1360" s="1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  <c r="BA1360" s="1"/>
      <c r="BB1360" s="1"/>
      <c r="BC1360" s="1"/>
      <c r="BD1360" s="1"/>
      <c r="BE1360" s="1"/>
    </row>
    <row x14ac:dyDescent="0.25" r="1361" customHeight="1" ht="18.75">
      <c r="A1361" s="1"/>
      <c r="B1361" s="2"/>
      <c r="C1361" s="2"/>
      <c r="D1361" s="2"/>
      <c r="E1361" s="2"/>
      <c r="F1361" s="2"/>
      <c r="G1361" s="1"/>
      <c r="H1361" s="1"/>
      <c r="I1361" s="7">
        <v>1.358</v>
      </c>
      <c r="J1361" s="7">
        <f>IF((I1361-ROUNDDOWN(I1361,0))=0, 0, (I1361-ROUNDDOWN(I1361,0)))</f>
      </c>
      <c r="K1361" s="7">
        <f>INDIRECT("C$"&amp;2+MIN(2,ROUNDDOWN(I1361,0))*3)*(-$J1361^3+3*$J1361^2-3*$J1361+1)+INDIRECT("C$"&amp;3+MIN(2,ROUNDDOWN(I1361,0))*3)*(3*$J1361^3-6*$J1361^2+3*$J1361)+INDIRECT("C$"&amp;4+MIN(2,ROUNDDOWN(I1361,0))*3)*(-3*$J1361^3+3*$J1361^2)+INDIRECT("C$"&amp;5+MIN(2,ROUNDDOWN(I1361,0))*3)*$J1361^3</f>
      </c>
      <c r="L1361" s="7">
        <f>INDIRECT("D$"&amp;2+MIN(2,ROUNDDOWN(I1361,0))*3)*(-$J1361^3+3*$J1361^2-3*$J1361+1)+INDIRECT("D$"&amp;3+MIN(2,ROUNDDOWN(I1361,0))*3)*(3*$J1361^3-6*$J1361^2+3*$J1361)+INDIRECT("D$"&amp;4+MIN(2,ROUNDDOWN(I1361,0))*3)*(-3*$J1361^3+3*$J1361^2)+INDIRECT("D$"&amp;5+MIN(2,ROUNDDOWN(I1361,0))*3)*$J1361^3</f>
      </c>
      <c r="M1361" s="7">
        <f>SQRT(K1361^2+L1361^2)</f>
      </c>
      <c r="N1361" s="7">
        <f>(K1362-K1360)</f>
      </c>
      <c r="O1361" s="7">
        <f>+(L1362-L1360)</f>
      </c>
      <c r="P1361" s="7">
        <f>SQRT(O1361^2+N1361^2)</f>
      </c>
      <c r="Q1361" s="7">
        <f>N1361/$P1361</f>
      </c>
      <c r="R1361" s="7">
        <f>O1361/$P1361</f>
      </c>
      <c r="S1361" s="8">
        <f>Q1361^2+R1361^2</f>
      </c>
      <c r="T1361" s="7">
        <f>-R1361</f>
      </c>
      <c r="U1361" s="7">
        <f>Q1361</f>
      </c>
      <c r="V1361" s="7">
        <f>($C$14+($C$15-$C$14)/($D$15-$D$14)*(I1361-$D$14))/2</f>
      </c>
      <c r="W1361" s="7">
        <f>($B$22*I1361^4+$C$22*I1361^3+$D$22*I1361^2+$E$22*I1361+$F$22)/2</f>
      </c>
      <c r="X1361" s="7">
        <f>($W1361)*(T1361)</f>
      </c>
      <c r="Y1361" s="7">
        <f>($W1361)*(U1361)</f>
      </c>
      <c r="Z1361" s="7">
        <f>SQRT(X1361^2+Y1361^2)</f>
      </c>
      <c r="AA1361" s="7">
        <f>$K1361+$X1361</f>
      </c>
      <c r="AB1361" s="7">
        <f>$L1361+$Y1361</f>
      </c>
      <c r="AC1361" s="7">
        <f>$K1361-$X1361</f>
      </c>
      <c r="AD1361" s="7">
        <f>$L1361-$Y1361</f>
      </c>
      <c r="AE1361" s="7">
        <f>AA1361/39.3701</f>
      </c>
      <c r="AF1361" s="7">
        <f>AB1361/39.3701</f>
      </c>
      <c r="AG1361" s="7">
        <f>AC1361/39.3701</f>
      </c>
      <c r="AH1361" s="7">
        <f>AD1361/39.3701</f>
      </c>
      <c r="AI1361" s="1"/>
      <c r="AJ1361" s="1"/>
      <c r="AK1361" s="1"/>
      <c r="AL1361" s="1"/>
      <c r="AM1361" s="2"/>
      <c r="AN1361" s="1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  <c r="BA1361" s="1"/>
      <c r="BB1361" s="1"/>
      <c r="BC1361" s="1"/>
      <c r="BD1361" s="1"/>
      <c r="BE1361" s="1"/>
    </row>
    <row x14ac:dyDescent="0.25" r="1362" customHeight="1" ht="18.75">
      <c r="A1362" s="1"/>
      <c r="B1362" s="2"/>
      <c r="C1362" s="2"/>
      <c r="D1362" s="2"/>
      <c r="E1362" s="2"/>
      <c r="F1362" s="2"/>
      <c r="G1362" s="1"/>
      <c r="H1362" s="1"/>
      <c r="I1362" s="7">
        <v>1.359</v>
      </c>
      <c r="J1362" s="7">
        <f>IF((I1362-ROUNDDOWN(I1362,0))=0, 0, (I1362-ROUNDDOWN(I1362,0)))</f>
      </c>
      <c r="K1362" s="7">
        <f>INDIRECT("C$"&amp;2+MIN(2,ROUNDDOWN(I1362,0))*3)*(-$J1362^3+3*$J1362^2-3*$J1362+1)+INDIRECT("C$"&amp;3+MIN(2,ROUNDDOWN(I1362,0))*3)*(3*$J1362^3-6*$J1362^2+3*$J1362)+INDIRECT("C$"&amp;4+MIN(2,ROUNDDOWN(I1362,0))*3)*(-3*$J1362^3+3*$J1362^2)+INDIRECT("C$"&amp;5+MIN(2,ROUNDDOWN(I1362,0))*3)*$J1362^3</f>
      </c>
      <c r="L1362" s="7">
        <f>INDIRECT("D$"&amp;2+MIN(2,ROUNDDOWN(I1362,0))*3)*(-$J1362^3+3*$J1362^2-3*$J1362+1)+INDIRECT("D$"&amp;3+MIN(2,ROUNDDOWN(I1362,0))*3)*(3*$J1362^3-6*$J1362^2+3*$J1362)+INDIRECT("D$"&amp;4+MIN(2,ROUNDDOWN(I1362,0))*3)*(-3*$J1362^3+3*$J1362^2)+INDIRECT("D$"&amp;5+MIN(2,ROUNDDOWN(I1362,0))*3)*$J1362^3</f>
      </c>
      <c r="M1362" s="7">
        <f>SQRT(K1362^2+L1362^2)</f>
      </c>
      <c r="N1362" s="7">
        <f>(K1363-K1361)</f>
      </c>
      <c r="O1362" s="7">
        <f>+(L1363-L1361)</f>
      </c>
      <c r="P1362" s="7">
        <f>SQRT(O1362^2+N1362^2)</f>
      </c>
      <c r="Q1362" s="7">
        <f>N1362/$P1362</f>
      </c>
      <c r="R1362" s="7">
        <f>O1362/$P1362</f>
      </c>
      <c r="S1362" s="8">
        <f>Q1362^2+R1362^2</f>
      </c>
      <c r="T1362" s="7">
        <f>-R1362</f>
      </c>
      <c r="U1362" s="7">
        <f>Q1362</f>
      </c>
      <c r="V1362" s="7">
        <f>($C$14+($C$15-$C$14)/($D$15-$D$14)*(I1362-$D$14))/2</f>
      </c>
      <c r="W1362" s="7">
        <f>($B$22*I1362^4+$C$22*I1362^3+$D$22*I1362^2+$E$22*I1362+$F$22)/2</f>
      </c>
      <c r="X1362" s="7">
        <f>($W1362)*(T1362)</f>
      </c>
      <c r="Y1362" s="7">
        <f>($W1362)*(U1362)</f>
      </c>
      <c r="Z1362" s="7">
        <f>SQRT(X1362^2+Y1362^2)</f>
      </c>
      <c r="AA1362" s="7">
        <f>$K1362+$X1362</f>
      </c>
      <c r="AB1362" s="7">
        <f>$L1362+$Y1362</f>
      </c>
      <c r="AC1362" s="7">
        <f>$K1362-$X1362</f>
      </c>
      <c r="AD1362" s="7">
        <f>$L1362-$Y1362</f>
      </c>
      <c r="AE1362" s="7">
        <f>AA1362/39.3701</f>
      </c>
      <c r="AF1362" s="7">
        <f>AB1362/39.3701</f>
      </c>
      <c r="AG1362" s="7">
        <f>AC1362/39.3701</f>
      </c>
      <c r="AH1362" s="7">
        <f>AD1362/39.3701</f>
      </c>
      <c r="AI1362" s="1"/>
      <c r="AJ1362" s="1"/>
      <c r="AK1362" s="1"/>
      <c r="AL1362" s="1"/>
      <c r="AM1362" s="2"/>
      <c r="AN1362" s="1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  <c r="BA1362" s="1"/>
      <c r="BB1362" s="1"/>
      <c r="BC1362" s="1"/>
      <c r="BD1362" s="1"/>
      <c r="BE1362" s="1"/>
    </row>
    <row x14ac:dyDescent="0.25" r="1363" customHeight="1" ht="18.75">
      <c r="A1363" s="1"/>
      <c r="B1363" s="2"/>
      <c r="C1363" s="2"/>
      <c r="D1363" s="2"/>
      <c r="E1363" s="2"/>
      <c r="F1363" s="2"/>
      <c r="G1363" s="1"/>
      <c r="H1363" s="1"/>
      <c r="I1363" s="7">
        <v>1.36</v>
      </c>
      <c r="J1363" s="7">
        <f>IF((I1363-ROUNDDOWN(I1363,0))=0, 0, (I1363-ROUNDDOWN(I1363,0)))</f>
      </c>
      <c r="K1363" s="7">
        <f>INDIRECT("C$"&amp;2+MIN(2,ROUNDDOWN(I1363,0))*3)*(-$J1363^3+3*$J1363^2-3*$J1363+1)+INDIRECT("C$"&amp;3+MIN(2,ROUNDDOWN(I1363,0))*3)*(3*$J1363^3-6*$J1363^2+3*$J1363)+INDIRECT("C$"&amp;4+MIN(2,ROUNDDOWN(I1363,0))*3)*(-3*$J1363^3+3*$J1363^2)+INDIRECT("C$"&amp;5+MIN(2,ROUNDDOWN(I1363,0))*3)*$J1363^3</f>
      </c>
      <c r="L1363" s="7">
        <f>INDIRECT("D$"&amp;2+MIN(2,ROUNDDOWN(I1363,0))*3)*(-$J1363^3+3*$J1363^2-3*$J1363+1)+INDIRECT("D$"&amp;3+MIN(2,ROUNDDOWN(I1363,0))*3)*(3*$J1363^3-6*$J1363^2+3*$J1363)+INDIRECT("D$"&amp;4+MIN(2,ROUNDDOWN(I1363,0))*3)*(-3*$J1363^3+3*$J1363^2)+INDIRECT("D$"&amp;5+MIN(2,ROUNDDOWN(I1363,0))*3)*$J1363^3</f>
      </c>
      <c r="M1363" s="7">
        <f>SQRT(K1363^2+L1363^2)</f>
      </c>
      <c r="N1363" s="7">
        <f>(K1364-K1362)</f>
      </c>
      <c r="O1363" s="7">
        <f>+(L1364-L1362)</f>
      </c>
      <c r="P1363" s="7">
        <f>SQRT(O1363^2+N1363^2)</f>
      </c>
      <c r="Q1363" s="7">
        <f>N1363/$P1363</f>
      </c>
      <c r="R1363" s="7">
        <f>O1363/$P1363</f>
      </c>
      <c r="S1363" s="8">
        <f>Q1363^2+R1363^2</f>
      </c>
      <c r="T1363" s="7">
        <f>-R1363</f>
      </c>
      <c r="U1363" s="7">
        <f>Q1363</f>
      </c>
      <c r="V1363" s="7">
        <f>($C$14+($C$15-$C$14)/($D$15-$D$14)*(I1363-$D$14))/2</f>
      </c>
      <c r="W1363" s="7">
        <f>($B$22*I1363^4+$C$22*I1363^3+$D$22*I1363^2+$E$22*I1363+$F$22)/2</f>
      </c>
      <c r="X1363" s="7">
        <f>($W1363)*(T1363)</f>
      </c>
      <c r="Y1363" s="7">
        <f>($W1363)*(U1363)</f>
      </c>
      <c r="Z1363" s="7">
        <f>SQRT(X1363^2+Y1363^2)</f>
      </c>
      <c r="AA1363" s="7">
        <f>$K1363+$X1363</f>
      </c>
      <c r="AB1363" s="7">
        <f>$L1363+$Y1363</f>
      </c>
      <c r="AC1363" s="7">
        <f>$K1363-$X1363</f>
      </c>
      <c r="AD1363" s="7">
        <f>$L1363-$Y1363</f>
      </c>
      <c r="AE1363" s="7">
        <f>AA1363/39.3701</f>
      </c>
      <c r="AF1363" s="7">
        <f>AB1363/39.3701</f>
      </c>
      <c r="AG1363" s="7">
        <f>AC1363/39.3701</f>
      </c>
      <c r="AH1363" s="7">
        <f>AD1363/39.3701</f>
      </c>
      <c r="AI1363" s="1"/>
      <c r="AJ1363" s="1"/>
      <c r="AK1363" s="1"/>
      <c r="AL1363" s="1"/>
      <c r="AM1363" s="2"/>
      <c r="AN1363" s="1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  <c r="BA1363" s="1"/>
      <c r="BB1363" s="1"/>
      <c r="BC1363" s="1"/>
      <c r="BD1363" s="1"/>
      <c r="BE1363" s="1"/>
    </row>
    <row x14ac:dyDescent="0.25" r="1364" customHeight="1" ht="18.75">
      <c r="A1364" s="1"/>
      <c r="B1364" s="2"/>
      <c r="C1364" s="2"/>
      <c r="D1364" s="2"/>
      <c r="E1364" s="2"/>
      <c r="F1364" s="2"/>
      <c r="G1364" s="1"/>
      <c r="H1364" s="1"/>
      <c r="I1364" s="7">
        <v>1.361</v>
      </c>
      <c r="J1364" s="7">
        <f>IF((I1364-ROUNDDOWN(I1364,0))=0, 0, (I1364-ROUNDDOWN(I1364,0)))</f>
      </c>
      <c r="K1364" s="7">
        <f>INDIRECT("C$"&amp;2+MIN(2,ROUNDDOWN(I1364,0))*3)*(-$J1364^3+3*$J1364^2-3*$J1364+1)+INDIRECT("C$"&amp;3+MIN(2,ROUNDDOWN(I1364,0))*3)*(3*$J1364^3-6*$J1364^2+3*$J1364)+INDIRECT("C$"&amp;4+MIN(2,ROUNDDOWN(I1364,0))*3)*(-3*$J1364^3+3*$J1364^2)+INDIRECT("C$"&amp;5+MIN(2,ROUNDDOWN(I1364,0))*3)*$J1364^3</f>
      </c>
      <c r="L1364" s="7">
        <f>INDIRECT("D$"&amp;2+MIN(2,ROUNDDOWN(I1364,0))*3)*(-$J1364^3+3*$J1364^2-3*$J1364+1)+INDIRECT("D$"&amp;3+MIN(2,ROUNDDOWN(I1364,0))*3)*(3*$J1364^3-6*$J1364^2+3*$J1364)+INDIRECT("D$"&amp;4+MIN(2,ROUNDDOWN(I1364,0))*3)*(-3*$J1364^3+3*$J1364^2)+INDIRECT("D$"&amp;5+MIN(2,ROUNDDOWN(I1364,0))*3)*$J1364^3</f>
      </c>
      <c r="M1364" s="7">
        <f>SQRT(K1364^2+L1364^2)</f>
      </c>
      <c r="N1364" s="7">
        <f>(K1365-K1363)</f>
      </c>
      <c r="O1364" s="7">
        <f>+(L1365-L1363)</f>
      </c>
      <c r="P1364" s="7">
        <f>SQRT(O1364^2+N1364^2)</f>
      </c>
      <c r="Q1364" s="7">
        <f>N1364/$P1364</f>
      </c>
      <c r="R1364" s="7">
        <f>O1364/$P1364</f>
      </c>
      <c r="S1364" s="8">
        <f>Q1364^2+R1364^2</f>
      </c>
      <c r="T1364" s="7">
        <f>-R1364</f>
      </c>
      <c r="U1364" s="7">
        <f>Q1364</f>
      </c>
      <c r="V1364" s="7">
        <f>($C$14+($C$15-$C$14)/($D$15-$D$14)*(I1364-$D$14))/2</f>
      </c>
      <c r="W1364" s="7">
        <f>($B$22*I1364^4+$C$22*I1364^3+$D$22*I1364^2+$E$22*I1364+$F$22)/2</f>
      </c>
      <c r="X1364" s="7">
        <f>($W1364)*(T1364)</f>
      </c>
      <c r="Y1364" s="7">
        <f>($W1364)*(U1364)</f>
      </c>
      <c r="Z1364" s="7">
        <f>SQRT(X1364^2+Y1364^2)</f>
      </c>
      <c r="AA1364" s="7">
        <f>$K1364+$X1364</f>
      </c>
      <c r="AB1364" s="7">
        <f>$L1364+$Y1364</f>
      </c>
      <c r="AC1364" s="7">
        <f>$K1364-$X1364</f>
      </c>
      <c r="AD1364" s="7">
        <f>$L1364-$Y1364</f>
      </c>
      <c r="AE1364" s="7">
        <f>AA1364/39.3701</f>
      </c>
      <c r="AF1364" s="7">
        <f>AB1364/39.3701</f>
      </c>
      <c r="AG1364" s="7">
        <f>AC1364/39.3701</f>
      </c>
      <c r="AH1364" s="7">
        <f>AD1364/39.3701</f>
      </c>
      <c r="AI1364" s="1"/>
      <c r="AJ1364" s="1"/>
      <c r="AK1364" s="1"/>
      <c r="AL1364" s="1"/>
      <c r="AM1364" s="2"/>
      <c r="AN1364" s="1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  <c r="BA1364" s="1"/>
      <c r="BB1364" s="1"/>
      <c r="BC1364" s="1"/>
      <c r="BD1364" s="1"/>
      <c r="BE1364" s="1"/>
    </row>
    <row x14ac:dyDescent="0.25" r="1365" customHeight="1" ht="18.75">
      <c r="A1365" s="1"/>
      <c r="B1365" s="2"/>
      <c r="C1365" s="2"/>
      <c r="D1365" s="2"/>
      <c r="E1365" s="2"/>
      <c r="F1365" s="2"/>
      <c r="G1365" s="1"/>
      <c r="H1365" s="1"/>
      <c r="I1365" s="7">
        <v>1.362</v>
      </c>
      <c r="J1365" s="7">
        <f>IF((I1365-ROUNDDOWN(I1365,0))=0, 0, (I1365-ROUNDDOWN(I1365,0)))</f>
      </c>
      <c r="K1365" s="7">
        <f>INDIRECT("C$"&amp;2+MIN(2,ROUNDDOWN(I1365,0))*3)*(-$J1365^3+3*$J1365^2-3*$J1365+1)+INDIRECT("C$"&amp;3+MIN(2,ROUNDDOWN(I1365,0))*3)*(3*$J1365^3-6*$J1365^2+3*$J1365)+INDIRECT("C$"&amp;4+MIN(2,ROUNDDOWN(I1365,0))*3)*(-3*$J1365^3+3*$J1365^2)+INDIRECT("C$"&amp;5+MIN(2,ROUNDDOWN(I1365,0))*3)*$J1365^3</f>
      </c>
      <c r="L1365" s="7">
        <f>INDIRECT("D$"&amp;2+MIN(2,ROUNDDOWN(I1365,0))*3)*(-$J1365^3+3*$J1365^2-3*$J1365+1)+INDIRECT("D$"&amp;3+MIN(2,ROUNDDOWN(I1365,0))*3)*(3*$J1365^3-6*$J1365^2+3*$J1365)+INDIRECT("D$"&amp;4+MIN(2,ROUNDDOWN(I1365,0))*3)*(-3*$J1365^3+3*$J1365^2)+INDIRECT("D$"&amp;5+MIN(2,ROUNDDOWN(I1365,0))*3)*$J1365^3</f>
      </c>
      <c r="M1365" s="7">
        <f>SQRT(K1365^2+L1365^2)</f>
      </c>
      <c r="N1365" s="7">
        <f>(K1366-K1364)</f>
      </c>
      <c r="O1365" s="7">
        <f>+(L1366-L1364)</f>
      </c>
      <c r="P1365" s="7">
        <f>SQRT(O1365^2+N1365^2)</f>
      </c>
      <c r="Q1365" s="7">
        <f>N1365/$P1365</f>
      </c>
      <c r="R1365" s="7">
        <f>O1365/$P1365</f>
      </c>
      <c r="S1365" s="8">
        <f>Q1365^2+R1365^2</f>
      </c>
      <c r="T1365" s="7">
        <f>-R1365</f>
      </c>
      <c r="U1365" s="7">
        <f>Q1365</f>
      </c>
      <c r="V1365" s="7">
        <f>($C$14+($C$15-$C$14)/($D$15-$D$14)*(I1365-$D$14))/2</f>
      </c>
      <c r="W1365" s="7">
        <f>($B$22*I1365^4+$C$22*I1365^3+$D$22*I1365^2+$E$22*I1365+$F$22)/2</f>
      </c>
      <c r="X1365" s="7">
        <f>($W1365)*(T1365)</f>
      </c>
      <c r="Y1365" s="7">
        <f>($W1365)*(U1365)</f>
      </c>
      <c r="Z1365" s="7">
        <f>SQRT(X1365^2+Y1365^2)</f>
      </c>
      <c r="AA1365" s="7">
        <f>$K1365+$X1365</f>
      </c>
      <c r="AB1365" s="7">
        <f>$L1365+$Y1365</f>
      </c>
      <c r="AC1365" s="7">
        <f>$K1365-$X1365</f>
      </c>
      <c r="AD1365" s="7">
        <f>$L1365-$Y1365</f>
      </c>
      <c r="AE1365" s="7">
        <f>AA1365/39.3701</f>
      </c>
      <c r="AF1365" s="7">
        <f>AB1365/39.3701</f>
      </c>
      <c r="AG1365" s="7">
        <f>AC1365/39.3701</f>
      </c>
      <c r="AH1365" s="7">
        <f>AD1365/39.3701</f>
      </c>
      <c r="AI1365" s="1"/>
      <c r="AJ1365" s="1"/>
      <c r="AK1365" s="1"/>
      <c r="AL1365" s="1"/>
      <c r="AM1365" s="2"/>
      <c r="AN1365" s="1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  <c r="BA1365" s="1"/>
      <c r="BB1365" s="1"/>
      <c r="BC1365" s="1"/>
      <c r="BD1365" s="1"/>
      <c r="BE1365" s="1"/>
    </row>
    <row x14ac:dyDescent="0.25" r="1366" customHeight="1" ht="18.75">
      <c r="A1366" s="1"/>
      <c r="B1366" s="2"/>
      <c r="C1366" s="2"/>
      <c r="D1366" s="2"/>
      <c r="E1366" s="2"/>
      <c r="F1366" s="2"/>
      <c r="G1366" s="1"/>
      <c r="H1366" s="1"/>
      <c r="I1366" s="7">
        <v>1.363</v>
      </c>
      <c r="J1366" s="7">
        <f>IF((I1366-ROUNDDOWN(I1366,0))=0, 0, (I1366-ROUNDDOWN(I1366,0)))</f>
      </c>
      <c r="K1366" s="7">
        <f>INDIRECT("C$"&amp;2+MIN(2,ROUNDDOWN(I1366,0))*3)*(-$J1366^3+3*$J1366^2-3*$J1366+1)+INDIRECT("C$"&amp;3+MIN(2,ROUNDDOWN(I1366,0))*3)*(3*$J1366^3-6*$J1366^2+3*$J1366)+INDIRECT("C$"&amp;4+MIN(2,ROUNDDOWN(I1366,0))*3)*(-3*$J1366^3+3*$J1366^2)+INDIRECT("C$"&amp;5+MIN(2,ROUNDDOWN(I1366,0))*3)*$J1366^3</f>
      </c>
      <c r="L1366" s="7">
        <f>INDIRECT("D$"&amp;2+MIN(2,ROUNDDOWN(I1366,0))*3)*(-$J1366^3+3*$J1366^2-3*$J1366+1)+INDIRECT("D$"&amp;3+MIN(2,ROUNDDOWN(I1366,0))*3)*(3*$J1366^3-6*$J1366^2+3*$J1366)+INDIRECT("D$"&amp;4+MIN(2,ROUNDDOWN(I1366,0))*3)*(-3*$J1366^3+3*$J1366^2)+INDIRECT("D$"&amp;5+MIN(2,ROUNDDOWN(I1366,0))*3)*$J1366^3</f>
      </c>
      <c r="M1366" s="7">
        <f>SQRT(K1366^2+L1366^2)</f>
      </c>
      <c r="N1366" s="7">
        <f>(K1367-K1365)</f>
      </c>
      <c r="O1366" s="7">
        <f>+(L1367-L1365)</f>
      </c>
      <c r="P1366" s="7">
        <f>SQRT(O1366^2+N1366^2)</f>
      </c>
      <c r="Q1366" s="7">
        <f>N1366/$P1366</f>
      </c>
      <c r="R1366" s="7">
        <f>O1366/$P1366</f>
      </c>
      <c r="S1366" s="7">
        <f>Q1366^2+R1366^2</f>
      </c>
      <c r="T1366" s="7">
        <f>-R1366</f>
      </c>
      <c r="U1366" s="7">
        <f>Q1366</f>
      </c>
      <c r="V1366" s="7">
        <f>($C$14+($C$15-$C$14)/($D$15-$D$14)*(I1366-$D$14))/2</f>
      </c>
      <c r="W1366" s="7">
        <f>($B$22*I1366^4+$C$22*I1366^3+$D$22*I1366^2+$E$22*I1366+$F$22)/2</f>
      </c>
      <c r="X1366" s="7">
        <f>($W1366)*(T1366)</f>
      </c>
      <c r="Y1366" s="7">
        <f>($W1366)*(U1366)</f>
      </c>
      <c r="Z1366" s="7">
        <f>SQRT(X1366^2+Y1366^2)</f>
      </c>
      <c r="AA1366" s="7">
        <f>$K1366+$X1366</f>
      </c>
      <c r="AB1366" s="7">
        <f>$L1366+$Y1366</f>
      </c>
      <c r="AC1366" s="7">
        <f>$K1366-$X1366</f>
      </c>
      <c r="AD1366" s="7">
        <f>$L1366-$Y1366</f>
      </c>
      <c r="AE1366" s="7">
        <f>AA1366/39.3701</f>
      </c>
      <c r="AF1366" s="7">
        <f>AB1366/39.3701</f>
      </c>
      <c r="AG1366" s="7">
        <f>AC1366/39.3701</f>
      </c>
      <c r="AH1366" s="7">
        <f>AD1366/39.3701</f>
      </c>
      <c r="AI1366" s="1"/>
      <c r="AJ1366" s="1"/>
      <c r="AK1366" s="1"/>
      <c r="AL1366" s="1"/>
      <c r="AM1366" s="2"/>
      <c r="AN1366" s="1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  <c r="BA1366" s="1"/>
      <c r="BB1366" s="1"/>
      <c r="BC1366" s="1"/>
      <c r="BD1366" s="1"/>
      <c r="BE1366" s="1"/>
    </row>
    <row x14ac:dyDescent="0.25" r="1367" customHeight="1" ht="18.75">
      <c r="A1367" s="1"/>
      <c r="B1367" s="2"/>
      <c r="C1367" s="2"/>
      <c r="D1367" s="2"/>
      <c r="E1367" s="2"/>
      <c r="F1367" s="2"/>
      <c r="G1367" s="1"/>
      <c r="H1367" s="1"/>
      <c r="I1367" s="7">
        <v>1.364</v>
      </c>
      <c r="J1367" s="7">
        <f>IF((I1367-ROUNDDOWN(I1367,0))=0, 0, (I1367-ROUNDDOWN(I1367,0)))</f>
      </c>
      <c r="K1367" s="7">
        <f>INDIRECT("C$"&amp;2+MIN(2,ROUNDDOWN(I1367,0))*3)*(-$J1367^3+3*$J1367^2-3*$J1367+1)+INDIRECT("C$"&amp;3+MIN(2,ROUNDDOWN(I1367,0))*3)*(3*$J1367^3-6*$J1367^2+3*$J1367)+INDIRECT("C$"&amp;4+MIN(2,ROUNDDOWN(I1367,0))*3)*(-3*$J1367^3+3*$J1367^2)+INDIRECT("C$"&amp;5+MIN(2,ROUNDDOWN(I1367,0))*3)*$J1367^3</f>
      </c>
      <c r="L1367" s="7">
        <f>INDIRECT("D$"&amp;2+MIN(2,ROUNDDOWN(I1367,0))*3)*(-$J1367^3+3*$J1367^2-3*$J1367+1)+INDIRECT("D$"&amp;3+MIN(2,ROUNDDOWN(I1367,0))*3)*(3*$J1367^3-6*$J1367^2+3*$J1367)+INDIRECT("D$"&amp;4+MIN(2,ROUNDDOWN(I1367,0))*3)*(-3*$J1367^3+3*$J1367^2)+INDIRECT("D$"&amp;5+MIN(2,ROUNDDOWN(I1367,0))*3)*$J1367^3</f>
      </c>
      <c r="M1367" s="7">
        <f>SQRT(K1367^2+L1367^2)</f>
      </c>
      <c r="N1367" s="7">
        <f>(K1368-K1366)</f>
      </c>
      <c r="O1367" s="7">
        <f>+(L1368-L1366)</f>
      </c>
      <c r="P1367" s="7">
        <f>SQRT(O1367^2+N1367^2)</f>
      </c>
      <c r="Q1367" s="7">
        <f>N1367/$P1367</f>
      </c>
      <c r="R1367" s="7">
        <f>O1367/$P1367</f>
      </c>
      <c r="S1367" s="8">
        <f>Q1367^2+R1367^2</f>
      </c>
      <c r="T1367" s="7">
        <f>-R1367</f>
      </c>
      <c r="U1367" s="7">
        <f>Q1367</f>
      </c>
      <c r="V1367" s="7">
        <f>($C$14+($C$15-$C$14)/($D$15-$D$14)*(I1367-$D$14))/2</f>
      </c>
      <c r="W1367" s="7">
        <f>($B$22*I1367^4+$C$22*I1367^3+$D$22*I1367^2+$E$22*I1367+$F$22)/2</f>
      </c>
      <c r="X1367" s="7">
        <f>($W1367)*(T1367)</f>
      </c>
      <c r="Y1367" s="7">
        <f>($W1367)*(U1367)</f>
      </c>
      <c r="Z1367" s="7">
        <f>SQRT(X1367^2+Y1367^2)</f>
      </c>
      <c r="AA1367" s="7">
        <f>$K1367+$X1367</f>
      </c>
      <c r="AB1367" s="7">
        <f>$L1367+$Y1367</f>
      </c>
      <c r="AC1367" s="7">
        <f>$K1367-$X1367</f>
      </c>
      <c r="AD1367" s="7">
        <f>$L1367-$Y1367</f>
      </c>
      <c r="AE1367" s="7">
        <f>AA1367/39.3701</f>
      </c>
      <c r="AF1367" s="7">
        <f>AB1367/39.3701</f>
      </c>
      <c r="AG1367" s="7">
        <f>AC1367/39.3701</f>
      </c>
      <c r="AH1367" s="7">
        <f>AD1367/39.3701</f>
      </c>
      <c r="AI1367" s="1"/>
      <c r="AJ1367" s="1"/>
      <c r="AK1367" s="1"/>
      <c r="AL1367" s="1"/>
      <c r="AM1367" s="2"/>
      <c r="AN1367" s="1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  <c r="BA1367" s="1"/>
      <c r="BB1367" s="1"/>
      <c r="BC1367" s="1"/>
      <c r="BD1367" s="1"/>
      <c r="BE1367" s="1"/>
    </row>
    <row x14ac:dyDescent="0.25" r="1368" customHeight="1" ht="18.75">
      <c r="A1368" s="1"/>
      <c r="B1368" s="2"/>
      <c r="C1368" s="2"/>
      <c r="D1368" s="2"/>
      <c r="E1368" s="2"/>
      <c r="F1368" s="2"/>
      <c r="G1368" s="1"/>
      <c r="H1368" s="1"/>
      <c r="I1368" s="7">
        <v>1.365</v>
      </c>
      <c r="J1368" s="7">
        <f>IF((I1368-ROUNDDOWN(I1368,0))=0, 0, (I1368-ROUNDDOWN(I1368,0)))</f>
      </c>
      <c r="K1368" s="7">
        <f>INDIRECT("C$"&amp;2+MIN(2,ROUNDDOWN(I1368,0))*3)*(-$J1368^3+3*$J1368^2-3*$J1368+1)+INDIRECT("C$"&amp;3+MIN(2,ROUNDDOWN(I1368,0))*3)*(3*$J1368^3-6*$J1368^2+3*$J1368)+INDIRECT("C$"&amp;4+MIN(2,ROUNDDOWN(I1368,0))*3)*(-3*$J1368^3+3*$J1368^2)+INDIRECT("C$"&amp;5+MIN(2,ROUNDDOWN(I1368,0))*3)*$J1368^3</f>
      </c>
      <c r="L1368" s="7">
        <f>INDIRECT("D$"&amp;2+MIN(2,ROUNDDOWN(I1368,0))*3)*(-$J1368^3+3*$J1368^2-3*$J1368+1)+INDIRECT("D$"&amp;3+MIN(2,ROUNDDOWN(I1368,0))*3)*(3*$J1368^3-6*$J1368^2+3*$J1368)+INDIRECT("D$"&amp;4+MIN(2,ROUNDDOWN(I1368,0))*3)*(-3*$J1368^3+3*$J1368^2)+INDIRECT("D$"&amp;5+MIN(2,ROUNDDOWN(I1368,0))*3)*$J1368^3</f>
      </c>
      <c r="M1368" s="7">
        <f>SQRT(K1368^2+L1368^2)</f>
      </c>
      <c r="N1368" s="7">
        <f>(K1369-K1367)</f>
      </c>
      <c r="O1368" s="7">
        <f>+(L1369-L1367)</f>
      </c>
      <c r="P1368" s="7">
        <f>SQRT(O1368^2+N1368^2)</f>
      </c>
      <c r="Q1368" s="7">
        <f>N1368/$P1368</f>
      </c>
      <c r="R1368" s="7">
        <f>O1368/$P1368</f>
      </c>
      <c r="S1368" s="8">
        <f>Q1368^2+R1368^2</f>
      </c>
      <c r="T1368" s="7">
        <f>-R1368</f>
      </c>
      <c r="U1368" s="7">
        <f>Q1368</f>
      </c>
      <c r="V1368" s="7">
        <f>($C$14+($C$15-$C$14)/($D$15-$D$14)*(I1368-$D$14))/2</f>
      </c>
      <c r="W1368" s="7">
        <f>($B$22*I1368^4+$C$22*I1368^3+$D$22*I1368^2+$E$22*I1368+$F$22)/2</f>
      </c>
      <c r="X1368" s="7">
        <f>($W1368)*(T1368)</f>
      </c>
      <c r="Y1368" s="7">
        <f>($W1368)*(U1368)</f>
      </c>
      <c r="Z1368" s="7">
        <f>SQRT(X1368^2+Y1368^2)</f>
      </c>
      <c r="AA1368" s="7">
        <f>$K1368+$X1368</f>
      </c>
      <c r="AB1368" s="7">
        <f>$L1368+$Y1368</f>
      </c>
      <c r="AC1368" s="7">
        <f>$K1368-$X1368</f>
      </c>
      <c r="AD1368" s="7">
        <f>$L1368-$Y1368</f>
      </c>
      <c r="AE1368" s="7">
        <f>AA1368/39.3701</f>
      </c>
      <c r="AF1368" s="7">
        <f>AB1368/39.3701</f>
      </c>
      <c r="AG1368" s="7">
        <f>AC1368/39.3701</f>
      </c>
      <c r="AH1368" s="7">
        <f>AD1368/39.3701</f>
      </c>
      <c r="AI1368" s="1"/>
      <c r="AJ1368" s="1"/>
      <c r="AK1368" s="1"/>
      <c r="AL1368" s="1"/>
      <c r="AM1368" s="2"/>
      <c r="AN1368" s="1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  <c r="BA1368" s="1"/>
      <c r="BB1368" s="1"/>
      <c r="BC1368" s="1"/>
      <c r="BD1368" s="1"/>
      <c r="BE1368" s="1"/>
    </row>
    <row x14ac:dyDescent="0.25" r="1369" customHeight="1" ht="18.75">
      <c r="A1369" s="1"/>
      <c r="B1369" s="2"/>
      <c r="C1369" s="2"/>
      <c r="D1369" s="2"/>
      <c r="E1369" s="2"/>
      <c r="F1369" s="2"/>
      <c r="G1369" s="1"/>
      <c r="H1369" s="1"/>
      <c r="I1369" s="7">
        <v>1.366</v>
      </c>
      <c r="J1369" s="7">
        <f>IF((I1369-ROUNDDOWN(I1369,0))=0, 0, (I1369-ROUNDDOWN(I1369,0)))</f>
      </c>
      <c r="K1369" s="7">
        <f>INDIRECT("C$"&amp;2+MIN(2,ROUNDDOWN(I1369,0))*3)*(-$J1369^3+3*$J1369^2-3*$J1369+1)+INDIRECT("C$"&amp;3+MIN(2,ROUNDDOWN(I1369,0))*3)*(3*$J1369^3-6*$J1369^2+3*$J1369)+INDIRECT("C$"&amp;4+MIN(2,ROUNDDOWN(I1369,0))*3)*(-3*$J1369^3+3*$J1369^2)+INDIRECT("C$"&amp;5+MIN(2,ROUNDDOWN(I1369,0))*3)*$J1369^3</f>
      </c>
      <c r="L1369" s="7">
        <f>INDIRECT("D$"&amp;2+MIN(2,ROUNDDOWN(I1369,0))*3)*(-$J1369^3+3*$J1369^2-3*$J1369+1)+INDIRECT("D$"&amp;3+MIN(2,ROUNDDOWN(I1369,0))*3)*(3*$J1369^3-6*$J1369^2+3*$J1369)+INDIRECT("D$"&amp;4+MIN(2,ROUNDDOWN(I1369,0))*3)*(-3*$J1369^3+3*$J1369^2)+INDIRECT("D$"&amp;5+MIN(2,ROUNDDOWN(I1369,0))*3)*$J1369^3</f>
      </c>
      <c r="M1369" s="7">
        <f>SQRT(K1369^2+L1369^2)</f>
      </c>
      <c r="N1369" s="7">
        <f>(K1370-K1368)</f>
      </c>
      <c r="O1369" s="7">
        <f>+(L1370-L1368)</f>
      </c>
      <c r="P1369" s="7">
        <f>SQRT(O1369^2+N1369^2)</f>
      </c>
      <c r="Q1369" s="7">
        <f>N1369/$P1369</f>
      </c>
      <c r="R1369" s="7">
        <f>O1369/$P1369</f>
      </c>
      <c r="S1369" s="7">
        <f>Q1369^2+R1369^2</f>
      </c>
      <c r="T1369" s="7">
        <f>-R1369</f>
      </c>
      <c r="U1369" s="7">
        <f>Q1369</f>
      </c>
      <c r="V1369" s="7">
        <f>($C$14+($C$15-$C$14)/($D$15-$D$14)*(I1369-$D$14))/2</f>
      </c>
      <c r="W1369" s="7">
        <f>($B$22*I1369^4+$C$22*I1369^3+$D$22*I1369^2+$E$22*I1369+$F$22)/2</f>
      </c>
      <c r="X1369" s="7">
        <f>($W1369)*(T1369)</f>
      </c>
      <c r="Y1369" s="7">
        <f>($W1369)*(U1369)</f>
      </c>
      <c r="Z1369" s="7">
        <f>SQRT(X1369^2+Y1369^2)</f>
      </c>
      <c r="AA1369" s="7">
        <f>$K1369+$X1369</f>
      </c>
      <c r="AB1369" s="7">
        <f>$L1369+$Y1369</f>
      </c>
      <c r="AC1369" s="7">
        <f>$K1369-$X1369</f>
      </c>
      <c r="AD1369" s="7">
        <f>$L1369-$Y1369</f>
      </c>
      <c r="AE1369" s="7">
        <f>AA1369/39.3701</f>
      </c>
      <c r="AF1369" s="7">
        <f>AB1369/39.3701</f>
      </c>
      <c r="AG1369" s="7">
        <f>AC1369/39.3701</f>
      </c>
      <c r="AH1369" s="7">
        <f>AD1369/39.3701</f>
      </c>
      <c r="AI1369" s="1"/>
      <c r="AJ1369" s="1"/>
      <c r="AK1369" s="1"/>
      <c r="AL1369" s="1"/>
      <c r="AM1369" s="2"/>
      <c r="AN1369" s="1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  <c r="BA1369" s="1"/>
      <c r="BB1369" s="1"/>
      <c r="BC1369" s="1"/>
      <c r="BD1369" s="1"/>
      <c r="BE1369" s="1"/>
    </row>
    <row x14ac:dyDescent="0.25" r="1370" customHeight="1" ht="18.75">
      <c r="A1370" s="1"/>
      <c r="B1370" s="2"/>
      <c r="C1370" s="2"/>
      <c r="D1370" s="2"/>
      <c r="E1370" s="2"/>
      <c r="F1370" s="2"/>
      <c r="G1370" s="1"/>
      <c r="H1370" s="1"/>
      <c r="I1370" s="7">
        <v>1.367</v>
      </c>
      <c r="J1370" s="7">
        <f>IF((I1370-ROUNDDOWN(I1370,0))=0, 0, (I1370-ROUNDDOWN(I1370,0)))</f>
      </c>
      <c r="K1370" s="7">
        <f>INDIRECT("C$"&amp;2+MIN(2,ROUNDDOWN(I1370,0))*3)*(-$J1370^3+3*$J1370^2-3*$J1370+1)+INDIRECT("C$"&amp;3+MIN(2,ROUNDDOWN(I1370,0))*3)*(3*$J1370^3-6*$J1370^2+3*$J1370)+INDIRECT("C$"&amp;4+MIN(2,ROUNDDOWN(I1370,0))*3)*(-3*$J1370^3+3*$J1370^2)+INDIRECT("C$"&amp;5+MIN(2,ROUNDDOWN(I1370,0))*3)*$J1370^3</f>
      </c>
      <c r="L1370" s="7">
        <f>INDIRECT("D$"&amp;2+MIN(2,ROUNDDOWN(I1370,0))*3)*(-$J1370^3+3*$J1370^2-3*$J1370+1)+INDIRECT("D$"&amp;3+MIN(2,ROUNDDOWN(I1370,0))*3)*(3*$J1370^3-6*$J1370^2+3*$J1370)+INDIRECT("D$"&amp;4+MIN(2,ROUNDDOWN(I1370,0))*3)*(-3*$J1370^3+3*$J1370^2)+INDIRECT("D$"&amp;5+MIN(2,ROUNDDOWN(I1370,0))*3)*$J1370^3</f>
      </c>
      <c r="M1370" s="7">
        <f>SQRT(K1370^2+L1370^2)</f>
      </c>
      <c r="N1370" s="7">
        <f>(K1371-K1369)</f>
      </c>
      <c r="O1370" s="7">
        <f>+(L1371-L1369)</f>
      </c>
      <c r="P1370" s="7">
        <f>SQRT(O1370^2+N1370^2)</f>
      </c>
      <c r="Q1370" s="7">
        <f>N1370/$P1370</f>
      </c>
      <c r="R1370" s="7">
        <f>O1370/$P1370</f>
      </c>
      <c r="S1370" s="7">
        <f>Q1370^2+R1370^2</f>
      </c>
      <c r="T1370" s="7">
        <f>-R1370</f>
      </c>
      <c r="U1370" s="7">
        <f>Q1370</f>
      </c>
      <c r="V1370" s="7">
        <f>($C$14+($C$15-$C$14)/($D$15-$D$14)*(I1370-$D$14))/2</f>
      </c>
      <c r="W1370" s="7">
        <f>($B$22*I1370^4+$C$22*I1370^3+$D$22*I1370^2+$E$22*I1370+$F$22)/2</f>
      </c>
      <c r="X1370" s="7">
        <f>($W1370)*(T1370)</f>
      </c>
      <c r="Y1370" s="7">
        <f>($W1370)*(U1370)</f>
      </c>
      <c r="Z1370" s="7">
        <f>SQRT(X1370^2+Y1370^2)</f>
      </c>
      <c r="AA1370" s="7">
        <f>$K1370+$X1370</f>
      </c>
      <c r="AB1370" s="7">
        <f>$L1370+$Y1370</f>
      </c>
      <c r="AC1370" s="7">
        <f>$K1370-$X1370</f>
      </c>
      <c r="AD1370" s="7">
        <f>$L1370-$Y1370</f>
      </c>
      <c r="AE1370" s="7">
        <f>AA1370/39.3701</f>
      </c>
      <c r="AF1370" s="7">
        <f>AB1370/39.3701</f>
      </c>
      <c r="AG1370" s="7">
        <f>AC1370/39.3701</f>
      </c>
      <c r="AH1370" s="7">
        <f>AD1370/39.3701</f>
      </c>
      <c r="AI1370" s="1"/>
      <c r="AJ1370" s="1"/>
      <c r="AK1370" s="1"/>
      <c r="AL1370" s="1"/>
      <c r="AM1370" s="2"/>
      <c r="AN1370" s="1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  <c r="BA1370" s="1"/>
      <c r="BB1370" s="1"/>
      <c r="BC1370" s="1"/>
      <c r="BD1370" s="1"/>
      <c r="BE1370" s="1"/>
    </row>
    <row x14ac:dyDescent="0.25" r="1371" customHeight="1" ht="18.75">
      <c r="A1371" s="1"/>
      <c r="B1371" s="2"/>
      <c r="C1371" s="2"/>
      <c r="D1371" s="2"/>
      <c r="E1371" s="2"/>
      <c r="F1371" s="2"/>
      <c r="G1371" s="1"/>
      <c r="H1371" s="1"/>
      <c r="I1371" s="7">
        <v>1.368</v>
      </c>
      <c r="J1371" s="7">
        <f>IF((I1371-ROUNDDOWN(I1371,0))=0, 0, (I1371-ROUNDDOWN(I1371,0)))</f>
      </c>
      <c r="K1371" s="7">
        <f>INDIRECT("C$"&amp;2+MIN(2,ROUNDDOWN(I1371,0))*3)*(-$J1371^3+3*$J1371^2-3*$J1371+1)+INDIRECT("C$"&amp;3+MIN(2,ROUNDDOWN(I1371,0))*3)*(3*$J1371^3-6*$J1371^2+3*$J1371)+INDIRECT("C$"&amp;4+MIN(2,ROUNDDOWN(I1371,0))*3)*(-3*$J1371^3+3*$J1371^2)+INDIRECT("C$"&amp;5+MIN(2,ROUNDDOWN(I1371,0))*3)*$J1371^3</f>
      </c>
      <c r="L1371" s="7">
        <f>INDIRECT("D$"&amp;2+MIN(2,ROUNDDOWN(I1371,0))*3)*(-$J1371^3+3*$J1371^2-3*$J1371+1)+INDIRECT("D$"&amp;3+MIN(2,ROUNDDOWN(I1371,0))*3)*(3*$J1371^3-6*$J1371^2+3*$J1371)+INDIRECT("D$"&amp;4+MIN(2,ROUNDDOWN(I1371,0))*3)*(-3*$J1371^3+3*$J1371^2)+INDIRECT("D$"&amp;5+MIN(2,ROUNDDOWN(I1371,0))*3)*$J1371^3</f>
      </c>
      <c r="M1371" s="7">
        <f>SQRT(K1371^2+L1371^2)</f>
      </c>
      <c r="N1371" s="7">
        <f>(K1372-K1370)</f>
      </c>
      <c r="O1371" s="7">
        <f>+(L1372-L1370)</f>
      </c>
      <c r="P1371" s="7">
        <f>SQRT(O1371^2+N1371^2)</f>
      </c>
      <c r="Q1371" s="7">
        <f>N1371/$P1371</f>
      </c>
      <c r="R1371" s="7">
        <f>O1371/$P1371</f>
      </c>
      <c r="S1371" s="7">
        <f>Q1371^2+R1371^2</f>
      </c>
      <c r="T1371" s="7">
        <f>-R1371</f>
      </c>
      <c r="U1371" s="7">
        <f>Q1371</f>
      </c>
      <c r="V1371" s="7">
        <f>($C$14+($C$15-$C$14)/($D$15-$D$14)*(I1371-$D$14))/2</f>
      </c>
      <c r="W1371" s="7">
        <f>($B$22*I1371^4+$C$22*I1371^3+$D$22*I1371^2+$E$22*I1371+$F$22)/2</f>
      </c>
      <c r="X1371" s="7">
        <f>($W1371)*(T1371)</f>
      </c>
      <c r="Y1371" s="7">
        <f>($W1371)*(U1371)</f>
      </c>
      <c r="Z1371" s="7">
        <f>SQRT(X1371^2+Y1371^2)</f>
      </c>
      <c r="AA1371" s="7">
        <f>$K1371+$X1371</f>
      </c>
      <c r="AB1371" s="7">
        <f>$L1371+$Y1371</f>
      </c>
      <c r="AC1371" s="7">
        <f>$K1371-$X1371</f>
      </c>
      <c r="AD1371" s="7">
        <f>$L1371-$Y1371</f>
      </c>
      <c r="AE1371" s="7">
        <f>AA1371/39.3701</f>
      </c>
      <c r="AF1371" s="7">
        <f>AB1371/39.3701</f>
      </c>
      <c r="AG1371" s="7">
        <f>AC1371/39.3701</f>
      </c>
      <c r="AH1371" s="7">
        <f>AD1371/39.3701</f>
      </c>
      <c r="AI1371" s="1"/>
      <c r="AJ1371" s="1"/>
      <c r="AK1371" s="1"/>
      <c r="AL1371" s="1"/>
      <c r="AM1371" s="2"/>
      <c r="AN1371" s="1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  <c r="BA1371" s="1"/>
      <c r="BB1371" s="1"/>
      <c r="BC1371" s="1"/>
      <c r="BD1371" s="1"/>
      <c r="BE1371" s="1"/>
    </row>
    <row x14ac:dyDescent="0.25" r="1372" customHeight="1" ht="18.75">
      <c r="A1372" s="1"/>
      <c r="B1372" s="2"/>
      <c r="C1372" s="2"/>
      <c r="D1372" s="2"/>
      <c r="E1372" s="2"/>
      <c r="F1372" s="2"/>
      <c r="G1372" s="1"/>
      <c r="H1372" s="1"/>
      <c r="I1372" s="7">
        <v>1.369</v>
      </c>
      <c r="J1372" s="7">
        <f>IF((I1372-ROUNDDOWN(I1372,0))=0, 0, (I1372-ROUNDDOWN(I1372,0)))</f>
      </c>
      <c r="K1372" s="7">
        <f>INDIRECT("C$"&amp;2+MIN(2,ROUNDDOWN(I1372,0))*3)*(-$J1372^3+3*$J1372^2-3*$J1372+1)+INDIRECT("C$"&amp;3+MIN(2,ROUNDDOWN(I1372,0))*3)*(3*$J1372^3-6*$J1372^2+3*$J1372)+INDIRECT("C$"&amp;4+MIN(2,ROUNDDOWN(I1372,0))*3)*(-3*$J1372^3+3*$J1372^2)+INDIRECT("C$"&amp;5+MIN(2,ROUNDDOWN(I1372,0))*3)*$J1372^3</f>
      </c>
      <c r="L1372" s="7">
        <f>INDIRECT("D$"&amp;2+MIN(2,ROUNDDOWN(I1372,0))*3)*(-$J1372^3+3*$J1372^2-3*$J1372+1)+INDIRECT("D$"&amp;3+MIN(2,ROUNDDOWN(I1372,0))*3)*(3*$J1372^3-6*$J1372^2+3*$J1372)+INDIRECT("D$"&amp;4+MIN(2,ROUNDDOWN(I1372,0))*3)*(-3*$J1372^3+3*$J1372^2)+INDIRECT("D$"&amp;5+MIN(2,ROUNDDOWN(I1372,0))*3)*$J1372^3</f>
      </c>
      <c r="M1372" s="7">
        <f>SQRT(K1372^2+L1372^2)</f>
      </c>
      <c r="N1372" s="7">
        <f>(K1373-K1371)</f>
      </c>
      <c r="O1372" s="7">
        <f>+(L1373-L1371)</f>
      </c>
      <c r="P1372" s="7">
        <f>SQRT(O1372^2+N1372^2)</f>
      </c>
      <c r="Q1372" s="7">
        <f>N1372/$P1372</f>
      </c>
      <c r="R1372" s="7">
        <f>O1372/$P1372</f>
      </c>
      <c r="S1372" s="8">
        <f>Q1372^2+R1372^2</f>
      </c>
      <c r="T1372" s="7">
        <f>-R1372</f>
      </c>
      <c r="U1372" s="7">
        <f>Q1372</f>
      </c>
      <c r="V1372" s="7">
        <f>($C$14+($C$15-$C$14)/($D$15-$D$14)*(I1372-$D$14))/2</f>
      </c>
      <c r="W1372" s="7">
        <f>($B$22*I1372^4+$C$22*I1372^3+$D$22*I1372^2+$E$22*I1372+$F$22)/2</f>
      </c>
      <c r="X1372" s="7">
        <f>($W1372)*(T1372)</f>
      </c>
      <c r="Y1372" s="7">
        <f>($W1372)*(U1372)</f>
      </c>
      <c r="Z1372" s="7">
        <f>SQRT(X1372^2+Y1372^2)</f>
      </c>
      <c r="AA1372" s="7">
        <f>$K1372+$X1372</f>
      </c>
      <c r="AB1372" s="7">
        <f>$L1372+$Y1372</f>
      </c>
      <c r="AC1372" s="7">
        <f>$K1372-$X1372</f>
      </c>
      <c r="AD1372" s="7">
        <f>$L1372-$Y1372</f>
      </c>
      <c r="AE1372" s="7">
        <f>AA1372/39.3701</f>
      </c>
      <c r="AF1372" s="7">
        <f>AB1372/39.3701</f>
      </c>
      <c r="AG1372" s="7">
        <f>AC1372/39.3701</f>
      </c>
      <c r="AH1372" s="7">
        <f>AD1372/39.3701</f>
      </c>
      <c r="AI1372" s="1"/>
      <c r="AJ1372" s="1"/>
      <c r="AK1372" s="1"/>
      <c r="AL1372" s="1"/>
      <c r="AM1372" s="2"/>
      <c r="AN1372" s="1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  <c r="BA1372" s="1"/>
      <c r="BB1372" s="1"/>
      <c r="BC1372" s="1"/>
      <c r="BD1372" s="1"/>
      <c r="BE1372" s="1"/>
    </row>
    <row x14ac:dyDescent="0.25" r="1373" customHeight="1" ht="18.75">
      <c r="A1373" s="1"/>
      <c r="B1373" s="2"/>
      <c r="C1373" s="2"/>
      <c r="D1373" s="2"/>
      <c r="E1373" s="2"/>
      <c r="F1373" s="2"/>
      <c r="G1373" s="1"/>
      <c r="H1373" s="1"/>
      <c r="I1373" s="7">
        <v>1.37</v>
      </c>
      <c r="J1373" s="7">
        <f>IF((I1373-ROUNDDOWN(I1373,0))=0, 0, (I1373-ROUNDDOWN(I1373,0)))</f>
      </c>
      <c r="K1373" s="7">
        <f>INDIRECT("C$"&amp;2+MIN(2,ROUNDDOWN(I1373,0))*3)*(-$J1373^3+3*$J1373^2-3*$J1373+1)+INDIRECT("C$"&amp;3+MIN(2,ROUNDDOWN(I1373,0))*3)*(3*$J1373^3-6*$J1373^2+3*$J1373)+INDIRECT("C$"&amp;4+MIN(2,ROUNDDOWN(I1373,0))*3)*(-3*$J1373^3+3*$J1373^2)+INDIRECT("C$"&amp;5+MIN(2,ROUNDDOWN(I1373,0))*3)*$J1373^3</f>
      </c>
      <c r="L1373" s="7">
        <f>INDIRECT("D$"&amp;2+MIN(2,ROUNDDOWN(I1373,0))*3)*(-$J1373^3+3*$J1373^2-3*$J1373+1)+INDIRECT("D$"&amp;3+MIN(2,ROUNDDOWN(I1373,0))*3)*(3*$J1373^3-6*$J1373^2+3*$J1373)+INDIRECT("D$"&amp;4+MIN(2,ROUNDDOWN(I1373,0))*3)*(-3*$J1373^3+3*$J1373^2)+INDIRECT("D$"&amp;5+MIN(2,ROUNDDOWN(I1373,0))*3)*$J1373^3</f>
      </c>
      <c r="M1373" s="7">
        <f>SQRT(K1373^2+L1373^2)</f>
      </c>
      <c r="N1373" s="7">
        <f>(K1374-K1372)</f>
      </c>
      <c r="O1373" s="7">
        <f>+(L1374-L1372)</f>
      </c>
      <c r="P1373" s="7">
        <f>SQRT(O1373^2+N1373^2)</f>
      </c>
      <c r="Q1373" s="7">
        <f>N1373/$P1373</f>
      </c>
      <c r="R1373" s="7">
        <f>O1373/$P1373</f>
      </c>
      <c r="S1373" s="8">
        <f>Q1373^2+R1373^2</f>
      </c>
      <c r="T1373" s="7">
        <f>-R1373</f>
      </c>
      <c r="U1373" s="7">
        <f>Q1373</f>
      </c>
      <c r="V1373" s="7">
        <f>($C$14+($C$15-$C$14)/($D$15-$D$14)*(I1373-$D$14))/2</f>
      </c>
      <c r="W1373" s="7">
        <f>($B$22*I1373^4+$C$22*I1373^3+$D$22*I1373^2+$E$22*I1373+$F$22)/2</f>
      </c>
      <c r="X1373" s="7">
        <f>($W1373)*(T1373)</f>
      </c>
      <c r="Y1373" s="7">
        <f>($W1373)*(U1373)</f>
      </c>
      <c r="Z1373" s="7">
        <f>SQRT(X1373^2+Y1373^2)</f>
      </c>
      <c r="AA1373" s="7">
        <f>$K1373+$X1373</f>
      </c>
      <c r="AB1373" s="7">
        <f>$L1373+$Y1373</f>
      </c>
      <c r="AC1373" s="7">
        <f>$K1373-$X1373</f>
      </c>
      <c r="AD1373" s="7">
        <f>$L1373-$Y1373</f>
      </c>
      <c r="AE1373" s="7">
        <f>AA1373/39.3701</f>
      </c>
      <c r="AF1373" s="7">
        <f>AB1373/39.3701</f>
      </c>
      <c r="AG1373" s="7">
        <f>AC1373/39.3701</f>
      </c>
      <c r="AH1373" s="7">
        <f>AD1373/39.3701</f>
      </c>
      <c r="AI1373" s="1"/>
      <c r="AJ1373" s="1"/>
      <c r="AK1373" s="1"/>
      <c r="AL1373" s="1"/>
      <c r="AM1373" s="2"/>
      <c r="AN1373" s="1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  <c r="BA1373" s="1"/>
      <c r="BB1373" s="1"/>
      <c r="BC1373" s="1"/>
      <c r="BD1373" s="1"/>
      <c r="BE1373" s="1"/>
    </row>
    <row x14ac:dyDescent="0.25" r="1374" customHeight="1" ht="18.75">
      <c r="A1374" s="1"/>
      <c r="B1374" s="2"/>
      <c r="C1374" s="2"/>
      <c r="D1374" s="2"/>
      <c r="E1374" s="2"/>
      <c r="F1374" s="2"/>
      <c r="G1374" s="1"/>
      <c r="H1374" s="1"/>
      <c r="I1374" s="7">
        <v>1.371</v>
      </c>
      <c r="J1374" s="7">
        <f>IF((I1374-ROUNDDOWN(I1374,0))=0, 0, (I1374-ROUNDDOWN(I1374,0)))</f>
      </c>
      <c r="K1374" s="7">
        <f>INDIRECT("C$"&amp;2+MIN(2,ROUNDDOWN(I1374,0))*3)*(-$J1374^3+3*$J1374^2-3*$J1374+1)+INDIRECT("C$"&amp;3+MIN(2,ROUNDDOWN(I1374,0))*3)*(3*$J1374^3-6*$J1374^2+3*$J1374)+INDIRECT("C$"&amp;4+MIN(2,ROUNDDOWN(I1374,0))*3)*(-3*$J1374^3+3*$J1374^2)+INDIRECT("C$"&amp;5+MIN(2,ROUNDDOWN(I1374,0))*3)*$J1374^3</f>
      </c>
      <c r="L1374" s="7">
        <f>INDIRECT("D$"&amp;2+MIN(2,ROUNDDOWN(I1374,0))*3)*(-$J1374^3+3*$J1374^2-3*$J1374+1)+INDIRECT("D$"&amp;3+MIN(2,ROUNDDOWN(I1374,0))*3)*(3*$J1374^3-6*$J1374^2+3*$J1374)+INDIRECT("D$"&amp;4+MIN(2,ROUNDDOWN(I1374,0))*3)*(-3*$J1374^3+3*$J1374^2)+INDIRECT("D$"&amp;5+MIN(2,ROUNDDOWN(I1374,0))*3)*$J1374^3</f>
      </c>
      <c r="M1374" s="7">
        <f>SQRT(K1374^2+L1374^2)</f>
      </c>
      <c r="N1374" s="7">
        <f>(K1375-K1373)</f>
      </c>
      <c r="O1374" s="7">
        <f>+(L1375-L1373)</f>
      </c>
      <c r="P1374" s="7">
        <f>SQRT(O1374^2+N1374^2)</f>
      </c>
      <c r="Q1374" s="7">
        <f>N1374/$P1374</f>
      </c>
      <c r="R1374" s="7">
        <f>O1374/$P1374</f>
      </c>
      <c r="S1374" s="8">
        <f>Q1374^2+R1374^2</f>
      </c>
      <c r="T1374" s="7">
        <f>-R1374</f>
      </c>
      <c r="U1374" s="7">
        <f>Q1374</f>
      </c>
      <c r="V1374" s="7">
        <f>($C$14+($C$15-$C$14)/($D$15-$D$14)*(I1374-$D$14))/2</f>
      </c>
      <c r="W1374" s="7">
        <f>($B$22*I1374^4+$C$22*I1374^3+$D$22*I1374^2+$E$22*I1374+$F$22)/2</f>
      </c>
      <c r="X1374" s="7">
        <f>($W1374)*(T1374)</f>
      </c>
      <c r="Y1374" s="7">
        <f>($W1374)*(U1374)</f>
      </c>
      <c r="Z1374" s="7">
        <f>SQRT(X1374^2+Y1374^2)</f>
      </c>
      <c r="AA1374" s="7">
        <f>$K1374+$X1374</f>
      </c>
      <c r="AB1374" s="7">
        <f>$L1374+$Y1374</f>
      </c>
      <c r="AC1374" s="7">
        <f>$K1374-$X1374</f>
      </c>
      <c r="AD1374" s="7">
        <f>$L1374-$Y1374</f>
      </c>
      <c r="AE1374" s="7">
        <f>AA1374/39.3701</f>
      </c>
      <c r="AF1374" s="7">
        <f>AB1374/39.3701</f>
      </c>
      <c r="AG1374" s="7">
        <f>AC1374/39.3701</f>
      </c>
      <c r="AH1374" s="7">
        <f>AD1374/39.3701</f>
      </c>
      <c r="AI1374" s="1"/>
      <c r="AJ1374" s="1"/>
      <c r="AK1374" s="1"/>
      <c r="AL1374" s="1"/>
      <c r="AM1374" s="2"/>
      <c r="AN1374" s="1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  <c r="BA1374" s="1"/>
      <c r="BB1374" s="1"/>
      <c r="BC1374" s="1"/>
      <c r="BD1374" s="1"/>
      <c r="BE1374" s="1"/>
    </row>
    <row x14ac:dyDescent="0.25" r="1375" customHeight="1" ht="18.75">
      <c r="A1375" s="1"/>
      <c r="B1375" s="2"/>
      <c r="C1375" s="2"/>
      <c r="D1375" s="2"/>
      <c r="E1375" s="2"/>
      <c r="F1375" s="2"/>
      <c r="G1375" s="1"/>
      <c r="H1375" s="1"/>
      <c r="I1375" s="7">
        <v>1.372</v>
      </c>
      <c r="J1375" s="7">
        <f>IF((I1375-ROUNDDOWN(I1375,0))=0, 0, (I1375-ROUNDDOWN(I1375,0)))</f>
      </c>
      <c r="K1375" s="7">
        <f>INDIRECT("C$"&amp;2+MIN(2,ROUNDDOWN(I1375,0))*3)*(-$J1375^3+3*$J1375^2-3*$J1375+1)+INDIRECT("C$"&amp;3+MIN(2,ROUNDDOWN(I1375,0))*3)*(3*$J1375^3-6*$J1375^2+3*$J1375)+INDIRECT("C$"&amp;4+MIN(2,ROUNDDOWN(I1375,0))*3)*(-3*$J1375^3+3*$J1375^2)+INDIRECT("C$"&amp;5+MIN(2,ROUNDDOWN(I1375,0))*3)*$J1375^3</f>
      </c>
      <c r="L1375" s="7">
        <f>INDIRECT("D$"&amp;2+MIN(2,ROUNDDOWN(I1375,0))*3)*(-$J1375^3+3*$J1375^2-3*$J1375+1)+INDIRECT("D$"&amp;3+MIN(2,ROUNDDOWN(I1375,0))*3)*(3*$J1375^3-6*$J1375^2+3*$J1375)+INDIRECT("D$"&amp;4+MIN(2,ROUNDDOWN(I1375,0))*3)*(-3*$J1375^3+3*$J1375^2)+INDIRECT("D$"&amp;5+MIN(2,ROUNDDOWN(I1375,0))*3)*$J1375^3</f>
      </c>
      <c r="M1375" s="7">
        <f>SQRT(K1375^2+L1375^2)</f>
      </c>
      <c r="N1375" s="7">
        <f>(K1376-K1374)</f>
      </c>
      <c r="O1375" s="7">
        <f>+(L1376-L1374)</f>
      </c>
      <c r="P1375" s="7">
        <f>SQRT(O1375^2+N1375^2)</f>
      </c>
      <c r="Q1375" s="7">
        <f>N1375/$P1375</f>
      </c>
      <c r="R1375" s="7">
        <f>O1375/$P1375</f>
      </c>
      <c r="S1375" s="7">
        <f>Q1375^2+R1375^2</f>
      </c>
      <c r="T1375" s="7">
        <f>-R1375</f>
      </c>
      <c r="U1375" s="7">
        <f>Q1375</f>
      </c>
      <c r="V1375" s="7">
        <f>($C$14+($C$15-$C$14)/($D$15-$D$14)*(I1375-$D$14))/2</f>
      </c>
      <c r="W1375" s="7">
        <f>($B$22*I1375^4+$C$22*I1375^3+$D$22*I1375^2+$E$22*I1375+$F$22)/2</f>
      </c>
      <c r="X1375" s="7">
        <f>($W1375)*(T1375)</f>
      </c>
      <c r="Y1375" s="7">
        <f>($W1375)*(U1375)</f>
      </c>
      <c r="Z1375" s="7">
        <f>SQRT(X1375^2+Y1375^2)</f>
      </c>
      <c r="AA1375" s="7">
        <f>$K1375+$X1375</f>
      </c>
      <c r="AB1375" s="7">
        <f>$L1375+$Y1375</f>
      </c>
      <c r="AC1375" s="7">
        <f>$K1375-$X1375</f>
      </c>
      <c r="AD1375" s="7">
        <f>$L1375-$Y1375</f>
      </c>
      <c r="AE1375" s="7">
        <f>AA1375/39.3701</f>
      </c>
      <c r="AF1375" s="7">
        <f>AB1375/39.3701</f>
      </c>
      <c r="AG1375" s="7">
        <f>AC1375/39.3701</f>
      </c>
      <c r="AH1375" s="7">
        <f>AD1375/39.3701</f>
      </c>
      <c r="AI1375" s="1"/>
      <c r="AJ1375" s="1"/>
      <c r="AK1375" s="1"/>
      <c r="AL1375" s="1"/>
      <c r="AM1375" s="2"/>
      <c r="AN1375" s="1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  <c r="BA1375" s="1"/>
      <c r="BB1375" s="1"/>
      <c r="BC1375" s="1"/>
      <c r="BD1375" s="1"/>
      <c r="BE1375" s="1"/>
    </row>
    <row x14ac:dyDescent="0.25" r="1376" customHeight="1" ht="18.75">
      <c r="A1376" s="1"/>
      <c r="B1376" s="2"/>
      <c r="C1376" s="2"/>
      <c r="D1376" s="2"/>
      <c r="E1376" s="2"/>
      <c r="F1376" s="2"/>
      <c r="G1376" s="1"/>
      <c r="H1376" s="1"/>
      <c r="I1376" s="7">
        <v>1.373</v>
      </c>
      <c r="J1376" s="7">
        <f>IF((I1376-ROUNDDOWN(I1376,0))=0, 0, (I1376-ROUNDDOWN(I1376,0)))</f>
      </c>
      <c r="K1376" s="7">
        <f>INDIRECT("C$"&amp;2+MIN(2,ROUNDDOWN(I1376,0))*3)*(-$J1376^3+3*$J1376^2-3*$J1376+1)+INDIRECT("C$"&amp;3+MIN(2,ROUNDDOWN(I1376,0))*3)*(3*$J1376^3-6*$J1376^2+3*$J1376)+INDIRECT("C$"&amp;4+MIN(2,ROUNDDOWN(I1376,0))*3)*(-3*$J1376^3+3*$J1376^2)+INDIRECT("C$"&amp;5+MIN(2,ROUNDDOWN(I1376,0))*3)*$J1376^3</f>
      </c>
      <c r="L1376" s="7">
        <f>INDIRECT("D$"&amp;2+MIN(2,ROUNDDOWN(I1376,0))*3)*(-$J1376^3+3*$J1376^2-3*$J1376+1)+INDIRECT("D$"&amp;3+MIN(2,ROUNDDOWN(I1376,0))*3)*(3*$J1376^3-6*$J1376^2+3*$J1376)+INDIRECT("D$"&amp;4+MIN(2,ROUNDDOWN(I1376,0))*3)*(-3*$J1376^3+3*$J1376^2)+INDIRECT("D$"&amp;5+MIN(2,ROUNDDOWN(I1376,0))*3)*$J1376^3</f>
      </c>
      <c r="M1376" s="7">
        <f>SQRT(K1376^2+L1376^2)</f>
      </c>
      <c r="N1376" s="7">
        <f>(K1377-K1375)</f>
      </c>
      <c r="O1376" s="7">
        <f>+(L1377-L1375)</f>
      </c>
      <c r="P1376" s="7">
        <f>SQRT(O1376^2+N1376^2)</f>
      </c>
      <c r="Q1376" s="7">
        <f>N1376/$P1376</f>
      </c>
      <c r="R1376" s="7">
        <f>O1376/$P1376</f>
      </c>
      <c r="S1376" s="8">
        <f>Q1376^2+R1376^2</f>
      </c>
      <c r="T1376" s="7">
        <f>-R1376</f>
      </c>
      <c r="U1376" s="7">
        <f>Q1376</f>
      </c>
      <c r="V1376" s="7">
        <f>($C$14+($C$15-$C$14)/($D$15-$D$14)*(I1376-$D$14))/2</f>
      </c>
      <c r="W1376" s="7">
        <f>($B$22*I1376^4+$C$22*I1376^3+$D$22*I1376^2+$E$22*I1376+$F$22)/2</f>
      </c>
      <c r="X1376" s="7">
        <f>($W1376)*(T1376)</f>
      </c>
      <c r="Y1376" s="7">
        <f>($W1376)*(U1376)</f>
      </c>
      <c r="Z1376" s="7">
        <f>SQRT(X1376^2+Y1376^2)</f>
      </c>
      <c r="AA1376" s="7">
        <f>$K1376+$X1376</f>
      </c>
      <c r="AB1376" s="7">
        <f>$L1376+$Y1376</f>
      </c>
      <c r="AC1376" s="7">
        <f>$K1376-$X1376</f>
      </c>
      <c r="AD1376" s="7">
        <f>$L1376-$Y1376</f>
      </c>
      <c r="AE1376" s="7">
        <f>AA1376/39.3701</f>
      </c>
      <c r="AF1376" s="7">
        <f>AB1376/39.3701</f>
      </c>
      <c r="AG1376" s="7">
        <f>AC1376/39.3701</f>
      </c>
      <c r="AH1376" s="7">
        <f>AD1376/39.3701</f>
      </c>
      <c r="AI1376" s="1"/>
      <c r="AJ1376" s="1"/>
      <c r="AK1376" s="1"/>
      <c r="AL1376" s="1"/>
      <c r="AM1376" s="2"/>
      <c r="AN1376" s="1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  <c r="BA1376" s="1"/>
      <c r="BB1376" s="1"/>
      <c r="BC1376" s="1"/>
      <c r="BD1376" s="1"/>
      <c r="BE1376" s="1"/>
    </row>
    <row x14ac:dyDescent="0.25" r="1377" customHeight="1" ht="18.75">
      <c r="A1377" s="1"/>
      <c r="B1377" s="2"/>
      <c r="C1377" s="2"/>
      <c r="D1377" s="2"/>
      <c r="E1377" s="2"/>
      <c r="F1377" s="2"/>
      <c r="G1377" s="1"/>
      <c r="H1377" s="1"/>
      <c r="I1377" s="7">
        <v>1.374</v>
      </c>
      <c r="J1377" s="7">
        <f>IF((I1377-ROUNDDOWN(I1377,0))=0, 0, (I1377-ROUNDDOWN(I1377,0)))</f>
      </c>
      <c r="K1377" s="7">
        <f>INDIRECT("C$"&amp;2+MIN(2,ROUNDDOWN(I1377,0))*3)*(-$J1377^3+3*$J1377^2-3*$J1377+1)+INDIRECT("C$"&amp;3+MIN(2,ROUNDDOWN(I1377,0))*3)*(3*$J1377^3-6*$J1377^2+3*$J1377)+INDIRECT("C$"&amp;4+MIN(2,ROUNDDOWN(I1377,0))*3)*(-3*$J1377^3+3*$J1377^2)+INDIRECT("C$"&amp;5+MIN(2,ROUNDDOWN(I1377,0))*3)*$J1377^3</f>
      </c>
      <c r="L1377" s="7">
        <f>INDIRECT("D$"&amp;2+MIN(2,ROUNDDOWN(I1377,0))*3)*(-$J1377^3+3*$J1377^2-3*$J1377+1)+INDIRECT("D$"&amp;3+MIN(2,ROUNDDOWN(I1377,0))*3)*(3*$J1377^3-6*$J1377^2+3*$J1377)+INDIRECT("D$"&amp;4+MIN(2,ROUNDDOWN(I1377,0))*3)*(-3*$J1377^3+3*$J1377^2)+INDIRECT("D$"&amp;5+MIN(2,ROUNDDOWN(I1377,0))*3)*$J1377^3</f>
      </c>
      <c r="M1377" s="7">
        <f>SQRT(K1377^2+L1377^2)</f>
      </c>
      <c r="N1377" s="7">
        <f>(K1378-K1376)</f>
      </c>
      <c r="O1377" s="7">
        <f>+(L1378-L1376)</f>
      </c>
      <c r="P1377" s="7">
        <f>SQRT(O1377^2+N1377^2)</f>
      </c>
      <c r="Q1377" s="7">
        <f>N1377/$P1377</f>
      </c>
      <c r="R1377" s="7">
        <f>O1377/$P1377</f>
      </c>
      <c r="S1377" s="8">
        <f>Q1377^2+R1377^2</f>
      </c>
      <c r="T1377" s="7">
        <f>-R1377</f>
      </c>
      <c r="U1377" s="7">
        <f>Q1377</f>
      </c>
      <c r="V1377" s="7">
        <f>($C$14+($C$15-$C$14)/($D$15-$D$14)*(I1377-$D$14))/2</f>
      </c>
      <c r="W1377" s="7">
        <f>($B$22*I1377^4+$C$22*I1377^3+$D$22*I1377^2+$E$22*I1377+$F$22)/2</f>
      </c>
      <c r="X1377" s="7">
        <f>($W1377)*(T1377)</f>
      </c>
      <c r="Y1377" s="7">
        <f>($W1377)*(U1377)</f>
      </c>
      <c r="Z1377" s="7">
        <f>SQRT(X1377^2+Y1377^2)</f>
      </c>
      <c r="AA1377" s="7">
        <f>$K1377+$X1377</f>
      </c>
      <c r="AB1377" s="7">
        <f>$L1377+$Y1377</f>
      </c>
      <c r="AC1377" s="7">
        <f>$K1377-$X1377</f>
      </c>
      <c r="AD1377" s="7">
        <f>$L1377-$Y1377</f>
      </c>
      <c r="AE1377" s="7">
        <f>AA1377/39.3701</f>
      </c>
      <c r="AF1377" s="7">
        <f>AB1377/39.3701</f>
      </c>
      <c r="AG1377" s="7">
        <f>AC1377/39.3701</f>
      </c>
      <c r="AH1377" s="7">
        <f>AD1377/39.3701</f>
      </c>
      <c r="AI1377" s="1"/>
      <c r="AJ1377" s="1"/>
      <c r="AK1377" s="1"/>
      <c r="AL1377" s="1"/>
      <c r="AM1377" s="2"/>
      <c r="AN1377" s="1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  <c r="BA1377" s="1"/>
      <c r="BB1377" s="1"/>
      <c r="BC1377" s="1"/>
      <c r="BD1377" s="1"/>
      <c r="BE1377" s="1"/>
    </row>
    <row x14ac:dyDescent="0.25" r="1378" customHeight="1" ht="18.75">
      <c r="A1378" s="1"/>
      <c r="B1378" s="2"/>
      <c r="C1378" s="2"/>
      <c r="D1378" s="2"/>
      <c r="E1378" s="2"/>
      <c r="F1378" s="2"/>
      <c r="G1378" s="1"/>
      <c r="H1378" s="1"/>
      <c r="I1378" s="7">
        <v>1.375</v>
      </c>
      <c r="J1378" s="7">
        <f>IF((I1378-ROUNDDOWN(I1378,0))=0, 0, (I1378-ROUNDDOWN(I1378,0)))</f>
      </c>
      <c r="K1378" s="7">
        <f>INDIRECT("C$"&amp;2+MIN(2,ROUNDDOWN(I1378,0))*3)*(-$J1378^3+3*$J1378^2-3*$J1378+1)+INDIRECT("C$"&amp;3+MIN(2,ROUNDDOWN(I1378,0))*3)*(3*$J1378^3-6*$J1378^2+3*$J1378)+INDIRECT("C$"&amp;4+MIN(2,ROUNDDOWN(I1378,0))*3)*(-3*$J1378^3+3*$J1378^2)+INDIRECT("C$"&amp;5+MIN(2,ROUNDDOWN(I1378,0))*3)*$J1378^3</f>
      </c>
      <c r="L1378" s="7">
        <f>INDIRECT("D$"&amp;2+MIN(2,ROUNDDOWN(I1378,0))*3)*(-$J1378^3+3*$J1378^2-3*$J1378+1)+INDIRECT("D$"&amp;3+MIN(2,ROUNDDOWN(I1378,0))*3)*(3*$J1378^3-6*$J1378^2+3*$J1378)+INDIRECT("D$"&amp;4+MIN(2,ROUNDDOWN(I1378,0))*3)*(-3*$J1378^3+3*$J1378^2)+INDIRECT("D$"&amp;5+MIN(2,ROUNDDOWN(I1378,0))*3)*$J1378^3</f>
      </c>
      <c r="M1378" s="7">
        <f>SQRT(K1378^2+L1378^2)</f>
      </c>
      <c r="N1378" s="7">
        <f>(K1379-K1377)</f>
      </c>
      <c r="O1378" s="7">
        <f>+(L1379-L1377)</f>
      </c>
      <c r="P1378" s="7">
        <f>SQRT(O1378^2+N1378^2)</f>
      </c>
      <c r="Q1378" s="7">
        <f>N1378/$P1378</f>
      </c>
      <c r="R1378" s="7">
        <f>O1378/$P1378</f>
      </c>
      <c r="S1378" s="8">
        <f>Q1378^2+R1378^2</f>
      </c>
      <c r="T1378" s="7">
        <f>-R1378</f>
      </c>
      <c r="U1378" s="7">
        <f>Q1378</f>
      </c>
      <c r="V1378" s="7">
        <f>($C$14+($C$15-$C$14)/($D$15-$D$14)*(I1378-$D$14))/2</f>
      </c>
      <c r="W1378" s="7">
        <f>($B$22*I1378^4+$C$22*I1378^3+$D$22*I1378^2+$E$22*I1378+$F$22)/2</f>
      </c>
      <c r="X1378" s="7">
        <f>($W1378)*(T1378)</f>
      </c>
      <c r="Y1378" s="7">
        <f>($W1378)*(U1378)</f>
      </c>
      <c r="Z1378" s="7">
        <f>SQRT(X1378^2+Y1378^2)</f>
      </c>
      <c r="AA1378" s="7">
        <f>$K1378+$X1378</f>
      </c>
      <c r="AB1378" s="7">
        <f>$L1378+$Y1378</f>
      </c>
      <c r="AC1378" s="7">
        <f>$K1378-$X1378</f>
      </c>
      <c r="AD1378" s="7">
        <f>$L1378-$Y1378</f>
      </c>
      <c r="AE1378" s="7">
        <f>AA1378/39.3701</f>
      </c>
      <c r="AF1378" s="7">
        <f>AB1378/39.3701</f>
      </c>
      <c r="AG1378" s="7">
        <f>AC1378/39.3701</f>
      </c>
      <c r="AH1378" s="7">
        <f>AD1378/39.3701</f>
      </c>
      <c r="AI1378" s="1"/>
      <c r="AJ1378" s="1"/>
      <c r="AK1378" s="1"/>
      <c r="AL1378" s="1"/>
      <c r="AM1378" s="2"/>
      <c r="AN1378" s="1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  <c r="BA1378" s="1"/>
      <c r="BB1378" s="1"/>
      <c r="BC1378" s="1"/>
      <c r="BD1378" s="1"/>
      <c r="BE1378" s="1"/>
    </row>
    <row x14ac:dyDescent="0.25" r="1379" customHeight="1" ht="18.75">
      <c r="A1379" s="1"/>
      <c r="B1379" s="2"/>
      <c r="C1379" s="2"/>
      <c r="D1379" s="2"/>
      <c r="E1379" s="2"/>
      <c r="F1379" s="2"/>
      <c r="G1379" s="1"/>
      <c r="H1379" s="1"/>
      <c r="I1379" s="7">
        <v>1.376</v>
      </c>
      <c r="J1379" s="7">
        <f>IF((I1379-ROUNDDOWN(I1379,0))=0, 0, (I1379-ROUNDDOWN(I1379,0)))</f>
      </c>
      <c r="K1379" s="7">
        <f>INDIRECT("C$"&amp;2+MIN(2,ROUNDDOWN(I1379,0))*3)*(-$J1379^3+3*$J1379^2-3*$J1379+1)+INDIRECT("C$"&amp;3+MIN(2,ROUNDDOWN(I1379,0))*3)*(3*$J1379^3-6*$J1379^2+3*$J1379)+INDIRECT("C$"&amp;4+MIN(2,ROUNDDOWN(I1379,0))*3)*(-3*$J1379^3+3*$J1379^2)+INDIRECT("C$"&amp;5+MIN(2,ROUNDDOWN(I1379,0))*3)*$J1379^3</f>
      </c>
      <c r="L1379" s="7">
        <f>INDIRECT("D$"&amp;2+MIN(2,ROUNDDOWN(I1379,0))*3)*(-$J1379^3+3*$J1379^2-3*$J1379+1)+INDIRECT("D$"&amp;3+MIN(2,ROUNDDOWN(I1379,0))*3)*(3*$J1379^3-6*$J1379^2+3*$J1379)+INDIRECT("D$"&amp;4+MIN(2,ROUNDDOWN(I1379,0))*3)*(-3*$J1379^3+3*$J1379^2)+INDIRECT("D$"&amp;5+MIN(2,ROUNDDOWN(I1379,0))*3)*$J1379^3</f>
      </c>
      <c r="M1379" s="7">
        <f>SQRT(K1379^2+L1379^2)</f>
      </c>
      <c r="N1379" s="7">
        <f>(K1380-K1378)</f>
      </c>
      <c r="O1379" s="7">
        <f>+(L1380-L1378)</f>
      </c>
      <c r="P1379" s="7">
        <f>SQRT(O1379^2+N1379^2)</f>
      </c>
      <c r="Q1379" s="7">
        <f>N1379/$P1379</f>
      </c>
      <c r="R1379" s="7">
        <f>O1379/$P1379</f>
      </c>
      <c r="S1379" s="7">
        <f>Q1379^2+R1379^2</f>
      </c>
      <c r="T1379" s="7">
        <f>-R1379</f>
      </c>
      <c r="U1379" s="7">
        <f>Q1379</f>
      </c>
      <c r="V1379" s="7">
        <f>($C$14+($C$15-$C$14)/($D$15-$D$14)*(I1379-$D$14))/2</f>
      </c>
      <c r="W1379" s="7">
        <f>($B$22*I1379^4+$C$22*I1379^3+$D$22*I1379^2+$E$22*I1379+$F$22)/2</f>
      </c>
      <c r="X1379" s="7">
        <f>($W1379)*(T1379)</f>
      </c>
      <c r="Y1379" s="7">
        <f>($W1379)*(U1379)</f>
      </c>
      <c r="Z1379" s="7">
        <f>SQRT(X1379^2+Y1379^2)</f>
      </c>
      <c r="AA1379" s="7">
        <f>$K1379+$X1379</f>
      </c>
      <c r="AB1379" s="7">
        <f>$L1379+$Y1379</f>
      </c>
      <c r="AC1379" s="7">
        <f>$K1379-$X1379</f>
      </c>
      <c r="AD1379" s="7">
        <f>$L1379-$Y1379</f>
      </c>
      <c r="AE1379" s="7">
        <f>AA1379/39.3701</f>
      </c>
      <c r="AF1379" s="7">
        <f>AB1379/39.3701</f>
      </c>
      <c r="AG1379" s="7">
        <f>AC1379/39.3701</f>
      </c>
      <c r="AH1379" s="7">
        <f>AD1379/39.3701</f>
      </c>
      <c r="AI1379" s="1"/>
      <c r="AJ1379" s="1"/>
      <c r="AK1379" s="1"/>
      <c r="AL1379" s="1"/>
      <c r="AM1379" s="2"/>
      <c r="AN1379" s="1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  <c r="BA1379" s="1"/>
      <c r="BB1379" s="1"/>
      <c r="BC1379" s="1"/>
      <c r="BD1379" s="1"/>
      <c r="BE1379" s="1"/>
    </row>
    <row x14ac:dyDescent="0.25" r="1380" customHeight="1" ht="18.75">
      <c r="A1380" s="1"/>
      <c r="B1380" s="2"/>
      <c r="C1380" s="2"/>
      <c r="D1380" s="2"/>
      <c r="E1380" s="2"/>
      <c r="F1380" s="2"/>
      <c r="G1380" s="1"/>
      <c r="H1380" s="1"/>
      <c r="I1380" s="7">
        <v>1.377</v>
      </c>
      <c r="J1380" s="7">
        <f>IF((I1380-ROUNDDOWN(I1380,0))=0, 0, (I1380-ROUNDDOWN(I1380,0)))</f>
      </c>
      <c r="K1380" s="7">
        <f>INDIRECT("C$"&amp;2+MIN(2,ROUNDDOWN(I1380,0))*3)*(-$J1380^3+3*$J1380^2-3*$J1380+1)+INDIRECT("C$"&amp;3+MIN(2,ROUNDDOWN(I1380,0))*3)*(3*$J1380^3-6*$J1380^2+3*$J1380)+INDIRECT("C$"&amp;4+MIN(2,ROUNDDOWN(I1380,0))*3)*(-3*$J1380^3+3*$J1380^2)+INDIRECT("C$"&amp;5+MIN(2,ROUNDDOWN(I1380,0))*3)*$J1380^3</f>
      </c>
      <c r="L1380" s="7">
        <f>INDIRECT("D$"&amp;2+MIN(2,ROUNDDOWN(I1380,0))*3)*(-$J1380^3+3*$J1380^2-3*$J1380+1)+INDIRECT("D$"&amp;3+MIN(2,ROUNDDOWN(I1380,0))*3)*(3*$J1380^3-6*$J1380^2+3*$J1380)+INDIRECT("D$"&amp;4+MIN(2,ROUNDDOWN(I1380,0))*3)*(-3*$J1380^3+3*$J1380^2)+INDIRECT("D$"&amp;5+MIN(2,ROUNDDOWN(I1380,0))*3)*$J1380^3</f>
      </c>
      <c r="M1380" s="7">
        <f>SQRT(K1380^2+L1380^2)</f>
      </c>
      <c r="N1380" s="7">
        <f>(K1381-K1379)</f>
      </c>
      <c r="O1380" s="7">
        <f>+(L1381-L1379)</f>
      </c>
      <c r="P1380" s="7">
        <f>SQRT(O1380^2+N1380^2)</f>
      </c>
      <c r="Q1380" s="7">
        <f>N1380/$P1380</f>
      </c>
      <c r="R1380" s="7">
        <f>O1380/$P1380</f>
      </c>
      <c r="S1380" s="8">
        <f>Q1380^2+R1380^2</f>
      </c>
      <c r="T1380" s="7">
        <f>-R1380</f>
      </c>
      <c r="U1380" s="7">
        <f>Q1380</f>
      </c>
      <c r="V1380" s="7">
        <f>($C$14+($C$15-$C$14)/($D$15-$D$14)*(I1380-$D$14))/2</f>
      </c>
      <c r="W1380" s="7">
        <f>($B$22*I1380^4+$C$22*I1380^3+$D$22*I1380^2+$E$22*I1380+$F$22)/2</f>
      </c>
      <c r="X1380" s="7">
        <f>($W1380)*(T1380)</f>
      </c>
      <c r="Y1380" s="7">
        <f>($W1380)*(U1380)</f>
      </c>
      <c r="Z1380" s="7">
        <f>SQRT(X1380^2+Y1380^2)</f>
      </c>
      <c r="AA1380" s="7">
        <f>$K1380+$X1380</f>
      </c>
      <c r="AB1380" s="7">
        <f>$L1380+$Y1380</f>
      </c>
      <c r="AC1380" s="7">
        <f>$K1380-$X1380</f>
      </c>
      <c r="AD1380" s="7">
        <f>$L1380-$Y1380</f>
      </c>
      <c r="AE1380" s="7">
        <f>AA1380/39.3701</f>
      </c>
      <c r="AF1380" s="7">
        <f>AB1380/39.3701</f>
      </c>
      <c r="AG1380" s="7">
        <f>AC1380/39.3701</f>
      </c>
      <c r="AH1380" s="7">
        <f>AD1380/39.3701</f>
      </c>
      <c r="AI1380" s="1"/>
      <c r="AJ1380" s="1"/>
      <c r="AK1380" s="1"/>
      <c r="AL1380" s="1"/>
      <c r="AM1380" s="2"/>
      <c r="AN1380" s="1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  <c r="BA1380" s="1"/>
      <c r="BB1380" s="1"/>
      <c r="BC1380" s="1"/>
      <c r="BD1380" s="1"/>
      <c r="BE1380" s="1"/>
    </row>
    <row x14ac:dyDescent="0.25" r="1381" customHeight="1" ht="18.75">
      <c r="A1381" s="1"/>
      <c r="B1381" s="2"/>
      <c r="C1381" s="2"/>
      <c r="D1381" s="2"/>
      <c r="E1381" s="2"/>
      <c r="F1381" s="2"/>
      <c r="G1381" s="1"/>
      <c r="H1381" s="1"/>
      <c r="I1381" s="7">
        <v>1.378</v>
      </c>
      <c r="J1381" s="7">
        <f>IF((I1381-ROUNDDOWN(I1381,0))=0, 0, (I1381-ROUNDDOWN(I1381,0)))</f>
      </c>
      <c r="K1381" s="7">
        <f>INDIRECT("C$"&amp;2+MIN(2,ROUNDDOWN(I1381,0))*3)*(-$J1381^3+3*$J1381^2-3*$J1381+1)+INDIRECT("C$"&amp;3+MIN(2,ROUNDDOWN(I1381,0))*3)*(3*$J1381^3-6*$J1381^2+3*$J1381)+INDIRECT("C$"&amp;4+MIN(2,ROUNDDOWN(I1381,0))*3)*(-3*$J1381^3+3*$J1381^2)+INDIRECT("C$"&amp;5+MIN(2,ROUNDDOWN(I1381,0))*3)*$J1381^3</f>
      </c>
      <c r="L1381" s="7">
        <f>INDIRECT("D$"&amp;2+MIN(2,ROUNDDOWN(I1381,0))*3)*(-$J1381^3+3*$J1381^2-3*$J1381+1)+INDIRECT("D$"&amp;3+MIN(2,ROUNDDOWN(I1381,0))*3)*(3*$J1381^3-6*$J1381^2+3*$J1381)+INDIRECT("D$"&amp;4+MIN(2,ROUNDDOWN(I1381,0))*3)*(-3*$J1381^3+3*$J1381^2)+INDIRECT("D$"&amp;5+MIN(2,ROUNDDOWN(I1381,0))*3)*$J1381^3</f>
      </c>
      <c r="M1381" s="7">
        <f>SQRT(K1381^2+L1381^2)</f>
      </c>
      <c r="N1381" s="7">
        <f>(K1382-K1380)</f>
      </c>
      <c r="O1381" s="7">
        <f>+(L1382-L1380)</f>
      </c>
      <c r="P1381" s="7">
        <f>SQRT(O1381^2+N1381^2)</f>
      </c>
      <c r="Q1381" s="7">
        <f>N1381/$P1381</f>
      </c>
      <c r="R1381" s="7">
        <f>O1381/$P1381</f>
      </c>
      <c r="S1381" s="8">
        <f>Q1381^2+R1381^2</f>
      </c>
      <c r="T1381" s="7">
        <f>-R1381</f>
      </c>
      <c r="U1381" s="7">
        <f>Q1381</f>
      </c>
      <c r="V1381" s="7">
        <f>($C$14+($C$15-$C$14)/($D$15-$D$14)*(I1381-$D$14))/2</f>
      </c>
      <c r="W1381" s="7">
        <f>($B$22*I1381^4+$C$22*I1381^3+$D$22*I1381^2+$E$22*I1381+$F$22)/2</f>
      </c>
      <c r="X1381" s="7">
        <f>($W1381)*(T1381)</f>
      </c>
      <c r="Y1381" s="7">
        <f>($W1381)*(U1381)</f>
      </c>
      <c r="Z1381" s="7">
        <f>SQRT(X1381^2+Y1381^2)</f>
      </c>
      <c r="AA1381" s="7">
        <f>$K1381+$X1381</f>
      </c>
      <c r="AB1381" s="7">
        <f>$L1381+$Y1381</f>
      </c>
      <c r="AC1381" s="7">
        <f>$K1381-$X1381</f>
      </c>
      <c r="AD1381" s="7">
        <f>$L1381-$Y1381</f>
      </c>
      <c r="AE1381" s="7">
        <f>AA1381/39.3701</f>
      </c>
      <c r="AF1381" s="7">
        <f>AB1381/39.3701</f>
      </c>
      <c r="AG1381" s="7">
        <f>AC1381/39.3701</f>
      </c>
      <c r="AH1381" s="7">
        <f>AD1381/39.3701</f>
      </c>
      <c r="AI1381" s="1"/>
      <c r="AJ1381" s="1"/>
      <c r="AK1381" s="1"/>
      <c r="AL1381" s="1"/>
      <c r="AM1381" s="2"/>
      <c r="AN1381" s="1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  <c r="BA1381" s="1"/>
      <c r="BB1381" s="1"/>
      <c r="BC1381" s="1"/>
      <c r="BD1381" s="1"/>
      <c r="BE1381" s="1"/>
    </row>
    <row x14ac:dyDescent="0.25" r="1382" customHeight="1" ht="18.75">
      <c r="A1382" s="1"/>
      <c r="B1382" s="2"/>
      <c r="C1382" s="2"/>
      <c r="D1382" s="2"/>
      <c r="E1382" s="2"/>
      <c r="F1382" s="2"/>
      <c r="G1382" s="1"/>
      <c r="H1382" s="1"/>
      <c r="I1382" s="7">
        <v>1.379</v>
      </c>
      <c r="J1382" s="7">
        <f>IF((I1382-ROUNDDOWN(I1382,0))=0, 0, (I1382-ROUNDDOWN(I1382,0)))</f>
      </c>
      <c r="K1382" s="7">
        <f>INDIRECT("C$"&amp;2+MIN(2,ROUNDDOWN(I1382,0))*3)*(-$J1382^3+3*$J1382^2-3*$J1382+1)+INDIRECT("C$"&amp;3+MIN(2,ROUNDDOWN(I1382,0))*3)*(3*$J1382^3-6*$J1382^2+3*$J1382)+INDIRECT("C$"&amp;4+MIN(2,ROUNDDOWN(I1382,0))*3)*(-3*$J1382^3+3*$J1382^2)+INDIRECT("C$"&amp;5+MIN(2,ROUNDDOWN(I1382,0))*3)*$J1382^3</f>
      </c>
      <c r="L1382" s="7">
        <f>INDIRECT("D$"&amp;2+MIN(2,ROUNDDOWN(I1382,0))*3)*(-$J1382^3+3*$J1382^2-3*$J1382+1)+INDIRECT("D$"&amp;3+MIN(2,ROUNDDOWN(I1382,0))*3)*(3*$J1382^3-6*$J1382^2+3*$J1382)+INDIRECT("D$"&amp;4+MIN(2,ROUNDDOWN(I1382,0))*3)*(-3*$J1382^3+3*$J1382^2)+INDIRECT("D$"&amp;5+MIN(2,ROUNDDOWN(I1382,0))*3)*$J1382^3</f>
      </c>
      <c r="M1382" s="7">
        <f>SQRT(K1382^2+L1382^2)</f>
      </c>
      <c r="N1382" s="7">
        <f>(K1383-K1381)</f>
      </c>
      <c r="O1382" s="7">
        <f>+(L1383-L1381)</f>
      </c>
      <c r="P1382" s="7">
        <f>SQRT(O1382^2+N1382^2)</f>
      </c>
      <c r="Q1382" s="7">
        <f>N1382/$P1382</f>
      </c>
      <c r="R1382" s="7">
        <f>O1382/$P1382</f>
      </c>
      <c r="S1382" s="7">
        <f>Q1382^2+R1382^2</f>
      </c>
      <c r="T1382" s="7">
        <f>-R1382</f>
      </c>
      <c r="U1382" s="7">
        <f>Q1382</f>
      </c>
      <c r="V1382" s="7">
        <f>($C$14+($C$15-$C$14)/($D$15-$D$14)*(I1382-$D$14))/2</f>
      </c>
      <c r="W1382" s="7">
        <f>($B$22*I1382^4+$C$22*I1382^3+$D$22*I1382^2+$E$22*I1382+$F$22)/2</f>
      </c>
      <c r="X1382" s="7">
        <f>($W1382)*(T1382)</f>
      </c>
      <c r="Y1382" s="7">
        <f>($W1382)*(U1382)</f>
      </c>
      <c r="Z1382" s="7">
        <f>SQRT(X1382^2+Y1382^2)</f>
      </c>
      <c r="AA1382" s="7">
        <f>$K1382+$X1382</f>
      </c>
      <c r="AB1382" s="7">
        <f>$L1382+$Y1382</f>
      </c>
      <c r="AC1382" s="7">
        <f>$K1382-$X1382</f>
      </c>
      <c r="AD1382" s="7">
        <f>$L1382-$Y1382</f>
      </c>
      <c r="AE1382" s="7">
        <f>AA1382/39.3701</f>
      </c>
      <c r="AF1382" s="7">
        <f>AB1382/39.3701</f>
      </c>
      <c r="AG1382" s="7">
        <f>AC1382/39.3701</f>
      </c>
      <c r="AH1382" s="7">
        <f>AD1382/39.3701</f>
      </c>
      <c r="AI1382" s="1"/>
      <c r="AJ1382" s="1"/>
      <c r="AK1382" s="1"/>
      <c r="AL1382" s="1"/>
      <c r="AM1382" s="2"/>
      <c r="AN1382" s="1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  <c r="BA1382" s="1"/>
      <c r="BB1382" s="1"/>
      <c r="BC1382" s="1"/>
      <c r="BD1382" s="1"/>
      <c r="BE1382" s="1"/>
    </row>
    <row x14ac:dyDescent="0.25" r="1383" customHeight="1" ht="18.75">
      <c r="A1383" s="1"/>
      <c r="B1383" s="2"/>
      <c r="C1383" s="2"/>
      <c r="D1383" s="2"/>
      <c r="E1383" s="2"/>
      <c r="F1383" s="2"/>
      <c r="G1383" s="1"/>
      <c r="H1383" s="1"/>
      <c r="I1383" s="7">
        <v>1.38</v>
      </c>
      <c r="J1383" s="7">
        <f>IF((I1383-ROUNDDOWN(I1383,0))=0, 0, (I1383-ROUNDDOWN(I1383,0)))</f>
      </c>
      <c r="K1383" s="7">
        <f>INDIRECT("C$"&amp;2+MIN(2,ROUNDDOWN(I1383,0))*3)*(-$J1383^3+3*$J1383^2-3*$J1383+1)+INDIRECT("C$"&amp;3+MIN(2,ROUNDDOWN(I1383,0))*3)*(3*$J1383^3-6*$J1383^2+3*$J1383)+INDIRECT("C$"&amp;4+MIN(2,ROUNDDOWN(I1383,0))*3)*(-3*$J1383^3+3*$J1383^2)+INDIRECT("C$"&amp;5+MIN(2,ROUNDDOWN(I1383,0))*3)*$J1383^3</f>
      </c>
      <c r="L1383" s="7">
        <f>INDIRECT("D$"&amp;2+MIN(2,ROUNDDOWN(I1383,0))*3)*(-$J1383^3+3*$J1383^2-3*$J1383+1)+INDIRECT("D$"&amp;3+MIN(2,ROUNDDOWN(I1383,0))*3)*(3*$J1383^3-6*$J1383^2+3*$J1383)+INDIRECT("D$"&amp;4+MIN(2,ROUNDDOWN(I1383,0))*3)*(-3*$J1383^3+3*$J1383^2)+INDIRECT("D$"&amp;5+MIN(2,ROUNDDOWN(I1383,0))*3)*$J1383^3</f>
      </c>
      <c r="M1383" s="7">
        <f>SQRT(K1383^2+L1383^2)</f>
      </c>
      <c r="N1383" s="7">
        <f>(K1384-K1382)</f>
      </c>
      <c r="O1383" s="7">
        <f>+(L1384-L1382)</f>
      </c>
      <c r="P1383" s="7">
        <f>SQRT(O1383^2+N1383^2)</f>
      </c>
      <c r="Q1383" s="7">
        <f>N1383/$P1383</f>
      </c>
      <c r="R1383" s="7">
        <f>O1383/$P1383</f>
      </c>
      <c r="S1383" s="7">
        <f>Q1383^2+R1383^2</f>
      </c>
      <c r="T1383" s="7">
        <f>-R1383</f>
      </c>
      <c r="U1383" s="7">
        <f>Q1383</f>
      </c>
      <c r="V1383" s="7">
        <f>($C$14+($C$15-$C$14)/($D$15-$D$14)*(I1383-$D$14))/2</f>
      </c>
      <c r="W1383" s="7">
        <f>($B$22*I1383^4+$C$22*I1383^3+$D$22*I1383^2+$E$22*I1383+$F$22)/2</f>
      </c>
      <c r="X1383" s="7">
        <f>($W1383)*(T1383)</f>
      </c>
      <c r="Y1383" s="7">
        <f>($W1383)*(U1383)</f>
      </c>
      <c r="Z1383" s="7">
        <f>SQRT(X1383^2+Y1383^2)</f>
      </c>
      <c r="AA1383" s="7">
        <f>$K1383+$X1383</f>
      </c>
      <c r="AB1383" s="7">
        <f>$L1383+$Y1383</f>
      </c>
      <c r="AC1383" s="7">
        <f>$K1383-$X1383</f>
      </c>
      <c r="AD1383" s="7">
        <f>$L1383-$Y1383</f>
      </c>
      <c r="AE1383" s="7">
        <f>AA1383/39.3701</f>
      </c>
      <c r="AF1383" s="7">
        <f>AB1383/39.3701</f>
      </c>
      <c r="AG1383" s="7">
        <f>AC1383/39.3701</f>
      </c>
      <c r="AH1383" s="7">
        <f>AD1383/39.3701</f>
      </c>
      <c r="AI1383" s="1"/>
      <c r="AJ1383" s="1"/>
      <c r="AK1383" s="1"/>
      <c r="AL1383" s="1"/>
      <c r="AM1383" s="2"/>
      <c r="AN1383" s="1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  <c r="BA1383" s="1"/>
      <c r="BB1383" s="1"/>
      <c r="BC1383" s="1"/>
      <c r="BD1383" s="1"/>
      <c r="BE1383" s="1"/>
    </row>
    <row x14ac:dyDescent="0.25" r="1384" customHeight="1" ht="18.75">
      <c r="A1384" s="1"/>
      <c r="B1384" s="2"/>
      <c r="C1384" s="2"/>
      <c r="D1384" s="2"/>
      <c r="E1384" s="2"/>
      <c r="F1384" s="2"/>
      <c r="G1384" s="1"/>
      <c r="H1384" s="1"/>
      <c r="I1384" s="7">
        <v>1.381</v>
      </c>
      <c r="J1384" s="7">
        <f>IF((I1384-ROUNDDOWN(I1384,0))=0, 0, (I1384-ROUNDDOWN(I1384,0)))</f>
      </c>
      <c r="K1384" s="7">
        <f>INDIRECT("C$"&amp;2+MIN(2,ROUNDDOWN(I1384,0))*3)*(-$J1384^3+3*$J1384^2-3*$J1384+1)+INDIRECT("C$"&amp;3+MIN(2,ROUNDDOWN(I1384,0))*3)*(3*$J1384^3-6*$J1384^2+3*$J1384)+INDIRECT("C$"&amp;4+MIN(2,ROUNDDOWN(I1384,0))*3)*(-3*$J1384^3+3*$J1384^2)+INDIRECT("C$"&amp;5+MIN(2,ROUNDDOWN(I1384,0))*3)*$J1384^3</f>
      </c>
      <c r="L1384" s="7">
        <f>INDIRECT("D$"&amp;2+MIN(2,ROUNDDOWN(I1384,0))*3)*(-$J1384^3+3*$J1384^2-3*$J1384+1)+INDIRECT("D$"&amp;3+MIN(2,ROUNDDOWN(I1384,0))*3)*(3*$J1384^3-6*$J1384^2+3*$J1384)+INDIRECT("D$"&amp;4+MIN(2,ROUNDDOWN(I1384,0))*3)*(-3*$J1384^3+3*$J1384^2)+INDIRECT("D$"&amp;5+MIN(2,ROUNDDOWN(I1384,0))*3)*$J1384^3</f>
      </c>
      <c r="M1384" s="7">
        <f>SQRT(K1384^2+L1384^2)</f>
      </c>
      <c r="N1384" s="7">
        <f>(K1385-K1383)</f>
      </c>
      <c r="O1384" s="7">
        <f>+(L1385-L1383)</f>
      </c>
      <c r="P1384" s="7">
        <f>SQRT(O1384^2+N1384^2)</f>
      </c>
      <c r="Q1384" s="7">
        <f>N1384/$P1384</f>
      </c>
      <c r="R1384" s="7">
        <f>O1384/$P1384</f>
      </c>
      <c r="S1384" s="7">
        <f>Q1384^2+R1384^2</f>
      </c>
      <c r="T1384" s="7">
        <f>-R1384</f>
      </c>
      <c r="U1384" s="7">
        <f>Q1384</f>
      </c>
      <c r="V1384" s="7">
        <f>($C$14+($C$15-$C$14)/($D$15-$D$14)*(I1384-$D$14))/2</f>
      </c>
      <c r="W1384" s="7">
        <f>($B$22*I1384^4+$C$22*I1384^3+$D$22*I1384^2+$E$22*I1384+$F$22)/2</f>
      </c>
      <c r="X1384" s="7">
        <f>($W1384)*(T1384)</f>
      </c>
      <c r="Y1384" s="7">
        <f>($W1384)*(U1384)</f>
      </c>
      <c r="Z1384" s="7">
        <f>SQRT(X1384^2+Y1384^2)</f>
      </c>
      <c r="AA1384" s="7">
        <f>$K1384+$X1384</f>
      </c>
      <c r="AB1384" s="7">
        <f>$L1384+$Y1384</f>
      </c>
      <c r="AC1384" s="7">
        <f>$K1384-$X1384</f>
      </c>
      <c r="AD1384" s="7">
        <f>$L1384-$Y1384</f>
      </c>
      <c r="AE1384" s="7">
        <f>AA1384/39.3701</f>
      </c>
      <c r="AF1384" s="7">
        <f>AB1384/39.3701</f>
      </c>
      <c r="AG1384" s="7">
        <f>AC1384/39.3701</f>
      </c>
      <c r="AH1384" s="7">
        <f>AD1384/39.3701</f>
      </c>
      <c r="AI1384" s="1"/>
      <c r="AJ1384" s="1"/>
      <c r="AK1384" s="1"/>
      <c r="AL1384" s="1"/>
      <c r="AM1384" s="2"/>
      <c r="AN1384" s="1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  <c r="BA1384" s="1"/>
      <c r="BB1384" s="1"/>
      <c r="BC1384" s="1"/>
      <c r="BD1384" s="1"/>
      <c r="BE1384" s="1"/>
    </row>
    <row x14ac:dyDescent="0.25" r="1385" customHeight="1" ht="18.75">
      <c r="A1385" s="1"/>
      <c r="B1385" s="2"/>
      <c r="C1385" s="2"/>
      <c r="D1385" s="2"/>
      <c r="E1385" s="2"/>
      <c r="F1385" s="2"/>
      <c r="G1385" s="1"/>
      <c r="H1385" s="1"/>
      <c r="I1385" s="7">
        <v>1.382</v>
      </c>
      <c r="J1385" s="7">
        <f>IF((I1385-ROUNDDOWN(I1385,0))=0, 0, (I1385-ROUNDDOWN(I1385,0)))</f>
      </c>
      <c r="K1385" s="7">
        <f>INDIRECT("C$"&amp;2+MIN(2,ROUNDDOWN(I1385,0))*3)*(-$J1385^3+3*$J1385^2-3*$J1385+1)+INDIRECT("C$"&amp;3+MIN(2,ROUNDDOWN(I1385,0))*3)*(3*$J1385^3-6*$J1385^2+3*$J1385)+INDIRECT("C$"&amp;4+MIN(2,ROUNDDOWN(I1385,0))*3)*(-3*$J1385^3+3*$J1385^2)+INDIRECT("C$"&amp;5+MIN(2,ROUNDDOWN(I1385,0))*3)*$J1385^3</f>
      </c>
      <c r="L1385" s="7">
        <f>INDIRECT("D$"&amp;2+MIN(2,ROUNDDOWN(I1385,0))*3)*(-$J1385^3+3*$J1385^2-3*$J1385+1)+INDIRECT("D$"&amp;3+MIN(2,ROUNDDOWN(I1385,0))*3)*(3*$J1385^3-6*$J1385^2+3*$J1385)+INDIRECT("D$"&amp;4+MIN(2,ROUNDDOWN(I1385,0))*3)*(-3*$J1385^3+3*$J1385^2)+INDIRECT("D$"&amp;5+MIN(2,ROUNDDOWN(I1385,0))*3)*$J1385^3</f>
      </c>
      <c r="M1385" s="7">
        <f>SQRT(K1385^2+L1385^2)</f>
      </c>
      <c r="N1385" s="7">
        <f>(K1386-K1384)</f>
      </c>
      <c r="O1385" s="7">
        <f>+(L1386-L1384)</f>
      </c>
      <c r="P1385" s="7">
        <f>SQRT(O1385^2+N1385^2)</f>
      </c>
      <c r="Q1385" s="7">
        <f>N1385/$P1385</f>
      </c>
      <c r="R1385" s="7">
        <f>O1385/$P1385</f>
      </c>
      <c r="S1385" s="8">
        <f>Q1385^2+R1385^2</f>
      </c>
      <c r="T1385" s="7">
        <f>-R1385</f>
      </c>
      <c r="U1385" s="7">
        <f>Q1385</f>
      </c>
      <c r="V1385" s="7">
        <f>($C$14+($C$15-$C$14)/($D$15-$D$14)*(I1385-$D$14))/2</f>
      </c>
      <c r="W1385" s="7">
        <f>($B$22*I1385^4+$C$22*I1385^3+$D$22*I1385^2+$E$22*I1385+$F$22)/2</f>
      </c>
      <c r="X1385" s="7">
        <f>($W1385)*(T1385)</f>
      </c>
      <c r="Y1385" s="7">
        <f>($W1385)*(U1385)</f>
      </c>
      <c r="Z1385" s="7">
        <f>SQRT(X1385^2+Y1385^2)</f>
      </c>
      <c r="AA1385" s="7">
        <f>$K1385+$X1385</f>
      </c>
      <c r="AB1385" s="7">
        <f>$L1385+$Y1385</f>
      </c>
      <c r="AC1385" s="7">
        <f>$K1385-$X1385</f>
      </c>
      <c r="AD1385" s="7">
        <f>$L1385-$Y1385</f>
      </c>
      <c r="AE1385" s="7">
        <f>AA1385/39.3701</f>
      </c>
      <c r="AF1385" s="7">
        <f>AB1385/39.3701</f>
      </c>
      <c r="AG1385" s="7">
        <f>AC1385/39.3701</f>
      </c>
      <c r="AH1385" s="7">
        <f>AD1385/39.3701</f>
      </c>
      <c r="AI1385" s="1"/>
      <c r="AJ1385" s="1"/>
      <c r="AK1385" s="1"/>
      <c r="AL1385" s="1"/>
      <c r="AM1385" s="2"/>
      <c r="AN1385" s="1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  <c r="BA1385" s="1"/>
      <c r="BB1385" s="1"/>
      <c r="BC1385" s="1"/>
      <c r="BD1385" s="1"/>
      <c r="BE1385" s="1"/>
    </row>
    <row x14ac:dyDescent="0.25" r="1386" customHeight="1" ht="18.75">
      <c r="A1386" s="1"/>
      <c r="B1386" s="2"/>
      <c r="C1386" s="2"/>
      <c r="D1386" s="2"/>
      <c r="E1386" s="2"/>
      <c r="F1386" s="2"/>
      <c r="G1386" s="1"/>
      <c r="H1386" s="1"/>
      <c r="I1386" s="7">
        <v>1.383</v>
      </c>
      <c r="J1386" s="7">
        <f>IF((I1386-ROUNDDOWN(I1386,0))=0, 0, (I1386-ROUNDDOWN(I1386,0)))</f>
      </c>
      <c r="K1386" s="7">
        <f>INDIRECT("C$"&amp;2+MIN(2,ROUNDDOWN(I1386,0))*3)*(-$J1386^3+3*$J1386^2-3*$J1386+1)+INDIRECT("C$"&amp;3+MIN(2,ROUNDDOWN(I1386,0))*3)*(3*$J1386^3-6*$J1386^2+3*$J1386)+INDIRECT("C$"&amp;4+MIN(2,ROUNDDOWN(I1386,0))*3)*(-3*$J1386^3+3*$J1386^2)+INDIRECT("C$"&amp;5+MIN(2,ROUNDDOWN(I1386,0))*3)*$J1386^3</f>
      </c>
      <c r="L1386" s="7">
        <f>INDIRECT("D$"&amp;2+MIN(2,ROUNDDOWN(I1386,0))*3)*(-$J1386^3+3*$J1386^2-3*$J1386+1)+INDIRECT("D$"&amp;3+MIN(2,ROUNDDOWN(I1386,0))*3)*(3*$J1386^3-6*$J1386^2+3*$J1386)+INDIRECT("D$"&amp;4+MIN(2,ROUNDDOWN(I1386,0))*3)*(-3*$J1386^3+3*$J1386^2)+INDIRECT("D$"&amp;5+MIN(2,ROUNDDOWN(I1386,0))*3)*$J1386^3</f>
      </c>
      <c r="M1386" s="7">
        <f>SQRT(K1386^2+L1386^2)</f>
      </c>
      <c r="N1386" s="7">
        <f>(K1387-K1385)</f>
      </c>
      <c r="O1386" s="7">
        <f>+(L1387-L1385)</f>
      </c>
      <c r="P1386" s="7">
        <f>SQRT(O1386^2+N1386^2)</f>
      </c>
      <c r="Q1386" s="7">
        <f>N1386/$P1386</f>
      </c>
      <c r="R1386" s="7">
        <f>O1386/$P1386</f>
      </c>
      <c r="S1386" s="8">
        <f>Q1386^2+R1386^2</f>
      </c>
      <c r="T1386" s="7">
        <f>-R1386</f>
      </c>
      <c r="U1386" s="7">
        <f>Q1386</f>
      </c>
      <c r="V1386" s="7">
        <f>($C$14+($C$15-$C$14)/($D$15-$D$14)*(I1386-$D$14))/2</f>
      </c>
      <c r="W1386" s="7">
        <f>($B$22*I1386^4+$C$22*I1386^3+$D$22*I1386^2+$E$22*I1386+$F$22)/2</f>
      </c>
      <c r="X1386" s="7">
        <f>($W1386)*(T1386)</f>
      </c>
      <c r="Y1386" s="7">
        <f>($W1386)*(U1386)</f>
      </c>
      <c r="Z1386" s="7">
        <f>SQRT(X1386^2+Y1386^2)</f>
      </c>
      <c r="AA1386" s="7">
        <f>$K1386+$X1386</f>
      </c>
      <c r="AB1386" s="7">
        <f>$L1386+$Y1386</f>
      </c>
      <c r="AC1386" s="7">
        <f>$K1386-$X1386</f>
      </c>
      <c r="AD1386" s="7">
        <f>$L1386-$Y1386</f>
      </c>
      <c r="AE1386" s="7">
        <f>AA1386/39.3701</f>
      </c>
      <c r="AF1386" s="7">
        <f>AB1386/39.3701</f>
      </c>
      <c r="AG1386" s="7">
        <f>AC1386/39.3701</f>
      </c>
      <c r="AH1386" s="7">
        <f>AD1386/39.3701</f>
      </c>
      <c r="AI1386" s="1"/>
      <c r="AJ1386" s="1"/>
      <c r="AK1386" s="1"/>
      <c r="AL1386" s="1"/>
      <c r="AM1386" s="2"/>
      <c r="AN1386" s="1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  <c r="BA1386" s="1"/>
      <c r="BB1386" s="1"/>
      <c r="BC1386" s="1"/>
      <c r="BD1386" s="1"/>
      <c r="BE1386" s="1"/>
    </row>
    <row x14ac:dyDescent="0.25" r="1387" customHeight="1" ht="18.75">
      <c r="A1387" s="1"/>
      <c r="B1387" s="2"/>
      <c r="C1387" s="2"/>
      <c r="D1387" s="2"/>
      <c r="E1387" s="2"/>
      <c r="F1387" s="2"/>
      <c r="G1387" s="1"/>
      <c r="H1387" s="1"/>
      <c r="I1387" s="7">
        <v>1.384</v>
      </c>
      <c r="J1387" s="7">
        <f>IF((I1387-ROUNDDOWN(I1387,0))=0, 0, (I1387-ROUNDDOWN(I1387,0)))</f>
      </c>
      <c r="K1387" s="7">
        <f>INDIRECT("C$"&amp;2+MIN(2,ROUNDDOWN(I1387,0))*3)*(-$J1387^3+3*$J1387^2-3*$J1387+1)+INDIRECT("C$"&amp;3+MIN(2,ROUNDDOWN(I1387,0))*3)*(3*$J1387^3-6*$J1387^2+3*$J1387)+INDIRECT("C$"&amp;4+MIN(2,ROUNDDOWN(I1387,0))*3)*(-3*$J1387^3+3*$J1387^2)+INDIRECT("C$"&amp;5+MIN(2,ROUNDDOWN(I1387,0))*3)*$J1387^3</f>
      </c>
      <c r="L1387" s="7">
        <f>INDIRECT("D$"&amp;2+MIN(2,ROUNDDOWN(I1387,0))*3)*(-$J1387^3+3*$J1387^2-3*$J1387+1)+INDIRECT("D$"&amp;3+MIN(2,ROUNDDOWN(I1387,0))*3)*(3*$J1387^3-6*$J1387^2+3*$J1387)+INDIRECT("D$"&amp;4+MIN(2,ROUNDDOWN(I1387,0))*3)*(-3*$J1387^3+3*$J1387^2)+INDIRECT("D$"&amp;5+MIN(2,ROUNDDOWN(I1387,0))*3)*$J1387^3</f>
      </c>
      <c r="M1387" s="7">
        <f>SQRT(K1387^2+L1387^2)</f>
      </c>
      <c r="N1387" s="7">
        <f>(K1388-K1386)</f>
      </c>
      <c r="O1387" s="7">
        <f>+(L1388-L1386)</f>
      </c>
      <c r="P1387" s="7">
        <f>SQRT(O1387^2+N1387^2)</f>
      </c>
      <c r="Q1387" s="7">
        <f>N1387/$P1387</f>
      </c>
      <c r="R1387" s="7">
        <f>O1387/$P1387</f>
      </c>
      <c r="S1387" s="7">
        <f>Q1387^2+R1387^2</f>
      </c>
      <c r="T1387" s="7">
        <f>-R1387</f>
      </c>
      <c r="U1387" s="7">
        <f>Q1387</f>
      </c>
      <c r="V1387" s="7">
        <f>($C$14+($C$15-$C$14)/($D$15-$D$14)*(I1387-$D$14))/2</f>
      </c>
      <c r="W1387" s="7">
        <f>($B$22*I1387^4+$C$22*I1387^3+$D$22*I1387^2+$E$22*I1387+$F$22)/2</f>
      </c>
      <c r="X1387" s="7">
        <f>($W1387)*(T1387)</f>
      </c>
      <c r="Y1387" s="7">
        <f>($W1387)*(U1387)</f>
      </c>
      <c r="Z1387" s="7">
        <f>SQRT(X1387^2+Y1387^2)</f>
      </c>
      <c r="AA1387" s="7">
        <f>$K1387+$X1387</f>
      </c>
      <c r="AB1387" s="7">
        <f>$L1387+$Y1387</f>
      </c>
      <c r="AC1387" s="7">
        <f>$K1387-$X1387</f>
      </c>
      <c r="AD1387" s="7">
        <f>$L1387-$Y1387</f>
      </c>
      <c r="AE1387" s="7">
        <f>AA1387/39.3701</f>
      </c>
      <c r="AF1387" s="7">
        <f>AB1387/39.3701</f>
      </c>
      <c r="AG1387" s="7">
        <f>AC1387/39.3701</f>
      </c>
      <c r="AH1387" s="7">
        <f>AD1387/39.3701</f>
      </c>
      <c r="AI1387" s="1"/>
      <c r="AJ1387" s="1"/>
      <c r="AK1387" s="1"/>
      <c r="AL1387" s="1"/>
      <c r="AM1387" s="2"/>
      <c r="AN1387" s="1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  <c r="BA1387" s="1"/>
      <c r="BB1387" s="1"/>
      <c r="BC1387" s="1"/>
      <c r="BD1387" s="1"/>
      <c r="BE1387" s="1"/>
    </row>
    <row x14ac:dyDescent="0.25" r="1388" customHeight="1" ht="18.75">
      <c r="A1388" s="1"/>
      <c r="B1388" s="2"/>
      <c r="C1388" s="2"/>
      <c r="D1388" s="2"/>
      <c r="E1388" s="2"/>
      <c r="F1388" s="2"/>
      <c r="G1388" s="1"/>
      <c r="H1388" s="1"/>
      <c r="I1388" s="7">
        <v>1.385</v>
      </c>
      <c r="J1388" s="7">
        <f>IF((I1388-ROUNDDOWN(I1388,0))=0, 0, (I1388-ROUNDDOWN(I1388,0)))</f>
      </c>
      <c r="K1388" s="7">
        <f>INDIRECT("C$"&amp;2+MIN(2,ROUNDDOWN(I1388,0))*3)*(-$J1388^3+3*$J1388^2-3*$J1388+1)+INDIRECT("C$"&amp;3+MIN(2,ROUNDDOWN(I1388,0))*3)*(3*$J1388^3-6*$J1388^2+3*$J1388)+INDIRECT("C$"&amp;4+MIN(2,ROUNDDOWN(I1388,0))*3)*(-3*$J1388^3+3*$J1388^2)+INDIRECT("C$"&amp;5+MIN(2,ROUNDDOWN(I1388,0))*3)*$J1388^3</f>
      </c>
      <c r="L1388" s="7">
        <f>INDIRECT("D$"&amp;2+MIN(2,ROUNDDOWN(I1388,0))*3)*(-$J1388^3+3*$J1388^2-3*$J1388+1)+INDIRECT("D$"&amp;3+MIN(2,ROUNDDOWN(I1388,0))*3)*(3*$J1388^3-6*$J1388^2+3*$J1388)+INDIRECT("D$"&amp;4+MIN(2,ROUNDDOWN(I1388,0))*3)*(-3*$J1388^3+3*$J1388^2)+INDIRECT("D$"&amp;5+MIN(2,ROUNDDOWN(I1388,0))*3)*$J1388^3</f>
      </c>
      <c r="M1388" s="7">
        <f>SQRT(K1388^2+L1388^2)</f>
      </c>
      <c r="N1388" s="7">
        <f>(K1389-K1387)</f>
      </c>
      <c r="O1388" s="7">
        <f>+(L1389-L1387)</f>
      </c>
      <c r="P1388" s="7">
        <f>SQRT(O1388^2+N1388^2)</f>
      </c>
      <c r="Q1388" s="7">
        <f>N1388/$P1388</f>
      </c>
      <c r="R1388" s="7">
        <f>O1388/$P1388</f>
      </c>
      <c r="S1388" s="8">
        <f>Q1388^2+R1388^2</f>
      </c>
      <c r="T1388" s="7">
        <f>-R1388</f>
      </c>
      <c r="U1388" s="7">
        <f>Q1388</f>
      </c>
      <c r="V1388" s="7">
        <f>($C$14+($C$15-$C$14)/($D$15-$D$14)*(I1388-$D$14))/2</f>
      </c>
      <c r="W1388" s="7">
        <f>($B$22*I1388^4+$C$22*I1388^3+$D$22*I1388^2+$E$22*I1388+$F$22)/2</f>
      </c>
      <c r="X1388" s="7">
        <f>($W1388)*(T1388)</f>
      </c>
      <c r="Y1388" s="7">
        <f>($W1388)*(U1388)</f>
      </c>
      <c r="Z1388" s="7">
        <f>SQRT(X1388^2+Y1388^2)</f>
      </c>
      <c r="AA1388" s="7">
        <f>$K1388+$X1388</f>
      </c>
      <c r="AB1388" s="7">
        <f>$L1388+$Y1388</f>
      </c>
      <c r="AC1388" s="7">
        <f>$K1388-$X1388</f>
      </c>
      <c r="AD1388" s="7">
        <f>$L1388-$Y1388</f>
      </c>
      <c r="AE1388" s="7">
        <f>AA1388/39.3701</f>
      </c>
      <c r="AF1388" s="7">
        <f>AB1388/39.3701</f>
      </c>
      <c r="AG1388" s="7">
        <f>AC1388/39.3701</f>
      </c>
      <c r="AH1388" s="7">
        <f>AD1388/39.3701</f>
      </c>
      <c r="AI1388" s="1"/>
      <c r="AJ1388" s="1"/>
      <c r="AK1388" s="1"/>
      <c r="AL1388" s="1"/>
      <c r="AM1388" s="2"/>
      <c r="AN1388" s="1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  <c r="BA1388" s="1"/>
      <c r="BB1388" s="1"/>
      <c r="BC1388" s="1"/>
      <c r="BD1388" s="1"/>
      <c r="BE1388" s="1"/>
    </row>
    <row x14ac:dyDescent="0.25" r="1389" customHeight="1" ht="18.75">
      <c r="A1389" s="1"/>
      <c r="B1389" s="2"/>
      <c r="C1389" s="2"/>
      <c r="D1389" s="2"/>
      <c r="E1389" s="2"/>
      <c r="F1389" s="2"/>
      <c r="G1389" s="1"/>
      <c r="H1389" s="1"/>
      <c r="I1389" s="7">
        <v>1.386</v>
      </c>
      <c r="J1389" s="7">
        <f>IF((I1389-ROUNDDOWN(I1389,0))=0, 0, (I1389-ROUNDDOWN(I1389,0)))</f>
      </c>
      <c r="K1389" s="7">
        <f>INDIRECT("C$"&amp;2+MIN(2,ROUNDDOWN(I1389,0))*3)*(-$J1389^3+3*$J1389^2-3*$J1389+1)+INDIRECT("C$"&amp;3+MIN(2,ROUNDDOWN(I1389,0))*3)*(3*$J1389^3-6*$J1389^2+3*$J1389)+INDIRECT("C$"&amp;4+MIN(2,ROUNDDOWN(I1389,0))*3)*(-3*$J1389^3+3*$J1389^2)+INDIRECT("C$"&amp;5+MIN(2,ROUNDDOWN(I1389,0))*3)*$J1389^3</f>
      </c>
      <c r="L1389" s="7">
        <f>INDIRECT("D$"&amp;2+MIN(2,ROUNDDOWN(I1389,0))*3)*(-$J1389^3+3*$J1389^2-3*$J1389+1)+INDIRECT("D$"&amp;3+MIN(2,ROUNDDOWN(I1389,0))*3)*(3*$J1389^3-6*$J1389^2+3*$J1389)+INDIRECT("D$"&amp;4+MIN(2,ROUNDDOWN(I1389,0))*3)*(-3*$J1389^3+3*$J1389^2)+INDIRECT("D$"&amp;5+MIN(2,ROUNDDOWN(I1389,0))*3)*$J1389^3</f>
      </c>
      <c r="M1389" s="7">
        <f>SQRT(K1389^2+L1389^2)</f>
      </c>
      <c r="N1389" s="7">
        <f>(K1390-K1388)</f>
      </c>
      <c r="O1389" s="7">
        <f>+(L1390-L1388)</f>
      </c>
      <c r="P1389" s="7">
        <f>SQRT(O1389^2+N1389^2)</f>
      </c>
      <c r="Q1389" s="7">
        <f>N1389/$P1389</f>
      </c>
      <c r="R1389" s="7">
        <f>O1389/$P1389</f>
      </c>
      <c r="S1389" s="8">
        <f>Q1389^2+R1389^2</f>
      </c>
      <c r="T1389" s="7">
        <f>-R1389</f>
      </c>
      <c r="U1389" s="7">
        <f>Q1389</f>
      </c>
      <c r="V1389" s="7">
        <f>($C$14+($C$15-$C$14)/($D$15-$D$14)*(I1389-$D$14))/2</f>
      </c>
      <c r="W1389" s="7">
        <f>($B$22*I1389^4+$C$22*I1389^3+$D$22*I1389^2+$E$22*I1389+$F$22)/2</f>
      </c>
      <c r="X1389" s="7">
        <f>($W1389)*(T1389)</f>
      </c>
      <c r="Y1389" s="7">
        <f>($W1389)*(U1389)</f>
      </c>
      <c r="Z1389" s="7">
        <f>SQRT(X1389^2+Y1389^2)</f>
      </c>
      <c r="AA1389" s="7">
        <f>$K1389+$X1389</f>
      </c>
      <c r="AB1389" s="7">
        <f>$L1389+$Y1389</f>
      </c>
      <c r="AC1389" s="7">
        <f>$K1389-$X1389</f>
      </c>
      <c r="AD1389" s="7">
        <f>$L1389-$Y1389</f>
      </c>
      <c r="AE1389" s="7">
        <f>AA1389/39.3701</f>
      </c>
      <c r="AF1389" s="7">
        <f>AB1389/39.3701</f>
      </c>
      <c r="AG1389" s="7">
        <f>AC1389/39.3701</f>
      </c>
      <c r="AH1389" s="7">
        <f>AD1389/39.3701</f>
      </c>
      <c r="AI1389" s="1"/>
      <c r="AJ1389" s="1"/>
      <c r="AK1389" s="1"/>
      <c r="AL1389" s="1"/>
      <c r="AM1389" s="2"/>
      <c r="AN1389" s="1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  <c r="BA1389" s="1"/>
      <c r="BB1389" s="1"/>
      <c r="BC1389" s="1"/>
      <c r="BD1389" s="1"/>
      <c r="BE1389" s="1"/>
    </row>
    <row x14ac:dyDescent="0.25" r="1390" customHeight="1" ht="18.75">
      <c r="A1390" s="1"/>
      <c r="B1390" s="2"/>
      <c r="C1390" s="2"/>
      <c r="D1390" s="2"/>
      <c r="E1390" s="2"/>
      <c r="F1390" s="2"/>
      <c r="G1390" s="1"/>
      <c r="H1390" s="1"/>
      <c r="I1390" s="7">
        <v>1.387</v>
      </c>
      <c r="J1390" s="7">
        <f>IF((I1390-ROUNDDOWN(I1390,0))=0, 0, (I1390-ROUNDDOWN(I1390,0)))</f>
      </c>
      <c r="K1390" s="7">
        <f>INDIRECT("C$"&amp;2+MIN(2,ROUNDDOWN(I1390,0))*3)*(-$J1390^3+3*$J1390^2-3*$J1390+1)+INDIRECT("C$"&amp;3+MIN(2,ROUNDDOWN(I1390,0))*3)*(3*$J1390^3-6*$J1390^2+3*$J1390)+INDIRECT("C$"&amp;4+MIN(2,ROUNDDOWN(I1390,0))*3)*(-3*$J1390^3+3*$J1390^2)+INDIRECT("C$"&amp;5+MIN(2,ROUNDDOWN(I1390,0))*3)*$J1390^3</f>
      </c>
      <c r="L1390" s="7">
        <f>INDIRECT("D$"&amp;2+MIN(2,ROUNDDOWN(I1390,0))*3)*(-$J1390^3+3*$J1390^2-3*$J1390+1)+INDIRECT("D$"&amp;3+MIN(2,ROUNDDOWN(I1390,0))*3)*(3*$J1390^3-6*$J1390^2+3*$J1390)+INDIRECT("D$"&amp;4+MIN(2,ROUNDDOWN(I1390,0))*3)*(-3*$J1390^3+3*$J1390^2)+INDIRECT("D$"&amp;5+MIN(2,ROUNDDOWN(I1390,0))*3)*$J1390^3</f>
      </c>
      <c r="M1390" s="7">
        <f>SQRT(K1390^2+L1390^2)</f>
      </c>
      <c r="N1390" s="7">
        <f>(K1391-K1389)</f>
      </c>
      <c r="O1390" s="7">
        <f>+(L1391-L1389)</f>
      </c>
      <c r="P1390" s="7">
        <f>SQRT(O1390^2+N1390^2)</f>
      </c>
      <c r="Q1390" s="7">
        <f>N1390/$P1390</f>
      </c>
      <c r="R1390" s="7">
        <f>O1390/$P1390</f>
      </c>
      <c r="S1390" s="7">
        <f>Q1390^2+R1390^2</f>
      </c>
      <c r="T1390" s="7">
        <f>-R1390</f>
      </c>
      <c r="U1390" s="7">
        <f>Q1390</f>
      </c>
      <c r="V1390" s="7">
        <f>($C$14+($C$15-$C$14)/($D$15-$D$14)*(I1390-$D$14))/2</f>
      </c>
      <c r="W1390" s="7">
        <f>($B$22*I1390^4+$C$22*I1390^3+$D$22*I1390^2+$E$22*I1390+$F$22)/2</f>
      </c>
      <c r="X1390" s="7">
        <f>($W1390)*(T1390)</f>
      </c>
      <c r="Y1390" s="7">
        <f>($W1390)*(U1390)</f>
      </c>
      <c r="Z1390" s="7">
        <f>SQRT(X1390^2+Y1390^2)</f>
      </c>
      <c r="AA1390" s="7">
        <f>$K1390+$X1390</f>
      </c>
      <c r="AB1390" s="7">
        <f>$L1390+$Y1390</f>
      </c>
      <c r="AC1390" s="7">
        <f>$K1390-$X1390</f>
      </c>
      <c r="AD1390" s="7">
        <f>$L1390-$Y1390</f>
      </c>
      <c r="AE1390" s="7">
        <f>AA1390/39.3701</f>
      </c>
      <c r="AF1390" s="7">
        <f>AB1390/39.3701</f>
      </c>
      <c r="AG1390" s="7">
        <f>AC1390/39.3701</f>
      </c>
      <c r="AH1390" s="7">
        <f>AD1390/39.3701</f>
      </c>
      <c r="AI1390" s="1"/>
      <c r="AJ1390" s="1"/>
      <c r="AK1390" s="1"/>
      <c r="AL1390" s="1"/>
      <c r="AM1390" s="2"/>
      <c r="AN1390" s="1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  <c r="BA1390" s="1"/>
      <c r="BB1390" s="1"/>
      <c r="BC1390" s="1"/>
      <c r="BD1390" s="1"/>
      <c r="BE1390" s="1"/>
    </row>
    <row x14ac:dyDescent="0.25" r="1391" customHeight="1" ht="18.75">
      <c r="A1391" s="1"/>
      <c r="B1391" s="2"/>
      <c r="C1391" s="2"/>
      <c r="D1391" s="2"/>
      <c r="E1391" s="2"/>
      <c r="F1391" s="2"/>
      <c r="G1391" s="1"/>
      <c r="H1391" s="1"/>
      <c r="I1391" s="7">
        <v>1.388</v>
      </c>
      <c r="J1391" s="7">
        <f>IF((I1391-ROUNDDOWN(I1391,0))=0, 0, (I1391-ROUNDDOWN(I1391,0)))</f>
      </c>
      <c r="K1391" s="7">
        <f>INDIRECT("C$"&amp;2+MIN(2,ROUNDDOWN(I1391,0))*3)*(-$J1391^3+3*$J1391^2-3*$J1391+1)+INDIRECT("C$"&amp;3+MIN(2,ROUNDDOWN(I1391,0))*3)*(3*$J1391^3-6*$J1391^2+3*$J1391)+INDIRECT("C$"&amp;4+MIN(2,ROUNDDOWN(I1391,0))*3)*(-3*$J1391^3+3*$J1391^2)+INDIRECT("C$"&amp;5+MIN(2,ROUNDDOWN(I1391,0))*3)*$J1391^3</f>
      </c>
      <c r="L1391" s="7">
        <f>INDIRECT("D$"&amp;2+MIN(2,ROUNDDOWN(I1391,0))*3)*(-$J1391^3+3*$J1391^2-3*$J1391+1)+INDIRECT("D$"&amp;3+MIN(2,ROUNDDOWN(I1391,0))*3)*(3*$J1391^3-6*$J1391^2+3*$J1391)+INDIRECT("D$"&amp;4+MIN(2,ROUNDDOWN(I1391,0))*3)*(-3*$J1391^3+3*$J1391^2)+INDIRECT("D$"&amp;5+MIN(2,ROUNDDOWN(I1391,0))*3)*$J1391^3</f>
      </c>
      <c r="M1391" s="7">
        <f>SQRT(K1391^2+L1391^2)</f>
      </c>
      <c r="N1391" s="7">
        <f>(K1392-K1390)</f>
      </c>
      <c r="O1391" s="7">
        <f>+(L1392-L1390)</f>
      </c>
      <c r="P1391" s="7">
        <f>SQRT(O1391^2+N1391^2)</f>
      </c>
      <c r="Q1391" s="7">
        <f>N1391/$P1391</f>
      </c>
      <c r="R1391" s="7">
        <f>O1391/$P1391</f>
      </c>
      <c r="S1391" s="8">
        <f>Q1391^2+R1391^2</f>
      </c>
      <c r="T1391" s="7">
        <f>-R1391</f>
      </c>
      <c r="U1391" s="7">
        <f>Q1391</f>
      </c>
      <c r="V1391" s="7">
        <f>($C$14+($C$15-$C$14)/($D$15-$D$14)*(I1391-$D$14))/2</f>
      </c>
      <c r="W1391" s="7">
        <f>($B$22*I1391^4+$C$22*I1391^3+$D$22*I1391^2+$E$22*I1391+$F$22)/2</f>
      </c>
      <c r="X1391" s="7">
        <f>($W1391)*(T1391)</f>
      </c>
      <c r="Y1391" s="7">
        <f>($W1391)*(U1391)</f>
      </c>
      <c r="Z1391" s="7">
        <f>SQRT(X1391^2+Y1391^2)</f>
      </c>
      <c r="AA1391" s="7">
        <f>$K1391+$X1391</f>
      </c>
      <c r="AB1391" s="7">
        <f>$L1391+$Y1391</f>
      </c>
      <c r="AC1391" s="7">
        <f>$K1391-$X1391</f>
      </c>
      <c r="AD1391" s="7">
        <f>$L1391-$Y1391</f>
      </c>
      <c r="AE1391" s="7">
        <f>AA1391/39.3701</f>
      </c>
      <c r="AF1391" s="7">
        <f>AB1391/39.3701</f>
      </c>
      <c r="AG1391" s="7">
        <f>AC1391/39.3701</f>
      </c>
      <c r="AH1391" s="7">
        <f>AD1391/39.3701</f>
      </c>
      <c r="AI1391" s="1"/>
      <c r="AJ1391" s="1"/>
      <c r="AK1391" s="1"/>
      <c r="AL1391" s="1"/>
      <c r="AM1391" s="2"/>
      <c r="AN1391" s="1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  <c r="BA1391" s="1"/>
      <c r="BB1391" s="1"/>
      <c r="BC1391" s="1"/>
      <c r="BD1391" s="1"/>
      <c r="BE1391" s="1"/>
    </row>
    <row x14ac:dyDescent="0.25" r="1392" customHeight="1" ht="18.75">
      <c r="A1392" s="1"/>
      <c r="B1392" s="2"/>
      <c r="C1392" s="2"/>
      <c r="D1392" s="2"/>
      <c r="E1392" s="2"/>
      <c r="F1392" s="2"/>
      <c r="G1392" s="1"/>
      <c r="H1392" s="1"/>
      <c r="I1392" s="7">
        <v>1.389</v>
      </c>
      <c r="J1392" s="7">
        <f>IF((I1392-ROUNDDOWN(I1392,0))=0, 0, (I1392-ROUNDDOWN(I1392,0)))</f>
      </c>
      <c r="K1392" s="7">
        <f>INDIRECT("C$"&amp;2+MIN(2,ROUNDDOWN(I1392,0))*3)*(-$J1392^3+3*$J1392^2-3*$J1392+1)+INDIRECT("C$"&amp;3+MIN(2,ROUNDDOWN(I1392,0))*3)*(3*$J1392^3-6*$J1392^2+3*$J1392)+INDIRECT("C$"&amp;4+MIN(2,ROUNDDOWN(I1392,0))*3)*(-3*$J1392^3+3*$J1392^2)+INDIRECT("C$"&amp;5+MIN(2,ROUNDDOWN(I1392,0))*3)*$J1392^3</f>
      </c>
      <c r="L1392" s="7">
        <f>INDIRECT("D$"&amp;2+MIN(2,ROUNDDOWN(I1392,0))*3)*(-$J1392^3+3*$J1392^2-3*$J1392+1)+INDIRECT("D$"&amp;3+MIN(2,ROUNDDOWN(I1392,0))*3)*(3*$J1392^3-6*$J1392^2+3*$J1392)+INDIRECT("D$"&amp;4+MIN(2,ROUNDDOWN(I1392,0))*3)*(-3*$J1392^3+3*$J1392^2)+INDIRECT("D$"&amp;5+MIN(2,ROUNDDOWN(I1392,0))*3)*$J1392^3</f>
      </c>
      <c r="M1392" s="7">
        <f>SQRT(K1392^2+L1392^2)</f>
      </c>
      <c r="N1392" s="7">
        <f>(K1393-K1391)</f>
      </c>
      <c r="O1392" s="7">
        <f>+(L1393-L1391)</f>
      </c>
      <c r="P1392" s="7">
        <f>SQRT(O1392^2+N1392^2)</f>
      </c>
      <c r="Q1392" s="7">
        <f>N1392/$P1392</f>
      </c>
      <c r="R1392" s="7">
        <f>O1392/$P1392</f>
      </c>
      <c r="S1392" s="8">
        <f>Q1392^2+R1392^2</f>
      </c>
      <c r="T1392" s="7">
        <f>-R1392</f>
      </c>
      <c r="U1392" s="7">
        <f>Q1392</f>
      </c>
      <c r="V1392" s="7">
        <f>($C$14+($C$15-$C$14)/($D$15-$D$14)*(I1392-$D$14))/2</f>
      </c>
      <c r="W1392" s="7">
        <f>($B$22*I1392^4+$C$22*I1392^3+$D$22*I1392^2+$E$22*I1392+$F$22)/2</f>
      </c>
      <c r="X1392" s="7">
        <f>($W1392)*(T1392)</f>
      </c>
      <c r="Y1392" s="7">
        <f>($W1392)*(U1392)</f>
      </c>
      <c r="Z1392" s="7">
        <f>SQRT(X1392^2+Y1392^2)</f>
      </c>
      <c r="AA1392" s="7">
        <f>$K1392+$X1392</f>
      </c>
      <c r="AB1392" s="7">
        <f>$L1392+$Y1392</f>
      </c>
      <c r="AC1392" s="7">
        <f>$K1392-$X1392</f>
      </c>
      <c r="AD1392" s="7">
        <f>$L1392-$Y1392</f>
      </c>
      <c r="AE1392" s="7">
        <f>AA1392/39.3701</f>
      </c>
      <c r="AF1392" s="7">
        <f>AB1392/39.3701</f>
      </c>
      <c r="AG1392" s="7">
        <f>AC1392/39.3701</f>
      </c>
      <c r="AH1392" s="7">
        <f>AD1392/39.3701</f>
      </c>
      <c r="AI1392" s="1"/>
      <c r="AJ1392" s="1"/>
      <c r="AK1392" s="1"/>
      <c r="AL1392" s="1"/>
      <c r="AM1392" s="2"/>
      <c r="AN1392" s="1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  <c r="BA1392" s="1"/>
      <c r="BB1392" s="1"/>
      <c r="BC1392" s="1"/>
      <c r="BD1392" s="1"/>
      <c r="BE1392" s="1"/>
    </row>
    <row x14ac:dyDescent="0.25" r="1393" customHeight="1" ht="18.75">
      <c r="A1393" s="1"/>
      <c r="B1393" s="2"/>
      <c r="C1393" s="2"/>
      <c r="D1393" s="2"/>
      <c r="E1393" s="2"/>
      <c r="F1393" s="2"/>
      <c r="G1393" s="1"/>
      <c r="H1393" s="1"/>
      <c r="I1393" s="7">
        <v>1.39</v>
      </c>
      <c r="J1393" s="7">
        <f>IF((I1393-ROUNDDOWN(I1393,0))=0, 0, (I1393-ROUNDDOWN(I1393,0)))</f>
      </c>
      <c r="K1393" s="7">
        <f>INDIRECT("C$"&amp;2+MIN(2,ROUNDDOWN(I1393,0))*3)*(-$J1393^3+3*$J1393^2-3*$J1393+1)+INDIRECT("C$"&amp;3+MIN(2,ROUNDDOWN(I1393,0))*3)*(3*$J1393^3-6*$J1393^2+3*$J1393)+INDIRECT("C$"&amp;4+MIN(2,ROUNDDOWN(I1393,0))*3)*(-3*$J1393^3+3*$J1393^2)+INDIRECT("C$"&amp;5+MIN(2,ROUNDDOWN(I1393,0))*3)*$J1393^3</f>
      </c>
      <c r="L1393" s="7">
        <f>INDIRECT("D$"&amp;2+MIN(2,ROUNDDOWN(I1393,0))*3)*(-$J1393^3+3*$J1393^2-3*$J1393+1)+INDIRECT("D$"&amp;3+MIN(2,ROUNDDOWN(I1393,0))*3)*(3*$J1393^3-6*$J1393^2+3*$J1393)+INDIRECT("D$"&amp;4+MIN(2,ROUNDDOWN(I1393,0))*3)*(-3*$J1393^3+3*$J1393^2)+INDIRECT("D$"&amp;5+MIN(2,ROUNDDOWN(I1393,0))*3)*$J1393^3</f>
      </c>
      <c r="M1393" s="7">
        <f>SQRT(K1393^2+L1393^2)</f>
      </c>
      <c r="N1393" s="7">
        <f>(K1394-K1392)</f>
      </c>
      <c r="O1393" s="7">
        <f>+(L1394-L1392)</f>
      </c>
      <c r="P1393" s="7">
        <f>SQRT(O1393^2+N1393^2)</f>
      </c>
      <c r="Q1393" s="7">
        <f>N1393/$P1393</f>
      </c>
      <c r="R1393" s="7">
        <f>O1393/$P1393</f>
      </c>
      <c r="S1393" s="7">
        <f>Q1393^2+R1393^2</f>
      </c>
      <c r="T1393" s="7">
        <f>-R1393</f>
      </c>
      <c r="U1393" s="7">
        <f>Q1393</f>
      </c>
      <c r="V1393" s="7">
        <f>($C$14+($C$15-$C$14)/($D$15-$D$14)*(I1393-$D$14))/2</f>
      </c>
      <c r="W1393" s="7">
        <f>($B$22*I1393^4+$C$22*I1393^3+$D$22*I1393^2+$E$22*I1393+$F$22)/2</f>
      </c>
      <c r="X1393" s="7">
        <f>($W1393)*(T1393)</f>
      </c>
      <c r="Y1393" s="7">
        <f>($W1393)*(U1393)</f>
      </c>
      <c r="Z1393" s="7">
        <f>SQRT(X1393^2+Y1393^2)</f>
      </c>
      <c r="AA1393" s="7">
        <f>$K1393+$X1393</f>
      </c>
      <c r="AB1393" s="7">
        <f>$L1393+$Y1393</f>
      </c>
      <c r="AC1393" s="7">
        <f>$K1393-$X1393</f>
      </c>
      <c r="AD1393" s="7">
        <f>$L1393-$Y1393</f>
      </c>
      <c r="AE1393" s="7">
        <f>AA1393/39.3701</f>
      </c>
      <c r="AF1393" s="7">
        <f>AB1393/39.3701</f>
      </c>
      <c r="AG1393" s="7">
        <f>AC1393/39.3701</f>
      </c>
      <c r="AH1393" s="7">
        <f>AD1393/39.3701</f>
      </c>
      <c r="AI1393" s="1"/>
      <c r="AJ1393" s="1"/>
      <c r="AK1393" s="1"/>
      <c r="AL1393" s="1"/>
      <c r="AM1393" s="2"/>
      <c r="AN1393" s="1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  <c r="BA1393" s="1"/>
      <c r="BB1393" s="1"/>
      <c r="BC1393" s="1"/>
      <c r="BD1393" s="1"/>
      <c r="BE1393" s="1"/>
    </row>
    <row x14ac:dyDescent="0.25" r="1394" customHeight="1" ht="18.75">
      <c r="A1394" s="1"/>
      <c r="B1394" s="2"/>
      <c r="C1394" s="2"/>
      <c r="D1394" s="2"/>
      <c r="E1394" s="2"/>
      <c r="F1394" s="2"/>
      <c r="G1394" s="1"/>
      <c r="H1394" s="1"/>
      <c r="I1394" s="7">
        <v>1.391</v>
      </c>
      <c r="J1394" s="7">
        <f>IF((I1394-ROUNDDOWN(I1394,0))=0, 0, (I1394-ROUNDDOWN(I1394,0)))</f>
      </c>
      <c r="K1394" s="7">
        <f>INDIRECT("C$"&amp;2+MIN(2,ROUNDDOWN(I1394,0))*3)*(-$J1394^3+3*$J1394^2-3*$J1394+1)+INDIRECT("C$"&amp;3+MIN(2,ROUNDDOWN(I1394,0))*3)*(3*$J1394^3-6*$J1394^2+3*$J1394)+INDIRECT("C$"&amp;4+MIN(2,ROUNDDOWN(I1394,0))*3)*(-3*$J1394^3+3*$J1394^2)+INDIRECT("C$"&amp;5+MIN(2,ROUNDDOWN(I1394,0))*3)*$J1394^3</f>
      </c>
      <c r="L1394" s="7">
        <f>INDIRECT("D$"&amp;2+MIN(2,ROUNDDOWN(I1394,0))*3)*(-$J1394^3+3*$J1394^2-3*$J1394+1)+INDIRECT("D$"&amp;3+MIN(2,ROUNDDOWN(I1394,0))*3)*(3*$J1394^3-6*$J1394^2+3*$J1394)+INDIRECT("D$"&amp;4+MIN(2,ROUNDDOWN(I1394,0))*3)*(-3*$J1394^3+3*$J1394^2)+INDIRECT("D$"&amp;5+MIN(2,ROUNDDOWN(I1394,0))*3)*$J1394^3</f>
      </c>
      <c r="M1394" s="7">
        <f>SQRT(K1394^2+L1394^2)</f>
      </c>
      <c r="N1394" s="7">
        <f>(K1395-K1393)</f>
      </c>
      <c r="O1394" s="7">
        <f>+(L1395-L1393)</f>
      </c>
      <c r="P1394" s="7">
        <f>SQRT(O1394^2+N1394^2)</f>
      </c>
      <c r="Q1394" s="7">
        <f>N1394/$P1394</f>
      </c>
      <c r="R1394" s="7">
        <f>O1394/$P1394</f>
      </c>
      <c r="S1394" s="7">
        <f>Q1394^2+R1394^2</f>
      </c>
      <c r="T1394" s="7">
        <f>-R1394</f>
      </c>
      <c r="U1394" s="7">
        <f>Q1394</f>
      </c>
      <c r="V1394" s="7">
        <f>($C$14+($C$15-$C$14)/($D$15-$D$14)*(I1394-$D$14))/2</f>
      </c>
      <c r="W1394" s="7">
        <f>($B$22*I1394^4+$C$22*I1394^3+$D$22*I1394^2+$E$22*I1394+$F$22)/2</f>
      </c>
      <c r="X1394" s="7">
        <f>($W1394)*(T1394)</f>
      </c>
      <c r="Y1394" s="7">
        <f>($W1394)*(U1394)</f>
      </c>
      <c r="Z1394" s="7">
        <f>SQRT(X1394^2+Y1394^2)</f>
      </c>
      <c r="AA1394" s="7">
        <f>$K1394+$X1394</f>
      </c>
      <c r="AB1394" s="7">
        <f>$L1394+$Y1394</f>
      </c>
      <c r="AC1394" s="7">
        <f>$K1394-$X1394</f>
      </c>
      <c r="AD1394" s="7">
        <f>$L1394-$Y1394</f>
      </c>
      <c r="AE1394" s="7">
        <f>AA1394/39.3701</f>
      </c>
      <c r="AF1394" s="7">
        <f>AB1394/39.3701</f>
      </c>
      <c r="AG1394" s="7">
        <f>AC1394/39.3701</f>
      </c>
      <c r="AH1394" s="7">
        <f>AD1394/39.3701</f>
      </c>
      <c r="AI1394" s="1"/>
      <c r="AJ1394" s="1"/>
      <c r="AK1394" s="1"/>
      <c r="AL1394" s="1"/>
      <c r="AM1394" s="2"/>
      <c r="AN1394" s="1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  <c r="BA1394" s="1"/>
      <c r="BB1394" s="1"/>
      <c r="BC1394" s="1"/>
      <c r="BD1394" s="1"/>
      <c r="BE1394" s="1"/>
    </row>
    <row x14ac:dyDescent="0.25" r="1395" customHeight="1" ht="18.75">
      <c r="A1395" s="1"/>
      <c r="B1395" s="2"/>
      <c r="C1395" s="2"/>
      <c r="D1395" s="2"/>
      <c r="E1395" s="2"/>
      <c r="F1395" s="2"/>
      <c r="G1395" s="1"/>
      <c r="H1395" s="1"/>
      <c r="I1395" s="7">
        <v>1.392</v>
      </c>
      <c r="J1395" s="7">
        <f>IF((I1395-ROUNDDOWN(I1395,0))=0, 0, (I1395-ROUNDDOWN(I1395,0)))</f>
      </c>
      <c r="K1395" s="7">
        <f>INDIRECT("C$"&amp;2+MIN(2,ROUNDDOWN(I1395,0))*3)*(-$J1395^3+3*$J1395^2-3*$J1395+1)+INDIRECT("C$"&amp;3+MIN(2,ROUNDDOWN(I1395,0))*3)*(3*$J1395^3-6*$J1395^2+3*$J1395)+INDIRECT("C$"&amp;4+MIN(2,ROUNDDOWN(I1395,0))*3)*(-3*$J1395^3+3*$J1395^2)+INDIRECT("C$"&amp;5+MIN(2,ROUNDDOWN(I1395,0))*3)*$J1395^3</f>
      </c>
      <c r="L1395" s="7">
        <f>INDIRECT("D$"&amp;2+MIN(2,ROUNDDOWN(I1395,0))*3)*(-$J1395^3+3*$J1395^2-3*$J1395+1)+INDIRECT("D$"&amp;3+MIN(2,ROUNDDOWN(I1395,0))*3)*(3*$J1395^3-6*$J1395^2+3*$J1395)+INDIRECT("D$"&amp;4+MIN(2,ROUNDDOWN(I1395,0))*3)*(-3*$J1395^3+3*$J1395^2)+INDIRECT("D$"&amp;5+MIN(2,ROUNDDOWN(I1395,0))*3)*$J1395^3</f>
      </c>
      <c r="M1395" s="7">
        <f>SQRT(K1395^2+L1395^2)</f>
      </c>
      <c r="N1395" s="7">
        <f>(K1396-K1394)</f>
      </c>
      <c r="O1395" s="7">
        <f>+(L1396-L1394)</f>
      </c>
      <c r="P1395" s="7">
        <f>SQRT(O1395^2+N1395^2)</f>
      </c>
      <c r="Q1395" s="7">
        <f>N1395/$P1395</f>
      </c>
      <c r="R1395" s="7">
        <f>O1395/$P1395</f>
      </c>
      <c r="S1395" s="7">
        <f>Q1395^2+R1395^2</f>
      </c>
      <c r="T1395" s="7">
        <f>-R1395</f>
      </c>
      <c r="U1395" s="7">
        <f>Q1395</f>
      </c>
      <c r="V1395" s="7">
        <f>($C$14+($C$15-$C$14)/($D$15-$D$14)*(I1395-$D$14))/2</f>
      </c>
      <c r="W1395" s="7">
        <f>($B$22*I1395^4+$C$22*I1395^3+$D$22*I1395^2+$E$22*I1395+$F$22)/2</f>
      </c>
      <c r="X1395" s="7">
        <f>($W1395)*(T1395)</f>
      </c>
      <c r="Y1395" s="7">
        <f>($W1395)*(U1395)</f>
      </c>
      <c r="Z1395" s="7">
        <f>SQRT(X1395^2+Y1395^2)</f>
      </c>
      <c r="AA1395" s="7">
        <f>$K1395+$X1395</f>
      </c>
      <c r="AB1395" s="7">
        <f>$L1395+$Y1395</f>
      </c>
      <c r="AC1395" s="7">
        <f>$K1395-$X1395</f>
      </c>
      <c r="AD1395" s="7">
        <f>$L1395-$Y1395</f>
      </c>
      <c r="AE1395" s="7">
        <f>AA1395/39.3701</f>
      </c>
      <c r="AF1395" s="7">
        <f>AB1395/39.3701</f>
      </c>
      <c r="AG1395" s="7">
        <f>AC1395/39.3701</f>
      </c>
      <c r="AH1395" s="7">
        <f>AD1395/39.3701</f>
      </c>
      <c r="AI1395" s="1"/>
      <c r="AJ1395" s="1"/>
      <c r="AK1395" s="1"/>
      <c r="AL1395" s="1"/>
      <c r="AM1395" s="2"/>
      <c r="AN1395" s="1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  <c r="BA1395" s="1"/>
      <c r="BB1395" s="1"/>
      <c r="BC1395" s="1"/>
      <c r="BD1395" s="1"/>
      <c r="BE1395" s="1"/>
    </row>
    <row x14ac:dyDescent="0.25" r="1396" customHeight="1" ht="18.75">
      <c r="A1396" s="1"/>
      <c r="B1396" s="2"/>
      <c r="C1396" s="2"/>
      <c r="D1396" s="2"/>
      <c r="E1396" s="2"/>
      <c r="F1396" s="2"/>
      <c r="G1396" s="1"/>
      <c r="H1396" s="1"/>
      <c r="I1396" s="7">
        <v>1.393</v>
      </c>
      <c r="J1396" s="7">
        <f>IF((I1396-ROUNDDOWN(I1396,0))=0, 0, (I1396-ROUNDDOWN(I1396,0)))</f>
      </c>
      <c r="K1396" s="7">
        <f>INDIRECT("C$"&amp;2+MIN(2,ROUNDDOWN(I1396,0))*3)*(-$J1396^3+3*$J1396^2-3*$J1396+1)+INDIRECT("C$"&amp;3+MIN(2,ROUNDDOWN(I1396,0))*3)*(3*$J1396^3-6*$J1396^2+3*$J1396)+INDIRECT("C$"&amp;4+MIN(2,ROUNDDOWN(I1396,0))*3)*(-3*$J1396^3+3*$J1396^2)+INDIRECT("C$"&amp;5+MIN(2,ROUNDDOWN(I1396,0))*3)*$J1396^3</f>
      </c>
      <c r="L1396" s="7">
        <f>INDIRECT("D$"&amp;2+MIN(2,ROUNDDOWN(I1396,0))*3)*(-$J1396^3+3*$J1396^2-3*$J1396+1)+INDIRECT("D$"&amp;3+MIN(2,ROUNDDOWN(I1396,0))*3)*(3*$J1396^3-6*$J1396^2+3*$J1396)+INDIRECT("D$"&amp;4+MIN(2,ROUNDDOWN(I1396,0))*3)*(-3*$J1396^3+3*$J1396^2)+INDIRECT("D$"&amp;5+MIN(2,ROUNDDOWN(I1396,0))*3)*$J1396^3</f>
      </c>
      <c r="M1396" s="7">
        <f>SQRT(K1396^2+L1396^2)</f>
      </c>
      <c r="N1396" s="7">
        <f>(K1397-K1395)</f>
      </c>
      <c r="O1396" s="7">
        <f>+(L1397-L1395)</f>
      </c>
      <c r="P1396" s="7">
        <f>SQRT(O1396^2+N1396^2)</f>
      </c>
      <c r="Q1396" s="7">
        <f>N1396/$P1396</f>
      </c>
      <c r="R1396" s="7">
        <f>O1396/$P1396</f>
      </c>
      <c r="S1396" s="7">
        <f>Q1396^2+R1396^2</f>
      </c>
      <c r="T1396" s="7">
        <f>-R1396</f>
      </c>
      <c r="U1396" s="7">
        <f>Q1396</f>
      </c>
      <c r="V1396" s="7">
        <f>($C$14+($C$15-$C$14)/($D$15-$D$14)*(I1396-$D$14))/2</f>
      </c>
      <c r="W1396" s="7">
        <f>($B$22*I1396^4+$C$22*I1396^3+$D$22*I1396^2+$E$22*I1396+$F$22)/2</f>
      </c>
      <c r="X1396" s="7">
        <f>($W1396)*(T1396)</f>
      </c>
      <c r="Y1396" s="7">
        <f>($W1396)*(U1396)</f>
      </c>
      <c r="Z1396" s="7">
        <f>SQRT(X1396^2+Y1396^2)</f>
      </c>
      <c r="AA1396" s="7">
        <f>$K1396+$X1396</f>
      </c>
      <c r="AB1396" s="7">
        <f>$L1396+$Y1396</f>
      </c>
      <c r="AC1396" s="7">
        <f>$K1396-$X1396</f>
      </c>
      <c r="AD1396" s="7">
        <f>$L1396-$Y1396</f>
      </c>
      <c r="AE1396" s="7">
        <f>AA1396/39.3701</f>
      </c>
      <c r="AF1396" s="7">
        <f>AB1396/39.3701</f>
      </c>
      <c r="AG1396" s="7">
        <f>AC1396/39.3701</f>
      </c>
      <c r="AH1396" s="7">
        <f>AD1396/39.3701</f>
      </c>
      <c r="AI1396" s="1"/>
      <c r="AJ1396" s="1"/>
      <c r="AK1396" s="1"/>
      <c r="AL1396" s="1"/>
      <c r="AM1396" s="2"/>
      <c r="AN1396" s="1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  <c r="BA1396" s="1"/>
      <c r="BB1396" s="1"/>
      <c r="BC1396" s="1"/>
      <c r="BD1396" s="1"/>
      <c r="BE1396" s="1"/>
    </row>
    <row x14ac:dyDescent="0.25" r="1397" customHeight="1" ht="18.75">
      <c r="A1397" s="1"/>
      <c r="B1397" s="2"/>
      <c r="C1397" s="2"/>
      <c r="D1397" s="2"/>
      <c r="E1397" s="2"/>
      <c r="F1397" s="2"/>
      <c r="G1397" s="1"/>
      <c r="H1397" s="1"/>
      <c r="I1397" s="7">
        <v>1.394</v>
      </c>
      <c r="J1397" s="7">
        <f>IF((I1397-ROUNDDOWN(I1397,0))=0, 0, (I1397-ROUNDDOWN(I1397,0)))</f>
      </c>
      <c r="K1397" s="7">
        <f>INDIRECT("C$"&amp;2+MIN(2,ROUNDDOWN(I1397,0))*3)*(-$J1397^3+3*$J1397^2-3*$J1397+1)+INDIRECT("C$"&amp;3+MIN(2,ROUNDDOWN(I1397,0))*3)*(3*$J1397^3-6*$J1397^2+3*$J1397)+INDIRECT("C$"&amp;4+MIN(2,ROUNDDOWN(I1397,0))*3)*(-3*$J1397^3+3*$J1397^2)+INDIRECT("C$"&amp;5+MIN(2,ROUNDDOWN(I1397,0))*3)*$J1397^3</f>
      </c>
      <c r="L1397" s="7">
        <f>INDIRECT("D$"&amp;2+MIN(2,ROUNDDOWN(I1397,0))*3)*(-$J1397^3+3*$J1397^2-3*$J1397+1)+INDIRECT("D$"&amp;3+MIN(2,ROUNDDOWN(I1397,0))*3)*(3*$J1397^3-6*$J1397^2+3*$J1397)+INDIRECT("D$"&amp;4+MIN(2,ROUNDDOWN(I1397,0))*3)*(-3*$J1397^3+3*$J1397^2)+INDIRECT("D$"&amp;5+MIN(2,ROUNDDOWN(I1397,0))*3)*$J1397^3</f>
      </c>
      <c r="M1397" s="7">
        <f>SQRT(K1397^2+L1397^2)</f>
      </c>
      <c r="N1397" s="7">
        <f>(K1398-K1396)</f>
      </c>
      <c r="O1397" s="7">
        <f>+(L1398-L1396)</f>
      </c>
      <c r="P1397" s="7">
        <f>SQRT(O1397^2+N1397^2)</f>
      </c>
      <c r="Q1397" s="7">
        <f>N1397/$P1397</f>
      </c>
      <c r="R1397" s="7">
        <f>O1397/$P1397</f>
      </c>
      <c r="S1397" s="7">
        <f>Q1397^2+R1397^2</f>
      </c>
      <c r="T1397" s="7">
        <f>-R1397</f>
      </c>
      <c r="U1397" s="7">
        <f>Q1397</f>
      </c>
      <c r="V1397" s="7">
        <f>($C$14+($C$15-$C$14)/($D$15-$D$14)*(I1397-$D$14))/2</f>
      </c>
      <c r="W1397" s="7">
        <f>($B$22*I1397^4+$C$22*I1397^3+$D$22*I1397^2+$E$22*I1397+$F$22)/2</f>
      </c>
      <c r="X1397" s="7">
        <f>($W1397)*(T1397)</f>
      </c>
      <c r="Y1397" s="7">
        <f>($W1397)*(U1397)</f>
      </c>
      <c r="Z1397" s="7">
        <f>SQRT(X1397^2+Y1397^2)</f>
      </c>
      <c r="AA1397" s="7">
        <f>$K1397+$X1397</f>
      </c>
      <c r="AB1397" s="7">
        <f>$L1397+$Y1397</f>
      </c>
      <c r="AC1397" s="7">
        <f>$K1397-$X1397</f>
      </c>
      <c r="AD1397" s="7">
        <f>$L1397-$Y1397</f>
      </c>
      <c r="AE1397" s="7">
        <f>AA1397/39.3701</f>
      </c>
      <c r="AF1397" s="7">
        <f>AB1397/39.3701</f>
      </c>
      <c r="AG1397" s="7">
        <f>AC1397/39.3701</f>
      </c>
      <c r="AH1397" s="7">
        <f>AD1397/39.3701</f>
      </c>
      <c r="AI1397" s="1"/>
      <c r="AJ1397" s="1"/>
      <c r="AK1397" s="1"/>
      <c r="AL1397" s="1"/>
      <c r="AM1397" s="2"/>
      <c r="AN1397" s="1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  <c r="BA1397" s="1"/>
      <c r="BB1397" s="1"/>
      <c r="BC1397" s="1"/>
      <c r="BD1397" s="1"/>
      <c r="BE1397" s="1"/>
    </row>
    <row x14ac:dyDescent="0.25" r="1398" customHeight="1" ht="18.75">
      <c r="A1398" s="1"/>
      <c r="B1398" s="2"/>
      <c r="C1398" s="2"/>
      <c r="D1398" s="2"/>
      <c r="E1398" s="2"/>
      <c r="F1398" s="2"/>
      <c r="G1398" s="1"/>
      <c r="H1398" s="1"/>
      <c r="I1398" s="7">
        <v>1.395</v>
      </c>
      <c r="J1398" s="7">
        <f>IF((I1398-ROUNDDOWN(I1398,0))=0, 0, (I1398-ROUNDDOWN(I1398,0)))</f>
      </c>
      <c r="K1398" s="7">
        <f>INDIRECT("C$"&amp;2+MIN(2,ROUNDDOWN(I1398,0))*3)*(-$J1398^3+3*$J1398^2-3*$J1398+1)+INDIRECT("C$"&amp;3+MIN(2,ROUNDDOWN(I1398,0))*3)*(3*$J1398^3-6*$J1398^2+3*$J1398)+INDIRECT("C$"&amp;4+MIN(2,ROUNDDOWN(I1398,0))*3)*(-3*$J1398^3+3*$J1398^2)+INDIRECT("C$"&amp;5+MIN(2,ROUNDDOWN(I1398,0))*3)*$J1398^3</f>
      </c>
      <c r="L1398" s="7">
        <f>INDIRECT("D$"&amp;2+MIN(2,ROUNDDOWN(I1398,0))*3)*(-$J1398^3+3*$J1398^2-3*$J1398+1)+INDIRECT("D$"&amp;3+MIN(2,ROUNDDOWN(I1398,0))*3)*(3*$J1398^3-6*$J1398^2+3*$J1398)+INDIRECT("D$"&amp;4+MIN(2,ROUNDDOWN(I1398,0))*3)*(-3*$J1398^3+3*$J1398^2)+INDIRECT("D$"&amp;5+MIN(2,ROUNDDOWN(I1398,0))*3)*$J1398^3</f>
      </c>
      <c r="M1398" s="7">
        <f>SQRT(K1398^2+L1398^2)</f>
      </c>
      <c r="N1398" s="7">
        <f>(K1399-K1397)</f>
      </c>
      <c r="O1398" s="7">
        <f>+(L1399-L1397)</f>
      </c>
      <c r="P1398" s="7">
        <f>SQRT(O1398^2+N1398^2)</f>
      </c>
      <c r="Q1398" s="7">
        <f>N1398/$P1398</f>
      </c>
      <c r="R1398" s="7">
        <f>O1398/$P1398</f>
      </c>
      <c r="S1398" s="8">
        <f>Q1398^2+R1398^2</f>
      </c>
      <c r="T1398" s="7">
        <f>-R1398</f>
      </c>
      <c r="U1398" s="7">
        <f>Q1398</f>
      </c>
      <c r="V1398" s="7">
        <f>($C$14+($C$15-$C$14)/($D$15-$D$14)*(I1398-$D$14))/2</f>
      </c>
      <c r="W1398" s="7">
        <f>($B$22*I1398^4+$C$22*I1398^3+$D$22*I1398^2+$E$22*I1398+$F$22)/2</f>
      </c>
      <c r="X1398" s="7">
        <f>($W1398)*(T1398)</f>
      </c>
      <c r="Y1398" s="7">
        <f>($W1398)*(U1398)</f>
      </c>
      <c r="Z1398" s="7">
        <f>SQRT(X1398^2+Y1398^2)</f>
      </c>
      <c r="AA1398" s="7">
        <f>$K1398+$X1398</f>
      </c>
      <c r="AB1398" s="7">
        <f>$L1398+$Y1398</f>
      </c>
      <c r="AC1398" s="7">
        <f>$K1398-$X1398</f>
      </c>
      <c r="AD1398" s="7">
        <f>$L1398-$Y1398</f>
      </c>
      <c r="AE1398" s="7">
        <f>AA1398/39.3701</f>
      </c>
      <c r="AF1398" s="7">
        <f>AB1398/39.3701</f>
      </c>
      <c r="AG1398" s="7">
        <f>AC1398/39.3701</f>
      </c>
      <c r="AH1398" s="7">
        <f>AD1398/39.3701</f>
      </c>
      <c r="AI1398" s="1"/>
      <c r="AJ1398" s="1"/>
      <c r="AK1398" s="1"/>
      <c r="AL1398" s="1"/>
      <c r="AM1398" s="2"/>
      <c r="AN1398" s="1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  <c r="BA1398" s="1"/>
      <c r="BB1398" s="1"/>
      <c r="BC1398" s="1"/>
      <c r="BD1398" s="1"/>
      <c r="BE1398" s="1"/>
    </row>
    <row x14ac:dyDescent="0.25" r="1399" customHeight="1" ht="18.75">
      <c r="A1399" s="1"/>
      <c r="B1399" s="2"/>
      <c r="C1399" s="2"/>
      <c r="D1399" s="2"/>
      <c r="E1399" s="2"/>
      <c r="F1399" s="2"/>
      <c r="G1399" s="1"/>
      <c r="H1399" s="1"/>
      <c r="I1399" s="7">
        <v>1.396</v>
      </c>
      <c r="J1399" s="7">
        <f>IF((I1399-ROUNDDOWN(I1399,0))=0, 0, (I1399-ROUNDDOWN(I1399,0)))</f>
      </c>
      <c r="K1399" s="7">
        <f>INDIRECT("C$"&amp;2+MIN(2,ROUNDDOWN(I1399,0))*3)*(-$J1399^3+3*$J1399^2-3*$J1399+1)+INDIRECT("C$"&amp;3+MIN(2,ROUNDDOWN(I1399,0))*3)*(3*$J1399^3-6*$J1399^2+3*$J1399)+INDIRECT("C$"&amp;4+MIN(2,ROUNDDOWN(I1399,0))*3)*(-3*$J1399^3+3*$J1399^2)+INDIRECT("C$"&amp;5+MIN(2,ROUNDDOWN(I1399,0))*3)*$J1399^3</f>
      </c>
      <c r="L1399" s="7">
        <f>INDIRECT("D$"&amp;2+MIN(2,ROUNDDOWN(I1399,0))*3)*(-$J1399^3+3*$J1399^2-3*$J1399+1)+INDIRECT("D$"&amp;3+MIN(2,ROUNDDOWN(I1399,0))*3)*(3*$J1399^3-6*$J1399^2+3*$J1399)+INDIRECT("D$"&amp;4+MIN(2,ROUNDDOWN(I1399,0))*3)*(-3*$J1399^3+3*$J1399^2)+INDIRECT("D$"&amp;5+MIN(2,ROUNDDOWN(I1399,0))*3)*$J1399^3</f>
      </c>
      <c r="M1399" s="7">
        <f>SQRT(K1399^2+L1399^2)</f>
      </c>
      <c r="N1399" s="7">
        <f>(K1400-K1398)</f>
      </c>
      <c r="O1399" s="7">
        <f>+(L1400-L1398)</f>
      </c>
      <c r="P1399" s="7">
        <f>SQRT(O1399^2+N1399^2)</f>
      </c>
      <c r="Q1399" s="7">
        <f>N1399/$P1399</f>
      </c>
      <c r="R1399" s="7">
        <f>O1399/$P1399</f>
      </c>
      <c r="S1399" s="8">
        <f>Q1399^2+R1399^2</f>
      </c>
      <c r="T1399" s="7">
        <f>-R1399</f>
      </c>
      <c r="U1399" s="7">
        <f>Q1399</f>
      </c>
      <c r="V1399" s="7">
        <f>($C$14+($C$15-$C$14)/($D$15-$D$14)*(I1399-$D$14))/2</f>
      </c>
      <c r="W1399" s="7">
        <f>($B$22*I1399^4+$C$22*I1399^3+$D$22*I1399^2+$E$22*I1399+$F$22)/2</f>
      </c>
      <c r="X1399" s="7">
        <f>($W1399)*(T1399)</f>
      </c>
      <c r="Y1399" s="7">
        <f>($W1399)*(U1399)</f>
      </c>
      <c r="Z1399" s="7">
        <f>SQRT(X1399^2+Y1399^2)</f>
      </c>
      <c r="AA1399" s="7">
        <f>$K1399+$X1399</f>
      </c>
      <c r="AB1399" s="7">
        <f>$L1399+$Y1399</f>
      </c>
      <c r="AC1399" s="7">
        <f>$K1399-$X1399</f>
      </c>
      <c r="AD1399" s="7">
        <f>$L1399-$Y1399</f>
      </c>
      <c r="AE1399" s="7">
        <f>AA1399/39.3701</f>
      </c>
      <c r="AF1399" s="7">
        <f>AB1399/39.3701</f>
      </c>
      <c r="AG1399" s="7">
        <f>AC1399/39.3701</f>
      </c>
      <c r="AH1399" s="7">
        <f>AD1399/39.3701</f>
      </c>
      <c r="AI1399" s="1"/>
      <c r="AJ1399" s="1"/>
      <c r="AK1399" s="1"/>
      <c r="AL1399" s="1"/>
      <c r="AM1399" s="2"/>
      <c r="AN1399" s="1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  <c r="BA1399" s="1"/>
      <c r="BB1399" s="1"/>
      <c r="BC1399" s="1"/>
      <c r="BD1399" s="1"/>
      <c r="BE1399" s="1"/>
    </row>
    <row x14ac:dyDescent="0.25" r="1400" customHeight="1" ht="18.75">
      <c r="A1400" s="1"/>
      <c r="B1400" s="2"/>
      <c r="C1400" s="2"/>
      <c r="D1400" s="2"/>
      <c r="E1400" s="2"/>
      <c r="F1400" s="2"/>
      <c r="G1400" s="1"/>
      <c r="H1400" s="1"/>
      <c r="I1400" s="7">
        <v>1.397</v>
      </c>
      <c r="J1400" s="7">
        <f>IF((I1400-ROUNDDOWN(I1400,0))=0, 0, (I1400-ROUNDDOWN(I1400,0)))</f>
      </c>
      <c r="K1400" s="7">
        <f>INDIRECT("C$"&amp;2+MIN(2,ROUNDDOWN(I1400,0))*3)*(-$J1400^3+3*$J1400^2-3*$J1400+1)+INDIRECT("C$"&amp;3+MIN(2,ROUNDDOWN(I1400,0))*3)*(3*$J1400^3-6*$J1400^2+3*$J1400)+INDIRECT("C$"&amp;4+MIN(2,ROUNDDOWN(I1400,0))*3)*(-3*$J1400^3+3*$J1400^2)+INDIRECT("C$"&amp;5+MIN(2,ROUNDDOWN(I1400,0))*3)*$J1400^3</f>
      </c>
      <c r="L1400" s="7">
        <f>INDIRECT("D$"&amp;2+MIN(2,ROUNDDOWN(I1400,0))*3)*(-$J1400^3+3*$J1400^2-3*$J1400+1)+INDIRECT("D$"&amp;3+MIN(2,ROUNDDOWN(I1400,0))*3)*(3*$J1400^3-6*$J1400^2+3*$J1400)+INDIRECT("D$"&amp;4+MIN(2,ROUNDDOWN(I1400,0))*3)*(-3*$J1400^3+3*$J1400^2)+INDIRECT("D$"&amp;5+MIN(2,ROUNDDOWN(I1400,0))*3)*$J1400^3</f>
      </c>
      <c r="M1400" s="7">
        <f>SQRT(K1400^2+L1400^2)</f>
      </c>
      <c r="N1400" s="7">
        <f>(K1401-K1399)</f>
      </c>
      <c r="O1400" s="7">
        <f>+(L1401-L1399)</f>
      </c>
      <c r="P1400" s="7">
        <f>SQRT(O1400^2+N1400^2)</f>
      </c>
      <c r="Q1400" s="7">
        <f>N1400/$P1400</f>
      </c>
      <c r="R1400" s="7">
        <f>O1400/$P1400</f>
      </c>
      <c r="S1400" s="8">
        <f>Q1400^2+R1400^2</f>
      </c>
      <c r="T1400" s="7">
        <f>-R1400</f>
      </c>
      <c r="U1400" s="7">
        <f>Q1400</f>
      </c>
      <c r="V1400" s="7">
        <f>($C$14+($C$15-$C$14)/($D$15-$D$14)*(I1400-$D$14))/2</f>
      </c>
      <c r="W1400" s="7">
        <f>($B$22*I1400^4+$C$22*I1400^3+$D$22*I1400^2+$E$22*I1400+$F$22)/2</f>
      </c>
      <c r="X1400" s="7">
        <f>($W1400)*(T1400)</f>
      </c>
      <c r="Y1400" s="7">
        <f>($W1400)*(U1400)</f>
      </c>
      <c r="Z1400" s="7">
        <f>SQRT(X1400^2+Y1400^2)</f>
      </c>
      <c r="AA1400" s="7">
        <f>$K1400+$X1400</f>
      </c>
      <c r="AB1400" s="7">
        <f>$L1400+$Y1400</f>
      </c>
      <c r="AC1400" s="7">
        <f>$K1400-$X1400</f>
      </c>
      <c r="AD1400" s="7">
        <f>$L1400-$Y1400</f>
      </c>
      <c r="AE1400" s="7">
        <f>AA1400/39.3701</f>
      </c>
      <c r="AF1400" s="7">
        <f>AB1400/39.3701</f>
      </c>
      <c r="AG1400" s="7">
        <f>AC1400/39.3701</f>
      </c>
      <c r="AH1400" s="7">
        <f>AD1400/39.3701</f>
      </c>
      <c r="AI1400" s="1"/>
      <c r="AJ1400" s="1"/>
      <c r="AK1400" s="1"/>
      <c r="AL1400" s="1"/>
      <c r="AM1400" s="2"/>
      <c r="AN1400" s="1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  <c r="BA1400" s="1"/>
      <c r="BB1400" s="1"/>
      <c r="BC1400" s="1"/>
      <c r="BD1400" s="1"/>
      <c r="BE1400" s="1"/>
    </row>
    <row x14ac:dyDescent="0.25" r="1401" customHeight="1" ht="18.75">
      <c r="A1401" s="1"/>
      <c r="B1401" s="2"/>
      <c r="C1401" s="2"/>
      <c r="D1401" s="2"/>
      <c r="E1401" s="2"/>
      <c r="F1401" s="2"/>
      <c r="G1401" s="1"/>
      <c r="H1401" s="1"/>
      <c r="I1401" s="7">
        <v>1.398</v>
      </c>
      <c r="J1401" s="7">
        <f>IF((I1401-ROUNDDOWN(I1401,0))=0, 0, (I1401-ROUNDDOWN(I1401,0)))</f>
      </c>
      <c r="K1401" s="7">
        <f>INDIRECT("C$"&amp;2+MIN(2,ROUNDDOWN(I1401,0))*3)*(-$J1401^3+3*$J1401^2-3*$J1401+1)+INDIRECT("C$"&amp;3+MIN(2,ROUNDDOWN(I1401,0))*3)*(3*$J1401^3-6*$J1401^2+3*$J1401)+INDIRECT("C$"&amp;4+MIN(2,ROUNDDOWN(I1401,0))*3)*(-3*$J1401^3+3*$J1401^2)+INDIRECT("C$"&amp;5+MIN(2,ROUNDDOWN(I1401,0))*3)*$J1401^3</f>
      </c>
      <c r="L1401" s="7">
        <f>INDIRECT("D$"&amp;2+MIN(2,ROUNDDOWN(I1401,0))*3)*(-$J1401^3+3*$J1401^2-3*$J1401+1)+INDIRECT("D$"&amp;3+MIN(2,ROUNDDOWN(I1401,0))*3)*(3*$J1401^3-6*$J1401^2+3*$J1401)+INDIRECT("D$"&amp;4+MIN(2,ROUNDDOWN(I1401,0))*3)*(-3*$J1401^3+3*$J1401^2)+INDIRECT("D$"&amp;5+MIN(2,ROUNDDOWN(I1401,0))*3)*$J1401^3</f>
      </c>
      <c r="M1401" s="7">
        <f>SQRT(K1401^2+L1401^2)</f>
      </c>
      <c r="N1401" s="7">
        <f>(K1402-K1400)</f>
      </c>
      <c r="O1401" s="7">
        <f>+(L1402-L1400)</f>
      </c>
      <c r="P1401" s="7">
        <f>SQRT(O1401^2+N1401^2)</f>
      </c>
      <c r="Q1401" s="7">
        <f>N1401/$P1401</f>
      </c>
      <c r="R1401" s="7">
        <f>O1401/$P1401</f>
      </c>
      <c r="S1401" s="7">
        <f>Q1401^2+R1401^2</f>
      </c>
      <c r="T1401" s="7">
        <f>-R1401</f>
      </c>
      <c r="U1401" s="7">
        <f>Q1401</f>
      </c>
      <c r="V1401" s="7">
        <f>($C$14+($C$15-$C$14)/($D$15-$D$14)*(I1401-$D$14))/2</f>
      </c>
      <c r="W1401" s="7">
        <f>($B$22*I1401^4+$C$22*I1401^3+$D$22*I1401^2+$E$22*I1401+$F$22)/2</f>
      </c>
      <c r="X1401" s="7">
        <f>($W1401)*(T1401)</f>
      </c>
      <c r="Y1401" s="7">
        <f>($W1401)*(U1401)</f>
      </c>
      <c r="Z1401" s="7">
        <f>SQRT(X1401^2+Y1401^2)</f>
      </c>
      <c r="AA1401" s="7">
        <f>$K1401+$X1401</f>
      </c>
      <c r="AB1401" s="7">
        <f>$L1401+$Y1401</f>
      </c>
      <c r="AC1401" s="7">
        <f>$K1401-$X1401</f>
      </c>
      <c r="AD1401" s="7">
        <f>$L1401-$Y1401</f>
      </c>
      <c r="AE1401" s="7">
        <f>AA1401/39.3701</f>
      </c>
      <c r="AF1401" s="7">
        <f>AB1401/39.3701</f>
      </c>
      <c r="AG1401" s="7">
        <f>AC1401/39.3701</f>
      </c>
      <c r="AH1401" s="7">
        <f>AD1401/39.3701</f>
      </c>
      <c r="AI1401" s="1"/>
      <c r="AJ1401" s="1"/>
      <c r="AK1401" s="1"/>
      <c r="AL1401" s="1"/>
      <c r="AM1401" s="2"/>
      <c r="AN1401" s="1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  <c r="BA1401" s="1"/>
      <c r="BB1401" s="1"/>
      <c r="BC1401" s="1"/>
      <c r="BD1401" s="1"/>
      <c r="BE1401" s="1"/>
    </row>
    <row x14ac:dyDescent="0.25" r="1402" customHeight="1" ht="18.75">
      <c r="A1402" s="1"/>
      <c r="B1402" s="2"/>
      <c r="C1402" s="2"/>
      <c r="D1402" s="2"/>
      <c r="E1402" s="2"/>
      <c r="F1402" s="2"/>
      <c r="G1402" s="1"/>
      <c r="H1402" s="1"/>
      <c r="I1402" s="7">
        <v>1.399</v>
      </c>
      <c r="J1402" s="7">
        <f>IF((I1402-ROUNDDOWN(I1402,0))=0, 0, (I1402-ROUNDDOWN(I1402,0)))</f>
      </c>
      <c r="K1402" s="7">
        <f>INDIRECT("C$"&amp;2+MIN(2,ROUNDDOWN(I1402,0))*3)*(-$J1402^3+3*$J1402^2-3*$J1402+1)+INDIRECT("C$"&amp;3+MIN(2,ROUNDDOWN(I1402,0))*3)*(3*$J1402^3-6*$J1402^2+3*$J1402)+INDIRECT("C$"&amp;4+MIN(2,ROUNDDOWN(I1402,0))*3)*(-3*$J1402^3+3*$J1402^2)+INDIRECT("C$"&amp;5+MIN(2,ROUNDDOWN(I1402,0))*3)*$J1402^3</f>
      </c>
      <c r="L1402" s="7">
        <f>INDIRECT("D$"&amp;2+MIN(2,ROUNDDOWN(I1402,0))*3)*(-$J1402^3+3*$J1402^2-3*$J1402+1)+INDIRECT("D$"&amp;3+MIN(2,ROUNDDOWN(I1402,0))*3)*(3*$J1402^3-6*$J1402^2+3*$J1402)+INDIRECT("D$"&amp;4+MIN(2,ROUNDDOWN(I1402,0))*3)*(-3*$J1402^3+3*$J1402^2)+INDIRECT("D$"&amp;5+MIN(2,ROUNDDOWN(I1402,0))*3)*$J1402^3</f>
      </c>
      <c r="M1402" s="7">
        <f>SQRT(K1402^2+L1402^2)</f>
      </c>
      <c r="N1402" s="7">
        <f>(K1403-K1401)</f>
      </c>
      <c r="O1402" s="7">
        <f>+(L1403-L1401)</f>
      </c>
      <c r="P1402" s="7">
        <f>SQRT(O1402^2+N1402^2)</f>
      </c>
      <c r="Q1402" s="7">
        <f>N1402/$P1402</f>
      </c>
      <c r="R1402" s="7">
        <f>O1402/$P1402</f>
      </c>
      <c r="S1402" s="8">
        <f>Q1402^2+R1402^2</f>
      </c>
      <c r="T1402" s="7">
        <f>-R1402</f>
      </c>
      <c r="U1402" s="7">
        <f>Q1402</f>
      </c>
      <c r="V1402" s="7">
        <f>($C$14+($C$15-$C$14)/($D$15-$D$14)*(I1402-$D$14))/2</f>
      </c>
      <c r="W1402" s="7">
        <f>($B$22*I1402^4+$C$22*I1402^3+$D$22*I1402^2+$E$22*I1402+$F$22)/2</f>
      </c>
      <c r="X1402" s="7">
        <f>($W1402)*(T1402)</f>
      </c>
      <c r="Y1402" s="7">
        <f>($W1402)*(U1402)</f>
      </c>
      <c r="Z1402" s="7">
        <f>SQRT(X1402^2+Y1402^2)</f>
      </c>
      <c r="AA1402" s="7">
        <f>$K1402+$X1402</f>
      </c>
      <c r="AB1402" s="7">
        <f>$L1402+$Y1402</f>
      </c>
      <c r="AC1402" s="7">
        <f>$K1402-$X1402</f>
      </c>
      <c r="AD1402" s="7">
        <f>$L1402-$Y1402</f>
      </c>
      <c r="AE1402" s="7">
        <f>AA1402/39.3701</f>
      </c>
      <c r="AF1402" s="7">
        <f>AB1402/39.3701</f>
      </c>
      <c r="AG1402" s="7">
        <f>AC1402/39.3701</f>
      </c>
      <c r="AH1402" s="7">
        <f>AD1402/39.3701</f>
      </c>
      <c r="AI1402" s="1"/>
      <c r="AJ1402" s="1"/>
      <c r="AK1402" s="1"/>
      <c r="AL1402" s="1"/>
      <c r="AM1402" s="2"/>
      <c r="AN1402" s="1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  <c r="BA1402" s="1"/>
      <c r="BB1402" s="1"/>
      <c r="BC1402" s="1"/>
      <c r="BD1402" s="1"/>
      <c r="BE1402" s="1"/>
    </row>
    <row x14ac:dyDescent="0.25" r="1403" customHeight="1" ht="18.75">
      <c r="A1403" s="1"/>
      <c r="B1403" s="2"/>
      <c r="C1403" s="2"/>
      <c r="D1403" s="2"/>
      <c r="E1403" s="2"/>
      <c r="F1403" s="2"/>
      <c r="G1403" s="1"/>
      <c r="H1403" s="1"/>
      <c r="I1403" s="7">
        <v>1.4</v>
      </c>
      <c r="J1403" s="7">
        <f>IF((I1403-ROUNDDOWN(I1403,0))=0, 0, (I1403-ROUNDDOWN(I1403,0)))</f>
      </c>
      <c r="K1403" s="7">
        <f>INDIRECT("C$"&amp;2+MIN(2,ROUNDDOWN(I1403,0))*3)*(-$J1403^3+3*$J1403^2-3*$J1403+1)+INDIRECT("C$"&amp;3+MIN(2,ROUNDDOWN(I1403,0))*3)*(3*$J1403^3-6*$J1403^2+3*$J1403)+INDIRECT("C$"&amp;4+MIN(2,ROUNDDOWN(I1403,0))*3)*(-3*$J1403^3+3*$J1403^2)+INDIRECT("C$"&amp;5+MIN(2,ROUNDDOWN(I1403,0))*3)*$J1403^3</f>
      </c>
      <c r="L1403" s="7">
        <f>INDIRECT("D$"&amp;2+MIN(2,ROUNDDOWN(I1403,0))*3)*(-$J1403^3+3*$J1403^2-3*$J1403+1)+INDIRECT("D$"&amp;3+MIN(2,ROUNDDOWN(I1403,0))*3)*(3*$J1403^3-6*$J1403^2+3*$J1403)+INDIRECT("D$"&amp;4+MIN(2,ROUNDDOWN(I1403,0))*3)*(-3*$J1403^3+3*$J1403^2)+INDIRECT("D$"&amp;5+MIN(2,ROUNDDOWN(I1403,0))*3)*$J1403^3</f>
      </c>
      <c r="M1403" s="7">
        <f>SQRT(K1403^2+L1403^2)</f>
      </c>
      <c r="N1403" s="7">
        <f>(K1404-K1402)</f>
      </c>
      <c r="O1403" s="7">
        <f>+(L1404-L1402)</f>
      </c>
      <c r="P1403" s="7">
        <f>SQRT(O1403^2+N1403^2)</f>
      </c>
      <c r="Q1403" s="7">
        <f>N1403/$P1403</f>
      </c>
      <c r="R1403" s="7">
        <f>O1403/$P1403</f>
      </c>
      <c r="S1403" s="7">
        <f>Q1403^2+R1403^2</f>
      </c>
      <c r="T1403" s="7">
        <f>-R1403</f>
      </c>
      <c r="U1403" s="7">
        <f>Q1403</f>
      </c>
      <c r="V1403" s="7">
        <f>($C$14+($C$15-$C$14)/($D$15-$D$14)*(I1403-$D$14))/2</f>
      </c>
      <c r="W1403" s="7">
        <f>($B$22*I1403^4+$C$22*I1403^3+$D$22*I1403^2+$E$22*I1403+$F$22)/2</f>
      </c>
      <c r="X1403" s="7">
        <f>($W1403)*(T1403)</f>
      </c>
      <c r="Y1403" s="7">
        <f>($W1403)*(U1403)</f>
      </c>
      <c r="Z1403" s="7">
        <f>SQRT(X1403^2+Y1403^2)</f>
      </c>
      <c r="AA1403" s="7">
        <f>$K1403+$X1403</f>
      </c>
      <c r="AB1403" s="7">
        <f>$L1403+$Y1403</f>
      </c>
      <c r="AC1403" s="7">
        <f>$K1403-$X1403</f>
      </c>
      <c r="AD1403" s="7">
        <f>$L1403-$Y1403</f>
      </c>
      <c r="AE1403" s="7">
        <f>AA1403/39.3701</f>
      </c>
      <c r="AF1403" s="7">
        <f>AB1403/39.3701</f>
      </c>
      <c r="AG1403" s="7">
        <f>AC1403/39.3701</f>
      </c>
      <c r="AH1403" s="7">
        <f>AD1403/39.3701</f>
      </c>
      <c r="AI1403" s="1"/>
      <c r="AJ1403" s="1"/>
      <c r="AK1403" s="1"/>
      <c r="AL1403" s="1"/>
      <c r="AM1403" s="2"/>
      <c r="AN1403" s="1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  <c r="BA1403" s="1"/>
      <c r="BB1403" s="1"/>
      <c r="BC1403" s="1"/>
      <c r="BD1403" s="1"/>
      <c r="BE1403" s="1"/>
    </row>
    <row x14ac:dyDescent="0.25" r="1404" customHeight="1" ht="18.75">
      <c r="A1404" s="1"/>
      <c r="B1404" s="2"/>
      <c r="C1404" s="2"/>
      <c r="D1404" s="2"/>
      <c r="E1404" s="2"/>
      <c r="F1404" s="2"/>
      <c r="G1404" s="1"/>
      <c r="H1404" s="1"/>
      <c r="I1404" s="7">
        <v>1.401</v>
      </c>
      <c r="J1404" s="7">
        <f>IF((I1404-ROUNDDOWN(I1404,0))=0, 0, (I1404-ROUNDDOWN(I1404,0)))</f>
      </c>
      <c r="K1404" s="7">
        <f>INDIRECT("C$"&amp;2+MIN(2,ROUNDDOWN(I1404,0))*3)*(-$J1404^3+3*$J1404^2-3*$J1404+1)+INDIRECT("C$"&amp;3+MIN(2,ROUNDDOWN(I1404,0))*3)*(3*$J1404^3-6*$J1404^2+3*$J1404)+INDIRECT("C$"&amp;4+MIN(2,ROUNDDOWN(I1404,0))*3)*(-3*$J1404^3+3*$J1404^2)+INDIRECT("C$"&amp;5+MIN(2,ROUNDDOWN(I1404,0))*3)*$J1404^3</f>
      </c>
      <c r="L1404" s="7">
        <f>INDIRECT("D$"&amp;2+MIN(2,ROUNDDOWN(I1404,0))*3)*(-$J1404^3+3*$J1404^2-3*$J1404+1)+INDIRECT("D$"&amp;3+MIN(2,ROUNDDOWN(I1404,0))*3)*(3*$J1404^3-6*$J1404^2+3*$J1404)+INDIRECT("D$"&amp;4+MIN(2,ROUNDDOWN(I1404,0))*3)*(-3*$J1404^3+3*$J1404^2)+INDIRECT("D$"&amp;5+MIN(2,ROUNDDOWN(I1404,0))*3)*$J1404^3</f>
      </c>
      <c r="M1404" s="7">
        <f>SQRT(K1404^2+L1404^2)</f>
      </c>
      <c r="N1404" s="7">
        <f>(K1405-K1403)</f>
      </c>
      <c r="O1404" s="7">
        <f>+(L1405-L1403)</f>
      </c>
      <c r="P1404" s="7">
        <f>SQRT(O1404^2+N1404^2)</f>
      </c>
      <c r="Q1404" s="7">
        <f>N1404/$P1404</f>
      </c>
      <c r="R1404" s="7">
        <f>O1404/$P1404</f>
      </c>
      <c r="S1404" s="8">
        <f>Q1404^2+R1404^2</f>
      </c>
      <c r="T1404" s="7">
        <f>-R1404</f>
      </c>
      <c r="U1404" s="7">
        <f>Q1404</f>
      </c>
      <c r="V1404" s="7">
        <f>($C$14+($C$15-$C$14)/($D$15-$D$14)*(I1404-$D$14))/2</f>
      </c>
      <c r="W1404" s="7">
        <f>($B$22*I1404^4+$C$22*I1404^3+$D$22*I1404^2+$E$22*I1404+$F$22)/2</f>
      </c>
      <c r="X1404" s="7">
        <f>($W1404)*(T1404)</f>
      </c>
      <c r="Y1404" s="7">
        <f>($W1404)*(U1404)</f>
      </c>
      <c r="Z1404" s="7">
        <f>SQRT(X1404^2+Y1404^2)</f>
      </c>
      <c r="AA1404" s="7">
        <f>$K1404+$X1404</f>
      </c>
      <c r="AB1404" s="7">
        <f>$L1404+$Y1404</f>
      </c>
      <c r="AC1404" s="7">
        <f>$K1404-$X1404</f>
      </c>
      <c r="AD1404" s="7">
        <f>$L1404-$Y1404</f>
      </c>
      <c r="AE1404" s="7">
        <f>AA1404/39.3701</f>
      </c>
      <c r="AF1404" s="7">
        <f>AB1404/39.3701</f>
      </c>
      <c r="AG1404" s="7">
        <f>AC1404/39.3701</f>
      </c>
      <c r="AH1404" s="7">
        <f>AD1404/39.3701</f>
      </c>
      <c r="AI1404" s="1"/>
      <c r="AJ1404" s="1"/>
      <c r="AK1404" s="1"/>
      <c r="AL1404" s="1"/>
      <c r="AM1404" s="2"/>
      <c r="AN1404" s="1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  <c r="BA1404" s="1"/>
      <c r="BB1404" s="1"/>
      <c r="BC1404" s="1"/>
      <c r="BD1404" s="1"/>
      <c r="BE1404" s="1"/>
    </row>
    <row x14ac:dyDescent="0.25" r="1405" customHeight="1" ht="18.75">
      <c r="A1405" s="1"/>
      <c r="B1405" s="2"/>
      <c r="C1405" s="2"/>
      <c r="D1405" s="2"/>
      <c r="E1405" s="2"/>
      <c r="F1405" s="2"/>
      <c r="G1405" s="1"/>
      <c r="H1405" s="1"/>
      <c r="I1405" s="7">
        <v>1.402</v>
      </c>
      <c r="J1405" s="7">
        <f>IF((I1405-ROUNDDOWN(I1405,0))=0, 0, (I1405-ROUNDDOWN(I1405,0)))</f>
      </c>
      <c r="K1405" s="7">
        <f>INDIRECT("C$"&amp;2+MIN(2,ROUNDDOWN(I1405,0))*3)*(-$J1405^3+3*$J1405^2-3*$J1405+1)+INDIRECT("C$"&amp;3+MIN(2,ROUNDDOWN(I1405,0))*3)*(3*$J1405^3-6*$J1405^2+3*$J1405)+INDIRECT("C$"&amp;4+MIN(2,ROUNDDOWN(I1405,0))*3)*(-3*$J1405^3+3*$J1405^2)+INDIRECT("C$"&amp;5+MIN(2,ROUNDDOWN(I1405,0))*3)*$J1405^3</f>
      </c>
      <c r="L1405" s="7">
        <f>INDIRECT("D$"&amp;2+MIN(2,ROUNDDOWN(I1405,0))*3)*(-$J1405^3+3*$J1405^2-3*$J1405+1)+INDIRECT("D$"&amp;3+MIN(2,ROUNDDOWN(I1405,0))*3)*(3*$J1405^3-6*$J1405^2+3*$J1405)+INDIRECT("D$"&amp;4+MIN(2,ROUNDDOWN(I1405,0))*3)*(-3*$J1405^3+3*$J1405^2)+INDIRECT("D$"&amp;5+MIN(2,ROUNDDOWN(I1405,0))*3)*$J1405^3</f>
      </c>
      <c r="M1405" s="7">
        <f>SQRT(K1405^2+L1405^2)</f>
      </c>
      <c r="N1405" s="7">
        <f>(K1406-K1404)</f>
      </c>
      <c r="O1405" s="7">
        <f>+(L1406-L1404)</f>
      </c>
      <c r="P1405" s="7">
        <f>SQRT(O1405^2+N1405^2)</f>
      </c>
      <c r="Q1405" s="7">
        <f>N1405/$P1405</f>
      </c>
      <c r="R1405" s="7">
        <f>O1405/$P1405</f>
      </c>
      <c r="S1405" s="7">
        <f>Q1405^2+R1405^2</f>
      </c>
      <c r="T1405" s="7">
        <f>-R1405</f>
      </c>
      <c r="U1405" s="7">
        <f>Q1405</f>
      </c>
      <c r="V1405" s="7">
        <f>($C$14+($C$15-$C$14)/($D$15-$D$14)*(I1405-$D$14))/2</f>
      </c>
      <c r="W1405" s="7">
        <f>($B$22*I1405^4+$C$22*I1405^3+$D$22*I1405^2+$E$22*I1405+$F$22)/2</f>
      </c>
      <c r="X1405" s="7">
        <f>($W1405)*(T1405)</f>
      </c>
      <c r="Y1405" s="7">
        <f>($W1405)*(U1405)</f>
      </c>
      <c r="Z1405" s="7">
        <f>SQRT(X1405^2+Y1405^2)</f>
      </c>
      <c r="AA1405" s="7">
        <f>$K1405+$X1405</f>
      </c>
      <c r="AB1405" s="7">
        <f>$L1405+$Y1405</f>
      </c>
      <c r="AC1405" s="7">
        <f>$K1405-$X1405</f>
      </c>
      <c r="AD1405" s="7">
        <f>$L1405-$Y1405</f>
      </c>
      <c r="AE1405" s="7">
        <f>AA1405/39.3701</f>
      </c>
      <c r="AF1405" s="7">
        <f>AB1405/39.3701</f>
      </c>
      <c r="AG1405" s="7">
        <f>AC1405/39.3701</f>
      </c>
      <c r="AH1405" s="7">
        <f>AD1405/39.3701</f>
      </c>
      <c r="AI1405" s="1"/>
      <c r="AJ1405" s="1"/>
      <c r="AK1405" s="1"/>
      <c r="AL1405" s="1"/>
      <c r="AM1405" s="2"/>
      <c r="AN1405" s="1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  <c r="BA1405" s="1"/>
      <c r="BB1405" s="1"/>
      <c r="BC1405" s="1"/>
      <c r="BD1405" s="1"/>
      <c r="BE1405" s="1"/>
    </row>
    <row x14ac:dyDescent="0.25" r="1406" customHeight="1" ht="18.75">
      <c r="A1406" s="1"/>
      <c r="B1406" s="2"/>
      <c r="C1406" s="2"/>
      <c r="D1406" s="2"/>
      <c r="E1406" s="2"/>
      <c r="F1406" s="2"/>
      <c r="G1406" s="1"/>
      <c r="H1406" s="1"/>
      <c r="I1406" s="7">
        <v>1.403</v>
      </c>
      <c r="J1406" s="7">
        <f>IF((I1406-ROUNDDOWN(I1406,0))=0, 0, (I1406-ROUNDDOWN(I1406,0)))</f>
      </c>
      <c r="K1406" s="7">
        <f>INDIRECT("C$"&amp;2+MIN(2,ROUNDDOWN(I1406,0))*3)*(-$J1406^3+3*$J1406^2-3*$J1406+1)+INDIRECT("C$"&amp;3+MIN(2,ROUNDDOWN(I1406,0))*3)*(3*$J1406^3-6*$J1406^2+3*$J1406)+INDIRECT("C$"&amp;4+MIN(2,ROUNDDOWN(I1406,0))*3)*(-3*$J1406^3+3*$J1406^2)+INDIRECT("C$"&amp;5+MIN(2,ROUNDDOWN(I1406,0))*3)*$J1406^3</f>
      </c>
      <c r="L1406" s="7">
        <f>INDIRECT("D$"&amp;2+MIN(2,ROUNDDOWN(I1406,0))*3)*(-$J1406^3+3*$J1406^2-3*$J1406+1)+INDIRECT("D$"&amp;3+MIN(2,ROUNDDOWN(I1406,0))*3)*(3*$J1406^3-6*$J1406^2+3*$J1406)+INDIRECT("D$"&amp;4+MIN(2,ROUNDDOWN(I1406,0))*3)*(-3*$J1406^3+3*$J1406^2)+INDIRECT("D$"&amp;5+MIN(2,ROUNDDOWN(I1406,0))*3)*$J1406^3</f>
      </c>
      <c r="M1406" s="7">
        <f>SQRT(K1406^2+L1406^2)</f>
      </c>
      <c r="N1406" s="7">
        <f>(K1407-K1405)</f>
      </c>
      <c r="O1406" s="7">
        <f>+(L1407-L1405)</f>
      </c>
      <c r="P1406" s="7">
        <f>SQRT(O1406^2+N1406^2)</f>
      </c>
      <c r="Q1406" s="7">
        <f>N1406/$P1406</f>
      </c>
      <c r="R1406" s="7">
        <f>O1406/$P1406</f>
      </c>
      <c r="S1406" s="8">
        <f>Q1406^2+R1406^2</f>
      </c>
      <c r="T1406" s="7">
        <f>-R1406</f>
      </c>
      <c r="U1406" s="7">
        <f>Q1406</f>
      </c>
      <c r="V1406" s="7">
        <f>($C$14+($C$15-$C$14)/($D$15-$D$14)*(I1406-$D$14))/2</f>
      </c>
      <c r="W1406" s="7">
        <f>($B$22*I1406^4+$C$22*I1406^3+$D$22*I1406^2+$E$22*I1406+$F$22)/2</f>
      </c>
      <c r="X1406" s="7">
        <f>($W1406)*(T1406)</f>
      </c>
      <c r="Y1406" s="7">
        <f>($W1406)*(U1406)</f>
      </c>
      <c r="Z1406" s="7">
        <f>SQRT(X1406^2+Y1406^2)</f>
      </c>
      <c r="AA1406" s="7">
        <f>$K1406+$X1406</f>
      </c>
      <c r="AB1406" s="7">
        <f>$L1406+$Y1406</f>
      </c>
      <c r="AC1406" s="7">
        <f>$K1406-$X1406</f>
      </c>
      <c r="AD1406" s="7">
        <f>$L1406-$Y1406</f>
      </c>
      <c r="AE1406" s="7">
        <f>AA1406/39.3701</f>
      </c>
      <c r="AF1406" s="7">
        <f>AB1406/39.3701</f>
      </c>
      <c r="AG1406" s="7">
        <f>AC1406/39.3701</f>
      </c>
      <c r="AH1406" s="7">
        <f>AD1406/39.3701</f>
      </c>
      <c r="AI1406" s="1"/>
      <c r="AJ1406" s="1"/>
      <c r="AK1406" s="1"/>
      <c r="AL1406" s="1"/>
      <c r="AM1406" s="2"/>
      <c r="AN1406" s="1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  <c r="BA1406" s="1"/>
      <c r="BB1406" s="1"/>
      <c r="BC1406" s="1"/>
      <c r="BD1406" s="1"/>
      <c r="BE1406" s="1"/>
    </row>
    <row x14ac:dyDescent="0.25" r="1407" customHeight="1" ht="18.75">
      <c r="A1407" s="1"/>
      <c r="B1407" s="2"/>
      <c r="C1407" s="2"/>
      <c r="D1407" s="2"/>
      <c r="E1407" s="2"/>
      <c r="F1407" s="2"/>
      <c r="G1407" s="1"/>
      <c r="H1407" s="1"/>
      <c r="I1407" s="7">
        <v>1.404</v>
      </c>
      <c r="J1407" s="7">
        <f>IF((I1407-ROUNDDOWN(I1407,0))=0, 0, (I1407-ROUNDDOWN(I1407,0)))</f>
      </c>
      <c r="K1407" s="7">
        <f>INDIRECT("C$"&amp;2+MIN(2,ROUNDDOWN(I1407,0))*3)*(-$J1407^3+3*$J1407^2-3*$J1407+1)+INDIRECT("C$"&amp;3+MIN(2,ROUNDDOWN(I1407,0))*3)*(3*$J1407^3-6*$J1407^2+3*$J1407)+INDIRECT("C$"&amp;4+MIN(2,ROUNDDOWN(I1407,0))*3)*(-3*$J1407^3+3*$J1407^2)+INDIRECT("C$"&amp;5+MIN(2,ROUNDDOWN(I1407,0))*3)*$J1407^3</f>
      </c>
      <c r="L1407" s="7">
        <f>INDIRECT("D$"&amp;2+MIN(2,ROUNDDOWN(I1407,0))*3)*(-$J1407^3+3*$J1407^2-3*$J1407+1)+INDIRECT("D$"&amp;3+MIN(2,ROUNDDOWN(I1407,0))*3)*(3*$J1407^3-6*$J1407^2+3*$J1407)+INDIRECT("D$"&amp;4+MIN(2,ROUNDDOWN(I1407,0))*3)*(-3*$J1407^3+3*$J1407^2)+INDIRECT("D$"&amp;5+MIN(2,ROUNDDOWN(I1407,0))*3)*$J1407^3</f>
      </c>
      <c r="M1407" s="7">
        <f>SQRT(K1407^2+L1407^2)</f>
      </c>
      <c r="N1407" s="7">
        <f>(K1408-K1406)</f>
      </c>
      <c r="O1407" s="7">
        <f>+(L1408-L1406)</f>
      </c>
      <c r="P1407" s="7">
        <f>SQRT(O1407^2+N1407^2)</f>
      </c>
      <c r="Q1407" s="7">
        <f>N1407/$P1407</f>
      </c>
      <c r="R1407" s="7">
        <f>O1407/$P1407</f>
      </c>
      <c r="S1407" s="8">
        <f>Q1407^2+R1407^2</f>
      </c>
      <c r="T1407" s="7">
        <f>-R1407</f>
      </c>
      <c r="U1407" s="7">
        <f>Q1407</f>
      </c>
      <c r="V1407" s="7">
        <f>($C$14+($C$15-$C$14)/($D$15-$D$14)*(I1407-$D$14))/2</f>
      </c>
      <c r="W1407" s="7">
        <f>($B$22*I1407^4+$C$22*I1407^3+$D$22*I1407^2+$E$22*I1407+$F$22)/2</f>
      </c>
      <c r="X1407" s="7">
        <f>($W1407)*(T1407)</f>
      </c>
      <c r="Y1407" s="7">
        <f>($W1407)*(U1407)</f>
      </c>
      <c r="Z1407" s="7">
        <f>SQRT(X1407^2+Y1407^2)</f>
      </c>
      <c r="AA1407" s="7">
        <f>$K1407+$X1407</f>
      </c>
      <c r="AB1407" s="7">
        <f>$L1407+$Y1407</f>
      </c>
      <c r="AC1407" s="7">
        <f>$K1407-$X1407</f>
      </c>
      <c r="AD1407" s="7">
        <f>$L1407-$Y1407</f>
      </c>
      <c r="AE1407" s="7">
        <f>AA1407/39.3701</f>
      </c>
      <c r="AF1407" s="7">
        <f>AB1407/39.3701</f>
      </c>
      <c r="AG1407" s="7">
        <f>AC1407/39.3701</f>
      </c>
      <c r="AH1407" s="7">
        <f>AD1407/39.3701</f>
      </c>
      <c r="AI1407" s="1"/>
      <c r="AJ1407" s="1"/>
      <c r="AK1407" s="1"/>
      <c r="AL1407" s="1"/>
      <c r="AM1407" s="2"/>
      <c r="AN1407" s="1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  <c r="BA1407" s="1"/>
      <c r="BB1407" s="1"/>
      <c r="BC1407" s="1"/>
      <c r="BD1407" s="1"/>
      <c r="BE1407" s="1"/>
    </row>
    <row x14ac:dyDescent="0.25" r="1408" customHeight="1" ht="18.75">
      <c r="A1408" s="1"/>
      <c r="B1408" s="2"/>
      <c r="C1408" s="2"/>
      <c r="D1408" s="2"/>
      <c r="E1408" s="2"/>
      <c r="F1408" s="2"/>
      <c r="G1408" s="1"/>
      <c r="H1408" s="1"/>
      <c r="I1408" s="7">
        <v>1.405</v>
      </c>
      <c r="J1408" s="7">
        <f>IF((I1408-ROUNDDOWN(I1408,0))=0, 0, (I1408-ROUNDDOWN(I1408,0)))</f>
      </c>
      <c r="K1408" s="7">
        <f>INDIRECT("C$"&amp;2+MIN(2,ROUNDDOWN(I1408,0))*3)*(-$J1408^3+3*$J1408^2-3*$J1408+1)+INDIRECT("C$"&amp;3+MIN(2,ROUNDDOWN(I1408,0))*3)*(3*$J1408^3-6*$J1408^2+3*$J1408)+INDIRECT("C$"&amp;4+MIN(2,ROUNDDOWN(I1408,0))*3)*(-3*$J1408^3+3*$J1408^2)+INDIRECT("C$"&amp;5+MIN(2,ROUNDDOWN(I1408,0))*3)*$J1408^3</f>
      </c>
      <c r="L1408" s="7">
        <f>INDIRECT("D$"&amp;2+MIN(2,ROUNDDOWN(I1408,0))*3)*(-$J1408^3+3*$J1408^2-3*$J1408+1)+INDIRECT("D$"&amp;3+MIN(2,ROUNDDOWN(I1408,0))*3)*(3*$J1408^3-6*$J1408^2+3*$J1408)+INDIRECT("D$"&amp;4+MIN(2,ROUNDDOWN(I1408,0))*3)*(-3*$J1408^3+3*$J1408^2)+INDIRECT("D$"&amp;5+MIN(2,ROUNDDOWN(I1408,0))*3)*$J1408^3</f>
      </c>
      <c r="M1408" s="7">
        <f>SQRT(K1408^2+L1408^2)</f>
      </c>
      <c r="N1408" s="7">
        <f>(K1409-K1407)</f>
      </c>
      <c r="O1408" s="7">
        <f>+(L1409-L1407)</f>
      </c>
      <c r="P1408" s="7">
        <f>SQRT(O1408^2+N1408^2)</f>
      </c>
      <c r="Q1408" s="7">
        <f>N1408/$P1408</f>
      </c>
      <c r="R1408" s="7">
        <f>O1408/$P1408</f>
      </c>
      <c r="S1408" s="7">
        <f>Q1408^2+R1408^2</f>
      </c>
      <c r="T1408" s="7">
        <f>-R1408</f>
      </c>
      <c r="U1408" s="7">
        <f>Q1408</f>
      </c>
      <c r="V1408" s="7">
        <f>($C$14+($C$15-$C$14)/($D$15-$D$14)*(I1408-$D$14))/2</f>
      </c>
      <c r="W1408" s="7">
        <f>($B$22*I1408^4+$C$22*I1408^3+$D$22*I1408^2+$E$22*I1408+$F$22)/2</f>
      </c>
      <c r="X1408" s="7">
        <f>($W1408)*(T1408)</f>
      </c>
      <c r="Y1408" s="7">
        <f>($W1408)*(U1408)</f>
      </c>
      <c r="Z1408" s="7">
        <f>SQRT(X1408^2+Y1408^2)</f>
      </c>
      <c r="AA1408" s="7">
        <f>$K1408+$X1408</f>
      </c>
      <c r="AB1408" s="7">
        <f>$L1408+$Y1408</f>
      </c>
      <c r="AC1408" s="7">
        <f>$K1408-$X1408</f>
      </c>
      <c r="AD1408" s="7">
        <f>$L1408-$Y1408</f>
      </c>
      <c r="AE1408" s="7">
        <f>AA1408/39.3701</f>
      </c>
      <c r="AF1408" s="7">
        <f>AB1408/39.3701</f>
      </c>
      <c r="AG1408" s="7">
        <f>AC1408/39.3701</f>
      </c>
      <c r="AH1408" s="7">
        <f>AD1408/39.3701</f>
      </c>
      <c r="AI1408" s="1"/>
      <c r="AJ1408" s="1"/>
      <c r="AK1408" s="1"/>
      <c r="AL1408" s="1"/>
      <c r="AM1408" s="2"/>
      <c r="AN1408" s="1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  <c r="BA1408" s="1"/>
      <c r="BB1408" s="1"/>
      <c r="BC1408" s="1"/>
      <c r="BD1408" s="1"/>
      <c r="BE1408" s="1"/>
    </row>
    <row x14ac:dyDescent="0.25" r="1409" customHeight="1" ht="18.75">
      <c r="A1409" s="1"/>
      <c r="B1409" s="2"/>
      <c r="C1409" s="2"/>
      <c r="D1409" s="2"/>
      <c r="E1409" s="2"/>
      <c r="F1409" s="2"/>
      <c r="G1409" s="1"/>
      <c r="H1409" s="1"/>
      <c r="I1409" s="7">
        <v>1.406</v>
      </c>
      <c r="J1409" s="7">
        <f>IF((I1409-ROUNDDOWN(I1409,0))=0, 0, (I1409-ROUNDDOWN(I1409,0)))</f>
      </c>
      <c r="K1409" s="7">
        <f>INDIRECT("C$"&amp;2+MIN(2,ROUNDDOWN(I1409,0))*3)*(-$J1409^3+3*$J1409^2-3*$J1409+1)+INDIRECT("C$"&amp;3+MIN(2,ROUNDDOWN(I1409,0))*3)*(3*$J1409^3-6*$J1409^2+3*$J1409)+INDIRECT("C$"&amp;4+MIN(2,ROUNDDOWN(I1409,0))*3)*(-3*$J1409^3+3*$J1409^2)+INDIRECT("C$"&amp;5+MIN(2,ROUNDDOWN(I1409,0))*3)*$J1409^3</f>
      </c>
      <c r="L1409" s="7">
        <f>INDIRECT("D$"&amp;2+MIN(2,ROUNDDOWN(I1409,0))*3)*(-$J1409^3+3*$J1409^2-3*$J1409+1)+INDIRECT("D$"&amp;3+MIN(2,ROUNDDOWN(I1409,0))*3)*(3*$J1409^3-6*$J1409^2+3*$J1409)+INDIRECT("D$"&amp;4+MIN(2,ROUNDDOWN(I1409,0))*3)*(-3*$J1409^3+3*$J1409^2)+INDIRECT("D$"&amp;5+MIN(2,ROUNDDOWN(I1409,0))*3)*$J1409^3</f>
      </c>
      <c r="M1409" s="7">
        <f>SQRT(K1409^2+L1409^2)</f>
      </c>
      <c r="N1409" s="7">
        <f>(K1410-K1408)</f>
      </c>
      <c r="O1409" s="7">
        <f>+(L1410-L1408)</f>
      </c>
      <c r="P1409" s="7">
        <f>SQRT(O1409^2+N1409^2)</f>
      </c>
      <c r="Q1409" s="7">
        <f>N1409/$P1409</f>
      </c>
      <c r="R1409" s="7">
        <f>O1409/$P1409</f>
      </c>
      <c r="S1409" s="7">
        <f>Q1409^2+R1409^2</f>
      </c>
      <c r="T1409" s="7">
        <f>-R1409</f>
      </c>
      <c r="U1409" s="7">
        <f>Q1409</f>
      </c>
      <c r="V1409" s="7">
        <f>($C$14+($C$15-$C$14)/($D$15-$D$14)*(I1409-$D$14))/2</f>
      </c>
      <c r="W1409" s="7">
        <f>($B$22*I1409^4+$C$22*I1409^3+$D$22*I1409^2+$E$22*I1409+$F$22)/2</f>
      </c>
      <c r="X1409" s="7">
        <f>($W1409)*(T1409)</f>
      </c>
      <c r="Y1409" s="7">
        <f>($W1409)*(U1409)</f>
      </c>
      <c r="Z1409" s="7">
        <f>SQRT(X1409^2+Y1409^2)</f>
      </c>
      <c r="AA1409" s="7">
        <f>$K1409+$X1409</f>
      </c>
      <c r="AB1409" s="7">
        <f>$L1409+$Y1409</f>
      </c>
      <c r="AC1409" s="7">
        <f>$K1409-$X1409</f>
      </c>
      <c r="AD1409" s="7">
        <f>$L1409-$Y1409</f>
      </c>
      <c r="AE1409" s="7">
        <f>AA1409/39.3701</f>
      </c>
      <c r="AF1409" s="7">
        <f>AB1409/39.3701</f>
      </c>
      <c r="AG1409" s="7">
        <f>AC1409/39.3701</f>
      </c>
      <c r="AH1409" s="7">
        <f>AD1409/39.3701</f>
      </c>
      <c r="AI1409" s="1"/>
      <c r="AJ1409" s="1"/>
      <c r="AK1409" s="1"/>
      <c r="AL1409" s="1"/>
      <c r="AM1409" s="2"/>
      <c r="AN1409" s="1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  <c r="BA1409" s="1"/>
      <c r="BB1409" s="1"/>
      <c r="BC1409" s="1"/>
      <c r="BD1409" s="1"/>
      <c r="BE1409" s="1"/>
    </row>
    <row x14ac:dyDescent="0.25" r="1410" customHeight="1" ht="18.75">
      <c r="A1410" s="1"/>
      <c r="B1410" s="2"/>
      <c r="C1410" s="2"/>
      <c r="D1410" s="2"/>
      <c r="E1410" s="2"/>
      <c r="F1410" s="2"/>
      <c r="G1410" s="1"/>
      <c r="H1410" s="1"/>
      <c r="I1410" s="7">
        <v>1.407</v>
      </c>
      <c r="J1410" s="7">
        <f>IF((I1410-ROUNDDOWN(I1410,0))=0, 0, (I1410-ROUNDDOWN(I1410,0)))</f>
      </c>
      <c r="K1410" s="7">
        <f>INDIRECT("C$"&amp;2+MIN(2,ROUNDDOWN(I1410,0))*3)*(-$J1410^3+3*$J1410^2-3*$J1410+1)+INDIRECT("C$"&amp;3+MIN(2,ROUNDDOWN(I1410,0))*3)*(3*$J1410^3-6*$J1410^2+3*$J1410)+INDIRECT("C$"&amp;4+MIN(2,ROUNDDOWN(I1410,0))*3)*(-3*$J1410^3+3*$J1410^2)+INDIRECT("C$"&amp;5+MIN(2,ROUNDDOWN(I1410,0))*3)*$J1410^3</f>
      </c>
      <c r="L1410" s="7">
        <f>INDIRECT("D$"&amp;2+MIN(2,ROUNDDOWN(I1410,0))*3)*(-$J1410^3+3*$J1410^2-3*$J1410+1)+INDIRECT("D$"&amp;3+MIN(2,ROUNDDOWN(I1410,0))*3)*(3*$J1410^3-6*$J1410^2+3*$J1410)+INDIRECT("D$"&amp;4+MIN(2,ROUNDDOWN(I1410,0))*3)*(-3*$J1410^3+3*$J1410^2)+INDIRECT("D$"&amp;5+MIN(2,ROUNDDOWN(I1410,0))*3)*$J1410^3</f>
      </c>
      <c r="M1410" s="7">
        <f>SQRT(K1410^2+L1410^2)</f>
      </c>
      <c r="N1410" s="7">
        <f>(K1411-K1409)</f>
      </c>
      <c r="O1410" s="7">
        <f>+(L1411-L1409)</f>
      </c>
      <c r="P1410" s="7">
        <f>SQRT(O1410^2+N1410^2)</f>
      </c>
      <c r="Q1410" s="7">
        <f>N1410/$P1410</f>
      </c>
      <c r="R1410" s="7">
        <f>O1410/$P1410</f>
      </c>
      <c r="S1410" s="7">
        <f>Q1410^2+R1410^2</f>
      </c>
      <c r="T1410" s="7">
        <f>-R1410</f>
      </c>
      <c r="U1410" s="7">
        <f>Q1410</f>
      </c>
      <c r="V1410" s="7">
        <f>($C$14+($C$15-$C$14)/($D$15-$D$14)*(I1410-$D$14))/2</f>
      </c>
      <c r="W1410" s="7">
        <f>($B$22*I1410^4+$C$22*I1410^3+$D$22*I1410^2+$E$22*I1410+$F$22)/2</f>
      </c>
      <c r="X1410" s="7">
        <f>($W1410)*(T1410)</f>
      </c>
      <c r="Y1410" s="7">
        <f>($W1410)*(U1410)</f>
      </c>
      <c r="Z1410" s="7">
        <f>SQRT(X1410^2+Y1410^2)</f>
      </c>
      <c r="AA1410" s="7">
        <f>$K1410+$X1410</f>
      </c>
      <c r="AB1410" s="7">
        <f>$L1410+$Y1410</f>
      </c>
      <c r="AC1410" s="7">
        <f>$K1410-$X1410</f>
      </c>
      <c r="AD1410" s="7">
        <f>$L1410-$Y1410</f>
      </c>
      <c r="AE1410" s="7">
        <f>AA1410/39.3701</f>
      </c>
      <c r="AF1410" s="7">
        <f>AB1410/39.3701</f>
      </c>
      <c r="AG1410" s="7">
        <f>AC1410/39.3701</f>
      </c>
      <c r="AH1410" s="7">
        <f>AD1410/39.3701</f>
      </c>
      <c r="AI1410" s="1"/>
      <c r="AJ1410" s="1"/>
      <c r="AK1410" s="1"/>
      <c r="AL1410" s="1"/>
      <c r="AM1410" s="2"/>
      <c r="AN1410" s="1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  <c r="BA1410" s="1"/>
      <c r="BB1410" s="1"/>
      <c r="BC1410" s="1"/>
      <c r="BD1410" s="1"/>
      <c r="BE1410" s="1"/>
    </row>
    <row x14ac:dyDescent="0.25" r="1411" customHeight="1" ht="18.75">
      <c r="A1411" s="1"/>
      <c r="B1411" s="2"/>
      <c r="C1411" s="2"/>
      <c r="D1411" s="2"/>
      <c r="E1411" s="2"/>
      <c r="F1411" s="2"/>
      <c r="G1411" s="1"/>
      <c r="H1411" s="1"/>
      <c r="I1411" s="7">
        <v>1.408</v>
      </c>
      <c r="J1411" s="7">
        <f>IF((I1411-ROUNDDOWN(I1411,0))=0, 0, (I1411-ROUNDDOWN(I1411,0)))</f>
      </c>
      <c r="K1411" s="7">
        <f>INDIRECT("C$"&amp;2+MIN(2,ROUNDDOWN(I1411,0))*3)*(-$J1411^3+3*$J1411^2-3*$J1411+1)+INDIRECT("C$"&amp;3+MIN(2,ROUNDDOWN(I1411,0))*3)*(3*$J1411^3-6*$J1411^2+3*$J1411)+INDIRECT("C$"&amp;4+MIN(2,ROUNDDOWN(I1411,0))*3)*(-3*$J1411^3+3*$J1411^2)+INDIRECT("C$"&amp;5+MIN(2,ROUNDDOWN(I1411,0))*3)*$J1411^3</f>
      </c>
      <c r="L1411" s="7">
        <f>INDIRECT("D$"&amp;2+MIN(2,ROUNDDOWN(I1411,0))*3)*(-$J1411^3+3*$J1411^2-3*$J1411+1)+INDIRECT("D$"&amp;3+MIN(2,ROUNDDOWN(I1411,0))*3)*(3*$J1411^3-6*$J1411^2+3*$J1411)+INDIRECT("D$"&amp;4+MIN(2,ROUNDDOWN(I1411,0))*3)*(-3*$J1411^3+3*$J1411^2)+INDIRECT("D$"&amp;5+MIN(2,ROUNDDOWN(I1411,0))*3)*$J1411^3</f>
      </c>
      <c r="M1411" s="7">
        <f>SQRT(K1411^2+L1411^2)</f>
      </c>
      <c r="N1411" s="7">
        <f>(K1412-K1410)</f>
      </c>
      <c r="O1411" s="7">
        <f>+(L1412-L1410)</f>
      </c>
      <c r="P1411" s="7">
        <f>SQRT(O1411^2+N1411^2)</f>
      </c>
      <c r="Q1411" s="7">
        <f>N1411/$P1411</f>
      </c>
      <c r="R1411" s="7">
        <f>O1411/$P1411</f>
      </c>
      <c r="S1411" s="7">
        <f>Q1411^2+R1411^2</f>
      </c>
      <c r="T1411" s="7">
        <f>-R1411</f>
      </c>
      <c r="U1411" s="7">
        <f>Q1411</f>
      </c>
      <c r="V1411" s="7">
        <f>($C$14+($C$15-$C$14)/($D$15-$D$14)*(I1411-$D$14))/2</f>
      </c>
      <c r="W1411" s="7">
        <f>($B$22*I1411^4+$C$22*I1411^3+$D$22*I1411^2+$E$22*I1411+$F$22)/2</f>
      </c>
      <c r="X1411" s="7">
        <f>($W1411)*(T1411)</f>
      </c>
      <c r="Y1411" s="7">
        <f>($W1411)*(U1411)</f>
      </c>
      <c r="Z1411" s="7">
        <f>SQRT(X1411^2+Y1411^2)</f>
      </c>
      <c r="AA1411" s="7">
        <f>$K1411+$X1411</f>
      </c>
      <c r="AB1411" s="7">
        <f>$L1411+$Y1411</f>
      </c>
      <c r="AC1411" s="7">
        <f>$K1411-$X1411</f>
      </c>
      <c r="AD1411" s="7">
        <f>$L1411-$Y1411</f>
      </c>
      <c r="AE1411" s="7">
        <f>AA1411/39.3701</f>
      </c>
      <c r="AF1411" s="7">
        <f>AB1411/39.3701</f>
      </c>
      <c r="AG1411" s="7">
        <f>AC1411/39.3701</f>
      </c>
      <c r="AH1411" s="7">
        <f>AD1411/39.3701</f>
      </c>
      <c r="AI1411" s="1"/>
      <c r="AJ1411" s="1"/>
      <c r="AK1411" s="1"/>
      <c r="AL1411" s="1"/>
      <c r="AM1411" s="2"/>
      <c r="AN1411" s="1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  <c r="BA1411" s="1"/>
      <c r="BB1411" s="1"/>
      <c r="BC1411" s="1"/>
      <c r="BD1411" s="1"/>
      <c r="BE1411" s="1"/>
    </row>
    <row x14ac:dyDescent="0.25" r="1412" customHeight="1" ht="18.75">
      <c r="A1412" s="1"/>
      <c r="B1412" s="2"/>
      <c r="C1412" s="2"/>
      <c r="D1412" s="2"/>
      <c r="E1412" s="2"/>
      <c r="F1412" s="2"/>
      <c r="G1412" s="1"/>
      <c r="H1412" s="1"/>
      <c r="I1412" s="7">
        <v>1.409</v>
      </c>
      <c r="J1412" s="7">
        <f>IF((I1412-ROUNDDOWN(I1412,0))=0, 0, (I1412-ROUNDDOWN(I1412,0)))</f>
      </c>
      <c r="K1412" s="7">
        <f>INDIRECT("C$"&amp;2+MIN(2,ROUNDDOWN(I1412,0))*3)*(-$J1412^3+3*$J1412^2-3*$J1412+1)+INDIRECT("C$"&amp;3+MIN(2,ROUNDDOWN(I1412,0))*3)*(3*$J1412^3-6*$J1412^2+3*$J1412)+INDIRECT("C$"&amp;4+MIN(2,ROUNDDOWN(I1412,0))*3)*(-3*$J1412^3+3*$J1412^2)+INDIRECT("C$"&amp;5+MIN(2,ROUNDDOWN(I1412,0))*3)*$J1412^3</f>
      </c>
      <c r="L1412" s="7">
        <f>INDIRECT("D$"&amp;2+MIN(2,ROUNDDOWN(I1412,0))*3)*(-$J1412^3+3*$J1412^2-3*$J1412+1)+INDIRECT("D$"&amp;3+MIN(2,ROUNDDOWN(I1412,0))*3)*(3*$J1412^3-6*$J1412^2+3*$J1412)+INDIRECT("D$"&amp;4+MIN(2,ROUNDDOWN(I1412,0))*3)*(-3*$J1412^3+3*$J1412^2)+INDIRECT("D$"&amp;5+MIN(2,ROUNDDOWN(I1412,0))*3)*$J1412^3</f>
      </c>
      <c r="M1412" s="7">
        <f>SQRT(K1412^2+L1412^2)</f>
      </c>
      <c r="N1412" s="7">
        <f>(K1413-K1411)</f>
      </c>
      <c r="O1412" s="7">
        <f>+(L1413-L1411)</f>
      </c>
      <c r="P1412" s="7">
        <f>SQRT(O1412^2+N1412^2)</f>
      </c>
      <c r="Q1412" s="7">
        <f>N1412/$P1412</f>
      </c>
      <c r="R1412" s="7">
        <f>O1412/$P1412</f>
      </c>
      <c r="S1412" s="8">
        <f>Q1412^2+R1412^2</f>
      </c>
      <c r="T1412" s="7">
        <f>-R1412</f>
      </c>
      <c r="U1412" s="7">
        <f>Q1412</f>
      </c>
      <c r="V1412" s="7">
        <f>($C$14+($C$15-$C$14)/($D$15-$D$14)*(I1412-$D$14))/2</f>
      </c>
      <c r="W1412" s="7">
        <f>($B$22*I1412^4+$C$22*I1412^3+$D$22*I1412^2+$E$22*I1412+$F$22)/2</f>
      </c>
      <c r="X1412" s="7">
        <f>($W1412)*(T1412)</f>
      </c>
      <c r="Y1412" s="7">
        <f>($W1412)*(U1412)</f>
      </c>
      <c r="Z1412" s="7">
        <f>SQRT(X1412^2+Y1412^2)</f>
      </c>
      <c r="AA1412" s="7">
        <f>$K1412+$X1412</f>
      </c>
      <c r="AB1412" s="7">
        <f>$L1412+$Y1412</f>
      </c>
      <c r="AC1412" s="7">
        <f>$K1412-$X1412</f>
      </c>
      <c r="AD1412" s="7">
        <f>$L1412-$Y1412</f>
      </c>
      <c r="AE1412" s="7">
        <f>AA1412/39.3701</f>
      </c>
      <c r="AF1412" s="7">
        <f>AB1412/39.3701</f>
      </c>
      <c r="AG1412" s="7">
        <f>AC1412/39.3701</f>
      </c>
      <c r="AH1412" s="7">
        <f>AD1412/39.3701</f>
      </c>
      <c r="AI1412" s="1"/>
      <c r="AJ1412" s="1"/>
      <c r="AK1412" s="1"/>
      <c r="AL1412" s="1"/>
      <c r="AM1412" s="2"/>
      <c r="AN1412" s="1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  <c r="BA1412" s="1"/>
      <c r="BB1412" s="1"/>
      <c r="BC1412" s="1"/>
      <c r="BD1412" s="1"/>
      <c r="BE1412" s="1"/>
    </row>
    <row x14ac:dyDescent="0.25" r="1413" customHeight="1" ht="18.75">
      <c r="A1413" s="1"/>
      <c r="B1413" s="2"/>
      <c r="C1413" s="2"/>
      <c r="D1413" s="2"/>
      <c r="E1413" s="2"/>
      <c r="F1413" s="2"/>
      <c r="G1413" s="1"/>
      <c r="H1413" s="1"/>
      <c r="I1413" s="7">
        <v>1.41</v>
      </c>
      <c r="J1413" s="7">
        <f>IF((I1413-ROUNDDOWN(I1413,0))=0, 0, (I1413-ROUNDDOWN(I1413,0)))</f>
      </c>
      <c r="K1413" s="7">
        <f>INDIRECT("C$"&amp;2+MIN(2,ROUNDDOWN(I1413,0))*3)*(-$J1413^3+3*$J1413^2-3*$J1413+1)+INDIRECT("C$"&amp;3+MIN(2,ROUNDDOWN(I1413,0))*3)*(3*$J1413^3-6*$J1413^2+3*$J1413)+INDIRECT("C$"&amp;4+MIN(2,ROUNDDOWN(I1413,0))*3)*(-3*$J1413^3+3*$J1413^2)+INDIRECT("C$"&amp;5+MIN(2,ROUNDDOWN(I1413,0))*3)*$J1413^3</f>
      </c>
      <c r="L1413" s="7">
        <f>INDIRECT("D$"&amp;2+MIN(2,ROUNDDOWN(I1413,0))*3)*(-$J1413^3+3*$J1413^2-3*$J1413+1)+INDIRECT("D$"&amp;3+MIN(2,ROUNDDOWN(I1413,0))*3)*(3*$J1413^3-6*$J1413^2+3*$J1413)+INDIRECT("D$"&amp;4+MIN(2,ROUNDDOWN(I1413,0))*3)*(-3*$J1413^3+3*$J1413^2)+INDIRECT("D$"&amp;5+MIN(2,ROUNDDOWN(I1413,0))*3)*$J1413^3</f>
      </c>
      <c r="M1413" s="7">
        <f>SQRT(K1413^2+L1413^2)</f>
      </c>
      <c r="N1413" s="7">
        <f>(K1414-K1412)</f>
      </c>
      <c r="O1413" s="7">
        <f>+(L1414-L1412)</f>
      </c>
      <c r="P1413" s="7">
        <f>SQRT(O1413^2+N1413^2)</f>
      </c>
      <c r="Q1413" s="7">
        <f>N1413/$P1413</f>
      </c>
      <c r="R1413" s="7">
        <f>O1413/$P1413</f>
      </c>
      <c r="S1413" s="7">
        <f>Q1413^2+R1413^2</f>
      </c>
      <c r="T1413" s="7">
        <f>-R1413</f>
      </c>
      <c r="U1413" s="7">
        <f>Q1413</f>
      </c>
      <c r="V1413" s="7">
        <f>($C$14+($C$15-$C$14)/($D$15-$D$14)*(I1413-$D$14))/2</f>
      </c>
      <c r="W1413" s="7">
        <f>($B$22*I1413^4+$C$22*I1413^3+$D$22*I1413^2+$E$22*I1413+$F$22)/2</f>
      </c>
      <c r="X1413" s="7">
        <f>($W1413)*(T1413)</f>
      </c>
      <c r="Y1413" s="7">
        <f>($W1413)*(U1413)</f>
      </c>
      <c r="Z1413" s="7">
        <f>SQRT(X1413^2+Y1413^2)</f>
      </c>
      <c r="AA1413" s="7">
        <f>$K1413+$X1413</f>
      </c>
      <c r="AB1413" s="7">
        <f>$L1413+$Y1413</f>
      </c>
      <c r="AC1413" s="7">
        <f>$K1413-$X1413</f>
      </c>
      <c r="AD1413" s="7">
        <f>$L1413-$Y1413</f>
      </c>
      <c r="AE1413" s="7">
        <f>AA1413/39.3701</f>
      </c>
      <c r="AF1413" s="7">
        <f>AB1413/39.3701</f>
      </c>
      <c r="AG1413" s="7">
        <f>AC1413/39.3701</f>
      </c>
      <c r="AH1413" s="7">
        <f>AD1413/39.3701</f>
      </c>
      <c r="AI1413" s="1"/>
      <c r="AJ1413" s="1"/>
      <c r="AK1413" s="1"/>
      <c r="AL1413" s="1"/>
      <c r="AM1413" s="2"/>
      <c r="AN1413" s="1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  <c r="BA1413" s="1"/>
      <c r="BB1413" s="1"/>
      <c r="BC1413" s="1"/>
      <c r="BD1413" s="1"/>
      <c r="BE1413" s="1"/>
    </row>
    <row x14ac:dyDescent="0.25" r="1414" customHeight="1" ht="18.75">
      <c r="A1414" s="1"/>
      <c r="B1414" s="2"/>
      <c r="C1414" s="2"/>
      <c r="D1414" s="2"/>
      <c r="E1414" s="2"/>
      <c r="F1414" s="2"/>
      <c r="G1414" s="1"/>
      <c r="H1414" s="1"/>
      <c r="I1414" s="7">
        <v>1.411</v>
      </c>
      <c r="J1414" s="7">
        <f>IF((I1414-ROUNDDOWN(I1414,0))=0, 0, (I1414-ROUNDDOWN(I1414,0)))</f>
      </c>
      <c r="K1414" s="7">
        <f>INDIRECT("C$"&amp;2+MIN(2,ROUNDDOWN(I1414,0))*3)*(-$J1414^3+3*$J1414^2-3*$J1414+1)+INDIRECT("C$"&amp;3+MIN(2,ROUNDDOWN(I1414,0))*3)*(3*$J1414^3-6*$J1414^2+3*$J1414)+INDIRECT("C$"&amp;4+MIN(2,ROUNDDOWN(I1414,0))*3)*(-3*$J1414^3+3*$J1414^2)+INDIRECT("C$"&amp;5+MIN(2,ROUNDDOWN(I1414,0))*3)*$J1414^3</f>
      </c>
      <c r="L1414" s="7">
        <f>INDIRECT("D$"&amp;2+MIN(2,ROUNDDOWN(I1414,0))*3)*(-$J1414^3+3*$J1414^2-3*$J1414+1)+INDIRECT("D$"&amp;3+MIN(2,ROUNDDOWN(I1414,0))*3)*(3*$J1414^3-6*$J1414^2+3*$J1414)+INDIRECT("D$"&amp;4+MIN(2,ROUNDDOWN(I1414,0))*3)*(-3*$J1414^3+3*$J1414^2)+INDIRECT("D$"&amp;5+MIN(2,ROUNDDOWN(I1414,0))*3)*$J1414^3</f>
      </c>
      <c r="M1414" s="7">
        <f>SQRT(K1414^2+L1414^2)</f>
      </c>
      <c r="N1414" s="7">
        <f>(K1415-K1413)</f>
      </c>
      <c r="O1414" s="7">
        <f>+(L1415-L1413)</f>
      </c>
      <c r="P1414" s="7">
        <f>SQRT(O1414^2+N1414^2)</f>
      </c>
      <c r="Q1414" s="7">
        <f>N1414/$P1414</f>
      </c>
      <c r="R1414" s="7">
        <f>O1414/$P1414</f>
      </c>
      <c r="S1414" s="8">
        <f>Q1414^2+R1414^2</f>
      </c>
      <c r="T1414" s="7">
        <f>-R1414</f>
      </c>
      <c r="U1414" s="7">
        <f>Q1414</f>
      </c>
      <c r="V1414" s="7">
        <f>($C$14+($C$15-$C$14)/($D$15-$D$14)*(I1414-$D$14))/2</f>
      </c>
      <c r="W1414" s="7">
        <f>($B$22*I1414^4+$C$22*I1414^3+$D$22*I1414^2+$E$22*I1414+$F$22)/2</f>
      </c>
      <c r="X1414" s="7">
        <f>($W1414)*(T1414)</f>
      </c>
      <c r="Y1414" s="7">
        <f>($W1414)*(U1414)</f>
      </c>
      <c r="Z1414" s="7">
        <f>SQRT(X1414^2+Y1414^2)</f>
      </c>
      <c r="AA1414" s="7">
        <f>$K1414+$X1414</f>
      </c>
      <c r="AB1414" s="7">
        <f>$L1414+$Y1414</f>
      </c>
      <c r="AC1414" s="7">
        <f>$K1414-$X1414</f>
      </c>
      <c r="AD1414" s="7">
        <f>$L1414-$Y1414</f>
      </c>
      <c r="AE1414" s="7">
        <f>AA1414/39.3701</f>
      </c>
      <c r="AF1414" s="7">
        <f>AB1414/39.3701</f>
      </c>
      <c r="AG1414" s="7">
        <f>AC1414/39.3701</f>
      </c>
      <c r="AH1414" s="7">
        <f>AD1414/39.3701</f>
      </c>
      <c r="AI1414" s="1"/>
      <c r="AJ1414" s="1"/>
      <c r="AK1414" s="1"/>
      <c r="AL1414" s="1"/>
      <c r="AM1414" s="2"/>
      <c r="AN1414" s="1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  <c r="BA1414" s="1"/>
      <c r="BB1414" s="1"/>
      <c r="BC1414" s="1"/>
      <c r="BD1414" s="1"/>
      <c r="BE1414" s="1"/>
    </row>
    <row x14ac:dyDescent="0.25" r="1415" customHeight="1" ht="18.75">
      <c r="A1415" s="1"/>
      <c r="B1415" s="2"/>
      <c r="C1415" s="2"/>
      <c r="D1415" s="2"/>
      <c r="E1415" s="2"/>
      <c r="F1415" s="2"/>
      <c r="G1415" s="1"/>
      <c r="H1415" s="1"/>
      <c r="I1415" s="7">
        <v>1.412</v>
      </c>
      <c r="J1415" s="7">
        <f>IF((I1415-ROUNDDOWN(I1415,0))=0, 0, (I1415-ROUNDDOWN(I1415,0)))</f>
      </c>
      <c r="K1415" s="7">
        <f>INDIRECT("C$"&amp;2+MIN(2,ROUNDDOWN(I1415,0))*3)*(-$J1415^3+3*$J1415^2-3*$J1415+1)+INDIRECT("C$"&amp;3+MIN(2,ROUNDDOWN(I1415,0))*3)*(3*$J1415^3-6*$J1415^2+3*$J1415)+INDIRECT("C$"&amp;4+MIN(2,ROUNDDOWN(I1415,0))*3)*(-3*$J1415^3+3*$J1415^2)+INDIRECT("C$"&amp;5+MIN(2,ROUNDDOWN(I1415,0))*3)*$J1415^3</f>
      </c>
      <c r="L1415" s="7">
        <f>INDIRECT("D$"&amp;2+MIN(2,ROUNDDOWN(I1415,0))*3)*(-$J1415^3+3*$J1415^2-3*$J1415+1)+INDIRECT("D$"&amp;3+MIN(2,ROUNDDOWN(I1415,0))*3)*(3*$J1415^3-6*$J1415^2+3*$J1415)+INDIRECT("D$"&amp;4+MIN(2,ROUNDDOWN(I1415,0))*3)*(-3*$J1415^3+3*$J1415^2)+INDIRECT("D$"&amp;5+MIN(2,ROUNDDOWN(I1415,0))*3)*$J1415^3</f>
      </c>
      <c r="M1415" s="7">
        <f>SQRT(K1415^2+L1415^2)</f>
      </c>
      <c r="N1415" s="7">
        <f>(K1416-K1414)</f>
      </c>
      <c r="O1415" s="7">
        <f>+(L1416-L1414)</f>
      </c>
      <c r="P1415" s="7">
        <f>SQRT(O1415^2+N1415^2)</f>
      </c>
      <c r="Q1415" s="7">
        <f>N1415/$P1415</f>
      </c>
      <c r="R1415" s="7">
        <f>O1415/$P1415</f>
      </c>
      <c r="S1415" s="7">
        <f>Q1415^2+R1415^2</f>
      </c>
      <c r="T1415" s="7">
        <f>-R1415</f>
      </c>
      <c r="U1415" s="7">
        <f>Q1415</f>
      </c>
      <c r="V1415" s="7">
        <f>($C$14+($C$15-$C$14)/($D$15-$D$14)*(I1415-$D$14))/2</f>
      </c>
      <c r="W1415" s="7">
        <f>($B$22*I1415^4+$C$22*I1415^3+$D$22*I1415^2+$E$22*I1415+$F$22)/2</f>
      </c>
      <c r="X1415" s="7">
        <f>($W1415)*(T1415)</f>
      </c>
      <c r="Y1415" s="7">
        <f>($W1415)*(U1415)</f>
      </c>
      <c r="Z1415" s="7">
        <f>SQRT(X1415^2+Y1415^2)</f>
      </c>
      <c r="AA1415" s="7">
        <f>$K1415+$X1415</f>
      </c>
      <c r="AB1415" s="7">
        <f>$L1415+$Y1415</f>
      </c>
      <c r="AC1415" s="7">
        <f>$K1415-$X1415</f>
      </c>
      <c r="AD1415" s="7">
        <f>$L1415-$Y1415</f>
      </c>
      <c r="AE1415" s="7">
        <f>AA1415/39.3701</f>
      </c>
      <c r="AF1415" s="7">
        <f>AB1415/39.3701</f>
      </c>
      <c r="AG1415" s="7">
        <f>AC1415/39.3701</f>
      </c>
      <c r="AH1415" s="7">
        <f>AD1415/39.3701</f>
      </c>
      <c r="AI1415" s="1"/>
      <c r="AJ1415" s="1"/>
      <c r="AK1415" s="1"/>
      <c r="AL1415" s="1"/>
      <c r="AM1415" s="2"/>
      <c r="AN1415" s="1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  <c r="BA1415" s="1"/>
      <c r="BB1415" s="1"/>
      <c r="BC1415" s="1"/>
      <c r="BD1415" s="1"/>
      <c r="BE1415" s="1"/>
    </row>
    <row x14ac:dyDescent="0.25" r="1416" customHeight="1" ht="18.75">
      <c r="A1416" s="1"/>
      <c r="B1416" s="2"/>
      <c r="C1416" s="2"/>
      <c r="D1416" s="2"/>
      <c r="E1416" s="2"/>
      <c r="F1416" s="2"/>
      <c r="G1416" s="1"/>
      <c r="H1416" s="1"/>
      <c r="I1416" s="7">
        <v>1.413</v>
      </c>
      <c r="J1416" s="7">
        <f>IF((I1416-ROUNDDOWN(I1416,0))=0, 0, (I1416-ROUNDDOWN(I1416,0)))</f>
      </c>
      <c r="K1416" s="7">
        <f>INDIRECT("C$"&amp;2+MIN(2,ROUNDDOWN(I1416,0))*3)*(-$J1416^3+3*$J1416^2-3*$J1416+1)+INDIRECT("C$"&amp;3+MIN(2,ROUNDDOWN(I1416,0))*3)*(3*$J1416^3-6*$J1416^2+3*$J1416)+INDIRECT("C$"&amp;4+MIN(2,ROUNDDOWN(I1416,0))*3)*(-3*$J1416^3+3*$J1416^2)+INDIRECT("C$"&amp;5+MIN(2,ROUNDDOWN(I1416,0))*3)*$J1416^3</f>
      </c>
      <c r="L1416" s="7">
        <f>INDIRECT("D$"&amp;2+MIN(2,ROUNDDOWN(I1416,0))*3)*(-$J1416^3+3*$J1416^2-3*$J1416+1)+INDIRECT("D$"&amp;3+MIN(2,ROUNDDOWN(I1416,0))*3)*(3*$J1416^3-6*$J1416^2+3*$J1416)+INDIRECT("D$"&amp;4+MIN(2,ROUNDDOWN(I1416,0))*3)*(-3*$J1416^3+3*$J1416^2)+INDIRECT("D$"&amp;5+MIN(2,ROUNDDOWN(I1416,0))*3)*$J1416^3</f>
      </c>
      <c r="M1416" s="7">
        <f>SQRT(K1416^2+L1416^2)</f>
      </c>
      <c r="N1416" s="7">
        <f>(K1417-K1415)</f>
      </c>
      <c r="O1416" s="7">
        <f>+(L1417-L1415)</f>
      </c>
      <c r="P1416" s="7">
        <f>SQRT(O1416^2+N1416^2)</f>
      </c>
      <c r="Q1416" s="7">
        <f>N1416/$P1416</f>
      </c>
      <c r="R1416" s="7">
        <f>O1416/$P1416</f>
      </c>
      <c r="S1416" s="7">
        <f>Q1416^2+R1416^2</f>
      </c>
      <c r="T1416" s="7">
        <f>-R1416</f>
      </c>
      <c r="U1416" s="7">
        <f>Q1416</f>
      </c>
      <c r="V1416" s="7">
        <f>($C$14+($C$15-$C$14)/($D$15-$D$14)*(I1416-$D$14))/2</f>
      </c>
      <c r="W1416" s="7">
        <f>($B$22*I1416^4+$C$22*I1416^3+$D$22*I1416^2+$E$22*I1416+$F$22)/2</f>
      </c>
      <c r="X1416" s="7">
        <f>($W1416)*(T1416)</f>
      </c>
      <c r="Y1416" s="7">
        <f>($W1416)*(U1416)</f>
      </c>
      <c r="Z1416" s="7">
        <f>SQRT(X1416^2+Y1416^2)</f>
      </c>
      <c r="AA1416" s="7">
        <f>$K1416+$X1416</f>
      </c>
      <c r="AB1416" s="7">
        <f>$L1416+$Y1416</f>
      </c>
      <c r="AC1416" s="7">
        <f>$K1416-$X1416</f>
      </c>
      <c r="AD1416" s="7">
        <f>$L1416-$Y1416</f>
      </c>
      <c r="AE1416" s="7">
        <f>AA1416/39.3701</f>
      </c>
      <c r="AF1416" s="7">
        <f>AB1416/39.3701</f>
      </c>
      <c r="AG1416" s="7">
        <f>AC1416/39.3701</f>
      </c>
      <c r="AH1416" s="7">
        <f>AD1416/39.3701</f>
      </c>
      <c r="AI1416" s="1"/>
      <c r="AJ1416" s="1"/>
      <c r="AK1416" s="1"/>
      <c r="AL1416" s="1"/>
      <c r="AM1416" s="2"/>
      <c r="AN1416" s="1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  <c r="BA1416" s="1"/>
      <c r="BB1416" s="1"/>
      <c r="BC1416" s="1"/>
      <c r="BD1416" s="1"/>
      <c r="BE1416" s="1"/>
    </row>
    <row x14ac:dyDescent="0.25" r="1417" customHeight="1" ht="18.75">
      <c r="A1417" s="1"/>
      <c r="B1417" s="2"/>
      <c r="C1417" s="2"/>
      <c r="D1417" s="2"/>
      <c r="E1417" s="2"/>
      <c r="F1417" s="2"/>
      <c r="G1417" s="1"/>
      <c r="H1417" s="1"/>
      <c r="I1417" s="7">
        <v>1.414</v>
      </c>
      <c r="J1417" s="7">
        <f>IF((I1417-ROUNDDOWN(I1417,0))=0, 0, (I1417-ROUNDDOWN(I1417,0)))</f>
      </c>
      <c r="K1417" s="7">
        <f>INDIRECT("C$"&amp;2+MIN(2,ROUNDDOWN(I1417,0))*3)*(-$J1417^3+3*$J1417^2-3*$J1417+1)+INDIRECT("C$"&amp;3+MIN(2,ROUNDDOWN(I1417,0))*3)*(3*$J1417^3-6*$J1417^2+3*$J1417)+INDIRECT("C$"&amp;4+MIN(2,ROUNDDOWN(I1417,0))*3)*(-3*$J1417^3+3*$J1417^2)+INDIRECT("C$"&amp;5+MIN(2,ROUNDDOWN(I1417,0))*3)*$J1417^3</f>
      </c>
      <c r="L1417" s="7">
        <f>INDIRECT("D$"&amp;2+MIN(2,ROUNDDOWN(I1417,0))*3)*(-$J1417^3+3*$J1417^2-3*$J1417+1)+INDIRECT("D$"&amp;3+MIN(2,ROUNDDOWN(I1417,0))*3)*(3*$J1417^3-6*$J1417^2+3*$J1417)+INDIRECT("D$"&amp;4+MIN(2,ROUNDDOWN(I1417,0))*3)*(-3*$J1417^3+3*$J1417^2)+INDIRECT("D$"&amp;5+MIN(2,ROUNDDOWN(I1417,0))*3)*$J1417^3</f>
      </c>
      <c r="M1417" s="7">
        <f>SQRT(K1417^2+L1417^2)</f>
      </c>
      <c r="N1417" s="7">
        <f>(K1418-K1416)</f>
      </c>
      <c r="O1417" s="7">
        <f>+(L1418-L1416)</f>
      </c>
      <c r="P1417" s="7">
        <f>SQRT(O1417^2+N1417^2)</f>
      </c>
      <c r="Q1417" s="7">
        <f>N1417/$P1417</f>
      </c>
      <c r="R1417" s="7">
        <f>O1417/$P1417</f>
      </c>
      <c r="S1417" s="7">
        <f>Q1417^2+R1417^2</f>
      </c>
      <c r="T1417" s="7">
        <f>-R1417</f>
      </c>
      <c r="U1417" s="7">
        <f>Q1417</f>
      </c>
      <c r="V1417" s="7">
        <f>($C$14+($C$15-$C$14)/($D$15-$D$14)*(I1417-$D$14))/2</f>
      </c>
      <c r="W1417" s="7">
        <f>($B$22*I1417^4+$C$22*I1417^3+$D$22*I1417^2+$E$22*I1417+$F$22)/2</f>
      </c>
      <c r="X1417" s="7">
        <f>($W1417)*(T1417)</f>
      </c>
      <c r="Y1417" s="7">
        <f>($W1417)*(U1417)</f>
      </c>
      <c r="Z1417" s="7">
        <f>SQRT(X1417^2+Y1417^2)</f>
      </c>
      <c r="AA1417" s="7">
        <f>$K1417+$X1417</f>
      </c>
      <c r="AB1417" s="7">
        <f>$L1417+$Y1417</f>
      </c>
      <c r="AC1417" s="7">
        <f>$K1417-$X1417</f>
      </c>
      <c r="AD1417" s="7">
        <f>$L1417-$Y1417</f>
      </c>
      <c r="AE1417" s="7">
        <f>AA1417/39.3701</f>
      </c>
      <c r="AF1417" s="7">
        <f>AB1417/39.3701</f>
      </c>
      <c r="AG1417" s="7">
        <f>AC1417/39.3701</f>
      </c>
      <c r="AH1417" s="7">
        <f>AD1417/39.3701</f>
      </c>
      <c r="AI1417" s="1"/>
      <c r="AJ1417" s="1"/>
      <c r="AK1417" s="1"/>
      <c r="AL1417" s="1"/>
      <c r="AM1417" s="2"/>
      <c r="AN1417" s="1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  <c r="BA1417" s="1"/>
      <c r="BB1417" s="1"/>
      <c r="BC1417" s="1"/>
      <c r="BD1417" s="1"/>
      <c r="BE1417" s="1"/>
    </row>
    <row x14ac:dyDescent="0.25" r="1418" customHeight="1" ht="18.75">
      <c r="A1418" s="1"/>
      <c r="B1418" s="2"/>
      <c r="C1418" s="2"/>
      <c r="D1418" s="2"/>
      <c r="E1418" s="2"/>
      <c r="F1418" s="2"/>
      <c r="G1418" s="1"/>
      <c r="H1418" s="1"/>
      <c r="I1418" s="7">
        <v>1.415</v>
      </c>
      <c r="J1418" s="7">
        <f>IF((I1418-ROUNDDOWN(I1418,0))=0, 0, (I1418-ROUNDDOWN(I1418,0)))</f>
      </c>
      <c r="K1418" s="7">
        <f>INDIRECT("C$"&amp;2+MIN(2,ROUNDDOWN(I1418,0))*3)*(-$J1418^3+3*$J1418^2-3*$J1418+1)+INDIRECT("C$"&amp;3+MIN(2,ROUNDDOWN(I1418,0))*3)*(3*$J1418^3-6*$J1418^2+3*$J1418)+INDIRECT("C$"&amp;4+MIN(2,ROUNDDOWN(I1418,0))*3)*(-3*$J1418^3+3*$J1418^2)+INDIRECT("C$"&amp;5+MIN(2,ROUNDDOWN(I1418,0))*3)*$J1418^3</f>
      </c>
      <c r="L1418" s="7">
        <f>INDIRECT("D$"&amp;2+MIN(2,ROUNDDOWN(I1418,0))*3)*(-$J1418^3+3*$J1418^2-3*$J1418+1)+INDIRECT("D$"&amp;3+MIN(2,ROUNDDOWN(I1418,0))*3)*(3*$J1418^3-6*$J1418^2+3*$J1418)+INDIRECT("D$"&amp;4+MIN(2,ROUNDDOWN(I1418,0))*3)*(-3*$J1418^3+3*$J1418^2)+INDIRECT("D$"&amp;5+MIN(2,ROUNDDOWN(I1418,0))*3)*$J1418^3</f>
      </c>
      <c r="M1418" s="7">
        <f>SQRT(K1418^2+L1418^2)</f>
      </c>
      <c r="N1418" s="7">
        <f>(K1419-K1417)</f>
      </c>
      <c r="O1418" s="7">
        <f>+(L1419-L1417)</f>
      </c>
      <c r="P1418" s="7">
        <f>SQRT(O1418^2+N1418^2)</f>
      </c>
      <c r="Q1418" s="7">
        <f>N1418/$P1418</f>
      </c>
      <c r="R1418" s="7">
        <f>O1418/$P1418</f>
      </c>
      <c r="S1418" s="8">
        <f>Q1418^2+R1418^2</f>
      </c>
      <c r="T1418" s="7">
        <f>-R1418</f>
      </c>
      <c r="U1418" s="7">
        <f>Q1418</f>
      </c>
      <c r="V1418" s="7">
        <f>($C$14+($C$15-$C$14)/($D$15-$D$14)*(I1418-$D$14))/2</f>
      </c>
      <c r="W1418" s="7">
        <f>($B$22*I1418^4+$C$22*I1418^3+$D$22*I1418^2+$E$22*I1418+$F$22)/2</f>
      </c>
      <c r="X1418" s="7">
        <f>($W1418)*(T1418)</f>
      </c>
      <c r="Y1418" s="7">
        <f>($W1418)*(U1418)</f>
      </c>
      <c r="Z1418" s="7">
        <f>SQRT(X1418^2+Y1418^2)</f>
      </c>
      <c r="AA1418" s="7">
        <f>$K1418+$X1418</f>
      </c>
      <c r="AB1418" s="7">
        <f>$L1418+$Y1418</f>
      </c>
      <c r="AC1418" s="7">
        <f>$K1418-$X1418</f>
      </c>
      <c r="AD1418" s="7">
        <f>$L1418-$Y1418</f>
      </c>
      <c r="AE1418" s="7">
        <f>AA1418/39.3701</f>
      </c>
      <c r="AF1418" s="7">
        <f>AB1418/39.3701</f>
      </c>
      <c r="AG1418" s="7">
        <f>AC1418/39.3701</f>
      </c>
      <c r="AH1418" s="7">
        <f>AD1418/39.3701</f>
      </c>
      <c r="AI1418" s="1"/>
      <c r="AJ1418" s="1"/>
      <c r="AK1418" s="1"/>
      <c r="AL1418" s="1"/>
      <c r="AM1418" s="2"/>
      <c r="AN1418" s="1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  <c r="BA1418" s="1"/>
      <c r="BB1418" s="1"/>
      <c r="BC1418" s="1"/>
      <c r="BD1418" s="1"/>
      <c r="BE1418" s="1"/>
    </row>
    <row x14ac:dyDescent="0.25" r="1419" customHeight="1" ht="18.75">
      <c r="A1419" s="1"/>
      <c r="B1419" s="2"/>
      <c r="C1419" s="2"/>
      <c r="D1419" s="2"/>
      <c r="E1419" s="2"/>
      <c r="F1419" s="2"/>
      <c r="G1419" s="1"/>
      <c r="H1419" s="1"/>
      <c r="I1419" s="7">
        <v>1.416</v>
      </c>
      <c r="J1419" s="7">
        <f>IF((I1419-ROUNDDOWN(I1419,0))=0, 0, (I1419-ROUNDDOWN(I1419,0)))</f>
      </c>
      <c r="K1419" s="7">
        <f>INDIRECT("C$"&amp;2+MIN(2,ROUNDDOWN(I1419,0))*3)*(-$J1419^3+3*$J1419^2-3*$J1419+1)+INDIRECT("C$"&amp;3+MIN(2,ROUNDDOWN(I1419,0))*3)*(3*$J1419^3-6*$J1419^2+3*$J1419)+INDIRECT("C$"&amp;4+MIN(2,ROUNDDOWN(I1419,0))*3)*(-3*$J1419^3+3*$J1419^2)+INDIRECT("C$"&amp;5+MIN(2,ROUNDDOWN(I1419,0))*3)*$J1419^3</f>
      </c>
      <c r="L1419" s="7">
        <f>INDIRECT("D$"&amp;2+MIN(2,ROUNDDOWN(I1419,0))*3)*(-$J1419^3+3*$J1419^2-3*$J1419+1)+INDIRECT("D$"&amp;3+MIN(2,ROUNDDOWN(I1419,0))*3)*(3*$J1419^3-6*$J1419^2+3*$J1419)+INDIRECT("D$"&amp;4+MIN(2,ROUNDDOWN(I1419,0))*3)*(-3*$J1419^3+3*$J1419^2)+INDIRECT("D$"&amp;5+MIN(2,ROUNDDOWN(I1419,0))*3)*$J1419^3</f>
      </c>
      <c r="M1419" s="7">
        <f>SQRT(K1419^2+L1419^2)</f>
      </c>
      <c r="N1419" s="7">
        <f>(K1420-K1418)</f>
      </c>
      <c r="O1419" s="7">
        <f>+(L1420-L1418)</f>
      </c>
      <c r="P1419" s="7">
        <f>SQRT(O1419^2+N1419^2)</f>
      </c>
      <c r="Q1419" s="7">
        <f>N1419/$P1419</f>
      </c>
      <c r="R1419" s="7">
        <f>O1419/$P1419</f>
      </c>
      <c r="S1419" s="8">
        <f>Q1419^2+R1419^2</f>
      </c>
      <c r="T1419" s="7">
        <f>-R1419</f>
      </c>
      <c r="U1419" s="7">
        <f>Q1419</f>
      </c>
      <c r="V1419" s="7">
        <f>($C$14+($C$15-$C$14)/($D$15-$D$14)*(I1419-$D$14))/2</f>
      </c>
      <c r="W1419" s="7">
        <f>($B$22*I1419^4+$C$22*I1419^3+$D$22*I1419^2+$E$22*I1419+$F$22)/2</f>
      </c>
      <c r="X1419" s="7">
        <f>($W1419)*(T1419)</f>
      </c>
      <c r="Y1419" s="7">
        <f>($W1419)*(U1419)</f>
      </c>
      <c r="Z1419" s="7">
        <f>SQRT(X1419^2+Y1419^2)</f>
      </c>
      <c r="AA1419" s="7">
        <f>$K1419+$X1419</f>
      </c>
      <c r="AB1419" s="7">
        <f>$L1419+$Y1419</f>
      </c>
      <c r="AC1419" s="7">
        <f>$K1419-$X1419</f>
      </c>
      <c r="AD1419" s="7">
        <f>$L1419-$Y1419</f>
      </c>
      <c r="AE1419" s="7">
        <f>AA1419/39.3701</f>
      </c>
      <c r="AF1419" s="7">
        <f>AB1419/39.3701</f>
      </c>
      <c r="AG1419" s="7">
        <f>AC1419/39.3701</f>
      </c>
      <c r="AH1419" s="7">
        <f>AD1419/39.3701</f>
      </c>
      <c r="AI1419" s="1"/>
      <c r="AJ1419" s="1"/>
      <c r="AK1419" s="1"/>
      <c r="AL1419" s="1"/>
      <c r="AM1419" s="2"/>
      <c r="AN1419" s="1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  <c r="BA1419" s="1"/>
      <c r="BB1419" s="1"/>
      <c r="BC1419" s="1"/>
      <c r="BD1419" s="1"/>
      <c r="BE1419" s="1"/>
    </row>
    <row x14ac:dyDescent="0.25" r="1420" customHeight="1" ht="18.75">
      <c r="A1420" s="1"/>
      <c r="B1420" s="2"/>
      <c r="C1420" s="2"/>
      <c r="D1420" s="2"/>
      <c r="E1420" s="2"/>
      <c r="F1420" s="2"/>
      <c r="G1420" s="1"/>
      <c r="H1420" s="1"/>
      <c r="I1420" s="7">
        <v>1.417</v>
      </c>
      <c r="J1420" s="7">
        <f>IF((I1420-ROUNDDOWN(I1420,0))=0, 0, (I1420-ROUNDDOWN(I1420,0)))</f>
      </c>
      <c r="K1420" s="7">
        <f>INDIRECT("C$"&amp;2+MIN(2,ROUNDDOWN(I1420,0))*3)*(-$J1420^3+3*$J1420^2-3*$J1420+1)+INDIRECT("C$"&amp;3+MIN(2,ROUNDDOWN(I1420,0))*3)*(3*$J1420^3-6*$J1420^2+3*$J1420)+INDIRECT("C$"&amp;4+MIN(2,ROUNDDOWN(I1420,0))*3)*(-3*$J1420^3+3*$J1420^2)+INDIRECT("C$"&amp;5+MIN(2,ROUNDDOWN(I1420,0))*3)*$J1420^3</f>
      </c>
      <c r="L1420" s="7">
        <f>INDIRECT("D$"&amp;2+MIN(2,ROUNDDOWN(I1420,0))*3)*(-$J1420^3+3*$J1420^2-3*$J1420+1)+INDIRECT("D$"&amp;3+MIN(2,ROUNDDOWN(I1420,0))*3)*(3*$J1420^3-6*$J1420^2+3*$J1420)+INDIRECT("D$"&amp;4+MIN(2,ROUNDDOWN(I1420,0))*3)*(-3*$J1420^3+3*$J1420^2)+INDIRECT("D$"&amp;5+MIN(2,ROUNDDOWN(I1420,0))*3)*$J1420^3</f>
      </c>
      <c r="M1420" s="7">
        <f>SQRT(K1420^2+L1420^2)</f>
      </c>
      <c r="N1420" s="7">
        <f>(K1421-K1419)</f>
      </c>
      <c r="O1420" s="7">
        <f>+(L1421-L1419)</f>
      </c>
      <c r="P1420" s="7">
        <f>SQRT(O1420^2+N1420^2)</f>
      </c>
      <c r="Q1420" s="7">
        <f>N1420/$P1420</f>
      </c>
      <c r="R1420" s="7">
        <f>O1420/$P1420</f>
      </c>
      <c r="S1420" s="8">
        <f>Q1420^2+R1420^2</f>
      </c>
      <c r="T1420" s="7">
        <f>-R1420</f>
      </c>
      <c r="U1420" s="7">
        <f>Q1420</f>
      </c>
      <c r="V1420" s="7">
        <f>($C$14+($C$15-$C$14)/($D$15-$D$14)*(I1420-$D$14))/2</f>
      </c>
      <c r="W1420" s="7">
        <f>($B$22*I1420^4+$C$22*I1420^3+$D$22*I1420^2+$E$22*I1420+$F$22)/2</f>
      </c>
      <c r="X1420" s="7">
        <f>($W1420)*(T1420)</f>
      </c>
      <c r="Y1420" s="7">
        <f>($W1420)*(U1420)</f>
      </c>
      <c r="Z1420" s="7">
        <f>SQRT(X1420^2+Y1420^2)</f>
      </c>
      <c r="AA1420" s="7">
        <f>$K1420+$X1420</f>
      </c>
      <c r="AB1420" s="7">
        <f>$L1420+$Y1420</f>
      </c>
      <c r="AC1420" s="7">
        <f>$K1420-$X1420</f>
      </c>
      <c r="AD1420" s="7">
        <f>$L1420-$Y1420</f>
      </c>
      <c r="AE1420" s="7">
        <f>AA1420/39.3701</f>
      </c>
      <c r="AF1420" s="7">
        <f>AB1420/39.3701</f>
      </c>
      <c r="AG1420" s="7">
        <f>AC1420/39.3701</f>
      </c>
      <c r="AH1420" s="7">
        <f>AD1420/39.3701</f>
      </c>
      <c r="AI1420" s="1"/>
      <c r="AJ1420" s="1"/>
      <c r="AK1420" s="1"/>
      <c r="AL1420" s="1"/>
      <c r="AM1420" s="2"/>
      <c r="AN1420" s="1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  <c r="BA1420" s="1"/>
      <c r="BB1420" s="1"/>
      <c r="BC1420" s="1"/>
      <c r="BD1420" s="1"/>
      <c r="BE1420" s="1"/>
    </row>
    <row x14ac:dyDescent="0.25" r="1421" customHeight="1" ht="18.75">
      <c r="A1421" s="1"/>
      <c r="B1421" s="2"/>
      <c r="C1421" s="2"/>
      <c r="D1421" s="2"/>
      <c r="E1421" s="2"/>
      <c r="F1421" s="2"/>
      <c r="G1421" s="1"/>
      <c r="H1421" s="1"/>
      <c r="I1421" s="7">
        <v>1.418</v>
      </c>
      <c r="J1421" s="7">
        <f>IF((I1421-ROUNDDOWN(I1421,0))=0, 0, (I1421-ROUNDDOWN(I1421,0)))</f>
      </c>
      <c r="K1421" s="7">
        <f>INDIRECT("C$"&amp;2+MIN(2,ROUNDDOWN(I1421,0))*3)*(-$J1421^3+3*$J1421^2-3*$J1421+1)+INDIRECT("C$"&amp;3+MIN(2,ROUNDDOWN(I1421,0))*3)*(3*$J1421^3-6*$J1421^2+3*$J1421)+INDIRECT("C$"&amp;4+MIN(2,ROUNDDOWN(I1421,0))*3)*(-3*$J1421^3+3*$J1421^2)+INDIRECT("C$"&amp;5+MIN(2,ROUNDDOWN(I1421,0))*3)*$J1421^3</f>
      </c>
      <c r="L1421" s="7">
        <f>INDIRECT("D$"&amp;2+MIN(2,ROUNDDOWN(I1421,0))*3)*(-$J1421^3+3*$J1421^2-3*$J1421+1)+INDIRECT("D$"&amp;3+MIN(2,ROUNDDOWN(I1421,0))*3)*(3*$J1421^3-6*$J1421^2+3*$J1421)+INDIRECT("D$"&amp;4+MIN(2,ROUNDDOWN(I1421,0))*3)*(-3*$J1421^3+3*$J1421^2)+INDIRECT("D$"&amp;5+MIN(2,ROUNDDOWN(I1421,0))*3)*$J1421^3</f>
      </c>
      <c r="M1421" s="7">
        <f>SQRT(K1421^2+L1421^2)</f>
      </c>
      <c r="N1421" s="7">
        <f>(K1422-K1420)</f>
      </c>
      <c r="O1421" s="7">
        <f>+(L1422-L1420)</f>
      </c>
      <c r="P1421" s="7">
        <f>SQRT(O1421^2+N1421^2)</f>
      </c>
      <c r="Q1421" s="7">
        <f>N1421/$P1421</f>
      </c>
      <c r="R1421" s="7">
        <f>O1421/$P1421</f>
      </c>
      <c r="S1421" s="8">
        <f>Q1421^2+R1421^2</f>
      </c>
      <c r="T1421" s="7">
        <f>-R1421</f>
      </c>
      <c r="U1421" s="7">
        <f>Q1421</f>
      </c>
      <c r="V1421" s="7">
        <f>($C$14+($C$15-$C$14)/($D$15-$D$14)*(I1421-$D$14))/2</f>
      </c>
      <c r="W1421" s="7">
        <f>($B$22*I1421^4+$C$22*I1421^3+$D$22*I1421^2+$E$22*I1421+$F$22)/2</f>
      </c>
      <c r="X1421" s="7">
        <f>($W1421)*(T1421)</f>
      </c>
      <c r="Y1421" s="7">
        <f>($W1421)*(U1421)</f>
      </c>
      <c r="Z1421" s="7">
        <f>SQRT(X1421^2+Y1421^2)</f>
      </c>
      <c r="AA1421" s="7">
        <f>$K1421+$X1421</f>
      </c>
      <c r="AB1421" s="7">
        <f>$L1421+$Y1421</f>
      </c>
      <c r="AC1421" s="7">
        <f>$K1421-$X1421</f>
      </c>
      <c r="AD1421" s="7">
        <f>$L1421-$Y1421</f>
      </c>
      <c r="AE1421" s="7">
        <f>AA1421/39.3701</f>
      </c>
      <c r="AF1421" s="7">
        <f>AB1421/39.3701</f>
      </c>
      <c r="AG1421" s="7">
        <f>AC1421/39.3701</f>
      </c>
      <c r="AH1421" s="7">
        <f>AD1421/39.3701</f>
      </c>
      <c r="AI1421" s="1"/>
      <c r="AJ1421" s="1"/>
      <c r="AK1421" s="1"/>
      <c r="AL1421" s="1"/>
      <c r="AM1421" s="2"/>
      <c r="AN1421" s="1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  <c r="BA1421" s="1"/>
      <c r="BB1421" s="1"/>
      <c r="BC1421" s="1"/>
      <c r="BD1421" s="1"/>
      <c r="BE1421" s="1"/>
    </row>
    <row x14ac:dyDescent="0.25" r="1422" customHeight="1" ht="18.75">
      <c r="A1422" s="1"/>
      <c r="B1422" s="2"/>
      <c r="C1422" s="2"/>
      <c r="D1422" s="2"/>
      <c r="E1422" s="2"/>
      <c r="F1422" s="2"/>
      <c r="G1422" s="1"/>
      <c r="H1422" s="1"/>
      <c r="I1422" s="7">
        <v>1.419</v>
      </c>
      <c r="J1422" s="7">
        <f>IF((I1422-ROUNDDOWN(I1422,0))=0, 0, (I1422-ROUNDDOWN(I1422,0)))</f>
      </c>
      <c r="K1422" s="7">
        <f>INDIRECT("C$"&amp;2+MIN(2,ROUNDDOWN(I1422,0))*3)*(-$J1422^3+3*$J1422^2-3*$J1422+1)+INDIRECT("C$"&amp;3+MIN(2,ROUNDDOWN(I1422,0))*3)*(3*$J1422^3-6*$J1422^2+3*$J1422)+INDIRECT("C$"&amp;4+MIN(2,ROUNDDOWN(I1422,0))*3)*(-3*$J1422^3+3*$J1422^2)+INDIRECT("C$"&amp;5+MIN(2,ROUNDDOWN(I1422,0))*3)*$J1422^3</f>
      </c>
      <c r="L1422" s="7">
        <f>INDIRECT("D$"&amp;2+MIN(2,ROUNDDOWN(I1422,0))*3)*(-$J1422^3+3*$J1422^2-3*$J1422+1)+INDIRECT("D$"&amp;3+MIN(2,ROUNDDOWN(I1422,0))*3)*(3*$J1422^3-6*$J1422^2+3*$J1422)+INDIRECT("D$"&amp;4+MIN(2,ROUNDDOWN(I1422,0))*3)*(-3*$J1422^3+3*$J1422^2)+INDIRECT("D$"&amp;5+MIN(2,ROUNDDOWN(I1422,0))*3)*$J1422^3</f>
      </c>
      <c r="M1422" s="7">
        <f>SQRT(K1422^2+L1422^2)</f>
      </c>
      <c r="N1422" s="7">
        <f>(K1423-K1421)</f>
      </c>
      <c r="O1422" s="7">
        <f>+(L1423-L1421)</f>
      </c>
      <c r="P1422" s="7">
        <f>SQRT(O1422^2+N1422^2)</f>
      </c>
      <c r="Q1422" s="7">
        <f>N1422/$P1422</f>
      </c>
      <c r="R1422" s="7">
        <f>O1422/$P1422</f>
      </c>
      <c r="S1422" s="8">
        <f>Q1422^2+R1422^2</f>
      </c>
      <c r="T1422" s="7">
        <f>-R1422</f>
      </c>
      <c r="U1422" s="7">
        <f>Q1422</f>
      </c>
      <c r="V1422" s="7">
        <f>($C$14+($C$15-$C$14)/($D$15-$D$14)*(I1422-$D$14))/2</f>
      </c>
      <c r="W1422" s="7">
        <f>($B$22*I1422^4+$C$22*I1422^3+$D$22*I1422^2+$E$22*I1422+$F$22)/2</f>
      </c>
      <c r="X1422" s="7">
        <f>($W1422)*(T1422)</f>
      </c>
      <c r="Y1422" s="7">
        <f>($W1422)*(U1422)</f>
      </c>
      <c r="Z1422" s="7">
        <f>SQRT(X1422^2+Y1422^2)</f>
      </c>
      <c r="AA1422" s="7">
        <f>$K1422+$X1422</f>
      </c>
      <c r="AB1422" s="7">
        <f>$L1422+$Y1422</f>
      </c>
      <c r="AC1422" s="7">
        <f>$K1422-$X1422</f>
      </c>
      <c r="AD1422" s="7">
        <f>$L1422-$Y1422</f>
      </c>
      <c r="AE1422" s="7">
        <f>AA1422/39.3701</f>
      </c>
      <c r="AF1422" s="7">
        <f>AB1422/39.3701</f>
      </c>
      <c r="AG1422" s="7">
        <f>AC1422/39.3701</f>
      </c>
      <c r="AH1422" s="7">
        <f>AD1422/39.3701</f>
      </c>
      <c r="AI1422" s="1"/>
      <c r="AJ1422" s="1"/>
      <c r="AK1422" s="1"/>
      <c r="AL1422" s="1"/>
      <c r="AM1422" s="2"/>
      <c r="AN1422" s="1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  <c r="BA1422" s="1"/>
      <c r="BB1422" s="1"/>
      <c r="BC1422" s="1"/>
      <c r="BD1422" s="1"/>
      <c r="BE1422" s="1"/>
    </row>
    <row x14ac:dyDescent="0.25" r="1423" customHeight="1" ht="18.75">
      <c r="A1423" s="1"/>
      <c r="B1423" s="2"/>
      <c r="C1423" s="2"/>
      <c r="D1423" s="2"/>
      <c r="E1423" s="2"/>
      <c r="F1423" s="2"/>
      <c r="G1423" s="1"/>
      <c r="H1423" s="1"/>
      <c r="I1423" s="7">
        <v>1.42</v>
      </c>
      <c r="J1423" s="7">
        <f>IF((I1423-ROUNDDOWN(I1423,0))=0, 0, (I1423-ROUNDDOWN(I1423,0)))</f>
      </c>
      <c r="K1423" s="7">
        <f>INDIRECT("C$"&amp;2+MIN(2,ROUNDDOWN(I1423,0))*3)*(-$J1423^3+3*$J1423^2-3*$J1423+1)+INDIRECT("C$"&amp;3+MIN(2,ROUNDDOWN(I1423,0))*3)*(3*$J1423^3-6*$J1423^2+3*$J1423)+INDIRECT("C$"&amp;4+MIN(2,ROUNDDOWN(I1423,0))*3)*(-3*$J1423^3+3*$J1423^2)+INDIRECT("C$"&amp;5+MIN(2,ROUNDDOWN(I1423,0))*3)*$J1423^3</f>
      </c>
      <c r="L1423" s="7">
        <f>INDIRECT("D$"&amp;2+MIN(2,ROUNDDOWN(I1423,0))*3)*(-$J1423^3+3*$J1423^2-3*$J1423+1)+INDIRECT("D$"&amp;3+MIN(2,ROUNDDOWN(I1423,0))*3)*(3*$J1423^3-6*$J1423^2+3*$J1423)+INDIRECT("D$"&amp;4+MIN(2,ROUNDDOWN(I1423,0))*3)*(-3*$J1423^3+3*$J1423^2)+INDIRECT("D$"&amp;5+MIN(2,ROUNDDOWN(I1423,0))*3)*$J1423^3</f>
      </c>
      <c r="M1423" s="7">
        <f>SQRT(K1423^2+L1423^2)</f>
      </c>
      <c r="N1423" s="7">
        <f>(K1424-K1422)</f>
      </c>
      <c r="O1423" s="7">
        <f>+(L1424-L1422)</f>
      </c>
      <c r="P1423" s="7">
        <f>SQRT(O1423^2+N1423^2)</f>
      </c>
      <c r="Q1423" s="7">
        <f>N1423/$P1423</f>
      </c>
      <c r="R1423" s="7">
        <f>O1423/$P1423</f>
      </c>
      <c r="S1423" s="8">
        <f>Q1423^2+R1423^2</f>
      </c>
      <c r="T1423" s="7">
        <f>-R1423</f>
      </c>
      <c r="U1423" s="7">
        <f>Q1423</f>
      </c>
      <c r="V1423" s="7">
        <f>($C$14+($C$15-$C$14)/($D$15-$D$14)*(I1423-$D$14))/2</f>
      </c>
      <c r="W1423" s="7">
        <f>($B$22*I1423^4+$C$22*I1423^3+$D$22*I1423^2+$E$22*I1423+$F$22)/2</f>
      </c>
      <c r="X1423" s="7">
        <f>($W1423)*(T1423)</f>
      </c>
      <c r="Y1423" s="7">
        <f>($W1423)*(U1423)</f>
      </c>
      <c r="Z1423" s="7">
        <f>SQRT(X1423^2+Y1423^2)</f>
      </c>
      <c r="AA1423" s="7">
        <f>$K1423+$X1423</f>
      </c>
      <c r="AB1423" s="7">
        <f>$L1423+$Y1423</f>
      </c>
      <c r="AC1423" s="7">
        <f>$K1423-$X1423</f>
      </c>
      <c r="AD1423" s="7">
        <f>$L1423-$Y1423</f>
      </c>
      <c r="AE1423" s="7">
        <f>AA1423/39.3701</f>
      </c>
      <c r="AF1423" s="7">
        <f>AB1423/39.3701</f>
      </c>
      <c r="AG1423" s="7">
        <f>AC1423/39.3701</f>
      </c>
      <c r="AH1423" s="7">
        <f>AD1423/39.3701</f>
      </c>
      <c r="AI1423" s="1"/>
      <c r="AJ1423" s="1"/>
      <c r="AK1423" s="1"/>
      <c r="AL1423" s="1"/>
      <c r="AM1423" s="2"/>
      <c r="AN1423" s="1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  <c r="BA1423" s="1"/>
      <c r="BB1423" s="1"/>
      <c r="BC1423" s="1"/>
      <c r="BD1423" s="1"/>
      <c r="BE1423" s="1"/>
    </row>
    <row x14ac:dyDescent="0.25" r="1424" customHeight="1" ht="18.75">
      <c r="A1424" s="1"/>
      <c r="B1424" s="2"/>
      <c r="C1424" s="2"/>
      <c r="D1424" s="2"/>
      <c r="E1424" s="2"/>
      <c r="F1424" s="2"/>
      <c r="G1424" s="1"/>
      <c r="H1424" s="1"/>
      <c r="I1424" s="7">
        <v>1.421</v>
      </c>
      <c r="J1424" s="7">
        <f>IF((I1424-ROUNDDOWN(I1424,0))=0, 0, (I1424-ROUNDDOWN(I1424,0)))</f>
      </c>
      <c r="K1424" s="7">
        <f>INDIRECT("C$"&amp;2+MIN(2,ROUNDDOWN(I1424,0))*3)*(-$J1424^3+3*$J1424^2-3*$J1424+1)+INDIRECT("C$"&amp;3+MIN(2,ROUNDDOWN(I1424,0))*3)*(3*$J1424^3-6*$J1424^2+3*$J1424)+INDIRECT("C$"&amp;4+MIN(2,ROUNDDOWN(I1424,0))*3)*(-3*$J1424^3+3*$J1424^2)+INDIRECT("C$"&amp;5+MIN(2,ROUNDDOWN(I1424,0))*3)*$J1424^3</f>
      </c>
      <c r="L1424" s="7">
        <f>INDIRECT("D$"&amp;2+MIN(2,ROUNDDOWN(I1424,0))*3)*(-$J1424^3+3*$J1424^2-3*$J1424+1)+INDIRECT("D$"&amp;3+MIN(2,ROUNDDOWN(I1424,0))*3)*(3*$J1424^3-6*$J1424^2+3*$J1424)+INDIRECT("D$"&amp;4+MIN(2,ROUNDDOWN(I1424,0))*3)*(-3*$J1424^3+3*$J1424^2)+INDIRECT("D$"&amp;5+MIN(2,ROUNDDOWN(I1424,0))*3)*$J1424^3</f>
      </c>
      <c r="M1424" s="7">
        <f>SQRT(K1424^2+L1424^2)</f>
      </c>
      <c r="N1424" s="7">
        <f>(K1425-K1423)</f>
      </c>
      <c r="O1424" s="7">
        <f>+(L1425-L1423)</f>
      </c>
      <c r="P1424" s="7">
        <f>SQRT(O1424^2+N1424^2)</f>
      </c>
      <c r="Q1424" s="7">
        <f>N1424/$P1424</f>
      </c>
      <c r="R1424" s="7">
        <f>O1424/$P1424</f>
      </c>
      <c r="S1424" s="7">
        <f>Q1424^2+R1424^2</f>
      </c>
      <c r="T1424" s="7">
        <f>-R1424</f>
      </c>
      <c r="U1424" s="7">
        <f>Q1424</f>
      </c>
      <c r="V1424" s="7">
        <f>($C$14+($C$15-$C$14)/($D$15-$D$14)*(I1424-$D$14))/2</f>
      </c>
      <c r="W1424" s="7">
        <f>($B$22*I1424^4+$C$22*I1424^3+$D$22*I1424^2+$E$22*I1424+$F$22)/2</f>
      </c>
      <c r="X1424" s="7">
        <f>($W1424)*(T1424)</f>
      </c>
      <c r="Y1424" s="7">
        <f>($W1424)*(U1424)</f>
      </c>
      <c r="Z1424" s="7">
        <f>SQRT(X1424^2+Y1424^2)</f>
      </c>
      <c r="AA1424" s="7">
        <f>$K1424+$X1424</f>
      </c>
      <c r="AB1424" s="7">
        <f>$L1424+$Y1424</f>
      </c>
      <c r="AC1424" s="7">
        <f>$K1424-$X1424</f>
      </c>
      <c r="AD1424" s="7">
        <f>$L1424-$Y1424</f>
      </c>
      <c r="AE1424" s="7">
        <f>AA1424/39.3701</f>
      </c>
      <c r="AF1424" s="7">
        <f>AB1424/39.3701</f>
      </c>
      <c r="AG1424" s="7">
        <f>AC1424/39.3701</f>
      </c>
      <c r="AH1424" s="7">
        <f>AD1424/39.3701</f>
      </c>
      <c r="AI1424" s="1"/>
      <c r="AJ1424" s="1"/>
      <c r="AK1424" s="1"/>
      <c r="AL1424" s="1"/>
      <c r="AM1424" s="2"/>
      <c r="AN1424" s="1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  <c r="BA1424" s="1"/>
      <c r="BB1424" s="1"/>
      <c r="BC1424" s="1"/>
      <c r="BD1424" s="1"/>
      <c r="BE1424" s="1"/>
    </row>
    <row x14ac:dyDescent="0.25" r="1425" customHeight="1" ht="18.75">
      <c r="A1425" s="1"/>
      <c r="B1425" s="2"/>
      <c r="C1425" s="2"/>
      <c r="D1425" s="2"/>
      <c r="E1425" s="2"/>
      <c r="F1425" s="2"/>
      <c r="G1425" s="1"/>
      <c r="H1425" s="1"/>
      <c r="I1425" s="7">
        <v>1.422</v>
      </c>
      <c r="J1425" s="7">
        <f>IF((I1425-ROUNDDOWN(I1425,0))=0, 0, (I1425-ROUNDDOWN(I1425,0)))</f>
      </c>
      <c r="K1425" s="7">
        <f>INDIRECT("C$"&amp;2+MIN(2,ROUNDDOWN(I1425,0))*3)*(-$J1425^3+3*$J1425^2-3*$J1425+1)+INDIRECT("C$"&amp;3+MIN(2,ROUNDDOWN(I1425,0))*3)*(3*$J1425^3-6*$J1425^2+3*$J1425)+INDIRECT("C$"&amp;4+MIN(2,ROUNDDOWN(I1425,0))*3)*(-3*$J1425^3+3*$J1425^2)+INDIRECT("C$"&amp;5+MIN(2,ROUNDDOWN(I1425,0))*3)*$J1425^3</f>
      </c>
      <c r="L1425" s="7">
        <f>INDIRECT("D$"&amp;2+MIN(2,ROUNDDOWN(I1425,0))*3)*(-$J1425^3+3*$J1425^2-3*$J1425+1)+INDIRECT("D$"&amp;3+MIN(2,ROUNDDOWN(I1425,0))*3)*(3*$J1425^3-6*$J1425^2+3*$J1425)+INDIRECT("D$"&amp;4+MIN(2,ROUNDDOWN(I1425,0))*3)*(-3*$J1425^3+3*$J1425^2)+INDIRECT("D$"&amp;5+MIN(2,ROUNDDOWN(I1425,0))*3)*$J1425^3</f>
      </c>
      <c r="M1425" s="7">
        <f>SQRT(K1425^2+L1425^2)</f>
      </c>
      <c r="N1425" s="7">
        <f>(K1426-K1424)</f>
      </c>
      <c r="O1425" s="7">
        <f>+(L1426-L1424)</f>
      </c>
      <c r="P1425" s="7">
        <f>SQRT(O1425^2+N1425^2)</f>
      </c>
      <c r="Q1425" s="7">
        <f>N1425/$P1425</f>
      </c>
      <c r="R1425" s="7">
        <f>O1425/$P1425</f>
      </c>
      <c r="S1425" s="8">
        <f>Q1425^2+R1425^2</f>
      </c>
      <c r="T1425" s="7">
        <f>-R1425</f>
      </c>
      <c r="U1425" s="7">
        <f>Q1425</f>
      </c>
      <c r="V1425" s="7">
        <f>($C$14+($C$15-$C$14)/($D$15-$D$14)*(I1425-$D$14))/2</f>
      </c>
      <c r="W1425" s="7">
        <f>($B$22*I1425^4+$C$22*I1425^3+$D$22*I1425^2+$E$22*I1425+$F$22)/2</f>
      </c>
      <c r="X1425" s="7">
        <f>($W1425)*(T1425)</f>
      </c>
      <c r="Y1425" s="7">
        <f>($W1425)*(U1425)</f>
      </c>
      <c r="Z1425" s="7">
        <f>SQRT(X1425^2+Y1425^2)</f>
      </c>
      <c r="AA1425" s="7">
        <f>$K1425+$X1425</f>
      </c>
      <c r="AB1425" s="7">
        <f>$L1425+$Y1425</f>
      </c>
      <c r="AC1425" s="7">
        <f>$K1425-$X1425</f>
      </c>
      <c r="AD1425" s="7">
        <f>$L1425-$Y1425</f>
      </c>
      <c r="AE1425" s="7">
        <f>AA1425/39.3701</f>
      </c>
      <c r="AF1425" s="7">
        <f>AB1425/39.3701</f>
      </c>
      <c r="AG1425" s="7">
        <f>AC1425/39.3701</f>
      </c>
      <c r="AH1425" s="7">
        <f>AD1425/39.3701</f>
      </c>
      <c r="AI1425" s="1"/>
      <c r="AJ1425" s="1"/>
      <c r="AK1425" s="1"/>
      <c r="AL1425" s="1"/>
      <c r="AM1425" s="2"/>
      <c r="AN1425" s="1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  <c r="BA1425" s="1"/>
      <c r="BB1425" s="1"/>
      <c r="BC1425" s="1"/>
      <c r="BD1425" s="1"/>
      <c r="BE1425" s="1"/>
    </row>
    <row x14ac:dyDescent="0.25" r="1426" customHeight="1" ht="18.75">
      <c r="A1426" s="1"/>
      <c r="B1426" s="2"/>
      <c r="C1426" s="2"/>
      <c r="D1426" s="2"/>
      <c r="E1426" s="2"/>
      <c r="F1426" s="2"/>
      <c r="G1426" s="1"/>
      <c r="H1426" s="1"/>
      <c r="I1426" s="7">
        <v>1.423</v>
      </c>
      <c r="J1426" s="7">
        <f>IF((I1426-ROUNDDOWN(I1426,0))=0, 0, (I1426-ROUNDDOWN(I1426,0)))</f>
      </c>
      <c r="K1426" s="7">
        <f>INDIRECT("C$"&amp;2+MIN(2,ROUNDDOWN(I1426,0))*3)*(-$J1426^3+3*$J1426^2-3*$J1426+1)+INDIRECT("C$"&amp;3+MIN(2,ROUNDDOWN(I1426,0))*3)*(3*$J1426^3-6*$J1426^2+3*$J1426)+INDIRECT("C$"&amp;4+MIN(2,ROUNDDOWN(I1426,0))*3)*(-3*$J1426^3+3*$J1426^2)+INDIRECT("C$"&amp;5+MIN(2,ROUNDDOWN(I1426,0))*3)*$J1426^3</f>
      </c>
      <c r="L1426" s="7">
        <f>INDIRECT("D$"&amp;2+MIN(2,ROUNDDOWN(I1426,0))*3)*(-$J1426^3+3*$J1426^2-3*$J1426+1)+INDIRECT("D$"&amp;3+MIN(2,ROUNDDOWN(I1426,0))*3)*(3*$J1426^3-6*$J1426^2+3*$J1426)+INDIRECT("D$"&amp;4+MIN(2,ROUNDDOWN(I1426,0))*3)*(-3*$J1426^3+3*$J1426^2)+INDIRECT("D$"&amp;5+MIN(2,ROUNDDOWN(I1426,0))*3)*$J1426^3</f>
      </c>
      <c r="M1426" s="7">
        <f>SQRT(K1426^2+L1426^2)</f>
      </c>
      <c r="N1426" s="7">
        <f>(K1427-K1425)</f>
      </c>
      <c r="O1426" s="7">
        <f>+(L1427-L1425)</f>
      </c>
      <c r="P1426" s="7">
        <f>SQRT(O1426^2+N1426^2)</f>
      </c>
      <c r="Q1426" s="7">
        <f>N1426/$P1426</f>
      </c>
      <c r="R1426" s="7">
        <f>O1426/$P1426</f>
      </c>
      <c r="S1426" s="8">
        <f>Q1426^2+R1426^2</f>
      </c>
      <c r="T1426" s="7">
        <f>-R1426</f>
      </c>
      <c r="U1426" s="7">
        <f>Q1426</f>
      </c>
      <c r="V1426" s="7">
        <f>($C$14+($C$15-$C$14)/($D$15-$D$14)*(I1426-$D$14))/2</f>
      </c>
      <c r="W1426" s="7">
        <f>($B$22*I1426^4+$C$22*I1426^3+$D$22*I1426^2+$E$22*I1426+$F$22)/2</f>
      </c>
      <c r="X1426" s="7">
        <f>($W1426)*(T1426)</f>
      </c>
      <c r="Y1426" s="7">
        <f>($W1426)*(U1426)</f>
      </c>
      <c r="Z1426" s="7">
        <f>SQRT(X1426^2+Y1426^2)</f>
      </c>
      <c r="AA1426" s="7">
        <f>$K1426+$X1426</f>
      </c>
      <c r="AB1426" s="7">
        <f>$L1426+$Y1426</f>
      </c>
      <c r="AC1426" s="7">
        <f>$K1426-$X1426</f>
      </c>
      <c r="AD1426" s="7">
        <f>$L1426-$Y1426</f>
      </c>
      <c r="AE1426" s="7">
        <f>AA1426/39.3701</f>
      </c>
      <c r="AF1426" s="7">
        <f>AB1426/39.3701</f>
      </c>
      <c r="AG1426" s="7">
        <f>AC1426/39.3701</f>
      </c>
      <c r="AH1426" s="7">
        <f>AD1426/39.3701</f>
      </c>
      <c r="AI1426" s="1"/>
      <c r="AJ1426" s="1"/>
      <c r="AK1426" s="1"/>
      <c r="AL1426" s="1"/>
      <c r="AM1426" s="2"/>
      <c r="AN1426" s="1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  <c r="BA1426" s="1"/>
      <c r="BB1426" s="1"/>
      <c r="BC1426" s="1"/>
      <c r="BD1426" s="1"/>
      <c r="BE1426" s="1"/>
    </row>
    <row x14ac:dyDescent="0.25" r="1427" customHeight="1" ht="18.75">
      <c r="A1427" s="1"/>
      <c r="B1427" s="2"/>
      <c r="C1427" s="2"/>
      <c r="D1427" s="2"/>
      <c r="E1427" s="2"/>
      <c r="F1427" s="2"/>
      <c r="G1427" s="1"/>
      <c r="H1427" s="1"/>
      <c r="I1427" s="7">
        <v>1.424</v>
      </c>
      <c r="J1427" s="7">
        <f>IF((I1427-ROUNDDOWN(I1427,0))=0, 0, (I1427-ROUNDDOWN(I1427,0)))</f>
      </c>
      <c r="K1427" s="7">
        <f>INDIRECT("C$"&amp;2+MIN(2,ROUNDDOWN(I1427,0))*3)*(-$J1427^3+3*$J1427^2-3*$J1427+1)+INDIRECT("C$"&amp;3+MIN(2,ROUNDDOWN(I1427,0))*3)*(3*$J1427^3-6*$J1427^2+3*$J1427)+INDIRECT("C$"&amp;4+MIN(2,ROUNDDOWN(I1427,0))*3)*(-3*$J1427^3+3*$J1427^2)+INDIRECT("C$"&amp;5+MIN(2,ROUNDDOWN(I1427,0))*3)*$J1427^3</f>
      </c>
      <c r="L1427" s="7">
        <f>INDIRECT("D$"&amp;2+MIN(2,ROUNDDOWN(I1427,0))*3)*(-$J1427^3+3*$J1427^2-3*$J1427+1)+INDIRECT("D$"&amp;3+MIN(2,ROUNDDOWN(I1427,0))*3)*(3*$J1427^3-6*$J1427^2+3*$J1427)+INDIRECT("D$"&amp;4+MIN(2,ROUNDDOWN(I1427,0))*3)*(-3*$J1427^3+3*$J1427^2)+INDIRECT("D$"&amp;5+MIN(2,ROUNDDOWN(I1427,0))*3)*$J1427^3</f>
      </c>
      <c r="M1427" s="7">
        <f>SQRT(K1427^2+L1427^2)</f>
      </c>
      <c r="N1427" s="7">
        <f>(K1428-K1426)</f>
      </c>
      <c r="O1427" s="7">
        <f>+(L1428-L1426)</f>
      </c>
      <c r="P1427" s="7">
        <f>SQRT(O1427^2+N1427^2)</f>
      </c>
      <c r="Q1427" s="7">
        <f>N1427/$P1427</f>
      </c>
      <c r="R1427" s="7">
        <f>O1427/$P1427</f>
      </c>
      <c r="S1427" s="8">
        <f>Q1427^2+R1427^2</f>
      </c>
      <c r="T1427" s="7">
        <f>-R1427</f>
      </c>
      <c r="U1427" s="7">
        <f>Q1427</f>
      </c>
      <c r="V1427" s="7">
        <f>($C$14+($C$15-$C$14)/($D$15-$D$14)*(I1427-$D$14))/2</f>
      </c>
      <c r="W1427" s="7">
        <f>($B$22*I1427^4+$C$22*I1427^3+$D$22*I1427^2+$E$22*I1427+$F$22)/2</f>
      </c>
      <c r="X1427" s="7">
        <f>($W1427)*(T1427)</f>
      </c>
      <c r="Y1427" s="7">
        <f>($W1427)*(U1427)</f>
      </c>
      <c r="Z1427" s="7">
        <f>SQRT(X1427^2+Y1427^2)</f>
      </c>
      <c r="AA1427" s="7">
        <f>$K1427+$X1427</f>
      </c>
      <c r="AB1427" s="7">
        <f>$L1427+$Y1427</f>
      </c>
      <c r="AC1427" s="7">
        <f>$K1427-$X1427</f>
      </c>
      <c r="AD1427" s="7">
        <f>$L1427-$Y1427</f>
      </c>
      <c r="AE1427" s="7">
        <f>AA1427/39.3701</f>
      </c>
      <c r="AF1427" s="7">
        <f>AB1427/39.3701</f>
      </c>
      <c r="AG1427" s="7">
        <f>AC1427/39.3701</f>
      </c>
      <c r="AH1427" s="7">
        <f>AD1427/39.3701</f>
      </c>
      <c r="AI1427" s="1"/>
      <c r="AJ1427" s="1"/>
      <c r="AK1427" s="1"/>
      <c r="AL1427" s="1"/>
      <c r="AM1427" s="2"/>
      <c r="AN1427" s="1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  <c r="BA1427" s="1"/>
      <c r="BB1427" s="1"/>
      <c r="BC1427" s="1"/>
      <c r="BD1427" s="1"/>
      <c r="BE1427" s="1"/>
    </row>
    <row x14ac:dyDescent="0.25" r="1428" customHeight="1" ht="18.75">
      <c r="A1428" s="1"/>
      <c r="B1428" s="2"/>
      <c r="C1428" s="2"/>
      <c r="D1428" s="2"/>
      <c r="E1428" s="2"/>
      <c r="F1428" s="2"/>
      <c r="G1428" s="1"/>
      <c r="H1428" s="1"/>
      <c r="I1428" s="7">
        <v>1.425</v>
      </c>
      <c r="J1428" s="7">
        <f>IF((I1428-ROUNDDOWN(I1428,0))=0, 0, (I1428-ROUNDDOWN(I1428,0)))</f>
      </c>
      <c r="K1428" s="7">
        <f>INDIRECT("C$"&amp;2+MIN(2,ROUNDDOWN(I1428,0))*3)*(-$J1428^3+3*$J1428^2-3*$J1428+1)+INDIRECT("C$"&amp;3+MIN(2,ROUNDDOWN(I1428,0))*3)*(3*$J1428^3-6*$J1428^2+3*$J1428)+INDIRECT("C$"&amp;4+MIN(2,ROUNDDOWN(I1428,0))*3)*(-3*$J1428^3+3*$J1428^2)+INDIRECT("C$"&amp;5+MIN(2,ROUNDDOWN(I1428,0))*3)*$J1428^3</f>
      </c>
      <c r="L1428" s="7">
        <f>INDIRECT("D$"&amp;2+MIN(2,ROUNDDOWN(I1428,0))*3)*(-$J1428^3+3*$J1428^2-3*$J1428+1)+INDIRECT("D$"&amp;3+MIN(2,ROUNDDOWN(I1428,0))*3)*(3*$J1428^3-6*$J1428^2+3*$J1428)+INDIRECT("D$"&amp;4+MIN(2,ROUNDDOWN(I1428,0))*3)*(-3*$J1428^3+3*$J1428^2)+INDIRECT("D$"&amp;5+MIN(2,ROUNDDOWN(I1428,0))*3)*$J1428^3</f>
      </c>
      <c r="M1428" s="7">
        <f>SQRT(K1428^2+L1428^2)</f>
      </c>
      <c r="N1428" s="7">
        <f>(K1429-K1427)</f>
      </c>
      <c r="O1428" s="7">
        <f>+(L1429-L1427)</f>
      </c>
      <c r="P1428" s="7">
        <f>SQRT(O1428^2+N1428^2)</f>
      </c>
      <c r="Q1428" s="7">
        <f>N1428/$P1428</f>
      </c>
      <c r="R1428" s="7">
        <f>O1428/$P1428</f>
      </c>
      <c r="S1428" s="7">
        <f>Q1428^2+R1428^2</f>
      </c>
      <c r="T1428" s="7">
        <f>-R1428</f>
      </c>
      <c r="U1428" s="7">
        <f>Q1428</f>
      </c>
      <c r="V1428" s="7">
        <f>($C$14+($C$15-$C$14)/($D$15-$D$14)*(I1428-$D$14))/2</f>
      </c>
      <c r="W1428" s="7">
        <f>($B$22*I1428^4+$C$22*I1428^3+$D$22*I1428^2+$E$22*I1428+$F$22)/2</f>
      </c>
      <c r="X1428" s="7">
        <f>($W1428)*(T1428)</f>
      </c>
      <c r="Y1428" s="7">
        <f>($W1428)*(U1428)</f>
      </c>
      <c r="Z1428" s="7">
        <f>SQRT(X1428^2+Y1428^2)</f>
      </c>
      <c r="AA1428" s="7">
        <f>$K1428+$X1428</f>
      </c>
      <c r="AB1428" s="7">
        <f>$L1428+$Y1428</f>
      </c>
      <c r="AC1428" s="7">
        <f>$K1428-$X1428</f>
      </c>
      <c r="AD1428" s="7">
        <f>$L1428-$Y1428</f>
      </c>
      <c r="AE1428" s="7">
        <f>AA1428/39.3701</f>
      </c>
      <c r="AF1428" s="7">
        <f>AB1428/39.3701</f>
      </c>
      <c r="AG1428" s="7">
        <f>AC1428/39.3701</f>
      </c>
      <c r="AH1428" s="7">
        <f>AD1428/39.3701</f>
      </c>
      <c r="AI1428" s="1"/>
      <c r="AJ1428" s="1"/>
      <c r="AK1428" s="1"/>
      <c r="AL1428" s="1"/>
      <c r="AM1428" s="2"/>
      <c r="AN1428" s="1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  <c r="BA1428" s="1"/>
      <c r="BB1428" s="1"/>
      <c r="BC1428" s="1"/>
      <c r="BD1428" s="1"/>
      <c r="BE1428" s="1"/>
    </row>
    <row x14ac:dyDescent="0.25" r="1429" customHeight="1" ht="18.75">
      <c r="A1429" s="1"/>
      <c r="B1429" s="2"/>
      <c r="C1429" s="2"/>
      <c r="D1429" s="2"/>
      <c r="E1429" s="2"/>
      <c r="F1429" s="2"/>
      <c r="G1429" s="1"/>
      <c r="H1429" s="1"/>
      <c r="I1429" s="7">
        <v>1.426</v>
      </c>
      <c r="J1429" s="7">
        <f>IF((I1429-ROUNDDOWN(I1429,0))=0, 0, (I1429-ROUNDDOWN(I1429,0)))</f>
      </c>
      <c r="K1429" s="7">
        <f>INDIRECT("C$"&amp;2+MIN(2,ROUNDDOWN(I1429,0))*3)*(-$J1429^3+3*$J1429^2-3*$J1429+1)+INDIRECT("C$"&amp;3+MIN(2,ROUNDDOWN(I1429,0))*3)*(3*$J1429^3-6*$J1429^2+3*$J1429)+INDIRECT("C$"&amp;4+MIN(2,ROUNDDOWN(I1429,0))*3)*(-3*$J1429^3+3*$J1429^2)+INDIRECT("C$"&amp;5+MIN(2,ROUNDDOWN(I1429,0))*3)*$J1429^3</f>
      </c>
      <c r="L1429" s="7">
        <f>INDIRECT("D$"&amp;2+MIN(2,ROUNDDOWN(I1429,0))*3)*(-$J1429^3+3*$J1429^2-3*$J1429+1)+INDIRECT("D$"&amp;3+MIN(2,ROUNDDOWN(I1429,0))*3)*(3*$J1429^3-6*$J1429^2+3*$J1429)+INDIRECT("D$"&amp;4+MIN(2,ROUNDDOWN(I1429,0))*3)*(-3*$J1429^3+3*$J1429^2)+INDIRECT("D$"&amp;5+MIN(2,ROUNDDOWN(I1429,0))*3)*$J1429^3</f>
      </c>
      <c r="M1429" s="7">
        <f>SQRT(K1429^2+L1429^2)</f>
      </c>
      <c r="N1429" s="7">
        <f>(K1430-K1428)</f>
      </c>
      <c r="O1429" s="7">
        <f>+(L1430-L1428)</f>
      </c>
      <c r="P1429" s="7">
        <f>SQRT(O1429^2+N1429^2)</f>
      </c>
      <c r="Q1429" s="7">
        <f>N1429/$P1429</f>
      </c>
      <c r="R1429" s="7">
        <f>O1429/$P1429</f>
      </c>
      <c r="S1429" s="7">
        <f>Q1429^2+R1429^2</f>
      </c>
      <c r="T1429" s="7">
        <f>-R1429</f>
      </c>
      <c r="U1429" s="7">
        <f>Q1429</f>
      </c>
      <c r="V1429" s="7">
        <f>($C$14+($C$15-$C$14)/($D$15-$D$14)*(I1429-$D$14))/2</f>
      </c>
      <c r="W1429" s="7">
        <f>($B$22*I1429^4+$C$22*I1429^3+$D$22*I1429^2+$E$22*I1429+$F$22)/2</f>
      </c>
      <c r="X1429" s="7">
        <f>($W1429)*(T1429)</f>
      </c>
      <c r="Y1429" s="7">
        <f>($W1429)*(U1429)</f>
      </c>
      <c r="Z1429" s="7">
        <f>SQRT(X1429^2+Y1429^2)</f>
      </c>
      <c r="AA1429" s="7">
        <f>$K1429+$X1429</f>
      </c>
      <c r="AB1429" s="7">
        <f>$L1429+$Y1429</f>
      </c>
      <c r="AC1429" s="7">
        <f>$K1429-$X1429</f>
      </c>
      <c r="AD1429" s="7">
        <f>$L1429-$Y1429</f>
      </c>
      <c r="AE1429" s="7">
        <f>AA1429/39.3701</f>
      </c>
      <c r="AF1429" s="7">
        <f>AB1429/39.3701</f>
      </c>
      <c r="AG1429" s="7">
        <f>AC1429/39.3701</f>
      </c>
      <c r="AH1429" s="7">
        <f>AD1429/39.3701</f>
      </c>
      <c r="AI1429" s="1"/>
      <c r="AJ1429" s="1"/>
      <c r="AK1429" s="1"/>
      <c r="AL1429" s="1"/>
      <c r="AM1429" s="2"/>
      <c r="AN1429" s="1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  <c r="BA1429" s="1"/>
      <c r="BB1429" s="1"/>
      <c r="BC1429" s="1"/>
      <c r="BD1429" s="1"/>
      <c r="BE1429" s="1"/>
    </row>
    <row x14ac:dyDescent="0.25" r="1430" customHeight="1" ht="18.75">
      <c r="A1430" s="1"/>
      <c r="B1430" s="2"/>
      <c r="C1430" s="2"/>
      <c r="D1430" s="2"/>
      <c r="E1430" s="2"/>
      <c r="F1430" s="2"/>
      <c r="G1430" s="1"/>
      <c r="H1430" s="1"/>
      <c r="I1430" s="7">
        <v>1.427</v>
      </c>
      <c r="J1430" s="7">
        <f>IF((I1430-ROUNDDOWN(I1430,0))=0, 0, (I1430-ROUNDDOWN(I1430,0)))</f>
      </c>
      <c r="K1430" s="7">
        <f>INDIRECT("C$"&amp;2+MIN(2,ROUNDDOWN(I1430,0))*3)*(-$J1430^3+3*$J1430^2-3*$J1430+1)+INDIRECT("C$"&amp;3+MIN(2,ROUNDDOWN(I1430,0))*3)*(3*$J1430^3-6*$J1430^2+3*$J1430)+INDIRECT("C$"&amp;4+MIN(2,ROUNDDOWN(I1430,0))*3)*(-3*$J1430^3+3*$J1430^2)+INDIRECT("C$"&amp;5+MIN(2,ROUNDDOWN(I1430,0))*3)*$J1430^3</f>
      </c>
      <c r="L1430" s="7">
        <f>INDIRECT("D$"&amp;2+MIN(2,ROUNDDOWN(I1430,0))*3)*(-$J1430^3+3*$J1430^2-3*$J1430+1)+INDIRECT("D$"&amp;3+MIN(2,ROUNDDOWN(I1430,0))*3)*(3*$J1430^3-6*$J1430^2+3*$J1430)+INDIRECT("D$"&amp;4+MIN(2,ROUNDDOWN(I1430,0))*3)*(-3*$J1430^3+3*$J1430^2)+INDIRECT("D$"&amp;5+MIN(2,ROUNDDOWN(I1430,0))*3)*$J1430^3</f>
      </c>
      <c r="M1430" s="7">
        <f>SQRT(K1430^2+L1430^2)</f>
      </c>
      <c r="N1430" s="7">
        <f>(K1431-K1429)</f>
      </c>
      <c r="O1430" s="7">
        <f>+(L1431-L1429)</f>
      </c>
      <c r="P1430" s="7">
        <f>SQRT(O1430^2+N1430^2)</f>
      </c>
      <c r="Q1430" s="7">
        <f>N1430/$P1430</f>
      </c>
      <c r="R1430" s="7">
        <f>O1430/$P1430</f>
      </c>
      <c r="S1430" s="8">
        <f>Q1430^2+R1430^2</f>
      </c>
      <c r="T1430" s="7">
        <f>-R1430</f>
      </c>
      <c r="U1430" s="7">
        <f>Q1430</f>
      </c>
      <c r="V1430" s="7">
        <f>($C$14+($C$15-$C$14)/($D$15-$D$14)*(I1430-$D$14))/2</f>
      </c>
      <c r="W1430" s="7">
        <f>($B$22*I1430^4+$C$22*I1430^3+$D$22*I1430^2+$E$22*I1430+$F$22)/2</f>
      </c>
      <c r="X1430" s="7">
        <f>($W1430)*(T1430)</f>
      </c>
      <c r="Y1430" s="7">
        <f>($W1430)*(U1430)</f>
      </c>
      <c r="Z1430" s="7">
        <f>SQRT(X1430^2+Y1430^2)</f>
      </c>
      <c r="AA1430" s="7">
        <f>$K1430+$X1430</f>
      </c>
      <c r="AB1430" s="7">
        <f>$L1430+$Y1430</f>
      </c>
      <c r="AC1430" s="7">
        <f>$K1430-$X1430</f>
      </c>
      <c r="AD1430" s="7">
        <f>$L1430-$Y1430</f>
      </c>
      <c r="AE1430" s="7">
        <f>AA1430/39.3701</f>
      </c>
      <c r="AF1430" s="7">
        <f>AB1430/39.3701</f>
      </c>
      <c r="AG1430" s="7">
        <f>AC1430/39.3701</f>
      </c>
      <c r="AH1430" s="7">
        <f>AD1430/39.3701</f>
      </c>
      <c r="AI1430" s="1"/>
      <c r="AJ1430" s="1"/>
      <c r="AK1430" s="1"/>
      <c r="AL1430" s="1"/>
      <c r="AM1430" s="2"/>
      <c r="AN1430" s="1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  <c r="BA1430" s="1"/>
      <c r="BB1430" s="1"/>
      <c r="BC1430" s="1"/>
      <c r="BD1430" s="1"/>
      <c r="BE1430" s="1"/>
    </row>
    <row x14ac:dyDescent="0.25" r="1431" customHeight="1" ht="18.75">
      <c r="A1431" s="1"/>
      <c r="B1431" s="2"/>
      <c r="C1431" s="2"/>
      <c r="D1431" s="2"/>
      <c r="E1431" s="2"/>
      <c r="F1431" s="2"/>
      <c r="G1431" s="1"/>
      <c r="H1431" s="1"/>
      <c r="I1431" s="7">
        <v>1.428</v>
      </c>
      <c r="J1431" s="7">
        <f>IF((I1431-ROUNDDOWN(I1431,0))=0, 0, (I1431-ROUNDDOWN(I1431,0)))</f>
      </c>
      <c r="K1431" s="7">
        <f>INDIRECT("C$"&amp;2+MIN(2,ROUNDDOWN(I1431,0))*3)*(-$J1431^3+3*$J1431^2-3*$J1431+1)+INDIRECT("C$"&amp;3+MIN(2,ROUNDDOWN(I1431,0))*3)*(3*$J1431^3-6*$J1431^2+3*$J1431)+INDIRECT("C$"&amp;4+MIN(2,ROUNDDOWN(I1431,0))*3)*(-3*$J1431^3+3*$J1431^2)+INDIRECT("C$"&amp;5+MIN(2,ROUNDDOWN(I1431,0))*3)*$J1431^3</f>
      </c>
      <c r="L1431" s="7">
        <f>INDIRECT("D$"&amp;2+MIN(2,ROUNDDOWN(I1431,0))*3)*(-$J1431^3+3*$J1431^2-3*$J1431+1)+INDIRECT("D$"&amp;3+MIN(2,ROUNDDOWN(I1431,0))*3)*(3*$J1431^3-6*$J1431^2+3*$J1431)+INDIRECT("D$"&amp;4+MIN(2,ROUNDDOWN(I1431,0))*3)*(-3*$J1431^3+3*$J1431^2)+INDIRECT("D$"&amp;5+MIN(2,ROUNDDOWN(I1431,0))*3)*$J1431^3</f>
      </c>
      <c r="M1431" s="7">
        <f>SQRT(K1431^2+L1431^2)</f>
      </c>
      <c r="N1431" s="7">
        <f>(K1432-K1430)</f>
      </c>
      <c r="O1431" s="7">
        <f>+(L1432-L1430)</f>
      </c>
      <c r="P1431" s="7">
        <f>SQRT(O1431^2+N1431^2)</f>
      </c>
      <c r="Q1431" s="7">
        <f>N1431/$P1431</f>
      </c>
      <c r="R1431" s="7">
        <f>O1431/$P1431</f>
      </c>
      <c r="S1431" s="8">
        <f>Q1431^2+R1431^2</f>
      </c>
      <c r="T1431" s="7">
        <f>-R1431</f>
      </c>
      <c r="U1431" s="7">
        <f>Q1431</f>
      </c>
      <c r="V1431" s="7">
        <f>($C$14+($C$15-$C$14)/($D$15-$D$14)*(I1431-$D$14))/2</f>
      </c>
      <c r="W1431" s="7">
        <f>($B$22*I1431^4+$C$22*I1431^3+$D$22*I1431^2+$E$22*I1431+$F$22)/2</f>
      </c>
      <c r="X1431" s="7">
        <f>($W1431)*(T1431)</f>
      </c>
      <c r="Y1431" s="7">
        <f>($W1431)*(U1431)</f>
      </c>
      <c r="Z1431" s="7">
        <f>SQRT(X1431^2+Y1431^2)</f>
      </c>
      <c r="AA1431" s="7">
        <f>$K1431+$X1431</f>
      </c>
      <c r="AB1431" s="7">
        <f>$L1431+$Y1431</f>
      </c>
      <c r="AC1431" s="7">
        <f>$K1431-$X1431</f>
      </c>
      <c r="AD1431" s="7">
        <f>$L1431-$Y1431</f>
      </c>
      <c r="AE1431" s="7">
        <f>AA1431/39.3701</f>
      </c>
      <c r="AF1431" s="7">
        <f>AB1431/39.3701</f>
      </c>
      <c r="AG1431" s="7">
        <f>AC1431/39.3701</f>
      </c>
      <c r="AH1431" s="7">
        <f>AD1431/39.3701</f>
      </c>
      <c r="AI1431" s="1"/>
      <c r="AJ1431" s="1"/>
      <c r="AK1431" s="1"/>
      <c r="AL1431" s="1"/>
      <c r="AM1431" s="2"/>
      <c r="AN1431" s="1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  <c r="BA1431" s="1"/>
      <c r="BB1431" s="1"/>
      <c r="BC1431" s="1"/>
      <c r="BD1431" s="1"/>
      <c r="BE1431" s="1"/>
    </row>
    <row x14ac:dyDescent="0.25" r="1432" customHeight="1" ht="18.75">
      <c r="A1432" s="1"/>
      <c r="B1432" s="2"/>
      <c r="C1432" s="2"/>
      <c r="D1432" s="2"/>
      <c r="E1432" s="2"/>
      <c r="F1432" s="2"/>
      <c r="G1432" s="1"/>
      <c r="H1432" s="1"/>
      <c r="I1432" s="7">
        <v>1.429</v>
      </c>
      <c r="J1432" s="7">
        <f>IF((I1432-ROUNDDOWN(I1432,0))=0, 0, (I1432-ROUNDDOWN(I1432,0)))</f>
      </c>
      <c r="K1432" s="7">
        <f>INDIRECT("C$"&amp;2+MIN(2,ROUNDDOWN(I1432,0))*3)*(-$J1432^3+3*$J1432^2-3*$J1432+1)+INDIRECT("C$"&amp;3+MIN(2,ROUNDDOWN(I1432,0))*3)*(3*$J1432^3-6*$J1432^2+3*$J1432)+INDIRECT("C$"&amp;4+MIN(2,ROUNDDOWN(I1432,0))*3)*(-3*$J1432^3+3*$J1432^2)+INDIRECT("C$"&amp;5+MIN(2,ROUNDDOWN(I1432,0))*3)*$J1432^3</f>
      </c>
      <c r="L1432" s="7">
        <f>INDIRECT("D$"&amp;2+MIN(2,ROUNDDOWN(I1432,0))*3)*(-$J1432^3+3*$J1432^2-3*$J1432+1)+INDIRECT("D$"&amp;3+MIN(2,ROUNDDOWN(I1432,0))*3)*(3*$J1432^3-6*$J1432^2+3*$J1432)+INDIRECT("D$"&amp;4+MIN(2,ROUNDDOWN(I1432,0))*3)*(-3*$J1432^3+3*$J1432^2)+INDIRECT("D$"&amp;5+MIN(2,ROUNDDOWN(I1432,0))*3)*$J1432^3</f>
      </c>
      <c r="M1432" s="7">
        <f>SQRT(K1432^2+L1432^2)</f>
      </c>
      <c r="N1432" s="7">
        <f>(K1433-K1431)</f>
      </c>
      <c r="O1432" s="7">
        <f>+(L1433-L1431)</f>
      </c>
      <c r="P1432" s="7">
        <f>SQRT(O1432^2+N1432^2)</f>
      </c>
      <c r="Q1432" s="7">
        <f>N1432/$P1432</f>
      </c>
      <c r="R1432" s="7">
        <f>O1432/$P1432</f>
      </c>
      <c r="S1432" s="8">
        <f>Q1432^2+R1432^2</f>
      </c>
      <c r="T1432" s="7">
        <f>-R1432</f>
      </c>
      <c r="U1432" s="7">
        <f>Q1432</f>
      </c>
      <c r="V1432" s="7">
        <f>($C$14+($C$15-$C$14)/($D$15-$D$14)*(I1432-$D$14))/2</f>
      </c>
      <c r="W1432" s="7">
        <f>($B$22*I1432^4+$C$22*I1432^3+$D$22*I1432^2+$E$22*I1432+$F$22)/2</f>
      </c>
      <c r="X1432" s="7">
        <f>($W1432)*(T1432)</f>
      </c>
      <c r="Y1432" s="7">
        <f>($W1432)*(U1432)</f>
      </c>
      <c r="Z1432" s="7">
        <f>SQRT(X1432^2+Y1432^2)</f>
      </c>
      <c r="AA1432" s="7">
        <f>$K1432+$X1432</f>
      </c>
      <c r="AB1432" s="7">
        <f>$L1432+$Y1432</f>
      </c>
      <c r="AC1432" s="7">
        <f>$K1432-$X1432</f>
      </c>
      <c r="AD1432" s="7">
        <f>$L1432-$Y1432</f>
      </c>
      <c r="AE1432" s="7">
        <f>AA1432/39.3701</f>
      </c>
      <c r="AF1432" s="7">
        <f>AB1432/39.3701</f>
      </c>
      <c r="AG1432" s="7">
        <f>AC1432/39.3701</f>
      </c>
      <c r="AH1432" s="7">
        <f>AD1432/39.3701</f>
      </c>
      <c r="AI1432" s="1"/>
      <c r="AJ1432" s="1"/>
      <c r="AK1432" s="1"/>
      <c r="AL1432" s="1"/>
      <c r="AM1432" s="2"/>
      <c r="AN1432" s="1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  <c r="BA1432" s="1"/>
      <c r="BB1432" s="1"/>
      <c r="BC1432" s="1"/>
      <c r="BD1432" s="1"/>
      <c r="BE1432" s="1"/>
    </row>
    <row x14ac:dyDescent="0.25" r="1433" customHeight="1" ht="18.75">
      <c r="A1433" s="1"/>
      <c r="B1433" s="2"/>
      <c r="C1433" s="2"/>
      <c r="D1433" s="2"/>
      <c r="E1433" s="2"/>
      <c r="F1433" s="2"/>
      <c r="G1433" s="1"/>
      <c r="H1433" s="1"/>
      <c r="I1433" s="7">
        <v>1.43</v>
      </c>
      <c r="J1433" s="7">
        <f>IF((I1433-ROUNDDOWN(I1433,0))=0, 0, (I1433-ROUNDDOWN(I1433,0)))</f>
      </c>
      <c r="K1433" s="7">
        <f>INDIRECT("C$"&amp;2+MIN(2,ROUNDDOWN(I1433,0))*3)*(-$J1433^3+3*$J1433^2-3*$J1433+1)+INDIRECT("C$"&amp;3+MIN(2,ROUNDDOWN(I1433,0))*3)*(3*$J1433^3-6*$J1433^2+3*$J1433)+INDIRECT("C$"&amp;4+MIN(2,ROUNDDOWN(I1433,0))*3)*(-3*$J1433^3+3*$J1433^2)+INDIRECT("C$"&amp;5+MIN(2,ROUNDDOWN(I1433,0))*3)*$J1433^3</f>
      </c>
      <c r="L1433" s="7">
        <f>INDIRECT("D$"&amp;2+MIN(2,ROUNDDOWN(I1433,0))*3)*(-$J1433^3+3*$J1433^2-3*$J1433+1)+INDIRECT("D$"&amp;3+MIN(2,ROUNDDOWN(I1433,0))*3)*(3*$J1433^3-6*$J1433^2+3*$J1433)+INDIRECT("D$"&amp;4+MIN(2,ROUNDDOWN(I1433,0))*3)*(-3*$J1433^3+3*$J1433^2)+INDIRECT("D$"&amp;5+MIN(2,ROUNDDOWN(I1433,0))*3)*$J1433^3</f>
      </c>
      <c r="M1433" s="7">
        <f>SQRT(K1433^2+L1433^2)</f>
      </c>
      <c r="N1433" s="7">
        <f>(K1434-K1432)</f>
      </c>
      <c r="O1433" s="7">
        <f>+(L1434-L1432)</f>
      </c>
      <c r="P1433" s="7">
        <f>SQRT(O1433^2+N1433^2)</f>
      </c>
      <c r="Q1433" s="7">
        <f>N1433/$P1433</f>
      </c>
      <c r="R1433" s="7">
        <f>O1433/$P1433</f>
      </c>
      <c r="S1433" s="8">
        <f>Q1433^2+R1433^2</f>
      </c>
      <c r="T1433" s="7">
        <f>-R1433</f>
      </c>
      <c r="U1433" s="7">
        <f>Q1433</f>
      </c>
      <c r="V1433" s="7">
        <f>($C$14+($C$15-$C$14)/($D$15-$D$14)*(I1433-$D$14))/2</f>
      </c>
      <c r="W1433" s="7">
        <f>($B$22*I1433^4+$C$22*I1433^3+$D$22*I1433^2+$E$22*I1433+$F$22)/2</f>
      </c>
      <c r="X1433" s="7">
        <f>($W1433)*(T1433)</f>
      </c>
      <c r="Y1433" s="7">
        <f>($W1433)*(U1433)</f>
      </c>
      <c r="Z1433" s="7">
        <f>SQRT(X1433^2+Y1433^2)</f>
      </c>
      <c r="AA1433" s="7">
        <f>$K1433+$X1433</f>
      </c>
      <c r="AB1433" s="7">
        <f>$L1433+$Y1433</f>
      </c>
      <c r="AC1433" s="7">
        <f>$K1433-$X1433</f>
      </c>
      <c r="AD1433" s="7">
        <f>$L1433-$Y1433</f>
      </c>
      <c r="AE1433" s="7">
        <f>AA1433/39.3701</f>
      </c>
      <c r="AF1433" s="7">
        <f>AB1433/39.3701</f>
      </c>
      <c r="AG1433" s="7">
        <f>AC1433/39.3701</f>
      </c>
      <c r="AH1433" s="7">
        <f>AD1433/39.3701</f>
      </c>
      <c r="AI1433" s="1"/>
      <c r="AJ1433" s="1"/>
      <c r="AK1433" s="1"/>
      <c r="AL1433" s="1"/>
      <c r="AM1433" s="2"/>
      <c r="AN1433" s="1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  <c r="BA1433" s="1"/>
      <c r="BB1433" s="1"/>
      <c r="BC1433" s="1"/>
      <c r="BD1433" s="1"/>
      <c r="BE1433" s="1"/>
    </row>
    <row x14ac:dyDescent="0.25" r="1434" customHeight="1" ht="18.75">
      <c r="A1434" s="1"/>
      <c r="B1434" s="2"/>
      <c r="C1434" s="2"/>
      <c r="D1434" s="2"/>
      <c r="E1434" s="2"/>
      <c r="F1434" s="2"/>
      <c r="G1434" s="1"/>
      <c r="H1434" s="1"/>
      <c r="I1434" s="7">
        <v>1.431</v>
      </c>
      <c r="J1434" s="7">
        <f>IF((I1434-ROUNDDOWN(I1434,0))=0, 0, (I1434-ROUNDDOWN(I1434,0)))</f>
      </c>
      <c r="K1434" s="7">
        <f>INDIRECT("C$"&amp;2+MIN(2,ROUNDDOWN(I1434,0))*3)*(-$J1434^3+3*$J1434^2-3*$J1434+1)+INDIRECT("C$"&amp;3+MIN(2,ROUNDDOWN(I1434,0))*3)*(3*$J1434^3-6*$J1434^2+3*$J1434)+INDIRECT("C$"&amp;4+MIN(2,ROUNDDOWN(I1434,0))*3)*(-3*$J1434^3+3*$J1434^2)+INDIRECT("C$"&amp;5+MIN(2,ROUNDDOWN(I1434,0))*3)*$J1434^3</f>
      </c>
      <c r="L1434" s="7">
        <f>INDIRECT("D$"&amp;2+MIN(2,ROUNDDOWN(I1434,0))*3)*(-$J1434^3+3*$J1434^2-3*$J1434+1)+INDIRECT("D$"&amp;3+MIN(2,ROUNDDOWN(I1434,0))*3)*(3*$J1434^3-6*$J1434^2+3*$J1434)+INDIRECT("D$"&amp;4+MIN(2,ROUNDDOWN(I1434,0))*3)*(-3*$J1434^3+3*$J1434^2)+INDIRECT("D$"&amp;5+MIN(2,ROUNDDOWN(I1434,0))*3)*$J1434^3</f>
      </c>
      <c r="M1434" s="7">
        <f>SQRT(K1434^2+L1434^2)</f>
      </c>
      <c r="N1434" s="7">
        <f>(K1435-K1433)</f>
      </c>
      <c r="O1434" s="7">
        <f>+(L1435-L1433)</f>
      </c>
      <c r="P1434" s="7">
        <f>SQRT(O1434^2+N1434^2)</f>
      </c>
      <c r="Q1434" s="7">
        <f>N1434/$P1434</f>
      </c>
      <c r="R1434" s="7">
        <f>O1434/$P1434</f>
      </c>
      <c r="S1434" s="7">
        <f>Q1434^2+R1434^2</f>
      </c>
      <c r="T1434" s="7">
        <f>-R1434</f>
      </c>
      <c r="U1434" s="7">
        <f>Q1434</f>
      </c>
      <c r="V1434" s="7">
        <f>($C$14+($C$15-$C$14)/($D$15-$D$14)*(I1434-$D$14))/2</f>
      </c>
      <c r="W1434" s="7">
        <f>($B$22*I1434^4+$C$22*I1434^3+$D$22*I1434^2+$E$22*I1434+$F$22)/2</f>
      </c>
      <c r="X1434" s="7">
        <f>($W1434)*(T1434)</f>
      </c>
      <c r="Y1434" s="7">
        <f>($W1434)*(U1434)</f>
      </c>
      <c r="Z1434" s="7">
        <f>SQRT(X1434^2+Y1434^2)</f>
      </c>
      <c r="AA1434" s="7">
        <f>$K1434+$X1434</f>
      </c>
      <c r="AB1434" s="7">
        <f>$L1434+$Y1434</f>
      </c>
      <c r="AC1434" s="7">
        <f>$K1434-$X1434</f>
      </c>
      <c r="AD1434" s="7">
        <f>$L1434-$Y1434</f>
      </c>
      <c r="AE1434" s="7">
        <f>AA1434/39.3701</f>
      </c>
      <c r="AF1434" s="7">
        <f>AB1434/39.3701</f>
      </c>
      <c r="AG1434" s="7">
        <f>AC1434/39.3701</f>
      </c>
      <c r="AH1434" s="7">
        <f>AD1434/39.3701</f>
      </c>
      <c r="AI1434" s="1"/>
      <c r="AJ1434" s="1"/>
      <c r="AK1434" s="1"/>
      <c r="AL1434" s="1"/>
      <c r="AM1434" s="2"/>
      <c r="AN1434" s="1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  <c r="BA1434" s="1"/>
      <c r="BB1434" s="1"/>
      <c r="BC1434" s="1"/>
      <c r="BD1434" s="1"/>
      <c r="BE1434" s="1"/>
    </row>
    <row x14ac:dyDescent="0.25" r="1435" customHeight="1" ht="18.75">
      <c r="A1435" s="1"/>
      <c r="B1435" s="2"/>
      <c r="C1435" s="2"/>
      <c r="D1435" s="2"/>
      <c r="E1435" s="2"/>
      <c r="F1435" s="2"/>
      <c r="G1435" s="1"/>
      <c r="H1435" s="1"/>
      <c r="I1435" s="7">
        <v>1.432</v>
      </c>
      <c r="J1435" s="7">
        <f>IF((I1435-ROUNDDOWN(I1435,0))=0, 0, (I1435-ROUNDDOWN(I1435,0)))</f>
      </c>
      <c r="K1435" s="7">
        <f>INDIRECT("C$"&amp;2+MIN(2,ROUNDDOWN(I1435,0))*3)*(-$J1435^3+3*$J1435^2-3*$J1435+1)+INDIRECT("C$"&amp;3+MIN(2,ROUNDDOWN(I1435,0))*3)*(3*$J1435^3-6*$J1435^2+3*$J1435)+INDIRECT("C$"&amp;4+MIN(2,ROUNDDOWN(I1435,0))*3)*(-3*$J1435^3+3*$J1435^2)+INDIRECT("C$"&amp;5+MIN(2,ROUNDDOWN(I1435,0))*3)*$J1435^3</f>
      </c>
      <c r="L1435" s="7">
        <f>INDIRECT("D$"&amp;2+MIN(2,ROUNDDOWN(I1435,0))*3)*(-$J1435^3+3*$J1435^2-3*$J1435+1)+INDIRECT("D$"&amp;3+MIN(2,ROUNDDOWN(I1435,0))*3)*(3*$J1435^3-6*$J1435^2+3*$J1435)+INDIRECT("D$"&amp;4+MIN(2,ROUNDDOWN(I1435,0))*3)*(-3*$J1435^3+3*$J1435^2)+INDIRECT("D$"&amp;5+MIN(2,ROUNDDOWN(I1435,0))*3)*$J1435^3</f>
      </c>
      <c r="M1435" s="7">
        <f>SQRT(K1435^2+L1435^2)</f>
      </c>
      <c r="N1435" s="7">
        <f>(K1436-K1434)</f>
      </c>
      <c r="O1435" s="7">
        <f>+(L1436-L1434)</f>
      </c>
      <c r="P1435" s="7">
        <f>SQRT(O1435^2+N1435^2)</f>
      </c>
      <c r="Q1435" s="7">
        <f>N1435/$P1435</f>
      </c>
      <c r="R1435" s="7">
        <f>O1435/$P1435</f>
      </c>
      <c r="S1435" s="8">
        <f>Q1435^2+R1435^2</f>
      </c>
      <c r="T1435" s="7">
        <f>-R1435</f>
      </c>
      <c r="U1435" s="7">
        <f>Q1435</f>
      </c>
      <c r="V1435" s="7">
        <f>($C$14+($C$15-$C$14)/($D$15-$D$14)*(I1435-$D$14))/2</f>
      </c>
      <c r="W1435" s="7">
        <f>($B$22*I1435^4+$C$22*I1435^3+$D$22*I1435^2+$E$22*I1435+$F$22)/2</f>
      </c>
      <c r="X1435" s="7">
        <f>($W1435)*(T1435)</f>
      </c>
      <c r="Y1435" s="7">
        <f>($W1435)*(U1435)</f>
      </c>
      <c r="Z1435" s="7">
        <f>SQRT(X1435^2+Y1435^2)</f>
      </c>
      <c r="AA1435" s="7">
        <f>$K1435+$X1435</f>
      </c>
      <c r="AB1435" s="7">
        <f>$L1435+$Y1435</f>
      </c>
      <c r="AC1435" s="7">
        <f>$K1435-$X1435</f>
      </c>
      <c r="AD1435" s="7">
        <f>$L1435-$Y1435</f>
      </c>
      <c r="AE1435" s="7">
        <f>AA1435/39.3701</f>
      </c>
      <c r="AF1435" s="7">
        <f>AB1435/39.3701</f>
      </c>
      <c r="AG1435" s="7">
        <f>AC1435/39.3701</f>
      </c>
      <c r="AH1435" s="7">
        <f>AD1435/39.3701</f>
      </c>
      <c r="AI1435" s="1"/>
      <c r="AJ1435" s="1"/>
      <c r="AK1435" s="1"/>
      <c r="AL1435" s="1"/>
      <c r="AM1435" s="2"/>
      <c r="AN1435" s="1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  <c r="BA1435" s="1"/>
      <c r="BB1435" s="1"/>
      <c r="BC1435" s="1"/>
      <c r="BD1435" s="1"/>
      <c r="BE1435" s="1"/>
    </row>
    <row x14ac:dyDescent="0.25" r="1436" customHeight="1" ht="18.75">
      <c r="A1436" s="1"/>
      <c r="B1436" s="2"/>
      <c r="C1436" s="2"/>
      <c r="D1436" s="2"/>
      <c r="E1436" s="2"/>
      <c r="F1436" s="2"/>
      <c r="G1436" s="1"/>
      <c r="H1436" s="1"/>
      <c r="I1436" s="7">
        <v>1.433</v>
      </c>
      <c r="J1436" s="7">
        <f>IF((I1436-ROUNDDOWN(I1436,0))=0, 0, (I1436-ROUNDDOWN(I1436,0)))</f>
      </c>
      <c r="K1436" s="7">
        <f>INDIRECT("C$"&amp;2+MIN(2,ROUNDDOWN(I1436,0))*3)*(-$J1436^3+3*$J1436^2-3*$J1436+1)+INDIRECT("C$"&amp;3+MIN(2,ROUNDDOWN(I1436,0))*3)*(3*$J1436^3-6*$J1436^2+3*$J1436)+INDIRECT("C$"&amp;4+MIN(2,ROUNDDOWN(I1436,0))*3)*(-3*$J1436^3+3*$J1436^2)+INDIRECT("C$"&amp;5+MIN(2,ROUNDDOWN(I1436,0))*3)*$J1436^3</f>
      </c>
      <c r="L1436" s="7">
        <f>INDIRECT("D$"&amp;2+MIN(2,ROUNDDOWN(I1436,0))*3)*(-$J1436^3+3*$J1436^2-3*$J1436+1)+INDIRECT("D$"&amp;3+MIN(2,ROUNDDOWN(I1436,0))*3)*(3*$J1436^3-6*$J1436^2+3*$J1436)+INDIRECT("D$"&amp;4+MIN(2,ROUNDDOWN(I1436,0))*3)*(-3*$J1436^3+3*$J1436^2)+INDIRECT("D$"&amp;5+MIN(2,ROUNDDOWN(I1436,0))*3)*$J1436^3</f>
      </c>
      <c r="M1436" s="7">
        <f>SQRT(K1436^2+L1436^2)</f>
      </c>
      <c r="N1436" s="7">
        <f>(K1437-K1435)</f>
      </c>
      <c r="O1436" s="7">
        <f>+(L1437-L1435)</f>
      </c>
      <c r="P1436" s="7">
        <f>SQRT(O1436^2+N1436^2)</f>
      </c>
      <c r="Q1436" s="7">
        <f>N1436/$P1436</f>
      </c>
      <c r="R1436" s="7">
        <f>O1436/$P1436</f>
      </c>
      <c r="S1436" s="8">
        <f>Q1436^2+R1436^2</f>
      </c>
      <c r="T1436" s="7">
        <f>-R1436</f>
      </c>
      <c r="U1436" s="7">
        <f>Q1436</f>
      </c>
      <c r="V1436" s="7">
        <f>($C$14+($C$15-$C$14)/($D$15-$D$14)*(I1436-$D$14))/2</f>
      </c>
      <c r="W1436" s="7">
        <f>($B$22*I1436^4+$C$22*I1436^3+$D$22*I1436^2+$E$22*I1436+$F$22)/2</f>
      </c>
      <c r="X1436" s="7">
        <f>($W1436)*(T1436)</f>
      </c>
      <c r="Y1436" s="7">
        <f>($W1436)*(U1436)</f>
      </c>
      <c r="Z1436" s="7">
        <f>SQRT(X1436^2+Y1436^2)</f>
      </c>
      <c r="AA1436" s="7">
        <f>$K1436+$X1436</f>
      </c>
      <c r="AB1436" s="7">
        <f>$L1436+$Y1436</f>
      </c>
      <c r="AC1436" s="7">
        <f>$K1436-$X1436</f>
      </c>
      <c r="AD1436" s="7">
        <f>$L1436-$Y1436</f>
      </c>
      <c r="AE1436" s="7">
        <f>AA1436/39.3701</f>
      </c>
      <c r="AF1436" s="7">
        <f>AB1436/39.3701</f>
      </c>
      <c r="AG1436" s="7">
        <f>AC1436/39.3701</f>
      </c>
      <c r="AH1436" s="7">
        <f>AD1436/39.3701</f>
      </c>
      <c r="AI1436" s="1"/>
      <c r="AJ1436" s="1"/>
      <c r="AK1436" s="1"/>
      <c r="AL1436" s="1"/>
      <c r="AM1436" s="2"/>
      <c r="AN1436" s="1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  <c r="BA1436" s="1"/>
      <c r="BB1436" s="1"/>
      <c r="BC1436" s="1"/>
      <c r="BD1436" s="1"/>
      <c r="BE1436" s="1"/>
    </row>
    <row x14ac:dyDescent="0.25" r="1437" customHeight="1" ht="18.75">
      <c r="A1437" s="1"/>
      <c r="B1437" s="2"/>
      <c r="C1437" s="2"/>
      <c r="D1437" s="2"/>
      <c r="E1437" s="2"/>
      <c r="F1437" s="2"/>
      <c r="G1437" s="1"/>
      <c r="H1437" s="1"/>
      <c r="I1437" s="7">
        <v>1.434</v>
      </c>
      <c r="J1437" s="7">
        <f>IF((I1437-ROUNDDOWN(I1437,0))=0, 0, (I1437-ROUNDDOWN(I1437,0)))</f>
      </c>
      <c r="K1437" s="7">
        <f>INDIRECT("C$"&amp;2+MIN(2,ROUNDDOWN(I1437,0))*3)*(-$J1437^3+3*$J1437^2-3*$J1437+1)+INDIRECT("C$"&amp;3+MIN(2,ROUNDDOWN(I1437,0))*3)*(3*$J1437^3-6*$J1437^2+3*$J1437)+INDIRECT("C$"&amp;4+MIN(2,ROUNDDOWN(I1437,0))*3)*(-3*$J1437^3+3*$J1437^2)+INDIRECT("C$"&amp;5+MIN(2,ROUNDDOWN(I1437,0))*3)*$J1437^3</f>
      </c>
      <c r="L1437" s="7">
        <f>INDIRECT("D$"&amp;2+MIN(2,ROUNDDOWN(I1437,0))*3)*(-$J1437^3+3*$J1437^2-3*$J1437+1)+INDIRECT("D$"&amp;3+MIN(2,ROUNDDOWN(I1437,0))*3)*(3*$J1437^3-6*$J1437^2+3*$J1437)+INDIRECT("D$"&amp;4+MIN(2,ROUNDDOWN(I1437,0))*3)*(-3*$J1437^3+3*$J1437^2)+INDIRECT("D$"&amp;5+MIN(2,ROUNDDOWN(I1437,0))*3)*$J1437^3</f>
      </c>
      <c r="M1437" s="7">
        <f>SQRT(K1437^2+L1437^2)</f>
      </c>
      <c r="N1437" s="7">
        <f>(K1438-K1436)</f>
      </c>
      <c r="O1437" s="7">
        <f>+(L1438-L1436)</f>
      </c>
      <c r="P1437" s="7">
        <f>SQRT(O1437^2+N1437^2)</f>
      </c>
      <c r="Q1437" s="7">
        <f>N1437/$P1437</f>
      </c>
      <c r="R1437" s="7">
        <f>O1437/$P1437</f>
      </c>
      <c r="S1437" s="8">
        <f>Q1437^2+R1437^2</f>
      </c>
      <c r="T1437" s="7">
        <f>-R1437</f>
      </c>
      <c r="U1437" s="7">
        <f>Q1437</f>
      </c>
      <c r="V1437" s="7">
        <f>($C$14+($C$15-$C$14)/($D$15-$D$14)*(I1437-$D$14))/2</f>
      </c>
      <c r="W1437" s="7">
        <f>($B$22*I1437^4+$C$22*I1437^3+$D$22*I1437^2+$E$22*I1437+$F$22)/2</f>
      </c>
      <c r="X1437" s="7">
        <f>($W1437)*(T1437)</f>
      </c>
      <c r="Y1437" s="7">
        <f>($W1437)*(U1437)</f>
      </c>
      <c r="Z1437" s="7">
        <f>SQRT(X1437^2+Y1437^2)</f>
      </c>
      <c r="AA1437" s="7">
        <f>$K1437+$X1437</f>
      </c>
      <c r="AB1437" s="7">
        <f>$L1437+$Y1437</f>
      </c>
      <c r="AC1437" s="7">
        <f>$K1437-$X1437</f>
      </c>
      <c r="AD1437" s="7">
        <f>$L1437-$Y1437</f>
      </c>
      <c r="AE1437" s="7">
        <f>AA1437/39.3701</f>
      </c>
      <c r="AF1437" s="7">
        <f>AB1437/39.3701</f>
      </c>
      <c r="AG1437" s="7">
        <f>AC1437/39.3701</f>
      </c>
      <c r="AH1437" s="7">
        <f>AD1437/39.3701</f>
      </c>
      <c r="AI1437" s="1"/>
      <c r="AJ1437" s="1"/>
      <c r="AK1437" s="1"/>
      <c r="AL1437" s="1"/>
      <c r="AM1437" s="2"/>
      <c r="AN1437" s="1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  <c r="BA1437" s="1"/>
      <c r="BB1437" s="1"/>
      <c r="BC1437" s="1"/>
      <c r="BD1437" s="1"/>
      <c r="BE1437" s="1"/>
    </row>
    <row x14ac:dyDescent="0.25" r="1438" customHeight="1" ht="18.75">
      <c r="A1438" s="1"/>
      <c r="B1438" s="2"/>
      <c r="C1438" s="2"/>
      <c r="D1438" s="2"/>
      <c r="E1438" s="2"/>
      <c r="F1438" s="2"/>
      <c r="G1438" s="1"/>
      <c r="H1438" s="1"/>
      <c r="I1438" s="7">
        <v>1.435</v>
      </c>
      <c r="J1438" s="7">
        <f>IF((I1438-ROUNDDOWN(I1438,0))=0, 0, (I1438-ROUNDDOWN(I1438,0)))</f>
      </c>
      <c r="K1438" s="7">
        <f>INDIRECT("C$"&amp;2+MIN(2,ROUNDDOWN(I1438,0))*3)*(-$J1438^3+3*$J1438^2-3*$J1438+1)+INDIRECT("C$"&amp;3+MIN(2,ROUNDDOWN(I1438,0))*3)*(3*$J1438^3-6*$J1438^2+3*$J1438)+INDIRECT("C$"&amp;4+MIN(2,ROUNDDOWN(I1438,0))*3)*(-3*$J1438^3+3*$J1438^2)+INDIRECT("C$"&amp;5+MIN(2,ROUNDDOWN(I1438,0))*3)*$J1438^3</f>
      </c>
      <c r="L1438" s="7">
        <f>INDIRECT("D$"&amp;2+MIN(2,ROUNDDOWN(I1438,0))*3)*(-$J1438^3+3*$J1438^2-3*$J1438+1)+INDIRECT("D$"&amp;3+MIN(2,ROUNDDOWN(I1438,0))*3)*(3*$J1438^3-6*$J1438^2+3*$J1438)+INDIRECT("D$"&amp;4+MIN(2,ROUNDDOWN(I1438,0))*3)*(-3*$J1438^3+3*$J1438^2)+INDIRECT("D$"&amp;5+MIN(2,ROUNDDOWN(I1438,0))*3)*$J1438^3</f>
      </c>
      <c r="M1438" s="7">
        <f>SQRT(K1438^2+L1438^2)</f>
      </c>
      <c r="N1438" s="7">
        <f>(K1439-K1437)</f>
      </c>
      <c r="O1438" s="7">
        <f>+(L1439-L1437)</f>
      </c>
      <c r="P1438" s="7">
        <f>SQRT(O1438^2+N1438^2)</f>
      </c>
      <c r="Q1438" s="7">
        <f>N1438/$P1438</f>
      </c>
      <c r="R1438" s="7">
        <f>O1438/$P1438</f>
      </c>
      <c r="S1438" s="8">
        <f>Q1438^2+R1438^2</f>
      </c>
      <c r="T1438" s="7">
        <f>-R1438</f>
      </c>
      <c r="U1438" s="7">
        <f>Q1438</f>
      </c>
      <c r="V1438" s="7">
        <f>($C$14+($C$15-$C$14)/($D$15-$D$14)*(I1438-$D$14))/2</f>
      </c>
      <c r="W1438" s="7">
        <f>($B$22*I1438^4+$C$22*I1438^3+$D$22*I1438^2+$E$22*I1438+$F$22)/2</f>
      </c>
      <c r="X1438" s="7">
        <f>($W1438)*(T1438)</f>
      </c>
      <c r="Y1438" s="7">
        <f>($W1438)*(U1438)</f>
      </c>
      <c r="Z1438" s="7">
        <f>SQRT(X1438^2+Y1438^2)</f>
      </c>
      <c r="AA1438" s="7">
        <f>$K1438+$X1438</f>
      </c>
      <c r="AB1438" s="7">
        <f>$L1438+$Y1438</f>
      </c>
      <c r="AC1438" s="7">
        <f>$K1438-$X1438</f>
      </c>
      <c r="AD1438" s="7">
        <f>$L1438-$Y1438</f>
      </c>
      <c r="AE1438" s="7">
        <f>AA1438/39.3701</f>
      </c>
      <c r="AF1438" s="7">
        <f>AB1438/39.3701</f>
      </c>
      <c r="AG1438" s="7">
        <f>AC1438/39.3701</f>
      </c>
      <c r="AH1438" s="7">
        <f>AD1438/39.3701</f>
      </c>
      <c r="AI1438" s="1"/>
      <c r="AJ1438" s="1"/>
      <c r="AK1438" s="1"/>
      <c r="AL1438" s="1"/>
      <c r="AM1438" s="2"/>
      <c r="AN1438" s="1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  <c r="BA1438" s="1"/>
      <c r="BB1438" s="1"/>
      <c r="BC1438" s="1"/>
      <c r="BD1438" s="1"/>
      <c r="BE1438" s="1"/>
    </row>
    <row x14ac:dyDescent="0.25" r="1439" customHeight="1" ht="18.75">
      <c r="A1439" s="1"/>
      <c r="B1439" s="2"/>
      <c r="C1439" s="2"/>
      <c r="D1439" s="2"/>
      <c r="E1439" s="2"/>
      <c r="F1439" s="2"/>
      <c r="G1439" s="1"/>
      <c r="H1439" s="1"/>
      <c r="I1439" s="7">
        <v>1.436</v>
      </c>
      <c r="J1439" s="7">
        <f>IF((I1439-ROUNDDOWN(I1439,0))=0, 0, (I1439-ROUNDDOWN(I1439,0)))</f>
      </c>
      <c r="K1439" s="7">
        <f>INDIRECT("C$"&amp;2+MIN(2,ROUNDDOWN(I1439,0))*3)*(-$J1439^3+3*$J1439^2-3*$J1439+1)+INDIRECT("C$"&amp;3+MIN(2,ROUNDDOWN(I1439,0))*3)*(3*$J1439^3-6*$J1439^2+3*$J1439)+INDIRECT("C$"&amp;4+MIN(2,ROUNDDOWN(I1439,0))*3)*(-3*$J1439^3+3*$J1439^2)+INDIRECT("C$"&amp;5+MIN(2,ROUNDDOWN(I1439,0))*3)*$J1439^3</f>
      </c>
      <c r="L1439" s="7">
        <f>INDIRECT("D$"&amp;2+MIN(2,ROUNDDOWN(I1439,0))*3)*(-$J1439^3+3*$J1439^2-3*$J1439+1)+INDIRECT("D$"&amp;3+MIN(2,ROUNDDOWN(I1439,0))*3)*(3*$J1439^3-6*$J1439^2+3*$J1439)+INDIRECT("D$"&amp;4+MIN(2,ROUNDDOWN(I1439,0))*3)*(-3*$J1439^3+3*$J1439^2)+INDIRECT("D$"&amp;5+MIN(2,ROUNDDOWN(I1439,0))*3)*$J1439^3</f>
      </c>
      <c r="M1439" s="7">
        <f>SQRT(K1439^2+L1439^2)</f>
      </c>
      <c r="N1439" s="7">
        <f>(K1440-K1438)</f>
      </c>
      <c r="O1439" s="7">
        <f>+(L1440-L1438)</f>
      </c>
      <c r="P1439" s="7">
        <f>SQRT(O1439^2+N1439^2)</f>
      </c>
      <c r="Q1439" s="7">
        <f>N1439/$P1439</f>
      </c>
      <c r="R1439" s="7">
        <f>O1439/$P1439</f>
      </c>
      <c r="S1439" s="7">
        <f>Q1439^2+R1439^2</f>
      </c>
      <c r="T1439" s="7">
        <f>-R1439</f>
      </c>
      <c r="U1439" s="7">
        <f>Q1439</f>
      </c>
      <c r="V1439" s="7">
        <f>($C$14+($C$15-$C$14)/($D$15-$D$14)*(I1439-$D$14))/2</f>
      </c>
      <c r="W1439" s="7">
        <f>($B$22*I1439^4+$C$22*I1439^3+$D$22*I1439^2+$E$22*I1439+$F$22)/2</f>
      </c>
      <c r="X1439" s="7">
        <f>($W1439)*(T1439)</f>
      </c>
      <c r="Y1439" s="7">
        <f>($W1439)*(U1439)</f>
      </c>
      <c r="Z1439" s="7">
        <f>SQRT(X1439^2+Y1439^2)</f>
      </c>
      <c r="AA1439" s="7">
        <f>$K1439+$X1439</f>
      </c>
      <c r="AB1439" s="7">
        <f>$L1439+$Y1439</f>
      </c>
      <c r="AC1439" s="7">
        <f>$K1439-$X1439</f>
      </c>
      <c r="AD1439" s="7">
        <f>$L1439-$Y1439</f>
      </c>
      <c r="AE1439" s="7">
        <f>AA1439/39.3701</f>
      </c>
      <c r="AF1439" s="7">
        <f>AB1439/39.3701</f>
      </c>
      <c r="AG1439" s="7">
        <f>AC1439/39.3701</f>
      </c>
      <c r="AH1439" s="7">
        <f>AD1439/39.3701</f>
      </c>
      <c r="AI1439" s="1"/>
      <c r="AJ1439" s="1"/>
      <c r="AK1439" s="1"/>
      <c r="AL1439" s="1"/>
      <c r="AM1439" s="2"/>
      <c r="AN1439" s="1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  <c r="BA1439" s="1"/>
      <c r="BB1439" s="1"/>
      <c r="BC1439" s="1"/>
      <c r="BD1439" s="1"/>
      <c r="BE1439" s="1"/>
    </row>
    <row x14ac:dyDescent="0.25" r="1440" customHeight="1" ht="18.75">
      <c r="A1440" s="1"/>
      <c r="B1440" s="2"/>
      <c r="C1440" s="2"/>
      <c r="D1440" s="2"/>
      <c r="E1440" s="2"/>
      <c r="F1440" s="2"/>
      <c r="G1440" s="1"/>
      <c r="H1440" s="1"/>
      <c r="I1440" s="7">
        <v>1.437</v>
      </c>
      <c r="J1440" s="7">
        <f>IF((I1440-ROUNDDOWN(I1440,0))=0, 0, (I1440-ROUNDDOWN(I1440,0)))</f>
      </c>
      <c r="K1440" s="7">
        <f>INDIRECT("C$"&amp;2+MIN(2,ROUNDDOWN(I1440,0))*3)*(-$J1440^3+3*$J1440^2-3*$J1440+1)+INDIRECT("C$"&amp;3+MIN(2,ROUNDDOWN(I1440,0))*3)*(3*$J1440^3-6*$J1440^2+3*$J1440)+INDIRECT("C$"&amp;4+MIN(2,ROUNDDOWN(I1440,0))*3)*(-3*$J1440^3+3*$J1440^2)+INDIRECT("C$"&amp;5+MIN(2,ROUNDDOWN(I1440,0))*3)*$J1440^3</f>
      </c>
      <c r="L1440" s="7">
        <f>INDIRECT("D$"&amp;2+MIN(2,ROUNDDOWN(I1440,0))*3)*(-$J1440^3+3*$J1440^2-3*$J1440+1)+INDIRECT("D$"&amp;3+MIN(2,ROUNDDOWN(I1440,0))*3)*(3*$J1440^3-6*$J1440^2+3*$J1440)+INDIRECT("D$"&amp;4+MIN(2,ROUNDDOWN(I1440,0))*3)*(-3*$J1440^3+3*$J1440^2)+INDIRECT("D$"&amp;5+MIN(2,ROUNDDOWN(I1440,0))*3)*$J1440^3</f>
      </c>
      <c r="M1440" s="7">
        <f>SQRT(K1440^2+L1440^2)</f>
      </c>
      <c r="N1440" s="7">
        <f>(K1441-K1439)</f>
      </c>
      <c r="O1440" s="7">
        <f>+(L1441-L1439)</f>
      </c>
      <c r="P1440" s="7">
        <f>SQRT(O1440^2+N1440^2)</f>
      </c>
      <c r="Q1440" s="7">
        <f>N1440/$P1440</f>
      </c>
      <c r="R1440" s="7">
        <f>O1440/$P1440</f>
      </c>
      <c r="S1440" s="8">
        <f>Q1440^2+R1440^2</f>
      </c>
      <c r="T1440" s="7">
        <f>-R1440</f>
      </c>
      <c r="U1440" s="7">
        <f>Q1440</f>
      </c>
      <c r="V1440" s="7">
        <f>($C$14+($C$15-$C$14)/($D$15-$D$14)*(I1440-$D$14))/2</f>
      </c>
      <c r="W1440" s="7">
        <f>($B$22*I1440^4+$C$22*I1440^3+$D$22*I1440^2+$E$22*I1440+$F$22)/2</f>
      </c>
      <c r="X1440" s="7">
        <f>($W1440)*(T1440)</f>
      </c>
      <c r="Y1440" s="7">
        <f>($W1440)*(U1440)</f>
      </c>
      <c r="Z1440" s="7">
        <f>SQRT(X1440^2+Y1440^2)</f>
      </c>
      <c r="AA1440" s="7">
        <f>$K1440+$X1440</f>
      </c>
      <c r="AB1440" s="7">
        <f>$L1440+$Y1440</f>
      </c>
      <c r="AC1440" s="7">
        <f>$K1440-$X1440</f>
      </c>
      <c r="AD1440" s="7">
        <f>$L1440-$Y1440</f>
      </c>
      <c r="AE1440" s="7">
        <f>AA1440/39.3701</f>
      </c>
      <c r="AF1440" s="7">
        <f>AB1440/39.3701</f>
      </c>
      <c r="AG1440" s="7">
        <f>AC1440/39.3701</f>
      </c>
      <c r="AH1440" s="7">
        <f>AD1440/39.3701</f>
      </c>
      <c r="AI1440" s="1"/>
      <c r="AJ1440" s="1"/>
      <c r="AK1440" s="1"/>
      <c r="AL1440" s="1"/>
      <c r="AM1440" s="2"/>
      <c r="AN1440" s="1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  <c r="BA1440" s="1"/>
      <c r="BB1440" s="1"/>
      <c r="BC1440" s="1"/>
      <c r="BD1440" s="1"/>
      <c r="BE1440" s="1"/>
    </row>
    <row x14ac:dyDescent="0.25" r="1441" customHeight="1" ht="18.75">
      <c r="A1441" s="1"/>
      <c r="B1441" s="2"/>
      <c r="C1441" s="2"/>
      <c r="D1441" s="2"/>
      <c r="E1441" s="2"/>
      <c r="F1441" s="2"/>
      <c r="G1441" s="1"/>
      <c r="H1441" s="1"/>
      <c r="I1441" s="7">
        <v>1.438</v>
      </c>
      <c r="J1441" s="7">
        <f>IF((I1441-ROUNDDOWN(I1441,0))=0, 0, (I1441-ROUNDDOWN(I1441,0)))</f>
      </c>
      <c r="K1441" s="7">
        <f>INDIRECT("C$"&amp;2+MIN(2,ROUNDDOWN(I1441,0))*3)*(-$J1441^3+3*$J1441^2-3*$J1441+1)+INDIRECT("C$"&amp;3+MIN(2,ROUNDDOWN(I1441,0))*3)*(3*$J1441^3-6*$J1441^2+3*$J1441)+INDIRECT("C$"&amp;4+MIN(2,ROUNDDOWN(I1441,0))*3)*(-3*$J1441^3+3*$J1441^2)+INDIRECT("C$"&amp;5+MIN(2,ROUNDDOWN(I1441,0))*3)*$J1441^3</f>
      </c>
      <c r="L1441" s="7">
        <f>INDIRECT("D$"&amp;2+MIN(2,ROUNDDOWN(I1441,0))*3)*(-$J1441^3+3*$J1441^2-3*$J1441+1)+INDIRECT("D$"&amp;3+MIN(2,ROUNDDOWN(I1441,0))*3)*(3*$J1441^3-6*$J1441^2+3*$J1441)+INDIRECT("D$"&amp;4+MIN(2,ROUNDDOWN(I1441,0))*3)*(-3*$J1441^3+3*$J1441^2)+INDIRECT("D$"&amp;5+MIN(2,ROUNDDOWN(I1441,0))*3)*$J1441^3</f>
      </c>
      <c r="M1441" s="7">
        <f>SQRT(K1441^2+L1441^2)</f>
      </c>
      <c r="N1441" s="7">
        <f>(K1442-K1440)</f>
      </c>
      <c r="O1441" s="7">
        <f>+(L1442-L1440)</f>
      </c>
      <c r="P1441" s="7">
        <f>SQRT(O1441^2+N1441^2)</f>
      </c>
      <c r="Q1441" s="7">
        <f>N1441/$P1441</f>
      </c>
      <c r="R1441" s="7">
        <f>O1441/$P1441</f>
      </c>
      <c r="S1441" s="7">
        <f>Q1441^2+R1441^2</f>
      </c>
      <c r="T1441" s="7">
        <f>-R1441</f>
      </c>
      <c r="U1441" s="7">
        <f>Q1441</f>
      </c>
      <c r="V1441" s="7">
        <f>($C$14+($C$15-$C$14)/($D$15-$D$14)*(I1441-$D$14))/2</f>
      </c>
      <c r="W1441" s="7">
        <f>($B$22*I1441^4+$C$22*I1441^3+$D$22*I1441^2+$E$22*I1441+$F$22)/2</f>
      </c>
      <c r="X1441" s="7">
        <f>($W1441)*(T1441)</f>
      </c>
      <c r="Y1441" s="7">
        <f>($W1441)*(U1441)</f>
      </c>
      <c r="Z1441" s="7">
        <f>SQRT(X1441^2+Y1441^2)</f>
      </c>
      <c r="AA1441" s="7">
        <f>$K1441+$X1441</f>
      </c>
      <c r="AB1441" s="7">
        <f>$L1441+$Y1441</f>
      </c>
      <c r="AC1441" s="7">
        <f>$K1441-$X1441</f>
      </c>
      <c r="AD1441" s="7">
        <f>$L1441-$Y1441</f>
      </c>
      <c r="AE1441" s="7">
        <f>AA1441/39.3701</f>
      </c>
      <c r="AF1441" s="7">
        <f>AB1441/39.3701</f>
      </c>
      <c r="AG1441" s="7">
        <f>AC1441/39.3701</f>
      </c>
      <c r="AH1441" s="7">
        <f>AD1441/39.3701</f>
      </c>
      <c r="AI1441" s="1"/>
      <c r="AJ1441" s="1"/>
      <c r="AK1441" s="1"/>
      <c r="AL1441" s="1"/>
      <c r="AM1441" s="2"/>
      <c r="AN1441" s="1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  <c r="BA1441" s="1"/>
      <c r="BB1441" s="1"/>
      <c r="BC1441" s="1"/>
      <c r="BD1441" s="1"/>
      <c r="BE1441" s="1"/>
    </row>
    <row x14ac:dyDescent="0.25" r="1442" customHeight="1" ht="18.75">
      <c r="A1442" s="1"/>
      <c r="B1442" s="2"/>
      <c r="C1442" s="2"/>
      <c r="D1442" s="2"/>
      <c r="E1442" s="2"/>
      <c r="F1442" s="2"/>
      <c r="G1442" s="1"/>
      <c r="H1442" s="1"/>
      <c r="I1442" s="7">
        <v>1.439</v>
      </c>
      <c r="J1442" s="7">
        <f>IF((I1442-ROUNDDOWN(I1442,0))=0, 0, (I1442-ROUNDDOWN(I1442,0)))</f>
      </c>
      <c r="K1442" s="7">
        <f>INDIRECT("C$"&amp;2+MIN(2,ROUNDDOWN(I1442,0))*3)*(-$J1442^3+3*$J1442^2-3*$J1442+1)+INDIRECT("C$"&amp;3+MIN(2,ROUNDDOWN(I1442,0))*3)*(3*$J1442^3-6*$J1442^2+3*$J1442)+INDIRECT("C$"&amp;4+MIN(2,ROUNDDOWN(I1442,0))*3)*(-3*$J1442^3+3*$J1442^2)+INDIRECT("C$"&amp;5+MIN(2,ROUNDDOWN(I1442,0))*3)*$J1442^3</f>
      </c>
      <c r="L1442" s="7">
        <f>INDIRECT("D$"&amp;2+MIN(2,ROUNDDOWN(I1442,0))*3)*(-$J1442^3+3*$J1442^2-3*$J1442+1)+INDIRECT("D$"&amp;3+MIN(2,ROUNDDOWN(I1442,0))*3)*(3*$J1442^3-6*$J1442^2+3*$J1442)+INDIRECT("D$"&amp;4+MIN(2,ROUNDDOWN(I1442,0))*3)*(-3*$J1442^3+3*$J1442^2)+INDIRECT("D$"&amp;5+MIN(2,ROUNDDOWN(I1442,0))*3)*$J1442^3</f>
      </c>
      <c r="M1442" s="7">
        <f>SQRT(K1442^2+L1442^2)</f>
      </c>
      <c r="N1442" s="7">
        <f>(K1443-K1441)</f>
      </c>
      <c r="O1442" s="7">
        <f>+(L1443-L1441)</f>
      </c>
      <c r="P1442" s="7">
        <f>SQRT(O1442^2+N1442^2)</f>
      </c>
      <c r="Q1442" s="7">
        <f>N1442/$P1442</f>
      </c>
      <c r="R1442" s="7">
        <f>O1442/$P1442</f>
      </c>
      <c r="S1442" s="8">
        <f>Q1442^2+R1442^2</f>
      </c>
      <c r="T1442" s="7">
        <f>-R1442</f>
      </c>
      <c r="U1442" s="7">
        <f>Q1442</f>
      </c>
      <c r="V1442" s="7">
        <f>($C$14+($C$15-$C$14)/($D$15-$D$14)*(I1442-$D$14))/2</f>
      </c>
      <c r="W1442" s="7">
        <f>($B$22*I1442^4+$C$22*I1442^3+$D$22*I1442^2+$E$22*I1442+$F$22)/2</f>
      </c>
      <c r="X1442" s="7">
        <f>($W1442)*(T1442)</f>
      </c>
      <c r="Y1442" s="7">
        <f>($W1442)*(U1442)</f>
      </c>
      <c r="Z1442" s="7">
        <f>SQRT(X1442^2+Y1442^2)</f>
      </c>
      <c r="AA1442" s="7">
        <f>$K1442+$X1442</f>
      </c>
      <c r="AB1442" s="7">
        <f>$L1442+$Y1442</f>
      </c>
      <c r="AC1442" s="7">
        <f>$K1442-$X1442</f>
      </c>
      <c r="AD1442" s="7">
        <f>$L1442-$Y1442</f>
      </c>
      <c r="AE1442" s="7">
        <f>AA1442/39.3701</f>
      </c>
      <c r="AF1442" s="7">
        <f>AB1442/39.3701</f>
      </c>
      <c r="AG1442" s="7">
        <f>AC1442/39.3701</f>
      </c>
      <c r="AH1442" s="7">
        <f>AD1442/39.3701</f>
      </c>
      <c r="AI1442" s="1"/>
      <c r="AJ1442" s="1"/>
      <c r="AK1442" s="1"/>
      <c r="AL1442" s="1"/>
      <c r="AM1442" s="2"/>
      <c r="AN1442" s="1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  <c r="BA1442" s="1"/>
      <c r="BB1442" s="1"/>
      <c r="BC1442" s="1"/>
      <c r="BD1442" s="1"/>
      <c r="BE1442" s="1"/>
    </row>
    <row x14ac:dyDescent="0.25" r="1443" customHeight="1" ht="18.75">
      <c r="A1443" s="1"/>
      <c r="B1443" s="2"/>
      <c r="C1443" s="2"/>
      <c r="D1443" s="2"/>
      <c r="E1443" s="2"/>
      <c r="F1443" s="2"/>
      <c r="G1443" s="1"/>
      <c r="H1443" s="1"/>
      <c r="I1443" s="7">
        <v>1.44</v>
      </c>
      <c r="J1443" s="7">
        <f>IF((I1443-ROUNDDOWN(I1443,0))=0, 0, (I1443-ROUNDDOWN(I1443,0)))</f>
      </c>
      <c r="K1443" s="7">
        <f>INDIRECT("C$"&amp;2+MIN(2,ROUNDDOWN(I1443,0))*3)*(-$J1443^3+3*$J1443^2-3*$J1443+1)+INDIRECT("C$"&amp;3+MIN(2,ROUNDDOWN(I1443,0))*3)*(3*$J1443^3-6*$J1443^2+3*$J1443)+INDIRECT("C$"&amp;4+MIN(2,ROUNDDOWN(I1443,0))*3)*(-3*$J1443^3+3*$J1443^2)+INDIRECT("C$"&amp;5+MIN(2,ROUNDDOWN(I1443,0))*3)*$J1443^3</f>
      </c>
      <c r="L1443" s="7">
        <f>INDIRECT("D$"&amp;2+MIN(2,ROUNDDOWN(I1443,0))*3)*(-$J1443^3+3*$J1443^2-3*$J1443+1)+INDIRECT("D$"&amp;3+MIN(2,ROUNDDOWN(I1443,0))*3)*(3*$J1443^3-6*$J1443^2+3*$J1443)+INDIRECT("D$"&amp;4+MIN(2,ROUNDDOWN(I1443,0))*3)*(-3*$J1443^3+3*$J1443^2)+INDIRECT("D$"&amp;5+MIN(2,ROUNDDOWN(I1443,0))*3)*$J1443^3</f>
      </c>
      <c r="M1443" s="7">
        <f>SQRT(K1443^2+L1443^2)</f>
      </c>
      <c r="N1443" s="7">
        <f>(K1444-K1442)</f>
      </c>
      <c r="O1443" s="7">
        <f>+(L1444-L1442)</f>
      </c>
      <c r="P1443" s="7">
        <f>SQRT(O1443^2+N1443^2)</f>
      </c>
      <c r="Q1443" s="7">
        <f>N1443/$P1443</f>
      </c>
      <c r="R1443" s="7">
        <f>O1443/$P1443</f>
      </c>
      <c r="S1443" s="7">
        <f>Q1443^2+R1443^2</f>
      </c>
      <c r="T1443" s="7">
        <f>-R1443</f>
      </c>
      <c r="U1443" s="7">
        <f>Q1443</f>
      </c>
      <c r="V1443" s="7">
        <f>($C$14+($C$15-$C$14)/($D$15-$D$14)*(I1443-$D$14))/2</f>
      </c>
      <c r="W1443" s="7">
        <f>($B$22*I1443^4+$C$22*I1443^3+$D$22*I1443^2+$E$22*I1443+$F$22)/2</f>
      </c>
      <c r="X1443" s="7">
        <f>($W1443)*(T1443)</f>
      </c>
      <c r="Y1443" s="7">
        <f>($W1443)*(U1443)</f>
      </c>
      <c r="Z1443" s="7">
        <f>SQRT(X1443^2+Y1443^2)</f>
      </c>
      <c r="AA1443" s="7">
        <f>$K1443+$X1443</f>
      </c>
      <c r="AB1443" s="7">
        <f>$L1443+$Y1443</f>
      </c>
      <c r="AC1443" s="7">
        <f>$K1443-$X1443</f>
      </c>
      <c r="AD1443" s="7">
        <f>$L1443-$Y1443</f>
      </c>
      <c r="AE1443" s="7">
        <f>AA1443/39.3701</f>
      </c>
      <c r="AF1443" s="7">
        <f>AB1443/39.3701</f>
      </c>
      <c r="AG1443" s="7">
        <f>AC1443/39.3701</f>
      </c>
      <c r="AH1443" s="7">
        <f>AD1443/39.3701</f>
      </c>
      <c r="AI1443" s="1"/>
      <c r="AJ1443" s="1"/>
      <c r="AK1443" s="1"/>
      <c r="AL1443" s="1"/>
      <c r="AM1443" s="2"/>
      <c r="AN1443" s="1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  <c r="BA1443" s="1"/>
      <c r="BB1443" s="1"/>
      <c r="BC1443" s="1"/>
      <c r="BD1443" s="1"/>
      <c r="BE1443" s="1"/>
    </row>
    <row x14ac:dyDescent="0.25" r="1444" customHeight="1" ht="18.75">
      <c r="A1444" s="1"/>
      <c r="B1444" s="2"/>
      <c r="C1444" s="2"/>
      <c r="D1444" s="2"/>
      <c r="E1444" s="2"/>
      <c r="F1444" s="2"/>
      <c r="G1444" s="1"/>
      <c r="H1444" s="1"/>
      <c r="I1444" s="7">
        <v>1.441</v>
      </c>
      <c r="J1444" s="7">
        <f>IF((I1444-ROUNDDOWN(I1444,0))=0, 0, (I1444-ROUNDDOWN(I1444,0)))</f>
      </c>
      <c r="K1444" s="7">
        <f>INDIRECT("C$"&amp;2+MIN(2,ROUNDDOWN(I1444,0))*3)*(-$J1444^3+3*$J1444^2-3*$J1444+1)+INDIRECT("C$"&amp;3+MIN(2,ROUNDDOWN(I1444,0))*3)*(3*$J1444^3-6*$J1444^2+3*$J1444)+INDIRECT("C$"&amp;4+MIN(2,ROUNDDOWN(I1444,0))*3)*(-3*$J1444^3+3*$J1444^2)+INDIRECT("C$"&amp;5+MIN(2,ROUNDDOWN(I1444,0))*3)*$J1444^3</f>
      </c>
      <c r="L1444" s="7">
        <f>INDIRECT("D$"&amp;2+MIN(2,ROUNDDOWN(I1444,0))*3)*(-$J1444^3+3*$J1444^2-3*$J1444+1)+INDIRECT("D$"&amp;3+MIN(2,ROUNDDOWN(I1444,0))*3)*(3*$J1444^3-6*$J1444^2+3*$J1444)+INDIRECT("D$"&amp;4+MIN(2,ROUNDDOWN(I1444,0))*3)*(-3*$J1444^3+3*$J1444^2)+INDIRECT("D$"&amp;5+MIN(2,ROUNDDOWN(I1444,0))*3)*$J1444^3</f>
      </c>
      <c r="M1444" s="7">
        <f>SQRT(K1444^2+L1444^2)</f>
      </c>
      <c r="N1444" s="7">
        <f>(K1445-K1443)</f>
      </c>
      <c r="O1444" s="7">
        <f>+(L1445-L1443)</f>
      </c>
      <c r="P1444" s="7">
        <f>SQRT(O1444^2+N1444^2)</f>
      </c>
      <c r="Q1444" s="7">
        <f>N1444/$P1444</f>
      </c>
      <c r="R1444" s="7">
        <f>O1444/$P1444</f>
      </c>
      <c r="S1444" s="8">
        <f>Q1444^2+R1444^2</f>
      </c>
      <c r="T1444" s="7">
        <f>-R1444</f>
      </c>
      <c r="U1444" s="7">
        <f>Q1444</f>
      </c>
      <c r="V1444" s="7">
        <f>($C$14+($C$15-$C$14)/($D$15-$D$14)*(I1444-$D$14))/2</f>
      </c>
      <c r="W1444" s="7">
        <f>($B$22*I1444^4+$C$22*I1444^3+$D$22*I1444^2+$E$22*I1444+$F$22)/2</f>
      </c>
      <c r="X1444" s="7">
        <f>($W1444)*(T1444)</f>
      </c>
      <c r="Y1444" s="7">
        <f>($W1444)*(U1444)</f>
      </c>
      <c r="Z1444" s="7">
        <f>SQRT(X1444^2+Y1444^2)</f>
      </c>
      <c r="AA1444" s="7">
        <f>$K1444+$X1444</f>
      </c>
      <c r="AB1444" s="7">
        <f>$L1444+$Y1444</f>
      </c>
      <c r="AC1444" s="7">
        <f>$K1444-$X1444</f>
      </c>
      <c r="AD1444" s="7">
        <f>$L1444-$Y1444</f>
      </c>
      <c r="AE1444" s="7">
        <f>AA1444/39.3701</f>
      </c>
      <c r="AF1444" s="7">
        <f>AB1444/39.3701</f>
      </c>
      <c r="AG1444" s="7">
        <f>AC1444/39.3701</f>
      </c>
      <c r="AH1444" s="7">
        <f>AD1444/39.3701</f>
      </c>
      <c r="AI1444" s="1"/>
      <c r="AJ1444" s="1"/>
      <c r="AK1444" s="1"/>
      <c r="AL1444" s="1"/>
      <c r="AM1444" s="2"/>
      <c r="AN1444" s="1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  <c r="AY1444" s="1"/>
      <c r="AZ1444" s="1"/>
      <c r="BA1444" s="1"/>
      <c r="BB1444" s="1"/>
      <c r="BC1444" s="1"/>
      <c r="BD1444" s="1"/>
      <c r="BE1444" s="1"/>
    </row>
    <row x14ac:dyDescent="0.25" r="1445" customHeight="1" ht="18.75">
      <c r="A1445" s="1"/>
      <c r="B1445" s="2"/>
      <c r="C1445" s="2"/>
      <c r="D1445" s="2"/>
      <c r="E1445" s="2"/>
      <c r="F1445" s="2"/>
      <c r="G1445" s="1"/>
      <c r="H1445" s="1"/>
      <c r="I1445" s="7">
        <v>1.442</v>
      </c>
      <c r="J1445" s="7">
        <f>IF((I1445-ROUNDDOWN(I1445,0))=0, 0, (I1445-ROUNDDOWN(I1445,0)))</f>
      </c>
      <c r="K1445" s="7">
        <f>INDIRECT("C$"&amp;2+MIN(2,ROUNDDOWN(I1445,0))*3)*(-$J1445^3+3*$J1445^2-3*$J1445+1)+INDIRECT("C$"&amp;3+MIN(2,ROUNDDOWN(I1445,0))*3)*(3*$J1445^3-6*$J1445^2+3*$J1445)+INDIRECT("C$"&amp;4+MIN(2,ROUNDDOWN(I1445,0))*3)*(-3*$J1445^3+3*$J1445^2)+INDIRECT("C$"&amp;5+MIN(2,ROUNDDOWN(I1445,0))*3)*$J1445^3</f>
      </c>
      <c r="L1445" s="7">
        <f>INDIRECT("D$"&amp;2+MIN(2,ROUNDDOWN(I1445,0))*3)*(-$J1445^3+3*$J1445^2-3*$J1445+1)+INDIRECT("D$"&amp;3+MIN(2,ROUNDDOWN(I1445,0))*3)*(3*$J1445^3-6*$J1445^2+3*$J1445)+INDIRECT("D$"&amp;4+MIN(2,ROUNDDOWN(I1445,0))*3)*(-3*$J1445^3+3*$J1445^2)+INDIRECT("D$"&amp;5+MIN(2,ROUNDDOWN(I1445,0))*3)*$J1445^3</f>
      </c>
      <c r="M1445" s="7">
        <f>SQRT(K1445^2+L1445^2)</f>
      </c>
      <c r="N1445" s="7">
        <f>(K1446-K1444)</f>
      </c>
      <c r="O1445" s="7">
        <f>+(L1446-L1444)</f>
      </c>
      <c r="P1445" s="7">
        <f>SQRT(O1445^2+N1445^2)</f>
      </c>
      <c r="Q1445" s="7">
        <f>N1445/$P1445</f>
      </c>
      <c r="R1445" s="7">
        <f>O1445/$P1445</f>
      </c>
      <c r="S1445" s="8">
        <f>Q1445^2+R1445^2</f>
      </c>
      <c r="T1445" s="7">
        <f>-R1445</f>
      </c>
      <c r="U1445" s="7">
        <f>Q1445</f>
      </c>
      <c r="V1445" s="7">
        <f>($C$14+($C$15-$C$14)/($D$15-$D$14)*(I1445-$D$14))/2</f>
      </c>
      <c r="W1445" s="7">
        <f>($B$22*I1445^4+$C$22*I1445^3+$D$22*I1445^2+$E$22*I1445+$F$22)/2</f>
      </c>
      <c r="X1445" s="7">
        <f>($W1445)*(T1445)</f>
      </c>
      <c r="Y1445" s="7">
        <f>($W1445)*(U1445)</f>
      </c>
      <c r="Z1445" s="7">
        <f>SQRT(X1445^2+Y1445^2)</f>
      </c>
      <c r="AA1445" s="7">
        <f>$K1445+$X1445</f>
      </c>
      <c r="AB1445" s="7">
        <f>$L1445+$Y1445</f>
      </c>
      <c r="AC1445" s="7">
        <f>$K1445-$X1445</f>
      </c>
      <c r="AD1445" s="7">
        <f>$L1445-$Y1445</f>
      </c>
      <c r="AE1445" s="7">
        <f>AA1445/39.3701</f>
      </c>
      <c r="AF1445" s="7">
        <f>AB1445/39.3701</f>
      </c>
      <c r="AG1445" s="7">
        <f>AC1445/39.3701</f>
      </c>
      <c r="AH1445" s="7">
        <f>AD1445/39.3701</f>
      </c>
      <c r="AI1445" s="1"/>
      <c r="AJ1445" s="1"/>
      <c r="AK1445" s="1"/>
      <c r="AL1445" s="1"/>
      <c r="AM1445" s="2"/>
      <c r="AN1445" s="1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  <c r="AY1445" s="1"/>
      <c r="AZ1445" s="1"/>
      <c r="BA1445" s="1"/>
      <c r="BB1445" s="1"/>
      <c r="BC1445" s="1"/>
      <c r="BD1445" s="1"/>
      <c r="BE1445" s="1"/>
    </row>
    <row x14ac:dyDescent="0.25" r="1446" customHeight="1" ht="18.75">
      <c r="A1446" s="1"/>
      <c r="B1446" s="2"/>
      <c r="C1446" s="2"/>
      <c r="D1446" s="2"/>
      <c r="E1446" s="2"/>
      <c r="F1446" s="2"/>
      <c r="G1446" s="1"/>
      <c r="H1446" s="1"/>
      <c r="I1446" s="7">
        <v>1.443</v>
      </c>
      <c r="J1446" s="7">
        <f>IF((I1446-ROUNDDOWN(I1446,0))=0, 0, (I1446-ROUNDDOWN(I1446,0)))</f>
      </c>
      <c r="K1446" s="7">
        <f>INDIRECT("C$"&amp;2+MIN(2,ROUNDDOWN(I1446,0))*3)*(-$J1446^3+3*$J1446^2-3*$J1446+1)+INDIRECT("C$"&amp;3+MIN(2,ROUNDDOWN(I1446,0))*3)*(3*$J1446^3-6*$J1446^2+3*$J1446)+INDIRECT("C$"&amp;4+MIN(2,ROUNDDOWN(I1446,0))*3)*(-3*$J1446^3+3*$J1446^2)+INDIRECT("C$"&amp;5+MIN(2,ROUNDDOWN(I1446,0))*3)*$J1446^3</f>
      </c>
      <c r="L1446" s="7">
        <f>INDIRECT("D$"&amp;2+MIN(2,ROUNDDOWN(I1446,0))*3)*(-$J1446^3+3*$J1446^2-3*$J1446+1)+INDIRECT("D$"&amp;3+MIN(2,ROUNDDOWN(I1446,0))*3)*(3*$J1446^3-6*$J1446^2+3*$J1446)+INDIRECT("D$"&amp;4+MIN(2,ROUNDDOWN(I1446,0))*3)*(-3*$J1446^3+3*$J1446^2)+INDIRECT("D$"&amp;5+MIN(2,ROUNDDOWN(I1446,0))*3)*$J1446^3</f>
      </c>
      <c r="M1446" s="7">
        <f>SQRT(K1446^2+L1446^2)</f>
      </c>
      <c r="N1446" s="7">
        <f>(K1447-K1445)</f>
      </c>
      <c r="O1446" s="7">
        <f>+(L1447-L1445)</f>
      </c>
      <c r="P1446" s="7">
        <f>SQRT(O1446^2+N1446^2)</f>
      </c>
      <c r="Q1446" s="7">
        <f>N1446/$P1446</f>
      </c>
      <c r="R1446" s="7">
        <f>O1446/$P1446</f>
      </c>
      <c r="S1446" s="8">
        <f>Q1446^2+R1446^2</f>
      </c>
      <c r="T1446" s="7">
        <f>-R1446</f>
      </c>
      <c r="U1446" s="7">
        <f>Q1446</f>
      </c>
      <c r="V1446" s="7">
        <f>($C$14+($C$15-$C$14)/($D$15-$D$14)*(I1446-$D$14))/2</f>
      </c>
      <c r="W1446" s="7">
        <f>($B$22*I1446^4+$C$22*I1446^3+$D$22*I1446^2+$E$22*I1446+$F$22)/2</f>
      </c>
      <c r="X1446" s="7">
        <f>($W1446)*(T1446)</f>
      </c>
      <c r="Y1446" s="7">
        <f>($W1446)*(U1446)</f>
      </c>
      <c r="Z1446" s="7">
        <f>SQRT(X1446^2+Y1446^2)</f>
      </c>
      <c r="AA1446" s="7">
        <f>$K1446+$X1446</f>
      </c>
      <c r="AB1446" s="7">
        <f>$L1446+$Y1446</f>
      </c>
      <c r="AC1446" s="7">
        <f>$K1446-$X1446</f>
      </c>
      <c r="AD1446" s="7">
        <f>$L1446-$Y1446</f>
      </c>
      <c r="AE1446" s="7">
        <f>AA1446/39.3701</f>
      </c>
      <c r="AF1446" s="7">
        <f>AB1446/39.3701</f>
      </c>
      <c r="AG1446" s="7">
        <f>AC1446/39.3701</f>
      </c>
      <c r="AH1446" s="7">
        <f>AD1446/39.3701</f>
      </c>
      <c r="AI1446" s="1"/>
      <c r="AJ1446" s="1"/>
      <c r="AK1446" s="1"/>
      <c r="AL1446" s="1"/>
      <c r="AM1446" s="2"/>
      <c r="AN1446" s="1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  <c r="AY1446" s="1"/>
      <c r="AZ1446" s="1"/>
      <c r="BA1446" s="1"/>
      <c r="BB1446" s="1"/>
      <c r="BC1446" s="1"/>
      <c r="BD1446" s="1"/>
      <c r="BE1446" s="1"/>
    </row>
    <row x14ac:dyDescent="0.25" r="1447" customHeight="1" ht="18.75">
      <c r="A1447" s="1"/>
      <c r="B1447" s="2"/>
      <c r="C1447" s="2"/>
      <c r="D1447" s="2"/>
      <c r="E1447" s="2"/>
      <c r="F1447" s="2"/>
      <c r="G1447" s="1"/>
      <c r="H1447" s="1"/>
      <c r="I1447" s="7">
        <v>1.444</v>
      </c>
      <c r="J1447" s="7">
        <f>IF((I1447-ROUNDDOWN(I1447,0))=0, 0, (I1447-ROUNDDOWN(I1447,0)))</f>
      </c>
      <c r="K1447" s="7">
        <f>INDIRECT("C$"&amp;2+MIN(2,ROUNDDOWN(I1447,0))*3)*(-$J1447^3+3*$J1447^2-3*$J1447+1)+INDIRECT("C$"&amp;3+MIN(2,ROUNDDOWN(I1447,0))*3)*(3*$J1447^3-6*$J1447^2+3*$J1447)+INDIRECT("C$"&amp;4+MIN(2,ROUNDDOWN(I1447,0))*3)*(-3*$J1447^3+3*$J1447^2)+INDIRECT("C$"&amp;5+MIN(2,ROUNDDOWN(I1447,0))*3)*$J1447^3</f>
      </c>
      <c r="L1447" s="7">
        <f>INDIRECT("D$"&amp;2+MIN(2,ROUNDDOWN(I1447,0))*3)*(-$J1447^3+3*$J1447^2-3*$J1447+1)+INDIRECT("D$"&amp;3+MIN(2,ROUNDDOWN(I1447,0))*3)*(3*$J1447^3-6*$J1447^2+3*$J1447)+INDIRECT("D$"&amp;4+MIN(2,ROUNDDOWN(I1447,0))*3)*(-3*$J1447^3+3*$J1447^2)+INDIRECT("D$"&amp;5+MIN(2,ROUNDDOWN(I1447,0))*3)*$J1447^3</f>
      </c>
      <c r="M1447" s="7">
        <f>SQRT(K1447^2+L1447^2)</f>
      </c>
      <c r="N1447" s="7">
        <f>(K1448-K1446)</f>
      </c>
      <c r="O1447" s="7">
        <f>+(L1448-L1446)</f>
      </c>
      <c r="P1447" s="7">
        <f>SQRT(O1447^2+N1447^2)</f>
      </c>
      <c r="Q1447" s="7">
        <f>N1447/$P1447</f>
      </c>
      <c r="R1447" s="7">
        <f>O1447/$P1447</f>
      </c>
      <c r="S1447" s="8">
        <f>Q1447^2+R1447^2</f>
      </c>
      <c r="T1447" s="7">
        <f>-R1447</f>
      </c>
      <c r="U1447" s="7">
        <f>Q1447</f>
      </c>
      <c r="V1447" s="7">
        <f>($C$14+($C$15-$C$14)/($D$15-$D$14)*(I1447-$D$14))/2</f>
      </c>
      <c r="W1447" s="7">
        <f>($B$22*I1447^4+$C$22*I1447^3+$D$22*I1447^2+$E$22*I1447+$F$22)/2</f>
      </c>
      <c r="X1447" s="7">
        <f>($W1447)*(T1447)</f>
      </c>
      <c r="Y1447" s="7">
        <f>($W1447)*(U1447)</f>
      </c>
      <c r="Z1447" s="7">
        <f>SQRT(X1447^2+Y1447^2)</f>
      </c>
      <c r="AA1447" s="7">
        <f>$K1447+$X1447</f>
      </c>
      <c r="AB1447" s="7">
        <f>$L1447+$Y1447</f>
      </c>
      <c r="AC1447" s="7">
        <f>$K1447-$X1447</f>
      </c>
      <c r="AD1447" s="7">
        <f>$L1447-$Y1447</f>
      </c>
      <c r="AE1447" s="7">
        <f>AA1447/39.3701</f>
      </c>
      <c r="AF1447" s="7">
        <f>AB1447/39.3701</f>
      </c>
      <c r="AG1447" s="7">
        <f>AC1447/39.3701</f>
      </c>
      <c r="AH1447" s="7">
        <f>AD1447/39.3701</f>
      </c>
      <c r="AI1447" s="1"/>
      <c r="AJ1447" s="1"/>
      <c r="AK1447" s="1"/>
      <c r="AL1447" s="1"/>
      <c r="AM1447" s="2"/>
      <c r="AN1447" s="1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  <c r="AY1447" s="1"/>
      <c r="AZ1447" s="1"/>
      <c r="BA1447" s="1"/>
      <c r="BB1447" s="1"/>
      <c r="BC1447" s="1"/>
      <c r="BD1447" s="1"/>
      <c r="BE1447" s="1"/>
    </row>
    <row x14ac:dyDescent="0.25" r="1448" customHeight="1" ht="18.75">
      <c r="A1448" s="1"/>
      <c r="B1448" s="2"/>
      <c r="C1448" s="2"/>
      <c r="D1448" s="2"/>
      <c r="E1448" s="2"/>
      <c r="F1448" s="2"/>
      <c r="G1448" s="1"/>
      <c r="H1448" s="1"/>
      <c r="I1448" s="7">
        <v>1.445</v>
      </c>
      <c r="J1448" s="7">
        <f>IF((I1448-ROUNDDOWN(I1448,0))=0, 0, (I1448-ROUNDDOWN(I1448,0)))</f>
      </c>
      <c r="K1448" s="7">
        <f>INDIRECT("C$"&amp;2+MIN(2,ROUNDDOWN(I1448,0))*3)*(-$J1448^3+3*$J1448^2-3*$J1448+1)+INDIRECT("C$"&amp;3+MIN(2,ROUNDDOWN(I1448,0))*3)*(3*$J1448^3-6*$J1448^2+3*$J1448)+INDIRECT("C$"&amp;4+MIN(2,ROUNDDOWN(I1448,0))*3)*(-3*$J1448^3+3*$J1448^2)+INDIRECT("C$"&amp;5+MIN(2,ROUNDDOWN(I1448,0))*3)*$J1448^3</f>
      </c>
      <c r="L1448" s="7">
        <f>INDIRECT("D$"&amp;2+MIN(2,ROUNDDOWN(I1448,0))*3)*(-$J1448^3+3*$J1448^2-3*$J1448+1)+INDIRECT("D$"&amp;3+MIN(2,ROUNDDOWN(I1448,0))*3)*(3*$J1448^3-6*$J1448^2+3*$J1448)+INDIRECT("D$"&amp;4+MIN(2,ROUNDDOWN(I1448,0))*3)*(-3*$J1448^3+3*$J1448^2)+INDIRECT("D$"&amp;5+MIN(2,ROUNDDOWN(I1448,0))*3)*$J1448^3</f>
      </c>
      <c r="M1448" s="7">
        <f>SQRT(K1448^2+L1448^2)</f>
      </c>
      <c r="N1448" s="7">
        <f>(K1449-K1447)</f>
      </c>
      <c r="O1448" s="7">
        <f>+(L1449-L1447)</f>
      </c>
      <c r="P1448" s="7">
        <f>SQRT(O1448^2+N1448^2)</f>
      </c>
      <c r="Q1448" s="7">
        <f>N1448/$P1448</f>
      </c>
      <c r="R1448" s="7">
        <f>O1448/$P1448</f>
      </c>
      <c r="S1448" s="8">
        <f>Q1448^2+R1448^2</f>
      </c>
      <c r="T1448" s="7">
        <f>-R1448</f>
      </c>
      <c r="U1448" s="7">
        <f>Q1448</f>
      </c>
      <c r="V1448" s="7">
        <f>($C$14+($C$15-$C$14)/($D$15-$D$14)*(I1448-$D$14))/2</f>
      </c>
      <c r="W1448" s="7">
        <f>($B$22*I1448^4+$C$22*I1448^3+$D$22*I1448^2+$E$22*I1448+$F$22)/2</f>
      </c>
      <c r="X1448" s="7">
        <f>($W1448)*(T1448)</f>
      </c>
      <c r="Y1448" s="7">
        <f>($W1448)*(U1448)</f>
      </c>
      <c r="Z1448" s="7">
        <f>SQRT(X1448^2+Y1448^2)</f>
      </c>
      <c r="AA1448" s="7">
        <f>$K1448+$X1448</f>
      </c>
      <c r="AB1448" s="7">
        <f>$L1448+$Y1448</f>
      </c>
      <c r="AC1448" s="7">
        <f>$K1448-$X1448</f>
      </c>
      <c r="AD1448" s="7">
        <f>$L1448-$Y1448</f>
      </c>
      <c r="AE1448" s="7">
        <f>AA1448/39.3701</f>
      </c>
      <c r="AF1448" s="7">
        <f>AB1448/39.3701</f>
      </c>
      <c r="AG1448" s="7">
        <f>AC1448/39.3701</f>
      </c>
      <c r="AH1448" s="7">
        <f>AD1448/39.3701</f>
      </c>
      <c r="AI1448" s="1"/>
      <c r="AJ1448" s="1"/>
      <c r="AK1448" s="1"/>
      <c r="AL1448" s="1"/>
      <c r="AM1448" s="2"/>
      <c r="AN1448" s="1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  <c r="BA1448" s="1"/>
      <c r="BB1448" s="1"/>
      <c r="BC1448" s="1"/>
      <c r="BD1448" s="1"/>
      <c r="BE1448" s="1"/>
    </row>
    <row x14ac:dyDescent="0.25" r="1449" customHeight="1" ht="18.75">
      <c r="A1449" s="1"/>
      <c r="B1449" s="2"/>
      <c r="C1449" s="2"/>
      <c r="D1449" s="2"/>
      <c r="E1449" s="2"/>
      <c r="F1449" s="2"/>
      <c r="G1449" s="1"/>
      <c r="H1449" s="1"/>
      <c r="I1449" s="7">
        <v>1.446</v>
      </c>
      <c r="J1449" s="7">
        <f>IF((I1449-ROUNDDOWN(I1449,0))=0, 0, (I1449-ROUNDDOWN(I1449,0)))</f>
      </c>
      <c r="K1449" s="7">
        <f>INDIRECT("C$"&amp;2+MIN(2,ROUNDDOWN(I1449,0))*3)*(-$J1449^3+3*$J1449^2-3*$J1449+1)+INDIRECT("C$"&amp;3+MIN(2,ROUNDDOWN(I1449,0))*3)*(3*$J1449^3-6*$J1449^2+3*$J1449)+INDIRECT("C$"&amp;4+MIN(2,ROUNDDOWN(I1449,0))*3)*(-3*$J1449^3+3*$J1449^2)+INDIRECT("C$"&amp;5+MIN(2,ROUNDDOWN(I1449,0))*3)*$J1449^3</f>
      </c>
      <c r="L1449" s="7">
        <f>INDIRECT("D$"&amp;2+MIN(2,ROUNDDOWN(I1449,0))*3)*(-$J1449^3+3*$J1449^2-3*$J1449+1)+INDIRECT("D$"&amp;3+MIN(2,ROUNDDOWN(I1449,0))*3)*(3*$J1449^3-6*$J1449^2+3*$J1449)+INDIRECT("D$"&amp;4+MIN(2,ROUNDDOWN(I1449,0))*3)*(-3*$J1449^3+3*$J1449^2)+INDIRECT("D$"&amp;5+MIN(2,ROUNDDOWN(I1449,0))*3)*$J1449^3</f>
      </c>
      <c r="M1449" s="7">
        <f>SQRT(K1449^2+L1449^2)</f>
      </c>
      <c r="N1449" s="7">
        <f>(K1450-K1448)</f>
      </c>
      <c r="O1449" s="7">
        <f>+(L1450-L1448)</f>
      </c>
      <c r="P1449" s="7">
        <f>SQRT(O1449^2+N1449^2)</f>
      </c>
      <c r="Q1449" s="7">
        <f>N1449/$P1449</f>
      </c>
      <c r="R1449" s="7">
        <f>O1449/$P1449</f>
      </c>
      <c r="S1449" s="7">
        <f>Q1449^2+R1449^2</f>
      </c>
      <c r="T1449" s="7">
        <f>-R1449</f>
      </c>
      <c r="U1449" s="7">
        <f>Q1449</f>
      </c>
      <c r="V1449" s="7">
        <f>($C$14+($C$15-$C$14)/($D$15-$D$14)*(I1449-$D$14))/2</f>
      </c>
      <c r="W1449" s="7">
        <f>($B$22*I1449^4+$C$22*I1449^3+$D$22*I1449^2+$E$22*I1449+$F$22)/2</f>
      </c>
      <c r="X1449" s="7">
        <f>($W1449)*(T1449)</f>
      </c>
      <c r="Y1449" s="7">
        <f>($W1449)*(U1449)</f>
      </c>
      <c r="Z1449" s="7">
        <f>SQRT(X1449^2+Y1449^2)</f>
      </c>
      <c r="AA1449" s="7">
        <f>$K1449+$X1449</f>
      </c>
      <c r="AB1449" s="7">
        <f>$L1449+$Y1449</f>
      </c>
      <c r="AC1449" s="7">
        <f>$K1449-$X1449</f>
      </c>
      <c r="AD1449" s="7">
        <f>$L1449-$Y1449</f>
      </c>
      <c r="AE1449" s="7">
        <f>AA1449/39.3701</f>
      </c>
      <c r="AF1449" s="7">
        <f>AB1449/39.3701</f>
      </c>
      <c r="AG1449" s="7">
        <f>AC1449/39.3701</f>
      </c>
      <c r="AH1449" s="7">
        <f>AD1449/39.3701</f>
      </c>
      <c r="AI1449" s="1"/>
      <c r="AJ1449" s="1"/>
      <c r="AK1449" s="1"/>
      <c r="AL1449" s="1"/>
      <c r="AM1449" s="2"/>
      <c r="AN1449" s="1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  <c r="BA1449" s="1"/>
      <c r="BB1449" s="1"/>
      <c r="BC1449" s="1"/>
      <c r="BD1449" s="1"/>
      <c r="BE1449" s="1"/>
    </row>
    <row x14ac:dyDescent="0.25" r="1450" customHeight="1" ht="18.75">
      <c r="A1450" s="1"/>
      <c r="B1450" s="2"/>
      <c r="C1450" s="2"/>
      <c r="D1450" s="2"/>
      <c r="E1450" s="2"/>
      <c r="F1450" s="2"/>
      <c r="G1450" s="1"/>
      <c r="H1450" s="1"/>
      <c r="I1450" s="7">
        <v>1.447</v>
      </c>
      <c r="J1450" s="7">
        <f>IF((I1450-ROUNDDOWN(I1450,0))=0, 0, (I1450-ROUNDDOWN(I1450,0)))</f>
      </c>
      <c r="K1450" s="7">
        <f>INDIRECT("C$"&amp;2+MIN(2,ROUNDDOWN(I1450,0))*3)*(-$J1450^3+3*$J1450^2-3*$J1450+1)+INDIRECT("C$"&amp;3+MIN(2,ROUNDDOWN(I1450,0))*3)*(3*$J1450^3-6*$J1450^2+3*$J1450)+INDIRECT("C$"&amp;4+MIN(2,ROUNDDOWN(I1450,0))*3)*(-3*$J1450^3+3*$J1450^2)+INDIRECT("C$"&amp;5+MIN(2,ROUNDDOWN(I1450,0))*3)*$J1450^3</f>
      </c>
      <c r="L1450" s="7">
        <f>INDIRECT("D$"&amp;2+MIN(2,ROUNDDOWN(I1450,0))*3)*(-$J1450^3+3*$J1450^2-3*$J1450+1)+INDIRECT("D$"&amp;3+MIN(2,ROUNDDOWN(I1450,0))*3)*(3*$J1450^3-6*$J1450^2+3*$J1450)+INDIRECT("D$"&amp;4+MIN(2,ROUNDDOWN(I1450,0))*3)*(-3*$J1450^3+3*$J1450^2)+INDIRECT("D$"&amp;5+MIN(2,ROUNDDOWN(I1450,0))*3)*$J1450^3</f>
      </c>
      <c r="M1450" s="7">
        <f>SQRT(K1450^2+L1450^2)</f>
      </c>
      <c r="N1450" s="7">
        <f>(K1451-K1449)</f>
      </c>
      <c r="O1450" s="7">
        <f>+(L1451-L1449)</f>
      </c>
      <c r="P1450" s="7">
        <f>SQRT(O1450^2+N1450^2)</f>
      </c>
      <c r="Q1450" s="7">
        <f>N1450/$P1450</f>
      </c>
      <c r="R1450" s="7">
        <f>O1450/$P1450</f>
      </c>
      <c r="S1450" s="7">
        <f>Q1450^2+R1450^2</f>
      </c>
      <c r="T1450" s="7">
        <f>-R1450</f>
      </c>
      <c r="U1450" s="7">
        <f>Q1450</f>
      </c>
      <c r="V1450" s="7">
        <f>($C$14+($C$15-$C$14)/($D$15-$D$14)*(I1450-$D$14))/2</f>
      </c>
      <c r="W1450" s="7">
        <f>($B$22*I1450^4+$C$22*I1450^3+$D$22*I1450^2+$E$22*I1450+$F$22)/2</f>
      </c>
      <c r="X1450" s="7">
        <f>($W1450)*(T1450)</f>
      </c>
      <c r="Y1450" s="7">
        <f>($W1450)*(U1450)</f>
      </c>
      <c r="Z1450" s="7">
        <f>SQRT(X1450^2+Y1450^2)</f>
      </c>
      <c r="AA1450" s="7">
        <f>$K1450+$X1450</f>
      </c>
      <c r="AB1450" s="7">
        <f>$L1450+$Y1450</f>
      </c>
      <c r="AC1450" s="7">
        <f>$K1450-$X1450</f>
      </c>
      <c r="AD1450" s="7">
        <f>$L1450-$Y1450</f>
      </c>
      <c r="AE1450" s="7">
        <f>AA1450/39.3701</f>
      </c>
      <c r="AF1450" s="7">
        <f>AB1450/39.3701</f>
      </c>
      <c r="AG1450" s="7">
        <f>AC1450/39.3701</f>
      </c>
      <c r="AH1450" s="7">
        <f>AD1450/39.3701</f>
      </c>
      <c r="AI1450" s="1"/>
      <c r="AJ1450" s="1"/>
      <c r="AK1450" s="1"/>
      <c r="AL1450" s="1"/>
      <c r="AM1450" s="2"/>
      <c r="AN1450" s="1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  <c r="BA1450" s="1"/>
      <c r="BB1450" s="1"/>
      <c r="BC1450" s="1"/>
      <c r="BD1450" s="1"/>
      <c r="BE1450" s="1"/>
    </row>
    <row x14ac:dyDescent="0.25" r="1451" customHeight="1" ht="18.75">
      <c r="A1451" s="1"/>
      <c r="B1451" s="2"/>
      <c r="C1451" s="2"/>
      <c r="D1451" s="2"/>
      <c r="E1451" s="2"/>
      <c r="F1451" s="2"/>
      <c r="G1451" s="1"/>
      <c r="H1451" s="1"/>
      <c r="I1451" s="7">
        <v>1.448</v>
      </c>
      <c r="J1451" s="7">
        <f>IF((I1451-ROUNDDOWN(I1451,0))=0, 0, (I1451-ROUNDDOWN(I1451,0)))</f>
      </c>
      <c r="K1451" s="7">
        <f>INDIRECT("C$"&amp;2+MIN(2,ROUNDDOWN(I1451,0))*3)*(-$J1451^3+3*$J1451^2-3*$J1451+1)+INDIRECT("C$"&amp;3+MIN(2,ROUNDDOWN(I1451,0))*3)*(3*$J1451^3-6*$J1451^2+3*$J1451)+INDIRECT("C$"&amp;4+MIN(2,ROUNDDOWN(I1451,0))*3)*(-3*$J1451^3+3*$J1451^2)+INDIRECT("C$"&amp;5+MIN(2,ROUNDDOWN(I1451,0))*3)*$J1451^3</f>
      </c>
      <c r="L1451" s="7">
        <f>INDIRECT("D$"&amp;2+MIN(2,ROUNDDOWN(I1451,0))*3)*(-$J1451^3+3*$J1451^2-3*$J1451+1)+INDIRECT("D$"&amp;3+MIN(2,ROUNDDOWN(I1451,0))*3)*(3*$J1451^3-6*$J1451^2+3*$J1451)+INDIRECT("D$"&amp;4+MIN(2,ROUNDDOWN(I1451,0))*3)*(-3*$J1451^3+3*$J1451^2)+INDIRECT("D$"&amp;5+MIN(2,ROUNDDOWN(I1451,0))*3)*$J1451^3</f>
      </c>
      <c r="M1451" s="7">
        <f>SQRT(K1451^2+L1451^2)</f>
      </c>
      <c r="N1451" s="7">
        <f>(K1452-K1450)</f>
      </c>
      <c r="O1451" s="7">
        <f>+(L1452-L1450)</f>
      </c>
      <c r="P1451" s="7">
        <f>SQRT(O1451^2+N1451^2)</f>
      </c>
      <c r="Q1451" s="7">
        <f>N1451/$P1451</f>
      </c>
      <c r="R1451" s="7">
        <f>O1451/$P1451</f>
      </c>
      <c r="S1451" s="7">
        <f>Q1451^2+R1451^2</f>
      </c>
      <c r="T1451" s="7">
        <f>-R1451</f>
      </c>
      <c r="U1451" s="7">
        <f>Q1451</f>
      </c>
      <c r="V1451" s="7">
        <f>($C$14+($C$15-$C$14)/($D$15-$D$14)*(I1451-$D$14))/2</f>
      </c>
      <c r="W1451" s="7">
        <f>($B$22*I1451^4+$C$22*I1451^3+$D$22*I1451^2+$E$22*I1451+$F$22)/2</f>
      </c>
      <c r="X1451" s="7">
        <f>($W1451)*(T1451)</f>
      </c>
      <c r="Y1451" s="7">
        <f>($W1451)*(U1451)</f>
      </c>
      <c r="Z1451" s="7">
        <f>SQRT(X1451^2+Y1451^2)</f>
      </c>
      <c r="AA1451" s="7">
        <f>$K1451+$X1451</f>
      </c>
      <c r="AB1451" s="7">
        <f>$L1451+$Y1451</f>
      </c>
      <c r="AC1451" s="7">
        <f>$K1451-$X1451</f>
      </c>
      <c r="AD1451" s="7">
        <f>$L1451-$Y1451</f>
      </c>
      <c r="AE1451" s="7">
        <f>AA1451/39.3701</f>
      </c>
      <c r="AF1451" s="7">
        <f>AB1451/39.3701</f>
      </c>
      <c r="AG1451" s="7">
        <f>AC1451/39.3701</f>
      </c>
      <c r="AH1451" s="7">
        <f>AD1451/39.3701</f>
      </c>
      <c r="AI1451" s="1"/>
      <c r="AJ1451" s="1"/>
      <c r="AK1451" s="1"/>
      <c r="AL1451" s="1"/>
      <c r="AM1451" s="2"/>
      <c r="AN1451" s="1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  <c r="BA1451" s="1"/>
      <c r="BB1451" s="1"/>
      <c r="BC1451" s="1"/>
      <c r="BD1451" s="1"/>
      <c r="BE1451" s="1"/>
    </row>
    <row x14ac:dyDescent="0.25" r="1452" customHeight="1" ht="18.75">
      <c r="A1452" s="1"/>
      <c r="B1452" s="2"/>
      <c r="C1452" s="2"/>
      <c r="D1452" s="2"/>
      <c r="E1452" s="2"/>
      <c r="F1452" s="2"/>
      <c r="G1452" s="1"/>
      <c r="H1452" s="1"/>
      <c r="I1452" s="7">
        <v>1.449</v>
      </c>
      <c r="J1452" s="7">
        <f>IF((I1452-ROUNDDOWN(I1452,0))=0, 0, (I1452-ROUNDDOWN(I1452,0)))</f>
      </c>
      <c r="K1452" s="7">
        <f>INDIRECT("C$"&amp;2+MIN(2,ROUNDDOWN(I1452,0))*3)*(-$J1452^3+3*$J1452^2-3*$J1452+1)+INDIRECT("C$"&amp;3+MIN(2,ROUNDDOWN(I1452,0))*3)*(3*$J1452^3-6*$J1452^2+3*$J1452)+INDIRECT("C$"&amp;4+MIN(2,ROUNDDOWN(I1452,0))*3)*(-3*$J1452^3+3*$J1452^2)+INDIRECT("C$"&amp;5+MIN(2,ROUNDDOWN(I1452,0))*3)*$J1452^3</f>
      </c>
      <c r="L1452" s="7">
        <f>INDIRECT("D$"&amp;2+MIN(2,ROUNDDOWN(I1452,0))*3)*(-$J1452^3+3*$J1452^2-3*$J1452+1)+INDIRECT("D$"&amp;3+MIN(2,ROUNDDOWN(I1452,0))*3)*(3*$J1452^3-6*$J1452^2+3*$J1452)+INDIRECT("D$"&amp;4+MIN(2,ROUNDDOWN(I1452,0))*3)*(-3*$J1452^3+3*$J1452^2)+INDIRECT("D$"&amp;5+MIN(2,ROUNDDOWN(I1452,0))*3)*$J1452^3</f>
      </c>
      <c r="M1452" s="7">
        <f>SQRT(K1452^2+L1452^2)</f>
      </c>
      <c r="N1452" s="7">
        <f>(K1453-K1451)</f>
      </c>
      <c r="O1452" s="7">
        <f>+(L1453-L1451)</f>
      </c>
      <c r="P1452" s="7">
        <f>SQRT(O1452^2+N1452^2)</f>
      </c>
      <c r="Q1452" s="7">
        <f>N1452/$P1452</f>
      </c>
      <c r="R1452" s="7">
        <f>O1452/$P1452</f>
      </c>
      <c r="S1452" s="8">
        <f>Q1452^2+R1452^2</f>
      </c>
      <c r="T1452" s="7">
        <f>-R1452</f>
      </c>
      <c r="U1452" s="7">
        <f>Q1452</f>
      </c>
      <c r="V1452" s="7">
        <f>($C$14+($C$15-$C$14)/($D$15-$D$14)*(I1452-$D$14))/2</f>
      </c>
      <c r="W1452" s="7">
        <f>($B$22*I1452^4+$C$22*I1452^3+$D$22*I1452^2+$E$22*I1452+$F$22)/2</f>
      </c>
      <c r="X1452" s="7">
        <f>($W1452)*(T1452)</f>
      </c>
      <c r="Y1452" s="7">
        <f>($W1452)*(U1452)</f>
      </c>
      <c r="Z1452" s="7">
        <f>SQRT(X1452^2+Y1452^2)</f>
      </c>
      <c r="AA1452" s="7">
        <f>$K1452+$X1452</f>
      </c>
      <c r="AB1452" s="7">
        <f>$L1452+$Y1452</f>
      </c>
      <c r="AC1452" s="7">
        <f>$K1452-$X1452</f>
      </c>
      <c r="AD1452" s="7">
        <f>$L1452-$Y1452</f>
      </c>
      <c r="AE1452" s="7">
        <f>AA1452/39.3701</f>
      </c>
      <c r="AF1452" s="7">
        <f>AB1452/39.3701</f>
      </c>
      <c r="AG1452" s="7">
        <f>AC1452/39.3701</f>
      </c>
      <c r="AH1452" s="7">
        <f>AD1452/39.3701</f>
      </c>
      <c r="AI1452" s="1"/>
      <c r="AJ1452" s="1"/>
      <c r="AK1452" s="1"/>
      <c r="AL1452" s="1"/>
      <c r="AM1452" s="2"/>
      <c r="AN1452" s="1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  <c r="BA1452" s="1"/>
      <c r="BB1452" s="1"/>
      <c r="BC1452" s="1"/>
      <c r="BD1452" s="1"/>
      <c r="BE1452" s="1"/>
    </row>
    <row x14ac:dyDescent="0.25" r="1453" customHeight="1" ht="18.75">
      <c r="A1453" s="1"/>
      <c r="B1453" s="2"/>
      <c r="C1453" s="2"/>
      <c r="D1453" s="2"/>
      <c r="E1453" s="2"/>
      <c r="F1453" s="2"/>
      <c r="G1453" s="1"/>
      <c r="H1453" s="1"/>
      <c r="I1453" s="7">
        <v>1.45</v>
      </c>
      <c r="J1453" s="7">
        <f>IF((I1453-ROUNDDOWN(I1453,0))=0, 0, (I1453-ROUNDDOWN(I1453,0)))</f>
      </c>
      <c r="K1453" s="7">
        <f>INDIRECT("C$"&amp;2+MIN(2,ROUNDDOWN(I1453,0))*3)*(-$J1453^3+3*$J1453^2-3*$J1453+1)+INDIRECT("C$"&amp;3+MIN(2,ROUNDDOWN(I1453,0))*3)*(3*$J1453^3-6*$J1453^2+3*$J1453)+INDIRECT("C$"&amp;4+MIN(2,ROUNDDOWN(I1453,0))*3)*(-3*$J1453^3+3*$J1453^2)+INDIRECT("C$"&amp;5+MIN(2,ROUNDDOWN(I1453,0))*3)*$J1453^3</f>
      </c>
      <c r="L1453" s="7">
        <f>INDIRECT("D$"&amp;2+MIN(2,ROUNDDOWN(I1453,0))*3)*(-$J1453^3+3*$J1453^2-3*$J1453+1)+INDIRECT("D$"&amp;3+MIN(2,ROUNDDOWN(I1453,0))*3)*(3*$J1453^3-6*$J1453^2+3*$J1453)+INDIRECT("D$"&amp;4+MIN(2,ROUNDDOWN(I1453,0))*3)*(-3*$J1453^3+3*$J1453^2)+INDIRECT("D$"&amp;5+MIN(2,ROUNDDOWN(I1453,0))*3)*$J1453^3</f>
      </c>
      <c r="M1453" s="7">
        <f>SQRT(K1453^2+L1453^2)</f>
      </c>
      <c r="N1453" s="7">
        <f>(K1454-K1452)</f>
      </c>
      <c r="O1453" s="7">
        <f>+(L1454-L1452)</f>
      </c>
      <c r="P1453" s="7">
        <f>SQRT(O1453^2+N1453^2)</f>
      </c>
      <c r="Q1453" s="7">
        <f>N1453/$P1453</f>
      </c>
      <c r="R1453" s="7">
        <f>O1453/$P1453</f>
      </c>
      <c r="S1453" s="8">
        <f>Q1453^2+R1453^2</f>
      </c>
      <c r="T1453" s="7">
        <f>-R1453</f>
      </c>
      <c r="U1453" s="7">
        <f>Q1453</f>
      </c>
      <c r="V1453" s="7">
        <f>($C$14+($C$15-$C$14)/($D$15-$D$14)*(I1453-$D$14))/2</f>
      </c>
      <c r="W1453" s="7">
        <f>($B$22*I1453^4+$C$22*I1453^3+$D$22*I1453^2+$E$22*I1453+$F$22)/2</f>
      </c>
      <c r="X1453" s="7">
        <f>($W1453)*(T1453)</f>
      </c>
      <c r="Y1453" s="7">
        <f>($W1453)*(U1453)</f>
      </c>
      <c r="Z1453" s="7">
        <f>SQRT(X1453^2+Y1453^2)</f>
      </c>
      <c r="AA1453" s="7">
        <f>$K1453+$X1453</f>
      </c>
      <c r="AB1453" s="7">
        <f>$L1453+$Y1453</f>
      </c>
      <c r="AC1453" s="7">
        <f>$K1453-$X1453</f>
      </c>
      <c r="AD1453" s="7">
        <f>$L1453-$Y1453</f>
      </c>
      <c r="AE1453" s="7">
        <f>AA1453/39.3701</f>
      </c>
      <c r="AF1453" s="7">
        <f>AB1453/39.3701</f>
      </c>
      <c r="AG1453" s="7">
        <f>AC1453/39.3701</f>
      </c>
      <c r="AH1453" s="7">
        <f>AD1453/39.3701</f>
      </c>
      <c r="AI1453" s="1"/>
      <c r="AJ1453" s="1"/>
      <c r="AK1453" s="1"/>
      <c r="AL1453" s="1"/>
      <c r="AM1453" s="2"/>
      <c r="AN1453" s="1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  <c r="BA1453" s="1"/>
      <c r="BB1453" s="1"/>
      <c r="BC1453" s="1"/>
      <c r="BD1453" s="1"/>
      <c r="BE1453" s="1"/>
    </row>
    <row x14ac:dyDescent="0.25" r="1454" customHeight="1" ht="18.75">
      <c r="A1454" s="1"/>
      <c r="B1454" s="2"/>
      <c r="C1454" s="2"/>
      <c r="D1454" s="2"/>
      <c r="E1454" s="2"/>
      <c r="F1454" s="2"/>
      <c r="G1454" s="1"/>
      <c r="H1454" s="1"/>
      <c r="I1454" s="7">
        <v>1.451</v>
      </c>
      <c r="J1454" s="7">
        <f>IF((I1454-ROUNDDOWN(I1454,0))=0, 0, (I1454-ROUNDDOWN(I1454,0)))</f>
      </c>
      <c r="K1454" s="7">
        <f>INDIRECT("C$"&amp;2+MIN(2,ROUNDDOWN(I1454,0))*3)*(-$J1454^3+3*$J1454^2-3*$J1454+1)+INDIRECT("C$"&amp;3+MIN(2,ROUNDDOWN(I1454,0))*3)*(3*$J1454^3-6*$J1454^2+3*$J1454)+INDIRECT("C$"&amp;4+MIN(2,ROUNDDOWN(I1454,0))*3)*(-3*$J1454^3+3*$J1454^2)+INDIRECT("C$"&amp;5+MIN(2,ROUNDDOWN(I1454,0))*3)*$J1454^3</f>
      </c>
      <c r="L1454" s="7">
        <f>INDIRECT("D$"&amp;2+MIN(2,ROUNDDOWN(I1454,0))*3)*(-$J1454^3+3*$J1454^2-3*$J1454+1)+INDIRECT("D$"&amp;3+MIN(2,ROUNDDOWN(I1454,0))*3)*(3*$J1454^3-6*$J1454^2+3*$J1454)+INDIRECT("D$"&amp;4+MIN(2,ROUNDDOWN(I1454,0))*3)*(-3*$J1454^3+3*$J1454^2)+INDIRECT("D$"&amp;5+MIN(2,ROUNDDOWN(I1454,0))*3)*$J1454^3</f>
      </c>
      <c r="M1454" s="7">
        <f>SQRT(K1454^2+L1454^2)</f>
      </c>
      <c r="N1454" s="7">
        <f>(K1455-K1453)</f>
      </c>
      <c r="O1454" s="7">
        <f>+(L1455-L1453)</f>
      </c>
      <c r="P1454" s="7">
        <f>SQRT(O1454^2+N1454^2)</f>
      </c>
      <c r="Q1454" s="7">
        <f>N1454/$P1454</f>
      </c>
      <c r="R1454" s="7">
        <f>O1454/$P1454</f>
      </c>
      <c r="S1454" s="8">
        <f>Q1454^2+R1454^2</f>
      </c>
      <c r="T1454" s="7">
        <f>-R1454</f>
      </c>
      <c r="U1454" s="7">
        <f>Q1454</f>
      </c>
      <c r="V1454" s="7">
        <f>($C$14+($C$15-$C$14)/($D$15-$D$14)*(I1454-$D$14))/2</f>
      </c>
      <c r="W1454" s="7">
        <f>($B$22*I1454^4+$C$22*I1454^3+$D$22*I1454^2+$E$22*I1454+$F$22)/2</f>
      </c>
      <c r="X1454" s="7">
        <f>($W1454)*(T1454)</f>
      </c>
      <c r="Y1454" s="7">
        <f>($W1454)*(U1454)</f>
      </c>
      <c r="Z1454" s="7">
        <f>SQRT(X1454^2+Y1454^2)</f>
      </c>
      <c r="AA1454" s="7">
        <f>$K1454+$X1454</f>
      </c>
      <c r="AB1454" s="7">
        <f>$L1454+$Y1454</f>
      </c>
      <c r="AC1454" s="7">
        <f>$K1454-$X1454</f>
      </c>
      <c r="AD1454" s="7">
        <f>$L1454-$Y1454</f>
      </c>
      <c r="AE1454" s="7">
        <f>AA1454/39.3701</f>
      </c>
      <c r="AF1454" s="7">
        <f>AB1454/39.3701</f>
      </c>
      <c r="AG1454" s="7">
        <f>AC1454/39.3701</f>
      </c>
      <c r="AH1454" s="7">
        <f>AD1454/39.3701</f>
      </c>
      <c r="AI1454" s="1"/>
      <c r="AJ1454" s="1"/>
      <c r="AK1454" s="1"/>
      <c r="AL1454" s="1"/>
      <c r="AM1454" s="2"/>
      <c r="AN1454" s="1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  <c r="BA1454" s="1"/>
      <c r="BB1454" s="1"/>
      <c r="BC1454" s="1"/>
      <c r="BD1454" s="1"/>
      <c r="BE1454" s="1"/>
    </row>
    <row x14ac:dyDescent="0.25" r="1455" customHeight="1" ht="18.75">
      <c r="A1455" s="1"/>
      <c r="B1455" s="2"/>
      <c r="C1455" s="2"/>
      <c r="D1455" s="2"/>
      <c r="E1455" s="2"/>
      <c r="F1455" s="2"/>
      <c r="G1455" s="1"/>
      <c r="H1455" s="1"/>
      <c r="I1455" s="7">
        <v>1.452</v>
      </c>
      <c r="J1455" s="7">
        <f>IF((I1455-ROUNDDOWN(I1455,0))=0, 0, (I1455-ROUNDDOWN(I1455,0)))</f>
      </c>
      <c r="K1455" s="7">
        <f>INDIRECT("C$"&amp;2+MIN(2,ROUNDDOWN(I1455,0))*3)*(-$J1455^3+3*$J1455^2-3*$J1455+1)+INDIRECT("C$"&amp;3+MIN(2,ROUNDDOWN(I1455,0))*3)*(3*$J1455^3-6*$J1455^2+3*$J1455)+INDIRECT("C$"&amp;4+MIN(2,ROUNDDOWN(I1455,0))*3)*(-3*$J1455^3+3*$J1455^2)+INDIRECT("C$"&amp;5+MIN(2,ROUNDDOWN(I1455,0))*3)*$J1455^3</f>
      </c>
      <c r="L1455" s="7">
        <f>INDIRECT("D$"&amp;2+MIN(2,ROUNDDOWN(I1455,0))*3)*(-$J1455^3+3*$J1455^2-3*$J1455+1)+INDIRECT("D$"&amp;3+MIN(2,ROUNDDOWN(I1455,0))*3)*(3*$J1455^3-6*$J1455^2+3*$J1455)+INDIRECT("D$"&amp;4+MIN(2,ROUNDDOWN(I1455,0))*3)*(-3*$J1455^3+3*$J1455^2)+INDIRECT("D$"&amp;5+MIN(2,ROUNDDOWN(I1455,0))*3)*$J1455^3</f>
      </c>
      <c r="M1455" s="7">
        <f>SQRT(K1455^2+L1455^2)</f>
      </c>
      <c r="N1455" s="7">
        <f>(K1456-K1454)</f>
      </c>
      <c r="O1455" s="7">
        <f>+(L1456-L1454)</f>
      </c>
      <c r="P1455" s="7">
        <f>SQRT(O1455^2+N1455^2)</f>
      </c>
      <c r="Q1455" s="7">
        <f>N1455/$P1455</f>
      </c>
      <c r="R1455" s="7">
        <f>O1455/$P1455</f>
      </c>
      <c r="S1455" s="8">
        <f>Q1455^2+R1455^2</f>
      </c>
      <c r="T1455" s="7">
        <f>-R1455</f>
      </c>
      <c r="U1455" s="7">
        <f>Q1455</f>
      </c>
      <c r="V1455" s="7">
        <f>($C$14+($C$15-$C$14)/($D$15-$D$14)*(I1455-$D$14))/2</f>
      </c>
      <c r="W1455" s="7">
        <f>($B$22*I1455^4+$C$22*I1455^3+$D$22*I1455^2+$E$22*I1455+$F$22)/2</f>
      </c>
      <c r="X1455" s="7">
        <f>($W1455)*(T1455)</f>
      </c>
      <c r="Y1455" s="7">
        <f>($W1455)*(U1455)</f>
      </c>
      <c r="Z1455" s="7">
        <f>SQRT(X1455^2+Y1455^2)</f>
      </c>
      <c r="AA1455" s="7">
        <f>$K1455+$X1455</f>
      </c>
      <c r="AB1455" s="7">
        <f>$L1455+$Y1455</f>
      </c>
      <c r="AC1455" s="7">
        <f>$K1455-$X1455</f>
      </c>
      <c r="AD1455" s="7">
        <f>$L1455-$Y1455</f>
      </c>
      <c r="AE1455" s="7">
        <f>AA1455/39.3701</f>
      </c>
      <c r="AF1455" s="7">
        <f>AB1455/39.3701</f>
      </c>
      <c r="AG1455" s="7">
        <f>AC1455/39.3701</f>
      </c>
      <c r="AH1455" s="7">
        <f>AD1455/39.3701</f>
      </c>
      <c r="AI1455" s="1"/>
      <c r="AJ1455" s="1"/>
      <c r="AK1455" s="1"/>
      <c r="AL1455" s="1"/>
      <c r="AM1455" s="2"/>
      <c r="AN1455" s="1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  <c r="BA1455" s="1"/>
      <c r="BB1455" s="1"/>
      <c r="BC1455" s="1"/>
      <c r="BD1455" s="1"/>
      <c r="BE1455" s="1"/>
    </row>
    <row x14ac:dyDescent="0.25" r="1456" customHeight="1" ht="18.75">
      <c r="A1456" s="1"/>
      <c r="B1456" s="2"/>
      <c r="C1456" s="2"/>
      <c r="D1456" s="2"/>
      <c r="E1456" s="2"/>
      <c r="F1456" s="2"/>
      <c r="G1456" s="1"/>
      <c r="H1456" s="1"/>
      <c r="I1456" s="7">
        <v>1.453</v>
      </c>
      <c r="J1456" s="7">
        <f>IF((I1456-ROUNDDOWN(I1456,0))=0, 0, (I1456-ROUNDDOWN(I1456,0)))</f>
      </c>
      <c r="K1456" s="7">
        <f>INDIRECT("C$"&amp;2+MIN(2,ROUNDDOWN(I1456,0))*3)*(-$J1456^3+3*$J1456^2-3*$J1456+1)+INDIRECT("C$"&amp;3+MIN(2,ROUNDDOWN(I1456,0))*3)*(3*$J1456^3-6*$J1456^2+3*$J1456)+INDIRECT("C$"&amp;4+MIN(2,ROUNDDOWN(I1456,0))*3)*(-3*$J1456^3+3*$J1456^2)+INDIRECT("C$"&amp;5+MIN(2,ROUNDDOWN(I1456,0))*3)*$J1456^3</f>
      </c>
      <c r="L1456" s="7">
        <f>INDIRECT("D$"&amp;2+MIN(2,ROUNDDOWN(I1456,0))*3)*(-$J1456^3+3*$J1456^2-3*$J1456+1)+INDIRECT("D$"&amp;3+MIN(2,ROUNDDOWN(I1456,0))*3)*(3*$J1456^3-6*$J1456^2+3*$J1456)+INDIRECT("D$"&amp;4+MIN(2,ROUNDDOWN(I1456,0))*3)*(-3*$J1456^3+3*$J1456^2)+INDIRECT("D$"&amp;5+MIN(2,ROUNDDOWN(I1456,0))*3)*$J1456^3</f>
      </c>
      <c r="M1456" s="7">
        <f>SQRT(K1456^2+L1456^2)</f>
      </c>
      <c r="N1456" s="7">
        <f>(K1457-K1455)</f>
      </c>
      <c r="O1456" s="7">
        <f>+(L1457-L1455)</f>
      </c>
      <c r="P1456" s="7">
        <f>SQRT(O1456^2+N1456^2)</f>
      </c>
      <c r="Q1456" s="7">
        <f>N1456/$P1456</f>
      </c>
      <c r="R1456" s="7">
        <f>O1456/$P1456</f>
      </c>
      <c r="S1456" s="8">
        <f>Q1456^2+R1456^2</f>
      </c>
      <c r="T1456" s="7">
        <f>-R1456</f>
      </c>
      <c r="U1456" s="7">
        <f>Q1456</f>
      </c>
      <c r="V1456" s="7">
        <f>($C$14+($C$15-$C$14)/($D$15-$D$14)*(I1456-$D$14))/2</f>
      </c>
      <c r="W1456" s="7">
        <f>($B$22*I1456^4+$C$22*I1456^3+$D$22*I1456^2+$E$22*I1456+$F$22)/2</f>
      </c>
      <c r="X1456" s="7">
        <f>($W1456)*(T1456)</f>
      </c>
      <c r="Y1456" s="7">
        <f>($W1456)*(U1456)</f>
      </c>
      <c r="Z1456" s="7">
        <f>SQRT(X1456^2+Y1456^2)</f>
      </c>
      <c r="AA1456" s="7">
        <f>$K1456+$X1456</f>
      </c>
      <c r="AB1456" s="7">
        <f>$L1456+$Y1456</f>
      </c>
      <c r="AC1456" s="7">
        <f>$K1456-$X1456</f>
      </c>
      <c r="AD1456" s="7">
        <f>$L1456-$Y1456</f>
      </c>
      <c r="AE1456" s="7">
        <f>AA1456/39.3701</f>
      </c>
      <c r="AF1456" s="7">
        <f>AB1456/39.3701</f>
      </c>
      <c r="AG1456" s="7">
        <f>AC1456/39.3701</f>
      </c>
      <c r="AH1456" s="7">
        <f>AD1456/39.3701</f>
      </c>
      <c r="AI1456" s="1"/>
      <c r="AJ1456" s="1"/>
      <c r="AK1456" s="1"/>
      <c r="AL1456" s="1"/>
      <c r="AM1456" s="2"/>
      <c r="AN1456" s="1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  <c r="BA1456" s="1"/>
      <c r="BB1456" s="1"/>
      <c r="BC1456" s="1"/>
      <c r="BD1456" s="1"/>
      <c r="BE1456" s="1"/>
    </row>
    <row x14ac:dyDescent="0.25" r="1457" customHeight="1" ht="18.75">
      <c r="A1457" s="1"/>
      <c r="B1457" s="2"/>
      <c r="C1457" s="2"/>
      <c r="D1457" s="2"/>
      <c r="E1457" s="2"/>
      <c r="F1457" s="2"/>
      <c r="G1457" s="1"/>
      <c r="H1457" s="1"/>
      <c r="I1457" s="7">
        <v>1.454</v>
      </c>
      <c r="J1457" s="7">
        <f>IF((I1457-ROUNDDOWN(I1457,0))=0, 0, (I1457-ROUNDDOWN(I1457,0)))</f>
      </c>
      <c r="K1457" s="7">
        <f>INDIRECT("C$"&amp;2+MIN(2,ROUNDDOWN(I1457,0))*3)*(-$J1457^3+3*$J1457^2-3*$J1457+1)+INDIRECT("C$"&amp;3+MIN(2,ROUNDDOWN(I1457,0))*3)*(3*$J1457^3-6*$J1457^2+3*$J1457)+INDIRECT("C$"&amp;4+MIN(2,ROUNDDOWN(I1457,0))*3)*(-3*$J1457^3+3*$J1457^2)+INDIRECT("C$"&amp;5+MIN(2,ROUNDDOWN(I1457,0))*3)*$J1457^3</f>
      </c>
      <c r="L1457" s="7">
        <f>INDIRECT("D$"&amp;2+MIN(2,ROUNDDOWN(I1457,0))*3)*(-$J1457^3+3*$J1457^2-3*$J1457+1)+INDIRECT("D$"&amp;3+MIN(2,ROUNDDOWN(I1457,0))*3)*(3*$J1457^3-6*$J1457^2+3*$J1457)+INDIRECT("D$"&amp;4+MIN(2,ROUNDDOWN(I1457,0))*3)*(-3*$J1457^3+3*$J1457^2)+INDIRECT("D$"&amp;5+MIN(2,ROUNDDOWN(I1457,0))*3)*$J1457^3</f>
      </c>
      <c r="M1457" s="7">
        <f>SQRT(K1457^2+L1457^2)</f>
      </c>
      <c r="N1457" s="7">
        <f>(K1458-K1456)</f>
      </c>
      <c r="O1457" s="7">
        <f>+(L1458-L1456)</f>
      </c>
      <c r="P1457" s="7">
        <f>SQRT(O1457^2+N1457^2)</f>
      </c>
      <c r="Q1457" s="7">
        <f>N1457/$P1457</f>
      </c>
      <c r="R1457" s="7">
        <f>O1457/$P1457</f>
      </c>
      <c r="S1457" s="8">
        <f>Q1457^2+R1457^2</f>
      </c>
      <c r="T1457" s="7">
        <f>-R1457</f>
      </c>
      <c r="U1457" s="7">
        <f>Q1457</f>
      </c>
      <c r="V1457" s="7">
        <f>($C$14+($C$15-$C$14)/($D$15-$D$14)*(I1457-$D$14))/2</f>
      </c>
      <c r="W1457" s="7">
        <f>($B$22*I1457^4+$C$22*I1457^3+$D$22*I1457^2+$E$22*I1457+$F$22)/2</f>
      </c>
      <c r="X1457" s="7">
        <f>($W1457)*(T1457)</f>
      </c>
      <c r="Y1457" s="7">
        <f>($W1457)*(U1457)</f>
      </c>
      <c r="Z1457" s="7">
        <f>SQRT(X1457^2+Y1457^2)</f>
      </c>
      <c r="AA1457" s="7">
        <f>$K1457+$X1457</f>
      </c>
      <c r="AB1457" s="7">
        <f>$L1457+$Y1457</f>
      </c>
      <c r="AC1457" s="7">
        <f>$K1457-$X1457</f>
      </c>
      <c r="AD1457" s="7">
        <f>$L1457-$Y1457</f>
      </c>
      <c r="AE1457" s="7">
        <f>AA1457/39.3701</f>
      </c>
      <c r="AF1457" s="7">
        <f>AB1457/39.3701</f>
      </c>
      <c r="AG1457" s="7">
        <f>AC1457/39.3701</f>
      </c>
      <c r="AH1457" s="7">
        <f>AD1457/39.3701</f>
      </c>
      <c r="AI1457" s="1"/>
      <c r="AJ1457" s="1"/>
      <c r="AK1457" s="1"/>
      <c r="AL1457" s="1"/>
      <c r="AM1457" s="2"/>
      <c r="AN1457" s="1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  <c r="BA1457" s="1"/>
      <c r="BB1457" s="1"/>
      <c r="BC1457" s="1"/>
      <c r="BD1457" s="1"/>
      <c r="BE1457" s="1"/>
    </row>
    <row x14ac:dyDescent="0.25" r="1458" customHeight="1" ht="18.75">
      <c r="A1458" s="1"/>
      <c r="B1458" s="2"/>
      <c r="C1458" s="2"/>
      <c r="D1458" s="2"/>
      <c r="E1458" s="2"/>
      <c r="F1458" s="2"/>
      <c r="G1458" s="1"/>
      <c r="H1458" s="1"/>
      <c r="I1458" s="7">
        <v>1.455</v>
      </c>
      <c r="J1458" s="7">
        <f>IF((I1458-ROUNDDOWN(I1458,0))=0, 0, (I1458-ROUNDDOWN(I1458,0)))</f>
      </c>
      <c r="K1458" s="7">
        <f>INDIRECT("C$"&amp;2+MIN(2,ROUNDDOWN(I1458,0))*3)*(-$J1458^3+3*$J1458^2-3*$J1458+1)+INDIRECT("C$"&amp;3+MIN(2,ROUNDDOWN(I1458,0))*3)*(3*$J1458^3-6*$J1458^2+3*$J1458)+INDIRECT("C$"&amp;4+MIN(2,ROUNDDOWN(I1458,0))*3)*(-3*$J1458^3+3*$J1458^2)+INDIRECT("C$"&amp;5+MIN(2,ROUNDDOWN(I1458,0))*3)*$J1458^3</f>
      </c>
      <c r="L1458" s="7">
        <f>INDIRECT("D$"&amp;2+MIN(2,ROUNDDOWN(I1458,0))*3)*(-$J1458^3+3*$J1458^2-3*$J1458+1)+INDIRECT("D$"&amp;3+MIN(2,ROUNDDOWN(I1458,0))*3)*(3*$J1458^3-6*$J1458^2+3*$J1458)+INDIRECT("D$"&amp;4+MIN(2,ROUNDDOWN(I1458,0))*3)*(-3*$J1458^3+3*$J1458^2)+INDIRECT("D$"&amp;5+MIN(2,ROUNDDOWN(I1458,0))*3)*$J1458^3</f>
      </c>
      <c r="M1458" s="7">
        <f>SQRT(K1458^2+L1458^2)</f>
      </c>
      <c r="N1458" s="7">
        <f>(K1459-K1457)</f>
      </c>
      <c r="O1458" s="7">
        <f>+(L1459-L1457)</f>
      </c>
      <c r="P1458" s="7">
        <f>SQRT(O1458^2+N1458^2)</f>
      </c>
      <c r="Q1458" s="7">
        <f>N1458/$P1458</f>
      </c>
      <c r="R1458" s="7">
        <f>O1458/$P1458</f>
      </c>
      <c r="S1458" s="7">
        <f>Q1458^2+R1458^2</f>
      </c>
      <c r="T1458" s="7">
        <f>-R1458</f>
      </c>
      <c r="U1458" s="7">
        <f>Q1458</f>
      </c>
      <c r="V1458" s="7">
        <f>($C$14+($C$15-$C$14)/($D$15-$D$14)*(I1458-$D$14))/2</f>
      </c>
      <c r="W1458" s="7">
        <f>($B$22*I1458^4+$C$22*I1458^3+$D$22*I1458^2+$E$22*I1458+$F$22)/2</f>
      </c>
      <c r="X1458" s="7">
        <f>($W1458)*(T1458)</f>
      </c>
      <c r="Y1458" s="7">
        <f>($W1458)*(U1458)</f>
      </c>
      <c r="Z1458" s="7">
        <f>SQRT(X1458^2+Y1458^2)</f>
      </c>
      <c r="AA1458" s="7">
        <f>$K1458+$X1458</f>
      </c>
      <c r="AB1458" s="7">
        <f>$L1458+$Y1458</f>
      </c>
      <c r="AC1458" s="7">
        <f>$K1458-$X1458</f>
      </c>
      <c r="AD1458" s="7">
        <f>$L1458-$Y1458</f>
      </c>
      <c r="AE1458" s="7">
        <f>AA1458/39.3701</f>
      </c>
      <c r="AF1458" s="7">
        <f>AB1458/39.3701</f>
      </c>
      <c r="AG1458" s="7">
        <f>AC1458/39.3701</f>
      </c>
      <c r="AH1458" s="7">
        <f>AD1458/39.3701</f>
      </c>
      <c r="AI1458" s="1"/>
      <c r="AJ1458" s="1"/>
      <c r="AK1458" s="1"/>
      <c r="AL1458" s="1"/>
      <c r="AM1458" s="2"/>
      <c r="AN1458" s="1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  <c r="BA1458" s="1"/>
      <c r="BB1458" s="1"/>
      <c r="BC1458" s="1"/>
      <c r="BD1458" s="1"/>
      <c r="BE1458" s="1"/>
    </row>
    <row x14ac:dyDescent="0.25" r="1459" customHeight="1" ht="18.75">
      <c r="A1459" s="1"/>
      <c r="B1459" s="2"/>
      <c r="C1459" s="2"/>
      <c r="D1459" s="2"/>
      <c r="E1459" s="2"/>
      <c r="F1459" s="2"/>
      <c r="G1459" s="1"/>
      <c r="H1459" s="1"/>
      <c r="I1459" s="7">
        <v>1.456</v>
      </c>
      <c r="J1459" s="7">
        <f>IF((I1459-ROUNDDOWN(I1459,0))=0, 0, (I1459-ROUNDDOWN(I1459,0)))</f>
      </c>
      <c r="K1459" s="7">
        <f>INDIRECT("C$"&amp;2+MIN(2,ROUNDDOWN(I1459,0))*3)*(-$J1459^3+3*$J1459^2-3*$J1459+1)+INDIRECT("C$"&amp;3+MIN(2,ROUNDDOWN(I1459,0))*3)*(3*$J1459^3-6*$J1459^2+3*$J1459)+INDIRECT("C$"&amp;4+MIN(2,ROUNDDOWN(I1459,0))*3)*(-3*$J1459^3+3*$J1459^2)+INDIRECT("C$"&amp;5+MIN(2,ROUNDDOWN(I1459,0))*3)*$J1459^3</f>
      </c>
      <c r="L1459" s="7">
        <f>INDIRECT("D$"&amp;2+MIN(2,ROUNDDOWN(I1459,0))*3)*(-$J1459^3+3*$J1459^2-3*$J1459+1)+INDIRECT("D$"&amp;3+MIN(2,ROUNDDOWN(I1459,0))*3)*(3*$J1459^3-6*$J1459^2+3*$J1459)+INDIRECT("D$"&amp;4+MIN(2,ROUNDDOWN(I1459,0))*3)*(-3*$J1459^3+3*$J1459^2)+INDIRECT("D$"&amp;5+MIN(2,ROUNDDOWN(I1459,0))*3)*$J1459^3</f>
      </c>
      <c r="M1459" s="7">
        <f>SQRT(K1459^2+L1459^2)</f>
      </c>
      <c r="N1459" s="7">
        <f>(K1460-K1458)</f>
      </c>
      <c r="O1459" s="7">
        <f>+(L1460-L1458)</f>
      </c>
      <c r="P1459" s="7">
        <f>SQRT(O1459^2+N1459^2)</f>
      </c>
      <c r="Q1459" s="7">
        <f>N1459/$P1459</f>
      </c>
      <c r="R1459" s="7">
        <f>O1459/$P1459</f>
      </c>
      <c r="S1459" s="7">
        <f>Q1459^2+R1459^2</f>
      </c>
      <c r="T1459" s="7">
        <f>-R1459</f>
      </c>
      <c r="U1459" s="7">
        <f>Q1459</f>
      </c>
      <c r="V1459" s="7">
        <f>($C$14+($C$15-$C$14)/($D$15-$D$14)*(I1459-$D$14))/2</f>
      </c>
      <c r="W1459" s="7">
        <f>($B$22*I1459^4+$C$22*I1459^3+$D$22*I1459^2+$E$22*I1459+$F$22)/2</f>
      </c>
      <c r="X1459" s="7">
        <f>($W1459)*(T1459)</f>
      </c>
      <c r="Y1459" s="7">
        <f>($W1459)*(U1459)</f>
      </c>
      <c r="Z1459" s="7">
        <f>SQRT(X1459^2+Y1459^2)</f>
      </c>
      <c r="AA1459" s="7">
        <f>$K1459+$X1459</f>
      </c>
      <c r="AB1459" s="7">
        <f>$L1459+$Y1459</f>
      </c>
      <c r="AC1459" s="7">
        <f>$K1459-$X1459</f>
      </c>
      <c r="AD1459" s="7">
        <f>$L1459-$Y1459</f>
      </c>
      <c r="AE1459" s="7">
        <f>AA1459/39.3701</f>
      </c>
      <c r="AF1459" s="7">
        <f>AB1459/39.3701</f>
      </c>
      <c r="AG1459" s="7">
        <f>AC1459/39.3701</f>
      </c>
      <c r="AH1459" s="7">
        <f>AD1459/39.3701</f>
      </c>
      <c r="AI1459" s="1"/>
      <c r="AJ1459" s="1"/>
      <c r="AK1459" s="1"/>
      <c r="AL1459" s="1"/>
      <c r="AM1459" s="2"/>
      <c r="AN1459" s="1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  <c r="BA1459" s="1"/>
      <c r="BB1459" s="1"/>
      <c r="BC1459" s="1"/>
      <c r="BD1459" s="1"/>
      <c r="BE1459" s="1"/>
    </row>
    <row x14ac:dyDescent="0.25" r="1460" customHeight="1" ht="18.75">
      <c r="A1460" s="1"/>
      <c r="B1460" s="2"/>
      <c r="C1460" s="2"/>
      <c r="D1460" s="2"/>
      <c r="E1460" s="2"/>
      <c r="F1460" s="2"/>
      <c r="G1460" s="1"/>
      <c r="H1460" s="1"/>
      <c r="I1460" s="7">
        <v>1.457</v>
      </c>
      <c r="J1460" s="7">
        <f>IF((I1460-ROUNDDOWN(I1460,0))=0, 0, (I1460-ROUNDDOWN(I1460,0)))</f>
      </c>
      <c r="K1460" s="7">
        <f>INDIRECT("C$"&amp;2+MIN(2,ROUNDDOWN(I1460,0))*3)*(-$J1460^3+3*$J1460^2-3*$J1460+1)+INDIRECT("C$"&amp;3+MIN(2,ROUNDDOWN(I1460,0))*3)*(3*$J1460^3-6*$J1460^2+3*$J1460)+INDIRECT("C$"&amp;4+MIN(2,ROUNDDOWN(I1460,0))*3)*(-3*$J1460^3+3*$J1460^2)+INDIRECT("C$"&amp;5+MIN(2,ROUNDDOWN(I1460,0))*3)*$J1460^3</f>
      </c>
      <c r="L1460" s="7">
        <f>INDIRECT("D$"&amp;2+MIN(2,ROUNDDOWN(I1460,0))*3)*(-$J1460^3+3*$J1460^2-3*$J1460+1)+INDIRECT("D$"&amp;3+MIN(2,ROUNDDOWN(I1460,0))*3)*(3*$J1460^3-6*$J1460^2+3*$J1460)+INDIRECT("D$"&amp;4+MIN(2,ROUNDDOWN(I1460,0))*3)*(-3*$J1460^3+3*$J1460^2)+INDIRECT("D$"&amp;5+MIN(2,ROUNDDOWN(I1460,0))*3)*$J1460^3</f>
      </c>
      <c r="M1460" s="7">
        <f>SQRT(K1460^2+L1460^2)</f>
      </c>
      <c r="N1460" s="7">
        <f>(K1461-K1459)</f>
      </c>
      <c r="O1460" s="7">
        <f>+(L1461-L1459)</f>
      </c>
      <c r="P1460" s="7">
        <f>SQRT(O1460^2+N1460^2)</f>
      </c>
      <c r="Q1460" s="7">
        <f>N1460/$P1460</f>
      </c>
      <c r="R1460" s="7">
        <f>O1460/$P1460</f>
      </c>
      <c r="S1460" s="7">
        <f>Q1460^2+R1460^2</f>
      </c>
      <c r="T1460" s="7">
        <f>-R1460</f>
      </c>
      <c r="U1460" s="7">
        <f>Q1460</f>
      </c>
      <c r="V1460" s="7">
        <f>($C$14+($C$15-$C$14)/($D$15-$D$14)*(I1460-$D$14))/2</f>
      </c>
      <c r="W1460" s="7">
        <f>($B$22*I1460^4+$C$22*I1460^3+$D$22*I1460^2+$E$22*I1460+$F$22)/2</f>
      </c>
      <c r="X1460" s="7">
        <f>($W1460)*(T1460)</f>
      </c>
      <c r="Y1460" s="7">
        <f>($W1460)*(U1460)</f>
      </c>
      <c r="Z1460" s="7">
        <f>SQRT(X1460^2+Y1460^2)</f>
      </c>
      <c r="AA1460" s="7">
        <f>$K1460+$X1460</f>
      </c>
      <c r="AB1460" s="7">
        <f>$L1460+$Y1460</f>
      </c>
      <c r="AC1460" s="7">
        <f>$K1460-$X1460</f>
      </c>
      <c r="AD1460" s="7">
        <f>$L1460-$Y1460</f>
      </c>
      <c r="AE1460" s="7">
        <f>AA1460/39.3701</f>
      </c>
      <c r="AF1460" s="7">
        <f>AB1460/39.3701</f>
      </c>
      <c r="AG1460" s="7">
        <f>AC1460/39.3701</f>
      </c>
      <c r="AH1460" s="7">
        <f>AD1460/39.3701</f>
      </c>
      <c r="AI1460" s="1"/>
      <c r="AJ1460" s="1"/>
      <c r="AK1460" s="1"/>
      <c r="AL1460" s="1"/>
      <c r="AM1460" s="2"/>
      <c r="AN1460" s="1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  <c r="BA1460" s="1"/>
      <c r="BB1460" s="1"/>
      <c r="BC1460" s="1"/>
      <c r="BD1460" s="1"/>
      <c r="BE1460" s="1"/>
    </row>
    <row x14ac:dyDescent="0.25" r="1461" customHeight="1" ht="18.75">
      <c r="A1461" s="1"/>
      <c r="B1461" s="2"/>
      <c r="C1461" s="2"/>
      <c r="D1461" s="2"/>
      <c r="E1461" s="2"/>
      <c r="F1461" s="2"/>
      <c r="G1461" s="1"/>
      <c r="H1461" s="1"/>
      <c r="I1461" s="7">
        <v>1.458</v>
      </c>
      <c r="J1461" s="7">
        <f>IF((I1461-ROUNDDOWN(I1461,0))=0, 0, (I1461-ROUNDDOWN(I1461,0)))</f>
      </c>
      <c r="K1461" s="7">
        <f>INDIRECT("C$"&amp;2+MIN(2,ROUNDDOWN(I1461,0))*3)*(-$J1461^3+3*$J1461^2-3*$J1461+1)+INDIRECT("C$"&amp;3+MIN(2,ROUNDDOWN(I1461,0))*3)*(3*$J1461^3-6*$J1461^2+3*$J1461)+INDIRECT("C$"&amp;4+MIN(2,ROUNDDOWN(I1461,0))*3)*(-3*$J1461^3+3*$J1461^2)+INDIRECT("C$"&amp;5+MIN(2,ROUNDDOWN(I1461,0))*3)*$J1461^3</f>
      </c>
      <c r="L1461" s="7">
        <f>INDIRECT("D$"&amp;2+MIN(2,ROUNDDOWN(I1461,0))*3)*(-$J1461^3+3*$J1461^2-3*$J1461+1)+INDIRECT("D$"&amp;3+MIN(2,ROUNDDOWN(I1461,0))*3)*(3*$J1461^3-6*$J1461^2+3*$J1461)+INDIRECT("D$"&amp;4+MIN(2,ROUNDDOWN(I1461,0))*3)*(-3*$J1461^3+3*$J1461^2)+INDIRECT("D$"&amp;5+MIN(2,ROUNDDOWN(I1461,0))*3)*$J1461^3</f>
      </c>
      <c r="M1461" s="7">
        <f>SQRT(K1461^2+L1461^2)</f>
      </c>
      <c r="N1461" s="7">
        <f>(K1462-K1460)</f>
      </c>
      <c r="O1461" s="7">
        <f>+(L1462-L1460)</f>
      </c>
      <c r="P1461" s="7">
        <f>SQRT(O1461^2+N1461^2)</f>
      </c>
      <c r="Q1461" s="7">
        <f>N1461/$P1461</f>
      </c>
      <c r="R1461" s="7">
        <f>O1461/$P1461</f>
      </c>
      <c r="S1461" s="7">
        <f>Q1461^2+R1461^2</f>
      </c>
      <c r="T1461" s="7">
        <f>-R1461</f>
      </c>
      <c r="U1461" s="7">
        <f>Q1461</f>
      </c>
      <c r="V1461" s="7">
        <f>($C$14+($C$15-$C$14)/($D$15-$D$14)*(I1461-$D$14))/2</f>
      </c>
      <c r="W1461" s="7">
        <f>($B$22*I1461^4+$C$22*I1461^3+$D$22*I1461^2+$E$22*I1461+$F$22)/2</f>
      </c>
      <c r="X1461" s="7">
        <f>($W1461)*(T1461)</f>
      </c>
      <c r="Y1461" s="7">
        <f>($W1461)*(U1461)</f>
      </c>
      <c r="Z1461" s="7">
        <f>SQRT(X1461^2+Y1461^2)</f>
      </c>
      <c r="AA1461" s="7">
        <f>$K1461+$X1461</f>
      </c>
      <c r="AB1461" s="7">
        <f>$L1461+$Y1461</f>
      </c>
      <c r="AC1461" s="7">
        <f>$K1461-$X1461</f>
      </c>
      <c r="AD1461" s="7">
        <f>$L1461-$Y1461</f>
      </c>
      <c r="AE1461" s="7">
        <f>AA1461/39.3701</f>
      </c>
      <c r="AF1461" s="7">
        <f>AB1461/39.3701</f>
      </c>
      <c r="AG1461" s="7">
        <f>AC1461/39.3701</f>
      </c>
      <c r="AH1461" s="7">
        <f>AD1461/39.3701</f>
      </c>
      <c r="AI1461" s="1"/>
      <c r="AJ1461" s="1"/>
      <c r="AK1461" s="1"/>
      <c r="AL1461" s="1"/>
      <c r="AM1461" s="2"/>
      <c r="AN1461" s="1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  <c r="BA1461" s="1"/>
      <c r="BB1461" s="1"/>
      <c r="BC1461" s="1"/>
      <c r="BD1461" s="1"/>
      <c r="BE1461" s="1"/>
    </row>
    <row x14ac:dyDescent="0.25" r="1462" customHeight="1" ht="18.75">
      <c r="A1462" s="1"/>
      <c r="B1462" s="2"/>
      <c r="C1462" s="2"/>
      <c r="D1462" s="2"/>
      <c r="E1462" s="2"/>
      <c r="F1462" s="2"/>
      <c r="G1462" s="1"/>
      <c r="H1462" s="1"/>
      <c r="I1462" s="7">
        <v>1.459</v>
      </c>
      <c r="J1462" s="7">
        <f>IF((I1462-ROUNDDOWN(I1462,0))=0, 0, (I1462-ROUNDDOWN(I1462,0)))</f>
      </c>
      <c r="K1462" s="7">
        <f>INDIRECT("C$"&amp;2+MIN(2,ROUNDDOWN(I1462,0))*3)*(-$J1462^3+3*$J1462^2-3*$J1462+1)+INDIRECT("C$"&amp;3+MIN(2,ROUNDDOWN(I1462,0))*3)*(3*$J1462^3-6*$J1462^2+3*$J1462)+INDIRECT("C$"&amp;4+MIN(2,ROUNDDOWN(I1462,0))*3)*(-3*$J1462^3+3*$J1462^2)+INDIRECT("C$"&amp;5+MIN(2,ROUNDDOWN(I1462,0))*3)*$J1462^3</f>
      </c>
      <c r="L1462" s="7">
        <f>INDIRECT("D$"&amp;2+MIN(2,ROUNDDOWN(I1462,0))*3)*(-$J1462^3+3*$J1462^2-3*$J1462+1)+INDIRECT("D$"&amp;3+MIN(2,ROUNDDOWN(I1462,0))*3)*(3*$J1462^3-6*$J1462^2+3*$J1462)+INDIRECT("D$"&amp;4+MIN(2,ROUNDDOWN(I1462,0))*3)*(-3*$J1462^3+3*$J1462^2)+INDIRECT("D$"&amp;5+MIN(2,ROUNDDOWN(I1462,0))*3)*$J1462^3</f>
      </c>
      <c r="M1462" s="7">
        <f>SQRT(K1462^2+L1462^2)</f>
      </c>
      <c r="N1462" s="7">
        <f>(K1463-K1461)</f>
      </c>
      <c r="O1462" s="7">
        <f>+(L1463-L1461)</f>
      </c>
      <c r="P1462" s="7">
        <f>SQRT(O1462^2+N1462^2)</f>
      </c>
      <c r="Q1462" s="7">
        <f>N1462/$P1462</f>
      </c>
      <c r="R1462" s="7">
        <f>O1462/$P1462</f>
      </c>
      <c r="S1462" s="8">
        <f>Q1462^2+R1462^2</f>
      </c>
      <c r="T1462" s="7">
        <f>-R1462</f>
      </c>
      <c r="U1462" s="7">
        <f>Q1462</f>
      </c>
      <c r="V1462" s="7">
        <f>($C$14+($C$15-$C$14)/($D$15-$D$14)*(I1462-$D$14))/2</f>
      </c>
      <c r="W1462" s="7">
        <f>($B$22*I1462^4+$C$22*I1462^3+$D$22*I1462^2+$E$22*I1462+$F$22)/2</f>
      </c>
      <c r="X1462" s="7">
        <f>($W1462)*(T1462)</f>
      </c>
      <c r="Y1462" s="7">
        <f>($W1462)*(U1462)</f>
      </c>
      <c r="Z1462" s="7">
        <f>SQRT(X1462^2+Y1462^2)</f>
      </c>
      <c r="AA1462" s="7">
        <f>$K1462+$X1462</f>
      </c>
      <c r="AB1462" s="7">
        <f>$L1462+$Y1462</f>
      </c>
      <c r="AC1462" s="7">
        <f>$K1462-$X1462</f>
      </c>
      <c r="AD1462" s="7">
        <f>$L1462-$Y1462</f>
      </c>
      <c r="AE1462" s="7">
        <f>AA1462/39.3701</f>
      </c>
      <c r="AF1462" s="7">
        <f>AB1462/39.3701</f>
      </c>
      <c r="AG1462" s="7">
        <f>AC1462/39.3701</f>
      </c>
      <c r="AH1462" s="7">
        <f>AD1462/39.3701</f>
      </c>
      <c r="AI1462" s="1"/>
      <c r="AJ1462" s="1"/>
      <c r="AK1462" s="1"/>
      <c r="AL1462" s="1"/>
      <c r="AM1462" s="2"/>
      <c r="AN1462" s="1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  <c r="BA1462" s="1"/>
      <c r="BB1462" s="1"/>
      <c r="BC1462" s="1"/>
      <c r="BD1462" s="1"/>
      <c r="BE1462" s="1"/>
    </row>
    <row x14ac:dyDescent="0.25" r="1463" customHeight="1" ht="18.75">
      <c r="A1463" s="1"/>
      <c r="B1463" s="2"/>
      <c r="C1463" s="2"/>
      <c r="D1463" s="2"/>
      <c r="E1463" s="2"/>
      <c r="F1463" s="2"/>
      <c r="G1463" s="1"/>
      <c r="H1463" s="1"/>
      <c r="I1463" s="7">
        <v>1.46</v>
      </c>
      <c r="J1463" s="7">
        <f>IF((I1463-ROUNDDOWN(I1463,0))=0, 0, (I1463-ROUNDDOWN(I1463,0)))</f>
      </c>
      <c r="K1463" s="7">
        <f>INDIRECT("C$"&amp;2+MIN(2,ROUNDDOWN(I1463,0))*3)*(-$J1463^3+3*$J1463^2-3*$J1463+1)+INDIRECT("C$"&amp;3+MIN(2,ROUNDDOWN(I1463,0))*3)*(3*$J1463^3-6*$J1463^2+3*$J1463)+INDIRECT("C$"&amp;4+MIN(2,ROUNDDOWN(I1463,0))*3)*(-3*$J1463^3+3*$J1463^2)+INDIRECT("C$"&amp;5+MIN(2,ROUNDDOWN(I1463,0))*3)*$J1463^3</f>
      </c>
      <c r="L1463" s="7">
        <f>INDIRECT("D$"&amp;2+MIN(2,ROUNDDOWN(I1463,0))*3)*(-$J1463^3+3*$J1463^2-3*$J1463+1)+INDIRECT("D$"&amp;3+MIN(2,ROUNDDOWN(I1463,0))*3)*(3*$J1463^3-6*$J1463^2+3*$J1463)+INDIRECT("D$"&amp;4+MIN(2,ROUNDDOWN(I1463,0))*3)*(-3*$J1463^3+3*$J1463^2)+INDIRECT("D$"&amp;5+MIN(2,ROUNDDOWN(I1463,0))*3)*$J1463^3</f>
      </c>
      <c r="M1463" s="7">
        <f>SQRT(K1463^2+L1463^2)</f>
      </c>
      <c r="N1463" s="7">
        <f>(K1464-K1462)</f>
      </c>
      <c r="O1463" s="7">
        <f>+(L1464-L1462)</f>
      </c>
      <c r="P1463" s="7">
        <f>SQRT(O1463^2+N1463^2)</f>
      </c>
      <c r="Q1463" s="7">
        <f>N1463/$P1463</f>
      </c>
      <c r="R1463" s="7">
        <f>O1463/$P1463</f>
      </c>
      <c r="S1463" s="8">
        <f>Q1463^2+R1463^2</f>
      </c>
      <c r="T1463" s="7">
        <f>-R1463</f>
      </c>
      <c r="U1463" s="7">
        <f>Q1463</f>
      </c>
      <c r="V1463" s="7">
        <f>($C$14+($C$15-$C$14)/($D$15-$D$14)*(I1463-$D$14))/2</f>
      </c>
      <c r="W1463" s="7">
        <f>($B$22*I1463^4+$C$22*I1463^3+$D$22*I1463^2+$E$22*I1463+$F$22)/2</f>
      </c>
      <c r="X1463" s="7">
        <f>($W1463)*(T1463)</f>
      </c>
      <c r="Y1463" s="7">
        <f>($W1463)*(U1463)</f>
      </c>
      <c r="Z1463" s="7">
        <f>SQRT(X1463^2+Y1463^2)</f>
      </c>
      <c r="AA1463" s="7">
        <f>$K1463+$X1463</f>
      </c>
      <c r="AB1463" s="7">
        <f>$L1463+$Y1463</f>
      </c>
      <c r="AC1463" s="7">
        <f>$K1463-$X1463</f>
      </c>
      <c r="AD1463" s="7">
        <f>$L1463-$Y1463</f>
      </c>
      <c r="AE1463" s="7">
        <f>AA1463/39.3701</f>
      </c>
      <c r="AF1463" s="7">
        <f>AB1463/39.3701</f>
      </c>
      <c r="AG1463" s="7">
        <f>AC1463/39.3701</f>
      </c>
      <c r="AH1463" s="7">
        <f>AD1463/39.3701</f>
      </c>
      <c r="AI1463" s="1"/>
      <c r="AJ1463" s="1"/>
      <c r="AK1463" s="1"/>
      <c r="AL1463" s="1"/>
      <c r="AM1463" s="2"/>
      <c r="AN1463" s="1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  <c r="BA1463" s="1"/>
      <c r="BB1463" s="1"/>
      <c r="BC1463" s="1"/>
      <c r="BD1463" s="1"/>
      <c r="BE1463" s="1"/>
    </row>
    <row x14ac:dyDescent="0.25" r="1464" customHeight="1" ht="18.75">
      <c r="A1464" s="1"/>
      <c r="B1464" s="2"/>
      <c r="C1464" s="2"/>
      <c r="D1464" s="2"/>
      <c r="E1464" s="2"/>
      <c r="F1464" s="2"/>
      <c r="G1464" s="1"/>
      <c r="H1464" s="1"/>
      <c r="I1464" s="7">
        <v>1.461</v>
      </c>
      <c r="J1464" s="7">
        <f>IF((I1464-ROUNDDOWN(I1464,0))=0, 0, (I1464-ROUNDDOWN(I1464,0)))</f>
      </c>
      <c r="K1464" s="7">
        <f>INDIRECT("C$"&amp;2+MIN(2,ROUNDDOWN(I1464,0))*3)*(-$J1464^3+3*$J1464^2-3*$J1464+1)+INDIRECT("C$"&amp;3+MIN(2,ROUNDDOWN(I1464,0))*3)*(3*$J1464^3-6*$J1464^2+3*$J1464)+INDIRECT("C$"&amp;4+MIN(2,ROUNDDOWN(I1464,0))*3)*(-3*$J1464^3+3*$J1464^2)+INDIRECT("C$"&amp;5+MIN(2,ROUNDDOWN(I1464,0))*3)*$J1464^3</f>
      </c>
      <c r="L1464" s="7">
        <f>INDIRECT("D$"&amp;2+MIN(2,ROUNDDOWN(I1464,0))*3)*(-$J1464^3+3*$J1464^2-3*$J1464+1)+INDIRECT("D$"&amp;3+MIN(2,ROUNDDOWN(I1464,0))*3)*(3*$J1464^3-6*$J1464^2+3*$J1464)+INDIRECT("D$"&amp;4+MIN(2,ROUNDDOWN(I1464,0))*3)*(-3*$J1464^3+3*$J1464^2)+INDIRECT("D$"&amp;5+MIN(2,ROUNDDOWN(I1464,0))*3)*$J1464^3</f>
      </c>
      <c r="M1464" s="7">
        <f>SQRT(K1464^2+L1464^2)</f>
      </c>
      <c r="N1464" s="7">
        <f>(K1465-K1463)</f>
      </c>
      <c r="O1464" s="7">
        <f>+(L1465-L1463)</f>
      </c>
      <c r="P1464" s="7">
        <f>SQRT(O1464^2+N1464^2)</f>
      </c>
      <c r="Q1464" s="7">
        <f>N1464/$P1464</f>
      </c>
      <c r="R1464" s="7">
        <f>O1464/$P1464</f>
      </c>
      <c r="S1464" s="7">
        <f>Q1464^2+R1464^2</f>
      </c>
      <c r="T1464" s="7">
        <f>-R1464</f>
      </c>
      <c r="U1464" s="7">
        <f>Q1464</f>
      </c>
      <c r="V1464" s="7">
        <f>($C$14+($C$15-$C$14)/($D$15-$D$14)*(I1464-$D$14))/2</f>
      </c>
      <c r="W1464" s="7">
        <f>($B$22*I1464^4+$C$22*I1464^3+$D$22*I1464^2+$E$22*I1464+$F$22)/2</f>
      </c>
      <c r="X1464" s="7">
        <f>($W1464)*(T1464)</f>
      </c>
      <c r="Y1464" s="7">
        <f>($W1464)*(U1464)</f>
      </c>
      <c r="Z1464" s="7">
        <f>SQRT(X1464^2+Y1464^2)</f>
      </c>
      <c r="AA1464" s="7">
        <f>$K1464+$X1464</f>
      </c>
      <c r="AB1464" s="7">
        <f>$L1464+$Y1464</f>
      </c>
      <c r="AC1464" s="7">
        <f>$K1464-$X1464</f>
      </c>
      <c r="AD1464" s="7">
        <f>$L1464-$Y1464</f>
      </c>
      <c r="AE1464" s="7">
        <f>AA1464/39.3701</f>
      </c>
      <c r="AF1464" s="7">
        <f>AB1464/39.3701</f>
      </c>
      <c r="AG1464" s="7">
        <f>AC1464/39.3701</f>
      </c>
      <c r="AH1464" s="7">
        <f>AD1464/39.3701</f>
      </c>
      <c r="AI1464" s="1"/>
      <c r="AJ1464" s="1"/>
      <c r="AK1464" s="1"/>
      <c r="AL1464" s="1"/>
      <c r="AM1464" s="2"/>
      <c r="AN1464" s="1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  <c r="BA1464" s="1"/>
      <c r="BB1464" s="1"/>
      <c r="BC1464" s="1"/>
      <c r="BD1464" s="1"/>
      <c r="BE1464" s="1"/>
    </row>
    <row x14ac:dyDescent="0.25" r="1465" customHeight="1" ht="18.75">
      <c r="A1465" s="1"/>
      <c r="B1465" s="2"/>
      <c r="C1465" s="2"/>
      <c r="D1465" s="2"/>
      <c r="E1465" s="2"/>
      <c r="F1465" s="2"/>
      <c r="G1465" s="1"/>
      <c r="H1465" s="1"/>
      <c r="I1465" s="7">
        <v>1.462</v>
      </c>
      <c r="J1465" s="7">
        <f>IF((I1465-ROUNDDOWN(I1465,0))=0, 0, (I1465-ROUNDDOWN(I1465,0)))</f>
      </c>
      <c r="K1465" s="7">
        <f>INDIRECT("C$"&amp;2+MIN(2,ROUNDDOWN(I1465,0))*3)*(-$J1465^3+3*$J1465^2-3*$J1465+1)+INDIRECT("C$"&amp;3+MIN(2,ROUNDDOWN(I1465,0))*3)*(3*$J1465^3-6*$J1465^2+3*$J1465)+INDIRECT("C$"&amp;4+MIN(2,ROUNDDOWN(I1465,0))*3)*(-3*$J1465^3+3*$J1465^2)+INDIRECT("C$"&amp;5+MIN(2,ROUNDDOWN(I1465,0))*3)*$J1465^3</f>
      </c>
      <c r="L1465" s="7">
        <f>INDIRECT("D$"&amp;2+MIN(2,ROUNDDOWN(I1465,0))*3)*(-$J1465^3+3*$J1465^2-3*$J1465+1)+INDIRECT("D$"&amp;3+MIN(2,ROUNDDOWN(I1465,0))*3)*(3*$J1465^3-6*$J1465^2+3*$J1465)+INDIRECT("D$"&amp;4+MIN(2,ROUNDDOWN(I1465,0))*3)*(-3*$J1465^3+3*$J1465^2)+INDIRECT("D$"&amp;5+MIN(2,ROUNDDOWN(I1465,0))*3)*$J1465^3</f>
      </c>
      <c r="M1465" s="7">
        <f>SQRT(K1465^2+L1465^2)</f>
      </c>
      <c r="N1465" s="7">
        <f>(K1466-K1464)</f>
      </c>
      <c r="O1465" s="7">
        <f>+(L1466-L1464)</f>
      </c>
      <c r="P1465" s="7">
        <f>SQRT(O1465^2+N1465^2)</f>
      </c>
      <c r="Q1465" s="7">
        <f>N1465/$P1465</f>
      </c>
      <c r="R1465" s="7">
        <f>O1465/$P1465</f>
      </c>
      <c r="S1465" s="8">
        <f>Q1465^2+R1465^2</f>
      </c>
      <c r="T1465" s="7">
        <f>-R1465</f>
      </c>
      <c r="U1465" s="7">
        <f>Q1465</f>
      </c>
      <c r="V1465" s="7">
        <f>($C$14+($C$15-$C$14)/($D$15-$D$14)*(I1465-$D$14))/2</f>
      </c>
      <c r="W1465" s="7">
        <f>($B$22*I1465^4+$C$22*I1465^3+$D$22*I1465^2+$E$22*I1465+$F$22)/2</f>
      </c>
      <c r="X1465" s="7">
        <f>($W1465)*(T1465)</f>
      </c>
      <c r="Y1465" s="7">
        <f>($W1465)*(U1465)</f>
      </c>
      <c r="Z1465" s="7">
        <f>SQRT(X1465^2+Y1465^2)</f>
      </c>
      <c r="AA1465" s="7">
        <f>$K1465+$X1465</f>
      </c>
      <c r="AB1465" s="7">
        <f>$L1465+$Y1465</f>
      </c>
      <c r="AC1465" s="7">
        <f>$K1465-$X1465</f>
      </c>
      <c r="AD1465" s="7">
        <f>$L1465-$Y1465</f>
      </c>
      <c r="AE1465" s="7">
        <f>AA1465/39.3701</f>
      </c>
      <c r="AF1465" s="7">
        <f>AB1465/39.3701</f>
      </c>
      <c r="AG1465" s="7">
        <f>AC1465/39.3701</f>
      </c>
      <c r="AH1465" s="7">
        <f>AD1465/39.3701</f>
      </c>
      <c r="AI1465" s="1"/>
      <c r="AJ1465" s="1"/>
      <c r="AK1465" s="1"/>
      <c r="AL1465" s="1"/>
      <c r="AM1465" s="2"/>
      <c r="AN1465" s="1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  <c r="BA1465" s="1"/>
      <c r="BB1465" s="1"/>
      <c r="BC1465" s="1"/>
      <c r="BD1465" s="1"/>
      <c r="BE1465" s="1"/>
    </row>
    <row x14ac:dyDescent="0.25" r="1466" customHeight="1" ht="18.75">
      <c r="A1466" s="1"/>
      <c r="B1466" s="2"/>
      <c r="C1466" s="2"/>
      <c r="D1466" s="2"/>
      <c r="E1466" s="2"/>
      <c r="F1466" s="2"/>
      <c r="G1466" s="1"/>
      <c r="H1466" s="1"/>
      <c r="I1466" s="7">
        <v>1.463</v>
      </c>
      <c r="J1466" s="7">
        <f>IF((I1466-ROUNDDOWN(I1466,0))=0, 0, (I1466-ROUNDDOWN(I1466,0)))</f>
      </c>
      <c r="K1466" s="7">
        <f>INDIRECT("C$"&amp;2+MIN(2,ROUNDDOWN(I1466,0))*3)*(-$J1466^3+3*$J1466^2-3*$J1466+1)+INDIRECT("C$"&amp;3+MIN(2,ROUNDDOWN(I1466,0))*3)*(3*$J1466^3-6*$J1466^2+3*$J1466)+INDIRECT("C$"&amp;4+MIN(2,ROUNDDOWN(I1466,0))*3)*(-3*$J1466^3+3*$J1466^2)+INDIRECT("C$"&amp;5+MIN(2,ROUNDDOWN(I1466,0))*3)*$J1466^3</f>
      </c>
      <c r="L1466" s="7">
        <f>INDIRECT("D$"&amp;2+MIN(2,ROUNDDOWN(I1466,0))*3)*(-$J1466^3+3*$J1466^2-3*$J1466+1)+INDIRECT("D$"&amp;3+MIN(2,ROUNDDOWN(I1466,0))*3)*(3*$J1466^3-6*$J1466^2+3*$J1466)+INDIRECT("D$"&amp;4+MIN(2,ROUNDDOWN(I1466,0))*3)*(-3*$J1466^3+3*$J1466^2)+INDIRECT("D$"&amp;5+MIN(2,ROUNDDOWN(I1466,0))*3)*$J1466^3</f>
      </c>
      <c r="M1466" s="7">
        <f>SQRT(K1466^2+L1466^2)</f>
      </c>
      <c r="N1466" s="7">
        <f>(K1467-K1465)</f>
      </c>
      <c r="O1466" s="7">
        <f>+(L1467-L1465)</f>
      </c>
      <c r="P1466" s="7">
        <f>SQRT(O1466^2+N1466^2)</f>
      </c>
      <c r="Q1466" s="7">
        <f>N1466/$P1466</f>
      </c>
      <c r="R1466" s="7">
        <f>O1466/$P1466</f>
      </c>
      <c r="S1466" s="8">
        <f>Q1466^2+R1466^2</f>
      </c>
      <c r="T1466" s="7">
        <f>-R1466</f>
      </c>
      <c r="U1466" s="7">
        <f>Q1466</f>
      </c>
      <c r="V1466" s="7">
        <f>($C$14+($C$15-$C$14)/($D$15-$D$14)*(I1466-$D$14))/2</f>
      </c>
      <c r="W1466" s="7">
        <f>($B$22*I1466^4+$C$22*I1466^3+$D$22*I1466^2+$E$22*I1466+$F$22)/2</f>
      </c>
      <c r="X1466" s="7">
        <f>($W1466)*(T1466)</f>
      </c>
      <c r="Y1466" s="7">
        <f>($W1466)*(U1466)</f>
      </c>
      <c r="Z1466" s="7">
        <f>SQRT(X1466^2+Y1466^2)</f>
      </c>
      <c r="AA1466" s="7">
        <f>$K1466+$X1466</f>
      </c>
      <c r="AB1466" s="7">
        <f>$L1466+$Y1466</f>
      </c>
      <c r="AC1466" s="7">
        <f>$K1466-$X1466</f>
      </c>
      <c r="AD1466" s="7">
        <f>$L1466-$Y1466</f>
      </c>
      <c r="AE1466" s="7">
        <f>AA1466/39.3701</f>
      </c>
      <c r="AF1466" s="7">
        <f>AB1466/39.3701</f>
      </c>
      <c r="AG1466" s="7">
        <f>AC1466/39.3701</f>
      </c>
      <c r="AH1466" s="7">
        <f>AD1466/39.3701</f>
      </c>
      <c r="AI1466" s="1"/>
      <c r="AJ1466" s="1"/>
      <c r="AK1466" s="1"/>
      <c r="AL1466" s="1"/>
      <c r="AM1466" s="2"/>
      <c r="AN1466" s="1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  <c r="BA1466" s="1"/>
      <c r="BB1466" s="1"/>
      <c r="BC1466" s="1"/>
      <c r="BD1466" s="1"/>
      <c r="BE1466" s="1"/>
    </row>
    <row x14ac:dyDescent="0.25" r="1467" customHeight="1" ht="18.75">
      <c r="A1467" s="1"/>
      <c r="B1467" s="2"/>
      <c r="C1467" s="2"/>
      <c r="D1467" s="2"/>
      <c r="E1467" s="2"/>
      <c r="F1467" s="2"/>
      <c r="G1467" s="1"/>
      <c r="H1467" s="1"/>
      <c r="I1467" s="7">
        <v>1.464</v>
      </c>
      <c r="J1467" s="7">
        <f>IF((I1467-ROUNDDOWN(I1467,0))=0, 0, (I1467-ROUNDDOWN(I1467,0)))</f>
      </c>
      <c r="K1467" s="7">
        <f>INDIRECT("C$"&amp;2+MIN(2,ROUNDDOWN(I1467,0))*3)*(-$J1467^3+3*$J1467^2-3*$J1467+1)+INDIRECT("C$"&amp;3+MIN(2,ROUNDDOWN(I1467,0))*3)*(3*$J1467^3-6*$J1467^2+3*$J1467)+INDIRECT("C$"&amp;4+MIN(2,ROUNDDOWN(I1467,0))*3)*(-3*$J1467^3+3*$J1467^2)+INDIRECT("C$"&amp;5+MIN(2,ROUNDDOWN(I1467,0))*3)*$J1467^3</f>
      </c>
      <c r="L1467" s="7">
        <f>INDIRECT("D$"&amp;2+MIN(2,ROUNDDOWN(I1467,0))*3)*(-$J1467^3+3*$J1467^2-3*$J1467+1)+INDIRECT("D$"&amp;3+MIN(2,ROUNDDOWN(I1467,0))*3)*(3*$J1467^3-6*$J1467^2+3*$J1467)+INDIRECT("D$"&amp;4+MIN(2,ROUNDDOWN(I1467,0))*3)*(-3*$J1467^3+3*$J1467^2)+INDIRECT("D$"&amp;5+MIN(2,ROUNDDOWN(I1467,0))*3)*$J1467^3</f>
      </c>
      <c r="M1467" s="7">
        <f>SQRT(K1467^2+L1467^2)</f>
      </c>
      <c r="N1467" s="7">
        <f>(K1468-K1466)</f>
      </c>
      <c r="O1467" s="7">
        <f>+(L1468-L1466)</f>
      </c>
      <c r="P1467" s="7">
        <f>SQRT(O1467^2+N1467^2)</f>
      </c>
      <c r="Q1467" s="7">
        <f>N1467/$P1467</f>
      </c>
      <c r="R1467" s="7">
        <f>O1467/$P1467</f>
      </c>
      <c r="S1467" s="8">
        <f>Q1467^2+R1467^2</f>
      </c>
      <c r="T1467" s="7">
        <f>-R1467</f>
      </c>
      <c r="U1467" s="7">
        <f>Q1467</f>
      </c>
      <c r="V1467" s="7">
        <f>($C$14+($C$15-$C$14)/($D$15-$D$14)*(I1467-$D$14))/2</f>
      </c>
      <c r="W1467" s="7">
        <f>($B$22*I1467^4+$C$22*I1467^3+$D$22*I1467^2+$E$22*I1467+$F$22)/2</f>
      </c>
      <c r="X1467" s="7">
        <f>($W1467)*(T1467)</f>
      </c>
      <c r="Y1467" s="7">
        <f>($W1467)*(U1467)</f>
      </c>
      <c r="Z1467" s="7">
        <f>SQRT(X1467^2+Y1467^2)</f>
      </c>
      <c r="AA1467" s="7">
        <f>$K1467+$X1467</f>
      </c>
      <c r="AB1467" s="7">
        <f>$L1467+$Y1467</f>
      </c>
      <c r="AC1467" s="7">
        <f>$K1467-$X1467</f>
      </c>
      <c r="AD1467" s="7">
        <f>$L1467-$Y1467</f>
      </c>
      <c r="AE1467" s="7">
        <f>AA1467/39.3701</f>
      </c>
      <c r="AF1467" s="7">
        <f>AB1467/39.3701</f>
      </c>
      <c r="AG1467" s="7">
        <f>AC1467/39.3701</f>
      </c>
      <c r="AH1467" s="7">
        <f>AD1467/39.3701</f>
      </c>
      <c r="AI1467" s="1"/>
      <c r="AJ1467" s="1"/>
      <c r="AK1467" s="1"/>
      <c r="AL1467" s="1"/>
      <c r="AM1467" s="2"/>
      <c r="AN1467" s="1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  <c r="BA1467" s="1"/>
      <c r="BB1467" s="1"/>
      <c r="BC1467" s="1"/>
      <c r="BD1467" s="1"/>
      <c r="BE1467" s="1"/>
    </row>
    <row x14ac:dyDescent="0.25" r="1468" customHeight="1" ht="18.75">
      <c r="A1468" s="1"/>
      <c r="B1468" s="2"/>
      <c r="C1468" s="2"/>
      <c r="D1468" s="2"/>
      <c r="E1468" s="2"/>
      <c r="F1468" s="2"/>
      <c r="G1468" s="1"/>
      <c r="H1468" s="1"/>
      <c r="I1468" s="7">
        <v>1.465</v>
      </c>
      <c r="J1468" s="7">
        <f>IF((I1468-ROUNDDOWN(I1468,0))=0, 0, (I1468-ROUNDDOWN(I1468,0)))</f>
      </c>
      <c r="K1468" s="7">
        <f>INDIRECT("C$"&amp;2+MIN(2,ROUNDDOWN(I1468,0))*3)*(-$J1468^3+3*$J1468^2-3*$J1468+1)+INDIRECT("C$"&amp;3+MIN(2,ROUNDDOWN(I1468,0))*3)*(3*$J1468^3-6*$J1468^2+3*$J1468)+INDIRECT("C$"&amp;4+MIN(2,ROUNDDOWN(I1468,0))*3)*(-3*$J1468^3+3*$J1468^2)+INDIRECT("C$"&amp;5+MIN(2,ROUNDDOWN(I1468,0))*3)*$J1468^3</f>
      </c>
      <c r="L1468" s="7">
        <f>INDIRECT("D$"&amp;2+MIN(2,ROUNDDOWN(I1468,0))*3)*(-$J1468^3+3*$J1468^2-3*$J1468+1)+INDIRECT("D$"&amp;3+MIN(2,ROUNDDOWN(I1468,0))*3)*(3*$J1468^3-6*$J1468^2+3*$J1468)+INDIRECT("D$"&amp;4+MIN(2,ROUNDDOWN(I1468,0))*3)*(-3*$J1468^3+3*$J1468^2)+INDIRECT("D$"&amp;5+MIN(2,ROUNDDOWN(I1468,0))*3)*$J1468^3</f>
      </c>
      <c r="M1468" s="7">
        <f>SQRT(K1468^2+L1468^2)</f>
      </c>
      <c r="N1468" s="7">
        <f>(K1469-K1467)</f>
      </c>
      <c r="O1468" s="7">
        <f>+(L1469-L1467)</f>
      </c>
      <c r="P1468" s="7">
        <f>SQRT(O1468^2+N1468^2)</f>
      </c>
      <c r="Q1468" s="7">
        <f>N1468/$P1468</f>
      </c>
      <c r="R1468" s="7">
        <f>O1468/$P1468</f>
      </c>
      <c r="S1468" s="7">
        <f>Q1468^2+R1468^2</f>
      </c>
      <c r="T1468" s="7">
        <f>-R1468</f>
      </c>
      <c r="U1468" s="7">
        <f>Q1468</f>
      </c>
      <c r="V1468" s="7">
        <f>($C$14+($C$15-$C$14)/($D$15-$D$14)*(I1468-$D$14))/2</f>
      </c>
      <c r="W1468" s="7">
        <f>($B$22*I1468^4+$C$22*I1468^3+$D$22*I1468^2+$E$22*I1468+$F$22)/2</f>
      </c>
      <c r="X1468" s="7">
        <f>($W1468)*(T1468)</f>
      </c>
      <c r="Y1468" s="7">
        <f>($W1468)*(U1468)</f>
      </c>
      <c r="Z1468" s="7">
        <f>SQRT(X1468^2+Y1468^2)</f>
      </c>
      <c r="AA1468" s="7">
        <f>$K1468+$X1468</f>
      </c>
      <c r="AB1468" s="7">
        <f>$L1468+$Y1468</f>
      </c>
      <c r="AC1468" s="7">
        <f>$K1468-$X1468</f>
      </c>
      <c r="AD1468" s="7">
        <f>$L1468-$Y1468</f>
      </c>
      <c r="AE1468" s="7">
        <f>AA1468/39.3701</f>
      </c>
      <c r="AF1468" s="7">
        <f>AB1468/39.3701</f>
      </c>
      <c r="AG1468" s="7">
        <f>AC1468/39.3701</f>
      </c>
      <c r="AH1468" s="7">
        <f>AD1468/39.3701</f>
      </c>
      <c r="AI1468" s="1"/>
      <c r="AJ1468" s="1"/>
      <c r="AK1468" s="1"/>
      <c r="AL1468" s="1"/>
      <c r="AM1468" s="2"/>
      <c r="AN1468" s="1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  <c r="BA1468" s="1"/>
      <c r="BB1468" s="1"/>
      <c r="BC1468" s="1"/>
      <c r="BD1468" s="1"/>
      <c r="BE1468" s="1"/>
    </row>
    <row x14ac:dyDescent="0.25" r="1469" customHeight="1" ht="18.75">
      <c r="A1469" s="1"/>
      <c r="B1469" s="2"/>
      <c r="C1469" s="2"/>
      <c r="D1469" s="2"/>
      <c r="E1469" s="2"/>
      <c r="F1469" s="2"/>
      <c r="G1469" s="1"/>
      <c r="H1469" s="1"/>
      <c r="I1469" s="7">
        <v>1.466</v>
      </c>
      <c r="J1469" s="7">
        <f>IF((I1469-ROUNDDOWN(I1469,0))=0, 0, (I1469-ROUNDDOWN(I1469,0)))</f>
      </c>
      <c r="K1469" s="7">
        <f>INDIRECT("C$"&amp;2+MIN(2,ROUNDDOWN(I1469,0))*3)*(-$J1469^3+3*$J1469^2-3*$J1469+1)+INDIRECT("C$"&amp;3+MIN(2,ROUNDDOWN(I1469,0))*3)*(3*$J1469^3-6*$J1469^2+3*$J1469)+INDIRECT("C$"&amp;4+MIN(2,ROUNDDOWN(I1469,0))*3)*(-3*$J1469^3+3*$J1469^2)+INDIRECT("C$"&amp;5+MIN(2,ROUNDDOWN(I1469,0))*3)*$J1469^3</f>
      </c>
      <c r="L1469" s="7">
        <f>INDIRECT("D$"&amp;2+MIN(2,ROUNDDOWN(I1469,0))*3)*(-$J1469^3+3*$J1469^2-3*$J1469+1)+INDIRECT("D$"&amp;3+MIN(2,ROUNDDOWN(I1469,0))*3)*(3*$J1469^3-6*$J1469^2+3*$J1469)+INDIRECT("D$"&amp;4+MIN(2,ROUNDDOWN(I1469,0))*3)*(-3*$J1469^3+3*$J1469^2)+INDIRECT("D$"&amp;5+MIN(2,ROUNDDOWN(I1469,0))*3)*$J1469^3</f>
      </c>
      <c r="M1469" s="7">
        <f>SQRT(K1469^2+L1469^2)</f>
      </c>
      <c r="N1469" s="7">
        <f>(K1470-K1468)</f>
      </c>
      <c r="O1469" s="7">
        <f>+(L1470-L1468)</f>
      </c>
      <c r="P1469" s="7">
        <f>SQRT(O1469^2+N1469^2)</f>
      </c>
      <c r="Q1469" s="7">
        <f>N1469/$P1469</f>
      </c>
      <c r="R1469" s="7">
        <f>O1469/$P1469</f>
      </c>
      <c r="S1469" s="8">
        <f>Q1469^2+R1469^2</f>
      </c>
      <c r="T1469" s="7">
        <f>-R1469</f>
      </c>
      <c r="U1469" s="7">
        <f>Q1469</f>
      </c>
      <c r="V1469" s="7">
        <f>($C$14+($C$15-$C$14)/($D$15-$D$14)*(I1469-$D$14))/2</f>
      </c>
      <c r="W1469" s="7">
        <f>($B$22*I1469^4+$C$22*I1469^3+$D$22*I1469^2+$E$22*I1469+$F$22)/2</f>
      </c>
      <c r="X1469" s="7">
        <f>($W1469)*(T1469)</f>
      </c>
      <c r="Y1469" s="7">
        <f>($W1469)*(U1469)</f>
      </c>
      <c r="Z1469" s="7">
        <f>SQRT(X1469^2+Y1469^2)</f>
      </c>
      <c r="AA1469" s="7">
        <f>$K1469+$X1469</f>
      </c>
      <c r="AB1469" s="7">
        <f>$L1469+$Y1469</f>
      </c>
      <c r="AC1469" s="7">
        <f>$K1469-$X1469</f>
      </c>
      <c r="AD1469" s="7">
        <f>$L1469-$Y1469</f>
      </c>
      <c r="AE1469" s="7">
        <f>AA1469/39.3701</f>
      </c>
      <c r="AF1469" s="7">
        <f>AB1469/39.3701</f>
      </c>
      <c r="AG1469" s="7">
        <f>AC1469/39.3701</f>
      </c>
      <c r="AH1469" s="7">
        <f>AD1469/39.3701</f>
      </c>
      <c r="AI1469" s="1"/>
      <c r="AJ1469" s="1"/>
      <c r="AK1469" s="1"/>
      <c r="AL1469" s="1"/>
      <c r="AM1469" s="2"/>
      <c r="AN1469" s="1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  <c r="BA1469" s="1"/>
      <c r="BB1469" s="1"/>
      <c r="BC1469" s="1"/>
      <c r="BD1469" s="1"/>
      <c r="BE1469" s="1"/>
    </row>
    <row x14ac:dyDescent="0.25" r="1470" customHeight="1" ht="18.75">
      <c r="A1470" s="1"/>
      <c r="B1470" s="2"/>
      <c r="C1470" s="2"/>
      <c r="D1470" s="2"/>
      <c r="E1470" s="2"/>
      <c r="F1470" s="2"/>
      <c r="G1470" s="1"/>
      <c r="H1470" s="1"/>
      <c r="I1470" s="7">
        <v>1.467</v>
      </c>
      <c r="J1470" s="7">
        <f>IF((I1470-ROUNDDOWN(I1470,0))=0, 0, (I1470-ROUNDDOWN(I1470,0)))</f>
      </c>
      <c r="K1470" s="7">
        <f>INDIRECT("C$"&amp;2+MIN(2,ROUNDDOWN(I1470,0))*3)*(-$J1470^3+3*$J1470^2-3*$J1470+1)+INDIRECT("C$"&amp;3+MIN(2,ROUNDDOWN(I1470,0))*3)*(3*$J1470^3-6*$J1470^2+3*$J1470)+INDIRECT("C$"&amp;4+MIN(2,ROUNDDOWN(I1470,0))*3)*(-3*$J1470^3+3*$J1470^2)+INDIRECT("C$"&amp;5+MIN(2,ROUNDDOWN(I1470,0))*3)*$J1470^3</f>
      </c>
      <c r="L1470" s="7">
        <f>INDIRECT("D$"&amp;2+MIN(2,ROUNDDOWN(I1470,0))*3)*(-$J1470^3+3*$J1470^2-3*$J1470+1)+INDIRECT("D$"&amp;3+MIN(2,ROUNDDOWN(I1470,0))*3)*(3*$J1470^3-6*$J1470^2+3*$J1470)+INDIRECT("D$"&amp;4+MIN(2,ROUNDDOWN(I1470,0))*3)*(-3*$J1470^3+3*$J1470^2)+INDIRECT("D$"&amp;5+MIN(2,ROUNDDOWN(I1470,0))*3)*$J1470^3</f>
      </c>
      <c r="M1470" s="7">
        <f>SQRT(K1470^2+L1470^2)</f>
      </c>
      <c r="N1470" s="7">
        <f>(K1471-K1469)</f>
      </c>
      <c r="O1470" s="7">
        <f>+(L1471-L1469)</f>
      </c>
      <c r="P1470" s="7">
        <f>SQRT(O1470^2+N1470^2)</f>
      </c>
      <c r="Q1470" s="7">
        <f>N1470/$P1470</f>
      </c>
      <c r="R1470" s="7">
        <f>O1470/$P1470</f>
      </c>
      <c r="S1470" s="7">
        <f>Q1470^2+R1470^2</f>
      </c>
      <c r="T1470" s="7">
        <f>-R1470</f>
      </c>
      <c r="U1470" s="7">
        <f>Q1470</f>
      </c>
      <c r="V1470" s="7">
        <f>($C$14+($C$15-$C$14)/($D$15-$D$14)*(I1470-$D$14))/2</f>
      </c>
      <c r="W1470" s="7">
        <f>($B$22*I1470^4+$C$22*I1470^3+$D$22*I1470^2+$E$22*I1470+$F$22)/2</f>
      </c>
      <c r="X1470" s="7">
        <f>($W1470)*(T1470)</f>
      </c>
      <c r="Y1470" s="7">
        <f>($W1470)*(U1470)</f>
      </c>
      <c r="Z1470" s="7">
        <f>SQRT(X1470^2+Y1470^2)</f>
      </c>
      <c r="AA1470" s="7">
        <f>$K1470+$X1470</f>
      </c>
      <c r="AB1470" s="7">
        <f>$L1470+$Y1470</f>
      </c>
      <c r="AC1470" s="7">
        <f>$K1470-$X1470</f>
      </c>
      <c r="AD1470" s="7">
        <f>$L1470-$Y1470</f>
      </c>
      <c r="AE1470" s="7">
        <f>AA1470/39.3701</f>
      </c>
      <c r="AF1470" s="7">
        <f>AB1470/39.3701</f>
      </c>
      <c r="AG1470" s="7">
        <f>AC1470/39.3701</f>
      </c>
      <c r="AH1470" s="7">
        <f>AD1470/39.3701</f>
      </c>
      <c r="AI1470" s="1"/>
      <c r="AJ1470" s="1"/>
      <c r="AK1470" s="1"/>
      <c r="AL1470" s="1"/>
      <c r="AM1470" s="2"/>
      <c r="AN1470" s="1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  <c r="BA1470" s="1"/>
      <c r="BB1470" s="1"/>
      <c r="BC1470" s="1"/>
      <c r="BD1470" s="1"/>
      <c r="BE1470" s="1"/>
    </row>
    <row x14ac:dyDescent="0.25" r="1471" customHeight="1" ht="18.75">
      <c r="A1471" s="1"/>
      <c r="B1471" s="2"/>
      <c r="C1471" s="2"/>
      <c r="D1471" s="2"/>
      <c r="E1471" s="2"/>
      <c r="F1471" s="2"/>
      <c r="G1471" s="1"/>
      <c r="H1471" s="1"/>
      <c r="I1471" s="7">
        <v>1.468</v>
      </c>
      <c r="J1471" s="7">
        <f>IF((I1471-ROUNDDOWN(I1471,0))=0, 0, (I1471-ROUNDDOWN(I1471,0)))</f>
      </c>
      <c r="K1471" s="7">
        <f>INDIRECT("C$"&amp;2+MIN(2,ROUNDDOWN(I1471,0))*3)*(-$J1471^3+3*$J1471^2-3*$J1471+1)+INDIRECT("C$"&amp;3+MIN(2,ROUNDDOWN(I1471,0))*3)*(3*$J1471^3-6*$J1471^2+3*$J1471)+INDIRECT("C$"&amp;4+MIN(2,ROUNDDOWN(I1471,0))*3)*(-3*$J1471^3+3*$J1471^2)+INDIRECT("C$"&amp;5+MIN(2,ROUNDDOWN(I1471,0))*3)*$J1471^3</f>
      </c>
      <c r="L1471" s="7">
        <f>INDIRECT("D$"&amp;2+MIN(2,ROUNDDOWN(I1471,0))*3)*(-$J1471^3+3*$J1471^2-3*$J1471+1)+INDIRECT("D$"&amp;3+MIN(2,ROUNDDOWN(I1471,0))*3)*(3*$J1471^3-6*$J1471^2+3*$J1471)+INDIRECT("D$"&amp;4+MIN(2,ROUNDDOWN(I1471,0))*3)*(-3*$J1471^3+3*$J1471^2)+INDIRECT("D$"&amp;5+MIN(2,ROUNDDOWN(I1471,0))*3)*$J1471^3</f>
      </c>
      <c r="M1471" s="7">
        <f>SQRT(K1471^2+L1471^2)</f>
      </c>
      <c r="N1471" s="7">
        <f>(K1472-K1470)</f>
      </c>
      <c r="O1471" s="7">
        <f>+(L1472-L1470)</f>
      </c>
      <c r="P1471" s="7">
        <f>SQRT(O1471^2+N1471^2)</f>
      </c>
      <c r="Q1471" s="7">
        <f>N1471/$P1471</f>
      </c>
      <c r="R1471" s="7">
        <f>O1471/$P1471</f>
      </c>
      <c r="S1471" s="7">
        <f>Q1471^2+R1471^2</f>
      </c>
      <c r="T1471" s="7">
        <f>-R1471</f>
      </c>
      <c r="U1471" s="7">
        <f>Q1471</f>
      </c>
      <c r="V1471" s="7">
        <f>($C$14+($C$15-$C$14)/($D$15-$D$14)*(I1471-$D$14))/2</f>
      </c>
      <c r="W1471" s="7">
        <f>($B$22*I1471^4+$C$22*I1471^3+$D$22*I1471^2+$E$22*I1471+$F$22)/2</f>
      </c>
      <c r="X1471" s="7">
        <f>($W1471)*(T1471)</f>
      </c>
      <c r="Y1471" s="7">
        <f>($W1471)*(U1471)</f>
      </c>
      <c r="Z1471" s="7">
        <f>SQRT(X1471^2+Y1471^2)</f>
      </c>
      <c r="AA1471" s="7">
        <f>$K1471+$X1471</f>
      </c>
      <c r="AB1471" s="7">
        <f>$L1471+$Y1471</f>
      </c>
      <c r="AC1471" s="7">
        <f>$K1471-$X1471</f>
      </c>
      <c r="AD1471" s="7">
        <f>$L1471-$Y1471</f>
      </c>
      <c r="AE1471" s="7">
        <f>AA1471/39.3701</f>
      </c>
      <c r="AF1471" s="7">
        <f>AB1471/39.3701</f>
      </c>
      <c r="AG1471" s="7">
        <f>AC1471/39.3701</f>
      </c>
      <c r="AH1471" s="7">
        <f>AD1471/39.3701</f>
      </c>
      <c r="AI1471" s="1"/>
      <c r="AJ1471" s="1"/>
      <c r="AK1471" s="1"/>
      <c r="AL1471" s="1"/>
      <c r="AM1471" s="2"/>
      <c r="AN1471" s="1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  <c r="BA1471" s="1"/>
      <c r="BB1471" s="1"/>
      <c r="BC1471" s="1"/>
      <c r="BD1471" s="1"/>
      <c r="BE1471" s="1"/>
    </row>
    <row x14ac:dyDescent="0.25" r="1472" customHeight="1" ht="18.75">
      <c r="A1472" s="1"/>
      <c r="B1472" s="2"/>
      <c r="C1472" s="2"/>
      <c r="D1472" s="2"/>
      <c r="E1472" s="2"/>
      <c r="F1472" s="2"/>
      <c r="G1472" s="1"/>
      <c r="H1472" s="1"/>
      <c r="I1472" s="7">
        <v>1.469</v>
      </c>
      <c r="J1472" s="7">
        <f>IF((I1472-ROUNDDOWN(I1472,0))=0, 0, (I1472-ROUNDDOWN(I1472,0)))</f>
      </c>
      <c r="K1472" s="7">
        <f>INDIRECT("C$"&amp;2+MIN(2,ROUNDDOWN(I1472,0))*3)*(-$J1472^3+3*$J1472^2-3*$J1472+1)+INDIRECT("C$"&amp;3+MIN(2,ROUNDDOWN(I1472,0))*3)*(3*$J1472^3-6*$J1472^2+3*$J1472)+INDIRECT("C$"&amp;4+MIN(2,ROUNDDOWN(I1472,0))*3)*(-3*$J1472^3+3*$J1472^2)+INDIRECT("C$"&amp;5+MIN(2,ROUNDDOWN(I1472,0))*3)*$J1472^3</f>
      </c>
      <c r="L1472" s="7">
        <f>INDIRECT("D$"&amp;2+MIN(2,ROUNDDOWN(I1472,0))*3)*(-$J1472^3+3*$J1472^2-3*$J1472+1)+INDIRECT("D$"&amp;3+MIN(2,ROUNDDOWN(I1472,0))*3)*(3*$J1472^3-6*$J1472^2+3*$J1472)+INDIRECT("D$"&amp;4+MIN(2,ROUNDDOWN(I1472,0))*3)*(-3*$J1472^3+3*$J1472^2)+INDIRECT("D$"&amp;5+MIN(2,ROUNDDOWN(I1472,0))*3)*$J1472^3</f>
      </c>
      <c r="M1472" s="7">
        <f>SQRT(K1472^2+L1472^2)</f>
      </c>
      <c r="N1472" s="7">
        <f>(K1473-K1471)</f>
      </c>
      <c r="O1472" s="7">
        <f>+(L1473-L1471)</f>
      </c>
      <c r="P1472" s="7">
        <f>SQRT(O1472^2+N1472^2)</f>
      </c>
      <c r="Q1472" s="7">
        <f>N1472/$P1472</f>
      </c>
      <c r="R1472" s="7">
        <f>O1472/$P1472</f>
      </c>
      <c r="S1472" s="8">
        <f>Q1472^2+R1472^2</f>
      </c>
      <c r="T1472" s="7">
        <f>-R1472</f>
      </c>
      <c r="U1472" s="7">
        <f>Q1472</f>
      </c>
      <c r="V1472" s="7">
        <f>($C$14+($C$15-$C$14)/($D$15-$D$14)*(I1472-$D$14))/2</f>
      </c>
      <c r="W1472" s="7">
        <f>($B$22*I1472^4+$C$22*I1472^3+$D$22*I1472^2+$E$22*I1472+$F$22)/2</f>
      </c>
      <c r="X1472" s="7">
        <f>($W1472)*(T1472)</f>
      </c>
      <c r="Y1472" s="7">
        <f>($W1472)*(U1472)</f>
      </c>
      <c r="Z1472" s="7">
        <f>SQRT(X1472^2+Y1472^2)</f>
      </c>
      <c r="AA1472" s="7">
        <f>$K1472+$X1472</f>
      </c>
      <c r="AB1472" s="7">
        <f>$L1472+$Y1472</f>
      </c>
      <c r="AC1472" s="7">
        <f>$K1472-$X1472</f>
      </c>
      <c r="AD1472" s="7">
        <f>$L1472-$Y1472</f>
      </c>
      <c r="AE1472" s="7">
        <f>AA1472/39.3701</f>
      </c>
      <c r="AF1472" s="7">
        <f>AB1472/39.3701</f>
      </c>
      <c r="AG1472" s="7">
        <f>AC1472/39.3701</f>
      </c>
      <c r="AH1472" s="7">
        <f>AD1472/39.3701</f>
      </c>
      <c r="AI1472" s="1"/>
      <c r="AJ1472" s="1"/>
      <c r="AK1472" s="1"/>
      <c r="AL1472" s="1"/>
      <c r="AM1472" s="2"/>
      <c r="AN1472" s="1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  <c r="BA1472" s="1"/>
      <c r="BB1472" s="1"/>
      <c r="BC1472" s="1"/>
      <c r="BD1472" s="1"/>
      <c r="BE1472" s="1"/>
    </row>
    <row x14ac:dyDescent="0.25" r="1473" customHeight="1" ht="18.75">
      <c r="A1473" s="1"/>
      <c r="B1473" s="2"/>
      <c r="C1473" s="2"/>
      <c r="D1473" s="2"/>
      <c r="E1473" s="2"/>
      <c r="F1473" s="2"/>
      <c r="G1473" s="1"/>
      <c r="H1473" s="1"/>
      <c r="I1473" s="7">
        <v>1.47</v>
      </c>
      <c r="J1473" s="7">
        <f>IF((I1473-ROUNDDOWN(I1473,0))=0, 0, (I1473-ROUNDDOWN(I1473,0)))</f>
      </c>
      <c r="K1473" s="7">
        <f>INDIRECT("C$"&amp;2+MIN(2,ROUNDDOWN(I1473,0))*3)*(-$J1473^3+3*$J1473^2-3*$J1473+1)+INDIRECT("C$"&amp;3+MIN(2,ROUNDDOWN(I1473,0))*3)*(3*$J1473^3-6*$J1473^2+3*$J1473)+INDIRECT("C$"&amp;4+MIN(2,ROUNDDOWN(I1473,0))*3)*(-3*$J1473^3+3*$J1473^2)+INDIRECT("C$"&amp;5+MIN(2,ROUNDDOWN(I1473,0))*3)*$J1473^3</f>
      </c>
      <c r="L1473" s="7">
        <f>INDIRECT("D$"&amp;2+MIN(2,ROUNDDOWN(I1473,0))*3)*(-$J1473^3+3*$J1473^2-3*$J1473+1)+INDIRECT("D$"&amp;3+MIN(2,ROUNDDOWN(I1473,0))*3)*(3*$J1473^3-6*$J1473^2+3*$J1473)+INDIRECT("D$"&amp;4+MIN(2,ROUNDDOWN(I1473,0))*3)*(-3*$J1473^3+3*$J1473^2)+INDIRECT("D$"&amp;5+MIN(2,ROUNDDOWN(I1473,0))*3)*$J1473^3</f>
      </c>
      <c r="M1473" s="7">
        <f>SQRT(K1473^2+L1473^2)</f>
      </c>
      <c r="N1473" s="7">
        <f>(K1474-K1472)</f>
      </c>
      <c r="O1473" s="7">
        <f>+(L1474-L1472)</f>
      </c>
      <c r="P1473" s="7">
        <f>SQRT(O1473^2+N1473^2)</f>
      </c>
      <c r="Q1473" s="7">
        <f>N1473/$P1473</f>
      </c>
      <c r="R1473" s="7">
        <f>O1473/$P1473</f>
      </c>
      <c r="S1473" s="8">
        <f>Q1473^2+R1473^2</f>
      </c>
      <c r="T1473" s="7">
        <f>-R1473</f>
      </c>
      <c r="U1473" s="7">
        <f>Q1473</f>
      </c>
      <c r="V1473" s="7">
        <f>($C$14+($C$15-$C$14)/($D$15-$D$14)*(I1473-$D$14))/2</f>
      </c>
      <c r="W1473" s="7">
        <f>($B$22*I1473^4+$C$22*I1473^3+$D$22*I1473^2+$E$22*I1473+$F$22)/2</f>
      </c>
      <c r="X1473" s="7">
        <f>($W1473)*(T1473)</f>
      </c>
      <c r="Y1473" s="7">
        <f>($W1473)*(U1473)</f>
      </c>
      <c r="Z1473" s="7">
        <f>SQRT(X1473^2+Y1473^2)</f>
      </c>
      <c r="AA1473" s="7">
        <f>$K1473+$X1473</f>
      </c>
      <c r="AB1473" s="7">
        <f>$L1473+$Y1473</f>
      </c>
      <c r="AC1473" s="7">
        <f>$K1473-$X1473</f>
      </c>
      <c r="AD1473" s="7">
        <f>$L1473-$Y1473</f>
      </c>
      <c r="AE1473" s="7">
        <f>AA1473/39.3701</f>
      </c>
      <c r="AF1473" s="7">
        <f>AB1473/39.3701</f>
      </c>
      <c r="AG1473" s="7">
        <f>AC1473/39.3701</f>
      </c>
      <c r="AH1473" s="7">
        <f>AD1473/39.3701</f>
      </c>
      <c r="AI1473" s="1"/>
      <c r="AJ1473" s="1"/>
      <c r="AK1473" s="1"/>
      <c r="AL1473" s="1"/>
      <c r="AM1473" s="2"/>
      <c r="AN1473" s="1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  <c r="BA1473" s="1"/>
      <c r="BB1473" s="1"/>
      <c r="BC1473" s="1"/>
      <c r="BD1473" s="1"/>
      <c r="BE1473" s="1"/>
    </row>
    <row x14ac:dyDescent="0.25" r="1474" customHeight="1" ht="18.75">
      <c r="A1474" s="1"/>
      <c r="B1474" s="2"/>
      <c r="C1474" s="2"/>
      <c r="D1474" s="2"/>
      <c r="E1474" s="2"/>
      <c r="F1474" s="2"/>
      <c r="G1474" s="1"/>
      <c r="H1474" s="1"/>
      <c r="I1474" s="7">
        <v>1.471</v>
      </c>
      <c r="J1474" s="7">
        <f>IF((I1474-ROUNDDOWN(I1474,0))=0, 0, (I1474-ROUNDDOWN(I1474,0)))</f>
      </c>
      <c r="K1474" s="7">
        <f>INDIRECT("C$"&amp;2+MIN(2,ROUNDDOWN(I1474,0))*3)*(-$J1474^3+3*$J1474^2-3*$J1474+1)+INDIRECT("C$"&amp;3+MIN(2,ROUNDDOWN(I1474,0))*3)*(3*$J1474^3-6*$J1474^2+3*$J1474)+INDIRECT("C$"&amp;4+MIN(2,ROUNDDOWN(I1474,0))*3)*(-3*$J1474^3+3*$J1474^2)+INDIRECT("C$"&amp;5+MIN(2,ROUNDDOWN(I1474,0))*3)*$J1474^3</f>
      </c>
      <c r="L1474" s="7">
        <f>INDIRECT("D$"&amp;2+MIN(2,ROUNDDOWN(I1474,0))*3)*(-$J1474^3+3*$J1474^2-3*$J1474+1)+INDIRECT("D$"&amp;3+MIN(2,ROUNDDOWN(I1474,0))*3)*(3*$J1474^3-6*$J1474^2+3*$J1474)+INDIRECT("D$"&amp;4+MIN(2,ROUNDDOWN(I1474,0))*3)*(-3*$J1474^3+3*$J1474^2)+INDIRECT("D$"&amp;5+MIN(2,ROUNDDOWN(I1474,0))*3)*$J1474^3</f>
      </c>
      <c r="M1474" s="7">
        <f>SQRT(K1474^2+L1474^2)</f>
      </c>
      <c r="N1474" s="7">
        <f>(K1475-K1473)</f>
      </c>
      <c r="O1474" s="7">
        <f>+(L1475-L1473)</f>
      </c>
      <c r="P1474" s="7">
        <f>SQRT(O1474^2+N1474^2)</f>
      </c>
      <c r="Q1474" s="7">
        <f>N1474/$P1474</f>
      </c>
      <c r="R1474" s="7">
        <f>O1474/$P1474</f>
      </c>
      <c r="S1474" s="7">
        <f>Q1474^2+R1474^2</f>
      </c>
      <c r="T1474" s="7">
        <f>-R1474</f>
      </c>
      <c r="U1474" s="7">
        <f>Q1474</f>
      </c>
      <c r="V1474" s="7">
        <f>($C$14+($C$15-$C$14)/($D$15-$D$14)*(I1474-$D$14))/2</f>
      </c>
      <c r="W1474" s="7">
        <f>($B$22*I1474^4+$C$22*I1474^3+$D$22*I1474^2+$E$22*I1474+$F$22)/2</f>
      </c>
      <c r="X1474" s="7">
        <f>($W1474)*(T1474)</f>
      </c>
      <c r="Y1474" s="7">
        <f>($W1474)*(U1474)</f>
      </c>
      <c r="Z1474" s="7">
        <f>SQRT(X1474^2+Y1474^2)</f>
      </c>
      <c r="AA1474" s="7">
        <f>$K1474+$X1474</f>
      </c>
      <c r="AB1474" s="7">
        <f>$L1474+$Y1474</f>
      </c>
      <c r="AC1474" s="7">
        <f>$K1474-$X1474</f>
      </c>
      <c r="AD1474" s="7">
        <f>$L1474-$Y1474</f>
      </c>
      <c r="AE1474" s="7">
        <f>AA1474/39.3701</f>
      </c>
      <c r="AF1474" s="7">
        <f>AB1474/39.3701</f>
      </c>
      <c r="AG1474" s="7">
        <f>AC1474/39.3701</f>
      </c>
      <c r="AH1474" s="7">
        <f>AD1474/39.3701</f>
      </c>
      <c r="AI1474" s="1"/>
      <c r="AJ1474" s="1"/>
      <c r="AK1474" s="1"/>
      <c r="AL1474" s="1"/>
      <c r="AM1474" s="2"/>
      <c r="AN1474" s="1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  <c r="BA1474" s="1"/>
      <c r="BB1474" s="1"/>
      <c r="BC1474" s="1"/>
      <c r="BD1474" s="1"/>
      <c r="BE1474" s="1"/>
    </row>
    <row x14ac:dyDescent="0.25" r="1475" customHeight="1" ht="18.75">
      <c r="A1475" s="1"/>
      <c r="B1475" s="2"/>
      <c r="C1475" s="2"/>
      <c r="D1475" s="2"/>
      <c r="E1475" s="2"/>
      <c r="F1475" s="2"/>
      <c r="G1475" s="1"/>
      <c r="H1475" s="1"/>
      <c r="I1475" s="7">
        <v>1.472</v>
      </c>
      <c r="J1475" s="7">
        <f>IF((I1475-ROUNDDOWN(I1475,0))=0, 0, (I1475-ROUNDDOWN(I1475,0)))</f>
      </c>
      <c r="K1475" s="7">
        <f>INDIRECT("C$"&amp;2+MIN(2,ROUNDDOWN(I1475,0))*3)*(-$J1475^3+3*$J1475^2-3*$J1475+1)+INDIRECT("C$"&amp;3+MIN(2,ROUNDDOWN(I1475,0))*3)*(3*$J1475^3-6*$J1475^2+3*$J1475)+INDIRECT("C$"&amp;4+MIN(2,ROUNDDOWN(I1475,0))*3)*(-3*$J1475^3+3*$J1475^2)+INDIRECT("C$"&amp;5+MIN(2,ROUNDDOWN(I1475,0))*3)*$J1475^3</f>
      </c>
      <c r="L1475" s="7">
        <f>INDIRECT("D$"&amp;2+MIN(2,ROUNDDOWN(I1475,0))*3)*(-$J1475^3+3*$J1475^2-3*$J1475+1)+INDIRECT("D$"&amp;3+MIN(2,ROUNDDOWN(I1475,0))*3)*(3*$J1475^3-6*$J1475^2+3*$J1475)+INDIRECT("D$"&amp;4+MIN(2,ROUNDDOWN(I1475,0))*3)*(-3*$J1475^3+3*$J1475^2)+INDIRECT("D$"&amp;5+MIN(2,ROUNDDOWN(I1475,0))*3)*$J1475^3</f>
      </c>
      <c r="M1475" s="7">
        <f>SQRT(K1475^2+L1475^2)</f>
      </c>
      <c r="N1475" s="7">
        <f>(K1476-K1474)</f>
      </c>
      <c r="O1475" s="7">
        <f>+(L1476-L1474)</f>
      </c>
      <c r="P1475" s="7">
        <f>SQRT(O1475^2+N1475^2)</f>
      </c>
      <c r="Q1475" s="7">
        <f>N1475/$P1475</f>
      </c>
      <c r="R1475" s="7">
        <f>O1475/$P1475</f>
      </c>
      <c r="S1475" s="8">
        <f>Q1475^2+R1475^2</f>
      </c>
      <c r="T1475" s="7">
        <f>-R1475</f>
      </c>
      <c r="U1475" s="7">
        <f>Q1475</f>
      </c>
      <c r="V1475" s="7">
        <f>($C$14+($C$15-$C$14)/($D$15-$D$14)*(I1475-$D$14))/2</f>
      </c>
      <c r="W1475" s="7">
        <f>($B$22*I1475^4+$C$22*I1475^3+$D$22*I1475^2+$E$22*I1475+$F$22)/2</f>
      </c>
      <c r="X1475" s="7">
        <f>($W1475)*(T1475)</f>
      </c>
      <c r="Y1475" s="7">
        <f>($W1475)*(U1475)</f>
      </c>
      <c r="Z1475" s="7">
        <f>SQRT(X1475^2+Y1475^2)</f>
      </c>
      <c r="AA1475" s="7">
        <f>$K1475+$X1475</f>
      </c>
      <c r="AB1475" s="7">
        <f>$L1475+$Y1475</f>
      </c>
      <c r="AC1475" s="7">
        <f>$K1475-$X1475</f>
      </c>
      <c r="AD1475" s="7">
        <f>$L1475-$Y1475</f>
      </c>
      <c r="AE1475" s="7">
        <f>AA1475/39.3701</f>
      </c>
      <c r="AF1475" s="7">
        <f>AB1475/39.3701</f>
      </c>
      <c r="AG1475" s="7">
        <f>AC1475/39.3701</f>
      </c>
      <c r="AH1475" s="7">
        <f>AD1475/39.3701</f>
      </c>
      <c r="AI1475" s="1"/>
      <c r="AJ1475" s="1"/>
      <c r="AK1475" s="1"/>
      <c r="AL1475" s="1"/>
      <c r="AM1475" s="2"/>
      <c r="AN1475" s="1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  <c r="BA1475" s="1"/>
      <c r="BB1475" s="1"/>
      <c r="BC1475" s="1"/>
      <c r="BD1475" s="1"/>
      <c r="BE1475" s="1"/>
    </row>
    <row x14ac:dyDescent="0.25" r="1476" customHeight="1" ht="18.75">
      <c r="A1476" s="1"/>
      <c r="B1476" s="2"/>
      <c r="C1476" s="2"/>
      <c r="D1476" s="2"/>
      <c r="E1476" s="2"/>
      <c r="F1476" s="2"/>
      <c r="G1476" s="1"/>
      <c r="H1476" s="1"/>
      <c r="I1476" s="7">
        <v>1.473</v>
      </c>
      <c r="J1476" s="7">
        <f>IF((I1476-ROUNDDOWN(I1476,0))=0, 0, (I1476-ROUNDDOWN(I1476,0)))</f>
      </c>
      <c r="K1476" s="7">
        <f>INDIRECT("C$"&amp;2+MIN(2,ROUNDDOWN(I1476,0))*3)*(-$J1476^3+3*$J1476^2-3*$J1476+1)+INDIRECT("C$"&amp;3+MIN(2,ROUNDDOWN(I1476,0))*3)*(3*$J1476^3-6*$J1476^2+3*$J1476)+INDIRECT("C$"&amp;4+MIN(2,ROUNDDOWN(I1476,0))*3)*(-3*$J1476^3+3*$J1476^2)+INDIRECT("C$"&amp;5+MIN(2,ROUNDDOWN(I1476,0))*3)*$J1476^3</f>
      </c>
      <c r="L1476" s="7">
        <f>INDIRECT("D$"&amp;2+MIN(2,ROUNDDOWN(I1476,0))*3)*(-$J1476^3+3*$J1476^2-3*$J1476+1)+INDIRECT("D$"&amp;3+MIN(2,ROUNDDOWN(I1476,0))*3)*(3*$J1476^3-6*$J1476^2+3*$J1476)+INDIRECT("D$"&amp;4+MIN(2,ROUNDDOWN(I1476,0))*3)*(-3*$J1476^3+3*$J1476^2)+INDIRECT("D$"&amp;5+MIN(2,ROUNDDOWN(I1476,0))*3)*$J1476^3</f>
      </c>
      <c r="M1476" s="7">
        <f>SQRT(K1476^2+L1476^2)</f>
      </c>
      <c r="N1476" s="7">
        <f>(K1477-K1475)</f>
      </c>
      <c r="O1476" s="7">
        <f>+(L1477-L1475)</f>
      </c>
      <c r="P1476" s="7">
        <f>SQRT(O1476^2+N1476^2)</f>
      </c>
      <c r="Q1476" s="7">
        <f>N1476/$P1476</f>
      </c>
      <c r="R1476" s="7">
        <f>O1476/$P1476</f>
      </c>
      <c r="S1476" s="8">
        <f>Q1476^2+R1476^2</f>
      </c>
      <c r="T1476" s="7">
        <f>-R1476</f>
      </c>
      <c r="U1476" s="7">
        <f>Q1476</f>
      </c>
      <c r="V1476" s="7">
        <f>($C$14+($C$15-$C$14)/($D$15-$D$14)*(I1476-$D$14))/2</f>
      </c>
      <c r="W1476" s="7">
        <f>($B$22*I1476^4+$C$22*I1476^3+$D$22*I1476^2+$E$22*I1476+$F$22)/2</f>
      </c>
      <c r="X1476" s="7">
        <f>($W1476)*(T1476)</f>
      </c>
      <c r="Y1476" s="7">
        <f>($W1476)*(U1476)</f>
      </c>
      <c r="Z1476" s="7">
        <f>SQRT(X1476^2+Y1476^2)</f>
      </c>
      <c r="AA1476" s="7">
        <f>$K1476+$X1476</f>
      </c>
      <c r="AB1476" s="7">
        <f>$L1476+$Y1476</f>
      </c>
      <c r="AC1476" s="7">
        <f>$K1476-$X1476</f>
      </c>
      <c r="AD1476" s="7">
        <f>$L1476-$Y1476</f>
      </c>
      <c r="AE1476" s="7">
        <f>AA1476/39.3701</f>
      </c>
      <c r="AF1476" s="7">
        <f>AB1476/39.3701</f>
      </c>
      <c r="AG1476" s="7">
        <f>AC1476/39.3701</f>
      </c>
      <c r="AH1476" s="7">
        <f>AD1476/39.3701</f>
      </c>
      <c r="AI1476" s="1"/>
      <c r="AJ1476" s="1"/>
      <c r="AK1476" s="1"/>
      <c r="AL1476" s="1"/>
      <c r="AM1476" s="2"/>
      <c r="AN1476" s="1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  <c r="BA1476" s="1"/>
      <c r="BB1476" s="1"/>
      <c r="BC1476" s="1"/>
      <c r="BD1476" s="1"/>
      <c r="BE1476" s="1"/>
    </row>
    <row x14ac:dyDescent="0.25" r="1477" customHeight="1" ht="18.75">
      <c r="A1477" s="1"/>
      <c r="B1477" s="2"/>
      <c r="C1477" s="2"/>
      <c r="D1477" s="2"/>
      <c r="E1477" s="2"/>
      <c r="F1477" s="2"/>
      <c r="G1477" s="1"/>
      <c r="H1477" s="1"/>
      <c r="I1477" s="7">
        <v>1.474</v>
      </c>
      <c r="J1477" s="7">
        <f>IF((I1477-ROUNDDOWN(I1477,0))=0, 0, (I1477-ROUNDDOWN(I1477,0)))</f>
      </c>
      <c r="K1477" s="7">
        <f>INDIRECT("C$"&amp;2+MIN(2,ROUNDDOWN(I1477,0))*3)*(-$J1477^3+3*$J1477^2-3*$J1477+1)+INDIRECT("C$"&amp;3+MIN(2,ROUNDDOWN(I1477,0))*3)*(3*$J1477^3-6*$J1477^2+3*$J1477)+INDIRECT("C$"&amp;4+MIN(2,ROUNDDOWN(I1477,0))*3)*(-3*$J1477^3+3*$J1477^2)+INDIRECT("C$"&amp;5+MIN(2,ROUNDDOWN(I1477,0))*3)*$J1477^3</f>
      </c>
      <c r="L1477" s="7">
        <f>INDIRECT("D$"&amp;2+MIN(2,ROUNDDOWN(I1477,0))*3)*(-$J1477^3+3*$J1477^2-3*$J1477+1)+INDIRECT("D$"&amp;3+MIN(2,ROUNDDOWN(I1477,0))*3)*(3*$J1477^3-6*$J1477^2+3*$J1477)+INDIRECT("D$"&amp;4+MIN(2,ROUNDDOWN(I1477,0))*3)*(-3*$J1477^3+3*$J1477^2)+INDIRECT("D$"&amp;5+MIN(2,ROUNDDOWN(I1477,0))*3)*$J1477^3</f>
      </c>
      <c r="M1477" s="7">
        <f>SQRT(K1477^2+L1477^2)</f>
      </c>
      <c r="N1477" s="7">
        <f>(K1478-K1476)</f>
      </c>
      <c r="O1477" s="7">
        <f>+(L1478-L1476)</f>
      </c>
      <c r="P1477" s="7">
        <f>SQRT(O1477^2+N1477^2)</f>
      </c>
      <c r="Q1477" s="7">
        <f>N1477/$P1477</f>
      </c>
      <c r="R1477" s="7">
        <f>O1477/$P1477</f>
      </c>
      <c r="S1477" s="8">
        <f>Q1477^2+R1477^2</f>
      </c>
      <c r="T1477" s="7">
        <f>-R1477</f>
      </c>
      <c r="U1477" s="7">
        <f>Q1477</f>
      </c>
      <c r="V1477" s="7">
        <f>($C$14+($C$15-$C$14)/($D$15-$D$14)*(I1477-$D$14))/2</f>
      </c>
      <c r="W1477" s="7">
        <f>($B$22*I1477^4+$C$22*I1477^3+$D$22*I1477^2+$E$22*I1477+$F$22)/2</f>
      </c>
      <c r="X1477" s="7">
        <f>($W1477)*(T1477)</f>
      </c>
      <c r="Y1477" s="7">
        <f>($W1477)*(U1477)</f>
      </c>
      <c r="Z1477" s="7">
        <f>SQRT(X1477^2+Y1477^2)</f>
      </c>
      <c r="AA1477" s="7">
        <f>$K1477+$X1477</f>
      </c>
      <c r="AB1477" s="7">
        <f>$L1477+$Y1477</f>
      </c>
      <c r="AC1477" s="7">
        <f>$K1477-$X1477</f>
      </c>
      <c r="AD1477" s="7">
        <f>$L1477-$Y1477</f>
      </c>
      <c r="AE1477" s="7">
        <f>AA1477/39.3701</f>
      </c>
      <c r="AF1477" s="7">
        <f>AB1477/39.3701</f>
      </c>
      <c r="AG1477" s="7">
        <f>AC1477/39.3701</f>
      </c>
      <c r="AH1477" s="7">
        <f>AD1477/39.3701</f>
      </c>
      <c r="AI1477" s="1"/>
      <c r="AJ1477" s="1"/>
      <c r="AK1477" s="1"/>
      <c r="AL1477" s="1"/>
      <c r="AM1477" s="2"/>
      <c r="AN1477" s="1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  <c r="BA1477" s="1"/>
      <c r="BB1477" s="1"/>
      <c r="BC1477" s="1"/>
      <c r="BD1477" s="1"/>
      <c r="BE1477" s="1"/>
    </row>
    <row x14ac:dyDescent="0.25" r="1478" customHeight="1" ht="18.75">
      <c r="A1478" s="1"/>
      <c r="B1478" s="2"/>
      <c r="C1478" s="2"/>
      <c r="D1478" s="2"/>
      <c r="E1478" s="2"/>
      <c r="F1478" s="2"/>
      <c r="G1478" s="1"/>
      <c r="H1478" s="1"/>
      <c r="I1478" s="7">
        <v>1.475</v>
      </c>
      <c r="J1478" s="7">
        <f>IF((I1478-ROUNDDOWN(I1478,0))=0, 0, (I1478-ROUNDDOWN(I1478,0)))</f>
      </c>
      <c r="K1478" s="7">
        <f>INDIRECT("C$"&amp;2+MIN(2,ROUNDDOWN(I1478,0))*3)*(-$J1478^3+3*$J1478^2-3*$J1478+1)+INDIRECT("C$"&amp;3+MIN(2,ROUNDDOWN(I1478,0))*3)*(3*$J1478^3-6*$J1478^2+3*$J1478)+INDIRECT("C$"&amp;4+MIN(2,ROUNDDOWN(I1478,0))*3)*(-3*$J1478^3+3*$J1478^2)+INDIRECT("C$"&amp;5+MIN(2,ROUNDDOWN(I1478,0))*3)*$J1478^3</f>
      </c>
      <c r="L1478" s="7">
        <f>INDIRECT("D$"&amp;2+MIN(2,ROUNDDOWN(I1478,0))*3)*(-$J1478^3+3*$J1478^2-3*$J1478+1)+INDIRECT("D$"&amp;3+MIN(2,ROUNDDOWN(I1478,0))*3)*(3*$J1478^3-6*$J1478^2+3*$J1478)+INDIRECT("D$"&amp;4+MIN(2,ROUNDDOWN(I1478,0))*3)*(-3*$J1478^3+3*$J1478^2)+INDIRECT("D$"&amp;5+MIN(2,ROUNDDOWN(I1478,0))*3)*$J1478^3</f>
      </c>
      <c r="M1478" s="7">
        <f>SQRT(K1478^2+L1478^2)</f>
      </c>
      <c r="N1478" s="7">
        <f>(K1479-K1477)</f>
      </c>
      <c r="O1478" s="7">
        <f>+(L1479-L1477)</f>
      </c>
      <c r="P1478" s="7">
        <f>SQRT(O1478^2+N1478^2)</f>
      </c>
      <c r="Q1478" s="7">
        <f>N1478/$P1478</f>
      </c>
      <c r="R1478" s="7">
        <f>O1478/$P1478</f>
      </c>
      <c r="S1478" s="8">
        <f>Q1478^2+R1478^2</f>
      </c>
      <c r="T1478" s="7">
        <f>-R1478</f>
      </c>
      <c r="U1478" s="7">
        <f>Q1478</f>
      </c>
      <c r="V1478" s="7">
        <f>($C$14+($C$15-$C$14)/($D$15-$D$14)*(I1478-$D$14))/2</f>
      </c>
      <c r="W1478" s="7">
        <f>($B$22*I1478^4+$C$22*I1478^3+$D$22*I1478^2+$E$22*I1478+$F$22)/2</f>
      </c>
      <c r="X1478" s="7">
        <f>($W1478)*(T1478)</f>
      </c>
      <c r="Y1478" s="7">
        <f>($W1478)*(U1478)</f>
      </c>
      <c r="Z1478" s="7">
        <f>SQRT(X1478^2+Y1478^2)</f>
      </c>
      <c r="AA1478" s="7">
        <f>$K1478+$X1478</f>
      </c>
      <c r="AB1478" s="7">
        <f>$L1478+$Y1478</f>
      </c>
      <c r="AC1478" s="7">
        <f>$K1478-$X1478</f>
      </c>
      <c r="AD1478" s="7">
        <f>$L1478-$Y1478</f>
      </c>
      <c r="AE1478" s="7">
        <f>AA1478/39.3701</f>
      </c>
      <c r="AF1478" s="7">
        <f>AB1478/39.3701</f>
      </c>
      <c r="AG1478" s="7">
        <f>AC1478/39.3701</f>
      </c>
      <c r="AH1478" s="7">
        <f>AD1478/39.3701</f>
      </c>
      <c r="AI1478" s="1"/>
      <c r="AJ1478" s="1"/>
      <c r="AK1478" s="1"/>
      <c r="AL1478" s="1"/>
      <c r="AM1478" s="2"/>
      <c r="AN1478" s="1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  <c r="BA1478" s="1"/>
      <c r="BB1478" s="1"/>
      <c r="BC1478" s="1"/>
      <c r="BD1478" s="1"/>
      <c r="BE1478" s="1"/>
    </row>
    <row x14ac:dyDescent="0.25" r="1479" customHeight="1" ht="18.75">
      <c r="A1479" s="1"/>
      <c r="B1479" s="2"/>
      <c r="C1479" s="2"/>
      <c r="D1479" s="2"/>
      <c r="E1479" s="2"/>
      <c r="F1479" s="2"/>
      <c r="G1479" s="1"/>
      <c r="H1479" s="1"/>
      <c r="I1479" s="7">
        <v>1.476</v>
      </c>
      <c r="J1479" s="7">
        <f>IF((I1479-ROUNDDOWN(I1479,0))=0, 0, (I1479-ROUNDDOWN(I1479,0)))</f>
      </c>
      <c r="K1479" s="7">
        <f>INDIRECT("C$"&amp;2+MIN(2,ROUNDDOWN(I1479,0))*3)*(-$J1479^3+3*$J1479^2-3*$J1479+1)+INDIRECT("C$"&amp;3+MIN(2,ROUNDDOWN(I1479,0))*3)*(3*$J1479^3-6*$J1479^2+3*$J1479)+INDIRECT("C$"&amp;4+MIN(2,ROUNDDOWN(I1479,0))*3)*(-3*$J1479^3+3*$J1479^2)+INDIRECT("C$"&amp;5+MIN(2,ROUNDDOWN(I1479,0))*3)*$J1479^3</f>
      </c>
      <c r="L1479" s="7">
        <f>INDIRECT("D$"&amp;2+MIN(2,ROUNDDOWN(I1479,0))*3)*(-$J1479^3+3*$J1479^2-3*$J1479+1)+INDIRECT("D$"&amp;3+MIN(2,ROUNDDOWN(I1479,0))*3)*(3*$J1479^3-6*$J1479^2+3*$J1479)+INDIRECT("D$"&amp;4+MIN(2,ROUNDDOWN(I1479,0))*3)*(-3*$J1479^3+3*$J1479^2)+INDIRECT("D$"&amp;5+MIN(2,ROUNDDOWN(I1479,0))*3)*$J1479^3</f>
      </c>
      <c r="M1479" s="7">
        <f>SQRT(K1479^2+L1479^2)</f>
      </c>
      <c r="N1479" s="7">
        <f>(K1480-K1478)</f>
      </c>
      <c r="O1479" s="7">
        <f>+(L1480-L1478)</f>
      </c>
      <c r="P1479" s="7">
        <f>SQRT(O1479^2+N1479^2)</f>
      </c>
      <c r="Q1479" s="7">
        <f>N1479/$P1479</f>
      </c>
      <c r="R1479" s="7">
        <f>O1479/$P1479</f>
      </c>
      <c r="S1479" s="8">
        <f>Q1479^2+R1479^2</f>
      </c>
      <c r="T1479" s="7">
        <f>-R1479</f>
      </c>
      <c r="U1479" s="7">
        <f>Q1479</f>
      </c>
      <c r="V1479" s="7">
        <f>($C$14+($C$15-$C$14)/($D$15-$D$14)*(I1479-$D$14))/2</f>
      </c>
      <c r="W1479" s="7">
        <f>($B$22*I1479^4+$C$22*I1479^3+$D$22*I1479^2+$E$22*I1479+$F$22)/2</f>
      </c>
      <c r="X1479" s="7">
        <f>($W1479)*(T1479)</f>
      </c>
      <c r="Y1479" s="7">
        <f>($W1479)*(U1479)</f>
      </c>
      <c r="Z1479" s="7">
        <f>SQRT(X1479^2+Y1479^2)</f>
      </c>
      <c r="AA1479" s="7">
        <f>$K1479+$X1479</f>
      </c>
      <c r="AB1479" s="7">
        <f>$L1479+$Y1479</f>
      </c>
      <c r="AC1479" s="7">
        <f>$K1479-$X1479</f>
      </c>
      <c r="AD1479" s="7">
        <f>$L1479-$Y1479</f>
      </c>
      <c r="AE1479" s="7">
        <f>AA1479/39.3701</f>
      </c>
      <c r="AF1479" s="7">
        <f>AB1479/39.3701</f>
      </c>
      <c r="AG1479" s="7">
        <f>AC1479/39.3701</f>
      </c>
      <c r="AH1479" s="7">
        <f>AD1479/39.3701</f>
      </c>
      <c r="AI1479" s="1"/>
      <c r="AJ1479" s="1"/>
      <c r="AK1479" s="1"/>
      <c r="AL1479" s="1"/>
      <c r="AM1479" s="2"/>
      <c r="AN1479" s="1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  <c r="BA1479" s="1"/>
      <c r="BB1479" s="1"/>
      <c r="BC1479" s="1"/>
      <c r="BD1479" s="1"/>
      <c r="BE1479" s="1"/>
    </row>
    <row x14ac:dyDescent="0.25" r="1480" customHeight="1" ht="18.75">
      <c r="A1480" s="1"/>
      <c r="B1480" s="2"/>
      <c r="C1480" s="2"/>
      <c r="D1480" s="2"/>
      <c r="E1480" s="2"/>
      <c r="F1480" s="2"/>
      <c r="G1480" s="1"/>
      <c r="H1480" s="1"/>
      <c r="I1480" s="7">
        <v>1.477</v>
      </c>
      <c r="J1480" s="7">
        <f>IF((I1480-ROUNDDOWN(I1480,0))=0, 0, (I1480-ROUNDDOWN(I1480,0)))</f>
      </c>
      <c r="K1480" s="7">
        <f>INDIRECT("C$"&amp;2+MIN(2,ROUNDDOWN(I1480,0))*3)*(-$J1480^3+3*$J1480^2-3*$J1480+1)+INDIRECT("C$"&amp;3+MIN(2,ROUNDDOWN(I1480,0))*3)*(3*$J1480^3-6*$J1480^2+3*$J1480)+INDIRECT("C$"&amp;4+MIN(2,ROUNDDOWN(I1480,0))*3)*(-3*$J1480^3+3*$J1480^2)+INDIRECT("C$"&amp;5+MIN(2,ROUNDDOWN(I1480,0))*3)*$J1480^3</f>
      </c>
      <c r="L1480" s="7">
        <f>INDIRECT("D$"&amp;2+MIN(2,ROUNDDOWN(I1480,0))*3)*(-$J1480^3+3*$J1480^2-3*$J1480+1)+INDIRECT("D$"&amp;3+MIN(2,ROUNDDOWN(I1480,0))*3)*(3*$J1480^3-6*$J1480^2+3*$J1480)+INDIRECT("D$"&amp;4+MIN(2,ROUNDDOWN(I1480,0))*3)*(-3*$J1480^3+3*$J1480^2)+INDIRECT("D$"&amp;5+MIN(2,ROUNDDOWN(I1480,0))*3)*$J1480^3</f>
      </c>
      <c r="M1480" s="7">
        <f>SQRT(K1480^2+L1480^2)</f>
      </c>
      <c r="N1480" s="7">
        <f>(K1481-K1479)</f>
      </c>
      <c r="O1480" s="7">
        <f>+(L1481-L1479)</f>
      </c>
      <c r="P1480" s="7">
        <f>SQRT(O1480^2+N1480^2)</f>
      </c>
      <c r="Q1480" s="7">
        <f>N1480/$P1480</f>
      </c>
      <c r="R1480" s="7">
        <f>O1480/$P1480</f>
      </c>
      <c r="S1480" s="7">
        <f>Q1480^2+R1480^2</f>
      </c>
      <c r="T1480" s="7">
        <f>-R1480</f>
      </c>
      <c r="U1480" s="7">
        <f>Q1480</f>
      </c>
      <c r="V1480" s="7">
        <f>($C$14+($C$15-$C$14)/($D$15-$D$14)*(I1480-$D$14))/2</f>
      </c>
      <c r="W1480" s="7">
        <f>($B$22*I1480^4+$C$22*I1480^3+$D$22*I1480^2+$E$22*I1480+$F$22)/2</f>
      </c>
      <c r="X1480" s="7">
        <f>($W1480)*(T1480)</f>
      </c>
      <c r="Y1480" s="7">
        <f>($W1480)*(U1480)</f>
      </c>
      <c r="Z1480" s="7">
        <f>SQRT(X1480^2+Y1480^2)</f>
      </c>
      <c r="AA1480" s="7">
        <f>$K1480+$X1480</f>
      </c>
      <c r="AB1480" s="7">
        <f>$L1480+$Y1480</f>
      </c>
      <c r="AC1480" s="7">
        <f>$K1480-$X1480</f>
      </c>
      <c r="AD1480" s="7">
        <f>$L1480-$Y1480</f>
      </c>
      <c r="AE1480" s="7">
        <f>AA1480/39.3701</f>
      </c>
      <c r="AF1480" s="7">
        <f>AB1480/39.3701</f>
      </c>
      <c r="AG1480" s="7">
        <f>AC1480/39.3701</f>
      </c>
      <c r="AH1480" s="7">
        <f>AD1480/39.3701</f>
      </c>
      <c r="AI1480" s="1"/>
      <c r="AJ1480" s="1"/>
      <c r="AK1480" s="1"/>
      <c r="AL1480" s="1"/>
      <c r="AM1480" s="2"/>
      <c r="AN1480" s="1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  <c r="BA1480" s="1"/>
      <c r="BB1480" s="1"/>
      <c r="BC1480" s="1"/>
      <c r="BD1480" s="1"/>
      <c r="BE1480" s="1"/>
    </row>
    <row x14ac:dyDescent="0.25" r="1481" customHeight="1" ht="18.75">
      <c r="A1481" s="1"/>
      <c r="B1481" s="2"/>
      <c r="C1481" s="2"/>
      <c r="D1481" s="2"/>
      <c r="E1481" s="2"/>
      <c r="F1481" s="2"/>
      <c r="G1481" s="1"/>
      <c r="H1481" s="1"/>
      <c r="I1481" s="7">
        <v>1.478</v>
      </c>
      <c r="J1481" s="7">
        <f>IF((I1481-ROUNDDOWN(I1481,0))=0, 0, (I1481-ROUNDDOWN(I1481,0)))</f>
      </c>
      <c r="K1481" s="7">
        <f>INDIRECT("C$"&amp;2+MIN(2,ROUNDDOWN(I1481,0))*3)*(-$J1481^3+3*$J1481^2-3*$J1481+1)+INDIRECT("C$"&amp;3+MIN(2,ROUNDDOWN(I1481,0))*3)*(3*$J1481^3-6*$J1481^2+3*$J1481)+INDIRECT("C$"&amp;4+MIN(2,ROUNDDOWN(I1481,0))*3)*(-3*$J1481^3+3*$J1481^2)+INDIRECT("C$"&amp;5+MIN(2,ROUNDDOWN(I1481,0))*3)*$J1481^3</f>
      </c>
      <c r="L1481" s="7">
        <f>INDIRECT("D$"&amp;2+MIN(2,ROUNDDOWN(I1481,0))*3)*(-$J1481^3+3*$J1481^2-3*$J1481+1)+INDIRECT("D$"&amp;3+MIN(2,ROUNDDOWN(I1481,0))*3)*(3*$J1481^3-6*$J1481^2+3*$J1481)+INDIRECT("D$"&amp;4+MIN(2,ROUNDDOWN(I1481,0))*3)*(-3*$J1481^3+3*$J1481^2)+INDIRECT("D$"&amp;5+MIN(2,ROUNDDOWN(I1481,0))*3)*$J1481^3</f>
      </c>
      <c r="M1481" s="7">
        <f>SQRT(K1481^2+L1481^2)</f>
      </c>
      <c r="N1481" s="7">
        <f>(K1482-K1480)</f>
      </c>
      <c r="O1481" s="7">
        <f>+(L1482-L1480)</f>
      </c>
      <c r="P1481" s="7">
        <f>SQRT(O1481^2+N1481^2)</f>
      </c>
      <c r="Q1481" s="7">
        <f>N1481/$P1481</f>
      </c>
      <c r="R1481" s="7">
        <f>O1481/$P1481</f>
      </c>
      <c r="S1481" s="7">
        <f>Q1481^2+R1481^2</f>
      </c>
      <c r="T1481" s="7">
        <f>-R1481</f>
      </c>
      <c r="U1481" s="7">
        <f>Q1481</f>
      </c>
      <c r="V1481" s="7">
        <f>($C$14+($C$15-$C$14)/($D$15-$D$14)*(I1481-$D$14))/2</f>
      </c>
      <c r="W1481" s="7">
        <f>($B$22*I1481^4+$C$22*I1481^3+$D$22*I1481^2+$E$22*I1481+$F$22)/2</f>
      </c>
      <c r="X1481" s="7">
        <f>($W1481)*(T1481)</f>
      </c>
      <c r="Y1481" s="7">
        <f>($W1481)*(U1481)</f>
      </c>
      <c r="Z1481" s="7">
        <f>SQRT(X1481^2+Y1481^2)</f>
      </c>
      <c r="AA1481" s="7">
        <f>$K1481+$X1481</f>
      </c>
      <c r="AB1481" s="7">
        <f>$L1481+$Y1481</f>
      </c>
      <c r="AC1481" s="7">
        <f>$K1481-$X1481</f>
      </c>
      <c r="AD1481" s="7">
        <f>$L1481-$Y1481</f>
      </c>
      <c r="AE1481" s="7">
        <f>AA1481/39.3701</f>
      </c>
      <c r="AF1481" s="7">
        <f>AB1481/39.3701</f>
      </c>
      <c r="AG1481" s="7">
        <f>AC1481/39.3701</f>
      </c>
      <c r="AH1481" s="7">
        <f>AD1481/39.3701</f>
      </c>
      <c r="AI1481" s="1"/>
      <c r="AJ1481" s="1"/>
      <c r="AK1481" s="1"/>
      <c r="AL1481" s="1"/>
      <c r="AM1481" s="2"/>
      <c r="AN1481" s="1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  <c r="BA1481" s="1"/>
      <c r="BB1481" s="1"/>
      <c r="BC1481" s="1"/>
      <c r="BD1481" s="1"/>
      <c r="BE1481" s="1"/>
    </row>
    <row x14ac:dyDescent="0.25" r="1482" customHeight="1" ht="18.75">
      <c r="A1482" s="1"/>
      <c r="B1482" s="2"/>
      <c r="C1482" s="2"/>
      <c r="D1482" s="2"/>
      <c r="E1482" s="2"/>
      <c r="F1482" s="2"/>
      <c r="G1482" s="1"/>
      <c r="H1482" s="1"/>
      <c r="I1482" s="7">
        <v>1.479</v>
      </c>
      <c r="J1482" s="7">
        <f>IF((I1482-ROUNDDOWN(I1482,0))=0, 0, (I1482-ROUNDDOWN(I1482,0)))</f>
      </c>
      <c r="K1482" s="7">
        <f>INDIRECT("C$"&amp;2+MIN(2,ROUNDDOWN(I1482,0))*3)*(-$J1482^3+3*$J1482^2-3*$J1482+1)+INDIRECT("C$"&amp;3+MIN(2,ROUNDDOWN(I1482,0))*3)*(3*$J1482^3-6*$J1482^2+3*$J1482)+INDIRECT("C$"&amp;4+MIN(2,ROUNDDOWN(I1482,0))*3)*(-3*$J1482^3+3*$J1482^2)+INDIRECT("C$"&amp;5+MIN(2,ROUNDDOWN(I1482,0))*3)*$J1482^3</f>
      </c>
      <c r="L1482" s="7">
        <f>INDIRECT("D$"&amp;2+MIN(2,ROUNDDOWN(I1482,0))*3)*(-$J1482^3+3*$J1482^2-3*$J1482+1)+INDIRECT("D$"&amp;3+MIN(2,ROUNDDOWN(I1482,0))*3)*(3*$J1482^3-6*$J1482^2+3*$J1482)+INDIRECT("D$"&amp;4+MIN(2,ROUNDDOWN(I1482,0))*3)*(-3*$J1482^3+3*$J1482^2)+INDIRECT("D$"&amp;5+MIN(2,ROUNDDOWN(I1482,0))*3)*$J1482^3</f>
      </c>
      <c r="M1482" s="7">
        <f>SQRT(K1482^2+L1482^2)</f>
      </c>
      <c r="N1482" s="7">
        <f>(K1483-K1481)</f>
      </c>
      <c r="O1482" s="7">
        <f>+(L1483-L1481)</f>
      </c>
      <c r="P1482" s="7">
        <f>SQRT(O1482^2+N1482^2)</f>
      </c>
      <c r="Q1482" s="7">
        <f>N1482/$P1482</f>
      </c>
      <c r="R1482" s="7">
        <f>O1482/$P1482</f>
      </c>
      <c r="S1482" s="8">
        <f>Q1482^2+R1482^2</f>
      </c>
      <c r="T1482" s="7">
        <f>-R1482</f>
      </c>
      <c r="U1482" s="7">
        <f>Q1482</f>
      </c>
      <c r="V1482" s="7">
        <f>($C$14+($C$15-$C$14)/($D$15-$D$14)*(I1482-$D$14))/2</f>
      </c>
      <c r="W1482" s="7">
        <f>($B$22*I1482^4+$C$22*I1482^3+$D$22*I1482^2+$E$22*I1482+$F$22)/2</f>
      </c>
      <c r="X1482" s="7">
        <f>($W1482)*(T1482)</f>
      </c>
      <c r="Y1482" s="7">
        <f>($W1482)*(U1482)</f>
      </c>
      <c r="Z1482" s="7">
        <f>SQRT(X1482^2+Y1482^2)</f>
      </c>
      <c r="AA1482" s="7">
        <f>$K1482+$X1482</f>
      </c>
      <c r="AB1482" s="7">
        <f>$L1482+$Y1482</f>
      </c>
      <c r="AC1482" s="7">
        <f>$K1482-$X1482</f>
      </c>
      <c r="AD1482" s="7">
        <f>$L1482-$Y1482</f>
      </c>
      <c r="AE1482" s="7">
        <f>AA1482/39.3701</f>
      </c>
      <c r="AF1482" s="7">
        <f>AB1482/39.3701</f>
      </c>
      <c r="AG1482" s="7">
        <f>AC1482/39.3701</f>
      </c>
      <c r="AH1482" s="7">
        <f>AD1482/39.3701</f>
      </c>
      <c r="AI1482" s="1"/>
      <c r="AJ1482" s="1"/>
      <c r="AK1482" s="1"/>
      <c r="AL1482" s="1"/>
      <c r="AM1482" s="2"/>
      <c r="AN1482" s="1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  <c r="BA1482" s="1"/>
      <c r="BB1482" s="1"/>
      <c r="BC1482" s="1"/>
      <c r="BD1482" s="1"/>
      <c r="BE1482" s="1"/>
    </row>
    <row x14ac:dyDescent="0.25" r="1483" customHeight="1" ht="18.75">
      <c r="A1483" s="1"/>
      <c r="B1483" s="2"/>
      <c r="C1483" s="2"/>
      <c r="D1483" s="2"/>
      <c r="E1483" s="2"/>
      <c r="F1483" s="2"/>
      <c r="G1483" s="1"/>
      <c r="H1483" s="1"/>
      <c r="I1483" s="7">
        <v>1.48</v>
      </c>
      <c r="J1483" s="7">
        <f>IF((I1483-ROUNDDOWN(I1483,0))=0, 0, (I1483-ROUNDDOWN(I1483,0)))</f>
      </c>
      <c r="K1483" s="7">
        <f>INDIRECT("C$"&amp;2+MIN(2,ROUNDDOWN(I1483,0))*3)*(-$J1483^3+3*$J1483^2-3*$J1483+1)+INDIRECT("C$"&amp;3+MIN(2,ROUNDDOWN(I1483,0))*3)*(3*$J1483^3-6*$J1483^2+3*$J1483)+INDIRECT("C$"&amp;4+MIN(2,ROUNDDOWN(I1483,0))*3)*(-3*$J1483^3+3*$J1483^2)+INDIRECT("C$"&amp;5+MIN(2,ROUNDDOWN(I1483,0))*3)*$J1483^3</f>
      </c>
      <c r="L1483" s="7">
        <f>INDIRECT("D$"&amp;2+MIN(2,ROUNDDOWN(I1483,0))*3)*(-$J1483^3+3*$J1483^2-3*$J1483+1)+INDIRECT("D$"&amp;3+MIN(2,ROUNDDOWN(I1483,0))*3)*(3*$J1483^3-6*$J1483^2+3*$J1483)+INDIRECT("D$"&amp;4+MIN(2,ROUNDDOWN(I1483,0))*3)*(-3*$J1483^3+3*$J1483^2)+INDIRECT("D$"&amp;5+MIN(2,ROUNDDOWN(I1483,0))*3)*$J1483^3</f>
      </c>
      <c r="M1483" s="7">
        <f>SQRT(K1483^2+L1483^2)</f>
      </c>
      <c r="N1483" s="7">
        <f>(K1484-K1482)</f>
      </c>
      <c r="O1483" s="7">
        <f>+(L1484-L1482)</f>
      </c>
      <c r="P1483" s="7">
        <f>SQRT(O1483^2+N1483^2)</f>
      </c>
      <c r="Q1483" s="7">
        <f>N1483/$P1483</f>
      </c>
      <c r="R1483" s="7">
        <f>O1483/$P1483</f>
      </c>
      <c r="S1483" s="8">
        <f>Q1483^2+R1483^2</f>
      </c>
      <c r="T1483" s="7">
        <f>-R1483</f>
      </c>
      <c r="U1483" s="7">
        <f>Q1483</f>
      </c>
      <c r="V1483" s="7">
        <f>($C$14+($C$15-$C$14)/($D$15-$D$14)*(I1483-$D$14))/2</f>
      </c>
      <c r="W1483" s="7">
        <f>($B$22*I1483^4+$C$22*I1483^3+$D$22*I1483^2+$E$22*I1483+$F$22)/2</f>
      </c>
      <c r="X1483" s="7">
        <f>($W1483)*(T1483)</f>
      </c>
      <c r="Y1483" s="7">
        <f>($W1483)*(U1483)</f>
      </c>
      <c r="Z1483" s="7">
        <f>SQRT(X1483^2+Y1483^2)</f>
      </c>
      <c r="AA1483" s="7">
        <f>$K1483+$X1483</f>
      </c>
      <c r="AB1483" s="7">
        <f>$L1483+$Y1483</f>
      </c>
      <c r="AC1483" s="7">
        <f>$K1483-$X1483</f>
      </c>
      <c r="AD1483" s="7">
        <f>$L1483-$Y1483</f>
      </c>
      <c r="AE1483" s="7">
        <f>AA1483/39.3701</f>
      </c>
      <c r="AF1483" s="7">
        <f>AB1483/39.3701</f>
      </c>
      <c r="AG1483" s="7">
        <f>AC1483/39.3701</f>
      </c>
      <c r="AH1483" s="7">
        <f>AD1483/39.3701</f>
      </c>
      <c r="AI1483" s="1"/>
      <c r="AJ1483" s="1"/>
      <c r="AK1483" s="1"/>
      <c r="AL1483" s="1"/>
      <c r="AM1483" s="2"/>
      <c r="AN1483" s="1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  <c r="BA1483" s="1"/>
      <c r="BB1483" s="1"/>
      <c r="BC1483" s="1"/>
      <c r="BD1483" s="1"/>
      <c r="BE1483" s="1"/>
    </row>
    <row x14ac:dyDescent="0.25" r="1484" customHeight="1" ht="18.75">
      <c r="A1484" s="1"/>
      <c r="B1484" s="2"/>
      <c r="C1484" s="2"/>
      <c r="D1484" s="2"/>
      <c r="E1484" s="2"/>
      <c r="F1484" s="2"/>
      <c r="G1484" s="1"/>
      <c r="H1484" s="1"/>
      <c r="I1484" s="7">
        <v>1.481</v>
      </c>
      <c r="J1484" s="7">
        <f>IF((I1484-ROUNDDOWN(I1484,0))=0, 0, (I1484-ROUNDDOWN(I1484,0)))</f>
      </c>
      <c r="K1484" s="7">
        <f>INDIRECT("C$"&amp;2+MIN(2,ROUNDDOWN(I1484,0))*3)*(-$J1484^3+3*$J1484^2-3*$J1484+1)+INDIRECT("C$"&amp;3+MIN(2,ROUNDDOWN(I1484,0))*3)*(3*$J1484^3-6*$J1484^2+3*$J1484)+INDIRECT("C$"&amp;4+MIN(2,ROUNDDOWN(I1484,0))*3)*(-3*$J1484^3+3*$J1484^2)+INDIRECT("C$"&amp;5+MIN(2,ROUNDDOWN(I1484,0))*3)*$J1484^3</f>
      </c>
      <c r="L1484" s="7">
        <f>INDIRECT("D$"&amp;2+MIN(2,ROUNDDOWN(I1484,0))*3)*(-$J1484^3+3*$J1484^2-3*$J1484+1)+INDIRECT("D$"&amp;3+MIN(2,ROUNDDOWN(I1484,0))*3)*(3*$J1484^3-6*$J1484^2+3*$J1484)+INDIRECT("D$"&amp;4+MIN(2,ROUNDDOWN(I1484,0))*3)*(-3*$J1484^3+3*$J1484^2)+INDIRECT("D$"&amp;5+MIN(2,ROUNDDOWN(I1484,0))*3)*$J1484^3</f>
      </c>
      <c r="M1484" s="7">
        <f>SQRT(K1484^2+L1484^2)</f>
      </c>
      <c r="N1484" s="7">
        <f>(K1485-K1483)</f>
      </c>
      <c r="O1484" s="7">
        <f>+(L1485-L1483)</f>
      </c>
      <c r="P1484" s="7">
        <f>SQRT(O1484^2+N1484^2)</f>
      </c>
      <c r="Q1484" s="7">
        <f>N1484/$P1484</f>
      </c>
      <c r="R1484" s="7">
        <f>O1484/$P1484</f>
      </c>
      <c r="S1484" s="8">
        <f>Q1484^2+R1484^2</f>
      </c>
      <c r="T1484" s="7">
        <f>-R1484</f>
      </c>
      <c r="U1484" s="7">
        <f>Q1484</f>
      </c>
      <c r="V1484" s="7">
        <f>($C$14+($C$15-$C$14)/($D$15-$D$14)*(I1484-$D$14))/2</f>
      </c>
      <c r="W1484" s="7">
        <f>($B$22*I1484^4+$C$22*I1484^3+$D$22*I1484^2+$E$22*I1484+$F$22)/2</f>
      </c>
      <c r="X1484" s="7">
        <f>($W1484)*(T1484)</f>
      </c>
      <c r="Y1484" s="7">
        <f>($W1484)*(U1484)</f>
      </c>
      <c r="Z1484" s="7">
        <f>SQRT(X1484^2+Y1484^2)</f>
      </c>
      <c r="AA1484" s="7">
        <f>$K1484+$X1484</f>
      </c>
      <c r="AB1484" s="7">
        <f>$L1484+$Y1484</f>
      </c>
      <c r="AC1484" s="7">
        <f>$K1484-$X1484</f>
      </c>
      <c r="AD1484" s="7">
        <f>$L1484-$Y1484</f>
      </c>
      <c r="AE1484" s="7">
        <f>AA1484/39.3701</f>
      </c>
      <c r="AF1484" s="7">
        <f>AB1484/39.3701</f>
      </c>
      <c r="AG1484" s="7">
        <f>AC1484/39.3701</f>
      </c>
      <c r="AH1484" s="7">
        <f>AD1484/39.3701</f>
      </c>
      <c r="AI1484" s="1"/>
      <c r="AJ1484" s="1"/>
      <c r="AK1484" s="1"/>
      <c r="AL1484" s="1"/>
      <c r="AM1484" s="2"/>
      <c r="AN1484" s="1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  <c r="BA1484" s="1"/>
      <c r="BB1484" s="1"/>
      <c r="BC1484" s="1"/>
      <c r="BD1484" s="1"/>
      <c r="BE1484" s="1"/>
    </row>
    <row x14ac:dyDescent="0.25" r="1485" customHeight="1" ht="18.75">
      <c r="A1485" s="1"/>
      <c r="B1485" s="2"/>
      <c r="C1485" s="2"/>
      <c r="D1485" s="2"/>
      <c r="E1485" s="2"/>
      <c r="F1485" s="2"/>
      <c r="G1485" s="1"/>
      <c r="H1485" s="1"/>
      <c r="I1485" s="7">
        <v>1.482</v>
      </c>
      <c r="J1485" s="7">
        <f>IF((I1485-ROUNDDOWN(I1485,0))=0, 0, (I1485-ROUNDDOWN(I1485,0)))</f>
      </c>
      <c r="K1485" s="7">
        <f>INDIRECT("C$"&amp;2+MIN(2,ROUNDDOWN(I1485,0))*3)*(-$J1485^3+3*$J1485^2-3*$J1485+1)+INDIRECT("C$"&amp;3+MIN(2,ROUNDDOWN(I1485,0))*3)*(3*$J1485^3-6*$J1485^2+3*$J1485)+INDIRECT("C$"&amp;4+MIN(2,ROUNDDOWN(I1485,0))*3)*(-3*$J1485^3+3*$J1485^2)+INDIRECT("C$"&amp;5+MIN(2,ROUNDDOWN(I1485,0))*3)*$J1485^3</f>
      </c>
      <c r="L1485" s="7">
        <f>INDIRECT("D$"&amp;2+MIN(2,ROUNDDOWN(I1485,0))*3)*(-$J1485^3+3*$J1485^2-3*$J1485+1)+INDIRECT("D$"&amp;3+MIN(2,ROUNDDOWN(I1485,0))*3)*(3*$J1485^3-6*$J1485^2+3*$J1485)+INDIRECT("D$"&amp;4+MIN(2,ROUNDDOWN(I1485,0))*3)*(-3*$J1485^3+3*$J1485^2)+INDIRECT("D$"&amp;5+MIN(2,ROUNDDOWN(I1485,0))*3)*$J1485^3</f>
      </c>
      <c r="M1485" s="7">
        <f>SQRT(K1485^2+L1485^2)</f>
      </c>
      <c r="N1485" s="7">
        <f>(K1486-K1484)</f>
      </c>
      <c r="O1485" s="7">
        <f>+(L1486-L1484)</f>
      </c>
      <c r="P1485" s="7">
        <f>SQRT(O1485^2+N1485^2)</f>
      </c>
      <c r="Q1485" s="7">
        <f>N1485/$P1485</f>
      </c>
      <c r="R1485" s="7">
        <f>O1485/$P1485</f>
      </c>
      <c r="S1485" s="8">
        <f>Q1485^2+R1485^2</f>
      </c>
      <c r="T1485" s="7">
        <f>-R1485</f>
      </c>
      <c r="U1485" s="7">
        <f>Q1485</f>
      </c>
      <c r="V1485" s="7">
        <f>($C$14+($C$15-$C$14)/($D$15-$D$14)*(I1485-$D$14))/2</f>
      </c>
      <c r="W1485" s="7">
        <f>($B$22*I1485^4+$C$22*I1485^3+$D$22*I1485^2+$E$22*I1485+$F$22)/2</f>
      </c>
      <c r="X1485" s="7">
        <f>($W1485)*(T1485)</f>
      </c>
      <c r="Y1485" s="7">
        <f>($W1485)*(U1485)</f>
      </c>
      <c r="Z1485" s="7">
        <f>SQRT(X1485^2+Y1485^2)</f>
      </c>
      <c r="AA1485" s="7">
        <f>$K1485+$X1485</f>
      </c>
      <c r="AB1485" s="7">
        <f>$L1485+$Y1485</f>
      </c>
      <c r="AC1485" s="7">
        <f>$K1485-$X1485</f>
      </c>
      <c r="AD1485" s="7">
        <f>$L1485-$Y1485</f>
      </c>
      <c r="AE1485" s="7">
        <f>AA1485/39.3701</f>
      </c>
      <c r="AF1485" s="7">
        <f>AB1485/39.3701</f>
      </c>
      <c r="AG1485" s="7">
        <f>AC1485/39.3701</f>
      </c>
      <c r="AH1485" s="7">
        <f>AD1485/39.3701</f>
      </c>
      <c r="AI1485" s="1"/>
      <c r="AJ1485" s="1"/>
      <c r="AK1485" s="1"/>
      <c r="AL1485" s="1"/>
      <c r="AM1485" s="2"/>
      <c r="AN1485" s="1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  <c r="BA1485" s="1"/>
      <c r="BB1485" s="1"/>
      <c r="BC1485" s="1"/>
      <c r="BD1485" s="1"/>
      <c r="BE1485" s="1"/>
    </row>
    <row x14ac:dyDescent="0.25" r="1486" customHeight="1" ht="18.75">
      <c r="A1486" s="1"/>
      <c r="B1486" s="2"/>
      <c r="C1486" s="2"/>
      <c r="D1486" s="2"/>
      <c r="E1486" s="2"/>
      <c r="F1486" s="2"/>
      <c r="G1486" s="1"/>
      <c r="H1486" s="1"/>
      <c r="I1486" s="7">
        <v>1.483</v>
      </c>
      <c r="J1486" s="7">
        <f>IF((I1486-ROUNDDOWN(I1486,0))=0, 0, (I1486-ROUNDDOWN(I1486,0)))</f>
      </c>
      <c r="K1486" s="7">
        <f>INDIRECT("C$"&amp;2+MIN(2,ROUNDDOWN(I1486,0))*3)*(-$J1486^3+3*$J1486^2-3*$J1486+1)+INDIRECT("C$"&amp;3+MIN(2,ROUNDDOWN(I1486,0))*3)*(3*$J1486^3-6*$J1486^2+3*$J1486)+INDIRECT("C$"&amp;4+MIN(2,ROUNDDOWN(I1486,0))*3)*(-3*$J1486^3+3*$J1486^2)+INDIRECT("C$"&amp;5+MIN(2,ROUNDDOWN(I1486,0))*3)*$J1486^3</f>
      </c>
      <c r="L1486" s="7">
        <f>INDIRECT("D$"&amp;2+MIN(2,ROUNDDOWN(I1486,0))*3)*(-$J1486^3+3*$J1486^2-3*$J1486+1)+INDIRECT("D$"&amp;3+MIN(2,ROUNDDOWN(I1486,0))*3)*(3*$J1486^3-6*$J1486^2+3*$J1486)+INDIRECT("D$"&amp;4+MIN(2,ROUNDDOWN(I1486,0))*3)*(-3*$J1486^3+3*$J1486^2)+INDIRECT("D$"&amp;5+MIN(2,ROUNDDOWN(I1486,0))*3)*$J1486^3</f>
      </c>
      <c r="M1486" s="7">
        <f>SQRT(K1486^2+L1486^2)</f>
      </c>
      <c r="N1486" s="7">
        <f>(K1487-K1485)</f>
      </c>
      <c r="O1486" s="7">
        <f>+(L1487-L1485)</f>
      </c>
      <c r="P1486" s="7">
        <f>SQRT(O1486^2+N1486^2)</f>
      </c>
      <c r="Q1486" s="7">
        <f>N1486/$P1486</f>
      </c>
      <c r="R1486" s="7">
        <f>O1486/$P1486</f>
      </c>
      <c r="S1486" s="7">
        <f>Q1486^2+R1486^2</f>
      </c>
      <c r="T1486" s="7">
        <f>-R1486</f>
      </c>
      <c r="U1486" s="7">
        <f>Q1486</f>
      </c>
      <c r="V1486" s="7">
        <f>($C$14+($C$15-$C$14)/($D$15-$D$14)*(I1486-$D$14))/2</f>
      </c>
      <c r="W1486" s="7">
        <f>($B$22*I1486^4+$C$22*I1486^3+$D$22*I1486^2+$E$22*I1486+$F$22)/2</f>
      </c>
      <c r="X1486" s="7">
        <f>($W1486)*(T1486)</f>
      </c>
      <c r="Y1486" s="7">
        <f>($W1486)*(U1486)</f>
      </c>
      <c r="Z1486" s="7">
        <f>SQRT(X1486^2+Y1486^2)</f>
      </c>
      <c r="AA1486" s="7">
        <f>$K1486+$X1486</f>
      </c>
      <c r="AB1486" s="7">
        <f>$L1486+$Y1486</f>
      </c>
      <c r="AC1486" s="7">
        <f>$K1486-$X1486</f>
      </c>
      <c r="AD1486" s="7">
        <f>$L1486-$Y1486</f>
      </c>
      <c r="AE1486" s="7">
        <f>AA1486/39.3701</f>
      </c>
      <c r="AF1486" s="7">
        <f>AB1486/39.3701</f>
      </c>
      <c r="AG1486" s="7">
        <f>AC1486/39.3701</f>
      </c>
      <c r="AH1486" s="7">
        <f>AD1486/39.3701</f>
      </c>
      <c r="AI1486" s="1"/>
      <c r="AJ1486" s="1"/>
      <c r="AK1486" s="1"/>
      <c r="AL1486" s="1"/>
      <c r="AM1486" s="2"/>
      <c r="AN1486" s="1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  <c r="BA1486" s="1"/>
      <c r="BB1486" s="1"/>
      <c r="BC1486" s="1"/>
      <c r="BD1486" s="1"/>
      <c r="BE1486" s="1"/>
    </row>
    <row x14ac:dyDescent="0.25" r="1487" customHeight="1" ht="18.75">
      <c r="A1487" s="1"/>
      <c r="B1487" s="2"/>
      <c r="C1487" s="2"/>
      <c r="D1487" s="2"/>
      <c r="E1487" s="2"/>
      <c r="F1487" s="2"/>
      <c r="G1487" s="1"/>
      <c r="H1487" s="1"/>
      <c r="I1487" s="7">
        <v>1.484</v>
      </c>
      <c r="J1487" s="7">
        <f>IF((I1487-ROUNDDOWN(I1487,0))=0, 0, (I1487-ROUNDDOWN(I1487,0)))</f>
      </c>
      <c r="K1487" s="7">
        <f>INDIRECT("C$"&amp;2+MIN(2,ROUNDDOWN(I1487,0))*3)*(-$J1487^3+3*$J1487^2-3*$J1487+1)+INDIRECT("C$"&amp;3+MIN(2,ROUNDDOWN(I1487,0))*3)*(3*$J1487^3-6*$J1487^2+3*$J1487)+INDIRECT("C$"&amp;4+MIN(2,ROUNDDOWN(I1487,0))*3)*(-3*$J1487^3+3*$J1487^2)+INDIRECT("C$"&amp;5+MIN(2,ROUNDDOWN(I1487,0))*3)*$J1487^3</f>
      </c>
      <c r="L1487" s="7">
        <f>INDIRECT("D$"&amp;2+MIN(2,ROUNDDOWN(I1487,0))*3)*(-$J1487^3+3*$J1487^2-3*$J1487+1)+INDIRECT("D$"&amp;3+MIN(2,ROUNDDOWN(I1487,0))*3)*(3*$J1487^3-6*$J1487^2+3*$J1487)+INDIRECT("D$"&amp;4+MIN(2,ROUNDDOWN(I1487,0))*3)*(-3*$J1487^3+3*$J1487^2)+INDIRECT("D$"&amp;5+MIN(2,ROUNDDOWN(I1487,0))*3)*$J1487^3</f>
      </c>
      <c r="M1487" s="7">
        <f>SQRT(K1487^2+L1487^2)</f>
      </c>
      <c r="N1487" s="7">
        <f>(K1488-K1486)</f>
      </c>
      <c r="O1487" s="7">
        <f>+(L1488-L1486)</f>
      </c>
      <c r="P1487" s="7">
        <f>SQRT(O1487^2+N1487^2)</f>
      </c>
      <c r="Q1487" s="7">
        <f>N1487/$P1487</f>
      </c>
      <c r="R1487" s="7">
        <f>O1487/$P1487</f>
      </c>
      <c r="S1487" s="8">
        <f>Q1487^2+R1487^2</f>
      </c>
      <c r="T1487" s="7">
        <f>-R1487</f>
      </c>
      <c r="U1487" s="7">
        <f>Q1487</f>
      </c>
      <c r="V1487" s="7">
        <f>($C$14+($C$15-$C$14)/($D$15-$D$14)*(I1487-$D$14))/2</f>
      </c>
      <c r="W1487" s="7">
        <f>($B$22*I1487^4+$C$22*I1487^3+$D$22*I1487^2+$E$22*I1487+$F$22)/2</f>
      </c>
      <c r="X1487" s="7">
        <f>($W1487)*(T1487)</f>
      </c>
      <c r="Y1487" s="7">
        <f>($W1487)*(U1487)</f>
      </c>
      <c r="Z1487" s="7">
        <f>SQRT(X1487^2+Y1487^2)</f>
      </c>
      <c r="AA1487" s="7">
        <f>$K1487+$X1487</f>
      </c>
      <c r="AB1487" s="7">
        <f>$L1487+$Y1487</f>
      </c>
      <c r="AC1487" s="7">
        <f>$K1487-$X1487</f>
      </c>
      <c r="AD1487" s="7">
        <f>$L1487-$Y1487</f>
      </c>
      <c r="AE1487" s="7">
        <f>AA1487/39.3701</f>
      </c>
      <c r="AF1487" s="7">
        <f>AB1487/39.3701</f>
      </c>
      <c r="AG1487" s="7">
        <f>AC1487/39.3701</f>
      </c>
      <c r="AH1487" s="7">
        <f>AD1487/39.3701</f>
      </c>
      <c r="AI1487" s="1"/>
      <c r="AJ1487" s="1"/>
      <c r="AK1487" s="1"/>
      <c r="AL1487" s="1"/>
      <c r="AM1487" s="2"/>
      <c r="AN1487" s="1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  <c r="BA1487" s="1"/>
      <c r="BB1487" s="1"/>
      <c r="BC1487" s="1"/>
      <c r="BD1487" s="1"/>
      <c r="BE1487" s="1"/>
    </row>
    <row x14ac:dyDescent="0.25" r="1488" customHeight="1" ht="18.75">
      <c r="A1488" s="1"/>
      <c r="B1488" s="2"/>
      <c r="C1488" s="2"/>
      <c r="D1488" s="2"/>
      <c r="E1488" s="2"/>
      <c r="F1488" s="2"/>
      <c r="G1488" s="1"/>
      <c r="H1488" s="1"/>
      <c r="I1488" s="7">
        <v>1.485</v>
      </c>
      <c r="J1488" s="7">
        <f>IF((I1488-ROUNDDOWN(I1488,0))=0, 0, (I1488-ROUNDDOWN(I1488,0)))</f>
      </c>
      <c r="K1488" s="7">
        <f>INDIRECT("C$"&amp;2+MIN(2,ROUNDDOWN(I1488,0))*3)*(-$J1488^3+3*$J1488^2-3*$J1488+1)+INDIRECT("C$"&amp;3+MIN(2,ROUNDDOWN(I1488,0))*3)*(3*$J1488^3-6*$J1488^2+3*$J1488)+INDIRECT("C$"&amp;4+MIN(2,ROUNDDOWN(I1488,0))*3)*(-3*$J1488^3+3*$J1488^2)+INDIRECT("C$"&amp;5+MIN(2,ROUNDDOWN(I1488,0))*3)*$J1488^3</f>
      </c>
      <c r="L1488" s="7">
        <f>INDIRECT("D$"&amp;2+MIN(2,ROUNDDOWN(I1488,0))*3)*(-$J1488^3+3*$J1488^2-3*$J1488+1)+INDIRECT("D$"&amp;3+MIN(2,ROUNDDOWN(I1488,0))*3)*(3*$J1488^3-6*$J1488^2+3*$J1488)+INDIRECT("D$"&amp;4+MIN(2,ROUNDDOWN(I1488,0))*3)*(-3*$J1488^3+3*$J1488^2)+INDIRECT("D$"&amp;5+MIN(2,ROUNDDOWN(I1488,0))*3)*$J1488^3</f>
      </c>
      <c r="M1488" s="7">
        <f>SQRT(K1488^2+L1488^2)</f>
      </c>
      <c r="N1488" s="7">
        <f>(K1489-K1487)</f>
      </c>
      <c r="O1488" s="7">
        <f>+(L1489-L1487)</f>
      </c>
      <c r="P1488" s="7">
        <f>SQRT(O1488^2+N1488^2)</f>
      </c>
      <c r="Q1488" s="7">
        <f>N1488/$P1488</f>
      </c>
      <c r="R1488" s="7">
        <f>O1488/$P1488</f>
      </c>
      <c r="S1488" s="7">
        <f>Q1488^2+R1488^2</f>
      </c>
      <c r="T1488" s="7">
        <f>-R1488</f>
      </c>
      <c r="U1488" s="7">
        <f>Q1488</f>
      </c>
      <c r="V1488" s="7">
        <f>($C$14+($C$15-$C$14)/($D$15-$D$14)*(I1488-$D$14))/2</f>
      </c>
      <c r="W1488" s="7">
        <f>($B$22*I1488^4+$C$22*I1488^3+$D$22*I1488^2+$E$22*I1488+$F$22)/2</f>
      </c>
      <c r="X1488" s="7">
        <f>($W1488)*(T1488)</f>
      </c>
      <c r="Y1488" s="7">
        <f>($W1488)*(U1488)</f>
      </c>
      <c r="Z1488" s="7">
        <f>SQRT(X1488^2+Y1488^2)</f>
      </c>
      <c r="AA1488" s="7">
        <f>$K1488+$X1488</f>
      </c>
      <c r="AB1488" s="7">
        <f>$L1488+$Y1488</f>
      </c>
      <c r="AC1488" s="7">
        <f>$K1488-$X1488</f>
      </c>
      <c r="AD1488" s="7">
        <f>$L1488-$Y1488</f>
      </c>
      <c r="AE1488" s="7">
        <f>AA1488/39.3701</f>
      </c>
      <c r="AF1488" s="7">
        <f>AB1488/39.3701</f>
      </c>
      <c r="AG1488" s="7">
        <f>AC1488/39.3701</f>
      </c>
      <c r="AH1488" s="7">
        <f>AD1488/39.3701</f>
      </c>
      <c r="AI1488" s="1"/>
      <c r="AJ1488" s="1"/>
      <c r="AK1488" s="1"/>
      <c r="AL1488" s="1"/>
      <c r="AM1488" s="2"/>
      <c r="AN1488" s="1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  <c r="BA1488" s="1"/>
      <c r="BB1488" s="1"/>
      <c r="BC1488" s="1"/>
      <c r="BD1488" s="1"/>
      <c r="BE1488" s="1"/>
    </row>
    <row x14ac:dyDescent="0.25" r="1489" customHeight="1" ht="18.75">
      <c r="A1489" s="1"/>
      <c r="B1489" s="2"/>
      <c r="C1489" s="2"/>
      <c r="D1489" s="2"/>
      <c r="E1489" s="2"/>
      <c r="F1489" s="2"/>
      <c r="G1489" s="1"/>
      <c r="H1489" s="1"/>
      <c r="I1489" s="7">
        <v>1.486</v>
      </c>
      <c r="J1489" s="7">
        <f>IF((I1489-ROUNDDOWN(I1489,0))=0, 0, (I1489-ROUNDDOWN(I1489,0)))</f>
      </c>
      <c r="K1489" s="7">
        <f>INDIRECT("C$"&amp;2+MIN(2,ROUNDDOWN(I1489,0))*3)*(-$J1489^3+3*$J1489^2-3*$J1489+1)+INDIRECT("C$"&amp;3+MIN(2,ROUNDDOWN(I1489,0))*3)*(3*$J1489^3-6*$J1489^2+3*$J1489)+INDIRECT("C$"&amp;4+MIN(2,ROUNDDOWN(I1489,0))*3)*(-3*$J1489^3+3*$J1489^2)+INDIRECT("C$"&amp;5+MIN(2,ROUNDDOWN(I1489,0))*3)*$J1489^3</f>
      </c>
      <c r="L1489" s="7">
        <f>INDIRECT("D$"&amp;2+MIN(2,ROUNDDOWN(I1489,0))*3)*(-$J1489^3+3*$J1489^2-3*$J1489+1)+INDIRECT("D$"&amp;3+MIN(2,ROUNDDOWN(I1489,0))*3)*(3*$J1489^3-6*$J1489^2+3*$J1489)+INDIRECT("D$"&amp;4+MIN(2,ROUNDDOWN(I1489,0))*3)*(-3*$J1489^3+3*$J1489^2)+INDIRECT("D$"&amp;5+MIN(2,ROUNDDOWN(I1489,0))*3)*$J1489^3</f>
      </c>
      <c r="M1489" s="7">
        <f>SQRT(K1489^2+L1489^2)</f>
      </c>
      <c r="N1489" s="7">
        <f>(K1490-K1488)</f>
      </c>
      <c r="O1489" s="7">
        <f>+(L1490-L1488)</f>
      </c>
      <c r="P1489" s="7">
        <f>SQRT(O1489^2+N1489^2)</f>
      </c>
      <c r="Q1489" s="7">
        <f>N1489/$P1489</f>
      </c>
      <c r="R1489" s="7">
        <f>O1489/$P1489</f>
      </c>
      <c r="S1489" s="7">
        <f>Q1489^2+R1489^2</f>
      </c>
      <c r="T1489" s="7">
        <f>-R1489</f>
      </c>
      <c r="U1489" s="7">
        <f>Q1489</f>
      </c>
      <c r="V1489" s="7">
        <f>($C$14+($C$15-$C$14)/($D$15-$D$14)*(I1489-$D$14))/2</f>
      </c>
      <c r="W1489" s="7">
        <f>($B$22*I1489^4+$C$22*I1489^3+$D$22*I1489^2+$E$22*I1489+$F$22)/2</f>
      </c>
      <c r="X1489" s="7">
        <f>($W1489)*(T1489)</f>
      </c>
      <c r="Y1489" s="7">
        <f>($W1489)*(U1489)</f>
      </c>
      <c r="Z1489" s="7">
        <f>SQRT(X1489^2+Y1489^2)</f>
      </c>
      <c r="AA1489" s="7">
        <f>$K1489+$X1489</f>
      </c>
      <c r="AB1489" s="7">
        <f>$L1489+$Y1489</f>
      </c>
      <c r="AC1489" s="7">
        <f>$K1489-$X1489</f>
      </c>
      <c r="AD1489" s="7">
        <f>$L1489-$Y1489</f>
      </c>
      <c r="AE1489" s="7">
        <f>AA1489/39.3701</f>
      </c>
      <c r="AF1489" s="7">
        <f>AB1489/39.3701</f>
      </c>
      <c r="AG1489" s="7">
        <f>AC1489/39.3701</f>
      </c>
      <c r="AH1489" s="7">
        <f>AD1489/39.3701</f>
      </c>
      <c r="AI1489" s="1"/>
      <c r="AJ1489" s="1"/>
      <c r="AK1489" s="1"/>
      <c r="AL1489" s="1"/>
      <c r="AM1489" s="2"/>
      <c r="AN1489" s="1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  <c r="BA1489" s="1"/>
      <c r="BB1489" s="1"/>
      <c r="BC1489" s="1"/>
      <c r="BD1489" s="1"/>
      <c r="BE1489" s="1"/>
    </row>
    <row x14ac:dyDescent="0.25" r="1490" customHeight="1" ht="18.75">
      <c r="A1490" s="1"/>
      <c r="B1490" s="2"/>
      <c r="C1490" s="2"/>
      <c r="D1490" s="2"/>
      <c r="E1490" s="2"/>
      <c r="F1490" s="2"/>
      <c r="G1490" s="1"/>
      <c r="H1490" s="1"/>
      <c r="I1490" s="7">
        <v>1.487</v>
      </c>
      <c r="J1490" s="7">
        <f>IF((I1490-ROUNDDOWN(I1490,0))=0, 0, (I1490-ROUNDDOWN(I1490,0)))</f>
      </c>
      <c r="K1490" s="7">
        <f>INDIRECT("C$"&amp;2+MIN(2,ROUNDDOWN(I1490,0))*3)*(-$J1490^3+3*$J1490^2-3*$J1490+1)+INDIRECT("C$"&amp;3+MIN(2,ROUNDDOWN(I1490,0))*3)*(3*$J1490^3-6*$J1490^2+3*$J1490)+INDIRECT("C$"&amp;4+MIN(2,ROUNDDOWN(I1490,0))*3)*(-3*$J1490^3+3*$J1490^2)+INDIRECT("C$"&amp;5+MIN(2,ROUNDDOWN(I1490,0))*3)*$J1490^3</f>
      </c>
      <c r="L1490" s="7">
        <f>INDIRECT("D$"&amp;2+MIN(2,ROUNDDOWN(I1490,0))*3)*(-$J1490^3+3*$J1490^2-3*$J1490+1)+INDIRECT("D$"&amp;3+MIN(2,ROUNDDOWN(I1490,0))*3)*(3*$J1490^3-6*$J1490^2+3*$J1490)+INDIRECT("D$"&amp;4+MIN(2,ROUNDDOWN(I1490,0))*3)*(-3*$J1490^3+3*$J1490^2)+INDIRECT("D$"&amp;5+MIN(2,ROUNDDOWN(I1490,0))*3)*$J1490^3</f>
      </c>
      <c r="M1490" s="7">
        <f>SQRT(K1490^2+L1490^2)</f>
      </c>
      <c r="N1490" s="7">
        <f>(K1491-K1489)</f>
      </c>
      <c r="O1490" s="7">
        <f>+(L1491-L1489)</f>
      </c>
      <c r="P1490" s="7">
        <f>SQRT(O1490^2+N1490^2)</f>
      </c>
      <c r="Q1490" s="7">
        <f>N1490/$P1490</f>
      </c>
      <c r="R1490" s="7">
        <f>O1490/$P1490</f>
      </c>
      <c r="S1490" s="7">
        <f>Q1490^2+R1490^2</f>
      </c>
      <c r="T1490" s="7">
        <f>-R1490</f>
      </c>
      <c r="U1490" s="7">
        <f>Q1490</f>
      </c>
      <c r="V1490" s="7">
        <f>($C$14+($C$15-$C$14)/($D$15-$D$14)*(I1490-$D$14))/2</f>
      </c>
      <c r="W1490" s="7">
        <f>($B$22*I1490^4+$C$22*I1490^3+$D$22*I1490^2+$E$22*I1490+$F$22)/2</f>
      </c>
      <c r="X1490" s="7">
        <f>($W1490)*(T1490)</f>
      </c>
      <c r="Y1490" s="7">
        <f>($W1490)*(U1490)</f>
      </c>
      <c r="Z1490" s="7">
        <f>SQRT(X1490^2+Y1490^2)</f>
      </c>
      <c r="AA1490" s="7">
        <f>$K1490+$X1490</f>
      </c>
      <c r="AB1490" s="7">
        <f>$L1490+$Y1490</f>
      </c>
      <c r="AC1490" s="7">
        <f>$K1490-$X1490</f>
      </c>
      <c r="AD1490" s="7">
        <f>$L1490-$Y1490</f>
      </c>
      <c r="AE1490" s="7">
        <f>AA1490/39.3701</f>
      </c>
      <c r="AF1490" s="7">
        <f>AB1490/39.3701</f>
      </c>
      <c r="AG1490" s="7">
        <f>AC1490/39.3701</f>
      </c>
      <c r="AH1490" s="7">
        <f>AD1490/39.3701</f>
      </c>
      <c r="AI1490" s="1"/>
      <c r="AJ1490" s="1"/>
      <c r="AK1490" s="1"/>
      <c r="AL1490" s="1"/>
      <c r="AM1490" s="2"/>
      <c r="AN1490" s="1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  <c r="BA1490" s="1"/>
      <c r="BB1490" s="1"/>
      <c r="BC1490" s="1"/>
      <c r="BD1490" s="1"/>
      <c r="BE1490" s="1"/>
    </row>
    <row x14ac:dyDescent="0.25" r="1491" customHeight="1" ht="18.75">
      <c r="A1491" s="1"/>
      <c r="B1491" s="2"/>
      <c r="C1491" s="2"/>
      <c r="D1491" s="2"/>
      <c r="E1491" s="2"/>
      <c r="F1491" s="2"/>
      <c r="G1491" s="1"/>
      <c r="H1491" s="1"/>
      <c r="I1491" s="7">
        <v>1.488</v>
      </c>
      <c r="J1491" s="7">
        <f>IF((I1491-ROUNDDOWN(I1491,0))=0, 0, (I1491-ROUNDDOWN(I1491,0)))</f>
      </c>
      <c r="K1491" s="7">
        <f>INDIRECT("C$"&amp;2+MIN(2,ROUNDDOWN(I1491,0))*3)*(-$J1491^3+3*$J1491^2-3*$J1491+1)+INDIRECT("C$"&amp;3+MIN(2,ROUNDDOWN(I1491,0))*3)*(3*$J1491^3-6*$J1491^2+3*$J1491)+INDIRECT("C$"&amp;4+MIN(2,ROUNDDOWN(I1491,0))*3)*(-3*$J1491^3+3*$J1491^2)+INDIRECT("C$"&amp;5+MIN(2,ROUNDDOWN(I1491,0))*3)*$J1491^3</f>
      </c>
      <c r="L1491" s="7">
        <f>INDIRECT("D$"&amp;2+MIN(2,ROUNDDOWN(I1491,0))*3)*(-$J1491^3+3*$J1491^2-3*$J1491+1)+INDIRECT("D$"&amp;3+MIN(2,ROUNDDOWN(I1491,0))*3)*(3*$J1491^3-6*$J1491^2+3*$J1491)+INDIRECT("D$"&amp;4+MIN(2,ROUNDDOWN(I1491,0))*3)*(-3*$J1491^3+3*$J1491^2)+INDIRECT("D$"&amp;5+MIN(2,ROUNDDOWN(I1491,0))*3)*$J1491^3</f>
      </c>
      <c r="M1491" s="7">
        <f>SQRT(K1491^2+L1491^2)</f>
      </c>
      <c r="N1491" s="7">
        <f>(K1492-K1490)</f>
      </c>
      <c r="O1491" s="7">
        <f>+(L1492-L1490)</f>
      </c>
      <c r="P1491" s="7">
        <f>SQRT(O1491^2+N1491^2)</f>
      </c>
      <c r="Q1491" s="7">
        <f>N1491/$P1491</f>
      </c>
      <c r="R1491" s="7">
        <f>O1491/$P1491</f>
      </c>
      <c r="S1491" s="8">
        <f>Q1491^2+R1491^2</f>
      </c>
      <c r="T1491" s="7">
        <f>-R1491</f>
      </c>
      <c r="U1491" s="7">
        <f>Q1491</f>
      </c>
      <c r="V1491" s="7">
        <f>($C$14+($C$15-$C$14)/($D$15-$D$14)*(I1491-$D$14))/2</f>
      </c>
      <c r="W1491" s="7">
        <f>($B$22*I1491^4+$C$22*I1491^3+$D$22*I1491^2+$E$22*I1491+$F$22)/2</f>
      </c>
      <c r="X1491" s="7">
        <f>($W1491)*(T1491)</f>
      </c>
      <c r="Y1491" s="7">
        <f>($W1491)*(U1491)</f>
      </c>
      <c r="Z1491" s="7">
        <f>SQRT(X1491^2+Y1491^2)</f>
      </c>
      <c r="AA1491" s="7">
        <f>$K1491+$X1491</f>
      </c>
      <c r="AB1491" s="7">
        <f>$L1491+$Y1491</f>
      </c>
      <c r="AC1491" s="7">
        <f>$K1491-$X1491</f>
      </c>
      <c r="AD1491" s="7">
        <f>$L1491-$Y1491</f>
      </c>
      <c r="AE1491" s="7">
        <f>AA1491/39.3701</f>
      </c>
      <c r="AF1491" s="7">
        <f>AB1491/39.3701</f>
      </c>
      <c r="AG1491" s="7">
        <f>AC1491/39.3701</f>
      </c>
      <c r="AH1491" s="7">
        <f>AD1491/39.3701</f>
      </c>
      <c r="AI1491" s="1"/>
      <c r="AJ1491" s="1"/>
      <c r="AK1491" s="1"/>
      <c r="AL1491" s="1"/>
      <c r="AM1491" s="2"/>
      <c r="AN1491" s="1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  <c r="BA1491" s="1"/>
      <c r="BB1491" s="1"/>
      <c r="BC1491" s="1"/>
      <c r="BD1491" s="1"/>
      <c r="BE1491" s="1"/>
    </row>
    <row x14ac:dyDescent="0.25" r="1492" customHeight="1" ht="18.75">
      <c r="A1492" s="1"/>
      <c r="B1492" s="2"/>
      <c r="C1492" s="2"/>
      <c r="D1492" s="2"/>
      <c r="E1492" s="2"/>
      <c r="F1492" s="2"/>
      <c r="G1492" s="1"/>
      <c r="H1492" s="1"/>
      <c r="I1492" s="7">
        <v>1.489</v>
      </c>
      <c r="J1492" s="7">
        <f>IF((I1492-ROUNDDOWN(I1492,0))=0, 0, (I1492-ROUNDDOWN(I1492,0)))</f>
      </c>
      <c r="K1492" s="7">
        <f>INDIRECT("C$"&amp;2+MIN(2,ROUNDDOWN(I1492,0))*3)*(-$J1492^3+3*$J1492^2-3*$J1492+1)+INDIRECT("C$"&amp;3+MIN(2,ROUNDDOWN(I1492,0))*3)*(3*$J1492^3-6*$J1492^2+3*$J1492)+INDIRECT("C$"&amp;4+MIN(2,ROUNDDOWN(I1492,0))*3)*(-3*$J1492^3+3*$J1492^2)+INDIRECT("C$"&amp;5+MIN(2,ROUNDDOWN(I1492,0))*3)*$J1492^3</f>
      </c>
      <c r="L1492" s="7">
        <f>INDIRECT("D$"&amp;2+MIN(2,ROUNDDOWN(I1492,0))*3)*(-$J1492^3+3*$J1492^2-3*$J1492+1)+INDIRECT("D$"&amp;3+MIN(2,ROUNDDOWN(I1492,0))*3)*(3*$J1492^3-6*$J1492^2+3*$J1492)+INDIRECT("D$"&amp;4+MIN(2,ROUNDDOWN(I1492,0))*3)*(-3*$J1492^3+3*$J1492^2)+INDIRECT("D$"&amp;5+MIN(2,ROUNDDOWN(I1492,0))*3)*$J1492^3</f>
      </c>
      <c r="M1492" s="7">
        <f>SQRT(K1492^2+L1492^2)</f>
      </c>
      <c r="N1492" s="7">
        <f>(K1493-K1491)</f>
      </c>
      <c r="O1492" s="7">
        <f>+(L1493-L1491)</f>
      </c>
      <c r="P1492" s="7">
        <f>SQRT(O1492^2+N1492^2)</f>
      </c>
      <c r="Q1492" s="7">
        <f>N1492/$P1492</f>
      </c>
      <c r="R1492" s="7">
        <f>O1492/$P1492</f>
      </c>
      <c r="S1492" s="8">
        <f>Q1492^2+R1492^2</f>
      </c>
      <c r="T1492" s="7">
        <f>-R1492</f>
      </c>
      <c r="U1492" s="7">
        <f>Q1492</f>
      </c>
      <c r="V1492" s="7">
        <f>($C$14+($C$15-$C$14)/($D$15-$D$14)*(I1492-$D$14))/2</f>
      </c>
      <c r="W1492" s="7">
        <f>($B$22*I1492^4+$C$22*I1492^3+$D$22*I1492^2+$E$22*I1492+$F$22)/2</f>
      </c>
      <c r="X1492" s="7">
        <f>($W1492)*(T1492)</f>
      </c>
      <c r="Y1492" s="7">
        <f>($W1492)*(U1492)</f>
      </c>
      <c r="Z1492" s="7">
        <f>SQRT(X1492^2+Y1492^2)</f>
      </c>
      <c r="AA1492" s="7">
        <f>$K1492+$X1492</f>
      </c>
      <c r="AB1492" s="7">
        <f>$L1492+$Y1492</f>
      </c>
      <c r="AC1492" s="7">
        <f>$K1492-$X1492</f>
      </c>
      <c r="AD1492" s="7">
        <f>$L1492-$Y1492</f>
      </c>
      <c r="AE1492" s="7">
        <f>AA1492/39.3701</f>
      </c>
      <c r="AF1492" s="7">
        <f>AB1492/39.3701</f>
      </c>
      <c r="AG1492" s="7">
        <f>AC1492/39.3701</f>
      </c>
      <c r="AH1492" s="7">
        <f>AD1492/39.3701</f>
      </c>
      <c r="AI1492" s="1"/>
      <c r="AJ1492" s="1"/>
      <c r="AK1492" s="1"/>
      <c r="AL1492" s="1"/>
      <c r="AM1492" s="2"/>
      <c r="AN1492" s="1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  <c r="BA1492" s="1"/>
      <c r="BB1492" s="1"/>
      <c r="BC1492" s="1"/>
      <c r="BD1492" s="1"/>
      <c r="BE1492" s="1"/>
    </row>
    <row x14ac:dyDescent="0.25" r="1493" customHeight="1" ht="18.75">
      <c r="A1493" s="1"/>
      <c r="B1493" s="2"/>
      <c r="C1493" s="2"/>
      <c r="D1493" s="2"/>
      <c r="E1493" s="2"/>
      <c r="F1493" s="2"/>
      <c r="G1493" s="1"/>
      <c r="H1493" s="1"/>
      <c r="I1493" s="7">
        <v>1.49</v>
      </c>
      <c r="J1493" s="7">
        <f>IF((I1493-ROUNDDOWN(I1493,0))=0, 0, (I1493-ROUNDDOWN(I1493,0)))</f>
      </c>
      <c r="K1493" s="7">
        <f>INDIRECT("C$"&amp;2+MIN(2,ROUNDDOWN(I1493,0))*3)*(-$J1493^3+3*$J1493^2-3*$J1493+1)+INDIRECT("C$"&amp;3+MIN(2,ROUNDDOWN(I1493,0))*3)*(3*$J1493^3-6*$J1493^2+3*$J1493)+INDIRECT("C$"&amp;4+MIN(2,ROUNDDOWN(I1493,0))*3)*(-3*$J1493^3+3*$J1493^2)+INDIRECT("C$"&amp;5+MIN(2,ROUNDDOWN(I1493,0))*3)*$J1493^3</f>
      </c>
      <c r="L1493" s="7">
        <f>INDIRECT("D$"&amp;2+MIN(2,ROUNDDOWN(I1493,0))*3)*(-$J1493^3+3*$J1493^2-3*$J1493+1)+INDIRECT("D$"&amp;3+MIN(2,ROUNDDOWN(I1493,0))*3)*(3*$J1493^3-6*$J1493^2+3*$J1493)+INDIRECT("D$"&amp;4+MIN(2,ROUNDDOWN(I1493,0))*3)*(-3*$J1493^3+3*$J1493^2)+INDIRECT("D$"&amp;5+MIN(2,ROUNDDOWN(I1493,0))*3)*$J1493^3</f>
      </c>
      <c r="M1493" s="7">
        <f>SQRT(K1493^2+L1493^2)</f>
      </c>
      <c r="N1493" s="7">
        <f>(K1494-K1492)</f>
      </c>
      <c r="O1493" s="7">
        <f>+(L1494-L1492)</f>
      </c>
      <c r="P1493" s="7">
        <f>SQRT(O1493^2+N1493^2)</f>
      </c>
      <c r="Q1493" s="7">
        <f>N1493/$P1493</f>
      </c>
      <c r="R1493" s="7">
        <f>O1493/$P1493</f>
      </c>
      <c r="S1493" s="7">
        <f>Q1493^2+R1493^2</f>
      </c>
      <c r="T1493" s="7">
        <f>-R1493</f>
      </c>
      <c r="U1493" s="7">
        <f>Q1493</f>
      </c>
      <c r="V1493" s="7">
        <f>($C$14+($C$15-$C$14)/($D$15-$D$14)*(I1493-$D$14))/2</f>
      </c>
      <c r="W1493" s="7">
        <f>($B$22*I1493^4+$C$22*I1493^3+$D$22*I1493^2+$E$22*I1493+$F$22)/2</f>
      </c>
      <c r="X1493" s="7">
        <f>($W1493)*(T1493)</f>
      </c>
      <c r="Y1493" s="7">
        <f>($W1493)*(U1493)</f>
      </c>
      <c r="Z1493" s="7">
        <f>SQRT(X1493^2+Y1493^2)</f>
      </c>
      <c r="AA1493" s="7">
        <f>$K1493+$X1493</f>
      </c>
      <c r="AB1493" s="7">
        <f>$L1493+$Y1493</f>
      </c>
      <c r="AC1493" s="7">
        <f>$K1493-$X1493</f>
      </c>
      <c r="AD1493" s="7">
        <f>$L1493-$Y1493</f>
      </c>
      <c r="AE1493" s="7">
        <f>AA1493/39.3701</f>
      </c>
      <c r="AF1493" s="7">
        <f>AB1493/39.3701</f>
      </c>
      <c r="AG1493" s="7">
        <f>AC1493/39.3701</f>
      </c>
      <c r="AH1493" s="7">
        <f>AD1493/39.3701</f>
      </c>
      <c r="AI1493" s="1"/>
      <c r="AJ1493" s="1"/>
      <c r="AK1493" s="1"/>
      <c r="AL1493" s="1"/>
      <c r="AM1493" s="2"/>
      <c r="AN1493" s="1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  <c r="BA1493" s="1"/>
      <c r="BB1493" s="1"/>
      <c r="BC1493" s="1"/>
      <c r="BD1493" s="1"/>
      <c r="BE1493" s="1"/>
    </row>
    <row x14ac:dyDescent="0.25" r="1494" customHeight="1" ht="18.75">
      <c r="A1494" s="1"/>
      <c r="B1494" s="2"/>
      <c r="C1494" s="2"/>
      <c r="D1494" s="2"/>
      <c r="E1494" s="2"/>
      <c r="F1494" s="2"/>
      <c r="G1494" s="1"/>
      <c r="H1494" s="1"/>
      <c r="I1494" s="7">
        <v>1.491</v>
      </c>
      <c r="J1494" s="7">
        <f>IF((I1494-ROUNDDOWN(I1494,0))=0, 0, (I1494-ROUNDDOWN(I1494,0)))</f>
      </c>
      <c r="K1494" s="7">
        <f>INDIRECT("C$"&amp;2+MIN(2,ROUNDDOWN(I1494,0))*3)*(-$J1494^3+3*$J1494^2-3*$J1494+1)+INDIRECT("C$"&amp;3+MIN(2,ROUNDDOWN(I1494,0))*3)*(3*$J1494^3-6*$J1494^2+3*$J1494)+INDIRECT("C$"&amp;4+MIN(2,ROUNDDOWN(I1494,0))*3)*(-3*$J1494^3+3*$J1494^2)+INDIRECT("C$"&amp;5+MIN(2,ROUNDDOWN(I1494,0))*3)*$J1494^3</f>
      </c>
      <c r="L1494" s="7">
        <f>INDIRECT("D$"&amp;2+MIN(2,ROUNDDOWN(I1494,0))*3)*(-$J1494^3+3*$J1494^2-3*$J1494+1)+INDIRECT("D$"&amp;3+MIN(2,ROUNDDOWN(I1494,0))*3)*(3*$J1494^3-6*$J1494^2+3*$J1494)+INDIRECT("D$"&amp;4+MIN(2,ROUNDDOWN(I1494,0))*3)*(-3*$J1494^3+3*$J1494^2)+INDIRECT("D$"&amp;5+MIN(2,ROUNDDOWN(I1494,0))*3)*$J1494^3</f>
      </c>
      <c r="M1494" s="7">
        <f>SQRT(K1494^2+L1494^2)</f>
      </c>
      <c r="N1494" s="7">
        <f>(K1495-K1493)</f>
      </c>
      <c r="O1494" s="7">
        <f>+(L1495-L1493)</f>
      </c>
      <c r="P1494" s="7">
        <f>SQRT(O1494^2+N1494^2)</f>
      </c>
      <c r="Q1494" s="7">
        <f>N1494/$P1494</f>
      </c>
      <c r="R1494" s="7">
        <f>O1494/$P1494</f>
      </c>
      <c r="S1494" s="7">
        <f>Q1494^2+R1494^2</f>
      </c>
      <c r="T1494" s="7">
        <f>-R1494</f>
      </c>
      <c r="U1494" s="7">
        <f>Q1494</f>
      </c>
      <c r="V1494" s="7">
        <f>($C$14+($C$15-$C$14)/($D$15-$D$14)*(I1494-$D$14))/2</f>
      </c>
      <c r="W1494" s="7">
        <f>($B$22*I1494^4+$C$22*I1494^3+$D$22*I1494^2+$E$22*I1494+$F$22)/2</f>
      </c>
      <c r="X1494" s="7">
        <f>($W1494)*(T1494)</f>
      </c>
      <c r="Y1494" s="7">
        <f>($W1494)*(U1494)</f>
      </c>
      <c r="Z1494" s="7">
        <f>SQRT(X1494^2+Y1494^2)</f>
      </c>
      <c r="AA1494" s="7">
        <f>$K1494+$X1494</f>
      </c>
      <c r="AB1494" s="7">
        <f>$L1494+$Y1494</f>
      </c>
      <c r="AC1494" s="7">
        <f>$K1494-$X1494</f>
      </c>
      <c r="AD1494" s="7">
        <f>$L1494-$Y1494</f>
      </c>
      <c r="AE1494" s="7">
        <f>AA1494/39.3701</f>
      </c>
      <c r="AF1494" s="7">
        <f>AB1494/39.3701</f>
      </c>
      <c r="AG1494" s="7">
        <f>AC1494/39.3701</f>
      </c>
      <c r="AH1494" s="7">
        <f>AD1494/39.3701</f>
      </c>
      <c r="AI1494" s="1"/>
      <c r="AJ1494" s="1"/>
      <c r="AK1494" s="1"/>
      <c r="AL1494" s="1"/>
      <c r="AM1494" s="2"/>
      <c r="AN1494" s="1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  <c r="BA1494" s="1"/>
      <c r="BB1494" s="1"/>
      <c r="BC1494" s="1"/>
      <c r="BD1494" s="1"/>
      <c r="BE1494" s="1"/>
    </row>
    <row x14ac:dyDescent="0.25" r="1495" customHeight="1" ht="18.75">
      <c r="A1495" s="1"/>
      <c r="B1495" s="2"/>
      <c r="C1495" s="2"/>
      <c r="D1495" s="2"/>
      <c r="E1495" s="2"/>
      <c r="F1495" s="2"/>
      <c r="G1495" s="1"/>
      <c r="H1495" s="1"/>
      <c r="I1495" s="7">
        <v>1.492</v>
      </c>
      <c r="J1495" s="7">
        <f>IF((I1495-ROUNDDOWN(I1495,0))=0, 0, (I1495-ROUNDDOWN(I1495,0)))</f>
      </c>
      <c r="K1495" s="7">
        <f>INDIRECT("C$"&amp;2+MIN(2,ROUNDDOWN(I1495,0))*3)*(-$J1495^3+3*$J1495^2-3*$J1495+1)+INDIRECT("C$"&amp;3+MIN(2,ROUNDDOWN(I1495,0))*3)*(3*$J1495^3-6*$J1495^2+3*$J1495)+INDIRECT("C$"&amp;4+MIN(2,ROUNDDOWN(I1495,0))*3)*(-3*$J1495^3+3*$J1495^2)+INDIRECT("C$"&amp;5+MIN(2,ROUNDDOWN(I1495,0))*3)*$J1495^3</f>
      </c>
      <c r="L1495" s="7">
        <f>INDIRECT("D$"&amp;2+MIN(2,ROUNDDOWN(I1495,0))*3)*(-$J1495^3+3*$J1495^2-3*$J1495+1)+INDIRECT("D$"&amp;3+MIN(2,ROUNDDOWN(I1495,0))*3)*(3*$J1495^3-6*$J1495^2+3*$J1495)+INDIRECT("D$"&amp;4+MIN(2,ROUNDDOWN(I1495,0))*3)*(-3*$J1495^3+3*$J1495^2)+INDIRECT("D$"&amp;5+MIN(2,ROUNDDOWN(I1495,0))*3)*$J1495^3</f>
      </c>
      <c r="M1495" s="7">
        <f>SQRT(K1495^2+L1495^2)</f>
      </c>
      <c r="N1495" s="7">
        <f>(K1496-K1494)</f>
      </c>
      <c r="O1495" s="7">
        <f>+(L1496-L1494)</f>
      </c>
      <c r="P1495" s="7">
        <f>SQRT(O1495^2+N1495^2)</f>
      </c>
      <c r="Q1495" s="7">
        <f>N1495/$P1495</f>
      </c>
      <c r="R1495" s="7">
        <f>O1495/$P1495</f>
      </c>
      <c r="S1495" s="8">
        <f>Q1495^2+R1495^2</f>
      </c>
      <c r="T1495" s="7">
        <f>-R1495</f>
      </c>
      <c r="U1495" s="7">
        <f>Q1495</f>
      </c>
      <c r="V1495" s="7">
        <f>($C$14+($C$15-$C$14)/($D$15-$D$14)*(I1495-$D$14))/2</f>
      </c>
      <c r="W1495" s="7">
        <f>($B$22*I1495^4+$C$22*I1495^3+$D$22*I1495^2+$E$22*I1495+$F$22)/2</f>
      </c>
      <c r="X1495" s="7">
        <f>($W1495)*(T1495)</f>
      </c>
      <c r="Y1495" s="7">
        <f>($W1495)*(U1495)</f>
      </c>
      <c r="Z1495" s="7">
        <f>SQRT(X1495^2+Y1495^2)</f>
      </c>
      <c r="AA1495" s="7">
        <f>$K1495+$X1495</f>
      </c>
      <c r="AB1495" s="7">
        <f>$L1495+$Y1495</f>
      </c>
      <c r="AC1495" s="7">
        <f>$K1495-$X1495</f>
      </c>
      <c r="AD1495" s="7">
        <f>$L1495-$Y1495</f>
      </c>
      <c r="AE1495" s="7">
        <f>AA1495/39.3701</f>
      </c>
      <c r="AF1495" s="7">
        <f>AB1495/39.3701</f>
      </c>
      <c r="AG1495" s="7">
        <f>AC1495/39.3701</f>
      </c>
      <c r="AH1495" s="7">
        <f>AD1495/39.3701</f>
      </c>
      <c r="AI1495" s="1"/>
      <c r="AJ1495" s="1"/>
      <c r="AK1495" s="1"/>
      <c r="AL1495" s="1"/>
      <c r="AM1495" s="2"/>
      <c r="AN1495" s="1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  <c r="BA1495" s="1"/>
      <c r="BB1495" s="1"/>
      <c r="BC1495" s="1"/>
      <c r="BD1495" s="1"/>
      <c r="BE1495" s="1"/>
    </row>
    <row x14ac:dyDescent="0.25" r="1496" customHeight="1" ht="18.75">
      <c r="A1496" s="1"/>
      <c r="B1496" s="2"/>
      <c r="C1496" s="2"/>
      <c r="D1496" s="2"/>
      <c r="E1496" s="2"/>
      <c r="F1496" s="2"/>
      <c r="G1496" s="1"/>
      <c r="H1496" s="1"/>
      <c r="I1496" s="7">
        <v>1.493</v>
      </c>
      <c r="J1496" s="7">
        <f>IF((I1496-ROUNDDOWN(I1496,0))=0, 0, (I1496-ROUNDDOWN(I1496,0)))</f>
      </c>
      <c r="K1496" s="7">
        <f>INDIRECT("C$"&amp;2+MIN(2,ROUNDDOWN(I1496,0))*3)*(-$J1496^3+3*$J1496^2-3*$J1496+1)+INDIRECT("C$"&amp;3+MIN(2,ROUNDDOWN(I1496,0))*3)*(3*$J1496^3-6*$J1496^2+3*$J1496)+INDIRECT("C$"&amp;4+MIN(2,ROUNDDOWN(I1496,0))*3)*(-3*$J1496^3+3*$J1496^2)+INDIRECT("C$"&amp;5+MIN(2,ROUNDDOWN(I1496,0))*3)*$J1496^3</f>
      </c>
      <c r="L1496" s="7">
        <f>INDIRECT("D$"&amp;2+MIN(2,ROUNDDOWN(I1496,0))*3)*(-$J1496^3+3*$J1496^2-3*$J1496+1)+INDIRECT("D$"&amp;3+MIN(2,ROUNDDOWN(I1496,0))*3)*(3*$J1496^3-6*$J1496^2+3*$J1496)+INDIRECT("D$"&amp;4+MIN(2,ROUNDDOWN(I1496,0))*3)*(-3*$J1496^3+3*$J1496^2)+INDIRECT("D$"&amp;5+MIN(2,ROUNDDOWN(I1496,0))*3)*$J1496^3</f>
      </c>
      <c r="M1496" s="7">
        <f>SQRT(K1496^2+L1496^2)</f>
      </c>
      <c r="N1496" s="7">
        <f>(K1497-K1495)</f>
      </c>
      <c r="O1496" s="7">
        <f>+(L1497-L1495)</f>
      </c>
      <c r="P1496" s="7">
        <f>SQRT(O1496^2+N1496^2)</f>
      </c>
      <c r="Q1496" s="7">
        <f>N1496/$P1496</f>
      </c>
      <c r="R1496" s="7">
        <f>O1496/$P1496</f>
      </c>
      <c r="S1496" s="7">
        <f>Q1496^2+R1496^2</f>
      </c>
      <c r="T1496" s="7">
        <f>-R1496</f>
      </c>
      <c r="U1496" s="7">
        <f>Q1496</f>
      </c>
      <c r="V1496" s="7">
        <f>($C$14+($C$15-$C$14)/($D$15-$D$14)*(I1496-$D$14))/2</f>
      </c>
      <c r="W1496" s="7">
        <f>($B$22*I1496^4+$C$22*I1496^3+$D$22*I1496^2+$E$22*I1496+$F$22)/2</f>
      </c>
      <c r="X1496" s="7">
        <f>($W1496)*(T1496)</f>
      </c>
      <c r="Y1496" s="7">
        <f>($W1496)*(U1496)</f>
      </c>
      <c r="Z1496" s="7">
        <f>SQRT(X1496^2+Y1496^2)</f>
      </c>
      <c r="AA1496" s="7">
        <f>$K1496+$X1496</f>
      </c>
      <c r="AB1496" s="7">
        <f>$L1496+$Y1496</f>
      </c>
      <c r="AC1496" s="7">
        <f>$K1496-$X1496</f>
      </c>
      <c r="AD1496" s="7">
        <f>$L1496-$Y1496</f>
      </c>
      <c r="AE1496" s="7">
        <f>AA1496/39.3701</f>
      </c>
      <c r="AF1496" s="7">
        <f>AB1496/39.3701</f>
      </c>
      <c r="AG1496" s="7">
        <f>AC1496/39.3701</f>
      </c>
      <c r="AH1496" s="7">
        <f>AD1496/39.3701</f>
      </c>
      <c r="AI1496" s="1"/>
      <c r="AJ1496" s="1"/>
      <c r="AK1496" s="1"/>
      <c r="AL1496" s="1"/>
      <c r="AM1496" s="2"/>
      <c r="AN1496" s="1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  <c r="BA1496" s="1"/>
      <c r="BB1496" s="1"/>
      <c r="BC1496" s="1"/>
      <c r="BD1496" s="1"/>
      <c r="BE1496" s="1"/>
    </row>
    <row x14ac:dyDescent="0.25" r="1497" customHeight="1" ht="18.75">
      <c r="A1497" s="1"/>
      <c r="B1497" s="2"/>
      <c r="C1497" s="2"/>
      <c r="D1497" s="2"/>
      <c r="E1497" s="2"/>
      <c r="F1497" s="2"/>
      <c r="G1497" s="1"/>
      <c r="H1497" s="1"/>
      <c r="I1497" s="7">
        <v>1.494</v>
      </c>
      <c r="J1497" s="7">
        <f>IF((I1497-ROUNDDOWN(I1497,0))=0, 0, (I1497-ROUNDDOWN(I1497,0)))</f>
      </c>
      <c r="K1497" s="7">
        <f>INDIRECT("C$"&amp;2+MIN(2,ROUNDDOWN(I1497,0))*3)*(-$J1497^3+3*$J1497^2-3*$J1497+1)+INDIRECT("C$"&amp;3+MIN(2,ROUNDDOWN(I1497,0))*3)*(3*$J1497^3-6*$J1497^2+3*$J1497)+INDIRECT("C$"&amp;4+MIN(2,ROUNDDOWN(I1497,0))*3)*(-3*$J1497^3+3*$J1497^2)+INDIRECT("C$"&amp;5+MIN(2,ROUNDDOWN(I1497,0))*3)*$J1497^3</f>
      </c>
      <c r="L1497" s="7">
        <f>INDIRECT("D$"&amp;2+MIN(2,ROUNDDOWN(I1497,0))*3)*(-$J1497^3+3*$J1497^2-3*$J1497+1)+INDIRECT("D$"&amp;3+MIN(2,ROUNDDOWN(I1497,0))*3)*(3*$J1497^3-6*$J1497^2+3*$J1497)+INDIRECT("D$"&amp;4+MIN(2,ROUNDDOWN(I1497,0))*3)*(-3*$J1497^3+3*$J1497^2)+INDIRECT("D$"&amp;5+MIN(2,ROUNDDOWN(I1497,0))*3)*$J1497^3</f>
      </c>
      <c r="M1497" s="7">
        <f>SQRT(K1497^2+L1497^2)</f>
      </c>
      <c r="N1497" s="7">
        <f>(K1498-K1496)</f>
      </c>
      <c r="O1497" s="7">
        <f>+(L1498-L1496)</f>
      </c>
      <c r="P1497" s="7">
        <f>SQRT(O1497^2+N1497^2)</f>
      </c>
      <c r="Q1497" s="7">
        <f>N1497/$P1497</f>
      </c>
      <c r="R1497" s="7">
        <f>O1497/$P1497</f>
      </c>
      <c r="S1497" s="8">
        <f>Q1497^2+R1497^2</f>
      </c>
      <c r="T1497" s="7">
        <f>-R1497</f>
      </c>
      <c r="U1497" s="7">
        <f>Q1497</f>
      </c>
      <c r="V1497" s="7">
        <f>($C$14+($C$15-$C$14)/($D$15-$D$14)*(I1497-$D$14))/2</f>
      </c>
      <c r="W1497" s="7">
        <f>($B$22*I1497^4+$C$22*I1497^3+$D$22*I1497^2+$E$22*I1497+$F$22)/2</f>
      </c>
      <c r="X1497" s="7">
        <f>($W1497)*(T1497)</f>
      </c>
      <c r="Y1497" s="7">
        <f>($W1497)*(U1497)</f>
      </c>
      <c r="Z1497" s="7">
        <f>SQRT(X1497^2+Y1497^2)</f>
      </c>
      <c r="AA1497" s="7">
        <f>$K1497+$X1497</f>
      </c>
      <c r="AB1497" s="7">
        <f>$L1497+$Y1497</f>
      </c>
      <c r="AC1497" s="7">
        <f>$K1497-$X1497</f>
      </c>
      <c r="AD1497" s="7">
        <f>$L1497-$Y1497</f>
      </c>
      <c r="AE1497" s="7">
        <f>AA1497/39.3701</f>
      </c>
      <c r="AF1497" s="7">
        <f>AB1497/39.3701</f>
      </c>
      <c r="AG1497" s="7">
        <f>AC1497/39.3701</f>
      </c>
      <c r="AH1497" s="7">
        <f>AD1497/39.3701</f>
      </c>
      <c r="AI1497" s="1"/>
      <c r="AJ1497" s="1"/>
      <c r="AK1497" s="1"/>
      <c r="AL1497" s="1"/>
      <c r="AM1497" s="2"/>
      <c r="AN1497" s="1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  <c r="BA1497" s="1"/>
      <c r="BB1497" s="1"/>
      <c r="BC1497" s="1"/>
      <c r="BD1497" s="1"/>
      <c r="BE1497" s="1"/>
    </row>
    <row x14ac:dyDescent="0.25" r="1498" customHeight="1" ht="18.75">
      <c r="A1498" s="1"/>
      <c r="B1498" s="2"/>
      <c r="C1498" s="2"/>
      <c r="D1498" s="2"/>
      <c r="E1498" s="2"/>
      <c r="F1498" s="2"/>
      <c r="G1498" s="1"/>
      <c r="H1498" s="1"/>
      <c r="I1498" s="7">
        <v>1.495</v>
      </c>
      <c r="J1498" s="7">
        <f>IF((I1498-ROUNDDOWN(I1498,0))=0, 0, (I1498-ROUNDDOWN(I1498,0)))</f>
      </c>
      <c r="K1498" s="7">
        <f>INDIRECT("C$"&amp;2+MIN(2,ROUNDDOWN(I1498,0))*3)*(-$J1498^3+3*$J1498^2-3*$J1498+1)+INDIRECT("C$"&amp;3+MIN(2,ROUNDDOWN(I1498,0))*3)*(3*$J1498^3-6*$J1498^2+3*$J1498)+INDIRECT("C$"&amp;4+MIN(2,ROUNDDOWN(I1498,0))*3)*(-3*$J1498^3+3*$J1498^2)+INDIRECT("C$"&amp;5+MIN(2,ROUNDDOWN(I1498,0))*3)*$J1498^3</f>
      </c>
      <c r="L1498" s="7">
        <f>INDIRECT("D$"&amp;2+MIN(2,ROUNDDOWN(I1498,0))*3)*(-$J1498^3+3*$J1498^2-3*$J1498+1)+INDIRECT("D$"&amp;3+MIN(2,ROUNDDOWN(I1498,0))*3)*(3*$J1498^3-6*$J1498^2+3*$J1498)+INDIRECT("D$"&amp;4+MIN(2,ROUNDDOWN(I1498,0))*3)*(-3*$J1498^3+3*$J1498^2)+INDIRECT("D$"&amp;5+MIN(2,ROUNDDOWN(I1498,0))*3)*$J1498^3</f>
      </c>
      <c r="M1498" s="7">
        <f>SQRT(K1498^2+L1498^2)</f>
      </c>
      <c r="N1498" s="7">
        <f>(K1499-K1497)</f>
      </c>
      <c r="O1498" s="7">
        <f>+(L1499-L1497)</f>
      </c>
      <c r="P1498" s="7">
        <f>SQRT(O1498^2+N1498^2)</f>
      </c>
      <c r="Q1498" s="7">
        <f>N1498/$P1498</f>
      </c>
      <c r="R1498" s="7">
        <f>O1498/$P1498</f>
      </c>
      <c r="S1498" s="7">
        <f>Q1498^2+R1498^2</f>
      </c>
      <c r="T1498" s="7">
        <f>-R1498</f>
      </c>
      <c r="U1498" s="7">
        <f>Q1498</f>
      </c>
      <c r="V1498" s="7">
        <f>($C$14+($C$15-$C$14)/($D$15-$D$14)*(I1498-$D$14))/2</f>
      </c>
      <c r="W1498" s="7">
        <f>($B$22*I1498^4+$C$22*I1498^3+$D$22*I1498^2+$E$22*I1498+$F$22)/2</f>
      </c>
      <c r="X1498" s="7">
        <f>($W1498)*(T1498)</f>
      </c>
      <c r="Y1498" s="7">
        <f>($W1498)*(U1498)</f>
      </c>
      <c r="Z1498" s="7">
        <f>SQRT(X1498^2+Y1498^2)</f>
      </c>
      <c r="AA1498" s="7">
        <f>$K1498+$X1498</f>
      </c>
      <c r="AB1498" s="7">
        <f>$L1498+$Y1498</f>
      </c>
      <c r="AC1498" s="7">
        <f>$K1498-$X1498</f>
      </c>
      <c r="AD1498" s="7">
        <f>$L1498-$Y1498</f>
      </c>
      <c r="AE1498" s="7">
        <f>AA1498/39.3701</f>
      </c>
      <c r="AF1498" s="7">
        <f>AB1498/39.3701</f>
      </c>
      <c r="AG1498" s="7">
        <f>AC1498/39.3701</f>
      </c>
      <c r="AH1498" s="7">
        <f>AD1498/39.3701</f>
      </c>
      <c r="AI1498" s="1"/>
      <c r="AJ1498" s="1"/>
      <c r="AK1498" s="1"/>
      <c r="AL1498" s="1"/>
      <c r="AM1498" s="2"/>
      <c r="AN1498" s="1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  <c r="BA1498" s="1"/>
      <c r="BB1498" s="1"/>
      <c r="BC1498" s="1"/>
      <c r="BD1498" s="1"/>
      <c r="BE1498" s="1"/>
    </row>
    <row x14ac:dyDescent="0.25" r="1499" customHeight="1" ht="18.75">
      <c r="A1499" s="1"/>
      <c r="B1499" s="2"/>
      <c r="C1499" s="2"/>
      <c r="D1499" s="2"/>
      <c r="E1499" s="2"/>
      <c r="F1499" s="2"/>
      <c r="G1499" s="1"/>
      <c r="H1499" s="1"/>
      <c r="I1499" s="7">
        <v>1.496</v>
      </c>
      <c r="J1499" s="7">
        <f>IF((I1499-ROUNDDOWN(I1499,0))=0, 0, (I1499-ROUNDDOWN(I1499,0)))</f>
      </c>
      <c r="K1499" s="7">
        <f>INDIRECT("C$"&amp;2+MIN(2,ROUNDDOWN(I1499,0))*3)*(-$J1499^3+3*$J1499^2-3*$J1499+1)+INDIRECT("C$"&amp;3+MIN(2,ROUNDDOWN(I1499,0))*3)*(3*$J1499^3-6*$J1499^2+3*$J1499)+INDIRECT("C$"&amp;4+MIN(2,ROUNDDOWN(I1499,0))*3)*(-3*$J1499^3+3*$J1499^2)+INDIRECT("C$"&amp;5+MIN(2,ROUNDDOWN(I1499,0))*3)*$J1499^3</f>
      </c>
      <c r="L1499" s="7">
        <f>INDIRECT("D$"&amp;2+MIN(2,ROUNDDOWN(I1499,0))*3)*(-$J1499^3+3*$J1499^2-3*$J1499+1)+INDIRECT("D$"&amp;3+MIN(2,ROUNDDOWN(I1499,0))*3)*(3*$J1499^3-6*$J1499^2+3*$J1499)+INDIRECT("D$"&amp;4+MIN(2,ROUNDDOWN(I1499,0))*3)*(-3*$J1499^3+3*$J1499^2)+INDIRECT("D$"&amp;5+MIN(2,ROUNDDOWN(I1499,0))*3)*$J1499^3</f>
      </c>
      <c r="M1499" s="7">
        <f>SQRT(K1499^2+L1499^2)</f>
      </c>
      <c r="N1499" s="7">
        <f>(K1500-K1498)</f>
      </c>
      <c r="O1499" s="7">
        <f>+(L1500-L1498)</f>
      </c>
      <c r="P1499" s="7">
        <f>SQRT(O1499^2+N1499^2)</f>
      </c>
      <c r="Q1499" s="7">
        <f>N1499/$P1499</f>
      </c>
      <c r="R1499" s="7">
        <f>O1499/$P1499</f>
      </c>
      <c r="S1499" s="8">
        <f>Q1499^2+R1499^2</f>
      </c>
      <c r="T1499" s="7">
        <f>-R1499</f>
      </c>
      <c r="U1499" s="7">
        <f>Q1499</f>
      </c>
      <c r="V1499" s="7">
        <f>($C$14+($C$15-$C$14)/($D$15-$D$14)*(I1499-$D$14))/2</f>
      </c>
      <c r="W1499" s="7">
        <f>($B$22*I1499^4+$C$22*I1499^3+$D$22*I1499^2+$E$22*I1499+$F$22)/2</f>
      </c>
      <c r="X1499" s="7">
        <f>($W1499)*(T1499)</f>
      </c>
      <c r="Y1499" s="7">
        <f>($W1499)*(U1499)</f>
      </c>
      <c r="Z1499" s="7">
        <f>SQRT(X1499^2+Y1499^2)</f>
      </c>
      <c r="AA1499" s="7">
        <f>$K1499+$X1499</f>
      </c>
      <c r="AB1499" s="7">
        <f>$L1499+$Y1499</f>
      </c>
      <c r="AC1499" s="7">
        <f>$K1499-$X1499</f>
      </c>
      <c r="AD1499" s="7">
        <f>$L1499-$Y1499</f>
      </c>
      <c r="AE1499" s="7">
        <f>AA1499/39.3701</f>
      </c>
      <c r="AF1499" s="7">
        <f>AB1499/39.3701</f>
      </c>
      <c r="AG1499" s="7">
        <f>AC1499/39.3701</f>
      </c>
      <c r="AH1499" s="7">
        <f>AD1499/39.3701</f>
      </c>
      <c r="AI1499" s="1"/>
      <c r="AJ1499" s="1"/>
      <c r="AK1499" s="1"/>
      <c r="AL1499" s="1"/>
      <c r="AM1499" s="2"/>
      <c r="AN1499" s="1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  <c r="BA1499" s="1"/>
      <c r="BB1499" s="1"/>
      <c r="BC1499" s="1"/>
      <c r="BD1499" s="1"/>
      <c r="BE1499" s="1"/>
    </row>
    <row x14ac:dyDescent="0.25" r="1500" customHeight="1" ht="18.75">
      <c r="A1500" s="1"/>
      <c r="B1500" s="2"/>
      <c r="C1500" s="2"/>
      <c r="D1500" s="2"/>
      <c r="E1500" s="2"/>
      <c r="F1500" s="2"/>
      <c r="G1500" s="1"/>
      <c r="H1500" s="1"/>
      <c r="I1500" s="7">
        <v>1.497</v>
      </c>
      <c r="J1500" s="7">
        <f>IF((I1500-ROUNDDOWN(I1500,0))=0, 0, (I1500-ROUNDDOWN(I1500,0)))</f>
      </c>
      <c r="K1500" s="7">
        <f>INDIRECT("C$"&amp;2+MIN(2,ROUNDDOWN(I1500,0))*3)*(-$J1500^3+3*$J1500^2-3*$J1500+1)+INDIRECT("C$"&amp;3+MIN(2,ROUNDDOWN(I1500,0))*3)*(3*$J1500^3-6*$J1500^2+3*$J1500)+INDIRECT("C$"&amp;4+MIN(2,ROUNDDOWN(I1500,0))*3)*(-3*$J1500^3+3*$J1500^2)+INDIRECT("C$"&amp;5+MIN(2,ROUNDDOWN(I1500,0))*3)*$J1500^3</f>
      </c>
      <c r="L1500" s="7">
        <f>INDIRECT("D$"&amp;2+MIN(2,ROUNDDOWN(I1500,0))*3)*(-$J1500^3+3*$J1500^2-3*$J1500+1)+INDIRECT("D$"&amp;3+MIN(2,ROUNDDOWN(I1500,0))*3)*(3*$J1500^3-6*$J1500^2+3*$J1500)+INDIRECT("D$"&amp;4+MIN(2,ROUNDDOWN(I1500,0))*3)*(-3*$J1500^3+3*$J1500^2)+INDIRECT("D$"&amp;5+MIN(2,ROUNDDOWN(I1500,0))*3)*$J1500^3</f>
      </c>
      <c r="M1500" s="7">
        <f>SQRT(K1500^2+L1500^2)</f>
      </c>
      <c r="N1500" s="7">
        <f>(K1501-K1499)</f>
      </c>
      <c r="O1500" s="7">
        <f>+(L1501-L1499)</f>
      </c>
      <c r="P1500" s="7">
        <f>SQRT(O1500^2+N1500^2)</f>
      </c>
      <c r="Q1500" s="7">
        <f>N1500/$P1500</f>
      </c>
      <c r="R1500" s="7">
        <f>O1500/$P1500</f>
      </c>
      <c r="S1500" s="7">
        <f>Q1500^2+R1500^2</f>
      </c>
      <c r="T1500" s="7">
        <f>-R1500</f>
      </c>
      <c r="U1500" s="7">
        <f>Q1500</f>
      </c>
      <c r="V1500" s="7">
        <f>($C$14+($C$15-$C$14)/($D$15-$D$14)*(I1500-$D$14))/2</f>
      </c>
      <c r="W1500" s="7">
        <f>($B$22*I1500^4+$C$22*I1500^3+$D$22*I1500^2+$E$22*I1500+$F$22)/2</f>
      </c>
      <c r="X1500" s="7">
        <f>($W1500)*(T1500)</f>
      </c>
      <c r="Y1500" s="7">
        <f>($W1500)*(U1500)</f>
      </c>
      <c r="Z1500" s="7">
        <f>SQRT(X1500^2+Y1500^2)</f>
      </c>
      <c r="AA1500" s="7">
        <f>$K1500+$X1500</f>
      </c>
      <c r="AB1500" s="7">
        <f>$L1500+$Y1500</f>
      </c>
      <c r="AC1500" s="7">
        <f>$K1500-$X1500</f>
      </c>
      <c r="AD1500" s="7">
        <f>$L1500-$Y1500</f>
      </c>
      <c r="AE1500" s="7">
        <f>AA1500/39.3701</f>
      </c>
      <c r="AF1500" s="7">
        <f>AB1500/39.3701</f>
      </c>
      <c r="AG1500" s="7">
        <f>AC1500/39.3701</f>
      </c>
      <c r="AH1500" s="7">
        <f>AD1500/39.3701</f>
      </c>
      <c r="AI1500" s="1"/>
      <c r="AJ1500" s="1"/>
      <c r="AK1500" s="1"/>
      <c r="AL1500" s="1"/>
      <c r="AM1500" s="2"/>
      <c r="AN1500" s="1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  <c r="BA1500" s="1"/>
      <c r="BB1500" s="1"/>
      <c r="BC1500" s="1"/>
      <c r="BD1500" s="1"/>
      <c r="BE1500" s="1"/>
    </row>
    <row x14ac:dyDescent="0.25" r="1501" customHeight="1" ht="18.75">
      <c r="A1501" s="1"/>
      <c r="B1501" s="2"/>
      <c r="C1501" s="2"/>
      <c r="D1501" s="2"/>
      <c r="E1501" s="2"/>
      <c r="F1501" s="2"/>
      <c r="G1501" s="1"/>
      <c r="H1501" s="1"/>
      <c r="I1501" s="7">
        <v>1.498</v>
      </c>
      <c r="J1501" s="7">
        <f>IF((I1501-ROUNDDOWN(I1501,0))=0, 0, (I1501-ROUNDDOWN(I1501,0)))</f>
      </c>
      <c r="K1501" s="7">
        <f>INDIRECT("C$"&amp;2+MIN(2,ROUNDDOWN(I1501,0))*3)*(-$J1501^3+3*$J1501^2-3*$J1501+1)+INDIRECT("C$"&amp;3+MIN(2,ROUNDDOWN(I1501,0))*3)*(3*$J1501^3-6*$J1501^2+3*$J1501)+INDIRECT("C$"&amp;4+MIN(2,ROUNDDOWN(I1501,0))*3)*(-3*$J1501^3+3*$J1501^2)+INDIRECT("C$"&amp;5+MIN(2,ROUNDDOWN(I1501,0))*3)*$J1501^3</f>
      </c>
      <c r="L1501" s="7">
        <f>INDIRECT("D$"&amp;2+MIN(2,ROUNDDOWN(I1501,0))*3)*(-$J1501^3+3*$J1501^2-3*$J1501+1)+INDIRECT("D$"&amp;3+MIN(2,ROUNDDOWN(I1501,0))*3)*(3*$J1501^3-6*$J1501^2+3*$J1501)+INDIRECT("D$"&amp;4+MIN(2,ROUNDDOWN(I1501,0))*3)*(-3*$J1501^3+3*$J1501^2)+INDIRECT("D$"&amp;5+MIN(2,ROUNDDOWN(I1501,0))*3)*$J1501^3</f>
      </c>
      <c r="M1501" s="7">
        <f>SQRT(K1501^2+L1501^2)</f>
      </c>
      <c r="N1501" s="7">
        <f>(K1502-K1500)</f>
      </c>
      <c r="O1501" s="7">
        <f>+(L1502-L1500)</f>
      </c>
      <c r="P1501" s="7">
        <f>SQRT(O1501^2+N1501^2)</f>
      </c>
      <c r="Q1501" s="7">
        <f>N1501/$P1501</f>
      </c>
      <c r="R1501" s="7">
        <f>O1501/$P1501</f>
      </c>
      <c r="S1501" s="8">
        <f>Q1501^2+R1501^2</f>
      </c>
      <c r="T1501" s="7">
        <f>-R1501</f>
      </c>
      <c r="U1501" s="7">
        <f>Q1501</f>
      </c>
      <c r="V1501" s="7">
        <f>($C$14+($C$15-$C$14)/($D$15-$D$14)*(I1501-$D$14))/2</f>
      </c>
      <c r="W1501" s="7">
        <f>($B$22*I1501^4+$C$22*I1501^3+$D$22*I1501^2+$E$22*I1501+$F$22)/2</f>
      </c>
      <c r="X1501" s="7">
        <f>($W1501)*(T1501)</f>
      </c>
      <c r="Y1501" s="7">
        <f>($W1501)*(U1501)</f>
      </c>
      <c r="Z1501" s="7">
        <f>SQRT(X1501^2+Y1501^2)</f>
      </c>
      <c r="AA1501" s="7">
        <f>$K1501+$X1501</f>
      </c>
      <c r="AB1501" s="7">
        <f>$L1501+$Y1501</f>
      </c>
      <c r="AC1501" s="7">
        <f>$K1501-$X1501</f>
      </c>
      <c r="AD1501" s="7">
        <f>$L1501-$Y1501</f>
      </c>
      <c r="AE1501" s="7">
        <f>AA1501/39.3701</f>
      </c>
      <c r="AF1501" s="7">
        <f>AB1501/39.3701</f>
      </c>
      <c r="AG1501" s="7">
        <f>AC1501/39.3701</f>
      </c>
      <c r="AH1501" s="7">
        <f>AD1501/39.3701</f>
      </c>
      <c r="AI1501" s="1"/>
      <c r="AJ1501" s="1"/>
      <c r="AK1501" s="1"/>
      <c r="AL1501" s="1"/>
      <c r="AM1501" s="2"/>
      <c r="AN1501" s="1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  <c r="BA1501" s="1"/>
      <c r="BB1501" s="1"/>
      <c r="BC1501" s="1"/>
      <c r="BD1501" s="1"/>
      <c r="BE1501" s="1"/>
    </row>
    <row x14ac:dyDescent="0.25" r="1502" customHeight="1" ht="18.75">
      <c r="A1502" s="1"/>
      <c r="B1502" s="2"/>
      <c r="C1502" s="2"/>
      <c r="D1502" s="2"/>
      <c r="E1502" s="2"/>
      <c r="F1502" s="2"/>
      <c r="G1502" s="1"/>
      <c r="H1502" s="1"/>
      <c r="I1502" s="7">
        <v>1.499</v>
      </c>
      <c r="J1502" s="7">
        <f>IF((I1502-ROUNDDOWN(I1502,0))=0, 0, (I1502-ROUNDDOWN(I1502,0)))</f>
      </c>
      <c r="K1502" s="7">
        <f>INDIRECT("C$"&amp;2+MIN(2,ROUNDDOWN(I1502,0))*3)*(-$J1502^3+3*$J1502^2-3*$J1502+1)+INDIRECT("C$"&amp;3+MIN(2,ROUNDDOWN(I1502,0))*3)*(3*$J1502^3-6*$J1502^2+3*$J1502)+INDIRECT("C$"&amp;4+MIN(2,ROUNDDOWN(I1502,0))*3)*(-3*$J1502^3+3*$J1502^2)+INDIRECT("C$"&amp;5+MIN(2,ROUNDDOWN(I1502,0))*3)*$J1502^3</f>
      </c>
      <c r="L1502" s="7">
        <f>INDIRECT("D$"&amp;2+MIN(2,ROUNDDOWN(I1502,0))*3)*(-$J1502^3+3*$J1502^2-3*$J1502+1)+INDIRECT("D$"&amp;3+MIN(2,ROUNDDOWN(I1502,0))*3)*(3*$J1502^3-6*$J1502^2+3*$J1502)+INDIRECT("D$"&amp;4+MIN(2,ROUNDDOWN(I1502,0))*3)*(-3*$J1502^3+3*$J1502^2)+INDIRECT("D$"&amp;5+MIN(2,ROUNDDOWN(I1502,0))*3)*$J1502^3</f>
      </c>
      <c r="M1502" s="7">
        <f>SQRT(K1502^2+L1502^2)</f>
      </c>
      <c r="N1502" s="7">
        <f>(K1503-K1501)</f>
      </c>
      <c r="O1502" s="7">
        <f>+(L1503-L1501)</f>
      </c>
      <c r="P1502" s="7">
        <f>SQRT(O1502^2+N1502^2)</f>
      </c>
      <c r="Q1502" s="7">
        <f>N1502/$P1502</f>
      </c>
      <c r="R1502" s="7">
        <f>O1502/$P1502</f>
      </c>
      <c r="S1502" s="7">
        <f>Q1502^2+R1502^2</f>
      </c>
      <c r="T1502" s="7">
        <f>-R1502</f>
      </c>
      <c r="U1502" s="7">
        <f>Q1502</f>
      </c>
      <c r="V1502" s="7">
        <f>($C$14+($C$15-$C$14)/($D$15-$D$14)*(I1502-$D$14))/2</f>
      </c>
      <c r="W1502" s="7">
        <f>($B$22*I1502^4+$C$22*I1502^3+$D$22*I1502^2+$E$22*I1502+$F$22)/2</f>
      </c>
      <c r="X1502" s="7">
        <f>($W1502)*(T1502)</f>
      </c>
      <c r="Y1502" s="7">
        <f>($W1502)*(U1502)</f>
      </c>
      <c r="Z1502" s="7">
        <f>SQRT(X1502^2+Y1502^2)</f>
      </c>
      <c r="AA1502" s="7">
        <f>$K1502+$X1502</f>
      </c>
      <c r="AB1502" s="7">
        <f>$L1502+$Y1502</f>
      </c>
      <c r="AC1502" s="7">
        <f>$K1502-$X1502</f>
      </c>
      <c r="AD1502" s="7">
        <f>$L1502-$Y1502</f>
      </c>
      <c r="AE1502" s="7">
        <f>AA1502/39.3701</f>
      </c>
      <c r="AF1502" s="7">
        <f>AB1502/39.3701</f>
      </c>
      <c r="AG1502" s="7">
        <f>AC1502/39.3701</f>
      </c>
      <c r="AH1502" s="7">
        <f>AD1502/39.3701</f>
      </c>
      <c r="AI1502" s="1"/>
      <c r="AJ1502" s="1"/>
      <c r="AK1502" s="1"/>
      <c r="AL1502" s="1"/>
      <c r="AM1502" s="2"/>
      <c r="AN1502" s="1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  <c r="BA1502" s="1"/>
      <c r="BB1502" s="1"/>
      <c r="BC1502" s="1"/>
      <c r="BD1502" s="1"/>
      <c r="BE1502" s="1"/>
    </row>
    <row x14ac:dyDescent="0.25" r="1503" customHeight="1" ht="18.75">
      <c r="A1503" s="1"/>
      <c r="B1503" s="2"/>
      <c r="C1503" s="2"/>
      <c r="D1503" s="2"/>
      <c r="E1503" s="2"/>
      <c r="F1503" s="2"/>
      <c r="G1503" s="1"/>
      <c r="H1503" s="1"/>
      <c r="I1503" s="7">
        <v>1.5</v>
      </c>
      <c r="J1503" s="7">
        <f>IF((I1503-ROUNDDOWN(I1503,0))=0, 0, (I1503-ROUNDDOWN(I1503,0)))</f>
      </c>
      <c r="K1503" s="7">
        <f>INDIRECT("C$"&amp;2+MIN(2,ROUNDDOWN(I1503,0))*3)*(-$J1503^3+3*$J1503^2-3*$J1503+1)+INDIRECT("C$"&amp;3+MIN(2,ROUNDDOWN(I1503,0))*3)*(3*$J1503^3-6*$J1503^2+3*$J1503)+INDIRECT("C$"&amp;4+MIN(2,ROUNDDOWN(I1503,0))*3)*(-3*$J1503^3+3*$J1503^2)+INDIRECT("C$"&amp;5+MIN(2,ROUNDDOWN(I1503,0))*3)*$J1503^3</f>
      </c>
      <c r="L1503" s="7">
        <f>INDIRECT("D$"&amp;2+MIN(2,ROUNDDOWN(I1503,0))*3)*(-$J1503^3+3*$J1503^2-3*$J1503+1)+INDIRECT("D$"&amp;3+MIN(2,ROUNDDOWN(I1503,0))*3)*(3*$J1503^3-6*$J1503^2+3*$J1503)+INDIRECT("D$"&amp;4+MIN(2,ROUNDDOWN(I1503,0))*3)*(-3*$J1503^3+3*$J1503^2)+INDIRECT("D$"&amp;5+MIN(2,ROUNDDOWN(I1503,0))*3)*$J1503^3</f>
      </c>
      <c r="M1503" s="7">
        <f>SQRT(K1503^2+L1503^2)</f>
      </c>
      <c r="N1503" s="7">
        <f>(K1504-K1502)</f>
      </c>
      <c r="O1503" s="7">
        <f>+(L1504-L1502)</f>
      </c>
      <c r="P1503" s="7">
        <f>SQRT(O1503^2+N1503^2)</f>
      </c>
      <c r="Q1503" s="7">
        <f>N1503/$P1503</f>
      </c>
      <c r="R1503" s="7">
        <f>O1503/$P1503</f>
      </c>
      <c r="S1503" s="8">
        <f>Q1503^2+R1503^2</f>
      </c>
      <c r="T1503" s="7">
        <f>-R1503</f>
      </c>
      <c r="U1503" s="7">
        <f>Q1503</f>
      </c>
      <c r="V1503" s="7">
        <f>($C$14+($C$15-$C$14)/($D$15-$D$14)*(I1503-$D$14))/2</f>
      </c>
      <c r="W1503" s="7">
        <f>($B$22*I1503^4+$C$22*I1503^3+$D$22*I1503^2+$E$22*I1503+$F$22)/2</f>
      </c>
      <c r="X1503" s="7">
        <f>($W1503)*(T1503)</f>
      </c>
      <c r="Y1503" s="7">
        <f>($W1503)*(U1503)</f>
      </c>
      <c r="Z1503" s="7">
        <f>SQRT(X1503^2+Y1503^2)</f>
      </c>
      <c r="AA1503" s="7">
        <f>$K1503+$X1503</f>
      </c>
      <c r="AB1503" s="7">
        <f>$L1503+$Y1503</f>
      </c>
      <c r="AC1503" s="7">
        <f>$K1503-$X1503</f>
      </c>
      <c r="AD1503" s="7">
        <f>$L1503-$Y1503</f>
      </c>
      <c r="AE1503" s="7">
        <f>AA1503/39.3701</f>
      </c>
      <c r="AF1503" s="7">
        <f>AB1503/39.3701</f>
      </c>
      <c r="AG1503" s="7">
        <f>AC1503/39.3701</f>
      </c>
      <c r="AH1503" s="7">
        <f>AD1503/39.3701</f>
      </c>
      <c r="AI1503" s="1"/>
      <c r="AJ1503" s="1"/>
      <c r="AK1503" s="1"/>
      <c r="AL1503" s="1"/>
      <c r="AM1503" s="2"/>
      <c r="AN1503" s="1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  <c r="BA1503" s="1"/>
      <c r="BB1503" s="1"/>
      <c r="BC1503" s="1"/>
      <c r="BD1503" s="1"/>
      <c r="BE1503" s="1"/>
    </row>
    <row x14ac:dyDescent="0.25" r="1504" customHeight="1" ht="18.75">
      <c r="A1504" s="1"/>
      <c r="B1504" s="2"/>
      <c r="C1504" s="2"/>
      <c r="D1504" s="2"/>
      <c r="E1504" s="2"/>
      <c r="F1504" s="2"/>
      <c r="G1504" s="1"/>
      <c r="H1504" s="1"/>
      <c r="I1504" s="7">
        <v>1.501</v>
      </c>
      <c r="J1504" s="7">
        <f>IF((I1504-ROUNDDOWN(I1504,0))=0, 0, (I1504-ROUNDDOWN(I1504,0)))</f>
      </c>
      <c r="K1504" s="7">
        <f>INDIRECT("C$"&amp;2+MIN(2,ROUNDDOWN(I1504,0))*3)*(-$J1504^3+3*$J1504^2-3*$J1504+1)+INDIRECT("C$"&amp;3+MIN(2,ROUNDDOWN(I1504,0))*3)*(3*$J1504^3-6*$J1504^2+3*$J1504)+INDIRECT("C$"&amp;4+MIN(2,ROUNDDOWN(I1504,0))*3)*(-3*$J1504^3+3*$J1504^2)+INDIRECT("C$"&amp;5+MIN(2,ROUNDDOWN(I1504,0))*3)*$J1504^3</f>
      </c>
      <c r="L1504" s="7">
        <f>INDIRECT("D$"&amp;2+MIN(2,ROUNDDOWN(I1504,0))*3)*(-$J1504^3+3*$J1504^2-3*$J1504+1)+INDIRECT("D$"&amp;3+MIN(2,ROUNDDOWN(I1504,0))*3)*(3*$J1504^3-6*$J1504^2+3*$J1504)+INDIRECT("D$"&amp;4+MIN(2,ROUNDDOWN(I1504,0))*3)*(-3*$J1504^3+3*$J1504^2)+INDIRECT("D$"&amp;5+MIN(2,ROUNDDOWN(I1504,0))*3)*$J1504^3</f>
      </c>
      <c r="M1504" s="7">
        <f>SQRT(K1504^2+L1504^2)</f>
      </c>
      <c r="N1504" s="7">
        <f>(K1505-K1503)</f>
      </c>
      <c r="O1504" s="7">
        <f>+(L1505-L1503)</f>
      </c>
      <c r="P1504" s="7">
        <f>SQRT(O1504^2+N1504^2)</f>
      </c>
      <c r="Q1504" s="7">
        <f>N1504/$P1504</f>
      </c>
      <c r="R1504" s="7">
        <f>O1504/$P1504</f>
      </c>
      <c r="S1504" s="8">
        <f>Q1504^2+R1504^2</f>
      </c>
      <c r="T1504" s="7">
        <f>-R1504</f>
      </c>
      <c r="U1504" s="7">
        <f>Q1504</f>
      </c>
      <c r="V1504" s="7">
        <f>($C$14+($C$15-$C$14)/($D$15-$D$14)*(I1504-$D$14))/2</f>
      </c>
      <c r="W1504" s="7">
        <f>($B$22*I1504^4+$C$22*I1504^3+$D$22*I1504^2+$E$22*I1504+$F$22)/2</f>
      </c>
      <c r="X1504" s="7">
        <f>($W1504)*(T1504)</f>
      </c>
      <c r="Y1504" s="7">
        <f>($W1504)*(U1504)</f>
      </c>
      <c r="Z1504" s="7">
        <f>SQRT(X1504^2+Y1504^2)</f>
      </c>
      <c r="AA1504" s="7">
        <f>$K1504+$X1504</f>
      </c>
      <c r="AB1504" s="7">
        <f>$L1504+$Y1504</f>
      </c>
      <c r="AC1504" s="7">
        <f>$K1504-$X1504</f>
      </c>
      <c r="AD1504" s="7">
        <f>$L1504-$Y1504</f>
      </c>
      <c r="AE1504" s="7">
        <f>AA1504/39.3701</f>
      </c>
      <c r="AF1504" s="7">
        <f>AB1504/39.3701</f>
      </c>
      <c r="AG1504" s="7">
        <f>AC1504/39.3701</f>
      </c>
      <c r="AH1504" s="7">
        <f>AD1504/39.3701</f>
      </c>
      <c r="AI1504" s="1"/>
      <c r="AJ1504" s="1"/>
      <c r="AK1504" s="1"/>
      <c r="AL1504" s="1"/>
      <c r="AM1504" s="2"/>
      <c r="AN1504" s="1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  <c r="BA1504" s="1"/>
      <c r="BB1504" s="1"/>
      <c r="BC1504" s="1"/>
      <c r="BD1504" s="1"/>
      <c r="BE1504" s="1"/>
    </row>
    <row x14ac:dyDescent="0.25" r="1505" customHeight="1" ht="18.75">
      <c r="A1505" s="1"/>
      <c r="B1505" s="2"/>
      <c r="C1505" s="2"/>
      <c r="D1505" s="2"/>
      <c r="E1505" s="2"/>
      <c r="F1505" s="2"/>
      <c r="G1505" s="1"/>
      <c r="H1505" s="1"/>
      <c r="I1505" s="7">
        <v>1.502</v>
      </c>
      <c r="J1505" s="7">
        <f>IF((I1505-ROUNDDOWN(I1505,0))=0, 0, (I1505-ROUNDDOWN(I1505,0)))</f>
      </c>
      <c r="K1505" s="7">
        <f>INDIRECT("C$"&amp;2+MIN(2,ROUNDDOWN(I1505,0))*3)*(-$J1505^3+3*$J1505^2-3*$J1505+1)+INDIRECT("C$"&amp;3+MIN(2,ROUNDDOWN(I1505,0))*3)*(3*$J1505^3-6*$J1505^2+3*$J1505)+INDIRECT("C$"&amp;4+MIN(2,ROUNDDOWN(I1505,0))*3)*(-3*$J1505^3+3*$J1505^2)+INDIRECT("C$"&amp;5+MIN(2,ROUNDDOWN(I1505,0))*3)*$J1505^3</f>
      </c>
      <c r="L1505" s="7">
        <f>INDIRECT("D$"&amp;2+MIN(2,ROUNDDOWN(I1505,0))*3)*(-$J1505^3+3*$J1505^2-3*$J1505+1)+INDIRECT("D$"&amp;3+MIN(2,ROUNDDOWN(I1505,0))*3)*(3*$J1505^3-6*$J1505^2+3*$J1505)+INDIRECT("D$"&amp;4+MIN(2,ROUNDDOWN(I1505,0))*3)*(-3*$J1505^3+3*$J1505^2)+INDIRECT("D$"&amp;5+MIN(2,ROUNDDOWN(I1505,0))*3)*$J1505^3</f>
      </c>
      <c r="M1505" s="7">
        <f>SQRT(K1505^2+L1505^2)</f>
      </c>
      <c r="N1505" s="7">
        <f>(K1506-K1504)</f>
      </c>
      <c r="O1505" s="7">
        <f>+(L1506-L1504)</f>
      </c>
      <c r="P1505" s="7">
        <f>SQRT(O1505^2+N1505^2)</f>
      </c>
      <c r="Q1505" s="7">
        <f>N1505/$P1505</f>
      </c>
      <c r="R1505" s="7">
        <f>O1505/$P1505</f>
      </c>
      <c r="S1505" s="8">
        <f>Q1505^2+R1505^2</f>
      </c>
      <c r="T1505" s="7">
        <f>-R1505</f>
      </c>
      <c r="U1505" s="7">
        <f>Q1505</f>
      </c>
      <c r="V1505" s="7">
        <f>($C$14+($C$15-$C$14)/($D$15-$D$14)*(I1505-$D$14))/2</f>
      </c>
      <c r="W1505" s="7">
        <f>($B$22*I1505^4+$C$22*I1505^3+$D$22*I1505^2+$E$22*I1505+$F$22)/2</f>
      </c>
      <c r="X1505" s="7">
        <f>($W1505)*(T1505)</f>
      </c>
      <c r="Y1505" s="7">
        <f>($W1505)*(U1505)</f>
      </c>
      <c r="Z1505" s="7">
        <f>SQRT(X1505^2+Y1505^2)</f>
      </c>
      <c r="AA1505" s="7">
        <f>$K1505+$X1505</f>
      </c>
      <c r="AB1505" s="7">
        <f>$L1505+$Y1505</f>
      </c>
      <c r="AC1505" s="7">
        <f>$K1505-$X1505</f>
      </c>
      <c r="AD1505" s="7">
        <f>$L1505-$Y1505</f>
      </c>
      <c r="AE1505" s="7">
        <f>AA1505/39.3701</f>
      </c>
      <c r="AF1505" s="7">
        <f>AB1505/39.3701</f>
      </c>
      <c r="AG1505" s="7">
        <f>AC1505/39.3701</f>
      </c>
      <c r="AH1505" s="7">
        <f>AD1505/39.3701</f>
      </c>
      <c r="AI1505" s="1"/>
      <c r="AJ1505" s="1"/>
      <c r="AK1505" s="1"/>
      <c r="AL1505" s="1"/>
      <c r="AM1505" s="2"/>
      <c r="AN1505" s="1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  <c r="BA1505" s="1"/>
      <c r="BB1505" s="1"/>
      <c r="BC1505" s="1"/>
      <c r="BD1505" s="1"/>
      <c r="BE1505" s="1"/>
    </row>
    <row x14ac:dyDescent="0.25" r="1506" customHeight="1" ht="18.75">
      <c r="A1506" s="1"/>
      <c r="B1506" s="2"/>
      <c r="C1506" s="2"/>
      <c r="D1506" s="2"/>
      <c r="E1506" s="2"/>
      <c r="F1506" s="2"/>
      <c r="G1506" s="1"/>
      <c r="H1506" s="1"/>
      <c r="I1506" s="7">
        <v>1.503</v>
      </c>
      <c r="J1506" s="7">
        <f>IF((I1506-ROUNDDOWN(I1506,0))=0, 0, (I1506-ROUNDDOWN(I1506,0)))</f>
      </c>
      <c r="K1506" s="7">
        <f>INDIRECT("C$"&amp;2+MIN(2,ROUNDDOWN(I1506,0))*3)*(-$J1506^3+3*$J1506^2-3*$J1506+1)+INDIRECT("C$"&amp;3+MIN(2,ROUNDDOWN(I1506,0))*3)*(3*$J1506^3-6*$J1506^2+3*$J1506)+INDIRECT("C$"&amp;4+MIN(2,ROUNDDOWN(I1506,0))*3)*(-3*$J1506^3+3*$J1506^2)+INDIRECT("C$"&amp;5+MIN(2,ROUNDDOWN(I1506,0))*3)*$J1506^3</f>
      </c>
      <c r="L1506" s="7">
        <f>INDIRECT("D$"&amp;2+MIN(2,ROUNDDOWN(I1506,0))*3)*(-$J1506^3+3*$J1506^2-3*$J1506+1)+INDIRECT("D$"&amp;3+MIN(2,ROUNDDOWN(I1506,0))*3)*(3*$J1506^3-6*$J1506^2+3*$J1506)+INDIRECT("D$"&amp;4+MIN(2,ROUNDDOWN(I1506,0))*3)*(-3*$J1506^3+3*$J1506^2)+INDIRECT("D$"&amp;5+MIN(2,ROUNDDOWN(I1506,0))*3)*$J1506^3</f>
      </c>
      <c r="M1506" s="7">
        <f>SQRT(K1506^2+L1506^2)</f>
      </c>
      <c r="N1506" s="7">
        <f>(K1507-K1505)</f>
      </c>
      <c r="O1506" s="7">
        <f>+(L1507-L1505)</f>
      </c>
      <c r="P1506" s="7">
        <f>SQRT(O1506^2+N1506^2)</f>
      </c>
      <c r="Q1506" s="7">
        <f>N1506/$P1506</f>
      </c>
      <c r="R1506" s="7">
        <f>O1506/$P1506</f>
      </c>
      <c r="S1506" s="8">
        <f>Q1506^2+R1506^2</f>
      </c>
      <c r="T1506" s="7">
        <f>-R1506</f>
      </c>
      <c r="U1506" s="7">
        <f>Q1506</f>
      </c>
      <c r="V1506" s="7">
        <f>($C$14+($C$15-$C$14)/($D$15-$D$14)*(I1506-$D$14))/2</f>
      </c>
      <c r="W1506" s="7">
        <f>($B$22*I1506^4+$C$22*I1506^3+$D$22*I1506^2+$E$22*I1506+$F$22)/2</f>
      </c>
      <c r="X1506" s="7">
        <f>($W1506)*(T1506)</f>
      </c>
      <c r="Y1506" s="7">
        <f>($W1506)*(U1506)</f>
      </c>
      <c r="Z1506" s="7">
        <f>SQRT(X1506^2+Y1506^2)</f>
      </c>
      <c r="AA1506" s="7">
        <f>$K1506+$X1506</f>
      </c>
      <c r="AB1506" s="7">
        <f>$L1506+$Y1506</f>
      </c>
      <c r="AC1506" s="7">
        <f>$K1506-$X1506</f>
      </c>
      <c r="AD1506" s="7">
        <f>$L1506-$Y1506</f>
      </c>
      <c r="AE1506" s="7">
        <f>AA1506/39.3701</f>
      </c>
      <c r="AF1506" s="7">
        <f>AB1506/39.3701</f>
      </c>
      <c r="AG1506" s="7">
        <f>AC1506/39.3701</f>
      </c>
      <c r="AH1506" s="7">
        <f>AD1506/39.3701</f>
      </c>
      <c r="AI1506" s="1"/>
      <c r="AJ1506" s="1"/>
      <c r="AK1506" s="1"/>
      <c r="AL1506" s="1"/>
      <c r="AM1506" s="2"/>
      <c r="AN1506" s="1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  <c r="BA1506" s="1"/>
      <c r="BB1506" s="1"/>
      <c r="BC1506" s="1"/>
      <c r="BD1506" s="1"/>
      <c r="BE1506" s="1"/>
    </row>
    <row x14ac:dyDescent="0.25" r="1507" customHeight="1" ht="18.75">
      <c r="A1507" s="1"/>
      <c r="B1507" s="2"/>
      <c r="C1507" s="2"/>
      <c r="D1507" s="2"/>
      <c r="E1507" s="2"/>
      <c r="F1507" s="2"/>
      <c r="G1507" s="1"/>
      <c r="H1507" s="1"/>
      <c r="I1507" s="7">
        <v>1.504</v>
      </c>
      <c r="J1507" s="7">
        <f>IF((I1507-ROUNDDOWN(I1507,0))=0, 0, (I1507-ROUNDDOWN(I1507,0)))</f>
      </c>
      <c r="K1507" s="7">
        <f>INDIRECT("C$"&amp;2+MIN(2,ROUNDDOWN(I1507,0))*3)*(-$J1507^3+3*$J1507^2-3*$J1507+1)+INDIRECT("C$"&amp;3+MIN(2,ROUNDDOWN(I1507,0))*3)*(3*$J1507^3-6*$J1507^2+3*$J1507)+INDIRECT("C$"&amp;4+MIN(2,ROUNDDOWN(I1507,0))*3)*(-3*$J1507^3+3*$J1507^2)+INDIRECT("C$"&amp;5+MIN(2,ROUNDDOWN(I1507,0))*3)*$J1507^3</f>
      </c>
      <c r="L1507" s="7">
        <f>INDIRECT("D$"&amp;2+MIN(2,ROUNDDOWN(I1507,0))*3)*(-$J1507^3+3*$J1507^2-3*$J1507+1)+INDIRECT("D$"&amp;3+MIN(2,ROUNDDOWN(I1507,0))*3)*(3*$J1507^3-6*$J1507^2+3*$J1507)+INDIRECT("D$"&amp;4+MIN(2,ROUNDDOWN(I1507,0))*3)*(-3*$J1507^3+3*$J1507^2)+INDIRECT("D$"&amp;5+MIN(2,ROUNDDOWN(I1507,0))*3)*$J1507^3</f>
      </c>
      <c r="M1507" s="7">
        <f>SQRT(K1507^2+L1507^2)</f>
      </c>
      <c r="N1507" s="7">
        <f>(K1508-K1506)</f>
      </c>
      <c r="O1507" s="7">
        <f>+(L1508-L1506)</f>
      </c>
      <c r="P1507" s="7">
        <f>SQRT(O1507^2+N1507^2)</f>
      </c>
      <c r="Q1507" s="7">
        <f>N1507/$P1507</f>
      </c>
      <c r="R1507" s="7">
        <f>O1507/$P1507</f>
      </c>
      <c r="S1507" s="8">
        <f>Q1507^2+R1507^2</f>
      </c>
      <c r="T1507" s="7">
        <f>-R1507</f>
      </c>
      <c r="U1507" s="7">
        <f>Q1507</f>
      </c>
      <c r="V1507" s="7">
        <f>($C$14+($C$15-$C$14)/($D$15-$D$14)*(I1507-$D$14))/2</f>
      </c>
      <c r="W1507" s="7">
        <f>($B$22*I1507^4+$C$22*I1507^3+$D$22*I1507^2+$E$22*I1507+$F$22)/2</f>
      </c>
      <c r="X1507" s="7">
        <f>($W1507)*(T1507)</f>
      </c>
      <c r="Y1507" s="7">
        <f>($W1507)*(U1507)</f>
      </c>
      <c r="Z1507" s="7">
        <f>SQRT(X1507^2+Y1507^2)</f>
      </c>
      <c r="AA1507" s="7">
        <f>$K1507+$X1507</f>
      </c>
      <c r="AB1507" s="7">
        <f>$L1507+$Y1507</f>
      </c>
      <c r="AC1507" s="7">
        <f>$K1507-$X1507</f>
      </c>
      <c r="AD1507" s="7">
        <f>$L1507-$Y1507</f>
      </c>
      <c r="AE1507" s="7">
        <f>AA1507/39.3701</f>
      </c>
      <c r="AF1507" s="7">
        <f>AB1507/39.3701</f>
      </c>
      <c r="AG1507" s="7">
        <f>AC1507/39.3701</f>
      </c>
      <c r="AH1507" s="7">
        <f>AD1507/39.3701</f>
      </c>
      <c r="AI1507" s="1"/>
      <c r="AJ1507" s="1"/>
      <c r="AK1507" s="1"/>
      <c r="AL1507" s="1"/>
      <c r="AM1507" s="2"/>
      <c r="AN1507" s="1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  <c r="BA1507" s="1"/>
      <c r="BB1507" s="1"/>
      <c r="BC1507" s="1"/>
      <c r="BD1507" s="1"/>
      <c r="BE1507" s="1"/>
    </row>
    <row x14ac:dyDescent="0.25" r="1508" customHeight="1" ht="18.75">
      <c r="A1508" s="1"/>
      <c r="B1508" s="2"/>
      <c r="C1508" s="2"/>
      <c r="D1508" s="2"/>
      <c r="E1508" s="2"/>
      <c r="F1508" s="2"/>
      <c r="G1508" s="1"/>
      <c r="H1508" s="1"/>
      <c r="I1508" s="7">
        <v>1.505</v>
      </c>
      <c r="J1508" s="7">
        <f>IF((I1508-ROUNDDOWN(I1508,0))=0, 0, (I1508-ROUNDDOWN(I1508,0)))</f>
      </c>
      <c r="K1508" s="7">
        <f>INDIRECT("C$"&amp;2+MIN(2,ROUNDDOWN(I1508,0))*3)*(-$J1508^3+3*$J1508^2-3*$J1508+1)+INDIRECT("C$"&amp;3+MIN(2,ROUNDDOWN(I1508,0))*3)*(3*$J1508^3-6*$J1508^2+3*$J1508)+INDIRECT("C$"&amp;4+MIN(2,ROUNDDOWN(I1508,0))*3)*(-3*$J1508^3+3*$J1508^2)+INDIRECT("C$"&amp;5+MIN(2,ROUNDDOWN(I1508,0))*3)*$J1508^3</f>
      </c>
      <c r="L1508" s="7">
        <f>INDIRECT("D$"&amp;2+MIN(2,ROUNDDOWN(I1508,0))*3)*(-$J1508^3+3*$J1508^2-3*$J1508+1)+INDIRECT("D$"&amp;3+MIN(2,ROUNDDOWN(I1508,0))*3)*(3*$J1508^3-6*$J1508^2+3*$J1508)+INDIRECT("D$"&amp;4+MIN(2,ROUNDDOWN(I1508,0))*3)*(-3*$J1508^3+3*$J1508^2)+INDIRECT("D$"&amp;5+MIN(2,ROUNDDOWN(I1508,0))*3)*$J1508^3</f>
      </c>
      <c r="M1508" s="7">
        <f>SQRT(K1508^2+L1508^2)</f>
      </c>
      <c r="N1508" s="7">
        <f>(K1509-K1507)</f>
      </c>
      <c r="O1508" s="7">
        <f>+(L1509-L1507)</f>
      </c>
      <c r="P1508" s="7">
        <f>SQRT(O1508^2+N1508^2)</f>
      </c>
      <c r="Q1508" s="7">
        <f>N1508/$P1508</f>
      </c>
      <c r="R1508" s="7">
        <f>O1508/$P1508</f>
      </c>
      <c r="S1508" s="7">
        <f>Q1508^2+R1508^2</f>
      </c>
      <c r="T1508" s="7">
        <f>-R1508</f>
      </c>
      <c r="U1508" s="7">
        <f>Q1508</f>
      </c>
      <c r="V1508" s="7">
        <f>($C$14+($C$15-$C$14)/($D$15-$D$14)*(I1508-$D$14))/2</f>
      </c>
      <c r="W1508" s="7">
        <f>($B$22*I1508^4+$C$22*I1508^3+$D$22*I1508^2+$E$22*I1508+$F$22)/2</f>
      </c>
      <c r="X1508" s="7">
        <f>($W1508)*(T1508)</f>
      </c>
      <c r="Y1508" s="7">
        <f>($W1508)*(U1508)</f>
      </c>
      <c r="Z1508" s="7">
        <f>SQRT(X1508^2+Y1508^2)</f>
      </c>
      <c r="AA1508" s="7">
        <f>$K1508+$X1508</f>
      </c>
      <c r="AB1508" s="7">
        <f>$L1508+$Y1508</f>
      </c>
      <c r="AC1508" s="7">
        <f>$K1508-$X1508</f>
      </c>
      <c r="AD1508" s="7">
        <f>$L1508-$Y1508</f>
      </c>
      <c r="AE1508" s="7">
        <f>AA1508/39.3701</f>
      </c>
      <c r="AF1508" s="7">
        <f>AB1508/39.3701</f>
      </c>
      <c r="AG1508" s="7">
        <f>AC1508/39.3701</f>
      </c>
      <c r="AH1508" s="7">
        <f>AD1508/39.3701</f>
      </c>
      <c r="AI1508" s="1"/>
      <c r="AJ1508" s="1"/>
      <c r="AK1508" s="1"/>
      <c r="AL1508" s="1"/>
      <c r="AM1508" s="2"/>
      <c r="AN1508" s="1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  <c r="BA1508" s="1"/>
      <c r="BB1508" s="1"/>
      <c r="BC1508" s="1"/>
      <c r="BD1508" s="1"/>
      <c r="BE1508" s="1"/>
    </row>
    <row x14ac:dyDescent="0.25" r="1509" customHeight="1" ht="18.75">
      <c r="A1509" s="1"/>
      <c r="B1509" s="2"/>
      <c r="C1509" s="2"/>
      <c r="D1509" s="2"/>
      <c r="E1509" s="2"/>
      <c r="F1509" s="2"/>
      <c r="G1509" s="1"/>
      <c r="H1509" s="1"/>
      <c r="I1509" s="7">
        <v>1.506</v>
      </c>
      <c r="J1509" s="7">
        <f>IF((I1509-ROUNDDOWN(I1509,0))=0, 0, (I1509-ROUNDDOWN(I1509,0)))</f>
      </c>
      <c r="K1509" s="7">
        <f>INDIRECT("C$"&amp;2+MIN(2,ROUNDDOWN(I1509,0))*3)*(-$J1509^3+3*$J1509^2-3*$J1509+1)+INDIRECT("C$"&amp;3+MIN(2,ROUNDDOWN(I1509,0))*3)*(3*$J1509^3-6*$J1509^2+3*$J1509)+INDIRECT("C$"&amp;4+MIN(2,ROUNDDOWN(I1509,0))*3)*(-3*$J1509^3+3*$J1509^2)+INDIRECT("C$"&amp;5+MIN(2,ROUNDDOWN(I1509,0))*3)*$J1509^3</f>
      </c>
      <c r="L1509" s="7">
        <f>INDIRECT("D$"&amp;2+MIN(2,ROUNDDOWN(I1509,0))*3)*(-$J1509^3+3*$J1509^2-3*$J1509+1)+INDIRECT("D$"&amp;3+MIN(2,ROUNDDOWN(I1509,0))*3)*(3*$J1509^3-6*$J1509^2+3*$J1509)+INDIRECT("D$"&amp;4+MIN(2,ROUNDDOWN(I1509,0))*3)*(-3*$J1509^3+3*$J1509^2)+INDIRECT("D$"&amp;5+MIN(2,ROUNDDOWN(I1509,0))*3)*$J1509^3</f>
      </c>
      <c r="M1509" s="7">
        <f>SQRT(K1509^2+L1509^2)</f>
      </c>
      <c r="N1509" s="7">
        <f>(K1510-K1508)</f>
      </c>
      <c r="O1509" s="7">
        <f>+(L1510-L1508)</f>
      </c>
      <c r="P1509" s="7">
        <f>SQRT(O1509^2+N1509^2)</f>
      </c>
      <c r="Q1509" s="7">
        <f>N1509/$P1509</f>
      </c>
      <c r="R1509" s="7">
        <f>O1509/$P1509</f>
      </c>
      <c r="S1509" s="7">
        <f>Q1509^2+R1509^2</f>
      </c>
      <c r="T1509" s="7">
        <f>-R1509</f>
      </c>
      <c r="U1509" s="7">
        <f>Q1509</f>
      </c>
      <c r="V1509" s="7">
        <f>($C$14+($C$15-$C$14)/($D$15-$D$14)*(I1509-$D$14))/2</f>
      </c>
      <c r="W1509" s="7">
        <f>($B$22*I1509^4+$C$22*I1509^3+$D$22*I1509^2+$E$22*I1509+$F$22)/2</f>
      </c>
      <c r="X1509" s="7">
        <f>($W1509)*(T1509)</f>
      </c>
      <c r="Y1509" s="7">
        <f>($W1509)*(U1509)</f>
      </c>
      <c r="Z1509" s="7">
        <f>SQRT(X1509^2+Y1509^2)</f>
      </c>
      <c r="AA1509" s="7">
        <f>$K1509+$X1509</f>
      </c>
      <c r="AB1509" s="7">
        <f>$L1509+$Y1509</f>
      </c>
      <c r="AC1509" s="7">
        <f>$K1509-$X1509</f>
      </c>
      <c r="AD1509" s="7">
        <f>$L1509-$Y1509</f>
      </c>
      <c r="AE1509" s="7">
        <f>AA1509/39.3701</f>
      </c>
      <c r="AF1509" s="7">
        <f>AB1509/39.3701</f>
      </c>
      <c r="AG1509" s="7">
        <f>AC1509/39.3701</f>
      </c>
      <c r="AH1509" s="7">
        <f>AD1509/39.3701</f>
      </c>
      <c r="AI1509" s="1"/>
      <c r="AJ1509" s="1"/>
      <c r="AK1509" s="1"/>
      <c r="AL1509" s="1"/>
      <c r="AM1509" s="2"/>
      <c r="AN1509" s="1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  <c r="BA1509" s="1"/>
      <c r="BB1509" s="1"/>
      <c r="BC1509" s="1"/>
      <c r="BD1509" s="1"/>
      <c r="BE1509" s="1"/>
    </row>
    <row x14ac:dyDescent="0.25" r="1510" customHeight="1" ht="18.75">
      <c r="A1510" s="1"/>
      <c r="B1510" s="2"/>
      <c r="C1510" s="2"/>
      <c r="D1510" s="2"/>
      <c r="E1510" s="2"/>
      <c r="F1510" s="2"/>
      <c r="G1510" s="1"/>
      <c r="H1510" s="1"/>
      <c r="I1510" s="7">
        <v>1.507</v>
      </c>
      <c r="J1510" s="7">
        <f>IF((I1510-ROUNDDOWN(I1510,0))=0, 0, (I1510-ROUNDDOWN(I1510,0)))</f>
      </c>
      <c r="K1510" s="7">
        <f>INDIRECT("C$"&amp;2+MIN(2,ROUNDDOWN(I1510,0))*3)*(-$J1510^3+3*$J1510^2-3*$J1510+1)+INDIRECT("C$"&amp;3+MIN(2,ROUNDDOWN(I1510,0))*3)*(3*$J1510^3-6*$J1510^2+3*$J1510)+INDIRECT("C$"&amp;4+MIN(2,ROUNDDOWN(I1510,0))*3)*(-3*$J1510^3+3*$J1510^2)+INDIRECT("C$"&amp;5+MIN(2,ROUNDDOWN(I1510,0))*3)*$J1510^3</f>
      </c>
      <c r="L1510" s="7">
        <f>INDIRECT("D$"&amp;2+MIN(2,ROUNDDOWN(I1510,0))*3)*(-$J1510^3+3*$J1510^2-3*$J1510+1)+INDIRECT("D$"&amp;3+MIN(2,ROUNDDOWN(I1510,0))*3)*(3*$J1510^3-6*$J1510^2+3*$J1510)+INDIRECT("D$"&amp;4+MIN(2,ROUNDDOWN(I1510,0))*3)*(-3*$J1510^3+3*$J1510^2)+INDIRECT("D$"&amp;5+MIN(2,ROUNDDOWN(I1510,0))*3)*$J1510^3</f>
      </c>
      <c r="M1510" s="7">
        <f>SQRT(K1510^2+L1510^2)</f>
      </c>
      <c r="N1510" s="7">
        <f>(K1511-K1509)</f>
      </c>
      <c r="O1510" s="7">
        <f>+(L1511-L1509)</f>
      </c>
      <c r="P1510" s="7">
        <f>SQRT(O1510^2+N1510^2)</f>
      </c>
      <c r="Q1510" s="7">
        <f>N1510/$P1510</f>
      </c>
      <c r="R1510" s="7">
        <f>O1510/$P1510</f>
      </c>
      <c r="S1510" s="7">
        <f>Q1510^2+R1510^2</f>
      </c>
      <c r="T1510" s="7">
        <f>-R1510</f>
      </c>
      <c r="U1510" s="7">
        <f>Q1510</f>
      </c>
      <c r="V1510" s="7">
        <f>($C$14+($C$15-$C$14)/($D$15-$D$14)*(I1510-$D$14))/2</f>
      </c>
      <c r="W1510" s="7">
        <f>($B$22*I1510^4+$C$22*I1510^3+$D$22*I1510^2+$E$22*I1510+$F$22)/2</f>
      </c>
      <c r="X1510" s="7">
        <f>($W1510)*(T1510)</f>
      </c>
      <c r="Y1510" s="7">
        <f>($W1510)*(U1510)</f>
      </c>
      <c r="Z1510" s="7">
        <f>SQRT(X1510^2+Y1510^2)</f>
      </c>
      <c r="AA1510" s="7">
        <f>$K1510+$X1510</f>
      </c>
      <c r="AB1510" s="7">
        <f>$L1510+$Y1510</f>
      </c>
      <c r="AC1510" s="7">
        <f>$K1510-$X1510</f>
      </c>
      <c r="AD1510" s="7">
        <f>$L1510-$Y1510</f>
      </c>
      <c r="AE1510" s="7">
        <f>AA1510/39.3701</f>
      </c>
      <c r="AF1510" s="7">
        <f>AB1510/39.3701</f>
      </c>
      <c r="AG1510" s="7">
        <f>AC1510/39.3701</f>
      </c>
      <c r="AH1510" s="7">
        <f>AD1510/39.3701</f>
      </c>
      <c r="AI1510" s="1"/>
      <c r="AJ1510" s="1"/>
      <c r="AK1510" s="1"/>
      <c r="AL1510" s="1"/>
      <c r="AM1510" s="2"/>
      <c r="AN1510" s="1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  <c r="BA1510" s="1"/>
      <c r="BB1510" s="1"/>
      <c r="BC1510" s="1"/>
      <c r="BD1510" s="1"/>
      <c r="BE1510" s="1"/>
    </row>
    <row x14ac:dyDescent="0.25" r="1511" customHeight="1" ht="18.75">
      <c r="A1511" s="1"/>
      <c r="B1511" s="2"/>
      <c r="C1511" s="2"/>
      <c r="D1511" s="2"/>
      <c r="E1511" s="2"/>
      <c r="F1511" s="2"/>
      <c r="G1511" s="1"/>
      <c r="H1511" s="1"/>
      <c r="I1511" s="7">
        <v>1.508</v>
      </c>
      <c r="J1511" s="7">
        <f>IF((I1511-ROUNDDOWN(I1511,0))=0, 0, (I1511-ROUNDDOWN(I1511,0)))</f>
      </c>
      <c r="K1511" s="7">
        <f>INDIRECT("C$"&amp;2+MIN(2,ROUNDDOWN(I1511,0))*3)*(-$J1511^3+3*$J1511^2-3*$J1511+1)+INDIRECT("C$"&amp;3+MIN(2,ROUNDDOWN(I1511,0))*3)*(3*$J1511^3-6*$J1511^2+3*$J1511)+INDIRECT("C$"&amp;4+MIN(2,ROUNDDOWN(I1511,0))*3)*(-3*$J1511^3+3*$J1511^2)+INDIRECT("C$"&amp;5+MIN(2,ROUNDDOWN(I1511,0))*3)*$J1511^3</f>
      </c>
      <c r="L1511" s="7">
        <f>INDIRECT("D$"&amp;2+MIN(2,ROUNDDOWN(I1511,0))*3)*(-$J1511^3+3*$J1511^2-3*$J1511+1)+INDIRECT("D$"&amp;3+MIN(2,ROUNDDOWN(I1511,0))*3)*(3*$J1511^3-6*$J1511^2+3*$J1511)+INDIRECT("D$"&amp;4+MIN(2,ROUNDDOWN(I1511,0))*3)*(-3*$J1511^3+3*$J1511^2)+INDIRECT("D$"&amp;5+MIN(2,ROUNDDOWN(I1511,0))*3)*$J1511^3</f>
      </c>
      <c r="M1511" s="7">
        <f>SQRT(K1511^2+L1511^2)</f>
      </c>
      <c r="N1511" s="7">
        <f>(K1512-K1510)</f>
      </c>
      <c r="O1511" s="7">
        <f>+(L1512-L1510)</f>
      </c>
      <c r="P1511" s="7">
        <f>SQRT(O1511^2+N1511^2)</f>
      </c>
      <c r="Q1511" s="7">
        <f>N1511/$P1511</f>
      </c>
      <c r="R1511" s="7">
        <f>O1511/$P1511</f>
      </c>
      <c r="S1511" s="7">
        <f>Q1511^2+R1511^2</f>
      </c>
      <c r="T1511" s="7">
        <f>-R1511</f>
      </c>
      <c r="U1511" s="7">
        <f>Q1511</f>
      </c>
      <c r="V1511" s="7">
        <f>($C$14+($C$15-$C$14)/($D$15-$D$14)*(I1511-$D$14))/2</f>
      </c>
      <c r="W1511" s="7">
        <f>($B$22*I1511^4+$C$22*I1511^3+$D$22*I1511^2+$E$22*I1511+$F$22)/2</f>
      </c>
      <c r="X1511" s="7">
        <f>($W1511)*(T1511)</f>
      </c>
      <c r="Y1511" s="7">
        <f>($W1511)*(U1511)</f>
      </c>
      <c r="Z1511" s="7">
        <f>SQRT(X1511^2+Y1511^2)</f>
      </c>
      <c r="AA1511" s="7">
        <f>$K1511+$X1511</f>
      </c>
      <c r="AB1511" s="7">
        <f>$L1511+$Y1511</f>
      </c>
      <c r="AC1511" s="7">
        <f>$K1511-$X1511</f>
      </c>
      <c r="AD1511" s="7">
        <f>$L1511-$Y1511</f>
      </c>
      <c r="AE1511" s="7">
        <f>AA1511/39.3701</f>
      </c>
      <c r="AF1511" s="7">
        <f>AB1511/39.3701</f>
      </c>
      <c r="AG1511" s="7">
        <f>AC1511/39.3701</f>
      </c>
      <c r="AH1511" s="7">
        <f>AD1511/39.3701</f>
      </c>
      <c r="AI1511" s="1"/>
      <c r="AJ1511" s="1"/>
      <c r="AK1511" s="1"/>
      <c r="AL1511" s="1"/>
      <c r="AM1511" s="2"/>
      <c r="AN1511" s="1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  <c r="BA1511" s="1"/>
      <c r="BB1511" s="1"/>
      <c r="BC1511" s="1"/>
      <c r="BD1511" s="1"/>
      <c r="BE1511" s="1"/>
    </row>
    <row x14ac:dyDescent="0.25" r="1512" customHeight="1" ht="18.75">
      <c r="A1512" s="1"/>
      <c r="B1512" s="2"/>
      <c r="C1512" s="2"/>
      <c r="D1512" s="2"/>
      <c r="E1512" s="2"/>
      <c r="F1512" s="2"/>
      <c r="G1512" s="1"/>
      <c r="H1512" s="1"/>
      <c r="I1512" s="7">
        <v>1.509</v>
      </c>
      <c r="J1512" s="7">
        <f>IF((I1512-ROUNDDOWN(I1512,0))=0, 0, (I1512-ROUNDDOWN(I1512,0)))</f>
      </c>
      <c r="K1512" s="7">
        <f>INDIRECT("C$"&amp;2+MIN(2,ROUNDDOWN(I1512,0))*3)*(-$J1512^3+3*$J1512^2-3*$J1512+1)+INDIRECT("C$"&amp;3+MIN(2,ROUNDDOWN(I1512,0))*3)*(3*$J1512^3-6*$J1512^2+3*$J1512)+INDIRECT("C$"&amp;4+MIN(2,ROUNDDOWN(I1512,0))*3)*(-3*$J1512^3+3*$J1512^2)+INDIRECT("C$"&amp;5+MIN(2,ROUNDDOWN(I1512,0))*3)*$J1512^3</f>
      </c>
      <c r="L1512" s="7">
        <f>INDIRECT("D$"&amp;2+MIN(2,ROUNDDOWN(I1512,0))*3)*(-$J1512^3+3*$J1512^2-3*$J1512+1)+INDIRECT("D$"&amp;3+MIN(2,ROUNDDOWN(I1512,0))*3)*(3*$J1512^3-6*$J1512^2+3*$J1512)+INDIRECT("D$"&amp;4+MIN(2,ROUNDDOWN(I1512,0))*3)*(-3*$J1512^3+3*$J1512^2)+INDIRECT("D$"&amp;5+MIN(2,ROUNDDOWN(I1512,0))*3)*$J1512^3</f>
      </c>
      <c r="M1512" s="7">
        <f>SQRT(K1512^2+L1512^2)</f>
      </c>
      <c r="N1512" s="7">
        <f>(K1513-K1511)</f>
      </c>
      <c r="O1512" s="7">
        <f>+(L1513-L1511)</f>
      </c>
      <c r="P1512" s="7">
        <f>SQRT(O1512^2+N1512^2)</f>
      </c>
      <c r="Q1512" s="7">
        <f>N1512/$P1512</f>
      </c>
      <c r="R1512" s="7">
        <f>O1512/$P1512</f>
      </c>
      <c r="S1512" s="7">
        <f>Q1512^2+R1512^2</f>
      </c>
      <c r="T1512" s="7">
        <f>-R1512</f>
      </c>
      <c r="U1512" s="7">
        <f>Q1512</f>
      </c>
      <c r="V1512" s="7">
        <f>($C$14+($C$15-$C$14)/($D$15-$D$14)*(I1512-$D$14))/2</f>
      </c>
      <c r="W1512" s="7">
        <f>($B$22*I1512^4+$C$22*I1512^3+$D$22*I1512^2+$E$22*I1512+$F$22)/2</f>
      </c>
      <c r="X1512" s="7">
        <f>($W1512)*(T1512)</f>
      </c>
      <c r="Y1512" s="7">
        <f>($W1512)*(U1512)</f>
      </c>
      <c r="Z1512" s="7">
        <f>SQRT(X1512^2+Y1512^2)</f>
      </c>
      <c r="AA1512" s="7">
        <f>$K1512+$X1512</f>
      </c>
      <c r="AB1512" s="7">
        <f>$L1512+$Y1512</f>
      </c>
      <c r="AC1512" s="7">
        <f>$K1512-$X1512</f>
      </c>
      <c r="AD1512" s="7">
        <f>$L1512-$Y1512</f>
      </c>
      <c r="AE1512" s="7">
        <f>AA1512/39.3701</f>
      </c>
      <c r="AF1512" s="7">
        <f>AB1512/39.3701</f>
      </c>
      <c r="AG1512" s="7">
        <f>AC1512/39.3701</f>
      </c>
      <c r="AH1512" s="7">
        <f>AD1512/39.3701</f>
      </c>
      <c r="AI1512" s="1"/>
      <c r="AJ1512" s="1"/>
      <c r="AK1512" s="1"/>
      <c r="AL1512" s="1"/>
      <c r="AM1512" s="2"/>
      <c r="AN1512" s="1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  <c r="BA1512" s="1"/>
      <c r="BB1512" s="1"/>
      <c r="BC1512" s="1"/>
      <c r="BD1512" s="1"/>
      <c r="BE1512" s="1"/>
    </row>
    <row x14ac:dyDescent="0.25" r="1513" customHeight="1" ht="18.75">
      <c r="A1513" s="1"/>
      <c r="B1513" s="2"/>
      <c r="C1513" s="2"/>
      <c r="D1513" s="2"/>
      <c r="E1513" s="2"/>
      <c r="F1513" s="2"/>
      <c r="G1513" s="1"/>
      <c r="H1513" s="1"/>
      <c r="I1513" s="7">
        <v>1.51</v>
      </c>
      <c r="J1513" s="7">
        <f>IF((I1513-ROUNDDOWN(I1513,0))=0, 0, (I1513-ROUNDDOWN(I1513,0)))</f>
      </c>
      <c r="K1513" s="7">
        <f>INDIRECT("C$"&amp;2+MIN(2,ROUNDDOWN(I1513,0))*3)*(-$J1513^3+3*$J1513^2-3*$J1513+1)+INDIRECT("C$"&amp;3+MIN(2,ROUNDDOWN(I1513,0))*3)*(3*$J1513^3-6*$J1513^2+3*$J1513)+INDIRECT("C$"&amp;4+MIN(2,ROUNDDOWN(I1513,0))*3)*(-3*$J1513^3+3*$J1513^2)+INDIRECT("C$"&amp;5+MIN(2,ROUNDDOWN(I1513,0))*3)*$J1513^3</f>
      </c>
      <c r="L1513" s="7">
        <f>INDIRECT("D$"&amp;2+MIN(2,ROUNDDOWN(I1513,0))*3)*(-$J1513^3+3*$J1513^2-3*$J1513+1)+INDIRECT("D$"&amp;3+MIN(2,ROUNDDOWN(I1513,0))*3)*(3*$J1513^3-6*$J1513^2+3*$J1513)+INDIRECT("D$"&amp;4+MIN(2,ROUNDDOWN(I1513,0))*3)*(-3*$J1513^3+3*$J1513^2)+INDIRECT("D$"&amp;5+MIN(2,ROUNDDOWN(I1513,0))*3)*$J1513^3</f>
      </c>
      <c r="M1513" s="7">
        <f>SQRT(K1513^2+L1513^2)</f>
      </c>
      <c r="N1513" s="7">
        <f>(K1514-K1512)</f>
      </c>
      <c r="O1513" s="7">
        <f>+(L1514-L1512)</f>
      </c>
      <c r="P1513" s="7">
        <f>SQRT(O1513^2+N1513^2)</f>
      </c>
      <c r="Q1513" s="7">
        <f>N1513/$P1513</f>
      </c>
      <c r="R1513" s="7">
        <f>O1513/$P1513</f>
      </c>
      <c r="S1513" s="7">
        <f>Q1513^2+R1513^2</f>
      </c>
      <c r="T1513" s="7">
        <f>-R1513</f>
      </c>
      <c r="U1513" s="7">
        <f>Q1513</f>
      </c>
      <c r="V1513" s="7">
        <f>($C$14+($C$15-$C$14)/($D$15-$D$14)*(I1513-$D$14))/2</f>
      </c>
      <c r="W1513" s="7">
        <f>($B$22*I1513^4+$C$22*I1513^3+$D$22*I1513^2+$E$22*I1513+$F$22)/2</f>
      </c>
      <c r="X1513" s="7">
        <f>($W1513)*(T1513)</f>
      </c>
      <c r="Y1513" s="7">
        <f>($W1513)*(U1513)</f>
      </c>
      <c r="Z1513" s="7">
        <f>SQRT(X1513^2+Y1513^2)</f>
      </c>
      <c r="AA1513" s="7">
        <f>$K1513+$X1513</f>
      </c>
      <c r="AB1513" s="7">
        <f>$L1513+$Y1513</f>
      </c>
      <c r="AC1513" s="7">
        <f>$K1513-$X1513</f>
      </c>
      <c r="AD1513" s="7">
        <f>$L1513-$Y1513</f>
      </c>
      <c r="AE1513" s="7">
        <f>AA1513/39.3701</f>
      </c>
      <c r="AF1513" s="7">
        <f>AB1513/39.3701</f>
      </c>
      <c r="AG1513" s="7">
        <f>AC1513/39.3701</f>
      </c>
      <c r="AH1513" s="7">
        <f>AD1513/39.3701</f>
      </c>
      <c r="AI1513" s="1"/>
      <c r="AJ1513" s="1"/>
      <c r="AK1513" s="1"/>
      <c r="AL1513" s="1"/>
      <c r="AM1513" s="2"/>
      <c r="AN1513" s="1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  <c r="BA1513" s="1"/>
      <c r="BB1513" s="1"/>
      <c r="BC1513" s="1"/>
      <c r="BD1513" s="1"/>
      <c r="BE1513" s="1"/>
    </row>
    <row x14ac:dyDescent="0.25" r="1514" customHeight="1" ht="18.75">
      <c r="A1514" s="1"/>
      <c r="B1514" s="2"/>
      <c r="C1514" s="2"/>
      <c r="D1514" s="2"/>
      <c r="E1514" s="2"/>
      <c r="F1514" s="2"/>
      <c r="G1514" s="1"/>
      <c r="H1514" s="1"/>
      <c r="I1514" s="7">
        <v>1.511</v>
      </c>
      <c r="J1514" s="7">
        <f>IF((I1514-ROUNDDOWN(I1514,0))=0, 0, (I1514-ROUNDDOWN(I1514,0)))</f>
      </c>
      <c r="K1514" s="7">
        <f>INDIRECT("C$"&amp;2+MIN(2,ROUNDDOWN(I1514,0))*3)*(-$J1514^3+3*$J1514^2-3*$J1514+1)+INDIRECT("C$"&amp;3+MIN(2,ROUNDDOWN(I1514,0))*3)*(3*$J1514^3-6*$J1514^2+3*$J1514)+INDIRECT("C$"&amp;4+MIN(2,ROUNDDOWN(I1514,0))*3)*(-3*$J1514^3+3*$J1514^2)+INDIRECT("C$"&amp;5+MIN(2,ROUNDDOWN(I1514,0))*3)*$J1514^3</f>
      </c>
      <c r="L1514" s="7">
        <f>INDIRECT("D$"&amp;2+MIN(2,ROUNDDOWN(I1514,0))*3)*(-$J1514^3+3*$J1514^2-3*$J1514+1)+INDIRECT("D$"&amp;3+MIN(2,ROUNDDOWN(I1514,0))*3)*(3*$J1514^3-6*$J1514^2+3*$J1514)+INDIRECT("D$"&amp;4+MIN(2,ROUNDDOWN(I1514,0))*3)*(-3*$J1514^3+3*$J1514^2)+INDIRECT("D$"&amp;5+MIN(2,ROUNDDOWN(I1514,0))*3)*$J1514^3</f>
      </c>
      <c r="M1514" s="7">
        <f>SQRT(K1514^2+L1514^2)</f>
      </c>
      <c r="N1514" s="7">
        <f>(K1515-K1513)</f>
      </c>
      <c r="O1514" s="7">
        <f>+(L1515-L1513)</f>
      </c>
      <c r="P1514" s="7">
        <f>SQRT(O1514^2+N1514^2)</f>
      </c>
      <c r="Q1514" s="7">
        <f>N1514/$P1514</f>
      </c>
      <c r="R1514" s="7">
        <f>O1514/$P1514</f>
      </c>
      <c r="S1514" s="7">
        <f>Q1514^2+R1514^2</f>
      </c>
      <c r="T1514" s="7">
        <f>-R1514</f>
      </c>
      <c r="U1514" s="7">
        <f>Q1514</f>
      </c>
      <c r="V1514" s="7">
        <f>($C$14+($C$15-$C$14)/($D$15-$D$14)*(I1514-$D$14))/2</f>
      </c>
      <c r="W1514" s="7">
        <f>($B$22*I1514^4+$C$22*I1514^3+$D$22*I1514^2+$E$22*I1514+$F$22)/2</f>
      </c>
      <c r="X1514" s="7">
        <f>($W1514)*(T1514)</f>
      </c>
      <c r="Y1514" s="7">
        <f>($W1514)*(U1514)</f>
      </c>
      <c r="Z1514" s="7">
        <f>SQRT(X1514^2+Y1514^2)</f>
      </c>
      <c r="AA1514" s="7">
        <f>$K1514+$X1514</f>
      </c>
      <c r="AB1514" s="7">
        <f>$L1514+$Y1514</f>
      </c>
      <c r="AC1514" s="7">
        <f>$K1514-$X1514</f>
      </c>
      <c r="AD1514" s="7">
        <f>$L1514-$Y1514</f>
      </c>
      <c r="AE1514" s="7">
        <f>AA1514/39.3701</f>
      </c>
      <c r="AF1514" s="7">
        <f>AB1514/39.3701</f>
      </c>
      <c r="AG1514" s="7">
        <f>AC1514/39.3701</f>
      </c>
      <c r="AH1514" s="7">
        <f>AD1514/39.3701</f>
      </c>
      <c r="AI1514" s="1"/>
      <c r="AJ1514" s="1"/>
      <c r="AK1514" s="1"/>
      <c r="AL1514" s="1"/>
      <c r="AM1514" s="2"/>
      <c r="AN1514" s="1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  <c r="BA1514" s="1"/>
      <c r="BB1514" s="1"/>
      <c r="BC1514" s="1"/>
      <c r="BD1514" s="1"/>
      <c r="BE1514" s="1"/>
    </row>
    <row x14ac:dyDescent="0.25" r="1515" customHeight="1" ht="18.75">
      <c r="A1515" s="1"/>
      <c r="B1515" s="2"/>
      <c r="C1515" s="2"/>
      <c r="D1515" s="2"/>
      <c r="E1515" s="2"/>
      <c r="F1515" s="2"/>
      <c r="G1515" s="1"/>
      <c r="H1515" s="1"/>
      <c r="I1515" s="7">
        <v>1.512</v>
      </c>
      <c r="J1515" s="7">
        <f>IF((I1515-ROUNDDOWN(I1515,0))=0, 0, (I1515-ROUNDDOWN(I1515,0)))</f>
      </c>
      <c r="K1515" s="7">
        <f>INDIRECT("C$"&amp;2+MIN(2,ROUNDDOWN(I1515,0))*3)*(-$J1515^3+3*$J1515^2-3*$J1515+1)+INDIRECT("C$"&amp;3+MIN(2,ROUNDDOWN(I1515,0))*3)*(3*$J1515^3-6*$J1515^2+3*$J1515)+INDIRECT("C$"&amp;4+MIN(2,ROUNDDOWN(I1515,0))*3)*(-3*$J1515^3+3*$J1515^2)+INDIRECT("C$"&amp;5+MIN(2,ROUNDDOWN(I1515,0))*3)*$J1515^3</f>
      </c>
      <c r="L1515" s="7">
        <f>INDIRECT("D$"&amp;2+MIN(2,ROUNDDOWN(I1515,0))*3)*(-$J1515^3+3*$J1515^2-3*$J1515+1)+INDIRECT("D$"&amp;3+MIN(2,ROUNDDOWN(I1515,0))*3)*(3*$J1515^3-6*$J1515^2+3*$J1515)+INDIRECT("D$"&amp;4+MIN(2,ROUNDDOWN(I1515,0))*3)*(-3*$J1515^3+3*$J1515^2)+INDIRECT("D$"&amp;5+MIN(2,ROUNDDOWN(I1515,0))*3)*$J1515^3</f>
      </c>
      <c r="M1515" s="7">
        <f>SQRT(K1515^2+L1515^2)</f>
      </c>
      <c r="N1515" s="7">
        <f>(K1516-K1514)</f>
      </c>
      <c r="O1515" s="7">
        <f>+(L1516-L1514)</f>
      </c>
      <c r="P1515" s="7">
        <f>SQRT(O1515^2+N1515^2)</f>
      </c>
      <c r="Q1515" s="7">
        <f>N1515/$P1515</f>
      </c>
      <c r="R1515" s="7">
        <f>O1515/$P1515</f>
      </c>
      <c r="S1515" s="8">
        <f>Q1515^2+R1515^2</f>
      </c>
      <c r="T1515" s="7">
        <f>-R1515</f>
      </c>
      <c r="U1515" s="7">
        <f>Q1515</f>
      </c>
      <c r="V1515" s="7">
        <f>($C$14+($C$15-$C$14)/($D$15-$D$14)*(I1515-$D$14))/2</f>
      </c>
      <c r="W1515" s="7">
        <f>($B$22*I1515^4+$C$22*I1515^3+$D$22*I1515^2+$E$22*I1515+$F$22)/2</f>
      </c>
      <c r="X1515" s="7">
        <f>($W1515)*(T1515)</f>
      </c>
      <c r="Y1515" s="7">
        <f>($W1515)*(U1515)</f>
      </c>
      <c r="Z1515" s="7">
        <f>SQRT(X1515^2+Y1515^2)</f>
      </c>
      <c r="AA1515" s="7">
        <f>$K1515+$X1515</f>
      </c>
      <c r="AB1515" s="7">
        <f>$L1515+$Y1515</f>
      </c>
      <c r="AC1515" s="7">
        <f>$K1515-$X1515</f>
      </c>
      <c r="AD1515" s="7">
        <f>$L1515-$Y1515</f>
      </c>
      <c r="AE1515" s="7">
        <f>AA1515/39.3701</f>
      </c>
      <c r="AF1515" s="7">
        <f>AB1515/39.3701</f>
      </c>
      <c r="AG1515" s="7">
        <f>AC1515/39.3701</f>
      </c>
      <c r="AH1515" s="7">
        <f>AD1515/39.3701</f>
      </c>
      <c r="AI1515" s="1"/>
      <c r="AJ1515" s="1"/>
      <c r="AK1515" s="1"/>
      <c r="AL1515" s="1"/>
      <c r="AM1515" s="2"/>
      <c r="AN1515" s="1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  <c r="BA1515" s="1"/>
      <c r="BB1515" s="1"/>
      <c r="BC1515" s="1"/>
      <c r="BD1515" s="1"/>
      <c r="BE1515" s="1"/>
    </row>
    <row x14ac:dyDescent="0.25" r="1516" customHeight="1" ht="18.75">
      <c r="A1516" s="1"/>
      <c r="B1516" s="2"/>
      <c r="C1516" s="2"/>
      <c r="D1516" s="2"/>
      <c r="E1516" s="2"/>
      <c r="F1516" s="2"/>
      <c r="G1516" s="1"/>
      <c r="H1516" s="1"/>
      <c r="I1516" s="7">
        <v>1.513</v>
      </c>
      <c r="J1516" s="7">
        <f>IF((I1516-ROUNDDOWN(I1516,0))=0, 0, (I1516-ROUNDDOWN(I1516,0)))</f>
      </c>
      <c r="K1516" s="7">
        <f>INDIRECT("C$"&amp;2+MIN(2,ROUNDDOWN(I1516,0))*3)*(-$J1516^3+3*$J1516^2-3*$J1516+1)+INDIRECT("C$"&amp;3+MIN(2,ROUNDDOWN(I1516,0))*3)*(3*$J1516^3-6*$J1516^2+3*$J1516)+INDIRECT("C$"&amp;4+MIN(2,ROUNDDOWN(I1516,0))*3)*(-3*$J1516^3+3*$J1516^2)+INDIRECT("C$"&amp;5+MIN(2,ROUNDDOWN(I1516,0))*3)*$J1516^3</f>
      </c>
      <c r="L1516" s="7">
        <f>INDIRECT("D$"&amp;2+MIN(2,ROUNDDOWN(I1516,0))*3)*(-$J1516^3+3*$J1516^2-3*$J1516+1)+INDIRECT("D$"&amp;3+MIN(2,ROUNDDOWN(I1516,0))*3)*(3*$J1516^3-6*$J1516^2+3*$J1516)+INDIRECT("D$"&amp;4+MIN(2,ROUNDDOWN(I1516,0))*3)*(-3*$J1516^3+3*$J1516^2)+INDIRECT("D$"&amp;5+MIN(2,ROUNDDOWN(I1516,0))*3)*$J1516^3</f>
      </c>
      <c r="M1516" s="7">
        <f>SQRT(K1516^2+L1516^2)</f>
      </c>
      <c r="N1516" s="7">
        <f>(K1517-K1515)</f>
      </c>
      <c r="O1516" s="7">
        <f>+(L1517-L1515)</f>
      </c>
      <c r="P1516" s="7">
        <f>SQRT(O1516^2+N1516^2)</f>
      </c>
      <c r="Q1516" s="7">
        <f>N1516/$P1516</f>
      </c>
      <c r="R1516" s="7">
        <f>O1516/$P1516</f>
      </c>
      <c r="S1516" s="8">
        <f>Q1516^2+R1516^2</f>
      </c>
      <c r="T1516" s="7">
        <f>-R1516</f>
      </c>
      <c r="U1516" s="7">
        <f>Q1516</f>
      </c>
      <c r="V1516" s="7">
        <f>($C$14+($C$15-$C$14)/($D$15-$D$14)*(I1516-$D$14))/2</f>
      </c>
      <c r="W1516" s="7">
        <f>($B$22*I1516^4+$C$22*I1516^3+$D$22*I1516^2+$E$22*I1516+$F$22)/2</f>
      </c>
      <c r="X1516" s="7">
        <f>($W1516)*(T1516)</f>
      </c>
      <c r="Y1516" s="7">
        <f>($W1516)*(U1516)</f>
      </c>
      <c r="Z1516" s="7">
        <f>SQRT(X1516^2+Y1516^2)</f>
      </c>
      <c r="AA1516" s="7">
        <f>$K1516+$X1516</f>
      </c>
      <c r="AB1516" s="7">
        <f>$L1516+$Y1516</f>
      </c>
      <c r="AC1516" s="7">
        <f>$K1516-$X1516</f>
      </c>
      <c r="AD1516" s="7">
        <f>$L1516-$Y1516</f>
      </c>
      <c r="AE1516" s="7">
        <f>AA1516/39.3701</f>
      </c>
      <c r="AF1516" s="7">
        <f>AB1516/39.3701</f>
      </c>
      <c r="AG1516" s="7">
        <f>AC1516/39.3701</f>
      </c>
      <c r="AH1516" s="7">
        <f>AD1516/39.3701</f>
      </c>
      <c r="AI1516" s="1"/>
      <c r="AJ1516" s="1"/>
      <c r="AK1516" s="1"/>
      <c r="AL1516" s="1"/>
      <c r="AM1516" s="2"/>
      <c r="AN1516" s="1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  <c r="BA1516" s="1"/>
      <c r="BB1516" s="1"/>
      <c r="BC1516" s="1"/>
      <c r="BD1516" s="1"/>
      <c r="BE1516" s="1"/>
    </row>
    <row x14ac:dyDescent="0.25" r="1517" customHeight="1" ht="18.75">
      <c r="A1517" s="1"/>
      <c r="B1517" s="2"/>
      <c r="C1517" s="2"/>
      <c r="D1517" s="2"/>
      <c r="E1517" s="2"/>
      <c r="F1517" s="2"/>
      <c r="G1517" s="1"/>
      <c r="H1517" s="1"/>
      <c r="I1517" s="7">
        <v>1.514</v>
      </c>
      <c r="J1517" s="7">
        <f>IF((I1517-ROUNDDOWN(I1517,0))=0, 0, (I1517-ROUNDDOWN(I1517,0)))</f>
      </c>
      <c r="K1517" s="7">
        <f>INDIRECT("C$"&amp;2+MIN(2,ROUNDDOWN(I1517,0))*3)*(-$J1517^3+3*$J1517^2-3*$J1517+1)+INDIRECT("C$"&amp;3+MIN(2,ROUNDDOWN(I1517,0))*3)*(3*$J1517^3-6*$J1517^2+3*$J1517)+INDIRECT("C$"&amp;4+MIN(2,ROUNDDOWN(I1517,0))*3)*(-3*$J1517^3+3*$J1517^2)+INDIRECT("C$"&amp;5+MIN(2,ROUNDDOWN(I1517,0))*3)*$J1517^3</f>
      </c>
      <c r="L1517" s="7">
        <f>INDIRECT("D$"&amp;2+MIN(2,ROUNDDOWN(I1517,0))*3)*(-$J1517^3+3*$J1517^2-3*$J1517+1)+INDIRECT("D$"&amp;3+MIN(2,ROUNDDOWN(I1517,0))*3)*(3*$J1517^3-6*$J1517^2+3*$J1517)+INDIRECT("D$"&amp;4+MIN(2,ROUNDDOWN(I1517,0))*3)*(-3*$J1517^3+3*$J1517^2)+INDIRECT("D$"&amp;5+MIN(2,ROUNDDOWN(I1517,0))*3)*$J1517^3</f>
      </c>
      <c r="M1517" s="7">
        <f>SQRT(K1517^2+L1517^2)</f>
      </c>
      <c r="N1517" s="7">
        <f>(K1518-K1516)</f>
      </c>
      <c r="O1517" s="7">
        <f>+(L1518-L1516)</f>
      </c>
      <c r="P1517" s="7">
        <f>SQRT(O1517^2+N1517^2)</f>
      </c>
      <c r="Q1517" s="7">
        <f>N1517/$P1517</f>
      </c>
      <c r="R1517" s="7">
        <f>O1517/$P1517</f>
      </c>
      <c r="S1517" s="8">
        <f>Q1517^2+R1517^2</f>
      </c>
      <c r="T1517" s="7">
        <f>-R1517</f>
      </c>
      <c r="U1517" s="7">
        <f>Q1517</f>
      </c>
      <c r="V1517" s="7">
        <f>($C$14+($C$15-$C$14)/($D$15-$D$14)*(I1517-$D$14))/2</f>
      </c>
      <c r="W1517" s="7">
        <f>($B$22*I1517^4+$C$22*I1517^3+$D$22*I1517^2+$E$22*I1517+$F$22)/2</f>
      </c>
      <c r="X1517" s="7">
        <f>($W1517)*(T1517)</f>
      </c>
      <c r="Y1517" s="7">
        <f>($W1517)*(U1517)</f>
      </c>
      <c r="Z1517" s="7">
        <f>SQRT(X1517^2+Y1517^2)</f>
      </c>
      <c r="AA1517" s="7">
        <f>$K1517+$X1517</f>
      </c>
      <c r="AB1517" s="7">
        <f>$L1517+$Y1517</f>
      </c>
      <c r="AC1517" s="7">
        <f>$K1517-$X1517</f>
      </c>
      <c r="AD1517" s="7">
        <f>$L1517-$Y1517</f>
      </c>
      <c r="AE1517" s="7">
        <f>AA1517/39.3701</f>
      </c>
      <c r="AF1517" s="7">
        <f>AB1517/39.3701</f>
      </c>
      <c r="AG1517" s="7">
        <f>AC1517/39.3701</f>
      </c>
      <c r="AH1517" s="7">
        <f>AD1517/39.3701</f>
      </c>
      <c r="AI1517" s="1"/>
      <c r="AJ1517" s="1"/>
      <c r="AK1517" s="1"/>
      <c r="AL1517" s="1"/>
      <c r="AM1517" s="2"/>
      <c r="AN1517" s="1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  <c r="BA1517" s="1"/>
      <c r="BB1517" s="1"/>
      <c r="BC1517" s="1"/>
      <c r="BD1517" s="1"/>
      <c r="BE1517" s="1"/>
    </row>
    <row x14ac:dyDescent="0.25" r="1518" customHeight="1" ht="18.75">
      <c r="A1518" s="1"/>
      <c r="B1518" s="2"/>
      <c r="C1518" s="2"/>
      <c r="D1518" s="2"/>
      <c r="E1518" s="2"/>
      <c r="F1518" s="2"/>
      <c r="G1518" s="1"/>
      <c r="H1518" s="1"/>
      <c r="I1518" s="7">
        <v>1.515</v>
      </c>
      <c r="J1518" s="7">
        <f>IF((I1518-ROUNDDOWN(I1518,0))=0, 0, (I1518-ROUNDDOWN(I1518,0)))</f>
      </c>
      <c r="K1518" s="7">
        <f>INDIRECT("C$"&amp;2+MIN(2,ROUNDDOWN(I1518,0))*3)*(-$J1518^3+3*$J1518^2-3*$J1518+1)+INDIRECT("C$"&amp;3+MIN(2,ROUNDDOWN(I1518,0))*3)*(3*$J1518^3-6*$J1518^2+3*$J1518)+INDIRECT("C$"&amp;4+MIN(2,ROUNDDOWN(I1518,0))*3)*(-3*$J1518^3+3*$J1518^2)+INDIRECT("C$"&amp;5+MIN(2,ROUNDDOWN(I1518,0))*3)*$J1518^3</f>
      </c>
      <c r="L1518" s="7">
        <f>INDIRECT("D$"&amp;2+MIN(2,ROUNDDOWN(I1518,0))*3)*(-$J1518^3+3*$J1518^2-3*$J1518+1)+INDIRECT("D$"&amp;3+MIN(2,ROUNDDOWN(I1518,0))*3)*(3*$J1518^3-6*$J1518^2+3*$J1518)+INDIRECT("D$"&amp;4+MIN(2,ROUNDDOWN(I1518,0))*3)*(-3*$J1518^3+3*$J1518^2)+INDIRECT("D$"&amp;5+MIN(2,ROUNDDOWN(I1518,0))*3)*$J1518^3</f>
      </c>
      <c r="M1518" s="7">
        <f>SQRT(K1518^2+L1518^2)</f>
      </c>
      <c r="N1518" s="7">
        <f>(K1519-K1517)</f>
      </c>
      <c r="O1518" s="7">
        <f>+(L1519-L1517)</f>
      </c>
      <c r="P1518" s="7">
        <f>SQRT(O1518^2+N1518^2)</f>
      </c>
      <c r="Q1518" s="7">
        <f>N1518/$P1518</f>
      </c>
      <c r="R1518" s="7">
        <f>O1518/$P1518</f>
      </c>
      <c r="S1518" s="7">
        <f>Q1518^2+R1518^2</f>
      </c>
      <c r="T1518" s="7">
        <f>-R1518</f>
      </c>
      <c r="U1518" s="7">
        <f>Q1518</f>
      </c>
      <c r="V1518" s="7">
        <f>($C$14+($C$15-$C$14)/($D$15-$D$14)*(I1518-$D$14))/2</f>
      </c>
      <c r="W1518" s="7">
        <f>($B$22*I1518^4+$C$22*I1518^3+$D$22*I1518^2+$E$22*I1518+$F$22)/2</f>
      </c>
      <c r="X1518" s="7">
        <f>($W1518)*(T1518)</f>
      </c>
      <c r="Y1518" s="7">
        <f>($W1518)*(U1518)</f>
      </c>
      <c r="Z1518" s="7">
        <f>SQRT(X1518^2+Y1518^2)</f>
      </c>
      <c r="AA1518" s="7">
        <f>$K1518+$X1518</f>
      </c>
      <c r="AB1518" s="7">
        <f>$L1518+$Y1518</f>
      </c>
      <c r="AC1518" s="7">
        <f>$K1518-$X1518</f>
      </c>
      <c r="AD1518" s="7">
        <f>$L1518-$Y1518</f>
      </c>
      <c r="AE1518" s="7">
        <f>AA1518/39.3701</f>
      </c>
      <c r="AF1518" s="7">
        <f>AB1518/39.3701</f>
      </c>
      <c r="AG1518" s="7">
        <f>AC1518/39.3701</f>
      </c>
      <c r="AH1518" s="7">
        <f>AD1518/39.3701</f>
      </c>
      <c r="AI1518" s="1"/>
      <c r="AJ1518" s="1"/>
      <c r="AK1518" s="1"/>
      <c r="AL1518" s="1"/>
      <c r="AM1518" s="2"/>
      <c r="AN1518" s="1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  <c r="BA1518" s="1"/>
      <c r="BB1518" s="1"/>
      <c r="BC1518" s="1"/>
      <c r="BD1518" s="1"/>
      <c r="BE1518" s="1"/>
    </row>
    <row x14ac:dyDescent="0.25" r="1519" customHeight="1" ht="18.75">
      <c r="A1519" s="1"/>
      <c r="B1519" s="2"/>
      <c r="C1519" s="2"/>
      <c r="D1519" s="2"/>
      <c r="E1519" s="2"/>
      <c r="F1519" s="2"/>
      <c r="G1519" s="1"/>
      <c r="H1519" s="1"/>
      <c r="I1519" s="7">
        <v>1.516</v>
      </c>
      <c r="J1519" s="7">
        <f>IF((I1519-ROUNDDOWN(I1519,0))=0, 0, (I1519-ROUNDDOWN(I1519,0)))</f>
      </c>
      <c r="K1519" s="7">
        <f>INDIRECT("C$"&amp;2+MIN(2,ROUNDDOWN(I1519,0))*3)*(-$J1519^3+3*$J1519^2-3*$J1519+1)+INDIRECT("C$"&amp;3+MIN(2,ROUNDDOWN(I1519,0))*3)*(3*$J1519^3-6*$J1519^2+3*$J1519)+INDIRECT("C$"&amp;4+MIN(2,ROUNDDOWN(I1519,0))*3)*(-3*$J1519^3+3*$J1519^2)+INDIRECT("C$"&amp;5+MIN(2,ROUNDDOWN(I1519,0))*3)*$J1519^3</f>
      </c>
      <c r="L1519" s="7">
        <f>INDIRECT("D$"&amp;2+MIN(2,ROUNDDOWN(I1519,0))*3)*(-$J1519^3+3*$J1519^2-3*$J1519+1)+INDIRECT("D$"&amp;3+MIN(2,ROUNDDOWN(I1519,0))*3)*(3*$J1519^3-6*$J1519^2+3*$J1519)+INDIRECT("D$"&amp;4+MIN(2,ROUNDDOWN(I1519,0))*3)*(-3*$J1519^3+3*$J1519^2)+INDIRECT("D$"&amp;5+MIN(2,ROUNDDOWN(I1519,0))*3)*$J1519^3</f>
      </c>
      <c r="M1519" s="7">
        <f>SQRT(K1519^2+L1519^2)</f>
      </c>
      <c r="N1519" s="7">
        <f>(K1520-K1518)</f>
      </c>
      <c r="O1519" s="7">
        <f>+(L1520-L1518)</f>
      </c>
      <c r="P1519" s="7">
        <f>SQRT(O1519^2+N1519^2)</f>
      </c>
      <c r="Q1519" s="7">
        <f>N1519/$P1519</f>
      </c>
      <c r="R1519" s="7">
        <f>O1519/$P1519</f>
      </c>
      <c r="S1519" s="7">
        <f>Q1519^2+R1519^2</f>
      </c>
      <c r="T1519" s="7">
        <f>-R1519</f>
      </c>
      <c r="U1519" s="7">
        <f>Q1519</f>
      </c>
      <c r="V1519" s="7">
        <f>($C$14+($C$15-$C$14)/($D$15-$D$14)*(I1519-$D$14))/2</f>
      </c>
      <c r="W1519" s="7">
        <f>($B$22*I1519^4+$C$22*I1519^3+$D$22*I1519^2+$E$22*I1519+$F$22)/2</f>
      </c>
      <c r="X1519" s="7">
        <f>($W1519)*(T1519)</f>
      </c>
      <c r="Y1519" s="7">
        <f>($W1519)*(U1519)</f>
      </c>
      <c r="Z1519" s="7">
        <f>SQRT(X1519^2+Y1519^2)</f>
      </c>
      <c r="AA1519" s="7">
        <f>$K1519+$X1519</f>
      </c>
      <c r="AB1519" s="7">
        <f>$L1519+$Y1519</f>
      </c>
      <c r="AC1519" s="7">
        <f>$K1519-$X1519</f>
      </c>
      <c r="AD1519" s="7">
        <f>$L1519-$Y1519</f>
      </c>
      <c r="AE1519" s="7">
        <f>AA1519/39.3701</f>
      </c>
      <c r="AF1519" s="7">
        <f>AB1519/39.3701</f>
      </c>
      <c r="AG1519" s="7">
        <f>AC1519/39.3701</f>
      </c>
      <c r="AH1519" s="7">
        <f>AD1519/39.3701</f>
      </c>
      <c r="AI1519" s="1"/>
      <c r="AJ1519" s="1"/>
      <c r="AK1519" s="1"/>
      <c r="AL1519" s="1"/>
      <c r="AM1519" s="2"/>
      <c r="AN1519" s="1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  <c r="BA1519" s="1"/>
      <c r="BB1519" s="1"/>
      <c r="BC1519" s="1"/>
      <c r="BD1519" s="1"/>
      <c r="BE1519" s="1"/>
    </row>
    <row x14ac:dyDescent="0.25" r="1520" customHeight="1" ht="18.75">
      <c r="A1520" s="1"/>
      <c r="B1520" s="2"/>
      <c r="C1520" s="2"/>
      <c r="D1520" s="2"/>
      <c r="E1520" s="2"/>
      <c r="F1520" s="2"/>
      <c r="G1520" s="1"/>
      <c r="H1520" s="1"/>
      <c r="I1520" s="7">
        <v>1.517</v>
      </c>
      <c r="J1520" s="7">
        <f>IF((I1520-ROUNDDOWN(I1520,0))=0, 0, (I1520-ROUNDDOWN(I1520,0)))</f>
      </c>
      <c r="K1520" s="7">
        <f>INDIRECT("C$"&amp;2+MIN(2,ROUNDDOWN(I1520,0))*3)*(-$J1520^3+3*$J1520^2-3*$J1520+1)+INDIRECT("C$"&amp;3+MIN(2,ROUNDDOWN(I1520,0))*3)*(3*$J1520^3-6*$J1520^2+3*$J1520)+INDIRECT("C$"&amp;4+MIN(2,ROUNDDOWN(I1520,0))*3)*(-3*$J1520^3+3*$J1520^2)+INDIRECT("C$"&amp;5+MIN(2,ROUNDDOWN(I1520,0))*3)*$J1520^3</f>
      </c>
      <c r="L1520" s="7">
        <f>INDIRECT("D$"&amp;2+MIN(2,ROUNDDOWN(I1520,0))*3)*(-$J1520^3+3*$J1520^2-3*$J1520+1)+INDIRECT("D$"&amp;3+MIN(2,ROUNDDOWN(I1520,0))*3)*(3*$J1520^3-6*$J1520^2+3*$J1520)+INDIRECT("D$"&amp;4+MIN(2,ROUNDDOWN(I1520,0))*3)*(-3*$J1520^3+3*$J1520^2)+INDIRECT("D$"&amp;5+MIN(2,ROUNDDOWN(I1520,0))*3)*$J1520^3</f>
      </c>
      <c r="M1520" s="7">
        <f>SQRT(K1520^2+L1520^2)</f>
      </c>
      <c r="N1520" s="7">
        <f>(K1521-K1519)</f>
      </c>
      <c r="O1520" s="7">
        <f>+(L1521-L1519)</f>
      </c>
      <c r="P1520" s="7">
        <f>SQRT(O1520^2+N1520^2)</f>
      </c>
      <c r="Q1520" s="7">
        <f>N1520/$P1520</f>
      </c>
      <c r="R1520" s="7">
        <f>O1520/$P1520</f>
      </c>
      <c r="S1520" s="8">
        <f>Q1520^2+R1520^2</f>
      </c>
      <c r="T1520" s="7">
        <f>-R1520</f>
      </c>
      <c r="U1520" s="7">
        <f>Q1520</f>
      </c>
      <c r="V1520" s="7">
        <f>($C$14+($C$15-$C$14)/($D$15-$D$14)*(I1520-$D$14))/2</f>
      </c>
      <c r="W1520" s="7">
        <f>($B$22*I1520^4+$C$22*I1520^3+$D$22*I1520^2+$E$22*I1520+$F$22)/2</f>
      </c>
      <c r="X1520" s="7">
        <f>($W1520)*(T1520)</f>
      </c>
      <c r="Y1520" s="7">
        <f>($W1520)*(U1520)</f>
      </c>
      <c r="Z1520" s="7">
        <f>SQRT(X1520^2+Y1520^2)</f>
      </c>
      <c r="AA1520" s="7">
        <f>$K1520+$X1520</f>
      </c>
      <c r="AB1520" s="7">
        <f>$L1520+$Y1520</f>
      </c>
      <c r="AC1520" s="7">
        <f>$K1520-$X1520</f>
      </c>
      <c r="AD1520" s="7">
        <f>$L1520-$Y1520</f>
      </c>
      <c r="AE1520" s="7">
        <f>AA1520/39.3701</f>
      </c>
      <c r="AF1520" s="7">
        <f>AB1520/39.3701</f>
      </c>
      <c r="AG1520" s="7">
        <f>AC1520/39.3701</f>
      </c>
      <c r="AH1520" s="7">
        <f>AD1520/39.3701</f>
      </c>
      <c r="AI1520" s="1"/>
      <c r="AJ1520" s="1"/>
      <c r="AK1520" s="1"/>
      <c r="AL1520" s="1"/>
      <c r="AM1520" s="2"/>
      <c r="AN1520" s="1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  <c r="BA1520" s="1"/>
      <c r="BB1520" s="1"/>
      <c r="BC1520" s="1"/>
      <c r="BD1520" s="1"/>
      <c r="BE1520" s="1"/>
    </row>
    <row x14ac:dyDescent="0.25" r="1521" customHeight="1" ht="18.75">
      <c r="A1521" s="1"/>
      <c r="B1521" s="2"/>
      <c r="C1521" s="2"/>
      <c r="D1521" s="2"/>
      <c r="E1521" s="2"/>
      <c r="F1521" s="2"/>
      <c r="G1521" s="1"/>
      <c r="H1521" s="1"/>
      <c r="I1521" s="7">
        <v>1.518</v>
      </c>
      <c r="J1521" s="7">
        <f>IF((I1521-ROUNDDOWN(I1521,0))=0, 0, (I1521-ROUNDDOWN(I1521,0)))</f>
      </c>
      <c r="K1521" s="7">
        <f>INDIRECT("C$"&amp;2+MIN(2,ROUNDDOWN(I1521,0))*3)*(-$J1521^3+3*$J1521^2-3*$J1521+1)+INDIRECT("C$"&amp;3+MIN(2,ROUNDDOWN(I1521,0))*3)*(3*$J1521^3-6*$J1521^2+3*$J1521)+INDIRECT("C$"&amp;4+MIN(2,ROUNDDOWN(I1521,0))*3)*(-3*$J1521^3+3*$J1521^2)+INDIRECT("C$"&amp;5+MIN(2,ROUNDDOWN(I1521,0))*3)*$J1521^3</f>
      </c>
      <c r="L1521" s="7">
        <f>INDIRECT("D$"&amp;2+MIN(2,ROUNDDOWN(I1521,0))*3)*(-$J1521^3+3*$J1521^2-3*$J1521+1)+INDIRECT("D$"&amp;3+MIN(2,ROUNDDOWN(I1521,0))*3)*(3*$J1521^3-6*$J1521^2+3*$J1521)+INDIRECT("D$"&amp;4+MIN(2,ROUNDDOWN(I1521,0))*3)*(-3*$J1521^3+3*$J1521^2)+INDIRECT("D$"&amp;5+MIN(2,ROUNDDOWN(I1521,0))*3)*$J1521^3</f>
      </c>
      <c r="M1521" s="7">
        <f>SQRT(K1521^2+L1521^2)</f>
      </c>
      <c r="N1521" s="7">
        <f>(K1522-K1520)</f>
      </c>
      <c r="O1521" s="7">
        <f>+(L1522-L1520)</f>
      </c>
      <c r="P1521" s="7">
        <f>SQRT(O1521^2+N1521^2)</f>
      </c>
      <c r="Q1521" s="7">
        <f>N1521/$P1521</f>
      </c>
      <c r="R1521" s="7">
        <f>O1521/$P1521</f>
      </c>
      <c r="S1521" s="8">
        <f>Q1521^2+R1521^2</f>
      </c>
      <c r="T1521" s="7">
        <f>-R1521</f>
      </c>
      <c r="U1521" s="7">
        <f>Q1521</f>
      </c>
      <c r="V1521" s="7">
        <f>($C$14+($C$15-$C$14)/($D$15-$D$14)*(I1521-$D$14))/2</f>
      </c>
      <c r="W1521" s="7">
        <f>($B$22*I1521^4+$C$22*I1521^3+$D$22*I1521^2+$E$22*I1521+$F$22)/2</f>
      </c>
      <c r="X1521" s="7">
        <f>($W1521)*(T1521)</f>
      </c>
      <c r="Y1521" s="7">
        <f>($W1521)*(U1521)</f>
      </c>
      <c r="Z1521" s="7">
        <f>SQRT(X1521^2+Y1521^2)</f>
      </c>
      <c r="AA1521" s="7">
        <f>$K1521+$X1521</f>
      </c>
      <c r="AB1521" s="7">
        <f>$L1521+$Y1521</f>
      </c>
      <c r="AC1521" s="7">
        <f>$K1521-$X1521</f>
      </c>
      <c r="AD1521" s="7">
        <f>$L1521-$Y1521</f>
      </c>
      <c r="AE1521" s="7">
        <f>AA1521/39.3701</f>
      </c>
      <c r="AF1521" s="7">
        <f>AB1521/39.3701</f>
      </c>
      <c r="AG1521" s="7">
        <f>AC1521/39.3701</f>
      </c>
      <c r="AH1521" s="7">
        <f>AD1521/39.3701</f>
      </c>
      <c r="AI1521" s="1"/>
      <c r="AJ1521" s="1"/>
      <c r="AK1521" s="1"/>
      <c r="AL1521" s="1"/>
      <c r="AM1521" s="2"/>
      <c r="AN1521" s="1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  <c r="BA1521" s="1"/>
      <c r="BB1521" s="1"/>
      <c r="BC1521" s="1"/>
      <c r="BD1521" s="1"/>
      <c r="BE1521" s="1"/>
    </row>
    <row x14ac:dyDescent="0.25" r="1522" customHeight="1" ht="18.75">
      <c r="A1522" s="1"/>
      <c r="B1522" s="2"/>
      <c r="C1522" s="2"/>
      <c r="D1522" s="2"/>
      <c r="E1522" s="2"/>
      <c r="F1522" s="2"/>
      <c r="G1522" s="1"/>
      <c r="H1522" s="1"/>
      <c r="I1522" s="7">
        <v>1.519</v>
      </c>
      <c r="J1522" s="7">
        <f>IF((I1522-ROUNDDOWN(I1522,0))=0, 0, (I1522-ROUNDDOWN(I1522,0)))</f>
      </c>
      <c r="K1522" s="7">
        <f>INDIRECT("C$"&amp;2+MIN(2,ROUNDDOWN(I1522,0))*3)*(-$J1522^3+3*$J1522^2-3*$J1522+1)+INDIRECT("C$"&amp;3+MIN(2,ROUNDDOWN(I1522,0))*3)*(3*$J1522^3-6*$J1522^2+3*$J1522)+INDIRECT("C$"&amp;4+MIN(2,ROUNDDOWN(I1522,0))*3)*(-3*$J1522^3+3*$J1522^2)+INDIRECT("C$"&amp;5+MIN(2,ROUNDDOWN(I1522,0))*3)*$J1522^3</f>
      </c>
      <c r="L1522" s="7">
        <f>INDIRECT("D$"&amp;2+MIN(2,ROUNDDOWN(I1522,0))*3)*(-$J1522^3+3*$J1522^2-3*$J1522+1)+INDIRECT("D$"&amp;3+MIN(2,ROUNDDOWN(I1522,0))*3)*(3*$J1522^3-6*$J1522^2+3*$J1522)+INDIRECT("D$"&amp;4+MIN(2,ROUNDDOWN(I1522,0))*3)*(-3*$J1522^3+3*$J1522^2)+INDIRECT("D$"&amp;5+MIN(2,ROUNDDOWN(I1522,0))*3)*$J1522^3</f>
      </c>
      <c r="M1522" s="7">
        <f>SQRT(K1522^2+L1522^2)</f>
      </c>
      <c r="N1522" s="7">
        <f>(K1523-K1521)</f>
      </c>
      <c r="O1522" s="7">
        <f>+(L1523-L1521)</f>
      </c>
      <c r="P1522" s="7">
        <f>SQRT(O1522^2+N1522^2)</f>
      </c>
      <c r="Q1522" s="7">
        <f>N1522/$P1522</f>
      </c>
      <c r="R1522" s="7">
        <f>O1522/$P1522</f>
      </c>
      <c r="S1522" s="8">
        <f>Q1522^2+R1522^2</f>
      </c>
      <c r="T1522" s="7">
        <f>-R1522</f>
      </c>
      <c r="U1522" s="7">
        <f>Q1522</f>
      </c>
      <c r="V1522" s="7">
        <f>($C$14+($C$15-$C$14)/($D$15-$D$14)*(I1522-$D$14))/2</f>
      </c>
      <c r="W1522" s="7">
        <f>($B$22*I1522^4+$C$22*I1522^3+$D$22*I1522^2+$E$22*I1522+$F$22)/2</f>
      </c>
      <c r="X1522" s="7">
        <f>($W1522)*(T1522)</f>
      </c>
      <c r="Y1522" s="7">
        <f>($W1522)*(U1522)</f>
      </c>
      <c r="Z1522" s="7">
        <f>SQRT(X1522^2+Y1522^2)</f>
      </c>
      <c r="AA1522" s="7">
        <f>$K1522+$X1522</f>
      </c>
      <c r="AB1522" s="7">
        <f>$L1522+$Y1522</f>
      </c>
      <c r="AC1522" s="7">
        <f>$K1522-$X1522</f>
      </c>
      <c r="AD1522" s="7">
        <f>$L1522-$Y1522</f>
      </c>
      <c r="AE1522" s="7">
        <f>AA1522/39.3701</f>
      </c>
      <c r="AF1522" s="7">
        <f>AB1522/39.3701</f>
      </c>
      <c r="AG1522" s="7">
        <f>AC1522/39.3701</f>
      </c>
      <c r="AH1522" s="7">
        <f>AD1522/39.3701</f>
      </c>
      <c r="AI1522" s="1"/>
      <c r="AJ1522" s="1"/>
      <c r="AK1522" s="1"/>
      <c r="AL1522" s="1"/>
      <c r="AM1522" s="2"/>
      <c r="AN1522" s="1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  <c r="BA1522" s="1"/>
      <c r="BB1522" s="1"/>
      <c r="BC1522" s="1"/>
      <c r="BD1522" s="1"/>
      <c r="BE1522" s="1"/>
    </row>
    <row x14ac:dyDescent="0.25" r="1523" customHeight="1" ht="18.75">
      <c r="A1523" s="1"/>
      <c r="B1523" s="2"/>
      <c r="C1523" s="2"/>
      <c r="D1523" s="2"/>
      <c r="E1523" s="2"/>
      <c r="F1523" s="2"/>
      <c r="G1523" s="1"/>
      <c r="H1523" s="1"/>
      <c r="I1523" s="7">
        <v>1.52</v>
      </c>
      <c r="J1523" s="7">
        <f>IF((I1523-ROUNDDOWN(I1523,0))=0, 0, (I1523-ROUNDDOWN(I1523,0)))</f>
      </c>
      <c r="K1523" s="7">
        <f>INDIRECT("C$"&amp;2+MIN(2,ROUNDDOWN(I1523,0))*3)*(-$J1523^3+3*$J1523^2-3*$J1523+1)+INDIRECT("C$"&amp;3+MIN(2,ROUNDDOWN(I1523,0))*3)*(3*$J1523^3-6*$J1523^2+3*$J1523)+INDIRECT("C$"&amp;4+MIN(2,ROUNDDOWN(I1523,0))*3)*(-3*$J1523^3+3*$J1523^2)+INDIRECT("C$"&amp;5+MIN(2,ROUNDDOWN(I1523,0))*3)*$J1523^3</f>
      </c>
      <c r="L1523" s="7">
        <f>INDIRECT("D$"&amp;2+MIN(2,ROUNDDOWN(I1523,0))*3)*(-$J1523^3+3*$J1523^2-3*$J1523+1)+INDIRECT("D$"&amp;3+MIN(2,ROUNDDOWN(I1523,0))*3)*(3*$J1523^3-6*$J1523^2+3*$J1523)+INDIRECT("D$"&amp;4+MIN(2,ROUNDDOWN(I1523,0))*3)*(-3*$J1523^3+3*$J1523^2)+INDIRECT("D$"&amp;5+MIN(2,ROUNDDOWN(I1523,0))*3)*$J1523^3</f>
      </c>
      <c r="M1523" s="7">
        <f>SQRT(K1523^2+L1523^2)</f>
      </c>
      <c r="N1523" s="7">
        <f>(K1524-K1522)</f>
      </c>
      <c r="O1523" s="7">
        <f>+(L1524-L1522)</f>
      </c>
      <c r="P1523" s="7">
        <f>SQRT(O1523^2+N1523^2)</f>
      </c>
      <c r="Q1523" s="7">
        <f>N1523/$P1523</f>
      </c>
      <c r="R1523" s="7">
        <f>O1523/$P1523</f>
      </c>
      <c r="S1523" s="7">
        <f>Q1523^2+R1523^2</f>
      </c>
      <c r="T1523" s="7">
        <f>-R1523</f>
      </c>
      <c r="U1523" s="7">
        <f>Q1523</f>
      </c>
      <c r="V1523" s="7">
        <f>($C$14+($C$15-$C$14)/($D$15-$D$14)*(I1523-$D$14))/2</f>
      </c>
      <c r="W1523" s="7">
        <f>($B$22*I1523^4+$C$22*I1523^3+$D$22*I1523^2+$E$22*I1523+$F$22)/2</f>
      </c>
      <c r="X1523" s="7">
        <f>($W1523)*(T1523)</f>
      </c>
      <c r="Y1523" s="7">
        <f>($W1523)*(U1523)</f>
      </c>
      <c r="Z1523" s="7">
        <f>SQRT(X1523^2+Y1523^2)</f>
      </c>
      <c r="AA1523" s="7">
        <f>$K1523+$X1523</f>
      </c>
      <c r="AB1523" s="7">
        <f>$L1523+$Y1523</f>
      </c>
      <c r="AC1523" s="7">
        <f>$K1523-$X1523</f>
      </c>
      <c r="AD1523" s="7">
        <f>$L1523-$Y1523</f>
      </c>
      <c r="AE1523" s="7">
        <f>AA1523/39.3701</f>
      </c>
      <c r="AF1523" s="7">
        <f>AB1523/39.3701</f>
      </c>
      <c r="AG1523" s="7">
        <f>AC1523/39.3701</f>
      </c>
      <c r="AH1523" s="7">
        <f>AD1523/39.3701</f>
      </c>
      <c r="AI1523" s="1"/>
      <c r="AJ1523" s="1"/>
      <c r="AK1523" s="1"/>
      <c r="AL1523" s="1"/>
      <c r="AM1523" s="2"/>
      <c r="AN1523" s="1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  <c r="BA1523" s="1"/>
      <c r="BB1523" s="1"/>
      <c r="BC1523" s="1"/>
      <c r="BD1523" s="1"/>
      <c r="BE1523" s="1"/>
    </row>
    <row x14ac:dyDescent="0.25" r="1524" customHeight="1" ht="18.75">
      <c r="A1524" s="1"/>
      <c r="B1524" s="2"/>
      <c r="C1524" s="2"/>
      <c r="D1524" s="2"/>
      <c r="E1524" s="2"/>
      <c r="F1524" s="2"/>
      <c r="G1524" s="1"/>
      <c r="H1524" s="1"/>
      <c r="I1524" s="7">
        <v>1.521</v>
      </c>
      <c r="J1524" s="7">
        <f>IF((I1524-ROUNDDOWN(I1524,0))=0, 0, (I1524-ROUNDDOWN(I1524,0)))</f>
      </c>
      <c r="K1524" s="7">
        <f>INDIRECT("C$"&amp;2+MIN(2,ROUNDDOWN(I1524,0))*3)*(-$J1524^3+3*$J1524^2-3*$J1524+1)+INDIRECT("C$"&amp;3+MIN(2,ROUNDDOWN(I1524,0))*3)*(3*$J1524^3-6*$J1524^2+3*$J1524)+INDIRECT("C$"&amp;4+MIN(2,ROUNDDOWN(I1524,0))*3)*(-3*$J1524^3+3*$J1524^2)+INDIRECT("C$"&amp;5+MIN(2,ROUNDDOWN(I1524,0))*3)*$J1524^3</f>
      </c>
      <c r="L1524" s="7">
        <f>INDIRECT("D$"&amp;2+MIN(2,ROUNDDOWN(I1524,0))*3)*(-$J1524^3+3*$J1524^2-3*$J1524+1)+INDIRECT("D$"&amp;3+MIN(2,ROUNDDOWN(I1524,0))*3)*(3*$J1524^3-6*$J1524^2+3*$J1524)+INDIRECT("D$"&amp;4+MIN(2,ROUNDDOWN(I1524,0))*3)*(-3*$J1524^3+3*$J1524^2)+INDIRECT("D$"&amp;5+MIN(2,ROUNDDOWN(I1524,0))*3)*$J1524^3</f>
      </c>
      <c r="M1524" s="7">
        <f>SQRT(K1524^2+L1524^2)</f>
      </c>
      <c r="N1524" s="7">
        <f>(K1525-K1523)</f>
      </c>
      <c r="O1524" s="7">
        <f>+(L1525-L1523)</f>
      </c>
      <c r="P1524" s="7">
        <f>SQRT(O1524^2+N1524^2)</f>
      </c>
      <c r="Q1524" s="7">
        <f>N1524/$P1524</f>
      </c>
      <c r="R1524" s="7">
        <f>O1524/$P1524</f>
      </c>
      <c r="S1524" s="7">
        <f>Q1524^2+R1524^2</f>
      </c>
      <c r="T1524" s="7">
        <f>-R1524</f>
      </c>
      <c r="U1524" s="7">
        <f>Q1524</f>
      </c>
      <c r="V1524" s="7">
        <f>($C$14+($C$15-$C$14)/($D$15-$D$14)*(I1524-$D$14))/2</f>
      </c>
      <c r="W1524" s="7">
        <f>($B$22*I1524^4+$C$22*I1524^3+$D$22*I1524^2+$E$22*I1524+$F$22)/2</f>
      </c>
      <c r="X1524" s="7">
        <f>($W1524)*(T1524)</f>
      </c>
      <c r="Y1524" s="7">
        <f>($W1524)*(U1524)</f>
      </c>
      <c r="Z1524" s="7">
        <f>SQRT(X1524^2+Y1524^2)</f>
      </c>
      <c r="AA1524" s="7">
        <f>$K1524+$X1524</f>
      </c>
      <c r="AB1524" s="7">
        <f>$L1524+$Y1524</f>
      </c>
      <c r="AC1524" s="7">
        <f>$K1524-$X1524</f>
      </c>
      <c r="AD1524" s="7">
        <f>$L1524-$Y1524</f>
      </c>
      <c r="AE1524" s="7">
        <f>AA1524/39.3701</f>
      </c>
      <c r="AF1524" s="7">
        <f>AB1524/39.3701</f>
      </c>
      <c r="AG1524" s="7">
        <f>AC1524/39.3701</f>
      </c>
      <c r="AH1524" s="7">
        <f>AD1524/39.3701</f>
      </c>
      <c r="AI1524" s="1"/>
      <c r="AJ1524" s="1"/>
      <c r="AK1524" s="1"/>
      <c r="AL1524" s="1"/>
      <c r="AM1524" s="2"/>
      <c r="AN1524" s="1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  <c r="BA1524" s="1"/>
      <c r="BB1524" s="1"/>
      <c r="BC1524" s="1"/>
      <c r="BD1524" s="1"/>
      <c r="BE1524" s="1"/>
    </row>
    <row x14ac:dyDescent="0.25" r="1525" customHeight="1" ht="18.75">
      <c r="A1525" s="1"/>
      <c r="B1525" s="2"/>
      <c r="C1525" s="2"/>
      <c r="D1525" s="2"/>
      <c r="E1525" s="2"/>
      <c r="F1525" s="2"/>
      <c r="G1525" s="1"/>
      <c r="H1525" s="1"/>
      <c r="I1525" s="7">
        <v>1.522</v>
      </c>
      <c r="J1525" s="7">
        <f>IF((I1525-ROUNDDOWN(I1525,0))=0, 0, (I1525-ROUNDDOWN(I1525,0)))</f>
      </c>
      <c r="K1525" s="7">
        <f>INDIRECT("C$"&amp;2+MIN(2,ROUNDDOWN(I1525,0))*3)*(-$J1525^3+3*$J1525^2-3*$J1525+1)+INDIRECT("C$"&amp;3+MIN(2,ROUNDDOWN(I1525,0))*3)*(3*$J1525^3-6*$J1525^2+3*$J1525)+INDIRECT("C$"&amp;4+MIN(2,ROUNDDOWN(I1525,0))*3)*(-3*$J1525^3+3*$J1525^2)+INDIRECT("C$"&amp;5+MIN(2,ROUNDDOWN(I1525,0))*3)*$J1525^3</f>
      </c>
      <c r="L1525" s="7">
        <f>INDIRECT("D$"&amp;2+MIN(2,ROUNDDOWN(I1525,0))*3)*(-$J1525^3+3*$J1525^2-3*$J1525+1)+INDIRECT("D$"&amp;3+MIN(2,ROUNDDOWN(I1525,0))*3)*(3*$J1525^3-6*$J1525^2+3*$J1525)+INDIRECT("D$"&amp;4+MIN(2,ROUNDDOWN(I1525,0))*3)*(-3*$J1525^3+3*$J1525^2)+INDIRECT("D$"&amp;5+MIN(2,ROUNDDOWN(I1525,0))*3)*$J1525^3</f>
      </c>
      <c r="M1525" s="7">
        <f>SQRT(K1525^2+L1525^2)</f>
      </c>
      <c r="N1525" s="7">
        <f>(K1526-K1524)</f>
      </c>
      <c r="O1525" s="7">
        <f>+(L1526-L1524)</f>
      </c>
      <c r="P1525" s="7">
        <f>SQRT(O1525^2+N1525^2)</f>
      </c>
      <c r="Q1525" s="7">
        <f>N1525/$P1525</f>
      </c>
      <c r="R1525" s="7">
        <f>O1525/$P1525</f>
      </c>
      <c r="S1525" s="8">
        <f>Q1525^2+R1525^2</f>
      </c>
      <c r="T1525" s="7">
        <f>-R1525</f>
      </c>
      <c r="U1525" s="7">
        <f>Q1525</f>
      </c>
      <c r="V1525" s="7">
        <f>($C$14+($C$15-$C$14)/($D$15-$D$14)*(I1525-$D$14))/2</f>
      </c>
      <c r="W1525" s="7">
        <f>($B$22*I1525^4+$C$22*I1525^3+$D$22*I1525^2+$E$22*I1525+$F$22)/2</f>
      </c>
      <c r="X1525" s="7">
        <f>($W1525)*(T1525)</f>
      </c>
      <c r="Y1525" s="7">
        <f>($W1525)*(U1525)</f>
      </c>
      <c r="Z1525" s="7">
        <f>SQRT(X1525^2+Y1525^2)</f>
      </c>
      <c r="AA1525" s="7">
        <f>$K1525+$X1525</f>
      </c>
      <c r="AB1525" s="7">
        <f>$L1525+$Y1525</f>
      </c>
      <c r="AC1525" s="7">
        <f>$K1525-$X1525</f>
      </c>
      <c r="AD1525" s="7">
        <f>$L1525-$Y1525</f>
      </c>
      <c r="AE1525" s="7">
        <f>AA1525/39.3701</f>
      </c>
      <c r="AF1525" s="7">
        <f>AB1525/39.3701</f>
      </c>
      <c r="AG1525" s="7">
        <f>AC1525/39.3701</f>
      </c>
      <c r="AH1525" s="7">
        <f>AD1525/39.3701</f>
      </c>
      <c r="AI1525" s="1"/>
      <c r="AJ1525" s="1"/>
      <c r="AK1525" s="1"/>
      <c r="AL1525" s="1"/>
      <c r="AM1525" s="2"/>
      <c r="AN1525" s="1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  <c r="BA1525" s="1"/>
      <c r="BB1525" s="1"/>
      <c r="BC1525" s="1"/>
      <c r="BD1525" s="1"/>
      <c r="BE1525" s="1"/>
    </row>
    <row x14ac:dyDescent="0.25" r="1526" customHeight="1" ht="18.75">
      <c r="A1526" s="1"/>
      <c r="B1526" s="2"/>
      <c r="C1526" s="2"/>
      <c r="D1526" s="2"/>
      <c r="E1526" s="2"/>
      <c r="F1526" s="2"/>
      <c r="G1526" s="1"/>
      <c r="H1526" s="1"/>
      <c r="I1526" s="7">
        <v>1.523</v>
      </c>
      <c r="J1526" s="7">
        <f>IF((I1526-ROUNDDOWN(I1526,0))=0, 0, (I1526-ROUNDDOWN(I1526,0)))</f>
      </c>
      <c r="K1526" s="7">
        <f>INDIRECT("C$"&amp;2+MIN(2,ROUNDDOWN(I1526,0))*3)*(-$J1526^3+3*$J1526^2-3*$J1526+1)+INDIRECT("C$"&amp;3+MIN(2,ROUNDDOWN(I1526,0))*3)*(3*$J1526^3-6*$J1526^2+3*$J1526)+INDIRECT("C$"&amp;4+MIN(2,ROUNDDOWN(I1526,0))*3)*(-3*$J1526^3+3*$J1526^2)+INDIRECT("C$"&amp;5+MIN(2,ROUNDDOWN(I1526,0))*3)*$J1526^3</f>
      </c>
      <c r="L1526" s="7">
        <f>INDIRECT("D$"&amp;2+MIN(2,ROUNDDOWN(I1526,0))*3)*(-$J1526^3+3*$J1526^2-3*$J1526+1)+INDIRECT("D$"&amp;3+MIN(2,ROUNDDOWN(I1526,0))*3)*(3*$J1526^3-6*$J1526^2+3*$J1526)+INDIRECT("D$"&amp;4+MIN(2,ROUNDDOWN(I1526,0))*3)*(-3*$J1526^3+3*$J1526^2)+INDIRECT("D$"&amp;5+MIN(2,ROUNDDOWN(I1526,0))*3)*$J1526^3</f>
      </c>
      <c r="M1526" s="7">
        <f>SQRT(K1526^2+L1526^2)</f>
      </c>
      <c r="N1526" s="7">
        <f>(K1527-K1525)</f>
      </c>
      <c r="O1526" s="7">
        <f>+(L1527-L1525)</f>
      </c>
      <c r="P1526" s="7">
        <f>SQRT(O1526^2+N1526^2)</f>
      </c>
      <c r="Q1526" s="7">
        <f>N1526/$P1526</f>
      </c>
      <c r="R1526" s="7">
        <f>O1526/$P1526</f>
      </c>
      <c r="S1526" s="8">
        <f>Q1526^2+R1526^2</f>
      </c>
      <c r="T1526" s="7">
        <f>-R1526</f>
      </c>
      <c r="U1526" s="7">
        <f>Q1526</f>
      </c>
      <c r="V1526" s="7">
        <f>($C$14+($C$15-$C$14)/($D$15-$D$14)*(I1526-$D$14))/2</f>
      </c>
      <c r="W1526" s="7">
        <f>($B$22*I1526^4+$C$22*I1526^3+$D$22*I1526^2+$E$22*I1526+$F$22)/2</f>
      </c>
      <c r="X1526" s="7">
        <f>($W1526)*(T1526)</f>
      </c>
      <c r="Y1526" s="7">
        <f>($W1526)*(U1526)</f>
      </c>
      <c r="Z1526" s="7">
        <f>SQRT(X1526^2+Y1526^2)</f>
      </c>
      <c r="AA1526" s="7">
        <f>$K1526+$X1526</f>
      </c>
      <c r="AB1526" s="7">
        <f>$L1526+$Y1526</f>
      </c>
      <c r="AC1526" s="7">
        <f>$K1526-$X1526</f>
      </c>
      <c r="AD1526" s="7">
        <f>$L1526-$Y1526</f>
      </c>
      <c r="AE1526" s="7">
        <f>AA1526/39.3701</f>
      </c>
      <c r="AF1526" s="7">
        <f>AB1526/39.3701</f>
      </c>
      <c r="AG1526" s="7">
        <f>AC1526/39.3701</f>
      </c>
      <c r="AH1526" s="7">
        <f>AD1526/39.3701</f>
      </c>
      <c r="AI1526" s="1"/>
      <c r="AJ1526" s="1"/>
      <c r="AK1526" s="1"/>
      <c r="AL1526" s="1"/>
      <c r="AM1526" s="2"/>
      <c r="AN1526" s="1"/>
      <c r="AO1526" s="1"/>
      <c r="AP1526" s="1"/>
      <c r="AQ1526" s="1"/>
      <c r="AR1526" s="1"/>
      <c r="AS1526" s="1"/>
      <c r="AT1526" s="1"/>
      <c r="AU1526" s="1"/>
      <c r="AV1526" s="1"/>
      <c r="AW1526" s="1"/>
      <c r="AX1526" s="1"/>
      <c r="AY1526" s="1"/>
      <c r="AZ1526" s="1"/>
      <c r="BA1526" s="1"/>
      <c r="BB1526" s="1"/>
      <c r="BC1526" s="1"/>
      <c r="BD1526" s="1"/>
      <c r="BE1526" s="1"/>
    </row>
    <row x14ac:dyDescent="0.25" r="1527" customHeight="1" ht="18.75">
      <c r="A1527" s="1"/>
      <c r="B1527" s="2"/>
      <c r="C1527" s="2"/>
      <c r="D1527" s="2"/>
      <c r="E1527" s="2"/>
      <c r="F1527" s="2"/>
      <c r="G1527" s="1"/>
      <c r="H1527" s="1"/>
      <c r="I1527" s="7">
        <v>1.524</v>
      </c>
      <c r="J1527" s="7">
        <f>IF((I1527-ROUNDDOWN(I1527,0))=0, 0, (I1527-ROUNDDOWN(I1527,0)))</f>
      </c>
      <c r="K1527" s="7">
        <f>INDIRECT("C$"&amp;2+MIN(2,ROUNDDOWN(I1527,0))*3)*(-$J1527^3+3*$J1527^2-3*$J1527+1)+INDIRECT("C$"&amp;3+MIN(2,ROUNDDOWN(I1527,0))*3)*(3*$J1527^3-6*$J1527^2+3*$J1527)+INDIRECT("C$"&amp;4+MIN(2,ROUNDDOWN(I1527,0))*3)*(-3*$J1527^3+3*$J1527^2)+INDIRECT("C$"&amp;5+MIN(2,ROUNDDOWN(I1527,0))*3)*$J1527^3</f>
      </c>
      <c r="L1527" s="7">
        <f>INDIRECT("D$"&amp;2+MIN(2,ROUNDDOWN(I1527,0))*3)*(-$J1527^3+3*$J1527^2-3*$J1527+1)+INDIRECT("D$"&amp;3+MIN(2,ROUNDDOWN(I1527,0))*3)*(3*$J1527^3-6*$J1527^2+3*$J1527)+INDIRECT("D$"&amp;4+MIN(2,ROUNDDOWN(I1527,0))*3)*(-3*$J1527^3+3*$J1527^2)+INDIRECT("D$"&amp;5+MIN(2,ROUNDDOWN(I1527,0))*3)*$J1527^3</f>
      </c>
      <c r="M1527" s="7">
        <f>SQRT(K1527^2+L1527^2)</f>
      </c>
      <c r="N1527" s="7">
        <f>(K1528-K1526)</f>
      </c>
      <c r="O1527" s="7">
        <f>+(L1528-L1526)</f>
      </c>
      <c r="P1527" s="7">
        <f>SQRT(O1527^2+N1527^2)</f>
      </c>
      <c r="Q1527" s="7">
        <f>N1527/$P1527</f>
      </c>
      <c r="R1527" s="7">
        <f>O1527/$P1527</f>
      </c>
      <c r="S1527" s="8">
        <f>Q1527^2+R1527^2</f>
      </c>
      <c r="T1527" s="7">
        <f>-R1527</f>
      </c>
      <c r="U1527" s="7">
        <f>Q1527</f>
      </c>
      <c r="V1527" s="7">
        <f>($C$14+($C$15-$C$14)/($D$15-$D$14)*(I1527-$D$14))/2</f>
      </c>
      <c r="W1527" s="7">
        <f>($B$22*I1527^4+$C$22*I1527^3+$D$22*I1527^2+$E$22*I1527+$F$22)/2</f>
      </c>
      <c r="X1527" s="7">
        <f>($W1527)*(T1527)</f>
      </c>
      <c r="Y1527" s="7">
        <f>($W1527)*(U1527)</f>
      </c>
      <c r="Z1527" s="7">
        <f>SQRT(X1527^2+Y1527^2)</f>
      </c>
      <c r="AA1527" s="7">
        <f>$K1527+$X1527</f>
      </c>
      <c r="AB1527" s="7">
        <f>$L1527+$Y1527</f>
      </c>
      <c r="AC1527" s="7">
        <f>$K1527-$X1527</f>
      </c>
      <c r="AD1527" s="7">
        <f>$L1527-$Y1527</f>
      </c>
      <c r="AE1527" s="7">
        <f>AA1527/39.3701</f>
      </c>
      <c r="AF1527" s="7">
        <f>AB1527/39.3701</f>
      </c>
      <c r="AG1527" s="7">
        <f>AC1527/39.3701</f>
      </c>
      <c r="AH1527" s="7">
        <f>AD1527/39.3701</f>
      </c>
      <c r="AI1527" s="1"/>
      <c r="AJ1527" s="1"/>
      <c r="AK1527" s="1"/>
      <c r="AL1527" s="1"/>
      <c r="AM1527" s="2"/>
      <c r="AN1527" s="1"/>
      <c r="AO1527" s="1"/>
      <c r="AP1527" s="1"/>
      <c r="AQ1527" s="1"/>
      <c r="AR1527" s="1"/>
      <c r="AS1527" s="1"/>
      <c r="AT1527" s="1"/>
      <c r="AU1527" s="1"/>
      <c r="AV1527" s="1"/>
      <c r="AW1527" s="1"/>
      <c r="AX1527" s="1"/>
      <c r="AY1527" s="1"/>
      <c r="AZ1527" s="1"/>
      <c r="BA1527" s="1"/>
      <c r="BB1527" s="1"/>
      <c r="BC1527" s="1"/>
      <c r="BD1527" s="1"/>
      <c r="BE1527" s="1"/>
    </row>
    <row x14ac:dyDescent="0.25" r="1528" customHeight="1" ht="18.75">
      <c r="A1528" s="1"/>
      <c r="B1528" s="2"/>
      <c r="C1528" s="2"/>
      <c r="D1528" s="2"/>
      <c r="E1528" s="2"/>
      <c r="F1528" s="2"/>
      <c r="G1528" s="1"/>
      <c r="H1528" s="1"/>
      <c r="I1528" s="7">
        <v>1.525</v>
      </c>
      <c r="J1528" s="7">
        <f>IF((I1528-ROUNDDOWN(I1528,0))=0, 0, (I1528-ROUNDDOWN(I1528,0)))</f>
      </c>
      <c r="K1528" s="7">
        <f>INDIRECT("C$"&amp;2+MIN(2,ROUNDDOWN(I1528,0))*3)*(-$J1528^3+3*$J1528^2-3*$J1528+1)+INDIRECT("C$"&amp;3+MIN(2,ROUNDDOWN(I1528,0))*3)*(3*$J1528^3-6*$J1528^2+3*$J1528)+INDIRECT("C$"&amp;4+MIN(2,ROUNDDOWN(I1528,0))*3)*(-3*$J1528^3+3*$J1528^2)+INDIRECT("C$"&amp;5+MIN(2,ROUNDDOWN(I1528,0))*3)*$J1528^3</f>
      </c>
      <c r="L1528" s="7">
        <f>INDIRECT("D$"&amp;2+MIN(2,ROUNDDOWN(I1528,0))*3)*(-$J1528^3+3*$J1528^2-3*$J1528+1)+INDIRECT("D$"&amp;3+MIN(2,ROUNDDOWN(I1528,0))*3)*(3*$J1528^3-6*$J1528^2+3*$J1528)+INDIRECT("D$"&amp;4+MIN(2,ROUNDDOWN(I1528,0))*3)*(-3*$J1528^3+3*$J1528^2)+INDIRECT("D$"&amp;5+MIN(2,ROUNDDOWN(I1528,0))*3)*$J1528^3</f>
      </c>
      <c r="M1528" s="7">
        <f>SQRT(K1528^2+L1528^2)</f>
      </c>
      <c r="N1528" s="7">
        <f>(K1529-K1527)</f>
      </c>
      <c r="O1528" s="7">
        <f>+(L1529-L1527)</f>
      </c>
      <c r="P1528" s="7">
        <f>SQRT(O1528^2+N1528^2)</f>
      </c>
      <c r="Q1528" s="7">
        <f>N1528/$P1528</f>
      </c>
      <c r="R1528" s="7">
        <f>O1528/$P1528</f>
      </c>
      <c r="S1528" s="7">
        <f>Q1528^2+R1528^2</f>
      </c>
      <c r="T1528" s="7">
        <f>-R1528</f>
      </c>
      <c r="U1528" s="7">
        <f>Q1528</f>
      </c>
      <c r="V1528" s="7">
        <f>($C$14+($C$15-$C$14)/($D$15-$D$14)*(I1528-$D$14))/2</f>
      </c>
      <c r="W1528" s="7">
        <f>($B$22*I1528^4+$C$22*I1528^3+$D$22*I1528^2+$E$22*I1528+$F$22)/2</f>
      </c>
      <c r="X1528" s="7">
        <f>($W1528)*(T1528)</f>
      </c>
      <c r="Y1528" s="7">
        <f>($W1528)*(U1528)</f>
      </c>
      <c r="Z1528" s="7">
        <f>SQRT(X1528^2+Y1528^2)</f>
      </c>
      <c r="AA1528" s="7">
        <f>$K1528+$X1528</f>
      </c>
      <c r="AB1528" s="7">
        <f>$L1528+$Y1528</f>
      </c>
      <c r="AC1528" s="7">
        <f>$K1528-$X1528</f>
      </c>
      <c r="AD1528" s="7">
        <f>$L1528-$Y1528</f>
      </c>
      <c r="AE1528" s="7">
        <f>AA1528/39.3701</f>
      </c>
      <c r="AF1528" s="7">
        <f>AB1528/39.3701</f>
      </c>
      <c r="AG1528" s="7">
        <f>AC1528/39.3701</f>
      </c>
      <c r="AH1528" s="7">
        <f>AD1528/39.3701</f>
      </c>
      <c r="AI1528" s="1"/>
      <c r="AJ1528" s="1"/>
      <c r="AK1528" s="1"/>
      <c r="AL1528" s="1"/>
      <c r="AM1528" s="2"/>
      <c r="AN1528" s="1"/>
      <c r="AO1528" s="1"/>
      <c r="AP1528" s="1"/>
      <c r="AQ1528" s="1"/>
      <c r="AR1528" s="1"/>
      <c r="AS1528" s="1"/>
      <c r="AT1528" s="1"/>
      <c r="AU1528" s="1"/>
      <c r="AV1528" s="1"/>
      <c r="AW1528" s="1"/>
      <c r="AX1528" s="1"/>
      <c r="AY1528" s="1"/>
      <c r="AZ1528" s="1"/>
      <c r="BA1528" s="1"/>
      <c r="BB1528" s="1"/>
      <c r="BC1528" s="1"/>
      <c r="BD1528" s="1"/>
      <c r="BE1528" s="1"/>
    </row>
    <row x14ac:dyDescent="0.25" r="1529" customHeight="1" ht="18.75">
      <c r="A1529" s="1"/>
      <c r="B1529" s="2"/>
      <c r="C1529" s="2"/>
      <c r="D1529" s="2"/>
      <c r="E1529" s="2"/>
      <c r="F1529" s="2"/>
      <c r="G1529" s="1"/>
      <c r="H1529" s="1"/>
      <c r="I1529" s="7">
        <v>1.526</v>
      </c>
      <c r="J1529" s="7">
        <f>IF((I1529-ROUNDDOWN(I1529,0))=0, 0, (I1529-ROUNDDOWN(I1529,0)))</f>
      </c>
      <c r="K1529" s="7">
        <f>INDIRECT("C$"&amp;2+MIN(2,ROUNDDOWN(I1529,0))*3)*(-$J1529^3+3*$J1529^2-3*$J1529+1)+INDIRECT("C$"&amp;3+MIN(2,ROUNDDOWN(I1529,0))*3)*(3*$J1529^3-6*$J1529^2+3*$J1529)+INDIRECT("C$"&amp;4+MIN(2,ROUNDDOWN(I1529,0))*3)*(-3*$J1529^3+3*$J1529^2)+INDIRECT("C$"&amp;5+MIN(2,ROUNDDOWN(I1529,0))*3)*$J1529^3</f>
      </c>
      <c r="L1529" s="7">
        <f>INDIRECT("D$"&amp;2+MIN(2,ROUNDDOWN(I1529,0))*3)*(-$J1529^3+3*$J1529^2-3*$J1529+1)+INDIRECT("D$"&amp;3+MIN(2,ROUNDDOWN(I1529,0))*3)*(3*$J1529^3-6*$J1529^2+3*$J1529)+INDIRECT("D$"&amp;4+MIN(2,ROUNDDOWN(I1529,0))*3)*(-3*$J1529^3+3*$J1529^2)+INDIRECT("D$"&amp;5+MIN(2,ROUNDDOWN(I1529,0))*3)*$J1529^3</f>
      </c>
      <c r="M1529" s="7">
        <f>SQRT(K1529^2+L1529^2)</f>
      </c>
      <c r="N1529" s="7">
        <f>(K1530-K1528)</f>
      </c>
      <c r="O1529" s="7">
        <f>+(L1530-L1528)</f>
      </c>
      <c r="P1529" s="7">
        <f>SQRT(O1529^2+N1529^2)</f>
      </c>
      <c r="Q1529" s="7">
        <f>N1529/$P1529</f>
      </c>
      <c r="R1529" s="7">
        <f>O1529/$P1529</f>
      </c>
      <c r="S1529" s="7">
        <f>Q1529^2+R1529^2</f>
      </c>
      <c r="T1529" s="7">
        <f>-R1529</f>
      </c>
      <c r="U1529" s="7">
        <f>Q1529</f>
      </c>
      <c r="V1529" s="7">
        <f>($C$14+($C$15-$C$14)/($D$15-$D$14)*(I1529-$D$14))/2</f>
      </c>
      <c r="W1529" s="7">
        <f>($B$22*I1529^4+$C$22*I1529^3+$D$22*I1529^2+$E$22*I1529+$F$22)/2</f>
      </c>
      <c r="X1529" s="7">
        <f>($W1529)*(T1529)</f>
      </c>
      <c r="Y1529" s="7">
        <f>($W1529)*(U1529)</f>
      </c>
      <c r="Z1529" s="7">
        <f>SQRT(X1529^2+Y1529^2)</f>
      </c>
      <c r="AA1529" s="7">
        <f>$K1529+$X1529</f>
      </c>
      <c r="AB1529" s="7">
        <f>$L1529+$Y1529</f>
      </c>
      <c r="AC1529" s="7">
        <f>$K1529-$X1529</f>
      </c>
      <c r="AD1529" s="7">
        <f>$L1529-$Y1529</f>
      </c>
      <c r="AE1529" s="7">
        <f>AA1529/39.3701</f>
      </c>
      <c r="AF1529" s="7">
        <f>AB1529/39.3701</f>
      </c>
      <c r="AG1529" s="7">
        <f>AC1529/39.3701</f>
      </c>
      <c r="AH1529" s="7">
        <f>AD1529/39.3701</f>
      </c>
      <c r="AI1529" s="1"/>
      <c r="AJ1529" s="1"/>
      <c r="AK1529" s="1"/>
      <c r="AL1529" s="1"/>
      <c r="AM1529" s="2"/>
      <c r="AN1529" s="1"/>
      <c r="AO1529" s="1"/>
      <c r="AP1529" s="1"/>
      <c r="AQ1529" s="1"/>
      <c r="AR1529" s="1"/>
      <c r="AS1529" s="1"/>
      <c r="AT1529" s="1"/>
      <c r="AU1529" s="1"/>
      <c r="AV1529" s="1"/>
      <c r="AW1529" s="1"/>
      <c r="AX1529" s="1"/>
      <c r="AY1529" s="1"/>
      <c r="AZ1529" s="1"/>
      <c r="BA1529" s="1"/>
      <c r="BB1529" s="1"/>
      <c r="BC1529" s="1"/>
      <c r="BD1529" s="1"/>
      <c r="BE1529" s="1"/>
    </row>
    <row x14ac:dyDescent="0.25" r="1530" customHeight="1" ht="18.75">
      <c r="A1530" s="1"/>
      <c r="B1530" s="2"/>
      <c r="C1530" s="2"/>
      <c r="D1530" s="2"/>
      <c r="E1530" s="2"/>
      <c r="F1530" s="2"/>
      <c r="G1530" s="1"/>
      <c r="H1530" s="1"/>
      <c r="I1530" s="7">
        <v>1.527</v>
      </c>
      <c r="J1530" s="7">
        <f>IF((I1530-ROUNDDOWN(I1530,0))=0, 0, (I1530-ROUNDDOWN(I1530,0)))</f>
      </c>
      <c r="K1530" s="7">
        <f>INDIRECT("C$"&amp;2+MIN(2,ROUNDDOWN(I1530,0))*3)*(-$J1530^3+3*$J1530^2-3*$J1530+1)+INDIRECT("C$"&amp;3+MIN(2,ROUNDDOWN(I1530,0))*3)*(3*$J1530^3-6*$J1530^2+3*$J1530)+INDIRECT("C$"&amp;4+MIN(2,ROUNDDOWN(I1530,0))*3)*(-3*$J1530^3+3*$J1530^2)+INDIRECT("C$"&amp;5+MIN(2,ROUNDDOWN(I1530,0))*3)*$J1530^3</f>
      </c>
      <c r="L1530" s="7">
        <f>INDIRECT("D$"&amp;2+MIN(2,ROUNDDOWN(I1530,0))*3)*(-$J1530^3+3*$J1530^2-3*$J1530+1)+INDIRECT("D$"&amp;3+MIN(2,ROUNDDOWN(I1530,0))*3)*(3*$J1530^3-6*$J1530^2+3*$J1530)+INDIRECT("D$"&amp;4+MIN(2,ROUNDDOWN(I1530,0))*3)*(-3*$J1530^3+3*$J1530^2)+INDIRECT("D$"&amp;5+MIN(2,ROUNDDOWN(I1530,0))*3)*$J1530^3</f>
      </c>
      <c r="M1530" s="7">
        <f>SQRT(K1530^2+L1530^2)</f>
      </c>
      <c r="N1530" s="7">
        <f>(K1531-K1529)</f>
      </c>
      <c r="O1530" s="7">
        <f>+(L1531-L1529)</f>
      </c>
      <c r="P1530" s="7">
        <f>SQRT(O1530^2+N1530^2)</f>
      </c>
      <c r="Q1530" s="7">
        <f>N1530/$P1530</f>
      </c>
      <c r="R1530" s="7">
        <f>O1530/$P1530</f>
      </c>
      <c r="S1530" s="8">
        <f>Q1530^2+R1530^2</f>
      </c>
      <c r="T1530" s="7">
        <f>-R1530</f>
      </c>
      <c r="U1530" s="7">
        <f>Q1530</f>
      </c>
      <c r="V1530" s="7">
        <f>($C$14+($C$15-$C$14)/($D$15-$D$14)*(I1530-$D$14))/2</f>
      </c>
      <c r="W1530" s="7">
        <f>($B$22*I1530^4+$C$22*I1530^3+$D$22*I1530^2+$E$22*I1530+$F$22)/2</f>
      </c>
      <c r="X1530" s="7">
        <f>($W1530)*(T1530)</f>
      </c>
      <c r="Y1530" s="7">
        <f>($W1530)*(U1530)</f>
      </c>
      <c r="Z1530" s="7">
        <f>SQRT(X1530^2+Y1530^2)</f>
      </c>
      <c r="AA1530" s="7">
        <f>$K1530+$X1530</f>
      </c>
      <c r="AB1530" s="7">
        <f>$L1530+$Y1530</f>
      </c>
      <c r="AC1530" s="7">
        <f>$K1530-$X1530</f>
      </c>
      <c r="AD1530" s="7">
        <f>$L1530-$Y1530</f>
      </c>
      <c r="AE1530" s="7">
        <f>AA1530/39.3701</f>
      </c>
      <c r="AF1530" s="7">
        <f>AB1530/39.3701</f>
      </c>
      <c r="AG1530" s="7">
        <f>AC1530/39.3701</f>
      </c>
      <c r="AH1530" s="7">
        <f>AD1530/39.3701</f>
      </c>
      <c r="AI1530" s="1"/>
      <c r="AJ1530" s="1"/>
      <c r="AK1530" s="1"/>
      <c r="AL1530" s="1"/>
      <c r="AM1530" s="2"/>
      <c r="AN1530" s="1"/>
      <c r="AO1530" s="1"/>
      <c r="AP1530" s="1"/>
      <c r="AQ1530" s="1"/>
      <c r="AR1530" s="1"/>
      <c r="AS1530" s="1"/>
      <c r="AT1530" s="1"/>
      <c r="AU1530" s="1"/>
      <c r="AV1530" s="1"/>
      <c r="AW1530" s="1"/>
      <c r="AX1530" s="1"/>
      <c r="AY1530" s="1"/>
      <c r="AZ1530" s="1"/>
      <c r="BA1530" s="1"/>
      <c r="BB1530" s="1"/>
      <c r="BC1530" s="1"/>
      <c r="BD1530" s="1"/>
      <c r="BE1530" s="1"/>
    </row>
    <row x14ac:dyDescent="0.25" r="1531" customHeight="1" ht="18.75">
      <c r="A1531" s="1"/>
      <c r="B1531" s="2"/>
      <c r="C1531" s="2"/>
      <c r="D1531" s="2"/>
      <c r="E1531" s="2"/>
      <c r="F1531" s="2"/>
      <c r="G1531" s="1"/>
      <c r="H1531" s="1"/>
      <c r="I1531" s="7">
        <v>1.528</v>
      </c>
      <c r="J1531" s="7">
        <f>IF((I1531-ROUNDDOWN(I1531,0))=0, 0, (I1531-ROUNDDOWN(I1531,0)))</f>
      </c>
      <c r="K1531" s="7">
        <f>INDIRECT("C$"&amp;2+MIN(2,ROUNDDOWN(I1531,0))*3)*(-$J1531^3+3*$J1531^2-3*$J1531+1)+INDIRECT("C$"&amp;3+MIN(2,ROUNDDOWN(I1531,0))*3)*(3*$J1531^3-6*$J1531^2+3*$J1531)+INDIRECT("C$"&amp;4+MIN(2,ROUNDDOWN(I1531,0))*3)*(-3*$J1531^3+3*$J1531^2)+INDIRECT("C$"&amp;5+MIN(2,ROUNDDOWN(I1531,0))*3)*$J1531^3</f>
      </c>
      <c r="L1531" s="7">
        <f>INDIRECT("D$"&amp;2+MIN(2,ROUNDDOWN(I1531,0))*3)*(-$J1531^3+3*$J1531^2-3*$J1531+1)+INDIRECT("D$"&amp;3+MIN(2,ROUNDDOWN(I1531,0))*3)*(3*$J1531^3-6*$J1531^2+3*$J1531)+INDIRECT("D$"&amp;4+MIN(2,ROUNDDOWN(I1531,0))*3)*(-3*$J1531^3+3*$J1531^2)+INDIRECT("D$"&amp;5+MIN(2,ROUNDDOWN(I1531,0))*3)*$J1531^3</f>
      </c>
      <c r="M1531" s="7">
        <f>SQRT(K1531^2+L1531^2)</f>
      </c>
      <c r="N1531" s="7">
        <f>(K1532-K1530)</f>
      </c>
      <c r="O1531" s="7">
        <f>+(L1532-L1530)</f>
      </c>
      <c r="P1531" s="7">
        <f>SQRT(O1531^2+N1531^2)</f>
      </c>
      <c r="Q1531" s="7">
        <f>N1531/$P1531</f>
      </c>
      <c r="R1531" s="7">
        <f>O1531/$P1531</f>
      </c>
      <c r="S1531" s="7">
        <f>Q1531^2+R1531^2</f>
      </c>
      <c r="T1531" s="7">
        <f>-R1531</f>
      </c>
      <c r="U1531" s="7">
        <f>Q1531</f>
      </c>
      <c r="V1531" s="7">
        <f>($C$14+($C$15-$C$14)/($D$15-$D$14)*(I1531-$D$14))/2</f>
      </c>
      <c r="W1531" s="7">
        <f>($B$22*I1531^4+$C$22*I1531^3+$D$22*I1531^2+$E$22*I1531+$F$22)/2</f>
      </c>
      <c r="X1531" s="7">
        <f>($W1531)*(T1531)</f>
      </c>
      <c r="Y1531" s="7">
        <f>($W1531)*(U1531)</f>
      </c>
      <c r="Z1531" s="7">
        <f>SQRT(X1531^2+Y1531^2)</f>
      </c>
      <c r="AA1531" s="7">
        <f>$K1531+$X1531</f>
      </c>
      <c r="AB1531" s="7">
        <f>$L1531+$Y1531</f>
      </c>
      <c r="AC1531" s="7">
        <f>$K1531-$X1531</f>
      </c>
      <c r="AD1531" s="7">
        <f>$L1531-$Y1531</f>
      </c>
      <c r="AE1531" s="7">
        <f>AA1531/39.3701</f>
      </c>
      <c r="AF1531" s="7">
        <f>AB1531/39.3701</f>
      </c>
      <c r="AG1531" s="7">
        <f>AC1531/39.3701</f>
      </c>
      <c r="AH1531" s="7">
        <f>AD1531/39.3701</f>
      </c>
      <c r="AI1531" s="1"/>
      <c r="AJ1531" s="1"/>
      <c r="AK1531" s="1"/>
      <c r="AL1531" s="1"/>
      <c r="AM1531" s="2"/>
      <c r="AN1531" s="1"/>
      <c r="AO1531" s="1"/>
      <c r="AP1531" s="1"/>
      <c r="AQ1531" s="1"/>
      <c r="AR1531" s="1"/>
      <c r="AS1531" s="1"/>
      <c r="AT1531" s="1"/>
      <c r="AU1531" s="1"/>
      <c r="AV1531" s="1"/>
      <c r="AW1531" s="1"/>
      <c r="AX1531" s="1"/>
      <c r="AY1531" s="1"/>
      <c r="AZ1531" s="1"/>
      <c r="BA1531" s="1"/>
      <c r="BB1531" s="1"/>
      <c r="BC1531" s="1"/>
      <c r="BD1531" s="1"/>
      <c r="BE1531" s="1"/>
    </row>
    <row x14ac:dyDescent="0.25" r="1532" customHeight="1" ht="18.75">
      <c r="A1532" s="1"/>
      <c r="B1532" s="2"/>
      <c r="C1532" s="2"/>
      <c r="D1532" s="2"/>
      <c r="E1532" s="2"/>
      <c r="F1532" s="2"/>
      <c r="G1532" s="1"/>
      <c r="H1532" s="1"/>
      <c r="I1532" s="7">
        <v>1.529</v>
      </c>
      <c r="J1532" s="7">
        <f>IF((I1532-ROUNDDOWN(I1532,0))=0, 0, (I1532-ROUNDDOWN(I1532,0)))</f>
      </c>
      <c r="K1532" s="7">
        <f>INDIRECT("C$"&amp;2+MIN(2,ROUNDDOWN(I1532,0))*3)*(-$J1532^3+3*$J1532^2-3*$J1532+1)+INDIRECT("C$"&amp;3+MIN(2,ROUNDDOWN(I1532,0))*3)*(3*$J1532^3-6*$J1532^2+3*$J1532)+INDIRECT("C$"&amp;4+MIN(2,ROUNDDOWN(I1532,0))*3)*(-3*$J1532^3+3*$J1532^2)+INDIRECT("C$"&amp;5+MIN(2,ROUNDDOWN(I1532,0))*3)*$J1532^3</f>
      </c>
      <c r="L1532" s="7">
        <f>INDIRECT("D$"&amp;2+MIN(2,ROUNDDOWN(I1532,0))*3)*(-$J1532^3+3*$J1532^2-3*$J1532+1)+INDIRECT("D$"&amp;3+MIN(2,ROUNDDOWN(I1532,0))*3)*(3*$J1532^3-6*$J1532^2+3*$J1532)+INDIRECT("D$"&amp;4+MIN(2,ROUNDDOWN(I1532,0))*3)*(-3*$J1532^3+3*$J1532^2)+INDIRECT("D$"&amp;5+MIN(2,ROUNDDOWN(I1532,0))*3)*$J1532^3</f>
      </c>
      <c r="M1532" s="7">
        <f>SQRT(K1532^2+L1532^2)</f>
      </c>
      <c r="N1532" s="7">
        <f>(K1533-K1531)</f>
      </c>
      <c r="O1532" s="7">
        <f>+(L1533-L1531)</f>
      </c>
      <c r="P1532" s="7">
        <f>SQRT(O1532^2+N1532^2)</f>
      </c>
      <c r="Q1532" s="7">
        <f>N1532/$P1532</f>
      </c>
      <c r="R1532" s="7">
        <f>O1532/$P1532</f>
      </c>
      <c r="S1532" s="7">
        <f>Q1532^2+R1532^2</f>
      </c>
      <c r="T1532" s="7">
        <f>-R1532</f>
      </c>
      <c r="U1532" s="7">
        <f>Q1532</f>
      </c>
      <c r="V1532" s="7">
        <f>($C$14+($C$15-$C$14)/($D$15-$D$14)*(I1532-$D$14))/2</f>
      </c>
      <c r="W1532" s="7">
        <f>($B$22*I1532^4+$C$22*I1532^3+$D$22*I1532^2+$E$22*I1532+$F$22)/2</f>
      </c>
      <c r="X1532" s="7">
        <f>($W1532)*(T1532)</f>
      </c>
      <c r="Y1532" s="7">
        <f>($W1532)*(U1532)</f>
      </c>
      <c r="Z1532" s="7">
        <f>SQRT(X1532^2+Y1532^2)</f>
      </c>
      <c r="AA1532" s="7">
        <f>$K1532+$X1532</f>
      </c>
      <c r="AB1532" s="7">
        <f>$L1532+$Y1532</f>
      </c>
      <c r="AC1532" s="7">
        <f>$K1532-$X1532</f>
      </c>
      <c r="AD1532" s="7">
        <f>$L1532-$Y1532</f>
      </c>
      <c r="AE1532" s="7">
        <f>AA1532/39.3701</f>
      </c>
      <c r="AF1532" s="7">
        <f>AB1532/39.3701</f>
      </c>
      <c r="AG1532" s="7">
        <f>AC1532/39.3701</f>
      </c>
      <c r="AH1532" s="7">
        <f>AD1532/39.3701</f>
      </c>
      <c r="AI1532" s="1"/>
      <c r="AJ1532" s="1"/>
      <c r="AK1532" s="1"/>
      <c r="AL1532" s="1"/>
      <c r="AM1532" s="2"/>
      <c r="AN1532" s="1"/>
      <c r="AO1532" s="1"/>
      <c r="AP1532" s="1"/>
      <c r="AQ1532" s="1"/>
      <c r="AR1532" s="1"/>
      <c r="AS1532" s="1"/>
      <c r="AT1532" s="1"/>
      <c r="AU1532" s="1"/>
      <c r="AV1532" s="1"/>
      <c r="AW1532" s="1"/>
      <c r="AX1532" s="1"/>
      <c r="AY1532" s="1"/>
      <c r="AZ1532" s="1"/>
      <c r="BA1532" s="1"/>
      <c r="BB1532" s="1"/>
      <c r="BC1532" s="1"/>
      <c r="BD1532" s="1"/>
      <c r="BE1532" s="1"/>
    </row>
    <row x14ac:dyDescent="0.25" r="1533" customHeight="1" ht="18.75">
      <c r="A1533" s="1"/>
      <c r="B1533" s="2"/>
      <c r="C1533" s="2"/>
      <c r="D1533" s="2"/>
      <c r="E1533" s="2"/>
      <c r="F1533" s="2"/>
      <c r="G1533" s="1"/>
      <c r="H1533" s="1"/>
      <c r="I1533" s="7">
        <v>1.53</v>
      </c>
      <c r="J1533" s="7">
        <f>IF((I1533-ROUNDDOWN(I1533,0))=0, 0, (I1533-ROUNDDOWN(I1533,0)))</f>
      </c>
      <c r="K1533" s="7">
        <f>INDIRECT("C$"&amp;2+MIN(2,ROUNDDOWN(I1533,0))*3)*(-$J1533^3+3*$J1533^2-3*$J1533+1)+INDIRECT("C$"&amp;3+MIN(2,ROUNDDOWN(I1533,0))*3)*(3*$J1533^3-6*$J1533^2+3*$J1533)+INDIRECT("C$"&amp;4+MIN(2,ROUNDDOWN(I1533,0))*3)*(-3*$J1533^3+3*$J1533^2)+INDIRECT("C$"&amp;5+MIN(2,ROUNDDOWN(I1533,0))*3)*$J1533^3</f>
      </c>
      <c r="L1533" s="7">
        <f>INDIRECT("D$"&amp;2+MIN(2,ROUNDDOWN(I1533,0))*3)*(-$J1533^3+3*$J1533^2-3*$J1533+1)+INDIRECT("D$"&amp;3+MIN(2,ROUNDDOWN(I1533,0))*3)*(3*$J1533^3-6*$J1533^2+3*$J1533)+INDIRECT("D$"&amp;4+MIN(2,ROUNDDOWN(I1533,0))*3)*(-3*$J1533^3+3*$J1533^2)+INDIRECT("D$"&amp;5+MIN(2,ROUNDDOWN(I1533,0))*3)*$J1533^3</f>
      </c>
      <c r="M1533" s="7">
        <f>SQRT(K1533^2+L1533^2)</f>
      </c>
      <c r="N1533" s="7">
        <f>(K1534-K1532)</f>
      </c>
      <c r="O1533" s="7">
        <f>+(L1534-L1532)</f>
      </c>
      <c r="P1533" s="7">
        <f>SQRT(O1533^2+N1533^2)</f>
      </c>
      <c r="Q1533" s="7">
        <f>N1533/$P1533</f>
      </c>
      <c r="R1533" s="7">
        <f>O1533/$P1533</f>
      </c>
      <c r="S1533" s="8">
        <f>Q1533^2+R1533^2</f>
      </c>
      <c r="T1533" s="7">
        <f>-R1533</f>
      </c>
      <c r="U1533" s="7">
        <f>Q1533</f>
      </c>
      <c r="V1533" s="7">
        <f>($C$14+($C$15-$C$14)/($D$15-$D$14)*(I1533-$D$14))/2</f>
      </c>
      <c r="W1533" s="7">
        <f>($B$22*I1533^4+$C$22*I1533^3+$D$22*I1533^2+$E$22*I1533+$F$22)/2</f>
      </c>
      <c r="X1533" s="7">
        <f>($W1533)*(T1533)</f>
      </c>
      <c r="Y1533" s="7">
        <f>($W1533)*(U1533)</f>
      </c>
      <c r="Z1533" s="7">
        <f>SQRT(X1533^2+Y1533^2)</f>
      </c>
      <c r="AA1533" s="7">
        <f>$K1533+$X1533</f>
      </c>
      <c r="AB1533" s="7">
        <f>$L1533+$Y1533</f>
      </c>
      <c r="AC1533" s="7">
        <f>$K1533-$X1533</f>
      </c>
      <c r="AD1533" s="7">
        <f>$L1533-$Y1533</f>
      </c>
      <c r="AE1533" s="7">
        <f>AA1533/39.3701</f>
      </c>
      <c r="AF1533" s="7">
        <f>AB1533/39.3701</f>
      </c>
      <c r="AG1533" s="7">
        <f>AC1533/39.3701</f>
      </c>
      <c r="AH1533" s="7">
        <f>AD1533/39.3701</f>
      </c>
      <c r="AI1533" s="1"/>
      <c r="AJ1533" s="1"/>
      <c r="AK1533" s="1"/>
      <c r="AL1533" s="1"/>
      <c r="AM1533" s="2"/>
      <c r="AN1533" s="1"/>
      <c r="AO1533" s="1"/>
      <c r="AP1533" s="1"/>
      <c r="AQ1533" s="1"/>
      <c r="AR1533" s="1"/>
      <c r="AS1533" s="1"/>
      <c r="AT1533" s="1"/>
      <c r="AU1533" s="1"/>
      <c r="AV1533" s="1"/>
      <c r="AW1533" s="1"/>
      <c r="AX1533" s="1"/>
      <c r="AY1533" s="1"/>
      <c r="AZ1533" s="1"/>
      <c r="BA1533" s="1"/>
      <c r="BB1533" s="1"/>
      <c r="BC1533" s="1"/>
      <c r="BD1533" s="1"/>
      <c r="BE1533" s="1"/>
    </row>
    <row x14ac:dyDescent="0.25" r="1534" customHeight="1" ht="18.75">
      <c r="A1534" s="1"/>
      <c r="B1534" s="2"/>
      <c r="C1534" s="2"/>
      <c r="D1534" s="2"/>
      <c r="E1534" s="2"/>
      <c r="F1534" s="2"/>
      <c r="G1534" s="1"/>
      <c r="H1534" s="1"/>
      <c r="I1534" s="7">
        <v>1.531</v>
      </c>
      <c r="J1534" s="7">
        <f>IF((I1534-ROUNDDOWN(I1534,0))=0, 0, (I1534-ROUNDDOWN(I1534,0)))</f>
      </c>
      <c r="K1534" s="7">
        <f>INDIRECT("C$"&amp;2+MIN(2,ROUNDDOWN(I1534,0))*3)*(-$J1534^3+3*$J1534^2-3*$J1534+1)+INDIRECT("C$"&amp;3+MIN(2,ROUNDDOWN(I1534,0))*3)*(3*$J1534^3-6*$J1534^2+3*$J1534)+INDIRECT("C$"&amp;4+MIN(2,ROUNDDOWN(I1534,0))*3)*(-3*$J1534^3+3*$J1534^2)+INDIRECT("C$"&amp;5+MIN(2,ROUNDDOWN(I1534,0))*3)*$J1534^3</f>
      </c>
      <c r="L1534" s="7">
        <f>INDIRECT("D$"&amp;2+MIN(2,ROUNDDOWN(I1534,0))*3)*(-$J1534^3+3*$J1534^2-3*$J1534+1)+INDIRECT("D$"&amp;3+MIN(2,ROUNDDOWN(I1534,0))*3)*(3*$J1534^3-6*$J1534^2+3*$J1534)+INDIRECT("D$"&amp;4+MIN(2,ROUNDDOWN(I1534,0))*3)*(-3*$J1534^3+3*$J1534^2)+INDIRECT("D$"&amp;5+MIN(2,ROUNDDOWN(I1534,0))*3)*$J1534^3</f>
      </c>
      <c r="M1534" s="7">
        <f>SQRT(K1534^2+L1534^2)</f>
      </c>
      <c r="N1534" s="7">
        <f>(K1535-K1533)</f>
      </c>
      <c r="O1534" s="7">
        <f>+(L1535-L1533)</f>
      </c>
      <c r="P1534" s="7">
        <f>SQRT(O1534^2+N1534^2)</f>
      </c>
      <c r="Q1534" s="7">
        <f>N1534/$P1534</f>
      </c>
      <c r="R1534" s="7">
        <f>O1534/$P1534</f>
      </c>
      <c r="S1534" s="8">
        <f>Q1534^2+R1534^2</f>
      </c>
      <c r="T1534" s="7">
        <f>-R1534</f>
      </c>
      <c r="U1534" s="7">
        <f>Q1534</f>
      </c>
      <c r="V1534" s="7">
        <f>($C$14+($C$15-$C$14)/($D$15-$D$14)*(I1534-$D$14))/2</f>
      </c>
      <c r="W1534" s="7">
        <f>($B$22*I1534^4+$C$22*I1534^3+$D$22*I1534^2+$E$22*I1534+$F$22)/2</f>
      </c>
      <c r="X1534" s="7">
        <f>($W1534)*(T1534)</f>
      </c>
      <c r="Y1534" s="7">
        <f>($W1534)*(U1534)</f>
      </c>
      <c r="Z1534" s="7">
        <f>SQRT(X1534^2+Y1534^2)</f>
      </c>
      <c r="AA1534" s="7">
        <f>$K1534+$X1534</f>
      </c>
      <c r="AB1534" s="7">
        <f>$L1534+$Y1534</f>
      </c>
      <c r="AC1534" s="7">
        <f>$K1534-$X1534</f>
      </c>
      <c r="AD1534" s="7">
        <f>$L1534-$Y1534</f>
      </c>
      <c r="AE1534" s="7">
        <f>AA1534/39.3701</f>
      </c>
      <c r="AF1534" s="7">
        <f>AB1534/39.3701</f>
      </c>
      <c r="AG1534" s="7">
        <f>AC1534/39.3701</f>
      </c>
      <c r="AH1534" s="7">
        <f>AD1534/39.3701</f>
      </c>
      <c r="AI1534" s="1"/>
      <c r="AJ1534" s="1"/>
      <c r="AK1534" s="1"/>
      <c r="AL1534" s="1"/>
      <c r="AM1534" s="2"/>
      <c r="AN1534" s="1"/>
      <c r="AO1534" s="1"/>
      <c r="AP1534" s="1"/>
      <c r="AQ1534" s="1"/>
      <c r="AR1534" s="1"/>
      <c r="AS1534" s="1"/>
      <c r="AT1534" s="1"/>
      <c r="AU1534" s="1"/>
      <c r="AV1534" s="1"/>
      <c r="AW1534" s="1"/>
      <c r="AX1534" s="1"/>
      <c r="AY1534" s="1"/>
      <c r="AZ1534" s="1"/>
      <c r="BA1534" s="1"/>
      <c r="BB1534" s="1"/>
      <c r="BC1534" s="1"/>
      <c r="BD1534" s="1"/>
      <c r="BE1534" s="1"/>
    </row>
    <row x14ac:dyDescent="0.25" r="1535" customHeight="1" ht="18.75">
      <c r="A1535" s="1"/>
      <c r="B1535" s="2"/>
      <c r="C1535" s="2"/>
      <c r="D1535" s="2"/>
      <c r="E1535" s="2"/>
      <c r="F1535" s="2"/>
      <c r="G1535" s="1"/>
      <c r="H1535" s="1"/>
      <c r="I1535" s="7">
        <v>1.532</v>
      </c>
      <c r="J1535" s="7">
        <f>IF((I1535-ROUNDDOWN(I1535,0))=0, 0, (I1535-ROUNDDOWN(I1535,0)))</f>
      </c>
      <c r="K1535" s="7">
        <f>INDIRECT("C$"&amp;2+MIN(2,ROUNDDOWN(I1535,0))*3)*(-$J1535^3+3*$J1535^2-3*$J1535+1)+INDIRECT("C$"&amp;3+MIN(2,ROUNDDOWN(I1535,0))*3)*(3*$J1535^3-6*$J1535^2+3*$J1535)+INDIRECT("C$"&amp;4+MIN(2,ROUNDDOWN(I1535,0))*3)*(-3*$J1535^3+3*$J1535^2)+INDIRECT("C$"&amp;5+MIN(2,ROUNDDOWN(I1535,0))*3)*$J1535^3</f>
      </c>
      <c r="L1535" s="7">
        <f>INDIRECT("D$"&amp;2+MIN(2,ROUNDDOWN(I1535,0))*3)*(-$J1535^3+3*$J1535^2-3*$J1535+1)+INDIRECT("D$"&amp;3+MIN(2,ROUNDDOWN(I1535,0))*3)*(3*$J1535^3-6*$J1535^2+3*$J1535)+INDIRECT("D$"&amp;4+MIN(2,ROUNDDOWN(I1535,0))*3)*(-3*$J1535^3+3*$J1535^2)+INDIRECT("D$"&amp;5+MIN(2,ROUNDDOWN(I1535,0))*3)*$J1535^3</f>
      </c>
      <c r="M1535" s="7">
        <f>SQRT(K1535^2+L1535^2)</f>
      </c>
      <c r="N1535" s="7">
        <f>(K1536-K1534)</f>
      </c>
      <c r="O1535" s="7">
        <f>+(L1536-L1534)</f>
      </c>
      <c r="P1535" s="7">
        <f>SQRT(O1535^2+N1535^2)</f>
      </c>
      <c r="Q1535" s="7">
        <f>N1535/$P1535</f>
      </c>
      <c r="R1535" s="7">
        <f>O1535/$P1535</f>
      </c>
      <c r="S1535" s="8">
        <f>Q1535^2+R1535^2</f>
      </c>
      <c r="T1535" s="7">
        <f>-R1535</f>
      </c>
      <c r="U1535" s="7">
        <f>Q1535</f>
      </c>
      <c r="V1535" s="7">
        <f>($C$14+($C$15-$C$14)/($D$15-$D$14)*(I1535-$D$14))/2</f>
      </c>
      <c r="W1535" s="7">
        <f>($B$22*I1535^4+$C$22*I1535^3+$D$22*I1535^2+$E$22*I1535+$F$22)/2</f>
      </c>
      <c r="X1535" s="7">
        <f>($W1535)*(T1535)</f>
      </c>
      <c r="Y1535" s="7">
        <f>($W1535)*(U1535)</f>
      </c>
      <c r="Z1535" s="7">
        <f>SQRT(X1535^2+Y1535^2)</f>
      </c>
      <c r="AA1535" s="7">
        <f>$K1535+$X1535</f>
      </c>
      <c r="AB1535" s="7">
        <f>$L1535+$Y1535</f>
      </c>
      <c r="AC1535" s="7">
        <f>$K1535-$X1535</f>
      </c>
      <c r="AD1535" s="7">
        <f>$L1535-$Y1535</f>
      </c>
      <c r="AE1535" s="7">
        <f>AA1535/39.3701</f>
      </c>
      <c r="AF1535" s="7">
        <f>AB1535/39.3701</f>
      </c>
      <c r="AG1535" s="7">
        <f>AC1535/39.3701</f>
      </c>
      <c r="AH1535" s="7">
        <f>AD1535/39.3701</f>
      </c>
      <c r="AI1535" s="1"/>
      <c r="AJ1535" s="1"/>
      <c r="AK1535" s="1"/>
      <c r="AL1535" s="1"/>
      <c r="AM1535" s="2"/>
      <c r="AN1535" s="1"/>
      <c r="AO1535" s="1"/>
      <c r="AP1535" s="1"/>
      <c r="AQ1535" s="1"/>
      <c r="AR1535" s="1"/>
      <c r="AS1535" s="1"/>
      <c r="AT1535" s="1"/>
      <c r="AU1535" s="1"/>
      <c r="AV1535" s="1"/>
      <c r="AW1535" s="1"/>
      <c r="AX1535" s="1"/>
      <c r="AY1535" s="1"/>
      <c r="AZ1535" s="1"/>
      <c r="BA1535" s="1"/>
      <c r="BB1535" s="1"/>
      <c r="BC1535" s="1"/>
      <c r="BD1535" s="1"/>
      <c r="BE1535" s="1"/>
    </row>
    <row x14ac:dyDescent="0.25" r="1536" customHeight="1" ht="18.75">
      <c r="A1536" s="1"/>
      <c r="B1536" s="2"/>
      <c r="C1536" s="2"/>
      <c r="D1536" s="2"/>
      <c r="E1536" s="2"/>
      <c r="F1536" s="2"/>
      <c r="G1536" s="1"/>
      <c r="H1536" s="1"/>
      <c r="I1536" s="7">
        <v>1.533</v>
      </c>
      <c r="J1536" s="7">
        <f>IF((I1536-ROUNDDOWN(I1536,0))=0, 0, (I1536-ROUNDDOWN(I1536,0)))</f>
      </c>
      <c r="K1536" s="7">
        <f>INDIRECT("C$"&amp;2+MIN(2,ROUNDDOWN(I1536,0))*3)*(-$J1536^3+3*$J1536^2-3*$J1536+1)+INDIRECT("C$"&amp;3+MIN(2,ROUNDDOWN(I1536,0))*3)*(3*$J1536^3-6*$J1536^2+3*$J1536)+INDIRECT("C$"&amp;4+MIN(2,ROUNDDOWN(I1536,0))*3)*(-3*$J1536^3+3*$J1536^2)+INDIRECT("C$"&amp;5+MIN(2,ROUNDDOWN(I1536,0))*3)*$J1536^3</f>
      </c>
      <c r="L1536" s="7">
        <f>INDIRECT("D$"&amp;2+MIN(2,ROUNDDOWN(I1536,0))*3)*(-$J1536^3+3*$J1536^2-3*$J1536+1)+INDIRECT("D$"&amp;3+MIN(2,ROUNDDOWN(I1536,0))*3)*(3*$J1536^3-6*$J1536^2+3*$J1536)+INDIRECT("D$"&amp;4+MIN(2,ROUNDDOWN(I1536,0))*3)*(-3*$J1536^3+3*$J1536^2)+INDIRECT("D$"&amp;5+MIN(2,ROUNDDOWN(I1536,0))*3)*$J1536^3</f>
      </c>
      <c r="M1536" s="7">
        <f>SQRT(K1536^2+L1536^2)</f>
      </c>
      <c r="N1536" s="7">
        <f>(K1537-K1535)</f>
      </c>
      <c r="O1536" s="7">
        <f>+(L1537-L1535)</f>
      </c>
      <c r="P1536" s="7">
        <f>SQRT(O1536^2+N1536^2)</f>
      </c>
      <c r="Q1536" s="7">
        <f>N1536/$P1536</f>
      </c>
      <c r="R1536" s="7">
        <f>O1536/$P1536</f>
      </c>
      <c r="S1536" s="7">
        <f>Q1536^2+R1536^2</f>
      </c>
      <c r="T1536" s="7">
        <f>-R1536</f>
      </c>
      <c r="U1536" s="7">
        <f>Q1536</f>
      </c>
      <c r="V1536" s="7">
        <f>($C$14+($C$15-$C$14)/($D$15-$D$14)*(I1536-$D$14))/2</f>
      </c>
      <c r="W1536" s="7">
        <f>($B$22*I1536^4+$C$22*I1536^3+$D$22*I1536^2+$E$22*I1536+$F$22)/2</f>
      </c>
      <c r="X1536" s="7">
        <f>($W1536)*(T1536)</f>
      </c>
      <c r="Y1536" s="7">
        <f>($W1536)*(U1536)</f>
      </c>
      <c r="Z1536" s="7">
        <f>SQRT(X1536^2+Y1536^2)</f>
      </c>
      <c r="AA1536" s="7">
        <f>$K1536+$X1536</f>
      </c>
      <c r="AB1536" s="7">
        <f>$L1536+$Y1536</f>
      </c>
      <c r="AC1536" s="7">
        <f>$K1536-$X1536</f>
      </c>
      <c r="AD1536" s="7">
        <f>$L1536-$Y1536</f>
      </c>
      <c r="AE1536" s="7">
        <f>AA1536/39.3701</f>
      </c>
      <c r="AF1536" s="7">
        <f>AB1536/39.3701</f>
      </c>
      <c r="AG1536" s="7">
        <f>AC1536/39.3701</f>
      </c>
      <c r="AH1536" s="7">
        <f>AD1536/39.3701</f>
      </c>
      <c r="AI1536" s="1"/>
      <c r="AJ1536" s="1"/>
      <c r="AK1536" s="1"/>
      <c r="AL1536" s="1"/>
      <c r="AM1536" s="2"/>
      <c r="AN1536" s="1"/>
      <c r="AO1536" s="1"/>
      <c r="AP1536" s="1"/>
      <c r="AQ1536" s="1"/>
      <c r="AR1536" s="1"/>
      <c r="AS1536" s="1"/>
      <c r="AT1536" s="1"/>
      <c r="AU1536" s="1"/>
      <c r="AV1536" s="1"/>
      <c r="AW1536" s="1"/>
      <c r="AX1536" s="1"/>
      <c r="AY1536" s="1"/>
      <c r="AZ1536" s="1"/>
      <c r="BA1536" s="1"/>
      <c r="BB1536" s="1"/>
      <c r="BC1536" s="1"/>
      <c r="BD1536" s="1"/>
      <c r="BE1536" s="1"/>
    </row>
    <row x14ac:dyDescent="0.25" r="1537" customHeight="1" ht="18.75">
      <c r="A1537" s="1"/>
      <c r="B1537" s="2"/>
      <c r="C1537" s="2"/>
      <c r="D1537" s="2"/>
      <c r="E1537" s="2"/>
      <c r="F1537" s="2"/>
      <c r="G1537" s="1"/>
      <c r="H1537" s="1"/>
      <c r="I1537" s="7">
        <v>1.534</v>
      </c>
      <c r="J1537" s="7">
        <f>IF((I1537-ROUNDDOWN(I1537,0))=0, 0, (I1537-ROUNDDOWN(I1537,0)))</f>
      </c>
      <c r="K1537" s="7">
        <f>INDIRECT("C$"&amp;2+MIN(2,ROUNDDOWN(I1537,0))*3)*(-$J1537^3+3*$J1537^2-3*$J1537+1)+INDIRECT("C$"&amp;3+MIN(2,ROUNDDOWN(I1537,0))*3)*(3*$J1537^3-6*$J1537^2+3*$J1537)+INDIRECT("C$"&amp;4+MIN(2,ROUNDDOWN(I1537,0))*3)*(-3*$J1537^3+3*$J1537^2)+INDIRECT("C$"&amp;5+MIN(2,ROUNDDOWN(I1537,0))*3)*$J1537^3</f>
      </c>
      <c r="L1537" s="7">
        <f>INDIRECT("D$"&amp;2+MIN(2,ROUNDDOWN(I1537,0))*3)*(-$J1537^3+3*$J1537^2-3*$J1537+1)+INDIRECT("D$"&amp;3+MIN(2,ROUNDDOWN(I1537,0))*3)*(3*$J1537^3-6*$J1537^2+3*$J1537)+INDIRECT("D$"&amp;4+MIN(2,ROUNDDOWN(I1537,0))*3)*(-3*$J1537^3+3*$J1537^2)+INDIRECT("D$"&amp;5+MIN(2,ROUNDDOWN(I1537,0))*3)*$J1537^3</f>
      </c>
      <c r="M1537" s="7">
        <f>SQRT(K1537^2+L1537^2)</f>
      </c>
      <c r="N1537" s="7">
        <f>(K1538-K1536)</f>
      </c>
      <c r="O1537" s="7">
        <f>+(L1538-L1536)</f>
      </c>
      <c r="P1537" s="7">
        <f>SQRT(O1537^2+N1537^2)</f>
      </c>
      <c r="Q1537" s="7">
        <f>N1537/$P1537</f>
      </c>
      <c r="R1537" s="7">
        <f>O1537/$P1537</f>
      </c>
      <c r="S1537" s="8">
        <f>Q1537^2+R1537^2</f>
      </c>
      <c r="T1537" s="7">
        <f>-R1537</f>
      </c>
      <c r="U1537" s="7">
        <f>Q1537</f>
      </c>
      <c r="V1537" s="7">
        <f>($C$14+($C$15-$C$14)/($D$15-$D$14)*(I1537-$D$14))/2</f>
      </c>
      <c r="W1537" s="7">
        <f>($B$22*I1537^4+$C$22*I1537^3+$D$22*I1537^2+$E$22*I1537+$F$22)/2</f>
      </c>
      <c r="X1537" s="7">
        <f>($W1537)*(T1537)</f>
      </c>
      <c r="Y1537" s="7">
        <f>($W1537)*(U1537)</f>
      </c>
      <c r="Z1537" s="7">
        <f>SQRT(X1537^2+Y1537^2)</f>
      </c>
      <c r="AA1537" s="7">
        <f>$K1537+$X1537</f>
      </c>
      <c r="AB1537" s="7">
        <f>$L1537+$Y1537</f>
      </c>
      <c r="AC1537" s="7">
        <f>$K1537-$X1537</f>
      </c>
      <c r="AD1537" s="7">
        <f>$L1537-$Y1537</f>
      </c>
      <c r="AE1537" s="7">
        <f>AA1537/39.3701</f>
      </c>
      <c r="AF1537" s="7">
        <f>AB1537/39.3701</f>
      </c>
      <c r="AG1537" s="7">
        <f>AC1537/39.3701</f>
      </c>
      <c r="AH1537" s="7">
        <f>AD1537/39.3701</f>
      </c>
      <c r="AI1537" s="1"/>
      <c r="AJ1537" s="1"/>
      <c r="AK1537" s="1"/>
      <c r="AL1537" s="1"/>
      <c r="AM1537" s="2"/>
      <c r="AN1537" s="1"/>
      <c r="AO1537" s="1"/>
      <c r="AP1537" s="1"/>
      <c r="AQ1537" s="1"/>
      <c r="AR1537" s="1"/>
      <c r="AS1537" s="1"/>
      <c r="AT1537" s="1"/>
      <c r="AU1537" s="1"/>
      <c r="AV1537" s="1"/>
      <c r="AW1537" s="1"/>
      <c r="AX1537" s="1"/>
      <c r="AY1537" s="1"/>
      <c r="AZ1537" s="1"/>
      <c r="BA1537" s="1"/>
      <c r="BB1537" s="1"/>
      <c r="BC1537" s="1"/>
      <c r="BD1537" s="1"/>
      <c r="BE1537" s="1"/>
    </row>
    <row x14ac:dyDescent="0.25" r="1538" customHeight="1" ht="18.75">
      <c r="A1538" s="1"/>
      <c r="B1538" s="2"/>
      <c r="C1538" s="2"/>
      <c r="D1538" s="2"/>
      <c r="E1538" s="2"/>
      <c r="F1538" s="2"/>
      <c r="G1538" s="1"/>
      <c r="H1538" s="1"/>
      <c r="I1538" s="7">
        <v>1.535</v>
      </c>
      <c r="J1538" s="7">
        <f>IF((I1538-ROUNDDOWN(I1538,0))=0, 0, (I1538-ROUNDDOWN(I1538,0)))</f>
      </c>
      <c r="K1538" s="7">
        <f>INDIRECT("C$"&amp;2+MIN(2,ROUNDDOWN(I1538,0))*3)*(-$J1538^3+3*$J1538^2-3*$J1538+1)+INDIRECT("C$"&amp;3+MIN(2,ROUNDDOWN(I1538,0))*3)*(3*$J1538^3-6*$J1538^2+3*$J1538)+INDIRECT("C$"&amp;4+MIN(2,ROUNDDOWN(I1538,0))*3)*(-3*$J1538^3+3*$J1538^2)+INDIRECT("C$"&amp;5+MIN(2,ROUNDDOWN(I1538,0))*3)*$J1538^3</f>
      </c>
      <c r="L1538" s="7">
        <f>INDIRECT("D$"&amp;2+MIN(2,ROUNDDOWN(I1538,0))*3)*(-$J1538^3+3*$J1538^2-3*$J1538+1)+INDIRECT("D$"&amp;3+MIN(2,ROUNDDOWN(I1538,0))*3)*(3*$J1538^3-6*$J1538^2+3*$J1538)+INDIRECT("D$"&amp;4+MIN(2,ROUNDDOWN(I1538,0))*3)*(-3*$J1538^3+3*$J1538^2)+INDIRECT("D$"&amp;5+MIN(2,ROUNDDOWN(I1538,0))*3)*$J1538^3</f>
      </c>
      <c r="M1538" s="7">
        <f>SQRT(K1538^2+L1538^2)</f>
      </c>
      <c r="N1538" s="7">
        <f>(K1539-K1537)</f>
      </c>
      <c r="O1538" s="7">
        <f>+(L1539-L1537)</f>
      </c>
      <c r="P1538" s="7">
        <f>SQRT(O1538^2+N1538^2)</f>
      </c>
      <c r="Q1538" s="7">
        <f>N1538/$P1538</f>
      </c>
      <c r="R1538" s="7">
        <f>O1538/$P1538</f>
      </c>
      <c r="S1538" s="7">
        <f>Q1538^2+R1538^2</f>
      </c>
      <c r="T1538" s="7">
        <f>-R1538</f>
      </c>
      <c r="U1538" s="7">
        <f>Q1538</f>
      </c>
      <c r="V1538" s="7">
        <f>($C$14+($C$15-$C$14)/($D$15-$D$14)*(I1538-$D$14))/2</f>
      </c>
      <c r="W1538" s="7">
        <f>($B$22*I1538^4+$C$22*I1538^3+$D$22*I1538^2+$E$22*I1538+$F$22)/2</f>
      </c>
      <c r="X1538" s="7">
        <f>($W1538)*(T1538)</f>
      </c>
      <c r="Y1538" s="7">
        <f>($W1538)*(U1538)</f>
      </c>
      <c r="Z1538" s="7">
        <f>SQRT(X1538^2+Y1538^2)</f>
      </c>
      <c r="AA1538" s="7">
        <f>$K1538+$X1538</f>
      </c>
      <c r="AB1538" s="7">
        <f>$L1538+$Y1538</f>
      </c>
      <c r="AC1538" s="7">
        <f>$K1538-$X1538</f>
      </c>
      <c r="AD1538" s="7">
        <f>$L1538-$Y1538</f>
      </c>
      <c r="AE1538" s="7">
        <f>AA1538/39.3701</f>
      </c>
      <c r="AF1538" s="7">
        <f>AB1538/39.3701</f>
      </c>
      <c r="AG1538" s="7">
        <f>AC1538/39.3701</f>
      </c>
      <c r="AH1538" s="7">
        <f>AD1538/39.3701</f>
      </c>
      <c r="AI1538" s="1"/>
      <c r="AJ1538" s="1"/>
      <c r="AK1538" s="1"/>
      <c r="AL1538" s="1"/>
      <c r="AM1538" s="2"/>
      <c r="AN1538" s="1"/>
      <c r="AO1538" s="1"/>
      <c r="AP1538" s="1"/>
      <c r="AQ1538" s="1"/>
      <c r="AR1538" s="1"/>
      <c r="AS1538" s="1"/>
      <c r="AT1538" s="1"/>
      <c r="AU1538" s="1"/>
      <c r="AV1538" s="1"/>
      <c r="AW1538" s="1"/>
      <c r="AX1538" s="1"/>
      <c r="AY1538" s="1"/>
      <c r="AZ1538" s="1"/>
      <c r="BA1538" s="1"/>
      <c r="BB1538" s="1"/>
      <c r="BC1538" s="1"/>
      <c r="BD1538" s="1"/>
      <c r="BE1538" s="1"/>
    </row>
    <row x14ac:dyDescent="0.25" r="1539" customHeight="1" ht="18.75">
      <c r="A1539" s="1"/>
      <c r="B1539" s="2"/>
      <c r="C1539" s="2"/>
      <c r="D1539" s="2"/>
      <c r="E1539" s="2"/>
      <c r="F1539" s="2"/>
      <c r="G1539" s="1"/>
      <c r="H1539" s="1"/>
      <c r="I1539" s="7">
        <v>1.536</v>
      </c>
      <c r="J1539" s="7">
        <f>IF((I1539-ROUNDDOWN(I1539,0))=0, 0, (I1539-ROUNDDOWN(I1539,0)))</f>
      </c>
      <c r="K1539" s="7">
        <f>INDIRECT("C$"&amp;2+MIN(2,ROUNDDOWN(I1539,0))*3)*(-$J1539^3+3*$J1539^2-3*$J1539+1)+INDIRECT("C$"&amp;3+MIN(2,ROUNDDOWN(I1539,0))*3)*(3*$J1539^3-6*$J1539^2+3*$J1539)+INDIRECT("C$"&amp;4+MIN(2,ROUNDDOWN(I1539,0))*3)*(-3*$J1539^3+3*$J1539^2)+INDIRECT("C$"&amp;5+MIN(2,ROUNDDOWN(I1539,0))*3)*$J1539^3</f>
      </c>
      <c r="L1539" s="7">
        <f>INDIRECT("D$"&amp;2+MIN(2,ROUNDDOWN(I1539,0))*3)*(-$J1539^3+3*$J1539^2-3*$J1539+1)+INDIRECT("D$"&amp;3+MIN(2,ROUNDDOWN(I1539,0))*3)*(3*$J1539^3-6*$J1539^2+3*$J1539)+INDIRECT("D$"&amp;4+MIN(2,ROUNDDOWN(I1539,0))*3)*(-3*$J1539^3+3*$J1539^2)+INDIRECT("D$"&amp;5+MIN(2,ROUNDDOWN(I1539,0))*3)*$J1539^3</f>
      </c>
      <c r="M1539" s="7">
        <f>SQRT(K1539^2+L1539^2)</f>
      </c>
      <c r="N1539" s="7">
        <f>(K1540-K1538)</f>
      </c>
      <c r="O1539" s="7">
        <f>+(L1540-L1538)</f>
      </c>
      <c r="P1539" s="7">
        <f>SQRT(O1539^2+N1539^2)</f>
      </c>
      <c r="Q1539" s="7">
        <f>N1539/$P1539</f>
      </c>
      <c r="R1539" s="7">
        <f>O1539/$P1539</f>
      </c>
      <c r="S1539" s="7">
        <f>Q1539^2+R1539^2</f>
      </c>
      <c r="T1539" s="7">
        <f>-R1539</f>
      </c>
      <c r="U1539" s="7">
        <f>Q1539</f>
      </c>
      <c r="V1539" s="7">
        <f>($C$14+($C$15-$C$14)/($D$15-$D$14)*(I1539-$D$14))/2</f>
      </c>
      <c r="W1539" s="7">
        <f>($B$22*I1539^4+$C$22*I1539^3+$D$22*I1539^2+$E$22*I1539+$F$22)/2</f>
      </c>
      <c r="X1539" s="7">
        <f>($W1539)*(T1539)</f>
      </c>
      <c r="Y1539" s="7">
        <f>($W1539)*(U1539)</f>
      </c>
      <c r="Z1539" s="7">
        <f>SQRT(X1539^2+Y1539^2)</f>
      </c>
      <c r="AA1539" s="7">
        <f>$K1539+$X1539</f>
      </c>
      <c r="AB1539" s="7">
        <f>$L1539+$Y1539</f>
      </c>
      <c r="AC1539" s="7">
        <f>$K1539-$X1539</f>
      </c>
      <c r="AD1539" s="7">
        <f>$L1539-$Y1539</f>
      </c>
      <c r="AE1539" s="7">
        <f>AA1539/39.3701</f>
      </c>
      <c r="AF1539" s="7">
        <f>AB1539/39.3701</f>
      </c>
      <c r="AG1539" s="7">
        <f>AC1539/39.3701</f>
      </c>
      <c r="AH1539" s="7">
        <f>AD1539/39.3701</f>
      </c>
      <c r="AI1539" s="1"/>
      <c r="AJ1539" s="1"/>
      <c r="AK1539" s="1"/>
      <c r="AL1539" s="1"/>
      <c r="AM1539" s="2"/>
      <c r="AN1539" s="1"/>
      <c r="AO1539" s="1"/>
      <c r="AP1539" s="1"/>
      <c r="AQ1539" s="1"/>
      <c r="AR1539" s="1"/>
      <c r="AS1539" s="1"/>
      <c r="AT1539" s="1"/>
      <c r="AU1539" s="1"/>
      <c r="AV1539" s="1"/>
      <c r="AW1539" s="1"/>
      <c r="AX1539" s="1"/>
      <c r="AY1539" s="1"/>
      <c r="AZ1539" s="1"/>
      <c r="BA1539" s="1"/>
      <c r="BB1539" s="1"/>
      <c r="BC1539" s="1"/>
      <c r="BD1539" s="1"/>
      <c r="BE1539" s="1"/>
    </row>
    <row x14ac:dyDescent="0.25" r="1540" customHeight="1" ht="18.75">
      <c r="A1540" s="1"/>
      <c r="B1540" s="2"/>
      <c r="C1540" s="2"/>
      <c r="D1540" s="2"/>
      <c r="E1540" s="2"/>
      <c r="F1540" s="2"/>
      <c r="G1540" s="1"/>
      <c r="H1540" s="1"/>
      <c r="I1540" s="7">
        <v>1.537</v>
      </c>
      <c r="J1540" s="7">
        <f>IF((I1540-ROUNDDOWN(I1540,0))=0, 0, (I1540-ROUNDDOWN(I1540,0)))</f>
      </c>
      <c r="K1540" s="7">
        <f>INDIRECT("C$"&amp;2+MIN(2,ROUNDDOWN(I1540,0))*3)*(-$J1540^3+3*$J1540^2-3*$J1540+1)+INDIRECT("C$"&amp;3+MIN(2,ROUNDDOWN(I1540,0))*3)*(3*$J1540^3-6*$J1540^2+3*$J1540)+INDIRECT("C$"&amp;4+MIN(2,ROUNDDOWN(I1540,0))*3)*(-3*$J1540^3+3*$J1540^2)+INDIRECT("C$"&amp;5+MIN(2,ROUNDDOWN(I1540,0))*3)*$J1540^3</f>
      </c>
      <c r="L1540" s="7">
        <f>INDIRECT("D$"&amp;2+MIN(2,ROUNDDOWN(I1540,0))*3)*(-$J1540^3+3*$J1540^2-3*$J1540+1)+INDIRECT("D$"&amp;3+MIN(2,ROUNDDOWN(I1540,0))*3)*(3*$J1540^3-6*$J1540^2+3*$J1540)+INDIRECT("D$"&amp;4+MIN(2,ROUNDDOWN(I1540,0))*3)*(-3*$J1540^3+3*$J1540^2)+INDIRECT("D$"&amp;5+MIN(2,ROUNDDOWN(I1540,0))*3)*$J1540^3</f>
      </c>
      <c r="M1540" s="7">
        <f>SQRT(K1540^2+L1540^2)</f>
      </c>
      <c r="N1540" s="7">
        <f>(K1541-K1539)</f>
      </c>
      <c r="O1540" s="7">
        <f>+(L1541-L1539)</f>
      </c>
      <c r="P1540" s="7">
        <f>SQRT(O1540^2+N1540^2)</f>
      </c>
      <c r="Q1540" s="7">
        <f>N1540/$P1540</f>
      </c>
      <c r="R1540" s="7">
        <f>O1540/$P1540</f>
      </c>
      <c r="S1540" s="8">
        <f>Q1540^2+R1540^2</f>
      </c>
      <c r="T1540" s="7">
        <f>-R1540</f>
      </c>
      <c r="U1540" s="7">
        <f>Q1540</f>
      </c>
      <c r="V1540" s="7">
        <f>($C$14+($C$15-$C$14)/($D$15-$D$14)*(I1540-$D$14))/2</f>
      </c>
      <c r="W1540" s="7">
        <f>($B$22*I1540^4+$C$22*I1540^3+$D$22*I1540^2+$E$22*I1540+$F$22)/2</f>
      </c>
      <c r="X1540" s="7">
        <f>($W1540)*(T1540)</f>
      </c>
      <c r="Y1540" s="7">
        <f>($W1540)*(U1540)</f>
      </c>
      <c r="Z1540" s="7">
        <f>SQRT(X1540^2+Y1540^2)</f>
      </c>
      <c r="AA1540" s="7">
        <f>$K1540+$X1540</f>
      </c>
      <c r="AB1540" s="7">
        <f>$L1540+$Y1540</f>
      </c>
      <c r="AC1540" s="7">
        <f>$K1540-$X1540</f>
      </c>
      <c r="AD1540" s="7">
        <f>$L1540-$Y1540</f>
      </c>
      <c r="AE1540" s="7">
        <f>AA1540/39.3701</f>
      </c>
      <c r="AF1540" s="7">
        <f>AB1540/39.3701</f>
      </c>
      <c r="AG1540" s="7">
        <f>AC1540/39.3701</f>
      </c>
      <c r="AH1540" s="7">
        <f>AD1540/39.3701</f>
      </c>
      <c r="AI1540" s="1"/>
      <c r="AJ1540" s="1"/>
      <c r="AK1540" s="1"/>
      <c r="AL1540" s="1"/>
      <c r="AM1540" s="2"/>
      <c r="AN1540" s="1"/>
      <c r="AO1540" s="1"/>
      <c r="AP1540" s="1"/>
      <c r="AQ1540" s="1"/>
      <c r="AR1540" s="1"/>
      <c r="AS1540" s="1"/>
      <c r="AT1540" s="1"/>
      <c r="AU1540" s="1"/>
      <c r="AV1540" s="1"/>
      <c r="AW1540" s="1"/>
      <c r="AX1540" s="1"/>
      <c r="AY1540" s="1"/>
      <c r="AZ1540" s="1"/>
      <c r="BA1540" s="1"/>
      <c r="BB1540" s="1"/>
      <c r="BC1540" s="1"/>
      <c r="BD1540" s="1"/>
      <c r="BE1540" s="1"/>
    </row>
    <row x14ac:dyDescent="0.25" r="1541" customHeight="1" ht="18.75">
      <c r="A1541" s="1"/>
      <c r="B1541" s="2"/>
      <c r="C1541" s="2"/>
      <c r="D1541" s="2"/>
      <c r="E1541" s="2"/>
      <c r="F1541" s="2"/>
      <c r="G1541" s="1"/>
      <c r="H1541" s="1"/>
      <c r="I1541" s="7">
        <v>1.538</v>
      </c>
      <c r="J1541" s="7">
        <f>IF((I1541-ROUNDDOWN(I1541,0))=0, 0, (I1541-ROUNDDOWN(I1541,0)))</f>
      </c>
      <c r="K1541" s="7">
        <f>INDIRECT("C$"&amp;2+MIN(2,ROUNDDOWN(I1541,0))*3)*(-$J1541^3+3*$J1541^2-3*$J1541+1)+INDIRECT("C$"&amp;3+MIN(2,ROUNDDOWN(I1541,0))*3)*(3*$J1541^3-6*$J1541^2+3*$J1541)+INDIRECT("C$"&amp;4+MIN(2,ROUNDDOWN(I1541,0))*3)*(-3*$J1541^3+3*$J1541^2)+INDIRECT("C$"&amp;5+MIN(2,ROUNDDOWN(I1541,0))*3)*$J1541^3</f>
      </c>
      <c r="L1541" s="7">
        <f>INDIRECT("D$"&amp;2+MIN(2,ROUNDDOWN(I1541,0))*3)*(-$J1541^3+3*$J1541^2-3*$J1541+1)+INDIRECT("D$"&amp;3+MIN(2,ROUNDDOWN(I1541,0))*3)*(3*$J1541^3-6*$J1541^2+3*$J1541)+INDIRECT("D$"&amp;4+MIN(2,ROUNDDOWN(I1541,0))*3)*(-3*$J1541^3+3*$J1541^2)+INDIRECT("D$"&amp;5+MIN(2,ROUNDDOWN(I1541,0))*3)*$J1541^3</f>
      </c>
      <c r="M1541" s="7">
        <f>SQRT(K1541^2+L1541^2)</f>
      </c>
      <c r="N1541" s="7">
        <f>(K1542-K1540)</f>
      </c>
      <c r="O1541" s="7">
        <f>+(L1542-L1540)</f>
      </c>
      <c r="P1541" s="7">
        <f>SQRT(O1541^2+N1541^2)</f>
      </c>
      <c r="Q1541" s="7">
        <f>N1541/$P1541</f>
      </c>
      <c r="R1541" s="7">
        <f>O1541/$P1541</f>
      </c>
      <c r="S1541" s="7">
        <f>Q1541^2+R1541^2</f>
      </c>
      <c r="T1541" s="7">
        <f>-R1541</f>
      </c>
      <c r="U1541" s="7">
        <f>Q1541</f>
      </c>
      <c r="V1541" s="7">
        <f>($C$14+($C$15-$C$14)/($D$15-$D$14)*(I1541-$D$14))/2</f>
      </c>
      <c r="W1541" s="7">
        <f>($B$22*I1541^4+$C$22*I1541^3+$D$22*I1541^2+$E$22*I1541+$F$22)/2</f>
      </c>
      <c r="X1541" s="7">
        <f>($W1541)*(T1541)</f>
      </c>
      <c r="Y1541" s="7">
        <f>($W1541)*(U1541)</f>
      </c>
      <c r="Z1541" s="7">
        <f>SQRT(X1541^2+Y1541^2)</f>
      </c>
      <c r="AA1541" s="7">
        <f>$K1541+$X1541</f>
      </c>
      <c r="AB1541" s="7">
        <f>$L1541+$Y1541</f>
      </c>
      <c r="AC1541" s="7">
        <f>$K1541-$X1541</f>
      </c>
      <c r="AD1541" s="7">
        <f>$L1541-$Y1541</f>
      </c>
      <c r="AE1541" s="7">
        <f>AA1541/39.3701</f>
      </c>
      <c r="AF1541" s="7">
        <f>AB1541/39.3701</f>
      </c>
      <c r="AG1541" s="7">
        <f>AC1541/39.3701</f>
      </c>
      <c r="AH1541" s="7">
        <f>AD1541/39.3701</f>
      </c>
      <c r="AI1541" s="1"/>
      <c r="AJ1541" s="1"/>
      <c r="AK1541" s="1"/>
      <c r="AL1541" s="1"/>
      <c r="AM1541" s="2"/>
      <c r="AN1541" s="1"/>
      <c r="AO1541" s="1"/>
      <c r="AP1541" s="1"/>
      <c r="AQ1541" s="1"/>
      <c r="AR1541" s="1"/>
      <c r="AS1541" s="1"/>
      <c r="AT1541" s="1"/>
      <c r="AU1541" s="1"/>
      <c r="AV1541" s="1"/>
      <c r="AW1541" s="1"/>
      <c r="AX1541" s="1"/>
      <c r="AY1541" s="1"/>
      <c r="AZ1541" s="1"/>
      <c r="BA1541" s="1"/>
      <c r="BB1541" s="1"/>
      <c r="BC1541" s="1"/>
      <c r="BD1541" s="1"/>
      <c r="BE1541" s="1"/>
    </row>
    <row x14ac:dyDescent="0.25" r="1542" customHeight="1" ht="18.75">
      <c r="A1542" s="1"/>
      <c r="B1542" s="2"/>
      <c r="C1542" s="2"/>
      <c r="D1542" s="2"/>
      <c r="E1542" s="2"/>
      <c r="F1542" s="2"/>
      <c r="G1542" s="1"/>
      <c r="H1542" s="1"/>
      <c r="I1542" s="7">
        <v>1.539</v>
      </c>
      <c r="J1542" s="7">
        <f>IF((I1542-ROUNDDOWN(I1542,0))=0, 0, (I1542-ROUNDDOWN(I1542,0)))</f>
      </c>
      <c r="K1542" s="7">
        <f>INDIRECT("C$"&amp;2+MIN(2,ROUNDDOWN(I1542,0))*3)*(-$J1542^3+3*$J1542^2-3*$J1542+1)+INDIRECT("C$"&amp;3+MIN(2,ROUNDDOWN(I1542,0))*3)*(3*$J1542^3-6*$J1542^2+3*$J1542)+INDIRECT("C$"&amp;4+MIN(2,ROUNDDOWN(I1542,0))*3)*(-3*$J1542^3+3*$J1542^2)+INDIRECT("C$"&amp;5+MIN(2,ROUNDDOWN(I1542,0))*3)*$J1542^3</f>
      </c>
      <c r="L1542" s="7">
        <f>INDIRECT("D$"&amp;2+MIN(2,ROUNDDOWN(I1542,0))*3)*(-$J1542^3+3*$J1542^2-3*$J1542+1)+INDIRECT("D$"&amp;3+MIN(2,ROUNDDOWN(I1542,0))*3)*(3*$J1542^3-6*$J1542^2+3*$J1542)+INDIRECT("D$"&amp;4+MIN(2,ROUNDDOWN(I1542,0))*3)*(-3*$J1542^3+3*$J1542^2)+INDIRECT("D$"&amp;5+MIN(2,ROUNDDOWN(I1542,0))*3)*$J1542^3</f>
      </c>
      <c r="M1542" s="7">
        <f>SQRT(K1542^2+L1542^2)</f>
      </c>
      <c r="N1542" s="7">
        <f>(K1543-K1541)</f>
      </c>
      <c r="O1542" s="7">
        <f>+(L1543-L1541)</f>
      </c>
      <c r="P1542" s="7">
        <f>SQRT(O1542^2+N1542^2)</f>
      </c>
      <c r="Q1542" s="7">
        <f>N1542/$P1542</f>
      </c>
      <c r="R1542" s="7">
        <f>O1542/$P1542</f>
      </c>
      <c r="S1542" s="7">
        <f>Q1542^2+R1542^2</f>
      </c>
      <c r="T1542" s="7">
        <f>-R1542</f>
      </c>
      <c r="U1542" s="7">
        <f>Q1542</f>
      </c>
      <c r="V1542" s="7">
        <f>($C$14+($C$15-$C$14)/($D$15-$D$14)*(I1542-$D$14))/2</f>
      </c>
      <c r="W1542" s="7">
        <f>($B$22*I1542^4+$C$22*I1542^3+$D$22*I1542^2+$E$22*I1542+$F$22)/2</f>
      </c>
      <c r="X1542" s="7">
        <f>($W1542)*(T1542)</f>
      </c>
      <c r="Y1542" s="7">
        <f>($W1542)*(U1542)</f>
      </c>
      <c r="Z1542" s="7">
        <f>SQRT(X1542^2+Y1542^2)</f>
      </c>
      <c r="AA1542" s="7">
        <f>$K1542+$X1542</f>
      </c>
      <c r="AB1542" s="7">
        <f>$L1542+$Y1542</f>
      </c>
      <c r="AC1542" s="7">
        <f>$K1542-$X1542</f>
      </c>
      <c r="AD1542" s="7">
        <f>$L1542-$Y1542</f>
      </c>
      <c r="AE1542" s="7">
        <f>AA1542/39.3701</f>
      </c>
      <c r="AF1542" s="7">
        <f>AB1542/39.3701</f>
      </c>
      <c r="AG1542" s="7">
        <f>AC1542/39.3701</f>
      </c>
      <c r="AH1542" s="7">
        <f>AD1542/39.3701</f>
      </c>
      <c r="AI1542" s="1"/>
      <c r="AJ1542" s="1"/>
      <c r="AK1542" s="1"/>
      <c r="AL1542" s="1"/>
      <c r="AM1542" s="2"/>
      <c r="AN1542" s="1"/>
      <c r="AO1542" s="1"/>
      <c r="AP1542" s="1"/>
      <c r="AQ1542" s="1"/>
      <c r="AR1542" s="1"/>
      <c r="AS1542" s="1"/>
      <c r="AT1542" s="1"/>
      <c r="AU1542" s="1"/>
      <c r="AV1542" s="1"/>
      <c r="AW1542" s="1"/>
      <c r="AX1542" s="1"/>
      <c r="AY1542" s="1"/>
      <c r="AZ1542" s="1"/>
      <c r="BA1542" s="1"/>
      <c r="BB1542" s="1"/>
      <c r="BC1542" s="1"/>
      <c r="BD1542" s="1"/>
      <c r="BE1542" s="1"/>
    </row>
    <row x14ac:dyDescent="0.25" r="1543" customHeight="1" ht="18.75">
      <c r="A1543" s="1"/>
      <c r="B1543" s="2"/>
      <c r="C1543" s="2"/>
      <c r="D1543" s="2"/>
      <c r="E1543" s="2"/>
      <c r="F1543" s="2"/>
      <c r="G1543" s="1"/>
      <c r="H1543" s="1"/>
      <c r="I1543" s="7">
        <v>1.54</v>
      </c>
      <c r="J1543" s="7">
        <f>IF((I1543-ROUNDDOWN(I1543,0))=0, 0, (I1543-ROUNDDOWN(I1543,0)))</f>
      </c>
      <c r="K1543" s="7">
        <f>INDIRECT("C$"&amp;2+MIN(2,ROUNDDOWN(I1543,0))*3)*(-$J1543^3+3*$J1543^2-3*$J1543+1)+INDIRECT("C$"&amp;3+MIN(2,ROUNDDOWN(I1543,0))*3)*(3*$J1543^3-6*$J1543^2+3*$J1543)+INDIRECT("C$"&amp;4+MIN(2,ROUNDDOWN(I1543,0))*3)*(-3*$J1543^3+3*$J1543^2)+INDIRECT("C$"&amp;5+MIN(2,ROUNDDOWN(I1543,0))*3)*$J1543^3</f>
      </c>
      <c r="L1543" s="7">
        <f>INDIRECT("D$"&amp;2+MIN(2,ROUNDDOWN(I1543,0))*3)*(-$J1543^3+3*$J1543^2-3*$J1543+1)+INDIRECT("D$"&amp;3+MIN(2,ROUNDDOWN(I1543,0))*3)*(3*$J1543^3-6*$J1543^2+3*$J1543)+INDIRECT("D$"&amp;4+MIN(2,ROUNDDOWN(I1543,0))*3)*(-3*$J1543^3+3*$J1543^2)+INDIRECT("D$"&amp;5+MIN(2,ROUNDDOWN(I1543,0))*3)*$J1543^3</f>
      </c>
      <c r="M1543" s="7">
        <f>SQRT(K1543^2+L1543^2)</f>
      </c>
      <c r="N1543" s="7">
        <f>(K1544-K1542)</f>
      </c>
      <c r="O1543" s="7">
        <f>+(L1544-L1542)</f>
      </c>
      <c r="P1543" s="7">
        <f>SQRT(O1543^2+N1543^2)</f>
      </c>
      <c r="Q1543" s="7">
        <f>N1543/$P1543</f>
      </c>
      <c r="R1543" s="7">
        <f>O1543/$P1543</f>
      </c>
      <c r="S1543" s="8">
        <f>Q1543^2+R1543^2</f>
      </c>
      <c r="T1543" s="7">
        <f>-R1543</f>
      </c>
      <c r="U1543" s="7">
        <f>Q1543</f>
      </c>
      <c r="V1543" s="7">
        <f>($C$14+($C$15-$C$14)/($D$15-$D$14)*(I1543-$D$14))/2</f>
      </c>
      <c r="W1543" s="7">
        <f>($B$22*I1543^4+$C$22*I1543^3+$D$22*I1543^2+$E$22*I1543+$F$22)/2</f>
      </c>
      <c r="X1543" s="7">
        <f>($W1543)*(T1543)</f>
      </c>
      <c r="Y1543" s="7">
        <f>($W1543)*(U1543)</f>
      </c>
      <c r="Z1543" s="7">
        <f>SQRT(X1543^2+Y1543^2)</f>
      </c>
      <c r="AA1543" s="7">
        <f>$K1543+$X1543</f>
      </c>
      <c r="AB1543" s="7">
        <f>$L1543+$Y1543</f>
      </c>
      <c r="AC1543" s="7">
        <f>$K1543-$X1543</f>
      </c>
      <c r="AD1543" s="7">
        <f>$L1543-$Y1543</f>
      </c>
      <c r="AE1543" s="7">
        <f>AA1543/39.3701</f>
      </c>
      <c r="AF1543" s="7">
        <f>AB1543/39.3701</f>
      </c>
      <c r="AG1543" s="7">
        <f>AC1543/39.3701</f>
      </c>
      <c r="AH1543" s="7">
        <f>AD1543/39.3701</f>
      </c>
      <c r="AI1543" s="1"/>
      <c r="AJ1543" s="1"/>
      <c r="AK1543" s="1"/>
      <c r="AL1543" s="1"/>
      <c r="AM1543" s="2"/>
      <c r="AN1543" s="1"/>
      <c r="AO1543" s="1"/>
      <c r="AP1543" s="1"/>
      <c r="AQ1543" s="1"/>
      <c r="AR1543" s="1"/>
      <c r="AS1543" s="1"/>
      <c r="AT1543" s="1"/>
      <c r="AU1543" s="1"/>
      <c r="AV1543" s="1"/>
      <c r="AW1543" s="1"/>
      <c r="AX1543" s="1"/>
      <c r="AY1543" s="1"/>
      <c r="AZ1543" s="1"/>
      <c r="BA1543" s="1"/>
      <c r="BB1543" s="1"/>
      <c r="BC1543" s="1"/>
      <c r="BD1543" s="1"/>
      <c r="BE1543" s="1"/>
    </row>
    <row x14ac:dyDescent="0.25" r="1544" customHeight="1" ht="18.75">
      <c r="A1544" s="1"/>
      <c r="B1544" s="2"/>
      <c r="C1544" s="2"/>
      <c r="D1544" s="2"/>
      <c r="E1544" s="2"/>
      <c r="F1544" s="2"/>
      <c r="G1544" s="1"/>
      <c r="H1544" s="1"/>
      <c r="I1544" s="7">
        <v>1.541</v>
      </c>
      <c r="J1544" s="7">
        <f>IF((I1544-ROUNDDOWN(I1544,0))=0, 0, (I1544-ROUNDDOWN(I1544,0)))</f>
      </c>
      <c r="K1544" s="7">
        <f>INDIRECT("C$"&amp;2+MIN(2,ROUNDDOWN(I1544,0))*3)*(-$J1544^3+3*$J1544^2-3*$J1544+1)+INDIRECT("C$"&amp;3+MIN(2,ROUNDDOWN(I1544,0))*3)*(3*$J1544^3-6*$J1544^2+3*$J1544)+INDIRECT("C$"&amp;4+MIN(2,ROUNDDOWN(I1544,0))*3)*(-3*$J1544^3+3*$J1544^2)+INDIRECT("C$"&amp;5+MIN(2,ROUNDDOWN(I1544,0))*3)*$J1544^3</f>
      </c>
      <c r="L1544" s="7">
        <f>INDIRECT("D$"&amp;2+MIN(2,ROUNDDOWN(I1544,0))*3)*(-$J1544^3+3*$J1544^2-3*$J1544+1)+INDIRECT("D$"&amp;3+MIN(2,ROUNDDOWN(I1544,0))*3)*(3*$J1544^3-6*$J1544^2+3*$J1544)+INDIRECT("D$"&amp;4+MIN(2,ROUNDDOWN(I1544,0))*3)*(-3*$J1544^3+3*$J1544^2)+INDIRECT("D$"&amp;5+MIN(2,ROUNDDOWN(I1544,0))*3)*$J1544^3</f>
      </c>
      <c r="M1544" s="7">
        <f>SQRT(K1544^2+L1544^2)</f>
      </c>
      <c r="N1544" s="7">
        <f>(K1545-K1543)</f>
      </c>
      <c r="O1544" s="7">
        <f>+(L1545-L1543)</f>
      </c>
      <c r="P1544" s="7">
        <f>SQRT(O1544^2+N1544^2)</f>
      </c>
      <c r="Q1544" s="7">
        <f>N1544/$P1544</f>
      </c>
      <c r="R1544" s="7">
        <f>O1544/$P1544</f>
      </c>
      <c r="S1544" s="7">
        <f>Q1544^2+R1544^2</f>
      </c>
      <c r="T1544" s="7">
        <f>-R1544</f>
      </c>
      <c r="U1544" s="7">
        <f>Q1544</f>
      </c>
      <c r="V1544" s="7">
        <f>($C$14+($C$15-$C$14)/($D$15-$D$14)*(I1544-$D$14))/2</f>
      </c>
      <c r="W1544" s="7">
        <f>($B$22*I1544^4+$C$22*I1544^3+$D$22*I1544^2+$E$22*I1544+$F$22)/2</f>
      </c>
      <c r="X1544" s="7">
        <f>($W1544)*(T1544)</f>
      </c>
      <c r="Y1544" s="7">
        <f>($W1544)*(U1544)</f>
      </c>
      <c r="Z1544" s="7">
        <f>SQRT(X1544^2+Y1544^2)</f>
      </c>
      <c r="AA1544" s="7">
        <f>$K1544+$X1544</f>
      </c>
      <c r="AB1544" s="7">
        <f>$L1544+$Y1544</f>
      </c>
      <c r="AC1544" s="7">
        <f>$K1544-$X1544</f>
      </c>
      <c r="AD1544" s="7">
        <f>$L1544-$Y1544</f>
      </c>
      <c r="AE1544" s="7">
        <f>AA1544/39.3701</f>
      </c>
      <c r="AF1544" s="7">
        <f>AB1544/39.3701</f>
      </c>
      <c r="AG1544" s="7">
        <f>AC1544/39.3701</f>
      </c>
      <c r="AH1544" s="7">
        <f>AD1544/39.3701</f>
      </c>
      <c r="AI1544" s="1"/>
      <c r="AJ1544" s="1"/>
      <c r="AK1544" s="1"/>
      <c r="AL1544" s="1"/>
      <c r="AM1544" s="2"/>
      <c r="AN1544" s="1"/>
      <c r="AO1544" s="1"/>
      <c r="AP1544" s="1"/>
      <c r="AQ1544" s="1"/>
      <c r="AR1544" s="1"/>
      <c r="AS1544" s="1"/>
      <c r="AT1544" s="1"/>
      <c r="AU1544" s="1"/>
      <c r="AV1544" s="1"/>
      <c r="AW1544" s="1"/>
      <c r="AX1544" s="1"/>
      <c r="AY1544" s="1"/>
      <c r="AZ1544" s="1"/>
      <c r="BA1544" s="1"/>
      <c r="BB1544" s="1"/>
      <c r="BC1544" s="1"/>
      <c r="BD1544" s="1"/>
      <c r="BE1544" s="1"/>
    </row>
    <row x14ac:dyDescent="0.25" r="1545" customHeight="1" ht="18.75">
      <c r="A1545" s="1"/>
      <c r="B1545" s="2"/>
      <c r="C1545" s="2"/>
      <c r="D1545" s="2"/>
      <c r="E1545" s="2"/>
      <c r="F1545" s="2"/>
      <c r="G1545" s="1"/>
      <c r="H1545" s="1"/>
      <c r="I1545" s="7">
        <v>1.542</v>
      </c>
      <c r="J1545" s="7">
        <f>IF((I1545-ROUNDDOWN(I1545,0))=0, 0, (I1545-ROUNDDOWN(I1545,0)))</f>
      </c>
      <c r="K1545" s="7">
        <f>INDIRECT("C$"&amp;2+MIN(2,ROUNDDOWN(I1545,0))*3)*(-$J1545^3+3*$J1545^2-3*$J1545+1)+INDIRECT("C$"&amp;3+MIN(2,ROUNDDOWN(I1545,0))*3)*(3*$J1545^3-6*$J1545^2+3*$J1545)+INDIRECT("C$"&amp;4+MIN(2,ROUNDDOWN(I1545,0))*3)*(-3*$J1545^3+3*$J1545^2)+INDIRECT("C$"&amp;5+MIN(2,ROUNDDOWN(I1545,0))*3)*$J1545^3</f>
      </c>
      <c r="L1545" s="7">
        <f>INDIRECT("D$"&amp;2+MIN(2,ROUNDDOWN(I1545,0))*3)*(-$J1545^3+3*$J1545^2-3*$J1545+1)+INDIRECT("D$"&amp;3+MIN(2,ROUNDDOWN(I1545,0))*3)*(3*$J1545^3-6*$J1545^2+3*$J1545)+INDIRECT("D$"&amp;4+MIN(2,ROUNDDOWN(I1545,0))*3)*(-3*$J1545^3+3*$J1545^2)+INDIRECT("D$"&amp;5+MIN(2,ROUNDDOWN(I1545,0))*3)*$J1545^3</f>
      </c>
      <c r="M1545" s="7">
        <f>SQRT(K1545^2+L1545^2)</f>
      </c>
      <c r="N1545" s="7">
        <f>(K1546-K1544)</f>
      </c>
      <c r="O1545" s="7">
        <f>+(L1546-L1544)</f>
      </c>
      <c r="P1545" s="7">
        <f>SQRT(O1545^2+N1545^2)</f>
      </c>
      <c r="Q1545" s="7">
        <f>N1545/$P1545</f>
      </c>
      <c r="R1545" s="7">
        <f>O1545/$P1545</f>
      </c>
      <c r="S1545" s="8">
        <f>Q1545^2+R1545^2</f>
      </c>
      <c r="T1545" s="7">
        <f>-R1545</f>
      </c>
      <c r="U1545" s="7">
        <f>Q1545</f>
      </c>
      <c r="V1545" s="7">
        <f>($C$14+($C$15-$C$14)/($D$15-$D$14)*(I1545-$D$14))/2</f>
      </c>
      <c r="W1545" s="7">
        <f>($B$22*I1545^4+$C$22*I1545^3+$D$22*I1545^2+$E$22*I1545+$F$22)/2</f>
      </c>
      <c r="X1545" s="7">
        <f>($W1545)*(T1545)</f>
      </c>
      <c r="Y1545" s="7">
        <f>($W1545)*(U1545)</f>
      </c>
      <c r="Z1545" s="7">
        <f>SQRT(X1545^2+Y1545^2)</f>
      </c>
      <c r="AA1545" s="7">
        <f>$K1545+$X1545</f>
      </c>
      <c r="AB1545" s="7">
        <f>$L1545+$Y1545</f>
      </c>
      <c r="AC1545" s="7">
        <f>$K1545-$X1545</f>
      </c>
      <c r="AD1545" s="7">
        <f>$L1545-$Y1545</f>
      </c>
      <c r="AE1545" s="7">
        <f>AA1545/39.3701</f>
      </c>
      <c r="AF1545" s="7">
        <f>AB1545/39.3701</f>
      </c>
      <c r="AG1545" s="7">
        <f>AC1545/39.3701</f>
      </c>
      <c r="AH1545" s="7">
        <f>AD1545/39.3701</f>
      </c>
      <c r="AI1545" s="1"/>
      <c r="AJ1545" s="1"/>
      <c r="AK1545" s="1"/>
      <c r="AL1545" s="1"/>
      <c r="AM1545" s="2"/>
      <c r="AN1545" s="1"/>
      <c r="AO1545" s="1"/>
      <c r="AP1545" s="1"/>
      <c r="AQ1545" s="1"/>
      <c r="AR1545" s="1"/>
      <c r="AS1545" s="1"/>
      <c r="AT1545" s="1"/>
      <c r="AU1545" s="1"/>
      <c r="AV1545" s="1"/>
      <c r="AW1545" s="1"/>
      <c r="AX1545" s="1"/>
      <c r="AY1545" s="1"/>
      <c r="AZ1545" s="1"/>
      <c r="BA1545" s="1"/>
      <c r="BB1545" s="1"/>
      <c r="BC1545" s="1"/>
      <c r="BD1545" s="1"/>
      <c r="BE1545" s="1"/>
    </row>
    <row x14ac:dyDescent="0.25" r="1546" customHeight="1" ht="18.75">
      <c r="A1546" s="1"/>
      <c r="B1546" s="2"/>
      <c r="C1546" s="2"/>
      <c r="D1546" s="2"/>
      <c r="E1546" s="2"/>
      <c r="F1546" s="2"/>
      <c r="G1546" s="1"/>
      <c r="H1546" s="1"/>
      <c r="I1546" s="7">
        <v>1.543</v>
      </c>
      <c r="J1546" s="7">
        <f>IF((I1546-ROUNDDOWN(I1546,0))=0, 0, (I1546-ROUNDDOWN(I1546,0)))</f>
      </c>
      <c r="K1546" s="7">
        <f>INDIRECT("C$"&amp;2+MIN(2,ROUNDDOWN(I1546,0))*3)*(-$J1546^3+3*$J1546^2-3*$J1546+1)+INDIRECT("C$"&amp;3+MIN(2,ROUNDDOWN(I1546,0))*3)*(3*$J1546^3-6*$J1546^2+3*$J1546)+INDIRECT("C$"&amp;4+MIN(2,ROUNDDOWN(I1546,0))*3)*(-3*$J1546^3+3*$J1546^2)+INDIRECT("C$"&amp;5+MIN(2,ROUNDDOWN(I1546,0))*3)*$J1546^3</f>
      </c>
      <c r="L1546" s="7">
        <f>INDIRECT("D$"&amp;2+MIN(2,ROUNDDOWN(I1546,0))*3)*(-$J1546^3+3*$J1546^2-3*$J1546+1)+INDIRECT("D$"&amp;3+MIN(2,ROUNDDOWN(I1546,0))*3)*(3*$J1546^3-6*$J1546^2+3*$J1546)+INDIRECT("D$"&amp;4+MIN(2,ROUNDDOWN(I1546,0))*3)*(-3*$J1546^3+3*$J1546^2)+INDIRECT("D$"&amp;5+MIN(2,ROUNDDOWN(I1546,0))*3)*$J1546^3</f>
      </c>
      <c r="M1546" s="7">
        <f>SQRT(K1546^2+L1546^2)</f>
      </c>
      <c r="N1546" s="7">
        <f>(K1547-K1545)</f>
      </c>
      <c r="O1546" s="7">
        <f>+(L1547-L1545)</f>
      </c>
      <c r="P1546" s="7">
        <f>SQRT(O1546^2+N1546^2)</f>
      </c>
      <c r="Q1546" s="7">
        <f>N1546/$P1546</f>
      </c>
      <c r="R1546" s="7">
        <f>O1546/$P1546</f>
      </c>
      <c r="S1546" s="8">
        <f>Q1546^2+R1546^2</f>
      </c>
      <c r="T1546" s="7">
        <f>-R1546</f>
      </c>
      <c r="U1546" s="7">
        <f>Q1546</f>
      </c>
      <c r="V1546" s="7">
        <f>($C$14+($C$15-$C$14)/($D$15-$D$14)*(I1546-$D$14))/2</f>
      </c>
      <c r="W1546" s="7">
        <f>($B$22*I1546^4+$C$22*I1546^3+$D$22*I1546^2+$E$22*I1546+$F$22)/2</f>
      </c>
      <c r="X1546" s="7">
        <f>($W1546)*(T1546)</f>
      </c>
      <c r="Y1546" s="7">
        <f>($W1546)*(U1546)</f>
      </c>
      <c r="Z1546" s="7">
        <f>SQRT(X1546^2+Y1546^2)</f>
      </c>
      <c r="AA1546" s="7">
        <f>$K1546+$X1546</f>
      </c>
      <c r="AB1546" s="7">
        <f>$L1546+$Y1546</f>
      </c>
      <c r="AC1546" s="7">
        <f>$K1546-$X1546</f>
      </c>
      <c r="AD1546" s="7">
        <f>$L1546-$Y1546</f>
      </c>
      <c r="AE1546" s="7">
        <f>AA1546/39.3701</f>
      </c>
      <c r="AF1546" s="7">
        <f>AB1546/39.3701</f>
      </c>
      <c r="AG1546" s="7">
        <f>AC1546/39.3701</f>
      </c>
      <c r="AH1546" s="7">
        <f>AD1546/39.3701</f>
      </c>
      <c r="AI1546" s="1"/>
      <c r="AJ1546" s="1"/>
      <c r="AK1546" s="1"/>
      <c r="AL1546" s="1"/>
      <c r="AM1546" s="2"/>
      <c r="AN1546" s="1"/>
      <c r="AO1546" s="1"/>
      <c r="AP1546" s="1"/>
      <c r="AQ1546" s="1"/>
      <c r="AR1546" s="1"/>
      <c r="AS1546" s="1"/>
      <c r="AT1546" s="1"/>
      <c r="AU1546" s="1"/>
      <c r="AV1546" s="1"/>
      <c r="AW1546" s="1"/>
      <c r="AX1546" s="1"/>
      <c r="AY1546" s="1"/>
      <c r="AZ1546" s="1"/>
      <c r="BA1546" s="1"/>
      <c r="BB1546" s="1"/>
      <c r="BC1546" s="1"/>
      <c r="BD1546" s="1"/>
      <c r="BE1546" s="1"/>
    </row>
    <row x14ac:dyDescent="0.25" r="1547" customHeight="1" ht="18.75">
      <c r="A1547" s="1"/>
      <c r="B1547" s="2"/>
      <c r="C1547" s="2"/>
      <c r="D1547" s="2"/>
      <c r="E1547" s="2"/>
      <c r="F1547" s="2"/>
      <c r="G1547" s="1"/>
      <c r="H1547" s="1"/>
      <c r="I1547" s="7">
        <v>1.544</v>
      </c>
      <c r="J1547" s="7">
        <f>IF((I1547-ROUNDDOWN(I1547,0))=0, 0, (I1547-ROUNDDOWN(I1547,0)))</f>
      </c>
      <c r="K1547" s="7">
        <f>INDIRECT("C$"&amp;2+MIN(2,ROUNDDOWN(I1547,0))*3)*(-$J1547^3+3*$J1547^2-3*$J1547+1)+INDIRECT("C$"&amp;3+MIN(2,ROUNDDOWN(I1547,0))*3)*(3*$J1547^3-6*$J1547^2+3*$J1547)+INDIRECT("C$"&amp;4+MIN(2,ROUNDDOWN(I1547,0))*3)*(-3*$J1547^3+3*$J1547^2)+INDIRECT("C$"&amp;5+MIN(2,ROUNDDOWN(I1547,0))*3)*$J1547^3</f>
      </c>
      <c r="L1547" s="7">
        <f>INDIRECT("D$"&amp;2+MIN(2,ROUNDDOWN(I1547,0))*3)*(-$J1547^3+3*$J1547^2-3*$J1547+1)+INDIRECT("D$"&amp;3+MIN(2,ROUNDDOWN(I1547,0))*3)*(3*$J1547^3-6*$J1547^2+3*$J1547)+INDIRECT("D$"&amp;4+MIN(2,ROUNDDOWN(I1547,0))*3)*(-3*$J1547^3+3*$J1547^2)+INDIRECT("D$"&amp;5+MIN(2,ROUNDDOWN(I1547,0))*3)*$J1547^3</f>
      </c>
      <c r="M1547" s="7">
        <f>SQRT(K1547^2+L1547^2)</f>
      </c>
      <c r="N1547" s="7">
        <f>(K1548-K1546)</f>
      </c>
      <c r="O1547" s="7">
        <f>+(L1548-L1546)</f>
      </c>
      <c r="P1547" s="7">
        <f>SQRT(O1547^2+N1547^2)</f>
      </c>
      <c r="Q1547" s="7">
        <f>N1547/$P1547</f>
      </c>
      <c r="R1547" s="7">
        <f>O1547/$P1547</f>
      </c>
      <c r="S1547" s="8">
        <f>Q1547^2+R1547^2</f>
      </c>
      <c r="T1547" s="7">
        <f>-R1547</f>
      </c>
      <c r="U1547" s="7">
        <f>Q1547</f>
      </c>
      <c r="V1547" s="7">
        <f>($C$14+($C$15-$C$14)/($D$15-$D$14)*(I1547-$D$14))/2</f>
      </c>
      <c r="W1547" s="7">
        <f>($B$22*I1547^4+$C$22*I1547^3+$D$22*I1547^2+$E$22*I1547+$F$22)/2</f>
      </c>
      <c r="X1547" s="7">
        <f>($W1547)*(T1547)</f>
      </c>
      <c r="Y1547" s="7">
        <f>($W1547)*(U1547)</f>
      </c>
      <c r="Z1547" s="7">
        <f>SQRT(X1547^2+Y1547^2)</f>
      </c>
      <c r="AA1547" s="7">
        <f>$K1547+$X1547</f>
      </c>
      <c r="AB1547" s="7">
        <f>$L1547+$Y1547</f>
      </c>
      <c r="AC1547" s="7">
        <f>$K1547-$X1547</f>
      </c>
      <c r="AD1547" s="7">
        <f>$L1547-$Y1547</f>
      </c>
      <c r="AE1547" s="7">
        <f>AA1547/39.3701</f>
      </c>
      <c r="AF1547" s="7">
        <f>AB1547/39.3701</f>
      </c>
      <c r="AG1547" s="7">
        <f>AC1547/39.3701</f>
      </c>
      <c r="AH1547" s="7">
        <f>AD1547/39.3701</f>
      </c>
      <c r="AI1547" s="1"/>
      <c r="AJ1547" s="1"/>
      <c r="AK1547" s="1"/>
      <c r="AL1547" s="1"/>
      <c r="AM1547" s="2"/>
      <c r="AN1547" s="1"/>
      <c r="AO1547" s="1"/>
      <c r="AP1547" s="1"/>
      <c r="AQ1547" s="1"/>
      <c r="AR1547" s="1"/>
      <c r="AS1547" s="1"/>
      <c r="AT1547" s="1"/>
      <c r="AU1547" s="1"/>
      <c r="AV1547" s="1"/>
      <c r="AW1547" s="1"/>
      <c r="AX1547" s="1"/>
      <c r="AY1547" s="1"/>
      <c r="AZ1547" s="1"/>
      <c r="BA1547" s="1"/>
      <c r="BB1547" s="1"/>
      <c r="BC1547" s="1"/>
      <c r="BD1547" s="1"/>
      <c r="BE1547" s="1"/>
    </row>
    <row x14ac:dyDescent="0.25" r="1548" customHeight="1" ht="18.75">
      <c r="A1548" s="1"/>
      <c r="B1548" s="2"/>
      <c r="C1548" s="2"/>
      <c r="D1548" s="2"/>
      <c r="E1548" s="2"/>
      <c r="F1548" s="2"/>
      <c r="G1548" s="1"/>
      <c r="H1548" s="1"/>
      <c r="I1548" s="7">
        <v>1.545</v>
      </c>
      <c r="J1548" s="7">
        <f>IF((I1548-ROUNDDOWN(I1548,0))=0, 0, (I1548-ROUNDDOWN(I1548,0)))</f>
      </c>
      <c r="K1548" s="7">
        <f>INDIRECT("C$"&amp;2+MIN(2,ROUNDDOWN(I1548,0))*3)*(-$J1548^3+3*$J1548^2-3*$J1548+1)+INDIRECT("C$"&amp;3+MIN(2,ROUNDDOWN(I1548,0))*3)*(3*$J1548^3-6*$J1548^2+3*$J1548)+INDIRECT("C$"&amp;4+MIN(2,ROUNDDOWN(I1548,0))*3)*(-3*$J1548^3+3*$J1548^2)+INDIRECT("C$"&amp;5+MIN(2,ROUNDDOWN(I1548,0))*3)*$J1548^3</f>
      </c>
      <c r="L1548" s="7">
        <f>INDIRECT("D$"&amp;2+MIN(2,ROUNDDOWN(I1548,0))*3)*(-$J1548^3+3*$J1548^2-3*$J1548+1)+INDIRECT("D$"&amp;3+MIN(2,ROUNDDOWN(I1548,0))*3)*(3*$J1548^3-6*$J1548^2+3*$J1548)+INDIRECT("D$"&amp;4+MIN(2,ROUNDDOWN(I1548,0))*3)*(-3*$J1548^3+3*$J1548^2)+INDIRECT("D$"&amp;5+MIN(2,ROUNDDOWN(I1548,0))*3)*$J1548^3</f>
      </c>
      <c r="M1548" s="7">
        <f>SQRT(K1548^2+L1548^2)</f>
      </c>
      <c r="N1548" s="7">
        <f>(K1549-K1547)</f>
      </c>
      <c r="O1548" s="7">
        <f>+(L1549-L1547)</f>
      </c>
      <c r="P1548" s="7">
        <f>SQRT(O1548^2+N1548^2)</f>
      </c>
      <c r="Q1548" s="7">
        <f>N1548/$P1548</f>
      </c>
      <c r="R1548" s="7">
        <f>O1548/$P1548</f>
      </c>
      <c r="S1548" s="8">
        <f>Q1548^2+R1548^2</f>
      </c>
      <c r="T1548" s="7">
        <f>-R1548</f>
      </c>
      <c r="U1548" s="7">
        <f>Q1548</f>
      </c>
      <c r="V1548" s="7">
        <f>($C$14+($C$15-$C$14)/($D$15-$D$14)*(I1548-$D$14))/2</f>
      </c>
      <c r="W1548" s="7">
        <f>($B$22*I1548^4+$C$22*I1548^3+$D$22*I1548^2+$E$22*I1548+$F$22)/2</f>
      </c>
      <c r="X1548" s="7">
        <f>($W1548)*(T1548)</f>
      </c>
      <c r="Y1548" s="7">
        <f>($W1548)*(U1548)</f>
      </c>
      <c r="Z1548" s="7">
        <f>SQRT(X1548^2+Y1548^2)</f>
      </c>
      <c r="AA1548" s="7">
        <f>$K1548+$X1548</f>
      </c>
      <c r="AB1548" s="7">
        <f>$L1548+$Y1548</f>
      </c>
      <c r="AC1548" s="7">
        <f>$K1548-$X1548</f>
      </c>
      <c r="AD1548" s="7">
        <f>$L1548-$Y1548</f>
      </c>
      <c r="AE1548" s="7">
        <f>AA1548/39.3701</f>
      </c>
      <c r="AF1548" s="7">
        <f>AB1548/39.3701</f>
      </c>
      <c r="AG1548" s="7">
        <f>AC1548/39.3701</f>
      </c>
      <c r="AH1548" s="7">
        <f>AD1548/39.3701</f>
      </c>
      <c r="AI1548" s="1"/>
      <c r="AJ1548" s="1"/>
      <c r="AK1548" s="1"/>
      <c r="AL1548" s="1"/>
      <c r="AM1548" s="2"/>
      <c r="AN1548" s="1"/>
      <c r="AO1548" s="1"/>
      <c r="AP1548" s="1"/>
      <c r="AQ1548" s="1"/>
      <c r="AR1548" s="1"/>
      <c r="AS1548" s="1"/>
      <c r="AT1548" s="1"/>
      <c r="AU1548" s="1"/>
      <c r="AV1548" s="1"/>
      <c r="AW1548" s="1"/>
      <c r="AX1548" s="1"/>
      <c r="AY1548" s="1"/>
      <c r="AZ1548" s="1"/>
      <c r="BA1548" s="1"/>
      <c r="BB1548" s="1"/>
      <c r="BC1548" s="1"/>
      <c r="BD1548" s="1"/>
      <c r="BE1548" s="1"/>
    </row>
    <row x14ac:dyDescent="0.25" r="1549" customHeight="1" ht="18.75">
      <c r="A1549" s="1"/>
      <c r="B1549" s="2"/>
      <c r="C1549" s="2"/>
      <c r="D1549" s="2"/>
      <c r="E1549" s="2"/>
      <c r="F1549" s="2"/>
      <c r="G1549" s="1"/>
      <c r="H1549" s="1"/>
      <c r="I1549" s="7">
        <v>1.546</v>
      </c>
      <c r="J1549" s="7">
        <f>IF((I1549-ROUNDDOWN(I1549,0))=0, 0, (I1549-ROUNDDOWN(I1549,0)))</f>
      </c>
      <c r="K1549" s="7">
        <f>INDIRECT("C$"&amp;2+MIN(2,ROUNDDOWN(I1549,0))*3)*(-$J1549^3+3*$J1549^2-3*$J1549+1)+INDIRECT("C$"&amp;3+MIN(2,ROUNDDOWN(I1549,0))*3)*(3*$J1549^3-6*$J1549^2+3*$J1549)+INDIRECT("C$"&amp;4+MIN(2,ROUNDDOWN(I1549,0))*3)*(-3*$J1549^3+3*$J1549^2)+INDIRECT("C$"&amp;5+MIN(2,ROUNDDOWN(I1549,0))*3)*$J1549^3</f>
      </c>
      <c r="L1549" s="7">
        <f>INDIRECT("D$"&amp;2+MIN(2,ROUNDDOWN(I1549,0))*3)*(-$J1549^3+3*$J1549^2-3*$J1549+1)+INDIRECT("D$"&amp;3+MIN(2,ROUNDDOWN(I1549,0))*3)*(3*$J1549^3-6*$J1549^2+3*$J1549)+INDIRECT("D$"&amp;4+MIN(2,ROUNDDOWN(I1549,0))*3)*(-3*$J1549^3+3*$J1549^2)+INDIRECT("D$"&amp;5+MIN(2,ROUNDDOWN(I1549,0))*3)*$J1549^3</f>
      </c>
      <c r="M1549" s="7">
        <f>SQRT(K1549^2+L1549^2)</f>
      </c>
      <c r="N1549" s="7">
        <f>(K1550-K1548)</f>
      </c>
      <c r="O1549" s="7">
        <f>+(L1550-L1548)</f>
      </c>
      <c r="P1549" s="7">
        <f>SQRT(O1549^2+N1549^2)</f>
      </c>
      <c r="Q1549" s="7">
        <f>N1549/$P1549</f>
      </c>
      <c r="R1549" s="7">
        <f>O1549/$P1549</f>
      </c>
      <c r="S1549" s="7">
        <f>Q1549^2+R1549^2</f>
      </c>
      <c r="T1549" s="7">
        <f>-R1549</f>
      </c>
      <c r="U1549" s="7">
        <f>Q1549</f>
      </c>
      <c r="V1549" s="7">
        <f>($C$14+($C$15-$C$14)/($D$15-$D$14)*(I1549-$D$14))/2</f>
      </c>
      <c r="W1549" s="7">
        <f>($B$22*I1549^4+$C$22*I1549^3+$D$22*I1549^2+$E$22*I1549+$F$22)/2</f>
      </c>
      <c r="X1549" s="7">
        <f>($W1549)*(T1549)</f>
      </c>
      <c r="Y1549" s="7">
        <f>($W1549)*(U1549)</f>
      </c>
      <c r="Z1549" s="7">
        <f>SQRT(X1549^2+Y1549^2)</f>
      </c>
      <c r="AA1549" s="7">
        <f>$K1549+$X1549</f>
      </c>
      <c r="AB1549" s="7">
        <f>$L1549+$Y1549</f>
      </c>
      <c r="AC1549" s="7">
        <f>$K1549-$X1549</f>
      </c>
      <c r="AD1549" s="7">
        <f>$L1549-$Y1549</f>
      </c>
      <c r="AE1549" s="7">
        <f>AA1549/39.3701</f>
      </c>
      <c r="AF1549" s="7">
        <f>AB1549/39.3701</f>
      </c>
      <c r="AG1549" s="7">
        <f>AC1549/39.3701</f>
      </c>
      <c r="AH1549" s="7">
        <f>AD1549/39.3701</f>
      </c>
      <c r="AI1549" s="1"/>
      <c r="AJ1549" s="1"/>
      <c r="AK1549" s="1"/>
      <c r="AL1549" s="1"/>
      <c r="AM1549" s="2"/>
      <c r="AN1549" s="1"/>
      <c r="AO1549" s="1"/>
      <c r="AP1549" s="1"/>
      <c r="AQ1549" s="1"/>
      <c r="AR1549" s="1"/>
      <c r="AS1549" s="1"/>
      <c r="AT1549" s="1"/>
      <c r="AU1549" s="1"/>
      <c r="AV1549" s="1"/>
      <c r="AW1549" s="1"/>
      <c r="AX1549" s="1"/>
      <c r="AY1549" s="1"/>
      <c r="AZ1549" s="1"/>
      <c r="BA1549" s="1"/>
      <c r="BB1549" s="1"/>
      <c r="BC1549" s="1"/>
      <c r="BD1549" s="1"/>
      <c r="BE1549" s="1"/>
    </row>
    <row x14ac:dyDescent="0.25" r="1550" customHeight="1" ht="18.75">
      <c r="A1550" s="1"/>
      <c r="B1550" s="2"/>
      <c r="C1550" s="2"/>
      <c r="D1550" s="2"/>
      <c r="E1550" s="2"/>
      <c r="F1550" s="2"/>
      <c r="G1550" s="1"/>
      <c r="H1550" s="1"/>
      <c r="I1550" s="7">
        <v>1.547</v>
      </c>
      <c r="J1550" s="7">
        <f>IF((I1550-ROUNDDOWN(I1550,0))=0, 0, (I1550-ROUNDDOWN(I1550,0)))</f>
      </c>
      <c r="K1550" s="7">
        <f>INDIRECT("C$"&amp;2+MIN(2,ROUNDDOWN(I1550,0))*3)*(-$J1550^3+3*$J1550^2-3*$J1550+1)+INDIRECT("C$"&amp;3+MIN(2,ROUNDDOWN(I1550,0))*3)*(3*$J1550^3-6*$J1550^2+3*$J1550)+INDIRECT("C$"&amp;4+MIN(2,ROUNDDOWN(I1550,0))*3)*(-3*$J1550^3+3*$J1550^2)+INDIRECT("C$"&amp;5+MIN(2,ROUNDDOWN(I1550,0))*3)*$J1550^3</f>
      </c>
      <c r="L1550" s="7">
        <f>INDIRECT("D$"&amp;2+MIN(2,ROUNDDOWN(I1550,0))*3)*(-$J1550^3+3*$J1550^2-3*$J1550+1)+INDIRECT("D$"&amp;3+MIN(2,ROUNDDOWN(I1550,0))*3)*(3*$J1550^3-6*$J1550^2+3*$J1550)+INDIRECT("D$"&amp;4+MIN(2,ROUNDDOWN(I1550,0))*3)*(-3*$J1550^3+3*$J1550^2)+INDIRECT("D$"&amp;5+MIN(2,ROUNDDOWN(I1550,0))*3)*$J1550^3</f>
      </c>
      <c r="M1550" s="7">
        <f>SQRT(K1550^2+L1550^2)</f>
      </c>
      <c r="N1550" s="7">
        <f>(K1551-K1549)</f>
      </c>
      <c r="O1550" s="7">
        <f>+(L1551-L1549)</f>
      </c>
      <c r="P1550" s="7">
        <f>SQRT(O1550^2+N1550^2)</f>
      </c>
      <c r="Q1550" s="7">
        <f>N1550/$P1550</f>
      </c>
      <c r="R1550" s="7">
        <f>O1550/$P1550</f>
      </c>
      <c r="S1550" s="7">
        <f>Q1550^2+R1550^2</f>
      </c>
      <c r="T1550" s="7">
        <f>-R1550</f>
      </c>
      <c r="U1550" s="7">
        <f>Q1550</f>
      </c>
      <c r="V1550" s="7">
        <f>($C$14+($C$15-$C$14)/($D$15-$D$14)*(I1550-$D$14))/2</f>
      </c>
      <c r="W1550" s="7">
        <f>($B$22*I1550^4+$C$22*I1550^3+$D$22*I1550^2+$E$22*I1550+$F$22)/2</f>
      </c>
      <c r="X1550" s="7">
        <f>($W1550)*(T1550)</f>
      </c>
      <c r="Y1550" s="7">
        <f>($W1550)*(U1550)</f>
      </c>
      <c r="Z1550" s="7">
        <f>SQRT(X1550^2+Y1550^2)</f>
      </c>
      <c r="AA1550" s="7">
        <f>$K1550+$X1550</f>
      </c>
      <c r="AB1550" s="7">
        <f>$L1550+$Y1550</f>
      </c>
      <c r="AC1550" s="7">
        <f>$K1550-$X1550</f>
      </c>
      <c r="AD1550" s="7">
        <f>$L1550-$Y1550</f>
      </c>
      <c r="AE1550" s="7">
        <f>AA1550/39.3701</f>
      </c>
      <c r="AF1550" s="7">
        <f>AB1550/39.3701</f>
      </c>
      <c r="AG1550" s="7">
        <f>AC1550/39.3701</f>
      </c>
      <c r="AH1550" s="7">
        <f>AD1550/39.3701</f>
      </c>
      <c r="AI1550" s="1"/>
      <c r="AJ1550" s="1"/>
      <c r="AK1550" s="1"/>
      <c r="AL1550" s="1"/>
      <c r="AM1550" s="2"/>
      <c r="AN1550" s="1"/>
      <c r="AO1550" s="1"/>
      <c r="AP1550" s="1"/>
      <c r="AQ1550" s="1"/>
      <c r="AR1550" s="1"/>
      <c r="AS1550" s="1"/>
      <c r="AT1550" s="1"/>
      <c r="AU1550" s="1"/>
      <c r="AV1550" s="1"/>
      <c r="AW1550" s="1"/>
      <c r="AX1550" s="1"/>
      <c r="AY1550" s="1"/>
      <c r="AZ1550" s="1"/>
      <c r="BA1550" s="1"/>
      <c r="BB1550" s="1"/>
      <c r="BC1550" s="1"/>
      <c r="BD1550" s="1"/>
      <c r="BE1550" s="1"/>
    </row>
    <row x14ac:dyDescent="0.25" r="1551" customHeight="1" ht="18.75">
      <c r="A1551" s="1"/>
      <c r="B1551" s="2"/>
      <c r="C1551" s="2"/>
      <c r="D1551" s="2"/>
      <c r="E1551" s="2"/>
      <c r="F1551" s="2"/>
      <c r="G1551" s="1"/>
      <c r="H1551" s="1"/>
      <c r="I1551" s="7">
        <v>1.548</v>
      </c>
      <c r="J1551" s="7">
        <f>IF((I1551-ROUNDDOWN(I1551,0))=0, 0, (I1551-ROUNDDOWN(I1551,0)))</f>
      </c>
      <c r="K1551" s="7">
        <f>INDIRECT("C$"&amp;2+MIN(2,ROUNDDOWN(I1551,0))*3)*(-$J1551^3+3*$J1551^2-3*$J1551+1)+INDIRECT("C$"&amp;3+MIN(2,ROUNDDOWN(I1551,0))*3)*(3*$J1551^3-6*$J1551^2+3*$J1551)+INDIRECT("C$"&amp;4+MIN(2,ROUNDDOWN(I1551,0))*3)*(-3*$J1551^3+3*$J1551^2)+INDIRECT("C$"&amp;5+MIN(2,ROUNDDOWN(I1551,0))*3)*$J1551^3</f>
      </c>
      <c r="L1551" s="7">
        <f>INDIRECT("D$"&amp;2+MIN(2,ROUNDDOWN(I1551,0))*3)*(-$J1551^3+3*$J1551^2-3*$J1551+1)+INDIRECT("D$"&amp;3+MIN(2,ROUNDDOWN(I1551,0))*3)*(3*$J1551^3-6*$J1551^2+3*$J1551)+INDIRECT("D$"&amp;4+MIN(2,ROUNDDOWN(I1551,0))*3)*(-3*$J1551^3+3*$J1551^2)+INDIRECT("D$"&amp;5+MIN(2,ROUNDDOWN(I1551,0))*3)*$J1551^3</f>
      </c>
      <c r="M1551" s="7">
        <f>SQRT(K1551^2+L1551^2)</f>
      </c>
      <c r="N1551" s="7">
        <f>(K1552-K1550)</f>
      </c>
      <c r="O1551" s="7">
        <f>+(L1552-L1550)</f>
      </c>
      <c r="P1551" s="7">
        <f>SQRT(O1551^2+N1551^2)</f>
      </c>
      <c r="Q1551" s="7">
        <f>N1551/$P1551</f>
      </c>
      <c r="R1551" s="7">
        <f>O1551/$P1551</f>
      </c>
      <c r="S1551" s="8">
        <f>Q1551^2+R1551^2</f>
      </c>
      <c r="T1551" s="7">
        <f>-R1551</f>
      </c>
      <c r="U1551" s="7">
        <f>Q1551</f>
      </c>
      <c r="V1551" s="7">
        <f>($C$14+($C$15-$C$14)/($D$15-$D$14)*(I1551-$D$14))/2</f>
      </c>
      <c r="W1551" s="7">
        <f>($B$22*I1551^4+$C$22*I1551^3+$D$22*I1551^2+$E$22*I1551+$F$22)/2</f>
      </c>
      <c r="X1551" s="7">
        <f>($W1551)*(T1551)</f>
      </c>
      <c r="Y1551" s="7">
        <f>($W1551)*(U1551)</f>
      </c>
      <c r="Z1551" s="7">
        <f>SQRT(X1551^2+Y1551^2)</f>
      </c>
      <c r="AA1551" s="7">
        <f>$K1551+$X1551</f>
      </c>
      <c r="AB1551" s="7">
        <f>$L1551+$Y1551</f>
      </c>
      <c r="AC1551" s="7">
        <f>$K1551-$X1551</f>
      </c>
      <c r="AD1551" s="7">
        <f>$L1551-$Y1551</f>
      </c>
      <c r="AE1551" s="7">
        <f>AA1551/39.3701</f>
      </c>
      <c r="AF1551" s="7">
        <f>AB1551/39.3701</f>
      </c>
      <c r="AG1551" s="7">
        <f>AC1551/39.3701</f>
      </c>
      <c r="AH1551" s="7">
        <f>AD1551/39.3701</f>
      </c>
      <c r="AI1551" s="1"/>
      <c r="AJ1551" s="1"/>
      <c r="AK1551" s="1"/>
      <c r="AL1551" s="1"/>
      <c r="AM1551" s="2"/>
      <c r="AN1551" s="1"/>
      <c r="AO1551" s="1"/>
      <c r="AP1551" s="1"/>
      <c r="AQ1551" s="1"/>
      <c r="AR1551" s="1"/>
      <c r="AS1551" s="1"/>
      <c r="AT1551" s="1"/>
      <c r="AU1551" s="1"/>
      <c r="AV1551" s="1"/>
      <c r="AW1551" s="1"/>
      <c r="AX1551" s="1"/>
      <c r="AY1551" s="1"/>
      <c r="AZ1551" s="1"/>
      <c r="BA1551" s="1"/>
      <c r="BB1551" s="1"/>
      <c r="BC1551" s="1"/>
      <c r="BD1551" s="1"/>
      <c r="BE1551" s="1"/>
    </row>
    <row x14ac:dyDescent="0.25" r="1552" customHeight="1" ht="18.75">
      <c r="A1552" s="1"/>
      <c r="B1552" s="2"/>
      <c r="C1552" s="2"/>
      <c r="D1552" s="2"/>
      <c r="E1552" s="2"/>
      <c r="F1552" s="2"/>
      <c r="G1552" s="1"/>
      <c r="H1552" s="1"/>
      <c r="I1552" s="7">
        <v>1.549</v>
      </c>
      <c r="J1552" s="7">
        <f>IF((I1552-ROUNDDOWN(I1552,0))=0, 0, (I1552-ROUNDDOWN(I1552,0)))</f>
      </c>
      <c r="K1552" s="7">
        <f>INDIRECT("C$"&amp;2+MIN(2,ROUNDDOWN(I1552,0))*3)*(-$J1552^3+3*$J1552^2-3*$J1552+1)+INDIRECT("C$"&amp;3+MIN(2,ROUNDDOWN(I1552,0))*3)*(3*$J1552^3-6*$J1552^2+3*$J1552)+INDIRECT("C$"&amp;4+MIN(2,ROUNDDOWN(I1552,0))*3)*(-3*$J1552^3+3*$J1552^2)+INDIRECT("C$"&amp;5+MIN(2,ROUNDDOWN(I1552,0))*3)*$J1552^3</f>
      </c>
      <c r="L1552" s="7">
        <f>INDIRECT("D$"&amp;2+MIN(2,ROUNDDOWN(I1552,0))*3)*(-$J1552^3+3*$J1552^2-3*$J1552+1)+INDIRECT("D$"&amp;3+MIN(2,ROUNDDOWN(I1552,0))*3)*(3*$J1552^3-6*$J1552^2+3*$J1552)+INDIRECT("D$"&amp;4+MIN(2,ROUNDDOWN(I1552,0))*3)*(-3*$J1552^3+3*$J1552^2)+INDIRECT("D$"&amp;5+MIN(2,ROUNDDOWN(I1552,0))*3)*$J1552^3</f>
      </c>
      <c r="M1552" s="7">
        <f>SQRT(K1552^2+L1552^2)</f>
      </c>
      <c r="N1552" s="7">
        <f>(K1553-K1551)</f>
      </c>
      <c r="O1552" s="7">
        <f>+(L1553-L1551)</f>
      </c>
      <c r="P1552" s="7">
        <f>SQRT(O1552^2+N1552^2)</f>
      </c>
      <c r="Q1552" s="7">
        <f>N1552/$P1552</f>
      </c>
      <c r="R1552" s="7">
        <f>O1552/$P1552</f>
      </c>
      <c r="S1552" s="7">
        <f>Q1552^2+R1552^2</f>
      </c>
      <c r="T1552" s="7">
        <f>-R1552</f>
      </c>
      <c r="U1552" s="7">
        <f>Q1552</f>
      </c>
      <c r="V1552" s="7">
        <f>($C$14+($C$15-$C$14)/($D$15-$D$14)*(I1552-$D$14))/2</f>
      </c>
      <c r="W1552" s="7">
        <f>($B$22*I1552^4+$C$22*I1552^3+$D$22*I1552^2+$E$22*I1552+$F$22)/2</f>
      </c>
      <c r="X1552" s="7">
        <f>($W1552)*(T1552)</f>
      </c>
      <c r="Y1552" s="7">
        <f>($W1552)*(U1552)</f>
      </c>
      <c r="Z1552" s="7">
        <f>SQRT(X1552^2+Y1552^2)</f>
      </c>
      <c r="AA1552" s="7">
        <f>$K1552+$X1552</f>
      </c>
      <c r="AB1552" s="7">
        <f>$L1552+$Y1552</f>
      </c>
      <c r="AC1552" s="7">
        <f>$K1552-$X1552</f>
      </c>
      <c r="AD1552" s="7">
        <f>$L1552-$Y1552</f>
      </c>
      <c r="AE1552" s="7">
        <f>AA1552/39.3701</f>
      </c>
      <c r="AF1552" s="7">
        <f>AB1552/39.3701</f>
      </c>
      <c r="AG1552" s="7">
        <f>AC1552/39.3701</f>
      </c>
      <c r="AH1552" s="7">
        <f>AD1552/39.3701</f>
      </c>
      <c r="AI1552" s="1"/>
      <c r="AJ1552" s="1"/>
      <c r="AK1552" s="1"/>
      <c r="AL1552" s="1"/>
      <c r="AM1552" s="2"/>
      <c r="AN1552" s="1"/>
      <c r="AO1552" s="1"/>
      <c r="AP1552" s="1"/>
      <c r="AQ1552" s="1"/>
      <c r="AR1552" s="1"/>
      <c r="AS1552" s="1"/>
      <c r="AT1552" s="1"/>
      <c r="AU1552" s="1"/>
      <c r="AV1552" s="1"/>
      <c r="AW1552" s="1"/>
      <c r="AX1552" s="1"/>
      <c r="AY1552" s="1"/>
      <c r="AZ1552" s="1"/>
      <c r="BA1552" s="1"/>
      <c r="BB1552" s="1"/>
      <c r="BC1552" s="1"/>
      <c r="BD1552" s="1"/>
      <c r="BE1552" s="1"/>
    </row>
    <row x14ac:dyDescent="0.25" r="1553" customHeight="1" ht="18.75">
      <c r="A1553" s="1"/>
      <c r="B1553" s="2"/>
      <c r="C1553" s="2"/>
      <c r="D1553" s="2"/>
      <c r="E1553" s="2"/>
      <c r="F1553" s="2"/>
      <c r="G1553" s="1"/>
      <c r="H1553" s="1"/>
      <c r="I1553" s="7">
        <v>1.55</v>
      </c>
      <c r="J1553" s="7">
        <f>IF((I1553-ROUNDDOWN(I1553,0))=0, 0, (I1553-ROUNDDOWN(I1553,0)))</f>
      </c>
      <c r="K1553" s="7">
        <f>INDIRECT("C$"&amp;2+MIN(2,ROUNDDOWN(I1553,0))*3)*(-$J1553^3+3*$J1553^2-3*$J1553+1)+INDIRECT("C$"&amp;3+MIN(2,ROUNDDOWN(I1553,0))*3)*(3*$J1553^3-6*$J1553^2+3*$J1553)+INDIRECT("C$"&amp;4+MIN(2,ROUNDDOWN(I1553,0))*3)*(-3*$J1553^3+3*$J1553^2)+INDIRECT("C$"&amp;5+MIN(2,ROUNDDOWN(I1553,0))*3)*$J1553^3</f>
      </c>
      <c r="L1553" s="7">
        <f>INDIRECT("D$"&amp;2+MIN(2,ROUNDDOWN(I1553,0))*3)*(-$J1553^3+3*$J1553^2-3*$J1553+1)+INDIRECT("D$"&amp;3+MIN(2,ROUNDDOWN(I1553,0))*3)*(3*$J1553^3-6*$J1553^2+3*$J1553)+INDIRECT("D$"&amp;4+MIN(2,ROUNDDOWN(I1553,0))*3)*(-3*$J1553^3+3*$J1553^2)+INDIRECT("D$"&amp;5+MIN(2,ROUNDDOWN(I1553,0))*3)*$J1553^3</f>
      </c>
      <c r="M1553" s="7">
        <f>SQRT(K1553^2+L1553^2)</f>
      </c>
      <c r="N1553" s="7">
        <f>(K1554-K1552)</f>
      </c>
      <c r="O1553" s="7">
        <f>+(L1554-L1552)</f>
      </c>
      <c r="P1553" s="7">
        <f>SQRT(O1553^2+N1553^2)</f>
      </c>
      <c r="Q1553" s="7">
        <f>N1553/$P1553</f>
      </c>
      <c r="R1553" s="7">
        <f>O1553/$P1553</f>
      </c>
      <c r="S1553" s="8">
        <f>Q1553^2+R1553^2</f>
      </c>
      <c r="T1553" s="7">
        <f>-R1553</f>
      </c>
      <c r="U1553" s="7">
        <f>Q1553</f>
      </c>
      <c r="V1553" s="7">
        <f>($C$14+($C$15-$C$14)/($D$15-$D$14)*(I1553-$D$14))/2</f>
      </c>
      <c r="W1553" s="7">
        <f>($B$22*I1553^4+$C$22*I1553^3+$D$22*I1553^2+$E$22*I1553+$F$22)/2</f>
      </c>
      <c r="X1553" s="7">
        <f>($W1553)*(T1553)</f>
      </c>
      <c r="Y1553" s="7">
        <f>($W1553)*(U1553)</f>
      </c>
      <c r="Z1553" s="7">
        <f>SQRT(X1553^2+Y1553^2)</f>
      </c>
      <c r="AA1553" s="7">
        <f>$K1553+$X1553</f>
      </c>
      <c r="AB1553" s="7">
        <f>$L1553+$Y1553</f>
      </c>
      <c r="AC1553" s="7">
        <f>$K1553-$X1553</f>
      </c>
      <c r="AD1553" s="7">
        <f>$L1553-$Y1553</f>
      </c>
      <c r="AE1553" s="7">
        <f>AA1553/39.3701</f>
      </c>
      <c r="AF1553" s="7">
        <f>AB1553/39.3701</f>
      </c>
      <c r="AG1553" s="7">
        <f>AC1553/39.3701</f>
      </c>
      <c r="AH1553" s="7">
        <f>AD1553/39.3701</f>
      </c>
      <c r="AI1553" s="1"/>
      <c r="AJ1553" s="1"/>
      <c r="AK1553" s="1"/>
      <c r="AL1553" s="1"/>
      <c r="AM1553" s="2"/>
      <c r="AN1553" s="1"/>
      <c r="AO1553" s="1"/>
      <c r="AP1553" s="1"/>
      <c r="AQ1553" s="1"/>
      <c r="AR1553" s="1"/>
      <c r="AS1553" s="1"/>
      <c r="AT1553" s="1"/>
      <c r="AU1553" s="1"/>
      <c r="AV1553" s="1"/>
      <c r="AW1553" s="1"/>
      <c r="AX1553" s="1"/>
      <c r="AY1553" s="1"/>
      <c r="AZ1553" s="1"/>
      <c r="BA1553" s="1"/>
      <c r="BB1553" s="1"/>
      <c r="BC1553" s="1"/>
      <c r="BD1553" s="1"/>
      <c r="BE1553" s="1"/>
    </row>
    <row x14ac:dyDescent="0.25" r="1554" customHeight="1" ht="18.75">
      <c r="A1554" s="1"/>
      <c r="B1554" s="2"/>
      <c r="C1554" s="2"/>
      <c r="D1554" s="2"/>
      <c r="E1554" s="2"/>
      <c r="F1554" s="2"/>
      <c r="G1554" s="1"/>
      <c r="H1554" s="1"/>
      <c r="I1554" s="7">
        <v>1.551</v>
      </c>
      <c r="J1554" s="7">
        <f>IF((I1554-ROUNDDOWN(I1554,0))=0, 0, (I1554-ROUNDDOWN(I1554,0)))</f>
      </c>
      <c r="K1554" s="7">
        <f>INDIRECT("C$"&amp;2+MIN(2,ROUNDDOWN(I1554,0))*3)*(-$J1554^3+3*$J1554^2-3*$J1554+1)+INDIRECT("C$"&amp;3+MIN(2,ROUNDDOWN(I1554,0))*3)*(3*$J1554^3-6*$J1554^2+3*$J1554)+INDIRECT("C$"&amp;4+MIN(2,ROUNDDOWN(I1554,0))*3)*(-3*$J1554^3+3*$J1554^2)+INDIRECT("C$"&amp;5+MIN(2,ROUNDDOWN(I1554,0))*3)*$J1554^3</f>
      </c>
      <c r="L1554" s="7">
        <f>INDIRECT("D$"&amp;2+MIN(2,ROUNDDOWN(I1554,0))*3)*(-$J1554^3+3*$J1554^2-3*$J1554+1)+INDIRECT("D$"&amp;3+MIN(2,ROUNDDOWN(I1554,0))*3)*(3*$J1554^3-6*$J1554^2+3*$J1554)+INDIRECT("D$"&amp;4+MIN(2,ROUNDDOWN(I1554,0))*3)*(-3*$J1554^3+3*$J1554^2)+INDIRECT("D$"&amp;5+MIN(2,ROUNDDOWN(I1554,0))*3)*$J1554^3</f>
      </c>
      <c r="M1554" s="7">
        <f>SQRT(K1554^2+L1554^2)</f>
      </c>
      <c r="N1554" s="7">
        <f>(K1555-K1553)</f>
      </c>
      <c r="O1554" s="7">
        <f>+(L1555-L1553)</f>
      </c>
      <c r="P1554" s="7">
        <f>SQRT(O1554^2+N1554^2)</f>
      </c>
      <c r="Q1554" s="7">
        <f>N1554/$P1554</f>
      </c>
      <c r="R1554" s="7">
        <f>O1554/$P1554</f>
      </c>
      <c r="S1554" s="8">
        <f>Q1554^2+R1554^2</f>
      </c>
      <c r="T1554" s="7">
        <f>-R1554</f>
      </c>
      <c r="U1554" s="7">
        <f>Q1554</f>
      </c>
      <c r="V1554" s="7">
        <f>($C$14+($C$15-$C$14)/($D$15-$D$14)*(I1554-$D$14))/2</f>
      </c>
      <c r="W1554" s="7">
        <f>($B$22*I1554^4+$C$22*I1554^3+$D$22*I1554^2+$E$22*I1554+$F$22)/2</f>
      </c>
      <c r="X1554" s="7">
        <f>($W1554)*(T1554)</f>
      </c>
      <c r="Y1554" s="7">
        <f>($W1554)*(U1554)</f>
      </c>
      <c r="Z1554" s="7">
        <f>SQRT(X1554^2+Y1554^2)</f>
      </c>
      <c r="AA1554" s="7">
        <f>$K1554+$X1554</f>
      </c>
      <c r="AB1554" s="7">
        <f>$L1554+$Y1554</f>
      </c>
      <c r="AC1554" s="7">
        <f>$K1554-$X1554</f>
      </c>
      <c r="AD1554" s="7">
        <f>$L1554-$Y1554</f>
      </c>
      <c r="AE1554" s="7">
        <f>AA1554/39.3701</f>
      </c>
      <c r="AF1554" s="7">
        <f>AB1554/39.3701</f>
      </c>
      <c r="AG1554" s="7">
        <f>AC1554/39.3701</f>
      </c>
      <c r="AH1554" s="7">
        <f>AD1554/39.3701</f>
      </c>
      <c r="AI1554" s="1"/>
      <c r="AJ1554" s="1"/>
      <c r="AK1554" s="1"/>
      <c r="AL1554" s="1"/>
      <c r="AM1554" s="2"/>
      <c r="AN1554" s="1"/>
      <c r="AO1554" s="1"/>
      <c r="AP1554" s="1"/>
      <c r="AQ1554" s="1"/>
      <c r="AR1554" s="1"/>
      <c r="AS1554" s="1"/>
      <c r="AT1554" s="1"/>
      <c r="AU1554" s="1"/>
      <c r="AV1554" s="1"/>
      <c r="AW1554" s="1"/>
      <c r="AX1554" s="1"/>
      <c r="AY1554" s="1"/>
      <c r="AZ1554" s="1"/>
      <c r="BA1554" s="1"/>
      <c r="BB1554" s="1"/>
      <c r="BC1554" s="1"/>
      <c r="BD1554" s="1"/>
      <c r="BE1554" s="1"/>
    </row>
    <row x14ac:dyDescent="0.25" r="1555" customHeight="1" ht="18.75">
      <c r="A1555" s="1"/>
      <c r="B1555" s="2"/>
      <c r="C1555" s="2"/>
      <c r="D1555" s="2"/>
      <c r="E1555" s="2"/>
      <c r="F1555" s="2"/>
      <c r="G1555" s="1"/>
      <c r="H1555" s="1"/>
      <c r="I1555" s="7">
        <v>1.552</v>
      </c>
      <c r="J1555" s="7">
        <f>IF((I1555-ROUNDDOWN(I1555,0))=0, 0, (I1555-ROUNDDOWN(I1555,0)))</f>
      </c>
      <c r="K1555" s="7">
        <f>INDIRECT("C$"&amp;2+MIN(2,ROUNDDOWN(I1555,0))*3)*(-$J1555^3+3*$J1555^2-3*$J1555+1)+INDIRECT("C$"&amp;3+MIN(2,ROUNDDOWN(I1555,0))*3)*(3*$J1555^3-6*$J1555^2+3*$J1555)+INDIRECT("C$"&amp;4+MIN(2,ROUNDDOWN(I1555,0))*3)*(-3*$J1555^3+3*$J1555^2)+INDIRECT("C$"&amp;5+MIN(2,ROUNDDOWN(I1555,0))*3)*$J1555^3</f>
      </c>
      <c r="L1555" s="7">
        <f>INDIRECT("D$"&amp;2+MIN(2,ROUNDDOWN(I1555,0))*3)*(-$J1555^3+3*$J1555^2-3*$J1555+1)+INDIRECT("D$"&amp;3+MIN(2,ROUNDDOWN(I1555,0))*3)*(3*$J1555^3-6*$J1555^2+3*$J1555)+INDIRECT("D$"&amp;4+MIN(2,ROUNDDOWN(I1555,0))*3)*(-3*$J1555^3+3*$J1555^2)+INDIRECT("D$"&amp;5+MIN(2,ROUNDDOWN(I1555,0))*3)*$J1555^3</f>
      </c>
      <c r="M1555" s="7">
        <f>SQRT(K1555^2+L1555^2)</f>
      </c>
      <c r="N1555" s="7">
        <f>(K1556-K1554)</f>
      </c>
      <c r="O1555" s="7">
        <f>+(L1556-L1554)</f>
      </c>
      <c r="P1555" s="7">
        <f>SQRT(O1555^2+N1555^2)</f>
      </c>
      <c r="Q1555" s="7">
        <f>N1555/$P1555</f>
      </c>
      <c r="R1555" s="7">
        <f>O1555/$P1555</f>
      </c>
      <c r="S1555" s="8">
        <f>Q1555^2+R1555^2</f>
      </c>
      <c r="T1555" s="7">
        <f>-R1555</f>
      </c>
      <c r="U1555" s="7">
        <f>Q1555</f>
      </c>
      <c r="V1555" s="7">
        <f>($C$14+($C$15-$C$14)/($D$15-$D$14)*(I1555-$D$14))/2</f>
      </c>
      <c r="W1555" s="7">
        <f>($B$22*I1555^4+$C$22*I1555^3+$D$22*I1555^2+$E$22*I1555+$F$22)/2</f>
      </c>
      <c r="X1555" s="7">
        <f>($W1555)*(T1555)</f>
      </c>
      <c r="Y1555" s="7">
        <f>($W1555)*(U1555)</f>
      </c>
      <c r="Z1555" s="7">
        <f>SQRT(X1555^2+Y1555^2)</f>
      </c>
      <c r="AA1555" s="7">
        <f>$K1555+$X1555</f>
      </c>
      <c r="AB1555" s="7">
        <f>$L1555+$Y1555</f>
      </c>
      <c r="AC1555" s="7">
        <f>$K1555-$X1555</f>
      </c>
      <c r="AD1555" s="7">
        <f>$L1555-$Y1555</f>
      </c>
      <c r="AE1555" s="7">
        <f>AA1555/39.3701</f>
      </c>
      <c r="AF1555" s="7">
        <f>AB1555/39.3701</f>
      </c>
      <c r="AG1555" s="7">
        <f>AC1555/39.3701</f>
      </c>
      <c r="AH1555" s="7">
        <f>AD1555/39.3701</f>
      </c>
      <c r="AI1555" s="1"/>
      <c r="AJ1555" s="1"/>
      <c r="AK1555" s="1"/>
      <c r="AL1555" s="1"/>
      <c r="AM1555" s="2"/>
      <c r="AN1555" s="1"/>
      <c r="AO1555" s="1"/>
      <c r="AP1555" s="1"/>
      <c r="AQ1555" s="1"/>
      <c r="AR1555" s="1"/>
      <c r="AS1555" s="1"/>
      <c r="AT1555" s="1"/>
      <c r="AU1555" s="1"/>
      <c r="AV1555" s="1"/>
      <c r="AW1555" s="1"/>
      <c r="AX1555" s="1"/>
      <c r="AY1555" s="1"/>
      <c r="AZ1555" s="1"/>
      <c r="BA1555" s="1"/>
      <c r="BB1555" s="1"/>
      <c r="BC1555" s="1"/>
      <c r="BD1555" s="1"/>
      <c r="BE1555" s="1"/>
    </row>
    <row x14ac:dyDescent="0.25" r="1556" customHeight="1" ht="18.75">
      <c r="A1556" s="1"/>
      <c r="B1556" s="2"/>
      <c r="C1556" s="2"/>
      <c r="D1556" s="2"/>
      <c r="E1556" s="2"/>
      <c r="F1556" s="2"/>
      <c r="G1556" s="1"/>
      <c r="H1556" s="1"/>
      <c r="I1556" s="7">
        <v>1.553</v>
      </c>
      <c r="J1556" s="7">
        <f>IF((I1556-ROUNDDOWN(I1556,0))=0, 0, (I1556-ROUNDDOWN(I1556,0)))</f>
      </c>
      <c r="K1556" s="7">
        <f>INDIRECT("C$"&amp;2+MIN(2,ROUNDDOWN(I1556,0))*3)*(-$J1556^3+3*$J1556^2-3*$J1556+1)+INDIRECT("C$"&amp;3+MIN(2,ROUNDDOWN(I1556,0))*3)*(3*$J1556^3-6*$J1556^2+3*$J1556)+INDIRECT("C$"&amp;4+MIN(2,ROUNDDOWN(I1556,0))*3)*(-3*$J1556^3+3*$J1556^2)+INDIRECT("C$"&amp;5+MIN(2,ROUNDDOWN(I1556,0))*3)*$J1556^3</f>
      </c>
      <c r="L1556" s="7">
        <f>INDIRECT("D$"&amp;2+MIN(2,ROUNDDOWN(I1556,0))*3)*(-$J1556^3+3*$J1556^2-3*$J1556+1)+INDIRECT("D$"&amp;3+MIN(2,ROUNDDOWN(I1556,0))*3)*(3*$J1556^3-6*$J1556^2+3*$J1556)+INDIRECT("D$"&amp;4+MIN(2,ROUNDDOWN(I1556,0))*3)*(-3*$J1556^3+3*$J1556^2)+INDIRECT("D$"&amp;5+MIN(2,ROUNDDOWN(I1556,0))*3)*$J1556^3</f>
      </c>
      <c r="M1556" s="7">
        <f>SQRT(K1556^2+L1556^2)</f>
      </c>
      <c r="N1556" s="7">
        <f>(K1557-K1555)</f>
      </c>
      <c r="O1556" s="7">
        <f>+(L1557-L1555)</f>
      </c>
      <c r="P1556" s="7">
        <f>SQRT(O1556^2+N1556^2)</f>
      </c>
      <c r="Q1556" s="7">
        <f>N1556/$P1556</f>
      </c>
      <c r="R1556" s="7">
        <f>O1556/$P1556</f>
      </c>
      <c r="S1556" s="8">
        <f>Q1556^2+R1556^2</f>
      </c>
      <c r="T1556" s="7">
        <f>-R1556</f>
      </c>
      <c r="U1556" s="7">
        <f>Q1556</f>
      </c>
      <c r="V1556" s="7">
        <f>($C$14+($C$15-$C$14)/($D$15-$D$14)*(I1556-$D$14))/2</f>
      </c>
      <c r="W1556" s="7">
        <f>($B$22*I1556^4+$C$22*I1556^3+$D$22*I1556^2+$E$22*I1556+$F$22)/2</f>
      </c>
      <c r="X1556" s="7">
        <f>($W1556)*(T1556)</f>
      </c>
      <c r="Y1556" s="7">
        <f>($W1556)*(U1556)</f>
      </c>
      <c r="Z1556" s="7">
        <f>SQRT(X1556^2+Y1556^2)</f>
      </c>
      <c r="AA1556" s="7">
        <f>$K1556+$X1556</f>
      </c>
      <c r="AB1556" s="7">
        <f>$L1556+$Y1556</f>
      </c>
      <c r="AC1556" s="7">
        <f>$K1556-$X1556</f>
      </c>
      <c r="AD1556" s="7">
        <f>$L1556-$Y1556</f>
      </c>
      <c r="AE1556" s="7">
        <f>AA1556/39.3701</f>
      </c>
      <c r="AF1556" s="7">
        <f>AB1556/39.3701</f>
      </c>
      <c r="AG1556" s="7">
        <f>AC1556/39.3701</f>
      </c>
      <c r="AH1556" s="7">
        <f>AD1556/39.3701</f>
      </c>
      <c r="AI1556" s="1"/>
      <c r="AJ1556" s="1"/>
      <c r="AK1556" s="1"/>
      <c r="AL1556" s="1"/>
      <c r="AM1556" s="2"/>
      <c r="AN1556" s="1"/>
      <c r="AO1556" s="1"/>
      <c r="AP1556" s="1"/>
      <c r="AQ1556" s="1"/>
      <c r="AR1556" s="1"/>
      <c r="AS1556" s="1"/>
      <c r="AT1556" s="1"/>
      <c r="AU1556" s="1"/>
      <c r="AV1556" s="1"/>
      <c r="AW1556" s="1"/>
      <c r="AX1556" s="1"/>
      <c r="AY1556" s="1"/>
      <c r="AZ1556" s="1"/>
      <c r="BA1556" s="1"/>
      <c r="BB1556" s="1"/>
      <c r="BC1556" s="1"/>
      <c r="BD1556" s="1"/>
      <c r="BE1556" s="1"/>
    </row>
    <row x14ac:dyDescent="0.25" r="1557" customHeight="1" ht="18.75">
      <c r="A1557" s="1"/>
      <c r="B1557" s="2"/>
      <c r="C1557" s="2"/>
      <c r="D1557" s="2"/>
      <c r="E1557" s="2"/>
      <c r="F1557" s="2"/>
      <c r="G1557" s="1"/>
      <c r="H1557" s="1"/>
      <c r="I1557" s="7">
        <v>1.554</v>
      </c>
      <c r="J1557" s="7">
        <f>IF((I1557-ROUNDDOWN(I1557,0))=0, 0, (I1557-ROUNDDOWN(I1557,0)))</f>
      </c>
      <c r="K1557" s="7">
        <f>INDIRECT("C$"&amp;2+MIN(2,ROUNDDOWN(I1557,0))*3)*(-$J1557^3+3*$J1557^2-3*$J1557+1)+INDIRECT("C$"&amp;3+MIN(2,ROUNDDOWN(I1557,0))*3)*(3*$J1557^3-6*$J1557^2+3*$J1557)+INDIRECT("C$"&amp;4+MIN(2,ROUNDDOWN(I1557,0))*3)*(-3*$J1557^3+3*$J1557^2)+INDIRECT("C$"&amp;5+MIN(2,ROUNDDOWN(I1557,0))*3)*$J1557^3</f>
      </c>
      <c r="L1557" s="7">
        <f>INDIRECT("D$"&amp;2+MIN(2,ROUNDDOWN(I1557,0))*3)*(-$J1557^3+3*$J1557^2-3*$J1557+1)+INDIRECT("D$"&amp;3+MIN(2,ROUNDDOWN(I1557,0))*3)*(3*$J1557^3-6*$J1557^2+3*$J1557)+INDIRECT("D$"&amp;4+MIN(2,ROUNDDOWN(I1557,0))*3)*(-3*$J1557^3+3*$J1557^2)+INDIRECT("D$"&amp;5+MIN(2,ROUNDDOWN(I1557,0))*3)*$J1557^3</f>
      </c>
      <c r="M1557" s="7">
        <f>SQRT(K1557^2+L1557^2)</f>
      </c>
      <c r="N1557" s="7">
        <f>(K1558-K1556)</f>
      </c>
      <c r="O1557" s="7">
        <f>+(L1558-L1556)</f>
      </c>
      <c r="P1557" s="7">
        <f>SQRT(O1557^2+N1557^2)</f>
      </c>
      <c r="Q1557" s="7">
        <f>N1557/$P1557</f>
      </c>
      <c r="R1557" s="7">
        <f>O1557/$P1557</f>
      </c>
      <c r="S1557" s="7">
        <f>Q1557^2+R1557^2</f>
      </c>
      <c r="T1557" s="7">
        <f>-R1557</f>
      </c>
      <c r="U1557" s="7">
        <f>Q1557</f>
      </c>
      <c r="V1557" s="7">
        <f>($C$14+($C$15-$C$14)/($D$15-$D$14)*(I1557-$D$14))/2</f>
      </c>
      <c r="W1557" s="7">
        <f>($B$22*I1557^4+$C$22*I1557^3+$D$22*I1557^2+$E$22*I1557+$F$22)/2</f>
      </c>
      <c r="X1557" s="7">
        <f>($W1557)*(T1557)</f>
      </c>
      <c r="Y1557" s="7">
        <f>($W1557)*(U1557)</f>
      </c>
      <c r="Z1557" s="7">
        <f>SQRT(X1557^2+Y1557^2)</f>
      </c>
      <c r="AA1557" s="7">
        <f>$K1557+$X1557</f>
      </c>
      <c r="AB1557" s="7">
        <f>$L1557+$Y1557</f>
      </c>
      <c r="AC1557" s="7">
        <f>$K1557-$X1557</f>
      </c>
      <c r="AD1557" s="7">
        <f>$L1557-$Y1557</f>
      </c>
      <c r="AE1557" s="7">
        <f>AA1557/39.3701</f>
      </c>
      <c r="AF1557" s="7">
        <f>AB1557/39.3701</f>
      </c>
      <c r="AG1557" s="7">
        <f>AC1557/39.3701</f>
      </c>
      <c r="AH1557" s="7">
        <f>AD1557/39.3701</f>
      </c>
      <c r="AI1557" s="1"/>
      <c r="AJ1557" s="1"/>
      <c r="AK1557" s="1"/>
      <c r="AL1557" s="1"/>
      <c r="AM1557" s="2"/>
      <c r="AN1557" s="1"/>
      <c r="AO1557" s="1"/>
      <c r="AP1557" s="1"/>
      <c r="AQ1557" s="1"/>
      <c r="AR1557" s="1"/>
      <c r="AS1557" s="1"/>
      <c r="AT1557" s="1"/>
      <c r="AU1557" s="1"/>
      <c r="AV1557" s="1"/>
      <c r="AW1557" s="1"/>
      <c r="AX1557" s="1"/>
      <c r="AY1557" s="1"/>
      <c r="AZ1557" s="1"/>
      <c r="BA1557" s="1"/>
      <c r="BB1557" s="1"/>
      <c r="BC1557" s="1"/>
      <c r="BD1557" s="1"/>
      <c r="BE1557" s="1"/>
    </row>
    <row x14ac:dyDescent="0.25" r="1558" customHeight="1" ht="18.75">
      <c r="A1558" s="1"/>
      <c r="B1558" s="2"/>
      <c r="C1558" s="2"/>
      <c r="D1558" s="2"/>
      <c r="E1558" s="2"/>
      <c r="F1558" s="2"/>
      <c r="G1558" s="1"/>
      <c r="H1558" s="1"/>
      <c r="I1558" s="7">
        <v>1.555</v>
      </c>
      <c r="J1558" s="7">
        <f>IF((I1558-ROUNDDOWN(I1558,0))=0, 0, (I1558-ROUNDDOWN(I1558,0)))</f>
      </c>
      <c r="K1558" s="7">
        <f>INDIRECT("C$"&amp;2+MIN(2,ROUNDDOWN(I1558,0))*3)*(-$J1558^3+3*$J1558^2-3*$J1558+1)+INDIRECT("C$"&amp;3+MIN(2,ROUNDDOWN(I1558,0))*3)*(3*$J1558^3-6*$J1558^2+3*$J1558)+INDIRECT("C$"&amp;4+MIN(2,ROUNDDOWN(I1558,0))*3)*(-3*$J1558^3+3*$J1558^2)+INDIRECT("C$"&amp;5+MIN(2,ROUNDDOWN(I1558,0))*3)*$J1558^3</f>
      </c>
      <c r="L1558" s="7">
        <f>INDIRECT("D$"&amp;2+MIN(2,ROUNDDOWN(I1558,0))*3)*(-$J1558^3+3*$J1558^2-3*$J1558+1)+INDIRECT("D$"&amp;3+MIN(2,ROUNDDOWN(I1558,0))*3)*(3*$J1558^3-6*$J1558^2+3*$J1558)+INDIRECT("D$"&amp;4+MIN(2,ROUNDDOWN(I1558,0))*3)*(-3*$J1558^3+3*$J1558^2)+INDIRECT("D$"&amp;5+MIN(2,ROUNDDOWN(I1558,0))*3)*$J1558^3</f>
      </c>
      <c r="M1558" s="7">
        <f>SQRT(K1558^2+L1558^2)</f>
      </c>
      <c r="N1558" s="7">
        <f>(K1559-K1557)</f>
      </c>
      <c r="O1558" s="7">
        <f>+(L1559-L1557)</f>
      </c>
      <c r="P1558" s="7">
        <f>SQRT(O1558^2+N1558^2)</f>
      </c>
      <c r="Q1558" s="7">
        <f>N1558/$P1558</f>
      </c>
      <c r="R1558" s="7">
        <f>O1558/$P1558</f>
      </c>
      <c r="S1558" s="7">
        <f>Q1558^2+R1558^2</f>
      </c>
      <c r="T1558" s="7">
        <f>-R1558</f>
      </c>
      <c r="U1558" s="7">
        <f>Q1558</f>
      </c>
      <c r="V1558" s="7">
        <f>($C$14+($C$15-$C$14)/($D$15-$D$14)*(I1558-$D$14))/2</f>
      </c>
      <c r="W1558" s="7">
        <f>($B$22*I1558^4+$C$22*I1558^3+$D$22*I1558^2+$E$22*I1558+$F$22)/2</f>
      </c>
      <c r="X1558" s="7">
        <f>($W1558)*(T1558)</f>
      </c>
      <c r="Y1558" s="7">
        <f>($W1558)*(U1558)</f>
      </c>
      <c r="Z1558" s="7">
        <f>SQRT(X1558^2+Y1558^2)</f>
      </c>
      <c r="AA1558" s="7">
        <f>$K1558+$X1558</f>
      </c>
      <c r="AB1558" s="7">
        <f>$L1558+$Y1558</f>
      </c>
      <c r="AC1558" s="7">
        <f>$K1558-$X1558</f>
      </c>
      <c r="AD1558" s="7">
        <f>$L1558-$Y1558</f>
      </c>
      <c r="AE1558" s="7">
        <f>AA1558/39.3701</f>
      </c>
      <c r="AF1558" s="7">
        <f>AB1558/39.3701</f>
      </c>
      <c r="AG1558" s="7">
        <f>AC1558/39.3701</f>
      </c>
      <c r="AH1558" s="7">
        <f>AD1558/39.3701</f>
      </c>
      <c r="AI1558" s="1"/>
      <c r="AJ1558" s="1"/>
      <c r="AK1558" s="1"/>
      <c r="AL1558" s="1"/>
      <c r="AM1558" s="2"/>
      <c r="AN1558" s="1"/>
      <c r="AO1558" s="1"/>
      <c r="AP1558" s="1"/>
      <c r="AQ1558" s="1"/>
      <c r="AR1558" s="1"/>
      <c r="AS1558" s="1"/>
      <c r="AT1558" s="1"/>
      <c r="AU1558" s="1"/>
      <c r="AV1558" s="1"/>
      <c r="AW1558" s="1"/>
      <c r="AX1558" s="1"/>
      <c r="AY1558" s="1"/>
      <c r="AZ1558" s="1"/>
      <c r="BA1558" s="1"/>
      <c r="BB1558" s="1"/>
      <c r="BC1558" s="1"/>
      <c r="BD1558" s="1"/>
      <c r="BE1558" s="1"/>
    </row>
    <row x14ac:dyDescent="0.25" r="1559" customHeight="1" ht="18.75">
      <c r="A1559" s="1"/>
      <c r="B1559" s="2"/>
      <c r="C1559" s="2"/>
      <c r="D1559" s="2"/>
      <c r="E1559" s="2"/>
      <c r="F1559" s="2"/>
      <c r="G1559" s="1"/>
      <c r="H1559" s="1"/>
      <c r="I1559" s="7">
        <v>1.556</v>
      </c>
      <c r="J1559" s="7">
        <f>IF((I1559-ROUNDDOWN(I1559,0))=0, 0, (I1559-ROUNDDOWN(I1559,0)))</f>
      </c>
      <c r="K1559" s="7">
        <f>INDIRECT("C$"&amp;2+MIN(2,ROUNDDOWN(I1559,0))*3)*(-$J1559^3+3*$J1559^2-3*$J1559+1)+INDIRECT("C$"&amp;3+MIN(2,ROUNDDOWN(I1559,0))*3)*(3*$J1559^3-6*$J1559^2+3*$J1559)+INDIRECT("C$"&amp;4+MIN(2,ROUNDDOWN(I1559,0))*3)*(-3*$J1559^3+3*$J1559^2)+INDIRECT("C$"&amp;5+MIN(2,ROUNDDOWN(I1559,0))*3)*$J1559^3</f>
      </c>
      <c r="L1559" s="7">
        <f>INDIRECT("D$"&amp;2+MIN(2,ROUNDDOWN(I1559,0))*3)*(-$J1559^3+3*$J1559^2-3*$J1559+1)+INDIRECT("D$"&amp;3+MIN(2,ROUNDDOWN(I1559,0))*3)*(3*$J1559^3-6*$J1559^2+3*$J1559)+INDIRECT("D$"&amp;4+MIN(2,ROUNDDOWN(I1559,0))*3)*(-3*$J1559^3+3*$J1559^2)+INDIRECT("D$"&amp;5+MIN(2,ROUNDDOWN(I1559,0))*3)*$J1559^3</f>
      </c>
      <c r="M1559" s="7">
        <f>SQRT(K1559^2+L1559^2)</f>
      </c>
      <c r="N1559" s="7">
        <f>(K1560-K1558)</f>
      </c>
      <c r="O1559" s="7">
        <f>+(L1560-L1558)</f>
      </c>
      <c r="P1559" s="7">
        <f>SQRT(O1559^2+N1559^2)</f>
      </c>
      <c r="Q1559" s="7">
        <f>N1559/$P1559</f>
      </c>
      <c r="R1559" s="7">
        <f>O1559/$P1559</f>
      </c>
      <c r="S1559" s="8">
        <f>Q1559^2+R1559^2</f>
      </c>
      <c r="T1559" s="7">
        <f>-R1559</f>
      </c>
      <c r="U1559" s="7">
        <f>Q1559</f>
      </c>
      <c r="V1559" s="7">
        <f>($C$14+($C$15-$C$14)/($D$15-$D$14)*(I1559-$D$14))/2</f>
      </c>
      <c r="W1559" s="7">
        <f>($B$22*I1559^4+$C$22*I1559^3+$D$22*I1559^2+$E$22*I1559+$F$22)/2</f>
      </c>
      <c r="X1559" s="7">
        <f>($W1559)*(T1559)</f>
      </c>
      <c r="Y1559" s="7">
        <f>($W1559)*(U1559)</f>
      </c>
      <c r="Z1559" s="7">
        <f>SQRT(X1559^2+Y1559^2)</f>
      </c>
      <c r="AA1559" s="7">
        <f>$K1559+$X1559</f>
      </c>
      <c r="AB1559" s="7">
        <f>$L1559+$Y1559</f>
      </c>
      <c r="AC1559" s="7">
        <f>$K1559-$X1559</f>
      </c>
      <c r="AD1559" s="7">
        <f>$L1559-$Y1559</f>
      </c>
      <c r="AE1559" s="7">
        <f>AA1559/39.3701</f>
      </c>
      <c r="AF1559" s="7">
        <f>AB1559/39.3701</f>
      </c>
      <c r="AG1559" s="7">
        <f>AC1559/39.3701</f>
      </c>
      <c r="AH1559" s="7">
        <f>AD1559/39.3701</f>
      </c>
      <c r="AI1559" s="1"/>
      <c r="AJ1559" s="1"/>
      <c r="AK1559" s="1"/>
      <c r="AL1559" s="1"/>
      <c r="AM1559" s="2"/>
      <c r="AN1559" s="1"/>
      <c r="AO1559" s="1"/>
      <c r="AP1559" s="1"/>
      <c r="AQ1559" s="1"/>
      <c r="AR1559" s="1"/>
      <c r="AS1559" s="1"/>
      <c r="AT1559" s="1"/>
      <c r="AU1559" s="1"/>
      <c r="AV1559" s="1"/>
      <c r="AW1559" s="1"/>
      <c r="AX1559" s="1"/>
      <c r="AY1559" s="1"/>
      <c r="AZ1559" s="1"/>
      <c r="BA1559" s="1"/>
      <c r="BB1559" s="1"/>
      <c r="BC1559" s="1"/>
      <c r="BD1559" s="1"/>
      <c r="BE1559" s="1"/>
    </row>
    <row x14ac:dyDescent="0.25" r="1560" customHeight="1" ht="18.75">
      <c r="A1560" s="1"/>
      <c r="B1560" s="2"/>
      <c r="C1560" s="2"/>
      <c r="D1560" s="2"/>
      <c r="E1560" s="2"/>
      <c r="F1560" s="2"/>
      <c r="G1560" s="1"/>
      <c r="H1560" s="1"/>
      <c r="I1560" s="7">
        <v>1.557</v>
      </c>
      <c r="J1560" s="7">
        <f>IF((I1560-ROUNDDOWN(I1560,0))=0, 0, (I1560-ROUNDDOWN(I1560,0)))</f>
      </c>
      <c r="K1560" s="7">
        <f>INDIRECT("C$"&amp;2+MIN(2,ROUNDDOWN(I1560,0))*3)*(-$J1560^3+3*$J1560^2-3*$J1560+1)+INDIRECT("C$"&amp;3+MIN(2,ROUNDDOWN(I1560,0))*3)*(3*$J1560^3-6*$J1560^2+3*$J1560)+INDIRECT("C$"&amp;4+MIN(2,ROUNDDOWN(I1560,0))*3)*(-3*$J1560^3+3*$J1560^2)+INDIRECT("C$"&amp;5+MIN(2,ROUNDDOWN(I1560,0))*3)*$J1560^3</f>
      </c>
      <c r="L1560" s="7">
        <f>INDIRECT("D$"&amp;2+MIN(2,ROUNDDOWN(I1560,0))*3)*(-$J1560^3+3*$J1560^2-3*$J1560+1)+INDIRECT("D$"&amp;3+MIN(2,ROUNDDOWN(I1560,0))*3)*(3*$J1560^3-6*$J1560^2+3*$J1560)+INDIRECT("D$"&amp;4+MIN(2,ROUNDDOWN(I1560,0))*3)*(-3*$J1560^3+3*$J1560^2)+INDIRECT("D$"&amp;5+MIN(2,ROUNDDOWN(I1560,0))*3)*$J1560^3</f>
      </c>
      <c r="M1560" s="7">
        <f>SQRT(K1560^2+L1560^2)</f>
      </c>
      <c r="N1560" s="7">
        <f>(K1561-K1559)</f>
      </c>
      <c r="O1560" s="7">
        <f>+(L1561-L1559)</f>
      </c>
      <c r="P1560" s="7">
        <f>SQRT(O1560^2+N1560^2)</f>
      </c>
      <c r="Q1560" s="7">
        <f>N1560/$P1560</f>
      </c>
      <c r="R1560" s="7">
        <f>O1560/$P1560</f>
      </c>
      <c r="S1560" s="7">
        <f>Q1560^2+R1560^2</f>
      </c>
      <c r="T1560" s="7">
        <f>-R1560</f>
      </c>
      <c r="U1560" s="7">
        <f>Q1560</f>
      </c>
      <c r="V1560" s="7">
        <f>($C$14+($C$15-$C$14)/($D$15-$D$14)*(I1560-$D$14))/2</f>
      </c>
      <c r="W1560" s="7">
        <f>($B$22*I1560^4+$C$22*I1560^3+$D$22*I1560^2+$E$22*I1560+$F$22)/2</f>
      </c>
      <c r="X1560" s="7">
        <f>($W1560)*(T1560)</f>
      </c>
      <c r="Y1560" s="7">
        <f>($W1560)*(U1560)</f>
      </c>
      <c r="Z1560" s="7">
        <f>SQRT(X1560^2+Y1560^2)</f>
      </c>
      <c r="AA1560" s="7">
        <f>$K1560+$X1560</f>
      </c>
      <c r="AB1560" s="7">
        <f>$L1560+$Y1560</f>
      </c>
      <c r="AC1560" s="7">
        <f>$K1560-$X1560</f>
      </c>
      <c r="AD1560" s="7">
        <f>$L1560-$Y1560</f>
      </c>
      <c r="AE1560" s="7">
        <f>AA1560/39.3701</f>
      </c>
      <c r="AF1560" s="7">
        <f>AB1560/39.3701</f>
      </c>
      <c r="AG1560" s="7">
        <f>AC1560/39.3701</f>
      </c>
      <c r="AH1560" s="7">
        <f>AD1560/39.3701</f>
      </c>
      <c r="AI1560" s="1"/>
      <c r="AJ1560" s="1"/>
      <c r="AK1560" s="1"/>
      <c r="AL1560" s="1"/>
      <c r="AM1560" s="2"/>
      <c r="AN1560" s="1"/>
      <c r="AO1560" s="1"/>
      <c r="AP1560" s="1"/>
      <c r="AQ1560" s="1"/>
      <c r="AR1560" s="1"/>
      <c r="AS1560" s="1"/>
      <c r="AT1560" s="1"/>
      <c r="AU1560" s="1"/>
      <c r="AV1560" s="1"/>
      <c r="AW1560" s="1"/>
      <c r="AX1560" s="1"/>
      <c r="AY1560" s="1"/>
      <c r="AZ1560" s="1"/>
      <c r="BA1560" s="1"/>
      <c r="BB1560" s="1"/>
      <c r="BC1560" s="1"/>
      <c r="BD1560" s="1"/>
      <c r="BE1560" s="1"/>
    </row>
    <row x14ac:dyDescent="0.25" r="1561" customHeight="1" ht="18.75">
      <c r="A1561" s="1"/>
      <c r="B1561" s="2"/>
      <c r="C1561" s="2"/>
      <c r="D1561" s="2"/>
      <c r="E1561" s="2"/>
      <c r="F1561" s="2"/>
      <c r="G1561" s="1"/>
      <c r="H1561" s="1"/>
      <c r="I1561" s="7">
        <v>1.558</v>
      </c>
      <c r="J1561" s="7">
        <f>IF((I1561-ROUNDDOWN(I1561,0))=0, 0, (I1561-ROUNDDOWN(I1561,0)))</f>
      </c>
      <c r="K1561" s="7">
        <f>INDIRECT("C$"&amp;2+MIN(2,ROUNDDOWN(I1561,0))*3)*(-$J1561^3+3*$J1561^2-3*$J1561+1)+INDIRECT("C$"&amp;3+MIN(2,ROUNDDOWN(I1561,0))*3)*(3*$J1561^3-6*$J1561^2+3*$J1561)+INDIRECT("C$"&amp;4+MIN(2,ROUNDDOWN(I1561,0))*3)*(-3*$J1561^3+3*$J1561^2)+INDIRECT("C$"&amp;5+MIN(2,ROUNDDOWN(I1561,0))*3)*$J1561^3</f>
      </c>
      <c r="L1561" s="7">
        <f>INDIRECT("D$"&amp;2+MIN(2,ROUNDDOWN(I1561,0))*3)*(-$J1561^3+3*$J1561^2-3*$J1561+1)+INDIRECT("D$"&amp;3+MIN(2,ROUNDDOWN(I1561,0))*3)*(3*$J1561^3-6*$J1561^2+3*$J1561)+INDIRECT("D$"&amp;4+MIN(2,ROUNDDOWN(I1561,0))*3)*(-3*$J1561^3+3*$J1561^2)+INDIRECT("D$"&amp;5+MIN(2,ROUNDDOWN(I1561,0))*3)*$J1561^3</f>
      </c>
      <c r="M1561" s="7">
        <f>SQRT(K1561^2+L1561^2)</f>
      </c>
      <c r="N1561" s="7">
        <f>(K1562-K1560)</f>
      </c>
      <c r="O1561" s="7">
        <f>+(L1562-L1560)</f>
      </c>
      <c r="P1561" s="7">
        <f>SQRT(O1561^2+N1561^2)</f>
      </c>
      <c r="Q1561" s="7">
        <f>N1561/$P1561</f>
      </c>
      <c r="R1561" s="7">
        <f>O1561/$P1561</f>
      </c>
      <c r="S1561" s="8">
        <f>Q1561^2+R1561^2</f>
      </c>
      <c r="T1561" s="7">
        <f>-R1561</f>
      </c>
      <c r="U1561" s="7">
        <f>Q1561</f>
      </c>
      <c r="V1561" s="7">
        <f>($C$14+($C$15-$C$14)/($D$15-$D$14)*(I1561-$D$14))/2</f>
      </c>
      <c r="W1561" s="7">
        <f>($B$22*I1561^4+$C$22*I1561^3+$D$22*I1561^2+$E$22*I1561+$F$22)/2</f>
      </c>
      <c r="X1561" s="7">
        <f>($W1561)*(T1561)</f>
      </c>
      <c r="Y1561" s="7">
        <f>($W1561)*(U1561)</f>
      </c>
      <c r="Z1561" s="7">
        <f>SQRT(X1561^2+Y1561^2)</f>
      </c>
      <c r="AA1561" s="7">
        <f>$K1561+$X1561</f>
      </c>
      <c r="AB1561" s="7">
        <f>$L1561+$Y1561</f>
      </c>
      <c r="AC1561" s="7">
        <f>$K1561-$X1561</f>
      </c>
      <c r="AD1561" s="7">
        <f>$L1561-$Y1561</f>
      </c>
      <c r="AE1561" s="7">
        <f>AA1561/39.3701</f>
      </c>
      <c r="AF1561" s="7">
        <f>AB1561/39.3701</f>
      </c>
      <c r="AG1561" s="7">
        <f>AC1561/39.3701</f>
      </c>
      <c r="AH1561" s="7">
        <f>AD1561/39.3701</f>
      </c>
      <c r="AI1561" s="1"/>
      <c r="AJ1561" s="1"/>
      <c r="AK1561" s="1"/>
      <c r="AL1561" s="1"/>
      <c r="AM1561" s="2"/>
      <c r="AN1561" s="1"/>
      <c r="AO1561" s="1"/>
      <c r="AP1561" s="1"/>
      <c r="AQ1561" s="1"/>
      <c r="AR1561" s="1"/>
      <c r="AS1561" s="1"/>
      <c r="AT1561" s="1"/>
      <c r="AU1561" s="1"/>
      <c r="AV1561" s="1"/>
      <c r="AW1561" s="1"/>
      <c r="AX1561" s="1"/>
      <c r="AY1561" s="1"/>
      <c r="AZ1561" s="1"/>
      <c r="BA1561" s="1"/>
      <c r="BB1561" s="1"/>
      <c r="BC1561" s="1"/>
      <c r="BD1561" s="1"/>
      <c r="BE1561" s="1"/>
    </row>
    <row x14ac:dyDescent="0.25" r="1562" customHeight="1" ht="18.75">
      <c r="A1562" s="1"/>
      <c r="B1562" s="2"/>
      <c r="C1562" s="2"/>
      <c r="D1562" s="2"/>
      <c r="E1562" s="2"/>
      <c r="F1562" s="2"/>
      <c r="G1562" s="1"/>
      <c r="H1562" s="1"/>
      <c r="I1562" s="7">
        <v>1.559</v>
      </c>
      <c r="J1562" s="7">
        <f>IF((I1562-ROUNDDOWN(I1562,0))=0, 0, (I1562-ROUNDDOWN(I1562,0)))</f>
      </c>
      <c r="K1562" s="7">
        <f>INDIRECT("C$"&amp;2+MIN(2,ROUNDDOWN(I1562,0))*3)*(-$J1562^3+3*$J1562^2-3*$J1562+1)+INDIRECT("C$"&amp;3+MIN(2,ROUNDDOWN(I1562,0))*3)*(3*$J1562^3-6*$J1562^2+3*$J1562)+INDIRECT("C$"&amp;4+MIN(2,ROUNDDOWN(I1562,0))*3)*(-3*$J1562^3+3*$J1562^2)+INDIRECT("C$"&amp;5+MIN(2,ROUNDDOWN(I1562,0))*3)*$J1562^3</f>
      </c>
      <c r="L1562" s="7">
        <f>INDIRECT("D$"&amp;2+MIN(2,ROUNDDOWN(I1562,0))*3)*(-$J1562^3+3*$J1562^2-3*$J1562+1)+INDIRECT("D$"&amp;3+MIN(2,ROUNDDOWN(I1562,0))*3)*(3*$J1562^3-6*$J1562^2+3*$J1562)+INDIRECT("D$"&amp;4+MIN(2,ROUNDDOWN(I1562,0))*3)*(-3*$J1562^3+3*$J1562^2)+INDIRECT("D$"&amp;5+MIN(2,ROUNDDOWN(I1562,0))*3)*$J1562^3</f>
      </c>
      <c r="M1562" s="7">
        <f>SQRT(K1562^2+L1562^2)</f>
      </c>
      <c r="N1562" s="7">
        <f>(K1563-K1561)</f>
      </c>
      <c r="O1562" s="7">
        <f>+(L1563-L1561)</f>
      </c>
      <c r="P1562" s="7">
        <f>SQRT(O1562^2+N1562^2)</f>
      </c>
      <c r="Q1562" s="7">
        <f>N1562/$P1562</f>
      </c>
      <c r="R1562" s="7">
        <f>O1562/$P1562</f>
      </c>
      <c r="S1562" s="7">
        <f>Q1562^2+R1562^2</f>
      </c>
      <c r="T1562" s="7">
        <f>-R1562</f>
      </c>
      <c r="U1562" s="7">
        <f>Q1562</f>
      </c>
      <c r="V1562" s="7">
        <f>($C$14+($C$15-$C$14)/($D$15-$D$14)*(I1562-$D$14))/2</f>
      </c>
      <c r="W1562" s="7">
        <f>($B$22*I1562^4+$C$22*I1562^3+$D$22*I1562^2+$E$22*I1562+$F$22)/2</f>
      </c>
      <c r="X1562" s="7">
        <f>($W1562)*(T1562)</f>
      </c>
      <c r="Y1562" s="7">
        <f>($W1562)*(U1562)</f>
      </c>
      <c r="Z1562" s="7">
        <f>SQRT(X1562^2+Y1562^2)</f>
      </c>
      <c r="AA1562" s="7">
        <f>$K1562+$X1562</f>
      </c>
      <c r="AB1562" s="7">
        <f>$L1562+$Y1562</f>
      </c>
      <c r="AC1562" s="7">
        <f>$K1562-$X1562</f>
      </c>
      <c r="AD1562" s="7">
        <f>$L1562-$Y1562</f>
      </c>
      <c r="AE1562" s="7">
        <f>AA1562/39.3701</f>
      </c>
      <c r="AF1562" s="7">
        <f>AB1562/39.3701</f>
      </c>
      <c r="AG1562" s="7">
        <f>AC1562/39.3701</f>
      </c>
      <c r="AH1562" s="7">
        <f>AD1562/39.3701</f>
      </c>
      <c r="AI1562" s="1"/>
      <c r="AJ1562" s="1"/>
      <c r="AK1562" s="1"/>
      <c r="AL1562" s="1"/>
      <c r="AM1562" s="2"/>
      <c r="AN1562" s="1"/>
      <c r="AO1562" s="1"/>
      <c r="AP1562" s="1"/>
      <c r="AQ1562" s="1"/>
      <c r="AR1562" s="1"/>
      <c r="AS1562" s="1"/>
      <c r="AT1562" s="1"/>
      <c r="AU1562" s="1"/>
      <c r="AV1562" s="1"/>
      <c r="AW1562" s="1"/>
      <c r="AX1562" s="1"/>
      <c r="AY1562" s="1"/>
      <c r="AZ1562" s="1"/>
      <c r="BA1562" s="1"/>
      <c r="BB1562" s="1"/>
      <c r="BC1562" s="1"/>
      <c r="BD1562" s="1"/>
      <c r="BE1562" s="1"/>
    </row>
    <row x14ac:dyDescent="0.25" r="1563" customHeight="1" ht="18.75">
      <c r="A1563" s="1"/>
      <c r="B1563" s="2"/>
      <c r="C1563" s="2"/>
      <c r="D1563" s="2"/>
      <c r="E1563" s="2"/>
      <c r="F1563" s="2"/>
      <c r="G1563" s="1"/>
      <c r="H1563" s="1"/>
      <c r="I1563" s="7">
        <v>1.56</v>
      </c>
      <c r="J1563" s="7">
        <f>IF((I1563-ROUNDDOWN(I1563,0))=0, 0, (I1563-ROUNDDOWN(I1563,0)))</f>
      </c>
      <c r="K1563" s="7">
        <f>INDIRECT("C$"&amp;2+MIN(2,ROUNDDOWN(I1563,0))*3)*(-$J1563^3+3*$J1563^2-3*$J1563+1)+INDIRECT("C$"&amp;3+MIN(2,ROUNDDOWN(I1563,0))*3)*(3*$J1563^3-6*$J1563^2+3*$J1563)+INDIRECT("C$"&amp;4+MIN(2,ROUNDDOWN(I1563,0))*3)*(-3*$J1563^3+3*$J1563^2)+INDIRECT("C$"&amp;5+MIN(2,ROUNDDOWN(I1563,0))*3)*$J1563^3</f>
      </c>
      <c r="L1563" s="7">
        <f>INDIRECT("D$"&amp;2+MIN(2,ROUNDDOWN(I1563,0))*3)*(-$J1563^3+3*$J1563^2-3*$J1563+1)+INDIRECT("D$"&amp;3+MIN(2,ROUNDDOWN(I1563,0))*3)*(3*$J1563^3-6*$J1563^2+3*$J1563)+INDIRECT("D$"&amp;4+MIN(2,ROUNDDOWN(I1563,0))*3)*(-3*$J1563^3+3*$J1563^2)+INDIRECT("D$"&amp;5+MIN(2,ROUNDDOWN(I1563,0))*3)*$J1563^3</f>
      </c>
      <c r="M1563" s="7">
        <f>SQRT(K1563^2+L1563^2)</f>
      </c>
      <c r="N1563" s="7">
        <f>(K1564-K1562)</f>
      </c>
      <c r="O1563" s="7">
        <f>+(L1564-L1562)</f>
      </c>
      <c r="P1563" s="7">
        <f>SQRT(O1563^2+N1563^2)</f>
      </c>
      <c r="Q1563" s="7">
        <f>N1563/$P1563</f>
      </c>
      <c r="R1563" s="7">
        <f>O1563/$P1563</f>
      </c>
      <c r="S1563" s="8">
        <f>Q1563^2+R1563^2</f>
      </c>
      <c r="T1563" s="7">
        <f>-R1563</f>
      </c>
      <c r="U1563" s="7">
        <f>Q1563</f>
      </c>
      <c r="V1563" s="7">
        <f>($C$14+($C$15-$C$14)/($D$15-$D$14)*(I1563-$D$14))/2</f>
      </c>
      <c r="W1563" s="7">
        <f>($B$22*I1563^4+$C$22*I1563^3+$D$22*I1563^2+$E$22*I1563+$F$22)/2</f>
      </c>
      <c r="X1563" s="7">
        <f>($W1563)*(T1563)</f>
      </c>
      <c r="Y1563" s="7">
        <f>($W1563)*(U1563)</f>
      </c>
      <c r="Z1563" s="7">
        <f>SQRT(X1563^2+Y1563^2)</f>
      </c>
      <c r="AA1563" s="7">
        <f>$K1563+$X1563</f>
      </c>
      <c r="AB1563" s="7">
        <f>$L1563+$Y1563</f>
      </c>
      <c r="AC1563" s="7">
        <f>$K1563-$X1563</f>
      </c>
      <c r="AD1563" s="7">
        <f>$L1563-$Y1563</f>
      </c>
      <c r="AE1563" s="7">
        <f>AA1563/39.3701</f>
      </c>
      <c r="AF1563" s="7">
        <f>AB1563/39.3701</f>
      </c>
      <c r="AG1563" s="7">
        <f>AC1563/39.3701</f>
      </c>
      <c r="AH1563" s="7">
        <f>AD1563/39.3701</f>
      </c>
      <c r="AI1563" s="1"/>
      <c r="AJ1563" s="1"/>
      <c r="AK1563" s="1"/>
      <c r="AL1563" s="1"/>
      <c r="AM1563" s="2"/>
      <c r="AN1563" s="1"/>
      <c r="AO1563" s="1"/>
      <c r="AP1563" s="1"/>
      <c r="AQ1563" s="1"/>
      <c r="AR1563" s="1"/>
      <c r="AS1563" s="1"/>
      <c r="AT1563" s="1"/>
      <c r="AU1563" s="1"/>
      <c r="AV1563" s="1"/>
      <c r="AW1563" s="1"/>
      <c r="AX1563" s="1"/>
      <c r="AY1563" s="1"/>
      <c r="AZ1563" s="1"/>
      <c r="BA1563" s="1"/>
      <c r="BB1563" s="1"/>
      <c r="BC1563" s="1"/>
      <c r="BD1563" s="1"/>
      <c r="BE1563" s="1"/>
    </row>
    <row x14ac:dyDescent="0.25" r="1564" customHeight="1" ht="18.75">
      <c r="A1564" s="1"/>
      <c r="B1564" s="2"/>
      <c r="C1564" s="2"/>
      <c r="D1564" s="2"/>
      <c r="E1564" s="2"/>
      <c r="F1564" s="2"/>
      <c r="G1564" s="1"/>
      <c r="H1564" s="1"/>
      <c r="I1564" s="7">
        <v>1.561</v>
      </c>
      <c r="J1564" s="7">
        <f>IF((I1564-ROUNDDOWN(I1564,0))=0, 0, (I1564-ROUNDDOWN(I1564,0)))</f>
      </c>
      <c r="K1564" s="7">
        <f>INDIRECT("C$"&amp;2+MIN(2,ROUNDDOWN(I1564,0))*3)*(-$J1564^3+3*$J1564^2-3*$J1564+1)+INDIRECT("C$"&amp;3+MIN(2,ROUNDDOWN(I1564,0))*3)*(3*$J1564^3-6*$J1564^2+3*$J1564)+INDIRECT("C$"&amp;4+MIN(2,ROUNDDOWN(I1564,0))*3)*(-3*$J1564^3+3*$J1564^2)+INDIRECT("C$"&amp;5+MIN(2,ROUNDDOWN(I1564,0))*3)*$J1564^3</f>
      </c>
      <c r="L1564" s="7">
        <f>INDIRECT("D$"&amp;2+MIN(2,ROUNDDOWN(I1564,0))*3)*(-$J1564^3+3*$J1564^2-3*$J1564+1)+INDIRECT("D$"&amp;3+MIN(2,ROUNDDOWN(I1564,0))*3)*(3*$J1564^3-6*$J1564^2+3*$J1564)+INDIRECT("D$"&amp;4+MIN(2,ROUNDDOWN(I1564,0))*3)*(-3*$J1564^3+3*$J1564^2)+INDIRECT("D$"&amp;5+MIN(2,ROUNDDOWN(I1564,0))*3)*$J1564^3</f>
      </c>
      <c r="M1564" s="7">
        <f>SQRT(K1564^2+L1564^2)</f>
      </c>
      <c r="N1564" s="7">
        <f>(K1565-K1563)</f>
      </c>
      <c r="O1564" s="7">
        <f>+(L1565-L1563)</f>
      </c>
      <c r="P1564" s="7">
        <f>SQRT(O1564^2+N1564^2)</f>
      </c>
      <c r="Q1564" s="7">
        <f>N1564/$P1564</f>
      </c>
      <c r="R1564" s="7">
        <f>O1564/$P1564</f>
      </c>
      <c r="S1564" s="7">
        <f>Q1564^2+R1564^2</f>
      </c>
      <c r="T1564" s="7">
        <f>-R1564</f>
      </c>
      <c r="U1564" s="7">
        <f>Q1564</f>
      </c>
      <c r="V1564" s="7">
        <f>($C$14+($C$15-$C$14)/($D$15-$D$14)*(I1564-$D$14))/2</f>
      </c>
      <c r="W1564" s="7">
        <f>($B$22*I1564^4+$C$22*I1564^3+$D$22*I1564^2+$E$22*I1564+$F$22)/2</f>
      </c>
      <c r="X1564" s="7">
        <f>($W1564)*(T1564)</f>
      </c>
      <c r="Y1564" s="7">
        <f>($W1564)*(U1564)</f>
      </c>
      <c r="Z1564" s="7">
        <f>SQRT(X1564^2+Y1564^2)</f>
      </c>
      <c r="AA1564" s="7">
        <f>$K1564+$X1564</f>
      </c>
      <c r="AB1564" s="7">
        <f>$L1564+$Y1564</f>
      </c>
      <c r="AC1564" s="7">
        <f>$K1564-$X1564</f>
      </c>
      <c r="AD1564" s="7">
        <f>$L1564-$Y1564</f>
      </c>
      <c r="AE1564" s="7">
        <f>AA1564/39.3701</f>
      </c>
      <c r="AF1564" s="7">
        <f>AB1564/39.3701</f>
      </c>
      <c r="AG1564" s="7">
        <f>AC1564/39.3701</f>
      </c>
      <c r="AH1564" s="7">
        <f>AD1564/39.3701</f>
      </c>
      <c r="AI1564" s="1"/>
      <c r="AJ1564" s="1"/>
      <c r="AK1564" s="1"/>
      <c r="AL1564" s="1"/>
      <c r="AM1564" s="2"/>
      <c r="AN1564" s="1"/>
      <c r="AO1564" s="1"/>
      <c r="AP1564" s="1"/>
      <c r="AQ1564" s="1"/>
      <c r="AR1564" s="1"/>
      <c r="AS1564" s="1"/>
      <c r="AT1564" s="1"/>
      <c r="AU1564" s="1"/>
      <c r="AV1564" s="1"/>
      <c r="AW1564" s="1"/>
      <c r="AX1564" s="1"/>
      <c r="AY1564" s="1"/>
      <c r="AZ1564" s="1"/>
      <c r="BA1564" s="1"/>
      <c r="BB1564" s="1"/>
      <c r="BC1564" s="1"/>
      <c r="BD1564" s="1"/>
      <c r="BE1564" s="1"/>
    </row>
    <row x14ac:dyDescent="0.25" r="1565" customHeight="1" ht="18.75">
      <c r="A1565" s="1"/>
      <c r="B1565" s="2"/>
      <c r="C1565" s="2"/>
      <c r="D1565" s="2"/>
      <c r="E1565" s="2"/>
      <c r="F1565" s="2"/>
      <c r="G1565" s="1"/>
      <c r="H1565" s="1"/>
      <c r="I1565" s="7">
        <v>1.562</v>
      </c>
      <c r="J1565" s="7">
        <f>IF((I1565-ROUNDDOWN(I1565,0))=0, 0, (I1565-ROUNDDOWN(I1565,0)))</f>
      </c>
      <c r="K1565" s="7">
        <f>INDIRECT("C$"&amp;2+MIN(2,ROUNDDOWN(I1565,0))*3)*(-$J1565^3+3*$J1565^2-3*$J1565+1)+INDIRECT("C$"&amp;3+MIN(2,ROUNDDOWN(I1565,0))*3)*(3*$J1565^3-6*$J1565^2+3*$J1565)+INDIRECT("C$"&amp;4+MIN(2,ROUNDDOWN(I1565,0))*3)*(-3*$J1565^3+3*$J1565^2)+INDIRECT("C$"&amp;5+MIN(2,ROUNDDOWN(I1565,0))*3)*$J1565^3</f>
      </c>
      <c r="L1565" s="7">
        <f>INDIRECT("D$"&amp;2+MIN(2,ROUNDDOWN(I1565,0))*3)*(-$J1565^3+3*$J1565^2-3*$J1565+1)+INDIRECT("D$"&amp;3+MIN(2,ROUNDDOWN(I1565,0))*3)*(3*$J1565^3-6*$J1565^2+3*$J1565)+INDIRECT("D$"&amp;4+MIN(2,ROUNDDOWN(I1565,0))*3)*(-3*$J1565^3+3*$J1565^2)+INDIRECT("D$"&amp;5+MIN(2,ROUNDDOWN(I1565,0))*3)*$J1565^3</f>
      </c>
      <c r="M1565" s="7">
        <f>SQRT(K1565^2+L1565^2)</f>
      </c>
      <c r="N1565" s="7">
        <f>(K1566-K1564)</f>
      </c>
      <c r="O1565" s="7">
        <f>+(L1566-L1564)</f>
      </c>
      <c r="P1565" s="7">
        <f>SQRT(O1565^2+N1565^2)</f>
      </c>
      <c r="Q1565" s="7">
        <f>N1565/$P1565</f>
      </c>
      <c r="R1565" s="7">
        <f>O1565/$P1565</f>
      </c>
      <c r="S1565" s="7">
        <f>Q1565^2+R1565^2</f>
      </c>
      <c r="T1565" s="7">
        <f>-R1565</f>
      </c>
      <c r="U1565" s="7">
        <f>Q1565</f>
      </c>
      <c r="V1565" s="7">
        <f>($C$14+($C$15-$C$14)/($D$15-$D$14)*(I1565-$D$14))/2</f>
      </c>
      <c r="W1565" s="7">
        <f>($B$22*I1565^4+$C$22*I1565^3+$D$22*I1565^2+$E$22*I1565+$F$22)/2</f>
      </c>
      <c r="X1565" s="7">
        <f>($W1565)*(T1565)</f>
      </c>
      <c r="Y1565" s="7">
        <f>($W1565)*(U1565)</f>
      </c>
      <c r="Z1565" s="7">
        <f>SQRT(X1565^2+Y1565^2)</f>
      </c>
      <c r="AA1565" s="7">
        <f>$K1565+$X1565</f>
      </c>
      <c r="AB1565" s="7">
        <f>$L1565+$Y1565</f>
      </c>
      <c r="AC1565" s="7">
        <f>$K1565-$X1565</f>
      </c>
      <c r="AD1565" s="7">
        <f>$L1565-$Y1565</f>
      </c>
      <c r="AE1565" s="7">
        <f>AA1565/39.3701</f>
      </c>
      <c r="AF1565" s="7">
        <f>AB1565/39.3701</f>
      </c>
      <c r="AG1565" s="7">
        <f>AC1565/39.3701</f>
      </c>
      <c r="AH1565" s="7">
        <f>AD1565/39.3701</f>
      </c>
      <c r="AI1565" s="1"/>
      <c r="AJ1565" s="1"/>
      <c r="AK1565" s="1"/>
      <c r="AL1565" s="1"/>
      <c r="AM1565" s="2"/>
      <c r="AN1565" s="1"/>
      <c r="AO1565" s="1"/>
      <c r="AP1565" s="1"/>
      <c r="AQ1565" s="1"/>
      <c r="AR1565" s="1"/>
      <c r="AS1565" s="1"/>
      <c r="AT1565" s="1"/>
      <c r="AU1565" s="1"/>
      <c r="AV1565" s="1"/>
      <c r="AW1565" s="1"/>
      <c r="AX1565" s="1"/>
      <c r="AY1565" s="1"/>
      <c r="AZ1565" s="1"/>
      <c r="BA1565" s="1"/>
      <c r="BB1565" s="1"/>
      <c r="BC1565" s="1"/>
      <c r="BD1565" s="1"/>
      <c r="BE1565" s="1"/>
    </row>
    <row x14ac:dyDescent="0.25" r="1566" customHeight="1" ht="18.75">
      <c r="A1566" s="1"/>
      <c r="B1566" s="2"/>
      <c r="C1566" s="2"/>
      <c r="D1566" s="2"/>
      <c r="E1566" s="2"/>
      <c r="F1566" s="2"/>
      <c r="G1566" s="1"/>
      <c r="H1566" s="1"/>
      <c r="I1566" s="7">
        <v>1.563</v>
      </c>
      <c r="J1566" s="7">
        <f>IF((I1566-ROUNDDOWN(I1566,0))=0, 0, (I1566-ROUNDDOWN(I1566,0)))</f>
      </c>
      <c r="K1566" s="7">
        <f>INDIRECT("C$"&amp;2+MIN(2,ROUNDDOWN(I1566,0))*3)*(-$J1566^3+3*$J1566^2-3*$J1566+1)+INDIRECT("C$"&amp;3+MIN(2,ROUNDDOWN(I1566,0))*3)*(3*$J1566^3-6*$J1566^2+3*$J1566)+INDIRECT("C$"&amp;4+MIN(2,ROUNDDOWN(I1566,0))*3)*(-3*$J1566^3+3*$J1566^2)+INDIRECT("C$"&amp;5+MIN(2,ROUNDDOWN(I1566,0))*3)*$J1566^3</f>
      </c>
      <c r="L1566" s="7">
        <f>INDIRECT("D$"&amp;2+MIN(2,ROUNDDOWN(I1566,0))*3)*(-$J1566^3+3*$J1566^2-3*$J1566+1)+INDIRECT("D$"&amp;3+MIN(2,ROUNDDOWN(I1566,0))*3)*(3*$J1566^3-6*$J1566^2+3*$J1566)+INDIRECT("D$"&amp;4+MIN(2,ROUNDDOWN(I1566,0))*3)*(-3*$J1566^3+3*$J1566^2)+INDIRECT("D$"&amp;5+MIN(2,ROUNDDOWN(I1566,0))*3)*$J1566^3</f>
      </c>
      <c r="M1566" s="7">
        <f>SQRT(K1566^2+L1566^2)</f>
      </c>
      <c r="N1566" s="7">
        <f>(K1567-K1565)</f>
      </c>
      <c r="O1566" s="7">
        <f>+(L1567-L1565)</f>
      </c>
      <c r="P1566" s="7">
        <f>SQRT(O1566^2+N1566^2)</f>
      </c>
      <c r="Q1566" s="7">
        <f>N1566/$P1566</f>
      </c>
      <c r="R1566" s="7">
        <f>O1566/$P1566</f>
      </c>
      <c r="S1566" s="7">
        <f>Q1566^2+R1566^2</f>
      </c>
      <c r="T1566" s="7">
        <f>-R1566</f>
      </c>
      <c r="U1566" s="7">
        <f>Q1566</f>
      </c>
      <c r="V1566" s="7">
        <f>($C$14+($C$15-$C$14)/($D$15-$D$14)*(I1566-$D$14))/2</f>
      </c>
      <c r="W1566" s="7">
        <f>($B$22*I1566^4+$C$22*I1566^3+$D$22*I1566^2+$E$22*I1566+$F$22)/2</f>
      </c>
      <c r="X1566" s="7">
        <f>($W1566)*(T1566)</f>
      </c>
      <c r="Y1566" s="7">
        <f>($W1566)*(U1566)</f>
      </c>
      <c r="Z1566" s="7">
        <f>SQRT(X1566^2+Y1566^2)</f>
      </c>
      <c r="AA1566" s="7">
        <f>$K1566+$X1566</f>
      </c>
      <c r="AB1566" s="7">
        <f>$L1566+$Y1566</f>
      </c>
      <c r="AC1566" s="7">
        <f>$K1566-$X1566</f>
      </c>
      <c r="AD1566" s="7">
        <f>$L1566-$Y1566</f>
      </c>
      <c r="AE1566" s="7">
        <f>AA1566/39.3701</f>
      </c>
      <c r="AF1566" s="7">
        <f>AB1566/39.3701</f>
      </c>
      <c r="AG1566" s="7">
        <f>AC1566/39.3701</f>
      </c>
      <c r="AH1566" s="7">
        <f>AD1566/39.3701</f>
      </c>
      <c r="AI1566" s="1"/>
      <c r="AJ1566" s="1"/>
      <c r="AK1566" s="1"/>
      <c r="AL1566" s="1"/>
      <c r="AM1566" s="2"/>
      <c r="AN1566" s="1"/>
      <c r="AO1566" s="1"/>
      <c r="AP1566" s="1"/>
      <c r="AQ1566" s="1"/>
      <c r="AR1566" s="1"/>
      <c r="AS1566" s="1"/>
      <c r="AT1566" s="1"/>
      <c r="AU1566" s="1"/>
      <c r="AV1566" s="1"/>
      <c r="AW1566" s="1"/>
      <c r="AX1566" s="1"/>
      <c r="AY1566" s="1"/>
      <c r="AZ1566" s="1"/>
      <c r="BA1566" s="1"/>
      <c r="BB1566" s="1"/>
      <c r="BC1566" s="1"/>
      <c r="BD1566" s="1"/>
      <c r="BE1566" s="1"/>
    </row>
    <row x14ac:dyDescent="0.25" r="1567" customHeight="1" ht="18.75">
      <c r="A1567" s="1"/>
      <c r="B1567" s="2"/>
      <c r="C1567" s="2"/>
      <c r="D1567" s="2"/>
      <c r="E1567" s="2"/>
      <c r="F1567" s="2"/>
      <c r="G1567" s="1"/>
      <c r="H1567" s="1"/>
      <c r="I1567" s="7">
        <v>1.564</v>
      </c>
      <c r="J1567" s="7">
        <f>IF((I1567-ROUNDDOWN(I1567,0))=0, 0, (I1567-ROUNDDOWN(I1567,0)))</f>
      </c>
      <c r="K1567" s="7">
        <f>INDIRECT("C$"&amp;2+MIN(2,ROUNDDOWN(I1567,0))*3)*(-$J1567^3+3*$J1567^2-3*$J1567+1)+INDIRECT("C$"&amp;3+MIN(2,ROUNDDOWN(I1567,0))*3)*(3*$J1567^3-6*$J1567^2+3*$J1567)+INDIRECT("C$"&amp;4+MIN(2,ROUNDDOWN(I1567,0))*3)*(-3*$J1567^3+3*$J1567^2)+INDIRECT("C$"&amp;5+MIN(2,ROUNDDOWN(I1567,0))*3)*$J1567^3</f>
      </c>
      <c r="L1567" s="7">
        <f>INDIRECT("D$"&amp;2+MIN(2,ROUNDDOWN(I1567,0))*3)*(-$J1567^3+3*$J1567^2-3*$J1567+1)+INDIRECT("D$"&amp;3+MIN(2,ROUNDDOWN(I1567,0))*3)*(3*$J1567^3-6*$J1567^2+3*$J1567)+INDIRECT("D$"&amp;4+MIN(2,ROUNDDOWN(I1567,0))*3)*(-3*$J1567^3+3*$J1567^2)+INDIRECT("D$"&amp;5+MIN(2,ROUNDDOWN(I1567,0))*3)*$J1567^3</f>
      </c>
      <c r="M1567" s="7">
        <f>SQRT(K1567^2+L1567^2)</f>
      </c>
      <c r="N1567" s="7">
        <f>(K1568-K1566)</f>
      </c>
      <c r="O1567" s="7">
        <f>+(L1568-L1566)</f>
      </c>
      <c r="P1567" s="7">
        <f>SQRT(O1567^2+N1567^2)</f>
      </c>
      <c r="Q1567" s="7">
        <f>N1567/$P1567</f>
      </c>
      <c r="R1567" s="7">
        <f>O1567/$P1567</f>
      </c>
      <c r="S1567" s="7">
        <f>Q1567^2+R1567^2</f>
      </c>
      <c r="T1567" s="7">
        <f>-R1567</f>
      </c>
      <c r="U1567" s="7">
        <f>Q1567</f>
      </c>
      <c r="V1567" s="7">
        <f>($C$14+($C$15-$C$14)/($D$15-$D$14)*(I1567-$D$14))/2</f>
      </c>
      <c r="W1567" s="7">
        <f>($B$22*I1567^4+$C$22*I1567^3+$D$22*I1567^2+$E$22*I1567+$F$22)/2</f>
      </c>
      <c r="X1567" s="7">
        <f>($W1567)*(T1567)</f>
      </c>
      <c r="Y1567" s="7">
        <f>($W1567)*(U1567)</f>
      </c>
      <c r="Z1567" s="7">
        <f>SQRT(X1567^2+Y1567^2)</f>
      </c>
      <c r="AA1567" s="7">
        <f>$K1567+$X1567</f>
      </c>
      <c r="AB1567" s="7">
        <f>$L1567+$Y1567</f>
      </c>
      <c r="AC1567" s="7">
        <f>$K1567-$X1567</f>
      </c>
      <c r="AD1567" s="7">
        <f>$L1567-$Y1567</f>
      </c>
      <c r="AE1567" s="7">
        <f>AA1567/39.3701</f>
      </c>
      <c r="AF1567" s="7">
        <f>AB1567/39.3701</f>
      </c>
      <c r="AG1567" s="7">
        <f>AC1567/39.3701</f>
      </c>
      <c r="AH1567" s="7">
        <f>AD1567/39.3701</f>
      </c>
      <c r="AI1567" s="1"/>
      <c r="AJ1567" s="1"/>
      <c r="AK1567" s="1"/>
      <c r="AL1567" s="1"/>
      <c r="AM1567" s="2"/>
      <c r="AN1567" s="1"/>
      <c r="AO1567" s="1"/>
      <c r="AP1567" s="1"/>
      <c r="AQ1567" s="1"/>
      <c r="AR1567" s="1"/>
      <c r="AS1567" s="1"/>
      <c r="AT1567" s="1"/>
      <c r="AU1567" s="1"/>
      <c r="AV1567" s="1"/>
      <c r="AW1567" s="1"/>
      <c r="AX1567" s="1"/>
      <c r="AY1567" s="1"/>
      <c r="AZ1567" s="1"/>
      <c r="BA1567" s="1"/>
      <c r="BB1567" s="1"/>
      <c r="BC1567" s="1"/>
      <c r="BD1567" s="1"/>
      <c r="BE1567" s="1"/>
    </row>
    <row x14ac:dyDescent="0.25" r="1568" customHeight="1" ht="18.75">
      <c r="A1568" s="1"/>
      <c r="B1568" s="2"/>
      <c r="C1568" s="2"/>
      <c r="D1568" s="2"/>
      <c r="E1568" s="2"/>
      <c r="F1568" s="2"/>
      <c r="G1568" s="1"/>
      <c r="H1568" s="1"/>
      <c r="I1568" s="7">
        <v>1.565</v>
      </c>
      <c r="J1568" s="7">
        <f>IF((I1568-ROUNDDOWN(I1568,0))=0, 0, (I1568-ROUNDDOWN(I1568,0)))</f>
      </c>
      <c r="K1568" s="7">
        <f>INDIRECT("C$"&amp;2+MIN(2,ROUNDDOWN(I1568,0))*3)*(-$J1568^3+3*$J1568^2-3*$J1568+1)+INDIRECT("C$"&amp;3+MIN(2,ROUNDDOWN(I1568,0))*3)*(3*$J1568^3-6*$J1568^2+3*$J1568)+INDIRECT("C$"&amp;4+MIN(2,ROUNDDOWN(I1568,0))*3)*(-3*$J1568^3+3*$J1568^2)+INDIRECT("C$"&amp;5+MIN(2,ROUNDDOWN(I1568,0))*3)*$J1568^3</f>
      </c>
      <c r="L1568" s="7">
        <f>INDIRECT("D$"&amp;2+MIN(2,ROUNDDOWN(I1568,0))*3)*(-$J1568^3+3*$J1568^2-3*$J1568+1)+INDIRECT("D$"&amp;3+MIN(2,ROUNDDOWN(I1568,0))*3)*(3*$J1568^3-6*$J1568^2+3*$J1568)+INDIRECT("D$"&amp;4+MIN(2,ROUNDDOWN(I1568,0))*3)*(-3*$J1568^3+3*$J1568^2)+INDIRECT("D$"&amp;5+MIN(2,ROUNDDOWN(I1568,0))*3)*$J1568^3</f>
      </c>
      <c r="M1568" s="7">
        <f>SQRT(K1568^2+L1568^2)</f>
      </c>
      <c r="N1568" s="7">
        <f>(K1569-K1567)</f>
      </c>
      <c r="O1568" s="7">
        <f>+(L1569-L1567)</f>
      </c>
      <c r="P1568" s="7">
        <f>SQRT(O1568^2+N1568^2)</f>
      </c>
      <c r="Q1568" s="7">
        <f>N1568/$P1568</f>
      </c>
      <c r="R1568" s="7">
        <f>O1568/$P1568</f>
      </c>
      <c r="S1568" s="7">
        <f>Q1568^2+R1568^2</f>
      </c>
      <c r="T1568" s="7">
        <f>-R1568</f>
      </c>
      <c r="U1568" s="7">
        <f>Q1568</f>
      </c>
      <c r="V1568" s="7">
        <f>($C$14+($C$15-$C$14)/($D$15-$D$14)*(I1568-$D$14))/2</f>
      </c>
      <c r="W1568" s="7">
        <f>($B$22*I1568^4+$C$22*I1568^3+$D$22*I1568^2+$E$22*I1568+$F$22)/2</f>
      </c>
      <c r="X1568" s="7">
        <f>($W1568)*(T1568)</f>
      </c>
      <c r="Y1568" s="7">
        <f>($W1568)*(U1568)</f>
      </c>
      <c r="Z1568" s="7">
        <f>SQRT(X1568^2+Y1568^2)</f>
      </c>
      <c r="AA1568" s="7">
        <f>$K1568+$X1568</f>
      </c>
      <c r="AB1568" s="7">
        <f>$L1568+$Y1568</f>
      </c>
      <c r="AC1568" s="7">
        <f>$K1568-$X1568</f>
      </c>
      <c r="AD1568" s="7">
        <f>$L1568-$Y1568</f>
      </c>
      <c r="AE1568" s="7">
        <f>AA1568/39.3701</f>
      </c>
      <c r="AF1568" s="7">
        <f>AB1568/39.3701</f>
      </c>
      <c r="AG1568" s="7">
        <f>AC1568/39.3701</f>
      </c>
      <c r="AH1568" s="7">
        <f>AD1568/39.3701</f>
      </c>
      <c r="AI1568" s="1"/>
      <c r="AJ1568" s="1"/>
      <c r="AK1568" s="1"/>
      <c r="AL1568" s="1"/>
      <c r="AM1568" s="2"/>
      <c r="AN1568" s="1"/>
      <c r="AO1568" s="1"/>
      <c r="AP1568" s="1"/>
      <c r="AQ1568" s="1"/>
      <c r="AR1568" s="1"/>
      <c r="AS1568" s="1"/>
      <c r="AT1568" s="1"/>
      <c r="AU1568" s="1"/>
      <c r="AV1568" s="1"/>
      <c r="AW1568" s="1"/>
      <c r="AX1568" s="1"/>
      <c r="AY1568" s="1"/>
      <c r="AZ1568" s="1"/>
      <c r="BA1568" s="1"/>
      <c r="BB1568" s="1"/>
      <c r="BC1568" s="1"/>
      <c r="BD1568" s="1"/>
      <c r="BE1568" s="1"/>
    </row>
    <row x14ac:dyDescent="0.25" r="1569" customHeight="1" ht="18.75">
      <c r="A1569" s="1"/>
      <c r="B1569" s="2"/>
      <c r="C1569" s="2"/>
      <c r="D1569" s="2"/>
      <c r="E1569" s="2"/>
      <c r="F1569" s="2"/>
      <c r="G1569" s="1"/>
      <c r="H1569" s="1"/>
      <c r="I1569" s="7">
        <v>1.566</v>
      </c>
      <c r="J1569" s="7">
        <f>IF((I1569-ROUNDDOWN(I1569,0))=0, 0, (I1569-ROUNDDOWN(I1569,0)))</f>
      </c>
      <c r="K1569" s="7">
        <f>INDIRECT("C$"&amp;2+MIN(2,ROUNDDOWN(I1569,0))*3)*(-$J1569^3+3*$J1569^2-3*$J1569+1)+INDIRECT("C$"&amp;3+MIN(2,ROUNDDOWN(I1569,0))*3)*(3*$J1569^3-6*$J1569^2+3*$J1569)+INDIRECT("C$"&amp;4+MIN(2,ROUNDDOWN(I1569,0))*3)*(-3*$J1569^3+3*$J1569^2)+INDIRECT("C$"&amp;5+MIN(2,ROUNDDOWN(I1569,0))*3)*$J1569^3</f>
      </c>
      <c r="L1569" s="7">
        <f>INDIRECT("D$"&amp;2+MIN(2,ROUNDDOWN(I1569,0))*3)*(-$J1569^3+3*$J1569^2-3*$J1569+1)+INDIRECT("D$"&amp;3+MIN(2,ROUNDDOWN(I1569,0))*3)*(3*$J1569^3-6*$J1569^2+3*$J1569)+INDIRECT("D$"&amp;4+MIN(2,ROUNDDOWN(I1569,0))*3)*(-3*$J1569^3+3*$J1569^2)+INDIRECT("D$"&amp;5+MIN(2,ROUNDDOWN(I1569,0))*3)*$J1569^3</f>
      </c>
      <c r="M1569" s="7">
        <f>SQRT(K1569^2+L1569^2)</f>
      </c>
      <c r="N1569" s="7">
        <f>(K1570-K1568)</f>
      </c>
      <c r="O1569" s="7">
        <f>+(L1570-L1568)</f>
      </c>
      <c r="P1569" s="7">
        <f>SQRT(O1569^2+N1569^2)</f>
      </c>
      <c r="Q1569" s="7">
        <f>N1569/$P1569</f>
      </c>
      <c r="R1569" s="7">
        <f>O1569/$P1569</f>
      </c>
      <c r="S1569" s="8">
        <f>Q1569^2+R1569^2</f>
      </c>
      <c r="T1569" s="7">
        <f>-R1569</f>
      </c>
      <c r="U1569" s="7">
        <f>Q1569</f>
      </c>
      <c r="V1569" s="7">
        <f>($C$14+($C$15-$C$14)/($D$15-$D$14)*(I1569-$D$14))/2</f>
      </c>
      <c r="W1569" s="7">
        <f>($B$22*I1569^4+$C$22*I1569^3+$D$22*I1569^2+$E$22*I1569+$F$22)/2</f>
      </c>
      <c r="X1569" s="7">
        <f>($W1569)*(T1569)</f>
      </c>
      <c r="Y1569" s="7">
        <f>($W1569)*(U1569)</f>
      </c>
      <c r="Z1569" s="7">
        <f>SQRT(X1569^2+Y1569^2)</f>
      </c>
      <c r="AA1569" s="7">
        <f>$K1569+$X1569</f>
      </c>
      <c r="AB1569" s="7">
        <f>$L1569+$Y1569</f>
      </c>
      <c r="AC1569" s="7">
        <f>$K1569-$X1569</f>
      </c>
      <c r="AD1569" s="7">
        <f>$L1569-$Y1569</f>
      </c>
      <c r="AE1569" s="7">
        <f>AA1569/39.3701</f>
      </c>
      <c r="AF1569" s="7">
        <f>AB1569/39.3701</f>
      </c>
      <c r="AG1569" s="7">
        <f>AC1569/39.3701</f>
      </c>
      <c r="AH1569" s="7">
        <f>AD1569/39.3701</f>
      </c>
      <c r="AI1569" s="1"/>
      <c r="AJ1569" s="1"/>
      <c r="AK1569" s="1"/>
      <c r="AL1569" s="1"/>
      <c r="AM1569" s="2"/>
      <c r="AN1569" s="1"/>
      <c r="AO1569" s="1"/>
      <c r="AP1569" s="1"/>
      <c r="AQ1569" s="1"/>
      <c r="AR1569" s="1"/>
      <c r="AS1569" s="1"/>
      <c r="AT1569" s="1"/>
      <c r="AU1569" s="1"/>
      <c r="AV1569" s="1"/>
      <c r="AW1569" s="1"/>
      <c r="AX1569" s="1"/>
      <c r="AY1569" s="1"/>
      <c r="AZ1569" s="1"/>
      <c r="BA1569" s="1"/>
      <c r="BB1569" s="1"/>
      <c r="BC1569" s="1"/>
      <c r="BD1569" s="1"/>
      <c r="BE1569" s="1"/>
    </row>
    <row x14ac:dyDescent="0.25" r="1570" customHeight="1" ht="18.75">
      <c r="A1570" s="1"/>
      <c r="B1570" s="2"/>
      <c r="C1570" s="2"/>
      <c r="D1570" s="2"/>
      <c r="E1570" s="2"/>
      <c r="F1570" s="2"/>
      <c r="G1570" s="1"/>
      <c r="H1570" s="1"/>
      <c r="I1570" s="7">
        <v>1.567</v>
      </c>
      <c r="J1570" s="7">
        <f>IF((I1570-ROUNDDOWN(I1570,0))=0, 0, (I1570-ROUNDDOWN(I1570,0)))</f>
      </c>
      <c r="K1570" s="7">
        <f>INDIRECT("C$"&amp;2+MIN(2,ROUNDDOWN(I1570,0))*3)*(-$J1570^3+3*$J1570^2-3*$J1570+1)+INDIRECT("C$"&amp;3+MIN(2,ROUNDDOWN(I1570,0))*3)*(3*$J1570^3-6*$J1570^2+3*$J1570)+INDIRECT("C$"&amp;4+MIN(2,ROUNDDOWN(I1570,0))*3)*(-3*$J1570^3+3*$J1570^2)+INDIRECT("C$"&amp;5+MIN(2,ROUNDDOWN(I1570,0))*3)*$J1570^3</f>
      </c>
      <c r="L1570" s="7">
        <f>INDIRECT("D$"&amp;2+MIN(2,ROUNDDOWN(I1570,0))*3)*(-$J1570^3+3*$J1570^2-3*$J1570+1)+INDIRECT("D$"&amp;3+MIN(2,ROUNDDOWN(I1570,0))*3)*(3*$J1570^3-6*$J1570^2+3*$J1570)+INDIRECT("D$"&amp;4+MIN(2,ROUNDDOWN(I1570,0))*3)*(-3*$J1570^3+3*$J1570^2)+INDIRECT("D$"&amp;5+MIN(2,ROUNDDOWN(I1570,0))*3)*$J1570^3</f>
      </c>
      <c r="M1570" s="7">
        <f>SQRT(K1570^2+L1570^2)</f>
      </c>
      <c r="N1570" s="7">
        <f>(K1571-K1569)</f>
      </c>
      <c r="O1570" s="7">
        <f>+(L1571-L1569)</f>
      </c>
      <c r="P1570" s="7">
        <f>SQRT(O1570^2+N1570^2)</f>
      </c>
      <c r="Q1570" s="7">
        <f>N1570/$P1570</f>
      </c>
      <c r="R1570" s="7">
        <f>O1570/$P1570</f>
      </c>
      <c r="S1570" s="8">
        <f>Q1570^2+R1570^2</f>
      </c>
      <c r="T1570" s="7">
        <f>-R1570</f>
      </c>
      <c r="U1570" s="7">
        <f>Q1570</f>
      </c>
      <c r="V1570" s="7">
        <f>($C$14+($C$15-$C$14)/($D$15-$D$14)*(I1570-$D$14))/2</f>
      </c>
      <c r="W1570" s="7">
        <f>($B$22*I1570^4+$C$22*I1570^3+$D$22*I1570^2+$E$22*I1570+$F$22)/2</f>
      </c>
      <c r="X1570" s="7">
        <f>($W1570)*(T1570)</f>
      </c>
      <c r="Y1570" s="7">
        <f>($W1570)*(U1570)</f>
      </c>
      <c r="Z1570" s="7">
        <f>SQRT(X1570^2+Y1570^2)</f>
      </c>
      <c r="AA1570" s="7">
        <f>$K1570+$X1570</f>
      </c>
      <c r="AB1570" s="7">
        <f>$L1570+$Y1570</f>
      </c>
      <c r="AC1570" s="7">
        <f>$K1570-$X1570</f>
      </c>
      <c r="AD1570" s="7">
        <f>$L1570-$Y1570</f>
      </c>
      <c r="AE1570" s="7">
        <f>AA1570/39.3701</f>
      </c>
      <c r="AF1570" s="7">
        <f>AB1570/39.3701</f>
      </c>
      <c r="AG1570" s="7">
        <f>AC1570/39.3701</f>
      </c>
      <c r="AH1570" s="7">
        <f>AD1570/39.3701</f>
      </c>
      <c r="AI1570" s="1"/>
      <c r="AJ1570" s="1"/>
      <c r="AK1570" s="1"/>
      <c r="AL1570" s="1"/>
      <c r="AM1570" s="2"/>
      <c r="AN1570" s="1"/>
      <c r="AO1570" s="1"/>
      <c r="AP1570" s="1"/>
      <c r="AQ1570" s="1"/>
      <c r="AR1570" s="1"/>
      <c r="AS1570" s="1"/>
      <c r="AT1570" s="1"/>
      <c r="AU1570" s="1"/>
      <c r="AV1570" s="1"/>
      <c r="AW1570" s="1"/>
      <c r="AX1570" s="1"/>
      <c r="AY1570" s="1"/>
      <c r="AZ1570" s="1"/>
      <c r="BA1570" s="1"/>
      <c r="BB1570" s="1"/>
      <c r="BC1570" s="1"/>
      <c r="BD1570" s="1"/>
      <c r="BE1570" s="1"/>
    </row>
    <row x14ac:dyDescent="0.25" r="1571" customHeight="1" ht="18.75">
      <c r="A1571" s="1"/>
      <c r="B1571" s="2"/>
      <c r="C1571" s="2"/>
      <c r="D1571" s="2"/>
      <c r="E1571" s="2"/>
      <c r="F1571" s="2"/>
      <c r="G1571" s="1"/>
      <c r="H1571" s="1"/>
      <c r="I1571" s="7">
        <v>1.568</v>
      </c>
      <c r="J1571" s="7">
        <f>IF((I1571-ROUNDDOWN(I1571,0))=0, 0, (I1571-ROUNDDOWN(I1571,0)))</f>
      </c>
      <c r="K1571" s="7">
        <f>INDIRECT("C$"&amp;2+MIN(2,ROUNDDOWN(I1571,0))*3)*(-$J1571^3+3*$J1571^2-3*$J1571+1)+INDIRECT("C$"&amp;3+MIN(2,ROUNDDOWN(I1571,0))*3)*(3*$J1571^3-6*$J1571^2+3*$J1571)+INDIRECT("C$"&amp;4+MIN(2,ROUNDDOWN(I1571,0))*3)*(-3*$J1571^3+3*$J1571^2)+INDIRECT("C$"&amp;5+MIN(2,ROUNDDOWN(I1571,0))*3)*$J1571^3</f>
      </c>
      <c r="L1571" s="7">
        <f>INDIRECT("D$"&amp;2+MIN(2,ROUNDDOWN(I1571,0))*3)*(-$J1571^3+3*$J1571^2-3*$J1571+1)+INDIRECT("D$"&amp;3+MIN(2,ROUNDDOWN(I1571,0))*3)*(3*$J1571^3-6*$J1571^2+3*$J1571)+INDIRECT("D$"&amp;4+MIN(2,ROUNDDOWN(I1571,0))*3)*(-3*$J1571^3+3*$J1571^2)+INDIRECT("D$"&amp;5+MIN(2,ROUNDDOWN(I1571,0))*3)*$J1571^3</f>
      </c>
      <c r="M1571" s="7">
        <f>SQRT(K1571^2+L1571^2)</f>
      </c>
      <c r="N1571" s="7">
        <f>(K1572-K1570)</f>
      </c>
      <c r="O1571" s="7">
        <f>+(L1572-L1570)</f>
      </c>
      <c r="P1571" s="7">
        <f>SQRT(O1571^2+N1571^2)</f>
      </c>
      <c r="Q1571" s="7">
        <f>N1571/$P1571</f>
      </c>
      <c r="R1571" s="7">
        <f>O1571/$P1571</f>
      </c>
      <c r="S1571" s="8">
        <f>Q1571^2+R1571^2</f>
      </c>
      <c r="T1571" s="7">
        <f>-R1571</f>
      </c>
      <c r="U1571" s="7">
        <f>Q1571</f>
      </c>
      <c r="V1571" s="7">
        <f>($C$14+($C$15-$C$14)/($D$15-$D$14)*(I1571-$D$14))/2</f>
      </c>
      <c r="W1571" s="7">
        <f>($B$22*I1571^4+$C$22*I1571^3+$D$22*I1571^2+$E$22*I1571+$F$22)/2</f>
      </c>
      <c r="X1571" s="7">
        <f>($W1571)*(T1571)</f>
      </c>
      <c r="Y1571" s="7">
        <f>($W1571)*(U1571)</f>
      </c>
      <c r="Z1571" s="7">
        <f>SQRT(X1571^2+Y1571^2)</f>
      </c>
      <c r="AA1571" s="7">
        <f>$K1571+$X1571</f>
      </c>
      <c r="AB1571" s="7">
        <f>$L1571+$Y1571</f>
      </c>
      <c r="AC1571" s="7">
        <f>$K1571-$X1571</f>
      </c>
      <c r="AD1571" s="7">
        <f>$L1571-$Y1571</f>
      </c>
      <c r="AE1571" s="7">
        <f>AA1571/39.3701</f>
      </c>
      <c r="AF1571" s="7">
        <f>AB1571/39.3701</f>
      </c>
      <c r="AG1571" s="7">
        <f>AC1571/39.3701</f>
      </c>
      <c r="AH1571" s="7">
        <f>AD1571/39.3701</f>
      </c>
      <c r="AI1571" s="1"/>
      <c r="AJ1571" s="1"/>
      <c r="AK1571" s="1"/>
      <c r="AL1571" s="1"/>
      <c r="AM1571" s="2"/>
      <c r="AN1571" s="1"/>
      <c r="AO1571" s="1"/>
      <c r="AP1571" s="1"/>
      <c r="AQ1571" s="1"/>
      <c r="AR1571" s="1"/>
      <c r="AS1571" s="1"/>
      <c r="AT1571" s="1"/>
      <c r="AU1571" s="1"/>
      <c r="AV1571" s="1"/>
      <c r="AW1571" s="1"/>
      <c r="AX1571" s="1"/>
      <c r="AY1571" s="1"/>
      <c r="AZ1571" s="1"/>
      <c r="BA1571" s="1"/>
      <c r="BB1571" s="1"/>
      <c r="BC1571" s="1"/>
      <c r="BD1571" s="1"/>
      <c r="BE1571" s="1"/>
    </row>
    <row x14ac:dyDescent="0.25" r="1572" customHeight="1" ht="18.75">
      <c r="A1572" s="1"/>
      <c r="B1572" s="2"/>
      <c r="C1572" s="2"/>
      <c r="D1572" s="2"/>
      <c r="E1572" s="2"/>
      <c r="F1572" s="2"/>
      <c r="G1572" s="1"/>
      <c r="H1572" s="1"/>
      <c r="I1572" s="7">
        <v>1.569</v>
      </c>
      <c r="J1572" s="7">
        <f>IF((I1572-ROUNDDOWN(I1572,0))=0, 0, (I1572-ROUNDDOWN(I1572,0)))</f>
      </c>
      <c r="K1572" s="7">
        <f>INDIRECT("C$"&amp;2+MIN(2,ROUNDDOWN(I1572,0))*3)*(-$J1572^3+3*$J1572^2-3*$J1572+1)+INDIRECT("C$"&amp;3+MIN(2,ROUNDDOWN(I1572,0))*3)*(3*$J1572^3-6*$J1572^2+3*$J1572)+INDIRECT("C$"&amp;4+MIN(2,ROUNDDOWN(I1572,0))*3)*(-3*$J1572^3+3*$J1572^2)+INDIRECT("C$"&amp;5+MIN(2,ROUNDDOWN(I1572,0))*3)*$J1572^3</f>
      </c>
      <c r="L1572" s="7">
        <f>INDIRECT("D$"&amp;2+MIN(2,ROUNDDOWN(I1572,0))*3)*(-$J1572^3+3*$J1572^2-3*$J1572+1)+INDIRECT("D$"&amp;3+MIN(2,ROUNDDOWN(I1572,0))*3)*(3*$J1572^3-6*$J1572^2+3*$J1572)+INDIRECT("D$"&amp;4+MIN(2,ROUNDDOWN(I1572,0))*3)*(-3*$J1572^3+3*$J1572^2)+INDIRECT("D$"&amp;5+MIN(2,ROUNDDOWN(I1572,0))*3)*$J1572^3</f>
      </c>
      <c r="M1572" s="7">
        <f>SQRT(K1572^2+L1572^2)</f>
      </c>
      <c r="N1572" s="7">
        <f>(K1573-K1571)</f>
      </c>
      <c r="O1572" s="7">
        <f>+(L1573-L1571)</f>
      </c>
      <c r="P1572" s="7">
        <f>SQRT(O1572^2+N1572^2)</f>
      </c>
      <c r="Q1572" s="7">
        <f>N1572/$P1572</f>
      </c>
      <c r="R1572" s="7">
        <f>O1572/$P1572</f>
      </c>
      <c r="S1572" s="8">
        <f>Q1572^2+R1572^2</f>
      </c>
      <c r="T1572" s="7">
        <f>-R1572</f>
      </c>
      <c r="U1572" s="7">
        <f>Q1572</f>
      </c>
      <c r="V1572" s="7">
        <f>($C$14+($C$15-$C$14)/($D$15-$D$14)*(I1572-$D$14))/2</f>
      </c>
      <c r="W1572" s="7">
        <f>($B$22*I1572^4+$C$22*I1572^3+$D$22*I1572^2+$E$22*I1572+$F$22)/2</f>
      </c>
      <c r="X1572" s="7">
        <f>($W1572)*(T1572)</f>
      </c>
      <c r="Y1572" s="7">
        <f>($W1572)*(U1572)</f>
      </c>
      <c r="Z1572" s="7">
        <f>SQRT(X1572^2+Y1572^2)</f>
      </c>
      <c r="AA1572" s="7">
        <f>$K1572+$X1572</f>
      </c>
      <c r="AB1572" s="7">
        <f>$L1572+$Y1572</f>
      </c>
      <c r="AC1572" s="7">
        <f>$K1572-$X1572</f>
      </c>
      <c r="AD1572" s="7">
        <f>$L1572-$Y1572</f>
      </c>
      <c r="AE1572" s="7">
        <f>AA1572/39.3701</f>
      </c>
      <c r="AF1572" s="7">
        <f>AB1572/39.3701</f>
      </c>
      <c r="AG1572" s="7">
        <f>AC1572/39.3701</f>
      </c>
      <c r="AH1572" s="7">
        <f>AD1572/39.3701</f>
      </c>
      <c r="AI1572" s="1"/>
      <c r="AJ1572" s="1"/>
      <c r="AK1572" s="1"/>
      <c r="AL1572" s="1"/>
      <c r="AM1572" s="2"/>
      <c r="AN1572" s="1"/>
      <c r="AO1572" s="1"/>
      <c r="AP1572" s="1"/>
      <c r="AQ1572" s="1"/>
      <c r="AR1572" s="1"/>
      <c r="AS1572" s="1"/>
      <c r="AT1572" s="1"/>
      <c r="AU1572" s="1"/>
      <c r="AV1572" s="1"/>
      <c r="AW1572" s="1"/>
      <c r="AX1572" s="1"/>
      <c r="AY1572" s="1"/>
      <c r="AZ1572" s="1"/>
      <c r="BA1572" s="1"/>
      <c r="BB1572" s="1"/>
      <c r="BC1572" s="1"/>
      <c r="BD1572" s="1"/>
      <c r="BE1572" s="1"/>
    </row>
    <row x14ac:dyDescent="0.25" r="1573" customHeight="1" ht="18.75">
      <c r="A1573" s="1"/>
      <c r="B1573" s="2"/>
      <c r="C1573" s="2"/>
      <c r="D1573" s="2"/>
      <c r="E1573" s="2"/>
      <c r="F1573" s="2"/>
      <c r="G1573" s="1"/>
      <c r="H1573" s="1"/>
      <c r="I1573" s="7">
        <v>1.57</v>
      </c>
      <c r="J1573" s="7">
        <f>IF((I1573-ROUNDDOWN(I1573,0))=0, 0, (I1573-ROUNDDOWN(I1573,0)))</f>
      </c>
      <c r="K1573" s="7">
        <f>INDIRECT("C$"&amp;2+MIN(2,ROUNDDOWN(I1573,0))*3)*(-$J1573^3+3*$J1573^2-3*$J1573+1)+INDIRECT("C$"&amp;3+MIN(2,ROUNDDOWN(I1573,0))*3)*(3*$J1573^3-6*$J1573^2+3*$J1573)+INDIRECT("C$"&amp;4+MIN(2,ROUNDDOWN(I1573,0))*3)*(-3*$J1573^3+3*$J1573^2)+INDIRECT("C$"&amp;5+MIN(2,ROUNDDOWN(I1573,0))*3)*$J1573^3</f>
      </c>
      <c r="L1573" s="7">
        <f>INDIRECT("D$"&amp;2+MIN(2,ROUNDDOWN(I1573,0))*3)*(-$J1573^3+3*$J1573^2-3*$J1573+1)+INDIRECT("D$"&amp;3+MIN(2,ROUNDDOWN(I1573,0))*3)*(3*$J1573^3-6*$J1573^2+3*$J1573)+INDIRECT("D$"&amp;4+MIN(2,ROUNDDOWN(I1573,0))*3)*(-3*$J1573^3+3*$J1573^2)+INDIRECT("D$"&amp;5+MIN(2,ROUNDDOWN(I1573,0))*3)*$J1573^3</f>
      </c>
      <c r="M1573" s="7">
        <f>SQRT(K1573^2+L1573^2)</f>
      </c>
      <c r="N1573" s="7">
        <f>(K1574-K1572)</f>
      </c>
      <c r="O1573" s="7">
        <f>+(L1574-L1572)</f>
      </c>
      <c r="P1573" s="7">
        <f>SQRT(O1573^2+N1573^2)</f>
      </c>
      <c r="Q1573" s="7">
        <f>N1573/$P1573</f>
      </c>
      <c r="R1573" s="7">
        <f>O1573/$P1573</f>
      </c>
      <c r="S1573" s="7">
        <f>Q1573^2+R1573^2</f>
      </c>
      <c r="T1573" s="7">
        <f>-R1573</f>
      </c>
      <c r="U1573" s="7">
        <f>Q1573</f>
      </c>
      <c r="V1573" s="7">
        <f>($C$14+($C$15-$C$14)/($D$15-$D$14)*(I1573-$D$14))/2</f>
      </c>
      <c r="W1573" s="7">
        <f>($B$22*I1573^4+$C$22*I1573^3+$D$22*I1573^2+$E$22*I1573+$F$22)/2</f>
      </c>
      <c r="X1573" s="7">
        <f>($W1573)*(T1573)</f>
      </c>
      <c r="Y1573" s="7">
        <f>($W1573)*(U1573)</f>
      </c>
      <c r="Z1573" s="7">
        <f>SQRT(X1573^2+Y1573^2)</f>
      </c>
      <c r="AA1573" s="7">
        <f>$K1573+$X1573</f>
      </c>
      <c r="AB1573" s="7">
        <f>$L1573+$Y1573</f>
      </c>
      <c r="AC1573" s="7">
        <f>$K1573-$X1573</f>
      </c>
      <c r="AD1573" s="7">
        <f>$L1573-$Y1573</f>
      </c>
      <c r="AE1573" s="7">
        <f>AA1573/39.3701</f>
      </c>
      <c r="AF1573" s="7">
        <f>AB1573/39.3701</f>
      </c>
      <c r="AG1573" s="7">
        <f>AC1573/39.3701</f>
      </c>
      <c r="AH1573" s="7">
        <f>AD1573/39.3701</f>
      </c>
      <c r="AI1573" s="1"/>
      <c r="AJ1573" s="1"/>
      <c r="AK1573" s="1"/>
      <c r="AL1573" s="1"/>
      <c r="AM1573" s="2"/>
      <c r="AN1573" s="1"/>
      <c r="AO1573" s="1"/>
      <c r="AP1573" s="1"/>
      <c r="AQ1573" s="1"/>
      <c r="AR1573" s="1"/>
      <c r="AS1573" s="1"/>
      <c r="AT1573" s="1"/>
      <c r="AU1573" s="1"/>
      <c r="AV1573" s="1"/>
      <c r="AW1573" s="1"/>
      <c r="AX1573" s="1"/>
      <c r="AY1573" s="1"/>
      <c r="AZ1573" s="1"/>
      <c r="BA1573" s="1"/>
      <c r="BB1573" s="1"/>
      <c r="BC1573" s="1"/>
      <c r="BD1573" s="1"/>
      <c r="BE1573" s="1"/>
    </row>
    <row x14ac:dyDescent="0.25" r="1574" customHeight="1" ht="18.75">
      <c r="A1574" s="1"/>
      <c r="B1574" s="2"/>
      <c r="C1574" s="2"/>
      <c r="D1574" s="2"/>
      <c r="E1574" s="2"/>
      <c r="F1574" s="2"/>
      <c r="G1574" s="1"/>
      <c r="H1574" s="1"/>
      <c r="I1574" s="7">
        <v>1.571</v>
      </c>
      <c r="J1574" s="7">
        <f>IF((I1574-ROUNDDOWN(I1574,0))=0, 0, (I1574-ROUNDDOWN(I1574,0)))</f>
      </c>
      <c r="K1574" s="7">
        <f>INDIRECT("C$"&amp;2+MIN(2,ROUNDDOWN(I1574,0))*3)*(-$J1574^3+3*$J1574^2-3*$J1574+1)+INDIRECT("C$"&amp;3+MIN(2,ROUNDDOWN(I1574,0))*3)*(3*$J1574^3-6*$J1574^2+3*$J1574)+INDIRECT("C$"&amp;4+MIN(2,ROUNDDOWN(I1574,0))*3)*(-3*$J1574^3+3*$J1574^2)+INDIRECT("C$"&amp;5+MIN(2,ROUNDDOWN(I1574,0))*3)*$J1574^3</f>
      </c>
      <c r="L1574" s="7">
        <f>INDIRECT("D$"&amp;2+MIN(2,ROUNDDOWN(I1574,0))*3)*(-$J1574^3+3*$J1574^2-3*$J1574+1)+INDIRECT("D$"&amp;3+MIN(2,ROUNDDOWN(I1574,0))*3)*(3*$J1574^3-6*$J1574^2+3*$J1574)+INDIRECT("D$"&amp;4+MIN(2,ROUNDDOWN(I1574,0))*3)*(-3*$J1574^3+3*$J1574^2)+INDIRECT("D$"&amp;5+MIN(2,ROUNDDOWN(I1574,0))*3)*$J1574^3</f>
      </c>
      <c r="M1574" s="7">
        <f>SQRT(K1574^2+L1574^2)</f>
      </c>
      <c r="N1574" s="7">
        <f>(K1575-K1573)</f>
      </c>
      <c r="O1574" s="7">
        <f>+(L1575-L1573)</f>
      </c>
      <c r="P1574" s="7">
        <f>SQRT(O1574^2+N1574^2)</f>
      </c>
      <c r="Q1574" s="7">
        <f>N1574/$P1574</f>
      </c>
      <c r="R1574" s="7">
        <f>O1574/$P1574</f>
      </c>
      <c r="S1574" s="8">
        <f>Q1574^2+R1574^2</f>
      </c>
      <c r="T1574" s="7">
        <f>-R1574</f>
      </c>
      <c r="U1574" s="7">
        <f>Q1574</f>
      </c>
      <c r="V1574" s="7">
        <f>($C$14+($C$15-$C$14)/($D$15-$D$14)*(I1574-$D$14))/2</f>
      </c>
      <c r="W1574" s="7">
        <f>($B$22*I1574^4+$C$22*I1574^3+$D$22*I1574^2+$E$22*I1574+$F$22)/2</f>
      </c>
      <c r="X1574" s="7">
        <f>($W1574)*(T1574)</f>
      </c>
      <c r="Y1574" s="7">
        <f>($W1574)*(U1574)</f>
      </c>
      <c r="Z1574" s="7">
        <f>SQRT(X1574^2+Y1574^2)</f>
      </c>
      <c r="AA1574" s="7">
        <f>$K1574+$X1574</f>
      </c>
      <c r="AB1574" s="7">
        <f>$L1574+$Y1574</f>
      </c>
      <c r="AC1574" s="7">
        <f>$K1574-$X1574</f>
      </c>
      <c r="AD1574" s="7">
        <f>$L1574-$Y1574</f>
      </c>
      <c r="AE1574" s="7">
        <f>AA1574/39.3701</f>
      </c>
      <c r="AF1574" s="7">
        <f>AB1574/39.3701</f>
      </c>
      <c r="AG1574" s="7">
        <f>AC1574/39.3701</f>
      </c>
      <c r="AH1574" s="7">
        <f>AD1574/39.3701</f>
      </c>
      <c r="AI1574" s="1"/>
      <c r="AJ1574" s="1"/>
      <c r="AK1574" s="1"/>
      <c r="AL1574" s="1"/>
      <c r="AM1574" s="2"/>
      <c r="AN1574" s="1"/>
      <c r="AO1574" s="1"/>
      <c r="AP1574" s="1"/>
      <c r="AQ1574" s="1"/>
      <c r="AR1574" s="1"/>
      <c r="AS1574" s="1"/>
      <c r="AT1574" s="1"/>
      <c r="AU1574" s="1"/>
      <c r="AV1574" s="1"/>
      <c r="AW1574" s="1"/>
      <c r="AX1574" s="1"/>
      <c r="AY1574" s="1"/>
      <c r="AZ1574" s="1"/>
      <c r="BA1574" s="1"/>
      <c r="BB1574" s="1"/>
      <c r="BC1574" s="1"/>
      <c r="BD1574" s="1"/>
      <c r="BE1574" s="1"/>
    </row>
    <row x14ac:dyDescent="0.25" r="1575" customHeight="1" ht="18.75">
      <c r="A1575" s="1"/>
      <c r="B1575" s="2"/>
      <c r="C1575" s="2"/>
      <c r="D1575" s="2"/>
      <c r="E1575" s="2"/>
      <c r="F1575" s="2"/>
      <c r="G1575" s="1"/>
      <c r="H1575" s="1"/>
      <c r="I1575" s="7">
        <v>1.572</v>
      </c>
      <c r="J1575" s="7">
        <f>IF((I1575-ROUNDDOWN(I1575,0))=0, 0, (I1575-ROUNDDOWN(I1575,0)))</f>
      </c>
      <c r="K1575" s="7">
        <f>INDIRECT("C$"&amp;2+MIN(2,ROUNDDOWN(I1575,0))*3)*(-$J1575^3+3*$J1575^2-3*$J1575+1)+INDIRECT("C$"&amp;3+MIN(2,ROUNDDOWN(I1575,0))*3)*(3*$J1575^3-6*$J1575^2+3*$J1575)+INDIRECT("C$"&amp;4+MIN(2,ROUNDDOWN(I1575,0))*3)*(-3*$J1575^3+3*$J1575^2)+INDIRECT("C$"&amp;5+MIN(2,ROUNDDOWN(I1575,0))*3)*$J1575^3</f>
      </c>
      <c r="L1575" s="7">
        <f>INDIRECT("D$"&amp;2+MIN(2,ROUNDDOWN(I1575,0))*3)*(-$J1575^3+3*$J1575^2-3*$J1575+1)+INDIRECT("D$"&amp;3+MIN(2,ROUNDDOWN(I1575,0))*3)*(3*$J1575^3-6*$J1575^2+3*$J1575)+INDIRECT("D$"&amp;4+MIN(2,ROUNDDOWN(I1575,0))*3)*(-3*$J1575^3+3*$J1575^2)+INDIRECT("D$"&amp;5+MIN(2,ROUNDDOWN(I1575,0))*3)*$J1575^3</f>
      </c>
      <c r="M1575" s="7">
        <f>SQRT(K1575^2+L1575^2)</f>
      </c>
      <c r="N1575" s="7">
        <f>(K1576-K1574)</f>
      </c>
      <c r="O1575" s="7">
        <f>+(L1576-L1574)</f>
      </c>
      <c r="P1575" s="7">
        <f>SQRT(O1575^2+N1575^2)</f>
      </c>
      <c r="Q1575" s="7">
        <f>N1575/$P1575</f>
      </c>
      <c r="R1575" s="7">
        <f>O1575/$P1575</f>
      </c>
      <c r="S1575" s="7">
        <f>Q1575^2+R1575^2</f>
      </c>
      <c r="T1575" s="7">
        <f>-R1575</f>
      </c>
      <c r="U1575" s="7">
        <f>Q1575</f>
      </c>
      <c r="V1575" s="7">
        <f>($C$14+($C$15-$C$14)/($D$15-$D$14)*(I1575-$D$14))/2</f>
      </c>
      <c r="W1575" s="7">
        <f>($B$22*I1575^4+$C$22*I1575^3+$D$22*I1575^2+$E$22*I1575+$F$22)/2</f>
      </c>
      <c r="X1575" s="7">
        <f>($W1575)*(T1575)</f>
      </c>
      <c r="Y1575" s="7">
        <f>($W1575)*(U1575)</f>
      </c>
      <c r="Z1575" s="7">
        <f>SQRT(X1575^2+Y1575^2)</f>
      </c>
      <c r="AA1575" s="7">
        <f>$K1575+$X1575</f>
      </c>
      <c r="AB1575" s="7">
        <f>$L1575+$Y1575</f>
      </c>
      <c r="AC1575" s="7">
        <f>$K1575-$X1575</f>
      </c>
      <c r="AD1575" s="7">
        <f>$L1575-$Y1575</f>
      </c>
      <c r="AE1575" s="7">
        <f>AA1575/39.3701</f>
      </c>
      <c r="AF1575" s="7">
        <f>AB1575/39.3701</f>
      </c>
      <c r="AG1575" s="7">
        <f>AC1575/39.3701</f>
      </c>
      <c r="AH1575" s="7">
        <f>AD1575/39.3701</f>
      </c>
      <c r="AI1575" s="1"/>
      <c r="AJ1575" s="1"/>
      <c r="AK1575" s="1"/>
      <c r="AL1575" s="1"/>
      <c r="AM1575" s="2"/>
      <c r="AN1575" s="1"/>
      <c r="AO1575" s="1"/>
      <c r="AP1575" s="1"/>
      <c r="AQ1575" s="1"/>
      <c r="AR1575" s="1"/>
      <c r="AS1575" s="1"/>
      <c r="AT1575" s="1"/>
      <c r="AU1575" s="1"/>
      <c r="AV1575" s="1"/>
      <c r="AW1575" s="1"/>
      <c r="AX1575" s="1"/>
      <c r="AY1575" s="1"/>
      <c r="AZ1575" s="1"/>
      <c r="BA1575" s="1"/>
      <c r="BB1575" s="1"/>
      <c r="BC1575" s="1"/>
      <c r="BD1575" s="1"/>
      <c r="BE1575" s="1"/>
    </row>
    <row x14ac:dyDescent="0.25" r="1576" customHeight="1" ht="18.75">
      <c r="A1576" s="1"/>
      <c r="B1576" s="2"/>
      <c r="C1576" s="2"/>
      <c r="D1576" s="2"/>
      <c r="E1576" s="2"/>
      <c r="F1576" s="2"/>
      <c r="G1576" s="1"/>
      <c r="H1576" s="1"/>
      <c r="I1576" s="7">
        <v>1.573</v>
      </c>
      <c r="J1576" s="7">
        <f>IF((I1576-ROUNDDOWN(I1576,0))=0, 0, (I1576-ROUNDDOWN(I1576,0)))</f>
      </c>
      <c r="K1576" s="7">
        <f>INDIRECT("C$"&amp;2+MIN(2,ROUNDDOWN(I1576,0))*3)*(-$J1576^3+3*$J1576^2-3*$J1576+1)+INDIRECT("C$"&amp;3+MIN(2,ROUNDDOWN(I1576,0))*3)*(3*$J1576^3-6*$J1576^2+3*$J1576)+INDIRECT("C$"&amp;4+MIN(2,ROUNDDOWN(I1576,0))*3)*(-3*$J1576^3+3*$J1576^2)+INDIRECT("C$"&amp;5+MIN(2,ROUNDDOWN(I1576,0))*3)*$J1576^3</f>
      </c>
      <c r="L1576" s="7">
        <f>INDIRECT("D$"&amp;2+MIN(2,ROUNDDOWN(I1576,0))*3)*(-$J1576^3+3*$J1576^2-3*$J1576+1)+INDIRECT("D$"&amp;3+MIN(2,ROUNDDOWN(I1576,0))*3)*(3*$J1576^3-6*$J1576^2+3*$J1576)+INDIRECT("D$"&amp;4+MIN(2,ROUNDDOWN(I1576,0))*3)*(-3*$J1576^3+3*$J1576^2)+INDIRECT("D$"&amp;5+MIN(2,ROUNDDOWN(I1576,0))*3)*$J1576^3</f>
      </c>
      <c r="M1576" s="7">
        <f>SQRT(K1576^2+L1576^2)</f>
      </c>
      <c r="N1576" s="7">
        <f>(K1577-K1575)</f>
      </c>
      <c r="O1576" s="7">
        <f>+(L1577-L1575)</f>
      </c>
      <c r="P1576" s="7">
        <f>SQRT(O1576^2+N1576^2)</f>
      </c>
      <c r="Q1576" s="7">
        <f>N1576/$P1576</f>
      </c>
      <c r="R1576" s="7">
        <f>O1576/$P1576</f>
      </c>
      <c r="S1576" s="7">
        <f>Q1576^2+R1576^2</f>
      </c>
      <c r="T1576" s="7">
        <f>-R1576</f>
      </c>
      <c r="U1576" s="7">
        <f>Q1576</f>
      </c>
      <c r="V1576" s="7">
        <f>($C$14+($C$15-$C$14)/($D$15-$D$14)*(I1576-$D$14))/2</f>
      </c>
      <c r="W1576" s="7">
        <f>($B$22*I1576^4+$C$22*I1576^3+$D$22*I1576^2+$E$22*I1576+$F$22)/2</f>
      </c>
      <c r="X1576" s="7">
        <f>($W1576)*(T1576)</f>
      </c>
      <c r="Y1576" s="7">
        <f>($W1576)*(U1576)</f>
      </c>
      <c r="Z1576" s="7">
        <f>SQRT(X1576^2+Y1576^2)</f>
      </c>
      <c r="AA1576" s="7">
        <f>$K1576+$X1576</f>
      </c>
      <c r="AB1576" s="7">
        <f>$L1576+$Y1576</f>
      </c>
      <c r="AC1576" s="7">
        <f>$K1576-$X1576</f>
      </c>
      <c r="AD1576" s="7">
        <f>$L1576-$Y1576</f>
      </c>
      <c r="AE1576" s="7">
        <f>AA1576/39.3701</f>
      </c>
      <c r="AF1576" s="7">
        <f>AB1576/39.3701</f>
      </c>
      <c r="AG1576" s="7">
        <f>AC1576/39.3701</f>
      </c>
      <c r="AH1576" s="7">
        <f>AD1576/39.3701</f>
      </c>
      <c r="AI1576" s="1"/>
      <c r="AJ1576" s="1"/>
      <c r="AK1576" s="1"/>
      <c r="AL1576" s="1"/>
      <c r="AM1576" s="2"/>
      <c r="AN1576" s="1"/>
      <c r="AO1576" s="1"/>
      <c r="AP1576" s="1"/>
      <c r="AQ1576" s="1"/>
      <c r="AR1576" s="1"/>
      <c r="AS1576" s="1"/>
      <c r="AT1576" s="1"/>
      <c r="AU1576" s="1"/>
      <c r="AV1576" s="1"/>
      <c r="AW1576" s="1"/>
      <c r="AX1576" s="1"/>
      <c r="AY1576" s="1"/>
      <c r="AZ1576" s="1"/>
      <c r="BA1576" s="1"/>
      <c r="BB1576" s="1"/>
      <c r="BC1576" s="1"/>
      <c r="BD1576" s="1"/>
      <c r="BE1576" s="1"/>
    </row>
    <row x14ac:dyDescent="0.25" r="1577" customHeight="1" ht="18.75">
      <c r="A1577" s="1"/>
      <c r="B1577" s="2"/>
      <c r="C1577" s="2"/>
      <c r="D1577" s="2"/>
      <c r="E1577" s="2"/>
      <c r="F1577" s="2"/>
      <c r="G1577" s="1"/>
      <c r="H1577" s="1"/>
      <c r="I1577" s="7">
        <v>1.574</v>
      </c>
      <c r="J1577" s="7">
        <f>IF((I1577-ROUNDDOWN(I1577,0))=0, 0, (I1577-ROUNDDOWN(I1577,0)))</f>
      </c>
      <c r="K1577" s="7">
        <f>INDIRECT("C$"&amp;2+MIN(2,ROUNDDOWN(I1577,0))*3)*(-$J1577^3+3*$J1577^2-3*$J1577+1)+INDIRECT("C$"&amp;3+MIN(2,ROUNDDOWN(I1577,0))*3)*(3*$J1577^3-6*$J1577^2+3*$J1577)+INDIRECT("C$"&amp;4+MIN(2,ROUNDDOWN(I1577,0))*3)*(-3*$J1577^3+3*$J1577^2)+INDIRECT("C$"&amp;5+MIN(2,ROUNDDOWN(I1577,0))*3)*$J1577^3</f>
      </c>
      <c r="L1577" s="7">
        <f>INDIRECT("D$"&amp;2+MIN(2,ROUNDDOWN(I1577,0))*3)*(-$J1577^3+3*$J1577^2-3*$J1577+1)+INDIRECT("D$"&amp;3+MIN(2,ROUNDDOWN(I1577,0))*3)*(3*$J1577^3-6*$J1577^2+3*$J1577)+INDIRECT("D$"&amp;4+MIN(2,ROUNDDOWN(I1577,0))*3)*(-3*$J1577^3+3*$J1577^2)+INDIRECT("D$"&amp;5+MIN(2,ROUNDDOWN(I1577,0))*3)*$J1577^3</f>
      </c>
      <c r="M1577" s="7">
        <f>SQRT(K1577^2+L1577^2)</f>
      </c>
      <c r="N1577" s="7">
        <f>(K1578-K1576)</f>
      </c>
      <c r="O1577" s="7">
        <f>+(L1578-L1576)</f>
      </c>
      <c r="P1577" s="7">
        <f>SQRT(O1577^2+N1577^2)</f>
      </c>
      <c r="Q1577" s="7">
        <f>N1577/$P1577</f>
      </c>
      <c r="R1577" s="7">
        <f>O1577/$P1577</f>
      </c>
      <c r="S1577" s="7">
        <f>Q1577^2+R1577^2</f>
      </c>
      <c r="T1577" s="7">
        <f>-R1577</f>
      </c>
      <c r="U1577" s="7">
        <f>Q1577</f>
      </c>
      <c r="V1577" s="7">
        <f>($C$14+($C$15-$C$14)/($D$15-$D$14)*(I1577-$D$14))/2</f>
      </c>
      <c r="W1577" s="7">
        <f>($B$22*I1577^4+$C$22*I1577^3+$D$22*I1577^2+$E$22*I1577+$F$22)/2</f>
      </c>
      <c r="X1577" s="7">
        <f>($W1577)*(T1577)</f>
      </c>
      <c r="Y1577" s="7">
        <f>($W1577)*(U1577)</f>
      </c>
      <c r="Z1577" s="7">
        <f>SQRT(X1577^2+Y1577^2)</f>
      </c>
      <c r="AA1577" s="7">
        <f>$K1577+$X1577</f>
      </c>
      <c r="AB1577" s="7">
        <f>$L1577+$Y1577</f>
      </c>
      <c r="AC1577" s="7">
        <f>$K1577-$X1577</f>
      </c>
      <c r="AD1577" s="7">
        <f>$L1577-$Y1577</f>
      </c>
      <c r="AE1577" s="7">
        <f>AA1577/39.3701</f>
      </c>
      <c r="AF1577" s="7">
        <f>AB1577/39.3701</f>
      </c>
      <c r="AG1577" s="7">
        <f>AC1577/39.3701</f>
      </c>
      <c r="AH1577" s="7">
        <f>AD1577/39.3701</f>
      </c>
      <c r="AI1577" s="1"/>
      <c r="AJ1577" s="1"/>
      <c r="AK1577" s="1"/>
      <c r="AL1577" s="1"/>
      <c r="AM1577" s="2"/>
      <c r="AN1577" s="1"/>
      <c r="AO1577" s="1"/>
      <c r="AP1577" s="1"/>
      <c r="AQ1577" s="1"/>
      <c r="AR1577" s="1"/>
      <c r="AS1577" s="1"/>
      <c r="AT1577" s="1"/>
      <c r="AU1577" s="1"/>
      <c r="AV1577" s="1"/>
      <c r="AW1577" s="1"/>
      <c r="AX1577" s="1"/>
      <c r="AY1577" s="1"/>
      <c r="AZ1577" s="1"/>
      <c r="BA1577" s="1"/>
      <c r="BB1577" s="1"/>
      <c r="BC1577" s="1"/>
      <c r="BD1577" s="1"/>
      <c r="BE1577" s="1"/>
    </row>
    <row x14ac:dyDescent="0.25" r="1578" customHeight="1" ht="18.75">
      <c r="A1578" s="1"/>
      <c r="B1578" s="2"/>
      <c r="C1578" s="2"/>
      <c r="D1578" s="2"/>
      <c r="E1578" s="2"/>
      <c r="F1578" s="2"/>
      <c r="G1578" s="1"/>
      <c r="H1578" s="1"/>
      <c r="I1578" s="7">
        <v>1.575</v>
      </c>
      <c r="J1578" s="7">
        <f>IF((I1578-ROUNDDOWN(I1578,0))=0, 0, (I1578-ROUNDDOWN(I1578,0)))</f>
      </c>
      <c r="K1578" s="7">
        <f>INDIRECT("C$"&amp;2+MIN(2,ROUNDDOWN(I1578,0))*3)*(-$J1578^3+3*$J1578^2-3*$J1578+1)+INDIRECT("C$"&amp;3+MIN(2,ROUNDDOWN(I1578,0))*3)*(3*$J1578^3-6*$J1578^2+3*$J1578)+INDIRECT("C$"&amp;4+MIN(2,ROUNDDOWN(I1578,0))*3)*(-3*$J1578^3+3*$J1578^2)+INDIRECT("C$"&amp;5+MIN(2,ROUNDDOWN(I1578,0))*3)*$J1578^3</f>
      </c>
      <c r="L1578" s="7">
        <f>INDIRECT("D$"&amp;2+MIN(2,ROUNDDOWN(I1578,0))*3)*(-$J1578^3+3*$J1578^2-3*$J1578+1)+INDIRECT("D$"&amp;3+MIN(2,ROUNDDOWN(I1578,0))*3)*(3*$J1578^3-6*$J1578^2+3*$J1578)+INDIRECT("D$"&amp;4+MIN(2,ROUNDDOWN(I1578,0))*3)*(-3*$J1578^3+3*$J1578^2)+INDIRECT("D$"&amp;5+MIN(2,ROUNDDOWN(I1578,0))*3)*$J1578^3</f>
      </c>
      <c r="M1578" s="7">
        <f>SQRT(K1578^2+L1578^2)</f>
      </c>
      <c r="N1578" s="7">
        <f>(K1579-K1577)</f>
      </c>
      <c r="O1578" s="7">
        <f>+(L1579-L1577)</f>
      </c>
      <c r="P1578" s="7">
        <f>SQRT(O1578^2+N1578^2)</f>
      </c>
      <c r="Q1578" s="7">
        <f>N1578/$P1578</f>
      </c>
      <c r="R1578" s="7">
        <f>O1578/$P1578</f>
      </c>
      <c r="S1578" s="7">
        <f>Q1578^2+R1578^2</f>
      </c>
      <c r="T1578" s="7">
        <f>-R1578</f>
      </c>
      <c r="U1578" s="7">
        <f>Q1578</f>
      </c>
      <c r="V1578" s="7">
        <f>($C$14+($C$15-$C$14)/($D$15-$D$14)*(I1578-$D$14))/2</f>
      </c>
      <c r="W1578" s="7">
        <f>($B$22*I1578^4+$C$22*I1578^3+$D$22*I1578^2+$E$22*I1578+$F$22)/2</f>
      </c>
      <c r="X1578" s="7">
        <f>($W1578)*(T1578)</f>
      </c>
      <c r="Y1578" s="7">
        <f>($W1578)*(U1578)</f>
      </c>
      <c r="Z1578" s="7">
        <f>SQRT(X1578^2+Y1578^2)</f>
      </c>
      <c r="AA1578" s="7">
        <f>$K1578+$X1578</f>
      </c>
      <c r="AB1578" s="7">
        <f>$L1578+$Y1578</f>
      </c>
      <c r="AC1578" s="7">
        <f>$K1578-$X1578</f>
      </c>
      <c r="AD1578" s="7">
        <f>$L1578-$Y1578</f>
      </c>
      <c r="AE1578" s="7">
        <f>AA1578/39.3701</f>
      </c>
      <c r="AF1578" s="7">
        <f>AB1578/39.3701</f>
      </c>
      <c r="AG1578" s="7">
        <f>AC1578/39.3701</f>
      </c>
      <c r="AH1578" s="7">
        <f>AD1578/39.3701</f>
      </c>
      <c r="AI1578" s="1"/>
      <c r="AJ1578" s="1"/>
      <c r="AK1578" s="1"/>
      <c r="AL1578" s="1"/>
      <c r="AM1578" s="2"/>
      <c r="AN1578" s="1"/>
      <c r="AO1578" s="1"/>
      <c r="AP1578" s="1"/>
      <c r="AQ1578" s="1"/>
      <c r="AR1578" s="1"/>
      <c r="AS1578" s="1"/>
      <c r="AT1578" s="1"/>
      <c r="AU1578" s="1"/>
      <c r="AV1578" s="1"/>
      <c r="AW1578" s="1"/>
      <c r="AX1578" s="1"/>
      <c r="AY1578" s="1"/>
      <c r="AZ1578" s="1"/>
      <c r="BA1578" s="1"/>
      <c r="BB1578" s="1"/>
      <c r="BC1578" s="1"/>
      <c r="BD1578" s="1"/>
      <c r="BE1578" s="1"/>
    </row>
    <row x14ac:dyDescent="0.25" r="1579" customHeight="1" ht="18.75">
      <c r="A1579" s="1"/>
      <c r="B1579" s="2"/>
      <c r="C1579" s="2"/>
      <c r="D1579" s="2"/>
      <c r="E1579" s="2"/>
      <c r="F1579" s="2"/>
      <c r="G1579" s="1"/>
      <c r="H1579" s="1"/>
      <c r="I1579" s="7">
        <v>1.576</v>
      </c>
      <c r="J1579" s="7">
        <f>IF((I1579-ROUNDDOWN(I1579,0))=0, 0, (I1579-ROUNDDOWN(I1579,0)))</f>
      </c>
      <c r="K1579" s="7">
        <f>INDIRECT("C$"&amp;2+MIN(2,ROUNDDOWN(I1579,0))*3)*(-$J1579^3+3*$J1579^2-3*$J1579+1)+INDIRECT("C$"&amp;3+MIN(2,ROUNDDOWN(I1579,0))*3)*(3*$J1579^3-6*$J1579^2+3*$J1579)+INDIRECT("C$"&amp;4+MIN(2,ROUNDDOWN(I1579,0))*3)*(-3*$J1579^3+3*$J1579^2)+INDIRECT("C$"&amp;5+MIN(2,ROUNDDOWN(I1579,0))*3)*$J1579^3</f>
      </c>
      <c r="L1579" s="7">
        <f>INDIRECT("D$"&amp;2+MIN(2,ROUNDDOWN(I1579,0))*3)*(-$J1579^3+3*$J1579^2-3*$J1579+1)+INDIRECT("D$"&amp;3+MIN(2,ROUNDDOWN(I1579,0))*3)*(3*$J1579^3-6*$J1579^2+3*$J1579)+INDIRECT("D$"&amp;4+MIN(2,ROUNDDOWN(I1579,0))*3)*(-3*$J1579^3+3*$J1579^2)+INDIRECT("D$"&amp;5+MIN(2,ROUNDDOWN(I1579,0))*3)*$J1579^3</f>
      </c>
      <c r="M1579" s="7">
        <f>SQRT(K1579^2+L1579^2)</f>
      </c>
      <c r="N1579" s="7">
        <f>(K1580-K1578)</f>
      </c>
      <c r="O1579" s="7">
        <f>+(L1580-L1578)</f>
      </c>
      <c r="P1579" s="7">
        <f>SQRT(O1579^2+N1579^2)</f>
      </c>
      <c r="Q1579" s="7">
        <f>N1579/$P1579</f>
      </c>
      <c r="R1579" s="7">
        <f>O1579/$P1579</f>
      </c>
      <c r="S1579" s="8">
        <f>Q1579^2+R1579^2</f>
      </c>
      <c r="T1579" s="7">
        <f>-R1579</f>
      </c>
      <c r="U1579" s="7">
        <f>Q1579</f>
      </c>
      <c r="V1579" s="7">
        <f>($C$14+($C$15-$C$14)/($D$15-$D$14)*(I1579-$D$14))/2</f>
      </c>
      <c r="W1579" s="7">
        <f>($B$22*I1579^4+$C$22*I1579^3+$D$22*I1579^2+$E$22*I1579+$F$22)/2</f>
      </c>
      <c r="X1579" s="7">
        <f>($W1579)*(T1579)</f>
      </c>
      <c r="Y1579" s="7">
        <f>($W1579)*(U1579)</f>
      </c>
      <c r="Z1579" s="7">
        <f>SQRT(X1579^2+Y1579^2)</f>
      </c>
      <c r="AA1579" s="7">
        <f>$K1579+$X1579</f>
      </c>
      <c r="AB1579" s="7">
        <f>$L1579+$Y1579</f>
      </c>
      <c r="AC1579" s="7">
        <f>$K1579-$X1579</f>
      </c>
      <c r="AD1579" s="7">
        <f>$L1579-$Y1579</f>
      </c>
      <c r="AE1579" s="7">
        <f>AA1579/39.3701</f>
      </c>
      <c r="AF1579" s="7">
        <f>AB1579/39.3701</f>
      </c>
      <c r="AG1579" s="7">
        <f>AC1579/39.3701</f>
      </c>
      <c r="AH1579" s="7">
        <f>AD1579/39.3701</f>
      </c>
      <c r="AI1579" s="1"/>
      <c r="AJ1579" s="1"/>
      <c r="AK1579" s="1"/>
      <c r="AL1579" s="1"/>
      <c r="AM1579" s="2"/>
      <c r="AN1579" s="1"/>
      <c r="AO1579" s="1"/>
      <c r="AP1579" s="1"/>
      <c r="AQ1579" s="1"/>
      <c r="AR1579" s="1"/>
      <c r="AS1579" s="1"/>
      <c r="AT1579" s="1"/>
      <c r="AU1579" s="1"/>
      <c r="AV1579" s="1"/>
      <c r="AW1579" s="1"/>
      <c r="AX1579" s="1"/>
      <c r="AY1579" s="1"/>
      <c r="AZ1579" s="1"/>
      <c r="BA1579" s="1"/>
      <c r="BB1579" s="1"/>
      <c r="BC1579" s="1"/>
      <c r="BD1579" s="1"/>
      <c r="BE1579" s="1"/>
    </row>
    <row x14ac:dyDescent="0.25" r="1580" customHeight="1" ht="18.75">
      <c r="A1580" s="1"/>
      <c r="B1580" s="2"/>
      <c r="C1580" s="2"/>
      <c r="D1580" s="2"/>
      <c r="E1580" s="2"/>
      <c r="F1580" s="2"/>
      <c r="G1580" s="1"/>
      <c r="H1580" s="1"/>
      <c r="I1580" s="7">
        <v>1.577</v>
      </c>
      <c r="J1580" s="7">
        <f>IF((I1580-ROUNDDOWN(I1580,0))=0, 0, (I1580-ROUNDDOWN(I1580,0)))</f>
      </c>
      <c r="K1580" s="7">
        <f>INDIRECT("C$"&amp;2+MIN(2,ROUNDDOWN(I1580,0))*3)*(-$J1580^3+3*$J1580^2-3*$J1580+1)+INDIRECT("C$"&amp;3+MIN(2,ROUNDDOWN(I1580,0))*3)*(3*$J1580^3-6*$J1580^2+3*$J1580)+INDIRECT("C$"&amp;4+MIN(2,ROUNDDOWN(I1580,0))*3)*(-3*$J1580^3+3*$J1580^2)+INDIRECT("C$"&amp;5+MIN(2,ROUNDDOWN(I1580,0))*3)*$J1580^3</f>
      </c>
      <c r="L1580" s="7">
        <f>INDIRECT("D$"&amp;2+MIN(2,ROUNDDOWN(I1580,0))*3)*(-$J1580^3+3*$J1580^2-3*$J1580+1)+INDIRECT("D$"&amp;3+MIN(2,ROUNDDOWN(I1580,0))*3)*(3*$J1580^3-6*$J1580^2+3*$J1580)+INDIRECT("D$"&amp;4+MIN(2,ROUNDDOWN(I1580,0))*3)*(-3*$J1580^3+3*$J1580^2)+INDIRECT("D$"&amp;5+MIN(2,ROUNDDOWN(I1580,0))*3)*$J1580^3</f>
      </c>
      <c r="M1580" s="7">
        <f>SQRT(K1580^2+L1580^2)</f>
      </c>
      <c r="N1580" s="7">
        <f>(K1581-K1579)</f>
      </c>
      <c r="O1580" s="7">
        <f>+(L1581-L1579)</f>
      </c>
      <c r="P1580" s="7">
        <f>SQRT(O1580^2+N1580^2)</f>
      </c>
      <c r="Q1580" s="7">
        <f>N1580/$P1580</f>
      </c>
      <c r="R1580" s="7">
        <f>O1580/$P1580</f>
      </c>
      <c r="S1580" s="7">
        <f>Q1580^2+R1580^2</f>
      </c>
      <c r="T1580" s="7">
        <f>-R1580</f>
      </c>
      <c r="U1580" s="7">
        <f>Q1580</f>
      </c>
      <c r="V1580" s="7">
        <f>($C$14+($C$15-$C$14)/($D$15-$D$14)*(I1580-$D$14))/2</f>
      </c>
      <c r="W1580" s="7">
        <f>($B$22*I1580^4+$C$22*I1580^3+$D$22*I1580^2+$E$22*I1580+$F$22)/2</f>
      </c>
      <c r="X1580" s="7">
        <f>($W1580)*(T1580)</f>
      </c>
      <c r="Y1580" s="7">
        <f>($W1580)*(U1580)</f>
      </c>
      <c r="Z1580" s="7">
        <f>SQRT(X1580^2+Y1580^2)</f>
      </c>
      <c r="AA1580" s="7">
        <f>$K1580+$X1580</f>
      </c>
      <c r="AB1580" s="7">
        <f>$L1580+$Y1580</f>
      </c>
      <c r="AC1580" s="7">
        <f>$K1580-$X1580</f>
      </c>
      <c r="AD1580" s="7">
        <f>$L1580-$Y1580</f>
      </c>
      <c r="AE1580" s="7">
        <f>AA1580/39.3701</f>
      </c>
      <c r="AF1580" s="7">
        <f>AB1580/39.3701</f>
      </c>
      <c r="AG1580" s="7">
        <f>AC1580/39.3701</f>
      </c>
      <c r="AH1580" s="7">
        <f>AD1580/39.3701</f>
      </c>
      <c r="AI1580" s="1"/>
      <c r="AJ1580" s="1"/>
      <c r="AK1580" s="1"/>
      <c r="AL1580" s="1"/>
      <c r="AM1580" s="2"/>
      <c r="AN1580" s="1"/>
      <c r="AO1580" s="1"/>
      <c r="AP1580" s="1"/>
      <c r="AQ1580" s="1"/>
      <c r="AR1580" s="1"/>
      <c r="AS1580" s="1"/>
      <c r="AT1580" s="1"/>
      <c r="AU1580" s="1"/>
      <c r="AV1580" s="1"/>
      <c r="AW1580" s="1"/>
      <c r="AX1580" s="1"/>
      <c r="AY1580" s="1"/>
      <c r="AZ1580" s="1"/>
      <c r="BA1580" s="1"/>
      <c r="BB1580" s="1"/>
      <c r="BC1580" s="1"/>
      <c r="BD1580" s="1"/>
      <c r="BE1580" s="1"/>
    </row>
    <row x14ac:dyDescent="0.25" r="1581" customHeight="1" ht="18.75">
      <c r="A1581" s="1"/>
      <c r="B1581" s="2"/>
      <c r="C1581" s="2"/>
      <c r="D1581" s="2"/>
      <c r="E1581" s="2"/>
      <c r="F1581" s="2"/>
      <c r="G1581" s="1"/>
      <c r="H1581" s="1"/>
      <c r="I1581" s="7">
        <v>1.578</v>
      </c>
      <c r="J1581" s="7">
        <f>IF((I1581-ROUNDDOWN(I1581,0))=0, 0, (I1581-ROUNDDOWN(I1581,0)))</f>
      </c>
      <c r="K1581" s="7">
        <f>INDIRECT("C$"&amp;2+MIN(2,ROUNDDOWN(I1581,0))*3)*(-$J1581^3+3*$J1581^2-3*$J1581+1)+INDIRECT("C$"&amp;3+MIN(2,ROUNDDOWN(I1581,0))*3)*(3*$J1581^3-6*$J1581^2+3*$J1581)+INDIRECT("C$"&amp;4+MIN(2,ROUNDDOWN(I1581,0))*3)*(-3*$J1581^3+3*$J1581^2)+INDIRECT("C$"&amp;5+MIN(2,ROUNDDOWN(I1581,0))*3)*$J1581^3</f>
      </c>
      <c r="L1581" s="7">
        <f>INDIRECT("D$"&amp;2+MIN(2,ROUNDDOWN(I1581,0))*3)*(-$J1581^3+3*$J1581^2-3*$J1581+1)+INDIRECT("D$"&amp;3+MIN(2,ROUNDDOWN(I1581,0))*3)*(3*$J1581^3-6*$J1581^2+3*$J1581)+INDIRECT("D$"&amp;4+MIN(2,ROUNDDOWN(I1581,0))*3)*(-3*$J1581^3+3*$J1581^2)+INDIRECT("D$"&amp;5+MIN(2,ROUNDDOWN(I1581,0))*3)*$J1581^3</f>
      </c>
      <c r="M1581" s="7">
        <f>SQRT(K1581^2+L1581^2)</f>
      </c>
      <c r="N1581" s="7">
        <f>(K1582-K1580)</f>
      </c>
      <c r="O1581" s="7">
        <f>+(L1582-L1580)</f>
      </c>
      <c r="P1581" s="7">
        <f>SQRT(O1581^2+N1581^2)</f>
      </c>
      <c r="Q1581" s="7">
        <f>N1581/$P1581</f>
      </c>
      <c r="R1581" s="7">
        <f>O1581/$P1581</f>
      </c>
      <c r="S1581" s="7">
        <f>Q1581^2+R1581^2</f>
      </c>
      <c r="T1581" s="7">
        <f>-R1581</f>
      </c>
      <c r="U1581" s="7">
        <f>Q1581</f>
      </c>
      <c r="V1581" s="7">
        <f>($C$14+($C$15-$C$14)/($D$15-$D$14)*(I1581-$D$14))/2</f>
      </c>
      <c r="W1581" s="7">
        <f>($B$22*I1581^4+$C$22*I1581^3+$D$22*I1581^2+$E$22*I1581+$F$22)/2</f>
      </c>
      <c r="X1581" s="7">
        <f>($W1581)*(T1581)</f>
      </c>
      <c r="Y1581" s="7">
        <f>($W1581)*(U1581)</f>
      </c>
      <c r="Z1581" s="7">
        <f>SQRT(X1581^2+Y1581^2)</f>
      </c>
      <c r="AA1581" s="7">
        <f>$K1581+$X1581</f>
      </c>
      <c r="AB1581" s="7">
        <f>$L1581+$Y1581</f>
      </c>
      <c r="AC1581" s="7">
        <f>$K1581-$X1581</f>
      </c>
      <c r="AD1581" s="7">
        <f>$L1581-$Y1581</f>
      </c>
      <c r="AE1581" s="7">
        <f>AA1581/39.3701</f>
      </c>
      <c r="AF1581" s="7">
        <f>AB1581/39.3701</f>
      </c>
      <c r="AG1581" s="7">
        <f>AC1581/39.3701</f>
      </c>
      <c r="AH1581" s="7">
        <f>AD1581/39.3701</f>
      </c>
      <c r="AI1581" s="1"/>
      <c r="AJ1581" s="1"/>
      <c r="AK1581" s="1"/>
      <c r="AL1581" s="1"/>
      <c r="AM1581" s="2"/>
      <c r="AN1581" s="1"/>
      <c r="AO1581" s="1"/>
      <c r="AP1581" s="1"/>
      <c r="AQ1581" s="1"/>
      <c r="AR1581" s="1"/>
      <c r="AS1581" s="1"/>
      <c r="AT1581" s="1"/>
      <c r="AU1581" s="1"/>
      <c r="AV1581" s="1"/>
      <c r="AW1581" s="1"/>
      <c r="AX1581" s="1"/>
      <c r="AY1581" s="1"/>
      <c r="AZ1581" s="1"/>
      <c r="BA1581" s="1"/>
      <c r="BB1581" s="1"/>
      <c r="BC1581" s="1"/>
      <c r="BD1581" s="1"/>
      <c r="BE1581" s="1"/>
    </row>
    <row x14ac:dyDescent="0.25" r="1582" customHeight="1" ht="18.75">
      <c r="A1582" s="1"/>
      <c r="B1582" s="2"/>
      <c r="C1582" s="2"/>
      <c r="D1582" s="2"/>
      <c r="E1582" s="2"/>
      <c r="F1582" s="2"/>
      <c r="G1582" s="1"/>
      <c r="H1582" s="1"/>
      <c r="I1582" s="7">
        <v>1.579</v>
      </c>
      <c r="J1582" s="7">
        <f>IF((I1582-ROUNDDOWN(I1582,0))=0, 0, (I1582-ROUNDDOWN(I1582,0)))</f>
      </c>
      <c r="K1582" s="7">
        <f>INDIRECT("C$"&amp;2+MIN(2,ROUNDDOWN(I1582,0))*3)*(-$J1582^3+3*$J1582^2-3*$J1582+1)+INDIRECT("C$"&amp;3+MIN(2,ROUNDDOWN(I1582,0))*3)*(3*$J1582^3-6*$J1582^2+3*$J1582)+INDIRECT("C$"&amp;4+MIN(2,ROUNDDOWN(I1582,0))*3)*(-3*$J1582^3+3*$J1582^2)+INDIRECT("C$"&amp;5+MIN(2,ROUNDDOWN(I1582,0))*3)*$J1582^3</f>
      </c>
      <c r="L1582" s="7">
        <f>INDIRECT("D$"&amp;2+MIN(2,ROUNDDOWN(I1582,0))*3)*(-$J1582^3+3*$J1582^2-3*$J1582+1)+INDIRECT("D$"&amp;3+MIN(2,ROUNDDOWN(I1582,0))*3)*(3*$J1582^3-6*$J1582^2+3*$J1582)+INDIRECT("D$"&amp;4+MIN(2,ROUNDDOWN(I1582,0))*3)*(-3*$J1582^3+3*$J1582^2)+INDIRECT("D$"&amp;5+MIN(2,ROUNDDOWN(I1582,0))*3)*$J1582^3</f>
      </c>
      <c r="M1582" s="7">
        <f>SQRT(K1582^2+L1582^2)</f>
      </c>
      <c r="N1582" s="7">
        <f>(K1583-K1581)</f>
      </c>
      <c r="O1582" s="7">
        <f>+(L1583-L1581)</f>
      </c>
      <c r="P1582" s="7">
        <f>SQRT(O1582^2+N1582^2)</f>
      </c>
      <c r="Q1582" s="7">
        <f>N1582/$P1582</f>
      </c>
      <c r="R1582" s="7">
        <f>O1582/$P1582</f>
      </c>
      <c r="S1582" s="8">
        <f>Q1582^2+R1582^2</f>
      </c>
      <c r="T1582" s="7">
        <f>-R1582</f>
      </c>
      <c r="U1582" s="7">
        <f>Q1582</f>
      </c>
      <c r="V1582" s="7">
        <f>($C$14+($C$15-$C$14)/($D$15-$D$14)*(I1582-$D$14))/2</f>
      </c>
      <c r="W1582" s="7">
        <f>($B$22*I1582^4+$C$22*I1582^3+$D$22*I1582^2+$E$22*I1582+$F$22)/2</f>
      </c>
      <c r="X1582" s="7">
        <f>($W1582)*(T1582)</f>
      </c>
      <c r="Y1582" s="7">
        <f>($W1582)*(U1582)</f>
      </c>
      <c r="Z1582" s="7">
        <f>SQRT(X1582^2+Y1582^2)</f>
      </c>
      <c r="AA1582" s="7">
        <f>$K1582+$X1582</f>
      </c>
      <c r="AB1582" s="7">
        <f>$L1582+$Y1582</f>
      </c>
      <c r="AC1582" s="7">
        <f>$K1582-$X1582</f>
      </c>
      <c r="AD1582" s="7">
        <f>$L1582-$Y1582</f>
      </c>
      <c r="AE1582" s="7">
        <f>AA1582/39.3701</f>
      </c>
      <c r="AF1582" s="7">
        <f>AB1582/39.3701</f>
      </c>
      <c r="AG1582" s="7">
        <f>AC1582/39.3701</f>
      </c>
      <c r="AH1582" s="7">
        <f>AD1582/39.3701</f>
      </c>
      <c r="AI1582" s="1"/>
      <c r="AJ1582" s="1"/>
      <c r="AK1582" s="1"/>
      <c r="AL1582" s="1"/>
      <c r="AM1582" s="2"/>
      <c r="AN1582" s="1"/>
      <c r="AO1582" s="1"/>
      <c r="AP1582" s="1"/>
      <c r="AQ1582" s="1"/>
      <c r="AR1582" s="1"/>
      <c r="AS1582" s="1"/>
      <c r="AT1582" s="1"/>
      <c r="AU1582" s="1"/>
      <c r="AV1582" s="1"/>
      <c r="AW1582" s="1"/>
      <c r="AX1582" s="1"/>
      <c r="AY1582" s="1"/>
      <c r="AZ1582" s="1"/>
      <c r="BA1582" s="1"/>
      <c r="BB1582" s="1"/>
      <c r="BC1582" s="1"/>
      <c r="BD1582" s="1"/>
      <c r="BE1582" s="1"/>
    </row>
    <row x14ac:dyDescent="0.25" r="1583" customHeight="1" ht="18.75">
      <c r="A1583" s="1"/>
      <c r="B1583" s="2"/>
      <c r="C1583" s="2"/>
      <c r="D1583" s="2"/>
      <c r="E1583" s="2"/>
      <c r="F1583" s="2"/>
      <c r="G1583" s="1"/>
      <c r="H1583" s="1"/>
      <c r="I1583" s="7">
        <v>1.58</v>
      </c>
      <c r="J1583" s="7">
        <f>IF((I1583-ROUNDDOWN(I1583,0))=0, 0, (I1583-ROUNDDOWN(I1583,0)))</f>
      </c>
      <c r="K1583" s="7">
        <f>INDIRECT("C$"&amp;2+MIN(2,ROUNDDOWN(I1583,0))*3)*(-$J1583^3+3*$J1583^2-3*$J1583+1)+INDIRECT("C$"&amp;3+MIN(2,ROUNDDOWN(I1583,0))*3)*(3*$J1583^3-6*$J1583^2+3*$J1583)+INDIRECT("C$"&amp;4+MIN(2,ROUNDDOWN(I1583,0))*3)*(-3*$J1583^3+3*$J1583^2)+INDIRECT("C$"&amp;5+MIN(2,ROUNDDOWN(I1583,0))*3)*$J1583^3</f>
      </c>
      <c r="L1583" s="7">
        <f>INDIRECT("D$"&amp;2+MIN(2,ROUNDDOWN(I1583,0))*3)*(-$J1583^3+3*$J1583^2-3*$J1583+1)+INDIRECT("D$"&amp;3+MIN(2,ROUNDDOWN(I1583,0))*3)*(3*$J1583^3-6*$J1583^2+3*$J1583)+INDIRECT("D$"&amp;4+MIN(2,ROUNDDOWN(I1583,0))*3)*(-3*$J1583^3+3*$J1583^2)+INDIRECT("D$"&amp;5+MIN(2,ROUNDDOWN(I1583,0))*3)*$J1583^3</f>
      </c>
      <c r="M1583" s="7">
        <f>SQRT(K1583^2+L1583^2)</f>
      </c>
      <c r="N1583" s="7">
        <f>(K1584-K1582)</f>
      </c>
      <c r="O1583" s="7">
        <f>+(L1584-L1582)</f>
      </c>
      <c r="P1583" s="7">
        <f>SQRT(O1583^2+N1583^2)</f>
      </c>
      <c r="Q1583" s="7">
        <f>N1583/$P1583</f>
      </c>
      <c r="R1583" s="7">
        <f>O1583/$P1583</f>
      </c>
      <c r="S1583" s="8">
        <f>Q1583^2+R1583^2</f>
      </c>
      <c r="T1583" s="7">
        <f>-R1583</f>
      </c>
      <c r="U1583" s="7">
        <f>Q1583</f>
      </c>
      <c r="V1583" s="7">
        <f>($C$14+($C$15-$C$14)/($D$15-$D$14)*(I1583-$D$14))/2</f>
      </c>
      <c r="W1583" s="7">
        <f>($B$22*I1583^4+$C$22*I1583^3+$D$22*I1583^2+$E$22*I1583+$F$22)/2</f>
      </c>
      <c r="X1583" s="7">
        <f>($W1583)*(T1583)</f>
      </c>
      <c r="Y1583" s="7">
        <f>($W1583)*(U1583)</f>
      </c>
      <c r="Z1583" s="7">
        <f>SQRT(X1583^2+Y1583^2)</f>
      </c>
      <c r="AA1583" s="7">
        <f>$K1583+$X1583</f>
      </c>
      <c r="AB1583" s="7">
        <f>$L1583+$Y1583</f>
      </c>
      <c r="AC1583" s="7">
        <f>$K1583-$X1583</f>
      </c>
      <c r="AD1583" s="7">
        <f>$L1583-$Y1583</f>
      </c>
      <c r="AE1583" s="7">
        <f>AA1583/39.3701</f>
      </c>
      <c r="AF1583" s="7">
        <f>AB1583/39.3701</f>
      </c>
      <c r="AG1583" s="7">
        <f>AC1583/39.3701</f>
      </c>
      <c r="AH1583" s="7">
        <f>AD1583/39.3701</f>
      </c>
      <c r="AI1583" s="1"/>
      <c r="AJ1583" s="1"/>
      <c r="AK1583" s="1"/>
      <c r="AL1583" s="1"/>
      <c r="AM1583" s="2"/>
      <c r="AN1583" s="1"/>
      <c r="AO1583" s="1"/>
      <c r="AP1583" s="1"/>
      <c r="AQ1583" s="1"/>
      <c r="AR1583" s="1"/>
      <c r="AS1583" s="1"/>
      <c r="AT1583" s="1"/>
      <c r="AU1583" s="1"/>
      <c r="AV1583" s="1"/>
      <c r="AW1583" s="1"/>
      <c r="AX1583" s="1"/>
      <c r="AY1583" s="1"/>
      <c r="AZ1583" s="1"/>
      <c r="BA1583" s="1"/>
      <c r="BB1583" s="1"/>
      <c r="BC1583" s="1"/>
      <c r="BD1583" s="1"/>
      <c r="BE1583" s="1"/>
    </row>
    <row x14ac:dyDescent="0.25" r="1584" customHeight="1" ht="18.75">
      <c r="A1584" s="1"/>
      <c r="B1584" s="2"/>
      <c r="C1584" s="2"/>
      <c r="D1584" s="2"/>
      <c r="E1584" s="2"/>
      <c r="F1584" s="2"/>
      <c r="G1584" s="1"/>
      <c r="H1584" s="1"/>
      <c r="I1584" s="7">
        <v>1.581</v>
      </c>
      <c r="J1584" s="7">
        <f>IF((I1584-ROUNDDOWN(I1584,0))=0, 0, (I1584-ROUNDDOWN(I1584,0)))</f>
      </c>
      <c r="K1584" s="7">
        <f>INDIRECT("C$"&amp;2+MIN(2,ROUNDDOWN(I1584,0))*3)*(-$J1584^3+3*$J1584^2-3*$J1584+1)+INDIRECT("C$"&amp;3+MIN(2,ROUNDDOWN(I1584,0))*3)*(3*$J1584^3-6*$J1584^2+3*$J1584)+INDIRECT("C$"&amp;4+MIN(2,ROUNDDOWN(I1584,0))*3)*(-3*$J1584^3+3*$J1584^2)+INDIRECT("C$"&amp;5+MIN(2,ROUNDDOWN(I1584,0))*3)*$J1584^3</f>
      </c>
      <c r="L1584" s="7">
        <f>INDIRECT("D$"&amp;2+MIN(2,ROUNDDOWN(I1584,0))*3)*(-$J1584^3+3*$J1584^2-3*$J1584+1)+INDIRECT("D$"&amp;3+MIN(2,ROUNDDOWN(I1584,0))*3)*(3*$J1584^3-6*$J1584^2+3*$J1584)+INDIRECT("D$"&amp;4+MIN(2,ROUNDDOWN(I1584,0))*3)*(-3*$J1584^3+3*$J1584^2)+INDIRECT("D$"&amp;5+MIN(2,ROUNDDOWN(I1584,0))*3)*$J1584^3</f>
      </c>
      <c r="M1584" s="7">
        <f>SQRT(K1584^2+L1584^2)</f>
      </c>
      <c r="N1584" s="7">
        <f>(K1585-K1583)</f>
      </c>
      <c r="O1584" s="7">
        <f>+(L1585-L1583)</f>
      </c>
      <c r="P1584" s="7">
        <f>SQRT(O1584^2+N1584^2)</f>
      </c>
      <c r="Q1584" s="7">
        <f>N1584/$P1584</f>
      </c>
      <c r="R1584" s="7">
        <f>O1584/$P1584</f>
      </c>
      <c r="S1584" s="8">
        <f>Q1584^2+R1584^2</f>
      </c>
      <c r="T1584" s="7">
        <f>-R1584</f>
      </c>
      <c r="U1584" s="7">
        <f>Q1584</f>
      </c>
      <c r="V1584" s="7">
        <f>($C$14+($C$15-$C$14)/($D$15-$D$14)*(I1584-$D$14))/2</f>
      </c>
      <c r="W1584" s="7">
        <f>($B$22*I1584^4+$C$22*I1584^3+$D$22*I1584^2+$E$22*I1584+$F$22)/2</f>
      </c>
      <c r="X1584" s="7">
        <f>($W1584)*(T1584)</f>
      </c>
      <c r="Y1584" s="7">
        <f>($W1584)*(U1584)</f>
      </c>
      <c r="Z1584" s="7">
        <f>SQRT(X1584^2+Y1584^2)</f>
      </c>
      <c r="AA1584" s="7">
        <f>$K1584+$X1584</f>
      </c>
      <c r="AB1584" s="7">
        <f>$L1584+$Y1584</f>
      </c>
      <c r="AC1584" s="7">
        <f>$K1584-$X1584</f>
      </c>
      <c r="AD1584" s="7">
        <f>$L1584-$Y1584</f>
      </c>
      <c r="AE1584" s="7">
        <f>AA1584/39.3701</f>
      </c>
      <c r="AF1584" s="7">
        <f>AB1584/39.3701</f>
      </c>
      <c r="AG1584" s="7">
        <f>AC1584/39.3701</f>
      </c>
      <c r="AH1584" s="7">
        <f>AD1584/39.3701</f>
      </c>
      <c r="AI1584" s="1"/>
      <c r="AJ1584" s="1"/>
      <c r="AK1584" s="1"/>
      <c r="AL1584" s="1"/>
      <c r="AM1584" s="2"/>
      <c r="AN1584" s="1"/>
      <c r="AO1584" s="1"/>
      <c r="AP1584" s="1"/>
      <c r="AQ1584" s="1"/>
      <c r="AR1584" s="1"/>
      <c r="AS1584" s="1"/>
      <c r="AT1584" s="1"/>
      <c r="AU1584" s="1"/>
      <c r="AV1584" s="1"/>
      <c r="AW1584" s="1"/>
      <c r="AX1584" s="1"/>
      <c r="AY1584" s="1"/>
      <c r="AZ1584" s="1"/>
      <c r="BA1584" s="1"/>
      <c r="BB1584" s="1"/>
      <c r="BC1584" s="1"/>
      <c r="BD1584" s="1"/>
      <c r="BE1584" s="1"/>
    </row>
    <row x14ac:dyDescent="0.25" r="1585" customHeight="1" ht="18.75">
      <c r="A1585" s="1"/>
      <c r="B1585" s="2"/>
      <c r="C1585" s="2"/>
      <c r="D1585" s="2"/>
      <c r="E1585" s="2"/>
      <c r="F1585" s="2"/>
      <c r="G1585" s="1"/>
      <c r="H1585" s="1"/>
      <c r="I1585" s="7">
        <v>1.582</v>
      </c>
      <c r="J1585" s="7">
        <f>IF((I1585-ROUNDDOWN(I1585,0))=0, 0, (I1585-ROUNDDOWN(I1585,0)))</f>
      </c>
      <c r="K1585" s="7">
        <f>INDIRECT("C$"&amp;2+MIN(2,ROUNDDOWN(I1585,0))*3)*(-$J1585^3+3*$J1585^2-3*$J1585+1)+INDIRECT("C$"&amp;3+MIN(2,ROUNDDOWN(I1585,0))*3)*(3*$J1585^3-6*$J1585^2+3*$J1585)+INDIRECT("C$"&amp;4+MIN(2,ROUNDDOWN(I1585,0))*3)*(-3*$J1585^3+3*$J1585^2)+INDIRECT("C$"&amp;5+MIN(2,ROUNDDOWN(I1585,0))*3)*$J1585^3</f>
      </c>
      <c r="L1585" s="7">
        <f>INDIRECT("D$"&amp;2+MIN(2,ROUNDDOWN(I1585,0))*3)*(-$J1585^3+3*$J1585^2-3*$J1585+1)+INDIRECT("D$"&amp;3+MIN(2,ROUNDDOWN(I1585,0))*3)*(3*$J1585^3-6*$J1585^2+3*$J1585)+INDIRECT("D$"&amp;4+MIN(2,ROUNDDOWN(I1585,0))*3)*(-3*$J1585^3+3*$J1585^2)+INDIRECT("D$"&amp;5+MIN(2,ROUNDDOWN(I1585,0))*3)*$J1585^3</f>
      </c>
      <c r="M1585" s="7">
        <f>SQRT(K1585^2+L1585^2)</f>
      </c>
      <c r="N1585" s="7">
        <f>(K1586-K1584)</f>
      </c>
      <c r="O1585" s="7">
        <f>+(L1586-L1584)</f>
      </c>
      <c r="P1585" s="7">
        <f>SQRT(O1585^2+N1585^2)</f>
      </c>
      <c r="Q1585" s="7">
        <f>N1585/$P1585</f>
      </c>
      <c r="R1585" s="7">
        <f>O1585/$P1585</f>
      </c>
      <c r="S1585" s="8">
        <f>Q1585^2+R1585^2</f>
      </c>
      <c r="T1585" s="7">
        <f>-R1585</f>
      </c>
      <c r="U1585" s="7">
        <f>Q1585</f>
      </c>
      <c r="V1585" s="7">
        <f>($C$14+($C$15-$C$14)/($D$15-$D$14)*(I1585-$D$14))/2</f>
      </c>
      <c r="W1585" s="7">
        <f>($B$22*I1585^4+$C$22*I1585^3+$D$22*I1585^2+$E$22*I1585+$F$22)/2</f>
      </c>
      <c r="X1585" s="7">
        <f>($W1585)*(T1585)</f>
      </c>
      <c r="Y1585" s="7">
        <f>($W1585)*(U1585)</f>
      </c>
      <c r="Z1585" s="7">
        <f>SQRT(X1585^2+Y1585^2)</f>
      </c>
      <c r="AA1585" s="7">
        <f>$K1585+$X1585</f>
      </c>
      <c r="AB1585" s="7">
        <f>$L1585+$Y1585</f>
      </c>
      <c r="AC1585" s="7">
        <f>$K1585-$X1585</f>
      </c>
      <c r="AD1585" s="7">
        <f>$L1585-$Y1585</f>
      </c>
      <c r="AE1585" s="7">
        <f>AA1585/39.3701</f>
      </c>
      <c r="AF1585" s="7">
        <f>AB1585/39.3701</f>
      </c>
      <c r="AG1585" s="7">
        <f>AC1585/39.3701</f>
      </c>
      <c r="AH1585" s="7">
        <f>AD1585/39.3701</f>
      </c>
      <c r="AI1585" s="1"/>
      <c r="AJ1585" s="1"/>
      <c r="AK1585" s="1"/>
      <c r="AL1585" s="1"/>
      <c r="AM1585" s="2"/>
      <c r="AN1585" s="1"/>
      <c r="AO1585" s="1"/>
      <c r="AP1585" s="1"/>
      <c r="AQ1585" s="1"/>
      <c r="AR1585" s="1"/>
      <c r="AS1585" s="1"/>
      <c r="AT1585" s="1"/>
      <c r="AU1585" s="1"/>
      <c r="AV1585" s="1"/>
      <c r="AW1585" s="1"/>
      <c r="AX1585" s="1"/>
      <c r="AY1585" s="1"/>
      <c r="AZ1585" s="1"/>
      <c r="BA1585" s="1"/>
      <c r="BB1585" s="1"/>
      <c r="BC1585" s="1"/>
      <c r="BD1585" s="1"/>
      <c r="BE1585" s="1"/>
    </row>
    <row x14ac:dyDescent="0.25" r="1586" customHeight="1" ht="18.75">
      <c r="A1586" s="1"/>
      <c r="B1586" s="2"/>
      <c r="C1586" s="2"/>
      <c r="D1586" s="2"/>
      <c r="E1586" s="2"/>
      <c r="F1586" s="2"/>
      <c r="G1586" s="1"/>
      <c r="H1586" s="1"/>
      <c r="I1586" s="7">
        <v>1.583</v>
      </c>
      <c r="J1586" s="7">
        <f>IF((I1586-ROUNDDOWN(I1586,0))=0, 0, (I1586-ROUNDDOWN(I1586,0)))</f>
      </c>
      <c r="K1586" s="7">
        <f>INDIRECT("C$"&amp;2+MIN(2,ROUNDDOWN(I1586,0))*3)*(-$J1586^3+3*$J1586^2-3*$J1586+1)+INDIRECT("C$"&amp;3+MIN(2,ROUNDDOWN(I1586,0))*3)*(3*$J1586^3-6*$J1586^2+3*$J1586)+INDIRECT("C$"&amp;4+MIN(2,ROUNDDOWN(I1586,0))*3)*(-3*$J1586^3+3*$J1586^2)+INDIRECT("C$"&amp;5+MIN(2,ROUNDDOWN(I1586,0))*3)*$J1586^3</f>
      </c>
      <c r="L1586" s="7">
        <f>INDIRECT("D$"&amp;2+MIN(2,ROUNDDOWN(I1586,0))*3)*(-$J1586^3+3*$J1586^2-3*$J1586+1)+INDIRECT("D$"&amp;3+MIN(2,ROUNDDOWN(I1586,0))*3)*(3*$J1586^3-6*$J1586^2+3*$J1586)+INDIRECT("D$"&amp;4+MIN(2,ROUNDDOWN(I1586,0))*3)*(-3*$J1586^3+3*$J1586^2)+INDIRECT("D$"&amp;5+MIN(2,ROUNDDOWN(I1586,0))*3)*$J1586^3</f>
      </c>
      <c r="M1586" s="7">
        <f>SQRT(K1586^2+L1586^2)</f>
      </c>
      <c r="N1586" s="7">
        <f>(K1587-K1585)</f>
      </c>
      <c r="O1586" s="7">
        <f>+(L1587-L1585)</f>
      </c>
      <c r="P1586" s="7">
        <f>SQRT(O1586^2+N1586^2)</f>
      </c>
      <c r="Q1586" s="7">
        <f>N1586/$P1586</f>
      </c>
      <c r="R1586" s="7">
        <f>O1586/$P1586</f>
      </c>
      <c r="S1586" s="8">
        <f>Q1586^2+R1586^2</f>
      </c>
      <c r="T1586" s="7">
        <f>-R1586</f>
      </c>
      <c r="U1586" s="7">
        <f>Q1586</f>
      </c>
      <c r="V1586" s="7">
        <f>($C$14+($C$15-$C$14)/($D$15-$D$14)*(I1586-$D$14))/2</f>
      </c>
      <c r="W1586" s="7">
        <f>($B$22*I1586^4+$C$22*I1586^3+$D$22*I1586^2+$E$22*I1586+$F$22)/2</f>
      </c>
      <c r="X1586" s="7">
        <f>($W1586)*(T1586)</f>
      </c>
      <c r="Y1586" s="7">
        <f>($W1586)*(U1586)</f>
      </c>
      <c r="Z1586" s="7">
        <f>SQRT(X1586^2+Y1586^2)</f>
      </c>
      <c r="AA1586" s="7">
        <f>$K1586+$X1586</f>
      </c>
      <c r="AB1586" s="7">
        <f>$L1586+$Y1586</f>
      </c>
      <c r="AC1586" s="7">
        <f>$K1586-$X1586</f>
      </c>
      <c r="AD1586" s="7">
        <f>$L1586-$Y1586</f>
      </c>
      <c r="AE1586" s="7">
        <f>AA1586/39.3701</f>
      </c>
      <c r="AF1586" s="7">
        <f>AB1586/39.3701</f>
      </c>
      <c r="AG1586" s="7">
        <f>AC1586/39.3701</f>
      </c>
      <c r="AH1586" s="7">
        <f>AD1586/39.3701</f>
      </c>
      <c r="AI1586" s="1"/>
      <c r="AJ1586" s="1"/>
      <c r="AK1586" s="1"/>
      <c r="AL1586" s="1"/>
      <c r="AM1586" s="2"/>
      <c r="AN1586" s="1"/>
      <c r="AO1586" s="1"/>
      <c r="AP1586" s="1"/>
      <c r="AQ1586" s="1"/>
      <c r="AR1586" s="1"/>
      <c r="AS1586" s="1"/>
      <c r="AT1586" s="1"/>
      <c r="AU1586" s="1"/>
      <c r="AV1586" s="1"/>
      <c r="AW1586" s="1"/>
      <c r="AX1586" s="1"/>
      <c r="AY1586" s="1"/>
      <c r="AZ1586" s="1"/>
      <c r="BA1586" s="1"/>
      <c r="BB1586" s="1"/>
      <c r="BC1586" s="1"/>
      <c r="BD1586" s="1"/>
      <c r="BE1586" s="1"/>
    </row>
    <row x14ac:dyDescent="0.25" r="1587" customHeight="1" ht="18.75">
      <c r="A1587" s="1"/>
      <c r="B1587" s="2"/>
      <c r="C1587" s="2"/>
      <c r="D1587" s="2"/>
      <c r="E1587" s="2"/>
      <c r="F1587" s="2"/>
      <c r="G1587" s="1"/>
      <c r="H1587" s="1"/>
      <c r="I1587" s="7">
        <v>1.584</v>
      </c>
      <c r="J1587" s="7">
        <f>IF((I1587-ROUNDDOWN(I1587,0))=0, 0, (I1587-ROUNDDOWN(I1587,0)))</f>
      </c>
      <c r="K1587" s="7">
        <f>INDIRECT("C$"&amp;2+MIN(2,ROUNDDOWN(I1587,0))*3)*(-$J1587^3+3*$J1587^2-3*$J1587+1)+INDIRECT("C$"&amp;3+MIN(2,ROUNDDOWN(I1587,0))*3)*(3*$J1587^3-6*$J1587^2+3*$J1587)+INDIRECT("C$"&amp;4+MIN(2,ROUNDDOWN(I1587,0))*3)*(-3*$J1587^3+3*$J1587^2)+INDIRECT("C$"&amp;5+MIN(2,ROUNDDOWN(I1587,0))*3)*$J1587^3</f>
      </c>
      <c r="L1587" s="7">
        <f>INDIRECT("D$"&amp;2+MIN(2,ROUNDDOWN(I1587,0))*3)*(-$J1587^3+3*$J1587^2-3*$J1587+1)+INDIRECT("D$"&amp;3+MIN(2,ROUNDDOWN(I1587,0))*3)*(3*$J1587^3-6*$J1587^2+3*$J1587)+INDIRECT("D$"&amp;4+MIN(2,ROUNDDOWN(I1587,0))*3)*(-3*$J1587^3+3*$J1587^2)+INDIRECT("D$"&amp;5+MIN(2,ROUNDDOWN(I1587,0))*3)*$J1587^3</f>
      </c>
      <c r="M1587" s="7">
        <f>SQRT(K1587^2+L1587^2)</f>
      </c>
      <c r="N1587" s="7">
        <f>(K1588-K1586)</f>
      </c>
      <c r="O1587" s="7">
        <f>+(L1588-L1586)</f>
      </c>
      <c r="P1587" s="7">
        <f>SQRT(O1587^2+N1587^2)</f>
      </c>
      <c r="Q1587" s="7">
        <f>N1587/$P1587</f>
      </c>
      <c r="R1587" s="7">
        <f>O1587/$P1587</f>
      </c>
      <c r="S1587" s="8">
        <f>Q1587^2+R1587^2</f>
      </c>
      <c r="T1587" s="7">
        <f>-R1587</f>
      </c>
      <c r="U1587" s="7">
        <f>Q1587</f>
      </c>
      <c r="V1587" s="7">
        <f>($C$14+($C$15-$C$14)/($D$15-$D$14)*(I1587-$D$14))/2</f>
      </c>
      <c r="W1587" s="7">
        <f>($B$22*I1587^4+$C$22*I1587^3+$D$22*I1587^2+$E$22*I1587+$F$22)/2</f>
      </c>
      <c r="X1587" s="7">
        <f>($W1587)*(T1587)</f>
      </c>
      <c r="Y1587" s="7">
        <f>($W1587)*(U1587)</f>
      </c>
      <c r="Z1587" s="7">
        <f>SQRT(X1587^2+Y1587^2)</f>
      </c>
      <c r="AA1587" s="7">
        <f>$K1587+$X1587</f>
      </c>
      <c r="AB1587" s="7">
        <f>$L1587+$Y1587</f>
      </c>
      <c r="AC1587" s="7">
        <f>$K1587-$X1587</f>
      </c>
      <c r="AD1587" s="7">
        <f>$L1587-$Y1587</f>
      </c>
      <c r="AE1587" s="7">
        <f>AA1587/39.3701</f>
      </c>
      <c r="AF1587" s="7">
        <f>AB1587/39.3701</f>
      </c>
      <c r="AG1587" s="7">
        <f>AC1587/39.3701</f>
      </c>
      <c r="AH1587" s="7">
        <f>AD1587/39.3701</f>
      </c>
      <c r="AI1587" s="1"/>
      <c r="AJ1587" s="1"/>
      <c r="AK1587" s="1"/>
      <c r="AL1587" s="1"/>
      <c r="AM1587" s="2"/>
      <c r="AN1587" s="1"/>
      <c r="AO1587" s="1"/>
      <c r="AP1587" s="1"/>
      <c r="AQ1587" s="1"/>
      <c r="AR1587" s="1"/>
      <c r="AS1587" s="1"/>
      <c r="AT1587" s="1"/>
      <c r="AU1587" s="1"/>
      <c r="AV1587" s="1"/>
      <c r="AW1587" s="1"/>
      <c r="AX1587" s="1"/>
      <c r="AY1587" s="1"/>
      <c r="AZ1587" s="1"/>
      <c r="BA1587" s="1"/>
      <c r="BB1587" s="1"/>
      <c r="BC1587" s="1"/>
      <c r="BD1587" s="1"/>
      <c r="BE1587" s="1"/>
    </row>
    <row x14ac:dyDescent="0.25" r="1588" customHeight="1" ht="18.75">
      <c r="A1588" s="1"/>
      <c r="B1588" s="2"/>
      <c r="C1588" s="2"/>
      <c r="D1588" s="2"/>
      <c r="E1588" s="2"/>
      <c r="F1588" s="2"/>
      <c r="G1588" s="1"/>
      <c r="H1588" s="1"/>
      <c r="I1588" s="7">
        <v>1.585</v>
      </c>
      <c r="J1588" s="7">
        <f>IF((I1588-ROUNDDOWN(I1588,0))=0, 0, (I1588-ROUNDDOWN(I1588,0)))</f>
      </c>
      <c r="K1588" s="7">
        <f>INDIRECT("C$"&amp;2+MIN(2,ROUNDDOWN(I1588,0))*3)*(-$J1588^3+3*$J1588^2-3*$J1588+1)+INDIRECT("C$"&amp;3+MIN(2,ROUNDDOWN(I1588,0))*3)*(3*$J1588^3-6*$J1588^2+3*$J1588)+INDIRECT("C$"&amp;4+MIN(2,ROUNDDOWN(I1588,0))*3)*(-3*$J1588^3+3*$J1588^2)+INDIRECT("C$"&amp;5+MIN(2,ROUNDDOWN(I1588,0))*3)*$J1588^3</f>
      </c>
      <c r="L1588" s="7">
        <f>INDIRECT("D$"&amp;2+MIN(2,ROUNDDOWN(I1588,0))*3)*(-$J1588^3+3*$J1588^2-3*$J1588+1)+INDIRECT("D$"&amp;3+MIN(2,ROUNDDOWN(I1588,0))*3)*(3*$J1588^3-6*$J1588^2+3*$J1588)+INDIRECT("D$"&amp;4+MIN(2,ROUNDDOWN(I1588,0))*3)*(-3*$J1588^3+3*$J1588^2)+INDIRECT("D$"&amp;5+MIN(2,ROUNDDOWN(I1588,0))*3)*$J1588^3</f>
      </c>
      <c r="M1588" s="7">
        <f>SQRT(K1588^2+L1588^2)</f>
      </c>
      <c r="N1588" s="7">
        <f>(K1589-K1587)</f>
      </c>
      <c r="O1588" s="7">
        <f>+(L1589-L1587)</f>
      </c>
      <c r="P1588" s="7">
        <f>SQRT(O1588^2+N1588^2)</f>
      </c>
      <c r="Q1588" s="7">
        <f>N1588/$P1588</f>
      </c>
      <c r="R1588" s="7">
        <f>O1588/$P1588</f>
      </c>
      <c r="S1588" s="7">
        <f>Q1588^2+R1588^2</f>
      </c>
      <c r="T1588" s="7">
        <f>-R1588</f>
      </c>
      <c r="U1588" s="7">
        <f>Q1588</f>
      </c>
      <c r="V1588" s="7">
        <f>($C$14+($C$15-$C$14)/($D$15-$D$14)*(I1588-$D$14))/2</f>
      </c>
      <c r="W1588" s="7">
        <f>($B$22*I1588^4+$C$22*I1588^3+$D$22*I1588^2+$E$22*I1588+$F$22)/2</f>
      </c>
      <c r="X1588" s="7">
        <f>($W1588)*(T1588)</f>
      </c>
      <c r="Y1588" s="7">
        <f>($W1588)*(U1588)</f>
      </c>
      <c r="Z1588" s="7">
        <f>SQRT(X1588^2+Y1588^2)</f>
      </c>
      <c r="AA1588" s="7">
        <f>$K1588+$X1588</f>
      </c>
      <c r="AB1588" s="7">
        <f>$L1588+$Y1588</f>
      </c>
      <c r="AC1588" s="7">
        <f>$K1588-$X1588</f>
      </c>
      <c r="AD1588" s="7">
        <f>$L1588-$Y1588</f>
      </c>
      <c r="AE1588" s="7">
        <f>AA1588/39.3701</f>
      </c>
      <c r="AF1588" s="7">
        <f>AB1588/39.3701</f>
      </c>
      <c r="AG1588" s="7">
        <f>AC1588/39.3701</f>
      </c>
      <c r="AH1588" s="7">
        <f>AD1588/39.3701</f>
      </c>
      <c r="AI1588" s="1"/>
      <c r="AJ1588" s="1"/>
      <c r="AK1588" s="1"/>
      <c r="AL1588" s="1"/>
      <c r="AM1588" s="2"/>
      <c r="AN1588" s="1"/>
      <c r="AO1588" s="1"/>
      <c r="AP1588" s="1"/>
      <c r="AQ1588" s="1"/>
      <c r="AR1588" s="1"/>
      <c r="AS1588" s="1"/>
      <c r="AT1588" s="1"/>
      <c r="AU1588" s="1"/>
      <c r="AV1588" s="1"/>
      <c r="AW1588" s="1"/>
      <c r="AX1588" s="1"/>
      <c r="AY1588" s="1"/>
      <c r="AZ1588" s="1"/>
      <c r="BA1588" s="1"/>
      <c r="BB1588" s="1"/>
      <c r="BC1588" s="1"/>
      <c r="BD1588" s="1"/>
      <c r="BE1588" s="1"/>
    </row>
    <row x14ac:dyDescent="0.25" r="1589" customHeight="1" ht="18.75">
      <c r="A1589" s="1"/>
      <c r="B1589" s="2"/>
      <c r="C1589" s="2"/>
      <c r="D1589" s="2"/>
      <c r="E1589" s="2"/>
      <c r="F1589" s="2"/>
      <c r="G1589" s="1"/>
      <c r="H1589" s="1"/>
      <c r="I1589" s="7">
        <v>1.586</v>
      </c>
      <c r="J1589" s="7">
        <f>IF((I1589-ROUNDDOWN(I1589,0))=0, 0, (I1589-ROUNDDOWN(I1589,0)))</f>
      </c>
      <c r="K1589" s="7">
        <f>INDIRECT("C$"&amp;2+MIN(2,ROUNDDOWN(I1589,0))*3)*(-$J1589^3+3*$J1589^2-3*$J1589+1)+INDIRECT("C$"&amp;3+MIN(2,ROUNDDOWN(I1589,0))*3)*(3*$J1589^3-6*$J1589^2+3*$J1589)+INDIRECT("C$"&amp;4+MIN(2,ROUNDDOWN(I1589,0))*3)*(-3*$J1589^3+3*$J1589^2)+INDIRECT("C$"&amp;5+MIN(2,ROUNDDOWN(I1589,0))*3)*$J1589^3</f>
      </c>
      <c r="L1589" s="7">
        <f>INDIRECT("D$"&amp;2+MIN(2,ROUNDDOWN(I1589,0))*3)*(-$J1589^3+3*$J1589^2-3*$J1589+1)+INDIRECT("D$"&amp;3+MIN(2,ROUNDDOWN(I1589,0))*3)*(3*$J1589^3-6*$J1589^2+3*$J1589)+INDIRECT("D$"&amp;4+MIN(2,ROUNDDOWN(I1589,0))*3)*(-3*$J1589^3+3*$J1589^2)+INDIRECT("D$"&amp;5+MIN(2,ROUNDDOWN(I1589,0))*3)*$J1589^3</f>
      </c>
      <c r="M1589" s="7">
        <f>SQRT(K1589^2+L1589^2)</f>
      </c>
      <c r="N1589" s="7">
        <f>(K1590-K1588)</f>
      </c>
      <c r="O1589" s="7">
        <f>+(L1590-L1588)</f>
      </c>
      <c r="P1589" s="7">
        <f>SQRT(O1589^2+N1589^2)</f>
      </c>
      <c r="Q1589" s="7">
        <f>N1589/$P1589</f>
      </c>
      <c r="R1589" s="7">
        <f>O1589/$P1589</f>
      </c>
      <c r="S1589" s="8">
        <f>Q1589^2+R1589^2</f>
      </c>
      <c r="T1589" s="7">
        <f>-R1589</f>
      </c>
      <c r="U1589" s="7">
        <f>Q1589</f>
      </c>
      <c r="V1589" s="7">
        <f>($C$14+($C$15-$C$14)/($D$15-$D$14)*(I1589-$D$14))/2</f>
      </c>
      <c r="W1589" s="7">
        <f>($B$22*I1589^4+$C$22*I1589^3+$D$22*I1589^2+$E$22*I1589+$F$22)/2</f>
      </c>
      <c r="X1589" s="7">
        <f>($W1589)*(T1589)</f>
      </c>
      <c r="Y1589" s="7">
        <f>($W1589)*(U1589)</f>
      </c>
      <c r="Z1589" s="7">
        <f>SQRT(X1589^2+Y1589^2)</f>
      </c>
      <c r="AA1589" s="7">
        <f>$K1589+$X1589</f>
      </c>
      <c r="AB1589" s="7">
        <f>$L1589+$Y1589</f>
      </c>
      <c r="AC1589" s="7">
        <f>$K1589-$X1589</f>
      </c>
      <c r="AD1589" s="7">
        <f>$L1589-$Y1589</f>
      </c>
      <c r="AE1589" s="7">
        <f>AA1589/39.3701</f>
      </c>
      <c r="AF1589" s="7">
        <f>AB1589/39.3701</f>
      </c>
      <c r="AG1589" s="7">
        <f>AC1589/39.3701</f>
      </c>
      <c r="AH1589" s="7">
        <f>AD1589/39.3701</f>
      </c>
      <c r="AI1589" s="1"/>
      <c r="AJ1589" s="1"/>
      <c r="AK1589" s="1"/>
      <c r="AL1589" s="1"/>
      <c r="AM1589" s="2"/>
      <c r="AN1589" s="1"/>
      <c r="AO1589" s="1"/>
      <c r="AP1589" s="1"/>
      <c r="AQ1589" s="1"/>
      <c r="AR1589" s="1"/>
      <c r="AS1589" s="1"/>
      <c r="AT1589" s="1"/>
      <c r="AU1589" s="1"/>
      <c r="AV1589" s="1"/>
      <c r="AW1589" s="1"/>
      <c r="AX1589" s="1"/>
      <c r="AY1589" s="1"/>
      <c r="AZ1589" s="1"/>
      <c r="BA1589" s="1"/>
      <c r="BB1589" s="1"/>
      <c r="BC1589" s="1"/>
      <c r="BD1589" s="1"/>
      <c r="BE1589" s="1"/>
    </row>
    <row x14ac:dyDescent="0.25" r="1590" customHeight="1" ht="18.75">
      <c r="A1590" s="1"/>
      <c r="B1590" s="2"/>
      <c r="C1590" s="2"/>
      <c r="D1590" s="2"/>
      <c r="E1590" s="2"/>
      <c r="F1590" s="2"/>
      <c r="G1590" s="1"/>
      <c r="H1590" s="1"/>
      <c r="I1590" s="7">
        <v>1.587</v>
      </c>
      <c r="J1590" s="7">
        <f>IF((I1590-ROUNDDOWN(I1590,0))=0, 0, (I1590-ROUNDDOWN(I1590,0)))</f>
      </c>
      <c r="K1590" s="7">
        <f>INDIRECT("C$"&amp;2+MIN(2,ROUNDDOWN(I1590,0))*3)*(-$J1590^3+3*$J1590^2-3*$J1590+1)+INDIRECT("C$"&amp;3+MIN(2,ROUNDDOWN(I1590,0))*3)*(3*$J1590^3-6*$J1590^2+3*$J1590)+INDIRECT("C$"&amp;4+MIN(2,ROUNDDOWN(I1590,0))*3)*(-3*$J1590^3+3*$J1590^2)+INDIRECT("C$"&amp;5+MIN(2,ROUNDDOWN(I1590,0))*3)*$J1590^3</f>
      </c>
      <c r="L1590" s="7">
        <f>INDIRECT("D$"&amp;2+MIN(2,ROUNDDOWN(I1590,0))*3)*(-$J1590^3+3*$J1590^2-3*$J1590+1)+INDIRECT("D$"&amp;3+MIN(2,ROUNDDOWN(I1590,0))*3)*(3*$J1590^3-6*$J1590^2+3*$J1590)+INDIRECT("D$"&amp;4+MIN(2,ROUNDDOWN(I1590,0))*3)*(-3*$J1590^3+3*$J1590^2)+INDIRECT("D$"&amp;5+MIN(2,ROUNDDOWN(I1590,0))*3)*$J1590^3</f>
      </c>
      <c r="M1590" s="7">
        <f>SQRT(K1590^2+L1590^2)</f>
      </c>
      <c r="N1590" s="7">
        <f>(K1591-K1589)</f>
      </c>
      <c r="O1590" s="7">
        <f>+(L1591-L1589)</f>
      </c>
      <c r="P1590" s="7">
        <f>SQRT(O1590^2+N1590^2)</f>
      </c>
      <c r="Q1590" s="7">
        <f>N1590/$P1590</f>
      </c>
      <c r="R1590" s="7">
        <f>O1590/$P1590</f>
      </c>
      <c r="S1590" s="8">
        <f>Q1590^2+R1590^2</f>
      </c>
      <c r="T1590" s="7">
        <f>-R1590</f>
      </c>
      <c r="U1590" s="7">
        <f>Q1590</f>
      </c>
      <c r="V1590" s="7">
        <f>($C$14+($C$15-$C$14)/($D$15-$D$14)*(I1590-$D$14))/2</f>
      </c>
      <c r="W1590" s="7">
        <f>($B$22*I1590^4+$C$22*I1590^3+$D$22*I1590^2+$E$22*I1590+$F$22)/2</f>
      </c>
      <c r="X1590" s="7">
        <f>($W1590)*(T1590)</f>
      </c>
      <c r="Y1590" s="7">
        <f>($W1590)*(U1590)</f>
      </c>
      <c r="Z1590" s="7">
        <f>SQRT(X1590^2+Y1590^2)</f>
      </c>
      <c r="AA1590" s="7">
        <f>$K1590+$X1590</f>
      </c>
      <c r="AB1590" s="7">
        <f>$L1590+$Y1590</f>
      </c>
      <c r="AC1590" s="7">
        <f>$K1590-$X1590</f>
      </c>
      <c r="AD1590" s="7">
        <f>$L1590-$Y1590</f>
      </c>
      <c r="AE1590" s="7">
        <f>AA1590/39.3701</f>
      </c>
      <c r="AF1590" s="7">
        <f>AB1590/39.3701</f>
      </c>
      <c r="AG1590" s="7">
        <f>AC1590/39.3701</f>
      </c>
      <c r="AH1590" s="7">
        <f>AD1590/39.3701</f>
      </c>
      <c r="AI1590" s="1"/>
      <c r="AJ1590" s="1"/>
      <c r="AK1590" s="1"/>
      <c r="AL1590" s="1"/>
      <c r="AM1590" s="2"/>
      <c r="AN1590" s="1"/>
      <c r="AO1590" s="1"/>
      <c r="AP1590" s="1"/>
      <c r="AQ1590" s="1"/>
      <c r="AR1590" s="1"/>
      <c r="AS1590" s="1"/>
      <c r="AT1590" s="1"/>
      <c r="AU1590" s="1"/>
      <c r="AV1590" s="1"/>
      <c r="AW1590" s="1"/>
      <c r="AX1590" s="1"/>
      <c r="AY1590" s="1"/>
      <c r="AZ1590" s="1"/>
      <c r="BA1590" s="1"/>
      <c r="BB1590" s="1"/>
      <c r="BC1590" s="1"/>
      <c r="BD1590" s="1"/>
      <c r="BE1590" s="1"/>
    </row>
    <row x14ac:dyDescent="0.25" r="1591" customHeight="1" ht="18.75">
      <c r="A1591" s="1"/>
      <c r="B1591" s="2"/>
      <c r="C1591" s="2"/>
      <c r="D1591" s="2"/>
      <c r="E1591" s="2"/>
      <c r="F1591" s="2"/>
      <c r="G1591" s="1"/>
      <c r="H1591" s="1"/>
      <c r="I1591" s="7">
        <v>1.588</v>
      </c>
      <c r="J1591" s="7">
        <f>IF((I1591-ROUNDDOWN(I1591,0))=0, 0, (I1591-ROUNDDOWN(I1591,0)))</f>
      </c>
      <c r="K1591" s="7">
        <f>INDIRECT("C$"&amp;2+MIN(2,ROUNDDOWN(I1591,0))*3)*(-$J1591^3+3*$J1591^2-3*$J1591+1)+INDIRECT("C$"&amp;3+MIN(2,ROUNDDOWN(I1591,0))*3)*(3*$J1591^3-6*$J1591^2+3*$J1591)+INDIRECT("C$"&amp;4+MIN(2,ROUNDDOWN(I1591,0))*3)*(-3*$J1591^3+3*$J1591^2)+INDIRECT("C$"&amp;5+MIN(2,ROUNDDOWN(I1591,0))*3)*$J1591^3</f>
      </c>
      <c r="L1591" s="7">
        <f>INDIRECT("D$"&amp;2+MIN(2,ROUNDDOWN(I1591,0))*3)*(-$J1591^3+3*$J1591^2-3*$J1591+1)+INDIRECT("D$"&amp;3+MIN(2,ROUNDDOWN(I1591,0))*3)*(3*$J1591^3-6*$J1591^2+3*$J1591)+INDIRECT("D$"&amp;4+MIN(2,ROUNDDOWN(I1591,0))*3)*(-3*$J1591^3+3*$J1591^2)+INDIRECT("D$"&amp;5+MIN(2,ROUNDDOWN(I1591,0))*3)*$J1591^3</f>
      </c>
      <c r="M1591" s="7">
        <f>SQRT(K1591^2+L1591^2)</f>
      </c>
      <c r="N1591" s="7">
        <f>(K1592-K1590)</f>
      </c>
      <c r="O1591" s="7">
        <f>+(L1592-L1590)</f>
      </c>
      <c r="P1591" s="7">
        <f>SQRT(O1591^2+N1591^2)</f>
      </c>
      <c r="Q1591" s="7">
        <f>N1591/$P1591</f>
      </c>
      <c r="R1591" s="7">
        <f>O1591/$P1591</f>
      </c>
      <c r="S1591" s="8">
        <f>Q1591^2+R1591^2</f>
      </c>
      <c r="T1591" s="7">
        <f>-R1591</f>
      </c>
      <c r="U1591" s="7">
        <f>Q1591</f>
      </c>
      <c r="V1591" s="7">
        <f>($C$14+($C$15-$C$14)/($D$15-$D$14)*(I1591-$D$14))/2</f>
      </c>
      <c r="W1591" s="7">
        <f>($B$22*I1591^4+$C$22*I1591^3+$D$22*I1591^2+$E$22*I1591+$F$22)/2</f>
      </c>
      <c r="X1591" s="7">
        <f>($W1591)*(T1591)</f>
      </c>
      <c r="Y1591" s="7">
        <f>($W1591)*(U1591)</f>
      </c>
      <c r="Z1591" s="7">
        <f>SQRT(X1591^2+Y1591^2)</f>
      </c>
      <c r="AA1591" s="7">
        <f>$K1591+$X1591</f>
      </c>
      <c r="AB1591" s="7">
        <f>$L1591+$Y1591</f>
      </c>
      <c r="AC1591" s="7">
        <f>$K1591-$X1591</f>
      </c>
      <c r="AD1591" s="7">
        <f>$L1591-$Y1591</f>
      </c>
      <c r="AE1591" s="7">
        <f>AA1591/39.3701</f>
      </c>
      <c r="AF1591" s="7">
        <f>AB1591/39.3701</f>
      </c>
      <c r="AG1591" s="7">
        <f>AC1591/39.3701</f>
      </c>
      <c r="AH1591" s="7">
        <f>AD1591/39.3701</f>
      </c>
      <c r="AI1591" s="1"/>
      <c r="AJ1591" s="1"/>
      <c r="AK1591" s="1"/>
      <c r="AL1591" s="1"/>
      <c r="AM1591" s="2"/>
      <c r="AN1591" s="1"/>
      <c r="AO1591" s="1"/>
      <c r="AP1591" s="1"/>
      <c r="AQ1591" s="1"/>
      <c r="AR1591" s="1"/>
      <c r="AS1591" s="1"/>
      <c r="AT1591" s="1"/>
      <c r="AU1591" s="1"/>
      <c r="AV1591" s="1"/>
      <c r="AW1591" s="1"/>
      <c r="AX1591" s="1"/>
      <c r="AY1591" s="1"/>
      <c r="AZ1591" s="1"/>
      <c r="BA1591" s="1"/>
      <c r="BB1591" s="1"/>
      <c r="BC1591" s="1"/>
      <c r="BD1591" s="1"/>
      <c r="BE1591" s="1"/>
    </row>
    <row x14ac:dyDescent="0.25" r="1592" customHeight="1" ht="18.75">
      <c r="A1592" s="1"/>
      <c r="B1592" s="2"/>
      <c r="C1592" s="2"/>
      <c r="D1592" s="2"/>
      <c r="E1592" s="2"/>
      <c r="F1592" s="2"/>
      <c r="G1592" s="1"/>
      <c r="H1592" s="1"/>
      <c r="I1592" s="7">
        <v>1.589</v>
      </c>
      <c r="J1592" s="7">
        <f>IF((I1592-ROUNDDOWN(I1592,0))=0, 0, (I1592-ROUNDDOWN(I1592,0)))</f>
      </c>
      <c r="K1592" s="7">
        <f>INDIRECT("C$"&amp;2+MIN(2,ROUNDDOWN(I1592,0))*3)*(-$J1592^3+3*$J1592^2-3*$J1592+1)+INDIRECT("C$"&amp;3+MIN(2,ROUNDDOWN(I1592,0))*3)*(3*$J1592^3-6*$J1592^2+3*$J1592)+INDIRECT("C$"&amp;4+MIN(2,ROUNDDOWN(I1592,0))*3)*(-3*$J1592^3+3*$J1592^2)+INDIRECT("C$"&amp;5+MIN(2,ROUNDDOWN(I1592,0))*3)*$J1592^3</f>
      </c>
      <c r="L1592" s="7">
        <f>INDIRECT("D$"&amp;2+MIN(2,ROUNDDOWN(I1592,0))*3)*(-$J1592^3+3*$J1592^2-3*$J1592+1)+INDIRECT("D$"&amp;3+MIN(2,ROUNDDOWN(I1592,0))*3)*(3*$J1592^3-6*$J1592^2+3*$J1592)+INDIRECT("D$"&amp;4+MIN(2,ROUNDDOWN(I1592,0))*3)*(-3*$J1592^3+3*$J1592^2)+INDIRECT("D$"&amp;5+MIN(2,ROUNDDOWN(I1592,0))*3)*$J1592^3</f>
      </c>
      <c r="M1592" s="7">
        <f>SQRT(K1592^2+L1592^2)</f>
      </c>
      <c r="N1592" s="7">
        <f>(K1593-K1591)</f>
      </c>
      <c r="O1592" s="7">
        <f>+(L1593-L1591)</f>
      </c>
      <c r="P1592" s="7">
        <f>SQRT(O1592^2+N1592^2)</f>
      </c>
      <c r="Q1592" s="7">
        <f>N1592/$P1592</f>
      </c>
      <c r="R1592" s="7">
        <f>O1592/$P1592</f>
      </c>
      <c r="S1592" s="8">
        <f>Q1592^2+R1592^2</f>
      </c>
      <c r="T1592" s="7">
        <f>-R1592</f>
      </c>
      <c r="U1592" s="7">
        <f>Q1592</f>
      </c>
      <c r="V1592" s="7">
        <f>($C$14+($C$15-$C$14)/($D$15-$D$14)*(I1592-$D$14))/2</f>
      </c>
      <c r="W1592" s="7">
        <f>($B$22*I1592^4+$C$22*I1592^3+$D$22*I1592^2+$E$22*I1592+$F$22)/2</f>
      </c>
      <c r="X1592" s="7">
        <f>($W1592)*(T1592)</f>
      </c>
      <c r="Y1592" s="7">
        <f>($W1592)*(U1592)</f>
      </c>
      <c r="Z1592" s="7">
        <f>SQRT(X1592^2+Y1592^2)</f>
      </c>
      <c r="AA1592" s="7">
        <f>$K1592+$X1592</f>
      </c>
      <c r="AB1592" s="7">
        <f>$L1592+$Y1592</f>
      </c>
      <c r="AC1592" s="7">
        <f>$K1592-$X1592</f>
      </c>
      <c r="AD1592" s="7">
        <f>$L1592-$Y1592</f>
      </c>
      <c r="AE1592" s="7">
        <f>AA1592/39.3701</f>
      </c>
      <c r="AF1592" s="7">
        <f>AB1592/39.3701</f>
      </c>
      <c r="AG1592" s="7">
        <f>AC1592/39.3701</f>
      </c>
      <c r="AH1592" s="7">
        <f>AD1592/39.3701</f>
      </c>
      <c r="AI1592" s="1"/>
      <c r="AJ1592" s="1"/>
      <c r="AK1592" s="1"/>
      <c r="AL1592" s="1"/>
      <c r="AM1592" s="2"/>
      <c r="AN1592" s="1"/>
      <c r="AO1592" s="1"/>
      <c r="AP1592" s="1"/>
      <c r="AQ1592" s="1"/>
      <c r="AR1592" s="1"/>
      <c r="AS1592" s="1"/>
      <c r="AT1592" s="1"/>
      <c r="AU1592" s="1"/>
      <c r="AV1592" s="1"/>
      <c r="AW1592" s="1"/>
      <c r="AX1592" s="1"/>
      <c r="AY1592" s="1"/>
      <c r="AZ1592" s="1"/>
      <c r="BA1592" s="1"/>
      <c r="BB1592" s="1"/>
      <c r="BC1592" s="1"/>
      <c r="BD1592" s="1"/>
      <c r="BE1592" s="1"/>
    </row>
    <row x14ac:dyDescent="0.25" r="1593" customHeight="1" ht="18.75">
      <c r="A1593" s="1"/>
      <c r="B1593" s="2"/>
      <c r="C1593" s="2"/>
      <c r="D1593" s="2"/>
      <c r="E1593" s="2"/>
      <c r="F1593" s="2"/>
      <c r="G1593" s="1"/>
      <c r="H1593" s="1"/>
      <c r="I1593" s="7">
        <v>1.59</v>
      </c>
      <c r="J1593" s="7">
        <f>IF((I1593-ROUNDDOWN(I1593,0))=0, 0, (I1593-ROUNDDOWN(I1593,0)))</f>
      </c>
      <c r="K1593" s="7">
        <f>INDIRECT("C$"&amp;2+MIN(2,ROUNDDOWN(I1593,0))*3)*(-$J1593^3+3*$J1593^2-3*$J1593+1)+INDIRECT("C$"&amp;3+MIN(2,ROUNDDOWN(I1593,0))*3)*(3*$J1593^3-6*$J1593^2+3*$J1593)+INDIRECT("C$"&amp;4+MIN(2,ROUNDDOWN(I1593,0))*3)*(-3*$J1593^3+3*$J1593^2)+INDIRECT("C$"&amp;5+MIN(2,ROUNDDOWN(I1593,0))*3)*$J1593^3</f>
      </c>
      <c r="L1593" s="7">
        <f>INDIRECT("D$"&amp;2+MIN(2,ROUNDDOWN(I1593,0))*3)*(-$J1593^3+3*$J1593^2-3*$J1593+1)+INDIRECT("D$"&amp;3+MIN(2,ROUNDDOWN(I1593,0))*3)*(3*$J1593^3-6*$J1593^2+3*$J1593)+INDIRECT("D$"&amp;4+MIN(2,ROUNDDOWN(I1593,0))*3)*(-3*$J1593^3+3*$J1593^2)+INDIRECT("D$"&amp;5+MIN(2,ROUNDDOWN(I1593,0))*3)*$J1593^3</f>
      </c>
      <c r="M1593" s="7">
        <f>SQRT(K1593^2+L1593^2)</f>
      </c>
      <c r="N1593" s="7">
        <f>(K1594-K1592)</f>
      </c>
      <c r="O1593" s="7">
        <f>+(L1594-L1592)</f>
      </c>
      <c r="P1593" s="7">
        <f>SQRT(O1593^2+N1593^2)</f>
      </c>
      <c r="Q1593" s="7">
        <f>N1593/$P1593</f>
      </c>
      <c r="R1593" s="7">
        <f>O1593/$P1593</f>
      </c>
      <c r="S1593" s="7">
        <f>Q1593^2+R1593^2</f>
      </c>
      <c r="T1593" s="7">
        <f>-R1593</f>
      </c>
      <c r="U1593" s="7">
        <f>Q1593</f>
      </c>
      <c r="V1593" s="7">
        <f>($C$14+($C$15-$C$14)/($D$15-$D$14)*(I1593-$D$14))/2</f>
      </c>
      <c r="W1593" s="7">
        <f>($B$22*I1593^4+$C$22*I1593^3+$D$22*I1593^2+$E$22*I1593+$F$22)/2</f>
      </c>
      <c r="X1593" s="7">
        <f>($W1593)*(T1593)</f>
      </c>
      <c r="Y1593" s="7">
        <f>($W1593)*(U1593)</f>
      </c>
      <c r="Z1593" s="7">
        <f>SQRT(X1593^2+Y1593^2)</f>
      </c>
      <c r="AA1593" s="7">
        <f>$K1593+$X1593</f>
      </c>
      <c r="AB1593" s="7">
        <f>$L1593+$Y1593</f>
      </c>
      <c r="AC1593" s="7">
        <f>$K1593-$X1593</f>
      </c>
      <c r="AD1593" s="7">
        <f>$L1593-$Y1593</f>
      </c>
      <c r="AE1593" s="7">
        <f>AA1593/39.3701</f>
      </c>
      <c r="AF1593" s="7">
        <f>AB1593/39.3701</f>
      </c>
      <c r="AG1593" s="7">
        <f>AC1593/39.3701</f>
      </c>
      <c r="AH1593" s="7">
        <f>AD1593/39.3701</f>
      </c>
      <c r="AI1593" s="1"/>
      <c r="AJ1593" s="1"/>
      <c r="AK1593" s="1"/>
      <c r="AL1593" s="1"/>
      <c r="AM1593" s="2"/>
      <c r="AN1593" s="1"/>
      <c r="AO1593" s="1"/>
      <c r="AP1593" s="1"/>
      <c r="AQ1593" s="1"/>
      <c r="AR1593" s="1"/>
      <c r="AS1593" s="1"/>
      <c r="AT1593" s="1"/>
      <c r="AU1593" s="1"/>
      <c r="AV1593" s="1"/>
      <c r="AW1593" s="1"/>
      <c r="AX1593" s="1"/>
      <c r="AY1593" s="1"/>
      <c r="AZ1593" s="1"/>
      <c r="BA1593" s="1"/>
      <c r="BB1593" s="1"/>
      <c r="BC1593" s="1"/>
      <c r="BD1593" s="1"/>
      <c r="BE1593" s="1"/>
    </row>
    <row x14ac:dyDescent="0.25" r="1594" customHeight="1" ht="18.75">
      <c r="A1594" s="1"/>
      <c r="B1594" s="2"/>
      <c r="C1594" s="2"/>
      <c r="D1594" s="2"/>
      <c r="E1594" s="2"/>
      <c r="F1594" s="2"/>
      <c r="G1594" s="1"/>
      <c r="H1594" s="1"/>
      <c r="I1594" s="7">
        <v>1.591</v>
      </c>
      <c r="J1594" s="7">
        <f>IF((I1594-ROUNDDOWN(I1594,0))=0, 0, (I1594-ROUNDDOWN(I1594,0)))</f>
      </c>
      <c r="K1594" s="7">
        <f>INDIRECT("C$"&amp;2+MIN(2,ROUNDDOWN(I1594,0))*3)*(-$J1594^3+3*$J1594^2-3*$J1594+1)+INDIRECT("C$"&amp;3+MIN(2,ROUNDDOWN(I1594,0))*3)*(3*$J1594^3-6*$J1594^2+3*$J1594)+INDIRECT("C$"&amp;4+MIN(2,ROUNDDOWN(I1594,0))*3)*(-3*$J1594^3+3*$J1594^2)+INDIRECT("C$"&amp;5+MIN(2,ROUNDDOWN(I1594,0))*3)*$J1594^3</f>
      </c>
      <c r="L1594" s="7">
        <f>INDIRECT("D$"&amp;2+MIN(2,ROUNDDOWN(I1594,0))*3)*(-$J1594^3+3*$J1594^2-3*$J1594+1)+INDIRECT("D$"&amp;3+MIN(2,ROUNDDOWN(I1594,0))*3)*(3*$J1594^3-6*$J1594^2+3*$J1594)+INDIRECT("D$"&amp;4+MIN(2,ROUNDDOWN(I1594,0))*3)*(-3*$J1594^3+3*$J1594^2)+INDIRECT("D$"&amp;5+MIN(2,ROUNDDOWN(I1594,0))*3)*$J1594^3</f>
      </c>
      <c r="M1594" s="7">
        <f>SQRT(K1594^2+L1594^2)</f>
      </c>
      <c r="N1594" s="7">
        <f>(K1595-K1593)</f>
      </c>
      <c r="O1594" s="7">
        <f>+(L1595-L1593)</f>
      </c>
      <c r="P1594" s="7">
        <f>SQRT(O1594^2+N1594^2)</f>
      </c>
      <c r="Q1594" s="7">
        <f>N1594/$P1594</f>
      </c>
      <c r="R1594" s="7">
        <f>O1594/$P1594</f>
      </c>
      <c r="S1594" s="8">
        <f>Q1594^2+R1594^2</f>
      </c>
      <c r="T1594" s="7">
        <f>-R1594</f>
      </c>
      <c r="U1594" s="7">
        <f>Q1594</f>
      </c>
      <c r="V1594" s="7">
        <f>($C$14+($C$15-$C$14)/($D$15-$D$14)*(I1594-$D$14))/2</f>
      </c>
      <c r="W1594" s="7">
        <f>($B$22*I1594^4+$C$22*I1594^3+$D$22*I1594^2+$E$22*I1594+$F$22)/2</f>
      </c>
      <c r="X1594" s="7">
        <f>($W1594)*(T1594)</f>
      </c>
      <c r="Y1594" s="7">
        <f>($W1594)*(U1594)</f>
      </c>
      <c r="Z1594" s="7">
        <f>SQRT(X1594^2+Y1594^2)</f>
      </c>
      <c r="AA1594" s="7">
        <f>$K1594+$X1594</f>
      </c>
      <c r="AB1594" s="7">
        <f>$L1594+$Y1594</f>
      </c>
      <c r="AC1594" s="7">
        <f>$K1594-$X1594</f>
      </c>
      <c r="AD1594" s="7">
        <f>$L1594-$Y1594</f>
      </c>
      <c r="AE1594" s="7">
        <f>AA1594/39.3701</f>
      </c>
      <c r="AF1594" s="7">
        <f>AB1594/39.3701</f>
      </c>
      <c r="AG1594" s="7">
        <f>AC1594/39.3701</f>
      </c>
      <c r="AH1594" s="7">
        <f>AD1594/39.3701</f>
      </c>
      <c r="AI1594" s="1"/>
      <c r="AJ1594" s="1"/>
      <c r="AK1594" s="1"/>
      <c r="AL1594" s="1"/>
      <c r="AM1594" s="2"/>
      <c r="AN1594" s="1"/>
      <c r="AO1594" s="1"/>
      <c r="AP1594" s="1"/>
      <c r="AQ1594" s="1"/>
      <c r="AR1594" s="1"/>
      <c r="AS1594" s="1"/>
      <c r="AT1594" s="1"/>
      <c r="AU1594" s="1"/>
      <c r="AV1594" s="1"/>
      <c r="AW1594" s="1"/>
      <c r="AX1594" s="1"/>
      <c r="AY1594" s="1"/>
      <c r="AZ1594" s="1"/>
      <c r="BA1594" s="1"/>
      <c r="BB1594" s="1"/>
      <c r="BC1594" s="1"/>
      <c r="BD1594" s="1"/>
      <c r="BE1594" s="1"/>
    </row>
    <row x14ac:dyDescent="0.25" r="1595" customHeight="1" ht="18.75">
      <c r="A1595" s="1"/>
      <c r="B1595" s="2"/>
      <c r="C1595" s="2"/>
      <c r="D1595" s="2"/>
      <c r="E1595" s="2"/>
      <c r="F1595" s="2"/>
      <c r="G1595" s="1"/>
      <c r="H1595" s="1"/>
      <c r="I1595" s="7">
        <v>1.592</v>
      </c>
      <c r="J1595" s="7">
        <f>IF((I1595-ROUNDDOWN(I1595,0))=0, 0, (I1595-ROUNDDOWN(I1595,0)))</f>
      </c>
      <c r="K1595" s="7">
        <f>INDIRECT("C$"&amp;2+MIN(2,ROUNDDOWN(I1595,0))*3)*(-$J1595^3+3*$J1595^2-3*$J1595+1)+INDIRECT("C$"&amp;3+MIN(2,ROUNDDOWN(I1595,0))*3)*(3*$J1595^3-6*$J1595^2+3*$J1595)+INDIRECT("C$"&amp;4+MIN(2,ROUNDDOWN(I1595,0))*3)*(-3*$J1595^3+3*$J1595^2)+INDIRECT("C$"&amp;5+MIN(2,ROUNDDOWN(I1595,0))*3)*$J1595^3</f>
      </c>
      <c r="L1595" s="7">
        <f>INDIRECT("D$"&amp;2+MIN(2,ROUNDDOWN(I1595,0))*3)*(-$J1595^3+3*$J1595^2-3*$J1595+1)+INDIRECT("D$"&amp;3+MIN(2,ROUNDDOWN(I1595,0))*3)*(3*$J1595^3-6*$J1595^2+3*$J1595)+INDIRECT("D$"&amp;4+MIN(2,ROUNDDOWN(I1595,0))*3)*(-3*$J1595^3+3*$J1595^2)+INDIRECT("D$"&amp;5+MIN(2,ROUNDDOWN(I1595,0))*3)*$J1595^3</f>
      </c>
      <c r="M1595" s="7">
        <f>SQRT(K1595^2+L1595^2)</f>
      </c>
      <c r="N1595" s="7">
        <f>(K1596-K1594)</f>
      </c>
      <c r="O1595" s="7">
        <f>+(L1596-L1594)</f>
      </c>
      <c r="P1595" s="7">
        <f>SQRT(O1595^2+N1595^2)</f>
      </c>
      <c r="Q1595" s="7">
        <f>N1595/$P1595</f>
      </c>
      <c r="R1595" s="7">
        <f>O1595/$P1595</f>
      </c>
      <c r="S1595" s="7">
        <f>Q1595^2+R1595^2</f>
      </c>
      <c r="T1595" s="7">
        <f>-R1595</f>
      </c>
      <c r="U1595" s="7">
        <f>Q1595</f>
      </c>
      <c r="V1595" s="7">
        <f>($C$14+($C$15-$C$14)/($D$15-$D$14)*(I1595-$D$14))/2</f>
      </c>
      <c r="W1595" s="7">
        <f>($B$22*I1595^4+$C$22*I1595^3+$D$22*I1595^2+$E$22*I1595+$F$22)/2</f>
      </c>
      <c r="X1595" s="7">
        <f>($W1595)*(T1595)</f>
      </c>
      <c r="Y1595" s="7">
        <f>($W1595)*(U1595)</f>
      </c>
      <c r="Z1595" s="7">
        <f>SQRT(X1595^2+Y1595^2)</f>
      </c>
      <c r="AA1595" s="7">
        <f>$K1595+$X1595</f>
      </c>
      <c r="AB1595" s="7">
        <f>$L1595+$Y1595</f>
      </c>
      <c r="AC1595" s="7">
        <f>$K1595-$X1595</f>
      </c>
      <c r="AD1595" s="7">
        <f>$L1595-$Y1595</f>
      </c>
      <c r="AE1595" s="7">
        <f>AA1595/39.3701</f>
      </c>
      <c r="AF1595" s="7">
        <f>AB1595/39.3701</f>
      </c>
      <c r="AG1595" s="7">
        <f>AC1595/39.3701</f>
      </c>
      <c r="AH1595" s="7">
        <f>AD1595/39.3701</f>
      </c>
      <c r="AI1595" s="1"/>
      <c r="AJ1595" s="1"/>
      <c r="AK1595" s="1"/>
      <c r="AL1595" s="1"/>
      <c r="AM1595" s="2"/>
      <c r="AN1595" s="1"/>
      <c r="AO1595" s="1"/>
      <c r="AP1595" s="1"/>
      <c r="AQ1595" s="1"/>
      <c r="AR1595" s="1"/>
      <c r="AS1595" s="1"/>
      <c r="AT1595" s="1"/>
      <c r="AU1595" s="1"/>
      <c r="AV1595" s="1"/>
      <c r="AW1595" s="1"/>
      <c r="AX1595" s="1"/>
      <c r="AY1595" s="1"/>
      <c r="AZ1595" s="1"/>
      <c r="BA1595" s="1"/>
      <c r="BB1595" s="1"/>
      <c r="BC1595" s="1"/>
      <c r="BD1595" s="1"/>
      <c r="BE1595" s="1"/>
    </row>
    <row x14ac:dyDescent="0.25" r="1596" customHeight="1" ht="18.75">
      <c r="A1596" s="1"/>
      <c r="B1596" s="2"/>
      <c r="C1596" s="2"/>
      <c r="D1596" s="2"/>
      <c r="E1596" s="2"/>
      <c r="F1596" s="2"/>
      <c r="G1596" s="1"/>
      <c r="H1596" s="1"/>
      <c r="I1596" s="7">
        <v>1.593</v>
      </c>
      <c r="J1596" s="7">
        <f>IF((I1596-ROUNDDOWN(I1596,0))=0, 0, (I1596-ROUNDDOWN(I1596,0)))</f>
      </c>
      <c r="K1596" s="7">
        <f>INDIRECT("C$"&amp;2+MIN(2,ROUNDDOWN(I1596,0))*3)*(-$J1596^3+3*$J1596^2-3*$J1596+1)+INDIRECT("C$"&amp;3+MIN(2,ROUNDDOWN(I1596,0))*3)*(3*$J1596^3-6*$J1596^2+3*$J1596)+INDIRECT("C$"&amp;4+MIN(2,ROUNDDOWN(I1596,0))*3)*(-3*$J1596^3+3*$J1596^2)+INDIRECT("C$"&amp;5+MIN(2,ROUNDDOWN(I1596,0))*3)*$J1596^3</f>
      </c>
      <c r="L1596" s="7">
        <f>INDIRECT("D$"&amp;2+MIN(2,ROUNDDOWN(I1596,0))*3)*(-$J1596^3+3*$J1596^2-3*$J1596+1)+INDIRECT("D$"&amp;3+MIN(2,ROUNDDOWN(I1596,0))*3)*(3*$J1596^3-6*$J1596^2+3*$J1596)+INDIRECT("D$"&amp;4+MIN(2,ROUNDDOWN(I1596,0))*3)*(-3*$J1596^3+3*$J1596^2)+INDIRECT("D$"&amp;5+MIN(2,ROUNDDOWN(I1596,0))*3)*$J1596^3</f>
      </c>
      <c r="M1596" s="7">
        <f>SQRT(K1596^2+L1596^2)</f>
      </c>
      <c r="N1596" s="7">
        <f>(K1597-K1595)</f>
      </c>
      <c r="O1596" s="7">
        <f>+(L1597-L1595)</f>
      </c>
      <c r="P1596" s="7">
        <f>SQRT(O1596^2+N1596^2)</f>
      </c>
      <c r="Q1596" s="7">
        <f>N1596/$P1596</f>
      </c>
      <c r="R1596" s="7">
        <f>O1596/$P1596</f>
      </c>
      <c r="S1596" s="7">
        <f>Q1596^2+R1596^2</f>
      </c>
      <c r="T1596" s="7">
        <f>-R1596</f>
      </c>
      <c r="U1596" s="7">
        <f>Q1596</f>
      </c>
      <c r="V1596" s="7">
        <f>($C$14+($C$15-$C$14)/($D$15-$D$14)*(I1596-$D$14))/2</f>
      </c>
      <c r="W1596" s="7">
        <f>($B$22*I1596^4+$C$22*I1596^3+$D$22*I1596^2+$E$22*I1596+$F$22)/2</f>
      </c>
      <c r="X1596" s="7">
        <f>($W1596)*(T1596)</f>
      </c>
      <c r="Y1596" s="7">
        <f>($W1596)*(U1596)</f>
      </c>
      <c r="Z1596" s="7">
        <f>SQRT(X1596^2+Y1596^2)</f>
      </c>
      <c r="AA1596" s="7">
        <f>$K1596+$X1596</f>
      </c>
      <c r="AB1596" s="7">
        <f>$L1596+$Y1596</f>
      </c>
      <c r="AC1596" s="7">
        <f>$K1596-$X1596</f>
      </c>
      <c r="AD1596" s="7">
        <f>$L1596-$Y1596</f>
      </c>
      <c r="AE1596" s="7">
        <f>AA1596/39.3701</f>
      </c>
      <c r="AF1596" s="7">
        <f>AB1596/39.3701</f>
      </c>
      <c r="AG1596" s="7">
        <f>AC1596/39.3701</f>
      </c>
      <c r="AH1596" s="7">
        <f>AD1596/39.3701</f>
      </c>
      <c r="AI1596" s="1"/>
      <c r="AJ1596" s="1"/>
      <c r="AK1596" s="1"/>
      <c r="AL1596" s="1"/>
      <c r="AM1596" s="2"/>
      <c r="AN1596" s="1"/>
      <c r="AO1596" s="1"/>
      <c r="AP1596" s="1"/>
      <c r="AQ1596" s="1"/>
      <c r="AR1596" s="1"/>
      <c r="AS1596" s="1"/>
      <c r="AT1596" s="1"/>
      <c r="AU1596" s="1"/>
      <c r="AV1596" s="1"/>
      <c r="AW1596" s="1"/>
      <c r="AX1596" s="1"/>
      <c r="AY1596" s="1"/>
      <c r="AZ1596" s="1"/>
      <c r="BA1596" s="1"/>
      <c r="BB1596" s="1"/>
      <c r="BC1596" s="1"/>
      <c r="BD1596" s="1"/>
      <c r="BE1596" s="1"/>
    </row>
    <row x14ac:dyDescent="0.25" r="1597" customHeight="1" ht="18.75">
      <c r="A1597" s="1"/>
      <c r="B1597" s="2"/>
      <c r="C1597" s="2"/>
      <c r="D1597" s="2"/>
      <c r="E1597" s="2"/>
      <c r="F1597" s="2"/>
      <c r="G1597" s="1"/>
      <c r="H1597" s="1"/>
      <c r="I1597" s="7">
        <v>1.594</v>
      </c>
      <c r="J1597" s="7">
        <f>IF((I1597-ROUNDDOWN(I1597,0))=0, 0, (I1597-ROUNDDOWN(I1597,0)))</f>
      </c>
      <c r="K1597" s="7">
        <f>INDIRECT("C$"&amp;2+MIN(2,ROUNDDOWN(I1597,0))*3)*(-$J1597^3+3*$J1597^2-3*$J1597+1)+INDIRECT("C$"&amp;3+MIN(2,ROUNDDOWN(I1597,0))*3)*(3*$J1597^3-6*$J1597^2+3*$J1597)+INDIRECT("C$"&amp;4+MIN(2,ROUNDDOWN(I1597,0))*3)*(-3*$J1597^3+3*$J1597^2)+INDIRECT("C$"&amp;5+MIN(2,ROUNDDOWN(I1597,0))*3)*$J1597^3</f>
      </c>
      <c r="L1597" s="7">
        <f>INDIRECT("D$"&amp;2+MIN(2,ROUNDDOWN(I1597,0))*3)*(-$J1597^3+3*$J1597^2-3*$J1597+1)+INDIRECT("D$"&amp;3+MIN(2,ROUNDDOWN(I1597,0))*3)*(3*$J1597^3-6*$J1597^2+3*$J1597)+INDIRECT("D$"&amp;4+MIN(2,ROUNDDOWN(I1597,0))*3)*(-3*$J1597^3+3*$J1597^2)+INDIRECT("D$"&amp;5+MIN(2,ROUNDDOWN(I1597,0))*3)*$J1597^3</f>
      </c>
      <c r="M1597" s="7">
        <f>SQRT(K1597^2+L1597^2)</f>
      </c>
      <c r="N1597" s="7">
        <f>(K1598-K1596)</f>
      </c>
      <c r="O1597" s="7">
        <f>+(L1598-L1596)</f>
      </c>
      <c r="P1597" s="7">
        <f>SQRT(O1597^2+N1597^2)</f>
      </c>
      <c r="Q1597" s="7">
        <f>N1597/$P1597</f>
      </c>
      <c r="R1597" s="7">
        <f>O1597/$P1597</f>
      </c>
      <c r="S1597" s="8">
        <f>Q1597^2+R1597^2</f>
      </c>
      <c r="T1597" s="7">
        <f>-R1597</f>
      </c>
      <c r="U1597" s="7">
        <f>Q1597</f>
      </c>
      <c r="V1597" s="7">
        <f>($C$14+($C$15-$C$14)/($D$15-$D$14)*(I1597-$D$14))/2</f>
      </c>
      <c r="W1597" s="7">
        <f>($B$22*I1597^4+$C$22*I1597^3+$D$22*I1597^2+$E$22*I1597+$F$22)/2</f>
      </c>
      <c r="X1597" s="7">
        <f>($W1597)*(T1597)</f>
      </c>
      <c r="Y1597" s="7">
        <f>($W1597)*(U1597)</f>
      </c>
      <c r="Z1597" s="7">
        <f>SQRT(X1597^2+Y1597^2)</f>
      </c>
      <c r="AA1597" s="7">
        <f>$K1597+$X1597</f>
      </c>
      <c r="AB1597" s="7">
        <f>$L1597+$Y1597</f>
      </c>
      <c r="AC1597" s="7">
        <f>$K1597-$X1597</f>
      </c>
      <c r="AD1597" s="7">
        <f>$L1597-$Y1597</f>
      </c>
      <c r="AE1597" s="7">
        <f>AA1597/39.3701</f>
      </c>
      <c r="AF1597" s="7">
        <f>AB1597/39.3701</f>
      </c>
      <c r="AG1597" s="7">
        <f>AC1597/39.3701</f>
      </c>
      <c r="AH1597" s="7">
        <f>AD1597/39.3701</f>
      </c>
      <c r="AI1597" s="1"/>
      <c r="AJ1597" s="1"/>
      <c r="AK1597" s="1"/>
      <c r="AL1597" s="1"/>
      <c r="AM1597" s="2"/>
      <c r="AN1597" s="1"/>
      <c r="AO1597" s="1"/>
      <c r="AP1597" s="1"/>
      <c r="AQ1597" s="1"/>
      <c r="AR1597" s="1"/>
      <c r="AS1597" s="1"/>
      <c r="AT1597" s="1"/>
      <c r="AU1597" s="1"/>
      <c r="AV1597" s="1"/>
      <c r="AW1597" s="1"/>
      <c r="AX1597" s="1"/>
      <c r="AY1597" s="1"/>
      <c r="AZ1597" s="1"/>
      <c r="BA1597" s="1"/>
      <c r="BB1597" s="1"/>
      <c r="BC1597" s="1"/>
      <c r="BD1597" s="1"/>
      <c r="BE1597" s="1"/>
    </row>
    <row x14ac:dyDescent="0.25" r="1598" customHeight="1" ht="18.75">
      <c r="A1598" s="1"/>
      <c r="B1598" s="2"/>
      <c r="C1598" s="2"/>
      <c r="D1598" s="2"/>
      <c r="E1598" s="2"/>
      <c r="F1598" s="2"/>
      <c r="G1598" s="1"/>
      <c r="H1598" s="1"/>
      <c r="I1598" s="7">
        <v>1.595</v>
      </c>
      <c r="J1598" s="7">
        <f>IF((I1598-ROUNDDOWN(I1598,0))=0, 0, (I1598-ROUNDDOWN(I1598,0)))</f>
      </c>
      <c r="K1598" s="7">
        <f>INDIRECT("C$"&amp;2+MIN(2,ROUNDDOWN(I1598,0))*3)*(-$J1598^3+3*$J1598^2-3*$J1598+1)+INDIRECT("C$"&amp;3+MIN(2,ROUNDDOWN(I1598,0))*3)*(3*$J1598^3-6*$J1598^2+3*$J1598)+INDIRECT("C$"&amp;4+MIN(2,ROUNDDOWN(I1598,0))*3)*(-3*$J1598^3+3*$J1598^2)+INDIRECT("C$"&amp;5+MIN(2,ROUNDDOWN(I1598,0))*3)*$J1598^3</f>
      </c>
      <c r="L1598" s="7">
        <f>INDIRECT("D$"&amp;2+MIN(2,ROUNDDOWN(I1598,0))*3)*(-$J1598^3+3*$J1598^2-3*$J1598+1)+INDIRECT("D$"&amp;3+MIN(2,ROUNDDOWN(I1598,0))*3)*(3*$J1598^3-6*$J1598^2+3*$J1598)+INDIRECT("D$"&amp;4+MIN(2,ROUNDDOWN(I1598,0))*3)*(-3*$J1598^3+3*$J1598^2)+INDIRECT("D$"&amp;5+MIN(2,ROUNDDOWN(I1598,0))*3)*$J1598^3</f>
      </c>
      <c r="M1598" s="7">
        <f>SQRT(K1598^2+L1598^2)</f>
      </c>
      <c r="N1598" s="7">
        <f>(K1599-K1597)</f>
      </c>
      <c r="O1598" s="7">
        <f>+(L1599-L1597)</f>
      </c>
      <c r="P1598" s="7">
        <f>SQRT(O1598^2+N1598^2)</f>
      </c>
      <c r="Q1598" s="7">
        <f>N1598/$P1598</f>
      </c>
      <c r="R1598" s="7">
        <f>O1598/$P1598</f>
      </c>
      <c r="S1598" s="8">
        <f>Q1598^2+R1598^2</f>
      </c>
      <c r="T1598" s="7">
        <f>-R1598</f>
      </c>
      <c r="U1598" s="7">
        <f>Q1598</f>
      </c>
      <c r="V1598" s="7">
        <f>($C$14+($C$15-$C$14)/($D$15-$D$14)*(I1598-$D$14))/2</f>
      </c>
      <c r="W1598" s="7">
        <f>($B$22*I1598^4+$C$22*I1598^3+$D$22*I1598^2+$E$22*I1598+$F$22)/2</f>
      </c>
      <c r="X1598" s="7">
        <f>($W1598)*(T1598)</f>
      </c>
      <c r="Y1598" s="7">
        <f>($W1598)*(U1598)</f>
      </c>
      <c r="Z1598" s="7">
        <f>SQRT(X1598^2+Y1598^2)</f>
      </c>
      <c r="AA1598" s="7">
        <f>$K1598+$X1598</f>
      </c>
      <c r="AB1598" s="7">
        <f>$L1598+$Y1598</f>
      </c>
      <c r="AC1598" s="7">
        <f>$K1598-$X1598</f>
      </c>
      <c r="AD1598" s="7">
        <f>$L1598-$Y1598</f>
      </c>
      <c r="AE1598" s="7">
        <f>AA1598/39.3701</f>
      </c>
      <c r="AF1598" s="7">
        <f>AB1598/39.3701</f>
      </c>
      <c r="AG1598" s="7">
        <f>AC1598/39.3701</f>
      </c>
      <c r="AH1598" s="7">
        <f>AD1598/39.3701</f>
      </c>
      <c r="AI1598" s="1"/>
      <c r="AJ1598" s="1"/>
      <c r="AK1598" s="1"/>
      <c r="AL1598" s="1"/>
      <c r="AM1598" s="2"/>
      <c r="AN1598" s="1"/>
      <c r="AO1598" s="1"/>
      <c r="AP1598" s="1"/>
      <c r="AQ1598" s="1"/>
      <c r="AR1598" s="1"/>
      <c r="AS1598" s="1"/>
      <c r="AT1598" s="1"/>
      <c r="AU1598" s="1"/>
      <c r="AV1598" s="1"/>
      <c r="AW1598" s="1"/>
      <c r="AX1598" s="1"/>
      <c r="AY1598" s="1"/>
      <c r="AZ1598" s="1"/>
      <c r="BA1598" s="1"/>
      <c r="BB1598" s="1"/>
      <c r="BC1598" s="1"/>
      <c r="BD1598" s="1"/>
      <c r="BE1598" s="1"/>
    </row>
    <row x14ac:dyDescent="0.25" r="1599" customHeight="1" ht="18.75">
      <c r="A1599" s="1"/>
      <c r="B1599" s="2"/>
      <c r="C1599" s="2"/>
      <c r="D1599" s="2"/>
      <c r="E1599" s="2"/>
      <c r="F1599" s="2"/>
      <c r="G1599" s="1"/>
      <c r="H1599" s="1"/>
      <c r="I1599" s="7">
        <v>1.596</v>
      </c>
      <c r="J1599" s="7">
        <f>IF((I1599-ROUNDDOWN(I1599,0))=0, 0, (I1599-ROUNDDOWN(I1599,0)))</f>
      </c>
      <c r="K1599" s="7">
        <f>INDIRECT("C$"&amp;2+MIN(2,ROUNDDOWN(I1599,0))*3)*(-$J1599^3+3*$J1599^2-3*$J1599+1)+INDIRECT("C$"&amp;3+MIN(2,ROUNDDOWN(I1599,0))*3)*(3*$J1599^3-6*$J1599^2+3*$J1599)+INDIRECT("C$"&amp;4+MIN(2,ROUNDDOWN(I1599,0))*3)*(-3*$J1599^3+3*$J1599^2)+INDIRECT("C$"&amp;5+MIN(2,ROUNDDOWN(I1599,0))*3)*$J1599^3</f>
      </c>
      <c r="L1599" s="7">
        <f>INDIRECT("D$"&amp;2+MIN(2,ROUNDDOWN(I1599,0))*3)*(-$J1599^3+3*$J1599^2-3*$J1599+1)+INDIRECT("D$"&amp;3+MIN(2,ROUNDDOWN(I1599,0))*3)*(3*$J1599^3-6*$J1599^2+3*$J1599)+INDIRECT("D$"&amp;4+MIN(2,ROUNDDOWN(I1599,0))*3)*(-3*$J1599^3+3*$J1599^2)+INDIRECT("D$"&amp;5+MIN(2,ROUNDDOWN(I1599,0))*3)*$J1599^3</f>
      </c>
      <c r="M1599" s="7">
        <f>SQRT(K1599^2+L1599^2)</f>
      </c>
      <c r="N1599" s="7">
        <f>(K1600-K1598)</f>
      </c>
      <c r="O1599" s="7">
        <f>+(L1600-L1598)</f>
      </c>
      <c r="P1599" s="7">
        <f>SQRT(O1599^2+N1599^2)</f>
      </c>
      <c r="Q1599" s="7">
        <f>N1599/$P1599</f>
      </c>
      <c r="R1599" s="7">
        <f>O1599/$P1599</f>
      </c>
      <c r="S1599" s="7">
        <f>Q1599^2+R1599^2</f>
      </c>
      <c r="T1599" s="7">
        <f>-R1599</f>
      </c>
      <c r="U1599" s="7">
        <f>Q1599</f>
      </c>
      <c r="V1599" s="7">
        <f>($C$14+($C$15-$C$14)/($D$15-$D$14)*(I1599-$D$14))/2</f>
      </c>
      <c r="W1599" s="7">
        <f>($B$22*I1599^4+$C$22*I1599^3+$D$22*I1599^2+$E$22*I1599+$F$22)/2</f>
      </c>
      <c r="X1599" s="7">
        <f>($W1599)*(T1599)</f>
      </c>
      <c r="Y1599" s="7">
        <f>($W1599)*(U1599)</f>
      </c>
      <c r="Z1599" s="7">
        <f>SQRT(X1599^2+Y1599^2)</f>
      </c>
      <c r="AA1599" s="7">
        <f>$K1599+$X1599</f>
      </c>
      <c r="AB1599" s="7">
        <f>$L1599+$Y1599</f>
      </c>
      <c r="AC1599" s="7">
        <f>$K1599-$X1599</f>
      </c>
      <c r="AD1599" s="7">
        <f>$L1599-$Y1599</f>
      </c>
      <c r="AE1599" s="7">
        <f>AA1599/39.3701</f>
      </c>
      <c r="AF1599" s="7">
        <f>AB1599/39.3701</f>
      </c>
      <c r="AG1599" s="7">
        <f>AC1599/39.3701</f>
      </c>
      <c r="AH1599" s="7">
        <f>AD1599/39.3701</f>
      </c>
      <c r="AI1599" s="1"/>
      <c r="AJ1599" s="1"/>
      <c r="AK1599" s="1"/>
      <c r="AL1599" s="1"/>
      <c r="AM1599" s="2"/>
      <c r="AN1599" s="1"/>
      <c r="AO1599" s="1"/>
      <c r="AP1599" s="1"/>
      <c r="AQ1599" s="1"/>
      <c r="AR1599" s="1"/>
      <c r="AS1599" s="1"/>
      <c r="AT1599" s="1"/>
      <c r="AU1599" s="1"/>
      <c r="AV1599" s="1"/>
      <c r="AW1599" s="1"/>
      <c r="AX1599" s="1"/>
      <c r="AY1599" s="1"/>
      <c r="AZ1599" s="1"/>
      <c r="BA1599" s="1"/>
      <c r="BB1599" s="1"/>
      <c r="BC1599" s="1"/>
      <c r="BD1599" s="1"/>
      <c r="BE1599" s="1"/>
    </row>
    <row x14ac:dyDescent="0.25" r="1600" customHeight="1" ht="18.75">
      <c r="A1600" s="1"/>
      <c r="B1600" s="2"/>
      <c r="C1600" s="2"/>
      <c r="D1600" s="2"/>
      <c r="E1600" s="2"/>
      <c r="F1600" s="2"/>
      <c r="G1600" s="1"/>
      <c r="H1600" s="1"/>
      <c r="I1600" s="7">
        <v>1.597</v>
      </c>
      <c r="J1600" s="7">
        <f>IF((I1600-ROUNDDOWN(I1600,0))=0, 0, (I1600-ROUNDDOWN(I1600,0)))</f>
      </c>
      <c r="K1600" s="7">
        <f>INDIRECT("C$"&amp;2+MIN(2,ROUNDDOWN(I1600,0))*3)*(-$J1600^3+3*$J1600^2-3*$J1600+1)+INDIRECT("C$"&amp;3+MIN(2,ROUNDDOWN(I1600,0))*3)*(3*$J1600^3-6*$J1600^2+3*$J1600)+INDIRECT("C$"&amp;4+MIN(2,ROUNDDOWN(I1600,0))*3)*(-3*$J1600^3+3*$J1600^2)+INDIRECT("C$"&amp;5+MIN(2,ROUNDDOWN(I1600,0))*3)*$J1600^3</f>
      </c>
      <c r="L1600" s="7">
        <f>INDIRECT("D$"&amp;2+MIN(2,ROUNDDOWN(I1600,0))*3)*(-$J1600^3+3*$J1600^2-3*$J1600+1)+INDIRECT("D$"&amp;3+MIN(2,ROUNDDOWN(I1600,0))*3)*(3*$J1600^3-6*$J1600^2+3*$J1600)+INDIRECT("D$"&amp;4+MIN(2,ROUNDDOWN(I1600,0))*3)*(-3*$J1600^3+3*$J1600^2)+INDIRECT("D$"&amp;5+MIN(2,ROUNDDOWN(I1600,0))*3)*$J1600^3</f>
      </c>
      <c r="M1600" s="7">
        <f>SQRT(K1600^2+L1600^2)</f>
      </c>
      <c r="N1600" s="7">
        <f>(K1601-K1599)</f>
      </c>
      <c r="O1600" s="7">
        <f>+(L1601-L1599)</f>
      </c>
      <c r="P1600" s="7">
        <f>SQRT(O1600^2+N1600^2)</f>
      </c>
      <c r="Q1600" s="7">
        <f>N1600/$P1600</f>
      </c>
      <c r="R1600" s="7">
        <f>O1600/$P1600</f>
      </c>
      <c r="S1600" s="7">
        <f>Q1600^2+R1600^2</f>
      </c>
      <c r="T1600" s="7">
        <f>-R1600</f>
      </c>
      <c r="U1600" s="7">
        <f>Q1600</f>
      </c>
      <c r="V1600" s="7">
        <f>($C$14+($C$15-$C$14)/($D$15-$D$14)*(I1600-$D$14))/2</f>
      </c>
      <c r="W1600" s="7">
        <f>($B$22*I1600^4+$C$22*I1600^3+$D$22*I1600^2+$E$22*I1600+$F$22)/2</f>
      </c>
      <c r="X1600" s="7">
        <f>($W1600)*(T1600)</f>
      </c>
      <c r="Y1600" s="7">
        <f>($W1600)*(U1600)</f>
      </c>
      <c r="Z1600" s="7">
        <f>SQRT(X1600^2+Y1600^2)</f>
      </c>
      <c r="AA1600" s="7">
        <f>$K1600+$X1600</f>
      </c>
      <c r="AB1600" s="7">
        <f>$L1600+$Y1600</f>
      </c>
      <c r="AC1600" s="7">
        <f>$K1600-$X1600</f>
      </c>
      <c r="AD1600" s="7">
        <f>$L1600-$Y1600</f>
      </c>
      <c r="AE1600" s="7">
        <f>AA1600/39.3701</f>
      </c>
      <c r="AF1600" s="7">
        <f>AB1600/39.3701</f>
      </c>
      <c r="AG1600" s="7">
        <f>AC1600/39.3701</f>
      </c>
      <c r="AH1600" s="7">
        <f>AD1600/39.3701</f>
      </c>
      <c r="AI1600" s="1"/>
      <c r="AJ1600" s="1"/>
      <c r="AK1600" s="1"/>
      <c r="AL1600" s="1"/>
      <c r="AM1600" s="2"/>
      <c r="AN1600" s="1"/>
      <c r="AO1600" s="1"/>
      <c r="AP1600" s="1"/>
      <c r="AQ1600" s="1"/>
      <c r="AR1600" s="1"/>
      <c r="AS1600" s="1"/>
      <c r="AT1600" s="1"/>
      <c r="AU1600" s="1"/>
      <c r="AV1600" s="1"/>
      <c r="AW1600" s="1"/>
      <c r="AX1600" s="1"/>
      <c r="AY1600" s="1"/>
      <c r="AZ1600" s="1"/>
      <c r="BA1600" s="1"/>
      <c r="BB1600" s="1"/>
      <c r="BC1600" s="1"/>
      <c r="BD1600" s="1"/>
      <c r="BE1600" s="1"/>
    </row>
    <row x14ac:dyDescent="0.25" r="1601" customHeight="1" ht="18.75">
      <c r="A1601" s="1"/>
      <c r="B1601" s="2"/>
      <c r="C1601" s="2"/>
      <c r="D1601" s="2"/>
      <c r="E1601" s="2"/>
      <c r="F1601" s="2"/>
      <c r="G1601" s="1"/>
      <c r="H1601" s="1"/>
      <c r="I1601" s="7">
        <v>1.598</v>
      </c>
      <c r="J1601" s="7">
        <f>IF((I1601-ROUNDDOWN(I1601,0))=0, 0, (I1601-ROUNDDOWN(I1601,0)))</f>
      </c>
      <c r="K1601" s="7">
        <f>INDIRECT("C$"&amp;2+MIN(2,ROUNDDOWN(I1601,0))*3)*(-$J1601^3+3*$J1601^2-3*$J1601+1)+INDIRECT("C$"&amp;3+MIN(2,ROUNDDOWN(I1601,0))*3)*(3*$J1601^3-6*$J1601^2+3*$J1601)+INDIRECT("C$"&amp;4+MIN(2,ROUNDDOWN(I1601,0))*3)*(-3*$J1601^3+3*$J1601^2)+INDIRECT("C$"&amp;5+MIN(2,ROUNDDOWN(I1601,0))*3)*$J1601^3</f>
      </c>
      <c r="L1601" s="7">
        <f>INDIRECT("D$"&amp;2+MIN(2,ROUNDDOWN(I1601,0))*3)*(-$J1601^3+3*$J1601^2-3*$J1601+1)+INDIRECT("D$"&amp;3+MIN(2,ROUNDDOWN(I1601,0))*3)*(3*$J1601^3-6*$J1601^2+3*$J1601)+INDIRECT("D$"&amp;4+MIN(2,ROUNDDOWN(I1601,0))*3)*(-3*$J1601^3+3*$J1601^2)+INDIRECT("D$"&amp;5+MIN(2,ROUNDDOWN(I1601,0))*3)*$J1601^3</f>
      </c>
      <c r="M1601" s="7">
        <f>SQRT(K1601^2+L1601^2)</f>
      </c>
      <c r="N1601" s="7">
        <f>(K1602-K1600)</f>
      </c>
      <c r="O1601" s="7">
        <f>+(L1602-L1600)</f>
      </c>
      <c r="P1601" s="7">
        <f>SQRT(O1601^2+N1601^2)</f>
      </c>
      <c r="Q1601" s="7">
        <f>N1601/$P1601</f>
      </c>
      <c r="R1601" s="7">
        <f>O1601/$P1601</f>
      </c>
      <c r="S1601" s="8">
        <f>Q1601^2+R1601^2</f>
      </c>
      <c r="T1601" s="7">
        <f>-R1601</f>
      </c>
      <c r="U1601" s="7">
        <f>Q1601</f>
      </c>
      <c r="V1601" s="7">
        <f>($C$14+($C$15-$C$14)/($D$15-$D$14)*(I1601-$D$14))/2</f>
      </c>
      <c r="W1601" s="7">
        <f>($B$22*I1601^4+$C$22*I1601^3+$D$22*I1601^2+$E$22*I1601+$F$22)/2</f>
      </c>
      <c r="X1601" s="7">
        <f>($W1601)*(T1601)</f>
      </c>
      <c r="Y1601" s="7">
        <f>($W1601)*(U1601)</f>
      </c>
      <c r="Z1601" s="7">
        <f>SQRT(X1601^2+Y1601^2)</f>
      </c>
      <c r="AA1601" s="7">
        <f>$K1601+$X1601</f>
      </c>
      <c r="AB1601" s="7">
        <f>$L1601+$Y1601</f>
      </c>
      <c r="AC1601" s="7">
        <f>$K1601-$X1601</f>
      </c>
      <c r="AD1601" s="7">
        <f>$L1601-$Y1601</f>
      </c>
      <c r="AE1601" s="7">
        <f>AA1601/39.3701</f>
      </c>
      <c r="AF1601" s="7">
        <f>AB1601/39.3701</f>
      </c>
      <c r="AG1601" s="7">
        <f>AC1601/39.3701</f>
      </c>
      <c r="AH1601" s="7">
        <f>AD1601/39.3701</f>
      </c>
      <c r="AI1601" s="1"/>
      <c r="AJ1601" s="1"/>
      <c r="AK1601" s="1"/>
      <c r="AL1601" s="1"/>
      <c r="AM1601" s="2"/>
      <c r="AN1601" s="1"/>
      <c r="AO1601" s="1"/>
      <c r="AP1601" s="1"/>
      <c r="AQ1601" s="1"/>
      <c r="AR1601" s="1"/>
      <c r="AS1601" s="1"/>
      <c r="AT1601" s="1"/>
      <c r="AU1601" s="1"/>
      <c r="AV1601" s="1"/>
      <c r="AW1601" s="1"/>
      <c r="AX1601" s="1"/>
      <c r="AY1601" s="1"/>
      <c r="AZ1601" s="1"/>
      <c r="BA1601" s="1"/>
      <c r="BB1601" s="1"/>
      <c r="BC1601" s="1"/>
      <c r="BD1601" s="1"/>
      <c r="BE1601" s="1"/>
    </row>
    <row x14ac:dyDescent="0.25" r="1602" customHeight="1" ht="18.75">
      <c r="A1602" s="1"/>
      <c r="B1602" s="2"/>
      <c r="C1602" s="2"/>
      <c r="D1602" s="2"/>
      <c r="E1602" s="2"/>
      <c r="F1602" s="2"/>
      <c r="G1602" s="1"/>
      <c r="H1602" s="1"/>
      <c r="I1602" s="7">
        <v>1.599</v>
      </c>
      <c r="J1602" s="7">
        <f>IF((I1602-ROUNDDOWN(I1602,0))=0, 0, (I1602-ROUNDDOWN(I1602,0)))</f>
      </c>
      <c r="K1602" s="7">
        <f>INDIRECT("C$"&amp;2+MIN(2,ROUNDDOWN(I1602,0))*3)*(-$J1602^3+3*$J1602^2-3*$J1602+1)+INDIRECT("C$"&amp;3+MIN(2,ROUNDDOWN(I1602,0))*3)*(3*$J1602^3-6*$J1602^2+3*$J1602)+INDIRECT("C$"&amp;4+MIN(2,ROUNDDOWN(I1602,0))*3)*(-3*$J1602^3+3*$J1602^2)+INDIRECT("C$"&amp;5+MIN(2,ROUNDDOWN(I1602,0))*3)*$J1602^3</f>
      </c>
      <c r="L1602" s="7">
        <f>INDIRECT("D$"&amp;2+MIN(2,ROUNDDOWN(I1602,0))*3)*(-$J1602^3+3*$J1602^2-3*$J1602+1)+INDIRECT("D$"&amp;3+MIN(2,ROUNDDOWN(I1602,0))*3)*(3*$J1602^3-6*$J1602^2+3*$J1602)+INDIRECT("D$"&amp;4+MIN(2,ROUNDDOWN(I1602,0))*3)*(-3*$J1602^3+3*$J1602^2)+INDIRECT("D$"&amp;5+MIN(2,ROUNDDOWN(I1602,0))*3)*$J1602^3</f>
      </c>
      <c r="M1602" s="7">
        <f>SQRT(K1602^2+L1602^2)</f>
      </c>
      <c r="N1602" s="7">
        <f>(K1603-K1601)</f>
      </c>
      <c r="O1602" s="7">
        <f>+(L1603-L1601)</f>
      </c>
      <c r="P1602" s="7">
        <f>SQRT(O1602^2+N1602^2)</f>
      </c>
      <c r="Q1602" s="7">
        <f>N1602/$P1602</f>
      </c>
      <c r="R1602" s="7">
        <f>O1602/$P1602</f>
      </c>
      <c r="S1602" s="8">
        <f>Q1602^2+R1602^2</f>
      </c>
      <c r="T1602" s="7">
        <f>-R1602</f>
      </c>
      <c r="U1602" s="7">
        <f>Q1602</f>
      </c>
      <c r="V1602" s="7">
        <f>($C$14+($C$15-$C$14)/($D$15-$D$14)*(I1602-$D$14))/2</f>
      </c>
      <c r="W1602" s="7">
        <f>($B$22*I1602^4+$C$22*I1602^3+$D$22*I1602^2+$E$22*I1602+$F$22)/2</f>
      </c>
      <c r="X1602" s="7">
        <f>($W1602)*(T1602)</f>
      </c>
      <c r="Y1602" s="7">
        <f>($W1602)*(U1602)</f>
      </c>
      <c r="Z1602" s="7">
        <f>SQRT(X1602^2+Y1602^2)</f>
      </c>
      <c r="AA1602" s="7">
        <f>$K1602+$X1602</f>
      </c>
      <c r="AB1602" s="7">
        <f>$L1602+$Y1602</f>
      </c>
      <c r="AC1602" s="7">
        <f>$K1602-$X1602</f>
      </c>
      <c r="AD1602" s="7">
        <f>$L1602-$Y1602</f>
      </c>
      <c r="AE1602" s="7">
        <f>AA1602/39.3701</f>
      </c>
      <c r="AF1602" s="7">
        <f>AB1602/39.3701</f>
      </c>
      <c r="AG1602" s="7">
        <f>AC1602/39.3701</f>
      </c>
      <c r="AH1602" s="7">
        <f>AD1602/39.3701</f>
      </c>
      <c r="AI1602" s="1"/>
      <c r="AJ1602" s="1"/>
      <c r="AK1602" s="1"/>
      <c r="AL1602" s="1"/>
      <c r="AM1602" s="2"/>
      <c r="AN1602" s="1"/>
      <c r="AO1602" s="1"/>
      <c r="AP1602" s="1"/>
      <c r="AQ1602" s="1"/>
      <c r="AR1602" s="1"/>
      <c r="AS1602" s="1"/>
      <c r="AT1602" s="1"/>
      <c r="AU1602" s="1"/>
      <c r="AV1602" s="1"/>
      <c r="AW1602" s="1"/>
      <c r="AX1602" s="1"/>
      <c r="AY1602" s="1"/>
      <c r="AZ1602" s="1"/>
      <c r="BA1602" s="1"/>
      <c r="BB1602" s="1"/>
      <c r="BC1602" s="1"/>
      <c r="BD1602" s="1"/>
      <c r="BE1602" s="1"/>
    </row>
    <row x14ac:dyDescent="0.25" r="1603" customHeight="1" ht="18.75">
      <c r="A1603" s="1"/>
      <c r="B1603" s="2"/>
      <c r="C1603" s="2"/>
      <c r="D1603" s="2"/>
      <c r="E1603" s="2"/>
      <c r="F1603" s="2"/>
      <c r="G1603" s="1"/>
      <c r="H1603" s="1"/>
      <c r="I1603" s="7">
        <v>1.6</v>
      </c>
      <c r="J1603" s="7">
        <f>IF((I1603-ROUNDDOWN(I1603,0))=0, 0, (I1603-ROUNDDOWN(I1603,0)))</f>
      </c>
      <c r="K1603" s="7">
        <f>INDIRECT("C$"&amp;2+MIN(2,ROUNDDOWN(I1603,0))*3)*(-$J1603^3+3*$J1603^2-3*$J1603+1)+INDIRECT("C$"&amp;3+MIN(2,ROUNDDOWN(I1603,0))*3)*(3*$J1603^3-6*$J1603^2+3*$J1603)+INDIRECT("C$"&amp;4+MIN(2,ROUNDDOWN(I1603,0))*3)*(-3*$J1603^3+3*$J1603^2)+INDIRECT("C$"&amp;5+MIN(2,ROUNDDOWN(I1603,0))*3)*$J1603^3</f>
      </c>
      <c r="L1603" s="7">
        <f>INDIRECT("D$"&amp;2+MIN(2,ROUNDDOWN(I1603,0))*3)*(-$J1603^3+3*$J1603^2-3*$J1603+1)+INDIRECT("D$"&amp;3+MIN(2,ROUNDDOWN(I1603,0))*3)*(3*$J1603^3-6*$J1603^2+3*$J1603)+INDIRECT("D$"&amp;4+MIN(2,ROUNDDOWN(I1603,0))*3)*(-3*$J1603^3+3*$J1603^2)+INDIRECT("D$"&amp;5+MIN(2,ROUNDDOWN(I1603,0))*3)*$J1603^3</f>
      </c>
      <c r="M1603" s="7">
        <f>SQRT(K1603^2+L1603^2)</f>
      </c>
      <c r="N1603" s="7">
        <f>(K1604-K1602)</f>
      </c>
      <c r="O1603" s="7">
        <f>+(L1604-L1602)</f>
      </c>
      <c r="P1603" s="7">
        <f>SQRT(O1603^2+N1603^2)</f>
      </c>
      <c r="Q1603" s="7">
        <f>N1603/$P1603</f>
      </c>
      <c r="R1603" s="7">
        <f>O1603/$P1603</f>
      </c>
      <c r="S1603" s="7">
        <f>Q1603^2+R1603^2</f>
      </c>
      <c r="T1603" s="7">
        <f>-R1603</f>
      </c>
      <c r="U1603" s="7">
        <f>Q1603</f>
      </c>
      <c r="V1603" s="7">
        <f>($C$14+($C$15-$C$14)/($D$15-$D$14)*(I1603-$D$14))/2</f>
      </c>
      <c r="W1603" s="7">
        <f>($B$22*I1603^4+$C$22*I1603^3+$D$22*I1603^2+$E$22*I1603+$F$22)/2</f>
      </c>
      <c r="X1603" s="7">
        <f>($W1603)*(T1603)</f>
      </c>
      <c r="Y1603" s="7">
        <f>($W1603)*(U1603)</f>
      </c>
      <c r="Z1603" s="7">
        <f>SQRT(X1603^2+Y1603^2)</f>
      </c>
      <c r="AA1603" s="7">
        <f>$K1603+$X1603</f>
      </c>
      <c r="AB1603" s="7">
        <f>$L1603+$Y1603</f>
      </c>
      <c r="AC1603" s="7">
        <f>$K1603-$X1603</f>
      </c>
      <c r="AD1603" s="7">
        <f>$L1603-$Y1603</f>
      </c>
      <c r="AE1603" s="7">
        <f>AA1603/39.3701</f>
      </c>
      <c r="AF1603" s="7">
        <f>AB1603/39.3701</f>
      </c>
      <c r="AG1603" s="7">
        <f>AC1603/39.3701</f>
      </c>
      <c r="AH1603" s="7">
        <f>AD1603/39.3701</f>
      </c>
      <c r="AI1603" s="1"/>
      <c r="AJ1603" s="1"/>
      <c r="AK1603" s="1"/>
      <c r="AL1603" s="1"/>
      <c r="AM1603" s="2"/>
      <c r="AN1603" s="1"/>
      <c r="AO1603" s="1"/>
      <c r="AP1603" s="1"/>
      <c r="AQ1603" s="1"/>
      <c r="AR1603" s="1"/>
      <c r="AS1603" s="1"/>
      <c r="AT1603" s="1"/>
      <c r="AU1603" s="1"/>
      <c r="AV1603" s="1"/>
      <c r="AW1603" s="1"/>
      <c r="AX1603" s="1"/>
      <c r="AY1603" s="1"/>
      <c r="AZ1603" s="1"/>
      <c r="BA1603" s="1"/>
      <c r="BB1603" s="1"/>
      <c r="BC1603" s="1"/>
      <c r="BD1603" s="1"/>
      <c r="BE1603" s="1"/>
    </row>
    <row x14ac:dyDescent="0.25" r="1604" customHeight="1" ht="18.75">
      <c r="A1604" s="1"/>
      <c r="B1604" s="2"/>
      <c r="C1604" s="2"/>
      <c r="D1604" s="2"/>
      <c r="E1604" s="2"/>
      <c r="F1604" s="2"/>
      <c r="G1604" s="1"/>
      <c r="H1604" s="1"/>
      <c r="I1604" s="7">
        <v>1.601</v>
      </c>
      <c r="J1604" s="7">
        <f>IF((I1604-ROUNDDOWN(I1604,0))=0, 0, (I1604-ROUNDDOWN(I1604,0)))</f>
      </c>
      <c r="K1604" s="7">
        <f>INDIRECT("C$"&amp;2+MIN(2,ROUNDDOWN(I1604,0))*3)*(-$J1604^3+3*$J1604^2-3*$J1604+1)+INDIRECT("C$"&amp;3+MIN(2,ROUNDDOWN(I1604,0))*3)*(3*$J1604^3-6*$J1604^2+3*$J1604)+INDIRECT("C$"&amp;4+MIN(2,ROUNDDOWN(I1604,0))*3)*(-3*$J1604^3+3*$J1604^2)+INDIRECT("C$"&amp;5+MIN(2,ROUNDDOWN(I1604,0))*3)*$J1604^3</f>
      </c>
      <c r="L1604" s="7">
        <f>INDIRECT("D$"&amp;2+MIN(2,ROUNDDOWN(I1604,0))*3)*(-$J1604^3+3*$J1604^2-3*$J1604+1)+INDIRECT("D$"&amp;3+MIN(2,ROUNDDOWN(I1604,0))*3)*(3*$J1604^3-6*$J1604^2+3*$J1604)+INDIRECT("D$"&amp;4+MIN(2,ROUNDDOWN(I1604,0))*3)*(-3*$J1604^3+3*$J1604^2)+INDIRECT("D$"&amp;5+MIN(2,ROUNDDOWN(I1604,0))*3)*$J1604^3</f>
      </c>
      <c r="M1604" s="7">
        <f>SQRT(K1604^2+L1604^2)</f>
      </c>
      <c r="N1604" s="7">
        <f>(K1605-K1603)</f>
      </c>
      <c r="O1604" s="7">
        <f>+(L1605-L1603)</f>
      </c>
      <c r="P1604" s="7">
        <f>SQRT(O1604^2+N1604^2)</f>
      </c>
      <c r="Q1604" s="7">
        <f>N1604/$P1604</f>
      </c>
      <c r="R1604" s="7">
        <f>O1604/$P1604</f>
      </c>
      <c r="S1604" s="8">
        <f>Q1604^2+R1604^2</f>
      </c>
      <c r="T1604" s="7">
        <f>-R1604</f>
      </c>
      <c r="U1604" s="7">
        <f>Q1604</f>
      </c>
      <c r="V1604" s="7">
        <f>($C$14+($C$15-$C$14)/($D$15-$D$14)*(I1604-$D$14))/2</f>
      </c>
      <c r="W1604" s="7">
        <f>($B$22*I1604^4+$C$22*I1604^3+$D$22*I1604^2+$E$22*I1604+$F$22)/2</f>
      </c>
      <c r="X1604" s="7">
        <f>($W1604)*(T1604)</f>
      </c>
      <c r="Y1604" s="7">
        <f>($W1604)*(U1604)</f>
      </c>
      <c r="Z1604" s="7">
        <f>SQRT(X1604^2+Y1604^2)</f>
      </c>
      <c r="AA1604" s="7">
        <f>$K1604+$X1604</f>
      </c>
      <c r="AB1604" s="7">
        <f>$L1604+$Y1604</f>
      </c>
      <c r="AC1604" s="7">
        <f>$K1604-$X1604</f>
      </c>
      <c r="AD1604" s="7">
        <f>$L1604-$Y1604</f>
      </c>
      <c r="AE1604" s="7">
        <f>AA1604/39.3701</f>
      </c>
      <c r="AF1604" s="7">
        <f>AB1604/39.3701</f>
      </c>
      <c r="AG1604" s="7">
        <f>AC1604/39.3701</f>
      </c>
      <c r="AH1604" s="7">
        <f>AD1604/39.3701</f>
      </c>
      <c r="AI1604" s="1"/>
      <c r="AJ1604" s="1"/>
      <c r="AK1604" s="1"/>
      <c r="AL1604" s="1"/>
      <c r="AM1604" s="2"/>
      <c r="AN1604" s="1"/>
      <c r="AO1604" s="1"/>
      <c r="AP1604" s="1"/>
      <c r="AQ1604" s="1"/>
      <c r="AR1604" s="1"/>
      <c r="AS1604" s="1"/>
      <c r="AT1604" s="1"/>
      <c r="AU1604" s="1"/>
      <c r="AV1604" s="1"/>
      <c r="AW1604" s="1"/>
      <c r="AX1604" s="1"/>
      <c r="AY1604" s="1"/>
      <c r="AZ1604" s="1"/>
      <c r="BA1604" s="1"/>
      <c r="BB1604" s="1"/>
      <c r="BC1604" s="1"/>
      <c r="BD1604" s="1"/>
      <c r="BE1604" s="1"/>
    </row>
    <row x14ac:dyDescent="0.25" r="1605" customHeight="1" ht="18.75">
      <c r="A1605" s="1"/>
      <c r="B1605" s="2"/>
      <c r="C1605" s="2"/>
      <c r="D1605" s="2"/>
      <c r="E1605" s="2"/>
      <c r="F1605" s="2"/>
      <c r="G1605" s="1"/>
      <c r="H1605" s="1"/>
      <c r="I1605" s="7">
        <v>1.602</v>
      </c>
      <c r="J1605" s="7">
        <f>IF((I1605-ROUNDDOWN(I1605,0))=0, 0, (I1605-ROUNDDOWN(I1605,0)))</f>
      </c>
      <c r="K1605" s="7">
        <f>INDIRECT("C$"&amp;2+MIN(2,ROUNDDOWN(I1605,0))*3)*(-$J1605^3+3*$J1605^2-3*$J1605+1)+INDIRECT("C$"&amp;3+MIN(2,ROUNDDOWN(I1605,0))*3)*(3*$J1605^3-6*$J1605^2+3*$J1605)+INDIRECT("C$"&amp;4+MIN(2,ROUNDDOWN(I1605,0))*3)*(-3*$J1605^3+3*$J1605^2)+INDIRECT("C$"&amp;5+MIN(2,ROUNDDOWN(I1605,0))*3)*$J1605^3</f>
      </c>
      <c r="L1605" s="7">
        <f>INDIRECT("D$"&amp;2+MIN(2,ROUNDDOWN(I1605,0))*3)*(-$J1605^3+3*$J1605^2-3*$J1605+1)+INDIRECT("D$"&amp;3+MIN(2,ROUNDDOWN(I1605,0))*3)*(3*$J1605^3-6*$J1605^2+3*$J1605)+INDIRECT("D$"&amp;4+MIN(2,ROUNDDOWN(I1605,0))*3)*(-3*$J1605^3+3*$J1605^2)+INDIRECT("D$"&amp;5+MIN(2,ROUNDDOWN(I1605,0))*3)*$J1605^3</f>
      </c>
      <c r="M1605" s="7">
        <f>SQRT(K1605^2+L1605^2)</f>
      </c>
      <c r="N1605" s="7">
        <f>(K1606-K1604)</f>
      </c>
      <c r="O1605" s="7">
        <f>+(L1606-L1604)</f>
      </c>
      <c r="P1605" s="7">
        <f>SQRT(O1605^2+N1605^2)</f>
      </c>
      <c r="Q1605" s="7">
        <f>N1605/$P1605</f>
      </c>
      <c r="R1605" s="7">
        <f>O1605/$P1605</f>
      </c>
      <c r="S1605" s="8">
        <f>Q1605^2+R1605^2</f>
      </c>
      <c r="T1605" s="7">
        <f>-R1605</f>
      </c>
      <c r="U1605" s="7">
        <f>Q1605</f>
      </c>
      <c r="V1605" s="7">
        <f>($C$14+($C$15-$C$14)/($D$15-$D$14)*(I1605-$D$14))/2</f>
      </c>
      <c r="W1605" s="7">
        <f>($B$22*I1605^4+$C$22*I1605^3+$D$22*I1605^2+$E$22*I1605+$F$22)/2</f>
      </c>
      <c r="X1605" s="7">
        <f>($W1605)*(T1605)</f>
      </c>
      <c r="Y1605" s="7">
        <f>($W1605)*(U1605)</f>
      </c>
      <c r="Z1605" s="7">
        <f>SQRT(X1605^2+Y1605^2)</f>
      </c>
      <c r="AA1605" s="7">
        <f>$K1605+$X1605</f>
      </c>
      <c r="AB1605" s="7">
        <f>$L1605+$Y1605</f>
      </c>
      <c r="AC1605" s="7">
        <f>$K1605-$X1605</f>
      </c>
      <c r="AD1605" s="7">
        <f>$L1605-$Y1605</f>
      </c>
      <c r="AE1605" s="7">
        <f>AA1605/39.3701</f>
      </c>
      <c r="AF1605" s="7">
        <f>AB1605/39.3701</f>
      </c>
      <c r="AG1605" s="7">
        <f>AC1605/39.3701</f>
      </c>
      <c r="AH1605" s="7">
        <f>AD1605/39.3701</f>
      </c>
      <c r="AI1605" s="1"/>
      <c r="AJ1605" s="1"/>
      <c r="AK1605" s="1"/>
      <c r="AL1605" s="1"/>
      <c r="AM1605" s="2"/>
      <c r="AN1605" s="1"/>
      <c r="AO1605" s="1"/>
      <c r="AP1605" s="1"/>
      <c r="AQ1605" s="1"/>
      <c r="AR1605" s="1"/>
      <c r="AS1605" s="1"/>
      <c r="AT1605" s="1"/>
      <c r="AU1605" s="1"/>
      <c r="AV1605" s="1"/>
      <c r="AW1605" s="1"/>
      <c r="AX1605" s="1"/>
      <c r="AY1605" s="1"/>
      <c r="AZ1605" s="1"/>
      <c r="BA1605" s="1"/>
      <c r="BB1605" s="1"/>
      <c r="BC1605" s="1"/>
      <c r="BD1605" s="1"/>
      <c r="BE1605" s="1"/>
    </row>
    <row x14ac:dyDescent="0.25" r="1606" customHeight="1" ht="18.75">
      <c r="A1606" s="1"/>
      <c r="B1606" s="2"/>
      <c r="C1606" s="2"/>
      <c r="D1606" s="2"/>
      <c r="E1606" s="2"/>
      <c r="F1606" s="2"/>
      <c r="G1606" s="1"/>
      <c r="H1606" s="1"/>
      <c r="I1606" s="7">
        <v>1.603</v>
      </c>
      <c r="J1606" s="7">
        <f>IF((I1606-ROUNDDOWN(I1606,0))=0, 0, (I1606-ROUNDDOWN(I1606,0)))</f>
      </c>
      <c r="K1606" s="7">
        <f>INDIRECT("C$"&amp;2+MIN(2,ROUNDDOWN(I1606,0))*3)*(-$J1606^3+3*$J1606^2-3*$J1606+1)+INDIRECT("C$"&amp;3+MIN(2,ROUNDDOWN(I1606,0))*3)*(3*$J1606^3-6*$J1606^2+3*$J1606)+INDIRECT("C$"&amp;4+MIN(2,ROUNDDOWN(I1606,0))*3)*(-3*$J1606^3+3*$J1606^2)+INDIRECT("C$"&amp;5+MIN(2,ROUNDDOWN(I1606,0))*3)*$J1606^3</f>
      </c>
      <c r="L1606" s="7">
        <f>INDIRECT("D$"&amp;2+MIN(2,ROUNDDOWN(I1606,0))*3)*(-$J1606^3+3*$J1606^2-3*$J1606+1)+INDIRECT("D$"&amp;3+MIN(2,ROUNDDOWN(I1606,0))*3)*(3*$J1606^3-6*$J1606^2+3*$J1606)+INDIRECT("D$"&amp;4+MIN(2,ROUNDDOWN(I1606,0))*3)*(-3*$J1606^3+3*$J1606^2)+INDIRECT("D$"&amp;5+MIN(2,ROUNDDOWN(I1606,0))*3)*$J1606^3</f>
      </c>
      <c r="M1606" s="7">
        <f>SQRT(K1606^2+L1606^2)</f>
      </c>
      <c r="N1606" s="7">
        <f>(K1607-K1605)</f>
      </c>
      <c r="O1606" s="7">
        <f>+(L1607-L1605)</f>
      </c>
      <c r="P1606" s="7">
        <f>SQRT(O1606^2+N1606^2)</f>
      </c>
      <c r="Q1606" s="7">
        <f>N1606/$P1606</f>
      </c>
      <c r="R1606" s="7">
        <f>O1606/$P1606</f>
      </c>
      <c r="S1606" s="8">
        <f>Q1606^2+R1606^2</f>
      </c>
      <c r="T1606" s="7">
        <f>-R1606</f>
      </c>
      <c r="U1606" s="7">
        <f>Q1606</f>
      </c>
      <c r="V1606" s="7">
        <f>($C$14+($C$15-$C$14)/($D$15-$D$14)*(I1606-$D$14))/2</f>
      </c>
      <c r="W1606" s="7">
        <f>($B$22*I1606^4+$C$22*I1606^3+$D$22*I1606^2+$E$22*I1606+$F$22)/2</f>
      </c>
      <c r="X1606" s="7">
        <f>($W1606)*(T1606)</f>
      </c>
      <c r="Y1606" s="7">
        <f>($W1606)*(U1606)</f>
      </c>
      <c r="Z1606" s="7">
        <f>SQRT(X1606^2+Y1606^2)</f>
      </c>
      <c r="AA1606" s="7">
        <f>$K1606+$X1606</f>
      </c>
      <c r="AB1606" s="7">
        <f>$L1606+$Y1606</f>
      </c>
      <c r="AC1606" s="7">
        <f>$K1606-$X1606</f>
      </c>
      <c r="AD1606" s="7">
        <f>$L1606-$Y1606</f>
      </c>
      <c r="AE1606" s="7">
        <f>AA1606/39.3701</f>
      </c>
      <c r="AF1606" s="7">
        <f>AB1606/39.3701</f>
      </c>
      <c r="AG1606" s="7">
        <f>AC1606/39.3701</f>
      </c>
      <c r="AH1606" s="7">
        <f>AD1606/39.3701</f>
      </c>
      <c r="AI1606" s="1"/>
      <c r="AJ1606" s="1"/>
      <c r="AK1606" s="1"/>
      <c r="AL1606" s="1"/>
      <c r="AM1606" s="2"/>
      <c r="AN1606" s="1"/>
      <c r="AO1606" s="1"/>
      <c r="AP1606" s="1"/>
      <c r="AQ1606" s="1"/>
      <c r="AR1606" s="1"/>
      <c r="AS1606" s="1"/>
      <c r="AT1606" s="1"/>
      <c r="AU1606" s="1"/>
      <c r="AV1606" s="1"/>
      <c r="AW1606" s="1"/>
      <c r="AX1606" s="1"/>
      <c r="AY1606" s="1"/>
      <c r="AZ1606" s="1"/>
      <c r="BA1606" s="1"/>
      <c r="BB1606" s="1"/>
      <c r="BC1606" s="1"/>
      <c r="BD1606" s="1"/>
      <c r="BE1606" s="1"/>
    </row>
    <row x14ac:dyDescent="0.25" r="1607" customHeight="1" ht="18.75">
      <c r="A1607" s="1"/>
      <c r="B1607" s="2"/>
      <c r="C1607" s="2"/>
      <c r="D1607" s="2"/>
      <c r="E1607" s="2"/>
      <c r="F1607" s="2"/>
      <c r="G1607" s="1"/>
      <c r="H1607" s="1"/>
      <c r="I1607" s="7">
        <v>1.604</v>
      </c>
      <c r="J1607" s="7">
        <f>IF((I1607-ROUNDDOWN(I1607,0))=0, 0, (I1607-ROUNDDOWN(I1607,0)))</f>
      </c>
      <c r="K1607" s="7">
        <f>INDIRECT("C$"&amp;2+MIN(2,ROUNDDOWN(I1607,0))*3)*(-$J1607^3+3*$J1607^2-3*$J1607+1)+INDIRECT("C$"&amp;3+MIN(2,ROUNDDOWN(I1607,0))*3)*(3*$J1607^3-6*$J1607^2+3*$J1607)+INDIRECT("C$"&amp;4+MIN(2,ROUNDDOWN(I1607,0))*3)*(-3*$J1607^3+3*$J1607^2)+INDIRECT("C$"&amp;5+MIN(2,ROUNDDOWN(I1607,0))*3)*$J1607^3</f>
      </c>
      <c r="L1607" s="7">
        <f>INDIRECT("D$"&amp;2+MIN(2,ROUNDDOWN(I1607,0))*3)*(-$J1607^3+3*$J1607^2-3*$J1607+1)+INDIRECT("D$"&amp;3+MIN(2,ROUNDDOWN(I1607,0))*3)*(3*$J1607^3-6*$J1607^2+3*$J1607)+INDIRECT("D$"&amp;4+MIN(2,ROUNDDOWN(I1607,0))*3)*(-3*$J1607^3+3*$J1607^2)+INDIRECT("D$"&amp;5+MIN(2,ROUNDDOWN(I1607,0))*3)*$J1607^3</f>
      </c>
      <c r="M1607" s="7">
        <f>SQRT(K1607^2+L1607^2)</f>
      </c>
      <c r="N1607" s="7">
        <f>(K1608-K1606)</f>
      </c>
      <c r="O1607" s="7">
        <f>+(L1608-L1606)</f>
      </c>
      <c r="P1607" s="7">
        <f>SQRT(O1607^2+N1607^2)</f>
      </c>
      <c r="Q1607" s="7">
        <f>N1607/$P1607</f>
      </c>
      <c r="R1607" s="7">
        <f>O1607/$P1607</f>
      </c>
      <c r="S1607" s="7">
        <f>Q1607^2+R1607^2</f>
      </c>
      <c r="T1607" s="7">
        <f>-R1607</f>
      </c>
      <c r="U1607" s="7">
        <f>Q1607</f>
      </c>
      <c r="V1607" s="7">
        <f>($C$14+($C$15-$C$14)/($D$15-$D$14)*(I1607-$D$14))/2</f>
      </c>
      <c r="W1607" s="7">
        <f>($B$22*I1607^4+$C$22*I1607^3+$D$22*I1607^2+$E$22*I1607+$F$22)/2</f>
      </c>
      <c r="X1607" s="7">
        <f>($W1607)*(T1607)</f>
      </c>
      <c r="Y1607" s="7">
        <f>($W1607)*(U1607)</f>
      </c>
      <c r="Z1607" s="7">
        <f>SQRT(X1607^2+Y1607^2)</f>
      </c>
      <c r="AA1607" s="7">
        <f>$K1607+$X1607</f>
      </c>
      <c r="AB1607" s="7">
        <f>$L1607+$Y1607</f>
      </c>
      <c r="AC1607" s="7">
        <f>$K1607-$X1607</f>
      </c>
      <c r="AD1607" s="7">
        <f>$L1607-$Y1607</f>
      </c>
      <c r="AE1607" s="7">
        <f>AA1607/39.3701</f>
      </c>
      <c r="AF1607" s="7">
        <f>AB1607/39.3701</f>
      </c>
      <c r="AG1607" s="7">
        <f>AC1607/39.3701</f>
      </c>
      <c r="AH1607" s="7">
        <f>AD1607/39.3701</f>
      </c>
      <c r="AI1607" s="1"/>
      <c r="AJ1607" s="1"/>
      <c r="AK1607" s="1"/>
      <c r="AL1607" s="1"/>
      <c r="AM1607" s="2"/>
      <c r="AN1607" s="1"/>
      <c r="AO1607" s="1"/>
      <c r="AP1607" s="1"/>
      <c r="AQ1607" s="1"/>
      <c r="AR1607" s="1"/>
      <c r="AS1607" s="1"/>
      <c r="AT1607" s="1"/>
      <c r="AU1607" s="1"/>
      <c r="AV1607" s="1"/>
      <c r="AW1607" s="1"/>
      <c r="AX1607" s="1"/>
      <c r="AY1607" s="1"/>
      <c r="AZ1607" s="1"/>
      <c r="BA1607" s="1"/>
      <c r="BB1607" s="1"/>
      <c r="BC1607" s="1"/>
      <c r="BD1607" s="1"/>
      <c r="BE1607" s="1"/>
    </row>
    <row x14ac:dyDescent="0.25" r="1608" customHeight="1" ht="18.75">
      <c r="A1608" s="1"/>
      <c r="B1608" s="2"/>
      <c r="C1608" s="2"/>
      <c r="D1608" s="2"/>
      <c r="E1608" s="2"/>
      <c r="F1608" s="2"/>
      <c r="G1608" s="1"/>
      <c r="H1608" s="1"/>
      <c r="I1608" s="7">
        <v>1.605</v>
      </c>
      <c r="J1608" s="7">
        <f>IF((I1608-ROUNDDOWN(I1608,0))=0, 0, (I1608-ROUNDDOWN(I1608,0)))</f>
      </c>
      <c r="K1608" s="7">
        <f>INDIRECT("C$"&amp;2+MIN(2,ROUNDDOWN(I1608,0))*3)*(-$J1608^3+3*$J1608^2-3*$J1608+1)+INDIRECT("C$"&amp;3+MIN(2,ROUNDDOWN(I1608,0))*3)*(3*$J1608^3-6*$J1608^2+3*$J1608)+INDIRECT("C$"&amp;4+MIN(2,ROUNDDOWN(I1608,0))*3)*(-3*$J1608^3+3*$J1608^2)+INDIRECT("C$"&amp;5+MIN(2,ROUNDDOWN(I1608,0))*3)*$J1608^3</f>
      </c>
      <c r="L1608" s="7">
        <f>INDIRECT("D$"&amp;2+MIN(2,ROUNDDOWN(I1608,0))*3)*(-$J1608^3+3*$J1608^2-3*$J1608+1)+INDIRECT("D$"&amp;3+MIN(2,ROUNDDOWN(I1608,0))*3)*(3*$J1608^3-6*$J1608^2+3*$J1608)+INDIRECT("D$"&amp;4+MIN(2,ROUNDDOWN(I1608,0))*3)*(-3*$J1608^3+3*$J1608^2)+INDIRECT("D$"&amp;5+MIN(2,ROUNDDOWN(I1608,0))*3)*$J1608^3</f>
      </c>
      <c r="M1608" s="7">
        <f>SQRT(K1608^2+L1608^2)</f>
      </c>
      <c r="N1608" s="7">
        <f>(K1609-K1607)</f>
      </c>
      <c r="O1608" s="7">
        <f>+(L1609-L1607)</f>
      </c>
      <c r="P1608" s="7">
        <f>SQRT(O1608^2+N1608^2)</f>
      </c>
      <c r="Q1608" s="7">
        <f>N1608/$P1608</f>
      </c>
      <c r="R1608" s="7">
        <f>O1608/$P1608</f>
      </c>
      <c r="S1608" s="7">
        <f>Q1608^2+R1608^2</f>
      </c>
      <c r="T1608" s="7">
        <f>-R1608</f>
      </c>
      <c r="U1608" s="7">
        <f>Q1608</f>
      </c>
      <c r="V1608" s="7">
        <f>($C$14+($C$15-$C$14)/($D$15-$D$14)*(I1608-$D$14))/2</f>
      </c>
      <c r="W1608" s="7">
        <f>($B$22*I1608^4+$C$22*I1608^3+$D$22*I1608^2+$E$22*I1608+$F$22)/2</f>
      </c>
      <c r="X1608" s="7">
        <f>($W1608)*(T1608)</f>
      </c>
      <c r="Y1608" s="7">
        <f>($W1608)*(U1608)</f>
      </c>
      <c r="Z1608" s="7">
        <f>SQRT(X1608^2+Y1608^2)</f>
      </c>
      <c r="AA1608" s="7">
        <f>$K1608+$X1608</f>
      </c>
      <c r="AB1608" s="7">
        <f>$L1608+$Y1608</f>
      </c>
      <c r="AC1608" s="7">
        <f>$K1608-$X1608</f>
      </c>
      <c r="AD1608" s="7">
        <f>$L1608-$Y1608</f>
      </c>
      <c r="AE1608" s="7">
        <f>AA1608/39.3701</f>
      </c>
      <c r="AF1608" s="7">
        <f>AB1608/39.3701</f>
      </c>
      <c r="AG1608" s="7">
        <f>AC1608/39.3701</f>
      </c>
      <c r="AH1608" s="7">
        <f>AD1608/39.3701</f>
      </c>
      <c r="AI1608" s="1"/>
      <c r="AJ1608" s="1"/>
      <c r="AK1608" s="1"/>
      <c r="AL1608" s="1"/>
      <c r="AM1608" s="2"/>
      <c r="AN1608" s="1"/>
      <c r="AO1608" s="1"/>
      <c r="AP1608" s="1"/>
      <c r="AQ1608" s="1"/>
      <c r="AR1608" s="1"/>
      <c r="AS1608" s="1"/>
      <c r="AT1608" s="1"/>
      <c r="AU1608" s="1"/>
      <c r="AV1608" s="1"/>
      <c r="AW1608" s="1"/>
      <c r="AX1608" s="1"/>
      <c r="AY1608" s="1"/>
      <c r="AZ1608" s="1"/>
      <c r="BA1608" s="1"/>
      <c r="BB1608" s="1"/>
      <c r="BC1608" s="1"/>
      <c r="BD1608" s="1"/>
      <c r="BE1608" s="1"/>
    </row>
    <row x14ac:dyDescent="0.25" r="1609" customHeight="1" ht="18.75">
      <c r="A1609" s="1"/>
      <c r="B1609" s="2"/>
      <c r="C1609" s="2"/>
      <c r="D1609" s="2"/>
      <c r="E1609" s="2"/>
      <c r="F1609" s="2"/>
      <c r="G1609" s="1"/>
      <c r="H1609" s="1"/>
      <c r="I1609" s="7">
        <v>1.606</v>
      </c>
      <c r="J1609" s="7">
        <f>IF((I1609-ROUNDDOWN(I1609,0))=0, 0, (I1609-ROUNDDOWN(I1609,0)))</f>
      </c>
      <c r="K1609" s="7">
        <f>INDIRECT("C$"&amp;2+MIN(2,ROUNDDOWN(I1609,0))*3)*(-$J1609^3+3*$J1609^2-3*$J1609+1)+INDIRECT("C$"&amp;3+MIN(2,ROUNDDOWN(I1609,0))*3)*(3*$J1609^3-6*$J1609^2+3*$J1609)+INDIRECT("C$"&amp;4+MIN(2,ROUNDDOWN(I1609,0))*3)*(-3*$J1609^3+3*$J1609^2)+INDIRECT("C$"&amp;5+MIN(2,ROUNDDOWN(I1609,0))*3)*$J1609^3</f>
      </c>
      <c r="L1609" s="7">
        <f>INDIRECT("D$"&amp;2+MIN(2,ROUNDDOWN(I1609,0))*3)*(-$J1609^3+3*$J1609^2-3*$J1609+1)+INDIRECT("D$"&amp;3+MIN(2,ROUNDDOWN(I1609,0))*3)*(3*$J1609^3-6*$J1609^2+3*$J1609)+INDIRECT("D$"&amp;4+MIN(2,ROUNDDOWN(I1609,0))*3)*(-3*$J1609^3+3*$J1609^2)+INDIRECT("D$"&amp;5+MIN(2,ROUNDDOWN(I1609,0))*3)*$J1609^3</f>
      </c>
      <c r="M1609" s="7">
        <f>SQRT(K1609^2+L1609^2)</f>
      </c>
      <c r="N1609" s="7">
        <f>(K1610-K1608)</f>
      </c>
      <c r="O1609" s="7">
        <f>+(L1610-L1608)</f>
      </c>
      <c r="P1609" s="7">
        <f>SQRT(O1609^2+N1609^2)</f>
      </c>
      <c r="Q1609" s="7">
        <f>N1609/$P1609</f>
      </c>
      <c r="R1609" s="7">
        <f>O1609/$P1609</f>
      </c>
      <c r="S1609" s="7">
        <f>Q1609^2+R1609^2</f>
      </c>
      <c r="T1609" s="7">
        <f>-R1609</f>
      </c>
      <c r="U1609" s="7">
        <f>Q1609</f>
      </c>
      <c r="V1609" s="7">
        <f>($C$14+($C$15-$C$14)/($D$15-$D$14)*(I1609-$D$14))/2</f>
      </c>
      <c r="W1609" s="7">
        <f>($B$22*I1609^4+$C$22*I1609^3+$D$22*I1609^2+$E$22*I1609+$F$22)/2</f>
      </c>
      <c r="X1609" s="7">
        <f>($W1609)*(T1609)</f>
      </c>
      <c r="Y1609" s="7">
        <f>($W1609)*(U1609)</f>
      </c>
      <c r="Z1609" s="7">
        <f>SQRT(X1609^2+Y1609^2)</f>
      </c>
      <c r="AA1609" s="7">
        <f>$K1609+$X1609</f>
      </c>
      <c r="AB1609" s="7">
        <f>$L1609+$Y1609</f>
      </c>
      <c r="AC1609" s="7">
        <f>$K1609-$X1609</f>
      </c>
      <c r="AD1609" s="7">
        <f>$L1609-$Y1609</f>
      </c>
      <c r="AE1609" s="7">
        <f>AA1609/39.3701</f>
      </c>
      <c r="AF1609" s="7">
        <f>AB1609/39.3701</f>
      </c>
      <c r="AG1609" s="7">
        <f>AC1609/39.3701</f>
      </c>
      <c r="AH1609" s="7">
        <f>AD1609/39.3701</f>
      </c>
      <c r="AI1609" s="1"/>
      <c r="AJ1609" s="1"/>
      <c r="AK1609" s="1"/>
      <c r="AL1609" s="1"/>
      <c r="AM1609" s="2"/>
      <c r="AN1609" s="1"/>
      <c r="AO1609" s="1"/>
      <c r="AP1609" s="1"/>
      <c r="AQ1609" s="1"/>
      <c r="AR1609" s="1"/>
      <c r="AS1609" s="1"/>
      <c r="AT1609" s="1"/>
      <c r="AU1609" s="1"/>
      <c r="AV1609" s="1"/>
      <c r="AW1609" s="1"/>
      <c r="AX1609" s="1"/>
      <c r="AY1609" s="1"/>
      <c r="AZ1609" s="1"/>
      <c r="BA1609" s="1"/>
      <c r="BB1609" s="1"/>
      <c r="BC1609" s="1"/>
      <c r="BD1609" s="1"/>
      <c r="BE1609" s="1"/>
    </row>
    <row x14ac:dyDescent="0.25" r="1610" customHeight="1" ht="18.75">
      <c r="A1610" s="1"/>
      <c r="B1610" s="2"/>
      <c r="C1610" s="2"/>
      <c r="D1610" s="2"/>
      <c r="E1610" s="2"/>
      <c r="F1610" s="2"/>
      <c r="G1610" s="1"/>
      <c r="H1610" s="1"/>
      <c r="I1610" s="7">
        <v>1.607</v>
      </c>
      <c r="J1610" s="7">
        <f>IF((I1610-ROUNDDOWN(I1610,0))=0, 0, (I1610-ROUNDDOWN(I1610,0)))</f>
      </c>
      <c r="K1610" s="7">
        <f>INDIRECT("C$"&amp;2+MIN(2,ROUNDDOWN(I1610,0))*3)*(-$J1610^3+3*$J1610^2-3*$J1610+1)+INDIRECT("C$"&amp;3+MIN(2,ROUNDDOWN(I1610,0))*3)*(3*$J1610^3-6*$J1610^2+3*$J1610)+INDIRECT("C$"&amp;4+MIN(2,ROUNDDOWN(I1610,0))*3)*(-3*$J1610^3+3*$J1610^2)+INDIRECT("C$"&amp;5+MIN(2,ROUNDDOWN(I1610,0))*3)*$J1610^3</f>
      </c>
      <c r="L1610" s="7">
        <f>INDIRECT("D$"&amp;2+MIN(2,ROUNDDOWN(I1610,0))*3)*(-$J1610^3+3*$J1610^2-3*$J1610+1)+INDIRECT("D$"&amp;3+MIN(2,ROUNDDOWN(I1610,0))*3)*(3*$J1610^3-6*$J1610^2+3*$J1610)+INDIRECT("D$"&amp;4+MIN(2,ROUNDDOWN(I1610,0))*3)*(-3*$J1610^3+3*$J1610^2)+INDIRECT("D$"&amp;5+MIN(2,ROUNDDOWN(I1610,0))*3)*$J1610^3</f>
      </c>
      <c r="M1610" s="7">
        <f>SQRT(K1610^2+L1610^2)</f>
      </c>
      <c r="N1610" s="7">
        <f>(K1611-K1609)</f>
      </c>
      <c r="O1610" s="7">
        <f>+(L1611-L1609)</f>
      </c>
      <c r="P1610" s="7">
        <f>SQRT(O1610^2+N1610^2)</f>
      </c>
      <c r="Q1610" s="7">
        <f>N1610/$P1610</f>
      </c>
      <c r="R1610" s="7">
        <f>O1610/$P1610</f>
      </c>
      <c r="S1610" s="7">
        <f>Q1610^2+R1610^2</f>
      </c>
      <c r="T1610" s="7">
        <f>-R1610</f>
      </c>
      <c r="U1610" s="7">
        <f>Q1610</f>
      </c>
      <c r="V1610" s="7">
        <f>($C$14+($C$15-$C$14)/($D$15-$D$14)*(I1610-$D$14))/2</f>
      </c>
      <c r="W1610" s="7">
        <f>($B$22*I1610^4+$C$22*I1610^3+$D$22*I1610^2+$E$22*I1610+$F$22)/2</f>
      </c>
      <c r="X1610" s="7">
        <f>($W1610)*(T1610)</f>
      </c>
      <c r="Y1610" s="7">
        <f>($W1610)*(U1610)</f>
      </c>
      <c r="Z1610" s="7">
        <f>SQRT(X1610^2+Y1610^2)</f>
      </c>
      <c r="AA1610" s="7">
        <f>$K1610+$X1610</f>
      </c>
      <c r="AB1610" s="7">
        <f>$L1610+$Y1610</f>
      </c>
      <c r="AC1610" s="7">
        <f>$K1610-$X1610</f>
      </c>
      <c r="AD1610" s="7">
        <f>$L1610-$Y1610</f>
      </c>
      <c r="AE1610" s="7">
        <f>AA1610/39.3701</f>
      </c>
      <c r="AF1610" s="7">
        <f>AB1610/39.3701</f>
      </c>
      <c r="AG1610" s="7">
        <f>AC1610/39.3701</f>
      </c>
      <c r="AH1610" s="7">
        <f>AD1610/39.3701</f>
      </c>
      <c r="AI1610" s="1"/>
      <c r="AJ1610" s="1"/>
      <c r="AK1610" s="1"/>
      <c r="AL1610" s="1"/>
      <c r="AM1610" s="2"/>
      <c r="AN1610" s="1"/>
      <c r="AO1610" s="1"/>
      <c r="AP1610" s="1"/>
      <c r="AQ1610" s="1"/>
      <c r="AR1610" s="1"/>
      <c r="AS1610" s="1"/>
      <c r="AT1610" s="1"/>
      <c r="AU1610" s="1"/>
      <c r="AV1610" s="1"/>
      <c r="AW1610" s="1"/>
      <c r="AX1610" s="1"/>
      <c r="AY1610" s="1"/>
      <c r="AZ1610" s="1"/>
      <c r="BA1610" s="1"/>
      <c r="BB1610" s="1"/>
      <c r="BC1610" s="1"/>
      <c r="BD1610" s="1"/>
      <c r="BE1610" s="1"/>
    </row>
    <row x14ac:dyDescent="0.25" r="1611" customHeight="1" ht="18.75">
      <c r="A1611" s="1"/>
      <c r="B1611" s="2"/>
      <c r="C1611" s="2"/>
      <c r="D1611" s="2"/>
      <c r="E1611" s="2"/>
      <c r="F1611" s="2"/>
      <c r="G1611" s="1"/>
      <c r="H1611" s="1"/>
      <c r="I1611" s="7">
        <v>1.608</v>
      </c>
      <c r="J1611" s="7">
        <f>IF((I1611-ROUNDDOWN(I1611,0))=0, 0, (I1611-ROUNDDOWN(I1611,0)))</f>
      </c>
      <c r="K1611" s="7">
        <f>INDIRECT("C$"&amp;2+MIN(2,ROUNDDOWN(I1611,0))*3)*(-$J1611^3+3*$J1611^2-3*$J1611+1)+INDIRECT("C$"&amp;3+MIN(2,ROUNDDOWN(I1611,0))*3)*(3*$J1611^3-6*$J1611^2+3*$J1611)+INDIRECT("C$"&amp;4+MIN(2,ROUNDDOWN(I1611,0))*3)*(-3*$J1611^3+3*$J1611^2)+INDIRECT("C$"&amp;5+MIN(2,ROUNDDOWN(I1611,0))*3)*$J1611^3</f>
      </c>
      <c r="L1611" s="7">
        <f>INDIRECT("D$"&amp;2+MIN(2,ROUNDDOWN(I1611,0))*3)*(-$J1611^3+3*$J1611^2-3*$J1611+1)+INDIRECT("D$"&amp;3+MIN(2,ROUNDDOWN(I1611,0))*3)*(3*$J1611^3-6*$J1611^2+3*$J1611)+INDIRECT("D$"&amp;4+MIN(2,ROUNDDOWN(I1611,0))*3)*(-3*$J1611^3+3*$J1611^2)+INDIRECT("D$"&amp;5+MIN(2,ROUNDDOWN(I1611,0))*3)*$J1611^3</f>
      </c>
      <c r="M1611" s="7">
        <f>SQRT(K1611^2+L1611^2)</f>
      </c>
      <c r="N1611" s="7">
        <f>(K1612-K1610)</f>
      </c>
      <c r="O1611" s="7">
        <f>+(L1612-L1610)</f>
      </c>
      <c r="P1611" s="7">
        <f>SQRT(O1611^2+N1611^2)</f>
      </c>
      <c r="Q1611" s="7">
        <f>N1611/$P1611</f>
      </c>
      <c r="R1611" s="7">
        <f>O1611/$P1611</f>
      </c>
      <c r="S1611" s="8">
        <f>Q1611^2+R1611^2</f>
      </c>
      <c r="T1611" s="7">
        <f>-R1611</f>
      </c>
      <c r="U1611" s="7">
        <f>Q1611</f>
      </c>
      <c r="V1611" s="7">
        <f>($C$14+($C$15-$C$14)/($D$15-$D$14)*(I1611-$D$14))/2</f>
      </c>
      <c r="W1611" s="7">
        <f>($B$22*I1611^4+$C$22*I1611^3+$D$22*I1611^2+$E$22*I1611+$F$22)/2</f>
      </c>
      <c r="X1611" s="7">
        <f>($W1611)*(T1611)</f>
      </c>
      <c r="Y1611" s="7">
        <f>($W1611)*(U1611)</f>
      </c>
      <c r="Z1611" s="7">
        <f>SQRT(X1611^2+Y1611^2)</f>
      </c>
      <c r="AA1611" s="7">
        <f>$K1611+$X1611</f>
      </c>
      <c r="AB1611" s="7">
        <f>$L1611+$Y1611</f>
      </c>
      <c r="AC1611" s="7">
        <f>$K1611-$X1611</f>
      </c>
      <c r="AD1611" s="7">
        <f>$L1611-$Y1611</f>
      </c>
      <c r="AE1611" s="7">
        <f>AA1611/39.3701</f>
      </c>
      <c r="AF1611" s="7">
        <f>AB1611/39.3701</f>
      </c>
      <c r="AG1611" s="7">
        <f>AC1611/39.3701</f>
      </c>
      <c r="AH1611" s="7">
        <f>AD1611/39.3701</f>
      </c>
      <c r="AI1611" s="1"/>
      <c r="AJ1611" s="1"/>
      <c r="AK1611" s="1"/>
      <c r="AL1611" s="1"/>
      <c r="AM1611" s="2"/>
      <c r="AN1611" s="1"/>
      <c r="AO1611" s="1"/>
      <c r="AP1611" s="1"/>
      <c r="AQ1611" s="1"/>
      <c r="AR1611" s="1"/>
      <c r="AS1611" s="1"/>
      <c r="AT1611" s="1"/>
      <c r="AU1611" s="1"/>
      <c r="AV1611" s="1"/>
      <c r="AW1611" s="1"/>
      <c r="AX1611" s="1"/>
      <c r="AY1611" s="1"/>
      <c r="AZ1611" s="1"/>
      <c r="BA1611" s="1"/>
      <c r="BB1611" s="1"/>
      <c r="BC1611" s="1"/>
      <c r="BD1611" s="1"/>
      <c r="BE1611" s="1"/>
    </row>
    <row x14ac:dyDescent="0.25" r="1612" customHeight="1" ht="18.75">
      <c r="A1612" s="1"/>
      <c r="B1612" s="2"/>
      <c r="C1612" s="2"/>
      <c r="D1612" s="2"/>
      <c r="E1612" s="2"/>
      <c r="F1612" s="2"/>
      <c r="G1612" s="1"/>
      <c r="H1612" s="1"/>
      <c r="I1612" s="7">
        <v>1.609</v>
      </c>
      <c r="J1612" s="7">
        <f>IF((I1612-ROUNDDOWN(I1612,0))=0, 0, (I1612-ROUNDDOWN(I1612,0)))</f>
      </c>
      <c r="K1612" s="7">
        <f>INDIRECT("C$"&amp;2+MIN(2,ROUNDDOWN(I1612,0))*3)*(-$J1612^3+3*$J1612^2-3*$J1612+1)+INDIRECT("C$"&amp;3+MIN(2,ROUNDDOWN(I1612,0))*3)*(3*$J1612^3-6*$J1612^2+3*$J1612)+INDIRECT("C$"&amp;4+MIN(2,ROUNDDOWN(I1612,0))*3)*(-3*$J1612^3+3*$J1612^2)+INDIRECT("C$"&amp;5+MIN(2,ROUNDDOWN(I1612,0))*3)*$J1612^3</f>
      </c>
      <c r="L1612" s="7">
        <f>INDIRECT("D$"&amp;2+MIN(2,ROUNDDOWN(I1612,0))*3)*(-$J1612^3+3*$J1612^2-3*$J1612+1)+INDIRECT("D$"&amp;3+MIN(2,ROUNDDOWN(I1612,0))*3)*(3*$J1612^3-6*$J1612^2+3*$J1612)+INDIRECT("D$"&amp;4+MIN(2,ROUNDDOWN(I1612,0))*3)*(-3*$J1612^3+3*$J1612^2)+INDIRECT("D$"&amp;5+MIN(2,ROUNDDOWN(I1612,0))*3)*$J1612^3</f>
      </c>
      <c r="M1612" s="7">
        <f>SQRT(K1612^2+L1612^2)</f>
      </c>
      <c r="N1612" s="7">
        <f>(K1613-K1611)</f>
      </c>
      <c r="O1612" s="7">
        <f>+(L1613-L1611)</f>
      </c>
      <c r="P1612" s="7">
        <f>SQRT(O1612^2+N1612^2)</f>
      </c>
      <c r="Q1612" s="7">
        <f>N1612/$P1612</f>
      </c>
      <c r="R1612" s="7">
        <f>O1612/$P1612</f>
      </c>
      <c r="S1612" s="7">
        <f>Q1612^2+R1612^2</f>
      </c>
      <c r="T1612" s="7">
        <f>-R1612</f>
      </c>
      <c r="U1612" s="7">
        <f>Q1612</f>
      </c>
      <c r="V1612" s="7">
        <f>($C$14+($C$15-$C$14)/($D$15-$D$14)*(I1612-$D$14))/2</f>
      </c>
      <c r="W1612" s="7">
        <f>($B$22*I1612^4+$C$22*I1612^3+$D$22*I1612^2+$E$22*I1612+$F$22)/2</f>
      </c>
      <c r="X1612" s="7">
        <f>($W1612)*(T1612)</f>
      </c>
      <c r="Y1612" s="7">
        <f>($W1612)*(U1612)</f>
      </c>
      <c r="Z1612" s="7">
        <f>SQRT(X1612^2+Y1612^2)</f>
      </c>
      <c r="AA1612" s="7">
        <f>$K1612+$X1612</f>
      </c>
      <c r="AB1612" s="7">
        <f>$L1612+$Y1612</f>
      </c>
      <c r="AC1612" s="7">
        <f>$K1612-$X1612</f>
      </c>
      <c r="AD1612" s="7">
        <f>$L1612-$Y1612</f>
      </c>
      <c r="AE1612" s="7">
        <f>AA1612/39.3701</f>
      </c>
      <c r="AF1612" s="7">
        <f>AB1612/39.3701</f>
      </c>
      <c r="AG1612" s="7">
        <f>AC1612/39.3701</f>
      </c>
      <c r="AH1612" s="7">
        <f>AD1612/39.3701</f>
      </c>
      <c r="AI1612" s="1"/>
      <c r="AJ1612" s="1"/>
      <c r="AK1612" s="1"/>
      <c r="AL1612" s="1"/>
      <c r="AM1612" s="2"/>
      <c r="AN1612" s="1"/>
      <c r="AO1612" s="1"/>
      <c r="AP1612" s="1"/>
      <c r="AQ1612" s="1"/>
      <c r="AR1612" s="1"/>
      <c r="AS1612" s="1"/>
      <c r="AT1612" s="1"/>
      <c r="AU1612" s="1"/>
      <c r="AV1612" s="1"/>
      <c r="AW1612" s="1"/>
      <c r="AX1612" s="1"/>
      <c r="AY1612" s="1"/>
      <c r="AZ1612" s="1"/>
      <c r="BA1612" s="1"/>
      <c r="BB1612" s="1"/>
      <c r="BC1612" s="1"/>
      <c r="BD1612" s="1"/>
      <c r="BE1612" s="1"/>
    </row>
    <row x14ac:dyDescent="0.25" r="1613" customHeight="1" ht="18.75">
      <c r="A1613" s="1"/>
      <c r="B1613" s="2"/>
      <c r="C1613" s="2"/>
      <c r="D1613" s="2"/>
      <c r="E1613" s="2"/>
      <c r="F1613" s="2"/>
      <c r="G1613" s="1"/>
      <c r="H1613" s="1"/>
      <c r="I1613" s="7">
        <v>1.61</v>
      </c>
      <c r="J1613" s="7">
        <f>IF((I1613-ROUNDDOWN(I1613,0))=0, 0, (I1613-ROUNDDOWN(I1613,0)))</f>
      </c>
      <c r="K1613" s="7">
        <f>INDIRECT("C$"&amp;2+MIN(2,ROUNDDOWN(I1613,0))*3)*(-$J1613^3+3*$J1613^2-3*$J1613+1)+INDIRECT("C$"&amp;3+MIN(2,ROUNDDOWN(I1613,0))*3)*(3*$J1613^3-6*$J1613^2+3*$J1613)+INDIRECT("C$"&amp;4+MIN(2,ROUNDDOWN(I1613,0))*3)*(-3*$J1613^3+3*$J1613^2)+INDIRECT("C$"&amp;5+MIN(2,ROUNDDOWN(I1613,0))*3)*$J1613^3</f>
      </c>
      <c r="L1613" s="7">
        <f>INDIRECT("D$"&amp;2+MIN(2,ROUNDDOWN(I1613,0))*3)*(-$J1613^3+3*$J1613^2-3*$J1613+1)+INDIRECT("D$"&amp;3+MIN(2,ROUNDDOWN(I1613,0))*3)*(3*$J1613^3-6*$J1613^2+3*$J1613)+INDIRECT("D$"&amp;4+MIN(2,ROUNDDOWN(I1613,0))*3)*(-3*$J1613^3+3*$J1613^2)+INDIRECT("D$"&amp;5+MIN(2,ROUNDDOWN(I1613,0))*3)*$J1613^3</f>
      </c>
      <c r="M1613" s="7">
        <f>SQRT(K1613^2+L1613^2)</f>
      </c>
      <c r="N1613" s="7">
        <f>(K1614-K1612)</f>
      </c>
      <c r="O1613" s="7">
        <f>+(L1614-L1612)</f>
      </c>
      <c r="P1613" s="7">
        <f>SQRT(O1613^2+N1613^2)</f>
      </c>
      <c r="Q1613" s="7">
        <f>N1613/$P1613</f>
      </c>
      <c r="R1613" s="7">
        <f>O1613/$P1613</f>
      </c>
      <c r="S1613" s="8">
        <f>Q1613^2+R1613^2</f>
      </c>
      <c r="T1613" s="7">
        <f>-R1613</f>
      </c>
      <c r="U1613" s="7">
        <f>Q1613</f>
      </c>
      <c r="V1613" s="7">
        <f>($C$14+($C$15-$C$14)/($D$15-$D$14)*(I1613-$D$14))/2</f>
      </c>
      <c r="W1613" s="7">
        <f>($B$22*I1613^4+$C$22*I1613^3+$D$22*I1613^2+$E$22*I1613+$F$22)/2</f>
      </c>
      <c r="X1613" s="7">
        <f>($W1613)*(T1613)</f>
      </c>
      <c r="Y1613" s="7">
        <f>($W1613)*(U1613)</f>
      </c>
      <c r="Z1613" s="7">
        <f>SQRT(X1613^2+Y1613^2)</f>
      </c>
      <c r="AA1613" s="7">
        <f>$K1613+$X1613</f>
      </c>
      <c r="AB1613" s="7">
        <f>$L1613+$Y1613</f>
      </c>
      <c r="AC1613" s="7">
        <f>$K1613-$X1613</f>
      </c>
      <c r="AD1613" s="7">
        <f>$L1613-$Y1613</f>
      </c>
      <c r="AE1613" s="7">
        <f>AA1613/39.3701</f>
      </c>
      <c r="AF1613" s="7">
        <f>AB1613/39.3701</f>
      </c>
      <c r="AG1613" s="7">
        <f>AC1613/39.3701</f>
      </c>
      <c r="AH1613" s="7">
        <f>AD1613/39.3701</f>
      </c>
      <c r="AI1613" s="1"/>
      <c r="AJ1613" s="1"/>
      <c r="AK1613" s="1"/>
      <c r="AL1613" s="1"/>
      <c r="AM1613" s="2"/>
      <c r="AN1613" s="1"/>
      <c r="AO1613" s="1"/>
      <c r="AP1613" s="1"/>
      <c r="AQ1613" s="1"/>
      <c r="AR1613" s="1"/>
      <c r="AS1613" s="1"/>
      <c r="AT1613" s="1"/>
      <c r="AU1613" s="1"/>
      <c r="AV1613" s="1"/>
      <c r="AW1613" s="1"/>
      <c r="AX1613" s="1"/>
      <c r="AY1613" s="1"/>
      <c r="AZ1613" s="1"/>
      <c r="BA1613" s="1"/>
      <c r="BB1613" s="1"/>
      <c r="BC1613" s="1"/>
      <c r="BD1613" s="1"/>
      <c r="BE1613" s="1"/>
    </row>
    <row x14ac:dyDescent="0.25" r="1614" customHeight="1" ht="18.75">
      <c r="A1614" s="1"/>
      <c r="B1614" s="2"/>
      <c r="C1614" s="2"/>
      <c r="D1614" s="2"/>
      <c r="E1614" s="2"/>
      <c r="F1614" s="2"/>
      <c r="G1614" s="1"/>
      <c r="H1614" s="1"/>
      <c r="I1614" s="7">
        <v>1.611</v>
      </c>
      <c r="J1614" s="7">
        <f>IF((I1614-ROUNDDOWN(I1614,0))=0, 0, (I1614-ROUNDDOWN(I1614,0)))</f>
      </c>
      <c r="K1614" s="7">
        <f>INDIRECT("C$"&amp;2+MIN(2,ROUNDDOWN(I1614,0))*3)*(-$J1614^3+3*$J1614^2-3*$J1614+1)+INDIRECT("C$"&amp;3+MIN(2,ROUNDDOWN(I1614,0))*3)*(3*$J1614^3-6*$J1614^2+3*$J1614)+INDIRECT("C$"&amp;4+MIN(2,ROUNDDOWN(I1614,0))*3)*(-3*$J1614^3+3*$J1614^2)+INDIRECT("C$"&amp;5+MIN(2,ROUNDDOWN(I1614,0))*3)*$J1614^3</f>
      </c>
      <c r="L1614" s="7">
        <f>INDIRECT("D$"&amp;2+MIN(2,ROUNDDOWN(I1614,0))*3)*(-$J1614^3+3*$J1614^2-3*$J1614+1)+INDIRECT("D$"&amp;3+MIN(2,ROUNDDOWN(I1614,0))*3)*(3*$J1614^3-6*$J1614^2+3*$J1614)+INDIRECT("D$"&amp;4+MIN(2,ROUNDDOWN(I1614,0))*3)*(-3*$J1614^3+3*$J1614^2)+INDIRECT("D$"&amp;5+MIN(2,ROUNDDOWN(I1614,0))*3)*$J1614^3</f>
      </c>
      <c r="M1614" s="7">
        <f>SQRT(K1614^2+L1614^2)</f>
      </c>
      <c r="N1614" s="7">
        <f>(K1615-K1613)</f>
      </c>
      <c r="O1614" s="7">
        <f>+(L1615-L1613)</f>
      </c>
      <c r="P1614" s="7">
        <f>SQRT(O1614^2+N1614^2)</f>
      </c>
      <c r="Q1614" s="7">
        <f>N1614/$P1614</f>
      </c>
      <c r="R1614" s="7">
        <f>O1614/$P1614</f>
      </c>
      <c r="S1614" s="8">
        <f>Q1614^2+R1614^2</f>
      </c>
      <c r="T1614" s="7">
        <f>-R1614</f>
      </c>
      <c r="U1614" s="7">
        <f>Q1614</f>
      </c>
      <c r="V1614" s="7">
        <f>($C$14+($C$15-$C$14)/($D$15-$D$14)*(I1614-$D$14))/2</f>
      </c>
      <c r="W1614" s="7">
        <f>($B$22*I1614^4+$C$22*I1614^3+$D$22*I1614^2+$E$22*I1614+$F$22)/2</f>
      </c>
      <c r="X1614" s="7">
        <f>($W1614)*(T1614)</f>
      </c>
      <c r="Y1614" s="7">
        <f>($W1614)*(U1614)</f>
      </c>
      <c r="Z1614" s="7">
        <f>SQRT(X1614^2+Y1614^2)</f>
      </c>
      <c r="AA1614" s="7">
        <f>$K1614+$X1614</f>
      </c>
      <c r="AB1614" s="7">
        <f>$L1614+$Y1614</f>
      </c>
      <c r="AC1614" s="7">
        <f>$K1614-$X1614</f>
      </c>
      <c r="AD1614" s="7">
        <f>$L1614-$Y1614</f>
      </c>
      <c r="AE1614" s="7">
        <f>AA1614/39.3701</f>
      </c>
      <c r="AF1614" s="7">
        <f>AB1614/39.3701</f>
      </c>
      <c r="AG1614" s="7">
        <f>AC1614/39.3701</f>
      </c>
      <c r="AH1614" s="7">
        <f>AD1614/39.3701</f>
      </c>
      <c r="AI1614" s="1"/>
      <c r="AJ1614" s="1"/>
      <c r="AK1614" s="1"/>
      <c r="AL1614" s="1"/>
      <c r="AM1614" s="2"/>
      <c r="AN1614" s="1"/>
      <c r="AO1614" s="1"/>
      <c r="AP1614" s="1"/>
      <c r="AQ1614" s="1"/>
      <c r="AR1614" s="1"/>
      <c r="AS1614" s="1"/>
      <c r="AT1614" s="1"/>
      <c r="AU1614" s="1"/>
      <c r="AV1614" s="1"/>
      <c r="AW1614" s="1"/>
      <c r="AX1614" s="1"/>
      <c r="AY1614" s="1"/>
      <c r="AZ1614" s="1"/>
      <c r="BA1614" s="1"/>
      <c r="BB1614" s="1"/>
      <c r="BC1614" s="1"/>
      <c r="BD1614" s="1"/>
      <c r="BE1614" s="1"/>
    </row>
    <row x14ac:dyDescent="0.25" r="1615" customHeight="1" ht="18.75">
      <c r="A1615" s="1"/>
      <c r="B1615" s="2"/>
      <c r="C1615" s="2"/>
      <c r="D1615" s="2"/>
      <c r="E1615" s="2"/>
      <c r="F1615" s="2"/>
      <c r="G1615" s="1"/>
      <c r="H1615" s="1"/>
      <c r="I1615" s="7">
        <v>1.612</v>
      </c>
      <c r="J1615" s="7">
        <f>IF((I1615-ROUNDDOWN(I1615,0))=0, 0, (I1615-ROUNDDOWN(I1615,0)))</f>
      </c>
      <c r="K1615" s="7">
        <f>INDIRECT("C$"&amp;2+MIN(2,ROUNDDOWN(I1615,0))*3)*(-$J1615^3+3*$J1615^2-3*$J1615+1)+INDIRECT("C$"&amp;3+MIN(2,ROUNDDOWN(I1615,0))*3)*(3*$J1615^3-6*$J1615^2+3*$J1615)+INDIRECT("C$"&amp;4+MIN(2,ROUNDDOWN(I1615,0))*3)*(-3*$J1615^3+3*$J1615^2)+INDIRECT("C$"&amp;5+MIN(2,ROUNDDOWN(I1615,0))*3)*$J1615^3</f>
      </c>
      <c r="L1615" s="7">
        <f>INDIRECT("D$"&amp;2+MIN(2,ROUNDDOWN(I1615,0))*3)*(-$J1615^3+3*$J1615^2-3*$J1615+1)+INDIRECT("D$"&amp;3+MIN(2,ROUNDDOWN(I1615,0))*3)*(3*$J1615^3-6*$J1615^2+3*$J1615)+INDIRECT("D$"&amp;4+MIN(2,ROUNDDOWN(I1615,0))*3)*(-3*$J1615^3+3*$J1615^2)+INDIRECT("D$"&amp;5+MIN(2,ROUNDDOWN(I1615,0))*3)*$J1615^3</f>
      </c>
      <c r="M1615" s="7">
        <f>SQRT(K1615^2+L1615^2)</f>
      </c>
      <c r="N1615" s="7">
        <f>(K1616-K1614)</f>
      </c>
      <c r="O1615" s="7">
        <f>+(L1616-L1614)</f>
      </c>
      <c r="P1615" s="7">
        <f>SQRT(O1615^2+N1615^2)</f>
      </c>
      <c r="Q1615" s="7">
        <f>N1615/$P1615</f>
      </c>
      <c r="R1615" s="7">
        <f>O1615/$P1615</f>
      </c>
      <c r="S1615" s="7">
        <f>Q1615^2+R1615^2</f>
      </c>
      <c r="T1615" s="7">
        <f>-R1615</f>
      </c>
      <c r="U1615" s="7">
        <f>Q1615</f>
      </c>
      <c r="V1615" s="7">
        <f>($C$14+($C$15-$C$14)/($D$15-$D$14)*(I1615-$D$14))/2</f>
      </c>
      <c r="W1615" s="7">
        <f>($B$22*I1615^4+$C$22*I1615^3+$D$22*I1615^2+$E$22*I1615+$F$22)/2</f>
      </c>
      <c r="X1615" s="7">
        <f>($W1615)*(T1615)</f>
      </c>
      <c r="Y1615" s="7">
        <f>($W1615)*(U1615)</f>
      </c>
      <c r="Z1615" s="7">
        <f>SQRT(X1615^2+Y1615^2)</f>
      </c>
      <c r="AA1615" s="7">
        <f>$K1615+$X1615</f>
      </c>
      <c r="AB1615" s="7">
        <f>$L1615+$Y1615</f>
      </c>
      <c r="AC1615" s="7">
        <f>$K1615-$X1615</f>
      </c>
      <c r="AD1615" s="7">
        <f>$L1615-$Y1615</f>
      </c>
      <c r="AE1615" s="7">
        <f>AA1615/39.3701</f>
      </c>
      <c r="AF1615" s="7">
        <f>AB1615/39.3701</f>
      </c>
      <c r="AG1615" s="7">
        <f>AC1615/39.3701</f>
      </c>
      <c r="AH1615" s="7">
        <f>AD1615/39.3701</f>
      </c>
      <c r="AI1615" s="1"/>
      <c r="AJ1615" s="1"/>
      <c r="AK1615" s="1"/>
      <c r="AL1615" s="1"/>
      <c r="AM1615" s="2"/>
      <c r="AN1615" s="1"/>
      <c r="AO1615" s="1"/>
      <c r="AP1615" s="1"/>
      <c r="AQ1615" s="1"/>
      <c r="AR1615" s="1"/>
      <c r="AS1615" s="1"/>
      <c r="AT1615" s="1"/>
      <c r="AU1615" s="1"/>
      <c r="AV1615" s="1"/>
      <c r="AW1615" s="1"/>
      <c r="AX1615" s="1"/>
      <c r="AY1615" s="1"/>
      <c r="AZ1615" s="1"/>
      <c r="BA1615" s="1"/>
      <c r="BB1615" s="1"/>
      <c r="BC1615" s="1"/>
      <c r="BD1615" s="1"/>
      <c r="BE1615" s="1"/>
    </row>
    <row x14ac:dyDescent="0.25" r="1616" customHeight="1" ht="18.75">
      <c r="A1616" s="1"/>
      <c r="B1616" s="2"/>
      <c r="C1616" s="2"/>
      <c r="D1616" s="2"/>
      <c r="E1616" s="2"/>
      <c r="F1616" s="2"/>
      <c r="G1616" s="1"/>
      <c r="H1616" s="1"/>
      <c r="I1616" s="7">
        <v>1.613</v>
      </c>
      <c r="J1616" s="7">
        <f>IF((I1616-ROUNDDOWN(I1616,0))=0, 0, (I1616-ROUNDDOWN(I1616,0)))</f>
      </c>
      <c r="K1616" s="7">
        <f>INDIRECT("C$"&amp;2+MIN(2,ROUNDDOWN(I1616,0))*3)*(-$J1616^3+3*$J1616^2-3*$J1616+1)+INDIRECT("C$"&amp;3+MIN(2,ROUNDDOWN(I1616,0))*3)*(3*$J1616^3-6*$J1616^2+3*$J1616)+INDIRECT("C$"&amp;4+MIN(2,ROUNDDOWN(I1616,0))*3)*(-3*$J1616^3+3*$J1616^2)+INDIRECT("C$"&amp;5+MIN(2,ROUNDDOWN(I1616,0))*3)*$J1616^3</f>
      </c>
      <c r="L1616" s="7">
        <f>INDIRECT("D$"&amp;2+MIN(2,ROUNDDOWN(I1616,0))*3)*(-$J1616^3+3*$J1616^2-3*$J1616+1)+INDIRECT("D$"&amp;3+MIN(2,ROUNDDOWN(I1616,0))*3)*(3*$J1616^3-6*$J1616^2+3*$J1616)+INDIRECT("D$"&amp;4+MIN(2,ROUNDDOWN(I1616,0))*3)*(-3*$J1616^3+3*$J1616^2)+INDIRECT("D$"&amp;5+MIN(2,ROUNDDOWN(I1616,0))*3)*$J1616^3</f>
      </c>
      <c r="M1616" s="7">
        <f>SQRT(K1616^2+L1616^2)</f>
      </c>
      <c r="N1616" s="7">
        <f>(K1617-K1615)</f>
      </c>
      <c r="O1616" s="7">
        <f>+(L1617-L1615)</f>
      </c>
      <c r="P1616" s="7">
        <f>SQRT(O1616^2+N1616^2)</f>
      </c>
      <c r="Q1616" s="7">
        <f>N1616/$P1616</f>
      </c>
      <c r="R1616" s="7">
        <f>O1616/$P1616</f>
      </c>
      <c r="S1616" s="8">
        <f>Q1616^2+R1616^2</f>
      </c>
      <c r="T1616" s="7">
        <f>-R1616</f>
      </c>
      <c r="U1616" s="7">
        <f>Q1616</f>
      </c>
      <c r="V1616" s="7">
        <f>($C$14+($C$15-$C$14)/($D$15-$D$14)*(I1616-$D$14))/2</f>
      </c>
      <c r="W1616" s="7">
        <f>($B$22*I1616^4+$C$22*I1616^3+$D$22*I1616^2+$E$22*I1616+$F$22)/2</f>
      </c>
      <c r="X1616" s="7">
        <f>($W1616)*(T1616)</f>
      </c>
      <c r="Y1616" s="7">
        <f>($W1616)*(U1616)</f>
      </c>
      <c r="Z1616" s="7">
        <f>SQRT(X1616^2+Y1616^2)</f>
      </c>
      <c r="AA1616" s="7">
        <f>$K1616+$X1616</f>
      </c>
      <c r="AB1616" s="7">
        <f>$L1616+$Y1616</f>
      </c>
      <c r="AC1616" s="7">
        <f>$K1616-$X1616</f>
      </c>
      <c r="AD1616" s="7">
        <f>$L1616-$Y1616</f>
      </c>
      <c r="AE1616" s="7">
        <f>AA1616/39.3701</f>
      </c>
      <c r="AF1616" s="7">
        <f>AB1616/39.3701</f>
      </c>
      <c r="AG1616" s="7">
        <f>AC1616/39.3701</f>
      </c>
      <c r="AH1616" s="7">
        <f>AD1616/39.3701</f>
      </c>
      <c r="AI1616" s="1"/>
      <c r="AJ1616" s="1"/>
      <c r="AK1616" s="1"/>
      <c r="AL1616" s="1"/>
      <c r="AM1616" s="2"/>
      <c r="AN1616" s="1"/>
      <c r="AO1616" s="1"/>
      <c r="AP1616" s="1"/>
      <c r="AQ1616" s="1"/>
      <c r="AR1616" s="1"/>
      <c r="AS1616" s="1"/>
      <c r="AT1616" s="1"/>
      <c r="AU1616" s="1"/>
      <c r="AV1616" s="1"/>
      <c r="AW1616" s="1"/>
      <c r="AX1616" s="1"/>
      <c r="AY1616" s="1"/>
      <c r="AZ1616" s="1"/>
      <c r="BA1616" s="1"/>
      <c r="BB1616" s="1"/>
      <c r="BC1616" s="1"/>
      <c r="BD1616" s="1"/>
      <c r="BE1616" s="1"/>
    </row>
    <row x14ac:dyDescent="0.25" r="1617" customHeight="1" ht="18.75">
      <c r="A1617" s="1"/>
      <c r="B1617" s="2"/>
      <c r="C1617" s="2"/>
      <c r="D1617" s="2"/>
      <c r="E1617" s="2"/>
      <c r="F1617" s="2"/>
      <c r="G1617" s="1"/>
      <c r="H1617" s="1"/>
      <c r="I1617" s="7">
        <v>1.614</v>
      </c>
      <c r="J1617" s="7">
        <f>IF((I1617-ROUNDDOWN(I1617,0))=0, 0, (I1617-ROUNDDOWN(I1617,0)))</f>
      </c>
      <c r="K1617" s="7">
        <f>INDIRECT("C$"&amp;2+MIN(2,ROUNDDOWN(I1617,0))*3)*(-$J1617^3+3*$J1617^2-3*$J1617+1)+INDIRECT("C$"&amp;3+MIN(2,ROUNDDOWN(I1617,0))*3)*(3*$J1617^3-6*$J1617^2+3*$J1617)+INDIRECT("C$"&amp;4+MIN(2,ROUNDDOWN(I1617,0))*3)*(-3*$J1617^3+3*$J1617^2)+INDIRECT("C$"&amp;5+MIN(2,ROUNDDOWN(I1617,0))*3)*$J1617^3</f>
      </c>
      <c r="L1617" s="7">
        <f>INDIRECT("D$"&amp;2+MIN(2,ROUNDDOWN(I1617,0))*3)*(-$J1617^3+3*$J1617^2-3*$J1617+1)+INDIRECT("D$"&amp;3+MIN(2,ROUNDDOWN(I1617,0))*3)*(3*$J1617^3-6*$J1617^2+3*$J1617)+INDIRECT("D$"&amp;4+MIN(2,ROUNDDOWN(I1617,0))*3)*(-3*$J1617^3+3*$J1617^2)+INDIRECT("D$"&amp;5+MIN(2,ROUNDDOWN(I1617,0))*3)*$J1617^3</f>
      </c>
      <c r="M1617" s="7">
        <f>SQRT(K1617^2+L1617^2)</f>
      </c>
      <c r="N1617" s="7">
        <f>(K1618-K1616)</f>
      </c>
      <c r="O1617" s="7">
        <f>+(L1618-L1616)</f>
      </c>
      <c r="P1617" s="7">
        <f>SQRT(O1617^2+N1617^2)</f>
      </c>
      <c r="Q1617" s="7">
        <f>N1617/$P1617</f>
      </c>
      <c r="R1617" s="7">
        <f>O1617/$P1617</f>
      </c>
      <c r="S1617" s="8">
        <f>Q1617^2+R1617^2</f>
      </c>
      <c r="T1617" s="7">
        <f>-R1617</f>
      </c>
      <c r="U1617" s="7">
        <f>Q1617</f>
      </c>
      <c r="V1617" s="7">
        <f>($C$14+($C$15-$C$14)/($D$15-$D$14)*(I1617-$D$14))/2</f>
      </c>
      <c r="W1617" s="7">
        <f>($B$22*I1617^4+$C$22*I1617^3+$D$22*I1617^2+$E$22*I1617+$F$22)/2</f>
      </c>
      <c r="X1617" s="7">
        <f>($W1617)*(T1617)</f>
      </c>
      <c r="Y1617" s="7">
        <f>($W1617)*(U1617)</f>
      </c>
      <c r="Z1617" s="7">
        <f>SQRT(X1617^2+Y1617^2)</f>
      </c>
      <c r="AA1617" s="7">
        <f>$K1617+$X1617</f>
      </c>
      <c r="AB1617" s="7">
        <f>$L1617+$Y1617</f>
      </c>
      <c r="AC1617" s="7">
        <f>$K1617-$X1617</f>
      </c>
      <c r="AD1617" s="7">
        <f>$L1617-$Y1617</f>
      </c>
      <c r="AE1617" s="7">
        <f>AA1617/39.3701</f>
      </c>
      <c r="AF1617" s="7">
        <f>AB1617/39.3701</f>
      </c>
      <c r="AG1617" s="7">
        <f>AC1617/39.3701</f>
      </c>
      <c r="AH1617" s="7">
        <f>AD1617/39.3701</f>
      </c>
      <c r="AI1617" s="1"/>
      <c r="AJ1617" s="1"/>
      <c r="AK1617" s="1"/>
      <c r="AL1617" s="1"/>
      <c r="AM1617" s="2"/>
      <c r="AN1617" s="1"/>
      <c r="AO1617" s="1"/>
      <c r="AP1617" s="1"/>
      <c r="AQ1617" s="1"/>
      <c r="AR1617" s="1"/>
      <c r="AS1617" s="1"/>
      <c r="AT1617" s="1"/>
      <c r="AU1617" s="1"/>
      <c r="AV1617" s="1"/>
      <c r="AW1617" s="1"/>
      <c r="AX1617" s="1"/>
      <c r="AY1617" s="1"/>
      <c r="AZ1617" s="1"/>
      <c r="BA1617" s="1"/>
      <c r="BB1617" s="1"/>
      <c r="BC1617" s="1"/>
      <c r="BD1617" s="1"/>
      <c r="BE1617" s="1"/>
    </row>
    <row x14ac:dyDescent="0.25" r="1618" customHeight="1" ht="18.75">
      <c r="A1618" s="1"/>
      <c r="B1618" s="2"/>
      <c r="C1618" s="2"/>
      <c r="D1618" s="2"/>
      <c r="E1618" s="2"/>
      <c r="F1618" s="2"/>
      <c r="G1618" s="1"/>
      <c r="H1618" s="1"/>
      <c r="I1618" s="7">
        <v>1.615</v>
      </c>
      <c r="J1618" s="7">
        <f>IF((I1618-ROUNDDOWN(I1618,0))=0, 0, (I1618-ROUNDDOWN(I1618,0)))</f>
      </c>
      <c r="K1618" s="7">
        <f>INDIRECT("C$"&amp;2+MIN(2,ROUNDDOWN(I1618,0))*3)*(-$J1618^3+3*$J1618^2-3*$J1618+1)+INDIRECT("C$"&amp;3+MIN(2,ROUNDDOWN(I1618,0))*3)*(3*$J1618^3-6*$J1618^2+3*$J1618)+INDIRECT("C$"&amp;4+MIN(2,ROUNDDOWN(I1618,0))*3)*(-3*$J1618^3+3*$J1618^2)+INDIRECT("C$"&amp;5+MIN(2,ROUNDDOWN(I1618,0))*3)*$J1618^3</f>
      </c>
      <c r="L1618" s="7">
        <f>INDIRECT("D$"&amp;2+MIN(2,ROUNDDOWN(I1618,0))*3)*(-$J1618^3+3*$J1618^2-3*$J1618+1)+INDIRECT("D$"&amp;3+MIN(2,ROUNDDOWN(I1618,0))*3)*(3*$J1618^3-6*$J1618^2+3*$J1618)+INDIRECT("D$"&amp;4+MIN(2,ROUNDDOWN(I1618,0))*3)*(-3*$J1618^3+3*$J1618^2)+INDIRECT("D$"&amp;5+MIN(2,ROUNDDOWN(I1618,0))*3)*$J1618^3</f>
      </c>
      <c r="M1618" s="7">
        <f>SQRT(K1618^2+L1618^2)</f>
      </c>
      <c r="N1618" s="7">
        <f>(K1619-K1617)</f>
      </c>
      <c r="O1618" s="7">
        <f>+(L1619-L1617)</f>
      </c>
      <c r="P1618" s="7">
        <f>SQRT(O1618^2+N1618^2)</f>
      </c>
      <c r="Q1618" s="7">
        <f>N1618/$P1618</f>
      </c>
      <c r="R1618" s="7">
        <f>O1618/$P1618</f>
      </c>
      <c r="S1618" s="8">
        <f>Q1618^2+R1618^2</f>
      </c>
      <c r="T1618" s="7">
        <f>-R1618</f>
      </c>
      <c r="U1618" s="7">
        <f>Q1618</f>
      </c>
      <c r="V1618" s="7">
        <f>($C$14+($C$15-$C$14)/($D$15-$D$14)*(I1618-$D$14))/2</f>
      </c>
      <c r="W1618" s="7">
        <f>($B$22*I1618^4+$C$22*I1618^3+$D$22*I1618^2+$E$22*I1618+$F$22)/2</f>
      </c>
      <c r="X1618" s="7">
        <f>($W1618)*(T1618)</f>
      </c>
      <c r="Y1618" s="7">
        <f>($W1618)*(U1618)</f>
      </c>
      <c r="Z1618" s="7">
        <f>SQRT(X1618^2+Y1618^2)</f>
      </c>
      <c r="AA1618" s="7">
        <f>$K1618+$X1618</f>
      </c>
      <c r="AB1618" s="7">
        <f>$L1618+$Y1618</f>
      </c>
      <c r="AC1618" s="7">
        <f>$K1618-$X1618</f>
      </c>
      <c r="AD1618" s="7">
        <f>$L1618-$Y1618</f>
      </c>
      <c r="AE1618" s="7">
        <f>AA1618/39.3701</f>
      </c>
      <c r="AF1618" s="7">
        <f>AB1618/39.3701</f>
      </c>
      <c r="AG1618" s="7">
        <f>AC1618/39.3701</f>
      </c>
      <c r="AH1618" s="7">
        <f>AD1618/39.3701</f>
      </c>
      <c r="AI1618" s="1"/>
      <c r="AJ1618" s="1"/>
      <c r="AK1618" s="1"/>
      <c r="AL1618" s="1"/>
      <c r="AM1618" s="2"/>
      <c r="AN1618" s="1"/>
      <c r="AO1618" s="1"/>
      <c r="AP1618" s="1"/>
      <c r="AQ1618" s="1"/>
      <c r="AR1618" s="1"/>
      <c r="AS1618" s="1"/>
      <c r="AT1618" s="1"/>
      <c r="AU1618" s="1"/>
      <c r="AV1618" s="1"/>
      <c r="AW1618" s="1"/>
      <c r="AX1618" s="1"/>
      <c r="AY1618" s="1"/>
      <c r="AZ1618" s="1"/>
      <c r="BA1618" s="1"/>
      <c r="BB1618" s="1"/>
      <c r="BC1618" s="1"/>
      <c r="BD1618" s="1"/>
      <c r="BE1618" s="1"/>
    </row>
    <row x14ac:dyDescent="0.25" r="1619" customHeight="1" ht="18.75">
      <c r="A1619" s="1"/>
      <c r="B1619" s="2"/>
      <c r="C1619" s="2"/>
      <c r="D1619" s="2"/>
      <c r="E1619" s="2"/>
      <c r="F1619" s="2"/>
      <c r="G1619" s="1"/>
      <c r="H1619" s="1"/>
      <c r="I1619" s="7">
        <v>1.616</v>
      </c>
      <c r="J1619" s="7">
        <f>IF((I1619-ROUNDDOWN(I1619,0))=0, 0, (I1619-ROUNDDOWN(I1619,0)))</f>
      </c>
      <c r="K1619" s="7">
        <f>INDIRECT("C$"&amp;2+MIN(2,ROUNDDOWN(I1619,0))*3)*(-$J1619^3+3*$J1619^2-3*$J1619+1)+INDIRECT("C$"&amp;3+MIN(2,ROUNDDOWN(I1619,0))*3)*(3*$J1619^3-6*$J1619^2+3*$J1619)+INDIRECT("C$"&amp;4+MIN(2,ROUNDDOWN(I1619,0))*3)*(-3*$J1619^3+3*$J1619^2)+INDIRECT("C$"&amp;5+MIN(2,ROUNDDOWN(I1619,0))*3)*$J1619^3</f>
      </c>
      <c r="L1619" s="7">
        <f>INDIRECT("D$"&amp;2+MIN(2,ROUNDDOWN(I1619,0))*3)*(-$J1619^3+3*$J1619^2-3*$J1619+1)+INDIRECT("D$"&amp;3+MIN(2,ROUNDDOWN(I1619,0))*3)*(3*$J1619^3-6*$J1619^2+3*$J1619)+INDIRECT("D$"&amp;4+MIN(2,ROUNDDOWN(I1619,0))*3)*(-3*$J1619^3+3*$J1619^2)+INDIRECT("D$"&amp;5+MIN(2,ROUNDDOWN(I1619,0))*3)*$J1619^3</f>
      </c>
      <c r="M1619" s="7">
        <f>SQRT(K1619^2+L1619^2)</f>
      </c>
      <c r="N1619" s="7">
        <f>(K1620-K1618)</f>
      </c>
      <c r="O1619" s="7">
        <f>+(L1620-L1618)</f>
      </c>
      <c r="P1619" s="7">
        <f>SQRT(O1619^2+N1619^2)</f>
      </c>
      <c r="Q1619" s="7">
        <f>N1619/$P1619</f>
      </c>
      <c r="R1619" s="7">
        <f>O1619/$P1619</f>
      </c>
      <c r="S1619" s="8">
        <f>Q1619^2+R1619^2</f>
      </c>
      <c r="T1619" s="7">
        <f>-R1619</f>
      </c>
      <c r="U1619" s="7">
        <f>Q1619</f>
      </c>
      <c r="V1619" s="7">
        <f>($C$14+($C$15-$C$14)/($D$15-$D$14)*(I1619-$D$14))/2</f>
      </c>
      <c r="W1619" s="7">
        <f>($B$22*I1619^4+$C$22*I1619^3+$D$22*I1619^2+$E$22*I1619+$F$22)/2</f>
      </c>
      <c r="X1619" s="7">
        <f>($W1619)*(T1619)</f>
      </c>
      <c r="Y1619" s="7">
        <f>($W1619)*(U1619)</f>
      </c>
      <c r="Z1619" s="7">
        <f>SQRT(X1619^2+Y1619^2)</f>
      </c>
      <c r="AA1619" s="7">
        <f>$K1619+$X1619</f>
      </c>
      <c r="AB1619" s="7">
        <f>$L1619+$Y1619</f>
      </c>
      <c r="AC1619" s="7">
        <f>$K1619-$X1619</f>
      </c>
      <c r="AD1619" s="7">
        <f>$L1619-$Y1619</f>
      </c>
      <c r="AE1619" s="7">
        <f>AA1619/39.3701</f>
      </c>
      <c r="AF1619" s="7">
        <f>AB1619/39.3701</f>
      </c>
      <c r="AG1619" s="7">
        <f>AC1619/39.3701</f>
      </c>
      <c r="AH1619" s="7">
        <f>AD1619/39.3701</f>
      </c>
      <c r="AI1619" s="1"/>
      <c r="AJ1619" s="1"/>
      <c r="AK1619" s="1"/>
      <c r="AL1619" s="1"/>
      <c r="AM1619" s="2"/>
      <c r="AN1619" s="1"/>
      <c r="AO1619" s="1"/>
      <c r="AP1619" s="1"/>
      <c r="AQ1619" s="1"/>
      <c r="AR1619" s="1"/>
      <c r="AS1619" s="1"/>
      <c r="AT1619" s="1"/>
      <c r="AU1619" s="1"/>
      <c r="AV1619" s="1"/>
      <c r="AW1619" s="1"/>
      <c r="AX1619" s="1"/>
      <c r="AY1619" s="1"/>
      <c r="AZ1619" s="1"/>
      <c r="BA1619" s="1"/>
      <c r="BB1619" s="1"/>
      <c r="BC1619" s="1"/>
      <c r="BD1619" s="1"/>
      <c r="BE1619" s="1"/>
    </row>
    <row x14ac:dyDescent="0.25" r="1620" customHeight="1" ht="18.75">
      <c r="A1620" s="1"/>
      <c r="B1620" s="2"/>
      <c r="C1620" s="2"/>
      <c r="D1620" s="2"/>
      <c r="E1620" s="2"/>
      <c r="F1620" s="2"/>
      <c r="G1620" s="1"/>
      <c r="H1620" s="1"/>
      <c r="I1620" s="7">
        <v>1.617</v>
      </c>
      <c r="J1620" s="7">
        <f>IF((I1620-ROUNDDOWN(I1620,0))=0, 0, (I1620-ROUNDDOWN(I1620,0)))</f>
      </c>
      <c r="K1620" s="7">
        <f>INDIRECT("C$"&amp;2+MIN(2,ROUNDDOWN(I1620,0))*3)*(-$J1620^3+3*$J1620^2-3*$J1620+1)+INDIRECT("C$"&amp;3+MIN(2,ROUNDDOWN(I1620,0))*3)*(3*$J1620^3-6*$J1620^2+3*$J1620)+INDIRECT("C$"&amp;4+MIN(2,ROUNDDOWN(I1620,0))*3)*(-3*$J1620^3+3*$J1620^2)+INDIRECT("C$"&amp;5+MIN(2,ROUNDDOWN(I1620,0))*3)*$J1620^3</f>
      </c>
      <c r="L1620" s="7">
        <f>INDIRECT("D$"&amp;2+MIN(2,ROUNDDOWN(I1620,0))*3)*(-$J1620^3+3*$J1620^2-3*$J1620+1)+INDIRECT("D$"&amp;3+MIN(2,ROUNDDOWN(I1620,0))*3)*(3*$J1620^3-6*$J1620^2+3*$J1620)+INDIRECT("D$"&amp;4+MIN(2,ROUNDDOWN(I1620,0))*3)*(-3*$J1620^3+3*$J1620^2)+INDIRECT("D$"&amp;5+MIN(2,ROUNDDOWN(I1620,0))*3)*$J1620^3</f>
      </c>
      <c r="M1620" s="7">
        <f>SQRT(K1620^2+L1620^2)</f>
      </c>
      <c r="N1620" s="7">
        <f>(K1621-K1619)</f>
      </c>
      <c r="O1620" s="7">
        <f>+(L1621-L1619)</f>
      </c>
      <c r="P1620" s="7">
        <f>SQRT(O1620^2+N1620^2)</f>
      </c>
      <c r="Q1620" s="7">
        <f>N1620/$P1620</f>
      </c>
      <c r="R1620" s="7">
        <f>O1620/$P1620</f>
      </c>
      <c r="S1620" s="8">
        <f>Q1620^2+R1620^2</f>
      </c>
      <c r="T1620" s="7">
        <f>-R1620</f>
      </c>
      <c r="U1620" s="7">
        <f>Q1620</f>
      </c>
      <c r="V1620" s="7">
        <f>($C$14+($C$15-$C$14)/($D$15-$D$14)*(I1620-$D$14))/2</f>
      </c>
      <c r="W1620" s="7">
        <f>($B$22*I1620^4+$C$22*I1620^3+$D$22*I1620^2+$E$22*I1620+$F$22)/2</f>
      </c>
      <c r="X1620" s="7">
        <f>($W1620)*(T1620)</f>
      </c>
      <c r="Y1620" s="7">
        <f>($W1620)*(U1620)</f>
      </c>
      <c r="Z1620" s="7">
        <f>SQRT(X1620^2+Y1620^2)</f>
      </c>
      <c r="AA1620" s="7">
        <f>$K1620+$X1620</f>
      </c>
      <c r="AB1620" s="7">
        <f>$L1620+$Y1620</f>
      </c>
      <c r="AC1620" s="7">
        <f>$K1620-$X1620</f>
      </c>
      <c r="AD1620" s="7">
        <f>$L1620-$Y1620</f>
      </c>
      <c r="AE1620" s="7">
        <f>AA1620/39.3701</f>
      </c>
      <c r="AF1620" s="7">
        <f>AB1620/39.3701</f>
      </c>
      <c r="AG1620" s="7">
        <f>AC1620/39.3701</f>
      </c>
      <c r="AH1620" s="7">
        <f>AD1620/39.3701</f>
      </c>
      <c r="AI1620" s="1"/>
      <c r="AJ1620" s="1"/>
      <c r="AK1620" s="1"/>
      <c r="AL1620" s="1"/>
      <c r="AM1620" s="2"/>
      <c r="AN1620" s="1"/>
      <c r="AO1620" s="1"/>
      <c r="AP1620" s="1"/>
      <c r="AQ1620" s="1"/>
      <c r="AR1620" s="1"/>
      <c r="AS1620" s="1"/>
      <c r="AT1620" s="1"/>
      <c r="AU1620" s="1"/>
      <c r="AV1620" s="1"/>
      <c r="AW1620" s="1"/>
      <c r="AX1620" s="1"/>
      <c r="AY1620" s="1"/>
      <c r="AZ1620" s="1"/>
      <c r="BA1620" s="1"/>
      <c r="BB1620" s="1"/>
      <c r="BC1620" s="1"/>
      <c r="BD1620" s="1"/>
      <c r="BE1620" s="1"/>
    </row>
    <row x14ac:dyDescent="0.25" r="1621" customHeight="1" ht="18.75">
      <c r="A1621" s="1"/>
      <c r="B1621" s="2"/>
      <c r="C1621" s="2"/>
      <c r="D1621" s="2"/>
      <c r="E1621" s="2"/>
      <c r="F1621" s="2"/>
      <c r="G1621" s="1"/>
      <c r="H1621" s="1"/>
      <c r="I1621" s="7">
        <v>1.618</v>
      </c>
      <c r="J1621" s="7">
        <f>IF((I1621-ROUNDDOWN(I1621,0))=0, 0, (I1621-ROUNDDOWN(I1621,0)))</f>
      </c>
      <c r="K1621" s="7">
        <f>INDIRECT("C$"&amp;2+MIN(2,ROUNDDOWN(I1621,0))*3)*(-$J1621^3+3*$J1621^2-3*$J1621+1)+INDIRECT("C$"&amp;3+MIN(2,ROUNDDOWN(I1621,0))*3)*(3*$J1621^3-6*$J1621^2+3*$J1621)+INDIRECT("C$"&amp;4+MIN(2,ROUNDDOWN(I1621,0))*3)*(-3*$J1621^3+3*$J1621^2)+INDIRECT("C$"&amp;5+MIN(2,ROUNDDOWN(I1621,0))*3)*$J1621^3</f>
      </c>
      <c r="L1621" s="7">
        <f>INDIRECT("D$"&amp;2+MIN(2,ROUNDDOWN(I1621,0))*3)*(-$J1621^3+3*$J1621^2-3*$J1621+1)+INDIRECT("D$"&amp;3+MIN(2,ROUNDDOWN(I1621,0))*3)*(3*$J1621^3-6*$J1621^2+3*$J1621)+INDIRECT("D$"&amp;4+MIN(2,ROUNDDOWN(I1621,0))*3)*(-3*$J1621^3+3*$J1621^2)+INDIRECT("D$"&amp;5+MIN(2,ROUNDDOWN(I1621,0))*3)*$J1621^3</f>
      </c>
      <c r="M1621" s="7">
        <f>SQRT(K1621^2+L1621^2)</f>
      </c>
      <c r="N1621" s="7">
        <f>(K1622-K1620)</f>
      </c>
      <c r="O1621" s="7">
        <f>+(L1622-L1620)</f>
      </c>
      <c r="P1621" s="7">
        <f>SQRT(O1621^2+N1621^2)</f>
      </c>
      <c r="Q1621" s="7">
        <f>N1621/$P1621</f>
      </c>
      <c r="R1621" s="7">
        <f>O1621/$P1621</f>
      </c>
      <c r="S1621" s="7">
        <f>Q1621^2+R1621^2</f>
      </c>
      <c r="T1621" s="7">
        <f>-R1621</f>
      </c>
      <c r="U1621" s="7">
        <f>Q1621</f>
      </c>
      <c r="V1621" s="7">
        <f>($C$14+($C$15-$C$14)/($D$15-$D$14)*(I1621-$D$14))/2</f>
      </c>
      <c r="W1621" s="7">
        <f>($B$22*I1621^4+$C$22*I1621^3+$D$22*I1621^2+$E$22*I1621+$F$22)/2</f>
      </c>
      <c r="X1621" s="7">
        <f>($W1621)*(T1621)</f>
      </c>
      <c r="Y1621" s="7">
        <f>($W1621)*(U1621)</f>
      </c>
      <c r="Z1621" s="7">
        <f>SQRT(X1621^2+Y1621^2)</f>
      </c>
      <c r="AA1621" s="7">
        <f>$K1621+$X1621</f>
      </c>
      <c r="AB1621" s="7">
        <f>$L1621+$Y1621</f>
      </c>
      <c r="AC1621" s="7">
        <f>$K1621-$X1621</f>
      </c>
      <c r="AD1621" s="7">
        <f>$L1621-$Y1621</f>
      </c>
      <c r="AE1621" s="7">
        <f>AA1621/39.3701</f>
      </c>
      <c r="AF1621" s="7">
        <f>AB1621/39.3701</f>
      </c>
      <c r="AG1621" s="7">
        <f>AC1621/39.3701</f>
      </c>
      <c r="AH1621" s="7">
        <f>AD1621/39.3701</f>
      </c>
      <c r="AI1621" s="1"/>
      <c r="AJ1621" s="1"/>
      <c r="AK1621" s="1"/>
      <c r="AL1621" s="1"/>
      <c r="AM1621" s="2"/>
      <c r="AN1621" s="1"/>
      <c r="AO1621" s="1"/>
      <c r="AP1621" s="1"/>
      <c r="AQ1621" s="1"/>
      <c r="AR1621" s="1"/>
      <c r="AS1621" s="1"/>
      <c r="AT1621" s="1"/>
      <c r="AU1621" s="1"/>
      <c r="AV1621" s="1"/>
      <c r="AW1621" s="1"/>
      <c r="AX1621" s="1"/>
      <c r="AY1621" s="1"/>
      <c r="AZ1621" s="1"/>
      <c r="BA1621" s="1"/>
      <c r="BB1621" s="1"/>
      <c r="BC1621" s="1"/>
      <c r="BD1621" s="1"/>
      <c r="BE1621" s="1"/>
    </row>
    <row x14ac:dyDescent="0.25" r="1622" customHeight="1" ht="18.75">
      <c r="A1622" s="1"/>
      <c r="B1622" s="2"/>
      <c r="C1622" s="2"/>
      <c r="D1622" s="2"/>
      <c r="E1622" s="2"/>
      <c r="F1622" s="2"/>
      <c r="G1622" s="1"/>
      <c r="H1622" s="1"/>
      <c r="I1622" s="7">
        <v>1.619</v>
      </c>
      <c r="J1622" s="7">
        <f>IF((I1622-ROUNDDOWN(I1622,0))=0, 0, (I1622-ROUNDDOWN(I1622,0)))</f>
      </c>
      <c r="K1622" s="7">
        <f>INDIRECT("C$"&amp;2+MIN(2,ROUNDDOWN(I1622,0))*3)*(-$J1622^3+3*$J1622^2-3*$J1622+1)+INDIRECT("C$"&amp;3+MIN(2,ROUNDDOWN(I1622,0))*3)*(3*$J1622^3-6*$J1622^2+3*$J1622)+INDIRECT("C$"&amp;4+MIN(2,ROUNDDOWN(I1622,0))*3)*(-3*$J1622^3+3*$J1622^2)+INDIRECT("C$"&amp;5+MIN(2,ROUNDDOWN(I1622,0))*3)*$J1622^3</f>
      </c>
      <c r="L1622" s="7">
        <f>INDIRECT("D$"&amp;2+MIN(2,ROUNDDOWN(I1622,0))*3)*(-$J1622^3+3*$J1622^2-3*$J1622+1)+INDIRECT("D$"&amp;3+MIN(2,ROUNDDOWN(I1622,0))*3)*(3*$J1622^3-6*$J1622^2+3*$J1622)+INDIRECT("D$"&amp;4+MIN(2,ROUNDDOWN(I1622,0))*3)*(-3*$J1622^3+3*$J1622^2)+INDIRECT("D$"&amp;5+MIN(2,ROUNDDOWN(I1622,0))*3)*$J1622^3</f>
      </c>
      <c r="M1622" s="7">
        <f>SQRT(K1622^2+L1622^2)</f>
      </c>
      <c r="N1622" s="7">
        <f>(K1623-K1621)</f>
      </c>
      <c r="O1622" s="7">
        <f>+(L1623-L1621)</f>
      </c>
      <c r="P1622" s="7">
        <f>SQRT(O1622^2+N1622^2)</f>
      </c>
      <c r="Q1622" s="7">
        <f>N1622/$P1622</f>
      </c>
      <c r="R1622" s="7">
        <f>O1622/$P1622</f>
      </c>
      <c r="S1622" s="8">
        <f>Q1622^2+R1622^2</f>
      </c>
      <c r="T1622" s="7">
        <f>-R1622</f>
      </c>
      <c r="U1622" s="7">
        <f>Q1622</f>
      </c>
      <c r="V1622" s="7">
        <f>($C$14+($C$15-$C$14)/($D$15-$D$14)*(I1622-$D$14))/2</f>
      </c>
      <c r="W1622" s="7">
        <f>($B$22*I1622^4+$C$22*I1622^3+$D$22*I1622^2+$E$22*I1622+$F$22)/2</f>
      </c>
      <c r="X1622" s="7">
        <f>($W1622)*(T1622)</f>
      </c>
      <c r="Y1622" s="7">
        <f>($W1622)*(U1622)</f>
      </c>
      <c r="Z1622" s="7">
        <f>SQRT(X1622^2+Y1622^2)</f>
      </c>
      <c r="AA1622" s="7">
        <f>$K1622+$X1622</f>
      </c>
      <c r="AB1622" s="7">
        <f>$L1622+$Y1622</f>
      </c>
      <c r="AC1622" s="7">
        <f>$K1622-$X1622</f>
      </c>
      <c r="AD1622" s="7">
        <f>$L1622-$Y1622</f>
      </c>
      <c r="AE1622" s="7">
        <f>AA1622/39.3701</f>
      </c>
      <c r="AF1622" s="7">
        <f>AB1622/39.3701</f>
      </c>
      <c r="AG1622" s="7">
        <f>AC1622/39.3701</f>
      </c>
      <c r="AH1622" s="7">
        <f>AD1622/39.3701</f>
      </c>
      <c r="AI1622" s="1"/>
      <c r="AJ1622" s="1"/>
      <c r="AK1622" s="1"/>
      <c r="AL1622" s="1"/>
      <c r="AM1622" s="2"/>
      <c r="AN1622" s="1"/>
      <c r="AO1622" s="1"/>
      <c r="AP1622" s="1"/>
      <c r="AQ1622" s="1"/>
      <c r="AR1622" s="1"/>
      <c r="AS1622" s="1"/>
      <c r="AT1622" s="1"/>
      <c r="AU1622" s="1"/>
      <c r="AV1622" s="1"/>
      <c r="AW1622" s="1"/>
      <c r="AX1622" s="1"/>
      <c r="AY1622" s="1"/>
      <c r="AZ1622" s="1"/>
      <c r="BA1622" s="1"/>
      <c r="BB1622" s="1"/>
      <c r="BC1622" s="1"/>
      <c r="BD1622" s="1"/>
      <c r="BE1622" s="1"/>
    </row>
    <row x14ac:dyDescent="0.25" r="1623" customHeight="1" ht="18.75">
      <c r="A1623" s="1"/>
      <c r="B1623" s="2"/>
      <c r="C1623" s="2"/>
      <c r="D1623" s="2"/>
      <c r="E1623" s="2"/>
      <c r="F1623" s="2"/>
      <c r="G1623" s="1"/>
      <c r="H1623" s="1"/>
      <c r="I1623" s="7">
        <v>1.62</v>
      </c>
      <c r="J1623" s="7">
        <f>IF((I1623-ROUNDDOWN(I1623,0))=0, 0, (I1623-ROUNDDOWN(I1623,0)))</f>
      </c>
      <c r="K1623" s="7">
        <f>INDIRECT("C$"&amp;2+MIN(2,ROUNDDOWN(I1623,0))*3)*(-$J1623^3+3*$J1623^2-3*$J1623+1)+INDIRECT("C$"&amp;3+MIN(2,ROUNDDOWN(I1623,0))*3)*(3*$J1623^3-6*$J1623^2+3*$J1623)+INDIRECT("C$"&amp;4+MIN(2,ROUNDDOWN(I1623,0))*3)*(-3*$J1623^3+3*$J1623^2)+INDIRECT("C$"&amp;5+MIN(2,ROUNDDOWN(I1623,0))*3)*$J1623^3</f>
      </c>
      <c r="L1623" s="7">
        <f>INDIRECT("D$"&amp;2+MIN(2,ROUNDDOWN(I1623,0))*3)*(-$J1623^3+3*$J1623^2-3*$J1623+1)+INDIRECT("D$"&amp;3+MIN(2,ROUNDDOWN(I1623,0))*3)*(3*$J1623^3-6*$J1623^2+3*$J1623)+INDIRECT("D$"&amp;4+MIN(2,ROUNDDOWN(I1623,0))*3)*(-3*$J1623^3+3*$J1623^2)+INDIRECT("D$"&amp;5+MIN(2,ROUNDDOWN(I1623,0))*3)*$J1623^3</f>
      </c>
      <c r="M1623" s="7">
        <f>SQRT(K1623^2+L1623^2)</f>
      </c>
      <c r="N1623" s="7">
        <f>(K1624-K1622)</f>
      </c>
      <c r="O1623" s="7">
        <f>+(L1624-L1622)</f>
      </c>
      <c r="P1623" s="7">
        <f>SQRT(O1623^2+N1623^2)</f>
      </c>
      <c r="Q1623" s="7">
        <f>N1623/$P1623</f>
      </c>
      <c r="R1623" s="7">
        <f>O1623/$P1623</f>
      </c>
      <c r="S1623" s="8">
        <f>Q1623^2+R1623^2</f>
      </c>
      <c r="T1623" s="7">
        <f>-R1623</f>
      </c>
      <c r="U1623" s="7">
        <f>Q1623</f>
      </c>
      <c r="V1623" s="7">
        <f>($C$14+($C$15-$C$14)/($D$15-$D$14)*(I1623-$D$14))/2</f>
      </c>
      <c r="W1623" s="7">
        <f>($B$22*I1623^4+$C$22*I1623^3+$D$22*I1623^2+$E$22*I1623+$F$22)/2</f>
      </c>
      <c r="X1623" s="7">
        <f>($W1623)*(T1623)</f>
      </c>
      <c r="Y1623" s="7">
        <f>($W1623)*(U1623)</f>
      </c>
      <c r="Z1623" s="7">
        <f>SQRT(X1623^2+Y1623^2)</f>
      </c>
      <c r="AA1623" s="7">
        <f>$K1623+$X1623</f>
      </c>
      <c r="AB1623" s="7">
        <f>$L1623+$Y1623</f>
      </c>
      <c r="AC1623" s="7">
        <f>$K1623-$X1623</f>
      </c>
      <c r="AD1623" s="7">
        <f>$L1623-$Y1623</f>
      </c>
      <c r="AE1623" s="7">
        <f>AA1623/39.3701</f>
      </c>
      <c r="AF1623" s="7">
        <f>AB1623/39.3701</f>
      </c>
      <c r="AG1623" s="7">
        <f>AC1623/39.3701</f>
      </c>
      <c r="AH1623" s="7">
        <f>AD1623/39.3701</f>
      </c>
      <c r="AI1623" s="1"/>
      <c r="AJ1623" s="1"/>
      <c r="AK1623" s="1"/>
      <c r="AL1623" s="1"/>
      <c r="AM1623" s="2"/>
      <c r="AN1623" s="1"/>
      <c r="AO1623" s="1"/>
      <c r="AP1623" s="1"/>
      <c r="AQ1623" s="1"/>
      <c r="AR1623" s="1"/>
      <c r="AS1623" s="1"/>
      <c r="AT1623" s="1"/>
      <c r="AU1623" s="1"/>
      <c r="AV1623" s="1"/>
      <c r="AW1623" s="1"/>
      <c r="AX1623" s="1"/>
      <c r="AY1623" s="1"/>
      <c r="AZ1623" s="1"/>
      <c r="BA1623" s="1"/>
      <c r="BB1623" s="1"/>
      <c r="BC1623" s="1"/>
      <c r="BD1623" s="1"/>
      <c r="BE1623" s="1"/>
    </row>
    <row x14ac:dyDescent="0.25" r="1624" customHeight="1" ht="18.75">
      <c r="A1624" s="1"/>
      <c r="B1624" s="2"/>
      <c r="C1624" s="2"/>
      <c r="D1624" s="2"/>
      <c r="E1624" s="2"/>
      <c r="F1624" s="2"/>
      <c r="G1624" s="1"/>
      <c r="H1624" s="1"/>
      <c r="I1624" s="7">
        <v>1.621</v>
      </c>
      <c r="J1624" s="7">
        <f>IF((I1624-ROUNDDOWN(I1624,0))=0, 0, (I1624-ROUNDDOWN(I1624,0)))</f>
      </c>
      <c r="K1624" s="7">
        <f>INDIRECT("C$"&amp;2+MIN(2,ROUNDDOWN(I1624,0))*3)*(-$J1624^3+3*$J1624^2-3*$J1624+1)+INDIRECT("C$"&amp;3+MIN(2,ROUNDDOWN(I1624,0))*3)*(3*$J1624^3-6*$J1624^2+3*$J1624)+INDIRECT("C$"&amp;4+MIN(2,ROUNDDOWN(I1624,0))*3)*(-3*$J1624^3+3*$J1624^2)+INDIRECT("C$"&amp;5+MIN(2,ROUNDDOWN(I1624,0))*3)*$J1624^3</f>
      </c>
      <c r="L1624" s="7">
        <f>INDIRECT("D$"&amp;2+MIN(2,ROUNDDOWN(I1624,0))*3)*(-$J1624^3+3*$J1624^2-3*$J1624+1)+INDIRECT("D$"&amp;3+MIN(2,ROUNDDOWN(I1624,0))*3)*(3*$J1624^3-6*$J1624^2+3*$J1624)+INDIRECT("D$"&amp;4+MIN(2,ROUNDDOWN(I1624,0))*3)*(-3*$J1624^3+3*$J1624^2)+INDIRECT("D$"&amp;5+MIN(2,ROUNDDOWN(I1624,0))*3)*$J1624^3</f>
      </c>
      <c r="M1624" s="7">
        <f>SQRT(K1624^2+L1624^2)</f>
      </c>
      <c r="N1624" s="7">
        <f>(K1625-K1623)</f>
      </c>
      <c r="O1624" s="7">
        <f>+(L1625-L1623)</f>
      </c>
      <c r="P1624" s="7">
        <f>SQRT(O1624^2+N1624^2)</f>
      </c>
      <c r="Q1624" s="7">
        <f>N1624/$P1624</f>
      </c>
      <c r="R1624" s="7">
        <f>O1624/$P1624</f>
      </c>
      <c r="S1624" s="7">
        <f>Q1624^2+R1624^2</f>
      </c>
      <c r="T1624" s="7">
        <f>-R1624</f>
      </c>
      <c r="U1624" s="7">
        <f>Q1624</f>
      </c>
      <c r="V1624" s="7">
        <f>($C$14+($C$15-$C$14)/($D$15-$D$14)*(I1624-$D$14))/2</f>
      </c>
      <c r="W1624" s="7">
        <f>($B$22*I1624^4+$C$22*I1624^3+$D$22*I1624^2+$E$22*I1624+$F$22)/2</f>
      </c>
      <c r="X1624" s="7">
        <f>($W1624)*(T1624)</f>
      </c>
      <c r="Y1624" s="7">
        <f>($W1624)*(U1624)</f>
      </c>
      <c r="Z1624" s="7">
        <f>SQRT(X1624^2+Y1624^2)</f>
      </c>
      <c r="AA1624" s="7">
        <f>$K1624+$X1624</f>
      </c>
      <c r="AB1624" s="7">
        <f>$L1624+$Y1624</f>
      </c>
      <c r="AC1624" s="7">
        <f>$K1624-$X1624</f>
      </c>
      <c r="AD1624" s="7">
        <f>$L1624-$Y1624</f>
      </c>
      <c r="AE1624" s="7">
        <f>AA1624/39.3701</f>
      </c>
      <c r="AF1624" s="7">
        <f>AB1624/39.3701</f>
      </c>
      <c r="AG1624" s="7">
        <f>AC1624/39.3701</f>
      </c>
      <c r="AH1624" s="7">
        <f>AD1624/39.3701</f>
      </c>
      <c r="AI1624" s="1"/>
      <c r="AJ1624" s="1"/>
      <c r="AK1624" s="1"/>
      <c r="AL1624" s="1"/>
      <c r="AM1624" s="2"/>
      <c r="AN1624" s="1"/>
      <c r="AO1624" s="1"/>
      <c r="AP1624" s="1"/>
      <c r="AQ1624" s="1"/>
      <c r="AR1624" s="1"/>
      <c r="AS1624" s="1"/>
      <c r="AT1624" s="1"/>
      <c r="AU1624" s="1"/>
      <c r="AV1624" s="1"/>
      <c r="AW1624" s="1"/>
      <c r="AX1624" s="1"/>
      <c r="AY1624" s="1"/>
      <c r="AZ1624" s="1"/>
      <c r="BA1624" s="1"/>
      <c r="BB1624" s="1"/>
      <c r="BC1624" s="1"/>
      <c r="BD1624" s="1"/>
      <c r="BE1624" s="1"/>
    </row>
    <row x14ac:dyDescent="0.25" r="1625" customHeight="1" ht="18.75">
      <c r="A1625" s="1"/>
      <c r="B1625" s="2"/>
      <c r="C1625" s="2"/>
      <c r="D1625" s="2"/>
      <c r="E1625" s="2"/>
      <c r="F1625" s="2"/>
      <c r="G1625" s="1"/>
      <c r="H1625" s="1"/>
      <c r="I1625" s="7">
        <v>1.622</v>
      </c>
      <c r="J1625" s="7">
        <f>IF((I1625-ROUNDDOWN(I1625,0))=0, 0, (I1625-ROUNDDOWN(I1625,0)))</f>
      </c>
      <c r="K1625" s="7">
        <f>INDIRECT("C$"&amp;2+MIN(2,ROUNDDOWN(I1625,0))*3)*(-$J1625^3+3*$J1625^2-3*$J1625+1)+INDIRECT("C$"&amp;3+MIN(2,ROUNDDOWN(I1625,0))*3)*(3*$J1625^3-6*$J1625^2+3*$J1625)+INDIRECT("C$"&amp;4+MIN(2,ROUNDDOWN(I1625,0))*3)*(-3*$J1625^3+3*$J1625^2)+INDIRECT("C$"&amp;5+MIN(2,ROUNDDOWN(I1625,0))*3)*$J1625^3</f>
      </c>
      <c r="L1625" s="7">
        <f>INDIRECT("D$"&amp;2+MIN(2,ROUNDDOWN(I1625,0))*3)*(-$J1625^3+3*$J1625^2-3*$J1625+1)+INDIRECT("D$"&amp;3+MIN(2,ROUNDDOWN(I1625,0))*3)*(3*$J1625^3-6*$J1625^2+3*$J1625)+INDIRECT("D$"&amp;4+MIN(2,ROUNDDOWN(I1625,0))*3)*(-3*$J1625^3+3*$J1625^2)+INDIRECT("D$"&amp;5+MIN(2,ROUNDDOWN(I1625,0))*3)*$J1625^3</f>
      </c>
      <c r="M1625" s="7">
        <f>SQRT(K1625^2+L1625^2)</f>
      </c>
      <c r="N1625" s="7">
        <f>(K1626-K1624)</f>
      </c>
      <c r="O1625" s="7">
        <f>+(L1626-L1624)</f>
      </c>
      <c r="P1625" s="7">
        <f>SQRT(O1625^2+N1625^2)</f>
      </c>
      <c r="Q1625" s="7">
        <f>N1625/$P1625</f>
      </c>
      <c r="R1625" s="7">
        <f>O1625/$P1625</f>
      </c>
      <c r="S1625" s="8">
        <f>Q1625^2+R1625^2</f>
      </c>
      <c r="T1625" s="7">
        <f>-R1625</f>
      </c>
      <c r="U1625" s="7">
        <f>Q1625</f>
      </c>
      <c r="V1625" s="7">
        <f>($C$14+($C$15-$C$14)/($D$15-$D$14)*(I1625-$D$14))/2</f>
      </c>
      <c r="W1625" s="7">
        <f>($B$22*I1625^4+$C$22*I1625^3+$D$22*I1625^2+$E$22*I1625+$F$22)/2</f>
      </c>
      <c r="X1625" s="7">
        <f>($W1625)*(T1625)</f>
      </c>
      <c r="Y1625" s="7">
        <f>($W1625)*(U1625)</f>
      </c>
      <c r="Z1625" s="7">
        <f>SQRT(X1625^2+Y1625^2)</f>
      </c>
      <c r="AA1625" s="7">
        <f>$K1625+$X1625</f>
      </c>
      <c r="AB1625" s="7">
        <f>$L1625+$Y1625</f>
      </c>
      <c r="AC1625" s="7">
        <f>$K1625-$X1625</f>
      </c>
      <c r="AD1625" s="7">
        <f>$L1625-$Y1625</f>
      </c>
      <c r="AE1625" s="7">
        <f>AA1625/39.3701</f>
      </c>
      <c r="AF1625" s="7">
        <f>AB1625/39.3701</f>
      </c>
      <c r="AG1625" s="7">
        <f>AC1625/39.3701</f>
      </c>
      <c r="AH1625" s="7">
        <f>AD1625/39.3701</f>
      </c>
      <c r="AI1625" s="1"/>
      <c r="AJ1625" s="1"/>
      <c r="AK1625" s="1"/>
      <c r="AL1625" s="1"/>
      <c r="AM1625" s="2"/>
      <c r="AN1625" s="1"/>
      <c r="AO1625" s="1"/>
      <c r="AP1625" s="1"/>
      <c r="AQ1625" s="1"/>
      <c r="AR1625" s="1"/>
      <c r="AS1625" s="1"/>
      <c r="AT1625" s="1"/>
      <c r="AU1625" s="1"/>
      <c r="AV1625" s="1"/>
      <c r="AW1625" s="1"/>
      <c r="AX1625" s="1"/>
      <c r="AY1625" s="1"/>
      <c r="AZ1625" s="1"/>
      <c r="BA1625" s="1"/>
      <c r="BB1625" s="1"/>
      <c r="BC1625" s="1"/>
      <c r="BD1625" s="1"/>
      <c r="BE1625" s="1"/>
    </row>
    <row x14ac:dyDescent="0.25" r="1626" customHeight="1" ht="18.75">
      <c r="A1626" s="1"/>
      <c r="B1626" s="2"/>
      <c r="C1626" s="2"/>
      <c r="D1626" s="2"/>
      <c r="E1626" s="2"/>
      <c r="F1626" s="2"/>
      <c r="G1626" s="1"/>
      <c r="H1626" s="1"/>
      <c r="I1626" s="7">
        <v>1.623</v>
      </c>
      <c r="J1626" s="7">
        <f>IF((I1626-ROUNDDOWN(I1626,0))=0, 0, (I1626-ROUNDDOWN(I1626,0)))</f>
      </c>
      <c r="K1626" s="7">
        <f>INDIRECT("C$"&amp;2+MIN(2,ROUNDDOWN(I1626,0))*3)*(-$J1626^3+3*$J1626^2-3*$J1626+1)+INDIRECT("C$"&amp;3+MIN(2,ROUNDDOWN(I1626,0))*3)*(3*$J1626^3-6*$J1626^2+3*$J1626)+INDIRECT("C$"&amp;4+MIN(2,ROUNDDOWN(I1626,0))*3)*(-3*$J1626^3+3*$J1626^2)+INDIRECT("C$"&amp;5+MIN(2,ROUNDDOWN(I1626,0))*3)*$J1626^3</f>
      </c>
      <c r="L1626" s="7">
        <f>INDIRECT("D$"&amp;2+MIN(2,ROUNDDOWN(I1626,0))*3)*(-$J1626^3+3*$J1626^2-3*$J1626+1)+INDIRECT("D$"&amp;3+MIN(2,ROUNDDOWN(I1626,0))*3)*(3*$J1626^3-6*$J1626^2+3*$J1626)+INDIRECT("D$"&amp;4+MIN(2,ROUNDDOWN(I1626,0))*3)*(-3*$J1626^3+3*$J1626^2)+INDIRECT("D$"&amp;5+MIN(2,ROUNDDOWN(I1626,0))*3)*$J1626^3</f>
      </c>
      <c r="M1626" s="7">
        <f>SQRT(K1626^2+L1626^2)</f>
      </c>
      <c r="N1626" s="7">
        <f>(K1627-K1625)</f>
      </c>
      <c r="O1626" s="7">
        <f>+(L1627-L1625)</f>
      </c>
      <c r="P1626" s="7">
        <f>SQRT(O1626^2+N1626^2)</f>
      </c>
      <c r="Q1626" s="7">
        <f>N1626/$P1626</f>
      </c>
      <c r="R1626" s="7">
        <f>O1626/$P1626</f>
      </c>
      <c r="S1626" s="7">
        <f>Q1626^2+R1626^2</f>
      </c>
      <c r="T1626" s="7">
        <f>-R1626</f>
      </c>
      <c r="U1626" s="7">
        <f>Q1626</f>
      </c>
      <c r="V1626" s="7">
        <f>($C$14+($C$15-$C$14)/($D$15-$D$14)*(I1626-$D$14))/2</f>
      </c>
      <c r="W1626" s="7">
        <f>($B$22*I1626^4+$C$22*I1626^3+$D$22*I1626^2+$E$22*I1626+$F$22)/2</f>
      </c>
      <c r="X1626" s="7">
        <f>($W1626)*(T1626)</f>
      </c>
      <c r="Y1626" s="7">
        <f>($W1626)*(U1626)</f>
      </c>
      <c r="Z1626" s="7">
        <f>SQRT(X1626^2+Y1626^2)</f>
      </c>
      <c r="AA1626" s="7">
        <f>$K1626+$X1626</f>
      </c>
      <c r="AB1626" s="7">
        <f>$L1626+$Y1626</f>
      </c>
      <c r="AC1626" s="7">
        <f>$K1626-$X1626</f>
      </c>
      <c r="AD1626" s="7">
        <f>$L1626-$Y1626</f>
      </c>
      <c r="AE1626" s="7">
        <f>AA1626/39.3701</f>
      </c>
      <c r="AF1626" s="7">
        <f>AB1626/39.3701</f>
      </c>
      <c r="AG1626" s="7">
        <f>AC1626/39.3701</f>
      </c>
      <c r="AH1626" s="7">
        <f>AD1626/39.3701</f>
      </c>
      <c r="AI1626" s="1"/>
      <c r="AJ1626" s="1"/>
      <c r="AK1626" s="1"/>
      <c r="AL1626" s="1"/>
      <c r="AM1626" s="2"/>
      <c r="AN1626" s="1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  <c r="AY1626" s="1"/>
      <c r="AZ1626" s="1"/>
      <c r="BA1626" s="1"/>
      <c r="BB1626" s="1"/>
      <c r="BC1626" s="1"/>
      <c r="BD1626" s="1"/>
      <c r="BE1626" s="1"/>
    </row>
    <row x14ac:dyDescent="0.25" r="1627" customHeight="1" ht="18.75">
      <c r="A1627" s="1"/>
      <c r="B1627" s="2"/>
      <c r="C1627" s="2"/>
      <c r="D1627" s="2"/>
      <c r="E1627" s="2"/>
      <c r="F1627" s="2"/>
      <c r="G1627" s="1"/>
      <c r="H1627" s="1"/>
      <c r="I1627" s="7">
        <v>1.624</v>
      </c>
      <c r="J1627" s="7">
        <f>IF((I1627-ROUNDDOWN(I1627,0))=0, 0, (I1627-ROUNDDOWN(I1627,0)))</f>
      </c>
      <c r="K1627" s="7">
        <f>INDIRECT("C$"&amp;2+MIN(2,ROUNDDOWN(I1627,0))*3)*(-$J1627^3+3*$J1627^2-3*$J1627+1)+INDIRECT("C$"&amp;3+MIN(2,ROUNDDOWN(I1627,0))*3)*(3*$J1627^3-6*$J1627^2+3*$J1627)+INDIRECT("C$"&amp;4+MIN(2,ROUNDDOWN(I1627,0))*3)*(-3*$J1627^3+3*$J1627^2)+INDIRECT("C$"&amp;5+MIN(2,ROUNDDOWN(I1627,0))*3)*$J1627^3</f>
      </c>
      <c r="L1627" s="7">
        <f>INDIRECT("D$"&amp;2+MIN(2,ROUNDDOWN(I1627,0))*3)*(-$J1627^3+3*$J1627^2-3*$J1627+1)+INDIRECT("D$"&amp;3+MIN(2,ROUNDDOWN(I1627,0))*3)*(3*$J1627^3-6*$J1627^2+3*$J1627)+INDIRECT("D$"&amp;4+MIN(2,ROUNDDOWN(I1627,0))*3)*(-3*$J1627^3+3*$J1627^2)+INDIRECT("D$"&amp;5+MIN(2,ROUNDDOWN(I1627,0))*3)*$J1627^3</f>
      </c>
      <c r="M1627" s="7">
        <f>SQRT(K1627^2+L1627^2)</f>
      </c>
      <c r="N1627" s="7">
        <f>(K1628-K1626)</f>
      </c>
      <c r="O1627" s="7">
        <f>+(L1628-L1626)</f>
      </c>
      <c r="P1627" s="7">
        <f>SQRT(O1627^2+N1627^2)</f>
      </c>
      <c r="Q1627" s="7">
        <f>N1627/$P1627</f>
      </c>
      <c r="R1627" s="7">
        <f>O1627/$P1627</f>
      </c>
      <c r="S1627" s="8">
        <f>Q1627^2+R1627^2</f>
      </c>
      <c r="T1627" s="7">
        <f>-R1627</f>
      </c>
      <c r="U1627" s="7">
        <f>Q1627</f>
      </c>
      <c r="V1627" s="7">
        <f>($C$14+($C$15-$C$14)/($D$15-$D$14)*(I1627-$D$14))/2</f>
      </c>
      <c r="W1627" s="7">
        <f>($B$22*I1627^4+$C$22*I1627^3+$D$22*I1627^2+$E$22*I1627+$F$22)/2</f>
      </c>
      <c r="X1627" s="7">
        <f>($W1627)*(T1627)</f>
      </c>
      <c r="Y1627" s="7">
        <f>($W1627)*(U1627)</f>
      </c>
      <c r="Z1627" s="7">
        <f>SQRT(X1627^2+Y1627^2)</f>
      </c>
      <c r="AA1627" s="7">
        <f>$K1627+$X1627</f>
      </c>
      <c r="AB1627" s="7">
        <f>$L1627+$Y1627</f>
      </c>
      <c r="AC1627" s="7">
        <f>$K1627-$X1627</f>
      </c>
      <c r="AD1627" s="7">
        <f>$L1627-$Y1627</f>
      </c>
      <c r="AE1627" s="7">
        <f>AA1627/39.3701</f>
      </c>
      <c r="AF1627" s="7">
        <f>AB1627/39.3701</f>
      </c>
      <c r="AG1627" s="7">
        <f>AC1627/39.3701</f>
      </c>
      <c r="AH1627" s="7">
        <f>AD1627/39.3701</f>
      </c>
      <c r="AI1627" s="1"/>
      <c r="AJ1627" s="1"/>
      <c r="AK1627" s="1"/>
      <c r="AL1627" s="1"/>
      <c r="AM1627" s="2"/>
      <c r="AN1627" s="1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  <c r="AY1627" s="1"/>
      <c r="AZ1627" s="1"/>
      <c r="BA1627" s="1"/>
      <c r="BB1627" s="1"/>
      <c r="BC1627" s="1"/>
      <c r="BD1627" s="1"/>
      <c r="BE1627" s="1"/>
    </row>
    <row x14ac:dyDescent="0.25" r="1628" customHeight="1" ht="18.75">
      <c r="A1628" s="1"/>
      <c r="B1628" s="2"/>
      <c r="C1628" s="2"/>
      <c r="D1628" s="2"/>
      <c r="E1628" s="2"/>
      <c r="F1628" s="2"/>
      <c r="G1628" s="1"/>
      <c r="H1628" s="1"/>
      <c r="I1628" s="7">
        <v>1.625</v>
      </c>
      <c r="J1628" s="7">
        <f>IF((I1628-ROUNDDOWN(I1628,0))=0, 0, (I1628-ROUNDDOWN(I1628,0)))</f>
      </c>
      <c r="K1628" s="7">
        <f>INDIRECT("C$"&amp;2+MIN(2,ROUNDDOWN(I1628,0))*3)*(-$J1628^3+3*$J1628^2-3*$J1628+1)+INDIRECT("C$"&amp;3+MIN(2,ROUNDDOWN(I1628,0))*3)*(3*$J1628^3-6*$J1628^2+3*$J1628)+INDIRECT("C$"&amp;4+MIN(2,ROUNDDOWN(I1628,0))*3)*(-3*$J1628^3+3*$J1628^2)+INDIRECT("C$"&amp;5+MIN(2,ROUNDDOWN(I1628,0))*3)*$J1628^3</f>
      </c>
      <c r="L1628" s="7">
        <f>INDIRECT("D$"&amp;2+MIN(2,ROUNDDOWN(I1628,0))*3)*(-$J1628^3+3*$J1628^2-3*$J1628+1)+INDIRECT("D$"&amp;3+MIN(2,ROUNDDOWN(I1628,0))*3)*(3*$J1628^3-6*$J1628^2+3*$J1628)+INDIRECT("D$"&amp;4+MIN(2,ROUNDDOWN(I1628,0))*3)*(-3*$J1628^3+3*$J1628^2)+INDIRECT("D$"&amp;5+MIN(2,ROUNDDOWN(I1628,0))*3)*$J1628^3</f>
      </c>
      <c r="M1628" s="7">
        <f>SQRT(K1628^2+L1628^2)</f>
      </c>
      <c r="N1628" s="7">
        <f>(K1629-K1627)</f>
      </c>
      <c r="O1628" s="7">
        <f>+(L1629-L1627)</f>
      </c>
      <c r="P1628" s="7">
        <f>SQRT(O1628^2+N1628^2)</f>
      </c>
      <c r="Q1628" s="7">
        <f>N1628/$P1628</f>
      </c>
      <c r="R1628" s="7">
        <f>O1628/$P1628</f>
      </c>
      <c r="S1628" s="8">
        <f>Q1628^2+R1628^2</f>
      </c>
      <c r="T1628" s="7">
        <f>-R1628</f>
      </c>
      <c r="U1628" s="7">
        <f>Q1628</f>
      </c>
      <c r="V1628" s="7">
        <f>($C$14+($C$15-$C$14)/($D$15-$D$14)*(I1628-$D$14))/2</f>
      </c>
      <c r="W1628" s="7">
        <f>($B$22*I1628^4+$C$22*I1628^3+$D$22*I1628^2+$E$22*I1628+$F$22)/2</f>
      </c>
      <c r="X1628" s="7">
        <f>($W1628)*(T1628)</f>
      </c>
      <c r="Y1628" s="7">
        <f>($W1628)*(U1628)</f>
      </c>
      <c r="Z1628" s="7">
        <f>SQRT(X1628^2+Y1628^2)</f>
      </c>
      <c r="AA1628" s="7">
        <f>$K1628+$X1628</f>
      </c>
      <c r="AB1628" s="7">
        <f>$L1628+$Y1628</f>
      </c>
      <c r="AC1628" s="7">
        <f>$K1628-$X1628</f>
      </c>
      <c r="AD1628" s="7">
        <f>$L1628-$Y1628</f>
      </c>
      <c r="AE1628" s="7">
        <f>AA1628/39.3701</f>
      </c>
      <c r="AF1628" s="7">
        <f>AB1628/39.3701</f>
      </c>
      <c r="AG1628" s="7">
        <f>AC1628/39.3701</f>
      </c>
      <c r="AH1628" s="7">
        <f>AD1628/39.3701</f>
      </c>
      <c r="AI1628" s="1"/>
      <c r="AJ1628" s="1"/>
      <c r="AK1628" s="1"/>
      <c r="AL1628" s="1"/>
      <c r="AM1628" s="2"/>
      <c r="AN1628" s="1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  <c r="AY1628" s="1"/>
      <c r="AZ1628" s="1"/>
      <c r="BA1628" s="1"/>
      <c r="BB1628" s="1"/>
      <c r="BC1628" s="1"/>
      <c r="BD1628" s="1"/>
      <c r="BE1628" s="1"/>
    </row>
    <row x14ac:dyDescent="0.25" r="1629" customHeight="1" ht="18.75">
      <c r="A1629" s="1"/>
      <c r="B1629" s="2"/>
      <c r="C1629" s="2"/>
      <c r="D1629" s="2"/>
      <c r="E1629" s="2"/>
      <c r="F1629" s="2"/>
      <c r="G1629" s="1"/>
      <c r="H1629" s="1"/>
      <c r="I1629" s="7">
        <v>1.626</v>
      </c>
      <c r="J1629" s="7">
        <f>IF((I1629-ROUNDDOWN(I1629,0))=0, 0, (I1629-ROUNDDOWN(I1629,0)))</f>
      </c>
      <c r="K1629" s="7">
        <f>INDIRECT("C$"&amp;2+MIN(2,ROUNDDOWN(I1629,0))*3)*(-$J1629^3+3*$J1629^2-3*$J1629+1)+INDIRECT("C$"&amp;3+MIN(2,ROUNDDOWN(I1629,0))*3)*(3*$J1629^3-6*$J1629^2+3*$J1629)+INDIRECT("C$"&amp;4+MIN(2,ROUNDDOWN(I1629,0))*3)*(-3*$J1629^3+3*$J1629^2)+INDIRECT("C$"&amp;5+MIN(2,ROUNDDOWN(I1629,0))*3)*$J1629^3</f>
      </c>
      <c r="L1629" s="7">
        <f>INDIRECT("D$"&amp;2+MIN(2,ROUNDDOWN(I1629,0))*3)*(-$J1629^3+3*$J1629^2-3*$J1629+1)+INDIRECT("D$"&amp;3+MIN(2,ROUNDDOWN(I1629,0))*3)*(3*$J1629^3-6*$J1629^2+3*$J1629)+INDIRECT("D$"&amp;4+MIN(2,ROUNDDOWN(I1629,0))*3)*(-3*$J1629^3+3*$J1629^2)+INDIRECT("D$"&amp;5+MIN(2,ROUNDDOWN(I1629,0))*3)*$J1629^3</f>
      </c>
      <c r="M1629" s="7">
        <f>SQRT(K1629^2+L1629^2)</f>
      </c>
      <c r="N1629" s="7">
        <f>(K1630-K1628)</f>
      </c>
      <c r="O1629" s="7">
        <f>+(L1630-L1628)</f>
      </c>
      <c r="P1629" s="7">
        <f>SQRT(O1629^2+N1629^2)</f>
      </c>
      <c r="Q1629" s="7">
        <f>N1629/$P1629</f>
      </c>
      <c r="R1629" s="7">
        <f>O1629/$P1629</f>
      </c>
      <c r="S1629" s="7">
        <f>Q1629^2+R1629^2</f>
      </c>
      <c r="T1629" s="7">
        <f>-R1629</f>
      </c>
      <c r="U1629" s="7">
        <f>Q1629</f>
      </c>
      <c r="V1629" s="7">
        <f>($C$14+($C$15-$C$14)/($D$15-$D$14)*(I1629-$D$14))/2</f>
      </c>
      <c r="W1629" s="7">
        <f>($B$22*I1629^4+$C$22*I1629^3+$D$22*I1629^2+$E$22*I1629+$F$22)/2</f>
      </c>
      <c r="X1629" s="7">
        <f>($W1629)*(T1629)</f>
      </c>
      <c r="Y1629" s="7">
        <f>($W1629)*(U1629)</f>
      </c>
      <c r="Z1629" s="7">
        <f>SQRT(X1629^2+Y1629^2)</f>
      </c>
      <c r="AA1629" s="7">
        <f>$K1629+$X1629</f>
      </c>
      <c r="AB1629" s="7">
        <f>$L1629+$Y1629</f>
      </c>
      <c r="AC1629" s="7">
        <f>$K1629-$X1629</f>
      </c>
      <c r="AD1629" s="7">
        <f>$L1629-$Y1629</f>
      </c>
      <c r="AE1629" s="7">
        <f>AA1629/39.3701</f>
      </c>
      <c r="AF1629" s="7">
        <f>AB1629/39.3701</f>
      </c>
      <c r="AG1629" s="7">
        <f>AC1629/39.3701</f>
      </c>
      <c r="AH1629" s="7">
        <f>AD1629/39.3701</f>
      </c>
      <c r="AI1629" s="1"/>
      <c r="AJ1629" s="1"/>
      <c r="AK1629" s="1"/>
      <c r="AL1629" s="1"/>
      <c r="AM1629" s="2"/>
      <c r="AN1629" s="1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  <c r="AY1629" s="1"/>
      <c r="AZ1629" s="1"/>
      <c r="BA1629" s="1"/>
      <c r="BB1629" s="1"/>
      <c r="BC1629" s="1"/>
      <c r="BD1629" s="1"/>
      <c r="BE1629" s="1"/>
    </row>
    <row x14ac:dyDescent="0.25" r="1630" customHeight="1" ht="18.75">
      <c r="A1630" s="1"/>
      <c r="B1630" s="2"/>
      <c r="C1630" s="2"/>
      <c r="D1630" s="2"/>
      <c r="E1630" s="2"/>
      <c r="F1630" s="2"/>
      <c r="G1630" s="1"/>
      <c r="H1630" s="1"/>
      <c r="I1630" s="7">
        <v>1.627</v>
      </c>
      <c r="J1630" s="7">
        <f>IF((I1630-ROUNDDOWN(I1630,0))=0, 0, (I1630-ROUNDDOWN(I1630,0)))</f>
      </c>
      <c r="K1630" s="7">
        <f>INDIRECT("C$"&amp;2+MIN(2,ROUNDDOWN(I1630,0))*3)*(-$J1630^3+3*$J1630^2-3*$J1630+1)+INDIRECT("C$"&amp;3+MIN(2,ROUNDDOWN(I1630,0))*3)*(3*$J1630^3-6*$J1630^2+3*$J1630)+INDIRECT("C$"&amp;4+MIN(2,ROUNDDOWN(I1630,0))*3)*(-3*$J1630^3+3*$J1630^2)+INDIRECT("C$"&amp;5+MIN(2,ROUNDDOWN(I1630,0))*3)*$J1630^3</f>
      </c>
      <c r="L1630" s="7">
        <f>INDIRECT("D$"&amp;2+MIN(2,ROUNDDOWN(I1630,0))*3)*(-$J1630^3+3*$J1630^2-3*$J1630+1)+INDIRECT("D$"&amp;3+MIN(2,ROUNDDOWN(I1630,0))*3)*(3*$J1630^3-6*$J1630^2+3*$J1630)+INDIRECT("D$"&amp;4+MIN(2,ROUNDDOWN(I1630,0))*3)*(-3*$J1630^3+3*$J1630^2)+INDIRECT("D$"&amp;5+MIN(2,ROUNDDOWN(I1630,0))*3)*$J1630^3</f>
      </c>
      <c r="M1630" s="7">
        <f>SQRT(K1630^2+L1630^2)</f>
      </c>
      <c r="N1630" s="7">
        <f>(K1631-K1629)</f>
      </c>
      <c r="O1630" s="7">
        <f>+(L1631-L1629)</f>
      </c>
      <c r="P1630" s="7">
        <f>SQRT(O1630^2+N1630^2)</f>
      </c>
      <c r="Q1630" s="7">
        <f>N1630/$P1630</f>
      </c>
      <c r="R1630" s="7">
        <f>O1630/$P1630</f>
      </c>
      <c r="S1630" s="8">
        <f>Q1630^2+R1630^2</f>
      </c>
      <c r="T1630" s="7">
        <f>-R1630</f>
      </c>
      <c r="U1630" s="7">
        <f>Q1630</f>
      </c>
      <c r="V1630" s="7">
        <f>($C$14+($C$15-$C$14)/($D$15-$D$14)*(I1630-$D$14))/2</f>
      </c>
      <c r="W1630" s="7">
        <f>($B$22*I1630^4+$C$22*I1630^3+$D$22*I1630^2+$E$22*I1630+$F$22)/2</f>
      </c>
      <c r="X1630" s="7">
        <f>($W1630)*(T1630)</f>
      </c>
      <c r="Y1630" s="7">
        <f>($W1630)*(U1630)</f>
      </c>
      <c r="Z1630" s="7">
        <f>SQRT(X1630^2+Y1630^2)</f>
      </c>
      <c r="AA1630" s="7">
        <f>$K1630+$X1630</f>
      </c>
      <c r="AB1630" s="7">
        <f>$L1630+$Y1630</f>
      </c>
      <c r="AC1630" s="7">
        <f>$K1630-$X1630</f>
      </c>
      <c r="AD1630" s="7">
        <f>$L1630-$Y1630</f>
      </c>
      <c r="AE1630" s="7">
        <f>AA1630/39.3701</f>
      </c>
      <c r="AF1630" s="7">
        <f>AB1630/39.3701</f>
      </c>
      <c r="AG1630" s="7">
        <f>AC1630/39.3701</f>
      </c>
      <c r="AH1630" s="7">
        <f>AD1630/39.3701</f>
      </c>
      <c r="AI1630" s="1"/>
      <c r="AJ1630" s="1"/>
      <c r="AK1630" s="1"/>
      <c r="AL1630" s="1"/>
      <c r="AM1630" s="2"/>
      <c r="AN1630" s="1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  <c r="AY1630" s="1"/>
      <c r="AZ1630" s="1"/>
      <c r="BA1630" s="1"/>
      <c r="BB1630" s="1"/>
      <c r="BC1630" s="1"/>
      <c r="BD1630" s="1"/>
      <c r="BE1630" s="1"/>
    </row>
    <row x14ac:dyDescent="0.25" r="1631" customHeight="1" ht="18.75">
      <c r="A1631" s="1"/>
      <c r="B1631" s="2"/>
      <c r="C1631" s="2"/>
      <c r="D1631" s="2"/>
      <c r="E1631" s="2"/>
      <c r="F1631" s="2"/>
      <c r="G1631" s="1"/>
      <c r="H1631" s="1"/>
      <c r="I1631" s="7">
        <v>1.628</v>
      </c>
      <c r="J1631" s="7">
        <f>IF((I1631-ROUNDDOWN(I1631,0))=0, 0, (I1631-ROUNDDOWN(I1631,0)))</f>
      </c>
      <c r="K1631" s="7">
        <f>INDIRECT("C$"&amp;2+MIN(2,ROUNDDOWN(I1631,0))*3)*(-$J1631^3+3*$J1631^2-3*$J1631+1)+INDIRECT("C$"&amp;3+MIN(2,ROUNDDOWN(I1631,0))*3)*(3*$J1631^3-6*$J1631^2+3*$J1631)+INDIRECT("C$"&amp;4+MIN(2,ROUNDDOWN(I1631,0))*3)*(-3*$J1631^3+3*$J1631^2)+INDIRECT("C$"&amp;5+MIN(2,ROUNDDOWN(I1631,0))*3)*$J1631^3</f>
      </c>
      <c r="L1631" s="7">
        <f>INDIRECT("D$"&amp;2+MIN(2,ROUNDDOWN(I1631,0))*3)*(-$J1631^3+3*$J1631^2-3*$J1631+1)+INDIRECT("D$"&amp;3+MIN(2,ROUNDDOWN(I1631,0))*3)*(3*$J1631^3-6*$J1631^2+3*$J1631)+INDIRECT("D$"&amp;4+MIN(2,ROUNDDOWN(I1631,0))*3)*(-3*$J1631^3+3*$J1631^2)+INDIRECT("D$"&amp;5+MIN(2,ROUNDDOWN(I1631,0))*3)*$J1631^3</f>
      </c>
      <c r="M1631" s="7">
        <f>SQRT(K1631^2+L1631^2)</f>
      </c>
      <c r="N1631" s="7">
        <f>(K1632-K1630)</f>
      </c>
      <c r="O1631" s="7">
        <f>+(L1632-L1630)</f>
      </c>
      <c r="P1631" s="7">
        <f>SQRT(O1631^2+N1631^2)</f>
      </c>
      <c r="Q1631" s="7">
        <f>N1631/$P1631</f>
      </c>
      <c r="R1631" s="7">
        <f>O1631/$P1631</f>
      </c>
      <c r="S1631" s="7">
        <f>Q1631^2+R1631^2</f>
      </c>
      <c r="T1631" s="7">
        <f>-R1631</f>
      </c>
      <c r="U1631" s="7">
        <f>Q1631</f>
      </c>
      <c r="V1631" s="7">
        <f>($C$14+($C$15-$C$14)/($D$15-$D$14)*(I1631-$D$14))/2</f>
      </c>
      <c r="W1631" s="7">
        <f>($B$22*I1631^4+$C$22*I1631^3+$D$22*I1631^2+$E$22*I1631+$F$22)/2</f>
      </c>
      <c r="X1631" s="7">
        <f>($W1631)*(T1631)</f>
      </c>
      <c r="Y1631" s="7">
        <f>($W1631)*(U1631)</f>
      </c>
      <c r="Z1631" s="7">
        <f>SQRT(X1631^2+Y1631^2)</f>
      </c>
      <c r="AA1631" s="7">
        <f>$K1631+$X1631</f>
      </c>
      <c r="AB1631" s="7">
        <f>$L1631+$Y1631</f>
      </c>
      <c r="AC1631" s="7">
        <f>$K1631-$X1631</f>
      </c>
      <c r="AD1631" s="7">
        <f>$L1631-$Y1631</f>
      </c>
      <c r="AE1631" s="7">
        <f>AA1631/39.3701</f>
      </c>
      <c r="AF1631" s="7">
        <f>AB1631/39.3701</f>
      </c>
      <c r="AG1631" s="7">
        <f>AC1631/39.3701</f>
      </c>
      <c r="AH1631" s="7">
        <f>AD1631/39.3701</f>
      </c>
      <c r="AI1631" s="1"/>
      <c r="AJ1631" s="1"/>
      <c r="AK1631" s="1"/>
      <c r="AL1631" s="1"/>
      <c r="AM1631" s="2"/>
      <c r="AN1631" s="1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  <c r="AY1631" s="1"/>
      <c r="AZ1631" s="1"/>
      <c r="BA1631" s="1"/>
      <c r="BB1631" s="1"/>
      <c r="BC1631" s="1"/>
      <c r="BD1631" s="1"/>
      <c r="BE1631" s="1"/>
    </row>
    <row x14ac:dyDescent="0.25" r="1632" customHeight="1" ht="18.75">
      <c r="A1632" s="1"/>
      <c r="B1632" s="2"/>
      <c r="C1632" s="2"/>
      <c r="D1632" s="2"/>
      <c r="E1632" s="2"/>
      <c r="F1632" s="2"/>
      <c r="G1632" s="1"/>
      <c r="H1632" s="1"/>
      <c r="I1632" s="7">
        <v>1.629</v>
      </c>
      <c r="J1632" s="7">
        <f>IF((I1632-ROUNDDOWN(I1632,0))=0, 0, (I1632-ROUNDDOWN(I1632,0)))</f>
      </c>
      <c r="K1632" s="7">
        <f>INDIRECT("C$"&amp;2+MIN(2,ROUNDDOWN(I1632,0))*3)*(-$J1632^3+3*$J1632^2-3*$J1632+1)+INDIRECT("C$"&amp;3+MIN(2,ROUNDDOWN(I1632,0))*3)*(3*$J1632^3-6*$J1632^2+3*$J1632)+INDIRECT("C$"&amp;4+MIN(2,ROUNDDOWN(I1632,0))*3)*(-3*$J1632^3+3*$J1632^2)+INDIRECT("C$"&amp;5+MIN(2,ROUNDDOWN(I1632,0))*3)*$J1632^3</f>
      </c>
      <c r="L1632" s="7">
        <f>INDIRECT("D$"&amp;2+MIN(2,ROUNDDOWN(I1632,0))*3)*(-$J1632^3+3*$J1632^2-3*$J1632+1)+INDIRECT("D$"&amp;3+MIN(2,ROUNDDOWN(I1632,0))*3)*(3*$J1632^3-6*$J1632^2+3*$J1632)+INDIRECT("D$"&amp;4+MIN(2,ROUNDDOWN(I1632,0))*3)*(-3*$J1632^3+3*$J1632^2)+INDIRECT("D$"&amp;5+MIN(2,ROUNDDOWN(I1632,0))*3)*$J1632^3</f>
      </c>
      <c r="M1632" s="7">
        <f>SQRT(K1632^2+L1632^2)</f>
      </c>
      <c r="N1632" s="7">
        <f>(K1633-K1631)</f>
      </c>
      <c r="O1632" s="7">
        <f>+(L1633-L1631)</f>
      </c>
      <c r="P1632" s="7">
        <f>SQRT(O1632^2+N1632^2)</f>
      </c>
      <c r="Q1632" s="7">
        <f>N1632/$P1632</f>
      </c>
      <c r="R1632" s="7">
        <f>O1632/$P1632</f>
      </c>
      <c r="S1632" s="7">
        <f>Q1632^2+R1632^2</f>
      </c>
      <c r="T1632" s="7">
        <f>-R1632</f>
      </c>
      <c r="U1632" s="7">
        <f>Q1632</f>
      </c>
      <c r="V1632" s="7">
        <f>($C$14+($C$15-$C$14)/($D$15-$D$14)*(I1632-$D$14))/2</f>
      </c>
      <c r="W1632" s="7">
        <f>($B$22*I1632^4+$C$22*I1632^3+$D$22*I1632^2+$E$22*I1632+$F$22)/2</f>
      </c>
      <c r="X1632" s="7">
        <f>($W1632)*(T1632)</f>
      </c>
      <c r="Y1632" s="7">
        <f>($W1632)*(U1632)</f>
      </c>
      <c r="Z1632" s="7">
        <f>SQRT(X1632^2+Y1632^2)</f>
      </c>
      <c r="AA1632" s="7">
        <f>$K1632+$X1632</f>
      </c>
      <c r="AB1632" s="7">
        <f>$L1632+$Y1632</f>
      </c>
      <c r="AC1632" s="7">
        <f>$K1632-$X1632</f>
      </c>
      <c r="AD1632" s="7">
        <f>$L1632-$Y1632</f>
      </c>
      <c r="AE1632" s="7">
        <f>AA1632/39.3701</f>
      </c>
      <c r="AF1632" s="7">
        <f>AB1632/39.3701</f>
      </c>
      <c r="AG1632" s="7">
        <f>AC1632/39.3701</f>
      </c>
      <c r="AH1632" s="7">
        <f>AD1632/39.3701</f>
      </c>
      <c r="AI1632" s="1"/>
      <c r="AJ1632" s="1"/>
      <c r="AK1632" s="1"/>
      <c r="AL1632" s="1"/>
      <c r="AM1632" s="2"/>
      <c r="AN1632" s="1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  <c r="AY1632" s="1"/>
      <c r="AZ1632" s="1"/>
      <c r="BA1632" s="1"/>
      <c r="BB1632" s="1"/>
      <c r="BC1632" s="1"/>
      <c r="BD1632" s="1"/>
      <c r="BE1632" s="1"/>
    </row>
    <row x14ac:dyDescent="0.25" r="1633" customHeight="1" ht="18.75">
      <c r="A1633" s="1"/>
      <c r="B1633" s="2"/>
      <c r="C1633" s="2"/>
      <c r="D1633" s="2"/>
      <c r="E1633" s="2"/>
      <c r="F1633" s="2"/>
      <c r="G1633" s="1"/>
      <c r="H1633" s="1"/>
      <c r="I1633" s="7">
        <v>1.63</v>
      </c>
      <c r="J1633" s="7">
        <f>IF((I1633-ROUNDDOWN(I1633,0))=0, 0, (I1633-ROUNDDOWN(I1633,0)))</f>
      </c>
      <c r="K1633" s="7">
        <f>INDIRECT("C$"&amp;2+MIN(2,ROUNDDOWN(I1633,0))*3)*(-$J1633^3+3*$J1633^2-3*$J1633+1)+INDIRECT("C$"&amp;3+MIN(2,ROUNDDOWN(I1633,0))*3)*(3*$J1633^3-6*$J1633^2+3*$J1633)+INDIRECT("C$"&amp;4+MIN(2,ROUNDDOWN(I1633,0))*3)*(-3*$J1633^3+3*$J1633^2)+INDIRECT("C$"&amp;5+MIN(2,ROUNDDOWN(I1633,0))*3)*$J1633^3</f>
      </c>
      <c r="L1633" s="7">
        <f>INDIRECT("D$"&amp;2+MIN(2,ROUNDDOWN(I1633,0))*3)*(-$J1633^3+3*$J1633^2-3*$J1633+1)+INDIRECT("D$"&amp;3+MIN(2,ROUNDDOWN(I1633,0))*3)*(3*$J1633^3-6*$J1633^2+3*$J1633)+INDIRECT("D$"&amp;4+MIN(2,ROUNDDOWN(I1633,0))*3)*(-3*$J1633^3+3*$J1633^2)+INDIRECT("D$"&amp;5+MIN(2,ROUNDDOWN(I1633,0))*3)*$J1633^3</f>
      </c>
      <c r="M1633" s="7">
        <f>SQRT(K1633^2+L1633^2)</f>
      </c>
      <c r="N1633" s="7">
        <f>(K1634-K1632)</f>
      </c>
      <c r="O1633" s="7">
        <f>+(L1634-L1632)</f>
      </c>
      <c r="P1633" s="7">
        <f>SQRT(O1633^2+N1633^2)</f>
      </c>
      <c r="Q1633" s="7">
        <f>N1633/$P1633</f>
      </c>
      <c r="R1633" s="7">
        <f>O1633/$P1633</f>
      </c>
      <c r="S1633" s="8">
        <f>Q1633^2+R1633^2</f>
      </c>
      <c r="T1633" s="7">
        <f>-R1633</f>
      </c>
      <c r="U1633" s="7">
        <f>Q1633</f>
      </c>
      <c r="V1633" s="7">
        <f>($C$14+($C$15-$C$14)/($D$15-$D$14)*(I1633-$D$14))/2</f>
      </c>
      <c r="W1633" s="7">
        <f>($B$22*I1633^4+$C$22*I1633^3+$D$22*I1633^2+$E$22*I1633+$F$22)/2</f>
      </c>
      <c r="X1633" s="7">
        <f>($W1633)*(T1633)</f>
      </c>
      <c r="Y1633" s="7">
        <f>($W1633)*(U1633)</f>
      </c>
      <c r="Z1633" s="7">
        <f>SQRT(X1633^2+Y1633^2)</f>
      </c>
      <c r="AA1633" s="7">
        <f>$K1633+$X1633</f>
      </c>
      <c r="AB1633" s="7">
        <f>$L1633+$Y1633</f>
      </c>
      <c r="AC1633" s="7">
        <f>$K1633-$X1633</f>
      </c>
      <c r="AD1633" s="7">
        <f>$L1633-$Y1633</f>
      </c>
      <c r="AE1633" s="7">
        <f>AA1633/39.3701</f>
      </c>
      <c r="AF1633" s="7">
        <f>AB1633/39.3701</f>
      </c>
      <c r="AG1633" s="7">
        <f>AC1633/39.3701</f>
      </c>
      <c r="AH1633" s="7">
        <f>AD1633/39.3701</f>
      </c>
      <c r="AI1633" s="1"/>
      <c r="AJ1633" s="1"/>
      <c r="AK1633" s="1"/>
      <c r="AL1633" s="1"/>
      <c r="AM1633" s="2"/>
      <c r="AN1633" s="1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  <c r="AY1633" s="1"/>
      <c r="AZ1633" s="1"/>
      <c r="BA1633" s="1"/>
      <c r="BB1633" s="1"/>
      <c r="BC1633" s="1"/>
      <c r="BD1633" s="1"/>
      <c r="BE1633" s="1"/>
    </row>
    <row x14ac:dyDescent="0.25" r="1634" customHeight="1" ht="18.75">
      <c r="A1634" s="1"/>
      <c r="B1634" s="2"/>
      <c r="C1634" s="2"/>
      <c r="D1634" s="2"/>
      <c r="E1634" s="2"/>
      <c r="F1634" s="2"/>
      <c r="G1634" s="1"/>
      <c r="H1634" s="1"/>
      <c r="I1634" s="7">
        <v>1.631</v>
      </c>
      <c r="J1634" s="7">
        <f>IF((I1634-ROUNDDOWN(I1634,0))=0, 0, (I1634-ROUNDDOWN(I1634,0)))</f>
      </c>
      <c r="K1634" s="7">
        <f>INDIRECT("C$"&amp;2+MIN(2,ROUNDDOWN(I1634,0))*3)*(-$J1634^3+3*$J1634^2-3*$J1634+1)+INDIRECT("C$"&amp;3+MIN(2,ROUNDDOWN(I1634,0))*3)*(3*$J1634^3-6*$J1634^2+3*$J1634)+INDIRECT("C$"&amp;4+MIN(2,ROUNDDOWN(I1634,0))*3)*(-3*$J1634^3+3*$J1634^2)+INDIRECT("C$"&amp;5+MIN(2,ROUNDDOWN(I1634,0))*3)*$J1634^3</f>
      </c>
      <c r="L1634" s="7">
        <f>INDIRECT("D$"&amp;2+MIN(2,ROUNDDOWN(I1634,0))*3)*(-$J1634^3+3*$J1634^2-3*$J1634+1)+INDIRECT("D$"&amp;3+MIN(2,ROUNDDOWN(I1634,0))*3)*(3*$J1634^3-6*$J1634^2+3*$J1634)+INDIRECT("D$"&amp;4+MIN(2,ROUNDDOWN(I1634,0))*3)*(-3*$J1634^3+3*$J1634^2)+INDIRECT("D$"&amp;5+MIN(2,ROUNDDOWN(I1634,0))*3)*$J1634^3</f>
      </c>
      <c r="M1634" s="7">
        <f>SQRT(K1634^2+L1634^2)</f>
      </c>
      <c r="N1634" s="7">
        <f>(K1635-K1633)</f>
      </c>
      <c r="O1634" s="7">
        <f>+(L1635-L1633)</f>
      </c>
      <c r="P1634" s="7">
        <f>SQRT(O1634^2+N1634^2)</f>
      </c>
      <c r="Q1634" s="7">
        <f>N1634/$P1634</f>
      </c>
      <c r="R1634" s="7">
        <f>O1634/$P1634</f>
      </c>
      <c r="S1634" s="8">
        <f>Q1634^2+R1634^2</f>
      </c>
      <c r="T1634" s="7">
        <f>-R1634</f>
      </c>
      <c r="U1634" s="7">
        <f>Q1634</f>
      </c>
      <c r="V1634" s="7">
        <f>($C$14+($C$15-$C$14)/($D$15-$D$14)*(I1634-$D$14))/2</f>
      </c>
      <c r="W1634" s="7">
        <f>($B$22*I1634^4+$C$22*I1634^3+$D$22*I1634^2+$E$22*I1634+$F$22)/2</f>
      </c>
      <c r="X1634" s="7">
        <f>($W1634)*(T1634)</f>
      </c>
      <c r="Y1634" s="7">
        <f>($W1634)*(U1634)</f>
      </c>
      <c r="Z1634" s="7">
        <f>SQRT(X1634^2+Y1634^2)</f>
      </c>
      <c r="AA1634" s="7">
        <f>$K1634+$X1634</f>
      </c>
      <c r="AB1634" s="7">
        <f>$L1634+$Y1634</f>
      </c>
      <c r="AC1634" s="7">
        <f>$K1634-$X1634</f>
      </c>
      <c r="AD1634" s="7">
        <f>$L1634-$Y1634</f>
      </c>
      <c r="AE1634" s="7">
        <f>AA1634/39.3701</f>
      </c>
      <c r="AF1634" s="7">
        <f>AB1634/39.3701</f>
      </c>
      <c r="AG1634" s="7">
        <f>AC1634/39.3701</f>
      </c>
      <c r="AH1634" s="7">
        <f>AD1634/39.3701</f>
      </c>
      <c r="AI1634" s="1"/>
      <c r="AJ1634" s="1"/>
      <c r="AK1634" s="1"/>
      <c r="AL1634" s="1"/>
      <c r="AM1634" s="2"/>
      <c r="AN1634" s="1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  <c r="AY1634" s="1"/>
      <c r="AZ1634" s="1"/>
      <c r="BA1634" s="1"/>
      <c r="BB1634" s="1"/>
      <c r="BC1634" s="1"/>
      <c r="BD1634" s="1"/>
      <c r="BE1634" s="1"/>
    </row>
    <row x14ac:dyDescent="0.25" r="1635" customHeight="1" ht="18.75">
      <c r="A1635" s="1"/>
      <c r="B1635" s="2"/>
      <c r="C1635" s="2"/>
      <c r="D1635" s="2"/>
      <c r="E1635" s="2"/>
      <c r="F1635" s="2"/>
      <c r="G1635" s="1"/>
      <c r="H1635" s="1"/>
      <c r="I1635" s="7">
        <v>1.632</v>
      </c>
      <c r="J1635" s="7">
        <f>IF((I1635-ROUNDDOWN(I1635,0))=0, 0, (I1635-ROUNDDOWN(I1635,0)))</f>
      </c>
      <c r="K1635" s="7">
        <f>INDIRECT("C$"&amp;2+MIN(2,ROUNDDOWN(I1635,0))*3)*(-$J1635^3+3*$J1635^2-3*$J1635+1)+INDIRECT("C$"&amp;3+MIN(2,ROUNDDOWN(I1635,0))*3)*(3*$J1635^3-6*$J1635^2+3*$J1635)+INDIRECT("C$"&amp;4+MIN(2,ROUNDDOWN(I1635,0))*3)*(-3*$J1635^3+3*$J1635^2)+INDIRECT("C$"&amp;5+MIN(2,ROUNDDOWN(I1635,0))*3)*$J1635^3</f>
      </c>
      <c r="L1635" s="7">
        <f>INDIRECT("D$"&amp;2+MIN(2,ROUNDDOWN(I1635,0))*3)*(-$J1635^3+3*$J1635^2-3*$J1635+1)+INDIRECT("D$"&amp;3+MIN(2,ROUNDDOWN(I1635,0))*3)*(3*$J1635^3-6*$J1635^2+3*$J1635)+INDIRECT("D$"&amp;4+MIN(2,ROUNDDOWN(I1635,0))*3)*(-3*$J1635^3+3*$J1635^2)+INDIRECT("D$"&amp;5+MIN(2,ROUNDDOWN(I1635,0))*3)*$J1635^3</f>
      </c>
      <c r="M1635" s="7">
        <f>SQRT(K1635^2+L1635^2)</f>
      </c>
      <c r="N1635" s="7">
        <f>(K1636-K1634)</f>
      </c>
      <c r="O1635" s="7">
        <f>+(L1636-L1634)</f>
      </c>
      <c r="P1635" s="7">
        <f>SQRT(O1635^2+N1635^2)</f>
      </c>
      <c r="Q1635" s="7">
        <f>N1635/$P1635</f>
      </c>
      <c r="R1635" s="7">
        <f>O1635/$P1635</f>
      </c>
      <c r="S1635" s="7">
        <f>Q1635^2+R1635^2</f>
      </c>
      <c r="T1635" s="7">
        <f>-R1635</f>
      </c>
      <c r="U1635" s="7">
        <f>Q1635</f>
      </c>
      <c r="V1635" s="7">
        <f>($C$14+($C$15-$C$14)/($D$15-$D$14)*(I1635-$D$14))/2</f>
      </c>
      <c r="W1635" s="7">
        <f>($B$22*I1635^4+$C$22*I1635^3+$D$22*I1635^2+$E$22*I1635+$F$22)/2</f>
      </c>
      <c r="X1635" s="7">
        <f>($W1635)*(T1635)</f>
      </c>
      <c r="Y1635" s="7">
        <f>($W1635)*(U1635)</f>
      </c>
      <c r="Z1635" s="7">
        <f>SQRT(X1635^2+Y1635^2)</f>
      </c>
      <c r="AA1635" s="7">
        <f>$K1635+$X1635</f>
      </c>
      <c r="AB1635" s="7">
        <f>$L1635+$Y1635</f>
      </c>
      <c r="AC1635" s="7">
        <f>$K1635-$X1635</f>
      </c>
      <c r="AD1635" s="7">
        <f>$L1635-$Y1635</f>
      </c>
      <c r="AE1635" s="7">
        <f>AA1635/39.3701</f>
      </c>
      <c r="AF1635" s="7">
        <f>AB1635/39.3701</f>
      </c>
      <c r="AG1635" s="7">
        <f>AC1635/39.3701</f>
      </c>
      <c r="AH1635" s="7">
        <f>AD1635/39.3701</f>
      </c>
      <c r="AI1635" s="1"/>
      <c r="AJ1635" s="1"/>
      <c r="AK1635" s="1"/>
      <c r="AL1635" s="1"/>
      <c r="AM1635" s="2"/>
      <c r="AN1635" s="1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  <c r="AY1635" s="1"/>
      <c r="AZ1635" s="1"/>
      <c r="BA1635" s="1"/>
      <c r="BB1635" s="1"/>
      <c r="BC1635" s="1"/>
      <c r="BD1635" s="1"/>
      <c r="BE1635" s="1"/>
    </row>
    <row x14ac:dyDescent="0.25" r="1636" customHeight="1" ht="18.75">
      <c r="A1636" s="1"/>
      <c r="B1636" s="2"/>
      <c r="C1636" s="2"/>
      <c r="D1636" s="2"/>
      <c r="E1636" s="2"/>
      <c r="F1636" s="2"/>
      <c r="G1636" s="1"/>
      <c r="H1636" s="1"/>
      <c r="I1636" s="7">
        <v>1.633</v>
      </c>
      <c r="J1636" s="7">
        <f>IF((I1636-ROUNDDOWN(I1636,0))=0, 0, (I1636-ROUNDDOWN(I1636,0)))</f>
      </c>
      <c r="K1636" s="7">
        <f>INDIRECT("C$"&amp;2+MIN(2,ROUNDDOWN(I1636,0))*3)*(-$J1636^3+3*$J1636^2-3*$J1636+1)+INDIRECT("C$"&amp;3+MIN(2,ROUNDDOWN(I1636,0))*3)*(3*$J1636^3-6*$J1636^2+3*$J1636)+INDIRECT("C$"&amp;4+MIN(2,ROUNDDOWN(I1636,0))*3)*(-3*$J1636^3+3*$J1636^2)+INDIRECT("C$"&amp;5+MIN(2,ROUNDDOWN(I1636,0))*3)*$J1636^3</f>
      </c>
      <c r="L1636" s="7">
        <f>INDIRECT("D$"&amp;2+MIN(2,ROUNDDOWN(I1636,0))*3)*(-$J1636^3+3*$J1636^2-3*$J1636+1)+INDIRECT("D$"&amp;3+MIN(2,ROUNDDOWN(I1636,0))*3)*(3*$J1636^3-6*$J1636^2+3*$J1636)+INDIRECT("D$"&amp;4+MIN(2,ROUNDDOWN(I1636,0))*3)*(-3*$J1636^3+3*$J1636^2)+INDIRECT("D$"&amp;5+MIN(2,ROUNDDOWN(I1636,0))*3)*$J1636^3</f>
      </c>
      <c r="M1636" s="7">
        <f>SQRT(K1636^2+L1636^2)</f>
      </c>
      <c r="N1636" s="7">
        <f>(K1637-K1635)</f>
      </c>
      <c r="O1636" s="7">
        <f>+(L1637-L1635)</f>
      </c>
      <c r="P1636" s="7">
        <f>SQRT(O1636^2+N1636^2)</f>
      </c>
      <c r="Q1636" s="7">
        <f>N1636/$P1636</f>
      </c>
      <c r="R1636" s="7">
        <f>O1636/$P1636</f>
      </c>
      <c r="S1636" s="8">
        <f>Q1636^2+R1636^2</f>
      </c>
      <c r="T1636" s="7">
        <f>-R1636</f>
      </c>
      <c r="U1636" s="7">
        <f>Q1636</f>
      </c>
      <c r="V1636" s="7">
        <f>($C$14+($C$15-$C$14)/($D$15-$D$14)*(I1636-$D$14))/2</f>
      </c>
      <c r="W1636" s="7">
        <f>($B$22*I1636^4+$C$22*I1636^3+$D$22*I1636^2+$E$22*I1636+$F$22)/2</f>
      </c>
      <c r="X1636" s="7">
        <f>($W1636)*(T1636)</f>
      </c>
      <c r="Y1636" s="7">
        <f>($W1636)*(U1636)</f>
      </c>
      <c r="Z1636" s="7">
        <f>SQRT(X1636^2+Y1636^2)</f>
      </c>
      <c r="AA1636" s="7">
        <f>$K1636+$X1636</f>
      </c>
      <c r="AB1636" s="7">
        <f>$L1636+$Y1636</f>
      </c>
      <c r="AC1636" s="7">
        <f>$K1636-$X1636</f>
      </c>
      <c r="AD1636" s="7">
        <f>$L1636-$Y1636</f>
      </c>
      <c r="AE1636" s="7">
        <f>AA1636/39.3701</f>
      </c>
      <c r="AF1636" s="7">
        <f>AB1636/39.3701</f>
      </c>
      <c r="AG1636" s="7">
        <f>AC1636/39.3701</f>
      </c>
      <c r="AH1636" s="7">
        <f>AD1636/39.3701</f>
      </c>
      <c r="AI1636" s="1"/>
      <c r="AJ1636" s="1"/>
      <c r="AK1636" s="1"/>
      <c r="AL1636" s="1"/>
      <c r="AM1636" s="2"/>
      <c r="AN1636" s="1"/>
      <c r="AO1636" s="1"/>
      <c r="AP1636" s="1"/>
      <c r="AQ1636" s="1"/>
      <c r="AR1636" s="1"/>
      <c r="AS1636" s="1"/>
      <c r="AT1636" s="1"/>
      <c r="AU1636" s="1"/>
      <c r="AV1636" s="1"/>
      <c r="AW1636" s="1"/>
      <c r="AX1636" s="1"/>
      <c r="AY1636" s="1"/>
      <c r="AZ1636" s="1"/>
      <c r="BA1636" s="1"/>
      <c r="BB1636" s="1"/>
      <c r="BC1636" s="1"/>
      <c r="BD1636" s="1"/>
      <c r="BE1636" s="1"/>
    </row>
    <row x14ac:dyDescent="0.25" r="1637" customHeight="1" ht="18.75">
      <c r="A1637" s="1"/>
      <c r="B1637" s="2"/>
      <c r="C1637" s="2"/>
      <c r="D1637" s="2"/>
      <c r="E1637" s="2"/>
      <c r="F1637" s="2"/>
      <c r="G1637" s="1"/>
      <c r="H1637" s="1"/>
      <c r="I1637" s="7">
        <v>1.634</v>
      </c>
      <c r="J1637" s="7">
        <f>IF((I1637-ROUNDDOWN(I1637,0))=0, 0, (I1637-ROUNDDOWN(I1637,0)))</f>
      </c>
      <c r="K1637" s="7">
        <f>INDIRECT("C$"&amp;2+MIN(2,ROUNDDOWN(I1637,0))*3)*(-$J1637^3+3*$J1637^2-3*$J1637+1)+INDIRECT("C$"&amp;3+MIN(2,ROUNDDOWN(I1637,0))*3)*(3*$J1637^3-6*$J1637^2+3*$J1637)+INDIRECT("C$"&amp;4+MIN(2,ROUNDDOWN(I1637,0))*3)*(-3*$J1637^3+3*$J1637^2)+INDIRECT("C$"&amp;5+MIN(2,ROUNDDOWN(I1637,0))*3)*$J1637^3</f>
      </c>
      <c r="L1637" s="7">
        <f>INDIRECT("D$"&amp;2+MIN(2,ROUNDDOWN(I1637,0))*3)*(-$J1637^3+3*$J1637^2-3*$J1637+1)+INDIRECT("D$"&amp;3+MIN(2,ROUNDDOWN(I1637,0))*3)*(3*$J1637^3-6*$J1637^2+3*$J1637)+INDIRECT("D$"&amp;4+MIN(2,ROUNDDOWN(I1637,0))*3)*(-3*$J1637^3+3*$J1637^2)+INDIRECT("D$"&amp;5+MIN(2,ROUNDDOWN(I1637,0))*3)*$J1637^3</f>
      </c>
      <c r="M1637" s="7">
        <f>SQRT(K1637^2+L1637^2)</f>
      </c>
      <c r="N1637" s="7">
        <f>(K1638-K1636)</f>
      </c>
      <c r="O1637" s="7">
        <f>+(L1638-L1636)</f>
      </c>
      <c r="P1637" s="7">
        <f>SQRT(O1637^2+N1637^2)</f>
      </c>
      <c r="Q1637" s="7">
        <f>N1637/$P1637</f>
      </c>
      <c r="R1637" s="7">
        <f>O1637/$P1637</f>
      </c>
      <c r="S1637" s="7">
        <f>Q1637^2+R1637^2</f>
      </c>
      <c r="T1637" s="7">
        <f>-R1637</f>
      </c>
      <c r="U1637" s="7">
        <f>Q1637</f>
      </c>
      <c r="V1637" s="7">
        <f>($C$14+($C$15-$C$14)/($D$15-$D$14)*(I1637-$D$14))/2</f>
      </c>
      <c r="W1637" s="7">
        <f>($B$22*I1637^4+$C$22*I1637^3+$D$22*I1637^2+$E$22*I1637+$F$22)/2</f>
      </c>
      <c r="X1637" s="7">
        <f>($W1637)*(T1637)</f>
      </c>
      <c r="Y1637" s="7">
        <f>($W1637)*(U1637)</f>
      </c>
      <c r="Z1637" s="7">
        <f>SQRT(X1637^2+Y1637^2)</f>
      </c>
      <c r="AA1637" s="7">
        <f>$K1637+$X1637</f>
      </c>
      <c r="AB1637" s="7">
        <f>$L1637+$Y1637</f>
      </c>
      <c r="AC1637" s="7">
        <f>$K1637-$X1637</f>
      </c>
      <c r="AD1637" s="7">
        <f>$L1637-$Y1637</f>
      </c>
      <c r="AE1637" s="7">
        <f>AA1637/39.3701</f>
      </c>
      <c r="AF1637" s="7">
        <f>AB1637/39.3701</f>
      </c>
      <c r="AG1637" s="7">
        <f>AC1637/39.3701</f>
      </c>
      <c r="AH1637" s="7">
        <f>AD1637/39.3701</f>
      </c>
      <c r="AI1637" s="1"/>
      <c r="AJ1637" s="1"/>
      <c r="AK1637" s="1"/>
      <c r="AL1637" s="1"/>
      <c r="AM1637" s="2"/>
      <c r="AN1637" s="1"/>
      <c r="AO1637" s="1"/>
      <c r="AP1637" s="1"/>
      <c r="AQ1637" s="1"/>
      <c r="AR1637" s="1"/>
      <c r="AS1637" s="1"/>
      <c r="AT1637" s="1"/>
      <c r="AU1637" s="1"/>
      <c r="AV1637" s="1"/>
      <c r="AW1637" s="1"/>
      <c r="AX1637" s="1"/>
      <c r="AY1637" s="1"/>
      <c r="AZ1637" s="1"/>
      <c r="BA1637" s="1"/>
      <c r="BB1637" s="1"/>
      <c r="BC1637" s="1"/>
      <c r="BD1637" s="1"/>
      <c r="BE1637" s="1"/>
    </row>
    <row x14ac:dyDescent="0.25" r="1638" customHeight="1" ht="18.75">
      <c r="A1638" s="1"/>
      <c r="B1638" s="2"/>
      <c r="C1638" s="2"/>
      <c r="D1638" s="2"/>
      <c r="E1638" s="2"/>
      <c r="F1638" s="2"/>
      <c r="G1638" s="1"/>
      <c r="H1638" s="1"/>
      <c r="I1638" s="7">
        <v>1.635</v>
      </c>
      <c r="J1638" s="7">
        <f>IF((I1638-ROUNDDOWN(I1638,0))=0, 0, (I1638-ROUNDDOWN(I1638,0)))</f>
      </c>
      <c r="K1638" s="7">
        <f>INDIRECT("C$"&amp;2+MIN(2,ROUNDDOWN(I1638,0))*3)*(-$J1638^3+3*$J1638^2-3*$J1638+1)+INDIRECT("C$"&amp;3+MIN(2,ROUNDDOWN(I1638,0))*3)*(3*$J1638^3-6*$J1638^2+3*$J1638)+INDIRECT("C$"&amp;4+MIN(2,ROUNDDOWN(I1638,0))*3)*(-3*$J1638^3+3*$J1638^2)+INDIRECT("C$"&amp;5+MIN(2,ROUNDDOWN(I1638,0))*3)*$J1638^3</f>
      </c>
      <c r="L1638" s="7">
        <f>INDIRECT("D$"&amp;2+MIN(2,ROUNDDOWN(I1638,0))*3)*(-$J1638^3+3*$J1638^2-3*$J1638+1)+INDIRECT("D$"&amp;3+MIN(2,ROUNDDOWN(I1638,0))*3)*(3*$J1638^3-6*$J1638^2+3*$J1638)+INDIRECT("D$"&amp;4+MIN(2,ROUNDDOWN(I1638,0))*3)*(-3*$J1638^3+3*$J1638^2)+INDIRECT("D$"&amp;5+MIN(2,ROUNDDOWN(I1638,0))*3)*$J1638^3</f>
      </c>
      <c r="M1638" s="7">
        <f>SQRT(K1638^2+L1638^2)</f>
      </c>
      <c r="N1638" s="7">
        <f>(K1639-K1637)</f>
      </c>
      <c r="O1638" s="7">
        <f>+(L1639-L1637)</f>
      </c>
      <c r="P1638" s="7">
        <f>SQRT(O1638^2+N1638^2)</f>
      </c>
      <c r="Q1638" s="7">
        <f>N1638/$P1638</f>
      </c>
      <c r="R1638" s="7">
        <f>O1638/$P1638</f>
      </c>
      <c r="S1638" s="8">
        <f>Q1638^2+R1638^2</f>
      </c>
      <c r="T1638" s="7">
        <f>-R1638</f>
      </c>
      <c r="U1638" s="7">
        <f>Q1638</f>
      </c>
      <c r="V1638" s="7">
        <f>($C$14+($C$15-$C$14)/($D$15-$D$14)*(I1638-$D$14))/2</f>
      </c>
      <c r="W1638" s="7">
        <f>($B$22*I1638^4+$C$22*I1638^3+$D$22*I1638^2+$E$22*I1638+$F$22)/2</f>
      </c>
      <c r="X1638" s="7">
        <f>($W1638)*(T1638)</f>
      </c>
      <c r="Y1638" s="7">
        <f>($W1638)*(U1638)</f>
      </c>
      <c r="Z1638" s="7">
        <f>SQRT(X1638^2+Y1638^2)</f>
      </c>
      <c r="AA1638" s="7">
        <f>$K1638+$X1638</f>
      </c>
      <c r="AB1638" s="7">
        <f>$L1638+$Y1638</f>
      </c>
      <c r="AC1638" s="7">
        <f>$K1638-$X1638</f>
      </c>
      <c r="AD1638" s="7">
        <f>$L1638-$Y1638</f>
      </c>
      <c r="AE1638" s="7">
        <f>AA1638/39.3701</f>
      </c>
      <c r="AF1638" s="7">
        <f>AB1638/39.3701</f>
      </c>
      <c r="AG1638" s="7">
        <f>AC1638/39.3701</f>
      </c>
      <c r="AH1638" s="7">
        <f>AD1638/39.3701</f>
      </c>
      <c r="AI1638" s="1"/>
      <c r="AJ1638" s="1"/>
      <c r="AK1638" s="1"/>
      <c r="AL1638" s="1"/>
      <c r="AM1638" s="2"/>
      <c r="AN1638" s="1"/>
      <c r="AO1638" s="1"/>
      <c r="AP1638" s="1"/>
      <c r="AQ1638" s="1"/>
      <c r="AR1638" s="1"/>
      <c r="AS1638" s="1"/>
      <c r="AT1638" s="1"/>
      <c r="AU1638" s="1"/>
      <c r="AV1638" s="1"/>
      <c r="AW1638" s="1"/>
      <c r="AX1638" s="1"/>
      <c r="AY1638" s="1"/>
      <c r="AZ1638" s="1"/>
      <c r="BA1638" s="1"/>
      <c r="BB1638" s="1"/>
      <c r="BC1638" s="1"/>
      <c r="BD1638" s="1"/>
      <c r="BE1638" s="1"/>
    </row>
    <row x14ac:dyDescent="0.25" r="1639" customHeight="1" ht="18.75">
      <c r="A1639" s="1"/>
      <c r="B1639" s="2"/>
      <c r="C1639" s="2"/>
      <c r="D1639" s="2"/>
      <c r="E1639" s="2"/>
      <c r="F1639" s="2"/>
      <c r="G1639" s="1"/>
      <c r="H1639" s="1"/>
      <c r="I1639" s="7">
        <v>1.636</v>
      </c>
      <c r="J1639" s="7">
        <f>IF((I1639-ROUNDDOWN(I1639,0))=0, 0, (I1639-ROUNDDOWN(I1639,0)))</f>
      </c>
      <c r="K1639" s="7">
        <f>INDIRECT("C$"&amp;2+MIN(2,ROUNDDOWN(I1639,0))*3)*(-$J1639^3+3*$J1639^2-3*$J1639+1)+INDIRECT("C$"&amp;3+MIN(2,ROUNDDOWN(I1639,0))*3)*(3*$J1639^3-6*$J1639^2+3*$J1639)+INDIRECT("C$"&amp;4+MIN(2,ROUNDDOWN(I1639,0))*3)*(-3*$J1639^3+3*$J1639^2)+INDIRECT("C$"&amp;5+MIN(2,ROUNDDOWN(I1639,0))*3)*$J1639^3</f>
      </c>
      <c r="L1639" s="7">
        <f>INDIRECT("D$"&amp;2+MIN(2,ROUNDDOWN(I1639,0))*3)*(-$J1639^3+3*$J1639^2-3*$J1639+1)+INDIRECT("D$"&amp;3+MIN(2,ROUNDDOWN(I1639,0))*3)*(3*$J1639^3-6*$J1639^2+3*$J1639)+INDIRECT("D$"&amp;4+MIN(2,ROUNDDOWN(I1639,0))*3)*(-3*$J1639^3+3*$J1639^2)+INDIRECT("D$"&amp;5+MIN(2,ROUNDDOWN(I1639,0))*3)*$J1639^3</f>
      </c>
      <c r="M1639" s="7">
        <f>SQRT(K1639^2+L1639^2)</f>
      </c>
      <c r="N1639" s="7">
        <f>(K1640-K1638)</f>
      </c>
      <c r="O1639" s="7">
        <f>+(L1640-L1638)</f>
      </c>
      <c r="P1639" s="7">
        <f>SQRT(O1639^2+N1639^2)</f>
      </c>
      <c r="Q1639" s="7">
        <f>N1639/$P1639</f>
      </c>
      <c r="R1639" s="7">
        <f>O1639/$P1639</f>
      </c>
      <c r="S1639" s="8">
        <f>Q1639^2+R1639^2</f>
      </c>
      <c r="T1639" s="7">
        <f>-R1639</f>
      </c>
      <c r="U1639" s="7">
        <f>Q1639</f>
      </c>
      <c r="V1639" s="7">
        <f>($C$14+($C$15-$C$14)/($D$15-$D$14)*(I1639-$D$14))/2</f>
      </c>
      <c r="W1639" s="7">
        <f>($B$22*I1639^4+$C$22*I1639^3+$D$22*I1639^2+$E$22*I1639+$F$22)/2</f>
      </c>
      <c r="X1639" s="7">
        <f>($W1639)*(T1639)</f>
      </c>
      <c r="Y1639" s="7">
        <f>($W1639)*(U1639)</f>
      </c>
      <c r="Z1639" s="7">
        <f>SQRT(X1639^2+Y1639^2)</f>
      </c>
      <c r="AA1639" s="7">
        <f>$K1639+$X1639</f>
      </c>
      <c r="AB1639" s="7">
        <f>$L1639+$Y1639</f>
      </c>
      <c r="AC1639" s="7">
        <f>$K1639-$X1639</f>
      </c>
      <c r="AD1639" s="7">
        <f>$L1639-$Y1639</f>
      </c>
      <c r="AE1639" s="7">
        <f>AA1639/39.3701</f>
      </c>
      <c r="AF1639" s="7">
        <f>AB1639/39.3701</f>
      </c>
      <c r="AG1639" s="7">
        <f>AC1639/39.3701</f>
      </c>
      <c r="AH1639" s="7">
        <f>AD1639/39.3701</f>
      </c>
      <c r="AI1639" s="1"/>
      <c r="AJ1639" s="1"/>
      <c r="AK1639" s="1"/>
      <c r="AL1639" s="1"/>
      <c r="AM1639" s="2"/>
      <c r="AN1639" s="1"/>
      <c r="AO1639" s="1"/>
      <c r="AP1639" s="1"/>
      <c r="AQ1639" s="1"/>
      <c r="AR1639" s="1"/>
      <c r="AS1639" s="1"/>
      <c r="AT1639" s="1"/>
      <c r="AU1639" s="1"/>
      <c r="AV1639" s="1"/>
      <c r="AW1639" s="1"/>
      <c r="AX1639" s="1"/>
      <c r="AY1639" s="1"/>
      <c r="AZ1639" s="1"/>
      <c r="BA1639" s="1"/>
      <c r="BB1639" s="1"/>
      <c r="BC1639" s="1"/>
      <c r="BD1639" s="1"/>
      <c r="BE1639" s="1"/>
    </row>
    <row x14ac:dyDescent="0.25" r="1640" customHeight="1" ht="18.75">
      <c r="A1640" s="1"/>
      <c r="B1640" s="2"/>
      <c r="C1640" s="2"/>
      <c r="D1640" s="2"/>
      <c r="E1640" s="2"/>
      <c r="F1640" s="2"/>
      <c r="G1640" s="1"/>
      <c r="H1640" s="1"/>
      <c r="I1640" s="7">
        <v>1.637</v>
      </c>
      <c r="J1640" s="7">
        <f>IF((I1640-ROUNDDOWN(I1640,0))=0, 0, (I1640-ROUNDDOWN(I1640,0)))</f>
      </c>
      <c r="K1640" s="7">
        <f>INDIRECT("C$"&amp;2+MIN(2,ROUNDDOWN(I1640,0))*3)*(-$J1640^3+3*$J1640^2-3*$J1640+1)+INDIRECT("C$"&amp;3+MIN(2,ROUNDDOWN(I1640,0))*3)*(3*$J1640^3-6*$J1640^2+3*$J1640)+INDIRECT("C$"&amp;4+MIN(2,ROUNDDOWN(I1640,0))*3)*(-3*$J1640^3+3*$J1640^2)+INDIRECT("C$"&amp;5+MIN(2,ROUNDDOWN(I1640,0))*3)*$J1640^3</f>
      </c>
      <c r="L1640" s="7">
        <f>INDIRECT("D$"&amp;2+MIN(2,ROUNDDOWN(I1640,0))*3)*(-$J1640^3+3*$J1640^2-3*$J1640+1)+INDIRECT("D$"&amp;3+MIN(2,ROUNDDOWN(I1640,0))*3)*(3*$J1640^3-6*$J1640^2+3*$J1640)+INDIRECT("D$"&amp;4+MIN(2,ROUNDDOWN(I1640,0))*3)*(-3*$J1640^3+3*$J1640^2)+INDIRECT("D$"&amp;5+MIN(2,ROUNDDOWN(I1640,0))*3)*$J1640^3</f>
      </c>
      <c r="M1640" s="7">
        <f>SQRT(K1640^2+L1640^2)</f>
      </c>
      <c r="N1640" s="7">
        <f>(K1641-K1639)</f>
      </c>
      <c r="O1640" s="7">
        <f>+(L1641-L1639)</f>
      </c>
      <c r="P1640" s="7">
        <f>SQRT(O1640^2+N1640^2)</f>
      </c>
      <c r="Q1640" s="7">
        <f>N1640/$P1640</f>
      </c>
      <c r="R1640" s="7">
        <f>O1640/$P1640</f>
      </c>
      <c r="S1640" s="8">
        <f>Q1640^2+R1640^2</f>
      </c>
      <c r="T1640" s="7">
        <f>-R1640</f>
      </c>
      <c r="U1640" s="7">
        <f>Q1640</f>
      </c>
      <c r="V1640" s="7">
        <f>($C$14+($C$15-$C$14)/($D$15-$D$14)*(I1640-$D$14))/2</f>
      </c>
      <c r="W1640" s="7">
        <f>($B$22*I1640^4+$C$22*I1640^3+$D$22*I1640^2+$E$22*I1640+$F$22)/2</f>
      </c>
      <c r="X1640" s="7">
        <f>($W1640)*(T1640)</f>
      </c>
      <c r="Y1640" s="7">
        <f>($W1640)*(U1640)</f>
      </c>
      <c r="Z1640" s="7">
        <f>SQRT(X1640^2+Y1640^2)</f>
      </c>
      <c r="AA1640" s="7">
        <f>$K1640+$X1640</f>
      </c>
      <c r="AB1640" s="7">
        <f>$L1640+$Y1640</f>
      </c>
      <c r="AC1640" s="7">
        <f>$K1640-$X1640</f>
      </c>
      <c r="AD1640" s="7">
        <f>$L1640-$Y1640</f>
      </c>
      <c r="AE1640" s="7">
        <f>AA1640/39.3701</f>
      </c>
      <c r="AF1640" s="7">
        <f>AB1640/39.3701</f>
      </c>
      <c r="AG1640" s="7">
        <f>AC1640/39.3701</f>
      </c>
      <c r="AH1640" s="7">
        <f>AD1640/39.3701</f>
      </c>
      <c r="AI1640" s="1"/>
      <c r="AJ1640" s="1"/>
      <c r="AK1640" s="1"/>
      <c r="AL1640" s="1"/>
      <c r="AM1640" s="2"/>
      <c r="AN1640" s="1"/>
      <c r="AO1640" s="1"/>
      <c r="AP1640" s="1"/>
      <c r="AQ1640" s="1"/>
      <c r="AR1640" s="1"/>
      <c r="AS1640" s="1"/>
      <c r="AT1640" s="1"/>
      <c r="AU1640" s="1"/>
      <c r="AV1640" s="1"/>
      <c r="AW1640" s="1"/>
      <c r="AX1640" s="1"/>
      <c r="AY1640" s="1"/>
      <c r="AZ1640" s="1"/>
      <c r="BA1640" s="1"/>
      <c r="BB1640" s="1"/>
      <c r="BC1640" s="1"/>
      <c r="BD1640" s="1"/>
      <c r="BE1640" s="1"/>
    </row>
    <row x14ac:dyDescent="0.25" r="1641" customHeight="1" ht="18.75">
      <c r="A1641" s="1"/>
      <c r="B1641" s="2"/>
      <c r="C1641" s="2"/>
      <c r="D1641" s="2"/>
      <c r="E1641" s="2"/>
      <c r="F1641" s="2"/>
      <c r="G1641" s="1"/>
      <c r="H1641" s="1"/>
      <c r="I1641" s="7">
        <v>1.638</v>
      </c>
      <c r="J1641" s="7">
        <f>IF((I1641-ROUNDDOWN(I1641,0))=0, 0, (I1641-ROUNDDOWN(I1641,0)))</f>
      </c>
      <c r="K1641" s="7">
        <f>INDIRECT("C$"&amp;2+MIN(2,ROUNDDOWN(I1641,0))*3)*(-$J1641^3+3*$J1641^2-3*$J1641+1)+INDIRECT("C$"&amp;3+MIN(2,ROUNDDOWN(I1641,0))*3)*(3*$J1641^3-6*$J1641^2+3*$J1641)+INDIRECT("C$"&amp;4+MIN(2,ROUNDDOWN(I1641,0))*3)*(-3*$J1641^3+3*$J1641^2)+INDIRECT("C$"&amp;5+MIN(2,ROUNDDOWN(I1641,0))*3)*$J1641^3</f>
      </c>
      <c r="L1641" s="7">
        <f>INDIRECT("D$"&amp;2+MIN(2,ROUNDDOWN(I1641,0))*3)*(-$J1641^3+3*$J1641^2-3*$J1641+1)+INDIRECT("D$"&amp;3+MIN(2,ROUNDDOWN(I1641,0))*3)*(3*$J1641^3-6*$J1641^2+3*$J1641)+INDIRECT("D$"&amp;4+MIN(2,ROUNDDOWN(I1641,0))*3)*(-3*$J1641^3+3*$J1641^2)+INDIRECT("D$"&amp;5+MIN(2,ROUNDDOWN(I1641,0))*3)*$J1641^3</f>
      </c>
      <c r="M1641" s="7">
        <f>SQRT(K1641^2+L1641^2)</f>
      </c>
      <c r="N1641" s="7">
        <f>(K1642-K1640)</f>
      </c>
      <c r="O1641" s="7">
        <f>+(L1642-L1640)</f>
      </c>
      <c r="P1641" s="7">
        <f>SQRT(O1641^2+N1641^2)</f>
      </c>
      <c r="Q1641" s="7">
        <f>N1641/$P1641</f>
      </c>
      <c r="R1641" s="7">
        <f>O1641/$P1641</f>
      </c>
      <c r="S1641" s="7">
        <f>Q1641^2+R1641^2</f>
      </c>
      <c r="T1641" s="7">
        <f>-R1641</f>
      </c>
      <c r="U1641" s="7">
        <f>Q1641</f>
      </c>
      <c r="V1641" s="7">
        <f>($C$14+($C$15-$C$14)/($D$15-$D$14)*(I1641-$D$14))/2</f>
      </c>
      <c r="W1641" s="7">
        <f>($B$22*I1641^4+$C$22*I1641^3+$D$22*I1641^2+$E$22*I1641+$F$22)/2</f>
      </c>
      <c r="X1641" s="7">
        <f>($W1641)*(T1641)</f>
      </c>
      <c r="Y1641" s="7">
        <f>($W1641)*(U1641)</f>
      </c>
      <c r="Z1641" s="7">
        <f>SQRT(X1641^2+Y1641^2)</f>
      </c>
      <c r="AA1641" s="7">
        <f>$K1641+$X1641</f>
      </c>
      <c r="AB1641" s="7">
        <f>$L1641+$Y1641</f>
      </c>
      <c r="AC1641" s="7">
        <f>$K1641-$X1641</f>
      </c>
      <c r="AD1641" s="7">
        <f>$L1641-$Y1641</f>
      </c>
      <c r="AE1641" s="7">
        <f>AA1641/39.3701</f>
      </c>
      <c r="AF1641" s="7">
        <f>AB1641/39.3701</f>
      </c>
      <c r="AG1641" s="7">
        <f>AC1641/39.3701</f>
      </c>
      <c r="AH1641" s="7">
        <f>AD1641/39.3701</f>
      </c>
      <c r="AI1641" s="1"/>
      <c r="AJ1641" s="1"/>
      <c r="AK1641" s="1"/>
      <c r="AL1641" s="1"/>
      <c r="AM1641" s="2"/>
      <c r="AN1641" s="1"/>
      <c r="AO1641" s="1"/>
      <c r="AP1641" s="1"/>
      <c r="AQ1641" s="1"/>
      <c r="AR1641" s="1"/>
      <c r="AS1641" s="1"/>
      <c r="AT1641" s="1"/>
      <c r="AU1641" s="1"/>
      <c r="AV1641" s="1"/>
      <c r="AW1641" s="1"/>
      <c r="AX1641" s="1"/>
      <c r="AY1641" s="1"/>
      <c r="AZ1641" s="1"/>
      <c r="BA1641" s="1"/>
      <c r="BB1641" s="1"/>
      <c r="BC1641" s="1"/>
      <c r="BD1641" s="1"/>
      <c r="BE1641" s="1"/>
    </row>
    <row x14ac:dyDescent="0.25" r="1642" customHeight="1" ht="18.75">
      <c r="A1642" s="1"/>
      <c r="B1642" s="2"/>
      <c r="C1642" s="2"/>
      <c r="D1642" s="2"/>
      <c r="E1642" s="2"/>
      <c r="F1642" s="2"/>
      <c r="G1642" s="1"/>
      <c r="H1642" s="1"/>
      <c r="I1642" s="7">
        <v>1.639</v>
      </c>
      <c r="J1642" s="7">
        <f>IF((I1642-ROUNDDOWN(I1642,0))=0, 0, (I1642-ROUNDDOWN(I1642,0)))</f>
      </c>
      <c r="K1642" s="7">
        <f>INDIRECT("C$"&amp;2+MIN(2,ROUNDDOWN(I1642,0))*3)*(-$J1642^3+3*$J1642^2-3*$J1642+1)+INDIRECT("C$"&amp;3+MIN(2,ROUNDDOWN(I1642,0))*3)*(3*$J1642^3-6*$J1642^2+3*$J1642)+INDIRECT("C$"&amp;4+MIN(2,ROUNDDOWN(I1642,0))*3)*(-3*$J1642^3+3*$J1642^2)+INDIRECT("C$"&amp;5+MIN(2,ROUNDDOWN(I1642,0))*3)*$J1642^3</f>
      </c>
      <c r="L1642" s="7">
        <f>INDIRECT("D$"&amp;2+MIN(2,ROUNDDOWN(I1642,0))*3)*(-$J1642^3+3*$J1642^2-3*$J1642+1)+INDIRECT("D$"&amp;3+MIN(2,ROUNDDOWN(I1642,0))*3)*(3*$J1642^3-6*$J1642^2+3*$J1642)+INDIRECT("D$"&amp;4+MIN(2,ROUNDDOWN(I1642,0))*3)*(-3*$J1642^3+3*$J1642^2)+INDIRECT("D$"&amp;5+MIN(2,ROUNDDOWN(I1642,0))*3)*$J1642^3</f>
      </c>
      <c r="M1642" s="7">
        <f>SQRT(K1642^2+L1642^2)</f>
      </c>
      <c r="N1642" s="7">
        <f>(K1643-K1641)</f>
      </c>
      <c r="O1642" s="7">
        <f>+(L1643-L1641)</f>
      </c>
      <c r="P1642" s="7">
        <f>SQRT(O1642^2+N1642^2)</f>
      </c>
      <c r="Q1642" s="7">
        <f>N1642/$P1642</f>
      </c>
      <c r="R1642" s="7">
        <f>O1642/$P1642</f>
      </c>
      <c r="S1642" s="8">
        <f>Q1642^2+R1642^2</f>
      </c>
      <c r="T1642" s="7">
        <f>-R1642</f>
      </c>
      <c r="U1642" s="7">
        <f>Q1642</f>
      </c>
      <c r="V1642" s="7">
        <f>($C$14+($C$15-$C$14)/($D$15-$D$14)*(I1642-$D$14))/2</f>
      </c>
      <c r="W1642" s="7">
        <f>($B$22*I1642^4+$C$22*I1642^3+$D$22*I1642^2+$E$22*I1642+$F$22)/2</f>
      </c>
      <c r="X1642" s="7">
        <f>($W1642)*(T1642)</f>
      </c>
      <c r="Y1642" s="7">
        <f>($W1642)*(U1642)</f>
      </c>
      <c r="Z1642" s="7">
        <f>SQRT(X1642^2+Y1642^2)</f>
      </c>
      <c r="AA1642" s="7">
        <f>$K1642+$X1642</f>
      </c>
      <c r="AB1642" s="7">
        <f>$L1642+$Y1642</f>
      </c>
      <c r="AC1642" s="7">
        <f>$K1642-$X1642</f>
      </c>
      <c r="AD1642" s="7">
        <f>$L1642-$Y1642</f>
      </c>
      <c r="AE1642" s="7">
        <f>AA1642/39.3701</f>
      </c>
      <c r="AF1642" s="7">
        <f>AB1642/39.3701</f>
      </c>
      <c r="AG1642" s="7">
        <f>AC1642/39.3701</f>
      </c>
      <c r="AH1642" s="7">
        <f>AD1642/39.3701</f>
      </c>
      <c r="AI1642" s="1"/>
      <c r="AJ1642" s="1"/>
      <c r="AK1642" s="1"/>
      <c r="AL1642" s="1"/>
      <c r="AM1642" s="2"/>
      <c r="AN1642" s="1"/>
      <c r="AO1642" s="1"/>
      <c r="AP1642" s="1"/>
      <c r="AQ1642" s="1"/>
      <c r="AR1642" s="1"/>
      <c r="AS1642" s="1"/>
      <c r="AT1642" s="1"/>
      <c r="AU1642" s="1"/>
      <c r="AV1642" s="1"/>
      <c r="AW1642" s="1"/>
      <c r="AX1642" s="1"/>
      <c r="AY1642" s="1"/>
      <c r="AZ1642" s="1"/>
      <c r="BA1642" s="1"/>
      <c r="BB1642" s="1"/>
      <c r="BC1642" s="1"/>
      <c r="BD1642" s="1"/>
      <c r="BE1642" s="1"/>
    </row>
    <row x14ac:dyDescent="0.25" r="1643" customHeight="1" ht="18.75">
      <c r="A1643" s="1"/>
      <c r="B1643" s="2"/>
      <c r="C1643" s="2"/>
      <c r="D1643" s="2"/>
      <c r="E1643" s="2"/>
      <c r="F1643" s="2"/>
      <c r="G1643" s="1"/>
      <c r="H1643" s="1"/>
      <c r="I1643" s="7">
        <v>1.64</v>
      </c>
      <c r="J1643" s="7">
        <f>IF((I1643-ROUNDDOWN(I1643,0))=0, 0, (I1643-ROUNDDOWN(I1643,0)))</f>
      </c>
      <c r="K1643" s="7">
        <f>INDIRECT("C$"&amp;2+MIN(2,ROUNDDOWN(I1643,0))*3)*(-$J1643^3+3*$J1643^2-3*$J1643+1)+INDIRECT("C$"&amp;3+MIN(2,ROUNDDOWN(I1643,0))*3)*(3*$J1643^3-6*$J1643^2+3*$J1643)+INDIRECT("C$"&amp;4+MIN(2,ROUNDDOWN(I1643,0))*3)*(-3*$J1643^3+3*$J1643^2)+INDIRECT("C$"&amp;5+MIN(2,ROUNDDOWN(I1643,0))*3)*$J1643^3</f>
      </c>
      <c r="L1643" s="7">
        <f>INDIRECT("D$"&amp;2+MIN(2,ROUNDDOWN(I1643,0))*3)*(-$J1643^3+3*$J1643^2-3*$J1643+1)+INDIRECT("D$"&amp;3+MIN(2,ROUNDDOWN(I1643,0))*3)*(3*$J1643^3-6*$J1643^2+3*$J1643)+INDIRECT("D$"&amp;4+MIN(2,ROUNDDOWN(I1643,0))*3)*(-3*$J1643^3+3*$J1643^2)+INDIRECT("D$"&amp;5+MIN(2,ROUNDDOWN(I1643,0))*3)*$J1643^3</f>
      </c>
      <c r="M1643" s="7">
        <f>SQRT(K1643^2+L1643^2)</f>
      </c>
      <c r="N1643" s="7">
        <f>(K1644-K1642)</f>
      </c>
      <c r="O1643" s="7">
        <f>+(L1644-L1642)</f>
      </c>
      <c r="P1643" s="7">
        <f>SQRT(O1643^2+N1643^2)</f>
      </c>
      <c r="Q1643" s="7">
        <f>N1643/$P1643</f>
      </c>
      <c r="R1643" s="7">
        <f>O1643/$P1643</f>
      </c>
      <c r="S1643" s="7">
        <f>Q1643^2+R1643^2</f>
      </c>
      <c r="T1643" s="7">
        <f>-R1643</f>
      </c>
      <c r="U1643" s="7">
        <f>Q1643</f>
      </c>
      <c r="V1643" s="7">
        <f>($C$14+($C$15-$C$14)/($D$15-$D$14)*(I1643-$D$14))/2</f>
      </c>
      <c r="W1643" s="7">
        <f>($B$22*I1643^4+$C$22*I1643^3+$D$22*I1643^2+$E$22*I1643+$F$22)/2</f>
      </c>
      <c r="X1643" s="7">
        <f>($W1643)*(T1643)</f>
      </c>
      <c r="Y1643" s="7">
        <f>($W1643)*(U1643)</f>
      </c>
      <c r="Z1643" s="7">
        <f>SQRT(X1643^2+Y1643^2)</f>
      </c>
      <c r="AA1643" s="7">
        <f>$K1643+$X1643</f>
      </c>
      <c r="AB1643" s="7">
        <f>$L1643+$Y1643</f>
      </c>
      <c r="AC1643" s="7">
        <f>$K1643-$X1643</f>
      </c>
      <c r="AD1643" s="7">
        <f>$L1643-$Y1643</f>
      </c>
      <c r="AE1643" s="7">
        <f>AA1643/39.3701</f>
      </c>
      <c r="AF1643" s="7">
        <f>AB1643/39.3701</f>
      </c>
      <c r="AG1643" s="7">
        <f>AC1643/39.3701</f>
      </c>
      <c r="AH1643" s="7">
        <f>AD1643/39.3701</f>
      </c>
      <c r="AI1643" s="1"/>
      <c r="AJ1643" s="1"/>
      <c r="AK1643" s="1"/>
      <c r="AL1643" s="1"/>
      <c r="AM1643" s="2"/>
      <c r="AN1643" s="1"/>
      <c r="AO1643" s="1"/>
      <c r="AP1643" s="1"/>
      <c r="AQ1643" s="1"/>
      <c r="AR1643" s="1"/>
      <c r="AS1643" s="1"/>
      <c r="AT1643" s="1"/>
      <c r="AU1643" s="1"/>
      <c r="AV1643" s="1"/>
      <c r="AW1643" s="1"/>
      <c r="AX1643" s="1"/>
      <c r="AY1643" s="1"/>
      <c r="AZ1643" s="1"/>
      <c r="BA1643" s="1"/>
      <c r="BB1643" s="1"/>
      <c r="BC1643" s="1"/>
      <c r="BD1643" s="1"/>
      <c r="BE1643" s="1"/>
    </row>
    <row x14ac:dyDescent="0.25" r="1644" customHeight="1" ht="18.75">
      <c r="A1644" s="1"/>
      <c r="B1644" s="2"/>
      <c r="C1644" s="2"/>
      <c r="D1644" s="2"/>
      <c r="E1644" s="2"/>
      <c r="F1644" s="2"/>
      <c r="G1644" s="1"/>
      <c r="H1644" s="1"/>
      <c r="I1644" s="7">
        <v>1.641</v>
      </c>
      <c r="J1644" s="7">
        <f>IF((I1644-ROUNDDOWN(I1644,0))=0, 0, (I1644-ROUNDDOWN(I1644,0)))</f>
      </c>
      <c r="K1644" s="7">
        <f>INDIRECT("C$"&amp;2+MIN(2,ROUNDDOWN(I1644,0))*3)*(-$J1644^3+3*$J1644^2-3*$J1644+1)+INDIRECT("C$"&amp;3+MIN(2,ROUNDDOWN(I1644,0))*3)*(3*$J1644^3-6*$J1644^2+3*$J1644)+INDIRECT("C$"&amp;4+MIN(2,ROUNDDOWN(I1644,0))*3)*(-3*$J1644^3+3*$J1644^2)+INDIRECT("C$"&amp;5+MIN(2,ROUNDDOWN(I1644,0))*3)*$J1644^3</f>
      </c>
      <c r="L1644" s="7">
        <f>INDIRECT("D$"&amp;2+MIN(2,ROUNDDOWN(I1644,0))*3)*(-$J1644^3+3*$J1644^2-3*$J1644+1)+INDIRECT("D$"&amp;3+MIN(2,ROUNDDOWN(I1644,0))*3)*(3*$J1644^3-6*$J1644^2+3*$J1644)+INDIRECT("D$"&amp;4+MIN(2,ROUNDDOWN(I1644,0))*3)*(-3*$J1644^3+3*$J1644^2)+INDIRECT("D$"&amp;5+MIN(2,ROUNDDOWN(I1644,0))*3)*$J1644^3</f>
      </c>
      <c r="M1644" s="7">
        <f>SQRT(K1644^2+L1644^2)</f>
      </c>
      <c r="N1644" s="7">
        <f>(K1645-K1643)</f>
      </c>
      <c r="O1644" s="7">
        <f>+(L1645-L1643)</f>
      </c>
      <c r="P1644" s="7">
        <f>SQRT(O1644^2+N1644^2)</f>
      </c>
      <c r="Q1644" s="7">
        <f>N1644/$P1644</f>
      </c>
      <c r="R1644" s="7">
        <f>O1644/$P1644</f>
      </c>
      <c r="S1644" s="8">
        <f>Q1644^2+R1644^2</f>
      </c>
      <c r="T1644" s="7">
        <f>-R1644</f>
      </c>
      <c r="U1644" s="7">
        <f>Q1644</f>
      </c>
      <c r="V1644" s="7">
        <f>($C$14+($C$15-$C$14)/($D$15-$D$14)*(I1644-$D$14))/2</f>
      </c>
      <c r="W1644" s="7">
        <f>($B$22*I1644^4+$C$22*I1644^3+$D$22*I1644^2+$E$22*I1644+$F$22)/2</f>
      </c>
      <c r="X1644" s="7">
        <f>($W1644)*(T1644)</f>
      </c>
      <c r="Y1644" s="7">
        <f>($W1644)*(U1644)</f>
      </c>
      <c r="Z1644" s="7">
        <f>SQRT(X1644^2+Y1644^2)</f>
      </c>
      <c r="AA1644" s="7">
        <f>$K1644+$X1644</f>
      </c>
      <c r="AB1644" s="7">
        <f>$L1644+$Y1644</f>
      </c>
      <c r="AC1644" s="7">
        <f>$K1644-$X1644</f>
      </c>
      <c r="AD1644" s="7">
        <f>$L1644-$Y1644</f>
      </c>
      <c r="AE1644" s="7">
        <f>AA1644/39.3701</f>
      </c>
      <c r="AF1644" s="7">
        <f>AB1644/39.3701</f>
      </c>
      <c r="AG1644" s="7">
        <f>AC1644/39.3701</f>
      </c>
      <c r="AH1644" s="7">
        <f>AD1644/39.3701</f>
      </c>
      <c r="AI1644" s="1"/>
      <c r="AJ1644" s="1"/>
      <c r="AK1644" s="1"/>
      <c r="AL1644" s="1"/>
      <c r="AM1644" s="2"/>
      <c r="AN1644" s="1"/>
      <c r="AO1644" s="1"/>
      <c r="AP1644" s="1"/>
      <c r="AQ1644" s="1"/>
      <c r="AR1644" s="1"/>
      <c r="AS1644" s="1"/>
      <c r="AT1644" s="1"/>
      <c r="AU1644" s="1"/>
      <c r="AV1644" s="1"/>
      <c r="AW1644" s="1"/>
      <c r="AX1644" s="1"/>
      <c r="AY1644" s="1"/>
      <c r="AZ1644" s="1"/>
      <c r="BA1644" s="1"/>
      <c r="BB1644" s="1"/>
      <c r="BC1644" s="1"/>
      <c r="BD1644" s="1"/>
      <c r="BE1644" s="1"/>
    </row>
    <row x14ac:dyDescent="0.25" r="1645" customHeight="1" ht="18.75">
      <c r="A1645" s="1"/>
      <c r="B1645" s="2"/>
      <c r="C1645" s="2"/>
      <c r="D1645" s="2"/>
      <c r="E1645" s="2"/>
      <c r="F1645" s="2"/>
      <c r="G1645" s="1"/>
      <c r="H1645" s="1"/>
      <c r="I1645" s="7">
        <v>1.642</v>
      </c>
      <c r="J1645" s="7">
        <f>IF((I1645-ROUNDDOWN(I1645,0))=0, 0, (I1645-ROUNDDOWN(I1645,0)))</f>
      </c>
      <c r="K1645" s="7">
        <f>INDIRECT("C$"&amp;2+MIN(2,ROUNDDOWN(I1645,0))*3)*(-$J1645^3+3*$J1645^2-3*$J1645+1)+INDIRECT("C$"&amp;3+MIN(2,ROUNDDOWN(I1645,0))*3)*(3*$J1645^3-6*$J1645^2+3*$J1645)+INDIRECT("C$"&amp;4+MIN(2,ROUNDDOWN(I1645,0))*3)*(-3*$J1645^3+3*$J1645^2)+INDIRECT("C$"&amp;5+MIN(2,ROUNDDOWN(I1645,0))*3)*$J1645^3</f>
      </c>
      <c r="L1645" s="7">
        <f>INDIRECT("D$"&amp;2+MIN(2,ROUNDDOWN(I1645,0))*3)*(-$J1645^3+3*$J1645^2-3*$J1645+1)+INDIRECT("D$"&amp;3+MIN(2,ROUNDDOWN(I1645,0))*3)*(3*$J1645^3-6*$J1645^2+3*$J1645)+INDIRECT("D$"&amp;4+MIN(2,ROUNDDOWN(I1645,0))*3)*(-3*$J1645^3+3*$J1645^2)+INDIRECT("D$"&amp;5+MIN(2,ROUNDDOWN(I1645,0))*3)*$J1645^3</f>
      </c>
      <c r="M1645" s="7">
        <f>SQRT(K1645^2+L1645^2)</f>
      </c>
      <c r="N1645" s="7">
        <f>(K1646-K1644)</f>
      </c>
      <c r="O1645" s="7">
        <f>+(L1646-L1644)</f>
      </c>
      <c r="P1645" s="7">
        <f>SQRT(O1645^2+N1645^2)</f>
      </c>
      <c r="Q1645" s="7">
        <f>N1645/$P1645</f>
      </c>
      <c r="R1645" s="7">
        <f>O1645/$P1645</f>
      </c>
      <c r="S1645" s="7">
        <f>Q1645^2+R1645^2</f>
      </c>
      <c r="T1645" s="7">
        <f>-R1645</f>
      </c>
      <c r="U1645" s="7">
        <f>Q1645</f>
      </c>
      <c r="V1645" s="7">
        <f>($C$14+($C$15-$C$14)/($D$15-$D$14)*(I1645-$D$14))/2</f>
      </c>
      <c r="W1645" s="7">
        <f>($B$22*I1645^4+$C$22*I1645^3+$D$22*I1645^2+$E$22*I1645+$F$22)/2</f>
      </c>
      <c r="X1645" s="7">
        <f>($W1645)*(T1645)</f>
      </c>
      <c r="Y1645" s="7">
        <f>($W1645)*(U1645)</f>
      </c>
      <c r="Z1645" s="7">
        <f>SQRT(X1645^2+Y1645^2)</f>
      </c>
      <c r="AA1645" s="7">
        <f>$K1645+$X1645</f>
      </c>
      <c r="AB1645" s="7">
        <f>$L1645+$Y1645</f>
      </c>
      <c r="AC1645" s="7">
        <f>$K1645-$X1645</f>
      </c>
      <c r="AD1645" s="7">
        <f>$L1645-$Y1645</f>
      </c>
      <c r="AE1645" s="7">
        <f>AA1645/39.3701</f>
      </c>
      <c r="AF1645" s="7">
        <f>AB1645/39.3701</f>
      </c>
      <c r="AG1645" s="7">
        <f>AC1645/39.3701</f>
      </c>
      <c r="AH1645" s="7">
        <f>AD1645/39.3701</f>
      </c>
      <c r="AI1645" s="1"/>
      <c r="AJ1645" s="1"/>
      <c r="AK1645" s="1"/>
      <c r="AL1645" s="1"/>
      <c r="AM1645" s="2"/>
      <c r="AN1645" s="1"/>
      <c r="AO1645" s="1"/>
      <c r="AP1645" s="1"/>
      <c r="AQ1645" s="1"/>
      <c r="AR1645" s="1"/>
      <c r="AS1645" s="1"/>
      <c r="AT1645" s="1"/>
      <c r="AU1645" s="1"/>
      <c r="AV1645" s="1"/>
      <c r="AW1645" s="1"/>
      <c r="AX1645" s="1"/>
      <c r="AY1645" s="1"/>
      <c r="AZ1645" s="1"/>
      <c r="BA1645" s="1"/>
      <c r="BB1645" s="1"/>
      <c r="BC1645" s="1"/>
      <c r="BD1645" s="1"/>
      <c r="BE1645" s="1"/>
    </row>
    <row x14ac:dyDescent="0.25" r="1646" customHeight="1" ht="18.75">
      <c r="A1646" s="1"/>
      <c r="B1646" s="2"/>
      <c r="C1646" s="2"/>
      <c r="D1646" s="2"/>
      <c r="E1646" s="2"/>
      <c r="F1646" s="2"/>
      <c r="G1646" s="1"/>
      <c r="H1646" s="1"/>
      <c r="I1646" s="7">
        <v>1.643</v>
      </c>
      <c r="J1646" s="7">
        <f>IF((I1646-ROUNDDOWN(I1646,0))=0, 0, (I1646-ROUNDDOWN(I1646,0)))</f>
      </c>
      <c r="K1646" s="7">
        <f>INDIRECT("C$"&amp;2+MIN(2,ROUNDDOWN(I1646,0))*3)*(-$J1646^3+3*$J1646^2-3*$J1646+1)+INDIRECT("C$"&amp;3+MIN(2,ROUNDDOWN(I1646,0))*3)*(3*$J1646^3-6*$J1646^2+3*$J1646)+INDIRECT("C$"&amp;4+MIN(2,ROUNDDOWN(I1646,0))*3)*(-3*$J1646^3+3*$J1646^2)+INDIRECT("C$"&amp;5+MIN(2,ROUNDDOWN(I1646,0))*3)*$J1646^3</f>
      </c>
      <c r="L1646" s="7">
        <f>INDIRECT("D$"&amp;2+MIN(2,ROUNDDOWN(I1646,0))*3)*(-$J1646^3+3*$J1646^2-3*$J1646+1)+INDIRECT("D$"&amp;3+MIN(2,ROUNDDOWN(I1646,0))*3)*(3*$J1646^3-6*$J1646^2+3*$J1646)+INDIRECT("D$"&amp;4+MIN(2,ROUNDDOWN(I1646,0))*3)*(-3*$J1646^3+3*$J1646^2)+INDIRECT("D$"&amp;5+MIN(2,ROUNDDOWN(I1646,0))*3)*$J1646^3</f>
      </c>
      <c r="M1646" s="7">
        <f>SQRT(K1646^2+L1646^2)</f>
      </c>
      <c r="N1646" s="7">
        <f>(K1647-K1645)</f>
      </c>
      <c r="O1646" s="7">
        <f>+(L1647-L1645)</f>
      </c>
      <c r="P1646" s="7">
        <f>SQRT(O1646^2+N1646^2)</f>
      </c>
      <c r="Q1646" s="7">
        <f>N1646/$P1646</f>
      </c>
      <c r="R1646" s="7">
        <f>O1646/$P1646</f>
      </c>
      <c r="S1646" s="8">
        <f>Q1646^2+R1646^2</f>
      </c>
      <c r="T1646" s="7">
        <f>-R1646</f>
      </c>
      <c r="U1646" s="7">
        <f>Q1646</f>
      </c>
      <c r="V1646" s="7">
        <f>($C$14+($C$15-$C$14)/($D$15-$D$14)*(I1646-$D$14))/2</f>
      </c>
      <c r="W1646" s="7">
        <f>($B$22*I1646^4+$C$22*I1646^3+$D$22*I1646^2+$E$22*I1646+$F$22)/2</f>
      </c>
      <c r="X1646" s="7">
        <f>($W1646)*(T1646)</f>
      </c>
      <c r="Y1646" s="7">
        <f>($W1646)*(U1646)</f>
      </c>
      <c r="Z1646" s="7">
        <f>SQRT(X1646^2+Y1646^2)</f>
      </c>
      <c r="AA1646" s="7">
        <f>$K1646+$X1646</f>
      </c>
      <c r="AB1646" s="7">
        <f>$L1646+$Y1646</f>
      </c>
      <c r="AC1646" s="7">
        <f>$K1646-$X1646</f>
      </c>
      <c r="AD1646" s="7">
        <f>$L1646-$Y1646</f>
      </c>
      <c r="AE1646" s="7">
        <f>AA1646/39.3701</f>
      </c>
      <c r="AF1646" s="7">
        <f>AB1646/39.3701</f>
      </c>
      <c r="AG1646" s="7">
        <f>AC1646/39.3701</f>
      </c>
      <c r="AH1646" s="7">
        <f>AD1646/39.3701</f>
      </c>
      <c r="AI1646" s="1"/>
      <c r="AJ1646" s="1"/>
      <c r="AK1646" s="1"/>
      <c r="AL1646" s="1"/>
      <c r="AM1646" s="2"/>
      <c r="AN1646" s="1"/>
      <c r="AO1646" s="1"/>
      <c r="AP1646" s="1"/>
      <c r="AQ1646" s="1"/>
      <c r="AR1646" s="1"/>
      <c r="AS1646" s="1"/>
      <c r="AT1646" s="1"/>
      <c r="AU1646" s="1"/>
      <c r="AV1646" s="1"/>
      <c r="AW1646" s="1"/>
      <c r="AX1646" s="1"/>
      <c r="AY1646" s="1"/>
      <c r="AZ1646" s="1"/>
      <c r="BA1646" s="1"/>
      <c r="BB1646" s="1"/>
      <c r="BC1646" s="1"/>
      <c r="BD1646" s="1"/>
      <c r="BE1646" s="1"/>
    </row>
    <row x14ac:dyDescent="0.25" r="1647" customHeight="1" ht="18.75">
      <c r="A1647" s="1"/>
      <c r="B1647" s="2"/>
      <c r="C1647" s="2"/>
      <c r="D1647" s="2"/>
      <c r="E1647" s="2"/>
      <c r="F1647" s="2"/>
      <c r="G1647" s="1"/>
      <c r="H1647" s="1"/>
      <c r="I1647" s="7">
        <v>1.644</v>
      </c>
      <c r="J1647" s="7">
        <f>IF((I1647-ROUNDDOWN(I1647,0))=0, 0, (I1647-ROUNDDOWN(I1647,0)))</f>
      </c>
      <c r="K1647" s="7">
        <f>INDIRECT("C$"&amp;2+MIN(2,ROUNDDOWN(I1647,0))*3)*(-$J1647^3+3*$J1647^2-3*$J1647+1)+INDIRECT("C$"&amp;3+MIN(2,ROUNDDOWN(I1647,0))*3)*(3*$J1647^3-6*$J1647^2+3*$J1647)+INDIRECT("C$"&amp;4+MIN(2,ROUNDDOWN(I1647,0))*3)*(-3*$J1647^3+3*$J1647^2)+INDIRECT("C$"&amp;5+MIN(2,ROUNDDOWN(I1647,0))*3)*$J1647^3</f>
      </c>
      <c r="L1647" s="7">
        <f>INDIRECT("D$"&amp;2+MIN(2,ROUNDDOWN(I1647,0))*3)*(-$J1647^3+3*$J1647^2-3*$J1647+1)+INDIRECT("D$"&amp;3+MIN(2,ROUNDDOWN(I1647,0))*3)*(3*$J1647^3-6*$J1647^2+3*$J1647)+INDIRECT("D$"&amp;4+MIN(2,ROUNDDOWN(I1647,0))*3)*(-3*$J1647^3+3*$J1647^2)+INDIRECT("D$"&amp;5+MIN(2,ROUNDDOWN(I1647,0))*3)*$J1647^3</f>
      </c>
      <c r="M1647" s="7">
        <f>SQRT(K1647^2+L1647^2)</f>
      </c>
      <c r="N1647" s="7">
        <f>(K1648-K1646)</f>
      </c>
      <c r="O1647" s="7">
        <f>+(L1648-L1646)</f>
      </c>
      <c r="P1647" s="7">
        <f>SQRT(O1647^2+N1647^2)</f>
      </c>
      <c r="Q1647" s="7">
        <f>N1647/$P1647</f>
      </c>
      <c r="R1647" s="7">
        <f>O1647/$P1647</f>
      </c>
      <c r="S1647" s="8">
        <f>Q1647^2+R1647^2</f>
      </c>
      <c r="T1647" s="7">
        <f>-R1647</f>
      </c>
      <c r="U1647" s="7">
        <f>Q1647</f>
      </c>
      <c r="V1647" s="7">
        <f>($C$14+($C$15-$C$14)/($D$15-$D$14)*(I1647-$D$14))/2</f>
      </c>
      <c r="W1647" s="7">
        <f>($B$22*I1647^4+$C$22*I1647^3+$D$22*I1647^2+$E$22*I1647+$F$22)/2</f>
      </c>
      <c r="X1647" s="7">
        <f>($W1647)*(T1647)</f>
      </c>
      <c r="Y1647" s="7">
        <f>($W1647)*(U1647)</f>
      </c>
      <c r="Z1647" s="7">
        <f>SQRT(X1647^2+Y1647^2)</f>
      </c>
      <c r="AA1647" s="7">
        <f>$K1647+$X1647</f>
      </c>
      <c r="AB1647" s="7">
        <f>$L1647+$Y1647</f>
      </c>
      <c r="AC1647" s="7">
        <f>$K1647-$X1647</f>
      </c>
      <c r="AD1647" s="7">
        <f>$L1647-$Y1647</f>
      </c>
      <c r="AE1647" s="7">
        <f>AA1647/39.3701</f>
      </c>
      <c r="AF1647" s="7">
        <f>AB1647/39.3701</f>
      </c>
      <c r="AG1647" s="7">
        <f>AC1647/39.3701</f>
      </c>
      <c r="AH1647" s="7">
        <f>AD1647/39.3701</f>
      </c>
      <c r="AI1647" s="1"/>
      <c r="AJ1647" s="1"/>
      <c r="AK1647" s="1"/>
      <c r="AL1647" s="1"/>
      <c r="AM1647" s="2"/>
      <c r="AN1647" s="1"/>
      <c r="AO1647" s="1"/>
      <c r="AP1647" s="1"/>
      <c r="AQ1647" s="1"/>
      <c r="AR1647" s="1"/>
      <c r="AS1647" s="1"/>
      <c r="AT1647" s="1"/>
      <c r="AU1647" s="1"/>
      <c r="AV1647" s="1"/>
      <c r="AW1647" s="1"/>
      <c r="AX1647" s="1"/>
      <c r="AY1647" s="1"/>
      <c r="AZ1647" s="1"/>
      <c r="BA1647" s="1"/>
      <c r="BB1647" s="1"/>
      <c r="BC1647" s="1"/>
      <c r="BD1647" s="1"/>
      <c r="BE1647" s="1"/>
    </row>
    <row x14ac:dyDescent="0.25" r="1648" customHeight="1" ht="18.75">
      <c r="A1648" s="1"/>
      <c r="B1648" s="2"/>
      <c r="C1648" s="2"/>
      <c r="D1648" s="2"/>
      <c r="E1648" s="2"/>
      <c r="F1648" s="2"/>
      <c r="G1648" s="1"/>
      <c r="H1648" s="1"/>
      <c r="I1648" s="7">
        <v>1.645</v>
      </c>
      <c r="J1648" s="7">
        <f>IF((I1648-ROUNDDOWN(I1648,0))=0, 0, (I1648-ROUNDDOWN(I1648,0)))</f>
      </c>
      <c r="K1648" s="7">
        <f>INDIRECT("C$"&amp;2+MIN(2,ROUNDDOWN(I1648,0))*3)*(-$J1648^3+3*$J1648^2-3*$J1648+1)+INDIRECT("C$"&amp;3+MIN(2,ROUNDDOWN(I1648,0))*3)*(3*$J1648^3-6*$J1648^2+3*$J1648)+INDIRECT("C$"&amp;4+MIN(2,ROUNDDOWN(I1648,0))*3)*(-3*$J1648^3+3*$J1648^2)+INDIRECT("C$"&amp;5+MIN(2,ROUNDDOWN(I1648,0))*3)*$J1648^3</f>
      </c>
      <c r="L1648" s="7">
        <f>INDIRECT("D$"&amp;2+MIN(2,ROUNDDOWN(I1648,0))*3)*(-$J1648^3+3*$J1648^2-3*$J1648+1)+INDIRECT("D$"&amp;3+MIN(2,ROUNDDOWN(I1648,0))*3)*(3*$J1648^3-6*$J1648^2+3*$J1648)+INDIRECT("D$"&amp;4+MIN(2,ROUNDDOWN(I1648,0))*3)*(-3*$J1648^3+3*$J1648^2)+INDIRECT("D$"&amp;5+MIN(2,ROUNDDOWN(I1648,0))*3)*$J1648^3</f>
      </c>
      <c r="M1648" s="7">
        <f>SQRT(K1648^2+L1648^2)</f>
      </c>
      <c r="N1648" s="7">
        <f>(K1649-K1647)</f>
      </c>
      <c r="O1648" s="7">
        <f>+(L1649-L1647)</f>
      </c>
      <c r="P1648" s="7">
        <f>SQRT(O1648^2+N1648^2)</f>
      </c>
      <c r="Q1648" s="7">
        <f>N1648/$P1648</f>
      </c>
      <c r="R1648" s="7">
        <f>O1648/$P1648</f>
      </c>
      <c r="S1648" s="8">
        <f>Q1648^2+R1648^2</f>
      </c>
      <c r="T1648" s="7">
        <f>-R1648</f>
      </c>
      <c r="U1648" s="7">
        <f>Q1648</f>
      </c>
      <c r="V1648" s="7">
        <f>($C$14+($C$15-$C$14)/($D$15-$D$14)*(I1648-$D$14))/2</f>
      </c>
      <c r="W1648" s="7">
        <f>($B$22*I1648^4+$C$22*I1648^3+$D$22*I1648^2+$E$22*I1648+$F$22)/2</f>
      </c>
      <c r="X1648" s="7">
        <f>($W1648)*(T1648)</f>
      </c>
      <c r="Y1648" s="7">
        <f>($W1648)*(U1648)</f>
      </c>
      <c r="Z1648" s="7">
        <f>SQRT(X1648^2+Y1648^2)</f>
      </c>
      <c r="AA1648" s="7">
        <f>$K1648+$X1648</f>
      </c>
      <c r="AB1648" s="7">
        <f>$L1648+$Y1648</f>
      </c>
      <c r="AC1648" s="7">
        <f>$K1648-$X1648</f>
      </c>
      <c r="AD1648" s="7">
        <f>$L1648-$Y1648</f>
      </c>
      <c r="AE1648" s="7">
        <f>AA1648/39.3701</f>
      </c>
      <c r="AF1648" s="7">
        <f>AB1648/39.3701</f>
      </c>
      <c r="AG1648" s="7">
        <f>AC1648/39.3701</f>
      </c>
      <c r="AH1648" s="7">
        <f>AD1648/39.3701</f>
      </c>
      <c r="AI1648" s="1"/>
      <c r="AJ1648" s="1"/>
      <c r="AK1648" s="1"/>
      <c r="AL1648" s="1"/>
      <c r="AM1648" s="2"/>
      <c r="AN1648" s="1"/>
      <c r="AO1648" s="1"/>
      <c r="AP1648" s="1"/>
      <c r="AQ1648" s="1"/>
      <c r="AR1648" s="1"/>
      <c r="AS1648" s="1"/>
      <c r="AT1648" s="1"/>
      <c r="AU1648" s="1"/>
      <c r="AV1648" s="1"/>
      <c r="AW1648" s="1"/>
      <c r="AX1648" s="1"/>
      <c r="AY1648" s="1"/>
      <c r="AZ1648" s="1"/>
      <c r="BA1648" s="1"/>
      <c r="BB1648" s="1"/>
      <c r="BC1648" s="1"/>
      <c r="BD1648" s="1"/>
      <c r="BE1648" s="1"/>
    </row>
    <row x14ac:dyDescent="0.25" r="1649" customHeight="1" ht="18.75">
      <c r="A1649" s="1"/>
      <c r="B1649" s="2"/>
      <c r="C1649" s="2"/>
      <c r="D1649" s="2"/>
      <c r="E1649" s="2"/>
      <c r="F1649" s="2"/>
      <c r="G1649" s="1"/>
      <c r="H1649" s="1"/>
      <c r="I1649" s="7">
        <v>1.646</v>
      </c>
      <c r="J1649" s="7">
        <f>IF((I1649-ROUNDDOWN(I1649,0))=0, 0, (I1649-ROUNDDOWN(I1649,0)))</f>
      </c>
      <c r="K1649" s="7">
        <f>INDIRECT("C$"&amp;2+MIN(2,ROUNDDOWN(I1649,0))*3)*(-$J1649^3+3*$J1649^2-3*$J1649+1)+INDIRECT("C$"&amp;3+MIN(2,ROUNDDOWN(I1649,0))*3)*(3*$J1649^3-6*$J1649^2+3*$J1649)+INDIRECT("C$"&amp;4+MIN(2,ROUNDDOWN(I1649,0))*3)*(-3*$J1649^3+3*$J1649^2)+INDIRECT("C$"&amp;5+MIN(2,ROUNDDOWN(I1649,0))*3)*$J1649^3</f>
      </c>
      <c r="L1649" s="7">
        <f>INDIRECT("D$"&amp;2+MIN(2,ROUNDDOWN(I1649,0))*3)*(-$J1649^3+3*$J1649^2-3*$J1649+1)+INDIRECT("D$"&amp;3+MIN(2,ROUNDDOWN(I1649,0))*3)*(3*$J1649^3-6*$J1649^2+3*$J1649)+INDIRECT("D$"&amp;4+MIN(2,ROUNDDOWN(I1649,0))*3)*(-3*$J1649^3+3*$J1649^2)+INDIRECT("D$"&amp;5+MIN(2,ROUNDDOWN(I1649,0))*3)*$J1649^3</f>
      </c>
      <c r="M1649" s="7">
        <f>SQRT(K1649^2+L1649^2)</f>
      </c>
      <c r="N1649" s="7">
        <f>(K1650-K1648)</f>
      </c>
      <c r="O1649" s="7">
        <f>+(L1650-L1648)</f>
      </c>
      <c r="P1649" s="7">
        <f>SQRT(O1649^2+N1649^2)</f>
      </c>
      <c r="Q1649" s="7">
        <f>N1649/$P1649</f>
      </c>
      <c r="R1649" s="7">
        <f>O1649/$P1649</f>
      </c>
      <c r="S1649" s="8">
        <f>Q1649^2+R1649^2</f>
      </c>
      <c r="T1649" s="7">
        <f>-R1649</f>
      </c>
      <c r="U1649" s="7">
        <f>Q1649</f>
      </c>
      <c r="V1649" s="7">
        <f>($C$14+($C$15-$C$14)/($D$15-$D$14)*(I1649-$D$14))/2</f>
      </c>
      <c r="W1649" s="7">
        <f>($B$22*I1649^4+$C$22*I1649^3+$D$22*I1649^2+$E$22*I1649+$F$22)/2</f>
      </c>
      <c r="X1649" s="7">
        <f>($W1649)*(T1649)</f>
      </c>
      <c r="Y1649" s="7">
        <f>($W1649)*(U1649)</f>
      </c>
      <c r="Z1649" s="7">
        <f>SQRT(X1649^2+Y1649^2)</f>
      </c>
      <c r="AA1649" s="7">
        <f>$K1649+$X1649</f>
      </c>
      <c r="AB1649" s="7">
        <f>$L1649+$Y1649</f>
      </c>
      <c r="AC1649" s="7">
        <f>$K1649-$X1649</f>
      </c>
      <c r="AD1649" s="7">
        <f>$L1649-$Y1649</f>
      </c>
      <c r="AE1649" s="7">
        <f>AA1649/39.3701</f>
      </c>
      <c r="AF1649" s="7">
        <f>AB1649/39.3701</f>
      </c>
      <c r="AG1649" s="7">
        <f>AC1649/39.3701</f>
      </c>
      <c r="AH1649" s="7">
        <f>AD1649/39.3701</f>
      </c>
      <c r="AI1649" s="1"/>
      <c r="AJ1649" s="1"/>
      <c r="AK1649" s="1"/>
      <c r="AL1649" s="1"/>
      <c r="AM1649" s="2"/>
      <c r="AN1649" s="1"/>
      <c r="AO1649" s="1"/>
      <c r="AP1649" s="1"/>
      <c r="AQ1649" s="1"/>
      <c r="AR1649" s="1"/>
      <c r="AS1649" s="1"/>
      <c r="AT1649" s="1"/>
      <c r="AU1649" s="1"/>
      <c r="AV1649" s="1"/>
      <c r="AW1649" s="1"/>
      <c r="AX1649" s="1"/>
      <c r="AY1649" s="1"/>
      <c r="AZ1649" s="1"/>
      <c r="BA1649" s="1"/>
      <c r="BB1649" s="1"/>
      <c r="BC1649" s="1"/>
      <c r="BD1649" s="1"/>
      <c r="BE1649" s="1"/>
    </row>
    <row x14ac:dyDescent="0.25" r="1650" customHeight="1" ht="18.75">
      <c r="A1650" s="1"/>
      <c r="B1650" s="2"/>
      <c r="C1650" s="2"/>
      <c r="D1650" s="2"/>
      <c r="E1650" s="2"/>
      <c r="F1650" s="2"/>
      <c r="G1650" s="1"/>
      <c r="H1650" s="1"/>
      <c r="I1650" s="7">
        <v>1.647</v>
      </c>
      <c r="J1650" s="7">
        <f>IF((I1650-ROUNDDOWN(I1650,0))=0, 0, (I1650-ROUNDDOWN(I1650,0)))</f>
      </c>
      <c r="K1650" s="7">
        <f>INDIRECT("C$"&amp;2+MIN(2,ROUNDDOWN(I1650,0))*3)*(-$J1650^3+3*$J1650^2-3*$J1650+1)+INDIRECT("C$"&amp;3+MIN(2,ROUNDDOWN(I1650,0))*3)*(3*$J1650^3-6*$J1650^2+3*$J1650)+INDIRECT("C$"&amp;4+MIN(2,ROUNDDOWN(I1650,0))*3)*(-3*$J1650^3+3*$J1650^2)+INDIRECT("C$"&amp;5+MIN(2,ROUNDDOWN(I1650,0))*3)*$J1650^3</f>
      </c>
      <c r="L1650" s="7">
        <f>INDIRECT("D$"&amp;2+MIN(2,ROUNDDOWN(I1650,0))*3)*(-$J1650^3+3*$J1650^2-3*$J1650+1)+INDIRECT("D$"&amp;3+MIN(2,ROUNDDOWN(I1650,0))*3)*(3*$J1650^3-6*$J1650^2+3*$J1650)+INDIRECT("D$"&amp;4+MIN(2,ROUNDDOWN(I1650,0))*3)*(-3*$J1650^3+3*$J1650^2)+INDIRECT("D$"&amp;5+MIN(2,ROUNDDOWN(I1650,0))*3)*$J1650^3</f>
      </c>
      <c r="M1650" s="7">
        <f>SQRT(K1650^2+L1650^2)</f>
      </c>
      <c r="N1650" s="7">
        <f>(K1651-K1649)</f>
      </c>
      <c r="O1650" s="7">
        <f>+(L1651-L1649)</f>
      </c>
      <c r="P1650" s="7">
        <f>SQRT(O1650^2+N1650^2)</f>
      </c>
      <c r="Q1650" s="7">
        <f>N1650/$P1650</f>
      </c>
      <c r="R1650" s="7">
        <f>O1650/$P1650</f>
      </c>
      <c r="S1650" s="7">
        <f>Q1650^2+R1650^2</f>
      </c>
      <c r="T1650" s="7">
        <f>-R1650</f>
      </c>
      <c r="U1650" s="7">
        <f>Q1650</f>
      </c>
      <c r="V1650" s="7">
        <f>($C$14+($C$15-$C$14)/($D$15-$D$14)*(I1650-$D$14))/2</f>
      </c>
      <c r="W1650" s="7">
        <f>($B$22*I1650^4+$C$22*I1650^3+$D$22*I1650^2+$E$22*I1650+$F$22)/2</f>
      </c>
      <c r="X1650" s="7">
        <f>($W1650)*(T1650)</f>
      </c>
      <c r="Y1650" s="7">
        <f>($W1650)*(U1650)</f>
      </c>
      <c r="Z1650" s="7">
        <f>SQRT(X1650^2+Y1650^2)</f>
      </c>
      <c r="AA1650" s="7">
        <f>$K1650+$X1650</f>
      </c>
      <c r="AB1650" s="7">
        <f>$L1650+$Y1650</f>
      </c>
      <c r="AC1650" s="7">
        <f>$K1650-$X1650</f>
      </c>
      <c r="AD1650" s="7">
        <f>$L1650-$Y1650</f>
      </c>
      <c r="AE1650" s="7">
        <f>AA1650/39.3701</f>
      </c>
      <c r="AF1650" s="7">
        <f>AB1650/39.3701</f>
      </c>
      <c r="AG1650" s="7">
        <f>AC1650/39.3701</f>
      </c>
      <c r="AH1650" s="7">
        <f>AD1650/39.3701</f>
      </c>
      <c r="AI1650" s="1"/>
      <c r="AJ1650" s="1"/>
      <c r="AK1650" s="1"/>
      <c r="AL1650" s="1"/>
      <c r="AM1650" s="2"/>
      <c r="AN1650" s="1"/>
      <c r="AO1650" s="1"/>
      <c r="AP1650" s="1"/>
      <c r="AQ1650" s="1"/>
      <c r="AR1650" s="1"/>
      <c r="AS1650" s="1"/>
      <c r="AT1650" s="1"/>
      <c r="AU1650" s="1"/>
      <c r="AV1650" s="1"/>
      <c r="AW1650" s="1"/>
      <c r="AX1650" s="1"/>
      <c r="AY1650" s="1"/>
      <c r="AZ1650" s="1"/>
      <c r="BA1650" s="1"/>
      <c r="BB1650" s="1"/>
      <c r="BC1650" s="1"/>
      <c r="BD1650" s="1"/>
      <c r="BE1650" s="1"/>
    </row>
    <row x14ac:dyDescent="0.25" r="1651" customHeight="1" ht="18.75">
      <c r="A1651" s="1"/>
      <c r="B1651" s="2"/>
      <c r="C1651" s="2"/>
      <c r="D1651" s="2"/>
      <c r="E1651" s="2"/>
      <c r="F1651" s="2"/>
      <c r="G1651" s="1"/>
      <c r="H1651" s="1"/>
      <c r="I1651" s="7">
        <v>1.648</v>
      </c>
      <c r="J1651" s="7">
        <f>IF((I1651-ROUNDDOWN(I1651,0))=0, 0, (I1651-ROUNDDOWN(I1651,0)))</f>
      </c>
      <c r="K1651" s="7">
        <f>INDIRECT("C$"&amp;2+MIN(2,ROUNDDOWN(I1651,0))*3)*(-$J1651^3+3*$J1651^2-3*$J1651+1)+INDIRECT("C$"&amp;3+MIN(2,ROUNDDOWN(I1651,0))*3)*(3*$J1651^3-6*$J1651^2+3*$J1651)+INDIRECT("C$"&amp;4+MIN(2,ROUNDDOWN(I1651,0))*3)*(-3*$J1651^3+3*$J1651^2)+INDIRECT("C$"&amp;5+MIN(2,ROUNDDOWN(I1651,0))*3)*$J1651^3</f>
      </c>
      <c r="L1651" s="7">
        <f>INDIRECT("D$"&amp;2+MIN(2,ROUNDDOWN(I1651,0))*3)*(-$J1651^3+3*$J1651^2-3*$J1651+1)+INDIRECT("D$"&amp;3+MIN(2,ROUNDDOWN(I1651,0))*3)*(3*$J1651^3-6*$J1651^2+3*$J1651)+INDIRECT("D$"&amp;4+MIN(2,ROUNDDOWN(I1651,0))*3)*(-3*$J1651^3+3*$J1651^2)+INDIRECT("D$"&amp;5+MIN(2,ROUNDDOWN(I1651,0))*3)*$J1651^3</f>
      </c>
      <c r="M1651" s="7">
        <f>SQRT(K1651^2+L1651^2)</f>
      </c>
      <c r="N1651" s="7">
        <f>(K1652-K1650)</f>
      </c>
      <c r="O1651" s="7">
        <f>+(L1652-L1650)</f>
      </c>
      <c r="P1651" s="7">
        <f>SQRT(O1651^2+N1651^2)</f>
      </c>
      <c r="Q1651" s="7">
        <f>N1651/$P1651</f>
      </c>
      <c r="R1651" s="7">
        <f>O1651/$P1651</f>
      </c>
      <c r="S1651" s="7">
        <f>Q1651^2+R1651^2</f>
      </c>
      <c r="T1651" s="7">
        <f>-R1651</f>
      </c>
      <c r="U1651" s="7">
        <f>Q1651</f>
      </c>
      <c r="V1651" s="7">
        <f>($C$14+($C$15-$C$14)/($D$15-$D$14)*(I1651-$D$14))/2</f>
      </c>
      <c r="W1651" s="7">
        <f>($B$22*I1651^4+$C$22*I1651^3+$D$22*I1651^2+$E$22*I1651+$F$22)/2</f>
      </c>
      <c r="X1651" s="7">
        <f>($W1651)*(T1651)</f>
      </c>
      <c r="Y1651" s="7">
        <f>($W1651)*(U1651)</f>
      </c>
      <c r="Z1651" s="7">
        <f>SQRT(X1651^2+Y1651^2)</f>
      </c>
      <c r="AA1651" s="7">
        <f>$K1651+$X1651</f>
      </c>
      <c r="AB1651" s="7">
        <f>$L1651+$Y1651</f>
      </c>
      <c r="AC1651" s="7">
        <f>$K1651-$X1651</f>
      </c>
      <c r="AD1651" s="7">
        <f>$L1651-$Y1651</f>
      </c>
      <c r="AE1651" s="7">
        <f>AA1651/39.3701</f>
      </c>
      <c r="AF1651" s="7">
        <f>AB1651/39.3701</f>
      </c>
      <c r="AG1651" s="7">
        <f>AC1651/39.3701</f>
      </c>
      <c r="AH1651" s="7">
        <f>AD1651/39.3701</f>
      </c>
      <c r="AI1651" s="1"/>
      <c r="AJ1651" s="1"/>
      <c r="AK1651" s="1"/>
      <c r="AL1651" s="1"/>
      <c r="AM1651" s="2"/>
      <c r="AN1651" s="1"/>
      <c r="AO1651" s="1"/>
      <c r="AP1651" s="1"/>
      <c r="AQ1651" s="1"/>
      <c r="AR1651" s="1"/>
      <c r="AS1651" s="1"/>
      <c r="AT1651" s="1"/>
      <c r="AU1651" s="1"/>
      <c r="AV1651" s="1"/>
      <c r="AW1651" s="1"/>
      <c r="AX1651" s="1"/>
      <c r="AY1651" s="1"/>
      <c r="AZ1651" s="1"/>
      <c r="BA1651" s="1"/>
      <c r="BB1651" s="1"/>
      <c r="BC1651" s="1"/>
      <c r="BD1651" s="1"/>
      <c r="BE1651" s="1"/>
    </row>
    <row x14ac:dyDescent="0.25" r="1652" customHeight="1" ht="18.75">
      <c r="A1652" s="1"/>
      <c r="B1652" s="2"/>
      <c r="C1652" s="2"/>
      <c r="D1652" s="2"/>
      <c r="E1652" s="2"/>
      <c r="F1652" s="2"/>
      <c r="G1652" s="1"/>
      <c r="H1652" s="1"/>
      <c r="I1652" s="7">
        <v>1.649</v>
      </c>
      <c r="J1652" s="7">
        <f>IF((I1652-ROUNDDOWN(I1652,0))=0, 0, (I1652-ROUNDDOWN(I1652,0)))</f>
      </c>
      <c r="K1652" s="7">
        <f>INDIRECT("C$"&amp;2+MIN(2,ROUNDDOWN(I1652,0))*3)*(-$J1652^3+3*$J1652^2-3*$J1652+1)+INDIRECT("C$"&amp;3+MIN(2,ROUNDDOWN(I1652,0))*3)*(3*$J1652^3-6*$J1652^2+3*$J1652)+INDIRECT("C$"&amp;4+MIN(2,ROUNDDOWN(I1652,0))*3)*(-3*$J1652^3+3*$J1652^2)+INDIRECT("C$"&amp;5+MIN(2,ROUNDDOWN(I1652,0))*3)*$J1652^3</f>
      </c>
      <c r="L1652" s="7">
        <f>INDIRECT("D$"&amp;2+MIN(2,ROUNDDOWN(I1652,0))*3)*(-$J1652^3+3*$J1652^2-3*$J1652+1)+INDIRECT("D$"&amp;3+MIN(2,ROUNDDOWN(I1652,0))*3)*(3*$J1652^3-6*$J1652^2+3*$J1652)+INDIRECT("D$"&amp;4+MIN(2,ROUNDDOWN(I1652,0))*3)*(-3*$J1652^3+3*$J1652^2)+INDIRECT("D$"&amp;5+MIN(2,ROUNDDOWN(I1652,0))*3)*$J1652^3</f>
      </c>
      <c r="M1652" s="7">
        <f>SQRT(K1652^2+L1652^2)</f>
      </c>
      <c r="N1652" s="7">
        <f>(K1653-K1651)</f>
      </c>
      <c r="O1652" s="7">
        <f>+(L1653-L1651)</f>
      </c>
      <c r="P1652" s="7">
        <f>SQRT(O1652^2+N1652^2)</f>
      </c>
      <c r="Q1652" s="7">
        <f>N1652/$P1652</f>
      </c>
      <c r="R1652" s="7">
        <f>O1652/$P1652</f>
      </c>
      <c r="S1652" s="7">
        <f>Q1652^2+R1652^2</f>
      </c>
      <c r="T1652" s="7">
        <f>-R1652</f>
      </c>
      <c r="U1652" s="7">
        <f>Q1652</f>
      </c>
      <c r="V1652" s="7">
        <f>($C$14+($C$15-$C$14)/($D$15-$D$14)*(I1652-$D$14))/2</f>
      </c>
      <c r="W1652" s="7">
        <f>($B$22*I1652^4+$C$22*I1652^3+$D$22*I1652^2+$E$22*I1652+$F$22)/2</f>
      </c>
      <c r="X1652" s="7">
        <f>($W1652)*(T1652)</f>
      </c>
      <c r="Y1652" s="7">
        <f>($W1652)*(U1652)</f>
      </c>
      <c r="Z1652" s="7">
        <f>SQRT(X1652^2+Y1652^2)</f>
      </c>
      <c r="AA1652" s="7">
        <f>$K1652+$X1652</f>
      </c>
      <c r="AB1652" s="7">
        <f>$L1652+$Y1652</f>
      </c>
      <c r="AC1652" s="7">
        <f>$K1652-$X1652</f>
      </c>
      <c r="AD1652" s="7">
        <f>$L1652-$Y1652</f>
      </c>
      <c r="AE1652" s="7">
        <f>AA1652/39.3701</f>
      </c>
      <c r="AF1652" s="7">
        <f>AB1652/39.3701</f>
      </c>
      <c r="AG1652" s="7">
        <f>AC1652/39.3701</f>
      </c>
      <c r="AH1652" s="7">
        <f>AD1652/39.3701</f>
      </c>
      <c r="AI1652" s="1"/>
      <c r="AJ1652" s="1"/>
      <c r="AK1652" s="1"/>
      <c r="AL1652" s="1"/>
      <c r="AM1652" s="2"/>
      <c r="AN1652" s="1"/>
      <c r="AO1652" s="1"/>
      <c r="AP1652" s="1"/>
      <c r="AQ1652" s="1"/>
      <c r="AR1652" s="1"/>
      <c r="AS1652" s="1"/>
      <c r="AT1652" s="1"/>
      <c r="AU1652" s="1"/>
      <c r="AV1652" s="1"/>
      <c r="AW1652" s="1"/>
      <c r="AX1652" s="1"/>
      <c r="AY1652" s="1"/>
      <c r="AZ1652" s="1"/>
      <c r="BA1652" s="1"/>
      <c r="BB1652" s="1"/>
      <c r="BC1652" s="1"/>
      <c r="BD1652" s="1"/>
      <c r="BE1652" s="1"/>
    </row>
    <row x14ac:dyDescent="0.25" r="1653" customHeight="1" ht="18.75">
      <c r="A1653" s="1"/>
      <c r="B1653" s="2"/>
      <c r="C1653" s="2"/>
      <c r="D1653" s="2"/>
      <c r="E1653" s="2"/>
      <c r="F1653" s="2"/>
      <c r="G1653" s="1"/>
      <c r="H1653" s="1"/>
      <c r="I1653" s="7">
        <v>1.65</v>
      </c>
      <c r="J1653" s="7">
        <f>IF((I1653-ROUNDDOWN(I1653,0))=0, 0, (I1653-ROUNDDOWN(I1653,0)))</f>
      </c>
      <c r="K1653" s="7">
        <f>INDIRECT("C$"&amp;2+MIN(2,ROUNDDOWN(I1653,0))*3)*(-$J1653^3+3*$J1653^2-3*$J1653+1)+INDIRECT("C$"&amp;3+MIN(2,ROUNDDOWN(I1653,0))*3)*(3*$J1653^3-6*$J1653^2+3*$J1653)+INDIRECT("C$"&amp;4+MIN(2,ROUNDDOWN(I1653,0))*3)*(-3*$J1653^3+3*$J1653^2)+INDIRECT("C$"&amp;5+MIN(2,ROUNDDOWN(I1653,0))*3)*$J1653^3</f>
      </c>
      <c r="L1653" s="7">
        <f>INDIRECT("D$"&amp;2+MIN(2,ROUNDDOWN(I1653,0))*3)*(-$J1653^3+3*$J1653^2-3*$J1653+1)+INDIRECT("D$"&amp;3+MIN(2,ROUNDDOWN(I1653,0))*3)*(3*$J1653^3-6*$J1653^2+3*$J1653)+INDIRECT("D$"&amp;4+MIN(2,ROUNDDOWN(I1653,0))*3)*(-3*$J1653^3+3*$J1653^2)+INDIRECT("D$"&amp;5+MIN(2,ROUNDDOWN(I1653,0))*3)*$J1653^3</f>
      </c>
      <c r="M1653" s="7">
        <f>SQRT(K1653^2+L1653^2)</f>
      </c>
      <c r="N1653" s="7">
        <f>(K1654-K1652)</f>
      </c>
      <c r="O1653" s="7">
        <f>+(L1654-L1652)</f>
      </c>
      <c r="P1653" s="7">
        <f>SQRT(O1653^2+N1653^2)</f>
      </c>
      <c r="Q1653" s="7">
        <f>N1653/$P1653</f>
      </c>
      <c r="R1653" s="7">
        <f>O1653/$P1653</f>
      </c>
      <c r="S1653" s="8">
        <f>Q1653^2+R1653^2</f>
      </c>
      <c r="T1653" s="7">
        <f>-R1653</f>
      </c>
      <c r="U1653" s="7">
        <f>Q1653</f>
      </c>
      <c r="V1653" s="7">
        <f>($C$14+($C$15-$C$14)/($D$15-$D$14)*(I1653-$D$14))/2</f>
      </c>
      <c r="W1653" s="7">
        <f>($B$22*I1653^4+$C$22*I1653^3+$D$22*I1653^2+$E$22*I1653+$F$22)/2</f>
      </c>
      <c r="X1653" s="7">
        <f>($W1653)*(T1653)</f>
      </c>
      <c r="Y1653" s="7">
        <f>($W1653)*(U1653)</f>
      </c>
      <c r="Z1653" s="7">
        <f>SQRT(X1653^2+Y1653^2)</f>
      </c>
      <c r="AA1653" s="7">
        <f>$K1653+$X1653</f>
      </c>
      <c r="AB1653" s="7">
        <f>$L1653+$Y1653</f>
      </c>
      <c r="AC1653" s="7">
        <f>$K1653-$X1653</f>
      </c>
      <c r="AD1653" s="7">
        <f>$L1653-$Y1653</f>
      </c>
      <c r="AE1653" s="7">
        <f>AA1653/39.3701</f>
      </c>
      <c r="AF1653" s="7">
        <f>AB1653/39.3701</f>
      </c>
      <c r="AG1653" s="7">
        <f>AC1653/39.3701</f>
      </c>
      <c r="AH1653" s="7">
        <f>AD1653/39.3701</f>
      </c>
      <c r="AI1653" s="1"/>
      <c r="AJ1653" s="1"/>
      <c r="AK1653" s="1"/>
      <c r="AL1653" s="1"/>
      <c r="AM1653" s="2"/>
      <c r="AN1653" s="1"/>
      <c r="AO1653" s="1"/>
      <c r="AP1653" s="1"/>
      <c r="AQ1653" s="1"/>
      <c r="AR1653" s="1"/>
      <c r="AS1653" s="1"/>
      <c r="AT1653" s="1"/>
      <c r="AU1653" s="1"/>
      <c r="AV1653" s="1"/>
      <c r="AW1653" s="1"/>
      <c r="AX1653" s="1"/>
      <c r="AY1653" s="1"/>
      <c r="AZ1653" s="1"/>
      <c r="BA1653" s="1"/>
      <c r="BB1653" s="1"/>
      <c r="BC1653" s="1"/>
      <c r="BD1653" s="1"/>
      <c r="BE1653" s="1"/>
    </row>
    <row x14ac:dyDescent="0.25" r="1654" customHeight="1" ht="18.75">
      <c r="A1654" s="1"/>
      <c r="B1654" s="2"/>
      <c r="C1654" s="2"/>
      <c r="D1654" s="2"/>
      <c r="E1654" s="2"/>
      <c r="F1654" s="2"/>
      <c r="G1654" s="1"/>
      <c r="H1654" s="1"/>
      <c r="I1654" s="7">
        <v>1.651</v>
      </c>
      <c r="J1654" s="7">
        <f>IF((I1654-ROUNDDOWN(I1654,0))=0, 0, (I1654-ROUNDDOWN(I1654,0)))</f>
      </c>
      <c r="K1654" s="7">
        <f>INDIRECT("C$"&amp;2+MIN(2,ROUNDDOWN(I1654,0))*3)*(-$J1654^3+3*$J1654^2-3*$J1654+1)+INDIRECT("C$"&amp;3+MIN(2,ROUNDDOWN(I1654,0))*3)*(3*$J1654^3-6*$J1654^2+3*$J1654)+INDIRECT("C$"&amp;4+MIN(2,ROUNDDOWN(I1654,0))*3)*(-3*$J1654^3+3*$J1654^2)+INDIRECT("C$"&amp;5+MIN(2,ROUNDDOWN(I1654,0))*3)*$J1654^3</f>
      </c>
      <c r="L1654" s="7">
        <f>INDIRECT("D$"&amp;2+MIN(2,ROUNDDOWN(I1654,0))*3)*(-$J1654^3+3*$J1654^2-3*$J1654+1)+INDIRECT("D$"&amp;3+MIN(2,ROUNDDOWN(I1654,0))*3)*(3*$J1654^3-6*$J1654^2+3*$J1654)+INDIRECT("D$"&amp;4+MIN(2,ROUNDDOWN(I1654,0))*3)*(-3*$J1654^3+3*$J1654^2)+INDIRECT("D$"&amp;5+MIN(2,ROUNDDOWN(I1654,0))*3)*$J1654^3</f>
      </c>
      <c r="M1654" s="7">
        <f>SQRT(K1654^2+L1654^2)</f>
      </c>
      <c r="N1654" s="7">
        <f>(K1655-K1653)</f>
      </c>
      <c r="O1654" s="7">
        <f>+(L1655-L1653)</f>
      </c>
      <c r="P1654" s="7">
        <f>SQRT(O1654^2+N1654^2)</f>
      </c>
      <c r="Q1654" s="7">
        <f>N1654/$P1654</f>
      </c>
      <c r="R1654" s="7">
        <f>O1654/$P1654</f>
      </c>
      <c r="S1654" s="8">
        <f>Q1654^2+R1654^2</f>
      </c>
      <c r="T1654" s="7">
        <f>-R1654</f>
      </c>
      <c r="U1654" s="7">
        <f>Q1654</f>
      </c>
      <c r="V1654" s="7">
        <f>($C$14+($C$15-$C$14)/($D$15-$D$14)*(I1654-$D$14))/2</f>
      </c>
      <c r="W1654" s="7">
        <f>($B$22*I1654^4+$C$22*I1654^3+$D$22*I1654^2+$E$22*I1654+$F$22)/2</f>
      </c>
      <c r="X1654" s="7">
        <f>($W1654)*(T1654)</f>
      </c>
      <c r="Y1654" s="7">
        <f>($W1654)*(U1654)</f>
      </c>
      <c r="Z1654" s="7">
        <f>SQRT(X1654^2+Y1654^2)</f>
      </c>
      <c r="AA1654" s="7">
        <f>$K1654+$X1654</f>
      </c>
      <c r="AB1654" s="7">
        <f>$L1654+$Y1654</f>
      </c>
      <c r="AC1654" s="7">
        <f>$K1654-$X1654</f>
      </c>
      <c r="AD1654" s="7">
        <f>$L1654-$Y1654</f>
      </c>
      <c r="AE1654" s="7">
        <f>AA1654/39.3701</f>
      </c>
      <c r="AF1654" s="7">
        <f>AB1654/39.3701</f>
      </c>
      <c r="AG1654" s="7">
        <f>AC1654/39.3701</f>
      </c>
      <c r="AH1654" s="7">
        <f>AD1654/39.3701</f>
      </c>
      <c r="AI1654" s="1"/>
      <c r="AJ1654" s="1"/>
      <c r="AK1654" s="1"/>
      <c r="AL1654" s="1"/>
      <c r="AM1654" s="2"/>
      <c r="AN1654" s="1"/>
      <c r="AO1654" s="1"/>
      <c r="AP1654" s="1"/>
      <c r="AQ1654" s="1"/>
      <c r="AR1654" s="1"/>
      <c r="AS1654" s="1"/>
      <c r="AT1654" s="1"/>
      <c r="AU1654" s="1"/>
      <c r="AV1654" s="1"/>
      <c r="AW1654" s="1"/>
      <c r="AX1654" s="1"/>
      <c r="AY1654" s="1"/>
      <c r="AZ1654" s="1"/>
      <c r="BA1654" s="1"/>
      <c r="BB1654" s="1"/>
      <c r="BC1654" s="1"/>
      <c r="BD1654" s="1"/>
      <c r="BE1654" s="1"/>
    </row>
    <row x14ac:dyDescent="0.25" r="1655" customHeight="1" ht="18.75">
      <c r="A1655" s="1"/>
      <c r="B1655" s="2"/>
      <c r="C1655" s="2"/>
      <c r="D1655" s="2"/>
      <c r="E1655" s="2"/>
      <c r="F1655" s="2"/>
      <c r="G1655" s="1"/>
      <c r="H1655" s="1"/>
      <c r="I1655" s="7">
        <v>1.652</v>
      </c>
      <c r="J1655" s="7">
        <f>IF((I1655-ROUNDDOWN(I1655,0))=0, 0, (I1655-ROUNDDOWN(I1655,0)))</f>
      </c>
      <c r="K1655" s="7">
        <f>INDIRECT("C$"&amp;2+MIN(2,ROUNDDOWN(I1655,0))*3)*(-$J1655^3+3*$J1655^2-3*$J1655+1)+INDIRECT("C$"&amp;3+MIN(2,ROUNDDOWN(I1655,0))*3)*(3*$J1655^3-6*$J1655^2+3*$J1655)+INDIRECT("C$"&amp;4+MIN(2,ROUNDDOWN(I1655,0))*3)*(-3*$J1655^3+3*$J1655^2)+INDIRECT("C$"&amp;5+MIN(2,ROUNDDOWN(I1655,0))*3)*$J1655^3</f>
      </c>
      <c r="L1655" s="7">
        <f>INDIRECT("D$"&amp;2+MIN(2,ROUNDDOWN(I1655,0))*3)*(-$J1655^3+3*$J1655^2-3*$J1655+1)+INDIRECT("D$"&amp;3+MIN(2,ROUNDDOWN(I1655,0))*3)*(3*$J1655^3-6*$J1655^2+3*$J1655)+INDIRECT("D$"&amp;4+MIN(2,ROUNDDOWN(I1655,0))*3)*(-3*$J1655^3+3*$J1655^2)+INDIRECT("D$"&amp;5+MIN(2,ROUNDDOWN(I1655,0))*3)*$J1655^3</f>
      </c>
      <c r="M1655" s="7">
        <f>SQRT(K1655^2+L1655^2)</f>
      </c>
      <c r="N1655" s="7">
        <f>(K1656-K1654)</f>
      </c>
      <c r="O1655" s="7">
        <f>+(L1656-L1654)</f>
      </c>
      <c r="P1655" s="7">
        <f>SQRT(O1655^2+N1655^2)</f>
      </c>
      <c r="Q1655" s="7">
        <f>N1655/$P1655</f>
      </c>
      <c r="R1655" s="7">
        <f>O1655/$P1655</f>
      </c>
      <c r="S1655" s="7">
        <f>Q1655^2+R1655^2</f>
      </c>
      <c r="T1655" s="7">
        <f>-R1655</f>
      </c>
      <c r="U1655" s="7">
        <f>Q1655</f>
      </c>
      <c r="V1655" s="7">
        <f>($C$14+($C$15-$C$14)/($D$15-$D$14)*(I1655-$D$14))/2</f>
      </c>
      <c r="W1655" s="7">
        <f>($B$22*I1655^4+$C$22*I1655^3+$D$22*I1655^2+$E$22*I1655+$F$22)/2</f>
      </c>
      <c r="X1655" s="7">
        <f>($W1655)*(T1655)</f>
      </c>
      <c r="Y1655" s="7">
        <f>($W1655)*(U1655)</f>
      </c>
      <c r="Z1655" s="7">
        <f>SQRT(X1655^2+Y1655^2)</f>
      </c>
      <c r="AA1655" s="7">
        <f>$K1655+$X1655</f>
      </c>
      <c r="AB1655" s="7">
        <f>$L1655+$Y1655</f>
      </c>
      <c r="AC1655" s="7">
        <f>$K1655-$X1655</f>
      </c>
      <c r="AD1655" s="7">
        <f>$L1655-$Y1655</f>
      </c>
      <c r="AE1655" s="7">
        <f>AA1655/39.3701</f>
      </c>
      <c r="AF1655" s="7">
        <f>AB1655/39.3701</f>
      </c>
      <c r="AG1655" s="7">
        <f>AC1655/39.3701</f>
      </c>
      <c r="AH1655" s="7">
        <f>AD1655/39.3701</f>
      </c>
      <c r="AI1655" s="1"/>
      <c r="AJ1655" s="1"/>
      <c r="AK1655" s="1"/>
      <c r="AL1655" s="1"/>
      <c r="AM1655" s="2"/>
      <c r="AN1655" s="1"/>
      <c r="AO1655" s="1"/>
      <c r="AP1655" s="1"/>
      <c r="AQ1655" s="1"/>
      <c r="AR1655" s="1"/>
      <c r="AS1655" s="1"/>
      <c r="AT1655" s="1"/>
      <c r="AU1655" s="1"/>
      <c r="AV1655" s="1"/>
      <c r="AW1655" s="1"/>
      <c r="AX1655" s="1"/>
      <c r="AY1655" s="1"/>
      <c r="AZ1655" s="1"/>
      <c r="BA1655" s="1"/>
      <c r="BB1655" s="1"/>
      <c r="BC1655" s="1"/>
      <c r="BD1655" s="1"/>
      <c r="BE1655" s="1"/>
    </row>
    <row x14ac:dyDescent="0.25" r="1656" customHeight="1" ht="18.75">
      <c r="A1656" s="1"/>
      <c r="B1656" s="2"/>
      <c r="C1656" s="2"/>
      <c r="D1656" s="2"/>
      <c r="E1656" s="2"/>
      <c r="F1656" s="2"/>
      <c r="G1656" s="1"/>
      <c r="H1656" s="1"/>
      <c r="I1656" s="7">
        <v>1.653</v>
      </c>
      <c r="J1656" s="7">
        <f>IF((I1656-ROUNDDOWN(I1656,0))=0, 0, (I1656-ROUNDDOWN(I1656,0)))</f>
      </c>
      <c r="K1656" s="7">
        <f>INDIRECT("C$"&amp;2+MIN(2,ROUNDDOWN(I1656,0))*3)*(-$J1656^3+3*$J1656^2-3*$J1656+1)+INDIRECT("C$"&amp;3+MIN(2,ROUNDDOWN(I1656,0))*3)*(3*$J1656^3-6*$J1656^2+3*$J1656)+INDIRECT("C$"&amp;4+MIN(2,ROUNDDOWN(I1656,0))*3)*(-3*$J1656^3+3*$J1656^2)+INDIRECT("C$"&amp;5+MIN(2,ROUNDDOWN(I1656,0))*3)*$J1656^3</f>
      </c>
      <c r="L1656" s="7">
        <f>INDIRECT("D$"&amp;2+MIN(2,ROUNDDOWN(I1656,0))*3)*(-$J1656^3+3*$J1656^2-3*$J1656+1)+INDIRECT("D$"&amp;3+MIN(2,ROUNDDOWN(I1656,0))*3)*(3*$J1656^3-6*$J1656^2+3*$J1656)+INDIRECT("D$"&amp;4+MIN(2,ROUNDDOWN(I1656,0))*3)*(-3*$J1656^3+3*$J1656^2)+INDIRECT("D$"&amp;5+MIN(2,ROUNDDOWN(I1656,0))*3)*$J1656^3</f>
      </c>
      <c r="M1656" s="7">
        <f>SQRT(K1656^2+L1656^2)</f>
      </c>
      <c r="N1656" s="7">
        <f>(K1657-K1655)</f>
      </c>
      <c r="O1656" s="7">
        <f>+(L1657-L1655)</f>
      </c>
      <c r="P1656" s="7">
        <f>SQRT(O1656^2+N1656^2)</f>
      </c>
      <c r="Q1656" s="7">
        <f>N1656/$P1656</f>
      </c>
      <c r="R1656" s="7">
        <f>O1656/$P1656</f>
      </c>
      <c r="S1656" s="8">
        <f>Q1656^2+R1656^2</f>
      </c>
      <c r="T1656" s="7">
        <f>-R1656</f>
      </c>
      <c r="U1656" s="7">
        <f>Q1656</f>
      </c>
      <c r="V1656" s="7">
        <f>($C$14+($C$15-$C$14)/($D$15-$D$14)*(I1656-$D$14))/2</f>
      </c>
      <c r="W1656" s="7">
        <f>($B$22*I1656^4+$C$22*I1656^3+$D$22*I1656^2+$E$22*I1656+$F$22)/2</f>
      </c>
      <c r="X1656" s="7">
        <f>($W1656)*(T1656)</f>
      </c>
      <c r="Y1656" s="7">
        <f>($W1656)*(U1656)</f>
      </c>
      <c r="Z1656" s="7">
        <f>SQRT(X1656^2+Y1656^2)</f>
      </c>
      <c r="AA1656" s="7">
        <f>$K1656+$X1656</f>
      </c>
      <c r="AB1656" s="7">
        <f>$L1656+$Y1656</f>
      </c>
      <c r="AC1656" s="7">
        <f>$K1656-$X1656</f>
      </c>
      <c r="AD1656" s="7">
        <f>$L1656-$Y1656</f>
      </c>
      <c r="AE1656" s="7">
        <f>AA1656/39.3701</f>
      </c>
      <c r="AF1656" s="7">
        <f>AB1656/39.3701</f>
      </c>
      <c r="AG1656" s="7">
        <f>AC1656/39.3701</f>
      </c>
      <c r="AH1656" s="7">
        <f>AD1656/39.3701</f>
      </c>
      <c r="AI1656" s="1"/>
      <c r="AJ1656" s="1"/>
      <c r="AK1656" s="1"/>
      <c r="AL1656" s="1"/>
      <c r="AM1656" s="2"/>
      <c r="AN1656" s="1"/>
      <c r="AO1656" s="1"/>
      <c r="AP1656" s="1"/>
      <c r="AQ1656" s="1"/>
      <c r="AR1656" s="1"/>
      <c r="AS1656" s="1"/>
      <c r="AT1656" s="1"/>
      <c r="AU1656" s="1"/>
      <c r="AV1656" s="1"/>
      <c r="AW1656" s="1"/>
      <c r="AX1656" s="1"/>
      <c r="AY1656" s="1"/>
      <c r="AZ1656" s="1"/>
      <c r="BA1656" s="1"/>
      <c r="BB1656" s="1"/>
      <c r="BC1656" s="1"/>
      <c r="BD1656" s="1"/>
      <c r="BE1656" s="1"/>
    </row>
    <row x14ac:dyDescent="0.25" r="1657" customHeight="1" ht="18.75">
      <c r="A1657" s="1"/>
      <c r="B1657" s="2"/>
      <c r="C1657" s="2"/>
      <c r="D1657" s="2"/>
      <c r="E1657" s="2"/>
      <c r="F1657" s="2"/>
      <c r="G1657" s="1"/>
      <c r="H1657" s="1"/>
      <c r="I1657" s="7">
        <v>1.654</v>
      </c>
      <c r="J1657" s="7">
        <f>IF((I1657-ROUNDDOWN(I1657,0))=0, 0, (I1657-ROUNDDOWN(I1657,0)))</f>
      </c>
      <c r="K1657" s="7">
        <f>INDIRECT("C$"&amp;2+MIN(2,ROUNDDOWN(I1657,0))*3)*(-$J1657^3+3*$J1657^2-3*$J1657+1)+INDIRECT("C$"&amp;3+MIN(2,ROUNDDOWN(I1657,0))*3)*(3*$J1657^3-6*$J1657^2+3*$J1657)+INDIRECT("C$"&amp;4+MIN(2,ROUNDDOWN(I1657,0))*3)*(-3*$J1657^3+3*$J1657^2)+INDIRECT("C$"&amp;5+MIN(2,ROUNDDOWN(I1657,0))*3)*$J1657^3</f>
      </c>
      <c r="L1657" s="7">
        <f>INDIRECT("D$"&amp;2+MIN(2,ROUNDDOWN(I1657,0))*3)*(-$J1657^3+3*$J1657^2-3*$J1657+1)+INDIRECT("D$"&amp;3+MIN(2,ROUNDDOWN(I1657,0))*3)*(3*$J1657^3-6*$J1657^2+3*$J1657)+INDIRECT("D$"&amp;4+MIN(2,ROUNDDOWN(I1657,0))*3)*(-3*$J1657^3+3*$J1657^2)+INDIRECT("D$"&amp;5+MIN(2,ROUNDDOWN(I1657,0))*3)*$J1657^3</f>
      </c>
      <c r="M1657" s="7">
        <f>SQRT(K1657^2+L1657^2)</f>
      </c>
      <c r="N1657" s="7">
        <f>(K1658-K1656)</f>
      </c>
      <c r="O1657" s="7">
        <f>+(L1658-L1656)</f>
      </c>
      <c r="P1657" s="7">
        <f>SQRT(O1657^2+N1657^2)</f>
      </c>
      <c r="Q1657" s="7">
        <f>N1657/$P1657</f>
      </c>
      <c r="R1657" s="7">
        <f>O1657/$P1657</f>
      </c>
      <c r="S1657" s="7">
        <f>Q1657^2+R1657^2</f>
      </c>
      <c r="T1657" s="7">
        <f>-R1657</f>
      </c>
      <c r="U1657" s="7">
        <f>Q1657</f>
      </c>
      <c r="V1657" s="7">
        <f>($C$14+($C$15-$C$14)/($D$15-$D$14)*(I1657-$D$14))/2</f>
      </c>
      <c r="W1657" s="7">
        <f>($B$22*I1657^4+$C$22*I1657^3+$D$22*I1657^2+$E$22*I1657+$F$22)/2</f>
      </c>
      <c r="X1657" s="7">
        <f>($W1657)*(T1657)</f>
      </c>
      <c r="Y1657" s="7">
        <f>($W1657)*(U1657)</f>
      </c>
      <c r="Z1657" s="7">
        <f>SQRT(X1657^2+Y1657^2)</f>
      </c>
      <c r="AA1657" s="7">
        <f>$K1657+$X1657</f>
      </c>
      <c r="AB1657" s="7">
        <f>$L1657+$Y1657</f>
      </c>
      <c r="AC1657" s="7">
        <f>$K1657-$X1657</f>
      </c>
      <c r="AD1657" s="7">
        <f>$L1657-$Y1657</f>
      </c>
      <c r="AE1657" s="7">
        <f>AA1657/39.3701</f>
      </c>
      <c r="AF1657" s="7">
        <f>AB1657/39.3701</f>
      </c>
      <c r="AG1657" s="7">
        <f>AC1657/39.3701</f>
      </c>
      <c r="AH1657" s="7">
        <f>AD1657/39.3701</f>
      </c>
      <c r="AI1657" s="1"/>
      <c r="AJ1657" s="1"/>
      <c r="AK1657" s="1"/>
      <c r="AL1657" s="1"/>
      <c r="AM1657" s="2"/>
      <c r="AN1657" s="1"/>
      <c r="AO1657" s="1"/>
      <c r="AP1657" s="1"/>
      <c r="AQ1657" s="1"/>
      <c r="AR1657" s="1"/>
      <c r="AS1657" s="1"/>
      <c r="AT1657" s="1"/>
      <c r="AU1657" s="1"/>
      <c r="AV1657" s="1"/>
      <c r="AW1657" s="1"/>
      <c r="AX1657" s="1"/>
      <c r="AY1657" s="1"/>
      <c r="AZ1657" s="1"/>
      <c r="BA1657" s="1"/>
      <c r="BB1657" s="1"/>
      <c r="BC1657" s="1"/>
      <c r="BD1657" s="1"/>
      <c r="BE1657" s="1"/>
    </row>
    <row x14ac:dyDescent="0.25" r="1658" customHeight="1" ht="18.75">
      <c r="A1658" s="1"/>
      <c r="B1658" s="2"/>
      <c r="C1658" s="2"/>
      <c r="D1658" s="2"/>
      <c r="E1658" s="2"/>
      <c r="F1658" s="2"/>
      <c r="G1658" s="1"/>
      <c r="H1658" s="1"/>
      <c r="I1658" s="7">
        <v>1.655</v>
      </c>
      <c r="J1658" s="7">
        <f>IF((I1658-ROUNDDOWN(I1658,0))=0, 0, (I1658-ROUNDDOWN(I1658,0)))</f>
      </c>
      <c r="K1658" s="7">
        <f>INDIRECT("C$"&amp;2+MIN(2,ROUNDDOWN(I1658,0))*3)*(-$J1658^3+3*$J1658^2-3*$J1658+1)+INDIRECT("C$"&amp;3+MIN(2,ROUNDDOWN(I1658,0))*3)*(3*$J1658^3-6*$J1658^2+3*$J1658)+INDIRECT("C$"&amp;4+MIN(2,ROUNDDOWN(I1658,0))*3)*(-3*$J1658^3+3*$J1658^2)+INDIRECT("C$"&amp;5+MIN(2,ROUNDDOWN(I1658,0))*3)*$J1658^3</f>
      </c>
      <c r="L1658" s="7">
        <f>INDIRECT("D$"&amp;2+MIN(2,ROUNDDOWN(I1658,0))*3)*(-$J1658^3+3*$J1658^2-3*$J1658+1)+INDIRECT("D$"&amp;3+MIN(2,ROUNDDOWN(I1658,0))*3)*(3*$J1658^3-6*$J1658^2+3*$J1658)+INDIRECT("D$"&amp;4+MIN(2,ROUNDDOWN(I1658,0))*3)*(-3*$J1658^3+3*$J1658^2)+INDIRECT("D$"&amp;5+MIN(2,ROUNDDOWN(I1658,0))*3)*$J1658^3</f>
      </c>
      <c r="M1658" s="7">
        <f>SQRT(K1658^2+L1658^2)</f>
      </c>
      <c r="N1658" s="7">
        <f>(K1659-K1657)</f>
      </c>
      <c r="O1658" s="7">
        <f>+(L1659-L1657)</f>
      </c>
      <c r="P1658" s="7">
        <f>SQRT(O1658^2+N1658^2)</f>
      </c>
      <c r="Q1658" s="7">
        <f>N1658/$P1658</f>
      </c>
      <c r="R1658" s="7">
        <f>O1658/$P1658</f>
      </c>
      <c r="S1658" s="7">
        <f>Q1658^2+R1658^2</f>
      </c>
      <c r="T1658" s="7">
        <f>-R1658</f>
      </c>
      <c r="U1658" s="7">
        <f>Q1658</f>
      </c>
      <c r="V1658" s="7">
        <f>($C$14+($C$15-$C$14)/($D$15-$D$14)*(I1658-$D$14))/2</f>
      </c>
      <c r="W1658" s="7">
        <f>($B$22*I1658^4+$C$22*I1658^3+$D$22*I1658^2+$E$22*I1658+$F$22)/2</f>
      </c>
      <c r="X1658" s="7">
        <f>($W1658)*(T1658)</f>
      </c>
      <c r="Y1658" s="7">
        <f>($W1658)*(U1658)</f>
      </c>
      <c r="Z1658" s="7">
        <f>SQRT(X1658^2+Y1658^2)</f>
      </c>
      <c r="AA1658" s="7">
        <f>$K1658+$X1658</f>
      </c>
      <c r="AB1658" s="7">
        <f>$L1658+$Y1658</f>
      </c>
      <c r="AC1658" s="7">
        <f>$K1658-$X1658</f>
      </c>
      <c r="AD1658" s="7">
        <f>$L1658-$Y1658</f>
      </c>
      <c r="AE1658" s="7">
        <f>AA1658/39.3701</f>
      </c>
      <c r="AF1658" s="7">
        <f>AB1658/39.3701</f>
      </c>
      <c r="AG1658" s="7">
        <f>AC1658/39.3701</f>
      </c>
      <c r="AH1658" s="7">
        <f>AD1658/39.3701</f>
      </c>
      <c r="AI1658" s="1"/>
      <c r="AJ1658" s="1"/>
      <c r="AK1658" s="1"/>
      <c r="AL1658" s="1"/>
      <c r="AM1658" s="2"/>
      <c r="AN1658" s="1"/>
      <c r="AO1658" s="1"/>
      <c r="AP1658" s="1"/>
      <c r="AQ1658" s="1"/>
      <c r="AR1658" s="1"/>
      <c r="AS1658" s="1"/>
      <c r="AT1658" s="1"/>
      <c r="AU1658" s="1"/>
      <c r="AV1658" s="1"/>
      <c r="AW1658" s="1"/>
      <c r="AX1658" s="1"/>
      <c r="AY1658" s="1"/>
      <c r="AZ1658" s="1"/>
      <c r="BA1658" s="1"/>
      <c r="BB1658" s="1"/>
      <c r="BC1658" s="1"/>
      <c r="BD1658" s="1"/>
      <c r="BE1658" s="1"/>
    </row>
    <row x14ac:dyDescent="0.25" r="1659" customHeight="1" ht="18.75">
      <c r="A1659" s="1"/>
      <c r="B1659" s="2"/>
      <c r="C1659" s="2"/>
      <c r="D1659" s="2"/>
      <c r="E1659" s="2"/>
      <c r="F1659" s="2"/>
      <c r="G1659" s="1"/>
      <c r="H1659" s="1"/>
      <c r="I1659" s="7">
        <v>1.656</v>
      </c>
      <c r="J1659" s="7">
        <f>IF((I1659-ROUNDDOWN(I1659,0))=0, 0, (I1659-ROUNDDOWN(I1659,0)))</f>
      </c>
      <c r="K1659" s="7">
        <f>INDIRECT("C$"&amp;2+MIN(2,ROUNDDOWN(I1659,0))*3)*(-$J1659^3+3*$J1659^2-3*$J1659+1)+INDIRECT("C$"&amp;3+MIN(2,ROUNDDOWN(I1659,0))*3)*(3*$J1659^3-6*$J1659^2+3*$J1659)+INDIRECT("C$"&amp;4+MIN(2,ROUNDDOWN(I1659,0))*3)*(-3*$J1659^3+3*$J1659^2)+INDIRECT("C$"&amp;5+MIN(2,ROUNDDOWN(I1659,0))*3)*$J1659^3</f>
      </c>
      <c r="L1659" s="7">
        <f>INDIRECT("D$"&amp;2+MIN(2,ROUNDDOWN(I1659,0))*3)*(-$J1659^3+3*$J1659^2-3*$J1659+1)+INDIRECT("D$"&amp;3+MIN(2,ROUNDDOWN(I1659,0))*3)*(3*$J1659^3-6*$J1659^2+3*$J1659)+INDIRECT("D$"&amp;4+MIN(2,ROUNDDOWN(I1659,0))*3)*(-3*$J1659^3+3*$J1659^2)+INDIRECT("D$"&amp;5+MIN(2,ROUNDDOWN(I1659,0))*3)*$J1659^3</f>
      </c>
      <c r="M1659" s="7">
        <f>SQRT(K1659^2+L1659^2)</f>
      </c>
      <c r="N1659" s="7">
        <f>(K1660-K1658)</f>
      </c>
      <c r="O1659" s="7">
        <f>+(L1660-L1658)</f>
      </c>
      <c r="P1659" s="7">
        <f>SQRT(O1659^2+N1659^2)</f>
      </c>
      <c r="Q1659" s="7">
        <f>N1659/$P1659</f>
      </c>
      <c r="R1659" s="7">
        <f>O1659/$P1659</f>
      </c>
      <c r="S1659" s="7">
        <f>Q1659^2+R1659^2</f>
      </c>
      <c r="T1659" s="7">
        <f>-R1659</f>
      </c>
      <c r="U1659" s="7">
        <f>Q1659</f>
      </c>
      <c r="V1659" s="7">
        <f>($C$14+($C$15-$C$14)/($D$15-$D$14)*(I1659-$D$14))/2</f>
      </c>
      <c r="W1659" s="7">
        <f>($B$22*I1659^4+$C$22*I1659^3+$D$22*I1659^2+$E$22*I1659+$F$22)/2</f>
      </c>
      <c r="X1659" s="7">
        <f>($W1659)*(T1659)</f>
      </c>
      <c r="Y1659" s="7">
        <f>($W1659)*(U1659)</f>
      </c>
      <c r="Z1659" s="7">
        <f>SQRT(X1659^2+Y1659^2)</f>
      </c>
      <c r="AA1659" s="7">
        <f>$K1659+$X1659</f>
      </c>
      <c r="AB1659" s="7">
        <f>$L1659+$Y1659</f>
      </c>
      <c r="AC1659" s="7">
        <f>$K1659-$X1659</f>
      </c>
      <c r="AD1659" s="7">
        <f>$L1659-$Y1659</f>
      </c>
      <c r="AE1659" s="7">
        <f>AA1659/39.3701</f>
      </c>
      <c r="AF1659" s="7">
        <f>AB1659/39.3701</f>
      </c>
      <c r="AG1659" s="7">
        <f>AC1659/39.3701</f>
      </c>
      <c r="AH1659" s="7">
        <f>AD1659/39.3701</f>
      </c>
      <c r="AI1659" s="1"/>
      <c r="AJ1659" s="1"/>
      <c r="AK1659" s="1"/>
      <c r="AL1659" s="1"/>
      <c r="AM1659" s="2"/>
      <c r="AN1659" s="1"/>
      <c r="AO1659" s="1"/>
      <c r="AP1659" s="1"/>
      <c r="AQ1659" s="1"/>
      <c r="AR1659" s="1"/>
      <c r="AS1659" s="1"/>
      <c r="AT1659" s="1"/>
      <c r="AU1659" s="1"/>
      <c r="AV1659" s="1"/>
      <c r="AW1659" s="1"/>
      <c r="AX1659" s="1"/>
      <c r="AY1659" s="1"/>
      <c r="AZ1659" s="1"/>
      <c r="BA1659" s="1"/>
      <c r="BB1659" s="1"/>
      <c r="BC1659" s="1"/>
      <c r="BD1659" s="1"/>
      <c r="BE1659" s="1"/>
    </row>
    <row x14ac:dyDescent="0.25" r="1660" customHeight="1" ht="18.75">
      <c r="A1660" s="1"/>
      <c r="B1660" s="2"/>
      <c r="C1660" s="2"/>
      <c r="D1660" s="2"/>
      <c r="E1660" s="2"/>
      <c r="F1660" s="2"/>
      <c r="G1660" s="1"/>
      <c r="H1660" s="1"/>
      <c r="I1660" s="7">
        <v>1.657</v>
      </c>
      <c r="J1660" s="7">
        <f>IF((I1660-ROUNDDOWN(I1660,0))=0, 0, (I1660-ROUNDDOWN(I1660,0)))</f>
      </c>
      <c r="K1660" s="7">
        <f>INDIRECT("C$"&amp;2+MIN(2,ROUNDDOWN(I1660,0))*3)*(-$J1660^3+3*$J1660^2-3*$J1660+1)+INDIRECT("C$"&amp;3+MIN(2,ROUNDDOWN(I1660,0))*3)*(3*$J1660^3-6*$J1660^2+3*$J1660)+INDIRECT("C$"&amp;4+MIN(2,ROUNDDOWN(I1660,0))*3)*(-3*$J1660^3+3*$J1660^2)+INDIRECT("C$"&amp;5+MIN(2,ROUNDDOWN(I1660,0))*3)*$J1660^3</f>
      </c>
      <c r="L1660" s="7">
        <f>INDIRECT("D$"&amp;2+MIN(2,ROUNDDOWN(I1660,0))*3)*(-$J1660^3+3*$J1660^2-3*$J1660+1)+INDIRECT("D$"&amp;3+MIN(2,ROUNDDOWN(I1660,0))*3)*(3*$J1660^3-6*$J1660^2+3*$J1660)+INDIRECT("D$"&amp;4+MIN(2,ROUNDDOWN(I1660,0))*3)*(-3*$J1660^3+3*$J1660^2)+INDIRECT("D$"&amp;5+MIN(2,ROUNDDOWN(I1660,0))*3)*$J1660^3</f>
      </c>
      <c r="M1660" s="7">
        <f>SQRT(K1660^2+L1660^2)</f>
      </c>
      <c r="N1660" s="7">
        <f>(K1661-K1659)</f>
      </c>
      <c r="O1660" s="7">
        <f>+(L1661-L1659)</f>
      </c>
      <c r="P1660" s="7">
        <f>SQRT(O1660^2+N1660^2)</f>
      </c>
      <c r="Q1660" s="7">
        <f>N1660/$P1660</f>
      </c>
      <c r="R1660" s="7">
        <f>O1660/$P1660</f>
      </c>
      <c r="S1660" s="7">
        <f>Q1660^2+R1660^2</f>
      </c>
      <c r="T1660" s="7">
        <f>-R1660</f>
      </c>
      <c r="U1660" s="7">
        <f>Q1660</f>
      </c>
      <c r="V1660" s="7">
        <f>($C$14+($C$15-$C$14)/($D$15-$D$14)*(I1660-$D$14))/2</f>
      </c>
      <c r="W1660" s="7">
        <f>($B$22*I1660^4+$C$22*I1660^3+$D$22*I1660^2+$E$22*I1660+$F$22)/2</f>
      </c>
      <c r="X1660" s="7">
        <f>($W1660)*(T1660)</f>
      </c>
      <c r="Y1660" s="7">
        <f>($W1660)*(U1660)</f>
      </c>
      <c r="Z1660" s="7">
        <f>SQRT(X1660^2+Y1660^2)</f>
      </c>
      <c r="AA1660" s="7">
        <f>$K1660+$X1660</f>
      </c>
      <c r="AB1660" s="7">
        <f>$L1660+$Y1660</f>
      </c>
      <c r="AC1660" s="7">
        <f>$K1660-$X1660</f>
      </c>
      <c r="AD1660" s="7">
        <f>$L1660-$Y1660</f>
      </c>
      <c r="AE1660" s="7">
        <f>AA1660/39.3701</f>
      </c>
      <c r="AF1660" s="7">
        <f>AB1660/39.3701</f>
      </c>
      <c r="AG1660" s="7">
        <f>AC1660/39.3701</f>
      </c>
      <c r="AH1660" s="7">
        <f>AD1660/39.3701</f>
      </c>
      <c r="AI1660" s="1"/>
      <c r="AJ1660" s="1"/>
      <c r="AK1660" s="1"/>
      <c r="AL1660" s="1"/>
      <c r="AM1660" s="2"/>
      <c r="AN1660" s="1"/>
      <c r="AO1660" s="1"/>
      <c r="AP1660" s="1"/>
      <c r="AQ1660" s="1"/>
      <c r="AR1660" s="1"/>
      <c r="AS1660" s="1"/>
      <c r="AT1660" s="1"/>
      <c r="AU1660" s="1"/>
      <c r="AV1660" s="1"/>
      <c r="AW1660" s="1"/>
      <c r="AX1660" s="1"/>
      <c r="AY1660" s="1"/>
      <c r="AZ1660" s="1"/>
      <c r="BA1660" s="1"/>
      <c r="BB1660" s="1"/>
      <c r="BC1660" s="1"/>
      <c r="BD1660" s="1"/>
      <c r="BE1660" s="1"/>
    </row>
    <row x14ac:dyDescent="0.25" r="1661" customHeight="1" ht="18.75">
      <c r="A1661" s="1"/>
      <c r="B1661" s="2"/>
      <c r="C1661" s="2"/>
      <c r="D1661" s="2"/>
      <c r="E1661" s="2"/>
      <c r="F1661" s="2"/>
      <c r="G1661" s="1"/>
      <c r="H1661" s="1"/>
      <c r="I1661" s="7">
        <v>1.658</v>
      </c>
      <c r="J1661" s="7">
        <f>IF((I1661-ROUNDDOWN(I1661,0))=0, 0, (I1661-ROUNDDOWN(I1661,0)))</f>
      </c>
      <c r="K1661" s="7">
        <f>INDIRECT("C$"&amp;2+MIN(2,ROUNDDOWN(I1661,0))*3)*(-$J1661^3+3*$J1661^2-3*$J1661+1)+INDIRECT("C$"&amp;3+MIN(2,ROUNDDOWN(I1661,0))*3)*(3*$J1661^3-6*$J1661^2+3*$J1661)+INDIRECT("C$"&amp;4+MIN(2,ROUNDDOWN(I1661,0))*3)*(-3*$J1661^3+3*$J1661^2)+INDIRECT("C$"&amp;5+MIN(2,ROUNDDOWN(I1661,0))*3)*$J1661^3</f>
      </c>
      <c r="L1661" s="7">
        <f>INDIRECT("D$"&amp;2+MIN(2,ROUNDDOWN(I1661,0))*3)*(-$J1661^3+3*$J1661^2-3*$J1661+1)+INDIRECT("D$"&amp;3+MIN(2,ROUNDDOWN(I1661,0))*3)*(3*$J1661^3-6*$J1661^2+3*$J1661)+INDIRECT("D$"&amp;4+MIN(2,ROUNDDOWN(I1661,0))*3)*(-3*$J1661^3+3*$J1661^2)+INDIRECT("D$"&amp;5+MIN(2,ROUNDDOWN(I1661,0))*3)*$J1661^3</f>
      </c>
      <c r="M1661" s="7">
        <f>SQRT(K1661^2+L1661^2)</f>
      </c>
      <c r="N1661" s="7">
        <f>(K1662-K1660)</f>
      </c>
      <c r="O1661" s="7">
        <f>+(L1662-L1660)</f>
      </c>
      <c r="P1661" s="7">
        <f>SQRT(O1661^2+N1661^2)</f>
      </c>
      <c r="Q1661" s="7">
        <f>N1661/$P1661</f>
      </c>
      <c r="R1661" s="7">
        <f>O1661/$P1661</f>
      </c>
      <c r="S1661" s="8">
        <f>Q1661^2+R1661^2</f>
      </c>
      <c r="T1661" s="7">
        <f>-R1661</f>
      </c>
      <c r="U1661" s="7">
        <f>Q1661</f>
      </c>
      <c r="V1661" s="7">
        <f>($C$14+($C$15-$C$14)/($D$15-$D$14)*(I1661-$D$14))/2</f>
      </c>
      <c r="W1661" s="7">
        <f>($B$22*I1661^4+$C$22*I1661^3+$D$22*I1661^2+$E$22*I1661+$F$22)/2</f>
      </c>
      <c r="X1661" s="7">
        <f>($W1661)*(T1661)</f>
      </c>
      <c r="Y1661" s="7">
        <f>($W1661)*(U1661)</f>
      </c>
      <c r="Z1661" s="7">
        <f>SQRT(X1661^2+Y1661^2)</f>
      </c>
      <c r="AA1661" s="7">
        <f>$K1661+$X1661</f>
      </c>
      <c r="AB1661" s="7">
        <f>$L1661+$Y1661</f>
      </c>
      <c r="AC1661" s="7">
        <f>$K1661-$X1661</f>
      </c>
      <c r="AD1661" s="7">
        <f>$L1661-$Y1661</f>
      </c>
      <c r="AE1661" s="7">
        <f>AA1661/39.3701</f>
      </c>
      <c r="AF1661" s="7">
        <f>AB1661/39.3701</f>
      </c>
      <c r="AG1661" s="7">
        <f>AC1661/39.3701</f>
      </c>
      <c r="AH1661" s="7">
        <f>AD1661/39.3701</f>
      </c>
      <c r="AI1661" s="1"/>
      <c r="AJ1661" s="1"/>
      <c r="AK1661" s="1"/>
      <c r="AL1661" s="1"/>
      <c r="AM1661" s="2"/>
      <c r="AN1661" s="1"/>
      <c r="AO1661" s="1"/>
      <c r="AP1661" s="1"/>
      <c r="AQ1661" s="1"/>
      <c r="AR1661" s="1"/>
      <c r="AS1661" s="1"/>
      <c r="AT1661" s="1"/>
      <c r="AU1661" s="1"/>
      <c r="AV1661" s="1"/>
      <c r="AW1661" s="1"/>
      <c r="AX1661" s="1"/>
      <c r="AY1661" s="1"/>
      <c r="AZ1661" s="1"/>
      <c r="BA1661" s="1"/>
      <c r="BB1661" s="1"/>
      <c r="BC1661" s="1"/>
      <c r="BD1661" s="1"/>
      <c r="BE1661" s="1"/>
    </row>
    <row x14ac:dyDescent="0.25" r="1662" customHeight="1" ht="18.75">
      <c r="A1662" s="1"/>
      <c r="B1662" s="2"/>
      <c r="C1662" s="2"/>
      <c r="D1662" s="2"/>
      <c r="E1662" s="2"/>
      <c r="F1662" s="2"/>
      <c r="G1662" s="1"/>
      <c r="H1662" s="1"/>
      <c r="I1662" s="7">
        <v>1.659</v>
      </c>
      <c r="J1662" s="7">
        <f>IF((I1662-ROUNDDOWN(I1662,0))=0, 0, (I1662-ROUNDDOWN(I1662,0)))</f>
      </c>
      <c r="K1662" s="7">
        <f>INDIRECT("C$"&amp;2+MIN(2,ROUNDDOWN(I1662,0))*3)*(-$J1662^3+3*$J1662^2-3*$J1662+1)+INDIRECT("C$"&amp;3+MIN(2,ROUNDDOWN(I1662,0))*3)*(3*$J1662^3-6*$J1662^2+3*$J1662)+INDIRECT("C$"&amp;4+MIN(2,ROUNDDOWN(I1662,0))*3)*(-3*$J1662^3+3*$J1662^2)+INDIRECT("C$"&amp;5+MIN(2,ROUNDDOWN(I1662,0))*3)*$J1662^3</f>
      </c>
      <c r="L1662" s="7">
        <f>INDIRECT("D$"&amp;2+MIN(2,ROUNDDOWN(I1662,0))*3)*(-$J1662^3+3*$J1662^2-3*$J1662+1)+INDIRECT("D$"&amp;3+MIN(2,ROUNDDOWN(I1662,0))*3)*(3*$J1662^3-6*$J1662^2+3*$J1662)+INDIRECT("D$"&amp;4+MIN(2,ROUNDDOWN(I1662,0))*3)*(-3*$J1662^3+3*$J1662^2)+INDIRECT("D$"&amp;5+MIN(2,ROUNDDOWN(I1662,0))*3)*$J1662^3</f>
      </c>
      <c r="M1662" s="7">
        <f>SQRT(K1662^2+L1662^2)</f>
      </c>
      <c r="N1662" s="7">
        <f>(K1663-K1661)</f>
      </c>
      <c r="O1662" s="7">
        <f>+(L1663-L1661)</f>
      </c>
      <c r="P1662" s="7">
        <f>SQRT(O1662^2+N1662^2)</f>
      </c>
      <c r="Q1662" s="7">
        <f>N1662/$P1662</f>
      </c>
      <c r="R1662" s="7">
        <f>O1662/$P1662</f>
      </c>
      <c r="S1662" s="7">
        <f>Q1662^2+R1662^2</f>
      </c>
      <c r="T1662" s="7">
        <f>-R1662</f>
      </c>
      <c r="U1662" s="7">
        <f>Q1662</f>
      </c>
      <c r="V1662" s="7">
        <f>($C$14+($C$15-$C$14)/($D$15-$D$14)*(I1662-$D$14))/2</f>
      </c>
      <c r="W1662" s="7">
        <f>($B$22*I1662^4+$C$22*I1662^3+$D$22*I1662^2+$E$22*I1662+$F$22)/2</f>
      </c>
      <c r="X1662" s="7">
        <f>($W1662)*(T1662)</f>
      </c>
      <c r="Y1662" s="7">
        <f>($W1662)*(U1662)</f>
      </c>
      <c r="Z1662" s="7">
        <f>SQRT(X1662^2+Y1662^2)</f>
      </c>
      <c r="AA1662" s="7">
        <f>$K1662+$X1662</f>
      </c>
      <c r="AB1662" s="7">
        <f>$L1662+$Y1662</f>
      </c>
      <c r="AC1662" s="7">
        <f>$K1662-$X1662</f>
      </c>
      <c r="AD1662" s="7">
        <f>$L1662-$Y1662</f>
      </c>
      <c r="AE1662" s="7">
        <f>AA1662/39.3701</f>
      </c>
      <c r="AF1662" s="7">
        <f>AB1662/39.3701</f>
      </c>
      <c r="AG1662" s="7">
        <f>AC1662/39.3701</f>
      </c>
      <c r="AH1662" s="7">
        <f>AD1662/39.3701</f>
      </c>
      <c r="AI1662" s="1"/>
      <c r="AJ1662" s="1"/>
      <c r="AK1662" s="1"/>
      <c r="AL1662" s="1"/>
      <c r="AM1662" s="2"/>
      <c r="AN1662" s="1"/>
      <c r="AO1662" s="1"/>
      <c r="AP1662" s="1"/>
      <c r="AQ1662" s="1"/>
      <c r="AR1662" s="1"/>
      <c r="AS1662" s="1"/>
      <c r="AT1662" s="1"/>
      <c r="AU1662" s="1"/>
      <c r="AV1662" s="1"/>
      <c r="AW1662" s="1"/>
      <c r="AX1662" s="1"/>
      <c r="AY1662" s="1"/>
      <c r="AZ1662" s="1"/>
      <c r="BA1662" s="1"/>
      <c r="BB1662" s="1"/>
      <c r="BC1662" s="1"/>
      <c r="BD1662" s="1"/>
      <c r="BE1662" s="1"/>
    </row>
    <row x14ac:dyDescent="0.25" r="1663" customHeight="1" ht="18.75">
      <c r="A1663" s="1"/>
      <c r="B1663" s="2"/>
      <c r="C1663" s="2"/>
      <c r="D1663" s="2"/>
      <c r="E1663" s="2"/>
      <c r="F1663" s="2"/>
      <c r="G1663" s="1"/>
      <c r="H1663" s="1"/>
      <c r="I1663" s="7">
        <v>1.66</v>
      </c>
      <c r="J1663" s="7">
        <f>IF((I1663-ROUNDDOWN(I1663,0))=0, 0, (I1663-ROUNDDOWN(I1663,0)))</f>
      </c>
      <c r="K1663" s="7">
        <f>INDIRECT("C$"&amp;2+MIN(2,ROUNDDOWN(I1663,0))*3)*(-$J1663^3+3*$J1663^2-3*$J1663+1)+INDIRECT("C$"&amp;3+MIN(2,ROUNDDOWN(I1663,0))*3)*(3*$J1663^3-6*$J1663^2+3*$J1663)+INDIRECT("C$"&amp;4+MIN(2,ROUNDDOWN(I1663,0))*3)*(-3*$J1663^3+3*$J1663^2)+INDIRECT("C$"&amp;5+MIN(2,ROUNDDOWN(I1663,0))*3)*$J1663^3</f>
      </c>
      <c r="L1663" s="7">
        <f>INDIRECT("D$"&amp;2+MIN(2,ROUNDDOWN(I1663,0))*3)*(-$J1663^3+3*$J1663^2-3*$J1663+1)+INDIRECT("D$"&amp;3+MIN(2,ROUNDDOWN(I1663,0))*3)*(3*$J1663^3-6*$J1663^2+3*$J1663)+INDIRECT("D$"&amp;4+MIN(2,ROUNDDOWN(I1663,0))*3)*(-3*$J1663^3+3*$J1663^2)+INDIRECT("D$"&amp;5+MIN(2,ROUNDDOWN(I1663,0))*3)*$J1663^3</f>
      </c>
      <c r="M1663" s="7">
        <f>SQRT(K1663^2+L1663^2)</f>
      </c>
      <c r="N1663" s="7">
        <f>(K1664-K1662)</f>
      </c>
      <c r="O1663" s="7">
        <f>+(L1664-L1662)</f>
      </c>
      <c r="P1663" s="7">
        <f>SQRT(O1663^2+N1663^2)</f>
      </c>
      <c r="Q1663" s="7">
        <f>N1663/$P1663</f>
      </c>
      <c r="R1663" s="7">
        <f>O1663/$P1663</f>
      </c>
      <c r="S1663" s="7">
        <f>Q1663^2+R1663^2</f>
      </c>
      <c r="T1663" s="7">
        <f>-R1663</f>
      </c>
      <c r="U1663" s="7">
        <f>Q1663</f>
      </c>
      <c r="V1663" s="7">
        <f>($C$14+($C$15-$C$14)/($D$15-$D$14)*(I1663-$D$14))/2</f>
      </c>
      <c r="W1663" s="7">
        <f>($B$22*I1663^4+$C$22*I1663^3+$D$22*I1663^2+$E$22*I1663+$F$22)/2</f>
      </c>
      <c r="X1663" s="7">
        <f>($W1663)*(T1663)</f>
      </c>
      <c r="Y1663" s="7">
        <f>($W1663)*(U1663)</f>
      </c>
      <c r="Z1663" s="7">
        <f>SQRT(X1663^2+Y1663^2)</f>
      </c>
      <c r="AA1663" s="7">
        <f>$K1663+$X1663</f>
      </c>
      <c r="AB1663" s="7">
        <f>$L1663+$Y1663</f>
      </c>
      <c r="AC1663" s="7">
        <f>$K1663-$X1663</f>
      </c>
      <c r="AD1663" s="7">
        <f>$L1663-$Y1663</f>
      </c>
      <c r="AE1663" s="7">
        <f>AA1663/39.3701</f>
      </c>
      <c r="AF1663" s="7">
        <f>AB1663/39.3701</f>
      </c>
      <c r="AG1663" s="7">
        <f>AC1663/39.3701</f>
      </c>
      <c r="AH1663" s="7">
        <f>AD1663/39.3701</f>
      </c>
      <c r="AI1663" s="1"/>
      <c r="AJ1663" s="1"/>
      <c r="AK1663" s="1"/>
      <c r="AL1663" s="1"/>
      <c r="AM1663" s="2"/>
      <c r="AN1663" s="1"/>
      <c r="AO1663" s="1"/>
      <c r="AP1663" s="1"/>
      <c r="AQ1663" s="1"/>
      <c r="AR1663" s="1"/>
      <c r="AS1663" s="1"/>
      <c r="AT1663" s="1"/>
      <c r="AU1663" s="1"/>
      <c r="AV1663" s="1"/>
      <c r="AW1663" s="1"/>
      <c r="AX1663" s="1"/>
      <c r="AY1663" s="1"/>
      <c r="AZ1663" s="1"/>
      <c r="BA1663" s="1"/>
      <c r="BB1663" s="1"/>
      <c r="BC1663" s="1"/>
      <c r="BD1663" s="1"/>
      <c r="BE1663" s="1"/>
    </row>
    <row x14ac:dyDescent="0.25" r="1664" customHeight="1" ht="18.75">
      <c r="A1664" s="1"/>
      <c r="B1664" s="2"/>
      <c r="C1664" s="2"/>
      <c r="D1664" s="2"/>
      <c r="E1664" s="2"/>
      <c r="F1664" s="2"/>
      <c r="G1664" s="1"/>
      <c r="H1664" s="1"/>
      <c r="I1664" s="7">
        <v>1.661</v>
      </c>
      <c r="J1664" s="7">
        <f>IF((I1664-ROUNDDOWN(I1664,0))=0, 0, (I1664-ROUNDDOWN(I1664,0)))</f>
      </c>
      <c r="K1664" s="7">
        <f>INDIRECT("C$"&amp;2+MIN(2,ROUNDDOWN(I1664,0))*3)*(-$J1664^3+3*$J1664^2-3*$J1664+1)+INDIRECT("C$"&amp;3+MIN(2,ROUNDDOWN(I1664,0))*3)*(3*$J1664^3-6*$J1664^2+3*$J1664)+INDIRECT("C$"&amp;4+MIN(2,ROUNDDOWN(I1664,0))*3)*(-3*$J1664^3+3*$J1664^2)+INDIRECT("C$"&amp;5+MIN(2,ROUNDDOWN(I1664,0))*3)*$J1664^3</f>
      </c>
      <c r="L1664" s="7">
        <f>INDIRECT("D$"&amp;2+MIN(2,ROUNDDOWN(I1664,0))*3)*(-$J1664^3+3*$J1664^2-3*$J1664+1)+INDIRECT("D$"&amp;3+MIN(2,ROUNDDOWN(I1664,0))*3)*(3*$J1664^3-6*$J1664^2+3*$J1664)+INDIRECT("D$"&amp;4+MIN(2,ROUNDDOWN(I1664,0))*3)*(-3*$J1664^3+3*$J1664^2)+INDIRECT("D$"&amp;5+MIN(2,ROUNDDOWN(I1664,0))*3)*$J1664^3</f>
      </c>
      <c r="M1664" s="7">
        <f>SQRT(K1664^2+L1664^2)</f>
      </c>
      <c r="N1664" s="7">
        <f>(K1665-K1663)</f>
      </c>
      <c r="O1664" s="7">
        <f>+(L1665-L1663)</f>
      </c>
      <c r="P1664" s="7">
        <f>SQRT(O1664^2+N1664^2)</f>
      </c>
      <c r="Q1664" s="7">
        <f>N1664/$P1664</f>
      </c>
      <c r="R1664" s="7">
        <f>O1664/$P1664</f>
      </c>
      <c r="S1664" s="7">
        <f>Q1664^2+R1664^2</f>
      </c>
      <c r="T1664" s="7">
        <f>-R1664</f>
      </c>
      <c r="U1664" s="7">
        <f>Q1664</f>
      </c>
      <c r="V1664" s="7">
        <f>($C$14+($C$15-$C$14)/($D$15-$D$14)*(I1664-$D$14))/2</f>
      </c>
      <c r="W1664" s="7">
        <f>($B$22*I1664^4+$C$22*I1664^3+$D$22*I1664^2+$E$22*I1664+$F$22)/2</f>
      </c>
      <c r="X1664" s="7">
        <f>($W1664)*(T1664)</f>
      </c>
      <c r="Y1664" s="7">
        <f>($W1664)*(U1664)</f>
      </c>
      <c r="Z1664" s="7">
        <f>SQRT(X1664^2+Y1664^2)</f>
      </c>
      <c r="AA1664" s="7">
        <f>$K1664+$X1664</f>
      </c>
      <c r="AB1664" s="7">
        <f>$L1664+$Y1664</f>
      </c>
      <c r="AC1664" s="7">
        <f>$K1664-$X1664</f>
      </c>
      <c r="AD1664" s="7">
        <f>$L1664-$Y1664</f>
      </c>
      <c r="AE1664" s="7">
        <f>AA1664/39.3701</f>
      </c>
      <c r="AF1664" s="7">
        <f>AB1664/39.3701</f>
      </c>
      <c r="AG1664" s="7">
        <f>AC1664/39.3701</f>
      </c>
      <c r="AH1664" s="7">
        <f>AD1664/39.3701</f>
      </c>
      <c r="AI1664" s="1"/>
      <c r="AJ1664" s="1"/>
      <c r="AK1664" s="1"/>
      <c r="AL1664" s="1"/>
      <c r="AM1664" s="2"/>
      <c r="AN1664" s="1"/>
      <c r="AO1664" s="1"/>
      <c r="AP1664" s="1"/>
      <c r="AQ1664" s="1"/>
      <c r="AR1664" s="1"/>
      <c r="AS1664" s="1"/>
      <c r="AT1664" s="1"/>
      <c r="AU1664" s="1"/>
      <c r="AV1664" s="1"/>
      <c r="AW1664" s="1"/>
      <c r="AX1664" s="1"/>
      <c r="AY1664" s="1"/>
      <c r="AZ1664" s="1"/>
      <c r="BA1664" s="1"/>
      <c r="BB1664" s="1"/>
      <c r="BC1664" s="1"/>
      <c r="BD1664" s="1"/>
      <c r="BE1664" s="1"/>
    </row>
    <row x14ac:dyDescent="0.25" r="1665" customHeight="1" ht="18.75">
      <c r="A1665" s="1"/>
      <c r="B1665" s="2"/>
      <c r="C1665" s="2"/>
      <c r="D1665" s="2"/>
      <c r="E1665" s="2"/>
      <c r="F1665" s="2"/>
      <c r="G1665" s="1"/>
      <c r="H1665" s="1"/>
      <c r="I1665" s="7">
        <v>1.662</v>
      </c>
      <c r="J1665" s="7">
        <f>IF((I1665-ROUNDDOWN(I1665,0))=0, 0, (I1665-ROUNDDOWN(I1665,0)))</f>
      </c>
      <c r="K1665" s="7">
        <f>INDIRECT("C$"&amp;2+MIN(2,ROUNDDOWN(I1665,0))*3)*(-$J1665^3+3*$J1665^2-3*$J1665+1)+INDIRECT("C$"&amp;3+MIN(2,ROUNDDOWN(I1665,0))*3)*(3*$J1665^3-6*$J1665^2+3*$J1665)+INDIRECT("C$"&amp;4+MIN(2,ROUNDDOWN(I1665,0))*3)*(-3*$J1665^3+3*$J1665^2)+INDIRECT("C$"&amp;5+MIN(2,ROUNDDOWN(I1665,0))*3)*$J1665^3</f>
      </c>
      <c r="L1665" s="7">
        <f>INDIRECT("D$"&amp;2+MIN(2,ROUNDDOWN(I1665,0))*3)*(-$J1665^3+3*$J1665^2-3*$J1665+1)+INDIRECT("D$"&amp;3+MIN(2,ROUNDDOWN(I1665,0))*3)*(3*$J1665^3-6*$J1665^2+3*$J1665)+INDIRECT("D$"&amp;4+MIN(2,ROUNDDOWN(I1665,0))*3)*(-3*$J1665^3+3*$J1665^2)+INDIRECT("D$"&amp;5+MIN(2,ROUNDDOWN(I1665,0))*3)*$J1665^3</f>
      </c>
      <c r="M1665" s="7">
        <f>SQRT(K1665^2+L1665^2)</f>
      </c>
      <c r="N1665" s="7">
        <f>(K1666-K1664)</f>
      </c>
      <c r="O1665" s="7">
        <f>+(L1666-L1664)</f>
      </c>
      <c r="P1665" s="7">
        <f>SQRT(O1665^2+N1665^2)</f>
      </c>
      <c r="Q1665" s="7">
        <f>N1665/$P1665</f>
      </c>
      <c r="R1665" s="7">
        <f>O1665/$P1665</f>
      </c>
      <c r="S1665" s="7">
        <f>Q1665^2+R1665^2</f>
      </c>
      <c r="T1665" s="7">
        <f>-R1665</f>
      </c>
      <c r="U1665" s="7">
        <f>Q1665</f>
      </c>
      <c r="V1665" s="7">
        <f>($C$14+($C$15-$C$14)/($D$15-$D$14)*(I1665-$D$14))/2</f>
      </c>
      <c r="W1665" s="7">
        <f>($B$22*I1665^4+$C$22*I1665^3+$D$22*I1665^2+$E$22*I1665+$F$22)/2</f>
      </c>
      <c r="X1665" s="7">
        <f>($W1665)*(T1665)</f>
      </c>
      <c r="Y1665" s="7">
        <f>($W1665)*(U1665)</f>
      </c>
      <c r="Z1665" s="7">
        <f>SQRT(X1665^2+Y1665^2)</f>
      </c>
      <c r="AA1665" s="7">
        <f>$K1665+$X1665</f>
      </c>
      <c r="AB1665" s="7">
        <f>$L1665+$Y1665</f>
      </c>
      <c r="AC1665" s="7">
        <f>$K1665-$X1665</f>
      </c>
      <c r="AD1665" s="7">
        <f>$L1665-$Y1665</f>
      </c>
      <c r="AE1665" s="7">
        <f>AA1665/39.3701</f>
      </c>
      <c r="AF1665" s="7">
        <f>AB1665/39.3701</f>
      </c>
      <c r="AG1665" s="7">
        <f>AC1665/39.3701</f>
      </c>
      <c r="AH1665" s="7">
        <f>AD1665/39.3701</f>
      </c>
      <c r="AI1665" s="1"/>
      <c r="AJ1665" s="1"/>
      <c r="AK1665" s="1"/>
      <c r="AL1665" s="1"/>
      <c r="AM1665" s="2"/>
      <c r="AN1665" s="1"/>
      <c r="AO1665" s="1"/>
      <c r="AP1665" s="1"/>
      <c r="AQ1665" s="1"/>
      <c r="AR1665" s="1"/>
      <c r="AS1665" s="1"/>
      <c r="AT1665" s="1"/>
      <c r="AU1665" s="1"/>
      <c r="AV1665" s="1"/>
      <c r="AW1665" s="1"/>
      <c r="AX1665" s="1"/>
      <c r="AY1665" s="1"/>
      <c r="AZ1665" s="1"/>
      <c r="BA1665" s="1"/>
      <c r="BB1665" s="1"/>
      <c r="BC1665" s="1"/>
      <c r="BD1665" s="1"/>
      <c r="BE1665" s="1"/>
    </row>
    <row x14ac:dyDescent="0.25" r="1666" customHeight="1" ht="18.75">
      <c r="A1666" s="1"/>
      <c r="B1666" s="2"/>
      <c r="C1666" s="2"/>
      <c r="D1666" s="2"/>
      <c r="E1666" s="2"/>
      <c r="F1666" s="2"/>
      <c r="G1666" s="1"/>
      <c r="H1666" s="1"/>
      <c r="I1666" s="7">
        <v>1.663</v>
      </c>
      <c r="J1666" s="7">
        <f>IF((I1666-ROUNDDOWN(I1666,0))=0, 0, (I1666-ROUNDDOWN(I1666,0)))</f>
      </c>
      <c r="K1666" s="7">
        <f>INDIRECT("C$"&amp;2+MIN(2,ROUNDDOWN(I1666,0))*3)*(-$J1666^3+3*$J1666^2-3*$J1666+1)+INDIRECT("C$"&amp;3+MIN(2,ROUNDDOWN(I1666,0))*3)*(3*$J1666^3-6*$J1666^2+3*$J1666)+INDIRECT("C$"&amp;4+MIN(2,ROUNDDOWN(I1666,0))*3)*(-3*$J1666^3+3*$J1666^2)+INDIRECT("C$"&amp;5+MIN(2,ROUNDDOWN(I1666,0))*3)*$J1666^3</f>
      </c>
      <c r="L1666" s="7">
        <f>INDIRECT("D$"&amp;2+MIN(2,ROUNDDOWN(I1666,0))*3)*(-$J1666^3+3*$J1666^2-3*$J1666+1)+INDIRECT("D$"&amp;3+MIN(2,ROUNDDOWN(I1666,0))*3)*(3*$J1666^3-6*$J1666^2+3*$J1666)+INDIRECT("D$"&amp;4+MIN(2,ROUNDDOWN(I1666,0))*3)*(-3*$J1666^3+3*$J1666^2)+INDIRECT("D$"&amp;5+MIN(2,ROUNDDOWN(I1666,0))*3)*$J1666^3</f>
      </c>
      <c r="M1666" s="7">
        <f>SQRT(K1666^2+L1666^2)</f>
      </c>
      <c r="N1666" s="7">
        <f>(K1667-K1665)</f>
      </c>
      <c r="O1666" s="7">
        <f>+(L1667-L1665)</f>
      </c>
      <c r="P1666" s="7">
        <f>SQRT(O1666^2+N1666^2)</f>
      </c>
      <c r="Q1666" s="7">
        <f>N1666/$P1666</f>
      </c>
      <c r="R1666" s="7">
        <f>O1666/$P1666</f>
      </c>
      <c r="S1666" s="8">
        <f>Q1666^2+R1666^2</f>
      </c>
      <c r="T1666" s="7">
        <f>-R1666</f>
      </c>
      <c r="U1666" s="7">
        <f>Q1666</f>
      </c>
      <c r="V1666" s="7">
        <f>($C$14+($C$15-$C$14)/($D$15-$D$14)*(I1666-$D$14))/2</f>
      </c>
      <c r="W1666" s="7">
        <f>($B$22*I1666^4+$C$22*I1666^3+$D$22*I1666^2+$E$22*I1666+$F$22)/2</f>
      </c>
      <c r="X1666" s="7">
        <f>($W1666)*(T1666)</f>
      </c>
      <c r="Y1666" s="7">
        <f>($W1666)*(U1666)</f>
      </c>
      <c r="Z1666" s="7">
        <f>SQRT(X1666^2+Y1666^2)</f>
      </c>
      <c r="AA1666" s="7">
        <f>$K1666+$X1666</f>
      </c>
      <c r="AB1666" s="7">
        <f>$L1666+$Y1666</f>
      </c>
      <c r="AC1666" s="7">
        <f>$K1666-$X1666</f>
      </c>
      <c r="AD1666" s="7">
        <f>$L1666-$Y1666</f>
      </c>
      <c r="AE1666" s="7">
        <f>AA1666/39.3701</f>
      </c>
      <c r="AF1666" s="7">
        <f>AB1666/39.3701</f>
      </c>
      <c r="AG1666" s="7">
        <f>AC1666/39.3701</f>
      </c>
      <c r="AH1666" s="7">
        <f>AD1666/39.3701</f>
      </c>
      <c r="AI1666" s="1"/>
      <c r="AJ1666" s="1"/>
      <c r="AK1666" s="1"/>
      <c r="AL1666" s="1"/>
      <c r="AM1666" s="2"/>
      <c r="AN1666" s="1"/>
      <c r="AO1666" s="1"/>
      <c r="AP1666" s="1"/>
      <c r="AQ1666" s="1"/>
      <c r="AR1666" s="1"/>
      <c r="AS1666" s="1"/>
      <c r="AT1666" s="1"/>
      <c r="AU1666" s="1"/>
      <c r="AV1666" s="1"/>
      <c r="AW1666" s="1"/>
      <c r="AX1666" s="1"/>
      <c r="AY1666" s="1"/>
      <c r="AZ1666" s="1"/>
      <c r="BA1666" s="1"/>
      <c r="BB1666" s="1"/>
      <c r="BC1666" s="1"/>
      <c r="BD1666" s="1"/>
      <c r="BE1666" s="1"/>
    </row>
    <row x14ac:dyDescent="0.25" r="1667" customHeight="1" ht="18.75">
      <c r="A1667" s="1"/>
      <c r="B1667" s="2"/>
      <c r="C1667" s="2"/>
      <c r="D1667" s="2"/>
      <c r="E1667" s="2"/>
      <c r="F1667" s="2"/>
      <c r="G1667" s="1"/>
      <c r="H1667" s="1"/>
      <c r="I1667" s="7">
        <v>1.664</v>
      </c>
      <c r="J1667" s="7">
        <f>IF((I1667-ROUNDDOWN(I1667,0))=0, 0, (I1667-ROUNDDOWN(I1667,0)))</f>
      </c>
      <c r="K1667" s="7">
        <f>INDIRECT("C$"&amp;2+MIN(2,ROUNDDOWN(I1667,0))*3)*(-$J1667^3+3*$J1667^2-3*$J1667+1)+INDIRECT("C$"&amp;3+MIN(2,ROUNDDOWN(I1667,0))*3)*(3*$J1667^3-6*$J1667^2+3*$J1667)+INDIRECT("C$"&amp;4+MIN(2,ROUNDDOWN(I1667,0))*3)*(-3*$J1667^3+3*$J1667^2)+INDIRECT("C$"&amp;5+MIN(2,ROUNDDOWN(I1667,0))*3)*$J1667^3</f>
      </c>
      <c r="L1667" s="7">
        <f>INDIRECT("D$"&amp;2+MIN(2,ROUNDDOWN(I1667,0))*3)*(-$J1667^3+3*$J1667^2-3*$J1667+1)+INDIRECT("D$"&amp;3+MIN(2,ROUNDDOWN(I1667,0))*3)*(3*$J1667^3-6*$J1667^2+3*$J1667)+INDIRECT("D$"&amp;4+MIN(2,ROUNDDOWN(I1667,0))*3)*(-3*$J1667^3+3*$J1667^2)+INDIRECT("D$"&amp;5+MIN(2,ROUNDDOWN(I1667,0))*3)*$J1667^3</f>
      </c>
      <c r="M1667" s="7">
        <f>SQRT(K1667^2+L1667^2)</f>
      </c>
      <c r="N1667" s="7">
        <f>(K1668-K1666)</f>
      </c>
      <c r="O1667" s="7">
        <f>+(L1668-L1666)</f>
      </c>
      <c r="P1667" s="7">
        <f>SQRT(O1667^2+N1667^2)</f>
      </c>
      <c r="Q1667" s="7">
        <f>N1667/$P1667</f>
      </c>
      <c r="R1667" s="7">
        <f>O1667/$P1667</f>
      </c>
      <c r="S1667" s="8">
        <f>Q1667^2+R1667^2</f>
      </c>
      <c r="T1667" s="7">
        <f>-R1667</f>
      </c>
      <c r="U1667" s="7">
        <f>Q1667</f>
      </c>
      <c r="V1667" s="7">
        <f>($C$14+($C$15-$C$14)/($D$15-$D$14)*(I1667-$D$14))/2</f>
      </c>
      <c r="W1667" s="7">
        <f>($B$22*I1667^4+$C$22*I1667^3+$D$22*I1667^2+$E$22*I1667+$F$22)/2</f>
      </c>
      <c r="X1667" s="7">
        <f>($W1667)*(T1667)</f>
      </c>
      <c r="Y1667" s="7">
        <f>($W1667)*(U1667)</f>
      </c>
      <c r="Z1667" s="7">
        <f>SQRT(X1667^2+Y1667^2)</f>
      </c>
      <c r="AA1667" s="7">
        <f>$K1667+$X1667</f>
      </c>
      <c r="AB1667" s="7">
        <f>$L1667+$Y1667</f>
      </c>
      <c r="AC1667" s="7">
        <f>$K1667-$X1667</f>
      </c>
      <c r="AD1667" s="7">
        <f>$L1667-$Y1667</f>
      </c>
      <c r="AE1667" s="7">
        <f>AA1667/39.3701</f>
      </c>
      <c r="AF1667" s="7">
        <f>AB1667/39.3701</f>
      </c>
      <c r="AG1667" s="7">
        <f>AC1667/39.3701</f>
      </c>
      <c r="AH1667" s="7">
        <f>AD1667/39.3701</f>
      </c>
      <c r="AI1667" s="1"/>
      <c r="AJ1667" s="1"/>
      <c r="AK1667" s="1"/>
      <c r="AL1667" s="1"/>
      <c r="AM1667" s="2"/>
      <c r="AN1667" s="1"/>
      <c r="AO1667" s="1"/>
      <c r="AP1667" s="1"/>
      <c r="AQ1667" s="1"/>
      <c r="AR1667" s="1"/>
      <c r="AS1667" s="1"/>
      <c r="AT1667" s="1"/>
      <c r="AU1667" s="1"/>
      <c r="AV1667" s="1"/>
      <c r="AW1667" s="1"/>
      <c r="AX1667" s="1"/>
      <c r="AY1667" s="1"/>
      <c r="AZ1667" s="1"/>
      <c r="BA1667" s="1"/>
      <c r="BB1667" s="1"/>
      <c r="BC1667" s="1"/>
      <c r="BD1667" s="1"/>
      <c r="BE1667" s="1"/>
    </row>
    <row x14ac:dyDescent="0.25" r="1668" customHeight="1" ht="18.75">
      <c r="A1668" s="1"/>
      <c r="B1668" s="2"/>
      <c r="C1668" s="2"/>
      <c r="D1668" s="2"/>
      <c r="E1668" s="2"/>
      <c r="F1668" s="2"/>
      <c r="G1668" s="1"/>
      <c r="H1668" s="1"/>
      <c r="I1668" s="7">
        <v>1.665</v>
      </c>
      <c r="J1668" s="7">
        <f>IF((I1668-ROUNDDOWN(I1668,0))=0, 0, (I1668-ROUNDDOWN(I1668,0)))</f>
      </c>
      <c r="K1668" s="7">
        <f>INDIRECT("C$"&amp;2+MIN(2,ROUNDDOWN(I1668,0))*3)*(-$J1668^3+3*$J1668^2-3*$J1668+1)+INDIRECT("C$"&amp;3+MIN(2,ROUNDDOWN(I1668,0))*3)*(3*$J1668^3-6*$J1668^2+3*$J1668)+INDIRECT("C$"&amp;4+MIN(2,ROUNDDOWN(I1668,0))*3)*(-3*$J1668^3+3*$J1668^2)+INDIRECT("C$"&amp;5+MIN(2,ROUNDDOWN(I1668,0))*3)*$J1668^3</f>
      </c>
      <c r="L1668" s="7">
        <f>INDIRECT("D$"&amp;2+MIN(2,ROUNDDOWN(I1668,0))*3)*(-$J1668^3+3*$J1668^2-3*$J1668+1)+INDIRECT("D$"&amp;3+MIN(2,ROUNDDOWN(I1668,0))*3)*(3*$J1668^3-6*$J1668^2+3*$J1668)+INDIRECT("D$"&amp;4+MIN(2,ROUNDDOWN(I1668,0))*3)*(-3*$J1668^3+3*$J1668^2)+INDIRECT("D$"&amp;5+MIN(2,ROUNDDOWN(I1668,0))*3)*$J1668^3</f>
      </c>
      <c r="M1668" s="7">
        <f>SQRT(K1668^2+L1668^2)</f>
      </c>
      <c r="N1668" s="7">
        <f>(K1669-K1667)</f>
      </c>
      <c r="O1668" s="7">
        <f>+(L1669-L1667)</f>
      </c>
      <c r="P1668" s="7">
        <f>SQRT(O1668^2+N1668^2)</f>
      </c>
      <c r="Q1668" s="7">
        <f>N1668/$P1668</f>
      </c>
      <c r="R1668" s="7">
        <f>O1668/$P1668</f>
      </c>
      <c r="S1668" s="7">
        <f>Q1668^2+R1668^2</f>
      </c>
      <c r="T1668" s="7">
        <f>-R1668</f>
      </c>
      <c r="U1668" s="7">
        <f>Q1668</f>
      </c>
      <c r="V1668" s="7">
        <f>($C$14+($C$15-$C$14)/($D$15-$D$14)*(I1668-$D$14))/2</f>
      </c>
      <c r="W1668" s="7">
        <f>($B$22*I1668^4+$C$22*I1668^3+$D$22*I1668^2+$E$22*I1668+$F$22)/2</f>
      </c>
      <c r="X1668" s="7">
        <f>($W1668)*(T1668)</f>
      </c>
      <c r="Y1668" s="7">
        <f>($W1668)*(U1668)</f>
      </c>
      <c r="Z1668" s="7">
        <f>SQRT(X1668^2+Y1668^2)</f>
      </c>
      <c r="AA1668" s="7">
        <f>$K1668+$X1668</f>
      </c>
      <c r="AB1668" s="7">
        <f>$L1668+$Y1668</f>
      </c>
      <c r="AC1668" s="7">
        <f>$K1668-$X1668</f>
      </c>
      <c r="AD1668" s="7">
        <f>$L1668-$Y1668</f>
      </c>
      <c r="AE1668" s="7">
        <f>AA1668/39.3701</f>
      </c>
      <c r="AF1668" s="7">
        <f>AB1668/39.3701</f>
      </c>
      <c r="AG1668" s="7">
        <f>AC1668/39.3701</f>
      </c>
      <c r="AH1668" s="7">
        <f>AD1668/39.3701</f>
      </c>
      <c r="AI1668" s="1"/>
      <c r="AJ1668" s="1"/>
      <c r="AK1668" s="1"/>
      <c r="AL1668" s="1"/>
      <c r="AM1668" s="2"/>
      <c r="AN1668" s="1"/>
      <c r="AO1668" s="1"/>
      <c r="AP1668" s="1"/>
      <c r="AQ1668" s="1"/>
      <c r="AR1668" s="1"/>
      <c r="AS1668" s="1"/>
      <c r="AT1668" s="1"/>
      <c r="AU1668" s="1"/>
      <c r="AV1668" s="1"/>
      <c r="AW1668" s="1"/>
      <c r="AX1668" s="1"/>
      <c r="AY1668" s="1"/>
      <c r="AZ1668" s="1"/>
      <c r="BA1668" s="1"/>
      <c r="BB1668" s="1"/>
      <c r="BC1668" s="1"/>
      <c r="BD1668" s="1"/>
      <c r="BE1668" s="1"/>
    </row>
    <row x14ac:dyDescent="0.25" r="1669" customHeight="1" ht="18.75">
      <c r="A1669" s="1"/>
      <c r="B1669" s="2"/>
      <c r="C1669" s="2"/>
      <c r="D1669" s="2"/>
      <c r="E1669" s="2"/>
      <c r="F1669" s="2"/>
      <c r="G1669" s="1"/>
      <c r="H1669" s="1"/>
      <c r="I1669" s="7">
        <v>1.666</v>
      </c>
      <c r="J1669" s="7">
        <f>IF((I1669-ROUNDDOWN(I1669,0))=0, 0, (I1669-ROUNDDOWN(I1669,0)))</f>
      </c>
      <c r="K1669" s="7">
        <f>INDIRECT("C$"&amp;2+MIN(2,ROUNDDOWN(I1669,0))*3)*(-$J1669^3+3*$J1669^2-3*$J1669+1)+INDIRECT("C$"&amp;3+MIN(2,ROUNDDOWN(I1669,0))*3)*(3*$J1669^3-6*$J1669^2+3*$J1669)+INDIRECT("C$"&amp;4+MIN(2,ROUNDDOWN(I1669,0))*3)*(-3*$J1669^3+3*$J1669^2)+INDIRECT("C$"&amp;5+MIN(2,ROUNDDOWN(I1669,0))*3)*$J1669^3</f>
      </c>
      <c r="L1669" s="7">
        <f>INDIRECT("D$"&amp;2+MIN(2,ROUNDDOWN(I1669,0))*3)*(-$J1669^3+3*$J1669^2-3*$J1669+1)+INDIRECT("D$"&amp;3+MIN(2,ROUNDDOWN(I1669,0))*3)*(3*$J1669^3-6*$J1669^2+3*$J1669)+INDIRECT("D$"&amp;4+MIN(2,ROUNDDOWN(I1669,0))*3)*(-3*$J1669^3+3*$J1669^2)+INDIRECT("D$"&amp;5+MIN(2,ROUNDDOWN(I1669,0))*3)*$J1669^3</f>
      </c>
      <c r="M1669" s="7">
        <f>SQRT(K1669^2+L1669^2)</f>
      </c>
      <c r="N1669" s="7">
        <f>(K1670-K1668)</f>
      </c>
      <c r="O1669" s="7">
        <f>+(L1670-L1668)</f>
      </c>
      <c r="P1669" s="7">
        <f>SQRT(O1669^2+N1669^2)</f>
      </c>
      <c r="Q1669" s="7">
        <f>N1669/$P1669</f>
      </c>
      <c r="R1669" s="7">
        <f>O1669/$P1669</f>
      </c>
      <c r="S1669" s="7">
        <f>Q1669^2+R1669^2</f>
      </c>
      <c r="T1669" s="7">
        <f>-R1669</f>
      </c>
      <c r="U1669" s="7">
        <f>Q1669</f>
      </c>
      <c r="V1669" s="7">
        <f>($C$14+($C$15-$C$14)/($D$15-$D$14)*(I1669-$D$14))/2</f>
      </c>
      <c r="W1669" s="7">
        <f>($B$22*I1669^4+$C$22*I1669^3+$D$22*I1669^2+$E$22*I1669+$F$22)/2</f>
      </c>
      <c r="X1669" s="7">
        <f>($W1669)*(T1669)</f>
      </c>
      <c r="Y1669" s="7">
        <f>($W1669)*(U1669)</f>
      </c>
      <c r="Z1669" s="7">
        <f>SQRT(X1669^2+Y1669^2)</f>
      </c>
      <c r="AA1669" s="7">
        <f>$K1669+$X1669</f>
      </c>
      <c r="AB1669" s="7">
        <f>$L1669+$Y1669</f>
      </c>
      <c r="AC1669" s="7">
        <f>$K1669-$X1669</f>
      </c>
      <c r="AD1669" s="7">
        <f>$L1669-$Y1669</f>
      </c>
      <c r="AE1669" s="7">
        <f>AA1669/39.3701</f>
      </c>
      <c r="AF1669" s="7">
        <f>AB1669/39.3701</f>
      </c>
      <c r="AG1669" s="7">
        <f>AC1669/39.3701</f>
      </c>
      <c r="AH1669" s="7">
        <f>AD1669/39.3701</f>
      </c>
      <c r="AI1669" s="1"/>
      <c r="AJ1669" s="1"/>
      <c r="AK1669" s="1"/>
      <c r="AL1669" s="1"/>
      <c r="AM1669" s="2"/>
      <c r="AN1669" s="1"/>
      <c r="AO1669" s="1"/>
      <c r="AP1669" s="1"/>
      <c r="AQ1669" s="1"/>
      <c r="AR1669" s="1"/>
      <c r="AS1669" s="1"/>
      <c r="AT1669" s="1"/>
      <c r="AU1669" s="1"/>
      <c r="AV1669" s="1"/>
      <c r="AW1669" s="1"/>
      <c r="AX1669" s="1"/>
      <c r="AY1669" s="1"/>
      <c r="AZ1669" s="1"/>
      <c r="BA1669" s="1"/>
      <c r="BB1669" s="1"/>
      <c r="BC1669" s="1"/>
      <c r="BD1669" s="1"/>
      <c r="BE1669" s="1"/>
    </row>
    <row x14ac:dyDescent="0.25" r="1670" customHeight="1" ht="18.75">
      <c r="A1670" s="1"/>
      <c r="B1670" s="2"/>
      <c r="C1670" s="2"/>
      <c r="D1670" s="2"/>
      <c r="E1670" s="2"/>
      <c r="F1670" s="2"/>
      <c r="G1670" s="1"/>
      <c r="H1670" s="1"/>
      <c r="I1670" s="7">
        <v>1.667</v>
      </c>
      <c r="J1670" s="7">
        <f>IF((I1670-ROUNDDOWN(I1670,0))=0, 0, (I1670-ROUNDDOWN(I1670,0)))</f>
      </c>
      <c r="K1670" s="7">
        <f>INDIRECT("C$"&amp;2+MIN(2,ROUNDDOWN(I1670,0))*3)*(-$J1670^3+3*$J1670^2-3*$J1670+1)+INDIRECT("C$"&amp;3+MIN(2,ROUNDDOWN(I1670,0))*3)*(3*$J1670^3-6*$J1670^2+3*$J1670)+INDIRECT("C$"&amp;4+MIN(2,ROUNDDOWN(I1670,0))*3)*(-3*$J1670^3+3*$J1670^2)+INDIRECT("C$"&amp;5+MIN(2,ROUNDDOWN(I1670,0))*3)*$J1670^3</f>
      </c>
      <c r="L1670" s="7">
        <f>INDIRECT("D$"&amp;2+MIN(2,ROUNDDOWN(I1670,0))*3)*(-$J1670^3+3*$J1670^2-3*$J1670+1)+INDIRECT("D$"&amp;3+MIN(2,ROUNDDOWN(I1670,0))*3)*(3*$J1670^3-6*$J1670^2+3*$J1670)+INDIRECT("D$"&amp;4+MIN(2,ROUNDDOWN(I1670,0))*3)*(-3*$J1670^3+3*$J1670^2)+INDIRECT("D$"&amp;5+MIN(2,ROUNDDOWN(I1670,0))*3)*$J1670^3</f>
      </c>
      <c r="M1670" s="7">
        <f>SQRT(K1670^2+L1670^2)</f>
      </c>
      <c r="N1670" s="7">
        <f>(K1671-K1669)</f>
      </c>
      <c r="O1670" s="7">
        <f>+(L1671-L1669)</f>
      </c>
      <c r="P1670" s="7">
        <f>SQRT(O1670^2+N1670^2)</f>
      </c>
      <c r="Q1670" s="7">
        <f>N1670/$P1670</f>
      </c>
      <c r="R1670" s="7">
        <f>O1670/$P1670</f>
      </c>
      <c r="S1670" s="7">
        <f>Q1670^2+R1670^2</f>
      </c>
      <c r="T1670" s="7">
        <f>-R1670</f>
      </c>
      <c r="U1670" s="7">
        <f>Q1670</f>
      </c>
      <c r="V1670" s="7">
        <f>($C$14+($C$15-$C$14)/($D$15-$D$14)*(I1670-$D$14))/2</f>
      </c>
      <c r="W1670" s="7">
        <f>($B$22*I1670^4+$C$22*I1670^3+$D$22*I1670^2+$E$22*I1670+$F$22)/2</f>
      </c>
      <c r="X1670" s="7">
        <f>($W1670)*(T1670)</f>
      </c>
      <c r="Y1670" s="7">
        <f>($W1670)*(U1670)</f>
      </c>
      <c r="Z1670" s="7">
        <f>SQRT(X1670^2+Y1670^2)</f>
      </c>
      <c r="AA1670" s="7">
        <f>$K1670+$X1670</f>
      </c>
      <c r="AB1670" s="7">
        <f>$L1670+$Y1670</f>
      </c>
      <c r="AC1670" s="7">
        <f>$K1670-$X1670</f>
      </c>
      <c r="AD1670" s="7">
        <f>$L1670-$Y1670</f>
      </c>
      <c r="AE1670" s="7">
        <f>AA1670/39.3701</f>
      </c>
      <c r="AF1670" s="7">
        <f>AB1670/39.3701</f>
      </c>
      <c r="AG1670" s="7">
        <f>AC1670/39.3701</f>
      </c>
      <c r="AH1670" s="7">
        <f>AD1670/39.3701</f>
      </c>
      <c r="AI1670" s="1"/>
      <c r="AJ1670" s="1"/>
      <c r="AK1670" s="1"/>
      <c r="AL1670" s="1"/>
      <c r="AM1670" s="2"/>
      <c r="AN1670" s="1"/>
      <c r="AO1670" s="1"/>
      <c r="AP1670" s="1"/>
      <c r="AQ1670" s="1"/>
      <c r="AR1670" s="1"/>
      <c r="AS1670" s="1"/>
      <c r="AT1670" s="1"/>
      <c r="AU1670" s="1"/>
      <c r="AV1670" s="1"/>
      <c r="AW1670" s="1"/>
      <c r="AX1670" s="1"/>
      <c r="AY1670" s="1"/>
      <c r="AZ1670" s="1"/>
      <c r="BA1670" s="1"/>
      <c r="BB1670" s="1"/>
      <c r="BC1670" s="1"/>
      <c r="BD1670" s="1"/>
      <c r="BE1670" s="1"/>
    </row>
    <row x14ac:dyDescent="0.25" r="1671" customHeight="1" ht="18.75">
      <c r="A1671" s="1"/>
      <c r="B1671" s="2"/>
      <c r="C1671" s="2"/>
      <c r="D1671" s="2"/>
      <c r="E1671" s="2"/>
      <c r="F1671" s="2"/>
      <c r="G1671" s="1"/>
      <c r="H1671" s="1"/>
      <c r="I1671" s="7">
        <v>1.668</v>
      </c>
      <c r="J1671" s="7">
        <f>IF((I1671-ROUNDDOWN(I1671,0))=0, 0, (I1671-ROUNDDOWN(I1671,0)))</f>
      </c>
      <c r="K1671" s="7">
        <f>INDIRECT("C$"&amp;2+MIN(2,ROUNDDOWN(I1671,0))*3)*(-$J1671^3+3*$J1671^2-3*$J1671+1)+INDIRECT("C$"&amp;3+MIN(2,ROUNDDOWN(I1671,0))*3)*(3*$J1671^3-6*$J1671^2+3*$J1671)+INDIRECT("C$"&amp;4+MIN(2,ROUNDDOWN(I1671,0))*3)*(-3*$J1671^3+3*$J1671^2)+INDIRECT("C$"&amp;5+MIN(2,ROUNDDOWN(I1671,0))*3)*$J1671^3</f>
      </c>
      <c r="L1671" s="7">
        <f>INDIRECT("D$"&amp;2+MIN(2,ROUNDDOWN(I1671,0))*3)*(-$J1671^3+3*$J1671^2-3*$J1671+1)+INDIRECT("D$"&amp;3+MIN(2,ROUNDDOWN(I1671,0))*3)*(3*$J1671^3-6*$J1671^2+3*$J1671)+INDIRECT("D$"&amp;4+MIN(2,ROUNDDOWN(I1671,0))*3)*(-3*$J1671^3+3*$J1671^2)+INDIRECT("D$"&amp;5+MIN(2,ROUNDDOWN(I1671,0))*3)*$J1671^3</f>
      </c>
      <c r="M1671" s="7">
        <f>SQRT(K1671^2+L1671^2)</f>
      </c>
      <c r="N1671" s="7">
        <f>(K1672-K1670)</f>
      </c>
      <c r="O1671" s="7">
        <f>+(L1672-L1670)</f>
      </c>
      <c r="P1671" s="7">
        <f>SQRT(O1671^2+N1671^2)</f>
      </c>
      <c r="Q1671" s="7">
        <f>N1671/$P1671</f>
      </c>
      <c r="R1671" s="7">
        <f>O1671/$P1671</f>
      </c>
      <c r="S1671" s="7">
        <f>Q1671^2+R1671^2</f>
      </c>
      <c r="T1671" s="7">
        <f>-R1671</f>
      </c>
      <c r="U1671" s="7">
        <f>Q1671</f>
      </c>
      <c r="V1671" s="7">
        <f>($C$14+($C$15-$C$14)/($D$15-$D$14)*(I1671-$D$14))/2</f>
      </c>
      <c r="W1671" s="7">
        <f>($B$22*I1671^4+$C$22*I1671^3+$D$22*I1671^2+$E$22*I1671+$F$22)/2</f>
      </c>
      <c r="X1671" s="7">
        <f>($W1671)*(T1671)</f>
      </c>
      <c r="Y1671" s="7">
        <f>($W1671)*(U1671)</f>
      </c>
      <c r="Z1671" s="7">
        <f>SQRT(X1671^2+Y1671^2)</f>
      </c>
      <c r="AA1671" s="7">
        <f>$K1671+$X1671</f>
      </c>
      <c r="AB1671" s="7">
        <f>$L1671+$Y1671</f>
      </c>
      <c r="AC1671" s="7">
        <f>$K1671-$X1671</f>
      </c>
      <c r="AD1671" s="7">
        <f>$L1671-$Y1671</f>
      </c>
      <c r="AE1671" s="7">
        <f>AA1671/39.3701</f>
      </c>
      <c r="AF1671" s="7">
        <f>AB1671/39.3701</f>
      </c>
      <c r="AG1671" s="7">
        <f>AC1671/39.3701</f>
      </c>
      <c r="AH1671" s="7">
        <f>AD1671/39.3701</f>
      </c>
      <c r="AI1671" s="1"/>
      <c r="AJ1671" s="1"/>
      <c r="AK1671" s="1"/>
      <c r="AL1671" s="1"/>
      <c r="AM1671" s="2"/>
      <c r="AN1671" s="1"/>
      <c r="AO1671" s="1"/>
      <c r="AP1671" s="1"/>
      <c r="AQ1671" s="1"/>
      <c r="AR1671" s="1"/>
      <c r="AS1671" s="1"/>
      <c r="AT1671" s="1"/>
      <c r="AU1671" s="1"/>
      <c r="AV1671" s="1"/>
      <c r="AW1671" s="1"/>
      <c r="AX1671" s="1"/>
      <c r="AY1671" s="1"/>
      <c r="AZ1671" s="1"/>
      <c r="BA1671" s="1"/>
      <c r="BB1671" s="1"/>
      <c r="BC1671" s="1"/>
      <c r="BD1671" s="1"/>
      <c r="BE1671" s="1"/>
    </row>
    <row x14ac:dyDescent="0.25" r="1672" customHeight="1" ht="18.75">
      <c r="A1672" s="1"/>
      <c r="B1672" s="2"/>
      <c r="C1672" s="2"/>
      <c r="D1672" s="2"/>
      <c r="E1672" s="2"/>
      <c r="F1672" s="2"/>
      <c r="G1672" s="1"/>
      <c r="H1672" s="1"/>
      <c r="I1672" s="7">
        <v>1.669</v>
      </c>
      <c r="J1672" s="7">
        <f>IF((I1672-ROUNDDOWN(I1672,0))=0, 0, (I1672-ROUNDDOWN(I1672,0)))</f>
      </c>
      <c r="K1672" s="7">
        <f>INDIRECT("C$"&amp;2+MIN(2,ROUNDDOWN(I1672,0))*3)*(-$J1672^3+3*$J1672^2-3*$J1672+1)+INDIRECT("C$"&amp;3+MIN(2,ROUNDDOWN(I1672,0))*3)*(3*$J1672^3-6*$J1672^2+3*$J1672)+INDIRECT("C$"&amp;4+MIN(2,ROUNDDOWN(I1672,0))*3)*(-3*$J1672^3+3*$J1672^2)+INDIRECT("C$"&amp;5+MIN(2,ROUNDDOWN(I1672,0))*3)*$J1672^3</f>
      </c>
      <c r="L1672" s="7">
        <f>INDIRECT("D$"&amp;2+MIN(2,ROUNDDOWN(I1672,0))*3)*(-$J1672^3+3*$J1672^2-3*$J1672+1)+INDIRECT("D$"&amp;3+MIN(2,ROUNDDOWN(I1672,0))*3)*(3*$J1672^3-6*$J1672^2+3*$J1672)+INDIRECT("D$"&amp;4+MIN(2,ROUNDDOWN(I1672,0))*3)*(-3*$J1672^3+3*$J1672^2)+INDIRECT("D$"&amp;5+MIN(2,ROUNDDOWN(I1672,0))*3)*$J1672^3</f>
      </c>
      <c r="M1672" s="7">
        <f>SQRT(K1672^2+L1672^2)</f>
      </c>
      <c r="N1672" s="7">
        <f>(K1673-K1671)</f>
      </c>
      <c r="O1672" s="7">
        <f>+(L1673-L1671)</f>
      </c>
      <c r="P1672" s="7">
        <f>SQRT(O1672^2+N1672^2)</f>
      </c>
      <c r="Q1672" s="7">
        <f>N1672/$P1672</f>
      </c>
      <c r="R1672" s="7">
        <f>O1672/$P1672</f>
      </c>
      <c r="S1672" s="7">
        <f>Q1672^2+R1672^2</f>
      </c>
      <c r="T1672" s="7">
        <f>-R1672</f>
      </c>
      <c r="U1672" s="7">
        <f>Q1672</f>
      </c>
      <c r="V1672" s="7">
        <f>($C$14+($C$15-$C$14)/($D$15-$D$14)*(I1672-$D$14))/2</f>
      </c>
      <c r="W1672" s="7">
        <f>($B$22*I1672^4+$C$22*I1672^3+$D$22*I1672^2+$E$22*I1672+$F$22)/2</f>
      </c>
      <c r="X1672" s="7">
        <f>($W1672)*(T1672)</f>
      </c>
      <c r="Y1672" s="7">
        <f>($W1672)*(U1672)</f>
      </c>
      <c r="Z1672" s="7">
        <f>SQRT(X1672^2+Y1672^2)</f>
      </c>
      <c r="AA1672" s="7">
        <f>$K1672+$X1672</f>
      </c>
      <c r="AB1672" s="7">
        <f>$L1672+$Y1672</f>
      </c>
      <c r="AC1672" s="7">
        <f>$K1672-$X1672</f>
      </c>
      <c r="AD1672" s="7">
        <f>$L1672-$Y1672</f>
      </c>
      <c r="AE1672" s="7">
        <f>AA1672/39.3701</f>
      </c>
      <c r="AF1672" s="7">
        <f>AB1672/39.3701</f>
      </c>
      <c r="AG1672" s="7">
        <f>AC1672/39.3701</f>
      </c>
      <c r="AH1672" s="7">
        <f>AD1672/39.3701</f>
      </c>
      <c r="AI1672" s="1"/>
      <c r="AJ1672" s="1"/>
      <c r="AK1672" s="1"/>
      <c r="AL1672" s="1"/>
      <c r="AM1672" s="2"/>
      <c r="AN1672" s="1"/>
      <c r="AO1672" s="1"/>
      <c r="AP1672" s="1"/>
      <c r="AQ1672" s="1"/>
      <c r="AR1672" s="1"/>
      <c r="AS1672" s="1"/>
      <c r="AT1672" s="1"/>
      <c r="AU1672" s="1"/>
      <c r="AV1672" s="1"/>
      <c r="AW1672" s="1"/>
      <c r="AX1672" s="1"/>
      <c r="AY1672" s="1"/>
      <c r="AZ1672" s="1"/>
      <c r="BA1672" s="1"/>
      <c r="BB1672" s="1"/>
      <c r="BC1672" s="1"/>
      <c r="BD1672" s="1"/>
      <c r="BE1672" s="1"/>
    </row>
    <row x14ac:dyDescent="0.25" r="1673" customHeight="1" ht="18.75">
      <c r="A1673" s="1"/>
      <c r="B1673" s="2"/>
      <c r="C1673" s="2"/>
      <c r="D1673" s="2"/>
      <c r="E1673" s="2"/>
      <c r="F1673" s="2"/>
      <c r="G1673" s="1"/>
      <c r="H1673" s="1"/>
      <c r="I1673" s="7">
        <v>1.67</v>
      </c>
      <c r="J1673" s="7">
        <f>IF((I1673-ROUNDDOWN(I1673,0))=0, 0, (I1673-ROUNDDOWN(I1673,0)))</f>
      </c>
      <c r="K1673" s="7">
        <f>INDIRECT("C$"&amp;2+MIN(2,ROUNDDOWN(I1673,0))*3)*(-$J1673^3+3*$J1673^2-3*$J1673+1)+INDIRECT("C$"&amp;3+MIN(2,ROUNDDOWN(I1673,0))*3)*(3*$J1673^3-6*$J1673^2+3*$J1673)+INDIRECT("C$"&amp;4+MIN(2,ROUNDDOWN(I1673,0))*3)*(-3*$J1673^3+3*$J1673^2)+INDIRECT("C$"&amp;5+MIN(2,ROUNDDOWN(I1673,0))*3)*$J1673^3</f>
      </c>
      <c r="L1673" s="7">
        <f>INDIRECT("D$"&amp;2+MIN(2,ROUNDDOWN(I1673,0))*3)*(-$J1673^3+3*$J1673^2-3*$J1673+1)+INDIRECT("D$"&amp;3+MIN(2,ROUNDDOWN(I1673,0))*3)*(3*$J1673^3-6*$J1673^2+3*$J1673)+INDIRECT("D$"&amp;4+MIN(2,ROUNDDOWN(I1673,0))*3)*(-3*$J1673^3+3*$J1673^2)+INDIRECT("D$"&amp;5+MIN(2,ROUNDDOWN(I1673,0))*3)*$J1673^3</f>
      </c>
      <c r="M1673" s="7">
        <f>SQRT(K1673^2+L1673^2)</f>
      </c>
      <c r="N1673" s="7">
        <f>(K1674-K1672)</f>
      </c>
      <c r="O1673" s="7">
        <f>+(L1674-L1672)</f>
      </c>
      <c r="P1673" s="7">
        <f>SQRT(O1673^2+N1673^2)</f>
      </c>
      <c r="Q1673" s="7">
        <f>N1673/$P1673</f>
      </c>
      <c r="R1673" s="7">
        <f>O1673/$P1673</f>
      </c>
      <c r="S1673" s="8">
        <f>Q1673^2+R1673^2</f>
      </c>
      <c r="T1673" s="7">
        <f>-R1673</f>
      </c>
      <c r="U1673" s="7">
        <f>Q1673</f>
      </c>
      <c r="V1673" s="7">
        <f>($C$14+($C$15-$C$14)/($D$15-$D$14)*(I1673-$D$14))/2</f>
      </c>
      <c r="W1673" s="7">
        <f>($B$22*I1673^4+$C$22*I1673^3+$D$22*I1673^2+$E$22*I1673+$F$22)/2</f>
      </c>
      <c r="X1673" s="7">
        <f>($W1673)*(T1673)</f>
      </c>
      <c r="Y1673" s="7">
        <f>($W1673)*(U1673)</f>
      </c>
      <c r="Z1673" s="7">
        <f>SQRT(X1673^2+Y1673^2)</f>
      </c>
      <c r="AA1673" s="7">
        <f>$K1673+$X1673</f>
      </c>
      <c r="AB1673" s="7">
        <f>$L1673+$Y1673</f>
      </c>
      <c r="AC1673" s="7">
        <f>$K1673-$X1673</f>
      </c>
      <c r="AD1673" s="7">
        <f>$L1673-$Y1673</f>
      </c>
      <c r="AE1673" s="7">
        <f>AA1673/39.3701</f>
      </c>
      <c r="AF1673" s="7">
        <f>AB1673/39.3701</f>
      </c>
      <c r="AG1673" s="7">
        <f>AC1673/39.3701</f>
      </c>
      <c r="AH1673" s="7">
        <f>AD1673/39.3701</f>
      </c>
      <c r="AI1673" s="1"/>
      <c r="AJ1673" s="1"/>
      <c r="AK1673" s="1"/>
      <c r="AL1673" s="1"/>
      <c r="AM1673" s="2"/>
      <c r="AN1673" s="1"/>
      <c r="AO1673" s="1"/>
      <c r="AP1673" s="1"/>
      <c r="AQ1673" s="1"/>
      <c r="AR1673" s="1"/>
      <c r="AS1673" s="1"/>
      <c r="AT1673" s="1"/>
      <c r="AU1673" s="1"/>
      <c r="AV1673" s="1"/>
      <c r="AW1673" s="1"/>
      <c r="AX1673" s="1"/>
      <c r="AY1673" s="1"/>
      <c r="AZ1673" s="1"/>
      <c r="BA1673" s="1"/>
      <c r="BB1673" s="1"/>
      <c r="BC1673" s="1"/>
      <c r="BD1673" s="1"/>
      <c r="BE1673" s="1"/>
    </row>
    <row x14ac:dyDescent="0.25" r="1674" customHeight="1" ht="18.75">
      <c r="A1674" s="1"/>
      <c r="B1674" s="2"/>
      <c r="C1674" s="2"/>
      <c r="D1674" s="2"/>
      <c r="E1674" s="2"/>
      <c r="F1674" s="2"/>
      <c r="G1674" s="1"/>
      <c r="H1674" s="1"/>
      <c r="I1674" s="7">
        <v>1.671</v>
      </c>
      <c r="J1674" s="7">
        <f>IF((I1674-ROUNDDOWN(I1674,0))=0, 0, (I1674-ROUNDDOWN(I1674,0)))</f>
      </c>
      <c r="K1674" s="7">
        <f>INDIRECT("C$"&amp;2+MIN(2,ROUNDDOWN(I1674,0))*3)*(-$J1674^3+3*$J1674^2-3*$J1674+1)+INDIRECT("C$"&amp;3+MIN(2,ROUNDDOWN(I1674,0))*3)*(3*$J1674^3-6*$J1674^2+3*$J1674)+INDIRECT("C$"&amp;4+MIN(2,ROUNDDOWN(I1674,0))*3)*(-3*$J1674^3+3*$J1674^2)+INDIRECT("C$"&amp;5+MIN(2,ROUNDDOWN(I1674,0))*3)*$J1674^3</f>
      </c>
      <c r="L1674" s="7">
        <f>INDIRECT("D$"&amp;2+MIN(2,ROUNDDOWN(I1674,0))*3)*(-$J1674^3+3*$J1674^2-3*$J1674+1)+INDIRECT("D$"&amp;3+MIN(2,ROUNDDOWN(I1674,0))*3)*(3*$J1674^3-6*$J1674^2+3*$J1674)+INDIRECT("D$"&amp;4+MIN(2,ROUNDDOWN(I1674,0))*3)*(-3*$J1674^3+3*$J1674^2)+INDIRECT("D$"&amp;5+MIN(2,ROUNDDOWN(I1674,0))*3)*$J1674^3</f>
      </c>
      <c r="M1674" s="7">
        <f>SQRT(K1674^2+L1674^2)</f>
      </c>
      <c r="N1674" s="7">
        <f>(K1675-K1673)</f>
      </c>
      <c r="O1674" s="7">
        <f>+(L1675-L1673)</f>
      </c>
      <c r="P1674" s="7">
        <f>SQRT(O1674^2+N1674^2)</f>
      </c>
      <c r="Q1674" s="7">
        <f>N1674/$P1674</f>
      </c>
      <c r="R1674" s="7">
        <f>O1674/$P1674</f>
      </c>
      <c r="S1674" s="8">
        <f>Q1674^2+R1674^2</f>
      </c>
      <c r="T1674" s="7">
        <f>-R1674</f>
      </c>
      <c r="U1674" s="7">
        <f>Q1674</f>
      </c>
      <c r="V1674" s="7">
        <f>($C$14+($C$15-$C$14)/($D$15-$D$14)*(I1674-$D$14))/2</f>
      </c>
      <c r="W1674" s="7">
        <f>($B$22*I1674^4+$C$22*I1674^3+$D$22*I1674^2+$E$22*I1674+$F$22)/2</f>
      </c>
      <c r="X1674" s="7">
        <f>($W1674)*(T1674)</f>
      </c>
      <c r="Y1674" s="7">
        <f>($W1674)*(U1674)</f>
      </c>
      <c r="Z1674" s="7">
        <f>SQRT(X1674^2+Y1674^2)</f>
      </c>
      <c r="AA1674" s="7">
        <f>$K1674+$X1674</f>
      </c>
      <c r="AB1674" s="7">
        <f>$L1674+$Y1674</f>
      </c>
      <c r="AC1674" s="7">
        <f>$K1674-$X1674</f>
      </c>
      <c r="AD1674" s="7">
        <f>$L1674-$Y1674</f>
      </c>
      <c r="AE1674" s="7">
        <f>AA1674/39.3701</f>
      </c>
      <c r="AF1674" s="7">
        <f>AB1674/39.3701</f>
      </c>
      <c r="AG1674" s="7">
        <f>AC1674/39.3701</f>
      </c>
      <c r="AH1674" s="7">
        <f>AD1674/39.3701</f>
      </c>
      <c r="AI1674" s="1"/>
      <c r="AJ1674" s="1"/>
      <c r="AK1674" s="1"/>
      <c r="AL1674" s="1"/>
      <c r="AM1674" s="2"/>
      <c r="AN1674" s="1"/>
      <c r="AO1674" s="1"/>
      <c r="AP1674" s="1"/>
      <c r="AQ1674" s="1"/>
      <c r="AR1674" s="1"/>
      <c r="AS1674" s="1"/>
      <c r="AT1674" s="1"/>
      <c r="AU1674" s="1"/>
      <c r="AV1674" s="1"/>
      <c r="AW1674" s="1"/>
      <c r="AX1674" s="1"/>
      <c r="AY1674" s="1"/>
      <c r="AZ1674" s="1"/>
      <c r="BA1674" s="1"/>
      <c r="BB1674" s="1"/>
      <c r="BC1674" s="1"/>
      <c r="BD1674" s="1"/>
      <c r="BE1674" s="1"/>
    </row>
    <row x14ac:dyDescent="0.25" r="1675" customHeight="1" ht="18.75">
      <c r="A1675" s="1"/>
      <c r="B1675" s="2"/>
      <c r="C1675" s="2"/>
      <c r="D1675" s="2"/>
      <c r="E1675" s="2"/>
      <c r="F1675" s="2"/>
      <c r="G1675" s="1"/>
      <c r="H1675" s="1"/>
      <c r="I1675" s="7">
        <v>1.672</v>
      </c>
      <c r="J1675" s="7">
        <f>IF((I1675-ROUNDDOWN(I1675,0))=0, 0, (I1675-ROUNDDOWN(I1675,0)))</f>
      </c>
      <c r="K1675" s="7">
        <f>INDIRECT("C$"&amp;2+MIN(2,ROUNDDOWN(I1675,0))*3)*(-$J1675^3+3*$J1675^2-3*$J1675+1)+INDIRECT("C$"&amp;3+MIN(2,ROUNDDOWN(I1675,0))*3)*(3*$J1675^3-6*$J1675^2+3*$J1675)+INDIRECT("C$"&amp;4+MIN(2,ROUNDDOWN(I1675,0))*3)*(-3*$J1675^3+3*$J1675^2)+INDIRECT("C$"&amp;5+MIN(2,ROUNDDOWN(I1675,0))*3)*$J1675^3</f>
      </c>
      <c r="L1675" s="7">
        <f>INDIRECT("D$"&amp;2+MIN(2,ROUNDDOWN(I1675,0))*3)*(-$J1675^3+3*$J1675^2-3*$J1675+1)+INDIRECT("D$"&amp;3+MIN(2,ROUNDDOWN(I1675,0))*3)*(3*$J1675^3-6*$J1675^2+3*$J1675)+INDIRECT("D$"&amp;4+MIN(2,ROUNDDOWN(I1675,0))*3)*(-3*$J1675^3+3*$J1675^2)+INDIRECT("D$"&amp;5+MIN(2,ROUNDDOWN(I1675,0))*3)*$J1675^3</f>
      </c>
      <c r="M1675" s="7">
        <f>SQRT(K1675^2+L1675^2)</f>
      </c>
      <c r="N1675" s="7">
        <f>(K1676-K1674)</f>
      </c>
      <c r="O1675" s="7">
        <f>+(L1676-L1674)</f>
      </c>
      <c r="P1675" s="7">
        <f>SQRT(O1675^2+N1675^2)</f>
      </c>
      <c r="Q1675" s="7">
        <f>N1675/$P1675</f>
      </c>
      <c r="R1675" s="7">
        <f>O1675/$P1675</f>
      </c>
      <c r="S1675" s="7">
        <f>Q1675^2+R1675^2</f>
      </c>
      <c r="T1675" s="7">
        <f>-R1675</f>
      </c>
      <c r="U1675" s="7">
        <f>Q1675</f>
      </c>
      <c r="V1675" s="7">
        <f>($C$14+($C$15-$C$14)/($D$15-$D$14)*(I1675-$D$14))/2</f>
      </c>
      <c r="W1675" s="7">
        <f>($B$22*I1675^4+$C$22*I1675^3+$D$22*I1675^2+$E$22*I1675+$F$22)/2</f>
      </c>
      <c r="X1675" s="7">
        <f>($W1675)*(T1675)</f>
      </c>
      <c r="Y1675" s="7">
        <f>($W1675)*(U1675)</f>
      </c>
      <c r="Z1675" s="7">
        <f>SQRT(X1675^2+Y1675^2)</f>
      </c>
      <c r="AA1675" s="7">
        <f>$K1675+$X1675</f>
      </c>
      <c r="AB1675" s="7">
        <f>$L1675+$Y1675</f>
      </c>
      <c r="AC1675" s="7">
        <f>$K1675-$X1675</f>
      </c>
      <c r="AD1675" s="7">
        <f>$L1675-$Y1675</f>
      </c>
      <c r="AE1675" s="7">
        <f>AA1675/39.3701</f>
      </c>
      <c r="AF1675" s="7">
        <f>AB1675/39.3701</f>
      </c>
      <c r="AG1675" s="7">
        <f>AC1675/39.3701</f>
      </c>
      <c r="AH1675" s="7">
        <f>AD1675/39.3701</f>
      </c>
      <c r="AI1675" s="1"/>
      <c r="AJ1675" s="1"/>
      <c r="AK1675" s="1"/>
      <c r="AL1675" s="1"/>
      <c r="AM1675" s="2"/>
      <c r="AN1675" s="1"/>
      <c r="AO1675" s="1"/>
      <c r="AP1675" s="1"/>
      <c r="AQ1675" s="1"/>
      <c r="AR1675" s="1"/>
      <c r="AS1675" s="1"/>
      <c r="AT1675" s="1"/>
      <c r="AU1675" s="1"/>
      <c r="AV1675" s="1"/>
      <c r="AW1675" s="1"/>
      <c r="AX1675" s="1"/>
      <c r="AY1675" s="1"/>
      <c r="AZ1675" s="1"/>
      <c r="BA1675" s="1"/>
      <c r="BB1675" s="1"/>
      <c r="BC1675" s="1"/>
      <c r="BD1675" s="1"/>
      <c r="BE1675" s="1"/>
    </row>
    <row x14ac:dyDescent="0.25" r="1676" customHeight="1" ht="18.75">
      <c r="A1676" s="1"/>
      <c r="B1676" s="2"/>
      <c r="C1676" s="2"/>
      <c r="D1676" s="2"/>
      <c r="E1676" s="2"/>
      <c r="F1676" s="2"/>
      <c r="G1676" s="1"/>
      <c r="H1676" s="1"/>
      <c r="I1676" s="7">
        <v>1.673</v>
      </c>
      <c r="J1676" s="7">
        <f>IF((I1676-ROUNDDOWN(I1676,0))=0, 0, (I1676-ROUNDDOWN(I1676,0)))</f>
      </c>
      <c r="K1676" s="7">
        <f>INDIRECT("C$"&amp;2+MIN(2,ROUNDDOWN(I1676,0))*3)*(-$J1676^3+3*$J1676^2-3*$J1676+1)+INDIRECT("C$"&amp;3+MIN(2,ROUNDDOWN(I1676,0))*3)*(3*$J1676^3-6*$J1676^2+3*$J1676)+INDIRECT("C$"&amp;4+MIN(2,ROUNDDOWN(I1676,0))*3)*(-3*$J1676^3+3*$J1676^2)+INDIRECT("C$"&amp;5+MIN(2,ROUNDDOWN(I1676,0))*3)*$J1676^3</f>
      </c>
      <c r="L1676" s="7">
        <f>INDIRECT("D$"&amp;2+MIN(2,ROUNDDOWN(I1676,0))*3)*(-$J1676^3+3*$J1676^2-3*$J1676+1)+INDIRECT("D$"&amp;3+MIN(2,ROUNDDOWN(I1676,0))*3)*(3*$J1676^3-6*$J1676^2+3*$J1676)+INDIRECT("D$"&amp;4+MIN(2,ROUNDDOWN(I1676,0))*3)*(-3*$J1676^3+3*$J1676^2)+INDIRECT("D$"&amp;5+MIN(2,ROUNDDOWN(I1676,0))*3)*$J1676^3</f>
      </c>
      <c r="M1676" s="7">
        <f>SQRT(K1676^2+L1676^2)</f>
      </c>
      <c r="N1676" s="7">
        <f>(K1677-K1675)</f>
      </c>
      <c r="O1676" s="7">
        <f>+(L1677-L1675)</f>
      </c>
      <c r="P1676" s="7">
        <f>SQRT(O1676^2+N1676^2)</f>
      </c>
      <c r="Q1676" s="7">
        <f>N1676/$P1676</f>
      </c>
      <c r="R1676" s="7">
        <f>O1676/$P1676</f>
      </c>
      <c r="S1676" s="7">
        <f>Q1676^2+R1676^2</f>
      </c>
      <c r="T1676" s="7">
        <f>-R1676</f>
      </c>
      <c r="U1676" s="7">
        <f>Q1676</f>
      </c>
      <c r="V1676" s="7">
        <f>($C$14+($C$15-$C$14)/($D$15-$D$14)*(I1676-$D$14))/2</f>
      </c>
      <c r="W1676" s="7">
        <f>($B$22*I1676^4+$C$22*I1676^3+$D$22*I1676^2+$E$22*I1676+$F$22)/2</f>
      </c>
      <c r="X1676" s="7">
        <f>($W1676)*(T1676)</f>
      </c>
      <c r="Y1676" s="7">
        <f>($W1676)*(U1676)</f>
      </c>
      <c r="Z1676" s="7">
        <f>SQRT(X1676^2+Y1676^2)</f>
      </c>
      <c r="AA1676" s="7">
        <f>$K1676+$X1676</f>
      </c>
      <c r="AB1676" s="7">
        <f>$L1676+$Y1676</f>
      </c>
      <c r="AC1676" s="7">
        <f>$K1676-$X1676</f>
      </c>
      <c r="AD1676" s="7">
        <f>$L1676-$Y1676</f>
      </c>
      <c r="AE1676" s="7">
        <f>AA1676/39.3701</f>
      </c>
      <c r="AF1676" s="7">
        <f>AB1676/39.3701</f>
      </c>
      <c r="AG1676" s="7">
        <f>AC1676/39.3701</f>
      </c>
      <c r="AH1676" s="7">
        <f>AD1676/39.3701</f>
      </c>
      <c r="AI1676" s="1"/>
      <c r="AJ1676" s="1"/>
      <c r="AK1676" s="1"/>
      <c r="AL1676" s="1"/>
      <c r="AM1676" s="2"/>
      <c r="AN1676" s="1"/>
      <c r="AO1676" s="1"/>
      <c r="AP1676" s="1"/>
      <c r="AQ1676" s="1"/>
      <c r="AR1676" s="1"/>
      <c r="AS1676" s="1"/>
      <c r="AT1676" s="1"/>
      <c r="AU1676" s="1"/>
      <c r="AV1676" s="1"/>
      <c r="AW1676" s="1"/>
      <c r="AX1676" s="1"/>
      <c r="AY1676" s="1"/>
      <c r="AZ1676" s="1"/>
      <c r="BA1676" s="1"/>
      <c r="BB1676" s="1"/>
      <c r="BC1676" s="1"/>
      <c r="BD1676" s="1"/>
      <c r="BE1676" s="1"/>
    </row>
    <row x14ac:dyDescent="0.25" r="1677" customHeight="1" ht="18.75">
      <c r="A1677" s="1"/>
      <c r="B1677" s="2"/>
      <c r="C1677" s="2"/>
      <c r="D1677" s="2"/>
      <c r="E1677" s="2"/>
      <c r="F1677" s="2"/>
      <c r="G1677" s="1"/>
      <c r="H1677" s="1"/>
      <c r="I1677" s="7">
        <v>1.674</v>
      </c>
      <c r="J1677" s="7">
        <f>IF((I1677-ROUNDDOWN(I1677,0))=0, 0, (I1677-ROUNDDOWN(I1677,0)))</f>
      </c>
      <c r="K1677" s="7">
        <f>INDIRECT("C$"&amp;2+MIN(2,ROUNDDOWN(I1677,0))*3)*(-$J1677^3+3*$J1677^2-3*$J1677+1)+INDIRECT("C$"&amp;3+MIN(2,ROUNDDOWN(I1677,0))*3)*(3*$J1677^3-6*$J1677^2+3*$J1677)+INDIRECT("C$"&amp;4+MIN(2,ROUNDDOWN(I1677,0))*3)*(-3*$J1677^3+3*$J1677^2)+INDIRECT("C$"&amp;5+MIN(2,ROUNDDOWN(I1677,0))*3)*$J1677^3</f>
      </c>
      <c r="L1677" s="7">
        <f>INDIRECT("D$"&amp;2+MIN(2,ROUNDDOWN(I1677,0))*3)*(-$J1677^3+3*$J1677^2-3*$J1677+1)+INDIRECT("D$"&amp;3+MIN(2,ROUNDDOWN(I1677,0))*3)*(3*$J1677^3-6*$J1677^2+3*$J1677)+INDIRECT("D$"&amp;4+MIN(2,ROUNDDOWN(I1677,0))*3)*(-3*$J1677^3+3*$J1677^2)+INDIRECT("D$"&amp;5+MIN(2,ROUNDDOWN(I1677,0))*3)*$J1677^3</f>
      </c>
      <c r="M1677" s="7">
        <f>SQRT(K1677^2+L1677^2)</f>
      </c>
      <c r="N1677" s="7">
        <f>(K1678-K1676)</f>
      </c>
      <c r="O1677" s="7">
        <f>+(L1678-L1676)</f>
      </c>
      <c r="P1677" s="7">
        <f>SQRT(O1677^2+N1677^2)</f>
      </c>
      <c r="Q1677" s="7">
        <f>N1677/$P1677</f>
      </c>
      <c r="R1677" s="7">
        <f>O1677/$P1677</f>
      </c>
      <c r="S1677" s="8">
        <f>Q1677^2+R1677^2</f>
      </c>
      <c r="T1677" s="7">
        <f>-R1677</f>
      </c>
      <c r="U1677" s="7">
        <f>Q1677</f>
      </c>
      <c r="V1677" s="7">
        <f>($C$14+($C$15-$C$14)/($D$15-$D$14)*(I1677-$D$14))/2</f>
      </c>
      <c r="W1677" s="7">
        <f>($B$22*I1677^4+$C$22*I1677^3+$D$22*I1677^2+$E$22*I1677+$F$22)/2</f>
      </c>
      <c r="X1677" s="7">
        <f>($W1677)*(T1677)</f>
      </c>
      <c r="Y1677" s="7">
        <f>($W1677)*(U1677)</f>
      </c>
      <c r="Z1677" s="7">
        <f>SQRT(X1677^2+Y1677^2)</f>
      </c>
      <c r="AA1677" s="7">
        <f>$K1677+$X1677</f>
      </c>
      <c r="AB1677" s="7">
        <f>$L1677+$Y1677</f>
      </c>
      <c r="AC1677" s="7">
        <f>$K1677-$X1677</f>
      </c>
      <c r="AD1677" s="7">
        <f>$L1677-$Y1677</f>
      </c>
      <c r="AE1677" s="7">
        <f>AA1677/39.3701</f>
      </c>
      <c r="AF1677" s="7">
        <f>AB1677/39.3701</f>
      </c>
      <c r="AG1677" s="7">
        <f>AC1677/39.3701</f>
      </c>
      <c r="AH1677" s="7">
        <f>AD1677/39.3701</f>
      </c>
      <c r="AI1677" s="1"/>
      <c r="AJ1677" s="1"/>
      <c r="AK1677" s="1"/>
      <c r="AL1677" s="1"/>
      <c r="AM1677" s="2"/>
      <c r="AN1677" s="1"/>
      <c r="AO1677" s="1"/>
      <c r="AP1677" s="1"/>
      <c r="AQ1677" s="1"/>
      <c r="AR1677" s="1"/>
      <c r="AS1677" s="1"/>
      <c r="AT1677" s="1"/>
      <c r="AU1677" s="1"/>
      <c r="AV1677" s="1"/>
      <c r="AW1677" s="1"/>
      <c r="AX1677" s="1"/>
      <c r="AY1677" s="1"/>
      <c r="AZ1677" s="1"/>
      <c r="BA1677" s="1"/>
      <c r="BB1677" s="1"/>
      <c r="BC1677" s="1"/>
      <c r="BD1677" s="1"/>
      <c r="BE1677" s="1"/>
    </row>
    <row x14ac:dyDescent="0.25" r="1678" customHeight="1" ht="18.75">
      <c r="A1678" s="1"/>
      <c r="B1678" s="2"/>
      <c r="C1678" s="2"/>
      <c r="D1678" s="2"/>
      <c r="E1678" s="2"/>
      <c r="F1678" s="2"/>
      <c r="G1678" s="1"/>
      <c r="H1678" s="1"/>
      <c r="I1678" s="7">
        <v>1.675</v>
      </c>
      <c r="J1678" s="7">
        <f>IF((I1678-ROUNDDOWN(I1678,0))=0, 0, (I1678-ROUNDDOWN(I1678,0)))</f>
      </c>
      <c r="K1678" s="7">
        <f>INDIRECT("C$"&amp;2+MIN(2,ROUNDDOWN(I1678,0))*3)*(-$J1678^3+3*$J1678^2-3*$J1678+1)+INDIRECT("C$"&amp;3+MIN(2,ROUNDDOWN(I1678,0))*3)*(3*$J1678^3-6*$J1678^2+3*$J1678)+INDIRECT("C$"&amp;4+MIN(2,ROUNDDOWN(I1678,0))*3)*(-3*$J1678^3+3*$J1678^2)+INDIRECT("C$"&amp;5+MIN(2,ROUNDDOWN(I1678,0))*3)*$J1678^3</f>
      </c>
      <c r="L1678" s="7">
        <f>INDIRECT("D$"&amp;2+MIN(2,ROUNDDOWN(I1678,0))*3)*(-$J1678^3+3*$J1678^2-3*$J1678+1)+INDIRECT("D$"&amp;3+MIN(2,ROUNDDOWN(I1678,0))*3)*(3*$J1678^3-6*$J1678^2+3*$J1678)+INDIRECT("D$"&amp;4+MIN(2,ROUNDDOWN(I1678,0))*3)*(-3*$J1678^3+3*$J1678^2)+INDIRECT("D$"&amp;5+MIN(2,ROUNDDOWN(I1678,0))*3)*$J1678^3</f>
      </c>
      <c r="M1678" s="7">
        <f>SQRT(K1678^2+L1678^2)</f>
      </c>
      <c r="N1678" s="7">
        <f>(K1679-K1677)</f>
      </c>
      <c r="O1678" s="7">
        <f>+(L1679-L1677)</f>
      </c>
      <c r="P1678" s="7">
        <f>SQRT(O1678^2+N1678^2)</f>
      </c>
      <c r="Q1678" s="7">
        <f>N1678/$P1678</f>
      </c>
      <c r="R1678" s="7">
        <f>O1678/$P1678</f>
      </c>
      <c r="S1678" s="7">
        <f>Q1678^2+R1678^2</f>
      </c>
      <c r="T1678" s="7">
        <f>-R1678</f>
      </c>
      <c r="U1678" s="7">
        <f>Q1678</f>
      </c>
      <c r="V1678" s="7">
        <f>($C$14+($C$15-$C$14)/($D$15-$D$14)*(I1678-$D$14))/2</f>
      </c>
      <c r="W1678" s="7">
        <f>($B$22*I1678^4+$C$22*I1678^3+$D$22*I1678^2+$E$22*I1678+$F$22)/2</f>
      </c>
      <c r="X1678" s="7">
        <f>($W1678)*(T1678)</f>
      </c>
      <c r="Y1678" s="7">
        <f>($W1678)*(U1678)</f>
      </c>
      <c r="Z1678" s="7">
        <f>SQRT(X1678^2+Y1678^2)</f>
      </c>
      <c r="AA1678" s="7">
        <f>$K1678+$X1678</f>
      </c>
      <c r="AB1678" s="7">
        <f>$L1678+$Y1678</f>
      </c>
      <c r="AC1678" s="7">
        <f>$K1678-$X1678</f>
      </c>
      <c r="AD1678" s="7">
        <f>$L1678-$Y1678</f>
      </c>
      <c r="AE1678" s="7">
        <f>AA1678/39.3701</f>
      </c>
      <c r="AF1678" s="7">
        <f>AB1678/39.3701</f>
      </c>
      <c r="AG1678" s="7">
        <f>AC1678/39.3701</f>
      </c>
      <c r="AH1678" s="7">
        <f>AD1678/39.3701</f>
      </c>
      <c r="AI1678" s="1"/>
      <c r="AJ1678" s="1"/>
      <c r="AK1678" s="1"/>
      <c r="AL1678" s="1"/>
      <c r="AM1678" s="2"/>
      <c r="AN1678" s="1"/>
      <c r="AO1678" s="1"/>
      <c r="AP1678" s="1"/>
      <c r="AQ1678" s="1"/>
      <c r="AR1678" s="1"/>
      <c r="AS1678" s="1"/>
      <c r="AT1678" s="1"/>
      <c r="AU1678" s="1"/>
      <c r="AV1678" s="1"/>
      <c r="AW1678" s="1"/>
      <c r="AX1678" s="1"/>
      <c r="AY1678" s="1"/>
      <c r="AZ1678" s="1"/>
      <c r="BA1678" s="1"/>
      <c r="BB1678" s="1"/>
      <c r="BC1678" s="1"/>
      <c r="BD1678" s="1"/>
      <c r="BE1678" s="1"/>
    </row>
    <row x14ac:dyDescent="0.25" r="1679" customHeight="1" ht="18.75">
      <c r="A1679" s="1"/>
      <c r="B1679" s="2"/>
      <c r="C1679" s="2"/>
      <c r="D1679" s="2"/>
      <c r="E1679" s="2"/>
      <c r="F1679" s="2"/>
      <c r="G1679" s="1"/>
      <c r="H1679" s="1"/>
      <c r="I1679" s="7">
        <v>1.676</v>
      </c>
      <c r="J1679" s="7">
        <f>IF((I1679-ROUNDDOWN(I1679,0))=0, 0, (I1679-ROUNDDOWN(I1679,0)))</f>
      </c>
      <c r="K1679" s="7">
        <f>INDIRECT("C$"&amp;2+MIN(2,ROUNDDOWN(I1679,0))*3)*(-$J1679^3+3*$J1679^2-3*$J1679+1)+INDIRECT("C$"&amp;3+MIN(2,ROUNDDOWN(I1679,0))*3)*(3*$J1679^3-6*$J1679^2+3*$J1679)+INDIRECT("C$"&amp;4+MIN(2,ROUNDDOWN(I1679,0))*3)*(-3*$J1679^3+3*$J1679^2)+INDIRECT("C$"&amp;5+MIN(2,ROUNDDOWN(I1679,0))*3)*$J1679^3</f>
      </c>
      <c r="L1679" s="7">
        <f>INDIRECT("D$"&amp;2+MIN(2,ROUNDDOWN(I1679,0))*3)*(-$J1679^3+3*$J1679^2-3*$J1679+1)+INDIRECT("D$"&amp;3+MIN(2,ROUNDDOWN(I1679,0))*3)*(3*$J1679^3-6*$J1679^2+3*$J1679)+INDIRECT("D$"&amp;4+MIN(2,ROUNDDOWN(I1679,0))*3)*(-3*$J1679^3+3*$J1679^2)+INDIRECT("D$"&amp;5+MIN(2,ROUNDDOWN(I1679,0))*3)*$J1679^3</f>
      </c>
      <c r="M1679" s="7">
        <f>SQRT(K1679^2+L1679^2)</f>
      </c>
      <c r="N1679" s="7">
        <f>(K1680-K1678)</f>
      </c>
      <c r="O1679" s="7">
        <f>+(L1680-L1678)</f>
      </c>
      <c r="P1679" s="7">
        <f>SQRT(O1679^2+N1679^2)</f>
      </c>
      <c r="Q1679" s="7">
        <f>N1679/$P1679</f>
      </c>
      <c r="R1679" s="7">
        <f>O1679/$P1679</f>
      </c>
      <c r="S1679" s="7">
        <f>Q1679^2+R1679^2</f>
      </c>
      <c r="T1679" s="7">
        <f>-R1679</f>
      </c>
      <c r="U1679" s="7">
        <f>Q1679</f>
      </c>
      <c r="V1679" s="7">
        <f>($C$14+($C$15-$C$14)/($D$15-$D$14)*(I1679-$D$14))/2</f>
      </c>
      <c r="W1679" s="7">
        <f>($B$22*I1679^4+$C$22*I1679^3+$D$22*I1679^2+$E$22*I1679+$F$22)/2</f>
      </c>
      <c r="X1679" s="7">
        <f>($W1679)*(T1679)</f>
      </c>
      <c r="Y1679" s="7">
        <f>($W1679)*(U1679)</f>
      </c>
      <c r="Z1679" s="7">
        <f>SQRT(X1679^2+Y1679^2)</f>
      </c>
      <c r="AA1679" s="7">
        <f>$K1679+$X1679</f>
      </c>
      <c r="AB1679" s="7">
        <f>$L1679+$Y1679</f>
      </c>
      <c r="AC1679" s="7">
        <f>$K1679-$X1679</f>
      </c>
      <c r="AD1679" s="7">
        <f>$L1679-$Y1679</f>
      </c>
      <c r="AE1679" s="7">
        <f>AA1679/39.3701</f>
      </c>
      <c r="AF1679" s="7">
        <f>AB1679/39.3701</f>
      </c>
      <c r="AG1679" s="7">
        <f>AC1679/39.3701</f>
      </c>
      <c r="AH1679" s="7">
        <f>AD1679/39.3701</f>
      </c>
      <c r="AI1679" s="1"/>
      <c r="AJ1679" s="1"/>
      <c r="AK1679" s="1"/>
      <c r="AL1679" s="1"/>
      <c r="AM1679" s="2"/>
      <c r="AN1679" s="1"/>
      <c r="AO1679" s="1"/>
      <c r="AP1679" s="1"/>
      <c r="AQ1679" s="1"/>
      <c r="AR1679" s="1"/>
      <c r="AS1679" s="1"/>
      <c r="AT1679" s="1"/>
      <c r="AU1679" s="1"/>
      <c r="AV1679" s="1"/>
      <c r="AW1679" s="1"/>
      <c r="AX1679" s="1"/>
      <c r="AY1679" s="1"/>
      <c r="AZ1679" s="1"/>
      <c r="BA1679" s="1"/>
      <c r="BB1679" s="1"/>
      <c r="BC1679" s="1"/>
      <c r="BD1679" s="1"/>
      <c r="BE1679" s="1"/>
    </row>
    <row x14ac:dyDescent="0.25" r="1680" customHeight="1" ht="18.75">
      <c r="A1680" s="1"/>
      <c r="B1680" s="2"/>
      <c r="C1680" s="2"/>
      <c r="D1680" s="2"/>
      <c r="E1680" s="2"/>
      <c r="F1680" s="2"/>
      <c r="G1680" s="1"/>
      <c r="H1680" s="1"/>
      <c r="I1680" s="7">
        <v>1.677</v>
      </c>
      <c r="J1680" s="7">
        <f>IF((I1680-ROUNDDOWN(I1680,0))=0, 0, (I1680-ROUNDDOWN(I1680,0)))</f>
      </c>
      <c r="K1680" s="7">
        <f>INDIRECT("C$"&amp;2+MIN(2,ROUNDDOWN(I1680,0))*3)*(-$J1680^3+3*$J1680^2-3*$J1680+1)+INDIRECT("C$"&amp;3+MIN(2,ROUNDDOWN(I1680,0))*3)*(3*$J1680^3-6*$J1680^2+3*$J1680)+INDIRECT("C$"&amp;4+MIN(2,ROUNDDOWN(I1680,0))*3)*(-3*$J1680^3+3*$J1680^2)+INDIRECT("C$"&amp;5+MIN(2,ROUNDDOWN(I1680,0))*3)*$J1680^3</f>
      </c>
      <c r="L1680" s="7">
        <f>INDIRECT("D$"&amp;2+MIN(2,ROUNDDOWN(I1680,0))*3)*(-$J1680^3+3*$J1680^2-3*$J1680+1)+INDIRECT("D$"&amp;3+MIN(2,ROUNDDOWN(I1680,0))*3)*(3*$J1680^3-6*$J1680^2+3*$J1680)+INDIRECT("D$"&amp;4+MIN(2,ROUNDDOWN(I1680,0))*3)*(-3*$J1680^3+3*$J1680^2)+INDIRECT("D$"&amp;5+MIN(2,ROUNDDOWN(I1680,0))*3)*$J1680^3</f>
      </c>
      <c r="M1680" s="7">
        <f>SQRT(K1680^2+L1680^2)</f>
      </c>
      <c r="N1680" s="7">
        <f>(K1681-K1679)</f>
      </c>
      <c r="O1680" s="7">
        <f>+(L1681-L1679)</f>
      </c>
      <c r="P1680" s="7">
        <f>SQRT(O1680^2+N1680^2)</f>
      </c>
      <c r="Q1680" s="7">
        <f>N1680/$P1680</f>
      </c>
      <c r="R1680" s="7">
        <f>O1680/$P1680</f>
      </c>
      <c r="S1680" s="7">
        <f>Q1680^2+R1680^2</f>
      </c>
      <c r="T1680" s="7">
        <f>-R1680</f>
      </c>
      <c r="U1680" s="7">
        <f>Q1680</f>
      </c>
      <c r="V1680" s="7">
        <f>($C$14+($C$15-$C$14)/($D$15-$D$14)*(I1680-$D$14))/2</f>
      </c>
      <c r="W1680" s="7">
        <f>($B$22*I1680^4+$C$22*I1680^3+$D$22*I1680^2+$E$22*I1680+$F$22)/2</f>
      </c>
      <c r="X1680" s="7">
        <f>($W1680)*(T1680)</f>
      </c>
      <c r="Y1680" s="7">
        <f>($W1680)*(U1680)</f>
      </c>
      <c r="Z1680" s="7">
        <f>SQRT(X1680^2+Y1680^2)</f>
      </c>
      <c r="AA1680" s="7">
        <f>$K1680+$X1680</f>
      </c>
      <c r="AB1680" s="7">
        <f>$L1680+$Y1680</f>
      </c>
      <c r="AC1680" s="7">
        <f>$K1680-$X1680</f>
      </c>
      <c r="AD1680" s="7">
        <f>$L1680-$Y1680</f>
      </c>
      <c r="AE1680" s="7">
        <f>AA1680/39.3701</f>
      </c>
      <c r="AF1680" s="7">
        <f>AB1680/39.3701</f>
      </c>
      <c r="AG1680" s="7">
        <f>AC1680/39.3701</f>
      </c>
      <c r="AH1680" s="7">
        <f>AD1680/39.3701</f>
      </c>
      <c r="AI1680" s="1"/>
      <c r="AJ1680" s="1"/>
      <c r="AK1680" s="1"/>
      <c r="AL1680" s="1"/>
      <c r="AM1680" s="2"/>
      <c r="AN1680" s="1"/>
      <c r="AO1680" s="1"/>
      <c r="AP1680" s="1"/>
      <c r="AQ1680" s="1"/>
      <c r="AR1680" s="1"/>
      <c r="AS1680" s="1"/>
      <c r="AT1680" s="1"/>
      <c r="AU1680" s="1"/>
      <c r="AV1680" s="1"/>
      <c r="AW1680" s="1"/>
      <c r="AX1680" s="1"/>
      <c r="AY1680" s="1"/>
      <c r="AZ1680" s="1"/>
      <c r="BA1680" s="1"/>
      <c r="BB1680" s="1"/>
      <c r="BC1680" s="1"/>
      <c r="BD1680" s="1"/>
      <c r="BE1680" s="1"/>
    </row>
    <row x14ac:dyDescent="0.25" r="1681" customHeight="1" ht="18.75">
      <c r="A1681" s="1"/>
      <c r="B1681" s="2"/>
      <c r="C1681" s="2"/>
      <c r="D1681" s="2"/>
      <c r="E1681" s="2"/>
      <c r="F1681" s="2"/>
      <c r="G1681" s="1"/>
      <c r="H1681" s="1"/>
      <c r="I1681" s="7">
        <v>1.678</v>
      </c>
      <c r="J1681" s="7">
        <f>IF((I1681-ROUNDDOWN(I1681,0))=0, 0, (I1681-ROUNDDOWN(I1681,0)))</f>
      </c>
      <c r="K1681" s="7">
        <f>INDIRECT("C$"&amp;2+MIN(2,ROUNDDOWN(I1681,0))*3)*(-$J1681^3+3*$J1681^2-3*$J1681+1)+INDIRECT("C$"&amp;3+MIN(2,ROUNDDOWN(I1681,0))*3)*(3*$J1681^3-6*$J1681^2+3*$J1681)+INDIRECT("C$"&amp;4+MIN(2,ROUNDDOWN(I1681,0))*3)*(-3*$J1681^3+3*$J1681^2)+INDIRECT("C$"&amp;5+MIN(2,ROUNDDOWN(I1681,0))*3)*$J1681^3</f>
      </c>
      <c r="L1681" s="7">
        <f>INDIRECT("D$"&amp;2+MIN(2,ROUNDDOWN(I1681,0))*3)*(-$J1681^3+3*$J1681^2-3*$J1681+1)+INDIRECT("D$"&amp;3+MIN(2,ROUNDDOWN(I1681,0))*3)*(3*$J1681^3-6*$J1681^2+3*$J1681)+INDIRECT("D$"&amp;4+MIN(2,ROUNDDOWN(I1681,0))*3)*(-3*$J1681^3+3*$J1681^2)+INDIRECT("D$"&amp;5+MIN(2,ROUNDDOWN(I1681,0))*3)*$J1681^3</f>
      </c>
      <c r="M1681" s="7">
        <f>SQRT(K1681^2+L1681^2)</f>
      </c>
      <c r="N1681" s="7">
        <f>(K1682-K1680)</f>
      </c>
      <c r="O1681" s="7">
        <f>+(L1682-L1680)</f>
      </c>
      <c r="P1681" s="7">
        <f>SQRT(O1681^2+N1681^2)</f>
      </c>
      <c r="Q1681" s="7">
        <f>N1681/$P1681</f>
      </c>
      <c r="R1681" s="7">
        <f>O1681/$P1681</f>
      </c>
      <c r="S1681" s="8">
        <f>Q1681^2+R1681^2</f>
      </c>
      <c r="T1681" s="7">
        <f>-R1681</f>
      </c>
      <c r="U1681" s="7">
        <f>Q1681</f>
      </c>
      <c r="V1681" s="7">
        <f>($C$14+($C$15-$C$14)/($D$15-$D$14)*(I1681-$D$14))/2</f>
      </c>
      <c r="W1681" s="7">
        <f>($B$22*I1681^4+$C$22*I1681^3+$D$22*I1681^2+$E$22*I1681+$F$22)/2</f>
      </c>
      <c r="X1681" s="7">
        <f>($W1681)*(T1681)</f>
      </c>
      <c r="Y1681" s="7">
        <f>($W1681)*(U1681)</f>
      </c>
      <c r="Z1681" s="7">
        <f>SQRT(X1681^2+Y1681^2)</f>
      </c>
      <c r="AA1681" s="7">
        <f>$K1681+$X1681</f>
      </c>
      <c r="AB1681" s="7">
        <f>$L1681+$Y1681</f>
      </c>
      <c r="AC1681" s="7">
        <f>$K1681-$X1681</f>
      </c>
      <c r="AD1681" s="7">
        <f>$L1681-$Y1681</f>
      </c>
      <c r="AE1681" s="7">
        <f>AA1681/39.3701</f>
      </c>
      <c r="AF1681" s="7">
        <f>AB1681/39.3701</f>
      </c>
      <c r="AG1681" s="7">
        <f>AC1681/39.3701</f>
      </c>
      <c r="AH1681" s="7">
        <f>AD1681/39.3701</f>
      </c>
      <c r="AI1681" s="1"/>
      <c r="AJ1681" s="1"/>
      <c r="AK1681" s="1"/>
      <c r="AL1681" s="1"/>
      <c r="AM1681" s="2"/>
      <c r="AN1681" s="1"/>
      <c r="AO1681" s="1"/>
      <c r="AP1681" s="1"/>
      <c r="AQ1681" s="1"/>
      <c r="AR1681" s="1"/>
      <c r="AS1681" s="1"/>
      <c r="AT1681" s="1"/>
      <c r="AU1681" s="1"/>
      <c r="AV1681" s="1"/>
      <c r="AW1681" s="1"/>
      <c r="AX1681" s="1"/>
      <c r="AY1681" s="1"/>
      <c r="AZ1681" s="1"/>
      <c r="BA1681" s="1"/>
      <c r="BB1681" s="1"/>
      <c r="BC1681" s="1"/>
      <c r="BD1681" s="1"/>
      <c r="BE1681" s="1"/>
    </row>
    <row x14ac:dyDescent="0.25" r="1682" customHeight="1" ht="18.75">
      <c r="A1682" s="1"/>
      <c r="B1682" s="2"/>
      <c r="C1682" s="2"/>
      <c r="D1682" s="2"/>
      <c r="E1682" s="2"/>
      <c r="F1682" s="2"/>
      <c r="G1682" s="1"/>
      <c r="H1682" s="1"/>
      <c r="I1682" s="7">
        <v>1.679</v>
      </c>
      <c r="J1682" s="7">
        <f>IF((I1682-ROUNDDOWN(I1682,0))=0, 0, (I1682-ROUNDDOWN(I1682,0)))</f>
      </c>
      <c r="K1682" s="7">
        <f>INDIRECT("C$"&amp;2+MIN(2,ROUNDDOWN(I1682,0))*3)*(-$J1682^3+3*$J1682^2-3*$J1682+1)+INDIRECT("C$"&amp;3+MIN(2,ROUNDDOWN(I1682,0))*3)*(3*$J1682^3-6*$J1682^2+3*$J1682)+INDIRECT("C$"&amp;4+MIN(2,ROUNDDOWN(I1682,0))*3)*(-3*$J1682^3+3*$J1682^2)+INDIRECT("C$"&amp;5+MIN(2,ROUNDDOWN(I1682,0))*3)*$J1682^3</f>
      </c>
      <c r="L1682" s="7">
        <f>INDIRECT("D$"&amp;2+MIN(2,ROUNDDOWN(I1682,0))*3)*(-$J1682^3+3*$J1682^2-3*$J1682+1)+INDIRECT("D$"&amp;3+MIN(2,ROUNDDOWN(I1682,0))*3)*(3*$J1682^3-6*$J1682^2+3*$J1682)+INDIRECT("D$"&amp;4+MIN(2,ROUNDDOWN(I1682,0))*3)*(-3*$J1682^3+3*$J1682^2)+INDIRECT("D$"&amp;5+MIN(2,ROUNDDOWN(I1682,0))*3)*$J1682^3</f>
      </c>
      <c r="M1682" s="7">
        <f>SQRT(K1682^2+L1682^2)</f>
      </c>
      <c r="N1682" s="7">
        <f>(K1683-K1681)</f>
      </c>
      <c r="O1682" s="7">
        <f>+(L1683-L1681)</f>
      </c>
      <c r="P1682" s="7">
        <f>SQRT(O1682^2+N1682^2)</f>
      </c>
      <c r="Q1682" s="7">
        <f>N1682/$P1682</f>
      </c>
      <c r="R1682" s="7">
        <f>O1682/$P1682</f>
      </c>
      <c r="S1682" s="7">
        <f>Q1682^2+R1682^2</f>
      </c>
      <c r="T1682" s="7">
        <f>-R1682</f>
      </c>
      <c r="U1682" s="7">
        <f>Q1682</f>
      </c>
      <c r="V1682" s="7">
        <f>($C$14+($C$15-$C$14)/($D$15-$D$14)*(I1682-$D$14))/2</f>
      </c>
      <c r="W1682" s="7">
        <f>($B$22*I1682^4+$C$22*I1682^3+$D$22*I1682^2+$E$22*I1682+$F$22)/2</f>
      </c>
      <c r="X1682" s="7">
        <f>($W1682)*(T1682)</f>
      </c>
      <c r="Y1682" s="7">
        <f>($W1682)*(U1682)</f>
      </c>
      <c r="Z1682" s="7">
        <f>SQRT(X1682^2+Y1682^2)</f>
      </c>
      <c r="AA1682" s="7">
        <f>$K1682+$X1682</f>
      </c>
      <c r="AB1682" s="7">
        <f>$L1682+$Y1682</f>
      </c>
      <c r="AC1682" s="7">
        <f>$K1682-$X1682</f>
      </c>
      <c r="AD1682" s="7">
        <f>$L1682-$Y1682</f>
      </c>
      <c r="AE1682" s="7">
        <f>AA1682/39.3701</f>
      </c>
      <c r="AF1682" s="7">
        <f>AB1682/39.3701</f>
      </c>
      <c r="AG1682" s="7">
        <f>AC1682/39.3701</f>
      </c>
      <c r="AH1682" s="7">
        <f>AD1682/39.3701</f>
      </c>
      <c r="AI1682" s="1"/>
      <c r="AJ1682" s="1"/>
      <c r="AK1682" s="1"/>
      <c r="AL1682" s="1"/>
      <c r="AM1682" s="2"/>
      <c r="AN1682" s="1"/>
      <c r="AO1682" s="1"/>
      <c r="AP1682" s="1"/>
      <c r="AQ1682" s="1"/>
      <c r="AR1682" s="1"/>
      <c r="AS1682" s="1"/>
      <c r="AT1682" s="1"/>
      <c r="AU1682" s="1"/>
      <c r="AV1682" s="1"/>
      <c r="AW1682" s="1"/>
      <c r="AX1682" s="1"/>
      <c r="AY1682" s="1"/>
      <c r="AZ1682" s="1"/>
      <c r="BA1682" s="1"/>
      <c r="BB1682" s="1"/>
      <c r="BC1682" s="1"/>
      <c r="BD1682" s="1"/>
      <c r="BE1682" s="1"/>
    </row>
    <row x14ac:dyDescent="0.25" r="1683" customHeight="1" ht="18.75">
      <c r="A1683" s="1"/>
      <c r="B1683" s="2"/>
      <c r="C1683" s="2"/>
      <c r="D1683" s="2"/>
      <c r="E1683" s="2"/>
      <c r="F1683" s="2"/>
      <c r="G1683" s="1"/>
      <c r="H1683" s="1"/>
      <c r="I1683" s="7">
        <v>1.68</v>
      </c>
      <c r="J1683" s="7">
        <f>IF((I1683-ROUNDDOWN(I1683,0))=0, 0, (I1683-ROUNDDOWN(I1683,0)))</f>
      </c>
      <c r="K1683" s="7">
        <f>INDIRECT("C$"&amp;2+MIN(2,ROUNDDOWN(I1683,0))*3)*(-$J1683^3+3*$J1683^2-3*$J1683+1)+INDIRECT("C$"&amp;3+MIN(2,ROUNDDOWN(I1683,0))*3)*(3*$J1683^3-6*$J1683^2+3*$J1683)+INDIRECT("C$"&amp;4+MIN(2,ROUNDDOWN(I1683,0))*3)*(-3*$J1683^3+3*$J1683^2)+INDIRECT("C$"&amp;5+MIN(2,ROUNDDOWN(I1683,0))*3)*$J1683^3</f>
      </c>
      <c r="L1683" s="7">
        <f>INDIRECT("D$"&amp;2+MIN(2,ROUNDDOWN(I1683,0))*3)*(-$J1683^3+3*$J1683^2-3*$J1683+1)+INDIRECT("D$"&amp;3+MIN(2,ROUNDDOWN(I1683,0))*3)*(3*$J1683^3-6*$J1683^2+3*$J1683)+INDIRECT("D$"&amp;4+MIN(2,ROUNDDOWN(I1683,0))*3)*(-3*$J1683^3+3*$J1683^2)+INDIRECT("D$"&amp;5+MIN(2,ROUNDDOWN(I1683,0))*3)*$J1683^3</f>
      </c>
      <c r="M1683" s="7">
        <f>SQRT(K1683^2+L1683^2)</f>
      </c>
      <c r="N1683" s="7">
        <f>(K1684-K1682)</f>
      </c>
      <c r="O1683" s="7">
        <f>+(L1684-L1682)</f>
      </c>
      <c r="P1683" s="7">
        <f>SQRT(O1683^2+N1683^2)</f>
      </c>
      <c r="Q1683" s="7">
        <f>N1683/$P1683</f>
      </c>
      <c r="R1683" s="7">
        <f>O1683/$P1683</f>
      </c>
      <c r="S1683" s="8">
        <f>Q1683^2+R1683^2</f>
      </c>
      <c r="T1683" s="7">
        <f>-R1683</f>
      </c>
      <c r="U1683" s="7">
        <f>Q1683</f>
      </c>
      <c r="V1683" s="7">
        <f>($C$14+($C$15-$C$14)/($D$15-$D$14)*(I1683-$D$14))/2</f>
      </c>
      <c r="W1683" s="7">
        <f>($B$22*I1683^4+$C$22*I1683^3+$D$22*I1683^2+$E$22*I1683+$F$22)/2</f>
      </c>
      <c r="X1683" s="7">
        <f>($W1683)*(T1683)</f>
      </c>
      <c r="Y1683" s="7">
        <f>($W1683)*(U1683)</f>
      </c>
      <c r="Z1683" s="7">
        <f>SQRT(X1683^2+Y1683^2)</f>
      </c>
      <c r="AA1683" s="7">
        <f>$K1683+$X1683</f>
      </c>
      <c r="AB1683" s="7">
        <f>$L1683+$Y1683</f>
      </c>
      <c r="AC1683" s="7">
        <f>$K1683-$X1683</f>
      </c>
      <c r="AD1683" s="7">
        <f>$L1683-$Y1683</f>
      </c>
      <c r="AE1683" s="7">
        <f>AA1683/39.3701</f>
      </c>
      <c r="AF1683" s="7">
        <f>AB1683/39.3701</f>
      </c>
      <c r="AG1683" s="7">
        <f>AC1683/39.3701</f>
      </c>
      <c r="AH1683" s="7">
        <f>AD1683/39.3701</f>
      </c>
      <c r="AI1683" s="1"/>
      <c r="AJ1683" s="1"/>
      <c r="AK1683" s="1"/>
      <c r="AL1683" s="1"/>
      <c r="AM1683" s="2"/>
      <c r="AN1683" s="1"/>
      <c r="AO1683" s="1"/>
      <c r="AP1683" s="1"/>
      <c r="AQ1683" s="1"/>
      <c r="AR1683" s="1"/>
      <c r="AS1683" s="1"/>
      <c r="AT1683" s="1"/>
      <c r="AU1683" s="1"/>
      <c r="AV1683" s="1"/>
      <c r="AW1683" s="1"/>
      <c r="AX1683" s="1"/>
      <c r="AY1683" s="1"/>
      <c r="AZ1683" s="1"/>
      <c r="BA1683" s="1"/>
      <c r="BB1683" s="1"/>
      <c r="BC1683" s="1"/>
      <c r="BD1683" s="1"/>
      <c r="BE1683" s="1"/>
    </row>
    <row x14ac:dyDescent="0.25" r="1684" customHeight="1" ht="18.75">
      <c r="A1684" s="1"/>
      <c r="B1684" s="2"/>
      <c r="C1684" s="2"/>
      <c r="D1684" s="2"/>
      <c r="E1684" s="2"/>
      <c r="F1684" s="2"/>
      <c r="G1684" s="1"/>
      <c r="H1684" s="1"/>
      <c r="I1684" s="7">
        <v>1.681</v>
      </c>
      <c r="J1684" s="7">
        <f>IF((I1684-ROUNDDOWN(I1684,0))=0, 0, (I1684-ROUNDDOWN(I1684,0)))</f>
      </c>
      <c r="K1684" s="7">
        <f>INDIRECT("C$"&amp;2+MIN(2,ROUNDDOWN(I1684,0))*3)*(-$J1684^3+3*$J1684^2-3*$J1684+1)+INDIRECT("C$"&amp;3+MIN(2,ROUNDDOWN(I1684,0))*3)*(3*$J1684^3-6*$J1684^2+3*$J1684)+INDIRECT("C$"&amp;4+MIN(2,ROUNDDOWN(I1684,0))*3)*(-3*$J1684^3+3*$J1684^2)+INDIRECT("C$"&amp;5+MIN(2,ROUNDDOWN(I1684,0))*3)*$J1684^3</f>
      </c>
      <c r="L1684" s="7">
        <f>INDIRECT("D$"&amp;2+MIN(2,ROUNDDOWN(I1684,0))*3)*(-$J1684^3+3*$J1684^2-3*$J1684+1)+INDIRECT("D$"&amp;3+MIN(2,ROUNDDOWN(I1684,0))*3)*(3*$J1684^3-6*$J1684^2+3*$J1684)+INDIRECT("D$"&amp;4+MIN(2,ROUNDDOWN(I1684,0))*3)*(-3*$J1684^3+3*$J1684^2)+INDIRECT("D$"&amp;5+MIN(2,ROUNDDOWN(I1684,0))*3)*$J1684^3</f>
      </c>
      <c r="M1684" s="7">
        <f>SQRT(K1684^2+L1684^2)</f>
      </c>
      <c r="N1684" s="7">
        <f>(K1685-K1683)</f>
      </c>
      <c r="O1684" s="7">
        <f>+(L1685-L1683)</f>
      </c>
      <c r="P1684" s="7">
        <f>SQRT(O1684^2+N1684^2)</f>
      </c>
      <c r="Q1684" s="7">
        <f>N1684/$P1684</f>
      </c>
      <c r="R1684" s="7">
        <f>O1684/$P1684</f>
      </c>
      <c r="S1684" s="8">
        <f>Q1684^2+R1684^2</f>
      </c>
      <c r="T1684" s="7">
        <f>-R1684</f>
      </c>
      <c r="U1684" s="7">
        <f>Q1684</f>
      </c>
      <c r="V1684" s="7">
        <f>($C$14+($C$15-$C$14)/($D$15-$D$14)*(I1684-$D$14))/2</f>
      </c>
      <c r="W1684" s="7">
        <f>($B$22*I1684^4+$C$22*I1684^3+$D$22*I1684^2+$E$22*I1684+$F$22)/2</f>
      </c>
      <c r="X1684" s="7">
        <f>($W1684)*(T1684)</f>
      </c>
      <c r="Y1684" s="7">
        <f>($W1684)*(U1684)</f>
      </c>
      <c r="Z1684" s="7">
        <f>SQRT(X1684^2+Y1684^2)</f>
      </c>
      <c r="AA1684" s="7">
        <f>$K1684+$X1684</f>
      </c>
      <c r="AB1684" s="7">
        <f>$L1684+$Y1684</f>
      </c>
      <c r="AC1684" s="7">
        <f>$K1684-$X1684</f>
      </c>
      <c r="AD1684" s="7">
        <f>$L1684-$Y1684</f>
      </c>
      <c r="AE1684" s="7">
        <f>AA1684/39.3701</f>
      </c>
      <c r="AF1684" s="7">
        <f>AB1684/39.3701</f>
      </c>
      <c r="AG1684" s="7">
        <f>AC1684/39.3701</f>
      </c>
      <c r="AH1684" s="7">
        <f>AD1684/39.3701</f>
      </c>
      <c r="AI1684" s="1"/>
      <c r="AJ1684" s="1"/>
      <c r="AK1684" s="1"/>
      <c r="AL1684" s="1"/>
      <c r="AM1684" s="2"/>
      <c r="AN1684" s="1"/>
      <c r="AO1684" s="1"/>
      <c r="AP1684" s="1"/>
      <c r="AQ1684" s="1"/>
      <c r="AR1684" s="1"/>
      <c r="AS1684" s="1"/>
      <c r="AT1684" s="1"/>
      <c r="AU1684" s="1"/>
      <c r="AV1684" s="1"/>
      <c r="AW1684" s="1"/>
      <c r="AX1684" s="1"/>
      <c r="AY1684" s="1"/>
      <c r="AZ1684" s="1"/>
      <c r="BA1684" s="1"/>
      <c r="BB1684" s="1"/>
      <c r="BC1684" s="1"/>
      <c r="BD1684" s="1"/>
      <c r="BE1684" s="1"/>
    </row>
    <row x14ac:dyDescent="0.25" r="1685" customHeight="1" ht="18.75">
      <c r="A1685" s="1"/>
      <c r="B1685" s="2"/>
      <c r="C1685" s="2"/>
      <c r="D1685" s="2"/>
      <c r="E1685" s="2"/>
      <c r="F1685" s="2"/>
      <c r="G1685" s="1"/>
      <c r="H1685" s="1"/>
      <c r="I1685" s="7">
        <v>1.682</v>
      </c>
      <c r="J1685" s="7">
        <f>IF((I1685-ROUNDDOWN(I1685,0))=0, 0, (I1685-ROUNDDOWN(I1685,0)))</f>
      </c>
      <c r="K1685" s="7">
        <f>INDIRECT("C$"&amp;2+MIN(2,ROUNDDOWN(I1685,0))*3)*(-$J1685^3+3*$J1685^2-3*$J1685+1)+INDIRECT("C$"&amp;3+MIN(2,ROUNDDOWN(I1685,0))*3)*(3*$J1685^3-6*$J1685^2+3*$J1685)+INDIRECT("C$"&amp;4+MIN(2,ROUNDDOWN(I1685,0))*3)*(-3*$J1685^3+3*$J1685^2)+INDIRECT("C$"&amp;5+MIN(2,ROUNDDOWN(I1685,0))*3)*$J1685^3</f>
      </c>
      <c r="L1685" s="7">
        <f>INDIRECT("D$"&amp;2+MIN(2,ROUNDDOWN(I1685,0))*3)*(-$J1685^3+3*$J1685^2-3*$J1685+1)+INDIRECT("D$"&amp;3+MIN(2,ROUNDDOWN(I1685,0))*3)*(3*$J1685^3-6*$J1685^2+3*$J1685)+INDIRECT("D$"&amp;4+MIN(2,ROUNDDOWN(I1685,0))*3)*(-3*$J1685^3+3*$J1685^2)+INDIRECT("D$"&amp;5+MIN(2,ROUNDDOWN(I1685,0))*3)*$J1685^3</f>
      </c>
      <c r="M1685" s="7">
        <f>SQRT(K1685^2+L1685^2)</f>
      </c>
      <c r="N1685" s="7">
        <f>(K1686-K1684)</f>
      </c>
      <c r="O1685" s="7">
        <f>+(L1686-L1684)</f>
      </c>
      <c r="P1685" s="7">
        <f>SQRT(O1685^2+N1685^2)</f>
      </c>
      <c r="Q1685" s="7">
        <f>N1685/$P1685</f>
      </c>
      <c r="R1685" s="7">
        <f>O1685/$P1685</f>
      </c>
      <c r="S1685" s="7">
        <f>Q1685^2+R1685^2</f>
      </c>
      <c r="T1685" s="7">
        <f>-R1685</f>
      </c>
      <c r="U1685" s="7">
        <f>Q1685</f>
      </c>
      <c r="V1685" s="7">
        <f>($C$14+($C$15-$C$14)/($D$15-$D$14)*(I1685-$D$14))/2</f>
      </c>
      <c r="W1685" s="7">
        <f>($B$22*I1685^4+$C$22*I1685^3+$D$22*I1685^2+$E$22*I1685+$F$22)/2</f>
      </c>
      <c r="X1685" s="7">
        <f>($W1685)*(T1685)</f>
      </c>
      <c r="Y1685" s="7">
        <f>($W1685)*(U1685)</f>
      </c>
      <c r="Z1685" s="7">
        <f>SQRT(X1685^2+Y1685^2)</f>
      </c>
      <c r="AA1685" s="7">
        <f>$K1685+$X1685</f>
      </c>
      <c r="AB1685" s="7">
        <f>$L1685+$Y1685</f>
      </c>
      <c r="AC1685" s="7">
        <f>$K1685-$X1685</f>
      </c>
      <c r="AD1685" s="7">
        <f>$L1685-$Y1685</f>
      </c>
      <c r="AE1685" s="7">
        <f>AA1685/39.3701</f>
      </c>
      <c r="AF1685" s="7">
        <f>AB1685/39.3701</f>
      </c>
      <c r="AG1685" s="7">
        <f>AC1685/39.3701</f>
      </c>
      <c r="AH1685" s="7">
        <f>AD1685/39.3701</f>
      </c>
      <c r="AI1685" s="1"/>
      <c r="AJ1685" s="1"/>
      <c r="AK1685" s="1"/>
      <c r="AL1685" s="1"/>
      <c r="AM1685" s="2"/>
      <c r="AN1685" s="1"/>
      <c r="AO1685" s="1"/>
      <c r="AP1685" s="1"/>
      <c r="AQ1685" s="1"/>
      <c r="AR1685" s="1"/>
      <c r="AS1685" s="1"/>
      <c r="AT1685" s="1"/>
      <c r="AU1685" s="1"/>
      <c r="AV1685" s="1"/>
      <c r="AW1685" s="1"/>
      <c r="AX1685" s="1"/>
      <c r="AY1685" s="1"/>
      <c r="AZ1685" s="1"/>
      <c r="BA1685" s="1"/>
      <c r="BB1685" s="1"/>
      <c r="BC1685" s="1"/>
      <c r="BD1685" s="1"/>
      <c r="BE1685" s="1"/>
    </row>
    <row x14ac:dyDescent="0.25" r="1686" customHeight="1" ht="18.75">
      <c r="A1686" s="1"/>
      <c r="B1686" s="2"/>
      <c r="C1686" s="2"/>
      <c r="D1686" s="2"/>
      <c r="E1686" s="2"/>
      <c r="F1686" s="2"/>
      <c r="G1686" s="1"/>
      <c r="H1686" s="1"/>
      <c r="I1686" s="7">
        <v>1.683</v>
      </c>
      <c r="J1686" s="7">
        <f>IF((I1686-ROUNDDOWN(I1686,0))=0, 0, (I1686-ROUNDDOWN(I1686,0)))</f>
      </c>
      <c r="K1686" s="7">
        <f>INDIRECT("C$"&amp;2+MIN(2,ROUNDDOWN(I1686,0))*3)*(-$J1686^3+3*$J1686^2-3*$J1686+1)+INDIRECT("C$"&amp;3+MIN(2,ROUNDDOWN(I1686,0))*3)*(3*$J1686^3-6*$J1686^2+3*$J1686)+INDIRECT("C$"&amp;4+MIN(2,ROUNDDOWN(I1686,0))*3)*(-3*$J1686^3+3*$J1686^2)+INDIRECT("C$"&amp;5+MIN(2,ROUNDDOWN(I1686,0))*3)*$J1686^3</f>
      </c>
      <c r="L1686" s="7">
        <f>INDIRECT("D$"&amp;2+MIN(2,ROUNDDOWN(I1686,0))*3)*(-$J1686^3+3*$J1686^2-3*$J1686+1)+INDIRECT("D$"&amp;3+MIN(2,ROUNDDOWN(I1686,0))*3)*(3*$J1686^3-6*$J1686^2+3*$J1686)+INDIRECT("D$"&amp;4+MIN(2,ROUNDDOWN(I1686,0))*3)*(-3*$J1686^3+3*$J1686^2)+INDIRECT("D$"&amp;5+MIN(2,ROUNDDOWN(I1686,0))*3)*$J1686^3</f>
      </c>
      <c r="M1686" s="7">
        <f>SQRT(K1686^2+L1686^2)</f>
      </c>
      <c r="N1686" s="7">
        <f>(K1687-K1685)</f>
      </c>
      <c r="O1686" s="7">
        <f>+(L1687-L1685)</f>
      </c>
      <c r="P1686" s="7">
        <f>SQRT(O1686^2+N1686^2)</f>
      </c>
      <c r="Q1686" s="7">
        <f>N1686/$P1686</f>
      </c>
      <c r="R1686" s="7">
        <f>O1686/$P1686</f>
      </c>
      <c r="S1686" s="8">
        <f>Q1686^2+R1686^2</f>
      </c>
      <c r="T1686" s="7">
        <f>-R1686</f>
      </c>
      <c r="U1686" s="7">
        <f>Q1686</f>
      </c>
      <c r="V1686" s="7">
        <f>($C$14+($C$15-$C$14)/($D$15-$D$14)*(I1686-$D$14))/2</f>
      </c>
      <c r="W1686" s="7">
        <f>($B$22*I1686^4+$C$22*I1686^3+$D$22*I1686^2+$E$22*I1686+$F$22)/2</f>
      </c>
      <c r="X1686" s="7">
        <f>($W1686)*(T1686)</f>
      </c>
      <c r="Y1686" s="7">
        <f>($W1686)*(U1686)</f>
      </c>
      <c r="Z1686" s="7">
        <f>SQRT(X1686^2+Y1686^2)</f>
      </c>
      <c r="AA1686" s="7">
        <f>$K1686+$X1686</f>
      </c>
      <c r="AB1686" s="7">
        <f>$L1686+$Y1686</f>
      </c>
      <c r="AC1686" s="7">
        <f>$K1686-$X1686</f>
      </c>
      <c r="AD1686" s="7">
        <f>$L1686-$Y1686</f>
      </c>
      <c r="AE1686" s="7">
        <f>AA1686/39.3701</f>
      </c>
      <c r="AF1686" s="7">
        <f>AB1686/39.3701</f>
      </c>
      <c r="AG1686" s="7">
        <f>AC1686/39.3701</f>
      </c>
      <c r="AH1686" s="7">
        <f>AD1686/39.3701</f>
      </c>
      <c r="AI1686" s="1"/>
      <c r="AJ1686" s="1"/>
      <c r="AK1686" s="1"/>
      <c r="AL1686" s="1"/>
      <c r="AM1686" s="2"/>
      <c r="AN1686" s="1"/>
      <c r="AO1686" s="1"/>
      <c r="AP1686" s="1"/>
      <c r="AQ1686" s="1"/>
      <c r="AR1686" s="1"/>
      <c r="AS1686" s="1"/>
      <c r="AT1686" s="1"/>
      <c r="AU1686" s="1"/>
      <c r="AV1686" s="1"/>
      <c r="AW1686" s="1"/>
      <c r="AX1686" s="1"/>
      <c r="AY1686" s="1"/>
      <c r="AZ1686" s="1"/>
      <c r="BA1686" s="1"/>
      <c r="BB1686" s="1"/>
      <c r="BC1686" s="1"/>
      <c r="BD1686" s="1"/>
      <c r="BE1686" s="1"/>
    </row>
    <row x14ac:dyDescent="0.25" r="1687" customHeight="1" ht="18.75">
      <c r="A1687" s="1"/>
      <c r="B1687" s="2"/>
      <c r="C1687" s="2"/>
      <c r="D1687" s="2"/>
      <c r="E1687" s="2"/>
      <c r="F1687" s="2"/>
      <c r="G1687" s="1"/>
      <c r="H1687" s="1"/>
      <c r="I1687" s="7">
        <v>1.684</v>
      </c>
      <c r="J1687" s="7">
        <f>IF((I1687-ROUNDDOWN(I1687,0))=0, 0, (I1687-ROUNDDOWN(I1687,0)))</f>
      </c>
      <c r="K1687" s="7">
        <f>INDIRECT("C$"&amp;2+MIN(2,ROUNDDOWN(I1687,0))*3)*(-$J1687^3+3*$J1687^2-3*$J1687+1)+INDIRECT("C$"&amp;3+MIN(2,ROUNDDOWN(I1687,0))*3)*(3*$J1687^3-6*$J1687^2+3*$J1687)+INDIRECT("C$"&amp;4+MIN(2,ROUNDDOWN(I1687,0))*3)*(-3*$J1687^3+3*$J1687^2)+INDIRECT("C$"&amp;5+MIN(2,ROUNDDOWN(I1687,0))*3)*$J1687^3</f>
      </c>
      <c r="L1687" s="7">
        <f>INDIRECT("D$"&amp;2+MIN(2,ROUNDDOWN(I1687,0))*3)*(-$J1687^3+3*$J1687^2-3*$J1687+1)+INDIRECT("D$"&amp;3+MIN(2,ROUNDDOWN(I1687,0))*3)*(3*$J1687^3-6*$J1687^2+3*$J1687)+INDIRECT("D$"&amp;4+MIN(2,ROUNDDOWN(I1687,0))*3)*(-3*$J1687^3+3*$J1687^2)+INDIRECT("D$"&amp;5+MIN(2,ROUNDDOWN(I1687,0))*3)*$J1687^3</f>
      </c>
      <c r="M1687" s="7">
        <f>SQRT(K1687^2+L1687^2)</f>
      </c>
      <c r="N1687" s="7">
        <f>(K1688-K1686)</f>
      </c>
      <c r="O1687" s="7">
        <f>+(L1688-L1686)</f>
      </c>
      <c r="P1687" s="7">
        <f>SQRT(O1687^2+N1687^2)</f>
      </c>
      <c r="Q1687" s="7">
        <f>N1687/$P1687</f>
      </c>
      <c r="R1687" s="7">
        <f>O1687/$P1687</f>
      </c>
      <c r="S1687" s="8">
        <f>Q1687^2+R1687^2</f>
      </c>
      <c r="T1687" s="7">
        <f>-R1687</f>
      </c>
      <c r="U1687" s="7">
        <f>Q1687</f>
      </c>
      <c r="V1687" s="7">
        <f>($C$14+($C$15-$C$14)/($D$15-$D$14)*(I1687-$D$14))/2</f>
      </c>
      <c r="W1687" s="7">
        <f>($B$22*I1687^4+$C$22*I1687^3+$D$22*I1687^2+$E$22*I1687+$F$22)/2</f>
      </c>
      <c r="X1687" s="7">
        <f>($W1687)*(T1687)</f>
      </c>
      <c r="Y1687" s="7">
        <f>($W1687)*(U1687)</f>
      </c>
      <c r="Z1687" s="7">
        <f>SQRT(X1687^2+Y1687^2)</f>
      </c>
      <c r="AA1687" s="7">
        <f>$K1687+$X1687</f>
      </c>
      <c r="AB1687" s="7">
        <f>$L1687+$Y1687</f>
      </c>
      <c r="AC1687" s="7">
        <f>$K1687-$X1687</f>
      </c>
      <c r="AD1687" s="7">
        <f>$L1687-$Y1687</f>
      </c>
      <c r="AE1687" s="7">
        <f>AA1687/39.3701</f>
      </c>
      <c r="AF1687" s="7">
        <f>AB1687/39.3701</f>
      </c>
      <c r="AG1687" s="7">
        <f>AC1687/39.3701</f>
      </c>
      <c r="AH1687" s="7">
        <f>AD1687/39.3701</f>
      </c>
      <c r="AI1687" s="1"/>
      <c r="AJ1687" s="1"/>
      <c r="AK1687" s="1"/>
      <c r="AL1687" s="1"/>
      <c r="AM1687" s="2"/>
      <c r="AN1687" s="1"/>
      <c r="AO1687" s="1"/>
      <c r="AP1687" s="1"/>
      <c r="AQ1687" s="1"/>
      <c r="AR1687" s="1"/>
      <c r="AS1687" s="1"/>
      <c r="AT1687" s="1"/>
      <c r="AU1687" s="1"/>
      <c r="AV1687" s="1"/>
      <c r="AW1687" s="1"/>
      <c r="AX1687" s="1"/>
      <c r="AY1687" s="1"/>
      <c r="AZ1687" s="1"/>
      <c r="BA1687" s="1"/>
      <c r="BB1687" s="1"/>
      <c r="BC1687" s="1"/>
      <c r="BD1687" s="1"/>
      <c r="BE1687" s="1"/>
    </row>
    <row x14ac:dyDescent="0.25" r="1688" customHeight="1" ht="18.75">
      <c r="A1688" s="1"/>
      <c r="B1688" s="2"/>
      <c r="C1688" s="2"/>
      <c r="D1688" s="2"/>
      <c r="E1688" s="2"/>
      <c r="F1688" s="2"/>
      <c r="G1688" s="1"/>
      <c r="H1688" s="1"/>
      <c r="I1688" s="7">
        <v>1.685</v>
      </c>
      <c r="J1688" s="7">
        <f>IF((I1688-ROUNDDOWN(I1688,0))=0, 0, (I1688-ROUNDDOWN(I1688,0)))</f>
      </c>
      <c r="K1688" s="7">
        <f>INDIRECT("C$"&amp;2+MIN(2,ROUNDDOWN(I1688,0))*3)*(-$J1688^3+3*$J1688^2-3*$J1688+1)+INDIRECT("C$"&amp;3+MIN(2,ROUNDDOWN(I1688,0))*3)*(3*$J1688^3-6*$J1688^2+3*$J1688)+INDIRECT("C$"&amp;4+MIN(2,ROUNDDOWN(I1688,0))*3)*(-3*$J1688^3+3*$J1688^2)+INDIRECT("C$"&amp;5+MIN(2,ROUNDDOWN(I1688,0))*3)*$J1688^3</f>
      </c>
      <c r="L1688" s="7">
        <f>INDIRECT("D$"&amp;2+MIN(2,ROUNDDOWN(I1688,0))*3)*(-$J1688^3+3*$J1688^2-3*$J1688+1)+INDIRECT("D$"&amp;3+MIN(2,ROUNDDOWN(I1688,0))*3)*(3*$J1688^3-6*$J1688^2+3*$J1688)+INDIRECT("D$"&amp;4+MIN(2,ROUNDDOWN(I1688,0))*3)*(-3*$J1688^3+3*$J1688^2)+INDIRECT("D$"&amp;5+MIN(2,ROUNDDOWN(I1688,0))*3)*$J1688^3</f>
      </c>
      <c r="M1688" s="7">
        <f>SQRT(K1688^2+L1688^2)</f>
      </c>
      <c r="N1688" s="7">
        <f>(K1689-K1687)</f>
      </c>
      <c r="O1688" s="7">
        <f>+(L1689-L1687)</f>
      </c>
      <c r="P1688" s="7">
        <f>SQRT(O1688^2+N1688^2)</f>
      </c>
      <c r="Q1688" s="7">
        <f>N1688/$P1688</f>
      </c>
      <c r="R1688" s="7">
        <f>O1688/$P1688</f>
      </c>
      <c r="S1688" s="7">
        <f>Q1688^2+R1688^2</f>
      </c>
      <c r="T1688" s="7">
        <f>-R1688</f>
      </c>
      <c r="U1688" s="7">
        <f>Q1688</f>
      </c>
      <c r="V1688" s="7">
        <f>($C$14+($C$15-$C$14)/($D$15-$D$14)*(I1688-$D$14))/2</f>
      </c>
      <c r="W1688" s="7">
        <f>($B$22*I1688^4+$C$22*I1688^3+$D$22*I1688^2+$E$22*I1688+$F$22)/2</f>
      </c>
      <c r="X1688" s="7">
        <f>($W1688)*(T1688)</f>
      </c>
      <c r="Y1688" s="7">
        <f>($W1688)*(U1688)</f>
      </c>
      <c r="Z1688" s="7">
        <f>SQRT(X1688^2+Y1688^2)</f>
      </c>
      <c r="AA1688" s="7">
        <f>$K1688+$X1688</f>
      </c>
      <c r="AB1688" s="7">
        <f>$L1688+$Y1688</f>
      </c>
      <c r="AC1688" s="7">
        <f>$K1688-$X1688</f>
      </c>
      <c r="AD1688" s="7">
        <f>$L1688-$Y1688</f>
      </c>
      <c r="AE1688" s="7">
        <f>AA1688/39.3701</f>
      </c>
      <c r="AF1688" s="7">
        <f>AB1688/39.3701</f>
      </c>
      <c r="AG1688" s="7">
        <f>AC1688/39.3701</f>
      </c>
      <c r="AH1688" s="7">
        <f>AD1688/39.3701</f>
      </c>
      <c r="AI1688" s="1"/>
      <c r="AJ1688" s="1"/>
      <c r="AK1688" s="1"/>
      <c r="AL1688" s="1"/>
      <c r="AM1688" s="2"/>
      <c r="AN1688" s="1"/>
      <c r="AO1688" s="1"/>
      <c r="AP1688" s="1"/>
      <c r="AQ1688" s="1"/>
      <c r="AR1688" s="1"/>
      <c r="AS1688" s="1"/>
      <c r="AT1688" s="1"/>
      <c r="AU1688" s="1"/>
      <c r="AV1688" s="1"/>
      <c r="AW1688" s="1"/>
      <c r="AX1688" s="1"/>
      <c r="AY1688" s="1"/>
      <c r="AZ1688" s="1"/>
      <c r="BA1688" s="1"/>
      <c r="BB1688" s="1"/>
      <c r="BC1688" s="1"/>
      <c r="BD1688" s="1"/>
      <c r="BE1688" s="1"/>
    </row>
    <row x14ac:dyDescent="0.25" r="1689" customHeight="1" ht="18.75">
      <c r="A1689" s="1"/>
      <c r="B1689" s="2"/>
      <c r="C1689" s="2"/>
      <c r="D1689" s="2"/>
      <c r="E1689" s="2"/>
      <c r="F1689" s="2"/>
      <c r="G1689" s="1"/>
      <c r="H1689" s="1"/>
      <c r="I1689" s="7">
        <v>1.686</v>
      </c>
      <c r="J1689" s="7">
        <f>IF((I1689-ROUNDDOWN(I1689,0))=0, 0, (I1689-ROUNDDOWN(I1689,0)))</f>
      </c>
      <c r="K1689" s="7">
        <f>INDIRECT("C$"&amp;2+MIN(2,ROUNDDOWN(I1689,0))*3)*(-$J1689^3+3*$J1689^2-3*$J1689+1)+INDIRECT("C$"&amp;3+MIN(2,ROUNDDOWN(I1689,0))*3)*(3*$J1689^3-6*$J1689^2+3*$J1689)+INDIRECT("C$"&amp;4+MIN(2,ROUNDDOWN(I1689,0))*3)*(-3*$J1689^3+3*$J1689^2)+INDIRECT("C$"&amp;5+MIN(2,ROUNDDOWN(I1689,0))*3)*$J1689^3</f>
      </c>
      <c r="L1689" s="7">
        <f>INDIRECT("D$"&amp;2+MIN(2,ROUNDDOWN(I1689,0))*3)*(-$J1689^3+3*$J1689^2-3*$J1689+1)+INDIRECT("D$"&amp;3+MIN(2,ROUNDDOWN(I1689,0))*3)*(3*$J1689^3-6*$J1689^2+3*$J1689)+INDIRECT("D$"&amp;4+MIN(2,ROUNDDOWN(I1689,0))*3)*(-3*$J1689^3+3*$J1689^2)+INDIRECT("D$"&amp;5+MIN(2,ROUNDDOWN(I1689,0))*3)*$J1689^3</f>
      </c>
      <c r="M1689" s="7">
        <f>SQRT(K1689^2+L1689^2)</f>
      </c>
      <c r="N1689" s="7">
        <f>(K1690-K1688)</f>
      </c>
      <c r="O1689" s="7">
        <f>+(L1690-L1688)</f>
      </c>
      <c r="P1689" s="7">
        <f>SQRT(O1689^2+N1689^2)</f>
      </c>
      <c r="Q1689" s="7">
        <f>N1689/$P1689</f>
      </c>
      <c r="R1689" s="7">
        <f>O1689/$P1689</f>
      </c>
      <c r="S1689" s="7">
        <f>Q1689^2+R1689^2</f>
      </c>
      <c r="T1689" s="7">
        <f>-R1689</f>
      </c>
      <c r="U1689" s="7">
        <f>Q1689</f>
      </c>
      <c r="V1689" s="7">
        <f>($C$14+($C$15-$C$14)/($D$15-$D$14)*(I1689-$D$14))/2</f>
      </c>
      <c r="W1689" s="7">
        <f>($B$22*I1689^4+$C$22*I1689^3+$D$22*I1689^2+$E$22*I1689+$F$22)/2</f>
      </c>
      <c r="X1689" s="7">
        <f>($W1689)*(T1689)</f>
      </c>
      <c r="Y1689" s="7">
        <f>($W1689)*(U1689)</f>
      </c>
      <c r="Z1689" s="7">
        <f>SQRT(X1689^2+Y1689^2)</f>
      </c>
      <c r="AA1689" s="7">
        <f>$K1689+$X1689</f>
      </c>
      <c r="AB1689" s="7">
        <f>$L1689+$Y1689</f>
      </c>
      <c r="AC1689" s="7">
        <f>$K1689-$X1689</f>
      </c>
      <c r="AD1689" s="7">
        <f>$L1689-$Y1689</f>
      </c>
      <c r="AE1689" s="7">
        <f>AA1689/39.3701</f>
      </c>
      <c r="AF1689" s="7">
        <f>AB1689/39.3701</f>
      </c>
      <c r="AG1689" s="7">
        <f>AC1689/39.3701</f>
      </c>
      <c r="AH1689" s="7">
        <f>AD1689/39.3701</f>
      </c>
      <c r="AI1689" s="1"/>
      <c r="AJ1689" s="1"/>
      <c r="AK1689" s="1"/>
      <c r="AL1689" s="1"/>
      <c r="AM1689" s="2"/>
      <c r="AN1689" s="1"/>
      <c r="AO1689" s="1"/>
      <c r="AP1689" s="1"/>
      <c r="AQ1689" s="1"/>
      <c r="AR1689" s="1"/>
      <c r="AS1689" s="1"/>
      <c r="AT1689" s="1"/>
      <c r="AU1689" s="1"/>
      <c r="AV1689" s="1"/>
      <c r="AW1689" s="1"/>
      <c r="AX1689" s="1"/>
      <c r="AY1689" s="1"/>
      <c r="AZ1689" s="1"/>
      <c r="BA1689" s="1"/>
      <c r="BB1689" s="1"/>
      <c r="BC1689" s="1"/>
      <c r="BD1689" s="1"/>
      <c r="BE1689" s="1"/>
    </row>
    <row x14ac:dyDescent="0.25" r="1690" customHeight="1" ht="18.75">
      <c r="A1690" s="1"/>
      <c r="B1690" s="2"/>
      <c r="C1690" s="2"/>
      <c r="D1690" s="2"/>
      <c r="E1690" s="2"/>
      <c r="F1690" s="2"/>
      <c r="G1690" s="1"/>
      <c r="H1690" s="1"/>
      <c r="I1690" s="7">
        <v>1.687</v>
      </c>
      <c r="J1690" s="7">
        <f>IF((I1690-ROUNDDOWN(I1690,0))=0, 0, (I1690-ROUNDDOWN(I1690,0)))</f>
      </c>
      <c r="K1690" s="7">
        <f>INDIRECT("C$"&amp;2+MIN(2,ROUNDDOWN(I1690,0))*3)*(-$J1690^3+3*$J1690^2-3*$J1690+1)+INDIRECT("C$"&amp;3+MIN(2,ROUNDDOWN(I1690,0))*3)*(3*$J1690^3-6*$J1690^2+3*$J1690)+INDIRECT("C$"&amp;4+MIN(2,ROUNDDOWN(I1690,0))*3)*(-3*$J1690^3+3*$J1690^2)+INDIRECT("C$"&amp;5+MIN(2,ROUNDDOWN(I1690,0))*3)*$J1690^3</f>
      </c>
      <c r="L1690" s="7">
        <f>INDIRECT("D$"&amp;2+MIN(2,ROUNDDOWN(I1690,0))*3)*(-$J1690^3+3*$J1690^2-3*$J1690+1)+INDIRECT("D$"&amp;3+MIN(2,ROUNDDOWN(I1690,0))*3)*(3*$J1690^3-6*$J1690^2+3*$J1690)+INDIRECT("D$"&amp;4+MIN(2,ROUNDDOWN(I1690,0))*3)*(-3*$J1690^3+3*$J1690^2)+INDIRECT("D$"&amp;5+MIN(2,ROUNDDOWN(I1690,0))*3)*$J1690^3</f>
      </c>
      <c r="M1690" s="7">
        <f>SQRT(K1690^2+L1690^2)</f>
      </c>
      <c r="N1690" s="7">
        <f>(K1691-K1689)</f>
      </c>
      <c r="O1690" s="7">
        <f>+(L1691-L1689)</f>
      </c>
      <c r="P1690" s="7">
        <f>SQRT(O1690^2+N1690^2)</f>
      </c>
      <c r="Q1690" s="7">
        <f>N1690/$P1690</f>
      </c>
      <c r="R1690" s="7">
        <f>O1690/$P1690</f>
      </c>
      <c r="S1690" s="8">
        <f>Q1690^2+R1690^2</f>
      </c>
      <c r="T1690" s="7">
        <f>-R1690</f>
      </c>
      <c r="U1690" s="7">
        <f>Q1690</f>
      </c>
      <c r="V1690" s="7">
        <f>($C$14+($C$15-$C$14)/($D$15-$D$14)*(I1690-$D$14))/2</f>
      </c>
      <c r="W1690" s="7">
        <f>($B$22*I1690^4+$C$22*I1690^3+$D$22*I1690^2+$E$22*I1690+$F$22)/2</f>
      </c>
      <c r="X1690" s="7">
        <f>($W1690)*(T1690)</f>
      </c>
      <c r="Y1690" s="7">
        <f>($W1690)*(U1690)</f>
      </c>
      <c r="Z1690" s="7">
        <f>SQRT(X1690^2+Y1690^2)</f>
      </c>
      <c r="AA1690" s="7">
        <f>$K1690+$X1690</f>
      </c>
      <c r="AB1690" s="7">
        <f>$L1690+$Y1690</f>
      </c>
      <c r="AC1690" s="7">
        <f>$K1690-$X1690</f>
      </c>
      <c r="AD1690" s="7">
        <f>$L1690-$Y1690</f>
      </c>
      <c r="AE1690" s="7">
        <f>AA1690/39.3701</f>
      </c>
      <c r="AF1690" s="7">
        <f>AB1690/39.3701</f>
      </c>
      <c r="AG1690" s="7">
        <f>AC1690/39.3701</f>
      </c>
      <c r="AH1690" s="7">
        <f>AD1690/39.3701</f>
      </c>
      <c r="AI1690" s="1"/>
      <c r="AJ1690" s="1"/>
      <c r="AK1690" s="1"/>
      <c r="AL1690" s="1"/>
      <c r="AM1690" s="2"/>
      <c r="AN1690" s="1"/>
      <c r="AO1690" s="1"/>
      <c r="AP1690" s="1"/>
      <c r="AQ1690" s="1"/>
      <c r="AR1690" s="1"/>
      <c r="AS1690" s="1"/>
      <c r="AT1690" s="1"/>
      <c r="AU1690" s="1"/>
      <c r="AV1690" s="1"/>
      <c r="AW1690" s="1"/>
      <c r="AX1690" s="1"/>
      <c r="AY1690" s="1"/>
      <c r="AZ1690" s="1"/>
      <c r="BA1690" s="1"/>
      <c r="BB1690" s="1"/>
      <c r="BC1690" s="1"/>
      <c r="BD1690" s="1"/>
      <c r="BE1690" s="1"/>
    </row>
    <row x14ac:dyDescent="0.25" r="1691" customHeight="1" ht="18.75">
      <c r="A1691" s="1"/>
      <c r="B1691" s="2"/>
      <c r="C1691" s="2"/>
      <c r="D1691" s="2"/>
      <c r="E1691" s="2"/>
      <c r="F1691" s="2"/>
      <c r="G1691" s="1"/>
      <c r="H1691" s="1"/>
      <c r="I1691" s="7">
        <v>1.688</v>
      </c>
      <c r="J1691" s="7">
        <f>IF((I1691-ROUNDDOWN(I1691,0))=0, 0, (I1691-ROUNDDOWN(I1691,0)))</f>
      </c>
      <c r="K1691" s="7">
        <f>INDIRECT("C$"&amp;2+MIN(2,ROUNDDOWN(I1691,0))*3)*(-$J1691^3+3*$J1691^2-3*$J1691+1)+INDIRECT("C$"&amp;3+MIN(2,ROUNDDOWN(I1691,0))*3)*(3*$J1691^3-6*$J1691^2+3*$J1691)+INDIRECT("C$"&amp;4+MIN(2,ROUNDDOWN(I1691,0))*3)*(-3*$J1691^3+3*$J1691^2)+INDIRECT("C$"&amp;5+MIN(2,ROUNDDOWN(I1691,0))*3)*$J1691^3</f>
      </c>
      <c r="L1691" s="7">
        <f>INDIRECT("D$"&amp;2+MIN(2,ROUNDDOWN(I1691,0))*3)*(-$J1691^3+3*$J1691^2-3*$J1691+1)+INDIRECT("D$"&amp;3+MIN(2,ROUNDDOWN(I1691,0))*3)*(3*$J1691^3-6*$J1691^2+3*$J1691)+INDIRECT("D$"&amp;4+MIN(2,ROUNDDOWN(I1691,0))*3)*(-3*$J1691^3+3*$J1691^2)+INDIRECT("D$"&amp;5+MIN(2,ROUNDDOWN(I1691,0))*3)*$J1691^3</f>
      </c>
      <c r="M1691" s="7">
        <f>SQRT(K1691^2+L1691^2)</f>
      </c>
      <c r="N1691" s="7">
        <f>(K1692-K1690)</f>
      </c>
      <c r="O1691" s="7">
        <f>+(L1692-L1690)</f>
      </c>
      <c r="P1691" s="7">
        <f>SQRT(O1691^2+N1691^2)</f>
      </c>
      <c r="Q1691" s="7">
        <f>N1691/$P1691</f>
      </c>
      <c r="R1691" s="7">
        <f>O1691/$P1691</f>
      </c>
      <c r="S1691" s="8">
        <f>Q1691^2+R1691^2</f>
      </c>
      <c r="T1691" s="7">
        <f>-R1691</f>
      </c>
      <c r="U1691" s="7">
        <f>Q1691</f>
      </c>
      <c r="V1691" s="7">
        <f>($C$14+($C$15-$C$14)/($D$15-$D$14)*(I1691-$D$14))/2</f>
      </c>
      <c r="W1691" s="7">
        <f>($B$22*I1691^4+$C$22*I1691^3+$D$22*I1691^2+$E$22*I1691+$F$22)/2</f>
      </c>
      <c r="X1691" s="7">
        <f>($W1691)*(T1691)</f>
      </c>
      <c r="Y1691" s="7">
        <f>($W1691)*(U1691)</f>
      </c>
      <c r="Z1691" s="7">
        <f>SQRT(X1691^2+Y1691^2)</f>
      </c>
      <c r="AA1691" s="7">
        <f>$K1691+$X1691</f>
      </c>
      <c r="AB1691" s="7">
        <f>$L1691+$Y1691</f>
      </c>
      <c r="AC1691" s="7">
        <f>$K1691-$X1691</f>
      </c>
      <c r="AD1691" s="7">
        <f>$L1691-$Y1691</f>
      </c>
      <c r="AE1691" s="7">
        <f>AA1691/39.3701</f>
      </c>
      <c r="AF1691" s="7">
        <f>AB1691/39.3701</f>
      </c>
      <c r="AG1691" s="7">
        <f>AC1691/39.3701</f>
      </c>
      <c r="AH1691" s="7">
        <f>AD1691/39.3701</f>
      </c>
      <c r="AI1691" s="1"/>
      <c r="AJ1691" s="1"/>
      <c r="AK1691" s="1"/>
      <c r="AL1691" s="1"/>
      <c r="AM1691" s="2"/>
      <c r="AN1691" s="1"/>
      <c r="AO1691" s="1"/>
      <c r="AP1691" s="1"/>
      <c r="AQ1691" s="1"/>
      <c r="AR1691" s="1"/>
      <c r="AS1691" s="1"/>
      <c r="AT1691" s="1"/>
      <c r="AU1691" s="1"/>
      <c r="AV1691" s="1"/>
      <c r="AW1691" s="1"/>
      <c r="AX1691" s="1"/>
      <c r="AY1691" s="1"/>
      <c r="AZ1691" s="1"/>
      <c r="BA1691" s="1"/>
      <c r="BB1691" s="1"/>
      <c r="BC1691" s="1"/>
      <c r="BD1691" s="1"/>
      <c r="BE1691" s="1"/>
    </row>
    <row x14ac:dyDescent="0.25" r="1692" customHeight="1" ht="18.75">
      <c r="A1692" s="1"/>
      <c r="B1692" s="2"/>
      <c r="C1692" s="2"/>
      <c r="D1692" s="2"/>
      <c r="E1692" s="2"/>
      <c r="F1692" s="2"/>
      <c r="G1692" s="1"/>
      <c r="H1692" s="1"/>
      <c r="I1692" s="7">
        <v>1.689</v>
      </c>
      <c r="J1692" s="7">
        <f>IF((I1692-ROUNDDOWN(I1692,0))=0, 0, (I1692-ROUNDDOWN(I1692,0)))</f>
      </c>
      <c r="K1692" s="7">
        <f>INDIRECT("C$"&amp;2+MIN(2,ROUNDDOWN(I1692,0))*3)*(-$J1692^3+3*$J1692^2-3*$J1692+1)+INDIRECT("C$"&amp;3+MIN(2,ROUNDDOWN(I1692,0))*3)*(3*$J1692^3-6*$J1692^2+3*$J1692)+INDIRECT("C$"&amp;4+MIN(2,ROUNDDOWN(I1692,0))*3)*(-3*$J1692^3+3*$J1692^2)+INDIRECT("C$"&amp;5+MIN(2,ROUNDDOWN(I1692,0))*3)*$J1692^3</f>
      </c>
      <c r="L1692" s="7">
        <f>INDIRECT("D$"&amp;2+MIN(2,ROUNDDOWN(I1692,0))*3)*(-$J1692^3+3*$J1692^2-3*$J1692+1)+INDIRECT("D$"&amp;3+MIN(2,ROUNDDOWN(I1692,0))*3)*(3*$J1692^3-6*$J1692^2+3*$J1692)+INDIRECT("D$"&amp;4+MIN(2,ROUNDDOWN(I1692,0))*3)*(-3*$J1692^3+3*$J1692^2)+INDIRECT("D$"&amp;5+MIN(2,ROUNDDOWN(I1692,0))*3)*$J1692^3</f>
      </c>
      <c r="M1692" s="7">
        <f>SQRT(K1692^2+L1692^2)</f>
      </c>
      <c r="N1692" s="7">
        <f>(K1693-K1691)</f>
      </c>
      <c r="O1692" s="7">
        <f>+(L1693-L1691)</f>
      </c>
      <c r="P1692" s="7">
        <f>SQRT(O1692^2+N1692^2)</f>
      </c>
      <c r="Q1692" s="7">
        <f>N1692/$P1692</f>
      </c>
      <c r="R1692" s="7">
        <f>O1692/$P1692</f>
      </c>
      <c r="S1692" s="7">
        <f>Q1692^2+R1692^2</f>
      </c>
      <c r="T1692" s="7">
        <f>-R1692</f>
      </c>
      <c r="U1692" s="7">
        <f>Q1692</f>
      </c>
      <c r="V1692" s="7">
        <f>($C$14+($C$15-$C$14)/($D$15-$D$14)*(I1692-$D$14))/2</f>
      </c>
      <c r="W1692" s="7">
        <f>($B$22*I1692^4+$C$22*I1692^3+$D$22*I1692^2+$E$22*I1692+$F$22)/2</f>
      </c>
      <c r="X1692" s="7">
        <f>($W1692)*(T1692)</f>
      </c>
      <c r="Y1692" s="7">
        <f>($W1692)*(U1692)</f>
      </c>
      <c r="Z1692" s="7">
        <f>SQRT(X1692^2+Y1692^2)</f>
      </c>
      <c r="AA1692" s="7">
        <f>$K1692+$X1692</f>
      </c>
      <c r="AB1692" s="7">
        <f>$L1692+$Y1692</f>
      </c>
      <c r="AC1692" s="7">
        <f>$K1692-$X1692</f>
      </c>
      <c r="AD1692" s="7">
        <f>$L1692-$Y1692</f>
      </c>
      <c r="AE1692" s="7">
        <f>AA1692/39.3701</f>
      </c>
      <c r="AF1692" s="7">
        <f>AB1692/39.3701</f>
      </c>
      <c r="AG1692" s="7">
        <f>AC1692/39.3701</f>
      </c>
      <c r="AH1692" s="7">
        <f>AD1692/39.3701</f>
      </c>
      <c r="AI1692" s="1"/>
      <c r="AJ1692" s="1"/>
      <c r="AK1692" s="1"/>
      <c r="AL1692" s="1"/>
      <c r="AM1692" s="2"/>
      <c r="AN1692" s="1"/>
      <c r="AO1692" s="1"/>
      <c r="AP1692" s="1"/>
      <c r="AQ1692" s="1"/>
      <c r="AR1692" s="1"/>
      <c r="AS1692" s="1"/>
      <c r="AT1692" s="1"/>
      <c r="AU1692" s="1"/>
      <c r="AV1692" s="1"/>
      <c r="AW1692" s="1"/>
      <c r="AX1692" s="1"/>
      <c r="AY1692" s="1"/>
      <c r="AZ1692" s="1"/>
      <c r="BA1692" s="1"/>
      <c r="BB1692" s="1"/>
      <c r="BC1692" s="1"/>
      <c r="BD1692" s="1"/>
      <c r="BE1692" s="1"/>
    </row>
    <row x14ac:dyDescent="0.25" r="1693" customHeight="1" ht="18.75">
      <c r="A1693" s="1"/>
      <c r="B1693" s="2"/>
      <c r="C1693" s="2"/>
      <c r="D1693" s="2"/>
      <c r="E1693" s="2"/>
      <c r="F1693" s="2"/>
      <c r="G1693" s="1"/>
      <c r="H1693" s="1"/>
      <c r="I1693" s="7">
        <v>1.69</v>
      </c>
      <c r="J1693" s="7">
        <f>IF((I1693-ROUNDDOWN(I1693,0))=0, 0, (I1693-ROUNDDOWN(I1693,0)))</f>
      </c>
      <c r="K1693" s="7">
        <f>INDIRECT("C$"&amp;2+MIN(2,ROUNDDOWN(I1693,0))*3)*(-$J1693^3+3*$J1693^2-3*$J1693+1)+INDIRECT("C$"&amp;3+MIN(2,ROUNDDOWN(I1693,0))*3)*(3*$J1693^3-6*$J1693^2+3*$J1693)+INDIRECT("C$"&amp;4+MIN(2,ROUNDDOWN(I1693,0))*3)*(-3*$J1693^3+3*$J1693^2)+INDIRECT("C$"&amp;5+MIN(2,ROUNDDOWN(I1693,0))*3)*$J1693^3</f>
      </c>
      <c r="L1693" s="7">
        <f>INDIRECT("D$"&amp;2+MIN(2,ROUNDDOWN(I1693,0))*3)*(-$J1693^3+3*$J1693^2-3*$J1693+1)+INDIRECT("D$"&amp;3+MIN(2,ROUNDDOWN(I1693,0))*3)*(3*$J1693^3-6*$J1693^2+3*$J1693)+INDIRECT("D$"&amp;4+MIN(2,ROUNDDOWN(I1693,0))*3)*(-3*$J1693^3+3*$J1693^2)+INDIRECT("D$"&amp;5+MIN(2,ROUNDDOWN(I1693,0))*3)*$J1693^3</f>
      </c>
      <c r="M1693" s="7">
        <f>SQRT(K1693^2+L1693^2)</f>
      </c>
      <c r="N1693" s="7">
        <f>(K1694-K1692)</f>
      </c>
      <c r="O1693" s="7">
        <f>+(L1694-L1692)</f>
      </c>
      <c r="P1693" s="7">
        <f>SQRT(O1693^2+N1693^2)</f>
      </c>
      <c r="Q1693" s="7">
        <f>N1693/$P1693</f>
      </c>
      <c r="R1693" s="7">
        <f>O1693/$P1693</f>
      </c>
      <c r="S1693" s="8">
        <f>Q1693^2+R1693^2</f>
      </c>
      <c r="T1693" s="7">
        <f>-R1693</f>
      </c>
      <c r="U1693" s="7">
        <f>Q1693</f>
      </c>
      <c r="V1693" s="7">
        <f>($C$14+($C$15-$C$14)/($D$15-$D$14)*(I1693-$D$14))/2</f>
      </c>
      <c r="W1693" s="7">
        <f>($B$22*I1693^4+$C$22*I1693^3+$D$22*I1693^2+$E$22*I1693+$F$22)/2</f>
      </c>
      <c r="X1693" s="7">
        <f>($W1693)*(T1693)</f>
      </c>
      <c r="Y1693" s="7">
        <f>($W1693)*(U1693)</f>
      </c>
      <c r="Z1693" s="7">
        <f>SQRT(X1693^2+Y1693^2)</f>
      </c>
      <c r="AA1693" s="7">
        <f>$K1693+$X1693</f>
      </c>
      <c r="AB1693" s="7">
        <f>$L1693+$Y1693</f>
      </c>
      <c r="AC1693" s="7">
        <f>$K1693-$X1693</f>
      </c>
      <c r="AD1693" s="7">
        <f>$L1693-$Y1693</f>
      </c>
      <c r="AE1693" s="7">
        <f>AA1693/39.3701</f>
      </c>
      <c r="AF1693" s="7">
        <f>AB1693/39.3701</f>
      </c>
      <c r="AG1693" s="7">
        <f>AC1693/39.3701</f>
      </c>
      <c r="AH1693" s="7">
        <f>AD1693/39.3701</f>
      </c>
      <c r="AI1693" s="1"/>
      <c r="AJ1693" s="1"/>
      <c r="AK1693" s="1"/>
      <c r="AL1693" s="1"/>
      <c r="AM1693" s="2"/>
      <c r="AN1693" s="1"/>
      <c r="AO1693" s="1"/>
      <c r="AP1693" s="1"/>
      <c r="AQ1693" s="1"/>
      <c r="AR1693" s="1"/>
      <c r="AS1693" s="1"/>
      <c r="AT1693" s="1"/>
      <c r="AU1693" s="1"/>
      <c r="AV1693" s="1"/>
      <c r="AW1693" s="1"/>
      <c r="AX1693" s="1"/>
      <c r="AY1693" s="1"/>
      <c r="AZ1693" s="1"/>
      <c r="BA1693" s="1"/>
      <c r="BB1693" s="1"/>
      <c r="BC1693" s="1"/>
      <c r="BD1693" s="1"/>
      <c r="BE1693" s="1"/>
    </row>
    <row x14ac:dyDescent="0.25" r="1694" customHeight="1" ht="18.75">
      <c r="A1694" s="1"/>
      <c r="B1694" s="2"/>
      <c r="C1694" s="2"/>
      <c r="D1694" s="2"/>
      <c r="E1694" s="2"/>
      <c r="F1694" s="2"/>
      <c r="G1694" s="1"/>
      <c r="H1694" s="1"/>
      <c r="I1694" s="7">
        <v>1.691</v>
      </c>
      <c r="J1694" s="7">
        <f>IF((I1694-ROUNDDOWN(I1694,0))=0, 0, (I1694-ROUNDDOWN(I1694,0)))</f>
      </c>
      <c r="K1694" s="7">
        <f>INDIRECT("C$"&amp;2+MIN(2,ROUNDDOWN(I1694,0))*3)*(-$J1694^3+3*$J1694^2-3*$J1694+1)+INDIRECT("C$"&amp;3+MIN(2,ROUNDDOWN(I1694,0))*3)*(3*$J1694^3-6*$J1694^2+3*$J1694)+INDIRECT("C$"&amp;4+MIN(2,ROUNDDOWN(I1694,0))*3)*(-3*$J1694^3+3*$J1694^2)+INDIRECT("C$"&amp;5+MIN(2,ROUNDDOWN(I1694,0))*3)*$J1694^3</f>
      </c>
      <c r="L1694" s="7">
        <f>INDIRECT("D$"&amp;2+MIN(2,ROUNDDOWN(I1694,0))*3)*(-$J1694^3+3*$J1694^2-3*$J1694+1)+INDIRECT("D$"&amp;3+MIN(2,ROUNDDOWN(I1694,0))*3)*(3*$J1694^3-6*$J1694^2+3*$J1694)+INDIRECT("D$"&amp;4+MIN(2,ROUNDDOWN(I1694,0))*3)*(-3*$J1694^3+3*$J1694^2)+INDIRECT("D$"&amp;5+MIN(2,ROUNDDOWN(I1694,0))*3)*$J1694^3</f>
      </c>
      <c r="M1694" s="7">
        <f>SQRT(K1694^2+L1694^2)</f>
      </c>
      <c r="N1694" s="7">
        <f>(K1695-K1693)</f>
      </c>
      <c r="O1694" s="7">
        <f>+(L1695-L1693)</f>
      </c>
      <c r="P1694" s="7">
        <f>SQRT(O1694^2+N1694^2)</f>
      </c>
      <c r="Q1694" s="7">
        <f>N1694/$P1694</f>
      </c>
      <c r="R1694" s="7">
        <f>O1694/$P1694</f>
      </c>
      <c r="S1694" s="8">
        <f>Q1694^2+R1694^2</f>
      </c>
      <c r="T1694" s="7">
        <f>-R1694</f>
      </c>
      <c r="U1694" s="7">
        <f>Q1694</f>
      </c>
      <c r="V1694" s="7">
        <f>($C$14+($C$15-$C$14)/($D$15-$D$14)*(I1694-$D$14))/2</f>
      </c>
      <c r="W1694" s="7">
        <f>($B$22*I1694^4+$C$22*I1694^3+$D$22*I1694^2+$E$22*I1694+$F$22)/2</f>
      </c>
      <c r="X1694" s="7">
        <f>($W1694)*(T1694)</f>
      </c>
      <c r="Y1694" s="7">
        <f>($W1694)*(U1694)</f>
      </c>
      <c r="Z1694" s="7">
        <f>SQRT(X1694^2+Y1694^2)</f>
      </c>
      <c r="AA1694" s="7">
        <f>$K1694+$X1694</f>
      </c>
      <c r="AB1694" s="7">
        <f>$L1694+$Y1694</f>
      </c>
      <c r="AC1694" s="7">
        <f>$K1694-$X1694</f>
      </c>
      <c r="AD1694" s="7">
        <f>$L1694-$Y1694</f>
      </c>
      <c r="AE1694" s="7">
        <f>AA1694/39.3701</f>
      </c>
      <c r="AF1694" s="7">
        <f>AB1694/39.3701</f>
      </c>
      <c r="AG1694" s="7">
        <f>AC1694/39.3701</f>
      </c>
      <c r="AH1694" s="7">
        <f>AD1694/39.3701</f>
      </c>
      <c r="AI1694" s="1"/>
      <c r="AJ1694" s="1"/>
      <c r="AK1694" s="1"/>
      <c r="AL1694" s="1"/>
      <c r="AM1694" s="2"/>
      <c r="AN1694" s="1"/>
      <c r="AO1694" s="1"/>
      <c r="AP1694" s="1"/>
      <c r="AQ1694" s="1"/>
      <c r="AR1694" s="1"/>
      <c r="AS1694" s="1"/>
      <c r="AT1694" s="1"/>
      <c r="AU1694" s="1"/>
      <c r="AV1694" s="1"/>
      <c r="AW1694" s="1"/>
      <c r="AX1694" s="1"/>
      <c r="AY1694" s="1"/>
      <c r="AZ1694" s="1"/>
      <c r="BA1694" s="1"/>
      <c r="BB1694" s="1"/>
      <c r="BC1694" s="1"/>
      <c r="BD1694" s="1"/>
      <c r="BE1694" s="1"/>
    </row>
    <row x14ac:dyDescent="0.25" r="1695" customHeight="1" ht="18.75">
      <c r="A1695" s="1"/>
      <c r="B1695" s="2"/>
      <c r="C1695" s="2"/>
      <c r="D1695" s="2"/>
      <c r="E1695" s="2"/>
      <c r="F1695" s="2"/>
      <c r="G1695" s="1"/>
      <c r="H1695" s="1"/>
      <c r="I1695" s="7">
        <v>1.692</v>
      </c>
      <c r="J1695" s="7">
        <f>IF((I1695-ROUNDDOWN(I1695,0))=0, 0, (I1695-ROUNDDOWN(I1695,0)))</f>
      </c>
      <c r="K1695" s="7">
        <f>INDIRECT("C$"&amp;2+MIN(2,ROUNDDOWN(I1695,0))*3)*(-$J1695^3+3*$J1695^2-3*$J1695+1)+INDIRECT("C$"&amp;3+MIN(2,ROUNDDOWN(I1695,0))*3)*(3*$J1695^3-6*$J1695^2+3*$J1695)+INDIRECT("C$"&amp;4+MIN(2,ROUNDDOWN(I1695,0))*3)*(-3*$J1695^3+3*$J1695^2)+INDIRECT("C$"&amp;5+MIN(2,ROUNDDOWN(I1695,0))*3)*$J1695^3</f>
      </c>
      <c r="L1695" s="7">
        <f>INDIRECT("D$"&amp;2+MIN(2,ROUNDDOWN(I1695,0))*3)*(-$J1695^3+3*$J1695^2-3*$J1695+1)+INDIRECT("D$"&amp;3+MIN(2,ROUNDDOWN(I1695,0))*3)*(3*$J1695^3-6*$J1695^2+3*$J1695)+INDIRECT("D$"&amp;4+MIN(2,ROUNDDOWN(I1695,0))*3)*(-3*$J1695^3+3*$J1695^2)+INDIRECT("D$"&amp;5+MIN(2,ROUNDDOWN(I1695,0))*3)*$J1695^3</f>
      </c>
      <c r="M1695" s="7">
        <f>SQRT(K1695^2+L1695^2)</f>
      </c>
      <c r="N1695" s="7">
        <f>(K1696-K1694)</f>
      </c>
      <c r="O1695" s="7">
        <f>+(L1696-L1694)</f>
      </c>
      <c r="P1695" s="7">
        <f>SQRT(O1695^2+N1695^2)</f>
      </c>
      <c r="Q1695" s="7">
        <f>N1695/$P1695</f>
      </c>
      <c r="R1695" s="7">
        <f>O1695/$P1695</f>
      </c>
      <c r="S1695" s="8">
        <f>Q1695^2+R1695^2</f>
      </c>
      <c r="T1695" s="7">
        <f>-R1695</f>
      </c>
      <c r="U1695" s="7">
        <f>Q1695</f>
      </c>
      <c r="V1695" s="7">
        <f>($C$14+($C$15-$C$14)/($D$15-$D$14)*(I1695-$D$14))/2</f>
      </c>
      <c r="W1695" s="7">
        <f>($B$22*I1695^4+$C$22*I1695^3+$D$22*I1695^2+$E$22*I1695+$F$22)/2</f>
      </c>
      <c r="X1695" s="7">
        <f>($W1695)*(T1695)</f>
      </c>
      <c r="Y1695" s="7">
        <f>($W1695)*(U1695)</f>
      </c>
      <c r="Z1695" s="7">
        <f>SQRT(X1695^2+Y1695^2)</f>
      </c>
      <c r="AA1695" s="7">
        <f>$K1695+$X1695</f>
      </c>
      <c r="AB1695" s="7">
        <f>$L1695+$Y1695</f>
      </c>
      <c r="AC1695" s="7">
        <f>$K1695-$X1695</f>
      </c>
      <c r="AD1695" s="7">
        <f>$L1695-$Y1695</f>
      </c>
      <c r="AE1695" s="7">
        <f>AA1695/39.3701</f>
      </c>
      <c r="AF1695" s="7">
        <f>AB1695/39.3701</f>
      </c>
      <c r="AG1695" s="7">
        <f>AC1695/39.3701</f>
      </c>
      <c r="AH1695" s="7">
        <f>AD1695/39.3701</f>
      </c>
      <c r="AI1695" s="1"/>
      <c r="AJ1695" s="1"/>
      <c r="AK1695" s="1"/>
      <c r="AL1695" s="1"/>
      <c r="AM1695" s="2"/>
      <c r="AN1695" s="1"/>
      <c r="AO1695" s="1"/>
      <c r="AP1695" s="1"/>
      <c r="AQ1695" s="1"/>
      <c r="AR1695" s="1"/>
      <c r="AS1695" s="1"/>
      <c r="AT1695" s="1"/>
      <c r="AU1695" s="1"/>
      <c r="AV1695" s="1"/>
      <c r="AW1695" s="1"/>
      <c r="AX1695" s="1"/>
      <c r="AY1695" s="1"/>
      <c r="AZ1695" s="1"/>
      <c r="BA1695" s="1"/>
      <c r="BB1695" s="1"/>
      <c r="BC1695" s="1"/>
      <c r="BD1695" s="1"/>
      <c r="BE1695" s="1"/>
    </row>
    <row x14ac:dyDescent="0.25" r="1696" customHeight="1" ht="18.75">
      <c r="A1696" s="1"/>
      <c r="B1696" s="2"/>
      <c r="C1696" s="2"/>
      <c r="D1696" s="2"/>
      <c r="E1696" s="2"/>
      <c r="F1696" s="2"/>
      <c r="G1696" s="1"/>
      <c r="H1696" s="1"/>
      <c r="I1696" s="7">
        <v>1.693</v>
      </c>
      <c r="J1696" s="7">
        <f>IF((I1696-ROUNDDOWN(I1696,0))=0, 0, (I1696-ROUNDDOWN(I1696,0)))</f>
      </c>
      <c r="K1696" s="7">
        <f>INDIRECT("C$"&amp;2+MIN(2,ROUNDDOWN(I1696,0))*3)*(-$J1696^3+3*$J1696^2-3*$J1696+1)+INDIRECT("C$"&amp;3+MIN(2,ROUNDDOWN(I1696,0))*3)*(3*$J1696^3-6*$J1696^2+3*$J1696)+INDIRECT("C$"&amp;4+MIN(2,ROUNDDOWN(I1696,0))*3)*(-3*$J1696^3+3*$J1696^2)+INDIRECT("C$"&amp;5+MIN(2,ROUNDDOWN(I1696,0))*3)*$J1696^3</f>
      </c>
      <c r="L1696" s="7">
        <f>INDIRECT("D$"&amp;2+MIN(2,ROUNDDOWN(I1696,0))*3)*(-$J1696^3+3*$J1696^2-3*$J1696+1)+INDIRECT("D$"&amp;3+MIN(2,ROUNDDOWN(I1696,0))*3)*(3*$J1696^3-6*$J1696^2+3*$J1696)+INDIRECT("D$"&amp;4+MIN(2,ROUNDDOWN(I1696,0))*3)*(-3*$J1696^3+3*$J1696^2)+INDIRECT("D$"&amp;5+MIN(2,ROUNDDOWN(I1696,0))*3)*$J1696^3</f>
      </c>
      <c r="M1696" s="7">
        <f>SQRT(K1696^2+L1696^2)</f>
      </c>
      <c r="N1696" s="7">
        <f>(K1697-K1695)</f>
      </c>
      <c r="O1696" s="7">
        <f>+(L1697-L1695)</f>
      </c>
      <c r="P1696" s="7">
        <f>SQRT(O1696^2+N1696^2)</f>
      </c>
      <c r="Q1696" s="7">
        <f>N1696/$P1696</f>
      </c>
      <c r="R1696" s="7">
        <f>O1696/$P1696</f>
      </c>
      <c r="S1696" s="8">
        <f>Q1696^2+R1696^2</f>
      </c>
      <c r="T1696" s="7">
        <f>-R1696</f>
      </c>
      <c r="U1696" s="7">
        <f>Q1696</f>
      </c>
      <c r="V1696" s="7">
        <f>($C$14+($C$15-$C$14)/($D$15-$D$14)*(I1696-$D$14))/2</f>
      </c>
      <c r="W1696" s="7">
        <f>($B$22*I1696^4+$C$22*I1696^3+$D$22*I1696^2+$E$22*I1696+$F$22)/2</f>
      </c>
      <c r="X1696" s="7">
        <f>($W1696)*(T1696)</f>
      </c>
      <c r="Y1696" s="7">
        <f>($W1696)*(U1696)</f>
      </c>
      <c r="Z1696" s="7">
        <f>SQRT(X1696^2+Y1696^2)</f>
      </c>
      <c r="AA1696" s="7">
        <f>$K1696+$X1696</f>
      </c>
      <c r="AB1696" s="7">
        <f>$L1696+$Y1696</f>
      </c>
      <c r="AC1696" s="7">
        <f>$K1696-$X1696</f>
      </c>
      <c r="AD1696" s="7">
        <f>$L1696-$Y1696</f>
      </c>
      <c r="AE1696" s="7">
        <f>AA1696/39.3701</f>
      </c>
      <c r="AF1696" s="7">
        <f>AB1696/39.3701</f>
      </c>
      <c r="AG1696" s="7">
        <f>AC1696/39.3701</f>
      </c>
      <c r="AH1696" s="7">
        <f>AD1696/39.3701</f>
      </c>
      <c r="AI1696" s="1"/>
      <c r="AJ1696" s="1"/>
      <c r="AK1696" s="1"/>
      <c r="AL1696" s="1"/>
      <c r="AM1696" s="2"/>
      <c r="AN1696" s="1"/>
      <c r="AO1696" s="1"/>
      <c r="AP1696" s="1"/>
      <c r="AQ1696" s="1"/>
      <c r="AR1696" s="1"/>
      <c r="AS1696" s="1"/>
      <c r="AT1696" s="1"/>
      <c r="AU1696" s="1"/>
      <c r="AV1696" s="1"/>
      <c r="AW1696" s="1"/>
      <c r="AX1696" s="1"/>
      <c r="AY1696" s="1"/>
      <c r="AZ1696" s="1"/>
      <c r="BA1696" s="1"/>
      <c r="BB1696" s="1"/>
      <c r="BC1696" s="1"/>
      <c r="BD1696" s="1"/>
      <c r="BE1696" s="1"/>
    </row>
    <row x14ac:dyDescent="0.25" r="1697" customHeight="1" ht="18.75">
      <c r="A1697" s="1"/>
      <c r="B1697" s="2"/>
      <c r="C1697" s="2"/>
      <c r="D1697" s="2"/>
      <c r="E1697" s="2"/>
      <c r="F1697" s="2"/>
      <c r="G1697" s="1"/>
      <c r="H1697" s="1"/>
      <c r="I1697" s="7">
        <v>1.694</v>
      </c>
      <c r="J1697" s="7">
        <f>IF((I1697-ROUNDDOWN(I1697,0))=0, 0, (I1697-ROUNDDOWN(I1697,0)))</f>
      </c>
      <c r="K1697" s="7">
        <f>INDIRECT("C$"&amp;2+MIN(2,ROUNDDOWN(I1697,0))*3)*(-$J1697^3+3*$J1697^2-3*$J1697+1)+INDIRECT("C$"&amp;3+MIN(2,ROUNDDOWN(I1697,0))*3)*(3*$J1697^3-6*$J1697^2+3*$J1697)+INDIRECT("C$"&amp;4+MIN(2,ROUNDDOWN(I1697,0))*3)*(-3*$J1697^3+3*$J1697^2)+INDIRECT("C$"&amp;5+MIN(2,ROUNDDOWN(I1697,0))*3)*$J1697^3</f>
      </c>
      <c r="L1697" s="7">
        <f>INDIRECT("D$"&amp;2+MIN(2,ROUNDDOWN(I1697,0))*3)*(-$J1697^3+3*$J1697^2-3*$J1697+1)+INDIRECT("D$"&amp;3+MIN(2,ROUNDDOWN(I1697,0))*3)*(3*$J1697^3-6*$J1697^2+3*$J1697)+INDIRECT("D$"&amp;4+MIN(2,ROUNDDOWN(I1697,0))*3)*(-3*$J1697^3+3*$J1697^2)+INDIRECT("D$"&amp;5+MIN(2,ROUNDDOWN(I1697,0))*3)*$J1697^3</f>
      </c>
      <c r="M1697" s="7">
        <f>SQRT(K1697^2+L1697^2)</f>
      </c>
      <c r="N1697" s="7">
        <f>(K1698-K1696)</f>
      </c>
      <c r="O1697" s="7">
        <f>+(L1698-L1696)</f>
      </c>
      <c r="P1697" s="7">
        <f>SQRT(O1697^2+N1697^2)</f>
      </c>
      <c r="Q1697" s="7">
        <f>N1697/$P1697</f>
      </c>
      <c r="R1697" s="7">
        <f>O1697/$P1697</f>
      </c>
      <c r="S1697" s="7">
        <f>Q1697^2+R1697^2</f>
      </c>
      <c r="T1697" s="7">
        <f>-R1697</f>
      </c>
      <c r="U1697" s="7">
        <f>Q1697</f>
      </c>
      <c r="V1697" s="7">
        <f>($C$14+($C$15-$C$14)/($D$15-$D$14)*(I1697-$D$14))/2</f>
      </c>
      <c r="W1697" s="7">
        <f>($B$22*I1697^4+$C$22*I1697^3+$D$22*I1697^2+$E$22*I1697+$F$22)/2</f>
      </c>
      <c r="X1697" s="7">
        <f>($W1697)*(T1697)</f>
      </c>
      <c r="Y1697" s="7">
        <f>($W1697)*(U1697)</f>
      </c>
      <c r="Z1697" s="7">
        <f>SQRT(X1697^2+Y1697^2)</f>
      </c>
      <c r="AA1697" s="7">
        <f>$K1697+$X1697</f>
      </c>
      <c r="AB1697" s="7">
        <f>$L1697+$Y1697</f>
      </c>
      <c r="AC1697" s="7">
        <f>$K1697-$X1697</f>
      </c>
      <c r="AD1697" s="7">
        <f>$L1697-$Y1697</f>
      </c>
      <c r="AE1697" s="7">
        <f>AA1697/39.3701</f>
      </c>
      <c r="AF1697" s="7">
        <f>AB1697/39.3701</f>
      </c>
      <c r="AG1697" s="7">
        <f>AC1697/39.3701</f>
      </c>
      <c r="AH1697" s="7">
        <f>AD1697/39.3701</f>
      </c>
      <c r="AI1697" s="1"/>
      <c r="AJ1697" s="1"/>
      <c r="AK1697" s="1"/>
      <c r="AL1697" s="1"/>
      <c r="AM1697" s="2"/>
      <c r="AN1697" s="1"/>
      <c r="AO1697" s="1"/>
      <c r="AP1697" s="1"/>
      <c r="AQ1697" s="1"/>
      <c r="AR1697" s="1"/>
      <c r="AS1697" s="1"/>
      <c r="AT1697" s="1"/>
      <c r="AU1697" s="1"/>
      <c r="AV1697" s="1"/>
      <c r="AW1697" s="1"/>
      <c r="AX1697" s="1"/>
      <c r="AY1697" s="1"/>
      <c r="AZ1697" s="1"/>
      <c r="BA1697" s="1"/>
      <c r="BB1697" s="1"/>
      <c r="BC1697" s="1"/>
      <c r="BD1697" s="1"/>
      <c r="BE1697" s="1"/>
    </row>
    <row x14ac:dyDescent="0.25" r="1698" customHeight="1" ht="18.75">
      <c r="A1698" s="1"/>
      <c r="B1698" s="2"/>
      <c r="C1698" s="2"/>
      <c r="D1698" s="2"/>
      <c r="E1698" s="2"/>
      <c r="F1698" s="2"/>
      <c r="G1698" s="1"/>
      <c r="H1698" s="1"/>
      <c r="I1698" s="7">
        <v>1.695</v>
      </c>
      <c r="J1698" s="7">
        <f>IF((I1698-ROUNDDOWN(I1698,0))=0, 0, (I1698-ROUNDDOWN(I1698,0)))</f>
      </c>
      <c r="K1698" s="7">
        <f>INDIRECT("C$"&amp;2+MIN(2,ROUNDDOWN(I1698,0))*3)*(-$J1698^3+3*$J1698^2-3*$J1698+1)+INDIRECT("C$"&amp;3+MIN(2,ROUNDDOWN(I1698,0))*3)*(3*$J1698^3-6*$J1698^2+3*$J1698)+INDIRECT("C$"&amp;4+MIN(2,ROUNDDOWN(I1698,0))*3)*(-3*$J1698^3+3*$J1698^2)+INDIRECT("C$"&amp;5+MIN(2,ROUNDDOWN(I1698,0))*3)*$J1698^3</f>
      </c>
      <c r="L1698" s="7">
        <f>INDIRECT("D$"&amp;2+MIN(2,ROUNDDOWN(I1698,0))*3)*(-$J1698^3+3*$J1698^2-3*$J1698+1)+INDIRECT("D$"&amp;3+MIN(2,ROUNDDOWN(I1698,0))*3)*(3*$J1698^3-6*$J1698^2+3*$J1698)+INDIRECT("D$"&amp;4+MIN(2,ROUNDDOWN(I1698,0))*3)*(-3*$J1698^3+3*$J1698^2)+INDIRECT("D$"&amp;5+MIN(2,ROUNDDOWN(I1698,0))*3)*$J1698^3</f>
      </c>
      <c r="M1698" s="7">
        <f>SQRT(K1698^2+L1698^2)</f>
      </c>
      <c r="N1698" s="7">
        <f>(K1699-K1697)</f>
      </c>
      <c r="O1698" s="7">
        <f>+(L1699-L1697)</f>
      </c>
      <c r="P1698" s="7">
        <f>SQRT(O1698^2+N1698^2)</f>
      </c>
      <c r="Q1698" s="7">
        <f>N1698/$P1698</f>
      </c>
      <c r="R1698" s="7">
        <f>O1698/$P1698</f>
      </c>
      <c r="S1698" s="7">
        <f>Q1698^2+R1698^2</f>
      </c>
      <c r="T1698" s="7">
        <f>-R1698</f>
      </c>
      <c r="U1698" s="7">
        <f>Q1698</f>
      </c>
      <c r="V1698" s="7">
        <f>($C$14+($C$15-$C$14)/($D$15-$D$14)*(I1698-$D$14))/2</f>
      </c>
      <c r="W1698" s="7">
        <f>($B$22*I1698^4+$C$22*I1698^3+$D$22*I1698^2+$E$22*I1698+$F$22)/2</f>
      </c>
      <c r="X1698" s="7">
        <f>($W1698)*(T1698)</f>
      </c>
      <c r="Y1698" s="7">
        <f>($W1698)*(U1698)</f>
      </c>
      <c r="Z1698" s="7">
        <f>SQRT(X1698^2+Y1698^2)</f>
      </c>
      <c r="AA1698" s="7">
        <f>$K1698+$X1698</f>
      </c>
      <c r="AB1698" s="7">
        <f>$L1698+$Y1698</f>
      </c>
      <c r="AC1698" s="7">
        <f>$K1698-$X1698</f>
      </c>
      <c r="AD1698" s="7">
        <f>$L1698-$Y1698</f>
      </c>
      <c r="AE1698" s="7">
        <f>AA1698/39.3701</f>
      </c>
      <c r="AF1698" s="7">
        <f>AB1698/39.3701</f>
      </c>
      <c r="AG1698" s="7">
        <f>AC1698/39.3701</f>
      </c>
      <c r="AH1698" s="7">
        <f>AD1698/39.3701</f>
      </c>
      <c r="AI1698" s="1"/>
      <c r="AJ1698" s="1"/>
      <c r="AK1698" s="1"/>
      <c r="AL1698" s="1"/>
      <c r="AM1698" s="2"/>
      <c r="AN1698" s="1"/>
      <c r="AO1698" s="1"/>
      <c r="AP1698" s="1"/>
      <c r="AQ1698" s="1"/>
      <c r="AR1698" s="1"/>
      <c r="AS1698" s="1"/>
      <c r="AT1698" s="1"/>
      <c r="AU1698" s="1"/>
      <c r="AV1698" s="1"/>
      <c r="AW1698" s="1"/>
      <c r="AX1698" s="1"/>
      <c r="AY1698" s="1"/>
      <c r="AZ1698" s="1"/>
      <c r="BA1698" s="1"/>
      <c r="BB1698" s="1"/>
      <c r="BC1698" s="1"/>
      <c r="BD1698" s="1"/>
      <c r="BE1698" s="1"/>
    </row>
    <row x14ac:dyDescent="0.25" r="1699" customHeight="1" ht="18.75">
      <c r="A1699" s="1"/>
      <c r="B1699" s="2"/>
      <c r="C1699" s="2"/>
      <c r="D1699" s="2"/>
      <c r="E1699" s="2"/>
      <c r="F1699" s="2"/>
      <c r="G1699" s="1"/>
      <c r="H1699" s="1"/>
      <c r="I1699" s="7">
        <v>1.696</v>
      </c>
      <c r="J1699" s="7">
        <f>IF((I1699-ROUNDDOWN(I1699,0))=0, 0, (I1699-ROUNDDOWN(I1699,0)))</f>
      </c>
      <c r="K1699" s="7">
        <f>INDIRECT("C$"&amp;2+MIN(2,ROUNDDOWN(I1699,0))*3)*(-$J1699^3+3*$J1699^2-3*$J1699+1)+INDIRECT("C$"&amp;3+MIN(2,ROUNDDOWN(I1699,0))*3)*(3*$J1699^3-6*$J1699^2+3*$J1699)+INDIRECT("C$"&amp;4+MIN(2,ROUNDDOWN(I1699,0))*3)*(-3*$J1699^3+3*$J1699^2)+INDIRECT("C$"&amp;5+MIN(2,ROUNDDOWN(I1699,0))*3)*$J1699^3</f>
      </c>
      <c r="L1699" s="7">
        <f>INDIRECT("D$"&amp;2+MIN(2,ROUNDDOWN(I1699,0))*3)*(-$J1699^3+3*$J1699^2-3*$J1699+1)+INDIRECT("D$"&amp;3+MIN(2,ROUNDDOWN(I1699,0))*3)*(3*$J1699^3-6*$J1699^2+3*$J1699)+INDIRECT("D$"&amp;4+MIN(2,ROUNDDOWN(I1699,0))*3)*(-3*$J1699^3+3*$J1699^2)+INDIRECT("D$"&amp;5+MIN(2,ROUNDDOWN(I1699,0))*3)*$J1699^3</f>
      </c>
      <c r="M1699" s="7">
        <f>SQRT(K1699^2+L1699^2)</f>
      </c>
      <c r="N1699" s="7">
        <f>(K1700-K1698)</f>
      </c>
      <c r="O1699" s="7">
        <f>+(L1700-L1698)</f>
      </c>
      <c r="P1699" s="7">
        <f>SQRT(O1699^2+N1699^2)</f>
      </c>
      <c r="Q1699" s="7">
        <f>N1699/$P1699</f>
      </c>
      <c r="R1699" s="7">
        <f>O1699/$P1699</f>
      </c>
      <c r="S1699" s="8">
        <f>Q1699^2+R1699^2</f>
      </c>
      <c r="T1699" s="7">
        <f>-R1699</f>
      </c>
      <c r="U1699" s="7">
        <f>Q1699</f>
      </c>
      <c r="V1699" s="7">
        <f>($C$14+($C$15-$C$14)/($D$15-$D$14)*(I1699-$D$14))/2</f>
      </c>
      <c r="W1699" s="7">
        <f>($B$22*I1699^4+$C$22*I1699^3+$D$22*I1699^2+$E$22*I1699+$F$22)/2</f>
      </c>
      <c r="X1699" s="7">
        <f>($W1699)*(T1699)</f>
      </c>
      <c r="Y1699" s="7">
        <f>($W1699)*(U1699)</f>
      </c>
      <c r="Z1699" s="7">
        <f>SQRT(X1699^2+Y1699^2)</f>
      </c>
      <c r="AA1699" s="7">
        <f>$K1699+$X1699</f>
      </c>
      <c r="AB1699" s="7">
        <f>$L1699+$Y1699</f>
      </c>
      <c r="AC1699" s="7">
        <f>$K1699-$X1699</f>
      </c>
      <c r="AD1699" s="7">
        <f>$L1699-$Y1699</f>
      </c>
      <c r="AE1699" s="7">
        <f>AA1699/39.3701</f>
      </c>
      <c r="AF1699" s="7">
        <f>AB1699/39.3701</f>
      </c>
      <c r="AG1699" s="7">
        <f>AC1699/39.3701</f>
      </c>
      <c r="AH1699" s="7">
        <f>AD1699/39.3701</f>
      </c>
      <c r="AI1699" s="1"/>
      <c r="AJ1699" s="1"/>
      <c r="AK1699" s="1"/>
      <c r="AL1699" s="1"/>
      <c r="AM1699" s="2"/>
      <c r="AN1699" s="1"/>
      <c r="AO1699" s="1"/>
      <c r="AP1699" s="1"/>
      <c r="AQ1699" s="1"/>
      <c r="AR1699" s="1"/>
      <c r="AS1699" s="1"/>
      <c r="AT1699" s="1"/>
      <c r="AU1699" s="1"/>
      <c r="AV1699" s="1"/>
      <c r="AW1699" s="1"/>
      <c r="AX1699" s="1"/>
      <c r="AY1699" s="1"/>
      <c r="AZ1699" s="1"/>
      <c r="BA1699" s="1"/>
      <c r="BB1699" s="1"/>
      <c r="BC1699" s="1"/>
      <c r="BD1699" s="1"/>
      <c r="BE1699" s="1"/>
    </row>
    <row x14ac:dyDescent="0.25" r="1700" customHeight="1" ht="18.75">
      <c r="A1700" s="1"/>
      <c r="B1700" s="2"/>
      <c r="C1700" s="2"/>
      <c r="D1700" s="2"/>
      <c r="E1700" s="2"/>
      <c r="F1700" s="2"/>
      <c r="G1700" s="1"/>
      <c r="H1700" s="1"/>
      <c r="I1700" s="7">
        <v>1.697</v>
      </c>
      <c r="J1700" s="7">
        <f>IF((I1700-ROUNDDOWN(I1700,0))=0, 0, (I1700-ROUNDDOWN(I1700,0)))</f>
      </c>
      <c r="K1700" s="7">
        <f>INDIRECT("C$"&amp;2+MIN(2,ROUNDDOWN(I1700,0))*3)*(-$J1700^3+3*$J1700^2-3*$J1700+1)+INDIRECT("C$"&amp;3+MIN(2,ROUNDDOWN(I1700,0))*3)*(3*$J1700^3-6*$J1700^2+3*$J1700)+INDIRECT("C$"&amp;4+MIN(2,ROUNDDOWN(I1700,0))*3)*(-3*$J1700^3+3*$J1700^2)+INDIRECT("C$"&amp;5+MIN(2,ROUNDDOWN(I1700,0))*3)*$J1700^3</f>
      </c>
      <c r="L1700" s="7">
        <f>INDIRECT("D$"&amp;2+MIN(2,ROUNDDOWN(I1700,0))*3)*(-$J1700^3+3*$J1700^2-3*$J1700+1)+INDIRECT("D$"&amp;3+MIN(2,ROUNDDOWN(I1700,0))*3)*(3*$J1700^3-6*$J1700^2+3*$J1700)+INDIRECT("D$"&amp;4+MIN(2,ROUNDDOWN(I1700,0))*3)*(-3*$J1700^3+3*$J1700^2)+INDIRECT("D$"&amp;5+MIN(2,ROUNDDOWN(I1700,0))*3)*$J1700^3</f>
      </c>
      <c r="M1700" s="7">
        <f>SQRT(K1700^2+L1700^2)</f>
      </c>
      <c r="N1700" s="7">
        <f>(K1701-K1699)</f>
      </c>
      <c r="O1700" s="7">
        <f>+(L1701-L1699)</f>
      </c>
      <c r="P1700" s="7">
        <f>SQRT(O1700^2+N1700^2)</f>
      </c>
      <c r="Q1700" s="7">
        <f>N1700/$P1700</f>
      </c>
      <c r="R1700" s="7">
        <f>O1700/$P1700</f>
      </c>
      <c r="S1700" s="7">
        <f>Q1700^2+R1700^2</f>
      </c>
      <c r="T1700" s="7">
        <f>-R1700</f>
      </c>
      <c r="U1700" s="7">
        <f>Q1700</f>
      </c>
      <c r="V1700" s="7">
        <f>($C$14+($C$15-$C$14)/($D$15-$D$14)*(I1700-$D$14))/2</f>
      </c>
      <c r="W1700" s="7">
        <f>($B$22*I1700^4+$C$22*I1700^3+$D$22*I1700^2+$E$22*I1700+$F$22)/2</f>
      </c>
      <c r="X1700" s="7">
        <f>($W1700)*(T1700)</f>
      </c>
      <c r="Y1700" s="7">
        <f>($W1700)*(U1700)</f>
      </c>
      <c r="Z1700" s="7">
        <f>SQRT(X1700^2+Y1700^2)</f>
      </c>
      <c r="AA1700" s="7">
        <f>$K1700+$X1700</f>
      </c>
      <c r="AB1700" s="7">
        <f>$L1700+$Y1700</f>
      </c>
      <c r="AC1700" s="7">
        <f>$K1700-$X1700</f>
      </c>
      <c r="AD1700" s="7">
        <f>$L1700-$Y1700</f>
      </c>
      <c r="AE1700" s="7">
        <f>AA1700/39.3701</f>
      </c>
      <c r="AF1700" s="7">
        <f>AB1700/39.3701</f>
      </c>
      <c r="AG1700" s="7">
        <f>AC1700/39.3701</f>
      </c>
      <c r="AH1700" s="7">
        <f>AD1700/39.3701</f>
      </c>
      <c r="AI1700" s="1"/>
      <c r="AJ1700" s="1"/>
      <c r="AK1700" s="1"/>
      <c r="AL1700" s="1"/>
      <c r="AM1700" s="2"/>
      <c r="AN1700" s="1"/>
      <c r="AO1700" s="1"/>
      <c r="AP1700" s="1"/>
      <c r="AQ1700" s="1"/>
      <c r="AR1700" s="1"/>
      <c r="AS1700" s="1"/>
      <c r="AT1700" s="1"/>
      <c r="AU1700" s="1"/>
      <c r="AV1700" s="1"/>
      <c r="AW1700" s="1"/>
      <c r="AX1700" s="1"/>
      <c r="AY1700" s="1"/>
      <c r="AZ1700" s="1"/>
      <c r="BA1700" s="1"/>
      <c r="BB1700" s="1"/>
      <c r="BC1700" s="1"/>
      <c r="BD1700" s="1"/>
      <c r="BE1700" s="1"/>
    </row>
    <row x14ac:dyDescent="0.25" r="1701" customHeight="1" ht="18.75">
      <c r="A1701" s="1"/>
      <c r="B1701" s="2"/>
      <c r="C1701" s="2"/>
      <c r="D1701" s="2"/>
      <c r="E1701" s="2"/>
      <c r="F1701" s="2"/>
      <c r="G1701" s="1"/>
      <c r="H1701" s="1"/>
      <c r="I1701" s="7">
        <v>1.698</v>
      </c>
      <c r="J1701" s="7">
        <f>IF((I1701-ROUNDDOWN(I1701,0))=0, 0, (I1701-ROUNDDOWN(I1701,0)))</f>
      </c>
      <c r="K1701" s="7">
        <f>INDIRECT("C$"&amp;2+MIN(2,ROUNDDOWN(I1701,0))*3)*(-$J1701^3+3*$J1701^2-3*$J1701+1)+INDIRECT("C$"&amp;3+MIN(2,ROUNDDOWN(I1701,0))*3)*(3*$J1701^3-6*$J1701^2+3*$J1701)+INDIRECT("C$"&amp;4+MIN(2,ROUNDDOWN(I1701,0))*3)*(-3*$J1701^3+3*$J1701^2)+INDIRECT("C$"&amp;5+MIN(2,ROUNDDOWN(I1701,0))*3)*$J1701^3</f>
      </c>
      <c r="L1701" s="7">
        <f>INDIRECT("D$"&amp;2+MIN(2,ROUNDDOWN(I1701,0))*3)*(-$J1701^3+3*$J1701^2-3*$J1701+1)+INDIRECT("D$"&amp;3+MIN(2,ROUNDDOWN(I1701,0))*3)*(3*$J1701^3-6*$J1701^2+3*$J1701)+INDIRECT("D$"&amp;4+MIN(2,ROUNDDOWN(I1701,0))*3)*(-3*$J1701^3+3*$J1701^2)+INDIRECT("D$"&amp;5+MIN(2,ROUNDDOWN(I1701,0))*3)*$J1701^3</f>
      </c>
      <c r="M1701" s="7">
        <f>SQRT(K1701^2+L1701^2)</f>
      </c>
      <c r="N1701" s="7">
        <f>(K1702-K1700)</f>
      </c>
      <c r="O1701" s="7">
        <f>+(L1702-L1700)</f>
      </c>
      <c r="P1701" s="7">
        <f>SQRT(O1701^2+N1701^2)</f>
      </c>
      <c r="Q1701" s="7">
        <f>N1701/$P1701</f>
      </c>
      <c r="R1701" s="7">
        <f>O1701/$P1701</f>
      </c>
      <c r="S1701" s="8">
        <f>Q1701^2+R1701^2</f>
      </c>
      <c r="T1701" s="7">
        <f>-R1701</f>
      </c>
      <c r="U1701" s="7">
        <f>Q1701</f>
      </c>
      <c r="V1701" s="7">
        <f>($C$14+($C$15-$C$14)/($D$15-$D$14)*(I1701-$D$14))/2</f>
      </c>
      <c r="W1701" s="7">
        <f>($B$22*I1701^4+$C$22*I1701^3+$D$22*I1701^2+$E$22*I1701+$F$22)/2</f>
      </c>
      <c r="X1701" s="7">
        <f>($W1701)*(T1701)</f>
      </c>
      <c r="Y1701" s="7">
        <f>($W1701)*(U1701)</f>
      </c>
      <c r="Z1701" s="7">
        <f>SQRT(X1701^2+Y1701^2)</f>
      </c>
      <c r="AA1701" s="7">
        <f>$K1701+$X1701</f>
      </c>
      <c r="AB1701" s="7">
        <f>$L1701+$Y1701</f>
      </c>
      <c r="AC1701" s="7">
        <f>$K1701-$X1701</f>
      </c>
      <c r="AD1701" s="7">
        <f>$L1701-$Y1701</f>
      </c>
      <c r="AE1701" s="7">
        <f>AA1701/39.3701</f>
      </c>
      <c r="AF1701" s="7">
        <f>AB1701/39.3701</f>
      </c>
      <c r="AG1701" s="7">
        <f>AC1701/39.3701</f>
      </c>
      <c r="AH1701" s="7">
        <f>AD1701/39.3701</f>
      </c>
      <c r="AI1701" s="1"/>
      <c r="AJ1701" s="1"/>
      <c r="AK1701" s="1"/>
      <c r="AL1701" s="1"/>
      <c r="AM1701" s="2"/>
      <c r="AN1701" s="1"/>
      <c r="AO1701" s="1"/>
      <c r="AP1701" s="1"/>
      <c r="AQ1701" s="1"/>
      <c r="AR1701" s="1"/>
      <c r="AS1701" s="1"/>
      <c r="AT1701" s="1"/>
      <c r="AU1701" s="1"/>
      <c r="AV1701" s="1"/>
      <c r="AW1701" s="1"/>
      <c r="AX1701" s="1"/>
      <c r="AY1701" s="1"/>
      <c r="AZ1701" s="1"/>
      <c r="BA1701" s="1"/>
      <c r="BB1701" s="1"/>
      <c r="BC1701" s="1"/>
      <c r="BD1701" s="1"/>
      <c r="BE1701" s="1"/>
    </row>
    <row x14ac:dyDescent="0.25" r="1702" customHeight="1" ht="18.75">
      <c r="A1702" s="1"/>
      <c r="B1702" s="2"/>
      <c r="C1702" s="2"/>
      <c r="D1702" s="2"/>
      <c r="E1702" s="2"/>
      <c r="F1702" s="2"/>
      <c r="G1702" s="1"/>
      <c r="H1702" s="1"/>
      <c r="I1702" s="7">
        <v>1.699</v>
      </c>
      <c r="J1702" s="7">
        <f>IF((I1702-ROUNDDOWN(I1702,0))=0, 0, (I1702-ROUNDDOWN(I1702,0)))</f>
      </c>
      <c r="K1702" s="7">
        <f>INDIRECT("C$"&amp;2+MIN(2,ROUNDDOWN(I1702,0))*3)*(-$J1702^3+3*$J1702^2-3*$J1702+1)+INDIRECT("C$"&amp;3+MIN(2,ROUNDDOWN(I1702,0))*3)*(3*$J1702^3-6*$J1702^2+3*$J1702)+INDIRECT("C$"&amp;4+MIN(2,ROUNDDOWN(I1702,0))*3)*(-3*$J1702^3+3*$J1702^2)+INDIRECT("C$"&amp;5+MIN(2,ROUNDDOWN(I1702,0))*3)*$J1702^3</f>
      </c>
      <c r="L1702" s="7">
        <f>INDIRECT("D$"&amp;2+MIN(2,ROUNDDOWN(I1702,0))*3)*(-$J1702^3+3*$J1702^2-3*$J1702+1)+INDIRECT("D$"&amp;3+MIN(2,ROUNDDOWN(I1702,0))*3)*(3*$J1702^3-6*$J1702^2+3*$J1702)+INDIRECT("D$"&amp;4+MIN(2,ROUNDDOWN(I1702,0))*3)*(-3*$J1702^3+3*$J1702^2)+INDIRECT("D$"&amp;5+MIN(2,ROUNDDOWN(I1702,0))*3)*$J1702^3</f>
      </c>
      <c r="M1702" s="7">
        <f>SQRT(K1702^2+L1702^2)</f>
      </c>
      <c r="N1702" s="7">
        <f>(K1703-K1701)</f>
      </c>
      <c r="O1702" s="7">
        <f>+(L1703-L1701)</f>
      </c>
      <c r="P1702" s="7">
        <f>SQRT(O1702^2+N1702^2)</f>
      </c>
      <c r="Q1702" s="7">
        <f>N1702/$P1702</f>
      </c>
      <c r="R1702" s="7">
        <f>O1702/$P1702</f>
      </c>
      <c r="S1702" s="7">
        <f>Q1702^2+R1702^2</f>
      </c>
      <c r="T1702" s="7">
        <f>-R1702</f>
      </c>
      <c r="U1702" s="7">
        <f>Q1702</f>
      </c>
      <c r="V1702" s="7">
        <f>($C$14+($C$15-$C$14)/($D$15-$D$14)*(I1702-$D$14))/2</f>
      </c>
      <c r="W1702" s="7">
        <f>($B$22*I1702^4+$C$22*I1702^3+$D$22*I1702^2+$E$22*I1702+$F$22)/2</f>
      </c>
      <c r="X1702" s="7">
        <f>($W1702)*(T1702)</f>
      </c>
      <c r="Y1702" s="7">
        <f>($W1702)*(U1702)</f>
      </c>
      <c r="Z1702" s="7">
        <f>SQRT(X1702^2+Y1702^2)</f>
      </c>
      <c r="AA1702" s="7">
        <f>$K1702+$X1702</f>
      </c>
      <c r="AB1702" s="7">
        <f>$L1702+$Y1702</f>
      </c>
      <c r="AC1702" s="7">
        <f>$K1702-$X1702</f>
      </c>
      <c r="AD1702" s="7">
        <f>$L1702-$Y1702</f>
      </c>
      <c r="AE1702" s="7">
        <f>AA1702/39.3701</f>
      </c>
      <c r="AF1702" s="7">
        <f>AB1702/39.3701</f>
      </c>
      <c r="AG1702" s="7">
        <f>AC1702/39.3701</f>
      </c>
      <c r="AH1702" s="7">
        <f>AD1702/39.3701</f>
      </c>
      <c r="AI1702" s="1"/>
      <c r="AJ1702" s="1"/>
      <c r="AK1702" s="1"/>
      <c r="AL1702" s="1"/>
      <c r="AM1702" s="2"/>
      <c r="AN1702" s="1"/>
      <c r="AO1702" s="1"/>
      <c r="AP1702" s="1"/>
      <c r="AQ1702" s="1"/>
      <c r="AR1702" s="1"/>
      <c r="AS1702" s="1"/>
      <c r="AT1702" s="1"/>
      <c r="AU1702" s="1"/>
      <c r="AV1702" s="1"/>
      <c r="AW1702" s="1"/>
      <c r="AX1702" s="1"/>
      <c r="AY1702" s="1"/>
      <c r="AZ1702" s="1"/>
      <c r="BA1702" s="1"/>
      <c r="BB1702" s="1"/>
      <c r="BC1702" s="1"/>
      <c r="BD1702" s="1"/>
      <c r="BE1702" s="1"/>
    </row>
    <row x14ac:dyDescent="0.25" r="1703" customHeight="1" ht="18.75">
      <c r="A1703" s="1"/>
      <c r="B1703" s="2"/>
      <c r="C1703" s="2"/>
      <c r="D1703" s="2"/>
      <c r="E1703" s="2"/>
      <c r="F1703" s="2"/>
      <c r="G1703" s="1"/>
      <c r="H1703" s="1"/>
      <c r="I1703" s="7">
        <v>1.7</v>
      </c>
      <c r="J1703" s="7">
        <f>IF((I1703-ROUNDDOWN(I1703,0))=0, 0, (I1703-ROUNDDOWN(I1703,0)))</f>
      </c>
      <c r="K1703" s="7">
        <f>INDIRECT("C$"&amp;2+MIN(2,ROUNDDOWN(I1703,0))*3)*(-$J1703^3+3*$J1703^2-3*$J1703+1)+INDIRECT("C$"&amp;3+MIN(2,ROUNDDOWN(I1703,0))*3)*(3*$J1703^3-6*$J1703^2+3*$J1703)+INDIRECT("C$"&amp;4+MIN(2,ROUNDDOWN(I1703,0))*3)*(-3*$J1703^3+3*$J1703^2)+INDIRECT("C$"&amp;5+MIN(2,ROUNDDOWN(I1703,0))*3)*$J1703^3</f>
      </c>
      <c r="L1703" s="7">
        <f>INDIRECT("D$"&amp;2+MIN(2,ROUNDDOWN(I1703,0))*3)*(-$J1703^3+3*$J1703^2-3*$J1703+1)+INDIRECT("D$"&amp;3+MIN(2,ROUNDDOWN(I1703,0))*3)*(3*$J1703^3-6*$J1703^2+3*$J1703)+INDIRECT("D$"&amp;4+MIN(2,ROUNDDOWN(I1703,0))*3)*(-3*$J1703^3+3*$J1703^2)+INDIRECT("D$"&amp;5+MIN(2,ROUNDDOWN(I1703,0))*3)*$J1703^3</f>
      </c>
      <c r="M1703" s="7">
        <f>SQRT(K1703^2+L1703^2)</f>
      </c>
      <c r="N1703" s="7">
        <f>(K1704-K1702)</f>
      </c>
      <c r="O1703" s="7">
        <f>+(L1704-L1702)</f>
      </c>
      <c r="P1703" s="7">
        <f>SQRT(O1703^2+N1703^2)</f>
      </c>
      <c r="Q1703" s="7">
        <f>N1703/$P1703</f>
      </c>
      <c r="R1703" s="7">
        <f>O1703/$P1703</f>
      </c>
      <c r="S1703" s="8">
        <f>Q1703^2+R1703^2</f>
      </c>
      <c r="T1703" s="7">
        <f>-R1703</f>
      </c>
      <c r="U1703" s="7">
        <f>Q1703</f>
      </c>
      <c r="V1703" s="7">
        <f>($C$14+($C$15-$C$14)/($D$15-$D$14)*(I1703-$D$14))/2</f>
      </c>
      <c r="W1703" s="7">
        <f>($B$22*I1703^4+$C$22*I1703^3+$D$22*I1703^2+$E$22*I1703+$F$22)/2</f>
      </c>
      <c r="X1703" s="7">
        <f>($W1703)*(T1703)</f>
      </c>
      <c r="Y1703" s="7">
        <f>($W1703)*(U1703)</f>
      </c>
      <c r="Z1703" s="7">
        <f>SQRT(X1703^2+Y1703^2)</f>
      </c>
      <c r="AA1703" s="7">
        <f>$K1703+$X1703</f>
      </c>
      <c r="AB1703" s="7">
        <f>$L1703+$Y1703</f>
      </c>
      <c r="AC1703" s="7">
        <f>$K1703-$X1703</f>
      </c>
      <c r="AD1703" s="7">
        <f>$L1703-$Y1703</f>
      </c>
      <c r="AE1703" s="7">
        <f>AA1703/39.3701</f>
      </c>
      <c r="AF1703" s="7">
        <f>AB1703/39.3701</f>
      </c>
      <c r="AG1703" s="7">
        <f>AC1703/39.3701</f>
      </c>
      <c r="AH1703" s="7">
        <f>AD1703/39.3701</f>
      </c>
      <c r="AI1703" s="1"/>
      <c r="AJ1703" s="1"/>
      <c r="AK1703" s="1"/>
      <c r="AL1703" s="1"/>
      <c r="AM1703" s="2"/>
      <c r="AN1703" s="1"/>
      <c r="AO1703" s="1"/>
      <c r="AP1703" s="1"/>
      <c r="AQ1703" s="1"/>
      <c r="AR1703" s="1"/>
      <c r="AS1703" s="1"/>
      <c r="AT1703" s="1"/>
      <c r="AU1703" s="1"/>
      <c r="AV1703" s="1"/>
      <c r="AW1703" s="1"/>
      <c r="AX1703" s="1"/>
      <c r="AY1703" s="1"/>
      <c r="AZ1703" s="1"/>
      <c r="BA1703" s="1"/>
      <c r="BB1703" s="1"/>
      <c r="BC1703" s="1"/>
      <c r="BD1703" s="1"/>
      <c r="BE1703" s="1"/>
    </row>
    <row x14ac:dyDescent="0.25" r="1704" customHeight="1" ht="18.75">
      <c r="A1704" s="1"/>
      <c r="B1704" s="2"/>
      <c r="C1704" s="2"/>
      <c r="D1704" s="2"/>
      <c r="E1704" s="2"/>
      <c r="F1704" s="2"/>
      <c r="G1704" s="1"/>
      <c r="H1704" s="1"/>
      <c r="I1704" s="7">
        <v>1.701</v>
      </c>
      <c r="J1704" s="7">
        <f>IF((I1704-ROUNDDOWN(I1704,0))=0, 0, (I1704-ROUNDDOWN(I1704,0)))</f>
      </c>
      <c r="K1704" s="7">
        <f>INDIRECT("C$"&amp;2+MIN(2,ROUNDDOWN(I1704,0))*3)*(-$J1704^3+3*$J1704^2-3*$J1704+1)+INDIRECT("C$"&amp;3+MIN(2,ROUNDDOWN(I1704,0))*3)*(3*$J1704^3-6*$J1704^2+3*$J1704)+INDIRECT("C$"&amp;4+MIN(2,ROUNDDOWN(I1704,0))*3)*(-3*$J1704^3+3*$J1704^2)+INDIRECT("C$"&amp;5+MIN(2,ROUNDDOWN(I1704,0))*3)*$J1704^3</f>
      </c>
      <c r="L1704" s="7">
        <f>INDIRECT("D$"&amp;2+MIN(2,ROUNDDOWN(I1704,0))*3)*(-$J1704^3+3*$J1704^2-3*$J1704+1)+INDIRECT("D$"&amp;3+MIN(2,ROUNDDOWN(I1704,0))*3)*(3*$J1704^3-6*$J1704^2+3*$J1704)+INDIRECT("D$"&amp;4+MIN(2,ROUNDDOWN(I1704,0))*3)*(-3*$J1704^3+3*$J1704^2)+INDIRECT("D$"&amp;5+MIN(2,ROUNDDOWN(I1704,0))*3)*$J1704^3</f>
      </c>
      <c r="M1704" s="7">
        <f>SQRT(K1704^2+L1704^2)</f>
      </c>
      <c r="N1704" s="7">
        <f>(K1705-K1703)</f>
      </c>
      <c r="O1704" s="7">
        <f>+(L1705-L1703)</f>
      </c>
      <c r="P1704" s="7">
        <f>SQRT(O1704^2+N1704^2)</f>
      </c>
      <c r="Q1704" s="7">
        <f>N1704/$P1704</f>
      </c>
      <c r="R1704" s="7">
        <f>O1704/$P1704</f>
      </c>
      <c r="S1704" s="7">
        <f>Q1704^2+R1704^2</f>
      </c>
      <c r="T1704" s="7">
        <f>-R1704</f>
      </c>
      <c r="U1704" s="7">
        <f>Q1704</f>
      </c>
      <c r="V1704" s="7">
        <f>($C$14+($C$15-$C$14)/($D$15-$D$14)*(I1704-$D$14))/2</f>
      </c>
      <c r="W1704" s="7">
        <f>($B$22*I1704^4+$C$22*I1704^3+$D$22*I1704^2+$E$22*I1704+$F$22)/2</f>
      </c>
      <c r="X1704" s="7">
        <f>($W1704)*(T1704)</f>
      </c>
      <c r="Y1704" s="7">
        <f>($W1704)*(U1704)</f>
      </c>
      <c r="Z1704" s="7">
        <f>SQRT(X1704^2+Y1704^2)</f>
      </c>
      <c r="AA1704" s="7">
        <f>$K1704+$X1704</f>
      </c>
      <c r="AB1704" s="7">
        <f>$L1704+$Y1704</f>
      </c>
      <c r="AC1704" s="7">
        <f>$K1704-$X1704</f>
      </c>
      <c r="AD1704" s="7">
        <f>$L1704-$Y1704</f>
      </c>
      <c r="AE1704" s="7">
        <f>AA1704/39.3701</f>
      </c>
      <c r="AF1704" s="7">
        <f>AB1704/39.3701</f>
      </c>
      <c r="AG1704" s="7">
        <f>AC1704/39.3701</f>
      </c>
      <c r="AH1704" s="7">
        <f>AD1704/39.3701</f>
      </c>
      <c r="AI1704" s="1"/>
      <c r="AJ1704" s="1"/>
      <c r="AK1704" s="1"/>
      <c r="AL1704" s="1"/>
      <c r="AM1704" s="2"/>
      <c r="AN1704" s="1"/>
      <c r="AO1704" s="1"/>
      <c r="AP1704" s="1"/>
      <c r="AQ1704" s="1"/>
      <c r="AR1704" s="1"/>
      <c r="AS1704" s="1"/>
      <c r="AT1704" s="1"/>
      <c r="AU1704" s="1"/>
      <c r="AV1704" s="1"/>
      <c r="AW1704" s="1"/>
      <c r="AX1704" s="1"/>
      <c r="AY1704" s="1"/>
      <c r="AZ1704" s="1"/>
      <c r="BA1704" s="1"/>
      <c r="BB1704" s="1"/>
      <c r="BC1704" s="1"/>
      <c r="BD1704" s="1"/>
      <c r="BE1704" s="1"/>
    </row>
    <row x14ac:dyDescent="0.25" r="1705" customHeight="1" ht="18.75">
      <c r="A1705" s="1"/>
      <c r="B1705" s="2"/>
      <c r="C1705" s="2"/>
      <c r="D1705" s="2"/>
      <c r="E1705" s="2"/>
      <c r="F1705" s="2"/>
      <c r="G1705" s="1"/>
      <c r="H1705" s="1"/>
      <c r="I1705" s="7">
        <v>1.702</v>
      </c>
      <c r="J1705" s="7">
        <f>IF((I1705-ROUNDDOWN(I1705,0))=0, 0, (I1705-ROUNDDOWN(I1705,0)))</f>
      </c>
      <c r="K1705" s="7">
        <f>INDIRECT("C$"&amp;2+MIN(2,ROUNDDOWN(I1705,0))*3)*(-$J1705^3+3*$J1705^2-3*$J1705+1)+INDIRECT("C$"&amp;3+MIN(2,ROUNDDOWN(I1705,0))*3)*(3*$J1705^3-6*$J1705^2+3*$J1705)+INDIRECT("C$"&amp;4+MIN(2,ROUNDDOWN(I1705,0))*3)*(-3*$J1705^3+3*$J1705^2)+INDIRECT("C$"&amp;5+MIN(2,ROUNDDOWN(I1705,0))*3)*$J1705^3</f>
      </c>
      <c r="L1705" s="7">
        <f>INDIRECT("D$"&amp;2+MIN(2,ROUNDDOWN(I1705,0))*3)*(-$J1705^3+3*$J1705^2-3*$J1705+1)+INDIRECT("D$"&amp;3+MIN(2,ROUNDDOWN(I1705,0))*3)*(3*$J1705^3-6*$J1705^2+3*$J1705)+INDIRECT("D$"&amp;4+MIN(2,ROUNDDOWN(I1705,0))*3)*(-3*$J1705^3+3*$J1705^2)+INDIRECT("D$"&amp;5+MIN(2,ROUNDDOWN(I1705,0))*3)*$J1705^3</f>
      </c>
      <c r="M1705" s="7">
        <f>SQRT(K1705^2+L1705^2)</f>
      </c>
      <c r="N1705" s="7">
        <f>(K1706-K1704)</f>
      </c>
      <c r="O1705" s="7">
        <f>+(L1706-L1704)</f>
      </c>
      <c r="P1705" s="7">
        <f>SQRT(O1705^2+N1705^2)</f>
      </c>
      <c r="Q1705" s="7">
        <f>N1705/$P1705</f>
      </c>
      <c r="R1705" s="7">
        <f>O1705/$P1705</f>
      </c>
      <c r="S1705" s="8">
        <f>Q1705^2+R1705^2</f>
      </c>
      <c r="T1705" s="7">
        <f>-R1705</f>
      </c>
      <c r="U1705" s="7">
        <f>Q1705</f>
      </c>
      <c r="V1705" s="7">
        <f>($C$14+($C$15-$C$14)/($D$15-$D$14)*(I1705-$D$14))/2</f>
      </c>
      <c r="W1705" s="7">
        <f>($B$22*I1705^4+$C$22*I1705^3+$D$22*I1705^2+$E$22*I1705+$F$22)/2</f>
      </c>
      <c r="X1705" s="7">
        <f>($W1705)*(T1705)</f>
      </c>
      <c r="Y1705" s="7">
        <f>($W1705)*(U1705)</f>
      </c>
      <c r="Z1705" s="7">
        <f>SQRT(X1705^2+Y1705^2)</f>
      </c>
      <c r="AA1705" s="7">
        <f>$K1705+$X1705</f>
      </c>
      <c r="AB1705" s="7">
        <f>$L1705+$Y1705</f>
      </c>
      <c r="AC1705" s="7">
        <f>$K1705-$X1705</f>
      </c>
      <c r="AD1705" s="7">
        <f>$L1705-$Y1705</f>
      </c>
      <c r="AE1705" s="7">
        <f>AA1705/39.3701</f>
      </c>
      <c r="AF1705" s="7">
        <f>AB1705/39.3701</f>
      </c>
      <c r="AG1705" s="7">
        <f>AC1705/39.3701</f>
      </c>
      <c r="AH1705" s="7">
        <f>AD1705/39.3701</f>
      </c>
      <c r="AI1705" s="1"/>
      <c r="AJ1705" s="1"/>
      <c r="AK1705" s="1"/>
      <c r="AL1705" s="1"/>
      <c r="AM1705" s="2"/>
      <c r="AN1705" s="1"/>
      <c r="AO1705" s="1"/>
      <c r="AP1705" s="1"/>
      <c r="AQ1705" s="1"/>
      <c r="AR1705" s="1"/>
      <c r="AS1705" s="1"/>
      <c r="AT1705" s="1"/>
      <c r="AU1705" s="1"/>
      <c r="AV1705" s="1"/>
      <c r="AW1705" s="1"/>
      <c r="AX1705" s="1"/>
      <c r="AY1705" s="1"/>
      <c r="AZ1705" s="1"/>
      <c r="BA1705" s="1"/>
      <c r="BB1705" s="1"/>
      <c r="BC1705" s="1"/>
      <c r="BD1705" s="1"/>
      <c r="BE1705" s="1"/>
    </row>
    <row x14ac:dyDescent="0.25" r="1706" customHeight="1" ht="18.75">
      <c r="A1706" s="1"/>
      <c r="B1706" s="2"/>
      <c r="C1706" s="2"/>
      <c r="D1706" s="2"/>
      <c r="E1706" s="2"/>
      <c r="F1706" s="2"/>
      <c r="G1706" s="1"/>
      <c r="H1706" s="1"/>
      <c r="I1706" s="7">
        <v>1.703</v>
      </c>
      <c r="J1706" s="7">
        <f>IF((I1706-ROUNDDOWN(I1706,0))=0, 0, (I1706-ROUNDDOWN(I1706,0)))</f>
      </c>
      <c r="K1706" s="7">
        <f>INDIRECT("C$"&amp;2+MIN(2,ROUNDDOWN(I1706,0))*3)*(-$J1706^3+3*$J1706^2-3*$J1706+1)+INDIRECT("C$"&amp;3+MIN(2,ROUNDDOWN(I1706,0))*3)*(3*$J1706^3-6*$J1706^2+3*$J1706)+INDIRECT("C$"&amp;4+MIN(2,ROUNDDOWN(I1706,0))*3)*(-3*$J1706^3+3*$J1706^2)+INDIRECT("C$"&amp;5+MIN(2,ROUNDDOWN(I1706,0))*3)*$J1706^3</f>
      </c>
      <c r="L1706" s="7">
        <f>INDIRECT("D$"&amp;2+MIN(2,ROUNDDOWN(I1706,0))*3)*(-$J1706^3+3*$J1706^2-3*$J1706+1)+INDIRECT("D$"&amp;3+MIN(2,ROUNDDOWN(I1706,0))*3)*(3*$J1706^3-6*$J1706^2+3*$J1706)+INDIRECT("D$"&amp;4+MIN(2,ROUNDDOWN(I1706,0))*3)*(-3*$J1706^3+3*$J1706^2)+INDIRECT("D$"&amp;5+MIN(2,ROUNDDOWN(I1706,0))*3)*$J1706^3</f>
      </c>
      <c r="M1706" s="7">
        <f>SQRT(K1706^2+L1706^2)</f>
      </c>
      <c r="N1706" s="7">
        <f>(K1707-K1705)</f>
      </c>
      <c r="O1706" s="7">
        <f>+(L1707-L1705)</f>
      </c>
      <c r="P1706" s="7">
        <f>SQRT(O1706^2+N1706^2)</f>
      </c>
      <c r="Q1706" s="7">
        <f>N1706/$P1706</f>
      </c>
      <c r="R1706" s="7">
        <f>O1706/$P1706</f>
      </c>
      <c r="S1706" s="7">
        <f>Q1706^2+R1706^2</f>
      </c>
      <c r="T1706" s="7">
        <f>-R1706</f>
      </c>
      <c r="U1706" s="7">
        <f>Q1706</f>
      </c>
      <c r="V1706" s="7">
        <f>($C$14+($C$15-$C$14)/($D$15-$D$14)*(I1706-$D$14))/2</f>
      </c>
      <c r="W1706" s="7">
        <f>($B$22*I1706^4+$C$22*I1706^3+$D$22*I1706^2+$E$22*I1706+$F$22)/2</f>
      </c>
      <c r="X1706" s="7">
        <f>($W1706)*(T1706)</f>
      </c>
      <c r="Y1706" s="7">
        <f>($W1706)*(U1706)</f>
      </c>
      <c r="Z1706" s="7">
        <f>SQRT(X1706^2+Y1706^2)</f>
      </c>
      <c r="AA1706" s="7">
        <f>$K1706+$X1706</f>
      </c>
      <c r="AB1706" s="7">
        <f>$L1706+$Y1706</f>
      </c>
      <c r="AC1706" s="7">
        <f>$K1706-$X1706</f>
      </c>
      <c r="AD1706" s="7">
        <f>$L1706-$Y1706</f>
      </c>
      <c r="AE1706" s="7">
        <f>AA1706/39.3701</f>
      </c>
      <c r="AF1706" s="7">
        <f>AB1706/39.3701</f>
      </c>
      <c r="AG1706" s="7">
        <f>AC1706/39.3701</f>
      </c>
      <c r="AH1706" s="7">
        <f>AD1706/39.3701</f>
      </c>
      <c r="AI1706" s="1"/>
      <c r="AJ1706" s="1"/>
      <c r="AK1706" s="1"/>
      <c r="AL1706" s="1"/>
      <c r="AM1706" s="2"/>
      <c r="AN1706" s="1"/>
      <c r="AO1706" s="1"/>
      <c r="AP1706" s="1"/>
      <c r="AQ1706" s="1"/>
      <c r="AR1706" s="1"/>
      <c r="AS1706" s="1"/>
      <c r="AT1706" s="1"/>
      <c r="AU1706" s="1"/>
      <c r="AV1706" s="1"/>
      <c r="AW1706" s="1"/>
      <c r="AX1706" s="1"/>
      <c r="AY1706" s="1"/>
      <c r="AZ1706" s="1"/>
      <c r="BA1706" s="1"/>
      <c r="BB1706" s="1"/>
      <c r="BC1706" s="1"/>
      <c r="BD1706" s="1"/>
      <c r="BE1706" s="1"/>
    </row>
    <row x14ac:dyDescent="0.25" r="1707" customHeight="1" ht="18.75">
      <c r="A1707" s="1"/>
      <c r="B1707" s="2"/>
      <c r="C1707" s="2"/>
      <c r="D1707" s="2"/>
      <c r="E1707" s="2"/>
      <c r="F1707" s="2"/>
      <c r="G1707" s="1"/>
      <c r="H1707" s="1"/>
      <c r="I1707" s="7">
        <v>1.704</v>
      </c>
      <c r="J1707" s="7">
        <f>IF((I1707-ROUNDDOWN(I1707,0))=0, 0, (I1707-ROUNDDOWN(I1707,0)))</f>
      </c>
      <c r="K1707" s="7">
        <f>INDIRECT("C$"&amp;2+MIN(2,ROUNDDOWN(I1707,0))*3)*(-$J1707^3+3*$J1707^2-3*$J1707+1)+INDIRECT("C$"&amp;3+MIN(2,ROUNDDOWN(I1707,0))*3)*(3*$J1707^3-6*$J1707^2+3*$J1707)+INDIRECT("C$"&amp;4+MIN(2,ROUNDDOWN(I1707,0))*3)*(-3*$J1707^3+3*$J1707^2)+INDIRECT("C$"&amp;5+MIN(2,ROUNDDOWN(I1707,0))*3)*$J1707^3</f>
      </c>
      <c r="L1707" s="7">
        <f>INDIRECT("D$"&amp;2+MIN(2,ROUNDDOWN(I1707,0))*3)*(-$J1707^3+3*$J1707^2-3*$J1707+1)+INDIRECT("D$"&amp;3+MIN(2,ROUNDDOWN(I1707,0))*3)*(3*$J1707^3-6*$J1707^2+3*$J1707)+INDIRECT("D$"&amp;4+MIN(2,ROUNDDOWN(I1707,0))*3)*(-3*$J1707^3+3*$J1707^2)+INDIRECT("D$"&amp;5+MIN(2,ROUNDDOWN(I1707,0))*3)*$J1707^3</f>
      </c>
      <c r="M1707" s="7">
        <f>SQRT(K1707^2+L1707^2)</f>
      </c>
      <c r="N1707" s="7">
        <f>(K1708-K1706)</f>
      </c>
      <c r="O1707" s="7">
        <f>+(L1708-L1706)</f>
      </c>
      <c r="P1707" s="7">
        <f>SQRT(O1707^2+N1707^2)</f>
      </c>
      <c r="Q1707" s="7">
        <f>N1707/$P1707</f>
      </c>
      <c r="R1707" s="7">
        <f>O1707/$P1707</f>
      </c>
      <c r="S1707" s="8">
        <f>Q1707^2+R1707^2</f>
      </c>
      <c r="T1707" s="7">
        <f>-R1707</f>
      </c>
      <c r="U1707" s="7">
        <f>Q1707</f>
      </c>
      <c r="V1707" s="7">
        <f>($C$14+($C$15-$C$14)/($D$15-$D$14)*(I1707-$D$14))/2</f>
      </c>
      <c r="W1707" s="7">
        <f>($B$22*I1707^4+$C$22*I1707^3+$D$22*I1707^2+$E$22*I1707+$F$22)/2</f>
      </c>
      <c r="X1707" s="7">
        <f>($W1707)*(T1707)</f>
      </c>
      <c r="Y1707" s="7">
        <f>($W1707)*(U1707)</f>
      </c>
      <c r="Z1707" s="7">
        <f>SQRT(X1707^2+Y1707^2)</f>
      </c>
      <c r="AA1707" s="7">
        <f>$K1707+$X1707</f>
      </c>
      <c r="AB1707" s="7">
        <f>$L1707+$Y1707</f>
      </c>
      <c r="AC1707" s="7">
        <f>$K1707-$X1707</f>
      </c>
      <c r="AD1707" s="7">
        <f>$L1707-$Y1707</f>
      </c>
      <c r="AE1707" s="7">
        <f>AA1707/39.3701</f>
      </c>
      <c r="AF1707" s="7">
        <f>AB1707/39.3701</f>
      </c>
      <c r="AG1707" s="7">
        <f>AC1707/39.3701</f>
      </c>
      <c r="AH1707" s="7">
        <f>AD1707/39.3701</f>
      </c>
      <c r="AI1707" s="1"/>
      <c r="AJ1707" s="1"/>
      <c r="AK1707" s="1"/>
      <c r="AL1707" s="1"/>
      <c r="AM1707" s="2"/>
      <c r="AN1707" s="1"/>
      <c r="AO1707" s="1"/>
      <c r="AP1707" s="1"/>
      <c r="AQ1707" s="1"/>
      <c r="AR1707" s="1"/>
      <c r="AS1707" s="1"/>
      <c r="AT1707" s="1"/>
      <c r="AU1707" s="1"/>
      <c r="AV1707" s="1"/>
      <c r="AW1707" s="1"/>
      <c r="AX1707" s="1"/>
      <c r="AY1707" s="1"/>
      <c r="AZ1707" s="1"/>
      <c r="BA1707" s="1"/>
      <c r="BB1707" s="1"/>
      <c r="BC1707" s="1"/>
      <c r="BD1707" s="1"/>
      <c r="BE1707" s="1"/>
    </row>
    <row x14ac:dyDescent="0.25" r="1708" customHeight="1" ht="18.75">
      <c r="A1708" s="1"/>
      <c r="B1708" s="2"/>
      <c r="C1708" s="2"/>
      <c r="D1708" s="2"/>
      <c r="E1708" s="2"/>
      <c r="F1708" s="2"/>
      <c r="G1708" s="1"/>
      <c r="H1708" s="1"/>
      <c r="I1708" s="7">
        <v>1.705</v>
      </c>
      <c r="J1708" s="7">
        <f>IF((I1708-ROUNDDOWN(I1708,0))=0, 0, (I1708-ROUNDDOWN(I1708,0)))</f>
      </c>
      <c r="K1708" s="7">
        <f>INDIRECT("C$"&amp;2+MIN(2,ROUNDDOWN(I1708,0))*3)*(-$J1708^3+3*$J1708^2-3*$J1708+1)+INDIRECT("C$"&amp;3+MIN(2,ROUNDDOWN(I1708,0))*3)*(3*$J1708^3-6*$J1708^2+3*$J1708)+INDIRECT("C$"&amp;4+MIN(2,ROUNDDOWN(I1708,0))*3)*(-3*$J1708^3+3*$J1708^2)+INDIRECT("C$"&amp;5+MIN(2,ROUNDDOWN(I1708,0))*3)*$J1708^3</f>
      </c>
      <c r="L1708" s="7">
        <f>INDIRECT("D$"&amp;2+MIN(2,ROUNDDOWN(I1708,0))*3)*(-$J1708^3+3*$J1708^2-3*$J1708+1)+INDIRECT("D$"&amp;3+MIN(2,ROUNDDOWN(I1708,0))*3)*(3*$J1708^3-6*$J1708^2+3*$J1708)+INDIRECT("D$"&amp;4+MIN(2,ROUNDDOWN(I1708,0))*3)*(-3*$J1708^3+3*$J1708^2)+INDIRECT("D$"&amp;5+MIN(2,ROUNDDOWN(I1708,0))*3)*$J1708^3</f>
      </c>
      <c r="M1708" s="7">
        <f>SQRT(K1708^2+L1708^2)</f>
      </c>
      <c r="N1708" s="7">
        <f>(K1709-K1707)</f>
      </c>
      <c r="O1708" s="7">
        <f>+(L1709-L1707)</f>
      </c>
      <c r="P1708" s="7">
        <f>SQRT(O1708^2+N1708^2)</f>
      </c>
      <c r="Q1708" s="7">
        <f>N1708/$P1708</f>
      </c>
      <c r="R1708" s="7">
        <f>O1708/$P1708</f>
      </c>
      <c r="S1708" s="8">
        <f>Q1708^2+R1708^2</f>
      </c>
      <c r="T1708" s="7">
        <f>-R1708</f>
      </c>
      <c r="U1708" s="7">
        <f>Q1708</f>
      </c>
      <c r="V1708" s="7">
        <f>($C$14+($C$15-$C$14)/($D$15-$D$14)*(I1708-$D$14))/2</f>
      </c>
      <c r="W1708" s="7">
        <f>($B$22*I1708^4+$C$22*I1708^3+$D$22*I1708^2+$E$22*I1708+$F$22)/2</f>
      </c>
      <c r="X1708" s="7">
        <f>($W1708)*(T1708)</f>
      </c>
      <c r="Y1708" s="7">
        <f>($W1708)*(U1708)</f>
      </c>
      <c r="Z1708" s="7">
        <f>SQRT(X1708^2+Y1708^2)</f>
      </c>
      <c r="AA1708" s="7">
        <f>$K1708+$X1708</f>
      </c>
      <c r="AB1708" s="7">
        <f>$L1708+$Y1708</f>
      </c>
      <c r="AC1708" s="7">
        <f>$K1708-$X1708</f>
      </c>
      <c r="AD1708" s="7">
        <f>$L1708-$Y1708</f>
      </c>
      <c r="AE1708" s="7">
        <f>AA1708/39.3701</f>
      </c>
      <c r="AF1708" s="7">
        <f>AB1708/39.3701</f>
      </c>
      <c r="AG1708" s="7">
        <f>AC1708/39.3701</f>
      </c>
      <c r="AH1708" s="7">
        <f>AD1708/39.3701</f>
      </c>
      <c r="AI1708" s="1"/>
      <c r="AJ1708" s="1"/>
      <c r="AK1708" s="1"/>
      <c r="AL1708" s="1"/>
      <c r="AM1708" s="2"/>
      <c r="AN1708" s="1"/>
      <c r="AO1708" s="1"/>
      <c r="AP1708" s="1"/>
      <c r="AQ1708" s="1"/>
      <c r="AR1708" s="1"/>
      <c r="AS1708" s="1"/>
      <c r="AT1708" s="1"/>
      <c r="AU1708" s="1"/>
      <c r="AV1708" s="1"/>
      <c r="AW1708" s="1"/>
      <c r="AX1708" s="1"/>
      <c r="AY1708" s="1"/>
      <c r="AZ1708" s="1"/>
      <c r="BA1708" s="1"/>
      <c r="BB1708" s="1"/>
      <c r="BC1708" s="1"/>
      <c r="BD1708" s="1"/>
      <c r="BE1708" s="1"/>
    </row>
    <row x14ac:dyDescent="0.25" r="1709" customHeight="1" ht="18.75">
      <c r="A1709" s="1"/>
      <c r="B1709" s="2"/>
      <c r="C1709" s="2"/>
      <c r="D1709" s="2"/>
      <c r="E1709" s="2"/>
      <c r="F1709" s="2"/>
      <c r="G1709" s="1"/>
      <c r="H1709" s="1"/>
      <c r="I1709" s="7">
        <v>1.706</v>
      </c>
      <c r="J1709" s="7">
        <f>IF((I1709-ROUNDDOWN(I1709,0))=0, 0, (I1709-ROUNDDOWN(I1709,0)))</f>
      </c>
      <c r="K1709" s="7">
        <f>INDIRECT("C$"&amp;2+MIN(2,ROUNDDOWN(I1709,0))*3)*(-$J1709^3+3*$J1709^2-3*$J1709+1)+INDIRECT("C$"&amp;3+MIN(2,ROUNDDOWN(I1709,0))*3)*(3*$J1709^3-6*$J1709^2+3*$J1709)+INDIRECT("C$"&amp;4+MIN(2,ROUNDDOWN(I1709,0))*3)*(-3*$J1709^3+3*$J1709^2)+INDIRECT("C$"&amp;5+MIN(2,ROUNDDOWN(I1709,0))*3)*$J1709^3</f>
      </c>
      <c r="L1709" s="7">
        <f>INDIRECT("D$"&amp;2+MIN(2,ROUNDDOWN(I1709,0))*3)*(-$J1709^3+3*$J1709^2-3*$J1709+1)+INDIRECT("D$"&amp;3+MIN(2,ROUNDDOWN(I1709,0))*3)*(3*$J1709^3-6*$J1709^2+3*$J1709)+INDIRECT("D$"&amp;4+MIN(2,ROUNDDOWN(I1709,0))*3)*(-3*$J1709^3+3*$J1709^2)+INDIRECT("D$"&amp;5+MIN(2,ROUNDDOWN(I1709,0))*3)*$J1709^3</f>
      </c>
      <c r="M1709" s="7">
        <f>SQRT(K1709^2+L1709^2)</f>
      </c>
      <c r="N1709" s="7">
        <f>(K1710-K1708)</f>
      </c>
      <c r="O1709" s="7">
        <f>+(L1710-L1708)</f>
      </c>
      <c r="P1709" s="7">
        <f>SQRT(O1709^2+N1709^2)</f>
      </c>
      <c r="Q1709" s="7">
        <f>N1709/$P1709</f>
      </c>
      <c r="R1709" s="7">
        <f>O1709/$P1709</f>
      </c>
      <c r="S1709" s="7">
        <f>Q1709^2+R1709^2</f>
      </c>
      <c r="T1709" s="7">
        <f>-R1709</f>
      </c>
      <c r="U1709" s="7">
        <f>Q1709</f>
      </c>
      <c r="V1709" s="7">
        <f>($C$14+($C$15-$C$14)/($D$15-$D$14)*(I1709-$D$14))/2</f>
      </c>
      <c r="W1709" s="7">
        <f>($B$22*I1709^4+$C$22*I1709^3+$D$22*I1709^2+$E$22*I1709+$F$22)/2</f>
      </c>
      <c r="X1709" s="7">
        <f>($W1709)*(T1709)</f>
      </c>
      <c r="Y1709" s="7">
        <f>($W1709)*(U1709)</f>
      </c>
      <c r="Z1709" s="7">
        <f>SQRT(X1709^2+Y1709^2)</f>
      </c>
      <c r="AA1709" s="7">
        <f>$K1709+$X1709</f>
      </c>
      <c r="AB1709" s="7">
        <f>$L1709+$Y1709</f>
      </c>
      <c r="AC1709" s="7">
        <f>$K1709-$X1709</f>
      </c>
      <c r="AD1709" s="7">
        <f>$L1709-$Y1709</f>
      </c>
      <c r="AE1709" s="7">
        <f>AA1709/39.3701</f>
      </c>
      <c r="AF1709" s="7">
        <f>AB1709/39.3701</f>
      </c>
      <c r="AG1709" s="7">
        <f>AC1709/39.3701</f>
      </c>
      <c r="AH1709" s="7">
        <f>AD1709/39.3701</f>
      </c>
      <c r="AI1709" s="1"/>
      <c r="AJ1709" s="1"/>
      <c r="AK1709" s="1"/>
      <c r="AL1709" s="1"/>
      <c r="AM1709" s="2"/>
      <c r="AN1709" s="1"/>
      <c r="AO1709" s="1"/>
      <c r="AP1709" s="1"/>
      <c r="AQ1709" s="1"/>
      <c r="AR1709" s="1"/>
      <c r="AS1709" s="1"/>
      <c r="AT1709" s="1"/>
      <c r="AU1709" s="1"/>
      <c r="AV1709" s="1"/>
      <c r="AW1709" s="1"/>
      <c r="AX1709" s="1"/>
      <c r="AY1709" s="1"/>
      <c r="AZ1709" s="1"/>
      <c r="BA1709" s="1"/>
      <c r="BB1709" s="1"/>
      <c r="BC1709" s="1"/>
      <c r="BD1709" s="1"/>
      <c r="BE1709" s="1"/>
    </row>
    <row x14ac:dyDescent="0.25" r="1710" customHeight="1" ht="18.75">
      <c r="A1710" s="1"/>
      <c r="B1710" s="2"/>
      <c r="C1710" s="2"/>
      <c r="D1710" s="2"/>
      <c r="E1710" s="2"/>
      <c r="F1710" s="2"/>
      <c r="G1710" s="1"/>
      <c r="H1710" s="1"/>
      <c r="I1710" s="7">
        <v>1.707</v>
      </c>
      <c r="J1710" s="7">
        <f>IF((I1710-ROUNDDOWN(I1710,0))=0, 0, (I1710-ROUNDDOWN(I1710,0)))</f>
      </c>
      <c r="K1710" s="7">
        <f>INDIRECT("C$"&amp;2+MIN(2,ROUNDDOWN(I1710,0))*3)*(-$J1710^3+3*$J1710^2-3*$J1710+1)+INDIRECT("C$"&amp;3+MIN(2,ROUNDDOWN(I1710,0))*3)*(3*$J1710^3-6*$J1710^2+3*$J1710)+INDIRECT("C$"&amp;4+MIN(2,ROUNDDOWN(I1710,0))*3)*(-3*$J1710^3+3*$J1710^2)+INDIRECT("C$"&amp;5+MIN(2,ROUNDDOWN(I1710,0))*3)*$J1710^3</f>
      </c>
      <c r="L1710" s="7">
        <f>INDIRECT("D$"&amp;2+MIN(2,ROUNDDOWN(I1710,0))*3)*(-$J1710^3+3*$J1710^2-3*$J1710+1)+INDIRECT("D$"&amp;3+MIN(2,ROUNDDOWN(I1710,0))*3)*(3*$J1710^3-6*$J1710^2+3*$J1710)+INDIRECT("D$"&amp;4+MIN(2,ROUNDDOWN(I1710,0))*3)*(-3*$J1710^3+3*$J1710^2)+INDIRECT("D$"&amp;5+MIN(2,ROUNDDOWN(I1710,0))*3)*$J1710^3</f>
      </c>
      <c r="M1710" s="7">
        <f>SQRT(K1710^2+L1710^2)</f>
      </c>
      <c r="N1710" s="7">
        <f>(K1711-K1709)</f>
      </c>
      <c r="O1710" s="7">
        <f>+(L1711-L1709)</f>
      </c>
      <c r="P1710" s="7">
        <f>SQRT(O1710^2+N1710^2)</f>
      </c>
      <c r="Q1710" s="7">
        <f>N1710/$P1710</f>
      </c>
      <c r="R1710" s="7">
        <f>O1710/$P1710</f>
      </c>
      <c r="S1710" s="8">
        <f>Q1710^2+R1710^2</f>
      </c>
      <c r="T1710" s="7">
        <f>-R1710</f>
      </c>
      <c r="U1710" s="7">
        <f>Q1710</f>
      </c>
      <c r="V1710" s="7">
        <f>($C$14+($C$15-$C$14)/($D$15-$D$14)*(I1710-$D$14))/2</f>
      </c>
      <c r="W1710" s="7">
        <f>($B$22*I1710^4+$C$22*I1710^3+$D$22*I1710^2+$E$22*I1710+$F$22)/2</f>
      </c>
      <c r="X1710" s="7">
        <f>($W1710)*(T1710)</f>
      </c>
      <c r="Y1710" s="7">
        <f>($W1710)*(U1710)</f>
      </c>
      <c r="Z1710" s="7">
        <f>SQRT(X1710^2+Y1710^2)</f>
      </c>
      <c r="AA1710" s="7">
        <f>$K1710+$X1710</f>
      </c>
      <c r="AB1710" s="7">
        <f>$L1710+$Y1710</f>
      </c>
      <c r="AC1710" s="7">
        <f>$K1710-$X1710</f>
      </c>
      <c r="AD1710" s="7">
        <f>$L1710-$Y1710</f>
      </c>
      <c r="AE1710" s="7">
        <f>AA1710/39.3701</f>
      </c>
      <c r="AF1710" s="7">
        <f>AB1710/39.3701</f>
      </c>
      <c r="AG1710" s="7">
        <f>AC1710/39.3701</f>
      </c>
      <c r="AH1710" s="7">
        <f>AD1710/39.3701</f>
      </c>
      <c r="AI1710" s="1"/>
      <c r="AJ1710" s="1"/>
      <c r="AK1710" s="1"/>
      <c r="AL1710" s="1"/>
      <c r="AM1710" s="2"/>
      <c r="AN1710" s="1"/>
      <c r="AO1710" s="1"/>
      <c r="AP1710" s="1"/>
      <c r="AQ1710" s="1"/>
      <c r="AR1710" s="1"/>
      <c r="AS1710" s="1"/>
      <c r="AT1710" s="1"/>
      <c r="AU1710" s="1"/>
      <c r="AV1710" s="1"/>
      <c r="AW1710" s="1"/>
      <c r="AX1710" s="1"/>
      <c r="AY1710" s="1"/>
      <c r="AZ1710" s="1"/>
      <c r="BA1710" s="1"/>
      <c r="BB1710" s="1"/>
      <c r="BC1710" s="1"/>
      <c r="BD1710" s="1"/>
      <c r="BE1710" s="1"/>
    </row>
    <row x14ac:dyDescent="0.25" r="1711" customHeight="1" ht="18.75">
      <c r="A1711" s="1"/>
      <c r="B1711" s="2"/>
      <c r="C1711" s="2"/>
      <c r="D1711" s="2"/>
      <c r="E1711" s="2"/>
      <c r="F1711" s="2"/>
      <c r="G1711" s="1"/>
      <c r="H1711" s="1"/>
      <c r="I1711" s="7">
        <v>1.708</v>
      </c>
      <c r="J1711" s="7">
        <f>IF((I1711-ROUNDDOWN(I1711,0))=0, 0, (I1711-ROUNDDOWN(I1711,0)))</f>
      </c>
      <c r="K1711" s="7">
        <f>INDIRECT("C$"&amp;2+MIN(2,ROUNDDOWN(I1711,0))*3)*(-$J1711^3+3*$J1711^2-3*$J1711+1)+INDIRECT("C$"&amp;3+MIN(2,ROUNDDOWN(I1711,0))*3)*(3*$J1711^3-6*$J1711^2+3*$J1711)+INDIRECT("C$"&amp;4+MIN(2,ROUNDDOWN(I1711,0))*3)*(-3*$J1711^3+3*$J1711^2)+INDIRECT("C$"&amp;5+MIN(2,ROUNDDOWN(I1711,0))*3)*$J1711^3</f>
      </c>
      <c r="L1711" s="7">
        <f>INDIRECT("D$"&amp;2+MIN(2,ROUNDDOWN(I1711,0))*3)*(-$J1711^3+3*$J1711^2-3*$J1711+1)+INDIRECT("D$"&amp;3+MIN(2,ROUNDDOWN(I1711,0))*3)*(3*$J1711^3-6*$J1711^2+3*$J1711)+INDIRECT("D$"&amp;4+MIN(2,ROUNDDOWN(I1711,0))*3)*(-3*$J1711^3+3*$J1711^2)+INDIRECT("D$"&amp;5+MIN(2,ROUNDDOWN(I1711,0))*3)*$J1711^3</f>
      </c>
      <c r="M1711" s="7">
        <f>SQRT(K1711^2+L1711^2)</f>
      </c>
      <c r="N1711" s="7">
        <f>(K1712-K1710)</f>
      </c>
      <c r="O1711" s="7">
        <f>+(L1712-L1710)</f>
      </c>
      <c r="P1711" s="7">
        <f>SQRT(O1711^2+N1711^2)</f>
      </c>
      <c r="Q1711" s="7">
        <f>N1711/$P1711</f>
      </c>
      <c r="R1711" s="7">
        <f>O1711/$P1711</f>
      </c>
      <c r="S1711" s="7">
        <f>Q1711^2+R1711^2</f>
      </c>
      <c r="T1711" s="7">
        <f>-R1711</f>
      </c>
      <c r="U1711" s="7">
        <f>Q1711</f>
      </c>
      <c r="V1711" s="7">
        <f>($C$14+($C$15-$C$14)/($D$15-$D$14)*(I1711-$D$14))/2</f>
      </c>
      <c r="W1711" s="7">
        <f>($B$22*I1711^4+$C$22*I1711^3+$D$22*I1711^2+$E$22*I1711+$F$22)/2</f>
      </c>
      <c r="X1711" s="7">
        <f>($W1711)*(T1711)</f>
      </c>
      <c r="Y1711" s="7">
        <f>($W1711)*(U1711)</f>
      </c>
      <c r="Z1711" s="7">
        <f>SQRT(X1711^2+Y1711^2)</f>
      </c>
      <c r="AA1711" s="7">
        <f>$K1711+$X1711</f>
      </c>
      <c r="AB1711" s="7">
        <f>$L1711+$Y1711</f>
      </c>
      <c r="AC1711" s="7">
        <f>$K1711-$X1711</f>
      </c>
      <c r="AD1711" s="7">
        <f>$L1711-$Y1711</f>
      </c>
      <c r="AE1711" s="7">
        <f>AA1711/39.3701</f>
      </c>
      <c r="AF1711" s="7">
        <f>AB1711/39.3701</f>
      </c>
      <c r="AG1711" s="7">
        <f>AC1711/39.3701</f>
      </c>
      <c r="AH1711" s="7">
        <f>AD1711/39.3701</f>
      </c>
      <c r="AI1711" s="1"/>
      <c r="AJ1711" s="1"/>
      <c r="AK1711" s="1"/>
      <c r="AL1711" s="1"/>
      <c r="AM1711" s="2"/>
      <c r="AN1711" s="1"/>
      <c r="AO1711" s="1"/>
      <c r="AP1711" s="1"/>
      <c r="AQ1711" s="1"/>
      <c r="AR1711" s="1"/>
      <c r="AS1711" s="1"/>
      <c r="AT1711" s="1"/>
      <c r="AU1711" s="1"/>
      <c r="AV1711" s="1"/>
      <c r="AW1711" s="1"/>
      <c r="AX1711" s="1"/>
      <c r="AY1711" s="1"/>
      <c r="AZ1711" s="1"/>
      <c r="BA1711" s="1"/>
      <c r="BB1711" s="1"/>
      <c r="BC1711" s="1"/>
      <c r="BD1711" s="1"/>
      <c r="BE1711" s="1"/>
    </row>
    <row x14ac:dyDescent="0.25" r="1712" customHeight="1" ht="18.75">
      <c r="A1712" s="1"/>
      <c r="B1712" s="2"/>
      <c r="C1712" s="2"/>
      <c r="D1712" s="2"/>
      <c r="E1712" s="2"/>
      <c r="F1712" s="2"/>
      <c r="G1712" s="1"/>
      <c r="H1712" s="1"/>
      <c r="I1712" s="7">
        <v>1.709</v>
      </c>
      <c r="J1712" s="7">
        <f>IF((I1712-ROUNDDOWN(I1712,0))=0, 0, (I1712-ROUNDDOWN(I1712,0)))</f>
      </c>
      <c r="K1712" s="7">
        <f>INDIRECT("C$"&amp;2+MIN(2,ROUNDDOWN(I1712,0))*3)*(-$J1712^3+3*$J1712^2-3*$J1712+1)+INDIRECT("C$"&amp;3+MIN(2,ROUNDDOWN(I1712,0))*3)*(3*$J1712^3-6*$J1712^2+3*$J1712)+INDIRECT("C$"&amp;4+MIN(2,ROUNDDOWN(I1712,0))*3)*(-3*$J1712^3+3*$J1712^2)+INDIRECT("C$"&amp;5+MIN(2,ROUNDDOWN(I1712,0))*3)*$J1712^3</f>
      </c>
      <c r="L1712" s="7">
        <f>INDIRECT("D$"&amp;2+MIN(2,ROUNDDOWN(I1712,0))*3)*(-$J1712^3+3*$J1712^2-3*$J1712+1)+INDIRECT("D$"&amp;3+MIN(2,ROUNDDOWN(I1712,0))*3)*(3*$J1712^3-6*$J1712^2+3*$J1712)+INDIRECT("D$"&amp;4+MIN(2,ROUNDDOWN(I1712,0))*3)*(-3*$J1712^3+3*$J1712^2)+INDIRECT("D$"&amp;5+MIN(2,ROUNDDOWN(I1712,0))*3)*$J1712^3</f>
      </c>
      <c r="M1712" s="7">
        <f>SQRT(K1712^2+L1712^2)</f>
      </c>
      <c r="N1712" s="7">
        <f>(K1713-K1711)</f>
      </c>
      <c r="O1712" s="7">
        <f>+(L1713-L1711)</f>
      </c>
      <c r="P1712" s="7">
        <f>SQRT(O1712^2+N1712^2)</f>
      </c>
      <c r="Q1712" s="7">
        <f>N1712/$P1712</f>
      </c>
      <c r="R1712" s="7">
        <f>O1712/$P1712</f>
      </c>
      <c r="S1712" s="8">
        <f>Q1712^2+R1712^2</f>
      </c>
      <c r="T1712" s="7">
        <f>-R1712</f>
      </c>
      <c r="U1712" s="7">
        <f>Q1712</f>
      </c>
      <c r="V1712" s="7">
        <f>($C$14+($C$15-$C$14)/($D$15-$D$14)*(I1712-$D$14))/2</f>
      </c>
      <c r="W1712" s="7">
        <f>($B$22*I1712^4+$C$22*I1712^3+$D$22*I1712^2+$E$22*I1712+$F$22)/2</f>
      </c>
      <c r="X1712" s="7">
        <f>($W1712)*(T1712)</f>
      </c>
      <c r="Y1712" s="7">
        <f>($W1712)*(U1712)</f>
      </c>
      <c r="Z1712" s="7">
        <f>SQRT(X1712^2+Y1712^2)</f>
      </c>
      <c r="AA1712" s="7">
        <f>$K1712+$X1712</f>
      </c>
      <c r="AB1712" s="7">
        <f>$L1712+$Y1712</f>
      </c>
      <c r="AC1712" s="7">
        <f>$K1712-$X1712</f>
      </c>
      <c r="AD1712" s="7">
        <f>$L1712-$Y1712</f>
      </c>
      <c r="AE1712" s="7">
        <f>AA1712/39.3701</f>
      </c>
      <c r="AF1712" s="7">
        <f>AB1712/39.3701</f>
      </c>
      <c r="AG1712" s="7">
        <f>AC1712/39.3701</f>
      </c>
      <c r="AH1712" s="7">
        <f>AD1712/39.3701</f>
      </c>
      <c r="AI1712" s="1"/>
      <c r="AJ1712" s="1"/>
      <c r="AK1712" s="1"/>
      <c r="AL1712" s="1"/>
      <c r="AM1712" s="2"/>
      <c r="AN1712" s="1"/>
      <c r="AO1712" s="1"/>
      <c r="AP1712" s="1"/>
      <c r="AQ1712" s="1"/>
      <c r="AR1712" s="1"/>
      <c r="AS1712" s="1"/>
      <c r="AT1712" s="1"/>
      <c r="AU1712" s="1"/>
      <c r="AV1712" s="1"/>
      <c r="AW1712" s="1"/>
      <c r="AX1712" s="1"/>
      <c r="AY1712" s="1"/>
      <c r="AZ1712" s="1"/>
      <c r="BA1712" s="1"/>
      <c r="BB1712" s="1"/>
      <c r="BC1712" s="1"/>
      <c r="BD1712" s="1"/>
      <c r="BE1712" s="1"/>
    </row>
    <row x14ac:dyDescent="0.25" r="1713" customHeight="1" ht="18.75">
      <c r="A1713" s="1"/>
      <c r="B1713" s="2"/>
      <c r="C1713" s="2"/>
      <c r="D1713" s="2"/>
      <c r="E1713" s="2"/>
      <c r="F1713" s="2"/>
      <c r="G1713" s="1"/>
      <c r="H1713" s="1"/>
      <c r="I1713" s="7">
        <v>1.71</v>
      </c>
      <c r="J1713" s="7">
        <f>IF((I1713-ROUNDDOWN(I1713,0))=0, 0, (I1713-ROUNDDOWN(I1713,0)))</f>
      </c>
      <c r="K1713" s="7">
        <f>INDIRECT("C$"&amp;2+MIN(2,ROUNDDOWN(I1713,0))*3)*(-$J1713^3+3*$J1713^2-3*$J1713+1)+INDIRECT("C$"&amp;3+MIN(2,ROUNDDOWN(I1713,0))*3)*(3*$J1713^3-6*$J1713^2+3*$J1713)+INDIRECT("C$"&amp;4+MIN(2,ROUNDDOWN(I1713,0))*3)*(-3*$J1713^3+3*$J1713^2)+INDIRECT("C$"&amp;5+MIN(2,ROUNDDOWN(I1713,0))*3)*$J1713^3</f>
      </c>
      <c r="L1713" s="7">
        <f>INDIRECT("D$"&amp;2+MIN(2,ROUNDDOWN(I1713,0))*3)*(-$J1713^3+3*$J1713^2-3*$J1713+1)+INDIRECT("D$"&amp;3+MIN(2,ROUNDDOWN(I1713,0))*3)*(3*$J1713^3-6*$J1713^2+3*$J1713)+INDIRECT("D$"&amp;4+MIN(2,ROUNDDOWN(I1713,0))*3)*(-3*$J1713^3+3*$J1713^2)+INDIRECT("D$"&amp;5+MIN(2,ROUNDDOWN(I1713,0))*3)*$J1713^3</f>
      </c>
      <c r="M1713" s="7">
        <f>SQRT(K1713^2+L1713^2)</f>
      </c>
      <c r="N1713" s="7">
        <f>(K1714-K1712)</f>
      </c>
      <c r="O1713" s="7">
        <f>+(L1714-L1712)</f>
      </c>
      <c r="P1713" s="7">
        <f>SQRT(O1713^2+N1713^2)</f>
      </c>
      <c r="Q1713" s="7">
        <f>N1713/$P1713</f>
      </c>
      <c r="R1713" s="7">
        <f>O1713/$P1713</f>
      </c>
      <c r="S1713" s="7">
        <f>Q1713^2+R1713^2</f>
      </c>
      <c r="T1713" s="7">
        <f>-R1713</f>
      </c>
      <c r="U1713" s="7">
        <f>Q1713</f>
      </c>
      <c r="V1713" s="7">
        <f>($C$14+($C$15-$C$14)/($D$15-$D$14)*(I1713-$D$14))/2</f>
      </c>
      <c r="W1713" s="7">
        <f>($B$22*I1713^4+$C$22*I1713^3+$D$22*I1713^2+$E$22*I1713+$F$22)/2</f>
      </c>
      <c r="X1713" s="7">
        <f>($W1713)*(T1713)</f>
      </c>
      <c r="Y1713" s="7">
        <f>($W1713)*(U1713)</f>
      </c>
      <c r="Z1713" s="7">
        <f>SQRT(X1713^2+Y1713^2)</f>
      </c>
      <c r="AA1713" s="7">
        <f>$K1713+$X1713</f>
      </c>
      <c r="AB1713" s="7">
        <f>$L1713+$Y1713</f>
      </c>
      <c r="AC1713" s="7">
        <f>$K1713-$X1713</f>
      </c>
      <c r="AD1713" s="7">
        <f>$L1713-$Y1713</f>
      </c>
      <c r="AE1713" s="7">
        <f>AA1713/39.3701</f>
      </c>
      <c r="AF1713" s="7">
        <f>AB1713/39.3701</f>
      </c>
      <c r="AG1713" s="7">
        <f>AC1713/39.3701</f>
      </c>
      <c r="AH1713" s="7">
        <f>AD1713/39.3701</f>
      </c>
      <c r="AI1713" s="1"/>
      <c r="AJ1713" s="1"/>
      <c r="AK1713" s="1"/>
      <c r="AL1713" s="1"/>
      <c r="AM1713" s="2"/>
      <c r="AN1713" s="1"/>
      <c r="AO1713" s="1"/>
      <c r="AP1713" s="1"/>
      <c r="AQ1713" s="1"/>
      <c r="AR1713" s="1"/>
      <c r="AS1713" s="1"/>
      <c r="AT1713" s="1"/>
      <c r="AU1713" s="1"/>
      <c r="AV1713" s="1"/>
      <c r="AW1713" s="1"/>
      <c r="AX1713" s="1"/>
      <c r="AY1713" s="1"/>
      <c r="AZ1713" s="1"/>
      <c r="BA1713" s="1"/>
      <c r="BB1713" s="1"/>
      <c r="BC1713" s="1"/>
      <c r="BD1713" s="1"/>
      <c r="BE1713" s="1"/>
    </row>
    <row x14ac:dyDescent="0.25" r="1714" customHeight="1" ht="18.75">
      <c r="A1714" s="1"/>
      <c r="B1714" s="2"/>
      <c r="C1714" s="2"/>
      <c r="D1714" s="2"/>
      <c r="E1714" s="2"/>
      <c r="F1714" s="2"/>
      <c r="G1714" s="1"/>
      <c r="H1714" s="1"/>
      <c r="I1714" s="7">
        <v>1.711</v>
      </c>
      <c r="J1714" s="7">
        <f>IF((I1714-ROUNDDOWN(I1714,0))=0, 0, (I1714-ROUNDDOWN(I1714,0)))</f>
      </c>
      <c r="K1714" s="7">
        <f>INDIRECT("C$"&amp;2+MIN(2,ROUNDDOWN(I1714,0))*3)*(-$J1714^3+3*$J1714^2-3*$J1714+1)+INDIRECT("C$"&amp;3+MIN(2,ROUNDDOWN(I1714,0))*3)*(3*$J1714^3-6*$J1714^2+3*$J1714)+INDIRECT("C$"&amp;4+MIN(2,ROUNDDOWN(I1714,0))*3)*(-3*$J1714^3+3*$J1714^2)+INDIRECT("C$"&amp;5+MIN(2,ROUNDDOWN(I1714,0))*3)*$J1714^3</f>
      </c>
      <c r="L1714" s="7">
        <f>INDIRECT("D$"&amp;2+MIN(2,ROUNDDOWN(I1714,0))*3)*(-$J1714^3+3*$J1714^2-3*$J1714+1)+INDIRECT("D$"&amp;3+MIN(2,ROUNDDOWN(I1714,0))*3)*(3*$J1714^3-6*$J1714^2+3*$J1714)+INDIRECT("D$"&amp;4+MIN(2,ROUNDDOWN(I1714,0))*3)*(-3*$J1714^3+3*$J1714^2)+INDIRECT("D$"&amp;5+MIN(2,ROUNDDOWN(I1714,0))*3)*$J1714^3</f>
      </c>
      <c r="M1714" s="7">
        <f>SQRT(K1714^2+L1714^2)</f>
      </c>
      <c r="N1714" s="7">
        <f>(K1715-K1713)</f>
      </c>
      <c r="O1714" s="7">
        <f>+(L1715-L1713)</f>
      </c>
      <c r="P1714" s="7">
        <f>SQRT(O1714^2+N1714^2)</f>
      </c>
      <c r="Q1714" s="7">
        <f>N1714/$P1714</f>
      </c>
      <c r="R1714" s="7">
        <f>O1714/$P1714</f>
      </c>
      <c r="S1714" s="7">
        <f>Q1714^2+R1714^2</f>
      </c>
      <c r="T1714" s="7">
        <f>-R1714</f>
      </c>
      <c r="U1714" s="7">
        <f>Q1714</f>
      </c>
      <c r="V1714" s="7">
        <f>($C$14+($C$15-$C$14)/($D$15-$D$14)*(I1714-$D$14))/2</f>
      </c>
      <c r="W1714" s="7">
        <f>($B$22*I1714^4+$C$22*I1714^3+$D$22*I1714^2+$E$22*I1714+$F$22)/2</f>
      </c>
      <c r="X1714" s="7">
        <f>($W1714)*(T1714)</f>
      </c>
      <c r="Y1714" s="7">
        <f>($W1714)*(U1714)</f>
      </c>
      <c r="Z1714" s="7">
        <f>SQRT(X1714^2+Y1714^2)</f>
      </c>
      <c r="AA1714" s="7">
        <f>$K1714+$X1714</f>
      </c>
      <c r="AB1714" s="7">
        <f>$L1714+$Y1714</f>
      </c>
      <c r="AC1714" s="7">
        <f>$K1714-$X1714</f>
      </c>
      <c r="AD1714" s="7">
        <f>$L1714-$Y1714</f>
      </c>
      <c r="AE1714" s="7">
        <f>AA1714/39.3701</f>
      </c>
      <c r="AF1714" s="7">
        <f>AB1714/39.3701</f>
      </c>
      <c r="AG1714" s="7">
        <f>AC1714/39.3701</f>
      </c>
      <c r="AH1714" s="7">
        <f>AD1714/39.3701</f>
      </c>
      <c r="AI1714" s="1"/>
      <c r="AJ1714" s="1"/>
      <c r="AK1714" s="1"/>
      <c r="AL1714" s="1"/>
      <c r="AM1714" s="2"/>
      <c r="AN1714" s="1"/>
      <c r="AO1714" s="1"/>
      <c r="AP1714" s="1"/>
      <c r="AQ1714" s="1"/>
      <c r="AR1714" s="1"/>
      <c r="AS1714" s="1"/>
      <c r="AT1714" s="1"/>
      <c r="AU1714" s="1"/>
      <c r="AV1714" s="1"/>
      <c r="AW1714" s="1"/>
      <c r="AX1714" s="1"/>
      <c r="AY1714" s="1"/>
      <c r="AZ1714" s="1"/>
      <c r="BA1714" s="1"/>
      <c r="BB1714" s="1"/>
      <c r="BC1714" s="1"/>
      <c r="BD1714" s="1"/>
      <c r="BE1714" s="1"/>
    </row>
    <row x14ac:dyDescent="0.25" r="1715" customHeight="1" ht="18.75">
      <c r="A1715" s="1"/>
      <c r="B1715" s="2"/>
      <c r="C1715" s="2"/>
      <c r="D1715" s="2"/>
      <c r="E1715" s="2"/>
      <c r="F1715" s="2"/>
      <c r="G1715" s="1"/>
      <c r="H1715" s="1"/>
      <c r="I1715" s="7">
        <v>1.712</v>
      </c>
      <c r="J1715" s="7">
        <f>IF((I1715-ROUNDDOWN(I1715,0))=0, 0, (I1715-ROUNDDOWN(I1715,0)))</f>
      </c>
      <c r="K1715" s="7">
        <f>INDIRECT("C$"&amp;2+MIN(2,ROUNDDOWN(I1715,0))*3)*(-$J1715^3+3*$J1715^2-3*$J1715+1)+INDIRECT("C$"&amp;3+MIN(2,ROUNDDOWN(I1715,0))*3)*(3*$J1715^3-6*$J1715^2+3*$J1715)+INDIRECT("C$"&amp;4+MIN(2,ROUNDDOWN(I1715,0))*3)*(-3*$J1715^3+3*$J1715^2)+INDIRECT("C$"&amp;5+MIN(2,ROUNDDOWN(I1715,0))*3)*$J1715^3</f>
      </c>
      <c r="L1715" s="7">
        <f>INDIRECT("D$"&amp;2+MIN(2,ROUNDDOWN(I1715,0))*3)*(-$J1715^3+3*$J1715^2-3*$J1715+1)+INDIRECT("D$"&amp;3+MIN(2,ROUNDDOWN(I1715,0))*3)*(3*$J1715^3-6*$J1715^2+3*$J1715)+INDIRECT("D$"&amp;4+MIN(2,ROUNDDOWN(I1715,0))*3)*(-3*$J1715^3+3*$J1715^2)+INDIRECT("D$"&amp;5+MIN(2,ROUNDDOWN(I1715,0))*3)*$J1715^3</f>
      </c>
      <c r="M1715" s="7">
        <f>SQRT(K1715^2+L1715^2)</f>
      </c>
      <c r="N1715" s="7">
        <f>(K1716-K1714)</f>
      </c>
      <c r="O1715" s="7">
        <f>+(L1716-L1714)</f>
      </c>
      <c r="P1715" s="7">
        <f>SQRT(O1715^2+N1715^2)</f>
      </c>
      <c r="Q1715" s="7">
        <f>N1715/$P1715</f>
      </c>
      <c r="R1715" s="7">
        <f>O1715/$P1715</f>
      </c>
      <c r="S1715" s="8">
        <f>Q1715^2+R1715^2</f>
      </c>
      <c r="T1715" s="7">
        <f>-R1715</f>
      </c>
      <c r="U1715" s="7">
        <f>Q1715</f>
      </c>
      <c r="V1715" s="7">
        <f>($C$14+($C$15-$C$14)/($D$15-$D$14)*(I1715-$D$14))/2</f>
      </c>
      <c r="W1715" s="7">
        <f>($B$22*I1715^4+$C$22*I1715^3+$D$22*I1715^2+$E$22*I1715+$F$22)/2</f>
      </c>
      <c r="X1715" s="7">
        <f>($W1715)*(T1715)</f>
      </c>
      <c r="Y1715" s="7">
        <f>($W1715)*(U1715)</f>
      </c>
      <c r="Z1715" s="7">
        <f>SQRT(X1715^2+Y1715^2)</f>
      </c>
      <c r="AA1715" s="7">
        <f>$K1715+$X1715</f>
      </c>
      <c r="AB1715" s="7">
        <f>$L1715+$Y1715</f>
      </c>
      <c r="AC1715" s="7">
        <f>$K1715-$X1715</f>
      </c>
      <c r="AD1715" s="7">
        <f>$L1715-$Y1715</f>
      </c>
      <c r="AE1715" s="7">
        <f>AA1715/39.3701</f>
      </c>
      <c r="AF1715" s="7">
        <f>AB1715/39.3701</f>
      </c>
      <c r="AG1715" s="7">
        <f>AC1715/39.3701</f>
      </c>
      <c r="AH1715" s="7">
        <f>AD1715/39.3701</f>
      </c>
      <c r="AI1715" s="1"/>
      <c r="AJ1715" s="1"/>
      <c r="AK1715" s="1"/>
      <c r="AL1715" s="1"/>
      <c r="AM1715" s="2"/>
      <c r="AN1715" s="1"/>
      <c r="AO1715" s="1"/>
      <c r="AP1715" s="1"/>
      <c r="AQ1715" s="1"/>
      <c r="AR1715" s="1"/>
      <c r="AS1715" s="1"/>
      <c r="AT1715" s="1"/>
      <c r="AU1715" s="1"/>
      <c r="AV1715" s="1"/>
      <c r="AW1715" s="1"/>
      <c r="AX1715" s="1"/>
      <c r="AY1715" s="1"/>
      <c r="AZ1715" s="1"/>
      <c r="BA1715" s="1"/>
      <c r="BB1715" s="1"/>
      <c r="BC1715" s="1"/>
      <c r="BD1715" s="1"/>
      <c r="BE1715" s="1"/>
    </row>
    <row x14ac:dyDescent="0.25" r="1716" customHeight="1" ht="18.75">
      <c r="A1716" s="1"/>
      <c r="B1716" s="2"/>
      <c r="C1716" s="2"/>
      <c r="D1716" s="2"/>
      <c r="E1716" s="2"/>
      <c r="F1716" s="2"/>
      <c r="G1716" s="1"/>
      <c r="H1716" s="1"/>
      <c r="I1716" s="7">
        <v>1.713</v>
      </c>
      <c r="J1716" s="7">
        <f>IF((I1716-ROUNDDOWN(I1716,0))=0, 0, (I1716-ROUNDDOWN(I1716,0)))</f>
      </c>
      <c r="K1716" s="7">
        <f>INDIRECT("C$"&amp;2+MIN(2,ROUNDDOWN(I1716,0))*3)*(-$J1716^3+3*$J1716^2-3*$J1716+1)+INDIRECT("C$"&amp;3+MIN(2,ROUNDDOWN(I1716,0))*3)*(3*$J1716^3-6*$J1716^2+3*$J1716)+INDIRECT("C$"&amp;4+MIN(2,ROUNDDOWN(I1716,0))*3)*(-3*$J1716^3+3*$J1716^2)+INDIRECT("C$"&amp;5+MIN(2,ROUNDDOWN(I1716,0))*3)*$J1716^3</f>
      </c>
      <c r="L1716" s="7">
        <f>INDIRECT("D$"&amp;2+MIN(2,ROUNDDOWN(I1716,0))*3)*(-$J1716^3+3*$J1716^2-3*$J1716+1)+INDIRECT("D$"&amp;3+MIN(2,ROUNDDOWN(I1716,0))*3)*(3*$J1716^3-6*$J1716^2+3*$J1716)+INDIRECT("D$"&amp;4+MIN(2,ROUNDDOWN(I1716,0))*3)*(-3*$J1716^3+3*$J1716^2)+INDIRECT("D$"&amp;5+MIN(2,ROUNDDOWN(I1716,0))*3)*$J1716^3</f>
      </c>
      <c r="M1716" s="7">
        <f>SQRT(K1716^2+L1716^2)</f>
      </c>
      <c r="N1716" s="7">
        <f>(K1717-K1715)</f>
      </c>
      <c r="O1716" s="7">
        <f>+(L1717-L1715)</f>
      </c>
      <c r="P1716" s="7">
        <f>SQRT(O1716^2+N1716^2)</f>
      </c>
      <c r="Q1716" s="7">
        <f>N1716/$P1716</f>
      </c>
      <c r="R1716" s="7">
        <f>O1716/$P1716</f>
      </c>
      <c r="S1716" s="7">
        <f>Q1716^2+R1716^2</f>
      </c>
      <c r="T1716" s="7">
        <f>-R1716</f>
      </c>
      <c r="U1716" s="7">
        <f>Q1716</f>
      </c>
      <c r="V1716" s="7">
        <f>($C$14+($C$15-$C$14)/($D$15-$D$14)*(I1716-$D$14))/2</f>
      </c>
      <c r="W1716" s="7">
        <f>($B$22*I1716^4+$C$22*I1716^3+$D$22*I1716^2+$E$22*I1716+$F$22)/2</f>
      </c>
      <c r="X1716" s="7">
        <f>($W1716)*(T1716)</f>
      </c>
      <c r="Y1716" s="7">
        <f>($W1716)*(U1716)</f>
      </c>
      <c r="Z1716" s="7">
        <f>SQRT(X1716^2+Y1716^2)</f>
      </c>
      <c r="AA1716" s="7">
        <f>$K1716+$X1716</f>
      </c>
      <c r="AB1716" s="7">
        <f>$L1716+$Y1716</f>
      </c>
      <c r="AC1716" s="7">
        <f>$K1716-$X1716</f>
      </c>
      <c r="AD1716" s="7">
        <f>$L1716-$Y1716</f>
      </c>
      <c r="AE1716" s="7">
        <f>AA1716/39.3701</f>
      </c>
      <c r="AF1716" s="7">
        <f>AB1716/39.3701</f>
      </c>
      <c r="AG1716" s="7">
        <f>AC1716/39.3701</f>
      </c>
      <c r="AH1716" s="7">
        <f>AD1716/39.3701</f>
      </c>
      <c r="AI1716" s="1"/>
      <c r="AJ1716" s="1"/>
      <c r="AK1716" s="1"/>
      <c r="AL1716" s="1"/>
      <c r="AM1716" s="2"/>
      <c r="AN1716" s="1"/>
      <c r="AO1716" s="1"/>
      <c r="AP1716" s="1"/>
      <c r="AQ1716" s="1"/>
      <c r="AR1716" s="1"/>
      <c r="AS1716" s="1"/>
      <c r="AT1716" s="1"/>
      <c r="AU1716" s="1"/>
      <c r="AV1716" s="1"/>
      <c r="AW1716" s="1"/>
      <c r="AX1716" s="1"/>
      <c r="AY1716" s="1"/>
      <c r="AZ1716" s="1"/>
      <c r="BA1716" s="1"/>
      <c r="BB1716" s="1"/>
      <c r="BC1716" s="1"/>
      <c r="BD1716" s="1"/>
      <c r="BE1716" s="1"/>
    </row>
    <row x14ac:dyDescent="0.25" r="1717" customHeight="1" ht="18.75">
      <c r="A1717" s="1"/>
      <c r="B1717" s="2"/>
      <c r="C1717" s="2"/>
      <c r="D1717" s="2"/>
      <c r="E1717" s="2"/>
      <c r="F1717" s="2"/>
      <c r="G1717" s="1"/>
      <c r="H1717" s="1"/>
      <c r="I1717" s="7">
        <v>1.714</v>
      </c>
      <c r="J1717" s="7">
        <f>IF((I1717-ROUNDDOWN(I1717,0))=0, 0, (I1717-ROUNDDOWN(I1717,0)))</f>
      </c>
      <c r="K1717" s="7">
        <f>INDIRECT("C$"&amp;2+MIN(2,ROUNDDOWN(I1717,0))*3)*(-$J1717^3+3*$J1717^2-3*$J1717+1)+INDIRECT("C$"&amp;3+MIN(2,ROUNDDOWN(I1717,0))*3)*(3*$J1717^3-6*$J1717^2+3*$J1717)+INDIRECT("C$"&amp;4+MIN(2,ROUNDDOWN(I1717,0))*3)*(-3*$J1717^3+3*$J1717^2)+INDIRECT("C$"&amp;5+MIN(2,ROUNDDOWN(I1717,0))*3)*$J1717^3</f>
      </c>
      <c r="L1717" s="7">
        <f>INDIRECT("D$"&amp;2+MIN(2,ROUNDDOWN(I1717,0))*3)*(-$J1717^3+3*$J1717^2-3*$J1717+1)+INDIRECT("D$"&amp;3+MIN(2,ROUNDDOWN(I1717,0))*3)*(3*$J1717^3-6*$J1717^2+3*$J1717)+INDIRECT("D$"&amp;4+MIN(2,ROUNDDOWN(I1717,0))*3)*(-3*$J1717^3+3*$J1717^2)+INDIRECT("D$"&amp;5+MIN(2,ROUNDDOWN(I1717,0))*3)*$J1717^3</f>
      </c>
      <c r="M1717" s="7">
        <f>SQRT(K1717^2+L1717^2)</f>
      </c>
      <c r="N1717" s="7">
        <f>(K1718-K1716)</f>
      </c>
      <c r="O1717" s="7">
        <f>+(L1718-L1716)</f>
      </c>
      <c r="P1717" s="7">
        <f>SQRT(O1717^2+N1717^2)</f>
      </c>
      <c r="Q1717" s="7">
        <f>N1717/$P1717</f>
      </c>
      <c r="R1717" s="7">
        <f>O1717/$P1717</f>
      </c>
      <c r="S1717" s="8">
        <f>Q1717^2+R1717^2</f>
      </c>
      <c r="T1717" s="7">
        <f>-R1717</f>
      </c>
      <c r="U1717" s="7">
        <f>Q1717</f>
      </c>
      <c r="V1717" s="7">
        <f>($C$14+($C$15-$C$14)/($D$15-$D$14)*(I1717-$D$14))/2</f>
      </c>
      <c r="W1717" s="7">
        <f>($B$22*I1717^4+$C$22*I1717^3+$D$22*I1717^2+$E$22*I1717+$F$22)/2</f>
      </c>
      <c r="X1717" s="7">
        <f>($W1717)*(T1717)</f>
      </c>
      <c r="Y1717" s="7">
        <f>($W1717)*(U1717)</f>
      </c>
      <c r="Z1717" s="7">
        <f>SQRT(X1717^2+Y1717^2)</f>
      </c>
      <c r="AA1717" s="7">
        <f>$K1717+$X1717</f>
      </c>
      <c r="AB1717" s="7">
        <f>$L1717+$Y1717</f>
      </c>
      <c r="AC1717" s="7">
        <f>$K1717-$X1717</f>
      </c>
      <c r="AD1717" s="7">
        <f>$L1717-$Y1717</f>
      </c>
      <c r="AE1717" s="7">
        <f>AA1717/39.3701</f>
      </c>
      <c r="AF1717" s="7">
        <f>AB1717/39.3701</f>
      </c>
      <c r="AG1717" s="7">
        <f>AC1717/39.3701</f>
      </c>
      <c r="AH1717" s="7">
        <f>AD1717/39.3701</f>
      </c>
      <c r="AI1717" s="1"/>
      <c r="AJ1717" s="1"/>
      <c r="AK1717" s="1"/>
      <c r="AL1717" s="1"/>
      <c r="AM1717" s="2"/>
      <c r="AN1717" s="1"/>
      <c r="AO1717" s="1"/>
      <c r="AP1717" s="1"/>
      <c r="AQ1717" s="1"/>
      <c r="AR1717" s="1"/>
      <c r="AS1717" s="1"/>
      <c r="AT1717" s="1"/>
      <c r="AU1717" s="1"/>
      <c r="AV1717" s="1"/>
      <c r="AW1717" s="1"/>
      <c r="AX1717" s="1"/>
      <c r="AY1717" s="1"/>
      <c r="AZ1717" s="1"/>
      <c r="BA1717" s="1"/>
      <c r="BB1717" s="1"/>
      <c r="BC1717" s="1"/>
      <c r="BD1717" s="1"/>
      <c r="BE1717" s="1"/>
    </row>
    <row x14ac:dyDescent="0.25" r="1718" customHeight="1" ht="18.75">
      <c r="A1718" s="1"/>
      <c r="B1718" s="2"/>
      <c r="C1718" s="2"/>
      <c r="D1718" s="2"/>
      <c r="E1718" s="2"/>
      <c r="F1718" s="2"/>
      <c r="G1718" s="1"/>
      <c r="H1718" s="1"/>
      <c r="I1718" s="7">
        <v>1.715</v>
      </c>
      <c r="J1718" s="7">
        <f>IF((I1718-ROUNDDOWN(I1718,0))=0, 0, (I1718-ROUNDDOWN(I1718,0)))</f>
      </c>
      <c r="K1718" s="7">
        <f>INDIRECT("C$"&amp;2+MIN(2,ROUNDDOWN(I1718,0))*3)*(-$J1718^3+3*$J1718^2-3*$J1718+1)+INDIRECT("C$"&amp;3+MIN(2,ROUNDDOWN(I1718,0))*3)*(3*$J1718^3-6*$J1718^2+3*$J1718)+INDIRECT("C$"&amp;4+MIN(2,ROUNDDOWN(I1718,0))*3)*(-3*$J1718^3+3*$J1718^2)+INDIRECT("C$"&amp;5+MIN(2,ROUNDDOWN(I1718,0))*3)*$J1718^3</f>
      </c>
      <c r="L1718" s="7">
        <f>INDIRECT("D$"&amp;2+MIN(2,ROUNDDOWN(I1718,0))*3)*(-$J1718^3+3*$J1718^2-3*$J1718+1)+INDIRECT("D$"&amp;3+MIN(2,ROUNDDOWN(I1718,0))*3)*(3*$J1718^3-6*$J1718^2+3*$J1718)+INDIRECT("D$"&amp;4+MIN(2,ROUNDDOWN(I1718,0))*3)*(-3*$J1718^3+3*$J1718^2)+INDIRECT("D$"&amp;5+MIN(2,ROUNDDOWN(I1718,0))*3)*$J1718^3</f>
      </c>
      <c r="M1718" s="7">
        <f>SQRT(K1718^2+L1718^2)</f>
      </c>
      <c r="N1718" s="7">
        <f>(K1719-K1717)</f>
      </c>
      <c r="O1718" s="7">
        <f>+(L1719-L1717)</f>
      </c>
      <c r="P1718" s="7">
        <f>SQRT(O1718^2+N1718^2)</f>
      </c>
      <c r="Q1718" s="7">
        <f>N1718/$P1718</f>
      </c>
      <c r="R1718" s="7">
        <f>O1718/$P1718</f>
      </c>
      <c r="S1718" s="8">
        <f>Q1718^2+R1718^2</f>
      </c>
      <c r="T1718" s="7">
        <f>-R1718</f>
      </c>
      <c r="U1718" s="7">
        <f>Q1718</f>
      </c>
      <c r="V1718" s="7">
        <f>($C$14+($C$15-$C$14)/($D$15-$D$14)*(I1718-$D$14))/2</f>
      </c>
      <c r="W1718" s="7">
        <f>($B$22*I1718^4+$C$22*I1718^3+$D$22*I1718^2+$E$22*I1718+$F$22)/2</f>
      </c>
      <c r="X1718" s="7">
        <f>($W1718)*(T1718)</f>
      </c>
      <c r="Y1718" s="7">
        <f>($W1718)*(U1718)</f>
      </c>
      <c r="Z1718" s="7">
        <f>SQRT(X1718^2+Y1718^2)</f>
      </c>
      <c r="AA1718" s="7">
        <f>$K1718+$X1718</f>
      </c>
      <c r="AB1718" s="7">
        <f>$L1718+$Y1718</f>
      </c>
      <c r="AC1718" s="7">
        <f>$K1718-$X1718</f>
      </c>
      <c r="AD1718" s="7">
        <f>$L1718-$Y1718</f>
      </c>
      <c r="AE1718" s="7">
        <f>AA1718/39.3701</f>
      </c>
      <c r="AF1718" s="7">
        <f>AB1718/39.3701</f>
      </c>
      <c r="AG1718" s="7">
        <f>AC1718/39.3701</f>
      </c>
      <c r="AH1718" s="7">
        <f>AD1718/39.3701</f>
      </c>
      <c r="AI1718" s="1"/>
      <c r="AJ1718" s="1"/>
      <c r="AK1718" s="1"/>
      <c r="AL1718" s="1"/>
      <c r="AM1718" s="2"/>
      <c r="AN1718" s="1"/>
      <c r="AO1718" s="1"/>
      <c r="AP1718" s="1"/>
      <c r="AQ1718" s="1"/>
      <c r="AR1718" s="1"/>
      <c r="AS1718" s="1"/>
      <c r="AT1718" s="1"/>
      <c r="AU1718" s="1"/>
      <c r="AV1718" s="1"/>
      <c r="AW1718" s="1"/>
      <c r="AX1718" s="1"/>
      <c r="AY1718" s="1"/>
      <c r="AZ1718" s="1"/>
      <c r="BA1718" s="1"/>
      <c r="BB1718" s="1"/>
      <c r="BC1718" s="1"/>
      <c r="BD1718" s="1"/>
      <c r="BE1718" s="1"/>
    </row>
    <row x14ac:dyDescent="0.25" r="1719" customHeight="1" ht="18.75">
      <c r="A1719" s="1"/>
      <c r="B1719" s="2"/>
      <c r="C1719" s="2"/>
      <c r="D1719" s="2"/>
      <c r="E1719" s="2"/>
      <c r="F1719" s="2"/>
      <c r="G1719" s="1"/>
      <c r="H1719" s="1"/>
      <c r="I1719" s="7">
        <v>1.716</v>
      </c>
      <c r="J1719" s="7">
        <f>IF((I1719-ROUNDDOWN(I1719,0))=0, 0, (I1719-ROUNDDOWN(I1719,0)))</f>
      </c>
      <c r="K1719" s="7">
        <f>INDIRECT("C$"&amp;2+MIN(2,ROUNDDOWN(I1719,0))*3)*(-$J1719^3+3*$J1719^2-3*$J1719+1)+INDIRECT("C$"&amp;3+MIN(2,ROUNDDOWN(I1719,0))*3)*(3*$J1719^3-6*$J1719^2+3*$J1719)+INDIRECT("C$"&amp;4+MIN(2,ROUNDDOWN(I1719,0))*3)*(-3*$J1719^3+3*$J1719^2)+INDIRECT("C$"&amp;5+MIN(2,ROUNDDOWN(I1719,0))*3)*$J1719^3</f>
      </c>
      <c r="L1719" s="7">
        <f>INDIRECT("D$"&amp;2+MIN(2,ROUNDDOWN(I1719,0))*3)*(-$J1719^3+3*$J1719^2-3*$J1719+1)+INDIRECT("D$"&amp;3+MIN(2,ROUNDDOWN(I1719,0))*3)*(3*$J1719^3-6*$J1719^2+3*$J1719)+INDIRECT("D$"&amp;4+MIN(2,ROUNDDOWN(I1719,0))*3)*(-3*$J1719^3+3*$J1719^2)+INDIRECT("D$"&amp;5+MIN(2,ROUNDDOWN(I1719,0))*3)*$J1719^3</f>
      </c>
      <c r="M1719" s="7">
        <f>SQRT(K1719^2+L1719^2)</f>
      </c>
      <c r="N1719" s="7">
        <f>(K1720-K1718)</f>
      </c>
      <c r="O1719" s="7">
        <f>+(L1720-L1718)</f>
      </c>
      <c r="P1719" s="7">
        <f>SQRT(O1719^2+N1719^2)</f>
      </c>
      <c r="Q1719" s="7">
        <f>N1719/$P1719</f>
      </c>
      <c r="R1719" s="7">
        <f>O1719/$P1719</f>
      </c>
      <c r="S1719" s="8">
        <f>Q1719^2+R1719^2</f>
      </c>
      <c r="T1719" s="7">
        <f>-R1719</f>
      </c>
      <c r="U1719" s="7">
        <f>Q1719</f>
      </c>
      <c r="V1719" s="7">
        <f>($C$14+($C$15-$C$14)/($D$15-$D$14)*(I1719-$D$14))/2</f>
      </c>
      <c r="W1719" s="7">
        <f>($B$22*I1719^4+$C$22*I1719^3+$D$22*I1719^2+$E$22*I1719+$F$22)/2</f>
      </c>
      <c r="X1719" s="7">
        <f>($W1719)*(T1719)</f>
      </c>
      <c r="Y1719" s="7">
        <f>($W1719)*(U1719)</f>
      </c>
      <c r="Z1719" s="7">
        <f>SQRT(X1719^2+Y1719^2)</f>
      </c>
      <c r="AA1719" s="7">
        <f>$K1719+$X1719</f>
      </c>
      <c r="AB1719" s="7">
        <f>$L1719+$Y1719</f>
      </c>
      <c r="AC1719" s="7">
        <f>$K1719-$X1719</f>
      </c>
      <c r="AD1719" s="7">
        <f>$L1719-$Y1719</f>
      </c>
      <c r="AE1719" s="7">
        <f>AA1719/39.3701</f>
      </c>
      <c r="AF1719" s="7">
        <f>AB1719/39.3701</f>
      </c>
      <c r="AG1719" s="7">
        <f>AC1719/39.3701</f>
      </c>
      <c r="AH1719" s="7">
        <f>AD1719/39.3701</f>
      </c>
      <c r="AI1719" s="1"/>
      <c r="AJ1719" s="1"/>
      <c r="AK1719" s="1"/>
      <c r="AL1719" s="1"/>
      <c r="AM1719" s="2"/>
      <c r="AN1719" s="1"/>
      <c r="AO1719" s="1"/>
      <c r="AP1719" s="1"/>
      <c r="AQ1719" s="1"/>
      <c r="AR1719" s="1"/>
      <c r="AS1719" s="1"/>
      <c r="AT1719" s="1"/>
      <c r="AU1719" s="1"/>
      <c r="AV1719" s="1"/>
      <c r="AW1719" s="1"/>
      <c r="AX1719" s="1"/>
      <c r="AY1719" s="1"/>
      <c r="AZ1719" s="1"/>
      <c r="BA1719" s="1"/>
      <c r="BB1719" s="1"/>
      <c r="BC1719" s="1"/>
      <c r="BD1719" s="1"/>
      <c r="BE1719" s="1"/>
    </row>
    <row x14ac:dyDescent="0.25" r="1720" customHeight="1" ht="18.75">
      <c r="A1720" s="1"/>
      <c r="B1720" s="2"/>
      <c r="C1720" s="2"/>
      <c r="D1720" s="2"/>
      <c r="E1720" s="2"/>
      <c r="F1720" s="2"/>
      <c r="G1720" s="1"/>
      <c r="H1720" s="1"/>
      <c r="I1720" s="7">
        <v>1.717</v>
      </c>
      <c r="J1720" s="7">
        <f>IF((I1720-ROUNDDOWN(I1720,0))=0, 0, (I1720-ROUNDDOWN(I1720,0)))</f>
      </c>
      <c r="K1720" s="7">
        <f>INDIRECT("C$"&amp;2+MIN(2,ROUNDDOWN(I1720,0))*3)*(-$J1720^3+3*$J1720^2-3*$J1720+1)+INDIRECT("C$"&amp;3+MIN(2,ROUNDDOWN(I1720,0))*3)*(3*$J1720^3-6*$J1720^2+3*$J1720)+INDIRECT("C$"&amp;4+MIN(2,ROUNDDOWN(I1720,0))*3)*(-3*$J1720^3+3*$J1720^2)+INDIRECT("C$"&amp;5+MIN(2,ROUNDDOWN(I1720,0))*3)*$J1720^3</f>
      </c>
      <c r="L1720" s="7">
        <f>INDIRECT("D$"&amp;2+MIN(2,ROUNDDOWN(I1720,0))*3)*(-$J1720^3+3*$J1720^2-3*$J1720+1)+INDIRECT("D$"&amp;3+MIN(2,ROUNDDOWN(I1720,0))*3)*(3*$J1720^3-6*$J1720^2+3*$J1720)+INDIRECT("D$"&amp;4+MIN(2,ROUNDDOWN(I1720,0))*3)*(-3*$J1720^3+3*$J1720^2)+INDIRECT("D$"&amp;5+MIN(2,ROUNDDOWN(I1720,0))*3)*$J1720^3</f>
      </c>
      <c r="M1720" s="7">
        <f>SQRT(K1720^2+L1720^2)</f>
      </c>
      <c r="N1720" s="7">
        <f>(K1721-K1719)</f>
      </c>
      <c r="O1720" s="7">
        <f>+(L1721-L1719)</f>
      </c>
      <c r="P1720" s="7">
        <f>SQRT(O1720^2+N1720^2)</f>
      </c>
      <c r="Q1720" s="7">
        <f>N1720/$P1720</f>
      </c>
      <c r="R1720" s="7">
        <f>O1720/$P1720</f>
      </c>
      <c r="S1720" s="8">
        <f>Q1720^2+R1720^2</f>
      </c>
      <c r="T1720" s="7">
        <f>-R1720</f>
      </c>
      <c r="U1720" s="7">
        <f>Q1720</f>
      </c>
      <c r="V1720" s="7">
        <f>($C$14+($C$15-$C$14)/($D$15-$D$14)*(I1720-$D$14))/2</f>
      </c>
      <c r="W1720" s="7">
        <f>($B$22*I1720^4+$C$22*I1720^3+$D$22*I1720^2+$E$22*I1720+$F$22)/2</f>
      </c>
      <c r="X1720" s="7">
        <f>($W1720)*(T1720)</f>
      </c>
      <c r="Y1720" s="7">
        <f>($W1720)*(U1720)</f>
      </c>
      <c r="Z1720" s="7">
        <f>SQRT(X1720^2+Y1720^2)</f>
      </c>
      <c r="AA1720" s="7">
        <f>$K1720+$X1720</f>
      </c>
      <c r="AB1720" s="7">
        <f>$L1720+$Y1720</f>
      </c>
      <c r="AC1720" s="7">
        <f>$K1720-$X1720</f>
      </c>
      <c r="AD1720" s="7">
        <f>$L1720-$Y1720</f>
      </c>
      <c r="AE1720" s="7">
        <f>AA1720/39.3701</f>
      </c>
      <c r="AF1720" s="7">
        <f>AB1720/39.3701</f>
      </c>
      <c r="AG1720" s="7">
        <f>AC1720/39.3701</f>
      </c>
      <c r="AH1720" s="7">
        <f>AD1720/39.3701</f>
      </c>
      <c r="AI1720" s="1"/>
      <c r="AJ1720" s="1"/>
      <c r="AK1720" s="1"/>
      <c r="AL1720" s="1"/>
      <c r="AM1720" s="2"/>
      <c r="AN1720" s="1"/>
      <c r="AO1720" s="1"/>
      <c r="AP1720" s="1"/>
      <c r="AQ1720" s="1"/>
      <c r="AR1720" s="1"/>
      <c r="AS1720" s="1"/>
      <c r="AT1720" s="1"/>
      <c r="AU1720" s="1"/>
      <c r="AV1720" s="1"/>
      <c r="AW1720" s="1"/>
      <c r="AX1720" s="1"/>
      <c r="AY1720" s="1"/>
      <c r="AZ1720" s="1"/>
      <c r="BA1720" s="1"/>
      <c r="BB1720" s="1"/>
      <c r="BC1720" s="1"/>
      <c r="BD1720" s="1"/>
      <c r="BE1720" s="1"/>
    </row>
    <row x14ac:dyDescent="0.25" r="1721" customHeight="1" ht="18.75">
      <c r="A1721" s="1"/>
      <c r="B1721" s="2"/>
      <c r="C1721" s="2"/>
      <c r="D1721" s="2"/>
      <c r="E1721" s="2"/>
      <c r="F1721" s="2"/>
      <c r="G1721" s="1"/>
      <c r="H1721" s="1"/>
      <c r="I1721" s="7">
        <v>1.718</v>
      </c>
      <c r="J1721" s="7">
        <f>IF((I1721-ROUNDDOWN(I1721,0))=0, 0, (I1721-ROUNDDOWN(I1721,0)))</f>
      </c>
      <c r="K1721" s="7">
        <f>INDIRECT("C$"&amp;2+MIN(2,ROUNDDOWN(I1721,0))*3)*(-$J1721^3+3*$J1721^2-3*$J1721+1)+INDIRECT("C$"&amp;3+MIN(2,ROUNDDOWN(I1721,0))*3)*(3*$J1721^3-6*$J1721^2+3*$J1721)+INDIRECT("C$"&amp;4+MIN(2,ROUNDDOWN(I1721,0))*3)*(-3*$J1721^3+3*$J1721^2)+INDIRECT("C$"&amp;5+MIN(2,ROUNDDOWN(I1721,0))*3)*$J1721^3</f>
      </c>
      <c r="L1721" s="7">
        <f>INDIRECT("D$"&amp;2+MIN(2,ROUNDDOWN(I1721,0))*3)*(-$J1721^3+3*$J1721^2-3*$J1721+1)+INDIRECT("D$"&amp;3+MIN(2,ROUNDDOWN(I1721,0))*3)*(3*$J1721^3-6*$J1721^2+3*$J1721)+INDIRECT("D$"&amp;4+MIN(2,ROUNDDOWN(I1721,0))*3)*(-3*$J1721^3+3*$J1721^2)+INDIRECT("D$"&amp;5+MIN(2,ROUNDDOWN(I1721,0))*3)*$J1721^3</f>
      </c>
      <c r="M1721" s="7">
        <f>SQRT(K1721^2+L1721^2)</f>
      </c>
      <c r="N1721" s="7">
        <f>(K1722-K1720)</f>
      </c>
      <c r="O1721" s="7">
        <f>+(L1722-L1720)</f>
      </c>
      <c r="P1721" s="7">
        <f>SQRT(O1721^2+N1721^2)</f>
      </c>
      <c r="Q1721" s="7">
        <f>N1721/$P1721</f>
      </c>
      <c r="R1721" s="7">
        <f>O1721/$P1721</f>
      </c>
      <c r="S1721" s="7">
        <f>Q1721^2+R1721^2</f>
      </c>
      <c r="T1721" s="7">
        <f>-R1721</f>
      </c>
      <c r="U1721" s="7">
        <f>Q1721</f>
      </c>
      <c r="V1721" s="7">
        <f>($C$14+($C$15-$C$14)/($D$15-$D$14)*(I1721-$D$14))/2</f>
      </c>
      <c r="W1721" s="7">
        <f>($B$22*I1721^4+$C$22*I1721^3+$D$22*I1721^2+$E$22*I1721+$F$22)/2</f>
      </c>
      <c r="X1721" s="7">
        <f>($W1721)*(T1721)</f>
      </c>
      <c r="Y1721" s="7">
        <f>($W1721)*(U1721)</f>
      </c>
      <c r="Z1721" s="7">
        <f>SQRT(X1721^2+Y1721^2)</f>
      </c>
      <c r="AA1721" s="7">
        <f>$K1721+$X1721</f>
      </c>
      <c r="AB1721" s="7">
        <f>$L1721+$Y1721</f>
      </c>
      <c r="AC1721" s="7">
        <f>$K1721-$X1721</f>
      </c>
      <c r="AD1721" s="7">
        <f>$L1721-$Y1721</f>
      </c>
      <c r="AE1721" s="7">
        <f>AA1721/39.3701</f>
      </c>
      <c r="AF1721" s="7">
        <f>AB1721/39.3701</f>
      </c>
      <c r="AG1721" s="7">
        <f>AC1721/39.3701</f>
      </c>
      <c r="AH1721" s="7">
        <f>AD1721/39.3701</f>
      </c>
      <c r="AI1721" s="1"/>
      <c r="AJ1721" s="1"/>
      <c r="AK1721" s="1"/>
      <c r="AL1721" s="1"/>
      <c r="AM1721" s="2"/>
      <c r="AN1721" s="1"/>
      <c r="AO1721" s="1"/>
      <c r="AP1721" s="1"/>
      <c r="AQ1721" s="1"/>
      <c r="AR1721" s="1"/>
      <c r="AS1721" s="1"/>
      <c r="AT1721" s="1"/>
      <c r="AU1721" s="1"/>
      <c r="AV1721" s="1"/>
      <c r="AW1721" s="1"/>
      <c r="AX1721" s="1"/>
      <c r="AY1721" s="1"/>
      <c r="AZ1721" s="1"/>
      <c r="BA1721" s="1"/>
      <c r="BB1721" s="1"/>
      <c r="BC1721" s="1"/>
      <c r="BD1721" s="1"/>
      <c r="BE1721" s="1"/>
    </row>
    <row x14ac:dyDescent="0.25" r="1722" customHeight="1" ht="18.75">
      <c r="A1722" s="1"/>
      <c r="B1722" s="2"/>
      <c r="C1722" s="2"/>
      <c r="D1722" s="2"/>
      <c r="E1722" s="2"/>
      <c r="F1722" s="2"/>
      <c r="G1722" s="1"/>
      <c r="H1722" s="1"/>
      <c r="I1722" s="7">
        <v>1.719</v>
      </c>
      <c r="J1722" s="7">
        <f>IF((I1722-ROUNDDOWN(I1722,0))=0, 0, (I1722-ROUNDDOWN(I1722,0)))</f>
      </c>
      <c r="K1722" s="7">
        <f>INDIRECT("C$"&amp;2+MIN(2,ROUNDDOWN(I1722,0))*3)*(-$J1722^3+3*$J1722^2-3*$J1722+1)+INDIRECT("C$"&amp;3+MIN(2,ROUNDDOWN(I1722,0))*3)*(3*$J1722^3-6*$J1722^2+3*$J1722)+INDIRECT("C$"&amp;4+MIN(2,ROUNDDOWN(I1722,0))*3)*(-3*$J1722^3+3*$J1722^2)+INDIRECT("C$"&amp;5+MIN(2,ROUNDDOWN(I1722,0))*3)*$J1722^3</f>
      </c>
      <c r="L1722" s="7">
        <f>INDIRECT("D$"&amp;2+MIN(2,ROUNDDOWN(I1722,0))*3)*(-$J1722^3+3*$J1722^2-3*$J1722+1)+INDIRECT("D$"&amp;3+MIN(2,ROUNDDOWN(I1722,0))*3)*(3*$J1722^3-6*$J1722^2+3*$J1722)+INDIRECT("D$"&amp;4+MIN(2,ROUNDDOWN(I1722,0))*3)*(-3*$J1722^3+3*$J1722^2)+INDIRECT("D$"&amp;5+MIN(2,ROUNDDOWN(I1722,0))*3)*$J1722^3</f>
      </c>
      <c r="M1722" s="7">
        <f>SQRT(K1722^2+L1722^2)</f>
      </c>
      <c r="N1722" s="7">
        <f>(K1723-K1721)</f>
      </c>
      <c r="O1722" s="7">
        <f>+(L1723-L1721)</f>
      </c>
      <c r="P1722" s="7">
        <f>SQRT(O1722^2+N1722^2)</f>
      </c>
      <c r="Q1722" s="7">
        <f>N1722/$P1722</f>
      </c>
      <c r="R1722" s="7">
        <f>O1722/$P1722</f>
      </c>
      <c r="S1722" s="7">
        <f>Q1722^2+R1722^2</f>
      </c>
      <c r="T1722" s="7">
        <f>-R1722</f>
      </c>
      <c r="U1722" s="7">
        <f>Q1722</f>
      </c>
      <c r="V1722" s="7">
        <f>($C$14+($C$15-$C$14)/($D$15-$D$14)*(I1722-$D$14))/2</f>
      </c>
      <c r="W1722" s="7">
        <f>($B$22*I1722^4+$C$22*I1722^3+$D$22*I1722^2+$E$22*I1722+$F$22)/2</f>
      </c>
      <c r="X1722" s="7">
        <f>($W1722)*(T1722)</f>
      </c>
      <c r="Y1722" s="7">
        <f>($W1722)*(U1722)</f>
      </c>
      <c r="Z1722" s="7">
        <f>SQRT(X1722^2+Y1722^2)</f>
      </c>
      <c r="AA1722" s="7">
        <f>$K1722+$X1722</f>
      </c>
      <c r="AB1722" s="7">
        <f>$L1722+$Y1722</f>
      </c>
      <c r="AC1722" s="7">
        <f>$K1722-$X1722</f>
      </c>
      <c r="AD1722" s="7">
        <f>$L1722-$Y1722</f>
      </c>
      <c r="AE1722" s="7">
        <f>AA1722/39.3701</f>
      </c>
      <c r="AF1722" s="7">
        <f>AB1722/39.3701</f>
      </c>
      <c r="AG1722" s="7">
        <f>AC1722/39.3701</f>
      </c>
      <c r="AH1722" s="7">
        <f>AD1722/39.3701</f>
      </c>
      <c r="AI1722" s="1"/>
      <c r="AJ1722" s="1"/>
      <c r="AK1722" s="1"/>
      <c r="AL1722" s="1"/>
      <c r="AM1722" s="2"/>
      <c r="AN1722" s="1"/>
      <c r="AO1722" s="1"/>
      <c r="AP1722" s="1"/>
      <c r="AQ1722" s="1"/>
      <c r="AR1722" s="1"/>
      <c r="AS1722" s="1"/>
      <c r="AT1722" s="1"/>
      <c r="AU1722" s="1"/>
      <c r="AV1722" s="1"/>
      <c r="AW1722" s="1"/>
      <c r="AX1722" s="1"/>
      <c r="AY1722" s="1"/>
      <c r="AZ1722" s="1"/>
      <c r="BA1722" s="1"/>
      <c r="BB1722" s="1"/>
      <c r="BC1722" s="1"/>
      <c r="BD1722" s="1"/>
      <c r="BE1722" s="1"/>
    </row>
    <row x14ac:dyDescent="0.25" r="1723" customHeight="1" ht="18.75">
      <c r="A1723" s="1"/>
      <c r="B1723" s="2"/>
      <c r="C1723" s="2"/>
      <c r="D1723" s="2"/>
      <c r="E1723" s="2"/>
      <c r="F1723" s="2"/>
      <c r="G1723" s="1"/>
      <c r="H1723" s="1"/>
      <c r="I1723" s="7">
        <v>1.72</v>
      </c>
      <c r="J1723" s="7">
        <f>IF((I1723-ROUNDDOWN(I1723,0))=0, 0, (I1723-ROUNDDOWN(I1723,0)))</f>
      </c>
      <c r="K1723" s="7">
        <f>INDIRECT("C$"&amp;2+MIN(2,ROUNDDOWN(I1723,0))*3)*(-$J1723^3+3*$J1723^2-3*$J1723+1)+INDIRECT("C$"&amp;3+MIN(2,ROUNDDOWN(I1723,0))*3)*(3*$J1723^3-6*$J1723^2+3*$J1723)+INDIRECT("C$"&amp;4+MIN(2,ROUNDDOWN(I1723,0))*3)*(-3*$J1723^3+3*$J1723^2)+INDIRECT("C$"&amp;5+MIN(2,ROUNDDOWN(I1723,0))*3)*$J1723^3</f>
      </c>
      <c r="L1723" s="7">
        <f>INDIRECT("D$"&amp;2+MIN(2,ROUNDDOWN(I1723,0))*3)*(-$J1723^3+3*$J1723^2-3*$J1723+1)+INDIRECT("D$"&amp;3+MIN(2,ROUNDDOWN(I1723,0))*3)*(3*$J1723^3-6*$J1723^2+3*$J1723)+INDIRECT("D$"&amp;4+MIN(2,ROUNDDOWN(I1723,0))*3)*(-3*$J1723^3+3*$J1723^2)+INDIRECT("D$"&amp;5+MIN(2,ROUNDDOWN(I1723,0))*3)*$J1723^3</f>
      </c>
      <c r="M1723" s="7">
        <f>SQRT(K1723^2+L1723^2)</f>
      </c>
      <c r="N1723" s="7">
        <f>(K1724-K1722)</f>
      </c>
      <c r="O1723" s="7">
        <f>+(L1724-L1722)</f>
      </c>
      <c r="P1723" s="7">
        <f>SQRT(O1723^2+N1723^2)</f>
      </c>
      <c r="Q1723" s="7">
        <f>N1723/$P1723</f>
      </c>
      <c r="R1723" s="7">
        <f>O1723/$P1723</f>
      </c>
      <c r="S1723" s="7">
        <f>Q1723^2+R1723^2</f>
      </c>
      <c r="T1723" s="7">
        <f>-R1723</f>
      </c>
      <c r="U1723" s="7">
        <f>Q1723</f>
      </c>
      <c r="V1723" s="7">
        <f>($C$14+($C$15-$C$14)/($D$15-$D$14)*(I1723-$D$14))/2</f>
      </c>
      <c r="W1723" s="7">
        <f>($B$22*I1723^4+$C$22*I1723^3+$D$22*I1723^2+$E$22*I1723+$F$22)/2</f>
      </c>
      <c r="X1723" s="7">
        <f>($W1723)*(T1723)</f>
      </c>
      <c r="Y1723" s="7">
        <f>($W1723)*(U1723)</f>
      </c>
      <c r="Z1723" s="7">
        <f>SQRT(X1723^2+Y1723^2)</f>
      </c>
      <c r="AA1723" s="7">
        <f>$K1723+$X1723</f>
      </c>
      <c r="AB1723" s="7">
        <f>$L1723+$Y1723</f>
      </c>
      <c r="AC1723" s="7">
        <f>$K1723-$X1723</f>
      </c>
      <c r="AD1723" s="7">
        <f>$L1723-$Y1723</f>
      </c>
      <c r="AE1723" s="7">
        <f>AA1723/39.3701</f>
      </c>
      <c r="AF1723" s="7">
        <f>AB1723/39.3701</f>
      </c>
      <c r="AG1723" s="7">
        <f>AC1723/39.3701</f>
      </c>
      <c r="AH1723" s="7">
        <f>AD1723/39.3701</f>
      </c>
      <c r="AI1723" s="1"/>
      <c r="AJ1723" s="1"/>
      <c r="AK1723" s="1"/>
      <c r="AL1723" s="1"/>
      <c r="AM1723" s="2"/>
      <c r="AN1723" s="1"/>
      <c r="AO1723" s="1"/>
      <c r="AP1723" s="1"/>
      <c r="AQ1723" s="1"/>
      <c r="AR1723" s="1"/>
      <c r="AS1723" s="1"/>
      <c r="AT1723" s="1"/>
      <c r="AU1723" s="1"/>
      <c r="AV1723" s="1"/>
      <c r="AW1723" s="1"/>
      <c r="AX1723" s="1"/>
      <c r="AY1723" s="1"/>
      <c r="AZ1723" s="1"/>
      <c r="BA1723" s="1"/>
      <c r="BB1723" s="1"/>
      <c r="BC1723" s="1"/>
      <c r="BD1723" s="1"/>
      <c r="BE1723" s="1"/>
    </row>
    <row x14ac:dyDescent="0.25" r="1724" customHeight="1" ht="18.75">
      <c r="A1724" s="1"/>
      <c r="B1724" s="2"/>
      <c r="C1724" s="2"/>
      <c r="D1724" s="2"/>
      <c r="E1724" s="2"/>
      <c r="F1724" s="2"/>
      <c r="G1724" s="1"/>
      <c r="H1724" s="1"/>
      <c r="I1724" s="7">
        <v>1.721</v>
      </c>
      <c r="J1724" s="7">
        <f>IF((I1724-ROUNDDOWN(I1724,0))=0, 0, (I1724-ROUNDDOWN(I1724,0)))</f>
      </c>
      <c r="K1724" s="7">
        <f>INDIRECT("C$"&amp;2+MIN(2,ROUNDDOWN(I1724,0))*3)*(-$J1724^3+3*$J1724^2-3*$J1724+1)+INDIRECT("C$"&amp;3+MIN(2,ROUNDDOWN(I1724,0))*3)*(3*$J1724^3-6*$J1724^2+3*$J1724)+INDIRECT("C$"&amp;4+MIN(2,ROUNDDOWN(I1724,0))*3)*(-3*$J1724^3+3*$J1724^2)+INDIRECT("C$"&amp;5+MIN(2,ROUNDDOWN(I1724,0))*3)*$J1724^3</f>
      </c>
      <c r="L1724" s="7">
        <f>INDIRECT("D$"&amp;2+MIN(2,ROUNDDOWN(I1724,0))*3)*(-$J1724^3+3*$J1724^2-3*$J1724+1)+INDIRECT("D$"&amp;3+MIN(2,ROUNDDOWN(I1724,0))*3)*(3*$J1724^3-6*$J1724^2+3*$J1724)+INDIRECT("D$"&amp;4+MIN(2,ROUNDDOWN(I1724,0))*3)*(-3*$J1724^3+3*$J1724^2)+INDIRECT("D$"&amp;5+MIN(2,ROUNDDOWN(I1724,0))*3)*$J1724^3</f>
      </c>
      <c r="M1724" s="7">
        <f>SQRT(K1724^2+L1724^2)</f>
      </c>
      <c r="N1724" s="7">
        <f>(K1725-K1723)</f>
      </c>
      <c r="O1724" s="7">
        <f>+(L1725-L1723)</f>
      </c>
      <c r="P1724" s="7">
        <f>SQRT(O1724^2+N1724^2)</f>
      </c>
      <c r="Q1724" s="7">
        <f>N1724/$P1724</f>
      </c>
      <c r="R1724" s="7">
        <f>O1724/$P1724</f>
      </c>
      <c r="S1724" s="7">
        <f>Q1724^2+R1724^2</f>
      </c>
      <c r="T1724" s="7">
        <f>-R1724</f>
      </c>
      <c r="U1724" s="7">
        <f>Q1724</f>
      </c>
      <c r="V1724" s="7">
        <f>($C$14+($C$15-$C$14)/($D$15-$D$14)*(I1724-$D$14))/2</f>
      </c>
      <c r="W1724" s="7">
        <f>($B$22*I1724^4+$C$22*I1724^3+$D$22*I1724^2+$E$22*I1724+$F$22)/2</f>
      </c>
      <c r="X1724" s="7">
        <f>($W1724)*(T1724)</f>
      </c>
      <c r="Y1724" s="7">
        <f>($W1724)*(U1724)</f>
      </c>
      <c r="Z1724" s="7">
        <f>SQRT(X1724^2+Y1724^2)</f>
      </c>
      <c r="AA1724" s="7">
        <f>$K1724+$X1724</f>
      </c>
      <c r="AB1724" s="7">
        <f>$L1724+$Y1724</f>
      </c>
      <c r="AC1724" s="7">
        <f>$K1724-$X1724</f>
      </c>
      <c r="AD1724" s="7">
        <f>$L1724-$Y1724</f>
      </c>
      <c r="AE1724" s="7">
        <f>AA1724/39.3701</f>
      </c>
      <c r="AF1724" s="7">
        <f>AB1724/39.3701</f>
      </c>
      <c r="AG1724" s="7">
        <f>AC1724/39.3701</f>
      </c>
      <c r="AH1724" s="7">
        <f>AD1724/39.3701</f>
      </c>
      <c r="AI1724" s="1"/>
      <c r="AJ1724" s="1"/>
      <c r="AK1724" s="1"/>
      <c r="AL1724" s="1"/>
      <c r="AM1724" s="2"/>
      <c r="AN1724" s="1"/>
      <c r="AO1724" s="1"/>
      <c r="AP1724" s="1"/>
      <c r="AQ1724" s="1"/>
      <c r="AR1724" s="1"/>
      <c r="AS1724" s="1"/>
      <c r="AT1724" s="1"/>
      <c r="AU1724" s="1"/>
      <c r="AV1724" s="1"/>
      <c r="AW1724" s="1"/>
      <c r="AX1724" s="1"/>
      <c r="AY1724" s="1"/>
      <c r="AZ1724" s="1"/>
      <c r="BA1724" s="1"/>
      <c r="BB1724" s="1"/>
      <c r="BC1724" s="1"/>
      <c r="BD1724" s="1"/>
      <c r="BE1724" s="1"/>
    </row>
    <row x14ac:dyDescent="0.25" r="1725" customHeight="1" ht="18.75">
      <c r="A1725" s="1"/>
      <c r="B1725" s="2"/>
      <c r="C1725" s="2"/>
      <c r="D1725" s="2"/>
      <c r="E1725" s="2"/>
      <c r="F1725" s="2"/>
      <c r="G1725" s="1"/>
      <c r="H1725" s="1"/>
      <c r="I1725" s="7">
        <v>1.722</v>
      </c>
      <c r="J1725" s="7">
        <f>IF((I1725-ROUNDDOWN(I1725,0))=0, 0, (I1725-ROUNDDOWN(I1725,0)))</f>
      </c>
      <c r="K1725" s="7">
        <f>INDIRECT("C$"&amp;2+MIN(2,ROUNDDOWN(I1725,0))*3)*(-$J1725^3+3*$J1725^2-3*$J1725+1)+INDIRECT("C$"&amp;3+MIN(2,ROUNDDOWN(I1725,0))*3)*(3*$J1725^3-6*$J1725^2+3*$J1725)+INDIRECT("C$"&amp;4+MIN(2,ROUNDDOWN(I1725,0))*3)*(-3*$J1725^3+3*$J1725^2)+INDIRECT("C$"&amp;5+MIN(2,ROUNDDOWN(I1725,0))*3)*$J1725^3</f>
      </c>
      <c r="L1725" s="7">
        <f>INDIRECT("D$"&amp;2+MIN(2,ROUNDDOWN(I1725,0))*3)*(-$J1725^3+3*$J1725^2-3*$J1725+1)+INDIRECT("D$"&amp;3+MIN(2,ROUNDDOWN(I1725,0))*3)*(3*$J1725^3-6*$J1725^2+3*$J1725)+INDIRECT("D$"&amp;4+MIN(2,ROUNDDOWN(I1725,0))*3)*(-3*$J1725^3+3*$J1725^2)+INDIRECT("D$"&amp;5+MIN(2,ROUNDDOWN(I1725,0))*3)*$J1725^3</f>
      </c>
      <c r="M1725" s="7">
        <f>SQRT(K1725^2+L1725^2)</f>
      </c>
      <c r="N1725" s="7">
        <f>(K1726-K1724)</f>
      </c>
      <c r="O1725" s="7">
        <f>+(L1726-L1724)</f>
      </c>
      <c r="P1725" s="7">
        <f>SQRT(O1725^2+N1725^2)</f>
      </c>
      <c r="Q1725" s="7">
        <f>N1725/$P1725</f>
      </c>
      <c r="R1725" s="7">
        <f>O1725/$P1725</f>
      </c>
      <c r="S1725" s="7">
        <f>Q1725^2+R1725^2</f>
      </c>
      <c r="T1725" s="7">
        <f>-R1725</f>
      </c>
      <c r="U1725" s="7">
        <f>Q1725</f>
      </c>
      <c r="V1725" s="7">
        <f>($C$14+($C$15-$C$14)/($D$15-$D$14)*(I1725-$D$14))/2</f>
      </c>
      <c r="W1725" s="7">
        <f>($B$22*I1725^4+$C$22*I1725^3+$D$22*I1725^2+$E$22*I1725+$F$22)/2</f>
      </c>
      <c r="X1725" s="7">
        <f>($W1725)*(T1725)</f>
      </c>
      <c r="Y1725" s="7">
        <f>($W1725)*(U1725)</f>
      </c>
      <c r="Z1725" s="7">
        <f>SQRT(X1725^2+Y1725^2)</f>
      </c>
      <c r="AA1725" s="7">
        <f>$K1725+$X1725</f>
      </c>
      <c r="AB1725" s="7">
        <f>$L1725+$Y1725</f>
      </c>
      <c r="AC1725" s="7">
        <f>$K1725-$X1725</f>
      </c>
      <c r="AD1725" s="7">
        <f>$L1725-$Y1725</f>
      </c>
      <c r="AE1725" s="7">
        <f>AA1725/39.3701</f>
      </c>
      <c r="AF1725" s="7">
        <f>AB1725/39.3701</f>
      </c>
      <c r="AG1725" s="7">
        <f>AC1725/39.3701</f>
      </c>
      <c r="AH1725" s="7">
        <f>AD1725/39.3701</f>
      </c>
      <c r="AI1725" s="1"/>
      <c r="AJ1725" s="1"/>
      <c r="AK1725" s="1"/>
      <c r="AL1725" s="1"/>
      <c r="AM1725" s="2"/>
      <c r="AN1725" s="1"/>
      <c r="AO1725" s="1"/>
      <c r="AP1725" s="1"/>
      <c r="AQ1725" s="1"/>
      <c r="AR1725" s="1"/>
      <c r="AS1725" s="1"/>
      <c r="AT1725" s="1"/>
      <c r="AU1725" s="1"/>
      <c r="AV1725" s="1"/>
      <c r="AW1725" s="1"/>
      <c r="AX1725" s="1"/>
      <c r="AY1725" s="1"/>
      <c r="AZ1725" s="1"/>
      <c r="BA1725" s="1"/>
      <c r="BB1725" s="1"/>
      <c r="BC1725" s="1"/>
      <c r="BD1725" s="1"/>
      <c r="BE1725" s="1"/>
    </row>
    <row x14ac:dyDescent="0.25" r="1726" customHeight="1" ht="18.75">
      <c r="A1726" s="1"/>
      <c r="B1726" s="2"/>
      <c r="C1726" s="2"/>
      <c r="D1726" s="2"/>
      <c r="E1726" s="2"/>
      <c r="F1726" s="2"/>
      <c r="G1726" s="1"/>
      <c r="H1726" s="1"/>
      <c r="I1726" s="7">
        <v>1.723</v>
      </c>
      <c r="J1726" s="7">
        <f>IF((I1726-ROUNDDOWN(I1726,0))=0, 0, (I1726-ROUNDDOWN(I1726,0)))</f>
      </c>
      <c r="K1726" s="7">
        <f>INDIRECT("C$"&amp;2+MIN(2,ROUNDDOWN(I1726,0))*3)*(-$J1726^3+3*$J1726^2-3*$J1726+1)+INDIRECT("C$"&amp;3+MIN(2,ROUNDDOWN(I1726,0))*3)*(3*$J1726^3-6*$J1726^2+3*$J1726)+INDIRECT("C$"&amp;4+MIN(2,ROUNDDOWN(I1726,0))*3)*(-3*$J1726^3+3*$J1726^2)+INDIRECT("C$"&amp;5+MIN(2,ROUNDDOWN(I1726,0))*3)*$J1726^3</f>
      </c>
      <c r="L1726" s="7">
        <f>INDIRECT("D$"&amp;2+MIN(2,ROUNDDOWN(I1726,0))*3)*(-$J1726^3+3*$J1726^2-3*$J1726+1)+INDIRECT("D$"&amp;3+MIN(2,ROUNDDOWN(I1726,0))*3)*(3*$J1726^3-6*$J1726^2+3*$J1726)+INDIRECT("D$"&amp;4+MIN(2,ROUNDDOWN(I1726,0))*3)*(-3*$J1726^3+3*$J1726^2)+INDIRECT("D$"&amp;5+MIN(2,ROUNDDOWN(I1726,0))*3)*$J1726^3</f>
      </c>
      <c r="M1726" s="7">
        <f>SQRT(K1726^2+L1726^2)</f>
      </c>
      <c r="N1726" s="7">
        <f>(K1727-K1725)</f>
      </c>
      <c r="O1726" s="7">
        <f>+(L1727-L1725)</f>
      </c>
      <c r="P1726" s="7">
        <f>SQRT(O1726^2+N1726^2)</f>
      </c>
      <c r="Q1726" s="7">
        <f>N1726/$P1726</f>
      </c>
      <c r="R1726" s="7">
        <f>O1726/$P1726</f>
      </c>
      <c r="S1726" s="8">
        <f>Q1726^2+R1726^2</f>
      </c>
      <c r="T1726" s="7">
        <f>-R1726</f>
      </c>
      <c r="U1726" s="7">
        <f>Q1726</f>
      </c>
      <c r="V1726" s="7">
        <f>($C$14+($C$15-$C$14)/($D$15-$D$14)*(I1726-$D$14))/2</f>
      </c>
      <c r="W1726" s="7">
        <f>($B$22*I1726^4+$C$22*I1726^3+$D$22*I1726^2+$E$22*I1726+$F$22)/2</f>
      </c>
      <c r="X1726" s="7">
        <f>($W1726)*(T1726)</f>
      </c>
      <c r="Y1726" s="7">
        <f>($W1726)*(U1726)</f>
      </c>
      <c r="Z1726" s="7">
        <f>SQRT(X1726^2+Y1726^2)</f>
      </c>
      <c r="AA1726" s="7">
        <f>$K1726+$X1726</f>
      </c>
      <c r="AB1726" s="7">
        <f>$L1726+$Y1726</f>
      </c>
      <c r="AC1726" s="7">
        <f>$K1726-$X1726</f>
      </c>
      <c r="AD1726" s="7">
        <f>$L1726-$Y1726</f>
      </c>
      <c r="AE1726" s="7">
        <f>AA1726/39.3701</f>
      </c>
      <c r="AF1726" s="7">
        <f>AB1726/39.3701</f>
      </c>
      <c r="AG1726" s="7">
        <f>AC1726/39.3701</f>
      </c>
      <c r="AH1726" s="7">
        <f>AD1726/39.3701</f>
      </c>
      <c r="AI1726" s="1"/>
      <c r="AJ1726" s="1"/>
      <c r="AK1726" s="1"/>
      <c r="AL1726" s="1"/>
      <c r="AM1726" s="2"/>
      <c r="AN1726" s="1"/>
      <c r="AO1726" s="1"/>
      <c r="AP1726" s="1"/>
      <c r="AQ1726" s="1"/>
      <c r="AR1726" s="1"/>
      <c r="AS1726" s="1"/>
      <c r="AT1726" s="1"/>
      <c r="AU1726" s="1"/>
      <c r="AV1726" s="1"/>
      <c r="AW1726" s="1"/>
      <c r="AX1726" s="1"/>
      <c r="AY1726" s="1"/>
      <c r="AZ1726" s="1"/>
      <c r="BA1726" s="1"/>
      <c r="BB1726" s="1"/>
      <c r="BC1726" s="1"/>
      <c r="BD1726" s="1"/>
      <c r="BE1726" s="1"/>
    </row>
    <row x14ac:dyDescent="0.25" r="1727" customHeight="1" ht="18.75">
      <c r="A1727" s="1"/>
      <c r="B1727" s="2"/>
      <c r="C1727" s="2"/>
      <c r="D1727" s="2"/>
      <c r="E1727" s="2"/>
      <c r="F1727" s="2"/>
      <c r="G1727" s="1"/>
      <c r="H1727" s="1"/>
      <c r="I1727" s="7">
        <v>1.724</v>
      </c>
      <c r="J1727" s="7">
        <f>IF((I1727-ROUNDDOWN(I1727,0))=0, 0, (I1727-ROUNDDOWN(I1727,0)))</f>
      </c>
      <c r="K1727" s="7">
        <f>INDIRECT("C$"&amp;2+MIN(2,ROUNDDOWN(I1727,0))*3)*(-$J1727^3+3*$J1727^2-3*$J1727+1)+INDIRECT("C$"&amp;3+MIN(2,ROUNDDOWN(I1727,0))*3)*(3*$J1727^3-6*$J1727^2+3*$J1727)+INDIRECT("C$"&amp;4+MIN(2,ROUNDDOWN(I1727,0))*3)*(-3*$J1727^3+3*$J1727^2)+INDIRECT("C$"&amp;5+MIN(2,ROUNDDOWN(I1727,0))*3)*$J1727^3</f>
      </c>
      <c r="L1727" s="7">
        <f>INDIRECT("D$"&amp;2+MIN(2,ROUNDDOWN(I1727,0))*3)*(-$J1727^3+3*$J1727^2-3*$J1727+1)+INDIRECT("D$"&amp;3+MIN(2,ROUNDDOWN(I1727,0))*3)*(3*$J1727^3-6*$J1727^2+3*$J1727)+INDIRECT("D$"&amp;4+MIN(2,ROUNDDOWN(I1727,0))*3)*(-3*$J1727^3+3*$J1727^2)+INDIRECT("D$"&amp;5+MIN(2,ROUNDDOWN(I1727,0))*3)*$J1727^3</f>
      </c>
      <c r="M1727" s="7">
        <f>SQRT(K1727^2+L1727^2)</f>
      </c>
      <c r="N1727" s="7">
        <f>(K1728-K1726)</f>
      </c>
      <c r="O1727" s="7">
        <f>+(L1728-L1726)</f>
      </c>
      <c r="P1727" s="7">
        <f>SQRT(O1727^2+N1727^2)</f>
      </c>
      <c r="Q1727" s="7">
        <f>N1727/$P1727</f>
      </c>
      <c r="R1727" s="7">
        <f>O1727/$P1727</f>
      </c>
      <c r="S1727" s="8">
        <f>Q1727^2+R1727^2</f>
      </c>
      <c r="T1727" s="7">
        <f>-R1727</f>
      </c>
      <c r="U1727" s="7">
        <f>Q1727</f>
      </c>
      <c r="V1727" s="7">
        <f>($C$14+($C$15-$C$14)/($D$15-$D$14)*(I1727-$D$14))/2</f>
      </c>
      <c r="W1727" s="7">
        <f>($B$22*I1727^4+$C$22*I1727^3+$D$22*I1727^2+$E$22*I1727+$F$22)/2</f>
      </c>
      <c r="X1727" s="7">
        <f>($W1727)*(T1727)</f>
      </c>
      <c r="Y1727" s="7">
        <f>($W1727)*(U1727)</f>
      </c>
      <c r="Z1727" s="7">
        <f>SQRT(X1727^2+Y1727^2)</f>
      </c>
      <c r="AA1727" s="7">
        <f>$K1727+$X1727</f>
      </c>
      <c r="AB1727" s="7">
        <f>$L1727+$Y1727</f>
      </c>
      <c r="AC1727" s="7">
        <f>$K1727-$X1727</f>
      </c>
      <c r="AD1727" s="7">
        <f>$L1727-$Y1727</f>
      </c>
      <c r="AE1727" s="7">
        <f>AA1727/39.3701</f>
      </c>
      <c r="AF1727" s="7">
        <f>AB1727/39.3701</f>
      </c>
      <c r="AG1727" s="7">
        <f>AC1727/39.3701</f>
      </c>
      <c r="AH1727" s="7">
        <f>AD1727/39.3701</f>
      </c>
      <c r="AI1727" s="1"/>
      <c r="AJ1727" s="1"/>
      <c r="AK1727" s="1"/>
      <c r="AL1727" s="1"/>
      <c r="AM1727" s="2"/>
      <c r="AN1727" s="1"/>
      <c r="AO1727" s="1"/>
      <c r="AP1727" s="1"/>
      <c r="AQ1727" s="1"/>
      <c r="AR1727" s="1"/>
      <c r="AS1727" s="1"/>
      <c r="AT1727" s="1"/>
      <c r="AU1727" s="1"/>
      <c r="AV1727" s="1"/>
      <c r="AW1727" s="1"/>
      <c r="AX1727" s="1"/>
      <c r="AY1727" s="1"/>
      <c r="AZ1727" s="1"/>
      <c r="BA1727" s="1"/>
      <c r="BB1727" s="1"/>
      <c r="BC1727" s="1"/>
      <c r="BD1727" s="1"/>
      <c r="BE1727" s="1"/>
    </row>
    <row x14ac:dyDescent="0.25" r="1728" customHeight="1" ht="18.75">
      <c r="A1728" s="1"/>
      <c r="B1728" s="2"/>
      <c r="C1728" s="2"/>
      <c r="D1728" s="2"/>
      <c r="E1728" s="2"/>
      <c r="F1728" s="2"/>
      <c r="G1728" s="1"/>
      <c r="H1728" s="1"/>
      <c r="I1728" s="7">
        <v>1.725</v>
      </c>
      <c r="J1728" s="7">
        <f>IF((I1728-ROUNDDOWN(I1728,0))=0, 0, (I1728-ROUNDDOWN(I1728,0)))</f>
      </c>
      <c r="K1728" s="7">
        <f>INDIRECT("C$"&amp;2+MIN(2,ROUNDDOWN(I1728,0))*3)*(-$J1728^3+3*$J1728^2-3*$J1728+1)+INDIRECT("C$"&amp;3+MIN(2,ROUNDDOWN(I1728,0))*3)*(3*$J1728^3-6*$J1728^2+3*$J1728)+INDIRECT("C$"&amp;4+MIN(2,ROUNDDOWN(I1728,0))*3)*(-3*$J1728^3+3*$J1728^2)+INDIRECT("C$"&amp;5+MIN(2,ROUNDDOWN(I1728,0))*3)*$J1728^3</f>
      </c>
      <c r="L1728" s="7">
        <f>INDIRECT("D$"&amp;2+MIN(2,ROUNDDOWN(I1728,0))*3)*(-$J1728^3+3*$J1728^2-3*$J1728+1)+INDIRECT("D$"&amp;3+MIN(2,ROUNDDOWN(I1728,0))*3)*(3*$J1728^3-6*$J1728^2+3*$J1728)+INDIRECT("D$"&amp;4+MIN(2,ROUNDDOWN(I1728,0))*3)*(-3*$J1728^3+3*$J1728^2)+INDIRECT("D$"&amp;5+MIN(2,ROUNDDOWN(I1728,0))*3)*$J1728^3</f>
      </c>
      <c r="M1728" s="7">
        <f>SQRT(K1728^2+L1728^2)</f>
      </c>
      <c r="N1728" s="7">
        <f>(K1729-K1727)</f>
      </c>
      <c r="O1728" s="7">
        <f>+(L1729-L1727)</f>
      </c>
      <c r="P1728" s="7">
        <f>SQRT(O1728^2+N1728^2)</f>
      </c>
      <c r="Q1728" s="7">
        <f>N1728/$P1728</f>
      </c>
      <c r="R1728" s="7">
        <f>O1728/$P1728</f>
      </c>
      <c r="S1728" s="7">
        <f>Q1728^2+R1728^2</f>
      </c>
      <c r="T1728" s="7">
        <f>-R1728</f>
      </c>
      <c r="U1728" s="7">
        <f>Q1728</f>
      </c>
      <c r="V1728" s="7">
        <f>($C$14+($C$15-$C$14)/($D$15-$D$14)*(I1728-$D$14))/2</f>
      </c>
      <c r="W1728" s="7">
        <f>($B$22*I1728^4+$C$22*I1728^3+$D$22*I1728^2+$E$22*I1728+$F$22)/2</f>
      </c>
      <c r="X1728" s="7">
        <f>($W1728)*(T1728)</f>
      </c>
      <c r="Y1728" s="7">
        <f>($W1728)*(U1728)</f>
      </c>
      <c r="Z1728" s="7">
        <f>SQRT(X1728^2+Y1728^2)</f>
      </c>
      <c r="AA1728" s="7">
        <f>$K1728+$X1728</f>
      </c>
      <c r="AB1728" s="7">
        <f>$L1728+$Y1728</f>
      </c>
      <c r="AC1728" s="7">
        <f>$K1728-$X1728</f>
      </c>
      <c r="AD1728" s="7">
        <f>$L1728-$Y1728</f>
      </c>
      <c r="AE1728" s="7">
        <f>AA1728/39.3701</f>
      </c>
      <c r="AF1728" s="7">
        <f>AB1728/39.3701</f>
      </c>
      <c r="AG1728" s="7">
        <f>AC1728/39.3701</f>
      </c>
      <c r="AH1728" s="7">
        <f>AD1728/39.3701</f>
      </c>
      <c r="AI1728" s="1"/>
      <c r="AJ1728" s="1"/>
      <c r="AK1728" s="1"/>
      <c r="AL1728" s="1"/>
      <c r="AM1728" s="2"/>
      <c r="AN1728" s="1"/>
      <c r="AO1728" s="1"/>
      <c r="AP1728" s="1"/>
      <c r="AQ1728" s="1"/>
      <c r="AR1728" s="1"/>
      <c r="AS1728" s="1"/>
      <c r="AT1728" s="1"/>
      <c r="AU1728" s="1"/>
      <c r="AV1728" s="1"/>
      <c r="AW1728" s="1"/>
      <c r="AX1728" s="1"/>
      <c r="AY1728" s="1"/>
      <c r="AZ1728" s="1"/>
      <c r="BA1728" s="1"/>
      <c r="BB1728" s="1"/>
      <c r="BC1728" s="1"/>
      <c r="BD1728" s="1"/>
      <c r="BE1728" s="1"/>
    </row>
    <row x14ac:dyDescent="0.25" r="1729" customHeight="1" ht="18.75">
      <c r="A1729" s="1"/>
      <c r="B1729" s="2"/>
      <c r="C1729" s="2"/>
      <c r="D1729" s="2"/>
      <c r="E1729" s="2"/>
      <c r="F1729" s="2"/>
      <c r="G1729" s="1"/>
      <c r="H1729" s="1"/>
      <c r="I1729" s="7">
        <v>1.726</v>
      </c>
      <c r="J1729" s="7">
        <f>IF((I1729-ROUNDDOWN(I1729,0))=0, 0, (I1729-ROUNDDOWN(I1729,0)))</f>
      </c>
      <c r="K1729" s="7">
        <f>INDIRECT("C$"&amp;2+MIN(2,ROUNDDOWN(I1729,0))*3)*(-$J1729^3+3*$J1729^2-3*$J1729+1)+INDIRECT("C$"&amp;3+MIN(2,ROUNDDOWN(I1729,0))*3)*(3*$J1729^3-6*$J1729^2+3*$J1729)+INDIRECT("C$"&amp;4+MIN(2,ROUNDDOWN(I1729,0))*3)*(-3*$J1729^3+3*$J1729^2)+INDIRECT("C$"&amp;5+MIN(2,ROUNDDOWN(I1729,0))*3)*$J1729^3</f>
      </c>
      <c r="L1729" s="7">
        <f>INDIRECT("D$"&amp;2+MIN(2,ROUNDDOWN(I1729,0))*3)*(-$J1729^3+3*$J1729^2-3*$J1729+1)+INDIRECT("D$"&amp;3+MIN(2,ROUNDDOWN(I1729,0))*3)*(3*$J1729^3-6*$J1729^2+3*$J1729)+INDIRECT("D$"&amp;4+MIN(2,ROUNDDOWN(I1729,0))*3)*(-3*$J1729^3+3*$J1729^2)+INDIRECT("D$"&amp;5+MIN(2,ROUNDDOWN(I1729,0))*3)*$J1729^3</f>
      </c>
      <c r="M1729" s="7">
        <f>SQRT(K1729^2+L1729^2)</f>
      </c>
      <c r="N1729" s="7">
        <f>(K1730-K1728)</f>
      </c>
      <c r="O1729" s="7">
        <f>+(L1730-L1728)</f>
      </c>
      <c r="P1729" s="7">
        <f>SQRT(O1729^2+N1729^2)</f>
      </c>
      <c r="Q1729" s="7">
        <f>N1729/$P1729</f>
      </c>
      <c r="R1729" s="7">
        <f>O1729/$P1729</f>
      </c>
      <c r="S1729" s="7">
        <f>Q1729^2+R1729^2</f>
      </c>
      <c r="T1729" s="7">
        <f>-R1729</f>
      </c>
      <c r="U1729" s="7">
        <f>Q1729</f>
      </c>
      <c r="V1729" s="7">
        <f>($C$14+($C$15-$C$14)/($D$15-$D$14)*(I1729-$D$14))/2</f>
      </c>
      <c r="W1729" s="7">
        <f>($B$22*I1729^4+$C$22*I1729^3+$D$22*I1729^2+$E$22*I1729+$F$22)/2</f>
      </c>
      <c r="X1729" s="7">
        <f>($W1729)*(T1729)</f>
      </c>
      <c r="Y1729" s="7">
        <f>($W1729)*(U1729)</f>
      </c>
      <c r="Z1729" s="7">
        <f>SQRT(X1729^2+Y1729^2)</f>
      </c>
      <c r="AA1729" s="7">
        <f>$K1729+$X1729</f>
      </c>
      <c r="AB1729" s="7">
        <f>$L1729+$Y1729</f>
      </c>
      <c r="AC1729" s="7">
        <f>$K1729-$X1729</f>
      </c>
      <c r="AD1729" s="7">
        <f>$L1729-$Y1729</f>
      </c>
      <c r="AE1729" s="7">
        <f>AA1729/39.3701</f>
      </c>
      <c r="AF1729" s="7">
        <f>AB1729/39.3701</f>
      </c>
      <c r="AG1729" s="7">
        <f>AC1729/39.3701</f>
      </c>
      <c r="AH1729" s="7">
        <f>AD1729/39.3701</f>
      </c>
      <c r="AI1729" s="1"/>
      <c r="AJ1729" s="1"/>
      <c r="AK1729" s="1"/>
      <c r="AL1729" s="1"/>
      <c r="AM1729" s="2"/>
      <c r="AN1729" s="1"/>
      <c r="AO1729" s="1"/>
      <c r="AP1729" s="1"/>
      <c r="AQ1729" s="1"/>
      <c r="AR1729" s="1"/>
      <c r="AS1729" s="1"/>
      <c r="AT1729" s="1"/>
      <c r="AU1729" s="1"/>
      <c r="AV1729" s="1"/>
      <c r="AW1729" s="1"/>
      <c r="AX1729" s="1"/>
      <c r="AY1729" s="1"/>
      <c r="AZ1729" s="1"/>
      <c r="BA1729" s="1"/>
      <c r="BB1729" s="1"/>
      <c r="BC1729" s="1"/>
      <c r="BD1729" s="1"/>
      <c r="BE1729" s="1"/>
    </row>
    <row x14ac:dyDescent="0.25" r="1730" customHeight="1" ht="18.75">
      <c r="A1730" s="1"/>
      <c r="B1730" s="2"/>
      <c r="C1730" s="2"/>
      <c r="D1730" s="2"/>
      <c r="E1730" s="2"/>
      <c r="F1730" s="2"/>
      <c r="G1730" s="1"/>
      <c r="H1730" s="1"/>
      <c r="I1730" s="7">
        <v>1.727</v>
      </c>
      <c r="J1730" s="7">
        <f>IF((I1730-ROUNDDOWN(I1730,0))=0, 0, (I1730-ROUNDDOWN(I1730,0)))</f>
      </c>
      <c r="K1730" s="7">
        <f>INDIRECT("C$"&amp;2+MIN(2,ROUNDDOWN(I1730,0))*3)*(-$J1730^3+3*$J1730^2-3*$J1730+1)+INDIRECT("C$"&amp;3+MIN(2,ROUNDDOWN(I1730,0))*3)*(3*$J1730^3-6*$J1730^2+3*$J1730)+INDIRECT("C$"&amp;4+MIN(2,ROUNDDOWN(I1730,0))*3)*(-3*$J1730^3+3*$J1730^2)+INDIRECT("C$"&amp;5+MIN(2,ROUNDDOWN(I1730,0))*3)*$J1730^3</f>
      </c>
      <c r="L1730" s="7">
        <f>INDIRECT("D$"&amp;2+MIN(2,ROUNDDOWN(I1730,0))*3)*(-$J1730^3+3*$J1730^2-3*$J1730+1)+INDIRECT("D$"&amp;3+MIN(2,ROUNDDOWN(I1730,0))*3)*(3*$J1730^3-6*$J1730^2+3*$J1730)+INDIRECT("D$"&amp;4+MIN(2,ROUNDDOWN(I1730,0))*3)*(-3*$J1730^3+3*$J1730^2)+INDIRECT("D$"&amp;5+MIN(2,ROUNDDOWN(I1730,0))*3)*$J1730^3</f>
      </c>
      <c r="M1730" s="7">
        <f>SQRT(K1730^2+L1730^2)</f>
      </c>
      <c r="N1730" s="7">
        <f>(K1731-K1729)</f>
      </c>
      <c r="O1730" s="7">
        <f>+(L1731-L1729)</f>
      </c>
      <c r="P1730" s="7">
        <f>SQRT(O1730^2+N1730^2)</f>
      </c>
      <c r="Q1730" s="7">
        <f>N1730/$P1730</f>
      </c>
      <c r="R1730" s="7">
        <f>O1730/$P1730</f>
      </c>
      <c r="S1730" s="7">
        <f>Q1730^2+R1730^2</f>
      </c>
      <c r="T1730" s="7">
        <f>-R1730</f>
      </c>
      <c r="U1730" s="7">
        <f>Q1730</f>
      </c>
      <c r="V1730" s="7">
        <f>($C$14+($C$15-$C$14)/($D$15-$D$14)*(I1730-$D$14))/2</f>
      </c>
      <c r="W1730" s="7">
        <f>($B$22*I1730^4+$C$22*I1730^3+$D$22*I1730^2+$E$22*I1730+$F$22)/2</f>
      </c>
      <c r="X1730" s="7">
        <f>($W1730)*(T1730)</f>
      </c>
      <c r="Y1730" s="7">
        <f>($W1730)*(U1730)</f>
      </c>
      <c r="Z1730" s="7">
        <f>SQRT(X1730^2+Y1730^2)</f>
      </c>
      <c r="AA1730" s="7">
        <f>$K1730+$X1730</f>
      </c>
      <c r="AB1730" s="7">
        <f>$L1730+$Y1730</f>
      </c>
      <c r="AC1730" s="7">
        <f>$K1730-$X1730</f>
      </c>
      <c r="AD1730" s="7">
        <f>$L1730-$Y1730</f>
      </c>
      <c r="AE1730" s="7">
        <f>AA1730/39.3701</f>
      </c>
      <c r="AF1730" s="7">
        <f>AB1730/39.3701</f>
      </c>
      <c r="AG1730" s="7">
        <f>AC1730/39.3701</f>
      </c>
      <c r="AH1730" s="7">
        <f>AD1730/39.3701</f>
      </c>
      <c r="AI1730" s="1"/>
      <c r="AJ1730" s="1"/>
      <c r="AK1730" s="1"/>
      <c r="AL1730" s="1"/>
      <c r="AM1730" s="2"/>
      <c r="AN1730" s="1"/>
      <c r="AO1730" s="1"/>
      <c r="AP1730" s="1"/>
      <c r="AQ1730" s="1"/>
      <c r="AR1730" s="1"/>
      <c r="AS1730" s="1"/>
      <c r="AT1730" s="1"/>
      <c r="AU1730" s="1"/>
      <c r="AV1730" s="1"/>
      <c r="AW1730" s="1"/>
      <c r="AX1730" s="1"/>
      <c r="AY1730" s="1"/>
      <c r="AZ1730" s="1"/>
      <c r="BA1730" s="1"/>
      <c r="BB1730" s="1"/>
      <c r="BC1730" s="1"/>
      <c r="BD1730" s="1"/>
      <c r="BE1730" s="1"/>
    </row>
    <row x14ac:dyDescent="0.25" r="1731" customHeight="1" ht="18.75">
      <c r="A1731" s="1"/>
      <c r="B1731" s="2"/>
      <c r="C1731" s="2"/>
      <c r="D1731" s="2"/>
      <c r="E1731" s="2"/>
      <c r="F1731" s="2"/>
      <c r="G1731" s="1"/>
      <c r="H1731" s="1"/>
      <c r="I1731" s="7">
        <v>1.728</v>
      </c>
      <c r="J1731" s="7">
        <f>IF((I1731-ROUNDDOWN(I1731,0))=0, 0, (I1731-ROUNDDOWN(I1731,0)))</f>
      </c>
      <c r="K1731" s="7">
        <f>INDIRECT("C$"&amp;2+MIN(2,ROUNDDOWN(I1731,0))*3)*(-$J1731^3+3*$J1731^2-3*$J1731+1)+INDIRECT("C$"&amp;3+MIN(2,ROUNDDOWN(I1731,0))*3)*(3*$J1731^3-6*$J1731^2+3*$J1731)+INDIRECT("C$"&amp;4+MIN(2,ROUNDDOWN(I1731,0))*3)*(-3*$J1731^3+3*$J1731^2)+INDIRECT("C$"&amp;5+MIN(2,ROUNDDOWN(I1731,0))*3)*$J1731^3</f>
      </c>
      <c r="L1731" s="7">
        <f>INDIRECT("D$"&amp;2+MIN(2,ROUNDDOWN(I1731,0))*3)*(-$J1731^3+3*$J1731^2-3*$J1731+1)+INDIRECT("D$"&amp;3+MIN(2,ROUNDDOWN(I1731,0))*3)*(3*$J1731^3-6*$J1731^2+3*$J1731)+INDIRECT("D$"&amp;4+MIN(2,ROUNDDOWN(I1731,0))*3)*(-3*$J1731^3+3*$J1731^2)+INDIRECT("D$"&amp;5+MIN(2,ROUNDDOWN(I1731,0))*3)*$J1731^3</f>
      </c>
      <c r="M1731" s="7">
        <f>SQRT(K1731^2+L1731^2)</f>
      </c>
      <c r="N1731" s="7">
        <f>(K1732-K1730)</f>
      </c>
      <c r="O1731" s="7">
        <f>+(L1732-L1730)</f>
      </c>
      <c r="P1731" s="7">
        <f>SQRT(O1731^2+N1731^2)</f>
      </c>
      <c r="Q1731" s="7">
        <f>N1731/$P1731</f>
      </c>
      <c r="R1731" s="7">
        <f>O1731/$P1731</f>
      </c>
      <c r="S1731" s="8">
        <f>Q1731^2+R1731^2</f>
      </c>
      <c r="T1731" s="7">
        <f>-R1731</f>
      </c>
      <c r="U1731" s="7">
        <f>Q1731</f>
      </c>
      <c r="V1731" s="7">
        <f>($C$14+($C$15-$C$14)/($D$15-$D$14)*(I1731-$D$14))/2</f>
      </c>
      <c r="W1731" s="7">
        <f>($B$22*I1731^4+$C$22*I1731^3+$D$22*I1731^2+$E$22*I1731+$F$22)/2</f>
      </c>
      <c r="X1731" s="7">
        <f>($W1731)*(T1731)</f>
      </c>
      <c r="Y1731" s="7">
        <f>($W1731)*(U1731)</f>
      </c>
      <c r="Z1731" s="7">
        <f>SQRT(X1731^2+Y1731^2)</f>
      </c>
      <c r="AA1731" s="7">
        <f>$K1731+$X1731</f>
      </c>
      <c r="AB1731" s="7">
        <f>$L1731+$Y1731</f>
      </c>
      <c r="AC1731" s="7">
        <f>$K1731-$X1731</f>
      </c>
      <c r="AD1731" s="7">
        <f>$L1731-$Y1731</f>
      </c>
      <c r="AE1731" s="7">
        <f>AA1731/39.3701</f>
      </c>
      <c r="AF1731" s="7">
        <f>AB1731/39.3701</f>
      </c>
      <c r="AG1731" s="7">
        <f>AC1731/39.3701</f>
      </c>
      <c r="AH1731" s="7">
        <f>AD1731/39.3701</f>
      </c>
      <c r="AI1731" s="1"/>
      <c r="AJ1731" s="1"/>
      <c r="AK1731" s="1"/>
      <c r="AL1731" s="1"/>
      <c r="AM1731" s="2"/>
      <c r="AN1731" s="1"/>
      <c r="AO1731" s="1"/>
      <c r="AP1731" s="1"/>
      <c r="AQ1731" s="1"/>
      <c r="AR1731" s="1"/>
      <c r="AS1731" s="1"/>
      <c r="AT1731" s="1"/>
      <c r="AU1731" s="1"/>
      <c r="AV1731" s="1"/>
      <c r="AW1731" s="1"/>
      <c r="AX1731" s="1"/>
      <c r="AY1731" s="1"/>
      <c r="AZ1731" s="1"/>
      <c r="BA1731" s="1"/>
      <c r="BB1731" s="1"/>
      <c r="BC1731" s="1"/>
      <c r="BD1731" s="1"/>
      <c r="BE1731" s="1"/>
    </row>
    <row x14ac:dyDescent="0.25" r="1732" customHeight="1" ht="18.75">
      <c r="A1732" s="1"/>
      <c r="B1732" s="2"/>
      <c r="C1732" s="2"/>
      <c r="D1732" s="2"/>
      <c r="E1732" s="2"/>
      <c r="F1732" s="2"/>
      <c r="G1732" s="1"/>
      <c r="H1732" s="1"/>
      <c r="I1732" s="7">
        <v>1.729</v>
      </c>
      <c r="J1732" s="7">
        <f>IF((I1732-ROUNDDOWN(I1732,0))=0, 0, (I1732-ROUNDDOWN(I1732,0)))</f>
      </c>
      <c r="K1732" s="7">
        <f>INDIRECT("C$"&amp;2+MIN(2,ROUNDDOWN(I1732,0))*3)*(-$J1732^3+3*$J1732^2-3*$J1732+1)+INDIRECT("C$"&amp;3+MIN(2,ROUNDDOWN(I1732,0))*3)*(3*$J1732^3-6*$J1732^2+3*$J1732)+INDIRECT("C$"&amp;4+MIN(2,ROUNDDOWN(I1732,0))*3)*(-3*$J1732^3+3*$J1732^2)+INDIRECT("C$"&amp;5+MIN(2,ROUNDDOWN(I1732,0))*3)*$J1732^3</f>
      </c>
      <c r="L1732" s="7">
        <f>INDIRECT("D$"&amp;2+MIN(2,ROUNDDOWN(I1732,0))*3)*(-$J1732^3+3*$J1732^2-3*$J1732+1)+INDIRECT("D$"&amp;3+MIN(2,ROUNDDOWN(I1732,0))*3)*(3*$J1732^3-6*$J1732^2+3*$J1732)+INDIRECT("D$"&amp;4+MIN(2,ROUNDDOWN(I1732,0))*3)*(-3*$J1732^3+3*$J1732^2)+INDIRECT("D$"&amp;5+MIN(2,ROUNDDOWN(I1732,0))*3)*$J1732^3</f>
      </c>
      <c r="M1732" s="7">
        <f>SQRT(K1732^2+L1732^2)</f>
      </c>
      <c r="N1732" s="7">
        <f>(K1733-K1731)</f>
      </c>
      <c r="O1732" s="7">
        <f>+(L1733-L1731)</f>
      </c>
      <c r="P1732" s="7">
        <f>SQRT(O1732^2+N1732^2)</f>
      </c>
      <c r="Q1732" s="7">
        <f>N1732/$P1732</f>
      </c>
      <c r="R1732" s="7">
        <f>O1732/$P1732</f>
      </c>
      <c r="S1732" s="8">
        <f>Q1732^2+R1732^2</f>
      </c>
      <c r="T1732" s="7">
        <f>-R1732</f>
      </c>
      <c r="U1732" s="7">
        <f>Q1732</f>
      </c>
      <c r="V1732" s="7">
        <f>($C$14+($C$15-$C$14)/($D$15-$D$14)*(I1732-$D$14))/2</f>
      </c>
      <c r="W1732" s="7">
        <f>($B$22*I1732^4+$C$22*I1732^3+$D$22*I1732^2+$E$22*I1732+$F$22)/2</f>
      </c>
      <c r="X1732" s="7">
        <f>($W1732)*(T1732)</f>
      </c>
      <c r="Y1732" s="7">
        <f>($W1732)*(U1732)</f>
      </c>
      <c r="Z1732" s="7">
        <f>SQRT(X1732^2+Y1732^2)</f>
      </c>
      <c r="AA1732" s="7">
        <f>$K1732+$X1732</f>
      </c>
      <c r="AB1732" s="7">
        <f>$L1732+$Y1732</f>
      </c>
      <c r="AC1732" s="7">
        <f>$K1732-$X1732</f>
      </c>
      <c r="AD1732" s="7">
        <f>$L1732-$Y1732</f>
      </c>
      <c r="AE1732" s="7">
        <f>AA1732/39.3701</f>
      </c>
      <c r="AF1732" s="7">
        <f>AB1732/39.3701</f>
      </c>
      <c r="AG1732" s="7">
        <f>AC1732/39.3701</f>
      </c>
      <c r="AH1732" s="7">
        <f>AD1732/39.3701</f>
      </c>
      <c r="AI1732" s="1"/>
      <c r="AJ1732" s="1"/>
      <c r="AK1732" s="1"/>
      <c r="AL1732" s="1"/>
      <c r="AM1732" s="2"/>
      <c r="AN1732" s="1"/>
      <c r="AO1732" s="1"/>
      <c r="AP1732" s="1"/>
      <c r="AQ1732" s="1"/>
      <c r="AR1732" s="1"/>
      <c r="AS1732" s="1"/>
      <c r="AT1732" s="1"/>
      <c r="AU1732" s="1"/>
      <c r="AV1732" s="1"/>
      <c r="AW1732" s="1"/>
      <c r="AX1732" s="1"/>
      <c r="AY1732" s="1"/>
      <c r="AZ1732" s="1"/>
      <c r="BA1732" s="1"/>
      <c r="BB1732" s="1"/>
      <c r="BC1732" s="1"/>
      <c r="BD1732" s="1"/>
      <c r="BE1732" s="1"/>
    </row>
    <row x14ac:dyDescent="0.25" r="1733" customHeight="1" ht="18.75">
      <c r="A1733" s="1"/>
      <c r="B1733" s="2"/>
      <c r="C1733" s="2"/>
      <c r="D1733" s="2"/>
      <c r="E1733" s="2"/>
      <c r="F1733" s="2"/>
      <c r="G1733" s="1"/>
      <c r="H1733" s="1"/>
      <c r="I1733" s="7">
        <v>1.73</v>
      </c>
      <c r="J1733" s="7">
        <f>IF((I1733-ROUNDDOWN(I1733,0))=0, 0, (I1733-ROUNDDOWN(I1733,0)))</f>
      </c>
      <c r="K1733" s="7">
        <f>INDIRECT("C$"&amp;2+MIN(2,ROUNDDOWN(I1733,0))*3)*(-$J1733^3+3*$J1733^2-3*$J1733+1)+INDIRECT("C$"&amp;3+MIN(2,ROUNDDOWN(I1733,0))*3)*(3*$J1733^3-6*$J1733^2+3*$J1733)+INDIRECT("C$"&amp;4+MIN(2,ROUNDDOWN(I1733,0))*3)*(-3*$J1733^3+3*$J1733^2)+INDIRECT("C$"&amp;5+MIN(2,ROUNDDOWN(I1733,0))*3)*$J1733^3</f>
      </c>
      <c r="L1733" s="7">
        <f>INDIRECT("D$"&amp;2+MIN(2,ROUNDDOWN(I1733,0))*3)*(-$J1733^3+3*$J1733^2-3*$J1733+1)+INDIRECT("D$"&amp;3+MIN(2,ROUNDDOWN(I1733,0))*3)*(3*$J1733^3-6*$J1733^2+3*$J1733)+INDIRECT("D$"&amp;4+MIN(2,ROUNDDOWN(I1733,0))*3)*(-3*$J1733^3+3*$J1733^2)+INDIRECT("D$"&amp;5+MIN(2,ROUNDDOWN(I1733,0))*3)*$J1733^3</f>
      </c>
      <c r="M1733" s="7">
        <f>SQRT(K1733^2+L1733^2)</f>
      </c>
      <c r="N1733" s="7">
        <f>(K1734-K1732)</f>
      </c>
      <c r="O1733" s="7">
        <f>+(L1734-L1732)</f>
      </c>
      <c r="P1733" s="7">
        <f>SQRT(O1733^2+N1733^2)</f>
      </c>
      <c r="Q1733" s="7">
        <f>N1733/$P1733</f>
      </c>
      <c r="R1733" s="7">
        <f>O1733/$P1733</f>
      </c>
      <c r="S1733" s="8">
        <f>Q1733^2+R1733^2</f>
      </c>
      <c r="T1733" s="7">
        <f>-R1733</f>
      </c>
      <c r="U1733" s="7">
        <f>Q1733</f>
      </c>
      <c r="V1733" s="7">
        <f>($C$14+($C$15-$C$14)/($D$15-$D$14)*(I1733-$D$14))/2</f>
      </c>
      <c r="W1733" s="7">
        <f>($B$22*I1733^4+$C$22*I1733^3+$D$22*I1733^2+$E$22*I1733+$F$22)/2</f>
      </c>
      <c r="X1733" s="7">
        <f>($W1733)*(T1733)</f>
      </c>
      <c r="Y1733" s="7">
        <f>($W1733)*(U1733)</f>
      </c>
      <c r="Z1733" s="7">
        <f>SQRT(X1733^2+Y1733^2)</f>
      </c>
      <c r="AA1733" s="7">
        <f>$K1733+$X1733</f>
      </c>
      <c r="AB1733" s="7">
        <f>$L1733+$Y1733</f>
      </c>
      <c r="AC1733" s="7">
        <f>$K1733-$X1733</f>
      </c>
      <c r="AD1733" s="7">
        <f>$L1733-$Y1733</f>
      </c>
      <c r="AE1733" s="7">
        <f>AA1733/39.3701</f>
      </c>
      <c r="AF1733" s="7">
        <f>AB1733/39.3701</f>
      </c>
      <c r="AG1733" s="7">
        <f>AC1733/39.3701</f>
      </c>
      <c r="AH1733" s="7">
        <f>AD1733/39.3701</f>
      </c>
      <c r="AI1733" s="1"/>
      <c r="AJ1733" s="1"/>
      <c r="AK1733" s="1"/>
      <c r="AL1733" s="1"/>
      <c r="AM1733" s="2"/>
      <c r="AN1733" s="1"/>
      <c r="AO1733" s="1"/>
      <c r="AP1733" s="1"/>
      <c r="AQ1733" s="1"/>
      <c r="AR1733" s="1"/>
      <c r="AS1733" s="1"/>
      <c r="AT1733" s="1"/>
      <c r="AU1733" s="1"/>
      <c r="AV1733" s="1"/>
      <c r="AW1733" s="1"/>
      <c r="AX1733" s="1"/>
      <c r="AY1733" s="1"/>
      <c r="AZ1733" s="1"/>
      <c r="BA1733" s="1"/>
      <c r="BB1733" s="1"/>
      <c r="BC1733" s="1"/>
      <c r="BD1733" s="1"/>
      <c r="BE1733" s="1"/>
    </row>
    <row x14ac:dyDescent="0.25" r="1734" customHeight="1" ht="18.75">
      <c r="A1734" s="1"/>
      <c r="B1734" s="2"/>
      <c r="C1734" s="2"/>
      <c r="D1734" s="2"/>
      <c r="E1734" s="2"/>
      <c r="F1734" s="2"/>
      <c r="G1734" s="1"/>
      <c r="H1734" s="1"/>
      <c r="I1734" s="7">
        <v>1.731</v>
      </c>
      <c r="J1734" s="7">
        <f>IF((I1734-ROUNDDOWN(I1734,0))=0, 0, (I1734-ROUNDDOWN(I1734,0)))</f>
      </c>
      <c r="K1734" s="7">
        <f>INDIRECT("C$"&amp;2+MIN(2,ROUNDDOWN(I1734,0))*3)*(-$J1734^3+3*$J1734^2-3*$J1734+1)+INDIRECT("C$"&amp;3+MIN(2,ROUNDDOWN(I1734,0))*3)*(3*$J1734^3-6*$J1734^2+3*$J1734)+INDIRECT("C$"&amp;4+MIN(2,ROUNDDOWN(I1734,0))*3)*(-3*$J1734^3+3*$J1734^2)+INDIRECT("C$"&amp;5+MIN(2,ROUNDDOWN(I1734,0))*3)*$J1734^3</f>
      </c>
      <c r="L1734" s="7">
        <f>INDIRECT("D$"&amp;2+MIN(2,ROUNDDOWN(I1734,0))*3)*(-$J1734^3+3*$J1734^2-3*$J1734+1)+INDIRECT("D$"&amp;3+MIN(2,ROUNDDOWN(I1734,0))*3)*(3*$J1734^3-6*$J1734^2+3*$J1734)+INDIRECT("D$"&amp;4+MIN(2,ROUNDDOWN(I1734,0))*3)*(-3*$J1734^3+3*$J1734^2)+INDIRECT("D$"&amp;5+MIN(2,ROUNDDOWN(I1734,0))*3)*$J1734^3</f>
      </c>
      <c r="M1734" s="7">
        <f>SQRT(K1734^2+L1734^2)</f>
      </c>
      <c r="N1734" s="7">
        <f>(K1735-K1733)</f>
      </c>
      <c r="O1734" s="7">
        <f>+(L1735-L1733)</f>
      </c>
      <c r="P1734" s="7">
        <f>SQRT(O1734^2+N1734^2)</f>
      </c>
      <c r="Q1734" s="7">
        <f>N1734/$P1734</f>
      </c>
      <c r="R1734" s="7">
        <f>O1734/$P1734</f>
      </c>
      <c r="S1734" s="8">
        <f>Q1734^2+R1734^2</f>
      </c>
      <c r="T1734" s="7">
        <f>-R1734</f>
      </c>
      <c r="U1734" s="7">
        <f>Q1734</f>
      </c>
      <c r="V1734" s="7">
        <f>($C$14+($C$15-$C$14)/($D$15-$D$14)*(I1734-$D$14))/2</f>
      </c>
      <c r="W1734" s="7">
        <f>($B$22*I1734^4+$C$22*I1734^3+$D$22*I1734^2+$E$22*I1734+$F$22)/2</f>
      </c>
      <c r="X1734" s="7">
        <f>($W1734)*(T1734)</f>
      </c>
      <c r="Y1734" s="7">
        <f>($W1734)*(U1734)</f>
      </c>
      <c r="Z1734" s="7">
        <f>SQRT(X1734^2+Y1734^2)</f>
      </c>
      <c r="AA1734" s="7">
        <f>$K1734+$X1734</f>
      </c>
      <c r="AB1734" s="7">
        <f>$L1734+$Y1734</f>
      </c>
      <c r="AC1734" s="7">
        <f>$K1734-$X1734</f>
      </c>
      <c r="AD1734" s="7">
        <f>$L1734-$Y1734</f>
      </c>
      <c r="AE1734" s="7">
        <f>AA1734/39.3701</f>
      </c>
      <c r="AF1734" s="7">
        <f>AB1734/39.3701</f>
      </c>
      <c r="AG1734" s="7">
        <f>AC1734/39.3701</f>
      </c>
      <c r="AH1734" s="7">
        <f>AD1734/39.3701</f>
      </c>
      <c r="AI1734" s="1"/>
      <c r="AJ1734" s="1"/>
      <c r="AK1734" s="1"/>
      <c r="AL1734" s="1"/>
      <c r="AM1734" s="2"/>
      <c r="AN1734" s="1"/>
      <c r="AO1734" s="1"/>
      <c r="AP1734" s="1"/>
      <c r="AQ1734" s="1"/>
      <c r="AR1734" s="1"/>
      <c r="AS1734" s="1"/>
      <c r="AT1734" s="1"/>
      <c r="AU1734" s="1"/>
      <c r="AV1734" s="1"/>
      <c r="AW1734" s="1"/>
      <c r="AX1734" s="1"/>
      <c r="AY1734" s="1"/>
      <c r="AZ1734" s="1"/>
      <c r="BA1734" s="1"/>
      <c r="BB1734" s="1"/>
      <c r="BC1734" s="1"/>
      <c r="BD1734" s="1"/>
      <c r="BE1734" s="1"/>
    </row>
    <row x14ac:dyDescent="0.25" r="1735" customHeight="1" ht="18.75">
      <c r="A1735" s="1"/>
      <c r="B1735" s="2"/>
      <c r="C1735" s="2"/>
      <c r="D1735" s="2"/>
      <c r="E1735" s="2"/>
      <c r="F1735" s="2"/>
      <c r="G1735" s="1"/>
      <c r="H1735" s="1"/>
      <c r="I1735" s="7">
        <v>1.732</v>
      </c>
      <c r="J1735" s="7">
        <f>IF((I1735-ROUNDDOWN(I1735,0))=0, 0, (I1735-ROUNDDOWN(I1735,0)))</f>
      </c>
      <c r="K1735" s="7">
        <f>INDIRECT("C$"&amp;2+MIN(2,ROUNDDOWN(I1735,0))*3)*(-$J1735^3+3*$J1735^2-3*$J1735+1)+INDIRECT("C$"&amp;3+MIN(2,ROUNDDOWN(I1735,0))*3)*(3*$J1735^3-6*$J1735^2+3*$J1735)+INDIRECT("C$"&amp;4+MIN(2,ROUNDDOWN(I1735,0))*3)*(-3*$J1735^3+3*$J1735^2)+INDIRECT("C$"&amp;5+MIN(2,ROUNDDOWN(I1735,0))*3)*$J1735^3</f>
      </c>
      <c r="L1735" s="7">
        <f>INDIRECT("D$"&amp;2+MIN(2,ROUNDDOWN(I1735,0))*3)*(-$J1735^3+3*$J1735^2-3*$J1735+1)+INDIRECT("D$"&amp;3+MIN(2,ROUNDDOWN(I1735,0))*3)*(3*$J1735^3-6*$J1735^2+3*$J1735)+INDIRECT("D$"&amp;4+MIN(2,ROUNDDOWN(I1735,0))*3)*(-3*$J1735^3+3*$J1735^2)+INDIRECT("D$"&amp;5+MIN(2,ROUNDDOWN(I1735,0))*3)*$J1735^3</f>
      </c>
      <c r="M1735" s="7">
        <f>SQRT(K1735^2+L1735^2)</f>
      </c>
      <c r="N1735" s="7">
        <f>(K1736-K1734)</f>
      </c>
      <c r="O1735" s="7">
        <f>+(L1736-L1734)</f>
      </c>
      <c r="P1735" s="7">
        <f>SQRT(O1735^2+N1735^2)</f>
      </c>
      <c r="Q1735" s="7">
        <f>N1735/$P1735</f>
      </c>
      <c r="R1735" s="7">
        <f>O1735/$P1735</f>
      </c>
      <c r="S1735" s="7">
        <f>Q1735^2+R1735^2</f>
      </c>
      <c r="T1735" s="7">
        <f>-R1735</f>
      </c>
      <c r="U1735" s="7">
        <f>Q1735</f>
      </c>
      <c r="V1735" s="7">
        <f>($C$14+($C$15-$C$14)/($D$15-$D$14)*(I1735-$D$14))/2</f>
      </c>
      <c r="W1735" s="7">
        <f>($B$22*I1735^4+$C$22*I1735^3+$D$22*I1735^2+$E$22*I1735+$F$22)/2</f>
      </c>
      <c r="X1735" s="7">
        <f>($W1735)*(T1735)</f>
      </c>
      <c r="Y1735" s="7">
        <f>($W1735)*(U1735)</f>
      </c>
      <c r="Z1735" s="7">
        <f>SQRT(X1735^2+Y1735^2)</f>
      </c>
      <c r="AA1735" s="7">
        <f>$K1735+$X1735</f>
      </c>
      <c r="AB1735" s="7">
        <f>$L1735+$Y1735</f>
      </c>
      <c r="AC1735" s="7">
        <f>$K1735-$X1735</f>
      </c>
      <c r="AD1735" s="7">
        <f>$L1735-$Y1735</f>
      </c>
      <c r="AE1735" s="7">
        <f>AA1735/39.3701</f>
      </c>
      <c r="AF1735" s="7">
        <f>AB1735/39.3701</f>
      </c>
      <c r="AG1735" s="7">
        <f>AC1735/39.3701</f>
      </c>
      <c r="AH1735" s="7">
        <f>AD1735/39.3701</f>
      </c>
      <c r="AI1735" s="1"/>
      <c r="AJ1735" s="1"/>
      <c r="AK1735" s="1"/>
      <c r="AL1735" s="1"/>
      <c r="AM1735" s="2"/>
      <c r="AN1735" s="1"/>
      <c r="AO1735" s="1"/>
      <c r="AP1735" s="1"/>
      <c r="AQ1735" s="1"/>
      <c r="AR1735" s="1"/>
      <c r="AS1735" s="1"/>
      <c r="AT1735" s="1"/>
      <c r="AU1735" s="1"/>
      <c r="AV1735" s="1"/>
      <c r="AW1735" s="1"/>
      <c r="AX1735" s="1"/>
      <c r="AY1735" s="1"/>
      <c r="AZ1735" s="1"/>
      <c r="BA1735" s="1"/>
      <c r="BB1735" s="1"/>
      <c r="BC1735" s="1"/>
      <c r="BD1735" s="1"/>
      <c r="BE1735" s="1"/>
    </row>
    <row x14ac:dyDescent="0.25" r="1736" customHeight="1" ht="18.75">
      <c r="A1736" s="1"/>
      <c r="B1736" s="2"/>
      <c r="C1736" s="2"/>
      <c r="D1736" s="2"/>
      <c r="E1736" s="2"/>
      <c r="F1736" s="2"/>
      <c r="G1736" s="1"/>
      <c r="H1736" s="1"/>
      <c r="I1736" s="7">
        <v>1.733</v>
      </c>
      <c r="J1736" s="7">
        <f>IF((I1736-ROUNDDOWN(I1736,0))=0, 0, (I1736-ROUNDDOWN(I1736,0)))</f>
      </c>
      <c r="K1736" s="7">
        <f>INDIRECT("C$"&amp;2+MIN(2,ROUNDDOWN(I1736,0))*3)*(-$J1736^3+3*$J1736^2-3*$J1736+1)+INDIRECT("C$"&amp;3+MIN(2,ROUNDDOWN(I1736,0))*3)*(3*$J1736^3-6*$J1736^2+3*$J1736)+INDIRECT("C$"&amp;4+MIN(2,ROUNDDOWN(I1736,0))*3)*(-3*$J1736^3+3*$J1736^2)+INDIRECT("C$"&amp;5+MIN(2,ROUNDDOWN(I1736,0))*3)*$J1736^3</f>
      </c>
      <c r="L1736" s="7">
        <f>INDIRECT("D$"&amp;2+MIN(2,ROUNDDOWN(I1736,0))*3)*(-$J1736^3+3*$J1736^2-3*$J1736+1)+INDIRECT("D$"&amp;3+MIN(2,ROUNDDOWN(I1736,0))*3)*(3*$J1736^3-6*$J1736^2+3*$J1736)+INDIRECT("D$"&amp;4+MIN(2,ROUNDDOWN(I1736,0))*3)*(-3*$J1736^3+3*$J1736^2)+INDIRECT("D$"&amp;5+MIN(2,ROUNDDOWN(I1736,0))*3)*$J1736^3</f>
      </c>
      <c r="M1736" s="7">
        <f>SQRT(K1736^2+L1736^2)</f>
      </c>
      <c r="N1736" s="7">
        <f>(K1737-K1735)</f>
      </c>
      <c r="O1736" s="7">
        <f>+(L1737-L1735)</f>
      </c>
      <c r="P1736" s="7">
        <f>SQRT(O1736^2+N1736^2)</f>
      </c>
      <c r="Q1736" s="7">
        <f>N1736/$P1736</f>
      </c>
      <c r="R1736" s="7">
        <f>O1736/$P1736</f>
      </c>
      <c r="S1736" s="8">
        <f>Q1736^2+R1736^2</f>
      </c>
      <c r="T1736" s="7">
        <f>-R1736</f>
      </c>
      <c r="U1736" s="7">
        <f>Q1736</f>
      </c>
      <c r="V1736" s="7">
        <f>($C$14+($C$15-$C$14)/($D$15-$D$14)*(I1736-$D$14))/2</f>
      </c>
      <c r="W1736" s="7">
        <f>($B$22*I1736^4+$C$22*I1736^3+$D$22*I1736^2+$E$22*I1736+$F$22)/2</f>
      </c>
      <c r="X1736" s="7">
        <f>($W1736)*(T1736)</f>
      </c>
      <c r="Y1736" s="7">
        <f>($W1736)*(U1736)</f>
      </c>
      <c r="Z1736" s="7">
        <f>SQRT(X1736^2+Y1736^2)</f>
      </c>
      <c r="AA1736" s="7">
        <f>$K1736+$X1736</f>
      </c>
      <c r="AB1736" s="7">
        <f>$L1736+$Y1736</f>
      </c>
      <c r="AC1736" s="7">
        <f>$K1736-$X1736</f>
      </c>
      <c r="AD1736" s="7">
        <f>$L1736-$Y1736</f>
      </c>
      <c r="AE1736" s="7">
        <f>AA1736/39.3701</f>
      </c>
      <c r="AF1736" s="7">
        <f>AB1736/39.3701</f>
      </c>
      <c r="AG1736" s="7">
        <f>AC1736/39.3701</f>
      </c>
      <c r="AH1736" s="7">
        <f>AD1736/39.3701</f>
      </c>
      <c r="AI1736" s="1"/>
      <c r="AJ1736" s="1"/>
      <c r="AK1736" s="1"/>
      <c r="AL1736" s="1"/>
      <c r="AM1736" s="2"/>
      <c r="AN1736" s="1"/>
      <c r="AO1736" s="1"/>
      <c r="AP1736" s="1"/>
      <c r="AQ1736" s="1"/>
      <c r="AR1736" s="1"/>
      <c r="AS1736" s="1"/>
      <c r="AT1736" s="1"/>
      <c r="AU1736" s="1"/>
      <c r="AV1736" s="1"/>
      <c r="AW1736" s="1"/>
      <c r="AX1736" s="1"/>
      <c r="AY1736" s="1"/>
      <c r="AZ1736" s="1"/>
      <c r="BA1736" s="1"/>
      <c r="BB1736" s="1"/>
      <c r="BC1736" s="1"/>
      <c r="BD1736" s="1"/>
      <c r="BE1736" s="1"/>
    </row>
    <row x14ac:dyDescent="0.25" r="1737" customHeight="1" ht="18.75">
      <c r="A1737" s="1"/>
      <c r="B1737" s="2"/>
      <c r="C1737" s="2"/>
      <c r="D1737" s="2"/>
      <c r="E1737" s="2"/>
      <c r="F1737" s="2"/>
      <c r="G1737" s="1"/>
      <c r="H1737" s="1"/>
      <c r="I1737" s="7">
        <v>1.734</v>
      </c>
      <c r="J1737" s="7">
        <f>IF((I1737-ROUNDDOWN(I1737,0))=0, 0, (I1737-ROUNDDOWN(I1737,0)))</f>
      </c>
      <c r="K1737" s="7">
        <f>INDIRECT("C$"&amp;2+MIN(2,ROUNDDOWN(I1737,0))*3)*(-$J1737^3+3*$J1737^2-3*$J1737+1)+INDIRECT("C$"&amp;3+MIN(2,ROUNDDOWN(I1737,0))*3)*(3*$J1737^3-6*$J1737^2+3*$J1737)+INDIRECT("C$"&amp;4+MIN(2,ROUNDDOWN(I1737,0))*3)*(-3*$J1737^3+3*$J1737^2)+INDIRECT("C$"&amp;5+MIN(2,ROUNDDOWN(I1737,0))*3)*$J1737^3</f>
      </c>
      <c r="L1737" s="7">
        <f>INDIRECT("D$"&amp;2+MIN(2,ROUNDDOWN(I1737,0))*3)*(-$J1737^3+3*$J1737^2-3*$J1737+1)+INDIRECT("D$"&amp;3+MIN(2,ROUNDDOWN(I1737,0))*3)*(3*$J1737^3-6*$J1737^2+3*$J1737)+INDIRECT("D$"&amp;4+MIN(2,ROUNDDOWN(I1737,0))*3)*(-3*$J1737^3+3*$J1737^2)+INDIRECT("D$"&amp;5+MIN(2,ROUNDDOWN(I1737,0))*3)*$J1737^3</f>
      </c>
      <c r="M1737" s="7">
        <f>SQRT(K1737^2+L1737^2)</f>
      </c>
      <c r="N1737" s="7">
        <f>(K1738-K1736)</f>
      </c>
      <c r="O1737" s="7">
        <f>+(L1738-L1736)</f>
      </c>
      <c r="P1737" s="7">
        <f>SQRT(O1737^2+N1737^2)</f>
      </c>
      <c r="Q1737" s="7">
        <f>N1737/$P1737</f>
      </c>
      <c r="R1737" s="7">
        <f>O1737/$P1737</f>
      </c>
      <c r="S1737" s="7">
        <f>Q1737^2+R1737^2</f>
      </c>
      <c r="T1737" s="7">
        <f>-R1737</f>
      </c>
      <c r="U1737" s="7">
        <f>Q1737</f>
      </c>
      <c r="V1737" s="7">
        <f>($C$14+($C$15-$C$14)/($D$15-$D$14)*(I1737-$D$14))/2</f>
      </c>
      <c r="W1737" s="7">
        <f>($B$22*I1737^4+$C$22*I1737^3+$D$22*I1737^2+$E$22*I1737+$F$22)/2</f>
      </c>
      <c r="X1737" s="7">
        <f>($W1737)*(T1737)</f>
      </c>
      <c r="Y1737" s="7">
        <f>($W1737)*(U1737)</f>
      </c>
      <c r="Z1737" s="7">
        <f>SQRT(X1737^2+Y1737^2)</f>
      </c>
      <c r="AA1737" s="7">
        <f>$K1737+$X1737</f>
      </c>
      <c r="AB1737" s="7">
        <f>$L1737+$Y1737</f>
      </c>
      <c r="AC1737" s="7">
        <f>$K1737-$X1737</f>
      </c>
      <c r="AD1737" s="7">
        <f>$L1737-$Y1737</f>
      </c>
      <c r="AE1737" s="7">
        <f>AA1737/39.3701</f>
      </c>
      <c r="AF1737" s="7">
        <f>AB1737/39.3701</f>
      </c>
      <c r="AG1737" s="7">
        <f>AC1737/39.3701</f>
      </c>
      <c r="AH1737" s="7">
        <f>AD1737/39.3701</f>
      </c>
      <c r="AI1737" s="1"/>
      <c r="AJ1737" s="1"/>
      <c r="AK1737" s="1"/>
      <c r="AL1737" s="1"/>
      <c r="AM1737" s="2"/>
      <c r="AN1737" s="1"/>
      <c r="AO1737" s="1"/>
      <c r="AP1737" s="1"/>
      <c r="AQ1737" s="1"/>
      <c r="AR1737" s="1"/>
      <c r="AS1737" s="1"/>
      <c r="AT1737" s="1"/>
      <c r="AU1737" s="1"/>
      <c r="AV1737" s="1"/>
      <c r="AW1737" s="1"/>
      <c r="AX1737" s="1"/>
      <c r="AY1737" s="1"/>
      <c r="AZ1737" s="1"/>
      <c r="BA1737" s="1"/>
      <c r="BB1737" s="1"/>
      <c r="BC1737" s="1"/>
      <c r="BD1737" s="1"/>
      <c r="BE1737" s="1"/>
    </row>
    <row x14ac:dyDescent="0.25" r="1738" customHeight="1" ht="18.75">
      <c r="A1738" s="1"/>
      <c r="B1738" s="2"/>
      <c r="C1738" s="2"/>
      <c r="D1738" s="2"/>
      <c r="E1738" s="2"/>
      <c r="F1738" s="2"/>
      <c r="G1738" s="1"/>
      <c r="H1738" s="1"/>
      <c r="I1738" s="7">
        <v>1.735</v>
      </c>
      <c r="J1738" s="7">
        <f>IF((I1738-ROUNDDOWN(I1738,0))=0, 0, (I1738-ROUNDDOWN(I1738,0)))</f>
      </c>
      <c r="K1738" s="7">
        <f>INDIRECT("C$"&amp;2+MIN(2,ROUNDDOWN(I1738,0))*3)*(-$J1738^3+3*$J1738^2-3*$J1738+1)+INDIRECT("C$"&amp;3+MIN(2,ROUNDDOWN(I1738,0))*3)*(3*$J1738^3-6*$J1738^2+3*$J1738)+INDIRECT("C$"&amp;4+MIN(2,ROUNDDOWN(I1738,0))*3)*(-3*$J1738^3+3*$J1738^2)+INDIRECT("C$"&amp;5+MIN(2,ROUNDDOWN(I1738,0))*3)*$J1738^3</f>
      </c>
      <c r="L1738" s="7">
        <f>INDIRECT("D$"&amp;2+MIN(2,ROUNDDOWN(I1738,0))*3)*(-$J1738^3+3*$J1738^2-3*$J1738+1)+INDIRECT("D$"&amp;3+MIN(2,ROUNDDOWN(I1738,0))*3)*(3*$J1738^3-6*$J1738^2+3*$J1738)+INDIRECT("D$"&amp;4+MIN(2,ROUNDDOWN(I1738,0))*3)*(-3*$J1738^3+3*$J1738^2)+INDIRECT("D$"&amp;5+MIN(2,ROUNDDOWN(I1738,0))*3)*$J1738^3</f>
      </c>
      <c r="M1738" s="7">
        <f>SQRT(K1738^2+L1738^2)</f>
      </c>
      <c r="N1738" s="7">
        <f>(K1739-K1737)</f>
      </c>
      <c r="O1738" s="7">
        <f>+(L1739-L1737)</f>
      </c>
      <c r="P1738" s="7">
        <f>SQRT(O1738^2+N1738^2)</f>
      </c>
      <c r="Q1738" s="7">
        <f>N1738/$P1738</f>
      </c>
      <c r="R1738" s="7">
        <f>O1738/$P1738</f>
      </c>
      <c r="S1738" s="7">
        <f>Q1738^2+R1738^2</f>
      </c>
      <c r="T1738" s="7">
        <f>-R1738</f>
      </c>
      <c r="U1738" s="7">
        <f>Q1738</f>
      </c>
      <c r="V1738" s="7">
        <f>($C$14+($C$15-$C$14)/($D$15-$D$14)*(I1738-$D$14))/2</f>
      </c>
      <c r="W1738" s="7">
        <f>($B$22*I1738^4+$C$22*I1738^3+$D$22*I1738^2+$E$22*I1738+$F$22)/2</f>
      </c>
      <c r="X1738" s="7">
        <f>($W1738)*(T1738)</f>
      </c>
      <c r="Y1738" s="7">
        <f>($W1738)*(U1738)</f>
      </c>
      <c r="Z1738" s="7">
        <f>SQRT(X1738^2+Y1738^2)</f>
      </c>
      <c r="AA1738" s="7">
        <f>$K1738+$X1738</f>
      </c>
      <c r="AB1738" s="7">
        <f>$L1738+$Y1738</f>
      </c>
      <c r="AC1738" s="7">
        <f>$K1738-$X1738</f>
      </c>
      <c r="AD1738" s="7">
        <f>$L1738-$Y1738</f>
      </c>
      <c r="AE1738" s="7">
        <f>AA1738/39.3701</f>
      </c>
      <c r="AF1738" s="7">
        <f>AB1738/39.3701</f>
      </c>
      <c r="AG1738" s="7">
        <f>AC1738/39.3701</f>
      </c>
      <c r="AH1738" s="7">
        <f>AD1738/39.3701</f>
      </c>
      <c r="AI1738" s="1"/>
      <c r="AJ1738" s="1"/>
      <c r="AK1738" s="1"/>
      <c r="AL1738" s="1"/>
      <c r="AM1738" s="2"/>
      <c r="AN1738" s="1"/>
      <c r="AO1738" s="1"/>
      <c r="AP1738" s="1"/>
      <c r="AQ1738" s="1"/>
      <c r="AR1738" s="1"/>
      <c r="AS1738" s="1"/>
      <c r="AT1738" s="1"/>
      <c r="AU1738" s="1"/>
      <c r="AV1738" s="1"/>
      <c r="AW1738" s="1"/>
      <c r="AX1738" s="1"/>
      <c r="AY1738" s="1"/>
      <c r="AZ1738" s="1"/>
      <c r="BA1738" s="1"/>
      <c r="BB1738" s="1"/>
      <c r="BC1738" s="1"/>
      <c r="BD1738" s="1"/>
      <c r="BE1738" s="1"/>
    </row>
    <row x14ac:dyDescent="0.25" r="1739" customHeight="1" ht="18.75">
      <c r="A1739" s="1"/>
      <c r="B1739" s="2"/>
      <c r="C1739" s="2"/>
      <c r="D1739" s="2"/>
      <c r="E1739" s="2"/>
      <c r="F1739" s="2"/>
      <c r="G1739" s="1"/>
      <c r="H1739" s="1"/>
      <c r="I1739" s="7">
        <v>1.736</v>
      </c>
      <c r="J1739" s="7">
        <f>IF((I1739-ROUNDDOWN(I1739,0))=0, 0, (I1739-ROUNDDOWN(I1739,0)))</f>
      </c>
      <c r="K1739" s="7">
        <f>INDIRECT("C$"&amp;2+MIN(2,ROUNDDOWN(I1739,0))*3)*(-$J1739^3+3*$J1739^2-3*$J1739+1)+INDIRECT("C$"&amp;3+MIN(2,ROUNDDOWN(I1739,0))*3)*(3*$J1739^3-6*$J1739^2+3*$J1739)+INDIRECT("C$"&amp;4+MIN(2,ROUNDDOWN(I1739,0))*3)*(-3*$J1739^3+3*$J1739^2)+INDIRECT("C$"&amp;5+MIN(2,ROUNDDOWN(I1739,0))*3)*$J1739^3</f>
      </c>
      <c r="L1739" s="7">
        <f>INDIRECT("D$"&amp;2+MIN(2,ROUNDDOWN(I1739,0))*3)*(-$J1739^3+3*$J1739^2-3*$J1739+1)+INDIRECT("D$"&amp;3+MIN(2,ROUNDDOWN(I1739,0))*3)*(3*$J1739^3-6*$J1739^2+3*$J1739)+INDIRECT("D$"&amp;4+MIN(2,ROUNDDOWN(I1739,0))*3)*(-3*$J1739^3+3*$J1739^2)+INDIRECT("D$"&amp;5+MIN(2,ROUNDDOWN(I1739,0))*3)*$J1739^3</f>
      </c>
      <c r="M1739" s="7">
        <f>SQRT(K1739^2+L1739^2)</f>
      </c>
      <c r="N1739" s="7">
        <f>(K1740-K1738)</f>
      </c>
      <c r="O1739" s="7">
        <f>+(L1740-L1738)</f>
      </c>
      <c r="P1739" s="7">
        <f>SQRT(O1739^2+N1739^2)</f>
      </c>
      <c r="Q1739" s="7">
        <f>N1739/$P1739</f>
      </c>
      <c r="R1739" s="7">
        <f>O1739/$P1739</f>
      </c>
      <c r="S1739" s="8">
        <f>Q1739^2+R1739^2</f>
      </c>
      <c r="T1739" s="7">
        <f>-R1739</f>
      </c>
      <c r="U1739" s="7">
        <f>Q1739</f>
      </c>
      <c r="V1739" s="7">
        <f>($C$14+($C$15-$C$14)/($D$15-$D$14)*(I1739-$D$14))/2</f>
      </c>
      <c r="W1739" s="7">
        <f>($B$22*I1739^4+$C$22*I1739^3+$D$22*I1739^2+$E$22*I1739+$F$22)/2</f>
      </c>
      <c r="X1739" s="7">
        <f>($W1739)*(T1739)</f>
      </c>
      <c r="Y1739" s="7">
        <f>($W1739)*(U1739)</f>
      </c>
      <c r="Z1739" s="7">
        <f>SQRT(X1739^2+Y1739^2)</f>
      </c>
      <c r="AA1739" s="7">
        <f>$K1739+$X1739</f>
      </c>
      <c r="AB1739" s="7">
        <f>$L1739+$Y1739</f>
      </c>
      <c r="AC1739" s="7">
        <f>$K1739-$X1739</f>
      </c>
      <c r="AD1739" s="7">
        <f>$L1739-$Y1739</f>
      </c>
      <c r="AE1739" s="7">
        <f>AA1739/39.3701</f>
      </c>
      <c r="AF1739" s="7">
        <f>AB1739/39.3701</f>
      </c>
      <c r="AG1739" s="7">
        <f>AC1739/39.3701</f>
      </c>
      <c r="AH1739" s="7">
        <f>AD1739/39.3701</f>
      </c>
      <c r="AI1739" s="1"/>
      <c r="AJ1739" s="1"/>
      <c r="AK1739" s="1"/>
      <c r="AL1739" s="1"/>
      <c r="AM1739" s="2"/>
      <c r="AN1739" s="1"/>
      <c r="AO1739" s="1"/>
      <c r="AP1739" s="1"/>
      <c r="AQ1739" s="1"/>
      <c r="AR1739" s="1"/>
      <c r="AS1739" s="1"/>
      <c r="AT1739" s="1"/>
      <c r="AU1739" s="1"/>
      <c r="AV1739" s="1"/>
      <c r="AW1739" s="1"/>
      <c r="AX1739" s="1"/>
      <c r="AY1739" s="1"/>
      <c r="AZ1739" s="1"/>
      <c r="BA1739" s="1"/>
      <c r="BB1739" s="1"/>
      <c r="BC1739" s="1"/>
      <c r="BD1739" s="1"/>
      <c r="BE1739" s="1"/>
    </row>
    <row x14ac:dyDescent="0.25" r="1740" customHeight="1" ht="18.75">
      <c r="A1740" s="1"/>
      <c r="B1740" s="2"/>
      <c r="C1740" s="2"/>
      <c r="D1740" s="2"/>
      <c r="E1740" s="2"/>
      <c r="F1740" s="2"/>
      <c r="G1740" s="1"/>
      <c r="H1740" s="1"/>
      <c r="I1740" s="7">
        <v>1.737</v>
      </c>
      <c r="J1740" s="7">
        <f>IF((I1740-ROUNDDOWN(I1740,0))=0, 0, (I1740-ROUNDDOWN(I1740,0)))</f>
      </c>
      <c r="K1740" s="7">
        <f>INDIRECT("C$"&amp;2+MIN(2,ROUNDDOWN(I1740,0))*3)*(-$J1740^3+3*$J1740^2-3*$J1740+1)+INDIRECT("C$"&amp;3+MIN(2,ROUNDDOWN(I1740,0))*3)*(3*$J1740^3-6*$J1740^2+3*$J1740)+INDIRECT("C$"&amp;4+MIN(2,ROUNDDOWN(I1740,0))*3)*(-3*$J1740^3+3*$J1740^2)+INDIRECT("C$"&amp;5+MIN(2,ROUNDDOWN(I1740,0))*3)*$J1740^3</f>
      </c>
      <c r="L1740" s="7">
        <f>INDIRECT("D$"&amp;2+MIN(2,ROUNDDOWN(I1740,0))*3)*(-$J1740^3+3*$J1740^2-3*$J1740+1)+INDIRECT("D$"&amp;3+MIN(2,ROUNDDOWN(I1740,0))*3)*(3*$J1740^3-6*$J1740^2+3*$J1740)+INDIRECT("D$"&amp;4+MIN(2,ROUNDDOWN(I1740,0))*3)*(-3*$J1740^3+3*$J1740^2)+INDIRECT("D$"&amp;5+MIN(2,ROUNDDOWN(I1740,0))*3)*$J1740^3</f>
      </c>
      <c r="M1740" s="7">
        <f>SQRT(K1740^2+L1740^2)</f>
      </c>
      <c r="N1740" s="7">
        <f>(K1741-K1739)</f>
      </c>
      <c r="O1740" s="7">
        <f>+(L1741-L1739)</f>
      </c>
      <c r="P1740" s="7">
        <f>SQRT(O1740^2+N1740^2)</f>
      </c>
      <c r="Q1740" s="7">
        <f>N1740/$P1740</f>
      </c>
      <c r="R1740" s="7">
        <f>O1740/$P1740</f>
      </c>
      <c r="S1740" s="8">
        <f>Q1740^2+R1740^2</f>
      </c>
      <c r="T1740" s="7">
        <f>-R1740</f>
      </c>
      <c r="U1740" s="7">
        <f>Q1740</f>
      </c>
      <c r="V1740" s="7">
        <f>($C$14+($C$15-$C$14)/($D$15-$D$14)*(I1740-$D$14))/2</f>
      </c>
      <c r="W1740" s="7">
        <f>($B$22*I1740^4+$C$22*I1740^3+$D$22*I1740^2+$E$22*I1740+$F$22)/2</f>
      </c>
      <c r="X1740" s="7">
        <f>($W1740)*(T1740)</f>
      </c>
      <c r="Y1740" s="7">
        <f>($W1740)*(U1740)</f>
      </c>
      <c r="Z1740" s="7">
        <f>SQRT(X1740^2+Y1740^2)</f>
      </c>
      <c r="AA1740" s="7">
        <f>$K1740+$X1740</f>
      </c>
      <c r="AB1740" s="7">
        <f>$L1740+$Y1740</f>
      </c>
      <c r="AC1740" s="7">
        <f>$K1740-$X1740</f>
      </c>
      <c r="AD1740" s="7">
        <f>$L1740-$Y1740</f>
      </c>
      <c r="AE1740" s="7">
        <f>AA1740/39.3701</f>
      </c>
      <c r="AF1740" s="7">
        <f>AB1740/39.3701</f>
      </c>
      <c r="AG1740" s="7">
        <f>AC1740/39.3701</f>
      </c>
      <c r="AH1740" s="7">
        <f>AD1740/39.3701</f>
      </c>
      <c r="AI1740" s="1"/>
      <c r="AJ1740" s="1"/>
      <c r="AK1740" s="1"/>
      <c r="AL1740" s="1"/>
      <c r="AM1740" s="2"/>
      <c r="AN1740" s="1"/>
      <c r="AO1740" s="1"/>
      <c r="AP1740" s="1"/>
      <c r="AQ1740" s="1"/>
      <c r="AR1740" s="1"/>
      <c r="AS1740" s="1"/>
      <c r="AT1740" s="1"/>
      <c r="AU1740" s="1"/>
      <c r="AV1740" s="1"/>
      <c r="AW1740" s="1"/>
      <c r="AX1740" s="1"/>
      <c r="AY1740" s="1"/>
      <c r="AZ1740" s="1"/>
      <c r="BA1740" s="1"/>
      <c r="BB1740" s="1"/>
      <c r="BC1740" s="1"/>
      <c r="BD1740" s="1"/>
      <c r="BE1740" s="1"/>
    </row>
    <row x14ac:dyDescent="0.25" r="1741" customHeight="1" ht="18.75">
      <c r="A1741" s="1"/>
      <c r="B1741" s="2"/>
      <c r="C1741" s="2"/>
      <c r="D1741" s="2"/>
      <c r="E1741" s="2"/>
      <c r="F1741" s="2"/>
      <c r="G1741" s="1"/>
      <c r="H1741" s="1"/>
      <c r="I1741" s="7">
        <v>1.738</v>
      </c>
      <c r="J1741" s="7">
        <f>IF((I1741-ROUNDDOWN(I1741,0))=0, 0, (I1741-ROUNDDOWN(I1741,0)))</f>
      </c>
      <c r="K1741" s="7">
        <f>INDIRECT("C$"&amp;2+MIN(2,ROUNDDOWN(I1741,0))*3)*(-$J1741^3+3*$J1741^2-3*$J1741+1)+INDIRECT("C$"&amp;3+MIN(2,ROUNDDOWN(I1741,0))*3)*(3*$J1741^3-6*$J1741^2+3*$J1741)+INDIRECT("C$"&amp;4+MIN(2,ROUNDDOWN(I1741,0))*3)*(-3*$J1741^3+3*$J1741^2)+INDIRECT("C$"&amp;5+MIN(2,ROUNDDOWN(I1741,0))*3)*$J1741^3</f>
      </c>
      <c r="L1741" s="7">
        <f>INDIRECT("D$"&amp;2+MIN(2,ROUNDDOWN(I1741,0))*3)*(-$J1741^3+3*$J1741^2-3*$J1741+1)+INDIRECT("D$"&amp;3+MIN(2,ROUNDDOWN(I1741,0))*3)*(3*$J1741^3-6*$J1741^2+3*$J1741)+INDIRECT("D$"&amp;4+MIN(2,ROUNDDOWN(I1741,0))*3)*(-3*$J1741^3+3*$J1741^2)+INDIRECT("D$"&amp;5+MIN(2,ROUNDDOWN(I1741,0))*3)*$J1741^3</f>
      </c>
      <c r="M1741" s="7">
        <f>SQRT(K1741^2+L1741^2)</f>
      </c>
      <c r="N1741" s="7">
        <f>(K1742-K1740)</f>
      </c>
      <c r="O1741" s="7">
        <f>+(L1742-L1740)</f>
      </c>
      <c r="P1741" s="7">
        <f>SQRT(O1741^2+N1741^2)</f>
      </c>
      <c r="Q1741" s="7">
        <f>N1741/$P1741</f>
      </c>
      <c r="R1741" s="7">
        <f>O1741/$P1741</f>
      </c>
      <c r="S1741" s="7">
        <f>Q1741^2+R1741^2</f>
      </c>
      <c r="T1741" s="7">
        <f>-R1741</f>
      </c>
      <c r="U1741" s="7">
        <f>Q1741</f>
      </c>
      <c r="V1741" s="7">
        <f>($C$14+($C$15-$C$14)/($D$15-$D$14)*(I1741-$D$14))/2</f>
      </c>
      <c r="W1741" s="7">
        <f>($B$22*I1741^4+$C$22*I1741^3+$D$22*I1741^2+$E$22*I1741+$F$22)/2</f>
      </c>
      <c r="X1741" s="7">
        <f>($W1741)*(T1741)</f>
      </c>
      <c r="Y1741" s="7">
        <f>($W1741)*(U1741)</f>
      </c>
      <c r="Z1741" s="7">
        <f>SQRT(X1741^2+Y1741^2)</f>
      </c>
      <c r="AA1741" s="7">
        <f>$K1741+$X1741</f>
      </c>
      <c r="AB1741" s="7">
        <f>$L1741+$Y1741</f>
      </c>
      <c r="AC1741" s="7">
        <f>$K1741-$X1741</f>
      </c>
      <c r="AD1741" s="7">
        <f>$L1741-$Y1741</f>
      </c>
      <c r="AE1741" s="7">
        <f>AA1741/39.3701</f>
      </c>
      <c r="AF1741" s="7">
        <f>AB1741/39.3701</f>
      </c>
      <c r="AG1741" s="7">
        <f>AC1741/39.3701</f>
      </c>
      <c r="AH1741" s="7">
        <f>AD1741/39.3701</f>
      </c>
      <c r="AI1741" s="1"/>
      <c r="AJ1741" s="1"/>
      <c r="AK1741" s="1"/>
      <c r="AL1741" s="1"/>
      <c r="AM1741" s="2"/>
      <c r="AN1741" s="1"/>
      <c r="AO1741" s="1"/>
      <c r="AP1741" s="1"/>
      <c r="AQ1741" s="1"/>
      <c r="AR1741" s="1"/>
      <c r="AS1741" s="1"/>
      <c r="AT1741" s="1"/>
      <c r="AU1741" s="1"/>
      <c r="AV1741" s="1"/>
      <c r="AW1741" s="1"/>
      <c r="AX1741" s="1"/>
      <c r="AY1741" s="1"/>
      <c r="AZ1741" s="1"/>
      <c r="BA1741" s="1"/>
      <c r="BB1741" s="1"/>
      <c r="BC1741" s="1"/>
      <c r="BD1741" s="1"/>
      <c r="BE1741" s="1"/>
    </row>
    <row x14ac:dyDescent="0.25" r="1742" customHeight="1" ht="18.75">
      <c r="A1742" s="1"/>
      <c r="B1742" s="2"/>
      <c r="C1742" s="2"/>
      <c r="D1742" s="2"/>
      <c r="E1742" s="2"/>
      <c r="F1742" s="2"/>
      <c r="G1742" s="1"/>
      <c r="H1742" s="1"/>
      <c r="I1742" s="7">
        <v>1.739</v>
      </c>
      <c r="J1742" s="7">
        <f>IF((I1742-ROUNDDOWN(I1742,0))=0, 0, (I1742-ROUNDDOWN(I1742,0)))</f>
      </c>
      <c r="K1742" s="7">
        <f>INDIRECT("C$"&amp;2+MIN(2,ROUNDDOWN(I1742,0))*3)*(-$J1742^3+3*$J1742^2-3*$J1742+1)+INDIRECT("C$"&amp;3+MIN(2,ROUNDDOWN(I1742,0))*3)*(3*$J1742^3-6*$J1742^2+3*$J1742)+INDIRECT("C$"&amp;4+MIN(2,ROUNDDOWN(I1742,0))*3)*(-3*$J1742^3+3*$J1742^2)+INDIRECT("C$"&amp;5+MIN(2,ROUNDDOWN(I1742,0))*3)*$J1742^3</f>
      </c>
      <c r="L1742" s="7">
        <f>INDIRECT("D$"&amp;2+MIN(2,ROUNDDOWN(I1742,0))*3)*(-$J1742^3+3*$J1742^2-3*$J1742+1)+INDIRECT("D$"&amp;3+MIN(2,ROUNDDOWN(I1742,0))*3)*(3*$J1742^3-6*$J1742^2+3*$J1742)+INDIRECT("D$"&amp;4+MIN(2,ROUNDDOWN(I1742,0))*3)*(-3*$J1742^3+3*$J1742^2)+INDIRECT("D$"&amp;5+MIN(2,ROUNDDOWN(I1742,0))*3)*$J1742^3</f>
      </c>
      <c r="M1742" s="7">
        <f>SQRT(K1742^2+L1742^2)</f>
      </c>
      <c r="N1742" s="7">
        <f>(K1743-K1741)</f>
      </c>
      <c r="O1742" s="7">
        <f>+(L1743-L1741)</f>
      </c>
      <c r="P1742" s="7">
        <f>SQRT(O1742^2+N1742^2)</f>
      </c>
      <c r="Q1742" s="7">
        <f>N1742/$P1742</f>
      </c>
      <c r="R1742" s="7">
        <f>O1742/$P1742</f>
      </c>
      <c r="S1742" s="8">
        <f>Q1742^2+R1742^2</f>
      </c>
      <c r="T1742" s="7">
        <f>-R1742</f>
      </c>
      <c r="U1742" s="7">
        <f>Q1742</f>
      </c>
      <c r="V1742" s="7">
        <f>($C$14+($C$15-$C$14)/($D$15-$D$14)*(I1742-$D$14))/2</f>
      </c>
      <c r="W1742" s="7">
        <f>($B$22*I1742^4+$C$22*I1742^3+$D$22*I1742^2+$E$22*I1742+$F$22)/2</f>
      </c>
      <c r="X1742" s="7">
        <f>($W1742)*(T1742)</f>
      </c>
      <c r="Y1742" s="7">
        <f>($W1742)*(U1742)</f>
      </c>
      <c r="Z1742" s="7">
        <f>SQRT(X1742^2+Y1742^2)</f>
      </c>
      <c r="AA1742" s="7">
        <f>$K1742+$X1742</f>
      </c>
      <c r="AB1742" s="7">
        <f>$L1742+$Y1742</f>
      </c>
      <c r="AC1742" s="7">
        <f>$K1742-$X1742</f>
      </c>
      <c r="AD1742" s="7">
        <f>$L1742-$Y1742</f>
      </c>
      <c r="AE1742" s="7">
        <f>AA1742/39.3701</f>
      </c>
      <c r="AF1742" s="7">
        <f>AB1742/39.3701</f>
      </c>
      <c r="AG1742" s="7">
        <f>AC1742/39.3701</f>
      </c>
      <c r="AH1742" s="7">
        <f>AD1742/39.3701</f>
      </c>
      <c r="AI1742" s="1"/>
      <c r="AJ1742" s="1"/>
      <c r="AK1742" s="1"/>
      <c r="AL1742" s="1"/>
      <c r="AM1742" s="2"/>
      <c r="AN1742" s="1"/>
      <c r="AO1742" s="1"/>
      <c r="AP1742" s="1"/>
      <c r="AQ1742" s="1"/>
      <c r="AR1742" s="1"/>
      <c r="AS1742" s="1"/>
      <c r="AT1742" s="1"/>
      <c r="AU1742" s="1"/>
      <c r="AV1742" s="1"/>
      <c r="AW1742" s="1"/>
      <c r="AX1742" s="1"/>
      <c r="AY1742" s="1"/>
      <c r="AZ1742" s="1"/>
      <c r="BA1742" s="1"/>
      <c r="BB1742" s="1"/>
      <c r="BC1742" s="1"/>
      <c r="BD1742" s="1"/>
      <c r="BE1742" s="1"/>
    </row>
    <row x14ac:dyDescent="0.25" r="1743" customHeight="1" ht="18.75">
      <c r="A1743" s="1"/>
      <c r="B1743" s="2"/>
      <c r="C1743" s="2"/>
      <c r="D1743" s="2"/>
      <c r="E1743" s="2"/>
      <c r="F1743" s="2"/>
      <c r="G1743" s="1"/>
      <c r="H1743" s="1"/>
      <c r="I1743" s="7">
        <v>1.74</v>
      </c>
      <c r="J1743" s="7">
        <f>IF((I1743-ROUNDDOWN(I1743,0))=0, 0, (I1743-ROUNDDOWN(I1743,0)))</f>
      </c>
      <c r="K1743" s="7">
        <f>INDIRECT("C$"&amp;2+MIN(2,ROUNDDOWN(I1743,0))*3)*(-$J1743^3+3*$J1743^2-3*$J1743+1)+INDIRECT("C$"&amp;3+MIN(2,ROUNDDOWN(I1743,0))*3)*(3*$J1743^3-6*$J1743^2+3*$J1743)+INDIRECT("C$"&amp;4+MIN(2,ROUNDDOWN(I1743,0))*3)*(-3*$J1743^3+3*$J1743^2)+INDIRECT("C$"&amp;5+MIN(2,ROUNDDOWN(I1743,0))*3)*$J1743^3</f>
      </c>
      <c r="L1743" s="7">
        <f>INDIRECT("D$"&amp;2+MIN(2,ROUNDDOWN(I1743,0))*3)*(-$J1743^3+3*$J1743^2-3*$J1743+1)+INDIRECT("D$"&amp;3+MIN(2,ROUNDDOWN(I1743,0))*3)*(3*$J1743^3-6*$J1743^2+3*$J1743)+INDIRECT("D$"&amp;4+MIN(2,ROUNDDOWN(I1743,0))*3)*(-3*$J1743^3+3*$J1743^2)+INDIRECT("D$"&amp;5+MIN(2,ROUNDDOWN(I1743,0))*3)*$J1743^3</f>
      </c>
      <c r="M1743" s="7">
        <f>SQRT(K1743^2+L1743^2)</f>
      </c>
      <c r="N1743" s="7">
        <f>(K1744-K1742)</f>
      </c>
      <c r="O1743" s="7">
        <f>+(L1744-L1742)</f>
      </c>
      <c r="P1743" s="7">
        <f>SQRT(O1743^2+N1743^2)</f>
      </c>
      <c r="Q1743" s="7">
        <f>N1743/$P1743</f>
      </c>
      <c r="R1743" s="7">
        <f>O1743/$P1743</f>
      </c>
      <c r="S1743" s="7">
        <f>Q1743^2+R1743^2</f>
      </c>
      <c r="T1743" s="7">
        <f>-R1743</f>
      </c>
      <c r="U1743" s="7">
        <f>Q1743</f>
      </c>
      <c r="V1743" s="7">
        <f>($C$14+($C$15-$C$14)/($D$15-$D$14)*(I1743-$D$14))/2</f>
      </c>
      <c r="W1743" s="7">
        <f>($B$22*I1743^4+$C$22*I1743^3+$D$22*I1743^2+$E$22*I1743+$F$22)/2</f>
      </c>
      <c r="X1743" s="7">
        <f>($W1743)*(T1743)</f>
      </c>
      <c r="Y1743" s="7">
        <f>($W1743)*(U1743)</f>
      </c>
      <c r="Z1743" s="7">
        <f>SQRT(X1743^2+Y1743^2)</f>
      </c>
      <c r="AA1743" s="7">
        <f>$K1743+$X1743</f>
      </c>
      <c r="AB1743" s="7">
        <f>$L1743+$Y1743</f>
      </c>
      <c r="AC1743" s="7">
        <f>$K1743-$X1743</f>
      </c>
      <c r="AD1743" s="7">
        <f>$L1743-$Y1743</f>
      </c>
      <c r="AE1743" s="7">
        <f>AA1743/39.3701</f>
      </c>
      <c r="AF1743" s="7">
        <f>AB1743/39.3701</f>
      </c>
      <c r="AG1743" s="7">
        <f>AC1743/39.3701</f>
      </c>
      <c r="AH1743" s="7">
        <f>AD1743/39.3701</f>
      </c>
      <c r="AI1743" s="1"/>
      <c r="AJ1743" s="1"/>
      <c r="AK1743" s="1"/>
      <c r="AL1743" s="1"/>
      <c r="AM1743" s="2"/>
      <c r="AN1743" s="1"/>
      <c r="AO1743" s="1"/>
      <c r="AP1743" s="1"/>
      <c r="AQ1743" s="1"/>
      <c r="AR1743" s="1"/>
      <c r="AS1743" s="1"/>
      <c r="AT1743" s="1"/>
      <c r="AU1743" s="1"/>
      <c r="AV1743" s="1"/>
      <c r="AW1743" s="1"/>
      <c r="AX1743" s="1"/>
      <c r="AY1743" s="1"/>
      <c r="AZ1743" s="1"/>
      <c r="BA1743" s="1"/>
      <c r="BB1743" s="1"/>
      <c r="BC1743" s="1"/>
      <c r="BD1743" s="1"/>
      <c r="BE1743" s="1"/>
    </row>
    <row x14ac:dyDescent="0.25" r="1744" customHeight="1" ht="18.75">
      <c r="A1744" s="1"/>
      <c r="B1744" s="2"/>
      <c r="C1744" s="2"/>
      <c r="D1744" s="2"/>
      <c r="E1744" s="2"/>
      <c r="F1744" s="2"/>
      <c r="G1744" s="1"/>
      <c r="H1744" s="1"/>
      <c r="I1744" s="7">
        <v>1.741</v>
      </c>
      <c r="J1744" s="7">
        <f>IF((I1744-ROUNDDOWN(I1744,0))=0, 0, (I1744-ROUNDDOWN(I1744,0)))</f>
      </c>
      <c r="K1744" s="7">
        <f>INDIRECT("C$"&amp;2+MIN(2,ROUNDDOWN(I1744,0))*3)*(-$J1744^3+3*$J1744^2-3*$J1744+1)+INDIRECT("C$"&amp;3+MIN(2,ROUNDDOWN(I1744,0))*3)*(3*$J1744^3-6*$J1744^2+3*$J1744)+INDIRECT("C$"&amp;4+MIN(2,ROUNDDOWN(I1744,0))*3)*(-3*$J1744^3+3*$J1744^2)+INDIRECT("C$"&amp;5+MIN(2,ROUNDDOWN(I1744,0))*3)*$J1744^3</f>
      </c>
      <c r="L1744" s="7">
        <f>INDIRECT("D$"&amp;2+MIN(2,ROUNDDOWN(I1744,0))*3)*(-$J1744^3+3*$J1744^2-3*$J1744+1)+INDIRECT("D$"&amp;3+MIN(2,ROUNDDOWN(I1744,0))*3)*(3*$J1744^3-6*$J1744^2+3*$J1744)+INDIRECT("D$"&amp;4+MIN(2,ROUNDDOWN(I1744,0))*3)*(-3*$J1744^3+3*$J1744^2)+INDIRECT("D$"&amp;5+MIN(2,ROUNDDOWN(I1744,0))*3)*$J1744^3</f>
      </c>
      <c r="M1744" s="7">
        <f>SQRT(K1744^2+L1744^2)</f>
      </c>
      <c r="N1744" s="7">
        <f>(K1745-K1743)</f>
      </c>
      <c r="O1744" s="7">
        <f>+(L1745-L1743)</f>
      </c>
      <c r="P1744" s="7">
        <f>SQRT(O1744^2+N1744^2)</f>
      </c>
      <c r="Q1744" s="7">
        <f>N1744/$P1744</f>
      </c>
      <c r="R1744" s="7">
        <f>O1744/$P1744</f>
      </c>
      <c r="S1744" s="8">
        <f>Q1744^2+R1744^2</f>
      </c>
      <c r="T1744" s="7">
        <f>-R1744</f>
      </c>
      <c r="U1744" s="7">
        <f>Q1744</f>
      </c>
      <c r="V1744" s="7">
        <f>($C$14+($C$15-$C$14)/($D$15-$D$14)*(I1744-$D$14))/2</f>
      </c>
      <c r="W1744" s="7">
        <f>($B$22*I1744^4+$C$22*I1744^3+$D$22*I1744^2+$E$22*I1744+$F$22)/2</f>
      </c>
      <c r="X1744" s="7">
        <f>($W1744)*(T1744)</f>
      </c>
      <c r="Y1744" s="7">
        <f>($W1744)*(U1744)</f>
      </c>
      <c r="Z1744" s="7">
        <f>SQRT(X1744^2+Y1744^2)</f>
      </c>
      <c r="AA1744" s="7">
        <f>$K1744+$X1744</f>
      </c>
      <c r="AB1744" s="7">
        <f>$L1744+$Y1744</f>
      </c>
      <c r="AC1744" s="7">
        <f>$K1744-$X1744</f>
      </c>
      <c r="AD1744" s="7">
        <f>$L1744-$Y1744</f>
      </c>
      <c r="AE1744" s="7">
        <f>AA1744/39.3701</f>
      </c>
      <c r="AF1744" s="7">
        <f>AB1744/39.3701</f>
      </c>
      <c r="AG1744" s="7">
        <f>AC1744/39.3701</f>
      </c>
      <c r="AH1744" s="7">
        <f>AD1744/39.3701</f>
      </c>
      <c r="AI1744" s="1"/>
      <c r="AJ1744" s="1"/>
      <c r="AK1744" s="1"/>
      <c r="AL1744" s="1"/>
      <c r="AM1744" s="2"/>
      <c r="AN1744" s="1"/>
      <c r="AO1744" s="1"/>
      <c r="AP1744" s="1"/>
      <c r="AQ1744" s="1"/>
      <c r="AR1744" s="1"/>
      <c r="AS1744" s="1"/>
      <c r="AT1744" s="1"/>
      <c r="AU1744" s="1"/>
      <c r="AV1744" s="1"/>
      <c r="AW1744" s="1"/>
      <c r="AX1744" s="1"/>
      <c r="AY1744" s="1"/>
      <c r="AZ1744" s="1"/>
      <c r="BA1744" s="1"/>
      <c r="BB1744" s="1"/>
      <c r="BC1744" s="1"/>
      <c r="BD1744" s="1"/>
      <c r="BE1744" s="1"/>
    </row>
    <row x14ac:dyDescent="0.25" r="1745" customHeight="1" ht="18.75">
      <c r="A1745" s="1"/>
      <c r="B1745" s="2"/>
      <c r="C1745" s="2"/>
      <c r="D1745" s="2"/>
      <c r="E1745" s="2"/>
      <c r="F1745" s="2"/>
      <c r="G1745" s="1"/>
      <c r="H1745" s="1"/>
      <c r="I1745" s="7">
        <v>1.742</v>
      </c>
      <c r="J1745" s="7">
        <f>IF((I1745-ROUNDDOWN(I1745,0))=0, 0, (I1745-ROUNDDOWN(I1745,0)))</f>
      </c>
      <c r="K1745" s="7">
        <f>INDIRECT("C$"&amp;2+MIN(2,ROUNDDOWN(I1745,0))*3)*(-$J1745^3+3*$J1745^2-3*$J1745+1)+INDIRECT("C$"&amp;3+MIN(2,ROUNDDOWN(I1745,0))*3)*(3*$J1745^3-6*$J1745^2+3*$J1745)+INDIRECT("C$"&amp;4+MIN(2,ROUNDDOWN(I1745,0))*3)*(-3*$J1745^3+3*$J1745^2)+INDIRECT("C$"&amp;5+MIN(2,ROUNDDOWN(I1745,0))*3)*$J1745^3</f>
      </c>
      <c r="L1745" s="7">
        <f>INDIRECT("D$"&amp;2+MIN(2,ROUNDDOWN(I1745,0))*3)*(-$J1745^3+3*$J1745^2-3*$J1745+1)+INDIRECT("D$"&amp;3+MIN(2,ROUNDDOWN(I1745,0))*3)*(3*$J1745^3-6*$J1745^2+3*$J1745)+INDIRECT("D$"&amp;4+MIN(2,ROUNDDOWN(I1745,0))*3)*(-3*$J1745^3+3*$J1745^2)+INDIRECT("D$"&amp;5+MIN(2,ROUNDDOWN(I1745,0))*3)*$J1745^3</f>
      </c>
      <c r="M1745" s="7">
        <f>SQRT(K1745^2+L1745^2)</f>
      </c>
      <c r="N1745" s="7">
        <f>(K1746-K1744)</f>
      </c>
      <c r="O1745" s="7">
        <f>+(L1746-L1744)</f>
      </c>
      <c r="P1745" s="7">
        <f>SQRT(O1745^2+N1745^2)</f>
      </c>
      <c r="Q1745" s="7">
        <f>N1745/$P1745</f>
      </c>
      <c r="R1745" s="7">
        <f>O1745/$P1745</f>
      </c>
      <c r="S1745" s="7">
        <f>Q1745^2+R1745^2</f>
      </c>
      <c r="T1745" s="7">
        <f>-R1745</f>
      </c>
      <c r="U1745" s="7">
        <f>Q1745</f>
      </c>
      <c r="V1745" s="7">
        <f>($C$14+($C$15-$C$14)/($D$15-$D$14)*(I1745-$D$14))/2</f>
      </c>
      <c r="W1745" s="7">
        <f>($B$22*I1745^4+$C$22*I1745^3+$D$22*I1745^2+$E$22*I1745+$F$22)/2</f>
      </c>
      <c r="X1745" s="7">
        <f>($W1745)*(T1745)</f>
      </c>
      <c r="Y1745" s="7">
        <f>($W1745)*(U1745)</f>
      </c>
      <c r="Z1745" s="7">
        <f>SQRT(X1745^2+Y1745^2)</f>
      </c>
      <c r="AA1745" s="7">
        <f>$K1745+$X1745</f>
      </c>
      <c r="AB1745" s="7">
        <f>$L1745+$Y1745</f>
      </c>
      <c r="AC1745" s="7">
        <f>$K1745-$X1745</f>
      </c>
      <c r="AD1745" s="7">
        <f>$L1745-$Y1745</f>
      </c>
      <c r="AE1745" s="7">
        <f>AA1745/39.3701</f>
      </c>
      <c r="AF1745" s="7">
        <f>AB1745/39.3701</f>
      </c>
      <c r="AG1745" s="7">
        <f>AC1745/39.3701</f>
      </c>
      <c r="AH1745" s="7">
        <f>AD1745/39.3701</f>
      </c>
      <c r="AI1745" s="1"/>
      <c r="AJ1745" s="1"/>
      <c r="AK1745" s="1"/>
      <c r="AL1745" s="1"/>
      <c r="AM1745" s="2"/>
      <c r="AN1745" s="1"/>
      <c r="AO1745" s="1"/>
      <c r="AP1745" s="1"/>
      <c r="AQ1745" s="1"/>
      <c r="AR1745" s="1"/>
      <c r="AS1745" s="1"/>
      <c r="AT1745" s="1"/>
      <c r="AU1745" s="1"/>
      <c r="AV1745" s="1"/>
      <c r="AW1745" s="1"/>
      <c r="AX1745" s="1"/>
      <c r="AY1745" s="1"/>
      <c r="AZ1745" s="1"/>
      <c r="BA1745" s="1"/>
      <c r="BB1745" s="1"/>
      <c r="BC1745" s="1"/>
      <c r="BD1745" s="1"/>
      <c r="BE1745" s="1"/>
    </row>
    <row x14ac:dyDescent="0.25" r="1746" customHeight="1" ht="18.75">
      <c r="A1746" s="1"/>
      <c r="B1746" s="2"/>
      <c r="C1746" s="2"/>
      <c r="D1746" s="2"/>
      <c r="E1746" s="2"/>
      <c r="F1746" s="2"/>
      <c r="G1746" s="1"/>
      <c r="H1746" s="1"/>
      <c r="I1746" s="7">
        <v>1.743</v>
      </c>
      <c r="J1746" s="7">
        <f>IF((I1746-ROUNDDOWN(I1746,0))=0, 0, (I1746-ROUNDDOWN(I1746,0)))</f>
      </c>
      <c r="K1746" s="7">
        <f>INDIRECT("C$"&amp;2+MIN(2,ROUNDDOWN(I1746,0))*3)*(-$J1746^3+3*$J1746^2-3*$J1746+1)+INDIRECT("C$"&amp;3+MIN(2,ROUNDDOWN(I1746,0))*3)*(3*$J1746^3-6*$J1746^2+3*$J1746)+INDIRECT("C$"&amp;4+MIN(2,ROUNDDOWN(I1746,0))*3)*(-3*$J1746^3+3*$J1746^2)+INDIRECT("C$"&amp;5+MIN(2,ROUNDDOWN(I1746,0))*3)*$J1746^3</f>
      </c>
      <c r="L1746" s="7">
        <f>INDIRECT("D$"&amp;2+MIN(2,ROUNDDOWN(I1746,0))*3)*(-$J1746^3+3*$J1746^2-3*$J1746+1)+INDIRECT("D$"&amp;3+MIN(2,ROUNDDOWN(I1746,0))*3)*(3*$J1746^3-6*$J1746^2+3*$J1746)+INDIRECT("D$"&amp;4+MIN(2,ROUNDDOWN(I1746,0))*3)*(-3*$J1746^3+3*$J1746^2)+INDIRECT("D$"&amp;5+MIN(2,ROUNDDOWN(I1746,0))*3)*$J1746^3</f>
      </c>
      <c r="M1746" s="7">
        <f>SQRT(K1746^2+L1746^2)</f>
      </c>
      <c r="N1746" s="7">
        <f>(K1747-K1745)</f>
      </c>
      <c r="O1746" s="7">
        <f>+(L1747-L1745)</f>
      </c>
      <c r="P1746" s="7">
        <f>SQRT(O1746^2+N1746^2)</f>
      </c>
      <c r="Q1746" s="7">
        <f>N1746/$P1746</f>
      </c>
      <c r="R1746" s="7">
        <f>O1746/$P1746</f>
      </c>
      <c r="S1746" s="7">
        <f>Q1746^2+R1746^2</f>
      </c>
      <c r="T1746" s="7">
        <f>-R1746</f>
      </c>
      <c r="U1746" s="7">
        <f>Q1746</f>
      </c>
      <c r="V1746" s="7">
        <f>($C$14+($C$15-$C$14)/($D$15-$D$14)*(I1746-$D$14))/2</f>
      </c>
      <c r="W1746" s="7">
        <f>($B$22*I1746^4+$C$22*I1746^3+$D$22*I1746^2+$E$22*I1746+$F$22)/2</f>
      </c>
      <c r="X1746" s="7">
        <f>($W1746)*(T1746)</f>
      </c>
      <c r="Y1746" s="7">
        <f>($W1746)*(U1746)</f>
      </c>
      <c r="Z1746" s="7">
        <f>SQRT(X1746^2+Y1746^2)</f>
      </c>
      <c r="AA1746" s="7">
        <f>$K1746+$X1746</f>
      </c>
      <c r="AB1746" s="7">
        <f>$L1746+$Y1746</f>
      </c>
      <c r="AC1746" s="7">
        <f>$K1746-$X1746</f>
      </c>
      <c r="AD1746" s="7">
        <f>$L1746-$Y1746</f>
      </c>
      <c r="AE1746" s="7">
        <f>AA1746/39.3701</f>
      </c>
      <c r="AF1746" s="7">
        <f>AB1746/39.3701</f>
      </c>
      <c r="AG1746" s="7">
        <f>AC1746/39.3701</f>
      </c>
      <c r="AH1746" s="7">
        <f>AD1746/39.3701</f>
      </c>
      <c r="AI1746" s="1"/>
      <c r="AJ1746" s="1"/>
      <c r="AK1746" s="1"/>
      <c r="AL1746" s="1"/>
      <c r="AM1746" s="2"/>
      <c r="AN1746" s="1"/>
      <c r="AO1746" s="1"/>
      <c r="AP1746" s="1"/>
      <c r="AQ1746" s="1"/>
      <c r="AR1746" s="1"/>
      <c r="AS1746" s="1"/>
      <c r="AT1746" s="1"/>
      <c r="AU1746" s="1"/>
      <c r="AV1746" s="1"/>
      <c r="AW1746" s="1"/>
      <c r="AX1746" s="1"/>
      <c r="AY1746" s="1"/>
      <c r="AZ1746" s="1"/>
      <c r="BA1746" s="1"/>
      <c r="BB1746" s="1"/>
      <c r="BC1746" s="1"/>
      <c r="BD1746" s="1"/>
      <c r="BE1746" s="1"/>
    </row>
    <row x14ac:dyDescent="0.25" r="1747" customHeight="1" ht="18.75">
      <c r="A1747" s="1"/>
      <c r="B1747" s="2"/>
      <c r="C1747" s="2"/>
      <c r="D1747" s="2"/>
      <c r="E1747" s="2"/>
      <c r="F1747" s="2"/>
      <c r="G1747" s="1"/>
      <c r="H1747" s="1"/>
      <c r="I1747" s="7">
        <v>1.744</v>
      </c>
      <c r="J1747" s="7">
        <f>IF((I1747-ROUNDDOWN(I1747,0))=0, 0, (I1747-ROUNDDOWN(I1747,0)))</f>
      </c>
      <c r="K1747" s="7">
        <f>INDIRECT("C$"&amp;2+MIN(2,ROUNDDOWN(I1747,0))*3)*(-$J1747^3+3*$J1747^2-3*$J1747+1)+INDIRECT("C$"&amp;3+MIN(2,ROUNDDOWN(I1747,0))*3)*(3*$J1747^3-6*$J1747^2+3*$J1747)+INDIRECT("C$"&amp;4+MIN(2,ROUNDDOWN(I1747,0))*3)*(-3*$J1747^3+3*$J1747^2)+INDIRECT("C$"&amp;5+MIN(2,ROUNDDOWN(I1747,0))*3)*$J1747^3</f>
      </c>
      <c r="L1747" s="7">
        <f>INDIRECT("D$"&amp;2+MIN(2,ROUNDDOWN(I1747,0))*3)*(-$J1747^3+3*$J1747^2-3*$J1747+1)+INDIRECT("D$"&amp;3+MIN(2,ROUNDDOWN(I1747,0))*3)*(3*$J1747^3-6*$J1747^2+3*$J1747)+INDIRECT("D$"&amp;4+MIN(2,ROUNDDOWN(I1747,0))*3)*(-3*$J1747^3+3*$J1747^2)+INDIRECT("D$"&amp;5+MIN(2,ROUNDDOWN(I1747,0))*3)*$J1747^3</f>
      </c>
      <c r="M1747" s="7">
        <f>SQRT(K1747^2+L1747^2)</f>
      </c>
      <c r="N1747" s="7">
        <f>(K1748-K1746)</f>
      </c>
      <c r="O1747" s="7">
        <f>+(L1748-L1746)</f>
      </c>
      <c r="P1747" s="7">
        <f>SQRT(O1747^2+N1747^2)</f>
      </c>
      <c r="Q1747" s="7">
        <f>N1747/$P1747</f>
      </c>
      <c r="R1747" s="7">
        <f>O1747/$P1747</f>
      </c>
      <c r="S1747" s="7">
        <f>Q1747^2+R1747^2</f>
      </c>
      <c r="T1747" s="7">
        <f>-R1747</f>
      </c>
      <c r="U1747" s="7">
        <f>Q1747</f>
      </c>
      <c r="V1747" s="7">
        <f>($C$14+($C$15-$C$14)/($D$15-$D$14)*(I1747-$D$14))/2</f>
      </c>
      <c r="W1747" s="7">
        <f>($B$22*I1747^4+$C$22*I1747^3+$D$22*I1747^2+$E$22*I1747+$F$22)/2</f>
      </c>
      <c r="X1747" s="7">
        <f>($W1747)*(T1747)</f>
      </c>
      <c r="Y1747" s="7">
        <f>($W1747)*(U1747)</f>
      </c>
      <c r="Z1747" s="7">
        <f>SQRT(X1747^2+Y1747^2)</f>
      </c>
      <c r="AA1747" s="7">
        <f>$K1747+$X1747</f>
      </c>
      <c r="AB1747" s="7">
        <f>$L1747+$Y1747</f>
      </c>
      <c r="AC1747" s="7">
        <f>$K1747-$X1747</f>
      </c>
      <c r="AD1747" s="7">
        <f>$L1747-$Y1747</f>
      </c>
      <c r="AE1747" s="7">
        <f>AA1747/39.3701</f>
      </c>
      <c r="AF1747" s="7">
        <f>AB1747/39.3701</f>
      </c>
      <c r="AG1747" s="7">
        <f>AC1747/39.3701</f>
      </c>
      <c r="AH1747" s="7">
        <f>AD1747/39.3701</f>
      </c>
      <c r="AI1747" s="1"/>
      <c r="AJ1747" s="1"/>
      <c r="AK1747" s="1"/>
      <c r="AL1747" s="1"/>
      <c r="AM1747" s="2"/>
      <c r="AN1747" s="1"/>
      <c r="AO1747" s="1"/>
      <c r="AP1747" s="1"/>
      <c r="AQ1747" s="1"/>
      <c r="AR1747" s="1"/>
      <c r="AS1747" s="1"/>
      <c r="AT1747" s="1"/>
      <c r="AU1747" s="1"/>
      <c r="AV1747" s="1"/>
      <c r="AW1747" s="1"/>
      <c r="AX1747" s="1"/>
      <c r="AY1747" s="1"/>
      <c r="AZ1747" s="1"/>
      <c r="BA1747" s="1"/>
      <c r="BB1747" s="1"/>
      <c r="BC1747" s="1"/>
      <c r="BD1747" s="1"/>
      <c r="BE1747" s="1"/>
    </row>
    <row x14ac:dyDescent="0.25" r="1748" customHeight="1" ht="18.75">
      <c r="A1748" s="1"/>
      <c r="B1748" s="2"/>
      <c r="C1748" s="2"/>
      <c r="D1748" s="2"/>
      <c r="E1748" s="2"/>
      <c r="F1748" s="2"/>
      <c r="G1748" s="1"/>
      <c r="H1748" s="1"/>
      <c r="I1748" s="7">
        <v>1.745</v>
      </c>
      <c r="J1748" s="7">
        <f>IF((I1748-ROUNDDOWN(I1748,0))=0, 0, (I1748-ROUNDDOWN(I1748,0)))</f>
      </c>
      <c r="K1748" s="7">
        <f>INDIRECT("C$"&amp;2+MIN(2,ROUNDDOWN(I1748,0))*3)*(-$J1748^3+3*$J1748^2-3*$J1748+1)+INDIRECT("C$"&amp;3+MIN(2,ROUNDDOWN(I1748,0))*3)*(3*$J1748^3-6*$J1748^2+3*$J1748)+INDIRECT("C$"&amp;4+MIN(2,ROUNDDOWN(I1748,0))*3)*(-3*$J1748^3+3*$J1748^2)+INDIRECT("C$"&amp;5+MIN(2,ROUNDDOWN(I1748,0))*3)*$J1748^3</f>
      </c>
      <c r="L1748" s="7">
        <f>INDIRECT("D$"&amp;2+MIN(2,ROUNDDOWN(I1748,0))*3)*(-$J1748^3+3*$J1748^2-3*$J1748+1)+INDIRECT("D$"&amp;3+MIN(2,ROUNDDOWN(I1748,0))*3)*(3*$J1748^3-6*$J1748^2+3*$J1748)+INDIRECT("D$"&amp;4+MIN(2,ROUNDDOWN(I1748,0))*3)*(-3*$J1748^3+3*$J1748^2)+INDIRECT("D$"&amp;5+MIN(2,ROUNDDOWN(I1748,0))*3)*$J1748^3</f>
      </c>
      <c r="M1748" s="7">
        <f>SQRT(K1748^2+L1748^2)</f>
      </c>
      <c r="N1748" s="7">
        <f>(K1749-K1747)</f>
      </c>
      <c r="O1748" s="7">
        <f>+(L1749-L1747)</f>
      </c>
      <c r="P1748" s="7">
        <f>SQRT(O1748^2+N1748^2)</f>
      </c>
      <c r="Q1748" s="7">
        <f>N1748/$P1748</f>
      </c>
      <c r="R1748" s="7">
        <f>O1748/$P1748</f>
      </c>
      <c r="S1748" s="8">
        <f>Q1748^2+R1748^2</f>
      </c>
      <c r="T1748" s="7">
        <f>-R1748</f>
      </c>
      <c r="U1748" s="7">
        <f>Q1748</f>
      </c>
      <c r="V1748" s="7">
        <f>($C$14+($C$15-$C$14)/($D$15-$D$14)*(I1748-$D$14))/2</f>
      </c>
      <c r="W1748" s="7">
        <f>($B$22*I1748^4+$C$22*I1748^3+$D$22*I1748^2+$E$22*I1748+$F$22)/2</f>
      </c>
      <c r="X1748" s="7">
        <f>($W1748)*(T1748)</f>
      </c>
      <c r="Y1748" s="7">
        <f>($W1748)*(U1748)</f>
      </c>
      <c r="Z1748" s="7">
        <f>SQRT(X1748^2+Y1748^2)</f>
      </c>
      <c r="AA1748" s="7">
        <f>$K1748+$X1748</f>
      </c>
      <c r="AB1748" s="7">
        <f>$L1748+$Y1748</f>
      </c>
      <c r="AC1748" s="7">
        <f>$K1748-$X1748</f>
      </c>
      <c r="AD1748" s="7">
        <f>$L1748-$Y1748</f>
      </c>
      <c r="AE1748" s="7">
        <f>AA1748/39.3701</f>
      </c>
      <c r="AF1748" s="7">
        <f>AB1748/39.3701</f>
      </c>
      <c r="AG1748" s="7">
        <f>AC1748/39.3701</f>
      </c>
      <c r="AH1748" s="7">
        <f>AD1748/39.3701</f>
      </c>
      <c r="AI1748" s="1"/>
      <c r="AJ1748" s="1"/>
      <c r="AK1748" s="1"/>
      <c r="AL1748" s="1"/>
      <c r="AM1748" s="2"/>
      <c r="AN1748" s="1"/>
      <c r="AO1748" s="1"/>
      <c r="AP1748" s="1"/>
      <c r="AQ1748" s="1"/>
      <c r="AR1748" s="1"/>
      <c r="AS1748" s="1"/>
      <c r="AT1748" s="1"/>
      <c r="AU1748" s="1"/>
      <c r="AV1748" s="1"/>
      <c r="AW1748" s="1"/>
      <c r="AX1748" s="1"/>
      <c r="AY1748" s="1"/>
      <c r="AZ1748" s="1"/>
      <c r="BA1748" s="1"/>
      <c r="BB1748" s="1"/>
      <c r="BC1748" s="1"/>
      <c r="BD1748" s="1"/>
      <c r="BE1748" s="1"/>
    </row>
    <row x14ac:dyDescent="0.25" r="1749" customHeight="1" ht="18.75">
      <c r="A1749" s="1"/>
      <c r="B1749" s="2"/>
      <c r="C1749" s="2"/>
      <c r="D1749" s="2"/>
      <c r="E1749" s="2"/>
      <c r="F1749" s="2"/>
      <c r="G1749" s="1"/>
      <c r="H1749" s="1"/>
      <c r="I1749" s="7">
        <v>1.746</v>
      </c>
      <c r="J1749" s="7">
        <f>IF((I1749-ROUNDDOWN(I1749,0))=0, 0, (I1749-ROUNDDOWN(I1749,0)))</f>
      </c>
      <c r="K1749" s="7">
        <f>INDIRECT("C$"&amp;2+MIN(2,ROUNDDOWN(I1749,0))*3)*(-$J1749^3+3*$J1749^2-3*$J1749+1)+INDIRECT("C$"&amp;3+MIN(2,ROUNDDOWN(I1749,0))*3)*(3*$J1749^3-6*$J1749^2+3*$J1749)+INDIRECT("C$"&amp;4+MIN(2,ROUNDDOWN(I1749,0))*3)*(-3*$J1749^3+3*$J1749^2)+INDIRECT("C$"&amp;5+MIN(2,ROUNDDOWN(I1749,0))*3)*$J1749^3</f>
      </c>
      <c r="L1749" s="7">
        <f>INDIRECT("D$"&amp;2+MIN(2,ROUNDDOWN(I1749,0))*3)*(-$J1749^3+3*$J1749^2-3*$J1749+1)+INDIRECT("D$"&amp;3+MIN(2,ROUNDDOWN(I1749,0))*3)*(3*$J1749^3-6*$J1749^2+3*$J1749)+INDIRECT("D$"&amp;4+MIN(2,ROUNDDOWN(I1749,0))*3)*(-3*$J1749^3+3*$J1749^2)+INDIRECT("D$"&amp;5+MIN(2,ROUNDDOWN(I1749,0))*3)*$J1749^3</f>
      </c>
      <c r="M1749" s="7">
        <f>SQRT(K1749^2+L1749^2)</f>
      </c>
      <c r="N1749" s="7">
        <f>(K1750-K1748)</f>
      </c>
      <c r="O1749" s="7">
        <f>+(L1750-L1748)</f>
      </c>
      <c r="P1749" s="7">
        <f>SQRT(O1749^2+N1749^2)</f>
      </c>
      <c r="Q1749" s="7">
        <f>N1749/$P1749</f>
      </c>
      <c r="R1749" s="7">
        <f>O1749/$P1749</f>
      </c>
      <c r="S1749" s="7">
        <f>Q1749^2+R1749^2</f>
      </c>
      <c r="T1749" s="7">
        <f>-R1749</f>
      </c>
      <c r="U1749" s="7">
        <f>Q1749</f>
      </c>
      <c r="V1749" s="7">
        <f>($C$14+($C$15-$C$14)/($D$15-$D$14)*(I1749-$D$14))/2</f>
      </c>
      <c r="W1749" s="7">
        <f>($B$22*I1749^4+$C$22*I1749^3+$D$22*I1749^2+$E$22*I1749+$F$22)/2</f>
      </c>
      <c r="X1749" s="7">
        <f>($W1749)*(T1749)</f>
      </c>
      <c r="Y1749" s="7">
        <f>($W1749)*(U1749)</f>
      </c>
      <c r="Z1749" s="7">
        <f>SQRT(X1749^2+Y1749^2)</f>
      </c>
      <c r="AA1749" s="7">
        <f>$K1749+$X1749</f>
      </c>
      <c r="AB1749" s="7">
        <f>$L1749+$Y1749</f>
      </c>
      <c r="AC1749" s="7">
        <f>$K1749-$X1749</f>
      </c>
      <c r="AD1749" s="7">
        <f>$L1749-$Y1749</f>
      </c>
      <c r="AE1749" s="7">
        <f>AA1749/39.3701</f>
      </c>
      <c r="AF1749" s="7">
        <f>AB1749/39.3701</f>
      </c>
      <c r="AG1749" s="7">
        <f>AC1749/39.3701</f>
      </c>
      <c r="AH1749" s="7">
        <f>AD1749/39.3701</f>
      </c>
      <c r="AI1749" s="1"/>
      <c r="AJ1749" s="1"/>
      <c r="AK1749" s="1"/>
      <c r="AL1749" s="1"/>
      <c r="AM1749" s="2"/>
      <c r="AN1749" s="1"/>
      <c r="AO1749" s="1"/>
      <c r="AP1749" s="1"/>
      <c r="AQ1749" s="1"/>
      <c r="AR1749" s="1"/>
      <c r="AS1749" s="1"/>
      <c r="AT1749" s="1"/>
      <c r="AU1749" s="1"/>
      <c r="AV1749" s="1"/>
      <c r="AW1749" s="1"/>
      <c r="AX1749" s="1"/>
      <c r="AY1749" s="1"/>
      <c r="AZ1749" s="1"/>
      <c r="BA1749" s="1"/>
      <c r="BB1749" s="1"/>
      <c r="BC1749" s="1"/>
      <c r="BD1749" s="1"/>
      <c r="BE1749" s="1"/>
    </row>
    <row x14ac:dyDescent="0.25" r="1750" customHeight="1" ht="18.75">
      <c r="A1750" s="1"/>
      <c r="B1750" s="2"/>
      <c r="C1750" s="2"/>
      <c r="D1750" s="2"/>
      <c r="E1750" s="2"/>
      <c r="F1750" s="2"/>
      <c r="G1750" s="1"/>
      <c r="H1750" s="1"/>
      <c r="I1750" s="7">
        <v>1.747</v>
      </c>
      <c r="J1750" s="7">
        <f>IF((I1750-ROUNDDOWN(I1750,0))=0, 0, (I1750-ROUNDDOWN(I1750,0)))</f>
      </c>
      <c r="K1750" s="7">
        <f>INDIRECT("C$"&amp;2+MIN(2,ROUNDDOWN(I1750,0))*3)*(-$J1750^3+3*$J1750^2-3*$J1750+1)+INDIRECT("C$"&amp;3+MIN(2,ROUNDDOWN(I1750,0))*3)*(3*$J1750^3-6*$J1750^2+3*$J1750)+INDIRECT("C$"&amp;4+MIN(2,ROUNDDOWN(I1750,0))*3)*(-3*$J1750^3+3*$J1750^2)+INDIRECT("C$"&amp;5+MIN(2,ROUNDDOWN(I1750,0))*3)*$J1750^3</f>
      </c>
      <c r="L1750" s="7">
        <f>INDIRECT("D$"&amp;2+MIN(2,ROUNDDOWN(I1750,0))*3)*(-$J1750^3+3*$J1750^2-3*$J1750+1)+INDIRECT("D$"&amp;3+MIN(2,ROUNDDOWN(I1750,0))*3)*(3*$J1750^3-6*$J1750^2+3*$J1750)+INDIRECT("D$"&amp;4+MIN(2,ROUNDDOWN(I1750,0))*3)*(-3*$J1750^3+3*$J1750^2)+INDIRECT("D$"&amp;5+MIN(2,ROUNDDOWN(I1750,0))*3)*$J1750^3</f>
      </c>
      <c r="M1750" s="7">
        <f>SQRT(K1750^2+L1750^2)</f>
      </c>
      <c r="N1750" s="7">
        <f>(K1751-K1749)</f>
      </c>
      <c r="O1750" s="7">
        <f>+(L1751-L1749)</f>
      </c>
      <c r="P1750" s="7">
        <f>SQRT(O1750^2+N1750^2)</f>
      </c>
      <c r="Q1750" s="7">
        <f>N1750/$P1750</f>
      </c>
      <c r="R1750" s="7">
        <f>O1750/$P1750</f>
      </c>
      <c r="S1750" s="8">
        <f>Q1750^2+R1750^2</f>
      </c>
      <c r="T1750" s="7">
        <f>-R1750</f>
      </c>
      <c r="U1750" s="7">
        <f>Q1750</f>
      </c>
      <c r="V1750" s="7">
        <f>($C$14+($C$15-$C$14)/($D$15-$D$14)*(I1750-$D$14))/2</f>
      </c>
      <c r="W1750" s="7">
        <f>($B$22*I1750^4+$C$22*I1750^3+$D$22*I1750^2+$E$22*I1750+$F$22)/2</f>
      </c>
      <c r="X1750" s="7">
        <f>($W1750)*(T1750)</f>
      </c>
      <c r="Y1750" s="7">
        <f>($W1750)*(U1750)</f>
      </c>
      <c r="Z1750" s="7">
        <f>SQRT(X1750^2+Y1750^2)</f>
      </c>
      <c r="AA1750" s="7">
        <f>$K1750+$X1750</f>
      </c>
      <c r="AB1750" s="7">
        <f>$L1750+$Y1750</f>
      </c>
      <c r="AC1750" s="7">
        <f>$K1750-$X1750</f>
      </c>
      <c r="AD1750" s="7">
        <f>$L1750-$Y1750</f>
      </c>
      <c r="AE1750" s="7">
        <f>AA1750/39.3701</f>
      </c>
      <c r="AF1750" s="7">
        <f>AB1750/39.3701</f>
      </c>
      <c r="AG1750" s="7">
        <f>AC1750/39.3701</f>
      </c>
      <c r="AH1750" s="7">
        <f>AD1750/39.3701</f>
      </c>
      <c r="AI1750" s="1"/>
      <c r="AJ1750" s="1"/>
      <c r="AK1750" s="1"/>
      <c r="AL1750" s="1"/>
      <c r="AM1750" s="2"/>
      <c r="AN1750" s="1"/>
      <c r="AO1750" s="1"/>
      <c r="AP1750" s="1"/>
      <c r="AQ1750" s="1"/>
      <c r="AR1750" s="1"/>
      <c r="AS1750" s="1"/>
      <c r="AT1750" s="1"/>
      <c r="AU1750" s="1"/>
      <c r="AV1750" s="1"/>
      <c r="AW1750" s="1"/>
      <c r="AX1750" s="1"/>
      <c r="AY1750" s="1"/>
      <c r="AZ1750" s="1"/>
      <c r="BA1750" s="1"/>
      <c r="BB1750" s="1"/>
      <c r="BC1750" s="1"/>
      <c r="BD1750" s="1"/>
      <c r="BE1750" s="1"/>
    </row>
    <row x14ac:dyDescent="0.25" r="1751" customHeight="1" ht="18.75">
      <c r="A1751" s="1"/>
      <c r="B1751" s="2"/>
      <c r="C1751" s="2"/>
      <c r="D1751" s="2"/>
      <c r="E1751" s="2"/>
      <c r="F1751" s="2"/>
      <c r="G1751" s="1"/>
      <c r="H1751" s="1"/>
      <c r="I1751" s="7">
        <v>1.748</v>
      </c>
      <c r="J1751" s="7">
        <f>IF((I1751-ROUNDDOWN(I1751,0))=0, 0, (I1751-ROUNDDOWN(I1751,0)))</f>
      </c>
      <c r="K1751" s="7">
        <f>INDIRECT("C$"&amp;2+MIN(2,ROUNDDOWN(I1751,0))*3)*(-$J1751^3+3*$J1751^2-3*$J1751+1)+INDIRECT("C$"&amp;3+MIN(2,ROUNDDOWN(I1751,0))*3)*(3*$J1751^3-6*$J1751^2+3*$J1751)+INDIRECT("C$"&amp;4+MIN(2,ROUNDDOWN(I1751,0))*3)*(-3*$J1751^3+3*$J1751^2)+INDIRECT("C$"&amp;5+MIN(2,ROUNDDOWN(I1751,0))*3)*$J1751^3</f>
      </c>
      <c r="L1751" s="7">
        <f>INDIRECT("D$"&amp;2+MIN(2,ROUNDDOWN(I1751,0))*3)*(-$J1751^3+3*$J1751^2-3*$J1751+1)+INDIRECT("D$"&amp;3+MIN(2,ROUNDDOWN(I1751,0))*3)*(3*$J1751^3-6*$J1751^2+3*$J1751)+INDIRECT("D$"&amp;4+MIN(2,ROUNDDOWN(I1751,0))*3)*(-3*$J1751^3+3*$J1751^2)+INDIRECT("D$"&amp;5+MIN(2,ROUNDDOWN(I1751,0))*3)*$J1751^3</f>
      </c>
      <c r="M1751" s="7">
        <f>SQRT(K1751^2+L1751^2)</f>
      </c>
      <c r="N1751" s="7">
        <f>(K1752-K1750)</f>
      </c>
      <c r="O1751" s="7">
        <f>+(L1752-L1750)</f>
      </c>
      <c r="P1751" s="7">
        <f>SQRT(O1751^2+N1751^2)</f>
      </c>
      <c r="Q1751" s="7">
        <f>N1751/$P1751</f>
      </c>
      <c r="R1751" s="7">
        <f>O1751/$P1751</f>
      </c>
      <c r="S1751" s="7">
        <f>Q1751^2+R1751^2</f>
      </c>
      <c r="T1751" s="7">
        <f>-R1751</f>
      </c>
      <c r="U1751" s="7">
        <f>Q1751</f>
      </c>
      <c r="V1751" s="7">
        <f>($C$14+($C$15-$C$14)/($D$15-$D$14)*(I1751-$D$14))/2</f>
      </c>
      <c r="W1751" s="7">
        <f>($B$22*I1751^4+$C$22*I1751^3+$D$22*I1751^2+$E$22*I1751+$F$22)/2</f>
      </c>
      <c r="X1751" s="7">
        <f>($W1751)*(T1751)</f>
      </c>
      <c r="Y1751" s="7">
        <f>($W1751)*(U1751)</f>
      </c>
      <c r="Z1751" s="7">
        <f>SQRT(X1751^2+Y1751^2)</f>
      </c>
      <c r="AA1751" s="7">
        <f>$K1751+$X1751</f>
      </c>
      <c r="AB1751" s="7">
        <f>$L1751+$Y1751</f>
      </c>
      <c r="AC1751" s="7">
        <f>$K1751-$X1751</f>
      </c>
      <c r="AD1751" s="7">
        <f>$L1751-$Y1751</f>
      </c>
      <c r="AE1751" s="7">
        <f>AA1751/39.3701</f>
      </c>
      <c r="AF1751" s="7">
        <f>AB1751/39.3701</f>
      </c>
      <c r="AG1751" s="7">
        <f>AC1751/39.3701</f>
      </c>
      <c r="AH1751" s="7">
        <f>AD1751/39.3701</f>
      </c>
      <c r="AI1751" s="1"/>
      <c r="AJ1751" s="1"/>
      <c r="AK1751" s="1"/>
      <c r="AL1751" s="1"/>
      <c r="AM1751" s="2"/>
      <c r="AN1751" s="1"/>
      <c r="AO1751" s="1"/>
      <c r="AP1751" s="1"/>
      <c r="AQ1751" s="1"/>
      <c r="AR1751" s="1"/>
      <c r="AS1751" s="1"/>
      <c r="AT1751" s="1"/>
      <c r="AU1751" s="1"/>
      <c r="AV1751" s="1"/>
      <c r="AW1751" s="1"/>
      <c r="AX1751" s="1"/>
      <c r="AY1751" s="1"/>
      <c r="AZ1751" s="1"/>
      <c r="BA1751" s="1"/>
      <c r="BB1751" s="1"/>
      <c r="BC1751" s="1"/>
      <c r="BD1751" s="1"/>
      <c r="BE1751" s="1"/>
    </row>
    <row x14ac:dyDescent="0.25" r="1752" customHeight="1" ht="18.75">
      <c r="A1752" s="1"/>
      <c r="B1752" s="2"/>
      <c r="C1752" s="2"/>
      <c r="D1752" s="2"/>
      <c r="E1752" s="2"/>
      <c r="F1752" s="2"/>
      <c r="G1752" s="1"/>
      <c r="H1752" s="1"/>
      <c r="I1752" s="7">
        <v>1.749</v>
      </c>
      <c r="J1752" s="7">
        <f>IF((I1752-ROUNDDOWN(I1752,0))=0, 0, (I1752-ROUNDDOWN(I1752,0)))</f>
      </c>
      <c r="K1752" s="7">
        <f>INDIRECT("C$"&amp;2+MIN(2,ROUNDDOWN(I1752,0))*3)*(-$J1752^3+3*$J1752^2-3*$J1752+1)+INDIRECT("C$"&amp;3+MIN(2,ROUNDDOWN(I1752,0))*3)*(3*$J1752^3-6*$J1752^2+3*$J1752)+INDIRECT("C$"&amp;4+MIN(2,ROUNDDOWN(I1752,0))*3)*(-3*$J1752^3+3*$J1752^2)+INDIRECT("C$"&amp;5+MIN(2,ROUNDDOWN(I1752,0))*3)*$J1752^3</f>
      </c>
      <c r="L1752" s="7">
        <f>INDIRECT("D$"&amp;2+MIN(2,ROUNDDOWN(I1752,0))*3)*(-$J1752^3+3*$J1752^2-3*$J1752+1)+INDIRECT("D$"&amp;3+MIN(2,ROUNDDOWN(I1752,0))*3)*(3*$J1752^3-6*$J1752^2+3*$J1752)+INDIRECT("D$"&amp;4+MIN(2,ROUNDDOWN(I1752,0))*3)*(-3*$J1752^3+3*$J1752^2)+INDIRECT("D$"&amp;5+MIN(2,ROUNDDOWN(I1752,0))*3)*$J1752^3</f>
      </c>
      <c r="M1752" s="7">
        <f>SQRT(K1752^2+L1752^2)</f>
      </c>
      <c r="N1752" s="7">
        <f>(K1753-K1751)</f>
      </c>
      <c r="O1752" s="7">
        <f>+(L1753-L1751)</f>
      </c>
      <c r="P1752" s="7">
        <f>SQRT(O1752^2+N1752^2)</f>
      </c>
      <c r="Q1752" s="7">
        <f>N1752/$P1752</f>
      </c>
      <c r="R1752" s="7">
        <f>O1752/$P1752</f>
      </c>
      <c r="S1752" s="7">
        <f>Q1752^2+R1752^2</f>
      </c>
      <c r="T1752" s="7">
        <f>-R1752</f>
      </c>
      <c r="U1752" s="7">
        <f>Q1752</f>
      </c>
      <c r="V1752" s="7">
        <f>($C$14+($C$15-$C$14)/($D$15-$D$14)*(I1752-$D$14))/2</f>
      </c>
      <c r="W1752" s="7">
        <f>($B$22*I1752^4+$C$22*I1752^3+$D$22*I1752^2+$E$22*I1752+$F$22)/2</f>
      </c>
      <c r="X1752" s="7">
        <f>($W1752)*(T1752)</f>
      </c>
      <c r="Y1752" s="7">
        <f>($W1752)*(U1752)</f>
      </c>
      <c r="Z1752" s="7">
        <f>SQRT(X1752^2+Y1752^2)</f>
      </c>
      <c r="AA1752" s="7">
        <f>$K1752+$X1752</f>
      </c>
      <c r="AB1752" s="7">
        <f>$L1752+$Y1752</f>
      </c>
      <c r="AC1752" s="7">
        <f>$K1752-$X1752</f>
      </c>
      <c r="AD1752" s="7">
        <f>$L1752-$Y1752</f>
      </c>
      <c r="AE1752" s="7">
        <f>AA1752/39.3701</f>
      </c>
      <c r="AF1752" s="7">
        <f>AB1752/39.3701</f>
      </c>
      <c r="AG1752" s="7">
        <f>AC1752/39.3701</f>
      </c>
      <c r="AH1752" s="7">
        <f>AD1752/39.3701</f>
      </c>
      <c r="AI1752" s="1"/>
      <c r="AJ1752" s="1"/>
      <c r="AK1752" s="1"/>
      <c r="AL1752" s="1"/>
      <c r="AM1752" s="2"/>
      <c r="AN1752" s="1"/>
      <c r="AO1752" s="1"/>
      <c r="AP1752" s="1"/>
      <c r="AQ1752" s="1"/>
      <c r="AR1752" s="1"/>
      <c r="AS1752" s="1"/>
      <c r="AT1752" s="1"/>
      <c r="AU1752" s="1"/>
      <c r="AV1752" s="1"/>
      <c r="AW1752" s="1"/>
      <c r="AX1752" s="1"/>
      <c r="AY1752" s="1"/>
      <c r="AZ1752" s="1"/>
      <c r="BA1752" s="1"/>
      <c r="BB1752" s="1"/>
      <c r="BC1752" s="1"/>
      <c r="BD1752" s="1"/>
      <c r="BE1752" s="1"/>
    </row>
    <row x14ac:dyDescent="0.25" r="1753" customHeight="1" ht="18.75">
      <c r="A1753" s="1"/>
      <c r="B1753" s="2"/>
      <c r="C1753" s="2"/>
      <c r="D1753" s="2"/>
      <c r="E1753" s="2"/>
      <c r="F1753" s="2"/>
      <c r="G1753" s="1"/>
      <c r="H1753" s="1"/>
      <c r="I1753" s="7">
        <v>1.75</v>
      </c>
      <c r="J1753" s="7">
        <f>IF((I1753-ROUNDDOWN(I1753,0))=0, 0, (I1753-ROUNDDOWN(I1753,0)))</f>
      </c>
      <c r="K1753" s="7">
        <f>INDIRECT("C$"&amp;2+MIN(2,ROUNDDOWN(I1753,0))*3)*(-$J1753^3+3*$J1753^2-3*$J1753+1)+INDIRECT("C$"&amp;3+MIN(2,ROUNDDOWN(I1753,0))*3)*(3*$J1753^3-6*$J1753^2+3*$J1753)+INDIRECT("C$"&amp;4+MIN(2,ROUNDDOWN(I1753,0))*3)*(-3*$J1753^3+3*$J1753^2)+INDIRECT("C$"&amp;5+MIN(2,ROUNDDOWN(I1753,0))*3)*$J1753^3</f>
      </c>
      <c r="L1753" s="7">
        <f>INDIRECT("D$"&amp;2+MIN(2,ROUNDDOWN(I1753,0))*3)*(-$J1753^3+3*$J1753^2-3*$J1753+1)+INDIRECT("D$"&amp;3+MIN(2,ROUNDDOWN(I1753,0))*3)*(3*$J1753^3-6*$J1753^2+3*$J1753)+INDIRECT("D$"&amp;4+MIN(2,ROUNDDOWN(I1753,0))*3)*(-3*$J1753^3+3*$J1753^2)+INDIRECT("D$"&amp;5+MIN(2,ROUNDDOWN(I1753,0))*3)*$J1753^3</f>
      </c>
      <c r="M1753" s="7">
        <f>SQRT(K1753^2+L1753^2)</f>
      </c>
      <c r="N1753" s="7">
        <f>(K1754-K1752)</f>
      </c>
      <c r="O1753" s="7">
        <f>+(L1754-L1752)</f>
      </c>
      <c r="P1753" s="7">
        <f>SQRT(O1753^2+N1753^2)</f>
      </c>
      <c r="Q1753" s="7">
        <f>N1753/$P1753</f>
      </c>
      <c r="R1753" s="7">
        <f>O1753/$P1753</f>
      </c>
      <c r="S1753" s="8">
        <f>Q1753^2+R1753^2</f>
      </c>
      <c r="T1753" s="7">
        <f>-R1753</f>
      </c>
      <c r="U1753" s="7">
        <f>Q1753</f>
      </c>
      <c r="V1753" s="7">
        <f>($C$14+($C$15-$C$14)/($D$15-$D$14)*(I1753-$D$14))/2</f>
      </c>
      <c r="W1753" s="7">
        <f>($B$22*I1753^4+$C$22*I1753^3+$D$22*I1753^2+$E$22*I1753+$F$22)/2</f>
      </c>
      <c r="X1753" s="7">
        <f>($W1753)*(T1753)</f>
      </c>
      <c r="Y1753" s="7">
        <f>($W1753)*(U1753)</f>
      </c>
      <c r="Z1753" s="7">
        <f>SQRT(X1753^2+Y1753^2)</f>
      </c>
      <c r="AA1753" s="7">
        <f>$K1753+$X1753</f>
      </c>
      <c r="AB1753" s="7">
        <f>$L1753+$Y1753</f>
      </c>
      <c r="AC1753" s="7">
        <f>$K1753-$X1753</f>
      </c>
      <c r="AD1753" s="7">
        <f>$L1753-$Y1753</f>
      </c>
      <c r="AE1753" s="7">
        <f>AA1753/39.3701</f>
      </c>
      <c r="AF1753" s="7">
        <f>AB1753/39.3701</f>
      </c>
      <c r="AG1753" s="7">
        <f>AC1753/39.3701</f>
      </c>
      <c r="AH1753" s="7">
        <f>AD1753/39.3701</f>
      </c>
      <c r="AI1753" s="1"/>
      <c r="AJ1753" s="1"/>
      <c r="AK1753" s="1"/>
      <c r="AL1753" s="1"/>
      <c r="AM1753" s="2"/>
      <c r="AN1753" s="1"/>
      <c r="AO1753" s="1"/>
      <c r="AP1753" s="1"/>
      <c r="AQ1753" s="1"/>
      <c r="AR1753" s="1"/>
      <c r="AS1753" s="1"/>
      <c r="AT1753" s="1"/>
      <c r="AU1753" s="1"/>
      <c r="AV1753" s="1"/>
      <c r="AW1753" s="1"/>
      <c r="AX1753" s="1"/>
      <c r="AY1753" s="1"/>
      <c r="AZ1753" s="1"/>
      <c r="BA1753" s="1"/>
      <c r="BB1753" s="1"/>
      <c r="BC1753" s="1"/>
      <c r="BD1753" s="1"/>
      <c r="BE1753" s="1"/>
    </row>
    <row x14ac:dyDescent="0.25" r="1754" customHeight="1" ht="18.75">
      <c r="A1754" s="1"/>
      <c r="B1754" s="2"/>
      <c r="C1754" s="2"/>
      <c r="D1754" s="2"/>
      <c r="E1754" s="2"/>
      <c r="F1754" s="2"/>
      <c r="G1754" s="1"/>
      <c r="H1754" s="1"/>
      <c r="I1754" s="7">
        <v>1.751</v>
      </c>
      <c r="J1754" s="7">
        <f>IF((I1754-ROUNDDOWN(I1754,0))=0, 0, (I1754-ROUNDDOWN(I1754,0)))</f>
      </c>
      <c r="K1754" s="7">
        <f>INDIRECT("C$"&amp;2+MIN(2,ROUNDDOWN(I1754,0))*3)*(-$J1754^3+3*$J1754^2-3*$J1754+1)+INDIRECT("C$"&amp;3+MIN(2,ROUNDDOWN(I1754,0))*3)*(3*$J1754^3-6*$J1754^2+3*$J1754)+INDIRECT("C$"&amp;4+MIN(2,ROUNDDOWN(I1754,0))*3)*(-3*$J1754^3+3*$J1754^2)+INDIRECT("C$"&amp;5+MIN(2,ROUNDDOWN(I1754,0))*3)*$J1754^3</f>
      </c>
      <c r="L1754" s="7">
        <f>INDIRECT("D$"&amp;2+MIN(2,ROUNDDOWN(I1754,0))*3)*(-$J1754^3+3*$J1754^2-3*$J1754+1)+INDIRECT("D$"&amp;3+MIN(2,ROUNDDOWN(I1754,0))*3)*(3*$J1754^3-6*$J1754^2+3*$J1754)+INDIRECT("D$"&amp;4+MIN(2,ROUNDDOWN(I1754,0))*3)*(-3*$J1754^3+3*$J1754^2)+INDIRECT("D$"&amp;5+MIN(2,ROUNDDOWN(I1754,0))*3)*$J1754^3</f>
      </c>
      <c r="M1754" s="7">
        <f>SQRT(K1754^2+L1754^2)</f>
      </c>
      <c r="N1754" s="7">
        <f>(K1755-K1753)</f>
      </c>
      <c r="O1754" s="7">
        <f>+(L1755-L1753)</f>
      </c>
      <c r="P1754" s="7">
        <f>SQRT(O1754^2+N1754^2)</f>
      </c>
      <c r="Q1754" s="7">
        <f>N1754/$P1754</f>
      </c>
      <c r="R1754" s="7">
        <f>O1754/$P1754</f>
      </c>
      <c r="S1754" s="8">
        <f>Q1754^2+R1754^2</f>
      </c>
      <c r="T1754" s="7">
        <f>-R1754</f>
      </c>
      <c r="U1754" s="7">
        <f>Q1754</f>
      </c>
      <c r="V1754" s="7">
        <f>($C$14+($C$15-$C$14)/($D$15-$D$14)*(I1754-$D$14))/2</f>
      </c>
      <c r="W1754" s="7">
        <f>($B$22*I1754^4+$C$22*I1754^3+$D$22*I1754^2+$E$22*I1754+$F$22)/2</f>
      </c>
      <c r="X1754" s="7">
        <f>($W1754)*(T1754)</f>
      </c>
      <c r="Y1754" s="7">
        <f>($W1754)*(U1754)</f>
      </c>
      <c r="Z1754" s="7">
        <f>SQRT(X1754^2+Y1754^2)</f>
      </c>
      <c r="AA1754" s="7">
        <f>$K1754+$X1754</f>
      </c>
      <c r="AB1754" s="7">
        <f>$L1754+$Y1754</f>
      </c>
      <c r="AC1754" s="7">
        <f>$K1754-$X1754</f>
      </c>
      <c r="AD1754" s="7">
        <f>$L1754-$Y1754</f>
      </c>
      <c r="AE1754" s="7">
        <f>AA1754/39.3701</f>
      </c>
      <c r="AF1754" s="7">
        <f>AB1754/39.3701</f>
      </c>
      <c r="AG1754" s="7">
        <f>AC1754/39.3701</f>
      </c>
      <c r="AH1754" s="7">
        <f>AD1754/39.3701</f>
      </c>
      <c r="AI1754" s="1"/>
      <c r="AJ1754" s="1"/>
      <c r="AK1754" s="1"/>
      <c r="AL1754" s="1"/>
      <c r="AM1754" s="2"/>
      <c r="AN1754" s="1"/>
      <c r="AO1754" s="1"/>
      <c r="AP1754" s="1"/>
      <c r="AQ1754" s="1"/>
      <c r="AR1754" s="1"/>
      <c r="AS1754" s="1"/>
      <c r="AT1754" s="1"/>
      <c r="AU1754" s="1"/>
      <c r="AV1754" s="1"/>
      <c r="AW1754" s="1"/>
      <c r="AX1754" s="1"/>
      <c r="AY1754" s="1"/>
      <c r="AZ1754" s="1"/>
      <c r="BA1754" s="1"/>
      <c r="BB1754" s="1"/>
      <c r="BC1754" s="1"/>
      <c r="BD1754" s="1"/>
      <c r="BE1754" s="1"/>
    </row>
    <row x14ac:dyDescent="0.25" r="1755" customHeight="1" ht="18.75">
      <c r="A1755" s="1"/>
      <c r="B1755" s="2"/>
      <c r="C1755" s="2"/>
      <c r="D1755" s="2"/>
      <c r="E1755" s="2"/>
      <c r="F1755" s="2"/>
      <c r="G1755" s="1"/>
      <c r="H1755" s="1"/>
      <c r="I1755" s="7">
        <v>1.752</v>
      </c>
      <c r="J1755" s="7">
        <f>IF((I1755-ROUNDDOWN(I1755,0))=0, 0, (I1755-ROUNDDOWN(I1755,0)))</f>
      </c>
      <c r="K1755" s="7">
        <f>INDIRECT("C$"&amp;2+MIN(2,ROUNDDOWN(I1755,0))*3)*(-$J1755^3+3*$J1755^2-3*$J1755+1)+INDIRECT("C$"&amp;3+MIN(2,ROUNDDOWN(I1755,0))*3)*(3*$J1755^3-6*$J1755^2+3*$J1755)+INDIRECT("C$"&amp;4+MIN(2,ROUNDDOWN(I1755,0))*3)*(-3*$J1755^3+3*$J1755^2)+INDIRECT("C$"&amp;5+MIN(2,ROUNDDOWN(I1755,0))*3)*$J1755^3</f>
      </c>
      <c r="L1755" s="7">
        <f>INDIRECT("D$"&amp;2+MIN(2,ROUNDDOWN(I1755,0))*3)*(-$J1755^3+3*$J1755^2-3*$J1755+1)+INDIRECT("D$"&amp;3+MIN(2,ROUNDDOWN(I1755,0))*3)*(3*$J1755^3-6*$J1755^2+3*$J1755)+INDIRECT("D$"&amp;4+MIN(2,ROUNDDOWN(I1755,0))*3)*(-3*$J1755^3+3*$J1755^2)+INDIRECT("D$"&amp;5+MIN(2,ROUNDDOWN(I1755,0))*3)*$J1755^3</f>
      </c>
      <c r="M1755" s="7">
        <f>SQRT(K1755^2+L1755^2)</f>
      </c>
      <c r="N1755" s="7">
        <f>(K1756-K1754)</f>
      </c>
      <c r="O1755" s="7">
        <f>+(L1756-L1754)</f>
      </c>
      <c r="P1755" s="7">
        <f>SQRT(O1755^2+N1755^2)</f>
      </c>
      <c r="Q1755" s="7">
        <f>N1755/$P1755</f>
      </c>
      <c r="R1755" s="7">
        <f>O1755/$P1755</f>
      </c>
      <c r="S1755" s="7">
        <f>Q1755^2+R1755^2</f>
      </c>
      <c r="T1755" s="7">
        <f>-R1755</f>
      </c>
      <c r="U1755" s="7">
        <f>Q1755</f>
      </c>
      <c r="V1755" s="7">
        <f>($C$14+($C$15-$C$14)/($D$15-$D$14)*(I1755-$D$14))/2</f>
      </c>
      <c r="W1755" s="7">
        <f>($B$22*I1755^4+$C$22*I1755^3+$D$22*I1755^2+$E$22*I1755+$F$22)/2</f>
      </c>
      <c r="X1755" s="7">
        <f>($W1755)*(T1755)</f>
      </c>
      <c r="Y1755" s="7">
        <f>($W1755)*(U1755)</f>
      </c>
      <c r="Z1755" s="7">
        <f>SQRT(X1755^2+Y1755^2)</f>
      </c>
      <c r="AA1755" s="7">
        <f>$K1755+$X1755</f>
      </c>
      <c r="AB1755" s="7">
        <f>$L1755+$Y1755</f>
      </c>
      <c r="AC1755" s="7">
        <f>$K1755-$X1755</f>
      </c>
      <c r="AD1755" s="7">
        <f>$L1755-$Y1755</f>
      </c>
      <c r="AE1755" s="7">
        <f>AA1755/39.3701</f>
      </c>
      <c r="AF1755" s="7">
        <f>AB1755/39.3701</f>
      </c>
      <c r="AG1755" s="7">
        <f>AC1755/39.3701</f>
      </c>
      <c r="AH1755" s="7">
        <f>AD1755/39.3701</f>
      </c>
      <c r="AI1755" s="1"/>
      <c r="AJ1755" s="1"/>
      <c r="AK1755" s="1"/>
      <c r="AL1755" s="1"/>
      <c r="AM1755" s="2"/>
      <c r="AN1755" s="1"/>
      <c r="AO1755" s="1"/>
      <c r="AP1755" s="1"/>
      <c r="AQ1755" s="1"/>
      <c r="AR1755" s="1"/>
      <c r="AS1755" s="1"/>
      <c r="AT1755" s="1"/>
      <c r="AU1755" s="1"/>
      <c r="AV1755" s="1"/>
      <c r="AW1755" s="1"/>
      <c r="AX1755" s="1"/>
      <c r="AY1755" s="1"/>
      <c r="AZ1755" s="1"/>
      <c r="BA1755" s="1"/>
      <c r="BB1755" s="1"/>
      <c r="BC1755" s="1"/>
      <c r="BD1755" s="1"/>
      <c r="BE1755" s="1"/>
    </row>
    <row x14ac:dyDescent="0.25" r="1756" customHeight="1" ht="18.75">
      <c r="A1756" s="1"/>
      <c r="B1756" s="2"/>
      <c r="C1756" s="2"/>
      <c r="D1756" s="2"/>
      <c r="E1756" s="2"/>
      <c r="F1756" s="2"/>
      <c r="G1756" s="1"/>
      <c r="H1756" s="1"/>
      <c r="I1756" s="7">
        <v>1.753</v>
      </c>
      <c r="J1756" s="7">
        <f>IF((I1756-ROUNDDOWN(I1756,0))=0, 0, (I1756-ROUNDDOWN(I1756,0)))</f>
      </c>
      <c r="K1756" s="7">
        <f>INDIRECT("C$"&amp;2+MIN(2,ROUNDDOWN(I1756,0))*3)*(-$J1756^3+3*$J1756^2-3*$J1756+1)+INDIRECT("C$"&amp;3+MIN(2,ROUNDDOWN(I1756,0))*3)*(3*$J1756^3-6*$J1756^2+3*$J1756)+INDIRECT("C$"&amp;4+MIN(2,ROUNDDOWN(I1756,0))*3)*(-3*$J1756^3+3*$J1756^2)+INDIRECT("C$"&amp;5+MIN(2,ROUNDDOWN(I1756,0))*3)*$J1756^3</f>
      </c>
      <c r="L1756" s="7">
        <f>INDIRECT("D$"&amp;2+MIN(2,ROUNDDOWN(I1756,0))*3)*(-$J1756^3+3*$J1756^2-3*$J1756+1)+INDIRECT("D$"&amp;3+MIN(2,ROUNDDOWN(I1756,0))*3)*(3*$J1756^3-6*$J1756^2+3*$J1756)+INDIRECT("D$"&amp;4+MIN(2,ROUNDDOWN(I1756,0))*3)*(-3*$J1756^3+3*$J1756^2)+INDIRECT("D$"&amp;5+MIN(2,ROUNDDOWN(I1756,0))*3)*$J1756^3</f>
      </c>
      <c r="M1756" s="7">
        <f>SQRT(K1756^2+L1756^2)</f>
      </c>
      <c r="N1756" s="7">
        <f>(K1757-K1755)</f>
      </c>
      <c r="O1756" s="7">
        <f>+(L1757-L1755)</f>
      </c>
      <c r="P1756" s="7">
        <f>SQRT(O1756^2+N1756^2)</f>
      </c>
      <c r="Q1756" s="7">
        <f>N1756/$P1756</f>
      </c>
      <c r="R1756" s="7">
        <f>O1756/$P1756</f>
      </c>
      <c r="S1756" s="8">
        <f>Q1756^2+R1756^2</f>
      </c>
      <c r="T1756" s="7">
        <f>-R1756</f>
      </c>
      <c r="U1756" s="7">
        <f>Q1756</f>
      </c>
      <c r="V1756" s="7">
        <f>($C$14+($C$15-$C$14)/($D$15-$D$14)*(I1756-$D$14))/2</f>
      </c>
      <c r="W1756" s="7">
        <f>($B$22*I1756^4+$C$22*I1756^3+$D$22*I1756^2+$E$22*I1756+$F$22)/2</f>
      </c>
      <c r="X1756" s="7">
        <f>($W1756)*(T1756)</f>
      </c>
      <c r="Y1756" s="7">
        <f>($W1756)*(U1756)</f>
      </c>
      <c r="Z1756" s="7">
        <f>SQRT(X1756^2+Y1756^2)</f>
      </c>
      <c r="AA1756" s="7">
        <f>$K1756+$X1756</f>
      </c>
      <c r="AB1756" s="7">
        <f>$L1756+$Y1756</f>
      </c>
      <c r="AC1756" s="7">
        <f>$K1756-$X1756</f>
      </c>
      <c r="AD1756" s="7">
        <f>$L1756-$Y1756</f>
      </c>
      <c r="AE1756" s="7">
        <f>AA1756/39.3701</f>
      </c>
      <c r="AF1756" s="7">
        <f>AB1756/39.3701</f>
      </c>
      <c r="AG1756" s="7">
        <f>AC1756/39.3701</f>
      </c>
      <c r="AH1756" s="7">
        <f>AD1756/39.3701</f>
      </c>
      <c r="AI1756" s="1"/>
      <c r="AJ1756" s="1"/>
      <c r="AK1756" s="1"/>
      <c r="AL1756" s="1"/>
      <c r="AM1756" s="2"/>
      <c r="AN1756" s="1"/>
      <c r="AO1756" s="1"/>
      <c r="AP1756" s="1"/>
      <c r="AQ1756" s="1"/>
      <c r="AR1756" s="1"/>
      <c r="AS1756" s="1"/>
      <c r="AT1756" s="1"/>
      <c r="AU1756" s="1"/>
      <c r="AV1756" s="1"/>
      <c r="AW1756" s="1"/>
      <c r="AX1756" s="1"/>
      <c r="AY1756" s="1"/>
      <c r="AZ1756" s="1"/>
      <c r="BA1756" s="1"/>
      <c r="BB1756" s="1"/>
      <c r="BC1756" s="1"/>
      <c r="BD1756" s="1"/>
      <c r="BE1756" s="1"/>
    </row>
    <row x14ac:dyDescent="0.25" r="1757" customHeight="1" ht="18.75">
      <c r="A1757" s="1"/>
      <c r="B1757" s="2"/>
      <c r="C1757" s="2"/>
      <c r="D1757" s="2"/>
      <c r="E1757" s="2"/>
      <c r="F1757" s="2"/>
      <c r="G1757" s="1"/>
      <c r="H1757" s="1"/>
      <c r="I1757" s="7">
        <v>1.754</v>
      </c>
      <c r="J1757" s="7">
        <f>IF((I1757-ROUNDDOWN(I1757,0))=0, 0, (I1757-ROUNDDOWN(I1757,0)))</f>
      </c>
      <c r="K1757" s="7">
        <f>INDIRECT("C$"&amp;2+MIN(2,ROUNDDOWN(I1757,0))*3)*(-$J1757^3+3*$J1757^2-3*$J1757+1)+INDIRECT("C$"&amp;3+MIN(2,ROUNDDOWN(I1757,0))*3)*(3*$J1757^3-6*$J1757^2+3*$J1757)+INDIRECT("C$"&amp;4+MIN(2,ROUNDDOWN(I1757,0))*3)*(-3*$J1757^3+3*$J1757^2)+INDIRECT("C$"&amp;5+MIN(2,ROUNDDOWN(I1757,0))*3)*$J1757^3</f>
      </c>
      <c r="L1757" s="7">
        <f>INDIRECT("D$"&amp;2+MIN(2,ROUNDDOWN(I1757,0))*3)*(-$J1757^3+3*$J1757^2-3*$J1757+1)+INDIRECT("D$"&amp;3+MIN(2,ROUNDDOWN(I1757,0))*3)*(3*$J1757^3-6*$J1757^2+3*$J1757)+INDIRECT("D$"&amp;4+MIN(2,ROUNDDOWN(I1757,0))*3)*(-3*$J1757^3+3*$J1757^2)+INDIRECT("D$"&amp;5+MIN(2,ROUNDDOWN(I1757,0))*3)*$J1757^3</f>
      </c>
      <c r="M1757" s="7">
        <f>SQRT(K1757^2+L1757^2)</f>
      </c>
      <c r="N1757" s="7">
        <f>(K1758-K1756)</f>
      </c>
      <c r="O1757" s="7">
        <f>+(L1758-L1756)</f>
      </c>
      <c r="P1757" s="7">
        <f>SQRT(O1757^2+N1757^2)</f>
      </c>
      <c r="Q1757" s="7">
        <f>N1757/$P1757</f>
      </c>
      <c r="R1757" s="7">
        <f>O1757/$P1757</f>
      </c>
      <c r="S1757" s="7">
        <f>Q1757^2+R1757^2</f>
      </c>
      <c r="T1757" s="7">
        <f>-R1757</f>
      </c>
      <c r="U1757" s="7">
        <f>Q1757</f>
      </c>
      <c r="V1757" s="7">
        <f>($C$14+($C$15-$C$14)/($D$15-$D$14)*(I1757-$D$14))/2</f>
      </c>
      <c r="W1757" s="7">
        <f>($B$22*I1757^4+$C$22*I1757^3+$D$22*I1757^2+$E$22*I1757+$F$22)/2</f>
      </c>
      <c r="X1757" s="7">
        <f>($W1757)*(T1757)</f>
      </c>
      <c r="Y1757" s="7">
        <f>($W1757)*(U1757)</f>
      </c>
      <c r="Z1757" s="7">
        <f>SQRT(X1757^2+Y1757^2)</f>
      </c>
      <c r="AA1757" s="7">
        <f>$K1757+$X1757</f>
      </c>
      <c r="AB1757" s="7">
        <f>$L1757+$Y1757</f>
      </c>
      <c r="AC1757" s="7">
        <f>$K1757-$X1757</f>
      </c>
      <c r="AD1757" s="7">
        <f>$L1757-$Y1757</f>
      </c>
      <c r="AE1757" s="7">
        <f>AA1757/39.3701</f>
      </c>
      <c r="AF1757" s="7">
        <f>AB1757/39.3701</f>
      </c>
      <c r="AG1757" s="7">
        <f>AC1757/39.3701</f>
      </c>
      <c r="AH1757" s="7">
        <f>AD1757/39.3701</f>
      </c>
      <c r="AI1757" s="1"/>
      <c r="AJ1757" s="1"/>
      <c r="AK1757" s="1"/>
      <c r="AL1757" s="1"/>
      <c r="AM1757" s="2"/>
      <c r="AN1757" s="1"/>
      <c r="AO1757" s="1"/>
      <c r="AP1757" s="1"/>
      <c r="AQ1757" s="1"/>
      <c r="AR1757" s="1"/>
      <c r="AS1757" s="1"/>
      <c r="AT1757" s="1"/>
      <c r="AU1757" s="1"/>
      <c r="AV1757" s="1"/>
      <c r="AW1757" s="1"/>
      <c r="AX1757" s="1"/>
      <c r="AY1757" s="1"/>
      <c r="AZ1757" s="1"/>
      <c r="BA1757" s="1"/>
      <c r="BB1757" s="1"/>
      <c r="BC1757" s="1"/>
      <c r="BD1757" s="1"/>
      <c r="BE1757" s="1"/>
    </row>
    <row x14ac:dyDescent="0.25" r="1758" customHeight="1" ht="18.75">
      <c r="A1758" s="1"/>
      <c r="B1758" s="2"/>
      <c r="C1758" s="2"/>
      <c r="D1758" s="2"/>
      <c r="E1758" s="2"/>
      <c r="F1758" s="2"/>
      <c r="G1758" s="1"/>
      <c r="H1758" s="1"/>
      <c r="I1758" s="7">
        <v>1.755</v>
      </c>
      <c r="J1758" s="7">
        <f>IF((I1758-ROUNDDOWN(I1758,0))=0, 0, (I1758-ROUNDDOWN(I1758,0)))</f>
      </c>
      <c r="K1758" s="7">
        <f>INDIRECT("C$"&amp;2+MIN(2,ROUNDDOWN(I1758,0))*3)*(-$J1758^3+3*$J1758^2-3*$J1758+1)+INDIRECT("C$"&amp;3+MIN(2,ROUNDDOWN(I1758,0))*3)*(3*$J1758^3-6*$J1758^2+3*$J1758)+INDIRECT("C$"&amp;4+MIN(2,ROUNDDOWN(I1758,0))*3)*(-3*$J1758^3+3*$J1758^2)+INDIRECT("C$"&amp;5+MIN(2,ROUNDDOWN(I1758,0))*3)*$J1758^3</f>
      </c>
      <c r="L1758" s="7">
        <f>INDIRECT("D$"&amp;2+MIN(2,ROUNDDOWN(I1758,0))*3)*(-$J1758^3+3*$J1758^2-3*$J1758+1)+INDIRECT("D$"&amp;3+MIN(2,ROUNDDOWN(I1758,0))*3)*(3*$J1758^3-6*$J1758^2+3*$J1758)+INDIRECT("D$"&amp;4+MIN(2,ROUNDDOWN(I1758,0))*3)*(-3*$J1758^3+3*$J1758^2)+INDIRECT("D$"&amp;5+MIN(2,ROUNDDOWN(I1758,0))*3)*$J1758^3</f>
      </c>
      <c r="M1758" s="7">
        <f>SQRT(K1758^2+L1758^2)</f>
      </c>
      <c r="N1758" s="7">
        <f>(K1759-K1757)</f>
      </c>
      <c r="O1758" s="7">
        <f>+(L1759-L1757)</f>
      </c>
      <c r="P1758" s="7">
        <f>SQRT(O1758^2+N1758^2)</f>
      </c>
      <c r="Q1758" s="7">
        <f>N1758/$P1758</f>
      </c>
      <c r="R1758" s="7">
        <f>O1758/$P1758</f>
      </c>
      <c r="S1758" s="7">
        <f>Q1758^2+R1758^2</f>
      </c>
      <c r="T1758" s="7">
        <f>-R1758</f>
      </c>
      <c r="U1758" s="7">
        <f>Q1758</f>
      </c>
      <c r="V1758" s="7">
        <f>($C$14+($C$15-$C$14)/($D$15-$D$14)*(I1758-$D$14))/2</f>
      </c>
      <c r="W1758" s="7">
        <f>($B$22*I1758^4+$C$22*I1758^3+$D$22*I1758^2+$E$22*I1758+$F$22)/2</f>
      </c>
      <c r="X1758" s="7">
        <f>($W1758)*(T1758)</f>
      </c>
      <c r="Y1758" s="7">
        <f>($W1758)*(U1758)</f>
      </c>
      <c r="Z1758" s="7">
        <f>SQRT(X1758^2+Y1758^2)</f>
      </c>
      <c r="AA1758" s="7">
        <f>$K1758+$X1758</f>
      </c>
      <c r="AB1758" s="7">
        <f>$L1758+$Y1758</f>
      </c>
      <c r="AC1758" s="7">
        <f>$K1758-$X1758</f>
      </c>
      <c r="AD1758" s="7">
        <f>$L1758-$Y1758</f>
      </c>
      <c r="AE1758" s="7">
        <f>AA1758/39.3701</f>
      </c>
      <c r="AF1758" s="7">
        <f>AB1758/39.3701</f>
      </c>
      <c r="AG1758" s="7">
        <f>AC1758/39.3701</f>
      </c>
      <c r="AH1758" s="7">
        <f>AD1758/39.3701</f>
      </c>
      <c r="AI1758" s="1"/>
      <c r="AJ1758" s="1"/>
      <c r="AK1758" s="1"/>
      <c r="AL1758" s="1"/>
      <c r="AM1758" s="2"/>
      <c r="AN1758" s="1"/>
      <c r="AO1758" s="1"/>
      <c r="AP1758" s="1"/>
      <c r="AQ1758" s="1"/>
      <c r="AR1758" s="1"/>
      <c r="AS1758" s="1"/>
      <c r="AT1758" s="1"/>
      <c r="AU1758" s="1"/>
      <c r="AV1758" s="1"/>
      <c r="AW1758" s="1"/>
      <c r="AX1758" s="1"/>
      <c r="AY1758" s="1"/>
      <c r="AZ1758" s="1"/>
      <c r="BA1758" s="1"/>
      <c r="BB1758" s="1"/>
      <c r="BC1758" s="1"/>
      <c r="BD1758" s="1"/>
      <c r="BE1758" s="1"/>
    </row>
    <row x14ac:dyDescent="0.25" r="1759" customHeight="1" ht="18.75">
      <c r="A1759" s="1"/>
      <c r="B1759" s="2"/>
      <c r="C1759" s="2"/>
      <c r="D1759" s="2"/>
      <c r="E1759" s="2"/>
      <c r="F1759" s="2"/>
      <c r="G1759" s="1"/>
      <c r="H1759" s="1"/>
      <c r="I1759" s="7">
        <v>1.756</v>
      </c>
      <c r="J1759" s="7">
        <f>IF((I1759-ROUNDDOWN(I1759,0))=0, 0, (I1759-ROUNDDOWN(I1759,0)))</f>
      </c>
      <c r="K1759" s="7">
        <f>INDIRECT("C$"&amp;2+MIN(2,ROUNDDOWN(I1759,0))*3)*(-$J1759^3+3*$J1759^2-3*$J1759+1)+INDIRECT("C$"&amp;3+MIN(2,ROUNDDOWN(I1759,0))*3)*(3*$J1759^3-6*$J1759^2+3*$J1759)+INDIRECT("C$"&amp;4+MIN(2,ROUNDDOWN(I1759,0))*3)*(-3*$J1759^3+3*$J1759^2)+INDIRECT("C$"&amp;5+MIN(2,ROUNDDOWN(I1759,0))*3)*$J1759^3</f>
      </c>
      <c r="L1759" s="7">
        <f>INDIRECT("D$"&amp;2+MIN(2,ROUNDDOWN(I1759,0))*3)*(-$J1759^3+3*$J1759^2-3*$J1759+1)+INDIRECT("D$"&amp;3+MIN(2,ROUNDDOWN(I1759,0))*3)*(3*$J1759^3-6*$J1759^2+3*$J1759)+INDIRECT("D$"&amp;4+MIN(2,ROUNDDOWN(I1759,0))*3)*(-3*$J1759^3+3*$J1759^2)+INDIRECT("D$"&amp;5+MIN(2,ROUNDDOWN(I1759,0))*3)*$J1759^3</f>
      </c>
      <c r="M1759" s="7">
        <f>SQRT(K1759^2+L1759^2)</f>
      </c>
      <c r="N1759" s="7">
        <f>(K1760-K1758)</f>
      </c>
      <c r="O1759" s="7">
        <f>+(L1760-L1758)</f>
      </c>
      <c r="P1759" s="7">
        <f>SQRT(O1759^2+N1759^2)</f>
      </c>
      <c r="Q1759" s="7">
        <f>N1759/$P1759</f>
      </c>
      <c r="R1759" s="7">
        <f>O1759/$P1759</f>
      </c>
      <c r="S1759" s="7">
        <f>Q1759^2+R1759^2</f>
      </c>
      <c r="T1759" s="7">
        <f>-R1759</f>
      </c>
      <c r="U1759" s="7">
        <f>Q1759</f>
      </c>
      <c r="V1759" s="7">
        <f>($C$14+($C$15-$C$14)/($D$15-$D$14)*(I1759-$D$14))/2</f>
      </c>
      <c r="W1759" s="7">
        <f>($B$22*I1759^4+$C$22*I1759^3+$D$22*I1759^2+$E$22*I1759+$F$22)/2</f>
      </c>
      <c r="X1759" s="7">
        <f>($W1759)*(T1759)</f>
      </c>
      <c r="Y1759" s="7">
        <f>($W1759)*(U1759)</f>
      </c>
      <c r="Z1759" s="7">
        <f>SQRT(X1759^2+Y1759^2)</f>
      </c>
      <c r="AA1759" s="7">
        <f>$K1759+$X1759</f>
      </c>
      <c r="AB1759" s="7">
        <f>$L1759+$Y1759</f>
      </c>
      <c r="AC1759" s="7">
        <f>$K1759-$X1759</f>
      </c>
      <c r="AD1759" s="7">
        <f>$L1759-$Y1759</f>
      </c>
      <c r="AE1759" s="7">
        <f>AA1759/39.3701</f>
      </c>
      <c r="AF1759" s="7">
        <f>AB1759/39.3701</f>
      </c>
      <c r="AG1759" s="7">
        <f>AC1759/39.3701</f>
      </c>
      <c r="AH1759" s="7">
        <f>AD1759/39.3701</f>
      </c>
      <c r="AI1759" s="1"/>
      <c r="AJ1759" s="1"/>
      <c r="AK1759" s="1"/>
      <c r="AL1759" s="1"/>
      <c r="AM1759" s="2"/>
      <c r="AN1759" s="1"/>
      <c r="AO1759" s="1"/>
      <c r="AP1759" s="1"/>
      <c r="AQ1759" s="1"/>
      <c r="AR1759" s="1"/>
      <c r="AS1759" s="1"/>
      <c r="AT1759" s="1"/>
      <c r="AU1759" s="1"/>
      <c r="AV1759" s="1"/>
      <c r="AW1759" s="1"/>
      <c r="AX1759" s="1"/>
      <c r="AY1759" s="1"/>
      <c r="AZ1759" s="1"/>
      <c r="BA1759" s="1"/>
      <c r="BB1759" s="1"/>
      <c r="BC1759" s="1"/>
      <c r="BD1759" s="1"/>
      <c r="BE1759" s="1"/>
    </row>
    <row x14ac:dyDescent="0.25" r="1760" customHeight="1" ht="18.75">
      <c r="A1760" s="1"/>
      <c r="B1760" s="2"/>
      <c r="C1760" s="2"/>
      <c r="D1760" s="2"/>
      <c r="E1760" s="2"/>
      <c r="F1760" s="2"/>
      <c r="G1760" s="1"/>
      <c r="H1760" s="1"/>
      <c r="I1760" s="7">
        <v>1.757</v>
      </c>
      <c r="J1760" s="7">
        <f>IF((I1760-ROUNDDOWN(I1760,0))=0, 0, (I1760-ROUNDDOWN(I1760,0)))</f>
      </c>
      <c r="K1760" s="7">
        <f>INDIRECT("C$"&amp;2+MIN(2,ROUNDDOWN(I1760,0))*3)*(-$J1760^3+3*$J1760^2-3*$J1760+1)+INDIRECT("C$"&amp;3+MIN(2,ROUNDDOWN(I1760,0))*3)*(3*$J1760^3-6*$J1760^2+3*$J1760)+INDIRECT("C$"&amp;4+MIN(2,ROUNDDOWN(I1760,0))*3)*(-3*$J1760^3+3*$J1760^2)+INDIRECT("C$"&amp;5+MIN(2,ROUNDDOWN(I1760,0))*3)*$J1760^3</f>
      </c>
      <c r="L1760" s="7">
        <f>INDIRECT("D$"&amp;2+MIN(2,ROUNDDOWN(I1760,0))*3)*(-$J1760^3+3*$J1760^2-3*$J1760+1)+INDIRECT("D$"&amp;3+MIN(2,ROUNDDOWN(I1760,0))*3)*(3*$J1760^3-6*$J1760^2+3*$J1760)+INDIRECT("D$"&amp;4+MIN(2,ROUNDDOWN(I1760,0))*3)*(-3*$J1760^3+3*$J1760^2)+INDIRECT("D$"&amp;5+MIN(2,ROUNDDOWN(I1760,0))*3)*$J1760^3</f>
      </c>
      <c r="M1760" s="7">
        <f>SQRT(K1760^2+L1760^2)</f>
      </c>
      <c r="N1760" s="7">
        <f>(K1761-K1759)</f>
      </c>
      <c r="O1760" s="7">
        <f>+(L1761-L1759)</f>
      </c>
      <c r="P1760" s="7">
        <f>SQRT(O1760^2+N1760^2)</f>
      </c>
      <c r="Q1760" s="7">
        <f>N1760/$P1760</f>
      </c>
      <c r="R1760" s="7">
        <f>O1760/$P1760</f>
      </c>
      <c r="S1760" s="8">
        <f>Q1760^2+R1760^2</f>
      </c>
      <c r="T1760" s="7">
        <f>-R1760</f>
      </c>
      <c r="U1760" s="7">
        <f>Q1760</f>
      </c>
      <c r="V1760" s="7">
        <f>($C$14+($C$15-$C$14)/($D$15-$D$14)*(I1760-$D$14))/2</f>
      </c>
      <c r="W1760" s="7">
        <f>($B$22*I1760^4+$C$22*I1760^3+$D$22*I1760^2+$E$22*I1760+$F$22)/2</f>
      </c>
      <c r="X1760" s="7">
        <f>($W1760)*(T1760)</f>
      </c>
      <c r="Y1760" s="7">
        <f>($W1760)*(U1760)</f>
      </c>
      <c r="Z1760" s="7">
        <f>SQRT(X1760^2+Y1760^2)</f>
      </c>
      <c r="AA1760" s="7">
        <f>$K1760+$X1760</f>
      </c>
      <c r="AB1760" s="7">
        <f>$L1760+$Y1760</f>
      </c>
      <c r="AC1760" s="7">
        <f>$K1760-$X1760</f>
      </c>
      <c r="AD1760" s="7">
        <f>$L1760-$Y1760</f>
      </c>
      <c r="AE1760" s="7">
        <f>AA1760/39.3701</f>
      </c>
      <c r="AF1760" s="7">
        <f>AB1760/39.3701</f>
      </c>
      <c r="AG1760" s="7">
        <f>AC1760/39.3701</f>
      </c>
      <c r="AH1760" s="7">
        <f>AD1760/39.3701</f>
      </c>
      <c r="AI1760" s="1"/>
      <c r="AJ1760" s="1"/>
      <c r="AK1760" s="1"/>
      <c r="AL1760" s="1"/>
      <c r="AM1760" s="2"/>
      <c r="AN1760" s="1"/>
      <c r="AO1760" s="1"/>
      <c r="AP1760" s="1"/>
      <c r="AQ1760" s="1"/>
      <c r="AR1760" s="1"/>
      <c r="AS1760" s="1"/>
      <c r="AT1760" s="1"/>
      <c r="AU1760" s="1"/>
      <c r="AV1760" s="1"/>
      <c r="AW1760" s="1"/>
      <c r="AX1760" s="1"/>
      <c r="AY1760" s="1"/>
      <c r="AZ1760" s="1"/>
      <c r="BA1760" s="1"/>
      <c r="BB1760" s="1"/>
      <c r="BC1760" s="1"/>
      <c r="BD1760" s="1"/>
      <c r="BE1760" s="1"/>
    </row>
    <row x14ac:dyDescent="0.25" r="1761" customHeight="1" ht="18.75">
      <c r="A1761" s="1"/>
      <c r="B1761" s="2"/>
      <c r="C1761" s="2"/>
      <c r="D1761" s="2"/>
      <c r="E1761" s="2"/>
      <c r="F1761" s="2"/>
      <c r="G1761" s="1"/>
      <c r="H1761" s="1"/>
      <c r="I1761" s="7">
        <v>1.758</v>
      </c>
      <c r="J1761" s="7">
        <f>IF((I1761-ROUNDDOWN(I1761,0))=0, 0, (I1761-ROUNDDOWN(I1761,0)))</f>
      </c>
      <c r="K1761" s="7">
        <f>INDIRECT("C$"&amp;2+MIN(2,ROUNDDOWN(I1761,0))*3)*(-$J1761^3+3*$J1761^2-3*$J1761+1)+INDIRECT("C$"&amp;3+MIN(2,ROUNDDOWN(I1761,0))*3)*(3*$J1761^3-6*$J1761^2+3*$J1761)+INDIRECT("C$"&amp;4+MIN(2,ROUNDDOWN(I1761,0))*3)*(-3*$J1761^3+3*$J1761^2)+INDIRECT("C$"&amp;5+MIN(2,ROUNDDOWN(I1761,0))*3)*$J1761^3</f>
      </c>
      <c r="L1761" s="7">
        <f>INDIRECT("D$"&amp;2+MIN(2,ROUNDDOWN(I1761,0))*3)*(-$J1761^3+3*$J1761^2-3*$J1761+1)+INDIRECT("D$"&amp;3+MIN(2,ROUNDDOWN(I1761,0))*3)*(3*$J1761^3-6*$J1761^2+3*$J1761)+INDIRECT("D$"&amp;4+MIN(2,ROUNDDOWN(I1761,0))*3)*(-3*$J1761^3+3*$J1761^2)+INDIRECT("D$"&amp;5+MIN(2,ROUNDDOWN(I1761,0))*3)*$J1761^3</f>
      </c>
      <c r="M1761" s="7">
        <f>SQRT(K1761^2+L1761^2)</f>
      </c>
      <c r="N1761" s="7">
        <f>(K1762-K1760)</f>
      </c>
      <c r="O1761" s="7">
        <f>+(L1762-L1760)</f>
      </c>
      <c r="P1761" s="7">
        <f>SQRT(O1761^2+N1761^2)</f>
      </c>
      <c r="Q1761" s="7">
        <f>N1761/$P1761</f>
      </c>
      <c r="R1761" s="7">
        <f>O1761/$P1761</f>
      </c>
      <c r="S1761" s="7">
        <f>Q1761^2+R1761^2</f>
      </c>
      <c r="T1761" s="7">
        <f>-R1761</f>
      </c>
      <c r="U1761" s="7">
        <f>Q1761</f>
      </c>
      <c r="V1761" s="7">
        <f>($C$14+($C$15-$C$14)/($D$15-$D$14)*(I1761-$D$14))/2</f>
      </c>
      <c r="W1761" s="7">
        <f>($B$22*I1761^4+$C$22*I1761^3+$D$22*I1761^2+$E$22*I1761+$F$22)/2</f>
      </c>
      <c r="X1761" s="7">
        <f>($W1761)*(T1761)</f>
      </c>
      <c r="Y1761" s="7">
        <f>($W1761)*(U1761)</f>
      </c>
      <c r="Z1761" s="7">
        <f>SQRT(X1761^2+Y1761^2)</f>
      </c>
      <c r="AA1761" s="7">
        <f>$K1761+$X1761</f>
      </c>
      <c r="AB1761" s="7">
        <f>$L1761+$Y1761</f>
      </c>
      <c r="AC1761" s="7">
        <f>$K1761-$X1761</f>
      </c>
      <c r="AD1761" s="7">
        <f>$L1761-$Y1761</f>
      </c>
      <c r="AE1761" s="7">
        <f>AA1761/39.3701</f>
      </c>
      <c r="AF1761" s="7">
        <f>AB1761/39.3701</f>
      </c>
      <c r="AG1761" s="7">
        <f>AC1761/39.3701</f>
      </c>
      <c r="AH1761" s="7">
        <f>AD1761/39.3701</f>
      </c>
      <c r="AI1761" s="1"/>
      <c r="AJ1761" s="1"/>
      <c r="AK1761" s="1"/>
      <c r="AL1761" s="1"/>
      <c r="AM1761" s="2"/>
      <c r="AN1761" s="1"/>
      <c r="AO1761" s="1"/>
      <c r="AP1761" s="1"/>
      <c r="AQ1761" s="1"/>
      <c r="AR1761" s="1"/>
      <c r="AS1761" s="1"/>
      <c r="AT1761" s="1"/>
      <c r="AU1761" s="1"/>
      <c r="AV1761" s="1"/>
      <c r="AW1761" s="1"/>
      <c r="AX1761" s="1"/>
      <c r="AY1761" s="1"/>
      <c r="AZ1761" s="1"/>
      <c r="BA1761" s="1"/>
      <c r="BB1761" s="1"/>
      <c r="BC1761" s="1"/>
      <c r="BD1761" s="1"/>
      <c r="BE1761" s="1"/>
    </row>
    <row x14ac:dyDescent="0.25" r="1762" customHeight="1" ht="18.75">
      <c r="A1762" s="1"/>
      <c r="B1762" s="2"/>
      <c r="C1762" s="2"/>
      <c r="D1762" s="2"/>
      <c r="E1762" s="2"/>
      <c r="F1762" s="2"/>
      <c r="G1762" s="1"/>
      <c r="H1762" s="1"/>
      <c r="I1762" s="7">
        <v>1.759</v>
      </c>
      <c r="J1762" s="7">
        <f>IF((I1762-ROUNDDOWN(I1762,0))=0, 0, (I1762-ROUNDDOWN(I1762,0)))</f>
      </c>
      <c r="K1762" s="7">
        <f>INDIRECT("C$"&amp;2+MIN(2,ROUNDDOWN(I1762,0))*3)*(-$J1762^3+3*$J1762^2-3*$J1762+1)+INDIRECT("C$"&amp;3+MIN(2,ROUNDDOWN(I1762,0))*3)*(3*$J1762^3-6*$J1762^2+3*$J1762)+INDIRECT("C$"&amp;4+MIN(2,ROUNDDOWN(I1762,0))*3)*(-3*$J1762^3+3*$J1762^2)+INDIRECT("C$"&amp;5+MIN(2,ROUNDDOWN(I1762,0))*3)*$J1762^3</f>
      </c>
      <c r="L1762" s="7">
        <f>INDIRECT("D$"&amp;2+MIN(2,ROUNDDOWN(I1762,0))*3)*(-$J1762^3+3*$J1762^2-3*$J1762+1)+INDIRECT("D$"&amp;3+MIN(2,ROUNDDOWN(I1762,0))*3)*(3*$J1762^3-6*$J1762^2+3*$J1762)+INDIRECT("D$"&amp;4+MIN(2,ROUNDDOWN(I1762,0))*3)*(-3*$J1762^3+3*$J1762^2)+INDIRECT("D$"&amp;5+MIN(2,ROUNDDOWN(I1762,0))*3)*$J1762^3</f>
      </c>
      <c r="M1762" s="7">
        <f>SQRT(K1762^2+L1762^2)</f>
      </c>
      <c r="N1762" s="7">
        <f>(K1763-K1761)</f>
      </c>
      <c r="O1762" s="7">
        <f>+(L1763-L1761)</f>
      </c>
      <c r="P1762" s="7">
        <f>SQRT(O1762^2+N1762^2)</f>
      </c>
      <c r="Q1762" s="7">
        <f>N1762/$P1762</f>
      </c>
      <c r="R1762" s="7">
        <f>O1762/$P1762</f>
      </c>
      <c r="S1762" s="8">
        <f>Q1762^2+R1762^2</f>
      </c>
      <c r="T1762" s="7">
        <f>-R1762</f>
      </c>
      <c r="U1762" s="7">
        <f>Q1762</f>
      </c>
      <c r="V1762" s="7">
        <f>($C$14+($C$15-$C$14)/($D$15-$D$14)*(I1762-$D$14))/2</f>
      </c>
      <c r="W1762" s="7">
        <f>($B$22*I1762^4+$C$22*I1762^3+$D$22*I1762^2+$E$22*I1762+$F$22)/2</f>
      </c>
      <c r="X1762" s="7">
        <f>($W1762)*(T1762)</f>
      </c>
      <c r="Y1762" s="7">
        <f>($W1762)*(U1762)</f>
      </c>
      <c r="Z1762" s="7">
        <f>SQRT(X1762^2+Y1762^2)</f>
      </c>
      <c r="AA1762" s="7">
        <f>$K1762+$X1762</f>
      </c>
      <c r="AB1762" s="7">
        <f>$L1762+$Y1762</f>
      </c>
      <c r="AC1762" s="7">
        <f>$K1762-$X1762</f>
      </c>
      <c r="AD1762" s="7">
        <f>$L1762-$Y1762</f>
      </c>
      <c r="AE1762" s="7">
        <f>AA1762/39.3701</f>
      </c>
      <c r="AF1762" s="7">
        <f>AB1762/39.3701</f>
      </c>
      <c r="AG1762" s="7">
        <f>AC1762/39.3701</f>
      </c>
      <c r="AH1762" s="7">
        <f>AD1762/39.3701</f>
      </c>
      <c r="AI1762" s="1"/>
      <c r="AJ1762" s="1"/>
      <c r="AK1762" s="1"/>
      <c r="AL1762" s="1"/>
      <c r="AM1762" s="2"/>
      <c r="AN1762" s="1"/>
      <c r="AO1762" s="1"/>
      <c r="AP1762" s="1"/>
      <c r="AQ1762" s="1"/>
      <c r="AR1762" s="1"/>
      <c r="AS1762" s="1"/>
      <c r="AT1762" s="1"/>
      <c r="AU1762" s="1"/>
      <c r="AV1762" s="1"/>
      <c r="AW1762" s="1"/>
      <c r="AX1762" s="1"/>
      <c r="AY1762" s="1"/>
      <c r="AZ1762" s="1"/>
      <c r="BA1762" s="1"/>
      <c r="BB1762" s="1"/>
      <c r="BC1762" s="1"/>
      <c r="BD1762" s="1"/>
      <c r="BE1762" s="1"/>
    </row>
    <row x14ac:dyDescent="0.25" r="1763" customHeight="1" ht="18.75">
      <c r="A1763" s="1"/>
      <c r="B1763" s="2"/>
      <c r="C1763" s="2"/>
      <c r="D1763" s="2"/>
      <c r="E1763" s="2"/>
      <c r="F1763" s="2"/>
      <c r="G1763" s="1"/>
      <c r="H1763" s="1"/>
      <c r="I1763" s="7">
        <v>1.76</v>
      </c>
      <c r="J1763" s="7">
        <f>IF((I1763-ROUNDDOWN(I1763,0))=0, 0, (I1763-ROUNDDOWN(I1763,0)))</f>
      </c>
      <c r="K1763" s="7">
        <f>INDIRECT("C$"&amp;2+MIN(2,ROUNDDOWN(I1763,0))*3)*(-$J1763^3+3*$J1763^2-3*$J1763+1)+INDIRECT("C$"&amp;3+MIN(2,ROUNDDOWN(I1763,0))*3)*(3*$J1763^3-6*$J1763^2+3*$J1763)+INDIRECT("C$"&amp;4+MIN(2,ROUNDDOWN(I1763,0))*3)*(-3*$J1763^3+3*$J1763^2)+INDIRECT("C$"&amp;5+MIN(2,ROUNDDOWN(I1763,0))*3)*$J1763^3</f>
      </c>
      <c r="L1763" s="7">
        <f>INDIRECT("D$"&amp;2+MIN(2,ROUNDDOWN(I1763,0))*3)*(-$J1763^3+3*$J1763^2-3*$J1763+1)+INDIRECT("D$"&amp;3+MIN(2,ROUNDDOWN(I1763,0))*3)*(3*$J1763^3-6*$J1763^2+3*$J1763)+INDIRECT("D$"&amp;4+MIN(2,ROUNDDOWN(I1763,0))*3)*(-3*$J1763^3+3*$J1763^2)+INDIRECT("D$"&amp;5+MIN(2,ROUNDDOWN(I1763,0))*3)*$J1763^3</f>
      </c>
      <c r="M1763" s="7">
        <f>SQRT(K1763^2+L1763^2)</f>
      </c>
      <c r="N1763" s="7">
        <f>(K1764-K1762)</f>
      </c>
      <c r="O1763" s="7">
        <f>+(L1764-L1762)</f>
      </c>
      <c r="P1763" s="7">
        <f>SQRT(O1763^2+N1763^2)</f>
      </c>
      <c r="Q1763" s="7">
        <f>N1763/$P1763</f>
      </c>
      <c r="R1763" s="7">
        <f>O1763/$P1763</f>
      </c>
      <c r="S1763" s="8">
        <f>Q1763^2+R1763^2</f>
      </c>
      <c r="T1763" s="7">
        <f>-R1763</f>
      </c>
      <c r="U1763" s="7">
        <f>Q1763</f>
      </c>
      <c r="V1763" s="7">
        <f>($C$14+($C$15-$C$14)/($D$15-$D$14)*(I1763-$D$14))/2</f>
      </c>
      <c r="W1763" s="7">
        <f>($B$22*I1763^4+$C$22*I1763^3+$D$22*I1763^2+$E$22*I1763+$F$22)/2</f>
      </c>
      <c r="X1763" s="7">
        <f>($W1763)*(T1763)</f>
      </c>
      <c r="Y1763" s="7">
        <f>($W1763)*(U1763)</f>
      </c>
      <c r="Z1763" s="7">
        <f>SQRT(X1763^2+Y1763^2)</f>
      </c>
      <c r="AA1763" s="7">
        <f>$K1763+$X1763</f>
      </c>
      <c r="AB1763" s="7">
        <f>$L1763+$Y1763</f>
      </c>
      <c r="AC1763" s="7">
        <f>$K1763-$X1763</f>
      </c>
      <c r="AD1763" s="7">
        <f>$L1763-$Y1763</f>
      </c>
      <c r="AE1763" s="7">
        <f>AA1763/39.3701</f>
      </c>
      <c r="AF1763" s="7">
        <f>AB1763/39.3701</f>
      </c>
      <c r="AG1763" s="7">
        <f>AC1763/39.3701</f>
      </c>
      <c r="AH1763" s="7">
        <f>AD1763/39.3701</f>
      </c>
      <c r="AI1763" s="1"/>
      <c r="AJ1763" s="1"/>
      <c r="AK1763" s="1"/>
      <c r="AL1763" s="1"/>
      <c r="AM1763" s="2"/>
      <c r="AN1763" s="1"/>
      <c r="AO1763" s="1"/>
      <c r="AP1763" s="1"/>
      <c r="AQ1763" s="1"/>
      <c r="AR1763" s="1"/>
      <c r="AS1763" s="1"/>
      <c r="AT1763" s="1"/>
      <c r="AU1763" s="1"/>
      <c r="AV1763" s="1"/>
      <c r="AW1763" s="1"/>
      <c r="AX1763" s="1"/>
      <c r="AY1763" s="1"/>
      <c r="AZ1763" s="1"/>
      <c r="BA1763" s="1"/>
      <c r="BB1763" s="1"/>
      <c r="BC1763" s="1"/>
      <c r="BD1763" s="1"/>
      <c r="BE1763" s="1"/>
    </row>
    <row x14ac:dyDescent="0.25" r="1764" customHeight="1" ht="18.75">
      <c r="A1764" s="1"/>
      <c r="B1764" s="2"/>
      <c r="C1764" s="2"/>
      <c r="D1764" s="2"/>
      <c r="E1764" s="2"/>
      <c r="F1764" s="2"/>
      <c r="G1764" s="1"/>
      <c r="H1764" s="1"/>
      <c r="I1764" s="7">
        <v>1.761</v>
      </c>
      <c r="J1764" s="7">
        <f>IF((I1764-ROUNDDOWN(I1764,0))=0, 0, (I1764-ROUNDDOWN(I1764,0)))</f>
      </c>
      <c r="K1764" s="7">
        <f>INDIRECT("C$"&amp;2+MIN(2,ROUNDDOWN(I1764,0))*3)*(-$J1764^3+3*$J1764^2-3*$J1764+1)+INDIRECT("C$"&amp;3+MIN(2,ROUNDDOWN(I1764,0))*3)*(3*$J1764^3-6*$J1764^2+3*$J1764)+INDIRECT("C$"&amp;4+MIN(2,ROUNDDOWN(I1764,0))*3)*(-3*$J1764^3+3*$J1764^2)+INDIRECT("C$"&amp;5+MIN(2,ROUNDDOWN(I1764,0))*3)*$J1764^3</f>
      </c>
      <c r="L1764" s="7">
        <f>INDIRECT("D$"&amp;2+MIN(2,ROUNDDOWN(I1764,0))*3)*(-$J1764^3+3*$J1764^2-3*$J1764+1)+INDIRECT("D$"&amp;3+MIN(2,ROUNDDOWN(I1764,0))*3)*(3*$J1764^3-6*$J1764^2+3*$J1764)+INDIRECT("D$"&amp;4+MIN(2,ROUNDDOWN(I1764,0))*3)*(-3*$J1764^3+3*$J1764^2)+INDIRECT("D$"&amp;5+MIN(2,ROUNDDOWN(I1764,0))*3)*$J1764^3</f>
      </c>
      <c r="M1764" s="7">
        <f>SQRT(K1764^2+L1764^2)</f>
      </c>
      <c r="N1764" s="7">
        <f>(K1765-K1763)</f>
      </c>
      <c r="O1764" s="7">
        <f>+(L1765-L1763)</f>
      </c>
      <c r="P1764" s="7">
        <f>SQRT(O1764^2+N1764^2)</f>
      </c>
      <c r="Q1764" s="7">
        <f>N1764/$P1764</f>
      </c>
      <c r="R1764" s="7">
        <f>O1764/$P1764</f>
      </c>
      <c r="S1764" s="7">
        <f>Q1764^2+R1764^2</f>
      </c>
      <c r="T1764" s="7">
        <f>-R1764</f>
      </c>
      <c r="U1764" s="7">
        <f>Q1764</f>
      </c>
      <c r="V1764" s="7">
        <f>($C$14+($C$15-$C$14)/($D$15-$D$14)*(I1764-$D$14))/2</f>
      </c>
      <c r="W1764" s="7">
        <f>($B$22*I1764^4+$C$22*I1764^3+$D$22*I1764^2+$E$22*I1764+$F$22)/2</f>
      </c>
      <c r="X1764" s="7">
        <f>($W1764)*(T1764)</f>
      </c>
      <c r="Y1764" s="7">
        <f>($W1764)*(U1764)</f>
      </c>
      <c r="Z1764" s="7">
        <f>SQRT(X1764^2+Y1764^2)</f>
      </c>
      <c r="AA1764" s="7">
        <f>$K1764+$X1764</f>
      </c>
      <c r="AB1764" s="7">
        <f>$L1764+$Y1764</f>
      </c>
      <c r="AC1764" s="7">
        <f>$K1764-$X1764</f>
      </c>
      <c r="AD1764" s="7">
        <f>$L1764-$Y1764</f>
      </c>
      <c r="AE1764" s="7">
        <f>AA1764/39.3701</f>
      </c>
      <c r="AF1764" s="7">
        <f>AB1764/39.3701</f>
      </c>
      <c r="AG1764" s="7">
        <f>AC1764/39.3701</f>
      </c>
      <c r="AH1764" s="7">
        <f>AD1764/39.3701</f>
      </c>
      <c r="AI1764" s="1"/>
      <c r="AJ1764" s="1"/>
      <c r="AK1764" s="1"/>
      <c r="AL1764" s="1"/>
      <c r="AM1764" s="2"/>
      <c r="AN1764" s="1"/>
      <c r="AO1764" s="1"/>
      <c r="AP1764" s="1"/>
      <c r="AQ1764" s="1"/>
      <c r="AR1764" s="1"/>
      <c r="AS1764" s="1"/>
      <c r="AT1764" s="1"/>
      <c r="AU1764" s="1"/>
      <c r="AV1764" s="1"/>
      <c r="AW1764" s="1"/>
      <c r="AX1764" s="1"/>
      <c r="AY1764" s="1"/>
      <c r="AZ1764" s="1"/>
      <c r="BA1764" s="1"/>
      <c r="BB1764" s="1"/>
      <c r="BC1764" s="1"/>
      <c r="BD1764" s="1"/>
      <c r="BE1764" s="1"/>
    </row>
    <row x14ac:dyDescent="0.25" r="1765" customHeight="1" ht="18.75">
      <c r="A1765" s="1"/>
      <c r="B1765" s="2"/>
      <c r="C1765" s="2"/>
      <c r="D1765" s="2"/>
      <c r="E1765" s="2"/>
      <c r="F1765" s="2"/>
      <c r="G1765" s="1"/>
      <c r="H1765" s="1"/>
      <c r="I1765" s="7">
        <v>1.762</v>
      </c>
      <c r="J1765" s="7">
        <f>IF((I1765-ROUNDDOWN(I1765,0))=0, 0, (I1765-ROUNDDOWN(I1765,0)))</f>
      </c>
      <c r="K1765" s="7">
        <f>INDIRECT("C$"&amp;2+MIN(2,ROUNDDOWN(I1765,0))*3)*(-$J1765^3+3*$J1765^2-3*$J1765+1)+INDIRECT("C$"&amp;3+MIN(2,ROUNDDOWN(I1765,0))*3)*(3*$J1765^3-6*$J1765^2+3*$J1765)+INDIRECT("C$"&amp;4+MIN(2,ROUNDDOWN(I1765,0))*3)*(-3*$J1765^3+3*$J1765^2)+INDIRECT("C$"&amp;5+MIN(2,ROUNDDOWN(I1765,0))*3)*$J1765^3</f>
      </c>
      <c r="L1765" s="7">
        <f>INDIRECT("D$"&amp;2+MIN(2,ROUNDDOWN(I1765,0))*3)*(-$J1765^3+3*$J1765^2-3*$J1765+1)+INDIRECT("D$"&amp;3+MIN(2,ROUNDDOWN(I1765,0))*3)*(3*$J1765^3-6*$J1765^2+3*$J1765)+INDIRECT("D$"&amp;4+MIN(2,ROUNDDOWN(I1765,0))*3)*(-3*$J1765^3+3*$J1765^2)+INDIRECT("D$"&amp;5+MIN(2,ROUNDDOWN(I1765,0))*3)*$J1765^3</f>
      </c>
      <c r="M1765" s="7">
        <f>SQRT(K1765^2+L1765^2)</f>
      </c>
      <c r="N1765" s="7">
        <f>(K1766-K1764)</f>
      </c>
      <c r="O1765" s="7">
        <f>+(L1766-L1764)</f>
      </c>
      <c r="P1765" s="7">
        <f>SQRT(O1765^2+N1765^2)</f>
      </c>
      <c r="Q1765" s="7">
        <f>N1765/$P1765</f>
      </c>
      <c r="R1765" s="7">
        <f>O1765/$P1765</f>
      </c>
      <c r="S1765" s="8">
        <f>Q1765^2+R1765^2</f>
      </c>
      <c r="T1765" s="7">
        <f>-R1765</f>
      </c>
      <c r="U1765" s="7">
        <f>Q1765</f>
      </c>
      <c r="V1765" s="7">
        <f>($C$14+($C$15-$C$14)/($D$15-$D$14)*(I1765-$D$14))/2</f>
      </c>
      <c r="W1765" s="7">
        <f>($B$22*I1765^4+$C$22*I1765^3+$D$22*I1765^2+$E$22*I1765+$F$22)/2</f>
      </c>
      <c r="X1765" s="7">
        <f>($W1765)*(T1765)</f>
      </c>
      <c r="Y1765" s="7">
        <f>($W1765)*(U1765)</f>
      </c>
      <c r="Z1765" s="7">
        <f>SQRT(X1765^2+Y1765^2)</f>
      </c>
      <c r="AA1765" s="7">
        <f>$K1765+$X1765</f>
      </c>
      <c r="AB1765" s="7">
        <f>$L1765+$Y1765</f>
      </c>
      <c r="AC1765" s="7">
        <f>$K1765-$X1765</f>
      </c>
      <c r="AD1765" s="7">
        <f>$L1765-$Y1765</f>
      </c>
      <c r="AE1765" s="7">
        <f>AA1765/39.3701</f>
      </c>
      <c r="AF1765" s="7">
        <f>AB1765/39.3701</f>
      </c>
      <c r="AG1765" s="7">
        <f>AC1765/39.3701</f>
      </c>
      <c r="AH1765" s="7">
        <f>AD1765/39.3701</f>
      </c>
      <c r="AI1765" s="1"/>
      <c r="AJ1765" s="1"/>
      <c r="AK1765" s="1"/>
      <c r="AL1765" s="1"/>
      <c r="AM1765" s="2"/>
      <c r="AN1765" s="1"/>
      <c r="AO1765" s="1"/>
      <c r="AP1765" s="1"/>
      <c r="AQ1765" s="1"/>
      <c r="AR1765" s="1"/>
      <c r="AS1765" s="1"/>
      <c r="AT1765" s="1"/>
      <c r="AU1765" s="1"/>
      <c r="AV1765" s="1"/>
      <c r="AW1765" s="1"/>
      <c r="AX1765" s="1"/>
      <c r="AY1765" s="1"/>
      <c r="AZ1765" s="1"/>
      <c r="BA1765" s="1"/>
      <c r="BB1765" s="1"/>
      <c r="BC1765" s="1"/>
      <c r="BD1765" s="1"/>
      <c r="BE1765" s="1"/>
    </row>
    <row x14ac:dyDescent="0.25" r="1766" customHeight="1" ht="18.75">
      <c r="A1766" s="1"/>
      <c r="B1766" s="2"/>
      <c r="C1766" s="2"/>
      <c r="D1766" s="2"/>
      <c r="E1766" s="2"/>
      <c r="F1766" s="2"/>
      <c r="G1766" s="1"/>
      <c r="H1766" s="1"/>
      <c r="I1766" s="7">
        <v>1.763</v>
      </c>
      <c r="J1766" s="7">
        <f>IF((I1766-ROUNDDOWN(I1766,0))=0, 0, (I1766-ROUNDDOWN(I1766,0)))</f>
      </c>
      <c r="K1766" s="7">
        <f>INDIRECT("C$"&amp;2+MIN(2,ROUNDDOWN(I1766,0))*3)*(-$J1766^3+3*$J1766^2-3*$J1766+1)+INDIRECT("C$"&amp;3+MIN(2,ROUNDDOWN(I1766,0))*3)*(3*$J1766^3-6*$J1766^2+3*$J1766)+INDIRECT("C$"&amp;4+MIN(2,ROUNDDOWN(I1766,0))*3)*(-3*$J1766^3+3*$J1766^2)+INDIRECT("C$"&amp;5+MIN(2,ROUNDDOWN(I1766,0))*3)*$J1766^3</f>
      </c>
      <c r="L1766" s="7">
        <f>INDIRECT("D$"&amp;2+MIN(2,ROUNDDOWN(I1766,0))*3)*(-$J1766^3+3*$J1766^2-3*$J1766+1)+INDIRECT("D$"&amp;3+MIN(2,ROUNDDOWN(I1766,0))*3)*(3*$J1766^3-6*$J1766^2+3*$J1766)+INDIRECT("D$"&amp;4+MIN(2,ROUNDDOWN(I1766,0))*3)*(-3*$J1766^3+3*$J1766^2)+INDIRECT("D$"&amp;5+MIN(2,ROUNDDOWN(I1766,0))*3)*$J1766^3</f>
      </c>
      <c r="M1766" s="7">
        <f>SQRT(K1766^2+L1766^2)</f>
      </c>
      <c r="N1766" s="7">
        <f>(K1767-K1765)</f>
      </c>
      <c r="O1766" s="7">
        <f>+(L1767-L1765)</f>
      </c>
      <c r="P1766" s="7">
        <f>SQRT(O1766^2+N1766^2)</f>
      </c>
      <c r="Q1766" s="7">
        <f>N1766/$P1766</f>
      </c>
      <c r="R1766" s="7">
        <f>O1766/$P1766</f>
      </c>
      <c r="S1766" s="8">
        <f>Q1766^2+R1766^2</f>
      </c>
      <c r="T1766" s="7">
        <f>-R1766</f>
      </c>
      <c r="U1766" s="7">
        <f>Q1766</f>
      </c>
      <c r="V1766" s="7">
        <f>($C$14+($C$15-$C$14)/($D$15-$D$14)*(I1766-$D$14))/2</f>
      </c>
      <c r="W1766" s="7">
        <f>($B$22*I1766^4+$C$22*I1766^3+$D$22*I1766^2+$E$22*I1766+$F$22)/2</f>
      </c>
      <c r="X1766" s="7">
        <f>($W1766)*(T1766)</f>
      </c>
      <c r="Y1766" s="7">
        <f>($W1766)*(U1766)</f>
      </c>
      <c r="Z1766" s="7">
        <f>SQRT(X1766^2+Y1766^2)</f>
      </c>
      <c r="AA1766" s="7">
        <f>$K1766+$X1766</f>
      </c>
      <c r="AB1766" s="7">
        <f>$L1766+$Y1766</f>
      </c>
      <c r="AC1766" s="7">
        <f>$K1766-$X1766</f>
      </c>
      <c r="AD1766" s="7">
        <f>$L1766-$Y1766</f>
      </c>
      <c r="AE1766" s="7">
        <f>AA1766/39.3701</f>
      </c>
      <c r="AF1766" s="7">
        <f>AB1766/39.3701</f>
      </c>
      <c r="AG1766" s="7">
        <f>AC1766/39.3701</f>
      </c>
      <c r="AH1766" s="7">
        <f>AD1766/39.3701</f>
      </c>
      <c r="AI1766" s="1"/>
      <c r="AJ1766" s="1"/>
      <c r="AK1766" s="1"/>
      <c r="AL1766" s="1"/>
      <c r="AM1766" s="2"/>
      <c r="AN1766" s="1"/>
      <c r="AO1766" s="1"/>
      <c r="AP1766" s="1"/>
      <c r="AQ1766" s="1"/>
      <c r="AR1766" s="1"/>
      <c r="AS1766" s="1"/>
      <c r="AT1766" s="1"/>
      <c r="AU1766" s="1"/>
      <c r="AV1766" s="1"/>
      <c r="AW1766" s="1"/>
      <c r="AX1766" s="1"/>
      <c r="AY1766" s="1"/>
      <c r="AZ1766" s="1"/>
      <c r="BA1766" s="1"/>
      <c r="BB1766" s="1"/>
      <c r="BC1766" s="1"/>
      <c r="BD1766" s="1"/>
      <c r="BE1766" s="1"/>
    </row>
    <row x14ac:dyDescent="0.25" r="1767" customHeight="1" ht="18.75">
      <c r="A1767" s="1"/>
      <c r="B1767" s="2"/>
      <c r="C1767" s="2"/>
      <c r="D1767" s="2"/>
      <c r="E1767" s="2"/>
      <c r="F1767" s="2"/>
      <c r="G1767" s="1"/>
      <c r="H1767" s="1"/>
      <c r="I1767" s="7">
        <v>1.764</v>
      </c>
      <c r="J1767" s="7">
        <f>IF((I1767-ROUNDDOWN(I1767,0))=0, 0, (I1767-ROUNDDOWN(I1767,0)))</f>
      </c>
      <c r="K1767" s="7">
        <f>INDIRECT("C$"&amp;2+MIN(2,ROUNDDOWN(I1767,0))*3)*(-$J1767^3+3*$J1767^2-3*$J1767+1)+INDIRECT("C$"&amp;3+MIN(2,ROUNDDOWN(I1767,0))*3)*(3*$J1767^3-6*$J1767^2+3*$J1767)+INDIRECT("C$"&amp;4+MIN(2,ROUNDDOWN(I1767,0))*3)*(-3*$J1767^3+3*$J1767^2)+INDIRECT("C$"&amp;5+MIN(2,ROUNDDOWN(I1767,0))*3)*$J1767^3</f>
      </c>
      <c r="L1767" s="7">
        <f>INDIRECT("D$"&amp;2+MIN(2,ROUNDDOWN(I1767,0))*3)*(-$J1767^3+3*$J1767^2-3*$J1767+1)+INDIRECT("D$"&amp;3+MIN(2,ROUNDDOWN(I1767,0))*3)*(3*$J1767^3-6*$J1767^2+3*$J1767)+INDIRECT("D$"&amp;4+MIN(2,ROUNDDOWN(I1767,0))*3)*(-3*$J1767^3+3*$J1767^2)+INDIRECT("D$"&amp;5+MIN(2,ROUNDDOWN(I1767,0))*3)*$J1767^3</f>
      </c>
      <c r="M1767" s="7">
        <f>SQRT(K1767^2+L1767^2)</f>
      </c>
      <c r="N1767" s="7">
        <f>(K1768-K1766)</f>
      </c>
      <c r="O1767" s="7">
        <f>+(L1768-L1766)</f>
      </c>
      <c r="P1767" s="7">
        <f>SQRT(O1767^2+N1767^2)</f>
      </c>
      <c r="Q1767" s="7">
        <f>N1767/$P1767</f>
      </c>
      <c r="R1767" s="7">
        <f>O1767/$P1767</f>
      </c>
      <c r="S1767" s="7">
        <f>Q1767^2+R1767^2</f>
      </c>
      <c r="T1767" s="7">
        <f>-R1767</f>
      </c>
      <c r="U1767" s="7">
        <f>Q1767</f>
      </c>
      <c r="V1767" s="7">
        <f>($C$14+($C$15-$C$14)/($D$15-$D$14)*(I1767-$D$14))/2</f>
      </c>
      <c r="W1767" s="7">
        <f>($B$22*I1767^4+$C$22*I1767^3+$D$22*I1767^2+$E$22*I1767+$F$22)/2</f>
      </c>
      <c r="X1767" s="7">
        <f>($W1767)*(T1767)</f>
      </c>
      <c r="Y1767" s="7">
        <f>($W1767)*(U1767)</f>
      </c>
      <c r="Z1767" s="7">
        <f>SQRT(X1767^2+Y1767^2)</f>
      </c>
      <c r="AA1767" s="7">
        <f>$K1767+$X1767</f>
      </c>
      <c r="AB1767" s="7">
        <f>$L1767+$Y1767</f>
      </c>
      <c r="AC1767" s="7">
        <f>$K1767-$X1767</f>
      </c>
      <c r="AD1767" s="7">
        <f>$L1767-$Y1767</f>
      </c>
      <c r="AE1767" s="7">
        <f>AA1767/39.3701</f>
      </c>
      <c r="AF1767" s="7">
        <f>AB1767/39.3701</f>
      </c>
      <c r="AG1767" s="7">
        <f>AC1767/39.3701</f>
      </c>
      <c r="AH1767" s="7">
        <f>AD1767/39.3701</f>
      </c>
      <c r="AI1767" s="1"/>
      <c r="AJ1767" s="1"/>
      <c r="AK1767" s="1"/>
      <c r="AL1767" s="1"/>
      <c r="AM1767" s="2"/>
      <c r="AN1767" s="1"/>
      <c r="AO1767" s="1"/>
      <c r="AP1767" s="1"/>
      <c r="AQ1767" s="1"/>
      <c r="AR1767" s="1"/>
      <c r="AS1767" s="1"/>
      <c r="AT1767" s="1"/>
      <c r="AU1767" s="1"/>
      <c r="AV1767" s="1"/>
      <c r="AW1767" s="1"/>
      <c r="AX1767" s="1"/>
      <c r="AY1767" s="1"/>
      <c r="AZ1767" s="1"/>
      <c r="BA1767" s="1"/>
      <c r="BB1767" s="1"/>
      <c r="BC1767" s="1"/>
      <c r="BD1767" s="1"/>
      <c r="BE1767" s="1"/>
    </row>
    <row x14ac:dyDescent="0.25" r="1768" customHeight="1" ht="18.75">
      <c r="A1768" s="1"/>
      <c r="B1768" s="2"/>
      <c r="C1768" s="2"/>
      <c r="D1768" s="2"/>
      <c r="E1768" s="2"/>
      <c r="F1768" s="2"/>
      <c r="G1768" s="1"/>
      <c r="H1768" s="1"/>
      <c r="I1768" s="7">
        <v>1.765</v>
      </c>
      <c r="J1768" s="7">
        <f>IF((I1768-ROUNDDOWN(I1768,0))=0, 0, (I1768-ROUNDDOWN(I1768,0)))</f>
      </c>
      <c r="K1768" s="7">
        <f>INDIRECT("C$"&amp;2+MIN(2,ROUNDDOWN(I1768,0))*3)*(-$J1768^3+3*$J1768^2-3*$J1768+1)+INDIRECT("C$"&amp;3+MIN(2,ROUNDDOWN(I1768,0))*3)*(3*$J1768^3-6*$J1768^2+3*$J1768)+INDIRECT("C$"&amp;4+MIN(2,ROUNDDOWN(I1768,0))*3)*(-3*$J1768^3+3*$J1768^2)+INDIRECT("C$"&amp;5+MIN(2,ROUNDDOWN(I1768,0))*3)*$J1768^3</f>
      </c>
      <c r="L1768" s="7">
        <f>INDIRECT("D$"&amp;2+MIN(2,ROUNDDOWN(I1768,0))*3)*(-$J1768^3+3*$J1768^2-3*$J1768+1)+INDIRECT("D$"&amp;3+MIN(2,ROUNDDOWN(I1768,0))*3)*(3*$J1768^3-6*$J1768^2+3*$J1768)+INDIRECT("D$"&amp;4+MIN(2,ROUNDDOWN(I1768,0))*3)*(-3*$J1768^3+3*$J1768^2)+INDIRECT("D$"&amp;5+MIN(2,ROUNDDOWN(I1768,0))*3)*$J1768^3</f>
      </c>
      <c r="M1768" s="7">
        <f>SQRT(K1768^2+L1768^2)</f>
      </c>
      <c r="N1768" s="7">
        <f>(K1769-K1767)</f>
      </c>
      <c r="O1768" s="7">
        <f>+(L1769-L1767)</f>
      </c>
      <c r="P1768" s="7">
        <f>SQRT(O1768^2+N1768^2)</f>
      </c>
      <c r="Q1768" s="7">
        <f>N1768/$P1768</f>
      </c>
      <c r="R1768" s="7">
        <f>O1768/$P1768</f>
      </c>
      <c r="S1768" s="7">
        <f>Q1768^2+R1768^2</f>
      </c>
      <c r="T1768" s="7">
        <f>-R1768</f>
      </c>
      <c r="U1768" s="7">
        <f>Q1768</f>
      </c>
      <c r="V1768" s="7">
        <f>($C$14+($C$15-$C$14)/($D$15-$D$14)*(I1768-$D$14))/2</f>
      </c>
      <c r="W1768" s="7">
        <f>($B$22*I1768^4+$C$22*I1768^3+$D$22*I1768^2+$E$22*I1768+$F$22)/2</f>
      </c>
      <c r="X1768" s="7">
        <f>($W1768)*(T1768)</f>
      </c>
      <c r="Y1768" s="7">
        <f>($W1768)*(U1768)</f>
      </c>
      <c r="Z1768" s="7">
        <f>SQRT(X1768^2+Y1768^2)</f>
      </c>
      <c r="AA1768" s="7">
        <f>$K1768+$X1768</f>
      </c>
      <c r="AB1768" s="7">
        <f>$L1768+$Y1768</f>
      </c>
      <c r="AC1768" s="7">
        <f>$K1768-$X1768</f>
      </c>
      <c r="AD1768" s="7">
        <f>$L1768-$Y1768</f>
      </c>
      <c r="AE1768" s="7">
        <f>AA1768/39.3701</f>
      </c>
      <c r="AF1768" s="7">
        <f>AB1768/39.3701</f>
      </c>
      <c r="AG1768" s="7">
        <f>AC1768/39.3701</f>
      </c>
      <c r="AH1768" s="7">
        <f>AD1768/39.3701</f>
      </c>
      <c r="AI1768" s="1"/>
      <c r="AJ1768" s="1"/>
      <c r="AK1768" s="1"/>
      <c r="AL1768" s="1"/>
      <c r="AM1768" s="2"/>
      <c r="AN1768" s="1"/>
      <c r="AO1768" s="1"/>
      <c r="AP1768" s="1"/>
      <c r="AQ1768" s="1"/>
      <c r="AR1768" s="1"/>
      <c r="AS1768" s="1"/>
      <c r="AT1768" s="1"/>
      <c r="AU1768" s="1"/>
      <c r="AV1768" s="1"/>
      <c r="AW1768" s="1"/>
      <c r="AX1768" s="1"/>
      <c r="AY1768" s="1"/>
      <c r="AZ1768" s="1"/>
      <c r="BA1768" s="1"/>
      <c r="BB1768" s="1"/>
      <c r="BC1768" s="1"/>
      <c r="BD1768" s="1"/>
      <c r="BE1768" s="1"/>
    </row>
    <row x14ac:dyDescent="0.25" r="1769" customHeight="1" ht="18.75">
      <c r="A1769" s="1"/>
      <c r="B1769" s="2"/>
      <c r="C1769" s="2"/>
      <c r="D1769" s="2"/>
      <c r="E1769" s="2"/>
      <c r="F1769" s="2"/>
      <c r="G1769" s="1"/>
      <c r="H1769" s="1"/>
      <c r="I1769" s="7">
        <v>1.766</v>
      </c>
      <c r="J1769" s="7">
        <f>IF((I1769-ROUNDDOWN(I1769,0))=0, 0, (I1769-ROUNDDOWN(I1769,0)))</f>
      </c>
      <c r="K1769" s="7">
        <f>INDIRECT("C$"&amp;2+MIN(2,ROUNDDOWN(I1769,0))*3)*(-$J1769^3+3*$J1769^2-3*$J1769+1)+INDIRECT("C$"&amp;3+MIN(2,ROUNDDOWN(I1769,0))*3)*(3*$J1769^3-6*$J1769^2+3*$J1769)+INDIRECT("C$"&amp;4+MIN(2,ROUNDDOWN(I1769,0))*3)*(-3*$J1769^3+3*$J1769^2)+INDIRECT("C$"&amp;5+MIN(2,ROUNDDOWN(I1769,0))*3)*$J1769^3</f>
      </c>
      <c r="L1769" s="7">
        <f>INDIRECT("D$"&amp;2+MIN(2,ROUNDDOWN(I1769,0))*3)*(-$J1769^3+3*$J1769^2-3*$J1769+1)+INDIRECT("D$"&amp;3+MIN(2,ROUNDDOWN(I1769,0))*3)*(3*$J1769^3-6*$J1769^2+3*$J1769)+INDIRECT("D$"&amp;4+MIN(2,ROUNDDOWN(I1769,0))*3)*(-3*$J1769^3+3*$J1769^2)+INDIRECT("D$"&amp;5+MIN(2,ROUNDDOWN(I1769,0))*3)*$J1769^3</f>
      </c>
      <c r="M1769" s="7">
        <f>SQRT(K1769^2+L1769^2)</f>
      </c>
      <c r="N1769" s="7">
        <f>(K1770-K1768)</f>
      </c>
      <c r="O1769" s="7">
        <f>+(L1770-L1768)</f>
      </c>
      <c r="P1769" s="7">
        <f>SQRT(O1769^2+N1769^2)</f>
      </c>
      <c r="Q1769" s="7">
        <f>N1769/$P1769</f>
      </c>
      <c r="R1769" s="7">
        <f>O1769/$P1769</f>
      </c>
      <c r="S1769" s="7">
        <f>Q1769^2+R1769^2</f>
      </c>
      <c r="T1769" s="7">
        <f>-R1769</f>
      </c>
      <c r="U1769" s="7">
        <f>Q1769</f>
      </c>
      <c r="V1769" s="7">
        <f>($C$14+($C$15-$C$14)/($D$15-$D$14)*(I1769-$D$14))/2</f>
      </c>
      <c r="W1769" s="7">
        <f>($B$22*I1769^4+$C$22*I1769^3+$D$22*I1769^2+$E$22*I1769+$F$22)/2</f>
      </c>
      <c r="X1769" s="7">
        <f>($W1769)*(T1769)</f>
      </c>
      <c r="Y1769" s="7">
        <f>($W1769)*(U1769)</f>
      </c>
      <c r="Z1769" s="7">
        <f>SQRT(X1769^2+Y1769^2)</f>
      </c>
      <c r="AA1769" s="7">
        <f>$K1769+$X1769</f>
      </c>
      <c r="AB1769" s="7">
        <f>$L1769+$Y1769</f>
      </c>
      <c r="AC1769" s="7">
        <f>$K1769-$X1769</f>
      </c>
      <c r="AD1769" s="7">
        <f>$L1769-$Y1769</f>
      </c>
      <c r="AE1769" s="7">
        <f>AA1769/39.3701</f>
      </c>
      <c r="AF1769" s="7">
        <f>AB1769/39.3701</f>
      </c>
      <c r="AG1769" s="7">
        <f>AC1769/39.3701</f>
      </c>
      <c r="AH1769" s="7">
        <f>AD1769/39.3701</f>
      </c>
      <c r="AI1769" s="1"/>
      <c r="AJ1769" s="1"/>
      <c r="AK1769" s="1"/>
      <c r="AL1769" s="1"/>
      <c r="AM1769" s="2"/>
      <c r="AN1769" s="1"/>
      <c r="AO1769" s="1"/>
      <c r="AP1769" s="1"/>
      <c r="AQ1769" s="1"/>
      <c r="AR1769" s="1"/>
      <c r="AS1769" s="1"/>
      <c r="AT1769" s="1"/>
      <c r="AU1769" s="1"/>
      <c r="AV1769" s="1"/>
      <c r="AW1769" s="1"/>
      <c r="AX1769" s="1"/>
      <c r="AY1769" s="1"/>
      <c r="AZ1769" s="1"/>
      <c r="BA1769" s="1"/>
      <c r="BB1769" s="1"/>
      <c r="BC1769" s="1"/>
      <c r="BD1769" s="1"/>
      <c r="BE1769" s="1"/>
    </row>
    <row x14ac:dyDescent="0.25" r="1770" customHeight="1" ht="18.75">
      <c r="A1770" s="1"/>
      <c r="B1770" s="2"/>
      <c r="C1770" s="2"/>
      <c r="D1770" s="2"/>
      <c r="E1770" s="2"/>
      <c r="F1770" s="2"/>
      <c r="G1770" s="1"/>
      <c r="H1770" s="1"/>
      <c r="I1770" s="7">
        <v>1.767</v>
      </c>
      <c r="J1770" s="7">
        <f>IF((I1770-ROUNDDOWN(I1770,0))=0, 0, (I1770-ROUNDDOWN(I1770,0)))</f>
      </c>
      <c r="K1770" s="7">
        <f>INDIRECT("C$"&amp;2+MIN(2,ROUNDDOWN(I1770,0))*3)*(-$J1770^3+3*$J1770^2-3*$J1770+1)+INDIRECT("C$"&amp;3+MIN(2,ROUNDDOWN(I1770,0))*3)*(3*$J1770^3-6*$J1770^2+3*$J1770)+INDIRECT("C$"&amp;4+MIN(2,ROUNDDOWN(I1770,0))*3)*(-3*$J1770^3+3*$J1770^2)+INDIRECT("C$"&amp;5+MIN(2,ROUNDDOWN(I1770,0))*3)*$J1770^3</f>
      </c>
      <c r="L1770" s="7">
        <f>INDIRECT("D$"&amp;2+MIN(2,ROUNDDOWN(I1770,0))*3)*(-$J1770^3+3*$J1770^2-3*$J1770+1)+INDIRECT("D$"&amp;3+MIN(2,ROUNDDOWN(I1770,0))*3)*(3*$J1770^3-6*$J1770^2+3*$J1770)+INDIRECT("D$"&amp;4+MIN(2,ROUNDDOWN(I1770,0))*3)*(-3*$J1770^3+3*$J1770^2)+INDIRECT("D$"&amp;5+MIN(2,ROUNDDOWN(I1770,0))*3)*$J1770^3</f>
      </c>
      <c r="M1770" s="7">
        <f>SQRT(K1770^2+L1770^2)</f>
      </c>
      <c r="N1770" s="7">
        <f>(K1771-K1769)</f>
      </c>
      <c r="O1770" s="7">
        <f>+(L1771-L1769)</f>
      </c>
      <c r="P1770" s="7">
        <f>SQRT(O1770^2+N1770^2)</f>
      </c>
      <c r="Q1770" s="7">
        <f>N1770/$P1770</f>
      </c>
      <c r="R1770" s="7">
        <f>O1770/$P1770</f>
      </c>
      <c r="S1770" s="8">
        <f>Q1770^2+R1770^2</f>
      </c>
      <c r="T1770" s="7">
        <f>-R1770</f>
      </c>
      <c r="U1770" s="7">
        <f>Q1770</f>
      </c>
      <c r="V1770" s="7">
        <f>($C$14+($C$15-$C$14)/($D$15-$D$14)*(I1770-$D$14))/2</f>
      </c>
      <c r="W1770" s="7">
        <f>($B$22*I1770^4+$C$22*I1770^3+$D$22*I1770^2+$E$22*I1770+$F$22)/2</f>
      </c>
      <c r="X1770" s="7">
        <f>($W1770)*(T1770)</f>
      </c>
      <c r="Y1770" s="7">
        <f>($W1770)*(U1770)</f>
      </c>
      <c r="Z1770" s="7">
        <f>SQRT(X1770^2+Y1770^2)</f>
      </c>
      <c r="AA1770" s="7">
        <f>$K1770+$X1770</f>
      </c>
      <c r="AB1770" s="7">
        <f>$L1770+$Y1770</f>
      </c>
      <c r="AC1770" s="7">
        <f>$K1770-$X1770</f>
      </c>
      <c r="AD1770" s="7">
        <f>$L1770-$Y1770</f>
      </c>
      <c r="AE1770" s="7">
        <f>AA1770/39.3701</f>
      </c>
      <c r="AF1770" s="7">
        <f>AB1770/39.3701</f>
      </c>
      <c r="AG1770" s="7">
        <f>AC1770/39.3701</f>
      </c>
      <c r="AH1770" s="7">
        <f>AD1770/39.3701</f>
      </c>
      <c r="AI1770" s="1"/>
      <c r="AJ1770" s="1"/>
      <c r="AK1770" s="1"/>
      <c r="AL1770" s="1"/>
      <c r="AM1770" s="2"/>
      <c r="AN1770" s="1"/>
      <c r="AO1770" s="1"/>
      <c r="AP1770" s="1"/>
      <c r="AQ1770" s="1"/>
      <c r="AR1770" s="1"/>
      <c r="AS1770" s="1"/>
      <c r="AT1770" s="1"/>
      <c r="AU1770" s="1"/>
      <c r="AV1770" s="1"/>
      <c r="AW1770" s="1"/>
      <c r="AX1770" s="1"/>
      <c r="AY1770" s="1"/>
      <c r="AZ1770" s="1"/>
      <c r="BA1770" s="1"/>
      <c r="BB1770" s="1"/>
      <c r="BC1770" s="1"/>
      <c r="BD1770" s="1"/>
      <c r="BE1770" s="1"/>
    </row>
    <row x14ac:dyDescent="0.25" r="1771" customHeight="1" ht="18.75">
      <c r="A1771" s="1"/>
      <c r="B1771" s="2"/>
      <c r="C1771" s="2"/>
      <c r="D1771" s="2"/>
      <c r="E1771" s="2"/>
      <c r="F1771" s="2"/>
      <c r="G1771" s="1"/>
      <c r="H1771" s="1"/>
      <c r="I1771" s="7">
        <v>1.768</v>
      </c>
      <c r="J1771" s="7">
        <f>IF((I1771-ROUNDDOWN(I1771,0))=0, 0, (I1771-ROUNDDOWN(I1771,0)))</f>
      </c>
      <c r="K1771" s="7">
        <f>INDIRECT("C$"&amp;2+MIN(2,ROUNDDOWN(I1771,0))*3)*(-$J1771^3+3*$J1771^2-3*$J1771+1)+INDIRECT("C$"&amp;3+MIN(2,ROUNDDOWN(I1771,0))*3)*(3*$J1771^3-6*$J1771^2+3*$J1771)+INDIRECT("C$"&amp;4+MIN(2,ROUNDDOWN(I1771,0))*3)*(-3*$J1771^3+3*$J1771^2)+INDIRECT("C$"&amp;5+MIN(2,ROUNDDOWN(I1771,0))*3)*$J1771^3</f>
      </c>
      <c r="L1771" s="7">
        <f>INDIRECT("D$"&amp;2+MIN(2,ROUNDDOWN(I1771,0))*3)*(-$J1771^3+3*$J1771^2-3*$J1771+1)+INDIRECT("D$"&amp;3+MIN(2,ROUNDDOWN(I1771,0))*3)*(3*$J1771^3-6*$J1771^2+3*$J1771)+INDIRECT("D$"&amp;4+MIN(2,ROUNDDOWN(I1771,0))*3)*(-3*$J1771^3+3*$J1771^2)+INDIRECT("D$"&amp;5+MIN(2,ROUNDDOWN(I1771,0))*3)*$J1771^3</f>
      </c>
      <c r="M1771" s="7">
        <f>SQRT(K1771^2+L1771^2)</f>
      </c>
      <c r="N1771" s="7">
        <f>(K1772-K1770)</f>
      </c>
      <c r="O1771" s="7">
        <f>+(L1772-L1770)</f>
      </c>
      <c r="P1771" s="7">
        <f>SQRT(O1771^2+N1771^2)</f>
      </c>
      <c r="Q1771" s="7">
        <f>N1771/$P1771</f>
      </c>
      <c r="R1771" s="7">
        <f>O1771/$P1771</f>
      </c>
      <c r="S1771" s="8">
        <f>Q1771^2+R1771^2</f>
      </c>
      <c r="T1771" s="7">
        <f>-R1771</f>
      </c>
      <c r="U1771" s="7">
        <f>Q1771</f>
      </c>
      <c r="V1771" s="7">
        <f>($C$14+($C$15-$C$14)/($D$15-$D$14)*(I1771-$D$14))/2</f>
      </c>
      <c r="W1771" s="7">
        <f>($B$22*I1771^4+$C$22*I1771^3+$D$22*I1771^2+$E$22*I1771+$F$22)/2</f>
      </c>
      <c r="X1771" s="7">
        <f>($W1771)*(T1771)</f>
      </c>
      <c r="Y1771" s="7">
        <f>($W1771)*(U1771)</f>
      </c>
      <c r="Z1771" s="7">
        <f>SQRT(X1771^2+Y1771^2)</f>
      </c>
      <c r="AA1771" s="7">
        <f>$K1771+$X1771</f>
      </c>
      <c r="AB1771" s="7">
        <f>$L1771+$Y1771</f>
      </c>
      <c r="AC1771" s="7">
        <f>$K1771-$X1771</f>
      </c>
      <c r="AD1771" s="7">
        <f>$L1771-$Y1771</f>
      </c>
      <c r="AE1771" s="7">
        <f>AA1771/39.3701</f>
      </c>
      <c r="AF1771" s="7">
        <f>AB1771/39.3701</f>
      </c>
      <c r="AG1771" s="7">
        <f>AC1771/39.3701</f>
      </c>
      <c r="AH1771" s="7">
        <f>AD1771/39.3701</f>
      </c>
      <c r="AI1771" s="1"/>
      <c r="AJ1771" s="1"/>
      <c r="AK1771" s="1"/>
      <c r="AL1771" s="1"/>
      <c r="AM1771" s="2"/>
      <c r="AN1771" s="1"/>
      <c r="AO1771" s="1"/>
      <c r="AP1771" s="1"/>
      <c r="AQ1771" s="1"/>
      <c r="AR1771" s="1"/>
      <c r="AS1771" s="1"/>
      <c r="AT1771" s="1"/>
      <c r="AU1771" s="1"/>
      <c r="AV1771" s="1"/>
      <c r="AW1771" s="1"/>
      <c r="AX1771" s="1"/>
      <c r="AY1771" s="1"/>
      <c r="AZ1771" s="1"/>
      <c r="BA1771" s="1"/>
      <c r="BB1771" s="1"/>
      <c r="BC1771" s="1"/>
      <c r="BD1771" s="1"/>
      <c r="BE1771" s="1"/>
    </row>
    <row x14ac:dyDescent="0.25" r="1772" customHeight="1" ht="18.75">
      <c r="A1772" s="1"/>
      <c r="B1772" s="2"/>
      <c r="C1772" s="2"/>
      <c r="D1772" s="2"/>
      <c r="E1772" s="2"/>
      <c r="F1772" s="2"/>
      <c r="G1772" s="1"/>
      <c r="H1772" s="1"/>
      <c r="I1772" s="7">
        <v>1.769</v>
      </c>
      <c r="J1772" s="7">
        <f>IF((I1772-ROUNDDOWN(I1772,0))=0, 0, (I1772-ROUNDDOWN(I1772,0)))</f>
      </c>
      <c r="K1772" s="7">
        <f>INDIRECT("C$"&amp;2+MIN(2,ROUNDDOWN(I1772,0))*3)*(-$J1772^3+3*$J1772^2-3*$J1772+1)+INDIRECT("C$"&amp;3+MIN(2,ROUNDDOWN(I1772,0))*3)*(3*$J1772^3-6*$J1772^2+3*$J1772)+INDIRECT("C$"&amp;4+MIN(2,ROUNDDOWN(I1772,0))*3)*(-3*$J1772^3+3*$J1772^2)+INDIRECT("C$"&amp;5+MIN(2,ROUNDDOWN(I1772,0))*3)*$J1772^3</f>
      </c>
      <c r="L1772" s="7">
        <f>INDIRECT("D$"&amp;2+MIN(2,ROUNDDOWN(I1772,0))*3)*(-$J1772^3+3*$J1772^2-3*$J1772+1)+INDIRECT("D$"&amp;3+MIN(2,ROUNDDOWN(I1772,0))*3)*(3*$J1772^3-6*$J1772^2+3*$J1772)+INDIRECT("D$"&amp;4+MIN(2,ROUNDDOWN(I1772,0))*3)*(-3*$J1772^3+3*$J1772^2)+INDIRECT("D$"&amp;5+MIN(2,ROUNDDOWN(I1772,0))*3)*$J1772^3</f>
      </c>
      <c r="M1772" s="7">
        <f>SQRT(K1772^2+L1772^2)</f>
      </c>
      <c r="N1772" s="7">
        <f>(K1773-K1771)</f>
      </c>
      <c r="O1772" s="7">
        <f>+(L1773-L1771)</f>
      </c>
      <c r="P1772" s="7">
        <f>SQRT(O1772^2+N1772^2)</f>
      </c>
      <c r="Q1772" s="7">
        <f>N1772/$P1772</f>
      </c>
      <c r="R1772" s="7">
        <f>O1772/$P1772</f>
      </c>
      <c r="S1772" s="8">
        <f>Q1772^2+R1772^2</f>
      </c>
      <c r="T1772" s="7">
        <f>-R1772</f>
      </c>
      <c r="U1772" s="7">
        <f>Q1772</f>
      </c>
      <c r="V1772" s="7">
        <f>($C$14+($C$15-$C$14)/($D$15-$D$14)*(I1772-$D$14))/2</f>
      </c>
      <c r="W1772" s="7">
        <f>($B$22*I1772^4+$C$22*I1772^3+$D$22*I1772^2+$E$22*I1772+$F$22)/2</f>
      </c>
      <c r="X1772" s="7">
        <f>($W1772)*(T1772)</f>
      </c>
      <c r="Y1772" s="7">
        <f>($W1772)*(U1772)</f>
      </c>
      <c r="Z1772" s="7">
        <f>SQRT(X1772^2+Y1772^2)</f>
      </c>
      <c r="AA1772" s="7">
        <f>$K1772+$X1772</f>
      </c>
      <c r="AB1772" s="7">
        <f>$L1772+$Y1772</f>
      </c>
      <c r="AC1772" s="7">
        <f>$K1772-$X1772</f>
      </c>
      <c r="AD1772" s="7">
        <f>$L1772-$Y1772</f>
      </c>
      <c r="AE1772" s="7">
        <f>AA1772/39.3701</f>
      </c>
      <c r="AF1772" s="7">
        <f>AB1772/39.3701</f>
      </c>
      <c r="AG1772" s="7">
        <f>AC1772/39.3701</f>
      </c>
      <c r="AH1772" s="7">
        <f>AD1772/39.3701</f>
      </c>
      <c r="AI1772" s="1"/>
      <c r="AJ1772" s="1"/>
      <c r="AK1772" s="1"/>
      <c r="AL1772" s="1"/>
      <c r="AM1772" s="2"/>
      <c r="AN1772" s="1"/>
      <c r="AO1772" s="1"/>
      <c r="AP1772" s="1"/>
      <c r="AQ1772" s="1"/>
      <c r="AR1772" s="1"/>
      <c r="AS1772" s="1"/>
      <c r="AT1772" s="1"/>
      <c r="AU1772" s="1"/>
      <c r="AV1772" s="1"/>
      <c r="AW1772" s="1"/>
      <c r="AX1772" s="1"/>
      <c r="AY1772" s="1"/>
      <c r="AZ1772" s="1"/>
      <c r="BA1772" s="1"/>
      <c r="BB1772" s="1"/>
      <c r="BC1772" s="1"/>
      <c r="BD1772" s="1"/>
      <c r="BE1772" s="1"/>
    </row>
    <row x14ac:dyDescent="0.25" r="1773" customHeight="1" ht="18.75">
      <c r="A1773" s="1"/>
      <c r="B1773" s="2"/>
      <c r="C1773" s="2"/>
      <c r="D1773" s="2"/>
      <c r="E1773" s="2"/>
      <c r="F1773" s="2"/>
      <c r="G1773" s="1"/>
      <c r="H1773" s="1"/>
      <c r="I1773" s="7">
        <v>1.77</v>
      </c>
      <c r="J1773" s="7">
        <f>IF((I1773-ROUNDDOWN(I1773,0))=0, 0, (I1773-ROUNDDOWN(I1773,0)))</f>
      </c>
      <c r="K1773" s="7">
        <f>INDIRECT("C$"&amp;2+MIN(2,ROUNDDOWN(I1773,0))*3)*(-$J1773^3+3*$J1773^2-3*$J1773+1)+INDIRECT("C$"&amp;3+MIN(2,ROUNDDOWN(I1773,0))*3)*(3*$J1773^3-6*$J1773^2+3*$J1773)+INDIRECT("C$"&amp;4+MIN(2,ROUNDDOWN(I1773,0))*3)*(-3*$J1773^3+3*$J1773^2)+INDIRECT("C$"&amp;5+MIN(2,ROUNDDOWN(I1773,0))*3)*$J1773^3</f>
      </c>
      <c r="L1773" s="7">
        <f>INDIRECT("D$"&amp;2+MIN(2,ROUNDDOWN(I1773,0))*3)*(-$J1773^3+3*$J1773^2-3*$J1773+1)+INDIRECT("D$"&amp;3+MIN(2,ROUNDDOWN(I1773,0))*3)*(3*$J1773^3-6*$J1773^2+3*$J1773)+INDIRECT("D$"&amp;4+MIN(2,ROUNDDOWN(I1773,0))*3)*(-3*$J1773^3+3*$J1773^2)+INDIRECT("D$"&amp;5+MIN(2,ROUNDDOWN(I1773,0))*3)*$J1773^3</f>
      </c>
      <c r="M1773" s="7">
        <f>SQRT(K1773^2+L1773^2)</f>
      </c>
      <c r="N1773" s="7">
        <f>(K1774-K1772)</f>
      </c>
      <c r="O1773" s="7">
        <f>+(L1774-L1772)</f>
      </c>
      <c r="P1773" s="7">
        <f>SQRT(O1773^2+N1773^2)</f>
      </c>
      <c r="Q1773" s="7">
        <f>N1773/$P1773</f>
      </c>
      <c r="R1773" s="7">
        <f>O1773/$P1773</f>
      </c>
      <c r="S1773" s="8">
        <f>Q1773^2+R1773^2</f>
      </c>
      <c r="T1773" s="7">
        <f>-R1773</f>
      </c>
      <c r="U1773" s="7">
        <f>Q1773</f>
      </c>
      <c r="V1773" s="7">
        <f>($C$14+($C$15-$C$14)/($D$15-$D$14)*(I1773-$D$14))/2</f>
      </c>
      <c r="W1773" s="7">
        <f>($B$22*I1773^4+$C$22*I1773^3+$D$22*I1773^2+$E$22*I1773+$F$22)/2</f>
      </c>
      <c r="X1773" s="7">
        <f>($W1773)*(T1773)</f>
      </c>
      <c r="Y1773" s="7">
        <f>($W1773)*(U1773)</f>
      </c>
      <c r="Z1773" s="7">
        <f>SQRT(X1773^2+Y1773^2)</f>
      </c>
      <c r="AA1773" s="7">
        <f>$K1773+$X1773</f>
      </c>
      <c r="AB1773" s="7">
        <f>$L1773+$Y1773</f>
      </c>
      <c r="AC1773" s="7">
        <f>$K1773-$X1773</f>
      </c>
      <c r="AD1773" s="7">
        <f>$L1773-$Y1773</f>
      </c>
      <c r="AE1773" s="7">
        <f>AA1773/39.3701</f>
      </c>
      <c r="AF1773" s="7">
        <f>AB1773/39.3701</f>
      </c>
      <c r="AG1773" s="7">
        <f>AC1773/39.3701</f>
      </c>
      <c r="AH1773" s="7">
        <f>AD1773/39.3701</f>
      </c>
      <c r="AI1773" s="1"/>
      <c r="AJ1773" s="1"/>
      <c r="AK1773" s="1"/>
      <c r="AL1773" s="1"/>
      <c r="AM1773" s="2"/>
      <c r="AN1773" s="1"/>
      <c r="AO1773" s="1"/>
      <c r="AP1773" s="1"/>
      <c r="AQ1773" s="1"/>
      <c r="AR1773" s="1"/>
      <c r="AS1773" s="1"/>
      <c r="AT1773" s="1"/>
      <c r="AU1773" s="1"/>
      <c r="AV1773" s="1"/>
      <c r="AW1773" s="1"/>
      <c r="AX1773" s="1"/>
      <c r="AY1773" s="1"/>
      <c r="AZ1773" s="1"/>
      <c r="BA1773" s="1"/>
      <c r="BB1773" s="1"/>
      <c r="BC1773" s="1"/>
      <c r="BD1773" s="1"/>
      <c r="BE1773" s="1"/>
    </row>
    <row x14ac:dyDescent="0.25" r="1774" customHeight="1" ht="18.75">
      <c r="A1774" s="1"/>
      <c r="B1774" s="2"/>
      <c r="C1774" s="2"/>
      <c r="D1774" s="2"/>
      <c r="E1774" s="2"/>
      <c r="F1774" s="2"/>
      <c r="G1774" s="1"/>
      <c r="H1774" s="1"/>
      <c r="I1774" s="7">
        <v>1.771</v>
      </c>
      <c r="J1774" s="7">
        <f>IF((I1774-ROUNDDOWN(I1774,0))=0, 0, (I1774-ROUNDDOWN(I1774,0)))</f>
      </c>
      <c r="K1774" s="7">
        <f>INDIRECT("C$"&amp;2+MIN(2,ROUNDDOWN(I1774,0))*3)*(-$J1774^3+3*$J1774^2-3*$J1774+1)+INDIRECT("C$"&amp;3+MIN(2,ROUNDDOWN(I1774,0))*3)*(3*$J1774^3-6*$J1774^2+3*$J1774)+INDIRECT("C$"&amp;4+MIN(2,ROUNDDOWN(I1774,0))*3)*(-3*$J1774^3+3*$J1774^2)+INDIRECT("C$"&amp;5+MIN(2,ROUNDDOWN(I1774,0))*3)*$J1774^3</f>
      </c>
      <c r="L1774" s="7">
        <f>INDIRECT("D$"&amp;2+MIN(2,ROUNDDOWN(I1774,0))*3)*(-$J1774^3+3*$J1774^2-3*$J1774+1)+INDIRECT("D$"&amp;3+MIN(2,ROUNDDOWN(I1774,0))*3)*(3*$J1774^3-6*$J1774^2+3*$J1774)+INDIRECT("D$"&amp;4+MIN(2,ROUNDDOWN(I1774,0))*3)*(-3*$J1774^3+3*$J1774^2)+INDIRECT("D$"&amp;5+MIN(2,ROUNDDOWN(I1774,0))*3)*$J1774^3</f>
      </c>
      <c r="M1774" s="7">
        <f>SQRT(K1774^2+L1774^2)</f>
      </c>
      <c r="N1774" s="7">
        <f>(K1775-K1773)</f>
      </c>
      <c r="O1774" s="7">
        <f>+(L1775-L1773)</f>
      </c>
      <c r="P1774" s="7">
        <f>SQRT(O1774^2+N1774^2)</f>
      </c>
      <c r="Q1774" s="7">
        <f>N1774/$P1774</f>
      </c>
      <c r="R1774" s="7">
        <f>O1774/$P1774</f>
      </c>
      <c r="S1774" s="7">
        <f>Q1774^2+R1774^2</f>
      </c>
      <c r="T1774" s="7">
        <f>-R1774</f>
      </c>
      <c r="U1774" s="7">
        <f>Q1774</f>
      </c>
      <c r="V1774" s="7">
        <f>($C$14+($C$15-$C$14)/($D$15-$D$14)*(I1774-$D$14))/2</f>
      </c>
      <c r="W1774" s="7">
        <f>($B$22*I1774^4+$C$22*I1774^3+$D$22*I1774^2+$E$22*I1774+$F$22)/2</f>
      </c>
      <c r="X1774" s="7">
        <f>($W1774)*(T1774)</f>
      </c>
      <c r="Y1774" s="7">
        <f>($W1774)*(U1774)</f>
      </c>
      <c r="Z1774" s="7">
        <f>SQRT(X1774^2+Y1774^2)</f>
      </c>
      <c r="AA1774" s="7">
        <f>$K1774+$X1774</f>
      </c>
      <c r="AB1774" s="7">
        <f>$L1774+$Y1774</f>
      </c>
      <c r="AC1774" s="7">
        <f>$K1774-$X1774</f>
      </c>
      <c r="AD1774" s="7">
        <f>$L1774-$Y1774</f>
      </c>
      <c r="AE1774" s="7">
        <f>AA1774/39.3701</f>
      </c>
      <c r="AF1774" s="7">
        <f>AB1774/39.3701</f>
      </c>
      <c r="AG1774" s="7">
        <f>AC1774/39.3701</f>
      </c>
      <c r="AH1774" s="7">
        <f>AD1774/39.3701</f>
      </c>
      <c r="AI1774" s="1"/>
      <c r="AJ1774" s="1"/>
      <c r="AK1774" s="1"/>
      <c r="AL1774" s="1"/>
      <c r="AM1774" s="2"/>
      <c r="AN1774" s="1"/>
      <c r="AO1774" s="1"/>
      <c r="AP1774" s="1"/>
      <c r="AQ1774" s="1"/>
      <c r="AR1774" s="1"/>
      <c r="AS1774" s="1"/>
      <c r="AT1774" s="1"/>
      <c r="AU1774" s="1"/>
      <c r="AV1774" s="1"/>
      <c r="AW1774" s="1"/>
      <c r="AX1774" s="1"/>
      <c r="AY1774" s="1"/>
      <c r="AZ1774" s="1"/>
      <c r="BA1774" s="1"/>
      <c r="BB1774" s="1"/>
      <c r="BC1774" s="1"/>
      <c r="BD1774" s="1"/>
      <c r="BE1774" s="1"/>
    </row>
    <row x14ac:dyDescent="0.25" r="1775" customHeight="1" ht="18.75">
      <c r="A1775" s="1"/>
      <c r="B1775" s="2"/>
      <c r="C1775" s="2"/>
      <c r="D1775" s="2"/>
      <c r="E1775" s="2"/>
      <c r="F1775" s="2"/>
      <c r="G1775" s="1"/>
      <c r="H1775" s="1"/>
      <c r="I1775" s="7">
        <v>1.772</v>
      </c>
      <c r="J1775" s="7">
        <f>IF((I1775-ROUNDDOWN(I1775,0))=0, 0, (I1775-ROUNDDOWN(I1775,0)))</f>
      </c>
      <c r="K1775" s="7">
        <f>INDIRECT("C$"&amp;2+MIN(2,ROUNDDOWN(I1775,0))*3)*(-$J1775^3+3*$J1775^2-3*$J1775+1)+INDIRECT("C$"&amp;3+MIN(2,ROUNDDOWN(I1775,0))*3)*(3*$J1775^3-6*$J1775^2+3*$J1775)+INDIRECT("C$"&amp;4+MIN(2,ROUNDDOWN(I1775,0))*3)*(-3*$J1775^3+3*$J1775^2)+INDIRECT("C$"&amp;5+MIN(2,ROUNDDOWN(I1775,0))*3)*$J1775^3</f>
      </c>
      <c r="L1775" s="7">
        <f>INDIRECT("D$"&amp;2+MIN(2,ROUNDDOWN(I1775,0))*3)*(-$J1775^3+3*$J1775^2-3*$J1775+1)+INDIRECT("D$"&amp;3+MIN(2,ROUNDDOWN(I1775,0))*3)*(3*$J1775^3-6*$J1775^2+3*$J1775)+INDIRECT("D$"&amp;4+MIN(2,ROUNDDOWN(I1775,0))*3)*(-3*$J1775^3+3*$J1775^2)+INDIRECT("D$"&amp;5+MIN(2,ROUNDDOWN(I1775,0))*3)*$J1775^3</f>
      </c>
      <c r="M1775" s="7">
        <f>SQRT(K1775^2+L1775^2)</f>
      </c>
      <c r="N1775" s="7">
        <f>(K1776-K1774)</f>
      </c>
      <c r="O1775" s="7">
        <f>+(L1776-L1774)</f>
      </c>
      <c r="P1775" s="7">
        <f>SQRT(O1775^2+N1775^2)</f>
      </c>
      <c r="Q1775" s="7">
        <f>N1775/$P1775</f>
      </c>
      <c r="R1775" s="7">
        <f>O1775/$P1775</f>
      </c>
      <c r="S1775" s="8">
        <f>Q1775^2+R1775^2</f>
      </c>
      <c r="T1775" s="7">
        <f>-R1775</f>
      </c>
      <c r="U1775" s="7">
        <f>Q1775</f>
      </c>
      <c r="V1775" s="7">
        <f>($C$14+($C$15-$C$14)/($D$15-$D$14)*(I1775-$D$14))/2</f>
      </c>
      <c r="W1775" s="7">
        <f>($B$22*I1775^4+$C$22*I1775^3+$D$22*I1775^2+$E$22*I1775+$F$22)/2</f>
      </c>
      <c r="X1775" s="7">
        <f>($W1775)*(T1775)</f>
      </c>
      <c r="Y1775" s="7">
        <f>($W1775)*(U1775)</f>
      </c>
      <c r="Z1775" s="7">
        <f>SQRT(X1775^2+Y1775^2)</f>
      </c>
      <c r="AA1775" s="7">
        <f>$K1775+$X1775</f>
      </c>
      <c r="AB1775" s="7">
        <f>$L1775+$Y1775</f>
      </c>
      <c r="AC1775" s="7">
        <f>$K1775-$X1775</f>
      </c>
      <c r="AD1775" s="7">
        <f>$L1775-$Y1775</f>
      </c>
      <c r="AE1775" s="7">
        <f>AA1775/39.3701</f>
      </c>
      <c r="AF1775" s="7">
        <f>AB1775/39.3701</f>
      </c>
      <c r="AG1775" s="7">
        <f>AC1775/39.3701</f>
      </c>
      <c r="AH1775" s="7">
        <f>AD1775/39.3701</f>
      </c>
      <c r="AI1775" s="1"/>
      <c r="AJ1775" s="1"/>
      <c r="AK1775" s="1"/>
      <c r="AL1775" s="1"/>
      <c r="AM1775" s="2"/>
      <c r="AN1775" s="1"/>
      <c r="AO1775" s="1"/>
      <c r="AP1775" s="1"/>
      <c r="AQ1775" s="1"/>
      <c r="AR1775" s="1"/>
      <c r="AS1775" s="1"/>
      <c r="AT1775" s="1"/>
      <c r="AU1775" s="1"/>
      <c r="AV1775" s="1"/>
      <c r="AW1775" s="1"/>
      <c r="AX1775" s="1"/>
      <c r="AY1775" s="1"/>
      <c r="AZ1775" s="1"/>
      <c r="BA1775" s="1"/>
      <c r="BB1775" s="1"/>
      <c r="BC1775" s="1"/>
      <c r="BD1775" s="1"/>
      <c r="BE1775" s="1"/>
    </row>
    <row x14ac:dyDescent="0.25" r="1776" customHeight="1" ht="18.75">
      <c r="A1776" s="1"/>
      <c r="B1776" s="2"/>
      <c r="C1776" s="2"/>
      <c r="D1776" s="2"/>
      <c r="E1776" s="2"/>
      <c r="F1776" s="2"/>
      <c r="G1776" s="1"/>
      <c r="H1776" s="1"/>
      <c r="I1776" s="7">
        <v>1.773</v>
      </c>
      <c r="J1776" s="7">
        <f>IF((I1776-ROUNDDOWN(I1776,0))=0, 0, (I1776-ROUNDDOWN(I1776,0)))</f>
      </c>
      <c r="K1776" s="7">
        <f>INDIRECT("C$"&amp;2+MIN(2,ROUNDDOWN(I1776,0))*3)*(-$J1776^3+3*$J1776^2-3*$J1776+1)+INDIRECT("C$"&amp;3+MIN(2,ROUNDDOWN(I1776,0))*3)*(3*$J1776^3-6*$J1776^2+3*$J1776)+INDIRECT("C$"&amp;4+MIN(2,ROUNDDOWN(I1776,0))*3)*(-3*$J1776^3+3*$J1776^2)+INDIRECT("C$"&amp;5+MIN(2,ROUNDDOWN(I1776,0))*3)*$J1776^3</f>
      </c>
      <c r="L1776" s="7">
        <f>INDIRECT("D$"&amp;2+MIN(2,ROUNDDOWN(I1776,0))*3)*(-$J1776^3+3*$J1776^2-3*$J1776+1)+INDIRECT("D$"&amp;3+MIN(2,ROUNDDOWN(I1776,0))*3)*(3*$J1776^3-6*$J1776^2+3*$J1776)+INDIRECT("D$"&amp;4+MIN(2,ROUNDDOWN(I1776,0))*3)*(-3*$J1776^3+3*$J1776^2)+INDIRECT("D$"&amp;5+MIN(2,ROUNDDOWN(I1776,0))*3)*$J1776^3</f>
      </c>
      <c r="M1776" s="7">
        <f>SQRT(K1776^2+L1776^2)</f>
      </c>
      <c r="N1776" s="7">
        <f>(K1777-K1775)</f>
      </c>
      <c r="O1776" s="7">
        <f>+(L1777-L1775)</f>
      </c>
      <c r="P1776" s="7">
        <f>SQRT(O1776^2+N1776^2)</f>
      </c>
      <c r="Q1776" s="7">
        <f>N1776/$P1776</f>
      </c>
      <c r="R1776" s="7">
        <f>O1776/$P1776</f>
      </c>
      <c r="S1776" s="8">
        <f>Q1776^2+R1776^2</f>
      </c>
      <c r="T1776" s="7">
        <f>-R1776</f>
      </c>
      <c r="U1776" s="7">
        <f>Q1776</f>
      </c>
      <c r="V1776" s="7">
        <f>($C$14+($C$15-$C$14)/($D$15-$D$14)*(I1776-$D$14))/2</f>
      </c>
      <c r="W1776" s="7">
        <f>($B$22*I1776^4+$C$22*I1776^3+$D$22*I1776^2+$E$22*I1776+$F$22)/2</f>
      </c>
      <c r="X1776" s="7">
        <f>($W1776)*(T1776)</f>
      </c>
      <c r="Y1776" s="7">
        <f>($W1776)*(U1776)</f>
      </c>
      <c r="Z1776" s="7">
        <f>SQRT(X1776^2+Y1776^2)</f>
      </c>
      <c r="AA1776" s="7">
        <f>$K1776+$X1776</f>
      </c>
      <c r="AB1776" s="7">
        <f>$L1776+$Y1776</f>
      </c>
      <c r="AC1776" s="7">
        <f>$K1776-$X1776</f>
      </c>
      <c r="AD1776" s="7">
        <f>$L1776-$Y1776</f>
      </c>
      <c r="AE1776" s="7">
        <f>AA1776/39.3701</f>
      </c>
      <c r="AF1776" s="7">
        <f>AB1776/39.3701</f>
      </c>
      <c r="AG1776" s="7">
        <f>AC1776/39.3701</f>
      </c>
      <c r="AH1776" s="7">
        <f>AD1776/39.3701</f>
      </c>
      <c r="AI1776" s="1"/>
      <c r="AJ1776" s="1"/>
      <c r="AK1776" s="1"/>
      <c r="AL1776" s="1"/>
      <c r="AM1776" s="2"/>
      <c r="AN1776" s="1"/>
      <c r="AO1776" s="1"/>
      <c r="AP1776" s="1"/>
      <c r="AQ1776" s="1"/>
      <c r="AR1776" s="1"/>
      <c r="AS1776" s="1"/>
      <c r="AT1776" s="1"/>
      <c r="AU1776" s="1"/>
      <c r="AV1776" s="1"/>
      <c r="AW1776" s="1"/>
      <c r="AX1776" s="1"/>
      <c r="AY1776" s="1"/>
      <c r="AZ1776" s="1"/>
      <c r="BA1776" s="1"/>
      <c r="BB1776" s="1"/>
      <c r="BC1776" s="1"/>
      <c r="BD1776" s="1"/>
      <c r="BE1776" s="1"/>
    </row>
    <row x14ac:dyDescent="0.25" r="1777" customHeight="1" ht="18.75">
      <c r="A1777" s="1"/>
      <c r="B1777" s="2"/>
      <c r="C1777" s="2"/>
      <c r="D1777" s="2"/>
      <c r="E1777" s="2"/>
      <c r="F1777" s="2"/>
      <c r="G1777" s="1"/>
      <c r="H1777" s="1"/>
      <c r="I1777" s="7">
        <v>1.774</v>
      </c>
      <c r="J1777" s="7">
        <f>IF((I1777-ROUNDDOWN(I1777,0))=0, 0, (I1777-ROUNDDOWN(I1777,0)))</f>
      </c>
      <c r="K1777" s="7">
        <f>INDIRECT("C$"&amp;2+MIN(2,ROUNDDOWN(I1777,0))*3)*(-$J1777^3+3*$J1777^2-3*$J1777+1)+INDIRECT("C$"&amp;3+MIN(2,ROUNDDOWN(I1777,0))*3)*(3*$J1777^3-6*$J1777^2+3*$J1777)+INDIRECT("C$"&amp;4+MIN(2,ROUNDDOWN(I1777,0))*3)*(-3*$J1777^3+3*$J1777^2)+INDIRECT("C$"&amp;5+MIN(2,ROUNDDOWN(I1777,0))*3)*$J1777^3</f>
      </c>
      <c r="L1777" s="7">
        <f>INDIRECT("D$"&amp;2+MIN(2,ROUNDDOWN(I1777,0))*3)*(-$J1777^3+3*$J1777^2-3*$J1777+1)+INDIRECT("D$"&amp;3+MIN(2,ROUNDDOWN(I1777,0))*3)*(3*$J1777^3-6*$J1777^2+3*$J1777)+INDIRECT("D$"&amp;4+MIN(2,ROUNDDOWN(I1777,0))*3)*(-3*$J1777^3+3*$J1777^2)+INDIRECT("D$"&amp;5+MIN(2,ROUNDDOWN(I1777,0))*3)*$J1777^3</f>
      </c>
      <c r="M1777" s="7">
        <f>SQRT(K1777^2+L1777^2)</f>
      </c>
      <c r="N1777" s="7">
        <f>(K1778-K1776)</f>
      </c>
      <c r="O1777" s="7">
        <f>+(L1778-L1776)</f>
      </c>
      <c r="P1777" s="7">
        <f>SQRT(O1777^2+N1777^2)</f>
      </c>
      <c r="Q1777" s="7">
        <f>N1777/$P1777</f>
      </c>
      <c r="R1777" s="7">
        <f>O1777/$P1777</f>
      </c>
      <c r="S1777" s="8">
        <f>Q1777^2+R1777^2</f>
      </c>
      <c r="T1777" s="7">
        <f>-R1777</f>
      </c>
      <c r="U1777" s="7">
        <f>Q1777</f>
      </c>
      <c r="V1777" s="7">
        <f>($C$14+($C$15-$C$14)/($D$15-$D$14)*(I1777-$D$14))/2</f>
      </c>
      <c r="W1777" s="7">
        <f>($B$22*I1777^4+$C$22*I1777^3+$D$22*I1777^2+$E$22*I1777+$F$22)/2</f>
      </c>
      <c r="X1777" s="7">
        <f>($W1777)*(T1777)</f>
      </c>
      <c r="Y1777" s="7">
        <f>($W1777)*(U1777)</f>
      </c>
      <c r="Z1777" s="7">
        <f>SQRT(X1777^2+Y1777^2)</f>
      </c>
      <c r="AA1777" s="7">
        <f>$K1777+$X1777</f>
      </c>
      <c r="AB1777" s="7">
        <f>$L1777+$Y1777</f>
      </c>
      <c r="AC1777" s="7">
        <f>$K1777-$X1777</f>
      </c>
      <c r="AD1777" s="7">
        <f>$L1777-$Y1777</f>
      </c>
      <c r="AE1777" s="7">
        <f>AA1777/39.3701</f>
      </c>
      <c r="AF1777" s="7">
        <f>AB1777/39.3701</f>
      </c>
      <c r="AG1777" s="7">
        <f>AC1777/39.3701</f>
      </c>
      <c r="AH1777" s="7">
        <f>AD1777/39.3701</f>
      </c>
      <c r="AI1777" s="1"/>
      <c r="AJ1777" s="1"/>
      <c r="AK1777" s="1"/>
      <c r="AL1777" s="1"/>
      <c r="AM1777" s="2"/>
      <c r="AN1777" s="1"/>
      <c r="AO1777" s="1"/>
      <c r="AP1777" s="1"/>
      <c r="AQ1777" s="1"/>
      <c r="AR1777" s="1"/>
      <c r="AS1777" s="1"/>
      <c r="AT1777" s="1"/>
      <c r="AU1777" s="1"/>
      <c r="AV1777" s="1"/>
      <c r="AW1777" s="1"/>
      <c r="AX1777" s="1"/>
      <c r="AY1777" s="1"/>
      <c r="AZ1777" s="1"/>
      <c r="BA1777" s="1"/>
      <c r="BB1777" s="1"/>
      <c r="BC1777" s="1"/>
      <c r="BD1777" s="1"/>
      <c r="BE1777" s="1"/>
    </row>
    <row x14ac:dyDescent="0.25" r="1778" customHeight="1" ht="18.75">
      <c r="A1778" s="1"/>
      <c r="B1778" s="2"/>
      <c r="C1778" s="2"/>
      <c r="D1778" s="2"/>
      <c r="E1778" s="2"/>
      <c r="F1778" s="2"/>
      <c r="G1778" s="1"/>
      <c r="H1778" s="1"/>
      <c r="I1778" s="7">
        <v>1.775</v>
      </c>
      <c r="J1778" s="7">
        <f>IF((I1778-ROUNDDOWN(I1778,0))=0, 0, (I1778-ROUNDDOWN(I1778,0)))</f>
      </c>
      <c r="K1778" s="7">
        <f>INDIRECT("C$"&amp;2+MIN(2,ROUNDDOWN(I1778,0))*3)*(-$J1778^3+3*$J1778^2-3*$J1778+1)+INDIRECT("C$"&amp;3+MIN(2,ROUNDDOWN(I1778,0))*3)*(3*$J1778^3-6*$J1778^2+3*$J1778)+INDIRECT("C$"&amp;4+MIN(2,ROUNDDOWN(I1778,0))*3)*(-3*$J1778^3+3*$J1778^2)+INDIRECT("C$"&amp;5+MIN(2,ROUNDDOWN(I1778,0))*3)*$J1778^3</f>
      </c>
      <c r="L1778" s="7">
        <f>INDIRECT("D$"&amp;2+MIN(2,ROUNDDOWN(I1778,0))*3)*(-$J1778^3+3*$J1778^2-3*$J1778+1)+INDIRECT("D$"&amp;3+MIN(2,ROUNDDOWN(I1778,0))*3)*(3*$J1778^3-6*$J1778^2+3*$J1778)+INDIRECT("D$"&amp;4+MIN(2,ROUNDDOWN(I1778,0))*3)*(-3*$J1778^3+3*$J1778^2)+INDIRECT("D$"&amp;5+MIN(2,ROUNDDOWN(I1778,0))*3)*$J1778^3</f>
      </c>
      <c r="M1778" s="7">
        <f>SQRT(K1778^2+L1778^2)</f>
      </c>
      <c r="N1778" s="7">
        <f>(K1779-K1777)</f>
      </c>
      <c r="O1778" s="7">
        <f>+(L1779-L1777)</f>
      </c>
      <c r="P1778" s="7">
        <f>SQRT(O1778^2+N1778^2)</f>
      </c>
      <c r="Q1778" s="7">
        <f>N1778/$P1778</f>
      </c>
      <c r="R1778" s="7">
        <f>O1778/$P1778</f>
      </c>
      <c r="S1778" s="8">
        <f>Q1778^2+R1778^2</f>
      </c>
      <c r="T1778" s="7">
        <f>-R1778</f>
      </c>
      <c r="U1778" s="7">
        <f>Q1778</f>
      </c>
      <c r="V1778" s="7">
        <f>($C$14+($C$15-$C$14)/($D$15-$D$14)*(I1778-$D$14))/2</f>
      </c>
      <c r="W1778" s="7">
        <f>($B$22*I1778^4+$C$22*I1778^3+$D$22*I1778^2+$E$22*I1778+$F$22)/2</f>
      </c>
      <c r="X1778" s="7">
        <f>($W1778)*(T1778)</f>
      </c>
      <c r="Y1778" s="7">
        <f>($W1778)*(U1778)</f>
      </c>
      <c r="Z1778" s="7">
        <f>SQRT(X1778^2+Y1778^2)</f>
      </c>
      <c r="AA1778" s="7">
        <f>$K1778+$X1778</f>
      </c>
      <c r="AB1778" s="7">
        <f>$L1778+$Y1778</f>
      </c>
      <c r="AC1778" s="7">
        <f>$K1778-$X1778</f>
      </c>
      <c r="AD1778" s="7">
        <f>$L1778-$Y1778</f>
      </c>
      <c r="AE1778" s="7">
        <f>AA1778/39.3701</f>
      </c>
      <c r="AF1778" s="7">
        <f>AB1778/39.3701</f>
      </c>
      <c r="AG1778" s="7">
        <f>AC1778/39.3701</f>
      </c>
      <c r="AH1778" s="7">
        <f>AD1778/39.3701</f>
      </c>
      <c r="AI1778" s="1"/>
      <c r="AJ1778" s="1"/>
      <c r="AK1778" s="1"/>
      <c r="AL1778" s="1"/>
      <c r="AM1778" s="2"/>
      <c r="AN1778" s="1"/>
      <c r="AO1778" s="1"/>
      <c r="AP1778" s="1"/>
      <c r="AQ1778" s="1"/>
      <c r="AR1778" s="1"/>
      <c r="AS1778" s="1"/>
      <c r="AT1778" s="1"/>
      <c r="AU1778" s="1"/>
      <c r="AV1778" s="1"/>
      <c r="AW1778" s="1"/>
      <c r="AX1778" s="1"/>
      <c r="AY1778" s="1"/>
      <c r="AZ1778" s="1"/>
      <c r="BA1778" s="1"/>
      <c r="BB1778" s="1"/>
      <c r="BC1778" s="1"/>
      <c r="BD1778" s="1"/>
      <c r="BE1778" s="1"/>
    </row>
    <row x14ac:dyDescent="0.25" r="1779" customHeight="1" ht="18.75">
      <c r="A1779" s="1"/>
      <c r="B1779" s="2"/>
      <c r="C1779" s="2"/>
      <c r="D1779" s="2"/>
      <c r="E1779" s="2"/>
      <c r="F1779" s="2"/>
      <c r="G1779" s="1"/>
      <c r="H1779" s="1"/>
      <c r="I1779" s="7">
        <v>1.776</v>
      </c>
      <c r="J1779" s="7">
        <f>IF((I1779-ROUNDDOWN(I1779,0))=0, 0, (I1779-ROUNDDOWN(I1779,0)))</f>
      </c>
      <c r="K1779" s="7">
        <f>INDIRECT("C$"&amp;2+MIN(2,ROUNDDOWN(I1779,0))*3)*(-$J1779^3+3*$J1779^2-3*$J1779+1)+INDIRECT("C$"&amp;3+MIN(2,ROUNDDOWN(I1779,0))*3)*(3*$J1779^3-6*$J1779^2+3*$J1779)+INDIRECT("C$"&amp;4+MIN(2,ROUNDDOWN(I1779,0))*3)*(-3*$J1779^3+3*$J1779^2)+INDIRECT("C$"&amp;5+MIN(2,ROUNDDOWN(I1779,0))*3)*$J1779^3</f>
      </c>
      <c r="L1779" s="7">
        <f>INDIRECT("D$"&amp;2+MIN(2,ROUNDDOWN(I1779,0))*3)*(-$J1779^3+3*$J1779^2-3*$J1779+1)+INDIRECT("D$"&amp;3+MIN(2,ROUNDDOWN(I1779,0))*3)*(3*$J1779^3-6*$J1779^2+3*$J1779)+INDIRECT("D$"&amp;4+MIN(2,ROUNDDOWN(I1779,0))*3)*(-3*$J1779^3+3*$J1779^2)+INDIRECT("D$"&amp;5+MIN(2,ROUNDDOWN(I1779,0))*3)*$J1779^3</f>
      </c>
      <c r="M1779" s="7">
        <f>SQRT(K1779^2+L1779^2)</f>
      </c>
      <c r="N1779" s="7">
        <f>(K1780-K1778)</f>
      </c>
      <c r="O1779" s="7">
        <f>+(L1780-L1778)</f>
      </c>
      <c r="P1779" s="7">
        <f>SQRT(O1779^2+N1779^2)</f>
      </c>
      <c r="Q1779" s="7">
        <f>N1779/$P1779</f>
      </c>
      <c r="R1779" s="7">
        <f>O1779/$P1779</f>
      </c>
      <c r="S1779" s="7">
        <f>Q1779^2+R1779^2</f>
      </c>
      <c r="T1779" s="7">
        <f>-R1779</f>
      </c>
      <c r="U1779" s="7">
        <f>Q1779</f>
      </c>
      <c r="V1779" s="7">
        <f>($C$14+($C$15-$C$14)/($D$15-$D$14)*(I1779-$D$14))/2</f>
      </c>
      <c r="W1779" s="7">
        <f>($B$22*I1779^4+$C$22*I1779^3+$D$22*I1779^2+$E$22*I1779+$F$22)/2</f>
      </c>
      <c r="X1779" s="7">
        <f>($W1779)*(T1779)</f>
      </c>
      <c r="Y1779" s="7">
        <f>($W1779)*(U1779)</f>
      </c>
      <c r="Z1779" s="7">
        <f>SQRT(X1779^2+Y1779^2)</f>
      </c>
      <c r="AA1779" s="7">
        <f>$K1779+$X1779</f>
      </c>
      <c r="AB1779" s="7">
        <f>$L1779+$Y1779</f>
      </c>
      <c r="AC1779" s="7">
        <f>$K1779-$X1779</f>
      </c>
      <c r="AD1779" s="7">
        <f>$L1779-$Y1779</f>
      </c>
      <c r="AE1779" s="7">
        <f>AA1779/39.3701</f>
      </c>
      <c r="AF1779" s="7">
        <f>AB1779/39.3701</f>
      </c>
      <c r="AG1779" s="7">
        <f>AC1779/39.3701</f>
      </c>
      <c r="AH1779" s="7">
        <f>AD1779/39.3701</f>
      </c>
      <c r="AI1779" s="1"/>
      <c r="AJ1779" s="1"/>
      <c r="AK1779" s="1"/>
      <c r="AL1779" s="1"/>
      <c r="AM1779" s="2"/>
      <c r="AN1779" s="1"/>
      <c r="AO1779" s="1"/>
      <c r="AP1779" s="1"/>
      <c r="AQ1779" s="1"/>
      <c r="AR1779" s="1"/>
      <c r="AS1779" s="1"/>
      <c r="AT1779" s="1"/>
      <c r="AU1779" s="1"/>
      <c r="AV1779" s="1"/>
      <c r="AW1779" s="1"/>
      <c r="AX1779" s="1"/>
      <c r="AY1779" s="1"/>
      <c r="AZ1779" s="1"/>
      <c r="BA1779" s="1"/>
      <c r="BB1779" s="1"/>
      <c r="BC1779" s="1"/>
      <c r="BD1779" s="1"/>
      <c r="BE1779" s="1"/>
    </row>
    <row x14ac:dyDescent="0.25" r="1780" customHeight="1" ht="18.75">
      <c r="A1780" s="1"/>
      <c r="B1780" s="2"/>
      <c r="C1780" s="2"/>
      <c r="D1780" s="2"/>
      <c r="E1780" s="2"/>
      <c r="F1780" s="2"/>
      <c r="G1780" s="1"/>
      <c r="H1780" s="1"/>
      <c r="I1780" s="7">
        <v>1.777</v>
      </c>
      <c r="J1780" s="7">
        <f>IF((I1780-ROUNDDOWN(I1780,0))=0, 0, (I1780-ROUNDDOWN(I1780,0)))</f>
      </c>
      <c r="K1780" s="7">
        <f>INDIRECT("C$"&amp;2+MIN(2,ROUNDDOWN(I1780,0))*3)*(-$J1780^3+3*$J1780^2-3*$J1780+1)+INDIRECT("C$"&amp;3+MIN(2,ROUNDDOWN(I1780,0))*3)*(3*$J1780^3-6*$J1780^2+3*$J1780)+INDIRECT("C$"&amp;4+MIN(2,ROUNDDOWN(I1780,0))*3)*(-3*$J1780^3+3*$J1780^2)+INDIRECT("C$"&amp;5+MIN(2,ROUNDDOWN(I1780,0))*3)*$J1780^3</f>
      </c>
      <c r="L1780" s="7">
        <f>INDIRECT("D$"&amp;2+MIN(2,ROUNDDOWN(I1780,0))*3)*(-$J1780^3+3*$J1780^2-3*$J1780+1)+INDIRECT("D$"&amp;3+MIN(2,ROUNDDOWN(I1780,0))*3)*(3*$J1780^3-6*$J1780^2+3*$J1780)+INDIRECT("D$"&amp;4+MIN(2,ROUNDDOWN(I1780,0))*3)*(-3*$J1780^3+3*$J1780^2)+INDIRECT("D$"&amp;5+MIN(2,ROUNDDOWN(I1780,0))*3)*$J1780^3</f>
      </c>
      <c r="M1780" s="7">
        <f>SQRT(K1780^2+L1780^2)</f>
      </c>
      <c r="N1780" s="7">
        <f>(K1781-K1779)</f>
      </c>
      <c r="O1780" s="7">
        <f>+(L1781-L1779)</f>
      </c>
      <c r="P1780" s="7">
        <f>SQRT(O1780^2+N1780^2)</f>
      </c>
      <c r="Q1780" s="7">
        <f>N1780/$P1780</f>
      </c>
      <c r="R1780" s="7">
        <f>O1780/$P1780</f>
      </c>
      <c r="S1780" s="8">
        <f>Q1780^2+R1780^2</f>
      </c>
      <c r="T1780" s="7">
        <f>-R1780</f>
      </c>
      <c r="U1780" s="7">
        <f>Q1780</f>
      </c>
      <c r="V1780" s="7">
        <f>($C$14+($C$15-$C$14)/($D$15-$D$14)*(I1780-$D$14))/2</f>
      </c>
      <c r="W1780" s="7">
        <f>($B$22*I1780^4+$C$22*I1780^3+$D$22*I1780^2+$E$22*I1780+$F$22)/2</f>
      </c>
      <c r="X1780" s="7">
        <f>($W1780)*(T1780)</f>
      </c>
      <c r="Y1780" s="7">
        <f>($W1780)*(U1780)</f>
      </c>
      <c r="Z1780" s="7">
        <f>SQRT(X1780^2+Y1780^2)</f>
      </c>
      <c r="AA1780" s="7">
        <f>$K1780+$X1780</f>
      </c>
      <c r="AB1780" s="7">
        <f>$L1780+$Y1780</f>
      </c>
      <c r="AC1780" s="7">
        <f>$K1780-$X1780</f>
      </c>
      <c r="AD1780" s="7">
        <f>$L1780-$Y1780</f>
      </c>
      <c r="AE1780" s="7">
        <f>AA1780/39.3701</f>
      </c>
      <c r="AF1780" s="7">
        <f>AB1780/39.3701</f>
      </c>
      <c r="AG1780" s="7">
        <f>AC1780/39.3701</f>
      </c>
      <c r="AH1780" s="7">
        <f>AD1780/39.3701</f>
      </c>
      <c r="AI1780" s="1"/>
      <c r="AJ1780" s="1"/>
      <c r="AK1780" s="1"/>
      <c r="AL1780" s="1"/>
      <c r="AM1780" s="2"/>
      <c r="AN1780" s="1"/>
      <c r="AO1780" s="1"/>
      <c r="AP1780" s="1"/>
      <c r="AQ1780" s="1"/>
      <c r="AR1780" s="1"/>
      <c r="AS1780" s="1"/>
      <c r="AT1780" s="1"/>
      <c r="AU1780" s="1"/>
      <c r="AV1780" s="1"/>
      <c r="AW1780" s="1"/>
      <c r="AX1780" s="1"/>
      <c r="AY1780" s="1"/>
      <c r="AZ1780" s="1"/>
      <c r="BA1780" s="1"/>
      <c r="BB1780" s="1"/>
      <c r="BC1780" s="1"/>
      <c r="BD1780" s="1"/>
      <c r="BE1780" s="1"/>
    </row>
    <row x14ac:dyDescent="0.25" r="1781" customHeight="1" ht="18.75">
      <c r="A1781" s="1"/>
      <c r="B1781" s="2"/>
      <c r="C1781" s="2"/>
      <c r="D1781" s="2"/>
      <c r="E1781" s="2"/>
      <c r="F1781" s="2"/>
      <c r="G1781" s="1"/>
      <c r="H1781" s="1"/>
      <c r="I1781" s="7">
        <v>1.778</v>
      </c>
      <c r="J1781" s="7">
        <f>IF((I1781-ROUNDDOWN(I1781,0))=0, 0, (I1781-ROUNDDOWN(I1781,0)))</f>
      </c>
      <c r="K1781" s="7">
        <f>INDIRECT("C$"&amp;2+MIN(2,ROUNDDOWN(I1781,0))*3)*(-$J1781^3+3*$J1781^2-3*$J1781+1)+INDIRECT("C$"&amp;3+MIN(2,ROUNDDOWN(I1781,0))*3)*(3*$J1781^3-6*$J1781^2+3*$J1781)+INDIRECT("C$"&amp;4+MIN(2,ROUNDDOWN(I1781,0))*3)*(-3*$J1781^3+3*$J1781^2)+INDIRECT("C$"&amp;5+MIN(2,ROUNDDOWN(I1781,0))*3)*$J1781^3</f>
      </c>
      <c r="L1781" s="7">
        <f>INDIRECT("D$"&amp;2+MIN(2,ROUNDDOWN(I1781,0))*3)*(-$J1781^3+3*$J1781^2-3*$J1781+1)+INDIRECT("D$"&amp;3+MIN(2,ROUNDDOWN(I1781,0))*3)*(3*$J1781^3-6*$J1781^2+3*$J1781)+INDIRECT("D$"&amp;4+MIN(2,ROUNDDOWN(I1781,0))*3)*(-3*$J1781^3+3*$J1781^2)+INDIRECT("D$"&amp;5+MIN(2,ROUNDDOWN(I1781,0))*3)*$J1781^3</f>
      </c>
      <c r="M1781" s="7">
        <f>SQRT(K1781^2+L1781^2)</f>
      </c>
      <c r="N1781" s="7">
        <f>(K1782-K1780)</f>
      </c>
      <c r="O1781" s="7">
        <f>+(L1782-L1780)</f>
      </c>
      <c r="P1781" s="7">
        <f>SQRT(O1781^2+N1781^2)</f>
      </c>
      <c r="Q1781" s="7">
        <f>N1781/$P1781</f>
      </c>
      <c r="R1781" s="7">
        <f>O1781/$P1781</f>
      </c>
      <c r="S1781" s="8">
        <f>Q1781^2+R1781^2</f>
      </c>
      <c r="T1781" s="7">
        <f>-R1781</f>
      </c>
      <c r="U1781" s="7">
        <f>Q1781</f>
      </c>
      <c r="V1781" s="7">
        <f>($C$14+($C$15-$C$14)/($D$15-$D$14)*(I1781-$D$14))/2</f>
      </c>
      <c r="W1781" s="7">
        <f>($B$22*I1781^4+$C$22*I1781^3+$D$22*I1781^2+$E$22*I1781+$F$22)/2</f>
      </c>
      <c r="X1781" s="7">
        <f>($W1781)*(T1781)</f>
      </c>
      <c r="Y1781" s="7">
        <f>($W1781)*(U1781)</f>
      </c>
      <c r="Z1781" s="7">
        <f>SQRT(X1781^2+Y1781^2)</f>
      </c>
      <c r="AA1781" s="7">
        <f>$K1781+$X1781</f>
      </c>
      <c r="AB1781" s="7">
        <f>$L1781+$Y1781</f>
      </c>
      <c r="AC1781" s="7">
        <f>$K1781-$X1781</f>
      </c>
      <c r="AD1781" s="7">
        <f>$L1781-$Y1781</f>
      </c>
      <c r="AE1781" s="7">
        <f>AA1781/39.3701</f>
      </c>
      <c r="AF1781" s="7">
        <f>AB1781/39.3701</f>
      </c>
      <c r="AG1781" s="7">
        <f>AC1781/39.3701</f>
      </c>
      <c r="AH1781" s="7">
        <f>AD1781/39.3701</f>
      </c>
      <c r="AI1781" s="1"/>
      <c r="AJ1781" s="1"/>
      <c r="AK1781" s="1"/>
      <c r="AL1781" s="1"/>
      <c r="AM1781" s="2"/>
      <c r="AN1781" s="1"/>
      <c r="AO1781" s="1"/>
      <c r="AP1781" s="1"/>
      <c r="AQ1781" s="1"/>
      <c r="AR1781" s="1"/>
      <c r="AS1781" s="1"/>
      <c r="AT1781" s="1"/>
      <c r="AU1781" s="1"/>
      <c r="AV1781" s="1"/>
      <c r="AW1781" s="1"/>
      <c r="AX1781" s="1"/>
      <c r="AY1781" s="1"/>
      <c r="AZ1781" s="1"/>
      <c r="BA1781" s="1"/>
      <c r="BB1781" s="1"/>
      <c r="BC1781" s="1"/>
      <c r="BD1781" s="1"/>
      <c r="BE1781" s="1"/>
    </row>
    <row x14ac:dyDescent="0.25" r="1782" customHeight="1" ht="18.75">
      <c r="A1782" s="1"/>
      <c r="B1782" s="2"/>
      <c r="C1782" s="2"/>
      <c r="D1782" s="2"/>
      <c r="E1782" s="2"/>
      <c r="F1782" s="2"/>
      <c r="G1782" s="1"/>
      <c r="H1782" s="1"/>
      <c r="I1782" s="7">
        <v>1.779</v>
      </c>
      <c r="J1782" s="7">
        <f>IF((I1782-ROUNDDOWN(I1782,0))=0, 0, (I1782-ROUNDDOWN(I1782,0)))</f>
      </c>
      <c r="K1782" s="7">
        <f>INDIRECT("C$"&amp;2+MIN(2,ROUNDDOWN(I1782,0))*3)*(-$J1782^3+3*$J1782^2-3*$J1782+1)+INDIRECT("C$"&amp;3+MIN(2,ROUNDDOWN(I1782,0))*3)*(3*$J1782^3-6*$J1782^2+3*$J1782)+INDIRECT("C$"&amp;4+MIN(2,ROUNDDOWN(I1782,0))*3)*(-3*$J1782^3+3*$J1782^2)+INDIRECT("C$"&amp;5+MIN(2,ROUNDDOWN(I1782,0))*3)*$J1782^3</f>
      </c>
      <c r="L1782" s="7">
        <f>INDIRECT("D$"&amp;2+MIN(2,ROUNDDOWN(I1782,0))*3)*(-$J1782^3+3*$J1782^2-3*$J1782+1)+INDIRECT("D$"&amp;3+MIN(2,ROUNDDOWN(I1782,0))*3)*(3*$J1782^3-6*$J1782^2+3*$J1782)+INDIRECT("D$"&amp;4+MIN(2,ROUNDDOWN(I1782,0))*3)*(-3*$J1782^3+3*$J1782^2)+INDIRECT("D$"&amp;5+MIN(2,ROUNDDOWN(I1782,0))*3)*$J1782^3</f>
      </c>
      <c r="M1782" s="7">
        <f>SQRT(K1782^2+L1782^2)</f>
      </c>
      <c r="N1782" s="7">
        <f>(K1783-K1781)</f>
      </c>
      <c r="O1782" s="7">
        <f>+(L1783-L1781)</f>
      </c>
      <c r="P1782" s="7">
        <f>SQRT(O1782^2+N1782^2)</f>
      </c>
      <c r="Q1782" s="7">
        <f>N1782/$P1782</f>
      </c>
      <c r="R1782" s="7">
        <f>O1782/$P1782</f>
      </c>
      <c r="S1782" s="8">
        <f>Q1782^2+R1782^2</f>
      </c>
      <c r="T1782" s="7">
        <f>-R1782</f>
      </c>
      <c r="U1782" s="7">
        <f>Q1782</f>
      </c>
      <c r="V1782" s="7">
        <f>($C$14+($C$15-$C$14)/($D$15-$D$14)*(I1782-$D$14))/2</f>
      </c>
      <c r="W1782" s="7">
        <f>($B$22*I1782^4+$C$22*I1782^3+$D$22*I1782^2+$E$22*I1782+$F$22)/2</f>
      </c>
      <c r="X1782" s="7">
        <f>($W1782)*(T1782)</f>
      </c>
      <c r="Y1782" s="7">
        <f>($W1782)*(U1782)</f>
      </c>
      <c r="Z1782" s="7">
        <f>SQRT(X1782^2+Y1782^2)</f>
      </c>
      <c r="AA1782" s="7">
        <f>$K1782+$X1782</f>
      </c>
      <c r="AB1782" s="7">
        <f>$L1782+$Y1782</f>
      </c>
      <c r="AC1782" s="7">
        <f>$K1782-$X1782</f>
      </c>
      <c r="AD1782" s="7">
        <f>$L1782-$Y1782</f>
      </c>
      <c r="AE1782" s="7">
        <f>AA1782/39.3701</f>
      </c>
      <c r="AF1782" s="7">
        <f>AB1782/39.3701</f>
      </c>
      <c r="AG1782" s="7">
        <f>AC1782/39.3701</f>
      </c>
      <c r="AH1782" s="7">
        <f>AD1782/39.3701</f>
      </c>
      <c r="AI1782" s="1"/>
      <c r="AJ1782" s="1"/>
      <c r="AK1782" s="1"/>
      <c r="AL1782" s="1"/>
      <c r="AM1782" s="2"/>
      <c r="AN1782" s="1"/>
      <c r="AO1782" s="1"/>
      <c r="AP1782" s="1"/>
      <c r="AQ1782" s="1"/>
      <c r="AR1782" s="1"/>
      <c r="AS1782" s="1"/>
      <c r="AT1782" s="1"/>
      <c r="AU1782" s="1"/>
      <c r="AV1782" s="1"/>
      <c r="AW1782" s="1"/>
      <c r="AX1782" s="1"/>
      <c r="AY1782" s="1"/>
      <c r="AZ1782" s="1"/>
      <c r="BA1782" s="1"/>
      <c r="BB1782" s="1"/>
      <c r="BC1782" s="1"/>
      <c r="BD1782" s="1"/>
      <c r="BE1782" s="1"/>
    </row>
    <row x14ac:dyDescent="0.25" r="1783" customHeight="1" ht="18.75">
      <c r="A1783" s="1"/>
      <c r="B1783" s="2"/>
      <c r="C1783" s="2"/>
      <c r="D1783" s="2"/>
      <c r="E1783" s="2"/>
      <c r="F1783" s="2"/>
      <c r="G1783" s="1"/>
      <c r="H1783" s="1"/>
      <c r="I1783" s="7">
        <v>1.78</v>
      </c>
      <c r="J1783" s="7">
        <f>IF((I1783-ROUNDDOWN(I1783,0))=0, 0, (I1783-ROUNDDOWN(I1783,0)))</f>
      </c>
      <c r="K1783" s="7">
        <f>INDIRECT("C$"&amp;2+MIN(2,ROUNDDOWN(I1783,0))*3)*(-$J1783^3+3*$J1783^2-3*$J1783+1)+INDIRECT("C$"&amp;3+MIN(2,ROUNDDOWN(I1783,0))*3)*(3*$J1783^3-6*$J1783^2+3*$J1783)+INDIRECT("C$"&amp;4+MIN(2,ROUNDDOWN(I1783,0))*3)*(-3*$J1783^3+3*$J1783^2)+INDIRECT("C$"&amp;5+MIN(2,ROUNDDOWN(I1783,0))*3)*$J1783^3</f>
      </c>
      <c r="L1783" s="7">
        <f>INDIRECT("D$"&amp;2+MIN(2,ROUNDDOWN(I1783,0))*3)*(-$J1783^3+3*$J1783^2-3*$J1783+1)+INDIRECT("D$"&amp;3+MIN(2,ROUNDDOWN(I1783,0))*3)*(3*$J1783^3-6*$J1783^2+3*$J1783)+INDIRECT("D$"&amp;4+MIN(2,ROUNDDOWN(I1783,0))*3)*(-3*$J1783^3+3*$J1783^2)+INDIRECT("D$"&amp;5+MIN(2,ROUNDDOWN(I1783,0))*3)*$J1783^3</f>
      </c>
      <c r="M1783" s="7">
        <f>SQRT(K1783^2+L1783^2)</f>
      </c>
      <c r="N1783" s="7">
        <f>(K1784-K1782)</f>
      </c>
      <c r="O1783" s="7">
        <f>+(L1784-L1782)</f>
      </c>
      <c r="P1783" s="7">
        <f>SQRT(O1783^2+N1783^2)</f>
      </c>
      <c r="Q1783" s="7">
        <f>N1783/$P1783</f>
      </c>
      <c r="R1783" s="7">
        <f>O1783/$P1783</f>
      </c>
      <c r="S1783" s="7">
        <f>Q1783^2+R1783^2</f>
      </c>
      <c r="T1783" s="7">
        <f>-R1783</f>
      </c>
      <c r="U1783" s="7">
        <f>Q1783</f>
      </c>
      <c r="V1783" s="7">
        <f>($C$14+($C$15-$C$14)/($D$15-$D$14)*(I1783-$D$14))/2</f>
      </c>
      <c r="W1783" s="7">
        <f>($B$22*I1783^4+$C$22*I1783^3+$D$22*I1783^2+$E$22*I1783+$F$22)/2</f>
      </c>
      <c r="X1783" s="7">
        <f>($W1783)*(T1783)</f>
      </c>
      <c r="Y1783" s="7">
        <f>($W1783)*(U1783)</f>
      </c>
      <c r="Z1783" s="7">
        <f>SQRT(X1783^2+Y1783^2)</f>
      </c>
      <c r="AA1783" s="7">
        <f>$K1783+$X1783</f>
      </c>
      <c r="AB1783" s="7">
        <f>$L1783+$Y1783</f>
      </c>
      <c r="AC1783" s="7">
        <f>$K1783-$X1783</f>
      </c>
      <c r="AD1783" s="7">
        <f>$L1783-$Y1783</f>
      </c>
      <c r="AE1783" s="7">
        <f>AA1783/39.3701</f>
      </c>
      <c r="AF1783" s="7">
        <f>AB1783/39.3701</f>
      </c>
      <c r="AG1783" s="7">
        <f>AC1783/39.3701</f>
      </c>
      <c r="AH1783" s="7">
        <f>AD1783/39.3701</f>
      </c>
      <c r="AI1783" s="1"/>
      <c r="AJ1783" s="1"/>
      <c r="AK1783" s="1"/>
      <c r="AL1783" s="1"/>
      <c r="AM1783" s="2"/>
      <c r="AN1783" s="1"/>
      <c r="AO1783" s="1"/>
      <c r="AP1783" s="1"/>
      <c r="AQ1783" s="1"/>
      <c r="AR1783" s="1"/>
      <c r="AS1783" s="1"/>
      <c r="AT1783" s="1"/>
      <c r="AU1783" s="1"/>
      <c r="AV1783" s="1"/>
      <c r="AW1783" s="1"/>
      <c r="AX1783" s="1"/>
      <c r="AY1783" s="1"/>
      <c r="AZ1783" s="1"/>
      <c r="BA1783" s="1"/>
      <c r="BB1783" s="1"/>
      <c r="BC1783" s="1"/>
      <c r="BD1783" s="1"/>
      <c r="BE1783" s="1"/>
    </row>
    <row x14ac:dyDescent="0.25" r="1784" customHeight="1" ht="18.75">
      <c r="A1784" s="1"/>
      <c r="B1784" s="2"/>
      <c r="C1784" s="2"/>
      <c r="D1784" s="2"/>
      <c r="E1784" s="2"/>
      <c r="F1784" s="2"/>
      <c r="G1784" s="1"/>
      <c r="H1784" s="1"/>
      <c r="I1784" s="7">
        <v>1.781</v>
      </c>
      <c r="J1784" s="7">
        <f>IF((I1784-ROUNDDOWN(I1784,0))=0, 0, (I1784-ROUNDDOWN(I1784,0)))</f>
      </c>
      <c r="K1784" s="7">
        <f>INDIRECT("C$"&amp;2+MIN(2,ROUNDDOWN(I1784,0))*3)*(-$J1784^3+3*$J1784^2-3*$J1784+1)+INDIRECT("C$"&amp;3+MIN(2,ROUNDDOWN(I1784,0))*3)*(3*$J1784^3-6*$J1784^2+3*$J1784)+INDIRECT("C$"&amp;4+MIN(2,ROUNDDOWN(I1784,0))*3)*(-3*$J1784^3+3*$J1784^2)+INDIRECT("C$"&amp;5+MIN(2,ROUNDDOWN(I1784,0))*3)*$J1784^3</f>
      </c>
      <c r="L1784" s="7">
        <f>INDIRECT("D$"&amp;2+MIN(2,ROUNDDOWN(I1784,0))*3)*(-$J1784^3+3*$J1784^2-3*$J1784+1)+INDIRECT("D$"&amp;3+MIN(2,ROUNDDOWN(I1784,0))*3)*(3*$J1784^3-6*$J1784^2+3*$J1784)+INDIRECT("D$"&amp;4+MIN(2,ROUNDDOWN(I1784,0))*3)*(-3*$J1784^3+3*$J1784^2)+INDIRECT("D$"&amp;5+MIN(2,ROUNDDOWN(I1784,0))*3)*$J1784^3</f>
      </c>
      <c r="M1784" s="7">
        <f>SQRT(K1784^2+L1784^2)</f>
      </c>
      <c r="N1784" s="7">
        <f>(K1785-K1783)</f>
      </c>
      <c r="O1784" s="7">
        <f>+(L1785-L1783)</f>
      </c>
      <c r="P1784" s="7">
        <f>SQRT(O1784^2+N1784^2)</f>
      </c>
      <c r="Q1784" s="7">
        <f>N1784/$P1784</f>
      </c>
      <c r="R1784" s="7">
        <f>O1784/$P1784</f>
      </c>
      <c r="S1784" s="8">
        <f>Q1784^2+R1784^2</f>
      </c>
      <c r="T1784" s="7">
        <f>-R1784</f>
      </c>
      <c r="U1784" s="7">
        <f>Q1784</f>
      </c>
      <c r="V1784" s="7">
        <f>($C$14+($C$15-$C$14)/($D$15-$D$14)*(I1784-$D$14))/2</f>
      </c>
      <c r="W1784" s="7">
        <f>($B$22*I1784^4+$C$22*I1784^3+$D$22*I1784^2+$E$22*I1784+$F$22)/2</f>
      </c>
      <c r="X1784" s="7">
        <f>($W1784)*(T1784)</f>
      </c>
      <c r="Y1784" s="7">
        <f>($W1784)*(U1784)</f>
      </c>
      <c r="Z1784" s="7">
        <f>SQRT(X1784^2+Y1784^2)</f>
      </c>
      <c r="AA1784" s="7">
        <f>$K1784+$X1784</f>
      </c>
      <c r="AB1784" s="7">
        <f>$L1784+$Y1784</f>
      </c>
      <c r="AC1784" s="7">
        <f>$K1784-$X1784</f>
      </c>
      <c r="AD1784" s="7">
        <f>$L1784-$Y1784</f>
      </c>
      <c r="AE1784" s="7">
        <f>AA1784/39.3701</f>
      </c>
      <c r="AF1784" s="7">
        <f>AB1784/39.3701</f>
      </c>
      <c r="AG1784" s="7">
        <f>AC1784/39.3701</f>
      </c>
      <c r="AH1784" s="7">
        <f>AD1784/39.3701</f>
      </c>
      <c r="AI1784" s="1"/>
      <c r="AJ1784" s="1"/>
      <c r="AK1784" s="1"/>
      <c r="AL1784" s="1"/>
      <c r="AM1784" s="2"/>
      <c r="AN1784" s="1"/>
      <c r="AO1784" s="1"/>
      <c r="AP1784" s="1"/>
      <c r="AQ1784" s="1"/>
      <c r="AR1784" s="1"/>
      <c r="AS1784" s="1"/>
      <c r="AT1784" s="1"/>
      <c r="AU1784" s="1"/>
      <c r="AV1784" s="1"/>
      <c r="AW1784" s="1"/>
      <c r="AX1784" s="1"/>
      <c r="AY1784" s="1"/>
      <c r="AZ1784" s="1"/>
      <c r="BA1784" s="1"/>
      <c r="BB1784" s="1"/>
      <c r="BC1784" s="1"/>
      <c r="BD1784" s="1"/>
      <c r="BE1784" s="1"/>
    </row>
    <row x14ac:dyDescent="0.25" r="1785" customHeight="1" ht="18.75">
      <c r="A1785" s="1"/>
      <c r="B1785" s="2"/>
      <c r="C1785" s="2"/>
      <c r="D1785" s="2"/>
      <c r="E1785" s="2"/>
      <c r="F1785" s="2"/>
      <c r="G1785" s="1"/>
      <c r="H1785" s="1"/>
      <c r="I1785" s="7">
        <v>1.782</v>
      </c>
      <c r="J1785" s="7">
        <f>IF((I1785-ROUNDDOWN(I1785,0))=0, 0, (I1785-ROUNDDOWN(I1785,0)))</f>
      </c>
      <c r="K1785" s="7">
        <f>INDIRECT("C$"&amp;2+MIN(2,ROUNDDOWN(I1785,0))*3)*(-$J1785^3+3*$J1785^2-3*$J1785+1)+INDIRECT("C$"&amp;3+MIN(2,ROUNDDOWN(I1785,0))*3)*(3*$J1785^3-6*$J1785^2+3*$J1785)+INDIRECT("C$"&amp;4+MIN(2,ROUNDDOWN(I1785,0))*3)*(-3*$J1785^3+3*$J1785^2)+INDIRECT("C$"&amp;5+MIN(2,ROUNDDOWN(I1785,0))*3)*$J1785^3</f>
      </c>
      <c r="L1785" s="7">
        <f>INDIRECT("D$"&amp;2+MIN(2,ROUNDDOWN(I1785,0))*3)*(-$J1785^3+3*$J1785^2-3*$J1785+1)+INDIRECT("D$"&amp;3+MIN(2,ROUNDDOWN(I1785,0))*3)*(3*$J1785^3-6*$J1785^2+3*$J1785)+INDIRECT("D$"&amp;4+MIN(2,ROUNDDOWN(I1785,0))*3)*(-3*$J1785^3+3*$J1785^2)+INDIRECT("D$"&amp;5+MIN(2,ROUNDDOWN(I1785,0))*3)*$J1785^3</f>
      </c>
      <c r="M1785" s="7">
        <f>SQRT(K1785^2+L1785^2)</f>
      </c>
      <c r="N1785" s="7">
        <f>(K1786-K1784)</f>
      </c>
      <c r="O1785" s="7">
        <f>+(L1786-L1784)</f>
      </c>
      <c r="P1785" s="7">
        <f>SQRT(O1785^2+N1785^2)</f>
      </c>
      <c r="Q1785" s="7">
        <f>N1785/$P1785</f>
      </c>
      <c r="R1785" s="7">
        <f>O1785/$P1785</f>
      </c>
      <c r="S1785" s="8">
        <f>Q1785^2+R1785^2</f>
      </c>
      <c r="T1785" s="7">
        <f>-R1785</f>
      </c>
      <c r="U1785" s="7">
        <f>Q1785</f>
      </c>
      <c r="V1785" s="7">
        <f>($C$14+($C$15-$C$14)/($D$15-$D$14)*(I1785-$D$14))/2</f>
      </c>
      <c r="W1785" s="7">
        <f>($B$22*I1785^4+$C$22*I1785^3+$D$22*I1785^2+$E$22*I1785+$F$22)/2</f>
      </c>
      <c r="X1785" s="7">
        <f>($W1785)*(T1785)</f>
      </c>
      <c r="Y1785" s="7">
        <f>($W1785)*(U1785)</f>
      </c>
      <c r="Z1785" s="7">
        <f>SQRT(X1785^2+Y1785^2)</f>
      </c>
      <c r="AA1785" s="7">
        <f>$K1785+$X1785</f>
      </c>
      <c r="AB1785" s="7">
        <f>$L1785+$Y1785</f>
      </c>
      <c r="AC1785" s="7">
        <f>$K1785-$X1785</f>
      </c>
      <c r="AD1785" s="7">
        <f>$L1785-$Y1785</f>
      </c>
      <c r="AE1785" s="7">
        <f>AA1785/39.3701</f>
      </c>
      <c r="AF1785" s="7">
        <f>AB1785/39.3701</f>
      </c>
      <c r="AG1785" s="7">
        <f>AC1785/39.3701</f>
      </c>
      <c r="AH1785" s="7">
        <f>AD1785/39.3701</f>
      </c>
      <c r="AI1785" s="1"/>
      <c r="AJ1785" s="1"/>
      <c r="AK1785" s="1"/>
      <c r="AL1785" s="1"/>
      <c r="AM1785" s="2"/>
      <c r="AN1785" s="1"/>
      <c r="AO1785" s="1"/>
      <c r="AP1785" s="1"/>
      <c r="AQ1785" s="1"/>
      <c r="AR1785" s="1"/>
      <c r="AS1785" s="1"/>
      <c r="AT1785" s="1"/>
      <c r="AU1785" s="1"/>
      <c r="AV1785" s="1"/>
      <c r="AW1785" s="1"/>
      <c r="AX1785" s="1"/>
      <c r="AY1785" s="1"/>
      <c r="AZ1785" s="1"/>
      <c r="BA1785" s="1"/>
      <c r="BB1785" s="1"/>
      <c r="BC1785" s="1"/>
      <c r="BD1785" s="1"/>
      <c r="BE1785" s="1"/>
    </row>
    <row x14ac:dyDescent="0.25" r="1786" customHeight="1" ht="18.75">
      <c r="A1786" s="1"/>
      <c r="B1786" s="2"/>
      <c r="C1786" s="2"/>
      <c r="D1786" s="2"/>
      <c r="E1786" s="2"/>
      <c r="F1786" s="2"/>
      <c r="G1786" s="1"/>
      <c r="H1786" s="1"/>
      <c r="I1786" s="7">
        <v>1.783</v>
      </c>
      <c r="J1786" s="7">
        <f>IF((I1786-ROUNDDOWN(I1786,0))=0, 0, (I1786-ROUNDDOWN(I1786,0)))</f>
      </c>
      <c r="K1786" s="7">
        <f>INDIRECT("C$"&amp;2+MIN(2,ROUNDDOWN(I1786,0))*3)*(-$J1786^3+3*$J1786^2-3*$J1786+1)+INDIRECT("C$"&amp;3+MIN(2,ROUNDDOWN(I1786,0))*3)*(3*$J1786^3-6*$J1786^2+3*$J1786)+INDIRECT("C$"&amp;4+MIN(2,ROUNDDOWN(I1786,0))*3)*(-3*$J1786^3+3*$J1786^2)+INDIRECT("C$"&amp;5+MIN(2,ROUNDDOWN(I1786,0))*3)*$J1786^3</f>
      </c>
      <c r="L1786" s="7">
        <f>INDIRECT("D$"&amp;2+MIN(2,ROUNDDOWN(I1786,0))*3)*(-$J1786^3+3*$J1786^2-3*$J1786+1)+INDIRECT("D$"&amp;3+MIN(2,ROUNDDOWN(I1786,0))*3)*(3*$J1786^3-6*$J1786^2+3*$J1786)+INDIRECT("D$"&amp;4+MIN(2,ROUNDDOWN(I1786,0))*3)*(-3*$J1786^3+3*$J1786^2)+INDIRECT("D$"&amp;5+MIN(2,ROUNDDOWN(I1786,0))*3)*$J1786^3</f>
      </c>
      <c r="M1786" s="7">
        <f>SQRT(K1786^2+L1786^2)</f>
      </c>
      <c r="N1786" s="7">
        <f>(K1787-K1785)</f>
      </c>
      <c r="O1786" s="7">
        <f>+(L1787-L1785)</f>
      </c>
      <c r="P1786" s="7">
        <f>SQRT(O1786^2+N1786^2)</f>
      </c>
      <c r="Q1786" s="7">
        <f>N1786/$P1786</f>
      </c>
      <c r="R1786" s="7">
        <f>O1786/$P1786</f>
      </c>
      <c r="S1786" s="8">
        <f>Q1786^2+R1786^2</f>
      </c>
      <c r="T1786" s="7">
        <f>-R1786</f>
      </c>
      <c r="U1786" s="7">
        <f>Q1786</f>
      </c>
      <c r="V1786" s="7">
        <f>($C$14+($C$15-$C$14)/($D$15-$D$14)*(I1786-$D$14))/2</f>
      </c>
      <c r="W1786" s="7">
        <f>($B$22*I1786^4+$C$22*I1786^3+$D$22*I1786^2+$E$22*I1786+$F$22)/2</f>
      </c>
      <c r="X1786" s="7">
        <f>($W1786)*(T1786)</f>
      </c>
      <c r="Y1786" s="7">
        <f>($W1786)*(U1786)</f>
      </c>
      <c r="Z1786" s="7">
        <f>SQRT(X1786^2+Y1786^2)</f>
      </c>
      <c r="AA1786" s="7">
        <f>$K1786+$X1786</f>
      </c>
      <c r="AB1786" s="7">
        <f>$L1786+$Y1786</f>
      </c>
      <c r="AC1786" s="7">
        <f>$K1786-$X1786</f>
      </c>
      <c r="AD1786" s="7">
        <f>$L1786-$Y1786</f>
      </c>
      <c r="AE1786" s="7">
        <f>AA1786/39.3701</f>
      </c>
      <c r="AF1786" s="7">
        <f>AB1786/39.3701</f>
      </c>
      <c r="AG1786" s="7">
        <f>AC1786/39.3701</f>
      </c>
      <c r="AH1786" s="7">
        <f>AD1786/39.3701</f>
      </c>
      <c r="AI1786" s="1"/>
      <c r="AJ1786" s="1"/>
      <c r="AK1786" s="1"/>
      <c r="AL1786" s="1"/>
      <c r="AM1786" s="2"/>
      <c r="AN1786" s="1"/>
      <c r="AO1786" s="1"/>
      <c r="AP1786" s="1"/>
      <c r="AQ1786" s="1"/>
      <c r="AR1786" s="1"/>
      <c r="AS1786" s="1"/>
      <c r="AT1786" s="1"/>
      <c r="AU1786" s="1"/>
      <c r="AV1786" s="1"/>
      <c r="AW1786" s="1"/>
      <c r="AX1786" s="1"/>
      <c r="AY1786" s="1"/>
      <c r="AZ1786" s="1"/>
      <c r="BA1786" s="1"/>
      <c r="BB1786" s="1"/>
      <c r="BC1786" s="1"/>
      <c r="BD1786" s="1"/>
      <c r="BE1786" s="1"/>
    </row>
    <row x14ac:dyDescent="0.25" r="1787" customHeight="1" ht="18.75">
      <c r="A1787" s="1"/>
      <c r="B1787" s="2"/>
      <c r="C1787" s="2"/>
      <c r="D1787" s="2"/>
      <c r="E1787" s="2"/>
      <c r="F1787" s="2"/>
      <c r="G1787" s="1"/>
      <c r="H1787" s="1"/>
      <c r="I1787" s="7">
        <v>1.784</v>
      </c>
      <c r="J1787" s="7">
        <f>IF((I1787-ROUNDDOWN(I1787,0))=0, 0, (I1787-ROUNDDOWN(I1787,0)))</f>
      </c>
      <c r="K1787" s="7">
        <f>INDIRECT("C$"&amp;2+MIN(2,ROUNDDOWN(I1787,0))*3)*(-$J1787^3+3*$J1787^2-3*$J1787+1)+INDIRECT("C$"&amp;3+MIN(2,ROUNDDOWN(I1787,0))*3)*(3*$J1787^3-6*$J1787^2+3*$J1787)+INDIRECT("C$"&amp;4+MIN(2,ROUNDDOWN(I1787,0))*3)*(-3*$J1787^3+3*$J1787^2)+INDIRECT("C$"&amp;5+MIN(2,ROUNDDOWN(I1787,0))*3)*$J1787^3</f>
      </c>
      <c r="L1787" s="7">
        <f>INDIRECT("D$"&amp;2+MIN(2,ROUNDDOWN(I1787,0))*3)*(-$J1787^3+3*$J1787^2-3*$J1787+1)+INDIRECT("D$"&amp;3+MIN(2,ROUNDDOWN(I1787,0))*3)*(3*$J1787^3-6*$J1787^2+3*$J1787)+INDIRECT("D$"&amp;4+MIN(2,ROUNDDOWN(I1787,0))*3)*(-3*$J1787^3+3*$J1787^2)+INDIRECT("D$"&amp;5+MIN(2,ROUNDDOWN(I1787,0))*3)*$J1787^3</f>
      </c>
      <c r="M1787" s="7">
        <f>SQRT(K1787^2+L1787^2)</f>
      </c>
      <c r="N1787" s="7">
        <f>(K1788-K1786)</f>
      </c>
      <c r="O1787" s="7">
        <f>+(L1788-L1786)</f>
      </c>
      <c r="P1787" s="7">
        <f>SQRT(O1787^2+N1787^2)</f>
      </c>
      <c r="Q1787" s="7">
        <f>N1787/$P1787</f>
      </c>
      <c r="R1787" s="7">
        <f>O1787/$P1787</f>
      </c>
      <c r="S1787" s="7">
        <f>Q1787^2+R1787^2</f>
      </c>
      <c r="T1787" s="7">
        <f>-R1787</f>
      </c>
      <c r="U1787" s="7">
        <f>Q1787</f>
      </c>
      <c r="V1787" s="7">
        <f>($C$14+($C$15-$C$14)/($D$15-$D$14)*(I1787-$D$14))/2</f>
      </c>
      <c r="W1787" s="7">
        <f>($B$22*I1787^4+$C$22*I1787^3+$D$22*I1787^2+$E$22*I1787+$F$22)/2</f>
      </c>
      <c r="X1787" s="7">
        <f>($W1787)*(T1787)</f>
      </c>
      <c r="Y1787" s="7">
        <f>($W1787)*(U1787)</f>
      </c>
      <c r="Z1787" s="7">
        <f>SQRT(X1787^2+Y1787^2)</f>
      </c>
      <c r="AA1787" s="7">
        <f>$K1787+$X1787</f>
      </c>
      <c r="AB1787" s="7">
        <f>$L1787+$Y1787</f>
      </c>
      <c r="AC1787" s="7">
        <f>$K1787-$X1787</f>
      </c>
      <c r="AD1787" s="7">
        <f>$L1787-$Y1787</f>
      </c>
      <c r="AE1787" s="7">
        <f>AA1787/39.3701</f>
      </c>
      <c r="AF1787" s="7">
        <f>AB1787/39.3701</f>
      </c>
      <c r="AG1787" s="7">
        <f>AC1787/39.3701</f>
      </c>
      <c r="AH1787" s="7">
        <f>AD1787/39.3701</f>
      </c>
      <c r="AI1787" s="1"/>
      <c r="AJ1787" s="1"/>
      <c r="AK1787" s="1"/>
      <c r="AL1787" s="1"/>
      <c r="AM1787" s="2"/>
      <c r="AN1787" s="1"/>
      <c r="AO1787" s="1"/>
      <c r="AP1787" s="1"/>
      <c r="AQ1787" s="1"/>
      <c r="AR1787" s="1"/>
      <c r="AS1787" s="1"/>
      <c r="AT1787" s="1"/>
      <c r="AU1787" s="1"/>
      <c r="AV1787" s="1"/>
      <c r="AW1787" s="1"/>
      <c r="AX1787" s="1"/>
      <c r="AY1787" s="1"/>
      <c r="AZ1787" s="1"/>
      <c r="BA1787" s="1"/>
      <c r="BB1787" s="1"/>
      <c r="BC1787" s="1"/>
      <c r="BD1787" s="1"/>
      <c r="BE1787" s="1"/>
    </row>
    <row x14ac:dyDescent="0.25" r="1788" customHeight="1" ht="18.75">
      <c r="A1788" s="1"/>
      <c r="B1788" s="2"/>
      <c r="C1788" s="2"/>
      <c r="D1788" s="2"/>
      <c r="E1788" s="2"/>
      <c r="F1788" s="2"/>
      <c r="G1788" s="1"/>
      <c r="H1788" s="1"/>
      <c r="I1788" s="7">
        <v>1.785</v>
      </c>
      <c r="J1788" s="7">
        <f>IF((I1788-ROUNDDOWN(I1788,0))=0, 0, (I1788-ROUNDDOWN(I1788,0)))</f>
      </c>
      <c r="K1788" s="7">
        <f>INDIRECT("C$"&amp;2+MIN(2,ROUNDDOWN(I1788,0))*3)*(-$J1788^3+3*$J1788^2-3*$J1788+1)+INDIRECT("C$"&amp;3+MIN(2,ROUNDDOWN(I1788,0))*3)*(3*$J1788^3-6*$J1788^2+3*$J1788)+INDIRECT("C$"&amp;4+MIN(2,ROUNDDOWN(I1788,0))*3)*(-3*$J1788^3+3*$J1788^2)+INDIRECT("C$"&amp;5+MIN(2,ROUNDDOWN(I1788,0))*3)*$J1788^3</f>
      </c>
      <c r="L1788" s="7">
        <f>INDIRECT("D$"&amp;2+MIN(2,ROUNDDOWN(I1788,0))*3)*(-$J1788^3+3*$J1788^2-3*$J1788+1)+INDIRECT("D$"&amp;3+MIN(2,ROUNDDOWN(I1788,0))*3)*(3*$J1788^3-6*$J1788^2+3*$J1788)+INDIRECT("D$"&amp;4+MIN(2,ROUNDDOWN(I1788,0))*3)*(-3*$J1788^3+3*$J1788^2)+INDIRECT("D$"&amp;5+MIN(2,ROUNDDOWN(I1788,0))*3)*$J1788^3</f>
      </c>
      <c r="M1788" s="7">
        <f>SQRT(K1788^2+L1788^2)</f>
      </c>
      <c r="N1788" s="7">
        <f>(K1789-K1787)</f>
      </c>
      <c r="O1788" s="7">
        <f>+(L1789-L1787)</f>
      </c>
      <c r="P1788" s="7">
        <f>SQRT(O1788^2+N1788^2)</f>
      </c>
      <c r="Q1788" s="7">
        <f>N1788/$P1788</f>
      </c>
      <c r="R1788" s="7">
        <f>O1788/$P1788</f>
      </c>
      <c r="S1788" s="8">
        <f>Q1788^2+R1788^2</f>
      </c>
      <c r="T1788" s="7">
        <f>-R1788</f>
      </c>
      <c r="U1788" s="7">
        <f>Q1788</f>
      </c>
      <c r="V1788" s="7">
        <f>($C$14+($C$15-$C$14)/($D$15-$D$14)*(I1788-$D$14))/2</f>
      </c>
      <c r="W1788" s="7">
        <f>($B$22*I1788^4+$C$22*I1788^3+$D$22*I1788^2+$E$22*I1788+$F$22)/2</f>
      </c>
      <c r="X1788" s="7">
        <f>($W1788)*(T1788)</f>
      </c>
      <c r="Y1788" s="7">
        <f>($W1788)*(U1788)</f>
      </c>
      <c r="Z1788" s="7">
        <f>SQRT(X1788^2+Y1788^2)</f>
      </c>
      <c r="AA1788" s="7">
        <f>$K1788+$X1788</f>
      </c>
      <c r="AB1788" s="7">
        <f>$L1788+$Y1788</f>
      </c>
      <c r="AC1788" s="7">
        <f>$K1788-$X1788</f>
      </c>
      <c r="AD1788" s="7">
        <f>$L1788-$Y1788</f>
      </c>
      <c r="AE1788" s="7">
        <f>AA1788/39.3701</f>
      </c>
      <c r="AF1788" s="7">
        <f>AB1788/39.3701</f>
      </c>
      <c r="AG1788" s="7">
        <f>AC1788/39.3701</f>
      </c>
      <c r="AH1788" s="7">
        <f>AD1788/39.3701</f>
      </c>
      <c r="AI1788" s="1"/>
      <c r="AJ1788" s="1"/>
      <c r="AK1788" s="1"/>
      <c r="AL1788" s="1"/>
      <c r="AM1788" s="2"/>
      <c r="AN1788" s="1"/>
      <c r="AO1788" s="1"/>
      <c r="AP1788" s="1"/>
      <c r="AQ1788" s="1"/>
      <c r="AR1788" s="1"/>
      <c r="AS1788" s="1"/>
      <c r="AT1788" s="1"/>
      <c r="AU1788" s="1"/>
      <c r="AV1788" s="1"/>
      <c r="AW1788" s="1"/>
      <c r="AX1788" s="1"/>
      <c r="AY1788" s="1"/>
      <c r="AZ1788" s="1"/>
      <c r="BA1788" s="1"/>
      <c r="BB1788" s="1"/>
      <c r="BC1788" s="1"/>
      <c r="BD1788" s="1"/>
      <c r="BE1788" s="1"/>
    </row>
    <row x14ac:dyDescent="0.25" r="1789" customHeight="1" ht="18.75">
      <c r="A1789" s="1"/>
      <c r="B1789" s="2"/>
      <c r="C1789" s="2"/>
      <c r="D1789" s="2"/>
      <c r="E1789" s="2"/>
      <c r="F1789" s="2"/>
      <c r="G1789" s="1"/>
      <c r="H1789" s="1"/>
      <c r="I1789" s="7">
        <v>1.786</v>
      </c>
      <c r="J1789" s="7">
        <f>IF((I1789-ROUNDDOWN(I1789,0))=0, 0, (I1789-ROUNDDOWN(I1789,0)))</f>
      </c>
      <c r="K1789" s="7">
        <f>INDIRECT("C$"&amp;2+MIN(2,ROUNDDOWN(I1789,0))*3)*(-$J1789^3+3*$J1789^2-3*$J1789+1)+INDIRECT("C$"&amp;3+MIN(2,ROUNDDOWN(I1789,0))*3)*(3*$J1789^3-6*$J1789^2+3*$J1789)+INDIRECT("C$"&amp;4+MIN(2,ROUNDDOWN(I1789,0))*3)*(-3*$J1789^3+3*$J1789^2)+INDIRECT("C$"&amp;5+MIN(2,ROUNDDOWN(I1789,0))*3)*$J1789^3</f>
      </c>
      <c r="L1789" s="7">
        <f>INDIRECT("D$"&amp;2+MIN(2,ROUNDDOWN(I1789,0))*3)*(-$J1789^3+3*$J1789^2-3*$J1789+1)+INDIRECT("D$"&amp;3+MIN(2,ROUNDDOWN(I1789,0))*3)*(3*$J1789^3-6*$J1789^2+3*$J1789)+INDIRECT("D$"&amp;4+MIN(2,ROUNDDOWN(I1789,0))*3)*(-3*$J1789^3+3*$J1789^2)+INDIRECT("D$"&amp;5+MIN(2,ROUNDDOWN(I1789,0))*3)*$J1789^3</f>
      </c>
      <c r="M1789" s="7">
        <f>SQRT(K1789^2+L1789^2)</f>
      </c>
      <c r="N1789" s="7">
        <f>(K1790-K1788)</f>
      </c>
      <c r="O1789" s="7">
        <f>+(L1790-L1788)</f>
      </c>
      <c r="P1789" s="7">
        <f>SQRT(O1789^2+N1789^2)</f>
      </c>
      <c r="Q1789" s="7">
        <f>N1789/$P1789</f>
      </c>
      <c r="R1789" s="7">
        <f>O1789/$P1789</f>
      </c>
      <c r="S1789" s="8">
        <f>Q1789^2+R1789^2</f>
      </c>
      <c r="T1789" s="7">
        <f>-R1789</f>
      </c>
      <c r="U1789" s="7">
        <f>Q1789</f>
      </c>
      <c r="V1789" s="7">
        <f>($C$14+($C$15-$C$14)/($D$15-$D$14)*(I1789-$D$14))/2</f>
      </c>
      <c r="W1789" s="7">
        <f>($B$22*I1789^4+$C$22*I1789^3+$D$22*I1789^2+$E$22*I1789+$F$22)/2</f>
      </c>
      <c r="X1789" s="7">
        <f>($W1789)*(T1789)</f>
      </c>
      <c r="Y1789" s="7">
        <f>($W1789)*(U1789)</f>
      </c>
      <c r="Z1789" s="7">
        <f>SQRT(X1789^2+Y1789^2)</f>
      </c>
      <c r="AA1789" s="7">
        <f>$K1789+$X1789</f>
      </c>
      <c r="AB1789" s="7">
        <f>$L1789+$Y1789</f>
      </c>
      <c r="AC1789" s="7">
        <f>$K1789-$X1789</f>
      </c>
      <c r="AD1789" s="7">
        <f>$L1789-$Y1789</f>
      </c>
      <c r="AE1789" s="7">
        <f>AA1789/39.3701</f>
      </c>
      <c r="AF1789" s="7">
        <f>AB1789/39.3701</f>
      </c>
      <c r="AG1789" s="7">
        <f>AC1789/39.3701</f>
      </c>
      <c r="AH1789" s="7">
        <f>AD1789/39.3701</f>
      </c>
      <c r="AI1789" s="1"/>
      <c r="AJ1789" s="1"/>
      <c r="AK1789" s="1"/>
      <c r="AL1789" s="1"/>
      <c r="AM1789" s="2"/>
      <c r="AN1789" s="1"/>
      <c r="AO1789" s="1"/>
      <c r="AP1789" s="1"/>
      <c r="AQ1789" s="1"/>
      <c r="AR1789" s="1"/>
      <c r="AS1789" s="1"/>
      <c r="AT1789" s="1"/>
      <c r="AU1789" s="1"/>
      <c r="AV1789" s="1"/>
      <c r="AW1789" s="1"/>
      <c r="AX1789" s="1"/>
      <c r="AY1789" s="1"/>
      <c r="AZ1789" s="1"/>
      <c r="BA1789" s="1"/>
      <c r="BB1789" s="1"/>
      <c r="BC1789" s="1"/>
      <c r="BD1789" s="1"/>
      <c r="BE1789" s="1"/>
    </row>
    <row x14ac:dyDescent="0.25" r="1790" customHeight="1" ht="18.75">
      <c r="A1790" s="1"/>
      <c r="B1790" s="2"/>
      <c r="C1790" s="2"/>
      <c r="D1790" s="2"/>
      <c r="E1790" s="2"/>
      <c r="F1790" s="2"/>
      <c r="G1790" s="1"/>
      <c r="H1790" s="1"/>
      <c r="I1790" s="7">
        <v>1.787</v>
      </c>
      <c r="J1790" s="7">
        <f>IF((I1790-ROUNDDOWN(I1790,0))=0, 0, (I1790-ROUNDDOWN(I1790,0)))</f>
      </c>
      <c r="K1790" s="7">
        <f>INDIRECT("C$"&amp;2+MIN(2,ROUNDDOWN(I1790,0))*3)*(-$J1790^3+3*$J1790^2-3*$J1790+1)+INDIRECT("C$"&amp;3+MIN(2,ROUNDDOWN(I1790,0))*3)*(3*$J1790^3-6*$J1790^2+3*$J1790)+INDIRECT("C$"&amp;4+MIN(2,ROUNDDOWN(I1790,0))*3)*(-3*$J1790^3+3*$J1790^2)+INDIRECT("C$"&amp;5+MIN(2,ROUNDDOWN(I1790,0))*3)*$J1790^3</f>
      </c>
      <c r="L1790" s="7">
        <f>INDIRECT("D$"&amp;2+MIN(2,ROUNDDOWN(I1790,0))*3)*(-$J1790^3+3*$J1790^2-3*$J1790+1)+INDIRECT("D$"&amp;3+MIN(2,ROUNDDOWN(I1790,0))*3)*(3*$J1790^3-6*$J1790^2+3*$J1790)+INDIRECT("D$"&amp;4+MIN(2,ROUNDDOWN(I1790,0))*3)*(-3*$J1790^3+3*$J1790^2)+INDIRECT("D$"&amp;5+MIN(2,ROUNDDOWN(I1790,0))*3)*$J1790^3</f>
      </c>
      <c r="M1790" s="7">
        <f>SQRT(K1790^2+L1790^2)</f>
      </c>
      <c r="N1790" s="7">
        <f>(K1791-K1789)</f>
      </c>
      <c r="O1790" s="7">
        <f>+(L1791-L1789)</f>
      </c>
      <c r="P1790" s="7">
        <f>SQRT(O1790^2+N1790^2)</f>
      </c>
      <c r="Q1790" s="7">
        <f>N1790/$P1790</f>
      </c>
      <c r="R1790" s="7">
        <f>O1790/$P1790</f>
      </c>
      <c r="S1790" s="7">
        <f>Q1790^2+R1790^2</f>
      </c>
      <c r="T1790" s="7">
        <f>-R1790</f>
      </c>
      <c r="U1790" s="7">
        <f>Q1790</f>
      </c>
      <c r="V1790" s="7">
        <f>($C$14+($C$15-$C$14)/($D$15-$D$14)*(I1790-$D$14))/2</f>
      </c>
      <c r="W1790" s="7">
        <f>($B$22*I1790^4+$C$22*I1790^3+$D$22*I1790^2+$E$22*I1790+$F$22)/2</f>
      </c>
      <c r="X1790" s="7">
        <f>($W1790)*(T1790)</f>
      </c>
      <c r="Y1790" s="7">
        <f>($W1790)*(U1790)</f>
      </c>
      <c r="Z1790" s="7">
        <f>SQRT(X1790^2+Y1790^2)</f>
      </c>
      <c r="AA1790" s="7">
        <f>$K1790+$X1790</f>
      </c>
      <c r="AB1790" s="7">
        <f>$L1790+$Y1790</f>
      </c>
      <c r="AC1790" s="7">
        <f>$K1790-$X1790</f>
      </c>
      <c r="AD1790" s="7">
        <f>$L1790-$Y1790</f>
      </c>
      <c r="AE1790" s="7">
        <f>AA1790/39.3701</f>
      </c>
      <c r="AF1790" s="7">
        <f>AB1790/39.3701</f>
      </c>
      <c r="AG1790" s="7">
        <f>AC1790/39.3701</f>
      </c>
      <c r="AH1790" s="7">
        <f>AD1790/39.3701</f>
      </c>
      <c r="AI1790" s="1"/>
      <c r="AJ1790" s="1"/>
      <c r="AK1790" s="1"/>
      <c r="AL1790" s="1"/>
      <c r="AM1790" s="2"/>
      <c r="AN1790" s="1"/>
      <c r="AO1790" s="1"/>
      <c r="AP1790" s="1"/>
      <c r="AQ1790" s="1"/>
      <c r="AR1790" s="1"/>
      <c r="AS1790" s="1"/>
      <c r="AT1790" s="1"/>
      <c r="AU1790" s="1"/>
      <c r="AV1790" s="1"/>
      <c r="AW1790" s="1"/>
      <c r="AX1790" s="1"/>
      <c r="AY1790" s="1"/>
      <c r="AZ1790" s="1"/>
      <c r="BA1790" s="1"/>
      <c r="BB1790" s="1"/>
      <c r="BC1790" s="1"/>
      <c r="BD1790" s="1"/>
      <c r="BE1790" s="1"/>
    </row>
    <row x14ac:dyDescent="0.25" r="1791" customHeight="1" ht="18.75">
      <c r="A1791" s="1"/>
      <c r="B1791" s="2"/>
      <c r="C1791" s="2"/>
      <c r="D1791" s="2"/>
      <c r="E1791" s="2"/>
      <c r="F1791" s="2"/>
      <c r="G1791" s="1"/>
      <c r="H1791" s="1"/>
      <c r="I1791" s="7">
        <v>1.788</v>
      </c>
      <c r="J1791" s="7">
        <f>IF((I1791-ROUNDDOWN(I1791,0))=0, 0, (I1791-ROUNDDOWN(I1791,0)))</f>
      </c>
      <c r="K1791" s="7">
        <f>INDIRECT("C$"&amp;2+MIN(2,ROUNDDOWN(I1791,0))*3)*(-$J1791^3+3*$J1791^2-3*$J1791+1)+INDIRECT("C$"&amp;3+MIN(2,ROUNDDOWN(I1791,0))*3)*(3*$J1791^3-6*$J1791^2+3*$J1791)+INDIRECT("C$"&amp;4+MIN(2,ROUNDDOWN(I1791,0))*3)*(-3*$J1791^3+3*$J1791^2)+INDIRECT("C$"&amp;5+MIN(2,ROUNDDOWN(I1791,0))*3)*$J1791^3</f>
      </c>
      <c r="L1791" s="7">
        <f>INDIRECT("D$"&amp;2+MIN(2,ROUNDDOWN(I1791,0))*3)*(-$J1791^3+3*$J1791^2-3*$J1791+1)+INDIRECT("D$"&amp;3+MIN(2,ROUNDDOWN(I1791,0))*3)*(3*$J1791^3-6*$J1791^2+3*$J1791)+INDIRECT("D$"&amp;4+MIN(2,ROUNDDOWN(I1791,0))*3)*(-3*$J1791^3+3*$J1791^2)+INDIRECT("D$"&amp;5+MIN(2,ROUNDDOWN(I1791,0))*3)*$J1791^3</f>
      </c>
      <c r="M1791" s="7">
        <f>SQRT(K1791^2+L1791^2)</f>
      </c>
      <c r="N1791" s="7">
        <f>(K1792-K1790)</f>
      </c>
      <c r="O1791" s="7">
        <f>+(L1792-L1790)</f>
      </c>
      <c r="P1791" s="7">
        <f>SQRT(O1791^2+N1791^2)</f>
      </c>
      <c r="Q1791" s="7">
        <f>N1791/$P1791</f>
      </c>
      <c r="R1791" s="7">
        <f>O1791/$P1791</f>
      </c>
      <c r="S1791" s="7">
        <f>Q1791^2+R1791^2</f>
      </c>
      <c r="T1791" s="7">
        <f>-R1791</f>
      </c>
      <c r="U1791" s="7">
        <f>Q1791</f>
      </c>
      <c r="V1791" s="7">
        <f>($C$14+($C$15-$C$14)/($D$15-$D$14)*(I1791-$D$14))/2</f>
      </c>
      <c r="W1791" s="7">
        <f>($B$22*I1791^4+$C$22*I1791^3+$D$22*I1791^2+$E$22*I1791+$F$22)/2</f>
      </c>
      <c r="X1791" s="7">
        <f>($W1791)*(T1791)</f>
      </c>
      <c r="Y1791" s="7">
        <f>($W1791)*(U1791)</f>
      </c>
      <c r="Z1791" s="7">
        <f>SQRT(X1791^2+Y1791^2)</f>
      </c>
      <c r="AA1791" s="7">
        <f>$K1791+$X1791</f>
      </c>
      <c r="AB1791" s="7">
        <f>$L1791+$Y1791</f>
      </c>
      <c r="AC1791" s="7">
        <f>$K1791-$X1791</f>
      </c>
      <c r="AD1791" s="7">
        <f>$L1791-$Y1791</f>
      </c>
      <c r="AE1791" s="7">
        <f>AA1791/39.3701</f>
      </c>
      <c r="AF1791" s="7">
        <f>AB1791/39.3701</f>
      </c>
      <c r="AG1791" s="7">
        <f>AC1791/39.3701</f>
      </c>
      <c r="AH1791" s="7">
        <f>AD1791/39.3701</f>
      </c>
      <c r="AI1791" s="1"/>
      <c r="AJ1791" s="1"/>
      <c r="AK1791" s="1"/>
      <c r="AL1791" s="1"/>
      <c r="AM1791" s="2"/>
      <c r="AN1791" s="1"/>
      <c r="AO1791" s="1"/>
      <c r="AP1791" s="1"/>
      <c r="AQ1791" s="1"/>
      <c r="AR1791" s="1"/>
      <c r="AS1791" s="1"/>
      <c r="AT1791" s="1"/>
      <c r="AU1791" s="1"/>
      <c r="AV1791" s="1"/>
      <c r="AW1791" s="1"/>
      <c r="AX1791" s="1"/>
      <c r="AY1791" s="1"/>
      <c r="AZ1791" s="1"/>
      <c r="BA1791" s="1"/>
      <c r="BB1791" s="1"/>
      <c r="BC1791" s="1"/>
      <c r="BD1791" s="1"/>
      <c r="BE1791" s="1"/>
    </row>
    <row x14ac:dyDescent="0.25" r="1792" customHeight="1" ht="18.75">
      <c r="A1792" s="1"/>
      <c r="B1792" s="2"/>
      <c r="C1792" s="2"/>
      <c r="D1792" s="2"/>
      <c r="E1792" s="2"/>
      <c r="F1792" s="2"/>
      <c r="G1792" s="1"/>
      <c r="H1792" s="1"/>
      <c r="I1792" s="7">
        <v>1.789</v>
      </c>
      <c r="J1792" s="7">
        <f>IF((I1792-ROUNDDOWN(I1792,0))=0, 0, (I1792-ROUNDDOWN(I1792,0)))</f>
      </c>
      <c r="K1792" s="7">
        <f>INDIRECT("C$"&amp;2+MIN(2,ROUNDDOWN(I1792,0))*3)*(-$J1792^3+3*$J1792^2-3*$J1792+1)+INDIRECT("C$"&amp;3+MIN(2,ROUNDDOWN(I1792,0))*3)*(3*$J1792^3-6*$J1792^2+3*$J1792)+INDIRECT("C$"&amp;4+MIN(2,ROUNDDOWN(I1792,0))*3)*(-3*$J1792^3+3*$J1792^2)+INDIRECT("C$"&amp;5+MIN(2,ROUNDDOWN(I1792,0))*3)*$J1792^3</f>
      </c>
      <c r="L1792" s="7">
        <f>INDIRECT("D$"&amp;2+MIN(2,ROUNDDOWN(I1792,0))*3)*(-$J1792^3+3*$J1792^2-3*$J1792+1)+INDIRECT("D$"&amp;3+MIN(2,ROUNDDOWN(I1792,0))*3)*(3*$J1792^3-6*$J1792^2+3*$J1792)+INDIRECT("D$"&amp;4+MIN(2,ROUNDDOWN(I1792,0))*3)*(-3*$J1792^3+3*$J1792^2)+INDIRECT("D$"&amp;5+MIN(2,ROUNDDOWN(I1792,0))*3)*$J1792^3</f>
      </c>
      <c r="M1792" s="7">
        <f>SQRT(K1792^2+L1792^2)</f>
      </c>
      <c r="N1792" s="7">
        <f>(K1793-K1791)</f>
      </c>
      <c r="O1792" s="7">
        <f>+(L1793-L1791)</f>
      </c>
      <c r="P1792" s="7">
        <f>SQRT(O1792^2+N1792^2)</f>
      </c>
      <c r="Q1792" s="7">
        <f>N1792/$P1792</f>
      </c>
      <c r="R1792" s="7">
        <f>O1792/$P1792</f>
      </c>
      <c r="S1792" s="7">
        <f>Q1792^2+R1792^2</f>
      </c>
      <c r="T1792" s="7">
        <f>-R1792</f>
      </c>
      <c r="U1792" s="7">
        <f>Q1792</f>
      </c>
      <c r="V1792" s="7">
        <f>($C$14+($C$15-$C$14)/($D$15-$D$14)*(I1792-$D$14))/2</f>
      </c>
      <c r="W1792" s="7">
        <f>($B$22*I1792^4+$C$22*I1792^3+$D$22*I1792^2+$E$22*I1792+$F$22)/2</f>
      </c>
      <c r="X1792" s="7">
        <f>($W1792)*(T1792)</f>
      </c>
      <c r="Y1792" s="7">
        <f>($W1792)*(U1792)</f>
      </c>
      <c r="Z1792" s="7">
        <f>SQRT(X1792^2+Y1792^2)</f>
      </c>
      <c r="AA1792" s="7">
        <f>$K1792+$X1792</f>
      </c>
      <c r="AB1792" s="7">
        <f>$L1792+$Y1792</f>
      </c>
      <c r="AC1792" s="7">
        <f>$K1792-$X1792</f>
      </c>
      <c r="AD1792" s="7">
        <f>$L1792-$Y1792</f>
      </c>
      <c r="AE1792" s="7">
        <f>AA1792/39.3701</f>
      </c>
      <c r="AF1792" s="7">
        <f>AB1792/39.3701</f>
      </c>
      <c r="AG1792" s="7">
        <f>AC1792/39.3701</f>
      </c>
      <c r="AH1792" s="7">
        <f>AD1792/39.3701</f>
      </c>
      <c r="AI1792" s="1"/>
      <c r="AJ1792" s="1"/>
      <c r="AK1792" s="1"/>
      <c r="AL1792" s="1"/>
      <c r="AM1792" s="2"/>
      <c r="AN1792" s="1"/>
      <c r="AO1792" s="1"/>
      <c r="AP1792" s="1"/>
      <c r="AQ1792" s="1"/>
      <c r="AR1792" s="1"/>
      <c r="AS1792" s="1"/>
      <c r="AT1792" s="1"/>
      <c r="AU1792" s="1"/>
      <c r="AV1792" s="1"/>
      <c r="AW1792" s="1"/>
      <c r="AX1792" s="1"/>
      <c r="AY1792" s="1"/>
      <c r="AZ1792" s="1"/>
      <c r="BA1792" s="1"/>
      <c r="BB1792" s="1"/>
      <c r="BC1792" s="1"/>
      <c r="BD1792" s="1"/>
      <c r="BE1792" s="1"/>
    </row>
    <row x14ac:dyDescent="0.25" r="1793" customHeight="1" ht="18.75">
      <c r="A1793" s="1"/>
      <c r="B1793" s="2"/>
      <c r="C1793" s="2"/>
      <c r="D1793" s="2"/>
      <c r="E1793" s="2"/>
      <c r="F1793" s="2"/>
      <c r="G1793" s="1"/>
      <c r="H1793" s="1"/>
      <c r="I1793" s="7">
        <v>1.79</v>
      </c>
      <c r="J1793" s="7">
        <f>IF((I1793-ROUNDDOWN(I1793,0))=0, 0, (I1793-ROUNDDOWN(I1793,0)))</f>
      </c>
      <c r="K1793" s="7">
        <f>INDIRECT("C$"&amp;2+MIN(2,ROUNDDOWN(I1793,0))*3)*(-$J1793^3+3*$J1793^2-3*$J1793+1)+INDIRECT("C$"&amp;3+MIN(2,ROUNDDOWN(I1793,0))*3)*(3*$J1793^3-6*$J1793^2+3*$J1793)+INDIRECT("C$"&amp;4+MIN(2,ROUNDDOWN(I1793,0))*3)*(-3*$J1793^3+3*$J1793^2)+INDIRECT("C$"&amp;5+MIN(2,ROUNDDOWN(I1793,0))*3)*$J1793^3</f>
      </c>
      <c r="L1793" s="7">
        <f>INDIRECT("D$"&amp;2+MIN(2,ROUNDDOWN(I1793,0))*3)*(-$J1793^3+3*$J1793^2-3*$J1793+1)+INDIRECT("D$"&amp;3+MIN(2,ROUNDDOWN(I1793,0))*3)*(3*$J1793^3-6*$J1793^2+3*$J1793)+INDIRECT("D$"&amp;4+MIN(2,ROUNDDOWN(I1793,0))*3)*(-3*$J1793^3+3*$J1793^2)+INDIRECT("D$"&amp;5+MIN(2,ROUNDDOWN(I1793,0))*3)*$J1793^3</f>
      </c>
      <c r="M1793" s="7">
        <f>SQRT(K1793^2+L1793^2)</f>
      </c>
      <c r="N1793" s="7">
        <f>(K1794-K1792)</f>
      </c>
      <c r="O1793" s="7">
        <f>+(L1794-L1792)</f>
      </c>
      <c r="P1793" s="7">
        <f>SQRT(O1793^2+N1793^2)</f>
      </c>
      <c r="Q1793" s="7">
        <f>N1793/$P1793</f>
      </c>
      <c r="R1793" s="7">
        <f>O1793/$P1793</f>
      </c>
      <c r="S1793" s="7">
        <f>Q1793^2+R1793^2</f>
      </c>
      <c r="T1793" s="7">
        <f>-R1793</f>
      </c>
      <c r="U1793" s="7">
        <f>Q1793</f>
      </c>
      <c r="V1793" s="7">
        <f>($C$14+($C$15-$C$14)/($D$15-$D$14)*(I1793-$D$14))/2</f>
      </c>
      <c r="W1793" s="7">
        <f>($B$22*I1793^4+$C$22*I1793^3+$D$22*I1793^2+$E$22*I1793+$F$22)/2</f>
      </c>
      <c r="X1793" s="7">
        <f>($W1793)*(T1793)</f>
      </c>
      <c r="Y1793" s="7">
        <f>($W1793)*(U1793)</f>
      </c>
      <c r="Z1793" s="7">
        <f>SQRT(X1793^2+Y1793^2)</f>
      </c>
      <c r="AA1793" s="7">
        <f>$K1793+$X1793</f>
      </c>
      <c r="AB1793" s="7">
        <f>$L1793+$Y1793</f>
      </c>
      <c r="AC1793" s="7">
        <f>$K1793-$X1793</f>
      </c>
      <c r="AD1793" s="7">
        <f>$L1793-$Y1793</f>
      </c>
      <c r="AE1793" s="7">
        <f>AA1793/39.3701</f>
      </c>
      <c r="AF1793" s="7">
        <f>AB1793/39.3701</f>
      </c>
      <c r="AG1793" s="7">
        <f>AC1793/39.3701</f>
      </c>
      <c r="AH1793" s="7">
        <f>AD1793/39.3701</f>
      </c>
      <c r="AI1793" s="1"/>
      <c r="AJ1793" s="1"/>
      <c r="AK1793" s="1"/>
      <c r="AL1793" s="1"/>
      <c r="AM1793" s="2"/>
      <c r="AN1793" s="1"/>
      <c r="AO1793" s="1"/>
      <c r="AP1793" s="1"/>
      <c r="AQ1793" s="1"/>
      <c r="AR1793" s="1"/>
      <c r="AS1793" s="1"/>
      <c r="AT1793" s="1"/>
      <c r="AU1793" s="1"/>
      <c r="AV1793" s="1"/>
      <c r="AW1793" s="1"/>
      <c r="AX1793" s="1"/>
      <c r="AY1793" s="1"/>
      <c r="AZ1793" s="1"/>
      <c r="BA1793" s="1"/>
      <c r="BB1793" s="1"/>
      <c r="BC1793" s="1"/>
      <c r="BD1793" s="1"/>
      <c r="BE1793" s="1"/>
    </row>
    <row x14ac:dyDescent="0.25" r="1794" customHeight="1" ht="18.75">
      <c r="A1794" s="1"/>
      <c r="B1794" s="2"/>
      <c r="C1794" s="2"/>
      <c r="D1794" s="2"/>
      <c r="E1794" s="2"/>
      <c r="F1794" s="2"/>
      <c r="G1794" s="1"/>
      <c r="H1794" s="1"/>
      <c r="I1794" s="7">
        <v>1.791</v>
      </c>
      <c r="J1794" s="7">
        <f>IF((I1794-ROUNDDOWN(I1794,0))=0, 0, (I1794-ROUNDDOWN(I1794,0)))</f>
      </c>
      <c r="K1794" s="7">
        <f>INDIRECT("C$"&amp;2+MIN(2,ROUNDDOWN(I1794,0))*3)*(-$J1794^3+3*$J1794^2-3*$J1794+1)+INDIRECT("C$"&amp;3+MIN(2,ROUNDDOWN(I1794,0))*3)*(3*$J1794^3-6*$J1794^2+3*$J1794)+INDIRECT("C$"&amp;4+MIN(2,ROUNDDOWN(I1794,0))*3)*(-3*$J1794^3+3*$J1794^2)+INDIRECT("C$"&amp;5+MIN(2,ROUNDDOWN(I1794,0))*3)*$J1794^3</f>
      </c>
      <c r="L1794" s="7">
        <f>INDIRECT("D$"&amp;2+MIN(2,ROUNDDOWN(I1794,0))*3)*(-$J1794^3+3*$J1794^2-3*$J1794+1)+INDIRECT("D$"&amp;3+MIN(2,ROUNDDOWN(I1794,0))*3)*(3*$J1794^3-6*$J1794^2+3*$J1794)+INDIRECT("D$"&amp;4+MIN(2,ROUNDDOWN(I1794,0))*3)*(-3*$J1794^3+3*$J1794^2)+INDIRECT("D$"&amp;5+MIN(2,ROUNDDOWN(I1794,0))*3)*$J1794^3</f>
      </c>
      <c r="M1794" s="7">
        <f>SQRT(K1794^2+L1794^2)</f>
      </c>
      <c r="N1794" s="7">
        <f>(K1795-K1793)</f>
      </c>
      <c r="O1794" s="7">
        <f>+(L1795-L1793)</f>
      </c>
      <c r="P1794" s="7">
        <f>SQRT(O1794^2+N1794^2)</f>
      </c>
      <c r="Q1794" s="7">
        <f>N1794/$P1794</f>
      </c>
      <c r="R1794" s="7">
        <f>O1794/$P1794</f>
      </c>
      <c r="S1794" s="8">
        <f>Q1794^2+R1794^2</f>
      </c>
      <c r="T1794" s="7">
        <f>-R1794</f>
      </c>
      <c r="U1794" s="7">
        <f>Q1794</f>
      </c>
      <c r="V1794" s="7">
        <f>($C$14+($C$15-$C$14)/($D$15-$D$14)*(I1794-$D$14))/2</f>
      </c>
      <c r="W1794" s="7">
        <f>($B$22*I1794^4+$C$22*I1794^3+$D$22*I1794^2+$E$22*I1794+$F$22)/2</f>
      </c>
      <c r="X1794" s="7">
        <f>($W1794)*(T1794)</f>
      </c>
      <c r="Y1794" s="7">
        <f>($W1794)*(U1794)</f>
      </c>
      <c r="Z1794" s="7">
        <f>SQRT(X1794^2+Y1794^2)</f>
      </c>
      <c r="AA1794" s="7">
        <f>$K1794+$X1794</f>
      </c>
      <c r="AB1794" s="7">
        <f>$L1794+$Y1794</f>
      </c>
      <c r="AC1794" s="7">
        <f>$K1794-$X1794</f>
      </c>
      <c r="AD1794" s="7">
        <f>$L1794-$Y1794</f>
      </c>
      <c r="AE1794" s="7">
        <f>AA1794/39.3701</f>
      </c>
      <c r="AF1794" s="7">
        <f>AB1794/39.3701</f>
      </c>
      <c r="AG1794" s="7">
        <f>AC1794/39.3701</f>
      </c>
      <c r="AH1794" s="7">
        <f>AD1794/39.3701</f>
      </c>
      <c r="AI1794" s="1"/>
      <c r="AJ1794" s="1"/>
      <c r="AK1794" s="1"/>
      <c r="AL1794" s="1"/>
      <c r="AM1794" s="2"/>
      <c r="AN1794" s="1"/>
      <c r="AO1794" s="1"/>
      <c r="AP1794" s="1"/>
      <c r="AQ1794" s="1"/>
      <c r="AR1794" s="1"/>
      <c r="AS1794" s="1"/>
      <c r="AT1794" s="1"/>
      <c r="AU1794" s="1"/>
      <c r="AV1794" s="1"/>
      <c r="AW1794" s="1"/>
      <c r="AX1794" s="1"/>
      <c r="AY1794" s="1"/>
      <c r="AZ1794" s="1"/>
      <c r="BA1794" s="1"/>
      <c r="BB1794" s="1"/>
      <c r="BC1794" s="1"/>
      <c r="BD1794" s="1"/>
      <c r="BE1794" s="1"/>
    </row>
    <row x14ac:dyDescent="0.25" r="1795" customHeight="1" ht="18.75">
      <c r="A1795" s="1"/>
      <c r="B1795" s="2"/>
      <c r="C1795" s="2"/>
      <c r="D1795" s="2"/>
      <c r="E1795" s="2"/>
      <c r="F1795" s="2"/>
      <c r="G1795" s="1"/>
      <c r="H1795" s="1"/>
      <c r="I1795" s="7">
        <v>1.792</v>
      </c>
      <c r="J1795" s="7">
        <f>IF((I1795-ROUNDDOWN(I1795,0))=0, 0, (I1795-ROUNDDOWN(I1795,0)))</f>
      </c>
      <c r="K1795" s="7">
        <f>INDIRECT("C$"&amp;2+MIN(2,ROUNDDOWN(I1795,0))*3)*(-$J1795^3+3*$J1795^2-3*$J1795+1)+INDIRECT("C$"&amp;3+MIN(2,ROUNDDOWN(I1795,0))*3)*(3*$J1795^3-6*$J1795^2+3*$J1795)+INDIRECT("C$"&amp;4+MIN(2,ROUNDDOWN(I1795,0))*3)*(-3*$J1795^3+3*$J1795^2)+INDIRECT("C$"&amp;5+MIN(2,ROUNDDOWN(I1795,0))*3)*$J1795^3</f>
      </c>
      <c r="L1795" s="7">
        <f>INDIRECT("D$"&amp;2+MIN(2,ROUNDDOWN(I1795,0))*3)*(-$J1795^3+3*$J1795^2-3*$J1795+1)+INDIRECT("D$"&amp;3+MIN(2,ROUNDDOWN(I1795,0))*3)*(3*$J1795^3-6*$J1795^2+3*$J1795)+INDIRECT("D$"&amp;4+MIN(2,ROUNDDOWN(I1795,0))*3)*(-3*$J1795^3+3*$J1795^2)+INDIRECT("D$"&amp;5+MIN(2,ROUNDDOWN(I1795,0))*3)*$J1795^3</f>
      </c>
      <c r="M1795" s="7">
        <f>SQRT(K1795^2+L1795^2)</f>
      </c>
      <c r="N1795" s="7">
        <f>(K1796-K1794)</f>
      </c>
      <c r="O1795" s="7">
        <f>+(L1796-L1794)</f>
      </c>
      <c r="P1795" s="7">
        <f>SQRT(O1795^2+N1795^2)</f>
      </c>
      <c r="Q1795" s="7">
        <f>N1795/$P1795</f>
      </c>
      <c r="R1795" s="7">
        <f>O1795/$P1795</f>
      </c>
      <c r="S1795" s="8">
        <f>Q1795^2+R1795^2</f>
      </c>
      <c r="T1795" s="7">
        <f>-R1795</f>
      </c>
      <c r="U1795" s="7">
        <f>Q1795</f>
      </c>
      <c r="V1795" s="7">
        <f>($C$14+($C$15-$C$14)/($D$15-$D$14)*(I1795-$D$14))/2</f>
      </c>
      <c r="W1795" s="7">
        <f>($B$22*I1795^4+$C$22*I1795^3+$D$22*I1795^2+$E$22*I1795+$F$22)/2</f>
      </c>
      <c r="X1795" s="7">
        <f>($W1795)*(T1795)</f>
      </c>
      <c r="Y1795" s="7">
        <f>($W1795)*(U1795)</f>
      </c>
      <c r="Z1795" s="7">
        <f>SQRT(X1795^2+Y1795^2)</f>
      </c>
      <c r="AA1795" s="7">
        <f>$K1795+$X1795</f>
      </c>
      <c r="AB1795" s="7">
        <f>$L1795+$Y1795</f>
      </c>
      <c r="AC1795" s="7">
        <f>$K1795-$X1795</f>
      </c>
      <c r="AD1795" s="7">
        <f>$L1795-$Y1795</f>
      </c>
      <c r="AE1795" s="7">
        <f>AA1795/39.3701</f>
      </c>
      <c r="AF1795" s="7">
        <f>AB1795/39.3701</f>
      </c>
      <c r="AG1795" s="7">
        <f>AC1795/39.3701</f>
      </c>
      <c r="AH1795" s="7">
        <f>AD1795/39.3701</f>
      </c>
      <c r="AI1795" s="1"/>
      <c r="AJ1795" s="1"/>
      <c r="AK1795" s="1"/>
      <c r="AL1795" s="1"/>
      <c r="AM1795" s="2"/>
      <c r="AN1795" s="1"/>
      <c r="AO1795" s="1"/>
      <c r="AP1795" s="1"/>
      <c r="AQ1795" s="1"/>
      <c r="AR1795" s="1"/>
      <c r="AS1795" s="1"/>
      <c r="AT1795" s="1"/>
      <c r="AU1795" s="1"/>
      <c r="AV1795" s="1"/>
      <c r="AW1795" s="1"/>
      <c r="AX1795" s="1"/>
      <c r="AY1795" s="1"/>
      <c r="AZ1795" s="1"/>
      <c r="BA1795" s="1"/>
      <c r="BB1795" s="1"/>
      <c r="BC1795" s="1"/>
      <c r="BD1795" s="1"/>
      <c r="BE1795" s="1"/>
    </row>
    <row x14ac:dyDescent="0.25" r="1796" customHeight="1" ht="18.75">
      <c r="A1796" s="1"/>
      <c r="B1796" s="2"/>
      <c r="C1796" s="2"/>
      <c r="D1796" s="2"/>
      <c r="E1796" s="2"/>
      <c r="F1796" s="2"/>
      <c r="G1796" s="1"/>
      <c r="H1796" s="1"/>
      <c r="I1796" s="7">
        <v>1.793</v>
      </c>
      <c r="J1796" s="7">
        <f>IF((I1796-ROUNDDOWN(I1796,0))=0, 0, (I1796-ROUNDDOWN(I1796,0)))</f>
      </c>
      <c r="K1796" s="7">
        <f>INDIRECT("C$"&amp;2+MIN(2,ROUNDDOWN(I1796,0))*3)*(-$J1796^3+3*$J1796^2-3*$J1796+1)+INDIRECT("C$"&amp;3+MIN(2,ROUNDDOWN(I1796,0))*3)*(3*$J1796^3-6*$J1796^2+3*$J1796)+INDIRECT("C$"&amp;4+MIN(2,ROUNDDOWN(I1796,0))*3)*(-3*$J1796^3+3*$J1796^2)+INDIRECT("C$"&amp;5+MIN(2,ROUNDDOWN(I1796,0))*3)*$J1796^3</f>
      </c>
      <c r="L1796" s="7">
        <f>INDIRECT("D$"&amp;2+MIN(2,ROUNDDOWN(I1796,0))*3)*(-$J1796^3+3*$J1796^2-3*$J1796+1)+INDIRECT("D$"&amp;3+MIN(2,ROUNDDOWN(I1796,0))*3)*(3*$J1796^3-6*$J1796^2+3*$J1796)+INDIRECT("D$"&amp;4+MIN(2,ROUNDDOWN(I1796,0))*3)*(-3*$J1796^3+3*$J1796^2)+INDIRECT("D$"&amp;5+MIN(2,ROUNDDOWN(I1796,0))*3)*$J1796^3</f>
      </c>
      <c r="M1796" s="7">
        <f>SQRT(K1796^2+L1796^2)</f>
      </c>
      <c r="N1796" s="7">
        <f>(K1797-K1795)</f>
      </c>
      <c r="O1796" s="7">
        <f>+(L1797-L1795)</f>
      </c>
      <c r="P1796" s="7">
        <f>SQRT(O1796^2+N1796^2)</f>
      </c>
      <c r="Q1796" s="7">
        <f>N1796/$P1796</f>
      </c>
      <c r="R1796" s="7">
        <f>O1796/$P1796</f>
      </c>
      <c r="S1796" s="8">
        <f>Q1796^2+R1796^2</f>
      </c>
      <c r="T1796" s="7">
        <f>-R1796</f>
      </c>
      <c r="U1796" s="7">
        <f>Q1796</f>
      </c>
      <c r="V1796" s="7">
        <f>($C$14+($C$15-$C$14)/($D$15-$D$14)*(I1796-$D$14))/2</f>
      </c>
      <c r="W1796" s="7">
        <f>($B$22*I1796^4+$C$22*I1796^3+$D$22*I1796^2+$E$22*I1796+$F$22)/2</f>
      </c>
      <c r="X1796" s="7">
        <f>($W1796)*(T1796)</f>
      </c>
      <c r="Y1796" s="7">
        <f>($W1796)*(U1796)</f>
      </c>
      <c r="Z1796" s="7">
        <f>SQRT(X1796^2+Y1796^2)</f>
      </c>
      <c r="AA1796" s="7">
        <f>$K1796+$X1796</f>
      </c>
      <c r="AB1796" s="7">
        <f>$L1796+$Y1796</f>
      </c>
      <c r="AC1796" s="7">
        <f>$K1796-$X1796</f>
      </c>
      <c r="AD1796" s="7">
        <f>$L1796-$Y1796</f>
      </c>
      <c r="AE1796" s="7">
        <f>AA1796/39.3701</f>
      </c>
      <c r="AF1796" s="7">
        <f>AB1796/39.3701</f>
      </c>
      <c r="AG1796" s="7">
        <f>AC1796/39.3701</f>
      </c>
      <c r="AH1796" s="7">
        <f>AD1796/39.3701</f>
      </c>
      <c r="AI1796" s="1"/>
      <c r="AJ1796" s="1"/>
      <c r="AK1796" s="1"/>
      <c r="AL1796" s="1"/>
      <c r="AM1796" s="2"/>
      <c r="AN1796" s="1"/>
      <c r="AO1796" s="1"/>
      <c r="AP1796" s="1"/>
      <c r="AQ1796" s="1"/>
      <c r="AR1796" s="1"/>
      <c r="AS1796" s="1"/>
      <c r="AT1796" s="1"/>
      <c r="AU1796" s="1"/>
      <c r="AV1796" s="1"/>
      <c r="AW1796" s="1"/>
      <c r="AX1796" s="1"/>
      <c r="AY1796" s="1"/>
      <c r="AZ1796" s="1"/>
      <c r="BA1796" s="1"/>
      <c r="BB1796" s="1"/>
      <c r="BC1796" s="1"/>
      <c r="BD1796" s="1"/>
      <c r="BE1796" s="1"/>
    </row>
    <row x14ac:dyDescent="0.25" r="1797" customHeight="1" ht="18.75">
      <c r="A1797" s="1"/>
      <c r="B1797" s="2"/>
      <c r="C1797" s="2"/>
      <c r="D1797" s="2"/>
      <c r="E1797" s="2"/>
      <c r="F1797" s="2"/>
      <c r="G1797" s="1"/>
      <c r="H1797" s="1"/>
      <c r="I1797" s="7">
        <v>1.794</v>
      </c>
      <c r="J1797" s="7">
        <f>IF((I1797-ROUNDDOWN(I1797,0))=0, 0, (I1797-ROUNDDOWN(I1797,0)))</f>
      </c>
      <c r="K1797" s="7">
        <f>INDIRECT("C$"&amp;2+MIN(2,ROUNDDOWN(I1797,0))*3)*(-$J1797^3+3*$J1797^2-3*$J1797+1)+INDIRECT("C$"&amp;3+MIN(2,ROUNDDOWN(I1797,0))*3)*(3*$J1797^3-6*$J1797^2+3*$J1797)+INDIRECT("C$"&amp;4+MIN(2,ROUNDDOWN(I1797,0))*3)*(-3*$J1797^3+3*$J1797^2)+INDIRECT("C$"&amp;5+MIN(2,ROUNDDOWN(I1797,0))*3)*$J1797^3</f>
      </c>
      <c r="L1797" s="7">
        <f>INDIRECT("D$"&amp;2+MIN(2,ROUNDDOWN(I1797,0))*3)*(-$J1797^3+3*$J1797^2-3*$J1797+1)+INDIRECT("D$"&amp;3+MIN(2,ROUNDDOWN(I1797,0))*3)*(3*$J1797^3-6*$J1797^2+3*$J1797)+INDIRECT("D$"&amp;4+MIN(2,ROUNDDOWN(I1797,0))*3)*(-3*$J1797^3+3*$J1797^2)+INDIRECT("D$"&amp;5+MIN(2,ROUNDDOWN(I1797,0))*3)*$J1797^3</f>
      </c>
      <c r="M1797" s="7">
        <f>SQRT(K1797^2+L1797^2)</f>
      </c>
      <c r="N1797" s="7">
        <f>(K1798-K1796)</f>
      </c>
      <c r="O1797" s="7">
        <f>+(L1798-L1796)</f>
      </c>
      <c r="P1797" s="7">
        <f>SQRT(O1797^2+N1797^2)</f>
      </c>
      <c r="Q1797" s="7">
        <f>N1797/$P1797</f>
      </c>
      <c r="R1797" s="7">
        <f>O1797/$P1797</f>
      </c>
      <c r="S1797" s="8">
        <f>Q1797^2+R1797^2</f>
      </c>
      <c r="T1797" s="7">
        <f>-R1797</f>
      </c>
      <c r="U1797" s="7">
        <f>Q1797</f>
      </c>
      <c r="V1797" s="7">
        <f>($C$14+($C$15-$C$14)/($D$15-$D$14)*(I1797-$D$14))/2</f>
      </c>
      <c r="W1797" s="7">
        <f>($B$22*I1797^4+$C$22*I1797^3+$D$22*I1797^2+$E$22*I1797+$F$22)/2</f>
      </c>
      <c r="X1797" s="7">
        <f>($W1797)*(T1797)</f>
      </c>
      <c r="Y1797" s="7">
        <f>($W1797)*(U1797)</f>
      </c>
      <c r="Z1797" s="7">
        <f>SQRT(X1797^2+Y1797^2)</f>
      </c>
      <c r="AA1797" s="7">
        <f>$K1797+$X1797</f>
      </c>
      <c r="AB1797" s="7">
        <f>$L1797+$Y1797</f>
      </c>
      <c r="AC1797" s="7">
        <f>$K1797-$X1797</f>
      </c>
      <c r="AD1797" s="7">
        <f>$L1797-$Y1797</f>
      </c>
      <c r="AE1797" s="7">
        <f>AA1797/39.3701</f>
      </c>
      <c r="AF1797" s="7">
        <f>AB1797/39.3701</f>
      </c>
      <c r="AG1797" s="7">
        <f>AC1797/39.3701</f>
      </c>
      <c r="AH1797" s="7">
        <f>AD1797/39.3701</f>
      </c>
      <c r="AI1797" s="1"/>
      <c r="AJ1797" s="1"/>
      <c r="AK1797" s="1"/>
      <c r="AL1797" s="1"/>
      <c r="AM1797" s="2"/>
      <c r="AN1797" s="1"/>
      <c r="AO1797" s="1"/>
      <c r="AP1797" s="1"/>
      <c r="AQ1797" s="1"/>
      <c r="AR1797" s="1"/>
      <c r="AS1797" s="1"/>
      <c r="AT1797" s="1"/>
      <c r="AU1797" s="1"/>
      <c r="AV1797" s="1"/>
      <c r="AW1797" s="1"/>
      <c r="AX1797" s="1"/>
      <c r="AY1797" s="1"/>
      <c r="AZ1797" s="1"/>
      <c r="BA1797" s="1"/>
      <c r="BB1797" s="1"/>
      <c r="BC1797" s="1"/>
      <c r="BD1797" s="1"/>
      <c r="BE1797" s="1"/>
    </row>
    <row x14ac:dyDescent="0.25" r="1798" customHeight="1" ht="18.75">
      <c r="A1798" s="1"/>
      <c r="B1798" s="2"/>
      <c r="C1798" s="2"/>
      <c r="D1798" s="2"/>
      <c r="E1798" s="2"/>
      <c r="F1798" s="2"/>
      <c r="G1798" s="1"/>
      <c r="H1798" s="1"/>
      <c r="I1798" s="7">
        <v>1.795</v>
      </c>
      <c r="J1798" s="7">
        <f>IF((I1798-ROUNDDOWN(I1798,0))=0, 0, (I1798-ROUNDDOWN(I1798,0)))</f>
      </c>
      <c r="K1798" s="7">
        <f>INDIRECT("C$"&amp;2+MIN(2,ROUNDDOWN(I1798,0))*3)*(-$J1798^3+3*$J1798^2-3*$J1798+1)+INDIRECT("C$"&amp;3+MIN(2,ROUNDDOWN(I1798,0))*3)*(3*$J1798^3-6*$J1798^2+3*$J1798)+INDIRECT("C$"&amp;4+MIN(2,ROUNDDOWN(I1798,0))*3)*(-3*$J1798^3+3*$J1798^2)+INDIRECT("C$"&amp;5+MIN(2,ROUNDDOWN(I1798,0))*3)*$J1798^3</f>
      </c>
      <c r="L1798" s="7">
        <f>INDIRECT("D$"&amp;2+MIN(2,ROUNDDOWN(I1798,0))*3)*(-$J1798^3+3*$J1798^2-3*$J1798+1)+INDIRECT("D$"&amp;3+MIN(2,ROUNDDOWN(I1798,0))*3)*(3*$J1798^3-6*$J1798^2+3*$J1798)+INDIRECT("D$"&amp;4+MIN(2,ROUNDDOWN(I1798,0))*3)*(-3*$J1798^3+3*$J1798^2)+INDIRECT("D$"&amp;5+MIN(2,ROUNDDOWN(I1798,0))*3)*$J1798^3</f>
      </c>
      <c r="M1798" s="7">
        <f>SQRT(K1798^2+L1798^2)</f>
      </c>
      <c r="N1798" s="7">
        <f>(K1799-K1797)</f>
      </c>
      <c r="O1798" s="7">
        <f>+(L1799-L1797)</f>
      </c>
      <c r="P1798" s="7">
        <f>SQRT(O1798^2+N1798^2)</f>
      </c>
      <c r="Q1798" s="7">
        <f>N1798/$P1798</f>
      </c>
      <c r="R1798" s="7">
        <f>O1798/$P1798</f>
      </c>
      <c r="S1798" s="7">
        <f>Q1798^2+R1798^2</f>
      </c>
      <c r="T1798" s="7">
        <f>-R1798</f>
      </c>
      <c r="U1798" s="7">
        <f>Q1798</f>
      </c>
      <c r="V1798" s="7">
        <f>($C$14+($C$15-$C$14)/($D$15-$D$14)*(I1798-$D$14))/2</f>
      </c>
      <c r="W1798" s="7">
        <f>($B$22*I1798^4+$C$22*I1798^3+$D$22*I1798^2+$E$22*I1798+$F$22)/2</f>
      </c>
      <c r="X1798" s="7">
        <f>($W1798)*(T1798)</f>
      </c>
      <c r="Y1798" s="7">
        <f>($W1798)*(U1798)</f>
      </c>
      <c r="Z1798" s="7">
        <f>SQRT(X1798^2+Y1798^2)</f>
      </c>
      <c r="AA1798" s="7">
        <f>$K1798+$X1798</f>
      </c>
      <c r="AB1798" s="7">
        <f>$L1798+$Y1798</f>
      </c>
      <c r="AC1798" s="7">
        <f>$K1798-$X1798</f>
      </c>
      <c r="AD1798" s="7">
        <f>$L1798-$Y1798</f>
      </c>
      <c r="AE1798" s="7">
        <f>AA1798/39.3701</f>
      </c>
      <c r="AF1798" s="7">
        <f>AB1798/39.3701</f>
      </c>
      <c r="AG1798" s="7">
        <f>AC1798/39.3701</f>
      </c>
      <c r="AH1798" s="7">
        <f>AD1798/39.3701</f>
      </c>
      <c r="AI1798" s="1"/>
      <c r="AJ1798" s="1"/>
      <c r="AK1798" s="1"/>
      <c r="AL1798" s="1"/>
      <c r="AM1798" s="2"/>
      <c r="AN1798" s="1"/>
      <c r="AO1798" s="1"/>
      <c r="AP1798" s="1"/>
      <c r="AQ1798" s="1"/>
      <c r="AR1798" s="1"/>
      <c r="AS1798" s="1"/>
      <c r="AT1798" s="1"/>
      <c r="AU1798" s="1"/>
      <c r="AV1798" s="1"/>
      <c r="AW1798" s="1"/>
      <c r="AX1798" s="1"/>
      <c r="AY1798" s="1"/>
      <c r="AZ1798" s="1"/>
      <c r="BA1798" s="1"/>
      <c r="BB1798" s="1"/>
      <c r="BC1798" s="1"/>
      <c r="BD1798" s="1"/>
      <c r="BE1798" s="1"/>
    </row>
    <row x14ac:dyDescent="0.25" r="1799" customHeight="1" ht="18.75">
      <c r="A1799" s="1"/>
      <c r="B1799" s="2"/>
      <c r="C1799" s="2"/>
      <c r="D1799" s="2"/>
      <c r="E1799" s="2"/>
      <c r="F1799" s="2"/>
      <c r="G1799" s="1"/>
      <c r="H1799" s="1"/>
      <c r="I1799" s="7">
        <v>1.796</v>
      </c>
      <c r="J1799" s="7">
        <f>IF((I1799-ROUNDDOWN(I1799,0))=0, 0, (I1799-ROUNDDOWN(I1799,0)))</f>
      </c>
      <c r="K1799" s="7">
        <f>INDIRECT("C$"&amp;2+MIN(2,ROUNDDOWN(I1799,0))*3)*(-$J1799^3+3*$J1799^2-3*$J1799+1)+INDIRECT("C$"&amp;3+MIN(2,ROUNDDOWN(I1799,0))*3)*(3*$J1799^3-6*$J1799^2+3*$J1799)+INDIRECT("C$"&amp;4+MIN(2,ROUNDDOWN(I1799,0))*3)*(-3*$J1799^3+3*$J1799^2)+INDIRECT("C$"&amp;5+MIN(2,ROUNDDOWN(I1799,0))*3)*$J1799^3</f>
      </c>
      <c r="L1799" s="7">
        <f>INDIRECT("D$"&amp;2+MIN(2,ROUNDDOWN(I1799,0))*3)*(-$J1799^3+3*$J1799^2-3*$J1799+1)+INDIRECT("D$"&amp;3+MIN(2,ROUNDDOWN(I1799,0))*3)*(3*$J1799^3-6*$J1799^2+3*$J1799)+INDIRECT("D$"&amp;4+MIN(2,ROUNDDOWN(I1799,0))*3)*(-3*$J1799^3+3*$J1799^2)+INDIRECT("D$"&amp;5+MIN(2,ROUNDDOWN(I1799,0))*3)*$J1799^3</f>
      </c>
      <c r="M1799" s="7">
        <f>SQRT(K1799^2+L1799^2)</f>
      </c>
      <c r="N1799" s="7">
        <f>(K1800-K1798)</f>
      </c>
      <c r="O1799" s="7">
        <f>+(L1800-L1798)</f>
      </c>
      <c r="P1799" s="7">
        <f>SQRT(O1799^2+N1799^2)</f>
      </c>
      <c r="Q1799" s="7">
        <f>N1799/$P1799</f>
      </c>
      <c r="R1799" s="7">
        <f>O1799/$P1799</f>
      </c>
      <c r="S1799" s="7">
        <f>Q1799^2+R1799^2</f>
      </c>
      <c r="T1799" s="7">
        <f>-R1799</f>
      </c>
      <c r="U1799" s="7">
        <f>Q1799</f>
      </c>
      <c r="V1799" s="7">
        <f>($C$14+($C$15-$C$14)/($D$15-$D$14)*(I1799-$D$14))/2</f>
      </c>
      <c r="W1799" s="7">
        <f>($B$22*I1799^4+$C$22*I1799^3+$D$22*I1799^2+$E$22*I1799+$F$22)/2</f>
      </c>
      <c r="X1799" s="7">
        <f>($W1799)*(T1799)</f>
      </c>
      <c r="Y1799" s="7">
        <f>($W1799)*(U1799)</f>
      </c>
      <c r="Z1799" s="7">
        <f>SQRT(X1799^2+Y1799^2)</f>
      </c>
      <c r="AA1799" s="7">
        <f>$K1799+$X1799</f>
      </c>
      <c r="AB1799" s="7">
        <f>$L1799+$Y1799</f>
      </c>
      <c r="AC1799" s="7">
        <f>$K1799-$X1799</f>
      </c>
      <c r="AD1799" s="7">
        <f>$L1799-$Y1799</f>
      </c>
      <c r="AE1799" s="7">
        <f>AA1799/39.3701</f>
      </c>
      <c r="AF1799" s="7">
        <f>AB1799/39.3701</f>
      </c>
      <c r="AG1799" s="7">
        <f>AC1799/39.3701</f>
      </c>
      <c r="AH1799" s="7">
        <f>AD1799/39.3701</f>
      </c>
      <c r="AI1799" s="1"/>
      <c r="AJ1799" s="1"/>
      <c r="AK1799" s="1"/>
      <c r="AL1799" s="1"/>
      <c r="AM1799" s="2"/>
      <c r="AN1799" s="1"/>
      <c r="AO1799" s="1"/>
      <c r="AP1799" s="1"/>
      <c r="AQ1799" s="1"/>
      <c r="AR1799" s="1"/>
      <c r="AS1799" s="1"/>
      <c r="AT1799" s="1"/>
      <c r="AU1799" s="1"/>
      <c r="AV1799" s="1"/>
      <c r="AW1799" s="1"/>
      <c r="AX1799" s="1"/>
      <c r="AY1799" s="1"/>
      <c r="AZ1799" s="1"/>
      <c r="BA1799" s="1"/>
      <c r="BB1799" s="1"/>
      <c r="BC1799" s="1"/>
      <c r="BD1799" s="1"/>
      <c r="BE1799" s="1"/>
    </row>
    <row x14ac:dyDescent="0.25" r="1800" customHeight="1" ht="18.75">
      <c r="A1800" s="1"/>
      <c r="B1800" s="2"/>
      <c r="C1800" s="2"/>
      <c r="D1800" s="2"/>
      <c r="E1800" s="2"/>
      <c r="F1800" s="2"/>
      <c r="G1800" s="1"/>
      <c r="H1800" s="1"/>
      <c r="I1800" s="7">
        <v>1.797</v>
      </c>
      <c r="J1800" s="7">
        <f>IF((I1800-ROUNDDOWN(I1800,0))=0, 0, (I1800-ROUNDDOWN(I1800,0)))</f>
      </c>
      <c r="K1800" s="7">
        <f>INDIRECT("C$"&amp;2+MIN(2,ROUNDDOWN(I1800,0))*3)*(-$J1800^3+3*$J1800^2-3*$J1800+1)+INDIRECT("C$"&amp;3+MIN(2,ROUNDDOWN(I1800,0))*3)*(3*$J1800^3-6*$J1800^2+3*$J1800)+INDIRECT("C$"&amp;4+MIN(2,ROUNDDOWN(I1800,0))*3)*(-3*$J1800^3+3*$J1800^2)+INDIRECT("C$"&amp;5+MIN(2,ROUNDDOWN(I1800,0))*3)*$J1800^3</f>
      </c>
      <c r="L1800" s="7">
        <f>INDIRECT("D$"&amp;2+MIN(2,ROUNDDOWN(I1800,0))*3)*(-$J1800^3+3*$J1800^2-3*$J1800+1)+INDIRECT("D$"&amp;3+MIN(2,ROUNDDOWN(I1800,0))*3)*(3*$J1800^3-6*$J1800^2+3*$J1800)+INDIRECT("D$"&amp;4+MIN(2,ROUNDDOWN(I1800,0))*3)*(-3*$J1800^3+3*$J1800^2)+INDIRECT("D$"&amp;5+MIN(2,ROUNDDOWN(I1800,0))*3)*$J1800^3</f>
      </c>
      <c r="M1800" s="7">
        <f>SQRT(K1800^2+L1800^2)</f>
      </c>
      <c r="N1800" s="7">
        <f>(K1801-K1799)</f>
      </c>
      <c r="O1800" s="7">
        <f>+(L1801-L1799)</f>
      </c>
      <c r="P1800" s="7">
        <f>SQRT(O1800^2+N1800^2)</f>
      </c>
      <c r="Q1800" s="7">
        <f>N1800/$P1800</f>
      </c>
      <c r="R1800" s="7">
        <f>O1800/$P1800</f>
      </c>
      <c r="S1800" s="8">
        <f>Q1800^2+R1800^2</f>
      </c>
      <c r="T1800" s="7">
        <f>-R1800</f>
      </c>
      <c r="U1800" s="7">
        <f>Q1800</f>
      </c>
      <c r="V1800" s="7">
        <f>($C$14+($C$15-$C$14)/($D$15-$D$14)*(I1800-$D$14))/2</f>
      </c>
      <c r="W1800" s="7">
        <f>($B$22*I1800^4+$C$22*I1800^3+$D$22*I1800^2+$E$22*I1800+$F$22)/2</f>
      </c>
      <c r="X1800" s="7">
        <f>($W1800)*(T1800)</f>
      </c>
      <c r="Y1800" s="7">
        <f>($W1800)*(U1800)</f>
      </c>
      <c r="Z1800" s="7">
        <f>SQRT(X1800^2+Y1800^2)</f>
      </c>
      <c r="AA1800" s="7">
        <f>$K1800+$X1800</f>
      </c>
      <c r="AB1800" s="7">
        <f>$L1800+$Y1800</f>
      </c>
      <c r="AC1800" s="7">
        <f>$K1800-$X1800</f>
      </c>
      <c r="AD1800" s="7">
        <f>$L1800-$Y1800</f>
      </c>
      <c r="AE1800" s="7">
        <f>AA1800/39.3701</f>
      </c>
      <c r="AF1800" s="7">
        <f>AB1800/39.3701</f>
      </c>
      <c r="AG1800" s="7">
        <f>AC1800/39.3701</f>
      </c>
      <c r="AH1800" s="7">
        <f>AD1800/39.3701</f>
      </c>
      <c r="AI1800" s="1"/>
      <c r="AJ1800" s="1"/>
      <c r="AK1800" s="1"/>
      <c r="AL1800" s="1"/>
      <c r="AM1800" s="2"/>
      <c r="AN1800" s="1"/>
      <c r="AO1800" s="1"/>
      <c r="AP1800" s="1"/>
      <c r="AQ1800" s="1"/>
      <c r="AR1800" s="1"/>
      <c r="AS1800" s="1"/>
      <c r="AT1800" s="1"/>
      <c r="AU1800" s="1"/>
      <c r="AV1800" s="1"/>
      <c r="AW1800" s="1"/>
      <c r="AX1800" s="1"/>
      <c r="AY1800" s="1"/>
      <c r="AZ1800" s="1"/>
      <c r="BA1800" s="1"/>
      <c r="BB1800" s="1"/>
      <c r="BC1800" s="1"/>
      <c r="BD1800" s="1"/>
      <c r="BE1800" s="1"/>
    </row>
    <row x14ac:dyDescent="0.25" r="1801" customHeight="1" ht="18.75">
      <c r="A1801" s="1"/>
      <c r="B1801" s="2"/>
      <c r="C1801" s="2"/>
      <c r="D1801" s="2"/>
      <c r="E1801" s="2"/>
      <c r="F1801" s="2"/>
      <c r="G1801" s="1"/>
      <c r="H1801" s="1"/>
      <c r="I1801" s="7">
        <v>1.798</v>
      </c>
      <c r="J1801" s="7">
        <f>IF((I1801-ROUNDDOWN(I1801,0))=0, 0, (I1801-ROUNDDOWN(I1801,0)))</f>
      </c>
      <c r="K1801" s="7">
        <f>INDIRECT("C$"&amp;2+MIN(2,ROUNDDOWN(I1801,0))*3)*(-$J1801^3+3*$J1801^2-3*$J1801+1)+INDIRECT("C$"&amp;3+MIN(2,ROUNDDOWN(I1801,0))*3)*(3*$J1801^3-6*$J1801^2+3*$J1801)+INDIRECT("C$"&amp;4+MIN(2,ROUNDDOWN(I1801,0))*3)*(-3*$J1801^3+3*$J1801^2)+INDIRECT("C$"&amp;5+MIN(2,ROUNDDOWN(I1801,0))*3)*$J1801^3</f>
      </c>
      <c r="L1801" s="7">
        <f>INDIRECT("D$"&amp;2+MIN(2,ROUNDDOWN(I1801,0))*3)*(-$J1801^3+3*$J1801^2-3*$J1801+1)+INDIRECT("D$"&amp;3+MIN(2,ROUNDDOWN(I1801,0))*3)*(3*$J1801^3-6*$J1801^2+3*$J1801)+INDIRECT("D$"&amp;4+MIN(2,ROUNDDOWN(I1801,0))*3)*(-3*$J1801^3+3*$J1801^2)+INDIRECT("D$"&amp;5+MIN(2,ROUNDDOWN(I1801,0))*3)*$J1801^3</f>
      </c>
      <c r="M1801" s="7">
        <f>SQRT(K1801^2+L1801^2)</f>
      </c>
      <c r="N1801" s="7">
        <f>(K1802-K1800)</f>
      </c>
      <c r="O1801" s="7">
        <f>+(L1802-L1800)</f>
      </c>
      <c r="P1801" s="7">
        <f>SQRT(O1801^2+N1801^2)</f>
      </c>
      <c r="Q1801" s="7">
        <f>N1801/$P1801</f>
      </c>
      <c r="R1801" s="7">
        <f>O1801/$P1801</f>
      </c>
      <c r="S1801" s="7">
        <f>Q1801^2+R1801^2</f>
      </c>
      <c r="T1801" s="7">
        <f>-R1801</f>
      </c>
      <c r="U1801" s="7">
        <f>Q1801</f>
      </c>
      <c r="V1801" s="7">
        <f>($C$14+($C$15-$C$14)/($D$15-$D$14)*(I1801-$D$14))/2</f>
      </c>
      <c r="W1801" s="7">
        <f>($B$22*I1801^4+$C$22*I1801^3+$D$22*I1801^2+$E$22*I1801+$F$22)/2</f>
      </c>
      <c r="X1801" s="7">
        <f>($W1801)*(T1801)</f>
      </c>
      <c r="Y1801" s="7">
        <f>($W1801)*(U1801)</f>
      </c>
      <c r="Z1801" s="7">
        <f>SQRT(X1801^2+Y1801^2)</f>
      </c>
      <c r="AA1801" s="7">
        <f>$K1801+$X1801</f>
      </c>
      <c r="AB1801" s="7">
        <f>$L1801+$Y1801</f>
      </c>
      <c r="AC1801" s="7">
        <f>$K1801-$X1801</f>
      </c>
      <c r="AD1801" s="7">
        <f>$L1801-$Y1801</f>
      </c>
      <c r="AE1801" s="7">
        <f>AA1801/39.3701</f>
      </c>
      <c r="AF1801" s="7">
        <f>AB1801/39.3701</f>
      </c>
      <c r="AG1801" s="7">
        <f>AC1801/39.3701</f>
      </c>
      <c r="AH1801" s="7">
        <f>AD1801/39.3701</f>
      </c>
      <c r="AI1801" s="1"/>
      <c r="AJ1801" s="1"/>
      <c r="AK1801" s="1"/>
      <c r="AL1801" s="1"/>
      <c r="AM1801" s="2"/>
      <c r="AN1801" s="1"/>
      <c r="AO1801" s="1"/>
      <c r="AP1801" s="1"/>
      <c r="AQ1801" s="1"/>
      <c r="AR1801" s="1"/>
      <c r="AS1801" s="1"/>
      <c r="AT1801" s="1"/>
      <c r="AU1801" s="1"/>
      <c r="AV1801" s="1"/>
      <c r="AW1801" s="1"/>
      <c r="AX1801" s="1"/>
      <c r="AY1801" s="1"/>
      <c r="AZ1801" s="1"/>
      <c r="BA1801" s="1"/>
      <c r="BB1801" s="1"/>
      <c r="BC1801" s="1"/>
      <c r="BD1801" s="1"/>
      <c r="BE1801" s="1"/>
    </row>
    <row x14ac:dyDescent="0.25" r="1802" customHeight="1" ht="18.75">
      <c r="A1802" s="1"/>
      <c r="B1802" s="2"/>
      <c r="C1802" s="2"/>
      <c r="D1802" s="2"/>
      <c r="E1802" s="2"/>
      <c r="F1802" s="2"/>
      <c r="G1802" s="1"/>
      <c r="H1802" s="1"/>
      <c r="I1802" s="7">
        <v>1.799</v>
      </c>
      <c r="J1802" s="7">
        <f>IF((I1802-ROUNDDOWN(I1802,0))=0, 0, (I1802-ROUNDDOWN(I1802,0)))</f>
      </c>
      <c r="K1802" s="7">
        <f>INDIRECT("C$"&amp;2+MIN(2,ROUNDDOWN(I1802,0))*3)*(-$J1802^3+3*$J1802^2-3*$J1802+1)+INDIRECT("C$"&amp;3+MIN(2,ROUNDDOWN(I1802,0))*3)*(3*$J1802^3-6*$J1802^2+3*$J1802)+INDIRECT("C$"&amp;4+MIN(2,ROUNDDOWN(I1802,0))*3)*(-3*$J1802^3+3*$J1802^2)+INDIRECT("C$"&amp;5+MIN(2,ROUNDDOWN(I1802,0))*3)*$J1802^3</f>
      </c>
      <c r="L1802" s="7">
        <f>INDIRECT("D$"&amp;2+MIN(2,ROUNDDOWN(I1802,0))*3)*(-$J1802^3+3*$J1802^2-3*$J1802+1)+INDIRECT("D$"&amp;3+MIN(2,ROUNDDOWN(I1802,0))*3)*(3*$J1802^3-6*$J1802^2+3*$J1802)+INDIRECT("D$"&amp;4+MIN(2,ROUNDDOWN(I1802,0))*3)*(-3*$J1802^3+3*$J1802^2)+INDIRECT("D$"&amp;5+MIN(2,ROUNDDOWN(I1802,0))*3)*$J1802^3</f>
      </c>
      <c r="M1802" s="7">
        <f>SQRT(K1802^2+L1802^2)</f>
      </c>
      <c r="N1802" s="7">
        <f>(K1803-K1801)</f>
      </c>
      <c r="O1802" s="7">
        <f>+(L1803-L1801)</f>
      </c>
      <c r="P1802" s="7">
        <f>SQRT(O1802^2+N1802^2)</f>
      </c>
      <c r="Q1802" s="7">
        <f>N1802/$P1802</f>
      </c>
      <c r="R1802" s="7">
        <f>O1802/$P1802</f>
      </c>
      <c r="S1802" s="8">
        <f>Q1802^2+R1802^2</f>
      </c>
      <c r="T1802" s="7">
        <f>-R1802</f>
      </c>
      <c r="U1802" s="7">
        <f>Q1802</f>
      </c>
      <c r="V1802" s="7">
        <f>($C$14+($C$15-$C$14)/($D$15-$D$14)*(I1802-$D$14))/2</f>
      </c>
      <c r="W1802" s="7">
        <f>($B$22*I1802^4+$C$22*I1802^3+$D$22*I1802^2+$E$22*I1802+$F$22)/2</f>
      </c>
      <c r="X1802" s="7">
        <f>($W1802)*(T1802)</f>
      </c>
      <c r="Y1802" s="7">
        <f>($W1802)*(U1802)</f>
      </c>
      <c r="Z1802" s="7">
        <f>SQRT(X1802^2+Y1802^2)</f>
      </c>
      <c r="AA1802" s="7">
        <f>$K1802+$X1802</f>
      </c>
      <c r="AB1802" s="7">
        <f>$L1802+$Y1802</f>
      </c>
      <c r="AC1802" s="7">
        <f>$K1802-$X1802</f>
      </c>
      <c r="AD1802" s="7">
        <f>$L1802-$Y1802</f>
      </c>
      <c r="AE1802" s="7">
        <f>AA1802/39.3701</f>
      </c>
      <c r="AF1802" s="7">
        <f>AB1802/39.3701</f>
      </c>
      <c r="AG1802" s="7">
        <f>AC1802/39.3701</f>
      </c>
      <c r="AH1802" s="7">
        <f>AD1802/39.3701</f>
      </c>
      <c r="AI1802" s="1"/>
      <c r="AJ1802" s="1"/>
      <c r="AK1802" s="1"/>
      <c r="AL1802" s="1"/>
      <c r="AM1802" s="2"/>
      <c r="AN1802" s="1"/>
      <c r="AO1802" s="1"/>
      <c r="AP1802" s="1"/>
      <c r="AQ1802" s="1"/>
      <c r="AR1802" s="1"/>
      <c r="AS1802" s="1"/>
      <c r="AT1802" s="1"/>
      <c r="AU1802" s="1"/>
      <c r="AV1802" s="1"/>
      <c r="AW1802" s="1"/>
      <c r="AX1802" s="1"/>
      <c r="AY1802" s="1"/>
      <c r="AZ1802" s="1"/>
      <c r="BA1802" s="1"/>
      <c r="BB1802" s="1"/>
      <c r="BC1802" s="1"/>
      <c r="BD1802" s="1"/>
      <c r="BE1802" s="1"/>
    </row>
    <row x14ac:dyDescent="0.25" r="1803" customHeight="1" ht="18.75">
      <c r="A1803" s="1"/>
      <c r="B1803" s="2"/>
      <c r="C1803" s="2"/>
      <c r="D1803" s="2"/>
      <c r="E1803" s="2"/>
      <c r="F1803" s="2"/>
      <c r="G1803" s="1"/>
      <c r="H1803" s="1"/>
      <c r="I1803" s="7">
        <v>1.8</v>
      </c>
      <c r="J1803" s="7">
        <f>IF((I1803-ROUNDDOWN(I1803,0))=0, 0, (I1803-ROUNDDOWN(I1803,0)))</f>
      </c>
      <c r="K1803" s="7">
        <f>INDIRECT("C$"&amp;2+MIN(2,ROUNDDOWN(I1803,0))*3)*(-$J1803^3+3*$J1803^2-3*$J1803+1)+INDIRECT("C$"&amp;3+MIN(2,ROUNDDOWN(I1803,0))*3)*(3*$J1803^3-6*$J1803^2+3*$J1803)+INDIRECT("C$"&amp;4+MIN(2,ROUNDDOWN(I1803,0))*3)*(-3*$J1803^3+3*$J1803^2)+INDIRECT("C$"&amp;5+MIN(2,ROUNDDOWN(I1803,0))*3)*$J1803^3</f>
      </c>
      <c r="L1803" s="7">
        <f>INDIRECT("D$"&amp;2+MIN(2,ROUNDDOWN(I1803,0))*3)*(-$J1803^3+3*$J1803^2-3*$J1803+1)+INDIRECT("D$"&amp;3+MIN(2,ROUNDDOWN(I1803,0))*3)*(3*$J1803^3-6*$J1803^2+3*$J1803)+INDIRECT("D$"&amp;4+MIN(2,ROUNDDOWN(I1803,0))*3)*(-3*$J1803^3+3*$J1803^2)+INDIRECT("D$"&amp;5+MIN(2,ROUNDDOWN(I1803,0))*3)*$J1803^3</f>
      </c>
      <c r="M1803" s="7">
        <f>SQRT(K1803^2+L1803^2)</f>
      </c>
      <c r="N1803" s="7">
        <f>(K1804-K1802)</f>
      </c>
      <c r="O1803" s="7">
        <f>+(L1804-L1802)</f>
      </c>
      <c r="P1803" s="7">
        <f>SQRT(O1803^2+N1803^2)</f>
      </c>
      <c r="Q1803" s="7">
        <f>N1803/$P1803</f>
      </c>
      <c r="R1803" s="7">
        <f>O1803/$P1803</f>
      </c>
      <c r="S1803" s="8">
        <f>Q1803^2+R1803^2</f>
      </c>
      <c r="T1803" s="7">
        <f>-R1803</f>
      </c>
      <c r="U1803" s="7">
        <f>Q1803</f>
      </c>
      <c r="V1803" s="7">
        <f>($C$14+($C$15-$C$14)/($D$15-$D$14)*(I1803-$D$14))/2</f>
      </c>
      <c r="W1803" s="7">
        <f>($B$22*I1803^4+$C$22*I1803^3+$D$22*I1803^2+$E$22*I1803+$F$22)/2</f>
      </c>
      <c r="X1803" s="7">
        <f>($W1803)*(T1803)</f>
      </c>
      <c r="Y1803" s="7">
        <f>($W1803)*(U1803)</f>
      </c>
      <c r="Z1803" s="7">
        <f>SQRT(X1803^2+Y1803^2)</f>
      </c>
      <c r="AA1803" s="7">
        <f>$K1803+$X1803</f>
      </c>
      <c r="AB1803" s="7">
        <f>$L1803+$Y1803</f>
      </c>
      <c r="AC1803" s="7">
        <f>$K1803-$X1803</f>
      </c>
      <c r="AD1803" s="7">
        <f>$L1803-$Y1803</f>
      </c>
      <c r="AE1803" s="7">
        <f>AA1803/39.3701</f>
      </c>
      <c r="AF1803" s="7">
        <f>AB1803/39.3701</f>
      </c>
      <c r="AG1803" s="7">
        <f>AC1803/39.3701</f>
      </c>
      <c r="AH1803" s="7">
        <f>AD1803/39.3701</f>
      </c>
      <c r="AI1803" s="1"/>
      <c r="AJ1803" s="1"/>
      <c r="AK1803" s="1"/>
      <c r="AL1803" s="1"/>
      <c r="AM1803" s="2"/>
      <c r="AN1803" s="1"/>
      <c r="AO1803" s="1"/>
      <c r="AP1803" s="1"/>
      <c r="AQ1803" s="1"/>
      <c r="AR1803" s="1"/>
      <c r="AS1803" s="1"/>
      <c r="AT1803" s="1"/>
      <c r="AU1803" s="1"/>
      <c r="AV1803" s="1"/>
      <c r="AW1803" s="1"/>
      <c r="AX1803" s="1"/>
      <c r="AY1803" s="1"/>
      <c r="AZ1803" s="1"/>
      <c r="BA1803" s="1"/>
      <c r="BB1803" s="1"/>
      <c r="BC1803" s="1"/>
      <c r="BD1803" s="1"/>
      <c r="BE1803" s="1"/>
    </row>
    <row x14ac:dyDescent="0.25" r="1804" customHeight="1" ht="18.75">
      <c r="A1804" s="1"/>
      <c r="B1804" s="2"/>
      <c r="C1804" s="2"/>
      <c r="D1804" s="2"/>
      <c r="E1804" s="2"/>
      <c r="F1804" s="2"/>
      <c r="G1804" s="1"/>
      <c r="H1804" s="1"/>
      <c r="I1804" s="7">
        <v>1.801</v>
      </c>
      <c r="J1804" s="7">
        <f>IF((I1804-ROUNDDOWN(I1804,0))=0, 0, (I1804-ROUNDDOWN(I1804,0)))</f>
      </c>
      <c r="K1804" s="7">
        <f>INDIRECT("C$"&amp;2+MIN(2,ROUNDDOWN(I1804,0))*3)*(-$J1804^3+3*$J1804^2-3*$J1804+1)+INDIRECT("C$"&amp;3+MIN(2,ROUNDDOWN(I1804,0))*3)*(3*$J1804^3-6*$J1804^2+3*$J1804)+INDIRECT("C$"&amp;4+MIN(2,ROUNDDOWN(I1804,0))*3)*(-3*$J1804^3+3*$J1804^2)+INDIRECT("C$"&amp;5+MIN(2,ROUNDDOWN(I1804,0))*3)*$J1804^3</f>
      </c>
      <c r="L1804" s="7">
        <f>INDIRECT("D$"&amp;2+MIN(2,ROUNDDOWN(I1804,0))*3)*(-$J1804^3+3*$J1804^2-3*$J1804+1)+INDIRECT("D$"&amp;3+MIN(2,ROUNDDOWN(I1804,0))*3)*(3*$J1804^3-6*$J1804^2+3*$J1804)+INDIRECT("D$"&amp;4+MIN(2,ROUNDDOWN(I1804,0))*3)*(-3*$J1804^3+3*$J1804^2)+INDIRECT("D$"&amp;5+MIN(2,ROUNDDOWN(I1804,0))*3)*$J1804^3</f>
      </c>
      <c r="M1804" s="7">
        <f>SQRT(K1804^2+L1804^2)</f>
      </c>
      <c r="N1804" s="7">
        <f>(K1805-K1803)</f>
      </c>
      <c r="O1804" s="7">
        <f>+(L1805-L1803)</f>
      </c>
      <c r="P1804" s="7">
        <f>SQRT(O1804^2+N1804^2)</f>
      </c>
      <c r="Q1804" s="7">
        <f>N1804/$P1804</f>
      </c>
      <c r="R1804" s="7">
        <f>O1804/$P1804</f>
      </c>
      <c r="S1804" s="8">
        <f>Q1804^2+R1804^2</f>
      </c>
      <c r="T1804" s="7">
        <f>-R1804</f>
      </c>
      <c r="U1804" s="7">
        <f>Q1804</f>
      </c>
      <c r="V1804" s="7">
        <f>($C$14+($C$15-$C$14)/($D$15-$D$14)*(I1804-$D$14))/2</f>
      </c>
      <c r="W1804" s="7">
        <f>($B$22*I1804^4+$C$22*I1804^3+$D$22*I1804^2+$E$22*I1804+$F$22)/2</f>
      </c>
      <c r="X1804" s="7">
        <f>($W1804)*(T1804)</f>
      </c>
      <c r="Y1804" s="7">
        <f>($W1804)*(U1804)</f>
      </c>
      <c r="Z1804" s="7">
        <f>SQRT(X1804^2+Y1804^2)</f>
      </c>
      <c r="AA1804" s="7">
        <f>$K1804+$X1804</f>
      </c>
      <c r="AB1804" s="7">
        <f>$L1804+$Y1804</f>
      </c>
      <c r="AC1804" s="7">
        <f>$K1804-$X1804</f>
      </c>
      <c r="AD1804" s="7">
        <f>$L1804-$Y1804</f>
      </c>
      <c r="AE1804" s="7">
        <f>AA1804/39.3701</f>
      </c>
      <c r="AF1804" s="7">
        <f>AB1804/39.3701</f>
      </c>
      <c r="AG1804" s="7">
        <f>AC1804/39.3701</f>
      </c>
      <c r="AH1804" s="7">
        <f>AD1804/39.3701</f>
      </c>
      <c r="AI1804" s="1"/>
      <c r="AJ1804" s="1"/>
      <c r="AK1804" s="1"/>
      <c r="AL1804" s="1"/>
      <c r="AM1804" s="2"/>
      <c r="AN1804" s="1"/>
      <c r="AO1804" s="1"/>
      <c r="AP1804" s="1"/>
      <c r="AQ1804" s="1"/>
      <c r="AR1804" s="1"/>
      <c r="AS1804" s="1"/>
      <c r="AT1804" s="1"/>
      <c r="AU1804" s="1"/>
      <c r="AV1804" s="1"/>
      <c r="AW1804" s="1"/>
      <c r="AX1804" s="1"/>
      <c r="AY1804" s="1"/>
      <c r="AZ1804" s="1"/>
      <c r="BA1804" s="1"/>
      <c r="BB1804" s="1"/>
      <c r="BC1804" s="1"/>
      <c r="BD1804" s="1"/>
      <c r="BE1804" s="1"/>
    </row>
    <row x14ac:dyDescent="0.25" r="1805" customHeight="1" ht="18.75">
      <c r="A1805" s="1"/>
      <c r="B1805" s="2"/>
      <c r="C1805" s="2"/>
      <c r="D1805" s="2"/>
      <c r="E1805" s="2"/>
      <c r="F1805" s="2"/>
      <c r="G1805" s="1"/>
      <c r="H1805" s="1"/>
      <c r="I1805" s="7">
        <v>1.802</v>
      </c>
      <c r="J1805" s="7">
        <f>IF((I1805-ROUNDDOWN(I1805,0))=0, 0, (I1805-ROUNDDOWN(I1805,0)))</f>
      </c>
      <c r="K1805" s="7">
        <f>INDIRECT("C$"&amp;2+MIN(2,ROUNDDOWN(I1805,0))*3)*(-$J1805^3+3*$J1805^2-3*$J1805+1)+INDIRECT("C$"&amp;3+MIN(2,ROUNDDOWN(I1805,0))*3)*(3*$J1805^3-6*$J1805^2+3*$J1805)+INDIRECT("C$"&amp;4+MIN(2,ROUNDDOWN(I1805,0))*3)*(-3*$J1805^3+3*$J1805^2)+INDIRECT("C$"&amp;5+MIN(2,ROUNDDOWN(I1805,0))*3)*$J1805^3</f>
      </c>
      <c r="L1805" s="7">
        <f>INDIRECT("D$"&amp;2+MIN(2,ROUNDDOWN(I1805,0))*3)*(-$J1805^3+3*$J1805^2-3*$J1805+1)+INDIRECT("D$"&amp;3+MIN(2,ROUNDDOWN(I1805,0))*3)*(3*$J1805^3-6*$J1805^2+3*$J1805)+INDIRECT("D$"&amp;4+MIN(2,ROUNDDOWN(I1805,0))*3)*(-3*$J1805^3+3*$J1805^2)+INDIRECT("D$"&amp;5+MIN(2,ROUNDDOWN(I1805,0))*3)*$J1805^3</f>
      </c>
      <c r="M1805" s="7">
        <f>SQRT(K1805^2+L1805^2)</f>
      </c>
      <c r="N1805" s="7">
        <f>(K1806-K1804)</f>
      </c>
      <c r="O1805" s="7">
        <f>+(L1806-L1804)</f>
      </c>
      <c r="P1805" s="7">
        <f>SQRT(O1805^2+N1805^2)</f>
      </c>
      <c r="Q1805" s="7">
        <f>N1805/$P1805</f>
      </c>
      <c r="R1805" s="7">
        <f>O1805/$P1805</f>
      </c>
      <c r="S1805" s="7">
        <f>Q1805^2+R1805^2</f>
      </c>
      <c r="T1805" s="7">
        <f>-R1805</f>
      </c>
      <c r="U1805" s="7">
        <f>Q1805</f>
      </c>
      <c r="V1805" s="7">
        <f>($C$14+($C$15-$C$14)/($D$15-$D$14)*(I1805-$D$14))/2</f>
      </c>
      <c r="W1805" s="7">
        <f>($B$22*I1805^4+$C$22*I1805^3+$D$22*I1805^2+$E$22*I1805+$F$22)/2</f>
      </c>
      <c r="X1805" s="7">
        <f>($W1805)*(T1805)</f>
      </c>
      <c r="Y1805" s="7">
        <f>($W1805)*(U1805)</f>
      </c>
      <c r="Z1805" s="7">
        <f>SQRT(X1805^2+Y1805^2)</f>
      </c>
      <c r="AA1805" s="7">
        <f>$K1805+$X1805</f>
      </c>
      <c r="AB1805" s="7">
        <f>$L1805+$Y1805</f>
      </c>
      <c r="AC1805" s="7">
        <f>$K1805-$X1805</f>
      </c>
      <c r="AD1805" s="7">
        <f>$L1805-$Y1805</f>
      </c>
      <c r="AE1805" s="7">
        <f>AA1805/39.3701</f>
      </c>
      <c r="AF1805" s="7">
        <f>AB1805/39.3701</f>
      </c>
      <c r="AG1805" s="7">
        <f>AC1805/39.3701</f>
      </c>
      <c r="AH1805" s="7">
        <f>AD1805/39.3701</f>
      </c>
      <c r="AI1805" s="1"/>
      <c r="AJ1805" s="1"/>
      <c r="AK1805" s="1"/>
      <c r="AL1805" s="1"/>
      <c r="AM1805" s="2"/>
      <c r="AN1805" s="1"/>
      <c r="AO1805" s="1"/>
      <c r="AP1805" s="1"/>
      <c r="AQ1805" s="1"/>
      <c r="AR1805" s="1"/>
      <c r="AS1805" s="1"/>
      <c r="AT1805" s="1"/>
      <c r="AU1805" s="1"/>
      <c r="AV1805" s="1"/>
      <c r="AW1805" s="1"/>
      <c r="AX1805" s="1"/>
      <c r="AY1805" s="1"/>
      <c r="AZ1805" s="1"/>
      <c r="BA1805" s="1"/>
      <c r="BB1805" s="1"/>
      <c r="BC1805" s="1"/>
      <c r="BD1805" s="1"/>
      <c r="BE1805" s="1"/>
    </row>
    <row x14ac:dyDescent="0.25" r="1806" customHeight="1" ht="18.75">
      <c r="A1806" s="1"/>
      <c r="B1806" s="2"/>
      <c r="C1806" s="2"/>
      <c r="D1806" s="2"/>
      <c r="E1806" s="2"/>
      <c r="F1806" s="2"/>
      <c r="G1806" s="1"/>
      <c r="H1806" s="1"/>
      <c r="I1806" s="7">
        <v>1.803</v>
      </c>
      <c r="J1806" s="7">
        <f>IF((I1806-ROUNDDOWN(I1806,0))=0, 0, (I1806-ROUNDDOWN(I1806,0)))</f>
      </c>
      <c r="K1806" s="7">
        <f>INDIRECT("C$"&amp;2+MIN(2,ROUNDDOWN(I1806,0))*3)*(-$J1806^3+3*$J1806^2-3*$J1806+1)+INDIRECT("C$"&amp;3+MIN(2,ROUNDDOWN(I1806,0))*3)*(3*$J1806^3-6*$J1806^2+3*$J1806)+INDIRECT("C$"&amp;4+MIN(2,ROUNDDOWN(I1806,0))*3)*(-3*$J1806^3+3*$J1806^2)+INDIRECT("C$"&amp;5+MIN(2,ROUNDDOWN(I1806,0))*3)*$J1806^3</f>
      </c>
      <c r="L1806" s="7">
        <f>INDIRECT("D$"&amp;2+MIN(2,ROUNDDOWN(I1806,0))*3)*(-$J1806^3+3*$J1806^2-3*$J1806+1)+INDIRECT("D$"&amp;3+MIN(2,ROUNDDOWN(I1806,0))*3)*(3*$J1806^3-6*$J1806^2+3*$J1806)+INDIRECT("D$"&amp;4+MIN(2,ROUNDDOWN(I1806,0))*3)*(-3*$J1806^3+3*$J1806^2)+INDIRECT("D$"&amp;5+MIN(2,ROUNDDOWN(I1806,0))*3)*$J1806^3</f>
      </c>
      <c r="M1806" s="7">
        <f>SQRT(K1806^2+L1806^2)</f>
      </c>
      <c r="N1806" s="7">
        <f>(K1807-K1805)</f>
      </c>
      <c r="O1806" s="7">
        <f>+(L1807-L1805)</f>
      </c>
      <c r="P1806" s="7">
        <f>SQRT(O1806^2+N1806^2)</f>
      </c>
      <c r="Q1806" s="7">
        <f>N1806/$P1806</f>
      </c>
      <c r="R1806" s="7">
        <f>O1806/$P1806</f>
      </c>
      <c r="S1806" s="7">
        <f>Q1806^2+R1806^2</f>
      </c>
      <c r="T1806" s="7">
        <f>-R1806</f>
      </c>
      <c r="U1806" s="7">
        <f>Q1806</f>
      </c>
      <c r="V1806" s="7">
        <f>($C$14+($C$15-$C$14)/($D$15-$D$14)*(I1806-$D$14))/2</f>
      </c>
      <c r="W1806" s="7">
        <f>($B$22*I1806^4+$C$22*I1806^3+$D$22*I1806^2+$E$22*I1806+$F$22)/2</f>
      </c>
      <c r="X1806" s="7">
        <f>($W1806)*(T1806)</f>
      </c>
      <c r="Y1806" s="7">
        <f>($W1806)*(U1806)</f>
      </c>
      <c r="Z1806" s="7">
        <f>SQRT(X1806^2+Y1806^2)</f>
      </c>
      <c r="AA1806" s="7">
        <f>$K1806+$X1806</f>
      </c>
      <c r="AB1806" s="7">
        <f>$L1806+$Y1806</f>
      </c>
      <c r="AC1806" s="7">
        <f>$K1806-$X1806</f>
      </c>
      <c r="AD1806" s="7">
        <f>$L1806-$Y1806</f>
      </c>
      <c r="AE1806" s="7">
        <f>AA1806/39.3701</f>
      </c>
      <c r="AF1806" s="7">
        <f>AB1806/39.3701</f>
      </c>
      <c r="AG1806" s="7">
        <f>AC1806/39.3701</f>
      </c>
      <c r="AH1806" s="7">
        <f>AD1806/39.3701</f>
      </c>
      <c r="AI1806" s="1"/>
      <c r="AJ1806" s="1"/>
      <c r="AK1806" s="1"/>
      <c r="AL1806" s="1"/>
      <c r="AM1806" s="2"/>
      <c r="AN1806" s="1"/>
      <c r="AO1806" s="1"/>
      <c r="AP1806" s="1"/>
      <c r="AQ1806" s="1"/>
      <c r="AR1806" s="1"/>
      <c r="AS1806" s="1"/>
      <c r="AT1806" s="1"/>
      <c r="AU1806" s="1"/>
      <c r="AV1806" s="1"/>
      <c r="AW1806" s="1"/>
      <c r="AX1806" s="1"/>
      <c r="AY1806" s="1"/>
      <c r="AZ1806" s="1"/>
      <c r="BA1806" s="1"/>
      <c r="BB1806" s="1"/>
      <c r="BC1806" s="1"/>
      <c r="BD1806" s="1"/>
      <c r="BE1806" s="1"/>
    </row>
    <row x14ac:dyDescent="0.25" r="1807" customHeight="1" ht="18.75">
      <c r="A1807" s="1"/>
      <c r="B1807" s="2"/>
      <c r="C1807" s="2"/>
      <c r="D1807" s="2"/>
      <c r="E1807" s="2"/>
      <c r="F1807" s="2"/>
      <c r="G1807" s="1"/>
      <c r="H1807" s="1"/>
      <c r="I1807" s="7">
        <v>1.804</v>
      </c>
      <c r="J1807" s="7">
        <f>IF((I1807-ROUNDDOWN(I1807,0))=0, 0, (I1807-ROUNDDOWN(I1807,0)))</f>
      </c>
      <c r="K1807" s="7">
        <f>INDIRECT("C$"&amp;2+MIN(2,ROUNDDOWN(I1807,0))*3)*(-$J1807^3+3*$J1807^2-3*$J1807+1)+INDIRECT("C$"&amp;3+MIN(2,ROUNDDOWN(I1807,0))*3)*(3*$J1807^3-6*$J1807^2+3*$J1807)+INDIRECT("C$"&amp;4+MIN(2,ROUNDDOWN(I1807,0))*3)*(-3*$J1807^3+3*$J1807^2)+INDIRECT("C$"&amp;5+MIN(2,ROUNDDOWN(I1807,0))*3)*$J1807^3</f>
      </c>
      <c r="L1807" s="7">
        <f>INDIRECT("D$"&amp;2+MIN(2,ROUNDDOWN(I1807,0))*3)*(-$J1807^3+3*$J1807^2-3*$J1807+1)+INDIRECT("D$"&amp;3+MIN(2,ROUNDDOWN(I1807,0))*3)*(3*$J1807^3-6*$J1807^2+3*$J1807)+INDIRECT("D$"&amp;4+MIN(2,ROUNDDOWN(I1807,0))*3)*(-3*$J1807^3+3*$J1807^2)+INDIRECT("D$"&amp;5+MIN(2,ROUNDDOWN(I1807,0))*3)*$J1807^3</f>
      </c>
      <c r="M1807" s="7">
        <f>SQRT(K1807^2+L1807^2)</f>
      </c>
      <c r="N1807" s="7">
        <f>(K1808-K1806)</f>
      </c>
      <c r="O1807" s="7">
        <f>+(L1808-L1806)</f>
      </c>
      <c r="P1807" s="7">
        <f>SQRT(O1807^2+N1807^2)</f>
      </c>
      <c r="Q1807" s="7">
        <f>N1807/$P1807</f>
      </c>
      <c r="R1807" s="7">
        <f>O1807/$P1807</f>
      </c>
      <c r="S1807" s="7">
        <f>Q1807^2+R1807^2</f>
      </c>
      <c r="T1807" s="7">
        <f>-R1807</f>
      </c>
      <c r="U1807" s="7">
        <f>Q1807</f>
      </c>
      <c r="V1807" s="7">
        <f>($C$14+($C$15-$C$14)/($D$15-$D$14)*(I1807-$D$14))/2</f>
      </c>
      <c r="W1807" s="7">
        <f>($B$22*I1807^4+$C$22*I1807^3+$D$22*I1807^2+$E$22*I1807+$F$22)/2</f>
      </c>
      <c r="X1807" s="7">
        <f>($W1807)*(T1807)</f>
      </c>
      <c r="Y1807" s="7">
        <f>($W1807)*(U1807)</f>
      </c>
      <c r="Z1807" s="7">
        <f>SQRT(X1807^2+Y1807^2)</f>
      </c>
      <c r="AA1807" s="7">
        <f>$K1807+$X1807</f>
      </c>
      <c r="AB1807" s="7">
        <f>$L1807+$Y1807</f>
      </c>
      <c r="AC1807" s="7">
        <f>$K1807-$X1807</f>
      </c>
      <c r="AD1807" s="7">
        <f>$L1807-$Y1807</f>
      </c>
      <c r="AE1807" s="7">
        <f>AA1807/39.3701</f>
      </c>
      <c r="AF1807" s="7">
        <f>AB1807/39.3701</f>
      </c>
      <c r="AG1807" s="7">
        <f>AC1807/39.3701</f>
      </c>
      <c r="AH1807" s="7">
        <f>AD1807/39.3701</f>
      </c>
      <c r="AI1807" s="1"/>
      <c r="AJ1807" s="1"/>
      <c r="AK1807" s="1"/>
      <c r="AL1807" s="1"/>
      <c r="AM1807" s="2"/>
      <c r="AN1807" s="1"/>
      <c r="AO1807" s="1"/>
      <c r="AP1807" s="1"/>
      <c r="AQ1807" s="1"/>
      <c r="AR1807" s="1"/>
      <c r="AS1807" s="1"/>
      <c r="AT1807" s="1"/>
      <c r="AU1807" s="1"/>
      <c r="AV1807" s="1"/>
      <c r="AW1807" s="1"/>
      <c r="AX1807" s="1"/>
      <c r="AY1807" s="1"/>
      <c r="AZ1807" s="1"/>
      <c r="BA1807" s="1"/>
      <c r="BB1807" s="1"/>
      <c r="BC1807" s="1"/>
      <c r="BD1807" s="1"/>
      <c r="BE1807" s="1"/>
    </row>
    <row x14ac:dyDescent="0.25" r="1808" customHeight="1" ht="18.75">
      <c r="A1808" s="1"/>
      <c r="B1808" s="2"/>
      <c r="C1808" s="2"/>
      <c r="D1808" s="2"/>
      <c r="E1808" s="2"/>
      <c r="F1808" s="2"/>
      <c r="G1808" s="1"/>
      <c r="H1808" s="1"/>
      <c r="I1808" s="7">
        <v>1.805</v>
      </c>
      <c r="J1808" s="7">
        <f>IF((I1808-ROUNDDOWN(I1808,0))=0, 0, (I1808-ROUNDDOWN(I1808,0)))</f>
      </c>
      <c r="K1808" s="7">
        <f>INDIRECT("C$"&amp;2+MIN(2,ROUNDDOWN(I1808,0))*3)*(-$J1808^3+3*$J1808^2-3*$J1808+1)+INDIRECT("C$"&amp;3+MIN(2,ROUNDDOWN(I1808,0))*3)*(3*$J1808^3-6*$J1808^2+3*$J1808)+INDIRECT("C$"&amp;4+MIN(2,ROUNDDOWN(I1808,0))*3)*(-3*$J1808^3+3*$J1808^2)+INDIRECT("C$"&amp;5+MIN(2,ROUNDDOWN(I1808,0))*3)*$J1808^3</f>
      </c>
      <c r="L1808" s="7">
        <f>INDIRECT("D$"&amp;2+MIN(2,ROUNDDOWN(I1808,0))*3)*(-$J1808^3+3*$J1808^2-3*$J1808+1)+INDIRECT("D$"&amp;3+MIN(2,ROUNDDOWN(I1808,0))*3)*(3*$J1808^3-6*$J1808^2+3*$J1808)+INDIRECT("D$"&amp;4+MIN(2,ROUNDDOWN(I1808,0))*3)*(-3*$J1808^3+3*$J1808^2)+INDIRECT("D$"&amp;5+MIN(2,ROUNDDOWN(I1808,0))*3)*$J1808^3</f>
      </c>
      <c r="M1808" s="7">
        <f>SQRT(K1808^2+L1808^2)</f>
      </c>
      <c r="N1808" s="7">
        <f>(K1809-K1807)</f>
      </c>
      <c r="O1808" s="7">
        <f>+(L1809-L1807)</f>
      </c>
      <c r="P1808" s="7">
        <f>SQRT(O1808^2+N1808^2)</f>
      </c>
      <c r="Q1808" s="7">
        <f>N1808/$P1808</f>
      </c>
      <c r="R1808" s="7">
        <f>O1808/$P1808</f>
      </c>
      <c r="S1808" s="7">
        <f>Q1808^2+R1808^2</f>
      </c>
      <c r="T1808" s="7">
        <f>-R1808</f>
      </c>
      <c r="U1808" s="7">
        <f>Q1808</f>
      </c>
      <c r="V1808" s="7">
        <f>($C$14+($C$15-$C$14)/($D$15-$D$14)*(I1808-$D$14))/2</f>
      </c>
      <c r="W1808" s="7">
        <f>($B$22*I1808^4+$C$22*I1808^3+$D$22*I1808^2+$E$22*I1808+$F$22)/2</f>
      </c>
      <c r="X1808" s="7">
        <f>($W1808)*(T1808)</f>
      </c>
      <c r="Y1808" s="7">
        <f>($W1808)*(U1808)</f>
      </c>
      <c r="Z1808" s="7">
        <f>SQRT(X1808^2+Y1808^2)</f>
      </c>
      <c r="AA1808" s="7">
        <f>$K1808+$X1808</f>
      </c>
      <c r="AB1808" s="7">
        <f>$L1808+$Y1808</f>
      </c>
      <c r="AC1808" s="7">
        <f>$K1808-$X1808</f>
      </c>
      <c r="AD1808" s="7">
        <f>$L1808-$Y1808</f>
      </c>
      <c r="AE1808" s="7">
        <f>AA1808/39.3701</f>
      </c>
      <c r="AF1808" s="7">
        <f>AB1808/39.3701</f>
      </c>
      <c r="AG1808" s="7">
        <f>AC1808/39.3701</f>
      </c>
      <c r="AH1808" s="7">
        <f>AD1808/39.3701</f>
      </c>
      <c r="AI1808" s="1"/>
      <c r="AJ1808" s="1"/>
      <c r="AK1808" s="1"/>
      <c r="AL1808" s="1"/>
      <c r="AM1808" s="2"/>
      <c r="AN1808" s="1"/>
      <c r="AO1808" s="1"/>
      <c r="AP1808" s="1"/>
      <c r="AQ1808" s="1"/>
      <c r="AR1808" s="1"/>
      <c r="AS1808" s="1"/>
      <c r="AT1808" s="1"/>
      <c r="AU1808" s="1"/>
      <c r="AV1808" s="1"/>
      <c r="AW1808" s="1"/>
      <c r="AX1808" s="1"/>
      <c r="AY1808" s="1"/>
      <c r="AZ1808" s="1"/>
      <c r="BA1808" s="1"/>
      <c r="BB1808" s="1"/>
      <c r="BC1808" s="1"/>
      <c r="BD1808" s="1"/>
      <c r="BE1808" s="1"/>
    </row>
    <row x14ac:dyDescent="0.25" r="1809" customHeight="1" ht="18.75">
      <c r="A1809" s="1"/>
      <c r="B1809" s="2"/>
      <c r="C1809" s="2"/>
      <c r="D1809" s="2"/>
      <c r="E1809" s="2"/>
      <c r="F1809" s="2"/>
      <c r="G1809" s="1"/>
      <c r="H1809" s="1"/>
      <c r="I1809" s="7">
        <v>1.806</v>
      </c>
      <c r="J1809" s="7">
        <f>IF((I1809-ROUNDDOWN(I1809,0))=0, 0, (I1809-ROUNDDOWN(I1809,0)))</f>
      </c>
      <c r="K1809" s="7">
        <f>INDIRECT("C$"&amp;2+MIN(2,ROUNDDOWN(I1809,0))*3)*(-$J1809^3+3*$J1809^2-3*$J1809+1)+INDIRECT("C$"&amp;3+MIN(2,ROUNDDOWN(I1809,0))*3)*(3*$J1809^3-6*$J1809^2+3*$J1809)+INDIRECT("C$"&amp;4+MIN(2,ROUNDDOWN(I1809,0))*3)*(-3*$J1809^3+3*$J1809^2)+INDIRECT("C$"&amp;5+MIN(2,ROUNDDOWN(I1809,0))*3)*$J1809^3</f>
      </c>
      <c r="L1809" s="7">
        <f>INDIRECT("D$"&amp;2+MIN(2,ROUNDDOWN(I1809,0))*3)*(-$J1809^3+3*$J1809^2-3*$J1809+1)+INDIRECT("D$"&amp;3+MIN(2,ROUNDDOWN(I1809,0))*3)*(3*$J1809^3-6*$J1809^2+3*$J1809)+INDIRECT("D$"&amp;4+MIN(2,ROUNDDOWN(I1809,0))*3)*(-3*$J1809^3+3*$J1809^2)+INDIRECT("D$"&amp;5+MIN(2,ROUNDDOWN(I1809,0))*3)*$J1809^3</f>
      </c>
      <c r="M1809" s="7">
        <f>SQRT(K1809^2+L1809^2)</f>
      </c>
      <c r="N1809" s="7">
        <f>(K1810-K1808)</f>
      </c>
      <c r="O1809" s="7">
        <f>+(L1810-L1808)</f>
      </c>
      <c r="P1809" s="7">
        <f>SQRT(O1809^2+N1809^2)</f>
      </c>
      <c r="Q1809" s="7">
        <f>N1809/$P1809</f>
      </c>
      <c r="R1809" s="7">
        <f>O1809/$P1809</f>
      </c>
      <c r="S1809" s="8">
        <f>Q1809^2+R1809^2</f>
      </c>
      <c r="T1809" s="7">
        <f>-R1809</f>
      </c>
      <c r="U1809" s="7">
        <f>Q1809</f>
      </c>
      <c r="V1809" s="7">
        <f>($C$14+($C$15-$C$14)/($D$15-$D$14)*(I1809-$D$14))/2</f>
      </c>
      <c r="W1809" s="7">
        <f>($B$22*I1809^4+$C$22*I1809^3+$D$22*I1809^2+$E$22*I1809+$F$22)/2</f>
      </c>
      <c r="X1809" s="7">
        <f>($W1809)*(T1809)</f>
      </c>
      <c r="Y1809" s="7">
        <f>($W1809)*(U1809)</f>
      </c>
      <c r="Z1809" s="7">
        <f>SQRT(X1809^2+Y1809^2)</f>
      </c>
      <c r="AA1809" s="7">
        <f>$K1809+$X1809</f>
      </c>
      <c r="AB1809" s="7">
        <f>$L1809+$Y1809</f>
      </c>
      <c r="AC1809" s="7">
        <f>$K1809-$X1809</f>
      </c>
      <c r="AD1809" s="7">
        <f>$L1809-$Y1809</f>
      </c>
      <c r="AE1809" s="7">
        <f>AA1809/39.3701</f>
      </c>
      <c r="AF1809" s="7">
        <f>AB1809/39.3701</f>
      </c>
      <c r="AG1809" s="7">
        <f>AC1809/39.3701</f>
      </c>
      <c r="AH1809" s="7">
        <f>AD1809/39.3701</f>
      </c>
      <c r="AI1809" s="1"/>
      <c r="AJ1809" s="1"/>
      <c r="AK1809" s="1"/>
      <c r="AL1809" s="1"/>
      <c r="AM1809" s="2"/>
      <c r="AN1809" s="1"/>
      <c r="AO1809" s="1"/>
      <c r="AP1809" s="1"/>
      <c r="AQ1809" s="1"/>
      <c r="AR1809" s="1"/>
      <c r="AS1809" s="1"/>
      <c r="AT1809" s="1"/>
      <c r="AU1809" s="1"/>
      <c r="AV1809" s="1"/>
      <c r="AW1809" s="1"/>
      <c r="AX1809" s="1"/>
      <c r="AY1809" s="1"/>
      <c r="AZ1809" s="1"/>
      <c r="BA1809" s="1"/>
      <c r="BB1809" s="1"/>
      <c r="BC1809" s="1"/>
      <c r="BD1809" s="1"/>
      <c r="BE1809" s="1"/>
    </row>
    <row x14ac:dyDescent="0.25" r="1810" customHeight="1" ht="18.75">
      <c r="A1810" s="1"/>
      <c r="B1810" s="2"/>
      <c r="C1810" s="2"/>
      <c r="D1810" s="2"/>
      <c r="E1810" s="2"/>
      <c r="F1810" s="2"/>
      <c r="G1810" s="1"/>
      <c r="H1810" s="1"/>
      <c r="I1810" s="7">
        <v>1.807</v>
      </c>
      <c r="J1810" s="7">
        <f>IF((I1810-ROUNDDOWN(I1810,0))=0, 0, (I1810-ROUNDDOWN(I1810,0)))</f>
      </c>
      <c r="K1810" s="7">
        <f>INDIRECT("C$"&amp;2+MIN(2,ROUNDDOWN(I1810,0))*3)*(-$J1810^3+3*$J1810^2-3*$J1810+1)+INDIRECT("C$"&amp;3+MIN(2,ROUNDDOWN(I1810,0))*3)*(3*$J1810^3-6*$J1810^2+3*$J1810)+INDIRECT("C$"&amp;4+MIN(2,ROUNDDOWN(I1810,0))*3)*(-3*$J1810^3+3*$J1810^2)+INDIRECT("C$"&amp;5+MIN(2,ROUNDDOWN(I1810,0))*3)*$J1810^3</f>
      </c>
      <c r="L1810" s="7">
        <f>INDIRECT("D$"&amp;2+MIN(2,ROUNDDOWN(I1810,0))*3)*(-$J1810^3+3*$J1810^2-3*$J1810+1)+INDIRECT("D$"&amp;3+MIN(2,ROUNDDOWN(I1810,0))*3)*(3*$J1810^3-6*$J1810^2+3*$J1810)+INDIRECT("D$"&amp;4+MIN(2,ROUNDDOWN(I1810,0))*3)*(-3*$J1810^3+3*$J1810^2)+INDIRECT("D$"&amp;5+MIN(2,ROUNDDOWN(I1810,0))*3)*$J1810^3</f>
      </c>
      <c r="M1810" s="7">
        <f>SQRT(K1810^2+L1810^2)</f>
      </c>
      <c r="N1810" s="7">
        <f>(K1811-K1809)</f>
      </c>
      <c r="O1810" s="7">
        <f>+(L1811-L1809)</f>
      </c>
      <c r="P1810" s="7">
        <f>SQRT(O1810^2+N1810^2)</f>
      </c>
      <c r="Q1810" s="7">
        <f>N1810/$P1810</f>
      </c>
      <c r="R1810" s="7">
        <f>O1810/$P1810</f>
      </c>
      <c r="S1810" s="7">
        <f>Q1810^2+R1810^2</f>
      </c>
      <c r="T1810" s="7">
        <f>-R1810</f>
      </c>
      <c r="U1810" s="7">
        <f>Q1810</f>
      </c>
      <c r="V1810" s="7">
        <f>($C$14+($C$15-$C$14)/($D$15-$D$14)*(I1810-$D$14))/2</f>
      </c>
      <c r="W1810" s="7">
        <f>($B$22*I1810^4+$C$22*I1810^3+$D$22*I1810^2+$E$22*I1810+$F$22)/2</f>
      </c>
      <c r="X1810" s="7">
        <f>($W1810)*(T1810)</f>
      </c>
      <c r="Y1810" s="7">
        <f>($W1810)*(U1810)</f>
      </c>
      <c r="Z1810" s="7">
        <f>SQRT(X1810^2+Y1810^2)</f>
      </c>
      <c r="AA1810" s="7">
        <f>$K1810+$X1810</f>
      </c>
      <c r="AB1810" s="7">
        <f>$L1810+$Y1810</f>
      </c>
      <c r="AC1810" s="7">
        <f>$K1810-$X1810</f>
      </c>
      <c r="AD1810" s="7">
        <f>$L1810-$Y1810</f>
      </c>
      <c r="AE1810" s="7">
        <f>AA1810/39.3701</f>
      </c>
      <c r="AF1810" s="7">
        <f>AB1810/39.3701</f>
      </c>
      <c r="AG1810" s="7">
        <f>AC1810/39.3701</f>
      </c>
      <c r="AH1810" s="7">
        <f>AD1810/39.3701</f>
      </c>
      <c r="AI1810" s="1"/>
      <c r="AJ1810" s="1"/>
      <c r="AK1810" s="1"/>
      <c r="AL1810" s="1"/>
      <c r="AM1810" s="2"/>
      <c r="AN1810" s="1"/>
      <c r="AO1810" s="1"/>
      <c r="AP1810" s="1"/>
      <c r="AQ1810" s="1"/>
      <c r="AR1810" s="1"/>
      <c r="AS1810" s="1"/>
      <c r="AT1810" s="1"/>
      <c r="AU1810" s="1"/>
      <c r="AV1810" s="1"/>
      <c r="AW1810" s="1"/>
      <c r="AX1810" s="1"/>
      <c r="AY1810" s="1"/>
      <c r="AZ1810" s="1"/>
      <c r="BA1810" s="1"/>
      <c r="BB1810" s="1"/>
      <c r="BC1810" s="1"/>
      <c r="BD1810" s="1"/>
      <c r="BE1810" s="1"/>
    </row>
    <row x14ac:dyDescent="0.25" r="1811" customHeight="1" ht="18.75">
      <c r="A1811" s="1"/>
      <c r="B1811" s="2"/>
      <c r="C1811" s="2"/>
      <c r="D1811" s="2"/>
      <c r="E1811" s="2"/>
      <c r="F1811" s="2"/>
      <c r="G1811" s="1"/>
      <c r="H1811" s="1"/>
      <c r="I1811" s="7">
        <v>1.808</v>
      </c>
      <c r="J1811" s="7">
        <f>IF((I1811-ROUNDDOWN(I1811,0))=0, 0, (I1811-ROUNDDOWN(I1811,0)))</f>
      </c>
      <c r="K1811" s="7">
        <f>INDIRECT("C$"&amp;2+MIN(2,ROUNDDOWN(I1811,0))*3)*(-$J1811^3+3*$J1811^2-3*$J1811+1)+INDIRECT("C$"&amp;3+MIN(2,ROUNDDOWN(I1811,0))*3)*(3*$J1811^3-6*$J1811^2+3*$J1811)+INDIRECT("C$"&amp;4+MIN(2,ROUNDDOWN(I1811,0))*3)*(-3*$J1811^3+3*$J1811^2)+INDIRECT("C$"&amp;5+MIN(2,ROUNDDOWN(I1811,0))*3)*$J1811^3</f>
      </c>
      <c r="L1811" s="7">
        <f>INDIRECT("D$"&amp;2+MIN(2,ROUNDDOWN(I1811,0))*3)*(-$J1811^3+3*$J1811^2-3*$J1811+1)+INDIRECT("D$"&amp;3+MIN(2,ROUNDDOWN(I1811,0))*3)*(3*$J1811^3-6*$J1811^2+3*$J1811)+INDIRECT("D$"&amp;4+MIN(2,ROUNDDOWN(I1811,0))*3)*(-3*$J1811^3+3*$J1811^2)+INDIRECT("D$"&amp;5+MIN(2,ROUNDDOWN(I1811,0))*3)*$J1811^3</f>
      </c>
      <c r="M1811" s="7">
        <f>SQRT(K1811^2+L1811^2)</f>
      </c>
      <c r="N1811" s="7">
        <f>(K1812-K1810)</f>
      </c>
      <c r="O1811" s="7">
        <f>+(L1812-L1810)</f>
      </c>
      <c r="P1811" s="7">
        <f>SQRT(O1811^2+N1811^2)</f>
      </c>
      <c r="Q1811" s="7">
        <f>N1811/$P1811</f>
      </c>
      <c r="R1811" s="7">
        <f>O1811/$P1811</f>
      </c>
      <c r="S1811" s="7">
        <f>Q1811^2+R1811^2</f>
      </c>
      <c r="T1811" s="7">
        <f>-R1811</f>
      </c>
      <c r="U1811" s="7">
        <f>Q1811</f>
      </c>
      <c r="V1811" s="7">
        <f>($C$14+($C$15-$C$14)/($D$15-$D$14)*(I1811-$D$14))/2</f>
      </c>
      <c r="W1811" s="7">
        <f>($B$22*I1811^4+$C$22*I1811^3+$D$22*I1811^2+$E$22*I1811+$F$22)/2</f>
      </c>
      <c r="X1811" s="7">
        <f>($W1811)*(T1811)</f>
      </c>
      <c r="Y1811" s="7">
        <f>($W1811)*(U1811)</f>
      </c>
      <c r="Z1811" s="7">
        <f>SQRT(X1811^2+Y1811^2)</f>
      </c>
      <c r="AA1811" s="7">
        <f>$K1811+$X1811</f>
      </c>
      <c r="AB1811" s="7">
        <f>$L1811+$Y1811</f>
      </c>
      <c r="AC1811" s="7">
        <f>$K1811-$X1811</f>
      </c>
      <c r="AD1811" s="7">
        <f>$L1811-$Y1811</f>
      </c>
      <c r="AE1811" s="7">
        <f>AA1811/39.3701</f>
      </c>
      <c r="AF1811" s="7">
        <f>AB1811/39.3701</f>
      </c>
      <c r="AG1811" s="7">
        <f>AC1811/39.3701</f>
      </c>
      <c r="AH1811" s="7">
        <f>AD1811/39.3701</f>
      </c>
      <c r="AI1811" s="1"/>
      <c r="AJ1811" s="1"/>
      <c r="AK1811" s="1"/>
      <c r="AL1811" s="1"/>
      <c r="AM1811" s="2"/>
      <c r="AN1811" s="1"/>
      <c r="AO1811" s="1"/>
      <c r="AP1811" s="1"/>
      <c r="AQ1811" s="1"/>
      <c r="AR1811" s="1"/>
      <c r="AS1811" s="1"/>
      <c r="AT1811" s="1"/>
      <c r="AU1811" s="1"/>
      <c r="AV1811" s="1"/>
      <c r="AW1811" s="1"/>
      <c r="AX1811" s="1"/>
      <c r="AY1811" s="1"/>
      <c r="AZ1811" s="1"/>
      <c r="BA1811" s="1"/>
      <c r="BB1811" s="1"/>
      <c r="BC1811" s="1"/>
      <c r="BD1811" s="1"/>
      <c r="BE1811" s="1"/>
    </row>
    <row x14ac:dyDescent="0.25" r="1812" customHeight="1" ht="18.75">
      <c r="A1812" s="1"/>
      <c r="B1812" s="2"/>
      <c r="C1812" s="2"/>
      <c r="D1812" s="2"/>
      <c r="E1812" s="2"/>
      <c r="F1812" s="2"/>
      <c r="G1812" s="1"/>
      <c r="H1812" s="1"/>
      <c r="I1812" s="7">
        <v>1.809</v>
      </c>
      <c r="J1812" s="7">
        <f>IF((I1812-ROUNDDOWN(I1812,0))=0, 0, (I1812-ROUNDDOWN(I1812,0)))</f>
      </c>
      <c r="K1812" s="7">
        <f>INDIRECT("C$"&amp;2+MIN(2,ROUNDDOWN(I1812,0))*3)*(-$J1812^3+3*$J1812^2-3*$J1812+1)+INDIRECT("C$"&amp;3+MIN(2,ROUNDDOWN(I1812,0))*3)*(3*$J1812^3-6*$J1812^2+3*$J1812)+INDIRECT("C$"&amp;4+MIN(2,ROUNDDOWN(I1812,0))*3)*(-3*$J1812^3+3*$J1812^2)+INDIRECT("C$"&amp;5+MIN(2,ROUNDDOWN(I1812,0))*3)*$J1812^3</f>
      </c>
      <c r="L1812" s="7">
        <f>INDIRECT("D$"&amp;2+MIN(2,ROUNDDOWN(I1812,0))*3)*(-$J1812^3+3*$J1812^2-3*$J1812+1)+INDIRECT("D$"&amp;3+MIN(2,ROUNDDOWN(I1812,0))*3)*(3*$J1812^3-6*$J1812^2+3*$J1812)+INDIRECT("D$"&amp;4+MIN(2,ROUNDDOWN(I1812,0))*3)*(-3*$J1812^3+3*$J1812^2)+INDIRECT("D$"&amp;5+MIN(2,ROUNDDOWN(I1812,0))*3)*$J1812^3</f>
      </c>
      <c r="M1812" s="7">
        <f>SQRT(K1812^2+L1812^2)</f>
      </c>
      <c r="N1812" s="7">
        <f>(K1813-K1811)</f>
      </c>
      <c r="O1812" s="7">
        <f>+(L1813-L1811)</f>
      </c>
      <c r="P1812" s="7">
        <f>SQRT(O1812^2+N1812^2)</f>
      </c>
      <c r="Q1812" s="7">
        <f>N1812/$P1812</f>
      </c>
      <c r="R1812" s="7">
        <f>O1812/$P1812</f>
      </c>
      <c r="S1812" s="8">
        <f>Q1812^2+R1812^2</f>
      </c>
      <c r="T1812" s="7">
        <f>-R1812</f>
      </c>
      <c r="U1812" s="7">
        <f>Q1812</f>
      </c>
      <c r="V1812" s="7">
        <f>($C$14+($C$15-$C$14)/($D$15-$D$14)*(I1812-$D$14))/2</f>
      </c>
      <c r="W1812" s="7">
        <f>($B$22*I1812^4+$C$22*I1812^3+$D$22*I1812^2+$E$22*I1812+$F$22)/2</f>
      </c>
      <c r="X1812" s="7">
        <f>($W1812)*(T1812)</f>
      </c>
      <c r="Y1812" s="7">
        <f>($W1812)*(U1812)</f>
      </c>
      <c r="Z1812" s="7">
        <f>SQRT(X1812^2+Y1812^2)</f>
      </c>
      <c r="AA1812" s="7">
        <f>$K1812+$X1812</f>
      </c>
      <c r="AB1812" s="7">
        <f>$L1812+$Y1812</f>
      </c>
      <c r="AC1812" s="7">
        <f>$K1812-$X1812</f>
      </c>
      <c r="AD1812" s="7">
        <f>$L1812-$Y1812</f>
      </c>
      <c r="AE1812" s="7">
        <f>AA1812/39.3701</f>
      </c>
      <c r="AF1812" s="7">
        <f>AB1812/39.3701</f>
      </c>
      <c r="AG1812" s="7">
        <f>AC1812/39.3701</f>
      </c>
      <c r="AH1812" s="7">
        <f>AD1812/39.3701</f>
      </c>
      <c r="AI1812" s="1"/>
      <c r="AJ1812" s="1"/>
      <c r="AK1812" s="1"/>
      <c r="AL1812" s="1"/>
      <c r="AM1812" s="2"/>
      <c r="AN1812" s="1"/>
      <c r="AO1812" s="1"/>
      <c r="AP1812" s="1"/>
      <c r="AQ1812" s="1"/>
      <c r="AR1812" s="1"/>
      <c r="AS1812" s="1"/>
      <c r="AT1812" s="1"/>
      <c r="AU1812" s="1"/>
      <c r="AV1812" s="1"/>
      <c r="AW1812" s="1"/>
      <c r="AX1812" s="1"/>
      <c r="AY1812" s="1"/>
      <c r="AZ1812" s="1"/>
      <c r="BA1812" s="1"/>
      <c r="BB1812" s="1"/>
      <c r="BC1812" s="1"/>
      <c r="BD1812" s="1"/>
      <c r="BE1812" s="1"/>
    </row>
    <row x14ac:dyDescent="0.25" r="1813" customHeight="1" ht="18.75">
      <c r="A1813" s="1"/>
      <c r="B1813" s="2"/>
      <c r="C1813" s="2"/>
      <c r="D1813" s="2"/>
      <c r="E1813" s="2"/>
      <c r="F1813" s="2"/>
      <c r="G1813" s="1"/>
      <c r="H1813" s="1"/>
      <c r="I1813" s="7">
        <v>1.81</v>
      </c>
      <c r="J1813" s="7">
        <f>IF((I1813-ROUNDDOWN(I1813,0))=0, 0, (I1813-ROUNDDOWN(I1813,0)))</f>
      </c>
      <c r="K1813" s="7">
        <f>INDIRECT("C$"&amp;2+MIN(2,ROUNDDOWN(I1813,0))*3)*(-$J1813^3+3*$J1813^2-3*$J1813+1)+INDIRECT("C$"&amp;3+MIN(2,ROUNDDOWN(I1813,0))*3)*(3*$J1813^3-6*$J1813^2+3*$J1813)+INDIRECT("C$"&amp;4+MIN(2,ROUNDDOWN(I1813,0))*3)*(-3*$J1813^3+3*$J1813^2)+INDIRECT("C$"&amp;5+MIN(2,ROUNDDOWN(I1813,0))*3)*$J1813^3</f>
      </c>
      <c r="L1813" s="7">
        <f>INDIRECT("D$"&amp;2+MIN(2,ROUNDDOWN(I1813,0))*3)*(-$J1813^3+3*$J1813^2-3*$J1813+1)+INDIRECT("D$"&amp;3+MIN(2,ROUNDDOWN(I1813,0))*3)*(3*$J1813^3-6*$J1813^2+3*$J1813)+INDIRECT("D$"&amp;4+MIN(2,ROUNDDOWN(I1813,0))*3)*(-3*$J1813^3+3*$J1813^2)+INDIRECT("D$"&amp;5+MIN(2,ROUNDDOWN(I1813,0))*3)*$J1813^3</f>
      </c>
      <c r="M1813" s="7">
        <f>SQRT(K1813^2+L1813^2)</f>
      </c>
      <c r="N1813" s="7">
        <f>(K1814-K1812)</f>
      </c>
      <c r="O1813" s="7">
        <f>+(L1814-L1812)</f>
      </c>
      <c r="P1813" s="7">
        <f>SQRT(O1813^2+N1813^2)</f>
      </c>
      <c r="Q1813" s="7">
        <f>N1813/$P1813</f>
      </c>
      <c r="R1813" s="7">
        <f>O1813/$P1813</f>
      </c>
      <c r="S1813" s="7">
        <f>Q1813^2+R1813^2</f>
      </c>
      <c r="T1813" s="7">
        <f>-R1813</f>
      </c>
      <c r="U1813" s="7">
        <f>Q1813</f>
      </c>
      <c r="V1813" s="7">
        <f>($C$14+($C$15-$C$14)/($D$15-$D$14)*(I1813-$D$14))/2</f>
      </c>
      <c r="W1813" s="7">
        <f>($B$22*I1813^4+$C$22*I1813^3+$D$22*I1813^2+$E$22*I1813+$F$22)/2</f>
      </c>
      <c r="X1813" s="7">
        <f>($W1813)*(T1813)</f>
      </c>
      <c r="Y1813" s="7">
        <f>($W1813)*(U1813)</f>
      </c>
      <c r="Z1813" s="7">
        <f>SQRT(X1813^2+Y1813^2)</f>
      </c>
      <c r="AA1813" s="7">
        <f>$K1813+$X1813</f>
      </c>
      <c r="AB1813" s="7">
        <f>$L1813+$Y1813</f>
      </c>
      <c r="AC1813" s="7">
        <f>$K1813-$X1813</f>
      </c>
      <c r="AD1813" s="7">
        <f>$L1813-$Y1813</f>
      </c>
      <c r="AE1813" s="7">
        <f>AA1813/39.3701</f>
      </c>
      <c r="AF1813" s="7">
        <f>AB1813/39.3701</f>
      </c>
      <c r="AG1813" s="7">
        <f>AC1813/39.3701</f>
      </c>
      <c r="AH1813" s="7">
        <f>AD1813/39.3701</f>
      </c>
      <c r="AI1813" s="1"/>
      <c r="AJ1813" s="1"/>
      <c r="AK1813" s="1"/>
      <c r="AL1813" s="1"/>
      <c r="AM1813" s="2"/>
      <c r="AN1813" s="1"/>
      <c r="AO1813" s="1"/>
      <c r="AP1813" s="1"/>
      <c r="AQ1813" s="1"/>
      <c r="AR1813" s="1"/>
      <c r="AS1813" s="1"/>
      <c r="AT1813" s="1"/>
      <c r="AU1813" s="1"/>
      <c r="AV1813" s="1"/>
      <c r="AW1813" s="1"/>
      <c r="AX1813" s="1"/>
      <c r="AY1813" s="1"/>
      <c r="AZ1813" s="1"/>
      <c r="BA1813" s="1"/>
      <c r="BB1813" s="1"/>
      <c r="BC1813" s="1"/>
      <c r="BD1813" s="1"/>
      <c r="BE1813" s="1"/>
    </row>
    <row x14ac:dyDescent="0.25" r="1814" customHeight="1" ht="18.75">
      <c r="A1814" s="1"/>
      <c r="B1814" s="2"/>
      <c r="C1814" s="2"/>
      <c r="D1814" s="2"/>
      <c r="E1814" s="2"/>
      <c r="F1814" s="2"/>
      <c r="G1814" s="1"/>
      <c r="H1814" s="1"/>
      <c r="I1814" s="7">
        <v>1.811</v>
      </c>
      <c r="J1814" s="7">
        <f>IF((I1814-ROUNDDOWN(I1814,0))=0, 0, (I1814-ROUNDDOWN(I1814,0)))</f>
      </c>
      <c r="K1814" s="7">
        <f>INDIRECT("C$"&amp;2+MIN(2,ROUNDDOWN(I1814,0))*3)*(-$J1814^3+3*$J1814^2-3*$J1814+1)+INDIRECT("C$"&amp;3+MIN(2,ROUNDDOWN(I1814,0))*3)*(3*$J1814^3-6*$J1814^2+3*$J1814)+INDIRECT("C$"&amp;4+MIN(2,ROUNDDOWN(I1814,0))*3)*(-3*$J1814^3+3*$J1814^2)+INDIRECT("C$"&amp;5+MIN(2,ROUNDDOWN(I1814,0))*3)*$J1814^3</f>
      </c>
      <c r="L1814" s="7">
        <f>INDIRECT("D$"&amp;2+MIN(2,ROUNDDOWN(I1814,0))*3)*(-$J1814^3+3*$J1814^2-3*$J1814+1)+INDIRECT("D$"&amp;3+MIN(2,ROUNDDOWN(I1814,0))*3)*(3*$J1814^3-6*$J1814^2+3*$J1814)+INDIRECT("D$"&amp;4+MIN(2,ROUNDDOWN(I1814,0))*3)*(-3*$J1814^3+3*$J1814^2)+INDIRECT("D$"&amp;5+MIN(2,ROUNDDOWN(I1814,0))*3)*$J1814^3</f>
      </c>
      <c r="M1814" s="7">
        <f>SQRT(K1814^2+L1814^2)</f>
      </c>
      <c r="N1814" s="7">
        <f>(K1815-K1813)</f>
      </c>
      <c r="O1814" s="7">
        <f>+(L1815-L1813)</f>
      </c>
      <c r="P1814" s="7">
        <f>SQRT(O1814^2+N1814^2)</f>
      </c>
      <c r="Q1814" s="7">
        <f>N1814/$P1814</f>
      </c>
      <c r="R1814" s="7">
        <f>O1814/$P1814</f>
      </c>
      <c r="S1814" s="7">
        <f>Q1814^2+R1814^2</f>
      </c>
      <c r="T1814" s="7">
        <f>-R1814</f>
      </c>
      <c r="U1814" s="7">
        <f>Q1814</f>
      </c>
      <c r="V1814" s="7">
        <f>($C$14+($C$15-$C$14)/($D$15-$D$14)*(I1814-$D$14))/2</f>
      </c>
      <c r="W1814" s="7">
        <f>($B$22*I1814^4+$C$22*I1814^3+$D$22*I1814^2+$E$22*I1814+$F$22)/2</f>
      </c>
      <c r="X1814" s="7">
        <f>($W1814)*(T1814)</f>
      </c>
      <c r="Y1814" s="7">
        <f>($W1814)*(U1814)</f>
      </c>
      <c r="Z1814" s="7">
        <f>SQRT(X1814^2+Y1814^2)</f>
      </c>
      <c r="AA1814" s="7">
        <f>$K1814+$X1814</f>
      </c>
      <c r="AB1814" s="7">
        <f>$L1814+$Y1814</f>
      </c>
      <c r="AC1814" s="7">
        <f>$K1814-$X1814</f>
      </c>
      <c r="AD1814" s="7">
        <f>$L1814-$Y1814</f>
      </c>
      <c r="AE1814" s="7">
        <f>AA1814/39.3701</f>
      </c>
      <c r="AF1814" s="7">
        <f>AB1814/39.3701</f>
      </c>
      <c r="AG1814" s="7">
        <f>AC1814/39.3701</f>
      </c>
      <c r="AH1814" s="7">
        <f>AD1814/39.3701</f>
      </c>
      <c r="AI1814" s="1"/>
      <c r="AJ1814" s="1"/>
      <c r="AK1814" s="1"/>
      <c r="AL1814" s="1"/>
      <c r="AM1814" s="2"/>
      <c r="AN1814" s="1"/>
      <c r="AO1814" s="1"/>
      <c r="AP1814" s="1"/>
      <c r="AQ1814" s="1"/>
      <c r="AR1814" s="1"/>
      <c r="AS1814" s="1"/>
      <c r="AT1814" s="1"/>
      <c r="AU1814" s="1"/>
      <c r="AV1814" s="1"/>
      <c r="AW1814" s="1"/>
      <c r="AX1814" s="1"/>
      <c r="AY1814" s="1"/>
      <c r="AZ1814" s="1"/>
      <c r="BA1814" s="1"/>
      <c r="BB1814" s="1"/>
      <c r="BC1814" s="1"/>
      <c r="BD1814" s="1"/>
      <c r="BE1814" s="1"/>
    </row>
    <row x14ac:dyDescent="0.25" r="1815" customHeight="1" ht="18.75">
      <c r="A1815" s="1"/>
      <c r="B1815" s="2"/>
      <c r="C1815" s="2"/>
      <c r="D1815" s="2"/>
      <c r="E1815" s="2"/>
      <c r="F1815" s="2"/>
      <c r="G1815" s="1"/>
      <c r="H1815" s="1"/>
      <c r="I1815" s="7">
        <v>1.812</v>
      </c>
      <c r="J1815" s="7">
        <f>IF((I1815-ROUNDDOWN(I1815,0))=0, 0, (I1815-ROUNDDOWN(I1815,0)))</f>
      </c>
      <c r="K1815" s="7">
        <f>INDIRECT("C$"&amp;2+MIN(2,ROUNDDOWN(I1815,0))*3)*(-$J1815^3+3*$J1815^2-3*$J1815+1)+INDIRECT("C$"&amp;3+MIN(2,ROUNDDOWN(I1815,0))*3)*(3*$J1815^3-6*$J1815^2+3*$J1815)+INDIRECT("C$"&amp;4+MIN(2,ROUNDDOWN(I1815,0))*3)*(-3*$J1815^3+3*$J1815^2)+INDIRECT("C$"&amp;5+MIN(2,ROUNDDOWN(I1815,0))*3)*$J1815^3</f>
      </c>
      <c r="L1815" s="7">
        <f>INDIRECT("D$"&amp;2+MIN(2,ROUNDDOWN(I1815,0))*3)*(-$J1815^3+3*$J1815^2-3*$J1815+1)+INDIRECT("D$"&amp;3+MIN(2,ROUNDDOWN(I1815,0))*3)*(3*$J1815^3-6*$J1815^2+3*$J1815)+INDIRECT("D$"&amp;4+MIN(2,ROUNDDOWN(I1815,0))*3)*(-3*$J1815^3+3*$J1815^2)+INDIRECT("D$"&amp;5+MIN(2,ROUNDDOWN(I1815,0))*3)*$J1815^3</f>
      </c>
      <c r="M1815" s="7">
        <f>SQRT(K1815^2+L1815^2)</f>
      </c>
      <c r="N1815" s="7">
        <f>(K1816-K1814)</f>
      </c>
      <c r="O1815" s="7">
        <f>+(L1816-L1814)</f>
      </c>
      <c r="P1815" s="7">
        <f>SQRT(O1815^2+N1815^2)</f>
      </c>
      <c r="Q1815" s="7">
        <f>N1815/$P1815</f>
      </c>
      <c r="R1815" s="7">
        <f>O1815/$P1815</f>
      </c>
      <c r="S1815" s="8">
        <f>Q1815^2+R1815^2</f>
      </c>
      <c r="T1815" s="7">
        <f>-R1815</f>
      </c>
      <c r="U1815" s="7">
        <f>Q1815</f>
      </c>
      <c r="V1815" s="7">
        <f>($C$14+($C$15-$C$14)/($D$15-$D$14)*(I1815-$D$14))/2</f>
      </c>
      <c r="W1815" s="7">
        <f>($B$22*I1815^4+$C$22*I1815^3+$D$22*I1815^2+$E$22*I1815+$F$22)/2</f>
      </c>
      <c r="X1815" s="7">
        <f>($W1815)*(T1815)</f>
      </c>
      <c r="Y1815" s="7">
        <f>($W1815)*(U1815)</f>
      </c>
      <c r="Z1815" s="7">
        <f>SQRT(X1815^2+Y1815^2)</f>
      </c>
      <c r="AA1815" s="7">
        <f>$K1815+$X1815</f>
      </c>
      <c r="AB1815" s="7">
        <f>$L1815+$Y1815</f>
      </c>
      <c r="AC1815" s="7">
        <f>$K1815-$X1815</f>
      </c>
      <c r="AD1815" s="7">
        <f>$L1815-$Y1815</f>
      </c>
      <c r="AE1815" s="7">
        <f>AA1815/39.3701</f>
      </c>
      <c r="AF1815" s="7">
        <f>AB1815/39.3701</f>
      </c>
      <c r="AG1815" s="7">
        <f>AC1815/39.3701</f>
      </c>
      <c r="AH1815" s="7">
        <f>AD1815/39.3701</f>
      </c>
      <c r="AI1815" s="1"/>
      <c r="AJ1815" s="1"/>
      <c r="AK1815" s="1"/>
      <c r="AL1815" s="1"/>
      <c r="AM1815" s="2"/>
      <c r="AN1815" s="1"/>
      <c r="AO1815" s="1"/>
      <c r="AP1815" s="1"/>
      <c r="AQ1815" s="1"/>
      <c r="AR1815" s="1"/>
      <c r="AS1815" s="1"/>
      <c r="AT1815" s="1"/>
      <c r="AU1815" s="1"/>
      <c r="AV1815" s="1"/>
      <c r="AW1815" s="1"/>
      <c r="AX1815" s="1"/>
      <c r="AY1815" s="1"/>
      <c r="AZ1815" s="1"/>
      <c r="BA1815" s="1"/>
      <c r="BB1815" s="1"/>
      <c r="BC1815" s="1"/>
      <c r="BD1815" s="1"/>
      <c r="BE1815" s="1"/>
    </row>
    <row x14ac:dyDescent="0.25" r="1816" customHeight="1" ht="18.75">
      <c r="A1816" s="1"/>
      <c r="B1816" s="2"/>
      <c r="C1816" s="2"/>
      <c r="D1816" s="2"/>
      <c r="E1816" s="2"/>
      <c r="F1816" s="2"/>
      <c r="G1816" s="1"/>
      <c r="H1816" s="1"/>
      <c r="I1816" s="7">
        <v>1.813</v>
      </c>
      <c r="J1816" s="7">
        <f>IF((I1816-ROUNDDOWN(I1816,0))=0, 0, (I1816-ROUNDDOWN(I1816,0)))</f>
      </c>
      <c r="K1816" s="7">
        <f>INDIRECT("C$"&amp;2+MIN(2,ROUNDDOWN(I1816,0))*3)*(-$J1816^3+3*$J1816^2-3*$J1816+1)+INDIRECT("C$"&amp;3+MIN(2,ROUNDDOWN(I1816,0))*3)*(3*$J1816^3-6*$J1816^2+3*$J1816)+INDIRECT("C$"&amp;4+MIN(2,ROUNDDOWN(I1816,0))*3)*(-3*$J1816^3+3*$J1816^2)+INDIRECT("C$"&amp;5+MIN(2,ROUNDDOWN(I1816,0))*3)*$J1816^3</f>
      </c>
      <c r="L1816" s="7">
        <f>INDIRECT("D$"&amp;2+MIN(2,ROUNDDOWN(I1816,0))*3)*(-$J1816^3+3*$J1816^2-3*$J1816+1)+INDIRECT("D$"&amp;3+MIN(2,ROUNDDOWN(I1816,0))*3)*(3*$J1816^3-6*$J1816^2+3*$J1816)+INDIRECT("D$"&amp;4+MIN(2,ROUNDDOWN(I1816,0))*3)*(-3*$J1816^3+3*$J1816^2)+INDIRECT("D$"&amp;5+MIN(2,ROUNDDOWN(I1816,0))*3)*$J1816^3</f>
      </c>
      <c r="M1816" s="7">
        <f>SQRT(K1816^2+L1816^2)</f>
      </c>
      <c r="N1816" s="7">
        <f>(K1817-K1815)</f>
      </c>
      <c r="O1816" s="7">
        <f>+(L1817-L1815)</f>
      </c>
      <c r="P1816" s="7">
        <f>SQRT(O1816^2+N1816^2)</f>
      </c>
      <c r="Q1816" s="7">
        <f>N1816/$P1816</f>
      </c>
      <c r="R1816" s="7">
        <f>O1816/$P1816</f>
      </c>
      <c r="S1816" s="7">
        <f>Q1816^2+R1816^2</f>
      </c>
      <c r="T1816" s="7">
        <f>-R1816</f>
      </c>
      <c r="U1816" s="7">
        <f>Q1816</f>
      </c>
      <c r="V1816" s="7">
        <f>($C$14+($C$15-$C$14)/($D$15-$D$14)*(I1816-$D$14))/2</f>
      </c>
      <c r="W1816" s="7">
        <f>($B$22*I1816^4+$C$22*I1816^3+$D$22*I1816^2+$E$22*I1816+$F$22)/2</f>
      </c>
      <c r="X1816" s="7">
        <f>($W1816)*(T1816)</f>
      </c>
      <c r="Y1816" s="7">
        <f>($W1816)*(U1816)</f>
      </c>
      <c r="Z1816" s="7">
        <f>SQRT(X1816^2+Y1816^2)</f>
      </c>
      <c r="AA1816" s="7">
        <f>$K1816+$X1816</f>
      </c>
      <c r="AB1816" s="7">
        <f>$L1816+$Y1816</f>
      </c>
      <c r="AC1816" s="7">
        <f>$K1816-$X1816</f>
      </c>
      <c r="AD1816" s="7">
        <f>$L1816-$Y1816</f>
      </c>
      <c r="AE1816" s="7">
        <f>AA1816/39.3701</f>
      </c>
      <c r="AF1816" s="7">
        <f>AB1816/39.3701</f>
      </c>
      <c r="AG1816" s="7">
        <f>AC1816/39.3701</f>
      </c>
      <c r="AH1816" s="7">
        <f>AD1816/39.3701</f>
      </c>
      <c r="AI1816" s="1"/>
      <c r="AJ1816" s="1"/>
      <c r="AK1816" s="1"/>
      <c r="AL1816" s="1"/>
      <c r="AM1816" s="2"/>
      <c r="AN1816" s="1"/>
      <c r="AO1816" s="1"/>
      <c r="AP1816" s="1"/>
      <c r="AQ1816" s="1"/>
      <c r="AR1816" s="1"/>
      <c r="AS1816" s="1"/>
      <c r="AT1816" s="1"/>
      <c r="AU1816" s="1"/>
      <c r="AV1816" s="1"/>
      <c r="AW1816" s="1"/>
      <c r="AX1816" s="1"/>
      <c r="AY1816" s="1"/>
      <c r="AZ1816" s="1"/>
      <c r="BA1816" s="1"/>
      <c r="BB1816" s="1"/>
      <c r="BC1816" s="1"/>
      <c r="BD1816" s="1"/>
      <c r="BE1816" s="1"/>
    </row>
    <row x14ac:dyDescent="0.25" r="1817" customHeight="1" ht="18.75">
      <c r="A1817" s="1"/>
      <c r="B1817" s="2"/>
      <c r="C1817" s="2"/>
      <c r="D1817" s="2"/>
      <c r="E1817" s="2"/>
      <c r="F1817" s="2"/>
      <c r="G1817" s="1"/>
      <c r="H1817" s="1"/>
      <c r="I1817" s="7">
        <v>1.814</v>
      </c>
      <c r="J1817" s="7">
        <f>IF((I1817-ROUNDDOWN(I1817,0))=0, 0, (I1817-ROUNDDOWN(I1817,0)))</f>
      </c>
      <c r="K1817" s="7">
        <f>INDIRECT("C$"&amp;2+MIN(2,ROUNDDOWN(I1817,0))*3)*(-$J1817^3+3*$J1817^2-3*$J1817+1)+INDIRECT("C$"&amp;3+MIN(2,ROUNDDOWN(I1817,0))*3)*(3*$J1817^3-6*$J1817^2+3*$J1817)+INDIRECT("C$"&amp;4+MIN(2,ROUNDDOWN(I1817,0))*3)*(-3*$J1817^3+3*$J1817^2)+INDIRECT("C$"&amp;5+MIN(2,ROUNDDOWN(I1817,0))*3)*$J1817^3</f>
      </c>
      <c r="L1817" s="7">
        <f>INDIRECT("D$"&amp;2+MIN(2,ROUNDDOWN(I1817,0))*3)*(-$J1817^3+3*$J1817^2-3*$J1817+1)+INDIRECT("D$"&amp;3+MIN(2,ROUNDDOWN(I1817,0))*3)*(3*$J1817^3-6*$J1817^2+3*$J1817)+INDIRECT("D$"&amp;4+MIN(2,ROUNDDOWN(I1817,0))*3)*(-3*$J1817^3+3*$J1817^2)+INDIRECT("D$"&amp;5+MIN(2,ROUNDDOWN(I1817,0))*3)*$J1817^3</f>
      </c>
      <c r="M1817" s="7">
        <f>SQRT(K1817^2+L1817^2)</f>
      </c>
      <c r="N1817" s="7">
        <f>(K1818-K1816)</f>
      </c>
      <c r="O1817" s="7">
        <f>+(L1818-L1816)</f>
      </c>
      <c r="P1817" s="7">
        <f>SQRT(O1817^2+N1817^2)</f>
      </c>
      <c r="Q1817" s="7">
        <f>N1817/$P1817</f>
      </c>
      <c r="R1817" s="7">
        <f>O1817/$P1817</f>
      </c>
      <c r="S1817" s="7">
        <f>Q1817^2+R1817^2</f>
      </c>
      <c r="T1817" s="7">
        <f>-R1817</f>
      </c>
      <c r="U1817" s="7">
        <f>Q1817</f>
      </c>
      <c r="V1817" s="7">
        <f>($C$14+($C$15-$C$14)/($D$15-$D$14)*(I1817-$D$14))/2</f>
      </c>
      <c r="W1817" s="7">
        <f>($B$22*I1817^4+$C$22*I1817^3+$D$22*I1817^2+$E$22*I1817+$F$22)/2</f>
      </c>
      <c r="X1817" s="7">
        <f>($W1817)*(T1817)</f>
      </c>
      <c r="Y1817" s="7">
        <f>($W1817)*(U1817)</f>
      </c>
      <c r="Z1817" s="7">
        <f>SQRT(X1817^2+Y1817^2)</f>
      </c>
      <c r="AA1817" s="7">
        <f>$K1817+$X1817</f>
      </c>
      <c r="AB1817" s="7">
        <f>$L1817+$Y1817</f>
      </c>
      <c r="AC1817" s="7">
        <f>$K1817-$X1817</f>
      </c>
      <c r="AD1817" s="7">
        <f>$L1817-$Y1817</f>
      </c>
      <c r="AE1817" s="7">
        <f>AA1817/39.3701</f>
      </c>
      <c r="AF1817" s="7">
        <f>AB1817/39.3701</f>
      </c>
      <c r="AG1817" s="7">
        <f>AC1817/39.3701</f>
      </c>
      <c r="AH1817" s="7">
        <f>AD1817/39.3701</f>
      </c>
      <c r="AI1817" s="1"/>
      <c r="AJ1817" s="1"/>
      <c r="AK1817" s="1"/>
      <c r="AL1817" s="1"/>
      <c r="AM1817" s="2"/>
      <c r="AN1817" s="1"/>
      <c r="AO1817" s="1"/>
      <c r="AP1817" s="1"/>
      <c r="AQ1817" s="1"/>
      <c r="AR1817" s="1"/>
      <c r="AS1817" s="1"/>
      <c r="AT1817" s="1"/>
      <c r="AU1817" s="1"/>
      <c r="AV1817" s="1"/>
      <c r="AW1817" s="1"/>
      <c r="AX1817" s="1"/>
      <c r="AY1817" s="1"/>
      <c r="AZ1817" s="1"/>
      <c r="BA1817" s="1"/>
      <c r="BB1817" s="1"/>
      <c r="BC1817" s="1"/>
      <c r="BD1817" s="1"/>
      <c r="BE1817" s="1"/>
    </row>
    <row x14ac:dyDescent="0.25" r="1818" customHeight="1" ht="18.75">
      <c r="A1818" s="1"/>
      <c r="B1818" s="2"/>
      <c r="C1818" s="2"/>
      <c r="D1818" s="2"/>
      <c r="E1818" s="2"/>
      <c r="F1818" s="2"/>
      <c r="G1818" s="1"/>
      <c r="H1818" s="1"/>
      <c r="I1818" s="7">
        <v>1.815</v>
      </c>
      <c r="J1818" s="7">
        <f>IF((I1818-ROUNDDOWN(I1818,0))=0, 0, (I1818-ROUNDDOWN(I1818,0)))</f>
      </c>
      <c r="K1818" s="7">
        <f>INDIRECT("C$"&amp;2+MIN(2,ROUNDDOWN(I1818,0))*3)*(-$J1818^3+3*$J1818^2-3*$J1818+1)+INDIRECT("C$"&amp;3+MIN(2,ROUNDDOWN(I1818,0))*3)*(3*$J1818^3-6*$J1818^2+3*$J1818)+INDIRECT("C$"&amp;4+MIN(2,ROUNDDOWN(I1818,0))*3)*(-3*$J1818^3+3*$J1818^2)+INDIRECT("C$"&amp;5+MIN(2,ROUNDDOWN(I1818,0))*3)*$J1818^3</f>
      </c>
      <c r="L1818" s="7">
        <f>INDIRECT("D$"&amp;2+MIN(2,ROUNDDOWN(I1818,0))*3)*(-$J1818^3+3*$J1818^2-3*$J1818+1)+INDIRECT("D$"&amp;3+MIN(2,ROUNDDOWN(I1818,0))*3)*(3*$J1818^3-6*$J1818^2+3*$J1818)+INDIRECT("D$"&amp;4+MIN(2,ROUNDDOWN(I1818,0))*3)*(-3*$J1818^3+3*$J1818^2)+INDIRECT("D$"&amp;5+MIN(2,ROUNDDOWN(I1818,0))*3)*$J1818^3</f>
      </c>
      <c r="M1818" s="7">
        <f>SQRT(K1818^2+L1818^2)</f>
      </c>
      <c r="N1818" s="7">
        <f>(K1819-K1817)</f>
      </c>
      <c r="O1818" s="7">
        <f>+(L1819-L1817)</f>
      </c>
      <c r="P1818" s="7">
        <f>SQRT(O1818^2+N1818^2)</f>
      </c>
      <c r="Q1818" s="7">
        <f>N1818/$P1818</f>
      </c>
      <c r="R1818" s="7">
        <f>O1818/$P1818</f>
      </c>
      <c r="S1818" s="8">
        <f>Q1818^2+R1818^2</f>
      </c>
      <c r="T1818" s="7">
        <f>-R1818</f>
      </c>
      <c r="U1818" s="7">
        <f>Q1818</f>
      </c>
      <c r="V1818" s="7">
        <f>($C$14+($C$15-$C$14)/($D$15-$D$14)*(I1818-$D$14))/2</f>
      </c>
      <c r="W1818" s="7">
        <f>($B$22*I1818^4+$C$22*I1818^3+$D$22*I1818^2+$E$22*I1818+$F$22)/2</f>
      </c>
      <c r="X1818" s="7">
        <f>($W1818)*(T1818)</f>
      </c>
      <c r="Y1818" s="7">
        <f>($W1818)*(U1818)</f>
      </c>
      <c r="Z1818" s="7">
        <f>SQRT(X1818^2+Y1818^2)</f>
      </c>
      <c r="AA1818" s="7">
        <f>$K1818+$X1818</f>
      </c>
      <c r="AB1818" s="7">
        <f>$L1818+$Y1818</f>
      </c>
      <c r="AC1818" s="7">
        <f>$K1818-$X1818</f>
      </c>
      <c r="AD1818" s="7">
        <f>$L1818-$Y1818</f>
      </c>
      <c r="AE1818" s="7">
        <f>AA1818/39.3701</f>
      </c>
      <c r="AF1818" s="7">
        <f>AB1818/39.3701</f>
      </c>
      <c r="AG1818" s="7">
        <f>AC1818/39.3701</f>
      </c>
      <c r="AH1818" s="7">
        <f>AD1818/39.3701</f>
      </c>
      <c r="AI1818" s="1"/>
      <c r="AJ1818" s="1"/>
      <c r="AK1818" s="1"/>
      <c r="AL1818" s="1"/>
      <c r="AM1818" s="2"/>
      <c r="AN1818" s="1"/>
      <c r="AO1818" s="1"/>
      <c r="AP1818" s="1"/>
      <c r="AQ1818" s="1"/>
      <c r="AR1818" s="1"/>
      <c r="AS1818" s="1"/>
      <c r="AT1818" s="1"/>
      <c r="AU1818" s="1"/>
      <c r="AV1818" s="1"/>
      <c r="AW1818" s="1"/>
      <c r="AX1818" s="1"/>
      <c r="AY1818" s="1"/>
      <c r="AZ1818" s="1"/>
      <c r="BA1818" s="1"/>
      <c r="BB1818" s="1"/>
      <c r="BC1818" s="1"/>
      <c r="BD1818" s="1"/>
      <c r="BE1818" s="1"/>
    </row>
    <row x14ac:dyDescent="0.25" r="1819" customHeight="1" ht="18.75">
      <c r="A1819" s="1"/>
      <c r="B1819" s="2"/>
      <c r="C1819" s="2"/>
      <c r="D1819" s="2"/>
      <c r="E1819" s="2"/>
      <c r="F1819" s="2"/>
      <c r="G1819" s="1"/>
      <c r="H1819" s="1"/>
      <c r="I1819" s="7">
        <v>1.816</v>
      </c>
      <c r="J1819" s="7">
        <f>IF((I1819-ROUNDDOWN(I1819,0))=0, 0, (I1819-ROUNDDOWN(I1819,0)))</f>
      </c>
      <c r="K1819" s="7">
        <f>INDIRECT("C$"&amp;2+MIN(2,ROUNDDOWN(I1819,0))*3)*(-$J1819^3+3*$J1819^2-3*$J1819+1)+INDIRECT("C$"&amp;3+MIN(2,ROUNDDOWN(I1819,0))*3)*(3*$J1819^3-6*$J1819^2+3*$J1819)+INDIRECT("C$"&amp;4+MIN(2,ROUNDDOWN(I1819,0))*3)*(-3*$J1819^3+3*$J1819^2)+INDIRECT("C$"&amp;5+MIN(2,ROUNDDOWN(I1819,0))*3)*$J1819^3</f>
      </c>
      <c r="L1819" s="7">
        <f>INDIRECT("D$"&amp;2+MIN(2,ROUNDDOWN(I1819,0))*3)*(-$J1819^3+3*$J1819^2-3*$J1819+1)+INDIRECT("D$"&amp;3+MIN(2,ROUNDDOWN(I1819,0))*3)*(3*$J1819^3-6*$J1819^2+3*$J1819)+INDIRECT("D$"&amp;4+MIN(2,ROUNDDOWN(I1819,0))*3)*(-3*$J1819^3+3*$J1819^2)+INDIRECT("D$"&amp;5+MIN(2,ROUNDDOWN(I1819,0))*3)*$J1819^3</f>
      </c>
      <c r="M1819" s="7">
        <f>SQRT(K1819^2+L1819^2)</f>
      </c>
      <c r="N1819" s="7">
        <f>(K1820-K1818)</f>
      </c>
      <c r="O1819" s="7">
        <f>+(L1820-L1818)</f>
      </c>
      <c r="P1819" s="7">
        <f>SQRT(O1819^2+N1819^2)</f>
      </c>
      <c r="Q1819" s="7">
        <f>N1819/$P1819</f>
      </c>
      <c r="R1819" s="7">
        <f>O1819/$P1819</f>
      </c>
      <c r="S1819" s="8">
        <f>Q1819^2+R1819^2</f>
      </c>
      <c r="T1819" s="7">
        <f>-R1819</f>
      </c>
      <c r="U1819" s="7">
        <f>Q1819</f>
      </c>
      <c r="V1819" s="7">
        <f>($C$14+($C$15-$C$14)/($D$15-$D$14)*(I1819-$D$14))/2</f>
      </c>
      <c r="W1819" s="7">
        <f>($B$22*I1819^4+$C$22*I1819^3+$D$22*I1819^2+$E$22*I1819+$F$22)/2</f>
      </c>
      <c r="X1819" s="7">
        <f>($W1819)*(T1819)</f>
      </c>
      <c r="Y1819" s="7">
        <f>($W1819)*(U1819)</f>
      </c>
      <c r="Z1819" s="7">
        <f>SQRT(X1819^2+Y1819^2)</f>
      </c>
      <c r="AA1819" s="7">
        <f>$K1819+$X1819</f>
      </c>
      <c r="AB1819" s="7">
        <f>$L1819+$Y1819</f>
      </c>
      <c r="AC1819" s="7">
        <f>$K1819-$X1819</f>
      </c>
      <c r="AD1819" s="7">
        <f>$L1819-$Y1819</f>
      </c>
      <c r="AE1819" s="7">
        <f>AA1819/39.3701</f>
      </c>
      <c r="AF1819" s="7">
        <f>AB1819/39.3701</f>
      </c>
      <c r="AG1819" s="7">
        <f>AC1819/39.3701</f>
      </c>
      <c r="AH1819" s="7">
        <f>AD1819/39.3701</f>
      </c>
      <c r="AI1819" s="1"/>
      <c r="AJ1819" s="1"/>
      <c r="AK1819" s="1"/>
      <c r="AL1819" s="1"/>
      <c r="AM1819" s="2"/>
      <c r="AN1819" s="1"/>
      <c r="AO1819" s="1"/>
      <c r="AP1819" s="1"/>
      <c r="AQ1819" s="1"/>
      <c r="AR1819" s="1"/>
      <c r="AS1819" s="1"/>
      <c r="AT1819" s="1"/>
      <c r="AU1819" s="1"/>
      <c r="AV1819" s="1"/>
      <c r="AW1819" s="1"/>
      <c r="AX1819" s="1"/>
      <c r="AY1819" s="1"/>
      <c r="AZ1819" s="1"/>
      <c r="BA1819" s="1"/>
      <c r="BB1819" s="1"/>
      <c r="BC1819" s="1"/>
      <c r="BD1819" s="1"/>
      <c r="BE1819" s="1"/>
    </row>
    <row x14ac:dyDescent="0.25" r="1820" customHeight="1" ht="18.75">
      <c r="A1820" s="1"/>
      <c r="B1820" s="2"/>
      <c r="C1820" s="2"/>
      <c r="D1820" s="2"/>
      <c r="E1820" s="2"/>
      <c r="F1820" s="2"/>
      <c r="G1820" s="1"/>
      <c r="H1820" s="1"/>
      <c r="I1820" s="7">
        <v>1.817</v>
      </c>
      <c r="J1820" s="7">
        <f>IF((I1820-ROUNDDOWN(I1820,0))=0, 0, (I1820-ROUNDDOWN(I1820,0)))</f>
      </c>
      <c r="K1820" s="7">
        <f>INDIRECT("C$"&amp;2+MIN(2,ROUNDDOWN(I1820,0))*3)*(-$J1820^3+3*$J1820^2-3*$J1820+1)+INDIRECT("C$"&amp;3+MIN(2,ROUNDDOWN(I1820,0))*3)*(3*$J1820^3-6*$J1820^2+3*$J1820)+INDIRECT("C$"&amp;4+MIN(2,ROUNDDOWN(I1820,0))*3)*(-3*$J1820^3+3*$J1820^2)+INDIRECT("C$"&amp;5+MIN(2,ROUNDDOWN(I1820,0))*3)*$J1820^3</f>
      </c>
      <c r="L1820" s="7">
        <f>INDIRECT("D$"&amp;2+MIN(2,ROUNDDOWN(I1820,0))*3)*(-$J1820^3+3*$J1820^2-3*$J1820+1)+INDIRECT("D$"&amp;3+MIN(2,ROUNDDOWN(I1820,0))*3)*(3*$J1820^3-6*$J1820^2+3*$J1820)+INDIRECT("D$"&amp;4+MIN(2,ROUNDDOWN(I1820,0))*3)*(-3*$J1820^3+3*$J1820^2)+INDIRECT("D$"&amp;5+MIN(2,ROUNDDOWN(I1820,0))*3)*$J1820^3</f>
      </c>
      <c r="M1820" s="7">
        <f>SQRT(K1820^2+L1820^2)</f>
      </c>
      <c r="N1820" s="7">
        <f>(K1821-K1819)</f>
      </c>
      <c r="O1820" s="7">
        <f>+(L1821-L1819)</f>
      </c>
      <c r="P1820" s="7">
        <f>SQRT(O1820^2+N1820^2)</f>
      </c>
      <c r="Q1820" s="7">
        <f>N1820/$P1820</f>
      </c>
      <c r="R1820" s="7">
        <f>O1820/$P1820</f>
      </c>
      <c r="S1820" s="8">
        <f>Q1820^2+R1820^2</f>
      </c>
      <c r="T1820" s="7">
        <f>-R1820</f>
      </c>
      <c r="U1820" s="7">
        <f>Q1820</f>
      </c>
      <c r="V1820" s="7">
        <f>($C$14+($C$15-$C$14)/($D$15-$D$14)*(I1820-$D$14))/2</f>
      </c>
      <c r="W1820" s="7">
        <f>($B$22*I1820^4+$C$22*I1820^3+$D$22*I1820^2+$E$22*I1820+$F$22)/2</f>
      </c>
      <c r="X1820" s="7">
        <f>($W1820)*(T1820)</f>
      </c>
      <c r="Y1820" s="7">
        <f>($W1820)*(U1820)</f>
      </c>
      <c r="Z1820" s="7">
        <f>SQRT(X1820^2+Y1820^2)</f>
      </c>
      <c r="AA1820" s="7">
        <f>$K1820+$X1820</f>
      </c>
      <c r="AB1820" s="7">
        <f>$L1820+$Y1820</f>
      </c>
      <c r="AC1820" s="7">
        <f>$K1820-$X1820</f>
      </c>
      <c r="AD1820" s="7">
        <f>$L1820-$Y1820</f>
      </c>
      <c r="AE1820" s="7">
        <f>AA1820/39.3701</f>
      </c>
      <c r="AF1820" s="7">
        <f>AB1820/39.3701</f>
      </c>
      <c r="AG1820" s="7">
        <f>AC1820/39.3701</f>
      </c>
      <c r="AH1820" s="7">
        <f>AD1820/39.3701</f>
      </c>
      <c r="AI1820" s="1"/>
      <c r="AJ1820" s="1"/>
      <c r="AK1820" s="1"/>
      <c r="AL1820" s="1"/>
      <c r="AM1820" s="2"/>
      <c r="AN1820" s="1"/>
      <c r="AO1820" s="1"/>
      <c r="AP1820" s="1"/>
      <c r="AQ1820" s="1"/>
      <c r="AR1820" s="1"/>
      <c r="AS1820" s="1"/>
      <c r="AT1820" s="1"/>
      <c r="AU1820" s="1"/>
      <c r="AV1820" s="1"/>
      <c r="AW1820" s="1"/>
      <c r="AX1820" s="1"/>
      <c r="AY1820" s="1"/>
      <c r="AZ1820" s="1"/>
      <c r="BA1820" s="1"/>
      <c r="BB1820" s="1"/>
      <c r="BC1820" s="1"/>
      <c r="BD1820" s="1"/>
      <c r="BE1820" s="1"/>
    </row>
    <row x14ac:dyDescent="0.25" r="1821" customHeight="1" ht="18.75">
      <c r="A1821" s="1"/>
      <c r="B1821" s="2"/>
      <c r="C1821" s="2"/>
      <c r="D1821" s="2"/>
      <c r="E1821" s="2"/>
      <c r="F1821" s="2"/>
      <c r="G1821" s="1"/>
      <c r="H1821" s="1"/>
      <c r="I1821" s="7">
        <v>1.818</v>
      </c>
      <c r="J1821" s="7">
        <f>IF((I1821-ROUNDDOWN(I1821,0))=0, 0, (I1821-ROUNDDOWN(I1821,0)))</f>
      </c>
      <c r="K1821" s="7">
        <f>INDIRECT("C$"&amp;2+MIN(2,ROUNDDOWN(I1821,0))*3)*(-$J1821^3+3*$J1821^2-3*$J1821+1)+INDIRECT("C$"&amp;3+MIN(2,ROUNDDOWN(I1821,0))*3)*(3*$J1821^3-6*$J1821^2+3*$J1821)+INDIRECT("C$"&amp;4+MIN(2,ROUNDDOWN(I1821,0))*3)*(-3*$J1821^3+3*$J1821^2)+INDIRECT("C$"&amp;5+MIN(2,ROUNDDOWN(I1821,0))*3)*$J1821^3</f>
      </c>
      <c r="L1821" s="7">
        <f>INDIRECT("D$"&amp;2+MIN(2,ROUNDDOWN(I1821,0))*3)*(-$J1821^3+3*$J1821^2-3*$J1821+1)+INDIRECT("D$"&amp;3+MIN(2,ROUNDDOWN(I1821,0))*3)*(3*$J1821^3-6*$J1821^2+3*$J1821)+INDIRECT("D$"&amp;4+MIN(2,ROUNDDOWN(I1821,0))*3)*(-3*$J1821^3+3*$J1821^2)+INDIRECT("D$"&amp;5+MIN(2,ROUNDDOWN(I1821,0))*3)*$J1821^3</f>
      </c>
      <c r="M1821" s="7">
        <f>SQRT(K1821^2+L1821^2)</f>
      </c>
      <c r="N1821" s="7">
        <f>(K1822-K1820)</f>
      </c>
      <c r="O1821" s="7">
        <f>+(L1822-L1820)</f>
      </c>
      <c r="P1821" s="7">
        <f>SQRT(O1821^2+N1821^2)</f>
      </c>
      <c r="Q1821" s="7">
        <f>N1821/$P1821</f>
      </c>
      <c r="R1821" s="7">
        <f>O1821/$P1821</f>
      </c>
      <c r="S1821" s="8">
        <f>Q1821^2+R1821^2</f>
      </c>
      <c r="T1821" s="7">
        <f>-R1821</f>
      </c>
      <c r="U1821" s="7">
        <f>Q1821</f>
      </c>
      <c r="V1821" s="7">
        <f>($C$14+($C$15-$C$14)/($D$15-$D$14)*(I1821-$D$14))/2</f>
      </c>
      <c r="W1821" s="7">
        <f>($B$22*I1821^4+$C$22*I1821^3+$D$22*I1821^2+$E$22*I1821+$F$22)/2</f>
      </c>
      <c r="X1821" s="7">
        <f>($W1821)*(T1821)</f>
      </c>
      <c r="Y1821" s="7">
        <f>($W1821)*(U1821)</f>
      </c>
      <c r="Z1821" s="7">
        <f>SQRT(X1821^2+Y1821^2)</f>
      </c>
      <c r="AA1821" s="7">
        <f>$K1821+$X1821</f>
      </c>
      <c r="AB1821" s="7">
        <f>$L1821+$Y1821</f>
      </c>
      <c r="AC1821" s="7">
        <f>$K1821-$X1821</f>
      </c>
      <c r="AD1821" s="7">
        <f>$L1821-$Y1821</f>
      </c>
      <c r="AE1821" s="7">
        <f>AA1821/39.3701</f>
      </c>
      <c r="AF1821" s="7">
        <f>AB1821/39.3701</f>
      </c>
      <c r="AG1821" s="7">
        <f>AC1821/39.3701</f>
      </c>
      <c r="AH1821" s="7">
        <f>AD1821/39.3701</f>
      </c>
      <c r="AI1821" s="1"/>
      <c r="AJ1821" s="1"/>
      <c r="AK1821" s="1"/>
      <c r="AL1821" s="1"/>
      <c r="AM1821" s="2"/>
      <c r="AN1821" s="1"/>
      <c r="AO1821" s="1"/>
      <c r="AP1821" s="1"/>
      <c r="AQ1821" s="1"/>
      <c r="AR1821" s="1"/>
      <c r="AS1821" s="1"/>
      <c r="AT1821" s="1"/>
      <c r="AU1821" s="1"/>
      <c r="AV1821" s="1"/>
      <c r="AW1821" s="1"/>
      <c r="AX1821" s="1"/>
      <c r="AY1821" s="1"/>
      <c r="AZ1821" s="1"/>
      <c r="BA1821" s="1"/>
      <c r="BB1821" s="1"/>
      <c r="BC1821" s="1"/>
      <c r="BD1821" s="1"/>
      <c r="BE1821" s="1"/>
    </row>
    <row x14ac:dyDescent="0.25" r="1822" customHeight="1" ht="18.75">
      <c r="A1822" s="1"/>
      <c r="B1822" s="2"/>
      <c r="C1822" s="2"/>
      <c r="D1822" s="2"/>
      <c r="E1822" s="2"/>
      <c r="F1822" s="2"/>
      <c r="G1822" s="1"/>
      <c r="H1822" s="1"/>
      <c r="I1822" s="7">
        <v>1.819</v>
      </c>
      <c r="J1822" s="7">
        <f>IF((I1822-ROUNDDOWN(I1822,0))=0, 0, (I1822-ROUNDDOWN(I1822,0)))</f>
      </c>
      <c r="K1822" s="7">
        <f>INDIRECT("C$"&amp;2+MIN(2,ROUNDDOWN(I1822,0))*3)*(-$J1822^3+3*$J1822^2-3*$J1822+1)+INDIRECT("C$"&amp;3+MIN(2,ROUNDDOWN(I1822,0))*3)*(3*$J1822^3-6*$J1822^2+3*$J1822)+INDIRECT("C$"&amp;4+MIN(2,ROUNDDOWN(I1822,0))*3)*(-3*$J1822^3+3*$J1822^2)+INDIRECT("C$"&amp;5+MIN(2,ROUNDDOWN(I1822,0))*3)*$J1822^3</f>
      </c>
      <c r="L1822" s="7">
        <f>INDIRECT("D$"&amp;2+MIN(2,ROUNDDOWN(I1822,0))*3)*(-$J1822^3+3*$J1822^2-3*$J1822+1)+INDIRECT("D$"&amp;3+MIN(2,ROUNDDOWN(I1822,0))*3)*(3*$J1822^3-6*$J1822^2+3*$J1822)+INDIRECT("D$"&amp;4+MIN(2,ROUNDDOWN(I1822,0))*3)*(-3*$J1822^3+3*$J1822^2)+INDIRECT("D$"&amp;5+MIN(2,ROUNDDOWN(I1822,0))*3)*$J1822^3</f>
      </c>
      <c r="M1822" s="7">
        <f>SQRT(K1822^2+L1822^2)</f>
      </c>
      <c r="N1822" s="7">
        <f>(K1823-K1821)</f>
      </c>
      <c r="O1822" s="7">
        <f>+(L1823-L1821)</f>
      </c>
      <c r="P1822" s="7">
        <f>SQRT(O1822^2+N1822^2)</f>
      </c>
      <c r="Q1822" s="7">
        <f>N1822/$P1822</f>
      </c>
      <c r="R1822" s="7">
        <f>O1822/$P1822</f>
      </c>
      <c r="S1822" s="7">
        <f>Q1822^2+R1822^2</f>
      </c>
      <c r="T1822" s="7">
        <f>-R1822</f>
      </c>
      <c r="U1822" s="7">
        <f>Q1822</f>
      </c>
      <c r="V1822" s="7">
        <f>($C$14+($C$15-$C$14)/($D$15-$D$14)*(I1822-$D$14))/2</f>
      </c>
      <c r="W1822" s="7">
        <f>($B$22*I1822^4+$C$22*I1822^3+$D$22*I1822^2+$E$22*I1822+$F$22)/2</f>
      </c>
      <c r="X1822" s="7">
        <f>($W1822)*(T1822)</f>
      </c>
      <c r="Y1822" s="7">
        <f>($W1822)*(U1822)</f>
      </c>
      <c r="Z1822" s="7">
        <f>SQRT(X1822^2+Y1822^2)</f>
      </c>
      <c r="AA1822" s="7">
        <f>$K1822+$X1822</f>
      </c>
      <c r="AB1822" s="7">
        <f>$L1822+$Y1822</f>
      </c>
      <c r="AC1822" s="7">
        <f>$K1822-$X1822</f>
      </c>
      <c r="AD1822" s="7">
        <f>$L1822-$Y1822</f>
      </c>
      <c r="AE1822" s="7">
        <f>AA1822/39.3701</f>
      </c>
      <c r="AF1822" s="7">
        <f>AB1822/39.3701</f>
      </c>
      <c r="AG1822" s="7">
        <f>AC1822/39.3701</f>
      </c>
      <c r="AH1822" s="7">
        <f>AD1822/39.3701</f>
      </c>
      <c r="AI1822" s="1"/>
      <c r="AJ1822" s="1"/>
      <c r="AK1822" s="1"/>
      <c r="AL1822" s="1"/>
      <c r="AM1822" s="2"/>
      <c r="AN1822" s="1"/>
      <c r="AO1822" s="1"/>
      <c r="AP1822" s="1"/>
      <c r="AQ1822" s="1"/>
      <c r="AR1822" s="1"/>
      <c r="AS1822" s="1"/>
      <c r="AT1822" s="1"/>
      <c r="AU1822" s="1"/>
      <c r="AV1822" s="1"/>
      <c r="AW1822" s="1"/>
      <c r="AX1822" s="1"/>
      <c r="AY1822" s="1"/>
      <c r="AZ1822" s="1"/>
      <c r="BA1822" s="1"/>
      <c r="BB1822" s="1"/>
      <c r="BC1822" s="1"/>
      <c r="BD1822" s="1"/>
      <c r="BE1822" s="1"/>
    </row>
    <row x14ac:dyDescent="0.25" r="1823" customHeight="1" ht="18.75">
      <c r="A1823" s="1"/>
      <c r="B1823" s="2"/>
      <c r="C1823" s="2"/>
      <c r="D1823" s="2"/>
      <c r="E1823" s="2"/>
      <c r="F1823" s="2"/>
      <c r="G1823" s="1"/>
      <c r="H1823" s="1"/>
      <c r="I1823" s="7">
        <v>1.82</v>
      </c>
      <c r="J1823" s="7">
        <f>IF((I1823-ROUNDDOWN(I1823,0))=0, 0, (I1823-ROUNDDOWN(I1823,0)))</f>
      </c>
      <c r="K1823" s="7">
        <f>INDIRECT("C$"&amp;2+MIN(2,ROUNDDOWN(I1823,0))*3)*(-$J1823^3+3*$J1823^2-3*$J1823+1)+INDIRECT("C$"&amp;3+MIN(2,ROUNDDOWN(I1823,0))*3)*(3*$J1823^3-6*$J1823^2+3*$J1823)+INDIRECT("C$"&amp;4+MIN(2,ROUNDDOWN(I1823,0))*3)*(-3*$J1823^3+3*$J1823^2)+INDIRECT("C$"&amp;5+MIN(2,ROUNDDOWN(I1823,0))*3)*$J1823^3</f>
      </c>
      <c r="L1823" s="7">
        <f>INDIRECT("D$"&amp;2+MIN(2,ROUNDDOWN(I1823,0))*3)*(-$J1823^3+3*$J1823^2-3*$J1823+1)+INDIRECT("D$"&amp;3+MIN(2,ROUNDDOWN(I1823,0))*3)*(3*$J1823^3-6*$J1823^2+3*$J1823)+INDIRECT("D$"&amp;4+MIN(2,ROUNDDOWN(I1823,0))*3)*(-3*$J1823^3+3*$J1823^2)+INDIRECT("D$"&amp;5+MIN(2,ROUNDDOWN(I1823,0))*3)*$J1823^3</f>
      </c>
      <c r="M1823" s="7">
        <f>SQRT(K1823^2+L1823^2)</f>
      </c>
      <c r="N1823" s="7">
        <f>(K1824-K1822)</f>
      </c>
      <c r="O1823" s="7">
        <f>+(L1824-L1822)</f>
      </c>
      <c r="P1823" s="7">
        <f>SQRT(O1823^2+N1823^2)</f>
      </c>
      <c r="Q1823" s="7">
        <f>N1823/$P1823</f>
      </c>
      <c r="R1823" s="7">
        <f>O1823/$P1823</f>
      </c>
      <c r="S1823" s="8">
        <f>Q1823^2+R1823^2</f>
      </c>
      <c r="T1823" s="7">
        <f>-R1823</f>
      </c>
      <c r="U1823" s="7">
        <f>Q1823</f>
      </c>
      <c r="V1823" s="7">
        <f>($C$14+($C$15-$C$14)/($D$15-$D$14)*(I1823-$D$14))/2</f>
      </c>
      <c r="W1823" s="7">
        <f>($B$22*I1823^4+$C$22*I1823^3+$D$22*I1823^2+$E$22*I1823+$F$22)/2</f>
      </c>
      <c r="X1823" s="7">
        <f>($W1823)*(T1823)</f>
      </c>
      <c r="Y1823" s="7">
        <f>($W1823)*(U1823)</f>
      </c>
      <c r="Z1823" s="7">
        <f>SQRT(X1823^2+Y1823^2)</f>
      </c>
      <c r="AA1823" s="7">
        <f>$K1823+$X1823</f>
      </c>
      <c r="AB1823" s="7">
        <f>$L1823+$Y1823</f>
      </c>
      <c r="AC1823" s="7">
        <f>$K1823-$X1823</f>
      </c>
      <c r="AD1823" s="7">
        <f>$L1823-$Y1823</f>
      </c>
      <c r="AE1823" s="7">
        <f>AA1823/39.3701</f>
      </c>
      <c r="AF1823" s="7">
        <f>AB1823/39.3701</f>
      </c>
      <c r="AG1823" s="7">
        <f>AC1823/39.3701</f>
      </c>
      <c r="AH1823" s="7">
        <f>AD1823/39.3701</f>
      </c>
      <c r="AI1823" s="1"/>
      <c r="AJ1823" s="1"/>
      <c r="AK1823" s="1"/>
      <c r="AL1823" s="1"/>
      <c r="AM1823" s="2"/>
      <c r="AN1823" s="1"/>
      <c r="AO1823" s="1"/>
      <c r="AP1823" s="1"/>
      <c r="AQ1823" s="1"/>
      <c r="AR1823" s="1"/>
      <c r="AS1823" s="1"/>
      <c r="AT1823" s="1"/>
      <c r="AU1823" s="1"/>
      <c r="AV1823" s="1"/>
      <c r="AW1823" s="1"/>
      <c r="AX1823" s="1"/>
      <c r="AY1823" s="1"/>
      <c r="AZ1823" s="1"/>
      <c r="BA1823" s="1"/>
      <c r="BB1823" s="1"/>
      <c r="BC1823" s="1"/>
      <c r="BD1823" s="1"/>
      <c r="BE1823" s="1"/>
    </row>
    <row x14ac:dyDescent="0.25" r="1824" customHeight="1" ht="18.75">
      <c r="A1824" s="1"/>
      <c r="B1824" s="2"/>
      <c r="C1824" s="2"/>
      <c r="D1824" s="2"/>
      <c r="E1824" s="2"/>
      <c r="F1824" s="2"/>
      <c r="G1824" s="1"/>
      <c r="H1824" s="1"/>
      <c r="I1824" s="7">
        <v>1.821</v>
      </c>
      <c r="J1824" s="7">
        <f>IF((I1824-ROUNDDOWN(I1824,0))=0, 0, (I1824-ROUNDDOWN(I1824,0)))</f>
      </c>
      <c r="K1824" s="7">
        <f>INDIRECT("C$"&amp;2+MIN(2,ROUNDDOWN(I1824,0))*3)*(-$J1824^3+3*$J1824^2-3*$J1824+1)+INDIRECT("C$"&amp;3+MIN(2,ROUNDDOWN(I1824,0))*3)*(3*$J1824^3-6*$J1824^2+3*$J1824)+INDIRECT("C$"&amp;4+MIN(2,ROUNDDOWN(I1824,0))*3)*(-3*$J1824^3+3*$J1824^2)+INDIRECT("C$"&amp;5+MIN(2,ROUNDDOWN(I1824,0))*3)*$J1824^3</f>
      </c>
      <c r="L1824" s="7">
        <f>INDIRECT("D$"&amp;2+MIN(2,ROUNDDOWN(I1824,0))*3)*(-$J1824^3+3*$J1824^2-3*$J1824+1)+INDIRECT("D$"&amp;3+MIN(2,ROUNDDOWN(I1824,0))*3)*(3*$J1824^3-6*$J1824^2+3*$J1824)+INDIRECT("D$"&amp;4+MIN(2,ROUNDDOWN(I1824,0))*3)*(-3*$J1824^3+3*$J1824^2)+INDIRECT("D$"&amp;5+MIN(2,ROUNDDOWN(I1824,0))*3)*$J1824^3</f>
      </c>
      <c r="M1824" s="7">
        <f>SQRT(K1824^2+L1824^2)</f>
      </c>
      <c r="N1824" s="7">
        <f>(K1825-K1823)</f>
      </c>
      <c r="O1824" s="7">
        <f>+(L1825-L1823)</f>
      </c>
      <c r="P1824" s="7">
        <f>SQRT(O1824^2+N1824^2)</f>
      </c>
      <c r="Q1824" s="7">
        <f>N1824/$P1824</f>
      </c>
      <c r="R1824" s="7">
        <f>O1824/$P1824</f>
      </c>
      <c r="S1824" s="7">
        <f>Q1824^2+R1824^2</f>
      </c>
      <c r="T1824" s="7">
        <f>-R1824</f>
      </c>
      <c r="U1824" s="7">
        <f>Q1824</f>
      </c>
      <c r="V1824" s="7">
        <f>($C$14+($C$15-$C$14)/($D$15-$D$14)*(I1824-$D$14))/2</f>
      </c>
      <c r="W1824" s="7">
        <f>($B$22*I1824^4+$C$22*I1824^3+$D$22*I1824^2+$E$22*I1824+$F$22)/2</f>
      </c>
      <c r="X1824" s="7">
        <f>($W1824)*(T1824)</f>
      </c>
      <c r="Y1824" s="7">
        <f>($W1824)*(U1824)</f>
      </c>
      <c r="Z1824" s="7">
        <f>SQRT(X1824^2+Y1824^2)</f>
      </c>
      <c r="AA1824" s="7">
        <f>$K1824+$X1824</f>
      </c>
      <c r="AB1824" s="7">
        <f>$L1824+$Y1824</f>
      </c>
      <c r="AC1824" s="7">
        <f>$K1824-$X1824</f>
      </c>
      <c r="AD1824" s="7">
        <f>$L1824-$Y1824</f>
      </c>
      <c r="AE1824" s="7">
        <f>AA1824/39.3701</f>
      </c>
      <c r="AF1824" s="7">
        <f>AB1824/39.3701</f>
      </c>
      <c r="AG1824" s="7">
        <f>AC1824/39.3701</f>
      </c>
      <c r="AH1824" s="7">
        <f>AD1824/39.3701</f>
      </c>
      <c r="AI1824" s="1"/>
      <c r="AJ1824" s="1"/>
      <c r="AK1824" s="1"/>
      <c r="AL1824" s="1"/>
      <c r="AM1824" s="2"/>
      <c r="AN1824" s="1"/>
      <c r="AO1824" s="1"/>
      <c r="AP1824" s="1"/>
      <c r="AQ1824" s="1"/>
      <c r="AR1824" s="1"/>
      <c r="AS1824" s="1"/>
      <c r="AT1824" s="1"/>
      <c r="AU1824" s="1"/>
      <c r="AV1824" s="1"/>
      <c r="AW1824" s="1"/>
      <c r="AX1824" s="1"/>
      <c r="AY1824" s="1"/>
      <c r="AZ1824" s="1"/>
      <c r="BA1824" s="1"/>
      <c r="BB1824" s="1"/>
      <c r="BC1824" s="1"/>
      <c r="BD1824" s="1"/>
      <c r="BE1824" s="1"/>
    </row>
    <row x14ac:dyDescent="0.25" r="1825" customHeight="1" ht="18.75">
      <c r="A1825" s="1"/>
      <c r="B1825" s="2"/>
      <c r="C1825" s="2"/>
      <c r="D1825" s="2"/>
      <c r="E1825" s="2"/>
      <c r="F1825" s="2"/>
      <c r="G1825" s="1"/>
      <c r="H1825" s="1"/>
      <c r="I1825" s="7">
        <v>1.822</v>
      </c>
      <c r="J1825" s="7">
        <f>IF((I1825-ROUNDDOWN(I1825,0))=0, 0, (I1825-ROUNDDOWN(I1825,0)))</f>
      </c>
      <c r="K1825" s="7">
        <f>INDIRECT("C$"&amp;2+MIN(2,ROUNDDOWN(I1825,0))*3)*(-$J1825^3+3*$J1825^2-3*$J1825+1)+INDIRECT("C$"&amp;3+MIN(2,ROUNDDOWN(I1825,0))*3)*(3*$J1825^3-6*$J1825^2+3*$J1825)+INDIRECT("C$"&amp;4+MIN(2,ROUNDDOWN(I1825,0))*3)*(-3*$J1825^3+3*$J1825^2)+INDIRECT("C$"&amp;5+MIN(2,ROUNDDOWN(I1825,0))*3)*$J1825^3</f>
      </c>
      <c r="L1825" s="7">
        <f>INDIRECT("D$"&amp;2+MIN(2,ROUNDDOWN(I1825,0))*3)*(-$J1825^3+3*$J1825^2-3*$J1825+1)+INDIRECT("D$"&amp;3+MIN(2,ROUNDDOWN(I1825,0))*3)*(3*$J1825^3-6*$J1825^2+3*$J1825)+INDIRECT("D$"&amp;4+MIN(2,ROUNDDOWN(I1825,0))*3)*(-3*$J1825^3+3*$J1825^2)+INDIRECT("D$"&amp;5+MIN(2,ROUNDDOWN(I1825,0))*3)*$J1825^3</f>
      </c>
      <c r="M1825" s="7">
        <f>SQRT(K1825^2+L1825^2)</f>
      </c>
      <c r="N1825" s="7">
        <f>(K1826-K1824)</f>
      </c>
      <c r="O1825" s="7">
        <f>+(L1826-L1824)</f>
      </c>
      <c r="P1825" s="7">
        <f>SQRT(O1825^2+N1825^2)</f>
      </c>
      <c r="Q1825" s="7">
        <f>N1825/$P1825</f>
      </c>
      <c r="R1825" s="7">
        <f>O1825/$P1825</f>
      </c>
      <c r="S1825" s="7">
        <f>Q1825^2+R1825^2</f>
      </c>
      <c r="T1825" s="7">
        <f>-R1825</f>
      </c>
      <c r="U1825" s="7">
        <f>Q1825</f>
      </c>
      <c r="V1825" s="7">
        <f>($C$14+($C$15-$C$14)/($D$15-$D$14)*(I1825-$D$14))/2</f>
      </c>
      <c r="W1825" s="7">
        <f>($B$22*I1825^4+$C$22*I1825^3+$D$22*I1825^2+$E$22*I1825+$F$22)/2</f>
      </c>
      <c r="X1825" s="7">
        <f>($W1825)*(T1825)</f>
      </c>
      <c r="Y1825" s="7">
        <f>($W1825)*(U1825)</f>
      </c>
      <c r="Z1825" s="7">
        <f>SQRT(X1825^2+Y1825^2)</f>
      </c>
      <c r="AA1825" s="7">
        <f>$K1825+$X1825</f>
      </c>
      <c r="AB1825" s="7">
        <f>$L1825+$Y1825</f>
      </c>
      <c r="AC1825" s="7">
        <f>$K1825-$X1825</f>
      </c>
      <c r="AD1825" s="7">
        <f>$L1825-$Y1825</f>
      </c>
      <c r="AE1825" s="7">
        <f>AA1825/39.3701</f>
      </c>
      <c r="AF1825" s="7">
        <f>AB1825/39.3701</f>
      </c>
      <c r="AG1825" s="7">
        <f>AC1825/39.3701</f>
      </c>
      <c r="AH1825" s="7">
        <f>AD1825/39.3701</f>
      </c>
      <c r="AI1825" s="1"/>
      <c r="AJ1825" s="1"/>
      <c r="AK1825" s="1"/>
      <c r="AL1825" s="1"/>
      <c r="AM1825" s="2"/>
      <c r="AN1825" s="1"/>
      <c r="AO1825" s="1"/>
      <c r="AP1825" s="1"/>
      <c r="AQ1825" s="1"/>
      <c r="AR1825" s="1"/>
      <c r="AS1825" s="1"/>
      <c r="AT1825" s="1"/>
      <c r="AU1825" s="1"/>
      <c r="AV1825" s="1"/>
      <c r="AW1825" s="1"/>
      <c r="AX1825" s="1"/>
      <c r="AY1825" s="1"/>
      <c r="AZ1825" s="1"/>
      <c r="BA1825" s="1"/>
      <c r="BB1825" s="1"/>
      <c r="BC1825" s="1"/>
      <c r="BD1825" s="1"/>
      <c r="BE1825" s="1"/>
    </row>
    <row x14ac:dyDescent="0.25" r="1826" customHeight="1" ht="18.75">
      <c r="A1826" s="1"/>
      <c r="B1826" s="2"/>
      <c r="C1826" s="2"/>
      <c r="D1826" s="2"/>
      <c r="E1826" s="2"/>
      <c r="F1826" s="2"/>
      <c r="G1826" s="1"/>
      <c r="H1826" s="1"/>
      <c r="I1826" s="7">
        <v>1.823</v>
      </c>
      <c r="J1826" s="7">
        <f>IF((I1826-ROUNDDOWN(I1826,0))=0, 0, (I1826-ROUNDDOWN(I1826,0)))</f>
      </c>
      <c r="K1826" s="7">
        <f>INDIRECT("C$"&amp;2+MIN(2,ROUNDDOWN(I1826,0))*3)*(-$J1826^3+3*$J1826^2-3*$J1826+1)+INDIRECT("C$"&amp;3+MIN(2,ROUNDDOWN(I1826,0))*3)*(3*$J1826^3-6*$J1826^2+3*$J1826)+INDIRECT("C$"&amp;4+MIN(2,ROUNDDOWN(I1826,0))*3)*(-3*$J1826^3+3*$J1826^2)+INDIRECT("C$"&amp;5+MIN(2,ROUNDDOWN(I1826,0))*3)*$J1826^3</f>
      </c>
      <c r="L1826" s="7">
        <f>INDIRECT("D$"&amp;2+MIN(2,ROUNDDOWN(I1826,0))*3)*(-$J1826^3+3*$J1826^2-3*$J1826+1)+INDIRECT("D$"&amp;3+MIN(2,ROUNDDOWN(I1826,0))*3)*(3*$J1826^3-6*$J1826^2+3*$J1826)+INDIRECT("D$"&amp;4+MIN(2,ROUNDDOWN(I1826,0))*3)*(-3*$J1826^3+3*$J1826^2)+INDIRECT("D$"&amp;5+MIN(2,ROUNDDOWN(I1826,0))*3)*$J1826^3</f>
      </c>
      <c r="M1826" s="7">
        <f>SQRT(K1826^2+L1826^2)</f>
      </c>
      <c r="N1826" s="7">
        <f>(K1827-K1825)</f>
      </c>
      <c r="O1826" s="7">
        <f>+(L1827-L1825)</f>
      </c>
      <c r="P1826" s="7">
        <f>SQRT(O1826^2+N1826^2)</f>
      </c>
      <c r="Q1826" s="7">
        <f>N1826/$P1826</f>
      </c>
      <c r="R1826" s="7">
        <f>O1826/$P1826</f>
      </c>
      <c r="S1826" s="8">
        <f>Q1826^2+R1826^2</f>
      </c>
      <c r="T1826" s="7">
        <f>-R1826</f>
      </c>
      <c r="U1826" s="7">
        <f>Q1826</f>
      </c>
      <c r="V1826" s="7">
        <f>($C$14+($C$15-$C$14)/($D$15-$D$14)*(I1826-$D$14))/2</f>
      </c>
      <c r="W1826" s="7">
        <f>($B$22*I1826^4+$C$22*I1826^3+$D$22*I1826^2+$E$22*I1826+$F$22)/2</f>
      </c>
      <c r="X1826" s="7">
        <f>($W1826)*(T1826)</f>
      </c>
      <c r="Y1826" s="7">
        <f>($W1826)*(U1826)</f>
      </c>
      <c r="Z1826" s="7">
        <f>SQRT(X1826^2+Y1826^2)</f>
      </c>
      <c r="AA1826" s="7">
        <f>$K1826+$X1826</f>
      </c>
      <c r="AB1826" s="7">
        <f>$L1826+$Y1826</f>
      </c>
      <c r="AC1826" s="7">
        <f>$K1826-$X1826</f>
      </c>
      <c r="AD1826" s="7">
        <f>$L1826-$Y1826</f>
      </c>
      <c r="AE1826" s="7">
        <f>AA1826/39.3701</f>
      </c>
      <c r="AF1826" s="7">
        <f>AB1826/39.3701</f>
      </c>
      <c r="AG1826" s="7">
        <f>AC1826/39.3701</f>
      </c>
      <c r="AH1826" s="7">
        <f>AD1826/39.3701</f>
      </c>
      <c r="AI1826" s="1"/>
      <c r="AJ1826" s="1"/>
      <c r="AK1826" s="1"/>
      <c r="AL1826" s="1"/>
      <c r="AM1826" s="2"/>
      <c r="AN1826" s="1"/>
      <c r="AO1826" s="1"/>
      <c r="AP1826" s="1"/>
      <c r="AQ1826" s="1"/>
      <c r="AR1826" s="1"/>
      <c r="AS1826" s="1"/>
      <c r="AT1826" s="1"/>
      <c r="AU1826" s="1"/>
      <c r="AV1826" s="1"/>
      <c r="AW1826" s="1"/>
      <c r="AX1826" s="1"/>
      <c r="AY1826" s="1"/>
      <c r="AZ1826" s="1"/>
      <c r="BA1826" s="1"/>
      <c r="BB1826" s="1"/>
      <c r="BC1826" s="1"/>
      <c r="BD1826" s="1"/>
      <c r="BE1826" s="1"/>
    </row>
    <row x14ac:dyDescent="0.25" r="1827" customHeight="1" ht="18.75">
      <c r="A1827" s="1"/>
      <c r="B1827" s="2"/>
      <c r="C1827" s="2"/>
      <c r="D1827" s="2"/>
      <c r="E1827" s="2"/>
      <c r="F1827" s="2"/>
      <c r="G1827" s="1"/>
      <c r="H1827" s="1"/>
      <c r="I1827" s="7">
        <v>1.824</v>
      </c>
      <c r="J1827" s="7">
        <f>IF((I1827-ROUNDDOWN(I1827,0))=0, 0, (I1827-ROUNDDOWN(I1827,0)))</f>
      </c>
      <c r="K1827" s="7">
        <f>INDIRECT("C$"&amp;2+MIN(2,ROUNDDOWN(I1827,0))*3)*(-$J1827^3+3*$J1827^2-3*$J1827+1)+INDIRECT("C$"&amp;3+MIN(2,ROUNDDOWN(I1827,0))*3)*(3*$J1827^3-6*$J1827^2+3*$J1827)+INDIRECT("C$"&amp;4+MIN(2,ROUNDDOWN(I1827,0))*3)*(-3*$J1827^3+3*$J1827^2)+INDIRECT("C$"&amp;5+MIN(2,ROUNDDOWN(I1827,0))*3)*$J1827^3</f>
      </c>
      <c r="L1827" s="7">
        <f>INDIRECT("D$"&amp;2+MIN(2,ROUNDDOWN(I1827,0))*3)*(-$J1827^3+3*$J1827^2-3*$J1827+1)+INDIRECT("D$"&amp;3+MIN(2,ROUNDDOWN(I1827,0))*3)*(3*$J1827^3-6*$J1827^2+3*$J1827)+INDIRECT("D$"&amp;4+MIN(2,ROUNDDOWN(I1827,0))*3)*(-3*$J1827^3+3*$J1827^2)+INDIRECT("D$"&amp;5+MIN(2,ROUNDDOWN(I1827,0))*3)*$J1827^3</f>
      </c>
      <c r="M1827" s="7">
        <f>SQRT(K1827^2+L1827^2)</f>
      </c>
      <c r="N1827" s="7">
        <f>(K1828-K1826)</f>
      </c>
      <c r="O1827" s="7">
        <f>+(L1828-L1826)</f>
      </c>
      <c r="P1827" s="7">
        <f>SQRT(O1827^2+N1827^2)</f>
      </c>
      <c r="Q1827" s="7">
        <f>N1827/$P1827</f>
      </c>
      <c r="R1827" s="7">
        <f>O1827/$P1827</f>
      </c>
      <c r="S1827" s="7">
        <f>Q1827^2+R1827^2</f>
      </c>
      <c r="T1827" s="7">
        <f>-R1827</f>
      </c>
      <c r="U1827" s="7">
        <f>Q1827</f>
      </c>
      <c r="V1827" s="7">
        <f>($C$14+($C$15-$C$14)/($D$15-$D$14)*(I1827-$D$14))/2</f>
      </c>
      <c r="W1827" s="7">
        <f>($B$22*I1827^4+$C$22*I1827^3+$D$22*I1827^2+$E$22*I1827+$F$22)/2</f>
      </c>
      <c r="X1827" s="7">
        <f>($W1827)*(T1827)</f>
      </c>
      <c r="Y1827" s="7">
        <f>($W1827)*(U1827)</f>
      </c>
      <c r="Z1827" s="7">
        <f>SQRT(X1827^2+Y1827^2)</f>
      </c>
      <c r="AA1827" s="7">
        <f>$K1827+$X1827</f>
      </c>
      <c r="AB1827" s="7">
        <f>$L1827+$Y1827</f>
      </c>
      <c r="AC1827" s="7">
        <f>$K1827-$X1827</f>
      </c>
      <c r="AD1827" s="7">
        <f>$L1827-$Y1827</f>
      </c>
      <c r="AE1827" s="7">
        <f>AA1827/39.3701</f>
      </c>
      <c r="AF1827" s="7">
        <f>AB1827/39.3701</f>
      </c>
      <c r="AG1827" s="7">
        <f>AC1827/39.3701</f>
      </c>
      <c r="AH1827" s="7">
        <f>AD1827/39.3701</f>
      </c>
      <c r="AI1827" s="1"/>
      <c r="AJ1827" s="1"/>
      <c r="AK1827" s="1"/>
      <c r="AL1827" s="1"/>
      <c r="AM1827" s="2"/>
      <c r="AN1827" s="1"/>
      <c r="AO1827" s="1"/>
      <c r="AP1827" s="1"/>
      <c r="AQ1827" s="1"/>
      <c r="AR1827" s="1"/>
      <c r="AS1827" s="1"/>
      <c r="AT1827" s="1"/>
      <c r="AU1827" s="1"/>
      <c r="AV1827" s="1"/>
      <c r="AW1827" s="1"/>
      <c r="AX1827" s="1"/>
      <c r="AY1827" s="1"/>
      <c r="AZ1827" s="1"/>
      <c r="BA1827" s="1"/>
      <c r="BB1827" s="1"/>
      <c r="BC1827" s="1"/>
      <c r="BD1827" s="1"/>
      <c r="BE1827" s="1"/>
    </row>
    <row x14ac:dyDescent="0.25" r="1828" customHeight="1" ht="18.75">
      <c r="A1828" s="1"/>
      <c r="B1828" s="2"/>
      <c r="C1828" s="2"/>
      <c r="D1828" s="2"/>
      <c r="E1828" s="2"/>
      <c r="F1828" s="2"/>
      <c r="G1828" s="1"/>
      <c r="H1828" s="1"/>
      <c r="I1828" s="7">
        <v>1.825</v>
      </c>
      <c r="J1828" s="7">
        <f>IF((I1828-ROUNDDOWN(I1828,0))=0, 0, (I1828-ROUNDDOWN(I1828,0)))</f>
      </c>
      <c r="K1828" s="7">
        <f>INDIRECT("C$"&amp;2+MIN(2,ROUNDDOWN(I1828,0))*3)*(-$J1828^3+3*$J1828^2-3*$J1828+1)+INDIRECT("C$"&amp;3+MIN(2,ROUNDDOWN(I1828,0))*3)*(3*$J1828^3-6*$J1828^2+3*$J1828)+INDIRECT("C$"&amp;4+MIN(2,ROUNDDOWN(I1828,0))*3)*(-3*$J1828^3+3*$J1828^2)+INDIRECT("C$"&amp;5+MIN(2,ROUNDDOWN(I1828,0))*3)*$J1828^3</f>
      </c>
      <c r="L1828" s="7">
        <f>INDIRECT("D$"&amp;2+MIN(2,ROUNDDOWN(I1828,0))*3)*(-$J1828^3+3*$J1828^2-3*$J1828+1)+INDIRECT("D$"&amp;3+MIN(2,ROUNDDOWN(I1828,0))*3)*(3*$J1828^3-6*$J1828^2+3*$J1828)+INDIRECT("D$"&amp;4+MIN(2,ROUNDDOWN(I1828,0))*3)*(-3*$J1828^3+3*$J1828^2)+INDIRECT("D$"&amp;5+MIN(2,ROUNDDOWN(I1828,0))*3)*$J1828^3</f>
      </c>
      <c r="M1828" s="7">
        <f>SQRT(K1828^2+L1828^2)</f>
      </c>
      <c r="N1828" s="7">
        <f>(K1829-K1827)</f>
      </c>
      <c r="O1828" s="7">
        <f>+(L1829-L1827)</f>
      </c>
      <c r="P1828" s="7">
        <f>SQRT(O1828^2+N1828^2)</f>
      </c>
      <c r="Q1828" s="7">
        <f>N1828/$P1828</f>
      </c>
      <c r="R1828" s="7">
        <f>O1828/$P1828</f>
      </c>
      <c r="S1828" s="8">
        <f>Q1828^2+R1828^2</f>
      </c>
      <c r="T1828" s="7">
        <f>-R1828</f>
      </c>
      <c r="U1828" s="7">
        <f>Q1828</f>
      </c>
      <c r="V1828" s="7">
        <f>($C$14+($C$15-$C$14)/($D$15-$D$14)*(I1828-$D$14))/2</f>
      </c>
      <c r="W1828" s="7">
        <f>($B$22*I1828^4+$C$22*I1828^3+$D$22*I1828^2+$E$22*I1828+$F$22)/2</f>
      </c>
      <c r="X1828" s="7">
        <f>($W1828)*(T1828)</f>
      </c>
      <c r="Y1828" s="7">
        <f>($W1828)*(U1828)</f>
      </c>
      <c r="Z1828" s="7">
        <f>SQRT(X1828^2+Y1828^2)</f>
      </c>
      <c r="AA1828" s="7">
        <f>$K1828+$X1828</f>
      </c>
      <c r="AB1828" s="7">
        <f>$L1828+$Y1828</f>
      </c>
      <c r="AC1828" s="7">
        <f>$K1828-$X1828</f>
      </c>
      <c r="AD1828" s="7">
        <f>$L1828-$Y1828</f>
      </c>
      <c r="AE1828" s="7">
        <f>AA1828/39.3701</f>
      </c>
      <c r="AF1828" s="7">
        <f>AB1828/39.3701</f>
      </c>
      <c r="AG1828" s="7">
        <f>AC1828/39.3701</f>
      </c>
      <c r="AH1828" s="7">
        <f>AD1828/39.3701</f>
      </c>
      <c r="AI1828" s="1"/>
      <c r="AJ1828" s="1"/>
      <c r="AK1828" s="1"/>
      <c r="AL1828" s="1"/>
      <c r="AM1828" s="2"/>
      <c r="AN1828" s="1"/>
      <c r="AO1828" s="1"/>
      <c r="AP1828" s="1"/>
      <c r="AQ1828" s="1"/>
      <c r="AR1828" s="1"/>
      <c r="AS1828" s="1"/>
      <c r="AT1828" s="1"/>
      <c r="AU1828" s="1"/>
      <c r="AV1828" s="1"/>
      <c r="AW1828" s="1"/>
      <c r="AX1828" s="1"/>
      <c r="AY1828" s="1"/>
      <c r="AZ1828" s="1"/>
      <c r="BA1828" s="1"/>
      <c r="BB1828" s="1"/>
      <c r="BC1828" s="1"/>
      <c r="BD1828" s="1"/>
      <c r="BE1828" s="1"/>
    </row>
    <row x14ac:dyDescent="0.25" r="1829" customHeight="1" ht="18.75">
      <c r="A1829" s="1"/>
      <c r="B1829" s="2"/>
      <c r="C1829" s="2"/>
      <c r="D1829" s="2"/>
      <c r="E1829" s="2"/>
      <c r="F1829" s="2"/>
      <c r="G1829" s="1"/>
      <c r="H1829" s="1"/>
      <c r="I1829" s="7">
        <v>1.826</v>
      </c>
      <c r="J1829" s="7">
        <f>IF((I1829-ROUNDDOWN(I1829,0))=0, 0, (I1829-ROUNDDOWN(I1829,0)))</f>
      </c>
      <c r="K1829" s="7">
        <f>INDIRECT("C$"&amp;2+MIN(2,ROUNDDOWN(I1829,0))*3)*(-$J1829^3+3*$J1829^2-3*$J1829+1)+INDIRECT("C$"&amp;3+MIN(2,ROUNDDOWN(I1829,0))*3)*(3*$J1829^3-6*$J1829^2+3*$J1829)+INDIRECT("C$"&amp;4+MIN(2,ROUNDDOWN(I1829,0))*3)*(-3*$J1829^3+3*$J1829^2)+INDIRECT("C$"&amp;5+MIN(2,ROUNDDOWN(I1829,0))*3)*$J1829^3</f>
      </c>
      <c r="L1829" s="7">
        <f>INDIRECT("D$"&amp;2+MIN(2,ROUNDDOWN(I1829,0))*3)*(-$J1829^3+3*$J1829^2-3*$J1829+1)+INDIRECT("D$"&amp;3+MIN(2,ROUNDDOWN(I1829,0))*3)*(3*$J1829^3-6*$J1829^2+3*$J1829)+INDIRECT("D$"&amp;4+MIN(2,ROUNDDOWN(I1829,0))*3)*(-3*$J1829^3+3*$J1829^2)+INDIRECT("D$"&amp;5+MIN(2,ROUNDDOWN(I1829,0))*3)*$J1829^3</f>
      </c>
      <c r="M1829" s="7">
        <f>SQRT(K1829^2+L1829^2)</f>
      </c>
      <c r="N1829" s="7">
        <f>(K1830-K1828)</f>
      </c>
      <c r="O1829" s="7">
        <f>+(L1830-L1828)</f>
      </c>
      <c r="P1829" s="7">
        <f>SQRT(O1829^2+N1829^2)</f>
      </c>
      <c r="Q1829" s="7">
        <f>N1829/$P1829</f>
      </c>
      <c r="R1829" s="7">
        <f>O1829/$P1829</f>
      </c>
      <c r="S1829" s="7">
        <f>Q1829^2+R1829^2</f>
      </c>
      <c r="T1829" s="7">
        <f>-R1829</f>
      </c>
      <c r="U1829" s="7">
        <f>Q1829</f>
      </c>
      <c r="V1829" s="7">
        <f>($C$14+($C$15-$C$14)/($D$15-$D$14)*(I1829-$D$14))/2</f>
      </c>
      <c r="W1829" s="7">
        <f>($B$22*I1829^4+$C$22*I1829^3+$D$22*I1829^2+$E$22*I1829+$F$22)/2</f>
      </c>
      <c r="X1829" s="7">
        <f>($W1829)*(T1829)</f>
      </c>
      <c r="Y1829" s="7">
        <f>($W1829)*(U1829)</f>
      </c>
      <c r="Z1829" s="7">
        <f>SQRT(X1829^2+Y1829^2)</f>
      </c>
      <c r="AA1829" s="7">
        <f>$K1829+$X1829</f>
      </c>
      <c r="AB1829" s="7">
        <f>$L1829+$Y1829</f>
      </c>
      <c r="AC1829" s="7">
        <f>$K1829-$X1829</f>
      </c>
      <c r="AD1829" s="7">
        <f>$L1829-$Y1829</f>
      </c>
      <c r="AE1829" s="7">
        <f>AA1829/39.3701</f>
      </c>
      <c r="AF1829" s="7">
        <f>AB1829/39.3701</f>
      </c>
      <c r="AG1829" s="7">
        <f>AC1829/39.3701</f>
      </c>
      <c r="AH1829" s="7">
        <f>AD1829/39.3701</f>
      </c>
      <c r="AI1829" s="1"/>
      <c r="AJ1829" s="1"/>
      <c r="AK1829" s="1"/>
      <c r="AL1829" s="1"/>
      <c r="AM1829" s="2"/>
      <c r="AN1829" s="1"/>
      <c r="AO1829" s="1"/>
      <c r="AP1829" s="1"/>
      <c r="AQ1829" s="1"/>
      <c r="AR1829" s="1"/>
      <c r="AS1829" s="1"/>
      <c r="AT1829" s="1"/>
      <c r="AU1829" s="1"/>
      <c r="AV1829" s="1"/>
      <c r="AW1829" s="1"/>
      <c r="AX1829" s="1"/>
      <c r="AY1829" s="1"/>
      <c r="AZ1829" s="1"/>
      <c r="BA1829" s="1"/>
      <c r="BB1829" s="1"/>
      <c r="BC1829" s="1"/>
      <c r="BD1829" s="1"/>
      <c r="BE1829" s="1"/>
    </row>
    <row x14ac:dyDescent="0.25" r="1830" customHeight="1" ht="18.75">
      <c r="A1830" s="1"/>
      <c r="B1830" s="2"/>
      <c r="C1830" s="2"/>
      <c r="D1830" s="2"/>
      <c r="E1830" s="2"/>
      <c r="F1830" s="2"/>
      <c r="G1830" s="1"/>
      <c r="H1830" s="1"/>
      <c r="I1830" s="7">
        <v>1.827</v>
      </c>
      <c r="J1830" s="7">
        <f>IF((I1830-ROUNDDOWN(I1830,0))=0, 0, (I1830-ROUNDDOWN(I1830,0)))</f>
      </c>
      <c r="K1830" s="7">
        <f>INDIRECT("C$"&amp;2+MIN(2,ROUNDDOWN(I1830,0))*3)*(-$J1830^3+3*$J1830^2-3*$J1830+1)+INDIRECT("C$"&amp;3+MIN(2,ROUNDDOWN(I1830,0))*3)*(3*$J1830^3-6*$J1830^2+3*$J1830)+INDIRECT("C$"&amp;4+MIN(2,ROUNDDOWN(I1830,0))*3)*(-3*$J1830^3+3*$J1830^2)+INDIRECT("C$"&amp;5+MIN(2,ROUNDDOWN(I1830,0))*3)*$J1830^3</f>
      </c>
      <c r="L1830" s="7">
        <f>INDIRECT("D$"&amp;2+MIN(2,ROUNDDOWN(I1830,0))*3)*(-$J1830^3+3*$J1830^2-3*$J1830+1)+INDIRECT("D$"&amp;3+MIN(2,ROUNDDOWN(I1830,0))*3)*(3*$J1830^3-6*$J1830^2+3*$J1830)+INDIRECT("D$"&amp;4+MIN(2,ROUNDDOWN(I1830,0))*3)*(-3*$J1830^3+3*$J1830^2)+INDIRECT("D$"&amp;5+MIN(2,ROUNDDOWN(I1830,0))*3)*$J1830^3</f>
      </c>
      <c r="M1830" s="7">
        <f>SQRT(K1830^2+L1830^2)</f>
      </c>
      <c r="N1830" s="7">
        <f>(K1831-K1829)</f>
      </c>
      <c r="O1830" s="7">
        <f>+(L1831-L1829)</f>
      </c>
      <c r="P1830" s="7">
        <f>SQRT(O1830^2+N1830^2)</f>
      </c>
      <c r="Q1830" s="7">
        <f>N1830/$P1830</f>
      </c>
      <c r="R1830" s="7">
        <f>O1830/$P1830</f>
      </c>
      <c r="S1830" s="8">
        <f>Q1830^2+R1830^2</f>
      </c>
      <c r="T1830" s="7">
        <f>-R1830</f>
      </c>
      <c r="U1830" s="7">
        <f>Q1830</f>
      </c>
      <c r="V1830" s="7">
        <f>($C$14+($C$15-$C$14)/($D$15-$D$14)*(I1830-$D$14))/2</f>
      </c>
      <c r="W1830" s="7">
        <f>($B$22*I1830^4+$C$22*I1830^3+$D$22*I1830^2+$E$22*I1830+$F$22)/2</f>
      </c>
      <c r="X1830" s="7">
        <f>($W1830)*(T1830)</f>
      </c>
      <c r="Y1830" s="7">
        <f>($W1830)*(U1830)</f>
      </c>
      <c r="Z1830" s="7">
        <f>SQRT(X1830^2+Y1830^2)</f>
      </c>
      <c r="AA1830" s="7">
        <f>$K1830+$X1830</f>
      </c>
      <c r="AB1830" s="7">
        <f>$L1830+$Y1830</f>
      </c>
      <c r="AC1830" s="7">
        <f>$K1830-$X1830</f>
      </c>
      <c r="AD1830" s="7">
        <f>$L1830-$Y1830</f>
      </c>
      <c r="AE1830" s="7">
        <f>AA1830/39.3701</f>
      </c>
      <c r="AF1830" s="7">
        <f>AB1830/39.3701</f>
      </c>
      <c r="AG1830" s="7">
        <f>AC1830/39.3701</f>
      </c>
      <c r="AH1830" s="7">
        <f>AD1830/39.3701</f>
      </c>
      <c r="AI1830" s="1"/>
      <c r="AJ1830" s="1"/>
      <c r="AK1830" s="1"/>
      <c r="AL1830" s="1"/>
      <c r="AM1830" s="2"/>
      <c r="AN1830" s="1"/>
      <c r="AO1830" s="1"/>
      <c r="AP1830" s="1"/>
      <c r="AQ1830" s="1"/>
      <c r="AR1830" s="1"/>
      <c r="AS1830" s="1"/>
      <c r="AT1830" s="1"/>
      <c r="AU1830" s="1"/>
      <c r="AV1830" s="1"/>
      <c r="AW1830" s="1"/>
      <c r="AX1830" s="1"/>
      <c r="AY1830" s="1"/>
      <c r="AZ1830" s="1"/>
      <c r="BA1830" s="1"/>
      <c r="BB1830" s="1"/>
      <c r="BC1830" s="1"/>
      <c r="BD1830" s="1"/>
      <c r="BE1830" s="1"/>
    </row>
    <row x14ac:dyDescent="0.25" r="1831" customHeight="1" ht="18.75">
      <c r="A1831" s="1"/>
      <c r="B1831" s="2"/>
      <c r="C1831" s="2"/>
      <c r="D1831" s="2"/>
      <c r="E1831" s="2"/>
      <c r="F1831" s="2"/>
      <c r="G1831" s="1"/>
      <c r="H1831" s="1"/>
      <c r="I1831" s="7">
        <v>1.828</v>
      </c>
      <c r="J1831" s="7">
        <f>IF((I1831-ROUNDDOWN(I1831,0))=0, 0, (I1831-ROUNDDOWN(I1831,0)))</f>
      </c>
      <c r="K1831" s="7">
        <f>INDIRECT("C$"&amp;2+MIN(2,ROUNDDOWN(I1831,0))*3)*(-$J1831^3+3*$J1831^2-3*$J1831+1)+INDIRECT("C$"&amp;3+MIN(2,ROUNDDOWN(I1831,0))*3)*(3*$J1831^3-6*$J1831^2+3*$J1831)+INDIRECT("C$"&amp;4+MIN(2,ROUNDDOWN(I1831,0))*3)*(-3*$J1831^3+3*$J1831^2)+INDIRECT("C$"&amp;5+MIN(2,ROUNDDOWN(I1831,0))*3)*$J1831^3</f>
      </c>
      <c r="L1831" s="7">
        <f>INDIRECT("D$"&amp;2+MIN(2,ROUNDDOWN(I1831,0))*3)*(-$J1831^3+3*$J1831^2-3*$J1831+1)+INDIRECT("D$"&amp;3+MIN(2,ROUNDDOWN(I1831,0))*3)*(3*$J1831^3-6*$J1831^2+3*$J1831)+INDIRECT("D$"&amp;4+MIN(2,ROUNDDOWN(I1831,0))*3)*(-3*$J1831^3+3*$J1831^2)+INDIRECT("D$"&amp;5+MIN(2,ROUNDDOWN(I1831,0))*3)*$J1831^3</f>
      </c>
      <c r="M1831" s="7">
        <f>SQRT(K1831^2+L1831^2)</f>
      </c>
      <c r="N1831" s="7">
        <f>(K1832-K1830)</f>
      </c>
      <c r="O1831" s="7">
        <f>+(L1832-L1830)</f>
      </c>
      <c r="P1831" s="7">
        <f>SQRT(O1831^2+N1831^2)</f>
      </c>
      <c r="Q1831" s="7">
        <f>N1831/$P1831</f>
      </c>
      <c r="R1831" s="7">
        <f>O1831/$P1831</f>
      </c>
      <c r="S1831" s="7">
        <f>Q1831^2+R1831^2</f>
      </c>
      <c r="T1831" s="7">
        <f>-R1831</f>
      </c>
      <c r="U1831" s="7">
        <f>Q1831</f>
      </c>
      <c r="V1831" s="7">
        <f>($C$14+($C$15-$C$14)/($D$15-$D$14)*(I1831-$D$14))/2</f>
      </c>
      <c r="W1831" s="7">
        <f>($B$22*I1831^4+$C$22*I1831^3+$D$22*I1831^2+$E$22*I1831+$F$22)/2</f>
      </c>
      <c r="X1831" s="7">
        <f>($W1831)*(T1831)</f>
      </c>
      <c r="Y1831" s="7">
        <f>($W1831)*(U1831)</f>
      </c>
      <c r="Z1831" s="7">
        <f>SQRT(X1831^2+Y1831^2)</f>
      </c>
      <c r="AA1831" s="7">
        <f>$K1831+$X1831</f>
      </c>
      <c r="AB1831" s="7">
        <f>$L1831+$Y1831</f>
      </c>
      <c r="AC1831" s="7">
        <f>$K1831-$X1831</f>
      </c>
      <c r="AD1831" s="7">
        <f>$L1831-$Y1831</f>
      </c>
      <c r="AE1831" s="7">
        <f>AA1831/39.3701</f>
      </c>
      <c r="AF1831" s="7">
        <f>AB1831/39.3701</f>
      </c>
      <c r="AG1831" s="7">
        <f>AC1831/39.3701</f>
      </c>
      <c r="AH1831" s="7">
        <f>AD1831/39.3701</f>
      </c>
      <c r="AI1831" s="1"/>
      <c r="AJ1831" s="1"/>
      <c r="AK1831" s="1"/>
      <c r="AL1831" s="1"/>
      <c r="AM1831" s="2"/>
      <c r="AN1831" s="1"/>
      <c r="AO1831" s="1"/>
      <c r="AP1831" s="1"/>
      <c r="AQ1831" s="1"/>
      <c r="AR1831" s="1"/>
      <c r="AS1831" s="1"/>
      <c r="AT1831" s="1"/>
      <c r="AU1831" s="1"/>
      <c r="AV1831" s="1"/>
      <c r="AW1831" s="1"/>
      <c r="AX1831" s="1"/>
      <c r="AY1831" s="1"/>
      <c r="AZ1831" s="1"/>
      <c r="BA1831" s="1"/>
      <c r="BB1831" s="1"/>
      <c r="BC1831" s="1"/>
      <c r="BD1831" s="1"/>
      <c r="BE1831" s="1"/>
    </row>
    <row x14ac:dyDescent="0.25" r="1832" customHeight="1" ht="18.75">
      <c r="A1832" s="1"/>
      <c r="B1832" s="2"/>
      <c r="C1832" s="2"/>
      <c r="D1832" s="2"/>
      <c r="E1832" s="2"/>
      <c r="F1832" s="2"/>
      <c r="G1832" s="1"/>
      <c r="H1832" s="1"/>
      <c r="I1832" s="7">
        <v>1.829</v>
      </c>
      <c r="J1832" s="7">
        <f>IF((I1832-ROUNDDOWN(I1832,0))=0, 0, (I1832-ROUNDDOWN(I1832,0)))</f>
      </c>
      <c r="K1832" s="7">
        <f>INDIRECT("C$"&amp;2+MIN(2,ROUNDDOWN(I1832,0))*3)*(-$J1832^3+3*$J1832^2-3*$J1832+1)+INDIRECT("C$"&amp;3+MIN(2,ROUNDDOWN(I1832,0))*3)*(3*$J1832^3-6*$J1832^2+3*$J1832)+INDIRECT("C$"&amp;4+MIN(2,ROUNDDOWN(I1832,0))*3)*(-3*$J1832^3+3*$J1832^2)+INDIRECT("C$"&amp;5+MIN(2,ROUNDDOWN(I1832,0))*3)*$J1832^3</f>
      </c>
      <c r="L1832" s="7">
        <f>INDIRECT("D$"&amp;2+MIN(2,ROUNDDOWN(I1832,0))*3)*(-$J1832^3+3*$J1832^2-3*$J1832+1)+INDIRECT("D$"&amp;3+MIN(2,ROUNDDOWN(I1832,0))*3)*(3*$J1832^3-6*$J1832^2+3*$J1832)+INDIRECT("D$"&amp;4+MIN(2,ROUNDDOWN(I1832,0))*3)*(-3*$J1832^3+3*$J1832^2)+INDIRECT("D$"&amp;5+MIN(2,ROUNDDOWN(I1832,0))*3)*$J1832^3</f>
      </c>
      <c r="M1832" s="7">
        <f>SQRT(K1832^2+L1832^2)</f>
      </c>
      <c r="N1832" s="7">
        <f>(K1833-K1831)</f>
      </c>
      <c r="O1832" s="7">
        <f>+(L1833-L1831)</f>
      </c>
      <c r="P1832" s="7">
        <f>SQRT(O1832^2+N1832^2)</f>
      </c>
      <c r="Q1832" s="7">
        <f>N1832/$P1832</f>
      </c>
      <c r="R1832" s="7">
        <f>O1832/$P1832</f>
      </c>
      <c r="S1832" s="8">
        <f>Q1832^2+R1832^2</f>
      </c>
      <c r="T1832" s="7">
        <f>-R1832</f>
      </c>
      <c r="U1832" s="7">
        <f>Q1832</f>
      </c>
      <c r="V1832" s="7">
        <f>($C$14+($C$15-$C$14)/($D$15-$D$14)*(I1832-$D$14))/2</f>
      </c>
      <c r="W1832" s="7">
        <f>($B$22*I1832^4+$C$22*I1832^3+$D$22*I1832^2+$E$22*I1832+$F$22)/2</f>
      </c>
      <c r="X1832" s="7">
        <f>($W1832)*(T1832)</f>
      </c>
      <c r="Y1832" s="7">
        <f>($W1832)*(U1832)</f>
      </c>
      <c r="Z1832" s="7">
        <f>SQRT(X1832^2+Y1832^2)</f>
      </c>
      <c r="AA1832" s="7">
        <f>$K1832+$X1832</f>
      </c>
      <c r="AB1832" s="7">
        <f>$L1832+$Y1832</f>
      </c>
      <c r="AC1832" s="7">
        <f>$K1832-$X1832</f>
      </c>
      <c r="AD1832" s="7">
        <f>$L1832-$Y1832</f>
      </c>
      <c r="AE1832" s="7">
        <f>AA1832/39.3701</f>
      </c>
      <c r="AF1832" s="7">
        <f>AB1832/39.3701</f>
      </c>
      <c r="AG1832" s="7">
        <f>AC1832/39.3701</f>
      </c>
      <c r="AH1832" s="7">
        <f>AD1832/39.3701</f>
      </c>
      <c r="AI1832" s="1"/>
      <c r="AJ1832" s="1"/>
      <c r="AK1832" s="1"/>
      <c r="AL1832" s="1"/>
      <c r="AM1832" s="2"/>
      <c r="AN1832" s="1"/>
      <c r="AO1832" s="1"/>
      <c r="AP1832" s="1"/>
      <c r="AQ1832" s="1"/>
      <c r="AR1832" s="1"/>
      <c r="AS1832" s="1"/>
      <c r="AT1832" s="1"/>
      <c r="AU1832" s="1"/>
      <c r="AV1832" s="1"/>
      <c r="AW1832" s="1"/>
      <c r="AX1832" s="1"/>
      <c r="AY1832" s="1"/>
      <c r="AZ1832" s="1"/>
      <c r="BA1832" s="1"/>
      <c r="BB1832" s="1"/>
      <c r="BC1832" s="1"/>
      <c r="BD1832" s="1"/>
      <c r="BE1832" s="1"/>
    </row>
    <row x14ac:dyDescent="0.25" r="1833" customHeight="1" ht="18.75">
      <c r="A1833" s="1"/>
      <c r="B1833" s="2"/>
      <c r="C1833" s="2"/>
      <c r="D1833" s="2"/>
      <c r="E1833" s="2"/>
      <c r="F1833" s="2"/>
      <c r="G1833" s="1"/>
      <c r="H1833" s="1"/>
      <c r="I1833" s="7">
        <v>1.83</v>
      </c>
      <c r="J1833" s="7">
        <f>IF((I1833-ROUNDDOWN(I1833,0))=0, 0, (I1833-ROUNDDOWN(I1833,0)))</f>
      </c>
      <c r="K1833" s="7">
        <f>INDIRECT("C$"&amp;2+MIN(2,ROUNDDOWN(I1833,0))*3)*(-$J1833^3+3*$J1833^2-3*$J1833+1)+INDIRECT("C$"&amp;3+MIN(2,ROUNDDOWN(I1833,0))*3)*(3*$J1833^3-6*$J1833^2+3*$J1833)+INDIRECT("C$"&amp;4+MIN(2,ROUNDDOWN(I1833,0))*3)*(-3*$J1833^3+3*$J1833^2)+INDIRECT("C$"&amp;5+MIN(2,ROUNDDOWN(I1833,0))*3)*$J1833^3</f>
      </c>
      <c r="L1833" s="7">
        <f>INDIRECT("D$"&amp;2+MIN(2,ROUNDDOWN(I1833,0))*3)*(-$J1833^3+3*$J1833^2-3*$J1833+1)+INDIRECT("D$"&amp;3+MIN(2,ROUNDDOWN(I1833,0))*3)*(3*$J1833^3-6*$J1833^2+3*$J1833)+INDIRECT("D$"&amp;4+MIN(2,ROUNDDOWN(I1833,0))*3)*(-3*$J1833^3+3*$J1833^2)+INDIRECT("D$"&amp;5+MIN(2,ROUNDDOWN(I1833,0))*3)*$J1833^3</f>
      </c>
      <c r="M1833" s="7">
        <f>SQRT(K1833^2+L1833^2)</f>
      </c>
      <c r="N1833" s="7">
        <f>(K1834-K1832)</f>
      </c>
      <c r="O1833" s="7">
        <f>+(L1834-L1832)</f>
      </c>
      <c r="P1833" s="7">
        <f>SQRT(O1833^2+N1833^2)</f>
      </c>
      <c r="Q1833" s="7">
        <f>N1833/$P1833</f>
      </c>
      <c r="R1833" s="7">
        <f>O1833/$P1833</f>
      </c>
      <c r="S1833" s="8">
        <f>Q1833^2+R1833^2</f>
      </c>
      <c r="T1833" s="7">
        <f>-R1833</f>
      </c>
      <c r="U1833" s="7">
        <f>Q1833</f>
      </c>
      <c r="V1833" s="7">
        <f>($C$14+($C$15-$C$14)/($D$15-$D$14)*(I1833-$D$14))/2</f>
      </c>
      <c r="W1833" s="7">
        <f>($B$22*I1833^4+$C$22*I1833^3+$D$22*I1833^2+$E$22*I1833+$F$22)/2</f>
      </c>
      <c r="X1833" s="7">
        <f>($W1833)*(T1833)</f>
      </c>
      <c r="Y1833" s="7">
        <f>($W1833)*(U1833)</f>
      </c>
      <c r="Z1833" s="7">
        <f>SQRT(X1833^2+Y1833^2)</f>
      </c>
      <c r="AA1833" s="7">
        <f>$K1833+$X1833</f>
      </c>
      <c r="AB1833" s="7">
        <f>$L1833+$Y1833</f>
      </c>
      <c r="AC1833" s="7">
        <f>$K1833-$X1833</f>
      </c>
      <c r="AD1833" s="7">
        <f>$L1833-$Y1833</f>
      </c>
      <c r="AE1833" s="7">
        <f>AA1833/39.3701</f>
      </c>
      <c r="AF1833" s="7">
        <f>AB1833/39.3701</f>
      </c>
      <c r="AG1833" s="7">
        <f>AC1833/39.3701</f>
      </c>
      <c r="AH1833" s="7">
        <f>AD1833/39.3701</f>
      </c>
      <c r="AI1833" s="1"/>
      <c r="AJ1833" s="1"/>
      <c r="AK1833" s="1"/>
      <c r="AL1833" s="1"/>
      <c r="AM1833" s="2"/>
      <c r="AN1833" s="1"/>
      <c r="AO1833" s="1"/>
      <c r="AP1833" s="1"/>
      <c r="AQ1833" s="1"/>
      <c r="AR1833" s="1"/>
      <c r="AS1833" s="1"/>
      <c r="AT1833" s="1"/>
      <c r="AU1833" s="1"/>
      <c r="AV1833" s="1"/>
      <c r="AW1833" s="1"/>
      <c r="AX1833" s="1"/>
      <c r="AY1833" s="1"/>
      <c r="AZ1833" s="1"/>
      <c r="BA1833" s="1"/>
      <c r="BB1833" s="1"/>
      <c r="BC1833" s="1"/>
      <c r="BD1833" s="1"/>
      <c r="BE1833" s="1"/>
    </row>
    <row x14ac:dyDescent="0.25" r="1834" customHeight="1" ht="18.75">
      <c r="A1834" s="1"/>
      <c r="B1834" s="2"/>
      <c r="C1834" s="2"/>
      <c r="D1834" s="2"/>
      <c r="E1834" s="2"/>
      <c r="F1834" s="2"/>
      <c r="G1834" s="1"/>
      <c r="H1834" s="1"/>
      <c r="I1834" s="7">
        <v>1.831</v>
      </c>
      <c r="J1834" s="7">
        <f>IF((I1834-ROUNDDOWN(I1834,0))=0, 0, (I1834-ROUNDDOWN(I1834,0)))</f>
      </c>
      <c r="K1834" s="7">
        <f>INDIRECT("C$"&amp;2+MIN(2,ROUNDDOWN(I1834,0))*3)*(-$J1834^3+3*$J1834^2-3*$J1834+1)+INDIRECT("C$"&amp;3+MIN(2,ROUNDDOWN(I1834,0))*3)*(3*$J1834^3-6*$J1834^2+3*$J1834)+INDIRECT("C$"&amp;4+MIN(2,ROUNDDOWN(I1834,0))*3)*(-3*$J1834^3+3*$J1834^2)+INDIRECT("C$"&amp;5+MIN(2,ROUNDDOWN(I1834,0))*3)*$J1834^3</f>
      </c>
      <c r="L1834" s="7">
        <f>INDIRECT("D$"&amp;2+MIN(2,ROUNDDOWN(I1834,0))*3)*(-$J1834^3+3*$J1834^2-3*$J1834+1)+INDIRECT("D$"&amp;3+MIN(2,ROUNDDOWN(I1834,0))*3)*(3*$J1834^3-6*$J1834^2+3*$J1834)+INDIRECT("D$"&amp;4+MIN(2,ROUNDDOWN(I1834,0))*3)*(-3*$J1834^3+3*$J1834^2)+INDIRECT("D$"&amp;5+MIN(2,ROUNDDOWN(I1834,0))*3)*$J1834^3</f>
      </c>
      <c r="M1834" s="7">
        <f>SQRT(K1834^2+L1834^2)</f>
      </c>
      <c r="N1834" s="7">
        <f>(K1835-K1833)</f>
      </c>
      <c r="O1834" s="7">
        <f>+(L1835-L1833)</f>
      </c>
      <c r="P1834" s="7">
        <f>SQRT(O1834^2+N1834^2)</f>
      </c>
      <c r="Q1834" s="7">
        <f>N1834/$P1834</f>
      </c>
      <c r="R1834" s="7">
        <f>O1834/$P1834</f>
      </c>
      <c r="S1834" s="8">
        <f>Q1834^2+R1834^2</f>
      </c>
      <c r="T1834" s="7">
        <f>-R1834</f>
      </c>
      <c r="U1834" s="7">
        <f>Q1834</f>
      </c>
      <c r="V1834" s="7">
        <f>($C$14+($C$15-$C$14)/($D$15-$D$14)*(I1834-$D$14))/2</f>
      </c>
      <c r="W1834" s="7">
        <f>($B$22*I1834^4+$C$22*I1834^3+$D$22*I1834^2+$E$22*I1834+$F$22)/2</f>
      </c>
      <c r="X1834" s="7">
        <f>($W1834)*(T1834)</f>
      </c>
      <c r="Y1834" s="7">
        <f>($W1834)*(U1834)</f>
      </c>
      <c r="Z1834" s="7">
        <f>SQRT(X1834^2+Y1834^2)</f>
      </c>
      <c r="AA1834" s="7">
        <f>$K1834+$X1834</f>
      </c>
      <c r="AB1834" s="7">
        <f>$L1834+$Y1834</f>
      </c>
      <c r="AC1834" s="7">
        <f>$K1834-$X1834</f>
      </c>
      <c r="AD1834" s="7">
        <f>$L1834-$Y1834</f>
      </c>
      <c r="AE1834" s="7">
        <f>AA1834/39.3701</f>
      </c>
      <c r="AF1834" s="7">
        <f>AB1834/39.3701</f>
      </c>
      <c r="AG1834" s="7">
        <f>AC1834/39.3701</f>
      </c>
      <c r="AH1834" s="7">
        <f>AD1834/39.3701</f>
      </c>
      <c r="AI1834" s="1"/>
      <c r="AJ1834" s="1"/>
      <c r="AK1834" s="1"/>
      <c r="AL1834" s="1"/>
      <c r="AM1834" s="2"/>
      <c r="AN1834" s="1"/>
      <c r="AO1834" s="1"/>
      <c r="AP1834" s="1"/>
      <c r="AQ1834" s="1"/>
      <c r="AR1834" s="1"/>
      <c r="AS1834" s="1"/>
      <c r="AT1834" s="1"/>
      <c r="AU1834" s="1"/>
      <c r="AV1834" s="1"/>
      <c r="AW1834" s="1"/>
      <c r="AX1834" s="1"/>
      <c r="AY1834" s="1"/>
      <c r="AZ1834" s="1"/>
      <c r="BA1834" s="1"/>
      <c r="BB1834" s="1"/>
      <c r="BC1834" s="1"/>
      <c r="BD1834" s="1"/>
      <c r="BE1834" s="1"/>
    </row>
    <row x14ac:dyDescent="0.25" r="1835" customHeight="1" ht="18.75">
      <c r="A1835" s="1"/>
      <c r="B1835" s="2"/>
      <c r="C1835" s="2"/>
      <c r="D1835" s="2"/>
      <c r="E1835" s="2"/>
      <c r="F1835" s="2"/>
      <c r="G1835" s="1"/>
      <c r="H1835" s="1"/>
      <c r="I1835" s="7">
        <v>1.832</v>
      </c>
      <c r="J1835" s="7">
        <f>IF((I1835-ROUNDDOWN(I1835,0))=0, 0, (I1835-ROUNDDOWN(I1835,0)))</f>
      </c>
      <c r="K1835" s="7">
        <f>INDIRECT("C$"&amp;2+MIN(2,ROUNDDOWN(I1835,0))*3)*(-$J1835^3+3*$J1835^2-3*$J1835+1)+INDIRECT("C$"&amp;3+MIN(2,ROUNDDOWN(I1835,0))*3)*(3*$J1835^3-6*$J1835^2+3*$J1835)+INDIRECT("C$"&amp;4+MIN(2,ROUNDDOWN(I1835,0))*3)*(-3*$J1835^3+3*$J1835^2)+INDIRECT("C$"&amp;5+MIN(2,ROUNDDOWN(I1835,0))*3)*$J1835^3</f>
      </c>
      <c r="L1835" s="7">
        <f>INDIRECT("D$"&amp;2+MIN(2,ROUNDDOWN(I1835,0))*3)*(-$J1835^3+3*$J1835^2-3*$J1835+1)+INDIRECT("D$"&amp;3+MIN(2,ROUNDDOWN(I1835,0))*3)*(3*$J1835^3-6*$J1835^2+3*$J1835)+INDIRECT("D$"&amp;4+MIN(2,ROUNDDOWN(I1835,0))*3)*(-3*$J1835^3+3*$J1835^2)+INDIRECT("D$"&amp;5+MIN(2,ROUNDDOWN(I1835,0))*3)*$J1835^3</f>
      </c>
      <c r="M1835" s="7">
        <f>SQRT(K1835^2+L1835^2)</f>
      </c>
      <c r="N1835" s="7">
        <f>(K1836-K1834)</f>
      </c>
      <c r="O1835" s="7">
        <f>+(L1836-L1834)</f>
      </c>
      <c r="P1835" s="7">
        <f>SQRT(O1835^2+N1835^2)</f>
      </c>
      <c r="Q1835" s="7">
        <f>N1835/$P1835</f>
      </c>
      <c r="R1835" s="7">
        <f>O1835/$P1835</f>
      </c>
      <c r="S1835" s="8">
        <f>Q1835^2+R1835^2</f>
      </c>
      <c r="T1835" s="7">
        <f>-R1835</f>
      </c>
      <c r="U1835" s="7">
        <f>Q1835</f>
      </c>
      <c r="V1835" s="7">
        <f>($C$14+($C$15-$C$14)/($D$15-$D$14)*(I1835-$D$14))/2</f>
      </c>
      <c r="W1835" s="7">
        <f>($B$22*I1835^4+$C$22*I1835^3+$D$22*I1835^2+$E$22*I1835+$F$22)/2</f>
      </c>
      <c r="X1835" s="7">
        <f>($W1835)*(T1835)</f>
      </c>
      <c r="Y1835" s="7">
        <f>($W1835)*(U1835)</f>
      </c>
      <c r="Z1835" s="7">
        <f>SQRT(X1835^2+Y1835^2)</f>
      </c>
      <c r="AA1835" s="7">
        <f>$K1835+$X1835</f>
      </c>
      <c r="AB1835" s="7">
        <f>$L1835+$Y1835</f>
      </c>
      <c r="AC1835" s="7">
        <f>$K1835-$X1835</f>
      </c>
      <c r="AD1835" s="7">
        <f>$L1835-$Y1835</f>
      </c>
      <c r="AE1835" s="7">
        <f>AA1835/39.3701</f>
      </c>
      <c r="AF1835" s="7">
        <f>AB1835/39.3701</f>
      </c>
      <c r="AG1835" s="7">
        <f>AC1835/39.3701</f>
      </c>
      <c r="AH1835" s="7">
        <f>AD1835/39.3701</f>
      </c>
      <c r="AI1835" s="1"/>
      <c r="AJ1835" s="1"/>
      <c r="AK1835" s="1"/>
      <c r="AL1835" s="1"/>
      <c r="AM1835" s="2"/>
      <c r="AN1835" s="1"/>
      <c r="AO1835" s="1"/>
      <c r="AP1835" s="1"/>
      <c r="AQ1835" s="1"/>
      <c r="AR1835" s="1"/>
      <c r="AS1835" s="1"/>
      <c r="AT1835" s="1"/>
      <c r="AU1835" s="1"/>
      <c r="AV1835" s="1"/>
      <c r="AW1835" s="1"/>
      <c r="AX1835" s="1"/>
      <c r="AY1835" s="1"/>
      <c r="AZ1835" s="1"/>
      <c r="BA1835" s="1"/>
      <c r="BB1835" s="1"/>
      <c r="BC1835" s="1"/>
      <c r="BD1835" s="1"/>
      <c r="BE1835" s="1"/>
    </row>
    <row x14ac:dyDescent="0.25" r="1836" customHeight="1" ht="18.75">
      <c r="A1836" s="1"/>
      <c r="B1836" s="2"/>
      <c r="C1836" s="2"/>
      <c r="D1836" s="2"/>
      <c r="E1836" s="2"/>
      <c r="F1836" s="2"/>
      <c r="G1836" s="1"/>
      <c r="H1836" s="1"/>
      <c r="I1836" s="7">
        <v>1.833</v>
      </c>
      <c r="J1836" s="7">
        <f>IF((I1836-ROUNDDOWN(I1836,0))=0, 0, (I1836-ROUNDDOWN(I1836,0)))</f>
      </c>
      <c r="K1836" s="7">
        <f>INDIRECT("C$"&amp;2+MIN(2,ROUNDDOWN(I1836,0))*3)*(-$J1836^3+3*$J1836^2-3*$J1836+1)+INDIRECT("C$"&amp;3+MIN(2,ROUNDDOWN(I1836,0))*3)*(3*$J1836^3-6*$J1836^2+3*$J1836)+INDIRECT("C$"&amp;4+MIN(2,ROUNDDOWN(I1836,0))*3)*(-3*$J1836^3+3*$J1836^2)+INDIRECT("C$"&amp;5+MIN(2,ROUNDDOWN(I1836,0))*3)*$J1836^3</f>
      </c>
      <c r="L1836" s="7">
        <f>INDIRECT("D$"&amp;2+MIN(2,ROUNDDOWN(I1836,0))*3)*(-$J1836^3+3*$J1836^2-3*$J1836+1)+INDIRECT("D$"&amp;3+MIN(2,ROUNDDOWN(I1836,0))*3)*(3*$J1836^3-6*$J1836^2+3*$J1836)+INDIRECT("D$"&amp;4+MIN(2,ROUNDDOWN(I1836,0))*3)*(-3*$J1836^3+3*$J1836^2)+INDIRECT("D$"&amp;5+MIN(2,ROUNDDOWN(I1836,0))*3)*$J1836^3</f>
      </c>
      <c r="M1836" s="7">
        <f>SQRT(K1836^2+L1836^2)</f>
      </c>
      <c r="N1836" s="7">
        <f>(K1837-K1835)</f>
      </c>
      <c r="O1836" s="7">
        <f>+(L1837-L1835)</f>
      </c>
      <c r="P1836" s="7">
        <f>SQRT(O1836^2+N1836^2)</f>
      </c>
      <c r="Q1836" s="7">
        <f>N1836/$P1836</f>
      </c>
      <c r="R1836" s="7">
        <f>O1836/$P1836</f>
      </c>
      <c r="S1836" s="7">
        <f>Q1836^2+R1836^2</f>
      </c>
      <c r="T1836" s="7">
        <f>-R1836</f>
      </c>
      <c r="U1836" s="7">
        <f>Q1836</f>
      </c>
      <c r="V1836" s="7">
        <f>($C$14+($C$15-$C$14)/($D$15-$D$14)*(I1836-$D$14))/2</f>
      </c>
      <c r="W1836" s="7">
        <f>($B$22*I1836^4+$C$22*I1836^3+$D$22*I1836^2+$E$22*I1836+$F$22)/2</f>
      </c>
      <c r="X1836" s="7">
        <f>($W1836)*(T1836)</f>
      </c>
      <c r="Y1836" s="7">
        <f>($W1836)*(U1836)</f>
      </c>
      <c r="Z1836" s="7">
        <f>SQRT(X1836^2+Y1836^2)</f>
      </c>
      <c r="AA1836" s="7">
        <f>$K1836+$X1836</f>
      </c>
      <c r="AB1836" s="7">
        <f>$L1836+$Y1836</f>
      </c>
      <c r="AC1836" s="7">
        <f>$K1836-$X1836</f>
      </c>
      <c r="AD1836" s="7">
        <f>$L1836-$Y1836</f>
      </c>
      <c r="AE1836" s="7">
        <f>AA1836/39.3701</f>
      </c>
      <c r="AF1836" s="7">
        <f>AB1836/39.3701</f>
      </c>
      <c r="AG1836" s="7">
        <f>AC1836/39.3701</f>
      </c>
      <c r="AH1836" s="7">
        <f>AD1836/39.3701</f>
      </c>
      <c r="AI1836" s="1"/>
      <c r="AJ1836" s="1"/>
      <c r="AK1836" s="1"/>
      <c r="AL1836" s="1"/>
      <c r="AM1836" s="2"/>
      <c r="AN1836" s="1"/>
      <c r="AO1836" s="1"/>
      <c r="AP1836" s="1"/>
      <c r="AQ1836" s="1"/>
      <c r="AR1836" s="1"/>
      <c r="AS1836" s="1"/>
      <c r="AT1836" s="1"/>
      <c r="AU1836" s="1"/>
      <c r="AV1836" s="1"/>
      <c r="AW1836" s="1"/>
      <c r="AX1836" s="1"/>
      <c r="AY1836" s="1"/>
      <c r="AZ1836" s="1"/>
      <c r="BA1836" s="1"/>
      <c r="BB1836" s="1"/>
      <c r="BC1836" s="1"/>
      <c r="BD1836" s="1"/>
      <c r="BE1836" s="1"/>
    </row>
    <row x14ac:dyDescent="0.25" r="1837" customHeight="1" ht="18.75">
      <c r="A1837" s="1"/>
      <c r="B1837" s="2"/>
      <c r="C1837" s="2"/>
      <c r="D1837" s="2"/>
      <c r="E1837" s="2"/>
      <c r="F1837" s="2"/>
      <c r="G1837" s="1"/>
      <c r="H1837" s="1"/>
      <c r="I1837" s="7">
        <v>1.834</v>
      </c>
      <c r="J1837" s="7">
        <f>IF((I1837-ROUNDDOWN(I1837,0))=0, 0, (I1837-ROUNDDOWN(I1837,0)))</f>
      </c>
      <c r="K1837" s="7">
        <f>INDIRECT("C$"&amp;2+MIN(2,ROUNDDOWN(I1837,0))*3)*(-$J1837^3+3*$J1837^2-3*$J1837+1)+INDIRECT("C$"&amp;3+MIN(2,ROUNDDOWN(I1837,0))*3)*(3*$J1837^3-6*$J1837^2+3*$J1837)+INDIRECT("C$"&amp;4+MIN(2,ROUNDDOWN(I1837,0))*3)*(-3*$J1837^3+3*$J1837^2)+INDIRECT("C$"&amp;5+MIN(2,ROUNDDOWN(I1837,0))*3)*$J1837^3</f>
      </c>
      <c r="L1837" s="7">
        <f>INDIRECT("D$"&amp;2+MIN(2,ROUNDDOWN(I1837,0))*3)*(-$J1837^3+3*$J1837^2-3*$J1837+1)+INDIRECT("D$"&amp;3+MIN(2,ROUNDDOWN(I1837,0))*3)*(3*$J1837^3-6*$J1837^2+3*$J1837)+INDIRECT("D$"&amp;4+MIN(2,ROUNDDOWN(I1837,0))*3)*(-3*$J1837^3+3*$J1837^2)+INDIRECT("D$"&amp;5+MIN(2,ROUNDDOWN(I1837,0))*3)*$J1837^3</f>
      </c>
      <c r="M1837" s="7">
        <f>SQRT(K1837^2+L1837^2)</f>
      </c>
      <c r="N1837" s="7">
        <f>(K1838-K1836)</f>
      </c>
      <c r="O1837" s="7">
        <f>+(L1838-L1836)</f>
      </c>
      <c r="P1837" s="7">
        <f>SQRT(O1837^2+N1837^2)</f>
      </c>
      <c r="Q1837" s="7">
        <f>N1837/$P1837</f>
      </c>
      <c r="R1837" s="7">
        <f>O1837/$P1837</f>
      </c>
      <c r="S1837" s="8">
        <f>Q1837^2+R1837^2</f>
      </c>
      <c r="T1837" s="7">
        <f>-R1837</f>
      </c>
      <c r="U1837" s="7">
        <f>Q1837</f>
      </c>
      <c r="V1837" s="7">
        <f>($C$14+($C$15-$C$14)/($D$15-$D$14)*(I1837-$D$14))/2</f>
      </c>
      <c r="W1837" s="7">
        <f>($B$22*I1837^4+$C$22*I1837^3+$D$22*I1837^2+$E$22*I1837+$F$22)/2</f>
      </c>
      <c r="X1837" s="7">
        <f>($W1837)*(T1837)</f>
      </c>
      <c r="Y1837" s="7">
        <f>($W1837)*(U1837)</f>
      </c>
      <c r="Z1837" s="7">
        <f>SQRT(X1837^2+Y1837^2)</f>
      </c>
      <c r="AA1837" s="7">
        <f>$K1837+$X1837</f>
      </c>
      <c r="AB1837" s="7">
        <f>$L1837+$Y1837</f>
      </c>
      <c r="AC1837" s="7">
        <f>$K1837-$X1837</f>
      </c>
      <c r="AD1837" s="7">
        <f>$L1837-$Y1837</f>
      </c>
      <c r="AE1837" s="7">
        <f>AA1837/39.3701</f>
      </c>
      <c r="AF1837" s="7">
        <f>AB1837/39.3701</f>
      </c>
      <c r="AG1837" s="7">
        <f>AC1837/39.3701</f>
      </c>
      <c r="AH1837" s="7">
        <f>AD1837/39.3701</f>
      </c>
      <c r="AI1837" s="1"/>
      <c r="AJ1837" s="1"/>
      <c r="AK1837" s="1"/>
      <c r="AL1837" s="1"/>
      <c r="AM1837" s="2"/>
      <c r="AN1837" s="1"/>
      <c r="AO1837" s="1"/>
      <c r="AP1837" s="1"/>
      <c r="AQ1837" s="1"/>
      <c r="AR1837" s="1"/>
      <c r="AS1837" s="1"/>
      <c r="AT1837" s="1"/>
      <c r="AU1837" s="1"/>
      <c r="AV1837" s="1"/>
      <c r="AW1837" s="1"/>
      <c r="AX1837" s="1"/>
      <c r="AY1837" s="1"/>
      <c r="AZ1837" s="1"/>
      <c r="BA1837" s="1"/>
      <c r="BB1837" s="1"/>
      <c r="BC1837" s="1"/>
      <c r="BD1837" s="1"/>
      <c r="BE1837" s="1"/>
    </row>
    <row x14ac:dyDescent="0.25" r="1838" customHeight="1" ht="18.75">
      <c r="A1838" s="1"/>
      <c r="B1838" s="2"/>
      <c r="C1838" s="2"/>
      <c r="D1838" s="2"/>
      <c r="E1838" s="2"/>
      <c r="F1838" s="2"/>
      <c r="G1838" s="1"/>
      <c r="H1838" s="1"/>
      <c r="I1838" s="7">
        <v>1.835</v>
      </c>
      <c r="J1838" s="7">
        <f>IF((I1838-ROUNDDOWN(I1838,0))=0, 0, (I1838-ROUNDDOWN(I1838,0)))</f>
      </c>
      <c r="K1838" s="7">
        <f>INDIRECT("C$"&amp;2+MIN(2,ROUNDDOWN(I1838,0))*3)*(-$J1838^3+3*$J1838^2-3*$J1838+1)+INDIRECT("C$"&amp;3+MIN(2,ROUNDDOWN(I1838,0))*3)*(3*$J1838^3-6*$J1838^2+3*$J1838)+INDIRECT("C$"&amp;4+MIN(2,ROUNDDOWN(I1838,0))*3)*(-3*$J1838^3+3*$J1838^2)+INDIRECT("C$"&amp;5+MIN(2,ROUNDDOWN(I1838,0))*3)*$J1838^3</f>
      </c>
      <c r="L1838" s="7">
        <f>INDIRECT("D$"&amp;2+MIN(2,ROUNDDOWN(I1838,0))*3)*(-$J1838^3+3*$J1838^2-3*$J1838+1)+INDIRECT("D$"&amp;3+MIN(2,ROUNDDOWN(I1838,0))*3)*(3*$J1838^3-6*$J1838^2+3*$J1838)+INDIRECT("D$"&amp;4+MIN(2,ROUNDDOWN(I1838,0))*3)*(-3*$J1838^3+3*$J1838^2)+INDIRECT("D$"&amp;5+MIN(2,ROUNDDOWN(I1838,0))*3)*$J1838^3</f>
      </c>
      <c r="M1838" s="7">
        <f>SQRT(K1838^2+L1838^2)</f>
      </c>
      <c r="N1838" s="7">
        <f>(K1839-K1837)</f>
      </c>
      <c r="O1838" s="7">
        <f>+(L1839-L1837)</f>
      </c>
      <c r="P1838" s="7">
        <f>SQRT(O1838^2+N1838^2)</f>
      </c>
      <c r="Q1838" s="7">
        <f>N1838/$P1838</f>
      </c>
      <c r="R1838" s="7">
        <f>O1838/$P1838</f>
      </c>
      <c r="S1838" s="8">
        <f>Q1838^2+R1838^2</f>
      </c>
      <c r="T1838" s="7">
        <f>-R1838</f>
      </c>
      <c r="U1838" s="7">
        <f>Q1838</f>
      </c>
      <c r="V1838" s="7">
        <f>($C$14+($C$15-$C$14)/($D$15-$D$14)*(I1838-$D$14))/2</f>
      </c>
      <c r="W1838" s="7">
        <f>($B$22*I1838^4+$C$22*I1838^3+$D$22*I1838^2+$E$22*I1838+$F$22)/2</f>
      </c>
      <c r="X1838" s="7">
        <f>($W1838)*(T1838)</f>
      </c>
      <c r="Y1838" s="7">
        <f>($W1838)*(U1838)</f>
      </c>
      <c r="Z1838" s="7">
        <f>SQRT(X1838^2+Y1838^2)</f>
      </c>
      <c r="AA1838" s="7">
        <f>$K1838+$X1838</f>
      </c>
      <c r="AB1838" s="7">
        <f>$L1838+$Y1838</f>
      </c>
      <c r="AC1838" s="7">
        <f>$K1838-$X1838</f>
      </c>
      <c r="AD1838" s="7">
        <f>$L1838-$Y1838</f>
      </c>
      <c r="AE1838" s="7">
        <f>AA1838/39.3701</f>
      </c>
      <c r="AF1838" s="7">
        <f>AB1838/39.3701</f>
      </c>
      <c r="AG1838" s="7">
        <f>AC1838/39.3701</f>
      </c>
      <c r="AH1838" s="7">
        <f>AD1838/39.3701</f>
      </c>
      <c r="AI1838" s="1"/>
      <c r="AJ1838" s="1"/>
      <c r="AK1838" s="1"/>
      <c r="AL1838" s="1"/>
      <c r="AM1838" s="2"/>
      <c r="AN1838" s="1"/>
      <c r="AO1838" s="1"/>
      <c r="AP1838" s="1"/>
      <c r="AQ1838" s="1"/>
      <c r="AR1838" s="1"/>
      <c r="AS1838" s="1"/>
      <c r="AT1838" s="1"/>
      <c r="AU1838" s="1"/>
      <c r="AV1838" s="1"/>
      <c r="AW1838" s="1"/>
      <c r="AX1838" s="1"/>
      <c r="AY1838" s="1"/>
      <c r="AZ1838" s="1"/>
      <c r="BA1838" s="1"/>
      <c r="BB1838" s="1"/>
      <c r="BC1838" s="1"/>
      <c r="BD1838" s="1"/>
      <c r="BE1838" s="1"/>
    </row>
    <row x14ac:dyDescent="0.25" r="1839" customHeight="1" ht="18.75">
      <c r="A1839" s="1"/>
      <c r="B1839" s="2"/>
      <c r="C1839" s="2"/>
      <c r="D1839" s="2"/>
      <c r="E1839" s="2"/>
      <c r="F1839" s="2"/>
      <c r="G1839" s="1"/>
      <c r="H1839" s="1"/>
      <c r="I1839" s="7">
        <v>1.836</v>
      </c>
      <c r="J1839" s="7">
        <f>IF((I1839-ROUNDDOWN(I1839,0))=0, 0, (I1839-ROUNDDOWN(I1839,0)))</f>
      </c>
      <c r="K1839" s="7">
        <f>INDIRECT("C$"&amp;2+MIN(2,ROUNDDOWN(I1839,0))*3)*(-$J1839^3+3*$J1839^2-3*$J1839+1)+INDIRECT("C$"&amp;3+MIN(2,ROUNDDOWN(I1839,0))*3)*(3*$J1839^3-6*$J1839^2+3*$J1839)+INDIRECT("C$"&amp;4+MIN(2,ROUNDDOWN(I1839,0))*3)*(-3*$J1839^3+3*$J1839^2)+INDIRECT("C$"&amp;5+MIN(2,ROUNDDOWN(I1839,0))*3)*$J1839^3</f>
      </c>
      <c r="L1839" s="7">
        <f>INDIRECT("D$"&amp;2+MIN(2,ROUNDDOWN(I1839,0))*3)*(-$J1839^3+3*$J1839^2-3*$J1839+1)+INDIRECT("D$"&amp;3+MIN(2,ROUNDDOWN(I1839,0))*3)*(3*$J1839^3-6*$J1839^2+3*$J1839)+INDIRECT("D$"&amp;4+MIN(2,ROUNDDOWN(I1839,0))*3)*(-3*$J1839^3+3*$J1839^2)+INDIRECT("D$"&amp;5+MIN(2,ROUNDDOWN(I1839,0))*3)*$J1839^3</f>
      </c>
      <c r="M1839" s="7">
        <f>SQRT(K1839^2+L1839^2)</f>
      </c>
      <c r="N1839" s="7">
        <f>(K1840-K1838)</f>
      </c>
      <c r="O1839" s="7">
        <f>+(L1840-L1838)</f>
      </c>
      <c r="P1839" s="7">
        <f>SQRT(O1839^2+N1839^2)</f>
      </c>
      <c r="Q1839" s="7">
        <f>N1839/$P1839</f>
      </c>
      <c r="R1839" s="7">
        <f>O1839/$P1839</f>
      </c>
      <c r="S1839" s="7">
        <f>Q1839^2+R1839^2</f>
      </c>
      <c r="T1839" s="7">
        <f>-R1839</f>
      </c>
      <c r="U1839" s="7">
        <f>Q1839</f>
      </c>
      <c r="V1839" s="7">
        <f>($C$14+($C$15-$C$14)/($D$15-$D$14)*(I1839-$D$14))/2</f>
      </c>
      <c r="W1839" s="7">
        <f>($B$22*I1839^4+$C$22*I1839^3+$D$22*I1839^2+$E$22*I1839+$F$22)/2</f>
      </c>
      <c r="X1839" s="7">
        <f>($W1839)*(T1839)</f>
      </c>
      <c r="Y1839" s="7">
        <f>($W1839)*(U1839)</f>
      </c>
      <c r="Z1839" s="7">
        <f>SQRT(X1839^2+Y1839^2)</f>
      </c>
      <c r="AA1839" s="7">
        <f>$K1839+$X1839</f>
      </c>
      <c r="AB1839" s="7">
        <f>$L1839+$Y1839</f>
      </c>
      <c r="AC1839" s="7">
        <f>$K1839-$X1839</f>
      </c>
      <c r="AD1839" s="7">
        <f>$L1839-$Y1839</f>
      </c>
      <c r="AE1839" s="7">
        <f>AA1839/39.3701</f>
      </c>
      <c r="AF1839" s="7">
        <f>AB1839/39.3701</f>
      </c>
      <c r="AG1839" s="7">
        <f>AC1839/39.3701</f>
      </c>
      <c r="AH1839" s="7">
        <f>AD1839/39.3701</f>
      </c>
      <c r="AI1839" s="1"/>
      <c r="AJ1839" s="1"/>
      <c r="AK1839" s="1"/>
      <c r="AL1839" s="1"/>
      <c r="AM1839" s="2"/>
      <c r="AN1839" s="1"/>
      <c r="AO1839" s="1"/>
      <c r="AP1839" s="1"/>
      <c r="AQ1839" s="1"/>
      <c r="AR1839" s="1"/>
      <c r="AS1839" s="1"/>
      <c r="AT1839" s="1"/>
      <c r="AU1839" s="1"/>
      <c r="AV1839" s="1"/>
      <c r="AW1839" s="1"/>
      <c r="AX1839" s="1"/>
      <c r="AY1839" s="1"/>
      <c r="AZ1839" s="1"/>
      <c r="BA1839" s="1"/>
      <c r="BB1839" s="1"/>
      <c r="BC1839" s="1"/>
      <c r="BD1839" s="1"/>
      <c r="BE1839" s="1"/>
    </row>
    <row x14ac:dyDescent="0.25" r="1840" customHeight="1" ht="18.75">
      <c r="A1840" s="1"/>
      <c r="B1840" s="2"/>
      <c r="C1840" s="2"/>
      <c r="D1840" s="2"/>
      <c r="E1840" s="2"/>
      <c r="F1840" s="2"/>
      <c r="G1840" s="1"/>
      <c r="H1840" s="1"/>
      <c r="I1840" s="7">
        <v>1.837</v>
      </c>
      <c r="J1840" s="7">
        <f>IF((I1840-ROUNDDOWN(I1840,0))=0, 0, (I1840-ROUNDDOWN(I1840,0)))</f>
      </c>
      <c r="K1840" s="7">
        <f>INDIRECT("C$"&amp;2+MIN(2,ROUNDDOWN(I1840,0))*3)*(-$J1840^3+3*$J1840^2-3*$J1840+1)+INDIRECT("C$"&amp;3+MIN(2,ROUNDDOWN(I1840,0))*3)*(3*$J1840^3-6*$J1840^2+3*$J1840)+INDIRECT("C$"&amp;4+MIN(2,ROUNDDOWN(I1840,0))*3)*(-3*$J1840^3+3*$J1840^2)+INDIRECT("C$"&amp;5+MIN(2,ROUNDDOWN(I1840,0))*3)*$J1840^3</f>
      </c>
      <c r="L1840" s="7">
        <f>INDIRECT("D$"&amp;2+MIN(2,ROUNDDOWN(I1840,0))*3)*(-$J1840^3+3*$J1840^2-3*$J1840+1)+INDIRECT("D$"&amp;3+MIN(2,ROUNDDOWN(I1840,0))*3)*(3*$J1840^3-6*$J1840^2+3*$J1840)+INDIRECT("D$"&amp;4+MIN(2,ROUNDDOWN(I1840,0))*3)*(-3*$J1840^3+3*$J1840^2)+INDIRECT("D$"&amp;5+MIN(2,ROUNDDOWN(I1840,0))*3)*$J1840^3</f>
      </c>
      <c r="M1840" s="7">
        <f>SQRT(K1840^2+L1840^2)</f>
      </c>
      <c r="N1840" s="7">
        <f>(K1841-K1839)</f>
      </c>
      <c r="O1840" s="7">
        <f>+(L1841-L1839)</f>
      </c>
      <c r="P1840" s="7">
        <f>SQRT(O1840^2+N1840^2)</f>
      </c>
      <c r="Q1840" s="7">
        <f>N1840/$P1840</f>
      </c>
      <c r="R1840" s="7">
        <f>O1840/$P1840</f>
      </c>
      <c r="S1840" s="7">
        <f>Q1840^2+R1840^2</f>
      </c>
      <c r="T1840" s="7">
        <f>-R1840</f>
      </c>
      <c r="U1840" s="7">
        <f>Q1840</f>
      </c>
      <c r="V1840" s="7">
        <f>($C$14+($C$15-$C$14)/($D$15-$D$14)*(I1840-$D$14))/2</f>
      </c>
      <c r="W1840" s="7">
        <f>($B$22*I1840^4+$C$22*I1840^3+$D$22*I1840^2+$E$22*I1840+$F$22)/2</f>
      </c>
      <c r="X1840" s="7">
        <f>($W1840)*(T1840)</f>
      </c>
      <c r="Y1840" s="7">
        <f>($W1840)*(U1840)</f>
      </c>
      <c r="Z1840" s="7">
        <f>SQRT(X1840^2+Y1840^2)</f>
      </c>
      <c r="AA1840" s="7">
        <f>$K1840+$X1840</f>
      </c>
      <c r="AB1840" s="7">
        <f>$L1840+$Y1840</f>
      </c>
      <c r="AC1840" s="7">
        <f>$K1840-$X1840</f>
      </c>
      <c r="AD1840" s="7">
        <f>$L1840-$Y1840</f>
      </c>
      <c r="AE1840" s="7">
        <f>AA1840/39.3701</f>
      </c>
      <c r="AF1840" s="7">
        <f>AB1840/39.3701</f>
      </c>
      <c r="AG1840" s="7">
        <f>AC1840/39.3701</f>
      </c>
      <c r="AH1840" s="7">
        <f>AD1840/39.3701</f>
      </c>
      <c r="AI1840" s="1"/>
      <c r="AJ1840" s="1"/>
      <c r="AK1840" s="1"/>
      <c r="AL1840" s="1"/>
      <c r="AM1840" s="2"/>
      <c r="AN1840" s="1"/>
      <c r="AO1840" s="1"/>
      <c r="AP1840" s="1"/>
      <c r="AQ1840" s="1"/>
      <c r="AR1840" s="1"/>
      <c r="AS1840" s="1"/>
      <c r="AT1840" s="1"/>
      <c r="AU1840" s="1"/>
      <c r="AV1840" s="1"/>
      <c r="AW1840" s="1"/>
      <c r="AX1840" s="1"/>
      <c r="AY1840" s="1"/>
      <c r="AZ1840" s="1"/>
      <c r="BA1840" s="1"/>
      <c r="BB1840" s="1"/>
      <c r="BC1840" s="1"/>
      <c r="BD1840" s="1"/>
      <c r="BE1840" s="1"/>
    </row>
    <row x14ac:dyDescent="0.25" r="1841" customHeight="1" ht="18.75">
      <c r="A1841" s="1"/>
      <c r="B1841" s="2"/>
      <c r="C1841" s="2"/>
      <c r="D1841" s="2"/>
      <c r="E1841" s="2"/>
      <c r="F1841" s="2"/>
      <c r="G1841" s="1"/>
      <c r="H1841" s="1"/>
      <c r="I1841" s="7">
        <v>1.838</v>
      </c>
      <c r="J1841" s="7">
        <f>IF((I1841-ROUNDDOWN(I1841,0))=0, 0, (I1841-ROUNDDOWN(I1841,0)))</f>
      </c>
      <c r="K1841" s="7">
        <f>INDIRECT("C$"&amp;2+MIN(2,ROUNDDOWN(I1841,0))*3)*(-$J1841^3+3*$J1841^2-3*$J1841+1)+INDIRECT("C$"&amp;3+MIN(2,ROUNDDOWN(I1841,0))*3)*(3*$J1841^3-6*$J1841^2+3*$J1841)+INDIRECT("C$"&amp;4+MIN(2,ROUNDDOWN(I1841,0))*3)*(-3*$J1841^3+3*$J1841^2)+INDIRECT("C$"&amp;5+MIN(2,ROUNDDOWN(I1841,0))*3)*$J1841^3</f>
      </c>
      <c r="L1841" s="7">
        <f>INDIRECT("D$"&amp;2+MIN(2,ROUNDDOWN(I1841,0))*3)*(-$J1841^3+3*$J1841^2-3*$J1841+1)+INDIRECT("D$"&amp;3+MIN(2,ROUNDDOWN(I1841,0))*3)*(3*$J1841^3-6*$J1841^2+3*$J1841)+INDIRECT("D$"&amp;4+MIN(2,ROUNDDOWN(I1841,0))*3)*(-3*$J1841^3+3*$J1841^2)+INDIRECT("D$"&amp;5+MIN(2,ROUNDDOWN(I1841,0))*3)*$J1841^3</f>
      </c>
      <c r="M1841" s="7">
        <f>SQRT(K1841^2+L1841^2)</f>
      </c>
      <c r="N1841" s="7">
        <f>(K1842-K1840)</f>
      </c>
      <c r="O1841" s="7">
        <f>+(L1842-L1840)</f>
      </c>
      <c r="P1841" s="7">
        <f>SQRT(O1841^2+N1841^2)</f>
      </c>
      <c r="Q1841" s="7">
        <f>N1841/$P1841</f>
      </c>
      <c r="R1841" s="7">
        <f>O1841/$P1841</f>
      </c>
      <c r="S1841" s="7">
        <f>Q1841^2+R1841^2</f>
      </c>
      <c r="T1841" s="7">
        <f>-R1841</f>
      </c>
      <c r="U1841" s="7">
        <f>Q1841</f>
      </c>
      <c r="V1841" s="7">
        <f>($C$14+($C$15-$C$14)/($D$15-$D$14)*(I1841-$D$14))/2</f>
      </c>
      <c r="W1841" s="7">
        <f>($B$22*I1841^4+$C$22*I1841^3+$D$22*I1841^2+$E$22*I1841+$F$22)/2</f>
      </c>
      <c r="X1841" s="7">
        <f>($W1841)*(T1841)</f>
      </c>
      <c r="Y1841" s="7">
        <f>($W1841)*(U1841)</f>
      </c>
      <c r="Z1841" s="7">
        <f>SQRT(X1841^2+Y1841^2)</f>
      </c>
      <c r="AA1841" s="7">
        <f>$K1841+$X1841</f>
      </c>
      <c r="AB1841" s="7">
        <f>$L1841+$Y1841</f>
      </c>
      <c r="AC1841" s="7">
        <f>$K1841-$X1841</f>
      </c>
      <c r="AD1841" s="7">
        <f>$L1841-$Y1841</f>
      </c>
      <c r="AE1841" s="7">
        <f>AA1841/39.3701</f>
      </c>
      <c r="AF1841" s="7">
        <f>AB1841/39.3701</f>
      </c>
      <c r="AG1841" s="7">
        <f>AC1841/39.3701</f>
      </c>
      <c r="AH1841" s="7">
        <f>AD1841/39.3701</f>
      </c>
      <c r="AI1841" s="1"/>
      <c r="AJ1841" s="1"/>
      <c r="AK1841" s="1"/>
      <c r="AL1841" s="1"/>
      <c r="AM1841" s="2"/>
      <c r="AN1841" s="1"/>
      <c r="AO1841" s="1"/>
      <c r="AP1841" s="1"/>
      <c r="AQ1841" s="1"/>
      <c r="AR1841" s="1"/>
      <c r="AS1841" s="1"/>
      <c r="AT1841" s="1"/>
      <c r="AU1841" s="1"/>
      <c r="AV1841" s="1"/>
      <c r="AW1841" s="1"/>
      <c r="AX1841" s="1"/>
      <c r="AY1841" s="1"/>
      <c r="AZ1841" s="1"/>
      <c r="BA1841" s="1"/>
      <c r="BB1841" s="1"/>
      <c r="BC1841" s="1"/>
      <c r="BD1841" s="1"/>
      <c r="BE1841" s="1"/>
    </row>
    <row x14ac:dyDescent="0.25" r="1842" customHeight="1" ht="18.75">
      <c r="A1842" s="1"/>
      <c r="B1842" s="2"/>
      <c r="C1842" s="2"/>
      <c r="D1842" s="2"/>
      <c r="E1842" s="2"/>
      <c r="F1842" s="2"/>
      <c r="G1842" s="1"/>
      <c r="H1842" s="1"/>
      <c r="I1842" s="7">
        <v>1.839</v>
      </c>
      <c r="J1842" s="7">
        <f>IF((I1842-ROUNDDOWN(I1842,0))=0, 0, (I1842-ROUNDDOWN(I1842,0)))</f>
      </c>
      <c r="K1842" s="7">
        <f>INDIRECT("C$"&amp;2+MIN(2,ROUNDDOWN(I1842,0))*3)*(-$J1842^3+3*$J1842^2-3*$J1842+1)+INDIRECT("C$"&amp;3+MIN(2,ROUNDDOWN(I1842,0))*3)*(3*$J1842^3-6*$J1842^2+3*$J1842)+INDIRECT("C$"&amp;4+MIN(2,ROUNDDOWN(I1842,0))*3)*(-3*$J1842^3+3*$J1842^2)+INDIRECT("C$"&amp;5+MIN(2,ROUNDDOWN(I1842,0))*3)*$J1842^3</f>
      </c>
      <c r="L1842" s="7">
        <f>INDIRECT("D$"&amp;2+MIN(2,ROUNDDOWN(I1842,0))*3)*(-$J1842^3+3*$J1842^2-3*$J1842+1)+INDIRECT("D$"&amp;3+MIN(2,ROUNDDOWN(I1842,0))*3)*(3*$J1842^3-6*$J1842^2+3*$J1842)+INDIRECT("D$"&amp;4+MIN(2,ROUNDDOWN(I1842,0))*3)*(-3*$J1842^3+3*$J1842^2)+INDIRECT("D$"&amp;5+MIN(2,ROUNDDOWN(I1842,0))*3)*$J1842^3</f>
      </c>
      <c r="M1842" s="7">
        <f>SQRT(K1842^2+L1842^2)</f>
      </c>
      <c r="N1842" s="7">
        <f>(K1843-K1841)</f>
      </c>
      <c r="O1842" s="7">
        <f>+(L1843-L1841)</f>
      </c>
      <c r="P1842" s="7">
        <f>SQRT(O1842^2+N1842^2)</f>
      </c>
      <c r="Q1842" s="7">
        <f>N1842/$P1842</f>
      </c>
      <c r="R1842" s="7">
        <f>O1842/$P1842</f>
      </c>
      <c r="S1842" s="8">
        <f>Q1842^2+R1842^2</f>
      </c>
      <c r="T1842" s="7">
        <f>-R1842</f>
      </c>
      <c r="U1842" s="7">
        <f>Q1842</f>
      </c>
      <c r="V1842" s="7">
        <f>($C$14+($C$15-$C$14)/($D$15-$D$14)*(I1842-$D$14))/2</f>
      </c>
      <c r="W1842" s="7">
        <f>($B$22*I1842^4+$C$22*I1842^3+$D$22*I1842^2+$E$22*I1842+$F$22)/2</f>
      </c>
      <c r="X1842" s="7">
        <f>($W1842)*(T1842)</f>
      </c>
      <c r="Y1842" s="7">
        <f>($W1842)*(U1842)</f>
      </c>
      <c r="Z1842" s="7">
        <f>SQRT(X1842^2+Y1842^2)</f>
      </c>
      <c r="AA1842" s="7">
        <f>$K1842+$X1842</f>
      </c>
      <c r="AB1842" s="7">
        <f>$L1842+$Y1842</f>
      </c>
      <c r="AC1842" s="7">
        <f>$K1842-$X1842</f>
      </c>
      <c r="AD1842" s="7">
        <f>$L1842-$Y1842</f>
      </c>
      <c r="AE1842" s="7">
        <f>AA1842/39.3701</f>
      </c>
      <c r="AF1842" s="7">
        <f>AB1842/39.3701</f>
      </c>
      <c r="AG1842" s="7">
        <f>AC1842/39.3701</f>
      </c>
      <c r="AH1842" s="7">
        <f>AD1842/39.3701</f>
      </c>
      <c r="AI1842" s="1"/>
      <c r="AJ1842" s="1"/>
      <c r="AK1842" s="1"/>
      <c r="AL1842" s="1"/>
      <c r="AM1842" s="2"/>
      <c r="AN1842" s="1"/>
      <c r="AO1842" s="1"/>
      <c r="AP1842" s="1"/>
      <c r="AQ1842" s="1"/>
      <c r="AR1842" s="1"/>
      <c r="AS1842" s="1"/>
      <c r="AT1842" s="1"/>
      <c r="AU1842" s="1"/>
      <c r="AV1842" s="1"/>
      <c r="AW1842" s="1"/>
      <c r="AX1842" s="1"/>
      <c r="AY1842" s="1"/>
      <c r="AZ1842" s="1"/>
      <c r="BA1842" s="1"/>
      <c r="BB1842" s="1"/>
      <c r="BC1842" s="1"/>
      <c r="BD1842" s="1"/>
      <c r="BE1842" s="1"/>
    </row>
    <row x14ac:dyDescent="0.25" r="1843" customHeight="1" ht="18.75">
      <c r="A1843" s="1"/>
      <c r="B1843" s="2"/>
      <c r="C1843" s="2"/>
      <c r="D1843" s="2"/>
      <c r="E1843" s="2"/>
      <c r="F1843" s="2"/>
      <c r="G1843" s="1"/>
      <c r="H1843" s="1"/>
      <c r="I1843" s="7">
        <v>1.84</v>
      </c>
      <c r="J1843" s="7">
        <f>IF((I1843-ROUNDDOWN(I1843,0))=0, 0, (I1843-ROUNDDOWN(I1843,0)))</f>
      </c>
      <c r="K1843" s="7">
        <f>INDIRECT("C$"&amp;2+MIN(2,ROUNDDOWN(I1843,0))*3)*(-$J1843^3+3*$J1843^2-3*$J1843+1)+INDIRECT("C$"&amp;3+MIN(2,ROUNDDOWN(I1843,0))*3)*(3*$J1843^3-6*$J1843^2+3*$J1843)+INDIRECT("C$"&amp;4+MIN(2,ROUNDDOWN(I1843,0))*3)*(-3*$J1843^3+3*$J1843^2)+INDIRECT("C$"&amp;5+MIN(2,ROUNDDOWN(I1843,0))*3)*$J1843^3</f>
      </c>
      <c r="L1843" s="7">
        <f>INDIRECT("D$"&amp;2+MIN(2,ROUNDDOWN(I1843,0))*3)*(-$J1843^3+3*$J1843^2-3*$J1843+1)+INDIRECT("D$"&amp;3+MIN(2,ROUNDDOWN(I1843,0))*3)*(3*$J1843^3-6*$J1843^2+3*$J1843)+INDIRECT("D$"&amp;4+MIN(2,ROUNDDOWN(I1843,0))*3)*(-3*$J1843^3+3*$J1843^2)+INDIRECT("D$"&amp;5+MIN(2,ROUNDDOWN(I1843,0))*3)*$J1843^3</f>
      </c>
      <c r="M1843" s="7">
        <f>SQRT(K1843^2+L1843^2)</f>
      </c>
      <c r="N1843" s="7">
        <f>(K1844-K1842)</f>
      </c>
      <c r="O1843" s="7">
        <f>+(L1844-L1842)</f>
      </c>
      <c r="P1843" s="7">
        <f>SQRT(O1843^2+N1843^2)</f>
      </c>
      <c r="Q1843" s="7">
        <f>N1843/$P1843</f>
      </c>
      <c r="R1843" s="7">
        <f>O1843/$P1843</f>
      </c>
      <c r="S1843" s="8">
        <f>Q1843^2+R1843^2</f>
      </c>
      <c r="T1843" s="7">
        <f>-R1843</f>
      </c>
      <c r="U1843" s="7">
        <f>Q1843</f>
      </c>
      <c r="V1843" s="7">
        <f>($C$14+($C$15-$C$14)/($D$15-$D$14)*(I1843-$D$14))/2</f>
      </c>
      <c r="W1843" s="7">
        <f>($B$22*I1843^4+$C$22*I1843^3+$D$22*I1843^2+$E$22*I1843+$F$22)/2</f>
      </c>
      <c r="X1843" s="7">
        <f>($W1843)*(T1843)</f>
      </c>
      <c r="Y1843" s="7">
        <f>($W1843)*(U1843)</f>
      </c>
      <c r="Z1843" s="7">
        <f>SQRT(X1843^2+Y1843^2)</f>
      </c>
      <c r="AA1843" s="7">
        <f>$K1843+$X1843</f>
      </c>
      <c r="AB1843" s="7">
        <f>$L1843+$Y1843</f>
      </c>
      <c r="AC1843" s="7">
        <f>$K1843-$X1843</f>
      </c>
      <c r="AD1843" s="7">
        <f>$L1843-$Y1843</f>
      </c>
      <c r="AE1843" s="7">
        <f>AA1843/39.3701</f>
      </c>
      <c r="AF1843" s="7">
        <f>AB1843/39.3701</f>
      </c>
      <c r="AG1843" s="7">
        <f>AC1843/39.3701</f>
      </c>
      <c r="AH1843" s="7">
        <f>AD1843/39.3701</f>
      </c>
      <c r="AI1843" s="1"/>
      <c r="AJ1843" s="1"/>
      <c r="AK1843" s="1"/>
      <c r="AL1843" s="1"/>
      <c r="AM1843" s="2"/>
      <c r="AN1843" s="1"/>
      <c r="AO1843" s="1"/>
      <c r="AP1843" s="1"/>
      <c r="AQ1843" s="1"/>
      <c r="AR1843" s="1"/>
      <c r="AS1843" s="1"/>
      <c r="AT1843" s="1"/>
      <c r="AU1843" s="1"/>
      <c r="AV1843" s="1"/>
      <c r="AW1843" s="1"/>
      <c r="AX1843" s="1"/>
      <c r="AY1843" s="1"/>
      <c r="AZ1843" s="1"/>
      <c r="BA1843" s="1"/>
      <c r="BB1843" s="1"/>
      <c r="BC1843" s="1"/>
      <c r="BD1843" s="1"/>
      <c r="BE1843" s="1"/>
    </row>
    <row x14ac:dyDescent="0.25" r="1844" customHeight="1" ht="18.75">
      <c r="A1844" s="1"/>
      <c r="B1844" s="2"/>
      <c r="C1844" s="2"/>
      <c r="D1844" s="2"/>
      <c r="E1844" s="2"/>
      <c r="F1844" s="2"/>
      <c r="G1844" s="1"/>
      <c r="H1844" s="1"/>
      <c r="I1844" s="7">
        <v>1.841</v>
      </c>
      <c r="J1844" s="7">
        <f>IF((I1844-ROUNDDOWN(I1844,0))=0, 0, (I1844-ROUNDDOWN(I1844,0)))</f>
      </c>
      <c r="K1844" s="7">
        <f>INDIRECT("C$"&amp;2+MIN(2,ROUNDDOWN(I1844,0))*3)*(-$J1844^3+3*$J1844^2-3*$J1844+1)+INDIRECT("C$"&amp;3+MIN(2,ROUNDDOWN(I1844,0))*3)*(3*$J1844^3-6*$J1844^2+3*$J1844)+INDIRECT("C$"&amp;4+MIN(2,ROUNDDOWN(I1844,0))*3)*(-3*$J1844^3+3*$J1844^2)+INDIRECT("C$"&amp;5+MIN(2,ROUNDDOWN(I1844,0))*3)*$J1844^3</f>
      </c>
      <c r="L1844" s="7">
        <f>INDIRECT("D$"&amp;2+MIN(2,ROUNDDOWN(I1844,0))*3)*(-$J1844^3+3*$J1844^2-3*$J1844+1)+INDIRECT("D$"&amp;3+MIN(2,ROUNDDOWN(I1844,0))*3)*(3*$J1844^3-6*$J1844^2+3*$J1844)+INDIRECT("D$"&amp;4+MIN(2,ROUNDDOWN(I1844,0))*3)*(-3*$J1844^3+3*$J1844^2)+INDIRECT("D$"&amp;5+MIN(2,ROUNDDOWN(I1844,0))*3)*$J1844^3</f>
      </c>
      <c r="M1844" s="7">
        <f>SQRT(K1844^2+L1844^2)</f>
      </c>
      <c r="N1844" s="7">
        <f>(K1845-K1843)</f>
      </c>
      <c r="O1844" s="7">
        <f>+(L1845-L1843)</f>
      </c>
      <c r="P1844" s="7">
        <f>SQRT(O1844^2+N1844^2)</f>
      </c>
      <c r="Q1844" s="7">
        <f>N1844/$P1844</f>
      </c>
      <c r="R1844" s="7">
        <f>O1844/$P1844</f>
      </c>
      <c r="S1844" s="7">
        <f>Q1844^2+R1844^2</f>
      </c>
      <c r="T1844" s="7">
        <f>-R1844</f>
      </c>
      <c r="U1844" s="7">
        <f>Q1844</f>
      </c>
      <c r="V1844" s="7">
        <f>($C$14+($C$15-$C$14)/($D$15-$D$14)*(I1844-$D$14))/2</f>
      </c>
      <c r="W1844" s="7">
        <f>($B$22*I1844^4+$C$22*I1844^3+$D$22*I1844^2+$E$22*I1844+$F$22)/2</f>
      </c>
      <c r="X1844" s="7">
        <f>($W1844)*(T1844)</f>
      </c>
      <c r="Y1844" s="7">
        <f>($W1844)*(U1844)</f>
      </c>
      <c r="Z1844" s="7">
        <f>SQRT(X1844^2+Y1844^2)</f>
      </c>
      <c r="AA1844" s="7">
        <f>$K1844+$X1844</f>
      </c>
      <c r="AB1844" s="7">
        <f>$L1844+$Y1844</f>
      </c>
      <c r="AC1844" s="7">
        <f>$K1844-$X1844</f>
      </c>
      <c r="AD1844" s="7">
        <f>$L1844-$Y1844</f>
      </c>
      <c r="AE1844" s="7">
        <f>AA1844/39.3701</f>
      </c>
      <c r="AF1844" s="7">
        <f>AB1844/39.3701</f>
      </c>
      <c r="AG1844" s="7">
        <f>AC1844/39.3701</f>
      </c>
      <c r="AH1844" s="7">
        <f>AD1844/39.3701</f>
      </c>
      <c r="AI1844" s="1"/>
      <c r="AJ1844" s="1"/>
      <c r="AK1844" s="1"/>
      <c r="AL1844" s="1"/>
      <c r="AM1844" s="2"/>
      <c r="AN1844" s="1"/>
      <c r="AO1844" s="1"/>
      <c r="AP1844" s="1"/>
      <c r="AQ1844" s="1"/>
      <c r="AR1844" s="1"/>
      <c r="AS1844" s="1"/>
      <c r="AT1844" s="1"/>
      <c r="AU1844" s="1"/>
      <c r="AV1844" s="1"/>
      <c r="AW1844" s="1"/>
      <c r="AX1844" s="1"/>
      <c r="AY1844" s="1"/>
      <c r="AZ1844" s="1"/>
      <c r="BA1844" s="1"/>
      <c r="BB1844" s="1"/>
      <c r="BC1844" s="1"/>
      <c r="BD1844" s="1"/>
      <c r="BE1844" s="1"/>
    </row>
    <row x14ac:dyDescent="0.25" r="1845" customHeight="1" ht="18.75">
      <c r="A1845" s="1"/>
      <c r="B1845" s="2"/>
      <c r="C1845" s="2"/>
      <c r="D1845" s="2"/>
      <c r="E1845" s="2"/>
      <c r="F1845" s="2"/>
      <c r="G1845" s="1"/>
      <c r="H1845" s="1"/>
      <c r="I1845" s="7">
        <v>1.842</v>
      </c>
      <c r="J1845" s="7">
        <f>IF((I1845-ROUNDDOWN(I1845,0))=0, 0, (I1845-ROUNDDOWN(I1845,0)))</f>
      </c>
      <c r="K1845" s="7">
        <f>INDIRECT("C$"&amp;2+MIN(2,ROUNDDOWN(I1845,0))*3)*(-$J1845^3+3*$J1845^2-3*$J1845+1)+INDIRECT("C$"&amp;3+MIN(2,ROUNDDOWN(I1845,0))*3)*(3*$J1845^3-6*$J1845^2+3*$J1845)+INDIRECT("C$"&amp;4+MIN(2,ROUNDDOWN(I1845,0))*3)*(-3*$J1845^3+3*$J1845^2)+INDIRECT("C$"&amp;5+MIN(2,ROUNDDOWN(I1845,0))*3)*$J1845^3</f>
      </c>
      <c r="L1845" s="7">
        <f>INDIRECT("D$"&amp;2+MIN(2,ROUNDDOWN(I1845,0))*3)*(-$J1845^3+3*$J1845^2-3*$J1845+1)+INDIRECT("D$"&amp;3+MIN(2,ROUNDDOWN(I1845,0))*3)*(3*$J1845^3-6*$J1845^2+3*$J1845)+INDIRECT("D$"&amp;4+MIN(2,ROUNDDOWN(I1845,0))*3)*(-3*$J1845^3+3*$J1845^2)+INDIRECT("D$"&amp;5+MIN(2,ROUNDDOWN(I1845,0))*3)*$J1845^3</f>
      </c>
      <c r="M1845" s="7">
        <f>SQRT(K1845^2+L1845^2)</f>
      </c>
      <c r="N1845" s="7">
        <f>(K1846-K1844)</f>
      </c>
      <c r="O1845" s="7">
        <f>+(L1846-L1844)</f>
      </c>
      <c r="P1845" s="7">
        <f>SQRT(O1845^2+N1845^2)</f>
      </c>
      <c r="Q1845" s="7">
        <f>N1845/$P1845</f>
      </c>
      <c r="R1845" s="7">
        <f>O1845/$P1845</f>
      </c>
      <c r="S1845" s="8">
        <f>Q1845^2+R1845^2</f>
      </c>
      <c r="T1845" s="7">
        <f>-R1845</f>
      </c>
      <c r="U1845" s="7">
        <f>Q1845</f>
      </c>
      <c r="V1845" s="7">
        <f>($C$14+($C$15-$C$14)/($D$15-$D$14)*(I1845-$D$14))/2</f>
      </c>
      <c r="W1845" s="7">
        <f>($B$22*I1845^4+$C$22*I1845^3+$D$22*I1845^2+$E$22*I1845+$F$22)/2</f>
      </c>
      <c r="X1845" s="7">
        <f>($W1845)*(T1845)</f>
      </c>
      <c r="Y1845" s="7">
        <f>($W1845)*(U1845)</f>
      </c>
      <c r="Z1845" s="7">
        <f>SQRT(X1845^2+Y1845^2)</f>
      </c>
      <c r="AA1845" s="7">
        <f>$K1845+$X1845</f>
      </c>
      <c r="AB1845" s="7">
        <f>$L1845+$Y1845</f>
      </c>
      <c r="AC1845" s="7">
        <f>$K1845-$X1845</f>
      </c>
      <c r="AD1845" s="7">
        <f>$L1845-$Y1845</f>
      </c>
      <c r="AE1845" s="7">
        <f>AA1845/39.3701</f>
      </c>
      <c r="AF1845" s="7">
        <f>AB1845/39.3701</f>
      </c>
      <c r="AG1845" s="7">
        <f>AC1845/39.3701</f>
      </c>
      <c r="AH1845" s="7">
        <f>AD1845/39.3701</f>
      </c>
      <c r="AI1845" s="1"/>
      <c r="AJ1845" s="1"/>
      <c r="AK1845" s="1"/>
      <c r="AL1845" s="1"/>
      <c r="AM1845" s="2"/>
      <c r="AN1845" s="1"/>
      <c r="AO1845" s="1"/>
      <c r="AP1845" s="1"/>
      <c r="AQ1845" s="1"/>
      <c r="AR1845" s="1"/>
      <c r="AS1845" s="1"/>
      <c r="AT1845" s="1"/>
      <c r="AU1845" s="1"/>
      <c r="AV1845" s="1"/>
      <c r="AW1845" s="1"/>
      <c r="AX1845" s="1"/>
      <c r="AY1845" s="1"/>
      <c r="AZ1845" s="1"/>
      <c r="BA1845" s="1"/>
      <c r="BB1845" s="1"/>
      <c r="BC1845" s="1"/>
      <c r="BD1845" s="1"/>
      <c r="BE1845" s="1"/>
    </row>
    <row x14ac:dyDescent="0.25" r="1846" customHeight="1" ht="18.75">
      <c r="A1846" s="1"/>
      <c r="B1846" s="2"/>
      <c r="C1846" s="2"/>
      <c r="D1846" s="2"/>
      <c r="E1846" s="2"/>
      <c r="F1846" s="2"/>
      <c r="G1846" s="1"/>
      <c r="H1846" s="1"/>
      <c r="I1846" s="7">
        <v>1.843</v>
      </c>
      <c r="J1846" s="7">
        <f>IF((I1846-ROUNDDOWN(I1846,0))=0, 0, (I1846-ROUNDDOWN(I1846,0)))</f>
      </c>
      <c r="K1846" s="7">
        <f>INDIRECT("C$"&amp;2+MIN(2,ROUNDDOWN(I1846,0))*3)*(-$J1846^3+3*$J1846^2-3*$J1846+1)+INDIRECT("C$"&amp;3+MIN(2,ROUNDDOWN(I1846,0))*3)*(3*$J1846^3-6*$J1846^2+3*$J1846)+INDIRECT("C$"&amp;4+MIN(2,ROUNDDOWN(I1846,0))*3)*(-3*$J1846^3+3*$J1846^2)+INDIRECT("C$"&amp;5+MIN(2,ROUNDDOWN(I1846,0))*3)*$J1846^3</f>
      </c>
      <c r="L1846" s="7">
        <f>INDIRECT("D$"&amp;2+MIN(2,ROUNDDOWN(I1846,0))*3)*(-$J1846^3+3*$J1846^2-3*$J1846+1)+INDIRECT("D$"&amp;3+MIN(2,ROUNDDOWN(I1846,0))*3)*(3*$J1846^3-6*$J1846^2+3*$J1846)+INDIRECT("D$"&amp;4+MIN(2,ROUNDDOWN(I1846,0))*3)*(-3*$J1846^3+3*$J1846^2)+INDIRECT("D$"&amp;5+MIN(2,ROUNDDOWN(I1846,0))*3)*$J1846^3</f>
      </c>
      <c r="M1846" s="7">
        <f>SQRT(K1846^2+L1846^2)</f>
      </c>
      <c r="N1846" s="7">
        <f>(K1847-K1845)</f>
      </c>
      <c r="O1846" s="7">
        <f>+(L1847-L1845)</f>
      </c>
      <c r="P1846" s="7">
        <f>SQRT(O1846^2+N1846^2)</f>
      </c>
      <c r="Q1846" s="7">
        <f>N1846/$P1846</f>
      </c>
      <c r="R1846" s="7">
        <f>O1846/$P1846</f>
      </c>
      <c r="S1846" s="7">
        <f>Q1846^2+R1846^2</f>
      </c>
      <c r="T1846" s="7">
        <f>-R1846</f>
      </c>
      <c r="U1846" s="7">
        <f>Q1846</f>
      </c>
      <c r="V1846" s="7">
        <f>($C$14+($C$15-$C$14)/($D$15-$D$14)*(I1846-$D$14))/2</f>
      </c>
      <c r="W1846" s="7">
        <f>($B$22*I1846^4+$C$22*I1846^3+$D$22*I1846^2+$E$22*I1846+$F$22)/2</f>
      </c>
      <c r="X1846" s="7">
        <f>($W1846)*(T1846)</f>
      </c>
      <c r="Y1846" s="7">
        <f>($W1846)*(U1846)</f>
      </c>
      <c r="Z1846" s="7">
        <f>SQRT(X1846^2+Y1846^2)</f>
      </c>
      <c r="AA1846" s="7">
        <f>$K1846+$X1846</f>
      </c>
      <c r="AB1846" s="7">
        <f>$L1846+$Y1846</f>
      </c>
      <c r="AC1846" s="7">
        <f>$K1846-$X1846</f>
      </c>
      <c r="AD1846" s="7">
        <f>$L1846-$Y1846</f>
      </c>
      <c r="AE1846" s="7">
        <f>AA1846/39.3701</f>
      </c>
      <c r="AF1846" s="7">
        <f>AB1846/39.3701</f>
      </c>
      <c r="AG1846" s="7">
        <f>AC1846/39.3701</f>
      </c>
      <c r="AH1846" s="7">
        <f>AD1846/39.3701</f>
      </c>
      <c r="AI1846" s="1"/>
      <c r="AJ1846" s="1"/>
      <c r="AK1846" s="1"/>
      <c r="AL1846" s="1"/>
      <c r="AM1846" s="2"/>
      <c r="AN1846" s="1"/>
      <c r="AO1846" s="1"/>
      <c r="AP1846" s="1"/>
      <c r="AQ1846" s="1"/>
      <c r="AR1846" s="1"/>
      <c r="AS1846" s="1"/>
      <c r="AT1846" s="1"/>
      <c r="AU1846" s="1"/>
      <c r="AV1846" s="1"/>
      <c r="AW1846" s="1"/>
      <c r="AX1846" s="1"/>
      <c r="AY1846" s="1"/>
      <c r="AZ1846" s="1"/>
      <c r="BA1846" s="1"/>
      <c r="BB1846" s="1"/>
      <c r="BC1846" s="1"/>
      <c r="BD1846" s="1"/>
      <c r="BE1846" s="1"/>
    </row>
    <row x14ac:dyDescent="0.25" r="1847" customHeight="1" ht="18.75">
      <c r="A1847" s="1"/>
      <c r="B1847" s="2"/>
      <c r="C1847" s="2"/>
      <c r="D1847" s="2"/>
      <c r="E1847" s="2"/>
      <c r="F1847" s="2"/>
      <c r="G1847" s="1"/>
      <c r="H1847" s="1"/>
      <c r="I1847" s="7">
        <v>1.844</v>
      </c>
      <c r="J1847" s="7">
        <f>IF((I1847-ROUNDDOWN(I1847,0))=0, 0, (I1847-ROUNDDOWN(I1847,0)))</f>
      </c>
      <c r="K1847" s="7">
        <f>INDIRECT("C$"&amp;2+MIN(2,ROUNDDOWN(I1847,0))*3)*(-$J1847^3+3*$J1847^2-3*$J1847+1)+INDIRECT("C$"&amp;3+MIN(2,ROUNDDOWN(I1847,0))*3)*(3*$J1847^3-6*$J1847^2+3*$J1847)+INDIRECT("C$"&amp;4+MIN(2,ROUNDDOWN(I1847,0))*3)*(-3*$J1847^3+3*$J1847^2)+INDIRECT("C$"&amp;5+MIN(2,ROUNDDOWN(I1847,0))*3)*$J1847^3</f>
      </c>
      <c r="L1847" s="7">
        <f>INDIRECT("D$"&amp;2+MIN(2,ROUNDDOWN(I1847,0))*3)*(-$J1847^3+3*$J1847^2-3*$J1847+1)+INDIRECT("D$"&amp;3+MIN(2,ROUNDDOWN(I1847,0))*3)*(3*$J1847^3-6*$J1847^2+3*$J1847)+INDIRECT("D$"&amp;4+MIN(2,ROUNDDOWN(I1847,0))*3)*(-3*$J1847^3+3*$J1847^2)+INDIRECT("D$"&amp;5+MIN(2,ROUNDDOWN(I1847,0))*3)*$J1847^3</f>
      </c>
      <c r="M1847" s="7">
        <f>SQRT(K1847^2+L1847^2)</f>
      </c>
      <c r="N1847" s="7">
        <f>(K1848-K1846)</f>
      </c>
      <c r="O1847" s="7">
        <f>+(L1848-L1846)</f>
      </c>
      <c r="P1847" s="7">
        <f>SQRT(O1847^2+N1847^2)</f>
      </c>
      <c r="Q1847" s="7">
        <f>N1847/$P1847</f>
      </c>
      <c r="R1847" s="7">
        <f>O1847/$P1847</f>
      </c>
      <c r="S1847" s="7">
        <f>Q1847^2+R1847^2</f>
      </c>
      <c r="T1847" s="7">
        <f>-R1847</f>
      </c>
      <c r="U1847" s="7">
        <f>Q1847</f>
      </c>
      <c r="V1847" s="7">
        <f>($C$14+($C$15-$C$14)/($D$15-$D$14)*(I1847-$D$14))/2</f>
      </c>
      <c r="W1847" s="7">
        <f>($B$22*I1847^4+$C$22*I1847^3+$D$22*I1847^2+$E$22*I1847+$F$22)/2</f>
      </c>
      <c r="X1847" s="7">
        <f>($W1847)*(T1847)</f>
      </c>
      <c r="Y1847" s="7">
        <f>($W1847)*(U1847)</f>
      </c>
      <c r="Z1847" s="7">
        <f>SQRT(X1847^2+Y1847^2)</f>
      </c>
      <c r="AA1847" s="7">
        <f>$K1847+$X1847</f>
      </c>
      <c r="AB1847" s="7">
        <f>$L1847+$Y1847</f>
      </c>
      <c r="AC1847" s="7">
        <f>$K1847-$X1847</f>
      </c>
      <c r="AD1847" s="7">
        <f>$L1847-$Y1847</f>
      </c>
      <c r="AE1847" s="7">
        <f>AA1847/39.3701</f>
      </c>
      <c r="AF1847" s="7">
        <f>AB1847/39.3701</f>
      </c>
      <c r="AG1847" s="7">
        <f>AC1847/39.3701</f>
      </c>
      <c r="AH1847" s="7">
        <f>AD1847/39.3701</f>
      </c>
      <c r="AI1847" s="1"/>
      <c r="AJ1847" s="1"/>
      <c r="AK1847" s="1"/>
      <c r="AL1847" s="1"/>
      <c r="AM1847" s="2"/>
      <c r="AN1847" s="1"/>
      <c r="AO1847" s="1"/>
      <c r="AP1847" s="1"/>
      <c r="AQ1847" s="1"/>
      <c r="AR1847" s="1"/>
      <c r="AS1847" s="1"/>
      <c r="AT1847" s="1"/>
      <c r="AU1847" s="1"/>
      <c r="AV1847" s="1"/>
      <c r="AW1847" s="1"/>
      <c r="AX1847" s="1"/>
      <c r="AY1847" s="1"/>
      <c r="AZ1847" s="1"/>
      <c r="BA1847" s="1"/>
      <c r="BB1847" s="1"/>
      <c r="BC1847" s="1"/>
      <c r="BD1847" s="1"/>
      <c r="BE1847" s="1"/>
    </row>
    <row x14ac:dyDescent="0.25" r="1848" customHeight="1" ht="18.75">
      <c r="A1848" s="1"/>
      <c r="B1848" s="2"/>
      <c r="C1848" s="2"/>
      <c r="D1848" s="2"/>
      <c r="E1848" s="2"/>
      <c r="F1848" s="2"/>
      <c r="G1848" s="1"/>
      <c r="H1848" s="1"/>
      <c r="I1848" s="7">
        <v>1.845</v>
      </c>
      <c r="J1848" s="7">
        <f>IF((I1848-ROUNDDOWN(I1848,0))=0, 0, (I1848-ROUNDDOWN(I1848,0)))</f>
      </c>
      <c r="K1848" s="7">
        <f>INDIRECT("C$"&amp;2+MIN(2,ROUNDDOWN(I1848,0))*3)*(-$J1848^3+3*$J1848^2-3*$J1848+1)+INDIRECT("C$"&amp;3+MIN(2,ROUNDDOWN(I1848,0))*3)*(3*$J1848^3-6*$J1848^2+3*$J1848)+INDIRECT("C$"&amp;4+MIN(2,ROUNDDOWN(I1848,0))*3)*(-3*$J1848^3+3*$J1848^2)+INDIRECT("C$"&amp;5+MIN(2,ROUNDDOWN(I1848,0))*3)*$J1848^3</f>
      </c>
      <c r="L1848" s="7">
        <f>INDIRECT("D$"&amp;2+MIN(2,ROUNDDOWN(I1848,0))*3)*(-$J1848^3+3*$J1848^2-3*$J1848+1)+INDIRECT("D$"&amp;3+MIN(2,ROUNDDOWN(I1848,0))*3)*(3*$J1848^3-6*$J1848^2+3*$J1848)+INDIRECT("D$"&amp;4+MIN(2,ROUNDDOWN(I1848,0))*3)*(-3*$J1848^3+3*$J1848^2)+INDIRECT("D$"&amp;5+MIN(2,ROUNDDOWN(I1848,0))*3)*$J1848^3</f>
      </c>
      <c r="M1848" s="7">
        <f>SQRT(K1848^2+L1848^2)</f>
      </c>
      <c r="N1848" s="7">
        <f>(K1849-K1847)</f>
      </c>
      <c r="O1848" s="7">
        <f>+(L1849-L1847)</f>
      </c>
      <c r="P1848" s="7">
        <f>SQRT(O1848^2+N1848^2)</f>
      </c>
      <c r="Q1848" s="7">
        <f>N1848/$P1848</f>
      </c>
      <c r="R1848" s="7">
        <f>O1848/$P1848</f>
      </c>
      <c r="S1848" s="8">
        <f>Q1848^2+R1848^2</f>
      </c>
      <c r="T1848" s="7">
        <f>-R1848</f>
      </c>
      <c r="U1848" s="7">
        <f>Q1848</f>
      </c>
      <c r="V1848" s="7">
        <f>($C$14+($C$15-$C$14)/($D$15-$D$14)*(I1848-$D$14))/2</f>
      </c>
      <c r="W1848" s="7">
        <f>($B$22*I1848^4+$C$22*I1848^3+$D$22*I1848^2+$E$22*I1848+$F$22)/2</f>
      </c>
      <c r="X1848" s="7">
        <f>($W1848)*(T1848)</f>
      </c>
      <c r="Y1848" s="7">
        <f>($W1848)*(U1848)</f>
      </c>
      <c r="Z1848" s="7">
        <f>SQRT(X1848^2+Y1848^2)</f>
      </c>
      <c r="AA1848" s="7">
        <f>$K1848+$X1848</f>
      </c>
      <c r="AB1848" s="7">
        <f>$L1848+$Y1848</f>
      </c>
      <c r="AC1848" s="7">
        <f>$K1848-$X1848</f>
      </c>
      <c r="AD1848" s="7">
        <f>$L1848-$Y1848</f>
      </c>
      <c r="AE1848" s="7">
        <f>AA1848/39.3701</f>
      </c>
      <c r="AF1848" s="7">
        <f>AB1848/39.3701</f>
      </c>
      <c r="AG1848" s="7">
        <f>AC1848/39.3701</f>
      </c>
      <c r="AH1848" s="7">
        <f>AD1848/39.3701</f>
      </c>
      <c r="AI1848" s="1"/>
      <c r="AJ1848" s="1"/>
      <c r="AK1848" s="1"/>
      <c r="AL1848" s="1"/>
      <c r="AM1848" s="2"/>
      <c r="AN1848" s="1"/>
      <c r="AO1848" s="1"/>
      <c r="AP1848" s="1"/>
      <c r="AQ1848" s="1"/>
      <c r="AR1848" s="1"/>
      <c r="AS1848" s="1"/>
      <c r="AT1848" s="1"/>
      <c r="AU1848" s="1"/>
      <c r="AV1848" s="1"/>
      <c r="AW1848" s="1"/>
      <c r="AX1848" s="1"/>
      <c r="AY1848" s="1"/>
      <c r="AZ1848" s="1"/>
      <c r="BA1848" s="1"/>
      <c r="BB1848" s="1"/>
      <c r="BC1848" s="1"/>
      <c r="BD1848" s="1"/>
      <c r="BE1848" s="1"/>
    </row>
    <row x14ac:dyDescent="0.25" r="1849" customHeight="1" ht="18.75">
      <c r="A1849" s="1"/>
      <c r="B1849" s="2"/>
      <c r="C1849" s="2"/>
      <c r="D1849" s="2"/>
      <c r="E1849" s="2"/>
      <c r="F1849" s="2"/>
      <c r="G1849" s="1"/>
      <c r="H1849" s="1"/>
      <c r="I1849" s="7">
        <v>1.846</v>
      </c>
      <c r="J1849" s="7">
        <f>IF((I1849-ROUNDDOWN(I1849,0))=0, 0, (I1849-ROUNDDOWN(I1849,0)))</f>
      </c>
      <c r="K1849" s="7">
        <f>INDIRECT("C$"&amp;2+MIN(2,ROUNDDOWN(I1849,0))*3)*(-$J1849^3+3*$J1849^2-3*$J1849+1)+INDIRECT("C$"&amp;3+MIN(2,ROUNDDOWN(I1849,0))*3)*(3*$J1849^3-6*$J1849^2+3*$J1849)+INDIRECT("C$"&amp;4+MIN(2,ROUNDDOWN(I1849,0))*3)*(-3*$J1849^3+3*$J1849^2)+INDIRECT("C$"&amp;5+MIN(2,ROUNDDOWN(I1849,0))*3)*$J1849^3</f>
      </c>
      <c r="L1849" s="7">
        <f>INDIRECT("D$"&amp;2+MIN(2,ROUNDDOWN(I1849,0))*3)*(-$J1849^3+3*$J1849^2-3*$J1849+1)+INDIRECT("D$"&amp;3+MIN(2,ROUNDDOWN(I1849,0))*3)*(3*$J1849^3-6*$J1849^2+3*$J1849)+INDIRECT("D$"&amp;4+MIN(2,ROUNDDOWN(I1849,0))*3)*(-3*$J1849^3+3*$J1849^2)+INDIRECT("D$"&amp;5+MIN(2,ROUNDDOWN(I1849,0))*3)*$J1849^3</f>
      </c>
      <c r="M1849" s="7">
        <f>SQRT(K1849^2+L1849^2)</f>
      </c>
      <c r="N1849" s="7">
        <f>(K1850-K1848)</f>
      </c>
      <c r="O1849" s="7">
        <f>+(L1850-L1848)</f>
      </c>
      <c r="P1849" s="7">
        <f>SQRT(O1849^2+N1849^2)</f>
      </c>
      <c r="Q1849" s="7">
        <f>N1849/$P1849</f>
      </c>
      <c r="R1849" s="7">
        <f>O1849/$P1849</f>
      </c>
      <c r="S1849" s="7">
        <f>Q1849^2+R1849^2</f>
      </c>
      <c r="T1849" s="7">
        <f>-R1849</f>
      </c>
      <c r="U1849" s="7">
        <f>Q1849</f>
      </c>
      <c r="V1849" s="7">
        <f>($C$14+($C$15-$C$14)/($D$15-$D$14)*(I1849-$D$14))/2</f>
      </c>
      <c r="W1849" s="7">
        <f>($B$22*I1849^4+$C$22*I1849^3+$D$22*I1849^2+$E$22*I1849+$F$22)/2</f>
      </c>
      <c r="X1849" s="7">
        <f>($W1849)*(T1849)</f>
      </c>
      <c r="Y1849" s="7">
        <f>($W1849)*(U1849)</f>
      </c>
      <c r="Z1849" s="7">
        <f>SQRT(X1849^2+Y1849^2)</f>
      </c>
      <c r="AA1849" s="7">
        <f>$K1849+$X1849</f>
      </c>
      <c r="AB1849" s="7">
        <f>$L1849+$Y1849</f>
      </c>
      <c r="AC1849" s="7">
        <f>$K1849-$X1849</f>
      </c>
      <c r="AD1849" s="7">
        <f>$L1849-$Y1849</f>
      </c>
      <c r="AE1849" s="7">
        <f>AA1849/39.3701</f>
      </c>
      <c r="AF1849" s="7">
        <f>AB1849/39.3701</f>
      </c>
      <c r="AG1849" s="7">
        <f>AC1849/39.3701</f>
      </c>
      <c r="AH1849" s="7">
        <f>AD1849/39.3701</f>
      </c>
      <c r="AI1849" s="1"/>
      <c r="AJ1849" s="1"/>
      <c r="AK1849" s="1"/>
      <c r="AL1849" s="1"/>
      <c r="AM1849" s="2"/>
      <c r="AN1849" s="1"/>
      <c r="AO1849" s="1"/>
      <c r="AP1849" s="1"/>
      <c r="AQ1849" s="1"/>
      <c r="AR1849" s="1"/>
      <c r="AS1849" s="1"/>
      <c r="AT1849" s="1"/>
      <c r="AU1849" s="1"/>
      <c r="AV1849" s="1"/>
      <c r="AW1849" s="1"/>
      <c r="AX1849" s="1"/>
      <c r="AY1849" s="1"/>
      <c r="AZ1849" s="1"/>
      <c r="BA1849" s="1"/>
      <c r="BB1849" s="1"/>
      <c r="BC1849" s="1"/>
      <c r="BD1849" s="1"/>
      <c r="BE1849" s="1"/>
    </row>
    <row x14ac:dyDescent="0.25" r="1850" customHeight="1" ht="18.75">
      <c r="A1850" s="1"/>
      <c r="B1850" s="2"/>
      <c r="C1850" s="2"/>
      <c r="D1850" s="2"/>
      <c r="E1850" s="2"/>
      <c r="F1850" s="2"/>
      <c r="G1850" s="1"/>
      <c r="H1850" s="1"/>
      <c r="I1850" s="7">
        <v>1.847</v>
      </c>
      <c r="J1850" s="7">
        <f>IF((I1850-ROUNDDOWN(I1850,0))=0, 0, (I1850-ROUNDDOWN(I1850,0)))</f>
      </c>
      <c r="K1850" s="7">
        <f>INDIRECT("C$"&amp;2+MIN(2,ROUNDDOWN(I1850,0))*3)*(-$J1850^3+3*$J1850^2-3*$J1850+1)+INDIRECT("C$"&amp;3+MIN(2,ROUNDDOWN(I1850,0))*3)*(3*$J1850^3-6*$J1850^2+3*$J1850)+INDIRECT("C$"&amp;4+MIN(2,ROUNDDOWN(I1850,0))*3)*(-3*$J1850^3+3*$J1850^2)+INDIRECT("C$"&amp;5+MIN(2,ROUNDDOWN(I1850,0))*3)*$J1850^3</f>
      </c>
      <c r="L1850" s="7">
        <f>INDIRECT("D$"&amp;2+MIN(2,ROUNDDOWN(I1850,0))*3)*(-$J1850^3+3*$J1850^2-3*$J1850+1)+INDIRECT("D$"&amp;3+MIN(2,ROUNDDOWN(I1850,0))*3)*(3*$J1850^3-6*$J1850^2+3*$J1850)+INDIRECT("D$"&amp;4+MIN(2,ROUNDDOWN(I1850,0))*3)*(-3*$J1850^3+3*$J1850^2)+INDIRECT("D$"&amp;5+MIN(2,ROUNDDOWN(I1850,0))*3)*$J1850^3</f>
      </c>
      <c r="M1850" s="7">
        <f>SQRT(K1850^2+L1850^2)</f>
      </c>
      <c r="N1850" s="7">
        <f>(K1851-K1849)</f>
      </c>
      <c r="O1850" s="7">
        <f>+(L1851-L1849)</f>
      </c>
      <c r="P1850" s="7">
        <f>SQRT(O1850^2+N1850^2)</f>
      </c>
      <c r="Q1850" s="7">
        <f>N1850/$P1850</f>
      </c>
      <c r="R1850" s="7">
        <f>O1850/$P1850</f>
      </c>
      <c r="S1850" s="7">
        <f>Q1850^2+R1850^2</f>
      </c>
      <c r="T1850" s="7">
        <f>-R1850</f>
      </c>
      <c r="U1850" s="7">
        <f>Q1850</f>
      </c>
      <c r="V1850" s="7">
        <f>($C$14+($C$15-$C$14)/($D$15-$D$14)*(I1850-$D$14))/2</f>
      </c>
      <c r="W1850" s="7">
        <f>($B$22*I1850^4+$C$22*I1850^3+$D$22*I1850^2+$E$22*I1850+$F$22)/2</f>
      </c>
      <c r="X1850" s="7">
        <f>($W1850)*(T1850)</f>
      </c>
      <c r="Y1850" s="7">
        <f>($W1850)*(U1850)</f>
      </c>
      <c r="Z1850" s="7">
        <f>SQRT(X1850^2+Y1850^2)</f>
      </c>
      <c r="AA1850" s="7">
        <f>$K1850+$X1850</f>
      </c>
      <c r="AB1850" s="7">
        <f>$L1850+$Y1850</f>
      </c>
      <c r="AC1850" s="7">
        <f>$K1850-$X1850</f>
      </c>
      <c r="AD1850" s="7">
        <f>$L1850-$Y1850</f>
      </c>
      <c r="AE1850" s="7">
        <f>AA1850/39.3701</f>
      </c>
      <c r="AF1850" s="7">
        <f>AB1850/39.3701</f>
      </c>
      <c r="AG1850" s="7">
        <f>AC1850/39.3701</f>
      </c>
      <c r="AH1850" s="7">
        <f>AD1850/39.3701</f>
      </c>
      <c r="AI1850" s="1"/>
      <c r="AJ1850" s="1"/>
      <c r="AK1850" s="1"/>
      <c r="AL1850" s="1"/>
      <c r="AM1850" s="2"/>
      <c r="AN1850" s="1"/>
      <c r="AO1850" s="1"/>
      <c r="AP1850" s="1"/>
      <c r="AQ1850" s="1"/>
      <c r="AR1850" s="1"/>
      <c r="AS1850" s="1"/>
      <c r="AT1850" s="1"/>
      <c r="AU1850" s="1"/>
      <c r="AV1850" s="1"/>
      <c r="AW1850" s="1"/>
      <c r="AX1850" s="1"/>
      <c r="AY1850" s="1"/>
      <c r="AZ1850" s="1"/>
      <c r="BA1850" s="1"/>
      <c r="BB1850" s="1"/>
      <c r="BC1850" s="1"/>
      <c r="BD1850" s="1"/>
      <c r="BE1850" s="1"/>
    </row>
    <row x14ac:dyDescent="0.25" r="1851" customHeight="1" ht="18.75">
      <c r="A1851" s="1"/>
      <c r="B1851" s="2"/>
      <c r="C1851" s="2"/>
      <c r="D1851" s="2"/>
      <c r="E1851" s="2"/>
      <c r="F1851" s="2"/>
      <c r="G1851" s="1"/>
      <c r="H1851" s="1"/>
      <c r="I1851" s="7">
        <v>1.848</v>
      </c>
      <c r="J1851" s="7">
        <f>IF((I1851-ROUNDDOWN(I1851,0))=0, 0, (I1851-ROUNDDOWN(I1851,0)))</f>
      </c>
      <c r="K1851" s="7">
        <f>INDIRECT("C$"&amp;2+MIN(2,ROUNDDOWN(I1851,0))*3)*(-$J1851^3+3*$J1851^2-3*$J1851+1)+INDIRECT("C$"&amp;3+MIN(2,ROUNDDOWN(I1851,0))*3)*(3*$J1851^3-6*$J1851^2+3*$J1851)+INDIRECT("C$"&amp;4+MIN(2,ROUNDDOWN(I1851,0))*3)*(-3*$J1851^3+3*$J1851^2)+INDIRECT("C$"&amp;5+MIN(2,ROUNDDOWN(I1851,0))*3)*$J1851^3</f>
      </c>
      <c r="L1851" s="7">
        <f>INDIRECT("D$"&amp;2+MIN(2,ROUNDDOWN(I1851,0))*3)*(-$J1851^3+3*$J1851^2-3*$J1851+1)+INDIRECT("D$"&amp;3+MIN(2,ROUNDDOWN(I1851,0))*3)*(3*$J1851^3-6*$J1851^2+3*$J1851)+INDIRECT("D$"&amp;4+MIN(2,ROUNDDOWN(I1851,0))*3)*(-3*$J1851^3+3*$J1851^2)+INDIRECT("D$"&amp;5+MIN(2,ROUNDDOWN(I1851,0))*3)*$J1851^3</f>
      </c>
      <c r="M1851" s="7">
        <f>SQRT(K1851^2+L1851^2)</f>
      </c>
      <c r="N1851" s="7">
        <f>(K1852-K1850)</f>
      </c>
      <c r="O1851" s="7">
        <f>+(L1852-L1850)</f>
      </c>
      <c r="P1851" s="7">
        <f>SQRT(O1851^2+N1851^2)</f>
      </c>
      <c r="Q1851" s="7">
        <f>N1851/$P1851</f>
      </c>
      <c r="R1851" s="7">
        <f>O1851/$P1851</f>
      </c>
      <c r="S1851" s="8">
        <f>Q1851^2+R1851^2</f>
      </c>
      <c r="T1851" s="7">
        <f>-R1851</f>
      </c>
      <c r="U1851" s="7">
        <f>Q1851</f>
      </c>
      <c r="V1851" s="7">
        <f>($C$14+($C$15-$C$14)/($D$15-$D$14)*(I1851-$D$14))/2</f>
      </c>
      <c r="W1851" s="7">
        <f>($B$22*I1851^4+$C$22*I1851^3+$D$22*I1851^2+$E$22*I1851+$F$22)/2</f>
      </c>
      <c r="X1851" s="7">
        <f>($W1851)*(T1851)</f>
      </c>
      <c r="Y1851" s="7">
        <f>($W1851)*(U1851)</f>
      </c>
      <c r="Z1851" s="7">
        <f>SQRT(X1851^2+Y1851^2)</f>
      </c>
      <c r="AA1851" s="7">
        <f>$K1851+$X1851</f>
      </c>
      <c r="AB1851" s="7">
        <f>$L1851+$Y1851</f>
      </c>
      <c r="AC1851" s="7">
        <f>$K1851-$X1851</f>
      </c>
      <c r="AD1851" s="7">
        <f>$L1851-$Y1851</f>
      </c>
      <c r="AE1851" s="7">
        <f>AA1851/39.3701</f>
      </c>
      <c r="AF1851" s="7">
        <f>AB1851/39.3701</f>
      </c>
      <c r="AG1851" s="7">
        <f>AC1851/39.3701</f>
      </c>
      <c r="AH1851" s="7">
        <f>AD1851/39.3701</f>
      </c>
      <c r="AI1851" s="1"/>
      <c r="AJ1851" s="1"/>
      <c r="AK1851" s="1"/>
      <c r="AL1851" s="1"/>
      <c r="AM1851" s="2"/>
      <c r="AN1851" s="1"/>
      <c r="AO1851" s="1"/>
      <c r="AP1851" s="1"/>
      <c r="AQ1851" s="1"/>
      <c r="AR1851" s="1"/>
      <c r="AS1851" s="1"/>
      <c r="AT1851" s="1"/>
      <c r="AU1851" s="1"/>
      <c r="AV1851" s="1"/>
      <c r="AW1851" s="1"/>
      <c r="AX1851" s="1"/>
      <c r="AY1851" s="1"/>
      <c r="AZ1851" s="1"/>
      <c r="BA1851" s="1"/>
      <c r="BB1851" s="1"/>
      <c r="BC1851" s="1"/>
      <c r="BD1851" s="1"/>
      <c r="BE1851" s="1"/>
    </row>
    <row x14ac:dyDescent="0.25" r="1852" customHeight="1" ht="18.75">
      <c r="A1852" s="1"/>
      <c r="B1852" s="2"/>
      <c r="C1852" s="2"/>
      <c r="D1852" s="2"/>
      <c r="E1852" s="2"/>
      <c r="F1852" s="2"/>
      <c r="G1852" s="1"/>
      <c r="H1852" s="1"/>
      <c r="I1852" s="7">
        <v>1.849</v>
      </c>
      <c r="J1852" s="7">
        <f>IF((I1852-ROUNDDOWN(I1852,0))=0, 0, (I1852-ROUNDDOWN(I1852,0)))</f>
      </c>
      <c r="K1852" s="7">
        <f>INDIRECT("C$"&amp;2+MIN(2,ROUNDDOWN(I1852,0))*3)*(-$J1852^3+3*$J1852^2-3*$J1852+1)+INDIRECT("C$"&amp;3+MIN(2,ROUNDDOWN(I1852,0))*3)*(3*$J1852^3-6*$J1852^2+3*$J1852)+INDIRECT("C$"&amp;4+MIN(2,ROUNDDOWN(I1852,0))*3)*(-3*$J1852^3+3*$J1852^2)+INDIRECT("C$"&amp;5+MIN(2,ROUNDDOWN(I1852,0))*3)*$J1852^3</f>
      </c>
      <c r="L1852" s="7">
        <f>INDIRECT("D$"&amp;2+MIN(2,ROUNDDOWN(I1852,0))*3)*(-$J1852^3+3*$J1852^2-3*$J1852+1)+INDIRECT("D$"&amp;3+MIN(2,ROUNDDOWN(I1852,0))*3)*(3*$J1852^3-6*$J1852^2+3*$J1852)+INDIRECT("D$"&amp;4+MIN(2,ROUNDDOWN(I1852,0))*3)*(-3*$J1852^3+3*$J1852^2)+INDIRECT("D$"&amp;5+MIN(2,ROUNDDOWN(I1852,0))*3)*$J1852^3</f>
      </c>
      <c r="M1852" s="7">
        <f>SQRT(K1852^2+L1852^2)</f>
      </c>
      <c r="N1852" s="7">
        <f>(K1853-K1851)</f>
      </c>
      <c r="O1852" s="7">
        <f>+(L1853-L1851)</f>
      </c>
      <c r="P1852" s="7">
        <f>SQRT(O1852^2+N1852^2)</f>
      </c>
      <c r="Q1852" s="7">
        <f>N1852/$P1852</f>
      </c>
      <c r="R1852" s="7">
        <f>O1852/$P1852</f>
      </c>
      <c r="S1852" s="7">
        <f>Q1852^2+R1852^2</f>
      </c>
      <c r="T1852" s="7">
        <f>-R1852</f>
      </c>
      <c r="U1852" s="7">
        <f>Q1852</f>
      </c>
      <c r="V1852" s="7">
        <f>($C$14+($C$15-$C$14)/($D$15-$D$14)*(I1852-$D$14))/2</f>
      </c>
      <c r="W1852" s="7">
        <f>($B$22*I1852^4+$C$22*I1852^3+$D$22*I1852^2+$E$22*I1852+$F$22)/2</f>
      </c>
      <c r="X1852" s="7">
        <f>($W1852)*(T1852)</f>
      </c>
      <c r="Y1852" s="7">
        <f>($W1852)*(U1852)</f>
      </c>
      <c r="Z1852" s="7">
        <f>SQRT(X1852^2+Y1852^2)</f>
      </c>
      <c r="AA1852" s="7">
        <f>$K1852+$X1852</f>
      </c>
      <c r="AB1852" s="7">
        <f>$L1852+$Y1852</f>
      </c>
      <c r="AC1852" s="7">
        <f>$K1852-$X1852</f>
      </c>
      <c r="AD1852" s="7">
        <f>$L1852-$Y1852</f>
      </c>
      <c r="AE1852" s="7">
        <f>AA1852/39.3701</f>
      </c>
      <c r="AF1852" s="7">
        <f>AB1852/39.3701</f>
      </c>
      <c r="AG1852" s="7">
        <f>AC1852/39.3701</f>
      </c>
      <c r="AH1852" s="7">
        <f>AD1852/39.3701</f>
      </c>
      <c r="AI1852" s="1"/>
      <c r="AJ1852" s="1"/>
      <c r="AK1852" s="1"/>
      <c r="AL1852" s="1"/>
      <c r="AM1852" s="2"/>
      <c r="AN1852" s="1"/>
      <c r="AO1852" s="1"/>
      <c r="AP1852" s="1"/>
      <c r="AQ1852" s="1"/>
      <c r="AR1852" s="1"/>
      <c r="AS1852" s="1"/>
      <c r="AT1852" s="1"/>
      <c r="AU1852" s="1"/>
      <c r="AV1852" s="1"/>
      <c r="AW1852" s="1"/>
      <c r="AX1852" s="1"/>
      <c r="AY1852" s="1"/>
      <c r="AZ1852" s="1"/>
      <c r="BA1852" s="1"/>
      <c r="BB1852" s="1"/>
      <c r="BC1852" s="1"/>
      <c r="BD1852" s="1"/>
      <c r="BE1852" s="1"/>
    </row>
    <row x14ac:dyDescent="0.25" r="1853" customHeight="1" ht="18.75">
      <c r="A1853" s="1"/>
      <c r="B1853" s="2"/>
      <c r="C1853" s="2"/>
      <c r="D1853" s="2"/>
      <c r="E1853" s="2"/>
      <c r="F1853" s="2"/>
      <c r="G1853" s="1"/>
      <c r="H1853" s="1"/>
      <c r="I1853" s="7">
        <v>1.85</v>
      </c>
      <c r="J1853" s="7">
        <f>IF((I1853-ROUNDDOWN(I1853,0))=0, 0, (I1853-ROUNDDOWN(I1853,0)))</f>
      </c>
      <c r="K1853" s="7">
        <f>INDIRECT("C$"&amp;2+MIN(2,ROUNDDOWN(I1853,0))*3)*(-$J1853^3+3*$J1853^2-3*$J1853+1)+INDIRECT("C$"&amp;3+MIN(2,ROUNDDOWN(I1853,0))*3)*(3*$J1853^3-6*$J1853^2+3*$J1853)+INDIRECT("C$"&amp;4+MIN(2,ROUNDDOWN(I1853,0))*3)*(-3*$J1853^3+3*$J1853^2)+INDIRECT("C$"&amp;5+MIN(2,ROUNDDOWN(I1853,0))*3)*$J1853^3</f>
      </c>
      <c r="L1853" s="7">
        <f>INDIRECT("D$"&amp;2+MIN(2,ROUNDDOWN(I1853,0))*3)*(-$J1853^3+3*$J1853^2-3*$J1853+1)+INDIRECT("D$"&amp;3+MIN(2,ROUNDDOWN(I1853,0))*3)*(3*$J1853^3-6*$J1853^2+3*$J1853)+INDIRECT("D$"&amp;4+MIN(2,ROUNDDOWN(I1853,0))*3)*(-3*$J1853^3+3*$J1853^2)+INDIRECT("D$"&amp;5+MIN(2,ROUNDDOWN(I1853,0))*3)*$J1853^3</f>
      </c>
      <c r="M1853" s="7">
        <f>SQRT(K1853^2+L1853^2)</f>
      </c>
      <c r="N1853" s="7">
        <f>(K1854-K1852)</f>
      </c>
      <c r="O1853" s="7">
        <f>+(L1854-L1852)</f>
      </c>
      <c r="P1853" s="7">
        <f>SQRT(O1853^2+N1853^2)</f>
      </c>
      <c r="Q1853" s="7">
        <f>N1853/$P1853</f>
      </c>
      <c r="R1853" s="7">
        <f>O1853/$P1853</f>
      </c>
      <c r="S1853" s="8">
        <f>Q1853^2+R1853^2</f>
      </c>
      <c r="T1853" s="7">
        <f>-R1853</f>
      </c>
      <c r="U1853" s="7">
        <f>Q1853</f>
      </c>
      <c r="V1853" s="7">
        <f>($C$14+($C$15-$C$14)/($D$15-$D$14)*(I1853-$D$14))/2</f>
      </c>
      <c r="W1853" s="7">
        <f>($B$22*I1853^4+$C$22*I1853^3+$D$22*I1853^2+$E$22*I1853+$F$22)/2</f>
      </c>
      <c r="X1853" s="7">
        <f>($W1853)*(T1853)</f>
      </c>
      <c r="Y1853" s="7">
        <f>($W1853)*(U1853)</f>
      </c>
      <c r="Z1853" s="7">
        <f>SQRT(X1853^2+Y1853^2)</f>
      </c>
      <c r="AA1853" s="7">
        <f>$K1853+$X1853</f>
      </c>
      <c r="AB1853" s="7">
        <f>$L1853+$Y1853</f>
      </c>
      <c r="AC1853" s="7">
        <f>$K1853-$X1853</f>
      </c>
      <c r="AD1853" s="7">
        <f>$L1853-$Y1853</f>
      </c>
      <c r="AE1853" s="7">
        <f>AA1853/39.3701</f>
      </c>
      <c r="AF1853" s="7">
        <f>AB1853/39.3701</f>
      </c>
      <c r="AG1853" s="7">
        <f>AC1853/39.3701</f>
      </c>
      <c r="AH1853" s="7">
        <f>AD1853/39.3701</f>
      </c>
      <c r="AI1853" s="1"/>
      <c r="AJ1853" s="1"/>
      <c r="AK1853" s="1"/>
      <c r="AL1853" s="1"/>
      <c r="AM1853" s="2"/>
      <c r="AN1853" s="1"/>
      <c r="AO1853" s="1"/>
      <c r="AP1853" s="1"/>
      <c r="AQ1853" s="1"/>
      <c r="AR1853" s="1"/>
      <c r="AS1853" s="1"/>
      <c r="AT1853" s="1"/>
      <c r="AU1853" s="1"/>
      <c r="AV1853" s="1"/>
      <c r="AW1853" s="1"/>
      <c r="AX1853" s="1"/>
      <c r="AY1853" s="1"/>
      <c r="AZ1853" s="1"/>
      <c r="BA1853" s="1"/>
      <c r="BB1853" s="1"/>
      <c r="BC1853" s="1"/>
      <c r="BD1853" s="1"/>
      <c r="BE1853" s="1"/>
    </row>
    <row x14ac:dyDescent="0.25" r="1854" customHeight="1" ht="18.75">
      <c r="A1854" s="1"/>
      <c r="B1854" s="2"/>
      <c r="C1854" s="2"/>
      <c r="D1854" s="2"/>
      <c r="E1854" s="2"/>
      <c r="F1854" s="2"/>
      <c r="G1854" s="1"/>
      <c r="H1854" s="1"/>
      <c r="I1854" s="7">
        <v>1.851</v>
      </c>
      <c r="J1854" s="7">
        <f>IF((I1854-ROUNDDOWN(I1854,0))=0, 0, (I1854-ROUNDDOWN(I1854,0)))</f>
      </c>
      <c r="K1854" s="7">
        <f>INDIRECT("C$"&amp;2+MIN(2,ROUNDDOWN(I1854,0))*3)*(-$J1854^3+3*$J1854^2-3*$J1854+1)+INDIRECT("C$"&amp;3+MIN(2,ROUNDDOWN(I1854,0))*3)*(3*$J1854^3-6*$J1854^2+3*$J1854)+INDIRECT("C$"&amp;4+MIN(2,ROUNDDOWN(I1854,0))*3)*(-3*$J1854^3+3*$J1854^2)+INDIRECT("C$"&amp;5+MIN(2,ROUNDDOWN(I1854,0))*3)*$J1854^3</f>
      </c>
      <c r="L1854" s="7">
        <f>INDIRECT("D$"&amp;2+MIN(2,ROUNDDOWN(I1854,0))*3)*(-$J1854^3+3*$J1854^2-3*$J1854+1)+INDIRECT("D$"&amp;3+MIN(2,ROUNDDOWN(I1854,0))*3)*(3*$J1854^3-6*$J1854^2+3*$J1854)+INDIRECT("D$"&amp;4+MIN(2,ROUNDDOWN(I1854,0))*3)*(-3*$J1854^3+3*$J1854^2)+INDIRECT("D$"&amp;5+MIN(2,ROUNDDOWN(I1854,0))*3)*$J1854^3</f>
      </c>
      <c r="M1854" s="7">
        <f>SQRT(K1854^2+L1854^2)</f>
      </c>
      <c r="N1854" s="7">
        <f>(K1855-K1853)</f>
      </c>
      <c r="O1854" s="7">
        <f>+(L1855-L1853)</f>
      </c>
      <c r="P1854" s="7">
        <f>SQRT(O1854^2+N1854^2)</f>
      </c>
      <c r="Q1854" s="7">
        <f>N1854/$P1854</f>
      </c>
      <c r="R1854" s="7">
        <f>O1854/$P1854</f>
      </c>
      <c r="S1854" s="7">
        <f>Q1854^2+R1854^2</f>
      </c>
      <c r="T1854" s="7">
        <f>-R1854</f>
      </c>
      <c r="U1854" s="7">
        <f>Q1854</f>
      </c>
      <c r="V1854" s="7">
        <f>($C$14+($C$15-$C$14)/($D$15-$D$14)*(I1854-$D$14))/2</f>
      </c>
      <c r="W1854" s="7">
        <f>($B$22*I1854^4+$C$22*I1854^3+$D$22*I1854^2+$E$22*I1854+$F$22)/2</f>
      </c>
      <c r="X1854" s="7">
        <f>($W1854)*(T1854)</f>
      </c>
      <c r="Y1854" s="7">
        <f>($W1854)*(U1854)</f>
      </c>
      <c r="Z1854" s="7">
        <f>SQRT(X1854^2+Y1854^2)</f>
      </c>
      <c r="AA1854" s="7">
        <f>$K1854+$X1854</f>
      </c>
      <c r="AB1854" s="7">
        <f>$L1854+$Y1854</f>
      </c>
      <c r="AC1854" s="7">
        <f>$K1854-$X1854</f>
      </c>
      <c r="AD1854" s="7">
        <f>$L1854-$Y1854</f>
      </c>
      <c r="AE1854" s="7">
        <f>AA1854/39.3701</f>
      </c>
      <c r="AF1854" s="7">
        <f>AB1854/39.3701</f>
      </c>
      <c r="AG1854" s="7">
        <f>AC1854/39.3701</f>
      </c>
      <c r="AH1854" s="7">
        <f>AD1854/39.3701</f>
      </c>
      <c r="AI1854" s="1"/>
      <c r="AJ1854" s="1"/>
      <c r="AK1854" s="1"/>
      <c r="AL1854" s="1"/>
      <c r="AM1854" s="2"/>
      <c r="AN1854" s="1"/>
      <c r="AO1854" s="1"/>
      <c r="AP1854" s="1"/>
      <c r="AQ1854" s="1"/>
      <c r="AR1854" s="1"/>
      <c r="AS1854" s="1"/>
      <c r="AT1854" s="1"/>
      <c r="AU1854" s="1"/>
      <c r="AV1854" s="1"/>
      <c r="AW1854" s="1"/>
      <c r="AX1854" s="1"/>
      <c r="AY1854" s="1"/>
      <c r="AZ1854" s="1"/>
      <c r="BA1854" s="1"/>
      <c r="BB1854" s="1"/>
      <c r="BC1854" s="1"/>
      <c r="BD1854" s="1"/>
      <c r="BE1854" s="1"/>
    </row>
    <row x14ac:dyDescent="0.25" r="1855" customHeight="1" ht="18.75">
      <c r="A1855" s="1"/>
      <c r="B1855" s="2"/>
      <c r="C1855" s="2"/>
      <c r="D1855" s="2"/>
      <c r="E1855" s="2"/>
      <c r="F1855" s="2"/>
      <c r="G1855" s="1"/>
      <c r="H1855" s="1"/>
      <c r="I1855" s="7">
        <v>1.852</v>
      </c>
      <c r="J1855" s="7">
        <f>IF((I1855-ROUNDDOWN(I1855,0))=0, 0, (I1855-ROUNDDOWN(I1855,0)))</f>
      </c>
      <c r="K1855" s="7">
        <f>INDIRECT("C$"&amp;2+MIN(2,ROUNDDOWN(I1855,0))*3)*(-$J1855^3+3*$J1855^2-3*$J1855+1)+INDIRECT("C$"&amp;3+MIN(2,ROUNDDOWN(I1855,0))*3)*(3*$J1855^3-6*$J1855^2+3*$J1855)+INDIRECT("C$"&amp;4+MIN(2,ROUNDDOWN(I1855,0))*3)*(-3*$J1855^3+3*$J1855^2)+INDIRECT("C$"&amp;5+MIN(2,ROUNDDOWN(I1855,0))*3)*$J1855^3</f>
      </c>
      <c r="L1855" s="7">
        <f>INDIRECT("D$"&amp;2+MIN(2,ROUNDDOWN(I1855,0))*3)*(-$J1855^3+3*$J1855^2-3*$J1855+1)+INDIRECT("D$"&amp;3+MIN(2,ROUNDDOWN(I1855,0))*3)*(3*$J1855^3-6*$J1855^2+3*$J1855)+INDIRECT("D$"&amp;4+MIN(2,ROUNDDOWN(I1855,0))*3)*(-3*$J1855^3+3*$J1855^2)+INDIRECT("D$"&amp;5+MIN(2,ROUNDDOWN(I1855,0))*3)*$J1855^3</f>
      </c>
      <c r="M1855" s="7">
        <f>SQRT(K1855^2+L1855^2)</f>
      </c>
      <c r="N1855" s="7">
        <f>(K1856-K1854)</f>
      </c>
      <c r="O1855" s="7">
        <f>+(L1856-L1854)</f>
      </c>
      <c r="P1855" s="7">
        <f>SQRT(O1855^2+N1855^2)</f>
      </c>
      <c r="Q1855" s="7">
        <f>N1855/$P1855</f>
      </c>
      <c r="R1855" s="7">
        <f>O1855/$P1855</f>
      </c>
      <c r="S1855" s="7">
        <f>Q1855^2+R1855^2</f>
      </c>
      <c r="T1855" s="7">
        <f>-R1855</f>
      </c>
      <c r="U1855" s="7">
        <f>Q1855</f>
      </c>
      <c r="V1855" s="7">
        <f>($C$14+($C$15-$C$14)/($D$15-$D$14)*(I1855-$D$14))/2</f>
      </c>
      <c r="W1855" s="7">
        <f>($B$22*I1855^4+$C$22*I1855^3+$D$22*I1855^2+$E$22*I1855+$F$22)/2</f>
      </c>
      <c r="X1855" s="7">
        <f>($W1855)*(T1855)</f>
      </c>
      <c r="Y1855" s="7">
        <f>($W1855)*(U1855)</f>
      </c>
      <c r="Z1855" s="7">
        <f>SQRT(X1855^2+Y1855^2)</f>
      </c>
      <c r="AA1855" s="7">
        <f>$K1855+$X1855</f>
      </c>
      <c r="AB1855" s="7">
        <f>$L1855+$Y1855</f>
      </c>
      <c r="AC1855" s="7">
        <f>$K1855-$X1855</f>
      </c>
      <c r="AD1855" s="7">
        <f>$L1855-$Y1855</f>
      </c>
      <c r="AE1855" s="7">
        <f>AA1855/39.3701</f>
      </c>
      <c r="AF1855" s="7">
        <f>AB1855/39.3701</f>
      </c>
      <c r="AG1855" s="7">
        <f>AC1855/39.3701</f>
      </c>
      <c r="AH1855" s="7">
        <f>AD1855/39.3701</f>
      </c>
      <c r="AI1855" s="1"/>
      <c r="AJ1855" s="1"/>
      <c r="AK1855" s="1"/>
      <c r="AL1855" s="1"/>
      <c r="AM1855" s="2"/>
      <c r="AN1855" s="1"/>
      <c r="AO1855" s="1"/>
      <c r="AP1855" s="1"/>
      <c r="AQ1855" s="1"/>
      <c r="AR1855" s="1"/>
      <c r="AS1855" s="1"/>
      <c r="AT1855" s="1"/>
      <c r="AU1855" s="1"/>
      <c r="AV1855" s="1"/>
      <c r="AW1855" s="1"/>
      <c r="AX1855" s="1"/>
      <c r="AY1855" s="1"/>
      <c r="AZ1855" s="1"/>
      <c r="BA1855" s="1"/>
      <c r="BB1855" s="1"/>
      <c r="BC1855" s="1"/>
      <c r="BD1855" s="1"/>
      <c r="BE1855" s="1"/>
    </row>
    <row x14ac:dyDescent="0.25" r="1856" customHeight="1" ht="18.75">
      <c r="A1856" s="1"/>
      <c r="B1856" s="2"/>
      <c r="C1856" s="2"/>
      <c r="D1856" s="2"/>
      <c r="E1856" s="2"/>
      <c r="F1856" s="2"/>
      <c r="G1856" s="1"/>
      <c r="H1856" s="1"/>
      <c r="I1856" s="7">
        <v>1.853</v>
      </c>
      <c r="J1856" s="7">
        <f>IF((I1856-ROUNDDOWN(I1856,0))=0, 0, (I1856-ROUNDDOWN(I1856,0)))</f>
      </c>
      <c r="K1856" s="7">
        <f>INDIRECT("C$"&amp;2+MIN(2,ROUNDDOWN(I1856,0))*3)*(-$J1856^3+3*$J1856^2-3*$J1856+1)+INDIRECT("C$"&amp;3+MIN(2,ROUNDDOWN(I1856,0))*3)*(3*$J1856^3-6*$J1856^2+3*$J1856)+INDIRECT("C$"&amp;4+MIN(2,ROUNDDOWN(I1856,0))*3)*(-3*$J1856^3+3*$J1856^2)+INDIRECT("C$"&amp;5+MIN(2,ROUNDDOWN(I1856,0))*3)*$J1856^3</f>
      </c>
      <c r="L1856" s="7">
        <f>INDIRECT("D$"&amp;2+MIN(2,ROUNDDOWN(I1856,0))*3)*(-$J1856^3+3*$J1856^2-3*$J1856+1)+INDIRECT("D$"&amp;3+MIN(2,ROUNDDOWN(I1856,0))*3)*(3*$J1856^3-6*$J1856^2+3*$J1856)+INDIRECT("D$"&amp;4+MIN(2,ROUNDDOWN(I1856,0))*3)*(-3*$J1856^3+3*$J1856^2)+INDIRECT("D$"&amp;5+MIN(2,ROUNDDOWN(I1856,0))*3)*$J1856^3</f>
      </c>
      <c r="M1856" s="7">
        <f>SQRT(K1856^2+L1856^2)</f>
      </c>
      <c r="N1856" s="7">
        <f>(K1857-K1855)</f>
      </c>
      <c r="O1856" s="7">
        <f>+(L1857-L1855)</f>
      </c>
      <c r="P1856" s="7">
        <f>SQRT(O1856^2+N1856^2)</f>
      </c>
      <c r="Q1856" s="7">
        <f>N1856/$P1856</f>
      </c>
      <c r="R1856" s="7">
        <f>O1856/$P1856</f>
      </c>
      <c r="S1856" s="8">
        <f>Q1856^2+R1856^2</f>
      </c>
      <c r="T1856" s="7">
        <f>-R1856</f>
      </c>
      <c r="U1856" s="7">
        <f>Q1856</f>
      </c>
      <c r="V1856" s="7">
        <f>($C$14+($C$15-$C$14)/($D$15-$D$14)*(I1856-$D$14))/2</f>
      </c>
      <c r="W1856" s="7">
        <f>($B$22*I1856^4+$C$22*I1856^3+$D$22*I1856^2+$E$22*I1856+$F$22)/2</f>
      </c>
      <c r="X1856" s="7">
        <f>($W1856)*(T1856)</f>
      </c>
      <c r="Y1856" s="7">
        <f>($W1856)*(U1856)</f>
      </c>
      <c r="Z1856" s="7">
        <f>SQRT(X1856^2+Y1856^2)</f>
      </c>
      <c r="AA1856" s="7">
        <f>$K1856+$X1856</f>
      </c>
      <c r="AB1856" s="7">
        <f>$L1856+$Y1856</f>
      </c>
      <c r="AC1856" s="7">
        <f>$K1856-$X1856</f>
      </c>
      <c r="AD1856" s="7">
        <f>$L1856-$Y1856</f>
      </c>
      <c r="AE1856" s="7">
        <f>AA1856/39.3701</f>
      </c>
      <c r="AF1856" s="7">
        <f>AB1856/39.3701</f>
      </c>
      <c r="AG1856" s="7">
        <f>AC1856/39.3701</f>
      </c>
      <c r="AH1856" s="7">
        <f>AD1856/39.3701</f>
      </c>
      <c r="AI1856" s="1"/>
      <c r="AJ1856" s="1"/>
      <c r="AK1856" s="1"/>
      <c r="AL1856" s="1"/>
      <c r="AM1856" s="2"/>
      <c r="AN1856" s="1"/>
      <c r="AO1856" s="1"/>
      <c r="AP1856" s="1"/>
      <c r="AQ1856" s="1"/>
      <c r="AR1856" s="1"/>
      <c r="AS1856" s="1"/>
      <c r="AT1856" s="1"/>
      <c r="AU1856" s="1"/>
      <c r="AV1856" s="1"/>
      <c r="AW1856" s="1"/>
      <c r="AX1856" s="1"/>
      <c r="AY1856" s="1"/>
      <c r="AZ1856" s="1"/>
      <c r="BA1856" s="1"/>
      <c r="BB1856" s="1"/>
      <c r="BC1856" s="1"/>
      <c r="BD1856" s="1"/>
      <c r="BE1856" s="1"/>
    </row>
    <row x14ac:dyDescent="0.25" r="1857" customHeight="1" ht="18.75">
      <c r="A1857" s="1"/>
      <c r="B1857" s="2"/>
      <c r="C1857" s="2"/>
      <c r="D1857" s="2"/>
      <c r="E1857" s="2"/>
      <c r="F1857" s="2"/>
      <c r="G1857" s="1"/>
      <c r="H1857" s="1"/>
      <c r="I1857" s="7">
        <v>1.854</v>
      </c>
      <c r="J1857" s="7">
        <f>IF((I1857-ROUNDDOWN(I1857,0))=0, 0, (I1857-ROUNDDOWN(I1857,0)))</f>
      </c>
      <c r="K1857" s="7">
        <f>INDIRECT("C$"&amp;2+MIN(2,ROUNDDOWN(I1857,0))*3)*(-$J1857^3+3*$J1857^2-3*$J1857+1)+INDIRECT("C$"&amp;3+MIN(2,ROUNDDOWN(I1857,0))*3)*(3*$J1857^3-6*$J1857^2+3*$J1857)+INDIRECT("C$"&amp;4+MIN(2,ROUNDDOWN(I1857,0))*3)*(-3*$J1857^3+3*$J1857^2)+INDIRECT("C$"&amp;5+MIN(2,ROUNDDOWN(I1857,0))*3)*$J1857^3</f>
      </c>
      <c r="L1857" s="7">
        <f>INDIRECT("D$"&amp;2+MIN(2,ROUNDDOWN(I1857,0))*3)*(-$J1857^3+3*$J1857^2-3*$J1857+1)+INDIRECT("D$"&amp;3+MIN(2,ROUNDDOWN(I1857,0))*3)*(3*$J1857^3-6*$J1857^2+3*$J1857)+INDIRECT("D$"&amp;4+MIN(2,ROUNDDOWN(I1857,0))*3)*(-3*$J1857^3+3*$J1857^2)+INDIRECT("D$"&amp;5+MIN(2,ROUNDDOWN(I1857,0))*3)*$J1857^3</f>
      </c>
      <c r="M1857" s="7">
        <f>SQRT(K1857^2+L1857^2)</f>
      </c>
      <c r="N1857" s="7">
        <f>(K1858-K1856)</f>
      </c>
      <c r="O1857" s="7">
        <f>+(L1858-L1856)</f>
      </c>
      <c r="P1857" s="7">
        <f>SQRT(O1857^2+N1857^2)</f>
      </c>
      <c r="Q1857" s="7">
        <f>N1857/$P1857</f>
      </c>
      <c r="R1857" s="7">
        <f>O1857/$P1857</f>
      </c>
      <c r="S1857" s="8">
        <f>Q1857^2+R1857^2</f>
      </c>
      <c r="T1857" s="7">
        <f>-R1857</f>
      </c>
      <c r="U1857" s="7">
        <f>Q1857</f>
      </c>
      <c r="V1857" s="7">
        <f>($C$14+($C$15-$C$14)/($D$15-$D$14)*(I1857-$D$14))/2</f>
      </c>
      <c r="W1857" s="7">
        <f>($B$22*I1857^4+$C$22*I1857^3+$D$22*I1857^2+$E$22*I1857+$F$22)/2</f>
      </c>
      <c r="X1857" s="7">
        <f>($W1857)*(T1857)</f>
      </c>
      <c r="Y1857" s="7">
        <f>($W1857)*(U1857)</f>
      </c>
      <c r="Z1857" s="7">
        <f>SQRT(X1857^2+Y1857^2)</f>
      </c>
      <c r="AA1857" s="7">
        <f>$K1857+$X1857</f>
      </c>
      <c r="AB1857" s="7">
        <f>$L1857+$Y1857</f>
      </c>
      <c r="AC1857" s="7">
        <f>$K1857-$X1857</f>
      </c>
      <c r="AD1857" s="7">
        <f>$L1857-$Y1857</f>
      </c>
      <c r="AE1857" s="7">
        <f>AA1857/39.3701</f>
      </c>
      <c r="AF1857" s="7">
        <f>AB1857/39.3701</f>
      </c>
      <c r="AG1857" s="7">
        <f>AC1857/39.3701</f>
      </c>
      <c r="AH1857" s="7">
        <f>AD1857/39.3701</f>
      </c>
      <c r="AI1857" s="1"/>
      <c r="AJ1857" s="1"/>
      <c r="AK1857" s="1"/>
      <c r="AL1857" s="1"/>
      <c r="AM1857" s="2"/>
      <c r="AN1857" s="1"/>
      <c r="AO1857" s="1"/>
      <c r="AP1857" s="1"/>
      <c r="AQ1857" s="1"/>
      <c r="AR1857" s="1"/>
      <c r="AS1857" s="1"/>
      <c r="AT1857" s="1"/>
      <c r="AU1857" s="1"/>
      <c r="AV1857" s="1"/>
      <c r="AW1857" s="1"/>
      <c r="AX1857" s="1"/>
      <c r="AY1857" s="1"/>
      <c r="AZ1857" s="1"/>
      <c r="BA1857" s="1"/>
      <c r="BB1857" s="1"/>
      <c r="BC1857" s="1"/>
      <c r="BD1857" s="1"/>
      <c r="BE1857" s="1"/>
    </row>
    <row x14ac:dyDescent="0.25" r="1858" customHeight="1" ht="18.75">
      <c r="A1858" s="1"/>
      <c r="B1858" s="2"/>
      <c r="C1858" s="2"/>
      <c r="D1858" s="2"/>
      <c r="E1858" s="2"/>
      <c r="F1858" s="2"/>
      <c r="G1858" s="1"/>
      <c r="H1858" s="1"/>
      <c r="I1858" s="7">
        <v>1.855</v>
      </c>
      <c r="J1858" s="7">
        <f>IF((I1858-ROUNDDOWN(I1858,0))=0, 0, (I1858-ROUNDDOWN(I1858,0)))</f>
      </c>
      <c r="K1858" s="7">
        <f>INDIRECT("C$"&amp;2+MIN(2,ROUNDDOWN(I1858,0))*3)*(-$J1858^3+3*$J1858^2-3*$J1858+1)+INDIRECT("C$"&amp;3+MIN(2,ROUNDDOWN(I1858,0))*3)*(3*$J1858^3-6*$J1858^2+3*$J1858)+INDIRECT("C$"&amp;4+MIN(2,ROUNDDOWN(I1858,0))*3)*(-3*$J1858^3+3*$J1858^2)+INDIRECT("C$"&amp;5+MIN(2,ROUNDDOWN(I1858,0))*3)*$J1858^3</f>
      </c>
      <c r="L1858" s="7">
        <f>INDIRECT("D$"&amp;2+MIN(2,ROUNDDOWN(I1858,0))*3)*(-$J1858^3+3*$J1858^2-3*$J1858+1)+INDIRECT("D$"&amp;3+MIN(2,ROUNDDOWN(I1858,0))*3)*(3*$J1858^3-6*$J1858^2+3*$J1858)+INDIRECT("D$"&amp;4+MIN(2,ROUNDDOWN(I1858,0))*3)*(-3*$J1858^3+3*$J1858^2)+INDIRECT("D$"&amp;5+MIN(2,ROUNDDOWN(I1858,0))*3)*$J1858^3</f>
      </c>
      <c r="M1858" s="7">
        <f>SQRT(K1858^2+L1858^2)</f>
      </c>
      <c r="N1858" s="7">
        <f>(K1859-K1857)</f>
      </c>
      <c r="O1858" s="7">
        <f>+(L1859-L1857)</f>
      </c>
      <c r="P1858" s="7">
        <f>SQRT(O1858^2+N1858^2)</f>
      </c>
      <c r="Q1858" s="7">
        <f>N1858/$P1858</f>
      </c>
      <c r="R1858" s="7">
        <f>O1858/$P1858</f>
      </c>
      <c r="S1858" s="7">
        <f>Q1858^2+R1858^2</f>
      </c>
      <c r="T1858" s="7">
        <f>-R1858</f>
      </c>
      <c r="U1858" s="7">
        <f>Q1858</f>
      </c>
      <c r="V1858" s="7">
        <f>($C$14+($C$15-$C$14)/($D$15-$D$14)*(I1858-$D$14))/2</f>
      </c>
      <c r="W1858" s="7">
        <f>($B$22*I1858^4+$C$22*I1858^3+$D$22*I1858^2+$E$22*I1858+$F$22)/2</f>
      </c>
      <c r="X1858" s="7">
        <f>($W1858)*(T1858)</f>
      </c>
      <c r="Y1858" s="7">
        <f>($W1858)*(U1858)</f>
      </c>
      <c r="Z1858" s="7">
        <f>SQRT(X1858^2+Y1858^2)</f>
      </c>
      <c r="AA1858" s="7">
        <f>$K1858+$X1858</f>
      </c>
      <c r="AB1858" s="7">
        <f>$L1858+$Y1858</f>
      </c>
      <c r="AC1858" s="7">
        <f>$K1858-$X1858</f>
      </c>
      <c r="AD1858" s="7">
        <f>$L1858-$Y1858</f>
      </c>
      <c r="AE1858" s="7">
        <f>AA1858/39.3701</f>
      </c>
      <c r="AF1858" s="7">
        <f>AB1858/39.3701</f>
      </c>
      <c r="AG1858" s="7">
        <f>AC1858/39.3701</f>
      </c>
      <c r="AH1858" s="7">
        <f>AD1858/39.3701</f>
      </c>
      <c r="AI1858" s="1"/>
      <c r="AJ1858" s="1"/>
      <c r="AK1858" s="1"/>
      <c r="AL1858" s="1"/>
      <c r="AM1858" s="2"/>
      <c r="AN1858" s="1"/>
      <c r="AO1858" s="1"/>
      <c r="AP1858" s="1"/>
      <c r="AQ1858" s="1"/>
      <c r="AR1858" s="1"/>
      <c r="AS1858" s="1"/>
      <c r="AT1858" s="1"/>
      <c r="AU1858" s="1"/>
      <c r="AV1858" s="1"/>
      <c r="AW1858" s="1"/>
      <c r="AX1858" s="1"/>
      <c r="AY1858" s="1"/>
      <c r="AZ1858" s="1"/>
      <c r="BA1858" s="1"/>
      <c r="BB1858" s="1"/>
      <c r="BC1858" s="1"/>
      <c r="BD1858" s="1"/>
      <c r="BE1858" s="1"/>
    </row>
    <row x14ac:dyDescent="0.25" r="1859" customHeight="1" ht="18.75">
      <c r="A1859" s="1"/>
      <c r="B1859" s="2"/>
      <c r="C1859" s="2"/>
      <c r="D1859" s="2"/>
      <c r="E1859" s="2"/>
      <c r="F1859" s="2"/>
      <c r="G1859" s="1"/>
      <c r="H1859" s="1"/>
      <c r="I1859" s="7">
        <v>1.856</v>
      </c>
      <c r="J1859" s="7">
        <f>IF((I1859-ROUNDDOWN(I1859,0))=0, 0, (I1859-ROUNDDOWN(I1859,0)))</f>
      </c>
      <c r="K1859" s="7">
        <f>INDIRECT("C$"&amp;2+MIN(2,ROUNDDOWN(I1859,0))*3)*(-$J1859^3+3*$J1859^2-3*$J1859+1)+INDIRECT("C$"&amp;3+MIN(2,ROUNDDOWN(I1859,0))*3)*(3*$J1859^3-6*$J1859^2+3*$J1859)+INDIRECT("C$"&amp;4+MIN(2,ROUNDDOWN(I1859,0))*3)*(-3*$J1859^3+3*$J1859^2)+INDIRECT("C$"&amp;5+MIN(2,ROUNDDOWN(I1859,0))*3)*$J1859^3</f>
      </c>
      <c r="L1859" s="7">
        <f>INDIRECT("D$"&amp;2+MIN(2,ROUNDDOWN(I1859,0))*3)*(-$J1859^3+3*$J1859^2-3*$J1859+1)+INDIRECT("D$"&amp;3+MIN(2,ROUNDDOWN(I1859,0))*3)*(3*$J1859^3-6*$J1859^2+3*$J1859)+INDIRECT("D$"&amp;4+MIN(2,ROUNDDOWN(I1859,0))*3)*(-3*$J1859^3+3*$J1859^2)+INDIRECT("D$"&amp;5+MIN(2,ROUNDDOWN(I1859,0))*3)*$J1859^3</f>
      </c>
      <c r="M1859" s="7">
        <f>SQRT(K1859^2+L1859^2)</f>
      </c>
      <c r="N1859" s="7">
        <f>(K1860-K1858)</f>
      </c>
      <c r="O1859" s="7">
        <f>+(L1860-L1858)</f>
      </c>
      <c r="P1859" s="7">
        <f>SQRT(O1859^2+N1859^2)</f>
      </c>
      <c r="Q1859" s="7">
        <f>N1859/$P1859</f>
      </c>
      <c r="R1859" s="7">
        <f>O1859/$P1859</f>
      </c>
      <c r="S1859" s="7">
        <f>Q1859^2+R1859^2</f>
      </c>
      <c r="T1859" s="7">
        <f>-R1859</f>
      </c>
      <c r="U1859" s="7">
        <f>Q1859</f>
      </c>
      <c r="V1859" s="7">
        <f>($C$14+($C$15-$C$14)/($D$15-$D$14)*(I1859-$D$14))/2</f>
      </c>
      <c r="W1859" s="7">
        <f>($B$22*I1859^4+$C$22*I1859^3+$D$22*I1859^2+$E$22*I1859+$F$22)/2</f>
      </c>
      <c r="X1859" s="7">
        <f>($W1859)*(T1859)</f>
      </c>
      <c r="Y1859" s="7">
        <f>($W1859)*(U1859)</f>
      </c>
      <c r="Z1859" s="7">
        <f>SQRT(X1859^2+Y1859^2)</f>
      </c>
      <c r="AA1859" s="7">
        <f>$K1859+$X1859</f>
      </c>
      <c r="AB1859" s="7">
        <f>$L1859+$Y1859</f>
      </c>
      <c r="AC1859" s="7">
        <f>$K1859-$X1859</f>
      </c>
      <c r="AD1859" s="7">
        <f>$L1859-$Y1859</f>
      </c>
      <c r="AE1859" s="7">
        <f>AA1859/39.3701</f>
      </c>
      <c r="AF1859" s="7">
        <f>AB1859/39.3701</f>
      </c>
      <c r="AG1859" s="7">
        <f>AC1859/39.3701</f>
      </c>
      <c r="AH1859" s="7">
        <f>AD1859/39.3701</f>
      </c>
      <c r="AI1859" s="1"/>
      <c r="AJ1859" s="1"/>
      <c r="AK1859" s="1"/>
      <c r="AL1859" s="1"/>
      <c r="AM1859" s="2"/>
      <c r="AN1859" s="1"/>
      <c r="AO1859" s="1"/>
      <c r="AP1859" s="1"/>
      <c r="AQ1859" s="1"/>
      <c r="AR1859" s="1"/>
      <c r="AS1859" s="1"/>
      <c r="AT1859" s="1"/>
      <c r="AU1859" s="1"/>
      <c r="AV1859" s="1"/>
      <c r="AW1859" s="1"/>
      <c r="AX1859" s="1"/>
      <c r="AY1859" s="1"/>
      <c r="AZ1859" s="1"/>
      <c r="BA1859" s="1"/>
      <c r="BB1859" s="1"/>
      <c r="BC1859" s="1"/>
      <c r="BD1859" s="1"/>
      <c r="BE1859" s="1"/>
    </row>
    <row x14ac:dyDescent="0.25" r="1860" customHeight="1" ht="18.75">
      <c r="A1860" s="1"/>
      <c r="B1860" s="2"/>
      <c r="C1860" s="2"/>
      <c r="D1860" s="2"/>
      <c r="E1860" s="2"/>
      <c r="F1860" s="2"/>
      <c r="G1860" s="1"/>
      <c r="H1860" s="1"/>
      <c r="I1860" s="7">
        <v>1.857</v>
      </c>
      <c r="J1860" s="7">
        <f>IF((I1860-ROUNDDOWN(I1860,0))=0, 0, (I1860-ROUNDDOWN(I1860,0)))</f>
      </c>
      <c r="K1860" s="7">
        <f>INDIRECT("C$"&amp;2+MIN(2,ROUNDDOWN(I1860,0))*3)*(-$J1860^3+3*$J1860^2-3*$J1860+1)+INDIRECT("C$"&amp;3+MIN(2,ROUNDDOWN(I1860,0))*3)*(3*$J1860^3-6*$J1860^2+3*$J1860)+INDIRECT("C$"&amp;4+MIN(2,ROUNDDOWN(I1860,0))*3)*(-3*$J1860^3+3*$J1860^2)+INDIRECT("C$"&amp;5+MIN(2,ROUNDDOWN(I1860,0))*3)*$J1860^3</f>
      </c>
      <c r="L1860" s="7">
        <f>INDIRECT("D$"&amp;2+MIN(2,ROUNDDOWN(I1860,0))*3)*(-$J1860^3+3*$J1860^2-3*$J1860+1)+INDIRECT("D$"&amp;3+MIN(2,ROUNDDOWN(I1860,0))*3)*(3*$J1860^3-6*$J1860^2+3*$J1860)+INDIRECT("D$"&amp;4+MIN(2,ROUNDDOWN(I1860,0))*3)*(-3*$J1860^3+3*$J1860^2)+INDIRECT("D$"&amp;5+MIN(2,ROUNDDOWN(I1860,0))*3)*$J1860^3</f>
      </c>
      <c r="M1860" s="7">
        <f>SQRT(K1860^2+L1860^2)</f>
      </c>
      <c r="N1860" s="7">
        <f>(K1861-K1859)</f>
      </c>
      <c r="O1860" s="7">
        <f>+(L1861-L1859)</f>
      </c>
      <c r="P1860" s="7">
        <f>SQRT(O1860^2+N1860^2)</f>
      </c>
      <c r="Q1860" s="7">
        <f>N1860/$P1860</f>
      </c>
      <c r="R1860" s="7">
        <f>O1860/$P1860</f>
      </c>
      <c r="S1860" s="7">
        <f>Q1860^2+R1860^2</f>
      </c>
      <c r="T1860" s="7">
        <f>-R1860</f>
      </c>
      <c r="U1860" s="7">
        <f>Q1860</f>
      </c>
      <c r="V1860" s="7">
        <f>($C$14+($C$15-$C$14)/($D$15-$D$14)*(I1860-$D$14))/2</f>
      </c>
      <c r="W1860" s="7">
        <f>($B$22*I1860^4+$C$22*I1860^3+$D$22*I1860^2+$E$22*I1860+$F$22)/2</f>
      </c>
      <c r="X1860" s="7">
        <f>($W1860)*(T1860)</f>
      </c>
      <c r="Y1860" s="7">
        <f>($W1860)*(U1860)</f>
      </c>
      <c r="Z1860" s="7">
        <f>SQRT(X1860^2+Y1860^2)</f>
      </c>
      <c r="AA1860" s="7">
        <f>$K1860+$X1860</f>
      </c>
      <c r="AB1860" s="7">
        <f>$L1860+$Y1860</f>
      </c>
      <c r="AC1860" s="7">
        <f>$K1860-$X1860</f>
      </c>
      <c r="AD1860" s="7">
        <f>$L1860-$Y1860</f>
      </c>
      <c r="AE1860" s="7">
        <f>AA1860/39.3701</f>
      </c>
      <c r="AF1860" s="7">
        <f>AB1860/39.3701</f>
      </c>
      <c r="AG1860" s="7">
        <f>AC1860/39.3701</f>
      </c>
      <c r="AH1860" s="7">
        <f>AD1860/39.3701</f>
      </c>
      <c r="AI1860" s="1"/>
      <c r="AJ1860" s="1"/>
      <c r="AK1860" s="1"/>
      <c r="AL1860" s="1"/>
      <c r="AM1860" s="2"/>
      <c r="AN1860" s="1"/>
      <c r="AO1860" s="1"/>
      <c r="AP1860" s="1"/>
      <c r="AQ1860" s="1"/>
      <c r="AR1860" s="1"/>
      <c r="AS1860" s="1"/>
      <c r="AT1860" s="1"/>
      <c r="AU1860" s="1"/>
      <c r="AV1860" s="1"/>
      <c r="AW1860" s="1"/>
      <c r="AX1860" s="1"/>
      <c r="AY1860" s="1"/>
      <c r="AZ1860" s="1"/>
      <c r="BA1860" s="1"/>
      <c r="BB1860" s="1"/>
      <c r="BC1860" s="1"/>
      <c r="BD1860" s="1"/>
      <c r="BE1860" s="1"/>
    </row>
    <row x14ac:dyDescent="0.25" r="1861" customHeight="1" ht="18.75">
      <c r="A1861" s="1"/>
      <c r="B1861" s="2"/>
      <c r="C1861" s="2"/>
      <c r="D1861" s="2"/>
      <c r="E1861" s="2"/>
      <c r="F1861" s="2"/>
      <c r="G1861" s="1"/>
      <c r="H1861" s="1"/>
      <c r="I1861" s="7">
        <v>1.858</v>
      </c>
      <c r="J1861" s="7">
        <f>IF((I1861-ROUNDDOWN(I1861,0))=0, 0, (I1861-ROUNDDOWN(I1861,0)))</f>
      </c>
      <c r="K1861" s="7">
        <f>INDIRECT("C$"&amp;2+MIN(2,ROUNDDOWN(I1861,0))*3)*(-$J1861^3+3*$J1861^2-3*$J1861+1)+INDIRECT("C$"&amp;3+MIN(2,ROUNDDOWN(I1861,0))*3)*(3*$J1861^3-6*$J1861^2+3*$J1861)+INDIRECT("C$"&amp;4+MIN(2,ROUNDDOWN(I1861,0))*3)*(-3*$J1861^3+3*$J1861^2)+INDIRECT("C$"&amp;5+MIN(2,ROUNDDOWN(I1861,0))*3)*$J1861^3</f>
      </c>
      <c r="L1861" s="7">
        <f>INDIRECT("D$"&amp;2+MIN(2,ROUNDDOWN(I1861,0))*3)*(-$J1861^3+3*$J1861^2-3*$J1861+1)+INDIRECT("D$"&amp;3+MIN(2,ROUNDDOWN(I1861,0))*3)*(3*$J1861^3-6*$J1861^2+3*$J1861)+INDIRECT("D$"&amp;4+MIN(2,ROUNDDOWN(I1861,0))*3)*(-3*$J1861^3+3*$J1861^2)+INDIRECT("D$"&amp;5+MIN(2,ROUNDDOWN(I1861,0))*3)*$J1861^3</f>
      </c>
      <c r="M1861" s="7">
        <f>SQRT(K1861^2+L1861^2)</f>
      </c>
      <c r="N1861" s="7">
        <f>(K1862-K1860)</f>
      </c>
      <c r="O1861" s="7">
        <f>+(L1862-L1860)</f>
      </c>
      <c r="P1861" s="7">
        <f>SQRT(O1861^2+N1861^2)</f>
      </c>
      <c r="Q1861" s="7">
        <f>N1861/$P1861</f>
      </c>
      <c r="R1861" s="7">
        <f>O1861/$P1861</f>
      </c>
      <c r="S1861" s="7">
        <f>Q1861^2+R1861^2</f>
      </c>
      <c r="T1861" s="7">
        <f>-R1861</f>
      </c>
      <c r="U1861" s="7">
        <f>Q1861</f>
      </c>
      <c r="V1861" s="7">
        <f>($C$14+($C$15-$C$14)/($D$15-$D$14)*(I1861-$D$14))/2</f>
      </c>
      <c r="W1861" s="7">
        <f>($B$22*I1861^4+$C$22*I1861^3+$D$22*I1861^2+$E$22*I1861+$F$22)/2</f>
      </c>
      <c r="X1861" s="7">
        <f>($W1861)*(T1861)</f>
      </c>
      <c r="Y1861" s="7">
        <f>($W1861)*(U1861)</f>
      </c>
      <c r="Z1861" s="7">
        <f>SQRT(X1861^2+Y1861^2)</f>
      </c>
      <c r="AA1861" s="7">
        <f>$K1861+$X1861</f>
      </c>
      <c r="AB1861" s="7">
        <f>$L1861+$Y1861</f>
      </c>
      <c r="AC1861" s="7">
        <f>$K1861-$X1861</f>
      </c>
      <c r="AD1861" s="7">
        <f>$L1861-$Y1861</f>
      </c>
      <c r="AE1861" s="7">
        <f>AA1861/39.3701</f>
      </c>
      <c r="AF1861" s="7">
        <f>AB1861/39.3701</f>
      </c>
      <c r="AG1861" s="7">
        <f>AC1861/39.3701</f>
      </c>
      <c r="AH1861" s="7">
        <f>AD1861/39.3701</f>
      </c>
      <c r="AI1861" s="1"/>
      <c r="AJ1861" s="1"/>
      <c r="AK1861" s="1"/>
      <c r="AL1861" s="1"/>
      <c r="AM1861" s="2"/>
      <c r="AN1861" s="1"/>
      <c r="AO1861" s="1"/>
      <c r="AP1861" s="1"/>
      <c r="AQ1861" s="1"/>
      <c r="AR1861" s="1"/>
      <c r="AS1861" s="1"/>
      <c r="AT1861" s="1"/>
      <c r="AU1861" s="1"/>
      <c r="AV1861" s="1"/>
      <c r="AW1861" s="1"/>
      <c r="AX1861" s="1"/>
      <c r="AY1861" s="1"/>
      <c r="AZ1861" s="1"/>
      <c r="BA1861" s="1"/>
      <c r="BB1861" s="1"/>
      <c r="BC1861" s="1"/>
      <c r="BD1861" s="1"/>
      <c r="BE1861" s="1"/>
    </row>
    <row x14ac:dyDescent="0.25" r="1862" customHeight="1" ht="18.75">
      <c r="A1862" s="1"/>
      <c r="B1862" s="2"/>
      <c r="C1862" s="2"/>
      <c r="D1862" s="2"/>
      <c r="E1862" s="2"/>
      <c r="F1862" s="2"/>
      <c r="G1862" s="1"/>
      <c r="H1862" s="1"/>
      <c r="I1862" s="7">
        <v>1.859</v>
      </c>
      <c r="J1862" s="7">
        <f>IF((I1862-ROUNDDOWN(I1862,0))=0, 0, (I1862-ROUNDDOWN(I1862,0)))</f>
      </c>
      <c r="K1862" s="7">
        <f>INDIRECT("C$"&amp;2+MIN(2,ROUNDDOWN(I1862,0))*3)*(-$J1862^3+3*$J1862^2-3*$J1862+1)+INDIRECT("C$"&amp;3+MIN(2,ROUNDDOWN(I1862,0))*3)*(3*$J1862^3-6*$J1862^2+3*$J1862)+INDIRECT("C$"&amp;4+MIN(2,ROUNDDOWN(I1862,0))*3)*(-3*$J1862^3+3*$J1862^2)+INDIRECT("C$"&amp;5+MIN(2,ROUNDDOWN(I1862,0))*3)*$J1862^3</f>
      </c>
      <c r="L1862" s="7">
        <f>INDIRECT("D$"&amp;2+MIN(2,ROUNDDOWN(I1862,0))*3)*(-$J1862^3+3*$J1862^2-3*$J1862+1)+INDIRECT("D$"&amp;3+MIN(2,ROUNDDOWN(I1862,0))*3)*(3*$J1862^3-6*$J1862^2+3*$J1862)+INDIRECT("D$"&amp;4+MIN(2,ROUNDDOWN(I1862,0))*3)*(-3*$J1862^3+3*$J1862^2)+INDIRECT("D$"&amp;5+MIN(2,ROUNDDOWN(I1862,0))*3)*$J1862^3</f>
      </c>
      <c r="M1862" s="7">
        <f>SQRT(K1862^2+L1862^2)</f>
      </c>
      <c r="N1862" s="7">
        <f>(K1863-K1861)</f>
      </c>
      <c r="O1862" s="7">
        <f>+(L1863-L1861)</f>
      </c>
      <c r="P1862" s="7">
        <f>SQRT(O1862^2+N1862^2)</f>
      </c>
      <c r="Q1862" s="7">
        <f>N1862/$P1862</f>
      </c>
      <c r="R1862" s="7">
        <f>O1862/$P1862</f>
      </c>
      <c r="S1862" s="8">
        <f>Q1862^2+R1862^2</f>
      </c>
      <c r="T1862" s="7">
        <f>-R1862</f>
      </c>
      <c r="U1862" s="7">
        <f>Q1862</f>
      </c>
      <c r="V1862" s="7">
        <f>($C$14+($C$15-$C$14)/($D$15-$D$14)*(I1862-$D$14))/2</f>
      </c>
      <c r="W1862" s="7">
        <f>($B$22*I1862^4+$C$22*I1862^3+$D$22*I1862^2+$E$22*I1862+$F$22)/2</f>
      </c>
      <c r="X1862" s="7">
        <f>($W1862)*(T1862)</f>
      </c>
      <c r="Y1862" s="7">
        <f>($W1862)*(U1862)</f>
      </c>
      <c r="Z1862" s="7">
        <f>SQRT(X1862^2+Y1862^2)</f>
      </c>
      <c r="AA1862" s="7">
        <f>$K1862+$X1862</f>
      </c>
      <c r="AB1862" s="7">
        <f>$L1862+$Y1862</f>
      </c>
      <c r="AC1862" s="7">
        <f>$K1862-$X1862</f>
      </c>
      <c r="AD1862" s="7">
        <f>$L1862-$Y1862</f>
      </c>
      <c r="AE1862" s="7">
        <f>AA1862/39.3701</f>
      </c>
      <c r="AF1862" s="7">
        <f>AB1862/39.3701</f>
      </c>
      <c r="AG1862" s="7">
        <f>AC1862/39.3701</f>
      </c>
      <c r="AH1862" s="7">
        <f>AD1862/39.3701</f>
      </c>
      <c r="AI1862" s="1"/>
      <c r="AJ1862" s="1"/>
      <c r="AK1862" s="1"/>
      <c r="AL1862" s="1"/>
      <c r="AM1862" s="2"/>
      <c r="AN1862" s="1"/>
      <c r="AO1862" s="1"/>
      <c r="AP1862" s="1"/>
      <c r="AQ1862" s="1"/>
      <c r="AR1862" s="1"/>
      <c r="AS1862" s="1"/>
      <c r="AT1862" s="1"/>
      <c r="AU1862" s="1"/>
      <c r="AV1862" s="1"/>
      <c r="AW1862" s="1"/>
      <c r="AX1862" s="1"/>
      <c r="AY1862" s="1"/>
      <c r="AZ1862" s="1"/>
      <c r="BA1862" s="1"/>
      <c r="BB1862" s="1"/>
      <c r="BC1862" s="1"/>
      <c r="BD1862" s="1"/>
      <c r="BE1862" s="1"/>
    </row>
    <row x14ac:dyDescent="0.25" r="1863" customHeight="1" ht="18.75">
      <c r="A1863" s="1"/>
      <c r="B1863" s="2"/>
      <c r="C1863" s="2"/>
      <c r="D1863" s="2"/>
      <c r="E1863" s="2"/>
      <c r="F1863" s="2"/>
      <c r="G1863" s="1"/>
      <c r="H1863" s="1"/>
      <c r="I1863" s="7">
        <v>1.86</v>
      </c>
      <c r="J1863" s="7">
        <f>IF((I1863-ROUNDDOWN(I1863,0))=0, 0, (I1863-ROUNDDOWN(I1863,0)))</f>
      </c>
      <c r="K1863" s="7">
        <f>INDIRECT("C$"&amp;2+MIN(2,ROUNDDOWN(I1863,0))*3)*(-$J1863^3+3*$J1863^2-3*$J1863+1)+INDIRECT("C$"&amp;3+MIN(2,ROUNDDOWN(I1863,0))*3)*(3*$J1863^3-6*$J1863^2+3*$J1863)+INDIRECT("C$"&amp;4+MIN(2,ROUNDDOWN(I1863,0))*3)*(-3*$J1863^3+3*$J1863^2)+INDIRECT("C$"&amp;5+MIN(2,ROUNDDOWN(I1863,0))*3)*$J1863^3</f>
      </c>
      <c r="L1863" s="7">
        <f>INDIRECT("D$"&amp;2+MIN(2,ROUNDDOWN(I1863,0))*3)*(-$J1863^3+3*$J1863^2-3*$J1863+1)+INDIRECT("D$"&amp;3+MIN(2,ROUNDDOWN(I1863,0))*3)*(3*$J1863^3-6*$J1863^2+3*$J1863)+INDIRECT("D$"&amp;4+MIN(2,ROUNDDOWN(I1863,0))*3)*(-3*$J1863^3+3*$J1863^2)+INDIRECT("D$"&amp;5+MIN(2,ROUNDDOWN(I1863,0))*3)*$J1863^3</f>
      </c>
      <c r="M1863" s="7">
        <f>SQRT(K1863^2+L1863^2)</f>
      </c>
      <c r="N1863" s="7">
        <f>(K1864-K1862)</f>
      </c>
      <c r="O1863" s="7">
        <f>+(L1864-L1862)</f>
      </c>
      <c r="P1863" s="7">
        <f>SQRT(O1863^2+N1863^2)</f>
      </c>
      <c r="Q1863" s="7">
        <f>N1863/$P1863</f>
      </c>
      <c r="R1863" s="7">
        <f>O1863/$P1863</f>
      </c>
      <c r="S1863" s="7">
        <f>Q1863^2+R1863^2</f>
      </c>
      <c r="T1863" s="7">
        <f>-R1863</f>
      </c>
      <c r="U1863" s="7">
        <f>Q1863</f>
      </c>
      <c r="V1863" s="7">
        <f>($C$14+($C$15-$C$14)/($D$15-$D$14)*(I1863-$D$14))/2</f>
      </c>
      <c r="W1863" s="7">
        <f>($B$22*I1863^4+$C$22*I1863^3+$D$22*I1863^2+$E$22*I1863+$F$22)/2</f>
      </c>
      <c r="X1863" s="7">
        <f>($W1863)*(T1863)</f>
      </c>
      <c r="Y1863" s="7">
        <f>($W1863)*(U1863)</f>
      </c>
      <c r="Z1863" s="7">
        <f>SQRT(X1863^2+Y1863^2)</f>
      </c>
      <c r="AA1863" s="7">
        <f>$K1863+$X1863</f>
      </c>
      <c r="AB1863" s="7">
        <f>$L1863+$Y1863</f>
      </c>
      <c r="AC1863" s="7">
        <f>$K1863-$X1863</f>
      </c>
      <c r="AD1863" s="7">
        <f>$L1863-$Y1863</f>
      </c>
      <c r="AE1863" s="7">
        <f>AA1863/39.3701</f>
      </c>
      <c r="AF1863" s="7">
        <f>AB1863/39.3701</f>
      </c>
      <c r="AG1863" s="7">
        <f>AC1863/39.3701</f>
      </c>
      <c r="AH1863" s="7">
        <f>AD1863/39.3701</f>
      </c>
      <c r="AI1863" s="1"/>
      <c r="AJ1863" s="1"/>
      <c r="AK1863" s="1"/>
      <c r="AL1863" s="1"/>
      <c r="AM1863" s="2"/>
      <c r="AN1863" s="1"/>
      <c r="AO1863" s="1"/>
      <c r="AP1863" s="1"/>
      <c r="AQ1863" s="1"/>
      <c r="AR1863" s="1"/>
      <c r="AS1863" s="1"/>
      <c r="AT1863" s="1"/>
      <c r="AU1863" s="1"/>
      <c r="AV1863" s="1"/>
      <c r="AW1863" s="1"/>
      <c r="AX1863" s="1"/>
      <c r="AY1863" s="1"/>
      <c r="AZ1863" s="1"/>
      <c r="BA1863" s="1"/>
      <c r="BB1863" s="1"/>
      <c r="BC1863" s="1"/>
      <c r="BD1863" s="1"/>
      <c r="BE1863" s="1"/>
    </row>
    <row x14ac:dyDescent="0.25" r="1864" customHeight="1" ht="18.75">
      <c r="A1864" s="1"/>
      <c r="B1864" s="2"/>
      <c r="C1864" s="2"/>
      <c r="D1864" s="2"/>
      <c r="E1864" s="2"/>
      <c r="F1864" s="2"/>
      <c r="G1864" s="1"/>
      <c r="H1864" s="1"/>
      <c r="I1864" s="7">
        <v>1.861</v>
      </c>
      <c r="J1864" s="7">
        <f>IF((I1864-ROUNDDOWN(I1864,0))=0, 0, (I1864-ROUNDDOWN(I1864,0)))</f>
      </c>
      <c r="K1864" s="7">
        <f>INDIRECT("C$"&amp;2+MIN(2,ROUNDDOWN(I1864,0))*3)*(-$J1864^3+3*$J1864^2-3*$J1864+1)+INDIRECT("C$"&amp;3+MIN(2,ROUNDDOWN(I1864,0))*3)*(3*$J1864^3-6*$J1864^2+3*$J1864)+INDIRECT("C$"&amp;4+MIN(2,ROUNDDOWN(I1864,0))*3)*(-3*$J1864^3+3*$J1864^2)+INDIRECT("C$"&amp;5+MIN(2,ROUNDDOWN(I1864,0))*3)*$J1864^3</f>
      </c>
      <c r="L1864" s="7">
        <f>INDIRECT("D$"&amp;2+MIN(2,ROUNDDOWN(I1864,0))*3)*(-$J1864^3+3*$J1864^2-3*$J1864+1)+INDIRECT("D$"&amp;3+MIN(2,ROUNDDOWN(I1864,0))*3)*(3*$J1864^3-6*$J1864^2+3*$J1864)+INDIRECT("D$"&amp;4+MIN(2,ROUNDDOWN(I1864,0))*3)*(-3*$J1864^3+3*$J1864^2)+INDIRECT("D$"&amp;5+MIN(2,ROUNDDOWN(I1864,0))*3)*$J1864^3</f>
      </c>
      <c r="M1864" s="7">
        <f>SQRT(K1864^2+L1864^2)</f>
      </c>
      <c r="N1864" s="7">
        <f>(K1865-K1863)</f>
      </c>
      <c r="O1864" s="7">
        <f>+(L1865-L1863)</f>
      </c>
      <c r="P1864" s="7">
        <f>SQRT(O1864^2+N1864^2)</f>
      </c>
      <c r="Q1864" s="7">
        <f>N1864/$P1864</f>
      </c>
      <c r="R1864" s="7">
        <f>O1864/$P1864</f>
      </c>
      <c r="S1864" s="8">
        <f>Q1864^2+R1864^2</f>
      </c>
      <c r="T1864" s="7">
        <f>-R1864</f>
      </c>
      <c r="U1864" s="7">
        <f>Q1864</f>
      </c>
      <c r="V1864" s="7">
        <f>($C$14+($C$15-$C$14)/($D$15-$D$14)*(I1864-$D$14))/2</f>
      </c>
      <c r="W1864" s="7">
        <f>($B$22*I1864^4+$C$22*I1864^3+$D$22*I1864^2+$E$22*I1864+$F$22)/2</f>
      </c>
      <c r="X1864" s="7">
        <f>($W1864)*(T1864)</f>
      </c>
      <c r="Y1864" s="7">
        <f>($W1864)*(U1864)</f>
      </c>
      <c r="Z1864" s="7">
        <f>SQRT(X1864^2+Y1864^2)</f>
      </c>
      <c r="AA1864" s="7">
        <f>$K1864+$X1864</f>
      </c>
      <c r="AB1864" s="7">
        <f>$L1864+$Y1864</f>
      </c>
      <c r="AC1864" s="7">
        <f>$K1864-$X1864</f>
      </c>
      <c r="AD1864" s="7">
        <f>$L1864-$Y1864</f>
      </c>
      <c r="AE1864" s="7">
        <f>AA1864/39.3701</f>
      </c>
      <c r="AF1864" s="7">
        <f>AB1864/39.3701</f>
      </c>
      <c r="AG1864" s="7">
        <f>AC1864/39.3701</f>
      </c>
      <c r="AH1864" s="7">
        <f>AD1864/39.3701</f>
      </c>
      <c r="AI1864" s="1"/>
      <c r="AJ1864" s="1"/>
      <c r="AK1864" s="1"/>
      <c r="AL1864" s="1"/>
      <c r="AM1864" s="2"/>
      <c r="AN1864" s="1"/>
      <c r="AO1864" s="1"/>
      <c r="AP1864" s="1"/>
      <c r="AQ1864" s="1"/>
      <c r="AR1864" s="1"/>
      <c r="AS1864" s="1"/>
      <c r="AT1864" s="1"/>
      <c r="AU1864" s="1"/>
      <c r="AV1864" s="1"/>
      <c r="AW1864" s="1"/>
      <c r="AX1864" s="1"/>
      <c r="AY1864" s="1"/>
      <c r="AZ1864" s="1"/>
      <c r="BA1864" s="1"/>
      <c r="BB1864" s="1"/>
      <c r="BC1864" s="1"/>
      <c r="BD1864" s="1"/>
      <c r="BE1864" s="1"/>
    </row>
    <row x14ac:dyDescent="0.25" r="1865" customHeight="1" ht="18.75">
      <c r="A1865" s="1"/>
      <c r="B1865" s="2"/>
      <c r="C1865" s="2"/>
      <c r="D1865" s="2"/>
      <c r="E1865" s="2"/>
      <c r="F1865" s="2"/>
      <c r="G1865" s="1"/>
      <c r="H1865" s="1"/>
      <c r="I1865" s="7">
        <v>1.862</v>
      </c>
      <c r="J1865" s="7">
        <f>IF((I1865-ROUNDDOWN(I1865,0))=0, 0, (I1865-ROUNDDOWN(I1865,0)))</f>
      </c>
      <c r="K1865" s="7">
        <f>INDIRECT("C$"&amp;2+MIN(2,ROUNDDOWN(I1865,0))*3)*(-$J1865^3+3*$J1865^2-3*$J1865+1)+INDIRECT("C$"&amp;3+MIN(2,ROUNDDOWN(I1865,0))*3)*(3*$J1865^3-6*$J1865^2+3*$J1865)+INDIRECT("C$"&amp;4+MIN(2,ROUNDDOWN(I1865,0))*3)*(-3*$J1865^3+3*$J1865^2)+INDIRECT("C$"&amp;5+MIN(2,ROUNDDOWN(I1865,0))*3)*$J1865^3</f>
      </c>
      <c r="L1865" s="7">
        <f>INDIRECT("D$"&amp;2+MIN(2,ROUNDDOWN(I1865,0))*3)*(-$J1865^3+3*$J1865^2-3*$J1865+1)+INDIRECT("D$"&amp;3+MIN(2,ROUNDDOWN(I1865,0))*3)*(3*$J1865^3-6*$J1865^2+3*$J1865)+INDIRECT("D$"&amp;4+MIN(2,ROUNDDOWN(I1865,0))*3)*(-3*$J1865^3+3*$J1865^2)+INDIRECT("D$"&amp;5+MIN(2,ROUNDDOWN(I1865,0))*3)*$J1865^3</f>
      </c>
      <c r="M1865" s="7">
        <f>SQRT(K1865^2+L1865^2)</f>
      </c>
      <c r="N1865" s="7">
        <f>(K1866-K1864)</f>
      </c>
      <c r="O1865" s="7">
        <f>+(L1866-L1864)</f>
      </c>
      <c r="P1865" s="7">
        <f>SQRT(O1865^2+N1865^2)</f>
      </c>
      <c r="Q1865" s="7">
        <f>N1865/$P1865</f>
      </c>
      <c r="R1865" s="7">
        <f>O1865/$P1865</f>
      </c>
      <c r="S1865" s="7">
        <f>Q1865^2+R1865^2</f>
      </c>
      <c r="T1865" s="7">
        <f>-R1865</f>
      </c>
      <c r="U1865" s="7">
        <f>Q1865</f>
      </c>
      <c r="V1865" s="7">
        <f>($C$14+($C$15-$C$14)/($D$15-$D$14)*(I1865-$D$14))/2</f>
      </c>
      <c r="W1865" s="7">
        <f>($B$22*I1865^4+$C$22*I1865^3+$D$22*I1865^2+$E$22*I1865+$F$22)/2</f>
      </c>
      <c r="X1865" s="7">
        <f>($W1865)*(T1865)</f>
      </c>
      <c r="Y1865" s="7">
        <f>($W1865)*(U1865)</f>
      </c>
      <c r="Z1865" s="7">
        <f>SQRT(X1865^2+Y1865^2)</f>
      </c>
      <c r="AA1865" s="7">
        <f>$K1865+$X1865</f>
      </c>
      <c r="AB1865" s="7">
        <f>$L1865+$Y1865</f>
      </c>
      <c r="AC1865" s="7">
        <f>$K1865-$X1865</f>
      </c>
      <c r="AD1865" s="7">
        <f>$L1865-$Y1865</f>
      </c>
      <c r="AE1865" s="7">
        <f>AA1865/39.3701</f>
      </c>
      <c r="AF1865" s="7">
        <f>AB1865/39.3701</f>
      </c>
      <c r="AG1865" s="7">
        <f>AC1865/39.3701</f>
      </c>
      <c r="AH1865" s="7">
        <f>AD1865/39.3701</f>
      </c>
      <c r="AI1865" s="1"/>
      <c r="AJ1865" s="1"/>
      <c r="AK1865" s="1"/>
      <c r="AL1865" s="1"/>
      <c r="AM1865" s="2"/>
      <c r="AN1865" s="1"/>
      <c r="AO1865" s="1"/>
      <c r="AP1865" s="1"/>
      <c r="AQ1865" s="1"/>
      <c r="AR1865" s="1"/>
      <c r="AS1865" s="1"/>
      <c r="AT1865" s="1"/>
      <c r="AU1865" s="1"/>
      <c r="AV1865" s="1"/>
      <c r="AW1865" s="1"/>
      <c r="AX1865" s="1"/>
      <c r="AY1865" s="1"/>
      <c r="AZ1865" s="1"/>
      <c r="BA1865" s="1"/>
      <c r="BB1865" s="1"/>
      <c r="BC1865" s="1"/>
      <c r="BD1865" s="1"/>
      <c r="BE1865" s="1"/>
    </row>
    <row x14ac:dyDescent="0.25" r="1866" customHeight="1" ht="18.75">
      <c r="A1866" s="1"/>
      <c r="B1866" s="2"/>
      <c r="C1866" s="2"/>
      <c r="D1866" s="2"/>
      <c r="E1866" s="2"/>
      <c r="F1866" s="2"/>
      <c r="G1866" s="1"/>
      <c r="H1866" s="1"/>
      <c r="I1866" s="7">
        <v>1.863</v>
      </c>
      <c r="J1866" s="7">
        <f>IF((I1866-ROUNDDOWN(I1866,0))=0, 0, (I1866-ROUNDDOWN(I1866,0)))</f>
      </c>
      <c r="K1866" s="7">
        <f>INDIRECT("C$"&amp;2+MIN(2,ROUNDDOWN(I1866,0))*3)*(-$J1866^3+3*$J1866^2-3*$J1866+1)+INDIRECT("C$"&amp;3+MIN(2,ROUNDDOWN(I1866,0))*3)*(3*$J1866^3-6*$J1866^2+3*$J1866)+INDIRECT("C$"&amp;4+MIN(2,ROUNDDOWN(I1866,0))*3)*(-3*$J1866^3+3*$J1866^2)+INDIRECT("C$"&amp;5+MIN(2,ROUNDDOWN(I1866,0))*3)*$J1866^3</f>
      </c>
      <c r="L1866" s="7">
        <f>INDIRECT("D$"&amp;2+MIN(2,ROUNDDOWN(I1866,0))*3)*(-$J1866^3+3*$J1866^2-3*$J1866+1)+INDIRECT("D$"&amp;3+MIN(2,ROUNDDOWN(I1866,0))*3)*(3*$J1866^3-6*$J1866^2+3*$J1866)+INDIRECT("D$"&amp;4+MIN(2,ROUNDDOWN(I1866,0))*3)*(-3*$J1866^3+3*$J1866^2)+INDIRECT("D$"&amp;5+MIN(2,ROUNDDOWN(I1866,0))*3)*$J1866^3</f>
      </c>
      <c r="M1866" s="7">
        <f>SQRT(K1866^2+L1866^2)</f>
      </c>
      <c r="N1866" s="7">
        <f>(K1867-K1865)</f>
      </c>
      <c r="O1866" s="7">
        <f>+(L1867-L1865)</f>
      </c>
      <c r="P1866" s="7">
        <f>SQRT(O1866^2+N1866^2)</f>
      </c>
      <c r="Q1866" s="7">
        <f>N1866/$P1866</f>
      </c>
      <c r="R1866" s="7">
        <f>O1866/$P1866</f>
      </c>
      <c r="S1866" s="7">
        <f>Q1866^2+R1866^2</f>
      </c>
      <c r="T1866" s="7">
        <f>-R1866</f>
      </c>
      <c r="U1866" s="7">
        <f>Q1866</f>
      </c>
      <c r="V1866" s="7">
        <f>($C$14+($C$15-$C$14)/($D$15-$D$14)*(I1866-$D$14))/2</f>
      </c>
      <c r="W1866" s="7">
        <f>($B$22*I1866^4+$C$22*I1866^3+$D$22*I1866^2+$E$22*I1866+$F$22)/2</f>
      </c>
      <c r="X1866" s="7">
        <f>($W1866)*(T1866)</f>
      </c>
      <c r="Y1866" s="7">
        <f>($W1866)*(U1866)</f>
      </c>
      <c r="Z1866" s="7">
        <f>SQRT(X1866^2+Y1866^2)</f>
      </c>
      <c r="AA1866" s="7">
        <f>$K1866+$X1866</f>
      </c>
      <c r="AB1866" s="7">
        <f>$L1866+$Y1866</f>
      </c>
      <c r="AC1866" s="7">
        <f>$K1866-$X1866</f>
      </c>
      <c r="AD1866" s="7">
        <f>$L1866-$Y1866</f>
      </c>
      <c r="AE1866" s="7">
        <f>AA1866/39.3701</f>
      </c>
      <c r="AF1866" s="7">
        <f>AB1866/39.3701</f>
      </c>
      <c r="AG1866" s="7">
        <f>AC1866/39.3701</f>
      </c>
      <c r="AH1866" s="7">
        <f>AD1866/39.3701</f>
      </c>
      <c r="AI1866" s="1"/>
      <c r="AJ1866" s="1"/>
      <c r="AK1866" s="1"/>
      <c r="AL1866" s="1"/>
      <c r="AM1866" s="2"/>
      <c r="AN1866" s="1"/>
      <c r="AO1866" s="1"/>
      <c r="AP1866" s="1"/>
      <c r="AQ1866" s="1"/>
      <c r="AR1866" s="1"/>
      <c r="AS1866" s="1"/>
      <c r="AT1866" s="1"/>
      <c r="AU1866" s="1"/>
      <c r="AV1866" s="1"/>
      <c r="AW1866" s="1"/>
      <c r="AX1866" s="1"/>
      <c r="AY1866" s="1"/>
      <c r="AZ1866" s="1"/>
      <c r="BA1866" s="1"/>
      <c r="BB1866" s="1"/>
      <c r="BC1866" s="1"/>
      <c r="BD1866" s="1"/>
      <c r="BE1866" s="1"/>
    </row>
    <row x14ac:dyDescent="0.25" r="1867" customHeight="1" ht="18.75">
      <c r="A1867" s="1"/>
      <c r="B1867" s="2"/>
      <c r="C1867" s="2"/>
      <c r="D1867" s="2"/>
      <c r="E1867" s="2"/>
      <c r="F1867" s="2"/>
      <c r="G1867" s="1"/>
      <c r="H1867" s="1"/>
      <c r="I1867" s="7">
        <v>1.864</v>
      </c>
      <c r="J1867" s="7">
        <f>IF((I1867-ROUNDDOWN(I1867,0))=0, 0, (I1867-ROUNDDOWN(I1867,0)))</f>
      </c>
      <c r="K1867" s="7">
        <f>INDIRECT("C$"&amp;2+MIN(2,ROUNDDOWN(I1867,0))*3)*(-$J1867^3+3*$J1867^2-3*$J1867+1)+INDIRECT("C$"&amp;3+MIN(2,ROUNDDOWN(I1867,0))*3)*(3*$J1867^3-6*$J1867^2+3*$J1867)+INDIRECT("C$"&amp;4+MIN(2,ROUNDDOWN(I1867,0))*3)*(-3*$J1867^3+3*$J1867^2)+INDIRECT("C$"&amp;5+MIN(2,ROUNDDOWN(I1867,0))*3)*$J1867^3</f>
      </c>
      <c r="L1867" s="7">
        <f>INDIRECT("D$"&amp;2+MIN(2,ROUNDDOWN(I1867,0))*3)*(-$J1867^3+3*$J1867^2-3*$J1867+1)+INDIRECT("D$"&amp;3+MIN(2,ROUNDDOWN(I1867,0))*3)*(3*$J1867^3-6*$J1867^2+3*$J1867)+INDIRECT("D$"&amp;4+MIN(2,ROUNDDOWN(I1867,0))*3)*(-3*$J1867^3+3*$J1867^2)+INDIRECT("D$"&amp;5+MIN(2,ROUNDDOWN(I1867,0))*3)*$J1867^3</f>
      </c>
      <c r="M1867" s="7">
        <f>SQRT(K1867^2+L1867^2)</f>
      </c>
      <c r="N1867" s="7">
        <f>(K1868-K1866)</f>
      </c>
      <c r="O1867" s="7">
        <f>+(L1868-L1866)</f>
      </c>
      <c r="P1867" s="7">
        <f>SQRT(O1867^2+N1867^2)</f>
      </c>
      <c r="Q1867" s="7">
        <f>N1867/$P1867</f>
      </c>
      <c r="R1867" s="7">
        <f>O1867/$P1867</f>
      </c>
      <c r="S1867" s="7">
        <f>Q1867^2+R1867^2</f>
      </c>
      <c r="T1867" s="7">
        <f>-R1867</f>
      </c>
      <c r="U1867" s="7">
        <f>Q1867</f>
      </c>
      <c r="V1867" s="7">
        <f>($C$14+($C$15-$C$14)/($D$15-$D$14)*(I1867-$D$14))/2</f>
      </c>
      <c r="W1867" s="7">
        <f>($B$22*I1867^4+$C$22*I1867^3+$D$22*I1867^2+$E$22*I1867+$F$22)/2</f>
      </c>
      <c r="X1867" s="7">
        <f>($W1867)*(T1867)</f>
      </c>
      <c r="Y1867" s="7">
        <f>($W1867)*(U1867)</f>
      </c>
      <c r="Z1867" s="7">
        <f>SQRT(X1867^2+Y1867^2)</f>
      </c>
      <c r="AA1867" s="7">
        <f>$K1867+$X1867</f>
      </c>
      <c r="AB1867" s="7">
        <f>$L1867+$Y1867</f>
      </c>
      <c r="AC1867" s="7">
        <f>$K1867-$X1867</f>
      </c>
      <c r="AD1867" s="7">
        <f>$L1867-$Y1867</f>
      </c>
      <c r="AE1867" s="7">
        <f>AA1867/39.3701</f>
      </c>
      <c r="AF1867" s="7">
        <f>AB1867/39.3701</f>
      </c>
      <c r="AG1867" s="7">
        <f>AC1867/39.3701</f>
      </c>
      <c r="AH1867" s="7">
        <f>AD1867/39.3701</f>
      </c>
      <c r="AI1867" s="1"/>
      <c r="AJ1867" s="1"/>
      <c r="AK1867" s="1"/>
      <c r="AL1867" s="1"/>
      <c r="AM1867" s="2"/>
      <c r="AN1867" s="1"/>
      <c r="AO1867" s="1"/>
      <c r="AP1867" s="1"/>
      <c r="AQ1867" s="1"/>
      <c r="AR1867" s="1"/>
      <c r="AS1867" s="1"/>
      <c r="AT1867" s="1"/>
      <c r="AU1867" s="1"/>
      <c r="AV1867" s="1"/>
      <c r="AW1867" s="1"/>
      <c r="AX1867" s="1"/>
      <c r="AY1867" s="1"/>
      <c r="AZ1867" s="1"/>
      <c r="BA1867" s="1"/>
      <c r="BB1867" s="1"/>
      <c r="BC1867" s="1"/>
      <c r="BD1867" s="1"/>
      <c r="BE1867" s="1"/>
    </row>
    <row x14ac:dyDescent="0.25" r="1868" customHeight="1" ht="18.75">
      <c r="A1868" s="1"/>
      <c r="B1868" s="2"/>
      <c r="C1868" s="2"/>
      <c r="D1868" s="2"/>
      <c r="E1868" s="2"/>
      <c r="F1868" s="2"/>
      <c r="G1868" s="1"/>
      <c r="H1868" s="1"/>
      <c r="I1868" s="7">
        <v>1.865</v>
      </c>
      <c r="J1868" s="7">
        <f>IF((I1868-ROUNDDOWN(I1868,0))=0, 0, (I1868-ROUNDDOWN(I1868,0)))</f>
      </c>
      <c r="K1868" s="7">
        <f>INDIRECT("C$"&amp;2+MIN(2,ROUNDDOWN(I1868,0))*3)*(-$J1868^3+3*$J1868^2-3*$J1868+1)+INDIRECT("C$"&amp;3+MIN(2,ROUNDDOWN(I1868,0))*3)*(3*$J1868^3-6*$J1868^2+3*$J1868)+INDIRECT("C$"&amp;4+MIN(2,ROUNDDOWN(I1868,0))*3)*(-3*$J1868^3+3*$J1868^2)+INDIRECT("C$"&amp;5+MIN(2,ROUNDDOWN(I1868,0))*3)*$J1868^3</f>
      </c>
      <c r="L1868" s="7">
        <f>INDIRECT("D$"&amp;2+MIN(2,ROUNDDOWN(I1868,0))*3)*(-$J1868^3+3*$J1868^2-3*$J1868+1)+INDIRECT("D$"&amp;3+MIN(2,ROUNDDOWN(I1868,0))*3)*(3*$J1868^3-6*$J1868^2+3*$J1868)+INDIRECT("D$"&amp;4+MIN(2,ROUNDDOWN(I1868,0))*3)*(-3*$J1868^3+3*$J1868^2)+INDIRECT("D$"&amp;5+MIN(2,ROUNDDOWN(I1868,0))*3)*$J1868^3</f>
      </c>
      <c r="M1868" s="7">
        <f>SQRT(K1868^2+L1868^2)</f>
      </c>
      <c r="N1868" s="7">
        <f>(K1869-K1867)</f>
      </c>
      <c r="O1868" s="7">
        <f>+(L1869-L1867)</f>
      </c>
      <c r="P1868" s="7">
        <f>SQRT(O1868^2+N1868^2)</f>
      </c>
      <c r="Q1868" s="7">
        <f>N1868/$P1868</f>
      </c>
      <c r="R1868" s="7">
        <f>O1868/$P1868</f>
      </c>
      <c r="S1868" s="8">
        <f>Q1868^2+R1868^2</f>
      </c>
      <c r="T1868" s="7">
        <f>-R1868</f>
      </c>
      <c r="U1868" s="7">
        <f>Q1868</f>
      </c>
      <c r="V1868" s="7">
        <f>($C$14+($C$15-$C$14)/($D$15-$D$14)*(I1868-$D$14))/2</f>
      </c>
      <c r="W1868" s="7">
        <f>($B$22*I1868^4+$C$22*I1868^3+$D$22*I1868^2+$E$22*I1868+$F$22)/2</f>
      </c>
      <c r="X1868" s="7">
        <f>($W1868)*(T1868)</f>
      </c>
      <c r="Y1868" s="7">
        <f>($W1868)*(U1868)</f>
      </c>
      <c r="Z1868" s="7">
        <f>SQRT(X1868^2+Y1868^2)</f>
      </c>
      <c r="AA1868" s="7">
        <f>$K1868+$X1868</f>
      </c>
      <c r="AB1868" s="7">
        <f>$L1868+$Y1868</f>
      </c>
      <c r="AC1868" s="7">
        <f>$K1868-$X1868</f>
      </c>
      <c r="AD1868" s="7">
        <f>$L1868-$Y1868</f>
      </c>
      <c r="AE1868" s="7">
        <f>AA1868/39.3701</f>
      </c>
      <c r="AF1868" s="7">
        <f>AB1868/39.3701</f>
      </c>
      <c r="AG1868" s="7">
        <f>AC1868/39.3701</f>
      </c>
      <c r="AH1868" s="7">
        <f>AD1868/39.3701</f>
      </c>
      <c r="AI1868" s="1"/>
      <c r="AJ1868" s="1"/>
      <c r="AK1868" s="1"/>
      <c r="AL1868" s="1"/>
      <c r="AM1868" s="2"/>
      <c r="AN1868" s="1"/>
      <c r="AO1868" s="1"/>
      <c r="AP1868" s="1"/>
      <c r="AQ1868" s="1"/>
      <c r="AR1868" s="1"/>
      <c r="AS1868" s="1"/>
      <c r="AT1868" s="1"/>
      <c r="AU1868" s="1"/>
      <c r="AV1868" s="1"/>
      <c r="AW1868" s="1"/>
      <c r="AX1868" s="1"/>
      <c r="AY1868" s="1"/>
      <c r="AZ1868" s="1"/>
      <c r="BA1868" s="1"/>
      <c r="BB1868" s="1"/>
      <c r="BC1868" s="1"/>
      <c r="BD1868" s="1"/>
      <c r="BE1868" s="1"/>
    </row>
    <row x14ac:dyDescent="0.25" r="1869" customHeight="1" ht="18.75">
      <c r="A1869" s="1"/>
      <c r="B1869" s="2"/>
      <c r="C1869" s="2"/>
      <c r="D1869" s="2"/>
      <c r="E1869" s="2"/>
      <c r="F1869" s="2"/>
      <c r="G1869" s="1"/>
      <c r="H1869" s="1"/>
      <c r="I1869" s="7">
        <v>1.866</v>
      </c>
      <c r="J1869" s="7">
        <f>IF((I1869-ROUNDDOWN(I1869,0))=0, 0, (I1869-ROUNDDOWN(I1869,0)))</f>
      </c>
      <c r="K1869" s="7">
        <f>INDIRECT("C$"&amp;2+MIN(2,ROUNDDOWN(I1869,0))*3)*(-$J1869^3+3*$J1869^2-3*$J1869+1)+INDIRECT("C$"&amp;3+MIN(2,ROUNDDOWN(I1869,0))*3)*(3*$J1869^3-6*$J1869^2+3*$J1869)+INDIRECT("C$"&amp;4+MIN(2,ROUNDDOWN(I1869,0))*3)*(-3*$J1869^3+3*$J1869^2)+INDIRECT("C$"&amp;5+MIN(2,ROUNDDOWN(I1869,0))*3)*$J1869^3</f>
      </c>
      <c r="L1869" s="7">
        <f>INDIRECT("D$"&amp;2+MIN(2,ROUNDDOWN(I1869,0))*3)*(-$J1869^3+3*$J1869^2-3*$J1869+1)+INDIRECT("D$"&amp;3+MIN(2,ROUNDDOWN(I1869,0))*3)*(3*$J1869^3-6*$J1869^2+3*$J1869)+INDIRECT("D$"&amp;4+MIN(2,ROUNDDOWN(I1869,0))*3)*(-3*$J1869^3+3*$J1869^2)+INDIRECT("D$"&amp;5+MIN(2,ROUNDDOWN(I1869,0))*3)*$J1869^3</f>
      </c>
      <c r="M1869" s="7">
        <f>SQRT(K1869^2+L1869^2)</f>
      </c>
      <c r="N1869" s="7">
        <f>(K1870-K1868)</f>
      </c>
      <c r="O1869" s="7">
        <f>+(L1870-L1868)</f>
      </c>
      <c r="P1869" s="7">
        <f>SQRT(O1869^2+N1869^2)</f>
      </c>
      <c r="Q1869" s="7">
        <f>N1869/$P1869</f>
      </c>
      <c r="R1869" s="7">
        <f>O1869/$P1869</f>
      </c>
      <c r="S1869" s="7">
        <f>Q1869^2+R1869^2</f>
      </c>
      <c r="T1869" s="7">
        <f>-R1869</f>
      </c>
      <c r="U1869" s="7">
        <f>Q1869</f>
      </c>
      <c r="V1869" s="7">
        <f>($C$14+($C$15-$C$14)/($D$15-$D$14)*(I1869-$D$14))/2</f>
      </c>
      <c r="W1869" s="7">
        <f>($B$22*I1869^4+$C$22*I1869^3+$D$22*I1869^2+$E$22*I1869+$F$22)/2</f>
      </c>
      <c r="X1869" s="7">
        <f>($W1869)*(T1869)</f>
      </c>
      <c r="Y1869" s="7">
        <f>($W1869)*(U1869)</f>
      </c>
      <c r="Z1869" s="7">
        <f>SQRT(X1869^2+Y1869^2)</f>
      </c>
      <c r="AA1869" s="7">
        <f>$K1869+$X1869</f>
      </c>
      <c r="AB1869" s="7">
        <f>$L1869+$Y1869</f>
      </c>
      <c r="AC1869" s="7">
        <f>$K1869-$X1869</f>
      </c>
      <c r="AD1869" s="7">
        <f>$L1869-$Y1869</f>
      </c>
      <c r="AE1869" s="7">
        <f>AA1869/39.3701</f>
      </c>
      <c r="AF1869" s="7">
        <f>AB1869/39.3701</f>
      </c>
      <c r="AG1869" s="7">
        <f>AC1869/39.3701</f>
      </c>
      <c r="AH1869" s="7">
        <f>AD1869/39.3701</f>
      </c>
      <c r="AI1869" s="1"/>
      <c r="AJ1869" s="1"/>
      <c r="AK1869" s="1"/>
      <c r="AL1869" s="1"/>
      <c r="AM1869" s="2"/>
      <c r="AN1869" s="1"/>
      <c r="AO1869" s="1"/>
      <c r="AP1869" s="1"/>
      <c r="AQ1869" s="1"/>
      <c r="AR1869" s="1"/>
      <c r="AS1869" s="1"/>
      <c r="AT1869" s="1"/>
      <c r="AU1869" s="1"/>
      <c r="AV1869" s="1"/>
      <c r="AW1869" s="1"/>
      <c r="AX1869" s="1"/>
      <c r="AY1869" s="1"/>
      <c r="AZ1869" s="1"/>
      <c r="BA1869" s="1"/>
      <c r="BB1869" s="1"/>
      <c r="BC1869" s="1"/>
      <c r="BD1869" s="1"/>
      <c r="BE1869" s="1"/>
    </row>
    <row x14ac:dyDescent="0.25" r="1870" customHeight="1" ht="18.75">
      <c r="A1870" s="1"/>
      <c r="B1870" s="2"/>
      <c r="C1870" s="2"/>
      <c r="D1870" s="2"/>
      <c r="E1870" s="2"/>
      <c r="F1870" s="2"/>
      <c r="G1870" s="1"/>
      <c r="H1870" s="1"/>
      <c r="I1870" s="7">
        <v>1.867</v>
      </c>
      <c r="J1870" s="7">
        <f>IF((I1870-ROUNDDOWN(I1870,0))=0, 0, (I1870-ROUNDDOWN(I1870,0)))</f>
      </c>
      <c r="K1870" s="7">
        <f>INDIRECT("C$"&amp;2+MIN(2,ROUNDDOWN(I1870,0))*3)*(-$J1870^3+3*$J1870^2-3*$J1870+1)+INDIRECT("C$"&amp;3+MIN(2,ROUNDDOWN(I1870,0))*3)*(3*$J1870^3-6*$J1870^2+3*$J1870)+INDIRECT("C$"&amp;4+MIN(2,ROUNDDOWN(I1870,0))*3)*(-3*$J1870^3+3*$J1870^2)+INDIRECT("C$"&amp;5+MIN(2,ROUNDDOWN(I1870,0))*3)*$J1870^3</f>
      </c>
      <c r="L1870" s="7">
        <f>INDIRECT("D$"&amp;2+MIN(2,ROUNDDOWN(I1870,0))*3)*(-$J1870^3+3*$J1870^2-3*$J1870+1)+INDIRECT("D$"&amp;3+MIN(2,ROUNDDOWN(I1870,0))*3)*(3*$J1870^3-6*$J1870^2+3*$J1870)+INDIRECT("D$"&amp;4+MIN(2,ROUNDDOWN(I1870,0))*3)*(-3*$J1870^3+3*$J1870^2)+INDIRECT("D$"&amp;5+MIN(2,ROUNDDOWN(I1870,0))*3)*$J1870^3</f>
      </c>
      <c r="M1870" s="7">
        <f>SQRT(K1870^2+L1870^2)</f>
      </c>
      <c r="N1870" s="7">
        <f>(K1871-K1869)</f>
      </c>
      <c r="O1870" s="7">
        <f>+(L1871-L1869)</f>
      </c>
      <c r="P1870" s="7">
        <f>SQRT(O1870^2+N1870^2)</f>
      </c>
      <c r="Q1870" s="7">
        <f>N1870/$P1870</f>
      </c>
      <c r="R1870" s="7">
        <f>O1870/$P1870</f>
      </c>
      <c r="S1870" s="8">
        <f>Q1870^2+R1870^2</f>
      </c>
      <c r="T1870" s="7">
        <f>-R1870</f>
      </c>
      <c r="U1870" s="7">
        <f>Q1870</f>
      </c>
      <c r="V1870" s="7">
        <f>($C$14+($C$15-$C$14)/($D$15-$D$14)*(I1870-$D$14))/2</f>
      </c>
      <c r="W1870" s="7">
        <f>($B$22*I1870^4+$C$22*I1870^3+$D$22*I1870^2+$E$22*I1870+$F$22)/2</f>
      </c>
      <c r="X1870" s="7">
        <f>($W1870)*(T1870)</f>
      </c>
      <c r="Y1870" s="7">
        <f>($W1870)*(U1870)</f>
      </c>
      <c r="Z1870" s="7">
        <f>SQRT(X1870^2+Y1870^2)</f>
      </c>
      <c r="AA1870" s="7">
        <f>$K1870+$X1870</f>
      </c>
      <c r="AB1870" s="7">
        <f>$L1870+$Y1870</f>
      </c>
      <c r="AC1870" s="7">
        <f>$K1870-$X1870</f>
      </c>
      <c r="AD1870" s="7">
        <f>$L1870-$Y1870</f>
      </c>
      <c r="AE1870" s="7">
        <f>AA1870/39.3701</f>
      </c>
      <c r="AF1870" s="7">
        <f>AB1870/39.3701</f>
      </c>
      <c r="AG1870" s="7">
        <f>AC1870/39.3701</f>
      </c>
      <c r="AH1870" s="7">
        <f>AD1870/39.3701</f>
      </c>
      <c r="AI1870" s="1"/>
      <c r="AJ1870" s="1"/>
      <c r="AK1870" s="1"/>
      <c r="AL1870" s="1"/>
      <c r="AM1870" s="2"/>
      <c r="AN1870" s="1"/>
      <c r="AO1870" s="1"/>
      <c r="AP1870" s="1"/>
      <c r="AQ1870" s="1"/>
      <c r="AR1870" s="1"/>
      <c r="AS1870" s="1"/>
      <c r="AT1870" s="1"/>
      <c r="AU1870" s="1"/>
      <c r="AV1870" s="1"/>
      <c r="AW1870" s="1"/>
      <c r="AX1870" s="1"/>
      <c r="AY1870" s="1"/>
      <c r="AZ1870" s="1"/>
      <c r="BA1870" s="1"/>
      <c r="BB1870" s="1"/>
      <c r="BC1870" s="1"/>
      <c r="BD1870" s="1"/>
      <c r="BE1870" s="1"/>
    </row>
    <row x14ac:dyDescent="0.25" r="1871" customHeight="1" ht="18.75">
      <c r="A1871" s="1"/>
      <c r="B1871" s="2"/>
      <c r="C1871" s="2"/>
      <c r="D1871" s="2"/>
      <c r="E1871" s="2"/>
      <c r="F1871" s="2"/>
      <c r="G1871" s="1"/>
      <c r="H1871" s="1"/>
      <c r="I1871" s="7">
        <v>1.868</v>
      </c>
      <c r="J1871" s="7">
        <f>IF((I1871-ROUNDDOWN(I1871,0))=0, 0, (I1871-ROUNDDOWN(I1871,0)))</f>
      </c>
      <c r="K1871" s="7">
        <f>INDIRECT("C$"&amp;2+MIN(2,ROUNDDOWN(I1871,0))*3)*(-$J1871^3+3*$J1871^2-3*$J1871+1)+INDIRECT("C$"&amp;3+MIN(2,ROUNDDOWN(I1871,0))*3)*(3*$J1871^3-6*$J1871^2+3*$J1871)+INDIRECT("C$"&amp;4+MIN(2,ROUNDDOWN(I1871,0))*3)*(-3*$J1871^3+3*$J1871^2)+INDIRECT("C$"&amp;5+MIN(2,ROUNDDOWN(I1871,0))*3)*$J1871^3</f>
      </c>
      <c r="L1871" s="7">
        <f>INDIRECT("D$"&amp;2+MIN(2,ROUNDDOWN(I1871,0))*3)*(-$J1871^3+3*$J1871^2-3*$J1871+1)+INDIRECT("D$"&amp;3+MIN(2,ROUNDDOWN(I1871,0))*3)*(3*$J1871^3-6*$J1871^2+3*$J1871)+INDIRECT("D$"&amp;4+MIN(2,ROUNDDOWN(I1871,0))*3)*(-3*$J1871^3+3*$J1871^2)+INDIRECT("D$"&amp;5+MIN(2,ROUNDDOWN(I1871,0))*3)*$J1871^3</f>
      </c>
      <c r="M1871" s="7">
        <f>SQRT(K1871^2+L1871^2)</f>
      </c>
      <c r="N1871" s="7">
        <f>(K1872-K1870)</f>
      </c>
      <c r="O1871" s="7">
        <f>+(L1872-L1870)</f>
      </c>
      <c r="P1871" s="7">
        <f>SQRT(O1871^2+N1871^2)</f>
      </c>
      <c r="Q1871" s="7">
        <f>N1871/$P1871</f>
      </c>
      <c r="R1871" s="7">
        <f>O1871/$P1871</f>
      </c>
      <c r="S1871" s="8">
        <f>Q1871^2+R1871^2</f>
      </c>
      <c r="T1871" s="7">
        <f>-R1871</f>
      </c>
      <c r="U1871" s="7">
        <f>Q1871</f>
      </c>
      <c r="V1871" s="7">
        <f>($C$14+($C$15-$C$14)/($D$15-$D$14)*(I1871-$D$14))/2</f>
      </c>
      <c r="W1871" s="7">
        <f>($B$22*I1871^4+$C$22*I1871^3+$D$22*I1871^2+$E$22*I1871+$F$22)/2</f>
      </c>
      <c r="X1871" s="7">
        <f>($W1871)*(T1871)</f>
      </c>
      <c r="Y1871" s="7">
        <f>($W1871)*(U1871)</f>
      </c>
      <c r="Z1871" s="7">
        <f>SQRT(X1871^2+Y1871^2)</f>
      </c>
      <c r="AA1871" s="7">
        <f>$K1871+$X1871</f>
      </c>
      <c r="AB1871" s="7">
        <f>$L1871+$Y1871</f>
      </c>
      <c r="AC1871" s="7">
        <f>$K1871-$X1871</f>
      </c>
      <c r="AD1871" s="7">
        <f>$L1871-$Y1871</f>
      </c>
      <c r="AE1871" s="7">
        <f>AA1871/39.3701</f>
      </c>
      <c r="AF1871" s="7">
        <f>AB1871/39.3701</f>
      </c>
      <c r="AG1871" s="7">
        <f>AC1871/39.3701</f>
      </c>
      <c r="AH1871" s="7">
        <f>AD1871/39.3701</f>
      </c>
      <c r="AI1871" s="1"/>
      <c r="AJ1871" s="1"/>
      <c r="AK1871" s="1"/>
      <c r="AL1871" s="1"/>
      <c r="AM1871" s="2"/>
      <c r="AN1871" s="1"/>
      <c r="AO1871" s="1"/>
      <c r="AP1871" s="1"/>
      <c r="AQ1871" s="1"/>
      <c r="AR1871" s="1"/>
      <c r="AS1871" s="1"/>
      <c r="AT1871" s="1"/>
      <c r="AU1871" s="1"/>
      <c r="AV1871" s="1"/>
      <c r="AW1871" s="1"/>
      <c r="AX1871" s="1"/>
      <c r="AY1871" s="1"/>
      <c r="AZ1871" s="1"/>
      <c r="BA1871" s="1"/>
      <c r="BB1871" s="1"/>
      <c r="BC1871" s="1"/>
      <c r="BD1871" s="1"/>
      <c r="BE1871" s="1"/>
    </row>
    <row x14ac:dyDescent="0.25" r="1872" customHeight="1" ht="18.75">
      <c r="A1872" s="1"/>
      <c r="B1872" s="2"/>
      <c r="C1872" s="2"/>
      <c r="D1872" s="2"/>
      <c r="E1872" s="2"/>
      <c r="F1872" s="2"/>
      <c r="G1872" s="1"/>
      <c r="H1872" s="1"/>
      <c r="I1872" s="7">
        <v>1.869</v>
      </c>
      <c r="J1872" s="7">
        <f>IF((I1872-ROUNDDOWN(I1872,0))=0, 0, (I1872-ROUNDDOWN(I1872,0)))</f>
      </c>
      <c r="K1872" s="7">
        <f>INDIRECT("C$"&amp;2+MIN(2,ROUNDDOWN(I1872,0))*3)*(-$J1872^3+3*$J1872^2-3*$J1872+1)+INDIRECT("C$"&amp;3+MIN(2,ROUNDDOWN(I1872,0))*3)*(3*$J1872^3-6*$J1872^2+3*$J1872)+INDIRECT("C$"&amp;4+MIN(2,ROUNDDOWN(I1872,0))*3)*(-3*$J1872^3+3*$J1872^2)+INDIRECT("C$"&amp;5+MIN(2,ROUNDDOWN(I1872,0))*3)*$J1872^3</f>
      </c>
      <c r="L1872" s="7">
        <f>INDIRECT("D$"&amp;2+MIN(2,ROUNDDOWN(I1872,0))*3)*(-$J1872^3+3*$J1872^2-3*$J1872+1)+INDIRECT("D$"&amp;3+MIN(2,ROUNDDOWN(I1872,0))*3)*(3*$J1872^3-6*$J1872^2+3*$J1872)+INDIRECT("D$"&amp;4+MIN(2,ROUNDDOWN(I1872,0))*3)*(-3*$J1872^3+3*$J1872^2)+INDIRECT("D$"&amp;5+MIN(2,ROUNDDOWN(I1872,0))*3)*$J1872^3</f>
      </c>
      <c r="M1872" s="7">
        <f>SQRT(K1872^2+L1872^2)</f>
      </c>
      <c r="N1872" s="7">
        <f>(K1873-K1871)</f>
      </c>
      <c r="O1872" s="7">
        <f>+(L1873-L1871)</f>
      </c>
      <c r="P1872" s="7">
        <f>SQRT(O1872^2+N1872^2)</f>
      </c>
      <c r="Q1872" s="7">
        <f>N1872/$P1872</f>
      </c>
      <c r="R1872" s="7">
        <f>O1872/$P1872</f>
      </c>
      <c r="S1872" s="7">
        <f>Q1872^2+R1872^2</f>
      </c>
      <c r="T1872" s="7">
        <f>-R1872</f>
      </c>
      <c r="U1872" s="7">
        <f>Q1872</f>
      </c>
      <c r="V1872" s="7">
        <f>($C$14+($C$15-$C$14)/($D$15-$D$14)*(I1872-$D$14))/2</f>
      </c>
      <c r="W1872" s="7">
        <f>($B$22*I1872^4+$C$22*I1872^3+$D$22*I1872^2+$E$22*I1872+$F$22)/2</f>
      </c>
      <c r="X1872" s="7">
        <f>($W1872)*(T1872)</f>
      </c>
      <c r="Y1872" s="7">
        <f>($W1872)*(U1872)</f>
      </c>
      <c r="Z1872" s="7">
        <f>SQRT(X1872^2+Y1872^2)</f>
      </c>
      <c r="AA1872" s="7">
        <f>$K1872+$X1872</f>
      </c>
      <c r="AB1872" s="7">
        <f>$L1872+$Y1872</f>
      </c>
      <c r="AC1872" s="7">
        <f>$K1872-$X1872</f>
      </c>
      <c r="AD1872" s="7">
        <f>$L1872-$Y1872</f>
      </c>
      <c r="AE1872" s="7">
        <f>AA1872/39.3701</f>
      </c>
      <c r="AF1872" s="7">
        <f>AB1872/39.3701</f>
      </c>
      <c r="AG1872" s="7">
        <f>AC1872/39.3701</f>
      </c>
      <c r="AH1872" s="7">
        <f>AD1872/39.3701</f>
      </c>
      <c r="AI1872" s="1"/>
      <c r="AJ1872" s="1"/>
      <c r="AK1872" s="1"/>
      <c r="AL1872" s="1"/>
      <c r="AM1872" s="2"/>
      <c r="AN1872" s="1"/>
      <c r="AO1872" s="1"/>
      <c r="AP1872" s="1"/>
      <c r="AQ1872" s="1"/>
      <c r="AR1872" s="1"/>
      <c r="AS1872" s="1"/>
      <c r="AT1872" s="1"/>
      <c r="AU1872" s="1"/>
      <c r="AV1872" s="1"/>
      <c r="AW1872" s="1"/>
      <c r="AX1872" s="1"/>
      <c r="AY1872" s="1"/>
      <c r="AZ1872" s="1"/>
      <c r="BA1872" s="1"/>
      <c r="BB1872" s="1"/>
      <c r="BC1872" s="1"/>
      <c r="BD1872" s="1"/>
      <c r="BE1872" s="1"/>
    </row>
    <row x14ac:dyDescent="0.25" r="1873" customHeight="1" ht="18.75">
      <c r="A1873" s="1"/>
      <c r="B1873" s="2"/>
      <c r="C1873" s="2"/>
      <c r="D1873" s="2"/>
      <c r="E1873" s="2"/>
      <c r="F1873" s="2"/>
      <c r="G1873" s="1"/>
      <c r="H1873" s="1"/>
      <c r="I1873" s="7">
        <v>1.87</v>
      </c>
      <c r="J1873" s="7">
        <f>IF((I1873-ROUNDDOWN(I1873,0))=0, 0, (I1873-ROUNDDOWN(I1873,0)))</f>
      </c>
      <c r="K1873" s="7">
        <f>INDIRECT("C$"&amp;2+MIN(2,ROUNDDOWN(I1873,0))*3)*(-$J1873^3+3*$J1873^2-3*$J1873+1)+INDIRECT("C$"&amp;3+MIN(2,ROUNDDOWN(I1873,0))*3)*(3*$J1873^3-6*$J1873^2+3*$J1873)+INDIRECT("C$"&amp;4+MIN(2,ROUNDDOWN(I1873,0))*3)*(-3*$J1873^3+3*$J1873^2)+INDIRECT("C$"&amp;5+MIN(2,ROUNDDOWN(I1873,0))*3)*$J1873^3</f>
      </c>
      <c r="L1873" s="7">
        <f>INDIRECT("D$"&amp;2+MIN(2,ROUNDDOWN(I1873,0))*3)*(-$J1873^3+3*$J1873^2-3*$J1873+1)+INDIRECT("D$"&amp;3+MIN(2,ROUNDDOWN(I1873,0))*3)*(3*$J1873^3-6*$J1873^2+3*$J1873)+INDIRECT("D$"&amp;4+MIN(2,ROUNDDOWN(I1873,0))*3)*(-3*$J1873^3+3*$J1873^2)+INDIRECT("D$"&amp;5+MIN(2,ROUNDDOWN(I1873,0))*3)*$J1873^3</f>
      </c>
      <c r="M1873" s="7">
        <f>SQRT(K1873^2+L1873^2)</f>
      </c>
      <c r="N1873" s="7">
        <f>(K1874-K1872)</f>
      </c>
      <c r="O1873" s="7">
        <f>+(L1874-L1872)</f>
      </c>
      <c r="P1873" s="7">
        <f>SQRT(O1873^2+N1873^2)</f>
      </c>
      <c r="Q1873" s="7">
        <f>N1873/$P1873</f>
      </c>
      <c r="R1873" s="7">
        <f>O1873/$P1873</f>
      </c>
      <c r="S1873" s="8">
        <f>Q1873^2+R1873^2</f>
      </c>
      <c r="T1873" s="7">
        <f>-R1873</f>
      </c>
      <c r="U1873" s="7">
        <f>Q1873</f>
      </c>
      <c r="V1873" s="7">
        <f>($C$14+($C$15-$C$14)/($D$15-$D$14)*(I1873-$D$14))/2</f>
      </c>
      <c r="W1873" s="7">
        <f>($B$22*I1873^4+$C$22*I1873^3+$D$22*I1873^2+$E$22*I1873+$F$22)/2</f>
      </c>
      <c r="X1873" s="7">
        <f>($W1873)*(T1873)</f>
      </c>
      <c r="Y1873" s="7">
        <f>($W1873)*(U1873)</f>
      </c>
      <c r="Z1873" s="7">
        <f>SQRT(X1873^2+Y1873^2)</f>
      </c>
      <c r="AA1873" s="7">
        <f>$K1873+$X1873</f>
      </c>
      <c r="AB1873" s="7">
        <f>$L1873+$Y1873</f>
      </c>
      <c r="AC1873" s="7">
        <f>$K1873-$X1873</f>
      </c>
      <c r="AD1873" s="7">
        <f>$L1873-$Y1873</f>
      </c>
      <c r="AE1873" s="7">
        <f>AA1873/39.3701</f>
      </c>
      <c r="AF1873" s="7">
        <f>AB1873/39.3701</f>
      </c>
      <c r="AG1873" s="7">
        <f>AC1873/39.3701</f>
      </c>
      <c r="AH1873" s="7">
        <f>AD1873/39.3701</f>
      </c>
      <c r="AI1873" s="1"/>
      <c r="AJ1873" s="1"/>
      <c r="AK1873" s="1"/>
      <c r="AL1873" s="1"/>
      <c r="AM1873" s="2"/>
      <c r="AN1873" s="1"/>
      <c r="AO1873" s="1"/>
      <c r="AP1873" s="1"/>
      <c r="AQ1873" s="1"/>
      <c r="AR1873" s="1"/>
      <c r="AS1873" s="1"/>
      <c r="AT1873" s="1"/>
      <c r="AU1873" s="1"/>
      <c r="AV1873" s="1"/>
      <c r="AW1873" s="1"/>
      <c r="AX1873" s="1"/>
      <c r="AY1873" s="1"/>
      <c r="AZ1873" s="1"/>
      <c r="BA1873" s="1"/>
      <c r="BB1873" s="1"/>
      <c r="BC1873" s="1"/>
      <c r="BD1873" s="1"/>
      <c r="BE1873" s="1"/>
    </row>
    <row x14ac:dyDescent="0.25" r="1874" customHeight="1" ht="18.75">
      <c r="A1874" s="1"/>
      <c r="B1874" s="2"/>
      <c r="C1874" s="2"/>
      <c r="D1874" s="2"/>
      <c r="E1874" s="2"/>
      <c r="F1874" s="2"/>
      <c r="G1874" s="1"/>
      <c r="H1874" s="1"/>
      <c r="I1874" s="7">
        <v>1.871</v>
      </c>
      <c r="J1874" s="7">
        <f>IF((I1874-ROUNDDOWN(I1874,0))=0, 0, (I1874-ROUNDDOWN(I1874,0)))</f>
      </c>
      <c r="K1874" s="7">
        <f>INDIRECT("C$"&amp;2+MIN(2,ROUNDDOWN(I1874,0))*3)*(-$J1874^3+3*$J1874^2-3*$J1874+1)+INDIRECT("C$"&amp;3+MIN(2,ROUNDDOWN(I1874,0))*3)*(3*$J1874^3-6*$J1874^2+3*$J1874)+INDIRECT("C$"&amp;4+MIN(2,ROUNDDOWN(I1874,0))*3)*(-3*$J1874^3+3*$J1874^2)+INDIRECT("C$"&amp;5+MIN(2,ROUNDDOWN(I1874,0))*3)*$J1874^3</f>
      </c>
      <c r="L1874" s="7">
        <f>INDIRECT("D$"&amp;2+MIN(2,ROUNDDOWN(I1874,0))*3)*(-$J1874^3+3*$J1874^2-3*$J1874+1)+INDIRECT("D$"&amp;3+MIN(2,ROUNDDOWN(I1874,0))*3)*(3*$J1874^3-6*$J1874^2+3*$J1874)+INDIRECT("D$"&amp;4+MIN(2,ROUNDDOWN(I1874,0))*3)*(-3*$J1874^3+3*$J1874^2)+INDIRECT("D$"&amp;5+MIN(2,ROUNDDOWN(I1874,0))*3)*$J1874^3</f>
      </c>
      <c r="M1874" s="7">
        <f>SQRT(K1874^2+L1874^2)</f>
      </c>
      <c r="N1874" s="7">
        <f>(K1875-K1873)</f>
      </c>
      <c r="O1874" s="7">
        <f>+(L1875-L1873)</f>
      </c>
      <c r="P1874" s="7">
        <f>SQRT(O1874^2+N1874^2)</f>
      </c>
      <c r="Q1874" s="7">
        <f>N1874/$P1874</f>
      </c>
      <c r="R1874" s="7">
        <f>O1874/$P1874</f>
      </c>
      <c r="S1874" s="7">
        <f>Q1874^2+R1874^2</f>
      </c>
      <c r="T1874" s="7">
        <f>-R1874</f>
      </c>
      <c r="U1874" s="7">
        <f>Q1874</f>
      </c>
      <c r="V1874" s="7">
        <f>($C$14+($C$15-$C$14)/($D$15-$D$14)*(I1874-$D$14))/2</f>
      </c>
      <c r="W1874" s="7">
        <f>($B$22*I1874^4+$C$22*I1874^3+$D$22*I1874^2+$E$22*I1874+$F$22)/2</f>
      </c>
      <c r="X1874" s="7">
        <f>($W1874)*(T1874)</f>
      </c>
      <c r="Y1874" s="7">
        <f>($W1874)*(U1874)</f>
      </c>
      <c r="Z1874" s="7">
        <f>SQRT(X1874^2+Y1874^2)</f>
      </c>
      <c r="AA1874" s="7">
        <f>$K1874+$X1874</f>
      </c>
      <c r="AB1874" s="7">
        <f>$L1874+$Y1874</f>
      </c>
      <c r="AC1874" s="7">
        <f>$K1874-$X1874</f>
      </c>
      <c r="AD1874" s="7">
        <f>$L1874-$Y1874</f>
      </c>
      <c r="AE1874" s="7">
        <f>AA1874/39.3701</f>
      </c>
      <c r="AF1874" s="7">
        <f>AB1874/39.3701</f>
      </c>
      <c r="AG1874" s="7">
        <f>AC1874/39.3701</f>
      </c>
      <c r="AH1874" s="7">
        <f>AD1874/39.3701</f>
      </c>
      <c r="AI1874" s="1"/>
      <c r="AJ1874" s="1"/>
      <c r="AK1874" s="1"/>
      <c r="AL1874" s="1"/>
      <c r="AM1874" s="2"/>
      <c r="AN1874" s="1"/>
      <c r="AO1874" s="1"/>
      <c r="AP1874" s="1"/>
      <c r="AQ1874" s="1"/>
      <c r="AR1874" s="1"/>
      <c r="AS1874" s="1"/>
      <c r="AT1874" s="1"/>
      <c r="AU1874" s="1"/>
      <c r="AV1874" s="1"/>
      <c r="AW1874" s="1"/>
      <c r="AX1874" s="1"/>
      <c r="AY1874" s="1"/>
      <c r="AZ1874" s="1"/>
      <c r="BA1874" s="1"/>
      <c r="BB1874" s="1"/>
      <c r="BC1874" s="1"/>
      <c r="BD1874" s="1"/>
      <c r="BE1874" s="1"/>
    </row>
    <row x14ac:dyDescent="0.25" r="1875" customHeight="1" ht="18.75">
      <c r="A1875" s="1"/>
      <c r="B1875" s="2"/>
      <c r="C1875" s="2"/>
      <c r="D1875" s="2"/>
      <c r="E1875" s="2"/>
      <c r="F1875" s="2"/>
      <c r="G1875" s="1"/>
      <c r="H1875" s="1"/>
      <c r="I1875" s="7">
        <v>1.872</v>
      </c>
      <c r="J1875" s="7">
        <f>IF((I1875-ROUNDDOWN(I1875,0))=0, 0, (I1875-ROUNDDOWN(I1875,0)))</f>
      </c>
      <c r="K1875" s="7">
        <f>INDIRECT("C$"&amp;2+MIN(2,ROUNDDOWN(I1875,0))*3)*(-$J1875^3+3*$J1875^2-3*$J1875+1)+INDIRECT("C$"&amp;3+MIN(2,ROUNDDOWN(I1875,0))*3)*(3*$J1875^3-6*$J1875^2+3*$J1875)+INDIRECT("C$"&amp;4+MIN(2,ROUNDDOWN(I1875,0))*3)*(-3*$J1875^3+3*$J1875^2)+INDIRECT("C$"&amp;5+MIN(2,ROUNDDOWN(I1875,0))*3)*$J1875^3</f>
      </c>
      <c r="L1875" s="7">
        <f>INDIRECT("D$"&amp;2+MIN(2,ROUNDDOWN(I1875,0))*3)*(-$J1875^3+3*$J1875^2-3*$J1875+1)+INDIRECT("D$"&amp;3+MIN(2,ROUNDDOWN(I1875,0))*3)*(3*$J1875^3-6*$J1875^2+3*$J1875)+INDIRECT("D$"&amp;4+MIN(2,ROUNDDOWN(I1875,0))*3)*(-3*$J1875^3+3*$J1875^2)+INDIRECT("D$"&amp;5+MIN(2,ROUNDDOWN(I1875,0))*3)*$J1875^3</f>
      </c>
      <c r="M1875" s="7">
        <f>SQRT(K1875^2+L1875^2)</f>
      </c>
      <c r="N1875" s="7">
        <f>(K1876-K1874)</f>
      </c>
      <c r="O1875" s="7">
        <f>+(L1876-L1874)</f>
      </c>
      <c r="P1875" s="7">
        <f>SQRT(O1875^2+N1875^2)</f>
      </c>
      <c r="Q1875" s="7">
        <f>N1875/$P1875</f>
      </c>
      <c r="R1875" s="7">
        <f>O1875/$P1875</f>
      </c>
      <c r="S1875" s="8">
        <f>Q1875^2+R1875^2</f>
      </c>
      <c r="T1875" s="7">
        <f>-R1875</f>
      </c>
      <c r="U1875" s="7">
        <f>Q1875</f>
      </c>
      <c r="V1875" s="7">
        <f>($C$14+($C$15-$C$14)/($D$15-$D$14)*(I1875-$D$14))/2</f>
      </c>
      <c r="W1875" s="7">
        <f>($B$22*I1875^4+$C$22*I1875^3+$D$22*I1875^2+$E$22*I1875+$F$22)/2</f>
      </c>
      <c r="X1875" s="7">
        <f>($W1875)*(T1875)</f>
      </c>
      <c r="Y1875" s="7">
        <f>($W1875)*(U1875)</f>
      </c>
      <c r="Z1875" s="7">
        <f>SQRT(X1875^2+Y1875^2)</f>
      </c>
      <c r="AA1875" s="7">
        <f>$K1875+$X1875</f>
      </c>
      <c r="AB1875" s="7">
        <f>$L1875+$Y1875</f>
      </c>
      <c r="AC1875" s="7">
        <f>$K1875-$X1875</f>
      </c>
      <c r="AD1875" s="7">
        <f>$L1875-$Y1875</f>
      </c>
      <c r="AE1875" s="7">
        <f>AA1875/39.3701</f>
      </c>
      <c r="AF1875" s="7">
        <f>AB1875/39.3701</f>
      </c>
      <c r="AG1875" s="7">
        <f>AC1875/39.3701</f>
      </c>
      <c r="AH1875" s="7">
        <f>AD1875/39.3701</f>
      </c>
      <c r="AI1875" s="1"/>
      <c r="AJ1875" s="1"/>
      <c r="AK1875" s="1"/>
      <c r="AL1875" s="1"/>
      <c r="AM1875" s="2"/>
      <c r="AN1875" s="1"/>
      <c r="AO1875" s="1"/>
      <c r="AP1875" s="1"/>
      <c r="AQ1875" s="1"/>
      <c r="AR1875" s="1"/>
      <c r="AS1875" s="1"/>
      <c r="AT1875" s="1"/>
      <c r="AU1875" s="1"/>
      <c r="AV1875" s="1"/>
      <c r="AW1875" s="1"/>
      <c r="AX1875" s="1"/>
      <c r="AY1875" s="1"/>
      <c r="AZ1875" s="1"/>
      <c r="BA1875" s="1"/>
      <c r="BB1875" s="1"/>
      <c r="BC1875" s="1"/>
      <c r="BD1875" s="1"/>
      <c r="BE1875" s="1"/>
    </row>
    <row x14ac:dyDescent="0.25" r="1876" customHeight="1" ht="18.75">
      <c r="A1876" s="1"/>
      <c r="B1876" s="2"/>
      <c r="C1876" s="2"/>
      <c r="D1876" s="2"/>
      <c r="E1876" s="2"/>
      <c r="F1876" s="2"/>
      <c r="G1876" s="1"/>
      <c r="H1876" s="1"/>
      <c r="I1876" s="7">
        <v>1.873</v>
      </c>
      <c r="J1876" s="7">
        <f>IF((I1876-ROUNDDOWN(I1876,0))=0, 0, (I1876-ROUNDDOWN(I1876,0)))</f>
      </c>
      <c r="K1876" s="7">
        <f>INDIRECT("C$"&amp;2+MIN(2,ROUNDDOWN(I1876,0))*3)*(-$J1876^3+3*$J1876^2-3*$J1876+1)+INDIRECT("C$"&amp;3+MIN(2,ROUNDDOWN(I1876,0))*3)*(3*$J1876^3-6*$J1876^2+3*$J1876)+INDIRECT("C$"&amp;4+MIN(2,ROUNDDOWN(I1876,0))*3)*(-3*$J1876^3+3*$J1876^2)+INDIRECT("C$"&amp;5+MIN(2,ROUNDDOWN(I1876,0))*3)*$J1876^3</f>
      </c>
      <c r="L1876" s="7">
        <f>INDIRECT("D$"&amp;2+MIN(2,ROUNDDOWN(I1876,0))*3)*(-$J1876^3+3*$J1876^2-3*$J1876+1)+INDIRECT("D$"&amp;3+MIN(2,ROUNDDOWN(I1876,0))*3)*(3*$J1876^3-6*$J1876^2+3*$J1876)+INDIRECT("D$"&amp;4+MIN(2,ROUNDDOWN(I1876,0))*3)*(-3*$J1876^3+3*$J1876^2)+INDIRECT("D$"&amp;5+MIN(2,ROUNDDOWN(I1876,0))*3)*$J1876^3</f>
      </c>
      <c r="M1876" s="7">
        <f>SQRT(K1876^2+L1876^2)</f>
      </c>
      <c r="N1876" s="7">
        <f>(K1877-K1875)</f>
      </c>
      <c r="O1876" s="7">
        <f>+(L1877-L1875)</f>
      </c>
      <c r="P1876" s="7">
        <f>SQRT(O1876^2+N1876^2)</f>
      </c>
      <c r="Q1876" s="7">
        <f>N1876/$P1876</f>
      </c>
      <c r="R1876" s="7">
        <f>O1876/$P1876</f>
      </c>
      <c r="S1876" s="8">
        <f>Q1876^2+R1876^2</f>
      </c>
      <c r="T1876" s="7">
        <f>-R1876</f>
      </c>
      <c r="U1876" s="7">
        <f>Q1876</f>
      </c>
      <c r="V1876" s="7">
        <f>($C$14+($C$15-$C$14)/($D$15-$D$14)*(I1876-$D$14))/2</f>
      </c>
      <c r="W1876" s="7">
        <f>($B$22*I1876^4+$C$22*I1876^3+$D$22*I1876^2+$E$22*I1876+$F$22)/2</f>
      </c>
      <c r="X1876" s="7">
        <f>($W1876)*(T1876)</f>
      </c>
      <c r="Y1876" s="7">
        <f>($W1876)*(U1876)</f>
      </c>
      <c r="Z1876" s="7">
        <f>SQRT(X1876^2+Y1876^2)</f>
      </c>
      <c r="AA1876" s="7">
        <f>$K1876+$X1876</f>
      </c>
      <c r="AB1876" s="7">
        <f>$L1876+$Y1876</f>
      </c>
      <c r="AC1876" s="7">
        <f>$K1876-$X1876</f>
      </c>
      <c r="AD1876" s="7">
        <f>$L1876-$Y1876</f>
      </c>
      <c r="AE1876" s="7">
        <f>AA1876/39.3701</f>
      </c>
      <c r="AF1876" s="7">
        <f>AB1876/39.3701</f>
      </c>
      <c r="AG1876" s="7">
        <f>AC1876/39.3701</f>
      </c>
      <c r="AH1876" s="7">
        <f>AD1876/39.3701</f>
      </c>
      <c r="AI1876" s="1"/>
      <c r="AJ1876" s="1"/>
      <c r="AK1876" s="1"/>
      <c r="AL1876" s="1"/>
      <c r="AM1876" s="2"/>
      <c r="AN1876" s="1"/>
      <c r="AO1876" s="1"/>
      <c r="AP1876" s="1"/>
      <c r="AQ1876" s="1"/>
      <c r="AR1876" s="1"/>
      <c r="AS1876" s="1"/>
      <c r="AT1876" s="1"/>
      <c r="AU1876" s="1"/>
      <c r="AV1876" s="1"/>
      <c r="AW1876" s="1"/>
      <c r="AX1876" s="1"/>
      <c r="AY1876" s="1"/>
      <c r="AZ1876" s="1"/>
      <c r="BA1876" s="1"/>
      <c r="BB1876" s="1"/>
      <c r="BC1876" s="1"/>
      <c r="BD1876" s="1"/>
      <c r="BE1876" s="1"/>
    </row>
    <row x14ac:dyDescent="0.25" r="1877" customHeight="1" ht="18.75">
      <c r="A1877" s="1"/>
      <c r="B1877" s="2"/>
      <c r="C1877" s="2"/>
      <c r="D1877" s="2"/>
      <c r="E1877" s="2"/>
      <c r="F1877" s="2"/>
      <c r="G1877" s="1"/>
      <c r="H1877" s="1"/>
      <c r="I1877" s="7">
        <v>1.874</v>
      </c>
      <c r="J1877" s="7">
        <f>IF((I1877-ROUNDDOWN(I1877,0))=0, 0, (I1877-ROUNDDOWN(I1877,0)))</f>
      </c>
      <c r="K1877" s="7">
        <f>INDIRECT("C$"&amp;2+MIN(2,ROUNDDOWN(I1877,0))*3)*(-$J1877^3+3*$J1877^2-3*$J1877+1)+INDIRECT("C$"&amp;3+MIN(2,ROUNDDOWN(I1877,0))*3)*(3*$J1877^3-6*$J1877^2+3*$J1877)+INDIRECT("C$"&amp;4+MIN(2,ROUNDDOWN(I1877,0))*3)*(-3*$J1877^3+3*$J1877^2)+INDIRECT("C$"&amp;5+MIN(2,ROUNDDOWN(I1877,0))*3)*$J1877^3</f>
      </c>
      <c r="L1877" s="7">
        <f>INDIRECT("D$"&amp;2+MIN(2,ROUNDDOWN(I1877,0))*3)*(-$J1877^3+3*$J1877^2-3*$J1877+1)+INDIRECT("D$"&amp;3+MIN(2,ROUNDDOWN(I1877,0))*3)*(3*$J1877^3-6*$J1877^2+3*$J1877)+INDIRECT("D$"&amp;4+MIN(2,ROUNDDOWN(I1877,0))*3)*(-3*$J1877^3+3*$J1877^2)+INDIRECT("D$"&amp;5+MIN(2,ROUNDDOWN(I1877,0))*3)*$J1877^3</f>
      </c>
      <c r="M1877" s="7">
        <f>SQRT(K1877^2+L1877^2)</f>
      </c>
      <c r="N1877" s="7">
        <f>(K1878-K1876)</f>
      </c>
      <c r="O1877" s="7">
        <f>+(L1878-L1876)</f>
      </c>
      <c r="P1877" s="7">
        <f>SQRT(O1877^2+N1877^2)</f>
      </c>
      <c r="Q1877" s="7">
        <f>N1877/$P1877</f>
      </c>
      <c r="R1877" s="7">
        <f>O1877/$P1877</f>
      </c>
      <c r="S1877" s="7">
        <f>Q1877^2+R1877^2</f>
      </c>
      <c r="T1877" s="7">
        <f>-R1877</f>
      </c>
      <c r="U1877" s="7">
        <f>Q1877</f>
      </c>
      <c r="V1877" s="7">
        <f>($C$14+($C$15-$C$14)/($D$15-$D$14)*(I1877-$D$14))/2</f>
      </c>
      <c r="W1877" s="7">
        <f>($B$22*I1877^4+$C$22*I1877^3+$D$22*I1877^2+$E$22*I1877+$F$22)/2</f>
      </c>
      <c r="X1877" s="7">
        <f>($W1877)*(T1877)</f>
      </c>
      <c r="Y1877" s="7">
        <f>($W1877)*(U1877)</f>
      </c>
      <c r="Z1877" s="7">
        <f>SQRT(X1877^2+Y1877^2)</f>
      </c>
      <c r="AA1877" s="7">
        <f>$K1877+$X1877</f>
      </c>
      <c r="AB1877" s="7">
        <f>$L1877+$Y1877</f>
      </c>
      <c r="AC1877" s="7">
        <f>$K1877-$X1877</f>
      </c>
      <c r="AD1877" s="7">
        <f>$L1877-$Y1877</f>
      </c>
      <c r="AE1877" s="7">
        <f>AA1877/39.3701</f>
      </c>
      <c r="AF1877" s="7">
        <f>AB1877/39.3701</f>
      </c>
      <c r="AG1877" s="7">
        <f>AC1877/39.3701</f>
      </c>
      <c r="AH1877" s="7">
        <f>AD1877/39.3701</f>
      </c>
      <c r="AI1877" s="1"/>
      <c r="AJ1877" s="1"/>
      <c r="AK1877" s="1"/>
      <c r="AL1877" s="1"/>
      <c r="AM1877" s="2"/>
      <c r="AN1877" s="1"/>
      <c r="AO1877" s="1"/>
      <c r="AP1877" s="1"/>
      <c r="AQ1877" s="1"/>
      <c r="AR1877" s="1"/>
      <c r="AS1877" s="1"/>
      <c r="AT1877" s="1"/>
      <c r="AU1877" s="1"/>
      <c r="AV1877" s="1"/>
      <c r="AW1877" s="1"/>
      <c r="AX1877" s="1"/>
      <c r="AY1877" s="1"/>
      <c r="AZ1877" s="1"/>
      <c r="BA1877" s="1"/>
      <c r="BB1877" s="1"/>
      <c r="BC1877" s="1"/>
      <c r="BD1877" s="1"/>
      <c r="BE1877" s="1"/>
    </row>
    <row x14ac:dyDescent="0.25" r="1878" customHeight="1" ht="18.75">
      <c r="A1878" s="1"/>
      <c r="B1878" s="2"/>
      <c r="C1878" s="2"/>
      <c r="D1878" s="2"/>
      <c r="E1878" s="2"/>
      <c r="F1878" s="2"/>
      <c r="G1878" s="1"/>
      <c r="H1878" s="1"/>
      <c r="I1878" s="7">
        <v>1.875</v>
      </c>
      <c r="J1878" s="7">
        <f>IF((I1878-ROUNDDOWN(I1878,0))=0, 0, (I1878-ROUNDDOWN(I1878,0)))</f>
      </c>
      <c r="K1878" s="7">
        <f>INDIRECT("C$"&amp;2+MIN(2,ROUNDDOWN(I1878,0))*3)*(-$J1878^3+3*$J1878^2-3*$J1878+1)+INDIRECT("C$"&amp;3+MIN(2,ROUNDDOWN(I1878,0))*3)*(3*$J1878^3-6*$J1878^2+3*$J1878)+INDIRECT("C$"&amp;4+MIN(2,ROUNDDOWN(I1878,0))*3)*(-3*$J1878^3+3*$J1878^2)+INDIRECT("C$"&amp;5+MIN(2,ROUNDDOWN(I1878,0))*3)*$J1878^3</f>
      </c>
      <c r="L1878" s="7">
        <f>INDIRECT("D$"&amp;2+MIN(2,ROUNDDOWN(I1878,0))*3)*(-$J1878^3+3*$J1878^2-3*$J1878+1)+INDIRECT("D$"&amp;3+MIN(2,ROUNDDOWN(I1878,0))*3)*(3*$J1878^3-6*$J1878^2+3*$J1878)+INDIRECT("D$"&amp;4+MIN(2,ROUNDDOWN(I1878,0))*3)*(-3*$J1878^3+3*$J1878^2)+INDIRECT("D$"&amp;5+MIN(2,ROUNDDOWN(I1878,0))*3)*$J1878^3</f>
      </c>
      <c r="M1878" s="7">
        <f>SQRT(K1878^2+L1878^2)</f>
      </c>
      <c r="N1878" s="7">
        <f>(K1879-K1877)</f>
      </c>
      <c r="O1878" s="7">
        <f>+(L1879-L1877)</f>
      </c>
      <c r="P1878" s="7">
        <f>SQRT(O1878^2+N1878^2)</f>
      </c>
      <c r="Q1878" s="7">
        <f>N1878/$P1878</f>
      </c>
      <c r="R1878" s="7">
        <f>O1878/$P1878</f>
      </c>
      <c r="S1878" s="8">
        <f>Q1878^2+R1878^2</f>
      </c>
      <c r="T1878" s="7">
        <f>-R1878</f>
      </c>
      <c r="U1878" s="7">
        <f>Q1878</f>
      </c>
      <c r="V1878" s="7">
        <f>($C$14+($C$15-$C$14)/($D$15-$D$14)*(I1878-$D$14))/2</f>
      </c>
      <c r="W1878" s="7">
        <f>($B$22*I1878^4+$C$22*I1878^3+$D$22*I1878^2+$E$22*I1878+$F$22)/2</f>
      </c>
      <c r="X1878" s="7">
        <f>($W1878)*(T1878)</f>
      </c>
      <c r="Y1878" s="7">
        <f>($W1878)*(U1878)</f>
      </c>
      <c r="Z1878" s="7">
        <f>SQRT(X1878^2+Y1878^2)</f>
      </c>
      <c r="AA1878" s="7">
        <f>$K1878+$X1878</f>
      </c>
      <c r="AB1878" s="7">
        <f>$L1878+$Y1878</f>
      </c>
      <c r="AC1878" s="7">
        <f>$K1878-$X1878</f>
      </c>
      <c r="AD1878" s="7">
        <f>$L1878-$Y1878</f>
      </c>
      <c r="AE1878" s="7">
        <f>AA1878/39.3701</f>
      </c>
      <c r="AF1878" s="7">
        <f>AB1878/39.3701</f>
      </c>
      <c r="AG1878" s="7">
        <f>AC1878/39.3701</f>
      </c>
      <c r="AH1878" s="7">
        <f>AD1878/39.3701</f>
      </c>
      <c r="AI1878" s="1"/>
      <c r="AJ1878" s="1"/>
      <c r="AK1878" s="1"/>
      <c r="AL1878" s="1"/>
      <c r="AM1878" s="2"/>
      <c r="AN1878" s="1"/>
      <c r="AO1878" s="1"/>
      <c r="AP1878" s="1"/>
      <c r="AQ1878" s="1"/>
      <c r="AR1878" s="1"/>
      <c r="AS1878" s="1"/>
      <c r="AT1878" s="1"/>
      <c r="AU1878" s="1"/>
      <c r="AV1878" s="1"/>
      <c r="AW1878" s="1"/>
      <c r="AX1878" s="1"/>
      <c r="AY1878" s="1"/>
      <c r="AZ1878" s="1"/>
      <c r="BA1878" s="1"/>
      <c r="BB1878" s="1"/>
      <c r="BC1878" s="1"/>
      <c r="BD1878" s="1"/>
      <c r="BE1878" s="1"/>
    </row>
    <row x14ac:dyDescent="0.25" r="1879" customHeight="1" ht="18.75">
      <c r="A1879" s="1"/>
      <c r="B1879" s="2"/>
      <c r="C1879" s="2"/>
      <c r="D1879" s="2"/>
      <c r="E1879" s="2"/>
      <c r="F1879" s="2"/>
      <c r="G1879" s="1"/>
      <c r="H1879" s="1"/>
      <c r="I1879" s="7">
        <v>1.876</v>
      </c>
      <c r="J1879" s="7">
        <f>IF((I1879-ROUNDDOWN(I1879,0))=0, 0, (I1879-ROUNDDOWN(I1879,0)))</f>
      </c>
      <c r="K1879" s="7">
        <f>INDIRECT("C$"&amp;2+MIN(2,ROUNDDOWN(I1879,0))*3)*(-$J1879^3+3*$J1879^2-3*$J1879+1)+INDIRECT("C$"&amp;3+MIN(2,ROUNDDOWN(I1879,0))*3)*(3*$J1879^3-6*$J1879^2+3*$J1879)+INDIRECT("C$"&amp;4+MIN(2,ROUNDDOWN(I1879,0))*3)*(-3*$J1879^3+3*$J1879^2)+INDIRECT("C$"&amp;5+MIN(2,ROUNDDOWN(I1879,0))*3)*$J1879^3</f>
      </c>
      <c r="L1879" s="7">
        <f>INDIRECT("D$"&amp;2+MIN(2,ROUNDDOWN(I1879,0))*3)*(-$J1879^3+3*$J1879^2-3*$J1879+1)+INDIRECT("D$"&amp;3+MIN(2,ROUNDDOWN(I1879,0))*3)*(3*$J1879^3-6*$J1879^2+3*$J1879)+INDIRECT("D$"&amp;4+MIN(2,ROUNDDOWN(I1879,0))*3)*(-3*$J1879^3+3*$J1879^2)+INDIRECT("D$"&amp;5+MIN(2,ROUNDDOWN(I1879,0))*3)*$J1879^3</f>
      </c>
      <c r="M1879" s="7">
        <f>SQRT(K1879^2+L1879^2)</f>
      </c>
      <c r="N1879" s="7">
        <f>(K1880-K1878)</f>
      </c>
      <c r="O1879" s="7">
        <f>+(L1880-L1878)</f>
      </c>
      <c r="P1879" s="7">
        <f>SQRT(O1879^2+N1879^2)</f>
      </c>
      <c r="Q1879" s="7">
        <f>N1879/$P1879</f>
      </c>
      <c r="R1879" s="7">
        <f>O1879/$P1879</f>
      </c>
      <c r="S1879" s="8">
        <f>Q1879^2+R1879^2</f>
      </c>
      <c r="T1879" s="7">
        <f>-R1879</f>
      </c>
      <c r="U1879" s="7">
        <f>Q1879</f>
      </c>
      <c r="V1879" s="7">
        <f>($C$14+($C$15-$C$14)/($D$15-$D$14)*(I1879-$D$14))/2</f>
      </c>
      <c r="W1879" s="7">
        <f>($B$22*I1879^4+$C$22*I1879^3+$D$22*I1879^2+$E$22*I1879+$F$22)/2</f>
      </c>
      <c r="X1879" s="7">
        <f>($W1879)*(T1879)</f>
      </c>
      <c r="Y1879" s="7">
        <f>($W1879)*(U1879)</f>
      </c>
      <c r="Z1879" s="7">
        <f>SQRT(X1879^2+Y1879^2)</f>
      </c>
      <c r="AA1879" s="7">
        <f>$K1879+$X1879</f>
      </c>
      <c r="AB1879" s="7">
        <f>$L1879+$Y1879</f>
      </c>
      <c r="AC1879" s="7">
        <f>$K1879-$X1879</f>
      </c>
      <c r="AD1879" s="7">
        <f>$L1879-$Y1879</f>
      </c>
      <c r="AE1879" s="7">
        <f>AA1879/39.3701</f>
      </c>
      <c r="AF1879" s="7">
        <f>AB1879/39.3701</f>
      </c>
      <c r="AG1879" s="7">
        <f>AC1879/39.3701</f>
      </c>
      <c r="AH1879" s="7">
        <f>AD1879/39.3701</f>
      </c>
      <c r="AI1879" s="1"/>
      <c r="AJ1879" s="1"/>
      <c r="AK1879" s="1"/>
      <c r="AL1879" s="1"/>
      <c r="AM1879" s="2"/>
      <c r="AN1879" s="1"/>
      <c r="AO1879" s="1"/>
      <c r="AP1879" s="1"/>
      <c r="AQ1879" s="1"/>
      <c r="AR1879" s="1"/>
      <c r="AS1879" s="1"/>
      <c r="AT1879" s="1"/>
      <c r="AU1879" s="1"/>
      <c r="AV1879" s="1"/>
      <c r="AW1879" s="1"/>
      <c r="AX1879" s="1"/>
      <c r="AY1879" s="1"/>
      <c r="AZ1879" s="1"/>
      <c r="BA1879" s="1"/>
      <c r="BB1879" s="1"/>
      <c r="BC1879" s="1"/>
      <c r="BD1879" s="1"/>
      <c r="BE1879" s="1"/>
    </row>
    <row x14ac:dyDescent="0.25" r="1880" customHeight="1" ht="18.75">
      <c r="A1880" s="1"/>
      <c r="B1880" s="2"/>
      <c r="C1880" s="2"/>
      <c r="D1880" s="2"/>
      <c r="E1880" s="2"/>
      <c r="F1880" s="2"/>
      <c r="G1880" s="1"/>
      <c r="H1880" s="1"/>
      <c r="I1880" s="7">
        <v>1.877</v>
      </c>
      <c r="J1880" s="7">
        <f>IF((I1880-ROUNDDOWN(I1880,0))=0, 0, (I1880-ROUNDDOWN(I1880,0)))</f>
      </c>
      <c r="K1880" s="7">
        <f>INDIRECT("C$"&amp;2+MIN(2,ROUNDDOWN(I1880,0))*3)*(-$J1880^3+3*$J1880^2-3*$J1880+1)+INDIRECT("C$"&amp;3+MIN(2,ROUNDDOWN(I1880,0))*3)*(3*$J1880^3-6*$J1880^2+3*$J1880)+INDIRECT("C$"&amp;4+MIN(2,ROUNDDOWN(I1880,0))*3)*(-3*$J1880^3+3*$J1880^2)+INDIRECT("C$"&amp;5+MIN(2,ROUNDDOWN(I1880,0))*3)*$J1880^3</f>
      </c>
      <c r="L1880" s="7">
        <f>INDIRECT("D$"&amp;2+MIN(2,ROUNDDOWN(I1880,0))*3)*(-$J1880^3+3*$J1880^2-3*$J1880+1)+INDIRECT("D$"&amp;3+MIN(2,ROUNDDOWN(I1880,0))*3)*(3*$J1880^3-6*$J1880^2+3*$J1880)+INDIRECT("D$"&amp;4+MIN(2,ROUNDDOWN(I1880,0))*3)*(-3*$J1880^3+3*$J1880^2)+INDIRECT("D$"&amp;5+MIN(2,ROUNDDOWN(I1880,0))*3)*$J1880^3</f>
      </c>
      <c r="M1880" s="7">
        <f>SQRT(K1880^2+L1880^2)</f>
      </c>
      <c r="N1880" s="7">
        <f>(K1881-K1879)</f>
      </c>
      <c r="O1880" s="7">
        <f>+(L1881-L1879)</f>
      </c>
      <c r="P1880" s="7">
        <f>SQRT(O1880^2+N1880^2)</f>
      </c>
      <c r="Q1880" s="7">
        <f>N1880/$P1880</f>
      </c>
      <c r="R1880" s="7">
        <f>O1880/$P1880</f>
      </c>
      <c r="S1880" s="7">
        <f>Q1880^2+R1880^2</f>
      </c>
      <c r="T1880" s="7">
        <f>-R1880</f>
      </c>
      <c r="U1880" s="7">
        <f>Q1880</f>
      </c>
      <c r="V1880" s="7">
        <f>($C$14+($C$15-$C$14)/($D$15-$D$14)*(I1880-$D$14))/2</f>
      </c>
      <c r="W1880" s="7">
        <f>($B$22*I1880^4+$C$22*I1880^3+$D$22*I1880^2+$E$22*I1880+$F$22)/2</f>
      </c>
      <c r="X1880" s="7">
        <f>($W1880)*(T1880)</f>
      </c>
      <c r="Y1880" s="7">
        <f>($W1880)*(U1880)</f>
      </c>
      <c r="Z1880" s="7">
        <f>SQRT(X1880^2+Y1880^2)</f>
      </c>
      <c r="AA1880" s="7">
        <f>$K1880+$X1880</f>
      </c>
      <c r="AB1880" s="7">
        <f>$L1880+$Y1880</f>
      </c>
      <c r="AC1880" s="7">
        <f>$K1880-$X1880</f>
      </c>
      <c r="AD1880" s="7">
        <f>$L1880-$Y1880</f>
      </c>
      <c r="AE1880" s="7">
        <f>AA1880/39.3701</f>
      </c>
      <c r="AF1880" s="7">
        <f>AB1880/39.3701</f>
      </c>
      <c r="AG1880" s="7">
        <f>AC1880/39.3701</f>
      </c>
      <c r="AH1880" s="7">
        <f>AD1880/39.3701</f>
      </c>
      <c r="AI1880" s="1"/>
      <c r="AJ1880" s="1"/>
      <c r="AK1880" s="1"/>
      <c r="AL1880" s="1"/>
      <c r="AM1880" s="2"/>
      <c r="AN1880" s="1"/>
      <c r="AO1880" s="1"/>
      <c r="AP1880" s="1"/>
      <c r="AQ1880" s="1"/>
      <c r="AR1880" s="1"/>
      <c r="AS1880" s="1"/>
      <c r="AT1880" s="1"/>
      <c r="AU1880" s="1"/>
      <c r="AV1880" s="1"/>
      <c r="AW1880" s="1"/>
      <c r="AX1880" s="1"/>
      <c r="AY1880" s="1"/>
      <c r="AZ1880" s="1"/>
      <c r="BA1880" s="1"/>
      <c r="BB1880" s="1"/>
      <c r="BC1880" s="1"/>
      <c r="BD1880" s="1"/>
      <c r="BE1880" s="1"/>
    </row>
    <row x14ac:dyDescent="0.25" r="1881" customHeight="1" ht="18.75">
      <c r="A1881" s="1"/>
      <c r="B1881" s="2"/>
      <c r="C1881" s="2"/>
      <c r="D1881" s="2"/>
      <c r="E1881" s="2"/>
      <c r="F1881" s="2"/>
      <c r="G1881" s="1"/>
      <c r="H1881" s="1"/>
      <c r="I1881" s="7">
        <v>1.878</v>
      </c>
      <c r="J1881" s="7">
        <f>IF((I1881-ROUNDDOWN(I1881,0))=0, 0, (I1881-ROUNDDOWN(I1881,0)))</f>
      </c>
      <c r="K1881" s="7">
        <f>INDIRECT("C$"&amp;2+MIN(2,ROUNDDOWN(I1881,0))*3)*(-$J1881^3+3*$J1881^2-3*$J1881+1)+INDIRECT("C$"&amp;3+MIN(2,ROUNDDOWN(I1881,0))*3)*(3*$J1881^3-6*$J1881^2+3*$J1881)+INDIRECT("C$"&amp;4+MIN(2,ROUNDDOWN(I1881,0))*3)*(-3*$J1881^3+3*$J1881^2)+INDIRECT("C$"&amp;5+MIN(2,ROUNDDOWN(I1881,0))*3)*$J1881^3</f>
      </c>
      <c r="L1881" s="7">
        <f>INDIRECT("D$"&amp;2+MIN(2,ROUNDDOWN(I1881,0))*3)*(-$J1881^3+3*$J1881^2-3*$J1881+1)+INDIRECT("D$"&amp;3+MIN(2,ROUNDDOWN(I1881,0))*3)*(3*$J1881^3-6*$J1881^2+3*$J1881)+INDIRECT("D$"&amp;4+MIN(2,ROUNDDOWN(I1881,0))*3)*(-3*$J1881^3+3*$J1881^2)+INDIRECT("D$"&amp;5+MIN(2,ROUNDDOWN(I1881,0))*3)*$J1881^3</f>
      </c>
      <c r="M1881" s="7">
        <f>SQRT(K1881^2+L1881^2)</f>
      </c>
      <c r="N1881" s="7">
        <f>(K1882-K1880)</f>
      </c>
      <c r="O1881" s="7">
        <f>+(L1882-L1880)</f>
      </c>
      <c r="P1881" s="7">
        <f>SQRT(O1881^2+N1881^2)</f>
      </c>
      <c r="Q1881" s="7">
        <f>N1881/$P1881</f>
      </c>
      <c r="R1881" s="7">
        <f>O1881/$P1881</f>
      </c>
      <c r="S1881" s="8">
        <f>Q1881^2+R1881^2</f>
      </c>
      <c r="T1881" s="7">
        <f>-R1881</f>
      </c>
      <c r="U1881" s="7">
        <f>Q1881</f>
      </c>
      <c r="V1881" s="7">
        <f>($C$14+($C$15-$C$14)/($D$15-$D$14)*(I1881-$D$14))/2</f>
      </c>
      <c r="W1881" s="7">
        <f>($B$22*I1881^4+$C$22*I1881^3+$D$22*I1881^2+$E$22*I1881+$F$22)/2</f>
      </c>
      <c r="X1881" s="7">
        <f>($W1881)*(T1881)</f>
      </c>
      <c r="Y1881" s="7">
        <f>($W1881)*(U1881)</f>
      </c>
      <c r="Z1881" s="7">
        <f>SQRT(X1881^2+Y1881^2)</f>
      </c>
      <c r="AA1881" s="7">
        <f>$K1881+$X1881</f>
      </c>
      <c r="AB1881" s="7">
        <f>$L1881+$Y1881</f>
      </c>
      <c r="AC1881" s="7">
        <f>$K1881-$X1881</f>
      </c>
      <c r="AD1881" s="7">
        <f>$L1881-$Y1881</f>
      </c>
      <c r="AE1881" s="7">
        <f>AA1881/39.3701</f>
      </c>
      <c r="AF1881" s="7">
        <f>AB1881/39.3701</f>
      </c>
      <c r="AG1881" s="7">
        <f>AC1881/39.3701</f>
      </c>
      <c r="AH1881" s="7">
        <f>AD1881/39.3701</f>
      </c>
      <c r="AI1881" s="1"/>
      <c r="AJ1881" s="1"/>
      <c r="AK1881" s="1"/>
      <c r="AL1881" s="1"/>
      <c r="AM1881" s="2"/>
      <c r="AN1881" s="1"/>
      <c r="AO1881" s="1"/>
      <c r="AP1881" s="1"/>
      <c r="AQ1881" s="1"/>
      <c r="AR1881" s="1"/>
      <c r="AS1881" s="1"/>
      <c r="AT1881" s="1"/>
      <c r="AU1881" s="1"/>
      <c r="AV1881" s="1"/>
      <c r="AW1881" s="1"/>
      <c r="AX1881" s="1"/>
      <c r="AY1881" s="1"/>
      <c r="AZ1881" s="1"/>
      <c r="BA1881" s="1"/>
      <c r="BB1881" s="1"/>
      <c r="BC1881" s="1"/>
      <c r="BD1881" s="1"/>
      <c r="BE1881" s="1"/>
    </row>
    <row x14ac:dyDescent="0.25" r="1882" customHeight="1" ht="18.75">
      <c r="A1882" s="1"/>
      <c r="B1882" s="2"/>
      <c r="C1882" s="2"/>
      <c r="D1882" s="2"/>
      <c r="E1882" s="2"/>
      <c r="F1882" s="2"/>
      <c r="G1882" s="1"/>
      <c r="H1882" s="1"/>
      <c r="I1882" s="7">
        <v>1.879</v>
      </c>
      <c r="J1882" s="7">
        <f>IF((I1882-ROUNDDOWN(I1882,0))=0, 0, (I1882-ROUNDDOWN(I1882,0)))</f>
      </c>
      <c r="K1882" s="7">
        <f>INDIRECT("C$"&amp;2+MIN(2,ROUNDDOWN(I1882,0))*3)*(-$J1882^3+3*$J1882^2-3*$J1882+1)+INDIRECT("C$"&amp;3+MIN(2,ROUNDDOWN(I1882,0))*3)*(3*$J1882^3-6*$J1882^2+3*$J1882)+INDIRECT("C$"&amp;4+MIN(2,ROUNDDOWN(I1882,0))*3)*(-3*$J1882^3+3*$J1882^2)+INDIRECT("C$"&amp;5+MIN(2,ROUNDDOWN(I1882,0))*3)*$J1882^3</f>
      </c>
      <c r="L1882" s="7">
        <f>INDIRECT("D$"&amp;2+MIN(2,ROUNDDOWN(I1882,0))*3)*(-$J1882^3+3*$J1882^2-3*$J1882+1)+INDIRECT("D$"&amp;3+MIN(2,ROUNDDOWN(I1882,0))*3)*(3*$J1882^3-6*$J1882^2+3*$J1882)+INDIRECT("D$"&amp;4+MIN(2,ROUNDDOWN(I1882,0))*3)*(-3*$J1882^3+3*$J1882^2)+INDIRECT("D$"&amp;5+MIN(2,ROUNDDOWN(I1882,0))*3)*$J1882^3</f>
      </c>
      <c r="M1882" s="7">
        <f>SQRT(K1882^2+L1882^2)</f>
      </c>
      <c r="N1882" s="7">
        <f>(K1883-K1881)</f>
      </c>
      <c r="O1882" s="7">
        <f>+(L1883-L1881)</f>
      </c>
      <c r="P1882" s="7">
        <f>SQRT(O1882^2+N1882^2)</f>
      </c>
      <c r="Q1882" s="7">
        <f>N1882/$P1882</f>
      </c>
      <c r="R1882" s="7">
        <f>O1882/$P1882</f>
      </c>
      <c r="S1882" s="8">
        <f>Q1882^2+R1882^2</f>
      </c>
      <c r="T1882" s="7">
        <f>-R1882</f>
      </c>
      <c r="U1882" s="7">
        <f>Q1882</f>
      </c>
      <c r="V1882" s="7">
        <f>($C$14+($C$15-$C$14)/($D$15-$D$14)*(I1882-$D$14))/2</f>
      </c>
      <c r="W1882" s="7">
        <f>($B$22*I1882^4+$C$22*I1882^3+$D$22*I1882^2+$E$22*I1882+$F$22)/2</f>
      </c>
      <c r="X1882" s="7">
        <f>($W1882)*(T1882)</f>
      </c>
      <c r="Y1882" s="7">
        <f>($W1882)*(U1882)</f>
      </c>
      <c r="Z1882" s="7">
        <f>SQRT(X1882^2+Y1882^2)</f>
      </c>
      <c r="AA1882" s="7">
        <f>$K1882+$X1882</f>
      </c>
      <c r="AB1882" s="7">
        <f>$L1882+$Y1882</f>
      </c>
      <c r="AC1882" s="7">
        <f>$K1882-$X1882</f>
      </c>
      <c r="AD1882" s="7">
        <f>$L1882-$Y1882</f>
      </c>
      <c r="AE1882" s="7">
        <f>AA1882/39.3701</f>
      </c>
      <c r="AF1882" s="7">
        <f>AB1882/39.3701</f>
      </c>
      <c r="AG1882" s="7">
        <f>AC1882/39.3701</f>
      </c>
      <c r="AH1882" s="7">
        <f>AD1882/39.3701</f>
      </c>
      <c r="AI1882" s="1"/>
      <c r="AJ1882" s="1"/>
      <c r="AK1882" s="1"/>
      <c r="AL1882" s="1"/>
      <c r="AM1882" s="2"/>
      <c r="AN1882" s="1"/>
      <c r="AO1882" s="1"/>
      <c r="AP1882" s="1"/>
      <c r="AQ1882" s="1"/>
      <c r="AR1882" s="1"/>
      <c r="AS1882" s="1"/>
      <c r="AT1882" s="1"/>
      <c r="AU1882" s="1"/>
      <c r="AV1882" s="1"/>
      <c r="AW1882" s="1"/>
      <c r="AX1882" s="1"/>
      <c r="AY1882" s="1"/>
      <c r="AZ1882" s="1"/>
      <c r="BA1882" s="1"/>
      <c r="BB1882" s="1"/>
      <c r="BC1882" s="1"/>
      <c r="BD1882" s="1"/>
      <c r="BE1882" s="1"/>
    </row>
    <row x14ac:dyDescent="0.25" r="1883" customHeight="1" ht="18.75">
      <c r="A1883" s="1"/>
      <c r="B1883" s="2"/>
      <c r="C1883" s="2"/>
      <c r="D1883" s="2"/>
      <c r="E1883" s="2"/>
      <c r="F1883" s="2"/>
      <c r="G1883" s="1"/>
      <c r="H1883" s="1"/>
      <c r="I1883" s="7">
        <v>1.88</v>
      </c>
      <c r="J1883" s="7">
        <f>IF((I1883-ROUNDDOWN(I1883,0))=0, 0, (I1883-ROUNDDOWN(I1883,0)))</f>
      </c>
      <c r="K1883" s="7">
        <f>INDIRECT("C$"&amp;2+MIN(2,ROUNDDOWN(I1883,0))*3)*(-$J1883^3+3*$J1883^2-3*$J1883+1)+INDIRECT("C$"&amp;3+MIN(2,ROUNDDOWN(I1883,0))*3)*(3*$J1883^3-6*$J1883^2+3*$J1883)+INDIRECT("C$"&amp;4+MIN(2,ROUNDDOWN(I1883,0))*3)*(-3*$J1883^3+3*$J1883^2)+INDIRECT("C$"&amp;5+MIN(2,ROUNDDOWN(I1883,0))*3)*$J1883^3</f>
      </c>
      <c r="L1883" s="7">
        <f>INDIRECT("D$"&amp;2+MIN(2,ROUNDDOWN(I1883,0))*3)*(-$J1883^3+3*$J1883^2-3*$J1883+1)+INDIRECT("D$"&amp;3+MIN(2,ROUNDDOWN(I1883,0))*3)*(3*$J1883^3-6*$J1883^2+3*$J1883)+INDIRECT("D$"&amp;4+MIN(2,ROUNDDOWN(I1883,0))*3)*(-3*$J1883^3+3*$J1883^2)+INDIRECT("D$"&amp;5+MIN(2,ROUNDDOWN(I1883,0))*3)*$J1883^3</f>
      </c>
      <c r="M1883" s="7">
        <f>SQRT(K1883^2+L1883^2)</f>
      </c>
      <c r="N1883" s="7">
        <f>(K1884-K1882)</f>
      </c>
      <c r="O1883" s="7">
        <f>+(L1884-L1882)</f>
      </c>
      <c r="P1883" s="7">
        <f>SQRT(O1883^2+N1883^2)</f>
      </c>
      <c r="Q1883" s="7">
        <f>N1883/$P1883</f>
      </c>
      <c r="R1883" s="7">
        <f>O1883/$P1883</f>
      </c>
      <c r="S1883" s="7">
        <f>Q1883^2+R1883^2</f>
      </c>
      <c r="T1883" s="7">
        <f>-R1883</f>
      </c>
      <c r="U1883" s="7">
        <f>Q1883</f>
      </c>
      <c r="V1883" s="7">
        <f>($C$14+($C$15-$C$14)/($D$15-$D$14)*(I1883-$D$14))/2</f>
      </c>
      <c r="W1883" s="7">
        <f>($B$22*I1883^4+$C$22*I1883^3+$D$22*I1883^2+$E$22*I1883+$F$22)/2</f>
      </c>
      <c r="X1883" s="7">
        <f>($W1883)*(T1883)</f>
      </c>
      <c r="Y1883" s="7">
        <f>($W1883)*(U1883)</f>
      </c>
      <c r="Z1883" s="7">
        <f>SQRT(X1883^2+Y1883^2)</f>
      </c>
      <c r="AA1883" s="7">
        <f>$K1883+$X1883</f>
      </c>
      <c r="AB1883" s="7">
        <f>$L1883+$Y1883</f>
      </c>
      <c r="AC1883" s="7">
        <f>$K1883-$X1883</f>
      </c>
      <c r="AD1883" s="7">
        <f>$L1883-$Y1883</f>
      </c>
      <c r="AE1883" s="7">
        <f>AA1883/39.3701</f>
      </c>
      <c r="AF1883" s="7">
        <f>AB1883/39.3701</f>
      </c>
      <c r="AG1883" s="7">
        <f>AC1883/39.3701</f>
      </c>
      <c r="AH1883" s="7">
        <f>AD1883/39.3701</f>
      </c>
      <c r="AI1883" s="1"/>
      <c r="AJ1883" s="1"/>
      <c r="AK1883" s="1"/>
      <c r="AL1883" s="1"/>
      <c r="AM1883" s="2"/>
      <c r="AN1883" s="1"/>
      <c r="AO1883" s="1"/>
      <c r="AP1883" s="1"/>
      <c r="AQ1883" s="1"/>
      <c r="AR1883" s="1"/>
      <c r="AS1883" s="1"/>
      <c r="AT1883" s="1"/>
      <c r="AU1883" s="1"/>
      <c r="AV1883" s="1"/>
      <c r="AW1883" s="1"/>
      <c r="AX1883" s="1"/>
      <c r="AY1883" s="1"/>
      <c r="AZ1883" s="1"/>
      <c r="BA1883" s="1"/>
      <c r="BB1883" s="1"/>
      <c r="BC1883" s="1"/>
      <c r="BD1883" s="1"/>
      <c r="BE1883" s="1"/>
    </row>
    <row x14ac:dyDescent="0.25" r="1884" customHeight="1" ht="18.75">
      <c r="A1884" s="1"/>
      <c r="B1884" s="2"/>
      <c r="C1884" s="2"/>
      <c r="D1884" s="2"/>
      <c r="E1884" s="2"/>
      <c r="F1884" s="2"/>
      <c r="G1884" s="1"/>
      <c r="H1884" s="1"/>
      <c r="I1884" s="7">
        <v>1.881</v>
      </c>
      <c r="J1884" s="7">
        <f>IF((I1884-ROUNDDOWN(I1884,0))=0, 0, (I1884-ROUNDDOWN(I1884,0)))</f>
      </c>
      <c r="K1884" s="7">
        <f>INDIRECT("C$"&amp;2+MIN(2,ROUNDDOWN(I1884,0))*3)*(-$J1884^3+3*$J1884^2-3*$J1884+1)+INDIRECT("C$"&amp;3+MIN(2,ROUNDDOWN(I1884,0))*3)*(3*$J1884^3-6*$J1884^2+3*$J1884)+INDIRECT("C$"&amp;4+MIN(2,ROUNDDOWN(I1884,0))*3)*(-3*$J1884^3+3*$J1884^2)+INDIRECT("C$"&amp;5+MIN(2,ROUNDDOWN(I1884,0))*3)*$J1884^3</f>
      </c>
      <c r="L1884" s="7">
        <f>INDIRECT("D$"&amp;2+MIN(2,ROUNDDOWN(I1884,0))*3)*(-$J1884^3+3*$J1884^2-3*$J1884+1)+INDIRECT("D$"&amp;3+MIN(2,ROUNDDOWN(I1884,0))*3)*(3*$J1884^3-6*$J1884^2+3*$J1884)+INDIRECT("D$"&amp;4+MIN(2,ROUNDDOWN(I1884,0))*3)*(-3*$J1884^3+3*$J1884^2)+INDIRECT("D$"&amp;5+MIN(2,ROUNDDOWN(I1884,0))*3)*$J1884^3</f>
      </c>
      <c r="M1884" s="7">
        <f>SQRT(K1884^2+L1884^2)</f>
      </c>
      <c r="N1884" s="7">
        <f>(K1885-K1883)</f>
      </c>
      <c r="O1884" s="7">
        <f>+(L1885-L1883)</f>
      </c>
      <c r="P1884" s="7">
        <f>SQRT(O1884^2+N1884^2)</f>
      </c>
      <c r="Q1884" s="7">
        <f>N1884/$P1884</f>
      </c>
      <c r="R1884" s="7">
        <f>O1884/$P1884</f>
      </c>
      <c r="S1884" s="7">
        <f>Q1884^2+R1884^2</f>
      </c>
      <c r="T1884" s="7">
        <f>-R1884</f>
      </c>
      <c r="U1884" s="7">
        <f>Q1884</f>
      </c>
      <c r="V1884" s="7">
        <f>($C$14+($C$15-$C$14)/($D$15-$D$14)*(I1884-$D$14))/2</f>
      </c>
      <c r="W1884" s="7">
        <f>($B$22*I1884^4+$C$22*I1884^3+$D$22*I1884^2+$E$22*I1884+$F$22)/2</f>
      </c>
      <c r="X1884" s="7">
        <f>($W1884)*(T1884)</f>
      </c>
      <c r="Y1884" s="7">
        <f>($W1884)*(U1884)</f>
      </c>
      <c r="Z1884" s="7">
        <f>SQRT(X1884^2+Y1884^2)</f>
      </c>
      <c r="AA1884" s="7">
        <f>$K1884+$X1884</f>
      </c>
      <c r="AB1884" s="7">
        <f>$L1884+$Y1884</f>
      </c>
      <c r="AC1884" s="7">
        <f>$K1884-$X1884</f>
      </c>
      <c r="AD1884" s="7">
        <f>$L1884-$Y1884</f>
      </c>
      <c r="AE1884" s="7">
        <f>AA1884/39.3701</f>
      </c>
      <c r="AF1884" s="7">
        <f>AB1884/39.3701</f>
      </c>
      <c r="AG1884" s="7">
        <f>AC1884/39.3701</f>
      </c>
      <c r="AH1884" s="7">
        <f>AD1884/39.3701</f>
      </c>
      <c r="AI1884" s="1"/>
      <c r="AJ1884" s="1"/>
      <c r="AK1884" s="1"/>
      <c r="AL1884" s="1"/>
      <c r="AM1884" s="2"/>
      <c r="AN1884" s="1"/>
      <c r="AO1884" s="1"/>
      <c r="AP1884" s="1"/>
      <c r="AQ1884" s="1"/>
      <c r="AR1884" s="1"/>
      <c r="AS1884" s="1"/>
      <c r="AT1884" s="1"/>
      <c r="AU1884" s="1"/>
      <c r="AV1884" s="1"/>
      <c r="AW1884" s="1"/>
      <c r="AX1884" s="1"/>
      <c r="AY1884" s="1"/>
      <c r="AZ1884" s="1"/>
      <c r="BA1884" s="1"/>
      <c r="BB1884" s="1"/>
      <c r="BC1884" s="1"/>
      <c r="BD1884" s="1"/>
      <c r="BE1884" s="1"/>
    </row>
    <row x14ac:dyDescent="0.25" r="1885" customHeight="1" ht="18.75">
      <c r="A1885" s="1"/>
      <c r="B1885" s="2"/>
      <c r="C1885" s="2"/>
      <c r="D1885" s="2"/>
      <c r="E1885" s="2"/>
      <c r="F1885" s="2"/>
      <c r="G1885" s="1"/>
      <c r="H1885" s="1"/>
      <c r="I1885" s="7">
        <v>1.882</v>
      </c>
      <c r="J1885" s="7">
        <f>IF((I1885-ROUNDDOWN(I1885,0))=0, 0, (I1885-ROUNDDOWN(I1885,0)))</f>
      </c>
      <c r="K1885" s="7">
        <f>INDIRECT("C$"&amp;2+MIN(2,ROUNDDOWN(I1885,0))*3)*(-$J1885^3+3*$J1885^2-3*$J1885+1)+INDIRECT("C$"&amp;3+MIN(2,ROUNDDOWN(I1885,0))*3)*(3*$J1885^3-6*$J1885^2+3*$J1885)+INDIRECT("C$"&amp;4+MIN(2,ROUNDDOWN(I1885,0))*3)*(-3*$J1885^3+3*$J1885^2)+INDIRECT("C$"&amp;5+MIN(2,ROUNDDOWN(I1885,0))*3)*$J1885^3</f>
      </c>
      <c r="L1885" s="7">
        <f>INDIRECT("D$"&amp;2+MIN(2,ROUNDDOWN(I1885,0))*3)*(-$J1885^3+3*$J1885^2-3*$J1885+1)+INDIRECT("D$"&amp;3+MIN(2,ROUNDDOWN(I1885,0))*3)*(3*$J1885^3-6*$J1885^2+3*$J1885)+INDIRECT("D$"&amp;4+MIN(2,ROUNDDOWN(I1885,0))*3)*(-3*$J1885^3+3*$J1885^2)+INDIRECT("D$"&amp;5+MIN(2,ROUNDDOWN(I1885,0))*3)*$J1885^3</f>
      </c>
      <c r="M1885" s="7">
        <f>SQRT(K1885^2+L1885^2)</f>
      </c>
      <c r="N1885" s="7">
        <f>(K1886-K1884)</f>
      </c>
      <c r="O1885" s="7">
        <f>+(L1886-L1884)</f>
      </c>
      <c r="P1885" s="7">
        <f>SQRT(O1885^2+N1885^2)</f>
      </c>
      <c r="Q1885" s="7">
        <f>N1885/$P1885</f>
      </c>
      <c r="R1885" s="7">
        <f>O1885/$P1885</f>
      </c>
      <c r="S1885" s="7">
        <f>Q1885^2+R1885^2</f>
      </c>
      <c r="T1885" s="7">
        <f>-R1885</f>
      </c>
      <c r="U1885" s="7">
        <f>Q1885</f>
      </c>
      <c r="V1885" s="7">
        <f>($C$14+($C$15-$C$14)/($D$15-$D$14)*(I1885-$D$14))/2</f>
      </c>
      <c r="W1885" s="7">
        <f>($B$22*I1885^4+$C$22*I1885^3+$D$22*I1885^2+$E$22*I1885+$F$22)/2</f>
      </c>
      <c r="X1885" s="7">
        <f>($W1885)*(T1885)</f>
      </c>
      <c r="Y1885" s="7">
        <f>($W1885)*(U1885)</f>
      </c>
      <c r="Z1885" s="7">
        <f>SQRT(X1885^2+Y1885^2)</f>
      </c>
      <c r="AA1885" s="7">
        <f>$K1885+$X1885</f>
      </c>
      <c r="AB1885" s="7">
        <f>$L1885+$Y1885</f>
      </c>
      <c r="AC1885" s="7">
        <f>$K1885-$X1885</f>
      </c>
      <c r="AD1885" s="7">
        <f>$L1885-$Y1885</f>
      </c>
      <c r="AE1885" s="7">
        <f>AA1885/39.3701</f>
      </c>
      <c r="AF1885" s="7">
        <f>AB1885/39.3701</f>
      </c>
      <c r="AG1885" s="7">
        <f>AC1885/39.3701</f>
      </c>
      <c r="AH1885" s="7">
        <f>AD1885/39.3701</f>
      </c>
      <c r="AI1885" s="1"/>
      <c r="AJ1885" s="1"/>
      <c r="AK1885" s="1"/>
      <c r="AL1885" s="1"/>
      <c r="AM1885" s="2"/>
      <c r="AN1885" s="1"/>
      <c r="AO1885" s="1"/>
      <c r="AP1885" s="1"/>
      <c r="AQ1885" s="1"/>
      <c r="AR1885" s="1"/>
      <c r="AS1885" s="1"/>
      <c r="AT1885" s="1"/>
      <c r="AU1885" s="1"/>
      <c r="AV1885" s="1"/>
      <c r="AW1885" s="1"/>
      <c r="AX1885" s="1"/>
      <c r="AY1885" s="1"/>
      <c r="AZ1885" s="1"/>
      <c r="BA1885" s="1"/>
      <c r="BB1885" s="1"/>
      <c r="BC1885" s="1"/>
      <c r="BD1885" s="1"/>
      <c r="BE1885" s="1"/>
    </row>
    <row x14ac:dyDescent="0.25" r="1886" customHeight="1" ht="18.75">
      <c r="A1886" s="1"/>
      <c r="B1886" s="2"/>
      <c r="C1886" s="2"/>
      <c r="D1886" s="2"/>
      <c r="E1886" s="2"/>
      <c r="F1886" s="2"/>
      <c r="G1886" s="1"/>
      <c r="H1886" s="1"/>
      <c r="I1886" s="7">
        <v>1.883</v>
      </c>
      <c r="J1886" s="7">
        <f>IF((I1886-ROUNDDOWN(I1886,0))=0, 0, (I1886-ROUNDDOWN(I1886,0)))</f>
      </c>
      <c r="K1886" s="7">
        <f>INDIRECT("C$"&amp;2+MIN(2,ROUNDDOWN(I1886,0))*3)*(-$J1886^3+3*$J1886^2-3*$J1886+1)+INDIRECT("C$"&amp;3+MIN(2,ROUNDDOWN(I1886,0))*3)*(3*$J1886^3-6*$J1886^2+3*$J1886)+INDIRECT("C$"&amp;4+MIN(2,ROUNDDOWN(I1886,0))*3)*(-3*$J1886^3+3*$J1886^2)+INDIRECT("C$"&amp;5+MIN(2,ROUNDDOWN(I1886,0))*3)*$J1886^3</f>
      </c>
      <c r="L1886" s="7">
        <f>INDIRECT("D$"&amp;2+MIN(2,ROUNDDOWN(I1886,0))*3)*(-$J1886^3+3*$J1886^2-3*$J1886+1)+INDIRECT("D$"&amp;3+MIN(2,ROUNDDOWN(I1886,0))*3)*(3*$J1886^3-6*$J1886^2+3*$J1886)+INDIRECT("D$"&amp;4+MIN(2,ROUNDDOWN(I1886,0))*3)*(-3*$J1886^3+3*$J1886^2)+INDIRECT("D$"&amp;5+MIN(2,ROUNDDOWN(I1886,0))*3)*$J1886^3</f>
      </c>
      <c r="M1886" s="7">
        <f>SQRT(K1886^2+L1886^2)</f>
      </c>
      <c r="N1886" s="7">
        <f>(K1887-K1885)</f>
      </c>
      <c r="O1886" s="7">
        <f>+(L1887-L1885)</f>
      </c>
      <c r="P1886" s="7">
        <f>SQRT(O1886^2+N1886^2)</f>
      </c>
      <c r="Q1886" s="7">
        <f>N1886/$P1886</f>
      </c>
      <c r="R1886" s="7">
        <f>O1886/$P1886</f>
      </c>
      <c r="S1886" s="7">
        <f>Q1886^2+R1886^2</f>
      </c>
      <c r="T1886" s="7">
        <f>-R1886</f>
      </c>
      <c r="U1886" s="7">
        <f>Q1886</f>
      </c>
      <c r="V1886" s="7">
        <f>($C$14+($C$15-$C$14)/($D$15-$D$14)*(I1886-$D$14))/2</f>
      </c>
      <c r="W1886" s="7">
        <f>($B$22*I1886^4+$C$22*I1886^3+$D$22*I1886^2+$E$22*I1886+$F$22)/2</f>
      </c>
      <c r="X1886" s="7">
        <f>($W1886)*(T1886)</f>
      </c>
      <c r="Y1886" s="7">
        <f>($W1886)*(U1886)</f>
      </c>
      <c r="Z1886" s="7">
        <f>SQRT(X1886^2+Y1886^2)</f>
      </c>
      <c r="AA1886" s="7">
        <f>$K1886+$X1886</f>
      </c>
      <c r="AB1886" s="7">
        <f>$L1886+$Y1886</f>
      </c>
      <c r="AC1886" s="7">
        <f>$K1886-$X1886</f>
      </c>
      <c r="AD1886" s="7">
        <f>$L1886-$Y1886</f>
      </c>
      <c r="AE1886" s="7">
        <f>AA1886/39.3701</f>
      </c>
      <c r="AF1886" s="7">
        <f>AB1886/39.3701</f>
      </c>
      <c r="AG1886" s="7">
        <f>AC1886/39.3701</f>
      </c>
      <c r="AH1886" s="7">
        <f>AD1886/39.3701</f>
      </c>
      <c r="AI1886" s="1"/>
      <c r="AJ1886" s="1"/>
      <c r="AK1886" s="1"/>
      <c r="AL1886" s="1"/>
      <c r="AM1886" s="2"/>
      <c r="AN1886" s="1"/>
      <c r="AO1886" s="1"/>
      <c r="AP1886" s="1"/>
      <c r="AQ1886" s="1"/>
      <c r="AR1886" s="1"/>
      <c r="AS1886" s="1"/>
      <c r="AT1886" s="1"/>
      <c r="AU1886" s="1"/>
      <c r="AV1886" s="1"/>
      <c r="AW1886" s="1"/>
      <c r="AX1886" s="1"/>
      <c r="AY1886" s="1"/>
      <c r="AZ1886" s="1"/>
      <c r="BA1886" s="1"/>
      <c r="BB1886" s="1"/>
      <c r="BC1886" s="1"/>
      <c r="BD1886" s="1"/>
      <c r="BE1886" s="1"/>
    </row>
    <row x14ac:dyDescent="0.25" r="1887" customHeight="1" ht="18.75">
      <c r="A1887" s="1"/>
      <c r="B1887" s="2"/>
      <c r="C1887" s="2"/>
      <c r="D1887" s="2"/>
      <c r="E1887" s="2"/>
      <c r="F1887" s="2"/>
      <c r="G1887" s="1"/>
      <c r="H1887" s="1"/>
      <c r="I1887" s="7">
        <v>1.884</v>
      </c>
      <c r="J1887" s="7">
        <f>IF((I1887-ROUNDDOWN(I1887,0))=0, 0, (I1887-ROUNDDOWN(I1887,0)))</f>
      </c>
      <c r="K1887" s="7">
        <f>INDIRECT("C$"&amp;2+MIN(2,ROUNDDOWN(I1887,0))*3)*(-$J1887^3+3*$J1887^2-3*$J1887+1)+INDIRECT("C$"&amp;3+MIN(2,ROUNDDOWN(I1887,0))*3)*(3*$J1887^3-6*$J1887^2+3*$J1887)+INDIRECT("C$"&amp;4+MIN(2,ROUNDDOWN(I1887,0))*3)*(-3*$J1887^3+3*$J1887^2)+INDIRECT("C$"&amp;5+MIN(2,ROUNDDOWN(I1887,0))*3)*$J1887^3</f>
      </c>
      <c r="L1887" s="7">
        <f>INDIRECT("D$"&amp;2+MIN(2,ROUNDDOWN(I1887,0))*3)*(-$J1887^3+3*$J1887^2-3*$J1887+1)+INDIRECT("D$"&amp;3+MIN(2,ROUNDDOWN(I1887,0))*3)*(3*$J1887^3-6*$J1887^2+3*$J1887)+INDIRECT("D$"&amp;4+MIN(2,ROUNDDOWN(I1887,0))*3)*(-3*$J1887^3+3*$J1887^2)+INDIRECT("D$"&amp;5+MIN(2,ROUNDDOWN(I1887,0))*3)*$J1887^3</f>
      </c>
      <c r="M1887" s="7">
        <f>SQRT(K1887^2+L1887^2)</f>
      </c>
      <c r="N1887" s="7">
        <f>(K1888-K1886)</f>
      </c>
      <c r="O1887" s="7">
        <f>+(L1888-L1886)</f>
      </c>
      <c r="P1887" s="7">
        <f>SQRT(O1887^2+N1887^2)</f>
      </c>
      <c r="Q1887" s="7">
        <f>N1887/$P1887</f>
      </c>
      <c r="R1887" s="7">
        <f>O1887/$P1887</f>
      </c>
      <c r="S1887" s="8">
        <f>Q1887^2+R1887^2</f>
      </c>
      <c r="T1887" s="7">
        <f>-R1887</f>
      </c>
      <c r="U1887" s="7">
        <f>Q1887</f>
      </c>
      <c r="V1887" s="7">
        <f>($C$14+($C$15-$C$14)/($D$15-$D$14)*(I1887-$D$14))/2</f>
      </c>
      <c r="W1887" s="7">
        <f>($B$22*I1887^4+$C$22*I1887^3+$D$22*I1887^2+$E$22*I1887+$F$22)/2</f>
      </c>
      <c r="X1887" s="7">
        <f>($W1887)*(T1887)</f>
      </c>
      <c r="Y1887" s="7">
        <f>($W1887)*(U1887)</f>
      </c>
      <c r="Z1887" s="7">
        <f>SQRT(X1887^2+Y1887^2)</f>
      </c>
      <c r="AA1887" s="7">
        <f>$K1887+$X1887</f>
      </c>
      <c r="AB1887" s="7">
        <f>$L1887+$Y1887</f>
      </c>
      <c r="AC1887" s="7">
        <f>$K1887-$X1887</f>
      </c>
      <c r="AD1887" s="7">
        <f>$L1887-$Y1887</f>
      </c>
      <c r="AE1887" s="7">
        <f>AA1887/39.3701</f>
      </c>
      <c r="AF1887" s="7">
        <f>AB1887/39.3701</f>
      </c>
      <c r="AG1887" s="7">
        <f>AC1887/39.3701</f>
      </c>
      <c r="AH1887" s="7">
        <f>AD1887/39.3701</f>
      </c>
      <c r="AI1887" s="1"/>
      <c r="AJ1887" s="1"/>
      <c r="AK1887" s="1"/>
      <c r="AL1887" s="1"/>
      <c r="AM1887" s="2"/>
      <c r="AN1887" s="1"/>
      <c r="AO1887" s="1"/>
      <c r="AP1887" s="1"/>
      <c r="AQ1887" s="1"/>
      <c r="AR1887" s="1"/>
      <c r="AS1887" s="1"/>
      <c r="AT1887" s="1"/>
      <c r="AU1887" s="1"/>
      <c r="AV1887" s="1"/>
      <c r="AW1887" s="1"/>
      <c r="AX1887" s="1"/>
      <c r="AY1887" s="1"/>
      <c r="AZ1887" s="1"/>
      <c r="BA1887" s="1"/>
      <c r="BB1887" s="1"/>
      <c r="BC1887" s="1"/>
      <c r="BD1887" s="1"/>
      <c r="BE1887" s="1"/>
    </row>
    <row x14ac:dyDescent="0.25" r="1888" customHeight="1" ht="18.75">
      <c r="A1888" s="1"/>
      <c r="B1888" s="2"/>
      <c r="C1888" s="2"/>
      <c r="D1888" s="2"/>
      <c r="E1888" s="2"/>
      <c r="F1888" s="2"/>
      <c r="G1888" s="1"/>
      <c r="H1888" s="1"/>
      <c r="I1888" s="7">
        <v>1.885</v>
      </c>
      <c r="J1888" s="7">
        <f>IF((I1888-ROUNDDOWN(I1888,0))=0, 0, (I1888-ROUNDDOWN(I1888,0)))</f>
      </c>
      <c r="K1888" s="7">
        <f>INDIRECT("C$"&amp;2+MIN(2,ROUNDDOWN(I1888,0))*3)*(-$J1888^3+3*$J1888^2-3*$J1888+1)+INDIRECT("C$"&amp;3+MIN(2,ROUNDDOWN(I1888,0))*3)*(3*$J1888^3-6*$J1888^2+3*$J1888)+INDIRECT("C$"&amp;4+MIN(2,ROUNDDOWN(I1888,0))*3)*(-3*$J1888^3+3*$J1888^2)+INDIRECT("C$"&amp;5+MIN(2,ROUNDDOWN(I1888,0))*3)*$J1888^3</f>
      </c>
      <c r="L1888" s="7">
        <f>INDIRECT("D$"&amp;2+MIN(2,ROUNDDOWN(I1888,0))*3)*(-$J1888^3+3*$J1888^2-3*$J1888+1)+INDIRECT("D$"&amp;3+MIN(2,ROUNDDOWN(I1888,0))*3)*(3*$J1888^3-6*$J1888^2+3*$J1888)+INDIRECT("D$"&amp;4+MIN(2,ROUNDDOWN(I1888,0))*3)*(-3*$J1888^3+3*$J1888^2)+INDIRECT("D$"&amp;5+MIN(2,ROUNDDOWN(I1888,0))*3)*$J1888^3</f>
      </c>
      <c r="M1888" s="7">
        <f>SQRT(K1888^2+L1888^2)</f>
      </c>
      <c r="N1888" s="7">
        <f>(K1889-K1887)</f>
      </c>
      <c r="O1888" s="7">
        <f>+(L1889-L1887)</f>
      </c>
      <c r="P1888" s="7">
        <f>SQRT(O1888^2+N1888^2)</f>
      </c>
      <c r="Q1888" s="7">
        <f>N1888/$P1888</f>
      </c>
      <c r="R1888" s="7">
        <f>O1888/$P1888</f>
      </c>
      <c r="S1888" s="7">
        <f>Q1888^2+R1888^2</f>
      </c>
      <c r="T1888" s="7">
        <f>-R1888</f>
      </c>
      <c r="U1888" s="7">
        <f>Q1888</f>
      </c>
      <c r="V1888" s="7">
        <f>($C$14+($C$15-$C$14)/($D$15-$D$14)*(I1888-$D$14))/2</f>
      </c>
      <c r="W1888" s="7">
        <f>($B$22*I1888^4+$C$22*I1888^3+$D$22*I1888^2+$E$22*I1888+$F$22)/2</f>
      </c>
      <c r="X1888" s="7">
        <f>($W1888)*(T1888)</f>
      </c>
      <c r="Y1888" s="7">
        <f>($W1888)*(U1888)</f>
      </c>
      <c r="Z1888" s="7">
        <f>SQRT(X1888^2+Y1888^2)</f>
      </c>
      <c r="AA1888" s="7">
        <f>$K1888+$X1888</f>
      </c>
      <c r="AB1888" s="7">
        <f>$L1888+$Y1888</f>
      </c>
      <c r="AC1888" s="7">
        <f>$K1888-$X1888</f>
      </c>
      <c r="AD1888" s="7">
        <f>$L1888-$Y1888</f>
      </c>
      <c r="AE1888" s="7">
        <f>AA1888/39.3701</f>
      </c>
      <c r="AF1888" s="7">
        <f>AB1888/39.3701</f>
      </c>
      <c r="AG1888" s="7">
        <f>AC1888/39.3701</f>
      </c>
      <c r="AH1888" s="7">
        <f>AD1888/39.3701</f>
      </c>
      <c r="AI1888" s="1"/>
      <c r="AJ1888" s="1"/>
      <c r="AK1888" s="1"/>
      <c r="AL1888" s="1"/>
      <c r="AM1888" s="2"/>
      <c r="AN1888" s="1"/>
      <c r="AO1888" s="1"/>
      <c r="AP1888" s="1"/>
      <c r="AQ1888" s="1"/>
      <c r="AR1888" s="1"/>
      <c r="AS1888" s="1"/>
      <c r="AT1888" s="1"/>
      <c r="AU1888" s="1"/>
      <c r="AV1888" s="1"/>
      <c r="AW1888" s="1"/>
      <c r="AX1888" s="1"/>
      <c r="AY1888" s="1"/>
      <c r="AZ1888" s="1"/>
      <c r="BA1888" s="1"/>
      <c r="BB1888" s="1"/>
      <c r="BC1888" s="1"/>
      <c r="BD1888" s="1"/>
      <c r="BE1888" s="1"/>
    </row>
    <row x14ac:dyDescent="0.25" r="1889" customHeight="1" ht="18.75">
      <c r="A1889" s="1"/>
      <c r="B1889" s="2"/>
      <c r="C1889" s="2"/>
      <c r="D1889" s="2"/>
      <c r="E1889" s="2"/>
      <c r="F1889" s="2"/>
      <c r="G1889" s="1"/>
      <c r="H1889" s="1"/>
      <c r="I1889" s="7">
        <v>1.886</v>
      </c>
      <c r="J1889" s="7">
        <f>IF((I1889-ROUNDDOWN(I1889,0))=0, 0, (I1889-ROUNDDOWN(I1889,0)))</f>
      </c>
      <c r="K1889" s="7">
        <f>INDIRECT("C$"&amp;2+MIN(2,ROUNDDOWN(I1889,0))*3)*(-$J1889^3+3*$J1889^2-3*$J1889+1)+INDIRECT("C$"&amp;3+MIN(2,ROUNDDOWN(I1889,0))*3)*(3*$J1889^3-6*$J1889^2+3*$J1889)+INDIRECT("C$"&amp;4+MIN(2,ROUNDDOWN(I1889,0))*3)*(-3*$J1889^3+3*$J1889^2)+INDIRECT("C$"&amp;5+MIN(2,ROUNDDOWN(I1889,0))*3)*$J1889^3</f>
      </c>
      <c r="L1889" s="7">
        <f>INDIRECT("D$"&amp;2+MIN(2,ROUNDDOWN(I1889,0))*3)*(-$J1889^3+3*$J1889^2-3*$J1889+1)+INDIRECT("D$"&amp;3+MIN(2,ROUNDDOWN(I1889,0))*3)*(3*$J1889^3-6*$J1889^2+3*$J1889)+INDIRECT("D$"&amp;4+MIN(2,ROUNDDOWN(I1889,0))*3)*(-3*$J1889^3+3*$J1889^2)+INDIRECT("D$"&amp;5+MIN(2,ROUNDDOWN(I1889,0))*3)*$J1889^3</f>
      </c>
      <c r="M1889" s="7">
        <f>SQRT(K1889^2+L1889^2)</f>
      </c>
      <c r="N1889" s="7">
        <f>(K1890-K1888)</f>
      </c>
      <c r="O1889" s="7">
        <f>+(L1890-L1888)</f>
      </c>
      <c r="P1889" s="7">
        <f>SQRT(O1889^2+N1889^2)</f>
      </c>
      <c r="Q1889" s="7">
        <f>N1889/$P1889</f>
      </c>
      <c r="R1889" s="7">
        <f>O1889/$P1889</f>
      </c>
      <c r="S1889" s="8">
        <f>Q1889^2+R1889^2</f>
      </c>
      <c r="T1889" s="7">
        <f>-R1889</f>
      </c>
      <c r="U1889" s="7">
        <f>Q1889</f>
      </c>
      <c r="V1889" s="7">
        <f>($C$14+($C$15-$C$14)/($D$15-$D$14)*(I1889-$D$14))/2</f>
      </c>
      <c r="W1889" s="7">
        <f>($B$22*I1889^4+$C$22*I1889^3+$D$22*I1889^2+$E$22*I1889+$F$22)/2</f>
      </c>
      <c r="X1889" s="7">
        <f>($W1889)*(T1889)</f>
      </c>
      <c r="Y1889" s="7">
        <f>($W1889)*(U1889)</f>
      </c>
      <c r="Z1889" s="7">
        <f>SQRT(X1889^2+Y1889^2)</f>
      </c>
      <c r="AA1889" s="7">
        <f>$K1889+$X1889</f>
      </c>
      <c r="AB1889" s="7">
        <f>$L1889+$Y1889</f>
      </c>
      <c r="AC1889" s="7">
        <f>$K1889-$X1889</f>
      </c>
      <c r="AD1889" s="7">
        <f>$L1889-$Y1889</f>
      </c>
      <c r="AE1889" s="7">
        <f>AA1889/39.3701</f>
      </c>
      <c r="AF1889" s="7">
        <f>AB1889/39.3701</f>
      </c>
      <c r="AG1889" s="7">
        <f>AC1889/39.3701</f>
      </c>
      <c r="AH1889" s="7">
        <f>AD1889/39.3701</f>
      </c>
      <c r="AI1889" s="1"/>
      <c r="AJ1889" s="1"/>
      <c r="AK1889" s="1"/>
      <c r="AL1889" s="1"/>
      <c r="AM1889" s="2"/>
      <c r="AN1889" s="1"/>
      <c r="AO1889" s="1"/>
      <c r="AP1889" s="1"/>
      <c r="AQ1889" s="1"/>
      <c r="AR1889" s="1"/>
      <c r="AS1889" s="1"/>
      <c r="AT1889" s="1"/>
      <c r="AU1889" s="1"/>
      <c r="AV1889" s="1"/>
      <c r="AW1889" s="1"/>
      <c r="AX1889" s="1"/>
      <c r="AY1889" s="1"/>
      <c r="AZ1889" s="1"/>
      <c r="BA1889" s="1"/>
      <c r="BB1889" s="1"/>
      <c r="BC1889" s="1"/>
      <c r="BD1889" s="1"/>
      <c r="BE1889" s="1"/>
    </row>
    <row x14ac:dyDescent="0.25" r="1890" customHeight="1" ht="18.75">
      <c r="A1890" s="1"/>
      <c r="B1890" s="2"/>
      <c r="C1890" s="2"/>
      <c r="D1890" s="2"/>
      <c r="E1890" s="2"/>
      <c r="F1890" s="2"/>
      <c r="G1890" s="1"/>
      <c r="H1890" s="1"/>
      <c r="I1890" s="7">
        <v>1.887</v>
      </c>
      <c r="J1890" s="7">
        <f>IF((I1890-ROUNDDOWN(I1890,0))=0, 0, (I1890-ROUNDDOWN(I1890,0)))</f>
      </c>
      <c r="K1890" s="7">
        <f>INDIRECT("C$"&amp;2+MIN(2,ROUNDDOWN(I1890,0))*3)*(-$J1890^3+3*$J1890^2-3*$J1890+1)+INDIRECT("C$"&amp;3+MIN(2,ROUNDDOWN(I1890,0))*3)*(3*$J1890^3-6*$J1890^2+3*$J1890)+INDIRECT("C$"&amp;4+MIN(2,ROUNDDOWN(I1890,0))*3)*(-3*$J1890^3+3*$J1890^2)+INDIRECT("C$"&amp;5+MIN(2,ROUNDDOWN(I1890,0))*3)*$J1890^3</f>
      </c>
      <c r="L1890" s="7">
        <f>INDIRECT("D$"&amp;2+MIN(2,ROUNDDOWN(I1890,0))*3)*(-$J1890^3+3*$J1890^2-3*$J1890+1)+INDIRECT("D$"&amp;3+MIN(2,ROUNDDOWN(I1890,0))*3)*(3*$J1890^3-6*$J1890^2+3*$J1890)+INDIRECT("D$"&amp;4+MIN(2,ROUNDDOWN(I1890,0))*3)*(-3*$J1890^3+3*$J1890^2)+INDIRECT("D$"&amp;5+MIN(2,ROUNDDOWN(I1890,0))*3)*$J1890^3</f>
      </c>
      <c r="M1890" s="7">
        <f>SQRT(K1890^2+L1890^2)</f>
      </c>
      <c r="N1890" s="7">
        <f>(K1891-K1889)</f>
      </c>
      <c r="O1890" s="7">
        <f>+(L1891-L1889)</f>
      </c>
      <c r="P1890" s="7">
        <f>SQRT(O1890^2+N1890^2)</f>
      </c>
      <c r="Q1890" s="7">
        <f>N1890/$P1890</f>
      </c>
      <c r="R1890" s="7">
        <f>O1890/$P1890</f>
      </c>
      <c r="S1890" s="7">
        <f>Q1890^2+R1890^2</f>
      </c>
      <c r="T1890" s="7">
        <f>-R1890</f>
      </c>
      <c r="U1890" s="7">
        <f>Q1890</f>
      </c>
      <c r="V1890" s="7">
        <f>($C$14+($C$15-$C$14)/($D$15-$D$14)*(I1890-$D$14))/2</f>
      </c>
      <c r="W1890" s="7">
        <f>($B$22*I1890^4+$C$22*I1890^3+$D$22*I1890^2+$E$22*I1890+$F$22)/2</f>
      </c>
      <c r="X1890" s="7">
        <f>($W1890)*(T1890)</f>
      </c>
      <c r="Y1890" s="7">
        <f>($W1890)*(U1890)</f>
      </c>
      <c r="Z1890" s="7">
        <f>SQRT(X1890^2+Y1890^2)</f>
      </c>
      <c r="AA1890" s="7">
        <f>$K1890+$X1890</f>
      </c>
      <c r="AB1890" s="7">
        <f>$L1890+$Y1890</f>
      </c>
      <c r="AC1890" s="7">
        <f>$K1890-$X1890</f>
      </c>
      <c r="AD1890" s="7">
        <f>$L1890-$Y1890</f>
      </c>
      <c r="AE1890" s="7">
        <f>AA1890/39.3701</f>
      </c>
      <c r="AF1890" s="7">
        <f>AB1890/39.3701</f>
      </c>
      <c r="AG1890" s="7">
        <f>AC1890/39.3701</f>
      </c>
      <c r="AH1890" s="7">
        <f>AD1890/39.3701</f>
      </c>
      <c r="AI1890" s="1"/>
      <c r="AJ1890" s="1"/>
      <c r="AK1890" s="1"/>
      <c r="AL1890" s="1"/>
      <c r="AM1890" s="2"/>
      <c r="AN1890" s="1"/>
      <c r="AO1890" s="1"/>
      <c r="AP1890" s="1"/>
      <c r="AQ1890" s="1"/>
      <c r="AR1890" s="1"/>
      <c r="AS1890" s="1"/>
      <c r="AT1890" s="1"/>
      <c r="AU1890" s="1"/>
      <c r="AV1890" s="1"/>
      <c r="AW1890" s="1"/>
      <c r="AX1890" s="1"/>
      <c r="AY1890" s="1"/>
      <c r="AZ1890" s="1"/>
      <c r="BA1890" s="1"/>
      <c r="BB1890" s="1"/>
      <c r="BC1890" s="1"/>
      <c r="BD1890" s="1"/>
      <c r="BE1890" s="1"/>
    </row>
    <row x14ac:dyDescent="0.25" r="1891" customHeight="1" ht="18.75">
      <c r="A1891" s="1"/>
      <c r="B1891" s="2"/>
      <c r="C1891" s="2"/>
      <c r="D1891" s="2"/>
      <c r="E1891" s="2"/>
      <c r="F1891" s="2"/>
      <c r="G1891" s="1"/>
      <c r="H1891" s="1"/>
      <c r="I1891" s="7">
        <v>1.888</v>
      </c>
      <c r="J1891" s="7">
        <f>IF((I1891-ROUNDDOWN(I1891,0))=0, 0, (I1891-ROUNDDOWN(I1891,0)))</f>
      </c>
      <c r="K1891" s="7">
        <f>INDIRECT("C$"&amp;2+MIN(2,ROUNDDOWN(I1891,0))*3)*(-$J1891^3+3*$J1891^2-3*$J1891+1)+INDIRECT("C$"&amp;3+MIN(2,ROUNDDOWN(I1891,0))*3)*(3*$J1891^3-6*$J1891^2+3*$J1891)+INDIRECT("C$"&amp;4+MIN(2,ROUNDDOWN(I1891,0))*3)*(-3*$J1891^3+3*$J1891^2)+INDIRECT("C$"&amp;5+MIN(2,ROUNDDOWN(I1891,0))*3)*$J1891^3</f>
      </c>
      <c r="L1891" s="7">
        <f>INDIRECT("D$"&amp;2+MIN(2,ROUNDDOWN(I1891,0))*3)*(-$J1891^3+3*$J1891^2-3*$J1891+1)+INDIRECT("D$"&amp;3+MIN(2,ROUNDDOWN(I1891,0))*3)*(3*$J1891^3-6*$J1891^2+3*$J1891)+INDIRECT("D$"&amp;4+MIN(2,ROUNDDOWN(I1891,0))*3)*(-3*$J1891^3+3*$J1891^2)+INDIRECT("D$"&amp;5+MIN(2,ROUNDDOWN(I1891,0))*3)*$J1891^3</f>
      </c>
      <c r="M1891" s="7">
        <f>SQRT(K1891^2+L1891^2)</f>
      </c>
      <c r="N1891" s="7">
        <f>(K1892-K1890)</f>
      </c>
      <c r="O1891" s="7">
        <f>+(L1892-L1890)</f>
      </c>
      <c r="P1891" s="7">
        <f>SQRT(O1891^2+N1891^2)</f>
      </c>
      <c r="Q1891" s="7">
        <f>N1891/$P1891</f>
      </c>
      <c r="R1891" s="7">
        <f>O1891/$P1891</f>
      </c>
      <c r="S1891" s="7">
        <f>Q1891^2+R1891^2</f>
      </c>
      <c r="T1891" s="7">
        <f>-R1891</f>
      </c>
      <c r="U1891" s="7">
        <f>Q1891</f>
      </c>
      <c r="V1891" s="7">
        <f>($C$14+($C$15-$C$14)/($D$15-$D$14)*(I1891-$D$14))/2</f>
      </c>
      <c r="W1891" s="7">
        <f>($B$22*I1891^4+$C$22*I1891^3+$D$22*I1891^2+$E$22*I1891+$F$22)/2</f>
      </c>
      <c r="X1891" s="7">
        <f>($W1891)*(T1891)</f>
      </c>
      <c r="Y1891" s="7">
        <f>($W1891)*(U1891)</f>
      </c>
      <c r="Z1891" s="7">
        <f>SQRT(X1891^2+Y1891^2)</f>
      </c>
      <c r="AA1891" s="7">
        <f>$K1891+$X1891</f>
      </c>
      <c r="AB1891" s="7">
        <f>$L1891+$Y1891</f>
      </c>
      <c r="AC1891" s="7">
        <f>$K1891-$X1891</f>
      </c>
      <c r="AD1891" s="7">
        <f>$L1891-$Y1891</f>
      </c>
      <c r="AE1891" s="7">
        <f>AA1891/39.3701</f>
      </c>
      <c r="AF1891" s="7">
        <f>AB1891/39.3701</f>
      </c>
      <c r="AG1891" s="7">
        <f>AC1891/39.3701</f>
      </c>
      <c r="AH1891" s="7">
        <f>AD1891/39.3701</f>
      </c>
      <c r="AI1891" s="1"/>
      <c r="AJ1891" s="1"/>
      <c r="AK1891" s="1"/>
      <c r="AL1891" s="1"/>
      <c r="AM1891" s="2"/>
      <c r="AN1891" s="1"/>
      <c r="AO1891" s="1"/>
      <c r="AP1891" s="1"/>
      <c r="AQ1891" s="1"/>
      <c r="AR1891" s="1"/>
      <c r="AS1891" s="1"/>
      <c r="AT1891" s="1"/>
      <c r="AU1891" s="1"/>
      <c r="AV1891" s="1"/>
      <c r="AW1891" s="1"/>
      <c r="AX1891" s="1"/>
      <c r="AY1891" s="1"/>
      <c r="AZ1891" s="1"/>
      <c r="BA1891" s="1"/>
      <c r="BB1891" s="1"/>
      <c r="BC1891" s="1"/>
      <c r="BD1891" s="1"/>
      <c r="BE1891" s="1"/>
    </row>
    <row x14ac:dyDescent="0.25" r="1892" customHeight="1" ht="18.75">
      <c r="A1892" s="1"/>
      <c r="B1892" s="2"/>
      <c r="C1892" s="2"/>
      <c r="D1892" s="2"/>
      <c r="E1892" s="2"/>
      <c r="F1892" s="2"/>
      <c r="G1892" s="1"/>
      <c r="H1892" s="1"/>
      <c r="I1892" s="7">
        <v>1.889</v>
      </c>
      <c r="J1892" s="7">
        <f>IF((I1892-ROUNDDOWN(I1892,0))=0, 0, (I1892-ROUNDDOWN(I1892,0)))</f>
      </c>
      <c r="K1892" s="7">
        <f>INDIRECT("C$"&amp;2+MIN(2,ROUNDDOWN(I1892,0))*3)*(-$J1892^3+3*$J1892^2-3*$J1892+1)+INDIRECT("C$"&amp;3+MIN(2,ROUNDDOWN(I1892,0))*3)*(3*$J1892^3-6*$J1892^2+3*$J1892)+INDIRECT("C$"&amp;4+MIN(2,ROUNDDOWN(I1892,0))*3)*(-3*$J1892^3+3*$J1892^2)+INDIRECT("C$"&amp;5+MIN(2,ROUNDDOWN(I1892,0))*3)*$J1892^3</f>
      </c>
      <c r="L1892" s="7">
        <f>INDIRECT("D$"&amp;2+MIN(2,ROUNDDOWN(I1892,0))*3)*(-$J1892^3+3*$J1892^2-3*$J1892+1)+INDIRECT("D$"&amp;3+MIN(2,ROUNDDOWN(I1892,0))*3)*(3*$J1892^3-6*$J1892^2+3*$J1892)+INDIRECT("D$"&amp;4+MIN(2,ROUNDDOWN(I1892,0))*3)*(-3*$J1892^3+3*$J1892^2)+INDIRECT("D$"&amp;5+MIN(2,ROUNDDOWN(I1892,0))*3)*$J1892^3</f>
      </c>
      <c r="M1892" s="7">
        <f>SQRT(K1892^2+L1892^2)</f>
      </c>
      <c r="N1892" s="7">
        <f>(K1893-K1891)</f>
      </c>
      <c r="O1892" s="7">
        <f>+(L1893-L1891)</f>
      </c>
      <c r="P1892" s="7">
        <f>SQRT(O1892^2+N1892^2)</f>
      </c>
      <c r="Q1892" s="7">
        <f>N1892/$P1892</f>
      </c>
      <c r="R1892" s="7">
        <f>O1892/$P1892</f>
      </c>
      <c r="S1892" s="7">
        <f>Q1892^2+R1892^2</f>
      </c>
      <c r="T1892" s="7">
        <f>-R1892</f>
      </c>
      <c r="U1892" s="7">
        <f>Q1892</f>
      </c>
      <c r="V1892" s="7">
        <f>($C$14+($C$15-$C$14)/($D$15-$D$14)*(I1892-$D$14))/2</f>
      </c>
      <c r="W1892" s="7">
        <f>($B$22*I1892^4+$C$22*I1892^3+$D$22*I1892^2+$E$22*I1892+$F$22)/2</f>
      </c>
      <c r="X1892" s="7">
        <f>($W1892)*(T1892)</f>
      </c>
      <c r="Y1892" s="7">
        <f>($W1892)*(U1892)</f>
      </c>
      <c r="Z1892" s="7">
        <f>SQRT(X1892^2+Y1892^2)</f>
      </c>
      <c r="AA1892" s="7">
        <f>$K1892+$X1892</f>
      </c>
      <c r="AB1892" s="7">
        <f>$L1892+$Y1892</f>
      </c>
      <c r="AC1892" s="7">
        <f>$K1892-$X1892</f>
      </c>
      <c r="AD1892" s="7">
        <f>$L1892-$Y1892</f>
      </c>
      <c r="AE1892" s="7">
        <f>AA1892/39.3701</f>
      </c>
      <c r="AF1892" s="7">
        <f>AB1892/39.3701</f>
      </c>
      <c r="AG1892" s="7">
        <f>AC1892/39.3701</f>
      </c>
      <c r="AH1892" s="7">
        <f>AD1892/39.3701</f>
      </c>
      <c r="AI1892" s="1"/>
      <c r="AJ1892" s="1"/>
      <c r="AK1892" s="1"/>
      <c r="AL1892" s="1"/>
      <c r="AM1892" s="2"/>
      <c r="AN1892" s="1"/>
      <c r="AO1892" s="1"/>
      <c r="AP1892" s="1"/>
      <c r="AQ1892" s="1"/>
      <c r="AR1892" s="1"/>
      <c r="AS1892" s="1"/>
      <c r="AT1892" s="1"/>
      <c r="AU1892" s="1"/>
      <c r="AV1892" s="1"/>
      <c r="AW1892" s="1"/>
      <c r="AX1892" s="1"/>
      <c r="AY1892" s="1"/>
      <c r="AZ1892" s="1"/>
      <c r="BA1892" s="1"/>
      <c r="BB1892" s="1"/>
      <c r="BC1892" s="1"/>
      <c r="BD1892" s="1"/>
      <c r="BE1892" s="1"/>
    </row>
    <row x14ac:dyDescent="0.25" r="1893" customHeight="1" ht="18.75">
      <c r="A1893" s="1"/>
      <c r="B1893" s="2"/>
      <c r="C1893" s="2"/>
      <c r="D1893" s="2"/>
      <c r="E1893" s="2"/>
      <c r="F1893" s="2"/>
      <c r="G1893" s="1"/>
      <c r="H1893" s="1"/>
      <c r="I1893" s="7">
        <v>1.89</v>
      </c>
      <c r="J1893" s="7">
        <f>IF((I1893-ROUNDDOWN(I1893,0))=0, 0, (I1893-ROUNDDOWN(I1893,0)))</f>
      </c>
      <c r="K1893" s="7">
        <f>INDIRECT("C$"&amp;2+MIN(2,ROUNDDOWN(I1893,0))*3)*(-$J1893^3+3*$J1893^2-3*$J1893+1)+INDIRECT("C$"&amp;3+MIN(2,ROUNDDOWN(I1893,0))*3)*(3*$J1893^3-6*$J1893^2+3*$J1893)+INDIRECT("C$"&amp;4+MIN(2,ROUNDDOWN(I1893,0))*3)*(-3*$J1893^3+3*$J1893^2)+INDIRECT("C$"&amp;5+MIN(2,ROUNDDOWN(I1893,0))*3)*$J1893^3</f>
      </c>
      <c r="L1893" s="7">
        <f>INDIRECT("D$"&amp;2+MIN(2,ROUNDDOWN(I1893,0))*3)*(-$J1893^3+3*$J1893^2-3*$J1893+1)+INDIRECT("D$"&amp;3+MIN(2,ROUNDDOWN(I1893,0))*3)*(3*$J1893^3-6*$J1893^2+3*$J1893)+INDIRECT("D$"&amp;4+MIN(2,ROUNDDOWN(I1893,0))*3)*(-3*$J1893^3+3*$J1893^2)+INDIRECT("D$"&amp;5+MIN(2,ROUNDDOWN(I1893,0))*3)*$J1893^3</f>
      </c>
      <c r="M1893" s="7">
        <f>SQRT(K1893^2+L1893^2)</f>
      </c>
      <c r="N1893" s="7">
        <f>(K1894-K1892)</f>
      </c>
      <c r="O1893" s="7">
        <f>+(L1894-L1892)</f>
      </c>
      <c r="P1893" s="7">
        <f>SQRT(O1893^2+N1893^2)</f>
      </c>
      <c r="Q1893" s="7">
        <f>N1893/$P1893</f>
      </c>
      <c r="R1893" s="7">
        <f>O1893/$P1893</f>
      </c>
      <c r="S1893" s="7">
        <f>Q1893^2+R1893^2</f>
      </c>
      <c r="T1893" s="7">
        <f>-R1893</f>
      </c>
      <c r="U1893" s="7">
        <f>Q1893</f>
      </c>
      <c r="V1893" s="7">
        <f>($C$14+($C$15-$C$14)/($D$15-$D$14)*(I1893-$D$14))/2</f>
      </c>
      <c r="W1893" s="7">
        <f>($B$22*I1893^4+$C$22*I1893^3+$D$22*I1893^2+$E$22*I1893+$F$22)/2</f>
      </c>
      <c r="X1893" s="7">
        <f>($W1893)*(T1893)</f>
      </c>
      <c r="Y1893" s="7">
        <f>($W1893)*(U1893)</f>
      </c>
      <c r="Z1893" s="7">
        <f>SQRT(X1893^2+Y1893^2)</f>
      </c>
      <c r="AA1893" s="7">
        <f>$K1893+$X1893</f>
      </c>
      <c r="AB1893" s="7">
        <f>$L1893+$Y1893</f>
      </c>
      <c r="AC1893" s="7">
        <f>$K1893-$X1893</f>
      </c>
      <c r="AD1893" s="7">
        <f>$L1893-$Y1893</f>
      </c>
      <c r="AE1893" s="7">
        <f>AA1893/39.3701</f>
      </c>
      <c r="AF1893" s="7">
        <f>AB1893/39.3701</f>
      </c>
      <c r="AG1893" s="7">
        <f>AC1893/39.3701</f>
      </c>
      <c r="AH1893" s="7">
        <f>AD1893/39.3701</f>
      </c>
      <c r="AI1893" s="1"/>
      <c r="AJ1893" s="1"/>
      <c r="AK1893" s="1"/>
      <c r="AL1893" s="1"/>
      <c r="AM1893" s="2"/>
      <c r="AN1893" s="1"/>
      <c r="AO1893" s="1"/>
      <c r="AP1893" s="1"/>
      <c r="AQ1893" s="1"/>
      <c r="AR1893" s="1"/>
      <c r="AS1893" s="1"/>
      <c r="AT1893" s="1"/>
      <c r="AU1893" s="1"/>
      <c r="AV1893" s="1"/>
      <c r="AW1893" s="1"/>
      <c r="AX1893" s="1"/>
      <c r="AY1893" s="1"/>
      <c r="AZ1893" s="1"/>
      <c r="BA1893" s="1"/>
      <c r="BB1893" s="1"/>
      <c r="BC1893" s="1"/>
      <c r="BD1893" s="1"/>
      <c r="BE1893" s="1"/>
    </row>
    <row x14ac:dyDescent="0.25" r="1894" customHeight="1" ht="18.75">
      <c r="A1894" s="1"/>
      <c r="B1894" s="2"/>
      <c r="C1894" s="2"/>
      <c r="D1894" s="2"/>
      <c r="E1894" s="2"/>
      <c r="F1894" s="2"/>
      <c r="G1894" s="1"/>
      <c r="H1894" s="1"/>
      <c r="I1894" s="7">
        <v>1.891</v>
      </c>
      <c r="J1894" s="7">
        <f>IF((I1894-ROUNDDOWN(I1894,0))=0, 0, (I1894-ROUNDDOWN(I1894,0)))</f>
      </c>
      <c r="K1894" s="7">
        <f>INDIRECT("C$"&amp;2+MIN(2,ROUNDDOWN(I1894,0))*3)*(-$J1894^3+3*$J1894^2-3*$J1894+1)+INDIRECT("C$"&amp;3+MIN(2,ROUNDDOWN(I1894,0))*3)*(3*$J1894^3-6*$J1894^2+3*$J1894)+INDIRECT("C$"&amp;4+MIN(2,ROUNDDOWN(I1894,0))*3)*(-3*$J1894^3+3*$J1894^2)+INDIRECT("C$"&amp;5+MIN(2,ROUNDDOWN(I1894,0))*3)*$J1894^3</f>
      </c>
      <c r="L1894" s="7">
        <f>INDIRECT("D$"&amp;2+MIN(2,ROUNDDOWN(I1894,0))*3)*(-$J1894^3+3*$J1894^2-3*$J1894+1)+INDIRECT("D$"&amp;3+MIN(2,ROUNDDOWN(I1894,0))*3)*(3*$J1894^3-6*$J1894^2+3*$J1894)+INDIRECT("D$"&amp;4+MIN(2,ROUNDDOWN(I1894,0))*3)*(-3*$J1894^3+3*$J1894^2)+INDIRECT("D$"&amp;5+MIN(2,ROUNDDOWN(I1894,0))*3)*$J1894^3</f>
      </c>
      <c r="M1894" s="7">
        <f>SQRT(K1894^2+L1894^2)</f>
      </c>
      <c r="N1894" s="7">
        <f>(K1895-K1893)</f>
      </c>
      <c r="O1894" s="7">
        <f>+(L1895-L1893)</f>
      </c>
      <c r="P1894" s="7">
        <f>SQRT(O1894^2+N1894^2)</f>
      </c>
      <c r="Q1894" s="7">
        <f>N1894/$P1894</f>
      </c>
      <c r="R1894" s="7">
        <f>O1894/$P1894</f>
      </c>
      <c r="S1894" s="8">
        <f>Q1894^2+R1894^2</f>
      </c>
      <c r="T1894" s="7">
        <f>-R1894</f>
      </c>
      <c r="U1894" s="7">
        <f>Q1894</f>
      </c>
      <c r="V1894" s="7">
        <f>($C$14+($C$15-$C$14)/($D$15-$D$14)*(I1894-$D$14))/2</f>
      </c>
      <c r="W1894" s="7">
        <f>($B$22*I1894^4+$C$22*I1894^3+$D$22*I1894^2+$E$22*I1894+$F$22)/2</f>
      </c>
      <c r="X1894" s="7">
        <f>($W1894)*(T1894)</f>
      </c>
      <c r="Y1894" s="7">
        <f>($W1894)*(U1894)</f>
      </c>
      <c r="Z1894" s="7">
        <f>SQRT(X1894^2+Y1894^2)</f>
      </c>
      <c r="AA1894" s="7">
        <f>$K1894+$X1894</f>
      </c>
      <c r="AB1894" s="7">
        <f>$L1894+$Y1894</f>
      </c>
      <c r="AC1894" s="7">
        <f>$K1894-$X1894</f>
      </c>
      <c r="AD1894" s="7">
        <f>$L1894-$Y1894</f>
      </c>
      <c r="AE1894" s="7">
        <f>AA1894/39.3701</f>
      </c>
      <c r="AF1894" s="7">
        <f>AB1894/39.3701</f>
      </c>
      <c r="AG1894" s="7">
        <f>AC1894/39.3701</f>
      </c>
      <c r="AH1894" s="7">
        <f>AD1894/39.3701</f>
      </c>
      <c r="AI1894" s="1"/>
      <c r="AJ1894" s="1"/>
      <c r="AK1894" s="1"/>
      <c r="AL1894" s="1"/>
      <c r="AM1894" s="2"/>
      <c r="AN1894" s="1"/>
      <c r="AO1894" s="1"/>
      <c r="AP1894" s="1"/>
      <c r="AQ1894" s="1"/>
      <c r="AR1894" s="1"/>
      <c r="AS1894" s="1"/>
      <c r="AT1894" s="1"/>
      <c r="AU1894" s="1"/>
      <c r="AV1894" s="1"/>
      <c r="AW1894" s="1"/>
      <c r="AX1894" s="1"/>
      <c r="AY1894" s="1"/>
      <c r="AZ1894" s="1"/>
      <c r="BA1894" s="1"/>
      <c r="BB1894" s="1"/>
      <c r="BC1894" s="1"/>
      <c r="BD1894" s="1"/>
      <c r="BE1894" s="1"/>
    </row>
    <row x14ac:dyDescent="0.25" r="1895" customHeight="1" ht="18.75">
      <c r="A1895" s="1"/>
      <c r="B1895" s="2"/>
      <c r="C1895" s="2"/>
      <c r="D1895" s="2"/>
      <c r="E1895" s="2"/>
      <c r="F1895" s="2"/>
      <c r="G1895" s="1"/>
      <c r="H1895" s="1"/>
      <c r="I1895" s="7">
        <v>1.892</v>
      </c>
      <c r="J1895" s="7">
        <f>IF((I1895-ROUNDDOWN(I1895,0))=0, 0, (I1895-ROUNDDOWN(I1895,0)))</f>
      </c>
      <c r="K1895" s="7">
        <f>INDIRECT("C$"&amp;2+MIN(2,ROUNDDOWN(I1895,0))*3)*(-$J1895^3+3*$J1895^2-3*$J1895+1)+INDIRECT("C$"&amp;3+MIN(2,ROUNDDOWN(I1895,0))*3)*(3*$J1895^3-6*$J1895^2+3*$J1895)+INDIRECT("C$"&amp;4+MIN(2,ROUNDDOWN(I1895,0))*3)*(-3*$J1895^3+3*$J1895^2)+INDIRECT("C$"&amp;5+MIN(2,ROUNDDOWN(I1895,0))*3)*$J1895^3</f>
      </c>
      <c r="L1895" s="7">
        <f>INDIRECT("D$"&amp;2+MIN(2,ROUNDDOWN(I1895,0))*3)*(-$J1895^3+3*$J1895^2-3*$J1895+1)+INDIRECT("D$"&amp;3+MIN(2,ROUNDDOWN(I1895,0))*3)*(3*$J1895^3-6*$J1895^2+3*$J1895)+INDIRECT("D$"&amp;4+MIN(2,ROUNDDOWN(I1895,0))*3)*(-3*$J1895^3+3*$J1895^2)+INDIRECT("D$"&amp;5+MIN(2,ROUNDDOWN(I1895,0))*3)*$J1895^3</f>
      </c>
      <c r="M1895" s="7">
        <f>SQRT(K1895^2+L1895^2)</f>
      </c>
      <c r="N1895" s="7">
        <f>(K1896-K1894)</f>
      </c>
      <c r="O1895" s="7">
        <f>+(L1896-L1894)</f>
      </c>
      <c r="P1895" s="7">
        <f>SQRT(O1895^2+N1895^2)</f>
      </c>
      <c r="Q1895" s="7">
        <f>N1895/$P1895</f>
      </c>
      <c r="R1895" s="7">
        <f>O1895/$P1895</f>
      </c>
      <c r="S1895" s="7">
        <f>Q1895^2+R1895^2</f>
      </c>
      <c r="T1895" s="7">
        <f>-R1895</f>
      </c>
      <c r="U1895" s="7">
        <f>Q1895</f>
      </c>
      <c r="V1895" s="7">
        <f>($C$14+($C$15-$C$14)/($D$15-$D$14)*(I1895-$D$14))/2</f>
      </c>
      <c r="W1895" s="7">
        <f>($B$22*I1895^4+$C$22*I1895^3+$D$22*I1895^2+$E$22*I1895+$F$22)/2</f>
      </c>
      <c r="X1895" s="7">
        <f>($W1895)*(T1895)</f>
      </c>
      <c r="Y1895" s="7">
        <f>($W1895)*(U1895)</f>
      </c>
      <c r="Z1895" s="7">
        <f>SQRT(X1895^2+Y1895^2)</f>
      </c>
      <c r="AA1895" s="7">
        <f>$K1895+$X1895</f>
      </c>
      <c r="AB1895" s="7">
        <f>$L1895+$Y1895</f>
      </c>
      <c r="AC1895" s="7">
        <f>$K1895-$X1895</f>
      </c>
      <c r="AD1895" s="7">
        <f>$L1895-$Y1895</f>
      </c>
      <c r="AE1895" s="7">
        <f>AA1895/39.3701</f>
      </c>
      <c r="AF1895" s="7">
        <f>AB1895/39.3701</f>
      </c>
      <c r="AG1895" s="7">
        <f>AC1895/39.3701</f>
      </c>
      <c r="AH1895" s="7">
        <f>AD1895/39.3701</f>
      </c>
      <c r="AI1895" s="1"/>
      <c r="AJ1895" s="1"/>
      <c r="AK1895" s="1"/>
      <c r="AL1895" s="1"/>
      <c r="AM1895" s="2"/>
      <c r="AN1895" s="1"/>
      <c r="AO1895" s="1"/>
      <c r="AP1895" s="1"/>
      <c r="AQ1895" s="1"/>
      <c r="AR1895" s="1"/>
      <c r="AS1895" s="1"/>
      <c r="AT1895" s="1"/>
      <c r="AU1895" s="1"/>
      <c r="AV1895" s="1"/>
      <c r="AW1895" s="1"/>
      <c r="AX1895" s="1"/>
      <c r="AY1895" s="1"/>
      <c r="AZ1895" s="1"/>
      <c r="BA1895" s="1"/>
      <c r="BB1895" s="1"/>
      <c r="BC1895" s="1"/>
      <c r="BD1895" s="1"/>
      <c r="BE1895" s="1"/>
    </row>
    <row x14ac:dyDescent="0.25" r="1896" customHeight="1" ht="18.75">
      <c r="A1896" s="1"/>
      <c r="B1896" s="2"/>
      <c r="C1896" s="2"/>
      <c r="D1896" s="2"/>
      <c r="E1896" s="2"/>
      <c r="F1896" s="2"/>
      <c r="G1896" s="1"/>
      <c r="H1896" s="1"/>
      <c r="I1896" s="7">
        <v>1.893</v>
      </c>
      <c r="J1896" s="7">
        <f>IF((I1896-ROUNDDOWN(I1896,0))=0, 0, (I1896-ROUNDDOWN(I1896,0)))</f>
      </c>
      <c r="K1896" s="7">
        <f>INDIRECT("C$"&amp;2+MIN(2,ROUNDDOWN(I1896,0))*3)*(-$J1896^3+3*$J1896^2-3*$J1896+1)+INDIRECT("C$"&amp;3+MIN(2,ROUNDDOWN(I1896,0))*3)*(3*$J1896^3-6*$J1896^2+3*$J1896)+INDIRECT("C$"&amp;4+MIN(2,ROUNDDOWN(I1896,0))*3)*(-3*$J1896^3+3*$J1896^2)+INDIRECT("C$"&amp;5+MIN(2,ROUNDDOWN(I1896,0))*3)*$J1896^3</f>
      </c>
      <c r="L1896" s="7">
        <f>INDIRECT("D$"&amp;2+MIN(2,ROUNDDOWN(I1896,0))*3)*(-$J1896^3+3*$J1896^2-3*$J1896+1)+INDIRECT("D$"&amp;3+MIN(2,ROUNDDOWN(I1896,0))*3)*(3*$J1896^3-6*$J1896^2+3*$J1896)+INDIRECT("D$"&amp;4+MIN(2,ROUNDDOWN(I1896,0))*3)*(-3*$J1896^3+3*$J1896^2)+INDIRECT("D$"&amp;5+MIN(2,ROUNDDOWN(I1896,0))*3)*$J1896^3</f>
      </c>
      <c r="M1896" s="7">
        <f>SQRT(K1896^2+L1896^2)</f>
      </c>
      <c r="N1896" s="7">
        <f>(K1897-K1895)</f>
      </c>
      <c r="O1896" s="7">
        <f>+(L1897-L1895)</f>
      </c>
      <c r="P1896" s="7">
        <f>SQRT(O1896^2+N1896^2)</f>
      </c>
      <c r="Q1896" s="7">
        <f>N1896/$P1896</f>
      </c>
      <c r="R1896" s="7">
        <f>O1896/$P1896</f>
      </c>
      <c r="S1896" s="8">
        <f>Q1896^2+R1896^2</f>
      </c>
      <c r="T1896" s="7">
        <f>-R1896</f>
      </c>
      <c r="U1896" s="7">
        <f>Q1896</f>
      </c>
      <c r="V1896" s="7">
        <f>($C$14+($C$15-$C$14)/($D$15-$D$14)*(I1896-$D$14))/2</f>
      </c>
      <c r="W1896" s="7">
        <f>($B$22*I1896^4+$C$22*I1896^3+$D$22*I1896^2+$E$22*I1896+$F$22)/2</f>
      </c>
      <c r="X1896" s="7">
        <f>($W1896)*(T1896)</f>
      </c>
      <c r="Y1896" s="7">
        <f>($W1896)*(U1896)</f>
      </c>
      <c r="Z1896" s="7">
        <f>SQRT(X1896^2+Y1896^2)</f>
      </c>
      <c r="AA1896" s="7">
        <f>$K1896+$X1896</f>
      </c>
      <c r="AB1896" s="7">
        <f>$L1896+$Y1896</f>
      </c>
      <c r="AC1896" s="7">
        <f>$K1896-$X1896</f>
      </c>
      <c r="AD1896" s="7">
        <f>$L1896-$Y1896</f>
      </c>
      <c r="AE1896" s="7">
        <f>AA1896/39.3701</f>
      </c>
      <c r="AF1896" s="7">
        <f>AB1896/39.3701</f>
      </c>
      <c r="AG1896" s="7">
        <f>AC1896/39.3701</f>
      </c>
      <c r="AH1896" s="7">
        <f>AD1896/39.3701</f>
      </c>
      <c r="AI1896" s="1"/>
      <c r="AJ1896" s="1"/>
      <c r="AK1896" s="1"/>
      <c r="AL1896" s="1"/>
      <c r="AM1896" s="2"/>
      <c r="AN1896" s="1"/>
      <c r="AO1896" s="1"/>
      <c r="AP1896" s="1"/>
      <c r="AQ1896" s="1"/>
      <c r="AR1896" s="1"/>
      <c r="AS1896" s="1"/>
      <c r="AT1896" s="1"/>
      <c r="AU1896" s="1"/>
      <c r="AV1896" s="1"/>
      <c r="AW1896" s="1"/>
      <c r="AX1896" s="1"/>
      <c r="AY1896" s="1"/>
      <c r="AZ1896" s="1"/>
      <c r="BA1896" s="1"/>
      <c r="BB1896" s="1"/>
      <c r="BC1896" s="1"/>
      <c r="BD1896" s="1"/>
      <c r="BE1896" s="1"/>
    </row>
    <row x14ac:dyDescent="0.25" r="1897" customHeight="1" ht="18.75">
      <c r="A1897" s="1"/>
      <c r="B1897" s="2"/>
      <c r="C1897" s="2"/>
      <c r="D1897" s="2"/>
      <c r="E1897" s="2"/>
      <c r="F1897" s="2"/>
      <c r="G1897" s="1"/>
      <c r="H1897" s="1"/>
      <c r="I1897" s="7">
        <v>1.894</v>
      </c>
      <c r="J1897" s="7">
        <f>IF((I1897-ROUNDDOWN(I1897,0))=0, 0, (I1897-ROUNDDOWN(I1897,0)))</f>
      </c>
      <c r="K1897" s="7">
        <f>INDIRECT("C$"&amp;2+MIN(2,ROUNDDOWN(I1897,0))*3)*(-$J1897^3+3*$J1897^2-3*$J1897+1)+INDIRECT("C$"&amp;3+MIN(2,ROUNDDOWN(I1897,0))*3)*(3*$J1897^3-6*$J1897^2+3*$J1897)+INDIRECT("C$"&amp;4+MIN(2,ROUNDDOWN(I1897,0))*3)*(-3*$J1897^3+3*$J1897^2)+INDIRECT("C$"&amp;5+MIN(2,ROUNDDOWN(I1897,0))*3)*$J1897^3</f>
      </c>
      <c r="L1897" s="7">
        <f>INDIRECT("D$"&amp;2+MIN(2,ROUNDDOWN(I1897,0))*3)*(-$J1897^3+3*$J1897^2-3*$J1897+1)+INDIRECT("D$"&amp;3+MIN(2,ROUNDDOWN(I1897,0))*3)*(3*$J1897^3-6*$J1897^2+3*$J1897)+INDIRECT("D$"&amp;4+MIN(2,ROUNDDOWN(I1897,0))*3)*(-3*$J1897^3+3*$J1897^2)+INDIRECT("D$"&amp;5+MIN(2,ROUNDDOWN(I1897,0))*3)*$J1897^3</f>
      </c>
      <c r="M1897" s="7">
        <f>SQRT(K1897^2+L1897^2)</f>
      </c>
      <c r="N1897" s="7">
        <f>(K1898-K1896)</f>
      </c>
      <c r="O1897" s="7">
        <f>+(L1898-L1896)</f>
      </c>
      <c r="P1897" s="7">
        <f>SQRT(O1897^2+N1897^2)</f>
      </c>
      <c r="Q1897" s="7">
        <f>N1897/$P1897</f>
      </c>
      <c r="R1897" s="7">
        <f>O1897/$P1897</f>
      </c>
      <c r="S1897" s="7">
        <f>Q1897^2+R1897^2</f>
      </c>
      <c r="T1897" s="7">
        <f>-R1897</f>
      </c>
      <c r="U1897" s="7">
        <f>Q1897</f>
      </c>
      <c r="V1897" s="7">
        <f>($C$14+($C$15-$C$14)/($D$15-$D$14)*(I1897-$D$14))/2</f>
      </c>
      <c r="W1897" s="7">
        <f>($B$22*I1897^4+$C$22*I1897^3+$D$22*I1897^2+$E$22*I1897+$F$22)/2</f>
      </c>
      <c r="X1897" s="7">
        <f>($W1897)*(T1897)</f>
      </c>
      <c r="Y1897" s="7">
        <f>($W1897)*(U1897)</f>
      </c>
      <c r="Z1897" s="7">
        <f>SQRT(X1897^2+Y1897^2)</f>
      </c>
      <c r="AA1897" s="7">
        <f>$K1897+$X1897</f>
      </c>
      <c r="AB1897" s="7">
        <f>$L1897+$Y1897</f>
      </c>
      <c r="AC1897" s="7">
        <f>$K1897-$X1897</f>
      </c>
      <c r="AD1897" s="7">
        <f>$L1897-$Y1897</f>
      </c>
      <c r="AE1897" s="7">
        <f>AA1897/39.3701</f>
      </c>
      <c r="AF1897" s="7">
        <f>AB1897/39.3701</f>
      </c>
      <c r="AG1897" s="7">
        <f>AC1897/39.3701</f>
      </c>
      <c r="AH1897" s="7">
        <f>AD1897/39.3701</f>
      </c>
      <c r="AI1897" s="1"/>
      <c r="AJ1897" s="1"/>
      <c r="AK1897" s="1"/>
      <c r="AL1897" s="1"/>
      <c r="AM1897" s="2"/>
      <c r="AN1897" s="1"/>
      <c r="AO1897" s="1"/>
      <c r="AP1897" s="1"/>
      <c r="AQ1897" s="1"/>
      <c r="AR1897" s="1"/>
      <c r="AS1897" s="1"/>
      <c r="AT1897" s="1"/>
      <c r="AU1897" s="1"/>
      <c r="AV1897" s="1"/>
      <c r="AW1897" s="1"/>
      <c r="AX1897" s="1"/>
      <c r="AY1897" s="1"/>
      <c r="AZ1897" s="1"/>
      <c r="BA1897" s="1"/>
      <c r="BB1897" s="1"/>
      <c r="BC1897" s="1"/>
      <c r="BD1897" s="1"/>
      <c r="BE1897" s="1"/>
    </row>
    <row x14ac:dyDescent="0.25" r="1898" customHeight="1" ht="18.75">
      <c r="A1898" s="1"/>
      <c r="B1898" s="2"/>
      <c r="C1898" s="2"/>
      <c r="D1898" s="2"/>
      <c r="E1898" s="2"/>
      <c r="F1898" s="2"/>
      <c r="G1898" s="1"/>
      <c r="H1898" s="1"/>
      <c r="I1898" s="7">
        <v>1.895</v>
      </c>
      <c r="J1898" s="7">
        <f>IF((I1898-ROUNDDOWN(I1898,0))=0, 0, (I1898-ROUNDDOWN(I1898,0)))</f>
      </c>
      <c r="K1898" s="7">
        <f>INDIRECT("C$"&amp;2+MIN(2,ROUNDDOWN(I1898,0))*3)*(-$J1898^3+3*$J1898^2-3*$J1898+1)+INDIRECT("C$"&amp;3+MIN(2,ROUNDDOWN(I1898,0))*3)*(3*$J1898^3-6*$J1898^2+3*$J1898)+INDIRECT("C$"&amp;4+MIN(2,ROUNDDOWN(I1898,0))*3)*(-3*$J1898^3+3*$J1898^2)+INDIRECT("C$"&amp;5+MIN(2,ROUNDDOWN(I1898,0))*3)*$J1898^3</f>
      </c>
      <c r="L1898" s="7">
        <f>INDIRECT("D$"&amp;2+MIN(2,ROUNDDOWN(I1898,0))*3)*(-$J1898^3+3*$J1898^2-3*$J1898+1)+INDIRECT("D$"&amp;3+MIN(2,ROUNDDOWN(I1898,0))*3)*(3*$J1898^3-6*$J1898^2+3*$J1898)+INDIRECT("D$"&amp;4+MIN(2,ROUNDDOWN(I1898,0))*3)*(-3*$J1898^3+3*$J1898^2)+INDIRECT("D$"&amp;5+MIN(2,ROUNDDOWN(I1898,0))*3)*$J1898^3</f>
      </c>
      <c r="M1898" s="7">
        <f>SQRT(K1898^2+L1898^2)</f>
      </c>
      <c r="N1898" s="7">
        <f>(K1899-K1897)</f>
      </c>
      <c r="O1898" s="7">
        <f>+(L1899-L1897)</f>
      </c>
      <c r="P1898" s="7">
        <f>SQRT(O1898^2+N1898^2)</f>
      </c>
      <c r="Q1898" s="7">
        <f>N1898/$P1898</f>
      </c>
      <c r="R1898" s="7">
        <f>O1898/$P1898</f>
      </c>
      <c r="S1898" s="8">
        <f>Q1898^2+R1898^2</f>
      </c>
      <c r="T1898" s="7">
        <f>-R1898</f>
      </c>
      <c r="U1898" s="7">
        <f>Q1898</f>
      </c>
      <c r="V1898" s="7">
        <f>($C$14+($C$15-$C$14)/($D$15-$D$14)*(I1898-$D$14))/2</f>
      </c>
      <c r="W1898" s="7">
        <f>($B$22*I1898^4+$C$22*I1898^3+$D$22*I1898^2+$E$22*I1898+$F$22)/2</f>
      </c>
      <c r="X1898" s="7">
        <f>($W1898)*(T1898)</f>
      </c>
      <c r="Y1898" s="7">
        <f>($W1898)*(U1898)</f>
      </c>
      <c r="Z1898" s="7">
        <f>SQRT(X1898^2+Y1898^2)</f>
      </c>
      <c r="AA1898" s="7">
        <f>$K1898+$X1898</f>
      </c>
      <c r="AB1898" s="7">
        <f>$L1898+$Y1898</f>
      </c>
      <c r="AC1898" s="7">
        <f>$K1898-$X1898</f>
      </c>
      <c r="AD1898" s="7">
        <f>$L1898-$Y1898</f>
      </c>
      <c r="AE1898" s="7">
        <f>AA1898/39.3701</f>
      </c>
      <c r="AF1898" s="7">
        <f>AB1898/39.3701</f>
      </c>
      <c r="AG1898" s="7">
        <f>AC1898/39.3701</f>
      </c>
      <c r="AH1898" s="7">
        <f>AD1898/39.3701</f>
      </c>
      <c r="AI1898" s="1"/>
      <c r="AJ1898" s="1"/>
      <c r="AK1898" s="1"/>
      <c r="AL1898" s="1"/>
      <c r="AM1898" s="2"/>
      <c r="AN1898" s="1"/>
      <c r="AO1898" s="1"/>
      <c r="AP1898" s="1"/>
      <c r="AQ1898" s="1"/>
      <c r="AR1898" s="1"/>
      <c r="AS1898" s="1"/>
      <c r="AT1898" s="1"/>
      <c r="AU1898" s="1"/>
      <c r="AV1898" s="1"/>
      <c r="AW1898" s="1"/>
      <c r="AX1898" s="1"/>
      <c r="AY1898" s="1"/>
      <c r="AZ1898" s="1"/>
      <c r="BA1898" s="1"/>
      <c r="BB1898" s="1"/>
      <c r="BC1898" s="1"/>
      <c r="BD1898" s="1"/>
      <c r="BE1898" s="1"/>
    </row>
    <row x14ac:dyDescent="0.25" r="1899" customHeight="1" ht="18.75">
      <c r="A1899" s="1"/>
      <c r="B1899" s="2"/>
      <c r="C1899" s="2"/>
      <c r="D1899" s="2"/>
      <c r="E1899" s="2"/>
      <c r="F1899" s="2"/>
      <c r="G1899" s="1"/>
      <c r="H1899" s="1"/>
      <c r="I1899" s="7">
        <v>1.896</v>
      </c>
      <c r="J1899" s="7">
        <f>IF((I1899-ROUNDDOWN(I1899,0))=0, 0, (I1899-ROUNDDOWN(I1899,0)))</f>
      </c>
      <c r="K1899" s="7">
        <f>INDIRECT("C$"&amp;2+MIN(2,ROUNDDOWN(I1899,0))*3)*(-$J1899^3+3*$J1899^2-3*$J1899+1)+INDIRECT("C$"&amp;3+MIN(2,ROUNDDOWN(I1899,0))*3)*(3*$J1899^3-6*$J1899^2+3*$J1899)+INDIRECT("C$"&amp;4+MIN(2,ROUNDDOWN(I1899,0))*3)*(-3*$J1899^3+3*$J1899^2)+INDIRECT("C$"&amp;5+MIN(2,ROUNDDOWN(I1899,0))*3)*$J1899^3</f>
      </c>
      <c r="L1899" s="7">
        <f>INDIRECT("D$"&amp;2+MIN(2,ROUNDDOWN(I1899,0))*3)*(-$J1899^3+3*$J1899^2-3*$J1899+1)+INDIRECT("D$"&amp;3+MIN(2,ROUNDDOWN(I1899,0))*3)*(3*$J1899^3-6*$J1899^2+3*$J1899)+INDIRECT("D$"&amp;4+MIN(2,ROUNDDOWN(I1899,0))*3)*(-3*$J1899^3+3*$J1899^2)+INDIRECT("D$"&amp;5+MIN(2,ROUNDDOWN(I1899,0))*3)*$J1899^3</f>
      </c>
      <c r="M1899" s="7">
        <f>SQRT(K1899^2+L1899^2)</f>
      </c>
      <c r="N1899" s="7">
        <f>(K1900-K1898)</f>
      </c>
      <c r="O1899" s="7">
        <f>+(L1900-L1898)</f>
      </c>
      <c r="P1899" s="7">
        <f>SQRT(O1899^2+N1899^2)</f>
      </c>
      <c r="Q1899" s="7">
        <f>N1899/$P1899</f>
      </c>
      <c r="R1899" s="7">
        <f>O1899/$P1899</f>
      </c>
      <c r="S1899" s="8">
        <f>Q1899^2+R1899^2</f>
      </c>
      <c r="T1899" s="7">
        <f>-R1899</f>
      </c>
      <c r="U1899" s="7">
        <f>Q1899</f>
      </c>
      <c r="V1899" s="7">
        <f>($C$14+($C$15-$C$14)/($D$15-$D$14)*(I1899-$D$14))/2</f>
      </c>
      <c r="W1899" s="7">
        <f>($B$22*I1899^4+$C$22*I1899^3+$D$22*I1899^2+$E$22*I1899+$F$22)/2</f>
      </c>
      <c r="X1899" s="7">
        <f>($W1899)*(T1899)</f>
      </c>
      <c r="Y1899" s="7">
        <f>($W1899)*(U1899)</f>
      </c>
      <c r="Z1899" s="7">
        <f>SQRT(X1899^2+Y1899^2)</f>
      </c>
      <c r="AA1899" s="7">
        <f>$K1899+$X1899</f>
      </c>
      <c r="AB1899" s="7">
        <f>$L1899+$Y1899</f>
      </c>
      <c r="AC1899" s="7">
        <f>$K1899-$X1899</f>
      </c>
      <c r="AD1899" s="7">
        <f>$L1899-$Y1899</f>
      </c>
      <c r="AE1899" s="7">
        <f>AA1899/39.3701</f>
      </c>
      <c r="AF1899" s="7">
        <f>AB1899/39.3701</f>
      </c>
      <c r="AG1899" s="7">
        <f>AC1899/39.3701</f>
      </c>
      <c r="AH1899" s="7">
        <f>AD1899/39.3701</f>
      </c>
      <c r="AI1899" s="1"/>
      <c r="AJ1899" s="1"/>
      <c r="AK1899" s="1"/>
      <c r="AL1899" s="1"/>
      <c r="AM1899" s="2"/>
      <c r="AN1899" s="1"/>
      <c r="AO1899" s="1"/>
      <c r="AP1899" s="1"/>
      <c r="AQ1899" s="1"/>
      <c r="AR1899" s="1"/>
      <c r="AS1899" s="1"/>
      <c r="AT1899" s="1"/>
      <c r="AU1899" s="1"/>
      <c r="AV1899" s="1"/>
      <c r="AW1899" s="1"/>
      <c r="AX1899" s="1"/>
      <c r="AY1899" s="1"/>
      <c r="AZ1899" s="1"/>
      <c r="BA1899" s="1"/>
      <c r="BB1899" s="1"/>
      <c r="BC1899" s="1"/>
      <c r="BD1899" s="1"/>
      <c r="BE1899" s="1"/>
    </row>
    <row x14ac:dyDescent="0.25" r="1900" customHeight="1" ht="18.75">
      <c r="A1900" s="1"/>
      <c r="B1900" s="2"/>
      <c r="C1900" s="2"/>
      <c r="D1900" s="2"/>
      <c r="E1900" s="2"/>
      <c r="F1900" s="2"/>
      <c r="G1900" s="1"/>
      <c r="H1900" s="1"/>
      <c r="I1900" s="7">
        <v>1.897</v>
      </c>
      <c r="J1900" s="7">
        <f>IF((I1900-ROUNDDOWN(I1900,0))=0, 0, (I1900-ROUNDDOWN(I1900,0)))</f>
      </c>
      <c r="K1900" s="7">
        <f>INDIRECT("C$"&amp;2+MIN(2,ROUNDDOWN(I1900,0))*3)*(-$J1900^3+3*$J1900^2-3*$J1900+1)+INDIRECT("C$"&amp;3+MIN(2,ROUNDDOWN(I1900,0))*3)*(3*$J1900^3-6*$J1900^2+3*$J1900)+INDIRECT("C$"&amp;4+MIN(2,ROUNDDOWN(I1900,0))*3)*(-3*$J1900^3+3*$J1900^2)+INDIRECT("C$"&amp;5+MIN(2,ROUNDDOWN(I1900,0))*3)*$J1900^3</f>
      </c>
      <c r="L1900" s="7">
        <f>INDIRECT("D$"&amp;2+MIN(2,ROUNDDOWN(I1900,0))*3)*(-$J1900^3+3*$J1900^2-3*$J1900+1)+INDIRECT("D$"&amp;3+MIN(2,ROUNDDOWN(I1900,0))*3)*(3*$J1900^3-6*$J1900^2+3*$J1900)+INDIRECT("D$"&amp;4+MIN(2,ROUNDDOWN(I1900,0))*3)*(-3*$J1900^3+3*$J1900^2)+INDIRECT("D$"&amp;5+MIN(2,ROUNDDOWN(I1900,0))*3)*$J1900^3</f>
      </c>
      <c r="M1900" s="7">
        <f>SQRT(K1900^2+L1900^2)</f>
      </c>
      <c r="N1900" s="7">
        <f>(K1901-K1899)</f>
      </c>
      <c r="O1900" s="7">
        <f>+(L1901-L1899)</f>
      </c>
      <c r="P1900" s="7">
        <f>SQRT(O1900^2+N1900^2)</f>
      </c>
      <c r="Q1900" s="7">
        <f>N1900/$P1900</f>
      </c>
      <c r="R1900" s="7">
        <f>O1900/$P1900</f>
      </c>
      <c r="S1900" s="7">
        <f>Q1900^2+R1900^2</f>
      </c>
      <c r="T1900" s="7">
        <f>-R1900</f>
      </c>
      <c r="U1900" s="7">
        <f>Q1900</f>
      </c>
      <c r="V1900" s="7">
        <f>($C$14+($C$15-$C$14)/($D$15-$D$14)*(I1900-$D$14))/2</f>
      </c>
      <c r="W1900" s="7">
        <f>($B$22*I1900^4+$C$22*I1900^3+$D$22*I1900^2+$E$22*I1900+$F$22)/2</f>
      </c>
      <c r="X1900" s="7">
        <f>($W1900)*(T1900)</f>
      </c>
      <c r="Y1900" s="7">
        <f>($W1900)*(U1900)</f>
      </c>
      <c r="Z1900" s="7">
        <f>SQRT(X1900^2+Y1900^2)</f>
      </c>
      <c r="AA1900" s="7">
        <f>$K1900+$X1900</f>
      </c>
      <c r="AB1900" s="7">
        <f>$L1900+$Y1900</f>
      </c>
      <c r="AC1900" s="7">
        <f>$K1900-$X1900</f>
      </c>
      <c r="AD1900" s="7">
        <f>$L1900-$Y1900</f>
      </c>
      <c r="AE1900" s="7">
        <f>AA1900/39.3701</f>
      </c>
      <c r="AF1900" s="7">
        <f>AB1900/39.3701</f>
      </c>
      <c r="AG1900" s="7">
        <f>AC1900/39.3701</f>
      </c>
      <c r="AH1900" s="7">
        <f>AD1900/39.3701</f>
      </c>
      <c r="AI1900" s="1"/>
      <c r="AJ1900" s="1"/>
      <c r="AK1900" s="1"/>
      <c r="AL1900" s="1"/>
      <c r="AM1900" s="2"/>
      <c r="AN1900" s="1"/>
      <c r="AO1900" s="1"/>
      <c r="AP1900" s="1"/>
      <c r="AQ1900" s="1"/>
      <c r="AR1900" s="1"/>
      <c r="AS1900" s="1"/>
      <c r="AT1900" s="1"/>
      <c r="AU1900" s="1"/>
      <c r="AV1900" s="1"/>
      <c r="AW1900" s="1"/>
      <c r="AX1900" s="1"/>
      <c r="AY1900" s="1"/>
      <c r="AZ1900" s="1"/>
      <c r="BA1900" s="1"/>
      <c r="BB1900" s="1"/>
      <c r="BC1900" s="1"/>
      <c r="BD1900" s="1"/>
      <c r="BE1900" s="1"/>
    </row>
    <row x14ac:dyDescent="0.25" r="1901" customHeight="1" ht="18.75">
      <c r="A1901" s="1"/>
      <c r="B1901" s="2"/>
      <c r="C1901" s="2"/>
      <c r="D1901" s="2"/>
      <c r="E1901" s="2"/>
      <c r="F1901" s="2"/>
      <c r="G1901" s="1"/>
      <c r="H1901" s="1"/>
      <c r="I1901" s="7">
        <v>1.898</v>
      </c>
      <c r="J1901" s="7">
        <f>IF((I1901-ROUNDDOWN(I1901,0))=0, 0, (I1901-ROUNDDOWN(I1901,0)))</f>
      </c>
      <c r="K1901" s="7">
        <f>INDIRECT("C$"&amp;2+MIN(2,ROUNDDOWN(I1901,0))*3)*(-$J1901^3+3*$J1901^2-3*$J1901+1)+INDIRECT("C$"&amp;3+MIN(2,ROUNDDOWN(I1901,0))*3)*(3*$J1901^3-6*$J1901^2+3*$J1901)+INDIRECT("C$"&amp;4+MIN(2,ROUNDDOWN(I1901,0))*3)*(-3*$J1901^3+3*$J1901^2)+INDIRECT("C$"&amp;5+MIN(2,ROUNDDOWN(I1901,0))*3)*$J1901^3</f>
      </c>
      <c r="L1901" s="7">
        <f>INDIRECT("D$"&amp;2+MIN(2,ROUNDDOWN(I1901,0))*3)*(-$J1901^3+3*$J1901^2-3*$J1901+1)+INDIRECT("D$"&amp;3+MIN(2,ROUNDDOWN(I1901,0))*3)*(3*$J1901^3-6*$J1901^2+3*$J1901)+INDIRECT("D$"&amp;4+MIN(2,ROUNDDOWN(I1901,0))*3)*(-3*$J1901^3+3*$J1901^2)+INDIRECT("D$"&amp;5+MIN(2,ROUNDDOWN(I1901,0))*3)*$J1901^3</f>
      </c>
      <c r="M1901" s="7">
        <f>SQRT(K1901^2+L1901^2)</f>
      </c>
      <c r="N1901" s="7">
        <f>(K1902-K1900)</f>
      </c>
      <c r="O1901" s="7">
        <f>+(L1902-L1900)</f>
      </c>
      <c r="P1901" s="7">
        <f>SQRT(O1901^2+N1901^2)</f>
      </c>
      <c r="Q1901" s="7">
        <f>N1901/$P1901</f>
      </c>
      <c r="R1901" s="7">
        <f>O1901/$P1901</f>
      </c>
      <c r="S1901" s="8">
        <f>Q1901^2+R1901^2</f>
      </c>
      <c r="T1901" s="7">
        <f>-R1901</f>
      </c>
      <c r="U1901" s="7">
        <f>Q1901</f>
      </c>
      <c r="V1901" s="7">
        <f>($C$14+($C$15-$C$14)/($D$15-$D$14)*(I1901-$D$14))/2</f>
      </c>
      <c r="W1901" s="7">
        <f>($B$22*I1901^4+$C$22*I1901^3+$D$22*I1901^2+$E$22*I1901+$F$22)/2</f>
      </c>
      <c r="X1901" s="7">
        <f>($W1901)*(T1901)</f>
      </c>
      <c r="Y1901" s="7">
        <f>($W1901)*(U1901)</f>
      </c>
      <c r="Z1901" s="7">
        <f>SQRT(X1901^2+Y1901^2)</f>
      </c>
      <c r="AA1901" s="7">
        <f>$K1901+$X1901</f>
      </c>
      <c r="AB1901" s="7">
        <f>$L1901+$Y1901</f>
      </c>
      <c r="AC1901" s="7">
        <f>$K1901-$X1901</f>
      </c>
      <c r="AD1901" s="7">
        <f>$L1901-$Y1901</f>
      </c>
      <c r="AE1901" s="7">
        <f>AA1901/39.3701</f>
      </c>
      <c r="AF1901" s="7">
        <f>AB1901/39.3701</f>
      </c>
      <c r="AG1901" s="7">
        <f>AC1901/39.3701</f>
      </c>
      <c r="AH1901" s="7">
        <f>AD1901/39.3701</f>
      </c>
      <c r="AI1901" s="1"/>
      <c r="AJ1901" s="1"/>
      <c r="AK1901" s="1"/>
      <c r="AL1901" s="1"/>
      <c r="AM1901" s="2"/>
      <c r="AN1901" s="1"/>
      <c r="AO1901" s="1"/>
      <c r="AP1901" s="1"/>
      <c r="AQ1901" s="1"/>
      <c r="AR1901" s="1"/>
      <c r="AS1901" s="1"/>
      <c r="AT1901" s="1"/>
      <c r="AU1901" s="1"/>
      <c r="AV1901" s="1"/>
      <c r="AW1901" s="1"/>
      <c r="AX1901" s="1"/>
      <c r="AY1901" s="1"/>
      <c r="AZ1901" s="1"/>
      <c r="BA1901" s="1"/>
      <c r="BB1901" s="1"/>
      <c r="BC1901" s="1"/>
      <c r="BD1901" s="1"/>
      <c r="BE1901" s="1"/>
    </row>
    <row x14ac:dyDescent="0.25" r="1902" customHeight="1" ht="18.75">
      <c r="A1902" s="1"/>
      <c r="B1902" s="2"/>
      <c r="C1902" s="2"/>
      <c r="D1902" s="2"/>
      <c r="E1902" s="2"/>
      <c r="F1902" s="2"/>
      <c r="G1902" s="1"/>
      <c r="H1902" s="1"/>
      <c r="I1902" s="7">
        <v>1.899</v>
      </c>
      <c r="J1902" s="7">
        <f>IF((I1902-ROUNDDOWN(I1902,0))=0, 0, (I1902-ROUNDDOWN(I1902,0)))</f>
      </c>
      <c r="K1902" s="7">
        <f>INDIRECT("C$"&amp;2+MIN(2,ROUNDDOWN(I1902,0))*3)*(-$J1902^3+3*$J1902^2-3*$J1902+1)+INDIRECT("C$"&amp;3+MIN(2,ROUNDDOWN(I1902,0))*3)*(3*$J1902^3-6*$J1902^2+3*$J1902)+INDIRECT("C$"&amp;4+MIN(2,ROUNDDOWN(I1902,0))*3)*(-3*$J1902^3+3*$J1902^2)+INDIRECT("C$"&amp;5+MIN(2,ROUNDDOWN(I1902,0))*3)*$J1902^3</f>
      </c>
      <c r="L1902" s="7">
        <f>INDIRECT("D$"&amp;2+MIN(2,ROUNDDOWN(I1902,0))*3)*(-$J1902^3+3*$J1902^2-3*$J1902+1)+INDIRECT("D$"&amp;3+MIN(2,ROUNDDOWN(I1902,0))*3)*(3*$J1902^3-6*$J1902^2+3*$J1902)+INDIRECT("D$"&amp;4+MIN(2,ROUNDDOWN(I1902,0))*3)*(-3*$J1902^3+3*$J1902^2)+INDIRECT("D$"&amp;5+MIN(2,ROUNDDOWN(I1902,0))*3)*$J1902^3</f>
      </c>
      <c r="M1902" s="7">
        <f>SQRT(K1902^2+L1902^2)</f>
      </c>
      <c r="N1902" s="7">
        <f>(K1903-K1901)</f>
      </c>
      <c r="O1902" s="7">
        <f>+(L1903-L1901)</f>
      </c>
      <c r="P1902" s="7">
        <f>SQRT(O1902^2+N1902^2)</f>
      </c>
      <c r="Q1902" s="7">
        <f>N1902/$P1902</f>
      </c>
      <c r="R1902" s="7">
        <f>O1902/$P1902</f>
      </c>
      <c r="S1902" s="8">
        <f>Q1902^2+R1902^2</f>
      </c>
      <c r="T1902" s="7">
        <f>-R1902</f>
      </c>
      <c r="U1902" s="7">
        <f>Q1902</f>
      </c>
      <c r="V1902" s="7">
        <f>($C$14+($C$15-$C$14)/($D$15-$D$14)*(I1902-$D$14))/2</f>
      </c>
      <c r="W1902" s="7">
        <f>($B$22*I1902^4+$C$22*I1902^3+$D$22*I1902^2+$E$22*I1902+$F$22)/2</f>
      </c>
      <c r="X1902" s="7">
        <f>($W1902)*(T1902)</f>
      </c>
      <c r="Y1902" s="7">
        <f>($W1902)*(U1902)</f>
      </c>
      <c r="Z1902" s="7">
        <f>SQRT(X1902^2+Y1902^2)</f>
      </c>
      <c r="AA1902" s="7">
        <f>$K1902+$X1902</f>
      </c>
      <c r="AB1902" s="7">
        <f>$L1902+$Y1902</f>
      </c>
      <c r="AC1902" s="7">
        <f>$K1902-$X1902</f>
      </c>
      <c r="AD1902" s="7">
        <f>$L1902-$Y1902</f>
      </c>
      <c r="AE1902" s="7">
        <f>AA1902/39.3701</f>
      </c>
      <c r="AF1902" s="7">
        <f>AB1902/39.3701</f>
      </c>
      <c r="AG1902" s="7">
        <f>AC1902/39.3701</f>
      </c>
      <c r="AH1902" s="7">
        <f>AD1902/39.3701</f>
      </c>
      <c r="AI1902" s="1"/>
      <c r="AJ1902" s="1"/>
      <c r="AK1902" s="1"/>
      <c r="AL1902" s="1"/>
      <c r="AM1902" s="2"/>
      <c r="AN1902" s="1"/>
      <c r="AO1902" s="1"/>
      <c r="AP1902" s="1"/>
      <c r="AQ1902" s="1"/>
      <c r="AR1902" s="1"/>
      <c r="AS1902" s="1"/>
      <c r="AT1902" s="1"/>
      <c r="AU1902" s="1"/>
      <c r="AV1902" s="1"/>
      <c r="AW1902" s="1"/>
      <c r="AX1902" s="1"/>
      <c r="AY1902" s="1"/>
      <c r="AZ1902" s="1"/>
      <c r="BA1902" s="1"/>
      <c r="BB1902" s="1"/>
      <c r="BC1902" s="1"/>
      <c r="BD1902" s="1"/>
      <c r="BE1902" s="1"/>
    </row>
    <row x14ac:dyDescent="0.25" r="1903" customHeight="1" ht="18.75">
      <c r="A1903" s="1"/>
      <c r="B1903" s="2"/>
      <c r="C1903" s="2"/>
      <c r="D1903" s="2"/>
      <c r="E1903" s="2"/>
      <c r="F1903" s="2"/>
      <c r="G1903" s="1"/>
      <c r="H1903" s="1"/>
      <c r="I1903" s="7">
        <v>1.9</v>
      </c>
      <c r="J1903" s="7">
        <f>IF((I1903-ROUNDDOWN(I1903,0))=0, 0, (I1903-ROUNDDOWN(I1903,0)))</f>
      </c>
      <c r="K1903" s="7">
        <f>INDIRECT("C$"&amp;2+MIN(2,ROUNDDOWN(I1903,0))*3)*(-$J1903^3+3*$J1903^2-3*$J1903+1)+INDIRECT("C$"&amp;3+MIN(2,ROUNDDOWN(I1903,0))*3)*(3*$J1903^3-6*$J1903^2+3*$J1903)+INDIRECT("C$"&amp;4+MIN(2,ROUNDDOWN(I1903,0))*3)*(-3*$J1903^3+3*$J1903^2)+INDIRECT("C$"&amp;5+MIN(2,ROUNDDOWN(I1903,0))*3)*$J1903^3</f>
      </c>
      <c r="L1903" s="7">
        <f>INDIRECT("D$"&amp;2+MIN(2,ROUNDDOWN(I1903,0))*3)*(-$J1903^3+3*$J1903^2-3*$J1903+1)+INDIRECT("D$"&amp;3+MIN(2,ROUNDDOWN(I1903,0))*3)*(3*$J1903^3-6*$J1903^2+3*$J1903)+INDIRECT("D$"&amp;4+MIN(2,ROUNDDOWN(I1903,0))*3)*(-3*$J1903^3+3*$J1903^2)+INDIRECT("D$"&amp;5+MIN(2,ROUNDDOWN(I1903,0))*3)*$J1903^3</f>
      </c>
      <c r="M1903" s="7">
        <f>SQRT(K1903^2+L1903^2)</f>
      </c>
      <c r="N1903" s="7">
        <f>(K1904-K1902)</f>
      </c>
      <c r="O1903" s="7">
        <f>+(L1904-L1902)</f>
      </c>
      <c r="P1903" s="7">
        <f>SQRT(O1903^2+N1903^2)</f>
      </c>
      <c r="Q1903" s="7">
        <f>N1903/$P1903</f>
      </c>
      <c r="R1903" s="7">
        <f>O1903/$P1903</f>
      </c>
      <c r="S1903" s="7">
        <f>Q1903^2+R1903^2</f>
      </c>
      <c r="T1903" s="7">
        <f>-R1903</f>
      </c>
      <c r="U1903" s="7">
        <f>Q1903</f>
      </c>
      <c r="V1903" s="7">
        <f>($C$14+($C$15-$C$14)/($D$15-$D$14)*(I1903-$D$14))/2</f>
      </c>
      <c r="W1903" s="7">
        <f>($B$22*I1903^4+$C$22*I1903^3+$D$22*I1903^2+$E$22*I1903+$F$22)/2</f>
      </c>
      <c r="X1903" s="7">
        <f>($W1903)*(T1903)</f>
      </c>
      <c r="Y1903" s="7">
        <f>($W1903)*(U1903)</f>
      </c>
      <c r="Z1903" s="7">
        <f>SQRT(X1903^2+Y1903^2)</f>
      </c>
      <c r="AA1903" s="7">
        <f>$K1903+$X1903</f>
      </c>
      <c r="AB1903" s="7">
        <f>$L1903+$Y1903</f>
      </c>
      <c r="AC1903" s="7">
        <f>$K1903-$X1903</f>
      </c>
      <c r="AD1903" s="7">
        <f>$L1903-$Y1903</f>
      </c>
      <c r="AE1903" s="7">
        <f>AA1903/39.3701</f>
      </c>
      <c r="AF1903" s="7">
        <f>AB1903/39.3701</f>
      </c>
      <c r="AG1903" s="7">
        <f>AC1903/39.3701</f>
      </c>
      <c r="AH1903" s="7">
        <f>AD1903/39.3701</f>
      </c>
      <c r="AI1903" s="1"/>
      <c r="AJ1903" s="1"/>
      <c r="AK1903" s="1"/>
      <c r="AL1903" s="1"/>
      <c r="AM1903" s="2"/>
      <c r="AN1903" s="1"/>
      <c r="AO1903" s="1"/>
      <c r="AP1903" s="1"/>
      <c r="AQ1903" s="1"/>
      <c r="AR1903" s="1"/>
      <c r="AS1903" s="1"/>
      <c r="AT1903" s="1"/>
      <c r="AU1903" s="1"/>
      <c r="AV1903" s="1"/>
      <c r="AW1903" s="1"/>
      <c r="AX1903" s="1"/>
      <c r="AY1903" s="1"/>
      <c r="AZ1903" s="1"/>
      <c r="BA1903" s="1"/>
      <c r="BB1903" s="1"/>
      <c r="BC1903" s="1"/>
      <c r="BD1903" s="1"/>
      <c r="BE1903" s="1"/>
    </row>
    <row x14ac:dyDescent="0.25" r="1904" customHeight="1" ht="18.75">
      <c r="A1904" s="1"/>
      <c r="B1904" s="2"/>
      <c r="C1904" s="2"/>
      <c r="D1904" s="2"/>
      <c r="E1904" s="2"/>
      <c r="F1904" s="2"/>
      <c r="G1904" s="1"/>
      <c r="H1904" s="1"/>
      <c r="I1904" s="7">
        <v>1.901</v>
      </c>
      <c r="J1904" s="7">
        <f>IF((I1904-ROUNDDOWN(I1904,0))=0, 0, (I1904-ROUNDDOWN(I1904,0)))</f>
      </c>
      <c r="K1904" s="7">
        <f>INDIRECT("C$"&amp;2+MIN(2,ROUNDDOWN(I1904,0))*3)*(-$J1904^3+3*$J1904^2-3*$J1904+1)+INDIRECT("C$"&amp;3+MIN(2,ROUNDDOWN(I1904,0))*3)*(3*$J1904^3-6*$J1904^2+3*$J1904)+INDIRECT("C$"&amp;4+MIN(2,ROUNDDOWN(I1904,0))*3)*(-3*$J1904^3+3*$J1904^2)+INDIRECT("C$"&amp;5+MIN(2,ROUNDDOWN(I1904,0))*3)*$J1904^3</f>
      </c>
      <c r="L1904" s="7">
        <f>INDIRECT("D$"&amp;2+MIN(2,ROUNDDOWN(I1904,0))*3)*(-$J1904^3+3*$J1904^2-3*$J1904+1)+INDIRECT("D$"&amp;3+MIN(2,ROUNDDOWN(I1904,0))*3)*(3*$J1904^3-6*$J1904^2+3*$J1904)+INDIRECT("D$"&amp;4+MIN(2,ROUNDDOWN(I1904,0))*3)*(-3*$J1904^3+3*$J1904^2)+INDIRECT("D$"&amp;5+MIN(2,ROUNDDOWN(I1904,0))*3)*$J1904^3</f>
      </c>
      <c r="M1904" s="7">
        <f>SQRT(K1904^2+L1904^2)</f>
      </c>
      <c r="N1904" s="7">
        <f>(K1905-K1903)</f>
      </c>
      <c r="O1904" s="7">
        <f>+(L1905-L1903)</f>
      </c>
      <c r="P1904" s="7">
        <f>SQRT(O1904^2+N1904^2)</f>
      </c>
      <c r="Q1904" s="7">
        <f>N1904/$P1904</f>
      </c>
      <c r="R1904" s="7">
        <f>O1904/$P1904</f>
      </c>
      <c r="S1904" s="8">
        <f>Q1904^2+R1904^2</f>
      </c>
      <c r="T1904" s="7">
        <f>-R1904</f>
      </c>
      <c r="U1904" s="7">
        <f>Q1904</f>
      </c>
      <c r="V1904" s="7">
        <f>($C$14+($C$15-$C$14)/($D$15-$D$14)*(I1904-$D$14))/2</f>
      </c>
      <c r="W1904" s="7">
        <f>($B$22*I1904^4+$C$22*I1904^3+$D$22*I1904^2+$E$22*I1904+$F$22)/2</f>
      </c>
      <c r="X1904" s="7">
        <f>($W1904)*(T1904)</f>
      </c>
      <c r="Y1904" s="7">
        <f>($W1904)*(U1904)</f>
      </c>
      <c r="Z1904" s="7">
        <f>SQRT(X1904^2+Y1904^2)</f>
      </c>
      <c r="AA1904" s="7">
        <f>$K1904+$X1904</f>
      </c>
      <c r="AB1904" s="7">
        <f>$L1904+$Y1904</f>
      </c>
      <c r="AC1904" s="7">
        <f>$K1904-$X1904</f>
      </c>
      <c r="AD1904" s="7">
        <f>$L1904-$Y1904</f>
      </c>
      <c r="AE1904" s="7">
        <f>AA1904/39.3701</f>
      </c>
      <c r="AF1904" s="7">
        <f>AB1904/39.3701</f>
      </c>
      <c r="AG1904" s="7">
        <f>AC1904/39.3701</f>
      </c>
      <c r="AH1904" s="7">
        <f>AD1904/39.3701</f>
      </c>
      <c r="AI1904" s="1"/>
      <c r="AJ1904" s="1"/>
      <c r="AK1904" s="1"/>
      <c r="AL1904" s="1"/>
      <c r="AM1904" s="2"/>
      <c r="AN1904" s="1"/>
      <c r="AO1904" s="1"/>
      <c r="AP1904" s="1"/>
      <c r="AQ1904" s="1"/>
      <c r="AR1904" s="1"/>
      <c r="AS1904" s="1"/>
      <c r="AT1904" s="1"/>
      <c r="AU1904" s="1"/>
      <c r="AV1904" s="1"/>
      <c r="AW1904" s="1"/>
      <c r="AX1904" s="1"/>
      <c r="AY1904" s="1"/>
      <c r="AZ1904" s="1"/>
      <c r="BA1904" s="1"/>
      <c r="BB1904" s="1"/>
      <c r="BC1904" s="1"/>
      <c r="BD1904" s="1"/>
      <c r="BE1904" s="1"/>
    </row>
    <row x14ac:dyDescent="0.25" r="1905" customHeight="1" ht="18.75">
      <c r="A1905" s="1"/>
      <c r="B1905" s="2"/>
      <c r="C1905" s="2"/>
      <c r="D1905" s="2"/>
      <c r="E1905" s="2"/>
      <c r="F1905" s="2"/>
      <c r="G1905" s="1"/>
      <c r="H1905" s="1"/>
      <c r="I1905" s="7">
        <v>1.902</v>
      </c>
      <c r="J1905" s="7">
        <f>IF((I1905-ROUNDDOWN(I1905,0))=0, 0, (I1905-ROUNDDOWN(I1905,0)))</f>
      </c>
      <c r="K1905" s="7">
        <f>INDIRECT("C$"&amp;2+MIN(2,ROUNDDOWN(I1905,0))*3)*(-$J1905^3+3*$J1905^2-3*$J1905+1)+INDIRECT("C$"&amp;3+MIN(2,ROUNDDOWN(I1905,0))*3)*(3*$J1905^3-6*$J1905^2+3*$J1905)+INDIRECT("C$"&amp;4+MIN(2,ROUNDDOWN(I1905,0))*3)*(-3*$J1905^3+3*$J1905^2)+INDIRECT("C$"&amp;5+MIN(2,ROUNDDOWN(I1905,0))*3)*$J1905^3</f>
      </c>
      <c r="L1905" s="7">
        <f>INDIRECT("D$"&amp;2+MIN(2,ROUNDDOWN(I1905,0))*3)*(-$J1905^3+3*$J1905^2-3*$J1905+1)+INDIRECT("D$"&amp;3+MIN(2,ROUNDDOWN(I1905,0))*3)*(3*$J1905^3-6*$J1905^2+3*$J1905)+INDIRECT("D$"&amp;4+MIN(2,ROUNDDOWN(I1905,0))*3)*(-3*$J1905^3+3*$J1905^2)+INDIRECT("D$"&amp;5+MIN(2,ROUNDDOWN(I1905,0))*3)*$J1905^3</f>
      </c>
      <c r="M1905" s="7">
        <f>SQRT(K1905^2+L1905^2)</f>
      </c>
      <c r="N1905" s="7">
        <f>(K1906-K1904)</f>
      </c>
      <c r="O1905" s="7">
        <f>+(L1906-L1904)</f>
      </c>
      <c r="P1905" s="7">
        <f>SQRT(O1905^2+N1905^2)</f>
      </c>
      <c r="Q1905" s="7">
        <f>N1905/$P1905</f>
      </c>
      <c r="R1905" s="7">
        <f>O1905/$P1905</f>
      </c>
      <c r="S1905" s="7">
        <f>Q1905^2+R1905^2</f>
      </c>
      <c r="T1905" s="7">
        <f>-R1905</f>
      </c>
      <c r="U1905" s="7">
        <f>Q1905</f>
      </c>
      <c r="V1905" s="7">
        <f>($C$14+($C$15-$C$14)/($D$15-$D$14)*(I1905-$D$14))/2</f>
      </c>
      <c r="W1905" s="7">
        <f>($B$22*I1905^4+$C$22*I1905^3+$D$22*I1905^2+$E$22*I1905+$F$22)/2</f>
      </c>
      <c r="X1905" s="7">
        <f>($W1905)*(T1905)</f>
      </c>
      <c r="Y1905" s="7">
        <f>($W1905)*(U1905)</f>
      </c>
      <c r="Z1905" s="7">
        <f>SQRT(X1905^2+Y1905^2)</f>
      </c>
      <c r="AA1905" s="7">
        <f>$K1905+$X1905</f>
      </c>
      <c r="AB1905" s="7">
        <f>$L1905+$Y1905</f>
      </c>
      <c r="AC1905" s="7">
        <f>$K1905-$X1905</f>
      </c>
      <c r="AD1905" s="7">
        <f>$L1905-$Y1905</f>
      </c>
      <c r="AE1905" s="7">
        <f>AA1905/39.3701</f>
      </c>
      <c r="AF1905" s="7">
        <f>AB1905/39.3701</f>
      </c>
      <c r="AG1905" s="7">
        <f>AC1905/39.3701</f>
      </c>
      <c r="AH1905" s="7">
        <f>AD1905/39.3701</f>
      </c>
      <c r="AI1905" s="1"/>
      <c r="AJ1905" s="1"/>
      <c r="AK1905" s="1"/>
      <c r="AL1905" s="1"/>
      <c r="AM1905" s="2"/>
      <c r="AN1905" s="1"/>
      <c r="AO1905" s="1"/>
      <c r="AP1905" s="1"/>
      <c r="AQ1905" s="1"/>
      <c r="AR1905" s="1"/>
      <c r="AS1905" s="1"/>
      <c r="AT1905" s="1"/>
      <c r="AU1905" s="1"/>
      <c r="AV1905" s="1"/>
      <c r="AW1905" s="1"/>
      <c r="AX1905" s="1"/>
      <c r="AY1905" s="1"/>
      <c r="AZ1905" s="1"/>
      <c r="BA1905" s="1"/>
      <c r="BB1905" s="1"/>
      <c r="BC1905" s="1"/>
      <c r="BD1905" s="1"/>
      <c r="BE1905" s="1"/>
    </row>
    <row x14ac:dyDescent="0.25" r="1906" customHeight="1" ht="18.75">
      <c r="A1906" s="1"/>
      <c r="B1906" s="2"/>
      <c r="C1906" s="2"/>
      <c r="D1906" s="2"/>
      <c r="E1906" s="2"/>
      <c r="F1906" s="2"/>
      <c r="G1906" s="1"/>
      <c r="H1906" s="1"/>
      <c r="I1906" s="7">
        <v>1.903</v>
      </c>
      <c r="J1906" s="7">
        <f>IF((I1906-ROUNDDOWN(I1906,0))=0, 0, (I1906-ROUNDDOWN(I1906,0)))</f>
      </c>
      <c r="K1906" s="7">
        <f>INDIRECT("C$"&amp;2+MIN(2,ROUNDDOWN(I1906,0))*3)*(-$J1906^3+3*$J1906^2-3*$J1906+1)+INDIRECT("C$"&amp;3+MIN(2,ROUNDDOWN(I1906,0))*3)*(3*$J1906^3-6*$J1906^2+3*$J1906)+INDIRECT("C$"&amp;4+MIN(2,ROUNDDOWN(I1906,0))*3)*(-3*$J1906^3+3*$J1906^2)+INDIRECT("C$"&amp;5+MIN(2,ROUNDDOWN(I1906,0))*3)*$J1906^3</f>
      </c>
      <c r="L1906" s="7">
        <f>INDIRECT("D$"&amp;2+MIN(2,ROUNDDOWN(I1906,0))*3)*(-$J1906^3+3*$J1906^2-3*$J1906+1)+INDIRECT("D$"&amp;3+MIN(2,ROUNDDOWN(I1906,0))*3)*(3*$J1906^3-6*$J1906^2+3*$J1906)+INDIRECT("D$"&amp;4+MIN(2,ROUNDDOWN(I1906,0))*3)*(-3*$J1906^3+3*$J1906^2)+INDIRECT("D$"&amp;5+MIN(2,ROUNDDOWN(I1906,0))*3)*$J1906^3</f>
      </c>
      <c r="M1906" s="7">
        <f>SQRT(K1906^2+L1906^2)</f>
      </c>
      <c r="N1906" s="7">
        <f>(K1907-K1905)</f>
      </c>
      <c r="O1906" s="7">
        <f>+(L1907-L1905)</f>
      </c>
      <c r="P1906" s="7">
        <f>SQRT(O1906^2+N1906^2)</f>
      </c>
      <c r="Q1906" s="7">
        <f>N1906/$P1906</f>
      </c>
      <c r="R1906" s="7">
        <f>O1906/$P1906</f>
      </c>
      <c r="S1906" s="7">
        <f>Q1906^2+R1906^2</f>
      </c>
      <c r="T1906" s="7">
        <f>-R1906</f>
      </c>
      <c r="U1906" s="7">
        <f>Q1906</f>
      </c>
      <c r="V1906" s="7">
        <f>($C$14+($C$15-$C$14)/($D$15-$D$14)*(I1906-$D$14))/2</f>
      </c>
      <c r="W1906" s="7">
        <f>($B$22*I1906^4+$C$22*I1906^3+$D$22*I1906^2+$E$22*I1906+$F$22)/2</f>
      </c>
      <c r="X1906" s="7">
        <f>($W1906)*(T1906)</f>
      </c>
      <c r="Y1906" s="7">
        <f>($W1906)*(U1906)</f>
      </c>
      <c r="Z1906" s="7">
        <f>SQRT(X1906^2+Y1906^2)</f>
      </c>
      <c r="AA1906" s="7">
        <f>$K1906+$X1906</f>
      </c>
      <c r="AB1906" s="7">
        <f>$L1906+$Y1906</f>
      </c>
      <c r="AC1906" s="7">
        <f>$K1906-$X1906</f>
      </c>
      <c r="AD1906" s="7">
        <f>$L1906-$Y1906</f>
      </c>
      <c r="AE1906" s="7">
        <f>AA1906/39.3701</f>
      </c>
      <c r="AF1906" s="7">
        <f>AB1906/39.3701</f>
      </c>
      <c r="AG1906" s="7">
        <f>AC1906/39.3701</f>
      </c>
      <c r="AH1906" s="7">
        <f>AD1906/39.3701</f>
      </c>
      <c r="AI1906" s="1"/>
      <c r="AJ1906" s="1"/>
      <c r="AK1906" s="1"/>
      <c r="AL1906" s="1"/>
      <c r="AM1906" s="2"/>
      <c r="AN1906" s="1"/>
      <c r="AO1906" s="1"/>
      <c r="AP1906" s="1"/>
      <c r="AQ1906" s="1"/>
      <c r="AR1906" s="1"/>
      <c r="AS1906" s="1"/>
      <c r="AT1906" s="1"/>
      <c r="AU1906" s="1"/>
      <c r="AV1906" s="1"/>
      <c r="AW1906" s="1"/>
      <c r="AX1906" s="1"/>
      <c r="AY1906" s="1"/>
      <c r="AZ1906" s="1"/>
      <c r="BA1906" s="1"/>
      <c r="BB1906" s="1"/>
      <c r="BC1906" s="1"/>
      <c r="BD1906" s="1"/>
      <c r="BE1906" s="1"/>
    </row>
    <row x14ac:dyDescent="0.25" r="1907" customHeight="1" ht="18.75">
      <c r="A1907" s="1"/>
      <c r="B1907" s="2"/>
      <c r="C1907" s="2"/>
      <c r="D1907" s="2"/>
      <c r="E1907" s="2"/>
      <c r="F1907" s="2"/>
      <c r="G1907" s="1"/>
      <c r="H1907" s="1"/>
      <c r="I1907" s="7">
        <v>1.904</v>
      </c>
      <c r="J1907" s="7">
        <f>IF((I1907-ROUNDDOWN(I1907,0))=0, 0, (I1907-ROUNDDOWN(I1907,0)))</f>
      </c>
      <c r="K1907" s="7">
        <f>INDIRECT("C$"&amp;2+MIN(2,ROUNDDOWN(I1907,0))*3)*(-$J1907^3+3*$J1907^2-3*$J1907+1)+INDIRECT("C$"&amp;3+MIN(2,ROUNDDOWN(I1907,0))*3)*(3*$J1907^3-6*$J1907^2+3*$J1907)+INDIRECT("C$"&amp;4+MIN(2,ROUNDDOWN(I1907,0))*3)*(-3*$J1907^3+3*$J1907^2)+INDIRECT("C$"&amp;5+MIN(2,ROUNDDOWN(I1907,0))*3)*$J1907^3</f>
      </c>
      <c r="L1907" s="7">
        <f>INDIRECT("D$"&amp;2+MIN(2,ROUNDDOWN(I1907,0))*3)*(-$J1907^3+3*$J1907^2-3*$J1907+1)+INDIRECT("D$"&amp;3+MIN(2,ROUNDDOWN(I1907,0))*3)*(3*$J1907^3-6*$J1907^2+3*$J1907)+INDIRECT("D$"&amp;4+MIN(2,ROUNDDOWN(I1907,0))*3)*(-3*$J1907^3+3*$J1907^2)+INDIRECT("D$"&amp;5+MIN(2,ROUNDDOWN(I1907,0))*3)*$J1907^3</f>
      </c>
      <c r="M1907" s="7">
        <f>SQRT(K1907^2+L1907^2)</f>
      </c>
      <c r="N1907" s="7">
        <f>(K1908-K1906)</f>
      </c>
      <c r="O1907" s="7">
        <f>+(L1908-L1906)</f>
      </c>
      <c r="P1907" s="7">
        <f>SQRT(O1907^2+N1907^2)</f>
      </c>
      <c r="Q1907" s="7">
        <f>N1907/$P1907</f>
      </c>
      <c r="R1907" s="7">
        <f>O1907/$P1907</f>
      </c>
      <c r="S1907" s="7">
        <f>Q1907^2+R1907^2</f>
      </c>
      <c r="T1907" s="7">
        <f>-R1907</f>
      </c>
      <c r="U1907" s="7">
        <f>Q1907</f>
      </c>
      <c r="V1907" s="7">
        <f>($C$14+($C$15-$C$14)/($D$15-$D$14)*(I1907-$D$14))/2</f>
      </c>
      <c r="W1907" s="7">
        <f>($B$22*I1907^4+$C$22*I1907^3+$D$22*I1907^2+$E$22*I1907+$F$22)/2</f>
      </c>
      <c r="X1907" s="7">
        <f>($W1907)*(T1907)</f>
      </c>
      <c r="Y1907" s="7">
        <f>($W1907)*(U1907)</f>
      </c>
      <c r="Z1907" s="7">
        <f>SQRT(X1907^2+Y1907^2)</f>
      </c>
      <c r="AA1907" s="7">
        <f>$K1907+$X1907</f>
      </c>
      <c r="AB1907" s="7">
        <f>$L1907+$Y1907</f>
      </c>
      <c r="AC1907" s="7">
        <f>$K1907-$X1907</f>
      </c>
      <c r="AD1907" s="7">
        <f>$L1907-$Y1907</f>
      </c>
      <c r="AE1907" s="7">
        <f>AA1907/39.3701</f>
      </c>
      <c r="AF1907" s="7">
        <f>AB1907/39.3701</f>
      </c>
      <c r="AG1907" s="7">
        <f>AC1907/39.3701</f>
      </c>
      <c r="AH1907" s="7">
        <f>AD1907/39.3701</f>
      </c>
      <c r="AI1907" s="1"/>
      <c r="AJ1907" s="1"/>
      <c r="AK1907" s="1"/>
      <c r="AL1907" s="1"/>
      <c r="AM1907" s="2"/>
      <c r="AN1907" s="1"/>
      <c r="AO1907" s="1"/>
      <c r="AP1907" s="1"/>
      <c r="AQ1907" s="1"/>
      <c r="AR1907" s="1"/>
      <c r="AS1907" s="1"/>
      <c r="AT1907" s="1"/>
      <c r="AU1907" s="1"/>
      <c r="AV1907" s="1"/>
      <c r="AW1907" s="1"/>
      <c r="AX1907" s="1"/>
      <c r="AY1907" s="1"/>
      <c r="AZ1907" s="1"/>
      <c r="BA1907" s="1"/>
      <c r="BB1907" s="1"/>
      <c r="BC1907" s="1"/>
      <c r="BD1907" s="1"/>
      <c r="BE1907" s="1"/>
    </row>
    <row x14ac:dyDescent="0.25" r="1908" customHeight="1" ht="18.75">
      <c r="A1908" s="1"/>
      <c r="B1908" s="2"/>
      <c r="C1908" s="2"/>
      <c r="D1908" s="2"/>
      <c r="E1908" s="2"/>
      <c r="F1908" s="2"/>
      <c r="G1908" s="1"/>
      <c r="H1908" s="1"/>
      <c r="I1908" s="7">
        <v>1.905</v>
      </c>
      <c r="J1908" s="7">
        <f>IF((I1908-ROUNDDOWN(I1908,0))=0, 0, (I1908-ROUNDDOWN(I1908,0)))</f>
      </c>
      <c r="K1908" s="7">
        <f>INDIRECT("C$"&amp;2+MIN(2,ROUNDDOWN(I1908,0))*3)*(-$J1908^3+3*$J1908^2-3*$J1908+1)+INDIRECT("C$"&amp;3+MIN(2,ROUNDDOWN(I1908,0))*3)*(3*$J1908^3-6*$J1908^2+3*$J1908)+INDIRECT("C$"&amp;4+MIN(2,ROUNDDOWN(I1908,0))*3)*(-3*$J1908^3+3*$J1908^2)+INDIRECT("C$"&amp;5+MIN(2,ROUNDDOWN(I1908,0))*3)*$J1908^3</f>
      </c>
      <c r="L1908" s="7">
        <f>INDIRECT("D$"&amp;2+MIN(2,ROUNDDOWN(I1908,0))*3)*(-$J1908^3+3*$J1908^2-3*$J1908+1)+INDIRECT("D$"&amp;3+MIN(2,ROUNDDOWN(I1908,0))*3)*(3*$J1908^3-6*$J1908^2+3*$J1908)+INDIRECT("D$"&amp;4+MIN(2,ROUNDDOWN(I1908,0))*3)*(-3*$J1908^3+3*$J1908^2)+INDIRECT("D$"&amp;5+MIN(2,ROUNDDOWN(I1908,0))*3)*$J1908^3</f>
      </c>
      <c r="M1908" s="7">
        <f>SQRT(K1908^2+L1908^2)</f>
      </c>
      <c r="N1908" s="7">
        <f>(K1909-K1907)</f>
      </c>
      <c r="O1908" s="7">
        <f>+(L1909-L1907)</f>
      </c>
      <c r="P1908" s="7">
        <f>SQRT(O1908^2+N1908^2)</f>
      </c>
      <c r="Q1908" s="7">
        <f>N1908/$P1908</f>
      </c>
      <c r="R1908" s="7">
        <f>O1908/$P1908</f>
      </c>
      <c r="S1908" s="7">
        <f>Q1908^2+R1908^2</f>
      </c>
      <c r="T1908" s="7">
        <f>-R1908</f>
      </c>
      <c r="U1908" s="7">
        <f>Q1908</f>
      </c>
      <c r="V1908" s="7">
        <f>($C$14+($C$15-$C$14)/($D$15-$D$14)*(I1908-$D$14))/2</f>
      </c>
      <c r="W1908" s="7">
        <f>($B$22*I1908^4+$C$22*I1908^3+$D$22*I1908^2+$E$22*I1908+$F$22)/2</f>
      </c>
      <c r="X1908" s="7">
        <f>($W1908)*(T1908)</f>
      </c>
      <c r="Y1908" s="7">
        <f>($W1908)*(U1908)</f>
      </c>
      <c r="Z1908" s="7">
        <f>SQRT(X1908^2+Y1908^2)</f>
      </c>
      <c r="AA1908" s="7">
        <f>$K1908+$X1908</f>
      </c>
      <c r="AB1908" s="7">
        <f>$L1908+$Y1908</f>
      </c>
      <c r="AC1908" s="7">
        <f>$K1908-$X1908</f>
      </c>
      <c r="AD1908" s="7">
        <f>$L1908-$Y1908</f>
      </c>
      <c r="AE1908" s="7">
        <f>AA1908/39.3701</f>
      </c>
      <c r="AF1908" s="7">
        <f>AB1908/39.3701</f>
      </c>
      <c r="AG1908" s="7">
        <f>AC1908/39.3701</f>
      </c>
      <c r="AH1908" s="7">
        <f>AD1908/39.3701</f>
      </c>
      <c r="AI1908" s="1"/>
      <c r="AJ1908" s="1"/>
      <c r="AK1908" s="1"/>
      <c r="AL1908" s="1"/>
      <c r="AM1908" s="2"/>
      <c r="AN1908" s="1"/>
      <c r="AO1908" s="1"/>
      <c r="AP1908" s="1"/>
      <c r="AQ1908" s="1"/>
      <c r="AR1908" s="1"/>
      <c r="AS1908" s="1"/>
      <c r="AT1908" s="1"/>
      <c r="AU1908" s="1"/>
      <c r="AV1908" s="1"/>
      <c r="AW1908" s="1"/>
      <c r="AX1908" s="1"/>
      <c r="AY1908" s="1"/>
      <c r="AZ1908" s="1"/>
      <c r="BA1908" s="1"/>
      <c r="BB1908" s="1"/>
      <c r="BC1908" s="1"/>
      <c r="BD1908" s="1"/>
      <c r="BE1908" s="1"/>
    </row>
    <row x14ac:dyDescent="0.25" r="1909" customHeight="1" ht="18.75">
      <c r="A1909" s="1"/>
      <c r="B1909" s="2"/>
      <c r="C1909" s="2"/>
      <c r="D1909" s="2"/>
      <c r="E1909" s="2"/>
      <c r="F1909" s="2"/>
      <c r="G1909" s="1"/>
      <c r="H1909" s="1"/>
      <c r="I1909" s="7">
        <v>1.906</v>
      </c>
      <c r="J1909" s="7">
        <f>IF((I1909-ROUNDDOWN(I1909,0))=0, 0, (I1909-ROUNDDOWN(I1909,0)))</f>
      </c>
      <c r="K1909" s="7">
        <f>INDIRECT("C$"&amp;2+MIN(2,ROUNDDOWN(I1909,0))*3)*(-$J1909^3+3*$J1909^2-3*$J1909+1)+INDIRECT("C$"&amp;3+MIN(2,ROUNDDOWN(I1909,0))*3)*(3*$J1909^3-6*$J1909^2+3*$J1909)+INDIRECT("C$"&amp;4+MIN(2,ROUNDDOWN(I1909,0))*3)*(-3*$J1909^3+3*$J1909^2)+INDIRECT("C$"&amp;5+MIN(2,ROUNDDOWN(I1909,0))*3)*$J1909^3</f>
      </c>
      <c r="L1909" s="7">
        <f>INDIRECT("D$"&amp;2+MIN(2,ROUNDDOWN(I1909,0))*3)*(-$J1909^3+3*$J1909^2-3*$J1909+1)+INDIRECT("D$"&amp;3+MIN(2,ROUNDDOWN(I1909,0))*3)*(3*$J1909^3-6*$J1909^2+3*$J1909)+INDIRECT("D$"&amp;4+MIN(2,ROUNDDOWN(I1909,0))*3)*(-3*$J1909^3+3*$J1909^2)+INDIRECT("D$"&amp;5+MIN(2,ROUNDDOWN(I1909,0))*3)*$J1909^3</f>
      </c>
      <c r="M1909" s="7">
        <f>SQRT(K1909^2+L1909^2)</f>
      </c>
      <c r="N1909" s="7">
        <f>(K1910-K1908)</f>
      </c>
      <c r="O1909" s="7">
        <f>+(L1910-L1908)</f>
      </c>
      <c r="P1909" s="7">
        <f>SQRT(O1909^2+N1909^2)</f>
      </c>
      <c r="Q1909" s="7">
        <f>N1909/$P1909</f>
      </c>
      <c r="R1909" s="7">
        <f>O1909/$P1909</f>
      </c>
      <c r="S1909" s="7">
        <f>Q1909^2+R1909^2</f>
      </c>
      <c r="T1909" s="7">
        <f>-R1909</f>
      </c>
      <c r="U1909" s="7">
        <f>Q1909</f>
      </c>
      <c r="V1909" s="7">
        <f>($C$14+($C$15-$C$14)/($D$15-$D$14)*(I1909-$D$14))/2</f>
      </c>
      <c r="W1909" s="7">
        <f>($B$22*I1909^4+$C$22*I1909^3+$D$22*I1909^2+$E$22*I1909+$F$22)/2</f>
      </c>
      <c r="X1909" s="7">
        <f>($W1909)*(T1909)</f>
      </c>
      <c r="Y1909" s="7">
        <f>($W1909)*(U1909)</f>
      </c>
      <c r="Z1909" s="7">
        <f>SQRT(X1909^2+Y1909^2)</f>
      </c>
      <c r="AA1909" s="7">
        <f>$K1909+$X1909</f>
      </c>
      <c r="AB1909" s="7">
        <f>$L1909+$Y1909</f>
      </c>
      <c r="AC1909" s="7">
        <f>$K1909-$X1909</f>
      </c>
      <c r="AD1909" s="7">
        <f>$L1909-$Y1909</f>
      </c>
      <c r="AE1909" s="7">
        <f>AA1909/39.3701</f>
      </c>
      <c r="AF1909" s="7">
        <f>AB1909/39.3701</f>
      </c>
      <c r="AG1909" s="7">
        <f>AC1909/39.3701</f>
      </c>
      <c r="AH1909" s="7">
        <f>AD1909/39.3701</f>
      </c>
      <c r="AI1909" s="1"/>
      <c r="AJ1909" s="1"/>
      <c r="AK1909" s="1"/>
      <c r="AL1909" s="1"/>
      <c r="AM1909" s="2"/>
      <c r="AN1909" s="1"/>
      <c r="AO1909" s="1"/>
      <c r="AP1909" s="1"/>
      <c r="AQ1909" s="1"/>
      <c r="AR1909" s="1"/>
      <c r="AS1909" s="1"/>
      <c r="AT1909" s="1"/>
      <c r="AU1909" s="1"/>
      <c r="AV1909" s="1"/>
      <c r="AW1909" s="1"/>
      <c r="AX1909" s="1"/>
      <c r="AY1909" s="1"/>
      <c r="AZ1909" s="1"/>
      <c r="BA1909" s="1"/>
      <c r="BB1909" s="1"/>
      <c r="BC1909" s="1"/>
      <c r="BD1909" s="1"/>
      <c r="BE1909" s="1"/>
    </row>
    <row x14ac:dyDescent="0.25" r="1910" customHeight="1" ht="18.75">
      <c r="A1910" s="1"/>
      <c r="B1910" s="2"/>
      <c r="C1910" s="2"/>
      <c r="D1910" s="2"/>
      <c r="E1910" s="2"/>
      <c r="F1910" s="2"/>
      <c r="G1910" s="1"/>
      <c r="H1910" s="1"/>
      <c r="I1910" s="7">
        <v>1.907</v>
      </c>
      <c r="J1910" s="7">
        <f>IF((I1910-ROUNDDOWN(I1910,0))=0, 0, (I1910-ROUNDDOWN(I1910,0)))</f>
      </c>
      <c r="K1910" s="7">
        <f>INDIRECT("C$"&amp;2+MIN(2,ROUNDDOWN(I1910,0))*3)*(-$J1910^3+3*$J1910^2-3*$J1910+1)+INDIRECT("C$"&amp;3+MIN(2,ROUNDDOWN(I1910,0))*3)*(3*$J1910^3-6*$J1910^2+3*$J1910)+INDIRECT("C$"&amp;4+MIN(2,ROUNDDOWN(I1910,0))*3)*(-3*$J1910^3+3*$J1910^2)+INDIRECT("C$"&amp;5+MIN(2,ROUNDDOWN(I1910,0))*3)*$J1910^3</f>
      </c>
      <c r="L1910" s="7">
        <f>INDIRECT("D$"&amp;2+MIN(2,ROUNDDOWN(I1910,0))*3)*(-$J1910^3+3*$J1910^2-3*$J1910+1)+INDIRECT("D$"&amp;3+MIN(2,ROUNDDOWN(I1910,0))*3)*(3*$J1910^3-6*$J1910^2+3*$J1910)+INDIRECT("D$"&amp;4+MIN(2,ROUNDDOWN(I1910,0))*3)*(-3*$J1910^3+3*$J1910^2)+INDIRECT("D$"&amp;5+MIN(2,ROUNDDOWN(I1910,0))*3)*$J1910^3</f>
      </c>
      <c r="M1910" s="7">
        <f>SQRT(K1910^2+L1910^2)</f>
      </c>
      <c r="N1910" s="7">
        <f>(K1911-K1909)</f>
      </c>
      <c r="O1910" s="7">
        <f>+(L1911-L1909)</f>
      </c>
      <c r="P1910" s="7">
        <f>SQRT(O1910^2+N1910^2)</f>
      </c>
      <c r="Q1910" s="7">
        <f>N1910/$P1910</f>
      </c>
      <c r="R1910" s="7">
        <f>O1910/$P1910</f>
      </c>
      <c r="S1910" s="8">
        <f>Q1910^2+R1910^2</f>
      </c>
      <c r="T1910" s="7">
        <f>-R1910</f>
      </c>
      <c r="U1910" s="7">
        <f>Q1910</f>
      </c>
      <c r="V1910" s="7">
        <f>($C$14+($C$15-$C$14)/($D$15-$D$14)*(I1910-$D$14))/2</f>
      </c>
      <c r="W1910" s="7">
        <f>($B$22*I1910^4+$C$22*I1910^3+$D$22*I1910^2+$E$22*I1910+$F$22)/2</f>
      </c>
      <c r="X1910" s="7">
        <f>($W1910)*(T1910)</f>
      </c>
      <c r="Y1910" s="7">
        <f>($W1910)*(U1910)</f>
      </c>
      <c r="Z1910" s="7">
        <f>SQRT(X1910^2+Y1910^2)</f>
      </c>
      <c r="AA1910" s="7">
        <f>$K1910+$X1910</f>
      </c>
      <c r="AB1910" s="7">
        <f>$L1910+$Y1910</f>
      </c>
      <c r="AC1910" s="7">
        <f>$K1910-$X1910</f>
      </c>
      <c r="AD1910" s="7">
        <f>$L1910-$Y1910</f>
      </c>
      <c r="AE1910" s="7">
        <f>AA1910/39.3701</f>
      </c>
      <c r="AF1910" s="7">
        <f>AB1910/39.3701</f>
      </c>
      <c r="AG1910" s="7">
        <f>AC1910/39.3701</f>
      </c>
      <c r="AH1910" s="7">
        <f>AD1910/39.3701</f>
      </c>
      <c r="AI1910" s="1"/>
      <c r="AJ1910" s="1"/>
      <c r="AK1910" s="1"/>
      <c r="AL1910" s="1"/>
      <c r="AM1910" s="2"/>
      <c r="AN1910" s="1"/>
      <c r="AO1910" s="1"/>
      <c r="AP1910" s="1"/>
      <c r="AQ1910" s="1"/>
      <c r="AR1910" s="1"/>
      <c r="AS1910" s="1"/>
      <c r="AT1910" s="1"/>
      <c r="AU1910" s="1"/>
      <c r="AV1910" s="1"/>
      <c r="AW1910" s="1"/>
      <c r="AX1910" s="1"/>
      <c r="AY1910" s="1"/>
      <c r="AZ1910" s="1"/>
      <c r="BA1910" s="1"/>
      <c r="BB1910" s="1"/>
      <c r="BC1910" s="1"/>
      <c r="BD1910" s="1"/>
      <c r="BE1910" s="1"/>
    </row>
    <row x14ac:dyDescent="0.25" r="1911" customHeight="1" ht="18.75">
      <c r="A1911" s="1"/>
      <c r="B1911" s="2"/>
      <c r="C1911" s="2"/>
      <c r="D1911" s="2"/>
      <c r="E1911" s="2"/>
      <c r="F1911" s="2"/>
      <c r="G1911" s="1"/>
      <c r="H1911" s="1"/>
      <c r="I1911" s="7">
        <v>1.908</v>
      </c>
      <c r="J1911" s="7">
        <f>IF((I1911-ROUNDDOWN(I1911,0))=0, 0, (I1911-ROUNDDOWN(I1911,0)))</f>
      </c>
      <c r="K1911" s="7">
        <f>INDIRECT("C$"&amp;2+MIN(2,ROUNDDOWN(I1911,0))*3)*(-$J1911^3+3*$J1911^2-3*$J1911+1)+INDIRECT("C$"&amp;3+MIN(2,ROUNDDOWN(I1911,0))*3)*(3*$J1911^3-6*$J1911^2+3*$J1911)+INDIRECT("C$"&amp;4+MIN(2,ROUNDDOWN(I1911,0))*3)*(-3*$J1911^3+3*$J1911^2)+INDIRECT("C$"&amp;5+MIN(2,ROUNDDOWN(I1911,0))*3)*$J1911^3</f>
      </c>
      <c r="L1911" s="7">
        <f>INDIRECT("D$"&amp;2+MIN(2,ROUNDDOWN(I1911,0))*3)*(-$J1911^3+3*$J1911^2-3*$J1911+1)+INDIRECT("D$"&amp;3+MIN(2,ROUNDDOWN(I1911,0))*3)*(3*$J1911^3-6*$J1911^2+3*$J1911)+INDIRECT("D$"&amp;4+MIN(2,ROUNDDOWN(I1911,0))*3)*(-3*$J1911^3+3*$J1911^2)+INDIRECT("D$"&amp;5+MIN(2,ROUNDDOWN(I1911,0))*3)*$J1911^3</f>
      </c>
      <c r="M1911" s="7">
        <f>SQRT(K1911^2+L1911^2)</f>
      </c>
      <c r="N1911" s="7">
        <f>(K1912-K1910)</f>
      </c>
      <c r="O1911" s="7">
        <f>+(L1912-L1910)</f>
      </c>
      <c r="P1911" s="7">
        <f>SQRT(O1911^2+N1911^2)</f>
      </c>
      <c r="Q1911" s="7">
        <f>N1911/$P1911</f>
      </c>
      <c r="R1911" s="7">
        <f>O1911/$P1911</f>
      </c>
      <c r="S1911" s="8">
        <f>Q1911^2+R1911^2</f>
      </c>
      <c r="T1911" s="7">
        <f>-R1911</f>
      </c>
      <c r="U1911" s="7">
        <f>Q1911</f>
      </c>
      <c r="V1911" s="7">
        <f>($C$14+($C$15-$C$14)/($D$15-$D$14)*(I1911-$D$14))/2</f>
      </c>
      <c r="W1911" s="7">
        <f>($B$22*I1911^4+$C$22*I1911^3+$D$22*I1911^2+$E$22*I1911+$F$22)/2</f>
      </c>
      <c r="X1911" s="7">
        <f>($W1911)*(T1911)</f>
      </c>
      <c r="Y1911" s="7">
        <f>($W1911)*(U1911)</f>
      </c>
      <c r="Z1911" s="7">
        <f>SQRT(X1911^2+Y1911^2)</f>
      </c>
      <c r="AA1911" s="7">
        <f>$K1911+$X1911</f>
      </c>
      <c r="AB1911" s="7">
        <f>$L1911+$Y1911</f>
      </c>
      <c r="AC1911" s="7">
        <f>$K1911-$X1911</f>
      </c>
      <c r="AD1911" s="7">
        <f>$L1911-$Y1911</f>
      </c>
      <c r="AE1911" s="7">
        <f>AA1911/39.3701</f>
      </c>
      <c r="AF1911" s="7">
        <f>AB1911/39.3701</f>
      </c>
      <c r="AG1911" s="7">
        <f>AC1911/39.3701</f>
      </c>
      <c r="AH1911" s="7">
        <f>AD1911/39.3701</f>
      </c>
      <c r="AI1911" s="1"/>
      <c r="AJ1911" s="1"/>
      <c r="AK1911" s="1"/>
      <c r="AL1911" s="1"/>
      <c r="AM1911" s="2"/>
      <c r="AN1911" s="1"/>
      <c r="AO1911" s="1"/>
      <c r="AP1911" s="1"/>
      <c r="AQ1911" s="1"/>
      <c r="AR1911" s="1"/>
      <c r="AS1911" s="1"/>
      <c r="AT1911" s="1"/>
      <c r="AU1911" s="1"/>
      <c r="AV1911" s="1"/>
      <c r="AW1911" s="1"/>
      <c r="AX1911" s="1"/>
      <c r="AY1911" s="1"/>
      <c r="AZ1911" s="1"/>
      <c r="BA1911" s="1"/>
      <c r="BB1911" s="1"/>
      <c r="BC1911" s="1"/>
      <c r="BD1911" s="1"/>
      <c r="BE1911" s="1"/>
    </row>
    <row x14ac:dyDescent="0.25" r="1912" customHeight="1" ht="18.75">
      <c r="A1912" s="1"/>
      <c r="B1912" s="2"/>
      <c r="C1912" s="2"/>
      <c r="D1912" s="2"/>
      <c r="E1912" s="2"/>
      <c r="F1912" s="2"/>
      <c r="G1912" s="1"/>
      <c r="H1912" s="1"/>
      <c r="I1912" s="7">
        <v>1.909</v>
      </c>
      <c r="J1912" s="7">
        <f>IF((I1912-ROUNDDOWN(I1912,0))=0, 0, (I1912-ROUNDDOWN(I1912,0)))</f>
      </c>
      <c r="K1912" s="7">
        <f>INDIRECT("C$"&amp;2+MIN(2,ROUNDDOWN(I1912,0))*3)*(-$J1912^3+3*$J1912^2-3*$J1912+1)+INDIRECT("C$"&amp;3+MIN(2,ROUNDDOWN(I1912,0))*3)*(3*$J1912^3-6*$J1912^2+3*$J1912)+INDIRECT("C$"&amp;4+MIN(2,ROUNDDOWN(I1912,0))*3)*(-3*$J1912^3+3*$J1912^2)+INDIRECT("C$"&amp;5+MIN(2,ROUNDDOWN(I1912,0))*3)*$J1912^3</f>
      </c>
      <c r="L1912" s="7">
        <f>INDIRECT("D$"&amp;2+MIN(2,ROUNDDOWN(I1912,0))*3)*(-$J1912^3+3*$J1912^2-3*$J1912+1)+INDIRECT("D$"&amp;3+MIN(2,ROUNDDOWN(I1912,0))*3)*(3*$J1912^3-6*$J1912^2+3*$J1912)+INDIRECT("D$"&amp;4+MIN(2,ROUNDDOWN(I1912,0))*3)*(-3*$J1912^3+3*$J1912^2)+INDIRECT("D$"&amp;5+MIN(2,ROUNDDOWN(I1912,0))*3)*$J1912^3</f>
      </c>
      <c r="M1912" s="7">
        <f>SQRT(K1912^2+L1912^2)</f>
      </c>
      <c r="N1912" s="7">
        <f>(K1913-K1911)</f>
      </c>
      <c r="O1912" s="7">
        <f>+(L1913-L1911)</f>
      </c>
      <c r="P1912" s="7">
        <f>SQRT(O1912^2+N1912^2)</f>
      </c>
      <c r="Q1912" s="7">
        <f>N1912/$P1912</f>
      </c>
      <c r="R1912" s="7">
        <f>O1912/$P1912</f>
      </c>
      <c r="S1912" s="7">
        <f>Q1912^2+R1912^2</f>
      </c>
      <c r="T1912" s="7">
        <f>-R1912</f>
      </c>
      <c r="U1912" s="7">
        <f>Q1912</f>
      </c>
      <c r="V1912" s="7">
        <f>($C$14+($C$15-$C$14)/($D$15-$D$14)*(I1912-$D$14))/2</f>
      </c>
      <c r="W1912" s="7">
        <f>($B$22*I1912^4+$C$22*I1912^3+$D$22*I1912^2+$E$22*I1912+$F$22)/2</f>
      </c>
      <c r="X1912" s="7">
        <f>($W1912)*(T1912)</f>
      </c>
      <c r="Y1912" s="7">
        <f>($W1912)*(U1912)</f>
      </c>
      <c r="Z1912" s="7">
        <f>SQRT(X1912^2+Y1912^2)</f>
      </c>
      <c r="AA1912" s="7">
        <f>$K1912+$X1912</f>
      </c>
      <c r="AB1912" s="7">
        <f>$L1912+$Y1912</f>
      </c>
      <c r="AC1912" s="7">
        <f>$K1912-$X1912</f>
      </c>
      <c r="AD1912" s="7">
        <f>$L1912-$Y1912</f>
      </c>
      <c r="AE1912" s="7">
        <f>AA1912/39.3701</f>
      </c>
      <c r="AF1912" s="7">
        <f>AB1912/39.3701</f>
      </c>
      <c r="AG1912" s="7">
        <f>AC1912/39.3701</f>
      </c>
      <c r="AH1912" s="7">
        <f>AD1912/39.3701</f>
      </c>
      <c r="AI1912" s="1"/>
      <c r="AJ1912" s="1"/>
      <c r="AK1912" s="1"/>
      <c r="AL1912" s="1"/>
      <c r="AM1912" s="2"/>
      <c r="AN1912" s="1"/>
      <c r="AO1912" s="1"/>
      <c r="AP1912" s="1"/>
      <c r="AQ1912" s="1"/>
      <c r="AR1912" s="1"/>
      <c r="AS1912" s="1"/>
      <c r="AT1912" s="1"/>
      <c r="AU1912" s="1"/>
      <c r="AV1912" s="1"/>
      <c r="AW1912" s="1"/>
      <c r="AX1912" s="1"/>
      <c r="AY1912" s="1"/>
      <c r="AZ1912" s="1"/>
      <c r="BA1912" s="1"/>
      <c r="BB1912" s="1"/>
      <c r="BC1912" s="1"/>
      <c r="BD1912" s="1"/>
      <c r="BE1912" s="1"/>
    </row>
    <row x14ac:dyDescent="0.25" r="1913" customHeight="1" ht="18.75">
      <c r="A1913" s="1"/>
      <c r="B1913" s="2"/>
      <c r="C1913" s="2"/>
      <c r="D1913" s="2"/>
      <c r="E1913" s="2"/>
      <c r="F1913" s="2"/>
      <c r="G1913" s="1"/>
      <c r="H1913" s="1"/>
      <c r="I1913" s="7">
        <v>1.91</v>
      </c>
      <c r="J1913" s="7">
        <f>IF((I1913-ROUNDDOWN(I1913,0))=0, 0, (I1913-ROUNDDOWN(I1913,0)))</f>
      </c>
      <c r="K1913" s="7">
        <f>INDIRECT("C$"&amp;2+MIN(2,ROUNDDOWN(I1913,0))*3)*(-$J1913^3+3*$J1913^2-3*$J1913+1)+INDIRECT("C$"&amp;3+MIN(2,ROUNDDOWN(I1913,0))*3)*(3*$J1913^3-6*$J1913^2+3*$J1913)+INDIRECT("C$"&amp;4+MIN(2,ROUNDDOWN(I1913,0))*3)*(-3*$J1913^3+3*$J1913^2)+INDIRECT("C$"&amp;5+MIN(2,ROUNDDOWN(I1913,0))*3)*$J1913^3</f>
      </c>
      <c r="L1913" s="7">
        <f>INDIRECT("D$"&amp;2+MIN(2,ROUNDDOWN(I1913,0))*3)*(-$J1913^3+3*$J1913^2-3*$J1913+1)+INDIRECT("D$"&amp;3+MIN(2,ROUNDDOWN(I1913,0))*3)*(3*$J1913^3-6*$J1913^2+3*$J1913)+INDIRECT("D$"&amp;4+MIN(2,ROUNDDOWN(I1913,0))*3)*(-3*$J1913^3+3*$J1913^2)+INDIRECT("D$"&amp;5+MIN(2,ROUNDDOWN(I1913,0))*3)*$J1913^3</f>
      </c>
      <c r="M1913" s="7">
        <f>SQRT(K1913^2+L1913^2)</f>
      </c>
      <c r="N1913" s="7">
        <f>(K1914-K1912)</f>
      </c>
      <c r="O1913" s="7">
        <f>+(L1914-L1912)</f>
      </c>
      <c r="P1913" s="7">
        <f>SQRT(O1913^2+N1913^2)</f>
      </c>
      <c r="Q1913" s="7">
        <f>N1913/$P1913</f>
      </c>
      <c r="R1913" s="7">
        <f>O1913/$P1913</f>
      </c>
      <c r="S1913" s="7">
        <f>Q1913^2+R1913^2</f>
      </c>
      <c r="T1913" s="7">
        <f>-R1913</f>
      </c>
      <c r="U1913" s="7">
        <f>Q1913</f>
      </c>
      <c r="V1913" s="7">
        <f>($C$14+($C$15-$C$14)/($D$15-$D$14)*(I1913-$D$14))/2</f>
      </c>
      <c r="W1913" s="7">
        <f>($B$22*I1913^4+$C$22*I1913^3+$D$22*I1913^2+$E$22*I1913+$F$22)/2</f>
      </c>
      <c r="X1913" s="7">
        <f>($W1913)*(T1913)</f>
      </c>
      <c r="Y1913" s="7">
        <f>($W1913)*(U1913)</f>
      </c>
      <c r="Z1913" s="7">
        <f>SQRT(X1913^2+Y1913^2)</f>
      </c>
      <c r="AA1913" s="7">
        <f>$K1913+$X1913</f>
      </c>
      <c r="AB1913" s="7">
        <f>$L1913+$Y1913</f>
      </c>
      <c r="AC1913" s="7">
        <f>$K1913-$X1913</f>
      </c>
      <c r="AD1913" s="7">
        <f>$L1913-$Y1913</f>
      </c>
      <c r="AE1913" s="7">
        <f>AA1913/39.3701</f>
      </c>
      <c r="AF1913" s="7">
        <f>AB1913/39.3701</f>
      </c>
      <c r="AG1913" s="7">
        <f>AC1913/39.3701</f>
      </c>
      <c r="AH1913" s="7">
        <f>AD1913/39.3701</f>
      </c>
      <c r="AI1913" s="1"/>
      <c r="AJ1913" s="1"/>
      <c r="AK1913" s="1"/>
      <c r="AL1913" s="1"/>
      <c r="AM1913" s="2"/>
      <c r="AN1913" s="1"/>
      <c r="AO1913" s="1"/>
      <c r="AP1913" s="1"/>
      <c r="AQ1913" s="1"/>
      <c r="AR1913" s="1"/>
      <c r="AS1913" s="1"/>
      <c r="AT1913" s="1"/>
      <c r="AU1913" s="1"/>
      <c r="AV1913" s="1"/>
      <c r="AW1913" s="1"/>
      <c r="AX1913" s="1"/>
      <c r="AY1913" s="1"/>
      <c r="AZ1913" s="1"/>
      <c r="BA1913" s="1"/>
      <c r="BB1913" s="1"/>
      <c r="BC1913" s="1"/>
      <c r="BD1913" s="1"/>
      <c r="BE1913" s="1"/>
    </row>
    <row x14ac:dyDescent="0.25" r="1914" customHeight="1" ht="18.75">
      <c r="A1914" s="1"/>
      <c r="B1914" s="2"/>
      <c r="C1914" s="2"/>
      <c r="D1914" s="2"/>
      <c r="E1914" s="2"/>
      <c r="F1914" s="2"/>
      <c r="G1914" s="1"/>
      <c r="H1914" s="1"/>
      <c r="I1914" s="7">
        <v>1.911</v>
      </c>
      <c r="J1914" s="7">
        <f>IF((I1914-ROUNDDOWN(I1914,0))=0, 0, (I1914-ROUNDDOWN(I1914,0)))</f>
      </c>
      <c r="K1914" s="7">
        <f>INDIRECT("C$"&amp;2+MIN(2,ROUNDDOWN(I1914,0))*3)*(-$J1914^3+3*$J1914^2-3*$J1914+1)+INDIRECT("C$"&amp;3+MIN(2,ROUNDDOWN(I1914,0))*3)*(3*$J1914^3-6*$J1914^2+3*$J1914)+INDIRECT("C$"&amp;4+MIN(2,ROUNDDOWN(I1914,0))*3)*(-3*$J1914^3+3*$J1914^2)+INDIRECT("C$"&amp;5+MIN(2,ROUNDDOWN(I1914,0))*3)*$J1914^3</f>
      </c>
      <c r="L1914" s="7">
        <f>INDIRECT("D$"&amp;2+MIN(2,ROUNDDOWN(I1914,0))*3)*(-$J1914^3+3*$J1914^2-3*$J1914+1)+INDIRECT("D$"&amp;3+MIN(2,ROUNDDOWN(I1914,0))*3)*(3*$J1914^3-6*$J1914^2+3*$J1914)+INDIRECT("D$"&amp;4+MIN(2,ROUNDDOWN(I1914,0))*3)*(-3*$J1914^3+3*$J1914^2)+INDIRECT("D$"&amp;5+MIN(2,ROUNDDOWN(I1914,0))*3)*$J1914^3</f>
      </c>
      <c r="M1914" s="7">
        <f>SQRT(K1914^2+L1914^2)</f>
      </c>
      <c r="N1914" s="7">
        <f>(K1915-K1913)</f>
      </c>
      <c r="O1914" s="7">
        <f>+(L1915-L1913)</f>
      </c>
      <c r="P1914" s="7">
        <f>SQRT(O1914^2+N1914^2)</f>
      </c>
      <c r="Q1914" s="7">
        <f>N1914/$P1914</f>
      </c>
      <c r="R1914" s="7">
        <f>O1914/$P1914</f>
      </c>
      <c r="S1914" s="7">
        <f>Q1914^2+R1914^2</f>
      </c>
      <c r="T1914" s="7">
        <f>-R1914</f>
      </c>
      <c r="U1914" s="7">
        <f>Q1914</f>
      </c>
      <c r="V1914" s="7">
        <f>($C$14+($C$15-$C$14)/($D$15-$D$14)*(I1914-$D$14))/2</f>
      </c>
      <c r="W1914" s="7">
        <f>($B$22*I1914^4+$C$22*I1914^3+$D$22*I1914^2+$E$22*I1914+$F$22)/2</f>
      </c>
      <c r="X1914" s="7">
        <f>($W1914)*(T1914)</f>
      </c>
      <c r="Y1914" s="7">
        <f>($W1914)*(U1914)</f>
      </c>
      <c r="Z1914" s="7">
        <f>SQRT(X1914^2+Y1914^2)</f>
      </c>
      <c r="AA1914" s="7">
        <f>$K1914+$X1914</f>
      </c>
      <c r="AB1914" s="7">
        <f>$L1914+$Y1914</f>
      </c>
      <c r="AC1914" s="7">
        <f>$K1914-$X1914</f>
      </c>
      <c r="AD1914" s="7">
        <f>$L1914-$Y1914</f>
      </c>
      <c r="AE1914" s="7">
        <f>AA1914/39.3701</f>
      </c>
      <c r="AF1914" s="7">
        <f>AB1914/39.3701</f>
      </c>
      <c r="AG1914" s="7">
        <f>AC1914/39.3701</f>
      </c>
      <c r="AH1914" s="7">
        <f>AD1914/39.3701</f>
      </c>
      <c r="AI1914" s="1"/>
      <c r="AJ1914" s="1"/>
      <c r="AK1914" s="1"/>
      <c r="AL1914" s="1"/>
      <c r="AM1914" s="2"/>
      <c r="AN1914" s="1"/>
      <c r="AO1914" s="1"/>
      <c r="AP1914" s="1"/>
      <c r="AQ1914" s="1"/>
      <c r="AR1914" s="1"/>
      <c r="AS1914" s="1"/>
      <c r="AT1914" s="1"/>
      <c r="AU1914" s="1"/>
      <c r="AV1914" s="1"/>
      <c r="AW1914" s="1"/>
      <c r="AX1914" s="1"/>
      <c r="AY1914" s="1"/>
      <c r="AZ1914" s="1"/>
      <c r="BA1914" s="1"/>
      <c r="BB1914" s="1"/>
      <c r="BC1914" s="1"/>
      <c r="BD1914" s="1"/>
      <c r="BE1914" s="1"/>
    </row>
    <row x14ac:dyDescent="0.25" r="1915" customHeight="1" ht="18.75">
      <c r="A1915" s="1"/>
      <c r="B1915" s="2"/>
      <c r="C1915" s="2"/>
      <c r="D1915" s="2"/>
      <c r="E1915" s="2"/>
      <c r="F1915" s="2"/>
      <c r="G1915" s="1"/>
      <c r="H1915" s="1"/>
      <c r="I1915" s="7">
        <v>1.912</v>
      </c>
      <c r="J1915" s="7">
        <f>IF((I1915-ROUNDDOWN(I1915,0))=0, 0, (I1915-ROUNDDOWN(I1915,0)))</f>
      </c>
      <c r="K1915" s="7">
        <f>INDIRECT("C$"&amp;2+MIN(2,ROUNDDOWN(I1915,0))*3)*(-$J1915^3+3*$J1915^2-3*$J1915+1)+INDIRECT("C$"&amp;3+MIN(2,ROUNDDOWN(I1915,0))*3)*(3*$J1915^3-6*$J1915^2+3*$J1915)+INDIRECT("C$"&amp;4+MIN(2,ROUNDDOWN(I1915,0))*3)*(-3*$J1915^3+3*$J1915^2)+INDIRECT("C$"&amp;5+MIN(2,ROUNDDOWN(I1915,0))*3)*$J1915^3</f>
      </c>
      <c r="L1915" s="7">
        <f>INDIRECT("D$"&amp;2+MIN(2,ROUNDDOWN(I1915,0))*3)*(-$J1915^3+3*$J1915^2-3*$J1915+1)+INDIRECT("D$"&amp;3+MIN(2,ROUNDDOWN(I1915,0))*3)*(3*$J1915^3-6*$J1915^2+3*$J1915)+INDIRECT("D$"&amp;4+MIN(2,ROUNDDOWN(I1915,0))*3)*(-3*$J1915^3+3*$J1915^2)+INDIRECT("D$"&amp;5+MIN(2,ROUNDDOWN(I1915,0))*3)*$J1915^3</f>
      </c>
      <c r="M1915" s="7">
        <f>SQRT(K1915^2+L1915^2)</f>
      </c>
      <c r="N1915" s="7">
        <f>(K1916-K1914)</f>
      </c>
      <c r="O1915" s="7">
        <f>+(L1916-L1914)</f>
      </c>
      <c r="P1915" s="7">
        <f>SQRT(O1915^2+N1915^2)</f>
      </c>
      <c r="Q1915" s="7">
        <f>N1915/$P1915</f>
      </c>
      <c r="R1915" s="7">
        <f>O1915/$P1915</f>
      </c>
      <c r="S1915" s="7">
        <f>Q1915^2+R1915^2</f>
      </c>
      <c r="T1915" s="7">
        <f>-R1915</f>
      </c>
      <c r="U1915" s="7">
        <f>Q1915</f>
      </c>
      <c r="V1915" s="7">
        <f>($C$14+($C$15-$C$14)/($D$15-$D$14)*(I1915-$D$14))/2</f>
      </c>
      <c r="W1915" s="7">
        <f>($B$22*I1915^4+$C$22*I1915^3+$D$22*I1915^2+$E$22*I1915+$F$22)/2</f>
      </c>
      <c r="X1915" s="7">
        <f>($W1915)*(T1915)</f>
      </c>
      <c r="Y1915" s="7">
        <f>($W1915)*(U1915)</f>
      </c>
      <c r="Z1915" s="7">
        <f>SQRT(X1915^2+Y1915^2)</f>
      </c>
      <c r="AA1915" s="7">
        <f>$K1915+$X1915</f>
      </c>
      <c r="AB1915" s="7">
        <f>$L1915+$Y1915</f>
      </c>
      <c r="AC1915" s="7">
        <f>$K1915-$X1915</f>
      </c>
      <c r="AD1915" s="7">
        <f>$L1915-$Y1915</f>
      </c>
      <c r="AE1915" s="7">
        <f>AA1915/39.3701</f>
      </c>
      <c r="AF1915" s="7">
        <f>AB1915/39.3701</f>
      </c>
      <c r="AG1915" s="7">
        <f>AC1915/39.3701</f>
      </c>
      <c r="AH1915" s="7">
        <f>AD1915/39.3701</f>
      </c>
      <c r="AI1915" s="1"/>
      <c r="AJ1915" s="1"/>
      <c r="AK1915" s="1"/>
      <c r="AL1915" s="1"/>
      <c r="AM1915" s="2"/>
      <c r="AN1915" s="1"/>
      <c r="AO1915" s="1"/>
      <c r="AP1915" s="1"/>
      <c r="AQ1915" s="1"/>
      <c r="AR1915" s="1"/>
      <c r="AS1915" s="1"/>
      <c r="AT1915" s="1"/>
      <c r="AU1915" s="1"/>
      <c r="AV1915" s="1"/>
      <c r="AW1915" s="1"/>
      <c r="AX1915" s="1"/>
      <c r="AY1915" s="1"/>
      <c r="AZ1915" s="1"/>
      <c r="BA1915" s="1"/>
      <c r="BB1915" s="1"/>
      <c r="BC1915" s="1"/>
      <c r="BD1915" s="1"/>
      <c r="BE1915" s="1"/>
    </row>
    <row x14ac:dyDescent="0.25" r="1916" customHeight="1" ht="18.75">
      <c r="A1916" s="1"/>
      <c r="B1916" s="2"/>
      <c r="C1916" s="2"/>
      <c r="D1916" s="2"/>
      <c r="E1916" s="2"/>
      <c r="F1916" s="2"/>
      <c r="G1916" s="1"/>
      <c r="H1916" s="1"/>
      <c r="I1916" s="7">
        <v>1.913</v>
      </c>
      <c r="J1916" s="7">
        <f>IF((I1916-ROUNDDOWN(I1916,0))=0, 0, (I1916-ROUNDDOWN(I1916,0)))</f>
      </c>
      <c r="K1916" s="7">
        <f>INDIRECT("C$"&amp;2+MIN(2,ROUNDDOWN(I1916,0))*3)*(-$J1916^3+3*$J1916^2-3*$J1916+1)+INDIRECT("C$"&amp;3+MIN(2,ROUNDDOWN(I1916,0))*3)*(3*$J1916^3-6*$J1916^2+3*$J1916)+INDIRECT("C$"&amp;4+MIN(2,ROUNDDOWN(I1916,0))*3)*(-3*$J1916^3+3*$J1916^2)+INDIRECT("C$"&amp;5+MIN(2,ROUNDDOWN(I1916,0))*3)*$J1916^3</f>
      </c>
      <c r="L1916" s="7">
        <f>INDIRECT("D$"&amp;2+MIN(2,ROUNDDOWN(I1916,0))*3)*(-$J1916^3+3*$J1916^2-3*$J1916+1)+INDIRECT("D$"&amp;3+MIN(2,ROUNDDOWN(I1916,0))*3)*(3*$J1916^3-6*$J1916^2+3*$J1916)+INDIRECT("D$"&amp;4+MIN(2,ROUNDDOWN(I1916,0))*3)*(-3*$J1916^3+3*$J1916^2)+INDIRECT("D$"&amp;5+MIN(2,ROUNDDOWN(I1916,0))*3)*$J1916^3</f>
      </c>
      <c r="M1916" s="7">
        <f>SQRT(K1916^2+L1916^2)</f>
      </c>
      <c r="N1916" s="7">
        <f>(K1917-K1915)</f>
      </c>
      <c r="O1916" s="7">
        <f>+(L1917-L1915)</f>
      </c>
      <c r="P1916" s="7">
        <f>SQRT(O1916^2+N1916^2)</f>
      </c>
      <c r="Q1916" s="7">
        <f>N1916/$P1916</f>
      </c>
      <c r="R1916" s="7">
        <f>O1916/$P1916</f>
      </c>
      <c r="S1916" s="7">
        <f>Q1916^2+R1916^2</f>
      </c>
      <c r="T1916" s="7">
        <f>-R1916</f>
      </c>
      <c r="U1916" s="7">
        <f>Q1916</f>
      </c>
      <c r="V1916" s="7">
        <f>($C$14+($C$15-$C$14)/($D$15-$D$14)*(I1916-$D$14))/2</f>
      </c>
      <c r="W1916" s="7">
        <f>($B$22*I1916^4+$C$22*I1916^3+$D$22*I1916^2+$E$22*I1916+$F$22)/2</f>
      </c>
      <c r="X1916" s="7">
        <f>($W1916)*(T1916)</f>
      </c>
      <c r="Y1916" s="7">
        <f>($W1916)*(U1916)</f>
      </c>
      <c r="Z1916" s="7">
        <f>SQRT(X1916^2+Y1916^2)</f>
      </c>
      <c r="AA1916" s="7">
        <f>$K1916+$X1916</f>
      </c>
      <c r="AB1916" s="7">
        <f>$L1916+$Y1916</f>
      </c>
      <c r="AC1916" s="7">
        <f>$K1916-$X1916</f>
      </c>
      <c r="AD1916" s="7">
        <f>$L1916-$Y1916</f>
      </c>
      <c r="AE1916" s="7">
        <f>AA1916/39.3701</f>
      </c>
      <c r="AF1916" s="7">
        <f>AB1916/39.3701</f>
      </c>
      <c r="AG1916" s="7">
        <f>AC1916/39.3701</f>
      </c>
      <c r="AH1916" s="7">
        <f>AD1916/39.3701</f>
      </c>
      <c r="AI1916" s="1"/>
      <c r="AJ1916" s="1"/>
      <c r="AK1916" s="1"/>
      <c r="AL1916" s="1"/>
      <c r="AM1916" s="2"/>
      <c r="AN1916" s="1"/>
      <c r="AO1916" s="1"/>
      <c r="AP1916" s="1"/>
      <c r="AQ1916" s="1"/>
      <c r="AR1916" s="1"/>
      <c r="AS1916" s="1"/>
      <c r="AT1916" s="1"/>
      <c r="AU1916" s="1"/>
      <c r="AV1916" s="1"/>
      <c r="AW1916" s="1"/>
      <c r="AX1916" s="1"/>
      <c r="AY1916" s="1"/>
      <c r="AZ1916" s="1"/>
      <c r="BA1916" s="1"/>
      <c r="BB1916" s="1"/>
      <c r="BC1916" s="1"/>
      <c r="BD1916" s="1"/>
      <c r="BE1916" s="1"/>
    </row>
    <row x14ac:dyDescent="0.25" r="1917" customHeight="1" ht="18.75">
      <c r="A1917" s="1"/>
      <c r="B1917" s="2"/>
      <c r="C1917" s="2"/>
      <c r="D1917" s="2"/>
      <c r="E1917" s="2"/>
      <c r="F1917" s="2"/>
      <c r="G1917" s="1"/>
      <c r="H1917" s="1"/>
      <c r="I1917" s="7">
        <v>1.914</v>
      </c>
      <c r="J1917" s="7">
        <f>IF((I1917-ROUNDDOWN(I1917,0))=0, 0, (I1917-ROUNDDOWN(I1917,0)))</f>
      </c>
      <c r="K1917" s="7">
        <f>INDIRECT("C$"&amp;2+MIN(2,ROUNDDOWN(I1917,0))*3)*(-$J1917^3+3*$J1917^2-3*$J1917+1)+INDIRECT("C$"&amp;3+MIN(2,ROUNDDOWN(I1917,0))*3)*(3*$J1917^3-6*$J1917^2+3*$J1917)+INDIRECT("C$"&amp;4+MIN(2,ROUNDDOWN(I1917,0))*3)*(-3*$J1917^3+3*$J1917^2)+INDIRECT("C$"&amp;5+MIN(2,ROUNDDOWN(I1917,0))*3)*$J1917^3</f>
      </c>
      <c r="L1917" s="7">
        <f>INDIRECT("D$"&amp;2+MIN(2,ROUNDDOWN(I1917,0))*3)*(-$J1917^3+3*$J1917^2-3*$J1917+1)+INDIRECT("D$"&amp;3+MIN(2,ROUNDDOWN(I1917,0))*3)*(3*$J1917^3-6*$J1917^2+3*$J1917)+INDIRECT("D$"&amp;4+MIN(2,ROUNDDOWN(I1917,0))*3)*(-3*$J1917^3+3*$J1917^2)+INDIRECT("D$"&amp;5+MIN(2,ROUNDDOWN(I1917,0))*3)*$J1917^3</f>
      </c>
      <c r="M1917" s="7">
        <f>SQRT(K1917^2+L1917^2)</f>
      </c>
      <c r="N1917" s="7">
        <f>(K1918-K1916)</f>
      </c>
      <c r="O1917" s="7">
        <f>+(L1918-L1916)</f>
      </c>
      <c r="P1917" s="7">
        <f>SQRT(O1917^2+N1917^2)</f>
      </c>
      <c r="Q1917" s="7">
        <f>N1917/$P1917</f>
      </c>
      <c r="R1917" s="7">
        <f>O1917/$P1917</f>
      </c>
      <c r="S1917" s="8">
        <f>Q1917^2+R1917^2</f>
      </c>
      <c r="T1917" s="7">
        <f>-R1917</f>
      </c>
      <c r="U1917" s="7">
        <f>Q1917</f>
      </c>
      <c r="V1917" s="7">
        <f>($C$14+($C$15-$C$14)/($D$15-$D$14)*(I1917-$D$14))/2</f>
      </c>
      <c r="W1917" s="7">
        <f>($B$22*I1917^4+$C$22*I1917^3+$D$22*I1917^2+$E$22*I1917+$F$22)/2</f>
      </c>
      <c r="X1917" s="7">
        <f>($W1917)*(T1917)</f>
      </c>
      <c r="Y1917" s="7">
        <f>($W1917)*(U1917)</f>
      </c>
      <c r="Z1917" s="7">
        <f>SQRT(X1917^2+Y1917^2)</f>
      </c>
      <c r="AA1917" s="7">
        <f>$K1917+$X1917</f>
      </c>
      <c r="AB1917" s="7">
        <f>$L1917+$Y1917</f>
      </c>
      <c r="AC1917" s="7">
        <f>$K1917-$X1917</f>
      </c>
      <c r="AD1917" s="7">
        <f>$L1917-$Y1917</f>
      </c>
      <c r="AE1917" s="7">
        <f>AA1917/39.3701</f>
      </c>
      <c r="AF1917" s="7">
        <f>AB1917/39.3701</f>
      </c>
      <c r="AG1917" s="7">
        <f>AC1917/39.3701</f>
      </c>
      <c r="AH1917" s="7">
        <f>AD1917/39.3701</f>
      </c>
      <c r="AI1917" s="1"/>
      <c r="AJ1917" s="1"/>
      <c r="AK1917" s="1"/>
      <c r="AL1917" s="1"/>
      <c r="AM1917" s="2"/>
      <c r="AN1917" s="1"/>
      <c r="AO1917" s="1"/>
      <c r="AP1917" s="1"/>
      <c r="AQ1917" s="1"/>
      <c r="AR1917" s="1"/>
      <c r="AS1917" s="1"/>
      <c r="AT1917" s="1"/>
      <c r="AU1917" s="1"/>
      <c r="AV1917" s="1"/>
      <c r="AW1917" s="1"/>
      <c r="AX1917" s="1"/>
      <c r="AY1917" s="1"/>
      <c r="AZ1917" s="1"/>
      <c r="BA1917" s="1"/>
      <c r="BB1917" s="1"/>
      <c r="BC1917" s="1"/>
      <c r="BD1917" s="1"/>
      <c r="BE1917" s="1"/>
    </row>
    <row x14ac:dyDescent="0.25" r="1918" customHeight="1" ht="18.75">
      <c r="A1918" s="1"/>
      <c r="B1918" s="2"/>
      <c r="C1918" s="2"/>
      <c r="D1918" s="2"/>
      <c r="E1918" s="2"/>
      <c r="F1918" s="2"/>
      <c r="G1918" s="1"/>
      <c r="H1918" s="1"/>
      <c r="I1918" s="7">
        <v>1.915</v>
      </c>
      <c r="J1918" s="7">
        <f>IF((I1918-ROUNDDOWN(I1918,0))=0, 0, (I1918-ROUNDDOWN(I1918,0)))</f>
      </c>
      <c r="K1918" s="7">
        <f>INDIRECT("C$"&amp;2+MIN(2,ROUNDDOWN(I1918,0))*3)*(-$J1918^3+3*$J1918^2-3*$J1918+1)+INDIRECT("C$"&amp;3+MIN(2,ROUNDDOWN(I1918,0))*3)*(3*$J1918^3-6*$J1918^2+3*$J1918)+INDIRECT("C$"&amp;4+MIN(2,ROUNDDOWN(I1918,0))*3)*(-3*$J1918^3+3*$J1918^2)+INDIRECT("C$"&amp;5+MIN(2,ROUNDDOWN(I1918,0))*3)*$J1918^3</f>
      </c>
      <c r="L1918" s="7">
        <f>INDIRECT("D$"&amp;2+MIN(2,ROUNDDOWN(I1918,0))*3)*(-$J1918^3+3*$J1918^2-3*$J1918+1)+INDIRECT("D$"&amp;3+MIN(2,ROUNDDOWN(I1918,0))*3)*(3*$J1918^3-6*$J1918^2+3*$J1918)+INDIRECT("D$"&amp;4+MIN(2,ROUNDDOWN(I1918,0))*3)*(-3*$J1918^3+3*$J1918^2)+INDIRECT("D$"&amp;5+MIN(2,ROUNDDOWN(I1918,0))*3)*$J1918^3</f>
      </c>
      <c r="M1918" s="7">
        <f>SQRT(K1918^2+L1918^2)</f>
      </c>
      <c r="N1918" s="7">
        <f>(K1919-K1917)</f>
      </c>
      <c r="O1918" s="7">
        <f>+(L1919-L1917)</f>
      </c>
      <c r="P1918" s="7">
        <f>SQRT(O1918^2+N1918^2)</f>
      </c>
      <c r="Q1918" s="7">
        <f>N1918/$P1918</f>
      </c>
      <c r="R1918" s="7">
        <f>O1918/$P1918</f>
      </c>
      <c r="S1918" s="7">
        <f>Q1918^2+R1918^2</f>
      </c>
      <c r="T1918" s="7">
        <f>-R1918</f>
      </c>
      <c r="U1918" s="7">
        <f>Q1918</f>
      </c>
      <c r="V1918" s="7">
        <f>($C$14+($C$15-$C$14)/($D$15-$D$14)*(I1918-$D$14))/2</f>
      </c>
      <c r="W1918" s="7">
        <f>($B$22*I1918^4+$C$22*I1918^3+$D$22*I1918^2+$E$22*I1918+$F$22)/2</f>
      </c>
      <c r="X1918" s="7">
        <f>($W1918)*(T1918)</f>
      </c>
      <c r="Y1918" s="7">
        <f>($W1918)*(U1918)</f>
      </c>
      <c r="Z1918" s="7">
        <f>SQRT(X1918^2+Y1918^2)</f>
      </c>
      <c r="AA1918" s="7">
        <f>$K1918+$X1918</f>
      </c>
      <c r="AB1918" s="7">
        <f>$L1918+$Y1918</f>
      </c>
      <c r="AC1918" s="7">
        <f>$K1918-$X1918</f>
      </c>
      <c r="AD1918" s="7">
        <f>$L1918-$Y1918</f>
      </c>
      <c r="AE1918" s="7">
        <f>AA1918/39.3701</f>
      </c>
      <c r="AF1918" s="7">
        <f>AB1918/39.3701</f>
      </c>
      <c r="AG1918" s="7">
        <f>AC1918/39.3701</f>
      </c>
      <c r="AH1918" s="7">
        <f>AD1918/39.3701</f>
      </c>
      <c r="AI1918" s="1"/>
      <c r="AJ1918" s="1"/>
      <c r="AK1918" s="1"/>
      <c r="AL1918" s="1"/>
      <c r="AM1918" s="2"/>
      <c r="AN1918" s="1"/>
      <c r="AO1918" s="1"/>
      <c r="AP1918" s="1"/>
      <c r="AQ1918" s="1"/>
      <c r="AR1918" s="1"/>
      <c r="AS1918" s="1"/>
      <c r="AT1918" s="1"/>
      <c r="AU1918" s="1"/>
      <c r="AV1918" s="1"/>
      <c r="AW1918" s="1"/>
      <c r="AX1918" s="1"/>
      <c r="AY1918" s="1"/>
      <c r="AZ1918" s="1"/>
      <c r="BA1918" s="1"/>
      <c r="BB1918" s="1"/>
      <c r="BC1918" s="1"/>
      <c r="BD1918" s="1"/>
      <c r="BE1918" s="1"/>
    </row>
    <row x14ac:dyDescent="0.25" r="1919" customHeight="1" ht="18.75">
      <c r="A1919" s="1"/>
      <c r="B1919" s="2"/>
      <c r="C1919" s="2"/>
      <c r="D1919" s="2"/>
      <c r="E1919" s="2"/>
      <c r="F1919" s="2"/>
      <c r="G1919" s="1"/>
      <c r="H1919" s="1"/>
      <c r="I1919" s="7">
        <v>1.916</v>
      </c>
      <c r="J1919" s="7">
        <f>IF((I1919-ROUNDDOWN(I1919,0))=0, 0, (I1919-ROUNDDOWN(I1919,0)))</f>
      </c>
      <c r="K1919" s="7">
        <f>INDIRECT("C$"&amp;2+MIN(2,ROUNDDOWN(I1919,0))*3)*(-$J1919^3+3*$J1919^2-3*$J1919+1)+INDIRECT("C$"&amp;3+MIN(2,ROUNDDOWN(I1919,0))*3)*(3*$J1919^3-6*$J1919^2+3*$J1919)+INDIRECT("C$"&amp;4+MIN(2,ROUNDDOWN(I1919,0))*3)*(-3*$J1919^3+3*$J1919^2)+INDIRECT("C$"&amp;5+MIN(2,ROUNDDOWN(I1919,0))*3)*$J1919^3</f>
      </c>
      <c r="L1919" s="7">
        <f>INDIRECT("D$"&amp;2+MIN(2,ROUNDDOWN(I1919,0))*3)*(-$J1919^3+3*$J1919^2-3*$J1919+1)+INDIRECT("D$"&amp;3+MIN(2,ROUNDDOWN(I1919,0))*3)*(3*$J1919^3-6*$J1919^2+3*$J1919)+INDIRECT("D$"&amp;4+MIN(2,ROUNDDOWN(I1919,0))*3)*(-3*$J1919^3+3*$J1919^2)+INDIRECT("D$"&amp;5+MIN(2,ROUNDDOWN(I1919,0))*3)*$J1919^3</f>
      </c>
      <c r="M1919" s="7">
        <f>SQRT(K1919^2+L1919^2)</f>
      </c>
      <c r="N1919" s="7">
        <f>(K1920-K1918)</f>
      </c>
      <c r="O1919" s="7">
        <f>+(L1920-L1918)</f>
      </c>
      <c r="P1919" s="7">
        <f>SQRT(O1919^2+N1919^2)</f>
      </c>
      <c r="Q1919" s="7">
        <f>N1919/$P1919</f>
      </c>
      <c r="R1919" s="7">
        <f>O1919/$P1919</f>
      </c>
      <c r="S1919" s="7">
        <f>Q1919^2+R1919^2</f>
      </c>
      <c r="T1919" s="7">
        <f>-R1919</f>
      </c>
      <c r="U1919" s="7">
        <f>Q1919</f>
      </c>
      <c r="V1919" s="7">
        <f>($C$14+($C$15-$C$14)/($D$15-$D$14)*(I1919-$D$14))/2</f>
      </c>
      <c r="W1919" s="7">
        <f>($B$22*I1919^4+$C$22*I1919^3+$D$22*I1919^2+$E$22*I1919+$F$22)/2</f>
      </c>
      <c r="X1919" s="7">
        <f>($W1919)*(T1919)</f>
      </c>
      <c r="Y1919" s="7">
        <f>($W1919)*(U1919)</f>
      </c>
      <c r="Z1919" s="7">
        <f>SQRT(X1919^2+Y1919^2)</f>
      </c>
      <c r="AA1919" s="7">
        <f>$K1919+$X1919</f>
      </c>
      <c r="AB1919" s="7">
        <f>$L1919+$Y1919</f>
      </c>
      <c r="AC1919" s="7">
        <f>$K1919-$X1919</f>
      </c>
      <c r="AD1919" s="7">
        <f>$L1919-$Y1919</f>
      </c>
      <c r="AE1919" s="7">
        <f>AA1919/39.3701</f>
      </c>
      <c r="AF1919" s="7">
        <f>AB1919/39.3701</f>
      </c>
      <c r="AG1919" s="7">
        <f>AC1919/39.3701</f>
      </c>
      <c r="AH1919" s="7">
        <f>AD1919/39.3701</f>
      </c>
      <c r="AI1919" s="1"/>
      <c r="AJ1919" s="1"/>
      <c r="AK1919" s="1"/>
      <c r="AL1919" s="1"/>
      <c r="AM1919" s="2"/>
      <c r="AN1919" s="1"/>
      <c r="AO1919" s="1"/>
      <c r="AP1919" s="1"/>
      <c r="AQ1919" s="1"/>
      <c r="AR1919" s="1"/>
      <c r="AS1919" s="1"/>
      <c r="AT1919" s="1"/>
      <c r="AU1919" s="1"/>
      <c r="AV1919" s="1"/>
      <c r="AW1919" s="1"/>
      <c r="AX1919" s="1"/>
      <c r="AY1919" s="1"/>
      <c r="AZ1919" s="1"/>
      <c r="BA1919" s="1"/>
      <c r="BB1919" s="1"/>
      <c r="BC1919" s="1"/>
      <c r="BD1919" s="1"/>
      <c r="BE1919" s="1"/>
    </row>
    <row x14ac:dyDescent="0.25" r="1920" customHeight="1" ht="18.75">
      <c r="A1920" s="1"/>
      <c r="B1920" s="2"/>
      <c r="C1920" s="2"/>
      <c r="D1920" s="2"/>
      <c r="E1920" s="2"/>
      <c r="F1920" s="2"/>
      <c r="G1920" s="1"/>
      <c r="H1920" s="1"/>
      <c r="I1920" s="7">
        <v>1.917</v>
      </c>
      <c r="J1920" s="7">
        <f>IF((I1920-ROUNDDOWN(I1920,0))=0, 0, (I1920-ROUNDDOWN(I1920,0)))</f>
      </c>
      <c r="K1920" s="7">
        <f>INDIRECT("C$"&amp;2+MIN(2,ROUNDDOWN(I1920,0))*3)*(-$J1920^3+3*$J1920^2-3*$J1920+1)+INDIRECT("C$"&amp;3+MIN(2,ROUNDDOWN(I1920,0))*3)*(3*$J1920^3-6*$J1920^2+3*$J1920)+INDIRECT("C$"&amp;4+MIN(2,ROUNDDOWN(I1920,0))*3)*(-3*$J1920^3+3*$J1920^2)+INDIRECT("C$"&amp;5+MIN(2,ROUNDDOWN(I1920,0))*3)*$J1920^3</f>
      </c>
      <c r="L1920" s="7">
        <f>INDIRECT("D$"&amp;2+MIN(2,ROUNDDOWN(I1920,0))*3)*(-$J1920^3+3*$J1920^2-3*$J1920+1)+INDIRECT("D$"&amp;3+MIN(2,ROUNDDOWN(I1920,0))*3)*(3*$J1920^3-6*$J1920^2+3*$J1920)+INDIRECT("D$"&amp;4+MIN(2,ROUNDDOWN(I1920,0))*3)*(-3*$J1920^3+3*$J1920^2)+INDIRECT("D$"&amp;5+MIN(2,ROUNDDOWN(I1920,0))*3)*$J1920^3</f>
      </c>
      <c r="M1920" s="7">
        <f>SQRT(K1920^2+L1920^2)</f>
      </c>
      <c r="N1920" s="7">
        <f>(K1921-K1919)</f>
      </c>
      <c r="O1920" s="7">
        <f>+(L1921-L1919)</f>
      </c>
      <c r="P1920" s="7">
        <f>SQRT(O1920^2+N1920^2)</f>
      </c>
      <c r="Q1920" s="7">
        <f>N1920/$P1920</f>
      </c>
      <c r="R1920" s="7">
        <f>O1920/$P1920</f>
      </c>
      <c r="S1920" s="8">
        <f>Q1920^2+R1920^2</f>
      </c>
      <c r="T1920" s="7">
        <f>-R1920</f>
      </c>
      <c r="U1920" s="7">
        <f>Q1920</f>
      </c>
      <c r="V1920" s="7">
        <f>($C$14+($C$15-$C$14)/($D$15-$D$14)*(I1920-$D$14))/2</f>
      </c>
      <c r="W1920" s="7">
        <f>($B$22*I1920^4+$C$22*I1920^3+$D$22*I1920^2+$E$22*I1920+$F$22)/2</f>
      </c>
      <c r="X1920" s="7">
        <f>($W1920)*(T1920)</f>
      </c>
      <c r="Y1920" s="7">
        <f>($W1920)*(U1920)</f>
      </c>
      <c r="Z1920" s="7">
        <f>SQRT(X1920^2+Y1920^2)</f>
      </c>
      <c r="AA1920" s="7">
        <f>$K1920+$X1920</f>
      </c>
      <c r="AB1920" s="7">
        <f>$L1920+$Y1920</f>
      </c>
      <c r="AC1920" s="7">
        <f>$K1920-$X1920</f>
      </c>
      <c r="AD1920" s="7">
        <f>$L1920-$Y1920</f>
      </c>
      <c r="AE1920" s="7">
        <f>AA1920/39.3701</f>
      </c>
      <c r="AF1920" s="7">
        <f>AB1920/39.3701</f>
      </c>
      <c r="AG1920" s="7">
        <f>AC1920/39.3701</f>
      </c>
      <c r="AH1920" s="7">
        <f>AD1920/39.3701</f>
      </c>
      <c r="AI1920" s="1"/>
      <c r="AJ1920" s="1"/>
      <c r="AK1920" s="1"/>
      <c r="AL1920" s="1"/>
      <c r="AM1920" s="2"/>
      <c r="AN1920" s="1"/>
      <c r="AO1920" s="1"/>
      <c r="AP1920" s="1"/>
      <c r="AQ1920" s="1"/>
      <c r="AR1920" s="1"/>
      <c r="AS1920" s="1"/>
      <c r="AT1920" s="1"/>
      <c r="AU1920" s="1"/>
      <c r="AV1920" s="1"/>
      <c r="AW1920" s="1"/>
      <c r="AX1920" s="1"/>
      <c r="AY1920" s="1"/>
      <c r="AZ1920" s="1"/>
      <c r="BA1920" s="1"/>
      <c r="BB1920" s="1"/>
      <c r="BC1920" s="1"/>
      <c r="BD1920" s="1"/>
      <c r="BE1920" s="1"/>
    </row>
    <row x14ac:dyDescent="0.25" r="1921" customHeight="1" ht="18.75">
      <c r="A1921" s="1"/>
      <c r="B1921" s="2"/>
      <c r="C1921" s="2"/>
      <c r="D1921" s="2"/>
      <c r="E1921" s="2"/>
      <c r="F1921" s="2"/>
      <c r="G1921" s="1"/>
      <c r="H1921" s="1"/>
      <c r="I1921" s="7">
        <v>1.918</v>
      </c>
      <c r="J1921" s="7">
        <f>IF((I1921-ROUNDDOWN(I1921,0))=0, 0, (I1921-ROUNDDOWN(I1921,0)))</f>
      </c>
      <c r="K1921" s="7">
        <f>INDIRECT("C$"&amp;2+MIN(2,ROUNDDOWN(I1921,0))*3)*(-$J1921^3+3*$J1921^2-3*$J1921+1)+INDIRECT("C$"&amp;3+MIN(2,ROUNDDOWN(I1921,0))*3)*(3*$J1921^3-6*$J1921^2+3*$J1921)+INDIRECT("C$"&amp;4+MIN(2,ROUNDDOWN(I1921,0))*3)*(-3*$J1921^3+3*$J1921^2)+INDIRECT("C$"&amp;5+MIN(2,ROUNDDOWN(I1921,0))*3)*$J1921^3</f>
      </c>
      <c r="L1921" s="7">
        <f>INDIRECT("D$"&amp;2+MIN(2,ROUNDDOWN(I1921,0))*3)*(-$J1921^3+3*$J1921^2-3*$J1921+1)+INDIRECT("D$"&amp;3+MIN(2,ROUNDDOWN(I1921,0))*3)*(3*$J1921^3-6*$J1921^2+3*$J1921)+INDIRECT("D$"&amp;4+MIN(2,ROUNDDOWN(I1921,0))*3)*(-3*$J1921^3+3*$J1921^2)+INDIRECT("D$"&amp;5+MIN(2,ROUNDDOWN(I1921,0))*3)*$J1921^3</f>
      </c>
      <c r="M1921" s="7">
        <f>SQRT(K1921^2+L1921^2)</f>
      </c>
      <c r="N1921" s="7">
        <f>(K1922-K1920)</f>
      </c>
      <c r="O1921" s="7">
        <f>+(L1922-L1920)</f>
      </c>
      <c r="P1921" s="7">
        <f>SQRT(O1921^2+N1921^2)</f>
      </c>
      <c r="Q1921" s="7">
        <f>N1921/$P1921</f>
      </c>
      <c r="R1921" s="7">
        <f>O1921/$P1921</f>
      </c>
      <c r="S1921" s="7">
        <f>Q1921^2+R1921^2</f>
      </c>
      <c r="T1921" s="7">
        <f>-R1921</f>
      </c>
      <c r="U1921" s="7">
        <f>Q1921</f>
      </c>
      <c r="V1921" s="7">
        <f>($C$14+($C$15-$C$14)/($D$15-$D$14)*(I1921-$D$14))/2</f>
      </c>
      <c r="W1921" s="7">
        <f>($B$22*I1921^4+$C$22*I1921^3+$D$22*I1921^2+$E$22*I1921+$F$22)/2</f>
      </c>
      <c r="X1921" s="7">
        <f>($W1921)*(T1921)</f>
      </c>
      <c r="Y1921" s="7">
        <f>($W1921)*(U1921)</f>
      </c>
      <c r="Z1921" s="7">
        <f>SQRT(X1921^2+Y1921^2)</f>
      </c>
      <c r="AA1921" s="7">
        <f>$K1921+$X1921</f>
      </c>
      <c r="AB1921" s="7">
        <f>$L1921+$Y1921</f>
      </c>
      <c r="AC1921" s="7">
        <f>$K1921-$X1921</f>
      </c>
      <c r="AD1921" s="7">
        <f>$L1921-$Y1921</f>
      </c>
      <c r="AE1921" s="7">
        <f>AA1921/39.3701</f>
      </c>
      <c r="AF1921" s="7">
        <f>AB1921/39.3701</f>
      </c>
      <c r="AG1921" s="7">
        <f>AC1921/39.3701</f>
      </c>
      <c r="AH1921" s="7">
        <f>AD1921/39.3701</f>
      </c>
      <c r="AI1921" s="1"/>
      <c r="AJ1921" s="1"/>
      <c r="AK1921" s="1"/>
      <c r="AL1921" s="1"/>
      <c r="AM1921" s="2"/>
      <c r="AN1921" s="1"/>
      <c r="AO1921" s="1"/>
      <c r="AP1921" s="1"/>
      <c r="AQ1921" s="1"/>
      <c r="AR1921" s="1"/>
      <c r="AS1921" s="1"/>
      <c r="AT1921" s="1"/>
      <c r="AU1921" s="1"/>
      <c r="AV1921" s="1"/>
      <c r="AW1921" s="1"/>
      <c r="AX1921" s="1"/>
      <c r="AY1921" s="1"/>
      <c r="AZ1921" s="1"/>
      <c r="BA1921" s="1"/>
      <c r="BB1921" s="1"/>
      <c r="BC1921" s="1"/>
      <c r="BD1921" s="1"/>
      <c r="BE1921" s="1"/>
    </row>
    <row x14ac:dyDescent="0.25" r="1922" customHeight="1" ht="18.75">
      <c r="A1922" s="1"/>
      <c r="B1922" s="2"/>
      <c r="C1922" s="2"/>
      <c r="D1922" s="2"/>
      <c r="E1922" s="2"/>
      <c r="F1922" s="2"/>
      <c r="G1922" s="1"/>
      <c r="H1922" s="1"/>
      <c r="I1922" s="7">
        <v>1.919</v>
      </c>
      <c r="J1922" s="7">
        <f>IF((I1922-ROUNDDOWN(I1922,0))=0, 0, (I1922-ROUNDDOWN(I1922,0)))</f>
      </c>
      <c r="K1922" s="7">
        <f>INDIRECT("C$"&amp;2+MIN(2,ROUNDDOWN(I1922,0))*3)*(-$J1922^3+3*$J1922^2-3*$J1922+1)+INDIRECT("C$"&amp;3+MIN(2,ROUNDDOWN(I1922,0))*3)*(3*$J1922^3-6*$J1922^2+3*$J1922)+INDIRECT("C$"&amp;4+MIN(2,ROUNDDOWN(I1922,0))*3)*(-3*$J1922^3+3*$J1922^2)+INDIRECT("C$"&amp;5+MIN(2,ROUNDDOWN(I1922,0))*3)*$J1922^3</f>
      </c>
      <c r="L1922" s="7">
        <f>INDIRECT("D$"&amp;2+MIN(2,ROUNDDOWN(I1922,0))*3)*(-$J1922^3+3*$J1922^2-3*$J1922+1)+INDIRECT("D$"&amp;3+MIN(2,ROUNDDOWN(I1922,0))*3)*(3*$J1922^3-6*$J1922^2+3*$J1922)+INDIRECT("D$"&amp;4+MIN(2,ROUNDDOWN(I1922,0))*3)*(-3*$J1922^3+3*$J1922^2)+INDIRECT("D$"&amp;5+MIN(2,ROUNDDOWN(I1922,0))*3)*$J1922^3</f>
      </c>
      <c r="M1922" s="7">
        <f>SQRT(K1922^2+L1922^2)</f>
      </c>
      <c r="N1922" s="7">
        <f>(K1923-K1921)</f>
      </c>
      <c r="O1922" s="7">
        <f>+(L1923-L1921)</f>
      </c>
      <c r="P1922" s="7">
        <f>SQRT(O1922^2+N1922^2)</f>
      </c>
      <c r="Q1922" s="7">
        <f>N1922/$P1922</f>
      </c>
      <c r="R1922" s="7">
        <f>O1922/$P1922</f>
      </c>
      <c r="S1922" s="7">
        <f>Q1922^2+R1922^2</f>
      </c>
      <c r="T1922" s="7">
        <f>-R1922</f>
      </c>
      <c r="U1922" s="7">
        <f>Q1922</f>
      </c>
      <c r="V1922" s="7">
        <f>($C$14+($C$15-$C$14)/($D$15-$D$14)*(I1922-$D$14))/2</f>
      </c>
      <c r="W1922" s="7">
        <f>($B$22*I1922^4+$C$22*I1922^3+$D$22*I1922^2+$E$22*I1922+$F$22)/2</f>
      </c>
      <c r="X1922" s="7">
        <f>($W1922)*(T1922)</f>
      </c>
      <c r="Y1922" s="7">
        <f>($W1922)*(U1922)</f>
      </c>
      <c r="Z1922" s="7">
        <f>SQRT(X1922^2+Y1922^2)</f>
      </c>
      <c r="AA1922" s="7">
        <f>$K1922+$X1922</f>
      </c>
      <c r="AB1922" s="7">
        <f>$L1922+$Y1922</f>
      </c>
      <c r="AC1922" s="7">
        <f>$K1922-$X1922</f>
      </c>
      <c r="AD1922" s="7">
        <f>$L1922-$Y1922</f>
      </c>
      <c r="AE1922" s="7">
        <f>AA1922/39.3701</f>
      </c>
      <c r="AF1922" s="7">
        <f>AB1922/39.3701</f>
      </c>
      <c r="AG1922" s="7">
        <f>AC1922/39.3701</f>
      </c>
      <c r="AH1922" s="7">
        <f>AD1922/39.3701</f>
      </c>
      <c r="AI1922" s="1"/>
      <c r="AJ1922" s="1"/>
      <c r="AK1922" s="1"/>
      <c r="AL1922" s="1"/>
      <c r="AM1922" s="2"/>
      <c r="AN1922" s="1"/>
      <c r="AO1922" s="1"/>
      <c r="AP1922" s="1"/>
      <c r="AQ1922" s="1"/>
      <c r="AR1922" s="1"/>
      <c r="AS1922" s="1"/>
      <c r="AT1922" s="1"/>
      <c r="AU1922" s="1"/>
      <c r="AV1922" s="1"/>
      <c r="AW1922" s="1"/>
      <c r="AX1922" s="1"/>
      <c r="AY1922" s="1"/>
      <c r="AZ1922" s="1"/>
      <c r="BA1922" s="1"/>
      <c r="BB1922" s="1"/>
      <c r="BC1922" s="1"/>
      <c r="BD1922" s="1"/>
      <c r="BE1922" s="1"/>
    </row>
    <row x14ac:dyDescent="0.25" r="1923" customHeight="1" ht="18.75">
      <c r="A1923" s="1"/>
      <c r="B1923" s="2"/>
      <c r="C1923" s="2"/>
      <c r="D1923" s="2"/>
      <c r="E1923" s="2"/>
      <c r="F1923" s="2"/>
      <c r="G1923" s="1"/>
      <c r="H1923" s="1"/>
      <c r="I1923" s="7">
        <v>1.92</v>
      </c>
      <c r="J1923" s="7">
        <f>IF((I1923-ROUNDDOWN(I1923,0))=0, 0, (I1923-ROUNDDOWN(I1923,0)))</f>
      </c>
      <c r="K1923" s="7">
        <f>INDIRECT("C$"&amp;2+MIN(2,ROUNDDOWN(I1923,0))*3)*(-$J1923^3+3*$J1923^2-3*$J1923+1)+INDIRECT("C$"&amp;3+MIN(2,ROUNDDOWN(I1923,0))*3)*(3*$J1923^3-6*$J1923^2+3*$J1923)+INDIRECT("C$"&amp;4+MIN(2,ROUNDDOWN(I1923,0))*3)*(-3*$J1923^3+3*$J1923^2)+INDIRECT("C$"&amp;5+MIN(2,ROUNDDOWN(I1923,0))*3)*$J1923^3</f>
      </c>
      <c r="L1923" s="7">
        <f>INDIRECT("D$"&amp;2+MIN(2,ROUNDDOWN(I1923,0))*3)*(-$J1923^3+3*$J1923^2-3*$J1923+1)+INDIRECT("D$"&amp;3+MIN(2,ROUNDDOWN(I1923,0))*3)*(3*$J1923^3-6*$J1923^2+3*$J1923)+INDIRECT("D$"&amp;4+MIN(2,ROUNDDOWN(I1923,0))*3)*(-3*$J1923^3+3*$J1923^2)+INDIRECT("D$"&amp;5+MIN(2,ROUNDDOWN(I1923,0))*3)*$J1923^3</f>
      </c>
      <c r="M1923" s="7">
        <f>SQRT(K1923^2+L1923^2)</f>
      </c>
      <c r="N1923" s="7">
        <f>(K1924-K1922)</f>
      </c>
      <c r="O1923" s="7">
        <f>+(L1924-L1922)</f>
      </c>
      <c r="P1923" s="7">
        <f>SQRT(O1923^2+N1923^2)</f>
      </c>
      <c r="Q1923" s="7">
        <f>N1923/$P1923</f>
      </c>
      <c r="R1923" s="7">
        <f>O1923/$P1923</f>
      </c>
      <c r="S1923" s="8">
        <f>Q1923^2+R1923^2</f>
      </c>
      <c r="T1923" s="7">
        <f>-R1923</f>
      </c>
      <c r="U1923" s="7">
        <f>Q1923</f>
      </c>
      <c r="V1923" s="7">
        <f>($C$14+($C$15-$C$14)/($D$15-$D$14)*(I1923-$D$14))/2</f>
      </c>
      <c r="W1923" s="7">
        <f>($B$22*I1923^4+$C$22*I1923^3+$D$22*I1923^2+$E$22*I1923+$F$22)/2</f>
      </c>
      <c r="X1923" s="7">
        <f>($W1923)*(T1923)</f>
      </c>
      <c r="Y1923" s="7">
        <f>($W1923)*(U1923)</f>
      </c>
      <c r="Z1923" s="7">
        <f>SQRT(X1923^2+Y1923^2)</f>
      </c>
      <c r="AA1923" s="7">
        <f>$K1923+$X1923</f>
      </c>
      <c r="AB1923" s="7">
        <f>$L1923+$Y1923</f>
      </c>
      <c r="AC1923" s="7">
        <f>$K1923-$X1923</f>
      </c>
      <c r="AD1923" s="7">
        <f>$L1923-$Y1923</f>
      </c>
      <c r="AE1923" s="7">
        <f>AA1923/39.3701</f>
      </c>
      <c r="AF1923" s="7">
        <f>AB1923/39.3701</f>
      </c>
      <c r="AG1923" s="7">
        <f>AC1923/39.3701</f>
      </c>
      <c r="AH1923" s="7">
        <f>AD1923/39.3701</f>
      </c>
      <c r="AI1923" s="1"/>
      <c r="AJ1923" s="1"/>
      <c r="AK1923" s="1"/>
      <c r="AL1923" s="1"/>
      <c r="AM1923" s="2"/>
      <c r="AN1923" s="1"/>
      <c r="AO1923" s="1"/>
      <c r="AP1923" s="1"/>
      <c r="AQ1923" s="1"/>
      <c r="AR1923" s="1"/>
      <c r="AS1923" s="1"/>
      <c r="AT1923" s="1"/>
      <c r="AU1923" s="1"/>
      <c r="AV1923" s="1"/>
      <c r="AW1923" s="1"/>
      <c r="AX1923" s="1"/>
      <c r="AY1923" s="1"/>
      <c r="AZ1923" s="1"/>
      <c r="BA1923" s="1"/>
      <c r="BB1923" s="1"/>
      <c r="BC1923" s="1"/>
      <c r="BD1923" s="1"/>
      <c r="BE1923" s="1"/>
    </row>
    <row x14ac:dyDescent="0.25" r="1924" customHeight="1" ht="18.75">
      <c r="A1924" s="1"/>
      <c r="B1924" s="2"/>
      <c r="C1924" s="2"/>
      <c r="D1924" s="2"/>
      <c r="E1924" s="2"/>
      <c r="F1924" s="2"/>
      <c r="G1924" s="1"/>
      <c r="H1924" s="1"/>
      <c r="I1924" s="7">
        <v>1.921</v>
      </c>
      <c r="J1924" s="7">
        <f>IF((I1924-ROUNDDOWN(I1924,0))=0, 0, (I1924-ROUNDDOWN(I1924,0)))</f>
      </c>
      <c r="K1924" s="7">
        <f>INDIRECT("C$"&amp;2+MIN(2,ROUNDDOWN(I1924,0))*3)*(-$J1924^3+3*$J1924^2-3*$J1924+1)+INDIRECT("C$"&amp;3+MIN(2,ROUNDDOWN(I1924,0))*3)*(3*$J1924^3-6*$J1924^2+3*$J1924)+INDIRECT("C$"&amp;4+MIN(2,ROUNDDOWN(I1924,0))*3)*(-3*$J1924^3+3*$J1924^2)+INDIRECT("C$"&amp;5+MIN(2,ROUNDDOWN(I1924,0))*3)*$J1924^3</f>
      </c>
      <c r="L1924" s="7">
        <f>INDIRECT("D$"&amp;2+MIN(2,ROUNDDOWN(I1924,0))*3)*(-$J1924^3+3*$J1924^2-3*$J1924+1)+INDIRECT("D$"&amp;3+MIN(2,ROUNDDOWN(I1924,0))*3)*(3*$J1924^3-6*$J1924^2+3*$J1924)+INDIRECT("D$"&amp;4+MIN(2,ROUNDDOWN(I1924,0))*3)*(-3*$J1924^3+3*$J1924^2)+INDIRECT("D$"&amp;5+MIN(2,ROUNDDOWN(I1924,0))*3)*$J1924^3</f>
      </c>
      <c r="M1924" s="7">
        <f>SQRT(K1924^2+L1924^2)</f>
      </c>
      <c r="N1924" s="7">
        <f>(K1925-K1923)</f>
      </c>
      <c r="O1924" s="7">
        <f>+(L1925-L1923)</f>
      </c>
      <c r="P1924" s="7">
        <f>SQRT(O1924^2+N1924^2)</f>
      </c>
      <c r="Q1924" s="7">
        <f>N1924/$P1924</f>
      </c>
      <c r="R1924" s="7">
        <f>O1924/$P1924</f>
      </c>
      <c r="S1924" s="7">
        <f>Q1924^2+R1924^2</f>
      </c>
      <c r="T1924" s="7">
        <f>-R1924</f>
      </c>
      <c r="U1924" s="7">
        <f>Q1924</f>
      </c>
      <c r="V1924" s="7">
        <f>($C$14+($C$15-$C$14)/($D$15-$D$14)*(I1924-$D$14))/2</f>
      </c>
      <c r="W1924" s="7">
        <f>($B$22*I1924^4+$C$22*I1924^3+$D$22*I1924^2+$E$22*I1924+$F$22)/2</f>
      </c>
      <c r="X1924" s="7">
        <f>($W1924)*(T1924)</f>
      </c>
      <c r="Y1924" s="7">
        <f>($W1924)*(U1924)</f>
      </c>
      <c r="Z1924" s="7">
        <f>SQRT(X1924^2+Y1924^2)</f>
      </c>
      <c r="AA1924" s="7">
        <f>$K1924+$X1924</f>
      </c>
      <c r="AB1924" s="7">
        <f>$L1924+$Y1924</f>
      </c>
      <c r="AC1924" s="7">
        <f>$K1924-$X1924</f>
      </c>
      <c r="AD1924" s="7">
        <f>$L1924-$Y1924</f>
      </c>
      <c r="AE1924" s="7">
        <f>AA1924/39.3701</f>
      </c>
      <c r="AF1924" s="7">
        <f>AB1924/39.3701</f>
      </c>
      <c r="AG1924" s="7">
        <f>AC1924/39.3701</f>
      </c>
      <c r="AH1924" s="7">
        <f>AD1924/39.3701</f>
      </c>
      <c r="AI1924" s="1"/>
      <c r="AJ1924" s="1"/>
      <c r="AK1924" s="1"/>
      <c r="AL1924" s="1"/>
      <c r="AM1924" s="2"/>
      <c r="AN1924" s="1"/>
      <c r="AO1924" s="1"/>
      <c r="AP1924" s="1"/>
      <c r="AQ1924" s="1"/>
      <c r="AR1924" s="1"/>
      <c r="AS1924" s="1"/>
      <c r="AT1924" s="1"/>
      <c r="AU1924" s="1"/>
      <c r="AV1924" s="1"/>
      <c r="AW1924" s="1"/>
      <c r="AX1924" s="1"/>
      <c r="AY1924" s="1"/>
      <c r="AZ1924" s="1"/>
      <c r="BA1924" s="1"/>
      <c r="BB1924" s="1"/>
      <c r="BC1924" s="1"/>
      <c r="BD1924" s="1"/>
      <c r="BE1924" s="1"/>
    </row>
    <row x14ac:dyDescent="0.25" r="1925" customHeight="1" ht="18.75">
      <c r="A1925" s="1"/>
      <c r="B1925" s="2"/>
      <c r="C1925" s="2"/>
      <c r="D1925" s="2"/>
      <c r="E1925" s="2"/>
      <c r="F1925" s="2"/>
      <c r="G1925" s="1"/>
      <c r="H1925" s="1"/>
      <c r="I1925" s="7">
        <v>1.922</v>
      </c>
      <c r="J1925" s="7">
        <f>IF((I1925-ROUNDDOWN(I1925,0))=0, 0, (I1925-ROUNDDOWN(I1925,0)))</f>
      </c>
      <c r="K1925" s="7">
        <f>INDIRECT("C$"&amp;2+MIN(2,ROUNDDOWN(I1925,0))*3)*(-$J1925^3+3*$J1925^2-3*$J1925+1)+INDIRECT("C$"&amp;3+MIN(2,ROUNDDOWN(I1925,0))*3)*(3*$J1925^3-6*$J1925^2+3*$J1925)+INDIRECT("C$"&amp;4+MIN(2,ROUNDDOWN(I1925,0))*3)*(-3*$J1925^3+3*$J1925^2)+INDIRECT("C$"&amp;5+MIN(2,ROUNDDOWN(I1925,0))*3)*$J1925^3</f>
      </c>
      <c r="L1925" s="7">
        <f>INDIRECT("D$"&amp;2+MIN(2,ROUNDDOWN(I1925,0))*3)*(-$J1925^3+3*$J1925^2-3*$J1925+1)+INDIRECT("D$"&amp;3+MIN(2,ROUNDDOWN(I1925,0))*3)*(3*$J1925^3-6*$J1925^2+3*$J1925)+INDIRECT("D$"&amp;4+MIN(2,ROUNDDOWN(I1925,0))*3)*(-3*$J1925^3+3*$J1925^2)+INDIRECT("D$"&amp;5+MIN(2,ROUNDDOWN(I1925,0))*3)*$J1925^3</f>
      </c>
      <c r="M1925" s="7">
        <f>SQRT(K1925^2+L1925^2)</f>
      </c>
      <c r="N1925" s="7">
        <f>(K1926-K1924)</f>
      </c>
      <c r="O1925" s="7">
        <f>+(L1926-L1924)</f>
      </c>
      <c r="P1925" s="7">
        <f>SQRT(O1925^2+N1925^2)</f>
      </c>
      <c r="Q1925" s="7">
        <f>N1925/$P1925</f>
      </c>
      <c r="R1925" s="7">
        <f>O1925/$P1925</f>
      </c>
      <c r="S1925" s="7">
        <f>Q1925^2+R1925^2</f>
      </c>
      <c r="T1925" s="7">
        <f>-R1925</f>
      </c>
      <c r="U1925" s="7">
        <f>Q1925</f>
      </c>
      <c r="V1925" s="7">
        <f>($C$14+($C$15-$C$14)/($D$15-$D$14)*(I1925-$D$14))/2</f>
      </c>
      <c r="W1925" s="7">
        <f>($B$22*I1925^4+$C$22*I1925^3+$D$22*I1925^2+$E$22*I1925+$F$22)/2</f>
      </c>
      <c r="X1925" s="7">
        <f>($W1925)*(T1925)</f>
      </c>
      <c r="Y1925" s="7">
        <f>($W1925)*(U1925)</f>
      </c>
      <c r="Z1925" s="7">
        <f>SQRT(X1925^2+Y1925^2)</f>
      </c>
      <c r="AA1925" s="7">
        <f>$K1925+$X1925</f>
      </c>
      <c r="AB1925" s="7">
        <f>$L1925+$Y1925</f>
      </c>
      <c r="AC1925" s="7">
        <f>$K1925-$X1925</f>
      </c>
      <c r="AD1925" s="7">
        <f>$L1925-$Y1925</f>
      </c>
      <c r="AE1925" s="7">
        <f>AA1925/39.3701</f>
      </c>
      <c r="AF1925" s="7">
        <f>AB1925/39.3701</f>
      </c>
      <c r="AG1925" s="7">
        <f>AC1925/39.3701</f>
      </c>
      <c r="AH1925" s="7">
        <f>AD1925/39.3701</f>
      </c>
      <c r="AI1925" s="1"/>
      <c r="AJ1925" s="1"/>
      <c r="AK1925" s="1"/>
      <c r="AL1925" s="1"/>
      <c r="AM1925" s="2"/>
      <c r="AN1925" s="1"/>
      <c r="AO1925" s="1"/>
      <c r="AP1925" s="1"/>
      <c r="AQ1925" s="1"/>
      <c r="AR1925" s="1"/>
      <c r="AS1925" s="1"/>
      <c r="AT1925" s="1"/>
      <c r="AU1925" s="1"/>
      <c r="AV1925" s="1"/>
      <c r="AW1925" s="1"/>
      <c r="AX1925" s="1"/>
      <c r="AY1925" s="1"/>
      <c r="AZ1925" s="1"/>
      <c r="BA1925" s="1"/>
      <c r="BB1925" s="1"/>
      <c r="BC1925" s="1"/>
      <c r="BD1925" s="1"/>
      <c r="BE1925" s="1"/>
    </row>
    <row x14ac:dyDescent="0.25" r="1926" customHeight="1" ht="18.75">
      <c r="A1926" s="1"/>
      <c r="B1926" s="2"/>
      <c r="C1926" s="2"/>
      <c r="D1926" s="2"/>
      <c r="E1926" s="2"/>
      <c r="F1926" s="2"/>
      <c r="G1926" s="1"/>
      <c r="H1926" s="1"/>
      <c r="I1926" s="7">
        <v>1.923</v>
      </c>
      <c r="J1926" s="7">
        <f>IF((I1926-ROUNDDOWN(I1926,0))=0, 0, (I1926-ROUNDDOWN(I1926,0)))</f>
      </c>
      <c r="K1926" s="7">
        <f>INDIRECT("C$"&amp;2+MIN(2,ROUNDDOWN(I1926,0))*3)*(-$J1926^3+3*$J1926^2-3*$J1926+1)+INDIRECT("C$"&amp;3+MIN(2,ROUNDDOWN(I1926,0))*3)*(3*$J1926^3-6*$J1926^2+3*$J1926)+INDIRECT("C$"&amp;4+MIN(2,ROUNDDOWN(I1926,0))*3)*(-3*$J1926^3+3*$J1926^2)+INDIRECT("C$"&amp;5+MIN(2,ROUNDDOWN(I1926,0))*3)*$J1926^3</f>
      </c>
      <c r="L1926" s="7">
        <f>INDIRECT("D$"&amp;2+MIN(2,ROUNDDOWN(I1926,0))*3)*(-$J1926^3+3*$J1926^2-3*$J1926+1)+INDIRECT("D$"&amp;3+MIN(2,ROUNDDOWN(I1926,0))*3)*(3*$J1926^3-6*$J1926^2+3*$J1926)+INDIRECT("D$"&amp;4+MIN(2,ROUNDDOWN(I1926,0))*3)*(-3*$J1926^3+3*$J1926^2)+INDIRECT("D$"&amp;5+MIN(2,ROUNDDOWN(I1926,0))*3)*$J1926^3</f>
      </c>
      <c r="M1926" s="7">
        <f>SQRT(K1926^2+L1926^2)</f>
      </c>
      <c r="N1926" s="7">
        <f>(K1927-K1925)</f>
      </c>
      <c r="O1926" s="7">
        <f>+(L1927-L1925)</f>
      </c>
      <c r="P1926" s="7">
        <f>SQRT(O1926^2+N1926^2)</f>
      </c>
      <c r="Q1926" s="7">
        <f>N1926/$P1926</f>
      </c>
      <c r="R1926" s="7">
        <f>O1926/$P1926</f>
      </c>
      <c r="S1926" s="8">
        <f>Q1926^2+R1926^2</f>
      </c>
      <c r="T1926" s="7">
        <f>-R1926</f>
      </c>
      <c r="U1926" s="7">
        <f>Q1926</f>
      </c>
      <c r="V1926" s="7">
        <f>($C$14+($C$15-$C$14)/($D$15-$D$14)*(I1926-$D$14))/2</f>
      </c>
      <c r="W1926" s="7">
        <f>($B$22*I1926^4+$C$22*I1926^3+$D$22*I1926^2+$E$22*I1926+$F$22)/2</f>
      </c>
      <c r="X1926" s="7">
        <f>($W1926)*(T1926)</f>
      </c>
      <c r="Y1926" s="7">
        <f>($W1926)*(U1926)</f>
      </c>
      <c r="Z1926" s="7">
        <f>SQRT(X1926^2+Y1926^2)</f>
      </c>
      <c r="AA1926" s="7">
        <f>$K1926+$X1926</f>
      </c>
      <c r="AB1926" s="7">
        <f>$L1926+$Y1926</f>
      </c>
      <c r="AC1926" s="7">
        <f>$K1926-$X1926</f>
      </c>
      <c r="AD1926" s="7">
        <f>$L1926-$Y1926</f>
      </c>
      <c r="AE1926" s="7">
        <f>AA1926/39.3701</f>
      </c>
      <c r="AF1926" s="7">
        <f>AB1926/39.3701</f>
      </c>
      <c r="AG1926" s="7">
        <f>AC1926/39.3701</f>
      </c>
      <c r="AH1926" s="7">
        <f>AD1926/39.3701</f>
      </c>
      <c r="AI1926" s="1"/>
      <c r="AJ1926" s="1"/>
      <c r="AK1926" s="1"/>
      <c r="AL1926" s="1"/>
      <c r="AM1926" s="2"/>
      <c r="AN1926" s="1"/>
      <c r="AO1926" s="1"/>
      <c r="AP1926" s="1"/>
      <c r="AQ1926" s="1"/>
      <c r="AR1926" s="1"/>
      <c r="AS1926" s="1"/>
      <c r="AT1926" s="1"/>
      <c r="AU1926" s="1"/>
      <c r="AV1926" s="1"/>
      <c r="AW1926" s="1"/>
      <c r="AX1926" s="1"/>
      <c r="AY1926" s="1"/>
      <c r="AZ1926" s="1"/>
      <c r="BA1926" s="1"/>
      <c r="BB1926" s="1"/>
      <c r="BC1926" s="1"/>
      <c r="BD1926" s="1"/>
      <c r="BE1926" s="1"/>
    </row>
    <row x14ac:dyDescent="0.25" r="1927" customHeight="1" ht="18.75">
      <c r="A1927" s="1"/>
      <c r="B1927" s="2"/>
      <c r="C1927" s="2"/>
      <c r="D1927" s="2"/>
      <c r="E1927" s="2"/>
      <c r="F1927" s="2"/>
      <c r="G1927" s="1"/>
      <c r="H1927" s="1"/>
      <c r="I1927" s="7">
        <v>1.924</v>
      </c>
      <c r="J1927" s="7">
        <f>IF((I1927-ROUNDDOWN(I1927,0))=0, 0, (I1927-ROUNDDOWN(I1927,0)))</f>
      </c>
      <c r="K1927" s="7">
        <f>INDIRECT("C$"&amp;2+MIN(2,ROUNDDOWN(I1927,0))*3)*(-$J1927^3+3*$J1927^2-3*$J1927+1)+INDIRECT("C$"&amp;3+MIN(2,ROUNDDOWN(I1927,0))*3)*(3*$J1927^3-6*$J1927^2+3*$J1927)+INDIRECT("C$"&amp;4+MIN(2,ROUNDDOWN(I1927,0))*3)*(-3*$J1927^3+3*$J1927^2)+INDIRECT("C$"&amp;5+MIN(2,ROUNDDOWN(I1927,0))*3)*$J1927^3</f>
      </c>
      <c r="L1927" s="7">
        <f>INDIRECT("D$"&amp;2+MIN(2,ROUNDDOWN(I1927,0))*3)*(-$J1927^3+3*$J1927^2-3*$J1927+1)+INDIRECT("D$"&amp;3+MIN(2,ROUNDDOWN(I1927,0))*3)*(3*$J1927^3-6*$J1927^2+3*$J1927)+INDIRECT("D$"&amp;4+MIN(2,ROUNDDOWN(I1927,0))*3)*(-3*$J1927^3+3*$J1927^2)+INDIRECT("D$"&amp;5+MIN(2,ROUNDDOWN(I1927,0))*3)*$J1927^3</f>
      </c>
      <c r="M1927" s="7">
        <f>SQRT(K1927^2+L1927^2)</f>
      </c>
      <c r="N1927" s="7">
        <f>(K1928-K1926)</f>
      </c>
      <c r="O1927" s="7">
        <f>+(L1928-L1926)</f>
      </c>
      <c r="P1927" s="7">
        <f>SQRT(O1927^2+N1927^2)</f>
      </c>
      <c r="Q1927" s="7">
        <f>N1927/$P1927</f>
      </c>
      <c r="R1927" s="7">
        <f>O1927/$P1927</f>
      </c>
      <c r="S1927" s="7">
        <f>Q1927^2+R1927^2</f>
      </c>
      <c r="T1927" s="7">
        <f>-R1927</f>
      </c>
      <c r="U1927" s="7">
        <f>Q1927</f>
      </c>
      <c r="V1927" s="7">
        <f>($C$14+($C$15-$C$14)/($D$15-$D$14)*(I1927-$D$14))/2</f>
      </c>
      <c r="W1927" s="7">
        <f>($B$22*I1927^4+$C$22*I1927^3+$D$22*I1927^2+$E$22*I1927+$F$22)/2</f>
      </c>
      <c r="X1927" s="7">
        <f>($W1927)*(T1927)</f>
      </c>
      <c r="Y1927" s="7">
        <f>($W1927)*(U1927)</f>
      </c>
      <c r="Z1927" s="7">
        <f>SQRT(X1927^2+Y1927^2)</f>
      </c>
      <c r="AA1927" s="7">
        <f>$K1927+$X1927</f>
      </c>
      <c r="AB1927" s="7">
        <f>$L1927+$Y1927</f>
      </c>
      <c r="AC1927" s="7">
        <f>$K1927-$X1927</f>
      </c>
      <c r="AD1927" s="7">
        <f>$L1927-$Y1927</f>
      </c>
      <c r="AE1927" s="7">
        <f>AA1927/39.3701</f>
      </c>
      <c r="AF1927" s="7">
        <f>AB1927/39.3701</f>
      </c>
      <c r="AG1927" s="7">
        <f>AC1927/39.3701</f>
      </c>
      <c r="AH1927" s="7">
        <f>AD1927/39.3701</f>
      </c>
      <c r="AI1927" s="1"/>
      <c r="AJ1927" s="1"/>
      <c r="AK1927" s="1"/>
      <c r="AL1927" s="1"/>
      <c r="AM1927" s="2"/>
      <c r="AN1927" s="1"/>
      <c r="AO1927" s="1"/>
      <c r="AP1927" s="1"/>
      <c r="AQ1927" s="1"/>
      <c r="AR1927" s="1"/>
      <c r="AS1927" s="1"/>
      <c r="AT1927" s="1"/>
      <c r="AU1927" s="1"/>
      <c r="AV1927" s="1"/>
      <c r="AW1927" s="1"/>
      <c r="AX1927" s="1"/>
      <c r="AY1927" s="1"/>
      <c r="AZ1927" s="1"/>
      <c r="BA1927" s="1"/>
      <c r="BB1927" s="1"/>
      <c r="BC1927" s="1"/>
      <c r="BD1927" s="1"/>
      <c r="BE1927" s="1"/>
    </row>
    <row x14ac:dyDescent="0.25" r="1928" customHeight="1" ht="18.75">
      <c r="A1928" s="1"/>
      <c r="B1928" s="2"/>
      <c r="C1928" s="2"/>
      <c r="D1928" s="2"/>
      <c r="E1928" s="2"/>
      <c r="F1928" s="2"/>
      <c r="G1928" s="1"/>
      <c r="H1928" s="1"/>
      <c r="I1928" s="7">
        <v>1.925</v>
      </c>
      <c r="J1928" s="7">
        <f>IF((I1928-ROUNDDOWN(I1928,0))=0, 0, (I1928-ROUNDDOWN(I1928,0)))</f>
      </c>
      <c r="K1928" s="7">
        <f>INDIRECT("C$"&amp;2+MIN(2,ROUNDDOWN(I1928,0))*3)*(-$J1928^3+3*$J1928^2-3*$J1928+1)+INDIRECT("C$"&amp;3+MIN(2,ROUNDDOWN(I1928,0))*3)*(3*$J1928^3-6*$J1928^2+3*$J1928)+INDIRECT("C$"&amp;4+MIN(2,ROUNDDOWN(I1928,0))*3)*(-3*$J1928^3+3*$J1928^2)+INDIRECT("C$"&amp;5+MIN(2,ROUNDDOWN(I1928,0))*3)*$J1928^3</f>
      </c>
      <c r="L1928" s="7">
        <f>INDIRECT("D$"&amp;2+MIN(2,ROUNDDOWN(I1928,0))*3)*(-$J1928^3+3*$J1928^2-3*$J1928+1)+INDIRECT("D$"&amp;3+MIN(2,ROUNDDOWN(I1928,0))*3)*(3*$J1928^3-6*$J1928^2+3*$J1928)+INDIRECT("D$"&amp;4+MIN(2,ROUNDDOWN(I1928,0))*3)*(-3*$J1928^3+3*$J1928^2)+INDIRECT("D$"&amp;5+MIN(2,ROUNDDOWN(I1928,0))*3)*$J1928^3</f>
      </c>
      <c r="M1928" s="7">
        <f>SQRT(K1928^2+L1928^2)</f>
      </c>
      <c r="N1928" s="7">
        <f>(K1929-K1927)</f>
      </c>
      <c r="O1928" s="7">
        <f>+(L1929-L1927)</f>
      </c>
      <c r="P1928" s="7">
        <f>SQRT(O1928^2+N1928^2)</f>
      </c>
      <c r="Q1928" s="7">
        <f>N1928/$P1928</f>
      </c>
      <c r="R1928" s="7">
        <f>O1928/$P1928</f>
      </c>
      <c r="S1928" s="8">
        <f>Q1928^2+R1928^2</f>
      </c>
      <c r="T1928" s="7">
        <f>-R1928</f>
      </c>
      <c r="U1928" s="7">
        <f>Q1928</f>
      </c>
      <c r="V1928" s="7">
        <f>($C$14+($C$15-$C$14)/($D$15-$D$14)*(I1928-$D$14))/2</f>
      </c>
      <c r="W1928" s="7">
        <f>($B$22*I1928^4+$C$22*I1928^3+$D$22*I1928^2+$E$22*I1928+$F$22)/2</f>
      </c>
      <c r="X1928" s="7">
        <f>($W1928)*(T1928)</f>
      </c>
      <c r="Y1928" s="7">
        <f>($W1928)*(U1928)</f>
      </c>
      <c r="Z1928" s="7">
        <f>SQRT(X1928^2+Y1928^2)</f>
      </c>
      <c r="AA1928" s="7">
        <f>$K1928+$X1928</f>
      </c>
      <c r="AB1928" s="7">
        <f>$L1928+$Y1928</f>
      </c>
      <c r="AC1928" s="7">
        <f>$K1928-$X1928</f>
      </c>
      <c r="AD1928" s="7">
        <f>$L1928-$Y1928</f>
      </c>
      <c r="AE1928" s="7">
        <f>AA1928/39.3701</f>
      </c>
      <c r="AF1928" s="7">
        <f>AB1928/39.3701</f>
      </c>
      <c r="AG1928" s="7">
        <f>AC1928/39.3701</f>
      </c>
      <c r="AH1928" s="7">
        <f>AD1928/39.3701</f>
      </c>
      <c r="AI1928" s="1"/>
      <c r="AJ1928" s="1"/>
      <c r="AK1928" s="1"/>
      <c r="AL1928" s="1"/>
      <c r="AM1928" s="2"/>
      <c r="AN1928" s="1"/>
      <c r="AO1928" s="1"/>
      <c r="AP1928" s="1"/>
      <c r="AQ1928" s="1"/>
      <c r="AR1928" s="1"/>
      <c r="AS1928" s="1"/>
      <c r="AT1928" s="1"/>
      <c r="AU1928" s="1"/>
      <c r="AV1928" s="1"/>
      <c r="AW1928" s="1"/>
      <c r="AX1928" s="1"/>
      <c r="AY1928" s="1"/>
      <c r="AZ1928" s="1"/>
      <c r="BA1928" s="1"/>
      <c r="BB1928" s="1"/>
      <c r="BC1928" s="1"/>
      <c r="BD1928" s="1"/>
      <c r="BE1928" s="1"/>
    </row>
    <row x14ac:dyDescent="0.25" r="1929" customHeight="1" ht="18.75">
      <c r="A1929" s="1"/>
      <c r="B1929" s="2"/>
      <c r="C1929" s="2"/>
      <c r="D1929" s="2"/>
      <c r="E1929" s="2"/>
      <c r="F1929" s="2"/>
      <c r="G1929" s="1"/>
      <c r="H1929" s="1"/>
      <c r="I1929" s="7">
        <v>1.926</v>
      </c>
      <c r="J1929" s="7">
        <f>IF((I1929-ROUNDDOWN(I1929,0))=0, 0, (I1929-ROUNDDOWN(I1929,0)))</f>
      </c>
      <c r="K1929" s="7">
        <f>INDIRECT("C$"&amp;2+MIN(2,ROUNDDOWN(I1929,0))*3)*(-$J1929^3+3*$J1929^2-3*$J1929+1)+INDIRECT("C$"&amp;3+MIN(2,ROUNDDOWN(I1929,0))*3)*(3*$J1929^3-6*$J1929^2+3*$J1929)+INDIRECT("C$"&amp;4+MIN(2,ROUNDDOWN(I1929,0))*3)*(-3*$J1929^3+3*$J1929^2)+INDIRECT("C$"&amp;5+MIN(2,ROUNDDOWN(I1929,0))*3)*$J1929^3</f>
      </c>
      <c r="L1929" s="7">
        <f>INDIRECT("D$"&amp;2+MIN(2,ROUNDDOWN(I1929,0))*3)*(-$J1929^3+3*$J1929^2-3*$J1929+1)+INDIRECT("D$"&amp;3+MIN(2,ROUNDDOWN(I1929,0))*3)*(3*$J1929^3-6*$J1929^2+3*$J1929)+INDIRECT("D$"&amp;4+MIN(2,ROUNDDOWN(I1929,0))*3)*(-3*$J1929^3+3*$J1929^2)+INDIRECT("D$"&amp;5+MIN(2,ROUNDDOWN(I1929,0))*3)*$J1929^3</f>
      </c>
      <c r="M1929" s="7">
        <f>SQRT(K1929^2+L1929^2)</f>
      </c>
      <c r="N1929" s="7">
        <f>(K1930-K1928)</f>
      </c>
      <c r="O1929" s="7">
        <f>+(L1930-L1928)</f>
      </c>
      <c r="P1929" s="7">
        <f>SQRT(O1929^2+N1929^2)</f>
      </c>
      <c r="Q1929" s="7">
        <f>N1929/$P1929</f>
      </c>
      <c r="R1929" s="7">
        <f>O1929/$P1929</f>
      </c>
      <c r="S1929" s="7">
        <f>Q1929^2+R1929^2</f>
      </c>
      <c r="T1929" s="7">
        <f>-R1929</f>
      </c>
      <c r="U1929" s="7">
        <f>Q1929</f>
      </c>
      <c r="V1929" s="7">
        <f>($C$14+($C$15-$C$14)/($D$15-$D$14)*(I1929-$D$14))/2</f>
      </c>
      <c r="W1929" s="7">
        <f>($B$22*I1929^4+$C$22*I1929^3+$D$22*I1929^2+$E$22*I1929+$F$22)/2</f>
      </c>
      <c r="X1929" s="7">
        <f>($W1929)*(T1929)</f>
      </c>
      <c r="Y1929" s="7">
        <f>($W1929)*(U1929)</f>
      </c>
      <c r="Z1929" s="7">
        <f>SQRT(X1929^2+Y1929^2)</f>
      </c>
      <c r="AA1929" s="7">
        <f>$K1929+$X1929</f>
      </c>
      <c r="AB1929" s="7">
        <f>$L1929+$Y1929</f>
      </c>
      <c r="AC1929" s="7">
        <f>$K1929-$X1929</f>
      </c>
      <c r="AD1929" s="7">
        <f>$L1929-$Y1929</f>
      </c>
      <c r="AE1929" s="7">
        <f>AA1929/39.3701</f>
      </c>
      <c r="AF1929" s="7">
        <f>AB1929/39.3701</f>
      </c>
      <c r="AG1929" s="7">
        <f>AC1929/39.3701</f>
      </c>
      <c r="AH1929" s="7">
        <f>AD1929/39.3701</f>
      </c>
      <c r="AI1929" s="1"/>
      <c r="AJ1929" s="1"/>
      <c r="AK1929" s="1"/>
      <c r="AL1929" s="1"/>
      <c r="AM1929" s="2"/>
      <c r="AN1929" s="1"/>
      <c r="AO1929" s="1"/>
      <c r="AP1929" s="1"/>
      <c r="AQ1929" s="1"/>
      <c r="AR1929" s="1"/>
      <c r="AS1929" s="1"/>
      <c r="AT1929" s="1"/>
      <c r="AU1929" s="1"/>
      <c r="AV1929" s="1"/>
      <c r="AW1929" s="1"/>
      <c r="AX1929" s="1"/>
      <c r="AY1929" s="1"/>
      <c r="AZ1929" s="1"/>
      <c r="BA1929" s="1"/>
      <c r="BB1929" s="1"/>
      <c r="BC1929" s="1"/>
      <c r="BD1929" s="1"/>
      <c r="BE1929" s="1"/>
    </row>
    <row x14ac:dyDescent="0.25" r="1930" customHeight="1" ht="18.75">
      <c r="A1930" s="1"/>
      <c r="B1930" s="2"/>
      <c r="C1930" s="2"/>
      <c r="D1930" s="2"/>
      <c r="E1930" s="2"/>
      <c r="F1930" s="2"/>
      <c r="G1930" s="1"/>
      <c r="H1930" s="1"/>
      <c r="I1930" s="7">
        <v>1.927</v>
      </c>
      <c r="J1930" s="7">
        <f>IF((I1930-ROUNDDOWN(I1930,0))=0, 0, (I1930-ROUNDDOWN(I1930,0)))</f>
      </c>
      <c r="K1930" s="7">
        <f>INDIRECT("C$"&amp;2+MIN(2,ROUNDDOWN(I1930,0))*3)*(-$J1930^3+3*$J1930^2-3*$J1930+1)+INDIRECT("C$"&amp;3+MIN(2,ROUNDDOWN(I1930,0))*3)*(3*$J1930^3-6*$J1930^2+3*$J1930)+INDIRECT("C$"&amp;4+MIN(2,ROUNDDOWN(I1930,0))*3)*(-3*$J1930^3+3*$J1930^2)+INDIRECT("C$"&amp;5+MIN(2,ROUNDDOWN(I1930,0))*3)*$J1930^3</f>
      </c>
      <c r="L1930" s="7">
        <f>INDIRECT("D$"&amp;2+MIN(2,ROUNDDOWN(I1930,0))*3)*(-$J1930^3+3*$J1930^2-3*$J1930+1)+INDIRECT("D$"&amp;3+MIN(2,ROUNDDOWN(I1930,0))*3)*(3*$J1930^3-6*$J1930^2+3*$J1930)+INDIRECT("D$"&amp;4+MIN(2,ROUNDDOWN(I1930,0))*3)*(-3*$J1930^3+3*$J1930^2)+INDIRECT("D$"&amp;5+MIN(2,ROUNDDOWN(I1930,0))*3)*$J1930^3</f>
      </c>
      <c r="M1930" s="7">
        <f>SQRT(K1930^2+L1930^2)</f>
      </c>
      <c r="N1930" s="7">
        <f>(K1931-K1929)</f>
      </c>
      <c r="O1930" s="7">
        <f>+(L1931-L1929)</f>
      </c>
      <c r="P1930" s="7">
        <f>SQRT(O1930^2+N1930^2)</f>
      </c>
      <c r="Q1930" s="7">
        <f>N1930/$P1930</f>
      </c>
      <c r="R1930" s="7">
        <f>O1930/$P1930</f>
      </c>
      <c r="S1930" s="7">
        <f>Q1930^2+R1930^2</f>
      </c>
      <c r="T1930" s="7">
        <f>-R1930</f>
      </c>
      <c r="U1930" s="7">
        <f>Q1930</f>
      </c>
      <c r="V1930" s="7">
        <f>($C$14+($C$15-$C$14)/($D$15-$D$14)*(I1930-$D$14))/2</f>
      </c>
      <c r="W1930" s="7">
        <f>($B$22*I1930^4+$C$22*I1930^3+$D$22*I1930^2+$E$22*I1930+$F$22)/2</f>
      </c>
      <c r="X1930" s="7">
        <f>($W1930)*(T1930)</f>
      </c>
      <c r="Y1930" s="7">
        <f>($W1930)*(U1930)</f>
      </c>
      <c r="Z1930" s="7">
        <f>SQRT(X1930^2+Y1930^2)</f>
      </c>
      <c r="AA1930" s="7">
        <f>$K1930+$X1930</f>
      </c>
      <c r="AB1930" s="7">
        <f>$L1930+$Y1930</f>
      </c>
      <c r="AC1930" s="7">
        <f>$K1930-$X1930</f>
      </c>
      <c r="AD1930" s="7">
        <f>$L1930-$Y1930</f>
      </c>
      <c r="AE1930" s="7">
        <f>AA1930/39.3701</f>
      </c>
      <c r="AF1930" s="7">
        <f>AB1930/39.3701</f>
      </c>
      <c r="AG1930" s="7">
        <f>AC1930/39.3701</f>
      </c>
      <c r="AH1930" s="7">
        <f>AD1930/39.3701</f>
      </c>
      <c r="AI1930" s="1"/>
      <c r="AJ1930" s="1"/>
      <c r="AK1930" s="1"/>
      <c r="AL1930" s="1"/>
      <c r="AM1930" s="2"/>
      <c r="AN1930" s="1"/>
      <c r="AO1930" s="1"/>
      <c r="AP1930" s="1"/>
      <c r="AQ1930" s="1"/>
      <c r="AR1930" s="1"/>
      <c r="AS1930" s="1"/>
      <c r="AT1930" s="1"/>
      <c r="AU1930" s="1"/>
      <c r="AV1930" s="1"/>
      <c r="AW1930" s="1"/>
      <c r="AX1930" s="1"/>
      <c r="AY1930" s="1"/>
      <c r="AZ1930" s="1"/>
      <c r="BA1930" s="1"/>
      <c r="BB1930" s="1"/>
      <c r="BC1930" s="1"/>
      <c r="BD1930" s="1"/>
      <c r="BE1930" s="1"/>
    </row>
    <row x14ac:dyDescent="0.25" r="1931" customHeight="1" ht="18.75">
      <c r="A1931" s="1"/>
      <c r="B1931" s="2"/>
      <c r="C1931" s="2"/>
      <c r="D1931" s="2"/>
      <c r="E1931" s="2"/>
      <c r="F1931" s="2"/>
      <c r="G1931" s="1"/>
      <c r="H1931" s="1"/>
      <c r="I1931" s="7">
        <v>1.928</v>
      </c>
      <c r="J1931" s="7">
        <f>IF((I1931-ROUNDDOWN(I1931,0))=0, 0, (I1931-ROUNDDOWN(I1931,0)))</f>
      </c>
      <c r="K1931" s="7">
        <f>INDIRECT("C$"&amp;2+MIN(2,ROUNDDOWN(I1931,0))*3)*(-$J1931^3+3*$J1931^2-3*$J1931+1)+INDIRECT("C$"&amp;3+MIN(2,ROUNDDOWN(I1931,0))*3)*(3*$J1931^3-6*$J1931^2+3*$J1931)+INDIRECT("C$"&amp;4+MIN(2,ROUNDDOWN(I1931,0))*3)*(-3*$J1931^3+3*$J1931^2)+INDIRECT("C$"&amp;5+MIN(2,ROUNDDOWN(I1931,0))*3)*$J1931^3</f>
      </c>
      <c r="L1931" s="7">
        <f>INDIRECT("D$"&amp;2+MIN(2,ROUNDDOWN(I1931,0))*3)*(-$J1931^3+3*$J1931^2-3*$J1931+1)+INDIRECT("D$"&amp;3+MIN(2,ROUNDDOWN(I1931,0))*3)*(3*$J1931^3-6*$J1931^2+3*$J1931)+INDIRECT("D$"&amp;4+MIN(2,ROUNDDOWN(I1931,0))*3)*(-3*$J1931^3+3*$J1931^2)+INDIRECT("D$"&amp;5+MIN(2,ROUNDDOWN(I1931,0))*3)*$J1931^3</f>
      </c>
      <c r="M1931" s="7">
        <f>SQRT(K1931^2+L1931^2)</f>
      </c>
      <c r="N1931" s="7">
        <f>(K1932-K1930)</f>
      </c>
      <c r="O1931" s="7">
        <f>+(L1932-L1930)</f>
      </c>
      <c r="P1931" s="7">
        <f>SQRT(O1931^2+N1931^2)</f>
      </c>
      <c r="Q1931" s="7">
        <f>N1931/$P1931</f>
      </c>
      <c r="R1931" s="7">
        <f>O1931/$P1931</f>
      </c>
      <c r="S1931" s="8">
        <f>Q1931^2+R1931^2</f>
      </c>
      <c r="T1931" s="7">
        <f>-R1931</f>
      </c>
      <c r="U1931" s="7">
        <f>Q1931</f>
      </c>
      <c r="V1931" s="7">
        <f>($C$14+($C$15-$C$14)/($D$15-$D$14)*(I1931-$D$14))/2</f>
      </c>
      <c r="W1931" s="7">
        <f>($B$22*I1931^4+$C$22*I1931^3+$D$22*I1931^2+$E$22*I1931+$F$22)/2</f>
      </c>
      <c r="X1931" s="7">
        <f>($W1931)*(T1931)</f>
      </c>
      <c r="Y1931" s="7">
        <f>($W1931)*(U1931)</f>
      </c>
      <c r="Z1931" s="7">
        <f>SQRT(X1931^2+Y1931^2)</f>
      </c>
      <c r="AA1931" s="7">
        <f>$K1931+$X1931</f>
      </c>
      <c r="AB1931" s="7">
        <f>$L1931+$Y1931</f>
      </c>
      <c r="AC1931" s="7">
        <f>$K1931-$X1931</f>
      </c>
      <c r="AD1931" s="7">
        <f>$L1931-$Y1931</f>
      </c>
      <c r="AE1931" s="7">
        <f>AA1931/39.3701</f>
      </c>
      <c r="AF1931" s="7">
        <f>AB1931/39.3701</f>
      </c>
      <c r="AG1931" s="7">
        <f>AC1931/39.3701</f>
      </c>
      <c r="AH1931" s="7">
        <f>AD1931/39.3701</f>
      </c>
      <c r="AI1931" s="1"/>
      <c r="AJ1931" s="1"/>
      <c r="AK1931" s="1"/>
      <c r="AL1931" s="1"/>
      <c r="AM1931" s="2"/>
      <c r="AN1931" s="1"/>
      <c r="AO1931" s="1"/>
      <c r="AP1931" s="1"/>
      <c r="AQ1931" s="1"/>
      <c r="AR1931" s="1"/>
      <c r="AS1931" s="1"/>
      <c r="AT1931" s="1"/>
      <c r="AU1931" s="1"/>
      <c r="AV1931" s="1"/>
      <c r="AW1931" s="1"/>
      <c r="AX1931" s="1"/>
      <c r="AY1931" s="1"/>
      <c r="AZ1931" s="1"/>
      <c r="BA1931" s="1"/>
      <c r="BB1931" s="1"/>
      <c r="BC1931" s="1"/>
      <c r="BD1931" s="1"/>
      <c r="BE1931" s="1"/>
    </row>
    <row x14ac:dyDescent="0.25" r="1932" customHeight="1" ht="18.75">
      <c r="A1932" s="1"/>
      <c r="B1932" s="2"/>
      <c r="C1932" s="2"/>
      <c r="D1932" s="2"/>
      <c r="E1932" s="2"/>
      <c r="F1932" s="2"/>
      <c r="G1932" s="1"/>
      <c r="H1932" s="1"/>
      <c r="I1932" s="7">
        <v>1.929</v>
      </c>
      <c r="J1932" s="7">
        <f>IF((I1932-ROUNDDOWN(I1932,0))=0, 0, (I1932-ROUNDDOWN(I1932,0)))</f>
      </c>
      <c r="K1932" s="7">
        <f>INDIRECT("C$"&amp;2+MIN(2,ROUNDDOWN(I1932,0))*3)*(-$J1932^3+3*$J1932^2-3*$J1932+1)+INDIRECT("C$"&amp;3+MIN(2,ROUNDDOWN(I1932,0))*3)*(3*$J1932^3-6*$J1932^2+3*$J1932)+INDIRECT("C$"&amp;4+MIN(2,ROUNDDOWN(I1932,0))*3)*(-3*$J1932^3+3*$J1932^2)+INDIRECT("C$"&amp;5+MIN(2,ROUNDDOWN(I1932,0))*3)*$J1932^3</f>
      </c>
      <c r="L1932" s="7">
        <f>INDIRECT("D$"&amp;2+MIN(2,ROUNDDOWN(I1932,0))*3)*(-$J1932^3+3*$J1932^2-3*$J1932+1)+INDIRECT("D$"&amp;3+MIN(2,ROUNDDOWN(I1932,0))*3)*(3*$J1932^3-6*$J1932^2+3*$J1932)+INDIRECT("D$"&amp;4+MIN(2,ROUNDDOWN(I1932,0))*3)*(-3*$J1932^3+3*$J1932^2)+INDIRECT("D$"&amp;5+MIN(2,ROUNDDOWN(I1932,0))*3)*$J1932^3</f>
      </c>
      <c r="M1932" s="7">
        <f>SQRT(K1932^2+L1932^2)</f>
      </c>
      <c r="N1932" s="7">
        <f>(K1933-K1931)</f>
      </c>
      <c r="O1932" s="7">
        <f>+(L1933-L1931)</f>
      </c>
      <c r="P1932" s="7">
        <f>SQRT(O1932^2+N1932^2)</f>
      </c>
      <c r="Q1932" s="7">
        <f>N1932/$P1932</f>
      </c>
      <c r="R1932" s="7">
        <f>O1932/$P1932</f>
      </c>
      <c r="S1932" s="7">
        <f>Q1932^2+R1932^2</f>
      </c>
      <c r="T1932" s="7">
        <f>-R1932</f>
      </c>
      <c r="U1932" s="7">
        <f>Q1932</f>
      </c>
      <c r="V1932" s="7">
        <f>($C$14+($C$15-$C$14)/($D$15-$D$14)*(I1932-$D$14))/2</f>
      </c>
      <c r="W1932" s="7">
        <f>($B$22*I1932^4+$C$22*I1932^3+$D$22*I1932^2+$E$22*I1932+$F$22)/2</f>
      </c>
      <c r="X1932" s="7">
        <f>($W1932)*(T1932)</f>
      </c>
      <c r="Y1932" s="7">
        <f>($W1932)*(U1932)</f>
      </c>
      <c r="Z1932" s="7">
        <f>SQRT(X1932^2+Y1932^2)</f>
      </c>
      <c r="AA1932" s="7">
        <f>$K1932+$X1932</f>
      </c>
      <c r="AB1932" s="7">
        <f>$L1932+$Y1932</f>
      </c>
      <c r="AC1932" s="7">
        <f>$K1932-$X1932</f>
      </c>
      <c r="AD1932" s="7">
        <f>$L1932-$Y1932</f>
      </c>
      <c r="AE1932" s="7">
        <f>AA1932/39.3701</f>
      </c>
      <c r="AF1932" s="7">
        <f>AB1932/39.3701</f>
      </c>
      <c r="AG1932" s="7">
        <f>AC1932/39.3701</f>
      </c>
      <c r="AH1932" s="7">
        <f>AD1932/39.3701</f>
      </c>
      <c r="AI1932" s="1"/>
      <c r="AJ1932" s="1"/>
      <c r="AK1932" s="1"/>
      <c r="AL1932" s="1"/>
      <c r="AM1932" s="2"/>
      <c r="AN1932" s="1"/>
      <c r="AO1932" s="1"/>
      <c r="AP1932" s="1"/>
      <c r="AQ1932" s="1"/>
      <c r="AR1932" s="1"/>
      <c r="AS1932" s="1"/>
      <c r="AT1932" s="1"/>
      <c r="AU1932" s="1"/>
      <c r="AV1932" s="1"/>
      <c r="AW1932" s="1"/>
      <c r="AX1932" s="1"/>
      <c r="AY1932" s="1"/>
      <c r="AZ1932" s="1"/>
      <c r="BA1932" s="1"/>
      <c r="BB1932" s="1"/>
      <c r="BC1932" s="1"/>
      <c r="BD1932" s="1"/>
      <c r="BE1932" s="1"/>
    </row>
    <row x14ac:dyDescent="0.25" r="1933" customHeight="1" ht="18.75">
      <c r="A1933" s="1"/>
      <c r="B1933" s="2"/>
      <c r="C1933" s="2"/>
      <c r="D1933" s="2"/>
      <c r="E1933" s="2"/>
      <c r="F1933" s="2"/>
      <c r="G1933" s="1"/>
      <c r="H1933" s="1"/>
      <c r="I1933" s="7">
        <v>1.93</v>
      </c>
      <c r="J1933" s="7">
        <f>IF((I1933-ROUNDDOWN(I1933,0))=0, 0, (I1933-ROUNDDOWN(I1933,0)))</f>
      </c>
      <c r="K1933" s="7">
        <f>INDIRECT("C$"&amp;2+MIN(2,ROUNDDOWN(I1933,0))*3)*(-$J1933^3+3*$J1933^2-3*$J1933+1)+INDIRECT("C$"&amp;3+MIN(2,ROUNDDOWN(I1933,0))*3)*(3*$J1933^3-6*$J1933^2+3*$J1933)+INDIRECT("C$"&amp;4+MIN(2,ROUNDDOWN(I1933,0))*3)*(-3*$J1933^3+3*$J1933^2)+INDIRECT("C$"&amp;5+MIN(2,ROUNDDOWN(I1933,0))*3)*$J1933^3</f>
      </c>
      <c r="L1933" s="7">
        <f>INDIRECT("D$"&amp;2+MIN(2,ROUNDDOWN(I1933,0))*3)*(-$J1933^3+3*$J1933^2-3*$J1933+1)+INDIRECT("D$"&amp;3+MIN(2,ROUNDDOWN(I1933,0))*3)*(3*$J1933^3-6*$J1933^2+3*$J1933)+INDIRECT("D$"&amp;4+MIN(2,ROUNDDOWN(I1933,0))*3)*(-3*$J1933^3+3*$J1933^2)+INDIRECT("D$"&amp;5+MIN(2,ROUNDDOWN(I1933,0))*3)*$J1933^3</f>
      </c>
      <c r="M1933" s="7">
        <f>SQRT(K1933^2+L1933^2)</f>
      </c>
      <c r="N1933" s="7">
        <f>(K1934-K1932)</f>
      </c>
      <c r="O1933" s="7">
        <f>+(L1934-L1932)</f>
      </c>
      <c r="P1933" s="7">
        <f>SQRT(O1933^2+N1933^2)</f>
      </c>
      <c r="Q1933" s="7">
        <f>N1933/$P1933</f>
      </c>
      <c r="R1933" s="7">
        <f>O1933/$P1933</f>
      </c>
      <c r="S1933" s="7">
        <f>Q1933^2+R1933^2</f>
      </c>
      <c r="T1933" s="7">
        <f>-R1933</f>
      </c>
      <c r="U1933" s="7">
        <f>Q1933</f>
      </c>
      <c r="V1933" s="7">
        <f>($C$14+($C$15-$C$14)/($D$15-$D$14)*(I1933-$D$14))/2</f>
      </c>
      <c r="W1933" s="7">
        <f>($B$22*I1933^4+$C$22*I1933^3+$D$22*I1933^2+$E$22*I1933+$F$22)/2</f>
      </c>
      <c r="X1933" s="7">
        <f>($W1933)*(T1933)</f>
      </c>
      <c r="Y1933" s="7">
        <f>($W1933)*(U1933)</f>
      </c>
      <c r="Z1933" s="7">
        <f>SQRT(X1933^2+Y1933^2)</f>
      </c>
      <c r="AA1933" s="7">
        <f>$K1933+$X1933</f>
      </c>
      <c r="AB1933" s="7">
        <f>$L1933+$Y1933</f>
      </c>
      <c r="AC1933" s="7">
        <f>$K1933-$X1933</f>
      </c>
      <c r="AD1933" s="7">
        <f>$L1933-$Y1933</f>
      </c>
      <c r="AE1933" s="7">
        <f>AA1933/39.3701</f>
      </c>
      <c r="AF1933" s="7">
        <f>AB1933/39.3701</f>
      </c>
      <c r="AG1933" s="7">
        <f>AC1933/39.3701</f>
      </c>
      <c r="AH1933" s="7">
        <f>AD1933/39.3701</f>
      </c>
      <c r="AI1933" s="1"/>
      <c r="AJ1933" s="1"/>
      <c r="AK1933" s="1"/>
      <c r="AL1933" s="1"/>
      <c r="AM1933" s="2"/>
      <c r="AN1933" s="1"/>
      <c r="AO1933" s="1"/>
      <c r="AP1933" s="1"/>
      <c r="AQ1933" s="1"/>
      <c r="AR1933" s="1"/>
      <c r="AS1933" s="1"/>
      <c r="AT1933" s="1"/>
      <c r="AU1933" s="1"/>
      <c r="AV1933" s="1"/>
      <c r="AW1933" s="1"/>
      <c r="AX1933" s="1"/>
      <c r="AY1933" s="1"/>
      <c r="AZ1933" s="1"/>
      <c r="BA1933" s="1"/>
      <c r="BB1933" s="1"/>
      <c r="BC1933" s="1"/>
      <c r="BD1933" s="1"/>
      <c r="BE1933" s="1"/>
    </row>
    <row x14ac:dyDescent="0.25" r="1934" customHeight="1" ht="18.75">
      <c r="A1934" s="1"/>
      <c r="B1934" s="2"/>
      <c r="C1934" s="2"/>
      <c r="D1934" s="2"/>
      <c r="E1934" s="2"/>
      <c r="F1934" s="2"/>
      <c r="G1934" s="1"/>
      <c r="H1934" s="1"/>
      <c r="I1934" s="7">
        <v>1.931</v>
      </c>
      <c r="J1934" s="7">
        <f>IF((I1934-ROUNDDOWN(I1934,0))=0, 0, (I1934-ROUNDDOWN(I1934,0)))</f>
      </c>
      <c r="K1934" s="7">
        <f>INDIRECT("C$"&amp;2+MIN(2,ROUNDDOWN(I1934,0))*3)*(-$J1934^3+3*$J1934^2-3*$J1934+1)+INDIRECT("C$"&amp;3+MIN(2,ROUNDDOWN(I1934,0))*3)*(3*$J1934^3-6*$J1934^2+3*$J1934)+INDIRECT("C$"&amp;4+MIN(2,ROUNDDOWN(I1934,0))*3)*(-3*$J1934^3+3*$J1934^2)+INDIRECT("C$"&amp;5+MIN(2,ROUNDDOWN(I1934,0))*3)*$J1934^3</f>
      </c>
      <c r="L1934" s="7">
        <f>INDIRECT("D$"&amp;2+MIN(2,ROUNDDOWN(I1934,0))*3)*(-$J1934^3+3*$J1934^2-3*$J1934+1)+INDIRECT("D$"&amp;3+MIN(2,ROUNDDOWN(I1934,0))*3)*(3*$J1934^3-6*$J1934^2+3*$J1934)+INDIRECT("D$"&amp;4+MIN(2,ROUNDDOWN(I1934,0))*3)*(-3*$J1934^3+3*$J1934^2)+INDIRECT("D$"&amp;5+MIN(2,ROUNDDOWN(I1934,0))*3)*$J1934^3</f>
      </c>
      <c r="M1934" s="7">
        <f>SQRT(K1934^2+L1934^2)</f>
      </c>
      <c r="N1934" s="7">
        <f>(K1935-K1933)</f>
      </c>
      <c r="O1934" s="7">
        <f>+(L1935-L1933)</f>
      </c>
      <c r="P1934" s="7">
        <f>SQRT(O1934^2+N1934^2)</f>
      </c>
      <c r="Q1934" s="7">
        <f>N1934/$P1934</f>
      </c>
      <c r="R1934" s="7">
        <f>O1934/$P1934</f>
      </c>
      <c r="S1934" s="8">
        <f>Q1934^2+R1934^2</f>
      </c>
      <c r="T1934" s="7">
        <f>-R1934</f>
      </c>
      <c r="U1934" s="7">
        <f>Q1934</f>
      </c>
      <c r="V1934" s="7">
        <f>($C$14+($C$15-$C$14)/($D$15-$D$14)*(I1934-$D$14))/2</f>
      </c>
      <c r="W1934" s="7">
        <f>($B$22*I1934^4+$C$22*I1934^3+$D$22*I1934^2+$E$22*I1934+$F$22)/2</f>
      </c>
      <c r="X1934" s="7">
        <f>($W1934)*(T1934)</f>
      </c>
      <c r="Y1934" s="7">
        <f>($W1934)*(U1934)</f>
      </c>
      <c r="Z1934" s="7">
        <f>SQRT(X1934^2+Y1934^2)</f>
      </c>
      <c r="AA1934" s="7">
        <f>$K1934+$X1934</f>
      </c>
      <c r="AB1934" s="7">
        <f>$L1934+$Y1934</f>
      </c>
      <c r="AC1934" s="7">
        <f>$K1934-$X1934</f>
      </c>
      <c r="AD1934" s="7">
        <f>$L1934-$Y1934</f>
      </c>
      <c r="AE1934" s="7">
        <f>AA1934/39.3701</f>
      </c>
      <c r="AF1934" s="7">
        <f>AB1934/39.3701</f>
      </c>
      <c r="AG1934" s="7">
        <f>AC1934/39.3701</f>
      </c>
      <c r="AH1934" s="7">
        <f>AD1934/39.3701</f>
      </c>
      <c r="AI1934" s="1"/>
      <c r="AJ1934" s="1"/>
      <c r="AK1934" s="1"/>
      <c r="AL1934" s="1"/>
      <c r="AM1934" s="2"/>
      <c r="AN1934" s="1"/>
      <c r="AO1934" s="1"/>
      <c r="AP1934" s="1"/>
      <c r="AQ1934" s="1"/>
      <c r="AR1934" s="1"/>
      <c r="AS1934" s="1"/>
      <c r="AT1934" s="1"/>
      <c r="AU1934" s="1"/>
      <c r="AV1934" s="1"/>
      <c r="AW1934" s="1"/>
      <c r="AX1934" s="1"/>
      <c r="AY1934" s="1"/>
      <c r="AZ1934" s="1"/>
      <c r="BA1934" s="1"/>
      <c r="BB1934" s="1"/>
      <c r="BC1934" s="1"/>
      <c r="BD1934" s="1"/>
      <c r="BE1934" s="1"/>
    </row>
    <row x14ac:dyDescent="0.25" r="1935" customHeight="1" ht="18.75">
      <c r="A1935" s="1"/>
      <c r="B1935" s="2"/>
      <c r="C1935" s="2"/>
      <c r="D1935" s="2"/>
      <c r="E1935" s="2"/>
      <c r="F1935" s="2"/>
      <c r="G1935" s="1"/>
      <c r="H1935" s="1"/>
      <c r="I1935" s="7">
        <v>1.932</v>
      </c>
      <c r="J1935" s="7">
        <f>IF((I1935-ROUNDDOWN(I1935,0))=0, 0, (I1935-ROUNDDOWN(I1935,0)))</f>
      </c>
      <c r="K1935" s="7">
        <f>INDIRECT("C$"&amp;2+MIN(2,ROUNDDOWN(I1935,0))*3)*(-$J1935^3+3*$J1935^2-3*$J1935+1)+INDIRECT("C$"&amp;3+MIN(2,ROUNDDOWN(I1935,0))*3)*(3*$J1935^3-6*$J1935^2+3*$J1935)+INDIRECT("C$"&amp;4+MIN(2,ROUNDDOWN(I1935,0))*3)*(-3*$J1935^3+3*$J1935^2)+INDIRECT("C$"&amp;5+MIN(2,ROUNDDOWN(I1935,0))*3)*$J1935^3</f>
      </c>
      <c r="L1935" s="7">
        <f>INDIRECT("D$"&amp;2+MIN(2,ROUNDDOWN(I1935,0))*3)*(-$J1935^3+3*$J1935^2-3*$J1935+1)+INDIRECT("D$"&amp;3+MIN(2,ROUNDDOWN(I1935,0))*3)*(3*$J1935^3-6*$J1935^2+3*$J1935)+INDIRECT("D$"&amp;4+MIN(2,ROUNDDOWN(I1935,0))*3)*(-3*$J1935^3+3*$J1935^2)+INDIRECT("D$"&amp;5+MIN(2,ROUNDDOWN(I1935,0))*3)*$J1935^3</f>
      </c>
      <c r="M1935" s="7">
        <f>SQRT(K1935^2+L1935^2)</f>
      </c>
      <c r="N1935" s="7">
        <f>(K1936-K1934)</f>
      </c>
      <c r="O1935" s="7">
        <f>+(L1936-L1934)</f>
      </c>
      <c r="P1935" s="7">
        <f>SQRT(O1935^2+N1935^2)</f>
      </c>
      <c r="Q1935" s="7">
        <f>N1935/$P1935</f>
      </c>
      <c r="R1935" s="7">
        <f>O1935/$P1935</f>
      </c>
      <c r="S1935" s="7">
        <f>Q1935^2+R1935^2</f>
      </c>
      <c r="T1935" s="7">
        <f>-R1935</f>
      </c>
      <c r="U1935" s="7">
        <f>Q1935</f>
      </c>
      <c r="V1935" s="7">
        <f>($C$14+($C$15-$C$14)/($D$15-$D$14)*(I1935-$D$14))/2</f>
      </c>
      <c r="W1935" s="7">
        <f>($B$22*I1935^4+$C$22*I1935^3+$D$22*I1935^2+$E$22*I1935+$F$22)/2</f>
      </c>
      <c r="X1935" s="7">
        <f>($W1935)*(T1935)</f>
      </c>
      <c r="Y1935" s="7">
        <f>($W1935)*(U1935)</f>
      </c>
      <c r="Z1935" s="7">
        <f>SQRT(X1935^2+Y1935^2)</f>
      </c>
      <c r="AA1935" s="7">
        <f>$K1935+$X1935</f>
      </c>
      <c r="AB1935" s="7">
        <f>$L1935+$Y1935</f>
      </c>
      <c r="AC1935" s="7">
        <f>$K1935-$X1935</f>
      </c>
      <c r="AD1935" s="7">
        <f>$L1935-$Y1935</f>
      </c>
      <c r="AE1935" s="7">
        <f>AA1935/39.3701</f>
      </c>
      <c r="AF1935" s="7">
        <f>AB1935/39.3701</f>
      </c>
      <c r="AG1935" s="7">
        <f>AC1935/39.3701</f>
      </c>
      <c r="AH1935" s="7">
        <f>AD1935/39.3701</f>
      </c>
      <c r="AI1935" s="1"/>
      <c r="AJ1935" s="1"/>
      <c r="AK1935" s="1"/>
      <c r="AL1935" s="1"/>
      <c r="AM1935" s="2"/>
      <c r="AN1935" s="1"/>
      <c r="AO1935" s="1"/>
      <c r="AP1935" s="1"/>
      <c r="AQ1935" s="1"/>
      <c r="AR1935" s="1"/>
      <c r="AS1935" s="1"/>
      <c r="AT1935" s="1"/>
      <c r="AU1935" s="1"/>
      <c r="AV1935" s="1"/>
      <c r="AW1935" s="1"/>
      <c r="AX1935" s="1"/>
      <c r="AY1935" s="1"/>
      <c r="AZ1935" s="1"/>
      <c r="BA1935" s="1"/>
      <c r="BB1935" s="1"/>
      <c r="BC1935" s="1"/>
      <c r="BD1935" s="1"/>
      <c r="BE1935" s="1"/>
    </row>
    <row x14ac:dyDescent="0.25" r="1936" customHeight="1" ht="18.75">
      <c r="A1936" s="1"/>
      <c r="B1936" s="2"/>
      <c r="C1936" s="2"/>
      <c r="D1936" s="2"/>
      <c r="E1936" s="2"/>
      <c r="F1936" s="2"/>
      <c r="G1936" s="1"/>
      <c r="H1936" s="1"/>
      <c r="I1936" s="7">
        <v>1.933</v>
      </c>
      <c r="J1936" s="7">
        <f>IF((I1936-ROUNDDOWN(I1936,0))=0, 0, (I1936-ROUNDDOWN(I1936,0)))</f>
      </c>
      <c r="K1936" s="7">
        <f>INDIRECT("C$"&amp;2+MIN(2,ROUNDDOWN(I1936,0))*3)*(-$J1936^3+3*$J1936^2-3*$J1936+1)+INDIRECT("C$"&amp;3+MIN(2,ROUNDDOWN(I1936,0))*3)*(3*$J1936^3-6*$J1936^2+3*$J1936)+INDIRECT("C$"&amp;4+MIN(2,ROUNDDOWN(I1936,0))*3)*(-3*$J1936^3+3*$J1936^2)+INDIRECT("C$"&amp;5+MIN(2,ROUNDDOWN(I1936,0))*3)*$J1936^3</f>
      </c>
      <c r="L1936" s="7">
        <f>INDIRECT("D$"&amp;2+MIN(2,ROUNDDOWN(I1936,0))*3)*(-$J1936^3+3*$J1936^2-3*$J1936+1)+INDIRECT("D$"&amp;3+MIN(2,ROUNDDOWN(I1936,0))*3)*(3*$J1936^3-6*$J1936^2+3*$J1936)+INDIRECT("D$"&amp;4+MIN(2,ROUNDDOWN(I1936,0))*3)*(-3*$J1936^3+3*$J1936^2)+INDIRECT("D$"&amp;5+MIN(2,ROUNDDOWN(I1936,0))*3)*$J1936^3</f>
      </c>
      <c r="M1936" s="7">
        <f>SQRT(K1936^2+L1936^2)</f>
      </c>
      <c r="N1936" s="7">
        <f>(K1937-K1935)</f>
      </c>
      <c r="O1936" s="7">
        <f>+(L1937-L1935)</f>
      </c>
      <c r="P1936" s="7">
        <f>SQRT(O1936^2+N1936^2)</f>
      </c>
      <c r="Q1936" s="7">
        <f>N1936/$P1936</f>
      </c>
      <c r="R1936" s="7">
        <f>O1936/$P1936</f>
      </c>
      <c r="S1936" s="7">
        <f>Q1936^2+R1936^2</f>
      </c>
      <c r="T1936" s="7">
        <f>-R1936</f>
      </c>
      <c r="U1936" s="7">
        <f>Q1936</f>
      </c>
      <c r="V1936" s="7">
        <f>($C$14+($C$15-$C$14)/($D$15-$D$14)*(I1936-$D$14))/2</f>
      </c>
      <c r="W1936" s="7">
        <f>($B$22*I1936^4+$C$22*I1936^3+$D$22*I1936^2+$E$22*I1936+$F$22)/2</f>
      </c>
      <c r="X1936" s="7">
        <f>($W1936)*(T1936)</f>
      </c>
      <c r="Y1936" s="7">
        <f>($W1936)*(U1936)</f>
      </c>
      <c r="Z1936" s="7">
        <f>SQRT(X1936^2+Y1936^2)</f>
      </c>
      <c r="AA1936" s="7">
        <f>$K1936+$X1936</f>
      </c>
      <c r="AB1936" s="7">
        <f>$L1936+$Y1936</f>
      </c>
      <c r="AC1936" s="7">
        <f>$K1936-$X1936</f>
      </c>
      <c r="AD1936" s="7">
        <f>$L1936-$Y1936</f>
      </c>
      <c r="AE1936" s="7">
        <f>AA1936/39.3701</f>
      </c>
      <c r="AF1936" s="7">
        <f>AB1936/39.3701</f>
      </c>
      <c r="AG1936" s="7">
        <f>AC1936/39.3701</f>
      </c>
      <c r="AH1936" s="7">
        <f>AD1936/39.3701</f>
      </c>
      <c r="AI1936" s="1"/>
      <c r="AJ1936" s="1"/>
      <c r="AK1936" s="1"/>
      <c r="AL1936" s="1"/>
      <c r="AM1936" s="2"/>
      <c r="AN1936" s="1"/>
      <c r="AO1936" s="1"/>
      <c r="AP1936" s="1"/>
      <c r="AQ1936" s="1"/>
      <c r="AR1936" s="1"/>
      <c r="AS1936" s="1"/>
      <c r="AT1936" s="1"/>
      <c r="AU1936" s="1"/>
      <c r="AV1936" s="1"/>
      <c r="AW1936" s="1"/>
      <c r="AX1936" s="1"/>
      <c r="AY1936" s="1"/>
      <c r="AZ1936" s="1"/>
      <c r="BA1936" s="1"/>
      <c r="BB1936" s="1"/>
      <c r="BC1936" s="1"/>
      <c r="BD1936" s="1"/>
      <c r="BE1936" s="1"/>
    </row>
    <row x14ac:dyDescent="0.25" r="1937" customHeight="1" ht="18.75">
      <c r="A1937" s="1"/>
      <c r="B1937" s="2"/>
      <c r="C1937" s="2"/>
      <c r="D1937" s="2"/>
      <c r="E1937" s="2"/>
      <c r="F1937" s="2"/>
      <c r="G1937" s="1"/>
      <c r="H1937" s="1"/>
      <c r="I1937" s="7">
        <v>1.934</v>
      </c>
      <c r="J1937" s="7">
        <f>IF((I1937-ROUNDDOWN(I1937,0))=0, 0, (I1937-ROUNDDOWN(I1937,0)))</f>
      </c>
      <c r="K1937" s="7">
        <f>INDIRECT("C$"&amp;2+MIN(2,ROUNDDOWN(I1937,0))*3)*(-$J1937^3+3*$J1937^2-3*$J1937+1)+INDIRECT("C$"&amp;3+MIN(2,ROUNDDOWN(I1937,0))*3)*(3*$J1937^3-6*$J1937^2+3*$J1937)+INDIRECT("C$"&amp;4+MIN(2,ROUNDDOWN(I1937,0))*3)*(-3*$J1937^3+3*$J1937^2)+INDIRECT("C$"&amp;5+MIN(2,ROUNDDOWN(I1937,0))*3)*$J1937^3</f>
      </c>
      <c r="L1937" s="7">
        <f>INDIRECT("D$"&amp;2+MIN(2,ROUNDDOWN(I1937,0))*3)*(-$J1937^3+3*$J1937^2-3*$J1937+1)+INDIRECT("D$"&amp;3+MIN(2,ROUNDDOWN(I1937,0))*3)*(3*$J1937^3-6*$J1937^2+3*$J1937)+INDIRECT("D$"&amp;4+MIN(2,ROUNDDOWN(I1937,0))*3)*(-3*$J1937^3+3*$J1937^2)+INDIRECT("D$"&amp;5+MIN(2,ROUNDDOWN(I1937,0))*3)*$J1937^3</f>
      </c>
      <c r="M1937" s="7">
        <f>SQRT(K1937^2+L1937^2)</f>
      </c>
      <c r="N1937" s="7">
        <f>(K1938-K1936)</f>
      </c>
      <c r="O1937" s="7">
        <f>+(L1938-L1936)</f>
      </c>
      <c r="P1937" s="7">
        <f>SQRT(O1937^2+N1937^2)</f>
      </c>
      <c r="Q1937" s="7">
        <f>N1937/$P1937</f>
      </c>
      <c r="R1937" s="7">
        <f>O1937/$P1937</f>
      </c>
      <c r="S1937" s="7">
        <f>Q1937^2+R1937^2</f>
      </c>
      <c r="T1937" s="7">
        <f>-R1937</f>
      </c>
      <c r="U1937" s="7">
        <f>Q1937</f>
      </c>
      <c r="V1937" s="7">
        <f>($C$14+($C$15-$C$14)/($D$15-$D$14)*(I1937-$D$14))/2</f>
      </c>
      <c r="W1937" s="7">
        <f>($B$22*I1937^4+$C$22*I1937^3+$D$22*I1937^2+$E$22*I1937+$F$22)/2</f>
      </c>
      <c r="X1937" s="7">
        <f>($W1937)*(T1937)</f>
      </c>
      <c r="Y1937" s="7">
        <f>($W1937)*(U1937)</f>
      </c>
      <c r="Z1937" s="7">
        <f>SQRT(X1937^2+Y1937^2)</f>
      </c>
      <c r="AA1937" s="7">
        <f>$K1937+$X1937</f>
      </c>
      <c r="AB1937" s="7">
        <f>$L1937+$Y1937</f>
      </c>
      <c r="AC1937" s="7">
        <f>$K1937-$X1937</f>
      </c>
      <c r="AD1937" s="7">
        <f>$L1937-$Y1937</f>
      </c>
      <c r="AE1937" s="7">
        <f>AA1937/39.3701</f>
      </c>
      <c r="AF1937" s="7">
        <f>AB1937/39.3701</f>
      </c>
      <c r="AG1937" s="7">
        <f>AC1937/39.3701</f>
      </c>
      <c r="AH1937" s="7">
        <f>AD1937/39.3701</f>
      </c>
      <c r="AI1937" s="1"/>
      <c r="AJ1937" s="1"/>
      <c r="AK1937" s="1"/>
      <c r="AL1937" s="1"/>
      <c r="AM1937" s="2"/>
      <c r="AN1937" s="1"/>
      <c r="AO1937" s="1"/>
      <c r="AP1937" s="1"/>
      <c r="AQ1937" s="1"/>
      <c r="AR1937" s="1"/>
      <c r="AS1937" s="1"/>
      <c r="AT1937" s="1"/>
      <c r="AU1937" s="1"/>
      <c r="AV1937" s="1"/>
      <c r="AW1937" s="1"/>
      <c r="AX1937" s="1"/>
      <c r="AY1937" s="1"/>
      <c r="AZ1937" s="1"/>
      <c r="BA1937" s="1"/>
      <c r="BB1937" s="1"/>
      <c r="BC1937" s="1"/>
      <c r="BD1937" s="1"/>
      <c r="BE1937" s="1"/>
    </row>
    <row x14ac:dyDescent="0.25" r="1938" customHeight="1" ht="18.75">
      <c r="A1938" s="1"/>
      <c r="B1938" s="2"/>
      <c r="C1938" s="2"/>
      <c r="D1938" s="2"/>
      <c r="E1938" s="2"/>
      <c r="F1938" s="2"/>
      <c r="G1938" s="1"/>
      <c r="H1938" s="1"/>
      <c r="I1938" s="7">
        <v>1.935</v>
      </c>
      <c r="J1938" s="7">
        <f>IF((I1938-ROUNDDOWN(I1938,0))=0, 0, (I1938-ROUNDDOWN(I1938,0)))</f>
      </c>
      <c r="K1938" s="7">
        <f>INDIRECT("C$"&amp;2+MIN(2,ROUNDDOWN(I1938,0))*3)*(-$J1938^3+3*$J1938^2-3*$J1938+1)+INDIRECT("C$"&amp;3+MIN(2,ROUNDDOWN(I1938,0))*3)*(3*$J1938^3-6*$J1938^2+3*$J1938)+INDIRECT("C$"&amp;4+MIN(2,ROUNDDOWN(I1938,0))*3)*(-3*$J1938^3+3*$J1938^2)+INDIRECT("C$"&amp;5+MIN(2,ROUNDDOWN(I1938,0))*3)*$J1938^3</f>
      </c>
      <c r="L1938" s="7">
        <f>INDIRECT("D$"&amp;2+MIN(2,ROUNDDOWN(I1938,0))*3)*(-$J1938^3+3*$J1938^2-3*$J1938+1)+INDIRECT("D$"&amp;3+MIN(2,ROUNDDOWN(I1938,0))*3)*(3*$J1938^3-6*$J1938^2+3*$J1938)+INDIRECT("D$"&amp;4+MIN(2,ROUNDDOWN(I1938,0))*3)*(-3*$J1938^3+3*$J1938^2)+INDIRECT("D$"&amp;5+MIN(2,ROUNDDOWN(I1938,0))*3)*$J1938^3</f>
      </c>
      <c r="M1938" s="7">
        <f>SQRT(K1938^2+L1938^2)</f>
      </c>
      <c r="N1938" s="7">
        <f>(K1939-K1937)</f>
      </c>
      <c r="O1938" s="7">
        <f>+(L1939-L1937)</f>
      </c>
      <c r="P1938" s="7">
        <f>SQRT(O1938^2+N1938^2)</f>
      </c>
      <c r="Q1938" s="7">
        <f>N1938/$P1938</f>
      </c>
      <c r="R1938" s="7">
        <f>O1938/$P1938</f>
      </c>
      <c r="S1938" s="8">
        <f>Q1938^2+R1938^2</f>
      </c>
      <c r="T1938" s="7">
        <f>-R1938</f>
      </c>
      <c r="U1938" s="7">
        <f>Q1938</f>
      </c>
      <c r="V1938" s="7">
        <f>($C$14+($C$15-$C$14)/($D$15-$D$14)*(I1938-$D$14))/2</f>
      </c>
      <c r="W1938" s="7">
        <f>($B$22*I1938^4+$C$22*I1938^3+$D$22*I1938^2+$E$22*I1938+$F$22)/2</f>
      </c>
      <c r="X1938" s="7">
        <f>($W1938)*(T1938)</f>
      </c>
      <c r="Y1938" s="7">
        <f>($W1938)*(U1938)</f>
      </c>
      <c r="Z1938" s="7">
        <f>SQRT(X1938^2+Y1938^2)</f>
      </c>
      <c r="AA1938" s="7">
        <f>$K1938+$X1938</f>
      </c>
      <c r="AB1938" s="7">
        <f>$L1938+$Y1938</f>
      </c>
      <c r="AC1938" s="7">
        <f>$K1938-$X1938</f>
      </c>
      <c r="AD1938" s="7">
        <f>$L1938-$Y1938</f>
      </c>
      <c r="AE1938" s="7">
        <f>AA1938/39.3701</f>
      </c>
      <c r="AF1938" s="7">
        <f>AB1938/39.3701</f>
      </c>
      <c r="AG1938" s="7">
        <f>AC1938/39.3701</f>
      </c>
      <c r="AH1938" s="7">
        <f>AD1938/39.3701</f>
      </c>
      <c r="AI1938" s="1"/>
      <c r="AJ1938" s="1"/>
      <c r="AK1938" s="1"/>
      <c r="AL1938" s="1"/>
      <c r="AM1938" s="2"/>
      <c r="AN1938" s="1"/>
      <c r="AO1938" s="1"/>
      <c r="AP1938" s="1"/>
      <c r="AQ1938" s="1"/>
      <c r="AR1938" s="1"/>
      <c r="AS1938" s="1"/>
      <c r="AT1938" s="1"/>
      <c r="AU1938" s="1"/>
      <c r="AV1938" s="1"/>
      <c r="AW1938" s="1"/>
      <c r="AX1938" s="1"/>
      <c r="AY1938" s="1"/>
      <c r="AZ1938" s="1"/>
      <c r="BA1938" s="1"/>
      <c r="BB1938" s="1"/>
      <c r="BC1938" s="1"/>
      <c r="BD1938" s="1"/>
      <c r="BE1938" s="1"/>
    </row>
    <row x14ac:dyDescent="0.25" r="1939" customHeight="1" ht="18.75">
      <c r="A1939" s="1"/>
      <c r="B1939" s="2"/>
      <c r="C1939" s="2"/>
      <c r="D1939" s="2"/>
      <c r="E1939" s="2"/>
      <c r="F1939" s="2"/>
      <c r="G1939" s="1"/>
      <c r="H1939" s="1"/>
      <c r="I1939" s="7">
        <v>1.936</v>
      </c>
      <c r="J1939" s="7">
        <f>IF((I1939-ROUNDDOWN(I1939,0))=0, 0, (I1939-ROUNDDOWN(I1939,0)))</f>
      </c>
      <c r="K1939" s="7">
        <f>INDIRECT("C$"&amp;2+MIN(2,ROUNDDOWN(I1939,0))*3)*(-$J1939^3+3*$J1939^2-3*$J1939+1)+INDIRECT("C$"&amp;3+MIN(2,ROUNDDOWN(I1939,0))*3)*(3*$J1939^3-6*$J1939^2+3*$J1939)+INDIRECT("C$"&amp;4+MIN(2,ROUNDDOWN(I1939,0))*3)*(-3*$J1939^3+3*$J1939^2)+INDIRECT("C$"&amp;5+MIN(2,ROUNDDOWN(I1939,0))*3)*$J1939^3</f>
      </c>
      <c r="L1939" s="7">
        <f>INDIRECT("D$"&amp;2+MIN(2,ROUNDDOWN(I1939,0))*3)*(-$J1939^3+3*$J1939^2-3*$J1939+1)+INDIRECT("D$"&amp;3+MIN(2,ROUNDDOWN(I1939,0))*3)*(3*$J1939^3-6*$J1939^2+3*$J1939)+INDIRECT("D$"&amp;4+MIN(2,ROUNDDOWN(I1939,0))*3)*(-3*$J1939^3+3*$J1939^2)+INDIRECT("D$"&amp;5+MIN(2,ROUNDDOWN(I1939,0))*3)*$J1939^3</f>
      </c>
      <c r="M1939" s="7">
        <f>SQRT(K1939^2+L1939^2)</f>
      </c>
      <c r="N1939" s="7">
        <f>(K1940-K1938)</f>
      </c>
      <c r="O1939" s="7">
        <f>+(L1940-L1938)</f>
      </c>
      <c r="P1939" s="7">
        <f>SQRT(O1939^2+N1939^2)</f>
      </c>
      <c r="Q1939" s="7">
        <f>N1939/$P1939</f>
      </c>
      <c r="R1939" s="7">
        <f>O1939/$P1939</f>
      </c>
      <c r="S1939" s="7">
        <f>Q1939^2+R1939^2</f>
      </c>
      <c r="T1939" s="7">
        <f>-R1939</f>
      </c>
      <c r="U1939" s="7">
        <f>Q1939</f>
      </c>
      <c r="V1939" s="7">
        <f>($C$14+($C$15-$C$14)/($D$15-$D$14)*(I1939-$D$14))/2</f>
      </c>
      <c r="W1939" s="7">
        <f>($B$22*I1939^4+$C$22*I1939^3+$D$22*I1939^2+$E$22*I1939+$F$22)/2</f>
      </c>
      <c r="X1939" s="7">
        <f>($W1939)*(T1939)</f>
      </c>
      <c r="Y1939" s="7">
        <f>($W1939)*(U1939)</f>
      </c>
      <c r="Z1939" s="7">
        <f>SQRT(X1939^2+Y1939^2)</f>
      </c>
      <c r="AA1939" s="7">
        <f>$K1939+$X1939</f>
      </c>
      <c r="AB1939" s="7">
        <f>$L1939+$Y1939</f>
      </c>
      <c r="AC1939" s="7">
        <f>$K1939-$X1939</f>
      </c>
      <c r="AD1939" s="7">
        <f>$L1939-$Y1939</f>
      </c>
      <c r="AE1939" s="7">
        <f>AA1939/39.3701</f>
      </c>
      <c r="AF1939" s="7">
        <f>AB1939/39.3701</f>
      </c>
      <c r="AG1939" s="7">
        <f>AC1939/39.3701</f>
      </c>
      <c r="AH1939" s="7">
        <f>AD1939/39.3701</f>
      </c>
      <c r="AI1939" s="1"/>
      <c r="AJ1939" s="1"/>
      <c r="AK1939" s="1"/>
      <c r="AL1939" s="1"/>
      <c r="AM1939" s="2"/>
      <c r="AN1939" s="1"/>
      <c r="AO1939" s="1"/>
      <c r="AP1939" s="1"/>
      <c r="AQ1939" s="1"/>
      <c r="AR1939" s="1"/>
      <c r="AS1939" s="1"/>
      <c r="AT1939" s="1"/>
      <c r="AU1939" s="1"/>
      <c r="AV1939" s="1"/>
      <c r="AW1939" s="1"/>
      <c r="AX1939" s="1"/>
      <c r="AY1939" s="1"/>
      <c r="AZ1939" s="1"/>
      <c r="BA1939" s="1"/>
      <c r="BB1939" s="1"/>
      <c r="BC1939" s="1"/>
      <c r="BD1939" s="1"/>
      <c r="BE1939" s="1"/>
    </row>
    <row x14ac:dyDescent="0.25" r="1940" customHeight="1" ht="18.75">
      <c r="A1940" s="1"/>
      <c r="B1940" s="2"/>
      <c r="C1940" s="2"/>
      <c r="D1940" s="2"/>
      <c r="E1940" s="2"/>
      <c r="F1940" s="2"/>
      <c r="G1940" s="1"/>
      <c r="H1940" s="1"/>
      <c r="I1940" s="7">
        <v>1.937</v>
      </c>
      <c r="J1940" s="7">
        <f>IF((I1940-ROUNDDOWN(I1940,0))=0, 0, (I1940-ROUNDDOWN(I1940,0)))</f>
      </c>
      <c r="K1940" s="7">
        <f>INDIRECT("C$"&amp;2+MIN(2,ROUNDDOWN(I1940,0))*3)*(-$J1940^3+3*$J1940^2-3*$J1940+1)+INDIRECT("C$"&amp;3+MIN(2,ROUNDDOWN(I1940,0))*3)*(3*$J1940^3-6*$J1940^2+3*$J1940)+INDIRECT("C$"&amp;4+MIN(2,ROUNDDOWN(I1940,0))*3)*(-3*$J1940^3+3*$J1940^2)+INDIRECT("C$"&amp;5+MIN(2,ROUNDDOWN(I1940,0))*3)*$J1940^3</f>
      </c>
      <c r="L1940" s="7">
        <f>INDIRECT("D$"&amp;2+MIN(2,ROUNDDOWN(I1940,0))*3)*(-$J1940^3+3*$J1940^2-3*$J1940+1)+INDIRECT("D$"&amp;3+MIN(2,ROUNDDOWN(I1940,0))*3)*(3*$J1940^3-6*$J1940^2+3*$J1940)+INDIRECT("D$"&amp;4+MIN(2,ROUNDDOWN(I1940,0))*3)*(-3*$J1940^3+3*$J1940^2)+INDIRECT("D$"&amp;5+MIN(2,ROUNDDOWN(I1940,0))*3)*$J1940^3</f>
      </c>
      <c r="M1940" s="7">
        <f>SQRT(K1940^2+L1940^2)</f>
      </c>
      <c r="N1940" s="7">
        <f>(K1941-K1939)</f>
      </c>
      <c r="O1940" s="7">
        <f>+(L1941-L1939)</f>
      </c>
      <c r="P1940" s="7">
        <f>SQRT(O1940^2+N1940^2)</f>
      </c>
      <c r="Q1940" s="7">
        <f>N1940/$P1940</f>
      </c>
      <c r="R1940" s="7">
        <f>O1940/$P1940</f>
      </c>
      <c r="S1940" s="8">
        <f>Q1940^2+R1940^2</f>
      </c>
      <c r="T1940" s="7">
        <f>-R1940</f>
      </c>
      <c r="U1940" s="7">
        <f>Q1940</f>
      </c>
      <c r="V1940" s="7">
        <f>($C$14+($C$15-$C$14)/($D$15-$D$14)*(I1940-$D$14))/2</f>
      </c>
      <c r="W1940" s="7">
        <f>($B$22*I1940^4+$C$22*I1940^3+$D$22*I1940^2+$E$22*I1940+$F$22)/2</f>
      </c>
      <c r="X1940" s="7">
        <f>($W1940)*(T1940)</f>
      </c>
      <c r="Y1940" s="7">
        <f>($W1940)*(U1940)</f>
      </c>
      <c r="Z1940" s="7">
        <f>SQRT(X1940^2+Y1940^2)</f>
      </c>
      <c r="AA1940" s="7">
        <f>$K1940+$X1940</f>
      </c>
      <c r="AB1940" s="7">
        <f>$L1940+$Y1940</f>
      </c>
      <c r="AC1940" s="7">
        <f>$K1940-$X1940</f>
      </c>
      <c r="AD1940" s="7">
        <f>$L1940-$Y1940</f>
      </c>
      <c r="AE1940" s="7">
        <f>AA1940/39.3701</f>
      </c>
      <c r="AF1940" s="7">
        <f>AB1940/39.3701</f>
      </c>
      <c r="AG1940" s="7">
        <f>AC1940/39.3701</f>
      </c>
      <c r="AH1940" s="7">
        <f>AD1940/39.3701</f>
      </c>
      <c r="AI1940" s="1"/>
      <c r="AJ1940" s="1"/>
      <c r="AK1940" s="1"/>
      <c r="AL1940" s="1"/>
      <c r="AM1940" s="2"/>
      <c r="AN1940" s="1"/>
      <c r="AO1940" s="1"/>
      <c r="AP1940" s="1"/>
      <c r="AQ1940" s="1"/>
      <c r="AR1940" s="1"/>
      <c r="AS1940" s="1"/>
      <c r="AT1940" s="1"/>
      <c r="AU1940" s="1"/>
      <c r="AV1940" s="1"/>
      <c r="AW1940" s="1"/>
      <c r="AX1940" s="1"/>
      <c r="AY1940" s="1"/>
      <c r="AZ1940" s="1"/>
      <c r="BA1940" s="1"/>
      <c r="BB1940" s="1"/>
      <c r="BC1940" s="1"/>
      <c r="BD1940" s="1"/>
      <c r="BE1940" s="1"/>
    </row>
    <row x14ac:dyDescent="0.25" r="1941" customHeight="1" ht="18.75">
      <c r="A1941" s="1"/>
      <c r="B1941" s="2"/>
      <c r="C1941" s="2"/>
      <c r="D1941" s="2"/>
      <c r="E1941" s="2"/>
      <c r="F1941" s="2"/>
      <c r="G1941" s="1"/>
      <c r="H1941" s="1"/>
      <c r="I1941" s="7">
        <v>1.938</v>
      </c>
      <c r="J1941" s="7">
        <f>IF((I1941-ROUNDDOWN(I1941,0))=0, 0, (I1941-ROUNDDOWN(I1941,0)))</f>
      </c>
      <c r="K1941" s="7">
        <f>INDIRECT("C$"&amp;2+MIN(2,ROUNDDOWN(I1941,0))*3)*(-$J1941^3+3*$J1941^2-3*$J1941+1)+INDIRECT("C$"&amp;3+MIN(2,ROUNDDOWN(I1941,0))*3)*(3*$J1941^3-6*$J1941^2+3*$J1941)+INDIRECT("C$"&amp;4+MIN(2,ROUNDDOWN(I1941,0))*3)*(-3*$J1941^3+3*$J1941^2)+INDIRECT("C$"&amp;5+MIN(2,ROUNDDOWN(I1941,0))*3)*$J1941^3</f>
      </c>
      <c r="L1941" s="7">
        <f>INDIRECT("D$"&amp;2+MIN(2,ROUNDDOWN(I1941,0))*3)*(-$J1941^3+3*$J1941^2-3*$J1941+1)+INDIRECT("D$"&amp;3+MIN(2,ROUNDDOWN(I1941,0))*3)*(3*$J1941^3-6*$J1941^2+3*$J1941)+INDIRECT("D$"&amp;4+MIN(2,ROUNDDOWN(I1941,0))*3)*(-3*$J1941^3+3*$J1941^2)+INDIRECT("D$"&amp;5+MIN(2,ROUNDDOWN(I1941,0))*3)*$J1941^3</f>
      </c>
      <c r="M1941" s="7">
        <f>SQRT(K1941^2+L1941^2)</f>
      </c>
      <c r="N1941" s="7">
        <f>(K1942-K1940)</f>
      </c>
      <c r="O1941" s="7">
        <f>+(L1942-L1940)</f>
      </c>
      <c r="P1941" s="7">
        <f>SQRT(O1941^2+N1941^2)</f>
      </c>
      <c r="Q1941" s="7">
        <f>N1941/$P1941</f>
      </c>
      <c r="R1941" s="7">
        <f>O1941/$P1941</f>
      </c>
      <c r="S1941" s="7">
        <f>Q1941^2+R1941^2</f>
      </c>
      <c r="T1941" s="7">
        <f>-R1941</f>
      </c>
      <c r="U1941" s="7">
        <f>Q1941</f>
      </c>
      <c r="V1941" s="7">
        <f>($C$14+($C$15-$C$14)/($D$15-$D$14)*(I1941-$D$14))/2</f>
      </c>
      <c r="W1941" s="7">
        <f>($B$22*I1941^4+$C$22*I1941^3+$D$22*I1941^2+$E$22*I1941+$F$22)/2</f>
      </c>
      <c r="X1941" s="7">
        <f>($W1941)*(T1941)</f>
      </c>
      <c r="Y1941" s="7">
        <f>($W1941)*(U1941)</f>
      </c>
      <c r="Z1941" s="7">
        <f>SQRT(X1941^2+Y1941^2)</f>
      </c>
      <c r="AA1941" s="7">
        <f>$K1941+$X1941</f>
      </c>
      <c r="AB1941" s="7">
        <f>$L1941+$Y1941</f>
      </c>
      <c r="AC1941" s="7">
        <f>$K1941-$X1941</f>
      </c>
      <c r="AD1941" s="7">
        <f>$L1941-$Y1941</f>
      </c>
      <c r="AE1941" s="7">
        <f>AA1941/39.3701</f>
      </c>
      <c r="AF1941" s="7">
        <f>AB1941/39.3701</f>
      </c>
      <c r="AG1941" s="7">
        <f>AC1941/39.3701</f>
      </c>
      <c r="AH1941" s="7">
        <f>AD1941/39.3701</f>
      </c>
      <c r="AI1941" s="1"/>
      <c r="AJ1941" s="1"/>
      <c r="AK1941" s="1"/>
      <c r="AL1941" s="1"/>
      <c r="AM1941" s="2"/>
      <c r="AN1941" s="1"/>
      <c r="AO1941" s="1"/>
      <c r="AP1941" s="1"/>
      <c r="AQ1941" s="1"/>
      <c r="AR1941" s="1"/>
      <c r="AS1941" s="1"/>
      <c r="AT1941" s="1"/>
      <c r="AU1941" s="1"/>
      <c r="AV1941" s="1"/>
      <c r="AW1941" s="1"/>
      <c r="AX1941" s="1"/>
      <c r="AY1941" s="1"/>
      <c r="AZ1941" s="1"/>
      <c r="BA1941" s="1"/>
      <c r="BB1941" s="1"/>
      <c r="BC1941" s="1"/>
      <c r="BD1941" s="1"/>
      <c r="BE1941" s="1"/>
    </row>
    <row x14ac:dyDescent="0.25" r="1942" customHeight="1" ht="18.75">
      <c r="A1942" s="1"/>
      <c r="B1942" s="2"/>
      <c r="C1942" s="2"/>
      <c r="D1942" s="2"/>
      <c r="E1942" s="2"/>
      <c r="F1942" s="2"/>
      <c r="G1942" s="1"/>
      <c r="H1942" s="1"/>
      <c r="I1942" s="7">
        <v>1.939</v>
      </c>
      <c r="J1942" s="7">
        <f>IF((I1942-ROUNDDOWN(I1942,0))=0, 0, (I1942-ROUNDDOWN(I1942,0)))</f>
      </c>
      <c r="K1942" s="7">
        <f>INDIRECT("C$"&amp;2+MIN(2,ROUNDDOWN(I1942,0))*3)*(-$J1942^3+3*$J1942^2-3*$J1942+1)+INDIRECT("C$"&amp;3+MIN(2,ROUNDDOWN(I1942,0))*3)*(3*$J1942^3-6*$J1942^2+3*$J1942)+INDIRECT("C$"&amp;4+MIN(2,ROUNDDOWN(I1942,0))*3)*(-3*$J1942^3+3*$J1942^2)+INDIRECT("C$"&amp;5+MIN(2,ROUNDDOWN(I1942,0))*3)*$J1942^3</f>
      </c>
      <c r="L1942" s="7">
        <f>INDIRECT("D$"&amp;2+MIN(2,ROUNDDOWN(I1942,0))*3)*(-$J1942^3+3*$J1942^2-3*$J1942+1)+INDIRECT("D$"&amp;3+MIN(2,ROUNDDOWN(I1942,0))*3)*(3*$J1942^3-6*$J1942^2+3*$J1942)+INDIRECT("D$"&amp;4+MIN(2,ROUNDDOWN(I1942,0))*3)*(-3*$J1942^3+3*$J1942^2)+INDIRECT("D$"&amp;5+MIN(2,ROUNDDOWN(I1942,0))*3)*$J1942^3</f>
      </c>
      <c r="M1942" s="7">
        <f>SQRT(K1942^2+L1942^2)</f>
      </c>
      <c r="N1942" s="7">
        <f>(K1943-K1941)</f>
      </c>
      <c r="O1942" s="7">
        <f>+(L1943-L1941)</f>
      </c>
      <c r="P1942" s="7">
        <f>SQRT(O1942^2+N1942^2)</f>
      </c>
      <c r="Q1942" s="7">
        <f>N1942/$P1942</f>
      </c>
      <c r="R1942" s="7">
        <f>O1942/$P1942</f>
      </c>
      <c r="S1942" s="8">
        <f>Q1942^2+R1942^2</f>
      </c>
      <c r="T1942" s="7">
        <f>-R1942</f>
      </c>
      <c r="U1942" s="7">
        <f>Q1942</f>
      </c>
      <c r="V1942" s="7">
        <f>($C$14+($C$15-$C$14)/($D$15-$D$14)*(I1942-$D$14))/2</f>
      </c>
      <c r="W1942" s="7">
        <f>($B$22*I1942^4+$C$22*I1942^3+$D$22*I1942^2+$E$22*I1942+$F$22)/2</f>
      </c>
      <c r="X1942" s="7">
        <f>($W1942)*(T1942)</f>
      </c>
      <c r="Y1942" s="7">
        <f>($W1942)*(U1942)</f>
      </c>
      <c r="Z1942" s="7">
        <f>SQRT(X1942^2+Y1942^2)</f>
      </c>
      <c r="AA1942" s="7">
        <f>$K1942+$X1942</f>
      </c>
      <c r="AB1942" s="7">
        <f>$L1942+$Y1942</f>
      </c>
      <c r="AC1942" s="7">
        <f>$K1942-$X1942</f>
      </c>
      <c r="AD1942" s="7">
        <f>$L1942-$Y1942</f>
      </c>
      <c r="AE1942" s="7">
        <f>AA1942/39.3701</f>
      </c>
      <c r="AF1942" s="7">
        <f>AB1942/39.3701</f>
      </c>
      <c r="AG1942" s="7">
        <f>AC1942/39.3701</f>
      </c>
      <c r="AH1942" s="7">
        <f>AD1942/39.3701</f>
      </c>
      <c r="AI1942" s="1"/>
      <c r="AJ1942" s="1"/>
      <c r="AK1942" s="1"/>
      <c r="AL1942" s="1"/>
      <c r="AM1942" s="2"/>
      <c r="AN1942" s="1"/>
      <c r="AO1942" s="1"/>
      <c r="AP1942" s="1"/>
      <c r="AQ1942" s="1"/>
      <c r="AR1942" s="1"/>
      <c r="AS1942" s="1"/>
      <c r="AT1942" s="1"/>
      <c r="AU1942" s="1"/>
      <c r="AV1942" s="1"/>
      <c r="AW1942" s="1"/>
      <c r="AX1942" s="1"/>
      <c r="AY1942" s="1"/>
      <c r="AZ1942" s="1"/>
      <c r="BA1942" s="1"/>
      <c r="BB1942" s="1"/>
      <c r="BC1942" s="1"/>
      <c r="BD1942" s="1"/>
      <c r="BE1942" s="1"/>
    </row>
    <row x14ac:dyDescent="0.25" r="1943" customHeight="1" ht="18.75">
      <c r="A1943" s="1"/>
      <c r="B1943" s="2"/>
      <c r="C1943" s="2"/>
      <c r="D1943" s="2"/>
      <c r="E1943" s="2"/>
      <c r="F1943" s="2"/>
      <c r="G1943" s="1"/>
      <c r="H1943" s="1"/>
      <c r="I1943" s="7">
        <v>1.94</v>
      </c>
      <c r="J1943" s="7">
        <f>IF((I1943-ROUNDDOWN(I1943,0))=0, 0, (I1943-ROUNDDOWN(I1943,0)))</f>
      </c>
      <c r="K1943" s="7">
        <f>INDIRECT("C$"&amp;2+MIN(2,ROUNDDOWN(I1943,0))*3)*(-$J1943^3+3*$J1943^2-3*$J1943+1)+INDIRECT("C$"&amp;3+MIN(2,ROUNDDOWN(I1943,0))*3)*(3*$J1943^3-6*$J1943^2+3*$J1943)+INDIRECT("C$"&amp;4+MIN(2,ROUNDDOWN(I1943,0))*3)*(-3*$J1943^3+3*$J1943^2)+INDIRECT("C$"&amp;5+MIN(2,ROUNDDOWN(I1943,0))*3)*$J1943^3</f>
      </c>
      <c r="L1943" s="7">
        <f>INDIRECT("D$"&amp;2+MIN(2,ROUNDDOWN(I1943,0))*3)*(-$J1943^3+3*$J1943^2-3*$J1943+1)+INDIRECT("D$"&amp;3+MIN(2,ROUNDDOWN(I1943,0))*3)*(3*$J1943^3-6*$J1943^2+3*$J1943)+INDIRECT("D$"&amp;4+MIN(2,ROUNDDOWN(I1943,0))*3)*(-3*$J1943^3+3*$J1943^2)+INDIRECT("D$"&amp;5+MIN(2,ROUNDDOWN(I1943,0))*3)*$J1943^3</f>
      </c>
      <c r="M1943" s="7">
        <f>SQRT(K1943^2+L1943^2)</f>
      </c>
      <c r="N1943" s="7">
        <f>(K1944-K1942)</f>
      </c>
      <c r="O1943" s="7">
        <f>+(L1944-L1942)</f>
      </c>
      <c r="P1943" s="7">
        <f>SQRT(O1943^2+N1943^2)</f>
      </c>
      <c r="Q1943" s="7">
        <f>N1943/$P1943</f>
      </c>
      <c r="R1943" s="7">
        <f>O1943/$P1943</f>
      </c>
      <c r="S1943" s="8">
        <f>Q1943^2+R1943^2</f>
      </c>
      <c r="T1943" s="7">
        <f>-R1943</f>
      </c>
      <c r="U1943" s="7">
        <f>Q1943</f>
      </c>
      <c r="V1943" s="7">
        <f>($C$14+($C$15-$C$14)/($D$15-$D$14)*(I1943-$D$14))/2</f>
      </c>
      <c r="W1943" s="7">
        <f>($B$22*I1943^4+$C$22*I1943^3+$D$22*I1943^2+$E$22*I1943+$F$22)/2</f>
      </c>
      <c r="X1943" s="7">
        <f>($W1943)*(T1943)</f>
      </c>
      <c r="Y1943" s="7">
        <f>($W1943)*(U1943)</f>
      </c>
      <c r="Z1943" s="7">
        <f>SQRT(X1943^2+Y1943^2)</f>
      </c>
      <c r="AA1943" s="7">
        <f>$K1943+$X1943</f>
      </c>
      <c r="AB1943" s="7">
        <f>$L1943+$Y1943</f>
      </c>
      <c r="AC1943" s="7">
        <f>$K1943-$X1943</f>
      </c>
      <c r="AD1943" s="7">
        <f>$L1943-$Y1943</f>
      </c>
      <c r="AE1943" s="7">
        <f>AA1943/39.3701</f>
      </c>
      <c r="AF1943" s="7">
        <f>AB1943/39.3701</f>
      </c>
      <c r="AG1943" s="7">
        <f>AC1943/39.3701</f>
      </c>
      <c r="AH1943" s="7">
        <f>AD1943/39.3701</f>
      </c>
      <c r="AI1943" s="1"/>
      <c r="AJ1943" s="1"/>
      <c r="AK1943" s="1"/>
      <c r="AL1943" s="1"/>
      <c r="AM1943" s="2"/>
      <c r="AN1943" s="1"/>
      <c r="AO1943" s="1"/>
      <c r="AP1943" s="1"/>
      <c r="AQ1943" s="1"/>
      <c r="AR1943" s="1"/>
      <c r="AS1943" s="1"/>
      <c r="AT1943" s="1"/>
      <c r="AU1943" s="1"/>
      <c r="AV1943" s="1"/>
      <c r="AW1943" s="1"/>
      <c r="AX1943" s="1"/>
      <c r="AY1943" s="1"/>
      <c r="AZ1943" s="1"/>
      <c r="BA1943" s="1"/>
      <c r="BB1943" s="1"/>
      <c r="BC1943" s="1"/>
      <c r="BD1943" s="1"/>
      <c r="BE1943" s="1"/>
    </row>
    <row x14ac:dyDescent="0.25" r="1944" customHeight="1" ht="18.75">
      <c r="A1944" s="1"/>
      <c r="B1944" s="2"/>
      <c r="C1944" s="2"/>
      <c r="D1944" s="2"/>
      <c r="E1944" s="2"/>
      <c r="F1944" s="2"/>
      <c r="G1944" s="1"/>
      <c r="H1944" s="1"/>
      <c r="I1944" s="7">
        <v>1.941</v>
      </c>
      <c r="J1944" s="7">
        <f>IF((I1944-ROUNDDOWN(I1944,0))=0, 0, (I1944-ROUNDDOWN(I1944,0)))</f>
      </c>
      <c r="K1944" s="7">
        <f>INDIRECT("C$"&amp;2+MIN(2,ROUNDDOWN(I1944,0))*3)*(-$J1944^3+3*$J1944^2-3*$J1944+1)+INDIRECT("C$"&amp;3+MIN(2,ROUNDDOWN(I1944,0))*3)*(3*$J1944^3-6*$J1944^2+3*$J1944)+INDIRECT("C$"&amp;4+MIN(2,ROUNDDOWN(I1944,0))*3)*(-3*$J1944^3+3*$J1944^2)+INDIRECT("C$"&amp;5+MIN(2,ROUNDDOWN(I1944,0))*3)*$J1944^3</f>
      </c>
      <c r="L1944" s="7">
        <f>INDIRECT("D$"&amp;2+MIN(2,ROUNDDOWN(I1944,0))*3)*(-$J1944^3+3*$J1944^2-3*$J1944+1)+INDIRECT("D$"&amp;3+MIN(2,ROUNDDOWN(I1944,0))*3)*(3*$J1944^3-6*$J1944^2+3*$J1944)+INDIRECT("D$"&amp;4+MIN(2,ROUNDDOWN(I1944,0))*3)*(-3*$J1944^3+3*$J1944^2)+INDIRECT("D$"&amp;5+MIN(2,ROUNDDOWN(I1944,0))*3)*$J1944^3</f>
      </c>
      <c r="M1944" s="7">
        <f>SQRT(K1944^2+L1944^2)</f>
      </c>
      <c r="N1944" s="7">
        <f>(K1945-K1943)</f>
      </c>
      <c r="O1944" s="7">
        <f>+(L1945-L1943)</f>
      </c>
      <c r="P1944" s="7">
        <f>SQRT(O1944^2+N1944^2)</f>
      </c>
      <c r="Q1944" s="7">
        <f>N1944/$P1944</f>
      </c>
      <c r="R1944" s="7">
        <f>O1944/$P1944</f>
      </c>
      <c r="S1944" s="7">
        <f>Q1944^2+R1944^2</f>
      </c>
      <c r="T1944" s="7">
        <f>-R1944</f>
      </c>
      <c r="U1944" s="7">
        <f>Q1944</f>
      </c>
      <c r="V1944" s="7">
        <f>($C$14+($C$15-$C$14)/($D$15-$D$14)*(I1944-$D$14))/2</f>
      </c>
      <c r="W1944" s="7">
        <f>($B$22*I1944^4+$C$22*I1944^3+$D$22*I1944^2+$E$22*I1944+$F$22)/2</f>
      </c>
      <c r="X1944" s="7">
        <f>($W1944)*(T1944)</f>
      </c>
      <c r="Y1944" s="7">
        <f>($W1944)*(U1944)</f>
      </c>
      <c r="Z1944" s="7">
        <f>SQRT(X1944^2+Y1944^2)</f>
      </c>
      <c r="AA1944" s="7">
        <f>$K1944+$X1944</f>
      </c>
      <c r="AB1944" s="7">
        <f>$L1944+$Y1944</f>
      </c>
      <c r="AC1944" s="7">
        <f>$K1944-$X1944</f>
      </c>
      <c r="AD1944" s="7">
        <f>$L1944-$Y1944</f>
      </c>
      <c r="AE1944" s="7">
        <f>AA1944/39.3701</f>
      </c>
      <c r="AF1944" s="7">
        <f>AB1944/39.3701</f>
      </c>
      <c r="AG1944" s="7">
        <f>AC1944/39.3701</f>
      </c>
      <c r="AH1944" s="7">
        <f>AD1944/39.3701</f>
      </c>
      <c r="AI1944" s="1"/>
      <c r="AJ1944" s="1"/>
      <c r="AK1944" s="1"/>
      <c r="AL1944" s="1"/>
      <c r="AM1944" s="2"/>
      <c r="AN1944" s="1"/>
      <c r="AO1944" s="1"/>
      <c r="AP1944" s="1"/>
      <c r="AQ1944" s="1"/>
      <c r="AR1944" s="1"/>
      <c r="AS1944" s="1"/>
      <c r="AT1944" s="1"/>
      <c r="AU1944" s="1"/>
      <c r="AV1944" s="1"/>
      <c r="AW1944" s="1"/>
      <c r="AX1944" s="1"/>
      <c r="AY1944" s="1"/>
      <c r="AZ1944" s="1"/>
      <c r="BA1944" s="1"/>
      <c r="BB1944" s="1"/>
      <c r="BC1944" s="1"/>
      <c r="BD1944" s="1"/>
      <c r="BE1944" s="1"/>
    </row>
    <row x14ac:dyDescent="0.25" r="1945" customHeight="1" ht="18.75">
      <c r="A1945" s="1"/>
      <c r="B1945" s="2"/>
      <c r="C1945" s="2"/>
      <c r="D1945" s="2"/>
      <c r="E1945" s="2"/>
      <c r="F1945" s="2"/>
      <c r="G1945" s="1"/>
      <c r="H1945" s="1"/>
      <c r="I1945" s="7">
        <v>1.942</v>
      </c>
      <c r="J1945" s="7">
        <f>IF((I1945-ROUNDDOWN(I1945,0))=0, 0, (I1945-ROUNDDOWN(I1945,0)))</f>
      </c>
      <c r="K1945" s="7">
        <f>INDIRECT("C$"&amp;2+MIN(2,ROUNDDOWN(I1945,0))*3)*(-$J1945^3+3*$J1945^2-3*$J1945+1)+INDIRECT("C$"&amp;3+MIN(2,ROUNDDOWN(I1945,0))*3)*(3*$J1945^3-6*$J1945^2+3*$J1945)+INDIRECT("C$"&amp;4+MIN(2,ROUNDDOWN(I1945,0))*3)*(-3*$J1945^3+3*$J1945^2)+INDIRECT("C$"&amp;5+MIN(2,ROUNDDOWN(I1945,0))*3)*$J1945^3</f>
      </c>
      <c r="L1945" s="7">
        <f>INDIRECT("D$"&amp;2+MIN(2,ROUNDDOWN(I1945,0))*3)*(-$J1945^3+3*$J1945^2-3*$J1945+1)+INDIRECT("D$"&amp;3+MIN(2,ROUNDDOWN(I1945,0))*3)*(3*$J1945^3-6*$J1945^2+3*$J1945)+INDIRECT("D$"&amp;4+MIN(2,ROUNDDOWN(I1945,0))*3)*(-3*$J1945^3+3*$J1945^2)+INDIRECT("D$"&amp;5+MIN(2,ROUNDDOWN(I1945,0))*3)*$J1945^3</f>
      </c>
      <c r="M1945" s="7">
        <f>SQRT(K1945^2+L1945^2)</f>
      </c>
      <c r="N1945" s="7">
        <f>(K1946-K1944)</f>
      </c>
      <c r="O1945" s="7">
        <f>+(L1946-L1944)</f>
      </c>
      <c r="P1945" s="7">
        <f>SQRT(O1945^2+N1945^2)</f>
      </c>
      <c r="Q1945" s="7">
        <f>N1945/$P1945</f>
      </c>
      <c r="R1945" s="7">
        <f>O1945/$P1945</f>
      </c>
      <c r="S1945" s="8">
        <f>Q1945^2+R1945^2</f>
      </c>
      <c r="T1945" s="7">
        <f>-R1945</f>
      </c>
      <c r="U1945" s="7">
        <f>Q1945</f>
      </c>
      <c r="V1945" s="7">
        <f>($C$14+($C$15-$C$14)/($D$15-$D$14)*(I1945-$D$14))/2</f>
      </c>
      <c r="W1945" s="7">
        <f>($B$22*I1945^4+$C$22*I1945^3+$D$22*I1945^2+$E$22*I1945+$F$22)/2</f>
      </c>
      <c r="X1945" s="7">
        <f>($W1945)*(T1945)</f>
      </c>
      <c r="Y1945" s="7">
        <f>($W1945)*(U1945)</f>
      </c>
      <c r="Z1945" s="7">
        <f>SQRT(X1945^2+Y1945^2)</f>
      </c>
      <c r="AA1945" s="7">
        <f>$K1945+$X1945</f>
      </c>
      <c r="AB1945" s="7">
        <f>$L1945+$Y1945</f>
      </c>
      <c r="AC1945" s="7">
        <f>$K1945-$X1945</f>
      </c>
      <c r="AD1945" s="7">
        <f>$L1945-$Y1945</f>
      </c>
      <c r="AE1945" s="7">
        <f>AA1945/39.3701</f>
      </c>
      <c r="AF1945" s="7">
        <f>AB1945/39.3701</f>
      </c>
      <c r="AG1945" s="7">
        <f>AC1945/39.3701</f>
      </c>
      <c r="AH1945" s="7">
        <f>AD1945/39.3701</f>
      </c>
      <c r="AI1945" s="1"/>
      <c r="AJ1945" s="1"/>
      <c r="AK1945" s="1"/>
      <c r="AL1945" s="1"/>
      <c r="AM1945" s="2"/>
      <c r="AN1945" s="1"/>
      <c r="AO1945" s="1"/>
      <c r="AP1945" s="1"/>
      <c r="AQ1945" s="1"/>
      <c r="AR1945" s="1"/>
      <c r="AS1945" s="1"/>
      <c r="AT1945" s="1"/>
      <c r="AU1945" s="1"/>
      <c r="AV1945" s="1"/>
      <c r="AW1945" s="1"/>
      <c r="AX1945" s="1"/>
      <c r="AY1945" s="1"/>
      <c r="AZ1945" s="1"/>
      <c r="BA1945" s="1"/>
      <c r="BB1945" s="1"/>
      <c r="BC1945" s="1"/>
      <c r="BD1945" s="1"/>
      <c r="BE1945" s="1"/>
    </row>
    <row x14ac:dyDescent="0.25" r="1946" customHeight="1" ht="18.75">
      <c r="A1946" s="1"/>
      <c r="B1946" s="2"/>
      <c r="C1946" s="2"/>
      <c r="D1946" s="2"/>
      <c r="E1946" s="2"/>
      <c r="F1946" s="2"/>
      <c r="G1946" s="1"/>
      <c r="H1946" s="1"/>
      <c r="I1946" s="7">
        <v>1.943</v>
      </c>
      <c r="J1946" s="7">
        <f>IF((I1946-ROUNDDOWN(I1946,0))=0, 0, (I1946-ROUNDDOWN(I1946,0)))</f>
      </c>
      <c r="K1946" s="7">
        <f>INDIRECT("C$"&amp;2+MIN(2,ROUNDDOWN(I1946,0))*3)*(-$J1946^3+3*$J1946^2-3*$J1946+1)+INDIRECT("C$"&amp;3+MIN(2,ROUNDDOWN(I1946,0))*3)*(3*$J1946^3-6*$J1946^2+3*$J1946)+INDIRECT("C$"&amp;4+MIN(2,ROUNDDOWN(I1946,0))*3)*(-3*$J1946^3+3*$J1946^2)+INDIRECT("C$"&amp;5+MIN(2,ROUNDDOWN(I1946,0))*3)*$J1946^3</f>
      </c>
      <c r="L1946" s="7">
        <f>INDIRECT("D$"&amp;2+MIN(2,ROUNDDOWN(I1946,0))*3)*(-$J1946^3+3*$J1946^2-3*$J1946+1)+INDIRECT("D$"&amp;3+MIN(2,ROUNDDOWN(I1946,0))*3)*(3*$J1946^3-6*$J1946^2+3*$J1946)+INDIRECT("D$"&amp;4+MIN(2,ROUNDDOWN(I1946,0))*3)*(-3*$J1946^3+3*$J1946^2)+INDIRECT("D$"&amp;5+MIN(2,ROUNDDOWN(I1946,0))*3)*$J1946^3</f>
      </c>
      <c r="M1946" s="7">
        <f>SQRT(K1946^2+L1946^2)</f>
      </c>
      <c r="N1946" s="7">
        <f>(K1947-K1945)</f>
      </c>
      <c r="O1946" s="7">
        <f>+(L1947-L1945)</f>
      </c>
      <c r="P1946" s="7">
        <f>SQRT(O1946^2+N1946^2)</f>
      </c>
      <c r="Q1946" s="7">
        <f>N1946/$P1946</f>
      </c>
      <c r="R1946" s="7">
        <f>O1946/$P1946</f>
      </c>
      <c r="S1946" s="7">
        <f>Q1946^2+R1946^2</f>
      </c>
      <c r="T1946" s="7">
        <f>-R1946</f>
      </c>
      <c r="U1946" s="7">
        <f>Q1946</f>
      </c>
      <c r="V1946" s="7">
        <f>($C$14+($C$15-$C$14)/($D$15-$D$14)*(I1946-$D$14))/2</f>
      </c>
      <c r="W1946" s="7">
        <f>($B$22*I1946^4+$C$22*I1946^3+$D$22*I1946^2+$E$22*I1946+$F$22)/2</f>
      </c>
      <c r="X1946" s="7">
        <f>($W1946)*(T1946)</f>
      </c>
      <c r="Y1946" s="7">
        <f>($W1946)*(U1946)</f>
      </c>
      <c r="Z1946" s="7">
        <f>SQRT(X1946^2+Y1946^2)</f>
      </c>
      <c r="AA1946" s="7">
        <f>$K1946+$X1946</f>
      </c>
      <c r="AB1946" s="7">
        <f>$L1946+$Y1946</f>
      </c>
      <c r="AC1946" s="7">
        <f>$K1946-$X1946</f>
      </c>
      <c r="AD1946" s="7">
        <f>$L1946-$Y1946</f>
      </c>
      <c r="AE1946" s="7">
        <f>AA1946/39.3701</f>
      </c>
      <c r="AF1946" s="7">
        <f>AB1946/39.3701</f>
      </c>
      <c r="AG1946" s="7">
        <f>AC1946/39.3701</f>
      </c>
      <c r="AH1946" s="7">
        <f>AD1946/39.3701</f>
      </c>
      <c r="AI1946" s="1"/>
      <c r="AJ1946" s="1"/>
      <c r="AK1946" s="1"/>
      <c r="AL1946" s="1"/>
      <c r="AM1946" s="2"/>
      <c r="AN1946" s="1"/>
      <c r="AO1946" s="1"/>
      <c r="AP1946" s="1"/>
      <c r="AQ1946" s="1"/>
      <c r="AR1946" s="1"/>
      <c r="AS1946" s="1"/>
      <c r="AT1946" s="1"/>
      <c r="AU1946" s="1"/>
      <c r="AV1946" s="1"/>
      <c r="AW1946" s="1"/>
      <c r="AX1946" s="1"/>
      <c r="AY1946" s="1"/>
      <c r="AZ1946" s="1"/>
      <c r="BA1946" s="1"/>
      <c r="BB1946" s="1"/>
      <c r="BC1946" s="1"/>
      <c r="BD1946" s="1"/>
      <c r="BE1946" s="1"/>
    </row>
    <row x14ac:dyDescent="0.25" r="1947" customHeight="1" ht="18.75">
      <c r="A1947" s="1"/>
      <c r="B1947" s="2"/>
      <c r="C1947" s="2"/>
      <c r="D1947" s="2"/>
      <c r="E1947" s="2"/>
      <c r="F1947" s="2"/>
      <c r="G1947" s="1"/>
      <c r="H1947" s="1"/>
      <c r="I1947" s="7">
        <v>1.944</v>
      </c>
      <c r="J1947" s="7">
        <f>IF((I1947-ROUNDDOWN(I1947,0))=0, 0, (I1947-ROUNDDOWN(I1947,0)))</f>
      </c>
      <c r="K1947" s="7">
        <f>INDIRECT("C$"&amp;2+MIN(2,ROUNDDOWN(I1947,0))*3)*(-$J1947^3+3*$J1947^2-3*$J1947+1)+INDIRECT("C$"&amp;3+MIN(2,ROUNDDOWN(I1947,0))*3)*(3*$J1947^3-6*$J1947^2+3*$J1947)+INDIRECT("C$"&amp;4+MIN(2,ROUNDDOWN(I1947,0))*3)*(-3*$J1947^3+3*$J1947^2)+INDIRECT("C$"&amp;5+MIN(2,ROUNDDOWN(I1947,0))*3)*$J1947^3</f>
      </c>
      <c r="L1947" s="7">
        <f>INDIRECT("D$"&amp;2+MIN(2,ROUNDDOWN(I1947,0))*3)*(-$J1947^3+3*$J1947^2-3*$J1947+1)+INDIRECT("D$"&amp;3+MIN(2,ROUNDDOWN(I1947,0))*3)*(3*$J1947^3-6*$J1947^2+3*$J1947)+INDIRECT("D$"&amp;4+MIN(2,ROUNDDOWN(I1947,0))*3)*(-3*$J1947^3+3*$J1947^2)+INDIRECT("D$"&amp;5+MIN(2,ROUNDDOWN(I1947,0))*3)*$J1947^3</f>
      </c>
      <c r="M1947" s="7">
        <f>SQRT(K1947^2+L1947^2)</f>
      </c>
      <c r="N1947" s="7">
        <f>(K1948-K1946)</f>
      </c>
      <c r="O1947" s="7">
        <f>+(L1948-L1946)</f>
      </c>
      <c r="P1947" s="7">
        <f>SQRT(O1947^2+N1947^2)</f>
      </c>
      <c r="Q1947" s="7">
        <f>N1947/$P1947</f>
      </c>
      <c r="R1947" s="7">
        <f>O1947/$P1947</f>
      </c>
      <c r="S1947" s="7">
        <f>Q1947^2+R1947^2</f>
      </c>
      <c r="T1947" s="7">
        <f>-R1947</f>
      </c>
      <c r="U1947" s="7">
        <f>Q1947</f>
      </c>
      <c r="V1947" s="7">
        <f>($C$14+($C$15-$C$14)/($D$15-$D$14)*(I1947-$D$14))/2</f>
      </c>
      <c r="W1947" s="7">
        <f>($B$22*I1947^4+$C$22*I1947^3+$D$22*I1947^2+$E$22*I1947+$F$22)/2</f>
      </c>
      <c r="X1947" s="7">
        <f>($W1947)*(T1947)</f>
      </c>
      <c r="Y1947" s="7">
        <f>($W1947)*(U1947)</f>
      </c>
      <c r="Z1947" s="7">
        <f>SQRT(X1947^2+Y1947^2)</f>
      </c>
      <c r="AA1947" s="7">
        <f>$K1947+$X1947</f>
      </c>
      <c r="AB1947" s="7">
        <f>$L1947+$Y1947</f>
      </c>
      <c r="AC1947" s="7">
        <f>$K1947-$X1947</f>
      </c>
      <c r="AD1947" s="7">
        <f>$L1947-$Y1947</f>
      </c>
      <c r="AE1947" s="7">
        <f>AA1947/39.3701</f>
      </c>
      <c r="AF1947" s="7">
        <f>AB1947/39.3701</f>
      </c>
      <c r="AG1947" s="7">
        <f>AC1947/39.3701</f>
      </c>
      <c r="AH1947" s="7">
        <f>AD1947/39.3701</f>
      </c>
      <c r="AI1947" s="1"/>
      <c r="AJ1947" s="1"/>
      <c r="AK1947" s="1"/>
      <c r="AL1947" s="1"/>
      <c r="AM1947" s="2"/>
      <c r="AN1947" s="1"/>
      <c r="AO1947" s="1"/>
      <c r="AP1947" s="1"/>
      <c r="AQ1947" s="1"/>
      <c r="AR1947" s="1"/>
      <c r="AS1947" s="1"/>
      <c r="AT1947" s="1"/>
      <c r="AU1947" s="1"/>
      <c r="AV1947" s="1"/>
      <c r="AW1947" s="1"/>
      <c r="AX1947" s="1"/>
      <c r="AY1947" s="1"/>
      <c r="AZ1947" s="1"/>
      <c r="BA1947" s="1"/>
      <c r="BB1947" s="1"/>
      <c r="BC1947" s="1"/>
      <c r="BD1947" s="1"/>
      <c r="BE1947" s="1"/>
    </row>
    <row x14ac:dyDescent="0.25" r="1948" customHeight="1" ht="18.75">
      <c r="A1948" s="1"/>
      <c r="B1948" s="2"/>
      <c r="C1948" s="2"/>
      <c r="D1948" s="2"/>
      <c r="E1948" s="2"/>
      <c r="F1948" s="2"/>
      <c r="G1948" s="1"/>
      <c r="H1948" s="1"/>
      <c r="I1948" s="7">
        <v>1.945</v>
      </c>
      <c r="J1948" s="7">
        <f>IF((I1948-ROUNDDOWN(I1948,0))=0, 0, (I1948-ROUNDDOWN(I1948,0)))</f>
      </c>
      <c r="K1948" s="7">
        <f>INDIRECT("C$"&amp;2+MIN(2,ROUNDDOWN(I1948,0))*3)*(-$J1948^3+3*$J1948^2-3*$J1948+1)+INDIRECT("C$"&amp;3+MIN(2,ROUNDDOWN(I1948,0))*3)*(3*$J1948^3-6*$J1948^2+3*$J1948)+INDIRECT("C$"&amp;4+MIN(2,ROUNDDOWN(I1948,0))*3)*(-3*$J1948^3+3*$J1948^2)+INDIRECT("C$"&amp;5+MIN(2,ROUNDDOWN(I1948,0))*3)*$J1948^3</f>
      </c>
      <c r="L1948" s="7">
        <f>INDIRECT("D$"&amp;2+MIN(2,ROUNDDOWN(I1948,0))*3)*(-$J1948^3+3*$J1948^2-3*$J1948+1)+INDIRECT("D$"&amp;3+MIN(2,ROUNDDOWN(I1948,0))*3)*(3*$J1948^3-6*$J1948^2+3*$J1948)+INDIRECT("D$"&amp;4+MIN(2,ROUNDDOWN(I1948,0))*3)*(-3*$J1948^3+3*$J1948^2)+INDIRECT("D$"&amp;5+MIN(2,ROUNDDOWN(I1948,0))*3)*$J1948^3</f>
      </c>
      <c r="M1948" s="7">
        <f>SQRT(K1948^2+L1948^2)</f>
      </c>
      <c r="N1948" s="7">
        <f>(K1949-K1947)</f>
      </c>
      <c r="O1948" s="7">
        <f>+(L1949-L1947)</f>
      </c>
      <c r="P1948" s="7">
        <f>SQRT(O1948^2+N1948^2)</f>
      </c>
      <c r="Q1948" s="7">
        <f>N1948/$P1948</f>
      </c>
      <c r="R1948" s="7">
        <f>O1948/$P1948</f>
      </c>
      <c r="S1948" s="7">
        <f>Q1948^2+R1948^2</f>
      </c>
      <c r="T1948" s="7">
        <f>-R1948</f>
      </c>
      <c r="U1948" s="7">
        <f>Q1948</f>
      </c>
      <c r="V1948" s="7">
        <f>($C$14+($C$15-$C$14)/($D$15-$D$14)*(I1948-$D$14))/2</f>
      </c>
      <c r="W1948" s="7">
        <f>($B$22*I1948^4+$C$22*I1948^3+$D$22*I1948^2+$E$22*I1948+$F$22)/2</f>
      </c>
      <c r="X1948" s="7">
        <f>($W1948)*(T1948)</f>
      </c>
      <c r="Y1948" s="7">
        <f>($W1948)*(U1948)</f>
      </c>
      <c r="Z1948" s="7">
        <f>SQRT(X1948^2+Y1948^2)</f>
      </c>
      <c r="AA1948" s="7">
        <f>$K1948+$X1948</f>
      </c>
      <c r="AB1948" s="7">
        <f>$L1948+$Y1948</f>
      </c>
      <c r="AC1948" s="7">
        <f>$K1948-$X1948</f>
      </c>
      <c r="AD1948" s="7">
        <f>$L1948-$Y1948</f>
      </c>
      <c r="AE1948" s="7">
        <f>AA1948/39.3701</f>
      </c>
      <c r="AF1948" s="7">
        <f>AB1948/39.3701</f>
      </c>
      <c r="AG1948" s="7">
        <f>AC1948/39.3701</f>
      </c>
      <c r="AH1948" s="7">
        <f>AD1948/39.3701</f>
      </c>
      <c r="AI1948" s="1"/>
      <c r="AJ1948" s="1"/>
      <c r="AK1948" s="1"/>
      <c r="AL1948" s="1"/>
      <c r="AM1948" s="2"/>
      <c r="AN1948" s="1"/>
      <c r="AO1948" s="1"/>
      <c r="AP1948" s="1"/>
      <c r="AQ1948" s="1"/>
      <c r="AR1948" s="1"/>
      <c r="AS1948" s="1"/>
      <c r="AT1948" s="1"/>
      <c r="AU1948" s="1"/>
      <c r="AV1948" s="1"/>
      <c r="AW1948" s="1"/>
      <c r="AX1948" s="1"/>
      <c r="AY1948" s="1"/>
      <c r="AZ1948" s="1"/>
      <c r="BA1948" s="1"/>
      <c r="BB1948" s="1"/>
      <c r="BC1948" s="1"/>
      <c r="BD1948" s="1"/>
      <c r="BE1948" s="1"/>
    </row>
    <row x14ac:dyDescent="0.25" r="1949" customHeight="1" ht="18.75">
      <c r="A1949" s="1"/>
      <c r="B1949" s="2"/>
      <c r="C1949" s="2"/>
      <c r="D1949" s="2"/>
      <c r="E1949" s="2"/>
      <c r="F1949" s="2"/>
      <c r="G1949" s="1"/>
      <c r="H1949" s="1"/>
      <c r="I1949" s="7">
        <v>1.946</v>
      </c>
      <c r="J1949" s="7">
        <f>IF((I1949-ROUNDDOWN(I1949,0))=0, 0, (I1949-ROUNDDOWN(I1949,0)))</f>
      </c>
      <c r="K1949" s="7">
        <f>INDIRECT("C$"&amp;2+MIN(2,ROUNDDOWN(I1949,0))*3)*(-$J1949^3+3*$J1949^2-3*$J1949+1)+INDIRECT("C$"&amp;3+MIN(2,ROUNDDOWN(I1949,0))*3)*(3*$J1949^3-6*$J1949^2+3*$J1949)+INDIRECT("C$"&amp;4+MIN(2,ROUNDDOWN(I1949,0))*3)*(-3*$J1949^3+3*$J1949^2)+INDIRECT("C$"&amp;5+MIN(2,ROUNDDOWN(I1949,0))*3)*$J1949^3</f>
      </c>
      <c r="L1949" s="7">
        <f>INDIRECT("D$"&amp;2+MIN(2,ROUNDDOWN(I1949,0))*3)*(-$J1949^3+3*$J1949^2-3*$J1949+1)+INDIRECT("D$"&amp;3+MIN(2,ROUNDDOWN(I1949,0))*3)*(3*$J1949^3-6*$J1949^2+3*$J1949)+INDIRECT("D$"&amp;4+MIN(2,ROUNDDOWN(I1949,0))*3)*(-3*$J1949^3+3*$J1949^2)+INDIRECT("D$"&amp;5+MIN(2,ROUNDDOWN(I1949,0))*3)*$J1949^3</f>
      </c>
      <c r="M1949" s="7">
        <f>SQRT(K1949^2+L1949^2)</f>
      </c>
      <c r="N1949" s="7">
        <f>(K1950-K1948)</f>
      </c>
      <c r="O1949" s="7">
        <f>+(L1950-L1948)</f>
      </c>
      <c r="P1949" s="7">
        <f>SQRT(O1949^2+N1949^2)</f>
      </c>
      <c r="Q1949" s="7">
        <f>N1949/$P1949</f>
      </c>
      <c r="R1949" s="7">
        <f>O1949/$P1949</f>
      </c>
      <c r="S1949" s="8">
        <f>Q1949^2+R1949^2</f>
      </c>
      <c r="T1949" s="7">
        <f>-R1949</f>
      </c>
      <c r="U1949" s="7">
        <f>Q1949</f>
      </c>
      <c r="V1949" s="7">
        <f>($C$14+($C$15-$C$14)/($D$15-$D$14)*(I1949-$D$14))/2</f>
      </c>
      <c r="W1949" s="7">
        <f>($B$22*I1949^4+$C$22*I1949^3+$D$22*I1949^2+$E$22*I1949+$F$22)/2</f>
      </c>
      <c r="X1949" s="7">
        <f>($W1949)*(T1949)</f>
      </c>
      <c r="Y1949" s="7">
        <f>($W1949)*(U1949)</f>
      </c>
      <c r="Z1949" s="7">
        <f>SQRT(X1949^2+Y1949^2)</f>
      </c>
      <c r="AA1949" s="7">
        <f>$K1949+$X1949</f>
      </c>
      <c r="AB1949" s="7">
        <f>$L1949+$Y1949</f>
      </c>
      <c r="AC1949" s="7">
        <f>$K1949-$X1949</f>
      </c>
      <c r="AD1949" s="7">
        <f>$L1949-$Y1949</f>
      </c>
      <c r="AE1949" s="7">
        <f>AA1949/39.3701</f>
      </c>
      <c r="AF1949" s="7">
        <f>AB1949/39.3701</f>
      </c>
      <c r="AG1949" s="7">
        <f>AC1949/39.3701</f>
      </c>
      <c r="AH1949" s="7">
        <f>AD1949/39.3701</f>
      </c>
      <c r="AI1949" s="1"/>
      <c r="AJ1949" s="1"/>
      <c r="AK1949" s="1"/>
      <c r="AL1949" s="1"/>
      <c r="AM1949" s="2"/>
      <c r="AN1949" s="1"/>
      <c r="AO1949" s="1"/>
      <c r="AP1949" s="1"/>
      <c r="AQ1949" s="1"/>
      <c r="AR1949" s="1"/>
      <c r="AS1949" s="1"/>
      <c r="AT1949" s="1"/>
      <c r="AU1949" s="1"/>
      <c r="AV1949" s="1"/>
      <c r="AW1949" s="1"/>
      <c r="AX1949" s="1"/>
      <c r="AY1949" s="1"/>
      <c r="AZ1949" s="1"/>
      <c r="BA1949" s="1"/>
      <c r="BB1949" s="1"/>
      <c r="BC1949" s="1"/>
      <c r="BD1949" s="1"/>
      <c r="BE1949" s="1"/>
    </row>
    <row x14ac:dyDescent="0.25" r="1950" customHeight="1" ht="18.75">
      <c r="A1950" s="1"/>
      <c r="B1950" s="2"/>
      <c r="C1950" s="2"/>
      <c r="D1950" s="2"/>
      <c r="E1950" s="2"/>
      <c r="F1950" s="2"/>
      <c r="G1950" s="1"/>
      <c r="H1950" s="1"/>
      <c r="I1950" s="7">
        <v>1.947</v>
      </c>
      <c r="J1950" s="7">
        <f>IF((I1950-ROUNDDOWN(I1950,0))=0, 0, (I1950-ROUNDDOWN(I1950,0)))</f>
      </c>
      <c r="K1950" s="7">
        <f>INDIRECT("C$"&amp;2+MIN(2,ROUNDDOWN(I1950,0))*3)*(-$J1950^3+3*$J1950^2-3*$J1950+1)+INDIRECT("C$"&amp;3+MIN(2,ROUNDDOWN(I1950,0))*3)*(3*$J1950^3-6*$J1950^2+3*$J1950)+INDIRECT("C$"&amp;4+MIN(2,ROUNDDOWN(I1950,0))*3)*(-3*$J1950^3+3*$J1950^2)+INDIRECT("C$"&amp;5+MIN(2,ROUNDDOWN(I1950,0))*3)*$J1950^3</f>
      </c>
      <c r="L1950" s="7">
        <f>INDIRECT("D$"&amp;2+MIN(2,ROUNDDOWN(I1950,0))*3)*(-$J1950^3+3*$J1950^2-3*$J1950+1)+INDIRECT("D$"&amp;3+MIN(2,ROUNDDOWN(I1950,0))*3)*(3*$J1950^3-6*$J1950^2+3*$J1950)+INDIRECT("D$"&amp;4+MIN(2,ROUNDDOWN(I1950,0))*3)*(-3*$J1950^3+3*$J1950^2)+INDIRECT("D$"&amp;5+MIN(2,ROUNDDOWN(I1950,0))*3)*$J1950^3</f>
      </c>
      <c r="M1950" s="7">
        <f>SQRT(K1950^2+L1950^2)</f>
      </c>
      <c r="N1950" s="7">
        <f>(K1951-K1949)</f>
      </c>
      <c r="O1950" s="7">
        <f>+(L1951-L1949)</f>
      </c>
      <c r="P1950" s="7">
        <f>SQRT(O1950^2+N1950^2)</f>
      </c>
      <c r="Q1950" s="7">
        <f>N1950/$P1950</f>
      </c>
      <c r="R1950" s="7">
        <f>O1950/$P1950</f>
      </c>
      <c r="S1950" s="7">
        <f>Q1950^2+R1950^2</f>
      </c>
      <c r="T1950" s="7">
        <f>-R1950</f>
      </c>
      <c r="U1950" s="7">
        <f>Q1950</f>
      </c>
      <c r="V1950" s="7">
        <f>($C$14+($C$15-$C$14)/($D$15-$D$14)*(I1950-$D$14))/2</f>
      </c>
      <c r="W1950" s="7">
        <f>($B$22*I1950^4+$C$22*I1950^3+$D$22*I1950^2+$E$22*I1950+$F$22)/2</f>
      </c>
      <c r="X1950" s="7">
        <f>($W1950)*(T1950)</f>
      </c>
      <c r="Y1950" s="7">
        <f>($W1950)*(U1950)</f>
      </c>
      <c r="Z1950" s="7">
        <f>SQRT(X1950^2+Y1950^2)</f>
      </c>
      <c r="AA1950" s="7">
        <f>$K1950+$X1950</f>
      </c>
      <c r="AB1950" s="7">
        <f>$L1950+$Y1950</f>
      </c>
      <c r="AC1950" s="7">
        <f>$K1950-$X1950</f>
      </c>
      <c r="AD1950" s="7">
        <f>$L1950-$Y1950</f>
      </c>
      <c r="AE1950" s="7">
        <f>AA1950/39.3701</f>
      </c>
      <c r="AF1950" s="7">
        <f>AB1950/39.3701</f>
      </c>
      <c r="AG1950" s="7">
        <f>AC1950/39.3701</f>
      </c>
      <c r="AH1950" s="7">
        <f>AD1950/39.3701</f>
      </c>
      <c r="AI1950" s="1"/>
      <c r="AJ1950" s="1"/>
      <c r="AK1950" s="1"/>
      <c r="AL1950" s="1"/>
      <c r="AM1950" s="2"/>
      <c r="AN1950" s="1"/>
      <c r="AO1950" s="1"/>
      <c r="AP1950" s="1"/>
      <c r="AQ1950" s="1"/>
      <c r="AR1950" s="1"/>
      <c r="AS1950" s="1"/>
      <c r="AT1950" s="1"/>
      <c r="AU1950" s="1"/>
      <c r="AV1950" s="1"/>
      <c r="AW1950" s="1"/>
      <c r="AX1950" s="1"/>
      <c r="AY1950" s="1"/>
      <c r="AZ1950" s="1"/>
      <c r="BA1950" s="1"/>
      <c r="BB1950" s="1"/>
      <c r="BC1950" s="1"/>
      <c r="BD1950" s="1"/>
      <c r="BE1950" s="1"/>
    </row>
    <row x14ac:dyDescent="0.25" r="1951" customHeight="1" ht="18.75">
      <c r="A1951" s="1"/>
      <c r="B1951" s="2"/>
      <c r="C1951" s="2"/>
      <c r="D1951" s="2"/>
      <c r="E1951" s="2"/>
      <c r="F1951" s="2"/>
      <c r="G1951" s="1"/>
      <c r="H1951" s="1"/>
      <c r="I1951" s="7">
        <v>1.948</v>
      </c>
      <c r="J1951" s="7">
        <f>IF((I1951-ROUNDDOWN(I1951,0))=0, 0, (I1951-ROUNDDOWN(I1951,0)))</f>
      </c>
      <c r="K1951" s="7">
        <f>INDIRECT("C$"&amp;2+MIN(2,ROUNDDOWN(I1951,0))*3)*(-$J1951^3+3*$J1951^2-3*$J1951+1)+INDIRECT("C$"&amp;3+MIN(2,ROUNDDOWN(I1951,0))*3)*(3*$J1951^3-6*$J1951^2+3*$J1951)+INDIRECT("C$"&amp;4+MIN(2,ROUNDDOWN(I1951,0))*3)*(-3*$J1951^3+3*$J1951^2)+INDIRECT("C$"&amp;5+MIN(2,ROUNDDOWN(I1951,0))*3)*$J1951^3</f>
      </c>
      <c r="L1951" s="7">
        <f>INDIRECT("D$"&amp;2+MIN(2,ROUNDDOWN(I1951,0))*3)*(-$J1951^3+3*$J1951^2-3*$J1951+1)+INDIRECT("D$"&amp;3+MIN(2,ROUNDDOWN(I1951,0))*3)*(3*$J1951^3-6*$J1951^2+3*$J1951)+INDIRECT("D$"&amp;4+MIN(2,ROUNDDOWN(I1951,0))*3)*(-3*$J1951^3+3*$J1951^2)+INDIRECT("D$"&amp;5+MIN(2,ROUNDDOWN(I1951,0))*3)*$J1951^3</f>
      </c>
      <c r="M1951" s="7">
        <f>SQRT(K1951^2+L1951^2)</f>
      </c>
      <c r="N1951" s="7">
        <f>(K1952-K1950)</f>
      </c>
      <c r="O1951" s="7">
        <f>+(L1952-L1950)</f>
      </c>
      <c r="P1951" s="7">
        <f>SQRT(O1951^2+N1951^2)</f>
      </c>
      <c r="Q1951" s="7">
        <f>N1951/$P1951</f>
      </c>
      <c r="R1951" s="7">
        <f>O1951/$P1951</f>
      </c>
      <c r="S1951" s="8">
        <f>Q1951^2+R1951^2</f>
      </c>
      <c r="T1951" s="7">
        <f>-R1951</f>
      </c>
      <c r="U1951" s="7">
        <f>Q1951</f>
      </c>
      <c r="V1951" s="7">
        <f>($C$14+($C$15-$C$14)/($D$15-$D$14)*(I1951-$D$14))/2</f>
      </c>
      <c r="W1951" s="7">
        <f>($B$22*I1951^4+$C$22*I1951^3+$D$22*I1951^2+$E$22*I1951+$F$22)/2</f>
      </c>
      <c r="X1951" s="7">
        <f>($W1951)*(T1951)</f>
      </c>
      <c r="Y1951" s="7">
        <f>($W1951)*(U1951)</f>
      </c>
      <c r="Z1951" s="7">
        <f>SQRT(X1951^2+Y1951^2)</f>
      </c>
      <c r="AA1951" s="7">
        <f>$K1951+$X1951</f>
      </c>
      <c r="AB1951" s="7">
        <f>$L1951+$Y1951</f>
      </c>
      <c r="AC1951" s="7">
        <f>$K1951-$X1951</f>
      </c>
      <c r="AD1951" s="7">
        <f>$L1951-$Y1951</f>
      </c>
      <c r="AE1951" s="7">
        <f>AA1951/39.3701</f>
      </c>
      <c r="AF1951" s="7">
        <f>AB1951/39.3701</f>
      </c>
      <c r="AG1951" s="7">
        <f>AC1951/39.3701</f>
      </c>
      <c r="AH1951" s="7">
        <f>AD1951/39.3701</f>
      </c>
      <c r="AI1951" s="1"/>
      <c r="AJ1951" s="1"/>
      <c r="AK1951" s="1"/>
      <c r="AL1951" s="1"/>
      <c r="AM1951" s="2"/>
      <c r="AN1951" s="1"/>
      <c r="AO1951" s="1"/>
      <c r="AP1951" s="1"/>
      <c r="AQ1951" s="1"/>
      <c r="AR1951" s="1"/>
      <c r="AS1951" s="1"/>
      <c r="AT1951" s="1"/>
      <c r="AU1951" s="1"/>
      <c r="AV1951" s="1"/>
      <c r="AW1951" s="1"/>
      <c r="AX1951" s="1"/>
      <c r="AY1951" s="1"/>
      <c r="AZ1951" s="1"/>
      <c r="BA1951" s="1"/>
      <c r="BB1951" s="1"/>
      <c r="BC1951" s="1"/>
      <c r="BD1951" s="1"/>
      <c r="BE1951" s="1"/>
    </row>
    <row x14ac:dyDescent="0.25" r="1952" customHeight="1" ht="18.75">
      <c r="A1952" s="1"/>
      <c r="B1952" s="2"/>
      <c r="C1952" s="2"/>
      <c r="D1952" s="2"/>
      <c r="E1952" s="2"/>
      <c r="F1952" s="2"/>
      <c r="G1952" s="1"/>
      <c r="H1952" s="1"/>
      <c r="I1952" s="7">
        <v>1.949</v>
      </c>
      <c r="J1952" s="7">
        <f>IF((I1952-ROUNDDOWN(I1952,0))=0, 0, (I1952-ROUNDDOWN(I1952,0)))</f>
      </c>
      <c r="K1952" s="7">
        <f>INDIRECT("C$"&amp;2+MIN(2,ROUNDDOWN(I1952,0))*3)*(-$J1952^3+3*$J1952^2-3*$J1952+1)+INDIRECT("C$"&amp;3+MIN(2,ROUNDDOWN(I1952,0))*3)*(3*$J1952^3-6*$J1952^2+3*$J1952)+INDIRECT("C$"&amp;4+MIN(2,ROUNDDOWN(I1952,0))*3)*(-3*$J1952^3+3*$J1952^2)+INDIRECT("C$"&amp;5+MIN(2,ROUNDDOWN(I1952,0))*3)*$J1952^3</f>
      </c>
      <c r="L1952" s="7">
        <f>INDIRECT("D$"&amp;2+MIN(2,ROUNDDOWN(I1952,0))*3)*(-$J1952^3+3*$J1952^2-3*$J1952+1)+INDIRECT("D$"&amp;3+MIN(2,ROUNDDOWN(I1952,0))*3)*(3*$J1952^3-6*$J1952^2+3*$J1952)+INDIRECT("D$"&amp;4+MIN(2,ROUNDDOWN(I1952,0))*3)*(-3*$J1952^3+3*$J1952^2)+INDIRECT("D$"&amp;5+MIN(2,ROUNDDOWN(I1952,0))*3)*$J1952^3</f>
      </c>
      <c r="M1952" s="7">
        <f>SQRT(K1952^2+L1952^2)</f>
      </c>
      <c r="N1952" s="7">
        <f>(K1953-K1951)</f>
      </c>
      <c r="O1952" s="7">
        <f>+(L1953-L1951)</f>
      </c>
      <c r="P1952" s="7">
        <f>SQRT(O1952^2+N1952^2)</f>
      </c>
      <c r="Q1952" s="7">
        <f>N1952/$P1952</f>
      </c>
      <c r="R1952" s="7">
        <f>O1952/$P1952</f>
      </c>
      <c r="S1952" s="8">
        <f>Q1952^2+R1952^2</f>
      </c>
      <c r="T1952" s="7">
        <f>-R1952</f>
      </c>
      <c r="U1952" s="7">
        <f>Q1952</f>
      </c>
      <c r="V1952" s="7">
        <f>($C$14+($C$15-$C$14)/($D$15-$D$14)*(I1952-$D$14))/2</f>
      </c>
      <c r="W1952" s="7">
        <f>($B$22*I1952^4+$C$22*I1952^3+$D$22*I1952^2+$E$22*I1952+$F$22)/2</f>
      </c>
      <c r="X1952" s="7">
        <f>($W1952)*(T1952)</f>
      </c>
      <c r="Y1952" s="7">
        <f>($W1952)*(U1952)</f>
      </c>
      <c r="Z1952" s="7">
        <f>SQRT(X1952^2+Y1952^2)</f>
      </c>
      <c r="AA1952" s="7">
        <f>$K1952+$X1952</f>
      </c>
      <c r="AB1952" s="7">
        <f>$L1952+$Y1952</f>
      </c>
      <c r="AC1952" s="7">
        <f>$K1952-$X1952</f>
      </c>
      <c r="AD1952" s="7">
        <f>$L1952-$Y1952</f>
      </c>
      <c r="AE1952" s="7">
        <f>AA1952/39.3701</f>
      </c>
      <c r="AF1952" s="7">
        <f>AB1952/39.3701</f>
      </c>
      <c r="AG1952" s="7">
        <f>AC1952/39.3701</f>
      </c>
      <c r="AH1952" s="7">
        <f>AD1952/39.3701</f>
      </c>
      <c r="AI1952" s="1"/>
      <c r="AJ1952" s="1"/>
      <c r="AK1952" s="1"/>
      <c r="AL1952" s="1"/>
      <c r="AM1952" s="2"/>
      <c r="AN1952" s="1"/>
      <c r="AO1952" s="1"/>
      <c r="AP1952" s="1"/>
      <c r="AQ1952" s="1"/>
      <c r="AR1952" s="1"/>
      <c r="AS1952" s="1"/>
      <c r="AT1952" s="1"/>
      <c r="AU1952" s="1"/>
      <c r="AV1952" s="1"/>
      <c r="AW1952" s="1"/>
      <c r="AX1952" s="1"/>
      <c r="AY1952" s="1"/>
      <c r="AZ1952" s="1"/>
      <c r="BA1952" s="1"/>
      <c r="BB1952" s="1"/>
      <c r="BC1952" s="1"/>
      <c r="BD1952" s="1"/>
      <c r="BE1952" s="1"/>
    </row>
    <row x14ac:dyDescent="0.25" r="1953" customHeight="1" ht="18.75">
      <c r="A1953" s="1"/>
      <c r="B1953" s="2"/>
      <c r="C1953" s="2"/>
      <c r="D1953" s="2"/>
      <c r="E1953" s="2"/>
      <c r="F1953" s="2"/>
      <c r="G1953" s="1"/>
      <c r="H1953" s="1"/>
      <c r="I1953" s="7">
        <v>1.95</v>
      </c>
      <c r="J1953" s="7">
        <f>IF((I1953-ROUNDDOWN(I1953,0))=0, 0, (I1953-ROUNDDOWN(I1953,0)))</f>
      </c>
      <c r="K1953" s="7">
        <f>INDIRECT("C$"&amp;2+MIN(2,ROUNDDOWN(I1953,0))*3)*(-$J1953^3+3*$J1953^2-3*$J1953+1)+INDIRECT("C$"&amp;3+MIN(2,ROUNDDOWN(I1953,0))*3)*(3*$J1953^3-6*$J1953^2+3*$J1953)+INDIRECT("C$"&amp;4+MIN(2,ROUNDDOWN(I1953,0))*3)*(-3*$J1953^3+3*$J1953^2)+INDIRECT("C$"&amp;5+MIN(2,ROUNDDOWN(I1953,0))*3)*$J1953^3</f>
      </c>
      <c r="L1953" s="7">
        <f>INDIRECT("D$"&amp;2+MIN(2,ROUNDDOWN(I1953,0))*3)*(-$J1953^3+3*$J1953^2-3*$J1953+1)+INDIRECT("D$"&amp;3+MIN(2,ROUNDDOWN(I1953,0))*3)*(3*$J1953^3-6*$J1953^2+3*$J1953)+INDIRECT("D$"&amp;4+MIN(2,ROUNDDOWN(I1953,0))*3)*(-3*$J1953^3+3*$J1953^2)+INDIRECT("D$"&amp;5+MIN(2,ROUNDDOWN(I1953,0))*3)*$J1953^3</f>
      </c>
      <c r="M1953" s="7">
        <f>SQRT(K1953^2+L1953^2)</f>
      </c>
      <c r="N1953" s="7">
        <f>(K1954-K1952)</f>
      </c>
      <c r="O1953" s="7">
        <f>+(L1954-L1952)</f>
      </c>
      <c r="P1953" s="7">
        <f>SQRT(O1953^2+N1953^2)</f>
      </c>
      <c r="Q1953" s="7">
        <f>N1953/$P1953</f>
      </c>
      <c r="R1953" s="7">
        <f>O1953/$P1953</f>
      </c>
      <c r="S1953" s="7">
        <f>Q1953^2+R1953^2</f>
      </c>
      <c r="T1953" s="7">
        <f>-R1953</f>
      </c>
      <c r="U1953" s="7">
        <f>Q1953</f>
      </c>
      <c r="V1953" s="7">
        <f>($C$14+($C$15-$C$14)/($D$15-$D$14)*(I1953-$D$14))/2</f>
      </c>
      <c r="W1953" s="7">
        <f>($B$22*I1953^4+$C$22*I1953^3+$D$22*I1953^2+$E$22*I1953+$F$22)/2</f>
      </c>
      <c r="X1953" s="7">
        <f>($W1953)*(T1953)</f>
      </c>
      <c r="Y1953" s="7">
        <f>($W1953)*(U1953)</f>
      </c>
      <c r="Z1953" s="7">
        <f>SQRT(X1953^2+Y1953^2)</f>
      </c>
      <c r="AA1953" s="7">
        <f>$K1953+$X1953</f>
      </c>
      <c r="AB1953" s="7">
        <f>$L1953+$Y1953</f>
      </c>
      <c r="AC1953" s="7">
        <f>$K1953-$X1953</f>
      </c>
      <c r="AD1953" s="7">
        <f>$L1953-$Y1953</f>
      </c>
      <c r="AE1953" s="7">
        <f>AA1953/39.3701</f>
      </c>
      <c r="AF1953" s="7">
        <f>AB1953/39.3701</f>
      </c>
      <c r="AG1953" s="7">
        <f>AC1953/39.3701</f>
      </c>
      <c r="AH1953" s="7">
        <f>AD1953/39.3701</f>
      </c>
      <c r="AI1953" s="1"/>
      <c r="AJ1953" s="1"/>
      <c r="AK1953" s="1"/>
      <c r="AL1953" s="1"/>
      <c r="AM1953" s="2"/>
      <c r="AN1953" s="1"/>
      <c r="AO1953" s="1"/>
      <c r="AP1953" s="1"/>
      <c r="AQ1953" s="1"/>
      <c r="AR1953" s="1"/>
      <c r="AS1953" s="1"/>
      <c r="AT1953" s="1"/>
      <c r="AU1953" s="1"/>
      <c r="AV1953" s="1"/>
      <c r="AW1953" s="1"/>
      <c r="AX1953" s="1"/>
      <c r="AY1953" s="1"/>
      <c r="AZ1953" s="1"/>
      <c r="BA1953" s="1"/>
      <c r="BB1953" s="1"/>
      <c r="BC1953" s="1"/>
      <c r="BD1953" s="1"/>
      <c r="BE1953" s="1"/>
    </row>
    <row x14ac:dyDescent="0.25" r="1954" customHeight="1" ht="18.75">
      <c r="A1954" s="1"/>
      <c r="B1954" s="2"/>
      <c r="C1954" s="2"/>
      <c r="D1954" s="2"/>
      <c r="E1954" s="2"/>
      <c r="F1954" s="2"/>
      <c r="G1954" s="1"/>
      <c r="H1954" s="1"/>
      <c r="I1954" s="7">
        <v>1.951</v>
      </c>
      <c r="J1954" s="7">
        <f>IF((I1954-ROUNDDOWN(I1954,0))=0, 0, (I1954-ROUNDDOWN(I1954,0)))</f>
      </c>
      <c r="K1954" s="7">
        <f>INDIRECT("C$"&amp;2+MIN(2,ROUNDDOWN(I1954,0))*3)*(-$J1954^3+3*$J1954^2-3*$J1954+1)+INDIRECT("C$"&amp;3+MIN(2,ROUNDDOWN(I1954,0))*3)*(3*$J1954^3-6*$J1954^2+3*$J1954)+INDIRECT("C$"&amp;4+MIN(2,ROUNDDOWN(I1954,0))*3)*(-3*$J1954^3+3*$J1954^2)+INDIRECT("C$"&amp;5+MIN(2,ROUNDDOWN(I1954,0))*3)*$J1954^3</f>
      </c>
      <c r="L1954" s="7">
        <f>INDIRECT("D$"&amp;2+MIN(2,ROUNDDOWN(I1954,0))*3)*(-$J1954^3+3*$J1954^2-3*$J1954+1)+INDIRECT("D$"&amp;3+MIN(2,ROUNDDOWN(I1954,0))*3)*(3*$J1954^3-6*$J1954^2+3*$J1954)+INDIRECT("D$"&amp;4+MIN(2,ROUNDDOWN(I1954,0))*3)*(-3*$J1954^3+3*$J1954^2)+INDIRECT("D$"&amp;5+MIN(2,ROUNDDOWN(I1954,0))*3)*$J1954^3</f>
      </c>
      <c r="M1954" s="7">
        <f>SQRT(K1954^2+L1954^2)</f>
      </c>
      <c r="N1954" s="7">
        <f>(K1955-K1953)</f>
      </c>
      <c r="O1954" s="7">
        <f>+(L1955-L1953)</f>
      </c>
      <c r="P1954" s="7">
        <f>SQRT(O1954^2+N1954^2)</f>
      </c>
      <c r="Q1954" s="7">
        <f>N1954/$P1954</f>
      </c>
      <c r="R1954" s="7">
        <f>O1954/$P1954</f>
      </c>
      <c r="S1954" s="7">
        <f>Q1954^2+R1954^2</f>
      </c>
      <c r="T1954" s="7">
        <f>-R1954</f>
      </c>
      <c r="U1954" s="7">
        <f>Q1954</f>
      </c>
      <c r="V1954" s="7">
        <f>($C$14+($C$15-$C$14)/($D$15-$D$14)*(I1954-$D$14))/2</f>
      </c>
      <c r="W1954" s="7">
        <f>($B$22*I1954^4+$C$22*I1954^3+$D$22*I1954^2+$E$22*I1954+$F$22)/2</f>
      </c>
      <c r="X1954" s="7">
        <f>($W1954)*(T1954)</f>
      </c>
      <c r="Y1954" s="7">
        <f>($W1954)*(U1954)</f>
      </c>
      <c r="Z1954" s="7">
        <f>SQRT(X1954^2+Y1954^2)</f>
      </c>
      <c r="AA1954" s="7">
        <f>$K1954+$X1954</f>
      </c>
      <c r="AB1954" s="7">
        <f>$L1954+$Y1954</f>
      </c>
      <c r="AC1954" s="7">
        <f>$K1954-$X1954</f>
      </c>
      <c r="AD1954" s="7">
        <f>$L1954-$Y1954</f>
      </c>
      <c r="AE1954" s="7">
        <f>AA1954/39.3701</f>
      </c>
      <c r="AF1954" s="7">
        <f>AB1954/39.3701</f>
      </c>
      <c r="AG1954" s="7">
        <f>AC1954/39.3701</f>
      </c>
      <c r="AH1954" s="7">
        <f>AD1954/39.3701</f>
      </c>
      <c r="AI1954" s="1"/>
      <c r="AJ1954" s="1"/>
      <c r="AK1954" s="1"/>
      <c r="AL1954" s="1"/>
      <c r="AM1954" s="2"/>
      <c r="AN1954" s="1"/>
      <c r="AO1954" s="1"/>
      <c r="AP1954" s="1"/>
      <c r="AQ1954" s="1"/>
      <c r="AR1954" s="1"/>
      <c r="AS1954" s="1"/>
      <c r="AT1954" s="1"/>
      <c r="AU1954" s="1"/>
      <c r="AV1954" s="1"/>
      <c r="AW1954" s="1"/>
      <c r="AX1954" s="1"/>
      <c r="AY1954" s="1"/>
      <c r="AZ1954" s="1"/>
      <c r="BA1954" s="1"/>
      <c r="BB1954" s="1"/>
      <c r="BC1954" s="1"/>
      <c r="BD1954" s="1"/>
      <c r="BE1954" s="1"/>
    </row>
    <row x14ac:dyDescent="0.25" r="1955" customHeight="1" ht="18.75">
      <c r="A1955" s="1"/>
      <c r="B1955" s="2"/>
      <c r="C1955" s="2"/>
      <c r="D1955" s="2"/>
      <c r="E1955" s="2"/>
      <c r="F1955" s="2"/>
      <c r="G1955" s="1"/>
      <c r="H1955" s="1"/>
      <c r="I1955" s="7">
        <v>1.952</v>
      </c>
      <c r="J1955" s="7">
        <f>IF((I1955-ROUNDDOWN(I1955,0))=0, 0, (I1955-ROUNDDOWN(I1955,0)))</f>
      </c>
      <c r="K1955" s="7">
        <f>INDIRECT("C$"&amp;2+MIN(2,ROUNDDOWN(I1955,0))*3)*(-$J1955^3+3*$J1955^2-3*$J1955+1)+INDIRECT("C$"&amp;3+MIN(2,ROUNDDOWN(I1955,0))*3)*(3*$J1955^3-6*$J1955^2+3*$J1955)+INDIRECT("C$"&amp;4+MIN(2,ROUNDDOWN(I1955,0))*3)*(-3*$J1955^3+3*$J1955^2)+INDIRECT("C$"&amp;5+MIN(2,ROUNDDOWN(I1955,0))*3)*$J1955^3</f>
      </c>
      <c r="L1955" s="7">
        <f>INDIRECT("D$"&amp;2+MIN(2,ROUNDDOWN(I1955,0))*3)*(-$J1955^3+3*$J1955^2-3*$J1955+1)+INDIRECT("D$"&amp;3+MIN(2,ROUNDDOWN(I1955,0))*3)*(3*$J1955^3-6*$J1955^2+3*$J1955)+INDIRECT("D$"&amp;4+MIN(2,ROUNDDOWN(I1955,0))*3)*(-3*$J1955^3+3*$J1955^2)+INDIRECT("D$"&amp;5+MIN(2,ROUNDDOWN(I1955,0))*3)*$J1955^3</f>
      </c>
      <c r="M1955" s="7">
        <f>SQRT(K1955^2+L1955^2)</f>
      </c>
      <c r="N1955" s="7">
        <f>(K1956-K1954)</f>
      </c>
      <c r="O1955" s="7">
        <f>+(L1956-L1954)</f>
      </c>
      <c r="P1955" s="7">
        <f>SQRT(O1955^2+N1955^2)</f>
      </c>
      <c r="Q1955" s="7">
        <f>N1955/$P1955</f>
      </c>
      <c r="R1955" s="7">
        <f>O1955/$P1955</f>
      </c>
      <c r="S1955" s="7">
        <f>Q1955^2+R1955^2</f>
      </c>
      <c r="T1955" s="7">
        <f>-R1955</f>
      </c>
      <c r="U1955" s="7">
        <f>Q1955</f>
      </c>
      <c r="V1955" s="7">
        <f>($C$14+($C$15-$C$14)/($D$15-$D$14)*(I1955-$D$14))/2</f>
      </c>
      <c r="W1955" s="7">
        <f>($B$22*I1955^4+$C$22*I1955^3+$D$22*I1955^2+$E$22*I1955+$F$22)/2</f>
      </c>
      <c r="X1955" s="7">
        <f>($W1955)*(T1955)</f>
      </c>
      <c r="Y1955" s="7">
        <f>($W1955)*(U1955)</f>
      </c>
      <c r="Z1955" s="7">
        <f>SQRT(X1955^2+Y1955^2)</f>
      </c>
      <c r="AA1955" s="7">
        <f>$K1955+$X1955</f>
      </c>
      <c r="AB1955" s="7">
        <f>$L1955+$Y1955</f>
      </c>
      <c r="AC1955" s="7">
        <f>$K1955-$X1955</f>
      </c>
      <c r="AD1955" s="7">
        <f>$L1955-$Y1955</f>
      </c>
      <c r="AE1955" s="7">
        <f>AA1955/39.3701</f>
      </c>
      <c r="AF1955" s="7">
        <f>AB1955/39.3701</f>
      </c>
      <c r="AG1955" s="7">
        <f>AC1955/39.3701</f>
      </c>
      <c r="AH1955" s="7">
        <f>AD1955/39.3701</f>
      </c>
      <c r="AI1955" s="1"/>
      <c r="AJ1955" s="1"/>
      <c r="AK1955" s="1"/>
      <c r="AL1955" s="1"/>
      <c r="AM1955" s="2"/>
      <c r="AN1955" s="1"/>
      <c r="AO1955" s="1"/>
      <c r="AP1955" s="1"/>
      <c r="AQ1955" s="1"/>
      <c r="AR1955" s="1"/>
      <c r="AS1955" s="1"/>
      <c r="AT1955" s="1"/>
      <c r="AU1955" s="1"/>
      <c r="AV1955" s="1"/>
      <c r="AW1955" s="1"/>
      <c r="AX1955" s="1"/>
      <c r="AY1955" s="1"/>
      <c r="AZ1955" s="1"/>
      <c r="BA1955" s="1"/>
      <c r="BB1955" s="1"/>
      <c r="BC1955" s="1"/>
      <c r="BD1955" s="1"/>
      <c r="BE1955" s="1"/>
    </row>
    <row x14ac:dyDescent="0.25" r="1956" customHeight="1" ht="18.75">
      <c r="A1956" s="1"/>
      <c r="B1956" s="2"/>
      <c r="C1956" s="2"/>
      <c r="D1956" s="2"/>
      <c r="E1956" s="2"/>
      <c r="F1956" s="2"/>
      <c r="G1956" s="1"/>
      <c r="H1956" s="1"/>
      <c r="I1956" s="7">
        <v>1.953</v>
      </c>
      <c r="J1956" s="7">
        <f>IF((I1956-ROUNDDOWN(I1956,0))=0, 0, (I1956-ROUNDDOWN(I1956,0)))</f>
      </c>
      <c r="K1956" s="7">
        <f>INDIRECT("C$"&amp;2+MIN(2,ROUNDDOWN(I1956,0))*3)*(-$J1956^3+3*$J1956^2-3*$J1956+1)+INDIRECT("C$"&amp;3+MIN(2,ROUNDDOWN(I1956,0))*3)*(3*$J1956^3-6*$J1956^2+3*$J1956)+INDIRECT("C$"&amp;4+MIN(2,ROUNDDOWN(I1956,0))*3)*(-3*$J1956^3+3*$J1956^2)+INDIRECT("C$"&amp;5+MIN(2,ROUNDDOWN(I1956,0))*3)*$J1956^3</f>
      </c>
      <c r="L1956" s="7">
        <f>INDIRECT("D$"&amp;2+MIN(2,ROUNDDOWN(I1956,0))*3)*(-$J1956^3+3*$J1956^2-3*$J1956+1)+INDIRECT("D$"&amp;3+MIN(2,ROUNDDOWN(I1956,0))*3)*(3*$J1956^3-6*$J1956^2+3*$J1956)+INDIRECT("D$"&amp;4+MIN(2,ROUNDDOWN(I1956,0))*3)*(-3*$J1956^3+3*$J1956^2)+INDIRECT("D$"&amp;5+MIN(2,ROUNDDOWN(I1956,0))*3)*$J1956^3</f>
      </c>
      <c r="M1956" s="7">
        <f>SQRT(K1956^2+L1956^2)</f>
      </c>
      <c r="N1956" s="7">
        <f>(K1957-K1955)</f>
      </c>
      <c r="O1956" s="7">
        <f>+(L1957-L1955)</f>
      </c>
      <c r="P1956" s="7">
        <f>SQRT(O1956^2+N1956^2)</f>
      </c>
      <c r="Q1956" s="7">
        <f>N1956/$P1956</f>
      </c>
      <c r="R1956" s="7">
        <f>O1956/$P1956</f>
      </c>
      <c r="S1956" s="7">
        <f>Q1956^2+R1956^2</f>
      </c>
      <c r="T1956" s="7">
        <f>-R1956</f>
      </c>
      <c r="U1956" s="7">
        <f>Q1956</f>
      </c>
      <c r="V1956" s="7">
        <f>($C$14+($C$15-$C$14)/($D$15-$D$14)*(I1956-$D$14))/2</f>
      </c>
      <c r="W1956" s="7">
        <f>($B$22*I1956^4+$C$22*I1956^3+$D$22*I1956^2+$E$22*I1956+$F$22)/2</f>
      </c>
      <c r="X1956" s="7">
        <f>($W1956)*(T1956)</f>
      </c>
      <c r="Y1956" s="7">
        <f>($W1956)*(U1956)</f>
      </c>
      <c r="Z1956" s="7">
        <f>SQRT(X1956^2+Y1956^2)</f>
      </c>
      <c r="AA1956" s="7">
        <f>$K1956+$X1956</f>
      </c>
      <c r="AB1956" s="7">
        <f>$L1956+$Y1956</f>
      </c>
      <c r="AC1956" s="7">
        <f>$K1956-$X1956</f>
      </c>
      <c r="AD1956" s="7">
        <f>$L1956-$Y1956</f>
      </c>
      <c r="AE1956" s="7">
        <f>AA1956/39.3701</f>
      </c>
      <c r="AF1956" s="7">
        <f>AB1956/39.3701</f>
      </c>
      <c r="AG1956" s="7">
        <f>AC1956/39.3701</f>
      </c>
      <c r="AH1956" s="7">
        <f>AD1956/39.3701</f>
      </c>
      <c r="AI1956" s="1"/>
      <c r="AJ1956" s="1"/>
      <c r="AK1956" s="1"/>
      <c r="AL1956" s="1"/>
      <c r="AM1956" s="2"/>
      <c r="AN1956" s="1"/>
      <c r="AO1956" s="1"/>
      <c r="AP1956" s="1"/>
      <c r="AQ1956" s="1"/>
      <c r="AR1956" s="1"/>
      <c r="AS1956" s="1"/>
      <c r="AT1956" s="1"/>
      <c r="AU1956" s="1"/>
      <c r="AV1956" s="1"/>
      <c r="AW1956" s="1"/>
      <c r="AX1956" s="1"/>
      <c r="AY1956" s="1"/>
      <c r="AZ1956" s="1"/>
      <c r="BA1956" s="1"/>
      <c r="BB1956" s="1"/>
      <c r="BC1956" s="1"/>
      <c r="BD1956" s="1"/>
      <c r="BE1956" s="1"/>
    </row>
    <row x14ac:dyDescent="0.25" r="1957" customHeight="1" ht="18.75">
      <c r="A1957" s="1"/>
      <c r="B1957" s="2"/>
      <c r="C1957" s="2"/>
      <c r="D1957" s="2"/>
      <c r="E1957" s="2"/>
      <c r="F1957" s="2"/>
      <c r="G1957" s="1"/>
      <c r="H1957" s="1"/>
      <c r="I1957" s="7">
        <v>1.954</v>
      </c>
      <c r="J1957" s="7">
        <f>IF((I1957-ROUNDDOWN(I1957,0))=0, 0, (I1957-ROUNDDOWN(I1957,0)))</f>
      </c>
      <c r="K1957" s="7">
        <f>INDIRECT("C$"&amp;2+MIN(2,ROUNDDOWN(I1957,0))*3)*(-$J1957^3+3*$J1957^2-3*$J1957+1)+INDIRECT("C$"&amp;3+MIN(2,ROUNDDOWN(I1957,0))*3)*(3*$J1957^3-6*$J1957^2+3*$J1957)+INDIRECT("C$"&amp;4+MIN(2,ROUNDDOWN(I1957,0))*3)*(-3*$J1957^3+3*$J1957^2)+INDIRECT("C$"&amp;5+MIN(2,ROUNDDOWN(I1957,0))*3)*$J1957^3</f>
      </c>
      <c r="L1957" s="7">
        <f>INDIRECT("D$"&amp;2+MIN(2,ROUNDDOWN(I1957,0))*3)*(-$J1957^3+3*$J1957^2-3*$J1957+1)+INDIRECT("D$"&amp;3+MIN(2,ROUNDDOWN(I1957,0))*3)*(3*$J1957^3-6*$J1957^2+3*$J1957)+INDIRECT("D$"&amp;4+MIN(2,ROUNDDOWN(I1957,0))*3)*(-3*$J1957^3+3*$J1957^2)+INDIRECT("D$"&amp;5+MIN(2,ROUNDDOWN(I1957,0))*3)*$J1957^3</f>
      </c>
      <c r="M1957" s="7">
        <f>SQRT(K1957^2+L1957^2)</f>
      </c>
      <c r="N1957" s="7">
        <f>(K1958-K1956)</f>
      </c>
      <c r="O1957" s="7">
        <f>+(L1958-L1956)</f>
      </c>
      <c r="P1957" s="7">
        <f>SQRT(O1957^2+N1957^2)</f>
      </c>
      <c r="Q1957" s="7">
        <f>N1957/$P1957</f>
      </c>
      <c r="R1957" s="7">
        <f>O1957/$P1957</f>
      </c>
      <c r="S1957" s="7">
        <f>Q1957^2+R1957^2</f>
      </c>
      <c r="T1957" s="7">
        <f>-R1957</f>
      </c>
      <c r="U1957" s="7">
        <f>Q1957</f>
      </c>
      <c r="V1957" s="7">
        <f>($C$14+($C$15-$C$14)/($D$15-$D$14)*(I1957-$D$14))/2</f>
      </c>
      <c r="W1957" s="7">
        <f>($B$22*I1957^4+$C$22*I1957^3+$D$22*I1957^2+$E$22*I1957+$F$22)/2</f>
      </c>
      <c r="X1957" s="7">
        <f>($W1957)*(T1957)</f>
      </c>
      <c r="Y1957" s="7">
        <f>($W1957)*(U1957)</f>
      </c>
      <c r="Z1957" s="7">
        <f>SQRT(X1957^2+Y1957^2)</f>
      </c>
      <c r="AA1957" s="7">
        <f>$K1957+$X1957</f>
      </c>
      <c r="AB1957" s="7">
        <f>$L1957+$Y1957</f>
      </c>
      <c r="AC1957" s="7">
        <f>$K1957-$X1957</f>
      </c>
      <c r="AD1957" s="7">
        <f>$L1957-$Y1957</f>
      </c>
      <c r="AE1957" s="7">
        <f>AA1957/39.3701</f>
      </c>
      <c r="AF1957" s="7">
        <f>AB1957/39.3701</f>
      </c>
      <c r="AG1957" s="7">
        <f>AC1957/39.3701</f>
      </c>
      <c r="AH1957" s="7">
        <f>AD1957/39.3701</f>
      </c>
      <c r="AI1957" s="1"/>
      <c r="AJ1957" s="1"/>
      <c r="AK1957" s="1"/>
      <c r="AL1957" s="1"/>
      <c r="AM1957" s="2"/>
      <c r="AN1957" s="1"/>
      <c r="AO1957" s="1"/>
      <c r="AP1957" s="1"/>
      <c r="AQ1957" s="1"/>
      <c r="AR1957" s="1"/>
      <c r="AS1957" s="1"/>
      <c r="AT1957" s="1"/>
      <c r="AU1957" s="1"/>
      <c r="AV1957" s="1"/>
      <c r="AW1957" s="1"/>
      <c r="AX1957" s="1"/>
      <c r="AY1957" s="1"/>
      <c r="AZ1957" s="1"/>
      <c r="BA1957" s="1"/>
      <c r="BB1957" s="1"/>
      <c r="BC1957" s="1"/>
      <c r="BD1957" s="1"/>
      <c r="BE1957" s="1"/>
    </row>
    <row x14ac:dyDescent="0.25" r="1958" customHeight="1" ht="18.75">
      <c r="A1958" s="1"/>
      <c r="B1958" s="2"/>
      <c r="C1958" s="2"/>
      <c r="D1958" s="2"/>
      <c r="E1958" s="2"/>
      <c r="F1958" s="2"/>
      <c r="G1958" s="1"/>
      <c r="H1958" s="1"/>
      <c r="I1958" s="7">
        <v>1.955</v>
      </c>
      <c r="J1958" s="7">
        <f>IF((I1958-ROUNDDOWN(I1958,0))=0, 0, (I1958-ROUNDDOWN(I1958,0)))</f>
      </c>
      <c r="K1958" s="7">
        <f>INDIRECT("C$"&amp;2+MIN(2,ROUNDDOWN(I1958,0))*3)*(-$J1958^3+3*$J1958^2-3*$J1958+1)+INDIRECT("C$"&amp;3+MIN(2,ROUNDDOWN(I1958,0))*3)*(3*$J1958^3-6*$J1958^2+3*$J1958)+INDIRECT("C$"&amp;4+MIN(2,ROUNDDOWN(I1958,0))*3)*(-3*$J1958^3+3*$J1958^2)+INDIRECT("C$"&amp;5+MIN(2,ROUNDDOWN(I1958,0))*3)*$J1958^3</f>
      </c>
      <c r="L1958" s="7">
        <f>INDIRECT("D$"&amp;2+MIN(2,ROUNDDOWN(I1958,0))*3)*(-$J1958^3+3*$J1958^2-3*$J1958+1)+INDIRECT("D$"&amp;3+MIN(2,ROUNDDOWN(I1958,0))*3)*(3*$J1958^3-6*$J1958^2+3*$J1958)+INDIRECT("D$"&amp;4+MIN(2,ROUNDDOWN(I1958,0))*3)*(-3*$J1958^3+3*$J1958^2)+INDIRECT("D$"&amp;5+MIN(2,ROUNDDOWN(I1958,0))*3)*$J1958^3</f>
      </c>
      <c r="M1958" s="7">
        <f>SQRT(K1958^2+L1958^2)</f>
      </c>
      <c r="N1958" s="7">
        <f>(K1959-K1957)</f>
      </c>
      <c r="O1958" s="7">
        <f>+(L1959-L1957)</f>
      </c>
      <c r="P1958" s="7">
        <f>SQRT(O1958^2+N1958^2)</f>
      </c>
      <c r="Q1958" s="7">
        <f>N1958/$P1958</f>
      </c>
      <c r="R1958" s="7">
        <f>O1958/$P1958</f>
      </c>
      <c r="S1958" s="7">
        <f>Q1958^2+R1958^2</f>
      </c>
      <c r="T1958" s="7">
        <f>-R1958</f>
      </c>
      <c r="U1958" s="7">
        <f>Q1958</f>
      </c>
      <c r="V1958" s="7">
        <f>($C$14+($C$15-$C$14)/($D$15-$D$14)*(I1958-$D$14))/2</f>
      </c>
      <c r="W1958" s="7">
        <f>($B$22*I1958^4+$C$22*I1958^3+$D$22*I1958^2+$E$22*I1958+$F$22)/2</f>
      </c>
      <c r="X1958" s="7">
        <f>($W1958)*(T1958)</f>
      </c>
      <c r="Y1958" s="7">
        <f>($W1958)*(U1958)</f>
      </c>
      <c r="Z1958" s="7">
        <f>SQRT(X1958^2+Y1958^2)</f>
      </c>
      <c r="AA1958" s="7">
        <f>$K1958+$X1958</f>
      </c>
      <c r="AB1958" s="7">
        <f>$L1958+$Y1958</f>
      </c>
      <c r="AC1958" s="7">
        <f>$K1958-$X1958</f>
      </c>
      <c r="AD1958" s="7">
        <f>$L1958-$Y1958</f>
      </c>
      <c r="AE1958" s="7">
        <f>AA1958/39.3701</f>
      </c>
      <c r="AF1958" s="7">
        <f>AB1958/39.3701</f>
      </c>
      <c r="AG1958" s="7">
        <f>AC1958/39.3701</f>
      </c>
      <c r="AH1958" s="7">
        <f>AD1958/39.3701</f>
      </c>
      <c r="AI1958" s="1"/>
      <c r="AJ1958" s="1"/>
      <c r="AK1958" s="1"/>
      <c r="AL1958" s="1"/>
      <c r="AM1958" s="2"/>
      <c r="AN1958" s="1"/>
      <c r="AO1958" s="1"/>
      <c r="AP1958" s="1"/>
      <c r="AQ1958" s="1"/>
      <c r="AR1958" s="1"/>
      <c r="AS1958" s="1"/>
      <c r="AT1958" s="1"/>
      <c r="AU1958" s="1"/>
      <c r="AV1958" s="1"/>
      <c r="AW1958" s="1"/>
      <c r="AX1958" s="1"/>
      <c r="AY1958" s="1"/>
      <c r="AZ1958" s="1"/>
      <c r="BA1958" s="1"/>
      <c r="BB1958" s="1"/>
      <c r="BC1958" s="1"/>
      <c r="BD1958" s="1"/>
      <c r="BE1958" s="1"/>
    </row>
    <row x14ac:dyDescent="0.25" r="1959" customHeight="1" ht="18.75">
      <c r="A1959" s="1"/>
      <c r="B1959" s="2"/>
      <c r="C1959" s="2"/>
      <c r="D1959" s="2"/>
      <c r="E1959" s="2"/>
      <c r="F1959" s="2"/>
      <c r="G1959" s="1"/>
      <c r="H1959" s="1"/>
      <c r="I1959" s="7">
        <v>1.956</v>
      </c>
      <c r="J1959" s="7">
        <f>IF((I1959-ROUNDDOWN(I1959,0))=0, 0, (I1959-ROUNDDOWN(I1959,0)))</f>
      </c>
      <c r="K1959" s="7">
        <f>INDIRECT("C$"&amp;2+MIN(2,ROUNDDOWN(I1959,0))*3)*(-$J1959^3+3*$J1959^2-3*$J1959+1)+INDIRECT("C$"&amp;3+MIN(2,ROUNDDOWN(I1959,0))*3)*(3*$J1959^3-6*$J1959^2+3*$J1959)+INDIRECT("C$"&amp;4+MIN(2,ROUNDDOWN(I1959,0))*3)*(-3*$J1959^3+3*$J1959^2)+INDIRECT("C$"&amp;5+MIN(2,ROUNDDOWN(I1959,0))*3)*$J1959^3</f>
      </c>
      <c r="L1959" s="7">
        <f>INDIRECT("D$"&amp;2+MIN(2,ROUNDDOWN(I1959,0))*3)*(-$J1959^3+3*$J1959^2-3*$J1959+1)+INDIRECT("D$"&amp;3+MIN(2,ROUNDDOWN(I1959,0))*3)*(3*$J1959^3-6*$J1959^2+3*$J1959)+INDIRECT("D$"&amp;4+MIN(2,ROUNDDOWN(I1959,0))*3)*(-3*$J1959^3+3*$J1959^2)+INDIRECT("D$"&amp;5+MIN(2,ROUNDDOWN(I1959,0))*3)*$J1959^3</f>
      </c>
      <c r="M1959" s="7">
        <f>SQRT(K1959^2+L1959^2)</f>
      </c>
      <c r="N1959" s="7">
        <f>(K1960-K1958)</f>
      </c>
      <c r="O1959" s="7">
        <f>+(L1960-L1958)</f>
      </c>
      <c r="P1959" s="7">
        <f>SQRT(O1959^2+N1959^2)</f>
      </c>
      <c r="Q1959" s="7">
        <f>N1959/$P1959</f>
      </c>
      <c r="R1959" s="7">
        <f>O1959/$P1959</f>
      </c>
      <c r="S1959" s="8">
        <f>Q1959^2+R1959^2</f>
      </c>
      <c r="T1959" s="7">
        <f>-R1959</f>
      </c>
      <c r="U1959" s="7">
        <f>Q1959</f>
      </c>
      <c r="V1959" s="7">
        <f>($C$14+($C$15-$C$14)/($D$15-$D$14)*(I1959-$D$14))/2</f>
      </c>
      <c r="W1959" s="7">
        <f>($B$22*I1959^4+$C$22*I1959^3+$D$22*I1959^2+$E$22*I1959+$F$22)/2</f>
      </c>
      <c r="X1959" s="7">
        <f>($W1959)*(T1959)</f>
      </c>
      <c r="Y1959" s="7">
        <f>($W1959)*(U1959)</f>
      </c>
      <c r="Z1959" s="7">
        <f>SQRT(X1959^2+Y1959^2)</f>
      </c>
      <c r="AA1959" s="7">
        <f>$K1959+$X1959</f>
      </c>
      <c r="AB1959" s="7">
        <f>$L1959+$Y1959</f>
      </c>
      <c r="AC1959" s="7">
        <f>$K1959-$X1959</f>
      </c>
      <c r="AD1959" s="7">
        <f>$L1959-$Y1959</f>
      </c>
      <c r="AE1959" s="7">
        <f>AA1959/39.3701</f>
      </c>
      <c r="AF1959" s="7">
        <f>AB1959/39.3701</f>
      </c>
      <c r="AG1959" s="7">
        <f>AC1959/39.3701</f>
      </c>
      <c r="AH1959" s="7">
        <f>AD1959/39.3701</f>
      </c>
      <c r="AI1959" s="1"/>
      <c r="AJ1959" s="1"/>
      <c r="AK1959" s="1"/>
      <c r="AL1959" s="1"/>
      <c r="AM1959" s="2"/>
      <c r="AN1959" s="1"/>
      <c r="AO1959" s="1"/>
      <c r="AP1959" s="1"/>
      <c r="AQ1959" s="1"/>
      <c r="AR1959" s="1"/>
      <c r="AS1959" s="1"/>
      <c r="AT1959" s="1"/>
      <c r="AU1959" s="1"/>
      <c r="AV1959" s="1"/>
      <c r="AW1959" s="1"/>
      <c r="AX1959" s="1"/>
      <c r="AY1959" s="1"/>
      <c r="AZ1959" s="1"/>
      <c r="BA1959" s="1"/>
      <c r="BB1959" s="1"/>
      <c r="BC1959" s="1"/>
      <c r="BD1959" s="1"/>
      <c r="BE1959" s="1"/>
    </row>
    <row x14ac:dyDescent="0.25" r="1960" customHeight="1" ht="18.75">
      <c r="A1960" s="1"/>
      <c r="B1960" s="2"/>
      <c r="C1960" s="2"/>
      <c r="D1960" s="2"/>
      <c r="E1960" s="2"/>
      <c r="F1960" s="2"/>
      <c r="G1960" s="1"/>
      <c r="H1960" s="1"/>
      <c r="I1960" s="7">
        <v>1.957</v>
      </c>
      <c r="J1960" s="7">
        <f>IF((I1960-ROUNDDOWN(I1960,0))=0, 0, (I1960-ROUNDDOWN(I1960,0)))</f>
      </c>
      <c r="K1960" s="7">
        <f>INDIRECT("C$"&amp;2+MIN(2,ROUNDDOWN(I1960,0))*3)*(-$J1960^3+3*$J1960^2-3*$J1960+1)+INDIRECT("C$"&amp;3+MIN(2,ROUNDDOWN(I1960,0))*3)*(3*$J1960^3-6*$J1960^2+3*$J1960)+INDIRECT("C$"&amp;4+MIN(2,ROUNDDOWN(I1960,0))*3)*(-3*$J1960^3+3*$J1960^2)+INDIRECT("C$"&amp;5+MIN(2,ROUNDDOWN(I1960,0))*3)*$J1960^3</f>
      </c>
      <c r="L1960" s="7">
        <f>INDIRECT("D$"&amp;2+MIN(2,ROUNDDOWN(I1960,0))*3)*(-$J1960^3+3*$J1960^2-3*$J1960+1)+INDIRECT("D$"&amp;3+MIN(2,ROUNDDOWN(I1960,0))*3)*(3*$J1960^3-6*$J1960^2+3*$J1960)+INDIRECT("D$"&amp;4+MIN(2,ROUNDDOWN(I1960,0))*3)*(-3*$J1960^3+3*$J1960^2)+INDIRECT("D$"&amp;5+MIN(2,ROUNDDOWN(I1960,0))*3)*$J1960^3</f>
      </c>
      <c r="M1960" s="7">
        <f>SQRT(K1960^2+L1960^2)</f>
      </c>
      <c r="N1960" s="7">
        <f>(K1961-K1959)</f>
      </c>
      <c r="O1960" s="7">
        <f>+(L1961-L1959)</f>
      </c>
      <c r="P1960" s="7">
        <f>SQRT(O1960^2+N1960^2)</f>
      </c>
      <c r="Q1960" s="7">
        <f>N1960/$P1960</f>
      </c>
      <c r="R1960" s="7">
        <f>O1960/$P1960</f>
      </c>
      <c r="S1960" s="7">
        <f>Q1960^2+R1960^2</f>
      </c>
      <c r="T1960" s="7">
        <f>-R1960</f>
      </c>
      <c r="U1960" s="7">
        <f>Q1960</f>
      </c>
      <c r="V1960" s="7">
        <f>($C$14+($C$15-$C$14)/($D$15-$D$14)*(I1960-$D$14))/2</f>
      </c>
      <c r="W1960" s="7">
        <f>($B$22*I1960^4+$C$22*I1960^3+$D$22*I1960^2+$E$22*I1960+$F$22)/2</f>
      </c>
      <c r="X1960" s="7">
        <f>($W1960)*(T1960)</f>
      </c>
      <c r="Y1960" s="7">
        <f>($W1960)*(U1960)</f>
      </c>
      <c r="Z1960" s="7">
        <f>SQRT(X1960^2+Y1960^2)</f>
      </c>
      <c r="AA1960" s="7">
        <f>$K1960+$X1960</f>
      </c>
      <c r="AB1960" s="7">
        <f>$L1960+$Y1960</f>
      </c>
      <c r="AC1960" s="7">
        <f>$K1960-$X1960</f>
      </c>
      <c r="AD1960" s="7">
        <f>$L1960-$Y1960</f>
      </c>
      <c r="AE1960" s="7">
        <f>AA1960/39.3701</f>
      </c>
      <c r="AF1960" s="7">
        <f>AB1960/39.3701</f>
      </c>
      <c r="AG1960" s="7">
        <f>AC1960/39.3701</f>
      </c>
      <c r="AH1960" s="7">
        <f>AD1960/39.3701</f>
      </c>
      <c r="AI1960" s="1"/>
      <c r="AJ1960" s="1"/>
      <c r="AK1960" s="1"/>
      <c r="AL1960" s="1"/>
      <c r="AM1960" s="2"/>
      <c r="AN1960" s="1"/>
      <c r="AO1960" s="1"/>
      <c r="AP1960" s="1"/>
      <c r="AQ1960" s="1"/>
      <c r="AR1960" s="1"/>
      <c r="AS1960" s="1"/>
      <c r="AT1960" s="1"/>
      <c r="AU1960" s="1"/>
      <c r="AV1960" s="1"/>
      <c r="AW1960" s="1"/>
      <c r="AX1960" s="1"/>
      <c r="AY1960" s="1"/>
      <c r="AZ1960" s="1"/>
      <c r="BA1960" s="1"/>
      <c r="BB1960" s="1"/>
      <c r="BC1960" s="1"/>
      <c r="BD1960" s="1"/>
      <c r="BE1960" s="1"/>
    </row>
    <row x14ac:dyDescent="0.25" r="1961" customHeight="1" ht="18.75">
      <c r="A1961" s="1"/>
      <c r="B1961" s="2"/>
      <c r="C1961" s="2"/>
      <c r="D1961" s="2"/>
      <c r="E1961" s="2"/>
      <c r="F1961" s="2"/>
      <c r="G1961" s="1"/>
      <c r="H1961" s="1"/>
      <c r="I1961" s="7">
        <v>1.958</v>
      </c>
      <c r="J1961" s="7">
        <f>IF((I1961-ROUNDDOWN(I1961,0))=0, 0, (I1961-ROUNDDOWN(I1961,0)))</f>
      </c>
      <c r="K1961" s="7">
        <f>INDIRECT("C$"&amp;2+MIN(2,ROUNDDOWN(I1961,0))*3)*(-$J1961^3+3*$J1961^2-3*$J1961+1)+INDIRECT("C$"&amp;3+MIN(2,ROUNDDOWN(I1961,0))*3)*(3*$J1961^3-6*$J1961^2+3*$J1961)+INDIRECT("C$"&amp;4+MIN(2,ROUNDDOWN(I1961,0))*3)*(-3*$J1961^3+3*$J1961^2)+INDIRECT("C$"&amp;5+MIN(2,ROUNDDOWN(I1961,0))*3)*$J1961^3</f>
      </c>
      <c r="L1961" s="7">
        <f>INDIRECT("D$"&amp;2+MIN(2,ROUNDDOWN(I1961,0))*3)*(-$J1961^3+3*$J1961^2-3*$J1961+1)+INDIRECT("D$"&amp;3+MIN(2,ROUNDDOWN(I1961,0))*3)*(3*$J1961^3-6*$J1961^2+3*$J1961)+INDIRECT("D$"&amp;4+MIN(2,ROUNDDOWN(I1961,0))*3)*(-3*$J1961^3+3*$J1961^2)+INDIRECT("D$"&amp;5+MIN(2,ROUNDDOWN(I1961,0))*3)*$J1961^3</f>
      </c>
      <c r="M1961" s="7">
        <f>SQRT(K1961^2+L1961^2)</f>
      </c>
      <c r="N1961" s="7">
        <f>(K1962-K1960)</f>
      </c>
      <c r="O1961" s="7">
        <f>+(L1962-L1960)</f>
      </c>
      <c r="P1961" s="7">
        <f>SQRT(O1961^2+N1961^2)</f>
      </c>
      <c r="Q1961" s="7">
        <f>N1961/$P1961</f>
      </c>
      <c r="R1961" s="7">
        <f>O1961/$P1961</f>
      </c>
      <c r="S1961" s="8">
        <f>Q1961^2+R1961^2</f>
      </c>
      <c r="T1961" s="7">
        <f>-R1961</f>
      </c>
      <c r="U1961" s="7">
        <f>Q1961</f>
      </c>
      <c r="V1961" s="7">
        <f>($C$14+($C$15-$C$14)/($D$15-$D$14)*(I1961-$D$14))/2</f>
      </c>
      <c r="W1961" s="7">
        <f>($B$22*I1961^4+$C$22*I1961^3+$D$22*I1961^2+$E$22*I1961+$F$22)/2</f>
      </c>
      <c r="X1961" s="7">
        <f>($W1961)*(T1961)</f>
      </c>
      <c r="Y1961" s="7">
        <f>($W1961)*(U1961)</f>
      </c>
      <c r="Z1961" s="7">
        <f>SQRT(X1961^2+Y1961^2)</f>
      </c>
      <c r="AA1961" s="7">
        <f>$K1961+$X1961</f>
      </c>
      <c r="AB1961" s="7">
        <f>$L1961+$Y1961</f>
      </c>
      <c r="AC1961" s="7">
        <f>$K1961-$X1961</f>
      </c>
      <c r="AD1961" s="7">
        <f>$L1961-$Y1961</f>
      </c>
      <c r="AE1961" s="7">
        <f>AA1961/39.3701</f>
      </c>
      <c r="AF1961" s="7">
        <f>AB1961/39.3701</f>
      </c>
      <c r="AG1961" s="7">
        <f>AC1961/39.3701</f>
      </c>
      <c r="AH1961" s="7">
        <f>AD1961/39.3701</f>
      </c>
      <c r="AI1961" s="1"/>
      <c r="AJ1961" s="1"/>
      <c r="AK1961" s="1"/>
      <c r="AL1961" s="1"/>
      <c r="AM1961" s="2"/>
      <c r="AN1961" s="1"/>
      <c r="AO1961" s="1"/>
      <c r="AP1961" s="1"/>
      <c r="AQ1961" s="1"/>
      <c r="AR1961" s="1"/>
      <c r="AS1961" s="1"/>
      <c r="AT1961" s="1"/>
      <c r="AU1961" s="1"/>
      <c r="AV1961" s="1"/>
      <c r="AW1961" s="1"/>
      <c r="AX1961" s="1"/>
      <c r="AY1961" s="1"/>
      <c r="AZ1961" s="1"/>
      <c r="BA1961" s="1"/>
      <c r="BB1961" s="1"/>
      <c r="BC1961" s="1"/>
      <c r="BD1961" s="1"/>
      <c r="BE1961" s="1"/>
    </row>
    <row x14ac:dyDescent="0.25" r="1962" customHeight="1" ht="18.75">
      <c r="A1962" s="1"/>
      <c r="B1962" s="2"/>
      <c r="C1962" s="2"/>
      <c r="D1962" s="2"/>
      <c r="E1962" s="2"/>
      <c r="F1962" s="2"/>
      <c r="G1962" s="1"/>
      <c r="H1962" s="1"/>
      <c r="I1962" s="7">
        <v>1.959</v>
      </c>
      <c r="J1962" s="7">
        <f>IF((I1962-ROUNDDOWN(I1962,0))=0, 0, (I1962-ROUNDDOWN(I1962,0)))</f>
      </c>
      <c r="K1962" s="7">
        <f>INDIRECT("C$"&amp;2+MIN(2,ROUNDDOWN(I1962,0))*3)*(-$J1962^3+3*$J1962^2-3*$J1962+1)+INDIRECT("C$"&amp;3+MIN(2,ROUNDDOWN(I1962,0))*3)*(3*$J1962^3-6*$J1962^2+3*$J1962)+INDIRECT("C$"&amp;4+MIN(2,ROUNDDOWN(I1962,0))*3)*(-3*$J1962^3+3*$J1962^2)+INDIRECT("C$"&amp;5+MIN(2,ROUNDDOWN(I1962,0))*3)*$J1962^3</f>
      </c>
      <c r="L1962" s="7">
        <f>INDIRECT("D$"&amp;2+MIN(2,ROUNDDOWN(I1962,0))*3)*(-$J1962^3+3*$J1962^2-3*$J1962+1)+INDIRECT("D$"&amp;3+MIN(2,ROUNDDOWN(I1962,0))*3)*(3*$J1962^3-6*$J1962^2+3*$J1962)+INDIRECT("D$"&amp;4+MIN(2,ROUNDDOWN(I1962,0))*3)*(-3*$J1962^3+3*$J1962^2)+INDIRECT("D$"&amp;5+MIN(2,ROUNDDOWN(I1962,0))*3)*$J1962^3</f>
      </c>
      <c r="M1962" s="7">
        <f>SQRT(K1962^2+L1962^2)</f>
      </c>
      <c r="N1962" s="7">
        <f>(K1963-K1961)</f>
      </c>
      <c r="O1962" s="7">
        <f>+(L1963-L1961)</f>
      </c>
      <c r="P1962" s="7">
        <f>SQRT(O1962^2+N1962^2)</f>
      </c>
      <c r="Q1962" s="7">
        <f>N1962/$P1962</f>
      </c>
      <c r="R1962" s="7">
        <f>O1962/$P1962</f>
      </c>
      <c r="S1962" s="8">
        <f>Q1962^2+R1962^2</f>
      </c>
      <c r="T1962" s="7">
        <f>-R1962</f>
      </c>
      <c r="U1962" s="7">
        <f>Q1962</f>
      </c>
      <c r="V1962" s="7">
        <f>($C$14+($C$15-$C$14)/($D$15-$D$14)*(I1962-$D$14))/2</f>
      </c>
      <c r="W1962" s="7">
        <f>($B$22*I1962^4+$C$22*I1962^3+$D$22*I1962^2+$E$22*I1962+$F$22)/2</f>
      </c>
      <c r="X1962" s="7">
        <f>($W1962)*(T1962)</f>
      </c>
      <c r="Y1962" s="7">
        <f>($W1962)*(U1962)</f>
      </c>
      <c r="Z1962" s="7">
        <f>SQRT(X1962^2+Y1962^2)</f>
      </c>
      <c r="AA1962" s="7">
        <f>$K1962+$X1962</f>
      </c>
      <c r="AB1962" s="7">
        <f>$L1962+$Y1962</f>
      </c>
      <c r="AC1962" s="7">
        <f>$K1962-$X1962</f>
      </c>
      <c r="AD1962" s="7">
        <f>$L1962-$Y1962</f>
      </c>
      <c r="AE1962" s="7">
        <f>AA1962/39.3701</f>
      </c>
      <c r="AF1962" s="7">
        <f>AB1962/39.3701</f>
      </c>
      <c r="AG1962" s="7">
        <f>AC1962/39.3701</f>
      </c>
      <c r="AH1962" s="7">
        <f>AD1962/39.3701</f>
      </c>
      <c r="AI1962" s="1"/>
      <c r="AJ1962" s="1"/>
      <c r="AK1962" s="1"/>
      <c r="AL1962" s="1"/>
      <c r="AM1962" s="2"/>
      <c r="AN1962" s="1"/>
      <c r="AO1962" s="1"/>
      <c r="AP1962" s="1"/>
      <c r="AQ1962" s="1"/>
      <c r="AR1962" s="1"/>
      <c r="AS1962" s="1"/>
      <c r="AT1962" s="1"/>
      <c r="AU1962" s="1"/>
      <c r="AV1962" s="1"/>
      <c r="AW1962" s="1"/>
      <c r="AX1962" s="1"/>
      <c r="AY1962" s="1"/>
      <c r="AZ1962" s="1"/>
      <c r="BA1962" s="1"/>
      <c r="BB1962" s="1"/>
      <c r="BC1962" s="1"/>
      <c r="BD1962" s="1"/>
      <c r="BE1962" s="1"/>
    </row>
    <row x14ac:dyDescent="0.25" r="1963" customHeight="1" ht="18.75">
      <c r="A1963" s="1"/>
      <c r="B1963" s="2"/>
      <c r="C1963" s="2"/>
      <c r="D1963" s="2"/>
      <c r="E1963" s="2"/>
      <c r="F1963" s="2"/>
      <c r="G1963" s="1"/>
      <c r="H1963" s="1"/>
      <c r="I1963" s="7">
        <v>1.96</v>
      </c>
      <c r="J1963" s="7">
        <f>IF((I1963-ROUNDDOWN(I1963,0))=0, 0, (I1963-ROUNDDOWN(I1963,0)))</f>
      </c>
      <c r="K1963" s="7">
        <f>INDIRECT("C$"&amp;2+MIN(2,ROUNDDOWN(I1963,0))*3)*(-$J1963^3+3*$J1963^2-3*$J1963+1)+INDIRECT("C$"&amp;3+MIN(2,ROUNDDOWN(I1963,0))*3)*(3*$J1963^3-6*$J1963^2+3*$J1963)+INDIRECT("C$"&amp;4+MIN(2,ROUNDDOWN(I1963,0))*3)*(-3*$J1963^3+3*$J1963^2)+INDIRECT("C$"&amp;5+MIN(2,ROUNDDOWN(I1963,0))*3)*$J1963^3</f>
      </c>
      <c r="L1963" s="7">
        <f>INDIRECT("D$"&amp;2+MIN(2,ROUNDDOWN(I1963,0))*3)*(-$J1963^3+3*$J1963^2-3*$J1963+1)+INDIRECT("D$"&amp;3+MIN(2,ROUNDDOWN(I1963,0))*3)*(3*$J1963^3-6*$J1963^2+3*$J1963)+INDIRECT("D$"&amp;4+MIN(2,ROUNDDOWN(I1963,0))*3)*(-3*$J1963^3+3*$J1963^2)+INDIRECT("D$"&amp;5+MIN(2,ROUNDDOWN(I1963,0))*3)*$J1963^3</f>
      </c>
      <c r="M1963" s="7">
        <f>SQRT(K1963^2+L1963^2)</f>
      </c>
      <c r="N1963" s="7">
        <f>(K1964-K1962)</f>
      </c>
      <c r="O1963" s="7">
        <f>+(L1964-L1962)</f>
      </c>
      <c r="P1963" s="7">
        <f>SQRT(O1963^2+N1963^2)</f>
      </c>
      <c r="Q1963" s="7">
        <f>N1963/$P1963</f>
      </c>
      <c r="R1963" s="7">
        <f>O1963/$P1963</f>
      </c>
      <c r="S1963" s="8">
        <f>Q1963^2+R1963^2</f>
      </c>
      <c r="T1963" s="7">
        <f>-R1963</f>
      </c>
      <c r="U1963" s="7">
        <f>Q1963</f>
      </c>
      <c r="V1963" s="7">
        <f>($C$14+($C$15-$C$14)/($D$15-$D$14)*(I1963-$D$14))/2</f>
      </c>
      <c r="W1963" s="7">
        <f>($B$22*I1963^4+$C$22*I1963^3+$D$22*I1963^2+$E$22*I1963+$F$22)/2</f>
      </c>
      <c r="X1963" s="7">
        <f>($W1963)*(T1963)</f>
      </c>
      <c r="Y1963" s="7">
        <f>($W1963)*(U1963)</f>
      </c>
      <c r="Z1963" s="7">
        <f>SQRT(X1963^2+Y1963^2)</f>
      </c>
      <c r="AA1963" s="7">
        <f>$K1963+$X1963</f>
      </c>
      <c r="AB1963" s="7">
        <f>$L1963+$Y1963</f>
      </c>
      <c r="AC1963" s="7">
        <f>$K1963-$X1963</f>
      </c>
      <c r="AD1963" s="7">
        <f>$L1963-$Y1963</f>
      </c>
      <c r="AE1963" s="7">
        <f>AA1963/39.3701</f>
      </c>
      <c r="AF1963" s="7">
        <f>AB1963/39.3701</f>
      </c>
      <c r="AG1963" s="7">
        <f>AC1963/39.3701</f>
      </c>
      <c r="AH1963" s="7">
        <f>AD1963/39.3701</f>
      </c>
      <c r="AI1963" s="1"/>
      <c r="AJ1963" s="1"/>
      <c r="AK1963" s="1"/>
      <c r="AL1963" s="1"/>
      <c r="AM1963" s="2"/>
      <c r="AN1963" s="1"/>
      <c r="AO1963" s="1"/>
      <c r="AP1963" s="1"/>
      <c r="AQ1963" s="1"/>
      <c r="AR1963" s="1"/>
      <c r="AS1963" s="1"/>
      <c r="AT1963" s="1"/>
      <c r="AU1963" s="1"/>
      <c r="AV1963" s="1"/>
      <c r="AW1963" s="1"/>
      <c r="AX1963" s="1"/>
      <c r="AY1963" s="1"/>
      <c r="AZ1963" s="1"/>
      <c r="BA1963" s="1"/>
      <c r="BB1963" s="1"/>
      <c r="BC1963" s="1"/>
      <c r="BD1963" s="1"/>
      <c r="BE1963" s="1"/>
    </row>
    <row x14ac:dyDescent="0.25" r="1964" customHeight="1" ht="18.75">
      <c r="A1964" s="1"/>
      <c r="B1964" s="2"/>
      <c r="C1964" s="2"/>
      <c r="D1964" s="2"/>
      <c r="E1964" s="2"/>
      <c r="F1964" s="2"/>
      <c r="G1964" s="1"/>
      <c r="H1964" s="1"/>
      <c r="I1964" s="7">
        <v>1.961</v>
      </c>
      <c r="J1964" s="7">
        <f>IF((I1964-ROUNDDOWN(I1964,0))=0, 0, (I1964-ROUNDDOWN(I1964,0)))</f>
      </c>
      <c r="K1964" s="7">
        <f>INDIRECT("C$"&amp;2+MIN(2,ROUNDDOWN(I1964,0))*3)*(-$J1964^3+3*$J1964^2-3*$J1964+1)+INDIRECT("C$"&amp;3+MIN(2,ROUNDDOWN(I1964,0))*3)*(3*$J1964^3-6*$J1964^2+3*$J1964)+INDIRECT("C$"&amp;4+MIN(2,ROUNDDOWN(I1964,0))*3)*(-3*$J1964^3+3*$J1964^2)+INDIRECT("C$"&amp;5+MIN(2,ROUNDDOWN(I1964,0))*3)*$J1964^3</f>
      </c>
      <c r="L1964" s="7">
        <f>INDIRECT("D$"&amp;2+MIN(2,ROUNDDOWN(I1964,0))*3)*(-$J1964^3+3*$J1964^2-3*$J1964+1)+INDIRECT("D$"&amp;3+MIN(2,ROUNDDOWN(I1964,0))*3)*(3*$J1964^3-6*$J1964^2+3*$J1964)+INDIRECT("D$"&amp;4+MIN(2,ROUNDDOWN(I1964,0))*3)*(-3*$J1964^3+3*$J1964^2)+INDIRECT("D$"&amp;5+MIN(2,ROUNDDOWN(I1964,0))*3)*$J1964^3</f>
      </c>
      <c r="M1964" s="7">
        <f>SQRT(K1964^2+L1964^2)</f>
      </c>
      <c r="N1964" s="7">
        <f>(K1965-K1963)</f>
      </c>
      <c r="O1964" s="7">
        <f>+(L1965-L1963)</f>
      </c>
      <c r="P1964" s="7">
        <f>SQRT(O1964^2+N1964^2)</f>
      </c>
      <c r="Q1964" s="7">
        <f>N1964/$P1964</f>
      </c>
      <c r="R1964" s="7">
        <f>O1964/$P1964</f>
      </c>
      <c r="S1964" s="7">
        <f>Q1964^2+R1964^2</f>
      </c>
      <c r="T1964" s="7">
        <f>-R1964</f>
      </c>
      <c r="U1964" s="7">
        <f>Q1964</f>
      </c>
      <c r="V1964" s="7">
        <f>($C$14+($C$15-$C$14)/($D$15-$D$14)*(I1964-$D$14))/2</f>
      </c>
      <c r="W1964" s="7">
        <f>($B$22*I1964^4+$C$22*I1964^3+$D$22*I1964^2+$E$22*I1964+$F$22)/2</f>
      </c>
      <c r="X1964" s="7">
        <f>($W1964)*(T1964)</f>
      </c>
      <c r="Y1964" s="7">
        <f>($W1964)*(U1964)</f>
      </c>
      <c r="Z1964" s="7">
        <f>SQRT(X1964^2+Y1964^2)</f>
      </c>
      <c r="AA1964" s="7">
        <f>$K1964+$X1964</f>
      </c>
      <c r="AB1964" s="7">
        <f>$L1964+$Y1964</f>
      </c>
      <c r="AC1964" s="7">
        <f>$K1964-$X1964</f>
      </c>
      <c r="AD1964" s="7">
        <f>$L1964-$Y1964</f>
      </c>
      <c r="AE1964" s="7">
        <f>AA1964/39.3701</f>
      </c>
      <c r="AF1964" s="7">
        <f>AB1964/39.3701</f>
      </c>
      <c r="AG1964" s="7">
        <f>AC1964/39.3701</f>
      </c>
      <c r="AH1964" s="7">
        <f>AD1964/39.3701</f>
      </c>
      <c r="AI1964" s="1"/>
      <c r="AJ1964" s="1"/>
      <c r="AK1964" s="1"/>
      <c r="AL1964" s="1"/>
      <c r="AM1964" s="2"/>
      <c r="AN1964" s="1"/>
      <c r="AO1964" s="1"/>
      <c r="AP1964" s="1"/>
      <c r="AQ1964" s="1"/>
      <c r="AR1964" s="1"/>
      <c r="AS1964" s="1"/>
      <c r="AT1964" s="1"/>
      <c r="AU1964" s="1"/>
      <c r="AV1964" s="1"/>
      <c r="AW1964" s="1"/>
      <c r="AX1964" s="1"/>
      <c r="AY1964" s="1"/>
      <c r="AZ1964" s="1"/>
      <c r="BA1964" s="1"/>
      <c r="BB1964" s="1"/>
      <c r="BC1964" s="1"/>
      <c r="BD1964" s="1"/>
      <c r="BE1964" s="1"/>
    </row>
    <row x14ac:dyDescent="0.25" r="1965" customHeight="1" ht="18.75">
      <c r="A1965" s="1"/>
      <c r="B1965" s="2"/>
      <c r="C1965" s="2"/>
      <c r="D1965" s="2"/>
      <c r="E1965" s="2"/>
      <c r="F1965" s="2"/>
      <c r="G1965" s="1"/>
      <c r="H1965" s="1"/>
      <c r="I1965" s="7">
        <v>1.962</v>
      </c>
      <c r="J1965" s="7">
        <f>IF((I1965-ROUNDDOWN(I1965,0))=0, 0, (I1965-ROUNDDOWN(I1965,0)))</f>
      </c>
      <c r="K1965" s="7">
        <f>INDIRECT("C$"&amp;2+MIN(2,ROUNDDOWN(I1965,0))*3)*(-$J1965^3+3*$J1965^2-3*$J1965+1)+INDIRECT("C$"&amp;3+MIN(2,ROUNDDOWN(I1965,0))*3)*(3*$J1965^3-6*$J1965^2+3*$J1965)+INDIRECT("C$"&amp;4+MIN(2,ROUNDDOWN(I1965,0))*3)*(-3*$J1965^3+3*$J1965^2)+INDIRECT("C$"&amp;5+MIN(2,ROUNDDOWN(I1965,0))*3)*$J1965^3</f>
      </c>
      <c r="L1965" s="7">
        <f>INDIRECT("D$"&amp;2+MIN(2,ROUNDDOWN(I1965,0))*3)*(-$J1965^3+3*$J1965^2-3*$J1965+1)+INDIRECT("D$"&amp;3+MIN(2,ROUNDDOWN(I1965,0))*3)*(3*$J1965^3-6*$J1965^2+3*$J1965)+INDIRECT("D$"&amp;4+MIN(2,ROUNDDOWN(I1965,0))*3)*(-3*$J1965^3+3*$J1965^2)+INDIRECT("D$"&amp;5+MIN(2,ROUNDDOWN(I1965,0))*3)*$J1965^3</f>
      </c>
      <c r="M1965" s="7">
        <f>SQRT(K1965^2+L1965^2)</f>
      </c>
      <c r="N1965" s="7">
        <f>(K1966-K1964)</f>
      </c>
      <c r="O1965" s="7">
        <f>+(L1966-L1964)</f>
      </c>
      <c r="P1965" s="7">
        <f>SQRT(O1965^2+N1965^2)</f>
      </c>
      <c r="Q1965" s="7">
        <f>N1965/$P1965</f>
      </c>
      <c r="R1965" s="7">
        <f>O1965/$P1965</f>
      </c>
      <c r="S1965" s="7">
        <f>Q1965^2+R1965^2</f>
      </c>
      <c r="T1965" s="7">
        <f>-R1965</f>
      </c>
      <c r="U1965" s="7">
        <f>Q1965</f>
      </c>
      <c r="V1965" s="7">
        <f>($C$14+($C$15-$C$14)/($D$15-$D$14)*(I1965-$D$14))/2</f>
      </c>
      <c r="W1965" s="7">
        <f>($B$22*I1965^4+$C$22*I1965^3+$D$22*I1965^2+$E$22*I1965+$F$22)/2</f>
      </c>
      <c r="X1965" s="7">
        <f>($W1965)*(T1965)</f>
      </c>
      <c r="Y1965" s="7">
        <f>($W1965)*(U1965)</f>
      </c>
      <c r="Z1965" s="7">
        <f>SQRT(X1965^2+Y1965^2)</f>
      </c>
      <c r="AA1965" s="7">
        <f>$K1965+$X1965</f>
      </c>
      <c r="AB1965" s="7">
        <f>$L1965+$Y1965</f>
      </c>
      <c r="AC1965" s="7">
        <f>$K1965-$X1965</f>
      </c>
      <c r="AD1965" s="7">
        <f>$L1965-$Y1965</f>
      </c>
      <c r="AE1965" s="7">
        <f>AA1965/39.3701</f>
      </c>
      <c r="AF1965" s="7">
        <f>AB1965/39.3701</f>
      </c>
      <c r="AG1965" s="7">
        <f>AC1965/39.3701</f>
      </c>
      <c r="AH1965" s="7">
        <f>AD1965/39.3701</f>
      </c>
      <c r="AI1965" s="1"/>
      <c r="AJ1965" s="1"/>
      <c r="AK1965" s="1"/>
      <c r="AL1965" s="1"/>
      <c r="AM1965" s="2"/>
      <c r="AN1965" s="1"/>
      <c r="AO1965" s="1"/>
      <c r="AP1965" s="1"/>
      <c r="AQ1965" s="1"/>
      <c r="AR1965" s="1"/>
      <c r="AS1965" s="1"/>
      <c r="AT1965" s="1"/>
      <c r="AU1965" s="1"/>
      <c r="AV1965" s="1"/>
      <c r="AW1965" s="1"/>
      <c r="AX1965" s="1"/>
      <c r="AY1965" s="1"/>
      <c r="AZ1965" s="1"/>
      <c r="BA1965" s="1"/>
      <c r="BB1965" s="1"/>
      <c r="BC1965" s="1"/>
      <c r="BD1965" s="1"/>
      <c r="BE1965" s="1"/>
    </row>
    <row x14ac:dyDescent="0.25" r="1966" customHeight="1" ht="18.75">
      <c r="A1966" s="1"/>
      <c r="B1966" s="2"/>
      <c r="C1966" s="2"/>
      <c r="D1966" s="2"/>
      <c r="E1966" s="2"/>
      <c r="F1966" s="2"/>
      <c r="G1966" s="1"/>
      <c r="H1966" s="1"/>
      <c r="I1966" s="7">
        <v>1.963</v>
      </c>
      <c r="J1966" s="7">
        <f>IF((I1966-ROUNDDOWN(I1966,0))=0, 0, (I1966-ROUNDDOWN(I1966,0)))</f>
      </c>
      <c r="K1966" s="7">
        <f>INDIRECT("C$"&amp;2+MIN(2,ROUNDDOWN(I1966,0))*3)*(-$J1966^3+3*$J1966^2-3*$J1966+1)+INDIRECT("C$"&amp;3+MIN(2,ROUNDDOWN(I1966,0))*3)*(3*$J1966^3-6*$J1966^2+3*$J1966)+INDIRECT("C$"&amp;4+MIN(2,ROUNDDOWN(I1966,0))*3)*(-3*$J1966^3+3*$J1966^2)+INDIRECT("C$"&amp;5+MIN(2,ROUNDDOWN(I1966,0))*3)*$J1966^3</f>
      </c>
      <c r="L1966" s="7">
        <f>INDIRECT("D$"&amp;2+MIN(2,ROUNDDOWN(I1966,0))*3)*(-$J1966^3+3*$J1966^2-3*$J1966+1)+INDIRECT("D$"&amp;3+MIN(2,ROUNDDOWN(I1966,0))*3)*(3*$J1966^3-6*$J1966^2+3*$J1966)+INDIRECT("D$"&amp;4+MIN(2,ROUNDDOWN(I1966,0))*3)*(-3*$J1966^3+3*$J1966^2)+INDIRECT("D$"&amp;5+MIN(2,ROUNDDOWN(I1966,0))*3)*$J1966^3</f>
      </c>
      <c r="M1966" s="7">
        <f>SQRT(K1966^2+L1966^2)</f>
      </c>
      <c r="N1966" s="7">
        <f>(K1967-K1965)</f>
      </c>
      <c r="O1966" s="7">
        <f>+(L1967-L1965)</f>
      </c>
      <c r="P1966" s="7">
        <f>SQRT(O1966^2+N1966^2)</f>
      </c>
      <c r="Q1966" s="7">
        <f>N1966/$P1966</f>
      </c>
      <c r="R1966" s="7">
        <f>O1966/$P1966</f>
      </c>
      <c r="S1966" s="7">
        <f>Q1966^2+R1966^2</f>
      </c>
      <c r="T1966" s="7">
        <f>-R1966</f>
      </c>
      <c r="U1966" s="7">
        <f>Q1966</f>
      </c>
      <c r="V1966" s="7">
        <f>($C$14+($C$15-$C$14)/($D$15-$D$14)*(I1966-$D$14))/2</f>
      </c>
      <c r="W1966" s="7">
        <f>($B$22*I1966^4+$C$22*I1966^3+$D$22*I1966^2+$E$22*I1966+$F$22)/2</f>
      </c>
      <c r="X1966" s="7">
        <f>($W1966)*(T1966)</f>
      </c>
      <c r="Y1966" s="7">
        <f>($W1966)*(U1966)</f>
      </c>
      <c r="Z1966" s="7">
        <f>SQRT(X1966^2+Y1966^2)</f>
      </c>
      <c r="AA1966" s="7">
        <f>$K1966+$X1966</f>
      </c>
      <c r="AB1966" s="7">
        <f>$L1966+$Y1966</f>
      </c>
      <c r="AC1966" s="7">
        <f>$K1966-$X1966</f>
      </c>
      <c r="AD1966" s="7">
        <f>$L1966-$Y1966</f>
      </c>
      <c r="AE1966" s="7">
        <f>AA1966/39.3701</f>
      </c>
      <c r="AF1966" s="7">
        <f>AB1966/39.3701</f>
      </c>
      <c r="AG1966" s="7">
        <f>AC1966/39.3701</f>
      </c>
      <c r="AH1966" s="7">
        <f>AD1966/39.3701</f>
      </c>
      <c r="AI1966" s="1"/>
      <c r="AJ1966" s="1"/>
      <c r="AK1966" s="1"/>
      <c r="AL1966" s="1"/>
      <c r="AM1966" s="2"/>
      <c r="AN1966" s="1"/>
      <c r="AO1966" s="1"/>
      <c r="AP1966" s="1"/>
      <c r="AQ1966" s="1"/>
      <c r="AR1966" s="1"/>
      <c r="AS1966" s="1"/>
      <c r="AT1966" s="1"/>
      <c r="AU1966" s="1"/>
      <c r="AV1966" s="1"/>
      <c r="AW1966" s="1"/>
      <c r="AX1966" s="1"/>
      <c r="AY1966" s="1"/>
      <c r="AZ1966" s="1"/>
      <c r="BA1966" s="1"/>
      <c r="BB1966" s="1"/>
      <c r="BC1966" s="1"/>
      <c r="BD1966" s="1"/>
      <c r="BE1966" s="1"/>
    </row>
    <row x14ac:dyDescent="0.25" r="1967" customHeight="1" ht="18.75">
      <c r="A1967" s="1"/>
      <c r="B1967" s="2"/>
      <c r="C1967" s="2"/>
      <c r="D1967" s="2"/>
      <c r="E1967" s="2"/>
      <c r="F1967" s="2"/>
      <c r="G1967" s="1"/>
      <c r="H1967" s="1"/>
      <c r="I1967" s="7">
        <v>1.964</v>
      </c>
      <c r="J1967" s="7">
        <f>IF((I1967-ROUNDDOWN(I1967,0))=0, 0, (I1967-ROUNDDOWN(I1967,0)))</f>
      </c>
      <c r="K1967" s="7">
        <f>INDIRECT("C$"&amp;2+MIN(2,ROUNDDOWN(I1967,0))*3)*(-$J1967^3+3*$J1967^2-3*$J1967+1)+INDIRECT("C$"&amp;3+MIN(2,ROUNDDOWN(I1967,0))*3)*(3*$J1967^3-6*$J1967^2+3*$J1967)+INDIRECT("C$"&amp;4+MIN(2,ROUNDDOWN(I1967,0))*3)*(-3*$J1967^3+3*$J1967^2)+INDIRECT("C$"&amp;5+MIN(2,ROUNDDOWN(I1967,0))*3)*$J1967^3</f>
      </c>
      <c r="L1967" s="7">
        <f>INDIRECT("D$"&amp;2+MIN(2,ROUNDDOWN(I1967,0))*3)*(-$J1967^3+3*$J1967^2-3*$J1967+1)+INDIRECT("D$"&amp;3+MIN(2,ROUNDDOWN(I1967,0))*3)*(3*$J1967^3-6*$J1967^2+3*$J1967)+INDIRECT("D$"&amp;4+MIN(2,ROUNDDOWN(I1967,0))*3)*(-3*$J1967^3+3*$J1967^2)+INDIRECT("D$"&amp;5+MIN(2,ROUNDDOWN(I1967,0))*3)*$J1967^3</f>
      </c>
      <c r="M1967" s="7">
        <f>SQRT(K1967^2+L1967^2)</f>
      </c>
      <c r="N1967" s="7">
        <f>(K1968-K1966)</f>
      </c>
      <c r="O1967" s="7">
        <f>+(L1968-L1966)</f>
      </c>
      <c r="P1967" s="7">
        <f>SQRT(O1967^2+N1967^2)</f>
      </c>
      <c r="Q1967" s="7">
        <f>N1967/$P1967</f>
      </c>
      <c r="R1967" s="7">
        <f>O1967/$P1967</f>
      </c>
      <c r="S1967" s="7">
        <f>Q1967^2+R1967^2</f>
      </c>
      <c r="T1967" s="7">
        <f>-R1967</f>
      </c>
      <c r="U1967" s="7">
        <f>Q1967</f>
      </c>
      <c r="V1967" s="7">
        <f>($C$14+($C$15-$C$14)/($D$15-$D$14)*(I1967-$D$14))/2</f>
      </c>
      <c r="W1967" s="7">
        <f>($B$22*I1967^4+$C$22*I1967^3+$D$22*I1967^2+$E$22*I1967+$F$22)/2</f>
      </c>
      <c r="X1967" s="7">
        <f>($W1967)*(T1967)</f>
      </c>
      <c r="Y1967" s="7">
        <f>($W1967)*(U1967)</f>
      </c>
      <c r="Z1967" s="7">
        <f>SQRT(X1967^2+Y1967^2)</f>
      </c>
      <c r="AA1967" s="7">
        <f>$K1967+$X1967</f>
      </c>
      <c r="AB1967" s="7">
        <f>$L1967+$Y1967</f>
      </c>
      <c r="AC1967" s="7">
        <f>$K1967-$X1967</f>
      </c>
      <c r="AD1967" s="7">
        <f>$L1967-$Y1967</f>
      </c>
      <c r="AE1967" s="7">
        <f>AA1967/39.3701</f>
      </c>
      <c r="AF1967" s="7">
        <f>AB1967/39.3701</f>
      </c>
      <c r="AG1967" s="7">
        <f>AC1967/39.3701</f>
      </c>
      <c r="AH1967" s="7">
        <f>AD1967/39.3701</f>
      </c>
      <c r="AI1967" s="1"/>
      <c r="AJ1967" s="1"/>
      <c r="AK1967" s="1"/>
      <c r="AL1967" s="1"/>
      <c r="AM1967" s="2"/>
      <c r="AN1967" s="1"/>
      <c r="AO1967" s="1"/>
      <c r="AP1967" s="1"/>
      <c r="AQ1967" s="1"/>
      <c r="AR1967" s="1"/>
      <c r="AS1967" s="1"/>
      <c r="AT1967" s="1"/>
      <c r="AU1967" s="1"/>
      <c r="AV1967" s="1"/>
      <c r="AW1967" s="1"/>
      <c r="AX1967" s="1"/>
      <c r="AY1967" s="1"/>
      <c r="AZ1967" s="1"/>
      <c r="BA1967" s="1"/>
      <c r="BB1967" s="1"/>
      <c r="BC1967" s="1"/>
      <c r="BD1967" s="1"/>
      <c r="BE1967" s="1"/>
    </row>
    <row x14ac:dyDescent="0.25" r="1968" customHeight="1" ht="18.75">
      <c r="A1968" s="1"/>
      <c r="B1968" s="2"/>
      <c r="C1968" s="2"/>
      <c r="D1968" s="2"/>
      <c r="E1968" s="2"/>
      <c r="F1968" s="2"/>
      <c r="G1968" s="1"/>
      <c r="H1968" s="1"/>
      <c r="I1968" s="7">
        <v>1.965</v>
      </c>
      <c r="J1968" s="7">
        <f>IF((I1968-ROUNDDOWN(I1968,0))=0, 0, (I1968-ROUNDDOWN(I1968,0)))</f>
      </c>
      <c r="K1968" s="7">
        <f>INDIRECT("C$"&amp;2+MIN(2,ROUNDDOWN(I1968,0))*3)*(-$J1968^3+3*$J1968^2-3*$J1968+1)+INDIRECT("C$"&amp;3+MIN(2,ROUNDDOWN(I1968,0))*3)*(3*$J1968^3-6*$J1968^2+3*$J1968)+INDIRECT("C$"&amp;4+MIN(2,ROUNDDOWN(I1968,0))*3)*(-3*$J1968^3+3*$J1968^2)+INDIRECT("C$"&amp;5+MIN(2,ROUNDDOWN(I1968,0))*3)*$J1968^3</f>
      </c>
      <c r="L1968" s="7">
        <f>INDIRECT("D$"&amp;2+MIN(2,ROUNDDOWN(I1968,0))*3)*(-$J1968^3+3*$J1968^2-3*$J1968+1)+INDIRECT("D$"&amp;3+MIN(2,ROUNDDOWN(I1968,0))*3)*(3*$J1968^3-6*$J1968^2+3*$J1968)+INDIRECT("D$"&amp;4+MIN(2,ROUNDDOWN(I1968,0))*3)*(-3*$J1968^3+3*$J1968^2)+INDIRECT("D$"&amp;5+MIN(2,ROUNDDOWN(I1968,0))*3)*$J1968^3</f>
      </c>
      <c r="M1968" s="7">
        <f>SQRT(K1968^2+L1968^2)</f>
      </c>
      <c r="N1968" s="7">
        <f>(K1969-K1967)</f>
      </c>
      <c r="O1968" s="7">
        <f>+(L1969-L1967)</f>
      </c>
      <c r="P1968" s="7">
        <f>SQRT(O1968^2+N1968^2)</f>
      </c>
      <c r="Q1968" s="7">
        <f>N1968/$P1968</f>
      </c>
      <c r="R1968" s="7">
        <f>O1968/$P1968</f>
      </c>
      <c r="S1968" s="7">
        <f>Q1968^2+R1968^2</f>
      </c>
      <c r="T1968" s="7">
        <f>-R1968</f>
      </c>
      <c r="U1968" s="7">
        <f>Q1968</f>
      </c>
      <c r="V1968" s="7">
        <f>($C$14+($C$15-$C$14)/($D$15-$D$14)*(I1968-$D$14))/2</f>
      </c>
      <c r="W1968" s="7">
        <f>($B$22*I1968^4+$C$22*I1968^3+$D$22*I1968^2+$E$22*I1968+$F$22)/2</f>
      </c>
      <c r="X1968" s="7">
        <f>($W1968)*(T1968)</f>
      </c>
      <c r="Y1968" s="7">
        <f>($W1968)*(U1968)</f>
      </c>
      <c r="Z1968" s="7">
        <f>SQRT(X1968^2+Y1968^2)</f>
      </c>
      <c r="AA1968" s="7">
        <f>$K1968+$X1968</f>
      </c>
      <c r="AB1968" s="7">
        <f>$L1968+$Y1968</f>
      </c>
      <c r="AC1968" s="7">
        <f>$K1968-$X1968</f>
      </c>
      <c r="AD1968" s="7">
        <f>$L1968-$Y1968</f>
      </c>
      <c r="AE1968" s="7">
        <f>AA1968/39.3701</f>
      </c>
      <c r="AF1968" s="7">
        <f>AB1968/39.3701</f>
      </c>
      <c r="AG1968" s="7">
        <f>AC1968/39.3701</f>
      </c>
      <c r="AH1968" s="7">
        <f>AD1968/39.3701</f>
      </c>
      <c r="AI1968" s="1"/>
      <c r="AJ1968" s="1"/>
      <c r="AK1968" s="1"/>
      <c r="AL1968" s="1"/>
      <c r="AM1968" s="2"/>
      <c r="AN1968" s="1"/>
      <c r="AO1968" s="1"/>
      <c r="AP1968" s="1"/>
      <c r="AQ1968" s="1"/>
      <c r="AR1968" s="1"/>
      <c r="AS1968" s="1"/>
      <c r="AT1968" s="1"/>
      <c r="AU1968" s="1"/>
      <c r="AV1968" s="1"/>
      <c r="AW1968" s="1"/>
      <c r="AX1968" s="1"/>
      <c r="AY1968" s="1"/>
      <c r="AZ1968" s="1"/>
      <c r="BA1968" s="1"/>
      <c r="BB1968" s="1"/>
      <c r="BC1968" s="1"/>
      <c r="BD1968" s="1"/>
      <c r="BE1968" s="1"/>
    </row>
    <row x14ac:dyDescent="0.25" r="1969" customHeight="1" ht="18.75">
      <c r="A1969" s="1"/>
      <c r="B1969" s="2"/>
      <c r="C1969" s="2"/>
      <c r="D1969" s="2"/>
      <c r="E1969" s="2"/>
      <c r="F1969" s="2"/>
      <c r="G1969" s="1"/>
      <c r="H1969" s="1"/>
      <c r="I1969" s="7">
        <v>1.966</v>
      </c>
      <c r="J1969" s="7">
        <f>IF((I1969-ROUNDDOWN(I1969,0))=0, 0, (I1969-ROUNDDOWN(I1969,0)))</f>
      </c>
      <c r="K1969" s="7">
        <f>INDIRECT("C$"&amp;2+MIN(2,ROUNDDOWN(I1969,0))*3)*(-$J1969^3+3*$J1969^2-3*$J1969+1)+INDIRECT("C$"&amp;3+MIN(2,ROUNDDOWN(I1969,0))*3)*(3*$J1969^3-6*$J1969^2+3*$J1969)+INDIRECT("C$"&amp;4+MIN(2,ROUNDDOWN(I1969,0))*3)*(-3*$J1969^3+3*$J1969^2)+INDIRECT("C$"&amp;5+MIN(2,ROUNDDOWN(I1969,0))*3)*$J1969^3</f>
      </c>
      <c r="L1969" s="7">
        <f>INDIRECT("D$"&amp;2+MIN(2,ROUNDDOWN(I1969,0))*3)*(-$J1969^3+3*$J1969^2-3*$J1969+1)+INDIRECT("D$"&amp;3+MIN(2,ROUNDDOWN(I1969,0))*3)*(3*$J1969^3-6*$J1969^2+3*$J1969)+INDIRECT("D$"&amp;4+MIN(2,ROUNDDOWN(I1969,0))*3)*(-3*$J1969^3+3*$J1969^2)+INDIRECT("D$"&amp;5+MIN(2,ROUNDDOWN(I1969,0))*3)*$J1969^3</f>
      </c>
      <c r="M1969" s="7">
        <f>SQRT(K1969^2+L1969^2)</f>
      </c>
      <c r="N1969" s="7">
        <f>(K1970-K1968)</f>
      </c>
      <c r="O1969" s="7">
        <f>+(L1970-L1968)</f>
      </c>
      <c r="P1969" s="7">
        <f>SQRT(O1969^2+N1969^2)</f>
      </c>
      <c r="Q1969" s="7">
        <f>N1969/$P1969</f>
      </c>
      <c r="R1969" s="7">
        <f>O1969/$P1969</f>
      </c>
      <c r="S1969" s="7">
        <f>Q1969^2+R1969^2</f>
      </c>
      <c r="T1969" s="7">
        <f>-R1969</f>
      </c>
      <c r="U1969" s="7">
        <f>Q1969</f>
      </c>
      <c r="V1969" s="7">
        <f>($C$14+($C$15-$C$14)/($D$15-$D$14)*(I1969-$D$14))/2</f>
      </c>
      <c r="W1969" s="7">
        <f>($B$22*I1969^4+$C$22*I1969^3+$D$22*I1969^2+$E$22*I1969+$F$22)/2</f>
      </c>
      <c r="X1969" s="7">
        <f>($W1969)*(T1969)</f>
      </c>
      <c r="Y1969" s="7">
        <f>($W1969)*(U1969)</f>
      </c>
      <c r="Z1969" s="7">
        <f>SQRT(X1969^2+Y1969^2)</f>
      </c>
      <c r="AA1969" s="7">
        <f>$K1969+$X1969</f>
      </c>
      <c r="AB1969" s="7">
        <f>$L1969+$Y1969</f>
      </c>
      <c r="AC1969" s="7">
        <f>$K1969-$X1969</f>
      </c>
      <c r="AD1969" s="7">
        <f>$L1969-$Y1969</f>
      </c>
      <c r="AE1969" s="7">
        <f>AA1969/39.3701</f>
      </c>
      <c r="AF1969" s="7">
        <f>AB1969/39.3701</f>
      </c>
      <c r="AG1969" s="7">
        <f>AC1969/39.3701</f>
      </c>
      <c r="AH1969" s="7">
        <f>AD1969/39.3701</f>
      </c>
      <c r="AI1969" s="1"/>
      <c r="AJ1969" s="1"/>
      <c r="AK1969" s="1"/>
      <c r="AL1969" s="1"/>
      <c r="AM1969" s="2"/>
      <c r="AN1969" s="1"/>
      <c r="AO1969" s="1"/>
      <c r="AP1969" s="1"/>
      <c r="AQ1969" s="1"/>
      <c r="AR1969" s="1"/>
      <c r="AS1969" s="1"/>
      <c r="AT1969" s="1"/>
      <c r="AU1969" s="1"/>
      <c r="AV1969" s="1"/>
      <c r="AW1969" s="1"/>
      <c r="AX1969" s="1"/>
      <c r="AY1969" s="1"/>
      <c r="AZ1969" s="1"/>
      <c r="BA1969" s="1"/>
      <c r="BB1969" s="1"/>
      <c r="BC1969" s="1"/>
      <c r="BD1969" s="1"/>
      <c r="BE1969" s="1"/>
    </row>
    <row x14ac:dyDescent="0.25" r="1970" customHeight="1" ht="18.75">
      <c r="A1970" s="1"/>
      <c r="B1970" s="2"/>
      <c r="C1970" s="2"/>
      <c r="D1970" s="2"/>
      <c r="E1970" s="2"/>
      <c r="F1970" s="2"/>
      <c r="G1970" s="1"/>
      <c r="H1970" s="1"/>
      <c r="I1970" s="7">
        <v>1.967</v>
      </c>
      <c r="J1970" s="7">
        <f>IF((I1970-ROUNDDOWN(I1970,0))=0, 0, (I1970-ROUNDDOWN(I1970,0)))</f>
      </c>
      <c r="K1970" s="7">
        <f>INDIRECT("C$"&amp;2+MIN(2,ROUNDDOWN(I1970,0))*3)*(-$J1970^3+3*$J1970^2-3*$J1970+1)+INDIRECT("C$"&amp;3+MIN(2,ROUNDDOWN(I1970,0))*3)*(3*$J1970^3-6*$J1970^2+3*$J1970)+INDIRECT("C$"&amp;4+MIN(2,ROUNDDOWN(I1970,0))*3)*(-3*$J1970^3+3*$J1970^2)+INDIRECT("C$"&amp;5+MIN(2,ROUNDDOWN(I1970,0))*3)*$J1970^3</f>
      </c>
      <c r="L1970" s="7">
        <f>INDIRECT("D$"&amp;2+MIN(2,ROUNDDOWN(I1970,0))*3)*(-$J1970^3+3*$J1970^2-3*$J1970+1)+INDIRECT("D$"&amp;3+MIN(2,ROUNDDOWN(I1970,0))*3)*(3*$J1970^3-6*$J1970^2+3*$J1970)+INDIRECT("D$"&amp;4+MIN(2,ROUNDDOWN(I1970,0))*3)*(-3*$J1970^3+3*$J1970^2)+INDIRECT("D$"&amp;5+MIN(2,ROUNDDOWN(I1970,0))*3)*$J1970^3</f>
      </c>
      <c r="M1970" s="7">
        <f>SQRT(K1970^2+L1970^2)</f>
      </c>
      <c r="N1970" s="7">
        <f>(K1971-K1969)</f>
      </c>
      <c r="O1970" s="7">
        <f>+(L1971-L1969)</f>
      </c>
      <c r="P1970" s="7">
        <f>SQRT(O1970^2+N1970^2)</f>
      </c>
      <c r="Q1970" s="7">
        <f>N1970/$P1970</f>
      </c>
      <c r="R1970" s="7">
        <f>O1970/$P1970</f>
      </c>
      <c r="S1970" s="7">
        <f>Q1970^2+R1970^2</f>
      </c>
      <c r="T1970" s="7">
        <f>-R1970</f>
      </c>
      <c r="U1970" s="7">
        <f>Q1970</f>
      </c>
      <c r="V1970" s="7">
        <f>($C$14+($C$15-$C$14)/($D$15-$D$14)*(I1970-$D$14))/2</f>
      </c>
      <c r="W1970" s="7">
        <f>($B$22*I1970^4+$C$22*I1970^3+$D$22*I1970^2+$E$22*I1970+$F$22)/2</f>
      </c>
      <c r="X1970" s="7">
        <f>($W1970)*(T1970)</f>
      </c>
      <c r="Y1970" s="7">
        <f>($W1970)*(U1970)</f>
      </c>
      <c r="Z1970" s="7">
        <f>SQRT(X1970^2+Y1970^2)</f>
      </c>
      <c r="AA1970" s="7">
        <f>$K1970+$X1970</f>
      </c>
      <c r="AB1970" s="7">
        <f>$L1970+$Y1970</f>
      </c>
      <c r="AC1970" s="7">
        <f>$K1970-$X1970</f>
      </c>
      <c r="AD1970" s="7">
        <f>$L1970-$Y1970</f>
      </c>
      <c r="AE1970" s="7">
        <f>AA1970/39.3701</f>
      </c>
      <c r="AF1970" s="7">
        <f>AB1970/39.3701</f>
      </c>
      <c r="AG1970" s="7">
        <f>AC1970/39.3701</f>
      </c>
      <c r="AH1970" s="7">
        <f>AD1970/39.3701</f>
      </c>
      <c r="AI1970" s="1"/>
      <c r="AJ1970" s="1"/>
      <c r="AK1970" s="1"/>
      <c r="AL1970" s="1"/>
      <c r="AM1970" s="2"/>
      <c r="AN1970" s="1"/>
      <c r="AO1970" s="1"/>
      <c r="AP1970" s="1"/>
      <c r="AQ1970" s="1"/>
      <c r="AR1970" s="1"/>
      <c r="AS1970" s="1"/>
      <c r="AT1970" s="1"/>
      <c r="AU1970" s="1"/>
      <c r="AV1970" s="1"/>
      <c r="AW1970" s="1"/>
      <c r="AX1970" s="1"/>
      <c r="AY1970" s="1"/>
      <c r="AZ1970" s="1"/>
      <c r="BA1970" s="1"/>
      <c r="BB1970" s="1"/>
      <c r="BC1970" s="1"/>
      <c r="BD1970" s="1"/>
      <c r="BE1970" s="1"/>
    </row>
    <row x14ac:dyDescent="0.25" r="1971" customHeight="1" ht="18.75">
      <c r="A1971" s="1"/>
      <c r="B1971" s="2"/>
      <c r="C1971" s="2"/>
      <c r="D1971" s="2"/>
      <c r="E1971" s="2"/>
      <c r="F1971" s="2"/>
      <c r="G1971" s="1"/>
      <c r="H1971" s="1"/>
      <c r="I1971" s="7">
        <v>1.968</v>
      </c>
      <c r="J1971" s="7">
        <f>IF((I1971-ROUNDDOWN(I1971,0))=0, 0, (I1971-ROUNDDOWN(I1971,0)))</f>
      </c>
      <c r="K1971" s="7">
        <f>INDIRECT("C$"&amp;2+MIN(2,ROUNDDOWN(I1971,0))*3)*(-$J1971^3+3*$J1971^2-3*$J1971+1)+INDIRECT("C$"&amp;3+MIN(2,ROUNDDOWN(I1971,0))*3)*(3*$J1971^3-6*$J1971^2+3*$J1971)+INDIRECT("C$"&amp;4+MIN(2,ROUNDDOWN(I1971,0))*3)*(-3*$J1971^3+3*$J1971^2)+INDIRECT("C$"&amp;5+MIN(2,ROUNDDOWN(I1971,0))*3)*$J1971^3</f>
      </c>
      <c r="L1971" s="7">
        <f>INDIRECT("D$"&amp;2+MIN(2,ROUNDDOWN(I1971,0))*3)*(-$J1971^3+3*$J1971^2-3*$J1971+1)+INDIRECT("D$"&amp;3+MIN(2,ROUNDDOWN(I1971,0))*3)*(3*$J1971^3-6*$J1971^2+3*$J1971)+INDIRECT("D$"&amp;4+MIN(2,ROUNDDOWN(I1971,0))*3)*(-3*$J1971^3+3*$J1971^2)+INDIRECT("D$"&amp;5+MIN(2,ROUNDDOWN(I1971,0))*3)*$J1971^3</f>
      </c>
      <c r="M1971" s="7">
        <f>SQRT(K1971^2+L1971^2)</f>
      </c>
      <c r="N1971" s="7">
        <f>(K1972-K1970)</f>
      </c>
      <c r="O1971" s="7">
        <f>+(L1972-L1970)</f>
      </c>
      <c r="P1971" s="7">
        <f>SQRT(O1971^2+N1971^2)</f>
      </c>
      <c r="Q1971" s="7">
        <f>N1971/$P1971</f>
      </c>
      <c r="R1971" s="7">
        <f>O1971/$P1971</f>
      </c>
      <c r="S1971" s="7">
        <f>Q1971^2+R1971^2</f>
      </c>
      <c r="T1971" s="7">
        <f>-R1971</f>
      </c>
      <c r="U1971" s="7">
        <f>Q1971</f>
      </c>
      <c r="V1971" s="7">
        <f>($C$14+($C$15-$C$14)/($D$15-$D$14)*(I1971-$D$14))/2</f>
      </c>
      <c r="W1971" s="7">
        <f>($B$22*I1971^4+$C$22*I1971^3+$D$22*I1971^2+$E$22*I1971+$F$22)/2</f>
      </c>
      <c r="X1971" s="7">
        <f>($W1971)*(T1971)</f>
      </c>
      <c r="Y1971" s="7">
        <f>($W1971)*(U1971)</f>
      </c>
      <c r="Z1971" s="7">
        <f>SQRT(X1971^2+Y1971^2)</f>
      </c>
      <c r="AA1971" s="7">
        <f>$K1971+$X1971</f>
      </c>
      <c r="AB1971" s="7">
        <f>$L1971+$Y1971</f>
      </c>
      <c r="AC1971" s="7">
        <f>$K1971-$X1971</f>
      </c>
      <c r="AD1971" s="7">
        <f>$L1971-$Y1971</f>
      </c>
      <c r="AE1971" s="7">
        <f>AA1971/39.3701</f>
      </c>
      <c r="AF1971" s="7">
        <f>AB1971/39.3701</f>
      </c>
      <c r="AG1971" s="7">
        <f>AC1971/39.3701</f>
      </c>
      <c r="AH1971" s="7">
        <f>AD1971/39.3701</f>
      </c>
      <c r="AI1971" s="1"/>
      <c r="AJ1971" s="1"/>
      <c r="AK1971" s="1"/>
      <c r="AL1971" s="1"/>
      <c r="AM1971" s="2"/>
      <c r="AN1971" s="1"/>
      <c r="AO1971" s="1"/>
      <c r="AP1971" s="1"/>
      <c r="AQ1971" s="1"/>
      <c r="AR1971" s="1"/>
      <c r="AS1971" s="1"/>
      <c r="AT1971" s="1"/>
      <c r="AU1971" s="1"/>
      <c r="AV1971" s="1"/>
      <c r="AW1971" s="1"/>
      <c r="AX1971" s="1"/>
      <c r="AY1971" s="1"/>
      <c r="AZ1971" s="1"/>
      <c r="BA1971" s="1"/>
      <c r="BB1971" s="1"/>
      <c r="BC1971" s="1"/>
      <c r="BD1971" s="1"/>
      <c r="BE1971" s="1"/>
    </row>
    <row x14ac:dyDescent="0.25" r="1972" customHeight="1" ht="18.75">
      <c r="A1972" s="1"/>
      <c r="B1972" s="2"/>
      <c r="C1972" s="2"/>
      <c r="D1972" s="2"/>
      <c r="E1972" s="2"/>
      <c r="F1972" s="2"/>
      <c r="G1972" s="1"/>
      <c r="H1972" s="1"/>
      <c r="I1972" s="7">
        <v>1.969</v>
      </c>
      <c r="J1972" s="7">
        <f>IF((I1972-ROUNDDOWN(I1972,0))=0, 0, (I1972-ROUNDDOWN(I1972,0)))</f>
      </c>
      <c r="K1972" s="7">
        <f>INDIRECT("C$"&amp;2+MIN(2,ROUNDDOWN(I1972,0))*3)*(-$J1972^3+3*$J1972^2-3*$J1972+1)+INDIRECT("C$"&amp;3+MIN(2,ROUNDDOWN(I1972,0))*3)*(3*$J1972^3-6*$J1972^2+3*$J1972)+INDIRECT("C$"&amp;4+MIN(2,ROUNDDOWN(I1972,0))*3)*(-3*$J1972^3+3*$J1972^2)+INDIRECT("C$"&amp;5+MIN(2,ROUNDDOWN(I1972,0))*3)*$J1972^3</f>
      </c>
      <c r="L1972" s="7">
        <f>INDIRECT("D$"&amp;2+MIN(2,ROUNDDOWN(I1972,0))*3)*(-$J1972^3+3*$J1972^2-3*$J1972+1)+INDIRECT("D$"&amp;3+MIN(2,ROUNDDOWN(I1972,0))*3)*(3*$J1972^3-6*$J1972^2+3*$J1972)+INDIRECT("D$"&amp;4+MIN(2,ROUNDDOWN(I1972,0))*3)*(-3*$J1972^3+3*$J1972^2)+INDIRECT("D$"&amp;5+MIN(2,ROUNDDOWN(I1972,0))*3)*$J1972^3</f>
      </c>
      <c r="M1972" s="7">
        <f>SQRT(K1972^2+L1972^2)</f>
      </c>
      <c r="N1972" s="7">
        <f>(K1973-K1971)</f>
      </c>
      <c r="O1972" s="7">
        <f>+(L1973-L1971)</f>
      </c>
      <c r="P1972" s="7">
        <f>SQRT(O1972^2+N1972^2)</f>
      </c>
      <c r="Q1972" s="7">
        <f>N1972/$P1972</f>
      </c>
      <c r="R1972" s="7">
        <f>O1972/$P1972</f>
      </c>
      <c r="S1972" s="8">
        <f>Q1972^2+R1972^2</f>
      </c>
      <c r="T1972" s="7">
        <f>-R1972</f>
      </c>
      <c r="U1972" s="7">
        <f>Q1972</f>
      </c>
      <c r="V1972" s="7">
        <f>($C$14+($C$15-$C$14)/($D$15-$D$14)*(I1972-$D$14))/2</f>
      </c>
      <c r="W1972" s="7">
        <f>($B$22*I1972^4+$C$22*I1972^3+$D$22*I1972^2+$E$22*I1972+$F$22)/2</f>
      </c>
      <c r="X1972" s="7">
        <f>($W1972)*(T1972)</f>
      </c>
      <c r="Y1972" s="7">
        <f>($W1972)*(U1972)</f>
      </c>
      <c r="Z1972" s="7">
        <f>SQRT(X1972^2+Y1972^2)</f>
      </c>
      <c r="AA1972" s="7">
        <f>$K1972+$X1972</f>
      </c>
      <c r="AB1972" s="7">
        <f>$L1972+$Y1972</f>
      </c>
      <c r="AC1972" s="7">
        <f>$K1972-$X1972</f>
      </c>
      <c r="AD1972" s="7">
        <f>$L1972-$Y1972</f>
      </c>
      <c r="AE1972" s="7">
        <f>AA1972/39.3701</f>
      </c>
      <c r="AF1972" s="7">
        <f>AB1972/39.3701</f>
      </c>
      <c r="AG1972" s="7">
        <f>AC1972/39.3701</f>
      </c>
      <c r="AH1972" s="7">
        <f>AD1972/39.3701</f>
      </c>
      <c r="AI1972" s="1"/>
      <c r="AJ1972" s="1"/>
      <c r="AK1972" s="1"/>
      <c r="AL1972" s="1"/>
      <c r="AM1972" s="2"/>
      <c r="AN1972" s="1"/>
      <c r="AO1972" s="1"/>
      <c r="AP1972" s="1"/>
      <c r="AQ1972" s="1"/>
      <c r="AR1972" s="1"/>
      <c r="AS1972" s="1"/>
      <c r="AT1972" s="1"/>
      <c r="AU1972" s="1"/>
      <c r="AV1972" s="1"/>
      <c r="AW1972" s="1"/>
      <c r="AX1972" s="1"/>
      <c r="AY1972" s="1"/>
      <c r="AZ1972" s="1"/>
      <c r="BA1972" s="1"/>
      <c r="BB1972" s="1"/>
      <c r="BC1972" s="1"/>
      <c r="BD1972" s="1"/>
      <c r="BE1972" s="1"/>
    </row>
    <row x14ac:dyDescent="0.25" r="1973" customHeight="1" ht="18.75">
      <c r="A1973" s="1"/>
      <c r="B1973" s="2"/>
      <c r="C1973" s="2"/>
      <c r="D1973" s="2"/>
      <c r="E1973" s="2"/>
      <c r="F1973" s="2"/>
      <c r="G1973" s="1"/>
      <c r="H1973" s="1"/>
      <c r="I1973" s="7">
        <v>1.97</v>
      </c>
      <c r="J1973" s="7">
        <f>IF((I1973-ROUNDDOWN(I1973,0))=0, 0, (I1973-ROUNDDOWN(I1973,0)))</f>
      </c>
      <c r="K1973" s="7">
        <f>INDIRECT("C$"&amp;2+MIN(2,ROUNDDOWN(I1973,0))*3)*(-$J1973^3+3*$J1973^2-3*$J1973+1)+INDIRECT("C$"&amp;3+MIN(2,ROUNDDOWN(I1973,0))*3)*(3*$J1973^3-6*$J1973^2+3*$J1973)+INDIRECT("C$"&amp;4+MIN(2,ROUNDDOWN(I1973,0))*3)*(-3*$J1973^3+3*$J1973^2)+INDIRECT("C$"&amp;5+MIN(2,ROUNDDOWN(I1973,0))*3)*$J1973^3</f>
      </c>
      <c r="L1973" s="7">
        <f>INDIRECT("D$"&amp;2+MIN(2,ROUNDDOWN(I1973,0))*3)*(-$J1973^3+3*$J1973^2-3*$J1973+1)+INDIRECT("D$"&amp;3+MIN(2,ROUNDDOWN(I1973,0))*3)*(3*$J1973^3-6*$J1973^2+3*$J1973)+INDIRECT("D$"&amp;4+MIN(2,ROUNDDOWN(I1973,0))*3)*(-3*$J1973^3+3*$J1973^2)+INDIRECT("D$"&amp;5+MIN(2,ROUNDDOWN(I1973,0))*3)*$J1973^3</f>
      </c>
      <c r="M1973" s="7">
        <f>SQRT(K1973^2+L1973^2)</f>
      </c>
      <c r="N1973" s="7">
        <f>(K1974-K1972)</f>
      </c>
      <c r="O1973" s="7">
        <f>+(L1974-L1972)</f>
      </c>
      <c r="P1973" s="7">
        <f>SQRT(O1973^2+N1973^2)</f>
      </c>
      <c r="Q1973" s="7">
        <f>N1973/$P1973</f>
      </c>
      <c r="R1973" s="7">
        <f>O1973/$P1973</f>
      </c>
      <c r="S1973" s="8">
        <f>Q1973^2+R1973^2</f>
      </c>
      <c r="T1973" s="7">
        <f>-R1973</f>
      </c>
      <c r="U1973" s="7">
        <f>Q1973</f>
      </c>
      <c r="V1973" s="7">
        <f>($C$14+($C$15-$C$14)/($D$15-$D$14)*(I1973-$D$14))/2</f>
      </c>
      <c r="W1973" s="7">
        <f>($B$22*I1973^4+$C$22*I1973^3+$D$22*I1973^2+$E$22*I1973+$F$22)/2</f>
      </c>
      <c r="X1973" s="7">
        <f>($W1973)*(T1973)</f>
      </c>
      <c r="Y1973" s="7">
        <f>($W1973)*(U1973)</f>
      </c>
      <c r="Z1973" s="7">
        <f>SQRT(X1973^2+Y1973^2)</f>
      </c>
      <c r="AA1973" s="7">
        <f>$K1973+$X1973</f>
      </c>
      <c r="AB1973" s="7">
        <f>$L1973+$Y1973</f>
      </c>
      <c r="AC1973" s="7">
        <f>$K1973-$X1973</f>
      </c>
      <c r="AD1973" s="7">
        <f>$L1973-$Y1973</f>
      </c>
      <c r="AE1973" s="7">
        <f>AA1973/39.3701</f>
      </c>
      <c r="AF1973" s="7">
        <f>AB1973/39.3701</f>
      </c>
      <c r="AG1973" s="7">
        <f>AC1973/39.3701</f>
      </c>
      <c r="AH1973" s="7">
        <f>AD1973/39.3701</f>
      </c>
      <c r="AI1973" s="1"/>
      <c r="AJ1973" s="1"/>
      <c r="AK1973" s="1"/>
      <c r="AL1973" s="1"/>
      <c r="AM1973" s="2"/>
      <c r="AN1973" s="1"/>
      <c r="AO1973" s="1"/>
      <c r="AP1973" s="1"/>
      <c r="AQ1973" s="1"/>
      <c r="AR1973" s="1"/>
      <c r="AS1973" s="1"/>
      <c r="AT1973" s="1"/>
      <c r="AU1973" s="1"/>
      <c r="AV1973" s="1"/>
      <c r="AW1973" s="1"/>
      <c r="AX1973" s="1"/>
      <c r="AY1973" s="1"/>
      <c r="AZ1973" s="1"/>
      <c r="BA1973" s="1"/>
      <c r="BB1973" s="1"/>
      <c r="BC1973" s="1"/>
      <c r="BD1973" s="1"/>
      <c r="BE1973" s="1"/>
    </row>
    <row x14ac:dyDescent="0.25" r="1974" customHeight="1" ht="18.75">
      <c r="A1974" s="1"/>
      <c r="B1974" s="2"/>
      <c r="C1974" s="2"/>
      <c r="D1974" s="2"/>
      <c r="E1974" s="2"/>
      <c r="F1974" s="2"/>
      <c r="G1974" s="1"/>
      <c r="H1974" s="1"/>
      <c r="I1974" s="7">
        <v>1.971</v>
      </c>
      <c r="J1974" s="7">
        <f>IF((I1974-ROUNDDOWN(I1974,0))=0, 0, (I1974-ROUNDDOWN(I1974,0)))</f>
      </c>
      <c r="K1974" s="7">
        <f>INDIRECT("C$"&amp;2+MIN(2,ROUNDDOWN(I1974,0))*3)*(-$J1974^3+3*$J1974^2-3*$J1974+1)+INDIRECT("C$"&amp;3+MIN(2,ROUNDDOWN(I1974,0))*3)*(3*$J1974^3-6*$J1974^2+3*$J1974)+INDIRECT("C$"&amp;4+MIN(2,ROUNDDOWN(I1974,0))*3)*(-3*$J1974^3+3*$J1974^2)+INDIRECT("C$"&amp;5+MIN(2,ROUNDDOWN(I1974,0))*3)*$J1974^3</f>
      </c>
      <c r="L1974" s="7">
        <f>INDIRECT("D$"&amp;2+MIN(2,ROUNDDOWN(I1974,0))*3)*(-$J1974^3+3*$J1974^2-3*$J1974+1)+INDIRECT("D$"&amp;3+MIN(2,ROUNDDOWN(I1974,0))*3)*(3*$J1974^3-6*$J1974^2+3*$J1974)+INDIRECT("D$"&amp;4+MIN(2,ROUNDDOWN(I1974,0))*3)*(-3*$J1974^3+3*$J1974^2)+INDIRECT("D$"&amp;5+MIN(2,ROUNDDOWN(I1974,0))*3)*$J1974^3</f>
      </c>
      <c r="M1974" s="7">
        <f>SQRT(K1974^2+L1974^2)</f>
      </c>
      <c r="N1974" s="7">
        <f>(K1975-K1973)</f>
      </c>
      <c r="O1974" s="7">
        <f>+(L1975-L1973)</f>
      </c>
      <c r="P1974" s="7">
        <f>SQRT(O1974^2+N1974^2)</f>
      </c>
      <c r="Q1974" s="7">
        <f>N1974/$P1974</f>
      </c>
      <c r="R1974" s="7">
        <f>O1974/$P1974</f>
      </c>
      <c r="S1974" s="8">
        <f>Q1974^2+R1974^2</f>
      </c>
      <c r="T1974" s="7">
        <f>-R1974</f>
      </c>
      <c r="U1974" s="7">
        <f>Q1974</f>
      </c>
      <c r="V1974" s="7">
        <f>($C$14+($C$15-$C$14)/($D$15-$D$14)*(I1974-$D$14))/2</f>
      </c>
      <c r="W1974" s="7">
        <f>($B$22*I1974^4+$C$22*I1974^3+$D$22*I1974^2+$E$22*I1974+$F$22)/2</f>
      </c>
      <c r="X1974" s="7">
        <f>($W1974)*(T1974)</f>
      </c>
      <c r="Y1974" s="7">
        <f>($W1974)*(U1974)</f>
      </c>
      <c r="Z1974" s="7">
        <f>SQRT(X1974^2+Y1974^2)</f>
      </c>
      <c r="AA1974" s="7">
        <f>$K1974+$X1974</f>
      </c>
      <c r="AB1974" s="7">
        <f>$L1974+$Y1974</f>
      </c>
      <c r="AC1974" s="7">
        <f>$K1974-$X1974</f>
      </c>
      <c r="AD1974" s="7">
        <f>$L1974-$Y1974</f>
      </c>
      <c r="AE1974" s="7">
        <f>AA1974/39.3701</f>
      </c>
      <c r="AF1974" s="7">
        <f>AB1974/39.3701</f>
      </c>
      <c r="AG1974" s="7">
        <f>AC1974/39.3701</f>
      </c>
      <c r="AH1974" s="7">
        <f>AD1974/39.3701</f>
      </c>
      <c r="AI1974" s="1"/>
      <c r="AJ1974" s="1"/>
      <c r="AK1974" s="1"/>
      <c r="AL1974" s="1"/>
      <c r="AM1974" s="2"/>
      <c r="AN1974" s="1"/>
      <c r="AO1974" s="1"/>
      <c r="AP1974" s="1"/>
      <c r="AQ1974" s="1"/>
      <c r="AR1974" s="1"/>
      <c r="AS1974" s="1"/>
      <c r="AT1974" s="1"/>
      <c r="AU1974" s="1"/>
      <c r="AV1974" s="1"/>
      <c r="AW1974" s="1"/>
      <c r="AX1974" s="1"/>
      <c r="AY1974" s="1"/>
      <c r="AZ1974" s="1"/>
      <c r="BA1974" s="1"/>
      <c r="BB1974" s="1"/>
      <c r="BC1974" s="1"/>
      <c r="BD1974" s="1"/>
      <c r="BE1974" s="1"/>
    </row>
    <row x14ac:dyDescent="0.25" r="1975" customHeight="1" ht="18.75">
      <c r="A1975" s="1"/>
      <c r="B1975" s="2"/>
      <c r="C1975" s="2"/>
      <c r="D1975" s="2"/>
      <c r="E1975" s="2"/>
      <c r="F1975" s="2"/>
      <c r="G1975" s="1"/>
      <c r="H1975" s="1"/>
      <c r="I1975" s="7">
        <v>1.972</v>
      </c>
      <c r="J1975" s="7">
        <f>IF((I1975-ROUNDDOWN(I1975,0))=0, 0, (I1975-ROUNDDOWN(I1975,0)))</f>
      </c>
      <c r="K1975" s="7">
        <f>INDIRECT("C$"&amp;2+MIN(2,ROUNDDOWN(I1975,0))*3)*(-$J1975^3+3*$J1975^2-3*$J1975+1)+INDIRECT("C$"&amp;3+MIN(2,ROUNDDOWN(I1975,0))*3)*(3*$J1975^3-6*$J1975^2+3*$J1975)+INDIRECT("C$"&amp;4+MIN(2,ROUNDDOWN(I1975,0))*3)*(-3*$J1975^3+3*$J1975^2)+INDIRECT("C$"&amp;5+MIN(2,ROUNDDOWN(I1975,0))*3)*$J1975^3</f>
      </c>
      <c r="L1975" s="7">
        <f>INDIRECT("D$"&amp;2+MIN(2,ROUNDDOWN(I1975,0))*3)*(-$J1975^3+3*$J1975^2-3*$J1975+1)+INDIRECT("D$"&amp;3+MIN(2,ROUNDDOWN(I1975,0))*3)*(3*$J1975^3-6*$J1975^2+3*$J1975)+INDIRECT("D$"&amp;4+MIN(2,ROUNDDOWN(I1975,0))*3)*(-3*$J1975^3+3*$J1975^2)+INDIRECT("D$"&amp;5+MIN(2,ROUNDDOWN(I1975,0))*3)*$J1975^3</f>
      </c>
      <c r="M1975" s="7">
        <f>SQRT(K1975^2+L1975^2)</f>
      </c>
      <c r="N1975" s="7">
        <f>(K1976-K1974)</f>
      </c>
      <c r="O1975" s="7">
        <f>+(L1976-L1974)</f>
      </c>
      <c r="P1975" s="7">
        <f>SQRT(O1975^2+N1975^2)</f>
      </c>
      <c r="Q1975" s="7">
        <f>N1975/$P1975</f>
      </c>
      <c r="R1975" s="7">
        <f>O1975/$P1975</f>
      </c>
      <c r="S1975" s="7">
        <f>Q1975^2+R1975^2</f>
      </c>
      <c r="T1975" s="7">
        <f>-R1975</f>
      </c>
      <c r="U1975" s="7">
        <f>Q1975</f>
      </c>
      <c r="V1975" s="7">
        <f>($C$14+($C$15-$C$14)/($D$15-$D$14)*(I1975-$D$14))/2</f>
      </c>
      <c r="W1975" s="7">
        <f>($B$22*I1975^4+$C$22*I1975^3+$D$22*I1975^2+$E$22*I1975+$F$22)/2</f>
      </c>
      <c r="X1975" s="7">
        <f>($W1975)*(T1975)</f>
      </c>
      <c r="Y1975" s="7">
        <f>($W1975)*(U1975)</f>
      </c>
      <c r="Z1975" s="7">
        <f>SQRT(X1975^2+Y1975^2)</f>
      </c>
      <c r="AA1975" s="7">
        <f>$K1975+$X1975</f>
      </c>
      <c r="AB1975" s="7">
        <f>$L1975+$Y1975</f>
      </c>
      <c r="AC1975" s="7">
        <f>$K1975-$X1975</f>
      </c>
      <c r="AD1975" s="7">
        <f>$L1975-$Y1975</f>
      </c>
      <c r="AE1975" s="7">
        <f>AA1975/39.3701</f>
      </c>
      <c r="AF1975" s="7">
        <f>AB1975/39.3701</f>
      </c>
      <c r="AG1975" s="7">
        <f>AC1975/39.3701</f>
      </c>
      <c r="AH1975" s="7">
        <f>AD1975/39.3701</f>
      </c>
      <c r="AI1975" s="1"/>
      <c r="AJ1975" s="1"/>
      <c r="AK1975" s="1"/>
      <c r="AL1975" s="1"/>
      <c r="AM1975" s="2"/>
      <c r="AN1975" s="1"/>
      <c r="AO1975" s="1"/>
      <c r="AP1975" s="1"/>
      <c r="AQ1975" s="1"/>
      <c r="AR1975" s="1"/>
      <c r="AS1975" s="1"/>
      <c r="AT1975" s="1"/>
      <c r="AU1975" s="1"/>
      <c r="AV1975" s="1"/>
      <c r="AW1975" s="1"/>
      <c r="AX1975" s="1"/>
      <c r="AY1975" s="1"/>
      <c r="AZ1975" s="1"/>
      <c r="BA1975" s="1"/>
      <c r="BB1975" s="1"/>
      <c r="BC1975" s="1"/>
      <c r="BD1975" s="1"/>
      <c r="BE1975" s="1"/>
    </row>
    <row x14ac:dyDescent="0.25" r="1976" customHeight="1" ht="18.75">
      <c r="A1976" s="1"/>
      <c r="B1976" s="2"/>
      <c r="C1976" s="2"/>
      <c r="D1976" s="2"/>
      <c r="E1976" s="2"/>
      <c r="F1976" s="2"/>
      <c r="G1976" s="1"/>
      <c r="H1976" s="1"/>
      <c r="I1976" s="7">
        <v>1.973</v>
      </c>
      <c r="J1976" s="7">
        <f>IF((I1976-ROUNDDOWN(I1976,0))=0, 0, (I1976-ROUNDDOWN(I1976,0)))</f>
      </c>
      <c r="K1976" s="7">
        <f>INDIRECT("C$"&amp;2+MIN(2,ROUNDDOWN(I1976,0))*3)*(-$J1976^3+3*$J1976^2-3*$J1976+1)+INDIRECT("C$"&amp;3+MIN(2,ROUNDDOWN(I1976,0))*3)*(3*$J1976^3-6*$J1976^2+3*$J1976)+INDIRECT("C$"&amp;4+MIN(2,ROUNDDOWN(I1976,0))*3)*(-3*$J1976^3+3*$J1976^2)+INDIRECT("C$"&amp;5+MIN(2,ROUNDDOWN(I1976,0))*3)*$J1976^3</f>
      </c>
      <c r="L1976" s="7">
        <f>INDIRECT("D$"&amp;2+MIN(2,ROUNDDOWN(I1976,0))*3)*(-$J1976^3+3*$J1976^2-3*$J1976+1)+INDIRECT("D$"&amp;3+MIN(2,ROUNDDOWN(I1976,0))*3)*(3*$J1976^3-6*$J1976^2+3*$J1976)+INDIRECT("D$"&amp;4+MIN(2,ROUNDDOWN(I1976,0))*3)*(-3*$J1976^3+3*$J1976^2)+INDIRECT("D$"&amp;5+MIN(2,ROUNDDOWN(I1976,0))*3)*$J1976^3</f>
      </c>
      <c r="M1976" s="7">
        <f>SQRT(K1976^2+L1976^2)</f>
      </c>
      <c r="N1976" s="7">
        <f>(K1977-K1975)</f>
      </c>
      <c r="O1976" s="7">
        <f>+(L1977-L1975)</f>
      </c>
      <c r="P1976" s="7">
        <f>SQRT(O1976^2+N1976^2)</f>
      </c>
      <c r="Q1976" s="7">
        <f>N1976/$P1976</f>
      </c>
      <c r="R1976" s="7">
        <f>O1976/$P1976</f>
      </c>
      <c r="S1976" s="8">
        <f>Q1976^2+R1976^2</f>
      </c>
      <c r="T1976" s="7">
        <f>-R1976</f>
      </c>
      <c r="U1976" s="7">
        <f>Q1976</f>
      </c>
      <c r="V1976" s="7">
        <f>($C$14+($C$15-$C$14)/($D$15-$D$14)*(I1976-$D$14))/2</f>
      </c>
      <c r="W1976" s="7">
        <f>($B$22*I1976^4+$C$22*I1976^3+$D$22*I1976^2+$E$22*I1976+$F$22)/2</f>
      </c>
      <c r="X1976" s="7">
        <f>($W1976)*(T1976)</f>
      </c>
      <c r="Y1976" s="7">
        <f>($W1976)*(U1976)</f>
      </c>
      <c r="Z1976" s="7">
        <f>SQRT(X1976^2+Y1976^2)</f>
      </c>
      <c r="AA1976" s="7">
        <f>$K1976+$X1976</f>
      </c>
      <c r="AB1976" s="7">
        <f>$L1976+$Y1976</f>
      </c>
      <c r="AC1976" s="7">
        <f>$K1976-$X1976</f>
      </c>
      <c r="AD1976" s="7">
        <f>$L1976-$Y1976</f>
      </c>
      <c r="AE1976" s="7">
        <f>AA1976/39.3701</f>
      </c>
      <c r="AF1976" s="7">
        <f>AB1976/39.3701</f>
      </c>
      <c r="AG1976" s="7">
        <f>AC1976/39.3701</f>
      </c>
      <c r="AH1976" s="7">
        <f>AD1976/39.3701</f>
      </c>
      <c r="AI1976" s="1"/>
      <c r="AJ1976" s="1"/>
      <c r="AK1976" s="1"/>
      <c r="AL1976" s="1"/>
      <c r="AM1976" s="2"/>
      <c r="AN1976" s="1"/>
      <c r="AO1976" s="1"/>
      <c r="AP1976" s="1"/>
      <c r="AQ1976" s="1"/>
      <c r="AR1976" s="1"/>
      <c r="AS1976" s="1"/>
      <c r="AT1976" s="1"/>
      <c r="AU1976" s="1"/>
      <c r="AV1976" s="1"/>
      <c r="AW1976" s="1"/>
      <c r="AX1976" s="1"/>
      <c r="AY1976" s="1"/>
      <c r="AZ1976" s="1"/>
      <c r="BA1976" s="1"/>
      <c r="BB1976" s="1"/>
      <c r="BC1976" s="1"/>
      <c r="BD1976" s="1"/>
      <c r="BE1976" s="1"/>
    </row>
    <row x14ac:dyDescent="0.25" r="1977" customHeight="1" ht="18.75">
      <c r="A1977" s="1"/>
      <c r="B1977" s="2"/>
      <c r="C1977" s="2"/>
      <c r="D1977" s="2"/>
      <c r="E1977" s="2"/>
      <c r="F1977" s="2"/>
      <c r="G1977" s="1"/>
      <c r="H1977" s="1"/>
      <c r="I1977" s="7">
        <v>1.974</v>
      </c>
      <c r="J1977" s="7">
        <f>IF((I1977-ROUNDDOWN(I1977,0))=0, 0, (I1977-ROUNDDOWN(I1977,0)))</f>
      </c>
      <c r="K1977" s="7">
        <f>INDIRECT("C$"&amp;2+MIN(2,ROUNDDOWN(I1977,0))*3)*(-$J1977^3+3*$J1977^2-3*$J1977+1)+INDIRECT("C$"&amp;3+MIN(2,ROUNDDOWN(I1977,0))*3)*(3*$J1977^3-6*$J1977^2+3*$J1977)+INDIRECT("C$"&amp;4+MIN(2,ROUNDDOWN(I1977,0))*3)*(-3*$J1977^3+3*$J1977^2)+INDIRECT("C$"&amp;5+MIN(2,ROUNDDOWN(I1977,0))*3)*$J1977^3</f>
      </c>
      <c r="L1977" s="7">
        <f>INDIRECT("D$"&amp;2+MIN(2,ROUNDDOWN(I1977,0))*3)*(-$J1977^3+3*$J1977^2-3*$J1977+1)+INDIRECT("D$"&amp;3+MIN(2,ROUNDDOWN(I1977,0))*3)*(3*$J1977^3-6*$J1977^2+3*$J1977)+INDIRECT("D$"&amp;4+MIN(2,ROUNDDOWN(I1977,0))*3)*(-3*$J1977^3+3*$J1977^2)+INDIRECT("D$"&amp;5+MIN(2,ROUNDDOWN(I1977,0))*3)*$J1977^3</f>
      </c>
      <c r="M1977" s="7">
        <f>SQRT(K1977^2+L1977^2)</f>
      </c>
      <c r="N1977" s="7">
        <f>(K1978-K1976)</f>
      </c>
      <c r="O1977" s="7">
        <f>+(L1978-L1976)</f>
      </c>
      <c r="P1977" s="7">
        <f>SQRT(O1977^2+N1977^2)</f>
      </c>
      <c r="Q1977" s="7">
        <f>N1977/$P1977</f>
      </c>
      <c r="R1977" s="7">
        <f>O1977/$P1977</f>
      </c>
      <c r="S1977" s="8">
        <f>Q1977^2+R1977^2</f>
      </c>
      <c r="T1977" s="7">
        <f>-R1977</f>
      </c>
      <c r="U1977" s="7">
        <f>Q1977</f>
      </c>
      <c r="V1977" s="7">
        <f>($C$14+($C$15-$C$14)/($D$15-$D$14)*(I1977-$D$14))/2</f>
      </c>
      <c r="W1977" s="7">
        <f>($B$22*I1977^4+$C$22*I1977^3+$D$22*I1977^2+$E$22*I1977+$F$22)/2</f>
      </c>
      <c r="X1977" s="7">
        <f>($W1977)*(T1977)</f>
      </c>
      <c r="Y1977" s="7">
        <f>($W1977)*(U1977)</f>
      </c>
      <c r="Z1977" s="7">
        <f>SQRT(X1977^2+Y1977^2)</f>
      </c>
      <c r="AA1977" s="7">
        <f>$K1977+$X1977</f>
      </c>
      <c r="AB1977" s="7">
        <f>$L1977+$Y1977</f>
      </c>
      <c r="AC1977" s="7">
        <f>$K1977-$X1977</f>
      </c>
      <c r="AD1977" s="7">
        <f>$L1977-$Y1977</f>
      </c>
      <c r="AE1977" s="7">
        <f>AA1977/39.3701</f>
      </c>
      <c r="AF1977" s="7">
        <f>AB1977/39.3701</f>
      </c>
      <c r="AG1977" s="7">
        <f>AC1977/39.3701</f>
      </c>
      <c r="AH1977" s="7">
        <f>AD1977/39.3701</f>
      </c>
      <c r="AI1977" s="1"/>
      <c r="AJ1977" s="1"/>
      <c r="AK1977" s="1"/>
      <c r="AL1977" s="1"/>
      <c r="AM1977" s="2"/>
      <c r="AN1977" s="1"/>
      <c r="AO1977" s="1"/>
      <c r="AP1977" s="1"/>
      <c r="AQ1977" s="1"/>
      <c r="AR1977" s="1"/>
      <c r="AS1977" s="1"/>
      <c r="AT1977" s="1"/>
      <c r="AU1977" s="1"/>
      <c r="AV1977" s="1"/>
      <c r="AW1977" s="1"/>
      <c r="AX1977" s="1"/>
      <c r="AY1977" s="1"/>
      <c r="AZ1977" s="1"/>
      <c r="BA1977" s="1"/>
      <c r="BB1977" s="1"/>
      <c r="BC1977" s="1"/>
      <c r="BD1977" s="1"/>
      <c r="BE1977" s="1"/>
    </row>
    <row x14ac:dyDescent="0.25" r="1978" customHeight="1" ht="18.75">
      <c r="A1978" s="1"/>
      <c r="B1978" s="2"/>
      <c r="C1978" s="2"/>
      <c r="D1978" s="2"/>
      <c r="E1978" s="2"/>
      <c r="F1978" s="2"/>
      <c r="G1978" s="1"/>
      <c r="H1978" s="1"/>
      <c r="I1978" s="7">
        <v>1.975</v>
      </c>
      <c r="J1978" s="7">
        <f>IF((I1978-ROUNDDOWN(I1978,0))=0, 0, (I1978-ROUNDDOWN(I1978,0)))</f>
      </c>
      <c r="K1978" s="7">
        <f>INDIRECT("C$"&amp;2+MIN(2,ROUNDDOWN(I1978,0))*3)*(-$J1978^3+3*$J1978^2-3*$J1978+1)+INDIRECT("C$"&amp;3+MIN(2,ROUNDDOWN(I1978,0))*3)*(3*$J1978^3-6*$J1978^2+3*$J1978)+INDIRECT("C$"&amp;4+MIN(2,ROUNDDOWN(I1978,0))*3)*(-3*$J1978^3+3*$J1978^2)+INDIRECT("C$"&amp;5+MIN(2,ROUNDDOWN(I1978,0))*3)*$J1978^3</f>
      </c>
      <c r="L1978" s="7">
        <f>INDIRECT("D$"&amp;2+MIN(2,ROUNDDOWN(I1978,0))*3)*(-$J1978^3+3*$J1978^2-3*$J1978+1)+INDIRECT("D$"&amp;3+MIN(2,ROUNDDOWN(I1978,0))*3)*(3*$J1978^3-6*$J1978^2+3*$J1978)+INDIRECT("D$"&amp;4+MIN(2,ROUNDDOWN(I1978,0))*3)*(-3*$J1978^3+3*$J1978^2)+INDIRECT("D$"&amp;5+MIN(2,ROUNDDOWN(I1978,0))*3)*$J1978^3</f>
      </c>
      <c r="M1978" s="7">
        <f>SQRT(K1978^2+L1978^2)</f>
      </c>
      <c r="N1978" s="7">
        <f>(K1979-K1977)</f>
      </c>
      <c r="O1978" s="7">
        <f>+(L1979-L1977)</f>
      </c>
      <c r="P1978" s="7">
        <f>SQRT(O1978^2+N1978^2)</f>
      </c>
      <c r="Q1978" s="7">
        <f>N1978/$P1978</f>
      </c>
      <c r="R1978" s="7">
        <f>O1978/$P1978</f>
      </c>
      <c r="S1978" s="7">
        <f>Q1978^2+R1978^2</f>
      </c>
      <c r="T1978" s="7">
        <f>-R1978</f>
      </c>
      <c r="U1978" s="7">
        <f>Q1978</f>
      </c>
      <c r="V1978" s="7">
        <f>($C$14+($C$15-$C$14)/($D$15-$D$14)*(I1978-$D$14))/2</f>
      </c>
      <c r="W1978" s="7">
        <f>($B$22*I1978^4+$C$22*I1978^3+$D$22*I1978^2+$E$22*I1978+$F$22)/2</f>
      </c>
      <c r="X1978" s="7">
        <f>($W1978)*(T1978)</f>
      </c>
      <c r="Y1978" s="7">
        <f>($W1978)*(U1978)</f>
      </c>
      <c r="Z1978" s="7">
        <f>SQRT(X1978^2+Y1978^2)</f>
      </c>
      <c r="AA1978" s="7">
        <f>$K1978+$X1978</f>
      </c>
      <c r="AB1978" s="7">
        <f>$L1978+$Y1978</f>
      </c>
      <c r="AC1978" s="7">
        <f>$K1978-$X1978</f>
      </c>
      <c r="AD1978" s="7">
        <f>$L1978-$Y1978</f>
      </c>
      <c r="AE1978" s="7">
        <f>AA1978/39.3701</f>
      </c>
      <c r="AF1978" s="7">
        <f>AB1978/39.3701</f>
      </c>
      <c r="AG1978" s="7">
        <f>AC1978/39.3701</f>
      </c>
      <c r="AH1978" s="7">
        <f>AD1978/39.3701</f>
      </c>
      <c r="AI1978" s="1"/>
      <c r="AJ1978" s="1"/>
      <c r="AK1978" s="1"/>
      <c r="AL1978" s="1"/>
      <c r="AM1978" s="2"/>
      <c r="AN1978" s="1"/>
      <c r="AO1978" s="1"/>
      <c r="AP1978" s="1"/>
      <c r="AQ1978" s="1"/>
      <c r="AR1978" s="1"/>
      <c r="AS1978" s="1"/>
      <c r="AT1978" s="1"/>
      <c r="AU1978" s="1"/>
      <c r="AV1978" s="1"/>
      <c r="AW1978" s="1"/>
      <c r="AX1978" s="1"/>
      <c r="AY1978" s="1"/>
      <c r="AZ1978" s="1"/>
      <c r="BA1978" s="1"/>
      <c r="BB1978" s="1"/>
      <c r="BC1978" s="1"/>
      <c r="BD1978" s="1"/>
      <c r="BE1978" s="1"/>
    </row>
    <row x14ac:dyDescent="0.25" r="1979" customHeight="1" ht="18.75">
      <c r="A1979" s="1"/>
      <c r="B1979" s="2"/>
      <c r="C1979" s="2"/>
      <c r="D1979" s="2"/>
      <c r="E1979" s="2"/>
      <c r="F1979" s="2"/>
      <c r="G1979" s="1"/>
      <c r="H1979" s="1"/>
      <c r="I1979" s="7">
        <v>1.976</v>
      </c>
      <c r="J1979" s="7">
        <f>IF((I1979-ROUNDDOWN(I1979,0))=0, 0, (I1979-ROUNDDOWN(I1979,0)))</f>
      </c>
      <c r="K1979" s="7">
        <f>INDIRECT("C$"&amp;2+MIN(2,ROUNDDOWN(I1979,0))*3)*(-$J1979^3+3*$J1979^2-3*$J1979+1)+INDIRECT("C$"&amp;3+MIN(2,ROUNDDOWN(I1979,0))*3)*(3*$J1979^3-6*$J1979^2+3*$J1979)+INDIRECT("C$"&amp;4+MIN(2,ROUNDDOWN(I1979,0))*3)*(-3*$J1979^3+3*$J1979^2)+INDIRECT("C$"&amp;5+MIN(2,ROUNDDOWN(I1979,0))*3)*$J1979^3</f>
      </c>
      <c r="L1979" s="7">
        <f>INDIRECT("D$"&amp;2+MIN(2,ROUNDDOWN(I1979,0))*3)*(-$J1979^3+3*$J1979^2-3*$J1979+1)+INDIRECT("D$"&amp;3+MIN(2,ROUNDDOWN(I1979,0))*3)*(3*$J1979^3-6*$J1979^2+3*$J1979)+INDIRECT("D$"&amp;4+MIN(2,ROUNDDOWN(I1979,0))*3)*(-3*$J1979^3+3*$J1979^2)+INDIRECT("D$"&amp;5+MIN(2,ROUNDDOWN(I1979,0))*3)*$J1979^3</f>
      </c>
      <c r="M1979" s="7">
        <f>SQRT(K1979^2+L1979^2)</f>
      </c>
      <c r="N1979" s="7">
        <f>(K1980-K1978)</f>
      </c>
      <c r="O1979" s="7">
        <f>+(L1980-L1978)</f>
      </c>
      <c r="P1979" s="7">
        <f>SQRT(O1979^2+N1979^2)</f>
      </c>
      <c r="Q1979" s="7">
        <f>N1979/$P1979</f>
      </c>
      <c r="R1979" s="7">
        <f>O1979/$P1979</f>
      </c>
      <c r="S1979" s="8">
        <f>Q1979^2+R1979^2</f>
      </c>
      <c r="T1979" s="7">
        <f>-R1979</f>
      </c>
      <c r="U1979" s="7">
        <f>Q1979</f>
      </c>
      <c r="V1979" s="7">
        <f>($C$14+($C$15-$C$14)/($D$15-$D$14)*(I1979-$D$14))/2</f>
      </c>
      <c r="W1979" s="7">
        <f>($B$22*I1979^4+$C$22*I1979^3+$D$22*I1979^2+$E$22*I1979+$F$22)/2</f>
      </c>
      <c r="X1979" s="7">
        <f>($W1979)*(T1979)</f>
      </c>
      <c r="Y1979" s="7">
        <f>($W1979)*(U1979)</f>
      </c>
      <c r="Z1979" s="7">
        <f>SQRT(X1979^2+Y1979^2)</f>
      </c>
      <c r="AA1979" s="7">
        <f>$K1979+$X1979</f>
      </c>
      <c r="AB1979" s="7">
        <f>$L1979+$Y1979</f>
      </c>
      <c r="AC1979" s="7">
        <f>$K1979-$X1979</f>
      </c>
      <c r="AD1979" s="7">
        <f>$L1979-$Y1979</f>
      </c>
      <c r="AE1979" s="7">
        <f>AA1979/39.3701</f>
      </c>
      <c r="AF1979" s="7">
        <f>AB1979/39.3701</f>
      </c>
      <c r="AG1979" s="7">
        <f>AC1979/39.3701</f>
      </c>
      <c r="AH1979" s="7">
        <f>AD1979/39.3701</f>
      </c>
      <c r="AI1979" s="1"/>
      <c r="AJ1979" s="1"/>
      <c r="AK1979" s="1"/>
      <c r="AL1979" s="1"/>
      <c r="AM1979" s="2"/>
      <c r="AN1979" s="1"/>
      <c r="AO1979" s="1"/>
      <c r="AP1979" s="1"/>
      <c r="AQ1979" s="1"/>
      <c r="AR1979" s="1"/>
      <c r="AS1979" s="1"/>
      <c r="AT1979" s="1"/>
      <c r="AU1979" s="1"/>
      <c r="AV1979" s="1"/>
      <c r="AW1979" s="1"/>
      <c r="AX1979" s="1"/>
      <c r="AY1979" s="1"/>
      <c r="AZ1979" s="1"/>
      <c r="BA1979" s="1"/>
      <c r="BB1979" s="1"/>
      <c r="BC1979" s="1"/>
      <c r="BD1979" s="1"/>
      <c r="BE1979" s="1"/>
    </row>
    <row x14ac:dyDescent="0.25" r="1980" customHeight="1" ht="18.75">
      <c r="A1980" s="1"/>
      <c r="B1980" s="2"/>
      <c r="C1980" s="2"/>
      <c r="D1980" s="2"/>
      <c r="E1980" s="2"/>
      <c r="F1980" s="2"/>
      <c r="G1980" s="1"/>
      <c r="H1980" s="1"/>
      <c r="I1980" s="7">
        <v>1.977</v>
      </c>
      <c r="J1980" s="7">
        <f>IF((I1980-ROUNDDOWN(I1980,0))=0, 0, (I1980-ROUNDDOWN(I1980,0)))</f>
      </c>
      <c r="K1980" s="7">
        <f>INDIRECT("C$"&amp;2+MIN(2,ROUNDDOWN(I1980,0))*3)*(-$J1980^3+3*$J1980^2-3*$J1980+1)+INDIRECT("C$"&amp;3+MIN(2,ROUNDDOWN(I1980,0))*3)*(3*$J1980^3-6*$J1980^2+3*$J1980)+INDIRECT("C$"&amp;4+MIN(2,ROUNDDOWN(I1980,0))*3)*(-3*$J1980^3+3*$J1980^2)+INDIRECT("C$"&amp;5+MIN(2,ROUNDDOWN(I1980,0))*3)*$J1980^3</f>
      </c>
      <c r="L1980" s="7">
        <f>INDIRECT("D$"&amp;2+MIN(2,ROUNDDOWN(I1980,0))*3)*(-$J1980^3+3*$J1980^2-3*$J1980+1)+INDIRECT("D$"&amp;3+MIN(2,ROUNDDOWN(I1980,0))*3)*(3*$J1980^3-6*$J1980^2+3*$J1980)+INDIRECT("D$"&amp;4+MIN(2,ROUNDDOWN(I1980,0))*3)*(-3*$J1980^3+3*$J1980^2)+INDIRECT("D$"&amp;5+MIN(2,ROUNDDOWN(I1980,0))*3)*$J1980^3</f>
      </c>
      <c r="M1980" s="7">
        <f>SQRT(K1980^2+L1980^2)</f>
      </c>
      <c r="N1980" s="7">
        <f>(K1981-K1979)</f>
      </c>
      <c r="O1980" s="7">
        <f>+(L1981-L1979)</f>
      </c>
      <c r="P1980" s="7">
        <f>SQRT(O1980^2+N1980^2)</f>
      </c>
      <c r="Q1980" s="7">
        <f>N1980/$P1980</f>
      </c>
      <c r="R1980" s="7">
        <f>O1980/$P1980</f>
      </c>
      <c r="S1980" s="8">
        <f>Q1980^2+R1980^2</f>
      </c>
      <c r="T1980" s="7">
        <f>-R1980</f>
      </c>
      <c r="U1980" s="7">
        <f>Q1980</f>
      </c>
      <c r="V1980" s="7">
        <f>($C$14+($C$15-$C$14)/($D$15-$D$14)*(I1980-$D$14))/2</f>
      </c>
      <c r="W1980" s="7">
        <f>($B$22*I1980^4+$C$22*I1980^3+$D$22*I1980^2+$E$22*I1980+$F$22)/2</f>
      </c>
      <c r="X1980" s="7">
        <f>($W1980)*(T1980)</f>
      </c>
      <c r="Y1980" s="7">
        <f>($W1980)*(U1980)</f>
      </c>
      <c r="Z1980" s="7">
        <f>SQRT(X1980^2+Y1980^2)</f>
      </c>
      <c r="AA1980" s="7">
        <f>$K1980+$X1980</f>
      </c>
      <c r="AB1980" s="7">
        <f>$L1980+$Y1980</f>
      </c>
      <c r="AC1980" s="7">
        <f>$K1980-$X1980</f>
      </c>
      <c r="AD1980" s="7">
        <f>$L1980-$Y1980</f>
      </c>
      <c r="AE1980" s="7">
        <f>AA1980/39.3701</f>
      </c>
      <c r="AF1980" s="7">
        <f>AB1980/39.3701</f>
      </c>
      <c r="AG1980" s="7">
        <f>AC1980/39.3701</f>
      </c>
      <c r="AH1980" s="7">
        <f>AD1980/39.3701</f>
      </c>
      <c r="AI1980" s="1"/>
      <c r="AJ1980" s="1"/>
      <c r="AK1980" s="1"/>
      <c r="AL1980" s="1"/>
      <c r="AM1980" s="2"/>
      <c r="AN1980" s="1"/>
      <c r="AO1980" s="1"/>
      <c r="AP1980" s="1"/>
      <c r="AQ1980" s="1"/>
      <c r="AR1980" s="1"/>
      <c r="AS1980" s="1"/>
      <c r="AT1980" s="1"/>
      <c r="AU1980" s="1"/>
      <c r="AV1980" s="1"/>
      <c r="AW1980" s="1"/>
      <c r="AX1980" s="1"/>
      <c r="AY1980" s="1"/>
      <c r="AZ1980" s="1"/>
      <c r="BA1980" s="1"/>
      <c r="BB1980" s="1"/>
      <c r="BC1980" s="1"/>
      <c r="BD1980" s="1"/>
      <c r="BE1980" s="1"/>
    </row>
    <row x14ac:dyDescent="0.25" r="1981" customHeight="1" ht="18.75">
      <c r="A1981" s="1"/>
      <c r="B1981" s="2"/>
      <c r="C1981" s="2"/>
      <c r="D1981" s="2"/>
      <c r="E1981" s="2"/>
      <c r="F1981" s="2"/>
      <c r="G1981" s="1"/>
      <c r="H1981" s="1"/>
      <c r="I1981" s="7">
        <v>1.978</v>
      </c>
      <c r="J1981" s="7">
        <f>IF((I1981-ROUNDDOWN(I1981,0))=0, 0, (I1981-ROUNDDOWN(I1981,0)))</f>
      </c>
      <c r="K1981" s="7">
        <f>INDIRECT("C$"&amp;2+MIN(2,ROUNDDOWN(I1981,0))*3)*(-$J1981^3+3*$J1981^2-3*$J1981+1)+INDIRECT("C$"&amp;3+MIN(2,ROUNDDOWN(I1981,0))*3)*(3*$J1981^3-6*$J1981^2+3*$J1981)+INDIRECT("C$"&amp;4+MIN(2,ROUNDDOWN(I1981,0))*3)*(-3*$J1981^3+3*$J1981^2)+INDIRECT("C$"&amp;5+MIN(2,ROUNDDOWN(I1981,0))*3)*$J1981^3</f>
      </c>
      <c r="L1981" s="7">
        <f>INDIRECT("D$"&amp;2+MIN(2,ROUNDDOWN(I1981,0))*3)*(-$J1981^3+3*$J1981^2-3*$J1981+1)+INDIRECT("D$"&amp;3+MIN(2,ROUNDDOWN(I1981,0))*3)*(3*$J1981^3-6*$J1981^2+3*$J1981)+INDIRECT("D$"&amp;4+MIN(2,ROUNDDOWN(I1981,0))*3)*(-3*$J1981^3+3*$J1981^2)+INDIRECT("D$"&amp;5+MIN(2,ROUNDDOWN(I1981,0))*3)*$J1981^3</f>
      </c>
      <c r="M1981" s="7">
        <f>SQRT(K1981^2+L1981^2)</f>
      </c>
      <c r="N1981" s="7">
        <f>(K1982-K1980)</f>
      </c>
      <c r="O1981" s="7">
        <f>+(L1982-L1980)</f>
      </c>
      <c r="P1981" s="7">
        <f>SQRT(O1981^2+N1981^2)</f>
      </c>
      <c r="Q1981" s="7">
        <f>N1981/$P1981</f>
      </c>
      <c r="R1981" s="7">
        <f>O1981/$P1981</f>
      </c>
      <c r="S1981" s="7">
        <f>Q1981^2+R1981^2</f>
      </c>
      <c r="T1981" s="7">
        <f>-R1981</f>
      </c>
      <c r="U1981" s="7">
        <f>Q1981</f>
      </c>
      <c r="V1981" s="7">
        <f>($C$14+($C$15-$C$14)/($D$15-$D$14)*(I1981-$D$14))/2</f>
      </c>
      <c r="W1981" s="7">
        <f>($B$22*I1981^4+$C$22*I1981^3+$D$22*I1981^2+$E$22*I1981+$F$22)/2</f>
      </c>
      <c r="X1981" s="7">
        <f>($W1981)*(T1981)</f>
      </c>
      <c r="Y1981" s="7">
        <f>($W1981)*(U1981)</f>
      </c>
      <c r="Z1981" s="7">
        <f>SQRT(X1981^2+Y1981^2)</f>
      </c>
      <c r="AA1981" s="7">
        <f>$K1981+$X1981</f>
      </c>
      <c r="AB1981" s="7">
        <f>$L1981+$Y1981</f>
      </c>
      <c r="AC1981" s="7">
        <f>$K1981-$X1981</f>
      </c>
      <c r="AD1981" s="7">
        <f>$L1981-$Y1981</f>
      </c>
      <c r="AE1981" s="7">
        <f>AA1981/39.3701</f>
      </c>
      <c r="AF1981" s="7">
        <f>AB1981/39.3701</f>
      </c>
      <c r="AG1981" s="7">
        <f>AC1981/39.3701</f>
      </c>
      <c r="AH1981" s="7">
        <f>AD1981/39.3701</f>
      </c>
      <c r="AI1981" s="1"/>
      <c r="AJ1981" s="1"/>
      <c r="AK1981" s="1"/>
      <c r="AL1981" s="1"/>
      <c r="AM1981" s="2"/>
      <c r="AN1981" s="1"/>
      <c r="AO1981" s="1"/>
      <c r="AP1981" s="1"/>
      <c r="AQ1981" s="1"/>
      <c r="AR1981" s="1"/>
      <c r="AS1981" s="1"/>
      <c r="AT1981" s="1"/>
      <c r="AU1981" s="1"/>
      <c r="AV1981" s="1"/>
      <c r="AW1981" s="1"/>
      <c r="AX1981" s="1"/>
      <c r="AY1981" s="1"/>
      <c r="AZ1981" s="1"/>
      <c r="BA1981" s="1"/>
      <c r="BB1981" s="1"/>
      <c r="BC1981" s="1"/>
      <c r="BD1981" s="1"/>
      <c r="BE1981" s="1"/>
    </row>
    <row x14ac:dyDescent="0.25" r="1982" customHeight="1" ht="18.75">
      <c r="A1982" s="1"/>
      <c r="B1982" s="2"/>
      <c r="C1982" s="2"/>
      <c r="D1982" s="2"/>
      <c r="E1982" s="2"/>
      <c r="F1982" s="2"/>
      <c r="G1982" s="1"/>
      <c r="H1982" s="1"/>
      <c r="I1982" s="7">
        <v>1.979</v>
      </c>
      <c r="J1982" s="7">
        <f>IF((I1982-ROUNDDOWN(I1982,0))=0, 0, (I1982-ROUNDDOWN(I1982,0)))</f>
      </c>
      <c r="K1982" s="7">
        <f>INDIRECT("C$"&amp;2+MIN(2,ROUNDDOWN(I1982,0))*3)*(-$J1982^3+3*$J1982^2-3*$J1982+1)+INDIRECT("C$"&amp;3+MIN(2,ROUNDDOWN(I1982,0))*3)*(3*$J1982^3-6*$J1982^2+3*$J1982)+INDIRECT("C$"&amp;4+MIN(2,ROUNDDOWN(I1982,0))*3)*(-3*$J1982^3+3*$J1982^2)+INDIRECT("C$"&amp;5+MIN(2,ROUNDDOWN(I1982,0))*3)*$J1982^3</f>
      </c>
      <c r="L1982" s="7">
        <f>INDIRECT("D$"&amp;2+MIN(2,ROUNDDOWN(I1982,0))*3)*(-$J1982^3+3*$J1982^2-3*$J1982+1)+INDIRECT("D$"&amp;3+MIN(2,ROUNDDOWN(I1982,0))*3)*(3*$J1982^3-6*$J1982^2+3*$J1982)+INDIRECT("D$"&amp;4+MIN(2,ROUNDDOWN(I1982,0))*3)*(-3*$J1982^3+3*$J1982^2)+INDIRECT("D$"&amp;5+MIN(2,ROUNDDOWN(I1982,0))*3)*$J1982^3</f>
      </c>
      <c r="M1982" s="7">
        <f>SQRT(K1982^2+L1982^2)</f>
      </c>
      <c r="N1982" s="7">
        <f>(K1983-K1981)</f>
      </c>
      <c r="O1982" s="7">
        <f>+(L1983-L1981)</f>
      </c>
      <c r="P1982" s="7">
        <f>SQRT(O1982^2+N1982^2)</f>
      </c>
      <c r="Q1982" s="7">
        <f>N1982/$P1982</f>
      </c>
      <c r="R1982" s="7">
        <f>O1982/$P1982</f>
      </c>
      <c r="S1982" s="8">
        <f>Q1982^2+R1982^2</f>
      </c>
      <c r="T1982" s="7">
        <f>-R1982</f>
      </c>
      <c r="U1982" s="7">
        <f>Q1982</f>
      </c>
      <c r="V1982" s="7">
        <f>($C$14+($C$15-$C$14)/($D$15-$D$14)*(I1982-$D$14))/2</f>
      </c>
      <c r="W1982" s="7">
        <f>($B$22*I1982^4+$C$22*I1982^3+$D$22*I1982^2+$E$22*I1982+$F$22)/2</f>
      </c>
      <c r="X1982" s="7">
        <f>($W1982)*(T1982)</f>
      </c>
      <c r="Y1982" s="7">
        <f>($W1982)*(U1982)</f>
      </c>
      <c r="Z1982" s="7">
        <f>SQRT(X1982^2+Y1982^2)</f>
      </c>
      <c r="AA1982" s="7">
        <f>$K1982+$X1982</f>
      </c>
      <c r="AB1982" s="7">
        <f>$L1982+$Y1982</f>
      </c>
      <c r="AC1982" s="7">
        <f>$K1982-$X1982</f>
      </c>
      <c r="AD1982" s="7">
        <f>$L1982-$Y1982</f>
      </c>
      <c r="AE1982" s="7">
        <f>AA1982/39.3701</f>
      </c>
      <c r="AF1982" s="7">
        <f>AB1982/39.3701</f>
      </c>
      <c r="AG1982" s="7">
        <f>AC1982/39.3701</f>
      </c>
      <c r="AH1982" s="7">
        <f>AD1982/39.3701</f>
      </c>
      <c r="AI1982" s="1"/>
      <c r="AJ1982" s="1"/>
      <c r="AK1982" s="1"/>
      <c r="AL1982" s="1"/>
      <c r="AM1982" s="2"/>
      <c r="AN1982" s="1"/>
      <c r="AO1982" s="1"/>
      <c r="AP1982" s="1"/>
      <c r="AQ1982" s="1"/>
      <c r="AR1982" s="1"/>
      <c r="AS1982" s="1"/>
      <c r="AT1982" s="1"/>
      <c r="AU1982" s="1"/>
      <c r="AV1982" s="1"/>
      <c r="AW1982" s="1"/>
      <c r="AX1982" s="1"/>
      <c r="AY1982" s="1"/>
      <c r="AZ1982" s="1"/>
      <c r="BA1982" s="1"/>
      <c r="BB1982" s="1"/>
      <c r="BC1982" s="1"/>
      <c r="BD1982" s="1"/>
      <c r="BE1982" s="1"/>
    </row>
    <row x14ac:dyDescent="0.25" r="1983" customHeight="1" ht="18.75">
      <c r="A1983" s="1"/>
      <c r="B1983" s="2"/>
      <c r="C1983" s="2"/>
      <c r="D1983" s="2"/>
      <c r="E1983" s="2"/>
      <c r="F1983" s="2"/>
      <c r="G1983" s="1"/>
      <c r="H1983" s="1"/>
      <c r="I1983" s="7">
        <v>1.98</v>
      </c>
      <c r="J1983" s="7">
        <f>IF((I1983-ROUNDDOWN(I1983,0))=0, 0, (I1983-ROUNDDOWN(I1983,0)))</f>
      </c>
      <c r="K1983" s="7">
        <f>INDIRECT("C$"&amp;2+MIN(2,ROUNDDOWN(I1983,0))*3)*(-$J1983^3+3*$J1983^2-3*$J1983+1)+INDIRECT("C$"&amp;3+MIN(2,ROUNDDOWN(I1983,0))*3)*(3*$J1983^3-6*$J1983^2+3*$J1983)+INDIRECT("C$"&amp;4+MIN(2,ROUNDDOWN(I1983,0))*3)*(-3*$J1983^3+3*$J1983^2)+INDIRECT("C$"&amp;5+MIN(2,ROUNDDOWN(I1983,0))*3)*$J1983^3</f>
      </c>
      <c r="L1983" s="7">
        <f>INDIRECT("D$"&amp;2+MIN(2,ROUNDDOWN(I1983,0))*3)*(-$J1983^3+3*$J1983^2-3*$J1983+1)+INDIRECT("D$"&amp;3+MIN(2,ROUNDDOWN(I1983,0))*3)*(3*$J1983^3-6*$J1983^2+3*$J1983)+INDIRECT("D$"&amp;4+MIN(2,ROUNDDOWN(I1983,0))*3)*(-3*$J1983^3+3*$J1983^2)+INDIRECT("D$"&amp;5+MIN(2,ROUNDDOWN(I1983,0))*3)*$J1983^3</f>
      </c>
      <c r="M1983" s="7">
        <f>SQRT(K1983^2+L1983^2)</f>
      </c>
      <c r="N1983" s="7">
        <f>(K1984-K1982)</f>
      </c>
      <c r="O1983" s="7">
        <f>+(L1984-L1982)</f>
      </c>
      <c r="P1983" s="7">
        <f>SQRT(O1983^2+N1983^2)</f>
      </c>
      <c r="Q1983" s="7">
        <f>N1983/$P1983</f>
      </c>
      <c r="R1983" s="7">
        <f>O1983/$P1983</f>
      </c>
      <c r="S1983" s="8">
        <f>Q1983^2+R1983^2</f>
      </c>
      <c r="T1983" s="7">
        <f>-R1983</f>
      </c>
      <c r="U1983" s="7">
        <f>Q1983</f>
      </c>
      <c r="V1983" s="7">
        <f>($C$14+($C$15-$C$14)/($D$15-$D$14)*(I1983-$D$14))/2</f>
      </c>
      <c r="W1983" s="7">
        <f>($B$22*I1983^4+$C$22*I1983^3+$D$22*I1983^2+$E$22*I1983+$F$22)/2</f>
      </c>
      <c r="X1983" s="7">
        <f>($W1983)*(T1983)</f>
      </c>
      <c r="Y1983" s="7">
        <f>($W1983)*(U1983)</f>
      </c>
      <c r="Z1983" s="7">
        <f>SQRT(X1983^2+Y1983^2)</f>
      </c>
      <c r="AA1983" s="7">
        <f>$K1983+$X1983</f>
      </c>
      <c r="AB1983" s="7">
        <f>$L1983+$Y1983</f>
      </c>
      <c r="AC1983" s="7">
        <f>$K1983-$X1983</f>
      </c>
      <c r="AD1983" s="7">
        <f>$L1983-$Y1983</f>
      </c>
      <c r="AE1983" s="7">
        <f>AA1983/39.3701</f>
      </c>
      <c r="AF1983" s="7">
        <f>AB1983/39.3701</f>
      </c>
      <c r="AG1983" s="7">
        <f>AC1983/39.3701</f>
      </c>
      <c r="AH1983" s="7">
        <f>AD1983/39.3701</f>
      </c>
      <c r="AI1983" s="1"/>
      <c r="AJ1983" s="1"/>
      <c r="AK1983" s="1"/>
      <c r="AL1983" s="1"/>
      <c r="AM1983" s="2"/>
      <c r="AN1983" s="1"/>
      <c r="AO1983" s="1"/>
      <c r="AP1983" s="1"/>
      <c r="AQ1983" s="1"/>
      <c r="AR1983" s="1"/>
      <c r="AS1983" s="1"/>
      <c r="AT1983" s="1"/>
      <c r="AU1983" s="1"/>
      <c r="AV1983" s="1"/>
      <c r="AW1983" s="1"/>
      <c r="AX1983" s="1"/>
      <c r="AY1983" s="1"/>
      <c r="AZ1983" s="1"/>
      <c r="BA1983" s="1"/>
      <c r="BB1983" s="1"/>
      <c r="BC1983" s="1"/>
      <c r="BD1983" s="1"/>
      <c r="BE1983" s="1"/>
    </row>
    <row x14ac:dyDescent="0.25" r="1984" customHeight="1" ht="18.75">
      <c r="A1984" s="1"/>
      <c r="B1984" s="2"/>
      <c r="C1984" s="2"/>
      <c r="D1984" s="2"/>
      <c r="E1984" s="2"/>
      <c r="F1984" s="2"/>
      <c r="G1984" s="1"/>
      <c r="H1984" s="1"/>
      <c r="I1984" s="7">
        <v>1.981</v>
      </c>
      <c r="J1984" s="7">
        <f>IF((I1984-ROUNDDOWN(I1984,0))=0, 0, (I1984-ROUNDDOWN(I1984,0)))</f>
      </c>
      <c r="K1984" s="7">
        <f>INDIRECT("C$"&amp;2+MIN(2,ROUNDDOWN(I1984,0))*3)*(-$J1984^3+3*$J1984^2-3*$J1984+1)+INDIRECT("C$"&amp;3+MIN(2,ROUNDDOWN(I1984,0))*3)*(3*$J1984^3-6*$J1984^2+3*$J1984)+INDIRECT("C$"&amp;4+MIN(2,ROUNDDOWN(I1984,0))*3)*(-3*$J1984^3+3*$J1984^2)+INDIRECT("C$"&amp;5+MIN(2,ROUNDDOWN(I1984,0))*3)*$J1984^3</f>
      </c>
      <c r="L1984" s="7">
        <f>INDIRECT("D$"&amp;2+MIN(2,ROUNDDOWN(I1984,0))*3)*(-$J1984^3+3*$J1984^2-3*$J1984+1)+INDIRECT("D$"&amp;3+MIN(2,ROUNDDOWN(I1984,0))*3)*(3*$J1984^3-6*$J1984^2+3*$J1984)+INDIRECT("D$"&amp;4+MIN(2,ROUNDDOWN(I1984,0))*3)*(-3*$J1984^3+3*$J1984^2)+INDIRECT("D$"&amp;5+MIN(2,ROUNDDOWN(I1984,0))*3)*$J1984^3</f>
      </c>
      <c r="M1984" s="7">
        <f>SQRT(K1984^2+L1984^2)</f>
      </c>
      <c r="N1984" s="7">
        <f>(K1985-K1983)</f>
      </c>
      <c r="O1984" s="7">
        <f>+(L1985-L1983)</f>
      </c>
      <c r="P1984" s="7">
        <f>SQRT(O1984^2+N1984^2)</f>
      </c>
      <c r="Q1984" s="7">
        <f>N1984/$P1984</f>
      </c>
      <c r="R1984" s="7">
        <f>O1984/$P1984</f>
      </c>
      <c r="S1984" s="8">
        <f>Q1984^2+R1984^2</f>
      </c>
      <c r="T1984" s="7">
        <f>-R1984</f>
      </c>
      <c r="U1984" s="7">
        <f>Q1984</f>
      </c>
      <c r="V1984" s="7">
        <f>($C$14+($C$15-$C$14)/($D$15-$D$14)*(I1984-$D$14))/2</f>
      </c>
      <c r="W1984" s="7">
        <f>($B$22*I1984^4+$C$22*I1984^3+$D$22*I1984^2+$E$22*I1984+$F$22)/2</f>
      </c>
      <c r="X1984" s="7">
        <f>($W1984)*(T1984)</f>
      </c>
      <c r="Y1984" s="7">
        <f>($W1984)*(U1984)</f>
      </c>
      <c r="Z1984" s="7">
        <f>SQRT(X1984^2+Y1984^2)</f>
      </c>
      <c r="AA1984" s="7">
        <f>$K1984+$X1984</f>
      </c>
      <c r="AB1984" s="7">
        <f>$L1984+$Y1984</f>
      </c>
      <c r="AC1984" s="7">
        <f>$K1984-$X1984</f>
      </c>
      <c r="AD1984" s="7">
        <f>$L1984-$Y1984</f>
      </c>
      <c r="AE1984" s="7">
        <f>AA1984/39.3701</f>
      </c>
      <c r="AF1984" s="7">
        <f>AB1984/39.3701</f>
      </c>
      <c r="AG1984" s="7">
        <f>AC1984/39.3701</f>
      </c>
      <c r="AH1984" s="7">
        <f>AD1984/39.3701</f>
      </c>
      <c r="AI1984" s="1"/>
      <c r="AJ1984" s="1"/>
      <c r="AK1984" s="1"/>
      <c r="AL1984" s="1"/>
      <c r="AM1984" s="2"/>
      <c r="AN1984" s="1"/>
      <c r="AO1984" s="1"/>
      <c r="AP1984" s="1"/>
      <c r="AQ1984" s="1"/>
      <c r="AR1984" s="1"/>
      <c r="AS1984" s="1"/>
      <c r="AT1984" s="1"/>
      <c r="AU1984" s="1"/>
      <c r="AV1984" s="1"/>
      <c r="AW1984" s="1"/>
      <c r="AX1984" s="1"/>
      <c r="AY1984" s="1"/>
      <c r="AZ1984" s="1"/>
      <c r="BA1984" s="1"/>
      <c r="BB1984" s="1"/>
      <c r="BC1984" s="1"/>
      <c r="BD1984" s="1"/>
      <c r="BE1984" s="1"/>
    </row>
    <row x14ac:dyDescent="0.25" r="1985" customHeight="1" ht="18.75">
      <c r="A1985" s="1"/>
      <c r="B1985" s="2"/>
      <c r="C1985" s="2"/>
      <c r="D1985" s="2"/>
      <c r="E1985" s="2"/>
      <c r="F1985" s="2"/>
      <c r="G1985" s="1"/>
      <c r="H1985" s="1"/>
      <c r="I1985" s="7">
        <v>1.982</v>
      </c>
      <c r="J1985" s="7">
        <f>IF((I1985-ROUNDDOWN(I1985,0))=0, 0, (I1985-ROUNDDOWN(I1985,0)))</f>
      </c>
      <c r="K1985" s="7">
        <f>INDIRECT("C$"&amp;2+MIN(2,ROUNDDOWN(I1985,0))*3)*(-$J1985^3+3*$J1985^2-3*$J1985+1)+INDIRECT("C$"&amp;3+MIN(2,ROUNDDOWN(I1985,0))*3)*(3*$J1985^3-6*$J1985^2+3*$J1985)+INDIRECT("C$"&amp;4+MIN(2,ROUNDDOWN(I1985,0))*3)*(-3*$J1985^3+3*$J1985^2)+INDIRECT("C$"&amp;5+MIN(2,ROUNDDOWN(I1985,0))*3)*$J1985^3</f>
      </c>
      <c r="L1985" s="7">
        <f>INDIRECT("D$"&amp;2+MIN(2,ROUNDDOWN(I1985,0))*3)*(-$J1985^3+3*$J1985^2-3*$J1985+1)+INDIRECT("D$"&amp;3+MIN(2,ROUNDDOWN(I1985,0))*3)*(3*$J1985^3-6*$J1985^2+3*$J1985)+INDIRECT("D$"&amp;4+MIN(2,ROUNDDOWN(I1985,0))*3)*(-3*$J1985^3+3*$J1985^2)+INDIRECT("D$"&amp;5+MIN(2,ROUNDDOWN(I1985,0))*3)*$J1985^3</f>
      </c>
      <c r="M1985" s="7">
        <f>SQRT(K1985^2+L1985^2)</f>
      </c>
      <c r="N1985" s="7">
        <f>(K1986-K1984)</f>
      </c>
      <c r="O1985" s="7">
        <f>+(L1986-L1984)</f>
      </c>
      <c r="P1985" s="7">
        <f>SQRT(O1985^2+N1985^2)</f>
      </c>
      <c r="Q1985" s="7">
        <f>N1985/$P1985</f>
      </c>
      <c r="R1985" s="7">
        <f>O1985/$P1985</f>
      </c>
      <c r="S1985" s="8">
        <f>Q1985^2+R1985^2</f>
      </c>
      <c r="T1985" s="7">
        <f>-R1985</f>
      </c>
      <c r="U1985" s="7">
        <f>Q1985</f>
      </c>
      <c r="V1985" s="7">
        <f>($C$14+($C$15-$C$14)/($D$15-$D$14)*(I1985-$D$14))/2</f>
      </c>
      <c r="W1985" s="7">
        <f>($B$22*I1985^4+$C$22*I1985^3+$D$22*I1985^2+$E$22*I1985+$F$22)/2</f>
      </c>
      <c r="X1985" s="7">
        <f>($W1985)*(T1985)</f>
      </c>
      <c r="Y1985" s="7">
        <f>($W1985)*(U1985)</f>
      </c>
      <c r="Z1985" s="7">
        <f>SQRT(X1985^2+Y1985^2)</f>
      </c>
      <c r="AA1985" s="7">
        <f>$K1985+$X1985</f>
      </c>
      <c r="AB1985" s="7">
        <f>$L1985+$Y1985</f>
      </c>
      <c r="AC1985" s="7">
        <f>$K1985-$X1985</f>
      </c>
      <c r="AD1985" s="7">
        <f>$L1985-$Y1985</f>
      </c>
      <c r="AE1985" s="7">
        <f>AA1985/39.3701</f>
      </c>
      <c r="AF1985" s="7">
        <f>AB1985/39.3701</f>
      </c>
      <c r="AG1985" s="7">
        <f>AC1985/39.3701</f>
      </c>
      <c r="AH1985" s="7">
        <f>AD1985/39.3701</f>
      </c>
      <c r="AI1985" s="1"/>
      <c r="AJ1985" s="1"/>
      <c r="AK1985" s="1"/>
      <c r="AL1985" s="1"/>
      <c r="AM1985" s="2"/>
      <c r="AN1985" s="1"/>
      <c r="AO1985" s="1"/>
      <c r="AP1985" s="1"/>
      <c r="AQ1985" s="1"/>
      <c r="AR1985" s="1"/>
      <c r="AS1985" s="1"/>
      <c r="AT1985" s="1"/>
      <c r="AU1985" s="1"/>
      <c r="AV1985" s="1"/>
      <c r="AW1985" s="1"/>
      <c r="AX1985" s="1"/>
      <c r="AY1985" s="1"/>
      <c r="AZ1985" s="1"/>
      <c r="BA1985" s="1"/>
      <c r="BB1985" s="1"/>
      <c r="BC1985" s="1"/>
      <c r="BD1985" s="1"/>
      <c r="BE1985" s="1"/>
    </row>
    <row x14ac:dyDescent="0.25" r="1986" customHeight="1" ht="18.75">
      <c r="A1986" s="1"/>
      <c r="B1986" s="2"/>
      <c r="C1986" s="2"/>
      <c r="D1986" s="2"/>
      <c r="E1986" s="2"/>
      <c r="F1986" s="2"/>
      <c r="G1986" s="1"/>
      <c r="H1986" s="1"/>
      <c r="I1986" s="7">
        <v>1.983</v>
      </c>
      <c r="J1986" s="7">
        <f>IF((I1986-ROUNDDOWN(I1986,0))=0, 0, (I1986-ROUNDDOWN(I1986,0)))</f>
      </c>
      <c r="K1986" s="7">
        <f>INDIRECT("C$"&amp;2+MIN(2,ROUNDDOWN(I1986,0))*3)*(-$J1986^3+3*$J1986^2-3*$J1986+1)+INDIRECT("C$"&amp;3+MIN(2,ROUNDDOWN(I1986,0))*3)*(3*$J1986^3-6*$J1986^2+3*$J1986)+INDIRECT("C$"&amp;4+MIN(2,ROUNDDOWN(I1986,0))*3)*(-3*$J1986^3+3*$J1986^2)+INDIRECT("C$"&amp;5+MIN(2,ROUNDDOWN(I1986,0))*3)*$J1986^3</f>
      </c>
      <c r="L1986" s="7">
        <f>INDIRECT("D$"&amp;2+MIN(2,ROUNDDOWN(I1986,0))*3)*(-$J1986^3+3*$J1986^2-3*$J1986+1)+INDIRECT("D$"&amp;3+MIN(2,ROUNDDOWN(I1986,0))*3)*(3*$J1986^3-6*$J1986^2+3*$J1986)+INDIRECT("D$"&amp;4+MIN(2,ROUNDDOWN(I1986,0))*3)*(-3*$J1986^3+3*$J1986^2)+INDIRECT("D$"&amp;5+MIN(2,ROUNDDOWN(I1986,0))*3)*$J1986^3</f>
      </c>
      <c r="M1986" s="7">
        <f>SQRT(K1986^2+L1986^2)</f>
      </c>
      <c r="N1986" s="7">
        <f>(K1987-K1985)</f>
      </c>
      <c r="O1986" s="7">
        <f>+(L1987-L1985)</f>
      </c>
      <c r="P1986" s="7">
        <f>SQRT(O1986^2+N1986^2)</f>
      </c>
      <c r="Q1986" s="7">
        <f>N1986/$P1986</f>
      </c>
      <c r="R1986" s="7">
        <f>O1986/$P1986</f>
      </c>
      <c r="S1986" s="7">
        <f>Q1986^2+R1986^2</f>
      </c>
      <c r="T1986" s="7">
        <f>-R1986</f>
      </c>
      <c r="U1986" s="7">
        <f>Q1986</f>
      </c>
      <c r="V1986" s="7">
        <f>($C$14+($C$15-$C$14)/($D$15-$D$14)*(I1986-$D$14))/2</f>
      </c>
      <c r="W1986" s="7">
        <f>($B$22*I1986^4+$C$22*I1986^3+$D$22*I1986^2+$E$22*I1986+$F$22)/2</f>
      </c>
      <c r="X1986" s="7">
        <f>($W1986)*(T1986)</f>
      </c>
      <c r="Y1986" s="7">
        <f>($W1986)*(U1986)</f>
      </c>
      <c r="Z1986" s="7">
        <f>SQRT(X1986^2+Y1986^2)</f>
      </c>
      <c r="AA1986" s="7">
        <f>$K1986+$X1986</f>
      </c>
      <c r="AB1986" s="7">
        <f>$L1986+$Y1986</f>
      </c>
      <c r="AC1986" s="7">
        <f>$K1986-$X1986</f>
      </c>
      <c r="AD1986" s="7">
        <f>$L1986-$Y1986</f>
      </c>
      <c r="AE1986" s="7">
        <f>AA1986/39.3701</f>
      </c>
      <c r="AF1986" s="7">
        <f>AB1986/39.3701</f>
      </c>
      <c r="AG1986" s="7">
        <f>AC1986/39.3701</f>
      </c>
      <c r="AH1986" s="7">
        <f>AD1986/39.3701</f>
      </c>
      <c r="AI1986" s="1"/>
      <c r="AJ1986" s="1"/>
      <c r="AK1986" s="1"/>
      <c r="AL1986" s="1"/>
      <c r="AM1986" s="2"/>
      <c r="AN1986" s="1"/>
      <c r="AO1986" s="1"/>
      <c r="AP1986" s="1"/>
      <c r="AQ1986" s="1"/>
      <c r="AR1986" s="1"/>
      <c r="AS1986" s="1"/>
      <c r="AT1986" s="1"/>
      <c r="AU1986" s="1"/>
      <c r="AV1986" s="1"/>
      <c r="AW1986" s="1"/>
      <c r="AX1986" s="1"/>
      <c r="AY1986" s="1"/>
      <c r="AZ1986" s="1"/>
      <c r="BA1986" s="1"/>
      <c r="BB1986" s="1"/>
      <c r="BC1986" s="1"/>
      <c r="BD1986" s="1"/>
      <c r="BE1986" s="1"/>
    </row>
    <row x14ac:dyDescent="0.25" r="1987" customHeight="1" ht="18.75">
      <c r="A1987" s="1"/>
      <c r="B1987" s="2"/>
      <c r="C1987" s="2"/>
      <c r="D1987" s="2"/>
      <c r="E1987" s="2"/>
      <c r="F1987" s="2"/>
      <c r="G1987" s="1"/>
      <c r="H1987" s="1"/>
      <c r="I1987" s="7">
        <v>1.984</v>
      </c>
      <c r="J1987" s="7">
        <f>IF((I1987-ROUNDDOWN(I1987,0))=0, 0, (I1987-ROUNDDOWN(I1987,0)))</f>
      </c>
      <c r="K1987" s="7">
        <f>INDIRECT("C$"&amp;2+MIN(2,ROUNDDOWN(I1987,0))*3)*(-$J1987^3+3*$J1987^2-3*$J1987+1)+INDIRECT("C$"&amp;3+MIN(2,ROUNDDOWN(I1987,0))*3)*(3*$J1987^3-6*$J1987^2+3*$J1987)+INDIRECT("C$"&amp;4+MIN(2,ROUNDDOWN(I1987,0))*3)*(-3*$J1987^3+3*$J1987^2)+INDIRECT("C$"&amp;5+MIN(2,ROUNDDOWN(I1987,0))*3)*$J1987^3</f>
      </c>
      <c r="L1987" s="7">
        <f>INDIRECT("D$"&amp;2+MIN(2,ROUNDDOWN(I1987,0))*3)*(-$J1987^3+3*$J1987^2-3*$J1987+1)+INDIRECT("D$"&amp;3+MIN(2,ROUNDDOWN(I1987,0))*3)*(3*$J1987^3-6*$J1987^2+3*$J1987)+INDIRECT("D$"&amp;4+MIN(2,ROUNDDOWN(I1987,0))*3)*(-3*$J1987^3+3*$J1987^2)+INDIRECT("D$"&amp;5+MIN(2,ROUNDDOWN(I1987,0))*3)*$J1987^3</f>
      </c>
      <c r="M1987" s="7">
        <f>SQRT(K1987^2+L1987^2)</f>
      </c>
      <c r="N1987" s="7">
        <f>(K1988-K1986)</f>
      </c>
      <c r="O1987" s="7">
        <f>+(L1988-L1986)</f>
      </c>
      <c r="P1987" s="7">
        <f>SQRT(O1987^2+N1987^2)</f>
      </c>
      <c r="Q1987" s="7">
        <f>N1987/$P1987</f>
      </c>
      <c r="R1987" s="7">
        <f>O1987/$P1987</f>
      </c>
      <c r="S1987" s="7">
        <f>Q1987^2+R1987^2</f>
      </c>
      <c r="T1987" s="7">
        <f>-R1987</f>
      </c>
      <c r="U1987" s="7">
        <f>Q1987</f>
      </c>
      <c r="V1987" s="7">
        <f>($C$14+($C$15-$C$14)/($D$15-$D$14)*(I1987-$D$14))/2</f>
      </c>
      <c r="W1987" s="7">
        <f>($B$22*I1987^4+$C$22*I1987^3+$D$22*I1987^2+$E$22*I1987+$F$22)/2</f>
      </c>
      <c r="X1987" s="7">
        <f>($W1987)*(T1987)</f>
      </c>
      <c r="Y1987" s="7">
        <f>($W1987)*(U1987)</f>
      </c>
      <c r="Z1987" s="7">
        <f>SQRT(X1987^2+Y1987^2)</f>
      </c>
      <c r="AA1987" s="7">
        <f>$K1987+$X1987</f>
      </c>
      <c r="AB1987" s="7">
        <f>$L1987+$Y1987</f>
      </c>
      <c r="AC1987" s="7">
        <f>$K1987-$X1987</f>
      </c>
      <c r="AD1987" s="7">
        <f>$L1987-$Y1987</f>
      </c>
      <c r="AE1987" s="7">
        <f>AA1987/39.3701</f>
      </c>
      <c r="AF1987" s="7">
        <f>AB1987/39.3701</f>
      </c>
      <c r="AG1987" s="7">
        <f>AC1987/39.3701</f>
      </c>
      <c r="AH1987" s="7">
        <f>AD1987/39.3701</f>
      </c>
      <c r="AI1987" s="1"/>
      <c r="AJ1987" s="1"/>
      <c r="AK1987" s="1"/>
      <c r="AL1987" s="1"/>
      <c r="AM1987" s="2"/>
      <c r="AN1987" s="1"/>
      <c r="AO1987" s="1"/>
      <c r="AP1987" s="1"/>
      <c r="AQ1987" s="1"/>
      <c r="AR1987" s="1"/>
      <c r="AS1987" s="1"/>
      <c r="AT1987" s="1"/>
      <c r="AU1987" s="1"/>
      <c r="AV1987" s="1"/>
      <c r="AW1987" s="1"/>
      <c r="AX1987" s="1"/>
      <c r="AY1987" s="1"/>
      <c r="AZ1987" s="1"/>
      <c r="BA1987" s="1"/>
      <c r="BB1987" s="1"/>
      <c r="BC1987" s="1"/>
      <c r="BD1987" s="1"/>
      <c r="BE1987" s="1"/>
    </row>
    <row x14ac:dyDescent="0.25" r="1988" customHeight="1" ht="18.75">
      <c r="A1988" s="1"/>
      <c r="B1988" s="2"/>
      <c r="C1988" s="2"/>
      <c r="D1988" s="2"/>
      <c r="E1988" s="2"/>
      <c r="F1988" s="2"/>
      <c r="G1988" s="1"/>
      <c r="H1988" s="1"/>
      <c r="I1988" s="7">
        <v>1.985</v>
      </c>
      <c r="J1988" s="7">
        <f>IF((I1988-ROUNDDOWN(I1988,0))=0, 0, (I1988-ROUNDDOWN(I1988,0)))</f>
      </c>
      <c r="K1988" s="7">
        <f>INDIRECT("C$"&amp;2+MIN(2,ROUNDDOWN(I1988,0))*3)*(-$J1988^3+3*$J1988^2-3*$J1988+1)+INDIRECT("C$"&amp;3+MIN(2,ROUNDDOWN(I1988,0))*3)*(3*$J1988^3-6*$J1988^2+3*$J1988)+INDIRECT("C$"&amp;4+MIN(2,ROUNDDOWN(I1988,0))*3)*(-3*$J1988^3+3*$J1988^2)+INDIRECT("C$"&amp;5+MIN(2,ROUNDDOWN(I1988,0))*3)*$J1988^3</f>
      </c>
      <c r="L1988" s="7">
        <f>INDIRECT("D$"&amp;2+MIN(2,ROUNDDOWN(I1988,0))*3)*(-$J1988^3+3*$J1988^2-3*$J1988+1)+INDIRECT("D$"&amp;3+MIN(2,ROUNDDOWN(I1988,0))*3)*(3*$J1988^3-6*$J1988^2+3*$J1988)+INDIRECT("D$"&amp;4+MIN(2,ROUNDDOWN(I1988,0))*3)*(-3*$J1988^3+3*$J1988^2)+INDIRECT("D$"&amp;5+MIN(2,ROUNDDOWN(I1988,0))*3)*$J1988^3</f>
      </c>
      <c r="M1988" s="7">
        <f>SQRT(K1988^2+L1988^2)</f>
      </c>
      <c r="N1988" s="7">
        <f>(K1989-K1987)</f>
      </c>
      <c r="O1988" s="7">
        <f>+(L1989-L1987)</f>
      </c>
      <c r="P1988" s="7">
        <f>SQRT(O1988^2+N1988^2)</f>
      </c>
      <c r="Q1988" s="7">
        <f>N1988/$P1988</f>
      </c>
      <c r="R1988" s="7">
        <f>O1988/$P1988</f>
      </c>
      <c r="S1988" s="8">
        <f>Q1988^2+R1988^2</f>
      </c>
      <c r="T1988" s="7">
        <f>-R1988</f>
      </c>
      <c r="U1988" s="7">
        <f>Q1988</f>
      </c>
      <c r="V1988" s="7">
        <f>($C$14+($C$15-$C$14)/($D$15-$D$14)*(I1988-$D$14))/2</f>
      </c>
      <c r="W1988" s="7">
        <f>($B$22*I1988^4+$C$22*I1988^3+$D$22*I1988^2+$E$22*I1988+$F$22)/2</f>
      </c>
      <c r="X1988" s="7">
        <f>($W1988)*(T1988)</f>
      </c>
      <c r="Y1988" s="7">
        <f>($W1988)*(U1988)</f>
      </c>
      <c r="Z1988" s="7">
        <f>SQRT(X1988^2+Y1988^2)</f>
      </c>
      <c r="AA1988" s="7">
        <f>$K1988+$X1988</f>
      </c>
      <c r="AB1988" s="7">
        <f>$L1988+$Y1988</f>
      </c>
      <c r="AC1988" s="7">
        <f>$K1988-$X1988</f>
      </c>
      <c r="AD1988" s="7">
        <f>$L1988-$Y1988</f>
      </c>
      <c r="AE1988" s="7">
        <f>AA1988/39.3701</f>
      </c>
      <c r="AF1988" s="7">
        <f>AB1988/39.3701</f>
      </c>
      <c r="AG1988" s="7">
        <f>AC1988/39.3701</f>
      </c>
      <c r="AH1988" s="7">
        <f>AD1988/39.3701</f>
      </c>
      <c r="AI1988" s="1"/>
      <c r="AJ1988" s="1"/>
      <c r="AK1988" s="1"/>
      <c r="AL1988" s="1"/>
      <c r="AM1988" s="2"/>
      <c r="AN1988" s="1"/>
      <c r="AO1988" s="1"/>
      <c r="AP1988" s="1"/>
      <c r="AQ1988" s="1"/>
      <c r="AR1988" s="1"/>
      <c r="AS1988" s="1"/>
      <c r="AT1988" s="1"/>
      <c r="AU1988" s="1"/>
      <c r="AV1988" s="1"/>
      <c r="AW1988" s="1"/>
      <c r="AX1988" s="1"/>
      <c r="AY1988" s="1"/>
      <c r="AZ1988" s="1"/>
      <c r="BA1988" s="1"/>
      <c r="BB1988" s="1"/>
      <c r="BC1988" s="1"/>
      <c r="BD1988" s="1"/>
      <c r="BE1988" s="1"/>
    </row>
    <row x14ac:dyDescent="0.25" r="1989" customHeight="1" ht="18.75">
      <c r="A1989" s="1"/>
      <c r="B1989" s="2"/>
      <c r="C1989" s="2"/>
      <c r="D1989" s="2"/>
      <c r="E1989" s="2"/>
      <c r="F1989" s="2"/>
      <c r="G1989" s="1"/>
      <c r="H1989" s="1"/>
      <c r="I1989" s="7">
        <v>1.986</v>
      </c>
      <c r="J1989" s="7">
        <f>IF((I1989-ROUNDDOWN(I1989,0))=0, 0, (I1989-ROUNDDOWN(I1989,0)))</f>
      </c>
      <c r="K1989" s="7">
        <f>INDIRECT("C$"&amp;2+MIN(2,ROUNDDOWN(I1989,0))*3)*(-$J1989^3+3*$J1989^2-3*$J1989+1)+INDIRECT("C$"&amp;3+MIN(2,ROUNDDOWN(I1989,0))*3)*(3*$J1989^3-6*$J1989^2+3*$J1989)+INDIRECT("C$"&amp;4+MIN(2,ROUNDDOWN(I1989,0))*3)*(-3*$J1989^3+3*$J1989^2)+INDIRECT("C$"&amp;5+MIN(2,ROUNDDOWN(I1989,0))*3)*$J1989^3</f>
      </c>
      <c r="L1989" s="7">
        <f>INDIRECT("D$"&amp;2+MIN(2,ROUNDDOWN(I1989,0))*3)*(-$J1989^3+3*$J1989^2-3*$J1989+1)+INDIRECT("D$"&amp;3+MIN(2,ROUNDDOWN(I1989,0))*3)*(3*$J1989^3-6*$J1989^2+3*$J1989)+INDIRECT("D$"&amp;4+MIN(2,ROUNDDOWN(I1989,0))*3)*(-3*$J1989^3+3*$J1989^2)+INDIRECT("D$"&amp;5+MIN(2,ROUNDDOWN(I1989,0))*3)*$J1989^3</f>
      </c>
      <c r="M1989" s="7">
        <f>SQRT(K1989^2+L1989^2)</f>
      </c>
      <c r="N1989" s="7">
        <f>(K1990-K1988)</f>
      </c>
      <c r="O1989" s="7">
        <f>+(L1990-L1988)</f>
      </c>
      <c r="P1989" s="7">
        <f>SQRT(O1989^2+N1989^2)</f>
      </c>
      <c r="Q1989" s="7">
        <f>N1989/$P1989</f>
      </c>
      <c r="R1989" s="7">
        <f>O1989/$P1989</f>
      </c>
      <c r="S1989" s="7">
        <f>Q1989^2+R1989^2</f>
      </c>
      <c r="T1989" s="7">
        <f>-R1989</f>
      </c>
      <c r="U1989" s="7">
        <f>Q1989</f>
      </c>
      <c r="V1989" s="7">
        <f>($C$14+($C$15-$C$14)/($D$15-$D$14)*(I1989-$D$14))/2</f>
      </c>
      <c r="W1989" s="7">
        <f>($B$22*I1989^4+$C$22*I1989^3+$D$22*I1989^2+$E$22*I1989+$F$22)/2</f>
      </c>
      <c r="X1989" s="7">
        <f>($W1989)*(T1989)</f>
      </c>
      <c r="Y1989" s="7">
        <f>($W1989)*(U1989)</f>
      </c>
      <c r="Z1989" s="7">
        <f>SQRT(X1989^2+Y1989^2)</f>
      </c>
      <c r="AA1989" s="7">
        <f>$K1989+$X1989</f>
      </c>
      <c r="AB1989" s="7">
        <f>$L1989+$Y1989</f>
      </c>
      <c r="AC1989" s="7">
        <f>$K1989-$X1989</f>
      </c>
      <c r="AD1989" s="7">
        <f>$L1989-$Y1989</f>
      </c>
      <c r="AE1989" s="7">
        <f>AA1989/39.3701</f>
      </c>
      <c r="AF1989" s="7">
        <f>AB1989/39.3701</f>
      </c>
      <c r="AG1989" s="7">
        <f>AC1989/39.3701</f>
      </c>
      <c r="AH1989" s="7">
        <f>AD1989/39.3701</f>
      </c>
      <c r="AI1989" s="1"/>
      <c r="AJ1989" s="1"/>
      <c r="AK1989" s="1"/>
      <c r="AL1989" s="1"/>
      <c r="AM1989" s="2"/>
      <c r="AN1989" s="1"/>
      <c r="AO1989" s="1"/>
      <c r="AP1989" s="1"/>
      <c r="AQ1989" s="1"/>
      <c r="AR1989" s="1"/>
      <c r="AS1989" s="1"/>
      <c r="AT1989" s="1"/>
      <c r="AU1989" s="1"/>
      <c r="AV1989" s="1"/>
      <c r="AW1989" s="1"/>
      <c r="AX1989" s="1"/>
      <c r="AY1989" s="1"/>
      <c r="AZ1989" s="1"/>
      <c r="BA1989" s="1"/>
      <c r="BB1989" s="1"/>
      <c r="BC1989" s="1"/>
      <c r="BD1989" s="1"/>
      <c r="BE1989" s="1"/>
    </row>
    <row x14ac:dyDescent="0.25" r="1990" customHeight="1" ht="18.75">
      <c r="A1990" s="1"/>
      <c r="B1990" s="2"/>
      <c r="C1990" s="2"/>
      <c r="D1990" s="2"/>
      <c r="E1990" s="2"/>
      <c r="F1990" s="2"/>
      <c r="G1990" s="1"/>
      <c r="H1990" s="1"/>
      <c r="I1990" s="7">
        <v>1.987</v>
      </c>
      <c r="J1990" s="7">
        <f>IF((I1990-ROUNDDOWN(I1990,0))=0, 0, (I1990-ROUNDDOWN(I1990,0)))</f>
      </c>
      <c r="K1990" s="7">
        <f>INDIRECT("C$"&amp;2+MIN(2,ROUNDDOWN(I1990,0))*3)*(-$J1990^3+3*$J1990^2-3*$J1990+1)+INDIRECT("C$"&amp;3+MIN(2,ROUNDDOWN(I1990,0))*3)*(3*$J1990^3-6*$J1990^2+3*$J1990)+INDIRECT("C$"&amp;4+MIN(2,ROUNDDOWN(I1990,0))*3)*(-3*$J1990^3+3*$J1990^2)+INDIRECT("C$"&amp;5+MIN(2,ROUNDDOWN(I1990,0))*3)*$J1990^3</f>
      </c>
      <c r="L1990" s="7">
        <f>INDIRECT("D$"&amp;2+MIN(2,ROUNDDOWN(I1990,0))*3)*(-$J1990^3+3*$J1990^2-3*$J1990+1)+INDIRECT("D$"&amp;3+MIN(2,ROUNDDOWN(I1990,0))*3)*(3*$J1990^3-6*$J1990^2+3*$J1990)+INDIRECT("D$"&amp;4+MIN(2,ROUNDDOWN(I1990,0))*3)*(-3*$J1990^3+3*$J1990^2)+INDIRECT("D$"&amp;5+MIN(2,ROUNDDOWN(I1990,0))*3)*$J1990^3</f>
      </c>
      <c r="M1990" s="7">
        <f>SQRT(K1990^2+L1990^2)</f>
      </c>
      <c r="N1990" s="7">
        <f>(K1991-K1989)</f>
      </c>
      <c r="O1990" s="7">
        <f>+(L1991-L1989)</f>
      </c>
      <c r="P1990" s="7">
        <f>SQRT(O1990^2+N1990^2)</f>
      </c>
      <c r="Q1990" s="7">
        <f>N1990/$P1990</f>
      </c>
      <c r="R1990" s="7">
        <f>O1990/$P1990</f>
      </c>
      <c r="S1990" s="7">
        <f>Q1990^2+R1990^2</f>
      </c>
      <c r="T1990" s="7">
        <f>-R1990</f>
      </c>
      <c r="U1990" s="7">
        <f>Q1990</f>
      </c>
      <c r="V1990" s="7">
        <f>($C$14+($C$15-$C$14)/($D$15-$D$14)*(I1990-$D$14))/2</f>
      </c>
      <c r="W1990" s="7">
        <f>($B$22*I1990^4+$C$22*I1990^3+$D$22*I1990^2+$E$22*I1990+$F$22)/2</f>
      </c>
      <c r="X1990" s="7">
        <f>($W1990)*(T1990)</f>
      </c>
      <c r="Y1990" s="7">
        <f>($W1990)*(U1990)</f>
      </c>
      <c r="Z1990" s="7">
        <f>SQRT(X1990^2+Y1990^2)</f>
      </c>
      <c r="AA1990" s="7">
        <f>$K1990+$X1990</f>
      </c>
      <c r="AB1990" s="7">
        <f>$L1990+$Y1990</f>
      </c>
      <c r="AC1990" s="7">
        <f>$K1990-$X1990</f>
      </c>
      <c r="AD1990" s="7">
        <f>$L1990-$Y1990</f>
      </c>
      <c r="AE1990" s="7">
        <f>AA1990/39.3701</f>
      </c>
      <c r="AF1990" s="7">
        <f>AB1990/39.3701</f>
      </c>
      <c r="AG1990" s="7">
        <f>AC1990/39.3701</f>
      </c>
      <c r="AH1990" s="7">
        <f>AD1990/39.3701</f>
      </c>
      <c r="AI1990" s="1"/>
      <c r="AJ1990" s="1"/>
      <c r="AK1990" s="1"/>
      <c r="AL1990" s="1"/>
      <c r="AM1990" s="2"/>
      <c r="AN1990" s="1"/>
      <c r="AO1990" s="1"/>
      <c r="AP1990" s="1"/>
      <c r="AQ1990" s="1"/>
      <c r="AR1990" s="1"/>
      <c r="AS1990" s="1"/>
      <c r="AT1990" s="1"/>
      <c r="AU1990" s="1"/>
      <c r="AV1990" s="1"/>
      <c r="AW1990" s="1"/>
      <c r="AX1990" s="1"/>
      <c r="AY1990" s="1"/>
      <c r="AZ1990" s="1"/>
      <c r="BA1990" s="1"/>
      <c r="BB1990" s="1"/>
      <c r="BC1990" s="1"/>
      <c r="BD1990" s="1"/>
      <c r="BE1990" s="1"/>
    </row>
    <row x14ac:dyDescent="0.25" r="1991" customHeight="1" ht="18.75">
      <c r="A1991" s="1"/>
      <c r="B1991" s="2"/>
      <c r="C1991" s="2"/>
      <c r="D1991" s="2"/>
      <c r="E1991" s="2"/>
      <c r="F1991" s="2"/>
      <c r="G1991" s="1"/>
      <c r="H1991" s="1"/>
      <c r="I1991" s="7">
        <v>1.988</v>
      </c>
      <c r="J1991" s="7">
        <f>IF((I1991-ROUNDDOWN(I1991,0))=0, 0, (I1991-ROUNDDOWN(I1991,0)))</f>
      </c>
      <c r="K1991" s="7">
        <f>INDIRECT("C$"&amp;2+MIN(2,ROUNDDOWN(I1991,0))*3)*(-$J1991^3+3*$J1991^2-3*$J1991+1)+INDIRECT("C$"&amp;3+MIN(2,ROUNDDOWN(I1991,0))*3)*(3*$J1991^3-6*$J1991^2+3*$J1991)+INDIRECT("C$"&amp;4+MIN(2,ROUNDDOWN(I1991,0))*3)*(-3*$J1991^3+3*$J1991^2)+INDIRECT("C$"&amp;5+MIN(2,ROUNDDOWN(I1991,0))*3)*$J1991^3</f>
      </c>
      <c r="L1991" s="7">
        <f>INDIRECT("D$"&amp;2+MIN(2,ROUNDDOWN(I1991,0))*3)*(-$J1991^3+3*$J1991^2-3*$J1991+1)+INDIRECT("D$"&amp;3+MIN(2,ROUNDDOWN(I1991,0))*3)*(3*$J1991^3-6*$J1991^2+3*$J1991)+INDIRECT("D$"&amp;4+MIN(2,ROUNDDOWN(I1991,0))*3)*(-3*$J1991^3+3*$J1991^2)+INDIRECT("D$"&amp;5+MIN(2,ROUNDDOWN(I1991,0))*3)*$J1991^3</f>
      </c>
      <c r="M1991" s="7">
        <f>SQRT(K1991^2+L1991^2)</f>
      </c>
      <c r="N1991" s="7">
        <f>(K1992-K1990)</f>
      </c>
      <c r="O1991" s="7">
        <f>+(L1992-L1990)</f>
      </c>
      <c r="P1991" s="7">
        <f>SQRT(O1991^2+N1991^2)</f>
      </c>
      <c r="Q1991" s="7">
        <f>N1991/$P1991</f>
      </c>
      <c r="R1991" s="7">
        <f>O1991/$P1991</f>
      </c>
      <c r="S1991" s="7">
        <f>Q1991^2+R1991^2</f>
      </c>
      <c r="T1991" s="7">
        <f>-R1991</f>
      </c>
      <c r="U1991" s="7">
        <f>Q1991</f>
      </c>
      <c r="V1991" s="7">
        <f>($C$14+($C$15-$C$14)/($D$15-$D$14)*(I1991-$D$14))/2</f>
      </c>
      <c r="W1991" s="7">
        <f>($B$22*I1991^4+$C$22*I1991^3+$D$22*I1991^2+$E$22*I1991+$F$22)/2</f>
      </c>
      <c r="X1991" s="7">
        <f>($W1991)*(T1991)</f>
      </c>
      <c r="Y1991" s="7">
        <f>($W1991)*(U1991)</f>
      </c>
      <c r="Z1991" s="7">
        <f>SQRT(X1991^2+Y1991^2)</f>
      </c>
      <c r="AA1991" s="7">
        <f>$K1991+$X1991</f>
      </c>
      <c r="AB1991" s="7">
        <f>$L1991+$Y1991</f>
      </c>
      <c r="AC1991" s="7">
        <f>$K1991-$X1991</f>
      </c>
      <c r="AD1991" s="7">
        <f>$L1991-$Y1991</f>
      </c>
      <c r="AE1991" s="7">
        <f>AA1991/39.3701</f>
      </c>
      <c r="AF1991" s="7">
        <f>AB1991/39.3701</f>
      </c>
      <c r="AG1991" s="7">
        <f>AC1991/39.3701</f>
      </c>
      <c r="AH1991" s="7">
        <f>AD1991/39.3701</f>
      </c>
      <c r="AI1991" s="1"/>
      <c r="AJ1991" s="1"/>
      <c r="AK1991" s="1"/>
      <c r="AL1991" s="1"/>
      <c r="AM1991" s="2"/>
      <c r="AN1991" s="1"/>
      <c r="AO1991" s="1"/>
      <c r="AP1991" s="1"/>
      <c r="AQ1991" s="1"/>
      <c r="AR1991" s="1"/>
      <c r="AS1991" s="1"/>
      <c r="AT1991" s="1"/>
      <c r="AU1991" s="1"/>
      <c r="AV1991" s="1"/>
      <c r="AW1991" s="1"/>
      <c r="AX1991" s="1"/>
      <c r="AY1991" s="1"/>
      <c r="AZ1991" s="1"/>
      <c r="BA1991" s="1"/>
      <c r="BB1991" s="1"/>
      <c r="BC1991" s="1"/>
      <c r="BD1991" s="1"/>
      <c r="BE1991" s="1"/>
    </row>
    <row x14ac:dyDescent="0.25" r="1992" customHeight="1" ht="18.75">
      <c r="A1992" s="1"/>
      <c r="B1992" s="2"/>
      <c r="C1992" s="2"/>
      <c r="D1992" s="2"/>
      <c r="E1992" s="2"/>
      <c r="F1992" s="2"/>
      <c r="G1992" s="1"/>
      <c r="H1992" s="1"/>
      <c r="I1992" s="7">
        <v>1.989</v>
      </c>
      <c r="J1992" s="7">
        <f>IF((I1992-ROUNDDOWN(I1992,0))=0, 0, (I1992-ROUNDDOWN(I1992,0)))</f>
      </c>
      <c r="K1992" s="7">
        <f>INDIRECT("C$"&amp;2+MIN(2,ROUNDDOWN(I1992,0))*3)*(-$J1992^3+3*$J1992^2-3*$J1992+1)+INDIRECT("C$"&amp;3+MIN(2,ROUNDDOWN(I1992,0))*3)*(3*$J1992^3-6*$J1992^2+3*$J1992)+INDIRECT("C$"&amp;4+MIN(2,ROUNDDOWN(I1992,0))*3)*(-3*$J1992^3+3*$J1992^2)+INDIRECT("C$"&amp;5+MIN(2,ROUNDDOWN(I1992,0))*3)*$J1992^3</f>
      </c>
      <c r="L1992" s="7">
        <f>INDIRECT("D$"&amp;2+MIN(2,ROUNDDOWN(I1992,0))*3)*(-$J1992^3+3*$J1992^2-3*$J1992+1)+INDIRECT("D$"&amp;3+MIN(2,ROUNDDOWN(I1992,0))*3)*(3*$J1992^3-6*$J1992^2+3*$J1992)+INDIRECT("D$"&amp;4+MIN(2,ROUNDDOWN(I1992,0))*3)*(-3*$J1992^3+3*$J1992^2)+INDIRECT("D$"&amp;5+MIN(2,ROUNDDOWN(I1992,0))*3)*$J1992^3</f>
      </c>
      <c r="M1992" s="7">
        <f>SQRT(K1992^2+L1992^2)</f>
      </c>
      <c r="N1992" s="7">
        <f>(K1993-K1991)</f>
      </c>
      <c r="O1992" s="7">
        <f>+(L1993-L1991)</f>
      </c>
      <c r="P1992" s="7">
        <f>SQRT(O1992^2+N1992^2)</f>
      </c>
      <c r="Q1992" s="7">
        <f>N1992/$P1992</f>
      </c>
      <c r="R1992" s="7">
        <f>O1992/$P1992</f>
      </c>
      <c r="S1992" s="8">
        <f>Q1992^2+R1992^2</f>
      </c>
      <c r="T1992" s="7">
        <f>-R1992</f>
      </c>
      <c r="U1992" s="7">
        <f>Q1992</f>
      </c>
      <c r="V1992" s="7">
        <f>($C$14+($C$15-$C$14)/($D$15-$D$14)*(I1992-$D$14))/2</f>
      </c>
      <c r="W1992" s="7">
        <f>($B$22*I1992^4+$C$22*I1992^3+$D$22*I1992^2+$E$22*I1992+$F$22)/2</f>
      </c>
      <c r="X1992" s="7">
        <f>($W1992)*(T1992)</f>
      </c>
      <c r="Y1992" s="7">
        <f>($W1992)*(U1992)</f>
      </c>
      <c r="Z1992" s="7">
        <f>SQRT(X1992^2+Y1992^2)</f>
      </c>
      <c r="AA1992" s="7">
        <f>$K1992+$X1992</f>
      </c>
      <c r="AB1992" s="7">
        <f>$L1992+$Y1992</f>
      </c>
      <c r="AC1992" s="7">
        <f>$K1992-$X1992</f>
      </c>
      <c r="AD1992" s="7">
        <f>$L1992-$Y1992</f>
      </c>
      <c r="AE1992" s="7">
        <f>AA1992/39.3701</f>
      </c>
      <c r="AF1992" s="7">
        <f>AB1992/39.3701</f>
      </c>
      <c r="AG1992" s="7">
        <f>AC1992/39.3701</f>
      </c>
      <c r="AH1992" s="7">
        <f>AD1992/39.3701</f>
      </c>
      <c r="AI1992" s="1"/>
      <c r="AJ1992" s="1"/>
      <c r="AK1992" s="1"/>
      <c r="AL1992" s="1"/>
      <c r="AM1992" s="2"/>
      <c r="AN1992" s="1"/>
      <c r="AO1992" s="1"/>
      <c r="AP1992" s="1"/>
      <c r="AQ1992" s="1"/>
      <c r="AR1992" s="1"/>
      <c r="AS1992" s="1"/>
      <c r="AT1992" s="1"/>
      <c r="AU1992" s="1"/>
      <c r="AV1992" s="1"/>
      <c r="AW1992" s="1"/>
      <c r="AX1992" s="1"/>
      <c r="AY1992" s="1"/>
      <c r="AZ1992" s="1"/>
      <c r="BA1992" s="1"/>
      <c r="BB1992" s="1"/>
      <c r="BC1992" s="1"/>
      <c r="BD1992" s="1"/>
      <c r="BE1992" s="1"/>
    </row>
    <row x14ac:dyDescent="0.25" r="1993" customHeight="1" ht="18.75">
      <c r="A1993" s="1"/>
      <c r="B1993" s="2"/>
      <c r="C1993" s="2"/>
      <c r="D1993" s="2"/>
      <c r="E1993" s="2"/>
      <c r="F1993" s="2"/>
      <c r="G1993" s="1"/>
      <c r="H1993" s="1"/>
      <c r="I1993" s="7">
        <v>1.99</v>
      </c>
      <c r="J1993" s="7">
        <f>IF((I1993-ROUNDDOWN(I1993,0))=0, 0, (I1993-ROUNDDOWN(I1993,0)))</f>
      </c>
      <c r="K1993" s="7">
        <f>INDIRECT("C$"&amp;2+MIN(2,ROUNDDOWN(I1993,0))*3)*(-$J1993^3+3*$J1993^2-3*$J1993+1)+INDIRECT("C$"&amp;3+MIN(2,ROUNDDOWN(I1993,0))*3)*(3*$J1993^3-6*$J1993^2+3*$J1993)+INDIRECT("C$"&amp;4+MIN(2,ROUNDDOWN(I1993,0))*3)*(-3*$J1993^3+3*$J1993^2)+INDIRECT("C$"&amp;5+MIN(2,ROUNDDOWN(I1993,0))*3)*$J1993^3</f>
      </c>
      <c r="L1993" s="7">
        <f>INDIRECT("D$"&amp;2+MIN(2,ROUNDDOWN(I1993,0))*3)*(-$J1993^3+3*$J1993^2-3*$J1993+1)+INDIRECT("D$"&amp;3+MIN(2,ROUNDDOWN(I1993,0))*3)*(3*$J1993^3-6*$J1993^2+3*$J1993)+INDIRECT("D$"&amp;4+MIN(2,ROUNDDOWN(I1993,0))*3)*(-3*$J1993^3+3*$J1993^2)+INDIRECT("D$"&amp;5+MIN(2,ROUNDDOWN(I1993,0))*3)*$J1993^3</f>
      </c>
      <c r="M1993" s="7">
        <f>SQRT(K1993^2+L1993^2)</f>
      </c>
      <c r="N1993" s="7">
        <f>(K1994-K1992)</f>
      </c>
      <c r="O1993" s="7">
        <f>+(L1994-L1992)</f>
      </c>
      <c r="P1993" s="7">
        <f>SQRT(O1993^2+N1993^2)</f>
      </c>
      <c r="Q1993" s="7">
        <f>N1993/$P1993</f>
      </c>
      <c r="R1993" s="7">
        <f>O1993/$P1993</f>
      </c>
      <c r="S1993" s="7">
        <f>Q1993^2+R1993^2</f>
      </c>
      <c r="T1993" s="7">
        <f>-R1993</f>
      </c>
      <c r="U1993" s="7">
        <f>Q1993</f>
      </c>
      <c r="V1993" s="7">
        <f>($C$14+($C$15-$C$14)/($D$15-$D$14)*(I1993-$D$14))/2</f>
      </c>
      <c r="W1993" s="7">
        <f>($B$22*I1993^4+$C$22*I1993^3+$D$22*I1993^2+$E$22*I1993+$F$22)/2</f>
      </c>
      <c r="X1993" s="7">
        <f>($W1993)*(T1993)</f>
      </c>
      <c r="Y1993" s="7">
        <f>($W1993)*(U1993)</f>
      </c>
      <c r="Z1993" s="7">
        <f>SQRT(X1993^2+Y1993^2)</f>
      </c>
      <c r="AA1993" s="7">
        <f>$K1993+$X1993</f>
      </c>
      <c r="AB1993" s="7">
        <f>$L1993+$Y1993</f>
      </c>
      <c r="AC1993" s="7">
        <f>$K1993-$X1993</f>
      </c>
      <c r="AD1993" s="7">
        <f>$L1993-$Y1993</f>
      </c>
      <c r="AE1993" s="7">
        <f>AA1993/39.3701</f>
      </c>
      <c r="AF1993" s="7">
        <f>AB1993/39.3701</f>
      </c>
      <c r="AG1993" s="7">
        <f>AC1993/39.3701</f>
      </c>
      <c r="AH1993" s="7">
        <f>AD1993/39.3701</f>
      </c>
      <c r="AI1993" s="1"/>
      <c r="AJ1993" s="1"/>
      <c r="AK1993" s="1"/>
      <c r="AL1993" s="1"/>
      <c r="AM1993" s="2"/>
      <c r="AN1993" s="1"/>
      <c r="AO1993" s="1"/>
      <c r="AP1993" s="1"/>
      <c r="AQ1993" s="1"/>
      <c r="AR1993" s="1"/>
      <c r="AS1993" s="1"/>
      <c r="AT1993" s="1"/>
      <c r="AU1993" s="1"/>
      <c r="AV1993" s="1"/>
      <c r="AW1993" s="1"/>
      <c r="AX1993" s="1"/>
      <c r="AY1993" s="1"/>
      <c r="AZ1993" s="1"/>
      <c r="BA1993" s="1"/>
      <c r="BB1993" s="1"/>
      <c r="BC1993" s="1"/>
      <c r="BD1993" s="1"/>
      <c r="BE1993" s="1"/>
    </row>
    <row x14ac:dyDescent="0.25" r="1994" customHeight="1" ht="18.75">
      <c r="A1994" s="1"/>
      <c r="B1994" s="2"/>
      <c r="C1994" s="2"/>
      <c r="D1994" s="2"/>
      <c r="E1994" s="2"/>
      <c r="F1994" s="2"/>
      <c r="G1994" s="1"/>
      <c r="H1994" s="1"/>
      <c r="I1994" s="7">
        <v>1.991</v>
      </c>
      <c r="J1994" s="7">
        <f>IF((I1994-ROUNDDOWN(I1994,0))=0, 0, (I1994-ROUNDDOWN(I1994,0)))</f>
      </c>
      <c r="K1994" s="7">
        <f>INDIRECT("C$"&amp;2+MIN(2,ROUNDDOWN(I1994,0))*3)*(-$J1994^3+3*$J1994^2-3*$J1994+1)+INDIRECT("C$"&amp;3+MIN(2,ROUNDDOWN(I1994,0))*3)*(3*$J1994^3-6*$J1994^2+3*$J1994)+INDIRECT("C$"&amp;4+MIN(2,ROUNDDOWN(I1994,0))*3)*(-3*$J1994^3+3*$J1994^2)+INDIRECT("C$"&amp;5+MIN(2,ROUNDDOWN(I1994,0))*3)*$J1994^3</f>
      </c>
      <c r="L1994" s="7">
        <f>INDIRECT("D$"&amp;2+MIN(2,ROUNDDOWN(I1994,0))*3)*(-$J1994^3+3*$J1994^2-3*$J1994+1)+INDIRECT("D$"&amp;3+MIN(2,ROUNDDOWN(I1994,0))*3)*(3*$J1994^3-6*$J1994^2+3*$J1994)+INDIRECT("D$"&amp;4+MIN(2,ROUNDDOWN(I1994,0))*3)*(-3*$J1994^3+3*$J1994^2)+INDIRECT("D$"&amp;5+MIN(2,ROUNDDOWN(I1994,0))*3)*$J1994^3</f>
      </c>
      <c r="M1994" s="7">
        <f>SQRT(K1994^2+L1994^2)</f>
      </c>
      <c r="N1994" s="7">
        <f>(K1995-K1993)</f>
      </c>
      <c r="O1994" s="7">
        <f>+(L1995-L1993)</f>
      </c>
      <c r="P1994" s="7">
        <f>SQRT(O1994^2+N1994^2)</f>
      </c>
      <c r="Q1994" s="7">
        <f>N1994/$P1994</f>
      </c>
      <c r="R1994" s="7">
        <f>O1994/$P1994</f>
      </c>
      <c r="S1994" s="7">
        <f>Q1994^2+R1994^2</f>
      </c>
      <c r="T1994" s="7">
        <f>-R1994</f>
      </c>
      <c r="U1994" s="7">
        <f>Q1994</f>
      </c>
      <c r="V1994" s="7">
        <f>($C$14+($C$15-$C$14)/($D$15-$D$14)*(I1994-$D$14))/2</f>
      </c>
      <c r="W1994" s="7">
        <f>($B$22*I1994^4+$C$22*I1994^3+$D$22*I1994^2+$E$22*I1994+$F$22)/2</f>
      </c>
      <c r="X1994" s="7">
        <f>($W1994)*(T1994)</f>
      </c>
      <c r="Y1994" s="7">
        <f>($W1994)*(U1994)</f>
      </c>
      <c r="Z1994" s="7">
        <f>SQRT(X1994^2+Y1994^2)</f>
      </c>
      <c r="AA1994" s="7">
        <f>$K1994+$X1994</f>
      </c>
      <c r="AB1994" s="7">
        <f>$L1994+$Y1994</f>
      </c>
      <c r="AC1994" s="7">
        <f>$K1994-$X1994</f>
      </c>
      <c r="AD1994" s="7">
        <f>$L1994-$Y1994</f>
      </c>
      <c r="AE1994" s="7">
        <f>AA1994/39.3701</f>
      </c>
      <c r="AF1994" s="7">
        <f>AB1994/39.3701</f>
      </c>
      <c r="AG1994" s="7">
        <f>AC1994/39.3701</f>
      </c>
      <c r="AH1994" s="7">
        <f>AD1994/39.3701</f>
      </c>
      <c r="AI1994" s="1"/>
      <c r="AJ1994" s="1"/>
      <c r="AK1994" s="1"/>
      <c r="AL1994" s="1"/>
      <c r="AM1994" s="2"/>
      <c r="AN1994" s="1"/>
      <c r="AO1994" s="1"/>
      <c r="AP1994" s="1"/>
      <c r="AQ1994" s="1"/>
      <c r="AR1994" s="1"/>
      <c r="AS1994" s="1"/>
      <c r="AT1994" s="1"/>
      <c r="AU1994" s="1"/>
      <c r="AV1994" s="1"/>
      <c r="AW1994" s="1"/>
      <c r="AX1994" s="1"/>
      <c r="AY1994" s="1"/>
      <c r="AZ1994" s="1"/>
      <c r="BA1994" s="1"/>
      <c r="BB1994" s="1"/>
      <c r="BC1994" s="1"/>
      <c r="BD1994" s="1"/>
      <c r="BE1994" s="1"/>
    </row>
    <row x14ac:dyDescent="0.25" r="1995" customHeight="1" ht="18.75">
      <c r="A1995" s="1"/>
      <c r="B1995" s="2"/>
      <c r="C1995" s="2"/>
      <c r="D1995" s="2"/>
      <c r="E1995" s="2"/>
      <c r="F1995" s="2"/>
      <c r="G1995" s="1"/>
      <c r="H1995" s="1"/>
      <c r="I1995" s="7">
        <v>1.992</v>
      </c>
      <c r="J1995" s="7">
        <f>IF((I1995-ROUNDDOWN(I1995,0))=0, 0, (I1995-ROUNDDOWN(I1995,0)))</f>
      </c>
      <c r="K1995" s="7">
        <f>INDIRECT("C$"&amp;2+MIN(2,ROUNDDOWN(I1995,0))*3)*(-$J1995^3+3*$J1995^2-3*$J1995+1)+INDIRECT("C$"&amp;3+MIN(2,ROUNDDOWN(I1995,0))*3)*(3*$J1995^3-6*$J1995^2+3*$J1995)+INDIRECT("C$"&amp;4+MIN(2,ROUNDDOWN(I1995,0))*3)*(-3*$J1995^3+3*$J1995^2)+INDIRECT("C$"&amp;5+MIN(2,ROUNDDOWN(I1995,0))*3)*$J1995^3</f>
      </c>
      <c r="L1995" s="7">
        <f>INDIRECT("D$"&amp;2+MIN(2,ROUNDDOWN(I1995,0))*3)*(-$J1995^3+3*$J1995^2-3*$J1995+1)+INDIRECT("D$"&amp;3+MIN(2,ROUNDDOWN(I1995,0))*3)*(3*$J1995^3-6*$J1995^2+3*$J1995)+INDIRECT("D$"&amp;4+MIN(2,ROUNDDOWN(I1995,0))*3)*(-3*$J1995^3+3*$J1995^2)+INDIRECT("D$"&amp;5+MIN(2,ROUNDDOWN(I1995,0))*3)*$J1995^3</f>
      </c>
      <c r="M1995" s="7">
        <f>SQRT(K1995^2+L1995^2)</f>
      </c>
      <c r="N1995" s="7">
        <f>(K1996-K1994)</f>
      </c>
      <c r="O1995" s="7">
        <f>+(L1996-L1994)</f>
      </c>
      <c r="P1995" s="7">
        <f>SQRT(O1995^2+N1995^2)</f>
      </c>
      <c r="Q1995" s="7">
        <f>N1995/$P1995</f>
      </c>
      <c r="R1995" s="7">
        <f>O1995/$P1995</f>
      </c>
      <c r="S1995" s="7">
        <f>Q1995^2+R1995^2</f>
      </c>
      <c r="T1995" s="7">
        <f>-R1995</f>
      </c>
      <c r="U1995" s="7">
        <f>Q1995</f>
      </c>
      <c r="V1995" s="7">
        <f>($C$14+($C$15-$C$14)/($D$15-$D$14)*(I1995-$D$14))/2</f>
      </c>
      <c r="W1995" s="7">
        <f>($B$22*I1995^4+$C$22*I1995^3+$D$22*I1995^2+$E$22*I1995+$F$22)/2</f>
      </c>
      <c r="X1995" s="7">
        <f>($W1995)*(T1995)</f>
      </c>
      <c r="Y1995" s="7">
        <f>($W1995)*(U1995)</f>
      </c>
      <c r="Z1995" s="7">
        <f>SQRT(X1995^2+Y1995^2)</f>
      </c>
      <c r="AA1995" s="7">
        <f>$K1995+$X1995</f>
      </c>
      <c r="AB1995" s="7">
        <f>$L1995+$Y1995</f>
      </c>
      <c r="AC1995" s="7">
        <f>$K1995-$X1995</f>
      </c>
      <c r="AD1995" s="7">
        <f>$L1995-$Y1995</f>
      </c>
      <c r="AE1995" s="7">
        <f>AA1995/39.3701</f>
      </c>
      <c r="AF1995" s="7">
        <f>AB1995/39.3701</f>
      </c>
      <c r="AG1995" s="7">
        <f>AC1995/39.3701</f>
      </c>
      <c r="AH1995" s="7">
        <f>AD1995/39.3701</f>
      </c>
      <c r="AI1995" s="1"/>
      <c r="AJ1995" s="1"/>
      <c r="AK1995" s="1"/>
      <c r="AL1995" s="1"/>
      <c r="AM1995" s="2"/>
      <c r="AN1995" s="1"/>
      <c r="AO1995" s="1"/>
      <c r="AP1995" s="1"/>
      <c r="AQ1995" s="1"/>
      <c r="AR1995" s="1"/>
      <c r="AS1995" s="1"/>
      <c r="AT1995" s="1"/>
      <c r="AU1995" s="1"/>
      <c r="AV1995" s="1"/>
      <c r="AW1995" s="1"/>
      <c r="AX1995" s="1"/>
      <c r="AY1995" s="1"/>
      <c r="AZ1995" s="1"/>
      <c r="BA1995" s="1"/>
      <c r="BB1995" s="1"/>
      <c r="BC1995" s="1"/>
      <c r="BD1995" s="1"/>
      <c r="BE1995" s="1"/>
    </row>
    <row x14ac:dyDescent="0.25" r="1996" customHeight="1" ht="18.75">
      <c r="A1996" s="1"/>
      <c r="B1996" s="2"/>
      <c r="C1996" s="2"/>
      <c r="D1996" s="2"/>
      <c r="E1996" s="2"/>
      <c r="F1996" s="2"/>
      <c r="G1996" s="1"/>
      <c r="H1996" s="1"/>
      <c r="I1996" s="7">
        <v>1.993</v>
      </c>
      <c r="J1996" s="7">
        <f>IF((I1996-ROUNDDOWN(I1996,0))=0, 0, (I1996-ROUNDDOWN(I1996,0)))</f>
      </c>
      <c r="K1996" s="7">
        <f>INDIRECT("C$"&amp;2+MIN(2,ROUNDDOWN(I1996,0))*3)*(-$J1996^3+3*$J1996^2-3*$J1996+1)+INDIRECT("C$"&amp;3+MIN(2,ROUNDDOWN(I1996,0))*3)*(3*$J1996^3-6*$J1996^2+3*$J1996)+INDIRECT("C$"&amp;4+MIN(2,ROUNDDOWN(I1996,0))*3)*(-3*$J1996^3+3*$J1996^2)+INDIRECT("C$"&amp;5+MIN(2,ROUNDDOWN(I1996,0))*3)*$J1996^3</f>
      </c>
      <c r="L1996" s="7">
        <f>INDIRECT("D$"&amp;2+MIN(2,ROUNDDOWN(I1996,0))*3)*(-$J1996^3+3*$J1996^2-3*$J1996+1)+INDIRECT("D$"&amp;3+MIN(2,ROUNDDOWN(I1996,0))*3)*(3*$J1996^3-6*$J1996^2+3*$J1996)+INDIRECT("D$"&amp;4+MIN(2,ROUNDDOWN(I1996,0))*3)*(-3*$J1996^3+3*$J1996^2)+INDIRECT("D$"&amp;5+MIN(2,ROUNDDOWN(I1996,0))*3)*$J1996^3</f>
      </c>
      <c r="M1996" s="7">
        <f>SQRT(K1996^2+L1996^2)</f>
      </c>
      <c r="N1996" s="7">
        <f>(K1997-K1995)</f>
      </c>
      <c r="O1996" s="7">
        <f>+(L1997-L1995)</f>
      </c>
      <c r="P1996" s="7">
        <f>SQRT(O1996^2+N1996^2)</f>
      </c>
      <c r="Q1996" s="7">
        <f>N1996/$P1996</f>
      </c>
      <c r="R1996" s="7">
        <f>O1996/$P1996</f>
      </c>
      <c r="S1996" s="7">
        <f>Q1996^2+R1996^2</f>
      </c>
      <c r="T1996" s="7">
        <f>-R1996</f>
      </c>
      <c r="U1996" s="7">
        <f>Q1996</f>
      </c>
      <c r="V1996" s="7">
        <f>($C$14+($C$15-$C$14)/($D$15-$D$14)*(I1996-$D$14))/2</f>
      </c>
      <c r="W1996" s="7">
        <f>($B$22*I1996^4+$C$22*I1996^3+$D$22*I1996^2+$E$22*I1996+$F$22)/2</f>
      </c>
      <c r="X1996" s="7">
        <f>($W1996)*(T1996)</f>
      </c>
      <c r="Y1996" s="7">
        <f>($W1996)*(U1996)</f>
      </c>
      <c r="Z1996" s="7">
        <f>SQRT(X1996^2+Y1996^2)</f>
      </c>
      <c r="AA1996" s="7">
        <f>$K1996+$X1996</f>
      </c>
      <c r="AB1996" s="7">
        <f>$L1996+$Y1996</f>
      </c>
      <c r="AC1996" s="7">
        <f>$K1996-$X1996</f>
      </c>
      <c r="AD1996" s="7">
        <f>$L1996-$Y1996</f>
      </c>
      <c r="AE1996" s="7">
        <f>AA1996/39.3701</f>
      </c>
      <c r="AF1996" s="7">
        <f>AB1996/39.3701</f>
      </c>
      <c r="AG1996" s="7">
        <f>AC1996/39.3701</f>
      </c>
      <c r="AH1996" s="7">
        <f>AD1996/39.3701</f>
      </c>
      <c r="AI1996" s="1"/>
      <c r="AJ1996" s="1"/>
      <c r="AK1996" s="1"/>
      <c r="AL1996" s="1"/>
      <c r="AM1996" s="2"/>
      <c r="AN1996" s="1"/>
      <c r="AO1996" s="1"/>
      <c r="AP1996" s="1"/>
      <c r="AQ1996" s="1"/>
      <c r="AR1996" s="1"/>
      <c r="AS1996" s="1"/>
      <c r="AT1996" s="1"/>
      <c r="AU1996" s="1"/>
      <c r="AV1996" s="1"/>
      <c r="AW1996" s="1"/>
      <c r="AX1996" s="1"/>
      <c r="AY1996" s="1"/>
      <c r="AZ1996" s="1"/>
      <c r="BA1996" s="1"/>
      <c r="BB1996" s="1"/>
      <c r="BC1996" s="1"/>
      <c r="BD1996" s="1"/>
      <c r="BE1996" s="1"/>
    </row>
    <row x14ac:dyDescent="0.25" r="1997" customHeight="1" ht="18.75">
      <c r="A1997" s="1"/>
      <c r="B1997" s="2"/>
      <c r="C1997" s="2"/>
      <c r="D1997" s="2"/>
      <c r="E1997" s="2"/>
      <c r="F1997" s="2"/>
      <c r="G1997" s="1"/>
      <c r="H1997" s="1"/>
      <c r="I1997" s="7">
        <v>1.994</v>
      </c>
      <c r="J1997" s="7">
        <f>IF((I1997-ROUNDDOWN(I1997,0))=0, 0, (I1997-ROUNDDOWN(I1997,0)))</f>
      </c>
      <c r="K1997" s="7">
        <f>INDIRECT("C$"&amp;2+MIN(2,ROUNDDOWN(I1997,0))*3)*(-$J1997^3+3*$J1997^2-3*$J1997+1)+INDIRECT("C$"&amp;3+MIN(2,ROUNDDOWN(I1997,0))*3)*(3*$J1997^3-6*$J1997^2+3*$J1997)+INDIRECT("C$"&amp;4+MIN(2,ROUNDDOWN(I1997,0))*3)*(-3*$J1997^3+3*$J1997^2)+INDIRECT("C$"&amp;5+MIN(2,ROUNDDOWN(I1997,0))*3)*$J1997^3</f>
      </c>
      <c r="L1997" s="7">
        <f>INDIRECT("D$"&amp;2+MIN(2,ROUNDDOWN(I1997,0))*3)*(-$J1997^3+3*$J1997^2-3*$J1997+1)+INDIRECT("D$"&amp;3+MIN(2,ROUNDDOWN(I1997,0))*3)*(3*$J1997^3-6*$J1997^2+3*$J1997)+INDIRECT("D$"&amp;4+MIN(2,ROUNDDOWN(I1997,0))*3)*(-3*$J1997^3+3*$J1997^2)+INDIRECT("D$"&amp;5+MIN(2,ROUNDDOWN(I1997,0))*3)*$J1997^3</f>
      </c>
      <c r="M1997" s="7">
        <f>SQRT(K1997^2+L1997^2)</f>
      </c>
      <c r="N1997" s="7">
        <f>(K1998-K1996)</f>
      </c>
      <c r="O1997" s="7">
        <f>+(L1998-L1996)</f>
      </c>
      <c r="P1997" s="7">
        <f>SQRT(O1997^2+N1997^2)</f>
      </c>
      <c r="Q1997" s="7">
        <f>N1997/$P1997</f>
      </c>
      <c r="R1997" s="7">
        <f>O1997/$P1997</f>
      </c>
      <c r="S1997" s="7">
        <f>Q1997^2+R1997^2</f>
      </c>
      <c r="T1997" s="7">
        <f>-R1997</f>
      </c>
      <c r="U1997" s="7">
        <f>Q1997</f>
      </c>
      <c r="V1997" s="7">
        <f>($C$14+($C$15-$C$14)/($D$15-$D$14)*(I1997-$D$14))/2</f>
      </c>
      <c r="W1997" s="7">
        <f>($B$22*I1997^4+$C$22*I1997^3+$D$22*I1997^2+$E$22*I1997+$F$22)/2</f>
      </c>
      <c r="X1997" s="7">
        <f>($W1997)*(T1997)</f>
      </c>
      <c r="Y1997" s="7">
        <f>($W1997)*(U1997)</f>
      </c>
      <c r="Z1997" s="7">
        <f>SQRT(X1997^2+Y1997^2)</f>
      </c>
      <c r="AA1997" s="7">
        <f>$K1997+$X1997</f>
      </c>
      <c r="AB1997" s="7">
        <f>$L1997+$Y1997</f>
      </c>
      <c r="AC1997" s="7">
        <f>$K1997-$X1997</f>
      </c>
      <c r="AD1997" s="7">
        <f>$L1997-$Y1997</f>
      </c>
      <c r="AE1997" s="7">
        <f>AA1997/39.3701</f>
      </c>
      <c r="AF1997" s="7">
        <f>AB1997/39.3701</f>
      </c>
      <c r="AG1997" s="7">
        <f>AC1997/39.3701</f>
      </c>
      <c r="AH1997" s="7">
        <f>AD1997/39.3701</f>
      </c>
      <c r="AI1997" s="1"/>
      <c r="AJ1997" s="1"/>
      <c r="AK1997" s="1"/>
      <c r="AL1997" s="1"/>
      <c r="AM1997" s="2"/>
      <c r="AN1997" s="1"/>
      <c r="AO1997" s="1"/>
      <c r="AP1997" s="1"/>
      <c r="AQ1997" s="1"/>
      <c r="AR1997" s="1"/>
      <c r="AS1997" s="1"/>
      <c r="AT1997" s="1"/>
      <c r="AU1997" s="1"/>
      <c r="AV1997" s="1"/>
      <c r="AW1997" s="1"/>
      <c r="AX1997" s="1"/>
      <c r="AY1997" s="1"/>
      <c r="AZ1997" s="1"/>
      <c r="BA1997" s="1"/>
      <c r="BB1997" s="1"/>
      <c r="BC1997" s="1"/>
      <c r="BD1997" s="1"/>
      <c r="BE1997" s="1"/>
    </row>
    <row x14ac:dyDescent="0.25" r="1998" customHeight="1" ht="18.75">
      <c r="A1998" s="1"/>
      <c r="B1998" s="2"/>
      <c r="C1998" s="2"/>
      <c r="D1998" s="2"/>
      <c r="E1998" s="2"/>
      <c r="F1998" s="2"/>
      <c r="G1998" s="1"/>
      <c r="H1998" s="1"/>
      <c r="I1998" s="7">
        <v>1.995</v>
      </c>
      <c r="J1998" s="7">
        <f>IF((I1998-ROUNDDOWN(I1998,0))=0, 0, (I1998-ROUNDDOWN(I1998,0)))</f>
      </c>
      <c r="K1998" s="7">
        <f>INDIRECT("C$"&amp;2+MIN(2,ROUNDDOWN(I1998,0))*3)*(-$J1998^3+3*$J1998^2-3*$J1998+1)+INDIRECT("C$"&amp;3+MIN(2,ROUNDDOWN(I1998,0))*3)*(3*$J1998^3-6*$J1998^2+3*$J1998)+INDIRECT("C$"&amp;4+MIN(2,ROUNDDOWN(I1998,0))*3)*(-3*$J1998^3+3*$J1998^2)+INDIRECT("C$"&amp;5+MIN(2,ROUNDDOWN(I1998,0))*3)*$J1998^3</f>
      </c>
      <c r="L1998" s="7">
        <f>INDIRECT("D$"&amp;2+MIN(2,ROUNDDOWN(I1998,0))*3)*(-$J1998^3+3*$J1998^2-3*$J1998+1)+INDIRECT("D$"&amp;3+MIN(2,ROUNDDOWN(I1998,0))*3)*(3*$J1998^3-6*$J1998^2+3*$J1998)+INDIRECT("D$"&amp;4+MIN(2,ROUNDDOWN(I1998,0))*3)*(-3*$J1998^3+3*$J1998^2)+INDIRECT("D$"&amp;5+MIN(2,ROUNDDOWN(I1998,0))*3)*$J1998^3</f>
      </c>
      <c r="M1998" s="7">
        <f>SQRT(K1998^2+L1998^2)</f>
      </c>
      <c r="N1998" s="7">
        <f>(K1999-K1997)</f>
      </c>
      <c r="O1998" s="7">
        <f>+(L1999-L1997)</f>
      </c>
      <c r="P1998" s="7">
        <f>SQRT(O1998^2+N1998^2)</f>
      </c>
      <c r="Q1998" s="7">
        <f>N1998/$P1998</f>
      </c>
      <c r="R1998" s="7">
        <f>O1998/$P1998</f>
      </c>
      <c r="S1998" s="8">
        <f>Q1998^2+R1998^2</f>
      </c>
      <c r="T1998" s="7">
        <f>-R1998</f>
      </c>
      <c r="U1998" s="7">
        <f>Q1998</f>
      </c>
      <c r="V1998" s="7">
        <f>($C$14+($C$15-$C$14)/($D$15-$D$14)*(I1998-$D$14))/2</f>
      </c>
      <c r="W1998" s="7">
        <f>($B$22*I1998^4+$C$22*I1998^3+$D$22*I1998^2+$E$22*I1998+$F$22)/2</f>
      </c>
      <c r="X1998" s="7">
        <f>($W1998)*(T1998)</f>
      </c>
      <c r="Y1998" s="7">
        <f>($W1998)*(U1998)</f>
      </c>
      <c r="Z1998" s="7">
        <f>SQRT(X1998^2+Y1998^2)</f>
      </c>
      <c r="AA1998" s="7">
        <f>$K1998+$X1998</f>
      </c>
      <c r="AB1998" s="7">
        <f>$L1998+$Y1998</f>
      </c>
      <c r="AC1998" s="7">
        <f>$K1998-$X1998</f>
      </c>
      <c r="AD1998" s="7">
        <f>$L1998-$Y1998</f>
      </c>
      <c r="AE1998" s="7">
        <f>AA1998/39.3701</f>
      </c>
      <c r="AF1998" s="7">
        <f>AB1998/39.3701</f>
      </c>
      <c r="AG1998" s="7">
        <f>AC1998/39.3701</f>
      </c>
      <c r="AH1998" s="7">
        <f>AD1998/39.3701</f>
      </c>
      <c r="AI1998" s="1"/>
      <c r="AJ1998" s="1"/>
      <c r="AK1998" s="1"/>
      <c r="AL1998" s="1"/>
      <c r="AM1998" s="2"/>
      <c r="AN1998" s="1"/>
      <c r="AO1998" s="1"/>
      <c r="AP1998" s="1"/>
      <c r="AQ1998" s="1"/>
      <c r="AR1998" s="1"/>
      <c r="AS1998" s="1"/>
      <c r="AT1998" s="1"/>
      <c r="AU1998" s="1"/>
      <c r="AV1998" s="1"/>
      <c r="AW1998" s="1"/>
      <c r="AX1998" s="1"/>
      <c r="AY1998" s="1"/>
      <c r="AZ1998" s="1"/>
      <c r="BA1998" s="1"/>
      <c r="BB1998" s="1"/>
      <c r="BC1998" s="1"/>
      <c r="BD1998" s="1"/>
      <c r="BE1998" s="1"/>
    </row>
    <row x14ac:dyDescent="0.25" r="1999" customHeight="1" ht="18.75">
      <c r="A1999" s="1"/>
      <c r="B1999" s="2"/>
      <c r="C1999" s="2"/>
      <c r="D1999" s="2"/>
      <c r="E1999" s="2"/>
      <c r="F1999" s="2"/>
      <c r="G1999" s="1"/>
      <c r="H1999" s="1"/>
      <c r="I1999" s="7">
        <v>1.996</v>
      </c>
      <c r="J1999" s="7">
        <f>IF((I1999-ROUNDDOWN(I1999,0))=0, 0, (I1999-ROUNDDOWN(I1999,0)))</f>
      </c>
      <c r="K1999" s="7">
        <f>INDIRECT("C$"&amp;2+MIN(2,ROUNDDOWN(I1999,0))*3)*(-$J1999^3+3*$J1999^2-3*$J1999+1)+INDIRECT("C$"&amp;3+MIN(2,ROUNDDOWN(I1999,0))*3)*(3*$J1999^3-6*$J1999^2+3*$J1999)+INDIRECT("C$"&amp;4+MIN(2,ROUNDDOWN(I1999,0))*3)*(-3*$J1999^3+3*$J1999^2)+INDIRECT("C$"&amp;5+MIN(2,ROUNDDOWN(I1999,0))*3)*$J1999^3</f>
      </c>
      <c r="L1999" s="7">
        <f>INDIRECT("D$"&amp;2+MIN(2,ROUNDDOWN(I1999,0))*3)*(-$J1999^3+3*$J1999^2-3*$J1999+1)+INDIRECT("D$"&amp;3+MIN(2,ROUNDDOWN(I1999,0))*3)*(3*$J1999^3-6*$J1999^2+3*$J1999)+INDIRECT("D$"&amp;4+MIN(2,ROUNDDOWN(I1999,0))*3)*(-3*$J1999^3+3*$J1999^2)+INDIRECT("D$"&amp;5+MIN(2,ROUNDDOWN(I1999,0))*3)*$J1999^3</f>
      </c>
      <c r="M1999" s="7">
        <f>SQRT(K1999^2+L1999^2)</f>
      </c>
      <c r="N1999" s="7">
        <f>(K2000-K1998)</f>
      </c>
      <c r="O1999" s="7">
        <f>+(L2000-L1998)</f>
      </c>
      <c r="P1999" s="7">
        <f>SQRT(O1999^2+N1999^2)</f>
      </c>
      <c r="Q1999" s="7">
        <f>N1999/$P1999</f>
      </c>
      <c r="R1999" s="7">
        <f>O1999/$P1999</f>
      </c>
      <c r="S1999" s="7">
        <f>Q1999^2+R1999^2</f>
      </c>
      <c r="T1999" s="7">
        <f>-R1999</f>
      </c>
      <c r="U1999" s="7">
        <f>Q1999</f>
      </c>
      <c r="V1999" s="7">
        <f>($C$14+($C$15-$C$14)/($D$15-$D$14)*(I1999-$D$14))/2</f>
      </c>
      <c r="W1999" s="7">
        <f>($B$22*I1999^4+$C$22*I1999^3+$D$22*I1999^2+$E$22*I1999+$F$22)/2</f>
      </c>
      <c r="X1999" s="7">
        <f>($W1999)*(T1999)</f>
      </c>
      <c r="Y1999" s="7">
        <f>($W1999)*(U1999)</f>
      </c>
      <c r="Z1999" s="7">
        <f>SQRT(X1999^2+Y1999^2)</f>
      </c>
      <c r="AA1999" s="7">
        <f>$K1999+$X1999</f>
      </c>
      <c r="AB1999" s="7">
        <f>$L1999+$Y1999</f>
      </c>
      <c r="AC1999" s="7">
        <f>$K1999-$X1999</f>
      </c>
      <c r="AD1999" s="7">
        <f>$L1999-$Y1999</f>
      </c>
      <c r="AE1999" s="7">
        <f>AA1999/39.3701</f>
      </c>
      <c r="AF1999" s="7">
        <f>AB1999/39.3701</f>
      </c>
      <c r="AG1999" s="7">
        <f>AC1999/39.3701</f>
      </c>
      <c r="AH1999" s="7">
        <f>AD1999/39.3701</f>
      </c>
      <c r="AI1999" s="1"/>
      <c r="AJ1999" s="1"/>
      <c r="AK1999" s="1"/>
      <c r="AL1999" s="1"/>
      <c r="AM1999" s="2"/>
      <c r="AN1999" s="1"/>
      <c r="AO1999" s="1"/>
      <c r="AP1999" s="1"/>
      <c r="AQ1999" s="1"/>
      <c r="AR1999" s="1"/>
      <c r="AS1999" s="1"/>
      <c r="AT1999" s="1"/>
      <c r="AU1999" s="1"/>
      <c r="AV1999" s="1"/>
      <c r="AW1999" s="1"/>
      <c r="AX1999" s="1"/>
      <c r="AY1999" s="1"/>
      <c r="AZ1999" s="1"/>
      <c r="BA1999" s="1"/>
      <c r="BB1999" s="1"/>
      <c r="BC1999" s="1"/>
      <c r="BD1999" s="1"/>
      <c r="BE1999" s="1"/>
    </row>
    <row x14ac:dyDescent="0.25" r="2000" customHeight="1" ht="18.75">
      <c r="A2000" s="1"/>
      <c r="B2000" s="2"/>
      <c r="C2000" s="2"/>
      <c r="D2000" s="2"/>
      <c r="E2000" s="2"/>
      <c r="F2000" s="2"/>
      <c r="G2000" s="1"/>
      <c r="H2000" s="1"/>
      <c r="I2000" s="7">
        <v>1.997</v>
      </c>
      <c r="J2000" s="7">
        <f>IF((I2000-ROUNDDOWN(I2000,0))=0, 0, (I2000-ROUNDDOWN(I2000,0)))</f>
      </c>
      <c r="K2000" s="7">
        <f>INDIRECT("C$"&amp;2+MIN(2,ROUNDDOWN(I2000,0))*3)*(-$J2000^3+3*$J2000^2-3*$J2000+1)+INDIRECT("C$"&amp;3+MIN(2,ROUNDDOWN(I2000,0))*3)*(3*$J2000^3-6*$J2000^2+3*$J2000)+INDIRECT("C$"&amp;4+MIN(2,ROUNDDOWN(I2000,0))*3)*(-3*$J2000^3+3*$J2000^2)+INDIRECT("C$"&amp;5+MIN(2,ROUNDDOWN(I2000,0))*3)*$J2000^3</f>
      </c>
      <c r="L2000" s="7">
        <f>INDIRECT("D$"&amp;2+MIN(2,ROUNDDOWN(I2000,0))*3)*(-$J2000^3+3*$J2000^2-3*$J2000+1)+INDIRECT("D$"&amp;3+MIN(2,ROUNDDOWN(I2000,0))*3)*(3*$J2000^3-6*$J2000^2+3*$J2000)+INDIRECT("D$"&amp;4+MIN(2,ROUNDDOWN(I2000,0))*3)*(-3*$J2000^3+3*$J2000^2)+INDIRECT("D$"&amp;5+MIN(2,ROUNDDOWN(I2000,0))*3)*$J2000^3</f>
      </c>
      <c r="M2000" s="7">
        <f>SQRT(K2000^2+L2000^2)</f>
      </c>
      <c r="N2000" s="7">
        <f>(K2001-K1999)</f>
      </c>
      <c r="O2000" s="7">
        <f>+(L2001-L1999)</f>
      </c>
      <c r="P2000" s="7">
        <f>SQRT(O2000^2+N2000^2)</f>
      </c>
      <c r="Q2000" s="7">
        <f>N2000/$P2000</f>
      </c>
      <c r="R2000" s="7">
        <f>O2000/$P2000</f>
      </c>
      <c r="S2000" s="7">
        <f>Q2000^2+R2000^2</f>
      </c>
      <c r="T2000" s="7">
        <f>-R2000</f>
      </c>
      <c r="U2000" s="7">
        <f>Q2000</f>
      </c>
      <c r="V2000" s="7">
        <f>($C$14+($C$15-$C$14)/($D$15-$D$14)*(I2000-$D$14))/2</f>
      </c>
      <c r="W2000" s="7">
        <f>($B$22*I2000^4+$C$22*I2000^3+$D$22*I2000^2+$E$22*I2000+$F$22)/2</f>
      </c>
      <c r="X2000" s="7">
        <f>($W2000)*(T2000)</f>
      </c>
      <c r="Y2000" s="7">
        <f>($W2000)*(U2000)</f>
      </c>
      <c r="Z2000" s="7">
        <f>SQRT(X2000^2+Y2000^2)</f>
      </c>
      <c r="AA2000" s="7">
        <f>$K2000+$X2000</f>
      </c>
      <c r="AB2000" s="7">
        <f>$L2000+$Y2000</f>
      </c>
      <c r="AC2000" s="7">
        <f>$K2000-$X2000</f>
      </c>
      <c r="AD2000" s="7">
        <f>$L2000-$Y2000</f>
      </c>
      <c r="AE2000" s="7">
        <f>AA2000/39.3701</f>
      </c>
      <c r="AF2000" s="7">
        <f>AB2000/39.3701</f>
      </c>
      <c r="AG2000" s="7">
        <f>AC2000/39.3701</f>
      </c>
      <c r="AH2000" s="7">
        <f>AD2000/39.3701</f>
      </c>
      <c r="AI2000" s="1"/>
      <c r="AJ2000" s="1"/>
      <c r="AK2000" s="1"/>
      <c r="AL2000" s="1"/>
      <c r="AM2000" s="2"/>
      <c r="AN2000" s="1"/>
      <c r="AO2000" s="1"/>
      <c r="AP2000" s="1"/>
      <c r="AQ2000" s="1"/>
      <c r="AR2000" s="1"/>
      <c r="AS2000" s="1"/>
      <c r="AT2000" s="1"/>
      <c r="AU2000" s="1"/>
      <c r="AV2000" s="1"/>
      <c r="AW2000" s="1"/>
      <c r="AX2000" s="1"/>
      <c r="AY2000" s="1"/>
      <c r="AZ2000" s="1"/>
      <c r="BA2000" s="1"/>
      <c r="BB2000" s="1"/>
      <c r="BC2000" s="1"/>
      <c r="BD2000" s="1"/>
      <c r="BE2000" s="1"/>
    </row>
    <row x14ac:dyDescent="0.25" r="2001" customHeight="1" ht="18.75">
      <c r="A2001" s="1"/>
      <c r="B2001" s="2"/>
      <c r="C2001" s="2"/>
      <c r="D2001" s="2"/>
      <c r="E2001" s="2"/>
      <c r="F2001" s="2"/>
      <c r="G2001" s="1"/>
      <c r="H2001" s="1"/>
      <c r="I2001" s="7">
        <v>1.998</v>
      </c>
      <c r="J2001" s="7">
        <f>IF((I2001-ROUNDDOWN(I2001,0))=0, 0, (I2001-ROUNDDOWN(I2001,0)))</f>
      </c>
      <c r="K2001" s="7">
        <f>INDIRECT("C$"&amp;2+MIN(2,ROUNDDOWN(I2001,0))*3)*(-$J2001^3+3*$J2001^2-3*$J2001+1)+INDIRECT("C$"&amp;3+MIN(2,ROUNDDOWN(I2001,0))*3)*(3*$J2001^3-6*$J2001^2+3*$J2001)+INDIRECT("C$"&amp;4+MIN(2,ROUNDDOWN(I2001,0))*3)*(-3*$J2001^3+3*$J2001^2)+INDIRECT("C$"&amp;5+MIN(2,ROUNDDOWN(I2001,0))*3)*$J2001^3</f>
      </c>
      <c r="L2001" s="7">
        <f>INDIRECT("D$"&amp;2+MIN(2,ROUNDDOWN(I2001,0))*3)*(-$J2001^3+3*$J2001^2-3*$J2001+1)+INDIRECT("D$"&amp;3+MIN(2,ROUNDDOWN(I2001,0))*3)*(3*$J2001^3-6*$J2001^2+3*$J2001)+INDIRECT("D$"&amp;4+MIN(2,ROUNDDOWN(I2001,0))*3)*(-3*$J2001^3+3*$J2001^2)+INDIRECT("D$"&amp;5+MIN(2,ROUNDDOWN(I2001,0))*3)*$J2001^3</f>
      </c>
      <c r="M2001" s="7">
        <f>SQRT(K2001^2+L2001^2)</f>
      </c>
      <c r="N2001" s="7">
        <f>(K2002-K2000)</f>
      </c>
      <c r="O2001" s="7">
        <f>+(L2002-L2000)</f>
      </c>
      <c r="P2001" s="7">
        <f>SQRT(O2001^2+N2001^2)</f>
      </c>
      <c r="Q2001" s="7">
        <f>N2001/$P2001</f>
      </c>
      <c r="R2001" s="7">
        <f>O2001/$P2001</f>
      </c>
      <c r="S2001" s="8">
        <f>Q2001^2+R2001^2</f>
      </c>
      <c r="T2001" s="7">
        <f>-R2001</f>
      </c>
      <c r="U2001" s="7">
        <f>Q2001</f>
      </c>
      <c r="V2001" s="7">
        <f>($C$14+($C$15-$C$14)/($D$15-$D$14)*(I2001-$D$14))/2</f>
      </c>
      <c r="W2001" s="7">
        <f>($B$22*I2001^4+$C$22*I2001^3+$D$22*I2001^2+$E$22*I2001+$F$22)/2</f>
      </c>
      <c r="X2001" s="7">
        <f>($W2001)*(T2001)</f>
      </c>
      <c r="Y2001" s="7">
        <f>($W2001)*(U2001)</f>
      </c>
      <c r="Z2001" s="7">
        <f>SQRT(X2001^2+Y2001^2)</f>
      </c>
      <c r="AA2001" s="7">
        <f>$K2001+$X2001</f>
      </c>
      <c r="AB2001" s="7">
        <f>$L2001+$Y2001</f>
      </c>
      <c r="AC2001" s="7">
        <f>$K2001-$X2001</f>
      </c>
      <c r="AD2001" s="7">
        <f>$L2001-$Y2001</f>
      </c>
      <c r="AE2001" s="7">
        <f>AA2001/39.3701</f>
      </c>
      <c r="AF2001" s="7">
        <f>AB2001/39.3701</f>
      </c>
      <c r="AG2001" s="7">
        <f>AC2001/39.3701</f>
      </c>
      <c r="AH2001" s="7">
        <f>AD2001/39.3701</f>
      </c>
      <c r="AI2001" s="1"/>
      <c r="AJ2001" s="1"/>
      <c r="AK2001" s="1"/>
      <c r="AL2001" s="1"/>
      <c r="AM2001" s="2"/>
      <c r="AN2001" s="1"/>
      <c r="AO2001" s="1"/>
      <c r="AP2001" s="1"/>
      <c r="AQ2001" s="1"/>
      <c r="AR2001" s="1"/>
      <c r="AS2001" s="1"/>
      <c r="AT2001" s="1"/>
      <c r="AU2001" s="1"/>
      <c r="AV2001" s="1"/>
      <c r="AW2001" s="1"/>
      <c r="AX2001" s="1"/>
      <c r="AY2001" s="1"/>
      <c r="AZ2001" s="1"/>
      <c r="BA2001" s="1"/>
      <c r="BB2001" s="1"/>
      <c r="BC2001" s="1"/>
      <c r="BD2001" s="1"/>
      <c r="BE2001" s="1"/>
    </row>
    <row x14ac:dyDescent="0.25" r="2002" customHeight="1" ht="18.75">
      <c r="A2002" s="1"/>
      <c r="B2002" s="2"/>
      <c r="C2002" s="2"/>
      <c r="D2002" s="2"/>
      <c r="E2002" s="2"/>
      <c r="F2002" s="2"/>
      <c r="G2002" s="1"/>
      <c r="H2002" s="1"/>
      <c r="I2002" s="7">
        <v>1.999</v>
      </c>
      <c r="J2002" s="7">
        <f>IF((I2002-ROUNDDOWN(I2002,0))=0, 0, (I2002-ROUNDDOWN(I2002,0)))</f>
      </c>
      <c r="K2002" s="7">
        <f>INDIRECT("C$"&amp;2+MIN(2,ROUNDDOWN(I2002,0))*3)*(-$J2002^3+3*$J2002^2-3*$J2002+1)+INDIRECT("C$"&amp;3+MIN(2,ROUNDDOWN(I2002,0))*3)*(3*$J2002^3-6*$J2002^2+3*$J2002)+INDIRECT("C$"&amp;4+MIN(2,ROUNDDOWN(I2002,0))*3)*(-3*$J2002^3+3*$J2002^2)+INDIRECT("C$"&amp;5+MIN(2,ROUNDDOWN(I2002,0))*3)*$J2002^3</f>
      </c>
      <c r="L2002" s="7">
        <f>INDIRECT("D$"&amp;2+MIN(2,ROUNDDOWN(I2002,0))*3)*(-$J2002^3+3*$J2002^2-3*$J2002+1)+INDIRECT("D$"&amp;3+MIN(2,ROUNDDOWN(I2002,0))*3)*(3*$J2002^3-6*$J2002^2+3*$J2002)+INDIRECT("D$"&amp;4+MIN(2,ROUNDDOWN(I2002,0))*3)*(-3*$J2002^3+3*$J2002^2)+INDIRECT("D$"&amp;5+MIN(2,ROUNDDOWN(I2002,0))*3)*$J2002^3</f>
      </c>
      <c r="M2002" s="7">
        <f>SQRT(K2002^2+L2002^2)</f>
      </c>
      <c r="N2002" s="7">
        <f>(K2003-K2001)</f>
      </c>
      <c r="O2002" s="7">
        <f>+(L2003-L2001)</f>
      </c>
      <c r="P2002" s="7">
        <f>SQRT(O2002^2+N2002^2)</f>
      </c>
      <c r="Q2002" s="7">
        <f>N2002/$P2002</f>
      </c>
      <c r="R2002" s="7">
        <f>O2002/$P2002</f>
      </c>
      <c r="S2002" s="8">
        <f>Q2002^2+R2002^2</f>
      </c>
      <c r="T2002" s="7">
        <f>-R2002</f>
      </c>
      <c r="U2002" s="7">
        <f>Q2002</f>
      </c>
      <c r="V2002" s="7">
        <f>($C$14+($C$15-$C$14)/($D$15-$D$14)*(I2002-$D$14))/2</f>
      </c>
      <c r="W2002" s="7">
        <f>($B$22*I2002^4+$C$22*I2002^3+$D$22*I2002^2+$E$22*I2002+$F$22)/2</f>
      </c>
      <c r="X2002" s="7">
        <f>($W2002)*(T2002)</f>
      </c>
      <c r="Y2002" s="7">
        <f>($W2002)*(U2002)</f>
      </c>
      <c r="Z2002" s="7">
        <f>SQRT(X2002^2+Y2002^2)</f>
      </c>
      <c r="AA2002" s="7">
        <f>$K2002+$X2002</f>
      </c>
      <c r="AB2002" s="7">
        <f>$L2002+$Y2002</f>
      </c>
      <c r="AC2002" s="7">
        <f>$K2002-$X2002</f>
      </c>
      <c r="AD2002" s="7">
        <f>$L2002-$Y2002</f>
      </c>
      <c r="AE2002" s="7">
        <f>AA2002/39.3701</f>
      </c>
      <c r="AF2002" s="7">
        <f>AB2002/39.3701</f>
      </c>
      <c r="AG2002" s="7">
        <f>AC2002/39.3701</f>
      </c>
      <c r="AH2002" s="7">
        <f>AD2002/39.3701</f>
      </c>
      <c r="AI2002" s="1"/>
      <c r="AJ2002" s="1"/>
      <c r="AK2002" s="1"/>
      <c r="AL2002" s="1"/>
      <c r="AM2002" s="2"/>
      <c r="AN2002" s="1"/>
      <c r="AO2002" s="1"/>
      <c r="AP2002" s="1"/>
      <c r="AQ2002" s="1"/>
      <c r="AR2002" s="1"/>
      <c r="AS2002" s="1"/>
      <c r="AT2002" s="1"/>
      <c r="AU2002" s="1"/>
      <c r="AV2002" s="1"/>
      <c r="AW2002" s="1"/>
      <c r="AX2002" s="1"/>
      <c r="AY2002" s="1"/>
      <c r="AZ2002" s="1"/>
      <c r="BA2002" s="1"/>
      <c r="BB2002" s="1"/>
      <c r="BC2002" s="1"/>
      <c r="BD2002" s="1"/>
      <c r="BE2002" s="1"/>
    </row>
    <row x14ac:dyDescent="0.25" r="2003" customHeight="1" ht="18.75">
      <c r="A2003" s="1"/>
      <c r="B2003" s="2"/>
      <c r="C2003" s="2"/>
      <c r="D2003" s="2"/>
      <c r="E2003" s="2"/>
      <c r="F2003" s="2"/>
      <c r="G2003" s="1"/>
      <c r="H2003" s="1"/>
      <c r="I2003" s="8">
        <v>2</v>
      </c>
      <c r="J2003" s="8">
        <f>IF((I2003-ROUNDDOWN(I2003,0))=0, 0, (I2003-ROUNDDOWN(I2003,0)))</f>
      </c>
      <c r="K2003" s="7">
        <f>INDIRECT("C$"&amp;2+MIN(2,ROUNDDOWN(I2003,0))*3)*(-$J2003^3+3*$J2003^2-3*$J2003+1)+INDIRECT("C$"&amp;3+MIN(2,ROUNDDOWN(I2003,0))*3)*(3*$J2003^3-6*$J2003^2+3*$J2003)+INDIRECT("C$"&amp;4+MIN(2,ROUNDDOWN(I2003,0))*3)*(-3*$J2003^3+3*$J2003^2)+INDIRECT("C$"&amp;5+MIN(2,ROUNDDOWN(I2003,0))*3)*$J2003^3</f>
      </c>
      <c r="L2003" s="7">
        <f>INDIRECT("D$"&amp;2+MIN(2,ROUNDDOWN(I2003,0))*3)*(-$J2003^3+3*$J2003^2-3*$J2003+1)+INDIRECT("D$"&amp;3+MIN(2,ROUNDDOWN(I2003,0))*3)*(3*$J2003^3-6*$J2003^2+3*$J2003)+INDIRECT("D$"&amp;4+MIN(2,ROUNDDOWN(I2003,0))*3)*(-3*$J2003^3+3*$J2003^2)+INDIRECT("D$"&amp;5+MIN(2,ROUNDDOWN(I2003,0))*3)*$J2003^3</f>
      </c>
      <c r="M2003" s="7">
        <f>SQRT(K2003^2+L2003^2)</f>
      </c>
      <c r="N2003" s="7">
        <f>(K2004-K2002)</f>
      </c>
      <c r="O2003" s="7">
        <f>+(L2004-L2002)</f>
      </c>
      <c r="P2003" s="7">
        <f>SQRT(O2003^2+N2003^2)</f>
      </c>
      <c r="Q2003" s="7">
        <f>N2003/$P2003</f>
      </c>
      <c r="R2003" s="7">
        <f>O2003/$P2003</f>
      </c>
      <c r="S2003" s="7">
        <f>Q2003^2+R2003^2</f>
      </c>
      <c r="T2003" s="7">
        <f>-R2003</f>
      </c>
      <c r="U2003" s="7">
        <f>Q2003</f>
      </c>
      <c r="V2003" s="7">
        <f>($C$14+($C$15-$C$14)/($D$15-$D$14)*(I2003-$D$14))/2</f>
      </c>
      <c r="W2003" s="7">
        <f>($B$22*I2003^4+$C$22*I2003^3+$D$22*I2003^2+$E$22*I2003+$F$22)/2</f>
      </c>
      <c r="X2003" s="7">
        <f>($W2003)*(T2003)</f>
      </c>
      <c r="Y2003" s="7">
        <f>($W2003)*(U2003)</f>
      </c>
      <c r="Z2003" s="7">
        <f>SQRT(X2003^2+Y2003^2)</f>
      </c>
      <c r="AA2003" s="7">
        <f>$K2003+$X2003</f>
      </c>
      <c r="AB2003" s="7">
        <f>$L2003+$Y2003</f>
      </c>
      <c r="AC2003" s="7">
        <f>$K2003-$X2003</f>
      </c>
      <c r="AD2003" s="7">
        <f>$L2003-$Y2003</f>
      </c>
      <c r="AE2003" s="7">
        <f>AA2003/39.3701</f>
      </c>
      <c r="AF2003" s="7">
        <f>AB2003/39.3701</f>
      </c>
      <c r="AG2003" s="7">
        <f>AC2003/39.3701</f>
      </c>
      <c r="AH2003" s="7">
        <f>AD2003/39.3701</f>
      </c>
      <c r="AI2003" s="1"/>
      <c r="AJ2003" s="1"/>
      <c r="AK2003" s="1"/>
      <c r="AL2003" s="1"/>
      <c r="AM2003" s="2"/>
      <c r="AN2003" s="1"/>
      <c r="AO2003" s="1"/>
      <c r="AP2003" s="1"/>
      <c r="AQ2003" s="1"/>
      <c r="AR2003" s="1"/>
      <c r="AS2003" s="1"/>
      <c r="AT2003" s="1"/>
      <c r="AU2003" s="1"/>
      <c r="AV2003" s="1"/>
      <c r="AW2003" s="1"/>
      <c r="AX2003" s="1"/>
      <c r="AY2003" s="1"/>
      <c r="AZ2003" s="1"/>
      <c r="BA2003" s="1"/>
      <c r="BB2003" s="1"/>
      <c r="BC2003" s="1"/>
      <c r="BD2003" s="1"/>
      <c r="BE2003" s="1"/>
    </row>
    <row x14ac:dyDescent="0.25" r="2004" customHeight="1" ht="18.75">
      <c r="A2004" s="1"/>
      <c r="B2004" s="2"/>
      <c r="C2004" s="2"/>
      <c r="D2004" s="2"/>
      <c r="E2004" s="2"/>
      <c r="F2004" s="2"/>
      <c r="G2004" s="1"/>
      <c r="H2004" s="1"/>
      <c r="I2004" s="7">
        <v>2.001</v>
      </c>
      <c r="J2004" s="7">
        <f>IF((I2004-ROUNDDOWN(I2004,0))=0, 0, (I2004-ROUNDDOWN(I2004,0)))</f>
      </c>
      <c r="K2004" s="7">
        <f>INDIRECT("C$"&amp;2+MIN(2,ROUNDDOWN(I2004,0))*3)*(-$J2004^3+3*$J2004^2-3*$J2004+1)+INDIRECT("C$"&amp;3+MIN(2,ROUNDDOWN(I2004,0))*3)*(3*$J2004^3-6*$J2004^2+3*$J2004)+INDIRECT("C$"&amp;4+MIN(2,ROUNDDOWN(I2004,0))*3)*(-3*$J2004^3+3*$J2004^2)+INDIRECT("C$"&amp;5+MIN(2,ROUNDDOWN(I2004,0))*3)*$J2004^3</f>
      </c>
      <c r="L2004" s="7">
        <f>INDIRECT("D$"&amp;2+MIN(2,ROUNDDOWN(I2004,0))*3)*(-$J2004^3+3*$J2004^2-3*$J2004+1)+INDIRECT("D$"&amp;3+MIN(2,ROUNDDOWN(I2004,0))*3)*(3*$J2004^3-6*$J2004^2+3*$J2004)+INDIRECT("D$"&amp;4+MIN(2,ROUNDDOWN(I2004,0))*3)*(-3*$J2004^3+3*$J2004^2)+INDIRECT("D$"&amp;5+MIN(2,ROUNDDOWN(I2004,0))*3)*$J2004^3</f>
      </c>
      <c r="M2004" s="7">
        <f>SQRT(K2004^2+L2004^2)</f>
      </c>
      <c r="N2004" s="7">
        <f>(K2005-K2003)</f>
      </c>
      <c r="O2004" s="7">
        <f>+(L2005-L2003)</f>
      </c>
      <c r="P2004" s="7">
        <f>SQRT(O2004^2+N2004^2)</f>
      </c>
      <c r="Q2004" s="7">
        <f>N2004/$P2004</f>
      </c>
      <c r="R2004" s="7">
        <f>O2004/$P2004</f>
      </c>
      <c r="S2004" s="7">
        <f>Q2004^2+R2004^2</f>
      </c>
      <c r="T2004" s="7">
        <f>-R2004</f>
      </c>
      <c r="U2004" s="7">
        <f>Q2004</f>
      </c>
      <c r="V2004" s="7">
        <f>($C$14+($C$15-$C$14)/($D$15-$D$14)*(I2004-$D$14))/2</f>
      </c>
      <c r="W2004" s="7">
        <f>($B$22*I2004^4+$C$22*I2004^3+$D$22*I2004^2+$E$22*I2004+$F$22)/2</f>
      </c>
      <c r="X2004" s="7">
        <f>($W2004)*(T2004)</f>
      </c>
      <c r="Y2004" s="7">
        <f>($W2004)*(U2004)</f>
      </c>
      <c r="Z2004" s="7">
        <f>SQRT(X2004^2+Y2004^2)</f>
      </c>
      <c r="AA2004" s="7">
        <f>$K2004+$X2004</f>
      </c>
      <c r="AB2004" s="7">
        <f>$L2004+$Y2004</f>
      </c>
      <c r="AC2004" s="7">
        <f>$K2004-$X2004</f>
      </c>
      <c r="AD2004" s="7">
        <f>$L2004-$Y2004</f>
      </c>
      <c r="AE2004" s="7">
        <f>AA2004/39.3701</f>
      </c>
      <c r="AF2004" s="7">
        <f>AB2004/39.3701</f>
      </c>
      <c r="AG2004" s="7">
        <f>AC2004/39.3701</f>
      </c>
      <c r="AH2004" s="7">
        <f>AD2004/39.3701</f>
      </c>
      <c r="AI2004" s="1"/>
      <c r="AJ2004" s="1"/>
      <c r="AK2004" s="1"/>
      <c r="AL2004" s="1"/>
      <c r="AM2004" s="2"/>
      <c r="AN2004" s="1"/>
      <c r="AO2004" s="1"/>
      <c r="AP2004" s="1"/>
      <c r="AQ2004" s="1"/>
      <c r="AR2004" s="1"/>
      <c r="AS2004" s="1"/>
      <c r="AT2004" s="1"/>
      <c r="AU2004" s="1"/>
      <c r="AV2004" s="1"/>
      <c r="AW2004" s="1"/>
      <c r="AX2004" s="1"/>
      <c r="AY2004" s="1"/>
      <c r="AZ2004" s="1"/>
      <c r="BA2004" s="1"/>
      <c r="BB2004" s="1"/>
      <c r="BC2004" s="1"/>
      <c r="BD2004" s="1"/>
      <c r="BE2004" s="1"/>
    </row>
    <row x14ac:dyDescent="0.25" r="2005" customHeight="1" ht="18.75">
      <c r="A2005" s="1"/>
      <c r="B2005" s="2"/>
      <c r="C2005" s="2"/>
      <c r="D2005" s="2"/>
      <c r="E2005" s="2"/>
      <c r="F2005" s="2"/>
      <c r="G2005" s="1"/>
      <c r="H2005" s="1"/>
      <c r="I2005" s="7">
        <v>2.002</v>
      </c>
      <c r="J2005" s="7">
        <f>IF((I2005-ROUNDDOWN(I2005,0))=0, 0, (I2005-ROUNDDOWN(I2005,0)))</f>
      </c>
      <c r="K2005" s="7">
        <f>INDIRECT("C$"&amp;2+MIN(2,ROUNDDOWN(I2005,0))*3)*(-$J2005^3+3*$J2005^2-3*$J2005+1)+INDIRECT("C$"&amp;3+MIN(2,ROUNDDOWN(I2005,0))*3)*(3*$J2005^3-6*$J2005^2+3*$J2005)+INDIRECT("C$"&amp;4+MIN(2,ROUNDDOWN(I2005,0))*3)*(-3*$J2005^3+3*$J2005^2)+INDIRECT("C$"&amp;5+MIN(2,ROUNDDOWN(I2005,0))*3)*$J2005^3</f>
      </c>
      <c r="L2005" s="7">
        <f>INDIRECT("D$"&amp;2+MIN(2,ROUNDDOWN(I2005,0))*3)*(-$J2005^3+3*$J2005^2-3*$J2005+1)+INDIRECT("D$"&amp;3+MIN(2,ROUNDDOWN(I2005,0))*3)*(3*$J2005^3-6*$J2005^2+3*$J2005)+INDIRECT("D$"&amp;4+MIN(2,ROUNDDOWN(I2005,0))*3)*(-3*$J2005^3+3*$J2005^2)+INDIRECT("D$"&amp;5+MIN(2,ROUNDDOWN(I2005,0))*3)*$J2005^3</f>
      </c>
      <c r="M2005" s="7">
        <f>SQRT(K2005^2+L2005^2)</f>
      </c>
      <c r="N2005" s="7">
        <f>(K2006-K2004)</f>
      </c>
      <c r="O2005" s="7">
        <f>+(L2006-L2004)</f>
      </c>
      <c r="P2005" s="7">
        <f>SQRT(O2005^2+N2005^2)</f>
      </c>
      <c r="Q2005" s="7">
        <f>N2005/$P2005</f>
      </c>
      <c r="R2005" s="7">
        <f>O2005/$P2005</f>
      </c>
      <c r="S2005" s="7">
        <f>Q2005^2+R2005^2</f>
      </c>
      <c r="T2005" s="7">
        <f>-R2005</f>
      </c>
      <c r="U2005" s="7">
        <f>Q2005</f>
      </c>
      <c r="V2005" s="7">
        <f>($C$14+($C$15-$C$14)/($D$15-$D$14)*(I2005-$D$14))/2</f>
      </c>
      <c r="W2005" s="7">
        <f>($B$22*I2005^4+$C$22*I2005^3+$D$22*I2005^2+$E$22*I2005+$F$22)/2</f>
      </c>
      <c r="X2005" s="7">
        <f>($W2005)*(T2005)</f>
      </c>
      <c r="Y2005" s="7">
        <f>($W2005)*(U2005)</f>
      </c>
      <c r="Z2005" s="7">
        <f>SQRT(X2005^2+Y2005^2)</f>
      </c>
      <c r="AA2005" s="7">
        <f>$K2005+$X2005</f>
      </c>
      <c r="AB2005" s="7">
        <f>$L2005+$Y2005</f>
      </c>
      <c r="AC2005" s="7">
        <f>$K2005-$X2005</f>
      </c>
      <c r="AD2005" s="7">
        <f>$L2005-$Y2005</f>
      </c>
      <c r="AE2005" s="7">
        <f>AA2005/39.3701</f>
      </c>
      <c r="AF2005" s="7">
        <f>AB2005/39.3701</f>
      </c>
      <c r="AG2005" s="7">
        <f>AC2005/39.3701</f>
      </c>
      <c r="AH2005" s="7">
        <f>AD2005/39.3701</f>
      </c>
      <c r="AI2005" s="1"/>
      <c r="AJ2005" s="1"/>
      <c r="AK2005" s="1"/>
      <c r="AL2005" s="1"/>
      <c r="AM2005" s="2"/>
      <c r="AN2005" s="1"/>
      <c r="AO2005" s="1"/>
      <c r="AP2005" s="1"/>
      <c r="AQ2005" s="1"/>
      <c r="AR2005" s="1"/>
      <c r="AS2005" s="1"/>
      <c r="AT2005" s="1"/>
      <c r="AU2005" s="1"/>
      <c r="AV2005" s="1"/>
      <c r="AW2005" s="1"/>
      <c r="AX2005" s="1"/>
      <c r="AY2005" s="1"/>
      <c r="AZ2005" s="1"/>
      <c r="BA2005" s="1"/>
      <c r="BB2005" s="1"/>
      <c r="BC2005" s="1"/>
      <c r="BD2005" s="1"/>
      <c r="BE2005" s="1"/>
    </row>
    <row x14ac:dyDescent="0.25" r="2006" customHeight="1" ht="18.75">
      <c r="A2006" s="1"/>
      <c r="B2006" s="2"/>
      <c r="C2006" s="2"/>
      <c r="D2006" s="2"/>
      <c r="E2006" s="2"/>
      <c r="F2006" s="2"/>
      <c r="G2006" s="1"/>
      <c r="H2006" s="1"/>
      <c r="I2006" s="7">
        <v>2.003</v>
      </c>
      <c r="J2006" s="7">
        <f>IF((I2006-ROUNDDOWN(I2006,0))=0, 0, (I2006-ROUNDDOWN(I2006,0)))</f>
      </c>
      <c r="K2006" s="7">
        <f>INDIRECT("C$"&amp;2+MIN(2,ROUNDDOWN(I2006,0))*3)*(-$J2006^3+3*$J2006^2-3*$J2006+1)+INDIRECT("C$"&amp;3+MIN(2,ROUNDDOWN(I2006,0))*3)*(3*$J2006^3-6*$J2006^2+3*$J2006)+INDIRECT("C$"&amp;4+MIN(2,ROUNDDOWN(I2006,0))*3)*(-3*$J2006^3+3*$J2006^2)+INDIRECT("C$"&amp;5+MIN(2,ROUNDDOWN(I2006,0))*3)*$J2006^3</f>
      </c>
      <c r="L2006" s="7">
        <f>INDIRECT("D$"&amp;2+MIN(2,ROUNDDOWN(I2006,0))*3)*(-$J2006^3+3*$J2006^2-3*$J2006+1)+INDIRECT("D$"&amp;3+MIN(2,ROUNDDOWN(I2006,0))*3)*(3*$J2006^3-6*$J2006^2+3*$J2006)+INDIRECT("D$"&amp;4+MIN(2,ROUNDDOWN(I2006,0))*3)*(-3*$J2006^3+3*$J2006^2)+INDIRECT("D$"&amp;5+MIN(2,ROUNDDOWN(I2006,0))*3)*$J2006^3</f>
      </c>
      <c r="M2006" s="7">
        <f>SQRT(K2006^2+L2006^2)</f>
      </c>
      <c r="N2006" s="7">
        <f>(K2007-K2005)</f>
      </c>
      <c r="O2006" s="7">
        <f>+(L2007-L2005)</f>
      </c>
      <c r="P2006" s="7">
        <f>SQRT(O2006^2+N2006^2)</f>
      </c>
      <c r="Q2006" s="7">
        <f>N2006/$P2006</f>
      </c>
      <c r="R2006" s="7">
        <f>O2006/$P2006</f>
      </c>
      <c r="S2006" s="8">
        <f>Q2006^2+R2006^2</f>
      </c>
      <c r="T2006" s="7">
        <f>-R2006</f>
      </c>
      <c r="U2006" s="7">
        <f>Q2006</f>
      </c>
      <c r="V2006" s="7">
        <f>($C$14+($C$15-$C$14)/($D$15-$D$14)*(I2006-$D$14))/2</f>
      </c>
      <c r="W2006" s="7">
        <f>($B$22*I2006^4+$C$22*I2006^3+$D$22*I2006^2+$E$22*I2006+$F$22)/2</f>
      </c>
      <c r="X2006" s="7">
        <f>($W2006)*(T2006)</f>
      </c>
      <c r="Y2006" s="7">
        <f>($W2006)*(U2006)</f>
      </c>
      <c r="Z2006" s="7">
        <f>SQRT(X2006^2+Y2006^2)</f>
      </c>
      <c r="AA2006" s="7">
        <f>$K2006+$X2006</f>
      </c>
      <c r="AB2006" s="7">
        <f>$L2006+$Y2006</f>
      </c>
      <c r="AC2006" s="7">
        <f>$K2006-$X2006</f>
      </c>
      <c r="AD2006" s="7">
        <f>$L2006-$Y2006</f>
      </c>
      <c r="AE2006" s="7">
        <f>AA2006/39.3701</f>
      </c>
      <c r="AF2006" s="7">
        <f>AB2006/39.3701</f>
      </c>
      <c r="AG2006" s="7">
        <f>AC2006/39.3701</f>
      </c>
      <c r="AH2006" s="7">
        <f>AD2006/39.3701</f>
      </c>
      <c r="AI2006" s="1"/>
      <c r="AJ2006" s="1"/>
      <c r="AK2006" s="1"/>
      <c r="AL2006" s="1"/>
      <c r="AM2006" s="2"/>
      <c r="AN2006" s="1"/>
      <c r="AO2006" s="1"/>
      <c r="AP2006" s="1"/>
      <c r="AQ2006" s="1"/>
      <c r="AR2006" s="1"/>
      <c r="AS2006" s="1"/>
      <c r="AT2006" s="1"/>
      <c r="AU2006" s="1"/>
      <c r="AV2006" s="1"/>
      <c r="AW2006" s="1"/>
      <c r="AX2006" s="1"/>
      <c r="AY2006" s="1"/>
      <c r="AZ2006" s="1"/>
      <c r="BA2006" s="1"/>
      <c r="BB2006" s="1"/>
      <c r="BC2006" s="1"/>
      <c r="BD2006" s="1"/>
      <c r="BE2006" s="1"/>
    </row>
    <row x14ac:dyDescent="0.25" r="2007" customHeight="1" ht="18.75">
      <c r="A2007" s="1"/>
      <c r="B2007" s="2"/>
      <c r="C2007" s="2"/>
      <c r="D2007" s="2"/>
      <c r="E2007" s="2"/>
      <c r="F2007" s="2"/>
      <c r="G2007" s="1"/>
      <c r="H2007" s="1"/>
      <c r="I2007" s="7">
        <v>2.004</v>
      </c>
      <c r="J2007" s="7">
        <f>IF((I2007-ROUNDDOWN(I2007,0))=0, 0, (I2007-ROUNDDOWN(I2007,0)))</f>
      </c>
      <c r="K2007" s="7">
        <f>INDIRECT("C$"&amp;2+MIN(2,ROUNDDOWN(I2007,0))*3)*(-$J2007^3+3*$J2007^2-3*$J2007+1)+INDIRECT("C$"&amp;3+MIN(2,ROUNDDOWN(I2007,0))*3)*(3*$J2007^3-6*$J2007^2+3*$J2007)+INDIRECT("C$"&amp;4+MIN(2,ROUNDDOWN(I2007,0))*3)*(-3*$J2007^3+3*$J2007^2)+INDIRECT("C$"&amp;5+MIN(2,ROUNDDOWN(I2007,0))*3)*$J2007^3</f>
      </c>
      <c r="L2007" s="7">
        <f>INDIRECT("D$"&amp;2+MIN(2,ROUNDDOWN(I2007,0))*3)*(-$J2007^3+3*$J2007^2-3*$J2007+1)+INDIRECT("D$"&amp;3+MIN(2,ROUNDDOWN(I2007,0))*3)*(3*$J2007^3-6*$J2007^2+3*$J2007)+INDIRECT("D$"&amp;4+MIN(2,ROUNDDOWN(I2007,0))*3)*(-3*$J2007^3+3*$J2007^2)+INDIRECT("D$"&amp;5+MIN(2,ROUNDDOWN(I2007,0))*3)*$J2007^3</f>
      </c>
      <c r="M2007" s="7">
        <f>SQRT(K2007^2+L2007^2)</f>
      </c>
      <c r="N2007" s="7">
        <f>(K2008-K2006)</f>
      </c>
      <c r="O2007" s="7">
        <f>+(L2008-L2006)</f>
      </c>
      <c r="P2007" s="7">
        <f>SQRT(O2007^2+N2007^2)</f>
      </c>
      <c r="Q2007" s="7">
        <f>N2007/$P2007</f>
      </c>
      <c r="R2007" s="7">
        <f>O2007/$P2007</f>
      </c>
      <c r="S2007" s="8">
        <f>Q2007^2+R2007^2</f>
      </c>
      <c r="T2007" s="7">
        <f>-R2007</f>
      </c>
      <c r="U2007" s="7">
        <f>Q2007</f>
      </c>
      <c r="V2007" s="7">
        <f>($C$14+($C$15-$C$14)/($D$15-$D$14)*(I2007-$D$14))/2</f>
      </c>
      <c r="W2007" s="7">
        <f>($B$22*I2007^4+$C$22*I2007^3+$D$22*I2007^2+$E$22*I2007+$F$22)/2</f>
      </c>
      <c r="X2007" s="7">
        <f>($W2007)*(T2007)</f>
      </c>
      <c r="Y2007" s="7">
        <f>($W2007)*(U2007)</f>
      </c>
      <c r="Z2007" s="7">
        <f>SQRT(X2007^2+Y2007^2)</f>
      </c>
      <c r="AA2007" s="7">
        <f>$K2007+$X2007</f>
      </c>
      <c r="AB2007" s="7">
        <f>$L2007+$Y2007</f>
      </c>
      <c r="AC2007" s="7">
        <f>$K2007-$X2007</f>
      </c>
      <c r="AD2007" s="7">
        <f>$L2007-$Y2007</f>
      </c>
      <c r="AE2007" s="7">
        <f>AA2007/39.3701</f>
      </c>
      <c r="AF2007" s="7">
        <f>AB2007/39.3701</f>
      </c>
      <c r="AG2007" s="7">
        <f>AC2007/39.3701</f>
      </c>
      <c r="AH2007" s="7">
        <f>AD2007/39.3701</f>
      </c>
      <c r="AI2007" s="1"/>
      <c r="AJ2007" s="1"/>
      <c r="AK2007" s="1"/>
      <c r="AL2007" s="1"/>
      <c r="AM2007" s="2"/>
      <c r="AN2007" s="1"/>
      <c r="AO2007" s="1"/>
      <c r="AP2007" s="1"/>
      <c r="AQ2007" s="1"/>
      <c r="AR2007" s="1"/>
      <c r="AS2007" s="1"/>
      <c r="AT2007" s="1"/>
      <c r="AU2007" s="1"/>
      <c r="AV2007" s="1"/>
      <c r="AW2007" s="1"/>
      <c r="AX2007" s="1"/>
      <c r="AY2007" s="1"/>
      <c r="AZ2007" s="1"/>
      <c r="BA2007" s="1"/>
      <c r="BB2007" s="1"/>
      <c r="BC2007" s="1"/>
      <c r="BD2007" s="1"/>
      <c r="BE2007" s="1"/>
    </row>
    <row x14ac:dyDescent="0.25" r="2008" customHeight="1" ht="18.75">
      <c r="A2008" s="1"/>
      <c r="B2008" s="2"/>
      <c r="C2008" s="2"/>
      <c r="D2008" s="2"/>
      <c r="E2008" s="2"/>
      <c r="F2008" s="2"/>
      <c r="G2008" s="1"/>
      <c r="H2008" s="1"/>
      <c r="I2008" s="7">
        <v>2.005</v>
      </c>
      <c r="J2008" s="7">
        <f>IF((I2008-ROUNDDOWN(I2008,0))=0, 0, (I2008-ROUNDDOWN(I2008,0)))</f>
      </c>
      <c r="K2008" s="7">
        <f>INDIRECT("C$"&amp;2+MIN(2,ROUNDDOWN(I2008,0))*3)*(-$J2008^3+3*$J2008^2-3*$J2008+1)+INDIRECT("C$"&amp;3+MIN(2,ROUNDDOWN(I2008,0))*3)*(3*$J2008^3-6*$J2008^2+3*$J2008)+INDIRECT("C$"&amp;4+MIN(2,ROUNDDOWN(I2008,0))*3)*(-3*$J2008^3+3*$J2008^2)+INDIRECT("C$"&amp;5+MIN(2,ROUNDDOWN(I2008,0))*3)*$J2008^3</f>
      </c>
      <c r="L2008" s="7">
        <f>INDIRECT("D$"&amp;2+MIN(2,ROUNDDOWN(I2008,0))*3)*(-$J2008^3+3*$J2008^2-3*$J2008+1)+INDIRECT("D$"&amp;3+MIN(2,ROUNDDOWN(I2008,0))*3)*(3*$J2008^3-6*$J2008^2+3*$J2008)+INDIRECT("D$"&amp;4+MIN(2,ROUNDDOWN(I2008,0))*3)*(-3*$J2008^3+3*$J2008^2)+INDIRECT("D$"&amp;5+MIN(2,ROUNDDOWN(I2008,0))*3)*$J2008^3</f>
      </c>
      <c r="M2008" s="7">
        <f>SQRT(K2008^2+L2008^2)</f>
      </c>
      <c r="N2008" s="7">
        <f>(K2009-K2007)</f>
      </c>
      <c r="O2008" s="7">
        <f>+(L2009-L2007)</f>
      </c>
      <c r="P2008" s="7">
        <f>SQRT(O2008^2+N2008^2)</f>
      </c>
      <c r="Q2008" s="7">
        <f>N2008/$P2008</f>
      </c>
      <c r="R2008" s="7">
        <f>O2008/$P2008</f>
      </c>
      <c r="S2008" s="7">
        <f>Q2008^2+R2008^2</f>
      </c>
      <c r="T2008" s="7">
        <f>-R2008</f>
      </c>
      <c r="U2008" s="7">
        <f>Q2008</f>
      </c>
      <c r="V2008" s="7">
        <f>($C$14+($C$15-$C$14)/($D$15-$D$14)*(I2008-$D$14))/2</f>
      </c>
      <c r="W2008" s="7">
        <f>($B$22*I2008^4+$C$22*I2008^3+$D$22*I2008^2+$E$22*I2008+$F$22)/2</f>
      </c>
      <c r="X2008" s="7">
        <f>($W2008)*(T2008)</f>
      </c>
      <c r="Y2008" s="7">
        <f>($W2008)*(U2008)</f>
      </c>
      <c r="Z2008" s="7">
        <f>SQRT(X2008^2+Y2008^2)</f>
      </c>
      <c r="AA2008" s="7">
        <f>$K2008+$X2008</f>
      </c>
      <c r="AB2008" s="7">
        <f>$L2008+$Y2008</f>
      </c>
      <c r="AC2008" s="7">
        <f>$K2008-$X2008</f>
      </c>
      <c r="AD2008" s="7">
        <f>$L2008-$Y2008</f>
      </c>
      <c r="AE2008" s="7">
        <f>AA2008/39.3701</f>
      </c>
      <c r="AF2008" s="7">
        <f>AB2008/39.3701</f>
      </c>
      <c r="AG2008" s="7">
        <f>AC2008/39.3701</f>
      </c>
      <c r="AH2008" s="7">
        <f>AD2008/39.3701</f>
      </c>
      <c r="AI2008" s="1"/>
      <c r="AJ2008" s="1"/>
      <c r="AK2008" s="1"/>
      <c r="AL2008" s="1"/>
      <c r="AM2008" s="2"/>
      <c r="AN2008" s="1"/>
      <c r="AO2008" s="1"/>
      <c r="AP2008" s="1"/>
      <c r="AQ2008" s="1"/>
      <c r="AR2008" s="1"/>
      <c r="AS2008" s="1"/>
      <c r="AT2008" s="1"/>
      <c r="AU2008" s="1"/>
      <c r="AV2008" s="1"/>
      <c r="AW2008" s="1"/>
      <c r="AX2008" s="1"/>
      <c r="AY2008" s="1"/>
      <c r="AZ2008" s="1"/>
      <c r="BA2008" s="1"/>
      <c r="BB2008" s="1"/>
      <c r="BC2008" s="1"/>
      <c r="BD2008" s="1"/>
      <c r="BE2008" s="1"/>
    </row>
    <row x14ac:dyDescent="0.25" r="2009" customHeight="1" ht="18.75">
      <c r="A2009" s="1"/>
      <c r="B2009" s="2"/>
      <c r="C2009" s="2"/>
      <c r="D2009" s="2"/>
      <c r="E2009" s="2"/>
      <c r="F2009" s="2"/>
      <c r="G2009" s="1"/>
      <c r="H2009" s="1"/>
      <c r="I2009" s="7">
        <v>2.006</v>
      </c>
      <c r="J2009" s="7">
        <f>IF((I2009-ROUNDDOWN(I2009,0))=0, 0, (I2009-ROUNDDOWN(I2009,0)))</f>
      </c>
      <c r="K2009" s="7">
        <f>INDIRECT("C$"&amp;2+MIN(2,ROUNDDOWN(I2009,0))*3)*(-$J2009^3+3*$J2009^2-3*$J2009+1)+INDIRECT("C$"&amp;3+MIN(2,ROUNDDOWN(I2009,0))*3)*(3*$J2009^3-6*$J2009^2+3*$J2009)+INDIRECT("C$"&amp;4+MIN(2,ROUNDDOWN(I2009,0))*3)*(-3*$J2009^3+3*$J2009^2)+INDIRECT("C$"&amp;5+MIN(2,ROUNDDOWN(I2009,0))*3)*$J2009^3</f>
      </c>
      <c r="L2009" s="7">
        <f>INDIRECT("D$"&amp;2+MIN(2,ROUNDDOWN(I2009,0))*3)*(-$J2009^3+3*$J2009^2-3*$J2009+1)+INDIRECT("D$"&amp;3+MIN(2,ROUNDDOWN(I2009,0))*3)*(3*$J2009^3-6*$J2009^2+3*$J2009)+INDIRECT("D$"&amp;4+MIN(2,ROUNDDOWN(I2009,0))*3)*(-3*$J2009^3+3*$J2009^2)+INDIRECT("D$"&amp;5+MIN(2,ROUNDDOWN(I2009,0))*3)*$J2009^3</f>
      </c>
      <c r="M2009" s="7">
        <f>SQRT(K2009^2+L2009^2)</f>
      </c>
      <c r="N2009" s="7">
        <f>(K2010-K2008)</f>
      </c>
      <c r="O2009" s="7">
        <f>+(L2010-L2008)</f>
      </c>
      <c r="P2009" s="7">
        <f>SQRT(O2009^2+N2009^2)</f>
      </c>
      <c r="Q2009" s="7">
        <f>N2009/$P2009</f>
      </c>
      <c r="R2009" s="7">
        <f>O2009/$P2009</f>
      </c>
      <c r="S2009" s="8">
        <f>Q2009^2+R2009^2</f>
      </c>
      <c r="T2009" s="7">
        <f>-R2009</f>
      </c>
      <c r="U2009" s="7">
        <f>Q2009</f>
      </c>
      <c r="V2009" s="7">
        <f>($C$14+($C$15-$C$14)/($D$15-$D$14)*(I2009-$D$14))/2</f>
      </c>
      <c r="W2009" s="7">
        <f>($B$22*I2009^4+$C$22*I2009^3+$D$22*I2009^2+$E$22*I2009+$F$22)/2</f>
      </c>
      <c r="X2009" s="7">
        <f>($W2009)*(T2009)</f>
      </c>
      <c r="Y2009" s="7">
        <f>($W2009)*(U2009)</f>
      </c>
      <c r="Z2009" s="7">
        <f>SQRT(X2009^2+Y2009^2)</f>
      </c>
      <c r="AA2009" s="7">
        <f>$K2009+$X2009</f>
      </c>
      <c r="AB2009" s="7">
        <f>$L2009+$Y2009</f>
      </c>
      <c r="AC2009" s="7">
        <f>$K2009-$X2009</f>
      </c>
      <c r="AD2009" s="7">
        <f>$L2009-$Y2009</f>
      </c>
      <c r="AE2009" s="7">
        <f>AA2009/39.3701</f>
      </c>
      <c r="AF2009" s="7">
        <f>AB2009/39.3701</f>
      </c>
      <c r="AG2009" s="7">
        <f>AC2009/39.3701</f>
      </c>
      <c r="AH2009" s="7">
        <f>AD2009/39.3701</f>
      </c>
      <c r="AI2009" s="1"/>
      <c r="AJ2009" s="1"/>
      <c r="AK2009" s="1"/>
      <c r="AL2009" s="1"/>
      <c r="AM2009" s="2"/>
      <c r="AN2009" s="1"/>
      <c r="AO2009" s="1"/>
      <c r="AP2009" s="1"/>
      <c r="AQ2009" s="1"/>
      <c r="AR2009" s="1"/>
      <c r="AS2009" s="1"/>
      <c r="AT2009" s="1"/>
      <c r="AU2009" s="1"/>
      <c r="AV2009" s="1"/>
      <c r="AW2009" s="1"/>
      <c r="AX2009" s="1"/>
      <c r="AY2009" s="1"/>
      <c r="AZ2009" s="1"/>
      <c r="BA2009" s="1"/>
      <c r="BB2009" s="1"/>
      <c r="BC2009" s="1"/>
      <c r="BD2009" s="1"/>
      <c r="BE2009" s="1"/>
    </row>
    <row x14ac:dyDescent="0.25" r="2010" customHeight="1" ht="18.75">
      <c r="A2010" s="1"/>
      <c r="B2010" s="2"/>
      <c r="C2010" s="2"/>
      <c r="D2010" s="2"/>
      <c r="E2010" s="2"/>
      <c r="F2010" s="2"/>
      <c r="G2010" s="1"/>
      <c r="H2010" s="1"/>
      <c r="I2010" s="7">
        <v>2.007</v>
      </c>
      <c r="J2010" s="7">
        <f>IF((I2010-ROUNDDOWN(I2010,0))=0, 0, (I2010-ROUNDDOWN(I2010,0)))</f>
      </c>
      <c r="K2010" s="7">
        <f>INDIRECT("C$"&amp;2+MIN(2,ROUNDDOWN(I2010,0))*3)*(-$J2010^3+3*$J2010^2-3*$J2010+1)+INDIRECT("C$"&amp;3+MIN(2,ROUNDDOWN(I2010,0))*3)*(3*$J2010^3-6*$J2010^2+3*$J2010)+INDIRECT("C$"&amp;4+MIN(2,ROUNDDOWN(I2010,0))*3)*(-3*$J2010^3+3*$J2010^2)+INDIRECT("C$"&amp;5+MIN(2,ROUNDDOWN(I2010,0))*3)*$J2010^3</f>
      </c>
      <c r="L2010" s="7">
        <f>INDIRECT("D$"&amp;2+MIN(2,ROUNDDOWN(I2010,0))*3)*(-$J2010^3+3*$J2010^2-3*$J2010+1)+INDIRECT("D$"&amp;3+MIN(2,ROUNDDOWN(I2010,0))*3)*(3*$J2010^3-6*$J2010^2+3*$J2010)+INDIRECT("D$"&amp;4+MIN(2,ROUNDDOWN(I2010,0))*3)*(-3*$J2010^3+3*$J2010^2)+INDIRECT("D$"&amp;5+MIN(2,ROUNDDOWN(I2010,0))*3)*$J2010^3</f>
      </c>
      <c r="M2010" s="7">
        <f>SQRT(K2010^2+L2010^2)</f>
      </c>
      <c r="N2010" s="7">
        <f>(K2011-K2009)</f>
      </c>
      <c r="O2010" s="7">
        <f>+(L2011-L2009)</f>
      </c>
      <c r="P2010" s="7">
        <f>SQRT(O2010^2+N2010^2)</f>
      </c>
      <c r="Q2010" s="7">
        <f>N2010/$P2010</f>
      </c>
      <c r="R2010" s="7">
        <f>O2010/$P2010</f>
      </c>
      <c r="S2010" s="7">
        <f>Q2010^2+R2010^2</f>
      </c>
      <c r="T2010" s="7">
        <f>-R2010</f>
      </c>
      <c r="U2010" s="7">
        <f>Q2010</f>
      </c>
      <c r="V2010" s="7">
        <f>($C$14+($C$15-$C$14)/($D$15-$D$14)*(I2010-$D$14))/2</f>
      </c>
      <c r="W2010" s="7">
        <f>($B$22*I2010^4+$C$22*I2010^3+$D$22*I2010^2+$E$22*I2010+$F$22)/2</f>
      </c>
      <c r="X2010" s="7">
        <f>($W2010)*(T2010)</f>
      </c>
      <c r="Y2010" s="7">
        <f>($W2010)*(U2010)</f>
      </c>
      <c r="Z2010" s="7">
        <f>SQRT(X2010^2+Y2010^2)</f>
      </c>
      <c r="AA2010" s="7">
        <f>$K2010+$X2010</f>
      </c>
      <c r="AB2010" s="7">
        <f>$L2010+$Y2010</f>
      </c>
      <c r="AC2010" s="7">
        <f>$K2010-$X2010</f>
      </c>
      <c r="AD2010" s="7">
        <f>$L2010-$Y2010</f>
      </c>
      <c r="AE2010" s="7">
        <f>AA2010/39.3701</f>
      </c>
      <c r="AF2010" s="7">
        <f>AB2010/39.3701</f>
      </c>
      <c r="AG2010" s="7">
        <f>AC2010/39.3701</f>
      </c>
      <c r="AH2010" s="7">
        <f>AD2010/39.3701</f>
      </c>
      <c r="AI2010" s="1"/>
      <c r="AJ2010" s="1"/>
      <c r="AK2010" s="1"/>
      <c r="AL2010" s="1"/>
      <c r="AM2010" s="2"/>
      <c r="AN2010" s="1"/>
      <c r="AO2010" s="1"/>
      <c r="AP2010" s="1"/>
      <c r="AQ2010" s="1"/>
      <c r="AR2010" s="1"/>
      <c r="AS2010" s="1"/>
      <c r="AT2010" s="1"/>
      <c r="AU2010" s="1"/>
      <c r="AV2010" s="1"/>
      <c r="AW2010" s="1"/>
      <c r="AX2010" s="1"/>
      <c r="AY2010" s="1"/>
      <c r="AZ2010" s="1"/>
      <c r="BA2010" s="1"/>
      <c r="BB2010" s="1"/>
      <c r="BC2010" s="1"/>
      <c r="BD2010" s="1"/>
      <c r="BE2010" s="1"/>
    </row>
    <row x14ac:dyDescent="0.25" r="2011" customHeight="1" ht="18.75">
      <c r="A2011" s="1"/>
      <c r="B2011" s="2"/>
      <c r="C2011" s="2"/>
      <c r="D2011" s="2"/>
      <c r="E2011" s="2"/>
      <c r="F2011" s="2"/>
      <c r="G2011" s="1"/>
      <c r="H2011" s="1"/>
      <c r="I2011" s="7">
        <v>2.008</v>
      </c>
      <c r="J2011" s="7">
        <f>IF((I2011-ROUNDDOWN(I2011,0))=0, 0, (I2011-ROUNDDOWN(I2011,0)))</f>
      </c>
      <c r="K2011" s="7">
        <f>INDIRECT("C$"&amp;2+MIN(2,ROUNDDOWN(I2011,0))*3)*(-$J2011^3+3*$J2011^2-3*$J2011+1)+INDIRECT("C$"&amp;3+MIN(2,ROUNDDOWN(I2011,0))*3)*(3*$J2011^3-6*$J2011^2+3*$J2011)+INDIRECT("C$"&amp;4+MIN(2,ROUNDDOWN(I2011,0))*3)*(-3*$J2011^3+3*$J2011^2)+INDIRECT("C$"&amp;5+MIN(2,ROUNDDOWN(I2011,0))*3)*$J2011^3</f>
      </c>
      <c r="L2011" s="7">
        <f>INDIRECT("D$"&amp;2+MIN(2,ROUNDDOWN(I2011,0))*3)*(-$J2011^3+3*$J2011^2-3*$J2011+1)+INDIRECT("D$"&amp;3+MIN(2,ROUNDDOWN(I2011,0))*3)*(3*$J2011^3-6*$J2011^2+3*$J2011)+INDIRECT("D$"&amp;4+MIN(2,ROUNDDOWN(I2011,0))*3)*(-3*$J2011^3+3*$J2011^2)+INDIRECT("D$"&amp;5+MIN(2,ROUNDDOWN(I2011,0))*3)*$J2011^3</f>
      </c>
      <c r="M2011" s="7">
        <f>SQRT(K2011^2+L2011^2)</f>
      </c>
      <c r="N2011" s="7">
        <f>(K2012-K2010)</f>
      </c>
      <c r="O2011" s="7">
        <f>+(L2012-L2010)</f>
      </c>
      <c r="P2011" s="7">
        <f>SQRT(O2011^2+N2011^2)</f>
      </c>
      <c r="Q2011" s="7">
        <f>N2011/$P2011</f>
      </c>
      <c r="R2011" s="7">
        <f>O2011/$P2011</f>
      </c>
      <c r="S2011" s="8">
        <f>Q2011^2+R2011^2</f>
      </c>
      <c r="T2011" s="7">
        <f>-R2011</f>
      </c>
      <c r="U2011" s="7">
        <f>Q2011</f>
      </c>
      <c r="V2011" s="7">
        <f>($C$14+($C$15-$C$14)/($D$15-$D$14)*(I2011-$D$14))/2</f>
      </c>
      <c r="W2011" s="7">
        <f>($B$22*I2011^4+$C$22*I2011^3+$D$22*I2011^2+$E$22*I2011+$F$22)/2</f>
      </c>
      <c r="X2011" s="7">
        <f>($W2011)*(T2011)</f>
      </c>
      <c r="Y2011" s="7">
        <f>($W2011)*(U2011)</f>
      </c>
      <c r="Z2011" s="7">
        <f>SQRT(X2011^2+Y2011^2)</f>
      </c>
      <c r="AA2011" s="7">
        <f>$K2011+$X2011</f>
      </c>
      <c r="AB2011" s="7">
        <f>$L2011+$Y2011</f>
      </c>
      <c r="AC2011" s="7">
        <f>$K2011-$X2011</f>
      </c>
      <c r="AD2011" s="7">
        <f>$L2011-$Y2011</f>
      </c>
      <c r="AE2011" s="7">
        <f>AA2011/39.3701</f>
      </c>
      <c r="AF2011" s="7">
        <f>AB2011/39.3701</f>
      </c>
      <c r="AG2011" s="7">
        <f>AC2011/39.3701</f>
      </c>
      <c r="AH2011" s="7">
        <f>AD2011/39.3701</f>
      </c>
      <c r="AI2011" s="1"/>
      <c r="AJ2011" s="1"/>
      <c r="AK2011" s="1"/>
      <c r="AL2011" s="1"/>
      <c r="AM2011" s="2"/>
      <c r="AN2011" s="1"/>
      <c r="AO2011" s="1"/>
      <c r="AP2011" s="1"/>
      <c r="AQ2011" s="1"/>
      <c r="AR2011" s="1"/>
      <c r="AS2011" s="1"/>
      <c r="AT2011" s="1"/>
      <c r="AU2011" s="1"/>
      <c r="AV2011" s="1"/>
      <c r="AW2011" s="1"/>
      <c r="AX2011" s="1"/>
      <c r="AY2011" s="1"/>
      <c r="AZ2011" s="1"/>
      <c r="BA2011" s="1"/>
      <c r="BB2011" s="1"/>
      <c r="BC2011" s="1"/>
      <c r="BD2011" s="1"/>
      <c r="BE2011" s="1"/>
    </row>
    <row x14ac:dyDescent="0.25" r="2012" customHeight="1" ht="18.75">
      <c r="A2012" s="1"/>
      <c r="B2012" s="2"/>
      <c r="C2012" s="2"/>
      <c r="D2012" s="2"/>
      <c r="E2012" s="2"/>
      <c r="F2012" s="2"/>
      <c r="G2012" s="1"/>
      <c r="H2012" s="1"/>
      <c r="I2012" s="7">
        <v>2.009</v>
      </c>
      <c r="J2012" s="7">
        <f>IF((I2012-ROUNDDOWN(I2012,0))=0, 0, (I2012-ROUNDDOWN(I2012,0)))</f>
      </c>
      <c r="K2012" s="7">
        <f>INDIRECT("C$"&amp;2+MIN(2,ROUNDDOWN(I2012,0))*3)*(-$J2012^3+3*$J2012^2-3*$J2012+1)+INDIRECT("C$"&amp;3+MIN(2,ROUNDDOWN(I2012,0))*3)*(3*$J2012^3-6*$J2012^2+3*$J2012)+INDIRECT("C$"&amp;4+MIN(2,ROUNDDOWN(I2012,0))*3)*(-3*$J2012^3+3*$J2012^2)+INDIRECT("C$"&amp;5+MIN(2,ROUNDDOWN(I2012,0))*3)*$J2012^3</f>
      </c>
      <c r="L2012" s="7">
        <f>INDIRECT("D$"&amp;2+MIN(2,ROUNDDOWN(I2012,0))*3)*(-$J2012^3+3*$J2012^2-3*$J2012+1)+INDIRECT("D$"&amp;3+MIN(2,ROUNDDOWN(I2012,0))*3)*(3*$J2012^3-6*$J2012^2+3*$J2012)+INDIRECT("D$"&amp;4+MIN(2,ROUNDDOWN(I2012,0))*3)*(-3*$J2012^3+3*$J2012^2)+INDIRECT("D$"&amp;5+MIN(2,ROUNDDOWN(I2012,0))*3)*$J2012^3</f>
      </c>
      <c r="M2012" s="7">
        <f>SQRT(K2012^2+L2012^2)</f>
      </c>
      <c r="N2012" s="7">
        <f>(K2013-K2011)</f>
      </c>
      <c r="O2012" s="7">
        <f>+(L2013-L2011)</f>
      </c>
      <c r="P2012" s="7">
        <f>SQRT(O2012^2+N2012^2)</f>
      </c>
      <c r="Q2012" s="7">
        <f>N2012/$P2012</f>
      </c>
      <c r="R2012" s="7">
        <f>O2012/$P2012</f>
      </c>
      <c r="S2012" s="7">
        <f>Q2012^2+R2012^2</f>
      </c>
      <c r="T2012" s="7">
        <f>-R2012</f>
      </c>
      <c r="U2012" s="7">
        <f>Q2012</f>
      </c>
      <c r="V2012" s="7">
        <f>($C$14+($C$15-$C$14)/($D$15-$D$14)*(I2012-$D$14))/2</f>
      </c>
      <c r="W2012" s="7">
        <f>($B$22*I2012^4+$C$22*I2012^3+$D$22*I2012^2+$E$22*I2012+$F$22)/2</f>
      </c>
      <c r="X2012" s="7">
        <f>($W2012)*(T2012)</f>
      </c>
      <c r="Y2012" s="7">
        <f>($W2012)*(U2012)</f>
      </c>
      <c r="Z2012" s="7">
        <f>SQRT(X2012^2+Y2012^2)</f>
      </c>
      <c r="AA2012" s="7">
        <f>$K2012+$X2012</f>
      </c>
      <c r="AB2012" s="7">
        <f>$L2012+$Y2012</f>
      </c>
      <c r="AC2012" s="7">
        <f>$K2012-$X2012</f>
      </c>
      <c r="AD2012" s="7">
        <f>$L2012-$Y2012</f>
      </c>
      <c r="AE2012" s="7">
        <f>AA2012/39.3701</f>
      </c>
      <c r="AF2012" s="7">
        <f>AB2012/39.3701</f>
      </c>
      <c r="AG2012" s="7">
        <f>AC2012/39.3701</f>
      </c>
      <c r="AH2012" s="7">
        <f>AD2012/39.3701</f>
      </c>
      <c r="AI2012" s="1"/>
      <c r="AJ2012" s="1"/>
      <c r="AK2012" s="1"/>
      <c r="AL2012" s="1"/>
      <c r="AM2012" s="2"/>
      <c r="AN2012" s="1"/>
      <c r="AO2012" s="1"/>
      <c r="AP2012" s="1"/>
      <c r="AQ2012" s="1"/>
      <c r="AR2012" s="1"/>
      <c r="AS2012" s="1"/>
      <c r="AT2012" s="1"/>
      <c r="AU2012" s="1"/>
      <c r="AV2012" s="1"/>
      <c r="AW2012" s="1"/>
      <c r="AX2012" s="1"/>
      <c r="AY2012" s="1"/>
      <c r="AZ2012" s="1"/>
      <c r="BA2012" s="1"/>
      <c r="BB2012" s="1"/>
      <c r="BC2012" s="1"/>
      <c r="BD2012" s="1"/>
      <c r="BE2012" s="1"/>
    </row>
    <row x14ac:dyDescent="0.25" r="2013" customHeight="1" ht="18.75">
      <c r="A2013" s="1"/>
      <c r="B2013" s="2"/>
      <c r="C2013" s="2"/>
      <c r="D2013" s="2"/>
      <c r="E2013" s="2"/>
      <c r="F2013" s="2"/>
      <c r="G2013" s="1"/>
      <c r="H2013" s="1"/>
      <c r="I2013" s="7">
        <v>2.01</v>
      </c>
      <c r="J2013" s="7">
        <f>IF((I2013-ROUNDDOWN(I2013,0))=0, 0, (I2013-ROUNDDOWN(I2013,0)))</f>
      </c>
      <c r="K2013" s="7">
        <f>INDIRECT("C$"&amp;2+MIN(2,ROUNDDOWN(I2013,0))*3)*(-$J2013^3+3*$J2013^2-3*$J2013+1)+INDIRECT("C$"&amp;3+MIN(2,ROUNDDOWN(I2013,0))*3)*(3*$J2013^3-6*$J2013^2+3*$J2013)+INDIRECT("C$"&amp;4+MIN(2,ROUNDDOWN(I2013,0))*3)*(-3*$J2013^3+3*$J2013^2)+INDIRECT("C$"&amp;5+MIN(2,ROUNDDOWN(I2013,0))*3)*$J2013^3</f>
      </c>
      <c r="L2013" s="7">
        <f>INDIRECT("D$"&amp;2+MIN(2,ROUNDDOWN(I2013,0))*3)*(-$J2013^3+3*$J2013^2-3*$J2013+1)+INDIRECT("D$"&amp;3+MIN(2,ROUNDDOWN(I2013,0))*3)*(3*$J2013^3-6*$J2013^2+3*$J2013)+INDIRECT("D$"&amp;4+MIN(2,ROUNDDOWN(I2013,0))*3)*(-3*$J2013^3+3*$J2013^2)+INDIRECT("D$"&amp;5+MIN(2,ROUNDDOWN(I2013,0))*3)*$J2013^3</f>
      </c>
      <c r="M2013" s="7">
        <f>SQRT(K2013^2+L2013^2)</f>
      </c>
      <c r="N2013" s="7">
        <f>(K2014-K2012)</f>
      </c>
      <c r="O2013" s="7">
        <f>+(L2014-L2012)</f>
      </c>
      <c r="P2013" s="7">
        <f>SQRT(O2013^2+N2013^2)</f>
      </c>
      <c r="Q2013" s="7">
        <f>N2013/$P2013</f>
      </c>
      <c r="R2013" s="7">
        <f>O2013/$P2013</f>
      </c>
      <c r="S2013" s="8">
        <f>Q2013^2+R2013^2</f>
      </c>
      <c r="T2013" s="7">
        <f>-R2013</f>
      </c>
      <c r="U2013" s="7">
        <f>Q2013</f>
      </c>
      <c r="V2013" s="7">
        <f>($C$14+($C$15-$C$14)/($D$15-$D$14)*(I2013-$D$14))/2</f>
      </c>
      <c r="W2013" s="7">
        <f>($B$22*I2013^4+$C$22*I2013^3+$D$22*I2013^2+$E$22*I2013+$F$22)/2</f>
      </c>
      <c r="X2013" s="7">
        <f>($W2013)*(T2013)</f>
      </c>
      <c r="Y2013" s="7">
        <f>($W2013)*(U2013)</f>
      </c>
      <c r="Z2013" s="7">
        <f>SQRT(X2013^2+Y2013^2)</f>
      </c>
      <c r="AA2013" s="7">
        <f>$K2013+$X2013</f>
      </c>
      <c r="AB2013" s="7">
        <f>$L2013+$Y2013</f>
      </c>
      <c r="AC2013" s="7">
        <f>$K2013-$X2013</f>
      </c>
      <c r="AD2013" s="7">
        <f>$L2013-$Y2013</f>
      </c>
      <c r="AE2013" s="7">
        <f>AA2013/39.3701</f>
      </c>
      <c r="AF2013" s="7">
        <f>AB2013/39.3701</f>
      </c>
      <c r="AG2013" s="7">
        <f>AC2013/39.3701</f>
      </c>
      <c r="AH2013" s="7">
        <f>AD2013/39.3701</f>
      </c>
      <c r="AI2013" s="1"/>
      <c r="AJ2013" s="1"/>
      <c r="AK2013" s="1"/>
      <c r="AL2013" s="1"/>
      <c r="AM2013" s="2"/>
      <c r="AN2013" s="1"/>
      <c r="AO2013" s="1"/>
      <c r="AP2013" s="1"/>
      <c r="AQ2013" s="1"/>
      <c r="AR2013" s="1"/>
      <c r="AS2013" s="1"/>
      <c r="AT2013" s="1"/>
      <c r="AU2013" s="1"/>
      <c r="AV2013" s="1"/>
      <c r="AW2013" s="1"/>
      <c r="AX2013" s="1"/>
      <c r="AY2013" s="1"/>
      <c r="AZ2013" s="1"/>
      <c r="BA2013" s="1"/>
      <c r="BB2013" s="1"/>
      <c r="BC2013" s="1"/>
      <c r="BD2013" s="1"/>
      <c r="BE2013" s="1"/>
    </row>
    <row x14ac:dyDescent="0.25" r="2014" customHeight="1" ht="18.75">
      <c r="A2014" s="1"/>
      <c r="B2014" s="2"/>
      <c r="C2014" s="2"/>
      <c r="D2014" s="2"/>
      <c r="E2014" s="2"/>
      <c r="F2014" s="2"/>
      <c r="G2014" s="1"/>
      <c r="H2014" s="1"/>
      <c r="I2014" s="7">
        <v>2.011</v>
      </c>
      <c r="J2014" s="7">
        <f>IF((I2014-ROUNDDOWN(I2014,0))=0, 0, (I2014-ROUNDDOWN(I2014,0)))</f>
      </c>
      <c r="K2014" s="7">
        <f>INDIRECT("C$"&amp;2+MIN(2,ROUNDDOWN(I2014,0))*3)*(-$J2014^3+3*$J2014^2-3*$J2014+1)+INDIRECT("C$"&amp;3+MIN(2,ROUNDDOWN(I2014,0))*3)*(3*$J2014^3-6*$J2014^2+3*$J2014)+INDIRECT("C$"&amp;4+MIN(2,ROUNDDOWN(I2014,0))*3)*(-3*$J2014^3+3*$J2014^2)+INDIRECT("C$"&amp;5+MIN(2,ROUNDDOWN(I2014,0))*3)*$J2014^3</f>
      </c>
      <c r="L2014" s="7">
        <f>INDIRECT("D$"&amp;2+MIN(2,ROUNDDOWN(I2014,0))*3)*(-$J2014^3+3*$J2014^2-3*$J2014+1)+INDIRECT("D$"&amp;3+MIN(2,ROUNDDOWN(I2014,0))*3)*(3*$J2014^3-6*$J2014^2+3*$J2014)+INDIRECT("D$"&amp;4+MIN(2,ROUNDDOWN(I2014,0))*3)*(-3*$J2014^3+3*$J2014^2)+INDIRECT("D$"&amp;5+MIN(2,ROUNDDOWN(I2014,0))*3)*$J2014^3</f>
      </c>
      <c r="M2014" s="7">
        <f>SQRT(K2014^2+L2014^2)</f>
      </c>
      <c r="N2014" s="7">
        <f>(K2015-K2013)</f>
      </c>
      <c r="O2014" s="7">
        <f>+(L2015-L2013)</f>
      </c>
      <c r="P2014" s="7">
        <f>SQRT(O2014^2+N2014^2)</f>
      </c>
      <c r="Q2014" s="7">
        <f>N2014/$P2014</f>
      </c>
      <c r="R2014" s="7">
        <f>O2014/$P2014</f>
      </c>
      <c r="S2014" s="8">
        <f>Q2014^2+R2014^2</f>
      </c>
      <c r="T2014" s="7">
        <f>-R2014</f>
      </c>
      <c r="U2014" s="7">
        <f>Q2014</f>
      </c>
      <c r="V2014" s="7">
        <f>($C$14+($C$15-$C$14)/($D$15-$D$14)*(I2014-$D$14))/2</f>
      </c>
      <c r="W2014" s="7">
        <f>($B$22*I2014^4+$C$22*I2014^3+$D$22*I2014^2+$E$22*I2014+$F$22)/2</f>
      </c>
      <c r="X2014" s="7">
        <f>($W2014)*(T2014)</f>
      </c>
      <c r="Y2014" s="7">
        <f>($W2014)*(U2014)</f>
      </c>
      <c r="Z2014" s="7">
        <f>SQRT(X2014^2+Y2014^2)</f>
      </c>
      <c r="AA2014" s="7">
        <f>$K2014+$X2014</f>
      </c>
      <c r="AB2014" s="7">
        <f>$L2014+$Y2014</f>
      </c>
      <c r="AC2014" s="7">
        <f>$K2014-$X2014</f>
      </c>
      <c r="AD2014" s="7">
        <f>$L2014-$Y2014</f>
      </c>
      <c r="AE2014" s="7">
        <f>AA2014/39.3701</f>
      </c>
      <c r="AF2014" s="7">
        <f>AB2014/39.3701</f>
      </c>
      <c r="AG2014" s="7">
        <f>AC2014/39.3701</f>
      </c>
      <c r="AH2014" s="7">
        <f>AD2014/39.3701</f>
      </c>
      <c r="AI2014" s="1"/>
      <c r="AJ2014" s="1"/>
      <c r="AK2014" s="1"/>
      <c r="AL2014" s="1"/>
      <c r="AM2014" s="2"/>
      <c r="AN2014" s="1"/>
      <c r="AO2014" s="1"/>
      <c r="AP2014" s="1"/>
      <c r="AQ2014" s="1"/>
      <c r="AR2014" s="1"/>
      <c r="AS2014" s="1"/>
      <c r="AT2014" s="1"/>
      <c r="AU2014" s="1"/>
      <c r="AV2014" s="1"/>
      <c r="AW2014" s="1"/>
      <c r="AX2014" s="1"/>
      <c r="AY2014" s="1"/>
      <c r="AZ2014" s="1"/>
      <c r="BA2014" s="1"/>
      <c r="BB2014" s="1"/>
      <c r="BC2014" s="1"/>
      <c r="BD2014" s="1"/>
      <c r="BE2014" s="1"/>
    </row>
    <row x14ac:dyDescent="0.25" r="2015" customHeight="1" ht="18.75">
      <c r="A2015" s="1"/>
      <c r="B2015" s="2"/>
      <c r="C2015" s="2"/>
      <c r="D2015" s="2"/>
      <c r="E2015" s="2"/>
      <c r="F2015" s="2"/>
      <c r="G2015" s="1"/>
      <c r="H2015" s="1"/>
      <c r="I2015" s="7">
        <v>2.012</v>
      </c>
      <c r="J2015" s="7">
        <f>IF((I2015-ROUNDDOWN(I2015,0))=0, 0, (I2015-ROUNDDOWN(I2015,0)))</f>
      </c>
      <c r="K2015" s="7">
        <f>INDIRECT("C$"&amp;2+MIN(2,ROUNDDOWN(I2015,0))*3)*(-$J2015^3+3*$J2015^2-3*$J2015+1)+INDIRECT("C$"&amp;3+MIN(2,ROUNDDOWN(I2015,0))*3)*(3*$J2015^3-6*$J2015^2+3*$J2015)+INDIRECT("C$"&amp;4+MIN(2,ROUNDDOWN(I2015,0))*3)*(-3*$J2015^3+3*$J2015^2)+INDIRECT("C$"&amp;5+MIN(2,ROUNDDOWN(I2015,0))*3)*$J2015^3</f>
      </c>
      <c r="L2015" s="7">
        <f>INDIRECT("D$"&amp;2+MIN(2,ROUNDDOWN(I2015,0))*3)*(-$J2015^3+3*$J2015^2-3*$J2015+1)+INDIRECT("D$"&amp;3+MIN(2,ROUNDDOWN(I2015,0))*3)*(3*$J2015^3-6*$J2015^2+3*$J2015)+INDIRECT("D$"&amp;4+MIN(2,ROUNDDOWN(I2015,0))*3)*(-3*$J2015^3+3*$J2015^2)+INDIRECT("D$"&amp;5+MIN(2,ROUNDDOWN(I2015,0))*3)*$J2015^3</f>
      </c>
      <c r="M2015" s="7">
        <f>SQRT(K2015^2+L2015^2)</f>
      </c>
      <c r="N2015" s="7">
        <f>(K2016-K2014)</f>
      </c>
      <c r="O2015" s="7">
        <f>+(L2016-L2014)</f>
      </c>
      <c r="P2015" s="7">
        <f>SQRT(O2015^2+N2015^2)</f>
      </c>
      <c r="Q2015" s="7">
        <f>N2015/$P2015</f>
      </c>
      <c r="R2015" s="7">
        <f>O2015/$P2015</f>
      </c>
      <c r="S2015" s="8">
        <f>Q2015^2+R2015^2</f>
      </c>
      <c r="T2015" s="7">
        <f>-R2015</f>
      </c>
      <c r="U2015" s="7">
        <f>Q2015</f>
      </c>
      <c r="V2015" s="7">
        <f>($C$14+($C$15-$C$14)/($D$15-$D$14)*(I2015-$D$14))/2</f>
      </c>
      <c r="W2015" s="7">
        <f>($B$22*I2015^4+$C$22*I2015^3+$D$22*I2015^2+$E$22*I2015+$F$22)/2</f>
      </c>
      <c r="X2015" s="7">
        <f>($W2015)*(T2015)</f>
      </c>
      <c r="Y2015" s="7">
        <f>($W2015)*(U2015)</f>
      </c>
      <c r="Z2015" s="7">
        <f>SQRT(X2015^2+Y2015^2)</f>
      </c>
      <c r="AA2015" s="7">
        <f>$K2015+$X2015</f>
      </c>
      <c r="AB2015" s="7">
        <f>$L2015+$Y2015</f>
      </c>
      <c r="AC2015" s="7">
        <f>$K2015-$X2015</f>
      </c>
      <c r="AD2015" s="7">
        <f>$L2015-$Y2015</f>
      </c>
      <c r="AE2015" s="7">
        <f>AA2015/39.3701</f>
      </c>
      <c r="AF2015" s="7">
        <f>AB2015/39.3701</f>
      </c>
      <c r="AG2015" s="7">
        <f>AC2015/39.3701</f>
      </c>
      <c r="AH2015" s="7">
        <f>AD2015/39.3701</f>
      </c>
      <c r="AI2015" s="1"/>
      <c r="AJ2015" s="1"/>
      <c r="AK2015" s="1"/>
      <c r="AL2015" s="1"/>
      <c r="AM2015" s="2"/>
      <c r="AN2015" s="1"/>
      <c r="AO2015" s="1"/>
      <c r="AP2015" s="1"/>
      <c r="AQ2015" s="1"/>
      <c r="AR2015" s="1"/>
      <c r="AS2015" s="1"/>
      <c r="AT2015" s="1"/>
      <c r="AU2015" s="1"/>
      <c r="AV2015" s="1"/>
      <c r="AW2015" s="1"/>
      <c r="AX2015" s="1"/>
      <c r="AY2015" s="1"/>
      <c r="AZ2015" s="1"/>
      <c r="BA2015" s="1"/>
      <c r="BB2015" s="1"/>
      <c r="BC2015" s="1"/>
      <c r="BD2015" s="1"/>
      <c r="BE2015" s="1"/>
    </row>
    <row x14ac:dyDescent="0.25" r="2016" customHeight="1" ht="18.75">
      <c r="A2016" s="1"/>
      <c r="B2016" s="2"/>
      <c r="C2016" s="2"/>
      <c r="D2016" s="2"/>
      <c r="E2016" s="2"/>
      <c r="F2016" s="2"/>
      <c r="G2016" s="1"/>
      <c r="H2016" s="1"/>
      <c r="I2016" s="7">
        <v>2.013</v>
      </c>
      <c r="J2016" s="7">
        <f>IF((I2016-ROUNDDOWN(I2016,0))=0, 0, (I2016-ROUNDDOWN(I2016,0)))</f>
      </c>
      <c r="K2016" s="7">
        <f>INDIRECT("C$"&amp;2+MIN(2,ROUNDDOWN(I2016,0))*3)*(-$J2016^3+3*$J2016^2-3*$J2016+1)+INDIRECT("C$"&amp;3+MIN(2,ROUNDDOWN(I2016,0))*3)*(3*$J2016^3-6*$J2016^2+3*$J2016)+INDIRECT("C$"&amp;4+MIN(2,ROUNDDOWN(I2016,0))*3)*(-3*$J2016^3+3*$J2016^2)+INDIRECT("C$"&amp;5+MIN(2,ROUNDDOWN(I2016,0))*3)*$J2016^3</f>
      </c>
      <c r="L2016" s="7">
        <f>INDIRECT("D$"&amp;2+MIN(2,ROUNDDOWN(I2016,0))*3)*(-$J2016^3+3*$J2016^2-3*$J2016+1)+INDIRECT("D$"&amp;3+MIN(2,ROUNDDOWN(I2016,0))*3)*(3*$J2016^3-6*$J2016^2+3*$J2016)+INDIRECT("D$"&amp;4+MIN(2,ROUNDDOWN(I2016,0))*3)*(-3*$J2016^3+3*$J2016^2)+INDIRECT("D$"&amp;5+MIN(2,ROUNDDOWN(I2016,0))*3)*$J2016^3</f>
      </c>
      <c r="M2016" s="7">
        <f>SQRT(K2016^2+L2016^2)</f>
      </c>
      <c r="N2016" s="7">
        <f>(K2017-K2015)</f>
      </c>
      <c r="O2016" s="7">
        <f>+(L2017-L2015)</f>
      </c>
      <c r="P2016" s="7">
        <f>SQRT(O2016^2+N2016^2)</f>
      </c>
      <c r="Q2016" s="7">
        <f>N2016/$P2016</f>
      </c>
      <c r="R2016" s="7">
        <f>O2016/$P2016</f>
      </c>
      <c r="S2016" s="8">
        <f>Q2016^2+R2016^2</f>
      </c>
      <c r="T2016" s="7">
        <f>-R2016</f>
      </c>
      <c r="U2016" s="7">
        <f>Q2016</f>
      </c>
      <c r="V2016" s="7">
        <f>($C$14+($C$15-$C$14)/($D$15-$D$14)*(I2016-$D$14))/2</f>
      </c>
      <c r="W2016" s="7">
        <f>($B$22*I2016^4+$C$22*I2016^3+$D$22*I2016^2+$E$22*I2016+$F$22)/2</f>
      </c>
      <c r="X2016" s="7">
        <f>($W2016)*(T2016)</f>
      </c>
      <c r="Y2016" s="7">
        <f>($W2016)*(U2016)</f>
      </c>
      <c r="Z2016" s="7">
        <f>SQRT(X2016^2+Y2016^2)</f>
      </c>
      <c r="AA2016" s="7">
        <f>$K2016+$X2016</f>
      </c>
      <c r="AB2016" s="7">
        <f>$L2016+$Y2016</f>
      </c>
      <c r="AC2016" s="7">
        <f>$K2016-$X2016</f>
      </c>
      <c r="AD2016" s="7">
        <f>$L2016-$Y2016</f>
      </c>
      <c r="AE2016" s="7">
        <f>AA2016/39.3701</f>
      </c>
      <c r="AF2016" s="7">
        <f>AB2016/39.3701</f>
      </c>
      <c r="AG2016" s="7">
        <f>AC2016/39.3701</f>
      </c>
      <c r="AH2016" s="7">
        <f>AD2016/39.3701</f>
      </c>
      <c r="AI2016" s="1"/>
      <c r="AJ2016" s="1"/>
      <c r="AK2016" s="1"/>
      <c r="AL2016" s="1"/>
      <c r="AM2016" s="2"/>
      <c r="AN2016" s="1"/>
      <c r="AO2016" s="1"/>
      <c r="AP2016" s="1"/>
      <c r="AQ2016" s="1"/>
      <c r="AR2016" s="1"/>
      <c r="AS2016" s="1"/>
      <c r="AT2016" s="1"/>
      <c r="AU2016" s="1"/>
      <c r="AV2016" s="1"/>
      <c r="AW2016" s="1"/>
      <c r="AX2016" s="1"/>
      <c r="AY2016" s="1"/>
      <c r="AZ2016" s="1"/>
      <c r="BA2016" s="1"/>
      <c r="BB2016" s="1"/>
      <c r="BC2016" s="1"/>
      <c r="BD2016" s="1"/>
      <c r="BE2016" s="1"/>
    </row>
    <row x14ac:dyDescent="0.25" r="2017" customHeight="1" ht="18.75">
      <c r="A2017" s="1"/>
      <c r="B2017" s="2"/>
      <c r="C2017" s="2"/>
      <c r="D2017" s="2"/>
      <c r="E2017" s="2"/>
      <c r="F2017" s="2"/>
      <c r="G2017" s="1"/>
      <c r="H2017" s="1"/>
      <c r="I2017" s="7">
        <v>2.014</v>
      </c>
      <c r="J2017" s="7">
        <f>IF((I2017-ROUNDDOWN(I2017,0))=0, 0, (I2017-ROUNDDOWN(I2017,0)))</f>
      </c>
      <c r="K2017" s="7">
        <f>INDIRECT("C$"&amp;2+MIN(2,ROUNDDOWN(I2017,0))*3)*(-$J2017^3+3*$J2017^2-3*$J2017+1)+INDIRECT("C$"&amp;3+MIN(2,ROUNDDOWN(I2017,0))*3)*(3*$J2017^3-6*$J2017^2+3*$J2017)+INDIRECT("C$"&amp;4+MIN(2,ROUNDDOWN(I2017,0))*3)*(-3*$J2017^3+3*$J2017^2)+INDIRECT("C$"&amp;5+MIN(2,ROUNDDOWN(I2017,0))*3)*$J2017^3</f>
      </c>
      <c r="L2017" s="7">
        <f>INDIRECT("D$"&amp;2+MIN(2,ROUNDDOWN(I2017,0))*3)*(-$J2017^3+3*$J2017^2-3*$J2017+1)+INDIRECT("D$"&amp;3+MIN(2,ROUNDDOWN(I2017,0))*3)*(3*$J2017^3-6*$J2017^2+3*$J2017)+INDIRECT("D$"&amp;4+MIN(2,ROUNDDOWN(I2017,0))*3)*(-3*$J2017^3+3*$J2017^2)+INDIRECT("D$"&amp;5+MIN(2,ROUNDDOWN(I2017,0))*3)*$J2017^3</f>
      </c>
      <c r="M2017" s="7">
        <f>SQRT(K2017^2+L2017^2)</f>
      </c>
      <c r="N2017" s="7">
        <f>(K2018-K2016)</f>
      </c>
      <c r="O2017" s="7">
        <f>+(L2018-L2016)</f>
      </c>
      <c r="P2017" s="7">
        <f>SQRT(O2017^2+N2017^2)</f>
      </c>
      <c r="Q2017" s="7">
        <f>N2017/$P2017</f>
      </c>
      <c r="R2017" s="7">
        <f>O2017/$P2017</f>
      </c>
      <c r="S2017" s="7">
        <f>Q2017^2+R2017^2</f>
      </c>
      <c r="T2017" s="7">
        <f>-R2017</f>
      </c>
      <c r="U2017" s="7">
        <f>Q2017</f>
      </c>
      <c r="V2017" s="7">
        <f>($C$14+($C$15-$C$14)/($D$15-$D$14)*(I2017-$D$14))/2</f>
      </c>
      <c r="W2017" s="7">
        <f>($B$22*I2017^4+$C$22*I2017^3+$D$22*I2017^2+$E$22*I2017+$F$22)/2</f>
      </c>
      <c r="X2017" s="7">
        <f>($W2017)*(T2017)</f>
      </c>
      <c r="Y2017" s="7">
        <f>($W2017)*(U2017)</f>
      </c>
      <c r="Z2017" s="7">
        <f>SQRT(X2017^2+Y2017^2)</f>
      </c>
      <c r="AA2017" s="7">
        <f>$K2017+$X2017</f>
      </c>
      <c r="AB2017" s="7">
        <f>$L2017+$Y2017</f>
      </c>
      <c r="AC2017" s="7">
        <f>$K2017-$X2017</f>
      </c>
      <c r="AD2017" s="7">
        <f>$L2017-$Y2017</f>
      </c>
      <c r="AE2017" s="7">
        <f>AA2017/39.3701</f>
      </c>
      <c r="AF2017" s="7">
        <f>AB2017/39.3701</f>
      </c>
      <c r="AG2017" s="7">
        <f>AC2017/39.3701</f>
      </c>
      <c r="AH2017" s="7">
        <f>AD2017/39.3701</f>
      </c>
      <c r="AI2017" s="1"/>
      <c r="AJ2017" s="1"/>
      <c r="AK2017" s="1"/>
      <c r="AL2017" s="1"/>
      <c r="AM2017" s="2"/>
      <c r="AN2017" s="1"/>
      <c r="AO2017" s="1"/>
      <c r="AP2017" s="1"/>
      <c r="AQ2017" s="1"/>
      <c r="AR2017" s="1"/>
      <c r="AS2017" s="1"/>
      <c r="AT2017" s="1"/>
      <c r="AU2017" s="1"/>
      <c r="AV2017" s="1"/>
      <c r="AW2017" s="1"/>
      <c r="AX2017" s="1"/>
      <c r="AY2017" s="1"/>
      <c r="AZ2017" s="1"/>
      <c r="BA2017" s="1"/>
      <c r="BB2017" s="1"/>
      <c r="BC2017" s="1"/>
      <c r="BD2017" s="1"/>
      <c r="BE2017" s="1"/>
    </row>
    <row x14ac:dyDescent="0.25" r="2018" customHeight="1" ht="18.75">
      <c r="A2018" s="1"/>
      <c r="B2018" s="2"/>
      <c r="C2018" s="2"/>
      <c r="D2018" s="2"/>
      <c r="E2018" s="2"/>
      <c r="F2018" s="2"/>
      <c r="G2018" s="1"/>
      <c r="H2018" s="1"/>
      <c r="I2018" s="7">
        <v>2.015</v>
      </c>
      <c r="J2018" s="7">
        <f>IF((I2018-ROUNDDOWN(I2018,0))=0, 0, (I2018-ROUNDDOWN(I2018,0)))</f>
      </c>
      <c r="K2018" s="7">
        <f>INDIRECT("C$"&amp;2+MIN(2,ROUNDDOWN(I2018,0))*3)*(-$J2018^3+3*$J2018^2-3*$J2018+1)+INDIRECT("C$"&amp;3+MIN(2,ROUNDDOWN(I2018,0))*3)*(3*$J2018^3-6*$J2018^2+3*$J2018)+INDIRECT("C$"&amp;4+MIN(2,ROUNDDOWN(I2018,0))*3)*(-3*$J2018^3+3*$J2018^2)+INDIRECT("C$"&amp;5+MIN(2,ROUNDDOWN(I2018,0))*3)*$J2018^3</f>
      </c>
      <c r="L2018" s="7">
        <f>INDIRECT("D$"&amp;2+MIN(2,ROUNDDOWN(I2018,0))*3)*(-$J2018^3+3*$J2018^2-3*$J2018+1)+INDIRECT("D$"&amp;3+MIN(2,ROUNDDOWN(I2018,0))*3)*(3*$J2018^3-6*$J2018^2+3*$J2018)+INDIRECT("D$"&amp;4+MIN(2,ROUNDDOWN(I2018,0))*3)*(-3*$J2018^3+3*$J2018^2)+INDIRECT("D$"&amp;5+MIN(2,ROUNDDOWN(I2018,0))*3)*$J2018^3</f>
      </c>
      <c r="M2018" s="7">
        <f>SQRT(K2018^2+L2018^2)</f>
      </c>
      <c r="N2018" s="7">
        <f>(K2019-K2017)</f>
      </c>
      <c r="O2018" s="7">
        <f>+(L2019-L2017)</f>
      </c>
      <c r="P2018" s="7">
        <f>SQRT(O2018^2+N2018^2)</f>
      </c>
      <c r="Q2018" s="7">
        <f>N2018/$P2018</f>
      </c>
      <c r="R2018" s="7">
        <f>O2018/$P2018</f>
      </c>
      <c r="S2018" s="8">
        <f>Q2018^2+R2018^2</f>
      </c>
      <c r="T2018" s="7">
        <f>-R2018</f>
      </c>
      <c r="U2018" s="7">
        <f>Q2018</f>
      </c>
      <c r="V2018" s="7">
        <f>($C$14+($C$15-$C$14)/($D$15-$D$14)*(I2018-$D$14))/2</f>
      </c>
      <c r="W2018" s="7">
        <f>($B$22*I2018^4+$C$22*I2018^3+$D$22*I2018^2+$E$22*I2018+$F$22)/2</f>
      </c>
      <c r="X2018" s="7">
        <f>($W2018)*(T2018)</f>
      </c>
      <c r="Y2018" s="7">
        <f>($W2018)*(U2018)</f>
      </c>
      <c r="Z2018" s="7">
        <f>SQRT(X2018^2+Y2018^2)</f>
      </c>
      <c r="AA2018" s="7">
        <f>$K2018+$X2018</f>
      </c>
      <c r="AB2018" s="7">
        <f>$L2018+$Y2018</f>
      </c>
      <c r="AC2018" s="7">
        <f>$K2018-$X2018</f>
      </c>
      <c r="AD2018" s="7">
        <f>$L2018-$Y2018</f>
      </c>
      <c r="AE2018" s="7">
        <f>AA2018/39.3701</f>
      </c>
      <c r="AF2018" s="7">
        <f>AB2018/39.3701</f>
      </c>
      <c r="AG2018" s="7">
        <f>AC2018/39.3701</f>
      </c>
      <c r="AH2018" s="7">
        <f>AD2018/39.3701</f>
      </c>
      <c r="AI2018" s="1"/>
      <c r="AJ2018" s="1"/>
      <c r="AK2018" s="1"/>
      <c r="AL2018" s="1"/>
      <c r="AM2018" s="2"/>
      <c r="AN2018" s="1"/>
      <c r="AO2018" s="1"/>
      <c r="AP2018" s="1"/>
      <c r="AQ2018" s="1"/>
      <c r="AR2018" s="1"/>
      <c r="AS2018" s="1"/>
      <c r="AT2018" s="1"/>
      <c r="AU2018" s="1"/>
      <c r="AV2018" s="1"/>
      <c r="AW2018" s="1"/>
      <c r="AX2018" s="1"/>
      <c r="AY2018" s="1"/>
      <c r="AZ2018" s="1"/>
      <c r="BA2018" s="1"/>
      <c r="BB2018" s="1"/>
      <c r="BC2018" s="1"/>
      <c r="BD2018" s="1"/>
      <c r="BE2018" s="1"/>
    </row>
    <row x14ac:dyDescent="0.25" r="2019" customHeight="1" ht="18.75">
      <c r="A2019" s="1"/>
      <c r="B2019" s="2"/>
      <c r="C2019" s="2"/>
      <c r="D2019" s="2"/>
      <c r="E2019" s="2"/>
      <c r="F2019" s="2"/>
      <c r="G2019" s="1"/>
      <c r="H2019" s="1"/>
      <c r="I2019" s="7">
        <v>2.016</v>
      </c>
      <c r="J2019" s="7">
        <f>IF((I2019-ROUNDDOWN(I2019,0))=0, 0, (I2019-ROUNDDOWN(I2019,0)))</f>
      </c>
      <c r="K2019" s="7">
        <f>INDIRECT("C$"&amp;2+MIN(2,ROUNDDOWN(I2019,0))*3)*(-$J2019^3+3*$J2019^2-3*$J2019+1)+INDIRECT("C$"&amp;3+MIN(2,ROUNDDOWN(I2019,0))*3)*(3*$J2019^3-6*$J2019^2+3*$J2019)+INDIRECT("C$"&amp;4+MIN(2,ROUNDDOWN(I2019,0))*3)*(-3*$J2019^3+3*$J2019^2)+INDIRECT("C$"&amp;5+MIN(2,ROUNDDOWN(I2019,0))*3)*$J2019^3</f>
      </c>
      <c r="L2019" s="7">
        <f>INDIRECT("D$"&amp;2+MIN(2,ROUNDDOWN(I2019,0))*3)*(-$J2019^3+3*$J2019^2-3*$J2019+1)+INDIRECT("D$"&amp;3+MIN(2,ROUNDDOWN(I2019,0))*3)*(3*$J2019^3-6*$J2019^2+3*$J2019)+INDIRECT("D$"&amp;4+MIN(2,ROUNDDOWN(I2019,0))*3)*(-3*$J2019^3+3*$J2019^2)+INDIRECT("D$"&amp;5+MIN(2,ROUNDDOWN(I2019,0))*3)*$J2019^3</f>
      </c>
      <c r="M2019" s="7">
        <f>SQRT(K2019^2+L2019^2)</f>
      </c>
      <c r="N2019" s="7">
        <f>(K2020-K2018)</f>
      </c>
      <c r="O2019" s="7">
        <f>+(L2020-L2018)</f>
      </c>
      <c r="P2019" s="7">
        <f>SQRT(O2019^2+N2019^2)</f>
      </c>
      <c r="Q2019" s="7">
        <f>N2019/$P2019</f>
      </c>
      <c r="R2019" s="7">
        <f>O2019/$P2019</f>
      </c>
      <c r="S2019" s="7">
        <f>Q2019^2+R2019^2</f>
      </c>
      <c r="T2019" s="7">
        <f>-R2019</f>
      </c>
      <c r="U2019" s="7">
        <f>Q2019</f>
      </c>
      <c r="V2019" s="7">
        <f>($C$14+($C$15-$C$14)/($D$15-$D$14)*(I2019-$D$14))/2</f>
      </c>
      <c r="W2019" s="7">
        <f>($B$22*I2019^4+$C$22*I2019^3+$D$22*I2019^2+$E$22*I2019+$F$22)/2</f>
      </c>
      <c r="X2019" s="7">
        <f>($W2019)*(T2019)</f>
      </c>
      <c r="Y2019" s="7">
        <f>($W2019)*(U2019)</f>
      </c>
      <c r="Z2019" s="7">
        <f>SQRT(X2019^2+Y2019^2)</f>
      </c>
      <c r="AA2019" s="7">
        <f>$K2019+$X2019</f>
      </c>
      <c r="AB2019" s="7">
        <f>$L2019+$Y2019</f>
      </c>
      <c r="AC2019" s="7">
        <f>$K2019-$X2019</f>
      </c>
      <c r="AD2019" s="7">
        <f>$L2019-$Y2019</f>
      </c>
      <c r="AE2019" s="7">
        <f>AA2019/39.3701</f>
      </c>
      <c r="AF2019" s="7">
        <f>AB2019/39.3701</f>
      </c>
      <c r="AG2019" s="7">
        <f>AC2019/39.3701</f>
      </c>
      <c r="AH2019" s="7">
        <f>AD2019/39.3701</f>
      </c>
      <c r="AI2019" s="1"/>
      <c r="AJ2019" s="1"/>
      <c r="AK2019" s="1"/>
      <c r="AL2019" s="1"/>
      <c r="AM2019" s="2"/>
      <c r="AN2019" s="1"/>
      <c r="AO2019" s="1"/>
      <c r="AP2019" s="1"/>
      <c r="AQ2019" s="1"/>
      <c r="AR2019" s="1"/>
      <c r="AS2019" s="1"/>
      <c r="AT2019" s="1"/>
      <c r="AU2019" s="1"/>
      <c r="AV2019" s="1"/>
      <c r="AW2019" s="1"/>
      <c r="AX2019" s="1"/>
      <c r="AY2019" s="1"/>
      <c r="AZ2019" s="1"/>
      <c r="BA2019" s="1"/>
      <c r="BB2019" s="1"/>
      <c r="BC2019" s="1"/>
      <c r="BD2019" s="1"/>
      <c r="BE2019" s="1"/>
    </row>
    <row x14ac:dyDescent="0.25" r="2020" customHeight="1" ht="18.75">
      <c r="A2020" s="1"/>
      <c r="B2020" s="2"/>
      <c r="C2020" s="2"/>
      <c r="D2020" s="2"/>
      <c r="E2020" s="2"/>
      <c r="F2020" s="2"/>
      <c r="G2020" s="1"/>
      <c r="H2020" s="1"/>
      <c r="I2020" s="7">
        <v>2.017</v>
      </c>
      <c r="J2020" s="7">
        <f>IF((I2020-ROUNDDOWN(I2020,0))=0, 0, (I2020-ROUNDDOWN(I2020,0)))</f>
      </c>
      <c r="K2020" s="7">
        <f>INDIRECT("C$"&amp;2+MIN(2,ROUNDDOWN(I2020,0))*3)*(-$J2020^3+3*$J2020^2-3*$J2020+1)+INDIRECT("C$"&amp;3+MIN(2,ROUNDDOWN(I2020,0))*3)*(3*$J2020^3-6*$J2020^2+3*$J2020)+INDIRECT("C$"&amp;4+MIN(2,ROUNDDOWN(I2020,0))*3)*(-3*$J2020^3+3*$J2020^2)+INDIRECT("C$"&amp;5+MIN(2,ROUNDDOWN(I2020,0))*3)*$J2020^3</f>
      </c>
      <c r="L2020" s="7">
        <f>INDIRECT("D$"&amp;2+MIN(2,ROUNDDOWN(I2020,0))*3)*(-$J2020^3+3*$J2020^2-3*$J2020+1)+INDIRECT("D$"&amp;3+MIN(2,ROUNDDOWN(I2020,0))*3)*(3*$J2020^3-6*$J2020^2+3*$J2020)+INDIRECT("D$"&amp;4+MIN(2,ROUNDDOWN(I2020,0))*3)*(-3*$J2020^3+3*$J2020^2)+INDIRECT("D$"&amp;5+MIN(2,ROUNDDOWN(I2020,0))*3)*$J2020^3</f>
      </c>
      <c r="M2020" s="7">
        <f>SQRT(K2020^2+L2020^2)</f>
      </c>
      <c r="N2020" s="7">
        <f>(K2021-K2019)</f>
      </c>
      <c r="O2020" s="7">
        <f>+(L2021-L2019)</f>
      </c>
      <c r="P2020" s="7">
        <f>SQRT(O2020^2+N2020^2)</f>
      </c>
      <c r="Q2020" s="7">
        <f>N2020/$P2020</f>
      </c>
      <c r="R2020" s="7">
        <f>O2020/$P2020</f>
      </c>
      <c r="S2020" s="8">
        <f>Q2020^2+R2020^2</f>
      </c>
      <c r="T2020" s="7">
        <f>-R2020</f>
      </c>
      <c r="U2020" s="7">
        <f>Q2020</f>
      </c>
      <c r="V2020" s="7">
        <f>($C$14+($C$15-$C$14)/($D$15-$D$14)*(I2020-$D$14))/2</f>
      </c>
      <c r="W2020" s="7">
        <f>($B$22*I2020^4+$C$22*I2020^3+$D$22*I2020^2+$E$22*I2020+$F$22)/2</f>
      </c>
      <c r="X2020" s="7">
        <f>($W2020)*(T2020)</f>
      </c>
      <c r="Y2020" s="7">
        <f>($W2020)*(U2020)</f>
      </c>
      <c r="Z2020" s="7">
        <f>SQRT(X2020^2+Y2020^2)</f>
      </c>
      <c r="AA2020" s="7">
        <f>$K2020+$X2020</f>
      </c>
      <c r="AB2020" s="7">
        <f>$L2020+$Y2020</f>
      </c>
      <c r="AC2020" s="7">
        <f>$K2020-$X2020</f>
      </c>
      <c r="AD2020" s="7">
        <f>$L2020-$Y2020</f>
      </c>
      <c r="AE2020" s="7">
        <f>AA2020/39.3701</f>
      </c>
      <c r="AF2020" s="7">
        <f>AB2020/39.3701</f>
      </c>
      <c r="AG2020" s="7">
        <f>AC2020/39.3701</f>
      </c>
      <c r="AH2020" s="7">
        <f>AD2020/39.3701</f>
      </c>
      <c r="AI2020" s="1"/>
      <c r="AJ2020" s="1"/>
      <c r="AK2020" s="1"/>
      <c r="AL2020" s="1"/>
      <c r="AM2020" s="2"/>
      <c r="AN2020" s="1"/>
      <c r="AO2020" s="1"/>
      <c r="AP2020" s="1"/>
      <c r="AQ2020" s="1"/>
      <c r="AR2020" s="1"/>
      <c r="AS2020" s="1"/>
      <c r="AT2020" s="1"/>
      <c r="AU2020" s="1"/>
      <c r="AV2020" s="1"/>
      <c r="AW2020" s="1"/>
      <c r="AX2020" s="1"/>
      <c r="AY2020" s="1"/>
      <c r="AZ2020" s="1"/>
      <c r="BA2020" s="1"/>
      <c r="BB2020" s="1"/>
      <c r="BC2020" s="1"/>
      <c r="BD2020" s="1"/>
      <c r="BE2020" s="1"/>
    </row>
    <row x14ac:dyDescent="0.25" r="2021" customHeight="1" ht="18.75">
      <c r="A2021" s="1"/>
      <c r="B2021" s="2"/>
      <c r="C2021" s="2"/>
      <c r="D2021" s="2"/>
      <c r="E2021" s="2"/>
      <c r="F2021" s="2"/>
      <c r="G2021" s="1"/>
      <c r="H2021" s="1"/>
      <c r="I2021" s="7">
        <v>2.018</v>
      </c>
      <c r="J2021" s="7">
        <f>IF((I2021-ROUNDDOWN(I2021,0))=0, 0, (I2021-ROUNDDOWN(I2021,0)))</f>
      </c>
      <c r="K2021" s="7">
        <f>INDIRECT("C$"&amp;2+MIN(2,ROUNDDOWN(I2021,0))*3)*(-$J2021^3+3*$J2021^2-3*$J2021+1)+INDIRECT("C$"&amp;3+MIN(2,ROUNDDOWN(I2021,0))*3)*(3*$J2021^3-6*$J2021^2+3*$J2021)+INDIRECT("C$"&amp;4+MIN(2,ROUNDDOWN(I2021,0))*3)*(-3*$J2021^3+3*$J2021^2)+INDIRECT("C$"&amp;5+MIN(2,ROUNDDOWN(I2021,0))*3)*$J2021^3</f>
      </c>
      <c r="L2021" s="7">
        <f>INDIRECT("D$"&amp;2+MIN(2,ROUNDDOWN(I2021,0))*3)*(-$J2021^3+3*$J2021^2-3*$J2021+1)+INDIRECT("D$"&amp;3+MIN(2,ROUNDDOWN(I2021,0))*3)*(3*$J2021^3-6*$J2021^2+3*$J2021)+INDIRECT("D$"&amp;4+MIN(2,ROUNDDOWN(I2021,0))*3)*(-3*$J2021^3+3*$J2021^2)+INDIRECT("D$"&amp;5+MIN(2,ROUNDDOWN(I2021,0))*3)*$J2021^3</f>
      </c>
      <c r="M2021" s="7">
        <f>SQRT(K2021^2+L2021^2)</f>
      </c>
      <c r="N2021" s="7">
        <f>(K2022-K2020)</f>
      </c>
      <c r="O2021" s="7">
        <f>+(L2022-L2020)</f>
      </c>
      <c r="P2021" s="7">
        <f>SQRT(O2021^2+N2021^2)</f>
      </c>
      <c r="Q2021" s="7">
        <f>N2021/$P2021</f>
      </c>
      <c r="R2021" s="7">
        <f>O2021/$P2021</f>
      </c>
      <c r="S2021" s="7">
        <f>Q2021^2+R2021^2</f>
      </c>
      <c r="T2021" s="7">
        <f>-R2021</f>
      </c>
      <c r="U2021" s="7">
        <f>Q2021</f>
      </c>
      <c r="V2021" s="7">
        <f>($C$14+($C$15-$C$14)/($D$15-$D$14)*(I2021-$D$14))/2</f>
      </c>
      <c r="W2021" s="7">
        <f>($B$22*I2021^4+$C$22*I2021^3+$D$22*I2021^2+$E$22*I2021+$F$22)/2</f>
      </c>
      <c r="X2021" s="7">
        <f>($W2021)*(T2021)</f>
      </c>
      <c r="Y2021" s="7">
        <f>($W2021)*(U2021)</f>
      </c>
      <c r="Z2021" s="7">
        <f>SQRT(X2021^2+Y2021^2)</f>
      </c>
      <c r="AA2021" s="7">
        <f>$K2021+$X2021</f>
      </c>
      <c r="AB2021" s="7">
        <f>$L2021+$Y2021</f>
      </c>
      <c r="AC2021" s="7">
        <f>$K2021-$X2021</f>
      </c>
      <c r="AD2021" s="7">
        <f>$L2021-$Y2021</f>
      </c>
      <c r="AE2021" s="7">
        <f>AA2021/39.3701</f>
      </c>
      <c r="AF2021" s="7">
        <f>AB2021/39.3701</f>
      </c>
      <c r="AG2021" s="7">
        <f>AC2021/39.3701</f>
      </c>
      <c r="AH2021" s="7">
        <f>AD2021/39.3701</f>
      </c>
      <c r="AI2021" s="1"/>
      <c r="AJ2021" s="1"/>
      <c r="AK2021" s="1"/>
      <c r="AL2021" s="1"/>
      <c r="AM2021" s="2"/>
      <c r="AN2021" s="1"/>
      <c r="AO2021" s="1"/>
      <c r="AP2021" s="1"/>
      <c r="AQ2021" s="1"/>
      <c r="AR2021" s="1"/>
      <c r="AS2021" s="1"/>
      <c r="AT2021" s="1"/>
      <c r="AU2021" s="1"/>
      <c r="AV2021" s="1"/>
      <c r="AW2021" s="1"/>
      <c r="AX2021" s="1"/>
      <c r="AY2021" s="1"/>
      <c r="AZ2021" s="1"/>
      <c r="BA2021" s="1"/>
      <c r="BB2021" s="1"/>
      <c r="BC2021" s="1"/>
      <c r="BD2021" s="1"/>
      <c r="BE2021" s="1"/>
    </row>
    <row x14ac:dyDescent="0.25" r="2022" customHeight="1" ht="18.75">
      <c r="A2022" s="1"/>
      <c r="B2022" s="2"/>
      <c r="C2022" s="2"/>
      <c r="D2022" s="2"/>
      <c r="E2022" s="2"/>
      <c r="F2022" s="2"/>
      <c r="G2022" s="1"/>
      <c r="H2022" s="1"/>
      <c r="I2022" s="7">
        <v>2.019</v>
      </c>
      <c r="J2022" s="7">
        <f>IF((I2022-ROUNDDOWN(I2022,0))=0, 0, (I2022-ROUNDDOWN(I2022,0)))</f>
      </c>
      <c r="K2022" s="7">
        <f>INDIRECT("C$"&amp;2+MIN(2,ROUNDDOWN(I2022,0))*3)*(-$J2022^3+3*$J2022^2-3*$J2022+1)+INDIRECT("C$"&amp;3+MIN(2,ROUNDDOWN(I2022,0))*3)*(3*$J2022^3-6*$J2022^2+3*$J2022)+INDIRECT("C$"&amp;4+MIN(2,ROUNDDOWN(I2022,0))*3)*(-3*$J2022^3+3*$J2022^2)+INDIRECT("C$"&amp;5+MIN(2,ROUNDDOWN(I2022,0))*3)*$J2022^3</f>
      </c>
      <c r="L2022" s="7">
        <f>INDIRECT("D$"&amp;2+MIN(2,ROUNDDOWN(I2022,0))*3)*(-$J2022^3+3*$J2022^2-3*$J2022+1)+INDIRECT("D$"&amp;3+MIN(2,ROUNDDOWN(I2022,0))*3)*(3*$J2022^3-6*$J2022^2+3*$J2022)+INDIRECT("D$"&amp;4+MIN(2,ROUNDDOWN(I2022,0))*3)*(-3*$J2022^3+3*$J2022^2)+INDIRECT("D$"&amp;5+MIN(2,ROUNDDOWN(I2022,0))*3)*$J2022^3</f>
      </c>
      <c r="M2022" s="7">
        <f>SQRT(K2022^2+L2022^2)</f>
      </c>
      <c r="N2022" s="7">
        <f>(K2023-K2021)</f>
      </c>
      <c r="O2022" s="7">
        <f>+(L2023-L2021)</f>
      </c>
      <c r="P2022" s="7">
        <f>SQRT(O2022^2+N2022^2)</f>
      </c>
      <c r="Q2022" s="7">
        <f>N2022/$P2022</f>
      </c>
      <c r="R2022" s="7">
        <f>O2022/$P2022</f>
      </c>
      <c r="S2022" s="8">
        <f>Q2022^2+R2022^2</f>
      </c>
      <c r="T2022" s="7">
        <f>-R2022</f>
      </c>
      <c r="U2022" s="7">
        <f>Q2022</f>
      </c>
      <c r="V2022" s="7">
        <f>($C$14+($C$15-$C$14)/($D$15-$D$14)*(I2022-$D$14))/2</f>
      </c>
      <c r="W2022" s="7">
        <f>($B$22*I2022^4+$C$22*I2022^3+$D$22*I2022^2+$E$22*I2022+$F$22)/2</f>
      </c>
      <c r="X2022" s="7">
        <f>($W2022)*(T2022)</f>
      </c>
      <c r="Y2022" s="7">
        <f>($W2022)*(U2022)</f>
      </c>
      <c r="Z2022" s="7">
        <f>SQRT(X2022^2+Y2022^2)</f>
      </c>
      <c r="AA2022" s="7">
        <f>$K2022+$X2022</f>
      </c>
      <c r="AB2022" s="7">
        <f>$L2022+$Y2022</f>
      </c>
      <c r="AC2022" s="7">
        <f>$K2022-$X2022</f>
      </c>
      <c r="AD2022" s="7">
        <f>$L2022-$Y2022</f>
      </c>
      <c r="AE2022" s="7">
        <f>AA2022/39.3701</f>
      </c>
      <c r="AF2022" s="7">
        <f>AB2022/39.3701</f>
      </c>
      <c r="AG2022" s="7">
        <f>AC2022/39.3701</f>
      </c>
      <c r="AH2022" s="7">
        <f>AD2022/39.3701</f>
      </c>
      <c r="AI2022" s="1"/>
      <c r="AJ2022" s="1"/>
      <c r="AK2022" s="1"/>
      <c r="AL2022" s="1"/>
      <c r="AM2022" s="2"/>
      <c r="AN2022" s="1"/>
      <c r="AO2022" s="1"/>
      <c r="AP2022" s="1"/>
      <c r="AQ2022" s="1"/>
      <c r="AR2022" s="1"/>
      <c r="AS2022" s="1"/>
      <c r="AT2022" s="1"/>
      <c r="AU2022" s="1"/>
      <c r="AV2022" s="1"/>
      <c r="AW2022" s="1"/>
      <c r="AX2022" s="1"/>
      <c r="AY2022" s="1"/>
      <c r="AZ2022" s="1"/>
      <c r="BA2022" s="1"/>
      <c r="BB2022" s="1"/>
      <c r="BC2022" s="1"/>
      <c r="BD2022" s="1"/>
      <c r="BE2022" s="1"/>
    </row>
    <row x14ac:dyDescent="0.25" r="2023" customHeight="1" ht="18.75">
      <c r="A2023" s="1"/>
      <c r="B2023" s="2"/>
      <c r="C2023" s="2"/>
      <c r="D2023" s="2"/>
      <c r="E2023" s="2"/>
      <c r="F2023" s="2"/>
      <c r="G2023" s="1"/>
      <c r="H2023" s="1"/>
      <c r="I2023" s="7">
        <v>2.02</v>
      </c>
      <c r="J2023" s="7">
        <f>IF((I2023-ROUNDDOWN(I2023,0))=0, 0, (I2023-ROUNDDOWN(I2023,0)))</f>
      </c>
      <c r="K2023" s="7">
        <f>INDIRECT("C$"&amp;2+MIN(2,ROUNDDOWN(I2023,0))*3)*(-$J2023^3+3*$J2023^2-3*$J2023+1)+INDIRECT("C$"&amp;3+MIN(2,ROUNDDOWN(I2023,0))*3)*(3*$J2023^3-6*$J2023^2+3*$J2023)+INDIRECT("C$"&amp;4+MIN(2,ROUNDDOWN(I2023,0))*3)*(-3*$J2023^3+3*$J2023^2)+INDIRECT("C$"&amp;5+MIN(2,ROUNDDOWN(I2023,0))*3)*$J2023^3</f>
      </c>
      <c r="L2023" s="7">
        <f>INDIRECT("D$"&amp;2+MIN(2,ROUNDDOWN(I2023,0))*3)*(-$J2023^3+3*$J2023^2-3*$J2023+1)+INDIRECT("D$"&amp;3+MIN(2,ROUNDDOWN(I2023,0))*3)*(3*$J2023^3-6*$J2023^2+3*$J2023)+INDIRECT("D$"&amp;4+MIN(2,ROUNDDOWN(I2023,0))*3)*(-3*$J2023^3+3*$J2023^2)+INDIRECT("D$"&amp;5+MIN(2,ROUNDDOWN(I2023,0))*3)*$J2023^3</f>
      </c>
      <c r="M2023" s="7">
        <f>SQRT(K2023^2+L2023^2)</f>
      </c>
      <c r="N2023" s="7">
        <f>(K2024-K2022)</f>
      </c>
      <c r="O2023" s="7">
        <f>+(L2024-L2022)</f>
      </c>
      <c r="P2023" s="7">
        <f>SQRT(O2023^2+N2023^2)</f>
      </c>
      <c r="Q2023" s="7">
        <f>N2023/$P2023</f>
      </c>
      <c r="R2023" s="7">
        <f>O2023/$P2023</f>
      </c>
      <c r="S2023" s="7">
        <f>Q2023^2+R2023^2</f>
      </c>
      <c r="T2023" s="7">
        <f>-R2023</f>
      </c>
      <c r="U2023" s="7">
        <f>Q2023</f>
      </c>
      <c r="V2023" s="7">
        <f>($C$14+($C$15-$C$14)/($D$15-$D$14)*(I2023-$D$14))/2</f>
      </c>
      <c r="W2023" s="7">
        <f>($B$22*I2023^4+$C$22*I2023^3+$D$22*I2023^2+$E$22*I2023+$F$22)/2</f>
      </c>
      <c r="X2023" s="7">
        <f>($W2023)*(T2023)</f>
      </c>
      <c r="Y2023" s="7">
        <f>($W2023)*(U2023)</f>
      </c>
      <c r="Z2023" s="7">
        <f>SQRT(X2023^2+Y2023^2)</f>
      </c>
      <c r="AA2023" s="7">
        <f>$K2023+$X2023</f>
      </c>
      <c r="AB2023" s="7">
        <f>$L2023+$Y2023</f>
      </c>
      <c r="AC2023" s="7">
        <f>$K2023-$X2023</f>
      </c>
      <c r="AD2023" s="7">
        <f>$L2023-$Y2023</f>
      </c>
      <c r="AE2023" s="7">
        <f>AA2023/39.3701</f>
      </c>
      <c r="AF2023" s="7">
        <f>AB2023/39.3701</f>
      </c>
      <c r="AG2023" s="7">
        <f>AC2023/39.3701</f>
      </c>
      <c r="AH2023" s="7">
        <f>AD2023/39.3701</f>
      </c>
      <c r="AI2023" s="1"/>
      <c r="AJ2023" s="1"/>
      <c r="AK2023" s="1"/>
      <c r="AL2023" s="1"/>
      <c r="AM2023" s="2"/>
      <c r="AN2023" s="1"/>
      <c r="AO2023" s="1"/>
      <c r="AP2023" s="1"/>
      <c r="AQ2023" s="1"/>
      <c r="AR2023" s="1"/>
      <c r="AS2023" s="1"/>
      <c r="AT2023" s="1"/>
      <c r="AU2023" s="1"/>
      <c r="AV2023" s="1"/>
      <c r="AW2023" s="1"/>
      <c r="AX2023" s="1"/>
      <c r="AY2023" s="1"/>
      <c r="AZ2023" s="1"/>
      <c r="BA2023" s="1"/>
      <c r="BB2023" s="1"/>
      <c r="BC2023" s="1"/>
      <c r="BD2023" s="1"/>
      <c r="BE2023" s="1"/>
    </row>
    <row x14ac:dyDescent="0.25" r="2024" customHeight="1" ht="18.75">
      <c r="A2024" s="1"/>
      <c r="B2024" s="2"/>
      <c r="C2024" s="2"/>
      <c r="D2024" s="2"/>
      <c r="E2024" s="2"/>
      <c r="F2024" s="2"/>
      <c r="G2024" s="1"/>
      <c r="H2024" s="1"/>
      <c r="I2024" s="7">
        <v>2.021</v>
      </c>
      <c r="J2024" s="7">
        <f>IF((I2024-ROUNDDOWN(I2024,0))=0, 0, (I2024-ROUNDDOWN(I2024,0)))</f>
      </c>
      <c r="K2024" s="7">
        <f>INDIRECT("C$"&amp;2+MIN(2,ROUNDDOWN(I2024,0))*3)*(-$J2024^3+3*$J2024^2-3*$J2024+1)+INDIRECT("C$"&amp;3+MIN(2,ROUNDDOWN(I2024,0))*3)*(3*$J2024^3-6*$J2024^2+3*$J2024)+INDIRECT("C$"&amp;4+MIN(2,ROUNDDOWN(I2024,0))*3)*(-3*$J2024^3+3*$J2024^2)+INDIRECT("C$"&amp;5+MIN(2,ROUNDDOWN(I2024,0))*3)*$J2024^3</f>
      </c>
      <c r="L2024" s="7">
        <f>INDIRECT("D$"&amp;2+MIN(2,ROUNDDOWN(I2024,0))*3)*(-$J2024^3+3*$J2024^2-3*$J2024+1)+INDIRECT("D$"&amp;3+MIN(2,ROUNDDOWN(I2024,0))*3)*(3*$J2024^3-6*$J2024^2+3*$J2024)+INDIRECT("D$"&amp;4+MIN(2,ROUNDDOWN(I2024,0))*3)*(-3*$J2024^3+3*$J2024^2)+INDIRECT("D$"&amp;5+MIN(2,ROUNDDOWN(I2024,0))*3)*$J2024^3</f>
      </c>
      <c r="M2024" s="7">
        <f>SQRT(K2024^2+L2024^2)</f>
      </c>
      <c r="N2024" s="7">
        <f>(K2025-K2023)</f>
      </c>
      <c r="O2024" s="7">
        <f>+(L2025-L2023)</f>
      </c>
      <c r="P2024" s="7">
        <f>SQRT(O2024^2+N2024^2)</f>
      </c>
      <c r="Q2024" s="7">
        <f>N2024/$P2024</f>
      </c>
      <c r="R2024" s="7">
        <f>O2024/$P2024</f>
      </c>
      <c r="S2024" s="7">
        <f>Q2024^2+R2024^2</f>
      </c>
      <c r="T2024" s="7">
        <f>-R2024</f>
      </c>
      <c r="U2024" s="7">
        <f>Q2024</f>
      </c>
      <c r="V2024" s="7">
        <f>($C$14+($C$15-$C$14)/($D$15-$D$14)*(I2024-$D$14))/2</f>
      </c>
      <c r="W2024" s="7">
        <f>($B$22*I2024^4+$C$22*I2024^3+$D$22*I2024^2+$E$22*I2024+$F$22)/2</f>
      </c>
      <c r="X2024" s="7">
        <f>($W2024)*(T2024)</f>
      </c>
      <c r="Y2024" s="7">
        <f>($W2024)*(U2024)</f>
      </c>
      <c r="Z2024" s="7">
        <f>SQRT(X2024^2+Y2024^2)</f>
      </c>
      <c r="AA2024" s="7">
        <f>$K2024+$X2024</f>
      </c>
      <c r="AB2024" s="7">
        <f>$L2024+$Y2024</f>
      </c>
      <c r="AC2024" s="7">
        <f>$K2024-$X2024</f>
      </c>
      <c r="AD2024" s="7">
        <f>$L2024-$Y2024</f>
      </c>
      <c r="AE2024" s="7">
        <f>AA2024/39.3701</f>
      </c>
      <c r="AF2024" s="7">
        <f>AB2024/39.3701</f>
      </c>
      <c r="AG2024" s="7">
        <f>AC2024/39.3701</f>
      </c>
      <c r="AH2024" s="7">
        <f>AD2024/39.3701</f>
      </c>
      <c r="AI2024" s="1"/>
      <c r="AJ2024" s="1"/>
      <c r="AK2024" s="1"/>
      <c r="AL2024" s="1"/>
      <c r="AM2024" s="2"/>
      <c r="AN2024" s="1"/>
      <c r="AO2024" s="1"/>
      <c r="AP2024" s="1"/>
      <c r="AQ2024" s="1"/>
      <c r="AR2024" s="1"/>
      <c r="AS2024" s="1"/>
      <c r="AT2024" s="1"/>
      <c r="AU2024" s="1"/>
      <c r="AV2024" s="1"/>
      <c r="AW2024" s="1"/>
      <c r="AX2024" s="1"/>
      <c r="AY2024" s="1"/>
      <c r="AZ2024" s="1"/>
      <c r="BA2024" s="1"/>
      <c r="BB2024" s="1"/>
      <c r="BC2024" s="1"/>
      <c r="BD2024" s="1"/>
      <c r="BE2024" s="1"/>
    </row>
    <row x14ac:dyDescent="0.25" r="2025" customHeight="1" ht="18.75">
      <c r="A2025" s="1"/>
      <c r="B2025" s="2"/>
      <c r="C2025" s="2"/>
      <c r="D2025" s="2"/>
      <c r="E2025" s="2"/>
      <c r="F2025" s="2"/>
      <c r="G2025" s="1"/>
      <c r="H2025" s="1"/>
      <c r="I2025" s="7">
        <v>2.022</v>
      </c>
      <c r="J2025" s="7">
        <f>IF((I2025-ROUNDDOWN(I2025,0))=0, 0, (I2025-ROUNDDOWN(I2025,0)))</f>
      </c>
      <c r="K2025" s="7">
        <f>INDIRECT("C$"&amp;2+MIN(2,ROUNDDOWN(I2025,0))*3)*(-$J2025^3+3*$J2025^2-3*$J2025+1)+INDIRECT("C$"&amp;3+MIN(2,ROUNDDOWN(I2025,0))*3)*(3*$J2025^3-6*$J2025^2+3*$J2025)+INDIRECT("C$"&amp;4+MIN(2,ROUNDDOWN(I2025,0))*3)*(-3*$J2025^3+3*$J2025^2)+INDIRECT("C$"&amp;5+MIN(2,ROUNDDOWN(I2025,0))*3)*$J2025^3</f>
      </c>
      <c r="L2025" s="7">
        <f>INDIRECT("D$"&amp;2+MIN(2,ROUNDDOWN(I2025,0))*3)*(-$J2025^3+3*$J2025^2-3*$J2025+1)+INDIRECT("D$"&amp;3+MIN(2,ROUNDDOWN(I2025,0))*3)*(3*$J2025^3-6*$J2025^2+3*$J2025)+INDIRECT("D$"&amp;4+MIN(2,ROUNDDOWN(I2025,0))*3)*(-3*$J2025^3+3*$J2025^2)+INDIRECT("D$"&amp;5+MIN(2,ROUNDDOWN(I2025,0))*3)*$J2025^3</f>
      </c>
      <c r="M2025" s="7">
        <f>SQRT(K2025^2+L2025^2)</f>
      </c>
      <c r="N2025" s="7">
        <f>(K2026-K2024)</f>
      </c>
      <c r="O2025" s="7">
        <f>+(L2026-L2024)</f>
      </c>
      <c r="P2025" s="7">
        <f>SQRT(O2025^2+N2025^2)</f>
      </c>
      <c r="Q2025" s="7">
        <f>N2025/$P2025</f>
      </c>
      <c r="R2025" s="7">
        <f>O2025/$P2025</f>
      </c>
      <c r="S2025" s="7">
        <f>Q2025^2+R2025^2</f>
      </c>
      <c r="T2025" s="7">
        <f>-R2025</f>
      </c>
      <c r="U2025" s="7">
        <f>Q2025</f>
      </c>
      <c r="V2025" s="7">
        <f>($C$14+($C$15-$C$14)/($D$15-$D$14)*(I2025-$D$14))/2</f>
      </c>
      <c r="W2025" s="7">
        <f>($B$22*I2025^4+$C$22*I2025^3+$D$22*I2025^2+$E$22*I2025+$F$22)/2</f>
      </c>
      <c r="X2025" s="7">
        <f>($W2025)*(T2025)</f>
      </c>
      <c r="Y2025" s="7">
        <f>($W2025)*(U2025)</f>
      </c>
      <c r="Z2025" s="7">
        <f>SQRT(X2025^2+Y2025^2)</f>
      </c>
      <c r="AA2025" s="7">
        <f>$K2025+$X2025</f>
      </c>
      <c r="AB2025" s="7">
        <f>$L2025+$Y2025</f>
      </c>
      <c r="AC2025" s="7">
        <f>$K2025-$X2025</f>
      </c>
      <c r="AD2025" s="7">
        <f>$L2025-$Y2025</f>
      </c>
      <c r="AE2025" s="7">
        <f>AA2025/39.3701</f>
      </c>
      <c r="AF2025" s="7">
        <f>AB2025/39.3701</f>
      </c>
      <c r="AG2025" s="7">
        <f>AC2025/39.3701</f>
      </c>
      <c r="AH2025" s="7">
        <f>AD2025/39.3701</f>
      </c>
      <c r="AI2025" s="1"/>
      <c r="AJ2025" s="1"/>
      <c r="AK2025" s="1"/>
      <c r="AL2025" s="1"/>
      <c r="AM2025" s="2"/>
      <c r="AN2025" s="1"/>
      <c r="AO2025" s="1"/>
      <c r="AP2025" s="1"/>
      <c r="AQ2025" s="1"/>
      <c r="AR2025" s="1"/>
      <c r="AS2025" s="1"/>
      <c r="AT2025" s="1"/>
      <c r="AU2025" s="1"/>
      <c r="AV2025" s="1"/>
      <c r="AW2025" s="1"/>
      <c r="AX2025" s="1"/>
      <c r="AY2025" s="1"/>
      <c r="AZ2025" s="1"/>
      <c r="BA2025" s="1"/>
      <c r="BB2025" s="1"/>
      <c r="BC2025" s="1"/>
      <c r="BD2025" s="1"/>
      <c r="BE2025" s="1"/>
    </row>
    <row x14ac:dyDescent="0.25" r="2026" customHeight="1" ht="18.75">
      <c r="A2026" s="1"/>
      <c r="B2026" s="2"/>
      <c r="C2026" s="2"/>
      <c r="D2026" s="2"/>
      <c r="E2026" s="2"/>
      <c r="F2026" s="2"/>
      <c r="G2026" s="1"/>
      <c r="H2026" s="1"/>
      <c r="I2026" s="7">
        <v>2.023</v>
      </c>
      <c r="J2026" s="7">
        <f>IF((I2026-ROUNDDOWN(I2026,0))=0, 0, (I2026-ROUNDDOWN(I2026,0)))</f>
      </c>
      <c r="K2026" s="7">
        <f>INDIRECT("C$"&amp;2+MIN(2,ROUNDDOWN(I2026,0))*3)*(-$J2026^3+3*$J2026^2-3*$J2026+1)+INDIRECT("C$"&amp;3+MIN(2,ROUNDDOWN(I2026,0))*3)*(3*$J2026^3-6*$J2026^2+3*$J2026)+INDIRECT("C$"&amp;4+MIN(2,ROUNDDOWN(I2026,0))*3)*(-3*$J2026^3+3*$J2026^2)+INDIRECT("C$"&amp;5+MIN(2,ROUNDDOWN(I2026,0))*3)*$J2026^3</f>
      </c>
      <c r="L2026" s="7">
        <f>INDIRECT("D$"&amp;2+MIN(2,ROUNDDOWN(I2026,0))*3)*(-$J2026^3+3*$J2026^2-3*$J2026+1)+INDIRECT("D$"&amp;3+MIN(2,ROUNDDOWN(I2026,0))*3)*(3*$J2026^3-6*$J2026^2+3*$J2026)+INDIRECT("D$"&amp;4+MIN(2,ROUNDDOWN(I2026,0))*3)*(-3*$J2026^3+3*$J2026^2)+INDIRECT("D$"&amp;5+MIN(2,ROUNDDOWN(I2026,0))*3)*$J2026^3</f>
      </c>
      <c r="M2026" s="7">
        <f>SQRT(K2026^2+L2026^2)</f>
      </c>
      <c r="N2026" s="7">
        <f>(K2027-K2025)</f>
      </c>
      <c r="O2026" s="7">
        <f>+(L2027-L2025)</f>
      </c>
      <c r="P2026" s="7">
        <f>SQRT(O2026^2+N2026^2)</f>
      </c>
      <c r="Q2026" s="7">
        <f>N2026/$P2026</f>
      </c>
      <c r="R2026" s="7">
        <f>O2026/$P2026</f>
      </c>
      <c r="S2026" s="8">
        <f>Q2026^2+R2026^2</f>
      </c>
      <c r="T2026" s="7">
        <f>-R2026</f>
      </c>
      <c r="U2026" s="7">
        <f>Q2026</f>
      </c>
      <c r="V2026" s="7">
        <f>($C$14+($C$15-$C$14)/($D$15-$D$14)*(I2026-$D$14))/2</f>
      </c>
      <c r="W2026" s="7">
        <f>($B$22*I2026^4+$C$22*I2026^3+$D$22*I2026^2+$E$22*I2026+$F$22)/2</f>
      </c>
      <c r="X2026" s="7">
        <f>($W2026)*(T2026)</f>
      </c>
      <c r="Y2026" s="7">
        <f>($W2026)*(U2026)</f>
      </c>
      <c r="Z2026" s="7">
        <f>SQRT(X2026^2+Y2026^2)</f>
      </c>
      <c r="AA2026" s="7">
        <f>$K2026+$X2026</f>
      </c>
      <c r="AB2026" s="7">
        <f>$L2026+$Y2026</f>
      </c>
      <c r="AC2026" s="7">
        <f>$K2026-$X2026</f>
      </c>
      <c r="AD2026" s="7">
        <f>$L2026-$Y2026</f>
      </c>
      <c r="AE2026" s="7">
        <f>AA2026/39.3701</f>
      </c>
      <c r="AF2026" s="7">
        <f>AB2026/39.3701</f>
      </c>
      <c r="AG2026" s="7">
        <f>AC2026/39.3701</f>
      </c>
      <c r="AH2026" s="7">
        <f>AD2026/39.3701</f>
      </c>
      <c r="AI2026" s="1"/>
      <c r="AJ2026" s="1"/>
      <c r="AK2026" s="1"/>
      <c r="AL2026" s="1"/>
      <c r="AM2026" s="2"/>
      <c r="AN2026" s="1"/>
      <c r="AO2026" s="1"/>
      <c r="AP2026" s="1"/>
      <c r="AQ2026" s="1"/>
      <c r="AR2026" s="1"/>
      <c r="AS2026" s="1"/>
      <c r="AT2026" s="1"/>
      <c r="AU2026" s="1"/>
      <c r="AV2026" s="1"/>
      <c r="AW2026" s="1"/>
      <c r="AX2026" s="1"/>
      <c r="AY2026" s="1"/>
      <c r="AZ2026" s="1"/>
      <c r="BA2026" s="1"/>
      <c r="BB2026" s="1"/>
      <c r="BC2026" s="1"/>
      <c r="BD2026" s="1"/>
      <c r="BE2026" s="1"/>
    </row>
    <row x14ac:dyDescent="0.25" r="2027" customHeight="1" ht="18.75">
      <c r="A2027" s="1"/>
      <c r="B2027" s="2"/>
      <c r="C2027" s="2"/>
      <c r="D2027" s="2"/>
      <c r="E2027" s="2"/>
      <c r="F2027" s="2"/>
      <c r="G2027" s="1"/>
      <c r="H2027" s="1"/>
      <c r="I2027" s="7">
        <v>2.024</v>
      </c>
      <c r="J2027" s="7">
        <f>IF((I2027-ROUNDDOWN(I2027,0))=0, 0, (I2027-ROUNDDOWN(I2027,0)))</f>
      </c>
      <c r="K2027" s="7">
        <f>INDIRECT("C$"&amp;2+MIN(2,ROUNDDOWN(I2027,0))*3)*(-$J2027^3+3*$J2027^2-3*$J2027+1)+INDIRECT("C$"&amp;3+MIN(2,ROUNDDOWN(I2027,0))*3)*(3*$J2027^3-6*$J2027^2+3*$J2027)+INDIRECT("C$"&amp;4+MIN(2,ROUNDDOWN(I2027,0))*3)*(-3*$J2027^3+3*$J2027^2)+INDIRECT("C$"&amp;5+MIN(2,ROUNDDOWN(I2027,0))*3)*$J2027^3</f>
      </c>
      <c r="L2027" s="7">
        <f>INDIRECT("D$"&amp;2+MIN(2,ROUNDDOWN(I2027,0))*3)*(-$J2027^3+3*$J2027^2-3*$J2027+1)+INDIRECT("D$"&amp;3+MIN(2,ROUNDDOWN(I2027,0))*3)*(3*$J2027^3-6*$J2027^2+3*$J2027)+INDIRECT("D$"&amp;4+MIN(2,ROUNDDOWN(I2027,0))*3)*(-3*$J2027^3+3*$J2027^2)+INDIRECT("D$"&amp;5+MIN(2,ROUNDDOWN(I2027,0))*3)*$J2027^3</f>
      </c>
      <c r="M2027" s="7">
        <f>SQRT(K2027^2+L2027^2)</f>
      </c>
      <c r="N2027" s="7">
        <f>(K2028-K2026)</f>
      </c>
      <c r="O2027" s="7">
        <f>+(L2028-L2026)</f>
      </c>
      <c r="P2027" s="7">
        <f>SQRT(O2027^2+N2027^2)</f>
      </c>
      <c r="Q2027" s="7">
        <f>N2027/$P2027</f>
      </c>
      <c r="R2027" s="7">
        <f>O2027/$P2027</f>
      </c>
      <c r="S2027" s="7">
        <f>Q2027^2+R2027^2</f>
      </c>
      <c r="T2027" s="7">
        <f>-R2027</f>
      </c>
      <c r="U2027" s="7">
        <f>Q2027</f>
      </c>
      <c r="V2027" s="7">
        <f>($C$14+($C$15-$C$14)/($D$15-$D$14)*(I2027-$D$14))/2</f>
      </c>
      <c r="W2027" s="7">
        <f>($B$22*I2027^4+$C$22*I2027^3+$D$22*I2027^2+$E$22*I2027+$F$22)/2</f>
      </c>
      <c r="X2027" s="7">
        <f>($W2027)*(T2027)</f>
      </c>
      <c r="Y2027" s="7">
        <f>($W2027)*(U2027)</f>
      </c>
      <c r="Z2027" s="7">
        <f>SQRT(X2027^2+Y2027^2)</f>
      </c>
      <c r="AA2027" s="7">
        <f>$K2027+$X2027</f>
      </c>
      <c r="AB2027" s="7">
        <f>$L2027+$Y2027</f>
      </c>
      <c r="AC2027" s="7">
        <f>$K2027-$X2027</f>
      </c>
      <c r="AD2027" s="7">
        <f>$L2027-$Y2027</f>
      </c>
      <c r="AE2027" s="7">
        <f>AA2027/39.3701</f>
      </c>
      <c r="AF2027" s="7">
        <f>AB2027/39.3701</f>
      </c>
      <c r="AG2027" s="7">
        <f>AC2027/39.3701</f>
      </c>
      <c r="AH2027" s="7">
        <f>AD2027/39.3701</f>
      </c>
      <c r="AI2027" s="1"/>
      <c r="AJ2027" s="1"/>
      <c r="AK2027" s="1"/>
      <c r="AL2027" s="1"/>
      <c r="AM2027" s="2"/>
      <c r="AN2027" s="1"/>
      <c r="AO2027" s="1"/>
      <c r="AP2027" s="1"/>
      <c r="AQ2027" s="1"/>
      <c r="AR2027" s="1"/>
      <c r="AS2027" s="1"/>
      <c r="AT2027" s="1"/>
      <c r="AU2027" s="1"/>
      <c r="AV2027" s="1"/>
      <c r="AW2027" s="1"/>
      <c r="AX2027" s="1"/>
      <c r="AY2027" s="1"/>
      <c r="AZ2027" s="1"/>
      <c r="BA2027" s="1"/>
      <c r="BB2027" s="1"/>
      <c r="BC2027" s="1"/>
      <c r="BD2027" s="1"/>
      <c r="BE2027" s="1"/>
    </row>
    <row x14ac:dyDescent="0.25" r="2028" customHeight="1" ht="18.75">
      <c r="A2028" s="1"/>
      <c r="B2028" s="2"/>
      <c r="C2028" s="2"/>
      <c r="D2028" s="2"/>
      <c r="E2028" s="2"/>
      <c r="F2028" s="2"/>
      <c r="G2028" s="1"/>
      <c r="H2028" s="1"/>
      <c r="I2028" s="7">
        <v>2.025</v>
      </c>
      <c r="J2028" s="7">
        <f>IF((I2028-ROUNDDOWN(I2028,0))=0, 0, (I2028-ROUNDDOWN(I2028,0)))</f>
      </c>
      <c r="K2028" s="7">
        <f>INDIRECT("C$"&amp;2+MIN(2,ROUNDDOWN(I2028,0))*3)*(-$J2028^3+3*$J2028^2-3*$J2028+1)+INDIRECT("C$"&amp;3+MIN(2,ROUNDDOWN(I2028,0))*3)*(3*$J2028^3-6*$J2028^2+3*$J2028)+INDIRECT("C$"&amp;4+MIN(2,ROUNDDOWN(I2028,0))*3)*(-3*$J2028^3+3*$J2028^2)+INDIRECT("C$"&amp;5+MIN(2,ROUNDDOWN(I2028,0))*3)*$J2028^3</f>
      </c>
      <c r="L2028" s="7">
        <f>INDIRECT("D$"&amp;2+MIN(2,ROUNDDOWN(I2028,0))*3)*(-$J2028^3+3*$J2028^2-3*$J2028+1)+INDIRECT("D$"&amp;3+MIN(2,ROUNDDOWN(I2028,0))*3)*(3*$J2028^3-6*$J2028^2+3*$J2028)+INDIRECT("D$"&amp;4+MIN(2,ROUNDDOWN(I2028,0))*3)*(-3*$J2028^3+3*$J2028^2)+INDIRECT("D$"&amp;5+MIN(2,ROUNDDOWN(I2028,0))*3)*$J2028^3</f>
      </c>
      <c r="M2028" s="7">
        <f>SQRT(K2028^2+L2028^2)</f>
      </c>
      <c r="N2028" s="7">
        <f>(K2029-K2027)</f>
      </c>
      <c r="O2028" s="7">
        <f>+(L2029-L2027)</f>
      </c>
      <c r="P2028" s="7">
        <f>SQRT(O2028^2+N2028^2)</f>
      </c>
      <c r="Q2028" s="7">
        <f>N2028/$P2028</f>
      </c>
      <c r="R2028" s="7">
        <f>O2028/$P2028</f>
      </c>
      <c r="S2028" s="8">
        <f>Q2028^2+R2028^2</f>
      </c>
      <c r="T2028" s="7">
        <f>-R2028</f>
      </c>
      <c r="U2028" s="7">
        <f>Q2028</f>
      </c>
      <c r="V2028" s="7">
        <f>($C$14+($C$15-$C$14)/($D$15-$D$14)*(I2028-$D$14))/2</f>
      </c>
      <c r="W2028" s="7">
        <f>($B$22*I2028^4+$C$22*I2028^3+$D$22*I2028^2+$E$22*I2028+$F$22)/2</f>
      </c>
      <c r="X2028" s="7">
        <f>($W2028)*(T2028)</f>
      </c>
      <c r="Y2028" s="7">
        <f>($W2028)*(U2028)</f>
      </c>
      <c r="Z2028" s="7">
        <f>SQRT(X2028^2+Y2028^2)</f>
      </c>
      <c r="AA2028" s="7">
        <f>$K2028+$X2028</f>
      </c>
      <c r="AB2028" s="7">
        <f>$L2028+$Y2028</f>
      </c>
      <c r="AC2028" s="7">
        <f>$K2028-$X2028</f>
      </c>
      <c r="AD2028" s="7">
        <f>$L2028-$Y2028</f>
      </c>
      <c r="AE2028" s="7">
        <f>AA2028/39.3701</f>
      </c>
      <c r="AF2028" s="7">
        <f>AB2028/39.3701</f>
      </c>
      <c r="AG2028" s="7">
        <f>AC2028/39.3701</f>
      </c>
      <c r="AH2028" s="7">
        <f>AD2028/39.3701</f>
      </c>
      <c r="AI2028" s="1"/>
      <c r="AJ2028" s="1"/>
      <c r="AK2028" s="1"/>
      <c r="AL2028" s="1"/>
      <c r="AM2028" s="2"/>
      <c r="AN2028" s="1"/>
      <c r="AO2028" s="1"/>
      <c r="AP2028" s="1"/>
      <c r="AQ2028" s="1"/>
      <c r="AR2028" s="1"/>
      <c r="AS2028" s="1"/>
      <c r="AT2028" s="1"/>
      <c r="AU2028" s="1"/>
      <c r="AV2028" s="1"/>
      <c r="AW2028" s="1"/>
      <c r="AX2028" s="1"/>
      <c r="AY2028" s="1"/>
      <c r="AZ2028" s="1"/>
      <c r="BA2028" s="1"/>
      <c r="BB2028" s="1"/>
      <c r="BC2028" s="1"/>
      <c r="BD2028" s="1"/>
      <c r="BE2028" s="1"/>
    </row>
    <row x14ac:dyDescent="0.25" r="2029" customHeight="1" ht="18.75">
      <c r="A2029" s="1"/>
      <c r="B2029" s="2"/>
      <c r="C2029" s="2"/>
      <c r="D2029" s="2"/>
      <c r="E2029" s="2"/>
      <c r="F2029" s="2"/>
      <c r="G2029" s="1"/>
      <c r="H2029" s="1"/>
      <c r="I2029" s="7">
        <v>2.026</v>
      </c>
      <c r="J2029" s="7">
        <f>IF((I2029-ROUNDDOWN(I2029,0))=0, 0, (I2029-ROUNDDOWN(I2029,0)))</f>
      </c>
      <c r="K2029" s="7">
        <f>INDIRECT("C$"&amp;2+MIN(2,ROUNDDOWN(I2029,0))*3)*(-$J2029^3+3*$J2029^2-3*$J2029+1)+INDIRECT("C$"&amp;3+MIN(2,ROUNDDOWN(I2029,0))*3)*(3*$J2029^3-6*$J2029^2+3*$J2029)+INDIRECT("C$"&amp;4+MIN(2,ROUNDDOWN(I2029,0))*3)*(-3*$J2029^3+3*$J2029^2)+INDIRECT("C$"&amp;5+MIN(2,ROUNDDOWN(I2029,0))*3)*$J2029^3</f>
      </c>
      <c r="L2029" s="7">
        <f>INDIRECT("D$"&amp;2+MIN(2,ROUNDDOWN(I2029,0))*3)*(-$J2029^3+3*$J2029^2-3*$J2029+1)+INDIRECT("D$"&amp;3+MIN(2,ROUNDDOWN(I2029,0))*3)*(3*$J2029^3-6*$J2029^2+3*$J2029)+INDIRECT("D$"&amp;4+MIN(2,ROUNDDOWN(I2029,0))*3)*(-3*$J2029^3+3*$J2029^2)+INDIRECT("D$"&amp;5+MIN(2,ROUNDDOWN(I2029,0))*3)*$J2029^3</f>
      </c>
      <c r="M2029" s="7">
        <f>SQRT(K2029^2+L2029^2)</f>
      </c>
      <c r="N2029" s="7">
        <f>(K2030-K2028)</f>
      </c>
      <c r="O2029" s="7">
        <f>+(L2030-L2028)</f>
      </c>
      <c r="P2029" s="7">
        <f>SQRT(O2029^2+N2029^2)</f>
      </c>
      <c r="Q2029" s="7">
        <f>N2029/$P2029</f>
      </c>
      <c r="R2029" s="7">
        <f>O2029/$P2029</f>
      </c>
      <c r="S2029" s="8">
        <f>Q2029^2+R2029^2</f>
      </c>
      <c r="T2029" s="7">
        <f>-R2029</f>
      </c>
      <c r="U2029" s="7">
        <f>Q2029</f>
      </c>
      <c r="V2029" s="7">
        <f>($C$14+($C$15-$C$14)/($D$15-$D$14)*(I2029-$D$14))/2</f>
      </c>
      <c r="W2029" s="7">
        <f>($B$22*I2029^4+$C$22*I2029^3+$D$22*I2029^2+$E$22*I2029+$F$22)/2</f>
      </c>
      <c r="X2029" s="7">
        <f>($W2029)*(T2029)</f>
      </c>
      <c r="Y2029" s="7">
        <f>($W2029)*(U2029)</f>
      </c>
      <c r="Z2029" s="7">
        <f>SQRT(X2029^2+Y2029^2)</f>
      </c>
      <c r="AA2029" s="7">
        <f>$K2029+$X2029</f>
      </c>
      <c r="AB2029" s="7">
        <f>$L2029+$Y2029</f>
      </c>
      <c r="AC2029" s="7">
        <f>$K2029-$X2029</f>
      </c>
      <c r="AD2029" s="7">
        <f>$L2029-$Y2029</f>
      </c>
      <c r="AE2029" s="7">
        <f>AA2029/39.3701</f>
      </c>
      <c r="AF2029" s="7">
        <f>AB2029/39.3701</f>
      </c>
      <c r="AG2029" s="7">
        <f>AC2029/39.3701</f>
      </c>
      <c r="AH2029" s="7">
        <f>AD2029/39.3701</f>
      </c>
      <c r="AI2029" s="1"/>
      <c r="AJ2029" s="1"/>
      <c r="AK2029" s="1"/>
      <c r="AL2029" s="1"/>
      <c r="AM2029" s="2"/>
      <c r="AN2029" s="1"/>
      <c r="AO2029" s="1"/>
      <c r="AP2029" s="1"/>
      <c r="AQ2029" s="1"/>
      <c r="AR2029" s="1"/>
      <c r="AS2029" s="1"/>
      <c r="AT2029" s="1"/>
      <c r="AU2029" s="1"/>
      <c r="AV2029" s="1"/>
      <c r="AW2029" s="1"/>
      <c r="AX2029" s="1"/>
      <c r="AY2029" s="1"/>
      <c r="AZ2029" s="1"/>
      <c r="BA2029" s="1"/>
      <c r="BB2029" s="1"/>
      <c r="BC2029" s="1"/>
      <c r="BD2029" s="1"/>
      <c r="BE2029" s="1"/>
    </row>
    <row x14ac:dyDescent="0.25" r="2030" customHeight="1" ht="18.75">
      <c r="A2030" s="1"/>
      <c r="B2030" s="2"/>
      <c r="C2030" s="2"/>
      <c r="D2030" s="2"/>
      <c r="E2030" s="2"/>
      <c r="F2030" s="2"/>
      <c r="G2030" s="1"/>
      <c r="H2030" s="1"/>
      <c r="I2030" s="7">
        <v>2.027</v>
      </c>
      <c r="J2030" s="7">
        <f>IF((I2030-ROUNDDOWN(I2030,0))=0, 0, (I2030-ROUNDDOWN(I2030,0)))</f>
      </c>
      <c r="K2030" s="7">
        <f>INDIRECT("C$"&amp;2+MIN(2,ROUNDDOWN(I2030,0))*3)*(-$J2030^3+3*$J2030^2-3*$J2030+1)+INDIRECT("C$"&amp;3+MIN(2,ROUNDDOWN(I2030,0))*3)*(3*$J2030^3-6*$J2030^2+3*$J2030)+INDIRECT("C$"&amp;4+MIN(2,ROUNDDOWN(I2030,0))*3)*(-3*$J2030^3+3*$J2030^2)+INDIRECT("C$"&amp;5+MIN(2,ROUNDDOWN(I2030,0))*3)*$J2030^3</f>
      </c>
      <c r="L2030" s="7">
        <f>INDIRECT("D$"&amp;2+MIN(2,ROUNDDOWN(I2030,0))*3)*(-$J2030^3+3*$J2030^2-3*$J2030+1)+INDIRECT("D$"&amp;3+MIN(2,ROUNDDOWN(I2030,0))*3)*(3*$J2030^3-6*$J2030^2+3*$J2030)+INDIRECT("D$"&amp;4+MIN(2,ROUNDDOWN(I2030,0))*3)*(-3*$J2030^3+3*$J2030^2)+INDIRECT("D$"&amp;5+MIN(2,ROUNDDOWN(I2030,0))*3)*$J2030^3</f>
      </c>
      <c r="M2030" s="7">
        <f>SQRT(K2030^2+L2030^2)</f>
      </c>
      <c r="N2030" s="7">
        <f>(K2031-K2029)</f>
      </c>
      <c r="O2030" s="7">
        <f>+(L2031-L2029)</f>
      </c>
      <c r="P2030" s="7">
        <f>SQRT(O2030^2+N2030^2)</f>
      </c>
      <c r="Q2030" s="7">
        <f>N2030/$P2030</f>
      </c>
      <c r="R2030" s="7">
        <f>O2030/$P2030</f>
      </c>
      <c r="S2030" s="7">
        <f>Q2030^2+R2030^2</f>
      </c>
      <c r="T2030" s="7">
        <f>-R2030</f>
      </c>
      <c r="U2030" s="7">
        <f>Q2030</f>
      </c>
      <c r="V2030" s="7">
        <f>($C$14+($C$15-$C$14)/($D$15-$D$14)*(I2030-$D$14))/2</f>
      </c>
      <c r="W2030" s="7">
        <f>($B$22*I2030^4+$C$22*I2030^3+$D$22*I2030^2+$E$22*I2030+$F$22)/2</f>
      </c>
      <c r="X2030" s="7">
        <f>($W2030)*(T2030)</f>
      </c>
      <c r="Y2030" s="7">
        <f>($W2030)*(U2030)</f>
      </c>
      <c r="Z2030" s="7">
        <f>SQRT(X2030^2+Y2030^2)</f>
      </c>
      <c r="AA2030" s="7">
        <f>$K2030+$X2030</f>
      </c>
      <c r="AB2030" s="7">
        <f>$L2030+$Y2030</f>
      </c>
      <c r="AC2030" s="7">
        <f>$K2030-$X2030</f>
      </c>
      <c r="AD2030" s="7">
        <f>$L2030-$Y2030</f>
      </c>
      <c r="AE2030" s="7">
        <f>AA2030/39.3701</f>
      </c>
      <c r="AF2030" s="7">
        <f>AB2030/39.3701</f>
      </c>
      <c r="AG2030" s="7">
        <f>AC2030/39.3701</f>
      </c>
      <c r="AH2030" s="7">
        <f>AD2030/39.3701</f>
      </c>
      <c r="AI2030" s="1"/>
      <c r="AJ2030" s="1"/>
      <c r="AK2030" s="1"/>
      <c r="AL2030" s="1"/>
      <c r="AM2030" s="2"/>
      <c r="AN2030" s="1"/>
      <c r="AO2030" s="1"/>
      <c r="AP2030" s="1"/>
      <c r="AQ2030" s="1"/>
      <c r="AR2030" s="1"/>
      <c r="AS2030" s="1"/>
      <c r="AT2030" s="1"/>
      <c r="AU2030" s="1"/>
      <c r="AV2030" s="1"/>
      <c r="AW2030" s="1"/>
      <c r="AX2030" s="1"/>
      <c r="AY2030" s="1"/>
      <c r="AZ2030" s="1"/>
      <c r="BA2030" s="1"/>
      <c r="BB2030" s="1"/>
      <c r="BC2030" s="1"/>
      <c r="BD2030" s="1"/>
      <c r="BE2030" s="1"/>
    </row>
    <row x14ac:dyDescent="0.25" r="2031" customHeight="1" ht="18.75">
      <c r="A2031" s="1"/>
      <c r="B2031" s="2"/>
      <c r="C2031" s="2"/>
      <c r="D2031" s="2"/>
      <c r="E2031" s="2"/>
      <c r="F2031" s="2"/>
      <c r="G2031" s="1"/>
      <c r="H2031" s="1"/>
      <c r="I2031" s="7">
        <v>2.028</v>
      </c>
      <c r="J2031" s="7">
        <f>IF((I2031-ROUNDDOWN(I2031,0))=0, 0, (I2031-ROUNDDOWN(I2031,0)))</f>
      </c>
      <c r="K2031" s="7">
        <f>INDIRECT("C$"&amp;2+MIN(2,ROUNDDOWN(I2031,0))*3)*(-$J2031^3+3*$J2031^2-3*$J2031+1)+INDIRECT("C$"&amp;3+MIN(2,ROUNDDOWN(I2031,0))*3)*(3*$J2031^3-6*$J2031^2+3*$J2031)+INDIRECT("C$"&amp;4+MIN(2,ROUNDDOWN(I2031,0))*3)*(-3*$J2031^3+3*$J2031^2)+INDIRECT("C$"&amp;5+MIN(2,ROUNDDOWN(I2031,0))*3)*$J2031^3</f>
      </c>
      <c r="L2031" s="7">
        <f>INDIRECT("D$"&amp;2+MIN(2,ROUNDDOWN(I2031,0))*3)*(-$J2031^3+3*$J2031^2-3*$J2031+1)+INDIRECT("D$"&amp;3+MIN(2,ROUNDDOWN(I2031,0))*3)*(3*$J2031^3-6*$J2031^2+3*$J2031)+INDIRECT("D$"&amp;4+MIN(2,ROUNDDOWN(I2031,0))*3)*(-3*$J2031^3+3*$J2031^2)+INDIRECT("D$"&amp;5+MIN(2,ROUNDDOWN(I2031,0))*3)*$J2031^3</f>
      </c>
      <c r="M2031" s="7">
        <f>SQRT(K2031^2+L2031^2)</f>
      </c>
      <c r="N2031" s="7">
        <f>(K2032-K2030)</f>
      </c>
      <c r="O2031" s="7">
        <f>+(L2032-L2030)</f>
      </c>
      <c r="P2031" s="7">
        <f>SQRT(O2031^2+N2031^2)</f>
      </c>
      <c r="Q2031" s="7">
        <f>N2031/$P2031</f>
      </c>
      <c r="R2031" s="7">
        <f>O2031/$P2031</f>
      </c>
      <c r="S2031" s="7">
        <f>Q2031^2+R2031^2</f>
      </c>
      <c r="T2031" s="7">
        <f>-R2031</f>
      </c>
      <c r="U2031" s="7">
        <f>Q2031</f>
      </c>
      <c r="V2031" s="7">
        <f>($C$14+($C$15-$C$14)/($D$15-$D$14)*(I2031-$D$14))/2</f>
      </c>
      <c r="W2031" s="7">
        <f>($B$22*I2031^4+$C$22*I2031^3+$D$22*I2031^2+$E$22*I2031+$F$22)/2</f>
      </c>
      <c r="X2031" s="7">
        <f>($W2031)*(T2031)</f>
      </c>
      <c r="Y2031" s="7">
        <f>($W2031)*(U2031)</f>
      </c>
      <c r="Z2031" s="7">
        <f>SQRT(X2031^2+Y2031^2)</f>
      </c>
      <c r="AA2031" s="7">
        <f>$K2031+$X2031</f>
      </c>
      <c r="AB2031" s="7">
        <f>$L2031+$Y2031</f>
      </c>
      <c r="AC2031" s="7">
        <f>$K2031-$X2031</f>
      </c>
      <c r="AD2031" s="7">
        <f>$L2031-$Y2031</f>
      </c>
      <c r="AE2031" s="7">
        <f>AA2031/39.3701</f>
      </c>
      <c r="AF2031" s="7">
        <f>AB2031/39.3701</f>
      </c>
      <c r="AG2031" s="7">
        <f>AC2031/39.3701</f>
      </c>
      <c r="AH2031" s="7">
        <f>AD2031/39.3701</f>
      </c>
      <c r="AI2031" s="1"/>
      <c r="AJ2031" s="1"/>
      <c r="AK2031" s="1"/>
      <c r="AL2031" s="1"/>
      <c r="AM2031" s="2"/>
      <c r="AN2031" s="1"/>
      <c r="AO2031" s="1"/>
      <c r="AP2031" s="1"/>
      <c r="AQ2031" s="1"/>
      <c r="AR2031" s="1"/>
      <c r="AS2031" s="1"/>
      <c r="AT2031" s="1"/>
      <c r="AU2031" s="1"/>
      <c r="AV2031" s="1"/>
      <c r="AW2031" s="1"/>
      <c r="AX2031" s="1"/>
      <c r="AY2031" s="1"/>
      <c r="AZ2031" s="1"/>
      <c r="BA2031" s="1"/>
      <c r="BB2031" s="1"/>
      <c r="BC2031" s="1"/>
      <c r="BD2031" s="1"/>
      <c r="BE2031" s="1"/>
    </row>
    <row x14ac:dyDescent="0.25" r="2032" customHeight="1" ht="18.75">
      <c r="A2032" s="1"/>
      <c r="B2032" s="2"/>
      <c r="C2032" s="2"/>
      <c r="D2032" s="2"/>
      <c r="E2032" s="2"/>
      <c r="F2032" s="2"/>
      <c r="G2032" s="1"/>
      <c r="H2032" s="1"/>
      <c r="I2032" s="7">
        <v>2.029</v>
      </c>
      <c r="J2032" s="7">
        <f>IF((I2032-ROUNDDOWN(I2032,0))=0, 0, (I2032-ROUNDDOWN(I2032,0)))</f>
      </c>
      <c r="K2032" s="7">
        <f>INDIRECT("C$"&amp;2+MIN(2,ROUNDDOWN(I2032,0))*3)*(-$J2032^3+3*$J2032^2-3*$J2032+1)+INDIRECT("C$"&amp;3+MIN(2,ROUNDDOWN(I2032,0))*3)*(3*$J2032^3-6*$J2032^2+3*$J2032)+INDIRECT("C$"&amp;4+MIN(2,ROUNDDOWN(I2032,0))*3)*(-3*$J2032^3+3*$J2032^2)+INDIRECT("C$"&amp;5+MIN(2,ROUNDDOWN(I2032,0))*3)*$J2032^3</f>
      </c>
      <c r="L2032" s="7">
        <f>INDIRECT("D$"&amp;2+MIN(2,ROUNDDOWN(I2032,0))*3)*(-$J2032^3+3*$J2032^2-3*$J2032+1)+INDIRECT("D$"&amp;3+MIN(2,ROUNDDOWN(I2032,0))*3)*(3*$J2032^3-6*$J2032^2+3*$J2032)+INDIRECT("D$"&amp;4+MIN(2,ROUNDDOWN(I2032,0))*3)*(-3*$J2032^3+3*$J2032^2)+INDIRECT("D$"&amp;5+MIN(2,ROUNDDOWN(I2032,0))*3)*$J2032^3</f>
      </c>
      <c r="M2032" s="7">
        <f>SQRT(K2032^2+L2032^2)</f>
      </c>
      <c r="N2032" s="7">
        <f>(K2033-K2031)</f>
      </c>
      <c r="O2032" s="7">
        <f>+(L2033-L2031)</f>
      </c>
      <c r="P2032" s="7">
        <f>SQRT(O2032^2+N2032^2)</f>
      </c>
      <c r="Q2032" s="7">
        <f>N2032/$P2032</f>
      </c>
      <c r="R2032" s="7">
        <f>O2032/$P2032</f>
      </c>
      <c r="S2032" s="8">
        <f>Q2032^2+R2032^2</f>
      </c>
      <c r="T2032" s="7">
        <f>-R2032</f>
      </c>
      <c r="U2032" s="7">
        <f>Q2032</f>
      </c>
      <c r="V2032" s="7">
        <f>($C$14+($C$15-$C$14)/($D$15-$D$14)*(I2032-$D$14))/2</f>
      </c>
      <c r="W2032" s="7">
        <f>($B$22*I2032^4+$C$22*I2032^3+$D$22*I2032^2+$E$22*I2032+$F$22)/2</f>
      </c>
      <c r="X2032" s="7">
        <f>($W2032)*(T2032)</f>
      </c>
      <c r="Y2032" s="7">
        <f>($W2032)*(U2032)</f>
      </c>
      <c r="Z2032" s="7">
        <f>SQRT(X2032^2+Y2032^2)</f>
      </c>
      <c r="AA2032" s="7">
        <f>$K2032+$X2032</f>
      </c>
      <c r="AB2032" s="7">
        <f>$L2032+$Y2032</f>
      </c>
      <c r="AC2032" s="7">
        <f>$K2032-$X2032</f>
      </c>
      <c r="AD2032" s="7">
        <f>$L2032-$Y2032</f>
      </c>
      <c r="AE2032" s="7">
        <f>AA2032/39.3701</f>
      </c>
      <c r="AF2032" s="7">
        <f>AB2032/39.3701</f>
      </c>
      <c r="AG2032" s="7">
        <f>AC2032/39.3701</f>
      </c>
      <c r="AH2032" s="7">
        <f>AD2032/39.3701</f>
      </c>
      <c r="AI2032" s="1"/>
      <c r="AJ2032" s="1"/>
      <c r="AK2032" s="1"/>
      <c r="AL2032" s="1"/>
      <c r="AM2032" s="2"/>
      <c r="AN2032" s="1"/>
      <c r="AO2032" s="1"/>
      <c r="AP2032" s="1"/>
      <c r="AQ2032" s="1"/>
      <c r="AR2032" s="1"/>
      <c r="AS2032" s="1"/>
      <c r="AT2032" s="1"/>
      <c r="AU2032" s="1"/>
      <c r="AV2032" s="1"/>
      <c r="AW2032" s="1"/>
      <c r="AX2032" s="1"/>
      <c r="AY2032" s="1"/>
      <c r="AZ2032" s="1"/>
      <c r="BA2032" s="1"/>
      <c r="BB2032" s="1"/>
      <c r="BC2032" s="1"/>
      <c r="BD2032" s="1"/>
      <c r="BE2032" s="1"/>
    </row>
    <row x14ac:dyDescent="0.25" r="2033" customHeight="1" ht="18.75">
      <c r="A2033" s="1"/>
      <c r="B2033" s="2"/>
      <c r="C2033" s="2"/>
      <c r="D2033" s="2"/>
      <c r="E2033" s="2"/>
      <c r="F2033" s="2"/>
      <c r="G2033" s="1"/>
      <c r="H2033" s="1"/>
      <c r="I2033" s="7">
        <v>2.03</v>
      </c>
      <c r="J2033" s="7">
        <f>IF((I2033-ROUNDDOWN(I2033,0))=0, 0, (I2033-ROUNDDOWN(I2033,0)))</f>
      </c>
      <c r="K2033" s="7">
        <f>INDIRECT("C$"&amp;2+MIN(2,ROUNDDOWN(I2033,0))*3)*(-$J2033^3+3*$J2033^2-3*$J2033+1)+INDIRECT("C$"&amp;3+MIN(2,ROUNDDOWN(I2033,0))*3)*(3*$J2033^3-6*$J2033^2+3*$J2033)+INDIRECT("C$"&amp;4+MIN(2,ROUNDDOWN(I2033,0))*3)*(-3*$J2033^3+3*$J2033^2)+INDIRECT("C$"&amp;5+MIN(2,ROUNDDOWN(I2033,0))*3)*$J2033^3</f>
      </c>
      <c r="L2033" s="7">
        <f>INDIRECT("D$"&amp;2+MIN(2,ROUNDDOWN(I2033,0))*3)*(-$J2033^3+3*$J2033^2-3*$J2033+1)+INDIRECT("D$"&amp;3+MIN(2,ROUNDDOWN(I2033,0))*3)*(3*$J2033^3-6*$J2033^2+3*$J2033)+INDIRECT("D$"&amp;4+MIN(2,ROUNDDOWN(I2033,0))*3)*(-3*$J2033^3+3*$J2033^2)+INDIRECT("D$"&amp;5+MIN(2,ROUNDDOWN(I2033,0))*3)*$J2033^3</f>
      </c>
      <c r="M2033" s="7">
        <f>SQRT(K2033^2+L2033^2)</f>
      </c>
      <c r="N2033" s="7">
        <f>(K2034-K2032)</f>
      </c>
      <c r="O2033" s="7">
        <f>+(L2034-L2032)</f>
      </c>
      <c r="P2033" s="7">
        <f>SQRT(O2033^2+N2033^2)</f>
      </c>
      <c r="Q2033" s="7">
        <f>N2033/$P2033</f>
      </c>
      <c r="R2033" s="7">
        <f>O2033/$P2033</f>
      </c>
      <c r="S2033" s="7">
        <f>Q2033^2+R2033^2</f>
      </c>
      <c r="T2033" s="7">
        <f>-R2033</f>
      </c>
      <c r="U2033" s="7">
        <f>Q2033</f>
      </c>
      <c r="V2033" s="7">
        <f>($C$14+($C$15-$C$14)/($D$15-$D$14)*(I2033-$D$14))/2</f>
      </c>
      <c r="W2033" s="7">
        <f>($B$22*I2033^4+$C$22*I2033^3+$D$22*I2033^2+$E$22*I2033+$F$22)/2</f>
      </c>
      <c r="X2033" s="7">
        <f>($W2033)*(T2033)</f>
      </c>
      <c r="Y2033" s="7">
        <f>($W2033)*(U2033)</f>
      </c>
      <c r="Z2033" s="7">
        <f>SQRT(X2033^2+Y2033^2)</f>
      </c>
      <c r="AA2033" s="7">
        <f>$K2033+$X2033</f>
      </c>
      <c r="AB2033" s="7">
        <f>$L2033+$Y2033</f>
      </c>
      <c r="AC2033" s="7">
        <f>$K2033-$X2033</f>
      </c>
      <c r="AD2033" s="7">
        <f>$L2033-$Y2033</f>
      </c>
      <c r="AE2033" s="7">
        <f>AA2033/39.3701</f>
      </c>
      <c r="AF2033" s="7">
        <f>AB2033/39.3701</f>
      </c>
      <c r="AG2033" s="7">
        <f>AC2033/39.3701</f>
      </c>
      <c r="AH2033" s="7">
        <f>AD2033/39.3701</f>
      </c>
      <c r="AI2033" s="1"/>
      <c r="AJ2033" s="1"/>
      <c r="AK2033" s="1"/>
      <c r="AL2033" s="1"/>
      <c r="AM2033" s="2"/>
      <c r="AN2033" s="1"/>
      <c r="AO2033" s="1"/>
      <c r="AP2033" s="1"/>
      <c r="AQ2033" s="1"/>
      <c r="AR2033" s="1"/>
      <c r="AS2033" s="1"/>
      <c r="AT2033" s="1"/>
      <c r="AU2033" s="1"/>
      <c r="AV2033" s="1"/>
      <c r="AW2033" s="1"/>
      <c r="AX2033" s="1"/>
      <c r="AY2033" s="1"/>
      <c r="AZ2033" s="1"/>
      <c r="BA2033" s="1"/>
      <c r="BB2033" s="1"/>
      <c r="BC2033" s="1"/>
      <c r="BD2033" s="1"/>
      <c r="BE2033" s="1"/>
    </row>
    <row x14ac:dyDescent="0.25" r="2034" customHeight="1" ht="18.75">
      <c r="A2034" s="1"/>
      <c r="B2034" s="2"/>
      <c r="C2034" s="2"/>
      <c r="D2034" s="2"/>
      <c r="E2034" s="2"/>
      <c r="F2034" s="2"/>
      <c r="G2034" s="1"/>
      <c r="H2034" s="1"/>
      <c r="I2034" s="7">
        <v>2.031</v>
      </c>
      <c r="J2034" s="7">
        <f>IF((I2034-ROUNDDOWN(I2034,0))=0, 0, (I2034-ROUNDDOWN(I2034,0)))</f>
      </c>
      <c r="K2034" s="7">
        <f>INDIRECT("C$"&amp;2+MIN(2,ROUNDDOWN(I2034,0))*3)*(-$J2034^3+3*$J2034^2-3*$J2034+1)+INDIRECT("C$"&amp;3+MIN(2,ROUNDDOWN(I2034,0))*3)*(3*$J2034^3-6*$J2034^2+3*$J2034)+INDIRECT("C$"&amp;4+MIN(2,ROUNDDOWN(I2034,0))*3)*(-3*$J2034^3+3*$J2034^2)+INDIRECT("C$"&amp;5+MIN(2,ROUNDDOWN(I2034,0))*3)*$J2034^3</f>
      </c>
      <c r="L2034" s="7">
        <f>INDIRECT("D$"&amp;2+MIN(2,ROUNDDOWN(I2034,0))*3)*(-$J2034^3+3*$J2034^2-3*$J2034+1)+INDIRECT("D$"&amp;3+MIN(2,ROUNDDOWN(I2034,0))*3)*(3*$J2034^3-6*$J2034^2+3*$J2034)+INDIRECT("D$"&amp;4+MIN(2,ROUNDDOWN(I2034,0))*3)*(-3*$J2034^3+3*$J2034^2)+INDIRECT("D$"&amp;5+MIN(2,ROUNDDOWN(I2034,0))*3)*$J2034^3</f>
      </c>
      <c r="M2034" s="7">
        <f>SQRT(K2034^2+L2034^2)</f>
      </c>
      <c r="N2034" s="7">
        <f>(K2035-K2033)</f>
      </c>
      <c r="O2034" s="7">
        <f>+(L2035-L2033)</f>
      </c>
      <c r="P2034" s="7">
        <f>SQRT(O2034^2+N2034^2)</f>
      </c>
      <c r="Q2034" s="7">
        <f>N2034/$P2034</f>
      </c>
      <c r="R2034" s="7">
        <f>O2034/$P2034</f>
      </c>
      <c r="S2034" s="7">
        <f>Q2034^2+R2034^2</f>
      </c>
      <c r="T2034" s="7">
        <f>-R2034</f>
      </c>
      <c r="U2034" s="7">
        <f>Q2034</f>
      </c>
      <c r="V2034" s="7">
        <f>($C$14+($C$15-$C$14)/($D$15-$D$14)*(I2034-$D$14))/2</f>
      </c>
      <c r="W2034" s="7">
        <f>($B$22*I2034^4+$C$22*I2034^3+$D$22*I2034^2+$E$22*I2034+$F$22)/2</f>
      </c>
      <c r="X2034" s="7">
        <f>($W2034)*(T2034)</f>
      </c>
      <c r="Y2034" s="7">
        <f>($W2034)*(U2034)</f>
      </c>
      <c r="Z2034" s="7">
        <f>SQRT(X2034^2+Y2034^2)</f>
      </c>
      <c r="AA2034" s="7">
        <f>$K2034+$X2034</f>
      </c>
      <c r="AB2034" s="7">
        <f>$L2034+$Y2034</f>
      </c>
      <c r="AC2034" s="7">
        <f>$K2034-$X2034</f>
      </c>
      <c r="AD2034" s="7">
        <f>$L2034-$Y2034</f>
      </c>
      <c r="AE2034" s="7">
        <f>AA2034/39.3701</f>
      </c>
      <c r="AF2034" s="7">
        <f>AB2034/39.3701</f>
      </c>
      <c r="AG2034" s="7">
        <f>AC2034/39.3701</f>
      </c>
      <c r="AH2034" s="7">
        <f>AD2034/39.3701</f>
      </c>
      <c r="AI2034" s="1"/>
      <c r="AJ2034" s="1"/>
      <c r="AK2034" s="1"/>
      <c r="AL2034" s="1"/>
      <c r="AM2034" s="2"/>
      <c r="AN2034" s="1"/>
      <c r="AO2034" s="1"/>
      <c r="AP2034" s="1"/>
      <c r="AQ2034" s="1"/>
      <c r="AR2034" s="1"/>
      <c r="AS2034" s="1"/>
      <c r="AT2034" s="1"/>
      <c r="AU2034" s="1"/>
      <c r="AV2034" s="1"/>
      <c r="AW2034" s="1"/>
      <c r="AX2034" s="1"/>
      <c r="AY2034" s="1"/>
      <c r="AZ2034" s="1"/>
      <c r="BA2034" s="1"/>
      <c r="BB2034" s="1"/>
      <c r="BC2034" s="1"/>
      <c r="BD2034" s="1"/>
      <c r="BE2034" s="1"/>
    </row>
    <row x14ac:dyDescent="0.25" r="2035" customHeight="1" ht="18.75">
      <c r="A2035" s="1"/>
      <c r="B2035" s="2"/>
      <c r="C2035" s="2"/>
      <c r="D2035" s="2"/>
      <c r="E2035" s="2"/>
      <c r="F2035" s="2"/>
      <c r="G2035" s="1"/>
      <c r="H2035" s="1"/>
      <c r="I2035" s="7">
        <v>2.032</v>
      </c>
      <c r="J2035" s="7">
        <f>IF((I2035-ROUNDDOWN(I2035,0))=0, 0, (I2035-ROUNDDOWN(I2035,0)))</f>
      </c>
      <c r="K2035" s="7">
        <f>INDIRECT("C$"&amp;2+MIN(2,ROUNDDOWN(I2035,0))*3)*(-$J2035^3+3*$J2035^2-3*$J2035+1)+INDIRECT("C$"&amp;3+MIN(2,ROUNDDOWN(I2035,0))*3)*(3*$J2035^3-6*$J2035^2+3*$J2035)+INDIRECT("C$"&amp;4+MIN(2,ROUNDDOWN(I2035,0))*3)*(-3*$J2035^3+3*$J2035^2)+INDIRECT("C$"&amp;5+MIN(2,ROUNDDOWN(I2035,0))*3)*$J2035^3</f>
      </c>
      <c r="L2035" s="7">
        <f>INDIRECT("D$"&amp;2+MIN(2,ROUNDDOWN(I2035,0))*3)*(-$J2035^3+3*$J2035^2-3*$J2035+1)+INDIRECT("D$"&amp;3+MIN(2,ROUNDDOWN(I2035,0))*3)*(3*$J2035^3-6*$J2035^2+3*$J2035)+INDIRECT("D$"&amp;4+MIN(2,ROUNDDOWN(I2035,0))*3)*(-3*$J2035^3+3*$J2035^2)+INDIRECT("D$"&amp;5+MIN(2,ROUNDDOWN(I2035,0))*3)*$J2035^3</f>
      </c>
      <c r="M2035" s="7">
        <f>SQRT(K2035^2+L2035^2)</f>
      </c>
      <c r="N2035" s="7">
        <f>(K2036-K2034)</f>
      </c>
      <c r="O2035" s="7">
        <f>+(L2036-L2034)</f>
      </c>
      <c r="P2035" s="7">
        <f>SQRT(O2035^2+N2035^2)</f>
      </c>
      <c r="Q2035" s="7">
        <f>N2035/$P2035</f>
      </c>
      <c r="R2035" s="7">
        <f>O2035/$P2035</f>
      </c>
      <c r="S2035" s="7">
        <f>Q2035^2+R2035^2</f>
      </c>
      <c r="T2035" s="7">
        <f>-R2035</f>
      </c>
      <c r="U2035" s="7">
        <f>Q2035</f>
      </c>
      <c r="V2035" s="7">
        <f>($C$14+($C$15-$C$14)/($D$15-$D$14)*(I2035-$D$14))/2</f>
      </c>
      <c r="W2035" s="7">
        <f>($B$22*I2035^4+$C$22*I2035^3+$D$22*I2035^2+$E$22*I2035+$F$22)/2</f>
      </c>
      <c r="X2035" s="7">
        <f>($W2035)*(T2035)</f>
      </c>
      <c r="Y2035" s="7">
        <f>($W2035)*(U2035)</f>
      </c>
      <c r="Z2035" s="7">
        <f>SQRT(X2035^2+Y2035^2)</f>
      </c>
      <c r="AA2035" s="7">
        <f>$K2035+$X2035</f>
      </c>
      <c r="AB2035" s="7">
        <f>$L2035+$Y2035</f>
      </c>
      <c r="AC2035" s="7">
        <f>$K2035-$X2035</f>
      </c>
      <c r="AD2035" s="7">
        <f>$L2035-$Y2035</f>
      </c>
      <c r="AE2035" s="7">
        <f>AA2035/39.3701</f>
      </c>
      <c r="AF2035" s="7">
        <f>AB2035/39.3701</f>
      </c>
      <c r="AG2035" s="7">
        <f>AC2035/39.3701</f>
      </c>
      <c r="AH2035" s="7">
        <f>AD2035/39.3701</f>
      </c>
      <c r="AI2035" s="1"/>
      <c r="AJ2035" s="1"/>
      <c r="AK2035" s="1"/>
      <c r="AL2035" s="1"/>
      <c r="AM2035" s="2"/>
      <c r="AN2035" s="1"/>
      <c r="AO2035" s="1"/>
      <c r="AP2035" s="1"/>
      <c r="AQ2035" s="1"/>
      <c r="AR2035" s="1"/>
      <c r="AS2035" s="1"/>
      <c r="AT2035" s="1"/>
      <c r="AU2035" s="1"/>
      <c r="AV2035" s="1"/>
      <c r="AW2035" s="1"/>
      <c r="AX2035" s="1"/>
      <c r="AY2035" s="1"/>
      <c r="AZ2035" s="1"/>
      <c r="BA2035" s="1"/>
      <c r="BB2035" s="1"/>
      <c r="BC2035" s="1"/>
      <c r="BD2035" s="1"/>
      <c r="BE2035" s="1"/>
    </row>
    <row x14ac:dyDescent="0.25" r="2036" customHeight="1" ht="18.75">
      <c r="A2036" s="1"/>
      <c r="B2036" s="2"/>
      <c r="C2036" s="2"/>
      <c r="D2036" s="2"/>
      <c r="E2036" s="2"/>
      <c r="F2036" s="2"/>
      <c r="G2036" s="1"/>
      <c r="H2036" s="1"/>
      <c r="I2036" s="7">
        <v>2.033</v>
      </c>
      <c r="J2036" s="7">
        <f>IF((I2036-ROUNDDOWN(I2036,0))=0, 0, (I2036-ROUNDDOWN(I2036,0)))</f>
      </c>
      <c r="K2036" s="7">
        <f>INDIRECT("C$"&amp;2+MIN(2,ROUNDDOWN(I2036,0))*3)*(-$J2036^3+3*$J2036^2-3*$J2036+1)+INDIRECT("C$"&amp;3+MIN(2,ROUNDDOWN(I2036,0))*3)*(3*$J2036^3-6*$J2036^2+3*$J2036)+INDIRECT("C$"&amp;4+MIN(2,ROUNDDOWN(I2036,0))*3)*(-3*$J2036^3+3*$J2036^2)+INDIRECT("C$"&amp;5+MIN(2,ROUNDDOWN(I2036,0))*3)*$J2036^3</f>
      </c>
      <c r="L2036" s="7">
        <f>INDIRECT("D$"&amp;2+MIN(2,ROUNDDOWN(I2036,0))*3)*(-$J2036^3+3*$J2036^2-3*$J2036+1)+INDIRECT("D$"&amp;3+MIN(2,ROUNDDOWN(I2036,0))*3)*(3*$J2036^3-6*$J2036^2+3*$J2036)+INDIRECT("D$"&amp;4+MIN(2,ROUNDDOWN(I2036,0))*3)*(-3*$J2036^3+3*$J2036^2)+INDIRECT("D$"&amp;5+MIN(2,ROUNDDOWN(I2036,0))*3)*$J2036^3</f>
      </c>
      <c r="M2036" s="7">
        <f>SQRT(K2036^2+L2036^2)</f>
      </c>
      <c r="N2036" s="7">
        <f>(K2037-K2035)</f>
      </c>
      <c r="O2036" s="7">
        <f>+(L2037-L2035)</f>
      </c>
      <c r="P2036" s="7">
        <f>SQRT(O2036^2+N2036^2)</f>
      </c>
      <c r="Q2036" s="7">
        <f>N2036/$P2036</f>
      </c>
      <c r="R2036" s="7">
        <f>O2036/$P2036</f>
      </c>
      <c r="S2036" s="7">
        <f>Q2036^2+R2036^2</f>
      </c>
      <c r="T2036" s="7">
        <f>-R2036</f>
      </c>
      <c r="U2036" s="7">
        <f>Q2036</f>
      </c>
      <c r="V2036" s="7">
        <f>($C$14+($C$15-$C$14)/($D$15-$D$14)*(I2036-$D$14))/2</f>
      </c>
      <c r="W2036" s="7">
        <f>($B$22*I2036^4+$C$22*I2036^3+$D$22*I2036^2+$E$22*I2036+$F$22)/2</f>
      </c>
      <c r="X2036" s="7">
        <f>($W2036)*(T2036)</f>
      </c>
      <c r="Y2036" s="7">
        <f>($W2036)*(U2036)</f>
      </c>
      <c r="Z2036" s="7">
        <f>SQRT(X2036^2+Y2036^2)</f>
      </c>
      <c r="AA2036" s="7">
        <f>$K2036+$X2036</f>
      </c>
      <c r="AB2036" s="7">
        <f>$L2036+$Y2036</f>
      </c>
      <c r="AC2036" s="7">
        <f>$K2036-$X2036</f>
      </c>
      <c r="AD2036" s="7">
        <f>$L2036-$Y2036</f>
      </c>
      <c r="AE2036" s="7">
        <f>AA2036/39.3701</f>
      </c>
      <c r="AF2036" s="7">
        <f>AB2036/39.3701</f>
      </c>
      <c r="AG2036" s="7">
        <f>AC2036/39.3701</f>
      </c>
      <c r="AH2036" s="7">
        <f>AD2036/39.3701</f>
      </c>
      <c r="AI2036" s="1"/>
      <c r="AJ2036" s="1"/>
      <c r="AK2036" s="1"/>
      <c r="AL2036" s="1"/>
      <c r="AM2036" s="2"/>
      <c r="AN2036" s="1"/>
      <c r="AO2036" s="1"/>
      <c r="AP2036" s="1"/>
      <c r="AQ2036" s="1"/>
      <c r="AR2036" s="1"/>
      <c r="AS2036" s="1"/>
      <c r="AT2036" s="1"/>
      <c r="AU2036" s="1"/>
      <c r="AV2036" s="1"/>
      <c r="AW2036" s="1"/>
      <c r="AX2036" s="1"/>
      <c r="AY2036" s="1"/>
      <c r="AZ2036" s="1"/>
      <c r="BA2036" s="1"/>
      <c r="BB2036" s="1"/>
      <c r="BC2036" s="1"/>
      <c r="BD2036" s="1"/>
      <c r="BE2036" s="1"/>
    </row>
    <row x14ac:dyDescent="0.25" r="2037" customHeight="1" ht="18.75">
      <c r="A2037" s="1"/>
      <c r="B2037" s="2"/>
      <c r="C2037" s="2"/>
      <c r="D2037" s="2"/>
      <c r="E2037" s="2"/>
      <c r="F2037" s="2"/>
      <c r="G2037" s="1"/>
      <c r="H2037" s="1"/>
      <c r="I2037" s="7">
        <v>2.034</v>
      </c>
      <c r="J2037" s="7">
        <f>IF((I2037-ROUNDDOWN(I2037,0))=0, 0, (I2037-ROUNDDOWN(I2037,0)))</f>
      </c>
      <c r="K2037" s="7">
        <f>INDIRECT("C$"&amp;2+MIN(2,ROUNDDOWN(I2037,0))*3)*(-$J2037^3+3*$J2037^2-3*$J2037+1)+INDIRECT("C$"&amp;3+MIN(2,ROUNDDOWN(I2037,0))*3)*(3*$J2037^3-6*$J2037^2+3*$J2037)+INDIRECT("C$"&amp;4+MIN(2,ROUNDDOWN(I2037,0))*3)*(-3*$J2037^3+3*$J2037^2)+INDIRECT("C$"&amp;5+MIN(2,ROUNDDOWN(I2037,0))*3)*$J2037^3</f>
      </c>
      <c r="L2037" s="7">
        <f>INDIRECT("D$"&amp;2+MIN(2,ROUNDDOWN(I2037,0))*3)*(-$J2037^3+3*$J2037^2-3*$J2037+1)+INDIRECT("D$"&amp;3+MIN(2,ROUNDDOWN(I2037,0))*3)*(3*$J2037^3-6*$J2037^2+3*$J2037)+INDIRECT("D$"&amp;4+MIN(2,ROUNDDOWN(I2037,0))*3)*(-3*$J2037^3+3*$J2037^2)+INDIRECT("D$"&amp;5+MIN(2,ROUNDDOWN(I2037,0))*3)*$J2037^3</f>
      </c>
      <c r="M2037" s="7">
        <f>SQRT(K2037^2+L2037^2)</f>
      </c>
      <c r="N2037" s="7">
        <f>(K2038-K2036)</f>
      </c>
      <c r="O2037" s="7">
        <f>+(L2038-L2036)</f>
      </c>
      <c r="P2037" s="7">
        <f>SQRT(O2037^2+N2037^2)</f>
      </c>
      <c r="Q2037" s="7">
        <f>N2037/$P2037</f>
      </c>
      <c r="R2037" s="7">
        <f>O2037/$P2037</f>
      </c>
      <c r="S2037" s="7">
        <f>Q2037^2+R2037^2</f>
      </c>
      <c r="T2037" s="7">
        <f>-R2037</f>
      </c>
      <c r="U2037" s="7">
        <f>Q2037</f>
      </c>
      <c r="V2037" s="7">
        <f>($C$14+($C$15-$C$14)/($D$15-$D$14)*(I2037-$D$14))/2</f>
      </c>
      <c r="W2037" s="7">
        <f>($B$22*I2037^4+$C$22*I2037^3+$D$22*I2037^2+$E$22*I2037+$F$22)/2</f>
      </c>
      <c r="X2037" s="7">
        <f>($W2037)*(T2037)</f>
      </c>
      <c r="Y2037" s="7">
        <f>($W2037)*(U2037)</f>
      </c>
      <c r="Z2037" s="7">
        <f>SQRT(X2037^2+Y2037^2)</f>
      </c>
      <c r="AA2037" s="7">
        <f>$K2037+$X2037</f>
      </c>
      <c r="AB2037" s="7">
        <f>$L2037+$Y2037</f>
      </c>
      <c r="AC2037" s="7">
        <f>$K2037-$X2037</f>
      </c>
      <c r="AD2037" s="7">
        <f>$L2037-$Y2037</f>
      </c>
      <c r="AE2037" s="7">
        <f>AA2037/39.3701</f>
      </c>
      <c r="AF2037" s="7">
        <f>AB2037/39.3701</f>
      </c>
      <c r="AG2037" s="7">
        <f>AC2037/39.3701</f>
      </c>
      <c r="AH2037" s="7">
        <f>AD2037/39.3701</f>
      </c>
      <c r="AI2037" s="1"/>
      <c r="AJ2037" s="1"/>
      <c r="AK2037" s="1"/>
      <c r="AL2037" s="1"/>
      <c r="AM2037" s="2"/>
      <c r="AN2037" s="1"/>
      <c r="AO2037" s="1"/>
      <c r="AP2037" s="1"/>
      <c r="AQ2037" s="1"/>
      <c r="AR2037" s="1"/>
      <c r="AS2037" s="1"/>
      <c r="AT2037" s="1"/>
      <c r="AU2037" s="1"/>
      <c r="AV2037" s="1"/>
      <c r="AW2037" s="1"/>
      <c r="AX2037" s="1"/>
      <c r="AY2037" s="1"/>
      <c r="AZ2037" s="1"/>
      <c r="BA2037" s="1"/>
      <c r="BB2037" s="1"/>
      <c r="BC2037" s="1"/>
      <c r="BD2037" s="1"/>
      <c r="BE2037" s="1"/>
    </row>
    <row x14ac:dyDescent="0.25" r="2038" customHeight="1" ht="18.75">
      <c r="A2038" s="1"/>
      <c r="B2038" s="2"/>
      <c r="C2038" s="2"/>
      <c r="D2038" s="2"/>
      <c r="E2038" s="2"/>
      <c r="F2038" s="2"/>
      <c r="G2038" s="1"/>
      <c r="H2038" s="1"/>
      <c r="I2038" s="7">
        <v>2.035</v>
      </c>
      <c r="J2038" s="7">
        <f>IF((I2038-ROUNDDOWN(I2038,0))=0, 0, (I2038-ROUNDDOWN(I2038,0)))</f>
      </c>
      <c r="K2038" s="7">
        <f>INDIRECT("C$"&amp;2+MIN(2,ROUNDDOWN(I2038,0))*3)*(-$J2038^3+3*$J2038^2-3*$J2038+1)+INDIRECT("C$"&amp;3+MIN(2,ROUNDDOWN(I2038,0))*3)*(3*$J2038^3-6*$J2038^2+3*$J2038)+INDIRECT("C$"&amp;4+MIN(2,ROUNDDOWN(I2038,0))*3)*(-3*$J2038^3+3*$J2038^2)+INDIRECT("C$"&amp;5+MIN(2,ROUNDDOWN(I2038,0))*3)*$J2038^3</f>
      </c>
      <c r="L2038" s="7">
        <f>INDIRECT("D$"&amp;2+MIN(2,ROUNDDOWN(I2038,0))*3)*(-$J2038^3+3*$J2038^2-3*$J2038+1)+INDIRECT("D$"&amp;3+MIN(2,ROUNDDOWN(I2038,0))*3)*(3*$J2038^3-6*$J2038^2+3*$J2038)+INDIRECT("D$"&amp;4+MIN(2,ROUNDDOWN(I2038,0))*3)*(-3*$J2038^3+3*$J2038^2)+INDIRECT("D$"&amp;5+MIN(2,ROUNDDOWN(I2038,0))*3)*$J2038^3</f>
      </c>
      <c r="M2038" s="7">
        <f>SQRT(K2038^2+L2038^2)</f>
      </c>
      <c r="N2038" s="7">
        <f>(K2039-K2037)</f>
      </c>
      <c r="O2038" s="7">
        <f>+(L2039-L2037)</f>
      </c>
      <c r="P2038" s="7">
        <f>SQRT(O2038^2+N2038^2)</f>
      </c>
      <c r="Q2038" s="7">
        <f>N2038/$P2038</f>
      </c>
      <c r="R2038" s="7">
        <f>O2038/$P2038</f>
      </c>
      <c r="S2038" s="7">
        <f>Q2038^2+R2038^2</f>
      </c>
      <c r="T2038" s="7">
        <f>-R2038</f>
      </c>
      <c r="U2038" s="7">
        <f>Q2038</f>
      </c>
      <c r="V2038" s="7">
        <f>($C$14+($C$15-$C$14)/($D$15-$D$14)*(I2038-$D$14))/2</f>
      </c>
      <c r="W2038" s="7">
        <f>($B$22*I2038^4+$C$22*I2038^3+$D$22*I2038^2+$E$22*I2038+$F$22)/2</f>
      </c>
      <c r="X2038" s="7">
        <f>($W2038)*(T2038)</f>
      </c>
      <c r="Y2038" s="7">
        <f>($W2038)*(U2038)</f>
      </c>
      <c r="Z2038" s="7">
        <f>SQRT(X2038^2+Y2038^2)</f>
      </c>
      <c r="AA2038" s="7">
        <f>$K2038+$X2038</f>
      </c>
      <c r="AB2038" s="7">
        <f>$L2038+$Y2038</f>
      </c>
      <c r="AC2038" s="7">
        <f>$K2038-$X2038</f>
      </c>
      <c r="AD2038" s="7">
        <f>$L2038-$Y2038</f>
      </c>
      <c r="AE2038" s="7">
        <f>AA2038/39.3701</f>
      </c>
      <c r="AF2038" s="7">
        <f>AB2038/39.3701</f>
      </c>
      <c r="AG2038" s="7">
        <f>AC2038/39.3701</f>
      </c>
      <c r="AH2038" s="7">
        <f>AD2038/39.3701</f>
      </c>
      <c r="AI2038" s="1"/>
      <c r="AJ2038" s="1"/>
      <c r="AK2038" s="1"/>
      <c r="AL2038" s="1"/>
      <c r="AM2038" s="2"/>
      <c r="AN2038" s="1"/>
      <c r="AO2038" s="1"/>
      <c r="AP2038" s="1"/>
      <c r="AQ2038" s="1"/>
      <c r="AR2038" s="1"/>
      <c r="AS2038" s="1"/>
      <c r="AT2038" s="1"/>
      <c r="AU2038" s="1"/>
      <c r="AV2038" s="1"/>
      <c r="AW2038" s="1"/>
      <c r="AX2038" s="1"/>
      <c r="AY2038" s="1"/>
      <c r="AZ2038" s="1"/>
      <c r="BA2038" s="1"/>
      <c r="BB2038" s="1"/>
      <c r="BC2038" s="1"/>
      <c r="BD2038" s="1"/>
      <c r="BE2038" s="1"/>
    </row>
    <row x14ac:dyDescent="0.25" r="2039" customHeight="1" ht="18.75">
      <c r="A2039" s="1"/>
      <c r="B2039" s="2"/>
      <c r="C2039" s="2"/>
      <c r="D2039" s="2"/>
      <c r="E2039" s="2"/>
      <c r="F2039" s="2"/>
      <c r="G2039" s="1"/>
      <c r="H2039" s="1"/>
      <c r="I2039" s="7">
        <v>2.036</v>
      </c>
      <c r="J2039" s="7">
        <f>IF((I2039-ROUNDDOWN(I2039,0))=0, 0, (I2039-ROUNDDOWN(I2039,0)))</f>
      </c>
      <c r="K2039" s="7">
        <f>INDIRECT("C$"&amp;2+MIN(2,ROUNDDOWN(I2039,0))*3)*(-$J2039^3+3*$J2039^2-3*$J2039+1)+INDIRECT("C$"&amp;3+MIN(2,ROUNDDOWN(I2039,0))*3)*(3*$J2039^3-6*$J2039^2+3*$J2039)+INDIRECT("C$"&amp;4+MIN(2,ROUNDDOWN(I2039,0))*3)*(-3*$J2039^3+3*$J2039^2)+INDIRECT("C$"&amp;5+MIN(2,ROUNDDOWN(I2039,0))*3)*$J2039^3</f>
      </c>
      <c r="L2039" s="7">
        <f>INDIRECT("D$"&amp;2+MIN(2,ROUNDDOWN(I2039,0))*3)*(-$J2039^3+3*$J2039^2-3*$J2039+1)+INDIRECT("D$"&amp;3+MIN(2,ROUNDDOWN(I2039,0))*3)*(3*$J2039^3-6*$J2039^2+3*$J2039)+INDIRECT("D$"&amp;4+MIN(2,ROUNDDOWN(I2039,0))*3)*(-3*$J2039^3+3*$J2039^2)+INDIRECT("D$"&amp;5+MIN(2,ROUNDDOWN(I2039,0))*3)*$J2039^3</f>
      </c>
      <c r="M2039" s="7">
        <f>SQRT(K2039^2+L2039^2)</f>
      </c>
      <c r="N2039" s="7">
        <f>(K2040-K2038)</f>
      </c>
      <c r="O2039" s="7">
        <f>+(L2040-L2038)</f>
      </c>
      <c r="P2039" s="7">
        <f>SQRT(O2039^2+N2039^2)</f>
      </c>
      <c r="Q2039" s="7">
        <f>N2039/$P2039</f>
      </c>
      <c r="R2039" s="7">
        <f>O2039/$P2039</f>
      </c>
      <c r="S2039" s="8">
        <f>Q2039^2+R2039^2</f>
      </c>
      <c r="T2039" s="7">
        <f>-R2039</f>
      </c>
      <c r="U2039" s="7">
        <f>Q2039</f>
      </c>
      <c r="V2039" s="7">
        <f>($C$14+($C$15-$C$14)/($D$15-$D$14)*(I2039-$D$14))/2</f>
      </c>
      <c r="W2039" s="7">
        <f>($B$22*I2039^4+$C$22*I2039^3+$D$22*I2039^2+$E$22*I2039+$F$22)/2</f>
      </c>
      <c r="X2039" s="7">
        <f>($W2039)*(T2039)</f>
      </c>
      <c r="Y2039" s="7">
        <f>($W2039)*(U2039)</f>
      </c>
      <c r="Z2039" s="7">
        <f>SQRT(X2039^2+Y2039^2)</f>
      </c>
      <c r="AA2039" s="7">
        <f>$K2039+$X2039</f>
      </c>
      <c r="AB2039" s="7">
        <f>$L2039+$Y2039</f>
      </c>
      <c r="AC2039" s="7">
        <f>$K2039-$X2039</f>
      </c>
      <c r="AD2039" s="7">
        <f>$L2039-$Y2039</f>
      </c>
      <c r="AE2039" s="7">
        <f>AA2039/39.3701</f>
      </c>
      <c r="AF2039" s="7">
        <f>AB2039/39.3701</f>
      </c>
      <c r="AG2039" s="7">
        <f>AC2039/39.3701</f>
      </c>
      <c r="AH2039" s="7">
        <f>AD2039/39.3701</f>
      </c>
      <c r="AI2039" s="1"/>
      <c r="AJ2039" s="1"/>
      <c r="AK2039" s="1"/>
      <c r="AL2039" s="1"/>
      <c r="AM2039" s="2"/>
      <c r="AN2039" s="1"/>
      <c r="AO2039" s="1"/>
      <c r="AP2039" s="1"/>
      <c r="AQ2039" s="1"/>
      <c r="AR2039" s="1"/>
      <c r="AS2039" s="1"/>
      <c r="AT2039" s="1"/>
      <c r="AU2039" s="1"/>
      <c r="AV2039" s="1"/>
      <c r="AW2039" s="1"/>
      <c r="AX2039" s="1"/>
      <c r="AY2039" s="1"/>
      <c r="AZ2039" s="1"/>
      <c r="BA2039" s="1"/>
      <c r="BB2039" s="1"/>
      <c r="BC2039" s="1"/>
      <c r="BD2039" s="1"/>
      <c r="BE2039" s="1"/>
    </row>
    <row x14ac:dyDescent="0.25" r="2040" customHeight="1" ht="18.75">
      <c r="A2040" s="1"/>
      <c r="B2040" s="2"/>
      <c r="C2040" s="2"/>
      <c r="D2040" s="2"/>
      <c r="E2040" s="2"/>
      <c r="F2040" s="2"/>
      <c r="G2040" s="1"/>
      <c r="H2040" s="1"/>
      <c r="I2040" s="7">
        <v>2.037</v>
      </c>
      <c r="J2040" s="7">
        <f>IF((I2040-ROUNDDOWN(I2040,0))=0, 0, (I2040-ROUNDDOWN(I2040,0)))</f>
      </c>
      <c r="K2040" s="7">
        <f>INDIRECT("C$"&amp;2+MIN(2,ROUNDDOWN(I2040,0))*3)*(-$J2040^3+3*$J2040^2-3*$J2040+1)+INDIRECT("C$"&amp;3+MIN(2,ROUNDDOWN(I2040,0))*3)*(3*$J2040^3-6*$J2040^2+3*$J2040)+INDIRECT("C$"&amp;4+MIN(2,ROUNDDOWN(I2040,0))*3)*(-3*$J2040^3+3*$J2040^2)+INDIRECT("C$"&amp;5+MIN(2,ROUNDDOWN(I2040,0))*3)*$J2040^3</f>
      </c>
      <c r="L2040" s="7">
        <f>INDIRECT("D$"&amp;2+MIN(2,ROUNDDOWN(I2040,0))*3)*(-$J2040^3+3*$J2040^2-3*$J2040+1)+INDIRECT("D$"&amp;3+MIN(2,ROUNDDOWN(I2040,0))*3)*(3*$J2040^3-6*$J2040^2+3*$J2040)+INDIRECT("D$"&amp;4+MIN(2,ROUNDDOWN(I2040,0))*3)*(-3*$J2040^3+3*$J2040^2)+INDIRECT("D$"&amp;5+MIN(2,ROUNDDOWN(I2040,0))*3)*$J2040^3</f>
      </c>
      <c r="M2040" s="7">
        <f>SQRT(K2040^2+L2040^2)</f>
      </c>
      <c r="N2040" s="7">
        <f>(K2041-K2039)</f>
      </c>
      <c r="O2040" s="7">
        <f>+(L2041-L2039)</f>
      </c>
      <c r="P2040" s="7">
        <f>SQRT(O2040^2+N2040^2)</f>
      </c>
      <c r="Q2040" s="7">
        <f>N2040/$P2040</f>
      </c>
      <c r="R2040" s="7">
        <f>O2040/$P2040</f>
      </c>
      <c r="S2040" s="7">
        <f>Q2040^2+R2040^2</f>
      </c>
      <c r="T2040" s="7">
        <f>-R2040</f>
      </c>
      <c r="U2040" s="7">
        <f>Q2040</f>
      </c>
      <c r="V2040" s="7">
        <f>($C$14+($C$15-$C$14)/($D$15-$D$14)*(I2040-$D$14))/2</f>
      </c>
      <c r="W2040" s="7">
        <f>($B$22*I2040^4+$C$22*I2040^3+$D$22*I2040^2+$E$22*I2040+$F$22)/2</f>
      </c>
      <c r="X2040" s="7">
        <f>($W2040)*(T2040)</f>
      </c>
      <c r="Y2040" s="7">
        <f>($W2040)*(U2040)</f>
      </c>
      <c r="Z2040" s="7">
        <f>SQRT(X2040^2+Y2040^2)</f>
      </c>
      <c r="AA2040" s="7">
        <f>$K2040+$X2040</f>
      </c>
      <c r="AB2040" s="7">
        <f>$L2040+$Y2040</f>
      </c>
      <c r="AC2040" s="7">
        <f>$K2040-$X2040</f>
      </c>
      <c r="AD2040" s="7">
        <f>$L2040-$Y2040</f>
      </c>
      <c r="AE2040" s="7">
        <f>AA2040/39.3701</f>
      </c>
      <c r="AF2040" s="7">
        <f>AB2040/39.3701</f>
      </c>
      <c r="AG2040" s="7">
        <f>AC2040/39.3701</f>
      </c>
      <c r="AH2040" s="7">
        <f>AD2040/39.3701</f>
      </c>
      <c r="AI2040" s="1"/>
      <c r="AJ2040" s="1"/>
      <c r="AK2040" s="1"/>
      <c r="AL2040" s="1"/>
      <c r="AM2040" s="2"/>
      <c r="AN2040" s="1"/>
      <c r="AO2040" s="1"/>
      <c r="AP2040" s="1"/>
      <c r="AQ2040" s="1"/>
      <c r="AR2040" s="1"/>
      <c r="AS2040" s="1"/>
      <c r="AT2040" s="1"/>
      <c r="AU2040" s="1"/>
      <c r="AV2040" s="1"/>
      <c r="AW2040" s="1"/>
      <c r="AX2040" s="1"/>
      <c r="AY2040" s="1"/>
      <c r="AZ2040" s="1"/>
      <c r="BA2040" s="1"/>
      <c r="BB2040" s="1"/>
      <c r="BC2040" s="1"/>
      <c r="BD2040" s="1"/>
      <c r="BE2040" s="1"/>
    </row>
    <row x14ac:dyDescent="0.25" r="2041" customHeight="1" ht="18.75">
      <c r="A2041" s="1"/>
      <c r="B2041" s="2"/>
      <c r="C2041" s="2"/>
      <c r="D2041" s="2"/>
      <c r="E2041" s="2"/>
      <c r="F2041" s="2"/>
      <c r="G2041" s="1"/>
      <c r="H2041" s="1"/>
      <c r="I2041" s="7">
        <v>2.038</v>
      </c>
      <c r="J2041" s="7">
        <f>IF((I2041-ROUNDDOWN(I2041,0))=0, 0, (I2041-ROUNDDOWN(I2041,0)))</f>
      </c>
      <c r="K2041" s="7">
        <f>INDIRECT("C$"&amp;2+MIN(2,ROUNDDOWN(I2041,0))*3)*(-$J2041^3+3*$J2041^2-3*$J2041+1)+INDIRECT("C$"&amp;3+MIN(2,ROUNDDOWN(I2041,0))*3)*(3*$J2041^3-6*$J2041^2+3*$J2041)+INDIRECT("C$"&amp;4+MIN(2,ROUNDDOWN(I2041,0))*3)*(-3*$J2041^3+3*$J2041^2)+INDIRECT("C$"&amp;5+MIN(2,ROUNDDOWN(I2041,0))*3)*$J2041^3</f>
      </c>
      <c r="L2041" s="7">
        <f>INDIRECT("D$"&amp;2+MIN(2,ROUNDDOWN(I2041,0))*3)*(-$J2041^3+3*$J2041^2-3*$J2041+1)+INDIRECT("D$"&amp;3+MIN(2,ROUNDDOWN(I2041,0))*3)*(3*$J2041^3-6*$J2041^2+3*$J2041)+INDIRECT("D$"&amp;4+MIN(2,ROUNDDOWN(I2041,0))*3)*(-3*$J2041^3+3*$J2041^2)+INDIRECT("D$"&amp;5+MIN(2,ROUNDDOWN(I2041,0))*3)*$J2041^3</f>
      </c>
      <c r="M2041" s="7">
        <f>SQRT(K2041^2+L2041^2)</f>
      </c>
      <c r="N2041" s="7">
        <f>(K2042-K2040)</f>
      </c>
      <c r="O2041" s="7">
        <f>+(L2042-L2040)</f>
      </c>
      <c r="P2041" s="7">
        <f>SQRT(O2041^2+N2041^2)</f>
      </c>
      <c r="Q2041" s="7">
        <f>N2041/$P2041</f>
      </c>
      <c r="R2041" s="7">
        <f>O2041/$P2041</f>
      </c>
      <c r="S2041" s="7">
        <f>Q2041^2+R2041^2</f>
      </c>
      <c r="T2041" s="7">
        <f>-R2041</f>
      </c>
      <c r="U2041" s="7">
        <f>Q2041</f>
      </c>
      <c r="V2041" s="7">
        <f>($C$14+($C$15-$C$14)/($D$15-$D$14)*(I2041-$D$14))/2</f>
      </c>
      <c r="W2041" s="7">
        <f>($B$22*I2041^4+$C$22*I2041^3+$D$22*I2041^2+$E$22*I2041+$F$22)/2</f>
      </c>
      <c r="X2041" s="7">
        <f>($W2041)*(T2041)</f>
      </c>
      <c r="Y2041" s="7">
        <f>($W2041)*(U2041)</f>
      </c>
      <c r="Z2041" s="7">
        <f>SQRT(X2041^2+Y2041^2)</f>
      </c>
      <c r="AA2041" s="7">
        <f>$K2041+$X2041</f>
      </c>
      <c r="AB2041" s="7">
        <f>$L2041+$Y2041</f>
      </c>
      <c r="AC2041" s="7">
        <f>$K2041-$X2041</f>
      </c>
      <c r="AD2041" s="7">
        <f>$L2041-$Y2041</f>
      </c>
      <c r="AE2041" s="7">
        <f>AA2041/39.3701</f>
      </c>
      <c r="AF2041" s="7">
        <f>AB2041/39.3701</f>
      </c>
      <c r="AG2041" s="7">
        <f>AC2041/39.3701</f>
      </c>
      <c r="AH2041" s="7">
        <f>AD2041/39.3701</f>
      </c>
      <c r="AI2041" s="1"/>
      <c r="AJ2041" s="1"/>
      <c r="AK2041" s="1"/>
      <c r="AL2041" s="1"/>
      <c r="AM2041" s="2"/>
      <c r="AN2041" s="1"/>
      <c r="AO2041" s="1"/>
      <c r="AP2041" s="1"/>
      <c r="AQ2041" s="1"/>
      <c r="AR2041" s="1"/>
      <c r="AS2041" s="1"/>
      <c r="AT2041" s="1"/>
      <c r="AU2041" s="1"/>
      <c r="AV2041" s="1"/>
      <c r="AW2041" s="1"/>
      <c r="AX2041" s="1"/>
      <c r="AY2041" s="1"/>
      <c r="AZ2041" s="1"/>
      <c r="BA2041" s="1"/>
      <c r="BB2041" s="1"/>
      <c r="BC2041" s="1"/>
      <c r="BD2041" s="1"/>
      <c r="BE2041" s="1"/>
    </row>
    <row x14ac:dyDescent="0.25" r="2042" customHeight="1" ht="18.75">
      <c r="A2042" s="1"/>
      <c r="B2042" s="2"/>
      <c r="C2042" s="2"/>
      <c r="D2042" s="2"/>
      <c r="E2042" s="2"/>
      <c r="F2042" s="2"/>
      <c r="G2042" s="1"/>
      <c r="H2042" s="1"/>
      <c r="I2042" s="7">
        <v>2.039</v>
      </c>
      <c r="J2042" s="7">
        <f>IF((I2042-ROUNDDOWN(I2042,0))=0, 0, (I2042-ROUNDDOWN(I2042,0)))</f>
      </c>
      <c r="K2042" s="7">
        <f>INDIRECT("C$"&amp;2+MIN(2,ROUNDDOWN(I2042,0))*3)*(-$J2042^3+3*$J2042^2-3*$J2042+1)+INDIRECT("C$"&amp;3+MIN(2,ROUNDDOWN(I2042,0))*3)*(3*$J2042^3-6*$J2042^2+3*$J2042)+INDIRECT("C$"&amp;4+MIN(2,ROUNDDOWN(I2042,0))*3)*(-3*$J2042^3+3*$J2042^2)+INDIRECT("C$"&amp;5+MIN(2,ROUNDDOWN(I2042,0))*3)*$J2042^3</f>
      </c>
      <c r="L2042" s="7">
        <f>INDIRECT("D$"&amp;2+MIN(2,ROUNDDOWN(I2042,0))*3)*(-$J2042^3+3*$J2042^2-3*$J2042+1)+INDIRECT("D$"&amp;3+MIN(2,ROUNDDOWN(I2042,0))*3)*(3*$J2042^3-6*$J2042^2+3*$J2042)+INDIRECT("D$"&amp;4+MIN(2,ROUNDDOWN(I2042,0))*3)*(-3*$J2042^3+3*$J2042^2)+INDIRECT("D$"&amp;5+MIN(2,ROUNDDOWN(I2042,0))*3)*$J2042^3</f>
      </c>
      <c r="M2042" s="7">
        <f>SQRT(K2042^2+L2042^2)</f>
      </c>
      <c r="N2042" s="7">
        <f>(K2043-K2041)</f>
      </c>
      <c r="O2042" s="7">
        <f>+(L2043-L2041)</f>
      </c>
      <c r="P2042" s="7">
        <f>SQRT(O2042^2+N2042^2)</f>
      </c>
      <c r="Q2042" s="7">
        <f>N2042/$P2042</f>
      </c>
      <c r="R2042" s="7">
        <f>O2042/$P2042</f>
      </c>
      <c r="S2042" s="8">
        <f>Q2042^2+R2042^2</f>
      </c>
      <c r="T2042" s="7">
        <f>-R2042</f>
      </c>
      <c r="U2042" s="7">
        <f>Q2042</f>
      </c>
      <c r="V2042" s="7">
        <f>($C$14+($C$15-$C$14)/($D$15-$D$14)*(I2042-$D$14))/2</f>
      </c>
      <c r="W2042" s="7">
        <f>($B$22*I2042^4+$C$22*I2042^3+$D$22*I2042^2+$E$22*I2042+$F$22)/2</f>
      </c>
      <c r="X2042" s="7">
        <f>($W2042)*(T2042)</f>
      </c>
      <c r="Y2042" s="7">
        <f>($W2042)*(U2042)</f>
      </c>
      <c r="Z2042" s="7">
        <f>SQRT(X2042^2+Y2042^2)</f>
      </c>
      <c r="AA2042" s="7">
        <f>$K2042+$X2042</f>
      </c>
      <c r="AB2042" s="7">
        <f>$L2042+$Y2042</f>
      </c>
      <c r="AC2042" s="7">
        <f>$K2042-$X2042</f>
      </c>
      <c r="AD2042" s="7">
        <f>$L2042-$Y2042</f>
      </c>
      <c r="AE2042" s="7">
        <f>AA2042/39.3701</f>
      </c>
      <c r="AF2042" s="7">
        <f>AB2042/39.3701</f>
      </c>
      <c r="AG2042" s="7">
        <f>AC2042/39.3701</f>
      </c>
      <c r="AH2042" s="7">
        <f>AD2042/39.3701</f>
      </c>
      <c r="AI2042" s="1"/>
      <c r="AJ2042" s="1"/>
      <c r="AK2042" s="1"/>
      <c r="AL2042" s="1"/>
      <c r="AM2042" s="2"/>
      <c r="AN2042" s="1"/>
      <c r="AO2042" s="1"/>
      <c r="AP2042" s="1"/>
      <c r="AQ2042" s="1"/>
      <c r="AR2042" s="1"/>
      <c r="AS2042" s="1"/>
      <c r="AT2042" s="1"/>
      <c r="AU2042" s="1"/>
      <c r="AV2042" s="1"/>
      <c r="AW2042" s="1"/>
      <c r="AX2042" s="1"/>
      <c r="AY2042" s="1"/>
      <c r="AZ2042" s="1"/>
      <c r="BA2042" s="1"/>
      <c r="BB2042" s="1"/>
      <c r="BC2042" s="1"/>
      <c r="BD2042" s="1"/>
      <c r="BE2042" s="1"/>
    </row>
    <row x14ac:dyDescent="0.25" r="2043" customHeight="1" ht="18.75">
      <c r="A2043" s="1"/>
      <c r="B2043" s="2"/>
      <c r="C2043" s="2"/>
      <c r="D2043" s="2"/>
      <c r="E2043" s="2"/>
      <c r="F2043" s="2"/>
      <c r="G2043" s="1"/>
      <c r="H2043" s="1"/>
      <c r="I2043" s="7">
        <v>2.04</v>
      </c>
      <c r="J2043" s="7">
        <f>IF((I2043-ROUNDDOWN(I2043,0))=0, 0, (I2043-ROUNDDOWN(I2043,0)))</f>
      </c>
      <c r="K2043" s="7">
        <f>INDIRECT("C$"&amp;2+MIN(2,ROUNDDOWN(I2043,0))*3)*(-$J2043^3+3*$J2043^2-3*$J2043+1)+INDIRECT("C$"&amp;3+MIN(2,ROUNDDOWN(I2043,0))*3)*(3*$J2043^3-6*$J2043^2+3*$J2043)+INDIRECT("C$"&amp;4+MIN(2,ROUNDDOWN(I2043,0))*3)*(-3*$J2043^3+3*$J2043^2)+INDIRECT("C$"&amp;5+MIN(2,ROUNDDOWN(I2043,0))*3)*$J2043^3</f>
      </c>
      <c r="L2043" s="7">
        <f>INDIRECT("D$"&amp;2+MIN(2,ROUNDDOWN(I2043,0))*3)*(-$J2043^3+3*$J2043^2-3*$J2043+1)+INDIRECT("D$"&amp;3+MIN(2,ROUNDDOWN(I2043,0))*3)*(3*$J2043^3-6*$J2043^2+3*$J2043)+INDIRECT("D$"&amp;4+MIN(2,ROUNDDOWN(I2043,0))*3)*(-3*$J2043^3+3*$J2043^2)+INDIRECT("D$"&amp;5+MIN(2,ROUNDDOWN(I2043,0))*3)*$J2043^3</f>
      </c>
      <c r="M2043" s="7">
        <f>SQRT(K2043^2+L2043^2)</f>
      </c>
      <c r="N2043" s="7">
        <f>(K2044-K2042)</f>
      </c>
      <c r="O2043" s="7">
        <f>+(L2044-L2042)</f>
      </c>
      <c r="P2043" s="7">
        <f>SQRT(O2043^2+N2043^2)</f>
      </c>
      <c r="Q2043" s="7">
        <f>N2043/$P2043</f>
      </c>
      <c r="R2043" s="7">
        <f>O2043/$P2043</f>
      </c>
      <c r="S2043" s="8">
        <f>Q2043^2+R2043^2</f>
      </c>
      <c r="T2043" s="7">
        <f>-R2043</f>
      </c>
      <c r="U2043" s="7">
        <f>Q2043</f>
      </c>
      <c r="V2043" s="7">
        <f>($C$14+($C$15-$C$14)/($D$15-$D$14)*(I2043-$D$14))/2</f>
      </c>
      <c r="W2043" s="7">
        <f>($B$22*I2043^4+$C$22*I2043^3+$D$22*I2043^2+$E$22*I2043+$F$22)/2</f>
      </c>
      <c r="X2043" s="7">
        <f>($W2043)*(T2043)</f>
      </c>
      <c r="Y2043" s="7">
        <f>($W2043)*(U2043)</f>
      </c>
      <c r="Z2043" s="7">
        <f>SQRT(X2043^2+Y2043^2)</f>
      </c>
      <c r="AA2043" s="7">
        <f>$K2043+$X2043</f>
      </c>
      <c r="AB2043" s="7">
        <f>$L2043+$Y2043</f>
      </c>
      <c r="AC2043" s="7">
        <f>$K2043-$X2043</f>
      </c>
      <c r="AD2043" s="7">
        <f>$L2043-$Y2043</f>
      </c>
      <c r="AE2043" s="7">
        <f>AA2043/39.3701</f>
      </c>
      <c r="AF2043" s="7">
        <f>AB2043/39.3701</f>
      </c>
      <c r="AG2043" s="7">
        <f>AC2043/39.3701</f>
      </c>
      <c r="AH2043" s="7">
        <f>AD2043/39.3701</f>
      </c>
      <c r="AI2043" s="1"/>
      <c r="AJ2043" s="1"/>
      <c r="AK2043" s="1"/>
      <c r="AL2043" s="1"/>
      <c r="AM2043" s="2"/>
      <c r="AN2043" s="1"/>
      <c r="AO2043" s="1"/>
      <c r="AP2043" s="1"/>
      <c r="AQ2043" s="1"/>
      <c r="AR2043" s="1"/>
      <c r="AS2043" s="1"/>
      <c r="AT2043" s="1"/>
      <c r="AU2043" s="1"/>
      <c r="AV2043" s="1"/>
      <c r="AW2043" s="1"/>
      <c r="AX2043" s="1"/>
      <c r="AY2043" s="1"/>
      <c r="AZ2043" s="1"/>
      <c r="BA2043" s="1"/>
      <c r="BB2043" s="1"/>
      <c r="BC2043" s="1"/>
      <c r="BD2043" s="1"/>
      <c r="BE2043" s="1"/>
    </row>
    <row x14ac:dyDescent="0.25" r="2044" customHeight="1" ht="18.75">
      <c r="A2044" s="1"/>
      <c r="B2044" s="2"/>
      <c r="C2044" s="2"/>
      <c r="D2044" s="2"/>
      <c r="E2044" s="2"/>
      <c r="F2044" s="2"/>
      <c r="G2044" s="1"/>
      <c r="H2044" s="1"/>
      <c r="I2044" s="7">
        <v>2.041</v>
      </c>
      <c r="J2044" s="7">
        <f>IF((I2044-ROUNDDOWN(I2044,0))=0, 0, (I2044-ROUNDDOWN(I2044,0)))</f>
      </c>
      <c r="K2044" s="7">
        <f>INDIRECT("C$"&amp;2+MIN(2,ROUNDDOWN(I2044,0))*3)*(-$J2044^3+3*$J2044^2-3*$J2044+1)+INDIRECT("C$"&amp;3+MIN(2,ROUNDDOWN(I2044,0))*3)*(3*$J2044^3-6*$J2044^2+3*$J2044)+INDIRECT("C$"&amp;4+MIN(2,ROUNDDOWN(I2044,0))*3)*(-3*$J2044^3+3*$J2044^2)+INDIRECT("C$"&amp;5+MIN(2,ROUNDDOWN(I2044,0))*3)*$J2044^3</f>
      </c>
      <c r="L2044" s="7">
        <f>INDIRECT("D$"&amp;2+MIN(2,ROUNDDOWN(I2044,0))*3)*(-$J2044^3+3*$J2044^2-3*$J2044+1)+INDIRECT("D$"&amp;3+MIN(2,ROUNDDOWN(I2044,0))*3)*(3*$J2044^3-6*$J2044^2+3*$J2044)+INDIRECT("D$"&amp;4+MIN(2,ROUNDDOWN(I2044,0))*3)*(-3*$J2044^3+3*$J2044^2)+INDIRECT("D$"&amp;5+MIN(2,ROUNDDOWN(I2044,0))*3)*$J2044^3</f>
      </c>
      <c r="M2044" s="7">
        <f>SQRT(K2044^2+L2044^2)</f>
      </c>
      <c r="N2044" s="7">
        <f>(K2045-K2043)</f>
      </c>
      <c r="O2044" s="7">
        <f>+(L2045-L2043)</f>
      </c>
      <c r="P2044" s="7">
        <f>SQRT(O2044^2+N2044^2)</f>
      </c>
      <c r="Q2044" s="7">
        <f>N2044/$P2044</f>
      </c>
      <c r="R2044" s="7">
        <f>O2044/$P2044</f>
      </c>
      <c r="S2044" s="8">
        <f>Q2044^2+R2044^2</f>
      </c>
      <c r="T2044" s="7">
        <f>-R2044</f>
      </c>
      <c r="U2044" s="7">
        <f>Q2044</f>
      </c>
      <c r="V2044" s="7">
        <f>($C$14+($C$15-$C$14)/($D$15-$D$14)*(I2044-$D$14))/2</f>
      </c>
      <c r="W2044" s="7">
        <f>($B$22*I2044^4+$C$22*I2044^3+$D$22*I2044^2+$E$22*I2044+$F$22)/2</f>
      </c>
      <c r="X2044" s="7">
        <f>($W2044)*(T2044)</f>
      </c>
      <c r="Y2044" s="7">
        <f>($W2044)*(U2044)</f>
      </c>
      <c r="Z2044" s="7">
        <f>SQRT(X2044^2+Y2044^2)</f>
      </c>
      <c r="AA2044" s="7">
        <f>$K2044+$X2044</f>
      </c>
      <c r="AB2044" s="7">
        <f>$L2044+$Y2044</f>
      </c>
      <c r="AC2044" s="7">
        <f>$K2044-$X2044</f>
      </c>
      <c r="AD2044" s="7">
        <f>$L2044-$Y2044</f>
      </c>
      <c r="AE2044" s="7">
        <f>AA2044/39.3701</f>
      </c>
      <c r="AF2044" s="7">
        <f>AB2044/39.3701</f>
      </c>
      <c r="AG2044" s="7">
        <f>AC2044/39.3701</f>
      </c>
      <c r="AH2044" s="7">
        <f>AD2044/39.3701</f>
      </c>
      <c r="AI2044" s="1"/>
      <c r="AJ2044" s="1"/>
      <c r="AK2044" s="1"/>
      <c r="AL2044" s="1"/>
      <c r="AM2044" s="2"/>
      <c r="AN2044" s="1"/>
      <c r="AO2044" s="1"/>
      <c r="AP2044" s="1"/>
      <c r="AQ2044" s="1"/>
      <c r="AR2044" s="1"/>
      <c r="AS2044" s="1"/>
      <c r="AT2044" s="1"/>
      <c r="AU2044" s="1"/>
      <c r="AV2044" s="1"/>
      <c r="AW2044" s="1"/>
      <c r="AX2044" s="1"/>
      <c r="AY2044" s="1"/>
      <c r="AZ2044" s="1"/>
      <c r="BA2044" s="1"/>
      <c r="BB2044" s="1"/>
      <c r="BC2044" s="1"/>
      <c r="BD2044" s="1"/>
      <c r="BE2044" s="1"/>
    </row>
    <row x14ac:dyDescent="0.25" r="2045" customHeight="1" ht="18.75">
      <c r="A2045" s="1"/>
      <c r="B2045" s="2"/>
      <c r="C2045" s="2"/>
      <c r="D2045" s="2"/>
      <c r="E2045" s="2"/>
      <c r="F2045" s="2"/>
      <c r="G2045" s="1"/>
      <c r="H2045" s="1"/>
      <c r="I2045" s="7">
        <v>2.042</v>
      </c>
      <c r="J2045" s="7">
        <f>IF((I2045-ROUNDDOWN(I2045,0))=0, 0, (I2045-ROUNDDOWN(I2045,0)))</f>
      </c>
      <c r="K2045" s="7">
        <f>INDIRECT("C$"&amp;2+MIN(2,ROUNDDOWN(I2045,0))*3)*(-$J2045^3+3*$J2045^2-3*$J2045+1)+INDIRECT("C$"&amp;3+MIN(2,ROUNDDOWN(I2045,0))*3)*(3*$J2045^3-6*$J2045^2+3*$J2045)+INDIRECT("C$"&amp;4+MIN(2,ROUNDDOWN(I2045,0))*3)*(-3*$J2045^3+3*$J2045^2)+INDIRECT("C$"&amp;5+MIN(2,ROUNDDOWN(I2045,0))*3)*$J2045^3</f>
      </c>
      <c r="L2045" s="7">
        <f>INDIRECT("D$"&amp;2+MIN(2,ROUNDDOWN(I2045,0))*3)*(-$J2045^3+3*$J2045^2-3*$J2045+1)+INDIRECT("D$"&amp;3+MIN(2,ROUNDDOWN(I2045,0))*3)*(3*$J2045^3-6*$J2045^2+3*$J2045)+INDIRECT("D$"&amp;4+MIN(2,ROUNDDOWN(I2045,0))*3)*(-3*$J2045^3+3*$J2045^2)+INDIRECT("D$"&amp;5+MIN(2,ROUNDDOWN(I2045,0))*3)*$J2045^3</f>
      </c>
      <c r="M2045" s="7">
        <f>SQRT(K2045^2+L2045^2)</f>
      </c>
      <c r="N2045" s="7">
        <f>(K2046-K2044)</f>
      </c>
      <c r="O2045" s="7">
        <f>+(L2046-L2044)</f>
      </c>
      <c r="P2045" s="7">
        <f>SQRT(O2045^2+N2045^2)</f>
      </c>
      <c r="Q2045" s="7">
        <f>N2045/$P2045</f>
      </c>
      <c r="R2045" s="7">
        <f>O2045/$P2045</f>
      </c>
      <c r="S2045" s="8">
        <f>Q2045^2+R2045^2</f>
      </c>
      <c r="T2045" s="7">
        <f>-R2045</f>
      </c>
      <c r="U2045" s="7">
        <f>Q2045</f>
      </c>
      <c r="V2045" s="7">
        <f>($C$14+($C$15-$C$14)/($D$15-$D$14)*(I2045-$D$14))/2</f>
      </c>
      <c r="W2045" s="7">
        <f>($B$22*I2045^4+$C$22*I2045^3+$D$22*I2045^2+$E$22*I2045+$F$22)/2</f>
      </c>
      <c r="X2045" s="7">
        <f>($W2045)*(T2045)</f>
      </c>
      <c r="Y2045" s="7">
        <f>($W2045)*(U2045)</f>
      </c>
      <c r="Z2045" s="7">
        <f>SQRT(X2045^2+Y2045^2)</f>
      </c>
      <c r="AA2045" s="7">
        <f>$K2045+$X2045</f>
      </c>
      <c r="AB2045" s="7">
        <f>$L2045+$Y2045</f>
      </c>
      <c r="AC2045" s="7">
        <f>$K2045-$X2045</f>
      </c>
      <c r="AD2045" s="7">
        <f>$L2045-$Y2045</f>
      </c>
      <c r="AE2045" s="7">
        <f>AA2045/39.3701</f>
      </c>
      <c r="AF2045" s="7">
        <f>AB2045/39.3701</f>
      </c>
      <c r="AG2045" s="7">
        <f>AC2045/39.3701</f>
      </c>
      <c r="AH2045" s="7">
        <f>AD2045/39.3701</f>
      </c>
      <c r="AI2045" s="1"/>
      <c r="AJ2045" s="1"/>
      <c r="AK2045" s="1"/>
      <c r="AL2045" s="1"/>
      <c r="AM2045" s="2"/>
      <c r="AN2045" s="1"/>
      <c r="AO2045" s="1"/>
      <c r="AP2045" s="1"/>
      <c r="AQ2045" s="1"/>
      <c r="AR2045" s="1"/>
      <c r="AS2045" s="1"/>
      <c r="AT2045" s="1"/>
      <c r="AU2045" s="1"/>
      <c r="AV2045" s="1"/>
      <c r="AW2045" s="1"/>
      <c r="AX2045" s="1"/>
      <c r="AY2045" s="1"/>
      <c r="AZ2045" s="1"/>
      <c r="BA2045" s="1"/>
      <c r="BB2045" s="1"/>
      <c r="BC2045" s="1"/>
      <c r="BD2045" s="1"/>
      <c r="BE2045" s="1"/>
    </row>
    <row x14ac:dyDescent="0.25" r="2046" customHeight="1" ht="18.75">
      <c r="A2046" s="1"/>
      <c r="B2046" s="2"/>
      <c r="C2046" s="2"/>
      <c r="D2046" s="2"/>
      <c r="E2046" s="2"/>
      <c r="F2046" s="2"/>
      <c r="G2046" s="1"/>
      <c r="H2046" s="1"/>
      <c r="I2046" s="7">
        <v>2.043</v>
      </c>
      <c r="J2046" s="7">
        <f>IF((I2046-ROUNDDOWN(I2046,0))=0, 0, (I2046-ROUNDDOWN(I2046,0)))</f>
      </c>
      <c r="K2046" s="7">
        <f>INDIRECT("C$"&amp;2+MIN(2,ROUNDDOWN(I2046,0))*3)*(-$J2046^3+3*$J2046^2-3*$J2046+1)+INDIRECT("C$"&amp;3+MIN(2,ROUNDDOWN(I2046,0))*3)*(3*$J2046^3-6*$J2046^2+3*$J2046)+INDIRECT("C$"&amp;4+MIN(2,ROUNDDOWN(I2046,0))*3)*(-3*$J2046^3+3*$J2046^2)+INDIRECT("C$"&amp;5+MIN(2,ROUNDDOWN(I2046,0))*3)*$J2046^3</f>
      </c>
      <c r="L2046" s="7">
        <f>INDIRECT("D$"&amp;2+MIN(2,ROUNDDOWN(I2046,0))*3)*(-$J2046^3+3*$J2046^2-3*$J2046+1)+INDIRECT("D$"&amp;3+MIN(2,ROUNDDOWN(I2046,0))*3)*(3*$J2046^3-6*$J2046^2+3*$J2046)+INDIRECT("D$"&amp;4+MIN(2,ROUNDDOWN(I2046,0))*3)*(-3*$J2046^3+3*$J2046^2)+INDIRECT("D$"&amp;5+MIN(2,ROUNDDOWN(I2046,0))*3)*$J2046^3</f>
      </c>
      <c r="M2046" s="7">
        <f>SQRT(K2046^2+L2046^2)</f>
      </c>
      <c r="N2046" s="7">
        <f>(K2047-K2045)</f>
      </c>
      <c r="O2046" s="7">
        <f>+(L2047-L2045)</f>
      </c>
      <c r="P2046" s="7">
        <f>SQRT(O2046^2+N2046^2)</f>
      </c>
      <c r="Q2046" s="7">
        <f>N2046/$P2046</f>
      </c>
      <c r="R2046" s="7">
        <f>O2046/$P2046</f>
      </c>
      <c r="S2046" s="7">
        <f>Q2046^2+R2046^2</f>
      </c>
      <c r="T2046" s="7">
        <f>-R2046</f>
      </c>
      <c r="U2046" s="7">
        <f>Q2046</f>
      </c>
      <c r="V2046" s="7">
        <f>($C$14+($C$15-$C$14)/($D$15-$D$14)*(I2046-$D$14))/2</f>
      </c>
      <c r="W2046" s="7">
        <f>($B$22*I2046^4+$C$22*I2046^3+$D$22*I2046^2+$E$22*I2046+$F$22)/2</f>
      </c>
      <c r="X2046" s="7">
        <f>($W2046)*(T2046)</f>
      </c>
      <c r="Y2046" s="7">
        <f>($W2046)*(U2046)</f>
      </c>
      <c r="Z2046" s="7">
        <f>SQRT(X2046^2+Y2046^2)</f>
      </c>
      <c r="AA2046" s="7">
        <f>$K2046+$X2046</f>
      </c>
      <c r="AB2046" s="7">
        <f>$L2046+$Y2046</f>
      </c>
      <c r="AC2046" s="7">
        <f>$K2046-$X2046</f>
      </c>
      <c r="AD2046" s="7">
        <f>$L2046-$Y2046</f>
      </c>
      <c r="AE2046" s="7">
        <f>AA2046/39.3701</f>
      </c>
      <c r="AF2046" s="7">
        <f>AB2046/39.3701</f>
      </c>
      <c r="AG2046" s="7">
        <f>AC2046/39.3701</f>
      </c>
      <c r="AH2046" s="7">
        <f>AD2046/39.3701</f>
      </c>
      <c r="AI2046" s="1"/>
      <c r="AJ2046" s="1"/>
      <c r="AK2046" s="1"/>
      <c r="AL2046" s="1"/>
      <c r="AM2046" s="2"/>
      <c r="AN2046" s="1"/>
      <c r="AO2046" s="1"/>
      <c r="AP2046" s="1"/>
      <c r="AQ2046" s="1"/>
      <c r="AR2046" s="1"/>
      <c r="AS2046" s="1"/>
      <c r="AT2046" s="1"/>
      <c r="AU2046" s="1"/>
      <c r="AV2046" s="1"/>
      <c r="AW2046" s="1"/>
      <c r="AX2046" s="1"/>
      <c r="AY2046" s="1"/>
      <c r="AZ2046" s="1"/>
      <c r="BA2046" s="1"/>
      <c r="BB2046" s="1"/>
      <c r="BC2046" s="1"/>
      <c r="BD2046" s="1"/>
      <c r="BE2046" s="1"/>
    </row>
    <row x14ac:dyDescent="0.25" r="2047" customHeight="1" ht="18.75">
      <c r="A2047" s="1"/>
      <c r="B2047" s="2"/>
      <c r="C2047" s="2"/>
      <c r="D2047" s="2"/>
      <c r="E2047" s="2"/>
      <c r="F2047" s="2"/>
      <c r="G2047" s="1"/>
      <c r="H2047" s="1"/>
      <c r="I2047" s="7">
        <v>2.044</v>
      </c>
      <c r="J2047" s="7">
        <f>IF((I2047-ROUNDDOWN(I2047,0))=0, 0, (I2047-ROUNDDOWN(I2047,0)))</f>
      </c>
      <c r="K2047" s="7">
        <f>INDIRECT("C$"&amp;2+MIN(2,ROUNDDOWN(I2047,0))*3)*(-$J2047^3+3*$J2047^2-3*$J2047+1)+INDIRECT("C$"&amp;3+MIN(2,ROUNDDOWN(I2047,0))*3)*(3*$J2047^3-6*$J2047^2+3*$J2047)+INDIRECT("C$"&amp;4+MIN(2,ROUNDDOWN(I2047,0))*3)*(-3*$J2047^3+3*$J2047^2)+INDIRECT("C$"&amp;5+MIN(2,ROUNDDOWN(I2047,0))*3)*$J2047^3</f>
      </c>
      <c r="L2047" s="7">
        <f>INDIRECT("D$"&amp;2+MIN(2,ROUNDDOWN(I2047,0))*3)*(-$J2047^3+3*$J2047^2-3*$J2047+1)+INDIRECT("D$"&amp;3+MIN(2,ROUNDDOWN(I2047,0))*3)*(3*$J2047^3-6*$J2047^2+3*$J2047)+INDIRECT("D$"&amp;4+MIN(2,ROUNDDOWN(I2047,0))*3)*(-3*$J2047^3+3*$J2047^2)+INDIRECT("D$"&amp;5+MIN(2,ROUNDDOWN(I2047,0))*3)*$J2047^3</f>
      </c>
      <c r="M2047" s="7">
        <f>SQRT(K2047^2+L2047^2)</f>
      </c>
      <c r="N2047" s="7">
        <f>(K2048-K2046)</f>
      </c>
      <c r="O2047" s="7">
        <f>+(L2048-L2046)</f>
      </c>
      <c r="P2047" s="7">
        <f>SQRT(O2047^2+N2047^2)</f>
      </c>
      <c r="Q2047" s="7">
        <f>N2047/$P2047</f>
      </c>
      <c r="R2047" s="7">
        <f>O2047/$P2047</f>
      </c>
      <c r="S2047" s="8">
        <f>Q2047^2+R2047^2</f>
      </c>
      <c r="T2047" s="7">
        <f>-R2047</f>
      </c>
      <c r="U2047" s="7">
        <f>Q2047</f>
      </c>
      <c r="V2047" s="7">
        <f>($C$14+($C$15-$C$14)/($D$15-$D$14)*(I2047-$D$14))/2</f>
      </c>
      <c r="W2047" s="7">
        <f>($B$22*I2047^4+$C$22*I2047^3+$D$22*I2047^2+$E$22*I2047+$F$22)/2</f>
      </c>
      <c r="X2047" s="7">
        <f>($W2047)*(T2047)</f>
      </c>
      <c r="Y2047" s="7">
        <f>($W2047)*(U2047)</f>
      </c>
      <c r="Z2047" s="7">
        <f>SQRT(X2047^2+Y2047^2)</f>
      </c>
      <c r="AA2047" s="7">
        <f>$K2047+$X2047</f>
      </c>
      <c r="AB2047" s="7">
        <f>$L2047+$Y2047</f>
      </c>
      <c r="AC2047" s="7">
        <f>$K2047-$X2047</f>
      </c>
      <c r="AD2047" s="7">
        <f>$L2047-$Y2047</f>
      </c>
      <c r="AE2047" s="7">
        <f>AA2047/39.3701</f>
      </c>
      <c r="AF2047" s="7">
        <f>AB2047/39.3701</f>
      </c>
      <c r="AG2047" s="7">
        <f>AC2047/39.3701</f>
      </c>
      <c r="AH2047" s="7">
        <f>AD2047/39.3701</f>
      </c>
      <c r="AI2047" s="1"/>
      <c r="AJ2047" s="1"/>
      <c r="AK2047" s="1"/>
      <c r="AL2047" s="1"/>
      <c r="AM2047" s="2"/>
      <c r="AN2047" s="1"/>
      <c r="AO2047" s="1"/>
      <c r="AP2047" s="1"/>
      <c r="AQ2047" s="1"/>
      <c r="AR2047" s="1"/>
      <c r="AS2047" s="1"/>
      <c r="AT2047" s="1"/>
      <c r="AU2047" s="1"/>
      <c r="AV2047" s="1"/>
      <c r="AW2047" s="1"/>
      <c r="AX2047" s="1"/>
      <c r="AY2047" s="1"/>
      <c r="AZ2047" s="1"/>
      <c r="BA2047" s="1"/>
      <c r="BB2047" s="1"/>
      <c r="BC2047" s="1"/>
      <c r="BD2047" s="1"/>
      <c r="BE2047" s="1"/>
    </row>
    <row x14ac:dyDescent="0.25" r="2048" customHeight="1" ht="18.75">
      <c r="A2048" s="1"/>
      <c r="B2048" s="2"/>
      <c r="C2048" s="2"/>
      <c r="D2048" s="2"/>
      <c r="E2048" s="2"/>
      <c r="F2048" s="2"/>
      <c r="G2048" s="1"/>
      <c r="H2048" s="1"/>
      <c r="I2048" s="7">
        <v>2.045</v>
      </c>
      <c r="J2048" s="7">
        <f>IF((I2048-ROUNDDOWN(I2048,0))=0, 0, (I2048-ROUNDDOWN(I2048,0)))</f>
      </c>
      <c r="K2048" s="7">
        <f>INDIRECT("C$"&amp;2+MIN(2,ROUNDDOWN(I2048,0))*3)*(-$J2048^3+3*$J2048^2-3*$J2048+1)+INDIRECT("C$"&amp;3+MIN(2,ROUNDDOWN(I2048,0))*3)*(3*$J2048^3-6*$J2048^2+3*$J2048)+INDIRECT("C$"&amp;4+MIN(2,ROUNDDOWN(I2048,0))*3)*(-3*$J2048^3+3*$J2048^2)+INDIRECT("C$"&amp;5+MIN(2,ROUNDDOWN(I2048,0))*3)*$J2048^3</f>
      </c>
      <c r="L2048" s="7">
        <f>INDIRECT("D$"&amp;2+MIN(2,ROUNDDOWN(I2048,0))*3)*(-$J2048^3+3*$J2048^2-3*$J2048+1)+INDIRECT("D$"&amp;3+MIN(2,ROUNDDOWN(I2048,0))*3)*(3*$J2048^3-6*$J2048^2+3*$J2048)+INDIRECT("D$"&amp;4+MIN(2,ROUNDDOWN(I2048,0))*3)*(-3*$J2048^3+3*$J2048^2)+INDIRECT("D$"&amp;5+MIN(2,ROUNDDOWN(I2048,0))*3)*$J2048^3</f>
      </c>
      <c r="M2048" s="7">
        <f>SQRT(K2048^2+L2048^2)</f>
      </c>
      <c r="N2048" s="7">
        <f>(K2049-K2047)</f>
      </c>
      <c r="O2048" s="7">
        <f>+(L2049-L2047)</f>
      </c>
      <c r="P2048" s="7">
        <f>SQRT(O2048^2+N2048^2)</f>
      </c>
      <c r="Q2048" s="7">
        <f>N2048/$P2048</f>
      </c>
      <c r="R2048" s="7">
        <f>O2048/$P2048</f>
      </c>
      <c r="S2048" s="8">
        <f>Q2048^2+R2048^2</f>
      </c>
      <c r="T2048" s="7">
        <f>-R2048</f>
      </c>
      <c r="U2048" s="7">
        <f>Q2048</f>
      </c>
      <c r="V2048" s="7">
        <f>($C$14+($C$15-$C$14)/($D$15-$D$14)*(I2048-$D$14))/2</f>
      </c>
      <c r="W2048" s="7">
        <f>($B$22*I2048^4+$C$22*I2048^3+$D$22*I2048^2+$E$22*I2048+$F$22)/2</f>
      </c>
      <c r="X2048" s="7">
        <f>($W2048)*(T2048)</f>
      </c>
      <c r="Y2048" s="7">
        <f>($W2048)*(U2048)</f>
      </c>
      <c r="Z2048" s="7">
        <f>SQRT(X2048^2+Y2048^2)</f>
      </c>
      <c r="AA2048" s="7">
        <f>$K2048+$X2048</f>
      </c>
      <c r="AB2048" s="7">
        <f>$L2048+$Y2048</f>
      </c>
      <c r="AC2048" s="7">
        <f>$K2048-$X2048</f>
      </c>
      <c r="AD2048" s="7">
        <f>$L2048-$Y2048</f>
      </c>
      <c r="AE2048" s="7">
        <f>AA2048/39.3701</f>
      </c>
      <c r="AF2048" s="7">
        <f>AB2048/39.3701</f>
      </c>
      <c r="AG2048" s="7">
        <f>AC2048/39.3701</f>
      </c>
      <c r="AH2048" s="7">
        <f>AD2048/39.3701</f>
      </c>
      <c r="AI2048" s="1"/>
      <c r="AJ2048" s="1"/>
      <c r="AK2048" s="1"/>
      <c r="AL2048" s="1"/>
      <c r="AM2048" s="2"/>
      <c r="AN2048" s="1"/>
      <c r="AO2048" s="1"/>
      <c r="AP2048" s="1"/>
      <c r="AQ2048" s="1"/>
      <c r="AR2048" s="1"/>
      <c r="AS2048" s="1"/>
      <c r="AT2048" s="1"/>
      <c r="AU2048" s="1"/>
      <c r="AV2048" s="1"/>
      <c r="AW2048" s="1"/>
      <c r="AX2048" s="1"/>
      <c r="AY2048" s="1"/>
      <c r="AZ2048" s="1"/>
      <c r="BA2048" s="1"/>
      <c r="BB2048" s="1"/>
      <c r="BC2048" s="1"/>
      <c r="BD2048" s="1"/>
      <c r="BE2048" s="1"/>
    </row>
    <row x14ac:dyDescent="0.25" r="2049" customHeight="1" ht="18.75">
      <c r="A2049" s="1"/>
      <c r="B2049" s="2"/>
      <c r="C2049" s="2"/>
      <c r="D2049" s="2"/>
      <c r="E2049" s="2"/>
      <c r="F2049" s="2"/>
      <c r="G2049" s="1"/>
      <c r="H2049" s="1"/>
      <c r="I2049" s="7">
        <v>2.046</v>
      </c>
      <c r="J2049" s="7">
        <f>IF((I2049-ROUNDDOWN(I2049,0))=0, 0, (I2049-ROUNDDOWN(I2049,0)))</f>
      </c>
      <c r="K2049" s="7">
        <f>INDIRECT("C$"&amp;2+MIN(2,ROUNDDOWN(I2049,0))*3)*(-$J2049^3+3*$J2049^2-3*$J2049+1)+INDIRECT("C$"&amp;3+MIN(2,ROUNDDOWN(I2049,0))*3)*(3*$J2049^3-6*$J2049^2+3*$J2049)+INDIRECT("C$"&amp;4+MIN(2,ROUNDDOWN(I2049,0))*3)*(-3*$J2049^3+3*$J2049^2)+INDIRECT("C$"&amp;5+MIN(2,ROUNDDOWN(I2049,0))*3)*$J2049^3</f>
      </c>
      <c r="L2049" s="7">
        <f>INDIRECT("D$"&amp;2+MIN(2,ROUNDDOWN(I2049,0))*3)*(-$J2049^3+3*$J2049^2-3*$J2049+1)+INDIRECT("D$"&amp;3+MIN(2,ROUNDDOWN(I2049,0))*3)*(3*$J2049^3-6*$J2049^2+3*$J2049)+INDIRECT("D$"&amp;4+MIN(2,ROUNDDOWN(I2049,0))*3)*(-3*$J2049^3+3*$J2049^2)+INDIRECT("D$"&amp;5+MIN(2,ROUNDDOWN(I2049,0))*3)*$J2049^3</f>
      </c>
      <c r="M2049" s="7">
        <f>SQRT(K2049^2+L2049^2)</f>
      </c>
      <c r="N2049" s="7">
        <f>(K2050-K2048)</f>
      </c>
      <c r="O2049" s="7">
        <f>+(L2050-L2048)</f>
      </c>
      <c r="P2049" s="7">
        <f>SQRT(O2049^2+N2049^2)</f>
      </c>
      <c r="Q2049" s="7">
        <f>N2049/$P2049</f>
      </c>
      <c r="R2049" s="7">
        <f>O2049/$P2049</f>
      </c>
      <c r="S2049" s="7">
        <f>Q2049^2+R2049^2</f>
      </c>
      <c r="T2049" s="7">
        <f>-R2049</f>
      </c>
      <c r="U2049" s="7">
        <f>Q2049</f>
      </c>
      <c r="V2049" s="7">
        <f>($C$14+($C$15-$C$14)/($D$15-$D$14)*(I2049-$D$14))/2</f>
      </c>
      <c r="W2049" s="7">
        <f>($B$22*I2049^4+$C$22*I2049^3+$D$22*I2049^2+$E$22*I2049+$F$22)/2</f>
      </c>
      <c r="X2049" s="7">
        <f>($W2049)*(T2049)</f>
      </c>
      <c r="Y2049" s="7">
        <f>($W2049)*(U2049)</f>
      </c>
      <c r="Z2049" s="7">
        <f>SQRT(X2049^2+Y2049^2)</f>
      </c>
      <c r="AA2049" s="7">
        <f>$K2049+$X2049</f>
      </c>
      <c r="AB2049" s="7">
        <f>$L2049+$Y2049</f>
      </c>
      <c r="AC2049" s="7">
        <f>$K2049-$X2049</f>
      </c>
      <c r="AD2049" s="7">
        <f>$L2049-$Y2049</f>
      </c>
      <c r="AE2049" s="7">
        <f>AA2049/39.3701</f>
      </c>
      <c r="AF2049" s="7">
        <f>AB2049/39.3701</f>
      </c>
      <c r="AG2049" s="7">
        <f>AC2049/39.3701</f>
      </c>
      <c r="AH2049" s="7">
        <f>AD2049/39.3701</f>
      </c>
      <c r="AI2049" s="1"/>
      <c r="AJ2049" s="1"/>
      <c r="AK2049" s="1"/>
      <c r="AL2049" s="1"/>
      <c r="AM2049" s="2"/>
      <c r="AN2049" s="1"/>
      <c r="AO2049" s="1"/>
      <c r="AP2049" s="1"/>
      <c r="AQ2049" s="1"/>
      <c r="AR2049" s="1"/>
      <c r="AS2049" s="1"/>
      <c r="AT2049" s="1"/>
      <c r="AU2049" s="1"/>
      <c r="AV2049" s="1"/>
      <c r="AW2049" s="1"/>
      <c r="AX2049" s="1"/>
      <c r="AY2049" s="1"/>
      <c r="AZ2049" s="1"/>
      <c r="BA2049" s="1"/>
      <c r="BB2049" s="1"/>
      <c r="BC2049" s="1"/>
      <c r="BD2049" s="1"/>
      <c r="BE2049" s="1"/>
    </row>
    <row x14ac:dyDescent="0.25" r="2050" customHeight="1" ht="18.75">
      <c r="A2050" s="1"/>
      <c r="B2050" s="2"/>
      <c r="C2050" s="2"/>
      <c r="D2050" s="2"/>
      <c r="E2050" s="2"/>
      <c r="F2050" s="2"/>
      <c r="G2050" s="1"/>
      <c r="H2050" s="1"/>
      <c r="I2050" s="7">
        <v>2.047</v>
      </c>
      <c r="J2050" s="7">
        <f>IF((I2050-ROUNDDOWN(I2050,0))=0, 0, (I2050-ROUNDDOWN(I2050,0)))</f>
      </c>
      <c r="K2050" s="7">
        <f>INDIRECT("C$"&amp;2+MIN(2,ROUNDDOWN(I2050,0))*3)*(-$J2050^3+3*$J2050^2-3*$J2050+1)+INDIRECT("C$"&amp;3+MIN(2,ROUNDDOWN(I2050,0))*3)*(3*$J2050^3-6*$J2050^2+3*$J2050)+INDIRECT("C$"&amp;4+MIN(2,ROUNDDOWN(I2050,0))*3)*(-3*$J2050^3+3*$J2050^2)+INDIRECT("C$"&amp;5+MIN(2,ROUNDDOWN(I2050,0))*3)*$J2050^3</f>
      </c>
      <c r="L2050" s="7">
        <f>INDIRECT("D$"&amp;2+MIN(2,ROUNDDOWN(I2050,0))*3)*(-$J2050^3+3*$J2050^2-3*$J2050+1)+INDIRECT("D$"&amp;3+MIN(2,ROUNDDOWN(I2050,0))*3)*(3*$J2050^3-6*$J2050^2+3*$J2050)+INDIRECT("D$"&amp;4+MIN(2,ROUNDDOWN(I2050,0))*3)*(-3*$J2050^3+3*$J2050^2)+INDIRECT("D$"&amp;5+MIN(2,ROUNDDOWN(I2050,0))*3)*$J2050^3</f>
      </c>
      <c r="M2050" s="7">
        <f>SQRT(K2050^2+L2050^2)</f>
      </c>
      <c r="N2050" s="7">
        <f>(K2051-K2049)</f>
      </c>
      <c r="O2050" s="7">
        <f>+(L2051-L2049)</f>
      </c>
      <c r="P2050" s="7">
        <f>SQRT(O2050^2+N2050^2)</f>
      </c>
      <c r="Q2050" s="7">
        <f>N2050/$P2050</f>
      </c>
      <c r="R2050" s="7">
        <f>O2050/$P2050</f>
      </c>
      <c r="S2050" s="7">
        <f>Q2050^2+R2050^2</f>
      </c>
      <c r="T2050" s="7">
        <f>-R2050</f>
      </c>
      <c r="U2050" s="7">
        <f>Q2050</f>
      </c>
      <c r="V2050" s="7">
        <f>($C$14+($C$15-$C$14)/($D$15-$D$14)*(I2050-$D$14))/2</f>
      </c>
      <c r="W2050" s="7">
        <f>($B$22*I2050^4+$C$22*I2050^3+$D$22*I2050^2+$E$22*I2050+$F$22)/2</f>
      </c>
      <c r="X2050" s="7">
        <f>($W2050)*(T2050)</f>
      </c>
      <c r="Y2050" s="7">
        <f>($W2050)*(U2050)</f>
      </c>
      <c r="Z2050" s="7">
        <f>SQRT(X2050^2+Y2050^2)</f>
      </c>
      <c r="AA2050" s="7">
        <f>$K2050+$X2050</f>
      </c>
      <c r="AB2050" s="7">
        <f>$L2050+$Y2050</f>
      </c>
      <c r="AC2050" s="7">
        <f>$K2050-$X2050</f>
      </c>
      <c r="AD2050" s="7">
        <f>$L2050-$Y2050</f>
      </c>
      <c r="AE2050" s="7">
        <f>AA2050/39.3701</f>
      </c>
      <c r="AF2050" s="7">
        <f>AB2050/39.3701</f>
      </c>
      <c r="AG2050" s="7">
        <f>AC2050/39.3701</f>
      </c>
      <c r="AH2050" s="7">
        <f>AD2050/39.3701</f>
      </c>
      <c r="AI2050" s="1"/>
      <c r="AJ2050" s="1"/>
      <c r="AK2050" s="1"/>
      <c r="AL2050" s="1"/>
      <c r="AM2050" s="2"/>
      <c r="AN2050" s="1"/>
      <c r="AO2050" s="1"/>
      <c r="AP2050" s="1"/>
      <c r="AQ2050" s="1"/>
      <c r="AR2050" s="1"/>
      <c r="AS2050" s="1"/>
      <c r="AT2050" s="1"/>
      <c r="AU2050" s="1"/>
      <c r="AV2050" s="1"/>
      <c r="AW2050" s="1"/>
      <c r="AX2050" s="1"/>
      <c r="AY2050" s="1"/>
      <c r="AZ2050" s="1"/>
      <c r="BA2050" s="1"/>
      <c r="BB2050" s="1"/>
      <c r="BC2050" s="1"/>
      <c r="BD2050" s="1"/>
      <c r="BE2050" s="1"/>
    </row>
    <row x14ac:dyDescent="0.25" r="2051" customHeight="1" ht="18.75">
      <c r="A2051" s="1"/>
      <c r="B2051" s="2"/>
      <c r="C2051" s="2"/>
      <c r="D2051" s="2"/>
      <c r="E2051" s="2"/>
      <c r="F2051" s="2"/>
      <c r="G2051" s="1"/>
      <c r="H2051" s="1"/>
      <c r="I2051" s="7">
        <v>2.048</v>
      </c>
      <c r="J2051" s="7">
        <f>IF((I2051-ROUNDDOWN(I2051,0))=0, 0, (I2051-ROUNDDOWN(I2051,0)))</f>
      </c>
      <c r="K2051" s="7">
        <f>INDIRECT("C$"&amp;2+MIN(2,ROUNDDOWN(I2051,0))*3)*(-$J2051^3+3*$J2051^2-3*$J2051+1)+INDIRECT("C$"&amp;3+MIN(2,ROUNDDOWN(I2051,0))*3)*(3*$J2051^3-6*$J2051^2+3*$J2051)+INDIRECT("C$"&amp;4+MIN(2,ROUNDDOWN(I2051,0))*3)*(-3*$J2051^3+3*$J2051^2)+INDIRECT("C$"&amp;5+MIN(2,ROUNDDOWN(I2051,0))*3)*$J2051^3</f>
      </c>
      <c r="L2051" s="7">
        <f>INDIRECT("D$"&amp;2+MIN(2,ROUNDDOWN(I2051,0))*3)*(-$J2051^3+3*$J2051^2-3*$J2051+1)+INDIRECT("D$"&amp;3+MIN(2,ROUNDDOWN(I2051,0))*3)*(3*$J2051^3-6*$J2051^2+3*$J2051)+INDIRECT("D$"&amp;4+MIN(2,ROUNDDOWN(I2051,0))*3)*(-3*$J2051^3+3*$J2051^2)+INDIRECT("D$"&amp;5+MIN(2,ROUNDDOWN(I2051,0))*3)*$J2051^3</f>
      </c>
      <c r="M2051" s="7">
        <f>SQRT(K2051^2+L2051^2)</f>
      </c>
      <c r="N2051" s="7">
        <f>(K2052-K2050)</f>
      </c>
      <c r="O2051" s="7">
        <f>+(L2052-L2050)</f>
      </c>
      <c r="P2051" s="7">
        <f>SQRT(O2051^2+N2051^2)</f>
      </c>
      <c r="Q2051" s="7">
        <f>N2051/$P2051</f>
      </c>
      <c r="R2051" s="7">
        <f>O2051/$P2051</f>
      </c>
      <c r="S2051" s="8">
        <f>Q2051^2+R2051^2</f>
      </c>
      <c r="T2051" s="7">
        <f>-R2051</f>
      </c>
      <c r="U2051" s="7">
        <f>Q2051</f>
      </c>
      <c r="V2051" s="7">
        <f>($C$14+($C$15-$C$14)/($D$15-$D$14)*(I2051-$D$14))/2</f>
      </c>
      <c r="W2051" s="7">
        <f>($B$22*I2051^4+$C$22*I2051^3+$D$22*I2051^2+$E$22*I2051+$F$22)/2</f>
      </c>
      <c r="X2051" s="7">
        <f>($W2051)*(T2051)</f>
      </c>
      <c r="Y2051" s="7">
        <f>($W2051)*(U2051)</f>
      </c>
      <c r="Z2051" s="7">
        <f>SQRT(X2051^2+Y2051^2)</f>
      </c>
      <c r="AA2051" s="7">
        <f>$K2051+$X2051</f>
      </c>
      <c r="AB2051" s="7">
        <f>$L2051+$Y2051</f>
      </c>
      <c r="AC2051" s="7">
        <f>$K2051-$X2051</f>
      </c>
      <c r="AD2051" s="7">
        <f>$L2051-$Y2051</f>
      </c>
      <c r="AE2051" s="7">
        <f>AA2051/39.3701</f>
      </c>
      <c r="AF2051" s="7">
        <f>AB2051/39.3701</f>
      </c>
      <c r="AG2051" s="7">
        <f>AC2051/39.3701</f>
      </c>
      <c r="AH2051" s="7">
        <f>AD2051/39.3701</f>
      </c>
      <c r="AI2051" s="1"/>
      <c r="AJ2051" s="1"/>
      <c r="AK2051" s="1"/>
      <c r="AL2051" s="1"/>
      <c r="AM2051" s="2"/>
      <c r="AN2051" s="1"/>
      <c r="AO2051" s="1"/>
      <c r="AP2051" s="1"/>
      <c r="AQ2051" s="1"/>
      <c r="AR2051" s="1"/>
      <c r="AS2051" s="1"/>
      <c r="AT2051" s="1"/>
      <c r="AU2051" s="1"/>
      <c r="AV2051" s="1"/>
      <c r="AW2051" s="1"/>
      <c r="AX2051" s="1"/>
      <c r="AY2051" s="1"/>
      <c r="AZ2051" s="1"/>
      <c r="BA2051" s="1"/>
      <c r="BB2051" s="1"/>
      <c r="BC2051" s="1"/>
      <c r="BD2051" s="1"/>
      <c r="BE2051" s="1"/>
    </row>
    <row x14ac:dyDescent="0.25" r="2052" customHeight="1" ht="18.75">
      <c r="A2052" s="1"/>
      <c r="B2052" s="2"/>
      <c r="C2052" s="2"/>
      <c r="D2052" s="2"/>
      <c r="E2052" s="2"/>
      <c r="F2052" s="2"/>
      <c r="G2052" s="1"/>
      <c r="H2052" s="1"/>
      <c r="I2052" s="7">
        <v>2.049</v>
      </c>
      <c r="J2052" s="7">
        <f>IF((I2052-ROUNDDOWN(I2052,0))=0, 0, (I2052-ROUNDDOWN(I2052,0)))</f>
      </c>
      <c r="K2052" s="7">
        <f>INDIRECT("C$"&amp;2+MIN(2,ROUNDDOWN(I2052,0))*3)*(-$J2052^3+3*$J2052^2-3*$J2052+1)+INDIRECT("C$"&amp;3+MIN(2,ROUNDDOWN(I2052,0))*3)*(3*$J2052^3-6*$J2052^2+3*$J2052)+INDIRECT("C$"&amp;4+MIN(2,ROUNDDOWN(I2052,0))*3)*(-3*$J2052^3+3*$J2052^2)+INDIRECT("C$"&amp;5+MIN(2,ROUNDDOWN(I2052,0))*3)*$J2052^3</f>
      </c>
      <c r="L2052" s="7">
        <f>INDIRECT("D$"&amp;2+MIN(2,ROUNDDOWN(I2052,0))*3)*(-$J2052^3+3*$J2052^2-3*$J2052+1)+INDIRECT("D$"&amp;3+MIN(2,ROUNDDOWN(I2052,0))*3)*(3*$J2052^3-6*$J2052^2+3*$J2052)+INDIRECT("D$"&amp;4+MIN(2,ROUNDDOWN(I2052,0))*3)*(-3*$J2052^3+3*$J2052^2)+INDIRECT("D$"&amp;5+MIN(2,ROUNDDOWN(I2052,0))*3)*$J2052^3</f>
      </c>
      <c r="M2052" s="7">
        <f>SQRT(K2052^2+L2052^2)</f>
      </c>
      <c r="N2052" s="7">
        <f>(K2053-K2051)</f>
      </c>
      <c r="O2052" s="7">
        <f>+(L2053-L2051)</f>
      </c>
      <c r="P2052" s="7">
        <f>SQRT(O2052^2+N2052^2)</f>
      </c>
      <c r="Q2052" s="7">
        <f>N2052/$P2052</f>
      </c>
      <c r="R2052" s="7">
        <f>O2052/$P2052</f>
      </c>
      <c r="S2052" s="7">
        <f>Q2052^2+R2052^2</f>
      </c>
      <c r="T2052" s="7">
        <f>-R2052</f>
      </c>
      <c r="U2052" s="7">
        <f>Q2052</f>
      </c>
      <c r="V2052" s="7">
        <f>($C$14+($C$15-$C$14)/($D$15-$D$14)*(I2052-$D$14))/2</f>
      </c>
      <c r="W2052" s="7">
        <f>($B$22*I2052^4+$C$22*I2052^3+$D$22*I2052^2+$E$22*I2052+$F$22)/2</f>
      </c>
      <c r="X2052" s="7">
        <f>($W2052)*(T2052)</f>
      </c>
      <c r="Y2052" s="7">
        <f>($W2052)*(U2052)</f>
      </c>
      <c r="Z2052" s="7">
        <f>SQRT(X2052^2+Y2052^2)</f>
      </c>
      <c r="AA2052" s="7">
        <f>$K2052+$X2052</f>
      </c>
      <c r="AB2052" s="7">
        <f>$L2052+$Y2052</f>
      </c>
      <c r="AC2052" s="7">
        <f>$K2052-$X2052</f>
      </c>
      <c r="AD2052" s="7">
        <f>$L2052-$Y2052</f>
      </c>
      <c r="AE2052" s="7">
        <f>AA2052/39.3701</f>
      </c>
      <c r="AF2052" s="7">
        <f>AB2052/39.3701</f>
      </c>
      <c r="AG2052" s="7">
        <f>AC2052/39.3701</f>
      </c>
      <c r="AH2052" s="7">
        <f>AD2052/39.3701</f>
      </c>
      <c r="AI2052" s="1"/>
      <c r="AJ2052" s="1"/>
      <c r="AK2052" s="1"/>
      <c r="AL2052" s="1"/>
      <c r="AM2052" s="2"/>
      <c r="AN2052" s="1"/>
      <c r="AO2052" s="1"/>
      <c r="AP2052" s="1"/>
      <c r="AQ2052" s="1"/>
      <c r="AR2052" s="1"/>
      <c r="AS2052" s="1"/>
      <c r="AT2052" s="1"/>
      <c r="AU2052" s="1"/>
      <c r="AV2052" s="1"/>
      <c r="AW2052" s="1"/>
      <c r="AX2052" s="1"/>
      <c r="AY2052" s="1"/>
      <c r="AZ2052" s="1"/>
      <c r="BA2052" s="1"/>
      <c r="BB2052" s="1"/>
      <c r="BC2052" s="1"/>
      <c r="BD2052" s="1"/>
      <c r="BE2052" s="1"/>
    </row>
    <row x14ac:dyDescent="0.25" r="2053" customHeight="1" ht="18.75">
      <c r="A2053" s="1"/>
      <c r="B2053" s="2"/>
      <c r="C2053" s="2"/>
      <c r="D2053" s="2"/>
      <c r="E2053" s="2"/>
      <c r="F2053" s="2"/>
      <c r="G2053" s="1"/>
      <c r="H2053" s="1"/>
      <c r="I2053" s="7">
        <v>2.05</v>
      </c>
      <c r="J2053" s="7">
        <f>IF((I2053-ROUNDDOWN(I2053,0))=0, 0, (I2053-ROUNDDOWN(I2053,0)))</f>
      </c>
      <c r="K2053" s="7">
        <f>INDIRECT("C$"&amp;2+MIN(2,ROUNDDOWN(I2053,0))*3)*(-$J2053^3+3*$J2053^2-3*$J2053+1)+INDIRECT("C$"&amp;3+MIN(2,ROUNDDOWN(I2053,0))*3)*(3*$J2053^3-6*$J2053^2+3*$J2053)+INDIRECT("C$"&amp;4+MIN(2,ROUNDDOWN(I2053,0))*3)*(-3*$J2053^3+3*$J2053^2)+INDIRECT("C$"&amp;5+MIN(2,ROUNDDOWN(I2053,0))*3)*$J2053^3</f>
      </c>
      <c r="L2053" s="7">
        <f>INDIRECT("D$"&amp;2+MIN(2,ROUNDDOWN(I2053,0))*3)*(-$J2053^3+3*$J2053^2-3*$J2053+1)+INDIRECT("D$"&amp;3+MIN(2,ROUNDDOWN(I2053,0))*3)*(3*$J2053^3-6*$J2053^2+3*$J2053)+INDIRECT("D$"&amp;4+MIN(2,ROUNDDOWN(I2053,0))*3)*(-3*$J2053^3+3*$J2053^2)+INDIRECT("D$"&amp;5+MIN(2,ROUNDDOWN(I2053,0))*3)*$J2053^3</f>
      </c>
      <c r="M2053" s="7">
        <f>SQRT(K2053^2+L2053^2)</f>
      </c>
      <c r="N2053" s="7">
        <f>(K2054-K2052)</f>
      </c>
      <c r="O2053" s="7">
        <f>+(L2054-L2052)</f>
      </c>
      <c r="P2053" s="7">
        <f>SQRT(O2053^2+N2053^2)</f>
      </c>
      <c r="Q2053" s="7">
        <f>N2053/$P2053</f>
      </c>
      <c r="R2053" s="7">
        <f>O2053/$P2053</f>
      </c>
      <c r="S2053" s="8">
        <f>Q2053^2+R2053^2</f>
      </c>
      <c r="T2053" s="7">
        <f>-R2053</f>
      </c>
      <c r="U2053" s="7">
        <f>Q2053</f>
      </c>
      <c r="V2053" s="7">
        <f>($C$14+($C$15-$C$14)/($D$15-$D$14)*(I2053-$D$14))/2</f>
      </c>
      <c r="W2053" s="7">
        <f>($B$22*I2053^4+$C$22*I2053^3+$D$22*I2053^2+$E$22*I2053+$F$22)/2</f>
      </c>
      <c r="X2053" s="7">
        <f>($W2053)*(T2053)</f>
      </c>
      <c r="Y2053" s="7">
        <f>($W2053)*(U2053)</f>
      </c>
      <c r="Z2053" s="7">
        <f>SQRT(X2053^2+Y2053^2)</f>
      </c>
      <c r="AA2053" s="7">
        <f>$K2053+$X2053</f>
      </c>
      <c r="AB2053" s="7">
        <f>$L2053+$Y2053</f>
      </c>
      <c r="AC2053" s="7">
        <f>$K2053-$X2053</f>
      </c>
      <c r="AD2053" s="7">
        <f>$L2053-$Y2053</f>
      </c>
      <c r="AE2053" s="7">
        <f>AA2053/39.3701</f>
      </c>
      <c r="AF2053" s="7">
        <f>AB2053/39.3701</f>
      </c>
      <c r="AG2053" s="7">
        <f>AC2053/39.3701</f>
      </c>
      <c r="AH2053" s="7">
        <f>AD2053/39.3701</f>
      </c>
      <c r="AI2053" s="1"/>
      <c r="AJ2053" s="1"/>
      <c r="AK2053" s="1"/>
      <c r="AL2053" s="1"/>
      <c r="AM2053" s="2"/>
      <c r="AN2053" s="1"/>
      <c r="AO2053" s="1"/>
      <c r="AP2053" s="1"/>
      <c r="AQ2053" s="1"/>
      <c r="AR2053" s="1"/>
      <c r="AS2053" s="1"/>
      <c r="AT2053" s="1"/>
      <c r="AU2053" s="1"/>
      <c r="AV2053" s="1"/>
      <c r="AW2053" s="1"/>
      <c r="AX2053" s="1"/>
      <c r="AY2053" s="1"/>
      <c r="AZ2053" s="1"/>
      <c r="BA2053" s="1"/>
      <c r="BB2053" s="1"/>
      <c r="BC2053" s="1"/>
      <c r="BD2053" s="1"/>
      <c r="BE2053" s="1"/>
    </row>
    <row x14ac:dyDescent="0.25" r="2054" customHeight="1" ht="18.75">
      <c r="A2054" s="1"/>
      <c r="B2054" s="2"/>
      <c r="C2054" s="2"/>
      <c r="D2054" s="2"/>
      <c r="E2054" s="2"/>
      <c r="F2054" s="2"/>
      <c r="G2054" s="1"/>
      <c r="H2054" s="1"/>
      <c r="I2054" s="7">
        <v>2.051</v>
      </c>
      <c r="J2054" s="7">
        <f>IF((I2054-ROUNDDOWN(I2054,0))=0, 0, (I2054-ROUNDDOWN(I2054,0)))</f>
      </c>
      <c r="K2054" s="7">
        <f>INDIRECT("C$"&amp;2+MIN(2,ROUNDDOWN(I2054,0))*3)*(-$J2054^3+3*$J2054^2-3*$J2054+1)+INDIRECT("C$"&amp;3+MIN(2,ROUNDDOWN(I2054,0))*3)*(3*$J2054^3-6*$J2054^2+3*$J2054)+INDIRECT("C$"&amp;4+MIN(2,ROUNDDOWN(I2054,0))*3)*(-3*$J2054^3+3*$J2054^2)+INDIRECT("C$"&amp;5+MIN(2,ROUNDDOWN(I2054,0))*3)*$J2054^3</f>
      </c>
      <c r="L2054" s="7">
        <f>INDIRECT("D$"&amp;2+MIN(2,ROUNDDOWN(I2054,0))*3)*(-$J2054^3+3*$J2054^2-3*$J2054+1)+INDIRECT("D$"&amp;3+MIN(2,ROUNDDOWN(I2054,0))*3)*(3*$J2054^3-6*$J2054^2+3*$J2054)+INDIRECT("D$"&amp;4+MIN(2,ROUNDDOWN(I2054,0))*3)*(-3*$J2054^3+3*$J2054^2)+INDIRECT("D$"&amp;5+MIN(2,ROUNDDOWN(I2054,0))*3)*$J2054^3</f>
      </c>
      <c r="M2054" s="7">
        <f>SQRT(K2054^2+L2054^2)</f>
      </c>
      <c r="N2054" s="7">
        <f>(K2055-K2053)</f>
      </c>
      <c r="O2054" s="7">
        <f>+(L2055-L2053)</f>
      </c>
      <c r="P2054" s="7">
        <f>SQRT(O2054^2+N2054^2)</f>
      </c>
      <c r="Q2054" s="7">
        <f>N2054/$P2054</f>
      </c>
      <c r="R2054" s="7">
        <f>O2054/$P2054</f>
      </c>
      <c r="S2054" s="8">
        <f>Q2054^2+R2054^2</f>
      </c>
      <c r="T2054" s="7">
        <f>-R2054</f>
      </c>
      <c r="U2054" s="7">
        <f>Q2054</f>
      </c>
      <c r="V2054" s="7">
        <f>($C$14+($C$15-$C$14)/($D$15-$D$14)*(I2054-$D$14))/2</f>
      </c>
      <c r="W2054" s="7">
        <f>($B$22*I2054^4+$C$22*I2054^3+$D$22*I2054^2+$E$22*I2054+$F$22)/2</f>
      </c>
      <c r="X2054" s="7">
        <f>($W2054)*(T2054)</f>
      </c>
      <c r="Y2054" s="7">
        <f>($W2054)*(U2054)</f>
      </c>
      <c r="Z2054" s="7">
        <f>SQRT(X2054^2+Y2054^2)</f>
      </c>
      <c r="AA2054" s="7">
        <f>$K2054+$X2054</f>
      </c>
      <c r="AB2054" s="7">
        <f>$L2054+$Y2054</f>
      </c>
      <c r="AC2054" s="7">
        <f>$K2054-$X2054</f>
      </c>
      <c r="AD2054" s="7">
        <f>$L2054-$Y2054</f>
      </c>
      <c r="AE2054" s="7">
        <f>AA2054/39.3701</f>
      </c>
      <c r="AF2054" s="7">
        <f>AB2054/39.3701</f>
      </c>
      <c r="AG2054" s="7">
        <f>AC2054/39.3701</f>
      </c>
      <c r="AH2054" s="7">
        <f>AD2054/39.3701</f>
      </c>
      <c r="AI2054" s="1"/>
      <c r="AJ2054" s="1"/>
      <c r="AK2054" s="1"/>
      <c r="AL2054" s="1"/>
      <c r="AM2054" s="2"/>
      <c r="AN2054" s="1"/>
      <c r="AO2054" s="1"/>
      <c r="AP2054" s="1"/>
      <c r="AQ2054" s="1"/>
      <c r="AR2054" s="1"/>
      <c r="AS2054" s="1"/>
      <c r="AT2054" s="1"/>
      <c r="AU2054" s="1"/>
      <c r="AV2054" s="1"/>
      <c r="AW2054" s="1"/>
      <c r="AX2054" s="1"/>
      <c r="AY2054" s="1"/>
      <c r="AZ2054" s="1"/>
      <c r="BA2054" s="1"/>
      <c r="BB2054" s="1"/>
      <c r="BC2054" s="1"/>
      <c r="BD2054" s="1"/>
      <c r="BE2054" s="1"/>
    </row>
    <row x14ac:dyDescent="0.25" r="2055" customHeight="1" ht="18.75">
      <c r="A2055" s="1"/>
      <c r="B2055" s="2"/>
      <c r="C2055" s="2"/>
      <c r="D2055" s="2"/>
      <c r="E2055" s="2"/>
      <c r="F2055" s="2"/>
      <c r="G2055" s="1"/>
      <c r="H2055" s="1"/>
      <c r="I2055" s="7">
        <v>2.052</v>
      </c>
      <c r="J2055" s="7">
        <f>IF((I2055-ROUNDDOWN(I2055,0))=0, 0, (I2055-ROUNDDOWN(I2055,0)))</f>
      </c>
      <c r="K2055" s="7">
        <f>INDIRECT("C$"&amp;2+MIN(2,ROUNDDOWN(I2055,0))*3)*(-$J2055^3+3*$J2055^2-3*$J2055+1)+INDIRECT("C$"&amp;3+MIN(2,ROUNDDOWN(I2055,0))*3)*(3*$J2055^3-6*$J2055^2+3*$J2055)+INDIRECT("C$"&amp;4+MIN(2,ROUNDDOWN(I2055,0))*3)*(-3*$J2055^3+3*$J2055^2)+INDIRECT("C$"&amp;5+MIN(2,ROUNDDOWN(I2055,0))*3)*$J2055^3</f>
      </c>
      <c r="L2055" s="7">
        <f>INDIRECT("D$"&amp;2+MIN(2,ROUNDDOWN(I2055,0))*3)*(-$J2055^3+3*$J2055^2-3*$J2055+1)+INDIRECT("D$"&amp;3+MIN(2,ROUNDDOWN(I2055,0))*3)*(3*$J2055^3-6*$J2055^2+3*$J2055)+INDIRECT("D$"&amp;4+MIN(2,ROUNDDOWN(I2055,0))*3)*(-3*$J2055^3+3*$J2055^2)+INDIRECT("D$"&amp;5+MIN(2,ROUNDDOWN(I2055,0))*3)*$J2055^3</f>
      </c>
      <c r="M2055" s="7">
        <f>SQRT(K2055^2+L2055^2)</f>
      </c>
      <c r="N2055" s="7">
        <f>(K2056-K2054)</f>
      </c>
      <c r="O2055" s="7">
        <f>+(L2056-L2054)</f>
      </c>
      <c r="P2055" s="7">
        <f>SQRT(O2055^2+N2055^2)</f>
      </c>
      <c r="Q2055" s="7">
        <f>N2055/$P2055</f>
      </c>
      <c r="R2055" s="7">
        <f>O2055/$P2055</f>
      </c>
      <c r="S2055" s="7">
        <f>Q2055^2+R2055^2</f>
      </c>
      <c r="T2055" s="7">
        <f>-R2055</f>
      </c>
      <c r="U2055" s="7">
        <f>Q2055</f>
      </c>
      <c r="V2055" s="7">
        <f>($C$14+($C$15-$C$14)/($D$15-$D$14)*(I2055-$D$14))/2</f>
      </c>
      <c r="W2055" s="7">
        <f>($B$22*I2055^4+$C$22*I2055^3+$D$22*I2055^2+$E$22*I2055+$F$22)/2</f>
      </c>
      <c r="X2055" s="7">
        <f>($W2055)*(T2055)</f>
      </c>
      <c r="Y2055" s="7">
        <f>($W2055)*(U2055)</f>
      </c>
      <c r="Z2055" s="7">
        <f>SQRT(X2055^2+Y2055^2)</f>
      </c>
      <c r="AA2055" s="7">
        <f>$K2055+$X2055</f>
      </c>
      <c r="AB2055" s="7">
        <f>$L2055+$Y2055</f>
      </c>
      <c r="AC2055" s="7">
        <f>$K2055-$X2055</f>
      </c>
      <c r="AD2055" s="7">
        <f>$L2055-$Y2055</f>
      </c>
      <c r="AE2055" s="7">
        <f>AA2055/39.3701</f>
      </c>
      <c r="AF2055" s="7">
        <f>AB2055/39.3701</f>
      </c>
      <c r="AG2055" s="7">
        <f>AC2055/39.3701</f>
      </c>
      <c r="AH2055" s="7">
        <f>AD2055/39.3701</f>
      </c>
      <c r="AI2055" s="1"/>
      <c r="AJ2055" s="1"/>
      <c r="AK2055" s="1"/>
      <c r="AL2055" s="1"/>
      <c r="AM2055" s="2"/>
      <c r="AN2055" s="1"/>
      <c r="AO2055" s="1"/>
      <c r="AP2055" s="1"/>
      <c r="AQ2055" s="1"/>
      <c r="AR2055" s="1"/>
      <c r="AS2055" s="1"/>
      <c r="AT2055" s="1"/>
      <c r="AU2055" s="1"/>
      <c r="AV2055" s="1"/>
      <c r="AW2055" s="1"/>
      <c r="AX2055" s="1"/>
      <c r="AY2055" s="1"/>
      <c r="AZ2055" s="1"/>
      <c r="BA2055" s="1"/>
      <c r="BB2055" s="1"/>
      <c r="BC2055" s="1"/>
      <c r="BD2055" s="1"/>
      <c r="BE2055" s="1"/>
    </row>
    <row x14ac:dyDescent="0.25" r="2056" customHeight="1" ht="18.75">
      <c r="A2056" s="1"/>
      <c r="B2056" s="2"/>
      <c r="C2056" s="2"/>
      <c r="D2056" s="2"/>
      <c r="E2056" s="2"/>
      <c r="F2056" s="2"/>
      <c r="G2056" s="1"/>
      <c r="H2056" s="1"/>
      <c r="I2056" s="7">
        <v>2.053</v>
      </c>
      <c r="J2056" s="7">
        <f>IF((I2056-ROUNDDOWN(I2056,0))=0, 0, (I2056-ROUNDDOWN(I2056,0)))</f>
      </c>
      <c r="K2056" s="7">
        <f>INDIRECT("C$"&amp;2+MIN(2,ROUNDDOWN(I2056,0))*3)*(-$J2056^3+3*$J2056^2-3*$J2056+1)+INDIRECT("C$"&amp;3+MIN(2,ROUNDDOWN(I2056,0))*3)*(3*$J2056^3-6*$J2056^2+3*$J2056)+INDIRECT("C$"&amp;4+MIN(2,ROUNDDOWN(I2056,0))*3)*(-3*$J2056^3+3*$J2056^2)+INDIRECT("C$"&amp;5+MIN(2,ROUNDDOWN(I2056,0))*3)*$J2056^3</f>
      </c>
      <c r="L2056" s="7">
        <f>INDIRECT("D$"&amp;2+MIN(2,ROUNDDOWN(I2056,0))*3)*(-$J2056^3+3*$J2056^2-3*$J2056+1)+INDIRECT("D$"&amp;3+MIN(2,ROUNDDOWN(I2056,0))*3)*(3*$J2056^3-6*$J2056^2+3*$J2056)+INDIRECT("D$"&amp;4+MIN(2,ROUNDDOWN(I2056,0))*3)*(-3*$J2056^3+3*$J2056^2)+INDIRECT("D$"&amp;5+MIN(2,ROUNDDOWN(I2056,0))*3)*$J2056^3</f>
      </c>
      <c r="M2056" s="7">
        <f>SQRT(K2056^2+L2056^2)</f>
      </c>
      <c r="N2056" s="7">
        <f>(K2057-K2055)</f>
      </c>
      <c r="O2056" s="7">
        <f>+(L2057-L2055)</f>
      </c>
      <c r="P2056" s="7">
        <f>SQRT(O2056^2+N2056^2)</f>
      </c>
      <c r="Q2056" s="7">
        <f>N2056/$P2056</f>
      </c>
      <c r="R2056" s="7">
        <f>O2056/$P2056</f>
      </c>
      <c r="S2056" s="8">
        <f>Q2056^2+R2056^2</f>
      </c>
      <c r="T2056" s="7">
        <f>-R2056</f>
      </c>
      <c r="U2056" s="7">
        <f>Q2056</f>
      </c>
      <c r="V2056" s="7">
        <f>($C$14+($C$15-$C$14)/($D$15-$D$14)*(I2056-$D$14))/2</f>
      </c>
      <c r="W2056" s="7">
        <f>($B$22*I2056^4+$C$22*I2056^3+$D$22*I2056^2+$E$22*I2056+$F$22)/2</f>
      </c>
      <c r="X2056" s="7">
        <f>($W2056)*(T2056)</f>
      </c>
      <c r="Y2056" s="7">
        <f>($W2056)*(U2056)</f>
      </c>
      <c r="Z2056" s="7">
        <f>SQRT(X2056^2+Y2056^2)</f>
      </c>
      <c r="AA2056" s="7">
        <f>$K2056+$X2056</f>
      </c>
      <c r="AB2056" s="7">
        <f>$L2056+$Y2056</f>
      </c>
      <c r="AC2056" s="7">
        <f>$K2056-$X2056</f>
      </c>
      <c r="AD2056" s="7">
        <f>$L2056-$Y2056</f>
      </c>
      <c r="AE2056" s="7">
        <f>AA2056/39.3701</f>
      </c>
      <c r="AF2056" s="7">
        <f>AB2056/39.3701</f>
      </c>
      <c r="AG2056" s="7">
        <f>AC2056/39.3701</f>
      </c>
      <c r="AH2056" s="7">
        <f>AD2056/39.3701</f>
      </c>
      <c r="AI2056" s="1"/>
      <c r="AJ2056" s="1"/>
      <c r="AK2056" s="1"/>
      <c r="AL2056" s="1"/>
      <c r="AM2056" s="2"/>
      <c r="AN2056" s="1"/>
      <c r="AO2056" s="1"/>
      <c r="AP2056" s="1"/>
      <c r="AQ2056" s="1"/>
      <c r="AR2056" s="1"/>
      <c r="AS2056" s="1"/>
      <c r="AT2056" s="1"/>
      <c r="AU2056" s="1"/>
      <c r="AV2056" s="1"/>
      <c r="AW2056" s="1"/>
      <c r="AX2056" s="1"/>
      <c r="AY2056" s="1"/>
      <c r="AZ2056" s="1"/>
      <c r="BA2056" s="1"/>
      <c r="BB2056" s="1"/>
      <c r="BC2056" s="1"/>
      <c r="BD2056" s="1"/>
      <c r="BE2056" s="1"/>
    </row>
    <row x14ac:dyDescent="0.25" r="2057" customHeight="1" ht="18.75">
      <c r="A2057" s="1"/>
      <c r="B2057" s="2"/>
      <c r="C2057" s="2"/>
      <c r="D2057" s="2"/>
      <c r="E2057" s="2"/>
      <c r="F2057" s="2"/>
      <c r="G2057" s="1"/>
      <c r="H2057" s="1"/>
      <c r="I2057" s="7">
        <v>2.054</v>
      </c>
      <c r="J2057" s="7">
        <f>IF((I2057-ROUNDDOWN(I2057,0))=0, 0, (I2057-ROUNDDOWN(I2057,0)))</f>
      </c>
      <c r="K2057" s="7">
        <f>INDIRECT("C$"&amp;2+MIN(2,ROUNDDOWN(I2057,0))*3)*(-$J2057^3+3*$J2057^2-3*$J2057+1)+INDIRECT("C$"&amp;3+MIN(2,ROUNDDOWN(I2057,0))*3)*(3*$J2057^3-6*$J2057^2+3*$J2057)+INDIRECT("C$"&amp;4+MIN(2,ROUNDDOWN(I2057,0))*3)*(-3*$J2057^3+3*$J2057^2)+INDIRECT("C$"&amp;5+MIN(2,ROUNDDOWN(I2057,0))*3)*$J2057^3</f>
      </c>
      <c r="L2057" s="7">
        <f>INDIRECT("D$"&amp;2+MIN(2,ROUNDDOWN(I2057,0))*3)*(-$J2057^3+3*$J2057^2-3*$J2057+1)+INDIRECT("D$"&amp;3+MIN(2,ROUNDDOWN(I2057,0))*3)*(3*$J2057^3-6*$J2057^2+3*$J2057)+INDIRECT("D$"&amp;4+MIN(2,ROUNDDOWN(I2057,0))*3)*(-3*$J2057^3+3*$J2057^2)+INDIRECT("D$"&amp;5+MIN(2,ROUNDDOWN(I2057,0))*3)*$J2057^3</f>
      </c>
      <c r="M2057" s="7">
        <f>SQRT(K2057^2+L2057^2)</f>
      </c>
      <c r="N2057" s="7">
        <f>(K2058-K2056)</f>
      </c>
      <c r="O2057" s="7">
        <f>+(L2058-L2056)</f>
      </c>
      <c r="P2057" s="7">
        <f>SQRT(O2057^2+N2057^2)</f>
      </c>
      <c r="Q2057" s="7">
        <f>N2057/$P2057</f>
      </c>
      <c r="R2057" s="7">
        <f>O2057/$P2057</f>
      </c>
      <c r="S2057" s="7">
        <f>Q2057^2+R2057^2</f>
      </c>
      <c r="T2057" s="7">
        <f>-R2057</f>
      </c>
      <c r="U2057" s="7">
        <f>Q2057</f>
      </c>
      <c r="V2057" s="7">
        <f>($C$14+($C$15-$C$14)/($D$15-$D$14)*(I2057-$D$14))/2</f>
      </c>
      <c r="W2057" s="7">
        <f>($B$22*I2057^4+$C$22*I2057^3+$D$22*I2057^2+$E$22*I2057+$F$22)/2</f>
      </c>
      <c r="X2057" s="7">
        <f>($W2057)*(T2057)</f>
      </c>
      <c r="Y2057" s="7">
        <f>($W2057)*(U2057)</f>
      </c>
      <c r="Z2057" s="7">
        <f>SQRT(X2057^2+Y2057^2)</f>
      </c>
      <c r="AA2057" s="7">
        <f>$K2057+$X2057</f>
      </c>
      <c r="AB2057" s="7">
        <f>$L2057+$Y2057</f>
      </c>
      <c r="AC2057" s="7">
        <f>$K2057-$X2057</f>
      </c>
      <c r="AD2057" s="7">
        <f>$L2057-$Y2057</f>
      </c>
      <c r="AE2057" s="7">
        <f>AA2057/39.3701</f>
      </c>
      <c r="AF2057" s="7">
        <f>AB2057/39.3701</f>
      </c>
      <c r="AG2057" s="7">
        <f>AC2057/39.3701</f>
      </c>
      <c r="AH2057" s="7">
        <f>AD2057/39.3701</f>
      </c>
      <c r="AI2057" s="1"/>
      <c r="AJ2057" s="1"/>
      <c r="AK2057" s="1"/>
      <c r="AL2057" s="1"/>
      <c r="AM2057" s="2"/>
      <c r="AN2057" s="1"/>
      <c r="AO2057" s="1"/>
      <c r="AP2057" s="1"/>
      <c r="AQ2057" s="1"/>
      <c r="AR2057" s="1"/>
      <c r="AS2057" s="1"/>
      <c r="AT2057" s="1"/>
      <c r="AU2057" s="1"/>
      <c r="AV2057" s="1"/>
      <c r="AW2057" s="1"/>
      <c r="AX2057" s="1"/>
      <c r="AY2057" s="1"/>
      <c r="AZ2057" s="1"/>
      <c r="BA2057" s="1"/>
      <c r="BB2057" s="1"/>
      <c r="BC2057" s="1"/>
      <c r="BD2057" s="1"/>
      <c r="BE2057" s="1"/>
    </row>
    <row x14ac:dyDescent="0.25" r="2058" customHeight="1" ht="18.75">
      <c r="A2058" s="1"/>
      <c r="B2058" s="2"/>
      <c r="C2058" s="2"/>
      <c r="D2058" s="2"/>
      <c r="E2058" s="2"/>
      <c r="F2058" s="2"/>
      <c r="G2058" s="1"/>
      <c r="H2058" s="1"/>
      <c r="I2058" s="7">
        <v>2.055</v>
      </c>
      <c r="J2058" s="7">
        <f>IF((I2058-ROUNDDOWN(I2058,0))=0, 0, (I2058-ROUNDDOWN(I2058,0)))</f>
      </c>
      <c r="K2058" s="7">
        <f>INDIRECT("C$"&amp;2+MIN(2,ROUNDDOWN(I2058,0))*3)*(-$J2058^3+3*$J2058^2-3*$J2058+1)+INDIRECT("C$"&amp;3+MIN(2,ROUNDDOWN(I2058,0))*3)*(3*$J2058^3-6*$J2058^2+3*$J2058)+INDIRECT("C$"&amp;4+MIN(2,ROUNDDOWN(I2058,0))*3)*(-3*$J2058^3+3*$J2058^2)+INDIRECT("C$"&amp;5+MIN(2,ROUNDDOWN(I2058,0))*3)*$J2058^3</f>
      </c>
      <c r="L2058" s="7">
        <f>INDIRECT("D$"&amp;2+MIN(2,ROUNDDOWN(I2058,0))*3)*(-$J2058^3+3*$J2058^2-3*$J2058+1)+INDIRECT("D$"&amp;3+MIN(2,ROUNDDOWN(I2058,0))*3)*(3*$J2058^3-6*$J2058^2+3*$J2058)+INDIRECT("D$"&amp;4+MIN(2,ROUNDDOWN(I2058,0))*3)*(-3*$J2058^3+3*$J2058^2)+INDIRECT("D$"&amp;5+MIN(2,ROUNDDOWN(I2058,0))*3)*$J2058^3</f>
      </c>
      <c r="M2058" s="7">
        <f>SQRT(K2058^2+L2058^2)</f>
      </c>
      <c r="N2058" s="7">
        <f>(K2059-K2057)</f>
      </c>
      <c r="O2058" s="7">
        <f>+(L2059-L2057)</f>
      </c>
      <c r="P2058" s="7">
        <f>SQRT(O2058^2+N2058^2)</f>
      </c>
      <c r="Q2058" s="7">
        <f>N2058/$P2058</f>
      </c>
      <c r="R2058" s="7">
        <f>O2058/$P2058</f>
      </c>
      <c r="S2058" s="7">
        <f>Q2058^2+R2058^2</f>
      </c>
      <c r="T2058" s="7">
        <f>-R2058</f>
      </c>
      <c r="U2058" s="7">
        <f>Q2058</f>
      </c>
      <c r="V2058" s="7">
        <f>($C$14+($C$15-$C$14)/($D$15-$D$14)*(I2058-$D$14))/2</f>
      </c>
      <c r="W2058" s="7">
        <f>($B$22*I2058^4+$C$22*I2058^3+$D$22*I2058^2+$E$22*I2058+$F$22)/2</f>
      </c>
      <c r="X2058" s="7">
        <f>($W2058)*(T2058)</f>
      </c>
      <c r="Y2058" s="7">
        <f>($W2058)*(U2058)</f>
      </c>
      <c r="Z2058" s="7">
        <f>SQRT(X2058^2+Y2058^2)</f>
      </c>
      <c r="AA2058" s="7">
        <f>$K2058+$X2058</f>
      </c>
      <c r="AB2058" s="7">
        <f>$L2058+$Y2058</f>
      </c>
      <c r="AC2058" s="7">
        <f>$K2058-$X2058</f>
      </c>
      <c r="AD2058" s="7">
        <f>$L2058-$Y2058</f>
      </c>
      <c r="AE2058" s="7">
        <f>AA2058/39.3701</f>
      </c>
      <c r="AF2058" s="7">
        <f>AB2058/39.3701</f>
      </c>
      <c r="AG2058" s="7">
        <f>AC2058/39.3701</f>
      </c>
      <c r="AH2058" s="7">
        <f>AD2058/39.3701</f>
      </c>
      <c r="AI2058" s="1"/>
      <c r="AJ2058" s="1"/>
      <c r="AK2058" s="1"/>
      <c r="AL2058" s="1"/>
      <c r="AM2058" s="2"/>
      <c r="AN2058" s="1"/>
      <c r="AO2058" s="1"/>
      <c r="AP2058" s="1"/>
      <c r="AQ2058" s="1"/>
      <c r="AR2058" s="1"/>
      <c r="AS2058" s="1"/>
      <c r="AT2058" s="1"/>
      <c r="AU2058" s="1"/>
      <c r="AV2058" s="1"/>
      <c r="AW2058" s="1"/>
      <c r="AX2058" s="1"/>
      <c r="AY2058" s="1"/>
      <c r="AZ2058" s="1"/>
      <c r="BA2058" s="1"/>
      <c r="BB2058" s="1"/>
      <c r="BC2058" s="1"/>
      <c r="BD2058" s="1"/>
      <c r="BE2058" s="1"/>
    </row>
    <row x14ac:dyDescent="0.25" r="2059" customHeight="1" ht="18.75">
      <c r="A2059" s="1"/>
      <c r="B2059" s="2"/>
      <c r="C2059" s="2"/>
      <c r="D2059" s="2"/>
      <c r="E2059" s="2"/>
      <c r="F2059" s="2"/>
      <c r="G2059" s="1"/>
      <c r="H2059" s="1"/>
      <c r="I2059" s="7">
        <v>2.056</v>
      </c>
      <c r="J2059" s="7">
        <f>IF((I2059-ROUNDDOWN(I2059,0))=0, 0, (I2059-ROUNDDOWN(I2059,0)))</f>
      </c>
      <c r="K2059" s="7">
        <f>INDIRECT("C$"&amp;2+MIN(2,ROUNDDOWN(I2059,0))*3)*(-$J2059^3+3*$J2059^2-3*$J2059+1)+INDIRECT("C$"&amp;3+MIN(2,ROUNDDOWN(I2059,0))*3)*(3*$J2059^3-6*$J2059^2+3*$J2059)+INDIRECT("C$"&amp;4+MIN(2,ROUNDDOWN(I2059,0))*3)*(-3*$J2059^3+3*$J2059^2)+INDIRECT("C$"&amp;5+MIN(2,ROUNDDOWN(I2059,0))*3)*$J2059^3</f>
      </c>
      <c r="L2059" s="7">
        <f>INDIRECT("D$"&amp;2+MIN(2,ROUNDDOWN(I2059,0))*3)*(-$J2059^3+3*$J2059^2-3*$J2059+1)+INDIRECT("D$"&amp;3+MIN(2,ROUNDDOWN(I2059,0))*3)*(3*$J2059^3-6*$J2059^2+3*$J2059)+INDIRECT("D$"&amp;4+MIN(2,ROUNDDOWN(I2059,0))*3)*(-3*$J2059^3+3*$J2059^2)+INDIRECT("D$"&amp;5+MIN(2,ROUNDDOWN(I2059,0))*3)*$J2059^3</f>
      </c>
      <c r="M2059" s="7">
        <f>SQRT(K2059^2+L2059^2)</f>
      </c>
      <c r="N2059" s="7">
        <f>(K2060-K2058)</f>
      </c>
      <c r="O2059" s="7">
        <f>+(L2060-L2058)</f>
      </c>
      <c r="P2059" s="7">
        <f>SQRT(O2059^2+N2059^2)</f>
      </c>
      <c r="Q2059" s="7">
        <f>N2059/$P2059</f>
      </c>
      <c r="R2059" s="7">
        <f>O2059/$P2059</f>
      </c>
      <c r="S2059" s="8">
        <f>Q2059^2+R2059^2</f>
      </c>
      <c r="T2059" s="7">
        <f>-R2059</f>
      </c>
      <c r="U2059" s="7">
        <f>Q2059</f>
      </c>
      <c r="V2059" s="7">
        <f>($C$14+($C$15-$C$14)/($D$15-$D$14)*(I2059-$D$14))/2</f>
      </c>
      <c r="W2059" s="7">
        <f>($B$22*I2059^4+$C$22*I2059^3+$D$22*I2059^2+$E$22*I2059+$F$22)/2</f>
      </c>
      <c r="X2059" s="7">
        <f>($W2059)*(T2059)</f>
      </c>
      <c r="Y2059" s="7">
        <f>($W2059)*(U2059)</f>
      </c>
      <c r="Z2059" s="7">
        <f>SQRT(X2059^2+Y2059^2)</f>
      </c>
      <c r="AA2059" s="7">
        <f>$K2059+$X2059</f>
      </c>
      <c r="AB2059" s="7">
        <f>$L2059+$Y2059</f>
      </c>
      <c r="AC2059" s="7">
        <f>$K2059-$X2059</f>
      </c>
      <c r="AD2059" s="7">
        <f>$L2059-$Y2059</f>
      </c>
      <c r="AE2059" s="7">
        <f>AA2059/39.3701</f>
      </c>
      <c r="AF2059" s="7">
        <f>AB2059/39.3701</f>
      </c>
      <c r="AG2059" s="7">
        <f>AC2059/39.3701</f>
      </c>
      <c r="AH2059" s="7">
        <f>AD2059/39.3701</f>
      </c>
      <c r="AI2059" s="1"/>
      <c r="AJ2059" s="1"/>
      <c r="AK2059" s="1"/>
      <c r="AL2059" s="1"/>
      <c r="AM2059" s="2"/>
      <c r="AN2059" s="1"/>
      <c r="AO2059" s="1"/>
      <c r="AP2059" s="1"/>
      <c r="AQ2059" s="1"/>
      <c r="AR2059" s="1"/>
      <c r="AS2059" s="1"/>
      <c r="AT2059" s="1"/>
      <c r="AU2059" s="1"/>
      <c r="AV2059" s="1"/>
      <c r="AW2059" s="1"/>
      <c r="AX2059" s="1"/>
      <c r="AY2059" s="1"/>
      <c r="AZ2059" s="1"/>
      <c r="BA2059" s="1"/>
      <c r="BB2059" s="1"/>
      <c r="BC2059" s="1"/>
      <c r="BD2059" s="1"/>
      <c r="BE2059" s="1"/>
    </row>
    <row x14ac:dyDescent="0.25" r="2060" customHeight="1" ht="18.75">
      <c r="A2060" s="1"/>
      <c r="B2060" s="2"/>
      <c r="C2060" s="2"/>
      <c r="D2060" s="2"/>
      <c r="E2060" s="2"/>
      <c r="F2060" s="2"/>
      <c r="G2060" s="1"/>
      <c r="H2060" s="1"/>
      <c r="I2060" s="7">
        <v>2.057</v>
      </c>
      <c r="J2060" s="7">
        <f>IF((I2060-ROUNDDOWN(I2060,0))=0, 0, (I2060-ROUNDDOWN(I2060,0)))</f>
      </c>
      <c r="K2060" s="7">
        <f>INDIRECT("C$"&amp;2+MIN(2,ROUNDDOWN(I2060,0))*3)*(-$J2060^3+3*$J2060^2-3*$J2060+1)+INDIRECT("C$"&amp;3+MIN(2,ROUNDDOWN(I2060,0))*3)*(3*$J2060^3-6*$J2060^2+3*$J2060)+INDIRECT("C$"&amp;4+MIN(2,ROUNDDOWN(I2060,0))*3)*(-3*$J2060^3+3*$J2060^2)+INDIRECT("C$"&amp;5+MIN(2,ROUNDDOWN(I2060,0))*3)*$J2060^3</f>
      </c>
      <c r="L2060" s="7">
        <f>INDIRECT("D$"&amp;2+MIN(2,ROUNDDOWN(I2060,0))*3)*(-$J2060^3+3*$J2060^2-3*$J2060+1)+INDIRECT("D$"&amp;3+MIN(2,ROUNDDOWN(I2060,0))*3)*(3*$J2060^3-6*$J2060^2+3*$J2060)+INDIRECT("D$"&amp;4+MIN(2,ROUNDDOWN(I2060,0))*3)*(-3*$J2060^3+3*$J2060^2)+INDIRECT("D$"&amp;5+MIN(2,ROUNDDOWN(I2060,0))*3)*$J2060^3</f>
      </c>
      <c r="M2060" s="7">
        <f>SQRT(K2060^2+L2060^2)</f>
      </c>
      <c r="N2060" s="7">
        <f>(K2061-K2059)</f>
      </c>
      <c r="O2060" s="7">
        <f>+(L2061-L2059)</f>
      </c>
      <c r="P2060" s="7">
        <f>SQRT(O2060^2+N2060^2)</f>
      </c>
      <c r="Q2060" s="7">
        <f>N2060/$P2060</f>
      </c>
      <c r="R2060" s="7">
        <f>O2060/$P2060</f>
      </c>
      <c r="S2060" s="7">
        <f>Q2060^2+R2060^2</f>
      </c>
      <c r="T2060" s="7">
        <f>-R2060</f>
      </c>
      <c r="U2060" s="7">
        <f>Q2060</f>
      </c>
      <c r="V2060" s="7">
        <f>($C$14+($C$15-$C$14)/($D$15-$D$14)*(I2060-$D$14))/2</f>
      </c>
      <c r="W2060" s="7">
        <f>($B$22*I2060^4+$C$22*I2060^3+$D$22*I2060^2+$E$22*I2060+$F$22)/2</f>
      </c>
      <c r="X2060" s="7">
        <f>($W2060)*(T2060)</f>
      </c>
      <c r="Y2060" s="7">
        <f>($W2060)*(U2060)</f>
      </c>
      <c r="Z2060" s="7">
        <f>SQRT(X2060^2+Y2060^2)</f>
      </c>
      <c r="AA2060" s="7">
        <f>$K2060+$X2060</f>
      </c>
      <c r="AB2060" s="7">
        <f>$L2060+$Y2060</f>
      </c>
      <c r="AC2060" s="7">
        <f>$K2060-$X2060</f>
      </c>
      <c r="AD2060" s="7">
        <f>$L2060-$Y2060</f>
      </c>
      <c r="AE2060" s="7">
        <f>AA2060/39.3701</f>
      </c>
      <c r="AF2060" s="7">
        <f>AB2060/39.3701</f>
      </c>
      <c r="AG2060" s="7">
        <f>AC2060/39.3701</f>
      </c>
      <c r="AH2060" s="7">
        <f>AD2060/39.3701</f>
      </c>
      <c r="AI2060" s="1"/>
      <c r="AJ2060" s="1"/>
      <c r="AK2060" s="1"/>
      <c r="AL2060" s="1"/>
      <c r="AM2060" s="2"/>
      <c r="AN2060" s="1"/>
      <c r="AO2060" s="1"/>
      <c r="AP2060" s="1"/>
      <c r="AQ2060" s="1"/>
      <c r="AR2060" s="1"/>
      <c r="AS2060" s="1"/>
      <c r="AT2060" s="1"/>
      <c r="AU2060" s="1"/>
      <c r="AV2060" s="1"/>
      <c r="AW2060" s="1"/>
      <c r="AX2060" s="1"/>
      <c r="AY2060" s="1"/>
      <c r="AZ2060" s="1"/>
      <c r="BA2060" s="1"/>
      <c r="BB2060" s="1"/>
      <c r="BC2060" s="1"/>
      <c r="BD2060" s="1"/>
      <c r="BE2060" s="1"/>
    </row>
    <row x14ac:dyDescent="0.25" r="2061" customHeight="1" ht="18.75">
      <c r="A2061" s="1"/>
      <c r="B2061" s="2"/>
      <c r="C2061" s="2"/>
      <c r="D2061" s="2"/>
      <c r="E2061" s="2"/>
      <c r="F2061" s="2"/>
      <c r="G2061" s="1"/>
      <c r="H2061" s="1"/>
      <c r="I2061" s="7">
        <v>2.058</v>
      </c>
      <c r="J2061" s="7">
        <f>IF((I2061-ROUNDDOWN(I2061,0))=0, 0, (I2061-ROUNDDOWN(I2061,0)))</f>
      </c>
      <c r="K2061" s="7">
        <f>INDIRECT("C$"&amp;2+MIN(2,ROUNDDOWN(I2061,0))*3)*(-$J2061^3+3*$J2061^2-3*$J2061+1)+INDIRECT("C$"&amp;3+MIN(2,ROUNDDOWN(I2061,0))*3)*(3*$J2061^3-6*$J2061^2+3*$J2061)+INDIRECT("C$"&amp;4+MIN(2,ROUNDDOWN(I2061,0))*3)*(-3*$J2061^3+3*$J2061^2)+INDIRECT("C$"&amp;5+MIN(2,ROUNDDOWN(I2061,0))*3)*$J2061^3</f>
      </c>
      <c r="L2061" s="7">
        <f>INDIRECT("D$"&amp;2+MIN(2,ROUNDDOWN(I2061,0))*3)*(-$J2061^3+3*$J2061^2-3*$J2061+1)+INDIRECT("D$"&amp;3+MIN(2,ROUNDDOWN(I2061,0))*3)*(3*$J2061^3-6*$J2061^2+3*$J2061)+INDIRECT("D$"&amp;4+MIN(2,ROUNDDOWN(I2061,0))*3)*(-3*$J2061^3+3*$J2061^2)+INDIRECT("D$"&amp;5+MIN(2,ROUNDDOWN(I2061,0))*3)*$J2061^3</f>
      </c>
      <c r="M2061" s="7">
        <f>SQRT(K2061^2+L2061^2)</f>
      </c>
      <c r="N2061" s="7">
        <f>(K2062-K2060)</f>
      </c>
      <c r="O2061" s="7">
        <f>+(L2062-L2060)</f>
      </c>
      <c r="P2061" s="7">
        <f>SQRT(O2061^2+N2061^2)</f>
      </c>
      <c r="Q2061" s="7">
        <f>N2061/$P2061</f>
      </c>
      <c r="R2061" s="7">
        <f>O2061/$P2061</f>
      </c>
      <c r="S2061" s="8">
        <f>Q2061^2+R2061^2</f>
      </c>
      <c r="T2061" s="7">
        <f>-R2061</f>
      </c>
      <c r="U2061" s="7">
        <f>Q2061</f>
      </c>
      <c r="V2061" s="7">
        <f>($C$14+($C$15-$C$14)/($D$15-$D$14)*(I2061-$D$14))/2</f>
      </c>
      <c r="W2061" s="7">
        <f>($B$22*I2061^4+$C$22*I2061^3+$D$22*I2061^2+$E$22*I2061+$F$22)/2</f>
      </c>
      <c r="X2061" s="7">
        <f>($W2061)*(T2061)</f>
      </c>
      <c r="Y2061" s="7">
        <f>($W2061)*(U2061)</f>
      </c>
      <c r="Z2061" s="7">
        <f>SQRT(X2061^2+Y2061^2)</f>
      </c>
      <c r="AA2061" s="7">
        <f>$K2061+$X2061</f>
      </c>
      <c r="AB2061" s="7">
        <f>$L2061+$Y2061</f>
      </c>
      <c r="AC2061" s="7">
        <f>$K2061-$X2061</f>
      </c>
      <c r="AD2061" s="7">
        <f>$L2061-$Y2061</f>
      </c>
      <c r="AE2061" s="7">
        <f>AA2061/39.3701</f>
      </c>
      <c r="AF2061" s="7">
        <f>AB2061/39.3701</f>
      </c>
      <c r="AG2061" s="7">
        <f>AC2061/39.3701</f>
      </c>
      <c r="AH2061" s="7">
        <f>AD2061/39.3701</f>
      </c>
      <c r="AI2061" s="1"/>
      <c r="AJ2061" s="1"/>
      <c r="AK2061" s="1"/>
      <c r="AL2061" s="1"/>
      <c r="AM2061" s="2"/>
      <c r="AN2061" s="1"/>
      <c r="AO2061" s="1"/>
      <c r="AP2061" s="1"/>
      <c r="AQ2061" s="1"/>
      <c r="AR2061" s="1"/>
      <c r="AS2061" s="1"/>
      <c r="AT2061" s="1"/>
      <c r="AU2061" s="1"/>
      <c r="AV2061" s="1"/>
      <c r="AW2061" s="1"/>
      <c r="AX2061" s="1"/>
      <c r="AY2061" s="1"/>
      <c r="AZ2061" s="1"/>
      <c r="BA2061" s="1"/>
      <c r="BB2061" s="1"/>
      <c r="BC2061" s="1"/>
      <c r="BD2061" s="1"/>
      <c r="BE2061" s="1"/>
    </row>
    <row x14ac:dyDescent="0.25" r="2062" customHeight="1" ht="18.75">
      <c r="A2062" s="1"/>
      <c r="B2062" s="2"/>
      <c r="C2062" s="2"/>
      <c r="D2062" s="2"/>
      <c r="E2062" s="2"/>
      <c r="F2062" s="2"/>
      <c r="G2062" s="1"/>
      <c r="H2062" s="1"/>
      <c r="I2062" s="7">
        <v>2.059</v>
      </c>
      <c r="J2062" s="7">
        <f>IF((I2062-ROUNDDOWN(I2062,0))=0, 0, (I2062-ROUNDDOWN(I2062,0)))</f>
      </c>
      <c r="K2062" s="7">
        <f>INDIRECT("C$"&amp;2+MIN(2,ROUNDDOWN(I2062,0))*3)*(-$J2062^3+3*$J2062^2-3*$J2062+1)+INDIRECT("C$"&amp;3+MIN(2,ROUNDDOWN(I2062,0))*3)*(3*$J2062^3-6*$J2062^2+3*$J2062)+INDIRECT("C$"&amp;4+MIN(2,ROUNDDOWN(I2062,0))*3)*(-3*$J2062^3+3*$J2062^2)+INDIRECT("C$"&amp;5+MIN(2,ROUNDDOWN(I2062,0))*3)*$J2062^3</f>
      </c>
      <c r="L2062" s="7">
        <f>INDIRECT("D$"&amp;2+MIN(2,ROUNDDOWN(I2062,0))*3)*(-$J2062^3+3*$J2062^2-3*$J2062+1)+INDIRECT("D$"&amp;3+MIN(2,ROUNDDOWN(I2062,0))*3)*(3*$J2062^3-6*$J2062^2+3*$J2062)+INDIRECT("D$"&amp;4+MIN(2,ROUNDDOWN(I2062,0))*3)*(-3*$J2062^3+3*$J2062^2)+INDIRECT("D$"&amp;5+MIN(2,ROUNDDOWN(I2062,0))*3)*$J2062^3</f>
      </c>
      <c r="M2062" s="7">
        <f>SQRT(K2062^2+L2062^2)</f>
      </c>
      <c r="N2062" s="7">
        <f>(K2063-K2061)</f>
      </c>
      <c r="O2062" s="7">
        <f>+(L2063-L2061)</f>
      </c>
      <c r="P2062" s="7">
        <f>SQRT(O2062^2+N2062^2)</f>
      </c>
      <c r="Q2062" s="7">
        <f>N2062/$P2062</f>
      </c>
      <c r="R2062" s="7">
        <f>O2062/$P2062</f>
      </c>
      <c r="S2062" s="7">
        <f>Q2062^2+R2062^2</f>
      </c>
      <c r="T2062" s="7">
        <f>-R2062</f>
      </c>
      <c r="U2062" s="7">
        <f>Q2062</f>
      </c>
      <c r="V2062" s="7">
        <f>($C$14+($C$15-$C$14)/($D$15-$D$14)*(I2062-$D$14))/2</f>
      </c>
      <c r="W2062" s="7">
        <f>($B$22*I2062^4+$C$22*I2062^3+$D$22*I2062^2+$E$22*I2062+$F$22)/2</f>
      </c>
      <c r="X2062" s="7">
        <f>($W2062)*(T2062)</f>
      </c>
      <c r="Y2062" s="7">
        <f>($W2062)*(U2062)</f>
      </c>
      <c r="Z2062" s="7">
        <f>SQRT(X2062^2+Y2062^2)</f>
      </c>
      <c r="AA2062" s="7">
        <f>$K2062+$X2062</f>
      </c>
      <c r="AB2062" s="7">
        <f>$L2062+$Y2062</f>
      </c>
      <c r="AC2062" s="7">
        <f>$K2062-$X2062</f>
      </c>
      <c r="AD2062" s="7">
        <f>$L2062-$Y2062</f>
      </c>
      <c r="AE2062" s="7">
        <f>AA2062/39.3701</f>
      </c>
      <c r="AF2062" s="7">
        <f>AB2062/39.3701</f>
      </c>
      <c r="AG2062" s="7">
        <f>AC2062/39.3701</f>
      </c>
      <c r="AH2062" s="7">
        <f>AD2062/39.3701</f>
      </c>
      <c r="AI2062" s="1"/>
      <c r="AJ2062" s="1"/>
      <c r="AK2062" s="1"/>
      <c r="AL2062" s="1"/>
      <c r="AM2062" s="2"/>
      <c r="AN2062" s="1"/>
      <c r="AO2062" s="1"/>
      <c r="AP2062" s="1"/>
      <c r="AQ2062" s="1"/>
      <c r="AR2062" s="1"/>
      <c r="AS2062" s="1"/>
      <c r="AT2062" s="1"/>
      <c r="AU2062" s="1"/>
      <c r="AV2062" s="1"/>
      <c r="AW2062" s="1"/>
      <c r="AX2062" s="1"/>
      <c r="AY2062" s="1"/>
      <c r="AZ2062" s="1"/>
      <c r="BA2062" s="1"/>
      <c r="BB2062" s="1"/>
      <c r="BC2062" s="1"/>
      <c r="BD2062" s="1"/>
      <c r="BE2062" s="1"/>
    </row>
    <row x14ac:dyDescent="0.25" r="2063" customHeight="1" ht="18.75">
      <c r="A2063" s="1"/>
      <c r="B2063" s="2"/>
      <c r="C2063" s="2"/>
      <c r="D2063" s="2"/>
      <c r="E2063" s="2"/>
      <c r="F2063" s="2"/>
      <c r="G2063" s="1"/>
      <c r="H2063" s="1"/>
      <c r="I2063" s="7">
        <v>2.06</v>
      </c>
      <c r="J2063" s="7">
        <f>IF((I2063-ROUNDDOWN(I2063,0))=0, 0, (I2063-ROUNDDOWN(I2063,0)))</f>
      </c>
      <c r="K2063" s="7">
        <f>INDIRECT("C$"&amp;2+MIN(2,ROUNDDOWN(I2063,0))*3)*(-$J2063^3+3*$J2063^2-3*$J2063+1)+INDIRECT("C$"&amp;3+MIN(2,ROUNDDOWN(I2063,0))*3)*(3*$J2063^3-6*$J2063^2+3*$J2063)+INDIRECT("C$"&amp;4+MIN(2,ROUNDDOWN(I2063,0))*3)*(-3*$J2063^3+3*$J2063^2)+INDIRECT("C$"&amp;5+MIN(2,ROUNDDOWN(I2063,0))*3)*$J2063^3</f>
      </c>
      <c r="L2063" s="7">
        <f>INDIRECT("D$"&amp;2+MIN(2,ROUNDDOWN(I2063,0))*3)*(-$J2063^3+3*$J2063^2-3*$J2063+1)+INDIRECT("D$"&amp;3+MIN(2,ROUNDDOWN(I2063,0))*3)*(3*$J2063^3-6*$J2063^2+3*$J2063)+INDIRECT("D$"&amp;4+MIN(2,ROUNDDOWN(I2063,0))*3)*(-3*$J2063^3+3*$J2063^2)+INDIRECT("D$"&amp;5+MIN(2,ROUNDDOWN(I2063,0))*3)*$J2063^3</f>
      </c>
      <c r="M2063" s="7">
        <f>SQRT(K2063^2+L2063^2)</f>
      </c>
      <c r="N2063" s="7">
        <f>(K2064-K2062)</f>
      </c>
      <c r="O2063" s="7">
        <f>+(L2064-L2062)</f>
      </c>
      <c r="P2063" s="7">
        <f>SQRT(O2063^2+N2063^2)</f>
      </c>
      <c r="Q2063" s="7">
        <f>N2063/$P2063</f>
      </c>
      <c r="R2063" s="7">
        <f>O2063/$P2063</f>
      </c>
      <c r="S2063" s="7">
        <f>Q2063^2+R2063^2</f>
      </c>
      <c r="T2063" s="7">
        <f>-R2063</f>
      </c>
      <c r="U2063" s="7">
        <f>Q2063</f>
      </c>
      <c r="V2063" s="7">
        <f>($C$14+($C$15-$C$14)/($D$15-$D$14)*(I2063-$D$14))/2</f>
      </c>
      <c r="W2063" s="7">
        <f>($B$22*I2063^4+$C$22*I2063^3+$D$22*I2063^2+$E$22*I2063+$F$22)/2</f>
      </c>
      <c r="X2063" s="7">
        <f>($W2063)*(T2063)</f>
      </c>
      <c r="Y2063" s="7">
        <f>($W2063)*(U2063)</f>
      </c>
      <c r="Z2063" s="7">
        <f>SQRT(X2063^2+Y2063^2)</f>
      </c>
      <c r="AA2063" s="7">
        <f>$K2063+$X2063</f>
      </c>
      <c r="AB2063" s="7">
        <f>$L2063+$Y2063</f>
      </c>
      <c r="AC2063" s="7">
        <f>$K2063-$X2063</f>
      </c>
      <c r="AD2063" s="7">
        <f>$L2063-$Y2063</f>
      </c>
      <c r="AE2063" s="7">
        <f>AA2063/39.3701</f>
      </c>
      <c r="AF2063" s="7">
        <f>AB2063/39.3701</f>
      </c>
      <c r="AG2063" s="7">
        <f>AC2063/39.3701</f>
      </c>
      <c r="AH2063" s="7">
        <f>AD2063/39.3701</f>
      </c>
      <c r="AI2063" s="1"/>
      <c r="AJ2063" s="1"/>
      <c r="AK2063" s="1"/>
      <c r="AL2063" s="1"/>
      <c r="AM2063" s="2"/>
      <c r="AN2063" s="1"/>
      <c r="AO2063" s="1"/>
      <c r="AP2063" s="1"/>
      <c r="AQ2063" s="1"/>
      <c r="AR2063" s="1"/>
      <c r="AS2063" s="1"/>
      <c r="AT2063" s="1"/>
      <c r="AU2063" s="1"/>
      <c r="AV2063" s="1"/>
      <c r="AW2063" s="1"/>
      <c r="AX2063" s="1"/>
      <c r="AY2063" s="1"/>
      <c r="AZ2063" s="1"/>
      <c r="BA2063" s="1"/>
      <c r="BB2063" s="1"/>
      <c r="BC2063" s="1"/>
      <c r="BD2063" s="1"/>
      <c r="BE2063" s="1"/>
    </row>
    <row x14ac:dyDescent="0.25" r="2064" customHeight="1" ht="18.75">
      <c r="A2064" s="1"/>
      <c r="B2064" s="2"/>
      <c r="C2064" s="2"/>
      <c r="D2064" s="2"/>
      <c r="E2064" s="2"/>
      <c r="F2064" s="2"/>
      <c r="G2064" s="1"/>
      <c r="H2064" s="1"/>
      <c r="I2064" s="7">
        <v>2.061</v>
      </c>
      <c r="J2064" s="7">
        <f>IF((I2064-ROUNDDOWN(I2064,0))=0, 0, (I2064-ROUNDDOWN(I2064,0)))</f>
      </c>
      <c r="K2064" s="7">
        <f>INDIRECT("C$"&amp;2+MIN(2,ROUNDDOWN(I2064,0))*3)*(-$J2064^3+3*$J2064^2-3*$J2064+1)+INDIRECT("C$"&amp;3+MIN(2,ROUNDDOWN(I2064,0))*3)*(3*$J2064^3-6*$J2064^2+3*$J2064)+INDIRECT("C$"&amp;4+MIN(2,ROUNDDOWN(I2064,0))*3)*(-3*$J2064^3+3*$J2064^2)+INDIRECT("C$"&amp;5+MIN(2,ROUNDDOWN(I2064,0))*3)*$J2064^3</f>
      </c>
      <c r="L2064" s="7">
        <f>INDIRECT("D$"&amp;2+MIN(2,ROUNDDOWN(I2064,0))*3)*(-$J2064^3+3*$J2064^2-3*$J2064+1)+INDIRECT("D$"&amp;3+MIN(2,ROUNDDOWN(I2064,0))*3)*(3*$J2064^3-6*$J2064^2+3*$J2064)+INDIRECT("D$"&amp;4+MIN(2,ROUNDDOWN(I2064,0))*3)*(-3*$J2064^3+3*$J2064^2)+INDIRECT("D$"&amp;5+MIN(2,ROUNDDOWN(I2064,0))*3)*$J2064^3</f>
      </c>
      <c r="M2064" s="7">
        <f>SQRT(K2064^2+L2064^2)</f>
      </c>
      <c r="N2064" s="7">
        <f>(K2065-K2063)</f>
      </c>
      <c r="O2064" s="7">
        <f>+(L2065-L2063)</f>
      </c>
      <c r="P2064" s="7">
        <f>SQRT(O2064^2+N2064^2)</f>
      </c>
      <c r="Q2064" s="7">
        <f>N2064/$P2064</f>
      </c>
      <c r="R2064" s="7">
        <f>O2064/$P2064</f>
      </c>
      <c r="S2064" s="7">
        <f>Q2064^2+R2064^2</f>
      </c>
      <c r="T2064" s="7">
        <f>-R2064</f>
      </c>
      <c r="U2064" s="7">
        <f>Q2064</f>
      </c>
      <c r="V2064" s="7">
        <f>($C$14+($C$15-$C$14)/($D$15-$D$14)*(I2064-$D$14))/2</f>
      </c>
      <c r="W2064" s="7">
        <f>($B$22*I2064^4+$C$22*I2064^3+$D$22*I2064^2+$E$22*I2064+$F$22)/2</f>
      </c>
      <c r="X2064" s="7">
        <f>($W2064)*(T2064)</f>
      </c>
      <c r="Y2064" s="7">
        <f>($W2064)*(U2064)</f>
      </c>
      <c r="Z2064" s="7">
        <f>SQRT(X2064^2+Y2064^2)</f>
      </c>
      <c r="AA2064" s="7">
        <f>$K2064+$X2064</f>
      </c>
      <c r="AB2064" s="7">
        <f>$L2064+$Y2064</f>
      </c>
      <c r="AC2064" s="7">
        <f>$K2064-$X2064</f>
      </c>
      <c r="AD2064" s="7">
        <f>$L2064-$Y2064</f>
      </c>
      <c r="AE2064" s="7">
        <f>AA2064/39.3701</f>
      </c>
      <c r="AF2064" s="7">
        <f>AB2064/39.3701</f>
      </c>
      <c r="AG2064" s="7">
        <f>AC2064/39.3701</f>
      </c>
      <c r="AH2064" s="7">
        <f>AD2064/39.3701</f>
      </c>
      <c r="AI2064" s="1"/>
      <c r="AJ2064" s="1"/>
      <c r="AK2064" s="1"/>
      <c r="AL2064" s="1"/>
      <c r="AM2064" s="2"/>
      <c r="AN2064" s="1"/>
      <c r="AO2064" s="1"/>
      <c r="AP2064" s="1"/>
      <c r="AQ2064" s="1"/>
      <c r="AR2064" s="1"/>
      <c r="AS2064" s="1"/>
      <c r="AT2064" s="1"/>
      <c r="AU2064" s="1"/>
      <c r="AV2064" s="1"/>
      <c r="AW2064" s="1"/>
      <c r="AX2064" s="1"/>
      <c r="AY2064" s="1"/>
      <c r="AZ2064" s="1"/>
      <c r="BA2064" s="1"/>
      <c r="BB2064" s="1"/>
      <c r="BC2064" s="1"/>
      <c r="BD2064" s="1"/>
      <c r="BE2064" s="1"/>
    </row>
    <row x14ac:dyDescent="0.25" r="2065" customHeight="1" ht="18.75">
      <c r="A2065" s="1"/>
      <c r="B2065" s="2"/>
      <c r="C2065" s="2"/>
      <c r="D2065" s="2"/>
      <c r="E2065" s="2"/>
      <c r="F2065" s="2"/>
      <c r="G2065" s="1"/>
      <c r="H2065" s="1"/>
      <c r="I2065" s="7">
        <v>2.062</v>
      </c>
      <c r="J2065" s="7">
        <f>IF((I2065-ROUNDDOWN(I2065,0))=0, 0, (I2065-ROUNDDOWN(I2065,0)))</f>
      </c>
      <c r="K2065" s="7">
        <f>INDIRECT("C$"&amp;2+MIN(2,ROUNDDOWN(I2065,0))*3)*(-$J2065^3+3*$J2065^2-3*$J2065+1)+INDIRECT("C$"&amp;3+MIN(2,ROUNDDOWN(I2065,0))*3)*(3*$J2065^3-6*$J2065^2+3*$J2065)+INDIRECT("C$"&amp;4+MIN(2,ROUNDDOWN(I2065,0))*3)*(-3*$J2065^3+3*$J2065^2)+INDIRECT("C$"&amp;5+MIN(2,ROUNDDOWN(I2065,0))*3)*$J2065^3</f>
      </c>
      <c r="L2065" s="7">
        <f>INDIRECT("D$"&amp;2+MIN(2,ROUNDDOWN(I2065,0))*3)*(-$J2065^3+3*$J2065^2-3*$J2065+1)+INDIRECT("D$"&amp;3+MIN(2,ROUNDDOWN(I2065,0))*3)*(3*$J2065^3-6*$J2065^2+3*$J2065)+INDIRECT("D$"&amp;4+MIN(2,ROUNDDOWN(I2065,0))*3)*(-3*$J2065^3+3*$J2065^2)+INDIRECT("D$"&amp;5+MIN(2,ROUNDDOWN(I2065,0))*3)*$J2065^3</f>
      </c>
      <c r="M2065" s="7">
        <f>SQRT(K2065^2+L2065^2)</f>
      </c>
      <c r="N2065" s="7">
        <f>(K2066-K2064)</f>
      </c>
      <c r="O2065" s="7">
        <f>+(L2066-L2064)</f>
      </c>
      <c r="P2065" s="7">
        <f>SQRT(O2065^2+N2065^2)</f>
      </c>
      <c r="Q2065" s="7">
        <f>N2065/$P2065</f>
      </c>
      <c r="R2065" s="7">
        <f>O2065/$P2065</f>
      </c>
      <c r="S2065" s="7">
        <f>Q2065^2+R2065^2</f>
      </c>
      <c r="T2065" s="7">
        <f>-R2065</f>
      </c>
      <c r="U2065" s="7">
        <f>Q2065</f>
      </c>
      <c r="V2065" s="7">
        <f>($C$14+($C$15-$C$14)/($D$15-$D$14)*(I2065-$D$14))/2</f>
      </c>
      <c r="W2065" s="7">
        <f>($B$22*I2065^4+$C$22*I2065^3+$D$22*I2065^2+$E$22*I2065+$F$22)/2</f>
      </c>
      <c r="X2065" s="7">
        <f>($W2065)*(T2065)</f>
      </c>
      <c r="Y2065" s="7">
        <f>($W2065)*(U2065)</f>
      </c>
      <c r="Z2065" s="7">
        <f>SQRT(X2065^2+Y2065^2)</f>
      </c>
      <c r="AA2065" s="7">
        <f>$K2065+$X2065</f>
      </c>
      <c r="AB2065" s="7">
        <f>$L2065+$Y2065</f>
      </c>
      <c r="AC2065" s="7">
        <f>$K2065-$X2065</f>
      </c>
      <c r="AD2065" s="7">
        <f>$L2065-$Y2065</f>
      </c>
      <c r="AE2065" s="7">
        <f>AA2065/39.3701</f>
      </c>
      <c r="AF2065" s="7">
        <f>AB2065/39.3701</f>
      </c>
      <c r="AG2065" s="7">
        <f>AC2065/39.3701</f>
      </c>
      <c r="AH2065" s="7">
        <f>AD2065/39.3701</f>
      </c>
      <c r="AI2065" s="1"/>
      <c r="AJ2065" s="1"/>
      <c r="AK2065" s="1"/>
      <c r="AL2065" s="1"/>
      <c r="AM2065" s="2"/>
      <c r="AN2065" s="1"/>
      <c r="AO2065" s="1"/>
      <c r="AP2065" s="1"/>
      <c r="AQ2065" s="1"/>
      <c r="AR2065" s="1"/>
      <c r="AS2065" s="1"/>
      <c r="AT2065" s="1"/>
      <c r="AU2065" s="1"/>
      <c r="AV2065" s="1"/>
      <c r="AW2065" s="1"/>
      <c r="AX2065" s="1"/>
      <c r="AY2065" s="1"/>
      <c r="AZ2065" s="1"/>
      <c r="BA2065" s="1"/>
      <c r="BB2065" s="1"/>
      <c r="BC2065" s="1"/>
      <c r="BD2065" s="1"/>
      <c r="BE2065" s="1"/>
    </row>
    <row x14ac:dyDescent="0.25" r="2066" customHeight="1" ht="18.75">
      <c r="A2066" s="1"/>
      <c r="B2066" s="2"/>
      <c r="C2066" s="2"/>
      <c r="D2066" s="2"/>
      <c r="E2066" s="2"/>
      <c r="F2066" s="2"/>
      <c r="G2066" s="1"/>
      <c r="H2066" s="1"/>
      <c r="I2066" s="7">
        <v>2.063</v>
      </c>
      <c r="J2066" s="7">
        <f>IF((I2066-ROUNDDOWN(I2066,0))=0, 0, (I2066-ROUNDDOWN(I2066,0)))</f>
      </c>
      <c r="K2066" s="7">
        <f>INDIRECT("C$"&amp;2+MIN(2,ROUNDDOWN(I2066,0))*3)*(-$J2066^3+3*$J2066^2-3*$J2066+1)+INDIRECT("C$"&amp;3+MIN(2,ROUNDDOWN(I2066,0))*3)*(3*$J2066^3-6*$J2066^2+3*$J2066)+INDIRECT("C$"&amp;4+MIN(2,ROUNDDOWN(I2066,0))*3)*(-3*$J2066^3+3*$J2066^2)+INDIRECT("C$"&amp;5+MIN(2,ROUNDDOWN(I2066,0))*3)*$J2066^3</f>
      </c>
      <c r="L2066" s="7">
        <f>INDIRECT("D$"&amp;2+MIN(2,ROUNDDOWN(I2066,0))*3)*(-$J2066^3+3*$J2066^2-3*$J2066+1)+INDIRECT("D$"&amp;3+MIN(2,ROUNDDOWN(I2066,0))*3)*(3*$J2066^3-6*$J2066^2+3*$J2066)+INDIRECT("D$"&amp;4+MIN(2,ROUNDDOWN(I2066,0))*3)*(-3*$J2066^3+3*$J2066^2)+INDIRECT("D$"&amp;5+MIN(2,ROUNDDOWN(I2066,0))*3)*$J2066^3</f>
      </c>
      <c r="M2066" s="7">
        <f>SQRT(K2066^2+L2066^2)</f>
      </c>
      <c r="N2066" s="7">
        <f>(K2067-K2065)</f>
      </c>
      <c r="O2066" s="7">
        <f>+(L2067-L2065)</f>
      </c>
      <c r="P2066" s="7">
        <f>SQRT(O2066^2+N2066^2)</f>
      </c>
      <c r="Q2066" s="7">
        <f>N2066/$P2066</f>
      </c>
      <c r="R2066" s="7">
        <f>O2066/$P2066</f>
      </c>
      <c r="S2066" s="7">
        <f>Q2066^2+R2066^2</f>
      </c>
      <c r="T2066" s="7">
        <f>-R2066</f>
      </c>
      <c r="U2066" s="7">
        <f>Q2066</f>
      </c>
      <c r="V2066" s="7">
        <f>($C$14+($C$15-$C$14)/($D$15-$D$14)*(I2066-$D$14))/2</f>
      </c>
      <c r="W2066" s="7">
        <f>($B$22*I2066^4+$C$22*I2066^3+$D$22*I2066^2+$E$22*I2066+$F$22)/2</f>
      </c>
      <c r="X2066" s="7">
        <f>($W2066)*(T2066)</f>
      </c>
      <c r="Y2066" s="7">
        <f>($W2066)*(U2066)</f>
      </c>
      <c r="Z2066" s="7">
        <f>SQRT(X2066^2+Y2066^2)</f>
      </c>
      <c r="AA2066" s="7">
        <f>$K2066+$X2066</f>
      </c>
      <c r="AB2066" s="7">
        <f>$L2066+$Y2066</f>
      </c>
      <c r="AC2066" s="7">
        <f>$K2066-$X2066</f>
      </c>
      <c r="AD2066" s="7">
        <f>$L2066-$Y2066</f>
      </c>
      <c r="AE2066" s="7">
        <f>AA2066/39.3701</f>
      </c>
      <c r="AF2066" s="7">
        <f>AB2066/39.3701</f>
      </c>
      <c r="AG2066" s="7">
        <f>AC2066/39.3701</f>
      </c>
      <c r="AH2066" s="7">
        <f>AD2066/39.3701</f>
      </c>
      <c r="AI2066" s="1"/>
      <c r="AJ2066" s="1"/>
      <c r="AK2066" s="1"/>
      <c r="AL2066" s="1"/>
      <c r="AM2066" s="2"/>
      <c r="AN2066" s="1"/>
      <c r="AO2066" s="1"/>
      <c r="AP2066" s="1"/>
      <c r="AQ2066" s="1"/>
      <c r="AR2066" s="1"/>
      <c r="AS2066" s="1"/>
      <c r="AT2066" s="1"/>
      <c r="AU2066" s="1"/>
      <c r="AV2066" s="1"/>
      <c r="AW2066" s="1"/>
      <c r="AX2066" s="1"/>
      <c r="AY2066" s="1"/>
      <c r="AZ2066" s="1"/>
      <c r="BA2066" s="1"/>
      <c r="BB2066" s="1"/>
      <c r="BC2066" s="1"/>
      <c r="BD2066" s="1"/>
      <c r="BE2066" s="1"/>
    </row>
    <row x14ac:dyDescent="0.25" r="2067" customHeight="1" ht="18.75">
      <c r="A2067" s="1"/>
      <c r="B2067" s="2"/>
      <c r="C2067" s="2"/>
      <c r="D2067" s="2"/>
      <c r="E2067" s="2"/>
      <c r="F2067" s="2"/>
      <c r="G2067" s="1"/>
      <c r="H2067" s="1"/>
      <c r="I2067" s="7">
        <v>2.064</v>
      </c>
      <c r="J2067" s="7">
        <f>IF((I2067-ROUNDDOWN(I2067,0))=0, 0, (I2067-ROUNDDOWN(I2067,0)))</f>
      </c>
      <c r="K2067" s="7">
        <f>INDIRECT("C$"&amp;2+MIN(2,ROUNDDOWN(I2067,0))*3)*(-$J2067^3+3*$J2067^2-3*$J2067+1)+INDIRECT("C$"&amp;3+MIN(2,ROUNDDOWN(I2067,0))*3)*(3*$J2067^3-6*$J2067^2+3*$J2067)+INDIRECT("C$"&amp;4+MIN(2,ROUNDDOWN(I2067,0))*3)*(-3*$J2067^3+3*$J2067^2)+INDIRECT("C$"&amp;5+MIN(2,ROUNDDOWN(I2067,0))*3)*$J2067^3</f>
      </c>
      <c r="L2067" s="7">
        <f>INDIRECT("D$"&amp;2+MIN(2,ROUNDDOWN(I2067,0))*3)*(-$J2067^3+3*$J2067^2-3*$J2067+1)+INDIRECT("D$"&amp;3+MIN(2,ROUNDDOWN(I2067,0))*3)*(3*$J2067^3-6*$J2067^2+3*$J2067)+INDIRECT("D$"&amp;4+MIN(2,ROUNDDOWN(I2067,0))*3)*(-3*$J2067^3+3*$J2067^2)+INDIRECT("D$"&amp;5+MIN(2,ROUNDDOWN(I2067,0))*3)*$J2067^3</f>
      </c>
      <c r="M2067" s="7">
        <f>SQRT(K2067^2+L2067^2)</f>
      </c>
      <c r="N2067" s="7">
        <f>(K2068-K2066)</f>
      </c>
      <c r="O2067" s="7">
        <f>+(L2068-L2066)</f>
      </c>
      <c r="P2067" s="7">
        <f>SQRT(O2067^2+N2067^2)</f>
      </c>
      <c r="Q2067" s="7">
        <f>N2067/$P2067</f>
      </c>
      <c r="R2067" s="7">
        <f>O2067/$P2067</f>
      </c>
      <c r="S2067" s="8">
        <f>Q2067^2+R2067^2</f>
      </c>
      <c r="T2067" s="7">
        <f>-R2067</f>
      </c>
      <c r="U2067" s="7">
        <f>Q2067</f>
      </c>
      <c r="V2067" s="7">
        <f>($C$14+($C$15-$C$14)/($D$15-$D$14)*(I2067-$D$14))/2</f>
      </c>
      <c r="W2067" s="7">
        <f>($B$22*I2067^4+$C$22*I2067^3+$D$22*I2067^2+$E$22*I2067+$F$22)/2</f>
      </c>
      <c r="X2067" s="7">
        <f>($W2067)*(T2067)</f>
      </c>
      <c r="Y2067" s="7">
        <f>($W2067)*(U2067)</f>
      </c>
      <c r="Z2067" s="7">
        <f>SQRT(X2067^2+Y2067^2)</f>
      </c>
      <c r="AA2067" s="7">
        <f>$K2067+$X2067</f>
      </c>
      <c r="AB2067" s="7">
        <f>$L2067+$Y2067</f>
      </c>
      <c r="AC2067" s="7">
        <f>$K2067-$X2067</f>
      </c>
      <c r="AD2067" s="7">
        <f>$L2067-$Y2067</f>
      </c>
      <c r="AE2067" s="7">
        <f>AA2067/39.3701</f>
      </c>
      <c r="AF2067" s="7">
        <f>AB2067/39.3701</f>
      </c>
      <c r="AG2067" s="7">
        <f>AC2067/39.3701</f>
      </c>
      <c r="AH2067" s="7">
        <f>AD2067/39.3701</f>
      </c>
      <c r="AI2067" s="1"/>
      <c r="AJ2067" s="1"/>
      <c r="AK2067" s="1"/>
      <c r="AL2067" s="1"/>
      <c r="AM2067" s="2"/>
      <c r="AN2067" s="1"/>
      <c r="AO2067" s="1"/>
      <c r="AP2067" s="1"/>
      <c r="AQ2067" s="1"/>
      <c r="AR2067" s="1"/>
      <c r="AS2067" s="1"/>
      <c r="AT2067" s="1"/>
      <c r="AU2067" s="1"/>
      <c r="AV2067" s="1"/>
      <c r="AW2067" s="1"/>
      <c r="AX2067" s="1"/>
      <c r="AY2067" s="1"/>
      <c r="AZ2067" s="1"/>
      <c r="BA2067" s="1"/>
      <c r="BB2067" s="1"/>
      <c r="BC2067" s="1"/>
      <c r="BD2067" s="1"/>
      <c r="BE2067" s="1"/>
    </row>
    <row x14ac:dyDescent="0.25" r="2068" customHeight="1" ht="18.75">
      <c r="A2068" s="1"/>
      <c r="B2068" s="2"/>
      <c r="C2068" s="2"/>
      <c r="D2068" s="2"/>
      <c r="E2068" s="2"/>
      <c r="F2068" s="2"/>
      <c r="G2068" s="1"/>
      <c r="H2068" s="1"/>
      <c r="I2068" s="7">
        <v>2.065</v>
      </c>
      <c r="J2068" s="7">
        <f>IF((I2068-ROUNDDOWN(I2068,0))=0, 0, (I2068-ROUNDDOWN(I2068,0)))</f>
      </c>
      <c r="K2068" s="7">
        <f>INDIRECT("C$"&amp;2+MIN(2,ROUNDDOWN(I2068,0))*3)*(-$J2068^3+3*$J2068^2-3*$J2068+1)+INDIRECT("C$"&amp;3+MIN(2,ROUNDDOWN(I2068,0))*3)*(3*$J2068^3-6*$J2068^2+3*$J2068)+INDIRECT("C$"&amp;4+MIN(2,ROUNDDOWN(I2068,0))*3)*(-3*$J2068^3+3*$J2068^2)+INDIRECT("C$"&amp;5+MIN(2,ROUNDDOWN(I2068,0))*3)*$J2068^3</f>
      </c>
      <c r="L2068" s="7">
        <f>INDIRECT("D$"&amp;2+MIN(2,ROUNDDOWN(I2068,0))*3)*(-$J2068^3+3*$J2068^2-3*$J2068+1)+INDIRECT("D$"&amp;3+MIN(2,ROUNDDOWN(I2068,0))*3)*(3*$J2068^3-6*$J2068^2+3*$J2068)+INDIRECT("D$"&amp;4+MIN(2,ROUNDDOWN(I2068,0))*3)*(-3*$J2068^3+3*$J2068^2)+INDIRECT("D$"&amp;5+MIN(2,ROUNDDOWN(I2068,0))*3)*$J2068^3</f>
      </c>
      <c r="M2068" s="7">
        <f>SQRT(K2068^2+L2068^2)</f>
      </c>
      <c r="N2068" s="7">
        <f>(K2069-K2067)</f>
      </c>
      <c r="O2068" s="7">
        <f>+(L2069-L2067)</f>
      </c>
      <c r="P2068" s="7">
        <f>SQRT(O2068^2+N2068^2)</f>
      </c>
      <c r="Q2068" s="7">
        <f>N2068/$P2068</f>
      </c>
      <c r="R2068" s="7">
        <f>O2068/$P2068</f>
      </c>
      <c r="S2068" s="7">
        <f>Q2068^2+R2068^2</f>
      </c>
      <c r="T2068" s="7">
        <f>-R2068</f>
      </c>
      <c r="U2068" s="7">
        <f>Q2068</f>
      </c>
      <c r="V2068" s="7">
        <f>($C$14+($C$15-$C$14)/($D$15-$D$14)*(I2068-$D$14))/2</f>
      </c>
      <c r="W2068" s="7">
        <f>($B$22*I2068^4+$C$22*I2068^3+$D$22*I2068^2+$E$22*I2068+$F$22)/2</f>
      </c>
      <c r="X2068" s="7">
        <f>($W2068)*(T2068)</f>
      </c>
      <c r="Y2068" s="7">
        <f>($W2068)*(U2068)</f>
      </c>
      <c r="Z2068" s="7">
        <f>SQRT(X2068^2+Y2068^2)</f>
      </c>
      <c r="AA2068" s="7">
        <f>$K2068+$X2068</f>
      </c>
      <c r="AB2068" s="7">
        <f>$L2068+$Y2068</f>
      </c>
      <c r="AC2068" s="7">
        <f>$K2068-$X2068</f>
      </c>
      <c r="AD2068" s="7">
        <f>$L2068-$Y2068</f>
      </c>
      <c r="AE2068" s="7">
        <f>AA2068/39.3701</f>
      </c>
      <c r="AF2068" s="7">
        <f>AB2068/39.3701</f>
      </c>
      <c r="AG2068" s="7">
        <f>AC2068/39.3701</f>
      </c>
      <c r="AH2068" s="7">
        <f>AD2068/39.3701</f>
      </c>
      <c r="AI2068" s="1"/>
      <c r="AJ2068" s="1"/>
      <c r="AK2068" s="1"/>
      <c r="AL2068" s="1"/>
      <c r="AM2068" s="2"/>
      <c r="AN2068" s="1"/>
      <c r="AO2068" s="1"/>
      <c r="AP2068" s="1"/>
      <c r="AQ2068" s="1"/>
      <c r="AR2068" s="1"/>
      <c r="AS2068" s="1"/>
      <c r="AT2068" s="1"/>
      <c r="AU2068" s="1"/>
      <c r="AV2068" s="1"/>
      <c r="AW2068" s="1"/>
      <c r="AX2068" s="1"/>
      <c r="AY2068" s="1"/>
      <c r="AZ2068" s="1"/>
      <c r="BA2068" s="1"/>
      <c r="BB2068" s="1"/>
      <c r="BC2068" s="1"/>
      <c r="BD2068" s="1"/>
      <c r="BE2068" s="1"/>
    </row>
    <row x14ac:dyDescent="0.25" r="2069" customHeight="1" ht="18.75">
      <c r="A2069" s="1"/>
      <c r="B2069" s="2"/>
      <c r="C2069" s="2"/>
      <c r="D2069" s="2"/>
      <c r="E2069" s="2"/>
      <c r="F2069" s="2"/>
      <c r="G2069" s="1"/>
      <c r="H2069" s="1"/>
      <c r="I2069" s="7">
        <v>2.066</v>
      </c>
      <c r="J2069" s="7">
        <f>IF((I2069-ROUNDDOWN(I2069,0))=0, 0, (I2069-ROUNDDOWN(I2069,0)))</f>
      </c>
      <c r="K2069" s="7">
        <f>INDIRECT("C$"&amp;2+MIN(2,ROUNDDOWN(I2069,0))*3)*(-$J2069^3+3*$J2069^2-3*$J2069+1)+INDIRECT("C$"&amp;3+MIN(2,ROUNDDOWN(I2069,0))*3)*(3*$J2069^3-6*$J2069^2+3*$J2069)+INDIRECT("C$"&amp;4+MIN(2,ROUNDDOWN(I2069,0))*3)*(-3*$J2069^3+3*$J2069^2)+INDIRECT("C$"&amp;5+MIN(2,ROUNDDOWN(I2069,0))*3)*$J2069^3</f>
      </c>
      <c r="L2069" s="7">
        <f>INDIRECT("D$"&amp;2+MIN(2,ROUNDDOWN(I2069,0))*3)*(-$J2069^3+3*$J2069^2-3*$J2069+1)+INDIRECT("D$"&amp;3+MIN(2,ROUNDDOWN(I2069,0))*3)*(3*$J2069^3-6*$J2069^2+3*$J2069)+INDIRECT("D$"&amp;4+MIN(2,ROUNDDOWN(I2069,0))*3)*(-3*$J2069^3+3*$J2069^2)+INDIRECT("D$"&amp;5+MIN(2,ROUNDDOWN(I2069,0))*3)*$J2069^3</f>
      </c>
      <c r="M2069" s="7">
        <f>SQRT(K2069^2+L2069^2)</f>
      </c>
      <c r="N2069" s="7">
        <f>(K2070-K2068)</f>
      </c>
      <c r="O2069" s="7">
        <f>+(L2070-L2068)</f>
      </c>
      <c r="P2069" s="7">
        <f>SQRT(O2069^2+N2069^2)</f>
      </c>
      <c r="Q2069" s="7">
        <f>N2069/$P2069</f>
      </c>
      <c r="R2069" s="7">
        <f>O2069/$P2069</f>
      </c>
      <c r="S2069" s="8">
        <f>Q2069^2+R2069^2</f>
      </c>
      <c r="T2069" s="7">
        <f>-R2069</f>
      </c>
      <c r="U2069" s="7">
        <f>Q2069</f>
      </c>
      <c r="V2069" s="7">
        <f>($C$14+($C$15-$C$14)/($D$15-$D$14)*(I2069-$D$14))/2</f>
      </c>
      <c r="W2069" s="7">
        <f>($B$22*I2069^4+$C$22*I2069^3+$D$22*I2069^2+$E$22*I2069+$F$22)/2</f>
      </c>
      <c r="X2069" s="7">
        <f>($W2069)*(T2069)</f>
      </c>
      <c r="Y2069" s="7">
        <f>($W2069)*(U2069)</f>
      </c>
      <c r="Z2069" s="7">
        <f>SQRT(X2069^2+Y2069^2)</f>
      </c>
      <c r="AA2069" s="7">
        <f>$K2069+$X2069</f>
      </c>
      <c r="AB2069" s="7">
        <f>$L2069+$Y2069</f>
      </c>
      <c r="AC2069" s="7">
        <f>$K2069-$X2069</f>
      </c>
      <c r="AD2069" s="7">
        <f>$L2069-$Y2069</f>
      </c>
      <c r="AE2069" s="7">
        <f>AA2069/39.3701</f>
      </c>
      <c r="AF2069" s="7">
        <f>AB2069/39.3701</f>
      </c>
      <c r="AG2069" s="7">
        <f>AC2069/39.3701</f>
      </c>
      <c r="AH2069" s="7">
        <f>AD2069/39.3701</f>
      </c>
      <c r="AI2069" s="1"/>
      <c r="AJ2069" s="1"/>
      <c r="AK2069" s="1"/>
      <c r="AL2069" s="1"/>
      <c r="AM2069" s="2"/>
      <c r="AN2069" s="1"/>
      <c r="AO2069" s="1"/>
      <c r="AP2069" s="1"/>
      <c r="AQ2069" s="1"/>
      <c r="AR2069" s="1"/>
      <c r="AS2069" s="1"/>
      <c r="AT2069" s="1"/>
      <c r="AU2069" s="1"/>
      <c r="AV2069" s="1"/>
      <c r="AW2069" s="1"/>
      <c r="AX2069" s="1"/>
      <c r="AY2069" s="1"/>
      <c r="AZ2069" s="1"/>
      <c r="BA2069" s="1"/>
      <c r="BB2069" s="1"/>
      <c r="BC2069" s="1"/>
      <c r="BD2069" s="1"/>
      <c r="BE2069" s="1"/>
    </row>
    <row x14ac:dyDescent="0.25" r="2070" customHeight="1" ht="18.75">
      <c r="A2070" s="1"/>
      <c r="B2070" s="2"/>
      <c r="C2070" s="2"/>
      <c r="D2070" s="2"/>
      <c r="E2070" s="2"/>
      <c r="F2070" s="2"/>
      <c r="G2070" s="1"/>
      <c r="H2070" s="1"/>
      <c r="I2070" s="7">
        <v>2.067</v>
      </c>
      <c r="J2070" s="7">
        <f>IF((I2070-ROUNDDOWN(I2070,0))=0, 0, (I2070-ROUNDDOWN(I2070,0)))</f>
      </c>
      <c r="K2070" s="7">
        <f>INDIRECT("C$"&amp;2+MIN(2,ROUNDDOWN(I2070,0))*3)*(-$J2070^3+3*$J2070^2-3*$J2070+1)+INDIRECT("C$"&amp;3+MIN(2,ROUNDDOWN(I2070,0))*3)*(3*$J2070^3-6*$J2070^2+3*$J2070)+INDIRECT("C$"&amp;4+MIN(2,ROUNDDOWN(I2070,0))*3)*(-3*$J2070^3+3*$J2070^2)+INDIRECT("C$"&amp;5+MIN(2,ROUNDDOWN(I2070,0))*3)*$J2070^3</f>
      </c>
      <c r="L2070" s="7">
        <f>INDIRECT("D$"&amp;2+MIN(2,ROUNDDOWN(I2070,0))*3)*(-$J2070^3+3*$J2070^2-3*$J2070+1)+INDIRECT("D$"&amp;3+MIN(2,ROUNDDOWN(I2070,0))*3)*(3*$J2070^3-6*$J2070^2+3*$J2070)+INDIRECT("D$"&amp;4+MIN(2,ROUNDDOWN(I2070,0))*3)*(-3*$J2070^3+3*$J2070^2)+INDIRECT("D$"&amp;5+MIN(2,ROUNDDOWN(I2070,0))*3)*$J2070^3</f>
      </c>
      <c r="M2070" s="7">
        <f>SQRT(K2070^2+L2070^2)</f>
      </c>
      <c r="N2070" s="7">
        <f>(K2071-K2069)</f>
      </c>
      <c r="O2070" s="7">
        <f>+(L2071-L2069)</f>
      </c>
      <c r="P2070" s="7">
        <f>SQRT(O2070^2+N2070^2)</f>
      </c>
      <c r="Q2070" s="7">
        <f>N2070/$P2070</f>
      </c>
      <c r="R2070" s="7">
        <f>O2070/$P2070</f>
      </c>
      <c r="S2070" s="7">
        <f>Q2070^2+R2070^2</f>
      </c>
      <c r="T2070" s="7">
        <f>-R2070</f>
      </c>
      <c r="U2070" s="7">
        <f>Q2070</f>
      </c>
      <c r="V2070" s="7">
        <f>($C$14+($C$15-$C$14)/($D$15-$D$14)*(I2070-$D$14))/2</f>
      </c>
      <c r="W2070" s="7">
        <f>($B$22*I2070^4+$C$22*I2070^3+$D$22*I2070^2+$E$22*I2070+$F$22)/2</f>
      </c>
      <c r="X2070" s="7">
        <f>($W2070)*(T2070)</f>
      </c>
      <c r="Y2070" s="7">
        <f>($W2070)*(U2070)</f>
      </c>
      <c r="Z2070" s="7">
        <f>SQRT(X2070^2+Y2070^2)</f>
      </c>
      <c r="AA2070" s="7">
        <f>$K2070+$X2070</f>
      </c>
      <c r="AB2070" s="7">
        <f>$L2070+$Y2070</f>
      </c>
      <c r="AC2070" s="7">
        <f>$K2070-$X2070</f>
      </c>
      <c r="AD2070" s="7">
        <f>$L2070-$Y2070</f>
      </c>
      <c r="AE2070" s="7">
        <f>AA2070/39.3701</f>
      </c>
      <c r="AF2070" s="7">
        <f>AB2070/39.3701</f>
      </c>
      <c r="AG2070" s="7">
        <f>AC2070/39.3701</f>
      </c>
      <c r="AH2070" s="7">
        <f>AD2070/39.3701</f>
      </c>
      <c r="AI2070" s="1"/>
      <c r="AJ2070" s="1"/>
      <c r="AK2070" s="1"/>
      <c r="AL2070" s="1"/>
      <c r="AM2070" s="2"/>
      <c r="AN2070" s="1"/>
      <c r="AO2070" s="1"/>
      <c r="AP2070" s="1"/>
      <c r="AQ2070" s="1"/>
      <c r="AR2070" s="1"/>
      <c r="AS2070" s="1"/>
      <c r="AT2070" s="1"/>
      <c r="AU2070" s="1"/>
      <c r="AV2070" s="1"/>
      <c r="AW2070" s="1"/>
      <c r="AX2070" s="1"/>
      <c r="AY2070" s="1"/>
      <c r="AZ2070" s="1"/>
      <c r="BA2070" s="1"/>
      <c r="BB2070" s="1"/>
      <c r="BC2070" s="1"/>
      <c r="BD2070" s="1"/>
      <c r="BE2070" s="1"/>
    </row>
    <row x14ac:dyDescent="0.25" r="2071" customHeight="1" ht="18.75">
      <c r="A2071" s="1"/>
      <c r="B2071" s="2"/>
      <c r="C2071" s="2"/>
      <c r="D2071" s="2"/>
      <c r="E2071" s="2"/>
      <c r="F2071" s="2"/>
      <c r="G2071" s="1"/>
      <c r="H2071" s="1"/>
      <c r="I2071" s="7">
        <v>2.068</v>
      </c>
      <c r="J2071" s="7">
        <f>IF((I2071-ROUNDDOWN(I2071,0))=0, 0, (I2071-ROUNDDOWN(I2071,0)))</f>
      </c>
      <c r="K2071" s="7">
        <f>INDIRECT("C$"&amp;2+MIN(2,ROUNDDOWN(I2071,0))*3)*(-$J2071^3+3*$J2071^2-3*$J2071+1)+INDIRECT("C$"&amp;3+MIN(2,ROUNDDOWN(I2071,0))*3)*(3*$J2071^3-6*$J2071^2+3*$J2071)+INDIRECT("C$"&amp;4+MIN(2,ROUNDDOWN(I2071,0))*3)*(-3*$J2071^3+3*$J2071^2)+INDIRECT("C$"&amp;5+MIN(2,ROUNDDOWN(I2071,0))*3)*$J2071^3</f>
      </c>
      <c r="L2071" s="7">
        <f>INDIRECT("D$"&amp;2+MIN(2,ROUNDDOWN(I2071,0))*3)*(-$J2071^3+3*$J2071^2-3*$J2071+1)+INDIRECT("D$"&amp;3+MIN(2,ROUNDDOWN(I2071,0))*3)*(3*$J2071^3-6*$J2071^2+3*$J2071)+INDIRECT("D$"&amp;4+MIN(2,ROUNDDOWN(I2071,0))*3)*(-3*$J2071^3+3*$J2071^2)+INDIRECT("D$"&amp;5+MIN(2,ROUNDDOWN(I2071,0))*3)*$J2071^3</f>
      </c>
      <c r="M2071" s="7">
        <f>SQRT(K2071^2+L2071^2)</f>
      </c>
      <c r="N2071" s="7">
        <f>(K2072-K2070)</f>
      </c>
      <c r="O2071" s="7">
        <f>+(L2072-L2070)</f>
      </c>
      <c r="P2071" s="7">
        <f>SQRT(O2071^2+N2071^2)</f>
      </c>
      <c r="Q2071" s="7">
        <f>N2071/$P2071</f>
      </c>
      <c r="R2071" s="7">
        <f>O2071/$P2071</f>
      </c>
      <c r="S2071" s="7">
        <f>Q2071^2+R2071^2</f>
      </c>
      <c r="T2071" s="7">
        <f>-R2071</f>
      </c>
      <c r="U2071" s="7">
        <f>Q2071</f>
      </c>
      <c r="V2071" s="7">
        <f>($C$14+($C$15-$C$14)/($D$15-$D$14)*(I2071-$D$14))/2</f>
      </c>
      <c r="W2071" s="7">
        <f>($B$22*I2071^4+$C$22*I2071^3+$D$22*I2071^2+$E$22*I2071+$F$22)/2</f>
      </c>
      <c r="X2071" s="7">
        <f>($W2071)*(T2071)</f>
      </c>
      <c r="Y2071" s="7">
        <f>($W2071)*(U2071)</f>
      </c>
      <c r="Z2071" s="7">
        <f>SQRT(X2071^2+Y2071^2)</f>
      </c>
      <c r="AA2071" s="7">
        <f>$K2071+$X2071</f>
      </c>
      <c r="AB2071" s="7">
        <f>$L2071+$Y2071</f>
      </c>
      <c r="AC2071" s="7">
        <f>$K2071-$X2071</f>
      </c>
      <c r="AD2071" s="7">
        <f>$L2071-$Y2071</f>
      </c>
      <c r="AE2071" s="7">
        <f>AA2071/39.3701</f>
      </c>
      <c r="AF2071" s="7">
        <f>AB2071/39.3701</f>
      </c>
      <c r="AG2071" s="7">
        <f>AC2071/39.3701</f>
      </c>
      <c r="AH2071" s="7">
        <f>AD2071/39.3701</f>
      </c>
      <c r="AI2071" s="1"/>
      <c r="AJ2071" s="1"/>
      <c r="AK2071" s="1"/>
      <c r="AL2071" s="1"/>
      <c r="AM2071" s="2"/>
      <c r="AN2071" s="1"/>
      <c r="AO2071" s="1"/>
      <c r="AP2071" s="1"/>
      <c r="AQ2071" s="1"/>
      <c r="AR2071" s="1"/>
      <c r="AS2071" s="1"/>
      <c r="AT2071" s="1"/>
      <c r="AU2071" s="1"/>
      <c r="AV2071" s="1"/>
      <c r="AW2071" s="1"/>
      <c r="AX2071" s="1"/>
      <c r="AY2071" s="1"/>
      <c r="AZ2071" s="1"/>
      <c r="BA2071" s="1"/>
      <c r="BB2071" s="1"/>
      <c r="BC2071" s="1"/>
      <c r="BD2071" s="1"/>
      <c r="BE2071" s="1"/>
    </row>
    <row x14ac:dyDescent="0.25" r="2072" customHeight="1" ht="18.75">
      <c r="A2072" s="1"/>
      <c r="B2072" s="2"/>
      <c r="C2072" s="2"/>
      <c r="D2072" s="2"/>
      <c r="E2072" s="2"/>
      <c r="F2072" s="2"/>
      <c r="G2072" s="1"/>
      <c r="H2072" s="1"/>
      <c r="I2072" s="7">
        <v>2.069</v>
      </c>
      <c r="J2072" s="7">
        <f>IF((I2072-ROUNDDOWN(I2072,0))=0, 0, (I2072-ROUNDDOWN(I2072,0)))</f>
      </c>
      <c r="K2072" s="7">
        <f>INDIRECT("C$"&amp;2+MIN(2,ROUNDDOWN(I2072,0))*3)*(-$J2072^3+3*$J2072^2-3*$J2072+1)+INDIRECT("C$"&amp;3+MIN(2,ROUNDDOWN(I2072,0))*3)*(3*$J2072^3-6*$J2072^2+3*$J2072)+INDIRECT("C$"&amp;4+MIN(2,ROUNDDOWN(I2072,0))*3)*(-3*$J2072^3+3*$J2072^2)+INDIRECT("C$"&amp;5+MIN(2,ROUNDDOWN(I2072,0))*3)*$J2072^3</f>
      </c>
      <c r="L2072" s="7">
        <f>INDIRECT("D$"&amp;2+MIN(2,ROUNDDOWN(I2072,0))*3)*(-$J2072^3+3*$J2072^2-3*$J2072+1)+INDIRECT("D$"&amp;3+MIN(2,ROUNDDOWN(I2072,0))*3)*(3*$J2072^3-6*$J2072^2+3*$J2072)+INDIRECT("D$"&amp;4+MIN(2,ROUNDDOWN(I2072,0))*3)*(-3*$J2072^3+3*$J2072^2)+INDIRECT("D$"&amp;5+MIN(2,ROUNDDOWN(I2072,0))*3)*$J2072^3</f>
      </c>
      <c r="M2072" s="7">
        <f>SQRT(K2072^2+L2072^2)</f>
      </c>
      <c r="N2072" s="7">
        <f>(K2073-K2071)</f>
      </c>
      <c r="O2072" s="7">
        <f>+(L2073-L2071)</f>
      </c>
      <c r="P2072" s="7">
        <f>SQRT(O2072^2+N2072^2)</f>
      </c>
      <c r="Q2072" s="7">
        <f>N2072/$P2072</f>
      </c>
      <c r="R2072" s="7">
        <f>O2072/$P2072</f>
      </c>
      <c r="S2072" s="8">
        <f>Q2072^2+R2072^2</f>
      </c>
      <c r="T2072" s="7">
        <f>-R2072</f>
      </c>
      <c r="U2072" s="7">
        <f>Q2072</f>
      </c>
      <c r="V2072" s="7">
        <f>($C$14+($C$15-$C$14)/($D$15-$D$14)*(I2072-$D$14))/2</f>
      </c>
      <c r="W2072" s="7">
        <f>($B$22*I2072^4+$C$22*I2072^3+$D$22*I2072^2+$E$22*I2072+$F$22)/2</f>
      </c>
      <c r="X2072" s="7">
        <f>($W2072)*(T2072)</f>
      </c>
      <c r="Y2072" s="7">
        <f>($W2072)*(U2072)</f>
      </c>
      <c r="Z2072" s="7">
        <f>SQRT(X2072^2+Y2072^2)</f>
      </c>
      <c r="AA2072" s="7">
        <f>$K2072+$X2072</f>
      </c>
      <c r="AB2072" s="7">
        <f>$L2072+$Y2072</f>
      </c>
      <c r="AC2072" s="7">
        <f>$K2072-$X2072</f>
      </c>
      <c r="AD2072" s="7">
        <f>$L2072-$Y2072</f>
      </c>
      <c r="AE2072" s="7">
        <f>AA2072/39.3701</f>
      </c>
      <c r="AF2072" s="7">
        <f>AB2072/39.3701</f>
      </c>
      <c r="AG2072" s="7">
        <f>AC2072/39.3701</f>
      </c>
      <c r="AH2072" s="7">
        <f>AD2072/39.3701</f>
      </c>
      <c r="AI2072" s="1"/>
      <c r="AJ2072" s="1"/>
      <c r="AK2072" s="1"/>
      <c r="AL2072" s="1"/>
      <c r="AM2072" s="2"/>
      <c r="AN2072" s="1"/>
      <c r="AO2072" s="1"/>
      <c r="AP2072" s="1"/>
      <c r="AQ2072" s="1"/>
      <c r="AR2072" s="1"/>
      <c r="AS2072" s="1"/>
      <c r="AT2072" s="1"/>
      <c r="AU2072" s="1"/>
      <c r="AV2072" s="1"/>
      <c r="AW2072" s="1"/>
      <c r="AX2072" s="1"/>
      <c r="AY2072" s="1"/>
      <c r="AZ2072" s="1"/>
      <c r="BA2072" s="1"/>
      <c r="BB2072" s="1"/>
      <c r="BC2072" s="1"/>
      <c r="BD2072" s="1"/>
      <c r="BE2072" s="1"/>
    </row>
    <row x14ac:dyDescent="0.25" r="2073" customHeight="1" ht="18.75">
      <c r="A2073" s="1"/>
      <c r="B2073" s="2"/>
      <c r="C2073" s="2"/>
      <c r="D2073" s="2"/>
      <c r="E2073" s="2"/>
      <c r="F2073" s="2"/>
      <c r="G2073" s="1"/>
      <c r="H2073" s="1"/>
      <c r="I2073" s="7">
        <v>2.07</v>
      </c>
      <c r="J2073" s="7">
        <f>IF((I2073-ROUNDDOWN(I2073,0))=0, 0, (I2073-ROUNDDOWN(I2073,0)))</f>
      </c>
      <c r="K2073" s="7">
        <f>INDIRECT("C$"&amp;2+MIN(2,ROUNDDOWN(I2073,0))*3)*(-$J2073^3+3*$J2073^2-3*$J2073+1)+INDIRECT("C$"&amp;3+MIN(2,ROUNDDOWN(I2073,0))*3)*(3*$J2073^3-6*$J2073^2+3*$J2073)+INDIRECT("C$"&amp;4+MIN(2,ROUNDDOWN(I2073,0))*3)*(-3*$J2073^3+3*$J2073^2)+INDIRECT("C$"&amp;5+MIN(2,ROUNDDOWN(I2073,0))*3)*$J2073^3</f>
      </c>
      <c r="L2073" s="7">
        <f>INDIRECT("D$"&amp;2+MIN(2,ROUNDDOWN(I2073,0))*3)*(-$J2073^3+3*$J2073^2-3*$J2073+1)+INDIRECT("D$"&amp;3+MIN(2,ROUNDDOWN(I2073,0))*3)*(3*$J2073^3-6*$J2073^2+3*$J2073)+INDIRECT("D$"&amp;4+MIN(2,ROUNDDOWN(I2073,0))*3)*(-3*$J2073^3+3*$J2073^2)+INDIRECT("D$"&amp;5+MIN(2,ROUNDDOWN(I2073,0))*3)*$J2073^3</f>
      </c>
      <c r="M2073" s="7">
        <f>SQRT(K2073^2+L2073^2)</f>
      </c>
      <c r="N2073" s="7">
        <f>(K2074-K2072)</f>
      </c>
      <c r="O2073" s="7">
        <f>+(L2074-L2072)</f>
      </c>
      <c r="P2073" s="7">
        <f>SQRT(O2073^2+N2073^2)</f>
      </c>
      <c r="Q2073" s="7">
        <f>N2073/$P2073</f>
      </c>
      <c r="R2073" s="7">
        <f>O2073/$P2073</f>
      </c>
      <c r="S2073" s="7">
        <f>Q2073^2+R2073^2</f>
      </c>
      <c r="T2073" s="7">
        <f>-R2073</f>
      </c>
      <c r="U2073" s="7">
        <f>Q2073</f>
      </c>
      <c r="V2073" s="7">
        <f>($C$14+($C$15-$C$14)/($D$15-$D$14)*(I2073-$D$14))/2</f>
      </c>
      <c r="W2073" s="7">
        <f>($B$22*I2073^4+$C$22*I2073^3+$D$22*I2073^2+$E$22*I2073+$F$22)/2</f>
      </c>
      <c r="X2073" s="7">
        <f>($W2073)*(T2073)</f>
      </c>
      <c r="Y2073" s="7">
        <f>($W2073)*(U2073)</f>
      </c>
      <c r="Z2073" s="7">
        <f>SQRT(X2073^2+Y2073^2)</f>
      </c>
      <c r="AA2073" s="7">
        <f>$K2073+$X2073</f>
      </c>
      <c r="AB2073" s="7">
        <f>$L2073+$Y2073</f>
      </c>
      <c r="AC2073" s="7">
        <f>$K2073-$X2073</f>
      </c>
      <c r="AD2073" s="7">
        <f>$L2073-$Y2073</f>
      </c>
      <c r="AE2073" s="7">
        <f>AA2073/39.3701</f>
      </c>
      <c r="AF2073" s="7">
        <f>AB2073/39.3701</f>
      </c>
      <c r="AG2073" s="7">
        <f>AC2073/39.3701</f>
      </c>
      <c r="AH2073" s="7">
        <f>AD2073/39.3701</f>
      </c>
      <c r="AI2073" s="1"/>
      <c r="AJ2073" s="1"/>
      <c r="AK2073" s="1"/>
      <c r="AL2073" s="1"/>
      <c r="AM2073" s="2"/>
      <c r="AN2073" s="1"/>
      <c r="AO2073" s="1"/>
      <c r="AP2073" s="1"/>
      <c r="AQ2073" s="1"/>
      <c r="AR2073" s="1"/>
      <c r="AS2073" s="1"/>
      <c r="AT2073" s="1"/>
      <c r="AU2073" s="1"/>
      <c r="AV2073" s="1"/>
      <c r="AW2073" s="1"/>
      <c r="AX2073" s="1"/>
      <c r="AY2073" s="1"/>
      <c r="AZ2073" s="1"/>
      <c r="BA2073" s="1"/>
      <c r="BB2073" s="1"/>
      <c r="BC2073" s="1"/>
      <c r="BD2073" s="1"/>
      <c r="BE2073" s="1"/>
    </row>
    <row x14ac:dyDescent="0.25" r="2074" customHeight="1" ht="18.75">
      <c r="A2074" s="1"/>
      <c r="B2074" s="2"/>
      <c r="C2074" s="2"/>
      <c r="D2074" s="2"/>
      <c r="E2074" s="2"/>
      <c r="F2074" s="2"/>
      <c r="G2074" s="1"/>
      <c r="H2074" s="1"/>
      <c r="I2074" s="7">
        <v>2.071</v>
      </c>
      <c r="J2074" s="7">
        <f>IF((I2074-ROUNDDOWN(I2074,0))=0, 0, (I2074-ROUNDDOWN(I2074,0)))</f>
      </c>
      <c r="K2074" s="7">
        <f>INDIRECT("C$"&amp;2+MIN(2,ROUNDDOWN(I2074,0))*3)*(-$J2074^3+3*$J2074^2-3*$J2074+1)+INDIRECT("C$"&amp;3+MIN(2,ROUNDDOWN(I2074,0))*3)*(3*$J2074^3-6*$J2074^2+3*$J2074)+INDIRECT("C$"&amp;4+MIN(2,ROUNDDOWN(I2074,0))*3)*(-3*$J2074^3+3*$J2074^2)+INDIRECT("C$"&amp;5+MIN(2,ROUNDDOWN(I2074,0))*3)*$J2074^3</f>
      </c>
      <c r="L2074" s="7">
        <f>INDIRECT("D$"&amp;2+MIN(2,ROUNDDOWN(I2074,0))*3)*(-$J2074^3+3*$J2074^2-3*$J2074+1)+INDIRECT("D$"&amp;3+MIN(2,ROUNDDOWN(I2074,0))*3)*(3*$J2074^3-6*$J2074^2+3*$J2074)+INDIRECT("D$"&amp;4+MIN(2,ROUNDDOWN(I2074,0))*3)*(-3*$J2074^3+3*$J2074^2)+INDIRECT("D$"&amp;5+MIN(2,ROUNDDOWN(I2074,0))*3)*$J2074^3</f>
      </c>
      <c r="M2074" s="7">
        <f>SQRT(K2074^2+L2074^2)</f>
      </c>
      <c r="N2074" s="7">
        <f>(K2075-K2073)</f>
      </c>
      <c r="O2074" s="7">
        <f>+(L2075-L2073)</f>
      </c>
      <c r="P2074" s="7">
        <f>SQRT(O2074^2+N2074^2)</f>
      </c>
      <c r="Q2074" s="7">
        <f>N2074/$P2074</f>
      </c>
      <c r="R2074" s="7">
        <f>O2074/$P2074</f>
      </c>
      <c r="S2074" s="7">
        <f>Q2074^2+R2074^2</f>
      </c>
      <c r="T2074" s="7">
        <f>-R2074</f>
      </c>
      <c r="U2074" s="7">
        <f>Q2074</f>
      </c>
      <c r="V2074" s="7">
        <f>($C$14+($C$15-$C$14)/($D$15-$D$14)*(I2074-$D$14))/2</f>
      </c>
      <c r="W2074" s="7">
        <f>($B$22*I2074^4+$C$22*I2074^3+$D$22*I2074^2+$E$22*I2074+$F$22)/2</f>
      </c>
      <c r="X2074" s="7">
        <f>($W2074)*(T2074)</f>
      </c>
      <c r="Y2074" s="7">
        <f>($W2074)*(U2074)</f>
      </c>
      <c r="Z2074" s="7">
        <f>SQRT(X2074^2+Y2074^2)</f>
      </c>
      <c r="AA2074" s="7">
        <f>$K2074+$X2074</f>
      </c>
      <c r="AB2074" s="7">
        <f>$L2074+$Y2074</f>
      </c>
      <c r="AC2074" s="7">
        <f>$K2074-$X2074</f>
      </c>
      <c r="AD2074" s="7">
        <f>$L2074-$Y2074</f>
      </c>
      <c r="AE2074" s="7">
        <f>AA2074/39.3701</f>
      </c>
      <c r="AF2074" s="7">
        <f>AB2074/39.3701</f>
      </c>
      <c r="AG2074" s="7">
        <f>AC2074/39.3701</f>
      </c>
      <c r="AH2074" s="7">
        <f>AD2074/39.3701</f>
      </c>
      <c r="AI2074" s="1"/>
      <c r="AJ2074" s="1"/>
      <c r="AK2074" s="1"/>
      <c r="AL2074" s="1"/>
      <c r="AM2074" s="2"/>
      <c r="AN2074" s="1"/>
      <c r="AO2074" s="1"/>
      <c r="AP2074" s="1"/>
      <c r="AQ2074" s="1"/>
      <c r="AR2074" s="1"/>
      <c r="AS2074" s="1"/>
      <c r="AT2074" s="1"/>
      <c r="AU2074" s="1"/>
      <c r="AV2074" s="1"/>
      <c r="AW2074" s="1"/>
      <c r="AX2074" s="1"/>
      <c r="AY2074" s="1"/>
      <c r="AZ2074" s="1"/>
      <c r="BA2074" s="1"/>
      <c r="BB2074" s="1"/>
      <c r="BC2074" s="1"/>
      <c r="BD2074" s="1"/>
      <c r="BE2074" s="1"/>
    </row>
    <row x14ac:dyDescent="0.25" r="2075" customHeight="1" ht="18.75">
      <c r="A2075" s="1"/>
      <c r="B2075" s="2"/>
      <c r="C2075" s="2"/>
      <c r="D2075" s="2"/>
      <c r="E2075" s="2"/>
      <c r="F2075" s="2"/>
      <c r="G2075" s="1"/>
      <c r="H2075" s="1"/>
      <c r="I2075" s="7">
        <v>2.072</v>
      </c>
      <c r="J2075" s="7">
        <f>IF((I2075-ROUNDDOWN(I2075,0))=0, 0, (I2075-ROUNDDOWN(I2075,0)))</f>
      </c>
      <c r="K2075" s="7">
        <f>INDIRECT("C$"&amp;2+MIN(2,ROUNDDOWN(I2075,0))*3)*(-$J2075^3+3*$J2075^2-3*$J2075+1)+INDIRECT("C$"&amp;3+MIN(2,ROUNDDOWN(I2075,0))*3)*(3*$J2075^3-6*$J2075^2+3*$J2075)+INDIRECT("C$"&amp;4+MIN(2,ROUNDDOWN(I2075,0))*3)*(-3*$J2075^3+3*$J2075^2)+INDIRECT("C$"&amp;5+MIN(2,ROUNDDOWN(I2075,0))*3)*$J2075^3</f>
      </c>
      <c r="L2075" s="7">
        <f>INDIRECT("D$"&amp;2+MIN(2,ROUNDDOWN(I2075,0))*3)*(-$J2075^3+3*$J2075^2-3*$J2075+1)+INDIRECT("D$"&amp;3+MIN(2,ROUNDDOWN(I2075,0))*3)*(3*$J2075^3-6*$J2075^2+3*$J2075)+INDIRECT("D$"&amp;4+MIN(2,ROUNDDOWN(I2075,0))*3)*(-3*$J2075^3+3*$J2075^2)+INDIRECT("D$"&amp;5+MIN(2,ROUNDDOWN(I2075,0))*3)*$J2075^3</f>
      </c>
      <c r="M2075" s="7">
        <f>SQRT(K2075^2+L2075^2)</f>
      </c>
      <c r="N2075" s="7">
        <f>(K2076-K2074)</f>
      </c>
      <c r="O2075" s="7">
        <f>+(L2076-L2074)</f>
      </c>
      <c r="P2075" s="7">
        <f>SQRT(O2075^2+N2075^2)</f>
      </c>
      <c r="Q2075" s="7">
        <f>N2075/$P2075</f>
      </c>
      <c r="R2075" s="7">
        <f>O2075/$P2075</f>
      </c>
      <c r="S2075" s="7">
        <f>Q2075^2+R2075^2</f>
      </c>
      <c r="T2075" s="7">
        <f>-R2075</f>
      </c>
      <c r="U2075" s="7">
        <f>Q2075</f>
      </c>
      <c r="V2075" s="7">
        <f>($C$14+($C$15-$C$14)/($D$15-$D$14)*(I2075-$D$14))/2</f>
      </c>
      <c r="W2075" s="7">
        <f>($B$22*I2075^4+$C$22*I2075^3+$D$22*I2075^2+$E$22*I2075+$F$22)/2</f>
      </c>
      <c r="X2075" s="7">
        <f>($W2075)*(T2075)</f>
      </c>
      <c r="Y2075" s="7">
        <f>($W2075)*(U2075)</f>
      </c>
      <c r="Z2075" s="7">
        <f>SQRT(X2075^2+Y2075^2)</f>
      </c>
      <c r="AA2075" s="7">
        <f>$K2075+$X2075</f>
      </c>
      <c r="AB2075" s="7">
        <f>$L2075+$Y2075</f>
      </c>
      <c r="AC2075" s="7">
        <f>$K2075-$X2075</f>
      </c>
      <c r="AD2075" s="7">
        <f>$L2075-$Y2075</f>
      </c>
      <c r="AE2075" s="7">
        <f>AA2075/39.3701</f>
      </c>
      <c r="AF2075" s="7">
        <f>AB2075/39.3701</f>
      </c>
      <c r="AG2075" s="7">
        <f>AC2075/39.3701</f>
      </c>
      <c r="AH2075" s="7">
        <f>AD2075/39.3701</f>
      </c>
      <c r="AI2075" s="1"/>
      <c r="AJ2075" s="1"/>
      <c r="AK2075" s="1"/>
      <c r="AL2075" s="1"/>
      <c r="AM2075" s="2"/>
      <c r="AN2075" s="1"/>
      <c r="AO2075" s="1"/>
      <c r="AP2075" s="1"/>
      <c r="AQ2075" s="1"/>
      <c r="AR2075" s="1"/>
      <c r="AS2075" s="1"/>
      <c r="AT2075" s="1"/>
      <c r="AU2075" s="1"/>
      <c r="AV2075" s="1"/>
      <c r="AW2075" s="1"/>
      <c r="AX2075" s="1"/>
      <c r="AY2075" s="1"/>
      <c r="AZ2075" s="1"/>
      <c r="BA2075" s="1"/>
      <c r="BB2075" s="1"/>
      <c r="BC2075" s="1"/>
      <c r="BD2075" s="1"/>
      <c r="BE2075" s="1"/>
    </row>
    <row x14ac:dyDescent="0.25" r="2076" customHeight="1" ht="18.75">
      <c r="A2076" s="1"/>
      <c r="B2076" s="2"/>
      <c r="C2076" s="2"/>
      <c r="D2076" s="2"/>
      <c r="E2076" s="2"/>
      <c r="F2076" s="2"/>
      <c r="G2076" s="1"/>
      <c r="H2076" s="1"/>
      <c r="I2076" s="7">
        <v>2.073</v>
      </c>
      <c r="J2076" s="7">
        <f>IF((I2076-ROUNDDOWN(I2076,0))=0, 0, (I2076-ROUNDDOWN(I2076,0)))</f>
      </c>
      <c r="K2076" s="7">
        <f>INDIRECT("C$"&amp;2+MIN(2,ROUNDDOWN(I2076,0))*3)*(-$J2076^3+3*$J2076^2-3*$J2076+1)+INDIRECT("C$"&amp;3+MIN(2,ROUNDDOWN(I2076,0))*3)*(3*$J2076^3-6*$J2076^2+3*$J2076)+INDIRECT("C$"&amp;4+MIN(2,ROUNDDOWN(I2076,0))*3)*(-3*$J2076^3+3*$J2076^2)+INDIRECT("C$"&amp;5+MIN(2,ROUNDDOWN(I2076,0))*3)*$J2076^3</f>
      </c>
      <c r="L2076" s="7">
        <f>INDIRECT("D$"&amp;2+MIN(2,ROUNDDOWN(I2076,0))*3)*(-$J2076^3+3*$J2076^2-3*$J2076+1)+INDIRECT("D$"&amp;3+MIN(2,ROUNDDOWN(I2076,0))*3)*(3*$J2076^3-6*$J2076^2+3*$J2076)+INDIRECT("D$"&amp;4+MIN(2,ROUNDDOWN(I2076,0))*3)*(-3*$J2076^3+3*$J2076^2)+INDIRECT("D$"&amp;5+MIN(2,ROUNDDOWN(I2076,0))*3)*$J2076^3</f>
      </c>
      <c r="M2076" s="7">
        <f>SQRT(K2076^2+L2076^2)</f>
      </c>
      <c r="N2076" s="7">
        <f>(K2077-K2075)</f>
      </c>
      <c r="O2076" s="7">
        <f>+(L2077-L2075)</f>
      </c>
      <c r="P2076" s="7">
        <f>SQRT(O2076^2+N2076^2)</f>
      </c>
      <c r="Q2076" s="7">
        <f>N2076/$P2076</f>
      </c>
      <c r="R2076" s="7">
        <f>O2076/$P2076</f>
      </c>
      <c r="S2076" s="8">
        <f>Q2076^2+R2076^2</f>
      </c>
      <c r="T2076" s="7">
        <f>-R2076</f>
      </c>
      <c r="U2076" s="7">
        <f>Q2076</f>
      </c>
      <c r="V2076" s="7">
        <f>($C$14+($C$15-$C$14)/($D$15-$D$14)*(I2076-$D$14))/2</f>
      </c>
      <c r="W2076" s="7">
        <f>($B$22*I2076^4+$C$22*I2076^3+$D$22*I2076^2+$E$22*I2076+$F$22)/2</f>
      </c>
      <c r="X2076" s="7">
        <f>($W2076)*(T2076)</f>
      </c>
      <c r="Y2076" s="7">
        <f>($W2076)*(U2076)</f>
      </c>
      <c r="Z2076" s="7">
        <f>SQRT(X2076^2+Y2076^2)</f>
      </c>
      <c r="AA2076" s="7">
        <f>$K2076+$X2076</f>
      </c>
      <c r="AB2076" s="7">
        <f>$L2076+$Y2076</f>
      </c>
      <c r="AC2076" s="7">
        <f>$K2076-$X2076</f>
      </c>
      <c r="AD2076" s="7">
        <f>$L2076-$Y2076</f>
      </c>
      <c r="AE2076" s="7">
        <f>AA2076/39.3701</f>
      </c>
      <c r="AF2076" s="7">
        <f>AB2076/39.3701</f>
      </c>
      <c r="AG2076" s="7">
        <f>AC2076/39.3701</f>
      </c>
      <c r="AH2076" s="7">
        <f>AD2076/39.3701</f>
      </c>
      <c r="AI2076" s="1"/>
      <c r="AJ2076" s="1"/>
      <c r="AK2076" s="1"/>
      <c r="AL2076" s="1"/>
      <c r="AM2076" s="2"/>
      <c r="AN2076" s="1"/>
      <c r="AO2076" s="1"/>
      <c r="AP2076" s="1"/>
      <c r="AQ2076" s="1"/>
      <c r="AR2076" s="1"/>
      <c r="AS2076" s="1"/>
      <c r="AT2076" s="1"/>
      <c r="AU2076" s="1"/>
      <c r="AV2076" s="1"/>
      <c r="AW2076" s="1"/>
      <c r="AX2076" s="1"/>
      <c r="AY2076" s="1"/>
      <c r="AZ2076" s="1"/>
      <c r="BA2076" s="1"/>
      <c r="BB2076" s="1"/>
      <c r="BC2076" s="1"/>
      <c r="BD2076" s="1"/>
      <c r="BE2076" s="1"/>
    </row>
    <row x14ac:dyDescent="0.25" r="2077" customHeight="1" ht="18.75">
      <c r="A2077" s="1"/>
      <c r="B2077" s="2"/>
      <c r="C2077" s="2"/>
      <c r="D2077" s="2"/>
      <c r="E2077" s="2"/>
      <c r="F2077" s="2"/>
      <c r="G2077" s="1"/>
      <c r="H2077" s="1"/>
      <c r="I2077" s="7">
        <v>2.074</v>
      </c>
      <c r="J2077" s="7">
        <f>IF((I2077-ROUNDDOWN(I2077,0))=0, 0, (I2077-ROUNDDOWN(I2077,0)))</f>
      </c>
      <c r="K2077" s="7">
        <f>INDIRECT("C$"&amp;2+MIN(2,ROUNDDOWN(I2077,0))*3)*(-$J2077^3+3*$J2077^2-3*$J2077+1)+INDIRECT("C$"&amp;3+MIN(2,ROUNDDOWN(I2077,0))*3)*(3*$J2077^3-6*$J2077^2+3*$J2077)+INDIRECT("C$"&amp;4+MIN(2,ROUNDDOWN(I2077,0))*3)*(-3*$J2077^3+3*$J2077^2)+INDIRECT("C$"&amp;5+MIN(2,ROUNDDOWN(I2077,0))*3)*$J2077^3</f>
      </c>
      <c r="L2077" s="7">
        <f>INDIRECT("D$"&amp;2+MIN(2,ROUNDDOWN(I2077,0))*3)*(-$J2077^3+3*$J2077^2-3*$J2077+1)+INDIRECT("D$"&amp;3+MIN(2,ROUNDDOWN(I2077,0))*3)*(3*$J2077^3-6*$J2077^2+3*$J2077)+INDIRECT("D$"&amp;4+MIN(2,ROUNDDOWN(I2077,0))*3)*(-3*$J2077^3+3*$J2077^2)+INDIRECT("D$"&amp;5+MIN(2,ROUNDDOWN(I2077,0))*3)*$J2077^3</f>
      </c>
      <c r="M2077" s="7">
        <f>SQRT(K2077^2+L2077^2)</f>
      </c>
      <c r="N2077" s="7">
        <f>(K2078-K2076)</f>
      </c>
      <c r="O2077" s="7">
        <f>+(L2078-L2076)</f>
      </c>
      <c r="P2077" s="7">
        <f>SQRT(O2077^2+N2077^2)</f>
      </c>
      <c r="Q2077" s="7">
        <f>N2077/$P2077</f>
      </c>
      <c r="R2077" s="7">
        <f>O2077/$P2077</f>
      </c>
      <c r="S2077" s="8">
        <f>Q2077^2+R2077^2</f>
      </c>
      <c r="T2077" s="7">
        <f>-R2077</f>
      </c>
      <c r="U2077" s="7">
        <f>Q2077</f>
      </c>
      <c r="V2077" s="7">
        <f>($C$14+($C$15-$C$14)/($D$15-$D$14)*(I2077-$D$14))/2</f>
      </c>
      <c r="W2077" s="7">
        <f>($B$22*I2077^4+$C$22*I2077^3+$D$22*I2077^2+$E$22*I2077+$F$22)/2</f>
      </c>
      <c r="X2077" s="7">
        <f>($W2077)*(T2077)</f>
      </c>
      <c r="Y2077" s="7">
        <f>($W2077)*(U2077)</f>
      </c>
      <c r="Z2077" s="7">
        <f>SQRT(X2077^2+Y2077^2)</f>
      </c>
      <c r="AA2077" s="7">
        <f>$K2077+$X2077</f>
      </c>
      <c r="AB2077" s="7">
        <f>$L2077+$Y2077</f>
      </c>
      <c r="AC2077" s="7">
        <f>$K2077-$X2077</f>
      </c>
      <c r="AD2077" s="7">
        <f>$L2077-$Y2077</f>
      </c>
      <c r="AE2077" s="7">
        <f>AA2077/39.3701</f>
      </c>
      <c r="AF2077" s="7">
        <f>AB2077/39.3701</f>
      </c>
      <c r="AG2077" s="7">
        <f>AC2077/39.3701</f>
      </c>
      <c r="AH2077" s="7">
        <f>AD2077/39.3701</f>
      </c>
      <c r="AI2077" s="1"/>
      <c r="AJ2077" s="1"/>
      <c r="AK2077" s="1"/>
      <c r="AL2077" s="1"/>
      <c r="AM2077" s="2"/>
      <c r="AN2077" s="1"/>
      <c r="AO2077" s="1"/>
      <c r="AP2077" s="1"/>
      <c r="AQ2077" s="1"/>
      <c r="AR2077" s="1"/>
      <c r="AS2077" s="1"/>
      <c r="AT2077" s="1"/>
      <c r="AU2077" s="1"/>
      <c r="AV2077" s="1"/>
      <c r="AW2077" s="1"/>
      <c r="AX2077" s="1"/>
      <c r="AY2077" s="1"/>
      <c r="AZ2077" s="1"/>
      <c r="BA2077" s="1"/>
      <c r="BB2077" s="1"/>
      <c r="BC2077" s="1"/>
      <c r="BD2077" s="1"/>
      <c r="BE2077" s="1"/>
    </row>
    <row x14ac:dyDescent="0.25" r="2078" customHeight="1" ht="18.75">
      <c r="A2078" s="1"/>
      <c r="B2078" s="2"/>
      <c r="C2078" s="2"/>
      <c r="D2078" s="2"/>
      <c r="E2078" s="2"/>
      <c r="F2078" s="2"/>
      <c r="G2078" s="1"/>
      <c r="H2078" s="1"/>
      <c r="I2078" s="7">
        <v>2.075</v>
      </c>
      <c r="J2078" s="7">
        <f>IF((I2078-ROUNDDOWN(I2078,0))=0, 0, (I2078-ROUNDDOWN(I2078,0)))</f>
      </c>
      <c r="K2078" s="7">
        <f>INDIRECT("C$"&amp;2+MIN(2,ROUNDDOWN(I2078,0))*3)*(-$J2078^3+3*$J2078^2-3*$J2078+1)+INDIRECT("C$"&amp;3+MIN(2,ROUNDDOWN(I2078,0))*3)*(3*$J2078^3-6*$J2078^2+3*$J2078)+INDIRECT("C$"&amp;4+MIN(2,ROUNDDOWN(I2078,0))*3)*(-3*$J2078^3+3*$J2078^2)+INDIRECT("C$"&amp;5+MIN(2,ROUNDDOWN(I2078,0))*3)*$J2078^3</f>
      </c>
      <c r="L2078" s="7">
        <f>INDIRECT("D$"&amp;2+MIN(2,ROUNDDOWN(I2078,0))*3)*(-$J2078^3+3*$J2078^2-3*$J2078+1)+INDIRECT("D$"&amp;3+MIN(2,ROUNDDOWN(I2078,0))*3)*(3*$J2078^3-6*$J2078^2+3*$J2078)+INDIRECT("D$"&amp;4+MIN(2,ROUNDDOWN(I2078,0))*3)*(-3*$J2078^3+3*$J2078^2)+INDIRECT("D$"&amp;5+MIN(2,ROUNDDOWN(I2078,0))*3)*$J2078^3</f>
      </c>
      <c r="M2078" s="7">
        <f>SQRT(K2078^2+L2078^2)</f>
      </c>
      <c r="N2078" s="7">
        <f>(K2079-K2077)</f>
      </c>
      <c r="O2078" s="7">
        <f>+(L2079-L2077)</f>
      </c>
      <c r="P2078" s="7">
        <f>SQRT(O2078^2+N2078^2)</f>
      </c>
      <c r="Q2078" s="7">
        <f>N2078/$P2078</f>
      </c>
      <c r="R2078" s="7">
        <f>O2078/$P2078</f>
      </c>
      <c r="S2078" s="8">
        <f>Q2078^2+R2078^2</f>
      </c>
      <c r="T2078" s="7">
        <f>-R2078</f>
      </c>
      <c r="U2078" s="7">
        <f>Q2078</f>
      </c>
      <c r="V2078" s="7">
        <f>($C$14+($C$15-$C$14)/($D$15-$D$14)*(I2078-$D$14))/2</f>
      </c>
      <c r="W2078" s="7">
        <f>($B$22*I2078^4+$C$22*I2078^3+$D$22*I2078^2+$E$22*I2078+$F$22)/2</f>
      </c>
      <c r="X2078" s="7">
        <f>($W2078)*(T2078)</f>
      </c>
      <c r="Y2078" s="7">
        <f>($W2078)*(U2078)</f>
      </c>
      <c r="Z2078" s="7">
        <f>SQRT(X2078^2+Y2078^2)</f>
      </c>
      <c r="AA2078" s="7">
        <f>$K2078+$X2078</f>
      </c>
      <c r="AB2078" s="7">
        <f>$L2078+$Y2078</f>
      </c>
      <c r="AC2078" s="7">
        <f>$K2078-$X2078</f>
      </c>
      <c r="AD2078" s="7">
        <f>$L2078-$Y2078</f>
      </c>
      <c r="AE2078" s="7">
        <f>AA2078/39.3701</f>
      </c>
      <c r="AF2078" s="7">
        <f>AB2078/39.3701</f>
      </c>
      <c r="AG2078" s="7">
        <f>AC2078/39.3701</f>
      </c>
      <c r="AH2078" s="7">
        <f>AD2078/39.3701</f>
      </c>
      <c r="AI2078" s="1"/>
      <c r="AJ2078" s="1"/>
      <c r="AK2078" s="1"/>
      <c r="AL2078" s="1"/>
      <c r="AM2078" s="2"/>
      <c r="AN2078" s="1"/>
      <c r="AO2078" s="1"/>
      <c r="AP2078" s="1"/>
      <c r="AQ2078" s="1"/>
      <c r="AR2078" s="1"/>
      <c r="AS2078" s="1"/>
      <c r="AT2078" s="1"/>
      <c r="AU2078" s="1"/>
      <c r="AV2078" s="1"/>
      <c r="AW2078" s="1"/>
      <c r="AX2078" s="1"/>
      <c r="AY2078" s="1"/>
      <c r="AZ2078" s="1"/>
      <c r="BA2078" s="1"/>
      <c r="BB2078" s="1"/>
      <c r="BC2078" s="1"/>
      <c r="BD2078" s="1"/>
      <c r="BE2078" s="1"/>
    </row>
    <row x14ac:dyDescent="0.25" r="2079" customHeight="1" ht="18.75">
      <c r="A2079" s="1"/>
      <c r="B2079" s="2"/>
      <c r="C2079" s="2"/>
      <c r="D2079" s="2"/>
      <c r="E2079" s="2"/>
      <c r="F2079" s="2"/>
      <c r="G2079" s="1"/>
      <c r="H2079" s="1"/>
      <c r="I2079" s="7">
        <v>2.076</v>
      </c>
      <c r="J2079" s="7">
        <f>IF((I2079-ROUNDDOWN(I2079,0))=0, 0, (I2079-ROUNDDOWN(I2079,0)))</f>
      </c>
      <c r="K2079" s="7">
        <f>INDIRECT("C$"&amp;2+MIN(2,ROUNDDOWN(I2079,0))*3)*(-$J2079^3+3*$J2079^2-3*$J2079+1)+INDIRECT("C$"&amp;3+MIN(2,ROUNDDOWN(I2079,0))*3)*(3*$J2079^3-6*$J2079^2+3*$J2079)+INDIRECT("C$"&amp;4+MIN(2,ROUNDDOWN(I2079,0))*3)*(-3*$J2079^3+3*$J2079^2)+INDIRECT("C$"&amp;5+MIN(2,ROUNDDOWN(I2079,0))*3)*$J2079^3</f>
      </c>
      <c r="L2079" s="7">
        <f>INDIRECT("D$"&amp;2+MIN(2,ROUNDDOWN(I2079,0))*3)*(-$J2079^3+3*$J2079^2-3*$J2079+1)+INDIRECT("D$"&amp;3+MIN(2,ROUNDDOWN(I2079,0))*3)*(3*$J2079^3-6*$J2079^2+3*$J2079)+INDIRECT("D$"&amp;4+MIN(2,ROUNDDOWN(I2079,0))*3)*(-3*$J2079^3+3*$J2079^2)+INDIRECT("D$"&amp;5+MIN(2,ROUNDDOWN(I2079,0))*3)*$J2079^3</f>
      </c>
      <c r="M2079" s="7">
        <f>SQRT(K2079^2+L2079^2)</f>
      </c>
      <c r="N2079" s="7">
        <f>(K2080-K2078)</f>
      </c>
      <c r="O2079" s="7">
        <f>+(L2080-L2078)</f>
      </c>
      <c r="P2079" s="7">
        <f>SQRT(O2079^2+N2079^2)</f>
      </c>
      <c r="Q2079" s="7">
        <f>N2079/$P2079</f>
      </c>
      <c r="R2079" s="7">
        <f>O2079/$P2079</f>
      </c>
      <c r="S2079" s="8">
        <f>Q2079^2+R2079^2</f>
      </c>
      <c r="T2079" s="7">
        <f>-R2079</f>
      </c>
      <c r="U2079" s="7">
        <f>Q2079</f>
      </c>
      <c r="V2079" s="7">
        <f>($C$14+($C$15-$C$14)/($D$15-$D$14)*(I2079-$D$14))/2</f>
      </c>
      <c r="W2079" s="7">
        <f>($B$22*I2079^4+$C$22*I2079^3+$D$22*I2079^2+$E$22*I2079+$F$22)/2</f>
      </c>
      <c r="X2079" s="7">
        <f>($W2079)*(T2079)</f>
      </c>
      <c r="Y2079" s="7">
        <f>($W2079)*(U2079)</f>
      </c>
      <c r="Z2079" s="7">
        <f>SQRT(X2079^2+Y2079^2)</f>
      </c>
      <c r="AA2079" s="7">
        <f>$K2079+$X2079</f>
      </c>
      <c r="AB2079" s="7">
        <f>$L2079+$Y2079</f>
      </c>
      <c r="AC2079" s="7">
        <f>$K2079-$X2079</f>
      </c>
      <c r="AD2079" s="7">
        <f>$L2079-$Y2079</f>
      </c>
      <c r="AE2079" s="7">
        <f>AA2079/39.3701</f>
      </c>
      <c r="AF2079" s="7">
        <f>AB2079/39.3701</f>
      </c>
      <c r="AG2079" s="7">
        <f>AC2079/39.3701</f>
      </c>
      <c r="AH2079" s="7">
        <f>AD2079/39.3701</f>
      </c>
      <c r="AI2079" s="1"/>
      <c r="AJ2079" s="1"/>
      <c r="AK2079" s="1"/>
      <c r="AL2079" s="1"/>
      <c r="AM2079" s="2"/>
      <c r="AN2079" s="1"/>
      <c r="AO2079" s="1"/>
      <c r="AP2079" s="1"/>
      <c r="AQ2079" s="1"/>
      <c r="AR2079" s="1"/>
      <c r="AS2079" s="1"/>
      <c r="AT2079" s="1"/>
      <c r="AU2079" s="1"/>
      <c r="AV2079" s="1"/>
      <c r="AW2079" s="1"/>
      <c r="AX2079" s="1"/>
      <c r="AY2079" s="1"/>
      <c r="AZ2079" s="1"/>
      <c r="BA2079" s="1"/>
      <c r="BB2079" s="1"/>
      <c r="BC2079" s="1"/>
      <c r="BD2079" s="1"/>
      <c r="BE2079" s="1"/>
    </row>
    <row x14ac:dyDescent="0.25" r="2080" customHeight="1" ht="18.75">
      <c r="A2080" s="1"/>
      <c r="B2080" s="2"/>
      <c r="C2080" s="2"/>
      <c r="D2080" s="2"/>
      <c r="E2080" s="2"/>
      <c r="F2080" s="2"/>
      <c r="G2080" s="1"/>
      <c r="H2080" s="1"/>
      <c r="I2080" s="7">
        <v>2.077</v>
      </c>
      <c r="J2080" s="7">
        <f>IF((I2080-ROUNDDOWN(I2080,0))=0, 0, (I2080-ROUNDDOWN(I2080,0)))</f>
      </c>
      <c r="K2080" s="7">
        <f>INDIRECT("C$"&amp;2+MIN(2,ROUNDDOWN(I2080,0))*3)*(-$J2080^3+3*$J2080^2-3*$J2080+1)+INDIRECT("C$"&amp;3+MIN(2,ROUNDDOWN(I2080,0))*3)*(3*$J2080^3-6*$J2080^2+3*$J2080)+INDIRECT("C$"&amp;4+MIN(2,ROUNDDOWN(I2080,0))*3)*(-3*$J2080^3+3*$J2080^2)+INDIRECT("C$"&amp;5+MIN(2,ROUNDDOWN(I2080,0))*3)*$J2080^3</f>
      </c>
      <c r="L2080" s="7">
        <f>INDIRECT("D$"&amp;2+MIN(2,ROUNDDOWN(I2080,0))*3)*(-$J2080^3+3*$J2080^2-3*$J2080+1)+INDIRECT("D$"&amp;3+MIN(2,ROUNDDOWN(I2080,0))*3)*(3*$J2080^3-6*$J2080^2+3*$J2080)+INDIRECT("D$"&amp;4+MIN(2,ROUNDDOWN(I2080,0))*3)*(-3*$J2080^3+3*$J2080^2)+INDIRECT("D$"&amp;5+MIN(2,ROUNDDOWN(I2080,0))*3)*$J2080^3</f>
      </c>
      <c r="M2080" s="7">
        <f>SQRT(K2080^2+L2080^2)</f>
      </c>
      <c r="N2080" s="7">
        <f>(K2081-K2079)</f>
      </c>
      <c r="O2080" s="7">
        <f>+(L2081-L2079)</f>
      </c>
      <c r="P2080" s="7">
        <f>SQRT(O2080^2+N2080^2)</f>
      </c>
      <c r="Q2080" s="7">
        <f>N2080/$P2080</f>
      </c>
      <c r="R2080" s="7">
        <f>O2080/$P2080</f>
      </c>
      <c r="S2080" s="7">
        <f>Q2080^2+R2080^2</f>
      </c>
      <c r="T2080" s="7">
        <f>-R2080</f>
      </c>
      <c r="U2080" s="7">
        <f>Q2080</f>
      </c>
      <c r="V2080" s="7">
        <f>($C$14+($C$15-$C$14)/($D$15-$D$14)*(I2080-$D$14))/2</f>
      </c>
      <c r="W2080" s="7">
        <f>($B$22*I2080^4+$C$22*I2080^3+$D$22*I2080^2+$E$22*I2080+$F$22)/2</f>
      </c>
      <c r="X2080" s="7">
        <f>($W2080)*(T2080)</f>
      </c>
      <c r="Y2080" s="7">
        <f>($W2080)*(U2080)</f>
      </c>
      <c r="Z2080" s="7">
        <f>SQRT(X2080^2+Y2080^2)</f>
      </c>
      <c r="AA2080" s="7">
        <f>$K2080+$X2080</f>
      </c>
      <c r="AB2080" s="7">
        <f>$L2080+$Y2080</f>
      </c>
      <c r="AC2080" s="7">
        <f>$K2080-$X2080</f>
      </c>
      <c r="AD2080" s="7">
        <f>$L2080-$Y2080</f>
      </c>
      <c r="AE2080" s="7">
        <f>AA2080/39.3701</f>
      </c>
      <c r="AF2080" s="7">
        <f>AB2080/39.3701</f>
      </c>
      <c r="AG2080" s="7">
        <f>AC2080/39.3701</f>
      </c>
      <c r="AH2080" s="7">
        <f>AD2080/39.3701</f>
      </c>
      <c r="AI2080" s="1"/>
      <c r="AJ2080" s="1"/>
      <c r="AK2080" s="1"/>
      <c r="AL2080" s="1"/>
      <c r="AM2080" s="2"/>
      <c r="AN2080" s="1"/>
      <c r="AO2080" s="1"/>
      <c r="AP2080" s="1"/>
      <c r="AQ2080" s="1"/>
      <c r="AR2080" s="1"/>
      <c r="AS2080" s="1"/>
      <c r="AT2080" s="1"/>
      <c r="AU2080" s="1"/>
      <c r="AV2080" s="1"/>
      <c r="AW2080" s="1"/>
      <c r="AX2080" s="1"/>
      <c r="AY2080" s="1"/>
      <c r="AZ2080" s="1"/>
      <c r="BA2080" s="1"/>
      <c r="BB2080" s="1"/>
      <c r="BC2080" s="1"/>
      <c r="BD2080" s="1"/>
      <c r="BE2080" s="1"/>
    </row>
    <row x14ac:dyDescent="0.25" r="2081" customHeight="1" ht="18.75">
      <c r="A2081" s="1"/>
      <c r="B2081" s="2"/>
      <c r="C2081" s="2"/>
      <c r="D2081" s="2"/>
      <c r="E2081" s="2"/>
      <c r="F2081" s="2"/>
      <c r="G2081" s="1"/>
      <c r="H2081" s="1"/>
      <c r="I2081" s="7">
        <v>2.078</v>
      </c>
      <c r="J2081" s="7">
        <f>IF((I2081-ROUNDDOWN(I2081,0))=0, 0, (I2081-ROUNDDOWN(I2081,0)))</f>
      </c>
      <c r="K2081" s="7">
        <f>INDIRECT("C$"&amp;2+MIN(2,ROUNDDOWN(I2081,0))*3)*(-$J2081^3+3*$J2081^2-3*$J2081+1)+INDIRECT("C$"&amp;3+MIN(2,ROUNDDOWN(I2081,0))*3)*(3*$J2081^3-6*$J2081^2+3*$J2081)+INDIRECT("C$"&amp;4+MIN(2,ROUNDDOWN(I2081,0))*3)*(-3*$J2081^3+3*$J2081^2)+INDIRECT("C$"&amp;5+MIN(2,ROUNDDOWN(I2081,0))*3)*$J2081^3</f>
      </c>
      <c r="L2081" s="7">
        <f>INDIRECT("D$"&amp;2+MIN(2,ROUNDDOWN(I2081,0))*3)*(-$J2081^3+3*$J2081^2-3*$J2081+1)+INDIRECT("D$"&amp;3+MIN(2,ROUNDDOWN(I2081,0))*3)*(3*$J2081^3-6*$J2081^2+3*$J2081)+INDIRECT("D$"&amp;4+MIN(2,ROUNDDOWN(I2081,0))*3)*(-3*$J2081^3+3*$J2081^2)+INDIRECT("D$"&amp;5+MIN(2,ROUNDDOWN(I2081,0))*3)*$J2081^3</f>
      </c>
      <c r="M2081" s="7">
        <f>SQRT(K2081^2+L2081^2)</f>
      </c>
      <c r="N2081" s="7">
        <f>(K2082-K2080)</f>
      </c>
      <c r="O2081" s="7">
        <f>+(L2082-L2080)</f>
      </c>
      <c r="P2081" s="7">
        <f>SQRT(O2081^2+N2081^2)</f>
      </c>
      <c r="Q2081" s="7">
        <f>N2081/$P2081</f>
      </c>
      <c r="R2081" s="7">
        <f>O2081/$P2081</f>
      </c>
      <c r="S2081" s="7">
        <f>Q2081^2+R2081^2</f>
      </c>
      <c r="T2081" s="7">
        <f>-R2081</f>
      </c>
      <c r="U2081" s="7">
        <f>Q2081</f>
      </c>
      <c r="V2081" s="7">
        <f>($C$14+($C$15-$C$14)/($D$15-$D$14)*(I2081-$D$14))/2</f>
      </c>
      <c r="W2081" s="7">
        <f>($B$22*I2081^4+$C$22*I2081^3+$D$22*I2081^2+$E$22*I2081+$F$22)/2</f>
      </c>
      <c r="X2081" s="7">
        <f>($W2081)*(T2081)</f>
      </c>
      <c r="Y2081" s="7">
        <f>($W2081)*(U2081)</f>
      </c>
      <c r="Z2081" s="7">
        <f>SQRT(X2081^2+Y2081^2)</f>
      </c>
      <c r="AA2081" s="7">
        <f>$K2081+$X2081</f>
      </c>
      <c r="AB2081" s="7">
        <f>$L2081+$Y2081</f>
      </c>
      <c r="AC2081" s="7">
        <f>$K2081-$X2081</f>
      </c>
      <c r="AD2081" s="7">
        <f>$L2081-$Y2081</f>
      </c>
      <c r="AE2081" s="7">
        <f>AA2081/39.3701</f>
      </c>
      <c r="AF2081" s="7">
        <f>AB2081/39.3701</f>
      </c>
      <c r="AG2081" s="7">
        <f>AC2081/39.3701</f>
      </c>
      <c r="AH2081" s="7">
        <f>AD2081/39.3701</f>
      </c>
      <c r="AI2081" s="1"/>
      <c r="AJ2081" s="1"/>
      <c r="AK2081" s="1"/>
      <c r="AL2081" s="1"/>
      <c r="AM2081" s="2"/>
      <c r="AN2081" s="1"/>
      <c r="AO2081" s="1"/>
      <c r="AP2081" s="1"/>
      <c r="AQ2081" s="1"/>
      <c r="AR2081" s="1"/>
      <c r="AS2081" s="1"/>
      <c r="AT2081" s="1"/>
      <c r="AU2081" s="1"/>
      <c r="AV2081" s="1"/>
      <c r="AW2081" s="1"/>
      <c r="AX2081" s="1"/>
      <c r="AY2081" s="1"/>
      <c r="AZ2081" s="1"/>
      <c r="BA2081" s="1"/>
      <c r="BB2081" s="1"/>
      <c r="BC2081" s="1"/>
      <c r="BD2081" s="1"/>
      <c r="BE2081" s="1"/>
    </row>
    <row x14ac:dyDescent="0.25" r="2082" customHeight="1" ht="18.75">
      <c r="A2082" s="1"/>
      <c r="B2082" s="2"/>
      <c r="C2082" s="2"/>
      <c r="D2082" s="2"/>
      <c r="E2082" s="2"/>
      <c r="F2082" s="2"/>
      <c r="G2082" s="1"/>
      <c r="H2082" s="1"/>
      <c r="I2082" s="7">
        <v>2.079</v>
      </c>
      <c r="J2082" s="7">
        <f>IF((I2082-ROUNDDOWN(I2082,0))=0, 0, (I2082-ROUNDDOWN(I2082,0)))</f>
      </c>
      <c r="K2082" s="7">
        <f>INDIRECT("C$"&amp;2+MIN(2,ROUNDDOWN(I2082,0))*3)*(-$J2082^3+3*$J2082^2-3*$J2082+1)+INDIRECT("C$"&amp;3+MIN(2,ROUNDDOWN(I2082,0))*3)*(3*$J2082^3-6*$J2082^2+3*$J2082)+INDIRECT("C$"&amp;4+MIN(2,ROUNDDOWN(I2082,0))*3)*(-3*$J2082^3+3*$J2082^2)+INDIRECT("C$"&amp;5+MIN(2,ROUNDDOWN(I2082,0))*3)*$J2082^3</f>
      </c>
      <c r="L2082" s="7">
        <f>INDIRECT("D$"&amp;2+MIN(2,ROUNDDOWN(I2082,0))*3)*(-$J2082^3+3*$J2082^2-3*$J2082+1)+INDIRECT("D$"&amp;3+MIN(2,ROUNDDOWN(I2082,0))*3)*(3*$J2082^3-6*$J2082^2+3*$J2082)+INDIRECT("D$"&amp;4+MIN(2,ROUNDDOWN(I2082,0))*3)*(-3*$J2082^3+3*$J2082^2)+INDIRECT("D$"&amp;5+MIN(2,ROUNDDOWN(I2082,0))*3)*$J2082^3</f>
      </c>
      <c r="M2082" s="7">
        <f>SQRT(K2082^2+L2082^2)</f>
      </c>
      <c r="N2082" s="7">
        <f>(K2083-K2081)</f>
      </c>
      <c r="O2082" s="7">
        <f>+(L2083-L2081)</f>
      </c>
      <c r="P2082" s="7">
        <f>SQRT(O2082^2+N2082^2)</f>
      </c>
      <c r="Q2082" s="7">
        <f>N2082/$P2082</f>
      </c>
      <c r="R2082" s="7">
        <f>O2082/$P2082</f>
      </c>
      <c r="S2082" s="8">
        <f>Q2082^2+R2082^2</f>
      </c>
      <c r="T2082" s="7">
        <f>-R2082</f>
      </c>
      <c r="U2082" s="7">
        <f>Q2082</f>
      </c>
      <c r="V2082" s="7">
        <f>($C$14+($C$15-$C$14)/($D$15-$D$14)*(I2082-$D$14))/2</f>
      </c>
      <c r="W2082" s="7">
        <f>($B$22*I2082^4+$C$22*I2082^3+$D$22*I2082^2+$E$22*I2082+$F$22)/2</f>
      </c>
      <c r="X2082" s="7">
        <f>($W2082)*(T2082)</f>
      </c>
      <c r="Y2082" s="7">
        <f>($W2082)*(U2082)</f>
      </c>
      <c r="Z2082" s="7">
        <f>SQRT(X2082^2+Y2082^2)</f>
      </c>
      <c r="AA2082" s="7">
        <f>$K2082+$X2082</f>
      </c>
      <c r="AB2082" s="7">
        <f>$L2082+$Y2082</f>
      </c>
      <c r="AC2082" s="7">
        <f>$K2082-$X2082</f>
      </c>
      <c r="AD2082" s="7">
        <f>$L2082-$Y2082</f>
      </c>
      <c r="AE2082" s="7">
        <f>AA2082/39.3701</f>
      </c>
      <c r="AF2082" s="7">
        <f>AB2082/39.3701</f>
      </c>
      <c r="AG2082" s="7">
        <f>AC2082/39.3701</f>
      </c>
      <c r="AH2082" s="7">
        <f>AD2082/39.3701</f>
      </c>
      <c r="AI2082" s="1"/>
      <c r="AJ2082" s="1"/>
      <c r="AK2082" s="1"/>
      <c r="AL2082" s="1"/>
      <c r="AM2082" s="2"/>
      <c r="AN2082" s="1"/>
      <c r="AO2082" s="1"/>
      <c r="AP2082" s="1"/>
      <c r="AQ2082" s="1"/>
      <c r="AR2082" s="1"/>
      <c r="AS2082" s="1"/>
      <c r="AT2082" s="1"/>
      <c r="AU2082" s="1"/>
      <c r="AV2082" s="1"/>
      <c r="AW2082" s="1"/>
      <c r="AX2082" s="1"/>
      <c r="AY2082" s="1"/>
      <c r="AZ2082" s="1"/>
      <c r="BA2082" s="1"/>
      <c r="BB2082" s="1"/>
      <c r="BC2082" s="1"/>
      <c r="BD2082" s="1"/>
      <c r="BE2082" s="1"/>
    </row>
    <row x14ac:dyDescent="0.25" r="2083" customHeight="1" ht="18.75">
      <c r="A2083" s="1"/>
      <c r="B2083" s="2"/>
      <c r="C2083" s="2"/>
      <c r="D2083" s="2"/>
      <c r="E2083" s="2"/>
      <c r="F2083" s="2"/>
      <c r="G2083" s="1"/>
      <c r="H2083" s="1"/>
      <c r="I2083" s="7">
        <v>2.08</v>
      </c>
      <c r="J2083" s="7">
        <f>IF((I2083-ROUNDDOWN(I2083,0))=0, 0, (I2083-ROUNDDOWN(I2083,0)))</f>
      </c>
      <c r="K2083" s="7">
        <f>INDIRECT("C$"&amp;2+MIN(2,ROUNDDOWN(I2083,0))*3)*(-$J2083^3+3*$J2083^2-3*$J2083+1)+INDIRECT("C$"&amp;3+MIN(2,ROUNDDOWN(I2083,0))*3)*(3*$J2083^3-6*$J2083^2+3*$J2083)+INDIRECT("C$"&amp;4+MIN(2,ROUNDDOWN(I2083,0))*3)*(-3*$J2083^3+3*$J2083^2)+INDIRECT("C$"&amp;5+MIN(2,ROUNDDOWN(I2083,0))*3)*$J2083^3</f>
      </c>
      <c r="L2083" s="7">
        <f>INDIRECT("D$"&amp;2+MIN(2,ROUNDDOWN(I2083,0))*3)*(-$J2083^3+3*$J2083^2-3*$J2083+1)+INDIRECT("D$"&amp;3+MIN(2,ROUNDDOWN(I2083,0))*3)*(3*$J2083^3-6*$J2083^2+3*$J2083)+INDIRECT("D$"&amp;4+MIN(2,ROUNDDOWN(I2083,0))*3)*(-3*$J2083^3+3*$J2083^2)+INDIRECT("D$"&amp;5+MIN(2,ROUNDDOWN(I2083,0))*3)*$J2083^3</f>
      </c>
      <c r="M2083" s="7">
        <f>SQRT(K2083^2+L2083^2)</f>
      </c>
      <c r="N2083" s="7">
        <f>(K2084-K2082)</f>
      </c>
      <c r="O2083" s="7">
        <f>+(L2084-L2082)</f>
      </c>
      <c r="P2083" s="7">
        <f>SQRT(O2083^2+N2083^2)</f>
      </c>
      <c r="Q2083" s="7">
        <f>N2083/$P2083</f>
      </c>
      <c r="R2083" s="7">
        <f>O2083/$P2083</f>
      </c>
      <c r="S2083" s="7">
        <f>Q2083^2+R2083^2</f>
      </c>
      <c r="T2083" s="7">
        <f>-R2083</f>
      </c>
      <c r="U2083" s="7">
        <f>Q2083</f>
      </c>
      <c r="V2083" s="7">
        <f>($C$14+($C$15-$C$14)/($D$15-$D$14)*(I2083-$D$14))/2</f>
      </c>
      <c r="W2083" s="7">
        <f>($B$22*I2083^4+$C$22*I2083^3+$D$22*I2083^2+$E$22*I2083+$F$22)/2</f>
      </c>
      <c r="X2083" s="7">
        <f>($W2083)*(T2083)</f>
      </c>
      <c r="Y2083" s="7">
        <f>($W2083)*(U2083)</f>
      </c>
      <c r="Z2083" s="7">
        <f>SQRT(X2083^2+Y2083^2)</f>
      </c>
      <c r="AA2083" s="7">
        <f>$K2083+$X2083</f>
      </c>
      <c r="AB2083" s="7">
        <f>$L2083+$Y2083</f>
      </c>
      <c r="AC2083" s="7">
        <f>$K2083-$X2083</f>
      </c>
      <c r="AD2083" s="7">
        <f>$L2083-$Y2083</f>
      </c>
      <c r="AE2083" s="7">
        <f>AA2083/39.3701</f>
      </c>
      <c r="AF2083" s="7">
        <f>AB2083/39.3701</f>
      </c>
      <c r="AG2083" s="7">
        <f>AC2083/39.3701</f>
      </c>
      <c r="AH2083" s="7">
        <f>AD2083/39.3701</f>
      </c>
      <c r="AI2083" s="1"/>
      <c r="AJ2083" s="1"/>
      <c r="AK2083" s="1"/>
      <c r="AL2083" s="1"/>
      <c r="AM2083" s="2"/>
      <c r="AN2083" s="1"/>
      <c r="AO2083" s="1"/>
      <c r="AP2083" s="1"/>
      <c r="AQ2083" s="1"/>
      <c r="AR2083" s="1"/>
      <c r="AS2083" s="1"/>
      <c r="AT2083" s="1"/>
      <c r="AU2083" s="1"/>
      <c r="AV2083" s="1"/>
      <c r="AW2083" s="1"/>
      <c r="AX2083" s="1"/>
      <c r="AY2083" s="1"/>
      <c r="AZ2083" s="1"/>
      <c r="BA2083" s="1"/>
      <c r="BB2083" s="1"/>
      <c r="BC2083" s="1"/>
      <c r="BD2083" s="1"/>
      <c r="BE2083" s="1"/>
    </row>
    <row x14ac:dyDescent="0.25" r="2084" customHeight="1" ht="18.75">
      <c r="A2084" s="1"/>
      <c r="B2084" s="2"/>
      <c r="C2084" s="2"/>
      <c r="D2084" s="2"/>
      <c r="E2084" s="2"/>
      <c r="F2084" s="2"/>
      <c r="G2084" s="1"/>
      <c r="H2084" s="1"/>
      <c r="I2084" s="7">
        <v>2.081</v>
      </c>
      <c r="J2084" s="7">
        <f>IF((I2084-ROUNDDOWN(I2084,0))=0, 0, (I2084-ROUNDDOWN(I2084,0)))</f>
      </c>
      <c r="K2084" s="7">
        <f>INDIRECT("C$"&amp;2+MIN(2,ROUNDDOWN(I2084,0))*3)*(-$J2084^3+3*$J2084^2-3*$J2084+1)+INDIRECT("C$"&amp;3+MIN(2,ROUNDDOWN(I2084,0))*3)*(3*$J2084^3-6*$J2084^2+3*$J2084)+INDIRECT("C$"&amp;4+MIN(2,ROUNDDOWN(I2084,0))*3)*(-3*$J2084^3+3*$J2084^2)+INDIRECT("C$"&amp;5+MIN(2,ROUNDDOWN(I2084,0))*3)*$J2084^3</f>
      </c>
      <c r="L2084" s="7">
        <f>INDIRECT("D$"&amp;2+MIN(2,ROUNDDOWN(I2084,0))*3)*(-$J2084^3+3*$J2084^2-3*$J2084+1)+INDIRECT("D$"&amp;3+MIN(2,ROUNDDOWN(I2084,0))*3)*(3*$J2084^3-6*$J2084^2+3*$J2084)+INDIRECT("D$"&amp;4+MIN(2,ROUNDDOWN(I2084,0))*3)*(-3*$J2084^3+3*$J2084^2)+INDIRECT("D$"&amp;5+MIN(2,ROUNDDOWN(I2084,0))*3)*$J2084^3</f>
      </c>
      <c r="M2084" s="7">
        <f>SQRT(K2084^2+L2084^2)</f>
      </c>
      <c r="N2084" s="7">
        <f>(K2085-K2083)</f>
      </c>
      <c r="O2084" s="7">
        <f>+(L2085-L2083)</f>
      </c>
      <c r="P2084" s="7">
        <f>SQRT(O2084^2+N2084^2)</f>
      </c>
      <c r="Q2084" s="7">
        <f>N2084/$P2084</f>
      </c>
      <c r="R2084" s="7">
        <f>O2084/$P2084</f>
      </c>
      <c r="S2084" s="8">
        <f>Q2084^2+R2084^2</f>
      </c>
      <c r="T2084" s="7">
        <f>-R2084</f>
      </c>
      <c r="U2084" s="7">
        <f>Q2084</f>
      </c>
      <c r="V2084" s="7">
        <f>($C$14+($C$15-$C$14)/($D$15-$D$14)*(I2084-$D$14))/2</f>
      </c>
      <c r="W2084" s="7">
        <f>($B$22*I2084^4+$C$22*I2084^3+$D$22*I2084^2+$E$22*I2084+$F$22)/2</f>
      </c>
      <c r="X2084" s="7">
        <f>($W2084)*(T2084)</f>
      </c>
      <c r="Y2084" s="7">
        <f>($W2084)*(U2084)</f>
      </c>
      <c r="Z2084" s="7">
        <f>SQRT(X2084^2+Y2084^2)</f>
      </c>
      <c r="AA2084" s="7">
        <f>$K2084+$X2084</f>
      </c>
      <c r="AB2084" s="7">
        <f>$L2084+$Y2084</f>
      </c>
      <c r="AC2084" s="7">
        <f>$K2084-$X2084</f>
      </c>
      <c r="AD2084" s="7">
        <f>$L2084-$Y2084</f>
      </c>
      <c r="AE2084" s="7">
        <f>AA2084/39.3701</f>
      </c>
      <c r="AF2084" s="7">
        <f>AB2084/39.3701</f>
      </c>
      <c r="AG2084" s="7">
        <f>AC2084/39.3701</f>
      </c>
      <c r="AH2084" s="7">
        <f>AD2084/39.3701</f>
      </c>
      <c r="AI2084" s="1"/>
      <c r="AJ2084" s="1"/>
      <c r="AK2084" s="1"/>
      <c r="AL2084" s="1"/>
      <c r="AM2084" s="2"/>
      <c r="AN2084" s="1"/>
      <c r="AO2084" s="1"/>
      <c r="AP2084" s="1"/>
      <c r="AQ2084" s="1"/>
      <c r="AR2084" s="1"/>
      <c r="AS2084" s="1"/>
      <c r="AT2084" s="1"/>
      <c r="AU2084" s="1"/>
      <c r="AV2084" s="1"/>
      <c r="AW2084" s="1"/>
      <c r="AX2084" s="1"/>
      <c r="AY2084" s="1"/>
      <c r="AZ2084" s="1"/>
      <c r="BA2084" s="1"/>
      <c r="BB2084" s="1"/>
      <c r="BC2084" s="1"/>
      <c r="BD2084" s="1"/>
      <c r="BE2084" s="1"/>
    </row>
    <row x14ac:dyDescent="0.25" r="2085" customHeight="1" ht="18.75">
      <c r="A2085" s="1"/>
      <c r="B2085" s="2"/>
      <c r="C2085" s="2"/>
      <c r="D2085" s="2"/>
      <c r="E2085" s="2"/>
      <c r="F2085" s="2"/>
      <c r="G2085" s="1"/>
      <c r="H2085" s="1"/>
      <c r="I2085" s="7">
        <v>2.082</v>
      </c>
      <c r="J2085" s="7">
        <f>IF((I2085-ROUNDDOWN(I2085,0))=0, 0, (I2085-ROUNDDOWN(I2085,0)))</f>
      </c>
      <c r="K2085" s="7">
        <f>INDIRECT("C$"&amp;2+MIN(2,ROUNDDOWN(I2085,0))*3)*(-$J2085^3+3*$J2085^2-3*$J2085+1)+INDIRECT("C$"&amp;3+MIN(2,ROUNDDOWN(I2085,0))*3)*(3*$J2085^3-6*$J2085^2+3*$J2085)+INDIRECT("C$"&amp;4+MIN(2,ROUNDDOWN(I2085,0))*3)*(-3*$J2085^3+3*$J2085^2)+INDIRECT("C$"&amp;5+MIN(2,ROUNDDOWN(I2085,0))*3)*$J2085^3</f>
      </c>
      <c r="L2085" s="7">
        <f>INDIRECT("D$"&amp;2+MIN(2,ROUNDDOWN(I2085,0))*3)*(-$J2085^3+3*$J2085^2-3*$J2085+1)+INDIRECT("D$"&amp;3+MIN(2,ROUNDDOWN(I2085,0))*3)*(3*$J2085^3-6*$J2085^2+3*$J2085)+INDIRECT("D$"&amp;4+MIN(2,ROUNDDOWN(I2085,0))*3)*(-3*$J2085^3+3*$J2085^2)+INDIRECT("D$"&amp;5+MIN(2,ROUNDDOWN(I2085,0))*3)*$J2085^3</f>
      </c>
      <c r="M2085" s="7">
        <f>SQRT(K2085^2+L2085^2)</f>
      </c>
      <c r="N2085" s="7">
        <f>(K2086-K2084)</f>
      </c>
      <c r="O2085" s="7">
        <f>+(L2086-L2084)</f>
      </c>
      <c r="P2085" s="7">
        <f>SQRT(O2085^2+N2085^2)</f>
      </c>
      <c r="Q2085" s="7">
        <f>N2085/$P2085</f>
      </c>
      <c r="R2085" s="7">
        <f>O2085/$P2085</f>
      </c>
      <c r="S2085" s="8">
        <f>Q2085^2+R2085^2</f>
      </c>
      <c r="T2085" s="7">
        <f>-R2085</f>
      </c>
      <c r="U2085" s="7">
        <f>Q2085</f>
      </c>
      <c r="V2085" s="7">
        <f>($C$14+($C$15-$C$14)/($D$15-$D$14)*(I2085-$D$14))/2</f>
      </c>
      <c r="W2085" s="7">
        <f>($B$22*I2085^4+$C$22*I2085^3+$D$22*I2085^2+$E$22*I2085+$F$22)/2</f>
      </c>
      <c r="X2085" s="7">
        <f>($W2085)*(T2085)</f>
      </c>
      <c r="Y2085" s="7">
        <f>($W2085)*(U2085)</f>
      </c>
      <c r="Z2085" s="7">
        <f>SQRT(X2085^2+Y2085^2)</f>
      </c>
      <c r="AA2085" s="7">
        <f>$K2085+$X2085</f>
      </c>
      <c r="AB2085" s="7">
        <f>$L2085+$Y2085</f>
      </c>
      <c r="AC2085" s="7">
        <f>$K2085-$X2085</f>
      </c>
      <c r="AD2085" s="7">
        <f>$L2085-$Y2085</f>
      </c>
      <c r="AE2085" s="7">
        <f>AA2085/39.3701</f>
      </c>
      <c r="AF2085" s="7">
        <f>AB2085/39.3701</f>
      </c>
      <c r="AG2085" s="7">
        <f>AC2085/39.3701</f>
      </c>
      <c r="AH2085" s="7">
        <f>AD2085/39.3701</f>
      </c>
      <c r="AI2085" s="1"/>
      <c r="AJ2085" s="1"/>
      <c r="AK2085" s="1"/>
      <c r="AL2085" s="1"/>
      <c r="AM2085" s="2"/>
      <c r="AN2085" s="1"/>
      <c r="AO2085" s="1"/>
      <c r="AP2085" s="1"/>
      <c r="AQ2085" s="1"/>
      <c r="AR2085" s="1"/>
      <c r="AS2085" s="1"/>
      <c r="AT2085" s="1"/>
      <c r="AU2085" s="1"/>
      <c r="AV2085" s="1"/>
      <c r="AW2085" s="1"/>
      <c r="AX2085" s="1"/>
      <c r="AY2085" s="1"/>
      <c r="AZ2085" s="1"/>
      <c r="BA2085" s="1"/>
      <c r="BB2085" s="1"/>
      <c r="BC2085" s="1"/>
      <c r="BD2085" s="1"/>
      <c r="BE2085" s="1"/>
    </row>
    <row x14ac:dyDescent="0.25" r="2086" customHeight="1" ht="18.75">
      <c r="A2086" s="1"/>
      <c r="B2086" s="2"/>
      <c r="C2086" s="2"/>
      <c r="D2086" s="2"/>
      <c r="E2086" s="2"/>
      <c r="F2086" s="2"/>
      <c r="G2086" s="1"/>
      <c r="H2086" s="1"/>
      <c r="I2086" s="7">
        <v>2.083</v>
      </c>
      <c r="J2086" s="7">
        <f>IF((I2086-ROUNDDOWN(I2086,0))=0, 0, (I2086-ROUNDDOWN(I2086,0)))</f>
      </c>
      <c r="K2086" s="7">
        <f>INDIRECT("C$"&amp;2+MIN(2,ROUNDDOWN(I2086,0))*3)*(-$J2086^3+3*$J2086^2-3*$J2086+1)+INDIRECT("C$"&amp;3+MIN(2,ROUNDDOWN(I2086,0))*3)*(3*$J2086^3-6*$J2086^2+3*$J2086)+INDIRECT("C$"&amp;4+MIN(2,ROUNDDOWN(I2086,0))*3)*(-3*$J2086^3+3*$J2086^2)+INDIRECT("C$"&amp;5+MIN(2,ROUNDDOWN(I2086,0))*3)*$J2086^3</f>
      </c>
      <c r="L2086" s="7">
        <f>INDIRECT("D$"&amp;2+MIN(2,ROUNDDOWN(I2086,0))*3)*(-$J2086^3+3*$J2086^2-3*$J2086+1)+INDIRECT("D$"&amp;3+MIN(2,ROUNDDOWN(I2086,0))*3)*(3*$J2086^3-6*$J2086^2+3*$J2086)+INDIRECT("D$"&amp;4+MIN(2,ROUNDDOWN(I2086,0))*3)*(-3*$J2086^3+3*$J2086^2)+INDIRECT("D$"&amp;5+MIN(2,ROUNDDOWN(I2086,0))*3)*$J2086^3</f>
      </c>
      <c r="M2086" s="7">
        <f>SQRT(K2086^2+L2086^2)</f>
      </c>
      <c r="N2086" s="7">
        <f>(K2087-K2085)</f>
      </c>
      <c r="O2086" s="7">
        <f>+(L2087-L2085)</f>
      </c>
      <c r="P2086" s="7">
        <f>SQRT(O2086^2+N2086^2)</f>
      </c>
      <c r="Q2086" s="7">
        <f>N2086/$P2086</f>
      </c>
      <c r="R2086" s="7">
        <f>O2086/$P2086</f>
      </c>
      <c r="S2086" s="7">
        <f>Q2086^2+R2086^2</f>
      </c>
      <c r="T2086" s="7">
        <f>-R2086</f>
      </c>
      <c r="U2086" s="7">
        <f>Q2086</f>
      </c>
      <c r="V2086" s="7">
        <f>($C$14+($C$15-$C$14)/($D$15-$D$14)*(I2086-$D$14))/2</f>
      </c>
      <c r="W2086" s="7">
        <f>($B$22*I2086^4+$C$22*I2086^3+$D$22*I2086^2+$E$22*I2086+$F$22)/2</f>
      </c>
      <c r="X2086" s="7">
        <f>($W2086)*(T2086)</f>
      </c>
      <c r="Y2086" s="7">
        <f>($W2086)*(U2086)</f>
      </c>
      <c r="Z2086" s="7">
        <f>SQRT(X2086^2+Y2086^2)</f>
      </c>
      <c r="AA2086" s="7">
        <f>$K2086+$X2086</f>
      </c>
      <c r="AB2086" s="7">
        <f>$L2086+$Y2086</f>
      </c>
      <c r="AC2086" s="7">
        <f>$K2086-$X2086</f>
      </c>
      <c r="AD2086" s="7">
        <f>$L2086-$Y2086</f>
      </c>
      <c r="AE2086" s="7">
        <f>AA2086/39.3701</f>
      </c>
      <c r="AF2086" s="7">
        <f>AB2086/39.3701</f>
      </c>
      <c r="AG2086" s="7">
        <f>AC2086/39.3701</f>
      </c>
      <c r="AH2086" s="7">
        <f>AD2086/39.3701</f>
      </c>
      <c r="AI2086" s="1"/>
      <c r="AJ2086" s="1"/>
      <c r="AK2086" s="1"/>
      <c r="AL2086" s="1"/>
      <c r="AM2086" s="2"/>
      <c r="AN2086" s="1"/>
      <c r="AO2086" s="1"/>
      <c r="AP2086" s="1"/>
      <c r="AQ2086" s="1"/>
      <c r="AR2086" s="1"/>
      <c r="AS2086" s="1"/>
      <c r="AT2086" s="1"/>
      <c r="AU2086" s="1"/>
      <c r="AV2086" s="1"/>
      <c r="AW2086" s="1"/>
      <c r="AX2086" s="1"/>
      <c r="AY2086" s="1"/>
      <c r="AZ2086" s="1"/>
      <c r="BA2086" s="1"/>
      <c r="BB2086" s="1"/>
      <c r="BC2086" s="1"/>
      <c r="BD2086" s="1"/>
      <c r="BE2086" s="1"/>
    </row>
    <row x14ac:dyDescent="0.25" r="2087" customHeight="1" ht="18.75">
      <c r="A2087" s="1"/>
      <c r="B2087" s="2"/>
      <c r="C2087" s="2"/>
      <c r="D2087" s="2"/>
      <c r="E2087" s="2"/>
      <c r="F2087" s="2"/>
      <c r="G2087" s="1"/>
      <c r="H2087" s="1"/>
      <c r="I2087" s="7">
        <v>2.084</v>
      </c>
      <c r="J2087" s="7">
        <f>IF((I2087-ROUNDDOWN(I2087,0))=0, 0, (I2087-ROUNDDOWN(I2087,0)))</f>
      </c>
      <c r="K2087" s="7">
        <f>INDIRECT("C$"&amp;2+MIN(2,ROUNDDOWN(I2087,0))*3)*(-$J2087^3+3*$J2087^2-3*$J2087+1)+INDIRECT("C$"&amp;3+MIN(2,ROUNDDOWN(I2087,0))*3)*(3*$J2087^3-6*$J2087^2+3*$J2087)+INDIRECT("C$"&amp;4+MIN(2,ROUNDDOWN(I2087,0))*3)*(-3*$J2087^3+3*$J2087^2)+INDIRECT("C$"&amp;5+MIN(2,ROUNDDOWN(I2087,0))*3)*$J2087^3</f>
      </c>
      <c r="L2087" s="7">
        <f>INDIRECT("D$"&amp;2+MIN(2,ROUNDDOWN(I2087,0))*3)*(-$J2087^3+3*$J2087^2-3*$J2087+1)+INDIRECT("D$"&amp;3+MIN(2,ROUNDDOWN(I2087,0))*3)*(3*$J2087^3-6*$J2087^2+3*$J2087)+INDIRECT("D$"&amp;4+MIN(2,ROUNDDOWN(I2087,0))*3)*(-3*$J2087^3+3*$J2087^2)+INDIRECT("D$"&amp;5+MIN(2,ROUNDDOWN(I2087,0))*3)*$J2087^3</f>
      </c>
      <c r="M2087" s="7">
        <f>SQRT(K2087^2+L2087^2)</f>
      </c>
      <c r="N2087" s="7">
        <f>(K2088-K2086)</f>
      </c>
      <c r="O2087" s="7">
        <f>+(L2088-L2086)</f>
      </c>
      <c r="P2087" s="7">
        <f>SQRT(O2087^2+N2087^2)</f>
      </c>
      <c r="Q2087" s="7">
        <f>N2087/$P2087</f>
      </c>
      <c r="R2087" s="7">
        <f>O2087/$P2087</f>
      </c>
      <c r="S2087" s="7">
        <f>Q2087^2+R2087^2</f>
      </c>
      <c r="T2087" s="7">
        <f>-R2087</f>
      </c>
      <c r="U2087" s="7">
        <f>Q2087</f>
      </c>
      <c r="V2087" s="7">
        <f>($C$14+($C$15-$C$14)/($D$15-$D$14)*(I2087-$D$14))/2</f>
      </c>
      <c r="W2087" s="7">
        <f>($B$22*I2087^4+$C$22*I2087^3+$D$22*I2087^2+$E$22*I2087+$F$22)/2</f>
      </c>
      <c r="X2087" s="7">
        <f>($W2087)*(T2087)</f>
      </c>
      <c r="Y2087" s="7">
        <f>($W2087)*(U2087)</f>
      </c>
      <c r="Z2087" s="7">
        <f>SQRT(X2087^2+Y2087^2)</f>
      </c>
      <c r="AA2087" s="7">
        <f>$K2087+$X2087</f>
      </c>
      <c r="AB2087" s="7">
        <f>$L2087+$Y2087</f>
      </c>
      <c r="AC2087" s="7">
        <f>$K2087-$X2087</f>
      </c>
      <c r="AD2087" s="7">
        <f>$L2087-$Y2087</f>
      </c>
      <c r="AE2087" s="7">
        <f>AA2087/39.3701</f>
      </c>
      <c r="AF2087" s="7">
        <f>AB2087/39.3701</f>
      </c>
      <c r="AG2087" s="7">
        <f>AC2087/39.3701</f>
      </c>
      <c r="AH2087" s="7">
        <f>AD2087/39.3701</f>
      </c>
      <c r="AI2087" s="1"/>
      <c r="AJ2087" s="1"/>
      <c r="AK2087" s="1"/>
      <c r="AL2087" s="1"/>
      <c r="AM2087" s="2"/>
      <c r="AN2087" s="1"/>
      <c r="AO2087" s="1"/>
      <c r="AP2087" s="1"/>
      <c r="AQ2087" s="1"/>
      <c r="AR2087" s="1"/>
      <c r="AS2087" s="1"/>
      <c r="AT2087" s="1"/>
      <c r="AU2087" s="1"/>
      <c r="AV2087" s="1"/>
      <c r="AW2087" s="1"/>
      <c r="AX2087" s="1"/>
      <c r="AY2087" s="1"/>
      <c r="AZ2087" s="1"/>
      <c r="BA2087" s="1"/>
      <c r="BB2087" s="1"/>
      <c r="BC2087" s="1"/>
      <c r="BD2087" s="1"/>
      <c r="BE2087" s="1"/>
    </row>
    <row x14ac:dyDescent="0.25" r="2088" customHeight="1" ht="18.75">
      <c r="A2088" s="1"/>
      <c r="B2088" s="2"/>
      <c r="C2088" s="2"/>
      <c r="D2088" s="2"/>
      <c r="E2088" s="2"/>
      <c r="F2088" s="2"/>
      <c r="G2088" s="1"/>
      <c r="H2088" s="1"/>
      <c r="I2088" s="7">
        <v>2.085</v>
      </c>
      <c r="J2088" s="7">
        <f>IF((I2088-ROUNDDOWN(I2088,0))=0, 0, (I2088-ROUNDDOWN(I2088,0)))</f>
      </c>
      <c r="K2088" s="7">
        <f>INDIRECT("C$"&amp;2+MIN(2,ROUNDDOWN(I2088,0))*3)*(-$J2088^3+3*$J2088^2-3*$J2088+1)+INDIRECT("C$"&amp;3+MIN(2,ROUNDDOWN(I2088,0))*3)*(3*$J2088^3-6*$J2088^2+3*$J2088)+INDIRECT("C$"&amp;4+MIN(2,ROUNDDOWN(I2088,0))*3)*(-3*$J2088^3+3*$J2088^2)+INDIRECT("C$"&amp;5+MIN(2,ROUNDDOWN(I2088,0))*3)*$J2088^3</f>
      </c>
      <c r="L2088" s="7">
        <f>INDIRECT("D$"&amp;2+MIN(2,ROUNDDOWN(I2088,0))*3)*(-$J2088^3+3*$J2088^2-3*$J2088+1)+INDIRECT("D$"&amp;3+MIN(2,ROUNDDOWN(I2088,0))*3)*(3*$J2088^3-6*$J2088^2+3*$J2088)+INDIRECT("D$"&amp;4+MIN(2,ROUNDDOWN(I2088,0))*3)*(-3*$J2088^3+3*$J2088^2)+INDIRECT("D$"&amp;5+MIN(2,ROUNDDOWN(I2088,0))*3)*$J2088^3</f>
      </c>
      <c r="M2088" s="7">
        <f>SQRT(K2088^2+L2088^2)</f>
      </c>
      <c r="N2088" s="7">
        <f>(K2089-K2087)</f>
      </c>
      <c r="O2088" s="7">
        <f>+(L2089-L2087)</f>
      </c>
      <c r="P2088" s="7">
        <f>SQRT(O2088^2+N2088^2)</f>
      </c>
      <c r="Q2088" s="7">
        <f>N2088/$P2088</f>
      </c>
      <c r="R2088" s="7">
        <f>O2088/$P2088</f>
      </c>
      <c r="S2088" s="8">
        <f>Q2088^2+R2088^2</f>
      </c>
      <c r="T2088" s="7">
        <f>-R2088</f>
      </c>
      <c r="U2088" s="7">
        <f>Q2088</f>
      </c>
      <c r="V2088" s="7">
        <f>($C$14+($C$15-$C$14)/($D$15-$D$14)*(I2088-$D$14))/2</f>
      </c>
      <c r="W2088" s="7">
        <f>($B$22*I2088^4+$C$22*I2088^3+$D$22*I2088^2+$E$22*I2088+$F$22)/2</f>
      </c>
      <c r="X2088" s="7">
        <f>($W2088)*(T2088)</f>
      </c>
      <c r="Y2088" s="7">
        <f>($W2088)*(U2088)</f>
      </c>
      <c r="Z2088" s="7">
        <f>SQRT(X2088^2+Y2088^2)</f>
      </c>
      <c r="AA2088" s="7">
        <f>$K2088+$X2088</f>
      </c>
      <c r="AB2088" s="7">
        <f>$L2088+$Y2088</f>
      </c>
      <c r="AC2088" s="7">
        <f>$K2088-$X2088</f>
      </c>
      <c r="AD2088" s="7">
        <f>$L2088-$Y2088</f>
      </c>
      <c r="AE2088" s="7">
        <f>AA2088/39.3701</f>
      </c>
      <c r="AF2088" s="7">
        <f>AB2088/39.3701</f>
      </c>
      <c r="AG2088" s="7">
        <f>AC2088/39.3701</f>
      </c>
      <c r="AH2088" s="7">
        <f>AD2088/39.3701</f>
      </c>
      <c r="AI2088" s="1"/>
      <c r="AJ2088" s="1"/>
      <c r="AK2088" s="1"/>
      <c r="AL2088" s="1"/>
      <c r="AM2088" s="2"/>
      <c r="AN2088" s="1"/>
      <c r="AO2088" s="1"/>
      <c r="AP2088" s="1"/>
      <c r="AQ2088" s="1"/>
      <c r="AR2088" s="1"/>
      <c r="AS2088" s="1"/>
      <c r="AT2088" s="1"/>
      <c r="AU2088" s="1"/>
      <c r="AV2088" s="1"/>
      <c r="AW2088" s="1"/>
      <c r="AX2088" s="1"/>
      <c r="AY2088" s="1"/>
      <c r="AZ2088" s="1"/>
      <c r="BA2088" s="1"/>
      <c r="BB2088" s="1"/>
      <c r="BC2088" s="1"/>
      <c r="BD2088" s="1"/>
      <c r="BE2088" s="1"/>
    </row>
    <row x14ac:dyDescent="0.25" r="2089" customHeight="1" ht="18.75">
      <c r="A2089" s="1"/>
      <c r="B2089" s="2"/>
      <c r="C2089" s="2"/>
      <c r="D2089" s="2"/>
      <c r="E2089" s="2"/>
      <c r="F2089" s="2"/>
      <c r="G2089" s="1"/>
      <c r="H2089" s="1"/>
      <c r="I2089" s="7">
        <v>2.086</v>
      </c>
      <c r="J2089" s="7">
        <f>IF((I2089-ROUNDDOWN(I2089,0))=0, 0, (I2089-ROUNDDOWN(I2089,0)))</f>
      </c>
      <c r="K2089" s="7">
        <f>INDIRECT("C$"&amp;2+MIN(2,ROUNDDOWN(I2089,0))*3)*(-$J2089^3+3*$J2089^2-3*$J2089+1)+INDIRECT("C$"&amp;3+MIN(2,ROUNDDOWN(I2089,0))*3)*(3*$J2089^3-6*$J2089^2+3*$J2089)+INDIRECT("C$"&amp;4+MIN(2,ROUNDDOWN(I2089,0))*3)*(-3*$J2089^3+3*$J2089^2)+INDIRECT("C$"&amp;5+MIN(2,ROUNDDOWN(I2089,0))*3)*$J2089^3</f>
      </c>
      <c r="L2089" s="7">
        <f>INDIRECT("D$"&amp;2+MIN(2,ROUNDDOWN(I2089,0))*3)*(-$J2089^3+3*$J2089^2-3*$J2089+1)+INDIRECT("D$"&amp;3+MIN(2,ROUNDDOWN(I2089,0))*3)*(3*$J2089^3-6*$J2089^2+3*$J2089)+INDIRECT("D$"&amp;4+MIN(2,ROUNDDOWN(I2089,0))*3)*(-3*$J2089^3+3*$J2089^2)+INDIRECT("D$"&amp;5+MIN(2,ROUNDDOWN(I2089,0))*3)*$J2089^3</f>
      </c>
      <c r="M2089" s="7">
        <f>SQRT(K2089^2+L2089^2)</f>
      </c>
      <c r="N2089" s="7">
        <f>(K2090-K2088)</f>
      </c>
      <c r="O2089" s="7">
        <f>+(L2090-L2088)</f>
      </c>
      <c r="P2089" s="7">
        <f>SQRT(O2089^2+N2089^2)</f>
      </c>
      <c r="Q2089" s="7">
        <f>N2089/$P2089</f>
      </c>
      <c r="R2089" s="7">
        <f>O2089/$P2089</f>
      </c>
      <c r="S2089" s="7">
        <f>Q2089^2+R2089^2</f>
      </c>
      <c r="T2089" s="7">
        <f>-R2089</f>
      </c>
      <c r="U2089" s="7">
        <f>Q2089</f>
      </c>
      <c r="V2089" s="7">
        <f>($C$14+($C$15-$C$14)/($D$15-$D$14)*(I2089-$D$14))/2</f>
      </c>
      <c r="W2089" s="7">
        <f>($B$22*I2089^4+$C$22*I2089^3+$D$22*I2089^2+$E$22*I2089+$F$22)/2</f>
      </c>
      <c r="X2089" s="7">
        <f>($W2089)*(T2089)</f>
      </c>
      <c r="Y2089" s="7">
        <f>($W2089)*(U2089)</f>
      </c>
      <c r="Z2089" s="7">
        <f>SQRT(X2089^2+Y2089^2)</f>
      </c>
      <c r="AA2089" s="7">
        <f>$K2089+$X2089</f>
      </c>
      <c r="AB2089" s="7">
        <f>$L2089+$Y2089</f>
      </c>
      <c r="AC2089" s="7">
        <f>$K2089-$X2089</f>
      </c>
      <c r="AD2089" s="7">
        <f>$L2089-$Y2089</f>
      </c>
      <c r="AE2089" s="7">
        <f>AA2089/39.3701</f>
      </c>
      <c r="AF2089" s="7">
        <f>AB2089/39.3701</f>
      </c>
      <c r="AG2089" s="7">
        <f>AC2089/39.3701</f>
      </c>
      <c r="AH2089" s="7">
        <f>AD2089/39.3701</f>
      </c>
      <c r="AI2089" s="1"/>
      <c r="AJ2089" s="1"/>
      <c r="AK2089" s="1"/>
      <c r="AL2089" s="1"/>
      <c r="AM2089" s="2"/>
      <c r="AN2089" s="1"/>
      <c r="AO2089" s="1"/>
      <c r="AP2089" s="1"/>
      <c r="AQ2089" s="1"/>
      <c r="AR2089" s="1"/>
      <c r="AS2089" s="1"/>
      <c r="AT2089" s="1"/>
      <c r="AU2089" s="1"/>
      <c r="AV2089" s="1"/>
      <c r="AW2089" s="1"/>
      <c r="AX2089" s="1"/>
      <c r="AY2089" s="1"/>
      <c r="AZ2089" s="1"/>
      <c r="BA2089" s="1"/>
      <c r="BB2089" s="1"/>
      <c r="BC2089" s="1"/>
      <c r="BD2089" s="1"/>
      <c r="BE2089" s="1"/>
    </row>
    <row x14ac:dyDescent="0.25" r="2090" customHeight="1" ht="18.75">
      <c r="A2090" s="1"/>
      <c r="B2090" s="2"/>
      <c r="C2090" s="2"/>
      <c r="D2090" s="2"/>
      <c r="E2090" s="2"/>
      <c r="F2090" s="2"/>
      <c r="G2090" s="1"/>
      <c r="H2090" s="1"/>
      <c r="I2090" s="7">
        <v>2.087</v>
      </c>
      <c r="J2090" s="7">
        <f>IF((I2090-ROUNDDOWN(I2090,0))=0, 0, (I2090-ROUNDDOWN(I2090,0)))</f>
      </c>
      <c r="K2090" s="7">
        <f>INDIRECT("C$"&amp;2+MIN(2,ROUNDDOWN(I2090,0))*3)*(-$J2090^3+3*$J2090^2-3*$J2090+1)+INDIRECT("C$"&amp;3+MIN(2,ROUNDDOWN(I2090,0))*3)*(3*$J2090^3-6*$J2090^2+3*$J2090)+INDIRECT("C$"&amp;4+MIN(2,ROUNDDOWN(I2090,0))*3)*(-3*$J2090^3+3*$J2090^2)+INDIRECT("C$"&amp;5+MIN(2,ROUNDDOWN(I2090,0))*3)*$J2090^3</f>
      </c>
      <c r="L2090" s="7">
        <f>INDIRECT("D$"&amp;2+MIN(2,ROUNDDOWN(I2090,0))*3)*(-$J2090^3+3*$J2090^2-3*$J2090+1)+INDIRECT("D$"&amp;3+MIN(2,ROUNDDOWN(I2090,0))*3)*(3*$J2090^3-6*$J2090^2+3*$J2090)+INDIRECT("D$"&amp;4+MIN(2,ROUNDDOWN(I2090,0))*3)*(-3*$J2090^3+3*$J2090^2)+INDIRECT("D$"&amp;5+MIN(2,ROUNDDOWN(I2090,0))*3)*$J2090^3</f>
      </c>
      <c r="M2090" s="7">
        <f>SQRT(K2090^2+L2090^2)</f>
      </c>
      <c r="N2090" s="7">
        <f>(K2091-K2089)</f>
      </c>
      <c r="O2090" s="7">
        <f>+(L2091-L2089)</f>
      </c>
      <c r="P2090" s="7">
        <f>SQRT(O2090^2+N2090^2)</f>
      </c>
      <c r="Q2090" s="7">
        <f>N2090/$P2090</f>
      </c>
      <c r="R2090" s="7">
        <f>O2090/$P2090</f>
      </c>
      <c r="S2090" s="8">
        <f>Q2090^2+R2090^2</f>
      </c>
      <c r="T2090" s="7">
        <f>-R2090</f>
      </c>
      <c r="U2090" s="7">
        <f>Q2090</f>
      </c>
      <c r="V2090" s="7">
        <f>($C$14+($C$15-$C$14)/($D$15-$D$14)*(I2090-$D$14))/2</f>
      </c>
      <c r="W2090" s="7">
        <f>($B$22*I2090^4+$C$22*I2090^3+$D$22*I2090^2+$E$22*I2090+$F$22)/2</f>
      </c>
      <c r="X2090" s="7">
        <f>($W2090)*(T2090)</f>
      </c>
      <c r="Y2090" s="7">
        <f>($W2090)*(U2090)</f>
      </c>
      <c r="Z2090" s="7">
        <f>SQRT(X2090^2+Y2090^2)</f>
      </c>
      <c r="AA2090" s="7">
        <f>$K2090+$X2090</f>
      </c>
      <c r="AB2090" s="7">
        <f>$L2090+$Y2090</f>
      </c>
      <c r="AC2090" s="7">
        <f>$K2090-$X2090</f>
      </c>
      <c r="AD2090" s="7">
        <f>$L2090-$Y2090</f>
      </c>
      <c r="AE2090" s="7">
        <f>AA2090/39.3701</f>
      </c>
      <c r="AF2090" s="7">
        <f>AB2090/39.3701</f>
      </c>
      <c r="AG2090" s="7">
        <f>AC2090/39.3701</f>
      </c>
      <c r="AH2090" s="7">
        <f>AD2090/39.3701</f>
      </c>
      <c r="AI2090" s="1"/>
      <c r="AJ2090" s="1"/>
      <c r="AK2090" s="1"/>
      <c r="AL2090" s="1"/>
      <c r="AM2090" s="2"/>
      <c r="AN2090" s="1"/>
      <c r="AO2090" s="1"/>
      <c r="AP2090" s="1"/>
      <c r="AQ2090" s="1"/>
      <c r="AR2090" s="1"/>
      <c r="AS2090" s="1"/>
      <c r="AT2090" s="1"/>
      <c r="AU2090" s="1"/>
      <c r="AV2090" s="1"/>
      <c r="AW2090" s="1"/>
      <c r="AX2090" s="1"/>
      <c r="AY2090" s="1"/>
      <c r="AZ2090" s="1"/>
      <c r="BA2090" s="1"/>
      <c r="BB2090" s="1"/>
      <c r="BC2090" s="1"/>
      <c r="BD2090" s="1"/>
      <c r="BE2090" s="1"/>
    </row>
    <row x14ac:dyDescent="0.25" r="2091" customHeight="1" ht="18.75">
      <c r="A2091" s="1"/>
      <c r="B2091" s="2"/>
      <c r="C2091" s="2"/>
      <c r="D2091" s="2"/>
      <c r="E2091" s="2"/>
      <c r="F2091" s="2"/>
      <c r="G2091" s="1"/>
      <c r="H2091" s="1"/>
      <c r="I2091" s="7">
        <v>2.088</v>
      </c>
      <c r="J2091" s="7">
        <f>IF((I2091-ROUNDDOWN(I2091,0))=0, 0, (I2091-ROUNDDOWN(I2091,0)))</f>
      </c>
      <c r="K2091" s="7">
        <f>INDIRECT("C$"&amp;2+MIN(2,ROUNDDOWN(I2091,0))*3)*(-$J2091^3+3*$J2091^2-3*$J2091+1)+INDIRECT("C$"&amp;3+MIN(2,ROUNDDOWN(I2091,0))*3)*(3*$J2091^3-6*$J2091^2+3*$J2091)+INDIRECT("C$"&amp;4+MIN(2,ROUNDDOWN(I2091,0))*3)*(-3*$J2091^3+3*$J2091^2)+INDIRECT("C$"&amp;5+MIN(2,ROUNDDOWN(I2091,0))*3)*$J2091^3</f>
      </c>
      <c r="L2091" s="7">
        <f>INDIRECT("D$"&amp;2+MIN(2,ROUNDDOWN(I2091,0))*3)*(-$J2091^3+3*$J2091^2-3*$J2091+1)+INDIRECT("D$"&amp;3+MIN(2,ROUNDDOWN(I2091,0))*3)*(3*$J2091^3-6*$J2091^2+3*$J2091)+INDIRECT("D$"&amp;4+MIN(2,ROUNDDOWN(I2091,0))*3)*(-3*$J2091^3+3*$J2091^2)+INDIRECT("D$"&amp;5+MIN(2,ROUNDDOWN(I2091,0))*3)*$J2091^3</f>
      </c>
      <c r="M2091" s="7">
        <f>SQRT(K2091^2+L2091^2)</f>
      </c>
      <c r="N2091" s="7">
        <f>(K2092-K2090)</f>
      </c>
      <c r="O2091" s="7">
        <f>+(L2092-L2090)</f>
      </c>
      <c r="P2091" s="7">
        <f>SQRT(O2091^2+N2091^2)</f>
      </c>
      <c r="Q2091" s="7">
        <f>N2091/$P2091</f>
      </c>
      <c r="R2091" s="7">
        <f>O2091/$P2091</f>
      </c>
      <c r="S2091" s="8">
        <f>Q2091^2+R2091^2</f>
      </c>
      <c r="T2091" s="7">
        <f>-R2091</f>
      </c>
      <c r="U2091" s="7">
        <f>Q2091</f>
      </c>
      <c r="V2091" s="7">
        <f>($C$14+($C$15-$C$14)/($D$15-$D$14)*(I2091-$D$14))/2</f>
      </c>
      <c r="W2091" s="7">
        <f>($B$22*I2091^4+$C$22*I2091^3+$D$22*I2091^2+$E$22*I2091+$F$22)/2</f>
      </c>
      <c r="X2091" s="7">
        <f>($W2091)*(T2091)</f>
      </c>
      <c r="Y2091" s="7">
        <f>($W2091)*(U2091)</f>
      </c>
      <c r="Z2091" s="7">
        <f>SQRT(X2091^2+Y2091^2)</f>
      </c>
      <c r="AA2091" s="7">
        <f>$K2091+$X2091</f>
      </c>
      <c r="AB2091" s="7">
        <f>$L2091+$Y2091</f>
      </c>
      <c r="AC2091" s="7">
        <f>$K2091-$X2091</f>
      </c>
      <c r="AD2091" s="7">
        <f>$L2091-$Y2091</f>
      </c>
      <c r="AE2091" s="7">
        <f>AA2091/39.3701</f>
      </c>
      <c r="AF2091" s="7">
        <f>AB2091/39.3701</f>
      </c>
      <c r="AG2091" s="7">
        <f>AC2091/39.3701</f>
      </c>
      <c r="AH2091" s="7">
        <f>AD2091/39.3701</f>
      </c>
      <c r="AI2091" s="1"/>
      <c r="AJ2091" s="1"/>
      <c r="AK2091" s="1"/>
      <c r="AL2091" s="1"/>
      <c r="AM2091" s="2"/>
      <c r="AN2091" s="1"/>
      <c r="AO2091" s="1"/>
      <c r="AP2091" s="1"/>
      <c r="AQ2091" s="1"/>
      <c r="AR2091" s="1"/>
      <c r="AS2091" s="1"/>
      <c r="AT2091" s="1"/>
      <c r="AU2091" s="1"/>
      <c r="AV2091" s="1"/>
      <c r="AW2091" s="1"/>
      <c r="AX2091" s="1"/>
      <c r="AY2091" s="1"/>
      <c r="AZ2091" s="1"/>
      <c r="BA2091" s="1"/>
      <c r="BB2091" s="1"/>
      <c r="BC2091" s="1"/>
      <c r="BD2091" s="1"/>
      <c r="BE2091" s="1"/>
    </row>
    <row x14ac:dyDescent="0.25" r="2092" customHeight="1" ht="18.75">
      <c r="A2092" s="1"/>
      <c r="B2092" s="2"/>
      <c r="C2092" s="2"/>
      <c r="D2092" s="2"/>
      <c r="E2092" s="2"/>
      <c r="F2092" s="2"/>
      <c r="G2092" s="1"/>
      <c r="H2092" s="1"/>
      <c r="I2092" s="7">
        <v>2.089</v>
      </c>
      <c r="J2092" s="7">
        <f>IF((I2092-ROUNDDOWN(I2092,0))=0, 0, (I2092-ROUNDDOWN(I2092,0)))</f>
      </c>
      <c r="K2092" s="7">
        <f>INDIRECT("C$"&amp;2+MIN(2,ROUNDDOWN(I2092,0))*3)*(-$J2092^3+3*$J2092^2-3*$J2092+1)+INDIRECT("C$"&amp;3+MIN(2,ROUNDDOWN(I2092,0))*3)*(3*$J2092^3-6*$J2092^2+3*$J2092)+INDIRECT("C$"&amp;4+MIN(2,ROUNDDOWN(I2092,0))*3)*(-3*$J2092^3+3*$J2092^2)+INDIRECT("C$"&amp;5+MIN(2,ROUNDDOWN(I2092,0))*3)*$J2092^3</f>
      </c>
      <c r="L2092" s="7">
        <f>INDIRECT("D$"&amp;2+MIN(2,ROUNDDOWN(I2092,0))*3)*(-$J2092^3+3*$J2092^2-3*$J2092+1)+INDIRECT("D$"&amp;3+MIN(2,ROUNDDOWN(I2092,0))*3)*(3*$J2092^3-6*$J2092^2+3*$J2092)+INDIRECT("D$"&amp;4+MIN(2,ROUNDDOWN(I2092,0))*3)*(-3*$J2092^3+3*$J2092^2)+INDIRECT("D$"&amp;5+MIN(2,ROUNDDOWN(I2092,0))*3)*$J2092^3</f>
      </c>
      <c r="M2092" s="7">
        <f>SQRT(K2092^2+L2092^2)</f>
      </c>
      <c r="N2092" s="7">
        <f>(K2093-K2091)</f>
      </c>
      <c r="O2092" s="7">
        <f>+(L2093-L2091)</f>
      </c>
      <c r="P2092" s="7">
        <f>SQRT(O2092^2+N2092^2)</f>
      </c>
      <c r="Q2092" s="7">
        <f>N2092/$P2092</f>
      </c>
      <c r="R2092" s="7">
        <f>O2092/$P2092</f>
      </c>
      <c r="S2092" s="8">
        <f>Q2092^2+R2092^2</f>
      </c>
      <c r="T2092" s="7">
        <f>-R2092</f>
      </c>
      <c r="U2092" s="7">
        <f>Q2092</f>
      </c>
      <c r="V2092" s="7">
        <f>($C$14+($C$15-$C$14)/($D$15-$D$14)*(I2092-$D$14))/2</f>
      </c>
      <c r="W2092" s="7">
        <f>($B$22*I2092^4+$C$22*I2092^3+$D$22*I2092^2+$E$22*I2092+$F$22)/2</f>
      </c>
      <c r="X2092" s="7">
        <f>($W2092)*(T2092)</f>
      </c>
      <c r="Y2092" s="7">
        <f>($W2092)*(U2092)</f>
      </c>
      <c r="Z2092" s="7">
        <f>SQRT(X2092^2+Y2092^2)</f>
      </c>
      <c r="AA2092" s="7">
        <f>$K2092+$X2092</f>
      </c>
      <c r="AB2092" s="7">
        <f>$L2092+$Y2092</f>
      </c>
      <c r="AC2092" s="7">
        <f>$K2092-$X2092</f>
      </c>
      <c r="AD2092" s="7">
        <f>$L2092-$Y2092</f>
      </c>
      <c r="AE2092" s="7">
        <f>AA2092/39.3701</f>
      </c>
      <c r="AF2092" s="7">
        <f>AB2092/39.3701</f>
      </c>
      <c r="AG2092" s="7">
        <f>AC2092/39.3701</f>
      </c>
      <c r="AH2092" s="7">
        <f>AD2092/39.3701</f>
      </c>
      <c r="AI2092" s="1"/>
      <c r="AJ2092" s="1"/>
      <c r="AK2092" s="1"/>
      <c r="AL2092" s="1"/>
      <c r="AM2092" s="2"/>
      <c r="AN2092" s="1"/>
      <c r="AO2092" s="1"/>
      <c r="AP2092" s="1"/>
      <c r="AQ2092" s="1"/>
      <c r="AR2092" s="1"/>
      <c r="AS2092" s="1"/>
      <c r="AT2092" s="1"/>
      <c r="AU2092" s="1"/>
      <c r="AV2092" s="1"/>
      <c r="AW2092" s="1"/>
      <c r="AX2092" s="1"/>
      <c r="AY2092" s="1"/>
      <c r="AZ2092" s="1"/>
      <c r="BA2092" s="1"/>
      <c r="BB2092" s="1"/>
      <c r="BC2092" s="1"/>
      <c r="BD2092" s="1"/>
      <c r="BE2092" s="1"/>
    </row>
    <row x14ac:dyDescent="0.25" r="2093" customHeight="1" ht="18.75">
      <c r="A2093" s="1"/>
      <c r="B2093" s="2"/>
      <c r="C2093" s="2"/>
      <c r="D2093" s="2"/>
      <c r="E2093" s="2"/>
      <c r="F2093" s="2"/>
      <c r="G2093" s="1"/>
      <c r="H2093" s="1"/>
      <c r="I2093" s="7">
        <v>2.09</v>
      </c>
      <c r="J2093" s="7">
        <f>IF((I2093-ROUNDDOWN(I2093,0))=0, 0, (I2093-ROUNDDOWN(I2093,0)))</f>
      </c>
      <c r="K2093" s="7">
        <f>INDIRECT("C$"&amp;2+MIN(2,ROUNDDOWN(I2093,0))*3)*(-$J2093^3+3*$J2093^2-3*$J2093+1)+INDIRECT("C$"&amp;3+MIN(2,ROUNDDOWN(I2093,0))*3)*(3*$J2093^3-6*$J2093^2+3*$J2093)+INDIRECT("C$"&amp;4+MIN(2,ROUNDDOWN(I2093,0))*3)*(-3*$J2093^3+3*$J2093^2)+INDIRECT("C$"&amp;5+MIN(2,ROUNDDOWN(I2093,0))*3)*$J2093^3</f>
      </c>
      <c r="L2093" s="7">
        <f>INDIRECT("D$"&amp;2+MIN(2,ROUNDDOWN(I2093,0))*3)*(-$J2093^3+3*$J2093^2-3*$J2093+1)+INDIRECT("D$"&amp;3+MIN(2,ROUNDDOWN(I2093,0))*3)*(3*$J2093^3-6*$J2093^2+3*$J2093)+INDIRECT("D$"&amp;4+MIN(2,ROUNDDOWN(I2093,0))*3)*(-3*$J2093^3+3*$J2093^2)+INDIRECT("D$"&amp;5+MIN(2,ROUNDDOWN(I2093,0))*3)*$J2093^3</f>
      </c>
      <c r="M2093" s="7">
        <f>SQRT(K2093^2+L2093^2)</f>
      </c>
      <c r="N2093" s="7">
        <f>(K2094-K2092)</f>
      </c>
      <c r="O2093" s="7">
        <f>+(L2094-L2092)</f>
      </c>
      <c r="P2093" s="7">
        <f>SQRT(O2093^2+N2093^2)</f>
      </c>
      <c r="Q2093" s="7">
        <f>N2093/$P2093</f>
      </c>
      <c r="R2093" s="7">
        <f>O2093/$P2093</f>
      </c>
      <c r="S2093" s="7">
        <f>Q2093^2+R2093^2</f>
      </c>
      <c r="T2093" s="7">
        <f>-R2093</f>
      </c>
      <c r="U2093" s="7">
        <f>Q2093</f>
      </c>
      <c r="V2093" s="7">
        <f>($C$14+($C$15-$C$14)/($D$15-$D$14)*(I2093-$D$14))/2</f>
      </c>
      <c r="W2093" s="7">
        <f>($B$22*I2093^4+$C$22*I2093^3+$D$22*I2093^2+$E$22*I2093+$F$22)/2</f>
      </c>
      <c r="X2093" s="7">
        <f>($W2093)*(T2093)</f>
      </c>
      <c r="Y2093" s="7">
        <f>($W2093)*(U2093)</f>
      </c>
      <c r="Z2093" s="7">
        <f>SQRT(X2093^2+Y2093^2)</f>
      </c>
      <c r="AA2093" s="7">
        <f>$K2093+$X2093</f>
      </c>
      <c r="AB2093" s="7">
        <f>$L2093+$Y2093</f>
      </c>
      <c r="AC2093" s="7">
        <f>$K2093-$X2093</f>
      </c>
      <c r="AD2093" s="7">
        <f>$L2093-$Y2093</f>
      </c>
      <c r="AE2093" s="7">
        <f>AA2093/39.3701</f>
      </c>
      <c r="AF2093" s="7">
        <f>AB2093/39.3701</f>
      </c>
      <c r="AG2093" s="7">
        <f>AC2093/39.3701</f>
      </c>
      <c r="AH2093" s="7">
        <f>AD2093/39.3701</f>
      </c>
      <c r="AI2093" s="1"/>
      <c r="AJ2093" s="1"/>
      <c r="AK2093" s="1"/>
      <c r="AL2093" s="1"/>
      <c r="AM2093" s="2"/>
      <c r="AN2093" s="1"/>
      <c r="AO2093" s="1"/>
      <c r="AP2093" s="1"/>
      <c r="AQ2093" s="1"/>
      <c r="AR2093" s="1"/>
      <c r="AS2093" s="1"/>
      <c r="AT2093" s="1"/>
      <c r="AU2093" s="1"/>
      <c r="AV2093" s="1"/>
      <c r="AW2093" s="1"/>
      <c r="AX2093" s="1"/>
      <c r="AY2093" s="1"/>
      <c r="AZ2093" s="1"/>
      <c r="BA2093" s="1"/>
      <c r="BB2093" s="1"/>
      <c r="BC2093" s="1"/>
      <c r="BD2093" s="1"/>
      <c r="BE2093" s="1"/>
    </row>
    <row x14ac:dyDescent="0.25" r="2094" customHeight="1" ht="18.75">
      <c r="A2094" s="1"/>
      <c r="B2094" s="2"/>
      <c r="C2094" s="2"/>
      <c r="D2094" s="2"/>
      <c r="E2094" s="2"/>
      <c r="F2094" s="2"/>
      <c r="G2094" s="1"/>
      <c r="H2094" s="1"/>
      <c r="I2094" s="7">
        <v>2.091</v>
      </c>
      <c r="J2094" s="7">
        <f>IF((I2094-ROUNDDOWN(I2094,0))=0, 0, (I2094-ROUNDDOWN(I2094,0)))</f>
      </c>
      <c r="K2094" s="7">
        <f>INDIRECT("C$"&amp;2+MIN(2,ROUNDDOWN(I2094,0))*3)*(-$J2094^3+3*$J2094^2-3*$J2094+1)+INDIRECT("C$"&amp;3+MIN(2,ROUNDDOWN(I2094,0))*3)*(3*$J2094^3-6*$J2094^2+3*$J2094)+INDIRECT("C$"&amp;4+MIN(2,ROUNDDOWN(I2094,0))*3)*(-3*$J2094^3+3*$J2094^2)+INDIRECT("C$"&amp;5+MIN(2,ROUNDDOWN(I2094,0))*3)*$J2094^3</f>
      </c>
      <c r="L2094" s="7">
        <f>INDIRECT("D$"&amp;2+MIN(2,ROUNDDOWN(I2094,0))*3)*(-$J2094^3+3*$J2094^2-3*$J2094+1)+INDIRECT("D$"&amp;3+MIN(2,ROUNDDOWN(I2094,0))*3)*(3*$J2094^3-6*$J2094^2+3*$J2094)+INDIRECT("D$"&amp;4+MIN(2,ROUNDDOWN(I2094,0))*3)*(-3*$J2094^3+3*$J2094^2)+INDIRECT("D$"&amp;5+MIN(2,ROUNDDOWN(I2094,0))*3)*$J2094^3</f>
      </c>
      <c r="M2094" s="7">
        <f>SQRT(K2094^2+L2094^2)</f>
      </c>
      <c r="N2094" s="7">
        <f>(K2095-K2093)</f>
      </c>
      <c r="O2094" s="7">
        <f>+(L2095-L2093)</f>
      </c>
      <c r="P2094" s="7">
        <f>SQRT(O2094^2+N2094^2)</f>
      </c>
      <c r="Q2094" s="7">
        <f>N2094/$P2094</f>
      </c>
      <c r="R2094" s="7">
        <f>O2094/$P2094</f>
      </c>
      <c r="S2094" s="8">
        <f>Q2094^2+R2094^2</f>
      </c>
      <c r="T2094" s="7">
        <f>-R2094</f>
      </c>
      <c r="U2094" s="7">
        <f>Q2094</f>
      </c>
      <c r="V2094" s="7">
        <f>($C$14+($C$15-$C$14)/($D$15-$D$14)*(I2094-$D$14))/2</f>
      </c>
      <c r="W2094" s="7">
        <f>($B$22*I2094^4+$C$22*I2094^3+$D$22*I2094^2+$E$22*I2094+$F$22)/2</f>
      </c>
      <c r="X2094" s="7">
        <f>($W2094)*(T2094)</f>
      </c>
      <c r="Y2094" s="7">
        <f>($W2094)*(U2094)</f>
      </c>
      <c r="Z2094" s="7">
        <f>SQRT(X2094^2+Y2094^2)</f>
      </c>
      <c r="AA2094" s="7">
        <f>$K2094+$X2094</f>
      </c>
      <c r="AB2094" s="7">
        <f>$L2094+$Y2094</f>
      </c>
      <c r="AC2094" s="7">
        <f>$K2094-$X2094</f>
      </c>
      <c r="AD2094" s="7">
        <f>$L2094-$Y2094</f>
      </c>
      <c r="AE2094" s="7">
        <f>AA2094/39.3701</f>
      </c>
      <c r="AF2094" s="7">
        <f>AB2094/39.3701</f>
      </c>
      <c r="AG2094" s="7">
        <f>AC2094/39.3701</f>
      </c>
      <c r="AH2094" s="7">
        <f>AD2094/39.3701</f>
      </c>
      <c r="AI2094" s="1"/>
      <c r="AJ2094" s="1"/>
      <c r="AK2094" s="1"/>
      <c r="AL2094" s="1"/>
      <c r="AM2094" s="2"/>
      <c r="AN2094" s="1"/>
      <c r="AO2094" s="1"/>
      <c r="AP2094" s="1"/>
      <c r="AQ2094" s="1"/>
      <c r="AR2094" s="1"/>
      <c r="AS2094" s="1"/>
      <c r="AT2094" s="1"/>
      <c r="AU2094" s="1"/>
      <c r="AV2094" s="1"/>
      <c r="AW2094" s="1"/>
      <c r="AX2094" s="1"/>
      <c r="AY2094" s="1"/>
      <c r="AZ2094" s="1"/>
      <c r="BA2094" s="1"/>
      <c r="BB2094" s="1"/>
      <c r="BC2094" s="1"/>
      <c r="BD2094" s="1"/>
      <c r="BE2094" s="1"/>
    </row>
    <row x14ac:dyDescent="0.25" r="2095" customHeight="1" ht="18.75">
      <c r="A2095" s="1"/>
      <c r="B2095" s="2"/>
      <c r="C2095" s="2"/>
      <c r="D2095" s="2"/>
      <c r="E2095" s="2"/>
      <c r="F2095" s="2"/>
      <c r="G2095" s="1"/>
      <c r="H2095" s="1"/>
      <c r="I2095" s="7">
        <v>2.092</v>
      </c>
      <c r="J2095" s="7">
        <f>IF((I2095-ROUNDDOWN(I2095,0))=0, 0, (I2095-ROUNDDOWN(I2095,0)))</f>
      </c>
      <c r="K2095" s="7">
        <f>INDIRECT("C$"&amp;2+MIN(2,ROUNDDOWN(I2095,0))*3)*(-$J2095^3+3*$J2095^2-3*$J2095+1)+INDIRECT("C$"&amp;3+MIN(2,ROUNDDOWN(I2095,0))*3)*(3*$J2095^3-6*$J2095^2+3*$J2095)+INDIRECT("C$"&amp;4+MIN(2,ROUNDDOWN(I2095,0))*3)*(-3*$J2095^3+3*$J2095^2)+INDIRECT("C$"&amp;5+MIN(2,ROUNDDOWN(I2095,0))*3)*$J2095^3</f>
      </c>
      <c r="L2095" s="7">
        <f>INDIRECT("D$"&amp;2+MIN(2,ROUNDDOWN(I2095,0))*3)*(-$J2095^3+3*$J2095^2-3*$J2095+1)+INDIRECT("D$"&amp;3+MIN(2,ROUNDDOWN(I2095,0))*3)*(3*$J2095^3-6*$J2095^2+3*$J2095)+INDIRECT("D$"&amp;4+MIN(2,ROUNDDOWN(I2095,0))*3)*(-3*$J2095^3+3*$J2095^2)+INDIRECT("D$"&amp;5+MIN(2,ROUNDDOWN(I2095,0))*3)*$J2095^3</f>
      </c>
      <c r="M2095" s="7">
        <f>SQRT(K2095^2+L2095^2)</f>
      </c>
      <c r="N2095" s="7">
        <f>(K2096-K2094)</f>
      </c>
      <c r="O2095" s="7">
        <f>+(L2096-L2094)</f>
      </c>
      <c r="P2095" s="7">
        <f>SQRT(O2095^2+N2095^2)</f>
      </c>
      <c r="Q2095" s="7">
        <f>N2095/$P2095</f>
      </c>
      <c r="R2095" s="7">
        <f>O2095/$P2095</f>
      </c>
      <c r="S2095" s="8">
        <f>Q2095^2+R2095^2</f>
      </c>
      <c r="T2095" s="7">
        <f>-R2095</f>
      </c>
      <c r="U2095" s="7">
        <f>Q2095</f>
      </c>
      <c r="V2095" s="7">
        <f>($C$14+($C$15-$C$14)/($D$15-$D$14)*(I2095-$D$14))/2</f>
      </c>
      <c r="W2095" s="7">
        <f>($B$22*I2095^4+$C$22*I2095^3+$D$22*I2095^2+$E$22*I2095+$F$22)/2</f>
      </c>
      <c r="X2095" s="7">
        <f>($W2095)*(T2095)</f>
      </c>
      <c r="Y2095" s="7">
        <f>($W2095)*(U2095)</f>
      </c>
      <c r="Z2095" s="7">
        <f>SQRT(X2095^2+Y2095^2)</f>
      </c>
      <c r="AA2095" s="7">
        <f>$K2095+$X2095</f>
      </c>
      <c r="AB2095" s="7">
        <f>$L2095+$Y2095</f>
      </c>
      <c r="AC2095" s="7">
        <f>$K2095-$X2095</f>
      </c>
      <c r="AD2095" s="7">
        <f>$L2095-$Y2095</f>
      </c>
      <c r="AE2095" s="7">
        <f>AA2095/39.3701</f>
      </c>
      <c r="AF2095" s="7">
        <f>AB2095/39.3701</f>
      </c>
      <c r="AG2095" s="7">
        <f>AC2095/39.3701</f>
      </c>
      <c r="AH2095" s="7">
        <f>AD2095/39.3701</f>
      </c>
      <c r="AI2095" s="1"/>
      <c r="AJ2095" s="1"/>
      <c r="AK2095" s="1"/>
      <c r="AL2095" s="1"/>
      <c r="AM2095" s="2"/>
      <c r="AN2095" s="1"/>
      <c r="AO2095" s="1"/>
      <c r="AP2095" s="1"/>
      <c r="AQ2095" s="1"/>
      <c r="AR2095" s="1"/>
      <c r="AS2095" s="1"/>
      <c r="AT2095" s="1"/>
      <c r="AU2095" s="1"/>
      <c r="AV2095" s="1"/>
      <c r="AW2095" s="1"/>
      <c r="AX2095" s="1"/>
      <c r="AY2095" s="1"/>
      <c r="AZ2095" s="1"/>
      <c r="BA2095" s="1"/>
      <c r="BB2095" s="1"/>
      <c r="BC2095" s="1"/>
      <c r="BD2095" s="1"/>
      <c r="BE2095" s="1"/>
    </row>
    <row x14ac:dyDescent="0.25" r="2096" customHeight="1" ht="18.75">
      <c r="A2096" s="1"/>
      <c r="B2096" s="2"/>
      <c r="C2096" s="2"/>
      <c r="D2096" s="2"/>
      <c r="E2096" s="2"/>
      <c r="F2096" s="2"/>
      <c r="G2096" s="1"/>
      <c r="H2096" s="1"/>
      <c r="I2096" s="7">
        <v>2.093</v>
      </c>
      <c r="J2096" s="7">
        <f>IF((I2096-ROUNDDOWN(I2096,0))=0, 0, (I2096-ROUNDDOWN(I2096,0)))</f>
      </c>
      <c r="K2096" s="7">
        <f>INDIRECT("C$"&amp;2+MIN(2,ROUNDDOWN(I2096,0))*3)*(-$J2096^3+3*$J2096^2-3*$J2096+1)+INDIRECT("C$"&amp;3+MIN(2,ROUNDDOWN(I2096,0))*3)*(3*$J2096^3-6*$J2096^2+3*$J2096)+INDIRECT("C$"&amp;4+MIN(2,ROUNDDOWN(I2096,0))*3)*(-3*$J2096^3+3*$J2096^2)+INDIRECT("C$"&amp;5+MIN(2,ROUNDDOWN(I2096,0))*3)*$J2096^3</f>
      </c>
      <c r="L2096" s="7">
        <f>INDIRECT("D$"&amp;2+MIN(2,ROUNDDOWN(I2096,0))*3)*(-$J2096^3+3*$J2096^2-3*$J2096+1)+INDIRECT("D$"&amp;3+MIN(2,ROUNDDOWN(I2096,0))*3)*(3*$J2096^3-6*$J2096^2+3*$J2096)+INDIRECT("D$"&amp;4+MIN(2,ROUNDDOWN(I2096,0))*3)*(-3*$J2096^3+3*$J2096^2)+INDIRECT("D$"&amp;5+MIN(2,ROUNDDOWN(I2096,0))*3)*$J2096^3</f>
      </c>
      <c r="M2096" s="7">
        <f>SQRT(K2096^2+L2096^2)</f>
      </c>
      <c r="N2096" s="7">
        <f>(K2097-K2095)</f>
      </c>
      <c r="O2096" s="7">
        <f>+(L2097-L2095)</f>
      </c>
      <c r="P2096" s="7">
        <f>SQRT(O2096^2+N2096^2)</f>
      </c>
      <c r="Q2096" s="7">
        <f>N2096/$P2096</f>
      </c>
      <c r="R2096" s="7">
        <f>O2096/$P2096</f>
      </c>
      <c r="S2096" s="8">
        <f>Q2096^2+R2096^2</f>
      </c>
      <c r="T2096" s="7">
        <f>-R2096</f>
      </c>
      <c r="U2096" s="7">
        <f>Q2096</f>
      </c>
      <c r="V2096" s="7">
        <f>($C$14+($C$15-$C$14)/($D$15-$D$14)*(I2096-$D$14))/2</f>
      </c>
      <c r="W2096" s="7">
        <f>($B$22*I2096^4+$C$22*I2096^3+$D$22*I2096^2+$E$22*I2096+$F$22)/2</f>
      </c>
      <c r="X2096" s="7">
        <f>($W2096)*(T2096)</f>
      </c>
      <c r="Y2096" s="7">
        <f>($W2096)*(U2096)</f>
      </c>
      <c r="Z2096" s="7">
        <f>SQRT(X2096^2+Y2096^2)</f>
      </c>
      <c r="AA2096" s="7">
        <f>$K2096+$X2096</f>
      </c>
      <c r="AB2096" s="7">
        <f>$L2096+$Y2096</f>
      </c>
      <c r="AC2096" s="7">
        <f>$K2096-$X2096</f>
      </c>
      <c r="AD2096" s="7">
        <f>$L2096-$Y2096</f>
      </c>
      <c r="AE2096" s="7">
        <f>AA2096/39.3701</f>
      </c>
      <c r="AF2096" s="7">
        <f>AB2096/39.3701</f>
      </c>
      <c r="AG2096" s="7">
        <f>AC2096/39.3701</f>
      </c>
      <c r="AH2096" s="7">
        <f>AD2096/39.3701</f>
      </c>
      <c r="AI2096" s="1"/>
      <c r="AJ2096" s="1"/>
      <c r="AK2096" s="1"/>
      <c r="AL2096" s="1"/>
      <c r="AM2096" s="2"/>
      <c r="AN2096" s="1"/>
      <c r="AO2096" s="1"/>
      <c r="AP2096" s="1"/>
      <c r="AQ2096" s="1"/>
      <c r="AR2096" s="1"/>
      <c r="AS2096" s="1"/>
      <c r="AT2096" s="1"/>
      <c r="AU2096" s="1"/>
      <c r="AV2096" s="1"/>
      <c r="AW2096" s="1"/>
      <c r="AX2096" s="1"/>
      <c r="AY2096" s="1"/>
      <c r="AZ2096" s="1"/>
      <c r="BA2096" s="1"/>
      <c r="BB2096" s="1"/>
      <c r="BC2096" s="1"/>
      <c r="BD2096" s="1"/>
      <c r="BE2096" s="1"/>
    </row>
    <row x14ac:dyDescent="0.25" r="2097" customHeight="1" ht="18.75">
      <c r="A2097" s="1"/>
      <c r="B2097" s="2"/>
      <c r="C2097" s="2"/>
      <c r="D2097" s="2"/>
      <c r="E2097" s="2"/>
      <c r="F2097" s="2"/>
      <c r="G2097" s="1"/>
      <c r="H2097" s="1"/>
      <c r="I2097" s="7">
        <v>2.094</v>
      </c>
      <c r="J2097" s="7">
        <f>IF((I2097-ROUNDDOWN(I2097,0))=0, 0, (I2097-ROUNDDOWN(I2097,0)))</f>
      </c>
      <c r="K2097" s="7">
        <f>INDIRECT("C$"&amp;2+MIN(2,ROUNDDOWN(I2097,0))*3)*(-$J2097^3+3*$J2097^2-3*$J2097+1)+INDIRECT("C$"&amp;3+MIN(2,ROUNDDOWN(I2097,0))*3)*(3*$J2097^3-6*$J2097^2+3*$J2097)+INDIRECT("C$"&amp;4+MIN(2,ROUNDDOWN(I2097,0))*3)*(-3*$J2097^3+3*$J2097^2)+INDIRECT("C$"&amp;5+MIN(2,ROUNDDOWN(I2097,0))*3)*$J2097^3</f>
      </c>
      <c r="L2097" s="7">
        <f>INDIRECT("D$"&amp;2+MIN(2,ROUNDDOWN(I2097,0))*3)*(-$J2097^3+3*$J2097^2-3*$J2097+1)+INDIRECT("D$"&amp;3+MIN(2,ROUNDDOWN(I2097,0))*3)*(3*$J2097^3-6*$J2097^2+3*$J2097)+INDIRECT("D$"&amp;4+MIN(2,ROUNDDOWN(I2097,0))*3)*(-3*$J2097^3+3*$J2097^2)+INDIRECT("D$"&amp;5+MIN(2,ROUNDDOWN(I2097,0))*3)*$J2097^3</f>
      </c>
      <c r="M2097" s="7">
        <f>SQRT(K2097^2+L2097^2)</f>
      </c>
      <c r="N2097" s="7">
        <f>(K2098-K2096)</f>
      </c>
      <c r="O2097" s="7">
        <f>+(L2098-L2096)</f>
      </c>
      <c r="P2097" s="7">
        <f>SQRT(O2097^2+N2097^2)</f>
      </c>
      <c r="Q2097" s="7">
        <f>N2097/$P2097</f>
      </c>
      <c r="R2097" s="7">
        <f>O2097/$P2097</f>
      </c>
      <c r="S2097" s="7">
        <f>Q2097^2+R2097^2</f>
      </c>
      <c r="T2097" s="7">
        <f>-R2097</f>
      </c>
      <c r="U2097" s="7">
        <f>Q2097</f>
      </c>
      <c r="V2097" s="7">
        <f>($C$14+($C$15-$C$14)/($D$15-$D$14)*(I2097-$D$14))/2</f>
      </c>
      <c r="W2097" s="7">
        <f>($B$22*I2097^4+$C$22*I2097^3+$D$22*I2097^2+$E$22*I2097+$F$22)/2</f>
      </c>
      <c r="X2097" s="7">
        <f>($W2097)*(T2097)</f>
      </c>
      <c r="Y2097" s="7">
        <f>($W2097)*(U2097)</f>
      </c>
      <c r="Z2097" s="7">
        <f>SQRT(X2097^2+Y2097^2)</f>
      </c>
      <c r="AA2097" s="7">
        <f>$K2097+$X2097</f>
      </c>
      <c r="AB2097" s="7">
        <f>$L2097+$Y2097</f>
      </c>
      <c r="AC2097" s="7">
        <f>$K2097-$X2097</f>
      </c>
      <c r="AD2097" s="7">
        <f>$L2097-$Y2097</f>
      </c>
      <c r="AE2097" s="7">
        <f>AA2097/39.3701</f>
      </c>
      <c r="AF2097" s="7">
        <f>AB2097/39.3701</f>
      </c>
      <c r="AG2097" s="7">
        <f>AC2097/39.3701</f>
      </c>
      <c r="AH2097" s="7">
        <f>AD2097/39.3701</f>
      </c>
      <c r="AI2097" s="1"/>
      <c r="AJ2097" s="1"/>
      <c r="AK2097" s="1"/>
      <c r="AL2097" s="1"/>
      <c r="AM2097" s="2"/>
      <c r="AN2097" s="1"/>
      <c r="AO2097" s="1"/>
      <c r="AP2097" s="1"/>
      <c r="AQ2097" s="1"/>
      <c r="AR2097" s="1"/>
      <c r="AS2097" s="1"/>
      <c r="AT2097" s="1"/>
      <c r="AU2097" s="1"/>
      <c r="AV2097" s="1"/>
      <c r="AW2097" s="1"/>
      <c r="AX2097" s="1"/>
      <c r="AY2097" s="1"/>
      <c r="AZ2097" s="1"/>
      <c r="BA2097" s="1"/>
      <c r="BB2097" s="1"/>
      <c r="BC2097" s="1"/>
      <c r="BD2097" s="1"/>
      <c r="BE2097" s="1"/>
    </row>
    <row x14ac:dyDescent="0.25" r="2098" customHeight="1" ht="18.75">
      <c r="A2098" s="1"/>
      <c r="B2098" s="2"/>
      <c r="C2098" s="2"/>
      <c r="D2098" s="2"/>
      <c r="E2098" s="2"/>
      <c r="F2098" s="2"/>
      <c r="G2098" s="1"/>
      <c r="H2098" s="1"/>
      <c r="I2098" s="7">
        <v>2.095</v>
      </c>
      <c r="J2098" s="7">
        <f>IF((I2098-ROUNDDOWN(I2098,0))=0, 0, (I2098-ROUNDDOWN(I2098,0)))</f>
      </c>
      <c r="K2098" s="7">
        <f>INDIRECT("C$"&amp;2+MIN(2,ROUNDDOWN(I2098,0))*3)*(-$J2098^3+3*$J2098^2-3*$J2098+1)+INDIRECT("C$"&amp;3+MIN(2,ROUNDDOWN(I2098,0))*3)*(3*$J2098^3-6*$J2098^2+3*$J2098)+INDIRECT("C$"&amp;4+MIN(2,ROUNDDOWN(I2098,0))*3)*(-3*$J2098^3+3*$J2098^2)+INDIRECT("C$"&amp;5+MIN(2,ROUNDDOWN(I2098,0))*3)*$J2098^3</f>
      </c>
      <c r="L2098" s="7">
        <f>INDIRECT("D$"&amp;2+MIN(2,ROUNDDOWN(I2098,0))*3)*(-$J2098^3+3*$J2098^2-3*$J2098+1)+INDIRECT("D$"&amp;3+MIN(2,ROUNDDOWN(I2098,0))*3)*(3*$J2098^3-6*$J2098^2+3*$J2098)+INDIRECT("D$"&amp;4+MIN(2,ROUNDDOWN(I2098,0))*3)*(-3*$J2098^3+3*$J2098^2)+INDIRECT("D$"&amp;5+MIN(2,ROUNDDOWN(I2098,0))*3)*$J2098^3</f>
      </c>
      <c r="M2098" s="7">
        <f>SQRT(K2098^2+L2098^2)</f>
      </c>
      <c r="N2098" s="7">
        <f>(K2099-K2097)</f>
      </c>
      <c r="O2098" s="7">
        <f>+(L2099-L2097)</f>
      </c>
      <c r="P2098" s="7">
        <f>SQRT(O2098^2+N2098^2)</f>
      </c>
      <c r="Q2098" s="7">
        <f>N2098/$P2098</f>
      </c>
      <c r="R2098" s="7">
        <f>O2098/$P2098</f>
      </c>
      <c r="S2098" s="8">
        <f>Q2098^2+R2098^2</f>
      </c>
      <c r="T2098" s="7">
        <f>-R2098</f>
      </c>
      <c r="U2098" s="7">
        <f>Q2098</f>
      </c>
      <c r="V2098" s="7">
        <f>($C$14+($C$15-$C$14)/($D$15-$D$14)*(I2098-$D$14))/2</f>
      </c>
      <c r="W2098" s="7">
        <f>($B$22*I2098^4+$C$22*I2098^3+$D$22*I2098^2+$E$22*I2098+$F$22)/2</f>
      </c>
      <c r="X2098" s="7">
        <f>($W2098)*(T2098)</f>
      </c>
      <c r="Y2098" s="7">
        <f>($W2098)*(U2098)</f>
      </c>
      <c r="Z2098" s="7">
        <f>SQRT(X2098^2+Y2098^2)</f>
      </c>
      <c r="AA2098" s="7">
        <f>$K2098+$X2098</f>
      </c>
      <c r="AB2098" s="7">
        <f>$L2098+$Y2098</f>
      </c>
      <c r="AC2098" s="7">
        <f>$K2098-$X2098</f>
      </c>
      <c r="AD2098" s="7">
        <f>$L2098-$Y2098</f>
      </c>
      <c r="AE2098" s="7">
        <f>AA2098/39.3701</f>
      </c>
      <c r="AF2098" s="7">
        <f>AB2098/39.3701</f>
      </c>
      <c r="AG2098" s="7">
        <f>AC2098/39.3701</f>
      </c>
      <c r="AH2098" s="7">
        <f>AD2098/39.3701</f>
      </c>
      <c r="AI2098" s="1"/>
      <c r="AJ2098" s="1"/>
      <c r="AK2098" s="1"/>
      <c r="AL2098" s="1"/>
      <c r="AM2098" s="2"/>
      <c r="AN2098" s="1"/>
      <c r="AO2098" s="1"/>
      <c r="AP2098" s="1"/>
      <c r="AQ2098" s="1"/>
      <c r="AR2098" s="1"/>
      <c r="AS2098" s="1"/>
      <c r="AT2098" s="1"/>
      <c r="AU2098" s="1"/>
      <c r="AV2098" s="1"/>
      <c r="AW2098" s="1"/>
      <c r="AX2098" s="1"/>
      <c r="AY2098" s="1"/>
      <c r="AZ2098" s="1"/>
      <c r="BA2098" s="1"/>
      <c r="BB2098" s="1"/>
      <c r="BC2098" s="1"/>
      <c r="BD2098" s="1"/>
      <c r="BE2098" s="1"/>
    </row>
    <row x14ac:dyDescent="0.25" r="2099" customHeight="1" ht="18.75">
      <c r="A2099" s="1"/>
      <c r="B2099" s="2"/>
      <c r="C2099" s="2"/>
      <c r="D2099" s="2"/>
      <c r="E2099" s="2"/>
      <c r="F2099" s="2"/>
      <c r="G2099" s="1"/>
      <c r="H2099" s="1"/>
      <c r="I2099" s="7">
        <v>2.096</v>
      </c>
      <c r="J2099" s="7">
        <f>IF((I2099-ROUNDDOWN(I2099,0))=0, 0, (I2099-ROUNDDOWN(I2099,0)))</f>
      </c>
      <c r="K2099" s="7">
        <f>INDIRECT("C$"&amp;2+MIN(2,ROUNDDOWN(I2099,0))*3)*(-$J2099^3+3*$J2099^2-3*$J2099+1)+INDIRECT("C$"&amp;3+MIN(2,ROUNDDOWN(I2099,0))*3)*(3*$J2099^3-6*$J2099^2+3*$J2099)+INDIRECT("C$"&amp;4+MIN(2,ROUNDDOWN(I2099,0))*3)*(-3*$J2099^3+3*$J2099^2)+INDIRECT("C$"&amp;5+MIN(2,ROUNDDOWN(I2099,0))*3)*$J2099^3</f>
      </c>
      <c r="L2099" s="7">
        <f>INDIRECT("D$"&amp;2+MIN(2,ROUNDDOWN(I2099,0))*3)*(-$J2099^3+3*$J2099^2-3*$J2099+1)+INDIRECT("D$"&amp;3+MIN(2,ROUNDDOWN(I2099,0))*3)*(3*$J2099^3-6*$J2099^2+3*$J2099)+INDIRECT("D$"&amp;4+MIN(2,ROUNDDOWN(I2099,0))*3)*(-3*$J2099^3+3*$J2099^2)+INDIRECT("D$"&amp;5+MIN(2,ROUNDDOWN(I2099,0))*3)*$J2099^3</f>
      </c>
      <c r="M2099" s="7">
        <f>SQRT(K2099^2+L2099^2)</f>
      </c>
      <c r="N2099" s="7">
        <f>(K2100-K2098)</f>
      </c>
      <c r="O2099" s="7">
        <f>+(L2100-L2098)</f>
      </c>
      <c r="P2099" s="7">
        <f>SQRT(O2099^2+N2099^2)</f>
      </c>
      <c r="Q2099" s="7">
        <f>N2099/$P2099</f>
      </c>
      <c r="R2099" s="7">
        <f>O2099/$P2099</f>
      </c>
      <c r="S2099" s="8">
        <f>Q2099^2+R2099^2</f>
      </c>
      <c r="T2099" s="7">
        <f>-R2099</f>
      </c>
      <c r="U2099" s="7">
        <f>Q2099</f>
      </c>
      <c r="V2099" s="7">
        <f>($C$14+($C$15-$C$14)/($D$15-$D$14)*(I2099-$D$14))/2</f>
      </c>
      <c r="W2099" s="7">
        <f>($B$22*I2099^4+$C$22*I2099^3+$D$22*I2099^2+$E$22*I2099+$F$22)/2</f>
      </c>
      <c r="X2099" s="7">
        <f>($W2099)*(T2099)</f>
      </c>
      <c r="Y2099" s="7">
        <f>($W2099)*(U2099)</f>
      </c>
      <c r="Z2099" s="7">
        <f>SQRT(X2099^2+Y2099^2)</f>
      </c>
      <c r="AA2099" s="7">
        <f>$K2099+$X2099</f>
      </c>
      <c r="AB2099" s="7">
        <f>$L2099+$Y2099</f>
      </c>
      <c r="AC2099" s="7">
        <f>$K2099-$X2099</f>
      </c>
      <c r="AD2099" s="7">
        <f>$L2099-$Y2099</f>
      </c>
      <c r="AE2099" s="7">
        <f>AA2099/39.3701</f>
      </c>
      <c r="AF2099" s="7">
        <f>AB2099/39.3701</f>
      </c>
      <c r="AG2099" s="7">
        <f>AC2099/39.3701</f>
      </c>
      <c r="AH2099" s="7">
        <f>AD2099/39.3701</f>
      </c>
      <c r="AI2099" s="1"/>
      <c r="AJ2099" s="1"/>
      <c r="AK2099" s="1"/>
      <c r="AL2099" s="1"/>
      <c r="AM2099" s="2"/>
      <c r="AN2099" s="1"/>
      <c r="AO2099" s="1"/>
      <c r="AP2099" s="1"/>
      <c r="AQ2099" s="1"/>
      <c r="AR2099" s="1"/>
      <c r="AS2099" s="1"/>
      <c r="AT2099" s="1"/>
      <c r="AU2099" s="1"/>
      <c r="AV2099" s="1"/>
      <c r="AW2099" s="1"/>
      <c r="AX2099" s="1"/>
      <c r="AY2099" s="1"/>
      <c r="AZ2099" s="1"/>
      <c r="BA2099" s="1"/>
      <c r="BB2099" s="1"/>
      <c r="BC2099" s="1"/>
      <c r="BD2099" s="1"/>
      <c r="BE2099" s="1"/>
    </row>
    <row x14ac:dyDescent="0.25" r="2100" customHeight="1" ht="18.75">
      <c r="A2100" s="1"/>
      <c r="B2100" s="2"/>
      <c r="C2100" s="2"/>
      <c r="D2100" s="2"/>
      <c r="E2100" s="2"/>
      <c r="F2100" s="2"/>
      <c r="G2100" s="1"/>
      <c r="H2100" s="1"/>
      <c r="I2100" s="7">
        <v>2.097</v>
      </c>
      <c r="J2100" s="7">
        <f>IF((I2100-ROUNDDOWN(I2100,0))=0, 0, (I2100-ROUNDDOWN(I2100,0)))</f>
      </c>
      <c r="K2100" s="7">
        <f>INDIRECT("C$"&amp;2+MIN(2,ROUNDDOWN(I2100,0))*3)*(-$J2100^3+3*$J2100^2-3*$J2100+1)+INDIRECT("C$"&amp;3+MIN(2,ROUNDDOWN(I2100,0))*3)*(3*$J2100^3-6*$J2100^2+3*$J2100)+INDIRECT("C$"&amp;4+MIN(2,ROUNDDOWN(I2100,0))*3)*(-3*$J2100^3+3*$J2100^2)+INDIRECT("C$"&amp;5+MIN(2,ROUNDDOWN(I2100,0))*3)*$J2100^3</f>
      </c>
      <c r="L2100" s="7">
        <f>INDIRECT("D$"&amp;2+MIN(2,ROUNDDOWN(I2100,0))*3)*(-$J2100^3+3*$J2100^2-3*$J2100+1)+INDIRECT("D$"&amp;3+MIN(2,ROUNDDOWN(I2100,0))*3)*(3*$J2100^3-6*$J2100^2+3*$J2100)+INDIRECT("D$"&amp;4+MIN(2,ROUNDDOWN(I2100,0))*3)*(-3*$J2100^3+3*$J2100^2)+INDIRECT("D$"&amp;5+MIN(2,ROUNDDOWN(I2100,0))*3)*$J2100^3</f>
      </c>
      <c r="M2100" s="7">
        <f>SQRT(K2100^2+L2100^2)</f>
      </c>
      <c r="N2100" s="7">
        <f>(K2101-K2099)</f>
      </c>
      <c r="O2100" s="7">
        <f>+(L2101-L2099)</f>
      </c>
      <c r="P2100" s="7">
        <f>SQRT(O2100^2+N2100^2)</f>
      </c>
      <c r="Q2100" s="7">
        <f>N2100/$P2100</f>
      </c>
      <c r="R2100" s="7">
        <f>O2100/$P2100</f>
      </c>
      <c r="S2100" s="7">
        <f>Q2100^2+R2100^2</f>
      </c>
      <c r="T2100" s="7">
        <f>-R2100</f>
      </c>
      <c r="U2100" s="7">
        <f>Q2100</f>
      </c>
      <c r="V2100" s="7">
        <f>($C$14+($C$15-$C$14)/($D$15-$D$14)*(I2100-$D$14))/2</f>
      </c>
      <c r="W2100" s="7">
        <f>($B$22*I2100^4+$C$22*I2100^3+$D$22*I2100^2+$E$22*I2100+$F$22)/2</f>
      </c>
      <c r="X2100" s="7">
        <f>($W2100)*(T2100)</f>
      </c>
      <c r="Y2100" s="7">
        <f>($W2100)*(U2100)</f>
      </c>
      <c r="Z2100" s="7">
        <f>SQRT(X2100^2+Y2100^2)</f>
      </c>
      <c r="AA2100" s="7">
        <f>$K2100+$X2100</f>
      </c>
      <c r="AB2100" s="7">
        <f>$L2100+$Y2100</f>
      </c>
      <c r="AC2100" s="7">
        <f>$K2100-$X2100</f>
      </c>
      <c r="AD2100" s="7">
        <f>$L2100-$Y2100</f>
      </c>
      <c r="AE2100" s="7">
        <f>AA2100/39.3701</f>
      </c>
      <c r="AF2100" s="7">
        <f>AB2100/39.3701</f>
      </c>
      <c r="AG2100" s="7">
        <f>AC2100/39.3701</f>
      </c>
      <c r="AH2100" s="7">
        <f>AD2100/39.3701</f>
      </c>
      <c r="AI2100" s="1"/>
      <c r="AJ2100" s="1"/>
      <c r="AK2100" s="1"/>
      <c r="AL2100" s="1"/>
      <c r="AM2100" s="2"/>
      <c r="AN2100" s="1"/>
      <c r="AO2100" s="1"/>
      <c r="AP2100" s="1"/>
      <c r="AQ2100" s="1"/>
      <c r="AR2100" s="1"/>
      <c r="AS2100" s="1"/>
      <c r="AT2100" s="1"/>
      <c r="AU2100" s="1"/>
      <c r="AV2100" s="1"/>
      <c r="AW2100" s="1"/>
      <c r="AX2100" s="1"/>
      <c r="AY2100" s="1"/>
      <c r="AZ2100" s="1"/>
      <c r="BA2100" s="1"/>
      <c r="BB2100" s="1"/>
      <c r="BC2100" s="1"/>
      <c r="BD2100" s="1"/>
      <c r="BE2100" s="1"/>
    </row>
    <row x14ac:dyDescent="0.25" r="2101" customHeight="1" ht="18.75">
      <c r="A2101" s="1"/>
      <c r="B2101" s="2"/>
      <c r="C2101" s="2"/>
      <c r="D2101" s="2"/>
      <c r="E2101" s="2"/>
      <c r="F2101" s="2"/>
      <c r="G2101" s="1"/>
      <c r="H2101" s="1"/>
      <c r="I2101" s="7">
        <v>2.098</v>
      </c>
      <c r="J2101" s="7">
        <f>IF((I2101-ROUNDDOWN(I2101,0))=0, 0, (I2101-ROUNDDOWN(I2101,0)))</f>
      </c>
      <c r="K2101" s="7">
        <f>INDIRECT("C$"&amp;2+MIN(2,ROUNDDOWN(I2101,0))*3)*(-$J2101^3+3*$J2101^2-3*$J2101+1)+INDIRECT("C$"&amp;3+MIN(2,ROUNDDOWN(I2101,0))*3)*(3*$J2101^3-6*$J2101^2+3*$J2101)+INDIRECT("C$"&amp;4+MIN(2,ROUNDDOWN(I2101,0))*3)*(-3*$J2101^3+3*$J2101^2)+INDIRECT("C$"&amp;5+MIN(2,ROUNDDOWN(I2101,0))*3)*$J2101^3</f>
      </c>
      <c r="L2101" s="7">
        <f>INDIRECT("D$"&amp;2+MIN(2,ROUNDDOWN(I2101,0))*3)*(-$J2101^3+3*$J2101^2-3*$J2101+1)+INDIRECT("D$"&amp;3+MIN(2,ROUNDDOWN(I2101,0))*3)*(3*$J2101^3-6*$J2101^2+3*$J2101)+INDIRECT("D$"&amp;4+MIN(2,ROUNDDOWN(I2101,0))*3)*(-3*$J2101^3+3*$J2101^2)+INDIRECT("D$"&amp;5+MIN(2,ROUNDDOWN(I2101,0))*3)*$J2101^3</f>
      </c>
      <c r="M2101" s="7">
        <f>SQRT(K2101^2+L2101^2)</f>
      </c>
      <c r="N2101" s="7">
        <f>(K2102-K2100)</f>
      </c>
      <c r="O2101" s="7">
        <f>+(L2102-L2100)</f>
      </c>
      <c r="P2101" s="7">
        <f>SQRT(O2101^2+N2101^2)</f>
      </c>
      <c r="Q2101" s="7">
        <f>N2101/$P2101</f>
      </c>
      <c r="R2101" s="7">
        <f>O2101/$P2101</f>
      </c>
      <c r="S2101" s="7">
        <f>Q2101^2+R2101^2</f>
      </c>
      <c r="T2101" s="7">
        <f>-R2101</f>
      </c>
      <c r="U2101" s="7">
        <f>Q2101</f>
      </c>
      <c r="V2101" s="7">
        <f>($C$14+($C$15-$C$14)/($D$15-$D$14)*(I2101-$D$14))/2</f>
      </c>
      <c r="W2101" s="7">
        <f>($B$22*I2101^4+$C$22*I2101^3+$D$22*I2101^2+$E$22*I2101+$F$22)/2</f>
      </c>
      <c r="X2101" s="7">
        <f>($W2101)*(T2101)</f>
      </c>
      <c r="Y2101" s="7">
        <f>($W2101)*(U2101)</f>
      </c>
      <c r="Z2101" s="7">
        <f>SQRT(X2101^2+Y2101^2)</f>
      </c>
      <c r="AA2101" s="7">
        <f>$K2101+$X2101</f>
      </c>
      <c r="AB2101" s="7">
        <f>$L2101+$Y2101</f>
      </c>
      <c r="AC2101" s="7">
        <f>$K2101-$X2101</f>
      </c>
      <c r="AD2101" s="7">
        <f>$L2101-$Y2101</f>
      </c>
      <c r="AE2101" s="7">
        <f>AA2101/39.3701</f>
      </c>
      <c r="AF2101" s="7">
        <f>AB2101/39.3701</f>
      </c>
      <c r="AG2101" s="7">
        <f>AC2101/39.3701</f>
      </c>
      <c r="AH2101" s="7">
        <f>AD2101/39.3701</f>
      </c>
      <c r="AI2101" s="1"/>
      <c r="AJ2101" s="1"/>
      <c r="AK2101" s="1"/>
      <c r="AL2101" s="1"/>
      <c r="AM2101" s="2"/>
      <c r="AN2101" s="1"/>
      <c r="AO2101" s="1"/>
      <c r="AP2101" s="1"/>
      <c r="AQ2101" s="1"/>
      <c r="AR2101" s="1"/>
      <c r="AS2101" s="1"/>
      <c r="AT2101" s="1"/>
      <c r="AU2101" s="1"/>
      <c r="AV2101" s="1"/>
      <c r="AW2101" s="1"/>
      <c r="AX2101" s="1"/>
      <c r="AY2101" s="1"/>
      <c r="AZ2101" s="1"/>
      <c r="BA2101" s="1"/>
      <c r="BB2101" s="1"/>
      <c r="BC2101" s="1"/>
      <c r="BD2101" s="1"/>
      <c r="BE2101" s="1"/>
    </row>
    <row x14ac:dyDescent="0.25" r="2102" customHeight="1" ht="18.75">
      <c r="A2102" s="1"/>
      <c r="B2102" s="2"/>
      <c r="C2102" s="2"/>
      <c r="D2102" s="2"/>
      <c r="E2102" s="2"/>
      <c r="F2102" s="2"/>
      <c r="G2102" s="1"/>
      <c r="H2102" s="1"/>
      <c r="I2102" s="7">
        <v>2.099</v>
      </c>
      <c r="J2102" s="7">
        <f>IF((I2102-ROUNDDOWN(I2102,0))=0, 0, (I2102-ROUNDDOWN(I2102,0)))</f>
      </c>
      <c r="K2102" s="7">
        <f>INDIRECT("C$"&amp;2+MIN(2,ROUNDDOWN(I2102,0))*3)*(-$J2102^3+3*$J2102^2-3*$J2102+1)+INDIRECT("C$"&amp;3+MIN(2,ROUNDDOWN(I2102,0))*3)*(3*$J2102^3-6*$J2102^2+3*$J2102)+INDIRECT("C$"&amp;4+MIN(2,ROUNDDOWN(I2102,0))*3)*(-3*$J2102^3+3*$J2102^2)+INDIRECT("C$"&amp;5+MIN(2,ROUNDDOWN(I2102,0))*3)*$J2102^3</f>
      </c>
      <c r="L2102" s="7">
        <f>INDIRECT("D$"&amp;2+MIN(2,ROUNDDOWN(I2102,0))*3)*(-$J2102^3+3*$J2102^2-3*$J2102+1)+INDIRECT("D$"&amp;3+MIN(2,ROUNDDOWN(I2102,0))*3)*(3*$J2102^3-6*$J2102^2+3*$J2102)+INDIRECT("D$"&amp;4+MIN(2,ROUNDDOWN(I2102,0))*3)*(-3*$J2102^3+3*$J2102^2)+INDIRECT("D$"&amp;5+MIN(2,ROUNDDOWN(I2102,0))*3)*$J2102^3</f>
      </c>
      <c r="M2102" s="7">
        <f>SQRT(K2102^2+L2102^2)</f>
      </c>
      <c r="N2102" s="7">
        <f>(K2103-K2101)</f>
      </c>
      <c r="O2102" s="7">
        <f>+(L2103-L2101)</f>
      </c>
      <c r="P2102" s="7">
        <f>SQRT(O2102^2+N2102^2)</f>
      </c>
      <c r="Q2102" s="7">
        <f>N2102/$P2102</f>
      </c>
      <c r="R2102" s="7">
        <f>O2102/$P2102</f>
      </c>
      <c r="S2102" s="7">
        <f>Q2102^2+R2102^2</f>
      </c>
      <c r="T2102" s="7">
        <f>-R2102</f>
      </c>
      <c r="U2102" s="7">
        <f>Q2102</f>
      </c>
      <c r="V2102" s="7">
        <f>($C$14+($C$15-$C$14)/($D$15-$D$14)*(I2102-$D$14))/2</f>
      </c>
      <c r="W2102" s="7">
        <f>($B$22*I2102^4+$C$22*I2102^3+$D$22*I2102^2+$E$22*I2102+$F$22)/2</f>
      </c>
      <c r="X2102" s="7">
        <f>($W2102)*(T2102)</f>
      </c>
      <c r="Y2102" s="7">
        <f>($W2102)*(U2102)</f>
      </c>
      <c r="Z2102" s="7">
        <f>SQRT(X2102^2+Y2102^2)</f>
      </c>
      <c r="AA2102" s="7">
        <f>$K2102+$X2102</f>
      </c>
      <c r="AB2102" s="7">
        <f>$L2102+$Y2102</f>
      </c>
      <c r="AC2102" s="7">
        <f>$K2102-$X2102</f>
      </c>
      <c r="AD2102" s="7">
        <f>$L2102-$Y2102</f>
      </c>
      <c r="AE2102" s="7">
        <f>AA2102/39.3701</f>
      </c>
      <c r="AF2102" s="7">
        <f>AB2102/39.3701</f>
      </c>
      <c r="AG2102" s="7">
        <f>AC2102/39.3701</f>
      </c>
      <c r="AH2102" s="7">
        <f>AD2102/39.3701</f>
      </c>
      <c r="AI2102" s="1"/>
      <c r="AJ2102" s="1"/>
      <c r="AK2102" s="1"/>
      <c r="AL2102" s="1"/>
      <c r="AM2102" s="2"/>
      <c r="AN2102" s="1"/>
      <c r="AO2102" s="1"/>
      <c r="AP2102" s="1"/>
      <c r="AQ2102" s="1"/>
      <c r="AR2102" s="1"/>
      <c r="AS2102" s="1"/>
      <c r="AT2102" s="1"/>
      <c r="AU2102" s="1"/>
      <c r="AV2102" s="1"/>
      <c r="AW2102" s="1"/>
      <c r="AX2102" s="1"/>
      <c r="AY2102" s="1"/>
      <c r="AZ2102" s="1"/>
      <c r="BA2102" s="1"/>
      <c r="BB2102" s="1"/>
      <c r="BC2102" s="1"/>
      <c r="BD2102" s="1"/>
      <c r="BE2102" s="1"/>
    </row>
    <row x14ac:dyDescent="0.25" r="2103" customHeight="1" ht="18.75">
      <c r="A2103" s="1"/>
      <c r="B2103" s="2"/>
      <c r="C2103" s="2"/>
      <c r="D2103" s="2"/>
      <c r="E2103" s="2"/>
      <c r="F2103" s="2"/>
      <c r="G2103" s="1"/>
      <c r="H2103" s="1"/>
      <c r="I2103" s="7">
        <v>2.1</v>
      </c>
      <c r="J2103" s="7">
        <f>IF((I2103-ROUNDDOWN(I2103,0))=0, 0, (I2103-ROUNDDOWN(I2103,0)))</f>
      </c>
      <c r="K2103" s="7">
        <f>INDIRECT("C$"&amp;2+MIN(2,ROUNDDOWN(I2103,0))*3)*(-$J2103^3+3*$J2103^2-3*$J2103+1)+INDIRECT("C$"&amp;3+MIN(2,ROUNDDOWN(I2103,0))*3)*(3*$J2103^3-6*$J2103^2+3*$J2103)+INDIRECT("C$"&amp;4+MIN(2,ROUNDDOWN(I2103,0))*3)*(-3*$J2103^3+3*$J2103^2)+INDIRECT("C$"&amp;5+MIN(2,ROUNDDOWN(I2103,0))*3)*$J2103^3</f>
      </c>
      <c r="L2103" s="7">
        <f>INDIRECT("D$"&amp;2+MIN(2,ROUNDDOWN(I2103,0))*3)*(-$J2103^3+3*$J2103^2-3*$J2103+1)+INDIRECT("D$"&amp;3+MIN(2,ROUNDDOWN(I2103,0))*3)*(3*$J2103^3-6*$J2103^2+3*$J2103)+INDIRECT("D$"&amp;4+MIN(2,ROUNDDOWN(I2103,0))*3)*(-3*$J2103^3+3*$J2103^2)+INDIRECT("D$"&amp;5+MIN(2,ROUNDDOWN(I2103,0))*3)*$J2103^3</f>
      </c>
      <c r="M2103" s="7">
        <f>SQRT(K2103^2+L2103^2)</f>
      </c>
      <c r="N2103" s="7">
        <f>(K2104-K2102)</f>
      </c>
      <c r="O2103" s="7">
        <f>+(L2104-L2102)</f>
      </c>
      <c r="P2103" s="7">
        <f>SQRT(O2103^2+N2103^2)</f>
      </c>
      <c r="Q2103" s="7">
        <f>N2103/$P2103</f>
      </c>
      <c r="R2103" s="7">
        <f>O2103/$P2103</f>
      </c>
      <c r="S2103" s="7">
        <f>Q2103^2+R2103^2</f>
      </c>
      <c r="T2103" s="7">
        <f>-R2103</f>
      </c>
      <c r="U2103" s="7">
        <f>Q2103</f>
      </c>
      <c r="V2103" s="7">
        <f>($C$14+($C$15-$C$14)/($D$15-$D$14)*(I2103-$D$14))/2</f>
      </c>
      <c r="W2103" s="7">
        <f>($B$22*I2103^4+$C$22*I2103^3+$D$22*I2103^2+$E$22*I2103+$F$22)/2</f>
      </c>
      <c r="X2103" s="7">
        <f>($W2103)*(T2103)</f>
      </c>
      <c r="Y2103" s="7">
        <f>($W2103)*(U2103)</f>
      </c>
      <c r="Z2103" s="7">
        <f>SQRT(X2103^2+Y2103^2)</f>
      </c>
      <c r="AA2103" s="7">
        <f>$K2103+$X2103</f>
      </c>
      <c r="AB2103" s="7">
        <f>$L2103+$Y2103</f>
      </c>
      <c r="AC2103" s="7">
        <f>$K2103-$X2103</f>
      </c>
      <c r="AD2103" s="7">
        <f>$L2103-$Y2103</f>
      </c>
      <c r="AE2103" s="7">
        <f>AA2103/39.3701</f>
      </c>
      <c r="AF2103" s="7">
        <f>AB2103/39.3701</f>
      </c>
      <c r="AG2103" s="7">
        <f>AC2103/39.3701</f>
      </c>
      <c r="AH2103" s="7">
        <f>AD2103/39.3701</f>
      </c>
      <c r="AI2103" s="1"/>
      <c r="AJ2103" s="1"/>
      <c r="AK2103" s="1"/>
      <c r="AL2103" s="1"/>
      <c r="AM2103" s="2"/>
      <c r="AN2103" s="1"/>
      <c r="AO2103" s="1"/>
      <c r="AP2103" s="1"/>
      <c r="AQ2103" s="1"/>
      <c r="AR2103" s="1"/>
      <c r="AS2103" s="1"/>
      <c r="AT2103" s="1"/>
      <c r="AU2103" s="1"/>
      <c r="AV2103" s="1"/>
      <c r="AW2103" s="1"/>
      <c r="AX2103" s="1"/>
      <c r="AY2103" s="1"/>
      <c r="AZ2103" s="1"/>
      <c r="BA2103" s="1"/>
      <c r="BB2103" s="1"/>
      <c r="BC2103" s="1"/>
      <c r="BD2103" s="1"/>
      <c r="BE2103" s="1"/>
    </row>
    <row x14ac:dyDescent="0.25" r="2104" customHeight="1" ht="18.75">
      <c r="A2104" s="1"/>
      <c r="B2104" s="2"/>
      <c r="C2104" s="2"/>
      <c r="D2104" s="2"/>
      <c r="E2104" s="2"/>
      <c r="F2104" s="2"/>
      <c r="G2104" s="1"/>
      <c r="H2104" s="1"/>
      <c r="I2104" s="7">
        <v>2.101</v>
      </c>
      <c r="J2104" s="7">
        <f>IF((I2104-ROUNDDOWN(I2104,0))=0, 0, (I2104-ROUNDDOWN(I2104,0)))</f>
      </c>
      <c r="K2104" s="7">
        <f>INDIRECT("C$"&amp;2+MIN(2,ROUNDDOWN(I2104,0))*3)*(-$J2104^3+3*$J2104^2-3*$J2104+1)+INDIRECT("C$"&amp;3+MIN(2,ROUNDDOWN(I2104,0))*3)*(3*$J2104^3-6*$J2104^2+3*$J2104)+INDIRECT("C$"&amp;4+MIN(2,ROUNDDOWN(I2104,0))*3)*(-3*$J2104^3+3*$J2104^2)+INDIRECT("C$"&amp;5+MIN(2,ROUNDDOWN(I2104,0))*3)*$J2104^3</f>
      </c>
      <c r="L2104" s="7">
        <f>INDIRECT("D$"&amp;2+MIN(2,ROUNDDOWN(I2104,0))*3)*(-$J2104^3+3*$J2104^2-3*$J2104+1)+INDIRECT("D$"&amp;3+MIN(2,ROUNDDOWN(I2104,0))*3)*(3*$J2104^3-6*$J2104^2+3*$J2104)+INDIRECT("D$"&amp;4+MIN(2,ROUNDDOWN(I2104,0))*3)*(-3*$J2104^3+3*$J2104^2)+INDIRECT("D$"&amp;5+MIN(2,ROUNDDOWN(I2104,0))*3)*$J2104^3</f>
      </c>
      <c r="M2104" s="7">
        <f>SQRT(K2104^2+L2104^2)</f>
      </c>
      <c r="N2104" s="7">
        <f>(K2105-K2103)</f>
      </c>
      <c r="O2104" s="7">
        <f>+(L2105-L2103)</f>
      </c>
      <c r="P2104" s="7">
        <f>SQRT(O2104^2+N2104^2)</f>
      </c>
      <c r="Q2104" s="7">
        <f>N2104/$P2104</f>
      </c>
      <c r="R2104" s="7">
        <f>O2104/$P2104</f>
      </c>
      <c r="S2104" s="7">
        <f>Q2104^2+R2104^2</f>
      </c>
      <c r="T2104" s="7">
        <f>-R2104</f>
      </c>
      <c r="U2104" s="7">
        <f>Q2104</f>
      </c>
      <c r="V2104" s="7">
        <f>($C$14+($C$15-$C$14)/($D$15-$D$14)*(I2104-$D$14))/2</f>
      </c>
      <c r="W2104" s="7">
        <f>($B$22*I2104^4+$C$22*I2104^3+$D$22*I2104^2+$E$22*I2104+$F$22)/2</f>
      </c>
      <c r="X2104" s="7">
        <f>($W2104)*(T2104)</f>
      </c>
      <c r="Y2104" s="7">
        <f>($W2104)*(U2104)</f>
      </c>
      <c r="Z2104" s="7">
        <f>SQRT(X2104^2+Y2104^2)</f>
      </c>
      <c r="AA2104" s="7">
        <f>$K2104+$X2104</f>
      </c>
      <c r="AB2104" s="7">
        <f>$L2104+$Y2104</f>
      </c>
      <c r="AC2104" s="7">
        <f>$K2104-$X2104</f>
      </c>
      <c r="AD2104" s="7">
        <f>$L2104-$Y2104</f>
      </c>
      <c r="AE2104" s="7">
        <f>AA2104/39.3701</f>
      </c>
      <c r="AF2104" s="7">
        <f>AB2104/39.3701</f>
      </c>
      <c r="AG2104" s="7">
        <f>AC2104/39.3701</f>
      </c>
      <c r="AH2104" s="7">
        <f>AD2104/39.3701</f>
      </c>
      <c r="AI2104" s="1"/>
      <c r="AJ2104" s="1"/>
      <c r="AK2104" s="1"/>
      <c r="AL2104" s="1"/>
      <c r="AM2104" s="2"/>
      <c r="AN2104" s="1"/>
      <c r="AO2104" s="1"/>
      <c r="AP2104" s="1"/>
      <c r="AQ2104" s="1"/>
      <c r="AR2104" s="1"/>
      <c r="AS2104" s="1"/>
      <c r="AT2104" s="1"/>
      <c r="AU2104" s="1"/>
      <c r="AV2104" s="1"/>
      <c r="AW2104" s="1"/>
      <c r="AX2104" s="1"/>
      <c r="AY2104" s="1"/>
      <c r="AZ2104" s="1"/>
      <c r="BA2104" s="1"/>
      <c r="BB2104" s="1"/>
      <c r="BC2104" s="1"/>
      <c r="BD2104" s="1"/>
      <c r="BE2104" s="1"/>
    </row>
    <row x14ac:dyDescent="0.25" r="2105" customHeight="1" ht="18.75">
      <c r="A2105" s="1"/>
      <c r="B2105" s="2"/>
      <c r="C2105" s="2"/>
      <c r="D2105" s="2"/>
      <c r="E2105" s="2"/>
      <c r="F2105" s="2"/>
      <c r="G2105" s="1"/>
      <c r="H2105" s="1"/>
      <c r="I2105" s="7">
        <v>2.102</v>
      </c>
      <c r="J2105" s="7">
        <f>IF((I2105-ROUNDDOWN(I2105,0))=0, 0, (I2105-ROUNDDOWN(I2105,0)))</f>
      </c>
      <c r="K2105" s="7">
        <f>INDIRECT("C$"&amp;2+MIN(2,ROUNDDOWN(I2105,0))*3)*(-$J2105^3+3*$J2105^2-3*$J2105+1)+INDIRECT("C$"&amp;3+MIN(2,ROUNDDOWN(I2105,0))*3)*(3*$J2105^3-6*$J2105^2+3*$J2105)+INDIRECT("C$"&amp;4+MIN(2,ROUNDDOWN(I2105,0))*3)*(-3*$J2105^3+3*$J2105^2)+INDIRECT("C$"&amp;5+MIN(2,ROUNDDOWN(I2105,0))*3)*$J2105^3</f>
      </c>
      <c r="L2105" s="7">
        <f>INDIRECT("D$"&amp;2+MIN(2,ROUNDDOWN(I2105,0))*3)*(-$J2105^3+3*$J2105^2-3*$J2105+1)+INDIRECT("D$"&amp;3+MIN(2,ROUNDDOWN(I2105,0))*3)*(3*$J2105^3-6*$J2105^2+3*$J2105)+INDIRECT("D$"&amp;4+MIN(2,ROUNDDOWN(I2105,0))*3)*(-3*$J2105^3+3*$J2105^2)+INDIRECT("D$"&amp;5+MIN(2,ROUNDDOWN(I2105,0))*3)*$J2105^3</f>
      </c>
      <c r="M2105" s="7">
        <f>SQRT(K2105^2+L2105^2)</f>
      </c>
      <c r="N2105" s="7">
        <f>(K2106-K2104)</f>
      </c>
      <c r="O2105" s="7">
        <f>+(L2106-L2104)</f>
      </c>
      <c r="P2105" s="7">
        <f>SQRT(O2105^2+N2105^2)</f>
      </c>
      <c r="Q2105" s="7">
        <f>N2105/$P2105</f>
      </c>
      <c r="R2105" s="7">
        <f>O2105/$P2105</f>
      </c>
      <c r="S2105" s="7">
        <f>Q2105^2+R2105^2</f>
      </c>
      <c r="T2105" s="7">
        <f>-R2105</f>
      </c>
      <c r="U2105" s="7">
        <f>Q2105</f>
      </c>
      <c r="V2105" s="7">
        <f>($C$14+($C$15-$C$14)/($D$15-$D$14)*(I2105-$D$14))/2</f>
      </c>
      <c r="W2105" s="7">
        <f>($B$22*I2105^4+$C$22*I2105^3+$D$22*I2105^2+$E$22*I2105+$F$22)/2</f>
      </c>
      <c r="X2105" s="7">
        <f>($W2105)*(T2105)</f>
      </c>
      <c r="Y2105" s="7">
        <f>($W2105)*(U2105)</f>
      </c>
      <c r="Z2105" s="7">
        <f>SQRT(X2105^2+Y2105^2)</f>
      </c>
      <c r="AA2105" s="7">
        <f>$K2105+$X2105</f>
      </c>
      <c r="AB2105" s="7">
        <f>$L2105+$Y2105</f>
      </c>
      <c r="AC2105" s="7">
        <f>$K2105-$X2105</f>
      </c>
      <c r="AD2105" s="7">
        <f>$L2105-$Y2105</f>
      </c>
      <c r="AE2105" s="7">
        <f>AA2105/39.3701</f>
      </c>
      <c r="AF2105" s="7">
        <f>AB2105/39.3701</f>
      </c>
      <c r="AG2105" s="7">
        <f>AC2105/39.3701</f>
      </c>
      <c r="AH2105" s="7">
        <f>AD2105/39.3701</f>
      </c>
      <c r="AI2105" s="1"/>
      <c r="AJ2105" s="1"/>
      <c r="AK2105" s="1"/>
      <c r="AL2105" s="1"/>
      <c r="AM2105" s="2"/>
      <c r="AN2105" s="1"/>
      <c r="AO2105" s="1"/>
      <c r="AP2105" s="1"/>
      <c r="AQ2105" s="1"/>
      <c r="AR2105" s="1"/>
      <c r="AS2105" s="1"/>
      <c r="AT2105" s="1"/>
      <c r="AU2105" s="1"/>
      <c r="AV2105" s="1"/>
      <c r="AW2105" s="1"/>
      <c r="AX2105" s="1"/>
      <c r="AY2105" s="1"/>
      <c r="AZ2105" s="1"/>
      <c r="BA2105" s="1"/>
      <c r="BB2105" s="1"/>
      <c r="BC2105" s="1"/>
      <c r="BD2105" s="1"/>
      <c r="BE2105" s="1"/>
    </row>
    <row x14ac:dyDescent="0.25" r="2106" customHeight="1" ht="18.75">
      <c r="A2106" s="1"/>
      <c r="B2106" s="2"/>
      <c r="C2106" s="2"/>
      <c r="D2106" s="2"/>
      <c r="E2106" s="2"/>
      <c r="F2106" s="2"/>
      <c r="G2106" s="1"/>
      <c r="H2106" s="1"/>
      <c r="I2106" s="7">
        <v>2.103</v>
      </c>
      <c r="J2106" s="7">
        <f>IF((I2106-ROUNDDOWN(I2106,0))=0, 0, (I2106-ROUNDDOWN(I2106,0)))</f>
      </c>
      <c r="K2106" s="7">
        <f>INDIRECT("C$"&amp;2+MIN(2,ROUNDDOWN(I2106,0))*3)*(-$J2106^3+3*$J2106^2-3*$J2106+1)+INDIRECT("C$"&amp;3+MIN(2,ROUNDDOWN(I2106,0))*3)*(3*$J2106^3-6*$J2106^2+3*$J2106)+INDIRECT("C$"&amp;4+MIN(2,ROUNDDOWN(I2106,0))*3)*(-3*$J2106^3+3*$J2106^2)+INDIRECT("C$"&amp;5+MIN(2,ROUNDDOWN(I2106,0))*3)*$J2106^3</f>
      </c>
      <c r="L2106" s="7">
        <f>INDIRECT("D$"&amp;2+MIN(2,ROUNDDOWN(I2106,0))*3)*(-$J2106^3+3*$J2106^2-3*$J2106+1)+INDIRECT("D$"&amp;3+MIN(2,ROUNDDOWN(I2106,0))*3)*(3*$J2106^3-6*$J2106^2+3*$J2106)+INDIRECT("D$"&amp;4+MIN(2,ROUNDDOWN(I2106,0))*3)*(-3*$J2106^3+3*$J2106^2)+INDIRECT("D$"&amp;5+MIN(2,ROUNDDOWN(I2106,0))*3)*$J2106^3</f>
      </c>
      <c r="M2106" s="7">
        <f>SQRT(K2106^2+L2106^2)</f>
      </c>
      <c r="N2106" s="7">
        <f>(K2107-K2105)</f>
      </c>
      <c r="O2106" s="7">
        <f>+(L2107-L2105)</f>
      </c>
      <c r="P2106" s="7">
        <f>SQRT(O2106^2+N2106^2)</f>
      </c>
      <c r="Q2106" s="7">
        <f>N2106/$P2106</f>
      </c>
      <c r="R2106" s="7">
        <f>O2106/$P2106</f>
      </c>
      <c r="S2106" s="7">
        <f>Q2106^2+R2106^2</f>
      </c>
      <c r="T2106" s="7">
        <f>-R2106</f>
      </c>
      <c r="U2106" s="7">
        <f>Q2106</f>
      </c>
      <c r="V2106" s="7">
        <f>($C$14+($C$15-$C$14)/($D$15-$D$14)*(I2106-$D$14))/2</f>
      </c>
      <c r="W2106" s="7">
        <f>($B$22*I2106^4+$C$22*I2106^3+$D$22*I2106^2+$E$22*I2106+$F$22)/2</f>
      </c>
      <c r="X2106" s="7">
        <f>($W2106)*(T2106)</f>
      </c>
      <c r="Y2106" s="7">
        <f>($W2106)*(U2106)</f>
      </c>
      <c r="Z2106" s="7">
        <f>SQRT(X2106^2+Y2106^2)</f>
      </c>
      <c r="AA2106" s="7">
        <f>$K2106+$X2106</f>
      </c>
      <c r="AB2106" s="7">
        <f>$L2106+$Y2106</f>
      </c>
      <c r="AC2106" s="7">
        <f>$K2106-$X2106</f>
      </c>
      <c r="AD2106" s="7">
        <f>$L2106-$Y2106</f>
      </c>
      <c r="AE2106" s="7">
        <f>AA2106/39.3701</f>
      </c>
      <c r="AF2106" s="7">
        <f>AB2106/39.3701</f>
      </c>
      <c r="AG2106" s="7">
        <f>AC2106/39.3701</f>
      </c>
      <c r="AH2106" s="7">
        <f>AD2106/39.3701</f>
      </c>
      <c r="AI2106" s="1"/>
      <c r="AJ2106" s="1"/>
      <c r="AK2106" s="1"/>
      <c r="AL2106" s="1"/>
      <c r="AM2106" s="2"/>
      <c r="AN2106" s="1"/>
      <c r="AO2106" s="1"/>
      <c r="AP2106" s="1"/>
      <c r="AQ2106" s="1"/>
      <c r="AR2106" s="1"/>
      <c r="AS2106" s="1"/>
      <c r="AT2106" s="1"/>
      <c r="AU2106" s="1"/>
      <c r="AV2106" s="1"/>
      <c r="AW2106" s="1"/>
      <c r="AX2106" s="1"/>
      <c r="AY2106" s="1"/>
      <c r="AZ2106" s="1"/>
      <c r="BA2106" s="1"/>
      <c r="BB2106" s="1"/>
      <c r="BC2106" s="1"/>
      <c r="BD2106" s="1"/>
      <c r="BE2106" s="1"/>
    </row>
    <row x14ac:dyDescent="0.25" r="2107" customHeight="1" ht="18.75">
      <c r="A2107" s="1"/>
      <c r="B2107" s="2"/>
      <c r="C2107" s="2"/>
      <c r="D2107" s="2"/>
      <c r="E2107" s="2"/>
      <c r="F2107" s="2"/>
      <c r="G2107" s="1"/>
      <c r="H2107" s="1"/>
      <c r="I2107" s="7">
        <v>2.104</v>
      </c>
      <c r="J2107" s="7">
        <f>IF((I2107-ROUNDDOWN(I2107,0))=0, 0, (I2107-ROUNDDOWN(I2107,0)))</f>
      </c>
      <c r="K2107" s="7">
        <f>INDIRECT("C$"&amp;2+MIN(2,ROUNDDOWN(I2107,0))*3)*(-$J2107^3+3*$J2107^2-3*$J2107+1)+INDIRECT("C$"&amp;3+MIN(2,ROUNDDOWN(I2107,0))*3)*(3*$J2107^3-6*$J2107^2+3*$J2107)+INDIRECT("C$"&amp;4+MIN(2,ROUNDDOWN(I2107,0))*3)*(-3*$J2107^3+3*$J2107^2)+INDIRECT("C$"&amp;5+MIN(2,ROUNDDOWN(I2107,0))*3)*$J2107^3</f>
      </c>
      <c r="L2107" s="7">
        <f>INDIRECT("D$"&amp;2+MIN(2,ROUNDDOWN(I2107,0))*3)*(-$J2107^3+3*$J2107^2-3*$J2107+1)+INDIRECT("D$"&amp;3+MIN(2,ROUNDDOWN(I2107,0))*3)*(3*$J2107^3-6*$J2107^2+3*$J2107)+INDIRECT("D$"&amp;4+MIN(2,ROUNDDOWN(I2107,0))*3)*(-3*$J2107^3+3*$J2107^2)+INDIRECT("D$"&amp;5+MIN(2,ROUNDDOWN(I2107,0))*3)*$J2107^3</f>
      </c>
      <c r="M2107" s="7">
        <f>SQRT(K2107^2+L2107^2)</f>
      </c>
      <c r="N2107" s="7">
        <f>(K2108-K2106)</f>
      </c>
      <c r="O2107" s="7">
        <f>+(L2108-L2106)</f>
      </c>
      <c r="P2107" s="7">
        <f>SQRT(O2107^2+N2107^2)</f>
      </c>
      <c r="Q2107" s="7">
        <f>N2107/$P2107</f>
      </c>
      <c r="R2107" s="7">
        <f>O2107/$P2107</f>
      </c>
      <c r="S2107" s="8">
        <f>Q2107^2+R2107^2</f>
      </c>
      <c r="T2107" s="7">
        <f>-R2107</f>
      </c>
      <c r="U2107" s="7">
        <f>Q2107</f>
      </c>
      <c r="V2107" s="7">
        <f>($C$14+($C$15-$C$14)/($D$15-$D$14)*(I2107-$D$14))/2</f>
      </c>
      <c r="W2107" s="7">
        <f>($B$22*I2107^4+$C$22*I2107^3+$D$22*I2107^2+$E$22*I2107+$F$22)/2</f>
      </c>
      <c r="X2107" s="7">
        <f>($W2107)*(T2107)</f>
      </c>
      <c r="Y2107" s="7">
        <f>($W2107)*(U2107)</f>
      </c>
      <c r="Z2107" s="7">
        <f>SQRT(X2107^2+Y2107^2)</f>
      </c>
      <c r="AA2107" s="7">
        <f>$K2107+$X2107</f>
      </c>
      <c r="AB2107" s="7">
        <f>$L2107+$Y2107</f>
      </c>
      <c r="AC2107" s="7">
        <f>$K2107-$X2107</f>
      </c>
      <c r="AD2107" s="7">
        <f>$L2107-$Y2107</f>
      </c>
      <c r="AE2107" s="7">
        <f>AA2107/39.3701</f>
      </c>
      <c r="AF2107" s="7">
        <f>AB2107/39.3701</f>
      </c>
      <c r="AG2107" s="7">
        <f>AC2107/39.3701</f>
      </c>
      <c r="AH2107" s="7">
        <f>AD2107/39.3701</f>
      </c>
      <c r="AI2107" s="1"/>
      <c r="AJ2107" s="1"/>
      <c r="AK2107" s="1"/>
      <c r="AL2107" s="1"/>
      <c r="AM2107" s="2"/>
      <c r="AN2107" s="1"/>
      <c r="AO2107" s="1"/>
      <c r="AP2107" s="1"/>
      <c r="AQ2107" s="1"/>
      <c r="AR2107" s="1"/>
      <c r="AS2107" s="1"/>
      <c r="AT2107" s="1"/>
      <c r="AU2107" s="1"/>
      <c r="AV2107" s="1"/>
      <c r="AW2107" s="1"/>
      <c r="AX2107" s="1"/>
      <c r="AY2107" s="1"/>
      <c r="AZ2107" s="1"/>
      <c r="BA2107" s="1"/>
      <c r="BB2107" s="1"/>
      <c r="BC2107" s="1"/>
      <c r="BD2107" s="1"/>
      <c r="BE2107" s="1"/>
    </row>
    <row x14ac:dyDescent="0.25" r="2108" customHeight="1" ht="18.75">
      <c r="A2108" s="1"/>
      <c r="B2108" s="2"/>
      <c r="C2108" s="2"/>
      <c r="D2108" s="2"/>
      <c r="E2108" s="2"/>
      <c r="F2108" s="2"/>
      <c r="G2108" s="1"/>
      <c r="H2108" s="1"/>
      <c r="I2108" s="7">
        <v>2.105</v>
      </c>
      <c r="J2108" s="7">
        <f>IF((I2108-ROUNDDOWN(I2108,0))=0, 0, (I2108-ROUNDDOWN(I2108,0)))</f>
      </c>
      <c r="K2108" s="7">
        <f>INDIRECT("C$"&amp;2+MIN(2,ROUNDDOWN(I2108,0))*3)*(-$J2108^3+3*$J2108^2-3*$J2108+1)+INDIRECT("C$"&amp;3+MIN(2,ROUNDDOWN(I2108,0))*3)*(3*$J2108^3-6*$J2108^2+3*$J2108)+INDIRECT("C$"&amp;4+MIN(2,ROUNDDOWN(I2108,0))*3)*(-3*$J2108^3+3*$J2108^2)+INDIRECT("C$"&amp;5+MIN(2,ROUNDDOWN(I2108,0))*3)*$J2108^3</f>
      </c>
      <c r="L2108" s="7">
        <f>INDIRECT("D$"&amp;2+MIN(2,ROUNDDOWN(I2108,0))*3)*(-$J2108^3+3*$J2108^2-3*$J2108+1)+INDIRECT("D$"&amp;3+MIN(2,ROUNDDOWN(I2108,0))*3)*(3*$J2108^3-6*$J2108^2+3*$J2108)+INDIRECT("D$"&amp;4+MIN(2,ROUNDDOWN(I2108,0))*3)*(-3*$J2108^3+3*$J2108^2)+INDIRECT("D$"&amp;5+MIN(2,ROUNDDOWN(I2108,0))*3)*$J2108^3</f>
      </c>
      <c r="M2108" s="7">
        <f>SQRT(K2108^2+L2108^2)</f>
      </c>
      <c r="N2108" s="7">
        <f>(K2109-K2107)</f>
      </c>
      <c r="O2108" s="7">
        <f>+(L2109-L2107)</f>
      </c>
      <c r="P2108" s="7">
        <f>SQRT(O2108^2+N2108^2)</f>
      </c>
      <c r="Q2108" s="7">
        <f>N2108/$P2108</f>
      </c>
      <c r="R2108" s="7">
        <f>O2108/$P2108</f>
      </c>
      <c r="S2108" s="8">
        <f>Q2108^2+R2108^2</f>
      </c>
      <c r="T2108" s="7">
        <f>-R2108</f>
      </c>
      <c r="U2108" s="7">
        <f>Q2108</f>
      </c>
      <c r="V2108" s="7">
        <f>($C$14+($C$15-$C$14)/($D$15-$D$14)*(I2108-$D$14))/2</f>
      </c>
      <c r="W2108" s="7">
        <f>($B$22*I2108^4+$C$22*I2108^3+$D$22*I2108^2+$E$22*I2108+$F$22)/2</f>
      </c>
      <c r="X2108" s="7">
        <f>($W2108)*(T2108)</f>
      </c>
      <c r="Y2108" s="7">
        <f>($W2108)*(U2108)</f>
      </c>
      <c r="Z2108" s="7">
        <f>SQRT(X2108^2+Y2108^2)</f>
      </c>
      <c r="AA2108" s="7">
        <f>$K2108+$X2108</f>
      </c>
      <c r="AB2108" s="7">
        <f>$L2108+$Y2108</f>
      </c>
      <c r="AC2108" s="7">
        <f>$K2108-$X2108</f>
      </c>
      <c r="AD2108" s="7">
        <f>$L2108-$Y2108</f>
      </c>
      <c r="AE2108" s="7">
        <f>AA2108/39.3701</f>
      </c>
      <c r="AF2108" s="7">
        <f>AB2108/39.3701</f>
      </c>
      <c r="AG2108" s="7">
        <f>AC2108/39.3701</f>
      </c>
      <c r="AH2108" s="7">
        <f>AD2108/39.3701</f>
      </c>
      <c r="AI2108" s="1"/>
      <c r="AJ2108" s="1"/>
      <c r="AK2108" s="1"/>
      <c r="AL2108" s="1"/>
      <c r="AM2108" s="2"/>
      <c r="AN2108" s="1"/>
      <c r="AO2108" s="1"/>
      <c r="AP2108" s="1"/>
      <c r="AQ2108" s="1"/>
      <c r="AR2108" s="1"/>
      <c r="AS2108" s="1"/>
      <c r="AT2108" s="1"/>
      <c r="AU2108" s="1"/>
      <c r="AV2108" s="1"/>
      <c r="AW2108" s="1"/>
      <c r="AX2108" s="1"/>
      <c r="AY2108" s="1"/>
      <c r="AZ2108" s="1"/>
      <c r="BA2108" s="1"/>
      <c r="BB2108" s="1"/>
      <c r="BC2108" s="1"/>
      <c r="BD2108" s="1"/>
      <c r="BE2108" s="1"/>
    </row>
    <row x14ac:dyDescent="0.25" r="2109" customHeight="1" ht="18.75">
      <c r="A2109" s="1"/>
      <c r="B2109" s="2"/>
      <c r="C2109" s="2"/>
      <c r="D2109" s="2"/>
      <c r="E2109" s="2"/>
      <c r="F2109" s="2"/>
      <c r="G2109" s="1"/>
      <c r="H2109" s="1"/>
      <c r="I2109" s="7">
        <v>2.106</v>
      </c>
      <c r="J2109" s="7">
        <f>IF((I2109-ROUNDDOWN(I2109,0))=0, 0, (I2109-ROUNDDOWN(I2109,0)))</f>
      </c>
      <c r="K2109" s="7">
        <f>INDIRECT("C$"&amp;2+MIN(2,ROUNDDOWN(I2109,0))*3)*(-$J2109^3+3*$J2109^2-3*$J2109+1)+INDIRECT("C$"&amp;3+MIN(2,ROUNDDOWN(I2109,0))*3)*(3*$J2109^3-6*$J2109^2+3*$J2109)+INDIRECT("C$"&amp;4+MIN(2,ROUNDDOWN(I2109,0))*3)*(-3*$J2109^3+3*$J2109^2)+INDIRECT("C$"&amp;5+MIN(2,ROUNDDOWN(I2109,0))*3)*$J2109^3</f>
      </c>
      <c r="L2109" s="7">
        <f>INDIRECT("D$"&amp;2+MIN(2,ROUNDDOWN(I2109,0))*3)*(-$J2109^3+3*$J2109^2-3*$J2109+1)+INDIRECT("D$"&amp;3+MIN(2,ROUNDDOWN(I2109,0))*3)*(3*$J2109^3-6*$J2109^2+3*$J2109)+INDIRECT("D$"&amp;4+MIN(2,ROUNDDOWN(I2109,0))*3)*(-3*$J2109^3+3*$J2109^2)+INDIRECT("D$"&amp;5+MIN(2,ROUNDDOWN(I2109,0))*3)*$J2109^3</f>
      </c>
      <c r="M2109" s="7">
        <f>SQRT(K2109^2+L2109^2)</f>
      </c>
      <c r="N2109" s="7">
        <f>(K2110-K2108)</f>
      </c>
      <c r="O2109" s="7">
        <f>+(L2110-L2108)</f>
      </c>
      <c r="P2109" s="7">
        <f>SQRT(O2109^2+N2109^2)</f>
      </c>
      <c r="Q2109" s="7">
        <f>N2109/$P2109</f>
      </c>
      <c r="R2109" s="7">
        <f>O2109/$P2109</f>
      </c>
      <c r="S2109" s="7">
        <f>Q2109^2+R2109^2</f>
      </c>
      <c r="T2109" s="7">
        <f>-R2109</f>
      </c>
      <c r="U2109" s="7">
        <f>Q2109</f>
      </c>
      <c r="V2109" s="7">
        <f>($C$14+($C$15-$C$14)/($D$15-$D$14)*(I2109-$D$14))/2</f>
      </c>
      <c r="W2109" s="7">
        <f>($B$22*I2109^4+$C$22*I2109^3+$D$22*I2109^2+$E$22*I2109+$F$22)/2</f>
      </c>
      <c r="X2109" s="7">
        <f>($W2109)*(T2109)</f>
      </c>
      <c r="Y2109" s="7">
        <f>($W2109)*(U2109)</f>
      </c>
      <c r="Z2109" s="7">
        <f>SQRT(X2109^2+Y2109^2)</f>
      </c>
      <c r="AA2109" s="7">
        <f>$K2109+$X2109</f>
      </c>
      <c r="AB2109" s="7">
        <f>$L2109+$Y2109</f>
      </c>
      <c r="AC2109" s="7">
        <f>$K2109-$X2109</f>
      </c>
      <c r="AD2109" s="7">
        <f>$L2109-$Y2109</f>
      </c>
      <c r="AE2109" s="7">
        <f>AA2109/39.3701</f>
      </c>
      <c r="AF2109" s="7">
        <f>AB2109/39.3701</f>
      </c>
      <c r="AG2109" s="7">
        <f>AC2109/39.3701</f>
      </c>
      <c r="AH2109" s="7">
        <f>AD2109/39.3701</f>
      </c>
      <c r="AI2109" s="1"/>
      <c r="AJ2109" s="1"/>
      <c r="AK2109" s="1"/>
      <c r="AL2109" s="1"/>
      <c r="AM2109" s="2"/>
      <c r="AN2109" s="1"/>
      <c r="AO2109" s="1"/>
      <c r="AP2109" s="1"/>
      <c r="AQ2109" s="1"/>
      <c r="AR2109" s="1"/>
      <c r="AS2109" s="1"/>
      <c r="AT2109" s="1"/>
      <c r="AU2109" s="1"/>
      <c r="AV2109" s="1"/>
      <c r="AW2109" s="1"/>
      <c r="AX2109" s="1"/>
      <c r="AY2109" s="1"/>
      <c r="AZ2109" s="1"/>
      <c r="BA2109" s="1"/>
      <c r="BB2109" s="1"/>
      <c r="BC2109" s="1"/>
      <c r="BD2109" s="1"/>
      <c r="BE2109" s="1"/>
    </row>
    <row x14ac:dyDescent="0.25" r="2110" customHeight="1" ht="18.75">
      <c r="A2110" s="1"/>
      <c r="B2110" s="2"/>
      <c r="C2110" s="2"/>
      <c r="D2110" s="2"/>
      <c r="E2110" s="2"/>
      <c r="F2110" s="2"/>
      <c r="G2110" s="1"/>
      <c r="H2110" s="1"/>
      <c r="I2110" s="7">
        <v>2.107</v>
      </c>
      <c r="J2110" s="7">
        <f>IF((I2110-ROUNDDOWN(I2110,0))=0, 0, (I2110-ROUNDDOWN(I2110,0)))</f>
      </c>
      <c r="K2110" s="7">
        <f>INDIRECT("C$"&amp;2+MIN(2,ROUNDDOWN(I2110,0))*3)*(-$J2110^3+3*$J2110^2-3*$J2110+1)+INDIRECT("C$"&amp;3+MIN(2,ROUNDDOWN(I2110,0))*3)*(3*$J2110^3-6*$J2110^2+3*$J2110)+INDIRECT("C$"&amp;4+MIN(2,ROUNDDOWN(I2110,0))*3)*(-3*$J2110^3+3*$J2110^2)+INDIRECT("C$"&amp;5+MIN(2,ROUNDDOWN(I2110,0))*3)*$J2110^3</f>
      </c>
      <c r="L2110" s="7">
        <f>INDIRECT("D$"&amp;2+MIN(2,ROUNDDOWN(I2110,0))*3)*(-$J2110^3+3*$J2110^2-3*$J2110+1)+INDIRECT("D$"&amp;3+MIN(2,ROUNDDOWN(I2110,0))*3)*(3*$J2110^3-6*$J2110^2+3*$J2110)+INDIRECT("D$"&amp;4+MIN(2,ROUNDDOWN(I2110,0))*3)*(-3*$J2110^3+3*$J2110^2)+INDIRECT("D$"&amp;5+MIN(2,ROUNDDOWN(I2110,0))*3)*$J2110^3</f>
      </c>
      <c r="M2110" s="7">
        <f>SQRT(K2110^2+L2110^2)</f>
      </c>
      <c r="N2110" s="7">
        <f>(K2111-K2109)</f>
      </c>
      <c r="O2110" s="7">
        <f>+(L2111-L2109)</f>
      </c>
      <c r="P2110" s="7">
        <f>SQRT(O2110^2+N2110^2)</f>
      </c>
      <c r="Q2110" s="7">
        <f>N2110/$P2110</f>
      </c>
      <c r="R2110" s="7">
        <f>O2110/$P2110</f>
      </c>
      <c r="S2110" s="8">
        <f>Q2110^2+R2110^2</f>
      </c>
      <c r="T2110" s="7">
        <f>-R2110</f>
      </c>
      <c r="U2110" s="7">
        <f>Q2110</f>
      </c>
      <c r="V2110" s="7">
        <f>($C$14+($C$15-$C$14)/($D$15-$D$14)*(I2110-$D$14))/2</f>
      </c>
      <c r="W2110" s="7">
        <f>($B$22*I2110^4+$C$22*I2110^3+$D$22*I2110^2+$E$22*I2110+$F$22)/2</f>
      </c>
      <c r="X2110" s="7">
        <f>($W2110)*(T2110)</f>
      </c>
      <c r="Y2110" s="7">
        <f>($W2110)*(U2110)</f>
      </c>
      <c r="Z2110" s="7">
        <f>SQRT(X2110^2+Y2110^2)</f>
      </c>
      <c r="AA2110" s="7">
        <f>$K2110+$X2110</f>
      </c>
      <c r="AB2110" s="7">
        <f>$L2110+$Y2110</f>
      </c>
      <c r="AC2110" s="7">
        <f>$K2110-$X2110</f>
      </c>
      <c r="AD2110" s="7">
        <f>$L2110-$Y2110</f>
      </c>
      <c r="AE2110" s="7">
        <f>AA2110/39.3701</f>
      </c>
      <c r="AF2110" s="7">
        <f>AB2110/39.3701</f>
      </c>
      <c r="AG2110" s="7">
        <f>AC2110/39.3701</f>
      </c>
      <c r="AH2110" s="7">
        <f>AD2110/39.3701</f>
      </c>
      <c r="AI2110" s="1"/>
      <c r="AJ2110" s="1"/>
      <c r="AK2110" s="1"/>
      <c r="AL2110" s="1"/>
      <c r="AM2110" s="2"/>
      <c r="AN2110" s="1"/>
      <c r="AO2110" s="1"/>
      <c r="AP2110" s="1"/>
      <c r="AQ2110" s="1"/>
      <c r="AR2110" s="1"/>
      <c r="AS2110" s="1"/>
      <c r="AT2110" s="1"/>
      <c r="AU2110" s="1"/>
      <c r="AV2110" s="1"/>
      <c r="AW2110" s="1"/>
      <c r="AX2110" s="1"/>
      <c r="AY2110" s="1"/>
      <c r="AZ2110" s="1"/>
      <c r="BA2110" s="1"/>
      <c r="BB2110" s="1"/>
      <c r="BC2110" s="1"/>
      <c r="BD2110" s="1"/>
      <c r="BE2110" s="1"/>
    </row>
    <row x14ac:dyDescent="0.25" r="2111" customHeight="1" ht="18.75">
      <c r="A2111" s="1"/>
      <c r="B2111" s="2"/>
      <c r="C2111" s="2"/>
      <c r="D2111" s="2"/>
      <c r="E2111" s="2"/>
      <c r="F2111" s="2"/>
      <c r="G2111" s="1"/>
      <c r="H2111" s="1"/>
      <c r="I2111" s="7">
        <v>2.108</v>
      </c>
      <c r="J2111" s="7">
        <f>IF((I2111-ROUNDDOWN(I2111,0))=0, 0, (I2111-ROUNDDOWN(I2111,0)))</f>
      </c>
      <c r="K2111" s="7">
        <f>INDIRECT("C$"&amp;2+MIN(2,ROUNDDOWN(I2111,0))*3)*(-$J2111^3+3*$J2111^2-3*$J2111+1)+INDIRECT("C$"&amp;3+MIN(2,ROUNDDOWN(I2111,0))*3)*(3*$J2111^3-6*$J2111^2+3*$J2111)+INDIRECT("C$"&amp;4+MIN(2,ROUNDDOWN(I2111,0))*3)*(-3*$J2111^3+3*$J2111^2)+INDIRECT("C$"&amp;5+MIN(2,ROUNDDOWN(I2111,0))*3)*$J2111^3</f>
      </c>
      <c r="L2111" s="7">
        <f>INDIRECT("D$"&amp;2+MIN(2,ROUNDDOWN(I2111,0))*3)*(-$J2111^3+3*$J2111^2-3*$J2111+1)+INDIRECT("D$"&amp;3+MIN(2,ROUNDDOWN(I2111,0))*3)*(3*$J2111^3-6*$J2111^2+3*$J2111)+INDIRECT("D$"&amp;4+MIN(2,ROUNDDOWN(I2111,0))*3)*(-3*$J2111^3+3*$J2111^2)+INDIRECT("D$"&amp;5+MIN(2,ROUNDDOWN(I2111,0))*3)*$J2111^3</f>
      </c>
      <c r="M2111" s="7">
        <f>SQRT(K2111^2+L2111^2)</f>
      </c>
      <c r="N2111" s="7">
        <f>(K2112-K2110)</f>
      </c>
      <c r="O2111" s="7">
        <f>+(L2112-L2110)</f>
      </c>
      <c r="P2111" s="7">
        <f>SQRT(O2111^2+N2111^2)</f>
      </c>
      <c r="Q2111" s="7">
        <f>N2111/$P2111</f>
      </c>
      <c r="R2111" s="7">
        <f>O2111/$P2111</f>
      </c>
      <c r="S2111" s="7">
        <f>Q2111^2+R2111^2</f>
      </c>
      <c r="T2111" s="7">
        <f>-R2111</f>
      </c>
      <c r="U2111" s="7">
        <f>Q2111</f>
      </c>
      <c r="V2111" s="7">
        <f>($C$14+($C$15-$C$14)/($D$15-$D$14)*(I2111-$D$14))/2</f>
      </c>
      <c r="W2111" s="7">
        <f>($B$22*I2111^4+$C$22*I2111^3+$D$22*I2111^2+$E$22*I2111+$F$22)/2</f>
      </c>
      <c r="X2111" s="7">
        <f>($W2111)*(T2111)</f>
      </c>
      <c r="Y2111" s="7">
        <f>($W2111)*(U2111)</f>
      </c>
      <c r="Z2111" s="7">
        <f>SQRT(X2111^2+Y2111^2)</f>
      </c>
      <c r="AA2111" s="7">
        <f>$K2111+$X2111</f>
      </c>
      <c r="AB2111" s="7">
        <f>$L2111+$Y2111</f>
      </c>
      <c r="AC2111" s="7">
        <f>$K2111-$X2111</f>
      </c>
      <c r="AD2111" s="7">
        <f>$L2111-$Y2111</f>
      </c>
      <c r="AE2111" s="7">
        <f>AA2111/39.3701</f>
      </c>
      <c r="AF2111" s="7">
        <f>AB2111/39.3701</f>
      </c>
      <c r="AG2111" s="7">
        <f>AC2111/39.3701</f>
      </c>
      <c r="AH2111" s="7">
        <f>AD2111/39.3701</f>
      </c>
      <c r="AI2111" s="1"/>
      <c r="AJ2111" s="1"/>
      <c r="AK2111" s="1"/>
      <c r="AL2111" s="1"/>
      <c r="AM2111" s="2"/>
      <c r="AN2111" s="1"/>
      <c r="AO2111" s="1"/>
      <c r="AP2111" s="1"/>
      <c r="AQ2111" s="1"/>
      <c r="AR2111" s="1"/>
      <c r="AS2111" s="1"/>
      <c r="AT2111" s="1"/>
      <c r="AU2111" s="1"/>
      <c r="AV2111" s="1"/>
      <c r="AW2111" s="1"/>
      <c r="AX2111" s="1"/>
      <c r="AY2111" s="1"/>
      <c r="AZ2111" s="1"/>
      <c r="BA2111" s="1"/>
      <c r="BB2111" s="1"/>
      <c r="BC2111" s="1"/>
      <c r="BD2111" s="1"/>
      <c r="BE2111" s="1"/>
    </row>
    <row x14ac:dyDescent="0.25" r="2112" customHeight="1" ht="18.75">
      <c r="A2112" s="1"/>
      <c r="B2112" s="2"/>
      <c r="C2112" s="2"/>
      <c r="D2112" s="2"/>
      <c r="E2112" s="2"/>
      <c r="F2112" s="2"/>
      <c r="G2112" s="1"/>
      <c r="H2112" s="1"/>
      <c r="I2112" s="7">
        <v>2.109</v>
      </c>
      <c r="J2112" s="7">
        <f>IF((I2112-ROUNDDOWN(I2112,0))=0, 0, (I2112-ROUNDDOWN(I2112,0)))</f>
      </c>
      <c r="K2112" s="7">
        <f>INDIRECT("C$"&amp;2+MIN(2,ROUNDDOWN(I2112,0))*3)*(-$J2112^3+3*$J2112^2-3*$J2112+1)+INDIRECT("C$"&amp;3+MIN(2,ROUNDDOWN(I2112,0))*3)*(3*$J2112^3-6*$J2112^2+3*$J2112)+INDIRECT("C$"&amp;4+MIN(2,ROUNDDOWN(I2112,0))*3)*(-3*$J2112^3+3*$J2112^2)+INDIRECT("C$"&amp;5+MIN(2,ROUNDDOWN(I2112,0))*3)*$J2112^3</f>
      </c>
      <c r="L2112" s="7">
        <f>INDIRECT("D$"&amp;2+MIN(2,ROUNDDOWN(I2112,0))*3)*(-$J2112^3+3*$J2112^2-3*$J2112+1)+INDIRECT("D$"&amp;3+MIN(2,ROUNDDOWN(I2112,0))*3)*(3*$J2112^3-6*$J2112^2+3*$J2112)+INDIRECT("D$"&amp;4+MIN(2,ROUNDDOWN(I2112,0))*3)*(-3*$J2112^3+3*$J2112^2)+INDIRECT("D$"&amp;5+MIN(2,ROUNDDOWN(I2112,0))*3)*$J2112^3</f>
      </c>
      <c r="M2112" s="7">
        <f>SQRT(K2112^2+L2112^2)</f>
      </c>
      <c r="N2112" s="7">
        <f>(K2113-K2111)</f>
      </c>
      <c r="O2112" s="7">
        <f>+(L2113-L2111)</f>
      </c>
      <c r="P2112" s="7">
        <f>SQRT(O2112^2+N2112^2)</f>
      </c>
      <c r="Q2112" s="7">
        <f>N2112/$P2112</f>
      </c>
      <c r="R2112" s="7">
        <f>O2112/$P2112</f>
      </c>
      <c r="S2112" s="7">
        <f>Q2112^2+R2112^2</f>
      </c>
      <c r="T2112" s="7">
        <f>-R2112</f>
      </c>
      <c r="U2112" s="7">
        <f>Q2112</f>
      </c>
      <c r="V2112" s="7">
        <f>($C$14+($C$15-$C$14)/($D$15-$D$14)*(I2112-$D$14))/2</f>
      </c>
      <c r="W2112" s="7">
        <f>($B$22*I2112^4+$C$22*I2112^3+$D$22*I2112^2+$E$22*I2112+$F$22)/2</f>
      </c>
      <c r="X2112" s="7">
        <f>($W2112)*(T2112)</f>
      </c>
      <c r="Y2112" s="7">
        <f>($W2112)*(U2112)</f>
      </c>
      <c r="Z2112" s="7">
        <f>SQRT(X2112^2+Y2112^2)</f>
      </c>
      <c r="AA2112" s="7">
        <f>$K2112+$X2112</f>
      </c>
      <c r="AB2112" s="7">
        <f>$L2112+$Y2112</f>
      </c>
      <c r="AC2112" s="7">
        <f>$K2112-$X2112</f>
      </c>
      <c r="AD2112" s="7">
        <f>$L2112-$Y2112</f>
      </c>
      <c r="AE2112" s="7">
        <f>AA2112/39.3701</f>
      </c>
      <c r="AF2112" s="7">
        <f>AB2112/39.3701</f>
      </c>
      <c r="AG2112" s="7">
        <f>AC2112/39.3701</f>
      </c>
      <c r="AH2112" s="7">
        <f>AD2112/39.3701</f>
      </c>
      <c r="AI2112" s="1"/>
      <c r="AJ2112" s="1"/>
      <c r="AK2112" s="1"/>
      <c r="AL2112" s="1"/>
      <c r="AM2112" s="2"/>
      <c r="AN2112" s="1"/>
      <c r="AO2112" s="1"/>
      <c r="AP2112" s="1"/>
      <c r="AQ2112" s="1"/>
      <c r="AR2112" s="1"/>
      <c r="AS2112" s="1"/>
      <c r="AT2112" s="1"/>
      <c r="AU2112" s="1"/>
      <c r="AV2112" s="1"/>
      <c r="AW2112" s="1"/>
      <c r="AX2112" s="1"/>
      <c r="AY2112" s="1"/>
      <c r="AZ2112" s="1"/>
      <c r="BA2112" s="1"/>
      <c r="BB2112" s="1"/>
      <c r="BC2112" s="1"/>
      <c r="BD2112" s="1"/>
      <c r="BE2112" s="1"/>
    </row>
    <row x14ac:dyDescent="0.25" r="2113" customHeight="1" ht="18.75">
      <c r="A2113" s="1"/>
      <c r="B2113" s="2"/>
      <c r="C2113" s="2"/>
      <c r="D2113" s="2"/>
      <c r="E2113" s="2"/>
      <c r="F2113" s="2"/>
      <c r="G2113" s="1"/>
      <c r="H2113" s="1"/>
      <c r="I2113" s="7">
        <v>2.11</v>
      </c>
      <c r="J2113" s="7">
        <f>IF((I2113-ROUNDDOWN(I2113,0))=0, 0, (I2113-ROUNDDOWN(I2113,0)))</f>
      </c>
      <c r="K2113" s="7">
        <f>INDIRECT("C$"&amp;2+MIN(2,ROUNDDOWN(I2113,0))*3)*(-$J2113^3+3*$J2113^2-3*$J2113+1)+INDIRECT("C$"&amp;3+MIN(2,ROUNDDOWN(I2113,0))*3)*(3*$J2113^3-6*$J2113^2+3*$J2113)+INDIRECT("C$"&amp;4+MIN(2,ROUNDDOWN(I2113,0))*3)*(-3*$J2113^3+3*$J2113^2)+INDIRECT("C$"&amp;5+MIN(2,ROUNDDOWN(I2113,0))*3)*$J2113^3</f>
      </c>
      <c r="L2113" s="7">
        <f>INDIRECT("D$"&amp;2+MIN(2,ROUNDDOWN(I2113,0))*3)*(-$J2113^3+3*$J2113^2-3*$J2113+1)+INDIRECT("D$"&amp;3+MIN(2,ROUNDDOWN(I2113,0))*3)*(3*$J2113^3-6*$J2113^2+3*$J2113)+INDIRECT("D$"&amp;4+MIN(2,ROUNDDOWN(I2113,0))*3)*(-3*$J2113^3+3*$J2113^2)+INDIRECT("D$"&amp;5+MIN(2,ROUNDDOWN(I2113,0))*3)*$J2113^3</f>
      </c>
      <c r="M2113" s="7">
        <f>SQRT(K2113^2+L2113^2)</f>
      </c>
      <c r="N2113" s="7">
        <f>(K2114-K2112)</f>
      </c>
      <c r="O2113" s="7">
        <f>+(L2114-L2112)</f>
      </c>
      <c r="P2113" s="7">
        <f>SQRT(O2113^2+N2113^2)</f>
      </c>
      <c r="Q2113" s="7">
        <f>N2113/$P2113</f>
      </c>
      <c r="R2113" s="7">
        <f>O2113/$P2113</f>
      </c>
      <c r="S2113" s="8">
        <f>Q2113^2+R2113^2</f>
      </c>
      <c r="T2113" s="7">
        <f>-R2113</f>
      </c>
      <c r="U2113" s="7">
        <f>Q2113</f>
      </c>
      <c r="V2113" s="7">
        <f>($C$14+($C$15-$C$14)/($D$15-$D$14)*(I2113-$D$14))/2</f>
      </c>
      <c r="W2113" s="7">
        <f>($B$22*I2113^4+$C$22*I2113^3+$D$22*I2113^2+$E$22*I2113+$F$22)/2</f>
      </c>
      <c r="X2113" s="7">
        <f>($W2113)*(T2113)</f>
      </c>
      <c r="Y2113" s="7">
        <f>($W2113)*(U2113)</f>
      </c>
      <c r="Z2113" s="7">
        <f>SQRT(X2113^2+Y2113^2)</f>
      </c>
      <c r="AA2113" s="7">
        <f>$K2113+$X2113</f>
      </c>
      <c r="AB2113" s="7">
        <f>$L2113+$Y2113</f>
      </c>
      <c r="AC2113" s="7">
        <f>$K2113-$X2113</f>
      </c>
      <c r="AD2113" s="7">
        <f>$L2113-$Y2113</f>
      </c>
      <c r="AE2113" s="7">
        <f>AA2113/39.3701</f>
      </c>
      <c r="AF2113" s="7">
        <f>AB2113/39.3701</f>
      </c>
      <c r="AG2113" s="7">
        <f>AC2113/39.3701</f>
      </c>
      <c r="AH2113" s="7">
        <f>AD2113/39.3701</f>
      </c>
      <c r="AI2113" s="1"/>
      <c r="AJ2113" s="1"/>
      <c r="AK2113" s="1"/>
      <c r="AL2113" s="1"/>
      <c r="AM2113" s="2"/>
      <c r="AN2113" s="1"/>
      <c r="AO2113" s="1"/>
      <c r="AP2113" s="1"/>
      <c r="AQ2113" s="1"/>
      <c r="AR2113" s="1"/>
      <c r="AS2113" s="1"/>
      <c r="AT2113" s="1"/>
      <c r="AU2113" s="1"/>
      <c r="AV2113" s="1"/>
      <c r="AW2113" s="1"/>
      <c r="AX2113" s="1"/>
      <c r="AY2113" s="1"/>
      <c r="AZ2113" s="1"/>
      <c r="BA2113" s="1"/>
      <c r="BB2113" s="1"/>
      <c r="BC2113" s="1"/>
      <c r="BD2113" s="1"/>
      <c r="BE2113" s="1"/>
    </row>
    <row x14ac:dyDescent="0.25" r="2114" customHeight="1" ht="18.75">
      <c r="A2114" s="1"/>
      <c r="B2114" s="2"/>
      <c r="C2114" s="2"/>
      <c r="D2114" s="2"/>
      <c r="E2114" s="2"/>
      <c r="F2114" s="2"/>
      <c r="G2114" s="1"/>
      <c r="H2114" s="1"/>
      <c r="I2114" s="7">
        <v>2.111</v>
      </c>
      <c r="J2114" s="7">
        <f>IF((I2114-ROUNDDOWN(I2114,0))=0, 0, (I2114-ROUNDDOWN(I2114,0)))</f>
      </c>
      <c r="K2114" s="7">
        <f>INDIRECT("C$"&amp;2+MIN(2,ROUNDDOWN(I2114,0))*3)*(-$J2114^3+3*$J2114^2-3*$J2114+1)+INDIRECT("C$"&amp;3+MIN(2,ROUNDDOWN(I2114,0))*3)*(3*$J2114^3-6*$J2114^2+3*$J2114)+INDIRECT("C$"&amp;4+MIN(2,ROUNDDOWN(I2114,0))*3)*(-3*$J2114^3+3*$J2114^2)+INDIRECT("C$"&amp;5+MIN(2,ROUNDDOWN(I2114,0))*3)*$J2114^3</f>
      </c>
      <c r="L2114" s="7">
        <f>INDIRECT("D$"&amp;2+MIN(2,ROUNDDOWN(I2114,0))*3)*(-$J2114^3+3*$J2114^2-3*$J2114+1)+INDIRECT("D$"&amp;3+MIN(2,ROUNDDOWN(I2114,0))*3)*(3*$J2114^3-6*$J2114^2+3*$J2114)+INDIRECT("D$"&amp;4+MIN(2,ROUNDDOWN(I2114,0))*3)*(-3*$J2114^3+3*$J2114^2)+INDIRECT("D$"&amp;5+MIN(2,ROUNDDOWN(I2114,0))*3)*$J2114^3</f>
      </c>
      <c r="M2114" s="7">
        <f>SQRT(K2114^2+L2114^2)</f>
      </c>
      <c r="N2114" s="7">
        <f>(K2115-K2113)</f>
      </c>
      <c r="O2114" s="7">
        <f>+(L2115-L2113)</f>
      </c>
      <c r="P2114" s="7">
        <f>SQRT(O2114^2+N2114^2)</f>
      </c>
      <c r="Q2114" s="7">
        <f>N2114/$P2114</f>
      </c>
      <c r="R2114" s="7">
        <f>O2114/$P2114</f>
      </c>
      <c r="S2114" s="8">
        <f>Q2114^2+R2114^2</f>
      </c>
      <c r="T2114" s="7">
        <f>-R2114</f>
      </c>
      <c r="U2114" s="7">
        <f>Q2114</f>
      </c>
      <c r="V2114" s="7">
        <f>($C$14+($C$15-$C$14)/($D$15-$D$14)*(I2114-$D$14))/2</f>
      </c>
      <c r="W2114" s="7">
        <f>($B$22*I2114^4+$C$22*I2114^3+$D$22*I2114^2+$E$22*I2114+$F$22)/2</f>
      </c>
      <c r="X2114" s="7">
        <f>($W2114)*(T2114)</f>
      </c>
      <c r="Y2114" s="7">
        <f>($W2114)*(U2114)</f>
      </c>
      <c r="Z2114" s="7">
        <f>SQRT(X2114^2+Y2114^2)</f>
      </c>
      <c r="AA2114" s="7">
        <f>$K2114+$X2114</f>
      </c>
      <c r="AB2114" s="7">
        <f>$L2114+$Y2114</f>
      </c>
      <c r="AC2114" s="7">
        <f>$K2114-$X2114</f>
      </c>
      <c r="AD2114" s="7">
        <f>$L2114-$Y2114</f>
      </c>
      <c r="AE2114" s="7">
        <f>AA2114/39.3701</f>
      </c>
      <c r="AF2114" s="7">
        <f>AB2114/39.3701</f>
      </c>
      <c r="AG2114" s="7">
        <f>AC2114/39.3701</f>
      </c>
      <c r="AH2114" s="7">
        <f>AD2114/39.3701</f>
      </c>
      <c r="AI2114" s="1"/>
      <c r="AJ2114" s="1"/>
      <c r="AK2114" s="1"/>
      <c r="AL2114" s="1"/>
      <c r="AM2114" s="2"/>
      <c r="AN2114" s="1"/>
      <c r="AO2114" s="1"/>
      <c r="AP2114" s="1"/>
      <c r="AQ2114" s="1"/>
      <c r="AR2114" s="1"/>
      <c r="AS2114" s="1"/>
      <c r="AT2114" s="1"/>
      <c r="AU2114" s="1"/>
      <c r="AV2114" s="1"/>
      <c r="AW2114" s="1"/>
      <c r="AX2114" s="1"/>
      <c r="AY2114" s="1"/>
      <c r="AZ2114" s="1"/>
      <c r="BA2114" s="1"/>
      <c r="BB2114" s="1"/>
      <c r="BC2114" s="1"/>
      <c r="BD2114" s="1"/>
      <c r="BE2114" s="1"/>
    </row>
    <row x14ac:dyDescent="0.25" r="2115" customHeight="1" ht="18.75">
      <c r="A2115" s="1"/>
      <c r="B2115" s="2"/>
      <c r="C2115" s="2"/>
      <c r="D2115" s="2"/>
      <c r="E2115" s="2"/>
      <c r="F2115" s="2"/>
      <c r="G2115" s="1"/>
      <c r="H2115" s="1"/>
      <c r="I2115" s="7">
        <v>2.112</v>
      </c>
      <c r="J2115" s="7">
        <f>IF((I2115-ROUNDDOWN(I2115,0))=0, 0, (I2115-ROUNDDOWN(I2115,0)))</f>
      </c>
      <c r="K2115" s="7">
        <f>INDIRECT("C$"&amp;2+MIN(2,ROUNDDOWN(I2115,0))*3)*(-$J2115^3+3*$J2115^2-3*$J2115+1)+INDIRECT("C$"&amp;3+MIN(2,ROUNDDOWN(I2115,0))*3)*(3*$J2115^3-6*$J2115^2+3*$J2115)+INDIRECT("C$"&amp;4+MIN(2,ROUNDDOWN(I2115,0))*3)*(-3*$J2115^3+3*$J2115^2)+INDIRECT("C$"&amp;5+MIN(2,ROUNDDOWN(I2115,0))*3)*$J2115^3</f>
      </c>
      <c r="L2115" s="7">
        <f>INDIRECT("D$"&amp;2+MIN(2,ROUNDDOWN(I2115,0))*3)*(-$J2115^3+3*$J2115^2-3*$J2115+1)+INDIRECT("D$"&amp;3+MIN(2,ROUNDDOWN(I2115,0))*3)*(3*$J2115^3-6*$J2115^2+3*$J2115)+INDIRECT("D$"&amp;4+MIN(2,ROUNDDOWN(I2115,0))*3)*(-3*$J2115^3+3*$J2115^2)+INDIRECT("D$"&amp;5+MIN(2,ROUNDDOWN(I2115,0))*3)*$J2115^3</f>
      </c>
      <c r="M2115" s="7">
        <f>SQRT(K2115^2+L2115^2)</f>
      </c>
      <c r="N2115" s="7">
        <f>(K2116-K2114)</f>
      </c>
      <c r="O2115" s="7">
        <f>+(L2116-L2114)</f>
      </c>
      <c r="P2115" s="7">
        <f>SQRT(O2115^2+N2115^2)</f>
      </c>
      <c r="Q2115" s="7">
        <f>N2115/$P2115</f>
      </c>
      <c r="R2115" s="7">
        <f>O2115/$P2115</f>
      </c>
      <c r="S2115" s="8">
        <f>Q2115^2+R2115^2</f>
      </c>
      <c r="T2115" s="7">
        <f>-R2115</f>
      </c>
      <c r="U2115" s="7">
        <f>Q2115</f>
      </c>
      <c r="V2115" s="7">
        <f>($C$14+($C$15-$C$14)/($D$15-$D$14)*(I2115-$D$14))/2</f>
      </c>
      <c r="W2115" s="7">
        <f>($B$22*I2115^4+$C$22*I2115^3+$D$22*I2115^2+$E$22*I2115+$F$22)/2</f>
      </c>
      <c r="X2115" s="7">
        <f>($W2115)*(T2115)</f>
      </c>
      <c r="Y2115" s="7">
        <f>($W2115)*(U2115)</f>
      </c>
      <c r="Z2115" s="7">
        <f>SQRT(X2115^2+Y2115^2)</f>
      </c>
      <c r="AA2115" s="7">
        <f>$K2115+$X2115</f>
      </c>
      <c r="AB2115" s="7">
        <f>$L2115+$Y2115</f>
      </c>
      <c r="AC2115" s="7">
        <f>$K2115-$X2115</f>
      </c>
      <c r="AD2115" s="7">
        <f>$L2115-$Y2115</f>
      </c>
      <c r="AE2115" s="7">
        <f>AA2115/39.3701</f>
      </c>
      <c r="AF2115" s="7">
        <f>AB2115/39.3701</f>
      </c>
      <c r="AG2115" s="7">
        <f>AC2115/39.3701</f>
      </c>
      <c r="AH2115" s="7">
        <f>AD2115/39.3701</f>
      </c>
      <c r="AI2115" s="1"/>
      <c r="AJ2115" s="1"/>
      <c r="AK2115" s="1"/>
      <c r="AL2115" s="1"/>
      <c r="AM2115" s="2"/>
      <c r="AN2115" s="1"/>
      <c r="AO2115" s="1"/>
      <c r="AP2115" s="1"/>
      <c r="AQ2115" s="1"/>
      <c r="AR2115" s="1"/>
      <c r="AS2115" s="1"/>
      <c r="AT2115" s="1"/>
      <c r="AU2115" s="1"/>
      <c r="AV2115" s="1"/>
      <c r="AW2115" s="1"/>
      <c r="AX2115" s="1"/>
      <c r="AY2115" s="1"/>
      <c r="AZ2115" s="1"/>
      <c r="BA2115" s="1"/>
      <c r="BB2115" s="1"/>
      <c r="BC2115" s="1"/>
      <c r="BD2115" s="1"/>
      <c r="BE2115" s="1"/>
    </row>
    <row x14ac:dyDescent="0.25" r="2116" customHeight="1" ht="18.75">
      <c r="A2116" s="1"/>
      <c r="B2116" s="2"/>
      <c r="C2116" s="2"/>
      <c r="D2116" s="2"/>
      <c r="E2116" s="2"/>
      <c r="F2116" s="2"/>
      <c r="G2116" s="1"/>
      <c r="H2116" s="1"/>
      <c r="I2116" s="7">
        <v>2.113</v>
      </c>
      <c r="J2116" s="7">
        <f>IF((I2116-ROUNDDOWN(I2116,0))=0, 0, (I2116-ROUNDDOWN(I2116,0)))</f>
      </c>
      <c r="K2116" s="7">
        <f>INDIRECT("C$"&amp;2+MIN(2,ROUNDDOWN(I2116,0))*3)*(-$J2116^3+3*$J2116^2-3*$J2116+1)+INDIRECT("C$"&amp;3+MIN(2,ROUNDDOWN(I2116,0))*3)*(3*$J2116^3-6*$J2116^2+3*$J2116)+INDIRECT("C$"&amp;4+MIN(2,ROUNDDOWN(I2116,0))*3)*(-3*$J2116^3+3*$J2116^2)+INDIRECT("C$"&amp;5+MIN(2,ROUNDDOWN(I2116,0))*3)*$J2116^3</f>
      </c>
      <c r="L2116" s="7">
        <f>INDIRECT("D$"&amp;2+MIN(2,ROUNDDOWN(I2116,0))*3)*(-$J2116^3+3*$J2116^2-3*$J2116+1)+INDIRECT("D$"&amp;3+MIN(2,ROUNDDOWN(I2116,0))*3)*(3*$J2116^3-6*$J2116^2+3*$J2116)+INDIRECT("D$"&amp;4+MIN(2,ROUNDDOWN(I2116,0))*3)*(-3*$J2116^3+3*$J2116^2)+INDIRECT("D$"&amp;5+MIN(2,ROUNDDOWN(I2116,0))*3)*$J2116^3</f>
      </c>
      <c r="M2116" s="7">
        <f>SQRT(K2116^2+L2116^2)</f>
      </c>
      <c r="N2116" s="7">
        <f>(K2117-K2115)</f>
      </c>
      <c r="O2116" s="7">
        <f>+(L2117-L2115)</f>
      </c>
      <c r="P2116" s="7">
        <f>SQRT(O2116^2+N2116^2)</f>
      </c>
      <c r="Q2116" s="7">
        <f>N2116/$P2116</f>
      </c>
      <c r="R2116" s="7">
        <f>O2116/$P2116</f>
      </c>
      <c r="S2116" s="8">
        <f>Q2116^2+R2116^2</f>
      </c>
      <c r="T2116" s="7">
        <f>-R2116</f>
      </c>
      <c r="U2116" s="7">
        <f>Q2116</f>
      </c>
      <c r="V2116" s="7">
        <f>($C$14+($C$15-$C$14)/($D$15-$D$14)*(I2116-$D$14))/2</f>
      </c>
      <c r="W2116" s="7">
        <f>($B$22*I2116^4+$C$22*I2116^3+$D$22*I2116^2+$E$22*I2116+$F$22)/2</f>
      </c>
      <c r="X2116" s="7">
        <f>($W2116)*(T2116)</f>
      </c>
      <c r="Y2116" s="7">
        <f>($W2116)*(U2116)</f>
      </c>
      <c r="Z2116" s="7">
        <f>SQRT(X2116^2+Y2116^2)</f>
      </c>
      <c r="AA2116" s="7">
        <f>$K2116+$X2116</f>
      </c>
      <c r="AB2116" s="7">
        <f>$L2116+$Y2116</f>
      </c>
      <c r="AC2116" s="7">
        <f>$K2116-$X2116</f>
      </c>
      <c r="AD2116" s="7">
        <f>$L2116-$Y2116</f>
      </c>
      <c r="AE2116" s="7">
        <f>AA2116/39.3701</f>
      </c>
      <c r="AF2116" s="7">
        <f>AB2116/39.3701</f>
      </c>
      <c r="AG2116" s="7">
        <f>AC2116/39.3701</f>
      </c>
      <c r="AH2116" s="7">
        <f>AD2116/39.3701</f>
      </c>
      <c r="AI2116" s="1"/>
      <c r="AJ2116" s="1"/>
      <c r="AK2116" s="1"/>
      <c r="AL2116" s="1"/>
      <c r="AM2116" s="2"/>
      <c r="AN2116" s="1"/>
      <c r="AO2116" s="1"/>
      <c r="AP2116" s="1"/>
      <c r="AQ2116" s="1"/>
      <c r="AR2116" s="1"/>
      <c r="AS2116" s="1"/>
      <c r="AT2116" s="1"/>
      <c r="AU2116" s="1"/>
      <c r="AV2116" s="1"/>
      <c r="AW2116" s="1"/>
      <c r="AX2116" s="1"/>
      <c r="AY2116" s="1"/>
      <c r="AZ2116" s="1"/>
      <c r="BA2116" s="1"/>
      <c r="BB2116" s="1"/>
      <c r="BC2116" s="1"/>
      <c r="BD2116" s="1"/>
      <c r="BE2116" s="1"/>
    </row>
    <row x14ac:dyDescent="0.25" r="2117" customHeight="1" ht="18.75">
      <c r="A2117" s="1"/>
      <c r="B2117" s="2"/>
      <c r="C2117" s="2"/>
      <c r="D2117" s="2"/>
      <c r="E2117" s="2"/>
      <c r="F2117" s="2"/>
      <c r="G2117" s="1"/>
      <c r="H2117" s="1"/>
      <c r="I2117" s="7">
        <v>2.114</v>
      </c>
      <c r="J2117" s="7">
        <f>IF((I2117-ROUNDDOWN(I2117,0))=0, 0, (I2117-ROUNDDOWN(I2117,0)))</f>
      </c>
      <c r="K2117" s="7">
        <f>INDIRECT("C$"&amp;2+MIN(2,ROUNDDOWN(I2117,0))*3)*(-$J2117^3+3*$J2117^2-3*$J2117+1)+INDIRECT("C$"&amp;3+MIN(2,ROUNDDOWN(I2117,0))*3)*(3*$J2117^3-6*$J2117^2+3*$J2117)+INDIRECT("C$"&amp;4+MIN(2,ROUNDDOWN(I2117,0))*3)*(-3*$J2117^3+3*$J2117^2)+INDIRECT("C$"&amp;5+MIN(2,ROUNDDOWN(I2117,0))*3)*$J2117^3</f>
      </c>
      <c r="L2117" s="7">
        <f>INDIRECT("D$"&amp;2+MIN(2,ROUNDDOWN(I2117,0))*3)*(-$J2117^3+3*$J2117^2-3*$J2117+1)+INDIRECT("D$"&amp;3+MIN(2,ROUNDDOWN(I2117,0))*3)*(3*$J2117^3-6*$J2117^2+3*$J2117)+INDIRECT("D$"&amp;4+MIN(2,ROUNDDOWN(I2117,0))*3)*(-3*$J2117^3+3*$J2117^2)+INDIRECT("D$"&amp;5+MIN(2,ROUNDDOWN(I2117,0))*3)*$J2117^3</f>
      </c>
      <c r="M2117" s="7">
        <f>SQRT(K2117^2+L2117^2)</f>
      </c>
      <c r="N2117" s="7">
        <f>(K2118-K2116)</f>
      </c>
      <c r="O2117" s="7">
        <f>+(L2118-L2116)</f>
      </c>
      <c r="P2117" s="7">
        <f>SQRT(O2117^2+N2117^2)</f>
      </c>
      <c r="Q2117" s="7">
        <f>N2117/$P2117</f>
      </c>
      <c r="R2117" s="7">
        <f>O2117/$P2117</f>
      </c>
      <c r="S2117" s="8">
        <f>Q2117^2+R2117^2</f>
      </c>
      <c r="T2117" s="7">
        <f>-R2117</f>
      </c>
      <c r="U2117" s="7">
        <f>Q2117</f>
      </c>
      <c r="V2117" s="7">
        <f>($C$14+($C$15-$C$14)/($D$15-$D$14)*(I2117-$D$14))/2</f>
      </c>
      <c r="W2117" s="7">
        <f>($B$22*I2117^4+$C$22*I2117^3+$D$22*I2117^2+$E$22*I2117+$F$22)/2</f>
      </c>
      <c r="X2117" s="7">
        <f>($W2117)*(T2117)</f>
      </c>
      <c r="Y2117" s="7">
        <f>($W2117)*(U2117)</f>
      </c>
      <c r="Z2117" s="7">
        <f>SQRT(X2117^2+Y2117^2)</f>
      </c>
      <c r="AA2117" s="7">
        <f>$K2117+$X2117</f>
      </c>
      <c r="AB2117" s="7">
        <f>$L2117+$Y2117</f>
      </c>
      <c r="AC2117" s="7">
        <f>$K2117-$X2117</f>
      </c>
      <c r="AD2117" s="7">
        <f>$L2117-$Y2117</f>
      </c>
      <c r="AE2117" s="7">
        <f>AA2117/39.3701</f>
      </c>
      <c r="AF2117" s="7">
        <f>AB2117/39.3701</f>
      </c>
      <c r="AG2117" s="7">
        <f>AC2117/39.3701</f>
      </c>
      <c r="AH2117" s="7">
        <f>AD2117/39.3701</f>
      </c>
      <c r="AI2117" s="1"/>
      <c r="AJ2117" s="1"/>
      <c r="AK2117" s="1"/>
      <c r="AL2117" s="1"/>
      <c r="AM2117" s="2"/>
      <c r="AN2117" s="1"/>
      <c r="AO2117" s="1"/>
      <c r="AP2117" s="1"/>
      <c r="AQ2117" s="1"/>
      <c r="AR2117" s="1"/>
      <c r="AS2117" s="1"/>
      <c r="AT2117" s="1"/>
      <c r="AU2117" s="1"/>
      <c r="AV2117" s="1"/>
      <c r="AW2117" s="1"/>
      <c r="AX2117" s="1"/>
      <c r="AY2117" s="1"/>
      <c r="AZ2117" s="1"/>
      <c r="BA2117" s="1"/>
      <c r="BB2117" s="1"/>
      <c r="BC2117" s="1"/>
      <c r="BD2117" s="1"/>
      <c r="BE2117" s="1"/>
    </row>
    <row x14ac:dyDescent="0.25" r="2118" customHeight="1" ht="18.75">
      <c r="A2118" s="1"/>
      <c r="B2118" s="2"/>
      <c r="C2118" s="2"/>
      <c r="D2118" s="2"/>
      <c r="E2118" s="2"/>
      <c r="F2118" s="2"/>
      <c r="G2118" s="1"/>
      <c r="H2118" s="1"/>
      <c r="I2118" s="7">
        <v>2.115</v>
      </c>
      <c r="J2118" s="7">
        <f>IF((I2118-ROUNDDOWN(I2118,0))=0, 0, (I2118-ROUNDDOWN(I2118,0)))</f>
      </c>
      <c r="K2118" s="7">
        <f>INDIRECT("C$"&amp;2+MIN(2,ROUNDDOWN(I2118,0))*3)*(-$J2118^3+3*$J2118^2-3*$J2118+1)+INDIRECT("C$"&amp;3+MIN(2,ROUNDDOWN(I2118,0))*3)*(3*$J2118^3-6*$J2118^2+3*$J2118)+INDIRECT("C$"&amp;4+MIN(2,ROUNDDOWN(I2118,0))*3)*(-3*$J2118^3+3*$J2118^2)+INDIRECT("C$"&amp;5+MIN(2,ROUNDDOWN(I2118,0))*3)*$J2118^3</f>
      </c>
      <c r="L2118" s="7">
        <f>INDIRECT("D$"&amp;2+MIN(2,ROUNDDOWN(I2118,0))*3)*(-$J2118^3+3*$J2118^2-3*$J2118+1)+INDIRECT("D$"&amp;3+MIN(2,ROUNDDOWN(I2118,0))*3)*(3*$J2118^3-6*$J2118^2+3*$J2118)+INDIRECT("D$"&amp;4+MIN(2,ROUNDDOWN(I2118,0))*3)*(-3*$J2118^3+3*$J2118^2)+INDIRECT("D$"&amp;5+MIN(2,ROUNDDOWN(I2118,0))*3)*$J2118^3</f>
      </c>
      <c r="M2118" s="7">
        <f>SQRT(K2118^2+L2118^2)</f>
      </c>
      <c r="N2118" s="7">
        <f>(K2119-K2117)</f>
      </c>
      <c r="O2118" s="7">
        <f>+(L2119-L2117)</f>
      </c>
      <c r="P2118" s="7">
        <f>SQRT(O2118^2+N2118^2)</f>
      </c>
      <c r="Q2118" s="7">
        <f>N2118/$P2118</f>
      </c>
      <c r="R2118" s="7">
        <f>O2118/$P2118</f>
      </c>
      <c r="S2118" s="8">
        <f>Q2118^2+R2118^2</f>
      </c>
      <c r="T2118" s="7">
        <f>-R2118</f>
      </c>
      <c r="U2118" s="7">
        <f>Q2118</f>
      </c>
      <c r="V2118" s="7">
        <f>($C$14+($C$15-$C$14)/($D$15-$D$14)*(I2118-$D$14))/2</f>
      </c>
      <c r="W2118" s="7">
        <f>($B$22*I2118^4+$C$22*I2118^3+$D$22*I2118^2+$E$22*I2118+$F$22)/2</f>
      </c>
      <c r="X2118" s="7">
        <f>($W2118)*(T2118)</f>
      </c>
      <c r="Y2118" s="7">
        <f>($W2118)*(U2118)</f>
      </c>
      <c r="Z2118" s="7">
        <f>SQRT(X2118^2+Y2118^2)</f>
      </c>
      <c r="AA2118" s="7">
        <f>$K2118+$X2118</f>
      </c>
      <c r="AB2118" s="7">
        <f>$L2118+$Y2118</f>
      </c>
      <c r="AC2118" s="7">
        <f>$K2118-$X2118</f>
      </c>
      <c r="AD2118" s="7">
        <f>$L2118-$Y2118</f>
      </c>
      <c r="AE2118" s="7">
        <f>AA2118/39.3701</f>
      </c>
      <c r="AF2118" s="7">
        <f>AB2118/39.3701</f>
      </c>
      <c r="AG2118" s="7">
        <f>AC2118/39.3701</f>
      </c>
      <c r="AH2118" s="7">
        <f>AD2118/39.3701</f>
      </c>
      <c r="AI2118" s="1"/>
      <c r="AJ2118" s="1"/>
      <c r="AK2118" s="1"/>
      <c r="AL2118" s="1"/>
      <c r="AM2118" s="2"/>
      <c r="AN2118" s="1"/>
      <c r="AO2118" s="1"/>
      <c r="AP2118" s="1"/>
      <c r="AQ2118" s="1"/>
      <c r="AR2118" s="1"/>
      <c r="AS2118" s="1"/>
      <c r="AT2118" s="1"/>
      <c r="AU2118" s="1"/>
      <c r="AV2118" s="1"/>
      <c r="AW2118" s="1"/>
      <c r="AX2118" s="1"/>
      <c r="AY2118" s="1"/>
      <c r="AZ2118" s="1"/>
      <c r="BA2118" s="1"/>
      <c r="BB2118" s="1"/>
      <c r="BC2118" s="1"/>
      <c r="BD2118" s="1"/>
      <c r="BE2118" s="1"/>
    </row>
    <row x14ac:dyDescent="0.25" r="2119" customHeight="1" ht="18.75">
      <c r="A2119" s="1"/>
      <c r="B2119" s="2"/>
      <c r="C2119" s="2"/>
      <c r="D2119" s="2"/>
      <c r="E2119" s="2"/>
      <c r="F2119" s="2"/>
      <c r="G2119" s="1"/>
      <c r="H2119" s="1"/>
      <c r="I2119" s="7">
        <v>2.116</v>
      </c>
      <c r="J2119" s="7">
        <f>IF((I2119-ROUNDDOWN(I2119,0))=0, 0, (I2119-ROUNDDOWN(I2119,0)))</f>
      </c>
      <c r="K2119" s="7">
        <f>INDIRECT("C$"&amp;2+MIN(2,ROUNDDOWN(I2119,0))*3)*(-$J2119^3+3*$J2119^2-3*$J2119+1)+INDIRECT("C$"&amp;3+MIN(2,ROUNDDOWN(I2119,0))*3)*(3*$J2119^3-6*$J2119^2+3*$J2119)+INDIRECT("C$"&amp;4+MIN(2,ROUNDDOWN(I2119,0))*3)*(-3*$J2119^3+3*$J2119^2)+INDIRECT("C$"&amp;5+MIN(2,ROUNDDOWN(I2119,0))*3)*$J2119^3</f>
      </c>
      <c r="L2119" s="7">
        <f>INDIRECT("D$"&amp;2+MIN(2,ROUNDDOWN(I2119,0))*3)*(-$J2119^3+3*$J2119^2-3*$J2119+1)+INDIRECT("D$"&amp;3+MIN(2,ROUNDDOWN(I2119,0))*3)*(3*$J2119^3-6*$J2119^2+3*$J2119)+INDIRECT("D$"&amp;4+MIN(2,ROUNDDOWN(I2119,0))*3)*(-3*$J2119^3+3*$J2119^2)+INDIRECT("D$"&amp;5+MIN(2,ROUNDDOWN(I2119,0))*3)*$J2119^3</f>
      </c>
      <c r="M2119" s="7">
        <f>SQRT(K2119^2+L2119^2)</f>
      </c>
      <c r="N2119" s="7">
        <f>(K2120-K2118)</f>
      </c>
      <c r="O2119" s="7">
        <f>+(L2120-L2118)</f>
      </c>
      <c r="P2119" s="7">
        <f>SQRT(O2119^2+N2119^2)</f>
      </c>
      <c r="Q2119" s="7">
        <f>N2119/$P2119</f>
      </c>
      <c r="R2119" s="7">
        <f>O2119/$P2119</f>
      </c>
      <c r="S2119" s="8">
        <f>Q2119^2+R2119^2</f>
      </c>
      <c r="T2119" s="7">
        <f>-R2119</f>
      </c>
      <c r="U2119" s="7">
        <f>Q2119</f>
      </c>
      <c r="V2119" s="7">
        <f>($C$14+($C$15-$C$14)/($D$15-$D$14)*(I2119-$D$14))/2</f>
      </c>
      <c r="W2119" s="7">
        <f>($B$22*I2119^4+$C$22*I2119^3+$D$22*I2119^2+$E$22*I2119+$F$22)/2</f>
      </c>
      <c r="X2119" s="7">
        <f>($W2119)*(T2119)</f>
      </c>
      <c r="Y2119" s="7">
        <f>($W2119)*(U2119)</f>
      </c>
      <c r="Z2119" s="7">
        <f>SQRT(X2119^2+Y2119^2)</f>
      </c>
      <c r="AA2119" s="7">
        <f>$K2119+$X2119</f>
      </c>
      <c r="AB2119" s="7">
        <f>$L2119+$Y2119</f>
      </c>
      <c r="AC2119" s="7">
        <f>$K2119-$X2119</f>
      </c>
      <c r="AD2119" s="7">
        <f>$L2119-$Y2119</f>
      </c>
      <c r="AE2119" s="7">
        <f>AA2119/39.3701</f>
      </c>
      <c r="AF2119" s="7">
        <f>AB2119/39.3701</f>
      </c>
      <c r="AG2119" s="7">
        <f>AC2119/39.3701</f>
      </c>
      <c r="AH2119" s="7">
        <f>AD2119/39.3701</f>
      </c>
      <c r="AI2119" s="1"/>
      <c r="AJ2119" s="1"/>
      <c r="AK2119" s="1"/>
      <c r="AL2119" s="1"/>
      <c r="AM2119" s="2"/>
      <c r="AN2119" s="1"/>
      <c r="AO2119" s="1"/>
      <c r="AP2119" s="1"/>
      <c r="AQ2119" s="1"/>
      <c r="AR2119" s="1"/>
      <c r="AS2119" s="1"/>
      <c r="AT2119" s="1"/>
      <c r="AU2119" s="1"/>
      <c r="AV2119" s="1"/>
      <c r="AW2119" s="1"/>
      <c r="AX2119" s="1"/>
      <c r="AY2119" s="1"/>
      <c r="AZ2119" s="1"/>
      <c r="BA2119" s="1"/>
      <c r="BB2119" s="1"/>
      <c r="BC2119" s="1"/>
      <c r="BD2119" s="1"/>
      <c r="BE2119" s="1"/>
    </row>
    <row x14ac:dyDescent="0.25" r="2120" customHeight="1" ht="18.75">
      <c r="A2120" s="1"/>
      <c r="B2120" s="2"/>
      <c r="C2120" s="2"/>
      <c r="D2120" s="2"/>
      <c r="E2120" s="2"/>
      <c r="F2120" s="2"/>
      <c r="G2120" s="1"/>
      <c r="H2120" s="1"/>
      <c r="I2120" s="7">
        <v>2.117</v>
      </c>
      <c r="J2120" s="7">
        <f>IF((I2120-ROUNDDOWN(I2120,0))=0, 0, (I2120-ROUNDDOWN(I2120,0)))</f>
      </c>
      <c r="K2120" s="7">
        <f>INDIRECT("C$"&amp;2+MIN(2,ROUNDDOWN(I2120,0))*3)*(-$J2120^3+3*$J2120^2-3*$J2120+1)+INDIRECT("C$"&amp;3+MIN(2,ROUNDDOWN(I2120,0))*3)*(3*$J2120^3-6*$J2120^2+3*$J2120)+INDIRECT("C$"&amp;4+MIN(2,ROUNDDOWN(I2120,0))*3)*(-3*$J2120^3+3*$J2120^2)+INDIRECT("C$"&amp;5+MIN(2,ROUNDDOWN(I2120,0))*3)*$J2120^3</f>
      </c>
      <c r="L2120" s="7">
        <f>INDIRECT("D$"&amp;2+MIN(2,ROUNDDOWN(I2120,0))*3)*(-$J2120^3+3*$J2120^2-3*$J2120+1)+INDIRECT("D$"&amp;3+MIN(2,ROUNDDOWN(I2120,0))*3)*(3*$J2120^3-6*$J2120^2+3*$J2120)+INDIRECT("D$"&amp;4+MIN(2,ROUNDDOWN(I2120,0))*3)*(-3*$J2120^3+3*$J2120^2)+INDIRECT("D$"&amp;5+MIN(2,ROUNDDOWN(I2120,0))*3)*$J2120^3</f>
      </c>
      <c r="M2120" s="7">
        <f>SQRT(K2120^2+L2120^2)</f>
      </c>
      <c r="N2120" s="7">
        <f>(K2121-K2119)</f>
      </c>
      <c r="O2120" s="7">
        <f>+(L2121-L2119)</f>
      </c>
      <c r="P2120" s="7">
        <f>SQRT(O2120^2+N2120^2)</f>
      </c>
      <c r="Q2120" s="7">
        <f>N2120/$P2120</f>
      </c>
      <c r="R2120" s="7">
        <f>O2120/$P2120</f>
      </c>
      <c r="S2120" s="8">
        <f>Q2120^2+R2120^2</f>
      </c>
      <c r="T2120" s="7">
        <f>-R2120</f>
      </c>
      <c r="U2120" s="7">
        <f>Q2120</f>
      </c>
      <c r="V2120" s="7">
        <f>($C$14+($C$15-$C$14)/($D$15-$D$14)*(I2120-$D$14))/2</f>
      </c>
      <c r="W2120" s="7">
        <f>($B$22*I2120^4+$C$22*I2120^3+$D$22*I2120^2+$E$22*I2120+$F$22)/2</f>
      </c>
      <c r="X2120" s="7">
        <f>($W2120)*(T2120)</f>
      </c>
      <c r="Y2120" s="7">
        <f>($W2120)*(U2120)</f>
      </c>
      <c r="Z2120" s="7">
        <f>SQRT(X2120^2+Y2120^2)</f>
      </c>
      <c r="AA2120" s="7">
        <f>$K2120+$X2120</f>
      </c>
      <c r="AB2120" s="7">
        <f>$L2120+$Y2120</f>
      </c>
      <c r="AC2120" s="7">
        <f>$K2120-$X2120</f>
      </c>
      <c r="AD2120" s="7">
        <f>$L2120-$Y2120</f>
      </c>
      <c r="AE2120" s="7">
        <f>AA2120/39.3701</f>
      </c>
      <c r="AF2120" s="7">
        <f>AB2120/39.3701</f>
      </c>
      <c r="AG2120" s="7">
        <f>AC2120/39.3701</f>
      </c>
      <c r="AH2120" s="7">
        <f>AD2120/39.3701</f>
      </c>
      <c r="AI2120" s="1"/>
      <c r="AJ2120" s="1"/>
      <c r="AK2120" s="1"/>
      <c r="AL2120" s="1"/>
      <c r="AM2120" s="2"/>
      <c r="AN2120" s="1"/>
      <c r="AO2120" s="1"/>
      <c r="AP2120" s="1"/>
      <c r="AQ2120" s="1"/>
      <c r="AR2120" s="1"/>
      <c r="AS2120" s="1"/>
      <c r="AT2120" s="1"/>
      <c r="AU2120" s="1"/>
      <c r="AV2120" s="1"/>
      <c r="AW2120" s="1"/>
      <c r="AX2120" s="1"/>
      <c r="AY2120" s="1"/>
      <c r="AZ2120" s="1"/>
      <c r="BA2120" s="1"/>
      <c r="BB2120" s="1"/>
      <c r="BC2120" s="1"/>
      <c r="BD2120" s="1"/>
      <c r="BE2120" s="1"/>
    </row>
    <row x14ac:dyDescent="0.25" r="2121" customHeight="1" ht="18.75">
      <c r="A2121" s="1"/>
      <c r="B2121" s="2"/>
      <c r="C2121" s="2"/>
      <c r="D2121" s="2"/>
      <c r="E2121" s="2"/>
      <c r="F2121" s="2"/>
      <c r="G2121" s="1"/>
      <c r="H2121" s="1"/>
      <c r="I2121" s="7">
        <v>2.118</v>
      </c>
      <c r="J2121" s="7">
        <f>IF((I2121-ROUNDDOWN(I2121,0))=0, 0, (I2121-ROUNDDOWN(I2121,0)))</f>
      </c>
      <c r="K2121" s="7">
        <f>INDIRECT("C$"&amp;2+MIN(2,ROUNDDOWN(I2121,0))*3)*(-$J2121^3+3*$J2121^2-3*$J2121+1)+INDIRECT("C$"&amp;3+MIN(2,ROUNDDOWN(I2121,0))*3)*(3*$J2121^3-6*$J2121^2+3*$J2121)+INDIRECT("C$"&amp;4+MIN(2,ROUNDDOWN(I2121,0))*3)*(-3*$J2121^3+3*$J2121^2)+INDIRECT("C$"&amp;5+MIN(2,ROUNDDOWN(I2121,0))*3)*$J2121^3</f>
      </c>
      <c r="L2121" s="7">
        <f>INDIRECT("D$"&amp;2+MIN(2,ROUNDDOWN(I2121,0))*3)*(-$J2121^3+3*$J2121^2-3*$J2121+1)+INDIRECT("D$"&amp;3+MIN(2,ROUNDDOWN(I2121,0))*3)*(3*$J2121^3-6*$J2121^2+3*$J2121)+INDIRECT("D$"&amp;4+MIN(2,ROUNDDOWN(I2121,0))*3)*(-3*$J2121^3+3*$J2121^2)+INDIRECT("D$"&amp;5+MIN(2,ROUNDDOWN(I2121,0))*3)*$J2121^3</f>
      </c>
      <c r="M2121" s="7">
        <f>SQRT(K2121^2+L2121^2)</f>
      </c>
      <c r="N2121" s="7">
        <f>(K2122-K2120)</f>
      </c>
      <c r="O2121" s="7">
        <f>+(L2122-L2120)</f>
      </c>
      <c r="P2121" s="7">
        <f>SQRT(O2121^2+N2121^2)</f>
      </c>
      <c r="Q2121" s="7">
        <f>N2121/$P2121</f>
      </c>
      <c r="R2121" s="7">
        <f>O2121/$P2121</f>
      </c>
      <c r="S2121" s="7">
        <f>Q2121^2+R2121^2</f>
      </c>
      <c r="T2121" s="7">
        <f>-R2121</f>
      </c>
      <c r="U2121" s="7">
        <f>Q2121</f>
      </c>
      <c r="V2121" s="7">
        <f>($C$14+($C$15-$C$14)/($D$15-$D$14)*(I2121-$D$14))/2</f>
      </c>
      <c r="W2121" s="7">
        <f>($B$22*I2121^4+$C$22*I2121^3+$D$22*I2121^2+$E$22*I2121+$F$22)/2</f>
      </c>
      <c r="X2121" s="7">
        <f>($W2121)*(T2121)</f>
      </c>
      <c r="Y2121" s="7">
        <f>($W2121)*(U2121)</f>
      </c>
      <c r="Z2121" s="7">
        <f>SQRT(X2121^2+Y2121^2)</f>
      </c>
      <c r="AA2121" s="7">
        <f>$K2121+$X2121</f>
      </c>
      <c r="AB2121" s="7">
        <f>$L2121+$Y2121</f>
      </c>
      <c r="AC2121" s="7">
        <f>$K2121-$X2121</f>
      </c>
      <c r="AD2121" s="7">
        <f>$L2121-$Y2121</f>
      </c>
      <c r="AE2121" s="7">
        <f>AA2121/39.3701</f>
      </c>
      <c r="AF2121" s="7">
        <f>AB2121/39.3701</f>
      </c>
      <c r="AG2121" s="7">
        <f>AC2121/39.3701</f>
      </c>
      <c r="AH2121" s="7">
        <f>AD2121/39.3701</f>
      </c>
      <c r="AI2121" s="1"/>
      <c r="AJ2121" s="1"/>
      <c r="AK2121" s="1"/>
      <c r="AL2121" s="1"/>
      <c r="AM2121" s="2"/>
      <c r="AN2121" s="1"/>
      <c r="AO2121" s="1"/>
      <c r="AP2121" s="1"/>
      <c r="AQ2121" s="1"/>
      <c r="AR2121" s="1"/>
      <c r="AS2121" s="1"/>
      <c r="AT2121" s="1"/>
      <c r="AU2121" s="1"/>
      <c r="AV2121" s="1"/>
      <c r="AW2121" s="1"/>
      <c r="AX2121" s="1"/>
      <c r="AY2121" s="1"/>
      <c r="AZ2121" s="1"/>
      <c r="BA2121" s="1"/>
      <c r="BB2121" s="1"/>
      <c r="BC2121" s="1"/>
      <c r="BD2121" s="1"/>
      <c r="BE2121" s="1"/>
    </row>
    <row x14ac:dyDescent="0.25" r="2122" customHeight="1" ht="18.75">
      <c r="A2122" s="1"/>
      <c r="B2122" s="2"/>
      <c r="C2122" s="2"/>
      <c r="D2122" s="2"/>
      <c r="E2122" s="2"/>
      <c r="F2122" s="2"/>
      <c r="G2122" s="1"/>
      <c r="H2122" s="1"/>
      <c r="I2122" s="7">
        <v>2.119</v>
      </c>
      <c r="J2122" s="7">
        <f>IF((I2122-ROUNDDOWN(I2122,0))=0, 0, (I2122-ROUNDDOWN(I2122,0)))</f>
      </c>
      <c r="K2122" s="7">
        <f>INDIRECT("C$"&amp;2+MIN(2,ROUNDDOWN(I2122,0))*3)*(-$J2122^3+3*$J2122^2-3*$J2122+1)+INDIRECT("C$"&amp;3+MIN(2,ROUNDDOWN(I2122,0))*3)*(3*$J2122^3-6*$J2122^2+3*$J2122)+INDIRECT("C$"&amp;4+MIN(2,ROUNDDOWN(I2122,0))*3)*(-3*$J2122^3+3*$J2122^2)+INDIRECT("C$"&amp;5+MIN(2,ROUNDDOWN(I2122,0))*3)*$J2122^3</f>
      </c>
      <c r="L2122" s="7">
        <f>INDIRECT("D$"&amp;2+MIN(2,ROUNDDOWN(I2122,0))*3)*(-$J2122^3+3*$J2122^2-3*$J2122+1)+INDIRECT("D$"&amp;3+MIN(2,ROUNDDOWN(I2122,0))*3)*(3*$J2122^3-6*$J2122^2+3*$J2122)+INDIRECT("D$"&amp;4+MIN(2,ROUNDDOWN(I2122,0))*3)*(-3*$J2122^3+3*$J2122^2)+INDIRECT("D$"&amp;5+MIN(2,ROUNDDOWN(I2122,0))*3)*$J2122^3</f>
      </c>
      <c r="M2122" s="7">
        <f>SQRT(K2122^2+L2122^2)</f>
      </c>
      <c r="N2122" s="7">
        <f>(K2123-K2121)</f>
      </c>
      <c r="O2122" s="7">
        <f>+(L2123-L2121)</f>
      </c>
      <c r="P2122" s="7">
        <f>SQRT(O2122^2+N2122^2)</f>
      </c>
      <c r="Q2122" s="7">
        <f>N2122/$P2122</f>
      </c>
      <c r="R2122" s="7">
        <f>O2122/$P2122</f>
      </c>
      <c r="S2122" s="8">
        <f>Q2122^2+R2122^2</f>
      </c>
      <c r="T2122" s="7">
        <f>-R2122</f>
      </c>
      <c r="U2122" s="7">
        <f>Q2122</f>
      </c>
      <c r="V2122" s="7">
        <f>($C$14+($C$15-$C$14)/($D$15-$D$14)*(I2122-$D$14))/2</f>
      </c>
      <c r="W2122" s="7">
        <f>($B$22*I2122^4+$C$22*I2122^3+$D$22*I2122^2+$E$22*I2122+$F$22)/2</f>
      </c>
      <c r="X2122" s="7">
        <f>($W2122)*(T2122)</f>
      </c>
      <c r="Y2122" s="7">
        <f>($W2122)*(U2122)</f>
      </c>
      <c r="Z2122" s="7">
        <f>SQRT(X2122^2+Y2122^2)</f>
      </c>
      <c r="AA2122" s="7">
        <f>$K2122+$X2122</f>
      </c>
      <c r="AB2122" s="7">
        <f>$L2122+$Y2122</f>
      </c>
      <c r="AC2122" s="7">
        <f>$K2122-$X2122</f>
      </c>
      <c r="AD2122" s="7">
        <f>$L2122-$Y2122</f>
      </c>
      <c r="AE2122" s="7">
        <f>AA2122/39.3701</f>
      </c>
      <c r="AF2122" s="7">
        <f>AB2122/39.3701</f>
      </c>
      <c r="AG2122" s="7">
        <f>AC2122/39.3701</f>
      </c>
      <c r="AH2122" s="7">
        <f>AD2122/39.3701</f>
      </c>
      <c r="AI2122" s="1"/>
      <c r="AJ2122" s="1"/>
      <c r="AK2122" s="1"/>
      <c r="AL2122" s="1"/>
      <c r="AM2122" s="2"/>
      <c r="AN2122" s="1"/>
      <c r="AO2122" s="1"/>
      <c r="AP2122" s="1"/>
      <c r="AQ2122" s="1"/>
      <c r="AR2122" s="1"/>
      <c r="AS2122" s="1"/>
      <c r="AT2122" s="1"/>
      <c r="AU2122" s="1"/>
      <c r="AV2122" s="1"/>
      <c r="AW2122" s="1"/>
      <c r="AX2122" s="1"/>
      <c r="AY2122" s="1"/>
      <c r="AZ2122" s="1"/>
      <c r="BA2122" s="1"/>
      <c r="BB2122" s="1"/>
      <c r="BC2122" s="1"/>
      <c r="BD2122" s="1"/>
      <c r="BE2122" s="1"/>
    </row>
    <row x14ac:dyDescent="0.25" r="2123" customHeight="1" ht="18.75">
      <c r="A2123" s="1"/>
      <c r="B2123" s="2"/>
      <c r="C2123" s="2"/>
      <c r="D2123" s="2"/>
      <c r="E2123" s="2"/>
      <c r="F2123" s="2"/>
      <c r="G2123" s="1"/>
      <c r="H2123" s="1"/>
      <c r="I2123" s="7">
        <v>2.12</v>
      </c>
      <c r="J2123" s="7">
        <f>IF((I2123-ROUNDDOWN(I2123,0))=0, 0, (I2123-ROUNDDOWN(I2123,0)))</f>
      </c>
      <c r="K2123" s="7">
        <f>INDIRECT("C$"&amp;2+MIN(2,ROUNDDOWN(I2123,0))*3)*(-$J2123^3+3*$J2123^2-3*$J2123+1)+INDIRECT("C$"&amp;3+MIN(2,ROUNDDOWN(I2123,0))*3)*(3*$J2123^3-6*$J2123^2+3*$J2123)+INDIRECT("C$"&amp;4+MIN(2,ROUNDDOWN(I2123,0))*3)*(-3*$J2123^3+3*$J2123^2)+INDIRECT("C$"&amp;5+MIN(2,ROUNDDOWN(I2123,0))*3)*$J2123^3</f>
      </c>
      <c r="L2123" s="7">
        <f>INDIRECT("D$"&amp;2+MIN(2,ROUNDDOWN(I2123,0))*3)*(-$J2123^3+3*$J2123^2-3*$J2123+1)+INDIRECT("D$"&amp;3+MIN(2,ROUNDDOWN(I2123,0))*3)*(3*$J2123^3-6*$J2123^2+3*$J2123)+INDIRECT("D$"&amp;4+MIN(2,ROUNDDOWN(I2123,0))*3)*(-3*$J2123^3+3*$J2123^2)+INDIRECT("D$"&amp;5+MIN(2,ROUNDDOWN(I2123,0))*3)*$J2123^3</f>
      </c>
      <c r="M2123" s="7">
        <f>SQRT(K2123^2+L2123^2)</f>
      </c>
      <c r="N2123" s="7">
        <f>(K2124-K2122)</f>
      </c>
      <c r="O2123" s="7">
        <f>+(L2124-L2122)</f>
      </c>
      <c r="P2123" s="7">
        <f>SQRT(O2123^2+N2123^2)</f>
      </c>
      <c r="Q2123" s="7">
        <f>N2123/$P2123</f>
      </c>
      <c r="R2123" s="7">
        <f>O2123/$P2123</f>
      </c>
      <c r="S2123" s="7">
        <f>Q2123^2+R2123^2</f>
      </c>
      <c r="T2123" s="7">
        <f>-R2123</f>
      </c>
      <c r="U2123" s="7">
        <f>Q2123</f>
      </c>
      <c r="V2123" s="7">
        <f>($C$14+($C$15-$C$14)/($D$15-$D$14)*(I2123-$D$14))/2</f>
      </c>
      <c r="W2123" s="7">
        <f>($B$22*I2123^4+$C$22*I2123^3+$D$22*I2123^2+$E$22*I2123+$F$22)/2</f>
      </c>
      <c r="X2123" s="7">
        <f>($W2123)*(T2123)</f>
      </c>
      <c r="Y2123" s="7">
        <f>($W2123)*(U2123)</f>
      </c>
      <c r="Z2123" s="7">
        <f>SQRT(X2123^2+Y2123^2)</f>
      </c>
      <c r="AA2123" s="7">
        <f>$K2123+$X2123</f>
      </c>
      <c r="AB2123" s="7">
        <f>$L2123+$Y2123</f>
      </c>
      <c r="AC2123" s="7">
        <f>$K2123-$X2123</f>
      </c>
      <c r="AD2123" s="7">
        <f>$L2123-$Y2123</f>
      </c>
      <c r="AE2123" s="7">
        <f>AA2123/39.3701</f>
      </c>
      <c r="AF2123" s="7">
        <f>AB2123/39.3701</f>
      </c>
      <c r="AG2123" s="7">
        <f>AC2123/39.3701</f>
      </c>
      <c r="AH2123" s="7">
        <f>AD2123/39.3701</f>
      </c>
      <c r="AI2123" s="1"/>
      <c r="AJ2123" s="1"/>
      <c r="AK2123" s="1"/>
      <c r="AL2123" s="1"/>
      <c r="AM2123" s="2"/>
      <c r="AN2123" s="1"/>
      <c r="AO2123" s="1"/>
      <c r="AP2123" s="1"/>
      <c r="AQ2123" s="1"/>
      <c r="AR2123" s="1"/>
      <c r="AS2123" s="1"/>
      <c r="AT2123" s="1"/>
      <c r="AU2123" s="1"/>
      <c r="AV2123" s="1"/>
      <c r="AW2123" s="1"/>
      <c r="AX2123" s="1"/>
      <c r="AY2123" s="1"/>
      <c r="AZ2123" s="1"/>
      <c r="BA2123" s="1"/>
      <c r="BB2123" s="1"/>
      <c r="BC2123" s="1"/>
      <c r="BD2123" s="1"/>
      <c r="BE2123" s="1"/>
    </row>
    <row x14ac:dyDescent="0.25" r="2124" customHeight="1" ht="18.75">
      <c r="A2124" s="1"/>
      <c r="B2124" s="2"/>
      <c r="C2124" s="2"/>
      <c r="D2124" s="2"/>
      <c r="E2124" s="2"/>
      <c r="F2124" s="2"/>
      <c r="G2124" s="1"/>
      <c r="H2124" s="1"/>
      <c r="I2124" s="7">
        <v>2.121</v>
      </c>
      <c r="J2124" s="7">
        <f>IF((I2124-ROUNDDOWN(I2124,0))=0, 0, (I2124-ROUNDDOWN(I2124,0)))</f>
      </c>
      <c r="K2124" s="7">
        <f>INDIRECT("C$"&amp;2+MIN(2,ROUNDDOWN(I2124,0))*3)*(-$J2124^3+3*$J2124^2-3*$J2124+1)+INDIRECT("C$"&amp;3+MIN(2,ROUNDDOWN(I2124,0))*3)*(3*$J2124^3-6*$J2124^2+3*$J2124)+INDIRECT("C$"&amp;4+MIN(2,ROUNDDOWN(I2124,0))*3)*(-3*$J2124^3+3*$J2124^2)+INDIRECT("C$"&amp;5+MIN(2,ROUNDDOWN(I2124,0))*3)*$J2124^3</f>
      </c>
      <c r="L2124" s="7">
        <f>INDIRECT("D$"&amp;2+MIN(2,ROUNDDOWN(I2124,0))*3)*(-$J2124^3+3*$J2124^2-3*$J2124+1)+INDIRECT("D$"&amp;3+MIN(2,ROUNDDOWN(I2124,0))*3)*(3*$J2124^3-6*$J2124^2+3*$J2124)+INDIRECT("D$"&amp;4+MIN(2,ROUNDDOWN(I2124,0))*3)*(-3*$J2124^3+3*$J2124^2)+INDIRECT("D$"&amp;5+MIN(2,ROUNDDOWN(I2124,0))*3)*$J2124^3</f>
      </c>
      <c r="M2124" s="7">
        <f>SQRT(K2124^2+L2124^2)</f>
      </c>
      <c r="N2124" s="7">
        <f>(K2125-K2123)</f>
      </c>
      <c r="O2124" s="7">
        <f>+(L2125-L2123)</f>
      </c>
      <c r="P2124" s="7">
        <f>SQRT(O2124^2+N2124^2)</f>
      </c>
      <c r="Q2124" s="7">
        <f>N2124/$P2124</f>
      </c>
      <c r="R2124" s="7">
        <f>O2124/$P2124</f>
      </c>
      <c r="S2124" s="8">
        <f>Q2124^2+R2124^2</f>
      </c>
      <c r="T2124" s="7">
        <f>-R2124</f>
      </c>
      <c r="U2124" s="7">
        <f>Q2124</f>
      </c>
      <c r="V2124" s="7">
        <f>($C$14+($C$15-$C$14)/($D$15-$D$14)*(I2124-$D$14))/2</f>
      </c>
      <c r="W2124" s="7">
        <f>($B$22*I2124^4+$C$22*I2124^3+$D$22*I2124^2+$E$22*I2124+$F$22)/2</f>
      </c>
      <c r="X2124" s="7">
        <f>($W2124)*(T2124)</f>
      </c>
      <c r="Y2124" s="7">
        <f>($W2124)*(U2124)</f>
      </c>
      <c r="Z2124" s="7">
        <f>SQRT(X2124^2+Y2124^2)</f>
      </c>
      <c r="AA2124" s="7">
        <f>$K2124+$X2124</f>
      </c>
      <c r="AB2124" s="7">
        <f>$L2124+$Y2124</f>
      </c>
      <c r="AC2124" s="7">
        <f>$K2124-$X2124</f>
      </c>
      <c r="AD2124" s="7">
        <f>$L2124-$Y2124</f>
      </c>
      <c r="AE2124" s="7">
        <f>AA2124/39.3701</f>
      </c>
      <c r="AF2124" s="7">
        <f>AB2124/39.3701</f>
      </c>
      <c r="AG2124" s="7">
        <f>AC2124/39.3701</f>
      </c>
      <c r="AH2124" s="7">
        <f>AD2124/39.3701</f>
      </c>
      <c r="AI2124" s="1"/>
      <c r="AJ2124" s="1"/>
      <c r="AK2124" s="1"/>
      <c r="AL2124" s="1"/>
      <c r="AM2124" s="2"/>
      <c r="AN2124" s="1"/>
      <c r="AO2124" s="1"/>
      <c r="AP2124" s="1"/>
      <c r="AQ2124" s="1"/>
      <c r="AR2124" s="1"/>
      <c r="AS2124" s="1"/>
      <c r="AT2124" s="1"/>
      <c r="AU2124" s="1"/>
      <c r="AV2124" s="1"/>
      <c r="AW2124" s="1"/>
      <c r="AX2124" s="1"/>
      <c r="AY2124" s="1"/>
      <c r="AZ2124" s="1"/>
      <c r="BA2124" s="1"/>
      <c r="BB2124" s="1"/>
      <c r="BC2124" s="1"/>
      <c r="BD2124" s="1"/>
      <c r="BE2124" s="1"/>
    </row>
    <row x14ac:dyDescent="0.25" r="2125" customHeight="1" ht="18.75">
      <c r="A2125" s="1"/>
      <c r="B2125" s="2"/>
      <c r="C2125" s="2"/>
      <c r="D2125" s="2"/>
      <c r="E2125" s="2"/>
      <c r="F2125" s="2"/>
      <c r="G2125" s="1"/>
      <c r="H2125" s="1"/>
      <c r="I2125" s="7">
        <v>2.122</v>
      </c>
      <c r="J2125" s="7">
        <f>IF((I2125-ROUNDDOWN(I2125,0))=0, 0, (I2125-ROUNDDOWN(I2125,0)))</f>
      </c>
      <c r="K2125" s="7">
        <f>INDIRECT("C$"&amp;2+MIN(2,ROUNDDOWN(I2125,0))*3)*(-$J2125^3+3*$J2125^2-3*$J2125+1)+INDIRECT("C$"&amp;3+MIN(2,ROUNDDOWN(I2125,0))*3)*(3*$J2125^3-6*$J2125^2+3*$J2125)+INDIRECT("C$"&amp;4+MIN(2,ROUNDDOWN(I2125,0))*3)*(-3*$J2125^3+3*$J2125^2)+INDIRECT("C$"&amp;5+MIN(2,ROUNDDOWN(I2125,0))*3)*$J2125^3</f>
      </c>
      <c r="L2125" s="7">
        <f>INDIRECT("D$"&amp;2+MIN(2,ROUNDDOWN(I2125,0))*3)*(-$J2125^3+3*$J2125^2-3*$J2125+1)+INDIRECT("D$"&amp;3+MIN(2,ROUNDDOWN(I2125,0))*3)*(3*$J2125^3-6*$J2125^2+3*$J2125)+INDIRECT("D$"&amp;4+MIN(2,ROUNDDOWN(I2125,0))*3)*(-3*$J2125^3+3*$J2125^2)+INDIRECT("D$"&amp;5+MIN(2,ROUNDDOWN(I2125,0))*3)*$J2125^3</f>
      </c>
      <c r="M2125" s="7">
        <f>SQRT(K2125^2+L2125^2)</f>
      </c>
      <c r="N2125" s="7">
        <f>(K2126-K2124)</f>
      </c>
      <c r="O2125" s="7">
        <f>+(L2126-L2124)</f>
      </c>
      <c r="P2125" s="7">
        <f>SQRT(O2125^2+N2125^2)</f>
      </c>
      <c r="Q2125" s="7">
        <f>N2125/$P2125</f>
      </c>
      <c r="R2125" s="7">
        <f>O2125/$P2125</f>
      </c>
      <c r="S2125" s="8">
        <f>Q2125^2+R2125^2</f>
      </c>
      <c r="T2125" s="7">
        <f>-R2125</f>
      </c>
      <c r="U2125" s="7">
        <f>Q2125</f>
      </c>
      <c r="V2125" s="7">
        <f>($C$14+($C$15-$C$14)/($D$15-$D$14)*(I2125-$D$14))/2</f>
      </c>
      <c r="W2125" s="7">
        <f>($B$22*I2125^4+$C$22*I2125^3+$D$22*I2125^2+$E$22*I2125+$F$22)/2</f>
      </c>
      <c r="X2125" s="7">
        <f>($W2125)*(T2125)</f>
      </c>
      <c r="Y2125" s="7">
        <f>($W2125)*(U2125)</f>
      </c>
      <c r="Z2125" s="7">
        <f>SQRT(X2125^2+Y2125^2)</f>
      </c>
      <c r="AA2125" s="7">
        <f>$K2125+$X2125</f>
      </c>
      <c r="AB2125" s="7">
        <f>$L2125+$Y2125</f>
      </c>
      <c r="AC2125" s="7">
        <f>$K2125-$X2125</f>
      </c>
      <c r="AD2125" s="7">
        <f>$L2125-$Y2125</f>
      </c>
      <c r="AE2125" s="7">
        <f>AA2125/39.3701</f>
      </c>
      <c r="AF2125" s="7">
        <f>AB2125/39.3701</f>
      </c>
      <c r="AG2125" s="7">
        <f>AC2125/39.3701</f>
      </c>
      <c r="AH2125" s="7">
        <f>AD2125/39.3701</f>
      </c>
      <c r="AI2125" s="1"/>
      <c r="AJ2125" s="1"/>
      <c r="AK2125" s="1"/>
      <c r="AL2125" s="1"/>
      <c r="AM2125" s="2"/>
      <c r="AN2125" s="1"/>
      <c r="AO2125" s="1"/>
      <c r="AP2125" s="1"/>
      <c r="AQ2125" s="1"/>
      <c r="AR2125" s="1"/>
      <c r="AS2125" s="1"/>
      <c r="AT2125" s="1"/>
      <c r="AU2125" s="1"/>
      <c r="AV2125" s="1"/>
      <c r="AW2125" s="1"/>
      <c r="AX2125" s="1"/>
      <c r="AY2125" s="1"/>
      <c r="AZ2125" s="1"/>
      <c r="BA2125" s="1"/>
      <c r="BB2125" s="1"/>
      <c r="BC2125" s="1"/>
      <c r="BD2125" s="1"/>
      <c r="BE2125" s="1"/>
    </row>
    <row x14ac:dyDescent="0.25" r="2126" customHeight="1" ht="18.75">
      <c r="A2126" s="1"/>
      <c r="B2126" s="2"/>
      <c r="C2126" s="2"/>
      <c r="D2126" s="2"/>
      <c r="E2126" s="2"/>
      <c r="F2126" s="2"/>
      <c r="G2126" s="1"/>
      <c r="H2126" s="1"/>
      <c r="I2126" s="7">
        <v>2.123</v>
      </c>
      <c r="J2126" s="7">
        <f>IF((I2126-ROUNDDOWN(I2126,0))=0, 0, (I2126-ROUNDDOWN(I2126,0)))</f>
      </c>
      <c r="K2126" s="7">
        <f>INDIRECT("C$"&amp;2+MIN(2,ROUNDDOWN(I2126,0))*3)*(-$J2126^3+3*$J2126^2-3*$J2126+1)+INDIRECT("C$"&amp;3+MIN(2,ROUNDDOWN(I2126,0))*3)*(3*$J2126^3-6*$J2126^2+3*$J2126)+INDIRECT("C$"&amp;4+MIN(2,ROUNDDOWN(I2126,0))*3)*(-3*$J2126^3+3*$J2126^2)+INDIRECT("C$"&amp;5+MIN(2,ROUNDDOWN(I2126,0))*3)*$J2126^3</f>
      </c>
      <c r="L2126" s="7">
        <f>INDIRECT("D$"&amp;2+MIN(2,ROUNDDOWN(I2126,0))*3)*(-$J2126^3+3*$J2126^2-3*$J2126+1)+INDIRECT("D$"&amp;3+MIN(2,ROUNDDOWN(I2126,0))*3)*(3*$J2126^3-6*$J2126^2+3*$J2126)+INDIRECT("D$"&amp;4+MIN(2,ROUNDDOWN(I2126,0))*3)*(-3*$J2126^3+3*$J2126^2)+INDIRECT("D$"&amp;5+MIN(2,ROUNDDOWN(I2126,0))*3)*$J2126^3</f>
      </c>
      <c r="M2126" s="7">
        <f>SQRT(K2126^2+L2126^2)</f>
      </c>
      <c r="N2126" s="7">
        <f>(K2127-K2125)</f>
      </c>
      <c r="O2126" s="7">
        <f>+(L2127-L2125)</f>
      </c>
      <c r="P2126" s="7">
        <f>SQRT(O2126^2+N2126^2)</f>
      </c>
      <c r="Q2126" s="7">
        <f>N2126/$P2126</f>
      </c>
      <c r="R2126" s="7">
        <f>O2126/$P2126</f>
      </c>
      <c r="S2126" s="7">
        <f>Q2126^2+R2126^2</f>
      </c>
      <c r="T2126" s="7">
        <f>-R2126</f>
      </c>
      <c r="U2126" s="7">
        <f>Q2126</f>
      </c>
      <c r="V2126" s="7">
        <f>($C$14+($C$15-$C$14)/($D$15-$D$14)*(I2126-$D$14))/2</f>
      </c>
      <c r="W2126" s="7">
        <f>($B$22*I2126^4+$C$22*I2126^3+$D$22*I2126^2+$E$22*I2126+$F$22)/2</f>
      </c>
      <c r="X2126" s="7">
        <f>($W2126)*(T2126)</f>
      </c>
      <c r="Y2126" s="7">
        <f>($W2126)*(U2126)</f>
      </c>
      <c r="Z2126" s="7">
        <f>SQRT(X2126^2+Y2126^2)</f>
      </c>
      <c r="AA2126" s="7">
        <f>$K2126+$X2126</f>
      </c>
      <c r="AB2126" s="7">
        <f>$L2126+$Y2126</f>
      </c>
      <c r="AC2126" s="7">
        <f>$K2126-$X2126</f>
      </c>
      <c r="AD2126" s="7">
        <f>$L2126-$Y2126</f>
      </c>
      <c r="AE2126" s="7">
        <f>AA2126/39.3701</f>
      </c>
      <c r="AF2126" s="7">
        <f>AB2126/39.3701</f>
      </c>
      <c r="AG2126" s="7">
        <f>AC2126/39.3701</f>
      </c>
      <c r="AH2126" s="7">
        <f>AD2126/39.3701</f>
      </c>
      <c r="AI2126" s="1"/>
      <c r="AJ2126" s="1"/>
      <c r="AK2126" s="1"/>
      <c r="AL2126" s="1"/>
      <c r="AM2126" s="2"/>
      <c r="AN2126" s="1"/>
      <c r="AO2126" s="1"/>
      <c r="AP2126" s="1"/>
      <c r="AQ2126" s="1"/>
      <c r="AR2126" s="1"/>
      <c r="AS2126" s="1"/>
      <c r="AT2126" s="1"/>
      <c r="AU2126" s="1"/>
      <c r="AV2126" s="1"/>
      <c r="AW2126" s="1"/>
      <c r="AX2126" s="1"/>
      <c r="AY2126" s="1"/>
      <c r="AZ2126" s="1"/>
      <c r="BA2126" s="1"/>
      <c r="BB2126" s="1"/>
      <c r="BC2126" s="1"/>
      <c r="BD2126" s="1"/>
      <c r="BE2126" s="1"/>
    </row>
    <row x14ac:dyDescent="0.25" r="2127" customHeight="1" ht="18.75">
      <c r="A2127" s="1"/>
      <c r="B2127" s="2"/>
      <c r="C2127" s="2"/>
      <c r="D2127" s="2"/>
      <c r="E2127" s="2"/>
      <c r="F2127" s="2"/>
      <c r="G2127" s="1"/>
      <c r="H2127" s="1"/>
      <c r="I2127" s="7">
        <v>2.124</v>
      </c>
      <c r="J2127" s="7">
        <f>IF((I2127-ROUNDDOWN(I2127,0))=0, 0, (I2127-ROUNDDOWN(I2127,0)))</f>
      </c>
      <c r="K2127" s="7">
        <f>INDIRECT("C$"&amp;2+MIN(2,ROUNDDOWN(I2127,0))*3)*(-$J2127^3+3*$J2127^2-3*$J2127+1)+INDIRECT("C$"&amp;3+MIN(2,ROUNDDOWN(I2127,0))*3)*(3*$J2127^3-6*$J2127^2+3*$J2127)+INDIRECT("C$"&amp;4+MIN(2,ROUNDDOWN(I2127,0))*3)*(-3*$J2127^3+3*$J2127^2)+INDIRECT("C$"&amp;5+MIN(2,ROUNDDOWN(I2127,0))*3)*$J2127^3</f>
      </c>
      <c r="L2127" s="7">
        <f>INDIRECT("D$"&amp;2+MIN(2,ROUNDDOWN(I2127,0))*3)*(-$J2127^3+3*$J2127^2-3*$J2127+1)+INDIRECT("D$"&amp;3+MIN(2,ROUNDDOWN(I2127,0))*3)*(3*$J2127^3-6*$J2127^2+3*$J2127)+INDIRECT("D$"&amp;4+MIN(2,ROUNDDOWN(I2127,0))*3)*(-3*$J2127^3+3*$J2127^2)+INDIRECT("D$"&amp;5+MIN(2,ROUNDDOWN(I2127,0))*3)*$J2127^3</f>
      </c>
      <c r="M2127" s="7">
        <f>SQRT(K2127^2+L2127^2)</f>
      </c>
      <c r="N2127" s="7">
        <f>(K2128-K2126)</f>
      </c>
      <c r="O2127" s="7">
        <f>+(L2128-L2126)</f>
      </c>
      <c r="P2127" s="7">
        <f>SQRT(O2127^2+N2127^2)</f>
      </c>
      <c r="Q2127" s="7">
        <f>N2127/$P2127</f>
      </c>
      <c r="R2127" s="7">
        <f>O2127/$P2127</f>
      </c>
      <c r="S2127" s="7">
        <f>Q2127^2+R2127^2</f>
      </c>
      <c r="T2127" s="7">
        <f>-R2127</f>
      </c>
      <c r="U2127" s="7">
        <f>Q2127</f>
      </c>
      <c r="V2127" s="7">
        <f>($C$14+($C$15-$C$14)/($D$15-$D$14)*(I2127-$D$14))/2</f>
      </c>
      <c r="W2127" s="7">
        <f>($B$22*I2127^4+$C$22*I2127^3+$D$22*I2127^2+$E$22*I2127+$F$22)/2</f>
      </c>
      <c r="X2127" s="7">
        <f>($W2127)*(T2127)</f>
      </c>
      <c r="Y2127" s="7">
        <f>($W2127)*(U2127)</f>
      </c>
      <c r="Z2127" s="7">
        <f>SQRT(X2127^2+Y2127^2)</f>
      </c>
      <c r="AA2127" s="7">
        <f>$K2127+$X2127</f>
      </c>
      <c r="AB2127" s="7">
        <f>$L2127+$Y2127</f>
      </c>
      <c r="AC2127" s="7">
        <f>$K2127-$X2127</f>
      </c>
      <c r="AD2127" s="7">
        <f>$L2127-$Y2127</f>
      </c>
      <c r="AE2127" s="7">
        <f>AA2127/39.3701</f>
      </c>
      <c r="AF2127" s="7">
        <f>AB2127/39.3701</f>
      </c>
      <c r="AG2127" s="7">
        <f>AC2127/39.3701</f>
      </c>
      <c r="AH2127" s="7">
        <f>AD2127/39.3701</f>
      </c>
      <c r="AI2127" s="1"/>
      <c r="AJ2127" s="1"/>
      <c r="AK2127" s="1"/>
      <c r="AL2127" s="1"/>
      <c r="AM2127" s="2"/>
      <c r="AN2127" s="1"/>
      <c r="AO2127" s="1"/>
      <c r="AP2127" s="1"/>
      <c r="AQ2127" s="1"/>
      <c r="AR2127" s="1"/>
      <c r="AS2127" s="1"/>
      <c r="AT2127" s="1"/>
      <c r="AU2127" s="1"/>
      <c r="AV2127" s="1"/>
      <c r="AW2127" s="1"/>
      <c r="AX2127" s="1"/>
      <c r="AY2127" s="1"/>
      <c r="AZ2127" s="1"/>
      <c r="BA2127" s="1"/>
      <c r="BB2127" s="1"/>
      <c r="BC2127" s="1"/>
      <c r="BD2127" s="1"/>
      <c r="BE2127" s="1"/>
    </row>
    <row x14ac:dyDescent="0.25" r="2128" customHeight="1" ht="18.75">
      <c r="A2128" s="1"/>
      <c r="B2128" s="2"/>
      <c r="C2128" s="2"/>
      <c r="D2128" s="2"/>
      <c r="E2128" s="2"/>
      <c r="F2128" s="2"/>
      <c r="G2128" s="1"/>
      <c r="H2128" s="1"/>
      <c r="I2128" s="7">
        <v>2.125</v>
      </c>
      <c r="J2128" s="7">
        <f>IF((I2128-ROUNDDOWN(I2128,0))=0, 0, (I2128-ROUNDDOWN(I2128,0)))</f>
      </c>
      <c r="K2128" s="7">
        <f>INDIRECT("C$"&amp;2+MIN(2,ROUNDDOWN(I2128,0))*3)*(-$J2128^3+3*$J2128^2-3*$J2128+1)+INDIRECT("C$"&amp;3+MIN(2,ROUNDDOWN(I2128,0))*3)*(3*$J2128^3-6*$J2128^2+3*$J2128)+INDIRECT("C$"&amp;4+MIN(2,ROUNDDOWN(I2128,0))*3)*(-3*$J2128^3+3*$J2128^2)+INDIRECT("C$"&amp;5+MIN(2,ROUNDDOWN(I2128,0))*3)*$J2128^3</f>
      </c>
      <c r="L2128" s="7">
        <f>INDIRECT("D$"&amp;2+MIN(2,ROUNDDOWN(I2128,0))*3)*(-$J2128^3+3*$J2128^2-3*$J2128+1)+INDIRECT("D$"&amp;3+MIN(2,ROUNDDOWN(I2128,0))*3)*(3*$J2128^3-6*$J2128^2+3*$J2128)+INDIRECT("D$"&amp;4+MIN(2,ROUNDDOWN(I2128,0))*3)*(-3*$J2128^3+3*$J2128^2)+INDIRECT("D$"&amp;5+MIN(2,ROUNDDOWN(I2128,0))*3)*$J2128^3</f>
      </c>
      <c r="M2128" s="7">
        <f>SQRT(K2128^2+L2128^2)</f>
      </c>
      <c r="N2128" s="7">
        <f>(K2129-K2127)</f>
      </c>
      <c r="O2128" s="7">
        <f>+(L2129-L2127)</f>
      </c>
      <c r="P2128" s="7">
        <f>SQRT(O2128^2+N2128^2)</f>
      </c>
      <c r="Q2128" s="7">
        <f>N2128/$P2128</f>
      </c>
      <c r="R2128" s="7">
        <f>O2128/$P2128</f>
      </c>
      <c r="S2128" s="8">
        <f>Q2128^2+R2128^2</f>
      </c>
      <c r="T2128" s="7">
        <f>-R2128</f>
      </c>
      <c r="U2128" s="7">
        <f>Q2128</f>
      </c>
      <c r="V2128" s="7">
        <f>($C$14+($C$15-$C$14)/($D$15-$D$14)*(I2128-$D$14))/2</f>
      </c>
      <c r="W2128" s="7">
        <f>($B$22*I2128^4+$C$22*I2128^3+$D$22*I2128^2+$E$22*I2128+$F$22)/2</f>
      </c>
      <c r="X2128" s="7">
        <f>($W2128)*(T2128)</f>
      </c>
      <c r="Y2128" s="7">
        <f>($W2128)*(U2128)</f>
      </c>
      <c r="Z2128" s="7">
        <f>SQRT(X2128^2+Y2128^2)</f>
      </c>
      <c r="AA2128" s="7">
        <f>$K2128+$X2128</f>
      </c>
      <c r="AB2128" s="7">
        <f>$L2128+$Y2128</f>
      </c>
      <c r="AC2128" s="7">
        <f>$K2128-$X2128</f>
      </c>
      <c r="AD2128" s="7">
        <f>$L2128-$Y2128</f>
      </c>
      <c r="AE2128" s="7">
        <f>AA2128/39.3701</f>
      </c>
      <c r="AF2128" s="7">
        <f>AB2128/39.3701</f>
      </c>
      <c r="AG2128" s="7">
        <f>AC2128/39.3701</f>
      </c>
      <c r="AH2128" s="7">
        <f>AD2128/39.3701</f>
      </c>
      <c r="AI2128" s="1"/>
      <c r="AJ2128" s="1"/>
      <c r="AK2128" s="1"/>
      <c r="AL2128" s="1"/>
      <c r="AM2128" s="2"/>
      <c r="AN2128" s="1"/>
      <c r="AO2128" s="1"/>
      <c r="AP2128" s="1"/>
      <c r="AQ2128" s="1"/>
      <c r="AR2128" s="1"/>
      <c r="AS2128" s="1"/>
      <c r="AT2128" s="1"/>
      <c r="AU2128" s="1"/>
      <c r="AV2128" s="1"/>
      <c r="AW2128" s="1"/>
      <c r="AX2128" s="1"/>
      <c r="AY2128" s="1"/>
      <c r="AZ2128" s="1"/>
      <c r="BA2128" s="1"/>
      <c r="BB2128" s="1"/>
      <c r="BC2128" s="1"/>
      <c r="BD2128" s="1"/>
      <c r="BE2128" s="1"/>
    </row>
    <row x14ac:dyDescent="0.25" r="2129" customHeight="1" ht="18.75">
      <c r="A2129" s="1"/>
      <c r="B2129" s="2"/>
      <c r="C2129" s="2"/>
      <c r="D2129" s="2"/>
      <c r="E2129" s="2"/>
      <c r="F2129" s="2"/>
      <c r="G2129" s="1"/>
      <c r="H2129" s="1"/>
      <c r="I2129" s="7">
        <v>2.126</v>
      </c>
      <c r="J2129" s="7">
        <f>IF((I2129-ROUNDDOWN(I2129,0))=0, 0, (I2129-ROUNDDOWN(I2129,0)))</f>
      </c>
      <c r="K2129" s="7">
        <f>INDIRECT("C$"&amp;2+MIN(2,ROUNDDOWN(I2129,0))*3)*(-$J2129^3+3*$J2129^2-3*$J2129+1)+INDIRECT("C$"&amp;3+MIN(2,ROUNDDOWN(I2129,0))*3)*(3*$J2129^3-6*$J2129^2+3*$J2129)+INDIRECT("C$"&amp;4+MIN(2,ROUNDDOWN(I2129,0))*3)*(-3*$J2129^3+3*$J2129^2)+INDIRECT("C$"&amp;5+MIN(2,ROUNDDOWN(I2129,0))*3)*$J2129^3</f>
      </c>
      <c r="L2129" s="7">
        <f>INDIRECT("D$"&amp;2+MIN(2,ROUNDDOWN(I2129,0))*3)*(-$J2129^3+3*$J2129^2-3*$J2129+1)+INDIRECT("D$"&amp;3+MIN(2,ROUNDDOWN(I2129,0))*3)*(3*$J2129^3-6*$J2129^2+3*$J2129)+INDIRECT("D$"&amp;4+MIN(2,ROUNDDOWN(I2129,0))*3)*(-3*$J2129^3+3*$J2129^2)+INDIRECT("D$"&amp;5+MIN(2,ROUNDDOWN(I2129,0))*3)*$J2129^3</f>
      </c>
      <c r="M2129" s="7">
        <f>SQRT(K2129^2+L2129^2)</f>
      </c>
      <c r="N2129" s="7">
        <f>(K2130-K2128)</f>
      </c>
      <c r="O2129" s="7">
        <f>+(L2130-L2128)</f>
      </c>
      <c r="P2129" s="7">
        <f>SQRT(O2129^2+N2129^2)</f>
      </c>
      <c r="Q2129" s="7">
        <f>N2129/$P2129</f>
      </c>
      <c r="R2129" s="7">
        <f>O2129/$P2129</f>
      </c>
      <c r="S2129" s="8">
        <f>Q2129^2+R2129^2</f>
      </c>
      <c r="T2129" s="7">
        <f>-R2129</f>
      </c>
      <c r="U2129" s="7">
        <f>Q2129</f>
      </c>
      <c r="V2129" s="7">
        <f>($C$14+($C$15-$C$14)/($D$15-$D$14)*(I2129-$D$14))/2</f>
      </c>
      <c r="W2129" s="7">
        <f>($B$22*I2129^4+$C$22*I2129^3+$D$22*I2129^2+$E$22*I2129+$F$22)/2</f>
      </c>
      <c r="X2129" s="7">
        <f>($W2129)*(T2129)</f>
      </c>
      <c r="Y2129" s="7">
        <f>($W2129)*(U2129)</f>
      </c>
      <c r="Z2129" s="7">
        <f>SQRT(X2129^2+Y2129^2)</f>
      </c>
      <c r="AA2129" s="7">
        <f>$K2129+$X2129</f>
      </c>
      <c r="AB2129" s="7">
        <f>$L2129+$Y2129</f>
      </c>
      <c r="AC2129" s="7">
        <f>$K2129-$X2129</f>
      </c>
      <c r="AD2129" s="7">
        <f>$L2129-$Y2129</f>
      </c>
      <c r="AE2129" s="7">
        <f>AA2129/39.3701</f>
      </c>
      <c r="AF2129" s="7">
        <f>AB2129/39.3701</f>
      </c>
      <c r="AG2129" s="7">
        <f>AC2129/39.3701</f>
      </c>
      <c r="AH2129" s="7">
        <f>AD2129/39.3701</f>
      </c>
      <c r="AI2129" s="1"/>
      <c r="AJ2129" s="1"/>
      <c r="AK2129" s="1"/>
      <c r="AL2129" s="1"/>
      <c r="AM2129" s="2"/>
      <c r="AN2129" s="1"/>
      <c r="AO2129" s="1"/>
      <c r="AP2129" s="1"/>
      <c r="AQ2129" s="1"/>
      <c r="AR2129" s="1"/>
      <c r="AS2129" s="1"/>
      <c r="AT2129" s="1"/>
      <c r="AU2129" s="1"/>
      <c r="AV2129" s="1"/>
      <c r="AW2129" s="1"/>
      <c r="AX2129" s="1"/>
      <c r="AY2129" s="1"/>
      <c r="AZ2129" s="1"/>
      <c r="BA2129" s="1"/>
      <c r="BB2129" s="1"/>
      <c r="BC2129" s="1"/>
      <c r="BD2129" s="1"/>
      <c r="BE2129" s="1"/>
    </row>
    <row x14ac:dyDescent="0.25" r="2130" customHeight="1" ht="18.75">
      <c r="A2130" s="1"/>
      <c r="B2130" s="2"/>
      <c r="C2130" s="2"/>
      <c r="D2130" s="2"/>
      <c r="E2130" s="2"/>
      <c r="F2130" s="2"/>
      <c r="G2130" s="1"/>
      <c r="H2130" s="1"/>
      <c r="I2130" s="7">
        <v>2.127</v>
      </c>
      <c r="J2130" s="7">
        <f>IF((I2130-ROUNDDOWN(I2130,0))=0, 0, (I2130-ROUNDDOWN(I2130,0)))</f>
      </c>
      <c r="K2130" s="7">
        <f>INDIRECT("C$"&amp;2+MIN(2,ROUNDDOWN(I2130,0))*3)*(-$J2130^3+3*$J2130^2-3*$J2130+1)+INDIRECT("C$"&amp;3+MIN(2,ROUNDDOWN(I2130,0))*3)*(3*$J2130^3-6*$J2130^2+3*$J2130)+INDIRECT("C$"&amp;4+MIN(2,ROUNDDOWN(I2130,0))*3)*(-3*$J2130^3+3*$J2130^2)+INDIRECT("C$"&amp;5+MIN(2,ROUNDDOWN(I2130,0))*3)*$J2130^3</f>
      </c>
      <c r="L2130" s="7">
        <f>INDIRECT("D$"&amp;2+MIN(2,ROUNDDOWN(I2130,0))*3)*(-$J2130^3+3*$J2130^2-3*$J2130+1)+INDIRECT("D$"&amp;3+MIN(2,ROUNDDOWN(I2130,0))*3)*(3*$J2130^3-6*$J2130^2+3*$J2130)+INDIRECT("D$"&amp;4+MIN(2,ROUNDDOWN(I2130,0))*3)*(-3*$J2130^3+3*$J2130^2)+INDIRECT("D$"&amp;5+MIN(2,ROUNDDOWN(I2130,0))*3)*$J2130^3</f>
      </c>
      <c r="M2130" s="7">
        <f>SQRT(K2130^2+L2130^2)</f>
      </c>
      <c r="N2130" s="7">
        <f>(K2131-K2129)</f>
      </c>
      <c r="O2130" s="7">
        <f>+(L2131-L2129)</f>
      </c>
      <c r="P2130" s="7">
        <f>SQRT(O2130^2+N2130^2)</f>
      </c>
      <c r="Q2130" s="7">
        <f>N2130/$P2130</f>
      </c>
      <c r="R2130" s="7">
        <f>O2130/$P2130</f>
      </c>
      <c r="S2130" s="8">
        <f>Q2130^2+R2130^2</f>
      </c>
      <c r="T2130" s="7">
        <f>-R2130</f>
      </c>
      <c r="U2130" s="7">
        <f>Q2130</f>
      </c>
      <c r="V2130" s="7">
        <f>($C$14+($C$15-$C$14)/($D$15-$D$14)*(I2130-$D$14))/2</f>
      </c>
      <c r="W2130" s="7">
        <f>($B$22*I2130^4+$C$22*I2130^3+$D$22*I2130^2+$E$22*I2130+$F$22)/2</f>
      </c>
      <c r="X2130" s="7">
        <f>($W2130)*(T2130)</f>
      </c>
      <c r="Y2130" s="7">
        <f>($W2130)*(U2130)</f>
      </c>
      <c r="Z2130" s="7">
        <f>SQRT(X2130^2+Y2130^2)</f>
      </c>
      <c r="AA2130" s="7">
        <f>$K2130+$X2130</f>
      </c>
      <c r="AB2130" s="7">
        <f>$L2130+$Y2130</f>
      </c>
      <c r="AC2130" s="7">
        <f>$K2130-$X2130</f>
      </c>
      <c r="AD2130" s="7">
        <f>$L2130-$Y2130</f>
      </c>
      <c r="AE2130" s="7">
        <f>AA2130/39.3701</f>
      </c>
      <c r="AF2130" s="7">
        <f>AB2130/39.3701</f>
      </c>
      <c r="AG2130" s="7">
        <f>AC2130/39.3701</f>
      </c>
      <c r="AH2130" s="7">
        <f>AD2130/39.3701</f>
      </c>
      <c r="AI2130" s="1"/>
      <c r="AJ2130" s="1"/>
      <c r="AK2130" s="1"/>
      <c r="AL2130" s="1"/>
      <c r="AM2130" s="2"/>
      <c r="AN2130" s="1"/>
      <c r="AO2130" s="1"/>
      <c r="AP2130" s="1"/>
      <c r="AQ2130" s="1"/>
      <c r="AR2130" s="1"/>
      <c r="AS2130" s="1"/>
      <c r="AT2130" s="1"/>
      <c r="AU2130" s="1"/>
      <c r="AV2130" s="1"/>
      <c r="AW2130" s="1"/>
      <c r="AX2130" s="1"/>
      <c r="AY2130" s="1"/>
      <c r="AZ2130" s="1"/>
      <c r="BA2130" s="1"/>
      <c r="BB2130" s="1"/>
      <c r="BC2130" s="1"/>
      <c r="BD2130" s="1"/>
      <c r="BE2130" s="1"/>
    </row>
    <row x14ac:dyDescent="0.25" r="2131" customHeight="1" ht="18.75">
      <c r="A2131" s="1"/>
      <c r="B2131" s="2"/>
      <c r="C2131" s="2"/>
      <c r="D2131" s="2"/>
      <c r="E2131" s="2"/>
      <c r="F2131" s="2"/>
      <c r="G2131" s="1"/>
      <c r="H2131" s="1"/>
      <c r="I2131" s="7">
        <v>2.128</v>
      </c>
      <c r="J2131" s="7">
        <f>IF((I2131-ROUNDDOWN(I2131,0))=0, 0, (I2131-ROUNDDOWN(I2131,0)))</f>
      </c>
      <c r="K2131" s="7">
        <f>INDIRECT("C$"&amp;2+MIN(2,ROUNDDOWN(I2131,0))*3)*(-$J2131^3+3*$J2131^2-3*$J2131+1)+INDIRECT("C$"&amp;3+MIN(2,ROUNDDOWN(I2131,0))*3)*(3*$J2131^3-6*$J2131^2+3*$J2131)+INDIRECT("C$"&amp;4+MIN(2,ROUNDDOWN(I2131,0))*3)*(-3*$J2131^3+3*$J2131^2)+INDIRECT("C$"&amp;5+MIN(2,ROUNDDOWN(I2131,0))*3)*$J2131^3</f>
      </c>
      <c r="L2131" s="7">
        <f>INDIRECT("D$"&amp;2+MIN(2,ROUNDDOWN(I2131,0))*3)*(-$J2131^3+3*$J2131^2-3*$J2131+1)+INDIRECT("D$"&amp;3+MIN(2,ROUNDDOWN(I2131,0))*3)*(3*$J2131^3-6*$J2131^2+3*$J2131)+INDIRECT("D$"&amp;4+MIN(2,ROUNDDOWN(I2131,0))*3)*(-3*$J2131^3+3*$J2131^2)+INDIRECT("D$"&amp;5+MIN(2,ROUNDDOWN(I2131,0))*3)*$J2131^3</f>
      </c>
      <c r="M2131" s="7">
        <f>SQRT(K2131^2+L2131^2)</f>
      </c>
      <c r="N2131" s="7">
        <f>(K2132-K2130)</f>
      </c>
      <c r="O2131" s="7">
        <f>+(L2132-L2130)</f>
      </c>
      <c r="P2131" s="7">
        <f>SQRT(O2131^2+N2131^2)</f>
      </c>
      <c r="Q2131" s="7">
        <f>N2131/$P2131</f>
      </c>
      <c r="R2131" s="7">
        <f>O2131/$P2131</f>
      </c>
      <c r="S2131" s="8">
        <f>Q2131^2+R2131^2</f>
      </c>
      <c r="T2131" s="7">
        <f>-R2131</f>
      </c>
      <c r="U2131" s="7">
        <f>Q2131</f>
      </c>
      <c r="V2131" s="7">
        <f>($C$14+($C$15-$C$14)/($D$15-$D$14)*(I2131-$D$14))/2</f>
      </c>
      <c r="W2131" s="7">
        <f>($B$22*I2131^4+$C$22*I2131^3+$D$22*I2131^2+$E$22*I2131+$F$22)/2</f>
      </c>
      <c r="X2131" s="7">
        <f>($W2131)*(T2131)</f>
      </c>
      <c r="Y2131" s="7">
        <f>($W2131)*(U2131)</f>
      </c>
      <c r="Z2131" s="7">
        <f>SQRT(X2131^2+Y2131^2)</f>
      </c>
      <c r="AA2131" s="7">
        <f>$K2131+$X2131</f>
      </c>
      <c r="AB2131" s="7">
        <f>$L2131+$Y2131</f>
      </c>
      <c r="AC2131" s="7">
        <f>$K2131-$X2131</f>
      </c>
      <c r="AD2131" s="7">
        <f>$L2131-$Y2131</f>
      </c>
      <c r="AE2131" s="7">
        <f>AA2131/39.3701</f>
      </c>
      <c r="AF2131" s="7">
        <f>AB2131/39.3701</f>
      </c>
      <c r="AG2131" s="7">
        <f>AC2131/39.3701</f>
      </c>
      <c r="AH2131" s="7">
        <f>AD2131/39.3701</f>
      </c>
      <c r="AI2131" s="1"/>
      <c r="AJ2131" s="1"/>
      <c r="AK2131" s="1"/>
      <c r="AL2131" s="1"/>
      <c r="AM2131" s="2"/>
      <c r="AN2131" s="1"/>
      <c r="AO2131" s="1"/>
      <c r="AP2131" s="1"/>
      <c r="AQ2131" s="1"/>
      <c r="AR2131" s="1"/>
      <c r="AS2131" s="1"/>
      <c r="AT2131" s="1"/>
      <c r="AU2131" s="1"/>
      <c r="AV2131" s="1"/>
      <c r="AW2131" s="1"/>
      <c r="AX2131" s="1"/>
      <c r="AY2131" s="1"/>
      <c r="AZ2131" s="1"/>
      <c r="BA2131" s="1"/>
      <c r="BB2131" s="1"/>
      <c r="BC2131" s="1"/>
      <c r="BD2131" s="1"/>
      <c r="BE2131" s="1"/>
    </row>
    <row x14ac:dyDescent="0.25" r="2132" customHeight="1" ht="18.75">
      <c r="A2132" s="1"/>
      <c r="B2132" s="2"/>
      <c r="C2132" s="2"/>
      <c r="D2132" s="2"/>
      <c r="E2132" s="2"/>
      <c r="F2132" s="2"/>
      <c r="G2132" s="1"/>
      <c r="H2132" s="1"/>
      <c r="I2132" s="7">
        <v>2.129</v>
      </c>
      <c r="J2132" s="7">
        <f>IF((I2132-ROUNDDOWN(I2132,0))=0, 0, (I2132-ROUNDDOWN(I2132,0)))</f>
      </c>
      <c r="K2132" s="7">
        <f>INDIRECT("C$"&amp;2+MIN(2,ROUNDDOWN(I2132,0))*3)*(-$J2132^3+3*$J2132^2-3*$J2132+1)+INDIRECT("C$"&amp;3+MIN(2,ROUNDDOWN(I2132,0))*3)*(3*$J2132^3-6*$J2132^2+3*$J2132)+INDIRECT("C$"&amp;4+MIN(2,ROUNDDOWN(I2132,0))*3)*(-3*$J2132^3+3*$J2132^2)+INDIRECT("C$"&amp;5+MIN(2,ROUNDDOWN(I2132,0))*3)*$J2132^3</f>
      </c>
      <c r="L2132" s="7">
        <f>INDIRECT("D$"&amp;2+MIN(2,ROUNDDOWN(I2132,0))*3)*(-$J2132^3+3*$J2132^2-3*$J2132+1)+INDIRECT("D$"&amp;3+MIN(2,ROUNDDOWN(I2132,0))*3)*(3*$J2132^3-6*$J2132^2+3*$J2132)+INDIRECT("D$"&amp;4+MIN(2,ROUNDDOWN(I2132,0))*3)*(-3*$J2132^3+3*$J2132^2)+INDIRECT("D$"&amp;5+MIN(2,ROUNDDOWN(I2132,0))*3)*$J2132^3</f>
      </c>
      <c r="M2132" s="7">
        <f>SQRT(K2132^2+L2132^2)</f>
      </c>
      <c r="N2132" s="7">
        <f>(K2133-K2131)</f>
      </c>
      <c r="O2132" s="7">
        <f>+(L2133-L2131)</f>
      </c>
      <c r="P2132" s="7">
        <f>SQRT(O2132^2+N2132^2)</f>
      </c>
      <c r="Q2132" s="7">
        <f>N2132/$P2132</f>
      </c>
      <c r="R2132" s="7">
        <f>O2132/$P2132</f>
      </c>
      <c r="S2132" s="7">
        <f>Q2132^2+R2132^2</f>
      </c>
      <c r="T2132" s="7">
        <f>-R2132</f>
      </c>
      <c r="U2132" s="7">
        <f>Q2132</f>
      </c>
      <c r="V2132" s="7">
        <f>($C$14+($C$15-$C$14)/($D$15-$D$14)*(I2132-$D$14))/2</f>
      </c>
      <c r="W2132" s="7">
        <f>($B$22*I2132^4+$C$22*I2132^3+$D$22*I2132^2+$E$22*I2132+$F$22)/2</f>
      </c>
      <c r="X2132" s="7">
        <f>($W2132)*(T2132)</f>
      </c>
      <c r="Y2132" s="7">
        <f>($W2132)*(U2132)</f>
      </c>
      <c r="Z2132" s="7">
        <f>SQRT(X2132^2+Y2132^2)</f>
      </c>
      <c r="AA2132" s="7">
        <f>$K2132+$X2132</f>
      </c>
      <c r="AB2132" s="7">
        <f>$L2132+$Y2132</f>
      </c>
      <c r="AC2132" s="7">
        <f>$K2132-$X2132</f>
      </c>
      <c r="AD2132" s="7">
        <f>$L2132-$Y2132</f>
      </c>
      <c r="AE2132" s="7">
        <f>AA2132/39.3701</f>
      </c>
      <c r="AF2132" s="7">
        <f>AB2132/39.3701</f>
      </c>
      <c r="AG2132" s="7">
        <f>AC2132/39.3701</f>
      </c>
      <c r="AH2132" s="7">
        <f>AD2132/39.3701</f>
      </c>
      <c r="AI2132" s="1"/>
      <c r="AJ2132" s="1"/>
      <c r="AK2132" s="1"/>
      <c r="AL2132" s="1"/>
      <c r="AM2132" s="2"/>
      <c r="AN2132" s="1"/>
      <c r="AO2132" s="1"/>
      <c r="AP2132" s="1"/>
      <c r="AQ2132" s="1"/>
      <c r="AR2132" s="1"/>
      <c r="AS2132" s="1"/>
      <c r="AT2132" s="1"/>
      <c r="AU2132" s="1"/>
      <c r="AV2132" s="1"/>
      <c r="AW2132" s="1"/>
      <c r="AX2132" s="1"/>
      <c r="AY2132" s="1"/>
      <c r="AZ2132" s="1"/>
      <c r="BA2132" s="1"/>
      <c r="BB2132" s="1"/>
      <c r="BC2132" s="1"/>
      <c r="BD2132" s="1"/>
      <c r="BE2132" s="1"/>
    </row>
    <row x14ac:dyDescent="0.25" r="2133" customHeight="1" ht="18.75">
      <c r="A2133" s="1"/>
      <c r="B2133" s="2"/>
      <c r="C2133" s="2"/>
      <c r="D2133" s="2"/>
      <c r="E2133" s="2"/>
      <c r="F2133" s="2"/>
      <c r="G2133" s="1"/>
      <c r="H2133" s="1"/>
      <c r="I2133" s="7">
        <v>2.13</v>
      </c>
      <c r="J2133" s="7">
        <f>IF((I2133-ROUNDDOWN(I2133,0))=0, 0, (I2133-ROUNDDOWN(I2133,0)))</f>
      </c>
      <c r="K2133" s="7">
        <f>INDIRECT("C$"&amp;2+MIN(2,ROUNDDOWN(I2133,0))*3)*(-$J2133^3+3*$J2133^2-3*$J2133+1)+INDIRECT("C$"&amp;3+MIN(2,ROUNDDOWN(I2133,0))*3)*(3*$J2133^3-6*$J2133^2+3*$J2133)+INDIRECT("C$"&amp;4+MIN(2,ROUNDDOWN(I2133,0))*3)*(-3*$J2133^3+3*$J2133^2)+INDIRECT("C$"&amp;5+MIN(2,ROUNDDOWN(I2133,0))*3)*$J2133^3</f>
      </c>
      <c r="L2133" s="7">
        <f>INDIRECT("D$"&amp;2+MIN(2,ROUNDDOWN(I2133,0))*3)*(-$J2133^3+3*$J2133^2-3*$J2133+1)+INDIRECT("D$"&amp;3+MIN(2,ROUNDDOWN(I2133,0))*3)*(3*$J2133^3-6*$J2133^2+3*$J2133)+INDIRECT("D$"&amp;4+MIN(2,ROUNDDOWN(I2133,0))*3)*(-3*$J2133^3+3*$J2133^2)+INDIRECT("D$"&amp;5+MIN(2,ROUNDDOWN(I2133,0))*3)*$J2133^3</f>
      </c>
      <c r="M2133" s="7">
        <f>SQRT(K2133^2+L2133^2)</f>
      </c>
      <c r="N2133" s="7">
        <f>(K2134-K2132)</f>
      </c>
      <c r="O2133" s="7">
        <f>+(L2134-L2132)</f>
      </c>
      <c r="P2133" s="7">
        <f>SQRT(O2133^2+N2133^2)</f>
      </c>
      <c r="Q2133" s="7">
        <f>N2133/$P2133</f>
      </c>
      <c r="R2133" s="7">
        <f>O2133/$P2133</f>
      </c>
      <c r="S2133" s="8">
        <f>Q2133^2+R2133^2</f>
      </c>
      <c r="T2133" s="7">
        <f>-R2133</f>
      </c>
      <c r="U2133" s="7">
        <f>Q2133</f>
      </c>
      <c r="V2133" s="7">
        <f>($C$14+($C$15-$C$14)/($D$15-$D$14)*(I2133-$D$14))/2</f>
      </c>
      <c r="W2133" s="7">
        <f>($B$22*I2133^4+$C$22*I2133^3+$D$22*I2133^2+$E$22*I2133+$F$22)/2</f>
      </c>
      <c r="X2133" s="7">
        <f>($W2133)*(T2133)</f>
      </c>
      <c r="Y2133" s="7">
        <f>($W2133)*(U2133)</f>
      </c>
      <c r="Z2133" s="7">
        <f>SQRT(X2133^2+Y2133^2)</f>
      </c>
      <c r="AA2133" s="7">
        <f>$K2133+$X2133</f>
      </c>
      <c r="AB2133" s="7">
        <f>$L2133+$Y2133</f>
      </c>
      <c r="AC2133" s="7">
        <f>$K2133-$X2133</f>
      </c>
      <c r="AD2133" s="7">
        <f>$L2133-$Y2133</f>
      </c>
      <c r="AE2133" s="7">
        <f>AA2133/39.3701</f>
      </c>
      <c r="AF2133" s="7">
        <f>AB2133/39.3701</f>
      </c>
      <c r="AG2133" s="7">
        <f>AC2133/39.3701</f>
      </c>
      <c r="AH2133" s="7">
        <f>AD2133/39.3701</f>
      </c>
      <c r="AI2133" s="1"/>
      <c r="AJ2133" s="1"/>
      <c r="AK2133" s="1"/>
      <c r="AL2133" s="1"/>
      <c r="AM2133" s="2"/>
      <c r="AN2133" s="1"/>
      <c r="AO2133" s="1"/>
      <c r="AP2133" s="1"/>
      <c r="AQ2133" s="1"/>
      <c r="AR2133" s="1"/>
      <c r="AS2133" s="1"/>
      <c r="AT2133" s="1"/>
      <c r="AU2133" s="1"/>
      <c r="AV2133" s="1"/>
      <c r="AW2133" s="1"/>
      <c r="AX2133" s="1"/>
      <c r="AY2133" s="1"/>
      <c r="AZ2133" s="1"/>
      <c r="BA2133" s="1"/>
      <c r="BB2133" s="1"/>
      <c r="BC2133" s="1"/>
      <c r="BD2133" s="1"/>
      <c r="BE2133" s="1"/>
    </row>
    <row x14ac:dyDescent="0.25" r="2134" customHeight="1" ht="18.75">
      <c r="A2134" s="1"/>
      <c r="B2134" s="2"/>
      <c r="C2134" s="2"/>
      <c r="D2134" s="2"/>
      <c r="E2134" s="2"/>
      <c r="F2134" s="2"/>
      <c r="G2134" s="1"/>
      <c r="H2134" s="1"/>
      <c r="I2134" s="7">
        <v>2.131</v>
      </c>
      <c r="J2134" s="7">
        <f>IF((I2134-ROUNDDOWN(I2134,0))=0, 0, (I2134-ROUNDDOWN(I2134,0)))</f>
      </c>
      <c r="K2134" s="7">
        <f>INDIRECT("C$"&amp;2+MIN(2,ROUNDDOWN(I2134,0))*3)*(-$J2134^3+3*$J2134^2-3*$J2134+1)+INDIRECT("C$"&amp;3+MIN(2,ROUNDDOWN(I2134,0))*3)*(3*$J2134^3-6*$J2134^2+3*$J2134)+INDIRECT("C$"&amp;4+MIN(2,ROUNDDOWN(I2134,0))*3)*(-3*$J2134^3+3*$J2134^2)+INDIRECT("C$"&amp;5+MIN(2,ROUNDDOWN(I2134,0))*3)*$J2134^3</f>
      </c>
      <c r="L2134" s="7">
        <f>INDIRECT("D$"&amp;2+MIN(2,ROUNDDOWN(I2134,0))*3)*(-$J2134^3+3*$J2134^2-3*$J2134+1)+INDIRECT("D$"&amp;3+MIN(2,ROUNDDOWN(I2134,0))*3)*(3*$J2134^3-6*$J2134^2+3*$J2134)+INDIRECT("D$"&amp;4+MIN(2,ROUNDDOWN(I2134,0))*3)*(-3*$J2134^3+3*$J2134^2)+INDIRECT("D$"&amp;5+MIN(2,ROUNDDOWN(I2134,0))*3)*$J2134^3</f>
      </c>
      <c r="M2134" s="7">
        <f>SQRT(K2134^2+L2134^2)</f>
      </c>
      <c r="N2134" s="7">
        <f>(K2135-K2133)</f>
      </c>
      <c r="O2134" s="7">
        <f>+(L2135-L2133)</f>
      </c>
      <c r="P2134" s="7">
        <f>SQRT(O2134^2+N2134^2)</f>
      </c>
      <c r="Q2134" s="7">
        <f>N2134/$P2134</f>
      </c>
      <c r="R2134" s="7">
        <f>O2134/$P2134</f>
      </c>
      <c r="S2134" s="7">
        <f>Q2134^2+R2134^2</f>
      </c>
      <c r="T2134" s="7">
        <f>-R2134</f>
      </c>
      <c r="U2134" s="7">
        <f>Q2134</f>
      </c>
      <c r="V2134" s="7">
        <f>($C$14+($C$15-$C$14)/($D$15-$D$14)*(I2134-$D$14))/2</f>
      </c>
      <c r="W2134" s="7">
        <f>($B$22*I2134^4+$C$22*I2134^3+$D$22*I2134^2+$E$22*I2134+$F$22)/2</f>
      </c>
      <c r="X2134" s="7">
        <f>($W2134)*(T2134)</f>
      </c>
      <c r="Y2134" s="7">
        <f>($W2134)*(U2134)</f>
      </c>
      <c r="Z2134" s="7">
        <f>SQRT(X2134^2+Y2134^2)</f>
      </c>
      <c r="AA2134" s="7">
        <f>$K2134+$X2134</f>
      </c>
      <c r="AB2134" s="7">
        <f>$L2134+$Y2134</f>
      </c>
      <c r="AC2134" s="7">
        <f>$K2134-$X2134</f>
      </c>
      <c r="AD2134" s="7">
        <f>$L2134-$Y2134</f>
      </c>
      <c r="AE2134" s="7">
        <f>AA2134/39.3701</f>
      </c>
      <c r="AF2134" s="7">
        <f>AB2134/39.3701</f>
      </c>
      <c r="AG2134" s="7">
        <f>AC2134/39.3701</f>
      </c>
      <c r="AH2134" s="7">
        <f>AD2134/39.3701</f>
      </c>
      <c r="AI2134" s="1"/>
      <c r="AJ2134" s="1"/>
      <c r="AK2134" s="1"/>
      <c r="AL2134" s="1"/>
      <c r="AM2134" s="2"/>
      <c r="AN2134" s="1"/>
      <c r="AO2134" s="1"/>
      <c r="AP2134" s="1"/>
      <c r="AQ2134" s="1"/>
      <c r="AR2134" s="1"/>
      <c r="AS2134" s="1"/>
      <c r="AT2134" s="1"/>
      <c r="AU2134" s="1"/>
      <c r="AV2134" s="1"/>
      <c r="AW2134" s="1"/>
      <c r="AX2134" s="1"/>
      <c r="AY2134" s="1"/>
      <c r="AZ2134" s="1"/>
      <c r="BA2134" s="1"/>
      <c r="BB2134" s="1"/>
      <c r="BC2134" s="1"/>
      <c r="BD2134" s="1"/>
      <c r="BE2134" s="1"/>
    </row>
    <row x14ac:dyDescent="0.25" r="2135" customHeight="1" ht="18.75">
      <c r="A2135" s="1"/>
      <c r="B2135" s="2"/>
      <c r="C2135" s="2"/>
      <c r="D2135" s="2"/>
      <c r="E2135" s="2"/>
      <c r="F2135" s="2"/>
      <c r="G2135" s="1"/>
      <c r="H2135" s="1"/>
      <c r="I2135" s="7">
        <v>2.132</v>
      </c>
      <c r="J2135" s="7">
        <f>IF((I2135-ROUNDDOWN(I2135,0))=0, 0, (I2135-ROUNDDOWN(I2135,0)))</f>
      </c>
      <c r="K2135" s="7">
        <f>INDIRECT("C$"&amp;2+MIN(2,ROUNDDOWN(I2135,0))*3)*(-$J2135^3+3*$J2135^2-3*$J2135+1)+INDIRECT("C$"&amp;3+MIN(2,ROUNDDOWN(I2135,0))*3)*(3*$J2135^3-6*$J2135^2+3*$J2135)+INDIRECT("C$"&amp;4+MIN(2,ROUNDDOWN(I2135,0))*3)*(-3*$J2135^3+3*$J2135^2)+INDIRECT("C$"&amp;5+MIN(2,ROUNDDOWN(I2135,0))*3)*$J2135^3</f>
      </c>
      <c r="L2135" s="7">
        <f>INDIRECT("D$"&amp;2+MIN(2,ROUNDDOWN(I2135,0))*3)*(-$J2135^3+3*$J2135^2-3*$J2135+1)+INDIRECT("D$"&amp;3+MIN(2,ROUNDDOWN(I2135,0))*3)*(3*$J2135^3-6*$J2135^2+3*$J2135)+INDIRECT("D$"&amp;4+MIN(2,ROUNDDOWN(I2135,0))*3)*(-3*$J2135^3+3*$J2135^2)+INDIRECT("D$"&amp;5+MIN(2,ROUNDDOWN(I2135,0))*3)*$J2135^3</f>
      </c>
      <c r="M2135" s="7">
        <f>SQRT(K2135^2+L2135^2)</f>
      </c>
      <c r="N2135" s="7">
        <f>(K2136-K2134)</f>
      </c>
      <c r="O2135" s="7">
        <f>+(L2136-L2134)</f>
      </c>
      <c r="P2135" s="7">
        <f>SQRT(O2135^2+N2135^2)</f>
      </c>
      <c r="Q2135" s="7">
        <f>N2135/$P2135</f>
      </c>
      <c r="R2135" s="7">
        <f>O2135/$P2135</f>
      </c>
      <c r="S2135" s="8">
        <f>Q2135^2+R2135^2</f>
      </c>
      <c r="T2135" s="7">
        <f>-R2135</f>
      </c>
      <c r="U2135" s="7">
        <f>Q2135</f>
      </c>
      <c r="V2135" s="7">
        <f>($C$14+($C$15-$C$14)/($D$15-$D$14)*(I2135-$D$14))/2</f>
      </c>
      <c r="W2135" s="7">
        <f>($B$22*I2135^4+$C$22*I2135^3+$D$22*I2135^2+$E$22*I2135+$F$22)/2</f>
      </c>
      <c r="X2135" s="7">
        <f>($W2135)*(T2135)</f>
      </c>
      <c r="Y2135" s="7">
        <f>($W2135)*(U2135)</f>
      </c>
      <c r="Z2135" s="7">
        <f>SQRT(X2135^2+Y2135^2)</f>
      </c>
      <c r="AA2135" s="7">
        <f>$K2135+$X2135</f>
      </c>
      <c r="AB2135" s="7">
        <f>$L2135+$Y2135</f>
      </c>
      <c r="AC2135" s="7">
        <f>$K2135-$X2135</f>
      </c>
      <c r="AD2135" s="7">
        <f>$L2135-$Y2135</f>
      </c>
      <c r="AE2135" s="7">
        <f>AA2135/39.3701</f>
      </c>
      <c r="AF2135" s="7">
        <f>AB2135/39.3701</f>
      </c>
      <c r="AG2135" s="7">
        <f>AC2135/39.3701</f>
      </c>
      <c r="AH2135" s="7">
        <f>AD2135/39.3701</f>
      </c>
      <c r="AI2135" s="1"/>
      <c r="AJ2135" s="1"/>
      <c r="AK2135" s="1"/>
      <c r="AL2135" s="1"/>
      <c r="AM2135" s="2"/>
      <c r="AN2135" s="1"/>
      <c r="AO2135" s="1"/>
      <c r="AP2135" s="1"/>
      <c r="AQ2135" s="1"/>
      <c r="AR2135" s="1"/>
      <c r="AS2135" s="1"/>
      <c r="AT2135" s="1"/>
      <c r="AU2135" s="1"/>
      <c r="AV2135" s="1"/>
      <c r="AW2135" s="1"/>
      <c r="AX2135" s="1"/>
      <c r="AY2135" s="1"/>
      <c r="AZ2135" s="1"/>
      <c r="BA2135" s="1"/>
      <c r="BB2135" s="1"/>
      <c r="BC2135" s="1"/>
      <c r="BD2135" s="1"/>
      <c r="BE2135" s="1"/>
    </row>
    <row x14ac:dyDescent="0.25" r="2136" customHeight="1" ht="18.75">
      <c r="A2136" s="1"/>
      <c r="B2136" s="2"/>
      <c r="C2136" s="2"/>
      <c r="D2136" s="2"/>
      <c r="E2136" s="2"/>
      <c r="F2136" s="2"/>
      <c r="G2136" s="1"/>
      <c r="H2136" s="1"/>
      <c r="I2136" s="7">
        <v>2.133</v>
      </c>
      <c r="J2136" s="7">
        <f>IF((I2136-ROUNDDOWN(I2136,0))=0, 0, (I2136-ROUNDDOWN(I2136,0)))</f>
      </c>
      <c r="K2136" s="7">
        <f>INDIRECT("C$"&amp;2+MIN(2,ROUNDDOWN(I2136,0))*3)*(-$J2136^3+3*$J2136^2-3*$J2136+1)+INDIRECT("C$"&amp;3+MIN(2,ROUNDDOWN(I2136,0))*3)*(3*$J2136^3-6*$J2136^2+3*$J2136)+INDIRECT("C$"&amp;4+MIN(2,ROUNDDOWN(I2136,0))*3)*(-3*$J2136^3+3*$J2136^2)+INDIRECT("C$"&amp;5+MIN(2,ROUNDDOWN(I2136,0))*3)*$J2136^3</f>
      </c>
      <c r="L2136" s="7">
        <f>INDIRECT("D$"&amp;2+MIN(2,ROUNDDOWN(I2136,0))*3)*(-$J2136^3+3*$J2136^2-3*$J2136+1)+INDIRECT("D$"&amp;3+MIN(2,ROUNDDOWN(I2136,0))*3)*(3*$J2136^3-6*$J2136^2+3*$J2136)+INDIRECT("D$"&amp;4+MIN(2,ROUNDDOWN(I2136,0))*3)*(-3*$J2136^3+3*$J2136^2)+INDIRECT("D$"&amp;5+MIN(2,ROUNDDOWN(I2136,0))*3)*$J2136^3</f>
      </c>
      <c r="M2136" s="7">
        <f>SQRT(K2136^2+L2136^2)</f>
      </c>
      <c r="N2136" s="7">
        <f>(K2137-K2135)</f>
      </c>
      <c r="O2136" s="7">
        <f>+(L2137-L2135)</f>
      </c>
      <c r="P2136" s="7">
        <f>SQRT(O2136^2+N2136^2)</f>
      </c>
      <c r="Q2136" s="7">
        <f>N2136/$P2136</f>
      </c>
      <c r="R2136" s="7">
        <f>O2136/$P2136</f>
      </c>
      <c r="S2136" s="7">
        <f>Q2136^2+R2136^2</f>
      </c>
      <c r="T2136" s="7">
        <f>-R2136</f>
      </c>
      <c r="U2136" s="7">
        <f>Q2136</f>
      </c>
      <c r="V2136" s="7">
        <f>($C$14+($C$15-$C$14)/($D$15-$D$14)*(I2136-$D$14))/2</f>
      </c>
      <c r="W2136" s="7">
        <f>($B$22*I2136^4+$C$22*I2136^3+$D$22*I2136^2+$E$22*I2136+$F$22)/2</f>
      </c>
      <c r="X2136" s="7">
        <f>($W2136)*(T2136)</f>
      </c>
      <c r="Y2136" s="7">
        <f>($W2136)*(U2136)</f>
      </c>
      <c r="Z2136" s="7">
        <f>SQRT(X2136^2+Y2136^2)</f>
      </c>
      <c r="AA2136" s="7">
        <f>$K2136+$X2136</f>
      </c>
      <c r="AB2136" s="7">
        <f>$L2136+$Y2136</f>
      </c>
      <c r="AC2136" s="7">
        <f>$K2136-$X2136</f>
      </c>
      <c r="AD2136" s="7">
        <f>$L2136-$Y2136</f>
      </c>
      <c r="AE2136" s="7">
        <f>AA2136/39.3701</f>
      </c>
      <c r="AF2136" s="7">
        <f>AB2136/39.3701</f>
      </c>
      <c r="AG2136" s="7">
        <f>AC2136/39.3701</f>
      </c>
      <c r="AH2136" s="7">
        <f>AD2136/39.3701</f>
      </c>
      <c r="AI2136" s="1"/>
      <c r="AJ2136" s="1"/>
      <c r="AK2136" s="1"/>
      <c r="AL2136" s="1"/>
      <c r="AM2136" s="2"/>
      <c r="AN2136" s="1"/>
      <c r="AO2136" s="1"/>
      <c r="AP2136" s="1"/>
      <c r="AQ2136" s="1"/>
      <c r="AR2136" s="1"/>
      <c r="AS2136" s="1"/>
      <c r="AT2136" s="1"/>
      <c r="AU2136" s="1"/>
      <c r="AV2136" s="1"/>
      <c r="AW2136" s="1"/>
      <c r="AX2136" s="1"/>
      <c r="AY2136" s="1"/>
      <c r="AZ2136" s="1"/>
      <c r="BA2136" s="1"/>
      <c r="BB2136" s="1"/>
      <c r="BC2136" s="1"/>
      <c r="BD2136" s="1"/>
      <c r="BE2136" s="1"/>
    </row>
    <row x14ac:dyDescent="0.25" r="2137" customHeight="1" ht="18.75">
      <c r="A2137" s="1"/>
      <c r="B2137" s="2"/>
      <c r="C2137" s="2"/>
      <c r="D2137" s="2"/>
      <c r="E2137" s="2"/>
      <c r="F2137" s="2"/>
      <c r="G2137" s="1"/>
      <c r="H2137" s="1"/>
      <c r="I2137" s="7">
        <v>2.134</v>
      </c>
      <c r="J2137" s="7">
        <f>IF((I2137-ROUNDDOWN(I2137,0))=0, 0, (I2137-ROUNDDOWN(I2137,0)))</f>
      </c>
      <c r="K2137" s="7">
        <f>INDIRECT("C$"&amp;2+MIN(2,ROUNDDOWN(I2137,0))*3)*(-$J2137^3+3*$J2137^2-3*$J2137+1)+INDIRECT("C$"&amp;3+MIN(2,ROUNDDOWN(I2137,0))*3)*(3*$J2137^3-6*$J2137^2+3*$J2137)+INDIRECT("C$"&amp;4+MIN(2,ROUNDDOWN(I2137,0))*3)*(-3*$J2137^3+3*$J2137^2)+INDIRECT("C$"&amp;5+MIN(2,ROUNDDOWN(I2137,0))*3)*$J2137^3</f>
      </c>
      <c r="L2137" s="7">
        <f>INDIRECT("D$"&amp;2+MIN(2,ROUNDDOWN(I2137,0))*3)*(-$J2137^3+3*$J2137^2-3*$J2137+1)+INDIRECT("D$"&amp;3+MIN(2,ROUNDDOWN(I2137,0))*3)*(3*$J2137^3-6*$J2137^2+3*$J2137)+INDIRECT("D$"&amp;4+MIN(2,ROUNDDOWN(I2137,0))*3)*(-3*$J2137^3+3*$J2137^2)+INDIRECT("D$"&amp;5+MIN(2,ROUNDDOWN(I2137,0))*3)*$J2137^3</f>
      </c>
      <c r="M2137" s="7">
        <f>SQRT(K2137^2+L2137^2)</f>
      </c>
      <c r="N2137" s="7">
        <f>(K2138-K2136)</f>
      </c>
      <c r="O2137" s="7">
        <f>+(L2138-L2136)</f>
      </c>
      <c r="P2137" s="7">
        <f>SQRT(O2137^2+N2137^2)</f>
      </c>
      <c r="Q2137" s="7">
        <f>N2137/$P2137</f>
      </c>
      <c r="R2137" s="7">
        <f>O2137/$P2137</f>
      </c>
      <c r="S2137" s="8">
        <f>Q2137^2+R2137^2</f>
      </c>
      <c r="T2137" s="7">
        <f>-R2137</f>
      </c>
      <c r="U2137" s="7">
        <f>Q2137</f>
      </c>
      <c r="V2137" s="7">
        <f>($C$14+($C$15-$C$14)/($D$15-$D$14)*(I2137-$D$14))/2</f>
      </c>
      <c r="W2137" s="7">
        <f>($B$22*I2137^4+$C$22*I2137^3+$D$22*I2137^2+$E$22*I2137+$F$22)/2</f>
      </c>
      <c r="X2137" s="7">
        <f>($W2137)*(T2137)</f>
      </c>
      <c r="Y2137" s="7">
        <f>($W2137)*(U2137)</f>
      </c>
      <c r="Z2137" s="7">
        <f>SQRT(X2137^2+Y2137^2)</f>
      </c>
      <c r="AA2137" s="7">
        <f>$K2137+$X2137</f>
      </c>
      <c r="AB2137" s="7">
        <f>$L2137+$Y2137</f>
      </c>
      <c r="AC2137" s="7">
        <f>$K2137-$X2137</f>
      </c>
      <c r="AD2137" s="7">
        <f>$L2137-$Y2137</f>
      </c>
      <c r="AE2137" s="7">
        <f>AA2137/39.3701</f>
      </c>
      <c r="AF2137" s="7">
        <f>AB2137/39.3701</f>
      </c>
      <c r="AG2137" s="7">
        <f>AC2137/39.3701</f>
      </c>
      <c r="AH2137" s="7">
        <f>AD2137/39.3701</f>
      </c>
      <c r="AI2137" s="1"/>
      <c r="AJ2137" s="1"/>
      <c r="AK2137" s="1"/>
      <c r="AL2137" s="1"/>
      <c r="AM2137" s="2"/>
      <c r="AN2137" s="1"/>
      <c r="AO2137" s="1"/>
      <c r="AP2137" s="1"/>
      <c r="AQ2137" s="1"/>
      <c r="AR2137" s="1"/>
      <c r="AS2137" s="1"/>
      <c r="AT2137" s="1"/>
      <c r="AU2137" s="1"/>
      <c r="AV2137" s="1"/>
      <c r="AW2137" s="1"/>
      <c r="AX2137" s="1"/>
      <c r="AY2137" s="1"/>
      <c r="AZ2137" s="1"/>
      <c r="BA2137" s="1"/>
      <c r="BB2137" s="1"/>
      <c r="BC2137" s="1"/>
      <c r="BD2137" s="1"/>
      <c r="BE2137" s="1"/>
    </row>
    <row x14ac:dyDescent="0.25" r="2138" customHeight="1" ht="18.75">
      <c r="A2138" s="1"/>
      <c r="B2138" s="2"/>
      <c r="C2138" s="2"/>
      <c r="D2138" s="2"/>
      <c r="E2138" s="2"/>
      <c r="F2138" s="2"/>
      <c r="G2138" s="1"/>
      <c r="H2138" s="1"/>
      <c r="I2138" s="7">
        <v>2.135</v>
      </c>
      <c r="J2138" s="7">
        <f>IF((I2138-ROUNDDOWN(I2138,0))=0, 0, (I2138-ROUNDDOWN(I2138,0)))</f>
      </c>
      <c r="K2138" s="7">
        <f>INDIRECT("C$"&amp;2+MIN(2,ROUNDDOWN(I2138,0))*3)*(-$J2138^3+3*$J2138^2-3*$J2138+1)+INDIRECT("C$"&amp;3+MIN(2,ROUNDDOWN(I2138,0))*3)*(3*$J2138^3-6*$J2138^2+3*$J2138)+INDIRECT("C$"&amp;4+MIN(2,ROUNDDOWN(I2138,0))*3)*(-3*$J2138^3+3*$J2138^2)+INDIRECT("C$"&amp;5+MIN(2,ROUNDDOWN(I2138,0))*3)*$J2138^3</f>
      </c>
      <c r="L2138" s="7">
        <f>INDIRECT("D$"&amp;2+MIN(2,ROUNDDOWN(I2138,0))*3)*(-$J2138^3+3*$J2138^2-3*$J2138+1)+INDIRECT("D$"&amp;3+MIN(2,ROUNDDOWN(I2138,0))*3)*(3*$J2138^3-6*$J2138^2+3*$J2138)+INDIRECT("D$"&amp;4+MIN(2,ROUNDDOWN(I2138,0))*3)*(-3*$J2138^3+3*$J2138^2)+INDIRECT("D$"&amp;5+MIN(2,ROUNDDOWN(I2138,0))*3)*$J2138^3</f>
      </c>
      <c r="M2138" s="7">
        <f>SQRT(K2138^2+L2138^2)</f>
      </c>
      <c r="N2138" s="7">
        <f>(K2139-K2137)</f>
      </c>
      <c r="O2138" s="7">
        <f>+(L2139-L2137)</f>
      </c>
      <c r="P2138" s="7">
        <f>SQRT(O2138^2+N2138^2)</f>
      </c>
      <c r="Q2138" s="7">
        <f>N2138/$P2138</f>
      </c>
      <c r="R2138" s="7">
        <f>O2138/$P2138</f>
      </c>
      <c r="S2138" s="8">
        <f>Q2138^2+R2138^2</f>
      </c>
      <c r="T2138" s="7">
        <f>-R2138</f>
      </c>
      <c r="U2138" s="7">
        <f>Q2138</f>
      </c>
      <c r="V2138" s="7">
        <f>($C$14+($C$15-$C$14)/($D$15-$D$14)*(I2138-$D$14))/2</f>
      </c>
      <c r="W2138" s="7">
        <f>($B$22*I2138^4+$C$22*I2138^3+$D$22*I2138^2+$E$22*I2138+$F$22)/2</f>
      </c>
      <c r="X2138" s="7">
        <f>($W2138)*(T2138)</f>
      </c>
      <c r="Y2138" s="7">
        <f>($W2138)*(U2138)</f>
      </c>
      <c r="Z2138" s="7">
        <f>SQRT(X2138^2+Y2138^2)</f>
      </c>
      <c r="AA2138" s="7">
        <f>$K2138+$X2138</f>
      </c>
      <c r="AB2138" s="7">
        <f>$L2138+$Y2138</f>
      </c>
      <c r="AC2138" s="7">
        <f>$K2138-$X2138</f>
      </c>
      <c r="AD2138" s="7">
        <f>$L2138-$Y2138</f>
      </c>
      <c r="AE2138" s="7">
        <f>AA2138/39.3701</f>
      </c>
      <c r="AF2138" s="7">
        <f>AB2138/39.3701</f>
      </c>
      <c r="AG2138" s="7">
        <f>AC2138/39.3701</f>
      </c>
      <c r="AH2138" s="7">
        <f>AD2138/39.3701</f>
      </c>
      <c r="AI2138" s="1"/>
      <c r="AJ2138" s="1"/>
      <c r="AK2138" s="1"/>
      <c r="AL2138" s="1"/>
      <c r="AM2138" s="2"/>
      <c r="AN2138" s="1"/>
      <c r="AO2138" s="1"/>
      <c r="AP2138" s="1"/>
      <c r="AQ2138" s="1"/>
      <c r="AR2138" s="1"/>
      <c r="AS2138" s="1"/>
      <c r="AT2138" s="1"/>
      <c r="AU2138" s="1"/>
      <c r="AV2138" s="1"/>
      <c r="AW2138" s="1"/>
      <c r="AX2138" s="1"/>
      <c r="AY2138" s="1"/>
      <c r="AZ2138" s="1"/>
      <c r="BA2138" s="1"/>
      <c r="BB2138" s="1"/>
      <c r="BC2138" s="1"/>
      <c r="BD2138" s="1"/>
      <c r="BE2138" s="1"/>
    </row>
    <row x14ac:dyDescent="0.25" r="2139" customHeight="1" ht="18.75">
      <c r="A2139" s="1"/>
      <c r="B2139" s="2"/>
      <c r="C2139" s="2"/>
      <c r="D2139" s="2"/>
      <c r="E2139" s="2"/>
      <c r="F2139" s="2"/>
      <c r="G2139" s="1"/>
      <c r="H2139" s="1"/>
      <c r="I2139" s="7">
        <v>2.136</v>
      </c>
      <c r="J2139" s="7">
        <f>IF((I2139-ROUNDDOWN(I2139,0))=0, 0, (I2139-ROUNDDOWN(I2139,0)))</f>
      </c>
      <c r="K2139" s="7">
        <f>INDIRECT("C$"&amp;2+MIN(2,ROUNDDOWN(I2139,0))*3)*(-$J2139^3+3*$J2139^2-3*$J2139+1)+INDIRECT("C$"&amp;3+MIN(2,ROUNDDOWN(I2139,0))*3)*(3*$J2139^3-6*$J2139^2+3*$J2139)+INDIRECT("C$"&amp;4+MIN(2,ROUNDDOWN(I2139,0))*3)*(-3*$J2139^3+3*$J2139^2)+INDIRECT("C$"&amp;5+MIN(2,ROUNDDOWN(I2139,0))*3)*$J2139^3</f>
      </c>
      <c r="L2139" s="7">
        <f>INDIRECT("D$"&amp;2+MIN(2,ROUNDDOWN(I2139,0))*3)*(-$J2139^3+3*$J2139^2-3*$J2139+1)+INDIRECT("D$"&amp;3+MIN(2,ROUNDDOWN(I2139,0))*3)*(3*$J2139^3-6*$J2139^2+3*$J2139)+INDIRECT("D$"&amp;4+MIN(2,ROUNDDOWN(I2139,0))*3)*(-3*$J2139^3+3*$J2139^2)+INDIRECT("D$"&amp;5+MIN(2,ROUNDDOWN(I2139,0))*3)*$J2139^3</f>
      </c>
      <c r="M2139" s="7">
        <f>SQRT(K2139^2+L2139^2)</f>
      </c>
      <c r="N2139" s="7">
        <f>(K2140-K2138)</f>
      </c>
      <c r="O2139" s="7">
        <f>+(L2140-L2138)</f>
      </c>
      <c r="P2139" s="7">
        <f>SQRT(O2139^2+N2139^2)</f>
      </c>
      <c r="Q2139" s="7">
        <f>N2139/$P2139</f>
      </c>
      <c r="R2139" s="7">
        <f>O2139/$P2139</f>
      </c>
      <c r="S2139" s="7">
        <f>Q2139^2+R2139^2</f>
      </c>
      <c r="T2139" s="7">
        <f>-R2139</f>
      </c>
      <c r="U2139" s="7">
        <f>Q2139</f>
      </c>
      <c r="V2139" s="7">
        <f>($C$14+($C$15-$C$14)/($D$15-$D$14)*(I2139-$D$14))/2</f>
      </c>
      <c r="W2139" s="7">
        <f>($B$22*I2139^4+$C$22*I2139^3+$D$22*I2139^2+$E$22*I2139+$F$22)/2</f>
      </c>
      <c r="X2139" s="7">
        <f>($W2139)*(T2139)</f>
      </c>
      <c r="Y2139" s="7">
        <f>($W2139)*(U2139)</f>
      </c>
      <c r="Z2139" s="7">
        <f>SQRT(X2139^2+Y2139^2)</f>
      </c>
      <c r="AA2139" s="7">
        <f>$K2139+$X2139</f>
      </c>
      <c r="AB2139" s="7">
        <f>$L2139+$Y2139</f>
      </c>
      <c r="AC2139" s="7">
        <f>$K2139-$X2139</f>
      </c>
      <c r="AD2139" s="7">
        <f>$L2139-$Y2139</f>
      </c>
      <c r="AE2139" s="7">
        <f>AA2139/39.3701</f>
      </c>
      <c r="AF2139" s="7">
        <f>AB2139/39.3701</f>
      </c>
      <c r="AG2139" s="7">
        <f>AC2139/39.3701</f>
      </c>
      <c r="AH2139" s="7">
        <f>AD2139/39.3701</f>
      </c>
      <c r="AI2139" s="1"/>
      <c r="AJ2139" s="1"/>
      <c r="AK2139" s="1"/>
      <c r="AL2139" s="1"/>
      <c r="AM2139" s="2"/>
      <c r="AN2139" s="1"/>
      <c r="AO2139" s="1"/>
      <c r="AP2139" s="1"/>
      <c r="AQ2139" s="1"/>
      <c r="AR2139" s="1"/>
      <c r="AS2139" s="1"/>
      <c r="AT2139" s="1"/>
      <c r="AU2139" s="1"/>
      <c r="AV2139" s="1"/>
      <c r="AW2139" s="1"/>
      <c r="AX2139" s="1"/>
      <c r="AY2139" s="1"/>
      <c r="AZ2139" s="1"/>
      <c r="BA2139" s="1"/>
      <c r="BB2139" s="1"/>
      <c r="BC2139" s="1"/>
      <c r="BD2139" s="1"/>
      <c r="BE2139" s="1"/>
    </row>
    <row x14ac:dyDescent="0.25" r="2140" customHeight="1" ht="18.75">
      <c r="A2140" s="1"/>
      <c r="B2140" s="2"/>
      <c r="C2140" s="2"/>
      <c r="D2140" s="2"/>
      <c r="E2140" s="2"/>
      <c r="F2140" s="2"/>
      <c r="G2140" s="1"/>
      <c r="H2140" s="1"/>
      <c r="I2140" s="7">
        <v>2.137</v>
      </c>
      <c r="J2140" s="7">
        <f>IF((I2140-ROUNDDOWN(I2140,0))=0, 0, (I2140-ROUNDDOWN(I2140,0)))</f>
      </c>
      <c r="K2140" s="7">
        <f>INDIRECT("C$"&amp;2+MIN(2,ROUNDDOWN(I2140,0))*3)*(-$J2140^3+3*$J2140^2-3*$J2140+1)+INDIRECT("C$"&amp;3+MIN(2,ROUNDDOWN(I2140,0))*3)*(3*$J2140^3-6*$J2140^2+3*$J2140)+INDIRECT("C$"&amp;4+MIN(2,ROUNDDOWN(I2140,0))*3)*(-3*$J2140^3+3*$J2140^2)+INDIRECT("C$"&amp;5+MIN(2,ROUNDDOWN(I2140,0))*3)*$J2140^3</f>
      </c>
      <c r="L2140" s="7">
        <f>INDIRECT("D$"&amp;2+MIN(2,ROUNDDOWN(I2140,0))*3)*(-$J2140^3+3*$J2140^2-3*$J2140+1)+INDIRECT("D$"&amp;3+MIN(2,ROUNDDOWN(I2140,0))*3)*(3*$J2140^3-6*$J2140^2+3*$J2140)+INDIRECT("D$"&amp;4+MIN(2,ROUNDDOWN(I2140,0))*3)*(-3*$J2140^3+3*$J2140^2)+INDIRECT("D$"&amp;5+MIN(2,ROUNDDOWN(I2140,0))*3)*$J2140^3</f>
      </c>
      <c r="M2140" s="7">
        <f>SQRT(K2140^2+L2140^2)</f>
      </c>
      <c r="N2140" s="7">
        <f>(K2141-K2139)</f>
      </c>
      <c r="O2140" s="7">
        <f>+(L2141-L2139)</f>
      </c>
      <c r="P2140" s="7">
        <f>SQRT(O2140^2+N2140^2)</f>
      </c>
      <c r="Q2140" s="7">
        <f>N2140/$P2140</f>
      </c>
      <c r="R2140" s="7">
        <f>O2140/$P2140</f>
      </c>
      <c r="S2140" s="7">
        <f>Q2140^2+R2140^2</f>
      </c>
      <c r="T2140" s="7">
        <f>-R2140</f>
      </c>
      <c r="U2140" s="7">
        <f>Q2140</f>
      </c>
      <c r="V2140" s="7">
        <f>($C$14+($C$15-$C$14)/($D$15-$D$14)*(I2140-$D$14))/2</f>
      </c>
      <c r="W2140" s="7">
        <f>($B$22*I2140^4+$C$22*I2140^3+$D$22*I2140^2+$E$22*I2140+$F$22)/2</f>
      </c>
      <c r="X2140" s="7">
        <f>($W2140)*(T2140)</f>
      </c>
      <c r="Y2140" s="7">
        <f>($W2140)*(U2140)</f>
      </c>
      <c r="Z2140" s="7">
        <f>SQRT(X2140^2+Y2140^2)</f>
      </c>
      <c r="AA2140" s="7">
        <f>$K2140+$X2140</f>
      </c>
      <c r="AB2140" s="7">
        <f>$L2140+$Y2140</f>
      </c>
      <c r="AC2140" s="7">
        <f>$K2140-$X2140</f>
      </c>
      <c r="AD2140" s="7">
        <f>$L2140-$Y2140</f>
      </c>
      <c r="AE2140" s="7">
        <f>AA2140/39.3701</f>
      </c>
      <c r="AF2140" s="7">
        <f>AB2140/39.3701</f>
      </c>
      <c r="AG2140" s="7">
        <f>AC2140/39.3701</f>
      </c>
      <c r="AH2140" s="7">
        <f>AD2140/39.3701</f>
      </c>
      <c r="AI2140" s="1"/>
      <c r="AJ2140" s="1"/>
      <c r="AK2140" s="1"/>
      <c r="AL2140" s="1"/>
      <c r="AM2140" s="2"/>
      <c r="AN2140" s="1"/>
      <c r="AO2140" s="1"/>
      <c r="AP2140" s="1"/>
      <c r="AQ2140" s="1"/>
      <c r="AR2140" s="1"/>
      <c r="AS2140" s="1"/>
      <c r="AT2140" s="1"/>
      <c r="AU2140" s="1"/>
      <c r="AV2140" s="1"/>
      <c r="AW2140" s="1"/>
      <c r="AX2140" s="1"/>
      <c r="AY2140" s="1"/>
      <c r="AZ2140" s="1"/>
      <c r="BA2140" s="1"/>
      <c r="BB2140" s="1"/>
      <c r="BC2140" s="1"/>
      <c r="BD2140" s="1"/>
      <c r="BE2140" s="1"/>
    </row>
    <row x14ac:dyDescent="0.25" r="2141" customHeight="1" ht="18.75">
      <c r="A2141" s="1"/>
      <c r="B2141" s="2"/>
      <c r="C2141" s="2"/>
      <c r="D2141" s="2"/>
      <c r="E2141" s="2"/>
      <c r="F2141" s="2"/>
      <c r="G2141" s="1"/>
      <c r="H2141" s="1"/>
      <c r="I2141" s="7">
        <v>2.138</v>
      </c>
      <c r="J2141" s="7">
        <f>IF((I2141-ROUNDDOWN(I2141,0))=0, 0, (I2141-ROUNDDOWN(I2141,0)))</f>
      </c>
      <c r="K2141" s="7">
        <f>INDIRECT("C$"&amp;2+MIN(2,ROUNDDOWN(I2141,0))*3)*(-$J2141^3+3*$J2141^2-3*$J2141+1)+INDIRECT("C$"&amp;3+MIN(2,ROUNDDOWN(I2141,0))*3)*(3*$J2141^3-6*$J2141^2+3*$J2141)+INDIRECT("C$"&amp;4+MIN(2,ROUNDDOWN(I2141,0))*3)*(-3*$J2141^3+3*$J2141^2)+INDIRECT("C$"&amp;5+MIN(2,ROUNDDOWN(I2141,0))*3)*$J2141^3</f>
      </c>
      <c r="L2141" s="7">
        <f>INDIRECT("D$"&amp;2+MIN(2,ROUNDDOWN(I2141,0))*3)*(-$J2141^3+3*$J2141^2-3*$J2141+1)+INDIRECT("D$"&amp;3+MIN(2,ROUNDDOWN(I2141,0))*3)*(3*$J2141^3-6*$J2141^2+3*$J2141)+INDIRECT("D$"&amp;4+MIN(2,ROUNDDOWN(I2141,0))*3)*(-3*$J2141^3+3*$J2141^2)+INDIRECT("D$"&amp;5+MIN(2,ROUNDDOWN(I2141,0))*3)*$J2141^3</f>
      </c>
      <c r="M2141" s="7">
        <f>SQRT(K2141^2+L2141^2)</f>
      </c>
      <c r="N2141" s="7">
        <f>(K2142-K2140)</f>
      </c>
      <c r="O2141" s="7">
        <f>+(L2142-L2140)</f>
      </c>
      <c r="P2141" s="7">
        <f>SQRT(O2141^2+N2141^2)</f>
      </c>
      <c r="Q2141" s="7">
        <f>N2141/$P2141</f>
      </c>
      <c r="R2141" s="7">
        <f>O2141/$P2141</f>
      </c>
      <c r="S2141" s="8">
        <f>Q2141^2+R2141^2</f>
      </c>
      <c r="T2141" s="7">
        <f>-R2141</f>
      </c>
      <c r="U2141" s="7">
        <f>Q2141</f>
      </c>
      <c r="V2141" s="7">
        <f>($C$14+($C$15-$C$14)/($D$15-$D$14)*(I2141-$D$14))/2</f>
      </c>
      <c r="W2141" s="7">
        <f>($B$22*I2141^4+$C$22*I2141^3+$D$22*I2141^2+$E$22*I2141+$F$22)/2</f>
      </c>
      <c r="X2141" s="7">
        <f>($W2141)*(T2141)</f>
      </c>
      <c r="Y2141" s="7">
        <f>($W2141)*(U2141)</f>
      </c>
      <c r="Z2141" s="7">
        <f>SQRT(X2141^2+Y2141^2)</f>
      </c>
      <c r="AA2141" s="7">
        <f>$K2141+$X2141</f>
      </c>
      <c r="AB2141" s="7">
        <f>$L2141+$Y2141</f>
      </c>
      <c r="AC2141" s="7">
        <f>$K2141-$X2141</f>
      </c>
      <c r="AD2141" s="7">
        <f>$L2141-$Y2141</f>
      </c>
      <c r="AE2141" s="7">
        <f>AA2141/39.3701</f>
      </c>
      <c r="AF2141" s="7">
        <f>AB2141/39.3701</f>
      </c>
      <c r="AG2141" s="7">
        <f>AC2141/39.3701</f>
      </c>
      <c r="AH2141" s="7">
        <f>AD2141/39.3701</f>
      </c>
      <c r="AI2141" s="1"/>
      <c r="AJ2141" s="1"/>
      <c r="AK2141" s="1"/>
      <c r="AL2141" s="1"/>
      <c r="AM2141" s="2"/>
      <c r="AN2141" s="1"/>
      <c r="AO2141" s="1"/>
      <c r="AP2141" s="1"/>
      <c r="AQ2141" s="1"/>
      <c r="AR2141" s="1"/>
      <c r="AS2141" s="1"/>
      <c r="AT2141" s="1"/>
      <c r="AU2141" s="1"/>
      <c r="AV2141" s="1"/>
      <c r="AW2141" s="1"/>
      <c r="AX2141" s="1"/>
      <c r="AY2141" s="1"/>
      <c r="AZ2141" s="1"/>
      <c r="BA2141" s="1"/>
      <c r="BB2141" s="1"/>
      <c r="BC2141" s="1"/>
      <c r="BD2141" s="1"/>
      <c r="BE2141" s="1"/>
    </row>
    <row x14ac:dyDescent="0.25" r="2142" customHeight="1" ht="18.75">
      <c r="A2142" s="1"/>
      <c r="B2142" s="2"/>
      <c r="C2142" s="2"/>
      <c r="D2142" s="2"/>
      <c r="E2142" s="2"/>
      <c r="F2142" s="2"/>
      <c r="G2142" s="1"/>
      <c r="H2142" s="1"/>
      <c r="I2142" s="7">
        <v>2.139</v>
      </c>
      <c r="J2142" s="7">
        <f>IF((I2142-ROUNDDOWN(I2142,0))=0, 0, (I2142-ROUNDDOWN(I2142,0)))</f>
      </c>
      <c r="K2142" s="7">
        <f>INDIRECT("C$"&amp;2+MIN(2,ROUNDDOWN(I2142,0))*3)*(-$J2142^3+3*$J2142^2-3*$J2142+1)+INDIRECT("C$"&amp;3+MIN(2,ROUNDDOWN(I2142,0))*3)*(3*$J2142^3-6*$J2142^2+3*$J2142)+INDIRECT("C$"&amp;4+MIN(2,ROUNDDOWN(I2142,0))*3)*(-3*$J2142^3+3*$J2142^2)+INDIRECT("C$"&amp;5+MIN(2,ROUNDDOWN(I2142,0))*3)*$J2142^3</f>
      </c>
      <c r="L2142" s="7">
        <f>INDIRECT("D$"&amp;2+MIN(2,ROUNDDOWN(I2142,0))*3)*(-$J2142^3+3*$J2142^2-3*$J2142+1)+INDIRECT("D$"&amp;3+MIN(2,ROUNDDOWN(I2142,0))*3)*(3*$J2142^3-6*$J2142^2+3*$J2142)+INDIRECT("D$"&amp;4+MIN(2,ROUNDDOWN(I2142,0))*3)*(-3*$J2142^3+3*$J2142^2)+INDIRECT("D$"&amp;5+MIN(2,ROUNDDOWN(I2142,0))*3)*$J2142^3</f>
      </c>
      <c r="M2142" s="7">
        <f>SQRT(K2142^2+L2142^2)</f>
      </c>
      <c r="N2142" s="7">
        <f>(K2143-K2141)</f>
      </c>
      <c r="O2142" s="7">
        <f>+(L2143-L2141)</f>
      </c>
      <c r="P2142" s="7">
        <f>SQRT(O2142^2+N2142^2)</f>
      </c>
      <c r="Q2142" s="7">
        <f>N2142/$P2142</f>
      </c>
      <c r="R2142" s="7">
        <f>O2142/$P2142</f>
      </c>
      <c r="S2142" s="8">
        <f>Q2142^2+R2142^2</f>
      </c>
      <c r="T2142" s="7">
        <f>-R2142</f>
      </c>
      <c r="U2142" s="7">
        <f>Q2142</f>
      </c>
      <c r="V2142" s="7">
        <f>($C$14+($C$15-$C$14)/($D$15-$D$14)*(I2142-$D$14))/2</f>
      </c>
      <c r="W2142" s="7">
        <f>($B$22*I2142^4+$C$22*I2142^3+$D$22*I2142^2+$E$22*I2142+$F$22)/2</f>
      </c>
      <c r="X2142" s="7">
        <f>($W2142)*(T2142)</f>
      </c>
      <c r="Y2142" s="7">
        <f>($W2142)*(U2142)</f>
      </c>
      <c r="Z2142" s="7">
        <f>SQRT(X2142^2+Y2142^2)</f>
      </c>
      <c r="AA2142" s="7">
        <f>$K2142+$X2142</f>
      </c>
      <c r="AB2142" s="7">
        <f>$L2142+$Y2142</f>
      </c>
      <c r="AC2142" s="7">
        <f>$K2142-$X2142</f>
      </c>
      <c r="AD2142" s="7">
        <f>$L2142-$Y2142</f>
      </c>
      <c r="AE2142" s="7">
        <f>AA2142/39.3701</f>
      </c>
      <c r="AF2142" s="7">
        <f>AB2142/39.3701</f>
      </c>
      <c r="AG2142" s="7">
        <f>AC2142/39.3701</f>
      </c>
      <c r="AH2142" s="7">
        <f>AD2142/39.3701</f>
      </c>
      <c r="AI2142" s="1"/>
      <c r="AJ2142" s="1"/>
      <c r="AK2142" s="1"/>
      <c r="AL2142" s="1"/>
      <c r="AM2142" s="2"/>
      <c r="AN2142" s="1"/>
      <c r="AO2142" s="1"/>
      <c r="AP2142" s="1"/>
      <c r="AQ2142" s="1"/>
      <c r="AR2142" s="1"/>
      <c r="AS2142" s="1"/>
      <c r="AT2142" s="1"/>
      <c r="AU2142" s="1"/>
      <c r="AV2142" s="1"/>
      <c r="AW2142" s="1"/>
      <c r="AX2142" s="1"/>
      <c r="AY2142" s="1"/>
      <c r="AZ2142" s="1"/>
      <c r="BA2142" s="1"/>
      <c r="BB2142" s="1"/>
      <c r="BC2142" s="1"/>
      <c r="BD2142" s="1"/>
      <c r="BE2142" s="1"/>
    </row>
    <row x14ac:dyDescent="0.25" r="2143" customHeight="1" ht="18.75">
      <c r="A2143" s="1"/>
      <c r="B2143" s="2"/>
      <c r="C2143" s="2"/>
      <c r="D2143" s="2"/>
      <c r="E2143" s="2"/>
      <c r="F2143" s="2"/>
      <c r="G2143" s="1"/>
      <c r="H2143" s="1"/>
      <c r="I2143" s="7">
        <v>2.14</v>
      </c>
      <c r="J2143" s="7">
        <f>IF((I2143-ROUNDDOWN(I2143,0))=0, 0, (I2143-ROUNDDOWN(I2143,0)))</f>
      </c>
      <c r="K2143" s="7">
        <f>INDIRECT("C$"&amp;2+MIN(2,ROUNDDOWN(I2143,0))*3)*(-$J2143^3+3*$J2143^2-3*$J2143+1)+INDIRECT("C$"&amp;3+MIN(2,ROUNDDOWN(I2143,0))*3)*(3*$J2143^3-6*$J2143^2+3*$J2143)+INDIRECT("C$"&amp;4+MIN(2,ROUNDDOWN(I2143,0))*3)*(-3*$J2143^3+3*$J2143^2)+INDIRECT("C$"&amp;5+MIN(2,ROUNDDOWN(I2143,0))*3)*$J2143^3</f>
      </c>
      <c r="L2143" s="7">
        <f>INDIRECT("D$"&amp;2+MIN(2,ROUNDDOWN(I2143,0))*3)*(-$J2143^3+3*$J2143^2-3*$J2143+1)+INDIRECT("D$"&amp;3+MIN(2,ROUNDDOWN(I2143,0))*3)*(3*$J2143^3-6*$J2143^2+3*$J2143)+INDIRECT("D$"&amp;4+MIN(2,ROUNDDOWN(I2143,0))*3)*(-3*$J2143^3+3*$J2143^2)+INDIRECT("D$"&amp;5+MIN(2,ROUNDDOWN(I2143,0))*3)*$J2143^3</f>
      </c>
      <c r="M2143" s="7">
        <f>SQRT(K2143^2+L2143^2)</f>
      </c>
      <c r="N2143" s="7">
        <f>(K2144-K2142)</f>
      </c>
      <c r="O2143" s="7">
        <f>+(L2144-L2142)</f>
      </c>
      <c r="P2143" s="7">
        <f>SQRT(O2143^2+N2143^2)</f>
      </c>
      <c r="Q2143" s="7">
        <f>N2143/$P2143</f>
      </c>
      <c r="R2143" s="7">
        <f>O2143/$P2143</f>
      </c>
      <c r="S2143" s="7">
        <f>Q2143^2+R2143^2</f>
      </c>
      <c r="T2143" s="7">
        <f>-R2143</f>
      </c>
      <c r="U2143" s="7">
        <f>Q2143</f>
      </c>
      <c r="V2143" s="7">
        <f>($C$14+($C$15-$C$14)/($D$15-$D$14)*(I2143-$D$14))/2</f>
      </c>
      <c r="W2143" s="7">
        <f>($B$22*I2143^4+$C$22*I2143^3+$D$22*I2143^2+$E$22*I2143+$F$22)/2</f>
      </c>
      <c r="X2143" s="7">
        <f>($W2143)*(T2143)</f>
      </c>
      <c r="Y2143" s="7">
        <f>($W2143)*(U2143)</f>
      </c>
      <c r="Z2143" s="7">
        <f>SQRT(X2143^2+Y2143^2)</f>
      </c>
      <c r="AA2143" s="7">
        <f>$K2143+$X2143</f>
      </c>
      <c r="AB2143" s="7">
        <f>$L2143+$Y2143</f>
      </c>
      <c r="AC2143" s="7">
        <f>$K2143-$X2143</f>
      </c>
      <c r="AD2143" s="7">
        <f>$L2143-$Y2143</f>
      </c>
      <c r="AE2143" s="7">
        <f>AA2143/39.3701</f>
      </c>
      <c r="AF2143" s="7">
        <f>AB2143/39.3701</f>
      </c>
      <c r="AG2143" s="7">
        <f>AC2143/39.3701</f>
      </c>
      <c r="AH2143" s="7">
        <f>AD2143/39.3701</f>
      </c>
      <c r="AI2143" s="1"/>
      <c r="AJ2143" s="1"/>
      <c r="AK2143" s="1"/>
      <c r="AL2143" s="1"/>
      <c r="AM2143" s="2"/>
      <c r="AN2143" s="1"/>
      <c r="AO2143" s="1"/>
      <c r="AP2143" s="1"/>
      <c r="AQ2143" s="1"/>
      <c r="AR2143" s="1"/>
      <c r="AS2143" s="1"/>
      <c r="AT2143" s="1"/>
      <c r="AU2143" s="1"/>
      <c r="AV2143" s="1"/>
      <c r="AW2143" s="1"/>
      <c r="AX2143" s="1"/>
      <c r="AY2143" s="1"/>
      <c r="AZ2143" s="1"/>
      <c r="BA2143" s="1"/>
      <c r="BB2143" s="1"/>
      <c r="BC2143" s="1"/>
      <c r="BD2143" s="1"/>
      <c r="BE2143" s="1"/>
    </row>
    <row x14ac:dyDescent="0.25" r="2144" customHeight="1" ht="18.75">
      <c r="A2144" s="1"/>
      <c r="B2144" s="2"/>
      <c r="C2144" s="2"/>
      <c r="D2144" s="2"/>
      <c r="E2144" s="2"/>
      <c r="F2144" s="2"/>
      <c r="G2144" s="1"/>
      <c r="H2144" s="1"/>
      <c r="I2144" s="7">
        <v>2.141</v>
      </c>
      <c r="J2144" s="7">
        <f>IF((I2144-ROUNDDOWN(I2144,0))=0, 0, (I2144-ROUNDDOWN(I2144,0)))</f>
      </c>
      <c r="K2144" s="7">
        <f>INDIRECT("C$"&amp;2+MIN(2,ROUNDDOWN(I2144,0))*3)*(-$J2144^3+3*$J2144^2-3*$J2144+1)+INDIRECT("C$"&amp;3+MIN(2,ROUNDDOWN(I2144,0))*3)*(3*$J2144^3-6*$J2144^2+3*$J2144)+INDIRECT("C$"&amp;4+MIN(2,ROUNDDOWN(I2144,0))*3)*(-3*$J2144^3+3*$J2144^2)+INDIRECT("C$"&amp;5+MIN(2,ROUNDDOWN(I2144,0))*3)*$J2144^3</f>
      </c>
      <c r="L2144" s="7">
        <f>INDIRECT("D$"&amp;2+MIN(2,ROUNDDOWN(I2144,0))*3)*(-$J2144^3+3*$J2144^2-3*$J2144+1)+INDIRECT("D$"&amp;3+MIN(2,ROUNDDOWN(I2144,0))*3)*(3*$J2144^3-6*$J2144^2+3*$J2144)+INDIRECT("D$"&amp;4+MIN(2,ROUNDDOWN(I2144,0))*3)*(-3*$J2144^3+3*$J2144^2)+INDIRECT("D$"&amp;5+MIN(2,ROUNDDOWN(I2144,0))*3)*$J2144^3</f>
      </c>
      <c r="M2144" s="7">
        <f>SQRT(K2144^2+L2144^2)</f>
      </c>
      <c r="N2144" s="7">
        <f>(K2145-K2143)</f>
      </c>
      <c r="O2144" s="7">
        <f>+(L2145-L2143)</f>
      </c>
      <c r="P2144" s="7">
        <f>SQRT(O2144^2+N2144^2)</f>
      </c>
      <c r="Q2144" s="7">
        <f>N2144/$P2144</f>
      </c>
      <c r="R2144" s="7">
        <f>O2144/$P2144</f>
      </c>
      <c r="S2144" s="7">
        <f>Q2144^2+R2144^2</f>
      </c>
      <c r="T2144" s="7">
        <f>-R2144</f>
      </c>
      <c r="U2144" s="7">
        <f>Q2144</f>
      </c>
      <c r="V2144" s="7">
        <f>($C$14+($C$15-$C$14)/($D$15-$D$14)*(I2144-$D$14))/2</f>
      </c>
      <c r="W2144" s="7">
        <f>($B$22*I2144^4+$C$22*I2144^3+$D$22*I2144^2+$E$22*I2144+$F$22)/2</f>
      </c>
      <c r="X2144" s="7">
        <f>($W2144)*(T2144)</f>
      </c>
      <c r="Y2144" s="7">
        <f>($W2144)*(U2144)</f>
      </c>
      <c r="Z2144" s="7">
        <f>SQRT(X2144^2+Y2144^2)</f>
      </c>
      <c r="AA2144" s="7">
        <f>$K2144+$X2144</f>
      </c>
      <c r="AB2144" s="7">
        <f>$L2144+$Y2144</f>
      </c>
      <c r="AC2144" s="7">
        <f>$K2144-$X2144</f>
      </c>
      <c r="AD2144" s="7">
        <f>$L2144-$Y2144</f>
      </c>
      <c r="AE2144" s="7">
        <f>AA2144/39.3701</f>
      </c>
      <c r="AF2144" s="7">
        <f>AB2144/39.3701</f>
      </c>
      <c r="AG2144" s="7">
        <f>AC2144/39.3701</f>
      </c>
      <c r="AH2144" s="7">
        <f>AD2144/39.3701</f>
      </c>
      <c r="AI2144" s="1"/>
      <c r="AJ2144" s="1"/>
      <c r="AK2144" s="1"/>
      <c r="AL2144" s="1"/>
      <c r="AM2144" s="2"/>
      <c r="AN2144" s="1"/>
      <c r="AO2144" s="1"/>
      <c r="AP2144" s="1"/>
      <c r="AQ2144" s="1"/>
      <c r="AR2144" s="1"/>
      <c r="AS2144" s="1"/>
      <c r="AT2144" s="1"/>
      <c r="AU2144" s="1"/>
      <c r="AV2144" s="1"/>
      <c r="AW2144" s="1"/>
      <c r="AX2144" s="1"/>
      <c r="AY2144" s="1"/>
      <c r="AZ2144" s="1"/>
      <c r="BA2144" s="1"/>
      <c r="BB2144" s="1"/>
      <c r="BC2144" s="1"/>
      <c r="BD2144" s="1"/>
      <c r="BE2144" s="1"/>
    </row>
    <row x14ac:dyDescent="0.25" r="2145" customHeight="1" ht="18.75">
      <c r="A2145" s="1"/>
      <c r="B2145" s="2"/>
      <c r="C2145" s="2"/>
      <c r="D2145" s="2"/>
      <c r="E2145" s="2"/>
      <c r="F2145" s="2"/>
      <c r="G2145" s="1"/>
      <c r="H2145" s="1"/>
      <c r="I2145" s="7">
        <v>2.142</v>
      </c>
      <c r="J2145" s="7">
        <f>IF((I2145-ROUNDDOWN(I2145,0))=0, 0, (I2145-ROUNDDOWN(I2145,0)))</f>
      </c>
      <c r="K2145" s="7">
        <f>INDIRECT("C$"&amp;2+MIN(2,ROUNDDOWN(I2145,0))*3)*(-$J2145^3+3*$J2145^2-3*$J2145+1)+INDIRECT("C$"&amp;3+MIN(2,ROUNDDOWN(I2145,0))*3)*(3*$J2145^3-6*$J2145^2+3*$J2145)+INDIRECT("C$"&amp;4+MIN(2,ROUNDDOWN(I2145,0))*3)*(-3*$J2145^3+3*$J2145^2)+INDIRECT("C$"&amp;5+MIN(2,ROUNDDOWN(I2145,0))*3)*$J2145^3</f>
      </c>
      <c r="L2145" s="7">
        <f>INDIRECT("D$"&amp;2+MIN(2,ROUNDDOWN(I2145,0))*3)*(-$J2145^3+3*$J2145^2-3*$J2145+1)+INDIRECT("D$"&amp;3+MIN(2,ROUNDDOWN(I2145,0))*3)*(3*$J2145^3-6*$J2145^2+3*$J2145)+INDIRECT("D$"&amp;4+MIN(2,ROUNDDOWN(I2145,0))*3)*(-3*$J2145^3+3*$J2145^2)+INDIRECT("D$"&amp;5+MIN(2,ROUNDDOWN(I2145,0))*3)*$J2145^3</f>
      </c>
      <c r="M2145" s="7">
        <f>SQRT(K2145^2+L2145^2)</f>
      </c>
      <c r="N2145" s="7">
        <f>(K2146-K2144)</f>
      </c>
      <c r="O2145" s="7">
        <f>+(L2146-L2144)</f>
      </c>
      <c r="P2145" s="7">
        <f>SQRT(O2145^2+N2145^2)</f>
      </c>
      <c r="Q2145" s="7">
        <f>N2145/$P2145</f>
      </c>
      <c r="R2145" s="7">
        <f>O2145/$P2145</f>
      </c>
      <c r="S2145" s="7">
        <f>Q2145^2+R2145^2</f>
      </c>
      <c r="T2145" s="7">
        <f>-R2145</f>
      </c>
      <c r="U2145" s="7">
        <f>Q2145</f>
      </c>
      <c r="V2145" s="7">
        <f>($C$14+($C$15-$C$14)/($D$15-$D$14)*(I2145-$D$14))/2</f>
      </c>
      <c r="W2145" s="7">
        <f>($B$22*I2145^4+$C$22*I2145^3+$D$22*I2145^2+$E$22*I2145+$F$22)/2</f>
      </c>
      <c r="X2145" s="7">
        <f>($W2145)*(T2145)</f>
      </c>
      <c r="Y2145" s="7">
        <f>($W2145)*(U2145)</f>
      </c>
      <c r="Z2145" s="7">
        <f>SQRT(X2145^2+Y2145^2)</f>
      </c>
      <c r="AA2145" s="7">
        <f>$K2145+$X2145</f>
      </c>
      <c r="AB2145" s="7">
        <f>$L2145+$Y2145</f>
      </c>
      <c r="AC2145" s="7">
        <f>$K2145-$X2145</f>
      </c>
      <c r="AD2145" s="7">
        <f>$L2145-$Y2145</f>
      </c>
      <c r="AE2145" s="7">
        <f>AA2145/39.3701</f>
      </c>
      <c r="AF2145" s="7">
        <f>AB2145/39.3701</f>
      </c>
      <c r="AG2145" s="7">
        <f>AC2145/39.3701</f>
      </c>
      <c r="AH2145" s="7">
        <f>AD2145/39.3701</f>
      </c>
      <c r="AI2145" s="1"/>
      <c r="AJ2145" s="1"/>
      <c r="AK2145" s="1"/>
      <c r="AL2145" s="1"/>
      <c r="AM2145" s="2"/>
      <c r="AN2145" s="1"/>
      <c r="AO2145" s="1"/>
      <c r="AP2145" s="1"/>
      <c r="AQ2145" s="1"/>
      <c r="AR2145" s="1"/>
      <c r="AS2145" s="1"/>
      <c r="AT2145" s="1"/>
      <c r="AU2145" s="1"/>
      <c r="AV2145" s="1"/>
      <c r="AW2145" s="1"/>
      <c r="AX2145" s="1"/>
      <c r="AY2145" s="1"/>
      <c r="AZ2145" s="1"/>
      <c r="BA2145" s="1"/>
      <c r="BB2145" s="1"/>
      <c r="BC2145" s="1"/>
      <c r="BD2145" s="1"/>
      <c r="BE2145" s="1"/>
    </row>
    <row x14ac:dyDescent="0.25" r="2146" customHeight="1" ht="18.75">
      <c r="A2146" s="1"/>
      <c r="B2146" s="2"/>
      <c r="C2146" s="2"/>
      <c r="D2146" s="2"/>
      <c r="E2146" s="2"/>
      <c r="F2146" s="2"/>
      <c r="G2146" s="1"/>
      <c r="H2146" s="1"/>
      <c r="I2146" s="7">
        <v>2.143</v>
      </c>
      <c r="J2146" s="7">
        <f>IF((I2146-ROUNDDOWN(I2146,0))=0, 0, (I2146-ROUNDDOWN(I2146,0)))</f>
      </c>
      <c r="K2146" s="7">
        <f>INDIRECT("C$"&amp;2+MIN(2,ROUNDDOWN(I2146,0))*3)*(-$J2146^3+3*$J2146^2-3*$J2146+1)+INDIRECT("C$"&amp;3+MIN(2,ROUNDDOWN(I2146,0))*3)*(3*$J2146^3-6*$J2146^2+3*$J2146)+INDIRECT("C$"&amp;4+MIN(2,ROUNDDOWN(I2146,0))*3)*(-3*$J2146^3+3*$J2146^2)+INDIRECT("C$"&amp;5+MIN(2,ROUNDDOWN(I2146,0))*3)*$J2146^3</f>
      </c>
      <c r="L2146" s="7">
        <f>INDIRECT("D$"&amp;2+MIN(2,ROUNDDOWN(I2146,0))*3)*(-$J2146^3+3*$J2146^2-3*$J2146+1)+INDIRECT("D$"&amp;3+MIN(2,ROUNDDOWN(I2146,0))*3)*(3*$J2146^3-6*$J2146^2+3*$J2146)+INDIRECT("D$"&amp;4+MIN(2,ROUNDDOWN(I2146,0))*3)*(-3*$J2146^3+3*$J2146^2)+INDIRECT("D$"&amp;5+MIN(2,ROUNDDOWN(I2146,0))*3)*$J2146^3</f>
      </c>
      <c r="M2146" s="7">
        <f>SQRT(K2146^2+L2146^2)</f>
      </c>
      <c r="N2146" s="7">
        <f>(K2147-K2145)</f>
      </c>
      <c r="O2146" s="7">
        <f>+(L2147-L2145)</f>
      </c>
      <c r="P2146" s="7">
        <f>SQRT(O2146^2+N2146^2)</f>
      </c>
      <c r="Q2146" s="7">
        <f>N2146/$P2146</f>
      </c>
      <c r="R2146" s="7">
        <f>O2146/$P2146</f>
      </c>
      <c r="S2146" s="7">
        <f>Q2146^2+R2146^2</f>
      </c>
      <c r="T2146" s="7">
        <f>-R2146</f>
      </c>
      <c r="U2146" s="7">
        <f>Q2146</f>
      </c>
      <c r="V2146" s="7">
        <f>($C$14+($C$15-$C$14)/($D$15-$D$14)*(I2146-$D$14))/2</f>
      </c>
      <c r="W2146" s="7">
        <f>($B$22*I2146^4+$C$22*I2146^3+$D$22*I2146^2+$E$22*I2146+$F$22)/2</f>
      </c>
      <c r="X2146" s="7">
        <f>($W2146)*(T2146)</f>
      </c>
      <c r="Y2146" s="7">
        <f>($W2146)*(U2146)</f>
      </c>
      <c r="Z2146" s="7">
        <f>SQRT(X2146^2+Y2146^2)</f>
      </c>
      <c r="AA2146" s="7">
        <f>$K2146+$X2146</f>
      </c>
      <c r="AB2146" s="7">
        <f>$L2146+$Y2146</f>
      </c>
      <c r="AC2146" s="7">
        <f>$K2146-$X2146</f>
      </c>
      <c r="AD2146" s="7">
        <f>$L2146-$Y2146</f>
      </c>
      <c r="AE2146" s="7">
        <f>AA2146/39.3701</f>
      </c>
      <c r="AF2146" s="7">
        <f>AB2146/39.3701</f>
      </c>
      <c r="AG2146" s="7">
        <f>AC2146/39.3701</f>
      </c>
      <c r="AH2146" s="7">
        <f>AD2146/39.3701</f>
      </c>
      <c r="AI2146" s="1"/>
      <c r="AJ2146" s="1"/>
      <c r="AK2146" s="1"/>
      <c r="AL2146" s="1"/>
      <c r="AM2146" s="2"/>
      <c r="AN2146" s="1"/>
      <c r="AO2146" s="1"/>
      <c r="AP2146" s="1"/>
      <c r="AQ2146" s="1"/>
      <c r="AR2146" s="1"/>
      <c r="AS2146" s="1"/>
      <c r="AT2146" s="1"/>
      <c r="AU2146" s="1"/>
      <c r="AV2146" s="1"/>
      <c r="AW2146" s="1"/>
      <c r="AX2146" s="1"/>
      <c r="AY2146" s="1"/>
      <c r="AZ2146" s="1"/>
      <c r="BA2146" s="1"/>
      <c r="BB2146" s="1"/>
      <c r="BC2146" s="1"/>
      <c r="BD2146" s="1"/>
      <c r="BE2146" s="1"/>
    </row>
    <row x14ac:dyDescent="0.25" r="2147" customHeight="1" ht="18.75">
      <c r="A2147" s="1"/>
      <c r="B2147" s="2"/>
      <c r="C2147" s="2"/>
      <c r="D2147" s="2"/>
      <c r="E2147" s="2"/>
      <c r="F2147" s="2"/>
      <c r="G2147" s="1"/>
      <c r="H2147" s="1"/>
      <c r="I2147" s="7">
        <v>2.144</v>
      </c>
      <c r="J2147" s="7">
        <f>IF((I2147-ROUNDDOWN(I2147,0))=0, 0, (I2147-ROUNDDOWN(I2147,0)))</f>
      </c>
      <c r="K2147" s="7">
        <f>INDIRECT("C$"&amp;2+MIN(2,ROUNDDOWN(I2147,0))*3)*(-$J2147^3+3*$J2147^2-3*$J2147+1)+INDIRECT("C$"&amp;3+MIN(2,ROUNDDOWN(I2147,0))*3)*(3*$J2147^3-6*$J2147^2+3*$J2147)+INDIRECT("C$"&amp;4+MIN(2,ROUNDDOWN(I2147,0))*3)*(-3*$J2147^3+3*$J2147^2)+INDIRECT("C$"&amp;5+MIN(2,ROUNDDOWN(I2147,0))*3)*$J2147^3</f>
      </c>
      <c r="L2147" s="7">
        <f>INDIRECT("D$"&amp;2+MIN(2,ROUNDDOWN(I2147,0))*3)*(-$J2147^3+3*$J2147^2-3*$J2147+1)+INDIRECT("D$"&amp;3+MIN(2,ROUNDDOWN(I2147,0))*3)*(3*$J2147^3-6*$J2147^2+3*$J2147)+INDIRECT("D$"&amp;4+MIN(2,ROUNDDOWN(I2147,0))*3)*(-3*$J2147^3+3*$J2147^2)+INDIRECT("D$"&amp;5+MIN(2,ROUNDDOWN(I2147,0))*3)*$J2147^3</f>
      </c>
      <c r="M2147" s="7">
        <f>SQRT(K2147^2+L2147^2)</f>
      </c>
      <c r="N2147" s="7">
        <f>(K2148-K2146)</f>
      </c>
      <c r="O2147" s="7">
        <f>+(L2148-L2146)</f>
      </c>
      <c r="P2147" s="7">
        <f>SQRT(O2147^2+N2147^2)</f>
      </c>
      <c r="Q2147" s="7">
        <f>N2147/$P2147</f>
      </c>
      <c r="R2147" s="7">
        <f>O2147/$P2147</f>
      </c>
      <c r="S2147" s="7">
        <f>Q2147^2+R2147^2</f>
      </c>
      <c r="T2147" s="7">
        <f>-R2147</f>
      </c>
      <c r="U2147" s="7">
        <f>Q2147</f>
      </c>
      <c r="V2147" s="7">
        <f>($C$14+($C$15-$C$14)/($D$15-$D$14)*(I2147-$D$14))/2</f>
      </c>
      <c r="W2147" s="7">
        <f>($B$22*I2147^4+$C$22*I2147^3+$D$22*I2147^2+$E$22*I2147+$F$22)/2</f>
      </c>
      <c r="X2147" s="7">
        <f>($W2147)*(T2147)</f>
      </c>
      <c r="Y2147" s="7">
        <f>($W2147)*(U2147)</f>
      </c>
      <c r="Z2147" s="7">
        <f>SQRT(X2147^2+Y2147^2)</f>
      </c>
      <c r="AA2147" s="7">
        <f>$K2147+$X2147</f>
      </c>
      <c r="AB2147" s="7">
        <f>$L2147+$Y2147</f>
      </c>
      <c r="AC2147" s="7">
        <f>$K2147-$X2147</f>
      </c>
      <c r="AD2147" s="7">
        <f>$L2147-$Y2147</f>
      </c>
      <c r="AE2147" s="7">
        <f>AA2147/39.3701</f>
      </c>
      <c r="AF2147" s="7">
        <f>AB2147/39.3701</f>
      </c>
      <c r="AG2147" s="7">
        <f>AC2147/39.3701</f>
      </c>
      <c r="AH2147" s="7">
        <f>AD2147/39.3701</f>
      </c>
      <c r="AI2147" s="1"/>
      <c r="AJ2147" s="1"/>
      <c r="AK2147" s="1"/>
      <c r="AL2147" s="1"/>
      <c r="AM2147" s="2"/>
      <c r="AN2147" s="1"/>
      <c r="AO2147" s="1"/>
      <c r="AP2147" s="1"/>
      <c r="AQ2147" s="1"/>
      <c r="AR2147" s="1"/>
      <c r="AS2147" s="1"/>
      <c r="AT2147" s="1"/>
      <c r="AU2147" s="1"/>
      <c r="AV2147" s="1"/>
      <c r="AW2147" s="1"/>
      <c r="AX2147" s="1"/>
      <c r="AY2147" s="1"/>
      <c r="AZ2147" s="1"/>
      <c r="BA2147" s="1"/>
      <c r="BB2147" s="1"/>
      <c r="BC2147" s="1"/>
      <c r="BD2147" s="1"/>
      <c r="BE2147" s="1"/>
    </row>
    <row x14ac:dyDescent="0.25" r="2148" customHeight="1" ht="18.75">
      <c r="A2148" s="1"/>
      <c r="B2148" s="2"/>
      <c r="C2148" s="2"/>
      <c r="D2148" s="2"/>
      <c r="E2148" s="2"/>
      <c r="F2148" s="2"/>
      <c r="G2148" s="1"/>
      <c r="H2148" s="1"/>
      <c r="I2148" s="7">
        <v>2.145</v>
      </c>
      <c r="J2148" s="7">
        <f>IF((I2148-ROUNDDOWN(I2148,0))=0, 0, (I2148-ROUNDDOWN(I2148,0)))</f>
      </c>
      <c r="K2148" s="7">
        <f>INDIRECT("C$"&amp;2+MIN(2,ROUNDDOWN(I2148,0))*3)*(-$J2148^3+3*$J2148^2-3*$J2148+1)+INDIRECT("C$"&amp;3+MIN(2,ROUNDDOWN(I2148,0))*3)*(3*$J2148^3-6*$J2148^2+3*$J2148)+INDIRECT("C$"&amp;4+MIN(2,ROUNDDOWN(I2148,0))*3)*(-3*$J2148^3+3*$J2148^2)+INDIRECT("C$"&amp;5+MIN(2,ROUNDDOWN(I2148,0))*3)*$J2148^3</f>
      </c>
      <c r="L2148" s="7">
        <f>INDIRECT("D$"&amp;2+MIN(2,ROUNDDOWN(I2148,0))*3)*(-$J2148^3+3*$J2148^2-3*$J2148+1)+INDIRECT("D$"&amp;3+MIN(2,ROUNDDOWN(I2148,0))*3)*(3*$J2148^3-6*$J2148^2+3*$J2148)+INDIRECT("D$"&amp;4+MIN(2,ROUNDDOWN(I2148,0))*3)*(-3*$J2148^3+3*$J2148^2)+INDIRECT("D$"&amp;5+MIN(2,ROUNDDOWN(I2148,0))*3)*$J2148^3</f>
      </c>
      <c r="M2148" s="7">
        <f>SQRT(K2148^2+L2148^2)</f>
      </c>
      <c r="N2148" s="7">
        <f>(K2149-K2147)</f>
      </c>
      <c r="O2148" s="7">
        <f>+(L2149-L2147)</f>
      </c>
      <c r="P2148" s="7">
        <f>SQRT(O2148^2+N2148^2)</f>
      </c>
      <c r="Q2148" s="7">
        <f>N2148/$P2148</f>
      </c>
      <c r="R2148" s="7">
        <f>O2148/$P2148</f>
      </c>
      <c r="S2148" s="8">
        <f>Q2148^2+R2148^2</f>
      </c>
      <c r="T2148" s="7">
        <f>-R2148</f>
      </c>
      <c r="U2148" s="7">
        <f>Q2148</f>
      </c>
      <c r="V2148" s="7">
        <f>($C$14+($C$15-$C$14)/($D$15-$D$14)*(I2148-$D$14))/2</f>
      </c>
      <c r="W2148" s="7">
        <f>($B$22*I2148^4+$C$22*I2148^3+$D$22*I2148^2+$E$22*I2148+$F$22)/2</f>
      </c>
      <c r="X2148" s="7">
        <f>($W2148)*(T2148)</f>
      </c>
      <c r="Y2148" s="7">
        <f>($W2148)*(U2148)</f>
      </c>
      <c r="Z2148" s="7">
        <f>SQRT(X2148^2+Y2148^2)</f>
      </c>
      <c r="AA2148" s="7">
        <f>$K2148+$X2148</f>
      </c>
      <c r="AB2148" s="7">
        <f>$L2148+$Y2148</f>
      </c>
      <c r="AC2148" s="7">
        <f>$K2148-$X2148</f>
      </c>
      <c r="AD2148" s="7">
        <f>$L2148-$Y2148</f>
      </c>
      <c r="AE2148" s="7">
        <f>AA2148/39.3701</f>
      </c>
      <c r="AF2148" s="7">
        <f>AB2148/39.3701</f>
      </c>
      <c r="AG2148" s="7">
        <f>AC2148/39.3701</f>
      </c>
      <c r="AH2148" s="7">
        <f>AD2148/39.3701</f>
      </c>
      <c r="AI2148" s="1"/>
      <c r="AJ2148" s="1"/>
      <c r="AK2148" s="1"/>
      <c r="AL2148" s="1"/>
      <c r="AM2148" s="2"/>
      <c r="AN2148" s="1"/>
      <c r="AO2148" s="1"/>
      <c r="AP2148" s="1"/>
      <c r="AQ2148" s="1"/>
      <c r="AR2148" s="1"/>
      <c r="AS2148" s="1"/>
      <c r="AT2148" s="1"/>
      <c r="AU2148" s="1"/>
      <c r="AV2148" s="1"/>
      <c r="AW2148" s="1"/>
      <c r="AX2148" s="1"/>
      <c r="AY2148" s="1"/>
      <c r="AZ2148" s="1"/>
      <c r="BA2148" s="1"/>
      <c r="BB2148" s="1"/>
      <c r="BC2148" s="1"/>
      <c r="BD2148" s="1"/>
      <c r="BE2148" s="1"/>
    </row>
    <row x14ac:dyDescent="0.25" r="2149" customHeight="1" ht="18.75">
      <c r="A2149" s="1"/>
      <c r="B2149" s="2"/>
      <c r="C2149" s="2"/>
      <c r="D2149" s="2"/>
      <c r="E2149" s="2"/>
      <c r="F2149" s="2"/>
      <c r="G2149" s="1"/>
      <c r="H2149" s="1"/>
      <c r="I2149" s="7">
        <v>2.146</v>
      </c>
      <c r="J2149" s="7">
        <f>IF((I2149-ROUNDDOWN(I2149,0))=0, 0, (I2149-ROUNDDOWN(I2149,0)))</f>
      </c>
      <c r="K2149" s="7">
        <f>INDIRECT("C$"&amp;2+MIN(2,ROUNDDOWN(I2149,0))*3)*(-$J2149^3+3*$J2149^2-3*$J2149+1)+INDIRECT("C$"&amp;3+MIN(2,ROUNDDOWN(I2149,0))*3)*(3*$J2149^3-6*$J2149^2+3*$J2149)+INDIRECT("C$"&amp;4+MIN(2,ROUNDDOWN(I2149,0))*3)*(-3*$J2149^3+3*$J2149^2)+INDIRECT("C$"&amp;5+MIN(2,ROUNDDOWN(I2149,0))*3)*$J2149^3</f>
      </c>
      <c r="L2149" s="7">
        <f>INDIRECT("D$"&amp;2+MIN(2,ROUNDDOWN(I2149,0))*3)*(-$J2149^3+3*$J2149^2-3*$J2149+1)+INDIRECT("D$"&amp;3+MIN(2,ROUNDDOWN(I2149,0))*3)*(3*$J2149^3-6*$J2149^2+3*$J2149)+INDIRECT("D$"&amp;4+MIN(2,ROUNDDOWN(I2149,0))*3)*(-3*$J2149^3+3*$J2149^2)+INDIRECT("D$"&amp;5+MIN(2,ROUNDDOWN(I2149,0))*3)*$J2149^3</f>
      </c>
      <c r="M2149" s="7">
        <f>SQRT(K2149^2+L2149^2)</f>
      </c>
      <c r="N2149" s="7">
        <f>(K2150-K2148)</f>
      </c>
      <c r="O2149" s="7">
        <f>+(L2150-L2148)</f>
      </c>
      <c r="P2149" s="7">
        <f>SQRT(O2149^2+N2149^2)</f>
      </c>
      <c r="Q2149" s="7">
        <f>N2149/$P2149</f>
      </c>
      <c r="R2149" s="7">
        <f>O2149/$P2149</f>
      </c>
      <c r="S2149" s="8">
        <f>Q2149^2+R2149^2</f>
      </c>
      <c r="T2149" s="7">
        <f>-R2149</f>
      </c>
      <c r="U2149" s="7">
        <f>Q2149</f>
      </c>
      <c r="V2149" s="7">
        <f>($C$14+($C$15-$C$14)/($D$15-$D$14)*(I2149-$D$14))/2</f>
      </c>
      <c r="W2149" s="7">
        <f>($B$22*I2149^4+$C$22*I2149^3+$D$22*I2149^2+$E$22*I2149+$F$22)/2</f>
      </c>
      <c r="X2149" s="7">
        <f>($W2149)*(T2149)</f>
      </c>
      <c r="Y2149" s="7">
        <f>($W2149)*(U2149)</f>
      </c>
      <c r="Z2149" s="7">
        <f>SQRT(X2149^2+Y2149^2)</f>
      </c>
      <c r="AA2149" s="7">
        <f>$K2149+$X2149</f>
      </c>
      <c r="AB2149" s="7">
        <f>$L2149+$Y2149</f>
      </c>
      <c r="AC2149" s="7">
        <f>$K2149-$X2149</f>
      </c>
      <c r="AD2149" s="7">
        <f>$L2149-$Y2149</f>
      </c>
      <c r="AE2149" s="7">
        <f>AA2149/39.3701</f>
      </c>
      <c r="AF2149" s="7">
        <f>AB2149/39.3701</f>
      </c>
      <c r="AG2149" s="7">
        <f>AC2149/39.3701</f>
      </c>
      <c r="AH2149" s="7">
        <f>AD2149/39.3701</f>
      </c>
      <c r="AI2149" s="1"/>
      <c r="AJ2149" s="1"/>
      <c r="AK2149" s="1"/>
      <c r="AL2149" s="1"/>
      <c r="AM2149" s="2"/>
      <c r="AN2149" s="1"/>
      <c r="AO2149" s="1"/>
      <c r="AP2149" s="1"/>
      <c r="AQ2149" s="1"/>
      <c r="AR2149" s="1"/>
      <c r="AS2149" s="1"/>
      <c r="AT2149" s="1"/>
      <c r="AU2149" s="1"/>
      <c r="AV2149" s="1"/>
      <c r="AW2149" s="1"/>
      <c r="AX2149" s="1"/>
      <c r="AY2149" s="1"/>
      <c r="AZ2149" s="1"/>
      <c r="BA2149" s="1"/>
      <c r="BB2149" s="1"/>
      <c r="BC2149" s="1"/>
      <c r="BD2149" s="1"/>
      <c r="BE2149" s="1"/>
    </row>
    <row x14ac:dyDescent="0.25" r="2150" customHeight="1" ht="18.75">
      <c r="A2150" s="1"/>
      <c r="B2150" s="2"/>
      <c r="C2150" s="2"/>
      <c r="D2150" s="2"/>
      <c r="E2150" s="2"/>
      <c r="F2150" s="2"/>
      <c r="G2150" s="1"/>
      <c r="H2150" s="1"/>
      <c r="I2150" s="7">
        <v>2.147</v>
      </c>
      <c r="J2150" s="7">
        <f>IF((I2150-ROUNDDOWN(I2150,0))=0, 0, (I2150-ROUNDDOWN(I2150,0)))</f>
      </c>
      <c r="K2150" s="7">
        <f>INDIRECT("C$"&amp;2+MIN(2,ROUNDDOWN(I2150,0))*3)*(-$J2150^3+3*$J2150^2-3*$J2150+1)+INDIRECT("C$"&amp;3+MIN(2,ROUNDDOWN(I2150,0))*3)*(3*$J2150^3-6*$J2150^2+3*$J2150)+INDIRECT("C$"&amp;4+MIN(2,ROUNDDOWN(I2150,0))*3)*(-3*$J2150^3+3*$J2150^2)+INDIRECT("C$"&amp;5+MIN(2,ROUNDDOWN(I2150,0))*3)*$J2150^3</f>
      </c>
      <c r="L2150" s="7">
        <f>INDIRECT("D$"&amp;2+MIN(2,ROUNDDOWN(I2150,0))*3)*(-$J2150^3+3*$J2150^2-3*$J2150+1)+INDIRECT("D$"&amp;3+MIN(2,ROUNDDOWN(I2150,0))*3)*(3*$J2150^3-6*$J2150^2+3*$J2150)+INDIRECT("D$"&amp;4+MIN(2,ROUNDDOWN(I2150,0))*3)*(-3*$J2150^3+3*$J2150^2)+INDIRECT("D$"&amp;5+MIN(2,ROUNDDOWN(I2150,0))*3)*$J2150^3</f>
      </c>
      <c r="M2150" s="7">
        <f>SQRT(K2150^2+L2150^2)</f>
      </c>
      <c r="N2150" s="7">
        <f>(K2151-K2149)</f>
      </c>
      <c r="O2150" s="7">
        <f>+(L2151-L2149)</f>
      </c>
      <c r="P2150" s="7">
        <f>SQRT(O2150^2+N2150^2)</f>
      </c>
      <c r="Q2150" s="7">
        <f>N2150/$P2150</f>
      </c>
      <c r="R2150" s="7">
        <f>O2150/$P2150</f>
      </c>
      <c r="S2150" s="8">
        <f>Q2150^2+R2150^2</f>
      </c>
      <c r="T2150" s="7">
        <f>-R2150</f>
      </c>
      <c r="U2150" s="7">
        <f>Q2150</f>
      </c>
      <c r="V2150" s="7">
        <f>($C$14+($C$15-$C$14)/($D$15-$D$14)*(I2150-$D$14))/2</f>
      </c>
      <c r="W2150" s="7">
        <f>($B$22*I2150^4+$C$22*I2150^3+$D$22*I2150^2+$E$22*I2150+$F$22)/2</f>
      </c>
      <c r="X2150" s="7">
        <f>($W2150)*(T2150)</f>
      </c>
      <c r="Y2150" s="7">
        <f>($W2150)*(U2150)</f>
      </c>
      <c r="Z2150" s="7">
        <f>SQRT(X2150^2+Y2150^2)</f>
      </c>
      <c r="AA2150" s="7">
        <f>$K2150+$X2150</f>
      </c>
      <c r="AB2150" s="7">
        <f>$L2150+$Y2150</f>
      </c>
      <c r="AC2150" s="7">
        <f>$K2150-$X2150</f>
      </c>
      <c r="AD2150" s="7">
        <f>$L2150-$Y2150</f>
      </c>
      <c r="AE2150" s="7">
        <f>AA2150/39.3701</f>
      </c>
      <c r="AF2150" s="7">
        <f>AB2150/39.3701</f>
      </c>
      <c r="AG2150" s="7">
        <f>AC2150/39.3701</f>
      </c>
      <c r="AH2150" s="7">
        <f>AD2150/39.3701</f>
      </c>
      <c r="AI2150" s="1"/>
      <c r="AJ2150" s="1"/>
      <c r="AK2150" s="1"/>
      <c r="AL2150" s="1"/>
      <c r="AM2150" s="2"/>
      <c r="AN2150" s="1"/>
      <c r="AO2150" s="1"/>
      <c r="AP2150" s="1"/>
      <c r="AQ2150" s="1"/>
      <c r="AR2150" s="1"/>
      <c r="AS2150" s="1"/>
      <c r="AT2150" s="1"/>
      <c r="AU2150" s="1"/>
      <c r="AV2150" s="1"/>
      <c r="AW2150" s="1"/>
      <c r="AX2150" s="1"/>
      <c r="AY2150" s="1"/>
      <c r="AZ2150" s="1"/>
      <c r="BA2150" s="1"/>
      <c r="BB2150" s="1"/>
      <c r="BC2150" s="1"/>
      <c r="BD2150" s="1"/>
      <c r="BE2150" s="1"/>
    </row>
    <row x14ac:dyDescent="0.25" r="2151" customHeight="1" ht="18.75">
      <c r="A2151" s="1"/>
      <c r="B2151" s="2"/>
      <c r="C2151" s="2"/>
      <c r="D2151" s="2"/>
      <c r="E2151" s="2"/>
      <c r="F2151" s="2"/>
      <c r="G2151" s="1"/>
      <c r="H2151" s="1"/>
      <c r="I2151" s="7">
        <v>2.148</v>
      </c>
      <c r="J2151" s="7">
        <f>IF((I2151-ROUNDDOWN(I2151,0))=0, 0, (I2151-ROUNDDOWN(I2151,0)))</f>
      </c>
      <c r="K2151" s="7">
        <f>INDIRECT("C$"&amp;2+MIN(2,ROUNDDOWN(I2151,0))*3)*(-$J2151^3+3*$J2151^2-3*$J2151+1)+INDIRECT("C$"&amp;3+MIN(2,ROUNDDOWN(I2151,0))*3)*(3*$J2151^3-6*$J2151^2+3*$J2151)+INDIRECT("C$"&amp;4+MIN(2,ROUNDDOWN(I2151,0))*3)*(-3*$J2151^3+3*$J2151^2)+INDIRECT("C$"&amp;5+MIN(2,ROUNDDOWN(I2151,0))*3)*$J2151^3</f>
      </c>
      <c r="L2151" s="7">
        <f>INDIRECT("D$"&amp;2+MIN(2,ROUNDDOWN(I2151,0))*3)*(-$J2151^3+3*$J2151^2-3*$J2151+1)+INDIRECT("D$"&amp;3+MIN(2,ROUNDDOWN(I2151,0))*3)*(3*$J2151^3-6*$J2151^2+3*$J2151)+INDIRECT("D$"&amp;4+MIN(2,ROUNDDOWN(I2151,0))*3)*(-3*$J2151^3+3*$J2151^2)+INDIRECT("D$"&amp;5+MIN(2,ROUNDDOWN(I2151,0))*3)*$J2151^3</f>
      </c>
      <c r="M2151" s="7">
        <f>SQRT(K2151^2+L2151^2)</f>
      </c>
      <c r="N2151" s="7">
        <f>(K2152-K2150)</f>
      </c>
      <c r="O2151" s="7">
        <f>+(L2152-L2150)</f>
      </c>
      <c r="P2151" s="7">
        <f>SQRT(O2151^2+N2151^2)</f>
      </c>
      <c r="Q2151" s="7">
        <f>N2151/$P2151</f>
      </c>
      <c r="R2151" s="7">
        <f>O2151/$P2151</f>
      </c>
      <c r="S2151" s="7">
        <f>Q2151^2+R2151^2</f>
      </c>
      <c r="T2151" s="7">
        <f>-R2151</f>
      </c>
      <c r="U2151" s="7">
        <f>Q2151</f>
      </c>
      <c r="V2151" s="7">
        <f>($C$14+($C$15-$C$14)/($D$15-$D$14)*(I2151-$D$14))/2</f>
      </c>
      <c r="W2151" s="7">
        <f>($B$22*I2151^4+$C$22*I2151^3+$D$22*I2151^2+$E$22*I2151+$F$22)/2</f>
      </c>
      <c r="X2151" s="7">
        <f>($W2151)*(T2151)</f>
      </c>
      <c r="Y2151" s="7">
        <f>($W2151)*(U2151)</f>
      </c>
      <c r="Z2151" s="7">
        <f>SQRT(X2151^2+Y2151^2)</f>
      </c>
      <c r="AA2151" s="7">
        <f>$K2151+$X2151</f>
      </c>
      <c r="AB2151" s="7">
        <f>$L2151+$Y2151</f>
      </c>
      <c r="AC2151" s="7">
        <f>$K2151-$X2151</f>
      </c>
      <c r="AD2151" s="7">
        <f>$L2151-$Y2151</f>
      </c>
      <c r="AE2151" s="7">
        <f>AA2151/39.3701</f>
      </c>
      <c r="AF2151" s="7">
        <f>AB2151/39.3701</f>
      </c>
      <c r="AG2151" s="7">
        <f>AC2151/39.3701</f>
      </c>
      <c r="AH2151" s="7">
        <f>AD2151/39.3701</f>
      </c>
      <c r="AI2151" s="1"/>
      <c r="AJ2151" s="1"/>
      <c r="AK2151" s="1"/>
      <c r="AL2151" s="1"/>
      <c r="AM2151" s="2"/>
      <c r="AN2151" s="1"/>
      <c r="AO2151" s="1"/>
      <c r="AP2151" s="1"/>
      <c r="AQ2151" s="1"/>
      <c r="AR2151" s="1"/>
      <c r="AS2151" s="1"/>
      <c r="AT2151" s="1"/>
      <c r="AU2151" s="1"/>
      <c r="AV2151" s="1"/>
      <c r="AW2151" s="1"/>
      <c r="AX2151" s="1"/>
      <c r="AY2151" s="1"/>
      <c r="AZ2151" s="1"/>
      <c r="BA2151" s="1"/>
      <c r="BB2151" s="1"/>
      <c r="BC2151" s="1"/>
      <c r="BD2151" s="1"/>
      <c r="BE2151" s="1"/>
    </row>
    <row x14ac:dyDescent="0.25" r="2152" customHeight="1" ht="18.75">
      <c r="A2152" s="1"/>
      <c r="B2152" s="2"/>
      <c r="C2152" s="2"/>
      <c r="D2152" s="2"/>
      <c r="E2152" s="2"/>
      <c r="F2152" s="2"/>
      <c r="G2152" s="1"/>
      <c r="H2152" s="1"/>
      <c r="I2152" s="7">
        <v>2.149</v>
      </c>
      <c r="J2152" s="7">
        <f>IF((I2152-ROUNDDOWN(I2152,0))=0, 0, (I2152-ROUNDDOWN(I2152,0)))</f>
      </c>
      <c r="K2152" s="7">
        <f>INDIRECT("C$"&amp;2+MIN(2,ROUNDDOWN(I2152,0))*3)*(-$J2152^3+3*$J2152^2-3*$J2152+1)+INDIRECT("C$"&amp;3+MIN(2,ROUNDDOWN(I2152,0))*3)*(3*$J2152^3-6*$J2152^2+3*$J2152)+INDIRECT("C$"&amp;4+MIN(2,ROUNDDOWN(I2152,0))*3)*(-3*$J2152^3+3*$J2152^2)+INDIRECT("C$"&amp;5+MIN(2,ROUNDDOWN(I2152,0))*3)*$J2152^3</f>
      </c>
      <c r="L2152" s="7">
        <f>INDIRECT("D$"&amp;2+MIN(2,ROUNDDOWN(I2152,0))*3)*(-$J2152^3+3*$J2152^2-3*$J2152+1)+INDIRECT("D$"&amp;3+MIN(2,ROUNDDOWN(I2152,0))*3)*(3*$J2152^3-6*$J2152^2+3*$J2152)+INDIRECT("D$"&amp;4+MIN(2,ROUNDDOWN(I2152,0))*3)*(-3*$J2152^3+3*$J2152^2)+INDIRECT("D$"&amp;5+MIN(2,ROUNDDOWN(I2152,0))*3)*$J2152^3</f>
      </c>
      <c r="M2152" s="7">
        <f>SQRT(K2152^2+L2152^2)</f>
      </c>
      <c r="N2152" s="7">
        <f>(K2153-K2151)</f>
      </c>
      <c r="O2152" s="7">
        <f>+(L2153-L2151)</f>
      </c>
      <c r="P2152" s="7">
        <f>SQRT(O2152^2+N2152^2)</f>
      </c>
      <c r="Q2152" s="7">
        <f>N2152/$P2152</f>
      </c>
      <c r="R2152" s="7">
        <f>O2152/$P2152</f>
      </c>
      <c r="S2152" s="7">
        <f>Q2152^2+R2152^2</f>
      </c>
      <c r="T2152" s="7">
        <f>-R2152</f>
      </c>
      <c r="U2152" s="7">
        <f>Q2152</f>
      </c>
      <c r="V2152" s="7">
        <f>($C$14+($C$15-$C$14)/($D$15-$D$14)*(I2152-$D$14))/2</f>
      </c>
      <c r="W2152" s="7">
        <f>($B$22*I2152^4+$C$22*I2152^3+$D$22*I2152^2+$E$22*I2152+$F$22)/2</f>
      </c>
      <c r="X2152" s="7">
        <f>($W2152)*(T2152)</f>
      </c>
      <c r="Y2152" s="7">
        <f>($W2152)*(U2152)</f>
      </c>
      <c r="Z2152" s="7">
        <f>SQRT(X2152^2+Y2152^2)</f>
      </c>
      <c r="AA2152" s="7">
        <f>$K2152+$X2152</f>
      </c>
      <c r="AB2152" s="7">
        <f>$L2152+$Y2152</f>
      </c>
      <c r="AC2152" s="7">
        <f>$K2152-$X2152</f>
      </c>
      <c r="AD2152" s="7">
        <f>$L2152-$Y2152</f>
      </c>
      <c r="AE2152" s="7">
        <f>AA2152/39.3701</f>
      </c>
      <c r="AF2152" s="7">
        <f>AB2152/39.3701</f>
      </c>
      <c r="AG2152" s="7">
        <f>AC2152/39.3701</f>
      </c>
      <c r="AH2152" s="7">
        <f>AD2152/39.3701</f>
      </c>
      <c r="AI2152" s="1"/>
      <c r="AJ2152" s="1"/>
      <c r="AK2152" s="1"/>
      <c r="AL2152" s="1"/>
      <c r="AM2152" s="2"/>
      <c r="AN2152" s="1"/>
      <c r="AO2152" s="1"/>
      <c r="AP2152" s="1"/>
      <c r="AQ2152" s="1"/>
      <c r="AR2152" s="1"/>
      <c r="AS2152" s="1"/>
      <c r="AT2152" s="1"/>
      <c r="AU2152" s="1"/>
      <c r="AV2152" s="1"/>
      <c r="AW2152" s="1"/>
      <c r="AX2152" s="1"/>
      <c r="AY2152" s="1"/>
      <c r="AZ2152" s="1"/>
      <c r="BA2152" s="1"/>
      <c r="BB2152" s="1"/>
      <c r="BC2152" s="1"/>
      <c r="BD2152" s="1"/>
      <c r="BE2152" s="1"/>
    </row>
    <row x14ac:dyDescent="0.25" r="2153" customHeight="1" ht="18.75">
      <c r="A2153" s="1"/>
      <c r="B2153" s="2"/>
      <c r="C2153" s="2"/>
      <c r="D2153" s="2"/>
      <c r="E2153" s="2"/>
      <c r="F2153" s="2"/>
      <c r="G2153" s="1"/>
      <c r="H2153" s="1"/>
      <c r="I2153" s="7">
        <v>2.15</v>
      </c>
      <c r="J2153" s="7">
        <f>IF((I2153-ROUNDDOWN(I2153,0))=0, 0, (I2153-ROUNDDOWN(I2153,0)))</f>
      </c>
      <c r="K2153" s="7">
        <f>INDIRECT("C$"&amp;2+MIN(2,ROUNDDOWN(I2153,0))*3)*(-$J2153^3+3*$J2153^2-3*$J2153+1)+INDIRECT("C$"&amp;3+MIN(2,ROUNDDOWN(I2153,0))*3)*(3*$J2153^3-6*$J2153^2+3*$J2153)+INDIRECT("C$"&amp;4+MIN(2,ROUNDDOWN(I2153,0))*3)*(-3*$J2153^3+3*$J2153^2)+INDIRECT("C$"&amp;5+MIN(2,ROUNDDOWN(I2153,0))*3)*$J2153^3</f>
      </c>
      <c r="L2153" s="7">
        <f>INDIRECT("D$"&amp;2+MIN(2,ROUNDDOWN(I2153,0))*3)*(-$J2153^3+3*$J2153^2-3*$J2153+1)+INDIRECT("D$"&amp;3+MIN(2,ROUNDDOWN(I2153,0))*3)*(3*$J2153^3-6*$J2153^2+3*$J2153)+INDIRECT("D$"&amp;4+MIN(2,ROUNDDOWN(I2153,0))*3)*(-3*$J2153^3+3*$J2153^2)+INDIRECT("D$"&amp;5+MIN(2,ROUNDDOWN(I2153,0))*3)*$J2153^3</f>
      </c>
      <c r="M2153" s="7">
        <f>SQRT(K2153^2+L2153^2)</f>
      </c>
      <c r="N2153" s="7">
        <f>(K2154-K2152)</f>
      </c>
      <c r="O2153" s="7">
        <f>+(L2154-L2152)</f>
      </c>
      <c r="P2153" s="7">
        <f>SQRT(O2153^2+N2153^2)</f>
      </c>
      <c r="Q2153" s="7">
        <f>N2153/$P2153</f>
      </c>
      <c r="R2153" s="7">
        <f>O2153/$P2153</f>
      </c>
      <c r="S2153" s="8">
        <f>Q2153^2+R2153^2</f>
      </c>
      <c r="T2153" s="7">
        <f>-R2153</f>
      </c>
      <c r="U2153" s="7">
        <f>Q2153</f>
      </c>
      <c r="V2153" s="7">
        <f>($C$14+($C$15-$C$14)/($D$15-$D$14)*(I2153-$D$14))/2</f>
      </c>
      <c r="W2153" s="7">
        <f>($B$22*I2153^4+$C$22*I2153^3+$D$22*I2153^2+$E$22*I2153+$F$22)/2</f>
      </c>
      <c r="X2153" s="7">
        <f>($W2153)*(T2153)</f>
      </c>
      <c r="Y2153" s="7">
        <f>($W2153)*(U2153)</f>
      </c>
      <c r="Z2153" s="7">
        <f>SQRT(X2153^2+Y2153^2)</f>
      </c>
      <c r="AA2153" s="7">
        <f>$K2153+$X2153</f>
      </c>
      <c r="AB2153" s="7">
        <f>$L2153+$Y2153</f>
      </c>
      <c r="AC2153" s="7">
        <f>$K2153-$X2153</f>
      </c>
      <c r="AD2153" s="7">
        <f>$L2153-$Y2153</f>
      </c>
      <c r="AE2153" s="7">
        <f>AA2153/39.3701</f>
      </c>
      <c r="AF2153" s="7">
        <f>AB2153/39.3701</f>
      </c>
      <c r="AG2153" s="7">
        <f>AC2153/39.3701</f>
      </c>
      <c r="AH2153" s="7">
        <f>AD2153/39.3701</f>
      </c>
      <c r="AI2153" s="1"/>
      <c r="AJ2153" s="1"/>
      <c r="AK2153" s="1"/>
      <c r="AL2153" s="1"/>
      <c r="AM2153" s="2"/>
      <c r="AN2153" s="1"/>
      <c r="AO2153" s="1"/>
      <c r="AP2153" s="1"/>
      <c r="AQ2153" s="1"/>
      <c r="AR2153" s="1"/>
      <c r="AS2153" s="1"/>
      <c r="AT2153" s="1"/>
      <c r="AU2153" s="1"/>
      <c r="AV2153" s="1"/>
      <c r="AW2153" s="1"/>
      <c r="AX2153" s="1"/>
      <c r="AY2153" s="1"/>
      <c r="AZ2153" s="1"/>
      <c r="BA2153" s="1"/>
      <c r="BB2153" s="1"/>
      <c r="BC2153" s="1"/>
      <c r="BD2153" s="1"/>
      <c r="BE2153" s="1"/>
    </row>
    <row x14ac:dyDescent="0.25" r="2154" customHeight="1" ht="18.75">
      <c r="A2154" s="1"/>
      <c r="B2154" s="2"/>
      <c r="C2154" s="2"/>
      <c r="D2154" s="2"/>
      <c r="E2154" s="2"/>
      <c r="F2154" s="2"/>
      <c r="G2154" s="1"/>
      <c r="H2154" s="1"/>
      <c r="I2154" s="7">
        <v>2.151</v>
      </c>
      <c r="J2154" s="7">
        <f>IF((I2154-ROUNDDOWN(I2154,0))=0, 0, (I2154-ROUNDDOWN(I2154,0)))</f>
      </c>
      <c r="K2154" s="7">
        <f>INDIRECT("C$"&amp;2+MIN(2,ROUNDDOWN(I2154,0))*3)*(-$J2154^3+3*$J2154^2-3*$J2154+1)+INDIRECT("C$"&amp;3+MIN(2,ROUNDDOWN(I2154,0))*3)*(3*$J2154^3-6*$J2154^2+3*$J2154)+INDIRECT("C$"&amp;4+MIN(2,ROUNDDOWN(I2154,0))*3)*(-3*$J2154^3+3*$J2154^2)+INDIRECT("C$"&amp;5+MIN(2,ROUNDDOWN(I2154,0))*3)*$J2154^3</f>
      </c>
      <c r="L2154" s="7">
        <f>INDIRECT("D$"&amp;2+MIN(2,ROUNDDOWN(I2154,0))*3)*(-$J2154^3+3*$J2154^2-3*$J2154+1)+INDIRECT("D$"&amp;3+MIN(2,ROUNDDOWN(I2154,0))*3)*(3*$J2154^3-6*$J2154^2+3*$J2154)+INDIRECT("D$"&amp;4+MIN(2,ROUNDDOWN(I2154,0))*3)*(-3*$J2154^3+3*$J2154^2)+INDIRECT("D$"&amp;5+MIN(2,ROUNDDOWN(I2154,0))*3)*$J2154^3</f>
      </c>
      <c r="M2154" s="7">
        <f>SQRT(K2154^2+L2154^2)</f>
      </c>
      <c r="N2154" s="7">
        <f>(K2155-K2153)</f>
      </c>
      <c r="O2154" s="7">
        <f>+(L2155-L2153)</f>
      </c>
      <c r="P2154" s="7">
        <f>SQRT(O2154^2+N2154^2)</f>
      </c>
      <c r="Q2154" s="7">
        <f>N2154/$P2154</f>
      </c>
      <c r="R2154" s="7">
        <f>O2154/$P2154</f>
      </c>
      <c r="S2154" s="8">
        <f>Q2154^2+R2154^2</f>
      </c>
      <c r="T2154" s="7">
        <f>-R2154</f>
      </c>
      <c r="U2154" s="7">
        <f>Q2154</f>
      </c>
      <c r="V2154" s="7">
        <f>($C$14+($C$15-$C$14)/($D$15-$D$14)*(I2154-$D$14))/2</f>
      </c>
      <c r="W2154" s="7">
        <f>($B$22*I2154^4+$C$22*I2154^3+$D$22*I2154^2+$E$22*I2154+$F$22)/2</f>
      </c>
      <c r="X2154" s="7">
        <f>($W2154)*(T2154)</f>
      </c>
      <c r="Y2154" s="7">
        <f>($W2154)*(U2154)</f>
      </c>
      <c r="Z2154" s="7">
        <f>SQRT(X2154^2+Y2154^2)</f>
      </c>
      <c r="AA2154" s="7">
        <f>$K2154+$X2154</f>
      </c>
      <c r="AB2154" s="7">
        <f>$L2154+$Y2154</f>
      </c>
      <c r="AC2154" s="7">
        <f>$K2154-$X2154</f>
      </c>
      <c r="AD2154" s="7">
        <f>$L2154-$Y2154</f>
      </c>
      <c r="AE2154" s="7">
        <f>AA2154/39.3701</f>
      </c>
      <c r="AF2154" s="7">
        <f>AB2154/39.3701</f>
      </c>
      <c r="AG2154" s="7">
        <f>AC2154/39.3701</f>
      </c>
      <c r="AH2154" s="7">
        <f>AD2154/39.3701</f>
      </c>
      <c r="AI2154" s="1"/>
      <c r="AJ2154" s="1"/>
      <c r="AK2154" s="1"/>
      <c r="AL2154" s="1"/>
      <c r="AM2154" s="2"/>
      <c r="AN2154" s="1"/>
      <c r="AO2154" s="1"/>
      <c r="AP2154" s="1"/>
      <c r="AQ2154" s="1"/>
      <c r="AR2154" s="1"/>
      <c r="AS2154" s="1"/>
      <c r="AT2154" s="1"/>
      <c r="AU2154" s="1"/>
      <c r="AV2154" s="1"/>
      <c r="AW2154" s="1"/>
      <c r="AX2154" s="1"/>
      <c r="AY2154" s="1"/>
      <c r="AZ2154" s="1"/>
      <c r="BA2154" s="1"/>
      <c r="BB2154" s="1"/>
      <c r="BC2154" s="1"/>
      <c r="BD2154" s="1"/>
      <c r="BE2154" s="1"/>
    </row>
    <row x14ac:dyDescent="0.25" r="2155" customHeight="1" ht="18.75">
      <c r="A2155" s="1"/>
      <c r="B2155" s="2"/>
      <c r="C2155" s="2"/>
      <c r="D2155" s="2"/>
      <c r="E2155" s="2"/>
      <c r="F2155" s="2"/>
      <c r="G2155" s="1"/>
      <c r="H2155" s="1"/>
      <c r="I2155" s="7">
        <v>2.152</v>
      </c>
      <c r="J2155" s="7">
        <f>IF((I2155-ROUNDDOWN(I2155,0))=0, 0, (I2155-ROUNDDOWN(I2155,0)))</f>
      </c>
      <c r="K2155" s="7">
        <f>INDIRECT("C$"&amp;2+MIN(2,ROUNDDOWN(I2155,0))*3)*(-$J2155^3+3*$J2155^2-3*$J2155+1)+INDIRECT("C$"&amp;3+MIN(2,ROUNDDOWN(I2155,0))*3)*(3*$J2155^3-6*$J2155^2+3*$J2155)+INDIRECT("C$"&amp;4+MIN(2,ROUNDDOWN(I2155,0))*3)*(-3*$J2155^3+3*$J2155^2)+INDIRECT("C$"&amp;5+MIN(2,ROUNDDOWN(I2155,0))*3)*$J2155^3</f>
      </c>
      <c r="L2155" s="7">
        <f>INDIRECT("D$"&amp;2+MIN(2,ROUNDDOWN(I2155,0))*3)*(-$J2155^3+3*$J2155^2-3*$J2155+1)+INDIRECT("D$"&amp;3+MIN(2,ROUNDDOWN(I2155,0))*3)*(3*$J2155^3-6*$J2155^2+3*$J2155)+INDIRECT("D$"&amp;4+MIN(2,ROUNDDOWN(I2155,0))*3)*(-3*$J2155^3+3*$J2155^2)+INDIRECT("D$"&amp;5+MIN(2,ROUNDDOWN(I2155,0))*3)*$J2155^3</f>
      </c>
      <c r="M2155" s="7">
        <f>SQRT(K2155^2+L2155^2)</f>
      </c>
      <c r="N2155" s="7">
        <f>(K2156-K2154)</f>
      </c>
      <c r="O2155" s="7">
        <f>+(L2156-L2154)</f>
      </c>
      <c r="P2155" s="7">
        <f>SQRT(O2155^2+N2155^2)</f>
      </c>
      <c r="Q2155" s="7">
        <f>N2155/$P2155</f>
      </c>
      <c r="R2155" s="7">
        <f>O2155/$P2155</f>
      </c>
      <c r="S2155" s="8">
        <f>Q2155^2+R2155^2</f>
      </c>
      <c r="T2155" s="7">
        <f>-R2155</f>
      </c>
      <c r="U2155" s="7">
        <f>Q2155</f>
      </c>
      <c r="V2155" s="7">
        <f>($C$14+($C$15-$C$14)/($D$15-$D$14)*(I2155-$D$14))/2</f>
      </c>
      <c r="W2155" s="7">
        <f>($B$22*I2155^4+$C$22*I2155^3+$D$22*I2155^2+$E$22*I2155+$F$22)/2</f>
      </c>
      <c r="X2155" s="7">
        <f>($W2155)*(T2155)</f>
      </c>
      <c r="Y2155" s="7">
        <f>($W2155)*(U2155)</f>
      </c>
      <c r="Z2155" s="7">
        <f>SQRT(X2155^2+Y2155^2)</f>
      </c>
      <c r="AA2155" s="7">
        <f>$K2155+$X2155</f>
      </c>
      <c r="AB2155" s="7">
        <f>$L2155+$Y2155</f>
      </c>
      <c r="AC2155" s="7">
        <f>$K2155-$X2155</f>
      </c>
      <c r="AD2155" s="7">
        <f>$L2155-$Y2155</f>
      </c>
      <c r="AE2155" s="7">
        <f>AA2155/39.3701</f>
      </c>
      <c r="AF2155" s="7">
        <f>AB2155/39.3701</f>
      </c>
      <c r="AG2155" s="7">
        <f>AC2155/39.3701</f>
      </c>
      <c r="AH2155" s="7">
        <f>AD2155/39.3701</f>
      </c>
      <c r="AI2155" s="1"/>
      <c r="AJ2155" s="1"/>
      <c r="AK2155" s="1"/>
      <c r="AL2155" s="1"/>
      <c r="AM2155" s="2"/>
      <c r="AN2155" s="1"/>
      <c r="AO2155" s="1"/>
      <c r="AP2155" s="1"/>
      <c r="AQ2155" s="1"/>
      <c r="AR2155" s="1"/>
      <c r="AS2155" s="1"/>
      <c r="AT2155" s="1"/>
      <c r="AU2155" s="1"/>
      <c r="AV2155" s="1"/>
      <c r="AW2155" s="1"/>
      <c r="AX2155" s="1"/>
      <c r="AY2155" s="1"/>
      <c r="AZ2155" s="1"/>
      <c r="BA2155" s="1"/>
      <c r="BB2155" s="1"/>
      <c r="BC2155" s="1"/>
      <c r="BD2155" s="1"/>
      <c r="BE2155" s="1"/>
    </row>
    <row x14ac:dyDescent="0.25" r="2156" customHeight="1" ht="18.75">
      <c r="A2156" s="1"/>
      <c r="B2156" s="2"/>
      <c r="C2156" s="2"/>
      <c r="D2156" s="2"/>
      <c r="E2156" s="2"/>
      <c r="F2156" s="2"/>
      <c r="G2156" s="1"/>
      <c r="H2156" s="1"/>
      <c r="I2156" s="7">
        <v>2.153</v>
      </c>
      <c r="J2156" s="7">
        <f>IF((I2156-ROUNDDOWN(I2156,0))=0, 0, (I2156-ROUNDDOWN(I2156,0)))</f>
      </c>
      <c r="K2156" s="7">
        <f>INDIRECT("C$"&amp;2+MIN(2,ROUNDDOWN(I2156,0))*3)*(-$J2156^3+3*$J2156^2-3*$J2156+1)+INDIRECT("C$"&amp;3+MIN(2,ROUNDDOWN(I2156,0))*3)*(3*$J2156^3-6*$J2156^2+3*$J2156)+INDIRECT("C$"&amp;4+MIN(2,ROUNDDOWN(I2156,0))*3)*(-3*$J2156^3+3*$J2156^2)+INDIRECT("C$"&amp;5+MIN(2,ROUNDDOWN(I2156,0))*3)*$J2156^3</f>
      </c>
      <c r="L2156" s="7">
        <f>INDIRECT("D$"&amp;2+MIN(2,ROUNDDOWN(I2156,0))*3)*(-$J2156^3+3*$J2156^2-3*$J2156+1)+INDIRECT("D$"&amp;3+MIN(2,ROUNDDOWN(I2156,0))*3)*(3*$J2156^3-6*$J2156^2+3*$J2156)+INDIRECT("D$"&amp;4+MIN(2,ROUNDDOWN(I2156,0))*3)*(-3*$J2156^3+3*$J2156^2)+INDIRECT("D$"&amp;5+MIN(2,ROUNDDOWN(I2156,0))*3)*$J2156^3</f>
      </c>
      <c r="M2156" s="7">
        <f>SQRT(K2156^2+L2156^2)</f>
      </c>
      <c r="N2156" s="7">
        <f>(K2157-K2155)</f>
      </c>
      <c r="O2156" s="7">
        <f>+(L2157-L2155)</f>
      </c>
      <c r="P2156" s="7">
        <f>SQRT(O2156^2+N2156^2)</f>
      </c>
      <c r="Q2156" s="7">
        <f>N2156/$P2156</f>
      </c>
      <c r="R2156" s="7">
        <f>O2156/$P2156</f>
      </c>
      <c r="S2156" s="7">
        <f>Q2156^2+R2156^2</f>
      </c>
      <c r="T2156" s="7">
        <f>-R2156</f>
      </c>
      <c r="U2156" s="7">
        <f>Q2156</f>
      </c>
      <c r="V2156" s="7">
        <f>($C$14+($C$15-$C$14)/($D$15-$D$14)*(I2156-$D$14))/2</f>
      </c>
      <c r="W2156" s="7">
        <f>($B$22*I2156^4+$C$22*I2156^3+$D$22*I2156^2+$E$22*I2156+$F$22)/2</f>
      </c>
      <c r="X2156" s="7">
        <f>($W2156)*(T2156)</f>
      </c>
      <c r="Y2156" s="7">
        <f>($W2156)*(U2156)</f>
      </c>
      <c r="Z2156" s="7">
        <f>SQRT(X2156^2+Y2156^2)</f>
      </c>
      <c r="AA2156" s="7">
        <f>$K2156+$X2156</f>
      </c>
      <c r="AB2156" s="7">
        <f>$L2156+$Y2156</f>
      </c>
      <c r="AC2156" s="7">
        <f>$K2156-$X2156</f>
      </c>
      <c r="AD2156" s="7">
        <f>$L2156-$Y2156</f>
      </c>
      <c r="AE2156" s="7">
        <f>AA2156/39.3701</f>
      </c>
      <c r="AF2156" s="7">
        <f>AB2156/39.3701</f>
      </c>
      <c r="AG2156" s="7">
        <f>AC2156/39.3701</f>
      </c>
      <c r="AH2156" s="7">
        <f>AD2156/39.3701</f>
      </c>
      <c r="AI2156" s="1"/>
      <c r="AJ2156" s="1"/>
      <c r="AK2156" s="1"/>
      <c r="AL2156" s="1"/>
      <c r="AM2156" s="2"/>
      <c r="AN2156" s="1"/>
      <c r="AO2156" s="1"/>
      <c r="AP2156" s="1"/>
      <c r="AQ2156" s="1"/>
      <c r="AR2156" s="1"/>
      <c r="AS2156" s="1"/>
      <c r="AT2156" s="1"/>
      <c r="AU2156" s="1"/>
      <c r="AV2156" s="1"/>
      <c r="AW2156" s="1"/>
      <c r="AX2156" s="1"/>
      <c r="AY2156" s="1"/>
      <c r="AZ2156" s="1"/>
      <c r="BA2156" s="1"/>
      <c r="BB2156" s="1"/>
      <c r="BC2156" s="1"/>
      <c r="BD2156" s="1"/>
      <c r="BE2156" s="1"/>
    </row>
    <row x14ac:dyDescent="0.25" r="2157" customHeight="1" ht="18.75">
      <c r="A2157" s="1"/>
      <c r="B2157" s="2"/>
      <c r="C2157" s="2"/>
      <c r="D2157" s="2"/>
      <c r="E2157" s="2"/>
      <c r="F2157" s="2"/>
      <c r="G2157" s="1"/>
      <c r="H2157" s="1"/>
      <c r="I2157" s="7">
        <v>2.154</v>
      </c>
      <c r="J2157" s="7">
        <f>IF((I2157-ROUNDDOWN(I2157,0))=0, 0, (I2157-ROUNDDOWN(I2157,0)))</f>
      </c>
      <c r="K2157" s="7">
        <f>INDIRECT("C$"&amp;2+MIN(2,ROUNDDOWN(I2157,0))*3)*(-$J2157^3+3*$J2157^2-3*$J2157+1)+INDIRECT("C$"&amp;3+MIN(2,ROUNDDOWN(I2157,0))*3)*(3*$J2157^3-6*$J2157^2+3*$J2157)+INDIRECT("C$"&amp;4+MIN(2,ROUNDDOWN(I2157,0))*3)*(-3*$J2157^3+3*$J2157^2)+INDIRECT("C$"&amp;5+MIN(2,ROUNDDOWN(I2157,0))*3)*$J2157^3</f>
      </c>
      <c r="L2157" s="7">
        <f>INDIRECT("D$"&amp;2+MIN(2,ROUNDDOWN(I2157,0))*3)*(-$J2157^3+3*$J2157^2-3*$J2157+1)+INDIRECT("D$"&amp;3+MIN(2,ROUNDDOWN(I2157,0))*3)*(3*$J2157^3-6*$J2157^2+3*$J2157)+INDIRECT("D$"&amp;4+MIN(2,ROUNDDOWN(I2157,0))*3)*(-3*$J2157^3+3*$J2157^2)+INDIRECT("D$"&amp;5+MIN(2,ROUNDDOWN(I2157,0))*3)*$J2157^3</f>
      </c>
      <c r="M2157" s="7">
        <f>SQRT(K2157^2+L2157^2)</f>
      </c>
      <c r="N2157" s="7">
        <f>(K2158-K2156)</f>
      </c>
      <c r="O2157" s="7">
        <f>+(L2158-L2156)</f>
      </c>
      <c r="P2157" s="7">
        <f>SQRT(O2157^2+N2157^2)</f>
      </c>
      <c r="Q2157" s="7">
        <f>N2157/$P2157</f>
      </c>
      <c r="R2157" s="7">
        <f>O2157/$P2157</f>
      </c>
      <c r="S2157" s="7">
        <f>Q2157^2+R2157^2</f>
      </c>
      <c r="T2157" s="7">
        <f>-R2157</f>
      </c>
      <c r="U2157" s="7">
        <f>Q2157</f>
      </c>
      <c r="V2157" s="7">
        <f>($C$14+($C$15-$C$14)/($D$15-$D$14)*(I2157-$D$14))/2</f>
      </c>
      <c r="W2157" s="7">
        <f>($B$22*I2157^4+$C$22*I2157^3+$D$22*I2157^2+$E$22*I2157+$F$22)/2</f>
      </c>
      <c r="X2157" s="7">
        <f>($W2157)*(T2157)</f>
      </c>
      <c r="Y2157" s="7">
        <f>($W2157)*(U2157)</f>
      </c>
      <c r="Z2157" s="7">
        <f>SQRT(X2157^2+Y2157^2)</f>
      </c>
      <c r="AA2157" s="7">
        <f>$K2157+$X2157</f>
      </c>
      <c r="AB2157" s="7">
        <f>$L2157+$Y2157</f>
      </c>
      <c r="AC2157" s="7">
        <f>$K2157-$X2157</f>
      </c>
      <c r="AD2157" s="7">
        <f>$L2157-$Y2157</f>
      </c>
      <c r="AE2157" s="7">
        <f>AA2157/39.3701</f>
      </c>
      <c r="AF2157" s="7">
        <f>AB2157/39.3701</f>
      </c>
      <c r="AG2157" s="7">
        <f>AC2157/39.3701</f>
      </c>
      <c r="AH2157" s="7">
        <f>AD2157/39.3701</f>
      </c>
      <c r="AI2157" s="1"/>
      <c r="AJ2157" s="1"/>
      <c r="AK2157" s="1"/>
      <c r="AL2157" s="1"/>
      <c r="AM2157" s="2"/>
      <c r="AN2157" s="1"/>
      <c r="AO2157" s="1"/>
      <c r="AP2157" s="1"/>
      <c r="AQ2157" s="1"/>
      <c r="AR2157" s="1"/>
      <c r="AS2157" s="1"/>
      <c r="AT2157" s="1"/>
      <c r="AU2157" s="1"/>
      <c r="AV2157" s="1"/>
      <c r="AW2157" s="1"/>
      <c r="AX2157" s="1"/>
      <c r="AY2157" s="1"/>
      <c r="AZ2157" s="1"/>
      <c r="BA2157" s="1"/>
      <c r="BB2157" s="1"/>
      <c r="BC2157" s="1"/>
      <c r="BD2157" s="1"/>
      <c r="BE2157" s="1"/>
    </row>
    <row x14ac:dyDescent="0.25" r="2158" customHeight="1" ht="18.75">
      <c r="A2158" s="1"/>
      <c r="B2158" s="2"/>
      <c r="C2158" s="2"/>
      <c r="D2158" s="2"/>
      <c r="E2158" s="2"/>
      <c r="F2158" s="2"/>
      <c r="G2158" s="1"/>
      <c r="H2158" s="1"/>
      <c r="I2158" s="7">
        <v>2.155</v>
      </c>
      <c r="J2158" s="7">
        <f>IF((I2158-ROUNDDOWN(I2158,0))=0, 0, (I2158-ROUNDDOWN(I2158,0)))</f>
      </c>
      <c r="K2158" s="7">
        <f>INDIRECT("C$"&amp;2+MIN(2,ROUNDDOWN(I2158,0))*3)*(-$J2158^3+3*$J2158^2-3*$J2158+1)+INDIRECT("C$"&amp;3+MIN(2,ROUNDDOWN(I2158,0))*3)*(3*$J2158^3-6*$J2158^2+3*$J2158)+INDIRECT("C$"&amp;4+MIN(2,ROUNDDOWN(I2158,0))*3)*(-3*$J2158^3+3*$J2158^2)+INDIRECT("C$"&amp;5+MIN(2,ROUNDDOWN(I2158,0))*3)*$J2158^3</f>
      </c>
      <c r="L2158" s="7">
        <f>INDIRECT("D$"&amp;2+MIN(2,ROUNDDOWN(I2158,0))*3)*(-$J2158^3+3*$J2158^2-3*$J2158+1)+INDIRECT("D$"&amp;3+MIN(2,ROUNDDOWN(I2158,0))*3)*(3*$J2158^3-6*$J2158^2+3*$J2158)+INDIRECT("D$"&amp;4+MIN(2,ROUNDDOWN(I2158,0))*3)*(-3*$J2158^3+3*$J2158^2)+INDIRECT("D$"&amp;5+MIN(2,ROUNDDOWN(I2158,0))*3)*$J2158^3</f>
      </c>
      <c r="M2158" s="7">
        <f>SQRT(K2158^2+L2158^2)</f>
      </c>
      <c r="N2158" s="7">
        <f>(K2159-K2157)</f>
      </c>
      <c r="O2158" s="7">
        <f>+(L2159-L2157)</f>
      </c>
      <c r="P2158" s="7">
        <f>SQRT(O2158^2+N2158^2)</f>
      </c>
      <c r="Q2158" s="7">
        <f>N2158/$P2158</f>
      </c>
      <c r="R2158" s="7">
        <f>O2158/$P2158</f>
      </c>
      <c r="S2158" s="8">
        <f>Q2158^2+R2158^2</f>
      </c>
      <c r="T2158" s="7">
        <f>-R2158</f>
      </c>
      <c r="U2158" s="7">
        <f>Q2158</f>
      </c>
      <c r="V2158" s="7">
        <f>($C$14+($C$15-$C$14)/($D$15-$D$14)*(I2158-$D$14))/2</f>
      </c>
      <c r="W2158" s="7">
        <f>($B$22*I2158^4+$C$22*I2158^3+$D$22*I2158^2+$E$22*I2158+$F$22)/2</f>
      </c>
      <c r="X2158" s="7">
        <f>($W2158)*(T2158)</f>
      </c>
      <c r="Y2158" s="7">
        <f>($W2158)*(U2158)</f>
      </c>
      <c r="Z2158" s="7">
        <f>SQRT(X2158^2+Y2158^2)</f>
      </c>
      <c r="AA2158" s="7">
        <f>$K2158+$X2158</f>
      </c>
      <c r="AB2158" s="7">
        <f>$L2158+$Y2158</f>
      </c>
      <c r="AC2158" s="7">
        <f>$K2158-$X2158</f>
      </c>
      <c r="AD2158" s="7">
        <f>$L2158-$Y2158</f>
      </c>
      <c r="AE2158" s="7">
        <f>AA2158/39.3701</f>
      </c>
      <c r="AF2158" s="7">
        <f>AB2158/39.3701</f>
      </c>
      <c r="AG2158" s="7">
        <f>AC2158/39.3701</f>
      </c>
      <c r="AH2158" s="7">
        <f>AD2158/39.3701</f>
      </c>
      <c r="AI2158" s="1"/>
      <c r="AJ2158" s="1"/>
      <c r="AK2158" s="1"/>
      <c r="AL2158" s="1"/>
      <c r="AM2158" s="2"/>
      <c r="AN2158" s="1"/>
      <c r="AO2158" s="1"/>
      <c r="AP2158" s="1"/>
      <c r="AQ2158" s="1"/>
      <c r="AR2158" s="1"/>
      <c r="AS2158" s="1"/>
      <c r="AT2158" s="1"/>
      <c r="AU2158" s="1"/>
      <c r="AV2158" s="1"/>
      <c r="AW2158" s="1"/>
      <c r="AX2158" s="1"/>
      <c r="AY2158" s="1"/>
      <c r="AZ2158" s="1"/>
      <c r="BA2158" s="1"/>
      <c r="BB2158" s="1"/>
      <c r="BC2158" s="1"/>
      <c r="BD2158" s="1"/>
      <c r="BE2158" s="1"/>
    </row>
    <row x14ac:dyDescent="0.25" r="2159" customHeight="1" ht="18.75">
      <c r="A2159" s="1"/>
      <c r="B2159" s="2"/>
      <c r="C2159" s="2"/>
      <c r="D2159" s="2"/>
      <c r="E2159" s="2"/>
      <c r="F2159" s="2"/>
      <c r="G2159" s="1"/>
      <c r="H2159" s="1"/>
      <c r="I2159" s="7">
        <v>2.156</v>
      </c>
      <c r="J2159" s="7">
        <f>IF((I2159-ROUNDDOWN(I2159,0))=0, 0, (I2159-ROUNDDOWN(I2159,0)))</f>
      </c>
      <c r="K2159" s="7">
        <f>INDIRECT("C$"&amp;2+MIN(2,ROUNDDOWN(I2159,0))*3)*(-$J2159^3+3*$J2159^2-3*$J2159+1)+INDIRECT("C$"&amp;3+MIN(2,ROUNDDOWN(I2159,0))*3)*(3*$J2159^3-6*$J2159^2+3*$J2159)+INDIRECT("C$"&amp;4+MIN(2,ROUNDDOWN(I2159,0))*3)*(-3*$J2159^3+3*$J2159^2)+INDIRECT("C$"&amp;5+MIN(2,ROUNDDOWN(I2159,0))*3)*$J2159^3</f>
      </c>
      <c r="L2159" s="7">
        <f>INDIRECT("D$"&amp;2+MIN(2,ROUNDDOWN(I2159,0))*3)*(-$J2159^3+3*$J2159^2-3*$J2159+1)+INDIRECT("D$"&amp;3+MIN(2,ROUNDDOWN(I2159,0))*3)*(3*$J2159^3-6*$J2159^2+3*$J2159)+INDIRECT("D$"&amp;4+MIN(2,ROUNDDOWN(I2159,0))*3)*(-3*$J2159^3+3*$J2159^2)+INDIRECT("D$"&amp;5+MIN(2,ROUNDDOWN(I2159,0))*3)*$J2159^3</f>
      </c>
      <c r="M2159" s="7">
        <f>SQRT(K2159^2+L2159^2)</f>
      </c>
      <c r="N2159" s="7">
        <f>(K2160-K2158)</f>
      </c>
      <c r="O2159" s="7">
        <f>+(L2160-L2158)</f>
      </c>
      <c r="P2159" s="7">
        <f>SQRT(O2159^2+N2159^2)</f>
      </c>
      <c r="Q2159" s="7">
        <f>N2159/$P2159</f>
      </c>
      <c r="R2159" s="7">
        <f>O2159/$P2159</f>
      </c>
      <c r="S2159" s="7">
        <f>Q2159^2+R2159^2</f>
      </c>
      <c r="T2159" s="7">
        <f>-R2159</f>
      </c>
      <c r="U2159" s="7">
        <f>Q2159</f>
      </c>
      <c r="V2159" s="7">
        <f>($C$14+($C$15-$C$14)/($D$15-$D$14)*(I2159-$D$14))/2</f>
      </c>
      <c r="W2159" s="7">
        <f>($B$22*I2159^4+$C$22*I2159^3+$D$22*I2159^2+$E$22*I2159+$F$22)/2</f>
      </c>
      <c r="X2159" s="7">
        <f>($W2159)*(T2159)</f>
      </c>
      <c r="Y2159" s="7">
        <f>($W2159)*(U2159)</f>
      </c>
      <c r="Z2159" s="7">
        <f>SQRT(X2159^2+Y2159^2)</f>
      </c>
      <c r="AA2159" s="7">
        <f>$K2159+$X2159</f>
      </c>
      <c r="AB2159" s="7">
        <f>$L2159+$Y2159</f>
      </c>
      <c r="AC2159" s="7">
        <f>$K2159-$X2159</f>
      </c>
      <c r="AD2159" s="7">
        <f>$L2159-$Y2159</f>
      </c>
      <c r="AE2159" s="7">
        <f>AA2159/39.3701</f>
      </c>
      <c r="AF2159" s="7">
        <f>AB2159/39.3701</f>
      </c>
      <c r="AG2159" s="7">
        <f>AC2159/39.3701</f>
      </c>
      <c r="AH2159" s="7">
        <f>AD2159/39.3701</f>
      </c>
      <c r="AI2159" s="1"/>
      <c r="AJ2159" s="1"/>
      <c r="AK2159" s="1"/>
      <c r="AL2159" s="1"/>
      <c r="AM2159" s="2"/>
      <c r="AN2159" s="1"/>
      <c r="AO2159" s="1"/>
      <c r="AP2159" s="1"/>
      <c r="AQ2159" s="1"/>
      <c r="AR2159" s="1"/>
      <c r="AS2159" s="1"/>
      <c r="AT2159" s="1"/>
      <c r="AU2159" s="1"/>
      <c r="AV2159" s="1"/>
      <c r="AW2159" s="1"/>
      <c r="AX2159" s="1"/>
      <c r="AY2159" s="1"/>
      <c r="AZ2159" s="1"/>
      <c r="BA2159" s="1"/>
      <c r="BB2159" s="1"/>
      <c r="BC2159" s="1"/>
      <c r="BD2159" s="1"/>
      <c r="BE2159" s="1"/>
    </row>
    <row x14ac:dyDescent="0.25" r="2160" customHeight="1" ht="18.75">
      <c r="A2160" s="1"/>
      <c r="B2160" s="2"/>
      <c r="C2160" s="2"/>
      <c r="D2160" s="2"/>
      <c r="E2160" s="2"/>
      <c r="F2160" s="2"/>
      <c r="G2160" s="1"/>
      <c r="H2160" s="1"/>
      <c r="I2160" s="7">
        <v>2.157</v>
      </c>
      <c r="J2160" s="7">
        <f>IF((I2160-ROUNDDOWN(I2160,0))=0, 0, (I2160-ROUNDDOWN(I2160,0)))</f>
      </c>
      <c r="K2160" s="7">
        <f>INDIRECT("C$"&amp;2+MIN(2,ROUNDDOWN(I2160,0))*3)*(-$J2160^3+3*$J2160^2-3*$J2160+1)+INDIRECT("C$"&amp;3+MIN(2,ROUNDDOWN(I2160,0))*3)*(3*$J2160^3-6*$J2160^2+3*$J2160)+INDIRECT("C$"&amp;4+MIN(2,ROUNDDOWN(I2160,0))*3)*(-3*$J2160^3+3*$J2160^2)+INDIRECT("C$"&amp;5+MIN(2,ROUNDDOWN(I2160,0))*3)*$J2160^3</f>
      </c>
      <c r="L2160" s="7">
        <f>INDIRECT("D$"&amp;2+MIN(2,ROUNDDOWN(I2160,0))*3)*(-$J2160^3+3*$J2160^2-3*$J2160+1)+INDIRECT("D$"&amp;3+MIN(2,ROUNDDOWN(I2160,0))*3)*(3*$J2160^3-6*$J2160^2+3*$J2160)+INDIRECT("D$"&amp;4+MIN(2,ROUNDDOWN(I2160,0))*3)*(-3*$J2160^3+3*$J2160^2)+INDIRECT("D$"&amp;5+MIN(2,ROUNDDOWN(I2160,0))*3)*$J2160^3</f>
      </c>
      <c r="M2160" s="7">
        <f>SQRT(K2160^2+L2160^2)</f>
      </c>
      <c r="N2160" s="7">
        <f>(K2161-K2159)</f>
      </c>
      <c r="O2160" s="7">
        <f>+(L2161-L2159)</f>
      </c>
      <c r="P2160" s="7">
        <f>SQRT(O2160^2+N2160^2)</f>
      </c>
      <c r="Q2160" s="7">
        <f>N2160/$P2160</f>
      </c>
      <c r="R2160" s="7">
        <f>O2160/$P2160</f>
      </c>
      <c r="S2160" s="8">
        <f>Q2160^2+R2160^2</f>
      </c>
      <c r="T2160" s="7">
        <f>-R2160</f>
      </c>
      <c r="U2160" s="7">
        <f>Q2160</f>
      </c>
      <c r="V2160" s="7">
        <f>($C$14+($C$15-$C$14)/($D$15-$D$14)*(I2160-$D$14))/2</f>
      </c>
      <c r="W2160" s="7">
        <f>($B$22*I2160^4+$C$22*I2160^3+$D$22*I2160^2+$E$22*I2160+$F$22)/2</f>
      </c>
      <c r="X2160" s="7">
        <f>($W2160)*(T2160)</f>
      </c>
      <c r="Y2160" s="7">
        <f>($W2160)*(U2160)</f>
      </c>
      <c r="Z2160" s="7">
        <f>SQRT(X2160^2+Y2160^2)</f>
      </c>
      <c r="AA2160" s="7">
        <f>$K2160+$X2160</f>
      </c>
      <c r="AB2160" s="7">
        <f>$L2160+$Y2160</f>
      </c>
      <c r="AC2160" s="7">
        <f>$K2160-$X2160</f>
      </c>
      <c r="AD2160" s="7">
        <f>$L2160-$Y2160</f>
      </c>
      <c r="AE2160" s="7">
        <f>AA2160/39.3701</f>
      </c>
      <c r="AF2160" s="7">
        <f>AB2160/39.3701</f>
      </c>
      <c r="AG2160" s="7">
        <f>AC2160/39.3701</f>
      </c>
      <c r="AH2160" s="7">
        <f>AD2160/39.3701</f>
      </c>
      <c r="AI2160" s="1"/>
      <c r="AJ2160" s="1"/>
      <c r="AK2160" s="1"/>
      <c r="AL2160" s="1"/>
      <c r="AM2160" s="2"/>
      <c r="AN2160" s="1"/>
      <c r="AO2160" s="1"/>
      <c r="AP2160" s="1"/>
      <c r="AQ2160" s="1"/>
      <c r="AR2160" s="1"/>
      <c r="AS2160" s="1"/>
      <c r="AT2160" s="1"/>
      <c r="AU2160" s="1"/>
      <c r="AV2160" s="1"/>
      <c r="AW2160" s="1"/>
      <c r="AX2160" s="1"/>
      <c r="AY2160" s="1"/>
      <c r="AZ2160" s="1"/>
      <c r="BA2160" s="1"/>
      <c r="BB2160" s="1"/>
      <c r="BC2160" s="1"/>
      <c r="BD2160" s="1"/>
      <c r="BE2160" s="1"/>
    </row>
    <row x14ac:dyDescent="0.25" r="2161" customHeight="1" ht="18.75">
      <c r="A2161" s="1"/>
      <c r="B2161" s="2"/>
      <c r="C2161" s="2"/>
      <c r="D2161" s="2"/>
      <c r="E2161" s="2"/>
      <c r="F2161" s="2"/>
      <c r="G2161" s="1"/>
      <c r="H2161" s="1"/>
      <c r="I2161" s="7">
        <v>2.158</v>
      </c>
      <c r="J2161" s="7">
        <f>IF((I2161-ROUNDDOWN(I2161,0))=0, 0, (I2161-ROUNDDOWN(I2161,0)))</f>
      </c>
      <c r="K2161" s="7">
        <f>INDIRECT("C$"&amp;2+MIN(2,ROUNDDOWN(I2161,0))*3)*(-$J2161^3+3*$J2161^2-3*$J2161+1)+INDIRECT("C$"&amp;3+MIN(2,ROUNDDOWN(I2161,0))*3)*(3*$J2161^3-6*$J2161^2+3*$J2161)+INDIRECT("C$"&amp;4+MIN(2,ROUNDDOWN(I2161,0))*3)*(-3*$J2161^3+3*$J2161^2)+INDIRECT("C$"&amp;5+MIN(2,ROUNDDOWN(I2161,0))*3)*$J2161^3</f>
      </c>
      <c r="L2161" s="7">
        <f>INDIRECT("D$"&amp;2+MIN(2,ROUNDDOWN(I2161,0))*3)*(-$J2161^3+3*$J2161^2-3*$J2161+1)+INDIRECT("D$"&amp;3+MIN(2,ROUNDDOWN(I2161,0))*3)*(3*$J2161^3-6*$J2161^2+3*$J2161)+INDIRECT("D$"&amp;4+MIN(2,ROUNDDOWN(I2161,0))*3)*(-3*$J2161^3+3*$J2161^2)+INDIRECT("D$"&amp;5+MIN(2,ROUNDDOWN(I2161,0))*3)*$J2161^3</f>
      </c>
      <c r="M2161" s="7">
        <f>SQRT(K2161^2+L2161^2)</f>
      </c>
      <c r="N2161" s="7">
        <f>(K2162-K2160)</f>
      </c>
      <c r="O2161" s="7">
        <f>+(L2162-L2160)</f>
      </c>
      <c r="P2161" s="7">
        <f>SQRT(O2161^2+N2161^2)</f>
      </c>
      <c r="Q2161" s="7">
        <f>N2161/$P2161</f>
      </c>
      <c r="R2161" s="7">
        <f>O2161/$P2161</f>
      </c>
      <c r="S2161" s="8">
        <f>Q2161^2+R2161^2</f>
      </c>
      <c r="T2161" s="7">
        <f>-R2161</f>
      </c>
      <c r="U2161" s="7">
        <f>Q2161</f>
      </c>
      <c r="V2161" s="7">
        <f>($C$14+($C$15-$C$14)/($D$15-$D$14)*(I2161-$D$14))/2</f>
      </c>
      <c r="W2161" s="7">
        <f>($B$22*I2161^4+$C$22*I2161^3+$D$22*I2161^2+$E$22*I2161+$F$22)/2</f>
      </c>
      <c r="X2161" s="7">
        <f>($W2161)*(T2161)</f>
      </c>
      <c r="Y2161" s="7">
        <f>($W2161)*(U2161)</f>
      </c>
      <c r="Z2161" s="7">
        <f>SQRT(X2161^2+Y2161^2)</f>
      </c>
      <c r="AA2161" s="7">
        <f>$K2161+$X2161</f>
      </c>
      <c r="AB2161" s="7">
        <f>$L2161+$Y2161</f>
      </c>
      <c r="AC2161" s="7">
        <f>$K2161-$X2161</f>
      </c>
      <c r="AD2161" s="7">
        <f>$L2161-$Y2161</f>
      </c>
      <c r="AE2161" s="7">
        <f>AA2161/39.3701</f>
      </c>
      <c r="AF2161" s="7">
        <f>AB2161/39.3701</f>
      </c>
      <c r="AG2161" s="7">
        <f>AC2161/39.3701</f>
      </c>
      <c r="AH2161" s="7">
        <f>AD2161/39.3701</f>
      </c>
      <c r="AI2161" s="1"/>
      <c r="AJ2161" s="1"/>
      <c r="AK2161" s="1"/>
      <c r="AL2161" s="1"/>
      <c r="AM2161" s="2"/>
      <c r="AN2161" s="1"/>
      <c r="AO2161" s="1"/>
      <c r="AP2161" s="1"/>
      <c r="AQ2161" s="1"/>
      <c r="AR2161" s="1"/>
      <c r="AS2161" s="1"/>
      <c r="AT2161" s="1"/>
      <c r="AU2161" s="1"/>
      <c r="AV2161" s="1"/>
      <c r="AW2161" s="1"/>
      <c r="AX2161" s="1"/>
      <c r="AY2161" s="1"/>
      <c r="AZ2161" s="1"/>
      <c r="BA2161" s="1"/>
      <c r="BB2161" s="1"/>
      <c r="BC2161" s="1"/>
      <c r="BD2161" s="1"/>
      <c r="BE2161" s="1"/>
    </row>
    <row x14ac:dyDescent="0.25" r="2162" customHeight="1" ht="18.75">
      <c r="A2162" s="1"/>
      <c r="B2162" s="2"/>
      <c r="C2162" s="2"/>
      <c r="D2162" s="2"/>
      <c r="E2162" s="2"/>
      <c r="F2162" s="2"/>
      <c r="G2162" s="1"/>
      <c r="H2162" s="1"/>
      <c r="I2162" s="7">
        <v>2.159</v>
      </c>
      <c r="J2162" s="7">
        <f>IF((I2162-ROUNDDOWN(I2162,0))=0, 0, (I2162-ROUNDDOWN(I2162,0)))</f>
      </c>
      <c r="K2162" s="7">
        <f>INDIRECT("C$"&amp;2+MIN(2,ROUNDDOWN(I2162,0))*3)*(-$J2162^3+3*$J2162^2-3*$J2162+1)+INDIRECT("C$"&amp;3+MIN(2,ROUNDDOWN(I2162,0))*3)*(3*$J2162^3-6*$J2162^2+3*$J2162)+INDIRECT("C$"&amp;4+MIN(2,ROUNDDOWN(I2162,0))*3)*(-3*$J2162^3+3*$J2162^2)+INDIRECT("C$"&amp;5+MIN(2,ROUNDDOWN(I2162,0))*3)*$J2162^3</f>
      </c>
      <c r="L2162" s="7">
        <f>INDIRECT("D$"&amp;2+MIN(2,ROUNDDOWN(I2162,0))*3)*(-$J2162^3+3*$J2162^2-3*$J2162+1)+INDIRECT("D$"&amp;3+MIN(2,ROUNDDOWN(I2162,0))*3)*(3*$J2162^3-6*$J2162^2+3*$J2162)+INDIRECT("D$"&amp;4+MIN(2,ROUNDDOWN(I2162,0))*3)*(-3*$J2162^3+3*$J2162^2)+INDIRECT("D$"&amp;5+MIN(2,ROUNDDOWN(I2162,0))*3)*$J2162^3</f>
      </c>
      <c r="M2162" s="7">
        <f>SQRT(K2162^2+L2162^2)</f>
      </c>
      <c r="N2162" s="7">
        <f>(K2163-K2161)</f>
      </c>
      <c r="O2162" s="7">
        <f>+(L2163-L2161)</f>
      </c>
      <c r="P2162" s="7">
        <f>SQRT(O2162^2+N2162^2)</f>
      </c>
      <c r="Q2162" s="7">
        <f>N2162/$P2162</f>
      </c>
      <c r="R2162" s="7">
        <f>O2162/$P2162</f>
      </c>
      <c r="S2162" s="8">
        <f>Q2162^2+R2162^2</f>
      </c>
      <c r="T2162" s="7">
        <f>-R2162</f>
      </c>
      <c r="U2162" s="7">
        <f>Q2162</f>
      </c>
      <c r="V2162" s="7">
        <f>($C$14+($C$15-$C$14)/($D$15-$D$14)*(I2162-$D$14))/2</f>
      </c>
      <c r="W2162" s="7">
        <f>($B$22*I2162^4+$C$22*I2162^3+$D$22*I2162^2+$E$22*I2162+$F$22)/2</f>
      </c>
      <c r="X2162" s="7">
        <f>($W2162)*(T2162)</f>
      </c>
      <c r="Y2162" s="7">
        <f>($W2162)*(U2162)</f>
      </c>
      <c r="Z2162" s="7">
        <f>SQRT(X2162^2+Y2162^2)</f>
      </c>
      <c r="AA2162" s="7">
        <f>$K2162+$X2162</f>
      </c>
      <c r="AB2162" s="7">
        <f>$L2162+$Y2162</f>
      </c>
      <c r="AC2162" s="7">
        <f>$K2162-$X2162</f>
      </c>
      <c r="AD2162" s="7">
        <f>$L2162-$Y2162</f>
      </c>
      <c r="AE2162" s="7">
        <f>AA2162/39.3701</f>
      </c>
      <c r="AF2162" s="7">
        <f>AB2162/39.3701</f>
      </c>
      <c r="AG2162" s="7">
        <f>AC2162/39.3701</f>
      </c>
      <c r="AH2162" s="7">
        <f>AD2162/39.3701</f>
      </c>
      <c r="AI2162" s="1"/>
      <c r="AJ2162" s="1"/>
      <c r="AK2162" s="1"/>
      <c r="AL2162" s="1"/>
      <c r="AM2162" s="2"/>
      <c r="AN2162" s="1"/>
      <c r="AO2162" s="1"/>
      <c r="AP2162" s="1"/>
      <c r="AQ2162" s="1"/>
      <c r="AR2162" s="1"/>
      <c r="AS2162" s="1"/>
      <c r="AT2162" s="1"/>
      <c r="AU2162" s="1"/>
      <c r="AV2162" s="1"/>
      <c r="AW2162" s="1"/>
      <c r="AX2162" s="1"/>
      <c r="AY2162" s="1"/>
      <c r="AZ2162" s="1"/>
      <c r="BA2162" s="1"/>
      <c r="BB2162" s="1"/>
      <c r="BC2162" s="1"/>
      <c r="BD2162" s="1"/>
      <c r="BE2162" s="1"/>
    </row>
    <row x14ac:dyDescent="0.25" r="2163" customHeight="1" ht="18.75">
      <c r="A2163" s="1"/>
      <c r="B2163" s="2"/>
      <c r="C2163" s="2"/>
      <c r="D2163" s="2"/>
      <c r="E2163" s="2"/>
      <c r="F2163" s="2"/>
      <c r="G2163" s="1"/>
      <c r="H2163" s="1"/>
      <c r="I2163" s="7">
        <v>2.16</v>
      </c>
      <c r="J2163" s="7">
        <f>IF((I2163-ROUNDDOWN(I2163,0))=0, 0, (I2163-ROUNDDOWN(I2163,0)))</f>
      </c>
      <c r="K2163" s="7">
        <f>INDIRECT("C$"&amp;2+MIN(2,ROUNDDOWN(I2163,0))*3)*(-$J2163^3+3*$J2163^2-3*$J2163+1)+INDIRECT("C$"&amp;3+MIN(2,ROUNDDOWN(I2163,0))*3)*(3*$J2163^3-6*$J2163^2+3*$J2163)+INDIRECT("C$"&amp;4+MIN(2,ROUNDDOWN(I2163,0))*3)*(-3*$J2163^3+3*$J2163^2)+INDIRECT("C$"&amp;5+MIN(2,ROUNDDOWN(I2163,0))*3)*$J2163^3</f>
      </c>
      <c r="L2163" s="7">
        <f>INDIRECT("D$"&amp;2+MIN(2,ROUNDDOWN(I2163,0))*3)*(-$J2163^3+3*$J2163^2-3*$J2163+1)+INDIRECT("D$"&amp;3+MIN(2,ROUNDDOWN(I2163,0))*3)*(3*$J2163^3-6*$J2163^2+3*$J2163)+INDIRECT("D$"&amp;4+MIN(2,ROUNDDOWN(I2163,0))*3)*(-3*$J2163^3+3*$J2163^2)+INDIRECT("D$"&amp;5+MIN(2,ROUNDDOWN(I2163,0))*3)*$J2163^3</f>
      </c>
      <c r="M2163" s="7">
        <f>SQRT(K2163^2+L2163^2)</f>
      </c>
      <c r="N2163" s="7">
        <f>(K2164-K2162)</f>
      </c>
      <c r="O2163" s="7">
        <f>+(L2164-L2162)</f>
      </c>
      <c r="P2163" s="7">
        <f>SQRT(O2163^2+N2163^2)</f>
      </c>
      <c r="Q2163" s="7">
        <f>N2163/$P2163</f>
      </c>
      <c r="R2163" s="7">
        <f>O2163/$P2163</f>
      </c>
      <c r="S2163" s="8">
        <f>Q2163^2+R2163^2</f>
      </c>
      <c r="T2163" s="7">
        <f>-R2163</f>
      </c>
      <c r="U2163" s="7">
        <f>Q2163</f>
      </c>
      <c r="V2163" s="7">
        <f>($C$14+($C$15-$C$14)/($D$15-$D$14)*(I2163-$D$14))/2</f>
      </c>
      <c r="W2163" s="7">
        <f>($B$22*I2163^4+$C$22*I2163^3+$D$22*I2163^2+$E$22*I2163+$F$22)/2</f>
      </c>
      <c r="X2163" s="7">
        <f>($W2163)*(T2163)</f>
      </c>
      <c r="Y2163" s="7">
        <f>($W2163)*(U2163)</f>
      </c>
      <c r="Z2163" s="7">
        <f>SQRT(X2163^2+Y2163^2)</f>
      </c>
      <c r="AA2163" s="7">
        <f>$K2163+$X2163</f>
      </c>
      <c r="AB2163" s="7">
        <f>$L2163+$Y2163</f>
      </c>
      <c r="AC2163" s="7">
        <f>$K2163-$X2163</f>
      </c>
      <c r="AD2163" s="7">
        <f>$L2163-$Y2163</f>
      </c>
      <c r="AE2163" s="7">
        <f>AA2163/39.3701</f>
      </c>
      <c r="AF2163" s="7">
        <f>AB2163/39.3701</f>
      </c>
      <c r="AG2163" s="7">
        <f>AC2163/39.3701</f>
      </c>
      <c r="AH2163" s="7">
        <f>AD2163/39.3701</f>
      </c>
      <c r="AI2163" s="1"/>
      <c r="AJ2163" s="1"/>
      <c r="AK2163" s="1"/>
      <c r="AL2163" s="1"/>
      <c r="AM2163" s="2"/>
      <c r="AN2163" s="1"/>
      <c r="AO2163" s="1"/>
      <c r="AP2163" s="1"/>
      <c r="AQ2163" s="1"/>
      <c r="AR2163" s="1"/>
      <c r="AS2163" s="1"/>
      <c r="AT2163" s="1"/>
      <c r="AU2163" s="1"/>
      <c r="AV2163" s="1"/>
      <c r="AW2163" s="1"/>
      <c r="AX2163" s="1"/>
      <c r="AY2163" s="1"/>
      <c r="AZ2163" s="1"/>
      <c r="BA2163" s="1"/>
      <c r="BB2163" s="1"/>
      <c r="BC2163" s="1"/>
      <c r="BD2163" s="1"/>
      <c r="BE2163" s="1"/>
    </row>
    <row x14ac:dyDescent="0.25" r="2164" customHeight="1" ht="18.75">
      <c r="A2164" s="1"/>
      <c r="B2164" s="2"/>
      <c r="C2164" s="2"/>
      <c r="D2164" s="2"/>
      <c r="E2164" s="2"/>
      <c r="F2164" s="2"/>
      <c r="G2164" s="1"/>
      <c r="H2164" s="1"/>
      <c r="I2164" s="7">
        <v>2.161</v>
      </c>
      <c r="J2164" s="7">
        <f>IF((I2164-ROUNDDOWN(I2164,0))=0, 0, (I2164-ROUNDDOWN(I2164,0)))</f>
      </c>
      <c r="K2164" s="7">
        <f>INDIRECT("C$"&amp;2+MIN(2,ROUNDDOWN(I2164,0))*3)*(-$J2164^3+3*$J2164^2-3*$J2164+1)+INDIRECT("C$"&amp;3+MIN(2,ROUNDDOWN(I2164,0))*3)*(3*$J2164^3-6*$J2164^2+3*$J2164)+INDIRECT("C$"&amp;4+MIN(2,ROUNDDOWN(I2164,0))*3)*(-3*$J2164^3+3*$J2164^2)+INDIRECT("C$"&amp;5+MIN(2,ROUNDDOWN(I2164,0))*3)*$J2164^3</f>
      </c>
      <c r="L2164" s="7">
        <f>INDIRECT("D$"&amp;2+MIN(2,ROUNDDOWN(I2164,0))*3)*(-$J2164^3+3*$J2164^2-3*$J2164+1)+INDIRECT("D$"&amp;3+MIN(2,ROUNDDOWN(I2164,0))*3)*(3*$J2164^3-6*$J2164^2+3*$J2164)+INDIRECT("D$"&amp;4+MIN(2,ROUNDDOWN(I2164,0))*3)*(-3*$J2164^3+3*$J2164^2)+INDIRECT("D$"&amp;5+MIN(2,ROUNDDOWN(I2164,0))*3)*$J2164^3</f>
      </c>
      <c r="M2164" s="7">
        <f>SQRT(K2164^2+L2164^2)</f>
      </c>
      <c r="N2164" s="7">
        <f>(K2165-K2163)</f>
      </c>
      <c r="O2164" s="7">
        <f>+(L2165-L2163)</f>
      </c>
      <c r="P2164" s="7">
        <f>SQRT(O2164^2+N2164^2)</f>
      </c>
      <c r="Q2164" s="7">
        <f>N2164/$P2164</f>
      </c>
      <c r="R2164" s="7">
        <f>O2164/$P2164</f>
      </c>
      <c r="S2164" s="7">
        <f>Q2164^2+R2164^2</f>
      </c>
      <c r="T2164" s="7">
        <f>-R2164</f>
      </c>
      <c r="U2164" s="7">
        <f>Q2164</f>
      </c>
      <c r="V2164" s="7">
        <f>($C$14+($C$15-$C$14)/($D$15-$D$14)*(I2164-$D$14))/2</f>
      </c>
      <c r="W2164" s="7">
        <f>($B$22*I2164^4+$C$22*I2164^3+$D$22*I2164^2+$E$22*I2164+$F$22)/2</f>
      </c>
      <c r="X2164" s="7">
        <f>($W2164)*(T2164)</f>
      </c>
      <c r="Y2164" s="7">
        <f>($W2164)*(U2164)</f>
      </c>
      <c r="Z2164" s="7">
        <f>SQRT(X2164^2+Y2164^2)</f>
      </c>
      <c r="AA2164" s="7">
        <f>$K2164+$X2164</f>
      </c>
      <c r="AB2164" s="7">
        <f>$L2164+$Y2164</f>
      </c>
      <c r="AC2164" s="7">
        <f>$K2164-$X2164</f>
      </c>
      <c r="AD2164" s="7">
        <f>$L2164-$Y2164</f>
      </c>
      <c r="AE2164" s="7">
        <f>AA2164/39.3701</f>
      </c>
      <c r="AF2164" s="7">
        <f>AB2164/39.3701</f>
      </c>
      <c r="AG2164" s="7">
        <f>AC2164/39.3701</f>
      </c>
      <c r="AH2164" s="7">
        <f>AD2164/39.3701</f>
      </c>
      <c r="AI2164" s="1"/>
      <c r="AJ2164" s="1"/>
      <c r="AK2164" s="1"/>
      <c r="AL2164" s="1"/>
      <c r="AM2164" s="2"/>
      <c r="AN2164" s="1"/>
      <c r="AO2164" s="1"/>
      <c r="AP2164" s="1"/>
      <c r="AQ2164" s="1"/>
      <c r="AR2164" s="1"/>
      <c r="AS2164" s="1"/>
      <c r="AT2164" s="1"/>
      <c r="AU2164" s="1"/>
      <c r="AV2164" s="1"/>
      <c r="AW2164" s="1"/>
      <c r="AX2164" s="1"/>
      <c r="AY2164" s="1"/>
      <c r="AZ2164" s="1"/>
      <c r="BA2164" s="1"/>
      <c r="BB2164" s="1"/>
      <c r="BC2164" s="1"/>
      <c r="BD2164" s="1"/>
      <c r="BE2164" s="1"/>
    </row>
    <row x14ac:dyDescent="0.25" r="2165" customHeight="1" ht="18.75">
      <c r="A2165" s="1"/>
      <c r="B2165" s="2"/>
      <c r="C2165" s="2"/>
      <c r="D2165" s="2"/>
      <c r="E2165" s="2"/>
      <c r="F2165" s="2"/>
      <c r="G2165" s="1"/>
      <c r="H2165" s="1"/>
      <c r="I2165" s="7">
        <v>2.162</v>
      </c>
      <c r="J2165" s="7">
        <f>IF((I2165-ROUNDDOWN(I2165,0))=0, 0, (I2165-ROUNDDOWN(I2165,0)))</f>
      </c>
      <c r="K2165" s="7">
        <f>INDIRECT("C$"&amp;2+MIN(2,ROUNDDOWN(I2165,0))*3)*(-$J2165^3+3*$J2165^2-3*$J2165+1)+INDIRECT("C$"&amp;3+MIN(2,ROUNDDOWN(I2165,0))*3)*(3*$J2165^3-6*$J2165^2+3*$J2165)+INDIRECT("C$"&amp;4+MIN(2,ROUNDDOWN(I2165,0))*3)*(-3*$J2165^3+3*$J2165^2)+INDIRECT("C$"&amp;5+MIN(2,ROUNDDOWN(I2165,0))*3)*$J2165^3</f>
      </c>
      <c r="L2165" s="7">
        <f>INDIRECT("D$"&amp;2+MIN(2,ROUNDDOWN(I2165,0))*3)*(-$J2165^3+3*$J2165^2-3*$J2165+1)+INDIRECT("D$"&amp;3+MIN(2,ROUNDDOWN(I2165,0))*3)*(3*$J2165^3-6*$J2165^2+3*$J2165)+INDIRECT("D$"&amp;4+MIN(2,ROUNDDOWN(I2165,0))*3)*(-3*$J2165^3+3*$J2165^2)+INDIRECT("D$"&amp;5+MIN(2,ROUNDDOWN(I2165,0))*3)*$J2165^3</f>
      </c>
      <c r="M2165" s="7">
        <f>SQRT(K2165^2+L2165^2)</f>
      </c>
      <c r="N2165" s="7">
        <f>(K2166-K2164)</f>
      </c>
      <c r="O2165" s="7">
        <f>+(L2166-L2164)</f>
      </c>
      <c r="P2165" s="7">
        <f>SQRT(O2165^2+N2165^2)</f>
      </c>
      <c r="Q2165" s="7">
        <f>N2165/$P2165</f>
      </c>
      <c r="R2165" s="7">
        <f>O2165/$P2165</f>
      </c>
      <c r="S2165" s="8">
        <f>Q2165^2+R2165^2</f>
      </c>
      <c r="T2165" s="7">
        <f>-R2165</f>
      </c>
      <c r="U2165" s="7">
        <f>Q2165</f>
      </c>
      <c r="V2165" s="7">
        <f>($C$14+($C$15-$C$14)/($D$15-$D$14)*(I2165-$D$14))/2</f>
      </c>
      <c r="W2165" s="7">
        <f>($B$22*I2165^4+$C$22*I2165^3+$D$22*I2165^2+$E$22*I2165+$F$22)/2</f>
      </c>
      <c r="X2165" s="7">
        <f>($W2165)*(T2165)</f>
      </c>
      <c r="Y2165" s="7">
        <f>($W2165)*(U2165)</f>
      </c>
      <c r="Z2165" s="7">
        <f>SQRT(X2165^2+Y2165^2)</f>
      </c>
      <c r="AA2165" s="7">
        <f>$K2165+$X2165</f>
      </c>
      <c r="AB2165" s="7">
        <f>$L2165+$Y2165</f>
      </c>
      <c r="AC2165" s="7">
        <f>$K2165-$X2165</f>
      </c>
      <c r="AD2165" s="7">
        <f>$L2165-$Y2165</f>
      </c>
      <c r="AE2165" s="7">
        <f>AA2165/39.3701</f>
      </c>
      <c r="AF2165" s="7">
        <f>AB2165/39.3701</f>
      </c>
      <c r="AG2165" s="7">
        <f>AC2165/39.3701</f>
      </c>
      <c r="AH2165" s="7">
        <f>AD2165/39.3701</f>
      </c>
      <c r="AI2165" s="1"/>
      <c r="AJ2165" s="1"/>
      <c r="AK2165" s="1"/>
      <c r="AL2165" s="1"/>
      <c r="AM2165" s="2"/>
      <c r="AN2165" s="1"/>
      <c r="AO2165" s="1"/>
      <c r="AP2165" s="1"/>
      <c r="AQ2165" s="1"/>
      <c r="AR2165" s="1"/>
      <c r="AS2165" s="1"/>
      <c r="AT2165" s="1"/>
      <c r="AU2165" s="1"/>
      <c r="AV2165" s="1"/>
      <c r="AW2165" s="1"/>
      <c r="AX2165" s="1"/>
      <c r="AY2165" s="1"/>
      <c r="AZ2165" s="1"/>
      <c r="BA2165" s="1"/>
      <c r="BB2165" s="1"/>
      <c r="BC2165" s="1"/>
      <c r="BD2165" s="1"/>
      <c r="BE2165" s="1"/>
    </row>
    <row x14ac:dyDescent="0.25" r="2166" customHeight="1" ht="18.75">
      <c r="A2166" s="1"/>
      <c r="B2166" s="2"/>
      <c r="C2166" s="2"/>
      <c r="D2166" s="2"/>
      <c r="E2166" s="2"/>
      <c r="F2166" s="2"/>
      <c r="G2166" s="1"/>
      <c r="H2166" s="1"/>
      <c r="I2166" s="7">
        <v>2.163</v>
      </c>
      <c r="J2166" s="7">
        <f>IF((I2166-ROUNDDOWN(I2166,0))=0, 0, (I2166-ROUNDDOWN(I2166,0)))</f>
      </c>
      <c r="K2166" s="7">
        <f>INDIRECT("C$"&amp;2+MIN(2,ROUNDDOWN(I2166,0))*3)*(-$J2166^3+3*$J2166^2-3*$J2166+1)+INDIRECT("C$"&amp;3+MIN(2,ROUNDDOWN(I2166,0))*3)*(3*$J2166^3-6*$J2166^2+3*$J2166)+INDIRECT("C$"&amp;4+MIN(2,ROUNDDOWN(I2166,0))*3)*(-3*$J2166^3+3*$J2166^2)+INDIRECT("C$"&amp;5+MIN(2,ROUNDDOWN(I2166,0))*3)*$J2166^3</f>
      </c>
      <c r="L2166" s="7">
        <f>INDIRECT("D$"&amp;2+MIN(2,ROUNDDOWN(I2166,0))*3)*(-$J2166^3+3*$J2166^2-3*$J2166+1)+INDIRECT("D$"&amp;3+MIN(2,ROUNDDOWN(I2166,0))*3)*(3*$J2166^3-6*$J2166^2+3*$J2166)+INDIRECT("D$"&amp;4+MIN(2,ROUNDDOWN(I2166,0))*3)*(-3*$J2166^3+3*$J2166^2)+INDIRECT("D$"&amp;5+MIN(2,ROUNDDOWN(I2166,0))*3)*$J2166^3</f>
      </c>
      <c r="M2166" s="7">
        <f>SQRT(K2166^2+L2166^2)</f>
      </c>
      <c r="N2166" s="7">
        <f>(K2167-K2165)</f>
      </c>
      <c r="O2166" s="7">
        <f>+(L2167-L2165)</f>
      </c>
      <c r="P2166" s="7">
        <f>SQRT(O2166^2+N2166^2)</f>
      </c>
      <c r="Q2166" s="7">
        <f>N2166/$P2166</f>
      </c>
      <c r="R2166" s="7">
        <f>O2166/$P2166</f>
      </c>
      <c r="S2166" s="7">
        <f>Q2166^2+R2166^2</f>
      </c>
      <c r="T2166" s="7">
        <f>-R2166</f>
      </c>
      <c r="U2166" s="7">
        <f>Q2166</f>
      </c>
      <c r="V2166" s="7">
        <f>($C$14+($C$15-$C$14)/($D$15-$D$14)*(I2166-$D$14))/2</f>
      </c>
      <c r="W2166" s="7">
        <f>($B$22*I2166^4+$C$22*I2166^3+$D$22*I2166^2+$E$22*I2166+$F$22)/2</f>
      </c>
      <c r="X2166" s="7">
        <f>($W2166)*(T2166)</f>
      </c>
      <c r="Y2166" s="7">
        <f>($W2166)*(U2166)</f>
      </c>
      <c r="Z2166" s="7">
        <f>SQRT(X2166^2+Y2166^2)</f>
      </c>
      <c r="AA2166" s="7">
        <f>$K2166+$X2166</f>
      </c>
      <c r="AB2166" s="7">
        <f>$L2166+$Y2166</f>
      </c>
      <c r="AC2166" s="7">
        <f>$K2166-$X2166</f>
      </c>
      <c r="AD2166" s="7">
        <f>$L2166-$Y2166</f>
      </c>
      <c r="AE2166" s="7">
        <f>AA2166/39.3701</f>
      </c>
      <c r="AF2166" s="7">
        <f>AB2166/39.3701</f>
      </c>
      <c r="AG2166" s="7">
        <f>AC2166/39.3701</f>
      </c>
      <c r="AH2166" s="7">
        <f>AD2166/39.3701</f>
      </c>
      <c r="AI2166" s="1"/>
      <c r="AJ2166" s="1"/>
      <c r="AK2166" s="1"/>
      <c r="AL2166" s="1"/>
      <c r="AM2166" s="2"/>
      <c r="AN2166" s="1"/>
      <c r="AO2166" s="1"/>
      <c r="AP2166" s="1"/>
      <c r="AQ2166" s="1"/>
      <c r="AR2166" s="1"/>
      <c r="AS2166" s="1"/>
      <c r="AT2166" s="1"/>
      <c r="AU2166" s="1"/>
      <c r="AV2166" s="1"/>
      <c r="AW2166" s="1"/>
      <c r="AX2166" s="1"/>
      <c r="AY2166" s="1"/>
      <c r="AZ2166" s="1"/>
      <c r="BA2166" s="1"/>
      <c r="BB2166" s="1"/>
      <c r="BC2166" s="1"/>
      <c r="BD2166" s="1"/>
      <c r="BE2166" s="1"/>
    </row>
    <row x14ac:dyDescent="0.25" r="2167" customHeight="1" ht="18.75">
      <c r="A2167" s="1"/>
      <c r="B2167" s="2"/>
      <c r="C2167" s="2"/>
      <c r="D2167" s="2"/>
      <c r="E2167" s="2"/>
      <c r="F2167" s="2"/>
      <c r="G2167" s="1"/>
      <c r="H2167" s="1"/>
      <c r="I2167" s="7">
        <v>2.164</v>
      </c>
      <c r="J2167" s="7">
        <f>IF((I2167-ROUNDDOWN(I2167,0))=0, 0, (I2167-ROUNDDOWN(I2167,0)))</f>
      </c>
      <c r="K2167" s="7">
        <f>INDIRECT("C$"&amp;2+MIN(2,ROUNDDOWN(I2167,0))*3)*(-$J2167^3+3*$J2167^2-3*$J2167+1)+INDIRECT("C$"&amp;3+MIN(2,ROUNDDOWN(I2167,0))*3)*(3*$J2167^3-6*$J2167^2+3*$J2167)+INDIRECT("C$"&amp;4+MIN(2,ROUNDDOWN(I2167,0))*3)*(-3*$J2167^3+3*$J2167^2)+INDIRECT("C$"&amp;5+MIN(2,ROUNDDOWN(I2167,0))*3)*$J2167^3</f>
      </c>
      <c r="L2167" s="7">
        <f>INDIRECT("D$"&amp;2+MIN(2,ROUNDDOWN(I2167,0))*3)*(-$J2167^3+3*$J2167^2-3*$J2167+1)+INDIRECT("D$"&amp;3+MIN(2,ROUNDDOWN(I2167,0))*3)*(3*$J2167^3-6*$J2167^2+3*$J2167)+INDIRECT("D$"&amp;4+MIN(2,ROUNDDOWN(I2167,0))*3)*(-3*$J2167^3+3*$J2167^2)+INDIRECT("D$"&amp;5+MIN(2,ROUNDDOWN(I2167,0))*3)*$J2167^3</f>
      </c>
      <c r="M2167" s="7">
        <f>SQRT(K2167^2+L2167^2)</f>
      </c>
      <c r="N2167" s="7">
        <f>(K2168-K2166)</f>
      </c>
      <c r="O2167" s="7">
        <f>+(L2168-L2166)</f>
      </c>
      <c r="P2167" s="7">
        <f>SQRT(O2167^2+N2167^2)</f>
      </c>
      <c r="Q2167" s="7">
        <f>N2167/$P2167</f>
      </c>
      <c r="R2167" s="7">
        <f>O2167/$P2167</f>
      </c>
      <c r="S2167" s="8">
        <f>Q2167^2+R2167^2</f>
      </c>
      <c r="T2167" s="7">
        <f>-R2167</f>
      </c>
      <c r="U2167" s="7">
        <f>Q2167</f>
      </c>
      <c r="V2167" s="7">
        <f>($C$14+($C$15-$C$14)/($D$15-$D$14)*(I2167-$D$14))/2</f>
      </c>
      <c r="W2167" s="7">
        <f>($B$22*I2167^4+$C$22*I2167^3+$D$22*I2167^2+$E$22*I2167+$F$22)/2</f>
      </c>
      <c r="X2167" s="7">
        <f>($W2167)*(T2167)</f>
      </c>
      <c r="Y2167" s="7">
        <f>($W2167)*(U2167)</f>
      </c>
      <c r="Z2167" s="7">
        <f>SQRT(X2167^2+Y2167^2)</f>
      </c>
      <c r="AA2167" s="7">
        <f>$K2167+$X2167</f>
      </c>
      <c r="AB2167" s="7">
        <f>$L2167+$Y2167</f>
      </c>
      <c r="AC2167" s="7">
        <f>$K2167-$X2167</f>
      </c>
      <c r="AD2167" s="7">
        <f>$L2167-$Y2167</f>
      </c>
      <c r="AE2167" s="7">
        <f>AA2167/39.3701</f>
      </c>
      <c r="AF2167" s="7">
        <f>AB2167/39.3701</f>
      </c>
      <c r="AG2167" s="7">
        <f>AC2167/39.3701</f>
      </c>
      <c r="AH2167" s="7">
        <f>AD2167/39.3701</f>
      </c>
      <c r="AI2167" s="1"/>
      <c r="AJ2167" s="1"/>
      <c r="AK2167" s="1"/>
      <c r="AL2167" s="1"/>
      <c r="AM2167" s="2"/>
      <c r="AN2167" s="1"/>
      <c r="AO2167" s="1"/>
      <c r="AP2167" s="1"/>
      <c r="AQ2167" s="1"/>
      <c r="AR2167" s="1"/>
      <c r="AS2167" s="1"/>
      <c r="AT2167" s="1"/>
      <c r="AU2167" s="1"/>
      <c r="AV2167" s="1"/>
      <c r="AW2167" s="1"/>
      <c r="AX2167" s="1"/>
      <c r="AY2167" s="1"/>
      <c r="AZ2167" s="1"/>
      <c r="BA2167" s="1"/>
      <c r="BB2167" s="1"/>
      <c r="BC2167" s="1"/>
      <c r="BD2167" s="1"/>
      <c r="BE2167" s="1"/>
    </row>
    <row x14ac:dyDescent="0.25" r="2168" customHeight="1" ht="18.75">
      <c r="A2168" s="1"/>
      <c r="B2168" s="2"/>
      <c r="C2168" s="2"/>
      <c r="D2168" s="2"/>
      <c r="E2168" s="2"/>
      <c r="F2168" s="2"/>
      <c r="G2168" s="1"/>
      <c r="H2168" s="1"/>
      <c r="I2168" s="7">
        <v>2.165</v>
      </c>
      <c r="J2168" s="7">
        <f>IF((I2168-ROUNDDOWN(I2168,0))=0, 0, (I2168-ROUNDDOWN(I2168,0)))</f>
      </c>
      <c r="K2168" s="7">
        <f>INDIRECT("C$"&amp;2+MIN(2,ROUNDDOWN(I2168,0))*3)*(-$J2168^3+3*$J2168^2-3*$J2168+1)+INDIRECT("C$"&amp;3+MIN(2,ROUNDDOWN(I2168,0))*3)*(3*$J2168^3-6*$J2168^2+3*$J2168)+INDIRECT("C$"&amp;4+MIN(2,ROUNDDOWN(I2168,0))*3)*(-3*$J2168^3+3*$J2168^2)+INDIRECT("C$"&amp;5+MIN(2,ROUNDDOWN(I2168,0))*3)*$J2168^3</f>
      </c>
      <c r="L2168" s="7">
        <f>INDIRECT("D$"&amp;2+MIN(2,ROUNDDOWN(I2168,0))*3)*(-$J2168^3+3*$J2168^2-3*$J2168+1)+INDIRECT("D$"&amp;3+MIN(2,ROUNDDOWN(I2168,0))*3)*(3*$J2168^3-6*$J2168^2+3*$J2168)+INDIRECT("D$"&amp;4+MIN(2,ROUNDDOWN(I2168,0))*3)*(-3*$J2168^3+3*$J2168^2)+INDIRECT("D$"&amp;5+MIN(2,ROUNDDOWN(I2168,0))*3)*$J2168^3</f>
      </c>
      <c r="M2168" s="7">
        <f>SQRT(K2168^2+L2168^2)</f>
      </c>
      <c r="N2168" s="7">
        <f>(K2169-K2167)</f>
      </c>
      <c r="O2168" s="7">
        <f>+(L2169-L2167)</f>
      </c>
      <c r="P2168" s="7">
        <f>SQRT(O2168^2+N2168^2)</f>
      </c>
      <c r="Q2168" s="7">
        <f>N2168/$P2168</f>
      </c>
      <c r="R2168" s="7">
        <f>O2168/$P2168</f>
      </c>
      <c r="S2168" s="7">
        <f>Q2168^2+R2168^2</f>
      </c>
      <c r="T2168" s="7">
        <f>-R2168</f>
      </c>
      <c r="U2168" s="7">
        <f>Q2168</f>
      </c>
      <c r="V2168" s="7">
        <f>($C$14+($C$15-$C$14)/($D$15-$D$14)*(I2168-$D$14))/2</f>
      </c>
      <c r="W2168" s="7">
        <f>($B$22*I2168^4+$C$22*I2168^3+$D$22*I2168^2+$E$22*I2168+$F$22)/2</f>
      </c>
      <c r="X2168" s="7">
        <f>($W2168)*(T2168)</f>
      </c>
      <c r="Y2168" s="7">
        <f>($W2168)*(U2168)</f>
      </c>
      <c r="Z2168" s="7">
        <f>SQRT(X2168^2+Y2168^2)</f>
      </c>
      <c r="AA2168" s="7">
        <f>$K2168+$X2168</f>
      </c>
      <c r="AB2168" s="7">
        <f>$L2168+$Y2168</f>
      </c>
      <c r="AC2168" s="7">
        <f>$K2168-$X2168</f>
      </c>
      <c r="AD2168" s="7">
        <f>$L2168-$Y2168</f>
      </c>
      <c r="AE2168" s="7">
        <f>AA2168/39.3701</f>
      </c>
      <c r="AF2168" s="7">
        <f>AB2168/39.3701</f>
      </c>
      <c r="AG2168" s="7">
        <f>AC2168/39.3701</f>
      </c>
      <c r="AH2168" s="7">
        <f>AD2168/39.3701</f>
      </c>
      <c r="AI2168" s="1"/>
      <c r="AJ2168" s="1"/>
      <c r="AK2168" s="1"/>
      <c r="AL2168" s="1"/>
      <c r="AM2168" s="2"/>
      <c r="AN2168" s="1"/>
      <c r="AO2168" s="1"/>
      <c r="AP2168" s="1"/>
      <c r="AQ2168" s="1"/>
      <c r="AR2168" s="1"/>
      <c r="AS2168" s="1"/>
      <c r="AT2168" s="1"/>
      <c r="AU2168" s="1"/>
      <c r="AV2168" s="1"/>
      <c r="AW2168" s="1"/>
      <c r="AX2168" s="1"/>
      <c r="AY2168" s="1"/>
      <c r="AZ2168" s="1"/>
      <c r="BA2168" s="1"/>
      <c r="BB2168" s="1"/>
      <c r="BC2168" s="1"/>
      <c r="BD2168" s="1"/>
      <c r="BE2168" s="1"/>
    </row>
    <row x14ac:dyDescent="0.25" r="2169" customHeight="1" ht="18.75">
      <c r="A2169" s="1"/>
      <c r="B2169" s="2"/>
      <c r="C2169" s="2"/>
      <c r="D2169" s="2"/>
      <c r="E2169" s="2"/>
      <c r="F2169" s="2"/>
      <c r="G2169" s="1"/>
      <c r="H2169" s="1"/>
      <c r="I2169" s="7">
        <v>2.166</v>
      </c>
      <c r="J2169" s="7">
        <f>IF((I2169-ROUNDDOWN(I2169,0))=0, 0, (I2169-ROUNDDOWN(I2169,0)))</f>
      </c>
      <c r="K2169" s="7">
        <f>INDIRECT("C$"&amp;2+MIN(2,ROUNDDOWN(I2169,0))*3)*(-$J2169^3+3*$J2169^2-3*$J2169+1)+INDIRECT("C$"&amp;3+MIN(2,ROUNDDOWN(I2169,0))*3)*(3*$J2169^3-6*$J2169^2+3*$J2169)+INDIRECT("C$"&amp;4+MIN(2,ROUNDDOWN(I2169,0))*3)*(-3*$J2169^3+3*$J2169^2)+INDIRECT("C$"&amp;5+MIN(2,ROUNDDOWN(I2169,0))*3)*$J2169^3</f>
      </c>
      <c r="L2169" s="7">
        <f>INDIRECT("D$"&amp;2+MIN(2,ROUNDDOWN(I2169,0))*3)*(-$J2169^3+3*$J2169^2-3*$J2169+1)+INDIRECT("D$"&amp;3+MIN(2,ROUNDDOWN(I2169,0))*3)*(3*$J2169^3-6*$J2169^2+3*$J2169)+INDIRECT("D$"&amp;4+MIN(2,ROUNDDOWN(I2169,0))*3)*(-3*$J2169^3+3*$J2169^2)+INDIRECT("D$"&amp;5+MIN(2,ROUNDDOWN(I2169,0))*3)*$J2169^3</f>
      </c>
      <c r="M2169" s="7">
        <f>SQRT(K2169^2+L2169^2)</f>
      </c>
      <c r="N2169" s="7">
        <f>(K2170-K2168)</f>
      </c>
      <c r="O2169" s="7">
        <f>+(L2170-L2168)</f>
      </c>
      <c r="P2169" s="7">
        <f>SQRT(O2169^2+N2169^2)</f>
      </c>
      <c r="Q2169" s="7">
        <f>N2169/$P2169</f>
      </c>
      <c r="R2169" s="7">
        <f>O2169/$P2169</f>
      </c>
      <c r="S2169" s="7">
        <f>Q2169^2+R2169^2</f>
      </c>
      <c r="T2169" s="7">
        <f>-R2169</f>
      </c>
      <c r="U2169" s="7">
        <f>Q2169</f>
      </c>
      <c r="V2169" s="7">
        <f>($C$14+($C$15-$C$14)/($D$15-$D$14)*(I2169-$D$14))/2</f>
      </c>
      <c r="W2169" s="7">
        <f>($B$22*I2169^4+$C$22*I2169^3+$D$22*I2169^2+$E$22*I2169+$F$22)/2</f>
      </c>
      <c r="X2169" s="7">
        <f>($W2169)*(T2169)</f>
      </c>
      <c r="Y2169" s="7">
        <f>($W2169)*(U2169)</f>
      </c>
      <c r="Z2169" s="7">
        <f>SQRT(X2169^2+Y2169^2)</f>
      </c>
      <c r="AA2169" s="7">
        <f>$K2169+$X2169</f>
      </c>
      <c r="AB2169" s="7">
        <f>$L2169+$Y2169</f>
      </c>
      <c r="AC2169" s="7">
        <f>$K2169-$X2169</f>
      </c>
      <c r="AD2169" s="7">
        <f>$L2169-$Y2169</f>
      </c>
      <c r="AE2169" s="7">
        <f>AA2169/39.3701</f>
      </c>
      <c r="AF2169" s="7">
        <f>AB2169/39.3701</f>
      </c>
      <c r="AG2169" s="7">
        <f>AC2169/39.3701</f>
      </c>
      <c r="AH2169" s="7">
        <f>AD2169/39.3701</f>
      </c>
      <c r="AI2169" s="1"/>
      <c r="AJ2169" s="1"/>
      <c r="AK2169" s="1"/>
      <c r="AL2169" s="1"/>
      <c r="AM2169" s="2"/>
      <c r="AN2169" s="1"/>
      <c r="AO2169" s="1"/>
      <c r="AP2169" s="1"/>
      <c r="AQ2169" s="1"/>
      <c r="AR2169" s="1"/>
      <c r="AS2169" s="1"/>
      <c r="AT2169" s="1"/>
      <c r="AU2169" s="1"/>
      <c r="AV2169" s="1"/>
      <c r="AW2169" s="1"/>
      <c r="AX2169" s="1"/>
      <c r="AY2169" s="1"/>
      <c r="AZ2169" s="1"/>
      <c r="BA2169" s="1"/>
      <c r="BB2169" s="1"/>
      <c r="BC2169" s="1"/>
      <c r="BD2169" s="1"/>
      <c r="BE2169" s="1"/>
    </row>
    <row x14ac:dyDescent="0.25" r="2170" customHeight="1" ht="18.75">
      <c r="A2170" s="1"/>
      <c r="B2170" s="2"/>
      <c r="C2170" s="2"/>
      <c r="D2170" s="2"/>
      <c r="E2170" s="2"/>
      <c r="F2170" s="2"/>
      <c r="G2170" s="1"/>
      <c r="H2170" s="1"/>
      <c r="I2170" s="7">
        <v>2.167</v>
      </c>
      <c r="J2170" s="7">
        <f>IF((I2170-ROUNDDOWN(I2170,0))=0, 0, (I2170-ROUNDDOWN(I2170,0)))</f>
      </c>
      <c r="K2170" s="7">
        <f>INDIRECT("C$"&amp;2+MIN(2,ROUNDDOWN(I2170,0))*3)*(-$J2170^3+3*$J2170^2-3*$J2170+1)+INDIRECT("C$"&amp;3+MIN(2,ROUNDDOWN(I2170,0))*3)*(3*$J2170^3-6*$J2170^2+3*$J2170)+INDIRECT("C$"&amp;4+MIN(2,ROUNDDOWN(I2170,0))*3)*(-3*$J2170^3+3*$J2170^2)+INDIRECT("C$"&amp;5+MIN(2,ROUNDDOWN(I2170,0))*3)*$J2170^3</f>
      </c>
      <c r="L2170" s="7">
        <f>INDIRECT("D$"&amp;2+MIN(2,ROUNDDOWN(I2170,0))*3)*(-$J2170^3+3*$J2170^2-3*$J2170+1)+INDIRECT("D$"&amp;3+MIN(2,ROUNDDOWN(I2170,0))*3)*(3*$J2170^3-6*$J2170^2+3*$J2170)+INDIRECT("D$"&amp;4+MIN(2,ROUNDDOWN(I2170,0))*3)*(-3*$J2170^3+3*$J2170^2)+INDIRECT("D$"&amp;5+MIN(2,ROUNDDOWN(I2170,0))*3)*$J2170^3</f>
      </c>
      <c r="M2170" s="7">
        <f>SQRT(K2170^2+L2170^2)</f>
      </c>
      <c r="N2170" s="7">
        <f>(K2171-K2169)</f>
      </c>
      <c r="O2170" s="7">
        <f>+(L2171-L2169)</f>
      </c>
      <c r="P2170" s="7">
        <f>SQRT(O2170^2+N2170^2)</f>
      </c>
      <c r="Q2170" s="7">
        <f>N2170/$P2170</f>
      </c>
      <c r="R2170" s="7">
        <f>O2170/$P2170</f>
      </c>
      <c r="S2170" s="8">
        <f>Q2170^2+R2170^2</f>
      </c>
      <c r="T2170" s="7">
        <f>-R2170</f>
      </c>
      <c r="U2170" s="7">
        <f>Q2170</f>
      </c>
      <c r="V2170" s="7">
        <f>($C$14+($C$15-$C$14)/($D$15-$D$14)*(I2170-$D$14))/2</f>
      </c>
      <c r="W2170" s="7">
        <f>($B$22*I2170^4+$C$22*I2170^3+$D$22*I2170^2+$E$22*I2170+$F$22)/2</f>
      </c>
      <c r="X2170" s="7">
        <f>($W2170)*(T2170)</f>
      </c>
      <c r="Y2170" s="7">
        <f>($W2170)*(U2170)</f>
      </c>
      <c r="Z2170" s="7">
        <f>SQRT(X2170^2+Y2170^2)</f>
      </c>
      <c r="AA2170" s="7">
        <f>$K2170+$X2170</f>
      </c>
      <c r="AB2170" s="7">
        <f>$L2170+$Y2170</f>
      </c>
      <c r="AC2170" s="7">
        <f>$K2170-$X2170</f>
      </c>
      <c r="AD2170" s="7">
        <f>$L2170-$Y2170</f>
      </c>
      <c r="AE2170" s="7">
        <f>AA2170/39.3701</f>
      </c>
      <c r="AF2170" s="7">
        <f>AB2170/39.3701</f>
      </c>
      <c r="AG2170" s="7">
        <f>AC2170/39.3701</f>
      </c>
      <c r="AH2170" s="7">
        <f>AD2170/39.3701</f>
      </c>
      <c r="AI2170" s="1"/>
      <c r="AJ2170" s="1"/>
      <c r="AK2170" s="1"/>
      <c r="AL2170" s="1"/>
      <c r="AM2170" s="2"/>
      <c r="AN2170" s="1"/>
      <c r="AO2170" s="1"/>
      <c r="AP2170" s="1"/>
      <c r="AQ2170" s="1"/>
      <c r="AR2170" s="1"/>
      <c r="AS2170" s="1"/>
      <c r="AT2170" s="1"/>
      <c r="AU2170" s="1"/>
      <c r="AV2170" s="1"/>
      <c r="AW2170" s="1"/>
      <c r="AX2170" s="1"/>
      <c r="AY2170" s="1"/>
      <c r="AZ2170" s="1"/>
      <c r="BA2170" s="1"/>
      <c r="BB2170" s="1"/>
      <c r="BC2170" s="1"/>
      <c r="BD2170" s="1"/>
      <c r="BE2170" s="1"/>
    </row>
    <row x14ac:dyDescent="0.25" r="2171" customHeight="1" ht="18.75">
      <c r="A2171" s="1"/>
      <c r="B2171" s="2"/>
      <c r="C2171" s="2"/>
      <c r="D2171" s="2"/>
      <c r="E2171" s="2"/>
      <c r="F2171" s="2"/>
      <c r="G2171" s="1"/>
      <c r="H2171" s="1"/>
      <c r="I2171" s="7">
        <v>2.168</v>
      </c>
      <c r="J2171" s="7">
        <f>IF((I2171-ROUNDDOWN(I2171,0))=0, 0, (I2171-ROUNDDOWN(I2171,0)))</f>
      </c>
      <c r="K2171" s="7">
        <f>INDIRECT("C$"&amp;2+MIN(2,ROUNDDOWN(I2171,0))*3)*(-$J2171^3+3*$J2171^2-3*$J2171+1)+INDIRECT("C$"&amp;3+MIN(2,ROUNDDOWN(I2171,0))*3)*(3*$J2171^3-6*$J2171^2+3*$J2171)+INDIRECT("C$"&amp;4+MIN(2,ROUNDDOWN(I2171,0))*3)*(-3*$J2171^3+3*$J2171^2)+INDIRECT("C$"&amp;5+MIN(2,ROUNDDOWN(I2171,0))*3)*$J2171^3</f>
      </c>
      <c r="L2171" s="7">
        <f>INDIRECT("D$"&amp;2+MIN(2,ROUNDDOWN(I2171,0))*3)*(-$J2171^3+3*$J2171^2-3*$J2171+1)+INDIRECT("D$"&amp;3+MIN(2,ROUNDDOWN(I2171,0))*3)*(3*$J2171^3-6*$J2171^2+3*$J2171)+INDIRECT("D$"&amp;4+MIN(2,ROUNDDOWN(I2171,0))*3)*(-3*$J2171^3+3*$J2171^2)+INDIRECT("D$"&amp;5+MIN(2,ROUNDDOWN(I2171,0))*3)*$J2171^3</f>
      </c>
      <c r="M2171" s="7">
        <f>SQRT(K2171^2+L2171^2)</f>
      </c>
      <c r="N2171" s="7">
        <f>(K2172-K2170)</f>
      </c>
      <c r="O2171" s="7">
        <f>+(L2172-L2170)</f>
      </c>
      <c r="P2171" s="7">
        <f>SQRT(O2171^2+N2171^2)</f>
      </c>
      <c r="Q2171" s="7">
        <f>N2171/$P2171</f>
      </c>
      <c r="R2171" s="7">
        <f>O2171/$P2171</f>
      </c>
      <c r="S2171" s="7">
        <f>Q2171^2+R2171^2</f>
      </c>
      <c r="T2171" s="7">
        <f>-R2171</f>
      </c>
      <c r="U2171" s="7">
        <f>Q2171</f>
      </c>
      <c r="V2171" s="7">
        <f>($C$14+($C$15-$C$14)/($D$15-$D$14)*(I2171-$D$14))/2</f>
      </c>
      <c r="W2171" s="7">
        <f>($B$22*I2171^4+$C$22*I2171^3+$D$22*I2171^2+$E$22*I2171+$F$22)/2</f>
      </c>
      <c r="X2171" s="7">
        <f>($W2171)*(T2171)</f>
      </c>
      <c r="Y2171" s="7">
        <f>($W2171)*(U2171)</f>
      </c>
      <c r="Z2171" s="7">
        <f>SQRT(X2171^2+Y2171^2)</f>
      </c>
      <c r="AA2171" s="7">
        <f>$K2171+$X2171</f>
      </c>
      <c r="AB2171" s="7">
        <f>$L2171+$Y2171</f>
      </c>
      <c r="AC2171" s="7">
        <f>$K2171-$X2171</f>
      </c>
      <c r="AD2171" s="7">
        <f>$L2171-$Y2171</f>
      </c>
      <c r="AE2171" s="7">
        <f>AA2171/39.3701</f>
      </c>
      <c r="AF2171" s="7">
        <f>AB2171/39.3701</f>
      </c>
      <c r="AG2171" s="7">
        <f>AC2171/39.3701</f>
      </c>
      <c r="AH2171" s="7">
        <f>AD2171/39.3701</f>
      </c>
      <c r="AI2171" s="1"/>
      <c r="AJ2171" s="1"/>
      <c r="AK2171" s="1"/>
      <c r="AL2171" s="1"/>
      <c r="AM2171" s="2"/>
      <c r="AN2171" s="1"/>
      <c r="AO2171" s="1"/>
      <c r="AP2171" s="1"/>
      <c r="AQ2171" s="1"/>
      <c r="AR2171" s="1"/>
      <c r="AS2171" s="1"/>
      <c r="AT2171" s="1"/>
      <c r="AU2171" s="1"/>
      <c r="AV2171" s="1"/>
      <c r="AW2171" s="1"/>
      <c r="AX2171" s="1"/>
      <c r="AY2171" s="1"/>
      <c r="AZ2171" s="1"/>
      <c r="BA2171" s="1"/>
      <c r="BB2171" s="1"/>
      <c r="BC2171" s="1"/>
      <c r="BD2171" s="1"/>
      <c r="BE2171" s="1"/>
    </row>
    <row x14ac:dyDescent="0.25" r="2172" customHeight="1" ht="18.75">
      <c r="A2172" s="1"/>
      <c r="B2172" s="2"/>
      <c r="C2172" s="2"/>
      <c r="D2172" s="2"/>
      <c r="E2172" s="2"/>
      <c r="F2172" s="2"/>
      <c r="G2172" s="1"/>
      <c r="H2172" s="1"/>
      <c r="I2172" s="7">
        <v>2.169</v>
      </c>
      <c r="J2172" s="7">
        <f>IF((I2172-ROUNDDOWN(I2172,0))=0, 0, (I2172-ROUNDDOWN(I2172,0)))</f>
      </c>
      <c r="K2172" s="7">
        <f>INDIRECT("C$"&amp;2+MIN(2,ROUNDDOWN(I2172,0))*3)*(-$J2172^3+3*$J2172^2-3*$J2172+1)+INDIRECT("C$"&amp;3+MIN(2,ROUNDDOWN(I2172,0))*3)*(3*$J2172^3-6*$J2172^2+3*$J2172)+INDIRECT("C$"&amp;4+MIN(2,ROUNDDOWN(I2172,0))*3)*(-3*$J2172^3+3*$J2172^2)+INDIRECT("C$"&amp;5+MIN(2,ROUNDDOWN(I2172,0))*3)*$J2172^3</f>
      </c>
      <c r="L2172" s="7">
        <f>INDIRECT("D$"&amp;2+MIN(2,ROUNDDOWN(I2172,0))*3)*(-$J2172^3+3*$J2172^2-3*$J2172+1)+INDIRECT("D$"&amp;3+MIN(2,ROUNDDOWN(I2172,0))*3)*(3*$J2172^3-6*$J2172^2+3*$J2172)+INDIRECT("D$"&amp;4+MIN(2,ROUNDDOWN(I2172,0))*3)*(-3*$J2172^3+3*$J2172^2)+INDIRECT("D$"&amp;5+MIN(2,ROUNDDOWN(I2172,0))*3)*$J2172^3</f>
      </c>
      <c r="M2172" s="7">
        <f>SQRT(K2172^2+L2172^2)</f>
      </c>
      <c r="N2172" s="7">
        <f>(K2173-K2171)</f>
      </c>
      <c r="O2172" s="7">
        <f>+(L2173-L2171)</f>
      </c>
      <c r="P2172" s="7">
        <f>SQRT(O2172^2+N2172^2)</f>
      </c>
      <c r="Q2172" s="7">
        <f>N2172/$P2172</f>
      </c>
      <c r="R2172" s="7">
        <f>O2172/$P2172</f>
      </c>
      <c r="S2172" s="8">
        <f>Q2172^2+R2172^2</f>
      </c>
      <c r="T2172" s="7">
        <f>-R2172</f>
      </c>
      <c r="U2172" s="7">
        <f>Q2172</f>
      </c>
      <c r="V2172" s="7">
        <f>($C$14+($C$15-$C$14)/($D$15-$D$14)*(I2172-$D$14))/2</f>
      </c>
      <c r="W2172" s="7">
        <f>($B$22*I2172^4+$C$22*I2172^3+$D$22*I2172^2+$E$22*I2172+$F$22)/2</f>
      </c>
      <c r="X2172" s="7">
        <f>($W2172)*(T2172)</f>
      </c>
      <c r="Y2172" s="7">
        <f>($W2172)*(U2172)</f>
      </c>
      <c r="Z2172" s="7">
        <f>SQRT(X2172^2+Y2172^2)</f>
      </c>
      <c r="AA2172" s="7">
        <f>$K2172+$X2172</f>
      </c>
      <c r="AB2172" s="7">
        <f>$L2172+$Y2172</f>
      </c>
      <c r="AC2172" s="7">
        <f>$K2172-$X2172</f>
      </c>
      <c r="AD2172" s="7">
        <f>$L2172-$Y2172</f>
      </c>
      <c r="AE2172" s="7">
        <f>AA2172/39.3701</f>
      </c>
      <c r="AF2172" s="7">
        <f>AB2172/39.3701</f>
      </c>
      <c r="AG2172" s="7">
        <f>AC2172/39.3701</f>
      </c>
      <c r="AH2172" s="7">
        <f>AD2172/39.3701</f>
      </c>
      <c r="AI2172" s="1"/>
      <c r="AJ2172" s="1"/>
      <c r="AK2172" s="1"/>
      <c r="AL2172" s="1"/>
      <c r="AM2172" s="2"/>
      <c r="AN2172" s="1"/>
      <c r="AO2172" s="1"/>
      <c r="AP2172" s="1"/>
      <c r="AQ2172" s="1"/>
      <c r="AR2172" s="1"/>
      <c r="AS2172" s="1"/>
      <c r="AT2172" s="1"/>
      <c r="AU2172" s="1"/>
      <c r="AV2172" s="1"/>
      <c r="AW2172" s="1"/>
      <c r="AX2172" s="1"/>
      <c r="AY2172" s="1"/>
      <c r="AZ2172" s="1"/>
      <c r="BA2172" s="1"/>
      <c r="BB2172" s="1"/>
      <c r="BC2172" s="1"/>
      <c r="BD2172" s="1"/>
      <c r="BE2172" s="1"/>
    </row>
    <row x14ac:dyDescent="0.25" r="2173" customHeight="1" ht="18.75">
      <c r="A2173" s="1"/>
      <c r="B2173" s="2"/>
      <c r="C2173" s="2"/>
      <c r="D2173" s="2"/>
      <c r="E2173" s="2"/>
      <c r="F2173" s="2"/>
      <c r="G2173" s="1"/>
      <c r="H2173" s="1"/>
      <c r="I2173" s="7">
        <v>2.17</v>
      </c>
      <c r="J2173" s="7">
        <f>IF((I2173-ROUNDDOWN(I2173,0))=0, 0, (I2173-ROUNDDOWN(I2173,0)))</f>
      </c>
      <c r="K2173" s="7">
        <f>INDIRECT("C$"&amp;2+MIN(2,ROUNDDOWN(I2173,0))*3)*(-$J2173^3+3*$J2173^2-3*$J2173+1)+INDIRECT("C$"&amp;3+MIN(2,ROUNDDOWN(I2173,0))*3)*(3*$J2173^3-6*$J2173^2+3*$J2173)+INDIRECT("C$"&amp;4+MIN(2,ROUNDDOWN(I2173,0))*3)*(-3*$J2173^3+3*$J2173^2)+INDIRECT("C$"&amp;5+MIN(2,ROUNDDOWN(I2173,0))*3)*$J2173^3</f>
      </c>
      <c r="L2173" s="7">
        <f>INDIRECT("D$"&amp;2+MIN(2,ROUNDDOWN(I2173,0))*3)*(-$J2173^3+3*$J2173^2-3*$J2173+1)+INDIRECT("D$"&amp;3+MIN(2,ROUNDDOWN(I2173,0))*3)*(3*$J2173^3-6*$J2173^2+3*$J2173)+INDIRECT("D$"&amp;4+MIN(2,ROUNDDOWN(I2173,0))*3)*(-3*$J2173^3+3*$J2173^2)+INDIRECT("D$"&amp;5+MIN(2,ROUNDDOWN(I2173,0))*3)*$J2173^3</f>
      </c>
      <c r="M2173" s="7">
        <f>SQRT(K2173^2+L2173^2)</f>
      </c>
      <c r="N2173" s="7">
        <f>(K2174-K2172)</f>
      </c>
      <c r="O2173" s="7">
        <f>+(L2174-L2172)</f>
      </c>
      <c r="P2173" s="7">
        <f>SQRT(O2173^2+N2173^2)</f>
      </c>
      <c r="Q2173" s="7">
        <f>N2173/$P2173</f>
      </c>
      <c r="R2173" s="7">
        <f>O2173/$P2173</f>
      </c>
      <c r="S2173" s="7">
        <f>Q2173^2+R2173^2</f>
      </c>
      <c r="T2173" s="7">
        <f>-R2173</f>
      </c>
      <c r="U2173" s="7">
        <f>Q2173</f>
      </c>
      <c r="V2173" s="7">
        <f>($C$14+($C$15-$C$14)/($D$15-$D$14)*(I2173-$D$14))/2</f>
      </c>
      <c r="W2173" s="7">
        <f>($B$22*I2173^4+$C$22*I2173^3+$D$22*I2173^2+$E$22*I2173+$F$22)/2</f>
      </c>
      <c r="X2173" s="7">
        <f>($W2173)*(T2173)</f>
      </c>
      <c r="Y2173" s="7">
        <f>($W2173)*(U2173)</f>
      </c>
      <c r="Z2173" s="7">
        <f>SQRT(X2173^2+Y2173^2)</f>
      </c>
      <c r="AA2173" s="7">
        <f>$K2173+$X2173</f>
      </c>
      <c r="AB2173" s="7">
        <f>$L2173+$Y2173</f>
      </c>
      <c r="AC2173" s="7">
        <f>$K2173-$X2173</f>
      </c>
      <c r="AD2173" s="7">
        <f>$L2173-$Y2173</f>
      </c>
      <c r="AE2173" s="7">
        <f>AA2173/39.3701</f>
      </c>
      <c r="AF2173" s="7">
        <f>AB2173/39.3701</f>
      </c>
      <c r="AG2173" s="7">
        <f>AC2173/39.3701</f>
      </c>
      <c r="AH2173" s="7">
        <f>AD2173/39.3701</f>
      </c>
      <c r="AI2173" s="1"/>
      <c r="AJ2173" s="1"/>
      <c r="AK2173" s="1"/>
      <c r="AL2173" s="1"/>
      <c r="AM2173" s="2"/>
      <c r="AN2173" s="1"/>
      <c r="AO2173" s="1"/>
      <c r="AP2173" s="1"/>
      <c r="AQ2173" s="1"/>
      <c r="AR2173" s="1"/>
      <c r="AS2173" s="1"/>
      <c r="AT2173" s="1"/>
      <c r="AU2173" s="1"/>
      <c r="AV2173" s="1"/>
      <c r="AW2173" s="1"/>
      <c r="AX2173" s="1"/>
      <c r="AY2173" s="1"/>
      <c r="AZ2173" s="1"/>
      <c r="BA2173" s="1"/>
      <c r="BB2173" s="1"/>
      <c r="BC2173" s="1"/>
      <c r="BD2173" s="1"/>
      <c r="BE2173" s="1"/>
    </row>
    <row x14ac:dyDescent="0.25" r="2174" customHeight="1" ht="18.75">
      <c r="A2174" s="1"/>
      <c r="B2174" s="2"/>
      <c r="C2174" s="2"/>
      <c r="D2174" s="2"/>
      <c r="E2174" s="2"/>
      <c r="F2174" s="2"/>
      <c r="G2174" s="1"/>
      <c r="H2174" s="1"/>
      <c r="I2174" s="7">
        <v>2.171</v>
      </c>
      <c r="J2174" s="7">
        <f>IF((I2174-ROUNDDOWN(I2174,0))=0, 0, (I2174-ROUNDDOWN(I2174,0)))</f>
      </c>
      <c r="K2174" s="7">
        <f>INDIRECT("C$"&amp;2+MIN(2,ROUNDDOWN(I2174,0))*3)*(-$J2174^3+3*$J2174^2-3*$J2174+1)+INDIRECT("C$"&amp;3+MIN(2,ROUNDDOWN(I2174,0))*3)*(3*$J2174^3-6*$J2174^2+3*$J2174)+INDIRECT("C$"&amp;4+MIN(2,ROUNDDOWN(I2174,0))*3)*(-3*$J2174^3+3*$J2174^2)+INDIRECT("C$"&amp;5+MIN(2,ROUNDDOWN(I2174,0))*3)*$J2174^3</f>
      </c>
      <c r="L2174" s="7">
        <f>INDIRECT("D$"&amp;2+MIN(2,ROUNDDOWN(I2174,0))*3)*(-$J2174^3+3*$J2174^2-3*$J2174+1)+INDIRECT("D$"&amp;3+MIN(2,ROUNDDOWN(I2174,0))*3)*(3*$J2174^3-6*$J2174^2+3*$J2174)+INDIRECT("D$"&amp;4+MIN(2,ROUNDDOWN(I2174,0))*3)*(-3*$J2174^3+3*$J2174^2)+INDIRECT("D$"&amp;5+MIN(2,ROUNDDOWN(I2174,0))*3)*$J2174^3</f>
      </c>
      <c r="M2174" s="7">
        <f>SQRT(K2174^2+L2174^2)</f>
      </c>
      <c r="N2174" s="7">
        <f>(K2175-K2173)</f>
      </c>
      <c r="O2174" s="7">
        <f>+(L2175-L2173)</f>
      </c>
      <c r="P2174" s="7">
        <f>SQRT(O2174^2+N2174^2)</f>
      </c>
      <c r="Q2174" s="7">
        <f>N2174/$P2174</f>
      </c>
      <c r="R2174" s="7">
        <f>O2174/$P2174</f>
      </c>
      <c r="S2174" s="7">
        <f>Q2174^2+R2174^2</f>
      </c>
      <c r="T2174" s="7">
        <f>-R2174</f>
      </c>
      <c r="U2174" s="7">
        <f>Q2174</f>
      </c>
      <c r="V2174" s="7">
        <f>($C$14+($C$15-$C$14)/($D$15-$D$14)*(I2174-$D$14))/2</f>
      </c>
      <c r="W2174" s="7">
        <f>($B$22*I2174^4+$C$22*I2174^3+$D$22*I2174^2+$E$22*I2174+$F$22)/2</f>
      </c>
      <c r="X2174" s="7">
        <f>($W2174)*(T2174)</f>
      </c>
      <c r="Y2174" s="7">
        <f>($W2174)*(U2174)</f>
      </c>
      <c r="Z2174" s="7">
        <f>SQRT(X2174^2+Y2174^2)</f>
      </c>
      <c r="AA2174" s="7">
        <f>$K2174+$X2174</f>
      </c>
      <c r="AB2174" s="7">
        <f>$L2174+$Y2174</f>
      </c>
      <c r="AC2174" s="7">
        <f>$K2174-$X2174</f>
      </c>
      <c r="AD2174" s="7">
        <f>$L2174-$Y2174</f>
      </c>
      <c r="AE2174" s="7">
        <f>AA2174/39.3701</f>
      </c>
      <c r="AF2174" s="7">
        <f>AB2174/39.3701</f>
      </c>
      <c r="AG2174" s="7">
        <f>AC2174/39.3701</f>
      </c>
      <c r="AH2174" s="7">
        <f>AD2174/39.3701</f>
      </c>
      <c r="AI2174" s="1"/>
      <c r="AJ2174" s="1"/>
      <c r="AK2174" s="1"/>
      <c r="AL2174" s="1"/>
      <c r="AM2174" s="2"/>
      <c r="AN2174" s="1"/>
      <c r="AO2174" s="1"/>
      <c r="AP2174" s="1"/>
      <c r="AQ2174" s="1"/>
      <c r="AR2174" s="1"/>
      <c r="AS2174" s="1"/>
      <c r="AT2174" s="1"/>
      <c r="AU2174" s="1"/>
      <c r="AV2174" s="1"/>
      <c r="AW2174" s="1"/>
      <c r="AX2174" s="1"/>
      <c r="AY2174" s="1"/>
      <c r="AZ2174" s="1"/>
      <c r="BA2174" s="1"/>
      <c r="BB2174" s="1"/>
      <c r="BC2174" s="1"/>
      <c r="BD2174" s="1"/>
      <c r="BE2174" s="1"/>
    </row>
    <row x14ac:dyDescent="0.25" r="2175" customHeight="1" ht="18.75">
      <c r="A2175" s="1"/>
      <c r="B2175" s="2"/>
      <c r="C2175" s="2"/>
      <c r="D2175" s="2"/>
      <c r="E2175" s="2"/>
      <c r="F2175" s="2"/>
      <c r="G2175" s="1"/>
      <c r="H2175" s="1"/>
      <c r="I2175" s="7">
        <v>2.172</v>
      </c>
      <c r="J2175" s="7">
        <f>IF((I2175-ROUNDDOWN(I2175,0))=0, 0, (I2175-ROUNDDOWN(I2175,0)))</f>
      </c>
      <c r="K2175" s="7">
        <f>INDIRECT("C$"&amp;2+MIN(2,ROUNDDOWN(I2175,0))*3)*(-$J2175^3+3*$J2175^2-3*$J2175+1)+INDIRECT("C$"&amp;3+MIN(2,ROUNDDOWN(I2175,0))*3)*(3*$J2175^3-6*$J2175^2+3*$J2175)+INDIRECT("C$"&amp;4+MIN(2,ROUNDDOWN(I2175,0))*3)*(-3*$J2175^3+3*$J2175^2)+INDIRECT("C$"&amp;5+MIN(2,ROUNDDOWN(I2175,0))*3)*$J2175^3</f>
      </c>
      <c r="L2175" s="7">
        <f>INDIRECT("D$"&amp;2+MIN(2,ROUNDDOWN(I2175,0))*3)*(-$J2175^3+3*$J2175^2-3*$J2175+1)+INDIRECT("D$"&amp;3+MIN(2,ROUNDDOWN(I2175,0))*3)*(3*$J2175^3-6*$J2175^2+3*$J2175)+INDIRECT("D$"&amp;4+MIN(2,ROUNDDOWN(I2175,0))*3)*(-3*$J2175^3+3*$J2175^2)+INDIRECT("D$"&amp;5+MIN(2,ROUNDDOWN(I2175,0))*3)*$J2175^3</f>
      </c>
      <c r="M2175" s="7">
        <f>SQRT(K2175^2+L2175^2)</f>
      </c>
      <c r="N2175" s="7">
        <f>(K2176-K2174)</f>
      </c>
      <c r="O2175" s="7">
        <f>+(L2176-L2174)</f>
      </c>
      <c r="P2175" s="7">
        <f>SQRT(O2175^2+N2175^2)</f>
      </c>
      <c r="Q2175" s="7">
        <f>N2175/$P2175</f>
      </c>
      <c r="R2175" s="7">
        <f>O2175/$P2175</f>
      </c>
      <c r="S2175" s="8">
        <f>Q2175^2+R2175^2</f>
      </c>
      <c r="T2175" s="7">
        <f>-R2175</f>
      </c>
      <c r="U2175" s="7">
        <f>Q2175</f>
      </c>
      <c r="V2175" s="7">
        <f>($C$14+($C$15-$C$14)/($D$15-$D$14)*(I2175-$D$14))/2</f>
      </c>
      <c r="W2175" s="7">
        <f>($B$22*I2175^4+$C$22*I2175^3+$D$22*I2175^2+$E$22*I2175+$F$22)/2</f>
      </c>
      <c r="X2175" s="7">
        <f>($W2175)*(T2175)</f>
      </c>
      <c r="Y2175" s="7">
        <f>($W2175)*(U2175)</f>
      </c>
      <c r="Z2175" s="7">
        <f>SQRT(X2175^2+Y2175^2)</f>
      </c>
      <c r="AA2175" s="7">
        <f>$K2175+$X2175</f>
      </c>
      <c r="AB2175" s="7">
        <f>$L2175+$Y2175</f>
      </c>
      <c r="AC2175" s="7">
        <f>$K2175-$X2175</f>
      </c>
      <c r="AD2175" s="7">
        <f>$L2175-$Y2175</f>
      </c>
      <c r="AE2175" s="7">
        <f>AA2175/39.3701</f>
      </c>
      <c r="AF2175" s="7">
        <f>AB2175/39.3701</f>
      </c>
      <c r="AG2175" s="7">
        <f>AC2175/39.3701</f>
      </c>
      <c r="AH2175" s="7">
        <f>AD2175/39.3701</f>
      </c>
      <c r="AI2175" s="1"/>
      <c r="AJ2175" s="1"/>
      <c r="AK2175" s="1"/>
      <c r="AL2175" s="1"/>
      <c r="AM2175" s="2"/>
      <c r="AN2175" s="1"/>
      <c r="AO2175" s="1"/>
      <c r="AP2175" s="1"/>
      <c r="AQ2175" s="1"/>
      <c r="AR2175" s="1"/>
      <c r="AS2175" s="1"/>
      <c r="AT2175" s="1"/>
      <c r="AU2175" s="1"/>
      <c r="AV2175" s="1"/>
      <c r="AW2175" s="1"/>
      <c r="AX2175" s="1"/>
      <c r="AY2175" s="1"/>
      <c r="AZ2175" s="1"/>
      <c r="BA2175" s="1"/>
      <c r="BB2175" s="1"/>
      <c r="BC2175" s="1"/>
      <c r="BD2175" s="1"/>
      <c r="BE2175" s="1"/>
    </row>
    <row x14ac:dyDescent="0.25" r="2176" customHeight="1" ht="18.75">
      <c r="A2176" s="1"/>
      <c r="B2176" s="2"/>
      <c r="C2176" s="2"/>
      <c r="D2176" s="2"/>
      <c r="E2176" s="2"/>
      <c r="F2176" s="2"/>
      <c r="G2176" s="1"/>
      <c r="H2176" s="1"/>
      <c r="I2176" s="7">
        <v>2.173</v>
      </c>
      <c r="J2176" s="7">
        <f>IF((I2176-ROUNDDOWN(I2176,0))=0, 0, (I2176-ROUNDDOWN(I2176,0)))</f>
      </c>
      <c r="K2176" s="7">
        <f>INDIRECT("C$"&amp;2+MIN(2,ROUNDDOWN(I2176,0))*3)*(-$J2176^3+3*$J2176^2-3*$J2176+1)+INDIRECT("C$"&amp;3+MIN(2,ROUNDDOWN(I2176,0))*3)*(3*$J2176^3-6*$J2176^2+3*$J2176)+INDIRECT("C$"&amp;4+MIN(2,ROUNDDOWN(I2176,0))*3)*(-3*$J2176^3+3*$J2176^2)+INDIRECT("C$"&amp;5+MIN(2,ROUNDDOWN(I2176,0))*3)*$J2176^3</f>
      </c>
      <c r="L2176" s="7">
        <f>INDIRECT("D$"&amp;2+MIN(2,ROUNDDOWN(I2176,0))*3)*(-$J2176^3+3*$J2176^2-3*$J2176+1)+INDIRECT("D$"&amp;3+MIN(2,ROUNDDOWN(I2176,0))*3)*(3*$J2176^3-6*$J2176^2+3*$J2176)+INDIRECT("D$"&amp;4+MIN(2,ROUNDDOWN(I2176,0))*3)*(-3*$J2176^3+3*$J2176^2)+INDIRECT("D$"&amp;5+MIN(2,ROUNDDOWN(I2176,0))*3)*$J2176^3</f>
      </c>
      <c r="M2176" s="7">
        <f>SQRT(K2176^2+L2176^2)</f>
      </c>
      <c r="N2176" s="7">
        <f>(K2177-K2175)</f>
      </c>
      <c r="O2176" s="7">
        <f>+(L2177-L2175)</f>
      </c>
      <c r="P2176" s="7">
        <f>SQRT(O2176^2+N2176^2)</f>
      </c>
      <c r="Q2176" s="7">
        <f>N2176/$P2176</f>
      </c>
      <c r="R2176" s="7">
        <f>O2176/$P2176</f>
      </c>
      <c r="S2176" s="8">
        <f>Q2176^2+R2176^2</f>
      </c>
      <c r="T2176" s="7">
        <f>-R2176</f>
      </c>
      <c r="U2176" s="7">
        <f>Q2176</f>
      </c>
      <c r="V2176" s="7">
        <f>($C$14+($C$15-$C$14)/($D$15-$D$14)*(I2176-$D$14))/2</f>
      </c>
      <c r="W2176" s="7">
        <f>($B$22*I2176^4+$C$22*I2176^3+$D$22*I2176^2+$E$22*I2176+$F$22)/2</f>
      </c>
      <c r="X2176" s="7">
        <f>($W2176)*(T2176)</f>
      </c>
      <c r="Y2176" s="7">
        <f>($W2176)*(U2176)</f>
      </c>
      <c r="Z2176" s="7">
        <f>SQRT(X2176^2+Y2176^2)</f>
      </c>
      <c r="AA2176" s="7">
        <f>$K2176+$X2176</f>
      </c>
      <c r="AB2176" s="7">
        <f>$L2176+$Y2176</f>
      </c>
      <c r="AC2176" s="7">
        <f>$K2176-$X2176</f>
      </c>
      <c r="AD2176" s="7">
        <f>$L2176-$Y2176</f>
      </c>
      <c r="AE2176" s="7">
        <f>AA2176/39.3701</f>
      </c>
      <c r="AF2176" s="7">
        <f>AB2176/39.3701</f>
      </c>
      <c r="AG2176" s="7">
        <f>AC2176/39.3701</f>
      </c>
      <c r="AH2176" s="7">
        <f>AD2176/39.3701</f>
      </c>
      <c r="AI2176" s="1"/>
      <c r="AJ2176" s="1"/>
      <c r="AK2176" s="1"/>
      <c r="AL2176" s="1"/>
      <c r="AM2176" s="2"/>
      <c r="AN2176" s="1"/>
      <c r="AO2176" s="1"/>
      <c r="AP2176" s="1"/>
      <c r="AQ2176" s="1"/>
      <c r="AR2176" s="1"/>
      <c r="AS2176" s="1"/>
      <c r="AT2176" s="1"/>
      <c r="AU2176" s="1"/>
      <c r="AV2176" s="1"/>
      <c r="AW2176" s="1"/>
      <c r="AX2176" s="1"/>
      <c r="AY2176" s="1"/>
      <c r="AZ2176" s="1"/>
      <c r="BA2176" s="1"/>
      <c r="BB2176" s="1"/>
      <c r="BC2176" s="1"/>
      <c r="BD2176" s="1"/>
      <c r="BE2176" s="1"/>
    </row>
    <row x14ac:dyDescent="0.25" r="2177" customHeight="1" ht="18.75">
      <c r="A2177" s="1"/>
      <c r="B2177" s="2"/>
      <c r="C2177" s="2"/>
      <c r="D2177" s="2"/>
      <c r="E2177" s="2"/>
      <c r="F2177" s="2"/>
      <c r="G2177" s="1"/>
      <c r="H2177" s="1"/>
      <c r="I2177" s="7">
        <v>2.174</v>
      </c>
      <c r="J2177" s="7">
        <f>IF((I2177-ROUNDDOWN(I2177,0))=0, 0, (I2177-ROUNDDOWN(I2177,0)))</f>
      </c>
      <c r="K2177" s="7">
        <f>INDIRECT("C$"&amp;2+MIN(2,ROUNDDOWN(I2177,0))*3)*(-$J2177^3+3*$J2177^2-3*$J2177+1)+INDIRECT("C$"&amp;3+MIN(2,ROUNDDOWN(I2177,0))*3)*(3*$J2177^3-6*$J2177^2+3*$J2177)+INDIRECT("C$"&amp;4+MIN(2,ROUNDDOWN(I2177,0))*3)*(-3*$J2177^3+3*$J2177^2)+INDIRECT("C$"&amp;5+MIN(2,ROUNDDOWN(I2177,0))*3)*$J2177^3</f>
      </c>
      <c r="L2177" s="7">
        <f>INDIRECT("D$"&amp;2+MIN(2,ROUNDDOWN(I2177,0))*3)*(-$J2177^3+3*$J2177^2-3*$J2177+1)+INDIRECT("D$"&amp;3+MIN(2,ROUNDDOWN(I2177,0))*3)*(3*$J2177^3-6*$J2177^2+3*$J2177)+INDIRECT("D$"&amp;4+MIN(2,ROUNDDOWN(I2177,0))*3)*(-3*$J2177^3+3*$J2177^2)+INDIRECT("D$"&amp;5+MIN(2,ROUNDDOWN(I2177,0))*3)*$J2177^3</f>
      </c>
      <c r="M2177" s="7">
        <f>SQRT(K2177^2+L2177^2)</f>
      </c>
      <c r="N2177" s="7">
        <f>(K2178-K2176)</f>
      </c>
      <c r="O2177" s="7">
        <f>+(L2178-L2176)</f>
      </c>
      <c r="P2177" s="7">
        <f>SQRT(O2177^2+N2177^2)</f>
      </c>
      <c r="Q2177" s="7">
        <f>N2177/$P2177</f>
      </c>
      <c r="R2177" s="7">
        <f>O2177/$P2177</f>
      </c>
      <c r="S2177" s="8">
        <f>Q2177^2+R2177^2</f>
      </c>
      <c r="T2177" s="7">
        <f>-R2177</f>
      </c>
      <c r="U2177" s="7">
        <f>Q2177</f>
      </c>
      <c r="V2177" s="7">
        <f>($C$14+($C$15-$C$14)/($D$15-$D$14)*(I2177-$D$14))/2</f>
      </c>
      <c r="W2177" s="7">
        <f>($B$22*I2177^4+$C$22*I2177^3+$D$22*I2177^2+$E$22*I2177+$F$22)/2</f>
      </c>
      <c r="X2177" s="7">
        <f>($W2177)*(T2177)</f>
      </c>
      <c r="Y2177" s="7">
        <f>($W2177)*(U2177)</f>
      </c>
      <c r="Z2177" s="7">
        <f>SQRT(X2177^2+Y2177^2)</f>
      </c>
      <c r="AA2177" s="7">
        <f>$K2177+$X2177</f>
      </c>
      <c r="AB2177" s="7">
        <f>$L2177+$Y2177</f>
      </c>
      <c r="AC2177" s="7">
        <f>$K2177-$X2177</f>
      </c>
      <c r="AD2177" s="7">
        <f>$L2177-$Y2177</f>
      </c>
      <c r="AE2177" s="7">
        <f>AA2177/39.3701</f>
      </c>
      <c r="AF2177" s="7">
        <f>AB2177/39.3701</f>
      </c>
      <c r="AG2177" s="7">
        <f>AC2177/39.3701</f>
      </c>
      <c r="AH2177" s="7">
        <f>AD2177/39.3701</f>
      </c>
      <c r="AI2177" s="1"/>
      <c r="AJ2177" s="1"/>
      <c r="AK2177" s="1"/>
      <c r="AL2177" s="1"/>
      <c r="AM2177" s="2"/>
      <c r="AN2177" s="1"/>
      <c r="AO2177" s="1"/>
      <c r="AP2177" s="1"/>
      <c r="AQ2177" s="1"/>
      <c r="AR2177" s="1"/>
      <c r="AS2177" s="1"/>
      <c r="AT2177" s="1"/>
      <c r="AU2177" s="1"/>
      <c r="AV2177" s="1"/>
      <c r="AW2177" s="1"/>
      <c r="AX2177" s="1"/>
      <c r="AY2177" s="1"/>
      <c r="AZ2177" s="1"/>
      <c r="BA2177" s="1"/>
      <c r="BB2177" s="1"/>
      <c r="BC2177" s="1"/>
      <c r="BD2177" s="1"/>
      <c r="BE2177" s="1"/>
    </row>
    <row x14ac:dyDescent="0.25" r="2178" customHeight="1" ht="18.75">
      <c r="A2178" s="1"/>
      <c r="B2178" s="2"/>
      <c r="C2178" s="2"/>
      <c r="D2178" s="2"/>
      <c r="E2178" s="2"/>
      <c r="F2178" s="2"/>
      <c r="G2178" s="1"/>
      <c r="H2178" s="1"/>
      <c r="I2178" s="7">
        <v>2.175</v>
      </c>
      <c r="J2178" s="7">
        <f>IF((I2178-ROUNDDOWN(I2178,0))=0, 0, (I2178-ROUNDDOWN(I2178,0)))</f>
      </c>
      <c r="K2178" s="7">
        <f>INDIRECT("C$"&amp;2+MIN(2,ROUNDDOWN(I2178,0))*3)*(-$J2178^3+3*$J2178^2-3*$J2178+1)+INDIRECT("C$"&amp;3+MIN(2,ROUNDDOWN(I2178,0))*3)*(3*$J2178^3-6*$J2178^2+3*$J2178)+INDIRECT("C$"&amp;4+MIN(2,ROUNDDOWN(I2178,0))*3)*(-3*$J2178^3+3*$J2178^2)+INDIRECT("C$"&amp;5+MIN(2,ROUNDDOWN(I2178,0))*3)*$J2178^3</f>
      </c>
      <c r="L2178" s="7">
        <f>INDIRECT("D$"&amp;2+MIN(2,ROUNDDOWN(I2178,0))*3)*(-$J2178^3+3*$J2178^2-3*$J2178+1)+INDIRECT("D$"&amp;3+MIN(2,ROUNDDOWN(I2178,0))*3)*(3*$J2178^3-6*$J2178^2+3*$J2178)+INDIRECT("D$"&amp;4+MIN(2,ROUNDDOWN(I2178,0))*3)*(-3*$J2178^3+3*$J2178^2)+INDIRECT("D$"&amp;5+MIN(2,ROUNDDOWN(I2178,0))*3)*$J2178^3</f>
      </c>
      <c r="M2178" s="7">
        <f>SQRT(K2178^2+L2178^2)</f>
      </c>
      <c r="N2178" s="7">
        <f>(K2179-K2177)</f>
      </c>
      <c r="O2178" s="7">
        <f>+(L2179-L2177)</f>
      </c>
      <c r="P2178" s="7">
        <f>SQRT(O2178^2+N2178^2)</f>
      </c>
      <c r="Q2178" s="7">
        <f>N2178/$P2178</f>
      </c>
      <c r="R2178" s="7">
        <f>O2178/$P2178</f>
      </c>
      <c r="S2178" s="7">
        <f>Q2178^2+R2178^2</f>
      </c>
      <c r="T2178" s="7">
        <f>-R2178</f>
      </c>
      <c r="U2178" s="7">
        <f>Q2178</f>
      </c>
      <c r="V2178" s="7">
        <f>($C$14+($C$15-$C$14)/($D$15-$D$14)*(I2178-$D$14))/2</f>
      </c>
      <c r="W2178" s="7">
        <f>($B$22*I2178^4+$C$22*I2178^3+$D$22*I2178^2+$E$22*I2178+$F$22)/2</f>
      </c>
      <c r="X2178" s="7">
        <f>($W2178)*(T2178)</f>
      </c>
      <c r="Y2178" s="7">
        <f>($W2178)*(U2178)</f>
      </c>
      <c r="Z2178" s="7">
        <f>SQRT(X2178^2+Y2178^2)</f>
      </c>
      <c r="AA2178" s="7">
        <f>$K2178+$X2178</f>
      </c>
      <c r="AB2178" s="7">
        <f>$L2178+$Y2178</f>
      </c>
      <c r="AC2178" s="7">
        <f>$K2178-$X2178</f>
      </c>
      <c r="AD2178" s="7">
        <f>$L2178-$Y2178</f>
      </c>
      <c r="AE2178" s="7">
        <f>AA2178/39.3701</f>
      </c>
      <c r="AF2178" s="7">
        <f>AB2178/39.3701</f>
      </c>
      <c r="AG2178" s="7">
        <f>AC2178/39.3701</f>
      </c>
      <c r="AH2178" s="7">
        <f>AD2178/39.3701</f>
      </c>
      <c r="AI2178" s="1"/>
      <c r="AJ2178" s="1"/>
      <c r="AK2178" s="1"/>
      <c r="AL2178" s="1"/>
      <c r="AM2178" s="2"/>
      <c r="AN2178" s="1"/>
      <c r="AO2178" s="1"/>
      <c r="AP2178" s="1"/>
      <c r="AQ2178" s="1"/>
      <c r="AR2178" s="1"/>
      <c r="AS2178" s="1"/>
      <c r="AT2178" s="1"/>
      <c r="AU2178" s="1"/>
      <c r="AV2178" s="1"/>
      <c r="AW2178" s="1"/>
      <c r="AX2178" s="1"/>
      <c r="AY2178" s="1"/>
      <c r="AZ2178" s="1"/>
      <c r="BA2178" s="1"/>
      <c r="BB2178" s="1"/>
      <c r="BC2178" s="1"/>
      <c r="BD2178" s="1"/>
      <c r="BE2178" s="1"/>
    </row>
    <row x14ac:dyDescent="0.25" r="2179" customHeight="1" ht="18.75">
      <c r="A2179" s="1"/>
      <c r="B2179" s="2"/>
      <c r="C2179" s="2"/>
      <c r="D2179" s="2"/>
      <c r="E2179" s="2"/>
      <c r="F2179" s="2"/>
      <c r="G2179" s="1"/>
      <c r="H2179" s="1"/>
      <c r="I2179" s="7">
        <v>2.176</v>
      </c>
      <c r="J2179" s="7">
        <f>IF((I2179-ROUNDDOWN(I2179,0))=0, 0, (I2179-ROUNDDOWN(I2179,0)))</f>
      </c>
      <c r="K2179" s="7">
        <f>INDIRECT("C$"&amp;2+MIN(2,ROUNDDOWN(I2179,0))*3)*(-$J2179^3+3*$J2179^2-3*$J2179+1)+INDIRECT("C$"&amp;3+MIN(2,ROUNDDOWN(I2179,0))*3)*(3*$J2179^3-6*$J2179^2+3*$J2179)+INDIRECT("C$"&amp;4+MIN(2,ROUNDDOWN(I2179,0))*3)*(-3*$J2179^3+3*$J2179^2)+INDIRECT("C$"&amp;5+MIN(2,ROUNDDOWN(I2179,0))*3)*$J2179^3</f>
      </c>
      <c r="L2179" s="7">
        <f>INDIRECT("D$"&amp;2+MIN(2,ROUNDDOWN(I2179,0))*3)*(-$J2179^3+3*$J2179^2-3*$J2179+1)+INDIRECT("D$"&amp;3+MIN(2,ROUNDDOWN(I2179,0))*3)*(3*$J2179^3-6*$J2179^2+3*$J2179)+INDIRECT("D$"&amp;4+MIN(2,ROUNDDOWN(I2179,0))*3)*(-3*$J2179^3+3*$J2179^2)+INDIRECT("D$"&amp;5+MIN(2,ROUNDDOWN(I2179,0))*3)*$J2179^3</f>
      </c>
      <c r="M2179" s="7">
        <f>SQRT(K2179^2+L2179^2)</f>
      </c>
      <c r="N2179" s="7">
        <f>(K2180-K2178)</f>
      </c>
      <c r="O2179" s="7">
        <f>+(L2180-L2178)</f>
      </c>
      <c r="P2179" s="7">
        <f>SQRT(O2179^2+N2179^2)</f>
      </c>
      <c r="Q2179" s="7">
        <f>N2179/$P2179</f>
      </c>
      <c r="R2179" s="7">
        <f>O2179/$P2179</f>
      </c>
      <c r="S2179" s="8">
        <f>Q2179^2+R2179^2</f>
      </c>
      <c r="T2179" s="7">
        <f>-R2179</f>
      </c>
      <c r="U2179" s="7">
        <f>Q2179</f>
      </c>
      <c r="V2179" s="7">
        <f>($C$14+($C$15-$C$14)/($D$15-$D$14)*(I2179-$D$14))/2</f>
      </c>
      <c r="W2179" s="7">
        <f>($B$22*I2179^4+$C$22*I2179^3+$D$22*I2179^2+$E$22*I2179+$F$22)/2</f>
      </c>
      <c r="X2179" s="7">
        <f>($W2179)*(T2179)</f>
      </c>
      <c r="Y2179" s="7">
        <f>($W2179)*(U2179)</f>
      </c>
      <c r="Z2179" s="7">
        <f>SQRT(X2179^2+Y2179^2)</f>
      </c>
      <c r="AA2179" s="7">
        <f>$K2179+$X2179</f>
      </c>
      <c r="AB2179" s="7">
        <f>$L2179+$Y2179</f>
      </c>
      <c r="AC2179" s="7">
        <f>$K2179-$X2179</f>
      </c>
      <c r="AD2179" s="7">
        <f>$L2179-$Y2179</f>
      </c>
      <c r="AE2179" s="7">
        <f>AA2179/39.3701</f>
      </c>
      <c r="AF2179" s="7">
        <f>AB2179/39.3701</f>
      </c>
      <c r="AG2179" s="7">
        <f>AC2179/39.3701</f>
      </c>
      <c r="AH2179" s="7">
        <f>AD2179/39.3701</f>
      </c>
      <c r="AI2179" s="1"/>
      <c r="AJ2179" s="1"/>
      <c r="AK2179" s="1"/>
      <c r="AL2179" s="1"/>
      <c r="AM2179" s="2"/>
      <c r="AN2179" s="1"/>
      <c r="AO2179" s="1"/>
      <c r="AP2179" s="1"/>
      <c r="AQ2179" s="1"/>
      <c r="AR2179" s="1"/>
      <c r="AS2179" s="1"/>
      <c r="AT2179" s="1"/>
      <c r="AU2179" s="1"/>
      <c r="AV2179" s="1"/>
      <c r="AW2179" s="1"/>
      <c r="AX2179" s="1"/>
      <c r="AY2179" s="1"/>
      <c r="AZ2179" s="1"/>
      <c r="BA2179" s="1"/>
      <c r="BB2179" s="1"/>
      <c r="BC2179" s="1"/>
      <c r="BD2179" s="1"/>
      <c r="BE2179" s="1"/>
    </row>
    <row x14ac:dyDescent="0.25" r="2180" customHeight="1" ht="18.75">
      <c r="A2180" s="1"/>
      <c r="B2180" s="2"/>
      <c r="C2180" s="2"/>
      <c r="D2180" s="2"/>
      <c r="E2180" s="2"/>
      <c r="F2180" s="2"/>
      <c r="G2180" s="1"/>
      <c r="H2180" s="1"/>
      <c r="I2180" s="7">
        <v>2.177</v>
      </c>
      <c r="J2180" s="7">
        <f>IF((I2180-ROUNDDOWN(I2180,0))=0, 0, (I2180-ROUNDDOWN(I2180,0)))</f>
      </c>
      <c r="K2180" s="7">
        <f>INDIRECT("C$"&amp;2+MIN(2,ROUNDDOWN(I2180,0))*3)*(-$J2180^3+3*$J2180^2-3*$J2180+1)+INDIRECT("C$"&amp;3+MIN(2,ROUNDDOWN(I2180,0))*3)*(3*$J2180^3-6*$J2180^2+3*$J2180)+INDIRECT("C$"&amp;4+MIN(2,ROUNDDOWN(I2180,0))*3)*(-3*$J2180^3+3*$J2180^2)+INDIRECT("C$"&amp;5+MIN(2,ROUNDDOWN(I2180,0))*3)*$J2180^3</f>
      </c>
      <c r="L2180" s="7">
        <f>INDIRECT("D$"&amp;2+MIN(2,ROUNDDOWN(I2180,0))*3)*(-$J2180^3+3*$J2180^2-3*$J2180+1)+INDIRECT("D$"&amp;3+MIN(2,ROUNDDOWN(I2180,0))*3)*(3*$J2180^3-6*$J2180^2+3*$J2180)+INDIRECT("D$"&amp;4+MIN(2,ROUNDDOWN(I2180,0))*3)*(-3*$J2180^3+3*$J2180^2)+INDIRECT("D$"&amp;5+MIN(2,ROUNDDOWN(I2180,0))*3)*$J2180^3</f>
      </c>
      <c r="M2180" s="7">
        <f>SQRT(K2180^2+L2180^2)</f>
      </c>
      <c r="N2180" s="7">
        <f>(K2181-K2179)</f>
      </c>
      <c r="O2180" s="7">
        <f>+(L2181-L2179)</f>
      </c>
      <c r="P2180" s="7">
        <f>SQRT(O2180^2+N2180^2)</f>
      </c>
      <c r="Q2180" s="7">
        <f>N2180/$P2180</f>
      </c>
      <c r="R2180" s="7">
        <f>O2180/$P2180</f>
      </c>
      <c r="S2180" s="8">
        <f>Q2180^2+R2180^2</f>
      </c>
      <c r="T2180" s="7">
        <f>-R2180</f>
      </c>
      <c r="U2180" s="7">
        <f>Q2180</f>
      </c>
      <c r="V2180" s="7">
        <f>($C$14+($C$15-$C$14)/($D$15-$D$14)*(I2180-$D$14))/2</f>
      </c>
      <c r="W2180" s="7">
        <f>($B$22*I2180^4+$C$22*I2180^3+$D$22*I2180^2+$E$22*I2180+$F$22)/2</f>
      </c>
      <c r="X2180" s="7">
        <f>($W2180)*(T2180)</f>
      </c>
      <c r="Y2180" s="7">
        <f>($W2180)*(U2180)</f>
      </c>
      <c r="Z2180" s="7">
        <f>SQRT(X2180^2+Y2180^2)</f>
      </c>
      <c r="AA2180" s="7">
        <f>$K2180+$X2180</f>
      </c>
      <c r="AB2180" s="7">
        <f>$L2180+$Y2180</f>
      </c>
      <c r="AC2180" s="7">
        <f>$K2180-$X2180</f>
      </c>
      <c r="AD2180" s="7">
        <f>$L2180-$Y2180</f>
      </c>
      <c r="AE2180" s="7">
        <f>AA2180/39.3701</f>
      </c>
      <c r="AF2180" s="7">
        <f>AB2180/39.3701</f>
      </c>
      <c r="AG2180" s="7">
        <f>AC2180/39.3701</f>
      </c>
      <c r="AH2180" s="7">
        <f>AD2180/39.3701</f>
      </c>
      <c r="AI2180" s="1"/>
      <c r="AJ2180" s="1"/>
      <c r="AK2180" s="1"/>
      <c r="AL2180" s="1"/>
      <c r="AM2180" s="2"/>
      <c r="AN2180" s="1"/>
      <c r="AO2180" s="1"/>
      <c r="AP2180" s="1"/>
      <c r="AQ2180" s="1"/>
      <c r="AR2180" s="1"/>
      <c r="AS2180" s="1"/>
      <c r="AT2180" s="1"/>
      <c r="AU2180" s="1"/>
      <c r="AV2180" s="1"/>
      <c r="AW2180" s="1"/>
      <c r="AX2180" s="1"/>
      <c r="AY2180" s="1"/>
      <c r="AZ2180" s="1"/>
      <c r="BA2180" s="1"/>
      <c r="BB2180" s="1"/>
      <c r="BC2180" s="1"/>
      <c r="BD2180" s="1"/>
      <c r="BE2180" s="1"/>
    </row>
    <row x14ac:dyDescent="0.25" r="2181" customHeight="1" ht="18.75">
      <c r="A2181" s="1"/>
      <c r="B2181" s="2"/>
      <c r="C2181" s="2"/>
      <c r="D2181" s="2"/>
      <c r="E2181" s="2"/>
      <c r="F2181" s="2"/>
      <c r="G2181" s="1"/>
      <c r="H2181" s="1"/>
      <c r="I2181" s="7">
        <v>2.178</v>
      </c>
      <c r="J2181" s="7">
        <f>IF((I2181-ROUNDDOWN(I2181,0))=0, 0, (I2181-ROUNDDOWN(I2181,0)))</f>
      </c>
      <c r="K2181" s="7">
        <f>INDIRECT("C$"&amp;2+MIN(2,ROUNDDOWN(I2181,0))*3)*(-$J2181^3+3*$J2181^2-3*$J2181+1)+INDIRECT("C$"&amp;3+MIN(2,ROUNDDOWN(I2181,0))*3)*(3*$J2181^3-6*$J2181^2+3*$J2181)+INDIRECT("C$"&amp;4+MIN(2,ROUNDDOWN(I2181,0))*3)*(-3*$J2181^3+3*$J2181^2)+INDIRECT("C$"&amp;5+MIN(2,ROUNDDOWN(I2181,0))*3)*$J2181^3</f>
      </c>
      <c r="L2181" s="7">
        <f>INDIRECT("D$"&amp;2+MIN(2,ROUNDDOWN(I2181,0))*3)*(-$J2181^3+3*$J2181^2-3*$J2181+1)+INDIRECT("D$"&amp;3+MIN(2,ROUNDDOWN(I2181,0))*3)*(3*$J2181^3-6*$J2181^2+3*$J2181)+INDIRECT("D$"&amp;4+MIN(2,ROUNDDOWN(I2181,0))*3)*(-3*$J2181^3+3*$J2181^2)+INDIRECT("D$"&amp;5+MIN(2,ROUNDDOWN(I2181,0))*3)*$J2181^3</f>
      </c>
      <c r="M2181" s="7">
        <f>SQRT(K2181^2+L2181^2)</f>
      </c>
      <c r="N2181" s="7">
        <f>(K2182-K2180)</f>
      </c>
      <c r="O2181" s="7">
        <f>+(L2182-L2180)</f>
      </c>
      <c r="P2181" s="7">
        <f>SQRT(O2181^2+N2181^2)</f>
      </c>
      <c r="Q2181" s="7">
        <f>N2181/$P2181</f>
      </c>
      <c r="R2181" s="7">
        <f>O2181/$P2181</f>
      </c>
      <c r="S2181" s="7">
        <f>Q2181^2+R2181^2</f>
      </c>
      <c r="T2181" s="7">
        <f>-R2181</f>
      </c>
      <c r="U2181" s="7">
        <f>Q2181</f>
      </c>
      <c r="V2181" s="7">
        <f>($C$14+($C$15-$C$14)/($D$15-$D$14)*(I2181-$D$14))/2</f>
      </c>
      <c r="W2181" s="7">
        <f>($B$22*I2181^4+$C$22*I2181^3+$D$22*I2181^2+$E$22*I2181+$F$22)/2</f>
      </c>
      <c r="X2181" s="7">
        <f>($W2181)*(T2181)</f>
      </c>
      <c r="Y2181" s="7">
        <f>($W2181)*(U2181)</f>
      </c>
      <c r="Z2181" s="7">
        <f>SQRT(X2181^2+Y2181^2)</f>
      </c>
      <c r="AA2181" s="7">
        <f>$K2181+$X2181</f>
      </c>
      <c r="AB2181" s="7">
        <f>$L2181+$Y2181</f>
      </c>
      <c r="AC2181" s="7">
        <f>$K2181-$X2181</f>
      </c>
      <c r="AD2181" s="7">
        <f>$L2181-$Y2181</f>
      </c>
      <c r="AE2181" s="7">
        <f>AA2181/39.3701</f>
      </c>
      <c r="AF2181" s="7">
        <f>AB2181/39.3701</f>
      </c>
      <c r="AG2181" s="7">
        <f>AC2181/39.3701</f>
      </c>
      <c r="AH2181" s="7">
        <f>AD2181/39.3701</f>
      </c>
      <c r="AI2181" s="1"/>
      <c r="AJ2181" s="1"/>
      <c r="AK2181" s="1"/>
      <c r="AL2181" s="1"/>
      <c r="AM2181" s="2"/>
      <c r="AN2181" s="1"/>
      <c r="AO2181" s="1"/>
      <c r="AP2181" s="1"/>
      <c r="AQ2181" s="1"/>
      <c r="AR2181" s="1"/>
      <c r="AS2181" s="1"/>
      <c r="AT2181" s="1"/>
      <c r="AU2181" s="1"/>
      <c r="AV2181" s="1"/>
      <c r="AW2181" s="1"/>
      <c r="AX2181" s="1"/>
      <c r="AY2181" s="1"/>
      <c r="AZ2181" s="1"/>
      <c r="BA2181" s="1"/>
      <c r="BB2181" s="1"/>
      <c r="BC2181" s="1"/>
      <c r="BD2181" s="1"/>
      <c r="BE2181" s="1"/>
    </row>
    <row x14ac:dyDescent="0.25" r="2182" customHeight="1" ht="18.75">
      <c r="A2182" s="1"/>
      <c r="B2182" s="2"/>
      <c r="C2182" s="2"/>
      <c r="D2182" s="2"/>
      <c r="E2182" s="2"/>
      <c r="F2182" s="2"/>
      <c r="G2182" s="1"/>
      <c r="H2182" s="1"/>
      <c r="I2182" s="7">
        <v>2.179</v>
      </c>
      <c r="J2182" s="7">
        <f>IF((I2182-ROUNDDOWN(I2182,0))=0, 0, (I2182-ROUNDDOWN(I2182,0)))</f>
      </c>
      <c r="K2182" s="7">
        <f>INDIRECT("C$"&amp;2+MIN(2,ROUNDDOWN(I2182,0))*3)*(-$J2182^3+3*$J2182^2-3*$J2182+1)+INDIRECT("C$"&amp;3+MIN(2,ROUNDDOWN(I2182,0))*3)*(3*$J2182^3-6*$J2182^2+3*$J2182)+INDIRECT("C$"&amp;4+MIN(2,ROUNDDOWN(I2182,0))*3)*(-3*$J2182^3+3*$J2182^2)+INDIRECT("C$"&amp;5+MIN(2,ROUNDDOWN(I2182,0))*3)*$J2182^3</f>
      </c>
      <c r="L2182" s="7">
        <f>INDIRECT("D$"&amp;2+MIN(2,ROUNDDOWN(I2182,0))*3)*(-$J2182^3+3*$J2182^2-3*$J2182+1)+INDIRECT("D$"&amp;3+MIN(2,ROUNDDOWN(I2182,0))*3)*(3*$J2182^3-6*$J2182^2+3*$J2182)+INDIRECT("D$"&amp;4+MIN(2,ROUNDDOWN(I2182,0))*3)*(-3*$J2182^3+3*$J2182^2)+INDIRECT("D$"&amp;5+MIN(2,ROUNDDOWN(I2182,0))*3)*$J2182^3</f>
      </c>
      <c r="M2182" s="7">
        <f>SQRT(K2182^2+L2182^2)</f>
      </c>
      <c r="N2182" s="7">
        <f>(K2183-K2181)</f>
      </c>
      <c r="O2182" s="7">
        <f>+(L2183-L2181)</f>
      </c>
      <c r="P2182" s="7">
        <f>SQRT(O2182^2+N2182^2)</f>
      </c>
      <c r="Q2182" s="7">
        <f>N2182/$P2182</f>
      </c>
      <c r="R2182" s="7">
        <f>O2182/$P2182</f>
      </c>
      <c r="S2182" s="7">
        <f>Q2182^2+R2182^2</f>
      </c>
      <c r="T2182" s="7">
        <f>-R2182</f>
      </c>
      <c r="U2182" s="7">
        <f>Q2182</f>
      </c>
      <c r="V2182" s="7">
        <f>($C$14+($C$15-$C$14)/($D$15-$D$14)*(I2182-$D$14))/2</f>
      </c>
      <c r="W2182" s="7">
        <f>($B$22*I2182^4+$C$22*I2182^3+$D$22*I2182^2+$E$22*I2182+$F$22)/2</f>
      </c>
      <c r="X2182" s="7">
        <f>($W2182)*(T2182)</f>
      </c>
      <c r="Y2182" s="7">
        <f>($W2182)*(U2182)</f>
      </c>
      <c r="Z2182" s="7">
        <f>SQRT(X2182^2+Y2182^2)</f>
      </c>
      <c r="AA2182" s="7">
        <f>$K2182+$X2182</f>
      </c>
      <c r="AB2182" s="7">
        <f>$L2182+$Y2182</f>
      </c>
      <c r="AC2182" s="7">
        <f>$K2182-$X2182</f>
      </c>
      <c r="AD2182" s="7">
        <f>$L2182-$Y2182</f>
      </c>
      <c r="AE2182" s="7">
        <f>AA2182/39.3701</f>
      </c>
      <c r="AF2182" s="7">
        <f>AB2182/39.3701</f>
      </c>
      <c r="AG2182" s="7">
        <f>AC2182/39.3701</f>
      </c>
      <c r="AH2182" s="7">
        <f>AD2182/39.3701</f>
      </c>
      <c r="AI2182" s="1"/>
      <c r="AJ2182" s="1"/>
      <c r="AK2182" s="1"/>
      <c r="AL2182" s="1"/>
      <c r="AM2182" s="2"/>
      <c r="AN2182" s="1"/>
      <c r="AO2182" s="1"/>
      <c r="AP2182" s="1"/>
      <c r="AQ2182" s="1"/>
      <c r="AR2182" s="1"/>
      <c r="AS2182" s="1"/>
      <c r="AT2182" s="1"/>
      <c r="AU2182" s="1"/>
      <c r="AV2182" s="1"/>
      <c r="AW2182" s="1"/>
      <c r="AX2182" s="1"/>
      <c r="AY2182" s="1"/>
      <c r="AZ2182" s="1"/>
      <c r="BA2182" s="1"/>
      <c r="BB2182" s="1"/>
      <c r="BC2182" s="1"/>
      <c r="BD2182" s="1"/>
      <c r="BE2182" s="1"/>
    </row>
    <row x14ac:dyDescent="0.25" r="2183" customHeight="1" ht="18.75">
      <c r="A2183" s="1"/>
      <c r="B2183" s="2"/>
      <c r="C2183" s="2"/>
      <c r="D2183" s="2"/>
      <c r="E2183" s="2"/>
      <c r="F2183" s="2"/>
      <c r="G2183" s="1"/>
      <c r="H2183" s="1"/>
      <c r="I2183" s="7">
        <v>2.18</v>
      </c>
      <c r="J2183" s="7">
        <f>IF((I2183-ROUNDDOWN(I2183,0))=0, 0, (I2183-ROUNDDOWN(I2183,0)))</f>
      </c>
      <c r="K2183" s="7">
        <f>INDIRECT("C$"&amp;2+MIN(2,ROUNDDOWN(I2183,0))*3)*(-$J2183^3+3*$J2183^2-3*$J2183+1)+INDIRECT("C$"&amp;3+MIN(2,ROUNDDOWN(I2183,0))*3)*(3*$J2183^3-6*$J2183^2+3*$J2183)+INDIRECT("C$"&amp;4+MIN(2,ROUNDDOWN(I2183,0))*3)*(-3*$J2183^3+3*$J2183^2)+INDIRECT("C$"&amp;5+MIN(2,ROUNDDOWN(I2183,0))*3)*$J2183^3</f>
      </c>
      <c r="L2183" s="7">
        <f>INDIRECT("D$"&amp;2+MIN(2,ROUNDDOWN(I2183,0))*3)*(-$J2183^3+3*$J2183^2-3*$J2183+1)+INDIRECT("D$"&amp;3+MIN(2,ROUNDDOWN(I2183,0))*3)*(3*$J2183^3-6*$J2183^2+3*$J2183)+INDIRECT("D$"&amp;4+MIN(2,ROUNDDOWN(I2183,0))*3)*(-3*$J2183^3+3*$J2183^2)+INDIRECT("D$"&amp;5+MIN(2,ROUNDDOWN(I2183,0))*3)*$J2183^3</f>
      </c>
      <c r="M2183" s="7">
        <f>SQRT(K2183^2+L2183^2)</f>
      </c>
      <c r="N2183" s="7">
        <f>(K2184-K2182)</f>
      </c>
      <c r="O2183" s="7">
        <f>+(L2184-L2182)</f>
      </c>
      <c r="P2183" s="7">
        <f>SQRT(O2183^2+N2183^2)</f>
      </c>
      <c r="Q2183" s="7">
        <f>N2183/$P2183</f>
      </c>
      <c r="R2183" s="7">
        <f>O2183/$P2183</f>
      </c>
      <c r="S2183" s="7">
        <f>Q2183^2+R2183^2</f>
      </c>
      <c r="T2183" s="7">
        <f>-R2183</f>
      </c>
      <c r="U2183" s="7">
        <f>Q2183</f>
      </c>
      <c r="V2183" s="7">
        <f>($C$14+($C$15-$C$14)/($D$15-$D$14)*(I2183-$D$14))/2</f>
      </c>
      <c r="W2183" s="7">
        <f>($B$22*I2183^4+$C$22*I2183^3+$D$22*I2183^2+$E$22*I2183+$F$22)/2</f>
      </c>
      <c r="X2183" s="7">
        <f>($W2183)*(T2183)</f>
      </c>
      <c r="Y2183" s="7">
        <f>($W2183)*(U2183)</f>
      </c>
      <c r="Z2183" s="7">
        <f>SQRT(X2183^2+Y2183^2)</f>
      </c>
      <c r="AA2183" s="7">
        <f>$K2183+$X2183</f>
      </c>
      <c r="AB2183" s="7">
        <f>$L2183+$Y2183</f>
      </c>
      <c r="AC2183" s="7">
        <f>$K2183-$X2183</f>
      </c>
      <c r="AD2183" s="7">
        <f>$L2183-$Y2183</f>
      </c>
      <c r="AE2183" s="7">
        <f>AA2183/39.3701</f>
      </c>
      <c r="AF2183" s="7">
        <f>AB2183/39.3701</f>
      </c>
      <c r="AG2183" s="7">
        <f>AC2183/39.3701</f>
      </c>
      <c r="AH2183" s="7">
        <f>AD2183/39.3701</f>
      </c>
      <c r="AI2183" s="1"/>
      <c r="AJ2183" s="1"/>
      <c r="AK2183" s="1"/>
      <c r="AL2183" s="1"/>
      <c r="AM2183" s="2"/>
      <c r="AN2183" s="1"/>
      <c r="AO2183" s="1"/>
      <c r="AP2183" s="1"/>
      <c r="AQ2183" s="1"/>
      <c r="AR2183" s="1"/>
      <c r="AS2183" s="1"/>
      <c r="AT2183" s="1"/>
      <c r="AU2183" s="1"/>
      <c r="AV2183" s="1"/>
      <c r="AW2183" s="1"/>
      <c r="AX2183" s="1"/>
      <c r="AY2183" s="1"/>
      <c r="AZ2183" s="1"/>
      <c r="BA2183" s="1"/>
      <c r="BB2183" s="1"/>
      <c r="BC2183" s="1"/>
      <c r="BD2183" s="1"/>
      <c r="BE2183" s="1"/>
    </row>
    <row x14ac:dyDescent="0.25" r="2184" customHeight="1" ht="18.75">
      <c r="A2184" s="1"/>
      <c r="B2184" s="2"/>
      <c r="C2184" s="2"/>
      <c r="D2184" s="2"/>
      <c r="E2184" s="2"/>
      <c r="F2184" s="2"/>
      <c r="G2184" s="1"/>
      <c r="H2184" s="1"/>
      <c r="I2184" s="7">
        <v>2.181</v>
      </c>
      <c r="J2184" s="7">
        <f>IF((I2184-ROUNDDOWN(I2184,0))=0, 0, (I2184-ROUNDDOWN(I2184,0)))</f>
      </c>
      <c r="K2184" s="7">
        <f>INDIRECT("C$"&amp;2+MIN(2,ROUNDDOWN(I2184,0))*3)*(-$J2184^3+3*$J2184^2-3*$J2184+1)+INDIRECT("C$"&amp;3+MIN(2,ROUNDDOWN(I2184,0))*3)*(3*$J2184^3-6*$J2184^2+3*$J2184)+INDIRECT("C$"&amp;4+MIN(2,ROUNDDOWN(I2184,0))*3)*(-3*$J2184^3+3*$J2184^2)+INDIRECT("C$"&amp;5+MIN(2,ROUNDDOWN(I2184,0))*3)*$J2184^3</f>
      </c>
      <c r="L2184" s="7">
        <f>INDIRECT("D$"&amp;2+MIN(2,ROUNDDOWN(I2184,0))*3)*(-$J2184^3+3*$J2184^2-3*$J2184+1)+INDIRECT("D$"&amp;3+MIN(2,ROUNDDOWN(I2184,0))*3)*(3*$J2184^3-6*$J2184^2+3*$J2184)+INDIRECT("D$"&amp;4+MIN(2,ROUNDDOWN(I2184,0))*3)*(-3*$J2184^3+3*$J2184^2)+INDIRECT("D$"&amp;5+MIN(2,ROUNDDOWN(I2184,0))*3)*$J2184^3</f>
      </c>
      <c r="M2184" s="7">
        <f>SQRT(K2184^2+L2184^2)</f>
      </c>
      <c r="N2184" s="7">
        <f>(K2185-K2183)</f>
      </c>
      <c r="O2184" s="7">
        <f>+(L2185-L2183)</f>
      </c>
      <c r="P2184" s="7">
        <f>SQRT(O2184^2+N2184^2)</f>
      </c>
      <c r="Q2184" s="7">
        <f>N2184/$P2184</f>
      </c>
      <c r="R2184" s="7">
        <f>O2184/$P2184</f>
      </c>
      <c r="S2184" s="7">
        <f>Q2184^2+R2184^2</f>
      </c>
      <c r="T2184" s="7">
        <f>-R2184</f>
      </c>
      <c r="U2184" s="7">
        <f>Q2184</f>
      </c>
      <c r="V2184" s="7">
        <f>($C$14+($C$15-$C$14)/($D$15-$D$14)*(I2184-$D$14))/2</f>
      </c>
      <c r="W2184" s="7">
        <f>($B$22*I2184^4+$C$22*I2184^3+$D$22*I2184^2+$E$22*I2184+$F$22)/2</f>
      </c>
      <c r="X2184" s="7">
        <f>($W2184)*(T2184)</f>
      </c>
      <c r="Y2184" s="7">
        <f>($W2184)*(U2184)</f>
      </c>
      <c r="Z2184" s="7">
        <f>SQRT(X2184^2+Y2184^2)</f>
      </c>
      <c r="AA2184" s="7">
        <f>$K2184+$X2184</f>
      </c>
      <c r="AB2184" s="7">
        <f>$L2184+$Y2184</f>
      </c>
      <c r="AC2184" s="7">
        <f>$K2184-$X2184</f>
      </c>
      <c r="AD2184" s="7">
        <f>$L2184-$Y2184</f>
      </c>
      <c r="AE2184" s="7">
        <f>AA2184/39.3701</f>
      </c>
      <c r="AF2184" s="7">
        <f>AB2184/39.3701</f>
      </c>
      <c r="AG2184" s="7">
        <f>AC2184/39.3701</f>
      </c>
      <c r="AH2184" s="7">
        <f>AD2184/39.3701</f>
      </c>
      <c r="AI2184" s="1"/>
      <c r="AJ2184" s="1"/>
      <c r="AK2184" s="1"/>
      <c r="AL2184" s="1"/>
      <c r="AM2184" s="2"/>
      <c r="AN2184" s="1"/>
      <c r="AO2184" s="1"/>
      <c r="AP2184" s="1"/>
      <c r="AQ2184" s="1"/>
      <c r="AR2184" s="1"/>
      <c r="AS2184" s="1"/>
      <c r="AT2184" s="1"/>
      <c r="AU2184" s="1"/>
      <c r="AV2184" s="1"/>
      <c r="AW2184" s="1"/>
      <c r="AX2184" s="1"/>
      <c r="AY2184" s="1"/>
      <c r="AZ2184" s="1"/>
      <c r="BA2184" s="1"/>
      <c r="BB2184" s="1"/>
      <c r="BC2184" s="1"/>
      <c r="BD2184" s="1"/>
      <c r="BE2184" s="1"/>
    </row>
    <row x14ac:dyDescent="0.25" r="2185" customHeight="1" ht="18.75">
      <c r="A2185" s="1"/>
      <c r="B2185" s="2"/>
      <c r="C2185" s="2"/>
      <c r="D2185" s="2"/>
      <c r="E2185" s="2"/>
      <c r="F2185" s="2"/>
      <c r="G2185" s="1"/>
      <c r="H2185" s="1"/>
      <c r="I2185" s="7">
        <v>2.182</v>
      </c>
      <c r="J2185" s="7">
        <f>IF((I2185-ROUNDDOWN(I2185,0))=0, 0, (I2185-ROUNDDOWN(I2185,0)))</f>
      </c>
      <c r="K2185" s="7">
        <f>INDIRECT("C$"&amp;2+MIN(2,ROUNDDOWN(I2185,0))*3)*(-$J2185^3+3*$J2185^2-3*$J2185+1)+INDIRECT("C$"&amp;3+MIN(2,ROUNDDOWN(I2185,0))*3)*(3*$J2185^3-6*$J2185^2+3*$J2185)+INDIRECT("C$"&amp;4+MIN(2,ROUNDDOWN(I2185,0))*3)*(-3*$J2185^3+3*$J2185^2)+INDIRECT("C$"&amp;5+MIN(2,ROUNDDOWN(I2185,0))*3)*$J2185^3</f>
      </c>
      <c r="L2185" s="7">
        <f>INDIRECT("D$"&amp;2+MIN(2,ROUNDDOWN(I2185,0))*3)*(-$J2185^3+3*$J2185^2-3*$J2185+1)+INDIRECT("D$"&amp;3+MIN(2,ROUNDDOWN(I2185,0))*3)*(3*$J2185^3-6*$J2185^2+3*$J2185)+INDIRECT("D$"&amp;4+MIN(2,ROUNDDOWN(I2185,0))*3)*(-3*$J2185^3+3*$J2185^2)+INDIRECT("D$"&amp;5+MIN(2,ROUNDDOWN(I2185,0))*3)*$J2185^3</f>
      </c>
      <c r="M2185" s="7">
        <f>SQRT(K2185^2+L2185^2)</f>
      </c>
      <c r="N2185" s="7">
        <f>(K2186-K2184)</f>
      </c>
      <c r="O2185" s="7">
        <f>+(L2186-L2184)</f>
      </c>
      <c r="P2185" s="7">
        <f>SQRT(O2185^2+N2185^2)</f>
      </c>
      <c r="Q2185" s="7">
        <f>N2185/$P2185</f>
      </c>
      <c r="R2185" s="7">
        <f>O2185/$P2185</f>
      </c>
      <c r="S2185" s="7">
        <f>Q2185^2+R2185^2</f>
      </c>
      <c r="T2185" s="7">
        <f>-R2185</f>
      </c>
      <c r="U2185" s="7">
        <f>Q2185</f>
      </c>
      <c r="V2185" s="7">
        <f>($C$14+($C$15-$C$14)/($D$15-$D$14)*(I2185-$D$14))/2</f>
      </c>
      <c r="W2185" s="7">
        <f>($B$22*I2185^4+$C$22*I2185^3+$D$22*I2185^2+$E$22*I2185+$F$22)/2</f>
      </c>
      <c r="X2185" s="7">
        <f>($W2185)*(T2185)</f>
      </c>
      <c r="Y2185" s="7">
        <f>($W2185)*(U2185)</f>
      </c>
      <c r="Z2185" s="7">
        <f>SQRT(X2185^2+Y2185^2)</f>
      </c>
      <c r="AA2185" s="7">
        <f>$K2185+$X2185</f>
      </c>
      <c r="AB2185" s="7">
        <f>$L2185+$Y2185</f>
      </c>
      <c r="AC2185" s="7">
        <f>$K2185-$X2185</f>
      </c>
      <c r="AD2185" s="7">
        <f>$L2185-$Y2185</f>
      </c>
      <c r="AE2185" s="7">
        <f>AA2185/39.3701</f>
      </c>
      <c r="AF2185" s="7">
        <f>AB2185/39.3701</f>
      </c>
      <c r="AG2185" s="7">
        <f>AC2185/39.3701</f>
      </c>
      <c r="AH2185" s="7">
        <f>AD2185/39.3701</f>
      </c>
      <c r="AI2185" s="1"/>
      <c r="AJ2185" s="1"/>
      <c r="AK2185" s="1"/>
      <c r="AL2185" s="1"/>
      <c r="AM2185" s="2"/>
      <c r="AN2185" s="1"/>
      <c r="AO2185" s="1"/>
      <c r="AP2185" s="1"/>
      <c r="AQ2185" s="1"/>
      <c r="AR2185" s="1"/>
      <c r="AS2185" s="1"/>
      <c r="AT2185" s="1"/>
      <c r="AU2185" s="1"/>
      <c r="AV2185" s="1"/>
      <c r="AW2185" s="1"/>
      <c r="AX2185" s="1"/>
      <c r="AY2185" s="1"/>
      <c r="AZ2185" s="1"/>
      <c r="BA2185" s="1"/>
      <c r="BB2185" s="1"/>
      <c r="BC2185" s="1"/>
      <c r="BD2185" s="1"/>
      <c r="BE2185" s="1"/>
    </row>
    <row x14ac:dyDescent="0.25" r="2186" customHeight="1" ht="18.75">
      <c r="A2186" s="1"/>
      <c r="B2186" s="2"/>
      <c r="C2186" s="2"/>
      <c r="D2186" s="2"/>
      <c r="E2186" s="2"/>
      <c r="F2186" s="2"/>
      <c r="G2186" s="1"/>
      <c r="H2186" s="1"/>
      <c r="I2186" s="7">
        <v>2.183</v>
      </c>
      <c r="J2186" s="7">
        <f>IF((I2186-ROUNDDOWN(I2186,0))=0, 0, (I2186-ROUNDDOWN(I2186,0)))</f>
      </c>
      <c r="K2186" s="7">
        <f>INDIRECT("C$"&amp;2+MIN(2,ROUNDDOWN(I2186,0))*3)*(-$J2186^3+3*$J2186^2-3*$J2186+1)+INDIRECT("C$"&amp;3+MIN(2,ROUNDDOWN(I2186,0))*3)*(3*$J2186^3-6*$J2186^2+3*$J2186)+INDIRECT("C$"&amp;4+MIN(2,ROUNDDOWN(I2186,0))*3)*(-3*$J2186^3+3*$J2186^2)+INDIRECT("C$"&amp;5+MIN(2,ROUNDDOWN(I2186,0))*3)*$J2186^3</f>
      </c>
      <c r="L2186" s="7">
        <f>INDIRECT("D$"&amp;2+MIN(2,ROUNDDOWN(I2186,0))*3)*(-$J2186^3+3*$J2186^2-3*$J2186+1)+INDIRECT("D$"&amp;3+MIN(2,ROUNDDOWN(I2186,0))*3)*(3*$J2186^3-6*$J2186^2+3*$J2186)+INDIRECT("D$"&amp;4+MIN(2,ROUNDDOWN(I2186,0))*3)*(-3*$J2186^3+3*$J2186^2)+INDIRECT("D$"&amp;5+MIN(2,ROUNDDOWN(I2186,0))*3)*$J2186^3</f>
      </c>
      <c r="M2186" s="7">
        <f>SQRT(K2186^2+L2186^2)</f>
      </c>
      <c r="N2186" s="7">
        <f>(K2187-K2185)</f>
      </c>
      <c r="O2186" s="7">
        <f>+(L2187-L2185)</f>
      </c>
      <c r="P2186" s="7">
        <f>SQRT(O2186^2+N2186^2)</f>
      </c>
      <c r="Q2186" s="7">
        <f>N2186/$P2186</f>
      </c>
      <c r="R2186" s="7">
        <f>O2186/$P2186</f>
      </c>
      <c r="S2186" s="8">
        <f>Q2186^2+R2186^2</f>
      </c>
      <c r="T2186" s="7">
        <f>-R2186</f>
      </c>
      <c r="U2186" s="7">
        <f>Q2186</f>
      </c>
      <c r="V2186" s="7">
        <f>($C$14+($C$15-$C$14)/($D$15-$D$14)*(I2186-$D$14))/2</f>
      </c>
      <c r="W2186" s="7">
        <f>($B$22*I2186^4+$C$22*I2186^3+$D$22*I2186^2+$E$22*I2186+$F$22)/2</f>
      </c>
      <c r="X2186" s="7">
        <f>($W2186)*(T2186)</f>
      </c>
      <c r="Y2186" s="7">
        <f>($W2186)*(U2186)</f>
      </c>
      <c r="Z2186" s="7">
        <f>SQRT(X2186^2+Y2186^2)</f>
      </c>
      <c r="AA2186" s="7">
        <f>$K2186+$X2186</f>
      </c>
      <c r="AB2186" s="7">
        <f>$L2186+$Y2186</f>
      </c>
      <c r="AC2186" s="7">
        <f>$K2186-$X2186</f>
      </c>
      <c r="AD2186" s="7">
        <f>$L2186-$Y2186</f>
      </c>
      <c r="AE2186" s="7">
        <f>AA2186/39.3701</f>
      </c>
      <c r="AF2186" s="7">
        <f>AB2186/39.3701</f>
      </c>
      <c r="AG2186" s="7">
        <f>AC2186/39.3701</f>
      </c>
      <c r="AH2186" s="7">
        <f>AD2186/39.3701</f>
      </c>
      <c r="AI2186" s="1"/>
      <c r="AJ2186" s="1"/>
      <c r="AK2186" s="1"/>
      <c r="AL2186" s="1"/>
      <c r="AM2186" s="2"/>
      <c r="AN2186" s="1"/>
      <c r="AO2186" s="1"/>
      <c r="AP2186" s="1"/>
      <c r="AQ2186" s="1"/>
      <c r="AR2186" s="1"/>
      <c r="AS2186" s="1"/>
      <c r="AT2186" s="1"/>
      <c r="AU2186" s="1"/>
      <c r="AV2186" s="1"/>
      <c r="AW2186" s="1"/>
      <c r="AX2186" s="1"/>
      <c r="AY2186" s="1"/>
      <c r="AZ2186" s="1"/>
      <c r="BA2186" s="1"/>
      <c r="BB2186" s="1"/>
      <c r="BC2186" s="1"/>
      <c r="BD2186" s="1"/>
      <c r="BE2186" s="1"/>
    </row>
    <row x14ac:dyDescent="0.25" r="2187" customHeight="1" ht="18.75">
      <c r="A2187" s="1"/>
      <c r="B2187" s="2"/>
      <c r="C2187" s="2"/>
      <c r="D2187" s="2"/>
      <c r="E2187" s="2"/>
      <c r="F2187" s="2"/>
      <c r="G2187" s="1"/>
      <c r="H2187" s="1"/>
      <c r="I2187" s="7">
        <v>2.184</v>
      </c>
      <c r="J2187" s="7">
        <f>IF((I2187-ROUNDDOWN(I2187,0))=0, 0, (I2187-ROUNDDOWN(I2187,0)))</f>
      </c>
      <c r="K2187" s="7">
        <f>INDIRECT("C$"&amp;2+MIN(2,ROUNDDOWN(I2187,0))*3)*(-$J2187^3+3*$J2187^2-3*$J2187+1)+INDIRECT("C$"&amp;3+MIN(2,ROUNDDOWN(I2187,0))*3)*(3*$J2187^3-6*$J2187^2+3*$J2187)+INDIRECT("C$"&amp;4+MIN(2,ROUNDDOWN(I2187,0))*3)*(-3*$J2187^3+3*$J2187^2)+INDIRECT("C$"&amp;5+MIN(2,ROUNDDOWN(I2187,0))*3)*$J2187^3</f>
      </c>
      <c r="L2187" s="7">
        <f>INDIRECT("D$"&amp;2+MIN(2,ROUNDDOWN(I2187,0))*3)*(-$J2187^3+3*$J2187^2-3*$J2187+1)+INDIRECT("D$"&amp;3+MIN(2,ROUNDDOWN(I2187,0))*3)*(3*$J2187^3-6*$J2187^2+3*$J2187)+INDIRECT("D$"&amp;4+MIN(2,ROUNDDOWN(I2187,0))*3)*(-3*$J2187^3+3*$J2187^2)+INDIRECT("D$"&amp;5+MIN(2,ROUNDDOWN(I2187,0))*3)*$J2187^3</f>
      </c>
      <c r="M2187" s="7">
        <f>SQRT(K2187^2+L2187^2)</f>
      </c>
      <c r="N2187" s="7">
        <f>(K2188-K2186)</f>
      </c>
      <c r="O2187" s="7">
        <f>+(L2188-L2186)</f>
      </c>
      <c r="P2187" s="7">
        <f>SQRT(O2187^2+N2187^2)</f>
      </c>
      <c r="Q2187" s="7">
        <f>N2187/$P2187</f>
      </c>
      <c r="R2187" s="7">
        <f>O2187/$P2187</f>
      </c>
      <c r="S2187" s="7">
        <f>Q2187^2+R2187^2</f>
      </c>
      <c r="T2187" s="7">
        <f>-R2187</f>
      </c>
      <c r="U2187" s="7">
        <f>Q2187</f>
      </c>
      <c r="V2187" s="7">
        <f>($C$14+($C$15-$C$14)/($D$15-$D$14)*(I2187-$D$14))/2</f>
      </c>
      <c r="W2187" s="7">
        <f>($B$22*I2187^4+$C$22*I2187^3+$D$22*I2187^2+$E$22*I2187+$F$22)/2</f>
      </c>
      <c r="X2187" s="7">
        <f>($W2187)*(T2187)</f>
      </c>
      <c r="Y2187" s="7">
        <f>($W2187)*(U2187)</f>
      </c>
      <c r="Z2187" s="7">
        <f>SQRT(X2187^2+Y2187^2)</f>
      </c>
      <c r="AA2187" s="7">
        <f>$K2187+$X2187</f>
      </c>
      <c r="AB2187" s="7">
        <f>$L2187+$Y2187</f>
      </c>
      <c r="AC2187" s="7">
        <f>$K2187-$X2187</f>
      </c>
      <c r="AD2187" s="7">
        <f>$L2187-$Y2187</f>
      </c>
      <c r="AE2187" s="7">
        <f>AA2187/39.3701</f>
      </c>
      <c r="AF2187" s="7">
        <f>AB2187/39.3701</f>
      </c>
      <c r="AG2187" s="7">
        <f>AC2187/39.3701</f>
      </c>
      <c r="AH2187" s="7">
        <f>AD2187/39.3701</f>
      </c>
      <c r="AI2187" s="1"/>
      <c r="AJ2187" s="1"/>
      <c r="AK2187" s="1"/>
      <c r="AL2187" s="1"/>
      <c r="AM2187" s="2"/>
      <c r="AN2187" s="1"/>
      <c r="AO2187" s="1"/>
      <c r="AP2187" s="1"/>
      <c r="AQ2187" s="1"/>
      <c r="AR2187" s="1"/>
      <c r="AS2187" s="1"/>
      <c r="AT2187" s="1"/>
      <c r="AU2187" s="1"/>
      <c r="AV2187" s="1"/>
      <c r="AW2187" s="1"/>
      <c r="AX2187" s="1"/>
      <c r="AY2187" s="1"/>
      <c r="AZ2187" s="1"/>
      <c r="BA2187" s="1"/>
      <c r="BB2187" s="1"/>
      <c r="BC2187" s="1"/>
      <c r="BD2187" s="1"/>
      <c r="BE2187" s="1"/>
    </row>
    <row x14ac:dyDescent="0.25" r="2188" customHeight="1" ht="18.75">
      <c r="A2188" s="1"/>
      <c r="B2188" s="2"/>
      <c r="C2188" s="2"/>
      <c r="D2188" s="2"/>
      <c r="E2188" s="2"/>
      <c r="F2188" s="2"/>
      <c r="G2188" s="1"/>
      <c r="H2188" s="1"/>
      <c r="I2188" s="7">
        <v>2.185</v>
      </c>
      <c r="J2188" s="7">
        <f>IF((I2188-ROUNDDOWN(I2188,0))=0, 0, (I2188-ROUNDDOWN(I2188,0)))</f>
      </c>
      <c r="K2188" s="7">
        <f>INDIRECT("C$"&amp;2+MIN(2,ROUNDDOWN(I2188,0))*3)*(-$J2188^3+3*$J2188^2-3*$J2188+1)+INDIRECT("C$"&amp;3+MIN(2,ROUNDDOWN(I2188,0))*3)*(3*$J2188^3-6*$J2188^2+3*$J2188)+INDIRECT("C$"&amp;4+MIN(2,ROUNDDOWN(I2188,0))*3)*(-3*$J2188^3+3*$J2188^2)+INDIRECT("C$"&amp;5+MIN(2,ROUNDDOWN(I2188,0))*3)*$J2188^3</f>
      </c>
      <c r="L2188" s="7">
        <f>INDIRECT("D$"&amp;2+MIN(2,ROUNDDOWN(I2188,0))*3)*(-$J2188^3+3*$J2188^2-3*$J2188+1)+INDIRECT("D$"&amp;3+MIN(2,ROUNDDOWN(I2188,0))*3)*(3*$J2188^3-6*$J2188^2+3*$J2188)+INDIRECT("D$"&amp;4+MIN(2,ROUNDDOWN(I2188,0))*3)*(-3*$J2188^3+3*$J2188^2)+INDIRECT("D$"&amp;5+MIN(2,ROUNDDOWN(I2188,0))*3)*$J2188^3</f>
      </c>
      <c r="M2188" s="7">
        <f>SQRT(K2188^2+L2188^2)</f>
      </c>
      <c r="N2188" s="7">
        <f>(K2189-K2187)</f>
      </c>
      <c r="O2188" s="7">
        <f>+(L2189-L2187)</f>
      </c>
      <c r="P2188" s="7">
        <f>SQRT(O2188^2+N2188^2)</f>
      </c>
      <c r="Q2188" s="7">
        <f>N2188/$P2188</f>
      </c>
      <c r="R2188" s="7">
        <f>O2188/$P2188</f>
      </c>
      <c r="S2188" s="7">
        <f>Q2188^2+R2188^2</f>
      </c>
      <c r="T2188" s="7">
        <f>-R2188</f>
      </c>
      <c r="U2188" s="7">
        <f>Q2188</f>
      </c>
      <c r="V2188" s="7">
        <f>($C$14+($C$15-$C$14)/($D$15-$D$14)*(I2188-$D$14))/2</f>
      </c>
      <c r="W2188" s="7">
        <f>($B$22*I2188^4+$C$22*I2188^3+$D$22*I2188^2+$E$22*I2188+$F$22)/2</f>
      </c>
      <c r="X2188" s="7">
        <f>($W2188)*(T2188)</f>
      </c>
      <c r="Y2188" s="7">
        <f>($W2188)*(U2188)</f>
      </c>
      <c r="Z2188" s="7">
        <f>SQRT(X2188^2+Y2188^2)</f>
      </c>
      <c r="AA2188" s="7">
        <f>$K2188+$X2188</f>
      </c>
      <c r="AB2188" s="7">
        <f>$L2188+$Y2188</f>
      </c>
      <c r="AC2188" s="7">
        <f>$K2188-$X2188</f>
      </c>
      <c r="AD2188" s="7">
        <f>$L2188-$Y2188</f>
      </c>
      <c r="AE2188" s="7">
        <f>AA2188/39.3701</f>
      </c>
      <c r="AF2188" s="7">
        <f>AB2188/39.3701</f>
      </c>
      <c r="AG2188" s="7">
        <f>AC2188/39.3701</f>
      </c>
      <c r="AH2188" s="7">
        <f>AD2188/39.3701</f>
      </c>
      <c r="AI2188" s="1"/>
      <c r="AJ2188" s="1"/>
      <c r="AK2188" s="1"/>
      <c r="AL2188" s="1"/>
      <c r="AM2188" s="2"/>
      <c r="AN2188" s="1"/>
      <c r="AO2188" s="1"/>
      <c r="AP2188" s="1"/>
      <c r="AQ2188" s="1"/>
      <c r="AR2188" s="1"/>
      <c r="AS2188" s="1"/>
      <c r="AT2188" s="1"/>
      <c r="AU2188" s="1"/>
      <c r="AV2188" s="1"/>
      <c r="AW2188" s="1"/>
      <c r="AX2188" s="1"/>
      <c r="AY2188" s="1"/>
      <c r="AZ2188" s="1"/>
      <c r="BA2188" s="1"/>
      <c r="BB2188" s="1"/>
      <c r="BC2188" s="1"/>
      <c r="BD2188" s="1"/>
      <c r="BE2188" s="1"/>
    </row>
    <row x14ac:dyDescent="0.25" r="2189" customHeight="1" ht="18.75">
      <c r="A2189" s="1"/>
      <c r="B2189" s="2"/>
      <c r="C2189" s="2"/>
      <c r="D2189" s="2"/>
      <c r="E2189" s="2"/>
      <c r="F2189" s="2"/>
      <c r="G2189" s="1"/>
      <c r="H2189" s="1"/>
      <c r="I2189" s="7">
        <v>2.186</v>
      </c>
      <c r="J2189" s="7">
        <f>IF((I2189-ROUNDDOWN(I2189,0))=0, 0, (I2189-ROUNDDOWN(I2189,0)))</f>
      </c>
      <c r="K2189" s="7">
        <f>INDIRECT("C$"&amp;2+MIN(2,ROUNDDOWN(I2189,0))*3)*(-$J2189^3+3*$J2189^2-3*$J2189+1)+INDIRECT("C$"&amp;3+MIN(2,ROUNDDOWN(I2189,0))*3)*(3*$J2189^3-6*$J2189^2+3*$J2189)+INDIRECT("C$"&amp;4+MIN(2,ROUNDDOWN(I2189,0))*3)*(-3*$J2189^3+3*$J2189^2)+INDIRECT("C$"&amp;5+MIN(2,ROUNDDOWN(I2189,0))*3)*$J2189^3</f>
      </c>
      <c r="L2189" s="7">
        <f>INDIRECT("D$"&amp;2+MIN(2,ROUNDDOWN(I2189,0))*3)*(-$J2189^3+3*$J2189^2-3*$J2189+1)+INDIRECT("D$"&amp;3+MIN(2,ROUNDDOWN(I2189,0))*3)*(3*$J2189^3-6*$J2189^2+3*$J2189)+INDIRECT("D$"&amp;4+MIN(2,ROUNDDOWN(I2189,0))*3)*(-3*$J2189^3+3*$J2189^2)+INDIRECT("D$"&amp;5+MIN(2,ROUNDDOWN(I2189,0))*3)*$J2189^3</f>
      </c>
      <c r="M2189" s="7">
        <f>SQRT(K2189^2+L2189^2)</f>
      </c>
      <c r="N2189" s="7">
        <f>(K2190-K2188)</f>
      </c>
      <c r="O2189" s="7">
        <f>+(L2190-L2188)</f>
      </c>
      <c r="P2189" s="7">
        <f>SQRT(O2189^2+N2189^2)</f>
      </c>
      <c r="Q2189" s="7">
        <f>N2189/$P2189</f>
      </c>
      <c r="R2189" s="7">
        <f>O2189/$P2189</f>
      </c>
      <c r="S2189" s="8">
        <f>Q2189^2+R2189^2</f>
      </c>
      <c r="T2189" s="7">
        <f>-R2189</f>
      </c>
      <c r="U2189" s="7">
        <f>Q2189</f>
      </c>
      <c r="V2189" s="7">
        <f>($C$14+($C$15-$C$14)/($D$15-$D$14)*(I2189-$D$14))/2</f>
      </c>
      <c r="W2189" s="7">
        <f>($B$22*I2189^4+$C$22*I2189^3+$D$22*I2189^2+$E$22*I2189+$F$22)/2</f>
      </c>
      <c r="X2189" s="7">
        <f>($W2189)*(T2189)</f>
      </c>
      <c r="Y2189" s="7">
        <f>($W2189)*(U2189)</f>
      </c>
      <c r="Z2189" s="7">
        <f>SQRT(X2189^2+Y2189^2)</f>
      </c>
      <c r="AA2189" s="7">
        <f>$K2189+$X2189</f>
      </c>
      <c r="AB2189" s="7">
        <f>$L2189+$Y2189</f>
      </c>
      <c r="AC2189" s="7">
        <f>$K2189-$X2189</f>
      </c>
      <c r="AD2189" s="7">
        <f>$L2189-$Y2189</f>
      </c>
      <c r="AE2189" s="7">
        <f>AA2189/39.3701</f>
      </c>
      <c r="AF2189" s="7">
        <f>AB2189/39.3701</f>
      </c>
      <c r="AG2189" s="7">
        <f>AC2189/39.3701</f>
      </c>
      <c r="AH2189" s="7">
        <f>AD2189/39.3701</f>
      </c>
      <c r="AI2189" s="1"/>
      <c r="AJ2189" s="1"/>
      <c r="AK2189" s="1"/>
      <c r="AL2189" s="1"/>
      <c r="AM2189" s="2"/>
      <c r="AN2189" s="1"/>
      <c r="AO2189" s="1"/>
      <c r="AP2189" s="1"/>
      <c r="AQ2189" s="1"/>
      <c r="AR2189" s="1"/>
      <c r="AS2189" s="1"/>
      <c r="AT2189" s="1"/>
      <c r="AU2189" s="1"/>
      <c r="AV2189" s="1"/>
      <c r="AW2189" s="1"/>
      <c r="AX2189" s="1"/>
      <c r="AY2189" s="1"/>
      <c r="AZ2189" s="1"/>
      <c r="BA2189" s="1"/>
      <c r="BB2189" s="1"/>
      <c r="BC2189" s="1"/>
      <c r="BD2189" s="1"/>
      <c r="BE2189" s="1"/>
    </row>
    <row x14ac:dyDescent="0.25" r="2190" customHeight="1" ht="18.75">
      <c r="A2190" s="1"/>
      <c r="B2190" s="2"/>
      <c r="C2190" s="2"/>
      <c r="D2190" s="2"/>
      <c r="E2190" s="2"/>
      <c r="F2190" s="2"/>
      <c r="G2190" s="1"/>
      <c r="H2190" s="1"/>
      <c r="I2190" s="7">
        <v>2.187</v>
      </c>
      <c r="J2190" s="7">
        <f>IF((I2190-ROUNDDOWN(I2190,0))=0, 0, (I2190-ROUNDDOWN(I2190,0)))</f>
      </c>
      <c r="K2190" s="7">
        <f>INDIRECT("C$"&amp;2+MIN(2,ROUNDDOWN(I2190,0))*3)*(-$J2190^3+3*$J2190^2-3*$J2190+1)+INDIRECT("C$"&amp;3+MIN(2,ROUNDDOWN(I2190,0))*3)*(3*$J2190^3-6*$J2190^2+3*$J2190)+INDIRECT("C$"&amp;4+MIN(2,ROUNDDOWN(I2190,0))*3)*(-3*$J2190^3+3*$J2190^2)+INDIRECT("C$"&amp;5+MIN(2,ROUNDDOWN(I2190,0))*3)*$J2190^3</f>
      </c>
      <c r="L2190" s="7">
        <f>INDIRECT("D$"&amp;2+MIN(2,ROUNDDOWN(I2190,0))*3)*(-$J2190^3+3*$J2190^2-3*$J2190+1)+INDIRECT("D$"&amp;3+MIN(2,ROUNDDOWN(I2190,0))*3)*(3*$J2190^3-6*$J2190^2+3*$J2190)+INDIRECT("D$"&amp;4+MIN(2,ROUNDDOWN(I2190,0))*3)*(-3*$J2190^3+3*$J2190^2)+INDIRECT("D$"&amp;5+MIN(2,ROUNDDOWN(I2190,0))*3)*$J2190^3</f>
      </c>
      <c r="M2190" s="7">
        <f>SQRT(K2190^2+L2190^2)</f>
      </c>
      <c r="N2190" s="7">
        <f>(K2191-K2189)</f>
      </c>
      <c r="O2190" s="7">
        <f>+(L2191-L2189)</f>
      </c>
      <c r="P2190" s="7">
        <f>SQRT(O2190^2+N2190^2)</f>
      </c>
      <c r="Q2190" s="7">
        <f>N2190/$P2190</f>
      </c>
      <c r="R2190" s="7">
        <f>O2190/$P2190</f>
      </c>
      <c r="S2190" s="8">
        <f>Q2190^2+R2190^2</f>
      </c>
      <c r="T2190" s="7">
        <f>-R2190</f>
      </c>
      <c r="U2190" s="7">
        <f>Q2190</f>
      </c>
      <c r="V2190" s="7">
        <f>($C$14+($C$15-$C$14)/($D$15-$D$14)*(I2190-$D$14))/2</f>
      </c>
      <c r="W2190" s="7">
        <f>($B$22*I2190^4+$C$22*I2190^3+$D$22*I2190^2+$E$22*I2190+$F$22)/2</f>
      </c>
      <c r="X2190" s="7">
        <f>($W2190)*(T2190)</f>
      </c>
      <c r="Y2190" s="7">
        <f>($W2190)*(U2190)</f>
      </c>
      <c r="Z2190" s="7">
        <f>SQRT(X2190^2+Y2190^2)</f>
      </c>
      <c r="AA2190" s="7">
        <f>$K2190+$X2190</f>
      </c>
      <c r="AB2190" s="7">
        <f>$L2190+$Y2190</f>
      </c>
      <c r="AC2190" s="7">
        <f>$K2190-$X2190</f>
      </c>
      <c r="AD2190" s="7">
        <f>$L2190-$Y2190</f>
      </c>
      <c r="AE2190" s="7">
        <f>AA2190/39.3701</f>
      </c>
      <c r="AF2190" s="7">
        <f>AB2190/39.3701</f>
      </c>
      <c r="AG2190" s="7">
        <f>AC2190/39.3701</f>
      </c>
      <c r="AH2190" s="7">
        <f>AD2190/39.3701</f>
      </c>
      <c r="AI2190" s="1"/>
      <c r="AJ2190" s="1"/>
      <c r="AK2190" s="1"/>
      <c r="AL2190" s="1"/>
      <c r="AM2190" s="2"/>
      <c r="AN2190" s="1"/>
      <c r="AO2190" s="1"/>
      <c r="AP2190" s="1"/>
      <c r="AQ2190" s="1"/>
      <c r="AR2190" s="1"/>
      <c r="AS2190" s="1"/>
      <c r="AT2190" s="1"/>
      <c r="AU2190" s="1"/>
      <c r="AV2190" s="1"/>
      <c r="AW2190" s="1"/>
      <c r="AX2190" s="1"/>
      <c r="AY2190" s="1"/>
      <c r="AZ2190" s="1"/>
      <c r="BA2190" s="1"/>
      <c r="BB2190" s="1"/>
      <c r="BC2190" s="1"/>
      <c r="BD2190" s="1"/>
      <c r="BE2190" s="1"/>
    </row>
    <row x14ac:dyDescent="0.25" r="2191" customHeight="1" ht="18.75">
      <c r="A2191" s="1"/>
      <c r="B2191" s="2"/>
      <c r="C2191" s="2"/>
      <c r="D2191" s="2"/>
      <c r="E2191" s="2"/>
      <c r="F2191" s="2"/>
      <c r="G2191" s="1"/>
      <c r="H2191" s="1"/>
      <c r="I2191" s="7">
        <v>2.188</v>
      </c>
      <c r="J2191" s="7">
        <f>IF((I2191-ROUNDDOWN(I2191,0))=0, 0, (I2191-ROUNDDOWN(I2191,0)))</f>
      </c>
      <c r="K2191" s="7">
        <f>INDIRECT("C$"&amp;2+MIN(2,ROUNDDOWN(I2191,0))*3)*(-$J2191^3+3*$J2191^2-3*$J2191+1)+INDIRECT("C$"&amp;3+MIN(2,ROUNDDOWN(I2191,0))*3)*(3*$J2191^3-6*$J2191^2+3*$J2191)+INDIRECT("C$"&amp;4+MIN(2,ROUNDDOWN(I2191,0))*3)*(-3*$J2191^3+3*$J2191^2)+INDIRECT("C$"&amp;5+MIN(2,ROUNDDOWN(I2191,0))*3)*$J2191^3</f>
      </c>
      <c r="L2191" s="7">
        <f>INDIRECT("D$"&amp;2+MIN(2,ROUNDDOWN(I2191,0))*3)*(-$J2191^3+3*$J2191^2-3*$J2191+1)+INDIRECT("D$"&amp;3+MIN(2,ROUNDDOWN(I2191,0))*3)*(3*$J2191^3-6*$J2191^2+3*$J2191)+INDIRECT("D$"&amp;4+MIN(2,ROUNDDOWN(I2191,0))*3)*(-3*$J2191^3+3*$J2191^2)+INDIRECT("D$"&amp;5+MIN(2,ROUNDDOWN(I2191,0))*3)*$J2191^3</f>
      </c>
      <c r="M2191" s="7">
        <f>SQRT(K2191^2+L2191^2)</f>
      </c>
      <c r="N2191" s="7">
        <f>(K2192-K2190)</f>
      </c>
      <c r="O2191" s="7">
        <f>+(L2192-L2190)</f>
      </c>
      <c r="P2191" s="7">
        <f>SQRT(O2191^2+N2191^2)</f>
      </c>
      <c r="Q2191" s="7">
        <f>N2191/$P2191</f>
      </c>
      <c r="R2191" s="7">
        <f>O2191/$P2191</f>
      </c>
      <c r="S2191" s="7">
        <f>Q2191^2+R2191^2</f>
      </c>
      <c r="T2191" s="7">
        <f>-R2191</f>
      </c>
      <c r="U2191" s="7">
        <f>Q2191</f>
      </c>
      <c r="V2191" s="7">
        <f>($C$14+($C$15-$C$14)/($D$15-$D$14)*(I2191-$D$14))/2</f>
      </c>
      <c r="W2191" s="7">
        <f>($B$22*I2191^4+$C$22*I2191^3+$D$22*I2191^2+$E$22*I2191+$F$22)/2</f>
      </c>
      <c r="X2191" s="7">
        <f>($W2191)*(T2191)</f>
      </c>
      <c r="Y2191" s="7">
        <f>($W2191)*(U2191)</f>
      </c>
      <c r="Z2191" s="7">
        <f>SQRT(X2191^2+Y2191^2)</f>
      </c>
      <c r="AA2191" s="7">
        <f>$K2191+$X2191</f>
      </c>
      <c r="AB2191" s="7">
        <f>$L2191+$Y2191</f>
      </c>
      <c r="AC2191" s="7">
        <f>$K2191-$X2191</f>
      </c>
      <c r="AD2191" s="7">
        <f>$L2191-$Y2191</f>
      </c>
      <c r="AE2191" s="7">
        <f>AA2191/39.3701</f>
      </c>
      <c r="AF2191" s="7">
        <f>AB2191/39.3701</f>
      </c>
      <c r="AG2191" s="7">
        <f>AC2191/39.3701</f>
      </c>
      <c r="AH2191" s="7">
        <f>AD2191/39.3701</f>
      </c>
      <c r="AI2191" s="1"/>
      <c r="AJ2191" s="1"/>
      <c r="AK2191" s="1"/>
      <c r="AL2191" s="1"/>
      <c r="AM2191" s="2"/>
      <c r="AN2191" s="1"/>
      <c r="AO2191" s="1"/>
      <c r="AP2191" s="1"/>
      <c r="AQ2191" s="1"/>
      <c r="AR2191" s="1"/>
      <c r="AS2191" s="1"/>
      <c r="AT2191" s="1"/>
      <c r="AU2191" s="1"/>
      <c r="AV2191" s="1"/>
      <c r="AW2191" s="1"/>
      <c r="AX2191" s="1"/>
      <c r="AY2191" s="1"/>
      <c r="AZ2191" s="1"/>
      <c r="BA2191" s="1"/>
      <c r="BB2191" s="1"/>
      <c r="BC2191" s="1"/>
      <c r="BD2191" s="1"/>
      <c r="BE2191" s="1"/>
    </row>
    <row x14ac:dyDescent="0.25" r="2192" customHeight="1" ht="18.75">
      <c r="A2192" s="1"/>
      <c r="B2192" s="2"/>
      <c r="C2192" s="2"/>
      <c r="D2192" s="2"/>
      <c r="E2192" s="2"/>
      <c r="F2192" s="2"/>
      <c r="G2192" s="1"/>
      <c r="H2192" s="1"/>
      <c r="I2192" s="7">
        <v>2.189</v>
      </c>
      <c r="J2192" s="7">
        <f>IF((I2192-ROUNDDOWN(I2192,0))=0, 0, (I2192-ROUNDDOWN(I2192,0)))</f>
      </c>
      <c r="K2192" s="7">
        <f>INDIRECT("C$"&amp;2+MIN(2,ROUNDDOWN(I2192,0))*3)*(-$J2192^3+3*$J2192^2-3*$J2192+1)+INDIRECT("C$"&amp;3+MIN(2,ROUNDDOWN(I2192,0))*3)*(3*$J2192^3-6*$J2192^2+3*$J2192)+INDIRECT("C$"&amp;4+MIN(2,ROUNDDOWN(I2192,0))*3)*(-3*$J2192^3+3*$J2192^2)+INDIRECT("C$"&amp;5+MIN(2,ROUNDDOWN(I2192,0))*3)*$J2192^3</f>
      </c>
      <c r="L2192" s="7">
        <f>INDIRECT("D$"&amp;2+MIN(2,ROUNDDOWN(I2192,0))*3)*(-$J2192^3+3*$J2192^2-3*$J2192+1)+INDIRECT("D$"&amp;3+MIN(2,ROUNDDOWN(I2192,0))*3)*(3*$J2192^3-6*$J2192^2+3*$J2192)+INDIRECT("D$"&amp;4+MIN(2,ROUNDDOWN(I2192,0))*3)*(-3*$J2192^3+3*$J2192^2)+INDIRECT("D$"&amp;5+MIN(2,ROUNDDOWN(I2192,0))*3)*$J2192^3</f>
      </c>
      <c r="M2192" s="7">
        <f>SQRT(K2192^2+L2192^2)</f>
      </c>
      <c r="N2192" s="7">
        <f>(K2193-K2191)</f>
      </c>
      <c r="O2192" s="7">
        <f>+(L2193-L2191)</f>
      </c>
      <c r="P2192" s="7">
        <f>SQRT(O2192^2+N2192^2)</f>
      </c>
      <c r="Q2192" s="7">
        <f>N2192/$P2192</f>
      </c>
      <c r="R2192" s="7">
        <f>O2192/$P2192</f>
      </c>
      <c r="S2192" s="7">
        <f>Q2192^2+R2192^2</f>
      </c>
      <c r="T2192" s="7">
        <f>-R2192</f>
      </c>
      <c r="U2192" s="7">
        <f>Q2192</f>
      </c>
      <c r="V2192" s="7">
        <f>($C$14+($C$15-$C$14)/($D$15-$D$14)*(I2192-$D$14))/2</f>
      </c>
      <c r="W2192" s="7">
        <f>($B$22*I2192^4+$C$22*I2192^3+$D$22*I2192^2+$E$22*I2192+$F$22)/2</f>
      </c>
      <c r="X2192" s="7">
        <f>($W2192)*(T2192)</f>
      </c>
      <c r="Y2192" s="7">
        <f>($W2192)*(U2192)</f>
      </c>
      <c r="Z2192" s="7">
        <f>SQRT(X2192^2+Y2192^2)</f>
      </c>
      <c r="AA2192" s="7">
        <f>$K2192+$X2192</f>
      </c>
      <c r="AB2192" s="7">
        <f>$L2192+$Y2192</f>
      </c>
      <c r="AC2192" s="7">
        <f>$K2192-$X2192</f>
      </c>
      <c r="AD2192" s="7">
        <f>$L2192-$Y2192</f>
      </c>
      <c r="AE2192" s="7">
        <f>AA2192/39.3701</f>
      </c>
      <c r="AF2192" s="7">
        <f>AB2192/39.3701</f>
      </c>
      <c r="AG2192" s="7">
        <f>AC2192/39.3701</f>
      </c>
      <c r="AH2192" s="7">
        <f>AD2192/39.3701</f>
      </c>
      <c r="AI2192" s="1"/>
      <c r="AJ2192" s="1"/>
      <c r="AK2192" s="1"/>
      <c r="AL2192" s="1"/>
      <c r="AM2192" s="2"/>
      <c r="AN2192" s="1"/>
      <c r="AO2192" s="1"/>
      <c r="AP2192" s="1"/>
      <c r="AQ2192" s="1"/>
      <c r="AR2192" s="1"/>
      <c r="AS2192" s="1"/>
      <c r="AT2192" s="1"/>
      <c r="AU2192" s="1"/>
      <c r="AV2192" s="1"/>
      <c r="AW2192" s="1"/>
      <c r="AX2192" s="1"/>
      <c r="AY2192" s="1"/>
      <c r="AZ2192" s="1"/>
      <c r="BA2192" s="1"/>
      <c r="BB2192" s="1"/>
      <c r="BC2192" s="1"/>
      <c r="BD2192" s="1"/>
      <c r="BE2192" s="1"/>
    </row>
    <row x14ac:dyDescent="0.25" r="2193" customHeight="1" ht="18.75">
      <c r="A2193" s="1"/>
      <c r="B2193" s="2"/>
      <c r="C2193" s="2"/>
      <c r="D2193" s="2"/>
      <c r="E2193" s="2"/>
      <c r="F2193" s="2"/>
      <c r="G2193" s="1"/>
      <c r="H2193" s="1"/>
      <c r="I2193" s="7">
        <v>2.19</v>
      </c>
      <c r="J2193" s="7">
        <f>IF((I2193-ROUNDDOWN(I2193,0))=0, 0, (I2193-ROUNDDOWN(I2193,0)))</f>
      </c>
      <c r="K2193" s="7">
        <f>INDIRECT("C$"&amp;2+MIN(2,ROUNDDOWN(I2193,0))*3)*(-$J2193^3+3*$J2193^2-3*$J2193+1)+INDIRECT("C$"&amp;3+MIN(2,ROUNDDOWN(I2193,0))*3)*(3*$J2193^3-6*$J2193^2+3*$J2193)+INDIRECT("C$"&amp;4+MIN(2,ROUNDDOWN(I2193,0))*3)*(-3*$J2193^3+3*$J2193^2)+INDIRECT("C$"&amp;5+MIN(2,ROUNDDOWN(I2193,0))*3)*$J2193^3</f>
      </c>
      <c r="L2193" s="7">
        <f>INDIRECT("D$"&amp;2+MIN(2,ROUNDDOWN(I2193,0))*3)*(-$J2193^3+3*$J2193^2-3*$J2193+1)+INDIRECT("D$"&amp;3+MIN(2,ROUNDDOWN(I2193,0))*3)*(3*$J2193^3-6*$J2193^2+3*$J2193)+INDIRECT("D$"&amp;4+MIN(2,ROUNDDOWN(I2193,0))*3)*(-3*$J2193^3+3*$J2193^2)+INDIRECT("D$"&amp;5+MIN(2,ROUNDDOWN(I2193,0))*3)*$J2193^3</f>
      </c>
      <c r="M2193" s="7">
        <f>SQRT(K2193^2+L2193^2)</f>
      </c>
      <c r="N2193" s="7">
        <f>(K2194-K2192)</f>
      </c>
      <c r="O2193" s="7">
        <f>+(L2194-L2192)</f>
      </c>
      <c r="P2193" s="7">
        <f>SQRT(O2193^2+N2193^2)</f>
      </c>
      <c r="Q2193" s="7">
        <f>N2193/$P2193</f>
      </c>
      <c r="R2193" s="7">
        <f>O2193/$P2193</f>
      </c>
      <c r="S2193" s="7">
        <f>Q2193^2+R2193^2</f>
      </c>
      <c r="T2193" s="7">
        <f>-R2193</f>
      </c>
      <c r="U2193" s="7">
        <f>Q2193</f>
      </c>
      <c r="V2193" s="7">
        <f>($C$14+($C$15-$C$14)/($D$15-$D$14)*(I2193-$D$14))/2</f>
      </c>
      <c r="W2193" s="7">
        <f>($B$22*I2193^4+$C$22*I2193^3+$D$22*I2193^2+$E$22*I2193+$F$22)/2</f>
      </c>
      <c r="X2193" s="7">
        <f>($W2193)*(T2193)</f>
      </c>
      <c r="Y2193" s="7">
        <f>($W2193)*(U2193)</f>
      </c>
      <c r="Z2193" s="7">
        <f>SQRT(X2193^2+Y2193^2)</f>
      </c>
      <c r="AA2193" s="7">
        <f>$K2193+$X2193</f>
      </c>
      <c r="AB2193" s="7">
        <f>$L2193+$Y2193</f>
      </c>
      <c r="AC2193" s="7">
        <f>$K2193-$X2193</f>
      </c>
      <c r="AD2193" s="7">
        <f>$L2193-$Y2193</f>
      </c>
      <c r="AE2193" s="7">
        <f>AA2193/39.3701</f>
      </c>
      <c r="AF2193" s="7">
        <f>AB2193/39.3701</f>
      </c>
      <c r="AG2193" s="7">
        <f>AC2193/39.3701</f>
      </c>
      <c r="AH2193" s="7">
        <f>AD2193/39.3701</f>
      </c>
      <c r="AI2193" s="1"/>
      <c r="AJ2193" s="1"/>
      <c r="AK2193" s="1"/>
      <c r="AL2193" s="1"/>
      <c r="AM2193" s="2"/>
      <c r="AN2193" s="1"/>
      <c r="AO2193" s="1"/>
      <c r="AP2193" s="1"/>
      <c r="AQ2193" s="1"/>
      <c r="AR2193" s="1"/>
      <c r="AS2193" s="1"/>
      <c r="AT2193" s="1"/>
      <c r="AU2193" s="1"/>
      <c r="AV2193" s="1"/>
      <c r="AW2193" s="1"/>
      <c r="AX2193" s="1"/>
      <c r="AY2193" s="1"/>
      <c r="AZ2193" s="1"/>
      <c r="BA2193" s="1"/>
      <c r="BB2193" s="1"/>
      <c r="BC2193" s="1"/>
      <c r="BD2193" s="1"/>
      <c r="BE2193" s="1"/>
    </row>
    <row x14ac:dyDescent="0.25" r="2194" customHeight="1" ht="18.75">
      <c r="A2194" s="1"/>
      <c r="B2194" s="2"/>
      <c r="C2194" s="2"/>
      <c r="D2194" s="2"/>
      <c r="E2194" s="2"/>
      <c r="F2194" s="2"/>
      <c r="G2194" s="1"/>
      <c r="H2194" s="1"/>
      <c r="I2194" s="7">
        <v>2.191</v>
      </c>
      <c r="J2194" s="7">
        <f>IF((I2194-ROUNDDOWN(I2194,0))=0, 0, (I2194-ROUNDDOWN(I2194,0)))</f>
      </c>
      <c r="K2194" s="7">
        <f>INDIRECT("C$"&amp;2+MIN(2,ROUNDDOWN(I2194,0))*3)*(-$J2194^3+3*$J2194^2-3*$J2194+1)+INDIRECT("C$"&amp;3+MIN(2,ROUNDDOWN(I2194,0))*3)*(3*$J2194^3-6*$J2194^2+3*$J2194)+INDIRECT("C$"&amp;4+MIN(2,ROUNDDOWN(I2194,0))*3)*(-3*$J2194^3+3*$J2194^2)+INDIRECT("C$"&amp;5+MIN(2,ROUNDDOWN(I2194,0))*3)*$J2194^3</f>
      </c>
      <c r="L2194" s="7">
        <f>INDIRECT("D$"&amp;2+MIN(2,ROUNDDOWN(I2194,0))*3)*(-$J2194^3+3*$J2194^2-3*$J2194+1)+INDIRECT("D$"&amp;3+MIN(2,ROUNDDOWN(I2194,0))*3)*(3*$J2194^3-6*$J2194^2+3*$J2194)+INDIRECT("D$"&amp;4+MIN(2,ROUNDDOWN(I2194,0))*3)*(-3*$J2194^3+3*$J2194^2)+INDIRECT("D$"&amp;5+MIN(2,ROUNDDOWN(I2194,0))*3)*$J2194^3</f>
      </c>
      <c r="M2194" s="7">
        <f>SQRT(K2194^2+L2194^2)</f>
      </c>
      <c r="N2194" s="7">
        <f>(K2195-K2193)</f>
      </c>
      <c r="O2194" s="7">
        <f>+(L2195-L2193)</f>
      </c>
      <c r="P2194" s="7">
        <f>SQRT(O2194^2+N2194^2)</f>
      </c>
      <c r="Q2194" s="7">
        <f>N2194/$P2194</f>
      </c>
      <c r="R2194" s="7">
        <f>O2194/$P2194</f>
      </c>
      <c r="S2194" s="8">
        <f>Q2194^2+R2194^2</f>
      </c>
      <c r="T2194" s="7">
        <f>-R2194</f>
      </c>
      <c r="U2194" s="7">
        <f>Q2194</f>
      </c>
      <c r="V2194" s="7">
        <f>($C$14+($C$15-$C$14)/($D$15-$D$14)*(I2194-$D$14))/2</f>
      </c>
      <c r="W2194" s="7">
        <f>($B$22*I2194^4+$C$22*I2194^3+$D$22*I2194^2+$E$22*I2194+$F$22)/2</f>
      </c>
      <c r="X2194" s="7">
        <f>($W2194)*(T2194)</f>
      </c>
      <c r="Y2194" s="7">
        <f>($W2194)*(U2194)</f>
      </c>
      <c r="Z2194" s="7">
        <f>SQRT(X2194^2+Y2194^2)</f>
      </c>
      <c r="AA2194" s="7">
        <f>$K2194+$X2194</f>
      </c>
      <c r="AB2194" s="7">
        <f>$L2194+$Y2194</f>
      </c>
      <c r="AC2194" s="7">
        <f>$K2194-$X2194</f>
      </c>
      <c r="AD2194" s="7">
        <f>$L2194-$Y2194</f>
      </c>
      <c r="AE2194" s="7">
        <f>AA2194/39.3701</f>
      </c>
      <c r="AF2194" s="7">
        <f>AB2194/39.3701</f>
      </c>
      <c r="AG2194" s="7">
        <f>AC2194/39.3701</f>
      </c>
      <c r="AH2194" s="7">
        <f>AD2194/39.3701</f>
      </c>
      <c r="AI2194" s="1"/>
      <c r="AJ2194" s="1"/>
      <c r="AK2194" s="1"/>
      <c r="AL2194" s="1"/>
      <c r="AM2194" s="2"/>
      <c r="AN2194" s="1"/>
      <c r="AO2194" s="1"/>
      <c r="AP2194" s="1"/>
      <c r="AQ2194" s="1"/>
      <c r="AR2194" s="1"/>
      <c r="AS2194" s="1"/>
      <c r="AT2194" s="1"/>
      <c r="AU2194" s="1"/>
      <c r="AV2194" s="1"/>
      <c r="AW2194" s="1"/>
      <c r="AX2194" s="1"/>
      <c r="AY2194" s="1"/>
      <c r="AZ2194" s="1"/>
      <c r="BA2194" s="1"/>
      <c r="BB2194" s="1"/>
      <c r="BC2194" s="1"/>
      <c r="BD2194" s="1"/>
      <c r="BE2194" s="1"/>
    </row>
    <row x14ac:dyDescent="0.25" r="2195" customHeight="1" ht="18.75">
      <c r="A2195" s="1"/>
      <c r="B2195" s="2"/>
      <c r="C2195" s="2"/>
      <c r="D2195" s="2"/>
      <c r="E2195" s="2"/>
      <c r="F2195" s="2"/>
      <c r="G2195" s="1"/>
      <c r="H2195" s="1"/>
      <c r="I2195" s="7">
        <v>2.192</v>
      </c>
      <c r="J2195" s="7">
        <f>IF((I2195-ROUNDDOWN(I2195,0))=0, 0, (I2195-ROUNDDOWN(I2195,0)))</f>
      </c>
      <c r="K2195" s="7">
        <f>INDIRECT("C$"&amp;2+MIN(2,ROUNDDOWN(I2195,0))*3)*(-$J2195^3+3*$J2195^2-3*$J2195+1)+INDIRECT("C$"&amp;3+MIN(2,ROUNDDOWN(I2195,0))*3)*(3*$J2195^3-6*$J2195^2+3*$J2195)+INDIRECT("C$"&amp;4+MIN(2,ROUNDDOWN(I2195,0))*3)*(-3*$J2195^3+3*$J2195^2)+INDIRECT("C$"&amp;5+MIN(2,ROUNDDOWN(I2195,0))*3)*$J2195^3</f>
      </c>
      <c r="L2195" s="7">
        <f>INDIRECT("D$"&amp;2+MIN(2,ROUNDDOWN(I2195,0))*3)*(-$J2195^3+3*$J2195^2-3*$J2195+1)+INDIRECT("D$"&amp;3+MIN(2,ROUNDDOWN(I2195,0))*3)*(3*$J2195^3-6*$J2195^2+3*$J2195)+INDIRECT("D$"&amp;4+MIN(2,ROUNDDOWN(I2195,0))*3)*(-3*$J2195^3+3*$J2195^2)+INDIRECT("D$"&amp;5+MIN(2,ROUNDDOWN(I2195,0))*3)*$J2195^3</f>
      </c>
      <c r="M2195" s="7">
        <f>SQRT(K2195^2+L2195^2)</f>
      </c>
      <c r="N2195" s="7">
        <f>(K2196-K2194)</f>
      </c>
      <c r="O2195" s="7">
        <f>+(L2196-L2194)</f>
      </c>
      <c r="P2195" s="7">
        <f>SQRT(O2195^2+N2195^2)</f>
      </c>
      <c r="Q2195" s="7">
        <f>N2195/$P2195</f>
      </c>
      <c r="R2195" s="7">
        <f>O2195/$P2195</f>
      </c>
      <c r="S2195" s="8">
        <f>Q2195^2+R2195^2</f>
      </c>
      <c r="T2195" s="7">
        <f>-R2195</f>
      </c>
      <c r="U2195" s="7">
        <f>Q2195</f>
      </c>
      <c r="V2195" s="7">
        <f>($C$14+($C$15-$C$14)/($D$15-$D$14)*(I2195-$D$14))/2</f>
      </c>
      <c r="W2195" s="7">
        <f>($B$22*I2195^4+$C$22*I2195^3+$D$22*I2195^2+$E$22*I2195+$F$22)/2</f>
      </c>
      <c r="X2195" s="7">
        <f>($W2195)*(T2195)</f>
      </c>
      <c r="Y2195" s="7">
        <f>($W2195)*(U2195)</f>
      </c>
      <c r="Z2195" s="7">
        <f>SQRT(X2195^2+Y2195^2)</f>
      </c>
      <c r="AA2195" s="7">
        <f>$K2195+$X2195</f>
      </c>
      <c r="AB2195" s="7">
        <f>$L2195+$Y2195</f>
      </c>
      <c r="AC2195" s="7">
        <f>$K2195-$X2195</f>
      </c>
      <c r="AD2195" s="7">
        <f>$L2195-$Y2195</f>
      </c>
      <c r="AE2195" s="7">
        <f>AA2195/39.3701</f>
      </c>
      <c r="AF2195" s="7">
        <f>AB2195/39.3701</f>
      </c>
      <c r="AG2195" s="7">
        <f>AC2195/39.3701</f>
      </c>
      <c r="AH2195" s="7">
        <f>AD2195/39.3701</f>
      </c>
      <c r="AI2195" s="1"/>
      <c r="AJ2195" s="1"/>
      <c r="AK2195" s="1"/>
      <c r="AL2195" s="1"/>
      <c r="AM2195" s="2"/>
      <c r="AN2195" s="1"/>
      <c r="AO2195" s="1"/>
      <c r="AP2195" s="1"/>
      <c r="AQ2195" s="1"/>
      <c r="AR2195" s="1"/>
      <c r="AS2195" s="1"/>
      <c r="AT2195" s="1"/>
      <c r="AU2195" s="1"/>
      <c r="AV2195" s="1"/>
      <c r="AW2195" s="1"/>
      <c r="AX2195" s="1"/>
      <c r="AY2195" s="1"/>
      <c r="AZ2195" s="1"/>
      <c r="BA2195" s="1"/>
      <c r="BB2195" s="1"/>
      <c r="BC2195" s="1"/>
      <c r="BD2195" s="1"/>
      <c r="BE2195" s="1"/>
    </row>
    <row x14ac:dyDescent="0.25" r="2196" customHeight="1" ht="18.75">
      <c r="A2196" s="1"/>
      <c r="B2196" s="2"/>
      <c r="C2196" s="2"/>
      <c r="D2196" s="2"/>
      <c r="E2196" s="2"/>
      <c r="F2196" s="2"/>
      <c r="G2196" s="1"/>
      <c r="H2196" s="1"/>
      <c r="I2196" s="7">
        <v>2.193</v>
      </c>
      <c r="J2196" s="7">
        <f>IF((I2196-ROUNDDOWN(I2196,0))=0, 0, (I2196-ROUNDDOWN(I2196,0)))</f>
      </c>
      <c r="K2196" s="7">
        <f>INDIRECT("C$"&amp;2+MIN(2,ROUNDDOWN(I2196,0))*3)*(-$J2196^3+3*$J2196^2-3*$J2196+1)+INDIRECT("C$"&amp;3+MIN(2,ROUNDDOWN(I2196,0))*3)*(3*$J2196^3-6*$J2196^2+3*$J2196)+INDIRECT("C$"&amp;4+MIN(2,ROUNDDOWN(I2196,0))*3)*(-3*$J2196^3+3*$J2196^2)+INDIRECT("C$"&amp;5+MIN(2,ROUNDDOWN(I2196,0))*3)*$J2196^3</f>
      </c>
      <c r="L2196" s="7">
        <f>INDIRECT("D$"&amp;2+MIN(2,ROUNDDOWN(I2196,0))*3)*(-$J2196^3+3*$J2196^2-3*$J2196+1)+INDIRECT("D$"&amp;3+MIN(2,ROUNDDOWN(I2196,0))*3)*(3*$J2196^3-6*$J2196^2+3*$J2196)+INDIRECT("D$"&amp;4+MIN(2,ROUNDDOWN(I2196,0))*3)*(-3*$J2196^3+3*$J2196^2)+INDIRECT("D$"&amp;5+MIN(2,ROUNDDOWN(I2196,0))*3)*$J2196^3</f>
      </c>
      <c r="M2196" s="7">
        <f>SQRT(K2196^2+L2196^2)</f>
      </c>
      <c r="N2196" s="7">
        <f>(K2197-K2195)</f>
      </c>
      <c r="O2196" s="7">
        <f>+(L2197-L2195)</f>
      </c>
      <c r="P2196" s="7">
        <f>SQRT(O2196^2+N2196^2)</f>
      </c>
      <c r="Q2196" s="7">
        <f>N2196/$P2196</f>
      </c>
      <c r="R2196" s="7">
        <f>O2196/$P2196</f>
      </c>
      <c r="S2196" s="8">
        <f>Q2196^2+R2196^2</f>
      </c>
      <c r="T2196" s="7">
        <f>-R2196</f>
      </c>
      <c r="U2196" s="7">
        <f>Q2196</f>
      </c>
      <c r="V2196" s="7">
        <f>($C$14+($C$15-$C$14)/($D$15-$D$14)*(I2196-$D$14))/2</f>
      </c>
      <c r="W2196" s="7">
        <f>($B$22*I2196^4+$C$22*I2196^3+$D$22*I2196^2+$E$22*I2196+$F$22)/2</f>
      </c>
      <c r="X2196" s="7">
        <f>($W2196)*(T2196)</f>
      </c>
      <c r="Y2196" s="7">
        <f>($W2196)*(U2196)</f>
      </c>
      <c r="Z2196" s="7">
        <f>SQRT(X2196^2+Y2196^2)</f>
      </c>
      <c r="AA2196" s="7">
        <f>$K2196+$X2196</f>
      </c>
      <c r="AB2196" s="7">
        <f>$L2196+$Y2196</f>
      </c>
      <c r="AC2196" s="7">
        <f>$K2196-$X2196</f>
      </c>
      <c r="AD2196" s="7">
        <f>$L2196-$Y2196</f>
      </c>
      <c r="AE2196" s="7">
        <f>AA2196/39.3701</f>
      </c>
      <c r="AF2196" s="7">
        <f>AB2196/39.3701</f>
      </c>
      <c r="AG2196" s="7">
        <f>AC2196/39.3701</f>
      </c>
      <c r="AH2196" s="7">
        <f>AD2196/39.3701</f>
      </c>
      <c r="AI2196" s="1"/>
      <c r="AJ2196" s="1"/>
      <c r="AK2196" s="1"/>
      <c r="AL2196" s="1"/>
      <c r="AM2196" s="2"/>
      <c r="AN2196" s="1"/>
      <c r="AO2196" s="1"/>
      <c r="AP2196" s="1"/>
      <c r="AQ2196" s="1"/>
      <c r="AR2196" s="1"/>
      <c r="AS2196" s="1"/>
      <c r="AT2196" s="1"/>
      <c r="AU2196" s="1"/>
      <c r="AV2196" s="1"/>
      <c r="AW2196" s="1"/>
      <c r="AX2196" s="1"/>
      <c r="AY2196" s="1"/>
      <c r="AZ2196" s="1"/>
      <c r="BA2196" s="1"/>
      <c r="BB2196" s="1"/>
      <c r="BC2196" s="1"/>
      <c r="BD2196" s="1"/>
      <c r="BE2196" s="1"/>
    </row>
    <row x14ac:dyDescent="0.25" r="2197" customHeight="1" ht="18.75">
      <c r="A2197" s="1"/>
      <c r="B2197" s="2"/>
      <c r="C2197" s="2"/>
      <c r="D2197" s="2"/>
      <c r="E2197" s="2"/>
      <c r="F2197" s="2"/>
      <c r="G2197" s="1"/>
      <c r="H2197" s="1"/>
      <c r="I2197" s="7">
        <v>2.194</v>
      </c>
      <c r="J2197" s="7">
        <f>IF((I2197-ROUNDDOWN(I2197,0))=0, 0, (I2197-ROUNDDOWN(I2197,0)))</f>
      </c>
      <c r="K2197" s="7">
        <f>INDIRECT("C$"&amp;2+MIN(2,ROUNDDOWN(I2197,0))*3)*(-$J2197^3+3*$J2197^2-3*$J2197+1)+INDIRECT("C$"&amp;3+MIN(2,ROUNDDOWN(I2197,0))*3)*(3*$J2197^3-6*$J2197^2+3*$J2197)+INDIRECT("C$"&amp;4+MIN(2,ROUNDDOWN(I2197,0))*3)*(-3*$J2197^3+3*$J2197^2)+INDIRECT("C$"&amp;5+MIN(2,ROUNDDOWN(I2197,0))*3)*$J2197^3</f>
      </c>
      <c r="L2197" s="7">
        <f>INDIRECT("D$"&amp;2+MIN(2,ROUNDDOWN(I2197,0))*3)*(-$J2197^3+3*$J2197^2-3*$J2197+1)+INDIRECT("D$"&amp;3+MIN(2,ROUNDDOWN(I2197,0))*3)*(3*$J2197^3-6*$J2197^2+3*$J2197)+INDIRECT("D$"&amp;4+MIN(2,ROUNDDOWN(I2197,0))*3)*(-3*$J2197^3+3*$J2197^2)+INDIRECT("D$"&amp;5+MIN(2,ROUNDDOWN(I2197,0))*3)*$J2197^3</f>
      </c>
      <c r="M2197" s="7">
        <f>SQRT(K2197^2+L2197^2)</f>
      </c>
      <c r="N2197" s="7">
        <f>(K2198-K2196)</f>
      </c>
      <c r="O2197" s="7">
        <f>+(L2198-L2196)</f>
      </c>
      <c r="P2197" s="7">
        <f>SQRT(O2197^2+N2197^2)</f>
      </c>
      <c r="Q2197" s="7">
        <f>N2197/$P2197</f>
      </c>
      <c r="R2197" s="7">
        <f>O2197/$P2197</f>
      </c>
      <c r="S2197" s="8">
        <f>Q2197^2+R2197^2</f>
      </c>
      <c r="T2197" s="7">
        <f>-R2197</f>
      </c>
      <c r="U2197" s="7">
        <f>Q2197</f>
      </c>
      <c r="V2197" s="7">
        <f>($C$14+($C$15-$C$14)/($D$15-$D$14)*(I2197-$D$14))/2</f>
      </c>
      <c r="W2197" s="7">
        <f>($B$22*I2197^4+$C$22*I2197^3+$D$22*I2197^2+$E$22*I2197+$F$22)/2</f>
      </c>
      <c r="X2197" s="7">
        <f>($W2197)*(T2197)</f>
      </c>
      <c r="Y2197" s="7">
        <f>($W2197)*(U2197)</f>
      </c>
      <c r="Z2197" s="7">
        <f>SQRT(X2197^2+Y2197^2)</f>
      </c>
      <c r="AA2197" s="7">
        <f>$K2197+$X2197</f>
      </c>
      <c r="AB2197" s="7">
        <f>$L2197+$Y2197</f>
      </c>
      <c r="AC2197" s="7">
        <f>$K2197-$X2197</f>
      </c>
      <c r="AD2197" s="7">
        <f>$L2197-$Y2197</f>
      </c>
      <c r="AE2197" s="7">
        <f>AA2197/39.3701</f>
      </c>
      <c r="AF2197" s="7">
        <f>AB2197/39.3701</f>
      </c>
      <c r="AG2197" s="7">
        <f>AC2197/39.3701</f>
      </c>
      <c r="AH2197" s="7">
        <f>AD2197/39.3701</f>
      </c>
      <c r="AI2197" s="1"/>
      <c r="AJ2197" s="1"/>
      <c r="AK2197" s="1"/>
      <c r="AL2197" s="1"/>
      <c r="AM2197" s="2"/>
      <c r="AN2197" s="1"/>
      <c r="AO2197" s="1"/>
      <c r="AP2197" s="1"/>
      <c r="AQ2197" s="1"/>
      <c r="AR2197" s="1"/>
      <c r="AS2197" s="1"/>
      <c r="AT2197" s="1"/>
      <c r="AU2197" s="1"/>
      <c r="AV2197" s="1"/>
      <c r="AW2197" s="1"/>
      <c r="AX2197" s="1"/>
      <c r="AY2197" s="1"/>
      <c r="AZ2197" s="1"/>
      <c r="BA2197" s="1"/>
      <c r="BB2197" s="1"/>
      <c r="BC2197" s="1"/>
      <c r="BD2197" s="1"/>
      <c r="BE2197" s="1"/>
    </row>
    <row x14ac:dyDescent="0.25" r="2198" customHeight="1" ht="18.75">
      <c r="A2198" s="1"/>
      <c r="B2198" s="2"/>
      <c r="C2198" s="2"/>
      <c r="D2198" s="2"/>
      <c r="E2198" s="2"/>
      <c r="F2198" s="2"/>
      <c r="G2198" s="1"/>
      <c r="H2198" s="1"/>
      <c r="I2198" s="7">
        <v>2.195</v>
      </c>
      <c r="J2198" s="7">
        <f>IF((I2198-ROUNDDOWN(I2198,0))=0, 0, (I2198-ROUNDDOWN(I2198,0)))</f>
      </c>
      <c r="K2198" s="7">
        <f>INDIRECT("C$"&amp;2+MIN(2,ROUNDDOWN(I2198,0))*3)*(-$J2198^3+3*$J2198^2-3*$J2198+1)+INDIRECT("C$"&amp;3+MIN(2,ROUNDDOWN(I2198,0))*3)*(3*$J2198^3-6*$J2198^2+3*$J2198)+INDIRECT("C$"&amp;4+MIN(2,ROUNDDOWN(I2198,0))*3)*(-3*$J2198^3+3*$J2198^2)+INDIRECT("C$"&amp;5+MIN(2,ROUNDDOWN(I2198,0))*3)*$J2198^3</f>
      </c>
      <c r="L2198" s="7">
        <f>INDIRECT("D$"&amp;2+MIN(2,ROUNDDOWN(I2198,0))*3)*(-$J2198^3+3*$J2198^2-3*$J2198+1)+INDIRECT("D$"&amp;3+MIN(2,ROUNDDOWN(I2198,0))*3)*(3*$J2198^3-6*$J2198^2+3*$J2198)+INDIRECT("D$"&amp;4+MIN(2,ROUNDDOWN(I2198,0))*3)*(-3*$J2198^3+3*$J2198^2)+INDIRECT("D$"&amp;5+MIN(2,ROUNDDOWN(I2198,0))*3)*$J2198^3</f>
      </c>
      <c r="M2198" s="7">
        <f>SQRT(K2198^2+L2198^2)</f>
      </c>
      <c r="N2198" s="7">
        <f>(K2199-K2197)</f>
      </c>
      <c r="O2198" s="7">
        <f>+(L2199-L2197)</f>
      </c>
      <c r="P2198" s="7">
        <f>SQRT(O2198^2+N2198^2)</f>
      </c>
      <c r="Q2198" s="7">
        <f>N2198/$P2198</f>
      </c>
      <c r="R2198" s="7">
        <f>O2198/$P2198</f>
      </c>
      <c r="S2198" s="8">
        <f>Q2198^2+R2198^2</f>
      </c>
      <c r="T2198" s="7">
        <f>-R2198</f>
      </c>
      <c r="U2198" s="7">
        <f>Q2198</f>
      </c>
      <c r="V2198" s="7">
        <f>($C$14+($C$15-$C$14)/($D$15-$D$14)*(I2198-$D$14))/2</f>
      </c>
      <c r="W2198" s="7">
        <f>($B$22*I2198^4+$C$22*I2198^3+$D$22*I2198^2+$E$22*I2198+$F$22)/2</f>
      </c>
      <c r="X2198" s="7">
        <f>($W2198)*(T2198)</f>
      </c>
      <c r="Y2198" s="7">
        <f>($W2198)*(U2198)</f>
      </c>
      <c r="Z2198" s="7">
        <f>SQRT(X2198^2+Y2198^2)</f>
      </c>
      <c r="AA2198" s="7">
        <f>$K2198+$X2198</f>
      </c>
      <c r="AB2198" s="7">
        <f>$L2198+$Y2198</f>
      </c>
      <c r="AC2198" s="7">
        <f>$K2198-$X2198</f>
      </c>
      <c r="AD2198" s="7">
        <f>$L2198-$Y2198</f>
      </c>
      <c r="AE2198" s="7">
        <f>AA2198/39.3701</f>
      </c>
      <c r="AF2198" s="7">
        <f>AB2198/39.3701</f>
      </c>
      <c r="AG2198" s="7">
        <f>AC2198/39.3701</f>
      </c>
      <c r="AH2198" s="7">
        <f>AD2198/39.3701</f>
      </c>
      <c r="AI2198" s="1"/>
      <c r="AJ2198" s="1"/>
      <c r="AK2198" s="1"/>
      <c r="AL2198" s="1"/>
      <c r="AM2198" s="2"/>
      <c r="AN2198" s="1"/>
      <c r="AO2198" s="1"/>
      <c r="AP2198" s="1"/>
      <c r="AQ2198" s="1"/>
      <c r="AR2198" s="1"/>
      <c r="AS2198" s="1"/>
      <c r="AT2198" s="1"/>
      <c r="AU2198" s="1"/>
      <c r="AV2198" s="1"/>
      <c r="AW2198" s="1"/>
      <c r="AX2198" s="1"/>
      <c r="AY2198" s="1"/>
      <c r="AZ2198" s="1"/>
      <c r="BA2198" s="1"/>
      <c r="BB2198" s="1"/>
      <c r="BC2198" s="1"/>
      <c r="BD2198" s="1"/>
      <c r="BE2198" s="1"/>
    </row>
    <row x14ac:dyDescent="0.25" r="2199" customHeight="1" ht="18.75">
      <c r="A2199" s="1"/>
      <c r="B2199" s="2"/>
      <c r="C2199" s="2"/>
      <c r="D2199" s="2"/>
      <c r="E2199" s="2"/>
      <c r="F2199" s="2"/>
      <c r="G2199" s="1"/>
      <c r="H2199" s="1"/>
      <c r="I2199" s="7">
        <v>2.196</v>
      </c>
      <c r="J2199" s="7">
        <f>IF((I2199-ROUNDDOWN(I2199,0))=0, 0, (I2199-ROUNDDOWN(I2199,0)))</f>
      </c>
      <c r="K2199" s="7">
        <f>INDIRECT("C$"&amp;2+MIN(2,ROUNDDOWN(I2199,0))*3)*(-$J2199^3+3*$J2199^2-3*$J2199+1)+INDIRECT("C$"&amp;3+MIN(2,ROUNDDOWN(I2199,0))*3)*(3*$J2199^3-6*$J2199^2+3*$J2199)+INDIRECT("C$"&amp;4+MIN(2,ROUNDDOWN(I2199,0))*3)*(-3*$J2199^3+3*$J2199^2)+INDIRECT("C$"&amp;5+MIN(2,ROUNDDOWN(I2199,0))*3)*$J2199^3</f>
      </c>
      <c r="L2199" s="7">
        <f>INDIRECT("D$"&amp;2+MIN(2,ROUNDDOWN(I2199,0))*3)*(-$J2199^3+3*$J2199^2-3*$J2199+1)+INDIRECT("D$"&amp;3+MIN(2,ROUNDDOWN(I2199,0))*3)*(3*$J2199^3-6*$J2199^2+3*$J2199)+INDIRECT("D$"&amp;4+MIN(2,ROUNDDOWN(I2199,0))*3)*(-3*$J2199^3+3*$J2199^2)+INDIRECT("D$"&amp;5+MIN(2,ROUNDDOWN(I2199,0))*3)*$J2199^3</f>
      </c>
      <c r="M2199" s="7">
        <f>SQRT(K2199^2+L2199^2)</f>
      </c>
      <c r="N2199" s="7">
        <f>(K2200-K2198)</f>
      </c>
      <c r="O2199" s="7">
        <f>+(L2200-L2198)</f>
      </c>
      <c r="P2199" s="7">
        <f>SQRT(O2199^2+N2199^2)</f>
      </c>
      <c r="Q2199" s="7">
        <f>N2199/$P2199</f>
      </c>
      <c r="R2199" s="7">
        <f>O2199/$P2199</f>
      </c>
      <c r="S2199" s="7">
        <f>Q2199^2+R2199^2</f>
      </c>
      <c r="T2199" s="7">
        <f>-R2199</f>
      </c>
      <c r="U2199" s="7">
        <f>Q2199</f>
      </c>
      <c r="V2199" s="7">
        <f>($C$14+($C$15-$C$14)/($D$15-$D$14)*(I2199-$D$14))/2</f>
      </c>
      <c r="W2199" s="7">
        <f>($B$22*I2199^4+$C$22*I2199^3+$D$22*I2199^2+$E$22*I2199+$F$22)/2</f>
      </c>
      <c r="X2199" s="7">
        <f>($W2199)*(T2199)</f>
      </c>
      <c r="Y2199" s="7">
        <f>($W2199)*(U2199)</f>
      </c>
      <c r="Z2199" s="7">
        <f>SQRT(X2199^2+Y2199^2)</f>
      </c>
      <c r="AA2199" s="7">
        <f>$K2199+$X2199</f>
      </c>
      <c r="AB2199" s="7">
        <f>$L2199+$Y2199</f>
      </c>
      <c r="AC2199" s="7">
        <f>$K2199-$X2199</f>
      </c>
      <c r="AD2199" s="7">
        <f>$L2199-$Y2199</f>
      </c>
      <c r="AE2199" s="7">
        <f>AA2199/39.3701</f>
      </c>
      <c r="AF2199" s="7">
        <f>AB2199/39.3701</f>
      </c>
      <c r="AG2199" s="7">
        <f>AC2199/39.3701</f>
      </c>
      <c r="AH2199" s="7">
        <f>AD2199/39.3701</f>
      </c>
      <c r="AI2199" s="1"/>
      <c r="AJ2199" s="1"/>
      <c r="AK2199" s="1"/>
      <c r="AL2199" s="1"/>
      <c r="AM2199" s="2"/>
      <c r="AN2199" s="1"/>
      <c r="AO2199" s="1"/>
      <c r="AP2199" s="1"/>
      <c r="AQ2199" s="1"/>
      <c r="AR2199" s="1"/>
      <c r="AS2199" s="1"/>
      <c r="AT2199" s="1"/>
      <c r="AU2199" s="1"/>
      <c r="AV2199" s="1"/>
      <c r="AW2199" s="1"/>
      <c r="AX2199" s="1"/>
      <c r="AY2199" s="1"/>
      <c r="AZ2199" s="1"/>
      <c r="BA2199" s="1"/>
      <c r="BB2199" s="1"/>
      <c r="BC2199" s="1"/>
      <c r="BD2199" s="1"/>
      <c r="BE2199" s="1"/>
    </row>
    <row x14ac:dyDescent="0.25" r="2200" customHeight="1" ht="18.75">
      <c r="A2200" s="1"/>
      <c r="B2200" s="2"/>
      <c r="C2200" s="2"/>
      <c r="D2200" s="2"/>
      <c r="E2200" s="2"/>
      <c r="F2200" s="2"/>
      <c r="G2200" s="1"/>
      <c r="H2200" s="1"/>
      <c r="I2200" s="7">
        <v>2.197</v>
      </c>
      <c r="J2200" s="7">
        <f>IF((I2200-ROUNDDOWN(I2200,0))=0, 0, (I2200-ROUNDDOWN(I2200,0)))</f>
      </c>
      <c r="K2200" s="7">
        <f>INDIRECT("C$"&amp;2+MIN(2,ROUNDDOWN(I2200,0))*3)*(-$J2200^3+3*$J2200^2-3*$J2200+1)+INDIRECT("C$"&amp;3+MIN(2,ROUNDDOWN(I2200,0))*3)*(3*$J2200^3-6*$J2200^2+3*$J2200)+INDIRECT("C$"&amp;4+MIN(2,ROUNDDOWN(I2200,0))*3)*(-3*$J2200^3+3*$J2200^2)+INDIRECT("C$"&amp;5+MIN(2,ROUNDDOWN(I2200,0))*3)*$J2200^3</f>
      </c>
      <c r="L2200" s="7">
        <f>INDIRECT("D$"&amp;2+MIN(2,ROUNDDOWN(I2200,0))*3)*(-$J2200^3+3*$J2200^2-3*$J2200+1)+INDIRECT("D$"&amp;3+MIN(2,ROUNDDOWN(I2200,0))*3)*(3*$J2200^3-6*$J2200^2+3*$J2200)+INDIRECT("D$"&amp;4+MIN(2,ROUNDDOWN(I2200,0))*3)*(-3*$J2200^3+3*$J2200^2)+INDIRECT("D$"&amp;5+MIN(2,ROUNDDOWN(I2200,0))*3)*$J2200^3</f>
      </c>
      <c r="M2200" s="7">
        <f>SQRT(K2200^2+L2200^2)</f>
      </c>
      <c r="N2200" s="7">
        <f>(K2201-K2199)</f>
      </c>
      <c r="O2200" s="7">
        <f>+(L2201-L2199)</f>
      </c>
      <c r="P2200" s="7">
        <f>SQRT(O2200^2+N2200^2)</f>
      </c>
      <c r="Q2200" s="7">
        <f>N2200/$P2200</f>
      </c>
      <c r="R2200" s="7">
        <f>O2200/$P2200</f>
      </c>
      <c r="S2200" s="7">
        <f>Q2200^2+R2200^2</f>
      </c>
      <c r="T2200" s="7">
        <f>-R2200</f>
      </c>
      <c r="U2200" s="7">
        <f>Q2200</f>
      </c>
      <c r="V2200" s="7">
        <f>($C$14+($C$15-$C$14)/($D$15-$D$14)*(I2200-$D$14))/2</f>
      </c>
      <c r="W2200" s="7">
        <f>($B$22*I2200^4+$C$22*I2200^3+$D$22*I2200^2+$E$22*I2200+$F$22)/2</f>
      </c>
      <c r="X2200" s="7">
        <f>($W2200)*(T2200)</f>
      </c>
      <c r="Y2200" s="7">
        <f>($W2200)*(U2200)</f>
      </c>
      <c r="Z2200" s="7">
        <f>SQRT(X2200^2+Y2200^2)</f>
      </c>
      <c r="AA2200" s="7">
        <f>$K2200+$X2200</f>
      </c>
      <c r="AB2200" s="7">
        <f>$L2200+$Y2200</f>
      </c>
      <c r="AC2200" s="7">
        <f>$K2200-$X2200</f>
      </c>
      <c r="AD2200" s="7">
        <f>$L2200-$Y2200</f>
      </c>
      <c r="AE2200" s="7">
        <f>AA2200/39.3701</f>
      </c>
      <c r="AF2200" s="7">
        <f>AB2200/39.3701</f>
      </c>
      <c r="AG2200" s="7">
        <f>AC2200/39.3701</f>
      </c>
      <c r="AH2200" s="7">
        <f>AD2200/39.3701</f>
      </c>
      <c r="AI2200" s="1"/>
      <c r="AJ2200" s="1"/>
      <c r="AK2200" s="1"/>
      <c r="AL2200" s="1"/>
      <c r="AM2200" s="2"/>
      <c r="AN2200" s="1"/>
      <c r="AO2200" s="1"/>
      <c r="AP2200" s="1"/>
      <c r="AQ2200" s="1"/>
      <c r="AR2200" s="1"/>
      <c r="AS2200" s="1"/>
      <c r="AT2200" s="1"/>
      <c r="AU2200" s="1"/>
      <c r="AV2200" s="1"/>
      <c r="AW2200" s="1"/>
      <c r="AX2200" s="1"/>
      <c r="AY2200" s="1"/>
      <c r="AZ2200" s="1"/>
      <c r="BA2200" s="1"/>
      <c r="BB2200" s="1"/>
      <c r="BC2200" s="1"/>
      <c r="BD2200" s="1"/>
      <c r="BE2200" s="1"/>
    </row>
    <row x14ac:dyDescent="0.25" r="2201" customHeight="1" ht="18.75">
      <c r="A2201" s="1"/>
      <c r="B2201" s="2"/>
      <c r="C2201" s="2"/>
      <c r="D2201" s="2"/>
      <c r="E2201" s="2"/>
      <c r="F2201" s="2"/>
      <c r="G2201" s="1"/>
      <c r="H2201" s="1"/>
      <c r="I2201" s="7">
        <v>2.198</v>
      </c>
      <c r="J2201" s="7">
        <f>IF((I2201-ROUNDDOWN(I2201,0))=0, 0, (I2201-ROUNDDOWN(I2201,0)))</f>
      </c>
      <c r="K2201" s="7">
        <f>INDIRECT("C$"&amp;2+MIN(2,ROUNDDOWN(I2201,0))*3)*(-$J2201^3+3*$J2201^2-3*$J2201+1)+INDIRECT("C$"&amp;3+MIN(2,ROUNDDOWN(I2201,0))*3)*(3*$J2201^3-6*$J2201^2+3*$J2201)+INDIRECT("C$"&amp;4+MIN(2,ROUNDDOWN(I2201,0))*3)*(-3*$J2201^3+3*$J2201^2)+INDIRECT("C$"&amp;5+MIN(2,ROUNDDOWN(I2201,0))*3)*$J2201^3</f>
      </c>
      <c r="L2201" s="7">
        <f>INDIRECT("D$"&amp;2+MIN(2,ROUNDDOWN(I2201,0))*3)*(-$J2201^3+3*$J2201^2-3*$J2201+1)+INDIRECT("D$"&amp;3+MIN(2,ROUNDDOWN(I2201,0))*3)*(3*$J2201^3-6*$J2201^2+3*$J2201)+INDIRECT("D$"&amp;4+MIN(2,ROUNDDOWN(I2201,0))*3)*(-3*$J2201^3+3*$J2201^2)+INDIRECT("D$"&amp;5+MIN(2,ROUNDDOWN(I2201,0))*3)*$J2201^3</f>
      </c>
      <c r="M2201" s="7">
        <f>SQRT(K2201^2+L2201^2)</f>
      </c>
      <c r="N2201" s="7">
        <f>(K2202-K2200)</f>
      </c>
      <c r="O2201" s="7">
        <f>+(L2202-L2200)</f>
      </c>
      <c r="P2201" s="7">
        <f>SQRT(O2201^2+N2201^2)</f>
      </c>
      <c r="Q2201" s="7">
        <f>N2201/$P2201</f>
      </c>
      <c r="R2201" s="7">
        <f>O2201/$P2201</f>
      </c>
      <c r="S2201" s="8">
        <f>Q2201^2+R2201^2</f>
      </c>
      <c r="T2201" s="7">
        <f>-R2201</f>
      </c>
      <c r="U2201" s="7">
        <f>Q2201</f>
      </c>
      <c r="V2201" s="7">
        <f>($C$14+($C$15-$C$14)/($D$15-$D$14)*(I2201-$D$14))/2</f>
      </c>
      <c r="W2201" s="7">
        <f>($B$22*I2201^4+$C$22*I2201^3+$D$22*I2201^2+$E$22*I2201+$F$22)/2</f>
      </c>
      <c r="X2201" s="7">
        <f>($W2201)*(T2201)</f>
      </c>
      <c r="Y2201" s="7">
        <f>($W2201)*(U2201)</f>
      </c>
      <c r="Z2201" s="7">
        <f>SQRT(X2201^2+Y2201^2)</f>
      </c>
      <c r="AA2201" s="7">
        <f>$K2201+$X2201</f>
      </c>
      <c r="AB2201" s="7">
        <f>$L2201+$Y2201</f>
      </c>
      <c r="AC2201" s="7">
        <f>$K2201-$X2201</f>
      </c>
      <c r="AD2201" s="7">
        <f>$L2201-$Y2201</f>
      </c>
      <c r="AE2201" s="7">
        <f>AA2201/39.3701</f>
      </c>
      <c r="AF2201" s="7">
        <f>AB2201/39.3701</f>
      </c>
      <c r="AG2201" s="7">
        <f>AC2201/39.3701</f>
      </c>
      <c r="AH2201" s="7">
        <f>AD2201/39.3701</f>
      </c>
      <c r="AI2201" s="1"/>
      <c r="AJ2201" s="1"/>
      <c r="AK2201" s="1"/>
      <c r="AL2201" s="1"/>
      <c r="AM2201" s="2"/>
      <c r="AN2201" s="1"/>
      <c r="AO2201" s="1"/>
      <c r="AP2201" s="1"/>
      <c r="AQ2201" s="1"/>
      <c r="AR2201" s="1"/>
      <c r="AS2201" s="1"/>
      <c r="AT2201" s="1"/>
      <c r="AU2201" s="1"/>
      <c r="AV2201" s="1"/>
      <c r="AW2201" s="1"/>
      <c r="AX2201" s="1"/>
      <c r="AY2201" s="1"/>
      <c r="AZ2201" s="1"/>
      <c r="BA2201" s="1"/>
      <c r="BB2201" s="1"/>
      <c r="BC2201" s="1"/>
      <c r="BD2201" s="1"/>
      <c r="BE2201" s="1"/>
    </row>
    <row x14ac:dyDescent="0.25" r="2202" customHeight="1" ht="18.75">
      <c r="A2202" s="1"/>
      <c r="B2202" s="2"/>
      <c r="C2202" s="2"/>
      <c r="D2202" s="2"/>
      <c r="E2202" s="2"/>
      <c r="F2202" s="2"/>
      <c r="G2202" s="1"/>
      <c r="H2202" s="1"/>
      <c r="I2202" s="7">
        <v>2.199</v>
      </c>
      <c r="J2202" s="7">
        <f>IF((I2202-ROUNDDOWN(I2202,0))=0, 0, (I2202-ROUNDDOWN(I2202,0)))</f>
      </c>
      <c r="K2202" s="7">
        <f>INDIRECT("C$"&amp;2+MIN(2,ROUNDDOWN(I2202,0))*3)*(-$J2202^3+3*$J2202^2-3*$J2202+1)+INDIRECT("C$"&amp;3+MIN(2,ROUNDDOWN(I2202,0))*3)*(3*$J2202^3-6*$J2202^2+3*$J2202)+INDIRECT("C$"&amp;4+MIN(2,ROUNDDOWN(I2202,0))*3)*(-3*$J2202^3+3*$J2202^2)+INDIRECT("C$"&amp;5+MIN(2,ROUNDDOWN(I2202,0))*3)*$J2202^3</f>
      </c>
      <c r="L2202" s="7">
        <f>INDIRECT("D$"&amp;2+MIN(2,ROUNDDOWN(I2202,0))*3)*(-$J2202^3+3*$J2202^2-3*$J2202+1)+INDIRECT("D$"&amp;3+MIN(2,ROUNDDOWN(I2202,0))*3)*(3*$J2202^3-6*$J2202^2+3*$J2202)+INDIRECT("D$"&amp;4+MIN(2,ROUNDDOWN(I2202,0))*3)*(-3*$J2202^3+3*$J2202^2)+INDIRECT("D$"&amp;5+MIN(2,ROUNDDOWN(I2202,0))*3)*$J2202^3</f>
      </c>
      <c r="M2202" s="7">
        <f>SQRT(K2202^2+L2202^2)</f>
      </c>
      <c r="N2202" s="7">
        <f>(K2203-K2201)</f>
      </c>
      <c r="O2202" s="7">
        <f>+(L2203-L2201)</f>
      </c>
      <c r="P2202" s="7">
        <f>SQRT(O2202^2+N2202^2)</f>
      </c>
      <c r="Q2202" s="7">
        <f>N2202/$P2202</f>
      </c>
      <c r="R2202" s="7">
        <f>O2202/$P2202</f>
      </c>
      <c r="S2202" s="7">
        <f>Q2202^2+R2202^2</f>
      </c>
      <c r="T2202" s="7">
        <f>-R2202</f>
      </c>
      <c r="U2202" s="7">
        <f>Q2202</f>
      </c>
      <c r="V2202" s="7">
        <f>($C$14+($C$15-$C$14)/($D$15-$D$14)*(I2202-$D$14))/2</f>
      </c>
      <c r="W2202" s="7">
        <f>($B$22*I2202^4+$C$22*I2202^3+$D$22*I2202^2+$E$22*I2202+$F$22)/2</f>
      </c>
      <c r="X2202" s="7">
        <f>($W2202)*(T2202)</f>
      </c>
      <c r="Y2202" s="7">
        <f>($W2202)*(U2202)</f>
      </c>
      <c r="Z2202" s="7">
        <f>SQRT(X2202^2+Y2202^2)</f>
      </c>
      <c r="AA2202" s="7">
        <f>$K2202+$X2202</f>
      </c>
      <c r="AB2202" s="7">
        <f>$L2202+$Y2202</f>
      </c>
      <c r="AC2202" s="7">
        <f>$K2202-$X2202</f>
      </c>
      <c r="AD2202" s="7">
        <f>$L2202-$Y2202</f>
      </c>
      <c r="AE2202" s="7">
        <f>AA2202/39.3701</f>
      </c>
      <c r="AF2202" s="7">
        <f>AB2202/39.3701</f>
      </c>
      <c r="AG2202" s="7">
        <f>AC2202/39.3701</f>
      </c>
      <c r="AH2202" s="7">
        <f>AD2202/39.3701</f>
      </c>
      <c r="AI2202" s="1"/>
      <c r="AJ2202" s="1"/>
      <c r="AK2202" s="1"/>
      <c r="AL2202" s="1"/>
      <c r="AM2202" s="2"/>
      <c r="AN2202" s="1"/>
      <c r="AO2202" s="1"/>
      <c r="AP2202" s="1"/>
      <c r="AQ2202" s="1"/>
      <c r="AR2202" s="1"/>
      <c r="AS2202" s="1"/>
      <c r="AT2202" s="1"/>
      <c r="AU2202" s="1"/>
      <c r="AV2202" s="1"/>
      <c r="AW2202" s="1"/>
      <c r="AX2202" s="1"/>
      <c r="AY2202" s="1"/>
      <c r="AZ2202" s="1"/>
      <c r="BA2202" s="1"/>
      <c r="BB2202" s="1"/>
      <c r="BC2202" s="1"/>
      <c r="BD2202" s="1"/>
      <c r="BE2202" s="1"/>
    </row>
    <row x14ac:dyDescent="0.25" r="2203" customHeight="1" ht="18.75">
      <c r="A2203" s="1"/>
      <c r="B2203" s="2"/>
      <c r="C2203" s="2"/>
      <c r="D2203" s="2"/>
      <c r="E2203" s="2"/>
      <c r="F2203" s="2"/>
      <c r="G2203" s="1"/>
      <c r="H2203" s="1"/>
      <c r="I2203" s="7">
        <v>2.2</v>
      </c>
      <c r="J2203" s="7">
        <f>IF((I2203-ROUNDDOWN(I2203,0))=0, 0, (I2203-ROUNDDOWN(I2203,0)))</f>
      </c>
      <c r="K2203" s="7">
        <f>INDIRECT("C$"&amp;2+MIN(2,ROUNDDOWN(I2203,0))*3)*(-$J2203^3+3*$J2203^2-3*$J2203+1)+INDIRECT("C$"&amp;3+MIN(2,ROUNDDOWN(I2203,0))*3)*(3*$J2203^3-6*$J2203^2+3*$J2203)+INDIRECT("C$"&amp;4+MIN(2,ROUNDDOWN(I2203,0))*3)*(-3*$J2203^3+3*$J2203^2)+INDIRECT("C$"&amp;5+MIN(2,ROUNDDOWN(I2203,0))*3)*$J2203^3</f>
      </c>
      <c r="L2203" s="7">
        <f>INDIRECT("D$"&amp;2+MIN(2,ROUNDDOWN(I2203,0))*3)*(-$J2203^3+3*$J2203^2-3*$J2203+1)+INDIRECT("D$"&amp;3+MIN(2,ROUNDDOWN(I2203,0))*3)*(3*$J2203^3-6*$J2203^2+3*$J2203)+INDIRECT("D$"&amp;4+MIN(2,ROUNDDOWN(I2203,0))*3)*(-3*$J2203^3+3*$J2203^2)+INDIRECT("D$"&amp;5+MIN(2,ROUNDDOWN(I2203,0))*3)*$J2203^3</f>
      </c>
      <c r="M2203" s="7">
        <f>SQRT(K2203^2+L2203^2)</f>
      </c>
      <c r="N2203" s="7">
        <f>(K2204-K2202)</f>
      </c>
      <c r="O2203" s="7">
        <f>+(L2204-L2202)</f>
      </c>
      <c r="P2203" s="7">
        <f>SQRT(O2203^2+N2203^2)</f>
      </c>
      <c r="Q2203" s="7">
        <f>N2203/$P2203</f>
      </c>
      <c r="R2203" s="7">
        <f>O2203/$P2203</f>
      </c>
      <c r="S2203" s="8">
        <f>Q2203^2+R2203^2</f>
      </c>
      <c r="T2203" s="7">
        <f>-R2203</f>
      </c>
      <c r="U2203" s="7">
        <f>Q2203</f>
      </c>
      <c r="V2203" s="7">
        <f>($C$14+($C$15-$C$14)/($D$15-$D$14)*(I2203-$D$14))/2</f>
      </c>
      <c r="W2203" s="7">
        <f>($B$22*I2203^4+$C$22*I2203^3+$D$22*I2203^2+$E$22*I2203+$F$22)/2</f>
      </c>
      <c r="X2203" s="7">
        <f>($W2203)*(T2203)</f>
      </c>
      <c r="Y2203" s="7">
        <f>($W2203)*(U2203)</f>
      </c>
      <c r="Z2203" s="7">
        <f>SQRT(X2203^2+Y2203^2)</f>
      </c>
      <c r="AA2203" s="7">
        <f>$K2203+$X2203</f>
      </c>
      <c r="AB2203" s="7">
        <f>$L2203+$Y2203</f>
      </c>
      <c r="AC2203" s="7">
        <f>$K2203-$X2203</f>
      </c>
      <c r="AD2203" s="7">
        <f>$L2203-$Y2203</f>
      </c>
      <c r="AE2203" s="7">
        <f>AA2203/39.3701</f>
      </c>
      <c r="AF2203" s="7">
        <f>AB2203/39.3701</f>
      </c>
      <c r="AG2203" s="7">
        <f>AC2203/39.3701</f>
      </c>
      <c r="AH2203" s="7">
        <f>AD2203/39.3701</f>
      </c>
      <c r="AI2203" s="1"/>
      <c r="AJ2203" s="1"/>
      <c r="AK2203" s="1"/>
      <c r="AL2203" s="1"/>
      <c r="AM2203" s="2"/>
      <c r="AN2203" s="1"/>
      <c r="AO2203" s="1"/>
      <c r="AP2203" s="1"/>
      <c r="AQ2203" s="1"/>
      <c r="AR2203" s="1"/>
      <c r="AS2203" s="1"/>
      <c r="AT2203" s="1"/>
      <c r="AU2203" s="1"/>
      <c r="AV2203" s="1"/>
      <c r="AW2203" s="1"/>
      <c r="AX2203" s="1"/>
      <c r="AY2203" s="1"/>
      <c r="AZ2203" s="1"/>
      <c r="BA2203" s="1"/>
      <c r="BB2203" s="1"/>
      <c r="BC2203" s="1"/>
      <c r="BD2203" s="1"/>
      <c r="BE2203" s="1"/>
    </row>
    <row x14ac:dyDescent="0.25" r="2204" customHeight="1" ht="18.75">
      <c r="A2204" s="1"/>
      <c r="B2204" s="2"/>
      <c r="C2204" s="2"/>
      <c r="D2204" s="2"/>
      <c r="E2204" s="2"/>
      <c r="F2204" s="2"/>
      <c r="G2204" s="1"/>
      <c r="H2204" s="1"/>
      <c r="I2204" s="7">
        <v>2.201</v>
      </c>
      <c r="J2204" s="7">
        <f>IF((I2204-ROUNDDOWN(I2204,0))=0, 0, (I2204-ROUNDDOWN(I2204,0)))</f>
      </c>
      <c r="K2204" s="7">
        <f>INDIRECT("C$"&amp;2+MIN(2,ROUNDDOWN(I2204,0))*3)*(-$J2204^3+3*$J2204^2-3*$J2204+1)+INDIRECT("C$"&amp;3+MIN(2,ROUNDDOWN(I2204,0))*3)*(3*$J2204^3-6*$J2204^2+3*$J2204)+INDIRECT("C$"&amp;4+MIN(2,ROUNDDOWN(I2204,0))*3)*(-3*$J2204^3+3*$J2204^2)+INDIRECT("C$"&amp;5+MIN(2,ROUNDDOWN(I2204,0))*3)*$J2204^3</f>
      </c>
      <c r="L2204" s="7">
        <f>INDIRECT("D$"&amp;2+MIN(2,ROUNDDOWN(I2204,0))*3)*(-$J2204^3+3*$J2204^2-3*$J2204+1)+INDIRECT("D$"&amp;3+MIN(2,ROUNDDOWN(I2204,0))*3)*(3*$J2204^3-6*$J2204^2+3*$J2204)+INDIRECT("D$"&amp;4+MIN(2,ROUNDDOWN(I2204,0))*3)*(-3*$J2204^3+3*$J2204^2)+INDIRECT("D$"&amp;5+MIN(2,ROUNDDOWN(I2204,0))*3)*$J2204^3</f>
      </c>
      <c r="M2204" s="7">
        <f>SQRT(K2204^2+L2204^2)</f>
      </c>
      <c r="N2204" s="7">
        <f>(K2205-K2203)</f>
      </c>
      <c r="O2204" s="7">
        <f>+(L2205-L2203)</f>
      </c>
      <c r="P2204" s="7">
        <f>SQRT(O2204^2+N2204^2)</f>
      </c>
      <c r="Q2204" s="7">
        <f>N2204/$P2204</f>
      </c>
      <c r="R2204" s="7">
        <f>O2204/$P2204</f>
      </c>
      <c r="S2204" s="7">
        <f>Q2204^2+R2204^2</f>
      </c>
      <c r="T2204" s="7">
        <f>-R2204</f>
      </c>
      <c r="U2204" s="7">
        <f>Q2204</f>
      </c>
      <c r="V2204" s="7">
        <f>($C$14+($C$15-$C$14)/($D$15-$D$14)*(I2204-$D$14))/2</f>
      </c>
      <c r="W2204" s="7">
        <f>($B$22*I2204^4+$C$22*I2204^3+$D$22*I2204^2+$E$22*I2204+$F$22)/2</f>
      </c>
      <c r="X2204" s="7">
        <f>($W2204)*(T2204)</f>
      </c>
      <c r="Y2204" s="7">
        <f>($W2204)*(U2204)</f>
      </c>
      <c r="Z2204" s="7">
        <f>SQRT(X2204^2+Y2204^2)</f>
      </c>
      <c r="AA2204" s="7">
        <f>$K2204+$X2204</f>
      </c>
      <c r="AB2204" s="7">
        <f>$L2204+$Y2204</f>
      </c>
      <c r="AC2204" s="7">
        <f>$K2204-$X2204</f>
      </c>
      <c r="AD2204" s="7">
        <f>$L2204-$Y2204</f>
      </c>
      <c r="AE2204" s="7">
        <f>AA2204/39.3701</f>
      </c>
      <c r="AF2204" s="7">
        <f>AB2204/39.3701</f>
      </c>
      <c r="AG2204" s="7">
        <f>AC2204/39.3701</f>
      </c>
      <c r="AH2204" s="7">
        <f>AD2204/39.3701</f>
      </c>
      <c r="AI2204" s="1"/>
      <c r="AJ2204" s="1"/>
      <c r="AK2204" s="1"/>
      <c r="AL2204" s="1"/>
      <c r="AM2204" s="2"/>
      <c r="AN2204" s="1"/>
      <c r="AO2204" s="1"/>
      <c r="AP2204" s="1"/>
      <c r="AQ2204" s="1"/>
      <c r="AR2204" s="1"/>
      <c r="AS2204" s="1"/>
      <c r="AT2204" s="1"/>
      <c r="AU2204" s="1"/>
      <c r="AV2204" s="1"/>
      <c r="AW2204" s="1"/>
      <c r="AX2204" s="1"/>
      <c r="AY2204" s="1"/>
      <c r="AZ2204" s="1"/>
      <c r="BA2204" s="1"/>
      <c r="BB2204" s="1"/>
      <c r="BC2204" s="1"/>
      <c r="BD2204" s="1"/>
      <c r="BE2204" s="1"/>
    </row>
    <row x14ac:dyDescent="0.25" r="2205" customHeight="1" ht="18.75">
      <c r="A2205" s="1"/>
      <c r="B2205" s="2"/>
      <c r="C2205" s="2"/>
      <c r="D2205" s="2"/>
      <c r="E2205" s="2"/>
      <c r="F2205" s="2"/>
      <c r="G2205" s="1"/>
      <c r="H2205" s="1"/>
      <c r="I2205" s="7">
        <v>2.202</v>
      </c>
      <c r="J2205" s="7">
        <f>IF((I2205-ROUNDDOWN(I2205,0))=0, 0, (I2205-ROUNDDOWN(I2205,0)))</f>
      </c>
      <c r="K2205" s="7">
        <f>INDIRECT("C$"&amp;2+MIN(2,ROUNDDOWN(I2205,0))*3)*(-$J2205^3+3*$J2205^2-3*$J2205+1)+INDIRECT("C$"&amp;3+MIN(2,ROUNDDOWN(I2205,0))*3)*(3*$J2205^3-6*$J2205^2+3*$J2205)+INDIRECT("C$"&amp;4+MIN(2,ROUNDDOWN(I2205,0))*3)*(-3*$J2205^3+3*$J2205^2)+INDIRECT("C$"&amp;5+MIN(2,ROUNDDOWN(I2205,0))*3)*$J2205^3</f>
      </c>
      <c r="L2205" s="7">
        <f>INDIRECT("D$"&amp;2+MIN(2,ROUNDDOWN(I2205,0))*3)*(-$J2205^3+3*$J2205^2-3*$J2205+1)+INDIRECT("D$"&amp;3+MIN(2,ROUNDDOWN(I2205,0))*3)*(3*$J2205^3-6*$J2205^2+3*$J2205)+INDIRECT("D$"&amp;4+MIN(2,ROUNDDOWN(I2205,0))*3)*(-3*$J2205^3+3*$J2205^2)+INDIRECT("D$"&amp;5+MIN(2,ROUNDDOWN(I2205,0))*3)*$J2205^3</f>
      </c>
      <c r="M2205" s="7">
        <f>SQRT(K2205^2+L2205^2)</f>
      </c>
      <c r="N2205" s="7">
        <f>(K2206-K2204)</f>
      </c>
      <c r="O2205" s="7">
        <f>+(L2206-L2204)</f>
      </c>
      <c r="P2205" s="7">
        <f>SQRT(O2205^2+N2205^2)</f>
      </c>
      <c r="Q2205" s="7">
        <f>N2205/$P2205</f>
      </c>
      <c r="R2205" s="7">
        <f>O2205/$P2205</f>
      </c>
      <c r="S2205" s="8">
        <f>Q2205^2+R2205^2</f>
      </c>
      <c r="T2205" s="7">
        <f>-R2205</f>
      </c>
      <c r="U2205" s="7">
        <f>Q2205</f>
      </c>
      <c r="V2205" s="7">
        <f>($C$14+($C$15-$C$14)/($D$15-$D$14)*(I2205-$D$14))/2</f>
      </c>
      <c r="W2205" s="7">
        <f>($B$22*I2205^4+$C$22*I2205^3+$D$22*I2205^2+$E$22*I2205+$F$22)/2</f>
      </c>
      <c r="X2205" s="7">
        <f>($W2205)*(T2205)</f>
      </c>
      <c r="Y2205" s="7">
        <f>($W2205)*(U2205)</f>
      </c>
      <c r="Z2205" s="7">
        <f>SQRT(X2205^2+Y2205^2)</f>
      </c>
      <c r="AA2205" s="7">
        <f>$K2205+$X2205</f>
      </c>
      <c r="AB2205" s="7">
        <f>$L2205+$Y2205</f>
      </c>
      <c r="AC2205" s="7">
        <f>$K2205-$X2205</f>
      </c>
      <c r="AD2205" s="7">
        <f>$L2205-$Y2205</f>
      </c>
      <c r="AE2205" s="7">
        <f>AA2205/39.3701</f>
      </c>
      <c r="AF2205" s="7">
        <f>AB2205/39.3701</f>
      </c>
      <c r="AG2205" s="7">
        <f>AC2205/39.3701</f>
      </c>
      <c r="AH2205" s="7">
        <f>AD2205/39.3701</f>
      </c>
      <c r="AI2205" s="1"/>
      <c r="AJ2205" s="1"/>
      <c r="AK2205" s="1"/>
      <c r="AL2205" s="1"/>
      <c r="AM2205" s="2"/>
      <c r="AN2205" s="1"/>
      <c r="AO2205" s="1"/>
      <c r="AP2205" s="1"/>
      <c r="AQ2205" s="1"/>
      <c r="AR2205" s="1"/>
      <c r="AS2205" s="1"/>
      <c r="AT2205" s="1"/>
      <c r="AU2205" s="1"/>
      <c r="AV2205" s="1"/>
      <c r="AW2205" s="1"/>
      <c r="AX2205" s="1"/>
      <c r="AY2205" s="1"/>
      <c r="AZ2205" s="1"/>
      <c r="BA2205" s="1"/>
      <c r="BB2205" s="1"/>
      <c r="BC2205" s="1"/>
      <c r="BD2205" s="1"/>
      <c r="BE2205" s="1"/>
    </row>
    <row x14ac:dyDescent="0.25" r="2206" customHeight="1" ht="18.75">
      <c r="A2206" s="1"/>
      <c r="B2206" s="2"/>
      <c r="C2206" s="2"/>
      <c r="D2206" s="2"/>
      <c r="E2206" s="2"/>
      <c r="F2206" s="2"/>
      <c r="G2206" s="1"/>
      <c r="H2206" s="1"/>
      <c r="I2206" s="7">
        <v>2.203</v>
      </c>
      <c r="J2206" s="7">
        <f>IF((I2206-ROUNDDOWN(I2206,0))=0, 0, (I2206-ROUNDDOWN(I2206,0)))</f>
      </c>
      <c r="K2206" s="7">
        <f>INDIRECT("C$"&amp;2+MIN(2,ROUNDDOWN(I2206,0))*3)*(-$J2206^3+3*$J2206^2-3*$J2206+1)+INDIRECT("C$"&amp;3+MIN(2,ROUNDDOWN(I2206,0))*3)*(3*$J2206^3-6*$J2206^2+3*$J2206)+INDIRECT("C$"&amp;4+MIN(2,ROUNDDOWN(I2206,0))*3)*(-3*$J2206^3+3*$J2206^2)+INDIRECT("C$"&amp;5+MIN(2,ROUNDDOWN(I2206,0))*3)*$J2206^3</f>
      </c>
      <c r="L2206" s="7">
        <f>INDIRECT("D$"&amp;2+MIN(2,ROUNDDOWN(I2206,0))*3)*(-$J2206^3+3*$J2206^2-3*$J2206+1)+INDIRECT("D$"&amp;3+MIN(2,ROUNDDOWN(I2206,0))*3)*(3*$J2206^3-6*$J2206^2+3*$J2206)+INDIRECT("D$"&amp;4+MIN(2,ROUNDDOWN(I2206,0))*3)*(-3*$J2206^3+3*$J2206^2)+INDIRECT("D$"&amp;5+MIN(2,ROUNDDOWN(I2206,0))*3)*$J2206^3</f>
      </c>
      <c r="M2206" s="7">
        <f>SQRT(K2206^2+L2206^2)</f>
      </c>
      <c r="N2206" s="7">
        <f>(K2207-K2205)</f>
      </c>
      <c r="O2206" s="7">
        <f>+(L2207-L2205)</f>
      </c>
      <c r="P2206" s="7">
        <f>SQRT(O2206^2+N2206^2)</f>
      </c>
      <c r="Q2206" s="7">
        <f>N2206/$P2206</f>
      </c>
      <c r="R2206" s="7">
        <f>O2206/$P2206</f>
      </c>
      <c r="S2206" s="8">
        <f>Q2206^2+R2206^2</f>
      </c>
      <c r="T2206" s="7">
        <f>-R2206</f>
      </c>
      <c r="U2206" s="7">
        <f>Q2206</f>
      </c>
      <c r="V2206" s="7">
        <f>($C$14+($C$15-$C$14)/($D$15-$D$14)*(I2206-$D$14))/2</f>
      </c>
      <c r="W2206" s="7">
        <f>($B$22*I2206^4+$C$22*I2206^3+$D$22*I2206^2+$E$22*I2206+$F$22)/2</f>
      </c>
      <c r="X2206" s="7">
        <f>($W2206)*(T2206)</f>
      </c>
      <c r="Y2206" s="7">
        <f>($W2206)*(U2206)</f>
      </c>
      <c r="Z2206" s="7">
        <f>SQRT(X2206^2+Y2206^2)</f>
      </c>
      <c r="AA2206" s="7">
        <f>$K2206+$X2206</f>
      </c>
      <c r="AB2206" s="7">
        <f>$L2206+$Y2206</f>
      </c>
      <c r="AC2206" s="7">
        <f>$K2206-$X2206</f>
      </c>
      <c r="AD2206" s="7">
        <f>$L2206-$Y2206</f>
      </c>
      <c r="AE2206" s="7">
        <f>AA2206/39.3701</f>
      </c>
      <c r="AF2206" s="7">
        <f>AB2206/39.3701</f>
      </c>
      <c r="AG2206" s="7">
        <f>AC2206/39.3701</f>
      </c>
      <c r="AH2206" s="7">
        <f>AD2206/39.3701</f>
      </c>
      <c r="AI2206" s="1"/>
      <c r="AJ2206" s="1"/>
      <c r="AK2206" s="1"/>
      <c r="AL2206" s="1"/>
      <c r="AM2206" s="2"/>
      <c r="AN2206" s="1"/>
      <c r="AO2206" s="1"/>
      <c r="AP2206" s="1"/>
      <c r="AQ2206" s="1"/>
      <c r="AR2206" s="1"/>
      <c r="AS2206" s="1"/>
      <c r="AT2206" s="1"/>
      <c r="AU2206" s="1"/>
      <c r="AV2206" s="1"/>
      <c r="AW2206" s="1"/>
      <c r="AX2206" s="1"/>
      <c r="AY2206" s="1"/>
      <c r="AZ2206" s="1"/>
      <c r="BA2206" s="1"/>
      <c r="BB2206" s="1"/>
      <c r="BC2206" s="1"/>
      <c r="BD2206" s="1"/>
      <c r="BE2206" s="1"/>
    </row>
    <row x14ac:dyDescent="0.25" r="2207" customHeight="1" ht="18.75">
      <c r="A2207" s="1"/>
      <c r="B2207" s="2"/>
      <c r="C2207" s="2"/>
      <c r="D2207" s="2"/>
      <c r="E2207" s="2"/>
      <c r="F2207" s="2"/>
      <c r="G2207" s="1"/>
      <c r="H2207" s="1"/>
      <c r="I2207" s="7">
        <v>2.204</v>
      </c>
      <c r="J2207" s="7">
        <f>IF((I2207-ROUNDDOWN(I2207,0))=0, 0, (I2207-ROUNDDOWN(I2207,0)))</f>
      </c>
      <c r="K2207" s="7">
        <f>INDIRECT("C$"&amp;2+MIN(2,ROUNDDOWN(I2207,0))*3)*(-$J2207^3+3*$J2207^2-3*$J2207+1)+INDIRECT("C$"&amp;3+MIN(2,ROUNDDOWN(I2207,0))*3)*(3*$J2207^3-6*$J2207^2+3*$J2207)+INDIRECT("C$"&amp;4+MIN(2,ROUNDDOWN(I2207,0))*3)*(-3*$J2207^3+3*$J2207^2)+INDIRECT("C$"&amp;5+MIN(2,ROUNDDOWN(I2207,0))*3)*$J2207^3</f>
      </c>
      <c r="L2207" s="7">
        <f>INDIRECT("D$"&amp;2+MIN(2,ROUNDDOWN(I2207,0))*3)*(-$J2207^3+3*$J2207^2-3*$J2207+1)+INDIRECT("D$"&amp;3+MIN(2,ROUNDDOWN(I2207,0))*3)*(3*$J2207^3-6*$J2207^2+3*$J2207)+INDIRECT("D$"&amp;4+MIN(2,ROUNDDOWN(I2207,0))*3)*(-3*$J2207^3+3*$J2207^2)+INDIRECT("D$"&amp;5+MIN(2,ROUNDDOWN(I2207,0))*3)*$J2207^3</f>
      </c>
      <c r="M2207" s="7">
        <f>SQRT(K2207^2+L2207^2)</f>
      </c>
      <c r="N2207" s="7">
        <f>(K2208-K2206)</f>
      </c>
      <c r="O2207" s="7">
        <f>+(L2208-L2206)</f>
      </c>
      <c r="P2207" s="7">
        <f>SQRT(O2207^2+N2207^2)</f>
      </c>
      <c r="Q2207" s="7">
        <f>N2207/$P2207</f>
      </c>
      <c r="R2207" s="7">
        <f>O2207/$P2207</f>
      </c>
      <c r="S2207" s="8">
        <f>Q2207^2+R2207^2</f>
      </c>
      <c r="T2207" s="7">
        <f>-R2207</f>
      </c>
      <c r="U2207" s="7">
        <f>Q2207</f>
      </c>
      <c r="V2207" s="7">
        <f>($C$14+($C$15-$C$14)/($D$15-$D$14)*(I2207-$D$14))/2</f>
      </c>
      <c r="W2207" s="7">
        <f>($B$22*I2207^4+$C$22*I2207^3+$D$22*I2207^2+$E$22*I2207+$F$22)/2</f>
      </c>
      <c r="X2207" s="7">
        <f>($W2207)*(T2207)</f>
      </c>
      <c r="Y2207" s="7">
        <f>($W2207)*(U2207)</f>
      </c>
      <c r="Z2207" s="7">
        <f>SQRT(X2207^2+Y2207^2)</f>
      </c>
      <c r="AA2207" s="7">
        <f>$K2207+$X2207</f>
      </c>
      <c r="AB2207" s="7">
        <f>$L2207+$Y2207</f>
      </c>
      <c r="AC2207" s="7">
        <f>$K2207-$X2207</f>
      </c>
      <c r="AD2207" s="7">
        <f>$L2207-$Y2207</f>
      </c>
      <c r="AE2207" s="7">
        <f>AA2207/39.3701</f>
      </c>
      <c r="AF2207" s="7">
        <f>AB2207/39.3701</f>
      </c>
      <c r="AG2207" s="7">
        <f>AC2207/39.3701</f>
      </c>
      <c r="AH2207" s="7">
        <f>AD2207/39.3701</f>
      </c>
      <c r="AI2207" s="1"/>
      <c r="AJ2207" s="1"/>
      <c r="AK2207" s="1"/>
      <c r="AL2207" s="1"/>
      <c r="AM2207" s="2"/>
      <c r="AN2207" s="1"/>
      <c r="AO2207" s="1"/>
      <c r="AP2207" s="1"/>
      <c r="AQ2207" s="1"/>
      <c r="AR2207" s="1"/>
      <c r="AS2207" s="1"/>
      <c r="AT2207" s="1"/>
      <c r="AU2207" s="1"/>
      <c r="AV2207" s="1"/>
      <c r="AW2207" s="1"/>
      <c r="AX2207" s="1"/>
      <c r="AY2207" s="1"/>
      <c r="AZ2207" s="1"/>
      <c r="BA2207" s="1"/>
      <c r="BB2207" s="1"/>
      <c r="BC2207" s="1"/>
      <c r="BD2207" s="1"/>
      <c r="BE2207" s="1"/>
    </row>
    <row x14ac:dyDescent="0.25" r="2208" customHeight="1" ht="18.75">
      <c r="A2208" s="1"/>
      <c r="B2208" s="2"/>
      <c r="C2208" s="2"/>
      <c r="D2208" s="2"/>
      <c r="E2208" s="2"/>
      <c r="F2208" s="2"/>
      <c r="G2208" s="1"/>
      <c r="H2208" s="1"/>
      <c r="I2208" s="7">
        <v>2.205</v>
      </c>
      <c r="J2208" s="7">
        <f>IF((I2208-ROUNDDOWN(I2208,0))=0, 0, (I2208-ROUNDDOWN(I2208,0)))</f>
      </c>
      <c r="K2208" s="7">
        <f>INDIRECT("C$"&amp;2+MIN(2,ROUNDDOWN(I2208,0))*3)*(-$J2208^3+3*$J2208^2-3*$J2208+1)+INDIRECT("C$"&amp;3+MIN(2,ROUNDDOWN(I2208,0))*3)*(3*$J2208^3-6*$J2208^2+3*$J2208)+INDIRECT("C$"&amp;4+MIN(2,ROUNDDOWN(I2208,0))*3)*(-3*$J2208^3+3*$J2208^2)+INDIRECT("C$"&amp;5+MIN(2,ROUNDDOWN(I2208,0))*3)*$J2208^3</f>
      </c>
      <c r="L2208" s="7">
        <f>INDIRECT("D$"&amp;2+MIN(2,ROUNDDOWN(I2208,0))*3)*(-$J2208^3+3*$J2208^2-3*$J2208+1)+INDIRECT("D$"&amp;3+MIN(2,ROUNDDOWN(I2208,0))*3)*(3*$J2208^3-6*$J2208^2+3*$J2208)+INDIRECT("D$"&amp;4+MIN(2,ROUNDDOWN(I2208,0))*3)*(-3*$J2208^3+3*$J2208^2)+INDIRECT("D$"&amp;5+MIN(2,ROUNDDOWN(I2208,0))*3)*$J2208^3</f>
      </c>
      <c r="M2208" s="7">
        <f>SQRT(K2208^2+L2208^2)</f>
      </c>
      <c r="N2208" s="7">
        <f>(K2209-K2207)</f>
      </c>
      <c r="O2208" s="7">
        <f>+(L2209-L2207)</f>
      </c>
      <c r="P2208" s="7">
        <f>SQRT(O2208^2+N2208^2)</f>
      </c>
      <c r="Q2208" s="7">
        <f>N2208/$P2208</f>
      </c>
      <c r="R2208" s="7">
        <f>O2208/$P2208</f>
      </c>
      <c r="S2208" s="7">
        <f>Q2208^2+R2208^2</f>
      </c>
      <c r="T2208" s="7">
        <f>-R2208</f>
      </c>
      <c r="U2208" s="7">
        <f>Q2208</f>
      </c>
      <c r="V2208" s="7">
        <f>($C$14+($C$15-$C$14)/($D$15-$D$14)*(I2208-$D$14))/2</f>
      </c>
      <c r="W2208" s="7">
        <f>($B$22*I2208^4+$C$22*I2208^3+$D$22*I2208^2+$E$22*I2208+$F$22)/2</f>
      </c>
      <c r="X2208" s="7">
        <f>($W2208)*(T2208)</f>
      </c>
      <c r="Y2208" s="7">
        <f>($W2208)*(U2208)</f>
      </c>
      <c r="Z2208" s="7">
        <f>SQRT(X2208^2+Y2208^2)</f>
      </c>
      <c r="AA2208" s="7">
        <f>$K2208+$X2208</f>
      </c>
      <c r="AB2208" s="7">
        <f>$L2208+$Y2208</f>
      </c>
      <c r="AC2208" s="7">
        <f>$K2208-$X2208</f>
      </c>
      <c r="AD2208" s="7">
        <f>$L2208-$Y2208</f>
      </c>
      <c r="AE2208" s="7">
        <f>AA2208/39.3701</f>
      </c>
      <c r="AF2208" s="7">
        <f>AB2208/39.3701</f>
      </c>
      <c r="AG2208" s="7">
        <f>AC2208/39.3701</f>
      </c>
      <c r="AH2208" s="7">
        <f>AD2208/39.3701</f>
      </c>
      <c r="AI2208" s="1"/>
      <c r="AJ2208" s="1"/>
      <c r="AK2208" s="1"/>
      <c r="AL2208" s="1"/>
      <c r="AM2208" s="2"/>
      <c r="AN2208" s="1"/>
      <c r="AO2208" s="1"/>
      <c r="AP2208" s="1"/>
      <c r="AQ2208" s="1"/>
      <c r="AR2208" s="1"/>
      <c r="AS2208" s="1"/>
      <c r="AT2208" s="1"/>
      <c r="AU2208" s="1"/>
      <c r="AV2208" s="1"/>
      <c r="AW2208" s="1"/>
      <c r="AX2208" s="1"/>
      <c r="AY2208" s="1"/>
      <c r="AZ2208" s="1"/>
      <c r="BA2208" s="1"/>
      <c r="BB2208" s="1"/>
      <c r="BC2208" s="1"/>
      <c r="BD2208" s="1"/>
      <c r="BE2208" s="1"/>
    </row>
    <row x14ac:dyDescent="0.25" r="2209" customHeight="1" ht="18.75">
      <c r="A2209" s="1"/>
      <c r="B2209" s="2"/>
      <c r="C2209" s="2"/>
      <c r="D2209" s="2"/>
      <c r="E2209" s="2"/>
      <c r="F2209" s="2"/>
      <c r="G2209" s="1"/>
      <c r="H2209" s="1"/>
      <c r="I2209" s="7">
        <v>2.206</v>
      </c>
      <c r="J2209" s="7">
        <f>IF((I2209-ROUNDDOWN(I2209,0))=0, 0, (I2209-ROUNDDOWN(I2209,0)))</f>
      </c>
      <c r="K2209" s="7">
        <f>INDIRECT("C$"&amp;2+MIN(2,ROUNDDOWN(I2209,0))*3)*(-$J2209^3+3*$J2209^2-3*$J2209+1)+INDIRECT("C$"&amp;3+MIN(2,ROUNDDOWN(I2209,0))*3)*(3*$J2209^3-6*$J2209^2+3*$J2209)+INDIRECT("C$"&amp;4+MIN(2,ROUNDDOWN(I2209,0))*3)*(-3*$J2209^3+3*$J2209^2)+INDIRECT("C$"&amp;5+MIN(2,ROUNDDOWN(I2209,0))*3)*$J2209^3</f>
      </c>
      <c r="L2209" s="7">
        <f>INDIRECT("D$"&amp;2+MIN(2,ROUNDDOWN(I2209,0))*3)*(-$J2209^3+3*$J2209^2-3*$J2209+1)+INDIRECT("D$"&amp;3+MIN(2,ROUNDDOWN(I2209,0))*3)*(3*$J2209^3-6*$J2209^2+3*$J2209)+INDIRECT("D$"&amp;4+MIN(2,ROUNDDOWN(I2209,0))*3)*(-3*$J2209^3+3*$J2209^2)+INDIRECT("D$"&amp;5+MIN(2,ROUNDDOWN(I2209,0))*3)*$J2209^3</f>
      </c>
      <c r="M2209" s="7">
        <f>SQRT(K2209^2+L2209^2)</f>
      </c>
      <c r="N2209" s="7">
        <f>(K2210-K2208)</f>
      </c>
      <c r="O2209" s="7">
        <f>+(L2210-L2208)</f>
      </c>
      <c r="P2209" s="7">
        <f>SQRT(O2209^2+N2209^2)</f>
      </c>
      <c r="Q2209" s="7">
        <f>N2209/$P2209</f>
      </c>
      <c r="R2209" s="7">
        <f>O2209/$P2209</f>
      </c>
      <c r="S2209" s="7">
        <f>Q2209^2+R2209^2</f>
      </c>
      <c r="T2209" s="7">
        <f>-R2209</f>
      </c>
      <c r="U2209" s="7">
        <f>Q2209</f>
      </c>
      <c r="V2209" s="7">
        <f>($C$14+($C$15-$C$14)/($D$15-$D$14)*(I2209-$D$14))/2</f>
      </c>
      <c r="W2209" s="7">
        <f>($B$22*I2209^4+$C$22*I2209^3+$D$22*I2209^2+$E$22*I2209+$F$22)/2</f>
      </c>
      <c r="X2209" s="7">
        <f>($W2209)*(T2209)</f>
      </c>
      <c r="Y2209" s="7">
        <f>($W2209)*(U2209)</f>
      </c>
      <c r="Z2209" s="7">
        <f>SQRT(X2209^2+Y2209^2)</f>
      </c>
      <c r="AA2209" s="7">
        <f>$K2209+$X2209</f>
      </c>
      <c r="AB2209" s="7">
        <f>$L2209+$Y2209</f>
      </c>
      <c r="AC2209" s="7">
        <f>$K2209-$X2209</f>
      </c>
      <c r="AD2209" s="7">
        <f>$L2209-$Y2209</f>
      </c>
      <c r="AE2209" s="7">
        <f>AA2209/39.3701</f>
      </c>
      <c r="AF2209" s="7">
        <f>AB2209/39.3701</f>
      </c>
      <c r="AG2209" s="7">
        <f>AC2209/39.3701</f>
      </c>
      <c r="AH2209" s="7">
        <f>AD2209/39.3701</f>
      </c>
      <c r="AI2209" s="1"/>
      <c r="AJ2209" s="1"/>
      <c r="AK2209" s="1"/>
      <c r="AL2209" s="1"/>
      <c r="AM2209" s="2"/>
      <c r="AN2209" s="1"/>
      <c r="AO2209" s="1"/>
      <c r="AP2209" s="1"/>
      <c r="AQ2209" s="1"/>
      <c r="AR2209" s="1"/>
      <c r="AS2209" s="1"/>
      <c r="AT2209" s="1"/>
      <c r="AU2209" s="1"/>
      <c r="AV2209" s="1"/>
      <c r="AW2209" s="1"/>
      <c r="AX2209" s="1"/>
      <c r="AY2209" s="1"/>
      <c r="AZ2209" s="1"/>
      <c r="BA2209" s="1"/>
      <c r="BB2209" s="1"/>
      <c r="BC2209" s="1"/>
      <c r="BD2209" s="1"/>
      <c r="BE2209" s="1"/>
    </row>
    <row x14ac:dyDescent="0.25" r="2210" customHeight="1" ht="18.75">
      <c r="A2210" s="1"/>
      <c r="B2210" s="2"/>
      <c r="C2210" s="2"/>
      <c r="D2210" s="2"/>
      <c r="E2210" s="2"/>
      <c r="F2210" s="2"/>
      <c r="G2210" s="1"/>
      <c r="H2210" s="1"/>
      <c r="I2210" s="7">
        <v>2.207</v>
      </c>
      <c r="J2210" s="7">
        <f>IF((I2210-ROUNDDOWN(I2210,0))=0, 0, (I2210-ROUNDDOWN(I2210,0)))</f>
      </c>
      <c r="K2210" s="7">
        <f>INDIRECT("C$"&amp;2+MIN(2,ROUNDDOWN(I2210,0))*3)*(-$J2210^3+3*$J2210^2-3*$J2210+1)+INDIRECT("C$"&amp;3+MIN(2,ROUNDDOWN(I2210,0))*3)*(3*$J2210^3-6*$J2210^2+3*$J2210)+INDIRECT("C$"&amp;4+MIN(2,ROUNDDOWN(I2210,0))*3)*(-3*$J2210^3+3*$J2210^2)+INDIRECT("C$"&amp;5+MIN(2,ROUNDDOWN(I2210,0))*3)*$J2210^3</f>
      </c>
      <c r="L2210" s="7">
        <f>INDIRECT("D$"&amp;2+MIN(2,ROUNDDOWN(I2210,0))*3)*(-$J2210^3+3*$J2210^2-3*$J2210+1)+INDIRECT("D$"&amp;3+MIN(2,ROUNDDOWN(I2210,0))*3)*(3*$J2210^3-6*$J2210^2+3*$J2210)+INDIRECT("D$"&amp;4+MIN(2,ROUNDDOWN(I2210,0))*3)*(-3*$J2210^3+3*$J2210^2)+INDIRECT("D$"&amp;5+MIN(2,ROUNDDOWN(I2210,0))*3)*$J2210^3</f>
      </c>
      <c r="M2210" s="7">
        <f>SQRT(K2210^2+L2210^2)</f>
      </c>
      <c r="N2210" s="7">
        <f>(K2211-K2209)</f>
      </c>
      <c r="O2210" s="7">
        <f>+(L2211-L2209)</f>
      </c>
      <c r="P2210" s="7">
        <f>SQRT(O2210^2+N2210^2)</f>
      </c>
      <c r="Q2210" s="7">
        <f>N2210/$P2210</f>
      </c>
      <c r="R2210" s="7">
        <f>O2210/$P2210</f>
      </c>
      <c r="S2210" s="7">
        <f>Q2210^2+R2210^2</f>
      </c>
      <c r="T2210" s="7">
        <f>-R2210</f>
      </c>
      <c r="U2210" s="7">
        <f>Q2210</f>
      </c>
      <c r="V2210" s="7">
        <f>($C$14+($C$15-$C$14)/($D$15-$D$14)*(I2210-$D$14))/2</f>
      </c>
      <c r="W2210" s="7">
        <f>($B$22*I2210^4+$C$22*I2210^3+$D$22*I2210^2+$E$22*I2210+$F$22)/2</f>
      </c>
      <c r="X2210" s="7">
        <f>($W2210)*(T2210)</f>
      </c>
      <c r="Y2210" s="7">
        <f>($W2210)*(U2210)</f>
      </c>
      <c r="Z2210" s="7">
        <f>SQRT(X2210^2+Y2210^2)</f>
      </c>
      <c r="AA2210" s="7">
        <f>$K2210+$X2210</f>
      </c>
      <c r="AB2210" s="7">
        <f>$L2210+$Y2210</f>
      </c>
      <c r="AC2210" s="7">
        <f>$K2210-$X2210</f>
      </c>
      <c r="AD2210" s="7">
        <f>$L2210-$Y2210</f>
      </c>
      <c r="AE2210" s="7">
        <f>AA2210/39.3701</f>
      </c>
      <c r="AF2210" s="7">
        <f>AB2210/39.3701</f>
      </c>
      <c r="AG2210" s="7">
        <f>AC2210/39.3701</f>
      </c>
      <c r="AH2210" s="7">
        <f>AD2210/39.3701</f>
      </c>
      <c r="AI2210" s="1"/>
      <c r="AJ2210" s="1"/>
      <c r="AK2210" s="1"/>
      <c r="AL2210" s="1"/>
      <c r="AM2210" s="2"/>
      <c r="AN2210" s="1"/>
      <c r="AO2210" s="1"/>
      <c r="AP2210" s="1"/>
      <c r="AQ2210" s="1"/>
      <c r="AR2210" s="1"/>
      <c r="AS2210" s="1"/>
      <c r="AT2210" s="1"/>
      <c r="AU2210" s="1"/>
      <c r="AV2210" s="1"/>
      <c r="AW2210" s="1"/>
      <c r="AX2210" s="1"/>
      <c r="AY2210" s="1"/>
      <c r="AZ2210" s="1"/>
      <c r="BA2210" s="1"/>
      <c r="BB2210" s="1"/>
      <c r="BC2210" s="1"/>
      <c r="BD2210" s="1"/>
      <c r="BE2210" s="1"/>
    </row>
    <row x14ac:dyDescent="0.25" r="2211" customHeight="1" ht="18.75">
      <c r="A2211" s="1"/>
      <c r="B2211" s="2"/>
      <c r="C2211" s="2"/>
      <c r="D2211" s="2"/>
      <c r="E2211" s="2"/>
      <c r="F2211" s="2"/>
      <c r="G2211" s="1"/>
      <c r="H2211" s="1"/>
      <c r="I2211" s="7">
        <v>2.208</v>
      </c>
      <c r="J2211" s="7">
        <f>IF((I2211-ROUNDDOWN(I2211,0))=0, 0, (I2211-ROUNDDOWN(I2211,0)))</f>
      </c>
      <c r="K2211" s="7">
        <f>INDIRECT("C$"&amp;2+MIN(2,ROUNDDOWN(I2211,0))*3)*(-$J2211^3+3*$J2211^2-3*$J2211+1)+INDIRECT("C$"&amp;3+MIN(2,ROUNDDOWN(I2211,0))*3)*(3*$J2211^3-6*$J2211^2+3*$J2211)+INDIRECT("C$"&amp;4+MIN(2,ROUNDDOWN(I2211,0))*3)*(-3*$J2211^3+3*$J2211^2)+INDIRECT("C$"&amp;5+MIN(2,ROUNDDOWN(I2211,0))*3)*$J2211^3</f>
      </c>
      <c r="L2211" s="7">
        <f>INDIRECT("D$"&amp;2+MIN(2,ROUNDDOWN(I2211,0))*3)*(-$J2211^3+3*$J2211^2-3*$J2211+1)+INDIRECT("D$"&amp;3+MIN(2,ROUNDDOWN(I2211,0))*3)*(3*$J2211^3-6*$J2211^2+3*$J2211)+INDIRECT("D$"&amp;4+MIN(2,ROUNDDOWN(I2211,0))*3)*(-3*$J2211^3+3*$J2211^2)+INDIRECT("D$"&amp;5+MIN(2,ROUNDDOWN(I2211,0))*3)*$J2211^3</f>
      </c>
      <c r="M2211" s="7">
        <f>SQRT(K2211^2+L2211^2)</f>
      </c>
      <c r="N2211" s="7">
        <f>(K2212-K2210)</f>
      </c>
      <c r="O2211" s="7">
        <f>+(L2212-L2210)</f>
      </c>
      <c r="P2211" s="7">
        <f>SQRT(O2211^2+N2211^2)</f>
      </c>
      <c r="Q2211" s="7">
        <f>N2211/$P2211</f>
      </c>
      <c r="R2211" s="7">
        <f>O2211/$P2211</f>
      </c>
      <c r="S2211" s="7">
        <f>Q2211^2+R2211^2</f>
      </c>
      <c r="T2211" s="7">
        <f>-R2211</f>
      </c>
      <c r="U2211" s="7">
        <f>Q2211</f>
      </c>
      <c r="V2211" s="7">
        <f>($C$14+($C$15-$C$14)/($D$15-$D$14)*(I2211-$D$14))/2</f>
      </c>
      <c r="W2211" s="7">
        <f>($B$22*I2211^4+$C$22*I2211^3+$D$22*I2211^2+$E$22*I2211+$F$22)/2</f>
      </c>
      <c r="X2211" s="7">
        <f>($W2211)*(T2211)</f>
      </c>
      <c r="Y2211" s="7">
        <f>($W2211)*(U2211)</f>
      </c>
      <c r="Z2211" s="7">
        <f>SQRT(X2211^2+Y2211^2)</f>
      </c>
      <c r="AA2211" s="7">
        <f>$K2211+$X2211</f>
      </c>
      <c r="AB2211" s="7">
        <f>$L2211+$Y2211</f>
      </c>
      <c r="AC2211" s="7">
        <f>$K2211-$X2211</f>
      </c>
      <c r="AD2211" s="7">
        <f>$L2211-$Y2211</f>
      </c>
      <c r="AE2211" s="7">
        <f>AA2211/39.3701</f>
      </c>
      <c r="AF2211" s="7">
        <f>AB2211/39.3701</f>
      </c>
      <c r="AG2211" s="7">
        <f>AC2211/39.3701</f>
      </c>
      <c r="AH2211" s="7">
        <f>AD2211/39.3701</f>
      </c>
      <c r="AI2211" s="1"/>
      <c r="AJ2211" s="1"/>
      <c r="AK2211" s="1"/>
      <c r="AL2211" s="1"/>
      <c r="AM2211" s="2"/>
      <c r="AN2211" s="1"/>
      <c r="AO2211" s="1"/>
      <c r="AP2211" s="1"/>
      <c r="AQ2211" s="1"/>
      <c r="AR2211" s="1"/>
      <c r="AS2211" s="1"/>
      <c r="AT2211" s="1"/>
      <c r="AU2211" s="1"/>
      <c r="AV2211" s="1"/>
      <c r="AW2211" s="1"/>
      <c r="AX2211" s="1"/>
      <c r="AY2211" s="1"/>
      <c r="AZ2211" s="1"/>
      <c r="BA2211" s="1"/>
      <c r="BB2211" s="1"/>
      <c r="BC2211" s="1"/>
      <c r="BD2211" s="1"/>
      <c r="BE2211" s="1"/>
    </row>
    <row x14ac:dyDescent="0.25" r="2212" customHeight="1" ht="18.75">
      <c r="A2212" s="1"/>
      <c r="B2212" s="2"/>
      <c r="C2212" s="2"/>
      <c r="D2212" s="2"/>
      <c r="E2212" s="2"/>
      <c r="F2212" s="2"/>
      <c r="G2212" s="1"/>
      <c r="H2212" s="1"/>
      <c r="I2212" s="7">
        <v>2.209</v>
      </c>
      <c r="J2212" s="7">
        <f>IF((I2212-ROUNDDOWN(I2212,0))=0, 0, (I2212-ROUNDDOWN(I2212,0)))</f>
      </c>
      <c r="K2212" s="7">
        <f>INDIRECT("C$"&amp;2+MIN(2,ROUNDDOWN(I2212,0))*3)*(-$J2212^3+3*$J2212^2-3*$J2212+1)+INDIRECT("C$"&amp;3+MIN(2,ROUNDDOWN(I2212,0))*3)*(3*$J2212^3-6*$J2212^2+3*$J2212)+INDIRECT("C$"&amp;4+MIN(2,ROUNDDOWN(I2212,0))*3)*(-3*$J2212^3+3*$J2212^2)+INDIRECT("C$"&amp;5+MIN(2,ROUNDDOWN(I2212,0))*3)*$J2212^3</f>
      </c>
      <c r="L2212" s="7">
        <f>INDIRECT("D$"&amp;2+MIN(2,ROUNDDOWN(I2212,0))*3)*(-$J2212^3+3*$J2212^2-3*$J2212+1)+INDIRECT("D$"&amp;3+MIN(2,ROUNDDOWN(I2212,0))*3)*(3*$J2212^3-6*$J2212^2+3*$J2212)+INDIRECT("D$"&amp;4+MIN(2,ROUNDDOWN(I2212,0))*3)*(-3*$J2212^3+3*$J2212^2)+INDIRECT("D$"&amp;5+MIN(2,ROUNDDOWN(I2212,0))*3)*$J2212^3</f>
      </c>
      <c r="M2212" s="7">
        <f>SQRT(K2212^2+L2212^2)</f>
      </c>
      <c r="N2212" s="7">
        <f>(K2213-K2211)</f>
      </c>
      <c r="O2212" s="7">
        <f>+(L2213-L2211)</f>
      </c>
      <c r="P2212" s="7">
        <f>SQRT(O2212^2+N2212^2)</f>
      </c>
      <c r="Q2212" s="7">
        <f>N2212/$P2212</f>
      </c>
      <c r="R2212" s="7">
        <f>O2212/$P2212</f>
      </c>
      <c r="S2212" s="7">
        <f>Q2212^2+R2212^2</f>
      </c>
      <c r="T2212" s="7">
        <f>-R2212</f>
      </c>
      <c r="U2212" s="7">
        <f>Q2212</f>
      </c>
      <c r="V2212" s="7">
        <f>($C$14+($C$15-$C$14)/($D$15-$D$14)*(I2212-$D$14))/2</f>
      </c>
      <c r="W2212" s="7">
        <f>($B$22*I2212^4+$C$22*I2212^3+$D$22*I2212^2+$E$22*I2212+$F$22)/2</f>
      </c>
      <c r="X2212" s="7">
        <f>($W2212)*(T2212)</f>
      </c>
      <c r="Y2212" s="7">
        <f>($W2212)*(U2212)</f>
      </c>
      <c r="Z2212" s="7">
        <f>SQRT(X2212^2+Y2212^2)</f>
      </c>
      <c r="AA2212" s="7">
        <f>$K2212+$X2212</f>
      </c>
      <c r="AB2212" s="7">
        <f>$L2212+$Y2212</f>
      </c>
      <c r="AC2212" s="7">
        <f>$K2212-$X2212</f>
      </c>
      <c r="AD2212" s="7">
        <f>$L2212-$Y2212</f>
      </c>
      <c r="AE2212" s="7">
        <f>AA2212/39.3701</f>
      </c>
      <c r="AF2212" s="7">
        <f>AB2212/39.3701</f>
      </c>
      <c r="AG2212" s="7">
        <f>AC2212/39.3701</f>
      </c>
      <c r="AH2212" s="7">
        <f>AD2212/39.3701</f>
      </c>
      <c r="AI2212" s="1"/>
      <c r="AJ2212" s="1"/>
      <c r="AK2212" s="1"/>
      <c r="AL2212" s="1"/>
      <c r="AM2212" s="2"/>
      <c r="AN2212" s="1"/>
      <c r="AO2212" s="1"/>
      <c r="AP2212" s="1"/>
      <c r="AQ2212" s="1"/>
      <c r="AR2212" s="1"/>
      <c r="AS2212" s="1"/>
      <c r="AT2212" s="1"/>
      <c r="AU2212" s="1"/>
      <c r="AV2212" s="1"/>
      <c r="AW2212" s="1"/>
      <c r="AX2212" s="1"/>
      <c r="AY2212" s="1"/>
      <c r="AZ2212" s="1"/>
      <c r="BA2212" s="1"/>
      <c r="BB2212" s="1"/>
      <c r="BC2212" s="1"/>
      <c r="BD2212" s="1"/>
      <c r="BE2212" s="1"/>
    </row>
    <row x14ac:dyDescent="0.25" r="2213" customHeight="1" ht="18.75">
      <c r="A2213" s="1"/>
      <c r="B2213" s="2"/>
      <c r="C2213" s="2"/>
      <c r="D2213" s="2"/>
      <c r="E2213" s="2"/>
      <c r="F2213" s="2"/>
      <c r="G2213" s="1"/>
      <c r="H2213" s="1"/>
      <c r="I2213" s="7">
        <v>2.21</v>
      </c>
      <c r="J2213" s="7">
        <f>IF((I2213-ROUNDDOWN(I2213,0))=0, 0, (I2213-ROUNDDOWN(I2213,0)))</f>
      </c>
      <c r="K2213" s="7">
        <f>INDIRECT("C$"&amp;2+MIN(2,ROUNDDOWN(I2213,0))*3)*(-$J2213^3+3*$J2213^2-3*$J2213+1)+INDIRECT("C$"&amp;3+MIN(2,ROUNDDOWN(I2213,0))*3)*(3*$J2213^3-6*$J2213^2+3*$J2213)+INDIRECT("C$"&amp;4+MIN(2,ROUNDDOWN(I2213,0))*3)*(-3*$J2213^3+3*$J2213^2)+INDIRECT("C$"&amp;5+MIN(2,ROUNDDOWN(I2213,0))*3)*$J2213^3</f>
      </c>
      <c r="L2213" s="7">
        <f>INDIRECT("D$"&amp;2+MIN(2,ROUNDDOWN(I2213,0))*3)*(-$J2213^3+3*$J2213^2-3*$J2213+1)+INDIRECT("D$"&amp;3+MIN(2,ROUNDDOWN(I2213,0))*3)*(3*$J2213^3-6*$J2213^2+3*$J2213)+INDIRECT("D$"&amp;4+MIN(2,ROUNDDOWN(I2213,0))*3)*(-3*$J2213^3+3*$J2213^2)+INDIRECT("D$"&amp;5+MIN(2,ROUNDDOWN(I2213,0))*3)*$J2213^3</f>
      </c>
      <c r="M2213" s="7">
        <f>SQRT(K2213^2+L2213^2)</f>
      </c>
      <c r="N2213" s="7">
        <f>(K2214-K2212)</f>
      </c>
      <c r="O2213" s="7">
        <f>+(L2214-L2212)</f>
      </c>
      <c r="P2213" s="7">
        <f>SQRT(O2213^2+N2213^2)</f>
      </c>
      <c r="Q2213" s="7">
        <f>N2213/$P2213</f>
      </c>
      <c r="R2213" s="7">
        <f>O2213/$P2213</f>
      </c>
      <c r="S2213" s="8">
        <f>Q2213^2+R2213^2</f>
      </c>
      <c r="T2213" s="7">
        <f>-R2213</f>
      </c>
      <c r="U2213" s="7">
        <f>Q2213</f>
      </c>
      <c r="V2213" s="7">
        <f>($C$14+($C$15-$C$14)/($D$15-$D$14)*(I2213-$D$14))/2</f>
      </c>
      <c r="W2213" s="7">
        <f>($B$22*I2213^4+$C$22*I2213^3+$D$22*I2213^2+$E$22*I2213+$F$22)/2</f>
      </c>
      <c r="X2213" s="7">
        <f>($W2213)*(T2213)</f>
      </c>
      <c r="Y2213" s="7">
        <f>($W2213)*(U2213)</f>
      </c>
      <c r="Z2213" s="7">
        <f>SQRT(X2213^2+Y2213^2)</f>
      </c>
      <c r="AA2213" s="7">
        <f>$K2213+$X2213</f>
      </c>
      <c r="AB2213" s="7">
        <f>$L2213+$Y2213</f>
      </c>
      <c r="AC2213" s="7">
        <f>$K2213-$X2213</f>
      </c>
      <c r="AD2213" s="7">
        <f>$L2213-$Y2213</f>
      </c>
      <c r="AE2213" s="7">
        <f>AA2213/39.3701</f>
      </c>
      <c r="AF2213" s="7">
        <f>AB2213/39.3701</f>
      </c>
      <c r="AG2213" s="7">
        <f>AC2213/39.3701</f>
      </c>
      <c r="AH2213" s="7">
        <f>AD2213/39.3701</f>
      </c>
      <c r="AI2213" s="1"/>
      <c r="AJ2213" s="1"/>
      <c r="AK2213" s="1"/>
      <c r="AL2213" s="1"/>
      <c r="AM2213" s="2"/>
      <c r="AN2213" s="1"/>
      <c r="AO2213" s="1"/>
      <c r="AP2213" s="1"/>
      <c r="AQ2213" s="1"/>
      <c r="AR2213" s="1"/>
      <c r="AS2213" s="1"/>
      <c r="AT2213" s="1"/>
      <c r="AU2213" s="1"/>
      <c r="AV2213" s="1"/>
      <c r="AW2213" s="1"/>
      <c r="AX2213" s="1"/>
      <c r="AY2213" s="1"/>
      <c r="AZ2213" s="1"/>
      <c r="BA2213" s="1"/>
      <c r="BB2213" s="1"/>
      <c r="BC2213" s="1"/>
      <c r="BD2213" s="1"/>
      <c r="BE2213" s="1"/>
    </row>
    <row x14ac:dyDescent="0.25" r="2214" customHeight="1" ht="18.75">
      <c r="A2214" s="1"/>
      <c r="B2214" s="2"/>
      <c r="C2214" s="2"/>
      <c r="D2214" s="2"/>
      <c r="E2214" s="2"/>
      <c r="F2214" s="2"/>
      <c r="G2214" s="1"/>
      <c r="H2214" s="1"/>
      <c r="I2214" s="7">
        <v>2.211</v>
      </c>
      <c r="J2214" s="7">
        <f>IF((I2214-ROUNDDOWN(I2214,0))=0, 0, (I2214-ROUNDDOWN(I2214,0)))</f>
      </c>
      <c r="K2214" s="7">
        <f>INDIRECT("C$"&amp;2+MIN(2,ROUNDDOWN(I2214,0))*3)*(-$J2214^3+3*$J2214^2-3*$J2214+1)+INDIRECT("C$"&amp;3+MIN(2,ROUNDDOWN(I2214,0))*3)*(3*$J2214^3-6*$J2214^2+3*$J2214)+INDIRECT("C$"&amp;4+MIN(2,ROUNDDOWN(I2214,0))*3)*(-3*$J2214^3+3*$J2214^2)+INDIRECT("C$"&amp;5+MIN(2,ROUNDDOWN(I2214,0))*3)*$J2214^3</f>
      </c>
      <c r="L2214" s="7">
        <f>INDIRECT("D$"&amp;2+MIN(2,ROUNDDOWN(I2214,0))*3)*(-$J2214^3+3*$J2214^2-3*$J2214+1)+INDIRECT("D$"&amp;3+MIN(2,ROUNDDOWN(I2214,0))*3)*(3*$J2214^3-6*$J2214^2+3*$J2214)+INDIRECT("D$"&amp;4+MIN(2,ROUNDDOWN(I2214,0))*3)*(-3*$J2214^3+3*$J2214^2)+INDIRECT("D$"&amp;5+MIN(2,ROUNDDOWN(I2214,0))*3)*$J2214^3</f>
      </c>
      <c r="M2214" s="7">
        <f>SQRT(K2214^2+L2214^2)</f>
      </c>
      <c r="N2214" s="7">
        <f>(K2215-K2213)</f>
      </c>
      <c r="O2214" s="7">
        <f>+(L2215-L2213)</f>
      </c>
      <c r="P2214" s="7">
        <f>SQRT(O2214^2+N2214^2)</f>
      </c>
      <c r="Q2214" s="7">
        <f>N2214/$P2214</f>
      </c>
      <c r="R2214" s="7">
        <f>O2214/$P2214</f>
      </c>
      <c r="S2214" s="8">
        <f>Q2214^2+R2214^2</f>
      </c>
      <c r="T2214" s="7">
        <f>-R2214</f>
      </c>
      <c r="U2214" s="7">
        <f>Q2214</f>
      </c>
      <c r="V2214" s="7">
        <f>($C$14+($C$15-$C$14)/($D$15-$D$14)*(I2214-$D$14))/2</f>
      </c>
      <c r="W2214" s="7">
        <f>($B$22*I2214^4+$C$22*I2214^3+$D$22*I2214^2+$E$22*I2214+$F$22)/2</f>
      </c>
      <c r="X2214" s="7">
        <f>($W2214)*(T2214)</f>
      </c>
      <c r="Y2214" s="7">
        <f>($W2214)*(U2214)</f>
      </c>
      <c r="Z2214" s="7">
        <f>SQRT(X2214^2+Y2214^2)</f>
      </c>
      <c r="AA2214" s="7">
        <f>$K2214+$X2214</f>
      </c>
      <c r="AB2214" s="7">
        <f>$L2214+$Y2214</f>
      </c>
      <c r="AC2214" s="7">
        <f>$K2214-$X2214</f>
      </c>
      <c r="AD2214" s="7">
        <f>$L2214-$Y2214</f>
      </c>
      <c r="AE2214" s="7">
        <f>AA2214/39.3701</f>
      </c>
      <c r="AF2214" s="7">
        <f>AB2214/39.3701</f>
      </c>
      <c r="AG2214" s="7">
        <f>AC2214/39.3701</f>
      </c>
      <c r="AH2214" s="7">
        <f>AD2214/39.3701</f>
      </c>
      <c r="AI2214" s="1"/>
      <c r="AJ2214" s="1"/>
      <c r="AK2214" s="1"/>
      <c r="AL2214" s="1"/>
      <c r="AM2214" s="2"/>
      <c r="AN2214" s="1"/>
      <c r="AO2214" s="1"/>
      <c r="AP2214" s="1"/>
      <c r="AQ2214" s="1"/>
      <c r="AR2214" s="1"/>
      <c r="AS2214" s="1"/>
      <c r="AT2214" s="1"/>
      <c r="AU2214" s="1"/>
      <c r="AV2214" s="1"/>
      <c r="AW2214" s="1"/>
      <c r="AX2214" s="1"/>
      <c r="AY2214" s="1"/>
      <c r="AZ2214" s="1"/>
      <c r="BA2214" s="1"/>
      <c r="BB2214" s="1"/>
      <c r="BC2214" s="1"/>
      <c r="BD2214" s="1"/>
      <c r="BE2214" s="1"/>
    </row>
    <row x14ac:dyDescent="0.25" r="2215" customHeight="1" ht="18.75">
      <c r="A2215" s="1"/>
      <c r="B2215" s="2"/>
      <c r="C2215" s="2"/>
      <c r="D2215" s="2"/>
      <c r="E2215" s="2"/>
      <c r="F2215" s="2"/>
      <c r="G2215" s="1"/>
      <c r="H2215" s="1"/>
      <c r="I2215" s="7">
        <v>2.212</v>
      </c>
      <c r="J2215" s="7">
        <f>IF((I2215-ROUNDDOWN(I2215,0))=0, 0, (I2215-ROUNDDOWN(I2215,0)))</f>
      </c>
      <c r="K2215" s="7">
        <f>INDIRECT("C$"&amp;2+MIN(2,ROUNDDOWN(I2215,0))*3)*(-$J2215^3+3*$J2215^2-3*$J2215+1)+INDIRECT("C$"&amp;3+MIN(2,ROUNDDOWN(I2215,0))*3)*(3*$J2215^3-6*$J2215^2+3*$J2215)+INDIRECT("C$"&amp;4+MIN(2,ROUNDDOWN(I2215,0))*3)*(-3*$J2215^3+3*$J2215^2)+INDIRECT("C$"&amp;5+MIN(2,ROUNDDOWN(I2215,0))*3)*$J2215^3</f>
      </c>
      <c r="L2215" s="7">
        <f>INDIRECT("D$"&amp;2+MIN(2,ROUNDDOWN(I2215,0))*3)*(-$J2215^3+3*$J2215^2-3*$J2215+1)+INDIRECT("D$"&amp;3+MIN(2,ROUNDDOWN(I2215,0))*3)*(3*$J2215^3-6*$J2215^2+3*$J2215)+INDIRECT("D$"&amp;4+MIN(2,ROUNDDOWN(I2215,0))*3)*(-3*$J2215^3+3*$J2215^2)+INDIRECT("D$"&amp;5+MIN(2,ROUNDDOWN(I2215,0))*3)*$J2215^3</f>
      </c>
      <c r="M2215" s="7">
        <f>SQRT(K2215^2+L2215^2)</f>
      </c>
      <c r="N2215" s="7">
        <f>(K2216-K2214)</f>
      </c>
      <c r="O2215" s="7">
        <f>+(L2216-L2214)</f>
      </c>
      <c r="P2215" s="7">
        <f>SQRT(O2215^2+N2215^2)</f>
      </c>
      <c r="Q2215" s="7">
        <f>N2215/$P2215</f>
      </c>
      <c r="R2215" s="7">
        <f>O2215/$P2215</f>
      </c>
      <c r="S2215" s="8">
        <f>Q2215^2+R2215^2</f>
      </c>
      <c r="T2215" s="7">
        <f>-R2215</f>
      </c>
      <c r="U2215" s="7">
        <f>Q2215</f>
      </c>
      <c r="V2215" s="7">
        <f>($C$14+($C$15-$C$14)/($D$15-$D$14)*(I2215-$D$14))/2</f>
      </c>
      <c r="W2215" s="7">
        <f>($B$22*I2215^4+$C$22*I2215^3+$D$22*I2215^2+$E$22*I2215+$F$22)/2</f>
      </c>
      <c r="X2215" s="7">
        <f>($W2215)*(T2215)</f>
      </c>
      <c r="Y2215" s="7">
        <f>($W2215)*(U2215)</f>
      </c>
      <c r="Z2215" s="7">
        <f>SQRT(X2215^2+Y2215^2)</f>
      </c>
      <c r="AA2215" s="7">
        <f>$K2215+$X2215</f>
      </c>
      <c r="AB2215" s="7">
        <f>$L2215+$Y2215</f>
      </c>
      <c r="AC2215" s="7">
        <f>$K2215-$X2215</f>
      </c>
      <c r="AD2215" s="7">
        <f>$L2215-$Y2215</f>
      </c>
      <c r="AE2215" s="7">
        <f>AA2215/39.3701</f>
      </c>
      <c r="AF2215" s="7">
        <f>AB2215/39.3701</f>
      </c>
      <c r="AG2215" s="7">
        <f>AC2215/39.3701</f>
      </c>
      <c r="AH2215" s="7">
        <f>AD2215/39.3701</f>
      </c>
      <c r="AI2215" s="1"/>
      <c r="AJ2215" s="1"/>
      <c r="AK2215" s="1"/>
      <c r="AL2215" s="1"/>
      <c r="AM2215" s="2"/>
      <c r="AN2215" s="1"/>
      <c r="AO2215" s="1"/>
      <c r="AP2215" s="1"/>
      <c r="AQ2215" s="1"/>
      <c r="AR2215" s="1"/>
      <c r="AS2215" s="1"/>
      <c r="AT2215" s="1"/>
      <c r="AU2215" s="1"/>
      <c r="AV2215" s="1"/>
      <c r="AW2215" s="1"/>
      <c r="AX2215" s="1"/>
      <c r="AY2215" s="1"/>
      <c r="AZ2215" s="1"/>
      <c r="BA2215" s="1"/>
      <c r="BB2215" s="1"/>
      <c r="BC2215" s="1"/>
      <c r="BD2215" s="1"/>
      <c r="BE2215" s="1"/>
    </row>
    <row x14ac:dyDescent="0.25" r="2216" customHeight="1" ht="18.75">
      <c r="A2216" s="1"/>
      <c r="B2216" s="2"/>
      <c r="C2216" s="2"/>
      <c r="D2216" s="2"/>
      <c r="E2216" s="2"/>
      <c r="F2216" s="2"/>
      <c r="G2216" s="1"/>
      <c r="H2216" s="1"/>
      <c r="I2216" s="7">
        <v>2.213</v>
      </c>
      <c r="J2216" s="7">
        <f>IF((I2216-ROUNDDOWN(I2216,0))=0, 0, (I2216-ROUNDDOWN(I2216,0)))</f>
      </c>
      <c r="K2216" s="7">
        <f>INDIRECT("C$"&amp;2+MIN(2,ROUNDDOWN(I2216,0))*3)*(-$J2216^3+3*$J2216^2-3*$J2216+1)+INDIRECT("C$"&amp;3+MIN(2,ROUNDDOWN(I2216,0))*3)*(3*$J2216^3-6*$J2216^2+3*$J2216)+INDIRECT("C$"&amp;4+MIN(2,ROUNDDOWN(I2216,0))*3)*(-3*$J2216^3+3*$J2216^2)+INDIRECT("C$"&amp;5+MIN(2,ROUNDDOWN(I2216,0))*3)*$J2216^3</f>
      </c>
      <c r="L2216" s="7">
        <f>INDIRECT("D$"&amp;2+MIN(2,ROUNDDOWN(I2216,0))*3)*(-$J2216^3+3*$J2216^2-3*$J2216+1)+INDIRECT("D$"&amp;3+MIN(2,ROUNDDOWN(I2216,0))*3)*(3*$J2216^3-6*$J2216^2+3*$J2216)+INDIRECT("D$"&amp;4+MIN(2,ROUNDDOWN(I2216,0))*3)*(-3*$J2216^3+3*$J2216^2)+INDIRECT("D$"&amp;5+MIN(2,ROUNDDOWN(I2216,0))*3)*$J2216^3</f>
      </c>
      <c r="M2216" s="7">
        <f>SQRT(K2216^2+L2216^2)</f>
      </c>
      <c r="N2216" s="7">
        <f>(K2217-K2215)</f>
      </c>
      <c r="O2216" s="7">
        <f>+(L2217-L2215)</f>
      </c>
      <c r="P2216" s="7">
        <f>SQRT(O2216^2+N2216^2)</f>
      </c>
      <c r="Q2216" s="7">
        <f>N2216/$P2216</f>
      </c>
      <c r="R2216" s="7">
        <f>O2216/$P2216</f>
      </c>
      <c r="S2216" s="8">
        <f>Q2216^2+R2216^2</f>
      </c>
      <c r="T2216" s="7">
        <f>-R2216</f>
      </c>
      <c r="U2216" s="7">
        <f>Q2216</f>
      </c>
      <c r="V2216" s="7">
        <f>($C$14+($C$15-$C$14)/($D$15-$D$14)*(I2216-$D$14))/2</f>
      </c>
      <c r="W2216" s="7">
        <f>($B$22*I2216^4+$C$22*I2216^3+$D$22*I2216^2+$E$22*I2216+$F$22)/2</f>
      </c>
      <c r="X2216" s="7">
        <f>($W2216)*(T2216)</f>
      </c>
      <c r="Y2216" s="7">
        <f>($W2216)*(U2216)</f>
      </c>
      <c r="Z2216" s="7">
        <f>SQRT(X2216^2+Y2216^2)</f>
      </c>
      <c r="AA2216" s="7">
        <f>$K2216+$X2216</f>
      </c>
      <c r="AB2216" s="7">
        <f>$L2216+$Y2216</f>
      </c>
      <c r="AC2216" s="7">
        <f>$K2216-$X2216</f>
      </c>
      <c r="AD2216" s="7">
        <f>$L2216-$Y2216</f>
      </c>
      <c r="AE2216" s="7">
        <f>AA2216/39.3701</f>
      </c>
      <c r="AF2216" s="7">
        <f>AB2216/39.3701</f>
      </c>
      <c r="AG2216" s="7">
        <f>AC2216/39.3701</f>
      </c>
      <c r="AH2216" s="7">
        <f>AD2216/39.3701</f>
      </c>
      <c r="AI2216" s="1"/>
      <c r="AJ2216" s="1"/>
      <c r="AK2216" s="1"/>
      <c r="AL2216" s="1"/>
      <c r="AM2216" s="2"/>
      <c r="AN2216" s="1"/>
      <c r="AO2216" s="1"/>
      <c r="AP2216" s="1"/>
      <c r="AQ2216" s="1"/>
      <c r="AR2216" s="1"/>
      <c r="AS2216" s="1"/>
      <c r="AT2216" s="1"/>
      <c r="AU2216" s="1"/>
      <c r="AV2216" s="1"/>
      <c r="AW2216" s="1"/>
      <c r="AX2216" s="1"/>
      <c r="AY2216" s="1"/>
      <c r="AZ2216" s="1"/>
      <c r="BA2216" s="1"/>
      <c r="BB2216" s="1"/>
      <c r="BC2216" s="1"/>
      <c r="BD2216" s="1"/>
      <c r="BE2216" s="1"/>
    </row>
    <row x14ac:dyDescent="0.25" r="2217" customHeight="1" ht="18.75">
      <c r="A2217" s="1"/>
      <c r="B2217" s="2"/>
      <c r="C2217" s="2"/>
      <c r="D2217" s="2"/>
      <c r="E2217" s="2"/>
      <c r="F2217" s="2"/>
      <c r="G2217" s="1"/>
      <c r="H2217" s="1"/>
      <c r="I2217" s="7">
        <v>2.214</v>
      </c>
      <c r="J2217" s="7">
        <f>IF((I2217-ROUNDDOWN(I2217,0))=0, 0, (I2217-ROUNDDOWN(I2217,0)))</f>
      </c>
      <c r="K2217" s="7">
        <f>INDIRECT("C$"&amp;2+MIN(2,ROUNDDOWN(I2217,0))*3)*(-$J2217^3+3*$J2217^2-3*$J2217+1)+INDIRECT("C$"&amp;3+MIN(2,ROUNDDOWN(I2217,0))*3)*(3*$J2217^3-6*$J2217^2+3*$J2217)+INDIRECT("C$"&amp;4+MIN(2,ROUNDDOWN(I2217,0))*3)*(-3*$J2217^3+3*$J2217^2)+INDIRECT("C$"&amp;5+MIN(2,ROUNDDOWN(I2217,0))*3)*$J2217^3</f>
      </c>
      <c r="L2217" s="7">
        <f>INDIRECT("D$"&amp;2+MIN(2,ROUNDDOWN(I2217,0))*3)*(-$J2217^3+3*$J2217^2-3*$J2217+1)+INDIRECT("D$"&amp;3+MIN(2,ROUNDDOWN(I2217,0))*3)*(3*$J2217^3-6*$J2217^2+3*$J2217)+INDIRECT("D$"&amp;4+MIN(2,ROUNDDOWN(I2217,0))*3)*(-3*$J2217^3+3*$J2217^2)+INDIRECT("D$"&amp;5+MIN(2,ROUNDDOWN(I2217,0))*3)*$J2217^3</f>
      </c>
      <c r="M2217" s="7">
        <f>SQRT(K2217^2+L2217^2)</f>
      </c>
      <c r="N2217" s="7">
        <f>(K2218-K2216)</f>
      </c>
      <c r="O2217" s="7">
        <f>+(L2218-L2216)</f>
      </c>
      <c r="P2217" s="7">
        <f>SQRT(O2217^2+N2217^2)</f>
      </c>
      <c r="Q2217" s="7">
        <f>N2217/$P2217</f>
      </c>
      <c r="R2217" s="7">
        <f>O2217/$P2217</f>
      </c>
      <c r="S2217" s="8">
        <f>Q2217^2+R2217^2</f>
      </c>
      <c r="T2217" s="7">
        <f>-R2217</f>
      </c>
      <c r="U2217" s="7">
        <f>Q2217</f>
      </c>
      <c r="V2217" s="7">
        <f>($C$14+($C$15-$C$14)/($D$15-$D$14)*(I2217-$D$14))/2</f>
      </c>
      <c r="W2217" s="7">
        <f>($B$22*I2217^4+$C$22*I2217^3+$D$22*I2217^2+$E$22*I2217+$F$22)/2</f>
      </c>
      <c r="X2217" s="7">
        <f>($W2217)*(T2217)</f>
      </c>
      <c r="Y2217" s="7">
        <f>($W2217)*(U2217)</f>
      </c>
      <c r="Z2217" s="7">
        <f>SQRT(X2217^2+Y2217^2)</f>
      </c>
      <c r="AA2217" s="7">
        <f>$K2217+$X2217</f>
      </c>
      <c r="AB2217" s="7">
        <f>$L2217+$Y2217</f>
      </c>
      <c r="AC2217" s="7">
        <f>$K2217-$X2217</f>
      </c>
      <c r="AD2217" s="7">
        <f>$L2217-$Y2217</f>
      </c>
      <c r="AE2217" s="7">
        <f>AA2217/39.3701</f>
      </c>
      <c r="AF2217" s="7">
        <f>AB2217/39.3701</f>
      </c>
      <c r="AG2217" s="7">
        <f>AC2217/39.3701</f>
      </c>
      <c r="AH2217" s="7">
        <f>AD2217/39.3701</f>
      </c>
      <c r="AI2217" s="1"/>
      <c r="AJ2217" s="1"/>
      <c r="AK2217" s="1"/>
      <c r="AL2217" s="1"/>
      <c r="AM2217" s="2"/>
      <c r="AN2217" s="1"/>
      <c r="AO2217" s="1"/>
      <c r="AP2217" s="1"/>
      <c r="AQ2217" s="1"/>
      <c r="AR2217" s="1"/>
      <c r="AS2217" s="1"/>
      <c r="AT2217" s="1"/>
      <c r="AU2217" s="1"/>
      <c r="AV2217" s="1"/>
      <c r="AW2217" s="1"/>
      <c r="AX2217" s="1"/>
      <c r="AY2217" s="1"/>
      <c r="AZ2217" s="1"/>
      <c r="BA2217" s="1"/>
      <c r="BB2217" s="1"/>
      <c r="BC2217" s="1"/>
      <c r="BD2217" s="1"/>
      <c r="BE2217" s="1"/>
    </row>
    <row x14ac:dyDescent="0.25" r="2218" customHeight="1" ht="18.75">
      <c r="A2218" s="1"/>
      <c r="B2218" s="2"/>
      <c r="C2218" s="2"/>
      <c r="D2218" s="2"/>
      <c r="E2218" s="2"/>
      <c r="F2218" s="2"/>
      <c r="G2218" s="1"/>
      <c r="H2218" s="1"/>
      <c r="I2218" s="7">
        <v>2.215</v>
      </c>
      <c r="J2218" s="7">
        <f>IF((I2218-ROUNDDOWN(I2218,0))=0, 0, (I2218-ROUNDDOWN(I2218,0)))</f>
      </c>
      <c r="K2218" s="7">
        <f>INDIRECT("C$"&amp;2+MIN(2,ROUNDDOWN(I2218,0))*3)*(-$J2218^3+3*$J2218^2-3*$J2218+1)+INDIRECT("C$"&amp;3+MIN(2,ROUNDDOWN(I2218,0))*3)*(3*$J2218^3-6*$J2218^2+3*$J2218)+INDIRECT("C$"&amp;4+MIN(2,ROUNDDOWN(I2218,0))*3)*(-3*$J2218^3+3*$J2218^2)+INDIRECT("C$"&amp;5+MIN(2,ROUNDDOWN(I2218,0))*3)*$J2218^3</f>
      </c>
      <c r="L2218" s="7">
        <f>INDIRECT("D$"&amp;2+MIN(2,ROUNDDOWN(I2218,0))*3)*(-$J2218^3+3*$J2218^2-3*$J2218+1)+INDIRECT("D$"&amp;3+MIN(2,ROUNDDOWN(I2218,0))*3)*(3*$J2218^3-6*$J2218^2+3*$J2218)+INDIRECT("D$"&amp;4+MIN(2,ROUNDDOWN(I2218,0))*3)*(-3*$J2218^3+3*$J2218^2)+INDIRECT("D$"&amp;5+MIN(2,ROUNDDOWN(I2218,0))*3)*$J2218^3</f>
      </c>
      <c r="M2218" s="7">
        <f>SQRT(K2218^2+L2218^2)</f>
      </c>
      <c r="N2218" s="7">
        <f>(K2219-K2217)</f>
      </c>
      <c r="O2218" s="7">
        <f>+(L2219-L2217)</f>
      </c>
      <c r="P2218" s="7">
        <f>SQRT(O2218^2+N2218^2)</f>
      </c>
      <c r="Q2218" s="7">
        <f>N2218/$P2218</f>
      </c>
      <c r="R2218" s="7">
        <f>O2218/$P2218</f>
      </c>
      <c r="S2218" s="8">
        <f>Q2218^2+R2218^2</f>
      </c>
      <c r="T2218" s="7">
        <f>-R2218</f>
      </c>
      <c r="U2218" s="7">
        <f>Q2218</f>
      </c>
      <c r="V2218" s="7">
        <f>($C$14+($C$15-$C$14)/($D$15-$D$14)*(I2218-$D$14))/2</f>
      </c>
      <c r="W2218" s="7">
        <f>($B$22*I2218^4+$C$22*I2218^3+$D$22*I2218^2+$E$22*I2218+$F$22)/2</f>
      </c>
      <c r="X2218" s="7">
        <f>($W2218)*(T2218)</f>
      </c>
      <c r="Y2218" s="7">
        <f>($W2218)*(U2218)</f>
      </c>
      <c r="Z2218" s="7">
        <f>SQRT(X2218^2+Y2218^2)</f>
      </c>
      <c r="AA2218" s="7">
        <f>$K2218+$X2218</f>
      </c>
      <c r="AB2218" s="7">
        <f>$L2218+$Y2218</f>
      </c>
      <c r="AC2218" s="7">
        <f>$K2218-$X2218</f>
      </c>
      <c r="AD2218" s="7">
        <f>$L2218-$Y2218</f>
      </c>
      <c r="AE2218" s="7">
        <f>AA2218/39.3701</f>
      </c>
      <c r="AF2218" s="7">
        <f>AB2218/39.3701</f>
      </c>
      <c r="AG2218" s="7">
        <f>AC2218/39.3701</f>
      </c>
      <c r="AH2218" s="7">
        <f>AD2218/39.3701</f>
      </c>
      <c r="AI2218" s="1"/>
      <c r="AJ2218" s="1"/>
      <c r="AK2218" s="1"/>
      <c r="AL2218" s="1"/>
      <c r="AM2218" s="2"/>
      <c r="AN2218" s="1"/>
      <c r="AO2218" s="1"/>
      <c r="AP2218" s="1"/>
      <c r="AQ2218" s="1"/>
      <c r="AR2218" s="1"/>
      <c r="AS2218" s="1"/>
      <c r="AT2218" s="1"/>
      <c r="AU2218" s="1"/>
      <c r="AV2218" s="1"/>
      <c r="AW2218" s="1"/>
      <c r="AX2218" s="1"/>
      <c r="AY2218" s="1"/>
      <c r="AZ2218" s="1"/>
      <c r="BA2218" s="1"/>
      <c r="BB2218" s="1"/>
      <c r="BC2218" s="1"/>
      <c r="BD2218" s="1"/>
      <c r="BE2218" s="1"/>
    </row>
    <row x14ac:dyDescent="0.25" r="2219" customHeight="1" ht="18.75">
      <c r="A2219" s="1"/>
      <c r="B2219" s="2"/>
      <c r="C2219" s="2"/>
      <c r="D2219" s="2"/>
      <c r="E2219" s="2"/>
      <c r="F2219" s="2"/>
      <c r="G2219" s="1"/>
      <c r="H2219" s="1"/>
      <c r="I2219" s="7">
        <v>2.216</v>
      </c>
      <c r="J2219" s="7">
        <f>IF((I2219-ROUNDDOWN(I2219,0))=0, 0, (I2219-ROUNDDOWN(I2219,0)))</f>
      </c>
      <c r="K2219" s="7">
        <f>INDIRECT("C$"&amp;2+MIN(2,ROUNDDOWN(I2219,0))*3)*(-$J2219^3+3*$J2219^2-3*$J2219+1)+INDIRECT("C$"&amp;3+MIN(2,ROUNDDOWN(I2219,0))*3)*(3*$J2219^3-6*$J2219^2+3*$J2219)+INDIRECT("C$"&amp;4+MIN(2,ROUNDDOWN(I2219,0))*3)*(-3*$J2219^3+3*$J2219^2)+INDIRECT("C$"&amp;5+MIN(2,ROUNDDOWN(I2219,0))*3)*$J2219^3</f>
      </c>
      <c r="L2219" s="7">
        <f>INDIRECT("D$"&amp;2+MIN(2,ROUNDDOWN(I2219,0))*3)*(-$J2219^3+3*$J2219^2-3*$J2219+1)+INDIRECT("D$"&amp;3+MIN(2,ROUNDDOWN(I2219,0))*3)*(3*$J2219^3-6*$J2219^2+3*$J2219)+INDIRECT("D$"&amp;4+MIN(2,ROUNDDOWN(I2219,0))*3)*(-3*$J2219^3+3*$J2219^2)+INDIRECT("D$"&amp;5+MIN(2,ROUNDDOWN(I2219,0))*3)*$J2219^3</f>
      </c>
      <c r="M2219" s="7">
        <f>SQRT(K2219^2+L2219^2)</f>
      </c>
      <c r="N2219" s="7">
        <f>(K2220-K2218)</f>
      </c>
      <c r="O2219" s="7">
        <f>+(L2220-L2218)</f>
      </c>
      <c r="P2219" s="7">
        <f>SQRT(O2219^2+N2219^2)</f>
      </c>
      <c r="Q2219" s="7">
        <f>N2219/$P2219</f>
      </c>
      <c r="R2219" s="7">
        <f>O2219/$P2219</f>
      </c>
      <c r="S2219" s="8">
        <f>Q2219^2+R2219^2</f>
      </c>
      <c r="T2219" s="7">
        <f>-R2219</f>
      </c>
      <c r="U2219" s="7">
        <f>Q2219</f>
      </c>
      <c r="V2219" s="7">
        <f>($C$14+($C$15-$C$14)/($D$15-$D$14)*(I2219-$D$14))/2</f>
      </c>
      <c r="W2219" s="7">
        <f>($B$22*I2219^4+$C$22*I2219^3+$D$22*I2219^2+$E$22*I2219+$F$22)/2</f>
      </c>
      <c r="X2219" s="7">
        <f>($W2219)*(T2219)</f>
      </c>
      <c r="Y2219" s="7">
        <f>($W2219)*(U2219)</f>
      </c>
      <c r="Z2219" s="7">
        <f>SQRT(X2219^2+Y2219^2)</f>
      </c>
      <c r="AA2219" s="7">
        <f>$K2219+$X2219</f>
      </c>
      <c r="AB2219" s="7">
        <f>$L2219+$Y2219</f>
      </c>
      <c r="AC2219" s="7">
        <f>$K2219-$X2219</f>
      </c>
      <c r="AD2219" s="7">
        <f>$L2219-$Y2219</f>
      </c>
      <c r="AE2219" s="7">
        <f>AA2219/39.3701</f>
      </c>
      <c r="AF2219" s="7">
        <f>AB2219/39.3701</f>
      </c>
      <c r="AG2219" s="7">
        <f>AC2219/39.3701</f>
      </c>
      <c r="AH2219" s="7">
        <f>AD2219/39.3701</f>
      </c>
      <c r="AI2219" s="1"/>
      <c r="AJ2219" s="1"/>
      <c r="AK2219" s="1"/>
      <c r="AL2219" s="1"/>
      <c r="AM2219" s="2"/>
      <c r="AN2219" s="1"/>
      <c r="AO2219" s="1"/>
      <c r="AP2219" s="1"/>
      <c r="AQ2219" s="1"/>
      <c r="AR2219" s="1"/>
      <c r="AS2219" s="1"/>
      <c r="AT2219" s="1"/>
      <c r="AU2219" s="1"/>
      <c r="AV2219" s="1"/>
      <c r="AW2219" s="1"/>
      <c r="AX2219" s="1"/>
      <c r="AY2219" s="1"/>
      <c r="AZ2219" s="1"/>
      <c r="BA2219" s="1"/>
      <c r="BB2219" s="1"/>
      <c r="BC2219" s="1"/>
      <c r="BD2219" s="1"/>
      <c r="BE2219" s="1"/>
    </row>
    <row x14ac:dyDescent="0.25" r="2220" customHeight="1" ht="18.75">
      <c r="A2220" s="1"/>
      <c r="B2220" s="2"/>
      <c r="C2220" s="2"/>
      <c r="D2220" s="2"/>
      <c r="E2220" s="2"/>
      <c r="F2220" s="2"/>
      <c r="G2220" s="1"/>
      <c r="H2220" s="1"/>
      <c r="I2220" s="7">
        <v>2.217</v>
      </c>
      <c r="J2220" s="7">
        <f>IF((I2220-ROUNDDOWN(I2220,0))=0, 0, (I2220-ROUNDDOWN(I2220,0)))</f>
      </c>
      <c r="K2220" s="7">
        <f>INDIRECT("C$"&amp;2+MIN(2,ROUNDDOWN(I2220,0))*3)*(-$J2220^3+3*$J2220^2-3*$J2220+1)+INDIRECT("C$"&amp;3+MIN(2,ROUNDDOWN(I2220,0))*3)*(3*$J2220^3-6*$J2220^2+3*$J2220)+INDIRECT("C$"&amp;4+MIN(2,ROUNDDOWN(I2220,0))*3)*(-3*$J2220^3+3*$J2220^2)+INDIRECT("C$"&amp;5+MIN(2,ROUNDDOWN(I2220,0))*3)*$J2220^3</f>
      </c>
      <c r="L2220" s="7">
        <f>INDIRECT("D$"&amp;2+MIN(2,ROUNDDOWN(I2220,0))*3)*(-$J2220^3+3*$J2220^2-3*$J2220+1)+INDIRECT("D$"&amp;3+MIN(2,ROUNDDOWN(I2220,0))*3)*(3*$J2220^3-6*$J2220^2+3*$J2220)+INDIRECT("D$"&amp;4+MIN(2,ROUNDDOWN(I2220,0))*3)*(-3*$J2220^3+3*$J2220^2)+INDIRECT("D$"&amp;5+MIN(2,ROUNDDOWN(I2220,0))*3)*$J2220^3</f>
      </c>
      <c r="M2220" s="7">
        <f>SQRT(K2220^2+L2220^2)</f>
      </c>
      <c r="N2220" s="7">
        <f>(K2221-K2219)</f>
      </c>
      <c r="O2220" s="7">
        <f>+(L2221-L2219)</f>
      </c>
      <c r="P2220" s="7">
        <f>SQRT(O2220^2+N2220^2)</f>
      </c>
      <c r="Q2220" s="7">
        <f>N2220/$P2220</f>
      </c>
      <c r="R2220" s="7">
        <f>O2220/$P2220</f>
      </c>
      <c r="S2220" s="7">
        <f>Q2220^2+R2220^2</f>
      </c>
      <c r="T2220" s="7">
        <f>-R2220</f>
      </c>
      <c r="U2220" s="7">
        <f>Q2220</f>
      </c>
      <c r="V2220" s="7">
        <f>($C$14+($C$15-$C$14)/($D$15-$D$14)*(I2220-$D$14))/2</f>
      </c>
      <c r="W2220" s="7">
        <f>($B$22*I2220^4+$C$22*I2220^3+$D$22*I2220^2+$E$22*I2220+$F$22)/2</f>
      </c>
      <c r="X2220" s="7">
        <f>($W2220)*(T2220)</f>
      </c>
      <c r="Y2220" s="7">
        <f>($W2220)*(U2220)</f>
      </c>
      <c r="Z2220" s="7">
        <f>SQRT(X2220^2+Y2220^2)</f>
      </c>
      <c r="AA2220" s="7">
        <f>$K2220+$X2220</f>
      </c>
      <c r="AB2220" s="7">
        <f>$L2220+$Y2220</f>
      </c>
      <c r="AC2220" s="7">
        <f>$K2220-$X2220</f>
      </c>
      <c r="AD2220" s="7">
        <f>$L2220-$Y2220</f>
      </c>
      <c r="AE2220" s="7">
        <f>AA2220/39.3701</f>
      </c>
      <c r="AF2220" s="7">
        <f>AB2220/39.3701</f>
      </c>
      <c r="AG2220" s="7">
        <f>AC2220/39.3701</f>
      </c>
      <c r="AH2220" s="7">
        <f>AD2220/39.3701</f>
      </c>
      <c r="AI2220" s="1"/>
      <c r="AJ2220" s="1"/>
      <c r="AK2220" s="1"/>
      <c r="AL2220" s="1"/>
      <c r="AM2220" s="2"/>
      <c r="AN2220" s="1"/>
      <c r="AO2220" s="1"/>
      <c r="AP2220" s="1"/>
      <c r="AQ2220" s="1"/>
      <c r="AR2220" s="1"/>
      <c r="AS2220" s="1"/>
      <c r="AT2220" s="1"/>
      <c r="AU2220" s="1"/>
      <c r="AV2220" s="1"/>
      <c r="AW2220" s="1"/>
      <c r="AX2220" s="1"/>
      <c r="AY2220" s="1"/>
      <c r="AZ2220" s="1"/>
      <c r="BA2220" s="1"/>
      <c r="BB2220" s="1"/>
      <c r="BC2220" s="1"/>
      <c r="BD2220" s="1"/>
      <c r="BE2220" s="1"/>
    </row>
    <row x14ac:dyDescent="0.25" r="2221" customHeight="1" ht="18.75">
      <c r="A2221" s="1"/>
      <c r="B2221" s="2"/>
      <c r="C2221" s="2"/>
      <c r="D2221" s="2"/>
      <c r="E2221" s="2"/>
      <c r="F2221" s="2"/>
      <c r="G2221" s="1"/>
      <c r="H2221" s="1"/>
      <c r="I2221" s="7">
        <v>2.218</v>
      </c>
      <c r="J2221" s="7">
        <f>IF((I2221-ROUNDDOWN(I2221,0))=0, 0, (I2221-ROUNDDOWN(I2221,0)))</f>
      </c>
      <c r="K2221" s="7">
        <f>INDIRECT("C$"&amp;2+MIN(2,ROUNDDOWN(I2221,0))*3)*(-$J2221^3+3*$J2221^2-3*$J2221+1)+INDIRECT("C$"&amp;3+MIN(2,ROUNDDOWN(I2221,0))*3)*(3*$J2221^3-6*$J2221^2+3*$J2221)+INDIRECT("C$"&amp;4+MIN(2,ROUNDDOWN(I2221,0))*3)*(-3*$J2221^3+3*$J2221^2)+INDIRECT("C$"&amp;5+MIN(2,ROUNDDOWN(I2221,0))*3)*$J2221^3</f>
      </c>
      <c r="L2221" s="7">
        <f>INDIRECT("D$"&amp;2+MIN(2,ROUNDDOWN(I2221,0))*3)*(-$J2221^3+3*$J2221^2-3*$J2221+1)+INDIRECT("D$"&amp;3+MIN(2,ROUNDDOWN(I2221,0))*3)*(3*$J2221^3-6*$J2221^2+3*$J2221)+INDIRECT("D$"&amp;4+MIN(2,ROUNDDOWN(I2221,0))*3)*(-3*$J2221^3+3*$J2221^2)+INDIRECT("D$"&amp;5+MIN(2,ROUNDDOWN(I2221,0))*3)*$J2221^3</f>
      </c>
      <c r="M2221" s="7">
        <f>SQRT(K2221^2+L2221^2)</f>
      </c>
      <c r="N2221" s="7">
        <f>(K2222-K2220)</f>
      </c>
      <c r="O2221" s="7">
        <f>+(L2222-L2220)</f>
      </c>
      <c r="P2221" s="7">
        <f>SQRT(O2221^2+N2221^2)</f>
      </c>
      <c r="Q2221" s="7">
        <f>N2221/$P2221</f>
      </c>
      <c r="R2221" s="7">
        <f>O2221/$P2221</f>
      </c>
      <c r="S2221" s="8">
        <f>Q2221^2+R2221^2</f>
      </c>
      <c r="T2221" s="7">
        <f>-R2221</f>
      </c>
      <c r="U2221" s="7">
        <f>Q2221</f>
      </c>
      <c r="V2221" s="7">
        <f>($C$14+($C$15-$C$14)/($D$15-$D$14)*(I2221-$D$14))/2</f>
      </c>
      <c r="W2221" s="7">
        <f>($B$22*I2221^4+$C$22*I2221^3+$D$22*I2221^2+$E$22*I2221+$F$22)/2</f>
      </c>
      <c r="X2221" s="7">
        <f>($W2221)*(T2221)</f>
      </c>
      <c r="Y2221" s="7">
        <f>($W2221)*(U2221)</f>
      </c>
      <c r="Z2221" s="7">
        <f>SQRT(X2221^2+Y2221^2)</f>
      </c>
      <c r="AA2221" s="7">
        <f>$K2221+$X2221</f>
      </c>
      <c r="AB2221" s="7">
        <f>$L2221+$Y2221</f>
      </c>
      <c r="AC2221" s="7">
        <f>$K2221-$X2221</f>
      </c>
      <c r="AD2221" s="7">
        <f>$L2221-$Y2221</f>
      </c>
      <c r="AE2221" s="7">
        <f>AA2221/39.3701</f>
      </c>
      <c r="AF2221" s="7">
        <f>AB2221/39.3701</f>
      </c>
      <c r="AG2221" s="7">
        <f>AC2221/39.3701</f>
      </c>
      <c r="AH2221" s="7">
        <f>AD2221/39.3701</f>
      </c>
      <c r="AI2221" s="1"/>
      <c r="AJ2221" s="1"/>
      <c r="AK2221" s="1"/>
      <c r="AL2221" s="1"/>
      <c r="AM2221" s="2"/>
      <c r="AN2221" s="1"/>
      <c r="AO2221" s="1"/>
      <c r="AP2221" s="1"/>
      <c r="AQ2221" s="1"/>
      <c r="AR2221" s="1"/>
      <c r="AS2221" s="1"/>
      <c r="AT2221" s="1"/>
      <c r="AU2221" s="1"/>
      <c r="AV2221" s="1"/>
      <c r="AW2221" s="1"/>
      <c r="AX2221" s="1"/>
      <c r="AY2221" s="1"/>
      <c r="AZ2221" s="1"/>
      <c r="BA2221" s="1"/>
      <c r="BB2221" s="1"/>
      <c r="BC2221" s="1"/>
      <c r="BD2221" s="1"/>
      <c r="BE2221" s="1"/>
    </row>
    <row x14ac:dyDescent="0.25" r="2222" customHeight="1" ht="18.75">
      <c r="A2222" s="1"/>
      <c r="B2222" s="2"/>
      <c r="C2222" s="2"/>
      <c r="D2222" s="2"/>
      <c r="E2222" s="2"/>
      <c r="F2222" s="2"/>
      <c r="G2222" s="1"/>
      <c r="H2222" s="1"/>
      <c r="I2222" s="7">
        <v>2.219</v>
      </c>
      <c r="J2222" s="7">
        <f>IF((I2222-ROUNDDOWN(I2222,0))=0, 0, (I2222-ROUNDDOWN(I2222,0)))</f>
      </c>
      <c r="K2222" s="7">
        <f>INDIRECT("C$"&amp;2+MIN(2,ROUNDDOWN(I2222,0))*3)*(-$J2222^3+3*$J2222^2-3*$J2222+1)+INDIRECT("C$"&amp;3+MIN(2,ROUNDDOWN(I2222,0))*3)*(3*$J2222^3-6*$J2222^2+3*$J2222)+INDIRECT("C$"&amp;4+MIN(2,ROUNDDOWN(I2222,0))*3)*(-3*$J2222^3+3*$J2222^2)+INDIRECT("C$"&amp;5+MIN(2,ROUNDDOWN(I2222,0))*3)*$J2222^3</f>
      </c>
      <c r="L2222" s="7">
        <f>INDIRECT("D$"&amp;2+MIN(2,ROUNDDOWN(I2222,0))*3)*(-$J2222^3+3*$J2222^2-3*$J2222+1)+INDIRECT("D$"&amp;3+MIN(2,ROUNDDOWN(I2222,0))*3)*(3*$J2222^3-6*$J2222^2+3*$J2222)+INDIRECT("D$"&amp;4+MIN(2,ROUNDDOWN(I2222,0))*3)*(-3*$J2222^3+3*$J2222^2)+INDIRECT("D$"&amp;5+MIN(2,ROUNDDOWN(I2222,0))*3)*$J2222^3</f>
      </c>
      <c r="M2222" s="7">
        <f>SQRT(K2222^2+L2222^2)</f>
      </c>
      <c r="N2222" s="7">
        <f>(K2223-K2221)</f>
      </c>
      <c r="O2222" s="7">
        <f>+(L2223-L2221)</f>
      </c>
      <c r="P2222" s="7">
        <f>SQRT(O2222^2+N2222^2)</f>
      </c>
      <c r="Q2222" s="7">
        <f>N2222/$P2222</f>
      </c>
      <c r="R2222" s="7">
        <f>O2222/$P2222</f>
      </c>
      <c r="S2222" s="7">
        <f>Q2222^2+R2222^2</f>
      </c>
      <c r="T2222" s="7">
        <f>-R2222</f>
      </c>
      <c r="U2222" s="7">
        <f>Q2222</f>
      </c>
      <c r="V2222" s="7">
        <f>($C$14+($C$15-$C$14)/($D$15-$D$14)*(I2222-$D$14))/2</f>
      </c>
      <c r="W2222" s="7">
        <f>($B$22*I2222^4+$C$22*I2222^3+$D$22*I2222^2+$E$22*I2222+$F$22)/2</f>
      </c>
      <c r="X2222" s="7">
        <f>($W2222)*(T2222)</f>
      </c>
      <c r="Y2222" s="7">
        <f>($W2222)*(U2222)</f>
      </c>
      <c r="Z2222" s="7">
        <f>SQRT(X2222^2+Y2222^2)</f>
      </c>
      <c r="AA2222" s="7">
        <f>$K2222+$X2222</f>
      </c>
      <c r="AB2222" s="7">
        <f>$L2222+$Y2222</f>
      </c>
      <c r="AC2222" s="7">
        <f>$K2222-$X2222</f>
      </c>
      <c r="AD2222" s="7">
        <f>$L2222-$Y2222</f>
      </c>
      <c r="AE2222" s="7">
        <f>AA2222/39.3701</f>
      </c>
      <c r="AF2222" s="7">
        <f>AB2222/39.3701</f>
      </c>
      <c r="AG2222" s="7">
        <f>AC2222/39.3701</f>
      </c>
      <c r="AH2222" s="7">
        <f>AD2222/39.3701</f>
      </c>
      <c r="AI2222" s="1"/>
      <c r="AJ2222" s="1"/>
      <c r="AK2222" s="1"/>
      <c r="AL2222" s="1"/>
      <c r="AM2222" s="2"/>
      <c r="AN2222" s="1"/>
      <c r="AO2222" s="1"/>
      <c r="AP2222" s="1"/>
      <c r="AQ2222" s="1"/>
      <c r="AR2222" s="1"/>
      <c r="AS2222" s="1"/>
      <c r="AT2222" s="1"/>
      <c r="AU2222" s="1"/>
      <c r="AV2222" s="1"/>
      <c r="AW2222" s="1"/>
      <c r="AX2222" s="1"/>
      <c r="AY2222" s="1"/>
      <c r="AZ2222" s="1"/>
      <c r="BA2222" s="1"/>
      <c r="BB2222" s="1"/>
      <c r="BC2222" s="1"/>
      <c r="BD2222" s="1"/>
      <c r="BE2222" s="1"/>
    </row>
    <row x14ac:dyDescent="0.25" r="2223" customHeight="1" ht="18.75">
      <c r="A2223" s="1"/>
      <c r="B2223" s="2"/>
      <c r="C2223" s="2"/>
      <c r="D2223" s="2"/>
      <c r="E2223" s="2"/>
      <c r="F2223" s="2"/>
      <c r="G2223" s="1"/>
      <c r="H2223" s="1"/>
      <c r="I2223" s="7">
        <v>2.22</v>
      </c>
      <c r="J2223" s="7">
        <f>IF((I2223-ROUNDDOWN(I2223,0))=0, 0, (I2223-ROUNDDOWN(I2223,0)))</f>
      </c>
      <c r="K2223" s="7">
        <f>INDIRECT("C$"&amp;2+MIN(2,ROUNDDOWN(I2223,0))*3)*(-$J2223^3+3*$J2223^2-3*$J2223+1)+INDIRECT("C$"&amp;3+MIN(2,ROUNDDOWN(I2223,0))*3)*(3*$J2223^3-6*$J2223^2+3*$J2223)+INDIRECT("C$"&amp;4+MIN(2,ROUNDDOWN(I2223,0))*3)*(-3*$J2223^3+3*$J2223^2)+INDIRECT("C$"&amp;5+MIN(2,ROUNDDOWN(I2223,0))*3)*$J2223^3</f>
      </c>
      <c r="L2223" s="7">
        <f>INDIRECT("D$"&amp;2+MIN(2,ROUNDDOWN(I2223,0))*3)*(-$J2223^3+3*$J2223^2-3*$J2223+1)+INDIRECT("D$"&amp;3+MIN(2,ROUNDDOWN(I2223,0))*3)*(3*$J2223^3-6*$J2223^2+3*$J2223)+INDIRECT("D$"&amp;4+MIN(2,ROUNDDOWN(I2223,0))*3)*(-3*$J2223^3+3*$J2223^2)+INDIRECT("D$"&amp;5+MIN(2,ROUNDDOWN(I2223,0))*3)*$J2223^3</f>
      </c>
      <c r="M2223" s="7">
        <f>SQRT(K2223^2+L2223^2)</f>
      </c>
      <c r="N2223" s="7">
        <f>(K2224-K2222)</f>
      </c>
      <c r="O2223" s="7">
        <f>+(L2224-L2222)</f>
      </c>
      <c r="P2223" s="7">
        <f>SQRT(O2223^2+N2223^2)</f>
      </c>
      <c r="Q2223" s="7">
        <f>N2223/$P2223</f>
      </c>
      <c r="R2223" s="7">
        <f>O2223/$P2223</f>
      </c>
      <c r="S2223" s="8">
        <f>Q2223^2+R2223^2</f>
      </c>
      <c r="T2223" s="7">
        <f>-R2223</f>
      </c>
      <c r="U2223" s="7">
        <f>Q2223</f>
      </c>
      <c r="V2223" s="7">
        <f>($C$14+($C$15-$C$14)/($D$15-$D$14)*(I2223-$D$14))/2</f>
      </c>
      <c r="W2223" s="7">
        <f>($B$22*I2223^4+$C$22*I2223^3+$D$22*I2223^2+$E$22*I2223+$F$22)/2</f>
      </c>
      <c r="X2223" s="7">
        <f>($W2223)*(T2223)</f>
      </c>
      <c r="Y2223" s="7">
        <f>($W2223)*(U2223)</f>
      </c>
      <c r="Z2223" s="7">
        <f>SQRT(X2223^2+Y2223^2)</f>
      </c>
      <c r="AA2223" s="7">
        <f>$K2223+$X2223</f>
      </c>
      <c r="AB2223" s="7">
        <f>$L2223+$Y2223</f>
      </c>
      <c r="AC2223" s="7">
        <f>$K2223-$X2223</f>
      </c>
      <c r="AD2223" s="7">
        <f>$L2223-$Y2223</f>
      </c>
      <c r="AE2223" s="7">
        <f>AA2223/39.3701</f>
      </c>
      <c r="AF2223" s="7">
        <f>AB2223/39.3701</f>
      </c>
      <c r="AG2223" s="7">
        <f>AC2223/39.3701</f>
      </c>
      <c r="AH2223" s="7">
        <f>AD2223/39.3701</f>
      </c>
      <c r="AI2223" s="1"/>
      <c r="AJ2223" s="1"/>
      <c r="AK2223" s="1"/>
      <c r="AL2223" s="1"/>
      <c r="AM2223" s="2"/>
      <c r="AN2223" s="1"/>
      <c r="AO2223" s="1"/>
      <c r="AP2223" s="1"/>
      <c r="AQ2223" s="1"/>
      <c r="AR2223" s="1"/>
      <c r="AS2223" s="1"/>
      <c r="AT2223" s="1"/>
      <c r="AU2223" s="1"/>
      <c r="AV2223" s="1"/>
      <c r="AW2223" s="1"/>
      <c r="AX2223" s="1"/>
      <c r="AY2223" s="1"/>
      <c r="AZ2223" s="1"/>
      <c r="BA2223" s="1"/>
      <c r="BB2223" s="1"/>
      <c r="BC2223" s="1"/>
      <c r="BD2223" s="1"/>
      <c r="BE2223" s="1"/>
    </row>
    <row x14ac:dyDescent="0.25" r="2224" customHeight="1" ht="18.75">
      <c r="A2224" s="1"/>
      <c r="B2224" s="2"/>
      <c r="C2224" s="2"/>
      <c r="D2224" s="2"/>
      <c r="E2224" s="2"/>
      <c r="F2224" s="2"/>
      <c r="G2224" s="1"/>
      <c r="H2224" s="1"/>
      <c r="I2224" s="7">
        <v>2.221</v>
      </c>
      <c r="J2224" s="7">
        <f>IF((I2224-ROUNDDOWN(I2224,0))=0, 0, (I2224-ROUNDDOWN(I2224,0)))</f>
      </c>
      <c r="K2224" s="7">
        <f>INDIRECT("C$"&amp;2+MIN(2,ROUNDDOWN(I2224,0))*3)*(-$J2224^3+3*$J2224^2-3*$J2224+1)+INDIRECT("C$"&amp;3+MIN(2,ROUNDDOWN(I2224,0))*3)*(3*$J2224^3-6*$J2224^2+3*$J2224)+INDIRECT("C$"&amp;4+MIN(2,ROUNDDOWN(I2224,0))*3)*(-3*$J2224^3+3*$J2224^2)+INDIRECT("C$"&amp;5+MIN(2,ROUNDDOWN(I2224,0))*3)*$J2224^3</f>
      </c>
      <c r="L2224" s="7">
        <f>INDIRECT("D$"&amp;2+MIN(2,ROUNDDOWN(I2224,0))*3)*(-$J2224^3+3*$J2224^2-3*$J2224+1)+INDIRECT("D$"&amp;3+MIN(2,ROUNDDOWN(I2224,0))*3)*(3*$J2224^3-6*$J2224^2+3*$J2224)+INDIRECT("D$"&amp;4+MIN(2,ROUNDDOWN(I2224,0))*3)*(-3*$J2224^3+3*$J2224^2)+INDIRECT("D$"&amp;5+MIN(2,ROUNDDOWN(I2224,0))*3)*$J2224^3</f>
      </c>
      <c r="M2224" s="7">
        <f>SQRT(K2224^2+L2224^2)</f>
      </c>
      <c r="N2224" s="7">
        <f>(K2225-K2223)</f>
      </c>
      <c r="O2224" s="7">
        <f>+(L2225-L2223)</f>
      </c>
      <c r="P2224" s="7">
        <f>SQRT(O2224^2+N2224^2)</f>
      </c>
      <c r="Q2224" s="7">
        <f>N2224/$P2224</f>
      </c>
      <c r="R2224" s="7">
        <f>O2224/$P2224</f>
      </c>
      <c r="S2224" s="7">
        <f>Q2224^2+R2224^2</f>
      </c>
      <c r="T2224" s="7">
        <f>-R2224</f>
      </c>
      <c r="U2224" s="7">
        <f>Q2224</f>
      </c>
      <c r="V2224" s="7">
        <f>($C$14+($C$15-$C$14)/($D$15-$D$14)*(I2224-$D$14))/2</f>
      </c>
      <c r="W2224" s="7">
        <f>($B$22*I2224^4+$C$22*I2224^3+$D$22*I2224^2+$E$22*I2224+$F$22)/2</f>
      </c>
      <c r="X2224" s="7">
        <f>($W2224)*(T2224)</f>
      </c>
      <c r="Y2224" s="7">
        <f>($W2224)*(U2224)</f>
      </c>
      <c r="Z2224" s="7">
        <f>SQRT(X2224^2+Y2224^2)</f>
      </c>
      <c r="AA2224" s="7">
        <f>$K2224+$X2224</f>
      </c>
      <c r="AB2224" s="7">
        <f>$L2224+$Y2224</f>
      </c>
      <c r="AC2224" s="7">
        <f>$K2224-$X2224</f>
      </c>
      <c r="AD2224" s="7">
        <f>$L2224-$Y2224</f>
      </c>
      <c r="AE2224" s="7">
        <f>AA2224/39.3701</f>
      </c>
      <c r="AF2224" s="7">
        <f>AB2224/39.3701</f>
      </c>
      <c r="AG2224" s="7">
        <f>AC2224/39.3701</f>
      </c>
      <c r="AH2224" s="7">
        <f>AD2224/39.3701</f>
      </c>
      <c r="AI2224" s="1"/>
      <c r="AJ2224" s="1"/>
      <c r="AK2224" s="1"/>
      <c r="AL2224" s="1"/>
      <c r="AM2224" s="2"/>
      <c r="AN2224" s="1"/>
      <c r="AO2224" s="1"/>
      <c r="AP2224" s="1"/>
      <c r="AQ2224" s="1"/>
      <c r="AR2224" s="1"/>
      <c r="AS2224" s="1"/>
      <c r="AT2224" s="1"/>
      <c r="AU2224" s="1"/>
      <c r="AV2224" s="1"/>
      <c r="AW2224" s="1"/>
      <c r="AX2224" s="1"/>
      <c r="AY2224" s="1"/>
      <c r="AZ2224" s="1"/>
      <c r="BA2224" s="1"/>
      <c r="BB2224" s="1"/>
      <c r="BC2224" s="1"/>
      <c r="BD2224" s="1"/>
      <c r="BE2224" s="1"/>
    </row>
    <row x14ac:dyDescent="0.25" r="2225" customHeight="1" ht="18.75">
      <c r="A2225" s="1"/>
      <c r="B2225" s="2"/>
      <c r="C2225" s="2"/>
      <c r="D2225" s="2"/>
      <c r="E2225" s="2"/>
      <c r="F2225" s="2"/>
      <c r="G2225" s="1"/>
      <c r="H2225" s="1"/>
      <c r="I2225" s="7">
        <v>2.222</v>
      </c>
      <c r="J2225" s="7">
        <f>IF((I2225-ROUNDDOWN(I2225,0))=0, 0, (I2225-ROUNDDOWN(I2225,0)))</f>
      </c>
      <c r="K2225" s="7">
        <f>INDIRECT("C$"&amp;2+MIN(2,ROUNDDOWN(I2225,0))*3)*(-$J2225^3+3*$J2225^2-3*$J2225+1)+INDIRECT("C$"&amp;3+MIN(2,ROUNDDOWN(I2225,0))*3)*(3*$J2225^3-6*$J2225^2+3*$J2225)+INDIRECT("C$"&amp;4+MIN(2,ROUNDDOWN(I2225,0))*3)*(-3*$J2225^3+3*$J2225^2)+INDIRECT("C$"&amp;5+MIN(2,ROUNDDOWN(I2225,0))*3)*$J2225^3</f>
      </c>
      <c r="L2225" s="7">
        <f>INDIRECT("D$"&amp;2+MIN(2,ROUNDDOWN(I2225,0))*3)*(-$J2225^3+3*$J2225^2-3*$J2225+1)+INDIRECT("D$"&amp;3+MIN(2,ROUNDDOWN(I2225,0))*3)*(3*$J2225^3-6*$J2225^2+3*$J2225)+INDIRECT("D$"&amp;4+MIN(2,ROUNDDOWN(I2225,0))*3)*(-3*$J2225^3+3*$J2225^2)+INDIRECT("D$"&amp;5+MIN(2,ROUNDDOWN(I2225,0))*3)*$J2225^3</f>
      </c>
      <c r="M2225" s="7">
        <f>SQRT(K2225^2+L2225^2)</f>
      </c>
      <c r="N2225" s="7">
        <f>(K2226-K2224)</f>
      </c>
      <c r="O2225" s="7">
        <f>+(L2226-L2224)</f>
      </c>
      <c r="P2225" s="7">
        <f>SQRT(O2225^2+N2225^2)</f>
      </c>
      <c r="Q2225" s="7">
        <f>N2225/$P2225</f>
      </c>
      <c r="R2225" s="7">
        <f>O2225/$P2225</f>
      </c>
      <c r="S2225" s="8">
        <f>Q2225^2+R2225^2</f>
      </c>
      <c r="T2225" s="7">
        <f>-R2225</f>
      </c>
      <c r="U2225" s="7">
        <f>Q2225</f>
      </c>
      <c r="V2225" s="7">
        <f>($C$14+($C$15-$C$14)/($D$15-$D$14)*(I2225-$D$14))/2</f>
      </c>
      <c r="W2225" s="7">
        <f>($B$22*I2225^4+$C$22*I2225^3+$D$22*I2225^2+$E$22*I2225+$F$22)/2</f>
      </c>
      <c r="X2225" s="7">
        <f>($W2225)*(T2225)</f>
      </c>
      <c r="Y2225" s="7">
        <f>($W2225)*(U2225)</f>
      </c>
      <c r="Z2225" s="7">
        <f>SQRT(X2225^2+Y2225^2)</f>
      </c>
      <c r="AA2225" s="7">
        <f>$K2225+$X2225</f>
      </c>
      <c r="AB2225" s="7">
        <f>$L2225+$Y2225</f>
      </c>
      <c r="AC2225" s="7">
        <f>$K2225-$X2225</f>
      </c>
      <c r="AD2225" s="7">
        <f>$L2225-$Y2225</f>
      </c>
      <c r="AE2225" s="7">
        <f>AA2225/39.3701</f>
      </c>
      <c r="AF2225" s="7">
        <f>AB2225/39.3701</f>
      </c>
      <c r="AG2225" s="7">
        <f>AC2225/39.3701</f>
      </c>
      <c r="AH2225" s="7">
        <f>AD2225/39.3701</f>
      </c>
      <c r="AI2225" s="1"/>
      <c r="AJ2225" s="1"/>
      <c r="AK2225" s="1"/>
      <c r="AL2225" s="1"/>
      <c r="AM2225" s="2"/>
      <c r="AN2225" s="1"/>
      <c r="AO2225" s="1"/>
      <c r="AP2225" s="1"/>
      <c r="AQ2225" s="1"/>
      <c r="AR2225" s="1"/>
      <c r="AS2225" s="1"/>
      <c r="AT2225" s="1"/>
      <c r="AU2225" s="1"/>
      <c r="AV2225" s="1"/>
      <c r="AW2225" s="1"/>
      <c r="AX2225" s="1"/>
      <c r="AY2225" s="1"/>
      <c r="AZ2225" s="1"/>
      <c r="BA2225" s="1"/>
      <c r="BB2225" s="1"/>
      <c r="BC2225" s="1"/>
      <c r="BD2225" s="1"/>
      <c r="BE2225" s="1"/>
    </row>
    <row x14ac:dyDescent="0.25" r="2226" customHeight="1" ht="18.75">
      <c r="A2226" s="1"/>
      <c r="B2226" s="2"/>
      <c r="C2226" s="2"/>
      <c r="D2226" s="2"/>
      <c r="E2226" s="2"/>
      <c r="F2226" s="2"/>
      <c r="G2226" s="1"/>
      <c r="H2226" s="1"/>
      <c r="I2226" s="7">
        <v>2.223</v>
      </c>
      <c r="J2226" s="7">
        <f>IF((I2226-ROUNDDOWN(I2226,0))=0, 0, (I2226-ROUNDDOWN(I2226,0)))</f>
      </c>
      <c r="K2226" s="7">
        <f>INDIRECT("C$"&amp;2+MIN(2,ROUNDDOWN(I2226,0))*3)*(-$J2226^3+3*$J2226^2-3*$J2226+1)+INDIRECT("C$"&amp;3+MIN(2,ROUNDDOWN(I2226,0))*3)*(3*$J2226^3-6*$J2226^2+3*$J2226)+INDIRECT("C$"&amp;4+MIN(2,ROUNDDOWN(I2226,0))*3)*(-3*$J2226^3+3*$J2226^2)+INDIRECT("C$"&amp;5+MIN(2,ROUNDDOWN(I2226,0))*3)*$J2226^3</f>
      </c>
      <c r="L2226" s="7">
        <f>INDIRECT("D$"&amp;2+MIN(2,ROUNDDOWN(I2226,0))*3)*(-$J2226^3+3*$J2226^2-3*$J2226+1)+INDIRECT("D$"&amp;3+MIN(2,ROUNDDOWN(I2226,0))*3)*(3*$J2226^3-6*$J2226^2+3*$J2226)+INDIRECT("D$"&amp;4+MIN(2,ROUNDDOWN(I2226,0))*3)*(-3*$J2226^3+3*$J2226^2)+INDIRECT("D$"&amp;5+MIN(2,ROUNDDOWN(I2226,0))*3)*$J2226^3</f>
      </c>
      <c r="M2226" s="7">
        <f>SQRT(K2226^2+L2226^2)</f>
      </c>
      <c r="N2226" s="7">
        <f>(K2227-K2225)</f>
      </c>
      <c r="O2226" s="7">
        <f>+(L2227-L2225)</f>
      </c>
      <c r="P2226" s="7">
        <f>SQRT(O2226^2+N2226^2)</f>
      </c>
      <c r="Q2226" s="7">
        <f>N2226/$P2226</f>
      </c>
      <c r="R2226" s="7">
        <f>O2226/$P2226</f>
      </c>
      <c r="S2226" s="8">
        <f>Q2226^2+R2226^2</f>
      </c>
      <c r="T2226" s="7">
        <f>-R2226</f>
      </c>
      <c r="U2226" s="7">
        <f>Q2226</f>
      </c>
      <c r="V2226" s="7">
        <f>($C$14+($C$15-$C$14)/($D$15-$D$14)*(I2226-$D$14))/2</f>
      </c>
      <c r="W2226" s="7">
        <f>($B$22*I2226^4+$C$22*I2226^3+$D$22*I2226^2+$E$22*I2226+$F$22)/2</f>
      </c>
      <c r="X2226" s="7">
        <f>($W2226)*(T2226)</f>
      </c>
      <c r="Y2226" s="7">
        <f>($W2226)*(U2226)</f>
      </c>
      <c r="Z2226" s="7">
        <f>SQRT(X2226^2+Y2226^2)</f>
      </c>
      <c r="AA2226" s="7">
        <f>$K2226+$X2226</f>
      </c>
      <c r="AB2226" s="7">
        <f>$L2226+$Y2226</f>
      </c>
      <c r="AC2226" s="7">
        <f>$K2226-$X2226</f>
      </c>
      <c r="AD2226" s="7">
        <f>$L2226-$Y2226</f>
      </c>
      <c r="AE2226" s="7">
        <f>AA2226/39.3701</f>
      </c>
      <c r="AF2226" s="7">
        <f>AB2226/39.3701</f>
      </c>
      <c r="AG2226" s="7">
        <f>AC2226/39.3701</f>
      </c>
      <c r="AH2226" s="7">
        <f>AD2226/39.3701</f>
      </c>
      <c r="AI2226" s="1"/>
      <c r="AJ2226" s="1"/>
      <c r="AK2226" s="1"/>
      <c r="AL2226" s="1"/>
      <c r="AM2226" s="2"/>
      <c r="AN2226" s="1"/>
      <c r="AO2226" s="1"/>
      <c r="AP2226" s="1"/>
      <c r="AQ2226" s="1"/>
      <c r="AR2226" s="1"/>
      <c r="AS2226" s="1"/>
      <c r="AT2226" s="1"/>
      <c r="AU2226" s="1"/>
      <c r="AV2226" s="1"/>
      <c r="AW2226" s="1"/>
      <c r="AX2226" s="1"/>
      <c r="AY2226" s="1"/>
      <c r="AZ2226" s="1"/>
      <c r="BA2226" s="1"/>
      <c r="BB2226" s="1"/>
      <c r="BC2226" s="1"/>
      <c r="BD2226" s="1"/>
      <c r="BE2226" s="1"/>
    </row>
    <row x14ac:dyDescent="0.25" r="2227" customHeight="1" ht="18.75">
      <c r="A2227" s="1"/>
      <c r="B2227" s="2"/>
      <c r="C2227" s="2"/>
      <c r="D2227" s="2"/>
      <c r="E2227" s="2"/>
      <c r="F2227" s="2"/>
      <c r="G2227" s="1"/>
      <c r="H2227" s="1"/>
      <c r="I2227" s="7">
        <v>2.224</v>
      </c>
      <c r="J2227" s="7">
        <f>IF((I2227-ROUNDDOWN(I2227,0))=0, 0, (I2227-ROUNDDOWN(I2227,0)))</f>
      </c>
      <c r="K2227" s="7">
        <f>INDIRECT("C$"&amp;2+MIN(2,ROUNDDOWN(I2227,0))*3)*(-$J2227^3+3*$J2227^2-3*$J2227+1)+INDIRECT("C$"&amp;3+MIN(2,ROUNDDOWN(I2227,0))*3)*(3*$J2227^3-6*$J2227^2+3*$J2227)+INDIRECT("C$"&amp;4+MIN(2,ROUNDDOWN(I2227,0))*3)*(-3*$J2227^3+3*$J2227^2)+INDIRECT("C$"&amp;5+MIN(2,ROUNDDOWN(I2227,0))*3)*$J2227^3</f>
      </c>
      <c r="L2227" s="7">
        <f>INDIRECT("D$"&amp;2+MIN(2,ROUNDDOWN(I2227,0))*3)*(-$J2227^3+3*$J2227^2-3*$J2227+1)+INDIRECT("D$"&amp;3+MIN(2,ROUNDDOWN(I2227,0))*3)*(3*$J2227^3-6*$J2227^2+3*$J2227)+INDIRECT("D$"&amp;4+MIN(2,ROUNDDOWN(I2227,0))*3)*(-3*$J2227^3+3*$J2227^2)+INDIRECT("D$"&amp;5+MIN(2,ROUNDDOWN(I2227,0))*3)*$J2227^3</f>
      </c>
      <c r="M2227" s="7">
        <f>SQRT(K2227^2+L2227^2)</f>
      </c>
      <c r="N2227" s="7">
        <f>(K2228-K2226)</f>
      </c>
      <c r="O2227" s="7">
        <f>+(L2228-L2226)</f>
      </c>
      <c r="P2227" s="7">
        <f>SQRT(O2227^2+N2227^2)</f>
      </c>
      <c r="Q2227" s="7">
        <f>N2227/$P2227</f>
      </c>
      <c r="R2227" s="7">
        <f>O2227/$P2227</f>
      </c>
      <c r="S2227" s="7">
        <f>Q2227^2+R2227^2</f>
      </c>
      <c r="T2227" s="7">
        <f>-R2227</f>
      </c>
      <c r="U2227" s="7">
        <f>Q2227</f>
      </c>
      <c r="V2227" s="7">
        <f>($C$14+($C$15-$C$14)/($D$15-$D$14)*(I2227-$D$14))/2</f>
      </c>
      <c r="W2227" s="7">
        <f>($B$22*I2227^4+$C$22*I2227^3+$D$22*I2227^2+$E$22*I2227+$F$22)/2</f>
      </c>
      <c r="X2227" s="7">
        <f>($W2227)*(T2227)</f>
      </c>
      <c r="Y2227" s="7">
        <f>($W2227)*(U2227)</f>
      </c>
      <c r="Z2227" s="7">
        <f>SQRT(X2227^2+Y2227^2)</f>
      </c>
      <c r="AA2227" s="7">
        <f>$K2227+$X2227</f>
      </c>
      <c r="AB2227" s="7">
        <f>$L2227+$Y2227</f>
      </c>
      <c r="AC2227" s="7">
        <f>$K2227-$X2227</f>
      </c>
      <c r="AD2227" s="7">
        <f>$L2227-$Y2227</f>
      </c>
      <c r="AE2227" s="7">
        <f>AA2227/39.3701</f>
      </c>
      <c r="AF2227" s="7">
        <f>AB2227/39.3701</f>
      </c>
      <c r="AG2227" s="7">
        <f>AC2227/39.3701</f>
      </c>
      <c r="AH2227" s="7">
        <f>AD2227/39.3701</f>
      </c>
      <c r="AI2227" s="1"/>
      <c r="AJ2227" s="1"/>
      <c r="AK2227" s="1"/>
      <c r="AL2227" s="1"/>
      <c r="AM2227" s="2"/>
      <c r="AN2227" s="1"/>
      <c r="AO2227" s="1"/>
      <c r="AP2227" s="1"/>
      <c r="AQ2227" s="1"/>
      <c r="AR2227" s="1"/>
      <c r="AS2227" s="1"/>
      <c r="AT2227" s="1"/>
      <c r="AU2227" s="1"/>
      <c r="AV2227" s="1"/>
      <c r="AW2227" s="1"/>
      <c r="AX2227" s="1"/>
      <c r="AY2227" s="1"/>
      <c r="AZ2227" s="1"/>
      <c r="BA2227" s="1"/>
      <c r="BB2227" s="1"/>
      <c r="BC2227" s="1"/>
      <c r="BD2227" s="1"/>
      <c r="BE2227" s="1"/>
    </row>
    <row x14ac:dyDescent="0.25" r="2228" customHeight="1" ht="18.75">
      <c r="A2228" s="1"/>
      <c r="B2228" s="2"/>
      <c r="C2228" s="2"/>
      <c r="D2228" s="2"/>
      <c r="E2228" s="2"/>
      <c r="F2228" s="2"/>
      <c r="G2228" s="1"/>
      <c r="H2228" s="1"/>
      <c r="I2228" s="7">
        <v>2.225</v>
      </c>
      <c r="J2228" s="7">
        <f>IF((I2228-ROUNDDOWN(I2228,0))=0, 0, (I2228-ROUNDDOWN(I2228,0)))</f>
      </c>
      <c r="K2228" s="7">
        <f>INDIRECT("C$"&amp;2+MIN(2,ROUNDDOWN(I2228,0))*3)*(-$J2228^3+3*$J2228^2-3*$J2228+1)+INDIRECT("C$"&amp;3+MIN(2,ROUNDDOWN(I2228,0))*3)*(3*$J2228^3-6*$J2228^2+3*$J2228)+INDIRECT("C$"&amp;4+MIN(2,ROUNDDOWN(I2228,0))*3)*(-3*$J2228^3+3*$J2228^2)+INDIRECT("C$"&amp;5+MIN(2,ROUNDDOWN(I2228,0))*3)*$J2228^3</f>
      </c>
      <c r="L2228" s="7">
        <f>INDIRECT("D$"&amp;2+MIN(2,ROUNDDOWN(I2228,0))*3)*(-$J2228^3+3*$J2228^2-3*$J2228+1)+INDIRECT("D$"&amp;3+MIN(2,ROUNDDOWN(I2228,0))*3)*(3*$J2228^3-6*$J2228^2+3*$J2228)+INDIRECT("D$"&amp;4+MIN(2,ROUNDDOWN(I2228,0))*3)*(-3*$J2228^3+3*$J2228^2)+INDIRECT("D$"&amp;5+MIN(2,ROUNDDOWN(I2228,0))*3)*$J2228^3</f>
      </c>
      <c r="M2228" s="7">
        <f>SQRT(K2228^2+L2228^2)</f>
      </c>
      <c r="N2228" s="7">
        <f>(K2229-K2227)</f>
      </c>
      <c r="O2228" s="7">
        <f>+(L2229-L2227)</f>
      </c>
      <c r="P2228" s="7">
        <f>SQRT(O2228^2+N2228^2)</f>
      </c>
      <c r="Q2228" s="7">
        <f>N2228/$P2228</f>
      </c>
      <c r="R2228" s="7">
        <f>O2228/$P2228</f>
      </c>
      <c r="S2228" s="7">
        <f>Q2228^2+R2228^2</f>
      </c>
      <c r="T2228" s="7">
        <f>-R2228</f>
      </c>
      <c r="U2228" s="7">
        <f>Q2228</f>
      </c>
      <c r="V2228" s="7">
        <f>($C$14+($C$15-$C$14)/($D$15-$D$14)*(I2228-$D$14))/2</f>
      </c>
      <c r="W2228" s="7">
        <f>($B$22*I2228^4+$C$22*I2228^3+$D$22*I2228^2+$E$22*I2228+$F$22)/2</f>
      </c>
      <c r="X2228" s="7">
        <f>($W2228)*(T2228)</f>
      </c>
      <c r="Y2228" s="7">
        <f>($W2228)*(U2228)</f>
      </c>
      <c r="Z2228" s="7">
        <f>SQRT(X2228^2+Y2228^2)</f>
      </c>
      <c r="AA2228" s="7">
        <f>$K2228+$X2228</f>
      </c>
      <c r="AB2228" s="7">
        <f>$L2228+$Y2228</f>
      </c>
      <c r="AC2228" s="7">
        <f>$K2228-$X2228</f>
      </c>
      <c r="AD2228" s="7">
        <f>$L2228-$Y2228</f>
      </c>
      <c r="AE2228" s="7">
        <f>AA2228/39.3701</f>
      </c>
      <c r="AF2228" s="7">
        <f>AB2228/39.3701</f>
      </c>
      <c r="AG2228" s="7">
        <f>AC2228/39.3701</f>
      </c>
      <c r="AH2228" s="7">
        <f>AD2228/39.3701</f>
      </c>
      <c r="AI2228" s="1"/>
      <c r="AJ2228" s="1"/>
      <c r="AK2228" s="1"/>
      <c r="AL2228" s="1"/>
      <c r="AM2228" s="2"/>
      <c r="AN2228" s="1"/>
      <c r="AO2228" s="1"/>
      <c r="AP2228" s="1"/>
      <c r="AQ2228" s="1"/>
      <c r="AR2228" s="1"/>
      <c r="AS2228" s="1"/>
      <c r="AT2228" s="1"/>
      <c r="AU2228" s="1"/>
      <c r="AV2228" s="1"/>
      <c r="AW2228" s="1"/>
      <c r="AX2228" s="1"/>
      <c r="AY2228" s="1"/>
      <c r="AZ2228" s="1"/>
      <c r="BA2228" s="1"/>
      <c r="BB2228" s="1"/>
      <c r="BC2228" s="1"/>
      <c r="BD2228" s="1"/>
      <c r="BE2228" s="1"/>
    </row>
    <row x14ac:dyDescent="0.25" r="2229" customHeight="1" ht="18.75">
      <c r="A2229" s="1"/>
      <c r="B2229" s="2"/>
      <c r="C2229" s="2"/>
      <c r="D2229" s="2"/>
      <c r="E2229" s="2"/>
      <c r="F2229" s="2"/>
      <c r="G2229" s="1"/>
      <c r="H2229" s="1"/>
      <c r="I2229" s="7">
        <v>2.226</v>
      </c>
      <c r="J2229" s="7">
        <f>IF((I2229-ROUNDDOWN(I2229,0))=0, 0, (I2229-ROUNDDOWN(I2229,0)))</f>
      </c>
      <c r="K2229" s="7">
        <f>INDIRECT("C$"&amp;2+MIN(2,ROUNDDOWN(I2229,0))*3)*(-$J2229^3+3*$J2229^2-3*$J2229+1)+INDIRECT("C$"&amp;3+MIN(2,ROUNDDOWN(I2229,0))*3)*(3*$J2229^3-6*$J2229^2+3*$J2229)+INDIRECT("C$"&amp;4+MIN(2,ROUNDDOWN(I2229,0))*3)*(-3*$J2229^3+3*$J2229^2)+INDIRECT("C$"&amp;5+MIN(2,ROUNDDOWN(I2229,0))*3)*$J2229^3</f>
      </c>
      <c r="L2229" s="7">
        <f>INDIRECT("D$"&amp;2+MIN(2,ROUNDDOWN(I2229,0))*3)*(-$J2229^3+3*$J2229^2-3*$J2229+1)+INDIRECT("D$"&amp;3+MIN(2,ROUNDDOWN(I2229,0))*3)*(3*$J2229^3-6*$J2229^2+3*$J2229)+INDIRECT("D$"&amp;4+MIN(2,ROUNDDOWN(I2229,0))*3)*(-3*$J2229^3+3*$J2229^2)+INDIRECT("D$"&amp;5+MIN(2,ROUNDDOWN(I2229,0))*3)*$J2229^3</f>
      </c>
      <c r="M2229" s="7">
        <f>SQRT(K2229^2+L2229^2)</f>
      </c>
      <c r="N2229" s="7">
        <f>(K2230-K2228)</f>
      </c>
      <c r="O2229" s="7">
        <f>+(L2230-L2228)</f>
      </c>
      <c r="P2229" s="7">
        <f>SQRT(O2229^2+N2229^2)</f>
      </c>
      <c r="Q2229" s="7">
        <f>N2229/$P2229</f>
      </c>
      <c r="R2229" s="7">
        <f>O2229/$P2229</f>
      </c>
      <c r="S2229" s="7">
        <f>Q2229^2+R2229^2</f>
      </c>
      <c r="T2229" s="7">
        <f>-R2229</f>
      </c>
      <c r="U2229" s="7">
        <f>Q2229</f>
      </c>
      <c r="V2229" s="7">
        <f>($C$14+($C$15-$C$14)/($D$15-$D$14)*(I2229-$D$14))/2</f>
      </c>
      <c r="W2229" s="7">
        <f>($B$22*I2229^4+$C$22*I2229^3+$D$22*I2229^2+$E$22*I2229+$F$22)/2</f>
      </c>
      <c r="X2229" s="7">
        <f>($W2229)*(T2229)</f>
      </c>
      <c r="Y2229" s="7">
        <f>($W2229)*(U2229)</f>
      </c>
      <c r="Z2229" s="7">
        <f>SQRT(X2229^2+Y2229^2)</f>
      </c>
      <c r="AA2229" s="7">
        <f>$K2229+$X2229</f>
      </c>
      <c r="AB2229" s="7">
        <f>$L2229+$Y2229</f>
      </c>
      <c r="AC2229" s="7">
        <f>$K2229-$X2229</f>
      </c>
      <c r="AD2229" s="7">
        <f>$L2229-$Y2229</f>
      </c>
      <c r="AE2229" s="7">
        <f>AA2229/39.3701</f>
      </c>
      <c r="AF2229" s="7">
        <f>AB2229/39.3701</f>
      </c>
      <c r="AG2229" s="7">
        <f>AC2229/39.3701</f>
      </c>
      <c r="AH2229" s="7">
        <f>AD2229/39.3701</f>
      </c>
      <c r="AI2229" s="1"/>
      <c r="AJ2229" s="1"/>
      <c r="AK2229" s="1"/>
      <c r="AL2229" s="1"/>
      <c r="AM2229" s="2"/>
      <c r="AN2229" s="1"/>
      <c r="AO2229" s="1"/>
      <c r="AP2229" s="1"/>
      <c r="AQ2229" s="1"/>
      <c r="AR2229" s="1"/>
      <c r="AS2229" s="1"/>
      <c r="AT2229" s="1"/>
      <c r="AU2229" s="1"/>
      <c r="AV2229" s="1"/>
      <c r="AW2229" s="1"/>
      <c r="AX2229" s="1"/>
      <c r="AY2229" s="1"/>
      <c r="AZ2229" s="1"/>
      <c r="BA2229" s="1"/>
      <c r="BB2229" s="1"/>
      <c r="BC2229" s="1"/>
      <c r="BD2229" s="1"/>
      <c r="BE2229" s="1"/>
    </row>
    <row x14ac:dyDescent="0.25" r="2230" customHeight="1" ht="18.75">
      <c r="A2230" s="1"/>
      <c r="B2230" s="2"/>
      <c r="C2230" s="2"/>
      <c r="D2230" s="2"/>
      <c r="E2230" s="2"/>
      <c r="F2230" s="2"/>
      <c r="G2230" s="1"/>
      <c r="H2230" s="1"/>
      <c r="I2230" s="7">
        <v>2.227</v>
      </c>
      <c r="J2230" s="7">
        <f>IF((I2230-ROUNDDOWN(I2230,0))=0, 0, (I2230-ROUNDDOWN(I2230,0)))</f>
      </c>
      <c r="K2230" s="7">
        <f>INDIRECT("C$"&amp;2+MIN(2,ROUNDDOWN(I2230,0))*3)*(-$J2230^3+3*$J2230^2-3*$J2230+1)+INDIRECT("C$"&amp;3+MIN(2,ROUNDDOWN(I2230,0))*3)*(3*$J2230^3-6*$J2230^2+3*$J2230)+INDIRECT("C$"&amp;4+MIN(2,ROUNDDOWN(I2230,0))*3)*(-3*$J2230^3+3*$J2230^2)+INDIRECT("C$"&amp;5+MIN(2,ROUNDDOWN(I2230,0))*3)*$J2230^3</f>
      </c>
      <c r="L2230" s="7">
        <f>INDIRECT("D$"&amp;2+MIN(2,ROUNDDOWN(I2230,0))*3)*(-$J2230^3+3*$J2230^2-3*$J2230+1)+INDIRECT("D$"&amp;3+MIN(2,ROUNDDOWN(I2230,0))*3)*(3*$J2230^3-6*$J2230^2+3*$J2230)+INDIRECT("D$"&amp;4+MIN(2,ROUNDDOWN(I2230,0))*3)*(-3*$J2230^3+3*$J2230^2)+INDIRECT("D$"&amp;5+MIN(2,ROUNDDOWN(I2230,0))*3)*$J2230^3</f>
      </c>
      <c r="M2230" s="7">
        <f>SQRT(K2230^2+L2230^2)</f>
      </c>
      <c r="N2230" s="7">
        <f>(K2231-K2229)</f>
      </c>
      <c r="O2230" s="7">
        <f>+(L2231-L2229)</f>
      </c>
      <c r="P2230" s="7">
        <f>SQRT(O2230^2+N2230^2)</f>
      </c>
      <c r="Q2230" s="7">
        <f>N2230/$P2230</f>
      </c>
      <c r="R2230" s="7">
        <f>O2230/$P2230</f>
      </c>
      <c r="S2230" s="7">
        <f>Q2230^2+R2230^2</f>
      </c>
      <c r="T2230" s="7">
        <f>-R2230</f>
      </c>
      <c r="U2230" s="7">
        <f>Q2230</f>
      </c>
      <c r="V2230" s="7">
        <f>($C$14+($C$15-$C$14)/($D$15-$D$14)*(I2230-$D$14))/2</f>
      </c>
      <c r="W2230" s="7">
        <f>($B$22*I2230^4+$C$22*I2230^3+$D$22*I2230^2+$E$22*I2230+$F$22)/2</f>
      </c>
      <c r="X2230" s="7">
        <f>($W2230)*(T2230)</f>
      </c>
      <c r="Y2230" s="7">
        <f>($W2230)*(U2230)</f>
      </c>
      <c r="Z2230" s="7">
        <f>SQRT(X2230^2+Y2230^2)</f>
      </c>
      <c r="AA2230" s="7">
        <f>$K2230+$X2230</f>
      </c>
      <c r="AB2230" s="7">
        <f>$L2230+$Y2230</f>
      </c>
      <c r="AC2230" s="7">
        <f>$K2230-$X2230</f>
      </c>
      <c r="AD2230" s="7">
        <f>$L2230-$Y2230</f>
      </c>
      <c r="AE2230" s="7">
        <f>AA2230/39.3701</f>
      </c>
      <c r="AF2230" s="7">
        <f>AB2230/39.3701</f>
      </c>
      <c r="AG2230" s="7">
        <f>AC2230/39.3701</f>
      </c>
      <c r="AH2230" s="7">
        <f>AD2230/39.3701</f>
      </c>
      <c r="AI2230" s="1"/>
      <c r="AJ2230" s="1"/>
      <c r="AK2230" s="1"/>
      <c r="AL2230" s="1"/>
      <c r="AM2230" s="2"/>
      <c r="AN2230" s="1"/>
      <c r="AO2230" s="1"/>
      <c r="AP2230" s="1"/>
      <c r="AQ2230" s="1"/>
      <c r="AR2230" s="1"/>
      <c r="AS2230" s="1"/>
      <c r="AT2230" s="1"/>
      <c r="AU2230" s="1"/>
      <c r="AV2230" s="1"/>
      <c r="AW2230" s="1"/>
      <c r="AX2230" s="1"/>
      <c r="AY2230" s="1"/>
      <c r="AZ2230" s="1"/>
      <c r="BA2230" s="1"/>
      <c r="BB2230" s="1"/>
      <c r="BC2230" s="1"/>
      <c r="BD2230" s="1"/>
      <c r="BE2230" s="1"/>
    </row>
    <row x14ac:dyDescent="0.25" r="2231" customHeight="1" ht="18.75">
      <c r="A2231" s="1"/>
      <c r="B2231" s="2"/>
      <c r="C2231" s="2"/>
      <c r="D2231" s="2"/>
      <c r="E2231" s="2"/>
      <c r="F2231" s="2"/>
      <c r="G2231" s="1"/>
      <c r="H2231" s="1"/>
      <c r="I2231" s="7">
        <v>2.228</v>
      </c>
      <c r="J2231" s="7">
        <f>IF((I2231-ROUNDDOWN(I2231,0))=0, 0, (I2231-ROUNDDOWN(I2231,0)))</f>
      </c>
      <c r="K2231" s="7">
        <f>INDIRECT("C$"&amp;2+MIN(2,ROUNDDOWN(I2231,0))*3)*(-$J2231^3+3*$J2231^2-3*$J2231+1)+INDIRECT("C$"&amp;3+MIN(2,ROUNDDOWN(I2231,0))*3)*(3*$J2231^3-6*$J2231^2+3*$J2231)+INDIRECT("C$"&amp;4+MIN(2,ROUNDDOWN(I2231,0))*3)*(-3*$J2231^3+3*$J2231^2)+INDIRECT("C$"&amp;5+MIN(2,ROUNDDOWN(I2231,0))*3)*$J2231^3</f>
      </c>
      <c r="L2231" s="7">
        <f>INDIRECT("D$"&amp;2+MIN(2,ROUNDDOWN(I2231,0))*3)*(-$J2231^3+3*$J2231^2-3*$J2231+1)+INDIRECT("D$"&amp;3+MIN(2,ROUNDDOWN(I2231,0))*3)*(3*$J2231^3-6*$J2231^2+3*$J2231)+INDIRECT("D$"&amp;4+MIN(2,ROUNDDOWN(I2231,0))*3)*(-3*$J2231^3+3*$J2231^2)+INDIRECT("D$"&amp;5+MIN(2,ROUNDDOWN(I2231,0))*3)*$J2231^3</f>
      </c>
      <c r="M2231" s="7">
        <f>SQRT(K2231^2+L2231^2)</f>
      </c>
      <c r="N2231" s="7">
        <f>(K2232-K2230)</f>
      </c>
      <c r="O2231" s="7">
        <f>+(L2232-L2230)</f>
      </c>
      <c r="P2231" s="7">
        <f>SQRT(O2231^2+N2231^2)</f>
      </c>
      <c r="Q2231" s="7">
        <f>N2231/$P2231</f>
      </c>
      <c r="R2231" s="7">
        <f>O2231/$P2231</f>
      </c>
      <c r="S2231" s="7">
        <f>Q2231^2+R2231^2</f>
      </c>
      <c r="T2231" s="7">
        <f>-R2231</f>
      </c>
      <c r="U2231" s="7">
        <f>Q2231</f>
      </c>
      <c r="V2231" s="7">
        <f>($C$14+($C$15-$C$14)/($D$15-$D$14)*(I2231-$D$14))/2</f>
      </c>
      <c r="W2231" s="7">
        <f>($B$22*I2231^4+$C$22*I2231^3+$D$22*I2231^2+$E$22*I2231+$F$22)/2</f>
      </c>
      <c r="X2231" s="7">
        <f>($W2231)*(T2231)</f>
      </c>
      <c r="Y2231" s="7">
        <f>($W2231)*(U2231)</f>
      </c>
      <c r="Z2231" s="7">
        <f>SQRT(X2231^2+Y2231^2)</f>
      </c>
      <c r="AA2231" s="7">
        <f>$K2231+$X2231</f>
      </c>
      <c r="AB2231" s="7">
        <f>$L2231+$Y2231</f>
      </c>
      <c r="AC2231" s="7">
        <f>$K2231-$X2231</f>
      </c>
      <c r="AD2231" s="7">
        <f>$L2231-$Y2231</f>
      </c>
      <c r="AE2231" s="7">
        <f>AA2231/39.3701</f>
      </c>
      <c r="AF2231" s="7">
        <f>AB2231/39.3701</f>
      </c>
      <c r="AG2231" s="7">
        <f>AC2231/39.3701</f>
      </c>
      <c r="AH2231" s="7">
        <f>AD2231/39.3701</f>
      </c>
      <c r="AI2231" s="1"/>
      <c r="AJ2231" s="1"/>
      <c r="AK2231" s="1"/>
      <c r="AL2231" s="1"/>
      <c r="AM2231" s="2"/>
      <c r="AN2231" s="1"/>
      <c r="AO2231" s="1"/>
      <c r="AP2231" s="1"/>
      <c r="AQ2231" s="1"/>
      <c r="AR2231" s="1"/>
      <c r="AS2231" s="1"/>
      <c r="AT2231" s="1"/>
      <c r="AU2231" s="1"/>
      <c r="AV2231" s="1"/>
      <c r="AW2231" s="1"/>
      <c r="AX2231" s="1"/>
      <c r="AY2231" s="1"/>
      <c r="AZ2231" s="1"/>
      <c r="BA2231" s="1"/>
      <c r="BB2231" s="1"/>
      <c r="BC2231" s="1"/>
      <c r="BD2231" s="1"/>
      <c r="BE2231" s="1"/>
    </row>
    <row x14ac:dyDescent="0.25" r="2232" customHeight="1" ht="18.75">
      <c r="A2232" s="1"/>
      <c r="B2232" s="2"/>
      <c r="C2232" s="2"/>
      <c r="D2232" s="2"/>
      <c r="E2232" s="2"/>
      <c r="F2232" s="2"/>
      <c r="G2232" s="1"/>
      <c r="H2232" s="1"/>
      <c r="I2232" s="7">
        <v>2.229</v>
      </c>
      <c r="J2232" s="7">
        <f>IF((I2232-ROUNDDOWN(I2232,0))=0, 0, (I2232-ROUNDDOWN(I2232,0)))</f>
      </c>
      <c r="K2232" s="7">
        <f>INDIRECT("C$"&amp;2+MIN(2,ROUNDDOWN(I2232,0))*3)*(-$J2232^3+3*$J2232^2-3*$J2232+1)+INDIRECT("C$"&amp;3+MIN(2,ROUNDDOWN(I2232,0))*3)*(3*$J2232^3-6*$J2232^2+3*$J2232)+INDIRECT("C$"&amp;4+MIN(2,ROUNDDOWN(I2232,0))*3)*(-3*$J2232^3+3*$J2232^2)+INDIRECT("C$"&amp;5+MIN(2,ROUNDDOWN(I2232,0))*3)*$J2232^3</f>
      </c>
      <c r="L2232" s="7">
        <f>INDIRECT("D$"&amp;2+MIN(2,ROUNDDOWN(I2232,0))*3)*(-$J2232^3+3*$J2232^2-3*$J2232+1)+INDIRECT("D$"&amp;3+MIN(2,ROUNDDOWN(I2232,0))*3)*(3*$J2232^3-6*$J2232^2+3*$J2232)+INDIRECT("D$"&amp;4+MIN(2,ROUNDDOWN(I2232,0))*3)*(-3*$J2232^3+3*$J2232^2)+INDIRECT("D$"&amp;5+MIN(2,ROUNDDOWN(I2232,0))*3)*$J2232^3</f>
      </c>
      <c r="M2232" s="7">
        <f>SQRT(K2232^2+L2232^2)</f>
      </c>
      <c r="N2232" s="7">
        <f>(K2233-K2231)</f>
      </c>
      <c r="O2232" s="7">
        <f>+(L2233-L2231)</f>
      </c>
      <c r="P2232" s="7">
        <f>SQRT(O2232^2+N2232^2)</f>
      </c>
      <c r="Q2232" s="7">
        <f>N2232/$P2232</f>
      </c>
      <c r="R2232" s="7">
        <f>O2232/$P2232</f>
      </c>
      <c r="S2232" s="8">
        <f>Q2232^2+R2232^2</f>
      </c>
      <c r="T2232" s="7">
        <f>-R2232</f>
      </c>
      <c r="U2232" s="7">
        <f>Q2232</f>
      </c>
      <c r="V2232" s="7">
        <f>($C$14+($C$15-$C$14)/($D$15-$D$14)*(I2232-$D$14))/2</f>
      </c>
      <c r="W2232" s="7">
        <f>($B$22*I2232^4+$C$22*I2232^3+$D$22*I2232^2+$E$22*I2232+$F$22)/2</f>
      </c>
      <c r="X2232" s="7">
        <f>($W2232)*(T2232)</f>
      </c>
      <c r="Y2232" s="7">
        <f>($W2232)*(U2232)</f>
      </c>
      <c r="Z2232" s="7">
        <f>SQRT(X2232^2+Y2232^2)</f>
      </c>
      <c r="AA2232" s="7">
        <f>$K2232+$X2232</f>
      </c>
      <c r="AB2232" s="7">
        <f>$L2232+$Y2232</f>
      </c>
      <c r="AC2232" s="7">
        <f>$K2232-$X2232</f>
      </c>
      <c r="AD2232" s="7">
        <f>$L2232-$Y2232</f>
      </c>
      <c r="AE2232" s="7">
        <f>AA2232/39.3701</f>
      </c>
      <c r="AF2232" s="7">
        <f>AB2232/39.3701</f>
      </c>
      <c r="AG2232" s="7">
        <f>AC2232/39.3701</f>
      </c>
      <c r="AH2232" s="7">
        <f>AD2232/39.3701</f>
      </c>
      <c r="AI2232" s="1"/>
      <c r="AJ2232" s="1"/>
      <c r="AK2232" s="1"/>
      <c r="AL2232" s="1"/>
      <c r="AM2232" s="2"/>
      <c r="AN2232" s="1"/>
      <c r="AO2232" s="1"/>
      <c r="AP2232" s="1"/>
      <c r="AQ2232" s="1"/>
      <c r="AR2232" s="1"/>
      <c r="AS2232" s="1"/>
      <c r="AT2232" s="1"/>
      <c r="AU2232" s="1"/>
      <c r="AV2232" s="1"/>
      <c r="AW2232" s="1"/>
      <c r="AX2232" s="1"/>
      <c r="AY2232" s="1"/>
      <c r="AZ2232" s="1"/>
      <c r="BA2232" s="1"/>
      <c r="BB2232" s="1"/>
      <c r="BC2232" s="1"/>
      <c r="BD2232" s="1"/>
      <c r="BE2232" s="1"/>
    </row>
    <row x14ac:dyDescent="0.25" r="2233" customHeight="1" ht="18.75">
      <c r="A2233" s="1"/>
      <c r="B2233" s="2"/>
      <c r="C2233" s="2"/>
      <c r="D2233" s="2"/>
      <c r="E2233" s="2"/>
      <c r="F2233" s="2"/>
      <c r="G2233" s="1"/>
      <c r="H2233" s="1"/>
      <c r="I2233" s="7">
        <v>2.23</v>
      </c>
      <c r="J2233" s="7">
        <f>IF((I2233-ROUNDDOWN(I2233,0))=0, 0, (I2233-ROUNDDOWN(I2233,0)))</f>
      </c>
      <c r="K2233" s="7">
        <f>INDIRECT("C$"&amp;2+MIN(2,ROUNDDOWN(I2233,0))*3)*(-$J2233^3+3*$J2233^2-3*$J2233+1)+INDIRECT("C$"&amp;3+MIN(2,ROUNDDOWN(I2233,0))*3)*(3*$J2233^3-6*$J2233^2+3*$J2233)+INDIRECT("C$"&amp;4+MIN(2,ROUNDDOWN(I2233,0))*3)*(-3*$J2233^3+3*$J2233^2)+INDIRECT("C$"&amp;5+MIN(2,ROUNDDOWN(I2233,0))*3)*$J2233^3</f>
      </c>
      <c r="L2233" s="7">
        <f>INDIRECT("D$"&amp;2+MIN(2,ROUNDDOWN(I2233,0))*3)*(-$J2233^3+3*$J2233^2-3*$J2233+1)+INDIRECT("D$"&amp;3+MIN(2,ROUNDDOWN(I2233,0))*3)*(3*$J2233^3-6*$J2233^2+3*$J2233)+INDIRECT("D$"&amp;4+MIN(2,ROUNDDOWN(I2233,0))*3)*(-3*$J2233^3+3*$J2233^2)+INDIRECT("D$"&amp;5+MIN(2,ROUNDDOWN(I2233,0))*3)*$J2233^3</f>
      </c>
      <c r="M2233" s="7">
        <f>SQRT(K2233^2+L2233^2)</f>
      </c>
      <c r="N2233" s="7">
        <f>(K2234-K2232)</f>
      </c>
      <c r="O2233" s="7">
        <f>+(L2234-L2232)</f>
      </c>
      <c r="P2233" s="7">
        <f>SQRT(O2233^2+N2233^2)</f>
      </c>
      <c r="Q2233" s="7">
        <f>N2233/$P2233</f>
      </c>
      <c r="R2233" s="7">
        <f>O2233/$P2233</f>
      </c>
      <c r="S2233" s="8">
        <f>Q2233^2+R2233^2</f>
      </c>
      <c r="T2233" s="7">
        <f>-R2233</f>
      </c>
      <c r="U2233" s="7">
        <f>Q2233</f>
      </c>
      <c r="V2233" s="7">
        <f>($C$14+($C$15-$C$14)/($D$15-$D$14)*(I2233-$D$14))/2</f>
      </c>
      <c r="W2233" s="7">
        <f>($B$22*I2233^4+$C$22*I2233^3+$D$22*I2233^2+$E$22*I2233+$F$22)/2</f>
      </c>
      <c r="X2233" s="7">
        <f>($W2233)*(T2233)</f>
      </c>
      <c r="Y2233" s="7">
        <f>($W2233)*(U2233)</f>
      </c>
      <c r="Z2233" s="7">
        <f>SQRT(X2233^2+Y2233^2)</f>
      </c>
      <c r="AA2233" s="7">
        <f>$K2233+$X2233</f>
      </c>
      <c r="AB2233" s="7">
        <f>$L2233+$Y2233</f>
      </c>
      <c r="AC2233" s="7">
        <f>$K2233-$X2233</f>
      </c>
      <c r="AD2233" s="7">
        <f>$L2233-$Y2233</f>
      </c>
      <c r="AE2233" s="7">
        <f>AA2233/39.3701</f>
      </c>
      <c r="AF2233" s="7">
        <f>AB2233/39.3701</f>
      </c>
      <c r="AG2233" s="7">
        <f>AC2233/39.3701</f>
      </c>
      <c r="AH2233" s="7">
        <f>AD2233/39.3701</f>
      </c>
      <c r="AI2233" s="1"/>
      <c r="AJ2233" s="1"/>
      <c r="AK2233" s="1"/>
      <c r="AL2233" s="1"/>
      <c r="AM2233" s="2"/>
      <c r="AN2233" s="1"/>
      <c r="AO2233" s="1"/>
      <c r="AP2233" s="1"/>
      <c r="AQ2233" s="1"/>
      <c r="AR2233" s="1"/>
      <c r="AS2233" s="1"/>
      <c r="AT2233" s="1"/>
      <c r="AU2233" s="1"/>
      <c r="AV2233" s="1"/>
      <c r="AW2233" s="1"/>
      <c r="AX2233" s="1"/>
      <c r="AY2233" s="1"/>
      <c r="AZ2233" s="1"/>
      <c r="BA2233" s="1"/>
      <c r="BB2233" s="1"/>
      <c r="BC2233" s="1"/>
      <c r="BD2233" s="1"/>
      <c r="BE2233" s="1"/>
    </row>
    <row x14ac:dyDescent="0.25" r="2234" customHeight="1" ht="18.75">
      <c r="A2234" s="1"/>
      <c r="B2234" s="2"/>
      <c r="C2234" s="2"/>
      <c r="D2234" s="2"/>
      <c r="E2234" s="2"/>
      <c r="F2234" s="2"/>
      <c r="G2234" s="1"/>
      <c r="H2234" s="1"/>
      <c r="I2234" s="7">
        <v>2.231</v>
      </c>
      <c r="J2234" s="7">
        <f>IF((I2234-ROUNDDOWN(I2234,0))=0, 0, (I2234-ROUNDDOWN(I2234,0)))</f>
      </c>
      <c r="K2234" s="7">
        <f>INDIRECT("C$"&amp;2+MIN(2,ROUNDDOWN(I2234,0))*3)*(-$J2234^3+3*$J2234^2-3*$J2234+1)+INDIRECT("C$"&amp;3+MIN(2,ROUNDDOWN(I2234,0))*3)*(3*$J2234^3-6*$J2234^2+3*$J2234)+INDIRECT("C$"&amp;4+MIN(2,ROUNDDOWN(I2234,0))*3)*(-3*$J2234^3+3*$J2234^2)+INDIRECT("C$"&amp;5+MIN(2,ROUNDDOWN(I2234,0))*3)*$J2234^3</f>
      </c>
      <c r="L2234" s="7">
        <f>INDIRECT("D$"&amp;2+MIN(2,ROUNDDOWN(I2234,0))*3)*(-$J2234^3+3*$J2234^2-3*$J2234+1)+INDIRECT("D$"&amp;3+MIN(2,ROUNDDOWN(I2234,0))*3)*(3*$J2234^3-6*$J2234^2+3*$J2234)+INDIRECT("D$"&amp;4+MIN(2,ROUNDDOWN(I2234,0))*3)*(-3*$J2234^3+3*$J2234^2)+INDIRECT("D$"&amp;5+MIN(2,ROUNDDOWN(I2234,0))*3)*$J2234^3</f>
      </c>
      <c r="M2234" s="7">
        <f>SQRT(K2234^2+L2234^2)</f>
      </c>
      <c r="N2234" s="7">
        <f>(K2235-K2233)</f>
      </c>
      <c r="O2234" s="7">
        <f>+(L2235-L2233)</f>
      </c>
      <c r="P2234" s="7">
        <f>SQRT(O2234^2+N2234^2)</f>
      </c>
      <c r="Q2234" s="7">
        <f>N2234/$P2234</f>
      </c>
      <c r="R2234" s="7">
        <f>O2234/$P2234</f>
      </c>
      <c r="S2234" s="8">
        <f>Q2234^2+R2234^2</f>
      </c>
      <c r="T2234" s="7">
        <f>-R2234</f>
      </c>
      <c r="U2234" s="7">
        <f>Q2234</f>
      </c>
      <c r="V2234" s="7">
        <f>($C$14+($C$15-$C$14)/($D$15-$D$14)*(I2234-$D$14))/2</f>
      </c>
      <c r="W2234" s="7">
        <f>($B$22*I2234^4+$C$22*I2234^3+$D$22*I2234^2+$E$22*I2234+$F$22)/2</f>
      </c>
      <c r="X2234" s="7">
        <f>($W2234)*(T2234)</f>
      </c>
      <c r="Y2234" s="7">
        <f>($W2234)*(U2234)</f>
      </c>
      <c r="Z2234" s="7">
        <f>SQRT(X2234^2+Y2234^2)</f>
      </c>
      <c r="AA2234" s="7">
        <f>$K2234+$X2234</f>
      </c>
      <c r="AB2234" s="7">
        <f>$L2234+$Y2234</f>
      </c>
      <c r="AC2234" s="7">
        <f>$K2234-$X2234</f>
      </c>
      <c r="AD2234" s="7">
        <f>$L2234-$Y2234</f>
      </c>
      <c r="AE2234" s="7">
        <f>AA2234/39.3701</f>
      </c>
      <c r="AF2234" s="7">
        <f>AB2234/39.3701</f>
      </c>
      <c r="AG2234" s="7">
        <f>AC2234/39.3701</f>
      </c>
      <c r="AH2234" s="7">
        <f>AD2234/39.3701</f>
      </c>
      <c r="AI2234" s="1"/>
      <c r="AJ2234" s="1"/>
      <c r="AK2234" s="1"/>
      <c r="AL2234" s="1"/>
      <c r="AM2234" s="2"/>
      <c r="AN2234" s="1"/>
      <c r="AO2234" s="1"/>
      <c r="AP2234" s="1"/>
      <c r="AQ2234" s="1"/>
      <c r="AR2234" s="1"/>
      <c r="AS2234" s="1"/>
      <c r="AT2234" s="1"/>
      <c r="AU2234" s="1"/>
      <c r="AV2234" s="1"/>
      <c r="AW2234" s="1"/>
      <c r="AX2234" s="1"/>
      <c r="AY2234" s="1"/>
      <c r="AZ2234" s="1"/>
      <c r="BA2234" s="1"/>
      <c r="BB2234" s="1"/>
      <c r="BC2234" s="1"/>
      <c r="BD2234" s="1"/>
      <c r="BE2234" s="1"/>
    </row>
    <row x14ac:dyDescent="0.25" r="2235" customHeight="1" ht="18.75">
      <c r="A2235" s="1"/>
      <c r="B2235" s="2"/>
      <c r="C2235" s="2"/>
      <c r="D2235" s="2"/>
      <c r="E2235" s="2"/>
      <c r="F2235" s="2"/>
      <c r="G2235" s="1"/>
      <c r="H2235" s="1"/>
      <c r="I2235" s="7">
        <v>2.232</v>
      </c>
      <c r="J2235" s="7">
        <f>IF((I2235-ROUNDDOWN(I2235,0))=0, 0, (I2235-ROUNDDOWN(I2235,0)))</f>
      </c>
      <c r="K2235" s="7">
        <f>INDIRECT("C$"&amp;2+MIN(2,ROUNDDOWN(I2235,0))*3)*(-$J2235^3+3*$J2235^2-3*$J2235+1)+INDIRECT("C$"&amp;3+MIN(2,ROUNDDOWN(I2235,0))*3)*(3*$J2235^3-6*$J2235^2+3*$J2235)+INDIRECT("C$"&amp;4+MIN(2,ROUNDDOWN(I2235,0))*3)*(-3*$J2235^3+3*$J2235^2)+INDIRECT("C$"&amp;5+MIN(2,ROUNDDOWN(I2235,0))*3)*$J2235^3</f>
      </c>
      <c r="L2235" s="7">
        <f>INDIRECT("D$"&amp;2+MIN(2,ROUNDDOWN(I2235,0))*3)*(-$J2235^3+3*$J2235^2-3*$J2235+1)+INDIRECT("D$"&amp;3+MIN(2,ROUNDDOWN(I2235,0))*3)*(3*$J2235^3-6*$J2235^2+3*$J2235)+INDIRECT("D$"&amp;4+MIN(2,ROUNDDOWN(I2235,0))*3)*(-3*$J2235^3+3*$J2235^2)+INDIRECT("D$"&amp;5+MIN(2,ROUNDDOWN(I2235,0))*3)*$J2235^3</f>
      </c>
      <c r="M2235" s="7">
        <f>SQRT(K2235^2+L2235^2)</f>
      </c>
      <c r="N2235" s="7">
        <f>(K2236-K2234)</f>
      </c>
      <c r="O2235" s="7">
        <f>+(L2236-L2234)</f>
      </c>
      <c r="P2235" s="7">
        <f>SQRT(O2235^2+N2235^2)</f>
      </c>
      <c r="Q2235" s="7">
        <f>N2235/$P2235</f>
      </c>
      <c r="R2235" s="7">
        <f>O2235/$P2235</f>
      </c>
      <c r="S2235" s="8">
        <f>Q2235^2+R2235^2</f>
      </c>
      <c r="T2235" s="7">
        <f>-R2235</f>
      </c>
      <c r="U2235" s="7">
        <f>Q2235</f>
      </c>
      <c r="V2235" s="7">
        <f>($C$14+($C$15-$C$14)/($D$15-$D$14)*(I2235-$D$14))/2</f>
      </c>
      <c r="W2235" s="7">
        <f>($B$22*I2235^4+$C$22*I2235^3+$D$22*I2235^2+$E$22*I2235+$F$22)/2</f>
      </c>
      <c r="X2235" s="7">
        <f>($W2235)*(T2235)</f>
      </c>
      <c r="Y2235" s="7">
        <f>($W2235)*(U2235)</f>
      </c>
      <c r="Z2235" s="7">
        <f>SQRT(X2235^2+Y2235^2)</f>
      </c>
      <c r="AA2235" s="7">
        <f>$K2235+$X2235</f>
      </c>
      <c r="AB2235" s="7">
        <f>$L2235+$Y2235</f>
      </c>
      <c r="AC2235" s="7">
        <f>$K2235-$X2235</f>
      </c>
      <c r="AD2235" s="7">
        <f>$L2235-$Y2235</f>
      </c>
      <c r="AE2235" s="7">
        <f>AA2235/39.3701</f>
      </c>
      <c r="AF2235" s="7">
        <f>AB2235/39.3701</f>
      </c>
      <c r="AG2235" s="7">
        <f>AC2235/39.3701</f>
      </c>
      <c r="AH2235" s="7">
        <f>AD2235/39.3701</f>
      </c>
      <c r="AI2235" s="1"/>
      <c r="AJ2235" s="1"/>
      <c r="AK2235" s="1"/>
      <c r="AL2235" s="1"/>
      <c r="AM2235" s="2"/>
      <c r="AN2235" s="1"/>
      <c r="AO2235" s="1"/>
      <c r="AP2235" s="1"/>
      <c r="AQ2235" s="1"/>
      <c r="AR2235" s="1"/>
      <c r="AS2235" s="1"/>
      <c r="AT2235" s="1"/>
      <c r="AU2235" s="1"/>
      <c r="AV2235" s="1"/>
      <c r="AW2235" s="1"/>
      <c r="AX2235" s="1"/>
      <c r="AY2235" s="1"/>
      <c r="AZ2235" s="1"/>
      <c r="BA2235" s="1"/>
      <c r="BB2235" s="1"/>
      <c r="BC2235" s="1"/>
      <c r="BD2235" s="1"/>
      <c r="BE2235" s="1"/>
    </row>
    <row x14ac:dyDescent="0.25" r="2236" customHeight="1" ht="18.75">
      <c r="A2236" s="1"/>
      <c r="B2236" s="2"/>
      <c r="C2236" s="2"/>
      <c r="D2236" s="2"/>
      <c r="E2236" s="2"/>
      <c r="F2236" s="2"/>
      <c r="G2236" s="1"/>
      <c r="H2236" s="1"/>
      <c r="I2236" s="7">
        <v>2.233</v>
      </c>
      <c r="J2236" s="7">
        <f>IF((I2236-ROUNDDOWN(I2236,0))=0, 0, (I2236-ROUNDDOWN(I2236,0)))</f>
      </c>
      <c r="K2236" s="7">
        <f>INDIRECT("C$"&amp;2+MIN(2,ROUNDDOWN(I2236,0))*3)*(-$J2236^3+3*$J2236^2-3*$J2236+1)+INDIRECT("C$"&amp;3+MIN(2,ROUNDDOWN(I2236,0))*3)*(3*$J2236^3-6*$J2236^2+3*$J2236)+INDIRECT("C$"&amp;4+MIN(2,ROUNDDOWN(I2236,0))*3)*(-3*$J2236^3+3*$J2236^2)+INDIRECT("C$"&amp;5+MIN(2,ROUNDDOWN(I2236,0))*3)*$J2236^3</f>
      </c>
      <c r="L2236" s="7">
        <f>INDIRECT("D$"&amp;2+MIN(2,ROUNDDOWN(I2236,0))*3)*(-$J2236^3+3*$J2236^2-3*$J2236+1)+INDIRECT("D$"&amp;3+MIN(2,ROUNDDOWN(I2236,0))*3)*(3*$J2236^3-6*$J2236^2+3*$J2236)+INDIRECT("D$"&amp;4+MIN(2,ROUNDDOWN(I2236,0))*3)*(-3*$J2236^3+3*$J2236^2)+INDIRECT("D$"&amp;5+MIN(2,ROUNDDOWN(I2236,0))*3)*$J2236^3</f>
      </c>
      <c r="M2236" s="7">
        <f>SQRT(K2236^2+L2236^2)</f>
      </c>
      <c r="N2236" s="7">
        <f>(K2237-K2235)</f>
      </c>
      <c r="O2236" s="7">
        <f>+(L2237-L2235)</f>
      </c>
      <c r="P2236" s="7">
        <f>SQRT(O2236^2+N2236^2)</f>
      </c>
      <c r="Q2236" s="7">
        <f>N2236/$P2236</f>
      </c>
      <c r="R2236" s="7">
        <f>O2236/$P2236</f>
      </c>
      <c r="S2236" s="8">
        <f>Q2236^2+R2236^2</f>
      </c>
      <c r="T2236" s="7">
        <f>-R2236</f>
      </c>
      <c r="U2236" s="7">
        <f>Q2236</f>
      </c>
      <c r="V2236" s="7">
        <f>($C$14+($C$15-$C$14)/($D$15-$D$14)*(I2236-$D$14))/2</f>
      </c>
      <c r="W2236" s="7">
        <f>($B$22*I2236^4+$C$22*I2236^3+$D$22*I2236^2+$E$22*I2236+$F$22)/2</f>
      </c>
      <c r="X2236" s="7">
        <f>($W2236)*(T2236)</f>
      </c>
      <c r="Y2236" s="7">
        <f>($W2236)*(U2236)</f>
      </c>
      <c r="Z2236" s="7">
        <f>SQRT(X2236^2+Y2236^2)</f>
      </c>
      <c r="AA2236" s="7">
        <f>$K2236+$X2236</f>
      </c>
      <c r="AB2236" s="7">
        <f>$L2236+$Y2236</f>
      </c>
      <c r="AC2236" s="7">
        <f>$K2236-$X2236</f>
      </c>
      <c r="AD2236" s="7">
        <f>$L2236-$Y2236</f>
      </c>
      <c r="AE2236" s="7">
        <f>AA2236/39.3701</f>
      </c>
      <c r="AF2236" s="7">
        <f>AB2236/39.3701</f>
      </c>
      <c r="AG2236" s="7">
        <f>AC2236/39.3701</f>
      </c>
      <c r="AH2236" s="7">
        <f>AD2236/39.3701</f>
      </c>
      <c r="AI2236" s="1"/>
      <c r="AJ2236" s="1"/>
      <c r="AK2236" s="1"/>
      <c r="AL2236" s="1"/>
      <c r="AM2236" s="2"/>
      <c r="AN2236" s="1"/>
      <c r="AO2236" s="1"/>
      <c r="AP2236" s="1"/>
      <c r="AQ2236" s="1"/>
      <c r="AR2236" s="1"/>
      <c r="AS2236" s="1"/>
      <c r="AT2236" s="1"/>
      <c r="AU2236" s="1"/>
      <c r="AV2236" s="1"/>
      <c r="AW2236" s="1"/>
      <c r="AX2236" s="1"/>
      <c r="AY2236" s="1"/>
      <c r="AZ2236" s="1"/>
      <c r="BA2236" s="1"/>
      <c r="BB2236" s="1"/>
      <c r="BC2236" s="1"/>
      <c r="BD2236" s="1"/>
      <c r="BE2236" s="1"/>
    </row>
    <row x14ac:dyDescent="0.25" r="2237" customHeight="1" ht="18.75">
      <c r="A2237" s="1"/>
      <c r="B2237" s="2"/>
      <c r="C2237" s="2"/>
      <c r="D2237" s="2"/>
      <c r="E2237" s="2"/>
      <c r="F2237" s="2"/>
      <c r="G2237" s="1"/>
      <c r="H2237" s="1"/>
      <c r="I2237" s="7">
        <v>2.234</v>
      </c>
      <c r="J2237" s="7">
        <f>IF((I2237-ROUNDDOWN(I2237,0))=0, 0, (I2237-ROUNDDOWN(I2237,0)))</f>
      </c>
      <c r="K2237" s="7">
        <f>INDIRECT("C$"&amp;2+MIN(2,ROUNDDOWN(I2237,0))*3)*(-$J2237^3+3*$J2237^2-3*$J2237+1)+INDIRECT("C$"&amp;3+MIN(2,ROUNDDOWN(I2237,0))*3)*(3*$J2237^3-6*$J2237^2+3*$J2237)+INDIRECT("C$"&amp;4+MIN(2,ROUNDDOWN(I2237,0))*3)*(-3*$J2237^3+3*$J2237^2)+INDIRECT("C$"&amp;5+MIN(2,ROUNDDOWN(I2237,0))*3)*$J2237^3</f>
      </c>
      <c r="L2237" s="7">
        <f>INDIRECT("D$"&amp;2+MIN(2,ROUNDDOWN(I2237,0))*3)*(-$J2237^3+3*$J2237^2-3*$J2237+1)+INDIRECT("D$"&amp;3+MIN(2,ROUNDDOWN(I2237,0))*3)*(3*$J2237^3-6*$J2237^2+3*$J2237)+INDIRECT("D$"&amp;4+MIN(2,ROUNDDOWN(I2237,0))*3)*(-3*$J2237^3+3*$J2237^2)+INDIRECT("D$"&amp;5+MIN(2,ROUNDDOWN(I2237,0))*3)*$J2237^3</f>
      </c>
      <c r="M2237" s="7">
        <f>SQRT(K2237^2+L2237^2)</f>
      </c>
      <c r="N2237" s="7">
        <f>(K2238-K2236)</f>
      </c>
      <c r="O2237" s="7">
        <f>+(L2238-L2236)</f>
      </c>
      <c r="P2237" s="7">
        <f>SQRT(O2237^2+N2237^2)</f>
      </c>
      <c r="Q2237" s="7">
        <f>N2237/$P2237</f>
      </c>
      <c r="R2237" s="7">
        <f>O2237/$P2237</f>
      </c>
      <c r="S2237" s="8">
        <f>Q2237^2+R2237^2</f>
      </c>
      <c r="T2237" s="7">
        <f>-R2237</f>
      </c>
      <c r="U2237" s="7">
        <f>Q2237</f>
      </c>
      <c r="V2237" s="7">
        <f>($C$14+($C$15-$C$14)/($D$15-$D$14)*(I2237-$D$14))/2</f>
      </c>
      <c r="W2237" s="7">
        <f>($B$22*I2237^4+$C$22*I2237^3+$D$22*I2237^2+$E$22*I2237+$F$22)/2</f>
      </c>
      <c r="X2237" s="7">
        <f>($W2237)*(T2237)</f>
      </c>
      <c r="Y2237" s="7">
        <f>($W2237)*(U2237)</f>
      </c>
      <c r="Z2237" s="7">
        <f>SQRT(X2237^2+Y2237^2)</f>
      </c>
      <c r="AA2237" s="7">
        <f>$K2237+$X2237</f>
      </c>
      <c r="AB2237" s="7">
        <f>$L2237+$Y2237</f>
      </c>
      <c r="AC2237" s="7">
        <f>$K2237-$X2237</f>
      </c>
      <c r="AD2237" s="7">
        <f>$L2237-$Y2237</f>
      </c>
      <c r="AE2237" s="7">
        <f>AA2237/39.3701</f>
      </c>
      <c r="AF2237" s="7">
        <f>AB2237/39.3701</f>
      </c>
      <c r="AG2237" s="7">
        <f>AC2237/39.3701</f>
      </c>
      <c r="AH2237" s="7">
        <f>AD2237/39.3701</f>
      </c>
      <c r="AI2237" s="1"/>
      <c r="AJ2237" s="1"/>
      <c r="AK2237" s="1"/>
      <c r="AL2237" s="1"/>
      <c r="AM2237" s="2"/>
      <c r="AN2237" s="1"/>
      <c r="AO2237" s="1"/>
      <c r="AP2237" s="1"/>
      <c r="AQ2237" s="1"/>
      <c r="AR2237" s="1"/>
      <c r="AS2237" s="1"/>
      <c r="AT2237" s="1"/>
      <c r="AU2237" s="1"/>
      <c r="AV2237" s="1"/>
      <c r="AW2237" s="1"/>
      <c r="AX2237" s="1"/>
      <c r="AY2237" s="1"/>
      <c r="AZ2237" s="1"/>
      <c r="BA2237" s="1"/>
      <c r="BB2237" s="1"/>
      <c r="BC2237" s="1"/>
      <c r="BD2237" s="1"/>
      <c r="BE2237" s="1"/>
    </row>
    <row x14ac:dyDescent="0.25" r="2238" customHeight="1" ht="18.75">
      <c r="A2238" s="1"/>
      <c r="B2238" s="2"/>
      <c r="C2238" s="2"/>
      <c r="D2238" s="2"/>
      <c r="E2238" s="2"/>
      <c r="F2238" s="2"/>
      <c r="G2238" s="1"/>
      <c r="H2238" s="1"/>
      <c r="I2238" s="7">
        <v>2.235</v>
      </c>
      <c r="J2238" s="7">
        <f>IF((I2238-ROUNDDOWN(I2238,0))=0, 0, (I2238-ROUNDDOWN(I2238,0)))</f>
      </c>
      <c r="K2238" s="7">
        <f>INDIRECT("C$"&amp;2+MIN(2,ROUNDDOWN(I2238,0))*3)*(-$J2238^3+3*$J2238^2-3*$J2238+1)+INDIRECT("C$"&amp;3+MIN(2,ROUNDDOWN(I2238,0))*3)*(3*$J2238^3-6*$J2238^2+3*$J2238)+INDIRECT("C$"&amp;4+MIN(2,ROUNDDOWN(I2238,0))*3)*(-3*$J2238^3+3*$J2238^2)+INDIRECT("C$"&amp;5+MIN(2,ROUNDDOWN(I2238,0))*3)*$J2238^3</f>
      </c>
      <c r="L2238" s="7">
        <f>INDIRECT("D$"&amp;2+MIN(2,ROUNDDOWN(I2238,0))*3)*(-$J2238^3+3*$J2238^2-3*$J2238+1)+INDIRECT("D$"&amp;3+MIN(2,ROUNDDOWN(I2238,0))*3)*(3*$J2238^3-6*$J2238^2+3*$J2238)+INDIRECT("D$"&amp;4+MIN(2,ROUNDDOWN(I2238,0))*3)*(-3*$J2238^3+3*$J2238^2)+INDIRECT("D$"&amp;5+MIN(2,ROUNDDOWN(I2238,0))*3)*$J2238^3</f>
      </c>
      <c r="M2238" s="7">
        <f>SQRT(K2238^2+L2238^2)</f>
      </c>
      <c r="N2238" s="7">
        <f>(K2239-K2237)</f>
      </c>
      <c r="O2238" s="7">
        <f>+(L2239-L2237)</f>
      </c>
      <c r="P2238" s="7">
        <f>SQRT(O2238^2+N2238^2)</f>
      </c>
      <c r="Q2238" s="7">
        <f>N2238/$P2238</f>
      </c>
      <c r="R2238" s="7">
        <f>O2238/$P2238</f>
      </c>
      <c r="S2238" s="8">
        <f>Q2238^2+R2238^2</f>
      </c>
      <c r="T2238" s="7">
        <f>-R2238</f>
      </c>
      <c r="U2238" s="7">
        <f>Q2238</f>
      </c>
      <c r="V2238" s="7">
        <f>($C$14+($C$15-$C$14)/($D$15-$D$14)*(I2238-$D$14))/2</f>
      </c>
      <c r="W2238" s="7">
        <f>($B$22*I2238^4+$C$22*I2238^3+$D$22*I2238^2+$E$22*I2238+$F$22)/2</f>
      </c>
      <c r="X2238" s="7">
        <f>($W2238)*(T2238)</f>
      </c>
      <c r="Y2238" s="7">
        <f>($W2238)*(U2238)</f>
      </c>
      <c r="Z2238" s="7">
        <f>SQRT(X2238^2+Y2238^2)</f>
      </c>
      <c r="AA2238" s="7">
        <f>$K2238+$X2238</f>
      </c>
      <c r="AB2238" s="7">
        <f>$L2238+$Y2238</f>
      </c>
      <c r="AC2238" s="7">
        <f>$K2238-$X2238</f>
      </c>
      <c r="AD2238" s="7">
        <f>$L2238-$Y2238</f>
      </c>
      <c r="AE2238" s="7">
        <f>AA2238/39.3701</f>
      </c>
      <c r="AF2238" s="7">
        <f>AB2238/39.3701</f>
      </c>
      <c r="AG2238" s="7">
        <f>AC2238/39.3701</f>
      </c>
      <c r="AH2238" s="7">
        <f>AD2238/39.3701</f>
      </c>
      <c r="AI2238" s="1"/>
      <c r="AJ2238" s="1"/>
      <c r="AK2238" s="1"/>
      <c r="AL2238" s="1"/>
      <c r="AM2238" s="2"/>
      <c r="AN2238" s="1"/>
      <c r="AO2238" s="1"/>
      <c r="AP2238" s="1"/>
      <c r="AQ2238" s="1"/>
      <c r="AR2238" s="1"/>
      <c r="AS2238" s="1"/>
      <c r="AT2238" s="1"/>
      <c r="AU2238" s="1"/>
      <c r="AV2238" s="1"/>
      <c r="AW2238" s="1"/>
      <c r="AX2238" s="1"/>
      <c r="AY2238" s="1"/>
      <c r="AZ2238" s="1"/>
      <c r="BA2238" s="1"/>
      <c r="BB2238" s="1"/>
      <c r="BC2238" s="1"/>
      <c r="BD2238" s="1"/>
      <c r="BE2238" s="1"/>
    </row>
    <row x14ac:dyDescent="0.25" r="2239" customHeight="1" ht="18.75">
      <c r="A2239" s="1"/>
      <c r="B2239" s="2"/>
      <c r="C2239" s="2"/>
      <c r="D2239" s="2"/>
      <c r="E2239" s="2"/>
      <c r="F2239" s="2"/>
      <c r="G2239" s="1"/>
      <c r="H2239" s="1"/>
      <c r="I2239" s="7">
        <v>2.236</v>
      </c>
      <c r="J2239" s="7">
        <f>IF((I2239-ROUNDDOWN(I2239,0))=0, 0, (I2239-ROUNDDOWN(I2239,0)))</f>
      </c>
      <c r="K2239" s="7">
        <f>INDIRECT("C$"&amp;2+MIN(2,ROUNDDOWN(I2239,0))*3)*(-$J2239^3+3*$J2239^2-3*$J2239+1)+INDIRECT("C$"&amp;3+MIN(2,ROUNDDOWN(I2239,0))*3)*(3*$J2239^3-6*$J2239^2+3*$J2239)+INDIRECT("C$"&amp;4+MIN(2,ROUNDDOWN(I2239,0))*3)*(-3*$J2239^3+3*$J2239^2)+INDIRECT("C$"&amp;5+MIN(2,ROUNDDOWN(I2239,0))*3)*$J2239^3</f>
      </c>
      <c r="L2239" s="7">
        <f>INDIRECT("D$"&amp;2+MIN(2,ROUNDDOWN(I2239,0))*3)*(-$J2239^3+3*$J2239^2-3*$J2239+1)+INDIRECT("D$"&amp;3+MIN(2,ROUNDDOWN(I2239,0))*3)*(3*$J2239^3-6*$J2239^2+3*$J2239)+INDIRECT("D$"&amp;4+MIN(2,ROUNDDOWN(I2239,0))*3)*(-3*$J2239^3+3*$J2239^2)+INDIRECT("D$"&amp;5+MIN(2,ROUNDDOWN(I2239,0))*3)*$J2239^3</f>
      </c>
      <c r="M2239" s="7">
        <f>SQRT(K2239^2+L2239^2)</f>
      </c>
      <c r="N2239" s="7">
        <f>(K2240-K2238)</f>
      </c>
      <c r="O2239" s="7">
        <f>+(L2240-L2238)</f>
      </c>
      <c r="P2239" s="7">
        <f>SQRT(O2239^2+N2239^2)</f>
      </c>
      <c r="Q2239" s="7">
        <f>N2239/$P2239</f>
      </c>
      <c r="R2239" s="7">
        <f>O2239/$P2239</f>
      </c>
      <c r="S2239" s="8">
        <f>Q2239^2+R2239^2</f>
      </c>
      <c r="T2239" s="7">
        <f>-R2239</f>
      </c>
      <c r="U2239" s="7">
        <f>Q2239</f>
      </c>
      <c r="V2239" s="7">
        <f>($C$14+($C$15-$C$14)/($D$15-$D$14)*(I2239-$D$14))/2</f>
      </c>
      <c r="W2239" s="7">
        <f>($B$22*I2239^4+$C$22*I2239^3+$D$22*I2239^2+$E$22*I2239+$F$22)/2</f>
      </c>
      <c r="X2239" s="7">
        <f>($W2239)*(T2239)</f>
      </c>
      <c r="Y2239" s="7">
        <f>($W2239)*(U2239)</f>
      </c>
      <c r="Z2239" s="7">
        <f>SQRT(X2239^2+Y2239^2)</f>
      </c>
      <c r="AA2239" s="7">
        <f>$K2239+$X2239</f>
      </c>
      <c r="AB2239" s="7">
        <f>$L2239+$Y2239</f>
      </c>
      <c r="AC2239" s="7">
        <f>$K2239-$X2239</f>
      </c>
      <c r="AD2239" s="7">
        <f>$L2239-$Y2239</f>
      </c>
      <c r="AE2239" s="7">
        <f>AA2239/39.3701</f>
      </c>
      <c r="AF2239" s="7">
        <f>AB2239/39.3701</f>
      </c>
      <c r="AG2239" s="7">
        <f>AC2239/39.3701</f>
      </c>
      <c r="AH2239" s="7">
        <f>AD2239/39.3701</f>
      </c>
      <c r="AI2239" s="1"/>
      <c r="AJ2239" s="1"/>
      <c r="AK2239" s="1"/>
      <c r="AL2239" s="1"/>
      <c r="AM2239" s="2"/>
      <c r="AN2239" s="1"/>
      <c r="AO2239" s="1"/>
      <c r="AP2239" s="1"/>
      <c r="AQ2239" s="1"/>
      <c r="AR2239" s="1"/>
      <c r="AS2239" s="1"/>
      <c r="AT2239" s="1"/>
      <c r="AU2239" s="1"/>
      <c r="AV2239" s="1"/>
      <c r="AW2239" s="1"/>
      <c r="AX2239" s="1"/>
      <c r="AY2239" s="1"/>
      <c r="AZ2239" s="1"/>
      <c r="BA2239" s="1"/>
      <c r="BB2239" s="1"/>
      <c r="BC2239" s="1"/>
      <c r="BD2239" s="1"/>
      <c r="BE2239" s="1"/>
    </row>
    <row x14ac:dyDescent="0.25" r="2240" customHeight="1" ht="18.75">
      <c r="A2240" s="1"/>
      <c r="B2240" s="2"/>
      <c r="C2240" s="2"/>
      <c r="D2240" s="2"/>
      <c r="E2240" s="2"/>
      <c r="F2240" s="2"/>
      <c r="G2240" s="1"/>
      <c r="H2240" s="1"/>
      <c r="I2240" s="7">
        <v>2.237</v>
      </c>
      <c r="J2240" s="7">
        <f>IF((I2240-ROUNDDOWN(I2240,0))=0, 0, (I2240-ROUNDDOWN(I2240,0)))</f>
      </c>
      <c r="K2240" s="7">
        <f>INDIRECT("C$"&amp;2+MIN(2,ROUNDDOWN(I2240,0))*3)*(-$J2240^3+3*$J2240^2-3*$J2240+1)+INDIRECT("C$"&amp;3+MIN(2,ROUNDDOWN(I2240,0))*3)*(3*$J2240^3-6*$J2240^2+3*$J2240)+INDIRECT("C$"&amp;4+MIN(2,ROUNDDOWN(I2240,0))*3)*(-3*$J2240^3+3*$J2240^2)+INDIRECT("C$"&amp;5+MIN(2,ROUNDDOWN(I2240,0))*3)*$J2240^3</f>
      </c>
      <c r="L2240" s="7">
        <f>INDIRECT("D$"&amp;2+MIN(2,ROUNDDOWN(I2240,0))*3)*(-$J2240^3+3*$J2240^2-3*$J2240+1)+INDIRECT("D$"&amp;3+MIN(2,ROUNDDOWN(I2240,0))*3)*(3*$J2240^3-6*$J2240^2+3*$J2240)+INDIRECT("D$"&amp;4+MIN(2,ROUNDDOWN(I2240,0))*3)*(-3*$J2240^3+3*$J2240^2)+INDIRECT("D$"&amp;5+MIN(2,ROUNDDOWN(I2240,0))*3)*$J2240^3</f>
      </c>
      <c r="M2240" s="7">
        <f>SQRT(K2240^2+L2240^2)</f>
      </c>
      <c r="N2240" s="7">
        <f>(K2241-K2239)</f>
      </c>
      <c r="O2240" s="7">
        <f>+(L2241-L2239)</f>
      </c>
      <c r="P2240" s="7">
        <f>SQRT(O2240^2+N2240^2)</f>
      </c>
      <c r="Q2240" s="7">
        <f>N2240/$P2240</f>
      </c>
      <c r="R2240" s="7">
        <f>O2240/$P2240</f>
      </c>
      <c r="S2240" s="8">
        <f>Q2240^2+R2240^2</f>
      </c>
      <c r="T2240" s="7">
        <f>-R2240</f>
      </c>
      <c r="U2240" s="7">
        <f>Q2240</f>
      </c>
      <c r="V2240" s="7">
        <f>($C$14+($C$15-$C$14)/($D$15-$D$14)*(I2240-$D$14))/2</f>
      </c>
      <c r="W2240" s="7">
        <f>($B$22*I2240^4+$C$22*I2240^3+$D$22*I2240^2+$E$22*I2240+$F$22)/2</f>
      </c>
      <c r="X2240" s="7">
        <f>($W2240)*(T2240)</f>
      </c>
      <c r="Y2240" s="7">
        <f>($W2240)*(U2240)</f>
      </c>
      <c r="Z2240" s="7">
        <f>SQRT(X2240^2+Y2240^2)</f>
      </c>
      <c r="AA2240" s="7">
        <f>$K2240+$X2240</f>
      </c>
      <c r="AB2240" s="7">
        <f>$L2240+$Y2240</f>
      </c>
      <c r="AC2240" s="7">
        <f>$K2240-$X2240</f>
      </c>
      <c r="AD2240" s="7">
        <f>$L2240-$Y2240</f>
      </c>
      <c r="AE2240" s="7">
        <f>AA2240/39.3701</f>
      </c>
      <c r="AF2240" s="7">
        <f>AB2240/39.3701</f>
      </c>
      <c r="AG2240" s="7">
        <f>AC2240/39.3701</f>
      </c>
      <c r="AH2240" s="7">
        <f>AD2240/39.3701</f>
      </c>
      <c r="AI2240" s="1"/>
      <c r="AJ2240" s="1"/>
      <c r="AK2240" s="1"/>
      <c r="AL2240" s="1"/>
      <c r="AM2240" s="2"/>
      <c r="AN2240" s="1"/>
      <c r="AO2240" s="1"/>
      <c r="AP2240" s="1"/>
      <c r="AQ2240" s="1"/>
      <c r="AR2240" s="1"/>
      <c r="AS2240" s="1"/>
      <c r="AT2240" s="1"/>
      <c r="AU2240" s="1"/>
      <c r="AV2240" s="1"/>
      <c r="AW2240" s="1"/>
      <c r="AX2240" s="1"/>
      <c r="AY2240" s="1"/>
      <c r="AZ2240" s="1"/>
      <c r="BA2240" s="1"/>
      <c r="BB2240" s="1"/>
      <c r="BC2240" s="1"/>
      <c r="BD2240" s="1"/>
      <c r="BE2240" s="1"/>
    </row>
    <row x14ac:dyDescent="0.25" r="2241" customHeight="1" ht="18.75">
      <c r="A2241" s="1"/>
      <c r="B2241" s="2"/>
      <c r="C2241" s="2"/>
      <c r="D2241" s="2"/>
      <c r="E2241" s="2"/>
      <c r="F2241" s="2"/>
      <c r="G2241" s="1"/>
      <c r="H2241" s="1"/>
      <c r="I2241" s="7">
        <v>2.238</v>
      </c>
      <c r="J2241" s="7">
        <f>IF((I2241-ROUNDDOWN(I2241,0))=0, 0, (I2241-ROUNDDOWN(I2241,0)))</f>
      </c>
      <c r="K2241" s="7">
        <f>INDIRECT("C$"&amp;2+MIN(2,ROUNDDOWN(I2241,0))*3)*(-$J2241^3+3*$J2241^2-3*$J2241+1)+INDIRECT("C$"&amp;3+MIN(2,ROUNDDOWN(I2241,0))*3)*(3*$J2241^3-6*$J2241^2+3*$J2241)+INDIRECT("C$"&amp;4+MIN(2,ROUNDDOWN(I2241,0))*3)*(-3*$J2241^3+3*$J2241^2)+INDIRECT("C$"&amp;5+MIN(2,ROUNDDOWN(I2241,0))*3)*$J2241^3</f>
      </c>
      <c r="L2241" s="7">
        <f>INDIRECT("D$"&amp;2+MIN(2,ROUNDDOWN(I2241,0))*3)*(-$J2241^3+3*$J2241^2-3*$J2241+1)+INDIRECT("D$"&amp;3+MIN(2,ROUNDDOWN(I2241,0))*3)*(3*$J2241^3-6*$J2241^2+3*$J2241)+INDIRECT("D$"&amp;4+MIN(2,ROUNDDOWN(I2241,0))*3)*(-3*$J2241^3+3*$J2241^2)+INDIRECT("D$"&amp;5+MIN(2,ROUNDDOWN(I2241,0))*3)*$J2241^3</f>
      </c>
      <c r="M2241" s="7">
        <f>SQRT(K2241^2+L2241^2)</f>
      </c>
      <c r="N2241" s="7">
        <f>(K2242-K2240)</f>
      </c>
      <c r="O2241" s="7">
        <f>+(L2242-L2240)</f>
      </c>
      <c r="P2241" s="7">
        <f>SQRT(O2241^2+N2241^2)</f>
      </c>
      <c r="Q2241" s="7">
        <f>N2241/$P2241</f>
      </c>
      <c r="R2241" s="7">
        <f>O2241/$P2241</f>
      </c>
      <c r="S2241" s="8">
        <f>Q2241^2+R2241^2</f>
      </c>
      <c r="T2241" s="7">
        <f>-R2241</f>
      </c>
      <c r="U2241" s="7">
        <f>Q2241</f>
      </c>
      <c r="V2241" s="7">
        <f>($C$14+($C$15-$C$14)/($D$15-$D$14)*(I2241-$D$14))/2</f>
      </c>
      <c r="W2241" s="7">
        <f>($B$22*I2241^4+$C$22*I2241^3+$D$22*I2241^2+$E$22*I2241+$F$22)/2</f>
      </c>
      <c r="X2241" s="7">
        <f>($W2241)*(T2241)</f>
      </c>
      <c r="Y2241" s="7">
        <f>($W2241)*(U2241)</f>
      </c>
      <c r="Z2241" s="7">
        <f>SQRT(X2241^2+Y2241^2)</f>
      </c>
      <c r="AA2241" s="7">
        <f>$K2241+$X2241</f>
      </c>
      <c r="AB2241" s="7">
        <f>$L2241+$Y2241</f>
      </c>
      <c r="AC2241" s="7">
        <f>$K2241-$X2241</f>
      </c>
      <c r="AD2241" s="7">
        <f>$L2241-$Y2241</f>
      </c>
      <c r="AE2241" s="7">
        <f>AA2241/39.3701</f>
      </c>
      <c r="AF2241" s="7">
        <f>AB2241/39.3701</f>
      </c>
      <c r="AG2241" s="7">
        <f>AC2241/39.3701</f>
      </c>
      <c r="AH2241" s="7">
        <f>AD2241/39.3701</f>
      </c>
      <c r="AI2241" s="1"/>
      <c r="AJ2241" s="1"/>
      <c r="AK2241" s="1"/>
      <c r="AL2241" s="1"/>
      <c r="AM2241" s="2"/>
      <c r="AN2241" s="1"/>
      <c r="AO2241" s="1"/>
      <c r="AP2241" s="1"/>
      <c r="AQ2241" s="1"/>
      <c r="AR2241" s="1"/>
      <c r="AS2241" s="1"/>
      <c r="AT2241" s="1"/>
      <c r="AU2241" s="1"/>
      <c r="AV2241" s="1"/>
      <c r="AW2241" s="1"/>
      <c r="AX2241" s="1"/>
      <c r="AY2241" s="1"/>
      <c r="AZ2241" s="1"/>
      <c r="BA2241" s="1"/>
      <c r="BB2241" s="1"/>
      <c r="BC2241" s="1"/>
      <c r="BD2241" s="1"/>
      <c r="BE2241" s="1"/>
    </row>
    <row x14ac:dyDescent="0.25" r="2242" customHeight="1" ht="18.75">
      <c r="A2242" s="1"/>
      <c r="B2242" s="2"/>
      <c r="C2242" s="2"/>
      <c r="D2242" s="2"/>
      <c r="E2242" s="2"/>
      <c r="F2242" s="2"/>
      <c r="G2242" s="1"/>
      <c r="H2242" s="1"/>
      <c r="I2242" s="7">
        <v>2.239</v>
      </c>
      <c r="J2242" s="7">
        <f>IF((I2242-ROUNDDOWN(I2242,0))=0, 0, (I2242-ROUNDDOWN(I2242,0)))</f>
      </c>
      <c r="K2242" s="7">
        <f>INDIRECT("C$"&amp;2+MIN(2,ROUNDDOWN(I2242,0))*3)*(-$J2242^3+3*$J2242^2-3*$J2242+1)+INDIRECT("C$"&amp;3+MIN(2,ROUNDDOWN(I2242,0))*3)*(3*$J2242^3-6*$J2242^2+3*$J2242)+INDIRECT("C$"&amp;4+MIN(2,ROUNDDOWN(I2242,0))*3)*(-3*$J2242^3+3*$J2242^2)+INDIRECT("C$"&amp;5+MIN(2,ROUNDDOWN(I2242,0))*3)*$J2242^3</f>
      </c>
      <c r="L2242" s="7">
        <f>INDIRECT("D$"&amp;2+MIN(2,ROUNDDOWN(I2242,0))*3)*(-$J2242^3+3*$J2242^2-3*$J2242+1)+INDIRECT("D$"&amp;3+MIN(2,ROUNDDOWN(I2242,0))*3)*(3*$J2242^3-6*$J2242^2+3*$J2242)+INDIRECT("D$"&amp;4+MIN(2,ROUNDDOWN(I2242,0))*3)*(-3*$J2242^3+3*$J2242^2)+INDIRECT("D$"&amp;5+MIN(2,ROUNDDOWN(I2242,0))*3)*$J2242^3</f>
      </c>
      <c r="M2242" s="7">
        <f>SQRT(K2242^2+L2242^2)</f>
      </c>
      <c r="N2242" s="7">
        <f>(K2243-K2241)</f>
      </c>
      <c r="O2242" s="7">
        <f>+(L2243-L2241)</f>
      </c>
      <c r="P2242" s="7">
        <f>SQRT(O2242^2+N2242^2)</f>
      </c>
      <c r="Q2242" s="7">
        <f>N2242/$P2242</f>
      </c>
      <c r="R2242" s="7">
        <f>O2242/$P2242</f>
      </c>
      <c r="S2242" s="7">
        <f>Q2242^2+R2242^2</f>
      </c>
      <c r="T2242" s="7">
        <f>-R2242</f>
      </c>
      <c r="U2242" s="7">
        <f>Q2242</f>
      </c>
      <c r="V2242" s="7">
        <f>($C$14+($C$15-$C$14)/($D$15-$D$14)*(I2242-$D$14))/2</f>
      </c>
      <c r="W2242" s="7">
        <f>($B$22*I2242^4+$C$22*I2242^3+$D$22*I2242^2+$E$22*I2242+$F$22)/2</f>
      </c>
      <c r="X2242" s="7">
        <f>($W2242)*(T2242)</f>
      </c>
      <c r="Y2242" s="7">
        <f>($W2242)*(U2242)</f>
      </c>
      <c r="Z2242" s="7">
        <f>SQRT(X2242^2+Y2242^2)</f>
      </c>
      <c r="AA2242" s="7">
        <f>$K2242+$X2242</f>
      </c>
      <c r="AB2242" s="7">
        <f>$L2242+$Y2242</f>
      </c>
      <c r="AC2242" s="7">
        <f>$K2242-$X2242</f>
      </c>
      <c r="AD2242" s="7">
        <f>$L2242-$Y2242</f>
      </c>
      <c r="AE2242" s="7">
        <f>AA2242/39.3701</f>
      </c>
      <c r="AF2242" s="7">
        <f>AB2242/39.3701</f>
      </c>
      <c r="AG2242" s="7">
        <f>AC2242/39.3701</f>
      </c>
      <c r="AH2242" s="7">
        <f>AD2242/39.3701</f>
      </c>
      <c r="AI2242" s="1"/>
      <c r="AJ2242" s="1"/>
      <c r="AK2242" s="1"/>
      <c r="AL2242" s="1"/>
      <c r="AM2242" s="2"/>
      <c r="AN2242" s="1"/>
      <c r="AO2242" s="1"/>
      <c r="AP2242" s="1"/>
      <c r="AQ2242" s="1"/>
      <c r="AR2242" s="1"/>
      <c r="AS2242" s="1"/>
      <c r="AT2242" s="1"/>
      <c r="AU2242" s="1"/>
      <c r="AV2242" s="1"/>
      <c r="AW2242" s="1"/>
      <c r="AX2242" s="1"/>
      <c r="AY2242" s="1"/>
      <c r="AZ2242" s="1"/>
      <c r="BA2242" s="1"/>
      <c r="BB2242" s="1"/>
      <c r="BC2242" s="1"/>
      <c r="BD2242" s="1"/>
      <c r="BE2242" s="1"/>
    </row>
    <row x14ac:dyDescent="0.25" r="2243" customHeight="1" ht="18.75">
      <c r="A2243" s="1"/>
      <c r="B2243" s="2"/>
      <c r="C2243" s="2"/>
      <c r="D2243" s="2"/>
      <c r="E2243" s="2"/>
      <c r="F2243" s="2"/>
      <c r="G2243" s="1"/>
      <c r="H2243" s="1"/>
      <c r="I2243" s="7">
        <v>2.24</v>
      </c>
      <c r="J2243" s="7">
        <f>IF((I2243-ROUNDDOWN(I2243,0))=0, 0, (I2243-ROUNDDOWN(I2243,0)))</f>
      </c>
      <c r="K2243" s="7">
        <f>INDIRECT("C$"&amp;2+MIN(2,ROUNDDOWN(I2243,0))*3)*(-$J2243^3+3*$J2243^2-3*$J2243+1)+INDIRECT("C$"&amp;3+MIN(2,ROUNDDOWN(I2243,0))*3)*(3*$J2243^3-6*$J2243^2+3*$J2243)+INDIRECT("C$"&amp;4+MIN(2,ROUNDDOWN(I2243,0))*3)*(-3*$J2243^3+3*$J2243^2)+INDIRECT("C$"&amp;5+MIN(2,ROUNDDOWN(I2243,0))*3)*$J2243^3</f>
      </c>
      <c r="L2243" s="7">
        <f>INDIRECT("D$"&amp;2+MIN(2,ROUNDDOWN(I2243,0))*3)*(-$J2243^3+3*$J2243^2-3*$J2243+1)+INDIRECT("D$"&amp;3+MIN(2,ROUNDDOWN(I2243,0))*3)*(3*$J2243^3-6*$J2243^2+3*$J2243)+INDIRECT("D$"&amp;4+MIN(2,ROUNDDOWN(I2243,0))*3)*(-3*$J2243^3+3*$J2243^2)+INDIRECT("D$"&amp;5+MIN(2,ROUNDDOWN(I2243,0))*3)*$J2243^3</f>
      </c>
      <c r="M2243" s="7">
        <f>SQRT(K2243^2+L2243^2)</f>
      </c>
      <c r="N2243" s="7">
        <f>(K2244-K2242)</f>
      </c>
      <c r="O2243" s="7">
        <f>+(L2244-L2242)</f>
      </c>
      <c r="P2243" s="7">
        <f>SQRT(O2243^2+N2243^2)</f>
      </c>
      <c r="Q2243" s="7">
        <f>N2243/$P2243</f>
      </c>
      <c r="R2243" s="7">
        <f>O2243/$P2243</f>
      </c>
      <c r="S2243" s="7">
        <f>Q2243^2+R2243^2</f>
      </c>
      <c r="T2243" s="7">
        <f>-R2243</f>
      </c>
      <c r="U2243" s="7">
        <f>Q2243</f>
      </c>
      <c r="V2243" s="7">
        <f>($C$14+($C$15-$C$14)/($D$15-$D$14)*(I2243-$D$14))/2</f>
      </c>
      <c r="W2243" s="7">
        <f>($B$22*I2243^4+$C$22*I2243^3+$D$22*I2243^2+$E$22*I2243+$F$22)/2</f>
      </c>
      <c r="X2243" s="7">
        <f>($W2243)*(T2243)</f>
      </c>
      <c r="Y2243" s="7">
        <f>($W2243)*(U2243)</f>
      </c>
      <c r="Z2243" s="7">
        <f>SQRT(X2243^2+Y2243^2)</f>
      </c>
      <c r="AA2243" s="7">
        <f>$K2243+$X2243</f>
      </c>
      <c r="AB2243" s="7">
        <f>$L2243+$Y2243</f>
      </c>
      <c r="AC2243" s="7">
        <f>$K2243-$X2243</f>
      </c>
      <c r="AD2243" s="7">
        <f>$L2243-$Y2243</f>
      </c>
      <c r="AE2243" s="7">
        <f>AA2243/39.3701</f>
      </c>
      <c r="AF2243" s="7">
        <f>AB2243/39.3701</f>
      </c>
      <c r="AG2243" s="7">
        <f>AC2243/39.3701</f>
      </c>
      <c r="AH2243" s="7">
        <f>AD2243/39.3701</f>
      </c>
      <c r="AI2243" s="1"/>
      <c r="AJ2243" s="1"/>
      <c r="AK2243" s="1"/>
      <c r="AL2243" s="1"/>
      <c r="AM2243" s="2"/>
      <c r="AN2243" s="1"/>
      <c r="AO2243" s="1"/>
      <c r="AP2243" s="1"/>
      <c r="AQ2243" s="1"/>
      <c r="AR2243" s="1"/>
      <c r="AS2243" s="1"/>
      <c r="AT2243" s="1"/>
      <c r="AU2243" s="1"/>
      <c r="AV2243" s="1"/>
      <c r="AW2243" s="1"/>
      <c r="AX2243" s="1"/>
      <c r="AY2243" s="1"/>
      <c r="AZ2243" s="1"/>
      <c r="BA2243" s="1"/>
      <c r="BB2243" s="1"/>
      <c r="BC2243" s="1"/>
      <c r="BD2243" s="1"/>
      <c r="BE2243" s="1"/>
    </row>
    <row x14ac:dyDescent="0.25" r="2244" customHeight="1" ht="18.75">
      <c r="A2244" s="1"/>
      <c r="B2244" s="2"/>
      <c r="C2244" s="2"/>
      <c r="D2244" s="2"/>
      <c r="E2244" s="2"/>
      <c r="F2244" s="2"/>
      <c r="G2244" s="1"/>
      <c r="H2244" s="1"/>
      <c r="I2244" s="7">
        <v>2.241</v>
      </c>
      <c r="J2244" s="7">
        <f>IF((I2244-ROUNDDOWN(I2244,0))=0, 0, (I2244-ROUNDDOWN(I2244,0)))</f>
      </c>
      <c r="K2244" s="7">
        <f>INDIRECT("C$"&amp;2+MIN(2,ROUNDDOWN(I2244,0))*3)*(-$J2244^3+3*$J2244^2-3*$J2244+1)+INDIRECT("C$"&amp;3+MIN(2,ROUNDDOWN(I2244,0))*3)*(3*$J2244^3-6*$J2244^2+3*$J2244)+INDIRECT("C$"&amp;4+MIN(2,ROUNDDOWN(I2244,0))*3)*(-3*$J2244^3+3*$J2244^2)+INDIRECT("C$"&amp;5+MIN(2,ROUNDDOWN(I2244,0))*3)*$J2244^3</f>
      </c>
      <c r="L2244" s="7">
        <f>INDIRECT("D$"&amp;2+MIN(2,ROUNDDOWN(I2244,0))*3)*(-$J2244^3+3*$J2244^2-3*$J2244+1)+INDIRECT("D$"&amp;3+MIN(2,ROUNDDOWN(I2244,0))*3)*(3*$J2244^3-6*$J2244^2+3*$J2244)+INDIRECT("D$"&amp;4+MIN(2,ROUNDDOWN(I2244,0))*3)*(-3*$J2244^3+3*$J2244^2)+INDIRECT("D$"&amp;5+MIN(2,ROUNDDOWN(I2244,0))*3)*$J2244^3</f>
      </c>
      <c r="M2244" s="7">
        <f>SQRT(K2244^2+L2244^2)</f>
      </c>
      <c r="N2244" s="7">
        <f>(K2245-K2243)</f>
      </c>
      <c r="O2244" s="7">
        <f>+(L2245-L2243)</f>
      </c>
      <c r="P2244" s="7">
        <f>SQRT(O2244^2+N2244^2)</f>
      </c>
      <c r="Q2244" s="7">
        <f>N2244/$P2244</f>
      </c>
      <c r="R2244" s="7">
        <f>O2244/$P2244</f>
      </c>
      <c r="S2244" s="8">
        <f>Q2244^2+R2244^2</f>
      </c>
      <c r="T2244" s="7">
        <f>-R2244</f>
      </c>
      <c r="U2244" s="7">
        <f>Q2244</f>
      </c>
      <c r="V2244" s="7">
        <f>($C$14+($C$15-$C$14)/($D$15-$D$14)*(I2244-$D$14))/2</f>
      </c>
      <c r="W2244" s="7">
        <f>($B$22*I2244^4+$C$22*I2244^3+$D$22*I2244^2+$E$22*I2244+$F$22)/2</f>
      </c>
      <c r="X2244" s="7">
        <f>($W2244)*(T2244)</f>
      </c>
      <c r="Y2244" s="7">
        <f>($W2244)*(U2244)</f>
      </c>
      <c r="Z2244" s="7">
        <f>SQRT(X2244^2+Y2244^2)</f>
      </c>
      <c r="AA2244" s="7">
        <f>$K2244+$X2244</f>
      </c>
      <c r="AB2244" s="7">
        <f>$L2244+$Y2244</f>
      </c>
      <c r="AC2244" s="7">
        <f>$K2244-$X2244</f>
      </c>
      <c r="AD2244" s="7">
        <f>$L2244-$Y2244</f>
      </c>
      <c r="AE2244" s="7">
        <f>AA2244/39.3701</f>
      </c>
      <c r="AF2244" s="7">
        <f>AB2244/39.3701</f>
      </c>
      <c r="AG2244" s="7">
        <f>AC2244/39.3701</f>
      </c>
      <c r="AH2244" s="7">
        <f>AD2244/39.3701</f>
      </c>
      <c r="AI2244" s="1"/>
      <c r="AJ2244" s="1"/>
      <c r="AK2244" s="1"/>
      <c r="AL2244" s="1"/>
      <c r="AM2244" s="2"/>
      <c r="AN2244" s="1"/>
      <c r="AO2244" s="1"/>
      <c r="AP2244" s="1"/>
      <c r="AQ2244" s="1"/>
      <c r="AR2244" s="1"/>
      <c r="AS2244" s="1"/>
      <c r="AT2244" s="1"/>
      <c r="AU2244" s="1"/>
      <c r="AV2244" s="1"/>
      <c r="AW2244" s="1"/>
      <c r="AX2244" s="1"/>
      <c r="AY2244" s="1"/>
      <c r="AZ2244" s="1"/>
      <c r="BA2244" s="1"/>
      <c r="BB2244" s="1"/>
      <c r="BC2244" s="1"/>
      <c r="BD2244" s="1"/>
      <c r="BE2244" s="1"/>
    </row>
    <row x14ac:dyDescent="0.25" r="2245" customHeight="1" ht="18.75">
      <c r="A2245" s="1"/>
      <c r="B2245" s="2"/>
      <c r="C2245" s="2"/>
      <c r="D2245" s="2"/>
      <c r="E2245" s="2"/>
      <c r="F2245" s="2"/>
      <c r="G2245" s="1"/>
      <c r="H2245" s="1"/>
      <c r="I2245" s="7">
        <v>2.242</v>
      </c>
      <c r="J2245" s="7">
        <f>IF((I2245-ROUNDDOWN(I2245,0))=0, 0, (I2245-ROUNDDOWN(I2245,0)))</f>
      </c>
      <c r="K2245" s="7">
        <f>INDIRECT("C$"&amp;2+MIN(2,ROUNDDOWN(I2245,0))*3)*(-$J2245^3+3*$J2245^2-3*$J2245+1)+INDIRECT("C$"&amp;3+MIN(2,ROUNDDOWN(I2245,0))*3)*(3*$J2245^3-6*$J2245^2+3*$J2245)+INDIRECT("C$"&amp;4+MIN(2,ROUNDDOWN(I2245,0))*3)*(-3*$J2245^3+3*$J2245^2)+INDIRECT("C$"&amp;5+MIN(2,ROUNDDOWN(I2245,0))*3)*$J2245^3</f>
      </c>
      <c r="L2245" s="7">
        <f>INDIRECT("D$"&amp;2+MIN(2,ROUNDDOWN(I2245,0))*3)*(-$J2245^3+3*$J2245^2-3*$J2245+1)+INDIRECT("D$"&amp;3+MIN(2,ROUNDDOWN(I2245,0))*3)*(3*$J2245^3-6*$J2245^2+3*$J2245)+INDIRECT("D$"&amp;4+MIN(2,ROUNDDOWN(I2245,0))*3)*(-3*$J2245^3+3*$J2245^2)+INDIRECT("D$"&amp;5+MIN(2,ROUNDDOWN(I2245,0))*3)*$J2245^3</f>
      </c>
      <c r="M2245" s="7">
        <f>SQRT(K2245^2+L2245^2)</f>
      </c>
      <c r="N2245" s="7">
        <f>(K2246-K2244)</f>
      </c>
      <c r="O2245" s="7">
        <f>+(L2246-L2244)</f>
      </c>
      <c r="P2245" s="7">
        <f>SQRT(O2245^2+N2245^2)</f>
      </c>
      <c r="Q2245" s="7">
        <f>N2245/$P2245</f>
      </c>
      <c r="R2245" s="7">
        <f>O2245/$P2245</f>
      </c>
      <c r="S2245" s="8">
        <f>Q2245^2+R2245^2</f>
      </c>
      <c r="T2245" s="7">
        <f>-R2245</f>
      </c>
      <c r="U2245" s="7">
        <f>Q2245</f>
      </c>
      <c r="V2245" s="7">
        <f>($C$14+($C$15-$C$14)/($D$15-$D$14)*(I2245-$D$14))/2</f>
      </c>
      <c r="W2245" s="7">
        <f>($B$22*I2245^4+$C$22*I2245^3+$D$22*I2245^2+$E$22*I2245+$F$22)/2</f>
      </c>
      <c r="X2245" s="7">
        <f>($W2245)*(T2245)</f>
      </c>
      <c r="Y2245" s="7">
        <f>($W2245)*(U2245)</f>
      </c>
      <c r="Z2245" s="7">
        <f>SQRT(X2245^2+Y2245^2)</f>
      </c>
      <c r="AA2245" s="7">
        <f>$K2245+$X2245</f>
      </c>
      <c r="AB2245" s="7">
        <f>$L2245+$Y2245</f>
      </c>
      <c r="AC2245" s="7">
        <f>$K2245-$X2245</f>
      </c>
      <c r="AD2245" s="7">
        <f>$L2245-$Y2245</f>
      </c>
      <c r="AE2245" s="7">
        <f>AA2245/39.3701</f>
      </c>
      <c r="AF2245" s="7">
        <f>AB2245/39.3701</f>
      </c>
      <c r="AG2245" s="7">
        <f>AC2245/39.3701</f>
      </c>
      <c r="AH2245" s="7">
        <f>AD2245/39.3701</f>
      </c>
      <c r="AI2245" s="1"/>
      <c r="AJ2245" s="1"/>
      <c r="AK2245" s="1"/>
      <c r="AL2245" s="1"/>
      <c r="AM2245" s="2"/>
      <c r="AN2245" s="1"/>
      <c r="AO2245" s="1"/>
      <c r="AP2245" s="1"/>
      <c r="AQ2245" s="1"/>
      <c r="AR2245" s="1"/>
      <c r="AS2245" s="1"/>
      <c r="AT2245" s="1"/>
      <c r="AU2245" s="1"/>
      <c r="AV2245" s="1"/>
      <c r="AW2245" s="1"/>
      <c r="AX2245" s="1"/>
      <c r="AY2245" s="1"/>
      <c r="AZ2245" s="1"/>
      <c r="BA2245" s="1"/>
      <c r="BB2245" s="1"/>
      <c r="BC2245" s="1"/>
      <c r="BD2245" s="1"/>
      <c r="BE2245" s="1"/>
    </row>
    <row x14ac:dyDescent="0.25" r="2246" customHeight="1" ht="18.75">
      <c r="A2246" s="1"/>
      <c r="B2246" s="2"/>
      <c r="C2246" s="2"/>
      <c r="D2246" s="2"/>
      <c r="E2246" s="2"/>
      <c r="F2246" s="2"/>
      <c r="G2246" s="1"/>
      <c r="H2246" s="1"/>
      <c r="I2246" s="7">
        <v>2.243</v>
      </c>
      <c r="J2246" s="7">
        <f>IF((I2246-ROUNDDOWN(I2246,0))=0, 0, (I2246-ROUNDDOWN(I2246,0)))</f>
      </c>
      <c r="K2246" s="7">
        <f>INDIRECT("C$"&amp;2+MIN(2,ROUNDDOWN(I2246,0))*3)*(-$J2246^3+3*$J2246^2-3*$J2246+1)+INDIRECT("C$"&amp;3+MIN(2,ROUNDDOWN(I2246,0))*3)*(3*$J2246^3-6*$J2246^2+3*$J2246)+INDIRECT("C$"&amp;4+MIN(2,ROUNDDOWN(I2246,0))*3)*(-3*$J2246^3+3*$J2246^2)+INDIRECT("C$"&amp;5+MIN(2,ROUNDDOWN(I2246,0))*3)*$J2246^3</f>
      </c>
      <c r="L2246" s="7">
        <f>INDIRECT("D$"&amp;2+MIN(2,ROUNDDOWN(I2246,0))*3)*(-$J2246^3+3*$J2246^2-3*$J2246+1)+INDIRECT("D$"&amp;3+MIN(2,ROUNDDOWN(I2246,0))*3)*(3*$J2246^3-6*$J2246^2+3*$J2246)+INDIRECT("D$"&amp;4+MIN(2,ROUNDDOWN(I2246,0))*3)*(-3*$J2246^3+3*$J2246^2)+INDIRECT("D$"&amp;5+MIN(2,ROUNDDOWN(I2246,0))*3)*$J2246^3</f>
      </c>
      <c r="M2246" s="7">
        <f>SQRT(K2246^2+L2246^2)</f>
      </c>
      <c r="N2246" s="7">
        <f>(K2247-K2245)</f>
      </c>
      <c r="O2246" s="7">
        <f>+(L2247-L2245)</f>
      </c>
      <c r="P2246" s="7">
        <f>SQRT(O2246^2+N2246^2)</f>
      </c>
      <c r="Q2246" s="7">
        <f>N2246/$P2246</f>
      </c>
      <c r="R2246" s="7">
        <f>O2246/$P2246</f>
      </c>
      <c r="S2246" s="8">
        <f>Q2246^2+R2246^2</f>
      </c>
      <c r="T2246" s="7">
        <f>-R2246</f>
      </c>
      <c r="U2246" s="7">
        <f>Q2246</f>
      </c>
      <c r="V2246" s="7">
        <f>($C$14+($C$15-$C$14)/($D$15-$D$14)*(I2246-$D$14))/2</f>
      </c>
      <c r="W2246" s="7">
        <f>($B$22*I2246^4+$C$22*I2246^3+$D$22*I2246^2+$E$22*I2246+$F$22)/2</f>
      </c>
      <c r="X2246" s="7">
        <f>($W2246)*(T2246)</f>
      </c>
      <c r="Y2246" s="7">
        <f>($W2246)*(U2246)</f>
      </c>
      <c r="Z2246" s="7">
        <f>SQRT(X2246^2+Y2246^2)</f>
      </c>
      <c r="AA2246" s="7">
        <f>$K2246+$X2246</f>
      </c>
      <c r="AB2246" s="7">
        <f>$L2246+$Y2246</f>
      </c>
      <c r="AC2246" s="7">
        <f>$K2246-$X2246</f>
      </c>
      <c r="AD2246" s="7">
        <f>$L2246-$Y2246</f>
      </c>
      <c r="AE2246" s="7">
        <f>AA2246/39.3701</f>
      </c>
      <c r="AF2246" s="7">
        <f>AB2246/39.3701</f>
      </c>
      <c r="AG2246" s="7">
        <f>AC2246/39.3701</f>
      </c>
      <c r="AH2246" s="7">
        <f>AD2246/39.3701</f>
      </c>
      <c r="AI2246" s="1"/>
      <c r="AJ2246" s="1"/>
      <c r="AK2246" s="1"/>
      <c r="AL2246" s="1"/>
      <c r="AM2246" s="2"/>
      <c r="AN2246" s="1"/>
      <c r="AO2246" s="1"/>
      <c r="AP2246" s="1"/>
      <c r="AQ2246" s="1"/>
      <c r="AR2246" s="1"/>
      <c r="AS2246" s="1"/>
      <c r="AT2246" s="1"/>
      <c r="AU2246" s="1"/>
      <c r="AV2246" s="1"/>
      <c r="AW2246" s="1"/>
      <c r="AX2246" s="1"/>
      <c r="AY2246" s="1"/>
      <c r="AZ2246" s="1"/>
      <c r="BA2246" s="1"/>
      <c r="BB2246" s="1"/>
      <c r="BC2246" s="1"/>
      <c r="BD2246" s="1"/>
      <c r="BE2246" s="1"/>
    </row>
    <row x14ac:dyDescent="0.25" r="2247" customHeight="1" ht="18.75">
      <c r="A2247" s="1"/>
      <c r="B2247" s="2"/>
      <c r="C2247" s="2"/>
      <c r="D2247" s="2"/>
      <c r="E2247" s="2"/>
      <c r="F2247" s="2"/>
      <c r="G2247" s="1"/>
      <c r="H2247" s="1"/>
      <c r="I2247" s="7">
        <v>2.244</v>
      </c>
      <c r="J2247" s="7">
        <f>IF((I2247-ROUNDDOWN(I2247,0))=0, 0, (I2247-ROUNDDOWN(I2247,0)))</f>
      </c>
      <c r="K2247" s="7">
        <f>INDIRECT("C$"&amp;2+MIN(2,ROUNDDOWN(I2247,0))*3)*(-$J2247^3+3*$J2247^2-3*$J2247+1)+INDIRECT("C$"&amp;3+MIN(2,ROUNDDOWN(I2247,0))*3)*(3*$J2247^3-6*$J2247^2+3*$J2247)+INDIRECT("C$"&amp;4+MIN(2,ROUNDDOWN(I2247,0))*3)*(-3*$J2247^3+3*$J2247^2)+INDIRECT("C$"&amp;5+MIN(2,ROUNDDOWN(I2247,0))*3)*$J2247^3</f>
      </c>
      <c r="L2247" s="7">
        <f>INDIRECT("D$"&amp;2+MIN(2,ROUNDDOWN(I2247,0))*3)*(-$J2247^3+3*$J2247^2-3*$J2247+1)+INDIRECT("D$"&amp;3+MIN(2,ROUNDDOWN(I2247,0))*3)*(3*$J2247^3-6*$J2247^2+3*$J2247)+INDIRECT("D$"&amp;4+MIN(2,ROUNDDOWN(I2247,0))*3)*(-3*$J2247^3+3*$J2247^2)+INDIRECT("D$"&amp;5+MIN(2,ROUNDDOWN(I2247,0))*3)*$J2247^3</f>
      </c>
      <c r="M2247" s="7">
        <f>SQRT(K2247^2+L2247^2)</f>
      </c>
      <c r="N2247" s="7">
        <f>(K2248-K2246)</f>
      </c>
      <c r="O2247" s="7">
        <f>+(L2248-L2246)</f>
      </c>
      <c r="P2247" s="7">
        <f>SQRT(O2247^2+N2247^2)</f>
      </c>
      <c r="Q2247" s="7">
        <f>N2247/$P2247</f>
      </c>
      <c r="R2247" s="7">
        <f>O2247/$P2247</f>
      </c>
      <c r="S2247" s="7">
        <f>Q2247^2+R2247^2</f>
      </c>
      <c r="T2247" s="7">
        <f>-R2247</f>
      </c>
      <c r="U2247" s="7">
        <f>Q2247</f>
      </c>
      <c r="V2247" s="7">
        <f>($C$14+($C$15-$C$14)/($D$15-$D$14)*(I2247-$D$14))/2</f>
      </c>
      <c r="W2247" s="7">
        <f>($B$22*I2247^4+$C$22*I2247^3+$D$22*I2247^2+$E$22*I2247+$F$22)/2</f>
      </c>
      <c r="X2247" s="7">
        <f>($W2247)*(T2247)</f>
      </c>
      <c r="Y2247" s="7">
        <f>($W2247)*(U2247)</f>
      </c>
      <c r="Z2247" s="7">
        <f>SQRT(X2247^2+Y2247^2)</f>
      </c>
      <c r="AA2247" s="7">
        <f>$K2247+$X2247</f>
      </c>
      <c r="AB2247" s="7">
        <f>$L2247+$Y2247</f>
      </c>
      <c r="AC2247" s="7">
        <f>$K2247-$X2247</f>
      </c>
      <c r="AD2247" s="7">
        <f>$L2247-$Y2247</f>
      </c>
      <c r="AE2247" s="7">
        <f>AA2247/39.3701</f>
      </c>
      <c r="AF2247" s="7">
        <f>AB2247/39.3701</f>
      </c>
      <c r="AG2247" s="7">
        <f>AC2247/39.3701</f>
      </c>
      <c r="AH2247" s="7">
        <f>AD2247/39.3701</f>
      </c>
      <c r="AI2247" s="1"/>
      <c r="AJ2247" s="1"/>
      <c r="AK2247" s="1"/>
      <c r="AL2247" s="1"/>
      <c r="AM2247" s="2"/>
      <c r="AN2247" s="1"/>
      <c r="AO2247" s="1"/>
      <c r="AP2247" s="1"/>
      <c r="AQ2247" s="1"/>
      <c r="AR2247" s="1"/>
      <c r="AS2247" s="1"/>
      <c r="AT2247" s="1"/>
      <c r="AU2247" s="1"/>
      <c r="AV2247" s="1"/>
      <c r="AW2247" s="1"/>
      <c r="AX2247" s="1"/>
      <c r="AY2247" s="1"/>
      <c r="AZ2247" s="1"/>
      <c r="BA2247" s="1"/>
      <c r="BB2247" s="1"/>
      <c r="BC2247" s="1"/>
      <c r="BD2247" s="1"/>
      <c r="BE2247" s="1"/>
    </row>
    <row x14ac:dyDescent="0.25" r="2248" customHeight="1" ht="18.75">
      <c r="A2248" s="1"/>
      <c r="B2248" s="2"/>
      <c r="C2248" s="2"/>
      <c r="D2248" s="2"/>
      <c r="E2248" s="2"/>
      <c r="F2248" s="2"/>
      <c r="G2248" s="1"/>
      <c r="H2248" s="1"/>
      <c r="I2248" s="7">
        <v>2.245</v>
      </c>
      <c r="J2248" s="7">
        <f>IF((I2248-ROUNDDOWN(I2248,0))=0, 0, (I2248-ROUNDDOWN(I2248,0)))</f>
      </c>
      <c r="K2248" s="7">
        <f>INDIRECT("C$"&amp;2+MIN(2,ROUNDDOWN(I2248,0))*3)*(-$J2248^3+3*$J2248^2-3*$J2248+1)+INDIRECT("C$"&amp;3+MIN(2,ROUNDDOWN(I2248,0))*3)*(3*$J2248^3-6*$J2248^2+3*$J2248)+INDIRECT("C$"&amp;4+MIN(2,ROUNDDOWN(I2248,0))*3)*(-3*$J2248^3+3*$J2248^2)+INDIRECT("C$"&amp;5+MIN(2,ROUNDDOWN(I2248,0))*3)*$J2248^3</f>
      </c>
      <c r="L2248" s="7">
        <f>INDIRECT("D$"&amp;2+MIN(2,ROUNDDOWN(I2248,0))*3)*(-$J2248^3+3*$J2248^2-3*$J2248+1)+INDIRECT("D$"&amp;3+MIN(2,ROUNDDOWN(I2248,0))*3)*(3*$J2248^3-6*$J2248^2+3*$J2248)+INDIRECT("D$"&amp;4+MIN(2,ROUNDDOWN(I2248,0))*3)*(-3*$J2248^3+3*$J2248^2)+INDIRECT("D$"&amp;5+MIN(2,ROUNDDOWN(I2248,0))*3)*$J2248^3</f>
      </c>
      <c r="M2248" s="7">
        <f>SQRT(K2248^2+L2248^2)</f>
      </c>
      <c r="N2248" s="7">
        <f>(K2249-K2247)</f>
      </c>
      <c r="O2248" s="7">
        <f>+(L2249-L2247)</f>
      </c>
      <c r="P2248" s="7">
        <f>SQRT(O2248^2+N2248^2)</f>
      </c>
      <c r="Q2248" s="7">
        <f>N2248/$P2248</f>
      </c>
      <c r="R2248" s="7">
        <f>O2248/$P2248</f>
      </c>
      <c r="S2248" s="7">
        <f>Q2248^2+R2248^2</f>
      </c>
      <c r="T2248" s="7">
        <f>-R2248</f>
      </c>
      <c r="U2248" s="7">
        <f>Q2248</f>
      </c>
      <c r="V2248" s="7">
        <f>($C$14+($C$15-$C$14)/($D$15-$D$14)*(I2248-$D$14))/2</f>
      </c>
      <c r="W2248" s="7">
        <f>($B$22*I2248^4+$C$22*I2248^3+$D$22*I2248^2+$E$22*I2248+$F$22)/2</f>
      </c>
      <c r="X2248" s="7">
        <f>($W2248)*(T2248)</f>
      </c>
      <c r="Y2248" s="7">
        <f>($W2248)*(U2248)</f>
      </c>
      <c r="Z2248" s="7">
        <f>SQRT(X2248^2+Y2248^2)</f>
      </c>
      <c r="AA2248" s="7">
        <f>$K2248+$X2248</f>
      </c>
      <c r="AB2248" s="7">
        <f>$L2248+$Y2248</f>
      </c>
      <c r="AC2248" s="7">
        <f>$K2248-$X2248</f>
      </c>
      <c r="AD2248" s="7">
        <f>$L2248-$Y2248</f>
      </c>
      <c r="AE2248" s="7">
        <f>AA2248/39.3701</f>
      </c>
      <c r="AF2248" s="7">
        <f>AB2248/39.3701</f>
      </c>
      <c r="AG2248" s="7">
        <f>AC2248/39.3701</f>
      </c>
      <c r="AH2248" s="7">
        <f>AD2248/39.3701</f>
      </c>
      <c r="AI2248" s="1"/>
      <c r="AJ2248" s="1"/>
      <c r="AK2248" s="1"/>
      <c r="AL2248" s="1"/>
      <c r="AM2248" s="2"/>
      <c r="AN2248" s="1"/>
      <c r="AO2248" s="1"/>
      <c r="AP2248" s="1"/>
      <c r="AQ2248" s="1"/>
      <c r="AR2248" s="1"/>
      <c r="AS2248" s="1"/>
      <c r="AT2248" s="1"/>
      <c r="AU2248" s="1"/>
      <c r="AV2248" s="1"/>
      <c r="AW2248" s="1"/>
      <c r="AX2248" s="1"/>
      <c r="AY2248" s="1"/>
      <c r="AZ2248" s="1"/>
      <c r="BA2248" s="1"/>
      <c r="BB2248" s="1"/>
      <c r="BC2248" s="1"/>
      <c r="BD2248" s="1"/>
      <c r="BE2248" s="1"/>
    </row>
    <row x14ac:dyDescent="0.25" r="2249" customHeight="1" ht="18.75">
      <c r="A2249" s="1"/>
      <c r="B2249" s="2"/>
      <c r="C2249" s="2"/>
      <c r="D2249" s="2"/>
      <c r="E2249" s="2"/>
      <c r="F2249" s="2"/>
      <c r="G2249" s="1"/>
      <c r="H2249" s="1"/>
      <c r="I2249" s="7">
        <v>2.246</v>
      </c>
      <c r="J2249" s="7">
        <f>IF((I2249-ROUNDDOWN(I2249,0))=0, 0, (I2249-ROUNDDOWN(I2249,0)))</f>
      </c>
      <c r="K2249" s="7">
        <f>INDIRECT("C$"&amp;2+MIN(2,ROUNDDOWN(I2249,0))*3)*(-$J2249^3+3*$J2249^2-3*$J2249+1)+INDIRECT("C$"&amp;3+MIN(2,ROUNDDOWN(I2249,0))*3)*(3*$J2249^3-6*$J2249^2+3*$J2249)+INDIRECT("C$"&amp;4+MIN(2,ROUNDDOWN(I2249,0))*3)*(-3*$J2249^3+3*$J2249^2)+INDIRECT("C$"&amp;5+MIN(2,ROUNDDOWN(I2249,0))*3)*$J2249^3</f>
      </c>
      <c r="L2249" s="7">
        <f>INDIRECT("D$"&amp;2+MIN(2,ROUNDDOWN(I2249,0))*3)*(-$J2249^3+3*$J2249^2-3*$J2249+1)+INDIRECT("D$"&amp;3+MIN(2,ROUNDDOWN(I2249,0))*3)*(3*$J2249^3-6*$J2249^2+3*$J2249)+INDIRECT("D$"&amp;4+MIN(2,ROUNDDOWN(I2249,0))*3)*(-3*$J2249^3+3*$J2249^2)+INDIRECT("D$"&amp;5+MIN(2,ROUNDDOWN(I2249,0))*3)*$J2249^3</f>
      </c>
      <c r="M2249" s="7">
        <f>SQRT(K2249^2+L2249^2)</f>
      </c>
      <c r="N2249" s="7">
        <f>(K2250-K2248)</f>
      </c>
      <c r="O2249" s="7">
        <f>+(L2250-L2248)</f>
      </c>
      <c r="P2249" s="7">
        <f>SQRT(O2249^2+N2249^2)</f>
      </c>
      <c r="Q2249" s="7">
        <f>N2249/$P2249</f>
      </c>
      <c r="R2249" s="7">
        <f>O2249/$P2249</f>
      </c>
      <c r="S2249" s="8">
        <f>Q2249^2+R2249^2</f>
      </c>
      <c r="T2249" s="7">
        <f>-R2249</f>
      </c>
      <c r="U2249" s="7">
        <f>Q2249</f>
      </c>
      <c r="V2249" s="7">
        <f>($C$14+($C$15-$C$14)/($D$15-$D$14)*(I2249-$D$14))/2</f>
      </c>
      <c r="W2249" s="7">
        <f>($B$22*I2249^4+$C$22*I2249^3+$D$22*I2249^2+$E$22*I2249+$F$22)/2</f>
      </c>
      <c r="X2249" s="7">
        <f>($W2249)*(T2249)</f>
      </c>
      <c r="Y2249" s="7">
        <f>($W2249)*(U2249)</f>
      </c>
      <c r="Z2249" s="7">
        <f>SQRT(X2249^2+Y2249^2)</f>
      </c>
      <c r="AA2249" s="7">
        <f>$K2249+$X2249</f>
      </c>
      <c r="AB2249" s="7">
        <f>$L2249+$Y2249</f>
      </c>
      <c r="AC2249" s="7">
        <f>$K2249-$X2249</f>
      </c>
      <c r="AD2249" s="7">
        <f>$L2249-$Y2249</f>
      </c>
      <c r="AE2249" s="7">
        <f>AA2249/39.3701</f>
      </c>
      <c r="AF2249" s="7">
        <f>AB2249/39.3701</f>
      </c>
      <c r="AG2249" s="7">
        <f>AC2249/39.3701</f>
      </c>
      <c r="AH2249" s="7">
        <f>AD2249/39.3701</f>
      </c>
      <c r="AI2249" s="1"/>
      <c r="AJ2249" s="1"/>
      <c r="AK2249" s="1"/>
      <c r="AL2249" s="1"/>
      <c r="AM2249" s="2"/>
      <c r="AN2249" s="1"/>
      <c r="AO2249" s="1"/>
      <c r="AP2249" s="1"/>
      <c r="AQ2249" s="1"/>
      <c r="AR2249" s="1"/>
      <c r="AS2249" s="1"/>
      <c r="AT2249" s="1"/>
      <c r="AU2249" s="1"/>
      <c r="AV2249" s="1"/>
      <c r="AW2249" s="1"/>
      <c r="AX2249" s="1"/>
      <c r="AY2249" s="1"/>
      <c r="AZ2249" s="1"/>
      <c r="BA2249" s="1"/>
      <c r="BB2249" s="1"/>
      <c r="BC2249" s="1"/>
      <c r="BD2249" s="1"/>
      <c r="BE2249" s="1"/>
    </row>
    <row x14ac:dyDescent="0.25" r="2250" customHeight="1" ht="18.75">
      <c r="A2250" s="1"/>
      <c r="B2250" s="2"/>
      <c r="C2250" s="2"/>
      <c r="D2250" s="2"/>
      <c r="E2250" s="2"/>
      <c r="F2250" s="2"/>
      <c r="G2250" s="1"/>
      <c r="H2250" s="1"/>
      <c r="I2250" s="7">
        <v>2.247</v>
      </c>
      <c r="J2250" s="7">
        <f>IF((I2250-ROUNDDOWN(I2250,0))=0, 0, (I2250-ROUNDDOWN(I2250,0)))</f>
      </c>
      <c r="K2250" s="7">
        <f>INDIRECT("C$"&amp;2+MIN(2,ROUNDDOWN(I2250,0))*3)*(-$J2250^3+3*$J2250^2-3*$J2250+1)+INDIRECT("C$"&amp;3+MIN(2,ROUNDDOWN(I2250,0))*3)*(3*$J2250^3-6*$J2250^2+3*$J2250)+INDIRECT("C$"&amp;4+MIN(2,ROUNDDOWN(I2250,0))*3)*(-3*$J2250^3+3*$J2250^2)+INDIRECT("C$"&amp;5+MIN(2,ROUNDDOWN(I2250,0))*3)*$J2250^3</f>
      </c>
      <c r="L2250" s="7">
        <f>INDIRECT("D$"&amp;2+MIN(2,ROUNDDOWN(I2250,0))*3)*(-$J2250^3+3*$J2250^2-3*$J2250+1)+INDIRECT("D$"&amp;3+MIN(2,ROUNDDOWN(I2250,0))*3)*(3*$J2250^3-6*$J2250^2+3*$J2250)+INDIRECT("D$"&amp;4+MIN(2,ROUNDDOWN(I2250,0))*3)*(-3*$J2250^3+3*$J2250^2)+INDIRECT("D$"&amp;5+MIN(2,ROUNDDOWN(I2250,0))*3)*$J2250^3</f>
      </c>
      <c r="M2250" s="7">
        <f>SQRT(K2250^2+L2250^2)</f>
      </c>
      <c r="N2250" s="7">
        <f>(K2251-K2249)</f>
      </c>
      <c r="O2250" s="7">
        <f>+(L2251-L2249)</f>
      </c>
      <c r="P2250" s="7">
        <f>SQRT(O2250^2+N2250^2)</f>
      </c>
      <c r="Q2250" s="7">
        <f>N2250/$P2250</f>
      </c>
      <c r="R2250" s="7">
        <f>O2250/$P2250</f>
      </c>
      <c r="S2250" s="7">
        <f>Q2250^2+R2250^2</f>
      </c>
      <c r="T2250" s="7">
        <f>-R2250</f>
      </c>
      <c r="U2250" s="7">
        <f>Q2250</f>
      </c>
      <c r="V2250" s="7">
        <f>($C$14+($C$15-$C$14)/($D$15-$D$14)*(I2250-$D$14))/2</f>
      </c>
      <c r="W2250" s="7">
        <f>($B$22*I2250^4+$C$22*I2250^3+$D$22*I2250^2+$E$22*I2250+$F$22)/2</f>
      </c>
      <c r="X2250" s="7">
        <f>($W2250)*(T2250)</f>
      </c>
      <c r="Y2250" s="7">
        <f>($W2250)*(U2250)</f>
      </c>
      <c r="Z2250" s="7">
        <f>SQRT(X2250^2+Y2250^2)</f>
      </c>
      <c r="AA2250" s="7">
        <f>$K2250+$X2250</f>
      </c>
      <c r="AB2250" s="7">
        <f>$L2250+$Y2250</f>
      </c>
      <c r="AC2250" s="7">
        <f>$K2250-$X2250</f>
      </c>
      <c r="AD2250" s="7">
        <f>$L2250-$Y2250</f>
      </c>
      <c r="AE2250" s="7">
        <f>AA2250/39.3701</f>
      </c>
      <c r="AF2250" s="7">
        <f>AB2250/39.3701</f>
      </c>
      <c r="AG2250" s="7">
        <f>AC2250/39.3701</f>
      </c>
      <c r="AH2250" s="7">
        <f>AD2250/39.3701</f>
      </c>
      <c r="AI2250" s="1"/>
      <c r="AJ2250" s="1"/>
      <c r="AK2250" s="1"/>
      <c r="AL2250" s="1"/>
      <c r="AM2250" s="2"/>
      <c r="AN2250" s="1"/>
      <c r="AO2250" s="1"/>
      <c r="AP2250" s="1"/>
      <c r="AQ2250" s="1"/>
      <c r="AR2250" s="1"/>
      <c r="AS2250" s="1"/>
      <c r="AT2250" s="1"/>
      <c r="AU2250" s="1"/>
      <c r="AV2250" s="1"/>
      <c r="AW2250" s="1"/>
      <c r="AX2250" s="1"/>
      <c r="AY2250" s="1"/>
      <c r="AZ2250" s="1"/>
      <c r="BA2250" s="1"/>
      <c r="BB2250" s="1"/>
      <c r="BC2250" s="1"/>
      <c r="BD2250" s="1"/>
      <c r="BE2250" s="1"/>
    </row>
    <row x14ac:dyDescent="0.25" r="2251" customHeight="1" ht="18.75">
      <c r="A2251" s="1"/>
      <c r="B2251" s="2"/>
      <c r="C2251" s="2"/>
      <c r="D2251" s="2"/>
      <c r="E2251" s="2"/>
      <c r="F2251" s="2"/>
      <c r="G2251" s="1"/>
      <c r="H2251" s="1"/>
      <c r="I2251" s="7">
        <v>2.248</v>
      </c>
      <c r="J2251" s="7">
        <f>IF((I2251-ROUNDDOWN(I2251,0))=0, 0, (I2251-ROUNDDOWN(I2251,0)))</f>
      </c>
      <c r="K2251" s="7">
        <f>INDIRECT("C$"&amp;2+MIN(2,ROUNDDOWN(I2251,0))*3)*(-$J2251^3+3*$J2251^2-3*$J2251+1)+INDIRECT("C$"&amp;3+MIN(2,ROUNDDOWN(I2251,0))*3)*(3*$J2251^3-6*$J2251^2+3*$J2251)+INDIRECT("C$"&amp;4+MIN(2,ROUNDDOWN(I2251,0))*3)*(-3*$J2251^3+3*$J2251^2)+INDIRECT("C$"&amp;5+MIN(2,ROUNDDOWN(I2251,0))*3)*$J2251^3</f>
      </c>
      <c r="L2251" s="7">
        <f>INDIRECT("D$"&amp;2+MIN(2,ROUNDDOWN(I2251,0))*3)*(-$J2251^3+3*$J2251^2-3*$J2251+1)+INDIRECT("D$"&amp;3+MIN(2,ROUNDDOWN(I2251,0))*3)*(3*$J2251^3-6*$J2251^2+3*$J2251)+INDIRECT("D$"&amp;4+MIN(2,ROUNDDOWN(I2251,0))*3)*(-3*$J2251^3+3*$J2251^2)+INDIRECT("D$"&amp;5+MIN(2,ROUNDDOWN(I2251,0))*3)*$J2251^3</f>
      </c>
      <c r="M2251" s="7">
        <f>SQRT(K2251^2+L2251^2)</f>
      </c>
      <c r="N2251" s="7">
        <f>(K2252-K2250)</f>
      </c>
      <c r="O2251" s="7">
        <f>+(L2252-L2250)</f>
      </c>
      <c r="P2251" s="7">
        <f>SQRT(O2251^2+N2251^2)</f>
      </c>
      <c r="Q2251" s="7">
        <f>N2251/$P2251</f>
      </c>
      <c r="R2251" s="7">
        <f>O2251/$P2251</f>
      </c>
      <c r="S2251" s="7">
        <f>Q2251^2+R2251^2</f>
      </c>
      <c r="T2251" s="7">
        <f>-R2251</f>
      </c>
      <c r="U2251" s="7">
        <f>Q2251</f>
      </c>
      <c r="V2251" s="7">
        <f>($C$14+($C$15-$C$14)/($D$15-$D$14)*(I2251-$D$14))/2</f>
      </c>
      <c r="W2251" s="7">
        <f>($B$22*I2251^4+$C$22*I2251^3+$D$22*I2251^2+$E$22*I2251+$F$22)/2</f>
      </c>
      <c r="X2251" s="7">
        <f>($W2251)*(T2251)</f>
      </c>
      <c r="Y2251" s="7">
        <f>($W2251)*(U2251)</f>
      </c>
      <c r="Z2251" s="7">
        <f>SQRT(X2251^2+Y2251^2)</f>
      </c>
      <c r="AA2251" s="7">
        <f>$K2251+$X2251</f>
      </c>
      <c r="AB2251" s="7">
        <f>$L2251+$Y2251</f>
      </c>
      <c r="AC2251" s="7">
        <f>$K2251-$X2251</f>
      </c>
      <c r="AD2251" s="7">
        <f>$L2251-$Y2251</f>
      </c>
      <c r="AE2251" s="7">
        <f>AA2251/39.3701</f>
      </c>
      <c r="AF2251" s="7">
        <f>AB2251/39.3701</f>
      </c>
      <c r="AG2251" s="7">
        <f>AC2251/39.3701</f>
      </c>
      <c r="AH2251" s="7">
        <f>AD2251/39.3701</f>
      </c>
      <c r="AI2251" s="1"/>
      <c r="AJ2251" s="1"/>
      <c r="AK2251" s="1"/>
      <c r="AL2251" s="1"/>
      <c r="AM2251" s="2"/>
      <c r="AN2251" s="1"/>
      <c r="AO2251" s="1"/>
      <c r="AP2251" s="1"/>
      <c r="AQ2251" s="1"/>
      <c r="AR2251" s="1"/>
      <c r="AS2251" s="1"/>
      <c r="AT2251" s="1"/>
      <c r="AU2251" s="1"/>
      <c r="AV2251" s="1"/>
      <c r="AW2251" s="1"/>
      <c r="AX2251" s="1"/>
      <c r="AY2251" s="1"/>
      <c r="AZ2251" s="1"/>
      <c r="BA2251" s="1"/>
      <c r="BB2251" s="1"/>
      <c r="BC2251" s="1"/>
      <c r="BD2251" s="1"/>
      <c r="BE2251" s="1"/>
    </row>
    <row x14ac:dyDescent="0.25" r="2252" customHeight="1" ht="18.75">
      <c r="A2252" s="1"/>
      <c r="B2252" s="2"/>
      <c r="C2252" s="2"/>
      <c r="D2252" s="2"/>
      <c r="E2252" s="2"/>
      <c r="F2252" s="2"/>
      <c r="G2252" s="1"/>
      <c r="H2252" s="1"/>
      <c r="I2252" s="7">
        <v>2.249</v>
      </c>
      <c r="J2252" s="7">
        <f>IF((I2252-ROUNDDOWN(I2252,0))=0, 0, (I2252-ROUNDDOWN(I2252,0)))</f>
      </c>
      <c r="K2252" s="7">
        <f>INDIRECT("C$"&amp;2+MIN(2,ROUNDDOWN(I2252,0))*3)*(-$J2252^3+3*$J2252^2-3*$J2252+1)+INDIRECT("C$"&amp;3+MIN(2,ROUNDDOWN(I2252,0))*3)*(3*$J2252^3-6*$J2252^2+3*$J2252)+INDIRECT("C$"&amp;4+MIN(2,ROUNDDOWN(I2252,0))*3)*(-3*$J2252^3+3*$J2252^2)+INDIRECT("C$"&amp;5+MIN(2,ROUNDDOWN(I2252,0))*3)*$J2252^3</f>
      </c>
      <c r="L2252" s="7">
        <f>INDIRECT("D$"&amp;2+MIN(2,ROUNDDOWN(I2252,0))*3)*(-$J2252^3+3*$J2252^2-3*$J2252+1)+INDIRECT("D$"&amp;3+MIN(2,ROUNDDOWN(I2252,0))*3)*(3*$J2252^3-6*$J2252^2+3*$J2252)+INDIRECT("D$"&amp;4+MIN(2,ROUNDDOWN(I2252,0))*3)*(-3*$J2252^3+3*$J2252^2)+INDIRECT("D$"&amp;5+MIN(2,ROUNDDOWN(I2252,0))*3)*$J2252^3</f>
      </c>
      <c r="M2252" s="7">
        <f>SQRT(K2252^2+L2252^2)</f>
      </c>
      <c r="N2252" s="7">
        <f>(K2253-K2251)</f>
      </c>
      <c r="O2252" s="7">
        <f>+(L2253-L2251)</f>
      </c>
      <c r="P2252" s="7">
        <f>SQRT(O2252^2+N2252^2)</f>
      </c>
      <c r="Q2252" s="7">
        <f>N2252/$P2252</f>
      </c>
      <c r="R2252" s="7">
        <f>O2252/$P2252</f>
      </c>
      <c r="S2252" s="8">
        <f>Q2252^2+R2252^2</f>
      </c>
      <c r="T2252" s="7">
        <f>-R2252</f>
      </c>
      <c r="U2252" s="7">
        <f>Q2252</f>
      </c>
      <c r="V2252" s="7">
        <f>($C$14+($C$15-$C$14)/($D$15-$D$14)*(I2252-$D$14))/2</f>
      </c>
      <c r="W2252" s="7">
        <f>($B$22*I2252^4+$C$22*I2252^3+$D$22*I2252^2+$E$22*I2252+$F$22)/2</f>
      </c>
      <c r="X2252" s="7">
        <f>($W2252)*(T2252)</f>
      </c>
      <c r="Y2252" s="7">
        <f>($W2252)*(U2252)</f>
      </c>
      <c r="Z2252" s="7">
        <f>SQRT(X2252^2+Y2252^2)</f>
      </c>
      <c r="AA2252" s="7">
        <f>$K2252+$X2252</f>
      </c>
      <c r="AB2252" s="7">
        <f>$L2252+$Y2252</f>
      </c>
      <c r="AC2252" s="7">
        <f>$K2252-$X2252</f>
      </c>
      <c r="AD2252" s="7">
        <f>$L2252-$Y2252</f>
      </c>
      <c r="AE2252" s="7">
        <f>AA2252/39.3701</f>
      </c>
      <c r="AF2252" s="7">
        <f>AB2252/39.3701</f>
      </c>
      <c r="AG2252" s="7">
        <f>AC2252/39.3701</f>
      </c>
      <c r="AH2252" s="7">
        <f>AD2252/39.3701</f>
      </c>
      <c r="AI2252" s="1"/>
      <c r="AJ2252" s="1"/>
      <c r="AK2252" s="1"/>
      <c r="AL2252" s="1"/>
      <c r="AM2252" s="2"/>
      <c r="AN2252" s="1"/>
      <c r="AO2252" s="1"/>
      <c r="AP2252" s="1"/>
      <c r="AQ2252" s="1"/>
      <c r="AR2252" s="1"/>
      <c r="AS2252" s="1"/>
      <c r="AT2252" s="1"/>
      <c r="AU2252" s="1"/>
      <c r="AV2252" s="1"/>
      <c r="AW2252" s="1"/>
      <c r="AX2252" s="1"/>
      <c r="AY2252" s="1"/>
      <c r="AZ2252" s="1"/>
      <c r="BA2252" s="1"/>
      <c r="BB2252" s="1"/>
      <c r="BC2252" s="1"/>
      <c r="BD2252" s="1"/>
      <c r="BE2252" s="1"/>
    </row>
    <row x14ac:dyDescent="0.25" r="2253" customHeight="1" ht="18.75">
      <c r="A2253" s="1"/>
      <c r="B2253" s="2"/>
      <c r="C2253" s="2"/>
      <c r="D2253" s="2"/>
      <c r="E2253" s="2"/>
      <c r="F2253" s="2"/>
      <c r="G2253" s="1"/>
      <c r="H2253" s="1"/>
      <c r="I2253" s="7">
        <v>2.25</v>
      </c>
      <c r="J2253" s="7">
        <f>IF((I2253-ROUNDDOWN(I2253,0))=0, 0, (I2253-ROUNDDOWN(I2253,0)))</f>
      </c>
      <c r="K2253" s="7">
        <f>INDIRECT("C$"&amp;2+MIN(2,ROUNDDOWN(I2253,0))*3)*(-$J2253^3+3*$J2253^2-3*$J2253+1)+INDIRECT("C$"&amp;3+MIN(2,ROUNDDOWN(I2253,0))*3)*(3*$J2253^3-6*$J2253^2+3*$J2253)+INDIRECT("C$"&amp;4+MIN(2,ROUNDDOWN(I2253,0))*3)*(-3*$J2253^3+3*$J2253^2)+INDIRECT("C$"&amp;5+MIN(2,ROUNDDOWN(I2253,0))*3)*$J2253^3</f>
      </c>
      <c r="L2253" s="7">
        <f>INDIRECT("D$"&amp;2+MIN(2,ROUNDDOWN(I2253,0))*3)*(-$J2253^3+3*$J2253^2-3*$J2253+1)+INDIRECT("D$"&amp;3+MIN(2,ROUNDDOWN(I2253,0))*3)*(3*$J2253^3-6*$J2253^2+3*$J2253)+INDIRECT("D$"&amp;4+MIN(2,ROUNDDOWN(I2253,0))*3)*(-3*$J2253^3+3*$J2253^2)+INDIRECT("D$"&amp;5+MIN(2,ROUNDDOWN(I2253,0))*3)*$J2253^3</f>
      </c>
      <c r="M2253" s="7">
        <f>SQRT(K2253^2+L2253^2)</f>
      </c>
      <c r="N2253" s="7">
        <f>(K2254-K2252)</f>
      </c>
      <c r="O2253" s="7">
        <f>+(L2254-L2252)</f>
      </c>
      <c r="P2253" s="7">
        <f>SQRT(O2253^2+N2253^2)</f>
      </c>
      <c r="Q2253" s="7">
        <f>N2253/$P2253</f>
      </c>
      <c r="R2253" s="7">
        <f>O2253/$P2253</f>
      </c>
      <c r="S2253" s="7">
        <f>Q2253^2+R2253^2</f>
      </c>
      <c r="T2253" s="7">
        <f>-R2253</f>
      </c>
      <c r="U2253" s="7">
        <f>Q2253</f>
      </c>
      <c r="V2253" s="7">
        <f>($C$14+($C$15-$C$14)/($D$15-$D$14)*(I2253-$D$14))/2</f>
      </c>
      <c r="W2253" s="7">
        <f>($B$22*I2253^4+$C$22*I2253^3+$D$22*I2253^2+$E$22*I2253+$F$22)/2</f>
      </c>
      <c r="X2253" s="7">
        <f>($W2253)*(T2253)</f>
      </c>
      <c r="Y2253" s="7">
        <f>($W2253)*(U2253)</f>
      </c>
      <c r="Z2253" s="7">
        <f>SQRT(X2253^2+Y2253^2)</f>
      </c>
      <c r="AA2253" s="7">
        <f>$K2253+$X2253</f>
      </c>
      <c r="AB2253" s="7">
        <f>$L2253+$Y2253</f>
      </c>
      <c r="AC2253" s="7">
        <f>$K2253-$X2253</f>
      </c>
      <c r="AD2253" s="7">
        <f>$L2253-$Y2253</f>
      </c>
      <c r="AE2253" s="7">
        <f>AA2253/39.3701</f>
      </c>
      <c r="AF2253" s="7">
        <f>AB2253/39.3701</f>
      </c>
      <c r="AG2253" s="7">
        <f>AC2253/39.3701</f>
      </c>
      <c r="AH2253" s="7">
        <f>AD2253/39.3701</f>
      </c>
      <c r="AI2253" s="1"/>
      <c r="AJ2253" s="1"/>
      <c r="AK2253" s="1"/>
      <c r="AL2253" s="1"/>
      <c r="AM2253" s="2"/>
      <c r="AN2253" s="1"/>
      <c r="AO2253" s="1"/>
      <c r="AP2253" s="1"/>
      <c r="AQ2253" s="1"/>
      <c r="AR2253" s="1"/>
      <c r="AS2253" s="1"/>
      <c r="AT2253" s="1"/>
      <c r="AU2253" s="1"/>
      <c r="AV2253" s="1"/>
      <c r="AW2253" s="1"/>
      <c r="AX2253" s="1"/>
      <c r="AY2253" s="1"/>
      <c r="AZ2253" s="1"/>
      <c r="BA2253" s="1"/>
      <c r="BB2253" s="1"/>
      <c r="BC2253" s="1"/>
      <c r="BD2253" s="1"/>
      <c r="BE2253" s="1"/>
    </row>
    <row x14ac:dyDescent="0.25" r="2254" customHeight="1" ht="18.75">
      <c r="A2254" s="1"/>
      <c r="B2254" s="2"/>
      <c r="C2254" s="2"/>
      <c r="D2254" s="2"/>
      <c r="E2254" s="2"/>
      <c r="F2254" s="2"/>
      <c r="G2254" s="1"/>
      <c r="H2254" s="1"/>
      <c r="I2254" s="7">
        <v>2.251</v>
      </c>
      <c r="J2254" s="7">
        <f>IF((I2254-ROUNDDOWN(I2254,0))=0, 0, (I2254-ROUNDDOWN(I2254,0)))</f>
      </c>
      <c r="K2254" s="7">
        <f>INDIRECT("C$"&amp;2+MIN(2,ROUNDDOWN(I2254,0))*3)*(-$J2254^3+3*$J2254^2-3*$J2254+1)+INDIRECT("C$"&amp;3+MIN(2,ROUNDDOWN(I2254,0))*3)*(3*$J2254^3-6*$J2254^2+3*$J2254)+INDIRECT("C$"&amp;4+MIN(2,ROUNDDOWN(I2254,0))*3)*(-3*$J2254^3+3*$J2254^2)+INDIRECT("C$"&amp;5+MIN(2,ROUNDDOWN(I2254,0))*3)*$J2254^3</f>
      </c>
      <c r="L2254" s="7">
        <f>INDIRECT("D$"&amp;2+MIN(2,ROUNDDOWN(I2254,0))*3)*(-$J2254^3+3*$J2254^2-3*$J2254+1)+INDIRECT("D$"&amp;3+MIN(2,ROUNDDOWN(I2254,0))*3)*(3*$J2254^3-6*$J2254^2+3*$J2254)+INDIRECT("D$"&amp;4+MIN(2,ROUNDDOWN(I2254,0))*3)*(-3*$J2254^3+3*$J2254^2)+INDIRECT("D$"&amp;5+MIN(2,ROUNDDOWN(I2254,0))*3)*$J2254^3</f>
      </c>
      <c r="M2254" s="7">
        <f>SQRT(K2254^2+L2254^2)</f>
      </c>
      <c r="N2254" s="7">
        <f>(K2255-K2253)</f>
      </c>
      <c r="O2254" s="7">
        <f>+(L2255-L2253)</f>
      </c>
      <c r="P2254" s="7">
        <f>SQRT(O2254^2+N2254^2)</f>
      </c>
      <c r="Q2254" s="7">
        <f>N2254/$P2254</f>
      </c>
      <c r="R2254" s="7">
        <f>O2254/$P2254</f>
      </c>
      <c r="S2254" s="7">
        <f>Q2254^2+R2254^2</f>
      </c>
      <c r="T2254" s="7">
        <f>-R2254</f>
      </c>
      <c r="U2254" s="7">
        <f>Q2254</f>
      </c>
      <c r="V2254" s="7">
        <f>($C$14+($C$15-$C$14)/($D$15-$D$14)*(I2254-$D$14))/2</f>
      </c>
      <c r="W2254" s="7">
        <f>($B$22*I2254^4+$C$22*I2254^3+$D$22*I2254^2+$E$22*I2254+$F$22)/2</f>
      </c>
      <c r="X2254" s="7">
        <f>($W2254)*(T2254)</f>
      </c>
      <c r="Y2254" s="7">
        <f>($W2254)*(U2254)</f>
      </c>
      <c r="Z2254" s="7">
        <f>SQRT(X2254^2+Y2254^2)</f>
      </c>
      <c r="AA2254" s="7">
        <f>$K2254+$X2254</f>
      </c>
      <c r="AB2254" s="7">
        <f>$L2254+$Y2254</f>
      </c>
      <c r="AC2254" s="7">
        <f>$K2254-$X2254</f>
      </c>
      <c r="AD2254" s="7">
        <f>$L2254-$Y2254</f>
      </c>
      <c r="AE2254" s="7">
        <f>AA2254/39.3701</f>
      </c>
      <c r="AF2254" s="7">
        <f>AB2254/39.3701</f>
      </c>
      <c r="AG2254" s="7">
        <f>AC2254/39.3701</f>
      </c>
      <c r="AH2254" s="7">
        <f>AD2254/39.3701</f>
      </c>
      <c r="AI2254" s="1"/>
      <c r="AJ2254" s="1"/>
      <c r="AK2254" s="1"/>
      <c r="AL2254" s="1"/>
      <c r="AM2254" s="2"/>
      <c r="AN2254" s="1"/>
      <c r="AO2254" s="1"/>
      <c r="AP2254" s="1"/>
      <c r="AQ2254" s="1"/>
      <c r="AR2254" s="1"/>
      <c r="AS2254" s="1"/>
      <c r="AT2254" s="1"/>
      <c r="AU2254" s="1"/>
      <c r="AV2254" s="1"/>
      <c r="AW2254" s="1"/>
      <c r="AX2254" s="1"/>
      <c r="AY2254" s="1"/>
      <c r="AZ2254" s="1"/>
      <c r="BA2254" s="1"/>
      <c r="BB2254" s="1"/>
      <c r="BC2254" s="1"/>
      <c r="BD2254" s="1"/>
      <c r="BE2254" s="1"/>
    </row>
    <row x14ac:dyDescent="0.25" r="2255" customHeight="1" ht="18.75">
      <c r="A2255" s="1"/>
      <c r="B2255" s="2"/>
      <c r="C2255" s="2"/>
      <c r="D2255" s="2"/>
      <c r="E2255" s="2"/>
      <c r="F2255" s="2"/>
      <c r="G2255" s="1"/>
      <c r="H2255" s="1"/>
      <c r="I2255" s="7">
        <v>2.252</v>
      </c>
      <c r="J2255" s="7">
        <f>IF((I2255-ROUNDDOWN(I2255,0))=0, 0, (I2255-ROUNDDOWN(I2255,0)))</f>
      </c>
      <c r="K2255" s="7">
        <f>INDIRECT("C$"&amp;2+MIN(2,ROUNDDOWN(I2255,0))*3)*(-$J2255^3+3*$J2255^2-3*$J2255+1)+INDIRECT("C$"&amp;3+MIN(2,ROUNDDOWN(I2255,0))*3)*(3*$J2255^3-6*$J2255^2+3*$J2255)+INDIRECT("C$"&amp;4+MIN(2,ROUNDDOWN(I2255,0))*3)*(-3*$J2255^3+3*$J2255^2)+INDIRECT("C$"&amp;5+MIN(2,ROUNDDOWN(I2255,0))*3)*$J2255^3</f>
      </c>
      <c r="L2255" s="7">
        <f>INDIRECT("D$"&amp;2+MIN(2,ROUNDDOWN(I2255,0))*3)*(-$J2255^3+3*$J2255^2-3*$J2255+1)+INDIRECT("D$"&amp;3+MIN(2,ROUNDDOWN(I2255,0))*3)*(3*$J2255^3-6*$J2255^2+3*$J2255)+INDIRECT("D$"&amp;4+MIN(2,ROUNDDOWN(I2255,0))*3)*(-3*$J2255^3+3*$J2255^2)+INDIRECT("D$"&amp;5+MIN(2,ROUNDDOWN(I2255,0))*3)*$J2255^3</f>
      </c>
      <c r="M2255" s="7">
        <f>SQRT(K2255^2+L2255^2)</f>
      </c>
      <c r="N2255" s="7">
        <f>(K2256-K2254)</f>
      </c>
      <c r="O2255" s="7">
        <f>+(L2256-L2254)</f>
      </c>
      <c r="P2255" s="7">
        <f>SQRT(O2255^2+N2255^2)</f>
      </c>
      <c r="Q2255" s="7">
        <f>N2255/$P2255</f>
      </c>
      <c r="R2255" s="7">
        <f>O2255/$P2255</f>
      </c>
      <c r="S2255" s="8">
        <f>Q2255^2+R2255^2</f>
      </c>
      <c r="T2255" s="7">
        <f>-R2255</f>
      </c>
      <c r="U2255" s="7">
        <f>Q2255</f>
      </c>
      <c r="V2255" s="7">
        <f>($C$14+($C$15-$C$14)/($D$15-$D$14)*(I2255-$D$14))/2</f>
      </c>
      <c r="W2255" s="7">
        <f>($B$22*I2255^4+$C$22*I2255^3+$D$22*I2255^2+$E$22*I2255+$F$22)/2</f>
      </c>
      <c r="X2255" s="7">
        <f>($W2255)*(T2255)</f>
      </c>
      <c r="Y2255" s="7">
        <f>($W2255)*(U2255)</f>
      </c>
      <c r="Z2255" s="7">
        <f>SQRT(X2255^2+Y2255^2)</f>
      </c>
      <c r="AA2255" s="7">
        <f>$K2255+$X2255</f>
      </c>
      <c r="AB2255" s="7">
        <f>$L2255+$Y2255</f>
      </c>
      <c r="AC2255" s="7">
        <f>$K2255-$X2255</f>
      </c>
      <c r="AD2255" s="7">
        <f>$L2255-$Y2255</f>
      </c>
      <c r="AE2255" s="7">
        <f>AA2255/39.3701</f>
      </c>
      <c r="AF2255" s="7">
        <f>AB2255/39.3701</f>
      </c>
      <c r="AG2255" s="7">
        <f>AC2255/39.3701</f>
      </c>
      <c r="AH2255" s="7">
        <f>AD2255/39.3701</f>
      </c>
      <c r="AI2255" s="1"/>
      <c r="AJ2255" s="1"/>
      <c r="AK2255" s="1"/>
      <c r="AL2255" s="1"/>
      <c r="AM2255" s="2"/>
      <c r="AN2255" s="1"/>
      <c r="AO2255" s="1"/>
      <c r="AP2255" s="1"/>
      <c r="AQ2255" s="1"/>
      <c r="AR2255" s="1"/>
      <c r="AS2255" s="1"/>
      <c r="AT2255" s="1"/>
      <c r="AU2255" s="1"/>
      <c r="AV2255" s="1"/>
      <c r="AW2255" s="1"/>
      <c r="AX2255" s="1"/>
      <c r="AY2255" s="1"/>
      <c r="AZ2255" s="1"/>
      <c r="BA2255" s="1"/>
      <c r="BB2255" s="1"/>
      <c r="BC2255" s="1"/>
      <c r="BD2255" s="1"/>
      <c r="BE2255" s="1"/>
    </row>
    <row x14ac:dyDescent="0.25" r="2256" customHeight="1" ht="18.75">
      <c r="A2256" s="1"/>
      <c r="B2256" s="2"/>
      <c r="C2256" s="2"/>
      <c r="D2256" s="2"/>
      <c r="E2256" s="2"/>
      <c r="F2256" s="2"/>
      <c r="G2256" s="1"/>
      <c r="H2256" s="1"/>
      <c r="I2256" s="7">
        <v>2.253</v>
      </c>
      <c r="J2256" s="7">
        <f>IF((I2256-ROUNDDOWN(I2256,0))=0, 0, (I2256-ROUNDDOWN(I2256,0)))</f>
      </c>
      <c r="K2256" s="7">
        <f>INDIRECT("C$"&amp;2+MIN(2,ROUNDDOWN(I2256,0))*3)*(-$J2256^3+3*$J2256^2-3*$J2256+1)+INDIRECT("C$"&amp;3+MIN(2,ROUNDDOWN(I2256,0))*3)*(3*$J2256^3-6*$J2256^2+3*$J2256)+INDIRECT("C$"&amp;4+MIN(2,ROUNDDOWN(I2256,0))*3)*(-3*$J2256^3+3*$J2256^2)+INDIRECT("C$"&amp;5+MIN(2,ROUNDDOWN(I2256,0))*3)*$J2256^3</f>
      </c>
      <c r="L2256" s="7">
        <f>INDIRECT("D$"&amp;2+MIN(2,ROUNDDOWN(I2256,0))*3)*(-$J2256^3+3*$J2256^2-3*$J2256+1)+INDIRECT("D$"&amp;3+MIN(2,ROUNDDOWN(I2256,0))*3)*(3*$J2256^3-6*$J2256^2+3*$J2256)+INDIRECT("D$"&amp;4+MIN(2,ROUNDDOWN(I2256,0))*3)*(-3*$J2256^3+3*$J2256^2)+INDIRECT("D$"&amp;5+MIN(2,ROUNDDOWN(I2256,0))*3)*$J2256^3</f>
      </c>
      <c r="M2256" s="7">
        <f>SQRT(K2256^2+L2256^2)</f>
      </c>
      <c r="N2256" s="7">
        <f>(K2257-K2255)</f>
      </c>
      <c r="O2256" s="7">
        <f>+(L2257-L2255)</f>
      </c>
      <c r="P2256" s="7">
        <f>SQRT(O2256^2+N2256^2)</f>
      </c>
      <c r="Q2256" s="7">
        <f>N2256/$P2256</f>
      </c>
      <c r="R2256" s="7">
        <f>O2256/$P2256</f>
      </c>
      <c r="S2256" s="8">
        <f>Q2256^2+R2256^2</f>
      </c>
      <c r="T2256" s="7">
        <f>-R2256</f>
      </c>
      <c r="U2256" s="7">
        <f>Q2256</f>
      </c>
      <c r="V2256" s="7">
        <f>($C$14+($C$15-$C$14)/($D$15-$D$14)*(I2256-$D$14))/2</f>
      </c>
      <c r="W2256" s="7">
        <f>($B$22*I2256^4+$C$22*I2256^3+$D$22*I2256^2+$E$22*I2256+$F$22)/2</f>
      </c>
      <c r="X2256" s="7">
        <f>($W2256)*(T2256)</f>
      </c>
      <c r="Y2256" s="7">
        <f>($W2256)*(U2256)</f>
      </c>
      <c r="Z2256" s="7">
        <f>SQRT(X2256^2+Y2256^2)</f>
      </c>
      <c r="AA2256" s="7">
        <f>$K2256+$X2256</f>
      </c>
      <c r="AB2256" s="7">
        <f>$L2256+$Y2256</f>
      </c>
      <c r="AC2256" s="7">
        <f>$K2256-$X2256</f>
      </c>
      <c r="AD2256" s="7">
        <f>$L2256-$Y2256</f>
      </c>
      <c r="AE2256" s="7">
        <f>AA2256/39.3701</f>
      </c>
      <c r="AF2256" s="7">
        <f>AB2256/39.3701</f>
      </c>
      <c r="AG2256" s="7">
        <f>AC2256/39.3701</f>
      </c>
      <c r="AH2256" s="7">
        <f>AD2256/39.3701</f>
      </c>
      <c r="AI2256" s="1"/>
      <c r="AJ2256" s="1"/>
      <c r="AK2256" s="1"/>
      <c r="AL2256" s="1"/>
      <c r="AM2256" s="2"/>
      <c r="AN2256" s="1"/>
      <c r="AO2256" s="1"/>
      <c r="AP2256" s="1"/>
      <c r="AQ2256" s="1"/>
      <c r="AR2256" s="1"/>
      <c r="AS2256" s="1"/>
      <c r="AT2256" s="1"/>
      <c r="AU2256" s="1"/>
      <c r="AV2256" s="1"/>
      <c r="AW2256" s="1"/>
      <c r="AX2256" s="1"/>
      <c r="AY2256" s="1"/>
      <c r="AZ2256" s="1"/>
      <c r="BA2256" s="1"/>
      <c r="BB2256" s="1"/>
      <c r="BC2256" s="1"/>
      <c r="BD2256" s="1"/>
      <c r="BE2256" s="1"/>
    </row>
    <row x14ac:dyDescent="0.25" r="2257" customHeight="1" ht="18.75">
      <c r="A2257" s="1"/>
      <c r="B2257" s="2"/>
      <c r="C2257" s="2"/>
      <c r="D2257" s="2"/>
      <c r="E2257" s="2"/>
      <c r="F2257" s="2"/>
      <c r="G2257" s="1"/>
      <c r="H2257" s="1"/>
      <c r="I2257" s="7">
        <v>2.254</v>
      </c>
      <c r="J2257" s="7">
        <f>IF((I2257-ROUNDDOWN(I2257,0))=0, 0, (I2257-ROUNDDOWN(I2257,0)))</f>
      </c>
      <c r="K2257" s="7">
        <f>INDIRECT("C$"&amp;2+MIN(2,ROUNDDOWN(I2257,0))*3)*(-$J2257^3+3*$J2257^2-3*$J2257+1)+INDIRECT("C$"&amp;3+MIN(2,ROUNDDOWN(I2257,0))*3)*(3*$J2257^3-6*$J2257^2+3*$J2257)+INDIRECT("C$"&amp;4+MIN(2,ROUNDDOWN(I2257,0))*3)*(-3*$J2257^3+3*$J2257^2)+INDIRECT("C$"&amp;5+MIN(2,ROUNDDOWN(I2257,0))*3)*$J2257^3</f>
      </c>
      <c r="L2257" s="7">
        <f>INDIRECT("D$"&amp;2+MIN(2,ROUNDDOWN(I2257,0))*3)*(-$J2257^3+3*$J2257^2-3*$J2257+1)+INDIRECT("D$"&amp;3+MIN(2,ROUNDDOWN(I2257,0))*3)*(3*$J2257^3-6*$J2257^2+3*$J2257)+INDIRECT("D$"&amp;4+MIN(2,ROUNDDOWN(I2257,0))*3)*(-3*$J2257^3+3*$J2257^2)+INDIRECT("D$"&amp;5+MIN(2,ROUNDDOWN(I2257,0))*3)*$J2257^3</f>
      </c>
      <c r="M2257" s="7">
        <f>SQRT(K2257^2+L2257^2)</f>
      </c>
      <c r="N2257" s="7">
        <f>(K2258-K2256)</f>
      </c>
      <c r="O2257" s="7">
        <f>+(L2258-L2256)</f>
      </c>
      <c r="P2257" s="7">
        <f>SQRT(O2257^2+N2257^2)</f>
      </c>
      <c r="Q2257" s="7">
        <f>N2257/$P2257</f>
      </c>
      <c r="R2257" s="7">
        <f>O2257/$P2257</f>
      </c>
      <c r="S2257" s="7">
        <f>Q2257^2+R2257^2</f>
      </c>
      <c r="T2257" s="7">
        <f>-R2257</f>
      </c>
      <c r="U2257" s="7">
        <f>Q2257</f>
      </c>
      <c r="V2257" s="7">
        <f>($C$14+($C$15-$C$14)/($D$15-$D$14)*(I2257-$D$14))/2</f>
      </c>
      <c r="W2257" s="7">
        <f>($B$22*I2257^4+$C$22*I2257^3+$D$22*I2257^2+$E$22*I2257+$F$22)/2</f>
      </c>
      <c r="X2257" s="7">
        <f>($W2257)*(T2257)</f>
      </c>
      <c r="Y2257" s="7">
        <f>($W2257)*(U2257)</f>
      </c>
      <c r="Z2257" s="7">
        <f>SQRT(X2257^2+Y2257^2)</f>
      </c>
      <c r="AA2257" s="7">
        <f>$K2257+$X2257</f>
      </c>
      <c r="AB2257" s="7">
        <f>$L2257+$Y2257</f>
      </c>
      <c r="AC2257" s="7">
        <f>$K2257-$X2257</f>
      </c>
      <c r="AD2257" s="7">
        <f>$L2257-$Y2257</f>
      </c>
      <c r="AE2257" s="7">
        <f>AA2257/39.3701</f>
      </c>
      <c r="AF2257" s="7">
        <f>AB2257/39.3701</f>
      </c>
      <c r="AG2257" s="7">
        <f>AC2257/39.3701</f>
      </c>
      <c r="AH2257" s="7">
        <f>AD2257/39.3701</f>
      </c>
      <c r="AI2257" s="1"/>
      <c r="AJ2257" s="1"/>
      <c r="AK2257" s="1"/>
      <c r="AL2257" s="1"/>
      <c r="AM2257" s="2"/>
      <c r="AN2257" s="1"/>
      <c r="AO2257" s="1"/>
      <c r="AP2257" s="1"/>
      <c r="AQ2257" s="1"/>
      <c r="AR2257" s="1"/>
      <c r="AS2257" s="1"/>
      <c r="AT2257" s="1"/>
      <c r="AU2257" s="1"/>
      <c r="AV2257" s="1"/>
      <c r="AW2257" s="1"/>
      <c r="AX2257" s="1"/>
      <c r="AY2257" s="1"/>
      <c r="AZ2257" s="1"/>
      <c r="BA2257" s="1"/>
      <c r="BB2257" s="1"/>
      <c r="BC2257" s="1"/>
      <c r="BD2257" s="1"/>
      <c r="BE2257" s="1"/>
    </row>
    <row x14ac:dyDescent="0.25" r="2258" customHeight="1" ht="18.75">
      <c r="A2258" s="1"/>
      <c r="B2258" s="2"/>
      <c r="C2258" s="2"/>
      <c r="D2258" s="2"/>
      <c r="E2258" s="2"/>
      <c r="F2258" s="2"/>
      <c r="G2258" s="1"/>
      <c r="H2258" s="1"/>
      <c r="I2258" s="7">
        <v>2.255</v>
      </c>
      <c r="J2258" s="7">
        <f>IF((I2258-ROUNDDOWN(I2258,0))=0, 0, (I2258-ROUNDDOWN(I2258,0)))</f>
      </c>
      <c r="K2258" s="7">
        <f>INDIRECT("C$"&amp;2+MIN(2,ROUNDDOWN(I2258,0))*3)*(-$J2258^3+3*$J2258^2-3*$J2258+1)+INDIRECT("C$"&amp;3+MIN(2,ROUNDDOWN(I2258,0))*3)*(3*$J2258^3-6*$J2258^2+3*$J2258)+INDIRECT("C$"&amp;4+MIN(2,ROUNDDOWN(I2258,0))*3)*(-3*$J2258^3+3*$J2258^2)+INDIRECT("C$"&amp;5+MIN(2,ROUNDDOWN(I2258,0))*3)*$J2258^3</f>
      </c>
      <c r="L2258" s="7">
        <f>INDIRECT("D$"&amp;2+MIN(2,ROUNDDOWN(I2258,0))*3)*(-$J2258^3+3*$J2258^2-3*$J2258+1)+INDIRECT("D$"&amp;3+MIN(2,ROUNDDOWN(I2258,0))*3)*(3*$J2258^3-6*$J2258^2+3*$J2258)+INDIRECT("D$"&amp;4+MIN(2,ROUNDDOWN(I2258,0))*3)*(-3*$J2258^3+3*$J2258^2)+INDIRECT("D$"&amp;5+MIN(2,ROUNDDOWN(I2258,0))*3)*$J2258^3</f>
      </c>
      <c r="M2258" s="7">
        <f>SQRT(K2258^2+L2258^2)</f>
      </c>
      <c r="N2258" s="7">
        <f>(K2259-K2257)</f>
      </c>
      <c r="O2258" s="7">
        <f>+(L2259-L2257)</f>
      </c>
      <c r="P2258" s="7">
        <f>SQRT(O2258^2+N2258^2)</f>
      </c>
      <c r="Q2258" s="7">
        <f>N2258/$P2258</f>
      </c>
      <c r="R2258" s="7">
        <f>O2258/$P2258</f>
      </c>
      <c r="S2258" s="8">
        <f>Q2258^2+R2258^2</f>
      </c>
      <c r="T2258" s="7">
        <f>-R2258</f>
      </c>
      <c r="U2258" s="7">
        <f>Q2258</f>
      </c>
      <c r="V2258" s="7">
        <f>($C$14+($C$15-$C$14)/($D$15-$D$14)*(I2258-$D$14))/2</f>
      </c>
      <c r="W2258" s="7">
        <f>($B$22*I2258^4+$C$22*I2258^3+$D$22*I2258^2+$E$22*I2258+$F$22)/2</f>
      </c>
      <c r="X2258" s="7">
        <f>($W2258)*(T2258)</f>
      </c>
      <c r="Y2258" s="7">
        <f>($W2258)*(U2258)</f>
      </c>
      <c r="Z2258" s="7">
        <f>SQRT(X2258^2+Y2258^2)</f>
      </c>
      <c r="AA2258" s="7">
        <f>$K2258+$X2258</f>
      </c>
      <c r="AB2258" s="7">
        <f>$L2258+$Y2258</f>
      </c>
      <c r="AC2258" s="7">
        <f>$K2258-$X2258</f>
      </c>
      <c r="AD2258" s="7">
        <f>$L2258-$Y2258</f>
      </c>
      <c r="AE2258" s="7">
        <f>AA2258/39.3701</f>
      </c>
      <c r="AF2258" s="7">
        <f>AB2258/39.3701</f>
      </c>
      <c r="AG2258" s="7">
        <f>AC2258/39.3701</f>
      </c>
      <c r="AH2258" s="7">
        <f>AD2258/39.3701</f>
      </c>
      <c r="AI2258" s="1"/>
      <c r="AJ2258" s="1"/>
      <c r="AK2258" s="1"/>
      <c r="AL2258" s="1"/>
      <c r="AM2258" s="2"/>
      <c r="AN2258" s="1"/>
      <c r="AO2258" s="1"/>
      <c r="AP2258" s="1"/>
      <c r="AQ2258" s="1"/>
      <c r="AR2258" s="1"/>
      <c r="AS2258" s="1"/>
      <c r="AT2258" s="1"/>
      <c r="AU2258" s="1"/>
      <c r="AV2258" s="1"/>
      <c r="AW2258" s="1"/>
      <c r="AX2258" s="1"/>
      <c r="AY2258" s="1"/>
      <c r="AZ2258" s="1"/>
      <c r="BA2258" s="1"/>
      <c r="BB2258" s="1"/>
      <c r="BC2258" s="1"/>
      <c r="BD2258" s="1"/>
      <c r="BE2258" s="1"/>
    </row>
    <row x14ac:dyDescent="0.25" r="2259" customHeight="1" ht="18.75">
      <c r="A2259" s="1"/>
      <c r="B2259" s="2"/>
      <c r="C2259" s="2"/>
      <c r="D2259" s="2"/>
      <c r="E2259" s="2"/>
      <c r="F2259" s="2"/>
      <c r="G2259" s="1"/>
      <c r="H2259" s="1"/>
      <c r="I2259" s="7">
        <v>2.256</v>
      </c>
      <c r="J2259" s="7">
        <f>IF((I2259-ROUNDDOWN(I2259,0))=0, 0, (I2259-ROUNDDOWN(I2259,0)))</f>
      </c>
      <c r="K2259" s="7">
        <f>INDIRECT("C$"&amp;2+MIN(2,ROUNDDOWN(I2259,0))*3)*(-$J2259^3+3*$J2259^2-3*$J2259+1)+INDIRECT("C$"&amp;3+MIN(2,ROUNDDOWN(I2259,0))*3)*(3*$J2259^3-6*$J2259^2+3*$J2259)+INDIRECT("C$"&amp;4+MIN(2,ROUNDDOWN(I2259,0))*3)*(-3*$J2259^3+3*$J2259^2)+INDIRECT("C$"&amp;5+MIN(2,ROUNDDOWN(I2259,0))*3)*$J2259^3</f>
      </c>
      <c r="L2259" s="7">
        <f>INDIRECT("D$"&amp;2+MIN(2,ROUNDDOWN(I2259,0))*3)*(-$J2259^3+3*$J2259^2-3*$J2259+1)+INDIRECT("D$"&amp;3+MIN(2,ROUNDDOWN(I2259,0))*3)*(3*$J2259^3-6*$J2259^2+3*$J2259)+INDIRECT("D$"&amp;4+MIN(2,ROUNDDOWN(I2259,0))*3)*(-3*$J2259^3+3*$J2259^2)+INDIRECT("D$"&amp;5+MIN(2,ROUNDDOWN(I2259,0))*3)*$J2259^3</f>
      </c>
      <c r="M2259" s="7">
        <f>SQRT(K2259^2+L2259^2)</f>
      </c>
      <c r="N2259" s="7">
        <f>(K2260-K2258)</f>
      </c>
      <c r="O2259" s="7">
        <f>+(L2260-L2258)</f>
      </c>
      <c r="P2259" s="7">
        <f>SQRT(O2259^2+N2259^2)</f>
      </c>
      <c r="Q2259" s="7">
        <f>N2259/$P2259</f>
      </c>
      <c r="R2259" s="7">
        <f>O2259/$P2259</f>
      </c>
      <c r="S2259" s="8">
        <f>Q2259^2+R2259^2</f>
      </c>
      <c r="T2259" s="7">
        <f>-R2259</f>
      </c>
      <c r="U2259" s="7">
        <f>Q2259</f>
      </c>
      <c r="V2259" s="7">
        <f>($C$14+($C$15-$C$14)/($D$15-$D$14)*(I2259-$D$14))/2</f>
      </c>
      <c r="W2259" s="7">
        <f>($B$22*I2259^4+$C$22*I2259^3+$D$22*I2259^2+$E$22*I2259+$F$22)/2</f>
      </c>
      <c r="X2259" s="7">
        <f>($W2259)*(T2259)</f>
      </c>
      <c r="Y2259" s="7">
        <f>($W2259)*(U2259)</f>
      </c>
      <c r="Z2259" s="7">
        <f>SQRT(X2259^2+Y2259^2)</f>
      </c>
      <c r="AA2259" s="7">
        <f>$K2259+$X2259</f>
      </c>
      <c r="AB2259" s="7">
        <f>$L2259+$Y2259</f>
      </c>
      <c r="AC2259" s="7">
        <f>$K2259-$X2259</f>
      </c>
      <c r="AD2259" s="7">
        <f>$L2259-$Y2259</f>
      </c>
      <c r="AE2259" s="7">
        <f>AA2259/39.3701</f>
      </c>
      <c r="AF2259" s="7">
        <f>AB2259/39.3701</f>
      </c>
      <c r="AG2259" s="7">
        <f>AC2259/39.3701</f>
      </c>
      <c r="AH2259" s="7">
        <f>AD2259/39.3701</f>
      </c>
      <c r="AI2259" s="1"/>
      <c r="AJ2259" s="1"/>
      <c r="AK2259" s="1"/>
      <c r="AL2259" s="1"/>
      <c r="AM2259" s="2"/>
      <c r="AN2259" s="1"/>
      <c r="AO2259" s="1"/>
      <c r="AP2259" s="1"/>
      <c r="AQ2259" s="1"/>
      <c r="AR2259" s="1"/>
      <c r="AS2259" s="1"/>
      <c r="AT2259" s="1"/>
      <c r="AU2259" s="1"/>
      <c r="AV2259" s="1"/>
      <c r="AW2259" s="1"/>
      <c r="AX2259" s="1"/>
      <c r="AY2259" s="1"/>
      <c r="AZ2259" s="1"/>
      <c r="BA2259" s="1"/>
      <c r="BB2259" s="1"/>
      <c r="BC2259" s="1"/>
      <c r="BD2259" s="1"/>
      <c r="BE2259" s="1"/>
    </row>
    <row x14ac:dyDescent="0.25" r="2260" customHeight="1" ht="18.75">
      <c r="A2260" s="1"/>
      <c r="B2260" s="2"/>
      <c r="C2260" s="2"/>
      <c r="D2260" s="2"/>
      <c r="E2260" s="2"/>
      <c r="F2260" s="2"/>
      <c r="G2260" s="1"/>
      <c r="H2260" s="1"/>
      <c r="I2260" s="7">
        <v>2.257</v>
      </c>
      <c r="J2260" s="7">
        <f>IF((I2260-ROUNDDOWN(I2260,0))=0, 0, (I2260-ROUNDDOWN(I2260,0)))</f>
      </c>
      <c r="K2260" s="7">
        <f>INDIRECT("C$"&amp;2+MIN(2,ROUNDDOWN(I2260,0))*3)*(-$J2260^3+3*$J2260^2-3*$J2260+1)+INDIRECT("C$"&amp;3+MIN(2,ROUNDDOWN(I2260,0))*3)*(3*$J2260^3-6*$J2260^2+3*$J2260)+INDIRECT("C$"&amp;4+MIN(2,ROUNDDOWN(I2260,0))*3)*(-3*$J2260^3+3*$J2260^2)+INDIRECT("C$"&amp;5+MIN(2,ROUNDDOWN(I2260,0))*3)*$J2260^3</f>
      </c>
      <c r="L2260" s="7">
        <f>INDIRECT("D$"&amp;2+MIN(2,ROUNDDOWN(I2260,0))*3)*(-$J2260^3+3*$J2260^2-3*$J2260+1)+INDIRECT("D$"&amp;3+MIN(2,ROUNDDOWN(I2260,0))*3)*(3*$J2260^3-6*$J2260^2+3*$J2260)+INDIRECT("D$"&amp;4+MIN(2,ROUNDDOWN(I2260,0))*3)*(-3*$J2260^3+3*$J2260^2)+INDIRECT("D$"&amp;5+MIN(2,ROUNDDOWN(I2260,0))*3)*$J2260^3</f>
      </c>
      <c r="M2260" s="7">
        <f>SQRT(K2260^2+L2260^2)</f>
      </c>
      <c r="N2260" s="7">
        <f>(K2261-K2259)</f>
      </c>
      <c r="O2260" s="7">
        <f>+(L2261-L2259)</f>
      </c>
      <c r="P2260" s="7">
        <f>SQRT(O2260^2+N2260^2)</f>
      </c>
      <c r="Q2260" s="7">
        <f>N2260/$P2260</f>
      </c>
      <c r="R2260" s="7">
        <f>O2260/$P2260</f>
      </c>
      <c r="S2260" s="7">
        <f>Q2260^2+R2260^2</f>
      </c>
      <c r="T2260" s="7">
        <f>-R2260</f>
      </c>
      <c r="U2260" s="7">
        <f>Q2260</f>
      </c>
      <c r="V2260" s="7">
        <f>($C$14+($C$15-$C$14)/($D$15-$D$14)*(I2260-$D$14))/2</f>
      </c>
      <c r="W2260" s="7">
        <f>($B$22*I2260^4+$C$22*I2260^3+$D$22*I2260^2+$E$22*I2260+$F$22)/2</f>
      </c>
      <c r="X2260" s="7">
        <f>($W2260)*(T2260)</f>
      </c>
      <c r="Y2260" s="7">
        <f>($W2260)*(U2260)</f>
      </c>
      <c r="Z2260" s="7">
        <f>SQRT(X2260^2+Y2260^2)</f>
      </c>
      <c r="AA2260" s="7">
        <f>$K2260+$X2260</f>
      </c>
      <c r="AB2260" s="7">
        <f>$L2260+$Y2260</f>
      </c>
      <c r="AC2260" s="7">
        <f>$K2260-$X2260</f>
      </c>
      <c r="AD2260" s="7">
        <f>$L2260-$Y2260</f>
      </c>
      <c r="AE2260" s="7">
        <f>AA2260/39.3701</f>
      </c>
      <c r="AF2260" s="7">
        <f>AB2260/39.3701</f>
      </c>
      <c r="AG2260" s="7">
        <f>AC2260/39.3701</f>
      </c>
      <c r="AH2260" s="7">
        <f>AD2260/39.3701</f>
      </c>
      <c r="AI2260" s="1"/>
      <c r="AJ2260" s="1"/>
      <c r="AK2260" s="1"/>
      <c r="AL2260" s="1"/>
      <c r="AM2260" s="2"/>
      <c r="AN2260" s="1"/>
      <c r="AO2260" s="1"/>
      <c r="AP2260" s="1"/>
      <c r="AQ2260" s="1"/>
      <c r="AR2260" s="1"/>
      <c r="AS2260" s="1"/>
      <c r="AT2260" s="1"/>
      <c r="AU2260" s="1"/>
      <c r="AV2260" s="1"/>
      <c r="AW2260" s="1"/>
      <c r="AX2260" s="1"/>
      <c r="AY2260" s="1"/>
      <c r="AZ2260" s="1"/>
      <c r="BA2260" s="1"/>
      <c r="BB2260" s="1"/>
      <c r="BC2260" s="1"/>
      <c r="BD2260" s="1"/>
      <c r="BE2260" s="1"/>
    </row>
    <row x14ac:dyDescent="0.25" r="2261" customHeight="1" ht="18.75">
      <c r="A2261" s="1"/>
      <c r="B2261" s="2"/>
      <c r="C2261" s="2"/>
      <c r="D2261" s="2"/>
      <c r="E2261" s="2"/>
      <c r="F2261" s="2"/>
      <c r="G2261" s="1"/>
      <c r="H2261" s="1"/>
      <c r="I2261" s="7">
        <v>2.258</v>
      </c>
      <c r="J2261" s="7">
        <f>IF((I2261-ROUNDDOWN(I2261,0))=0, 0, (I2261-ROUNDDOWN(I2261,0)))</f>
      </c>
      <c r="K2261" s="7">
        <f>INDIRECT("C$"&amp;2+MIN(2,ROUNDDOWN(I2261,0))*3)*(-$J2261^3+3*$J2261^2-3*$J2261+1)+INDIRECT("C$"&amp;3+MIN(2,ROUNDDOWN(I2261,0))*3)*(3*$J2261^3-6*$J2261^2+3*$J2261)+INDIRECT("C$"&amp;4+MIN(2,ROUNDDOWN(I2261,0))*3)*(-3*$J2261^3+3*$J2261^2)+INDIRECT("C$"&amp;5+MIN(2,ROUNDDOWN(I2261,0))*3)*$J2261^3</f>
      </c>
      <c r="L2261" s="7">
        <f>INDIRECT("D$"&amp;2+MIN(2,ROUNDDOWN(I2261,0))*3)*(-$J2261^3+3*$J2261^2-3*$J2261+1)+INDIRECT("D$"&amp;3+MIN(2,ROUNDDOWN(I2261,0))*3)*(3*$J2261^3-6*$J2261^2+3*$J2261)+INDIRECT("D$"&amp;4+MIN(2,ROUNDDOWN(I2261,0))*3)*(-3*$J2261^3+3*$J2261^2)+INDIRECT("D$"&amp;5+MIN(2,ROUNDDOWN(I2261,0))*3)*$J2261^3</f>
      </c>
      <c r="M2261" s="7">
        <f>SQRT(K2261^2+L2261^2)</f>
      </c>
      <c r="N2261" s="7">
        <f>(K2262-K2260)</f>
      </c>
      <c r="O2261" s="7">
        <f>+(L2262-L2260)</f>
      </c>
      <c r="P2261" s="7">
        <f>SQRT(O2261^2+N2261^2)</f>
      </c>
      <c r="Q2261" s="7">
        <f>N2261/$P2261</f>
      </c>
      <c r="R2261" s="7">
        <f>O2261/$P2261</f>
      </c>
      <c r="S2261" s="7">
        <f>Q2261^2+R2261^2</f>
      </c>
      <c r="T2261" s="7">
        <f>-R2261</f>
      </c>
      <c r="U2261" s="7">
        <f>Q2261</f>
      </c>
      <c r="V2261" s="7">
        <f>($C$14+($C$15-$C$14)/($D$15-$D$14)*(I2261-$D$14))/2</f>
      </c>
      <c r="W2261" s="7">
        <f>($B$22*I2261^4+$C$22*I2261^3+$D$22*I2261^2+$E$22*I2261+$F$22)/2</f>
      </c>
      <c r="X2261" s="7">
        <f>($W2261)*(T2261)</f>
      </c>
      <c r="Y2261" s="7">
        <f>($W2261)*(U2261)</f>
      </c>
      <c r="Z2261" s="7">
        <f>SQRT(X2261^2+Y2261^2)</f>
      </c>
      <c r="AA2261" s="7">
        <f>$K2261+$X2261</f>
      </c>
      <c r="AB2261" s="7">
        <f>$L2261+$Y2261</f>
      </c>
      <c r="AC2261" s="7">
        <f>$K2261-$X2261</f>
      </c>
      <c r="AD2261" s="7">
        <f>$L2261-$Y2261</f>
      </c>
      <c r="AE2261" s="7">
        <f>AA2261/39.3701</f>
      </c>
      <c r="AF2261" s="7">
        <f>AB2261/39.3701</f>
      </c>
      <c r="AG2261" s="7">
        <f>AC2261/39.3701</f>
      </c>
      <c r="AH2261" s="7">
        <f>AD2261/39.3701</f>
      </c>
      <c r="AI2261" s="1"/>
      <c r="AJ2261" s="1"/>
      <c r="AK2261" s="1"/>
      <c r="AL2261" s="1"/>
      <c r="AM2261" s="2"/>
      <c r="AN2261" s="1"/>
      <c r="AO2261" s="1"/>
      <c r="AP2261" s="1"/>
      <c r="AQ2261" s="1"/>
      <c r="AR2261" s="1"/>
      <c r="AS2261" s="1"/>
      <c r="AT2261" s="1"/>
      <c r="AU2261" s="1"/>
      <c r="AV2261" s="1"/>
      <c r="AW2261" s="1"/>
      <c r="AX2261" s="1"/>
      <c r="AY2261" s="1"/>
      <c r="AZ2261" s="1"/>
      <c r="BA2261" s="1"/>
      <c r="BB2261" s="1"/>
      <c r="BC2261" s="1"/>
      <c r="BD2261" s="1"/>
      <c r="BE2261" s="1"/>
    </row>
    <row x14ac:dyDescent="0.25" r="2262" customHeight="1" ht="18.75">
      <c r="A2262" s="1"/>
      <c r="B2262" s="2"/>
      <c r="C2262" s="2"/>
      <c r="D2262" s="2"/>
      <c r="E2262" s="2"/>
      <c r="F2262" s="2"/>
      <c r="G2262" s="1"/>
      <c r="H2262" s="1"/>
      <c r="I2262" s="7">
        <v>2.259</v>
      </c>
      <c r="J2262" s="7">
        <f>IF((I2262-ROUNDDOWN(I2262,0))=0, 0, (I2262-ROUNDDOWN(I2262,0)))</f>
      </c>
      <c r="K2262" s="7">
        <f>INDIRECT("C$"&amp;2+MIN(2,ROUNDDOWN(I2262,0))*3)*(-$J2262^3+3*$J2262^2-3*$J2262+1)+INDIRECT("C$"&amp;3+MIN(2,ROUNDDOWN(I2262,0))*3)*(3*$J2262^3-6*$J2262^2+3*$J2262)+INDIRECT("C$"&amp;4+MIN(2,ROUNDDOWN(I2262,0))*3)*(-3*$J2262^3+3*$J2262^2)+INDIRECT("C$"&amp;5+MIN(2,ROUNDDOWN(I2262,0))*3)*$J2262^3</f>
      </c>
      <c r="L2262" s="7">
        <f>INDIRECT("D$"&amp;2+MIN(2,ROUNDDOWN(I2262,0))*3)*(-$J2262^3+3*$J2262^2-3*$J2262+1)+INDIRECT("D$"&amp;3+MIN(2,ROUNDDOWN(I2262,0))*3)*(3*$J2262^3-6*$J2262^2+3*$J2262)+INDIRECT("D$"&amp;4+MIN(2,ROUNDDOWN(I2262,0))*3)*(-3*$J2262^3+3*$J2262^2)+INDIRECT("D$"&amp;5+MIN(2,ROUNDDOWN(I2262,0))*3)*$J2262^3</f>
      </c>
      <c r="M2262" s="7">
        <f>SQRT(K2262^2+L2262^2)</f>
      </c>
      <c r="N2262" s="7">
        <f>(K2263-K2261)</f>
      </c>
      <c r="O2262" s="7">
        <f>+(L2263-L2261)</f>
      </c>
      <c r="P2262" s="7">
        <f>SQRT(O2262^2+N2262^2)</f>
      </c>
      <c r="Q2262" s="7">
        <f>N2262/$P2262</f>
      </c>
      <c r="R2262" s="7">
        <f>O2262/$P2262</f>
      </c>
      <c r="S2262" s="7">
        <f>Q2262^2+R2262^2</f>
      </c>
      <c r="T2262" s="7">
        <f>-R2262</f>
      </c>
      <c r="U2262" s="7">
        <f>Q2262</f>
      </c>
      <c r="V2262" s="7">
        <f>($C$14+($C$15-$C$14)/($D$15-$D$14)*(I2262-$D$14))/2</f>
      </c>
      <c r="W2262" s="7">
        <f>($B$22*I2262^4+$C$22*I2262^3+$D$22*I2262^2+$E$22*I2262+$F$22)/2</f>
      </c>
      <c r="X2262" s="7">
        <f>($W2262)*(T2262)</f>
      </c>
      <c r="Y2262" s="7">
        <f>($W2262)*(U2262)</f>
      </c>
      <c r="Z2262" s="7">
        <f>SQRT(X2262^2+Y2262^2)</f>
      </c>
      <c r="AA2262" s="7">
        <f>$K2262+$X2262</f>
      </c>
      <c r="AB2262" s="7">
        <f>$L2262+$Y2262</f>
      </c>
      <c r="AC2262" s="7">
        <f>$K2262-$X2262</f>
      </c>
      <c r="AD2262" s="7">
        <f>$L2262-$Y2262</f>
      </c>
      <c r="AE2262" s="7">
        <f>AA2262/39.3701</f>
      </c>
      <c r="AF2262" s="7">
        <f>AB2262/39.3701</f>
      </c>
      <c r="AG2262" s="7">
        <f>AC2262/39.3701</f>
      </c>
      <c r="AH2262" s="7">
        <f>AD2262/39.3701</f>
      </c>
      <c r="AI2262" s="1"/>
      <c r="AJ2262" s="1"/>
      <c r="AK2262" s="1"/>
      <c r="AL2262" s="1"/>
      <c r="AM2262" s="2"/>
      <c r="AN2262" s="1"/>
      <c r="AO2262" s="1"/>
      <c r="AP2262" s="1"/>
      <c r="AQ2262" s="1"/>
      <c r="AR2262" s="1"/>
      <c r="AS2262" s="1"/>
      <c r="AT2262" s="1"/>
      <c r="AU2262" s="1"/>
      <c r="AV2262" s="1"/>
      <c r="AW2262" s="1"/>
      <c r="AX2262" s="1"/>
      <c r="AY2262" s="1"/>
      <c r="AZ2262" s="1"/>
      <c r="BA2262" s="1"/>
      <c r="BB2262" s="1"/>
      <c r="BC2262" s="1"/>
      <c r="BD2262" s="1"/>
      <c r="BE2262" s="1"/>
    </row>
    <row x14ac:dyDescent="0.25" r="2263" customHeight="1" ht="18.75">
      <c r="A2263" s="1"/>
      <c r="B2263" s="2"/>
      <c r="C2263" s="2"/>
      <c r="D2263" s="2"/>
      <c r="E2263" s="2"/>
      <c r="F2263" s="2"/>
      <c r="G2263" s="1"/>
      <c r="H2263" s="1"/>
      <c r="I2263" s="7">
        <v>2.26</v>
      </c>
      <c r="J2263" s="7">
        <f>IF((I2263-ROUNDDOWN(I2263,0))=0, 0, (I2263-ROUNDDOWN(I2263,0)))</f>
      </c>
      <c r="K2263" s="7">
        <f>INDIRECT("C$"&amp;2+MIN(2,ROUNDDOWN(I2263,0))*3)*(-$J2263^3+3*$J2263^2-3*$J2263+1)+INDIRECT("C$"&amp;3+MIN(2,ROUNDDOWN(I2263,0))*3)*(3*$J2263^3-6*$J2263^2+3*$J2263)+INDIRECT("C$"&amp;4+MIN(2,ROUNDDOWN(I2263,0))*3)*(-3*$J2263^3+3*$J2263^2)+INDIRECT("C$"&amp;5+MIN(2,ROUNDDOWN(I2263,0))*3)*$J2263^3</f>
      </c>
      <c r="L2263" s="7">
        <f>INDIRECT("D$"&amp;2+MIN(2,ROUNDDOWN(I2263,0))*3)*(-$J2263^3+3*$J2263^2-3*$J2263+1)+INDIRECT("D$"&amp;3+MIN(2,ROUNDDOWN(I2263,0))*3)*(3*$J2263^3-6*$J2263^2+3*$J2263)+INDIRECT("D$"&amp;4+MIN(2,ROUNDDOWN(I2263,0))*3)*(-3*$J2263^3+3*$J2263^2)+INDIRECT("D$"&amp;5+MIN(2,ROUNDDOWN(I2263,0))*3)*$J2263^3</f>
      </c>
      <c r="M2263" s="7">
        <f>SQRT(K2263^2+L2263^2)</f>
      </c>
      <c r="N2263" s="7">
        <f>(K2264-K2262)</f>
      </c>
      <c r="O2263" s="7">
        <f>+(L2264-L2262)</f>
      </c>
      <c r="P2263" s="7">
        <f>SQRT(O2263^2+N2263^2)</f>
      </c>
      <c r="Q2263" s="7">
        <f>N2263/$P2263</f>
      </c>
      <c r="R2263" s="7">
        <f>O2263/$P2263</f>
      </c>
      <c r="S2263" s="7">
        <f>Q2263^2+R2263^2</f>
      </c>
      <c r="T2263" s="7">
        <f>-R2263</f>
      </c>
      <c r="U2263" s="7">
        <f>Q2263</f>
      </c>
      <c r="V2263" s="7">
        <f>($C$14+($C$15-$C$14)/($D$15-$D$14)*(I2263-$D$14))/2</f>
      </c>
      <c r="W2263" s="7">
        <f>($B$22*I2263^4+$C$22*I2263^3+$D$22*I2263^2+$E$22*I2263+$F$22)/2</f>
      </c>
      <c r="X2263" s="7">
        <f>($W2263)*(T2263)</f>
      </c>
      <c r="Y2263" s="7">
        <f>($W2263)*(U2263)</f>
      </c>
      <c r="Z2263" s="7">
        <f>SQRT(X2263^2+Y2263^2)</f>
      </c>
      <c r="AA2263" s="7">
        <f>$K2263+$X2263</f>
      </c>
      <c r="AB2263" s="7">
        <f>$L2263+$Y2263</f>
      </c>
      <c r="AC2263" s="7">
        <f>$K2263-$X2263</f>
      </c>
      <c r="AD2263" s="7">
        <f>$L2263-$Y2263</f>
      </c>
      <c r="AE2263" s="7">
        <f>AA2263/39.3701</f>
      </c>
      <c r="AF2263" s="7">
        <f>AB2263/39.3701</f>
      </c>
      <c r="AG2263" s="7">
        <f>AC2263/39.3701</f>
      </c>
      <c r="AH2263" s="7">
        <f>AD2263/39.3701</f>
      </c>
      <c r="AI2263" s="1"/>
      <c r="AJ2263" s="1"/>
      <c r="AK2263" s="1"/>
      <c r="AL2263" s="1"/>
      <c r="AM2263" s="2"/>
      <c r="AN2263" s="1"/>
      <c r="AO2263" s="1"/>
      <c r="AP2263" s="1"/>
      <c r="AQ2263" s="1"/>
      <c r="AR2263" s="1"/>
      <c r="AS2263" s="1"/>
      <c r="AT2263" s="1"/>
      <c r="AU2263" s="1"/>
      <c r="AV2263" s="1"/>
      <c r="AW2263" s="1"/>
      <c r="AX2263" s="1"/>
      <c r="AY2263" s="1"/>
      <c r="AZ2263" s="1"/>
      <c r="BA2263" s="1"/>
      <c r="BB2263" s="1"/>
      <c r="BC2263" s="1"/>
      <c r="BD2263" s="1"/>
      <c r="BE2263" s="1"/>
    </row>
    <row x14ac:dyDescent="0.25" r="2264" customHeight="1" ht="18.75">
      <c r="A2264" s="1"/>
      <c r="B2264" s="2"/>
      <c r="C2264" s="2"/>
      <c r="D2264" s="2"/>
      <c r="E2264" s="2"/>
      <c r="F2264" s="2"/>
      <c r="G2264" s="1"/>
      <c r="H2264" s="1"/>
      <c r="I2264" s="7">
        <v>2.261</v>
      </c>
      <c r="J2264" s="7">
        <f>IF((I2264-ROUNDDOWN(I2264,0))=0, 0, (I2264-ROUNDDOWN(I2264,0)))</f>
      </c>
      <c r="K2264" s="7">
        <f>INDIRECT("C$"&amp;2+MIN(2,ROUNDDOWN(I2264,0))*3)*(-$J2264^3+3*$J2264^2-3*$J2264+1)+INDIRECT("C$"&amp;3+MIN(2,ROUNDDOWN(I2264,0))*3)*(3*$J2264^3-6*$J2264^2+3*$J2264)+INDIRECT("C$"&amp;4+MIN(2,ROUNDDOWN(I2264,0))*3)*(-3*$J2264^3+3*$J2264^2)+INDIRECT("C$"&amp;5+MIN(2,ROUNDDOWN(I2264,0))*3)*$J2264^3</f>
      </c>
      <c r="L2264" s="7">
        <f>INDIRECT("D$"&amp;2+MIN(2,ROUNDDOWN(I2264,0))*3)*(-$J2264^3+3*$J2264^2-3*$J2264+1)+INDIRECT("D$"&amp;3+MIN(2,ROUNDDOWN(I2264,0))*3)*(3*$J2264^3-6*$J2264^2+3*$J2264)+INDIRECT("D$"&amp;4+MIN(2,ROUNDDOWN(I2264,0))*3)*(-3*$J2264^3+3*$J2264^2)+INDIRECT("D$"&amp;5+MIN(2,ROUNDDOWN(I2264,0))*3)*$J2264^3</f>
      </c>
      <c r="M2264" s="7">
        <f>SQRT(K2264^2+L2264^2)</f>
      </c>
      <c r="N2264" s="7">
        <f>(K2265-K2263)</f>
      </c>
      <c r="O2264" s="7">
        <f>+(L2265-L2263)</f>
      </c>
      <c r="P2264" s="7">
        <f>SQRT(O2264^2+N2264^2)</f>
      </c>
      <c r="Q2264" s="7">
        <f>N2264/$P2264</f>
      </c>
      <c r="R2264" s="7">
        <f>O2264/$P2264</f>
      </c>
      <c r="S2264" s="7">
        <f>Q2264^2+R2264^2</f>
      </c>
      <c r="T2264" s="7">
        <f>-R2264</f>
      </c>
      <c r="U2264" s="7">
        <f>Q2264</f>
      </c>
      <c r="V2264" s="7">
        <f>($C$14+($C$15-$C$14)/($D$15-$D$14)*(I2264-$D$14))/2</f>
      </c>
      <c r="W2264" s="7">
        <f>($B$22*I2264^4+$C$22*I2264^3+$D$22*I2264^2+$E$22*I2264+$F$22)/2</f>
      </c>
      <c r="X2264" s="7">
        <f>($W2264)*(T2264)</f>
      </c>
      <c r="Y2264" s="7">
        <f>($W2264)*(U2264)</f>
      </c>
      <c r="Z2264" s="7">
        <f>SQRT(X2264^2+Y2264^2)</f>
      </c>
      <c r="AA2264" s="7">
        <f>$K2264+$X2264</f>
      </c>
      <c r="AB2264" s="7">
        <f>$L2264+$Y2264</f>
      </c>
      <c r="AC2264" s="7">
        <f>$K2264-$X2264</f>
      </c>
      <c r="AD2264" s="7">
        <f>$L2264-$Y2264</f>
      </c>
      <c r="AE2264" s="7">
        <f>AA2264/39.3701</f>
      </c>
      <c r="AF2264" s="7">
        <f>AB2264/39.3701</f>
      </c>
      <c r="AG2264" s="7">
        <f>AC2264/39.3701</f>
      </c>
      <c r="AH2264" s="7">
        <f>AD2264/39.3701</f>
      </c>
      <c r="AI2264" s="1"/>
      <c r="AJ2264" s="1"/>
      <c r="AK2264" s="1"/>
      <c r="AL2264" s="1"/>
      <c r="AM2264" s="2"/>
      <c r="AN2264" s="1"/>
      <c r="AO2264" s="1"/>
      <c r="AP2264" s="1"/>
      <c r="AQ2264" s="1"/>
      <c r="AR2264" s="1"/>
      <c r="AS2264" s="1"/>
      <c r="AT2264" s="1"/>
      <c r="AU2264" s="1"/>
      <c r="AV2264" s="1"/>
      <c r="AW2264" s="1"/>
      <c r="AX2264" s="1"/>
      <c r="AY2264" s="1"/>
      <c r="AZ2264" s="1"/>
      <c r="BA2264" s="1"/>
      <c r="BB2264" s="1"/>
      <c r="BC2264" s="1"/>
      <c r="BD2264" s="1"/>
      <c r="BE2264" s="1"/>
    </row>
    <row x14ac:dyDescent="0.25" r="2265" customHeight="1" ht="18.75">
      <c r="A2265" s="1"/>
      <c r="B2265" s="2"/>
      <c r="C2265" s="2"/>
      <c r="D2265" s="2"/>
      <c r="E2265" s="2"/>
      <c r="F2265" s="2"/>
      <c r="G2265" s="1"/>
      <c r="H2265" s="1"/>
      <c r="I2265" s="7">
        <v>2.262</v>
      </c>
      <c r="J2265" s="7">
        <f>IF((I2265-ROUNDDOWN(I2265,0))=0, 0, (I2265-ROUNDDOWN(I2265,0)))</f>
      </c>
      <c r="K2265" s="7">
        <f>INDIRECT("C$"&amp;2+MIN(2,ROUNDDOWN(I2265,0))*3)*(-$J2265^3+3*$J2265^2-3*$J2265+1)+INDIRECT("C$"&amp;3+MIN(2,ROUNDDOWN(I2265,0))*3)*(3*$J2265^3-6*$J2265^2+3*$J2265)+INDIRECT("C$"&amp;4+MIN(2,ROUNDDOWN(I2265,0))*3)*(-3*$J2265^3+3*$J2265^2)+INDIRECT("C$"&amp;5+MIN(2,ROUNDDOWN(I2265,0))*3)*$J2265^3</f>
      </c>
      <c r="L2265" s="7">
        <f>INDIRECT("D$"&amp;2+MIN(2,ROUNDDOWN(I2265,0))*3)*(-$J2265^3+3*$J2265^2-3*$J2265+1)+INDIRECT("D$"&amp;3+MIN(2,ROUNDDOWN(I2265,0))*3)*(3*$J2265^3-6*$J2265^2+3*$J2265)+INDIRECT("D$"&amp;4+MIN(2,ROUNDDOWN(I2265,0))*3)*(-3*$J2265^3+3*$J2265^2)+INDIRECT("D$"&amp;5+MIN(2,ROUNDDOWN(I2265,0))*3)*$J2265^3</f>
      </c>
      <c r="M2265" s="7">
        <f>SQRT(K2265^2+L2265^2)</f>
      </c>
      <c r="N2265" s="7">
        <f>(K2266-K2264)</f>
      </c>
      <c r="O2265" s="7">
        <f>+(L2266-L2264)</f>
      </c>
      <c r="P2265" s="7">
        <f>SQRT(O2265^2+N2265^2)</f>
      </c>
      <c r="Q2265" s="7">
        <f>N2265/$P2265</f>
      </c>
      <c r="R2265" s="7">
        <f>O2265/$P2265</f>
      </c>
      <c r="S2265" s="7">
        <f>Q2265^2+R2265^2</f>
      </c>
      <c r="T2265" s="7">
        <f>-R2265</f>
      </c>
      <c r="U2265" s="7">
        <f>Q2265</f>
      </c>
      <c r="V2265" s="7">
        <f>($C$14+($C$15-$C$14)/($D$15-$D$14)*(I2265-$D$14))/2</f>
      </c>
      <c r="W2265" s="7">
        <f>($B$22*I2265^4+$C$22*I2265^3+$D$22*I2265^2+$E$22*I2265+$F$22)/2</f>
      </c>
      <c r="X2265" s="7">
        <f>($W2265)*(T2265)</f>
      </c>
      <c r="Y2265" s="7">
        <f>($W2265)*(U2265)</f>
      </c>
      <c r="Z2265" s="7">
        <f>SQRT(X2265^2+Y2265^2)</f>
      </c>
      <c r="AA2265" s="7">
        <f>$K2265+$X2265</f>
      </c>
      <c r="AB2265" s="7">
        <f>$L2265+$Y2265</f>
      </c>
      <c r="AC2265" s="7">
        <f>$K2265-$X2265</f>
      </c>
      <c r="AD2265" s="7">
        <f>$L2265-$Y2265</f>
      </c>
      <c r="AE2265" s="7">
        <f>AA2265/39.3701</f>
      </c>
      <c r="AF2265" s="7">
        <f>AB2265/39.3701</f>
      </c>
      <c r="AG2265" s="7">
        <f>AC2265/39.3701</f>
      </c>
      <c r="AH2265" s="7">
        <f>AD2265/39.3701</f>
      </c>
      <c r="AI2265" s="1"/>
      <c r="AJ2265" s="1"/>
      <c r="AK2265" s="1"/>
      <c r="AL2265" s="1"/>
      <c r="AM2265" s="2"/>
      <c r="AN2265" s="1"/>
      <c r="AO2265" s="1"/>
      <c r="AP2265" s="1"/>
      <c r="AQ2265" s="1"/>
      <c r="AR2265" s="1"/>
      <c r="AS2265" s="1"/>
      <c r="AT2265" s="1"/>
      <c r="AU2265" s="1"/>
      <c r="AV2265" s="1"/>
      <c r="AW2265" s="1"/>
      <c r="AX2265" s="1"/>
      <c r="AY2265" s="1"/>
      <c r="AZ2265" s="1"/>
      <c r="BA2265" s="1"/>
      <c r="BB2265" s="1"/>
      <c r="BC2265" s="1"/>
      <c r="BD2265" s="1"/>
      <c r="BE2265" s="1"/>
    </row>
    <row x14ac:dyDescent="0.25" r="2266" customHeight="1" ht="18.75">
      <c r="A2266" s="1"/>
      <c r="B2266" s="2"/>
      <c r="C2266" s="2"/>
      <c r="D2266" s="2"/>
      <c r="E2266" s="2"/>
      <c r="F2266" s="2"/>
      <c r="G2266" s="1"/>
      <c r="H2266" s="1"/>
      <c r="I2266" s="7">
        <v>2.263</v>
      </c>
      <c r="J2266" s="7">
        <f>IF((I2266-ROUNDDOWN(I2266,0))=0, 0, (I2266-ROUNDDOWN(I2266,0)))</f>
      </c>
      <c r="K2266" s="7">
        <f>INDIRECT("C$"&amp;2+MIN(2,ROUNDDOWN(I2266,0))*3)*(-$J2266^3+3*$J2266^2-3*$J2266+1)+INDIRECT("C$"&amp;3+MIN(2,ROUNDDOWN(I2266,0))*3)*(3*$J2266^3-6*$J2266^2+3*$J2266)+INDIRECT("C$"&amp;4+MIN(2,ROUNDDOWN(I2266,0))*3)*(-3*$J2266^3+3*$J2266^2)+INDIRECT("C$"&amp;5+MIN(2,ROUNDDOWN(I2266,0))*3)*$J2266^3</f>
      </c>
      <c r="L2266" s="7">
        <f>INDIRECT("D$"&amp;2+MIN(2,ROUNDDOWN(I2266,0))*3)*(-$J2266^3+3*$J2266^2-3*$J2266+1)+INDIRECT("D$"&amp;3+MIN(2,ROUNDDOWN(I2266,0))*3)*(3*$J2266^3-6*$J2266^2+3*$J2266)+INDIRECT("D$"&amp;4+MIN(2,ROUNDDOWN(I2266,0))*3)*(-3*$J2266^3+3*$J2266^2)+INDIRECT("D$"&amp;5+MIN(2,ROUNDDOWN(I2266,0))*3)*$J2266^3</f>
      </c>
      <c r="M2266" s="7">
        <f>SQRT(K2266^2+L2266^2)</f>
      </c>
      <c r="N2266" s="7">
        <f>(K2267-K2265)</f>
      </c>
      <c r="O2266" s="7">
        <f>+(L2267-L2265)</f>
      </c>
      <c r="P2266" s="7">
        <f>SQRT(O2266^2+N2266^2)</f>
      </c>
      <c r="Q2266" s="7">
        <f>N2266/$P2266</f>
      </c>
      <c r="R2266" s="7">
        <f>O2266/$P2266</f>
      </c>
      <c r="S2266" s="8">
        <f>Q2266^2+R2266^2</f>
      </c>
      <c r="T2266" s="7">
        <f>-R2266</f>
      </c>
      <c r="U2266" s="7">
        <f>Q2266</f>
      </c>
      <c r="V2266" s="7">
        <f>($C$14+($C$15-$C$14)/($D$15-$D$14)*(I2266-$D$14))/2</f>
      </c>
      <c r="W2266" s="7">
        <f>($B$22*I2266^4+$C$22*I2266^3+$D$22*I2266^2+$E$22*I2266+$F$22)/2</f>
      </c>
      <c r="X2266" s="7">
        <f>($W2266)*(T2266)</f>
      </c>
      <c r="Y2266" s="7">
        <f>($W2266)*(U2266)</f>
      </c>
      <c r="Z2266" s="7">
        <f>SQRT(X2266^2+Y2266^2)</f>
      </c>
      <c r="AA2266" s="7">
        <f>$K2266+$X2266</f>
      </c>
      <c r="AB2266" s="7">
        <f>$L2266+$Y2266</f>
      </c>
      <c r="AC2266" s="7">
        <f>$K2266-$X2266</f>
      </c>
      <c r="AD2266" s="7">
        <f>$L2266-$Y2266</f>
      </c>
      <c r="AE2266" s="7">
        <f>AA2266/39.3701</f>
      </c>
      <c r="AF2266" s="7">
        <f>AB2266/39.3701</f>
      </c>
      <c r="AG2266" s="7">
        <f>AC2266/39.3701</f>
      </c>
      <c r="AH2266" s="7">
        <f>AD2266/39.3701</f>
      </c>
      <c r="AI2266" s="1"/>
      <c r="AJ2266" s="1"/>
      <c r="AK2266" s="1"/>
      <c r="AL2266" s="1"/>
      <c r="AM2266" s="2"/>
      <c r="AN2266" s="1"/>
      <c r="AO2266" s="1"/>
      <c r="AP2266" s="1"/>
      <c r="AQ2266" s="1"/>
      <c r="AR2266" s="1"/>
      <c r="AS2266" s="1"/>
      <c r="AT2266" s="1"/>
      <c r="AU2266" s="1"/>
      <c r="AV2266" s="1"/>
      <c r="AW2266" s="1"/>
      <c r="AX2266" s="1"/>
      <c r="AY2266" s="1"/>
      <c r="AZ2266" s="1"/>
      <c r="BA2266" s="1"/>
      <c r="BB2266" s="1"/>
      <c r="BC2266" s="1"/>
      <c r="BD2266" s="1"/>
      <c r="BE2266" s="1"/>
    </row>
    <row x14ac:dyDescent="0.25" r="2267" customHeight="1" ht="18.75">
      <c r="A2267" s="1"/>
      <c r="B2267" s="2"/>
      <c r="C2267" s="2"/>
      <c r="D2267" s="2"/>
      <c r="E2267" s="2"/>
      <c r="F2267" s="2"/>
      <c r="G2267" s="1"/>
      <c r="H2267" s="1"/>
      <c r="I2267" s="7">
        <v>2.264</v>
      </c>
      <c r="J2267" s="7">
        <f>IF((I2267-ROUNDDOWN(I2267,0))=0, 0, (I2267-ROUNDDOWN(I2267,0)))</f>
      </c>
      <c r="K2267" s="7">
        <f>INDIRECT("C$"&amp;2+MIN(2,ROUNDDOWN(I2267,0))*3)*(-$J2267^3+3*$J2267^2-3*$J2267+1)+INDIRECT("C$"&amp;3+MIN(2,ROUNDDOWN(I2267,0))*3)*(3*$J2267^3-6*$J2267^2+3*$J2267)+INDIRECT("C$"&amp;4+MIN(2,ROUNDDOWN(I2267,0))*3)*(-3*$J2267^3+3*$J2267^2)+INDIRECT("C$"&amp;5+MIN(2,ROUNDDOWN(I2267,0))*3)*$J2267^3</f>
      </c>
      <c r="L2267" s="7">
        <f>INDIRECT("D$"&amp;2+MIN(2,ROUNDDOWN(I2267,0))*3)*(-$J2267^3+3*$J2267^2-3*$J2267+1)+INDIRECT("D$"&amp;3+MIN(2,ROUNDDOWN(I2267,0))*3)*(3*$J2267^3-6*$J2267^2+3*$J2267)+INDIRECT("D$"&amp;4+MIN(2,ROUNDDOWN(I2267,0))*3)*(-3*$J2267^3+3*$J2267^2)+INDIRECT("D$"&amp;5+MIN(2,ROUNDDOWN(I2267,0))*3)*$J2267^3</f>
      </c>
      <c r="M2267" s="7">
        <f>SQRT(K2267^2+L2267^2)</f>
      </c>
      <c r="N2267" s="7">
        <f>(K2268-K2266)</f>
      </c>
      <c r="O2267" s="7">
        <f>+(L2268-L2266)</f>
      </c>
      <c r="P2267" s="7">
        <f>SQRT(O2267^2+N2267^2)</f>
      </c>
      <c r="Q2267" s="7">
        <f>N2267/$P2267</f>
      </c>
      <c r="R2267" s="7">
        <f>O2267/$P2267</f>
      </c>
      <c r="S2267" s="7">
        <f>Q2267^2+R2267^2</f>
      </c>
      <c r="T2267" s="7">
        <f>-R2267</f>
      </c>
      <c r="U2267" s="7">
        <f>Q2267</f>
      </c>
      <c r="V2267" s="7">
        <f>($C$14+($C$15-$C$14)/($D$15-$D$14)*(I2267-$D$14))/2</f>
      </c>
      <c r="W2267" s="7">
        <f>($B$22*I2267^4+$C$22*I2267^3+$D$22*I2267^2+$E$22*I2267+$F$22)/2</f>
      </c>
      <c r="X2267" s="7">
        <f>($W2267)*(T2267)</f>
      </c>
      <c r="Y2267" s="7">
        <f>($W2267)*(U2267)</f>
      </c>
      <c r="Z2267" s="7">
        <f>SQRT(X2267^2+Y2267^2)</f>
      </c>
      <c r="AA2267" s="7">
        <f>$K2267+$X2267</f>
      </c>
      <c r="AB2267" s="7">
        <f>$L2267+$Y2267</f>
      </c>
      <c r="AC2267" s="7">
        <f>$K2267-$X2267</f>
      </c>
      <c r="AD2267" s="7">
        <f>$L2267-$Y2267</f>
      </c>
      <c r="AE2267" s="7">
        <f>AA2267/39.3701</f>
      </c>
      <c r="AF2267" s="7">
        <f>AB2267/39.3701</f>
      </c>
      <c r="AG2267" s="7">
        <f>AC2267/39.3701</f>
      </c>
      <c r="AH2267" s="7">
        <f>AD2267/39.3701</f>
      </c>
      <c r="AI2267" s="1"/>
      <c r="AJ2267" s="1"/>
      <c r="AK2267" s="1"/>
      <c r="AL2267" s="1"/>
      <c r="AM2267" s="2"/>
      <c r="AN2267" s="1"/>
      <c r="AO2267" s="1"/>
      <c r="AP2267" s="1"/>
      <c r="AQ2267" s="1"/>
      <c r="AR2267" s="1"/>
      <c r="AS2267" s="1"/>
      <c r="AT2267" s="1"/>
      <c r="AU2267" s="1"/>
      <c r="AV2267" s="1"/>
      <c r="AW2267" s="1"/>
      <c r="AX2267" s="1"/>
      <c r="AY2267" s="1"/>
      <c r="AZ2267" s="1"/>
      <c r="BA2267" s="1"/>
      <c r="BB2267" s="1"/>
      <c r="BC2267" s="1"/>
      <c r="BD2267" s="1"/>
      <c r="BE2267" s="1"/>
    </row>
    <row x14ac:dyDescent="0.25" r="2268" customHeight="1" ht="18.75">
      <c r="A2268" s="1"/>
      <c r="B2268" s="2"/>
      <c r="C2268" s="2"/>
      <c r="D2268" s="2"/>
      <c r="E2268" s="2"/>
      <c r="F2268" s="2"/>
      <c r="G2268" s="1"/>
      <c r="H2268" s="1"/>
      <c r="I2268" s="7">
        <v>2.265</v>
      </c>
      <c r="J2268" s="7">
        <f>IF((I2268-ROUNDDOWN(I2268,0))=0, 0, (I2268-ROUNDDOWN(I2268,0)))</f>
      </c>
      <c r="K2268" s="7">
        <f>INDIRECT("C$"&amp;2+MIN(2,ROUNDDOWN(I2268,0))*3)*(-$J2268^3+3*$J2268^2-3*$J2268+1)+INDIRECT("C$"&amp;3+MIN(2,ROUNDDOWN(I2268,0))*3)*(3*$J2268^3-6*$J2268^2+3*$J2268)+INDIRECT("C$"&amp;4+MIN(2,ROUNDDOWN(I2268,0))*3)*(-3*$J2268^3+3*$J2268^2)+INDIRECT("C$"&amp;5+MIN(2,ROUNDDOWN(I2268,0))*3)*$J2268^3</f>
      </c>
      <c r="L2268" s="7">
        <f>INDIRECT("D$"&amp;2+MIN(2,ROUNDDOWN(I2268,0))*3)*(-$J2268^3+3*$J2268^2-3*$J2268+1)+INDIRECT("D$"&amp;3+MIN(2,ROUNDDOWN(I2268,0))*3)*(3*$J2268^3-6*$J2268^2+3*$J2268)+INDIRECT("D$"&amp;4+MIN(2,ROUNDDOWN(I2268,0))*3)*(-3*$J2268^3+3*$J2268^2)+INDIRECT("D$"&amp;5+MIN(2,ROUNDDOWN(I2268,0))*3)*$J2268^3</f>
      </c>
      <c r="M2268" s="7">
        <f>SQRT(K2268^2+L2268^2)</f>
      </c>
      <c r="N2268" s="7">
        <f>(K2269-K2267)</f>
      </c>
      <c r="O2268" s="7">
        <f>+(L2269-L2267)</f>
      </c>
      <c r="P2268" s="7">
        <f>SQRT(O2268^2+N2268^2)</f>
      </c>
      <c r="Q2268" s="7">
        <f>N2268/$P2268</f>
      </c>
      <c r="R2268" s="7">
        <f>O2268/$P2268</f>
      </c>
      <c r="S2268" s="8">
        <f>Q2268^2+R2268^2</f>
      </c>
      <c r="T2268" s="7">
        <f>-R2268</f>
      </c>
      <c r="U2268" s="7">
        <f>Q2268</f>
      </c>
      <c r="V2268" s="7">
        <f>($C$14+($C$15-$C$14)/($D$15-$D$14)*(I2268-$D$14))/2</f>
      </c>
      <c r="W2268" s="7">
        <f>($B$22*I2268^4+$C$22*I2268^3+$D$22*I2268^2+$E$22*I2268+$F$22)/2</f>
      </c>
      <c r="X2268" s="7">
        <f>($W2268)*(T2268)</f>
      </c>
      <c r="Y2268" s="7">
        <f>($W2268)*(U2268)</f>
      </c>
      <c r="Z2268" s="7">
        <f>SQRT(X2268^2+Y2268^2)</f>
      </c>
      <c r="AA2268" s="7">
        <f>$K2268+$X2268</f>
      </c>
      <c r="AB2268" s="7">
        <f>$L2268+$Y2268</f>
      </c>
      <c r="AC2268" s="7">
        <f>$K2268-$X2268</f>
      </c>
      <c r="AD2268" s="7">
        <f>$L2268-$Y2268</f>
      </c>
      <c r="AE2268" s="7">
        <f>AA2268/39.3701</f>
      </c>
      <c r="AF2268" s="7">
        <f>AB2268/39.3701</f>
      </c>
      <c r="AG2268" s="7">
        <f>AC2268/39.3701</f>
      </c>
      <c r="AH2268" s="7">
        <f>AD2268/39.3701</f>
      </c>
      <c r="AI2268" s="1"/>
      <c r="AJ2268" s="1"/>
      <c r="AK2268" s="1"/>
      <c r="AL2268" s="1"/>
      <c r="AM2268" s="2"/>
      <c r="AN2268" s="1"/>
      <c r="AO2268" s="1"/>
      <c r="AP2268" s="1"/>
      <c r="AQ2268" s="1"/>
      <c r="AR2268" s="1"/>
      <c r="AS2268" s="1"/>
      <c r="AT2268" s="1"/>
      <c r="AU2268" s="1"/>
      <c r="AV2268" s="1"/>
      <c r="AW2268" s="1"/>
      <c r="AX2268" s="1"/>
      <c r="AY2268" s="1"/>
      <c r="AZ2268" s="1"/>
      <c r="BA2268" s="1"/>
      <c r="BB2268" s="1"/>
      <c r="BC2268" s="1"/>
      <c r="BD2268" s="1"/>
      <c r="BE2268" s="1"/>
    </row>
    <row x14ac:dyDescent="0.25" r="2269" customHeight="1" ht="18.75">
      <c r="A2269" s="1"/>
      <c r="B2269" s="2"/>
      <c r="C2269" s="2"/>
      <c r="D2269" s="2"/>
      <c r="E2269" s="2"/>
      <c r="F2269" s="2"/>
      <c r="G2269" s="1"/>
      <c r="H2269" s="1"/>
      <c r="I2269" s="7">
        <v>2.266</v>
      </c>
      <c r="J2269" s="7">
        <f>IF((I2269-ROUNDDOWN(I2269,0))=0, 0, (I2269-ROUNDDOWN(I2269,0)))</f>
      </c>
      <c r="K2269" s="7">
        <f>INDIRECT("C$"&amp;2+MIN(2,ROUNDDOWN(I2269,0))*3)*(-$J2269^3+3*$J2269^2-3*$J2269+1)+INDIRECT("C$"&amp;3+MIN(2,ROUNDDOWN(I2269,0))*3)*(3*$J2269^3-6*$J2269^2+3*$J2269)+INDIRECT("C$"&amp;4+MIN(2,ROUNDDOWN(I2269,0))*3)*(-3*$J2269^3+3*$J2269^2)+INDIRECT("C$"&amp;5+MIN(2,ROUNDDOWN(I2269,0))*3)*$J2269^3</f>
      </c>
      <c r="L2269" s="7">
        <f>INDIRECT("D$"&amp;2+MIN(2,ROUNDDOWN(I2269,0))*3)*(-$J2269^3+3*$J2269^2-3*$J2269+1)+INDIRECT("D$"&amp;3+MIN(2,ROUNDDOWN(I2269,0))*3)*(3*$J2269^3-6*$J2269^2+3*$J2269)+INDIRECT("D$"&amp;4+MIN(2,ROUNDDOWN(I2269,0))*3)*(-3*$J2269^3+3*$J2269^2)+INDIRECT("D$"&amp;5+MIN(2,ROUNDDOWN(I2269,0))*3)*$J2269^3</f>
      </c>
      <c r="M2269" s="7">
        <f>SQRT(K2269^2+L2269^2)</f>
      </c>
      <c r="N2269" s="7">
        <f>(K2270-K2268)</f>
      </c>
      <c r="O2269" s="7">
        <f>+(L2270-L2268)</f>
      </c>
      <c r="P2269" s="7">
        <f>SQRT(O2269^2+N2269^2)</f>
      </c>
      <c r="Q2269" s="7">
        <f>N2269/$P2269</f>
      </c>
      <c r="R2269" s="7">
        <f>O2269/$P2269</f>
      </c>
      <c r="S2269" s="8">
        <f>Q2269^2+R2269^2</f>
      </c>
      <c r="T2269" s="7">
        <f>-R2269</f>
      </c>
      <c r="U2269" s="7">
        <f>Q2269</f>
      </c>
      <c r="V2269" s="7">
        <f>($C$14+($C$15-$C$14)/($D$15-$D$14)*(I2269-$D$14))/2</f>
      </c>
      <c r="W2269" s="7">
        <f>($B$22*I2269^4+$C$22*I2269^3+$D$22*I2269^2+$E$22*I2269+$F$22)/2</f>
      </c>
      <c r="X2269" s="7">
        <f>($W2269)*(T2269)</f>
      </c>
      <c r="Y2269" s="7">
        <f>($W2269)*(U2269)</f>
      </c>
      <c r="Z2269" s="7">
        <f>SQRT(X2269^2+Y2269^2)</f>
      </c>
      <c r="AA2269" s="7">
        <f>$K2269+$X2269</f>
      </c>
      <c r="AB2269" s="7">
        <f>$L2269+$Y2269</f>
      </c>
      <c r="AC2269" s="7">
        <f>$K2269-$X2269</f>
      </c>
      <c r="AD2269" s="7">
        <f>$L2269-$Y2269</f>
      </c>
      <c r="AE2269" s="7">
        <f>AA2269/39.3701</f>
      </c>
      <c r="AF2269" s="7">
        <f>AB2269/39.3701</f>
      </c>
      <c r="AG2269" s="7">
        <f>AC2269/39.3701</f>
      </c>
      <c r="AH2269" s="7">
        <f>AD2269/39.3701</f>
      </c>
      <c r="AI2269" s="1"/>
      <c r="AJ2269" s="1"/>
      <c r="AK2269" s="1"/>
      <c r="AL2269" s="1"/>
      <c r="AM2269" s="2"/>
      <c r="AN2269" s="1"/>
      <c r="AO2269" s="1"/>
      <c r="AP2269" s="1"/>
      <c r="AQ2269" s="1"/>
      <c r="AR2269" s="1"/>
      <c r="AS2269" s="1"/>
      <c r="AT2269" s="1"/>
      <c r="AU2269" s="1"/>
      <c r="AV2269" s="1"/>
      <c r="AW2269" s="1"/>
      <c r="AX2269" s="1"/>
      <c r="AY2269" s="1"/>
      <c r="AZ2269" s="1"/>
      <c r="BA2269" s="1"/>
      <c r="BB2269" s="1"/>
      <c r="BC2269" s="1"/>
      <c r="BD2269" s="1"/>
      <c r="BE2269" s="1"/>
    </row>
    <row x14ac:dyDescent="0.25" r="2270" customHeight="1" ht="18.75">
      <c r="A2270" s="1"/>
      <c r="B2270" s="2"/>
      <c r="C2270" s="2"/>
      <c r="D2270" s="2"/>
      <c r="E2270" s="2"/>
      <c r="F2270" s="2"/>
      <c r="G2270" s="1"/>
      <c r="H2270" s="1"/>
      <c r="I2270" s="7">
        <v>2.267</v>
      </c>
      <c r="J2270" s="7">
        <f>IF((I2270-ROUNDDOWN(I2270,0))=0, 0, (I2270-ROUNDDOWN(I2270,0)))</f>
      </c>
      <c r="K2270" s="7">
        <f>INDIRECT("C$"&amp;2+MIN(2,ROUNDDOWN(I2270,0))*3)*(-$J2270^3+3*$J2270^2-3*$J2270+1)+INDIRECT("C$"&amp;3+MIN(2,ROUNDDOWN(I2270,0))*3)*(3*$J2270^3-6*$J2270^2+3*$J2270)+INDIRECT("C$"&amp;4+MIN(2,ROUNDDOWN(I2270,0))*3)*(-3*$J2270^3+3*$J2270^2)+INDIRECT("C$"&amp;5+MIN(2,ROUNDDOWN(I2270,0))*3)*$J2270^3</f>
      </c>
      <c r="L2270" s="7">
        <f>INDIRECT("D$"&amp;2+MIN(2,ROUNDDOWN(I2270,0))*3)*(-$J2270^3+3*$J2270^2-3*$J2270+1)+INDIRECT("D$"&amp;3+MIN(2,ROUNDDOWN(I2270,0))*3)*(3*$J2270^3-6*$J2270^2+3*$J2270)+INDIRECT("D$"&amp;4+MIN(2,ROUNDDOWN(I2270,0))*3)*(-3*$J2270^3+3*$J2270^2)+INDIRECT("D$"&amp;5+MIN(2,ROUNDDOWN(I2270,0))*3)*$J2270^3</f>
      </c>
      <c r="M2270" s="7">
        <f>SQRT(K2270^2+L2270^2)</f>
      </c>
      <c r="N2270" s="7">
        <f>(K2271-K2269)</f>
      </c>
      <c r="O2270" s="7">
        <f>+(L2271-L2269)</f>
      </c>
      <c r="P2270" s="7">
        <f>SQRT(O2270^2+N2270^2)</f>
      </c>
      <c r="Q2270" s="7">
        <f>N2270/$P2270</f>
      </c>
      <c r="R2270" s="7">
        <f>O2270/$P2270</f>
      </c>
      <c r="S2270" s="8">
        <f>Q2270^2+R2270^2</f>
      </c>
      <c r="T2270" s="7">
        <f>-R2270</f>
      </c>
      <c r="U2270" s="7">
        <f>Q2270</f>
      </c>
      <c r="V2270" s="7">
        <f>($C$14+($C$15-$C$14)/($D$15-$D$14)*(I2270-$D$14))/2</f>
      </c>
      <c r="W2270" s="7">
        <f>($B$22*I2270^4+$C$22*I2270^3+$D$22*I2270^2+$E$22*I2270+$F$22)/2</f>
      </c>
      <c r="X2270" s="7">
        <f>($W2270)*(T2270)</f>
      </c>
      <c r="Y2270" s="7">
        <f>($W2270)*(U2270)</f>
      </c>
      <c r="Z2270" s="7">
        <f>SQRT(X2270^2+Y2270^2)</f>
      </c>
      <c r="AA2270" s="7">
        <f>$K2270+$X2270</f>
      </c>
      <c r="AB2270" s="7">
        <f>$L2270+$Y2270</f>
      </c>
      <c r="AC2270" s="7">
        <f>$K2270-$X2270</f>
      </c>
      <c r="AD2270" s="7">
        <f>$L2270-$Y2270</f>
      </c>
      <c r="AE2270" s="7">
        <f>AA2270/39.3701</f>
      </c>
      <c r="AF2270" s="7">
        <f>AB2270/39.3701</f>
      </c>
      <c r="AG2270" s="7">
        <f>AC2270/39.3701</f>
      </c>
      <c r="AH2270" s="7">
        <f>AD2270/39.3701</f>
      </c>
      <c r="AI2270" s="1"/>
      <c r="AJ2270" s="1"/>
      <c r="AK2270" s="1"/>
      <c r="AL2270" s="1"/>
      <c r="AM2270" s="2"/>
      <c r="AN2270" s="1"/>
      <c r="AO2270" s="1"/>
      <c r="AP2270" s="1"/>
      <c r="AQ2270" s="1"/>
      <c r="AR2270" s="1"/>
      <c r="AS2270" s="1"/>
      <c r="AT2270" s="1"/>
      <c r="AU2270" s="1"/>
      <c r="AV2270" s="1"/>
      <c r="AW2270" s="1"/>
      <c r="AX2270" s="1"/>
      <c r="AY2270" s="1"/>
      <c r="AZ2270" s="1"/>
      <c r="BA2270" s="1"/>
      <c r="BB2270" s="1"/>
      <c r="BC2270" s="1"/>
      <c r="BD2270" s="1"/>
      <c r="BE2270" s="1"/>
    </row>
    <row x14ac:dyDescent="0.25" r="2271" customHeight="1" ht="18.75">
      <c r="A2271" s="1"/>
      <c r="B2271" s="2"/>
      <c r="C2271" s="2"/>
      <c r="D2271" s="2"/>
      <c r="E2271" s="2"/>
      <c r="F2271" s="2"/>
      <c r="G2271" s="1"/>
      <c r="H2271" s="1"/>
      <c r="I2271" s="7">
        <v>2.268</v>
      </c>
      <c r="J2271" s="7">
        <f>IF((I2271-ROUNDDOWN(I2271,0))=0, 0, (I2271-ROUNDDOWN(I2271,0)))</f>
      </c>
      <c r="K2271" s="7">
        <f>INDIRECT("C$"&amp;2+MIN(2,ROUNDDOWN(I2271,0))*3)*(-$J2271^3+3*$J2271^2-3*$J2271+1)+INDIRECT("C$"&amp;3+MIN(2,ROUNDDOWN(I2271,0))*3)*(3*$J2271^3-6*$J2271^2+3*$J2271)+INDIRECT("C$"&amp;4+MIN(2,ROUNDDOWN(I2271,0))*3)*(-3*$J2271^3+3*$J2271^2)+INDIRECT("C$"&amp;5+MIN(2,ROUNDDOWN(I2271,0))*3)*$J2271^3</f>
      </c>
      <c r="L2271" s="7">
        <f>INDIRECT("D$"&amp;2+MIN(2,ROUNDDOWN(I2271,0))*3)*(-$J2271^3+3*$J2271^2-3*$J2271+1)+INDIRECT("D$"&amp;3+MIN(2,ROUNDDOWN(I2271,0))*3)*(3*$J2271^3-6*$J2271^2+3*$J2271)+INDIRECT("D$"&amp;4+MIN(2,ROUNDDOWN(I2271,0))*3)*(-3*$J2271^3+3*$J2271^2)+INDIRECT("D$"&amp;5+MIN(2,ROUNDDOWN(I2271,0))*3)*$J2271^3</f>
      </c>
      <c r="M2271" s="7">
        <f>SQRT(K2271^2+L2271^2)</f>
      </c>
      <c r="N2271" s="7">
        <f>(K2272-K2270)</f>
      </c>
      <c r="O2271" s="7">
        <f>+(L2272-L2270)</f>
      </c>
      <c r="P2271" s="7">
        <f>SQRT(O2271^2+N2271^2)</f>
      </c>
      <c r="Q2271" s="7">
        <f>N2271/$P2271</f>
      </c>
      <c r="R2271" s="7">
        <f>O2271/$P2271</f>
      </c>
      <c r="S2271" s="8">
        <f>Q2271^2+R2271^2</f>
      </c>
      <c r="T2271" s="7">
        <f>-R2271</f>
      </c>
      <c r="U2271" s="7">
        <f>Q2271</f>
      </c>
      <c r="V2271" s="7">
        <f>($C$14+($C$15-$C$14)/($D$15-$D$14)*(I2271-$D$14))/2</f>
      </c>
      <c r="W2271" s="7">
        <f>($B$22*I2271^4+$C$22*I2271^3+$D$22*I2271^2+$E$22*I2271+$F$22)/2</f>
      </c>
      <c r="X2271" s="7">
        <f>($W2271)*(T2271)</f>
      </c>
      <c r="Y2271" s="7">
        <f>($W2271)*(U2271)</f>
      </c>
      <c r="Z2271" s="7">
        <f>SQRT(X2271^2+Y2271^2)</f>
      </c>
      <c r="AA2271" s="7">
        <f>$K2271+$X2271</f>
      </c>
      <c r="AB2271" s="7">
        <f>$L2271+$Y2271</f>
      </c>
      <c r="AC2271" s="7">
        <f>$K2271-$X2271</f>
      </c>
      <c r="AD2271" s="7">
        <f>$L2271-$Y2271</f>
      </c>
      <c r="AE2271" s="7">
        <f>AA2271/39.3701</f>
      </c>
      <c r="AF2271" s="7">
        <f>AB2271/39.3701</f>
      </c>
      <c r="AG2271" s="7">
        <f>AC2271/39.3701</f>
      </c>
      <c r="AH2271" s="7">
        <f>AD2271/39.3701</f>
      </c>
      <c r="AI2271" s="1"/>
      <c r="AJ2271" s="1"/>
      <c r="AK2271" s="1"/>
      <c r="AL2271" s="1"/>
      <c r="AM2271" s="2"/>
      <c r="AN2271" s="1"/>
      <c r="AO2271" s="1"/>
      <c r="AP2271" s="1"/>
      <c r="AQ2271" s="1"/>
      <c r="AR2271" s="1"/>
      <c r="AS2271" s="1"/>
      <c r="AT2271" s="1"/>
      <c r="AU2271" s="1"/>
      <c r="AV2271" s="1"/>
      <c r="AW2271" s="1"/>
      <c r="AX2271" s="1"/>
      <c r="AY2271" s="1"/>
      <c r="AZ2271" s="1"/>
      <c r="BA2271" s="1"/>
      <c r="BB2271" s="1"/>
      <c r="BC2271" s="1"/>
      <c r="BD2271" s="1"/>
      <c r="BE2271" s="1"/>
    </row>
    <row x14ac:dyDescent="0.25" r="2272" customHeight="1" ht="18.75">
      <c r="A2272" s="1"/>
      <c r="B2272" s="2"/>
      <c r="C2272" s="2"/>
      <c r="D2272" s="2"/>
      <c r="E2272" s="2"/>
      <c r="F2272" s="2"/>
      <c r="G2272" s="1"/>
      <c r="H2272" s="1"/>
      <c r="I2272" s="7">
        <v>2.269</v>
      </c>
      <c r="J2272" s="7">
        <f>IF((I2272-ROUNDDOWN(I2272,0))=0, 0, (I2272-ROUNDDOWN(I2272,0)))</f>
      </c>
      <c r="K2272" s="7">
        <f>INDIRECT("C$"&amp;2+MIN(2,ROUNDDOWN(I2272,0))*3)*(-$J2272^3+3*$J2272^2-3*$J2272+1)+INDIRECT("C$"&amp;3+MIN(2,ROUNDDOWN(I2272,0))*3)*(3*$J2272^3-6*$J2272^2+3*$J2272)+INDIRECT("C$"&amp;4+MIN(2,ROUNDDOWN(I2272,0))*3)*(-3*$J2272^3+3*$J2272^2)+INDIRECT("C$"&amp;5+MIN(2,ROUNDDOWN(I2272,0))*3)*$J2272^3</f>
      </c>
      <c r="L2272" s="7">
        <f>INDIRECT("D$"&amp;2+MIN(2,ROUNDDOWN(I2272,0))*3)*(-$J2272^3+3*$J2272^2-3*$J2272+1)+INDIRECT("D$"&amp;3+MIN(2,ROUNDDOWN(I2272,0))*3)*(3*$J2272^3-6*$J2272^2+3*$J2272)+INDIRECT("D$"&amp;4+MIN(2,ROUNDDOWN(I2272,0))*3)*(-3*$J2272^3+3*$J2272^2)+INDIRECT("D$"&amp;5+MIN(2,ROUNDDOWN(I2272,0))*3)*$J2272^3</f>
      </c>
      <c r="M2272" s="7">
        <f>SQRT(K2272^2+L2272^2)</f>
      </c>
      <c r="N2272" s="7">
        <f>(K2273-K2271)</f>
      </c>
      <c r="O2272" s="7">
        <f>+(L2273-L2271)</f>
      </c>
      <c r="P2272" s="7">
        <f>SQRT(O2272^2+N2272^2)</f>
      </c>
      <c r="Q2272" s="7">
        <f>N2272/$P2272</f>
      </c>
      <c r="R2272" s="7">
        <f>O2272/$P2272</f>
      </c>
      <c r="S2272" s="7">
        <f>Q2272^2+R2272^2</f>
      </c>
      <c r="T2272" s="7">
        <f>-R2272</f>
      </c>
      <c r="U2272" s="7">
        <f>Q2272</f>
      </c>
      <c r="V2272" s="7">
        <f>($C$14+($C$15-$C$14)/($D$15-$D$14)*(I2272-$D$14))/2</f>
      </c>
      <c r="W2272" s="7">
        <f>($B$22*I2272^4+$C$22*I2272^3+$D$22*I2272^2+$E$22*I2272+$F$22)/2</f>
      </c>
      <c r="X2272" s="7">
        <f>($W2272)*(T2272)</f>
      </c>
      <c r="Y2272" s="7">
        <f>($W2272)*(U2272)</f>
      </c>
      <c r="Z2272" s="7">
        <f>SQRT(X2272^2+Y2272^2)</f>
      </c>
      <c r="AA2272" s="7">
        <f>$K2272+$X2272</f>
      </c>
      <c r="AB2272" s="7">
        <f>$L2272+$Y2272</f>
      </c>
      <c r="AC2272" s="7">
        <f>$K2272-$X2272</f>
      </c>
      <c r="AD2272" s="7">
        <f>$L2272-$Y2272</f>
      </c>
      <c r="AE2272" s="7">
        <f>AA2272/39.3701</f>
      </c>
      <c r="AF2272" s="7">
        <f>AB2272/39.3701</f>
      </c>
      <c r="AG2272" s="7">
        <f>AC2272/39.3701</f>
      </c>
      <c r="AH2272" s="7">
        <f>AD2272/39.3701</f>
      </c>
      <c r="AI2272" s="1"/>
      <c r="AJ2272" s="1"/>
      <c r="AK2272" s="1"/>
      <c r="AL2272" s="1"/>
      <c r="AM2272" s="2"/>
      <c r="AN2272" s="1"/>
      <c r="AO2272" s="1"/>
      <c r="AP2272" s="1"/>
      <c r="AQ2272" s="1"/>
      <c r="AR2272" s="1"/>
      <c r="AS2272" s="1"/>
      <c r="AT2272" s="1"/>
      <c r="AU2272" s="1"/>
      <c r="AV2272" s="1"/>
      <c r="AW2272" s="1"/>
      <c r="AX2272" s="1"/>
      <c r="AY2272" s="1"/>
      <c r="AZ2272" s="1"/>
      <c r="BA2272" s="1"/>
      <c r="BB2272" s="1"/>
      <c r="BC2272" s="1"/>
      <c r="BD2272" s="1"/>
      <c r="BE2272" s="1"/>
    </row>
    <row x14ac:dyDescent="0.25" r="2273" customHeight="1" ht="18.75">
      <c r="A2273" s="1"/>
      <c r="B2273" s="2"/>
      <c r="C2273" s="2"/>
      <c r="D2273" s="2"/>
      <c r="E2273" s="2"/>
      <c r="F2273" s="2"/>
      <c r="G2273" s="1"/>
      <c r="H2273" s="1"/>
      <c r="I2273" s="7">
        <v>2.27</v>
      </c>
      <c r="J2273" s="7">
        <f>IF((I2273-ROUNDDOWN(I2273,0))=0, 0, (I2273-ROUNDDOWN(I2273,0)))</f>
      </c>
      <c r="K2273" s="7">
        <f>INDIRECT("C$"&amp;2+MIN(2,ROUNDDOWN(I2273,0))*3)*(-$J2273^3+3*$J2273^2-3*$J2273+1)+INDIRECT("C$"&amp;3+MIN(2,ROUNDDOWN(I2273,0))*3)*(3*$J2273^3-6*$J2273^2+3*$J2273)+INDIRECT("C$"&amp;4+MIN(2,ROUNDDOWN(I2273,0))*3)*(-3*$J2273^3+3*$J2273^2)+INDIRECT("C$"&amp;5+MIN(2,ROUNDDOWN(I2273,0))*3)*$J2273^3</f>
      </c>
      <c r="L2273" s="7">
        <f>INDIRECT("D$"&amp;2+MIN(2,ROUNDDOWN(I2273,0))*3)*(-$J2273^3+3*$J2273^2-3*$J2273+1)+INDIRECT("D$"&amp;3+MIN(2,ROUNDDOWN(I2273,0))*3)*(3*$J2273^3-6*$J2273^2+3*$J2273)+INDIRECT("D$"&amp;4+MIN(2,ROUNDDOWN(I2273,0))*3)*(-3*$J2273^3+3*$J2273^2)+INDIRECT("D$"&amp;5+MIN(2,ROUNDDOWN(I2273,0))*3)*$J2273^3</f>
      </c>
      <c r="M2273" s="7">
        <f>SQRT(K2273^2+L2273^2)</f>
      </c>
      <c r="N2273" s="7">
        <f>(K2274-K2272)</f>
      </c>
      <c r="O2273" s="7">
        <f>+(L2274-L2272)</f>
      </c>
      <c r="P2273" s="7">
        <f>SQRT(O2273^2+N2273^2)</f>
      </c>
      <c r="Q2273" s="7">
        <f>N2273/$P2273</f>
      </c>
      <c r="R2273" s="7">
        <f>O2273/$P2273</f>
      </c>
      <c r="S2273" s="7">
        <f>Q2273^2+R2273^2</f>
      </c>
      <c r="T2273" s="7">
        <f>-R2273</f>
      </c>
      <c r="U2273" s="7">
        <f>Q2273</f>
      </c>
      <c r="V2273" s="7">
        <f>($C$14+($C$15-$C$14)/($D$15-$D$14)*(I2273-$D$14))/2</f>
      </c>
      <c r="W2273" s="7">
        <f>($B$22*I2273^4+$C$22*I2273^3+$D$22*I2273^2+$E$22*I2273+$F$22)/2</f>
      </c>
      <c r="X2273" s="7">
        <f>($W2273)*(T2273)</f>
      </c>
      <c r="Y2273" s="7">
        <f>($W2273)*(U2273)</f>
      </c>
      <c r="Z2273" s="7">
        <f>SQRT(X2273^2+Y2273^2)</f>
      </c>
      <c r="AA2273" s="7">
        <f>$K2273+$X2273</f>
      </c>
      <c r="AB2273" s="7">
        <f>$L2273+$Y2273</f>
      </c>
      <c r="AC2273" s="7">
        <f>$K2273-$X2273</f>
      </c>
      <c r="AD2273" s="7">
        <f>$L2273-$Y2273</f>
      </c>
      <c r="AE2273" s="7">
        <f>AA2273/39.3701</f>
      </c>
      <c r="AF2273" s="7">
        <f>AB2273/39.3701</f>
      </c>
      <c r="AG2273" s="7">
        <f>AC2273/39.3701</f>
      </c>
      <c r="AH2273" s="7">
        <f>AD2273/39.3701</f>
      </c>
      <c r="AI2273" s="1"/>
      <c r="AJ2273" s="1"/>
      <c r="AK2273" s="1"/>
      <c r="AL2273" s="1"/>
      <c r="AM2273" s="2"/>
      <c r="AN2273" s="1"/>
      <c r="AO2273" s="1"/>
      <c r="AP2273" s="1"/>
      <c r="AQ2273" s="1"/>
      <c r="AR2273" s="1"/>
      <c r="AS2273" s="1"/>
      <c r="AT2273" s="1"/>
      <c r="AU2273" s="1"/>
      <c r="AV2273" s="1"/>
      <c r="AW2273" s="1"/>
      <c r="AX2273" s="1"/>
      <c r="AY2273" s="1"/>
      <c r="AZ2273" s="1"/>
      <c r="BA2273" s="1"/>
      <c r="BB2273" s="1"/>
      <c r="BC2273" s="1"/>
      <c r="BD2273" s="1"/>
      <c r="BE2273" s="1"/>
    </row>
    <row x14ac:dyDescent="0.25" r="2274" customHeight="1" ht="18.75">
      <c r="A2274" s="1"/>
      <c r="B2274" s="2"/>
      <c r="C2274" s="2"/>
      <c r="D2274" s="2"/>
      <c r="E2274" s="2"/>
      <c r="F2274" s="2"/>
      <c r="G2274" s="1"/>
      <c r="H2274" s="1"/>
      <c r="I2274" s="7">
        <v>2.271</v>
      </c>
      <c r="J2274" s="7">
        <f>IF((I2274-ROUNDDOWN(I2274,0))=0, 0, (I2274-ROUNDDOWN(I2274,0)))</f>
      </c>
      <c r="K2274" s="7">
        <f>INDIRECT("C$"&amp;2+MIN(2,ROUNDDOWN(I2274,0))*3)*(-$J2274^3+3*$J2274^2-3*$J2274+1)+INDIRECT("C$"&amp;3+MIN(2,ROUNDDOWN(I2274,0))*3)*(3*$J2274^3-6*$J2274^2+3*$J2274)+INDIRECT("C$"&amp;4+MIN(2,ROUNDDOWN(I2274,0))*3)*(-3*$J2274^3+3*$J2274^2)+INDIRECT("C$"&amp;5+MIN(2,ROUNDDOWN(I2274,0))*3)*$J2274^3</f>
      </c>
      <c r="L2274" s="7">
        <f>INDIRECT("D$"&amp;2+MIN(2,ROUNDDOWN(I2274,0))*3)*(-$J2274^3+3*$J2274^2-3*$J2274+1)+INDIRECT("D$"&amp;3+MIN(2,ROUNDDOWN(I2274,0))*3)*(3*$J2274^3-6*$J2274^2+3*$J2274)+INDIRECT("D$"&amp;4+MIN(2,ROUNDDOWN(I2274,0))*3)*(-3*$J2274^3+3*$J2274^2)+INDIRECT("D$"&amp;5+MIN(2,ROUNDDOWN(I2274,0))*3)*$J2274^3</f>
      </c>
      <c r="M2274" s="7">
        <f>SQRT(K2274^2+L2274^2)</f>
      </c>
      <c r="N2274" s="7">
        <f>(K2275-K2273)</f>
      </c>
      <c r="O2274" s="7">
        <f>+(L2275-L2273)</f>
      </c>
      <c r="P2274" s="7">
        <f>SQRT(O2274^2+N2274^2)</f>
      </c>
      <c r="Q2274" s="7">
        <f>N2274/$P2274</f>
      </c>
      <c r="R2274" s="7">
        <f>O2274/$P2274</f>
      </c>
      <c r="S2274" s="7">
        <f>Q2274^2+R2274^2</f>
      </c>
      <c r="T2274" s="7">
        <f>-R2274</f>
      </c>
      <c r="U2274" s="7">
        <f>Q2274</f>
      </c>
      <c r="V2274" s="7">
        <f>($C$14+($C$15-$C$14)/($D$15-$D$14)*(I2274-$D$14))/2</f>
      </c>
      <c r="W2274" s="7">
        <f>($B$22*I2274^4+$C$22*I2274^3+$D$22*I2274^2+$E$22*I2274+$F$22)/2</f>
      </c>
      <c r="X2274" s="7">
        <f>($W2274)*(T2274)</f>
      </c>
      <c r="Y2274" s="7">
        <f>($W2274)*(U2274)</f>
      </c>
      <c r="Z2274" s="7">
        <f>SQRT(X2274^2+Y2274^2)</f>
      </c>
      <c r="AA2274" s="7">
        <f>$K2274+$X2274</f>
      </c>
      <c r="AB2274" s="7">
        <f>$L2274+$Y2274</f>
      </c>
      <c r="AC2274" s="7">
        <f>$K2274-$X2274</f>
      </c>
      <c r="AD2274" s="7">
        <f>$L2274-$Y2274</f>
      </c>
      <c r="AE2274" s="7">
        <f>AA2274/39.3701</f>
      </c>
      <c r="AF2274" s="7">
        <f>AB2274/39.3701</f>
      </c>
      <c r="AG2274" s="7">
        <f>AC2274/39.3701</f>
      </c>
      <c r="AH2274" s="7">
        <f>AD2274/39.3701</f>
      </c>
      <c r="AI2274" s="1"/>
      <c r="AJ2274" s="1"/>
      <c r="AK2274" s="1"/>
      <c r="AL2274" s="1"/>
      <c r="AM2274" s="2"/>
      <c r="AN2274" s="1"/>
      <c r="AO2274" s="1"/>
      <c r="AP2274" s="1"/>
      <c r="AQ2274" s="1"/>
      <c r="AR2274" s="1"/>
      <c r="AS2274" s="1"/>
      <c r="AT2274" s="1"/>
      <c r="AU2274" s="1"/>
      <c r="AV2274" s="1"/>
      <c r="AW2274" s="1"/>
      <c r="AX2274" s="1"/>
      <c r="AY2274" s="1"/>
      <c r="AZ2274" s="1"/>
      <c r="BA2274" s="1"/>
      <c r="BB2274" s="1"/>
      <c r="BC2274" s="1"/>
      <c r="BD2274" s="1"/>
      <c r="BE2274" s="1"/>
    </row>
    <row x14ac:dyDescent="0.25" r="2275" customHeight="1" ht="18.75">
      <c r="A2275" s="1"/>
      <c r="B2275" s="2"/>
      <c r="C2275" s="2"/>
      <c r="D2275" s="2"/>
      <c r="E2275" s="2"/>
      <c r="F2275" s="2"/>
      <c r="G2275" s="1"/>
      <c r="H2275" s="1"/>
      <c r="I2275" s="7">
        <v>2.272</v>
      </c>
      <c r="J2275" s="7">
        <f>IF((I2275-ROUNDDOWN(I2275,0))=0, 0, (I2275-ROUNDDOWN(I2275,0)))</f>
      </c>
      <c r="K2275" s="7">
        <f>INDIRECT("C$"&amp;2+MIN(2,ROUNDDOWN(I2275,0))*3)*(-$J2275^3+3*$J2275^2-3*$J2275+1)+INDIRECT("C$"&amp;3+MIN(2,ROUNDDOWN(I2275,0))*3)*(3*$J2275^3-6*$J2275^2+3*$J2275)+INDIRECT("C$"&amp;4+MIN(2,ROUNDDOWN(I2275,0))*3)*(-3*$J2275^3+3*$J2275^2)+INDIRECT("C$"&amp;5+MIN(2,ROUNDDOWN(I2275,0))*3)*$J2275^3</f>
      </c>
      <c r="L2275" s="7">
        <f>INDIRECT("D$"&amp;2+MIN(2,ROUNDDOWN(I2275,0))*3)*(-$J2275^3+3*$J2275^2-3*$J2275+1)+INDIRECT("D$"&amp;3+MIN(2,ROUNDDOWN(I2275,0))*3)*(3*$J2275^3-6*$J2275^2+3*$J2275)+INDIRECT("D$"&amp;4+MIN(2,ROUNDDOWN(I2275,0))*3)*(-3*$J2275^3+3*$J2275^2)+INDIRECT("D$"&amp;5+MIN(2,ROUNDDOWN(I2275,0))*3)*$J2275^3</f>
      </c>
      <c r="M2275" s="7">
        <f>SQRT(K2275^2+L2275^2)</f>
      </c>
      <c r="N2275" s="7">
        <f>(K2276-K2274)</f>
      </c>
      <c r="O2275" s="7">
        <f>+(L2276-L2274)</f>
      </c>
      <c r="P2275" s="7">
        <f>SQRT(O2275^2+N2275^2)</f>
      </c>
      <c r="Q2275" s="7">
        <f>N2275/$P2275</f>
      </c>
      <c r="R2275" s="7">
        <f>O2275/$P2275</f>
      </c>
      <c r="S2275" s="7">
        <f>Q2275^2+R2275^2</f>
      </c>
      <c r="T2275" s="7">
        <f>-R2275</f>
      </c>
      <c r="U2275" s="7">
        <f>Q2275</f>
      </c>
      <c r="V2275" s="7">
        <f>($C$14+($C$15-$C$14)/($D$15-$D$14)*(I2275-$D$14))/2</f>
      </c>
      <c r="W2275" s="7">
        <f>($B$22*I2275^4+$C$22*I2275^3+$D$22*I2275^2+$E$22*I2275+$F$22)/2</f>
      </c>
      <c r="X2275" s="7">
        <f>($W2275)*(T2275)</f>
      </c>
      <c r="Y2275" s="7">
        <f>($W2275)*(U2275)</f>
      </c>
      <c r="Z2275" s="7">
        <f>SQRT(X2275^2+Y2275^2)</f>
      </c>
      <c r="AA2275" s="7">
        <f>$K2275+$X2275</f>
      </c>
      <c r="AB2275" s="7">
        <f>$L2275+$Y2275</f>
      </c>
      <c r="AC2275" s="7">
        <f>$K2275-$X2275</f>
      </c>
      <c r="AD2275" s="7">
        <f>$L2275-$Y2275</f>
      </c>
      <c r="AE2275" s="7">
        <f>AA2275/39.3701</f>
      </c>
      <c r="AF2275" s="7">
        <f>AB2275/39.3701</f>
      </c>
      <c r="AG2275" s="7">
        <f>AC2275/39.3701</f>
      </c>
      <c r="AH2275" s="7">
        <f>AD2275/39.3701</f>
      </c>
      <c r="AI2275" s="1"/>
      <c r="AJ2275" s="1"/>
      <c r="AK2275" s="1"/>
      <c r="AL2275" s="1"/>
      <c r="AM2275" s="2"/>
      <c r="AN2275" s="1"/>
      <c r="AO2275" s="1"/>
      <c r="AP2275" s="1"/>
      <c r="AQ2275" s="1"/>
      <c r="AR2275" s="1"/>
      <c r="AS2275" s="1"/>
      <c r="AT2275" s="1"/>
      <c r="AU2275" s="1"/>
      <c r="AV2275" s="1"/>
      <c r="AW2275" s="1"/>
      <c r="AX2275" s="1"/>
      <c r="AY2275" s="1"/>
      <c r="AZ2275" s="1"/>
      <c r="BA2275" s="1"/>
      <c r="BB2275" s="1"/>
      <c r="BC2275" s="1"/>
      <c r="BD2275" s="1"/>
      <c r="BE2275" s="1"/>
    </row>
    <row x14ac:dyDescent="0.25" r="2276" customHeight="1" ht="18.75">
      <c r="A2276" s="1"/>
      <c r="B2276" s="2"/>
      <c r="C2276" s="2"/>
      <c r="D2276" s="2"/>
      <c r="E2276" s="2"/>
      <c r="F2276" s="2"/>
      <c r="G2276" s="1"/>
      <c r="H2276" s="1"/>
      <c r="I2276" s="7">
        <v>2.273</v>
      </c>
      <c r="J2276" s="7">
        <f>IF((I2276-ROUNDDOWN(I2276,0))=0, 0, (I2276-ROUNDDOWN(I2276,0)))</f>
      </c>
      <c r="K2276" s="7">
        <f>INDIRECT("C$"&amp;2+MIN(2,ROUNDDOWN(I2276,0))*3)*(-$J2276^3+3*$J2276^2-3*$J2276+1)+INDIRECT("C$"&amp;3+MIN(2,ROUNDDOWN(I2276,0))*3)*(3*$J2276^3-6*$J2276^2+3*$J2276)+INDIRECT("C$"&amp;4+MIN(2,ROUNDDOWN(I2276,0))*3)*(-3*$J2276^3+3*$J2276^2)+INDIRECT("C$"&amp;5+MIN(2,ROUNDDOWN(I2276,0))*3)*$J2276^3</f>
      </c>
      <c r="L2276" s="7">
        <f>INDIRECT("D$"&amp;2+MIN(2,ROUNDDOWN(I2276,0))*3)*(-$J2276^3+3*$J2276^2-3*$J2276+1)+INDIRECT("D$"&amp;3+MIN(2,ROUNDDOWN(I2276,0))*3)*(3*$J2276^3-6*$J2276^2+3*$J2276)+INDIRECT("D$"&amp;4+MIN(2,ROUNDDOWN(I2276,0))*3)*(-3*$J2276^3+3*$J2276^2)+INDIRECT("D$"&amp;5+MIN(2,ROUNDDOWN(I2276,0))*3)*$J2276^3</f>
      </c>
      <c r="M2276" s="7">
        <f>SQRT(K2276^2+L2276^2)</f>
      </c>
      <c r="N2276" s="7">
        <f>(K2277-K2275)</f>
      </c>
      <c r="O2276" s="7">
        <f>+(L2277-L2275)</f>
      </c>
      <c r="P2276" s="7">
        <f>SQRT(O2276^2+N2276^2)</f>
      </c>
      <c r="Q2276" s="7">
        <f>N2276/$P2276</f>
      </c>
      <c r="R2276" s="7">
        <f>O2276/$P2276</f>
      </c>
      <c r="S2276" s="7">
        <f>Q2276^2+R2276^2</f>
      </c>
      <c r="T2276" s="7">
        <f>-R2276</f>
      </c>
      <c r="U2276" s="7">
        <f>Q2276</f>
      </c>
      <c r="V2276" s="7">
        <f>($C$14+($C$15-$C$14)/($D$15-$D$14)*(I2276-$D$14))/2</f>
      </c>
      <c r="W2276" s="7">
        <f>($B$22*I2276^4+$C$22*I2276^3+$D$22*I2276^2+$E$22*I2276+$F$22)/2</f>
      </c>
      <c r="X2276" s="7">
        <f>($W2276)*(T2276)</f>
      </c>
      <c r="Y2276" s="7">
        <f>($W2276)*(U2276)</f>
      </c>
      <c r="Z2276" s="7">
        <f>SQRT(X2276^2+Y2276^2)</f>
      </c>
      <c r="AA2276" s="7">
        <f>$K2276+$X2276</f>
      </c>
      <c r="AB2276" s="7">
        <f>$L2276+$Y2276</f>
      </c>
      <c r="AC2276" s="7">
        <f>$K2276-$X2276</f>
      </c>
      <c r="AD2276" s="7">
        <f>$L2276-$Y2276</f>
      </c>
      <c r="AE2276" s="7">
        <f>AA2276/39.3701</f>
      </c>
      <c r="AF2276" s="7">
        <f>AB2276/39.3701</f>
      </c>
      <c r="AG2276" s="7">
        <f>AC2276/39.3701</f>
      </c>
      <c r="AH2276" s="7">
        <f>AD2276/39.3701</f>
      </c>
      <c r="AI2276" s="1"/>
      <c r="AJ2276" s="1"/>
      <c r="AK2276" s="1"/>
      <c r="AL2276" s="1"/>
      <c r="AM2276" s="2"/>
      <c r="AN2276" s="1"/>
      <c r="AO2276" s="1"/>
      <c r="AP2276" s="1"/>
      <c r="AQ2276" s="1"/>
      <c r="AR2276" s="1"/>
      <c r="AS2276" s="1"/>
      <c r="AT2276" s="1"/>
      <c r="AU2276" s="1"/>
      <c r="AV2276" s="1"/>
      <c r="AW2276" s="1"/>
      <c r="AX2276" s="1"/>
      <c r="AY2276" s="1"/>
      <c r="AZ2276" s="1"/>
      <c r="BA2276" s="1"/>
      <c r="BB2276" s="1"/>
      <c r="BC2276" s="1"/>
      <c r="BD2276" s="1"/>
      <c r="BE2276" s="1"/>
    </row>
    <row x14ac:dyDescent="0.25" r="2277" customHeight="1" ht="18.75">
      <c r="A2277" s="1"/>
      <c r="B2277" s="2"/>
      <c r="C2277" s="2"/>
      <c r="D2277" s="2"/>
      <c r="E2277" s="2"/>
      <c r="F2277" s="2"/>
      <c r="G2277" s="1"/>
      <c r="H2277" s="1"/>
      <c r="I2277" s="7">
        <v>2.274</v>
      </c>
      <c r="J2277" s="7">
        <f>IF((I2277-ROUNDDOWN(I2277,0))=0, 0, (I2277-ROUNDDOWN(I2277,0)))</f>
      </c>
      <c r="K2277" s="7">
        <f>INDIRECT("C$"&amp;2+MIN(2,ROUNDDOWN(I2277,0))*3)*(-$J2277^3+3*$J2277^2-3*$J2277+1)+INDIRECT("C$"&amp;3+MIN(2,ROUNDDOWN(I2277,0))*3)*(3*$J2277^3-6*$J2277^2+3*$J2277)+INDIRECT("C$"&amp;4+MIN(2,ROUNDDOWN(I2277,0))*3)*(-3*$J2277^3+3*$J2277^2)+INDIRECT("C$"&amp;5+MIN(2,ROUNDDOWN(I2277,0))*3)*$J2277^3</f>
      </c>
      <c r="L2277" s="7">
        <f>INDIRECT("D$"&amp;2+MIN(2,ROUNDDOWN(I2277,0))*3)*(-$J2277^3+3*$J2277^2-3*$J2277+1)+INDIRECT("D$"&amp;3+MIN(2,ROUNDDOWN(I2277,0))*3)*(3*$J2277^3-6*$J2277^2+3*$J2277)+INDIRECT("D$"&amp;4+MIN(2,ROUNDDOWN(I2277,0))*3)*(-3*$J2277^3+3*$J2277^2)+INDIRECT("D$"&amp;5+MIN(2,ROUNDDOWN(I2277,0))*3)*$J2277^3</f>
      </c>
      <c r="M2277" s="7">
        <f>SQRT(K2277^2+L2277^2)</f>
      </c>
      <c r="N2277" s="7">
        <f>(K2278-K2276)</f>
      </c>
      <c r="O2277" s="7">
        <f>+(L2278-L2276)</f>
      </c>
      <c r="P2277" s="7">
        <f>SQRT(O2277^2+N2277^2)</f>
      </c>
      <c r="Q2277" s="7">
        <f>N2277/$P2277</f>
      </c>
      <c r="R2277" s="7">
        <f>O2277/$P2277</f>
      </c>
      <c r="S2277" s="7">
        <f>Q2277^2+R2277^2</f>
      </c>
      <c r="T2277" s="7">
        <f>-R2277</f>
      </c>
      <c r="U2277" s="7">
        <f>Q2277</f>
      </c>
      <c r="V2277" s="7">
        <f>($C$14+($C$15-$C$14)/($D$15-$D$14)*(I2277-$D$14))/2</f>
      </c>
      <c r="W2277" s="7">
        <f>($B$22*I2277^4+$C$22*I2277^3+$D$22*I2277^2+$E$22*I2277+$F$22)/2</f>
      </c>
      <c r="X2277" s="7">
        <f>($W2277)*(T2277)</f>
      </c>
      <c r="Y2277" s="7">
        <f>($W2277)*(U2277)</f>
      </c>
      <c r="Z2277" s="7">
        <f>SQRT(X2277^2+Y2277^2)</f>
      </c>
      <c r="AA2277" s="7">
        <f>$K2277+$X2277</f>
      </c>
      <c r="AB2277" s="7">
        <f>$L2277+$Y2277</f>
      </c>
      <c r="AC2277" s="7">
        <f>$K2277-$X2277</f>
      </c>
      <c r="AD2277" s="7">
        <f>$L2277-$Y2277</f>
      </c>
      <c r="AE2277" s="7">
        <f>AA2277/39.3701</f>
      </c>
      <c r="AF2277" s="7">
        <f>AB2277/39.3701</f>
      </c>
      <c r="AG2277" s="7">
        <f>AC2277/39.3701</f>
      </c>
      <c r="AH2277" s="7">
        <f>AD2277/39.3701</f>
      </c>
      <c r="AI2277" s="1"/>
      <c r="AJ2277" s="1"/>
      <c r="AK2277" s="1"/>
      <c r="AL2277" s="1"/>
      <c r="AM2277" s="2"/>
      <c r="AN2277" s="1"/>
      <c r="AO2277" s="1"/>
      <c r="AP2277" s="1"/>
      <c r="AQ2277" s="1"/>
      <c r="AR2277" s="1"/>
      <c r="AS2277" s="1"/>
      <c r="AT2277" s="1"/>
      <c r="AU2277" s="1"/>
      <c r="AV2277" s="1"/>
      <c r="AW2277" s="1"/>
      <c r="AX2277" s="1"/>
      <c r="AY2277" s="1"/>
      <c r="AZ2277" s="1"/>
      <c r="BA2277" s="1"/>
      <c r="BB2277" s="1"/>
      <c r="BC2277" s="1"/>
      <c r="BD2277" s="1"/>
      <c r="BE2277" s="1"/>
    </row>
    <row x14ac:dyDescent="0.25" r="2278" customHeight="1" ht="18.75">
      <c r="A2278" s="1"/>
      <c r="B2278" s="2"/>
      <c r="C2278" s="2"/>
      <c r="D2278" s="2"/>
      <c r="E2278" s="2"/>
      <c r="F2278" s="2"/>
      <c r="G2278" s="1"/>
      <c r="H2278" s="1"/>
      <c r="I2278" s="7">
        <v>2.275</v>
      </c>
      <c r="J2278" s="7">
        <f>IF((I2278-ROUNDDOWN(I2278,0))=0, 0, (I2278-ROUNDDOWN(I2278,0)))</f>
      </c>
      <c r="K2278" s="7">
        <f>INDIRECT("C$"&amp;2+MIN(2,ROUNDDOWN(I2278,0))*3)*(-$J2278^3+3*$J2278^2-3*$J2278+1)+INDIRECT("C$"&amp;3+MIN(2,ROUNDDOWN(I2278,0))*3)*(3*$J2278^3-6*$J2278^2+3*$J2278)+INDIRECT("C$"&amp;4+MIN(2,ROUNDDOWN(I2278,0))*3)*(-3*$J2278^3+3*$J2278^2)+INDIRECT("C$"&amp;5+MIN(2,ROUNDDOWN(I2278,0))*3)*$J2278^3</f>
      </c>
      <c r="L2278" s="7">
        <f>INDIRECT("D$"&amp;2+MIN(2,ROUNDDOWN(I2278,0))*3)*(-$J2278^3+3*$J2278^2-3*$J2278+1)+INDIRECT("D$"&amp;3+MIN(2,ROUNDDOWN(I2278,0))*3)*(3*$J2278^3-6*$J2278^2+3*$J2278)+INDIRECT("D$"&amp;4+MIN(2,ROUNDDOWN(I2278,0))*3)*(-3*$J2278^3+3*$J2278^2)+INDIRECT("D$"&amp;5+MIN(2,ROUNDDOWN(I2278,0))*3)*$J2278^3</f>
      </c>
      <c r="M2278" s="7">
        <f>SQRT(K2278^2+L2278^2)</f>
      </c>
      <c r="N2278" s="7">
        <f>(K2279-K2277)</f>
      </c>
      <c r="O2278" s="7">
        <f>+(L2279-L2277)</f>
      </c>
      <c r="P2278" s="7">
        <f>SQRT(O2278^2+N2278^2)</f>
      </c>
      <c r="Q2278" s="7">
        <f>N2278/$P2278</f>
      </c>
      <c r="R2278" s="7">
        <f>O2278/$P2278</f>
      </c>
      <c r="S2278" s="7">
        <f>Q2278^2+R2278^2</f>
      </c>
      <c r="T2278" s="7">
        <f>-R2278</f>
      </c>
      <c r="U2278" s="7">
        <f>Q2278</f>
      </c>
      <c r="V2278" s="7">
        <f>($C$14+($C$15-$C$14)/($D$15-$D$14)*(I2278-$D$14))/2</f>
      </c>
      <c r="W2278" s="7">
        <f>($B$22*I2278^4+$C$22*I2278^3+$D$22*I2278^2+$E$22*I2278+$F$22)/2</f>
      </c>
      <c r="X2278" s="7">
        <f>($W2278)*(T2278)</f>
      </c>
      <c r="Y2278" s="7">
        <f>($W2278)*(U2278)</f>
      </c>
      <c r="Z2278" s="7">
        <f>SQRT(X2278^2+Y2278^2)</f>
      </c>
      <c r="AA2278" s="7">
        <f>$K2278+$X2278</f>
      </c>
      <c r="AB2278" s="7">
        <f>$L2278+$Y2278</f>
      </c>
      <c r="AC2278" s="7">
        <f>$K2278-$X2278</f>
      </c>
      <c r="AD2278" s="7">
        <f>$L2278-$Y2278</f>
      </c>
      <c r="AE2278" s="7">
        <f>AA2278/39.3701</f>
      </c>
      <c r="AF2278" s="7">
        <f>AB2278/39.3701</f>
      </c>
      <c r="AG2278" s="7">
        <f>AC2278/39.3701</f>
      </c>
      <c r="AH2278" s="7">
        <f>AD2278/39.3701</f>
      </c>
      <c r="AI2278" s="1"/>
      <c r="AJ2278" s="1"/>
      <c r="AK2278" s="1"/>
      <c r="AL2278" s="1"/>
      <c r="AM2278" s="2"/>
      <c r="AN2278" s="1"/>
      <c r="AO2278" s="1"/>
      <c r="AP2278" s="1"/>
      <c r="AQ2278" s="1"/>
      <c r="AR2278" s="1"/>
      <c r="AS2278" s="1"/>
      <c r="AT2278" s="1"/>
      <c r="AU2278" s="1"/>
      <c r="AV2278" s="1"/>
      <c r="AW2278" s="1"/>
      <c r="AX2278" s="1"/>
      <c r="AY2278" s="1"/>
      <c r="AZ2278" s="1"/>
      <c r="BA2278" s="1"/>
      <c r="BB2278" s="1"/>
      <c r="BC2278" s="1"/>
      <c r="BD2278" s="1"/>
      <c r="BE2278" s="1"/>
    </row>
    <row x14ac:dyDescent="0.25" r="2279" customHeight="1" ht="18.75">
      <c r="A2279" s="1"/>
      <c r="B2279" s="2"/>
      <c r="C2279" s="2"/>
      <c r="D2279" s="2"/>
      <c r="E2279" s="2"/>
      <c r="F2279" s="2"/>
      <c r="G2279" s="1"/>
      <c r="H2279" s="1"/>
      <c r="I2279" s="7">
        <v>2.276</v>
      </c>
      <c r="J2279" s="7">
        <f>IF((I2279-ROUNDDOWN(I2279,0))=0, 0, (I2279-ROUNDDOWN(I2279,0)))</f>
      </c>
      <c r="K2279" s="7">
        <f>INDIRECT("C$"&amp;2+MIN(2,ROUNDDOWN(I2279,0))*3)*(-$J2279^3+3*$J2279^2-3*$J2279+1)+INDIRECT("C$"&amp;3+MIN(2,ROUNDDOWN(I2279,0))*3)*(3*$J2279^3-6*$J2279^2+3*$J2279)+INDIRECT("C$"&amp;4+MIN(2,ROUNDDOWN(I2279,0))*3)*(-3*$J2279^3+3*$J2279^2)+INDIRECT("C$"&amp;5+MIN(2,ROUNDDOWN(I2279,0))*3)*$J2279^3</f>
      </c>
      <c r="L2279" s="7">
        <f>INDIRECT("D$"&amp;2+MIN(2,ROUNDDOWN(I2279,0))*3)*(-$J2279^3+3*$J2279^2-3*$J2279+1)+INDIRECT("D$"&amp;3+MIN(2,ROUNDDOWN(I2279,0))*3)*(3*$J2279^3-6*$J2279^2+3*$J2279)+INDIRECT("D$"&amp;4+MIN(2,ROUNDDOWN(I2279,0))*3)*(-3*$J2279^3+3*$J2279^2)+INDIRECT("D$"&amp;5+MIN(2,ROUNDDOWN(I2279,0))*3)*$J2279^3</f>
      </c>
      <c r="M2279" s="7">
        <f>SQRT(K2279^2+L2279^2)</f>
      </c>
      <c r="N2279" s="7">
        <f>(K2280-K2278)</f>
      </c>
      <c r="O2279" s="7">
        <f>+(L2280-L2278)</f>
      </c>
      <c r="P2279" s="7">
        <f>SQRT(O2279^2+N2279^2)</f>
      </c>
      <c r="Q2279" s="7">
        <f>N2279/$P2279</f>
      </c>
      <c r="R2279" s="7">
        <f>O2279/$P2279</f>
      </c>
      <c r="S2279" s="7">
        <f>Q2279^2+R2279^2</f>
      </c>
      <c r="T2279" s="7">
        <f>-R2279</f>
      </c>
      <c r="U2279" s="7">
        <f>Q2279</f>
      </c>
      <c r="V2279" s="7">
        <f>($C$14+($C$15-$C$14)/($D$15-$D$14)*(I2279-$D$14))/2</f>
      </c>
      <c r="W2279" s="7">
        <f>($B$22*I2279^4+$C$22*I2279^3+$D$22*I2279^2+$E$22*I2279+$F$22)/2</f>
      </c>
      <c r="X2279" s="7">
        <f>($W2279)*(T2279)</f>
      </c>
      <c r="Y2279" s="7">
        <f>($W2279)*(U2279)</f>
      </c>
      <c r="Z2279" s="7">
        <f>SQRT(X2279^2+Y2279^2)</f>
      </c>
      <c r="AA2279" s="7">
        <f>$K2279+$X2279</f>
      </c>
      <c r="AB2279" s="7">
        <f>$L2279+$Y2279</f>
      </c>
      <c r="AC2279" s="7">
        <f>$K2279-$X2279</f>
      </c>
      <c r="AD2279" s="7">
        <f>$L2279-$Y2279</f>
      </c>
      <c r="AE2279" s="7">
        <f>AA2279/39.3701</f>
      </c>
      <c r="AF2279" s="7">
        <f>AB2279/39.3701</f>
      </c>
      <c r="AG2279" s="7">
        <f>AC2279/39.3701</f>
      </c>
      <c r="AH2279" s="7">
        <f>AD2279/39.3701</f>
      </c>
      <c r="AI2279" s="1"/>
      <c r="AJ2279" s="1"/>
      <c r="AK2279" s="1"/>
      <c r="AL2279" s="1"/>
      <c r="AM2279" s="2"/>
      <c r="AN2279" s="1"/>
      <c r="AO2279" s="1"/>
      <c r="AP2279" s="1"/>
      <c r="AQ2279" s="1"/>
      <c r="AR2279" s="1"/>
      <c r="AS2279" s="1"/>
      <c r="AT2279" s="1"/>
      <c r="AU2279" s="1"/>
      <c r="AV2279" s="1"/>
      <c r="AW2279" s="1"/>
      <c r="AX2279" s="1"/>
      <c r="AY2279" s="1"/>
      <c r="AZ2279" s="1"/>
      <c r="BA2279" s="1"/>
      <c r="BB2279" s="1"/>
      <c r="BC2279" s="1"/>
      <c r="BD2279" s="1"/>
      <c r="BE2279" s="1"/>
    </row>
    <row x14ac:dyDescent="0.25" r="2280" customHeight="1" ht="18.75">
      <c r="A2280" s="1"/>
      <c r="B2280" s="2"/>
      <c r="C2280" s="2"/>
      <c r="D2280" s="2"/>
      <c r="E2280" s="2"/>
      <c r="F2280" s="2"/>
      <c r="G2280" s="1"/>
      <c r="H2280" s="1"/>
      <c r="I2280" s="7">
        <v>2.277</v>
      </c>
      <c r="J2280" s="7">
        <f>IF((I2280-ROUNDDOWN(I2280,0))=0, 0, (I2280-ROUNDDOWN(I2280,0)))</f>
      </c>
      <c r="K2280" s="7">
        <f>INDIRECT("C$"&amp;2+MIN(2,ROUNDDOWN(I2280,0))*3)*(-$J2280^3+3*$J2280^2-3*$J2280+1)+INDIRECT("C$"&amp;3+MIN(2,ROUNDDOWN(I2280,0))*3)*(3*$J2280^3-6*$J2280^2+3*$J2280)+INDIRECT("C$"&amp;4+MIN(2,ROUNDDOWN(I2280,0))*3)*(-3*$J2280^3+3*$J2280^2)+INDIRECT("C$"&amp;5+MIN(2,ROUNDDOWN(I2280,0))*3)*$J2280^3</f>
      </c>
      <c r="L2280" s="7">
        <f>INDIRECT("D$"&amp;2+MIN(2,ROUNDDOWN(I2280,0))*3)*(-$J2280^3+3*$J2280^2-3*$J2280+1)+INDIRECT("D$"&amp;3+MIN(2,ROUNDDOWN(I2280,0))*3)*(3*$J2280^3-6*$J2280^2+3*$J2280)+INDIRECT("D$"&amp;4+MIN(2,ROUNDDOWN(I2280,0))*3)*(-3*$J2280^3+3*$J2280^2)+INDIRECT("D$"&amp;5+MIN(2,ROUNDDOWN(I2280,0))*3)*$J2280^3</f>
      </c>
      <c r="M2280" s="7">
        <f>SQRT(K2280^2+L2280^2)</f>
      </c>
      <c r="N2280" s="7">
        <f>(K2281-K2279)</f>
      </c>
      <c r="O2280" s="7">
        <f>+(L2281-L2279)</f>
      </c>
      <c r="P2280" s="7">
        <f>SQRT(O2280^2+N2280^2)</f>
      </c>
      <c r="Q2280" s="7">
        <f>N2280/$P2280</f>
      </c>
      <c r="R2280" s="7">
        <f>O2280/$P2280</f>
      </c>
      <c r="S2280" s="8">
        <f>Q2280^2+R2280^2</f>
      </c>
      <c r="T2280" s="7">
        <f>-R2280</f>
      </c>
      <c r="U2280" s="7">
        <f>Q2280</f>
      </c>
      <c r="V2280" s="7">
        <f>($C$14+($C$15-$C$14)/($D$15-$D$14)*(I2280-$D$14))/2</f>
      </c>
      <c r="W2280" s="7">
        <f>($B$22*I2280^4+$C$22*I2280^3+$D$22*I2280^2+$E$22*I2280+$F$22)/2</f>
      </c>
      <c r="X2280" s="7">
        <f>($W2280)*(T2280)</f>
      </c>
      <c r="Y2280" s="7">
        <f>($W2280)*(U2280)</f>
      </c>
      <c r="Z2280" s="7">
        <f>SQRT(X2280^2+Y2280^2)</f>
      </c>
      <c r="AA2280" s="7">
        <f>$K2280+$X2280</f>
      </c>
      <c r="AB2280" s="7">
        <f>$L2280+$Y2280</f>
      </c>
      <c r="AC2280" s="7">
        <f>$K2280-$X2280</f>
      </c>
      <c r="AD2280" s="7">
        <f>$L2280-$Y2280</f>
      </c>
      <c r="AE2280" s="7">
        <f>AA2280/39.3701</f>
      </c>
      <c r="AF2280" s="7">
        <f>AB2280/39.3701</f>
      </c>
      <c r="AG2280" s="7">
        <f>AC2280/39.3701</f>
      </c>
      <c r="AH2280" s="7">
        <f>AD2280/39.3701</f>
      </c>
      <c r="AI2280" s="1"/>
      <c r="AJ2280" s="1"/>
      <c r="AK2280" s="1"/>
      <c r="AL2280" s="1"/>
      <c r="AM2280" s="2"/>
      <c r="AN2280" s="1"/>
      <c r="AO2280" s="1"/>
      <c r="AP2280" s="1"/>
      <c r="AQ2280" s="1"/>
      <c r="AR2280" s="1"/>
      <c r="AS2280" s="1"/>
      <c r="AT2280" s="1"/>
      <c r="AU2280" s="1"/>
      <c r="AV2280" s="1"/>
      <c r="AW2280" s="1"/>
      <c r="AX2280" s="1"/>
      <c r="AY2280" s="1"/>
      <c r="AZ2280" s="1"/>
      <c r="BA2280" s="1"/>
      <c r="BB2280" s="1"/>
      <c r="BC2280" s="1"/>
      <c r="BD2280" s="1"/>
      <c r="BE2280" s="1"/>
    </row>
    <row x14ac:dyDescent="0.25" r="2281" customHeight="1" ht="18.75">
      <c r="A2281" s="1"/>
      <c r="B2281" s="2"/>
      <c r="C2281" s="2"/>
      <c r="D2281" s="2"/>
      <c r="E2281" s="2"/>
      <c r="F2281" s="2"/>
      <c r="G2281" s="1"/>
      <c r="H2281" s="1"/>
      <c r="I2281" s="7">
        <v>2.278</v>
      </c>
      <c r="J2281" s="7">
        <f>IF((I2281-ROUNDDOWN(I2281,0))=0, 0, (I2281-ROUNDDOWN(I2281,0)))</f>
      </c>
      <c r="K2281" s="7">
        <f>INDIRECT("C$"&amp;2+MIN(2,ROUNDDOWN(I2281,0))*3)*(-$J2281^3+3*$J2281^2-3*$J2281+1)+INDIRECT("C$"&amp;3+MIN(2,ROUNDDOWN(I2281,0))*3)*(3*$J2281^3-6*$J2281^2+3*$J2281)+INDIRECT("C$"&amp;4+MIN(2,ROUNDDOWN(I2281,0))*3)*(-3*$J2281^3+3*$J2281^2)+INDIRECT("C$"&amp;5+MIN(2,ROUNDDOWN(I2281,0))*3)*$J2281^3</f>
      </c>
      <c r="L2281" s="7">
        <f>INDIRECT("D$"&amp;2+MIN(2,ROUNDDOWN(I2281,0))*3)*(-$J2281^3+3*$J2281^2-3*$J2281+1)+INDIRECT("D$"&amp;3+MIN(2,ROUNDDOWN(I2281,0))*3)*(3*$J2281^3-6*$J2281^2+3*$J2281)+INDIRECT("D$"&amp;4+MIN(2,ROUNDDOWN(I2281,0))*3)*(-3*$J2281^3+3*$J2281^2)+INDIRECT("D$"&amp;5+MIN(2,ROUNDDOWN(I2281,0))*3)*$J2281^3</f>
      </c>
      <c r="M2281" s="7">
        <f>SQRT(K2281^2+L2281^2)</f>
      </c>
      <c r="N2281" s="7">
        <f>(K2282-K2280)</f>
      </c>
      <c r="O2281" s="7">
        <f>+(L2282-L2280)</f>
      </c>
      <c r="P2281" s="7">
        <f>SQRT(O2281^2+N2281^2)</f>
      </c>
      <c r="Q2281" s="7">
        <f>N2281/$P2281</f>
      </c>
      <c r="R2281" s="7">
        <f>O2281/$P2281</f>
      </c>
      <c r="S2281" s="7">
        <f>Q2281^2+R2281^2</f>
      </c>
      <c r="T2281" s="7">
        <f>-R2281</f>
      </c>
      <c r="U2281" s="7">
        <f>Q2281</f>
      </c>
      <c r="V2281" s="7">
        <f>($C$14+($C$15-$C$14)/($D$15-$D$14)*(I2281-$D$14))/2</f>
      </c>
      <c r="W2281" s="7">
        <f>($B$22*I2281^4+$C$22*I2281^3+$D$22*I2281^2+$E$22*I2281+$F$22)/2</f>
      </c>
      <c r="X2281" s="7">
        <f>($W2281)*(T2281)</f>
      </c>
      <c r="Y2281" s="7">
        <f>($W2281)*(U2281)</f>
      </c>
      <c r="Z2281" s="7">
        <f>SQRT(X2281^2+Y2281^2)</f>
      </c>
      <c r="AA2281" s="7">
        <f>$K2281+$X2281</f>
      </c>
      <c r="AB2281" s="7">
        <f>$L2281+$Y2281</f>
      </c>
      <c r="AC2281" s="7">
        <f>$K2281-$X2281</f>
      </c>
      <c r="AD2281" s="7">
        <f>$L2281-$Y2281</f>
      </c>
      <c r="AE2281" s="7">
        <f>AA2281/39.3701</f>
      </c>
      <c r="AF2281" s="7">
        <f>AB2281/39.3701</f>
      </c>
      <c r="AG2281" s="7">
        <f>AC2281/39.3701</f>
      </c>
      <c r="AH2281" s="7">
        <f>AD2281/39.3701</f>
      </c>
      <c r="AI2281" s="1"/>
      <c r="AJ2281" s="1"/>
      <c r="AK2281" s="1"/>
      <c r="AL2281" s="1"/>
      <c r="AM2281" s="2"/>
      <c r="AN2281" s="1"/>
      <c r="AO2281" s="1"/>
      <c r="AP2281" s="1"/>
      <c r="AQ2281" s="1"/>
      <c r="AR2281" s="1"/>
      <c r="AS2281" s="1"/>
      <c r="AT2281" s="1"/>
      <c r="AU2281" s="1"/>
      <c r="AV2281" s="1"/>
      <c r="AW2281" s="1"/>
      <c r="AX2281" s="1"/>
      <c r="AY2281" s="1"/>
      <c r="AZ2281" s="1"/>
      <c r="BA2281" s="1"/>
      <c r="BB2281" s="1"/>
      <c r="BC2281" s="1"/>
      <c r="BD2281" s="1"/>
      <c r="BE2281" s="1"/>
    </row>
    <row x14ac:dyDescent="0.25" r="2282" customHeight="1" ht="18.75">
      <c r="A2282" s="1"/>
      <c r="B2282" s="2"/>
      <c r="C2282" s="2"/>
      <c r="D2282" s="2"/>
      <c r="E2282" s="2"/>
      <c r="F2282" s="2"/>
      <c r="G2282" s="1"/>
      <c r="H2282" s="1"/>
      <c r="I2282" s="7">
        <v>2.279</v>
      </c>
      <c r="J2282" s="7">
        <f>IF((I2282-ROUNDDOWN(I2282,0))=0, 0, (I2282-ROUNDDOWN(I2282,0)))</f>
      </c>
      <c r="K2282" s="7">
        <f>INDIRECT("C$"&amp;2+MIN(2,ROUNDDOWN(I2282,0))*3)*(-$J2282^3+3*$J2282^2-3*$J2282+1)+INDIRECT("C$"&amp;3+MIN(2,ROUNDDOWN(I2282,0))*3)*(3*$J2282^3-6*$J2282^2+3*$J2282)+INDIRECT("C$"&amp;4+MIN(2,ROUNDDOWN(I2282,0))*3)*(-3*$J2282^3+3*$J2282^2)+INDIRECT("C$"&amp;5+MIN(2,ROUNDDOWN(I2282,0))*3)*$J2282^3</f>
      </c>
      <c r="L2282" s="7">
        <f>INDIRECT("D$"&amp;2+MIN(2,ROUNDDOWN(I2282,0))*3)*(-$J2282^3+3*$J2282^2-3*$J2282+1)+INDIRECT("D$"&amp;3+MIN(2,ROUNDDOWN(I2282,0))*3)*(3*$J2282^3-6*$J2282^2+3*$J2282)+INDIRECT("D$"&amp;4+MIN(2,ROUNDDOWN(I2282,0))*3)*(-3*$J2282^3+3*$J2282^2)+INDIRECT("D$"&amp;5+MIN(2,ROUNDDOWN(I2282,0))*3)*$J2282^3</f>
      </c>
      <c r="M2282" s="7">
        <f>SQRT(K2282^2+L2282^2)</f>
      </c>
      <c r="N2282" s="7">
        <f>(K2283-K2281)</f>
      </c>
      <c r="O2282" s="7">
        <f>+(L2283-L2281)</f>
      </c>
      <c r="P2282" s="7">
        <f>SQRT(O2282^2+N2282^2)</f>
      </c>
      <c r="Q2282" s="7">
        <f>N2282/$P2282</f>
      </c>
      <c r="R2282" s="7">
        <f>O2282/$P2282</f>
      </c>
      <c r="S2282" s="7">
        <f>Q2282^2+R2282^2</f>
      </c>
      <c r="T2282" s="7">
        <f>-R2282</f>
      </c>
      <c r="U2282" s="7">
        <f>Q2282</f>
      </c>
      <c r="V2282" s="7">
        <f>($C$14+($C$15-$C$14)/($D$15-$D$14)*(I2282-$D$14))/2</f>
      </c>
      <c r="W2282" s="7">
        <f>($B$22*I2282^4+$C$22*I2282^3+$D$22*I2282^2+$E$22*I2282+$F$22)/2</f>
      </c>
      <c r="X2282" s="7">
        <f>($W2282)*(T2282)</f>
      </c>
      <c r="Y2282" s="7">
        <f>($W2282)*(U2282)</f>
      </c>
      <c r="Z2282" s="7">
        <f>SQRT(X2282^2+Y2282^2)</f>
      </c>
      <c r="AA2282" s="7">
        <f>$K2282+$X2282</f>
      </c>
      <c r="AB2282" s="7">
        <f>$L2282+$Y2282</f>
      </c>
      <c r="AC2282" s="7">
        <f>$K2282-$X2282</f>
      </c>
      <c r="AD2282" s="7">
        <f>$L2282-$Y2282</f>
      </c>
      <c r="AE2282" s="7">
        <f>AA2282/39.3701</f>
      </c>
      <c r="AF2282" s="7">
        <f>AB2282/39.3701</f>
      </c>
      <c r="AG2282" s="7">
        <f>AC2282/39.3701</f>
      </c>
      <c r="AH2282" s="7">
        <f>AD2282/39.3701</f>
      </c>
      <c r="AI2282" s="1"/>
      <c r="AJ2282" s="1"/>
      <c r="AK2282" s="1"/>
      <c r="AL2282" s="1"/>
      <c r="AM2282" s="2"/>
      <c r="AN2282" s="1"/>
      <c r="AO2282" s="1"/>
      <c r="AP2282" s="1"/>
      <c r="AQ2282" s="1"/>
      <c r="AR2282" s="1"/>
      <c r="AS2282" s="1"/>
      <c r="AT2282" s="1"/>
      <c r="AU2282" s="1"/>
      <c r="AV2282" s="1"/>
      <c r="AW2282" s="1"/>
      <c r="AX2282" s="1"/>
      <c r="AY2282" s="1"/>
      <c r="AZ2282" s="1"/>
      <c r="BA2282" s="1"/>
      <c r="BB2282" s="1"/>
      <c r="BC2282" s="1"/>
      <c r="BD2282" s="1"/>
      <c r="BE2282" s="1"/>
    </row>
    <row x14ac:dyDescent="0.25" r="2283" customHeight="1" ht="18.75">
      <c r="A2283" s="1"/>
      <c r="B2283" s="2"/>
      <c r="C2283" s="2"/>
      <c r="D2283" s="2"/>
      <c r="E2283" s="2"/>
      <c r="F2283" s="2"/>
      <c r="G2283" s="1"/>
      <c r="H2283" s="1"/>
      <c r="I2283" s="7">
        <v>2.28</v>
      </c>
      <c r="J2283" s="7">
        <f>IF((I2283-ROUNDDOWN(I2283,0))=0, 0, (I2283-ROUNDDOWN(I2283,0)))</f>
      </c>
      <c r="K2283" s="7">
        <f>INDIRECT("C$"&amp;2+MIN(2,ROUNDDOWN(I2283,0))*3)*(-$J2283^3+3*$J2283^2-3*$J2283+1)+INDIRECT("C$"&amp;3+MIN(2,ROUNDDOWN(I2283,0))*3)*(3*$J2283^3-6*$J2283^2+3*$J2283)+INDIRECT("C$"&amp;4+MIN(2,ROUNDDOWN(I2283,0))*3)*(-3*$J2283^3+3*$J2283^2)+INDIRECT("C$"&amp;5+MIN(2,ROUNDDOWN(I2283,0))*3)*$J2283^3</f>
      </c>
      <c r="L2283" s="7">
        <f>INDIRECT("D$"&amp;2+MIN(2,ROUNDDOWN(I2283,0))*3)*(-$J2283^3+3*$J2283^2-3*$J2283+1)+INDIRECT("D$"&amp;3+MIN(2,ROUNDDOWN(I2283,0))*3)*(3*$J2283^3-6*$J2283^2+3*$J2283)+INDIRECT("D$"&amp;4+MIN(2,ROUNDDOWN(I2283,0))*3)*(-3*$J2283^3+3*$J2283^2)+INDIRECT("D$"&amp;5+MIN(2,ROUNDDOWN(I2283,0))*3)*$J2283^3</f>
      </c>
      <c r="M2283" s="7">
        <f>SQRT(K2283^2+L2283^2)</f>
      </c>
      <c r="N2283" s="7">
        <f>(K2284-K2282)</f>
      </c>
      <c r="O2283" s="7">
        <f>+(L2284-L2282)</f>
      </c>
      <c r="P2283" s="7">
        <f>SQRT(O2283^2+N2283^2)</f>
      </c>
      <c r="Q2283" s="7">
        <f>N2283/$P2283</f>
      </c>
      <c r="R2283" s="7">
        <f>O2283/$P2283</f>
      </c>
      <c r="S2283" s="8">
        <f>Q2283^2+R2283^2</f>
      </c>
      <c r="T2283" s="7">
        <f>-R2283</f>
      </c>
      <c r="U2283" s="7">
        <f>Q2283</f>
      </c>
      <c r="V2283" s="7">
        <f>($C$14+($C$15-$C$14)/($D$15-$D$14)*(I2283-$D$14))/2</f>
      </c>
      <c r="W2283" s="7">
        <f>($B$22*I2283^4+$C$22*I2283^3+$D$22*I2283^2+$E$22*I2283+$F$22)/2</f>
      </c>
      <c r="X2283" s="7">
        <f>($W2283)*(T2283)</f>
      </c>
      <c r="Y2283" s="7">
        <f>($W2283)*(U2283)</f>
      </c>
      <c r="Z2283" s="7">
        <f>SQRT(X2283^2+Y2283^2)</f>
      </c>
      <c r="AA2283" s="7">
        <f>$K2283+$X2283</f>
      </c>
      <c r="AB2283" s="7">
        <f>$L2283+$Y2283</f>
      </c>
      <c r="AC2283" s="7">
        <f>$K2283-$X2283</f>
      </c>
      <c r="AD2283" s="7">
        <f>$L2283-$Y2283</f>
      </c>
      <c r="AE2283" s="7">
        <f>AA2283/39.3701</f>
      </c>
      <c r="AF2283" s="7">
        <f>AB2283/39.3701</f>
      </c>
      <c r="AG2283" s="7">
        <f>AC2283/39.3701</f>
      </c>
      <c r="AH2283" s="7">
        <f>AD2283/39.3701</f>
      </c>
      <c r="AI2283" s="1"/>
      <c r="AJ2283" s="1"/>
      <c r="AK2283" s="1"/>
      <c r="AL2283" s="1"/>
      <c r="AM2283" s="2"/>
      <c r="AN2283" s="1"/>
      <c r="AO2283" s="1"/>
      <c r="AP2283" s="1"/>
      <c r="AQ2283" s="1"/>
      <c r="AR2283" s="1"/>
      <c r="AS2283" s="1"/>
      <c r="AT2283" s="1"/>
      <c r="AU2283" s="1"/>
      <c r="AV2283" s="1"/>
      <c r="AW2283" s="1"/>
      <c r="AX2283" s="1"/>
      <c r="AY2283" s="1"/>
      <c r="AZ2283" s="1"/>
      <c r="BA2283" s="1"/>
      <c r="BB2283" s="1"/>
      <c r="BC2283" s="1"/>
      <c r="BD2283" s="1"/>
      <c r="BE2283" s="1"/>
    </row>
    <row x14ac:dyDescent="0.25" r="2284" customHeight="1" ht="18.75">
      <c r="A2284" s="1"/>
      <c r="B2284" s="2"/>
      <c r="C2284" s="2"/>
      <c r="D2284" s="2"/>
      <c r="E2284" s="2"/>
      <c r="F2284" s="2"/>
      <c r="G2284" s="1"/>
      <c r="H2284" s="1"/>
      <c r="I2284" s="7">
        <v>2.281</v>
      </c>
      <c r="J2284" s="7">
        <f>IF((I2284-ROUNDDOWN(I2284,0))=0, 0, (I2284-ROUNDDOWN(I2284,0)))</f>
      </c>
      <c r="K2284" s="7">
        <f>INDIRECT("C$"&amp;2+MIN(2,ROUNDDOWN(I2284,0))*3)*(-$J2284^3+3*$J2284^2-3*$J2284+1)+INDIRECT("C$"&amp;3+MIN(2,ROUNDDOWN(I2284,0))*3)*(3*$J2284^3-6*$J2284^2+3*$J2284)+INDIRECT("C$"&amp;4+MIN(2,ROUNDDOWN(I2284,0))*3)*(-3*$J2284^3+3*$J2284^2)+INDIRECT("C$"&amp;5+MIN(2,ROUNDDOWN(I2284,0))*3)*$J2284^3</f>
      </c>
      <c r="L2284" s="7">
        <f>INDIRECT("D$"&amp;2+MIN(2,ROUNDDOWN(I2284,0))*3)*(-$J2284^3+3*$J2284^2-3*$J2284+1)+INDIRECT("D$"&amp;3+MIN(2,ROUNDDOWN(I2284,0))*3)*(3*$J2284^3-6*$J2284^2+3*$J2284)+INDIRECT("D$"&amp;4+MIN(2,ROUNDDOWN(I2284,0))*3)*(-3*$J2284^3+3*$J2284^2)+INDIRECT("D$"&amp;5+MIN(2,ROUNDDOWN(I2284,0))*3)*$J2284^3</f>
      </c>
      <c r="M2284" s="7">
        <f>SQRT(K2284^2+L2284^2)</f>
      </c>
      <c r="N2284" s="7">
        <f>(K2285-K2283)</f>
      </c>
      <c r="O2284" s="7">
        <f>+(L2285-L2283)</f>
      </c>
      <c r="P2284" s="7">
        <f>SQRT(O2284^2+N2284^2)</f>
      </c>
      <c r="Q2284" s="7">
        <f>N2284/$P2284</f>
      </c>
      <c r="R2284" s="7">
        <f>O2284/$P2284</f>
      </c>
      <c r="S2284" s="7">
        <f>Q2284^2+R2284^2</f>
      </c>
      <c r="T2284" s="7">
        <f>-R2284</f>
      </c>
      <c r="U2284" s="7">
        <f>Q2284</f>
      </c>
      <c r="V2284" s="7">
        <f>($C$14+($C$15-$C$14)/($D$15-$D$14)*(I2284-$D$14))/2</f>
      </c>
      <c r="W2284" s="7">
        <f>($B$22*I2284^4+$C$22*I2284^3+$D$22*I2284^2+$E$22*I2284+$F$22)/2</f>
      </c>
      <c r="X2284" s="7">
        <f>($W2284)*(T2284)</f>
      </c>
      <c r="Y2284" s="7">
        <f>($W2284)*(U2284)</f>
      </c>
      <c r="Z2284" s="7">
        <f>SQRT(X2284^2+Y2284^2)</f>
      </c>
      <c r="AA2284" s="7">
        <f>$K2284+$X2284</f>
      </c>
      <c r="AB2284" s="7">
        <f>$L2284+$Y2284</f>
      </c>
      <c r="AC2284" s="7">
        <f>$K2284-$X2284</f>
      </c>
      <c r="AD2284" s="7">
        <f>$L2284-$Y2284</f>
      </c>
      <c r="AE2284" s="7">
        <f>AA2284/39.3701</f>
      </c>
      <c r="AF2284" s="7">
        <f>AB2284/39.3701</f>
      </c>
      <c r="AG2284" s="7">
        <f>AC2284/39.3701</f>
      </c>
      <c r="AH2284" s="7">
        <f>AD2284/39.3701</f>
      </c>
      <c r="AI2284" s="1"/>
      <c r="AJ2284" s="1"/>
      <c r="AK2284" s="1"/>
      <c r="AL2284" s="1"/>
      <c r="AM2284" s="2"/>
      <c r="AN2284" s="1"/>
      <c r="AO2284" s="1"/>
      <c r="AP2284" s="1"/>
      <c r="AQ2284" s="1"/>
      <c r="AR2284" s="1"/>
      <c r="AS2284" s="1"/>
      <c r="AT2284" s="1"/>
      <c r="AU2284" s="1"/>
      <c r="AV2284" s="1"/>
      <c r="AW2284" s="1"/>
      <c r="AX2284" s="1"/>
      <c r="AY2284" s="1"/>
      <c r="AZ2284" s="1"/>
      <c r="BA2284" s="1"/>
      <c r="BB2284" s="1"/>
      <c r="BC2284" s="1"/>
      <c r="BD2284" s="1"/>
      <c r="BE2284" s="1"/>
    </row>
    <row x14ac:dyDescent="0.25" r="2285" customHeight="1" ht="18.75">
      <c r="A2285" s="1"/>
      <c r="B2285" s="2"/>
      <c r="C2285" s="2"/>
      <c r="D2285" s="2"/>
      <c r="E2285" s="2"/>
      <c r="F2285" s="2"/>
      <c r="G2285" s="1"/>
      <c r="H2285" s="1"/>
      <c r="I2285" s="7">
        <v>2.282</v>
      </c>
      <c r="J2285" s="7">
        <f>IF((I2285-ROUNDDOWN(I2285,0))=0, 0, (I2285-ROUNDDOWN(I2285,0)))</f>
      </c>
      <c r="K2285" s="7">
        <f>INDIRECT("C$"&amp;2+MIN(2,ROUNDDOWN(I2285,0))*3)*(-$J2285^3+3*$J2285^2-3*$J2285+1)+INDIRECT("C$"&amp;3+MIN(2,ROUNDDOWN(I2285,0))*3)*(3*$J2285^3-6*$J2285^2+3*$J2285)+INDIRECT("C$"&amp;4+MIN(2,ROUNDDOWN(I2285,0))*3)*(-3*$J2285^3+3*$J2285^2)+INDIRECT("C$"&amp;5+MIN(2,ROUNDDOWN(I2285,0))*3)*$J2285^3</f>
      </c>
      <c r="L2285" s="7">
        <f>INDIRECT("D$"&amp;2+MIN(2,ROUNDDOWN(I2285,0))*3)*(-$J2285^3+3*$J2285^2-3*$J2285+1)+INDIRECT("D$"&amp;3+MIN(2,ROUNDDOWN(I2285,0))*3)*(3*$J2285^3-6*$J2285^2+3*$J2285)+INDIRECT("D$"&amp;4+MIN(2,ROUNDDOWN(I2285,0))*3)*(-3*$J2285^3+3*$J2285^2)+INDIRECT("D$"&amp;5+MIN(2,ROUNDDOWN(I2285,0))*3)*$J2285^3</f>
      </c>
      <c r="M2285" s="7">
        <f>SQRT(K2285^2+L2285^2)</f>
      </c>
      <c r="N2285" s="7">
        <f>(K2286-K2284)</f>
      </c>
      <c r="O2285" s="7">
        <f>+(L2286-L2284)</f>
      </c>
      <c r="P2285" s="7">
        <f>SQRT(O2285^2+N2285^2)</f>
      </c>
      <c r="Q2285" s="7">
        <f>N2285/$P2285</f>
      </c>
      <c r="R2285" s="7">
        <f>O2285/$P2285</f>
      </c>
      <c r="S2285" s="7">
        <f>Q2285^2+R2285^2</f>
      </c>
      <c r="T2285" s="7">
        <f>-R2285</f>
      </c>
      <c r="U2285" s="7">
        <f>Q2285</f>
      </c>
      <c r="V2285" s="7">
        <f>($C$14+($C$15-$C$14)/($D$15-$D$14)*(I2285-$D$14))/2</f>
      </c>
      <c r="W2285" s="7">
        <f>($B$22*I2285^4+$C$22*I2285^3+$D$22*I2285^2+$E$22*I2285+$F$22)/2</f>
      </c>
      <c r="X2285" s="7">
        <f>($W2285)*(T2285)</f>
      </c>
      <c r="Y2285" s="7">
        <f>($W2285)*(U2285)</f>
      </c>
      <c r="Z2285" s="7">
        <f>SQRT(X2285^2+Y2285^2)</f>
      </c>
      <c r="AA2285" s="7">
        <f>$K2285+$X2285</f>
      </c>
      <c r="AB2285" s="7">
        <f>$L2285+$Y2285</f>
      </c>
      <c r="AC2285" s="7">
        <f>$K2285-$X2285</f>
      </c>
      <c r="AD2285" s="7">
        <f>$L2285-$Y2285</f>
      </c>
      <c r="AE2285" s="7">
        <f>AA2285/39.3701</f>
      </c>
      <c r="AF2285" s="7">
        <f>AB2285/39.3701</f>
      </c>
      <c r="AG2285" s="7">
        <f>AC2285/39.3701</f>
      </c>
      <c r="AH2285" s="7">
        <f>AD2285/39.3701</f>
      </c>
      <c r="AI2285" s="1"/>
      <c r="AJ2285" s="1"/>
      <c r="AK2285" s="1"/>
      <c r="AL2285" s="1"/>
      <c r="AM2285" s="2"/>
      <c r="AN2285" s="1"/>
      <c r="AO2285" s="1"/>
      <c r="AP2285" s="1"/>
      <c r="AQ2285" s="1"/>
      <c r="AR2285" s="1"/>
      <c r="AS2285" s="1"/>
      <c r="AT2285" s="1"/>
      <c r="AU2285" s="1"/>
      <c r="AV2285" s="1"/>
      <c r="AW2285" s="1"/>
      <c r="AX2285" s="1"/>
      <c r="AY2285" s="1"/>
      <c r="AZ2285" s="1"/>
      <c r="BA2285" s="1"/>
      <c r="BB2285" s="1"/>
      <c r="BC2285" s="1"/>
      <c r="BD2285" s="1"/>
      <c r="BE2285" s="1"/>
    </row>
    <row x14ac:dyDescent="0.25" r="2286" customHeight="1" ht="18.75">
      <c r="A2286" s="1"/>
      <c r="B2286" s="2"/>
      <c r="C2286" s="2"/>
      <c r="D2286" s="2"/>
      <c r="E2286" s="2"/>
      <c r="F2286" s="2"/>
      <c r="G2286" s="1"/>
      <c r="H2286" s="1"/>
      <c r="I2286" s="7">
        <v>2.283</v>
      </c>
      <c r="J2286" s="7">
        <f>IF((I2286-ROUNDDOWN(I2286,0))=0, 0, (I2286-ROUNDDOWN(I2286,0)))</f>
      </c>
      <c r="K2286" s="7">
        <f>INDIRECT("C$"&amp;2+MIN(2,ROUNDDOWN(I2286,0))*3)*(-$J2286^3+3*$J2286^2-3*$J2286+1)+INDIRECT("C$"&amp;3+MIN(2,ROUNDDOWN(I2286,0))*3)*(3*$J2286^3-6*$J2286^2+3*$J2286)+INDIRECT("C$"&amp;4+MIN(2,ROUNDDOWN(I2286,0))*3)*(-3*$J2286^3+3*$J2286^2)+INDIRECT("C$"&amp;5+MIN(2,ROUNDDOWN(I2286,0))*3)*$J2286^3</f>
      </c>
      <c r="L2286" s="7">
        <f>INDIRECT("D$"&amp;2+MIN(2,ROUNDDOWN(I2286,0))*3)*(-$J2286^3+3*$J2286^2-3*$J2286+1)+INDIRECT("D$"&amp;3+MIN(2,ROUNDDOWN(I2286,0))*3)*(3*$J2286^3-6*$J2286^2+3*$J2286)+INDIRECT("D$"&amp;4+MIN(2,ROUNDDOWN(I2286,0))*3)*(-3*$J2286^3+3*$J2286^2)+INDIRECT("D$"&amp;5+MIN(2,ROUNDDOWN(I2286,0))*3)*$J2286^3</f>
      </c>
      <c r="M2286" s="7">
        <f>SQRT(K2286^2+L2286^2)</f>
      </c>
      <c r="N2286" s="7">
        <f>(K2287-K2285)</f>
      </c>
      <c r="O2286" s="7">
        <f>+(L2287-L2285)</f>
      </c>
      <c r="P2286" s="7">
        <f>SQRT(O2286^2+N2286^2)</f>
      </c>
      <c r="Q2286" s="7">
        <f>N2286/$P2286</f>
      </c>
      <c r="R2286" s="7">
        <f>O2286/$P2286</f>
      </c>
      <c r="S2286" s="8">
        <f>Q2286^2+R2286^2</f>
      </c>
      <c r="T2286" s="7">
        <f>-R2286</f>
      </c>
      <c r="U2286" s="7">
        <f>Q2286</f>
      </c>
      <c r="V2286" s="7">
        <f>($C$14+($C$15-$C$14)/($D$15-$D$14)*(I2286-$D$14))/2</f>
      </c>
      <c r="W2286" s="7">
        <f>($B$22*I2286^4+$C$22*I2286^3+$D$22*I2286^2+$E$22*I2286+$F$22)/2</f>
      </c>
      <c r="X2286" s="7">
        <f>($W2286)*(T2286)</f>
      </c>
      <c r="Y2286" s="7">
        <f>($W2286)*(U2286)</f>
      </c>
      <c r="Z2286" s="7">
        <f>SQRT(X2286^2+Y2286^2)</f>
      </c>
      <c r="AA2286" s="7">
        <f>$K2286+$X2286</f>
      </c>
      <c r="AB2286" s="7">
        <f>$L2286+$Y2286</f>
      </c>
      <c r="AC2286" s="7">
        <f>$K2286-$X2286</f>
      </c>
      <c r="AD2286" s="7">
        <f>$L2286-$Y2286</f>
      </c>
      <c r="AE2286" s="7">
        <f>AA2286/39.3701</f>
      </c>
      <c r="AF2286" s="7">
        <f>AB2286/39.3701</f>
      </c>
      <c r="AG2286" s="7">
        <f>AC2286/39.3701</f>
      </c>
      <c r="AH2286" s="7">
        <f>AD2286/39.3701</f>
      </c>
      <c r="AI2286" s="1"/>
      <c r="AJ2286" s="1"/>
      <c r="AK2286" s="1"/>
      <c r="AL2286" s="1"/>
      <c r="AM2286" s="2"/>
      <c r="AN2286" s="1"/>
      <c r="AO2286" s="1"/>
      <c r="AP2286" s="1"/>
      <c r="AQ2286" s="1"/>
      <c r="AR2286" s="1"/>
      <c r="AS2286" s="1"/>
      <c r="AT2286" s="1"/>
      <c r="AU2286" s="1"/>
      <c r="AV2286" s="1"/>
      <c r="AW2286" s="1"/>
      <c r="AX2286" s="1"/>
      <c r="AY2286" s="1"/>
      <c r="AZ2286" s="1"/>
      <c r="BA2286" s="1"/>
      <c r="BB2286" s="1"/>
      <c r="BC2286" s="1"/>
      <c r="BD2286" s="1"/>
      <c r="BE2286" s="1"/>
    </row>
    <row x14ac:dyDescent="0.25" r="2287" customHeight="1" ht="18.75">
      <c r="A2287" s="1"/>
      <c r="B2287" s="2"/>
      <c r="C2287" s="2"/>
      <c r="D2287" s="2"/>
      <c r="E2287" s="2"/>
      <c r="F2287" s="2"/>
      <c r="G2287" s="1"/>
      <c r="H2287" s="1"/>
      <c r="I2287" s="7">
        <v>2.284</v>
      </c>
      <c r="J2287" s="7">
        <f>IF((I2287-ROUNDDOWN(I2287,0))=0, 0, (I2287-ROUNDDOWN(I2287,0)))</f>
      </c>
      <c r="K2287" s="7">
        <f>INDIRECT("C$"&amp;2+MIN(2,ROUNDDOWN(I2287,0))*3)*(-$J2287^3+3*$J2287^2-3*$J2287+1)+INDIRECT("C$"&amp;3+MIN(2,ROUNDDOWN(I2287,0))*3)*(3*$J2287^3-6*$J2287^2+3*$J2287)+INDIRECT("C$"&amp;4+MIN(2,ROUNDDOWN(I2287,0))*3)*(-3*$J2287^3+3*$J2287^2)+INDIRECT("C$"&amp;5+MIN(2,ROUNDDOWN(I2287,0))*3)*$J2287^3</f>
      </c>
      <c r="L2287" s="7">
        <f>INDIRECT("D$"&amp;2+MIN(2,ROUNDDOWN(I2287,0))*3)*(-$J2287^3+3*$J2287^2-3*$J2287+1)+INDIRECT("D$"&amp;3+MIN(2,ROUNDDOWN(I2287,0))*3)*(3*$J2287^3-6*$J2287^2+3*$J2287)+INDIRECT("D$"&amp;4+MIN(2,ROUNDDOWN(I2287,0))*3)*(-3*$J2287^3+3*$J2287^2)+INDIRECT("D$"&amp;5+MIN(2,ROUNDDOWN(I2287,0))*3)*$J2287^3</f>
      </c>
      <c r="M2287" s="7">
        <f>SQRT(K2287^2+L2287^2)</f>
      </c>
      <c r="N2287" s="7">
        <f>(K2288-K2286)</f>
      </c>
      <c r="O2287" s="7">
        <f>+(L2288-L2286)</f>
      </c>
      <c r="P2287" s="7">
        <f>SQRT(O2287^2+N2287^2)</f>
      </c>
      <c r="Q2287" s="7">
        <f>N2287/$P2287</f>
      </c>
      <c r="R2287" s="7">
        <f>O2287/$P2287</f>
      </c>
      <c r="S2287" s="8">
        <f>Q2287^2+R2287^2</f>
      </c>
      <c r="T2287" s="7">
        <f>-R2287</f>
      </c>
      <c r="U2287" s="7">
        <f>Q2287</f>
      </c>
      <c r="V2287" s="7">
        <f>($C$14+($C$15-$C$14)/($D$15-$D$14)*(I2287-$D$14))/2</f>
      </c>
      <c r="W2287" s="7">
        <f>($B$22*I2287^4+$C$22*I2287^3+$D$22*I2287^2+$E$22*I2287+$F$22)/2</f>
      </c>
      <c r="X2287" s="7">
        <f>($W2287)*(T2287)</f>
      </c>
      <c r="Y2287" s="7">
        <f>($W2287)*(U2287)</f>
      </c>
      <c r="Z2287" s="7">
        <f>SQRT(X2287^2+Y2287^2)</f>
      </c>
      <c r="AA2287" s="7">
        <f>$K2287+$X2287</f>
      </c>
      <c r="AB2287" s="7">
        <f>$L2287+$Y2287</f>
      </c>
      <c r="AC2287" s="7">
        <f>$K2287-$X2287</f>
      </c>
      <c r="AD2287" s="7">
        <f>$L2287-$Y2287</f>
      </c>
      <c r="AE2287" s="7">
        <f>AA2287/39.3701</f>
      </c>
      <c r="AF2287" s="7">
        <f>AB2287/39.3701</f>
      </c>
      <c r="AG2287" s="7">
        <f>AC2287/39.3701</f>
      </c>
      <c r="AH2287" s="7">
        <f>AD2287/39.3701</f>
      </c>
      <c r="AI2287" s="1"/>
      <c r="AJ2287" s="1"/>
      <c r="AK2287" s="1"/>
      <c r="AL2287" s="1"/>
      <c r="AM2287" s="2"/>
      <c r="AN2287" s="1"/>
      <c r="AO2287" s="1"/>
      <c r="AP2287" s="1"/>
      <c r="AQ2287" s="1"/>
      <c r="AR2287" s="1"/>
      <c r="AS2287" s="1"/>
      <c r="AT2287" s="1"/>
      <c r="AU2287" s="1"/>
      <c r="AV2287" s="1"/>
      <c r="AW2287" s="1"/>
      <c r="AX2287" s="1"/>
      <c r="AY2287" s="1"/>
      <c r="AZ2287" s="1"/>
      <c r="BA2287" s="1"/>
      <c r="BB2287" s="1"/>
      <c r="BC2287" s="1"/>
      <c r="BD2287" s="1"/>
      <c r="BE2287" s="1"/>
    </row>
    <row x14ac:dyDescent="0.25" r="2288" customHeight="1" ht="18.75">
      <c r="A2288" s="1"/>
      <c r="B2288" s="2"/>
      <c r="C2288" s="2"/>
      <c r="D2288" s="2"/>
      <c r="E2288" s="2"/>
      <c r="F2288" s="2"/>
      <c r="G2288" s="1"/>
      <c r="H2288" s="1"/>
      <c r="I2288" s="7">
        <v>2.285</v>
      </c>
      <c r="J2288" s="7">
        <f>IF((I2288-ROUNDDOWN(I2288,0))=0, 0, (I2288-ROUNDDOWN(I2288,0)))</f>
      </c>
      <c r="K2288" s="7">
        <f>INDIRECT("C$"&amp;2+MIN(2,ROUNDDOWN(I2288,0))*3)*(-$J2288^3+3*$J2288^2-3*$J2288+1)+INDIRECT("C$"&amp;3+MIN(2,ROUNDDOWN(I2288,0))*3)*(3*$J2288^3-6*$J2288^2+3*$J2288)+INDIRECT("C$"&amp;4+MIN(2,ROUNDDOWN(I2288,0))*3)*(-3*$J2288^3+3*$J2288^2)+INDIRECT("C$"&amp;5+MIN(2,ROUNDDOWN(I2288,0))*3)*$J2288^3</f>
      </c>
      <c r="L2288" s="7">
        <f>INDIRECT("D$"&amp;2+MIN(2,ROUNDDOWN(I2288,0))*3)*(-$J2288^3+3*$J2288^2-3*$J2288+1)+INDIRECT("D$"&amp;3+MIN(2,ROUNDDOWN(I2288,0))*3)*(3*$J2288^3-6*$J2288^2+3*$J2288)+INDIRECT("D$"&amp;4+MIN(2,ROUNDDOWN(I2288,0))*3)*(-3*$J2288^3+3*$J2288^2)+INDIRECT("D$"&amp;5+MIN(2,ROUNDDOWN(I2288,0))*3)*$J2288^3</f>
      </c>
      <c r="M2288" s="7">
        <f>SQRT(K2288^2+L2288^2)</f>
      </c>
      <c r="N2288" s="7">
        <f>(K2289-K2287)</f>
      </c>
      <c r="O2288" s="7">
        <f>+(L2289-L2287)</f>
      </c>
      <c r="P2288" s="7">
        <f>SQRT(O2288^2+N2288^2)</f>
      </c>
      <c r="Q2288" s="7">
        <f>N2288/$P2288</f>
      </c>
      <c r="R2288" s="7">
        <f>O2288/$P2288</f>
      </c>
      <c r="S2288" s="8">
        <f>Q2288^2+R2288^2</f>
      </c>
      <c r="T2288" s="7">
        <f>-R2288</f>
      </c>
      <c r="U2288" s="7">
        <f>Q2288</f>
      </c>
      <c r="V2288" s="7">
        <f>($C$14+($C$15-$C$14)/($D$15-$D$14)*(I2288-$D$14))/2</f>
      </c>
      <c r="W2288" s="7">
        <f>($B$22*I2288^4+$C$22*I2288^3+$D$22*I2288^2+$E$22*I2288+$F$22)/2</f>
      </c>
      <c r="X2288" s="7">
        <f>($W2288)*(T2288)</f>
      </c>
      <c r="Y2288" s="7">
        <f>($W2288)*(U2288)</f>
      </c>
      <c r="Z2288" s="7">
        <f>SQRT(X2288^2+Y2288^2)</f>
      </c>
      <c r="AA2288" s="7">
        <f>$K2288+$X2288</f>
      </c>
      <c r="AB2288" s="7">
        <f>$L2288+$Y2288</f>
      </c>
      <c r="AC2288" s="7">
        <f>$K2288-$X2288</f>
      </c>
      <c r="AD2288" s="7">
        <f>$L2288-$Y2288</f>
      </c>
      <c r="AE2288" s="7">
        <f>AA2288/39.3701</f>
      </c>
      <c r="AF2288" s="7">
        <f>AB2288/39.3701</f>
      </c>
      <c r="AG2288" s="7">
        <f>AC2288/39.3701</f>
      </c>
      <c r="AH2288" s="7">
        <f>AD2288/39.3701</f>
      </c>
      <c r="AI2288" s="1"/>
      <c r="AJ2288" s="1"/>
      <c r="AK2288" s="1"/>
      <c r="AL2288" s="1"/>
      <c r="AM2288" s="2"/>
      <c r="AN2288" s="1"/>
      <c r="AO2288" s="1"/>
      <c r="AP2288" s="1"/>
      <c r="AQ2288" s="1"/>
      <c r="AR2288" s="1"/>
      <c r="AS2288" s="1"/>
      <c r="AT2288" s="1"/>
      <c r="AU2288" s="1"/>
      <c r="AV2288" s="1"/>
      <c r="AW2288" s="1"/>
      <c r="AX2288" s="1"/>
      <c r="AY2288" s="1"/>
      <c r="AZ2288" s="1"/>
      <c r="BA2288" s="1"/>
      <c r="BB2288" s="1"/>
      <c r="BC2288" s="1"/>
      <c r="BD2288" s="1"/>
      <c r="BE2288" s="1"/>
    </row>
    <row x14ac:dyDescent="0.25" r="2289" customHeight="1" ht="18.75">
      <c r="A2289" s="1"/>
      <c r="B2289" s="2"/>
      <c r="C2289" s="2"/>
      <c r="D2289" s="2"/>
      <c r="E2289" s="2"/>
      <c r="F2289" s="2"/>
      <c r="G2289" s="1"/>
      <c r="H2289" s="1"/>
      <c r="I2289" s="7">
        <v>2.286</v>
      </c>
      <c r="J2289" s="7">
        <f>IF((I2289-ROUNDDOWN(I2289,0))=0, 0, (I2289-ROUNDDOWN(I2289,0)))</f>
      </c>
      <c r="K2289" s="7">
        <f>INDIRECT("C$"&amp;2+MIN(2,ROUNDDOWN(I2289,0))*3)*(-$J2289^3+3*$J2289^2-3*$J2289+1)+INDIRECT("C$"&amp;3+MIN(2,ROUNDDOWN(I2289,0))*3)*(3*$J2289^3-6*$J2289^2+3*$J2289)+INDIRECT("C$"&amp;4+MIN(2,ROUNDDOWN(I2289,0))*3)*(-3*$J2289^3+3*$J2289^2)+INDIRECT("C$"&amp;5+MIN(2,ROUNDDOWN(I2289,0))*3)*$J2289^3</f>
      </c>
      <c r="L2289" s="7">
        <f>INDIRECT("D$"&amp;2+MIN(2,ROUNDDOWN(I2289,0))*3)*(-$J2289^3+3*$J2289^2-3*$J2289+1)+INDIRECT("D$"&amp;3+MIN(2,ROUNDDOWN(I2289,0))*3)*(3*$J2289^3-6*$J2289^2+3*$J2289)+INDIRECT("D$"&amp;4+MIN(2,ROUNDDOWN(I2289,0))*3)*(-3*$J2289^3+3*$J2289^2)+INDIRECT("D$"&amp;5+MIN(2,ROUNDDOWN(I2289,0))*3)*$J2289^3</f>
      </c>
      <c r="M2289" s="7">
        <f>SQRT(K2289^2+L2289^2)</f>
      </c>
      <c r="N2289" s="7">
        <f>(K2290-K2288)</f>
      </c>
      <c r="O2289" s="7">
        <f>+(L2290-L2288)</f>
      </c>
      <c r="P2289" s="7">
        <f>SQRT(O2289^2+N2289^2)</f>
      </c>
      <c r="Q2289" s="7">
        <f>N2289/$P2289</f>
      </c>
      <c r="R2289" s="7">
        <f>O2289/$P2289</f>
      </c>
      <c r="S2289" s="8">
        <f>Q2289^2+R2289^2</f>
      </c>
      <c r="T2289" s="7">
        <f>-R2289</f>
      </c>
      <c r="U2289" s="7">
        <f>Q2289</f>
      </c>
      <c r="V2289" s="7">
        <f>($C$14+($C$15-$C$14)/($D$15-$D$14)*(I2289-$D$14))/2</f>
      </c>
      <c r="W2289" s="7">
        <f>($B$22*I2289^4+$C$22*I2289^3+$D$22*I2289^2+$E$22*I2289+$F$22)/2</f>
      </c>
      <c r="X2289" s="7">
        <f>($W2289)*(T2289)</f>
      </c>
      <c r="Y2289" s="7">
        <f>($W2289)*(U2289)</f>
      </c>
      <c r="Z2289" s="7">
        <f>SQRT(X2289^2+Y2289^2)</f>
      </c>
      <c r="AA2289" s="7">
        <f>$K2289+$X2289</f>
      </c>
      <c r="AB2289" s="7">
        <f>$L2289+$Y2289</f>
      </c>
      <c r="AC2289" s="7">
        <f>$K2289-$X2289</f>
      </c>
      <c r="AD2289" s="7">
        <f>$L2289-$Y2289</f>
      </c>
      <c r="AE2289" s="7">
        <f>AA2289/39.3701</f>
      </c>
      <c r="AF2289" s="7">
        <f>AB2289/39.3701</f>
      </c>
      <c r="AG2289" s="7">
        <f>AC2289/39.3701</f>
      </c>
      <c r="AH2289" s="7">
        <f>AD2289/39.3701</f>
      </c>
      <c r="AI2289" s="1"/>
      <c r="AJ2289" s="1"/>
      <c r="AK2289" s="1"/>
      <c r="AL2289" s="1"/>
      <c r="AM2289" s="2"/>
      <c r="AN2289" s="1"/>
      <c r="AO2289" s="1"/>
      <c r="AP2289" s="1"/>
      <c r="AQ2289" s="1"/>
      <c r="AR2289" s="1"/>
      <c r="AS2289" s="1"/>
      <c r="AT2289" s="1"/>
      <c r="AU2289" s="1"/>
      <c r="AV2289" s="1"/>
      <c r="AW2289" s="1"/>
      <c r="AX2289" s="1"/>
      <c r="AY2289" s="1"/>
      <c r="AZ2289" s="1"/>
      <c r="BA2289" s="1"/>
      <c r="BB2289" s="1"/>
      <c r="BC2289" s="1"/>
      <c r="BD2289" s="1"/>
      <c r="BE2289" s="1"/>
    </row>
    <row x14ac:dyDescent="0.25" r="2290" customHeight="1" ht="18.75">
      <c r="A2290" s="1"/>
      <c r="B2290" s="2"/>
      <c r="C2290" s="2"/>
      <c r="D2290" s="2"/>
      <c r="E2290" s="2"/>
      <c r="F2290" s="2"/>
      <c r="G2290" s="1"/>
      <c r="H2290" s="1"/>
      <c r="I2290" s="7">
        <v>2.287</v>
      </c>
      <c r="J2290" s="7">
        <f>IF((I2290-ROUNDDOWN(I2290,0))=0, 0, (I2290-ROUNDDOWN(I2290,0)))</f>
      </c>
      <c r="K2290" s="7">
        <f>INDIRECT("C$"&amp;2+MIN(2,ROUNDDOWN(I2290,0))*3)*(-$J2290^3+3*$J2290^2-3*$J2290+1)+INDIRECT("C$"&amp;3+MIN(2,ROUNDDOWN(I2290,0))*3)*(3*$J2290^3-6*$J2290^2+3*$J2290)+INDIRECT("C$"&amp;4+MIN(2,ROUNDDOWN(I2290,0))*3)*(-3*$J2290^3+3*$J2290^2)+INDIRECT("C$"&amp;5+MIN(2,ROUNDDOWN(I2290,0))*3)*$J2290^3</f>
      </c>
      <c r="L2290" s="7">
        <f>INDIRECT("D$"&amp;2+MIN(2,ROUNDDOWN(I2290,0))*3)*(-$J2290^3+3*$J2290^2-3*$J2290+1)+INDIRECT("D$"&amp;3+MIN(2,ROUNDDOWN(I2290,0))*3)*(3*$J2290^3-6*$J2290^2+3*$J2290)+INDIRECT("D$"&amp;4+MIN(2,ROUNDDOWN(I2290,0))*3)*(-3*$J2290^3+3*$J2290^2)+INDIRECT("D$"&amp;5+MIN(2,ROUNDDOWN(I2290,0))*3)*$J2290^3</f>
      </c>
      <c r="M2290" s="7">
        <f>SQRT(K2290^2+L2290^2)</f>
      </c>
      <c r="N2290" s="7">
        <f>(K2291-K2289)</f>
      </c>
      <c r="O2290" s="7">
        <f>+(L2291-L2289)</f>
      </c>
      <c r="P2290" s="7">
        <f>SQRT(O2290^2+N2290^2)</f>
      </c>
      <c r="Q2290" s="7">
        <f>N2290/$P2290</f>
      </c>
      <c r="R2290" s="7">
        <f>O2290/$P2290</f>
      </c>
      <c r="S2290" s="8">
        <f>Q2290^2+R2290^2</f>
      </c>
      <c r="T2290" s="7">
        <f>-R2290</f>
      </c>
      <c r="U2290" s="7">
        <f>Q2290</f>
      </c>
      <c r="V2290" s="7">
        <f>($C$14+($C$15-$C$14)/($D$15-$D$14)*(I2290-$D$14))/2</f>
      </c>
      <c r="W2290" s="7">
        <f>($B$22*I2290^4+$C$22*I2290^3+$D$22*I2290^2+$E$22*I2290+$F$22)/2</f>
      </c>
      <c r="X2290" s="7">
        <f>($W2290)*(T2290)</f>
      </c>
      <c r="Y2290" s="7">
        <f>($W2290)*(U2290)</f>
      </c>
      <c r="Z2290" s="7">
        <f>SQRT(X2290^2+Y2290^2)</f>
      </c>
      <c r="AA2290" s="7">
        <f>$K2290+$X2290</f>
      </c>
      <c r="AB2290" s="7">
        <f>$L2290+$Y2290</f>
      </c>
      <c r="AC2290" s="7">
        <f>$K2290-$X2290</f>
      </c>
      <c r="AD2290" s="7">
        <f>$L2290-$Y2290</f>
      </c>
      <c r="AE2290" s="7">
        <f>AA2290/39.3701</f>
      </c>
      <c r="AF2290" s="7">
        <f>AB2290/39.3701</f>
      </c>
      <c r="AG2290" s="7">
        <f>AC2290/39.3701</f>
      </c>
      <c r="AH2290" s="7">
        <f>AD2290/39.3701</f>
      </c>
      <c r="AI2290" s="1"/>
      <c r="AJ2290" s="1"/>
      <c r="AK2290" s="1"/>
      <c r="AL2290" s="1"/>
      <c r="AM2290" s="2"/>
      <c r="AN2290" s="1"/>
      <c r="AO2290" s="1"/>
      <c r="AP2290" s="1"/>
      <c r="AQ2290" s="1"/>
      <c r="AR2290" s="1"/>
      <c r="AS2290" s="1"/>
      <c r="AT2290" s="1"/>
      <c r="AU2290" s="1"/>
      <c r="AV2290" s="1"/>
      <c r="AW2290" s="1"/>
      <c r="AX2290" s="1"/>
      <c r="AY2290" s="1"/>
      <c r="AZ2290" s="1"/>
      <c r="BA2290" s="1"/>
      <c r="BB2290" s="1"/>
      <c r="BC2290" s="1"/>
      <c r="BD2290" s="1"/>
      <c r="BE2290" s="1"/>
    </row>
    <row x14ac:dyDescent="0.25" r="2291" customHeight="1" ht="18.75">
      <c r="A2291" s="1"/>
      <c r="B2291" s="2"/>
      <c r="C2291" s="2"/>
      <c r="D2291" s="2"/>
      <c r="E2291" s="2"/>
      <c r="F2291" s="2"/>
      <c r="G2291" s="1"/>
      <c r="H2291" s="1"/>
      <c r="I2291" s="7">
        <v>2.288</v>
      </c>
      <c r="J2291" s="7">
        <f>IF((I2291-ROUNDDOWN(I2291,0))=0, 0, (I2291-ROUNDDOWN(I2291,0)))</f>
      </c>
      <c r="K2291" s="7">
        <f>INDIRECT("C$"&amp;2+MIN(2,ROUNDDOWN(I2291,0))*3)*(-$J2291^3+3*$J2291^2-3*$J2291+1)+INDIRECT("C$"&amp;3+MIN(2,ROUNDDOWN(I2291,0))*3)*(3*$J2291^3-6*$J2291^2+3*$J2291)+INDIRECT("C$"&amp;4+MIN(2,ROUNDDOWN(I2291,0))*3)*(-3*$J2291^3+3*$J2291^2)+INDIRECT("C$"&amp;5+MIN(2,ROUNDDOWN(I2291,0))*3)*$J2291^3</f>
      </c>
      <c r="L2291" s="7">
        <f>INDIRECT("D$"&amp;2+MIN(2,ROUNDDOWN(I2291,0))*3)*(-$J2291^3+3*$J2291^2-3*$J2291+1)+INDIRECT("D$"&amp;3+MIN(2,ROUNDDOWN(I2291,0))*3)*(3*$J2291^3-6*$J2291^2+3*$J2291)+INDIRECT("D$"&amp;4+MIN(2,ROUNDDOWN(I2291,0))*3)*(-3*$J2291^3+3*$J2291^2)+INDIRECT("D$"&amp;5+MIN(2,ROUNDDOWN(I2291,0))*3)*$J2291^3</f>
      </c>
      <c r="M2291" s="7">
        <f>SQRT(K2291^2+L2291^2)</f>
      </c>
      <c r="N2291" s="7">
        <f>(K2292-K2290)</f>
      </c>
      <c r="O2291" s="7">
        <f>+(L2292-L2290)</f>
      </c>
      <c r="P2291" s="7">
        <f>SQRT(O2291^2+N2291^2)</f>
      </c>
      <c r="Q2291" s="7">
        <f>N2291/$P2291</f>
      </c>
      <c r="R2291" s="7">
        <f>O2291/$P2291</f>
      </c>
      <c r="S2291" s="8">
        <f>Q2291^2+R2291^2</f>
      </c>
      <c r="T2291" s="7">
        <f>-R2291</f>
      </c>
      <c r="U2291" s="7">
        <f>Q2291</f>
      </c>
      <c r="V2291" s="7">
        <f>($C$14+($C$15-$C$14)/($D$15-$D$14)*(I2291-$D$14))/2</f>
      </c>
      <c r="W2291" s="7">
        <f>($B$22*I2291^4+$C$22*I2291^3+$D$22*I2291^2+$E$22*I2291+$F$22)/2</f>
      </c>
      <c r="X2291" s="7">
        <f>($W2291)*(T2291)</f>
      </c>
      <c r="Y2291" s="7">
        <f>($W2291)*(U2291)</f>
      </c>
      <c r="Z2291" s="7">
        <f>SQRT(X2291^2+Y2291^2)</f>
      </c>
      <c r="AA2291" s="7">
        <f>$K2291+$X2291</f>
      </c>
      <c r="AB2291" s="7">
        <f>$L2291+$Y2291</f>
      </c>
      <c r="AC2291" s="7">
        <f>$K2291-$X2291</f>
      </c>
      <c r="AD2291" s="7">
        <f>$L2291-$Y2291</f>
      </c>
      <c r="AE2291" s="7">
        <f>AA2291/39.3701</f>
      </c>
      <c r="AF2291" s="7">
        <f>AB2291/39.3701</f>
      </c>
      <c r="AG2291" s="7">
        <f>AC2291/39.3701</f>
      </c>
      <c r="AH2291" s="7">
        <f>AD2291/39.3701</f>
      </c>
      <c r="AI2291" s="1"/>
      <c r="AJ2291" s="1"/>
      <c r="AK2291" s="1"/>
      <c r="AL2291" s="1"/>
      <c r="AM2291" s="2"/>
      <c r="AN2291" s="1"/>
      <c r="AO2291" s="1"/>
      <c r="AP2291" s="1"/>
      <c r="AQ2291" s="1"/>
      <c r="AR2291" s="1"/>
      <c r="AS2291" s="1"/>
      <c r="AT2291" s="1"/>
      <c r="AU2291" s="1"/>
      <c r="AV2291" s="1"/>
      <c r="AW2291" s="1"/>
      <c r="AX2291" s="1"/>
      <c r="AY2291" s="1"/>
      <c r="AZ2291" s="1"/>
      <c r="BA2291" s="1"/>
      <c r="BB2291" s="1"/>
      <c r="BC2291" s="1"/>
      <c r="BD2291" s="1"/>
      <c r="BE2291" s="1"/>
    </row>
    <row x14ac:dyDescent="0.25" r="2292" customHeight="1" ht="18.75">
      <c r="A2292" s="1"/>
      <c r="B2292" s="2"/>
      <c r="C2292" s="2"/>
      <c r="D2292" s="2"/>
      <c r="E2292" s="2"/>
      <c r="F2292" s="2"/>
      <c r="G2292" s="1"/>
      <c r="H2292" s="1"/>
      <c r="I2292" s="7">
        <v>2.289</v>
      </c>
      <c r="J2292" s="7">
        <f>IF((I2292-ROUNDDOWN(I2292,0))=0, 0, (I2292-ROUNDDOWN(I2292,0)))</f>
      </c>
      <c r="K2292" s="7">
        <f>INDIRECT("C$"&amp;2+MIN(2,ROUNDDOWN(I2292,0))*3)*(-$J2292^3+3*$J2292^2-3*$J2292+1)+INDIRECT("C$"&amp;3+MIN(2,ROUNDDOWN(I2292,0))*3)*(3*$J2292^3-6*$J2292^2+3*$J2292)+INDIRECT("C$"&amp;4+MIN(2,ROUNDDOWN(I2292,0))*3)*(-3*$J2292^3+3*$J2292^2)+INDIRECT("C$"&amp;5+MIN(2,ROUNDDOWN(I2292,0))*3)*$J2292^3</f>
      </c>
      <c r="L2292" s="7">
        <f>INDIRECT("D$"&amp;2+MIN(2,ROUNDDOWN(I2292,0))*3)*(-$J2292^3+3*$J2292^2-3*$J2292+1)+INDIRECT("D$"&amp;3+MIN(2,ROUNDDOWN(I2292,0))*3)*(3*$J2292^3-6*$J2292^2+3*$J2292)+INDIRECT("D$"&amp;4+MIN(2,ROUNDDOWN(I2292,0))*3)*(-3*$J2292^3+3*$J2292^2)+INDIRECT("D$"&amp;5+MIN(2,ROUNDDOWN(I2292,0))*3)*$J2292^3</f>
      </c>
      <c r="M2292" s="7">
        <f>SQRT(K2292^2+L2292^2)</f>
      </c>
      <c r="N2292" s="7">
        <f>(K2293-K2291)</f>
      </c>
      <c r="O2292" s="7">
        <f>+(L2293-L2291)</f>
      </c>
      <c r="P2292" s="7">
        <f>SQRT(O2292^2+N2292^2)</f>
      </c>
      <c r="Q2292" s="7">
        <f>N2292/$P2292</f>
      </c>
      <c r="R2292" s="7">
        <f>O2292/$P2292</f>
      </c>
      <c r="S2292" s="8">
        <f>Q2292^2+R2292^2</f>
      </c>
      <c r="T2292" s="7">
        <f>-R2292</f>
      </c>
      <c r="U2292" s="7">
        <f>Q2292</f>
      </c>
      <c r="V2292" s="7">
        <f>($C$14+($C$15-$C$14)/($D$15-$D$14)*(I2292-$D$14))/2</f>
      </c>
      <c r="W2292" s="7">
        <f>($B$22*I2292^4+$C$22*I2292^3+$D$22*I2292^2+$E$22*I2292+$F$22)/2</f>
      </c>
      <c r="X2292" s="7">
        <f>($W2292)*(T2292)</f>
      </c>
      <c r="Y2292" s="7">
        <f>($W2292)*(U2292)</f>
      </c>
      <c r="Z2292" s="7">
        <f>SQRT(X2292^2+Y2292^2)</f>
      </c>
      <c r="AA2292" s="7">
        <f>$K2292+$X2292</f>
      </c>
      <c r="AB2292" s="7">
        <f>$L2292+$Y2292</f>
      </c>
      <c r="AC2292" s="7">
        <f>$K2292-$X2292</f>
      </c>
      <c r="AD2292" s="7">
        <f>$L2292-$Y2292</f>
      </c>
      <c r="AE2292" s="7">
        <f>AA2292/39.3701</f>
      </c>
      <c r="AF2292" s="7">
        <f>AB2292/39.3701</f>
      </c>
      <c r="AG2292" s="7">
        <f>AC2292/39.3701</f>
      </c>
      <c r="AH2292" s="7">
        <f>AD2292/39.3701</f>
      </c>
      <c r="AI2292" s="1"/>
      <c r="AJ2292" s="1"/>
      <c r="AK2292" s="1"/>
      <c r="AL2292" s="1"/>
      <c r="AM2292" s="2"/>
      <c r="AN2292" s="1"/>
      <c r="AO2292" s="1"/>
      <c r="AP2292" s="1"/>
      <c r="AQ2292" s="1"/>
      <c r="AR2292" s="1"/>
      <c r="AS2292" s="1"/>
      <c r="AT2292" s="1"/>
      <c r="AU2292" s="1"/>
      <c r="AV2292" s="1"/>
      <c r="AW2292" s="1"/>
      <c r="AX2292" s="1"/>
      <c r="AY2292" s="1"/>
      <c r="AZ2292" s="1"/>
      <c r="BA2292" s="1"/>
      <c r="BB2292" s="1"/>
      <c r="BC2292" s="1"/>
      <c r="BD2292" s="1"/>
      <c r="BE2292" s="1"/>
    </row>
    <row x14ac:dyDescent="0.25" r="2293" customHeight="1" ht="18.75">
      <c r="A2293" s="1"/>
      <c r="B2293" s="2"/>
      <c r="C2293" s="2"/>
      <c r="D2293" s="2"/>
      <c r="E2293" s="2"/>
      <c r="F2293" s="2"/>
      <c r="G2293" s="1"/>
      <c r="H2293" s="1"/>
      <c r="I2293" s="7">
        <v>2.29</v>
      </c>
      <c r="J2293" s="7">
        <f>IF((I2293-ROUNDDOWN(I2293,0))=0, 0, (I2293-ROUNDDOWN(I2293,0)))</f>
      </c>
      <c r="K2293" s="7">
        <f>INDIRECT("C$"&amp;2+MIN(2,ROUNDDOWN(I2293,0))*3)*(-$J2293^3+3*$J2293^2-3*$J2293+1)+INDIRECT("C$"&amp;3+MIN(2,ROUNDDOWN(I2293,0))*3)*(3*$J2293^3-6*$J2293^2+3*$J2293)+INDIRECT("C$"&amp;4+MIN(2,ROUNDDOWN(I2293,0))*3)*(-3*$J2293^3+3*$J2293^2)+INDIRECT("C$"&amp;5+MIN(2,ROUNDDOWN(I2293,0))*3)*$J2293^3</f>
      </c>
      <c r="L2293" s="7">
        <f>INDIRECT("D$"&amp;2+MIN(2,ROUNDDOWN(I2293,0))*3)*(-$J2293^3+3*$J2293^2-3*$J2293+1)+INDIRECT("D$"&amp;3+MIN(2,ROUNDDOWN(I2293,0))*3)*(3*$J2293^3-6*$J2293^2+3*$J2293)+INDIRECT("D$"&amp;4+MIN(2,ROUNDDOWN(I2293,0))*3)*(-3*$J2293^3+3*$J2293^2)+INDIRECT("D$"&amp;5+MIN(2,ROUNDDOWN(I2293,0))*3)*$J2293^3</f>
      </c>
      <c r="M2293" s="7">
        <f>SQRT(K2293^2+L2293^2)</f>
      </c>
      <c r="N2293" s="7">
        <f>(K2294-K2292)</f>
      </c>
      <c r="O2293" s="7">
        <f>+(L2294-L2292)</f>
      </c>
      <c r="P2293" s="7">
        <f>SQRT(O2293^2+N2293^2)</f>
      </c>
      <c r="Q2293" s="7">
        <f>N2293/$P2293</f>
      </c>
      <c r="R2293" s="7">
        <f>O2293/$P2293</f>
      </c>
      <c r="S2293" s="7">
        <f>Q2293^2+R2293^2</f>
      </c>
      <c r="T2293" s="7">
        <f>-R2293</f>
      </c>
      <c r="U2293" s="7">
        <f>Q2293</f>
      </c>
      <c r="V2293" s="7">
        <f>($C$14+($C$15-$C$14)/($D$15-$D$14)*(I2293-$D$14))/2</f>
      </c>
      <c r="W2293" s="7">
        <f>($B$22*I2293^4+$C$22*I2293^3+$D$22*I2293^2+$E$22*I2293+$F$22)/2</f>
      </c>
      <c r="X2293" s="7">
        <f>($W2293)*(T2293)</f>
      </c>
      <c r="Y2293" s="7">
        <f>($W2293)*(U2293)</f>
      </c>
      <c r="Z2293" s="7">
        <f>SQRT(X2293^2+Y2293^2)</f>
      </c>
      <c r="AA2293" s="7">
        <f>$K2293+$X2293</f>
      </c>
      <c r="AB2293" s="7">
        <f>$L2293+$Y2293</f>
      </c>
      <c r="AC2293" s="7">
        <f>$K2293-$X2293</f>
      </c>
      <c r="AD2293" s="7">
        <f>$L2293-$Y2293</f>
      </c>
      <c r="AE2293" s="7">
        <f>AA2293/39.3701</f>
      </c>
      <c r="AF2293" s="7">
        <f>AB2293/39.3701</f>
      </c>
      <c r="AG2293" s="7">
        <f>AC2293/39.3701</f>
      </c>
      <c r="AH2293" s="7">
        <f>AD2293/39.3701</f>
      </c>
      <c r="AI2293" s="1"/>
      <c r="AJ2293" s="1"/>
      <c r="AK2293" s="1"/>
      <c r="AL2293" s="1"/>
      <c r="AM2293" s="2"/>
      <c r="AN2293" s="1"/>
      <c r="AO2293" s="1"/>
      <c r="AP2293" s="1"/>
      <c r="AQ2293" s="1"/>
      <c r="AR2293" s="1"/>
      <c r="AS2293" s="1"/>
      <c r="AT2293" s="1"/>
      <c r="AU2293" s="1"/>
      <c r="AV2293" s="1"/>
      <c r="AW2293" s="1"/>
      <c r="AX2293" s="1"/>
      <c r="AY2293" s="1"/>
      <c r="AZ2293" s="1"/>
      <c r="BA2293" s="1"/>
      <c r="BB2293" s="1"/>
      <c r="BC2293" s="1"/>
      <c r="BD2293" s="1"/>
      <c r="BE2293" s="1"/>
    </row>
    <row x14ac:dyDescent="0.25" r="2294" customHeight="1" ht="18.75">
      <c r="A2294" s="1"/>
      <c r="B2294" s="2"/>
      <c r="C2294" s="2"/>
      <c r="D2294" s="2"/>
      <c r="E2294" s="2"/>
      <c r="F2294" s="2"/>
      <c r="G2294" s="1"/>
      <c r="H2294" s="1"/>
      <c r="I2294" s="7">
        <v>2.291</v>
      </c>
      <c r="J2294" s="7">
        <f>IF((I2294-ROUNDDOWN(I2294,0))=0, 0, (I2294-ROUNDDOWN(I2294,0)))</f>
      </c>
      <c r="K2294" s="7">
        <f>INDIRECT("C$"&amp;2+MIN(2,ROUNDDOWN(I2294,0))*3)*(-$J2294^3+3*$J2294^2-3*$J2294+1)+INDIRECT("C$"&amp;3+MIN(2,ROUNDDOWN(I2294,0))*3)*(3*$J2294^3-6*$J2294^2+3*$J2294)+INDIRECT("C$"&amp;4+MIN(2,ROUNDDOWN(I2294,0))*3)*(-3*$J2294^3+3*$J2294^2)+INDIRECT("C$"&amp;5+MIN(2,ROUNDDOWN(I2294,0))*3)*$J2294^3</f>
      </c>
      <c r="L2294" s="7">
        <f>INDIRECT("D$"&amp;2+MIN(2,ROUNDDOWN(I2294,0))*3)*(-$J2294^3+3*$J2294^2-3*$J2294+1)+INDIRECT("D$"&amp;3+MIN(2,ROUNDDOWN(I2294,0))*3)*(3*$J2294^3-6*$J2294^2+3*$J2294)+INDIRECT("D$"&amp;4+MIN(2,ROUNDDOWN(I2294,0))*3)*(-3*$J2294^3+3*$J2294^2)+INDIRECT("D$"&amp;5+MIN(2,ROUNDDOWN(I2294,0))*3)*$J2294^3</f>
      </c>
      <c r="M2294" s="7">
        <f>SQRT(K2294^2+L2294^2)</f>
      </c>
      <c r="N2294" s="7">
        <f>(K2295-K2293)</f>
      </c>
      <c r="O2294" s="7">
        <f>+(L2295-L2293)</f>
      </c>
      <c r="P2294" s="7">
        <f>SQRT(O2294^2+N2294^2)</f>
      </c>
      <c r="Q2294" s="7">
        <f>N2294/$P2294</f>
      </c>
      <c r="R2294" s="7">
        <f>O2294/$P2294</f>
      </c>
      <c r="S2294" s="7">
        <f>Q2294^2+R2294^2</f>
      </c>
      <c r="T2294" s="7">
        <f>-R2294</f>
      </c>
      <c r="U2294" s="7">
        <f>Q2294</f>
      </c>
      <c r="V2294" s="7">
        <f>($C$14+($C$15-$C$14)/($D$15-$D$14)*(I2294-$D$14))/2</f>
      </c>
      <c r="W2294" s="7">
        <f>($B$22*I2294^4+$C$22*I2294^3+$D$22*I2294^2+$E$22*I2294+$F$22)/2</f>
      </c>
      <c r="X2294" s="7">
        <f>($W2294)*(T2294)</f>
      </c>
      <c r="Y2294" s="7">
        <f>($W2294)*(U2294)</f>
      </c>
      <c r="Z2294" s="7">
        <f>SQRT(X2294^2+Y2294^2)</f>
      </c>
      <c r="AA2294" s="7">
        <f>$K2294+$X2294</f>
      </c>
      <c r="AB2294" s="7">
        <f>$L2294+$Y2294</f>
      </c>
      <c r="AC2294" s="7">
        <f>$K2294-$X2294</f>
      </c>
      <c r="AD2294" s="7">
        <f>$L2294-$Y2294</f>
      </c>
      <c r="AE2294" s="7">
        <f>AA2294/39.3701</f>
      </c>
      <c r="AF2294" s="7">
        <f>AB2294/39.3701</f>
      </c>
      <c r="AG2294" s="7">
        <f>AC2294/39.3701</f>
      </c>
      <c r="AH2294" s="7">
        <f>AD2294/39.3701</f>
      </c>
      <c r="AI2294" s="1"/>
      <c r="AJ2294" s="1"/>
      <c r="AK2294" s="1"/>
      <c r="AL2294" s="1"/>
      <c r="AM2294" s="2"/>
      <c r="AN2294" s="1"/>
      <c r="AO2294" s="1"/>
      <c r="AP2294" s="1"/>
      <c r="AQ2294" s="1"/>
      <c r="AR2294" s="1"/>
      <c r="AS2294" s="1"/>
      <c r="AT2294" s="1"/>
      <c r="AU2294" s="1"/>
      <c r="AV2294" s="1"/>
      <c r="AW2294" s="1"/>
      <c r="AX2294" s="1"/>
      <c r="AY2294" s="1"/>
      <c r="AZ2294" s="1"/>
      <c r="BA2294" s="1"/>
      <c r="BB2294" s="1"/>
      <c r="BC2294" s="1"/>
      <c r="BD2294" s="1"/>
      <c r="BE2294" s="1"/>
    </row>
    <row x14ac:dyDescent="0.25" r="2295" customHeight="1" ht="18.75">
      <c r="A2295" s="1"/>
      <c r="B2295" s="2"/>
      <c r="C2295" s="2"/>
      <c r="D2295" s="2"/>
      <c r="E2295" s="2"/>
      <c r="F2295" s="2"/>
      <c r="G2295" s="1"/>
      <c r="H2295" s="1"/>
      <c r="I2295" s="7">
        <v>2.292</v>
      </c>
      <c r="J2295" s="7">
        <f>IF((I2295-ROUNDDOWN(I2295,0))=0, 0, (I2295-ROUNDDOWN(I2295,0)))</f>
      </c>
      <c r="K2295" s="7">
        <f>INDIRECT("C$"&amp;2+MIN(2,ROUNDDOWN(I2295,0))*3)*(-$J2295^3+3*$J2295^2-3*$J2295+1)+INDIRECT("C$"&amp;3+MIN(2,ROUNDDOWN(I2295,0))*3)*(3*$J2295^3-6*$J2295^2+3*$J2295)+INDIRECT("C$"&amp;4+MIN(2,ROUNDDOWN(I2295,0))*3)*(-3*$J2295^3+3*$J2295^2)+INDIRECT("C$"&amp;5+MIN(2,ROUNDDOWN(I2295,0))*3)*$J2295^3</f>
      </c>
      <c r="L2295" s="7">
        <f>INDIRECT("D$"&amp;2+MIN(2,ROUNDDOWN(I2295,0))*3)*(-$J2295^3+3*$J2295^2-3*$J2295+1)+INDIRECT("D$"&amp;3+MIN(2,ROUNDDOWN(I2295,0))*3)*(3*$J2295^3-6*$J2295^2+3*$J2295)+INDIRECT("D$"&amp;4+MIN(2,ROUNDDOWN(I2295,0))*3)*(-3*$J2295^3+3*$J2295^2)+INDIRECT("D$"&amp;5+MIN(2,ROUNDDOWN(I2295,0))*3)*$J2295^3</f>
      </c>
      <c r="M2295" s="7">
        <f>SQRT(K2295^2+L2295^2)</f>
      </c>
      <c r="N2295" s="7">
        <f>(K2296-K2294)</f>
      </c>
      <c r="O2295" s="7">
        <f>+(L2296-L2294)</f>
      </c>
      <c r="P2295" s="7">
        <f>SQRT(O2295^2+N2295^2)</f>
      </c>
      <c r="Q2295" s="7">
        <f>N2295/$P2295</f>
      </c>
      <c r="R2295" s="7">
        <f>O2295/$P2295</f>
      </c>
      <c r="S2295" s="7">
        <f>Q2295^2+R2295^2</f>
      </c>
      <c r="T2295" s="7">
        <f>-R2295</f>
      </c>
      <c r="U2295" s="7">
        <f>Q2295</f>
      </c>
      <c r="V2295" s="7">
        <f>($C$14+($C$15-$C$14)/($D$15-$D$14)*(I2295-$D$14))/2</f>
      </c>
      <c r="W2295" s="7">
        <f>($B$22*I2295^4+$C$22*I2295^3+$D$22*I2295^2+$E$22*I2295+$F$22)/2</f>
      </c>
      <c r="X2295" s="7">
        <f>($W2295)*(T2295)</f>
      </c>
      <c r="Y2295" s="7">
        <f>($W2295)*(U2295)</f>
      </c>
      <c r="Z2295" s="7">
        <f>SQRT(X2295^2+Y2295^2)</f>
      </c>
      <c r="AA2295" s="7">
        <f>$K2295+$X2295</f>
      </c>
      <c r="AB2295" s="7">
        <f>$L2295+$Y2295</f>
      </c>
      <c r="AC2295" s="7">
        <f>$K2295-$X2295</f>
      </c>
      <c r="AD2295" s="7">
        <f>$L2295-$Y2295</f>
      </c>
      <c r="AE2295" s="7">
        <f>AA2295/39.3701</f>
      </c>
      <c r="AF2295" s="7">
        <f>AB2295/39.3701</f>
      </c>
      <c r="AG2295" s="7">
        <f>AC2295/39.3701</f>
      </c>
      <c r="AH2295" s="7">
        <f>AD2295/39.3701</f>
      </c>
      <c r="AI2295" s="1"/>
      <c r="AJ2295" s="1"/>
      <c r="AK2295" s="1"/>
      <c r="AL2295" s="1"/>
      <c r="AM2295" s="2"/>
      <c r="AN2295" s="1"/>
      <c r="AO2295" s="1"/>
      <c r="AP2295" s="1"/>
      <c r="AQ2295" s="1"/>
      <c r="AR2295" s="1"/>
      <c r="AS2295" s="1"/>
      <c r="AT2295" s="1"/>
      <c r="AU2295" s="1"/>
      <c r="AV2295" s="1"/>
      <c r="AW2295" s="1"/>
      <c r="AX2295" s="1"/>
      <c r="AY2295" s="1"/>
      <c r="AZ2295" s="1"/>
      <c r="BA2295" s="1"/>
      <c r="BB2295" s="1"/>
      <c r="BC2295" s="1"/>
      <c r="BD2295" s="1"/>
      <c r="BE2295" s="1"/>
    </row>
    <row x14ac:dyDescent="0.25" r="2296" customHeight="1" ht="18.75">
      <c r="A2296" s="1"/>
      <c r="B2296" s="2"/>
      <c r="C2296" s="2"/>
      <c r="D2296" s="2"/>
      <c r="E2296" s="2"/>
      <c r="F2296" s="2"/>
      <c r="G2296" s="1"/>
      <c r="H2296" s="1"/>
      <c r="I2296" s="7">
        <v>2.293</v>
      </c>
      <c r="J2296" s="7">
        <f>IF((I2296-ROUNDDOWN(I2296,0))=0, 0, (I2296-ROUNDDOWN(I2296,0)))</f>
      </c>
      <c r="K2296" s="7">
        <f>INDIRECT("C$"&amp;2+MIN(2,ROUNDDOWN(I2296,0))*3)*(-$J2296^3+3*$J2296^2-3*$J2296+1)+INDIRECT("C$"&amp;3+MIN(2,ROUNDDOWN(I2296,0))*3)*(3*$J2296^3-6*$J2296^2+3*$J2296)+INDIRECT("C$"&amp;4+MIN(2,ROUNDDOWN(I2296,0))*3)*(-3*$J2296^3+3*$J2296^2)+INDIRECT("C$"&amp;5+MIN(2,ROUNDDOWN(I2296,0))*3)*$J2296^3</f>
      </c>
      <c r="L2296" s="7">
        <f>INDIRECT("D$"&amp;2+MIN(2,ROUNDDOWN(I2296,0))*3)*(-$J2296^3+3*$J2296^2-3*$J2296+1)+INDIRECT("D$"&amp;3+MIN(2,ROUNDDOWN(I2296,0))*3)*(3*$J2296^3-6*$J2296^2+3*$J2296)+INDIRECT("D$"&amp;4+MIN(2,ROUNDDOWN(I2296,0))*3)*(-3*$J2296^3+3*$J2296^2)+INDIRECT("D$"&amp;5+MIN(2,ROUNDDOWN(I2296,0))*3)*$J2296^3</f>
      </c>
      <c r="M2296" s="7">
        <f>SQRT(K2296^2+L2296^2)</f>
      </c>
      <c r="N2296" s="7">
        <f>(K2297-K2295)</f>
      </c>
      <c r="O2296" s="7">
        <f>+(L2297-L2295)</f>
      </c>
      <c r="P2296" s="7">
        <f>SQRT(O2296^2+N2296^2)</f>
      </c>
      <c r="Q2296" s="7">
        <f>N2296/$P2296</f>
      </c>
      <c r="R2296" s="7">
        <f>O2296/$P2296</f>
      </c>
      <c r="S2296" s="7">
        <f>Q2296^2+R2296^2</f>
      </c>
      <c r="T2296" s="7">
        <f>-R2296</f>
      </c>
      <c r="U2296" s="7">
        <f>Q2296</f>
      </c>
      <c r="V2296" s="7">
        <f>($C$14+($C$15-$C$14)/($D$15-$D$14)*(I2296-$D$14))/2</f>
      </c>
      <c r="W2296" s="7">
        <f>($B$22*I2296^4+$C$22*I2296^3+$D$22*I2296^2+$E$22*I2296+$F$22)/2</f>
      </c>
      <c r="X2296" s="7">
        <f>($W2296)*(T2296)</f>
      </c>
      <c r="Y2296" s="7">
        <f>($W2296)*(U2296)</f>
      </c>
      <c r="Z2296" s="7">
        <f>SQRT(X2296^2+Y2296^2)</f>
      </c>
      <c r="AA2296" s="7">
        <f>$K2296+$X2296</f>
      </c>
      <c r="AB2296" s="7">
        <f>$L2296+$Y2296</f>
      </c>
      <c r="AC2296" s="7">
        <f>$K2296-$X2296</f>
      </c>
      <c r="AD2296" s="7">
        <f>$L2296-$Y2296</f>
      </c>
      <c r="AE2296" s="7">
        <f>AA2296/39.3701</f>
      </c>
      <c r="AF2296" s="7">
        <f>AB2296/39.3701</f>
      </c>
      <c r="AG2296" s="7">
        <f>AC2296/39.3701</f>
      </c>
      <c r="AH2296" s="7">
        <f>AD2296/39.3701</f>
      </c>
      <c r="AI2296" s="1"/>
      <c r="AJ2296" s="1"/>
      <c r="AK2296" s="1"/>
      <c r="AL2296" s="1"/>
      <c r="AM2296" s="2"/>
      <c r="AN2296" s="1"/>
      <c r="AO2296" s="1"/>
      <c r="AP2296" s="1"/>
      <c r="AQ2296" s="1"/>
      <c r="AR2296" s="1"/>
      <c r="AS2296" s="1"/>
      <c r="AT2296" s="1"/>
      <c r="AU2296" s="1"/>
      <c r="AV2296" s="1"/>
      <c r="AW2296" s="1"/>
      <c r="AX2296" s="1"/>
      <c r="AY2296" s="1"/>
      <c r="AZ2296" s="1"/>
      <c r="BA2296" s="1"/>
      <c r="BB2296" s="1"/>
      <c r="BC2296" s="1"/>
      <c r="BD2296" s="1"/>
      <c r="BE2296" s="1"/>
    </row>
    <row x14ac:dyDescent="0.25" r="2297" customHeight="1" ht="18.75">
      <c r="A2297" s="1"/>
      <c r="B2297" s="2"/>
      <c r="C2297" s="2"/>
      <c r="D2297" s="2"/>
      <c r="E2297" s="2"/>
      <c r="F2297" s="2"/>
      <c r="G2297" s="1"/>
      <c r="H2297" s="1"/>
      <c r="I2297" s="7">
        <v>2.294</v>
      </c>
      <c r="J2297" s="7">
        <f>IF((I2297-ROUNDDOWN(I2297,0))=0, 0, (I2297-ROUNDDOWN(I2297,0)))</f>
      </c>
      <c r="K2297" s="7">
        <f>INDIRECT("C$"&amp;2+MIN(2,ROUNDDOWN(I2297,0))*3)*(-$J2297^3+3*$J2297^2-3*$J2297+1)+INDIRECT("C$"&amp;3+MIN(2,ROUNDDOWN(I2297,0))*3)*(3*$J2297^3-6*$J2297^2+3*$J2297)+INDIRECT("C$"&amp;4+MIN(2,ROUNDDOWN(I2297,0))*3)*(-3*$J2297^3+3*$J2297^2)+INDIRECT("C$"&amp;5+MIN(2,ROUNDDOWN(I2297,0))*3)*$J2297^3</f>
      </c>
      <c r="L2297" s="7">
        <f>INDIRECT("D$"&amp;2+MIN(2,ROUNDDOWN(I2297,0))*3)*(-$J2297^3+3*$J2297^2-3*$J2297+1)+INDIRECT("D$"&amp;3+MIN(2,ROUNDDOWN(I2297,0))*3)*(3*$J2297^3-6*$J2297^2+3*$J2297)+INDIRECT("D$"&amp;4+MIN(2,ROUNDDOWN(I2297,0))*3)*(-3*$J2297^3+3*$J2297^2)+INDIRECT("D$"&amp;5+MIN(2,ROUNDDOWN(I2297,0))*3)*$J2297^3</f>
      </c>
      <c r="M2297" s="7">
        <f>SQRT(K2297^2+L2297^2)</f>
      </c>
      <c r="N2297" s="7">
        <f>(K2298-K2296)</f>
      </c>
      <c r="O2297" s="7">
        <f>+(L2298-L2296)</f>
      </c>
      <c r="P2297" s="7">
        <f>SQRT(O2297^2+N2297^2)</f>
      </c>
      <c r="Q2297" s="7">
        <f>N2297/$P2297</f>
      </c>
      <c r="R2297" s="7">
        <f>O2297/$P2297</f>
      </c>
      <c r="S2297" s="8">
        <f>Q2297^2+R2297^2</f>
      </c>
      <c r="T2297" s="7">
        <f>-R2297</f>
      </c>
      <c r="U2297" s="7">
        <f>Q2297</f>
      </c>
      <c r="V2297" s="7">
        <f>($C$14+($C$15-$C$14)/($D$15-$D$14)*(I2297-$D$14))/2</f>
      </c>
      <c r="W2297" s="7">
        <f>($B$22*I2297^4+$C$22*I2297^3+$D$22*I2297^2+$E$22*I2297+$F$22)/2</f>
      </c>
      <c r="X2297" s="7">
        <f>($W2297)*(T2297)</f>
      </c>
      <c r="Y2297" s="7">
        <f>($W2297)*(U2297)</f>
      </c>
      <c r="Z2297" s="7">
        <f>SQRT(X2297^2+Y2297^2)</f>
      </c>
      <c r="AA2297" s="7">
        <f>$K2297+$X2297</f>
      </c>
      <c r="AB2297" s="7">
        <f>$L2297+$Y2297</f>
      </c>
      <c r="AC2297" s="7">
        <f>$K2297-$X2297</f>
      </c>
      <c r="AD2297" s="7">
        <f>$L2297-$Y2297</f>
      </c>
      <c r="AE2297" s="7">
        <f>AA2297/39.3701</f>
      </c>
      <c r="AF2297" s="7">
        <f>AB2297/39.3701</f>
      </c>
      <c r="AG2297" s="7">
        <f>AC2297/39.3701</f>
      </c>
      <c r="AH2297" s="7">
        <f>AD2297/39.3701</f>
      </c>
      <c r="AI2297" s="1"/>
      <c r="AJ2297" s="1"/>
      <c r="AK2297" s="1"/>
      <c r="AL2297" s="1"/>
      <c r="AM2297" s="2"/>
      <c r="AN2297" s="1"/>
      <c r="AO2297" s="1"/>
      <c r="AP2297" s="1"/>
      <c r="AQ2297" s="1"/>
      <c r="AR2297" s="1"/>
      <c r="AS2297" s="1"/>
      <c r="AT2297" s="1"/>
      <c r="AU2297" s="1"/>
      <c r="AV2297" s="1"/>
      <c r="AW2297" s="1"/>
      <c r="AX2297" s="1"/>
      <c r="AY2297" s="1"/>
      <c r="AZ2297" s="1"/>
      <c r="BA2297" s="1"/>
      <c r="BB2297" s="1"/>
      <c r="BC2297" s="1"/>
      <c r="BD2297" s="1"/>
      <c r="BE2297" s="1"/>
    </row>
    <row x14ac:dyDescent="0.25" r="2298" customHeight="1" ht="18.75">
      <c r="A2298" s="1"/>
      <c r="B2298" s="2"/>
      <c r="C2298" s="2"/>
      <c r="D2298" s="2"/>
      <c r="E2298" s="2"/>
      <c r="F2298" s="2"/>
      <c r="G2298" s="1"/>
      <c r="H2298" s="1"/>
      <c r="I2298" s="7">
        <v>2.295</v>
      </c>
      <c r="J2298" s="7">
        <f>IF((I2298-ROUNDDOWN(I2298,0))=0, 0, (I2298-ROUNDDOWN(I2298,0)))</f>
      </c>
      <c r="K2298" s="7">
        <f>INDIRECT("C$"&amp;2+MIN(2,ROUNDDOWN(I2298,0))*3)*(-$J2298^3+3*$J2298^2-3*$J2298+1)+INDIRECT("C$"&amp;3+MIN(2,ROUNDDOWN(I2298,0))*3)*(3*$J2298^3-6*$J2298^2+3*$J2298)+INDIRECT("C$"&amp;4+MIN(2,ROUNDDOWN(I2298,0))*3)*(-3*$J2298^3+3*$J2298^2)+INDIRECT("C$"&amp;5+MIN(2,ROUNDDOWN(I2298,0))*3)*$J2298^3</f>
      </c>
      <c r="L2298" s="7">
        <f>INDIRECT("D$"&amp;2+MIN(2,ROUNDDOWN(I2298,0))*3)*(-$J2298^3+3*$J2298^2-3*$J2298+1)+INDIRECT("D$"&amp;3+MIN(2,ROUNDDOWN(I2298,0))*3)*(3*$J2298^3-6*$J2298^2+3*$J2298)+INDIRECT("D$"&amp;4+MIN(2,ROUNDDOWN(I2298,0))*3)*(-3*$J2298^3+3*$J2298^2)+INDIRECT("D$"&amp;5+MIN(2,ROUNDDOWN(I2298,0))*3)*$J2298^3</f>
      </c>
      <c r="M2298" s="7">
        <f>SQRT(K2298^2+L2298^2)</f>
      </c>
      <c r="N2298" s="7">
        <f>(K2299-K2297)</f>
      </c>
      <c r="O2298" s="7">
        <f>+(L2299-L2297)</f>
      </c>
      <c r="P2298" s="7">
        <f>SQRT(O2298^2+N2298^2)</f>
      </c>
      <c r="Q2298" s="7">
        <f>N2298/$P2298</f>
      </c>
      <c r="R2298" s="7">
        <f>O2298/$P2298</f>
      </c>
      <c r="S2298" s="7">
        <f>Q2298^2+R2298^2</f>
      </c>
      <c r="T2298" s="7">
        <f>-R2298</f>
      </c>
      <c r="U2298" s="7">
        <f>Q2298</f>
      </c>
      <c r="V2298" s="7">
        <f>($C$14+($C$15-$C$14)/($D$15-$D$14)*(I2298-$D$14))/2</f>
      </c>
      <c r="W2298" s="7">
        <f>($B$22*I2298^4+$C$22*I2298^3+$D$22*I2298^2+$E$22*I2298+$F$22)/2</f>
      </c>
      <c r="X2298" s="7">
        <f>($W2298)*(T2298)</f>
      </c>
      <c r="Y2298" s="7">
        <f>($W2298)*(U2298)</f>
      </c>
      <c r="Z2298" s="7">
        <f>SQRT(X2298^2+Y2298^2)</f>
      </c>
      <c r="AA2298" s="7">
        <f>$K2298+$X2298</f>
      </c>
      <c r="AB2298" s="7">
        <f>$L2298+$Y2298</f>
      </c>
      <c r="AC2298" s="7">
        <f>$K2298-$X2298</f>
      </c>
      <c r="AD2298" s="7">
        <f>$L2298-$Y2298</f>
      </c>
      <c r="AE2298" s="7">
        <f>AA2298/39.3701</f>
      </c>
      <c r="AF2298" s="7">
        <f>AB2298/39.3701</f>
      </c>
      <c r="AG2298" s="7">
        <f>AC2298/39.3701</f>
      </c>
      <c r="AH2298" s="7">
        <f>AD2298/39.3701</f>
      </c>
      <c r="AI2298" s="1"/>
      <c r="AJ2298" s="1"/>
      <c r="AK2298" s="1"/>
      <c r="AL2298" s="1"/>
      <c r="AM2298" s="2"/>
      <c r="AN2298" s="1"/>
      <c r="AO2298" s="1"/>
      <c r="AP2298" s="1"/>
      <c r="AQ2298" s="1"/>
      <c r="AR2298" s="1"/>
      <c r="AS2298" s="1"/>
      <c r="AT2298" s="1"/>
      <c r="AU2298" s="1"/>
      <c r="AV2298" s="1"/>
      <c r="AW2298" s="1"/>
      <c r="AX2298" s="1"/>
      <c r="AY2298" s="1"/>
      <c r="AZ2298" s="1"/>
      <c r="BA2298" s="1"/>
      <c r="BB2298" s="1"/>
      <c r="BC2298" s="1"/>
      <c r="BD2298" s="1"/>
      <c r="BE2298" s="1"/>
    </row>
    <row x14ac:dyDescent="0.25" r="2299" customHeight="1" ht="18.75">
      <c r="A2299" s="1"/>
      <c r="B2299" s="2"/>
      <c r="C2299" s="2"/>
      <c r="D2299" s="2"/>
      <c r="E2299" s="2"/>
      <c r="F2299" s="2"/>
      <c r="G2299" s="1"/>
      <c r="H2299" s="1"/>
      <c r="I2299" s="7">
        <v>2.296</v>
      </c>
      <c r="J2299" s="7">
        <f>IF((I2299-ROUNDDOWN(I2299,0))=0, 0, (I2299-ROUNDDOWN(I2299,0)))</f>
      </c>
      <c r="K2299" s="7">
        <f>INDIRECT("C$"&amp;2+MIN(2,ROUNDDOWN(I2299,0))*3)*(-$J2299^3+3*$J2299^2-3*$J2299+1)+INDIRECT("C$"&amp;3+MIN(2,ROUNDDOWN(I2299,0))*3)*(3*$J2299^3-6*$J2299^2+3*$J2299)+INDIRECT("C$"&amp;4+MIN(2,ROUNDDOWN(I2299,0))*3)*(-3*$J2299^3+3*$J2299^2)+INDIRECT("C$"&amp;5+MIN(2,ROUNDDOWN(I2299,0))*3)*$J2299^3</f>
      </c>
      <c r="L2299" s="7">
        <f>INDIRECT("D$"&amp;2+MIN(2,ROUNDDOWN(I2299,0))*3)*(-$J2299^3+3*$J2299^2-3*$J2299+1)+INDIRECT("D$"&amp;3+MIN(2,ROUNDDOWN(I2299,0))*3)*(3*$J2299^3-6*$J2299^2+3*$J2299)+INDIRECT("D$"&amp;4+MIN(2,ROUNDDOWN(I2299,0))*3)*(-3*$J2299^3+3*$J2299^2)+INDIRECT("D$"&amp;5+MIN(2,ROUNDDOWN(I2299,0))*3)*$J2299^3</f>
      </c>
      <c r="M2299" s="7">
        <f>SQRT(K2299^2+L2299^2)</f>
      </c>
      <c r="N2299" s="7">
        <f>(K2300-K2298)</f>
      </c>
      <c r="O2299" s="7">
        <f>+(L2300-L2298)</f>
      </c>
      <c r="P2299" s="7">
        <f>SQRT(O2299^2+N2299^2)</f>
      </c>
      <c r="Q2299" s="7">
        <f>N2299/$P2299</f>
      </c>
      <c r="R2299" s="7">
        <f>O2299/$P2299</f>
      </c>
      <c r="S2299" s="7">
        <f>Q2299^2+R2299^2</f>
      </c>
      <c r="T2299" s="7">
        <f>-R2299</f>
      </c>
      <c r="U2299" s="7">
        <f>Q2299</f>
      </c>
      <c r="V2299" s="7">
        <f>($C$14+($C$15-$C$14)/($D$15-$D$14)*(I2299-$D$14))/2</f>
      </c>
      <c r="W2299" s="7">
        <f>($B$22*I2299^4+$C$22*I2299^3+$D$22*I2299^2+$E$22*I2299+$F$22)/2</f>
      </c>
      <c r="X2299" s="7">
        <f>($W2299)*(T2299)</f>
      </c>
      <c r="Y2299" s="7">
        <f>($W2299)*(U2299)</f>
      </c>
      <c r="Z2299" s="7">
        <f>SQRT(X2299^2+Y2299^2)</f>
      </c>
      <c r="AA2299" s="7">
        <f>$K2299+$X2299</f>
      </c>
      <c r="AB2299" s="7">
        <f>$L2299+$Y2299</f>
      </c>
      <c r="AC2299" s="7">
        <f>$K2299-$X2299</f>
      </c>
      <c r="AD2299" s="7">
        <f>$L2299-$Y2299</f>
      </c>
      <c r="AE2299" s="7">
        <f>AA2299/39.3701</f>
      </c>
      <c r="AF2299" s="7">
        <f>AB2299/39.3701</f>
      </c>
      <c r="AG2299" s="7">
        <f>AC2299/39.3701</f>
      </c>
      <c r="AH2299" s="7">
        <f>AD2299/39.3701</f>
      </c>
      <c r="AI2299" s="1"/>
      <c r="AJ2299" s="1"/>
      <c r="AK2299" s="1"/>
      <c r="AL2299" s="1"/>
      <c r="AM2299" s="2"/>
      <c r="AN2299" s="1"/>
      <c r="AO2299" s="1"/>
      <c r="AP2299" s="1"/>
      <c r="AQ2299" s="1"/>
      <c r="AR2299" s="1"/>
      <c r="AS2299" s="1"/>
      <c r="AT2299" s="1"/>
      <c r="AU2299" s="1"/>
      <c r="AV2299" s="1"/>
      <c r="AW2299" s="1"/>
      <c r="AX2299" s="1"/>
      <c r="AY2299" s="1"/>
      <c r="AZ2299" s="1"/>
      <c r="BA2299" s="1"/>
      <c r="BB2299" s="1"/>
      <c r="BC2299" s="1"/>
      <c r="BD2299" s="1"/>
      <c r="BE2299" s="1"/>
    </row>
    <row x14ac:dyDescent="0.25" r="2300" customHeight="1" ht="18.75">
      <c r="A2300" s="1"/>
      <c r="B2300" s="2"/>
      <c r="C2300" s="2"/>
      <c r="D2300" s="2"/>
      <c r="E2300" s="2"/>
      <c r="F2300" s="2"/>
      <c r="G2300" s="1"/>
      <c r="H2300" s="1"/>
      <c r="I2300" s="7">
        <v>2.297</v>
      </c>
      <c r="J2300" s="7">
        <f>IF((I2300-ROUNDDOWN(I2300,0))=0, 0, (I2300-ROUNDDOWN(I2300,0)))</f>
      </c>
      <c r="K2300" s="7">
        <f>INDIRECT("C$"&amp;2+MIN(2,ROUNDDOWN(I2300,0))*3)*(-$J2300^3+3*$J2300^2-3*$J2300+1)+INDIRECT("C$"&amp;3+MIN(2,ROUNDDOWN(I2300,0))*3)*(3*$J2300^3-6*$J2300^2+3*$J2300)+INDIRECT("C$"&amp;4+MIN(2,ROUNDDOWN(I2300,0))*3)*(-3*$J2300^3+3*$J2300^2)+INDIRECT("C$"&amp;5+MIN(2,ROUNDDOWN(I2300,0))*3)*$J2300^3</f>
      </c>
      <c r="L2300" s="7">
        <f>INDIRECT("D$"&amp;2+MIN(2,ROUNDDOWN(I2300,0))*3)*(-$J2300^3+3*$J2300^2-3*$J2300+1)+INDIRECT("D$"&amp;3+MIN(2,ROUNDDOWN(I2300,0))*3)*(3*$J2300^3-6*$J2300^2+3*$J2300)+INDIRECT("D$"&amp;4+MIN(2,ROUNDDOWN(I2300,0))*3)*(-3*$J2300^3+3*$J2300^2)+INDIRECT("D$"&amp;5+MIN(2,ROUNDDOWN(I2300,0))*3)*$J2300^3</f>
      </c>
      <c r="M2300" s="7">
        <f>SQRT(K2300^2+L2300^2)</f>
      </c>
      <c r="N2300" s="7">
        <f>(K2301-K2299)</f>
      </c>
      <c r="O2300" s="7">
        <f>+(L2301-L2299)</f>
      </c>
      <c r="P2300" s="7">
        <f>SQRT(O2300^2+N2300^2)</f>
      </c>
      <c r="Q2300" s="7">
        <f>N2300/$P2300</f>
      </c>
      <c r="R2300" s="7">
        <f>O2300/$P2300</f>
      </c>
      <c r="S2300" s="7">
        <f>Q2300^2+R2300^2</f>
      </c>
      <c r="T2300" s="7">
        <f>-R2300</f>
      </c>
      <c r="U2300" s="7">
        <f>Q2300</f>
      </c>
      <c r="V2300" s="7">
        <f>($C$14+($C$15-$C$14)/($D$15-$D$14)*(I2300-$D$14))/2</f>
      </c>
      <c r="W2300" s="7">
        <f>($B$22*I2300^4+$C$22*I2300^3+$D$22*I2300^2+$E$22*I2300+$F$22)/2</f>
      </c>
      <c r="X2300" s="7">
        <f>($W2300)*(T2300)</f>
      </c>
      <c r="Y2300" s="7">
        <f>($W2300)*(U2300)</f>
      </c>
      <c r="Z2300" s="7">
        <f>SQRT(X2300^2+Y2300^2)</f>
      </c>
      <c r="AA2300" s="7">
        <f>$K2300+$X2300</f>
      </c>
      <c r="AB2300" s="7">
        <f>$L2300+$Y2300</f>
      </c>
      <c r="AC2300" s="7">
        <f>$K2300-$X2300</f>
      </c>
      <c r="AD2300" s="7">
        <f>$L2300-$Y2300</f>
      </c>
      <c r="AE2300" s="7">
        <f>AA2300/39.3701</f>
      </c>
      <c r="AF2300" s="7">
        <f>AB2300/39.3701</f>
      </c>
      <c r="AG2300" s="7">
        <f>AC2300/39.3701</f>
      </c>
      <c r="AH2300" s="7">
        <f>AD2300/39.3701</f>
      </c>
      <c r="AI2300" s="1"/>
      <c r="AJ2300" s="1"/>
      <c r="AK2300" s="1"/>
      <c r="AL2300" s="1"/>
      <c r="AM2300" s="2"/>
      <c r="AN2300" s="1"/>
      <c r="AO2300" s="1"/>
      <c r="AP2300" s="1"/>
      <c r="AQ2300" s="1"/>
      <c r="AR2300" s="1"/>
      <c r="AS2300" s="1"/>
      <c r="AT2300" s="1"/>
      <c r="AU2300" s="1"/>
      <c r="AV2300" s="1"/>
      <c r="AW2300" s="1"/>
      <c r="AX2300" s="1"/>
      <c r="AY2300" s="1"/>
      <c r="AZ2300" s="1"/>
      <c r="BA2300" s="1"/>
      <c r="BB2300" s="1"/>
      <c r="BC2300" s="1"/>
      <c r="BD2300" s="1"/>
      <c r="BE2300" s="1"/>
    </row>
    <row x14ac:dyDescent="0.25" r="2301" customHeight="1" ht="18.75">
      <c r="A2301" s="1"/>
      <c r="B2301" s="2"/>
      <c r="C2301" s="2"/>
      <c r="D2301" s="2"/>
      <c r="E2301" s="2"/>
      <c r="F2301" s="2"/>
      <c r="G2301" s="1"/>
      <c r="H2301" s="1"/>
      <c r="I2301" s="7">
        <v>2.298</v>
      </c>
      <c r="J2301" s="7">
        <f>IF((I2301-ROUNDDOWN(I2301,0))=0, 0, (I2301-ROUNDDOWN(I2301,0)))</f>
      </c>
      <c r="K2301" s="7">
        <f>INDIRECT("C$"&amp;2+MIN(2,ROUNDDOWN(I2301,0))*3)*(-$J2301^3+3*$J2301^2-3*$J2301+1)+INDIRECT("C$"&amp;3+MIN(2,ROUNDDOWN(I2301,0))*3)*(3*$J2301^3-6*$J2301^2+3*$J2301)+INDIRECT("C$"&amp;4+MIN(2,ROUNDDOWN(I2301,0))*3)*(-3*$J2301^3+3*$J2301^2)+INDIRECT("C$"&amp;5+MIN(2,ROUNDDOWN(I2301,0))*3)*$J2301^3</f>
      </c>
      <c r="L2301" s="7">
        <f>INDIRECT("D$"&amp;2+MIN(2,ROUNDDOWN(I2301,0))*3)*(-$J2301^3+3*$J2301^2-3*$J2301+1)+INDIRECT("D$"&amp;3+MIN(2,ROUNDDOWN(I2301,0))*3)*(3*$J2301^3-6*$J2301^2+3*$J2301)+INDIRECT("D$"&amp;4+MIN(2,ROUNDDOWN(I2301,0))*3)*(-3*$J2301^3+3*$J2301^2)+INDIRECT("D$"&amp;5+MIN(2,ROUNDDOWN(I2301,0))*3)*$J2301^3</f>
      </c>
      <c r="M2301" s="7">
        <f>SQRT(K2301^2+L2301^2)</f>
      </c>
      <c r="N2301" s="7">
        <f>(K2302-K2300)</f>
      </c>
      <c r="O2301" s="7">
        <f>+(L2302-L2300)</f>
      </c>
      <c r="P2301" s="7">
        <f>SQRT(O2301^2+N2301^2)</f>
      </c>
      <c r="Q2301" s="7">
        <f>N2301/$P2301</f>
      </c>
      <c r="R2301" s="7">
        <f>O2301/$P2301</f>
      </c>
      <c r="S2301" s="7">
        <f>Q2301^2+R2301^2</f>
      </c>
      <c r="T2301" s="7">
        <f>-R2301</f>
      </c>
      <c r="U2301" s="7">
        <f>Q2301</f>
      </c>
      <c r="V2301" s="7">
        <f>($C$14+($C$15-$C$14)/($D$15-$D$14)*(I2301-$D$14))/2</f>
      </c>
      <c r="W2301" s="7">
        <f>($B$22*I2301^4+$C$22*I2301^3+$D$22*I2301^2+$E$22*I2301+$F$22)/2</f>
      </c>
      <c r="X2301" s="7">
        <f>($W2301)*(T2301)</f>
      </c>
      <c r="Y2301" s="7">
        <f>($W2301)*(U2301)</f>
      </c>
      <c r="Z2301" s="7">
        <f>SQRT(X2301^2+Y2301^2)</f>
      </c>
      <c r="AA2301" s="7">
        <f>$K2301+$X2301</f>
      </c>
      <c r="AB2301" s="7">
        <f>$L2301+$Y2301</f>
      </c>
      <c r="AC2301" s="7">
        <f>$K2301-$X2301</f>
      </c>
      <c r="AD2301" s="7">
        <f>$L2301-$Y2301</f>
      </c>
      <c r="AE2301" s="7">
        <f>AA2301/39.3701</f>
      </c>
      <c r="AF2301" s="7">
        <f>AB2301/39.3701</f>
      </c>
      <c r="AG2301" s="7">
        <f>AC2301/39.3701</f>
      </c>
      <c r="AH2301" s="7">
        <f>AD2301/39.3701</f>
      </c>
      <c r="AI2301" s="1"/>
      <c r="AJ2301" s="1"/>
      <c r="AK2301" s="1"/>
      <c r="AL2301" s="1"/>
      <c r="AM2301" s="2"/>
      <c r="AN2301" s="1"/>
      <c r="AO2301" s="1"/>
      <c r="AP2301" s="1"/>
      <c r="AQ2301" s="1"/>
      <c r="AR2301" s="1"/>
      <c r="AS2301" s="1"/>
      <c r="AT2301" s="1"/>
      <c r="AU2301" s="1"/>
      <c r="AV2301" s="1"/>
      <c r="AW2301" s="1"/>
      <c r="AX2301" s="1"/>
      <c r="AY2301" s="1"/>
      <c r="AZ2301" s="1"/>
      <c r="BA2301" s="1"/>
      <c r="BB2301" s="1"/>
      <c r="BC2301" s="1"/>
      <c r="BD2301" s="1"/>
      <c r="BE2301" s="1"/>
    </row>
    <row x14ac:dyDescent="0.25" r="2302" customHeight="1" ht="18.75">
      <c r="A2302" s="1"/>
      <c r="B2302" s="2"/>
      <c r="C2302" s="2"/>
      <c r="D2302" s="2"/>
      <c r="E2302" s="2"/>
      <c r="F2302" s="2"/>
      <c r="G2302" s="1"/>
      <c r="H2302" s="1"/>
      <c r="I2302" s="7">
        <v>2.299</v>
      </c>
      <c r="J2302" s="7">
        <f>IF((I2302-ROUNDDOWN(I2302,0))=0, 0, (I2302-ROUNDDOWN(I2302,0)))</f>
      </c>
      <c r="K2302" s="7">
        <f>INDIRECT("C$"&amp;2+MIN(2,ROUNDDOWN(I2302,0))*3)*(-$J2302^3+3*$J2302^2-3*$J2302+1)+INDIRECT("C$"&amp;3+MIN(2,ROUNDDOWN(I2302,0))*3)*(3*$J2302^3-6*$J2302^2+3*$J2302)+INDIRECT("C$"&amp;4+MIN(2,ROUNDDOWN(I2302,0))*3)*(-3*$J2302^3+3*$J2302^2)+INDIRECT("C$"&amp;5+MIN(2,ROUNDDOWN(I2302,0))*3)*$J2302^3</f>
      </c>
      <c r="L2302" s="7">
        <f>INDIRECT("D$"&amp;2+MIN(2,ROUNDDOWN(I2302,0))*3)*(-$J2302^3+3*$J2302^2-3*$J2302+1)+INDIRECT("D$"&amp;3+MIN(2,ROUNDDOWN(I2302,0))*3)*(3*$J2302^3-6*$J2302^2+3*$J2302)+INDIRECT("D$"&amp;4+MIN(2,ROUNDDOWN(I2302,0))*3)*(-3*$J2302^3+3*$J2302^2)+INDIRECT("D$"&amp;5+MIN(2,ROUNDDOWN(I2302,0))*3)*$J2302^3</f>
      </c>
      <c r="M2302" s="7">
        <f>SQRT(K2302^2+L2302^2)</f>
      </c>
      <c r="N2302" s="7">
        <f>(K2303-K2301)</f>
      </c>
      <c r="O2302" s="7">
        <f>+(L2303-L2301)</f>
      </c>
      <c r="P2302" s="7">
        <f>SQRT(O2302^2+N2302^2)</f>
      </c>
      <c r="Q2302" s="7">
        <f>N2302/$P2302</f>
      </c>
      <c r="R2302" s="7">
        <f>O2302/$P2302</f>
      </c>
      <c r="S2302" s="8">
        <f>Q2302^2+R2302^2</f>
      </c>
      <c r="T2302" s="7">
        <f>-R2302</f>
      </c>
      <c r="U2302" s="7">
        <f>Q2302</f>
      </c>
      <c r="V2302" s="7">
        <f>($C$14+($C$15-$C$14)/($D$15-$D$14)*(I2302-$D$14))/2</f>
      </c>
      <c r="W2302" s="7">
        <f>($B$22*I2302^4+$C$22*I2302^3+$D$22*I2302^2+$E$22*I2302+$F$22)/2</f>
      </c>
      <c r="X2302" s="7">
        <f>($W2302)*(T2302)</f>
      </c>
      <c r="Y2302" s="7">
        <f>($W2302)*(U2302)</f>
      </c>
      <c r="Z2302" s="7">
        <f>SQRT(X2302^2+Y2302^2)</f>
      </c>
      <c r="AA2302" s="7">
        <f>$K2302+$X2302</f>
      </c>
      <c r="AB2302" s="7">
        <f>$L2302+$Y2302</f>
      </c>
      <c r="AC2302" s="7">
        <f>$K2302-$X2302</f>
      </c>
      <c r="AD2302" s="7">
        <f>$L2302-$Y2302</f>
      </c>
      <c r="AE2302" s="7">
        <f>AA2302/39.3701</f>
      </c>
      <c r="AF2302" s="7">
        <f>AB2302/39.3701</f>
      </c>
      <c r="AG2302" s="7">
        <f>AC2302/39.3701</f>
      </c>
      <c r="AH2302" s="7">
        <f>AD2302/39.3701</f>
      </c>
      <c r="AI2302" s="1"/>
      <c r="AJ2302" s="1"/>
      <c r="AK2302" s="1"/>
      <c r="AL2302" s="1"/>
      <c r="AM2302" s="2"/>
      <c r="AN2302" s="1"/>
      <c r="AO2302" s="1"/>
      <c r="AP2302" s="1"/>
      <c r="AQ2302" s="1"/>
      <c r="AR2302" s="1"/>
      <c r="AS2302" s="1"/>
      <c r="AT2302" s="1"/>
      <c r="AU2302" s="1"/>
      <c r="AV2302" s="1"/>
      <c r="AW2302" s="1"/>
      <c r="AX2302" s="1"/>
      <c r="AY2302" s="1"/>
      <c r="AZ2302" s="1"/>
      <c r="BA2302" s="1"/>
      <c r="BB2302" s="1"/>
      <c r="BC2302" s="1"/>
      <c r="BD2302" s="1"/>
      <c r="BE2302" s="1"/>
    </row>
    <row x14ac:dyDescent="0.25" r="2303" customHeight="1" ht="18.75">
      <c r="A2303" s="1"/>
      <c r="B2303" s="2"/>
      <c r="C2303" s="2"/>
      <c r="D2303" s="2"/>
      <c r="E2303" s="2"/>
      <c r="F2303" s="2"/>
      <c r="G2303" s="1"/>
      <c r="H2303" s="1"/>
      <c r="I2303" s="7">
        <v>2.3</v>
      </c>
      <c r="J2303" s="7">
        <f>IF((I2303-ROUNDDOWN(I2303,0))=0, 0, (I2303-ROUNDDOWN(I2303,0)))</f>
      </c>
      <c r="K2303" s="7">
        <f>INDIRECT("C$"&amp;2+MIN(2,ROUNDDOWN(I2303,0))*3)*(-$J2303^3+3*$J2303^2-3*$J2303+1)+INDIRECT("C$"&amp;3+MIN(2,ROUNDDOWN(I2303,0))*3)*(3*$J2303^3-6*$J2303^2+3*$J2303)+INDIRECT("C$"&amp;4+MIN(2,ROUNDDOWN(I2303,0))*3)*(-3*$J2303^3+3*$J2303^2)+INDIRECT("C$"&amp;5+MIN(2,ROUNDDOWN(I2303,0))*3)*$J2303^3</f>
      </c>
      <c r="L2303" s="7">
        <f>INDIRECT("D$"&amp;2+MIN(2,ROUNDDOWN(I2303,0))*3)*(-$J2303^3+3*$J2303^2-3*$J2303+1)+INDIRECT("D$"&amp;3+MIN(2,ROUNDDOWN(I2303,0))*3)*(3*$J2303^3-6*$J2303^2+3*$J2303)+INDIRECT("D$"&amp;4+MIN(2,ROUNDDOWN(I2303,0))*3)*(-3*$J2303^3+3*$J2303^2)+INDIRECT("D$"&amp;5+MIN(2,ROUNDDOWN(I2303,0))*3)*$J2303^3</f>
      </c>
      <c r="M2303" s="7">
        <f>SQRT(K2303^2+L2303^2)</f>
      </c>
      <c r="N2303" s="7">
        <f>(K2304-K2302)</f>
      </c>
      <c r="O2303" s="7">
        <f>+(L2304-L2302)</f>
      </c>
      <c r="P2303" s="7">
        <f>SQRT(O2303^2+N2303^2)</f>
      </c>
      <c r="Q2303" s="7">
        <f>N2303/$P2303</f>
      </c>
      <c r="R2303" s="7">
        <f>O2303/$P2303</f>
      </c>
      <c r="S2303" s="8">
        <f>Q2303^2+R2303^2</f>
      </c>
      <c r="T2303" s="7">
        <f>-R2303</f>
      </c>
      <c r="U2303" s="7">
        <f>Q2303</f>
      </c>
      <c r="V2303" s="7">
        <f>($C$14+($C$15-$C$14)/($D$15-$D$14)*(I2303-$D$14))/2</f>
      </c>
      <c r="W2303" s="7">
        <f>($B$22*I2303^4+$C$22*I2303^3+$D$22*I2303^2+$E$22*I2303+$F$22)/2</f>
      </c>
      <c r="X2303" s="7">
        <f>($W2303)*(T2303)</f>
      </c>
      <c r="Y2303" s="7">
        <f>($W2303)*(U2303)</f>
      </c>
      <c r="Z2303" s="7">
        <f>SQRT(X2303^2+Y2303^2)</f>
      </c>
      <c r="AA2303" s="7">
        <f>$K2303+$X2303</f>
      </c>
      <c r="AB2303" s="7">
        <f>$L2303+$Y2303</f>
      </c>
      <c r="AC2303" s="7">
        <f>$K2303-$X2303</f>
      </c>
      <c r="AD2303" s="7">
        <f>$L2303-$Y2303</f>
      </c>
      <c r="AE2303" s="7">
        <f>AA2303/39.3701</f>
      </c>
      <c r="AF2303" s="7">
        <f>AB2303/39.3701</f>
      </c>
      <c r="AG2303" s="7">
        <f>AC2303/39.3701</f>
      </c>
      <c r="AH2303" s="7">
        <f>AD2303/39.3701</f>
      </c>
      <c r="AI2303" s="1"/>
      <c r="AJ2303" s="1"/>
      <c r="AK2303" s="1"/>
      <c r="AL2303" s="1"/>
      <c r="AM2303" s="2"/>
      <c r="AN2303" s="1"/>
      <c r="AO2303" s="1"/>
      <c r="AP2303" s="1"/>
      <c r="AQ2303" s="1"/>
      <c r="AR2303" s="1"/>
      <c r="AS2303" s="1"/>
      <c r="AT2303" s="1"/>
      <c r="AU2303" s="1"/>
      <c r="AV2303" s="1"/>
      <c r="AW2303" s="1"/>
      <c r="AX2303" s="1"/>
      <c r="AY2303" s="1"/>
      <c r="AZ2303" s="1"/>
      <c r="BA2303" s="1"/>
      <c r="BB2303" s="1"/>
      <c r="BC2303" s="1"/>
      <c r="BD2303" s="1"/>
      <c r="BE2303" s="1"/>
    </row>
    <row x14ac:dyDescent="0.25" r="2304" customHeight="1" ht="18.75">
      <c r="A2304" s="1"/>
      <c r="B2304" s="2"/>
      <c r="C2304" s="2"/>
      <c r="D2304" s="2"/>
      <c r="E2304" s="2"/>
      <c r="F2304" s="2"/>
      <c r="G2304" s="1"/>
      <c r="H2304" s="1"/>
      <c r="I2304" s="7">
        <v>2.301</v>
      </c>
      <c r="J2304" s="7">
        <f>IF((I2304-ROUNDDOWN(I2304,0))=0, 0, (I2304-ROUNDDOWN(I2304,0)))</f>
      </c>
      <c r="K2304" s="7">
        <f>INDIRECT("C$"&amp;2+MIN(2,ROUNDDOWN(I2304,0))*3)*(-$J2304^3+3*$J2304^2-3*$J2304+1)+INDIRECT("C$"&amp;3+MIN(2,ROUNDDOWN(I2304,0))*3)*(3*$J2304^3-6*$J2304^2+3*$J2304)+INDIRECT("C$"&amp;4+MIN(2,ROUNDDOWN(I2304,0))*3)*(-3*$J2304^3+3*$J2304^2)+INDIRECT("C$"&amp;5+MIN(2,ROUNDDOWN(I2304,0))*3)*$J2304^3</f>
      </c>
      <c r="L2304" s="7">
        <f>INDIRECT("D$"&amp;2+MIN(2,ROUNDDOWN(I2304,0))*3)*(-$J2304^3+3*$J2304^2-3*$J2304+1)+INDIRECT("D$"&amp;3+MIN(2,ROUNDDOWN(I2304,0))*3)*(3*$J2304^3-6*$J2304^2+3*$J2304)+INDIRECT("D$"&amp;4+MIN(2,ROUNDDOWN(I2304,0))*3)*(-3*$J2304^3+3*$J2304^2)+INDIRECT("D$"&amp;5+MIN(2,ROUNDDOWN(I2304,0))*3)*$J2304^3</f>
      </c>
      <c r="M2304" s="7">
        <f>SQRT(K2304^2+L2304^2)</f>
      </c>
      <c r="N2304" s="7">
        <f>(K2305-K2303)</f>
      </c>
      <c r="O2304" s="7">
        <f>+(L2305-L2303)</f>
      </c>
      <c r="P2304" s="7">
        <f>SQRT(O2304^2+N2304^2)</f>
      </c>
      <c r="Q2304" s="7">
        <f>N2304/$P2304</f>
      </c>
      <c r="R2304" s="7">
        <f>O2304/$P2304</f>
      </c>
      <c r="S2304" s="7">
        <f>Q2304^2+R2304^2</f>
      </c>
      <c r="T2304" s="7">
        <f>-R2304</f>
      </c>
      <c r="U2304" s="7">
        <f>Q2304</f>
      </c>
      <c r="V2304" s="7">
        <f>($C$14+($C$15-$C$14)/($D$15-$D$14)*(I2304-$D$14))/2</f>
      </c>
      <c r="W2304" s="7">
        <f>($B$22*I2304^4+$C$22*I2304^3+$D$22*I2304^2+$E$22*I2304+$F$22)/2</f>
      </c>
      <c r="X2304" s="7">
        <f>($W2304)*(T2304)</f>
      </c>
      <c r="Y2304" s="7">
        <f>($W2304)*(U2304)</f>
      </c>
      <c r="Z2304" s="7">
        <f>SQRT(X2304^2+Y2304^2)</f>
      </c>
      <c r="AA2304" s="7">
        <f>$K2304+$X2304</f>
      </c>
      <c r="AB2304" s="7">
        <f>$L2304+$Y2304</f>
      </c>
      <c r="AC2304" s="7">
        <f>$K2304-$X2304</f>
      </c>
      <c r="AD2304" s="7">
        <f>$L2304-$Y2304</f>
      </c>
      <c r="AE2304" s="7">
        <f>AA2304/39.3701</f>
      </c>
      <c r="AF2304" s="7">
        <f>AB2304/39.3701</f>
      </c>
      <c r="AG2304" s="7">
        <f>AC2304/39.3701</f>
      </c>
      <c r="AH2304" s="7">
        <f>AD2304/39.3701</f>
      </c>
      <c r="AI2304" s="1"/>
      <c r="AJ2304" s="1"/>
      <c r="AK2304" s="1"/>
      <c r="AL2304" s="1"/>
      <c r="AM2304" s="2"/>
      <c r="AN2304" s="1"/>
      <c r="AO2304" s="1"/>
      <c r="AP2304" s="1"/>
      <c r="AQ2304" s="1"/>
      <c r="AR2304" s="1"/>
      <c r="AS2304" s="1"/>
      <c r="AT2304" s="1"/>
      <c r="AU2304" s="1"/>
      <c r="AV2304" s="1"/>
      <c r="AW2304" s="1"/>
      <c r="AX2304" s="1"/>
      <c r="AY2304" s="1"/>
      <c r="AZ2304" s="1"/>
      <c r="BA2304" s="1"/>
      <c r="BB2304" s="1"/>
      <c r="BC2304" s="1"/>
      <c r="BD2304" s="1"/>
      <c r="BE2304" s="1"/>
    </row>
    <row x14ac:dyDescent="0.25" r="2305" customHeight="1" ht="18.75">
      <c r="A2305" s="1"/>
      <c r="B2305" s="2"/>
      <c r="C2305" s="2"/>
      <c r="D2305" s="2"/>
      <c r="E2305" s="2"/>
      <c r="F2305" s="2"/>
      <c r="G2305" s="1"/>
      <c r="H2305" s="1"/>
      <c r="I2305" s="7">
        <v>2.302</v>
      </c>
      <c r="J2305" s="7">
        <f>IF((I2305-ROUNDDOWN(I2305,0))=0, 0, (I2305-ROUNDDOWN(I2305,0)))</f>
      </c>
      <c r="K2305" s="7">
        <f>INDIRECT("C$"&amp;2+MIN(2,ROUNDDOWN(I2305,0))*3)*(-$J2305^3+3*$J2305^2-3*$J2305+1)+INDIRECT("C$"&amp;3+MIN(2,ROUNDDOWN(I2305,0))*3)*(3*$J2305^3-6*$J2305^2+3*$J2305)+INDIRECT("C$"&amp;4+MIN(2,ROUNDDOWN(I2305,0))*3)*(-3*$J2305^3+3*$J2305^2)+INDIRECT("C$"&amp;5+MIN(2,ROUNDDOWN(I2305,0))*3)*$J2305^3</f>
      </c>
      <c r="L2305" s="7">
        <f>INDIRECT("D$"&amp;2+MIN(2,ROUNDDOWN(I2305,0))*3)*(-$J2305^3+3*$J2305^2-3*$J2305+1)+INDIRECT("D$"&amp;3+MIN(2,ROUNDDOWN(I2305,0))*3)*(3*$J2305^3-6*$J2305^2+3*$J2305)+INDIRECT("D$"&amp;4+MIN(2,ROUNDDOWN(I2305,0))*3)*(-3*$J2305^3+3*$J2305^2)+INDIRECT("D$"&amp;5+MIN(2,ROUNDDOWN(I2305,0))*3)*$J2305^3</f>
      </c>
      <c r="M2305" s="7">
        <f>SQRT(K2305^2+L2305^2)</f>
      </c>
      <c r="N2305" s="7">
        <f>(K2306-K2304)</f>
      </c>
      <c r="O2305" s="7">
        <f>+(L2306-L2304)</f>
      </c>
      <c r="P2305" s="7">
        <f>SQRT(O2305^2+N2305^2)</f>
      </c>
      <c r="Q2305" s="7">
        <f>N2305/$P2305</f>
      </c>
      <c r="R2305" s="7">
        <f>O2305/$P2305</f>
      </c>
      <c r="S2305" s="7">
        <f>Q2305^2+R2305^2</f>
      </c>
      <c r="T2305" s="7">
        <f>-R2305</f>
      </c>
      <c r="U2305" s="7">
        <f>Q2305</f>
      </c>
      <c r="V2305" s="7">
        <f>($C$14+($C$15-$C$14)/($D$15-$D$14)*(I2305-$D$14))/2</f>
      </c>
      <c r="W2305" s="7">
        <f>($B$22*I2305^4+$C$22*I2305^3+$D$22*I2305^2+$E$22*I2305+$F$22)/2</f>
      </c>
      <c r="X2305" s="7">
        <f>($W2305)*(T2305)</f>
      </c>
      <c r="Y2305" s="7">
        <f>($W2305)*(U2305)</f>
      </c>
      <c r="Z2305" s="7">
        <f>SQRT(X2305^2+Y2305^2)</f>
      </c>
      <c r="AA2305" s="7">
        <f>$K2305+$X2305</f>
      </c>
      <c r="AB2305" s="7">
        <f>$L2305+$Y2305</f>
      </c>
      <c r="AC2305" s="7">
        <f>$K2305-$X2305</f>
      </c>
      <c r="AD2305" s="7">
        <f>$L2305-$Y2305</f>
      </c>
      <c r="AE2305" s="7">
        <f>AA2305/39.3701</f>
      </c>
      <c r="AF2305" s="7">
        <f>AB2305/39.3701</f>
      </c>
      <c r="AG2305" s="7">
        <f>AC2305/39.3701</f>
      </c>
      <c r="AH2305" s="7">
        <f>AD2305/39.3701</f>
      </c>
      <c r="AI2305" s="1"/>
      <c r="AJ2305" s="1"/>
      <c r="AK2305" s="1"/>
      <c r="AL2305" s="1"/>
      <c r="AM2305" s="2"/>
      <c r="AN2305" s="1"/>
      <c r="AO2305" s="1"/>
      <c r="AP2305" s="1"/>
      <c r="AQ2305" s="1"/>
      <c r="AR2305" s="1"/>
      <c r="AS2305" s="1"/>
      <c r="AT2305" s="1"/>
      <c r="AU2305" s="1"/>
      <c r="AV2305" s="1"/>
      <c r="AW2305" s="1"/>
      <c r="AX2305" s="1"/>
      <c r="AY2305" s="1"/>
      <c r="AZ2305" s="1"/>
      <c r="BA2305" s="1"/>
      <c r="BB2305" s="1"/>
      <c r="BC2305" s="1"/>
      <c r="BD2305" s="1"/>
      <c r="BE2305" s="1"/>
    </row>
    <row x14ac:dyDescent="0.25" r="2306" customHeight="1" ht="18.75">
      <c r="A2306" s="1"/>
      <c r="B2306" s="2"/>
      <c r="C2306" s="2"/>
      <c r="D2306" s="2"/>
      <c r="E2306" s="2"/>
      <c r="F2306" s="2"/>
      <c r="G2306" s="1"/>
      <c r="H2306" s="1"/>
      <c r="I2306" s="7">
        <v>2.303</v>
      </c>
      <c r="J2306" s="7">
        <f>IF((I2306-ROUNDDOWN(I2306,0))=0, 0, (I2306-ROUNDDOWN(I2306,0)))</f>
      </c>
      <c r="K2306" s="7">
        <f>INDIRECT("C$"&amp;2+MIN(2,ROUNDDOWN(I2306,0))*3)*(-$J2306^3+3*$J2306^2-3*$J2306+1)+INDIRECT("C$"&amp;3+MIN(2,ROUNDDOWN(I2306,0))*3)*(3*$J2306^3-6*$J2306^2+3*$J2306)+INDIRECT("C$"&amp;4+MIN(2,ROUNDDOWN(I2306,0))*3)*(-3*$J2306^3+3*$J2306^2)+INDIRECT("C$"&amp;5+MIN(2,ROUNDDOWN(I2306,0))*3)*$J2306^3</f>
      </c>
      <c r="L2306" s="7">
        <f>INDIRECT("D$"&amp;2+MIN(2,ROUNDDOWN(I2306,0))*3)*(-$J2306^3+3*$J2306^2-3*$J2306+1)+INDIRECT("D$"&amp;3+MIN(2,ROUNDDOWN(I2306,0))*3)*(3*$J2306^3-6*$J2306^2+3*$J2306)+INDIRECT("D$"&amp;4+MIN(2,ROUNDDOWN(I2306,0))*3)*(-3*$J2306^3+3*$J2306^2)+INDIRECT("D$"&amp;5+MIN(2,ROUNDDOWN(I2306,0))*3)*$J2306^3</f>
      </c>
      <c r="M2306" s="7">
        <f>SQRT(K2306^2+L2306^2)</f>
      </c>
      <c r="N2306" s="7">
        <f>(K2307-K2305)</f>
      </c>
      <c r="O2306" s="7">
        <f>+(L2307-L2305)</f>
      </c>
      <c r="P2306" s="7">
        <f>SQRT(O2306^2+N2306^2)</f>
      </c>
      <c r="Q2306" s="7">
        <f>N2306/$P2306</f>
      </c>
      <c r="R2306" s="7">
        <f>O2306/$P2306</f>
      </c>
      <c r="S2306" s="8">
        <f>Q2306^2+R2306^2</f>
      </c>
      <c r="T2306" s="7">
        <f>-R2306</f>
      </c>
      <c r="U2306" s="7">
        <f>Q2306</f>
      </c>
      <c r="V2306" s="7">
        <f>($C$14+($C$15-$C$14)/($D$15-$D$14)*(I2306-$D$14))/2</f>
      </c>
      <c r="W2306" s="7">
        <f>($B$22*I2306^4+$C$22*I2306^3+$D$22*I2306^2+$E$22*I2306+$F$22)/2</f>
      </c>
      <c r="X2306" s="7">
        <f>($W2306)*(T2306)</f>
      </c>
      <c r="Y2306" s="7">
        <f>($W2306)*(U2306)</f>
      </c>
      <c r="Z2306" s="7">
        <f>SQRT(X2306^2+Y2306^2)</f>
      </c>
      <c r="AA2306" s="7">
        <f>$K2306+$X2306</f>
      </c>
      <c r="AB2306" s="7">
        <f>$L2306+$Y2306</f>
      </c>
      <c r="AC2306" s="7">
        <f>$K2306-$X2306</f>
      </c>
      <c r="AD2306" s="7">
        <f>$L2306-$Y2306</f>
      </c>
      <c r="AE2306" s="7">
        <f>AA2306/39.3701</f>
      </c>
      <c r="AF2306" s="7">
        <f>AB2306/39.3701</f>
      </c>
      <c r="AG2306" s="7">
        <f>AC2306/39.3701</f>
      </c>
      <c r="AH2306" s="7">
        <f>AD2306/39.3701</f>
      </c>
      <c r="AI2306" s="1"/>
      <c r="AJ2306" s="1"/>
      <c r="AK2306" s="1"/>
      <c r="AL2306" s="1"/>
      <c r="AM2306" s="2"/>
      <c r="AN2306" s="1"/>
      <c r="AO2306" s="1"/>
      <c r="AP2306" s="1"/>
      <c r="AQ2306" s="1"/>
      <c r="AR2306" s="1"/>
      <c r="AS2306" s="1"/>
      <c r="AT2306" s="1"/>
      <c r="AU2306" s="1"/>
      <c r="AV2306" s="1"/>
      <c r="AW2306" s="1"/>
      <c r="AX2306" s="1"/>
      <c r="AY2306" s="1"/>
      <c r="AZ2306" s="1"/>
      <c r="BA2306" s="1"/>
      <c r="BB2306" s="1"/>
      <c r="BC2306" s="1"/>
      <c r="BD2306" s="1"/>
      <c r="BE2306" s="1"/>
    </row>
    <row x14ac:dyDescent="0.25" r="2307" customHeight="1" ht="18.75">
      <c r="A2307" s="1"/>
      <c r="B2307" s="2"/>
      <c r="C2307" s="2"/>
      <c r="D2307" s="2"/>
      <c r="E2307" s="2"/>
      <c r="F2307" s="2"/>
      <c r="G2307" s="1"/>
      <c r="H2307" s="1"/>
      <c r="I2307" s="7">
        <v>2.304</v>
      </c>
      <c r="J2307" s="7">
        <f>IF((I2307-ROUNDDOWN(I2307,0))=0, 0, (I2307-ROUNDDOWN(I2307,0)))</f>
      </c>
      <c r="K2307" s="7">
        <f>INDIRECT("C$"&amp;2+MIN(2,ROUNDDOWN(I2307,0))*3)*(-$J2307^3+3*$J2307^2-3*$J2307+1)+INDIRECT("C$"&amp;3+MIN(2,ROUNDDOWN(I2307,0))*3)*(3*$J2307^3-6*$J2307^2+3*$J2307)+INDIRECT("C$"&amp;4+MIN(2,ROUNDDOWN(I2307,0))*3)*(-3*$J2307^3+3*$J2307^2)+INDIRECT("C$"&amp;5+MIN(2,ROUNDDOWN(I2307,0))*3)*$J2307^3</f>
      </c>
      <c r="L2307" s="7">
        <f>INDIRECT("D$"&amp;2+MIN(2,ROUNDDOWN(I2307,0))*3)*(-$J2307^3+3*$J2307^2-3*$J2307+1)+INDIRECT("D$"&amp;3+MIN(2,ROUNDDOWN(I2307,0))*3)*(3*$J2307^3-6*$J2307^2+3*$J2307)+INDIRECT("D$"&amp;4+MIN(2,ROUNDDOWN(I2307,0))*3)*(-3*$J2307^3+3*$J2307^2)+INDIRECT("D$"&amp;5+MIN(2,ROUNDDOWN(I2307,0))*3)*$J2307^3</f>
      </c>
      <c r="M2307" s="7">
        <f>SQRT(K2307^2+L2307^2)</f>
      </c>
      <c r="N2307" s="7">
        <f>(K2308-K2306)</f>
      </c>
      <c r="O2307" s="7">
        <f>+(L2308-L2306)</f>
      </c>
      <c r="P2307" s="7">
        <f>SQRT(O2307^2+N2307^2)</f>
      </c>
      <c r="Q2307" s="7">
        <f>N2307/$P2307</f>
      </c>
      <c r="R2307" s="7">
        <f>O2307/$P2307</f>
      </c>
      <c r="S2307" s="8">
        <f>Q2307^2+R2307^2</f>
      </c>
      <c r="T2307" s="7">
        <f>-R2307</f>
      </c>
      <c r="U2307" s="7">
        <f>Q2307</f>
      </c>
      <c r="V2307" s="7">
        <f>($C$14+($C$15-$C$14)/($D$15-$D$14)*(I2307-$D$14))/2</f>
      </c>
      <c r="W2307" s="7">
        <f>($B$22*I2307^4+$C$22*I2307^3+$D$22*I2307^2+$E$22*I2307+$F$22)/2</f>
      </c>
      <c r="X2307" s="7">
        <f>($W2307)*(T2307)</f>
      </c>
      <c r="Y2307" s="7">
        <f>($W2307)*(U2307)</f>
      </c>
      <c r="Z2307" s="7">
        <f>SQRT(X2307^2+Y2307^2)</f>
      </c>
      <c r="AA2307" s="7">
        <f>$K2307+$X2307</f>
      </c>
      <c r="AB2307" s="7">
        <f>$L2307+$Y2307</f>
      </c>
      <c r="AC2307" s="7">
        <f>$K2307-$X2307</f>
      </c>
      <c r="AD2307" s="7">
        <f>$L2307-$Y2307</f>
      </c>
      <c r="AE2307" s="7">
        <f>AA2307/39.3701</f>
      </c>
      <c r="AF2307" s="7">
        <f>AB2307/39.3701</f>
      </c>
      <c r="AG2307" s="7">
        <f>AC2307/39.3701</f>
      </c>
      <c r="AH2307" s="7">
        <f>AD2307/39.3701</f>
      </c>
      <c r="AI2307" s="1"/>
      <c r="AJ2307" s="1"/>
      <c r="AK2307" s="1"/>
      <c r="AL2307" s="1"/>
      <c r="AM2307" s="2"/>
      <c r="AN2307" s="1"/>
      <c r="AO2307" s="1"/>
      <c r="AP2307" s="1"/>
      <c r="AQ2307" s="1"/>
      <c r="AR2307" s="1"/>
      <c r="AS2307" s="1"/>
      <c r="AT2307" s="1"/>
      <c r="AU2307" s="1"/>
      <c r="AV2307" s="1"/>
      <c r="AW2307" s="1"/>
      <c r="AX2307" s="1"/>
      <c r="AY2307" s="1"/>
      <c r="AZ2307" s="1"/>
      <c r="BA2307" s="1"/>
      <c r="BB2307" s="1"/>
      <c r="BC2307" s="1"/>
      <c r="BD2307" s="1"/>
      <c r="BE2307" s="1"/>
    </row>
    <row x14ac:dyDescent="0.25" r="2308" customHeight="1" ht="18.75">
      <c r="A2308" s="1"/>
      <c r="B2308" s="2"/>
      <c r="C2308" s="2"/>
      <c r="D2308" s="2"/>
      <c r="E2308" s="2"/>
      <c r="F2308" s="2"/>
      <c r="G2308" s="1"/>
      <c r="H2308" s="1"/>
      <c r="I2308" s="7">
        <v>2.305</v>
      </c>
      <c r="J2308" s="7">
        <f>IF((I2308-ROUNDDOWN(I2308,0))=0, 0, (I2308-ROUNDDOWN(I2308,0)))</f>
      </c>
      <c r="K2308" s="7">
        <f>INDIRECT("C$"&amp;2+MIN(2,ROUNDDOWN(I2308,0))*3)*(-$J2308^3+3*$J2308^2-3*$J2308+1)+INDIRECT("C$"&amp;3+MIN(2,ROUNDDOWN(I2308,0))*3)*(3*$J2308^3-6*$J2308^2+3*$J2308)+INDIRECT("C$"&amp;4+MIN(2,ROUNDDOWN(I2308,0))*3)*(-3*$J2308^3+3*$J2308^2)+INDIRECT("C$"&amp;5+MIN(2,ROUNDDOWN(I2308,0))*3)*$J2308^3</f>
      </c>
      <c r="L2308" s="7">
        <f>INDIRECT("D$"&amp;2+MIN(2,ROUNDDOWN(I2308,0))*3)*(-$J2308^3+3*$J2308^2-3*$J2308+1)+INDIRECT("D$"&amp;3+MIN(2,ROUNDDOWN(I2308,0))*3)*(3*$J2308^3-6*$J2308^2+3*$J2308)+INDIRECT("D$"&amp;4+MIN(2,ROUNDDOWN(I2308,0))*3)*(-3*$J2308^3+3*$J2308^2)+INDIRECT("D$"&amp;5+MIN(2,ROUNDDOWN(I2308,0))*3)*$J2308^3</f>
      </c>
      <c r="M2308" s="7">
        <f>SQRT(K2308^2+L2308^2)</f>
      </c>
      <c r="N2308" s="7">
        <f>(K2309-K2307)</f>
      </c>
      <c r="O2308" s="7">
        <f>+(L2309-L2307)</f>
      </c>
      <c r="P2308" s="7">
        <f>SQRT(O2308^2+N2308^2)</f>
      </c>
      <c r="Q2308" s="7">
        <f>N2308/$P2308</f>
      </c>
      <c r="R2308" s="7">
        <f>O2308/$P2308</f>
      </c>
      <c r="S2308" s="8">
        <f>Q2308^2+R2308^2</f>
      </c>
      <c r="T2308" s="7">
        <f>-R2308</f>
      </c>
      <c r="U2308" s="7">
        <f>Q2308</f>
      </c>
      <c r="V2308" s="7">
        <f>($C$14+($C$15-$C$14)/($D$15-$D$14)*(I2308-$D$14))/2</f>
      </c>
      <c r="W2308" s="7">
        <f>($B$22*I2308^4+$C$22*I2308^3+$D$22*I2308^2+$E$22*I2308+$F$22)/2</f>
      </c>
      <c r="X2308" s="7">
        <f>($W2308)*(T2308)</f>
      </c>
      <c r="Y2308" s="7">
        <f>($W2308)*(U2308)</f>
      </c>
      <c r="Z2308" s="7">
        <f>SQRT(X2308^2+Y2308^2)</f>
      </c>
      <c r="AA2308" s="7">
        <f>$K2308+$X2308</f>
      </c>
      <c r="AB2308" s="7">
        <f>$L2308+$Y2308</f>
      </c>
      <c r="AC2308" s="7">
        <f>$K2308-$X2308</f>
      </c>
      <c r="AD2308" s="7">
        <f>$L2308-$Y2308</f>
      </c>
      <c r="AE2308" s="7">
        <f>AA2308/39.3701</f>
      </c>
      <c r="AF2308" s="7">
        <f>AB2308/39.3701</f>
      </c>
      <c r="AG2308" s="7">
        <f>AC2308/39.3701</f>
      </c>
      <c r="AH2308" s="7">
        <f>AD2308/39.3701</f>
      </c>
      <c r="AI2308" s="1"/>
      <c r="AJ2308" s="1"/>
      <c r="AK2308" s="1"/>
      <c r="AL2308" s="1"/>
      <c r="AM2308" s="2"/>
      <c r="AN2308" s="1"/>
      <c r="AO2308" s="1"/>
      <c r="AP2308" s="1"/>
      <c r="AQ2308" s="1"/>
      <c r="AR2308" s="1"/>
      <c r="AS2308" s="1"/>
      <c r="AT2308" s="1"/>
      <c r="AU2308" s="1"/>
      <c r="AV2308" s="1"/>
      <c r="AW2308" s="1"/>
      <c r="AX2308" s="1"/>
      <c r="AY2308" s="1"/>
      <c r="AZ2308" s="1"/>
      <c r="BA2308" s="1"/>
      <c r="BB2308" s="1"/>
      <c r="BC2308" s="1"/>
      <c r="BD2308" s="1"/>
      <c r="BE2308" s="1"/>
    </row>
    <row x14ac:dyDescent="0.25" r="2309" customHeight="1" ht="18.75">
      <c r="A2309" s="1"/>
      <c r="B2309" s="2"/>
      <c r="C2309" s="2"/>
      <c r="D2309" s="2"/>
      <c r="E2309" s="2"/>
      <c r="F2309" s="2"/>
      <c r="G2309" s="1"/>
      <c r="H2309" s="1"/>
      <c r="I2309" s="7">
        <v>2.306</v>
      </c>
      <c r="J2309" s="7">
        <f>IF((I2309-ROUNDDOWN(I2309,0))=0, 0, (I2309-ROUNDDOWN(I2309,0)))</f>
      </c>
      <c r="K2309" s="7">
        <f>INDIRECT("C$"&amp;2+MIN(2,ROUNDDOWN(I2309,0))*3)*(-$J2309^3+3*$J2309^2-3*$J2309+1)+INDIRECT("C$"&amp;3+MIN(2,ROUNDDOWN(I2309,0))*3)*(3*$J2309^3-6*$J2309^2+3*$J2309)+INDIRECT("C$"&amp;4+MIN(2,ROUNDDOWN(I2309,0))*3)*(-3*$J2309^3+3*$J2309^2)+INDIRECT("C$"&amp;5+MIN(2,ROUNDDOWN(I2309,0))*3)*$J2309^3</f>
      </c>
      <c r="L2309" s="7">
        <f>INDIRECT("D$"&amp;2+MIN(2,ROUNDDOWN(I2309,0))*3)*(-$J2309^3+3*$J2309^2-3*$J2309+1)+INDIRECT("D$"&amp;3+MIN(2,ROUNDDOWN(I2309,0))*3)*(3*$J2309^3-6*$J2309^2+3*$J2309)+INDIRECT("D$"&amp;4+MIN(2,ROUNDDOWN(I2309,0))*3)*(-3*$J2309^3+3*$J2309^2)+INDIRECT("D$"&amp;5+MIN(2,ROUNDDOWN(I2309,0))*3)*$J2309^3</f>
      </c>
      <c r="M2309" s="7">
        <f>SQRT(K2309^2+L2309^2)</f>
      </c>
      <c r="N2309" s="7">
        <f>(K2310-K2308)</f>
      </c>
      <c r="O2309" s="7">
        <f>+(L2310-L2308)</f>
      </c>
      <c r="P2309" s="7">
        <f>SQRT(O2309^2+N2309^2)</f>
      </c>
      <c r="Q2309" s="7">
        <f>N2309/$P2309</f>
      </c>
      <c r="R2309" s="7">
        <f>O2309/$P2309</f>
      </c>
      <c r="S2309" s="7">
        <f>Q2309^2+R2309^2</f>
      </c>
      <c r="T2309" s="7">
        <f>-R2309</f>
      </c>
      <c r="U2309" s="7">
        <f>Q2309</f>
      </c>
      <c r="V2309" s="7">
        <f>($C$14+($C$15-$C$14)/($D$15-$D$14)*(I2309-$D$14))/2</f>
      </c>
      <c r="W2309" s="7">
        <f>($B$22*I2309^4+$C$22*I2309^3+$D$22*I2309^2+$E$22*I2309+$F$22)/2</f>
      </c>
      <c r="X2309" s="7">
        <f>($W2309)*(T2309)</f>
      </c>
      <c r="Y2309" s="7">
        <f>($W2309)*(U2309)</f>
      </c>
      <c r="Z2309" s="7">
        <f>SQRT(X2309^2+Y2309^2)</f>
      </c>
      <c r="AA2309" s="7">
        <f>$K2309+$X2309</f>
      </c>
      <c r="AB2309" s="7">
        <f>$L2309+$Y2309</f>
      </c>
      <c r="AC2309" s="7">
        <f>$K2309-$X2309</f>
      </c>
      <c r="AD2309" s="7">
        <f>$L2309-$Y2309</f>
      </c>
      <c r="AE2309" s="7">
        <f>AA2309/39.3701</f>
      </c>
      <c r="AF2309" s="7">
        <f>AB2309/39.3701</f>
      </c>
      <c r="AG2309" s="7">
        <f>AC2309/39.3701</f>
      </c>
      <c r="AH2309" s="7">
        <f>AD2309/39.3701</f>
      </c>
      <c r="AI2309" s="1"/>
      <c r="AJ2309" s="1"/>
      <c r="AK2309" s="1"/>
      <c r="AL2309" s="1"/>
      <c r="AM2309" s="2"/>
      <c r="AN2309" s="1"/>
      <c r="AO2309" s="1"/>
      <c r="AP2309" s="1"/>
      <c r="AQ2309" s="1"/>
      <c r="AR2309" s="1"/>
      <c r="AS2309" s="1"/>
      <c r="AT2309" s="1"/>
      <c r="AU2309" s="1"/>
      <c r="AV2309" s="1"/>
      <c r="AW2309" s="1"/>
      <c r="AX2309" s="1"/>
      <c r="AY2309" s="1"/>
      <c r="AZ2309" s="1"/>
      <c r="BA2309" s="1"/>
      <c r="BB2309" s="1"/>
      <c r="BC2309" s="1"/>
      <c r="BD2309" s="1"/>
      <c r="BE2309" s="1"/>
    </row>
    <row x14ac:dyDescent="0.25" r="2310" customHeight="1" ht="18.75">
      <c r="A2310" s="1"/>
      <c r="B2310" s="2"/>
      <c r="C2310" s="2"/>
      <c r="D2310" s="2"/>
      <c r="E2310" s="2"/>
      <c r="F2310" s="2"/>
      <c r="G2310" s="1"/>
      <c r="H2310" s="1"/>
      <c r="I2310" s="7">
        <v>2.307</v>
      </c>
      <c r="J2310" s="7">
        <f>IF((I2310-ROUNDDOWN(I2310,0))=0, 0, (I2310-ROUNDDOWN(I2310,0)))</f>
      </c>
      <c r="K2310" s="7">
        <f>INDIRECT("C$"&amp;2+MIN(2,ROUNDDOWN(I2310,0))*3)*(-$J2310^3+3*$J2310^2-3*$J2310+1)+INDIRECT("C$"&amp;3+MIN(2,ROUNDDOWN(I2310,0))*3)*(3*$J2310^3-6*$J2310^2+3*$J2310)+INDIRECT("C$"&amp;4+MIN(2,ROUNDDOWN(I2310,0))*3)*(-3*$J2310^3+3*$J2310^2)+INDIRECT("C$"&amp;5+MIN(2,ROUNDDOWN(I2310,0))*3)*$J2310^3</f>
      </c>
      <c r="L2310" s="7">
        <f>INDIRECT("D$"&amp;2+MIN(2,ROUNDDOWN(I2310,0))*3)*(-$J2310^3+3*$J2310^2-3*$J2310+1)+INDIRECT("D$"&amp;3+MIN(2,ROUNDDOWN(I2310,0))*3)*(3*$J2310^3-6*$J2310^2+3*$J2310)+INDIRECT("D$"&amp;4+MIN(2,ROUNDDOWN(I2310,0))*3)*(-3*$J2310^3+3*$J2310^2)+INDIRECT("D$"&amp;5+MIN(2,ROUNDDOWN(I2310,0))*3)*$J2310^3</f>
      </c>
      <c r="M2310" s="7">
        <f>SQRT(K2310^2+L2310^2)</f>
      </c>
      <c r="N2310" s="7">
        <f>(K2311-K2309)</f>
      </c>
      <c r="O2310" s="7">
        <f>+(L2311-L2309)</f>
      </c>
      <c r="P2310" s="7">
        <f>SQRT(O2310^2+N2310^2)</f>
      </c>
      <c r="Q2310" s="7">
        <f>N2310/$P2310</f>
      </c>
      <c r="R2310" s="7">
        <f>O2310/$P2310</f>
      </c>
      <c r="S2310" s="8">
        <f>Q2310^2+R2310^2</f>
      </c>
      <c r="T2310" s="7">
        <f>-R2310</f>
      </c>
      <c r="U2310" s="7">
        <f>Q2310</f>
      </c>
      <c r="V2310" s="7">
        <f>($C$14+($C$15-$C$14)/($D$15-$D$14)*(I2310-$D$14))/2</f>
      </c>
      <c r="W2310" s="7">
        <f>($B$22*I2310^4+$C$22*I2310^3+$D$22*I2310^2+$E$22*I2310+$F$22)/2</f>
      </c>
      <c r="X2310" s="7">
        <f>($W2310)*(T2310)</f>
      </c>
      <c r="Y2310" s="7">
        <f>($W2310)*(U2310)</f>
      </c>
      <c r="Z2310" s="7">
        <f>SQRT(X2310^2+Y2310^2)</f>
      </c>
      <c r="AA2310" s="7">
        <f>$K2310+$X2310</f>
      </c>
      <c r="AB2310" s="7">
        <f>$L2310+$Y2310</f>
      </c>
      <c r="AC2310" s="7">
        <f>$K2310-$X2310</f>
      </c>
      <c r="AD2310" s="7">
        <f>$L2310-$Y2310</f>
      </c>
      <c r="AE2310" s="7">
        <f>AA2310/39.3701</f>
      </c>
      <c r="AF2310" s="7">
        <f>AB2310/39.3701</f>
      </c>
      <c r="AG2310" s="7">
        <f>AC2310/39.3701</f>
      </c>
      <c r="AH2310" s="7">
        <f>AD2310/39.3701</f>
      </c>
      <c r="AI2310" s="1"/>
      <c r="AJ2310" s="1"/>
      <c r="AK2310" s="1"/>
      <c r="AL2310" s="1"/>
      <c r="AM2310" s="2"/>
      <c r="AN2310" s="1"/>
      <c r="AO2310" s="1"/>
      <c r="AP2310" s="1"/>
      <c r="AQ2310" s="1"/>
      <c r="AR2310" s="1"/>
      <c r="AS2310" s="1"/>
      <c r="AT2310" s="1"/>
      <c r="AU2310" s="1"/>
      <c r="AV2310" s="1"/>
      <c r="AW2310" s="1"/>
      <c r="AX2310" s="1"/>
      <c r="AY2310" s="1"/>
      <c r="AZ2310" s="1"/>
      <c r="BA2310" s="1"/>
      <c r="BB2310" s="1"/>
      <c r="BC2310" s="1"/>
      <c r="BD2310" s="1"/>
      <c r="BE2310" s="1"/>
    </row>
    <row x14ac:dyDescent="0.25" r="2311" customHeight="1" ht="18.75">
      <c r="A2311" s="1"/>
      <c r="B2311" s="2"/>
      <c r="C2311" s="2"/>
      <c r="D2311" s="2"/>
      <c r="E2311" s="2"/>
      <c r="F2311" s="2"/>
      <c r="G2311" s="1"/>
      <c r="H2311" s="1"/>
      <c r="I2311" s="7">
        <v>2.308</v>
      </c>
      <c r="J2311" s="7">
        <f>IF((I2311-ROUNDDOWN(I2311,0))=0, 0, (I2311-ROUNDDOWN(I2311,0)))</f>
      </c>
      <c r="K2311" s="7">
        <f>INDIRECT("C$"&amp;2+MIN(2,ROUNDDOWN(I2311,0))*3)*(-$J2311^3+3*$J2311^2-3*$J2311+1)+INDIRECT("C$"&amp;3+MIN(2,ROUNDDOWN(I2311,0))*3)*(3*$J2311^3-6*$J2311^2+3*$J2311)+INDIRECT("C$"&amp;4+MIN(2,ROUNDDOWN(I2311,0))*3)*(-3*$J2311^3+3*$J2311^2)+INDIRECT("C$"&amp;5+MIN(2,ROUNDDOWN(I2311,0))*3)*$J2311^3</f>
      </c>
      <c r="L2311" s="7">
        <f>INDIRECT("D$"&amp;2+MIN(2,ROUNDDOWN(I2311,0))*3)*(-$J2311^3+3*$J2311^2-3*$J2311+1)+INDIRECT("D$"&amp;3+MIN(2,ROUNDDOWN(I2311,0))*3)*(3*$J2311^3-6*$J2311^2+3*$J2311)+INDIRECT("D$"&amp;4+MIN(2,ROUNDDOWN(I2311,0))*3)*(-3*$J2311^3+3*$J2311^2)+INDIRECT("D$"&amp;5+MIN(2,ROUNDDOWN(I2311,0))*3)*$J2311^3</f>
      </c>
      <c r="M2311" s="7">
        <f>SQRT(K2311^2+L2311^2)</f>
      </c>
      <c r="N2311" s="7">
        <f>(K2312-K2310)</f>
      </c>
      <c r="O2311" s="7">
        <f>+(L2312-L2310)</f>
      </c>
      <c r="P2311" s="7">
        <f>SQRT(O2311^2+N2311^2)</f>
      </c>
      <c r="Q2311" s="7">
        <f>N2311/$P2311</f>
      </c>
      <c r="R2311" s="7">
        <f>O2311/$P2311</f>
      </c>
      <c r="S2311" s="7">
        <f>Q2311^2+R2311^2</f>
      </c>
      <c r="T2311" s="7">
        <f>-R2311</f>
      </c>
      <c r="U2311" s="7">
        <f>Q2311</f>
      </c>
      <c r="V2311" s="7">
        <f>($C$14+($C$15-$C$14)/($D$15-$D$14)*(I2311-$D$14))/2</f>
      </c>
      <c r="W2311" s="7">
        <f>($B$22*I2311^4+$C$22*I2311^3+$D$22*I2311^2+$E$22*I2311+$F$22)/2</f>
      </c>
      <c r="X2311" s="7">
        <f>($W2311)*(T2311)</f>
      </c>
      <c r="Y2311" s="7">
        <f>($W2311)*(U2311)</f>
      </c>
      <c r="Z2311" s="7">
        <f>SQRT(X2311^2+Y2311^2)</f>
      </c>
      <c r="AA2311" s="7">
        <f>$K2311+$X2311</f>
      </c>
      <c r="AB2311" s="7">
        <f>$L2311+$Y2311</f>
      </c>
      <c r="AC2311" s="7">
        <f>$K2311-$X2311</f>
      </c>
      <c r="AD2311" s="7">
        <f>$L2311-$Y2311</f>
      </c>
      <c r="AE2311" s="7">
        <f>AA2311/39.3701</f>
      </c>
      <c r="AF2311" s="7">
        <f>AB2311/39.3701</f>
      </c>
      <c r="AG2311" s="7">
        <f>AC2311/39.3701</f>
      </c>
      <c r="AH2311" s="7">
        <f>AD2311/39.3701</f>
      </c>
      <c r="AI2311" s="1"/>
      <c r="AJ2311" s="1"/>
      <c r="AK2311" s="1"/>
      <c r="AL2311" s="1"/>
      <c r="AM2311" s="2"/>
      <c r="AN2311" s="1"/>
      <c r="AO2311" s="1"/>
      <c r="AP2311" s="1"/>
      <c r="AQ2311" s="1"/>
      <c r="AR2311" s="1"/>
      <c r="AS2311" s="1"/>
      <c r="AT2311" s="1"/>
      <c r="AU2311" s="1"/>
      <c r="AV2311" s="1"/>
      <c r="AW2311" s="1"/>
      <c r="AX2311" s="1"/>
      <c r="AY2311" s="1"/>
      <c r="AZ2311" s="1"/>
      <c r="BA2311" s="1"/>
      <c r="BB2311" s="1"/>
      <c r="BC2311" s="1"/>
      <c r="BD2311" s="1"/>
      <c r="BE2311" s="1"/>
    </row>
    <row x14ac:dyDescent="0.25" r="2312" customHeight="1" ht="18.75">
      <c r="A2312" s="1"/>
      <c r="B2312" s="2"/>
      <c r="C2312" s="2"/>
      <c r="D2312" s="2"/>
      <c r="E2312" s="2"/>
      <c r="F2312" s="2"/>
      <c r="G2312" s="1"/>
      <c r="H2312" s="1"/>
      <c r="I2312" s="7">
        <v>2.309</v>
      </c>
      <c r="J2312" s="7">
        <f>IF((I2312-ROUNDDOWN(I2312,0))=0, 0, (I2312-ROUNDDOWN(I2312,0)))</f>
      </c>
      <c r="K2312" s="7">
        <f>INDIRECT("C$"&amp;2+MIN(2,ROUNDDOWN(I2312,0))*3)*(-$J2312^3+3*$J2312^2-3*$J2312+1)+INDIRECT("C$"&amp;3+MIN(2,ROUNDDOWN(I2312,0))*3)*(3*$J2312^3-6*$J2312^2+3*$J2312)+INDIRECT("C$"&amp;4+MIN(2,ROUNDDOWN(I2312,0))*3)*(-3*$J2312^3+3*$J2312^2)+INDIRECT("C$"&amp;5+MIN(2,ROUNDDOWN(I2312,0))*3)*$J2312^3</f>
      </c>
      <c r="L2312" s="7">
        <f>INDIRECT("D$"&amp;2+MIN(2,ROUNDDOWN(I2312,0))*3)*(-$J2312^3+3*$J2312^2-3*$J2312+1)+INDIRECT("D$"&amp;3+MIN(2,ROUNDDOWN(I2312,0))*3)*(3*$J2312^3-6*$J2312^2+3*$J2312)+INDIRECT("D$"&amp;4+MIN(2,ROUNDDOWN(I2312,0))*3)*(-3*$J2312^3+3*$J2312^2)+INDIRECT("D$"&amp;5+MIN(2,ROUNDDOWN(I2312,0))*3)*$J2312^3</f>
      </c>
      <c r="M2312" s="7">
        <f>SQRT(K2312^2+L2312^2)</f>
      </c>
      <c r="N2312" s="7">
        <f>(K2313-K2311)</f>
      </c>
      <c r="O2312" s="7">
        <f>+(L2313-L2311)</f>
      </c>
      <c r="P2312" s="7">
        <f>SQRT(O2312^2+N2312^2)</f>
      </c>
      <c r="Q2312" s="7">
        <f>N2312/$P2312</f>
      </c>
      <c r="R2312" s="7">
        <f>O2312/$P2312</f>
      </c>
      <c r="S2312" s="8">
        <f>Q2312^2+R2312^2</f>
      </c>
      <c r="T2312" s="7">
        <f>-R2312</f>
      </c>
      <c r="U2312" s="7">
        <f>Q2312</f>
      </c>
      <c r="V2312" s="7">
        <f>($C$14+($C$15-$C$14)/($D$15-$D$14)*(I2312-$D$14))/2</f>
      </c>
      <c r="W2312" s="7">
        <f>($B$22*I2312^4+$C$22*I2312^3+$D$22*I2312^2+$E$22*I2312+$F$22)/2</f>
      </c>
      <c r="X2312" s="7">
        <f>($W2312)*(T2312)</f>
      </c>
      <c r="Y2312" s="7">
        <f>($W2312)*(U2312)</f>
      </c>
      <c r="Z2312" s="7">
        <f>SQRT(X2312^2+Y2312^2)</f>
      </c>
      <c r="AA2312" s="7">
        <f>$K2312+$X2312</f>
      </c>
      <c r="AB2312" s="7">
        <f>$L2312+$Y2312</f>
      </c>
      <c r="AC2312" s="7">
        <f>$K2312-$X2312</f>
      </c>
      <c r="AD2312" s="7">
        <f>$L2312-$Y2312</f>
      </c>
      <c r="AE2312" s="7">
        <f>AA2312/39.3701</f>
      </c>
      <c r="AF2312" s="7">
        <f>AB2312/39.3701</f>
      </c>
      <c r="AG2312" s="7">
        <f>AC2312/39.3701</f>
      </c>
      <c r="AH2312" s="7">
        <f>AD2312/39.3701</f>
      </c>
      <c r="AI2312" s="1"/>
      <c r="AJ2312" s="1"/>
      <c r="AK2312" s="1"/>
      <c r="AL2312" s="1"/>
      <c r="AM2312" s="2"/>
      <c r="AN2312" s="1"/>
      <c r="AO2312" s="1"/>
      <c r="AP2312" s="1"/>
      <c r="AQ2312" s="1"/>
      <c r="AR2312" s="1"/>
      <c r="AS2312" s="1"/>
      <c r="AT2312" s="1"/>
      <c r="AU2312" s="1"/>
      <c r="AV2312" s="1"/>
      <c r="AW2312" s="1"/>
      <c r="AX2312" s="1"/>
      <c r="AY2312" s="1"/>
      <c r="AZ2312" s="1"/>
      <c r="BA2312" s="1"/>
      <c r="BB2312" s="1"/>
      <c r="BC2312" s="1"/>
      <c r="BD2312" s="1"/>
      <c r="BE2312" s="1"/>
    </row>
    <row x14ac:dyDescent="0.25" r="2313" customHeight="1" ht="18.75">
      <c r="A2313" s="1"/>
      <c r="B2313" s="2"/>
      <c r="C2313" s="2"/>
      <c r="D2313" s="2"/>
      <c r="E2313" s="2"/>
      <c r="F2313" s="2"/>
      <c r="G2313" s="1"/>
      <c r="H2313" s="1"/>
      <c r="I2313" s="7">
        <v>2.31</v>
      </c>
      <c r="J2313" s="7">
        <f>IF((I2313-ROUNDDOWN(I2313,0))=0, 0, (I2313-ROUNDDOWN(I2313,0)))</f>
      </c>
      <c r="K2313" s="7">
        <f>INDIRECT("C$"&amp;2+MIN(2,ROUNDDOWN(I2313,0))*3)*(-$J2313^3+3*$J2313^2-3*$J2313+1)+INDIRECT("C$"&amp;3+MIN(2,ROUNDDOWN(I2313,0))*3)*(3*$J2313^3-6*$J2313^2+3*$J2313)+INDIRECT("C$"&amp;4+MIN(2,ROUNDDOWN(I2313,0))*3)*(-3*$J2313^3+3*$J2313^2)+INDIRECT("C$"&amp;5+MIN(2,ROUNDDOWN(I2313,0))*3)*$J2313^3</f>
      </c>
      <c r="L2313" s="7">
        <f>INDIRECT("D$"&amp;2+MIN(2,ROUNDDOWN(I2313,0))*3)*(-$J2313^3+3*$J2313^2-3*$J2313+1)+INDIRECT("D$"&amp;3+MIN(2,ROUNDDOWN(I2313,0))*3)*(3*$J2313^3-6*$J2313^2+3*$J2313)+INDIRECT("D$"&amp;4+MIN(2,ROUNDDOWN(I2313,0))*3)*(-3*$J2313^3+3*$J2313^2)+INDIRECT("D$"&amp;5+MIN(2,ROUNDDOWN(I2313,0))*3)*$J2313^3</f>
      </c>
      <c r="M2313" s="7">
        <f>SQRT(K2313^2+L2313^2)</f>
      </c>
      <c r="N2313" s="7">
        <f>(K2314-K2312)</f>
      </c>
      <c r="O2313" s="7">
        <f>+(L2314-L2312)</f>
      </c>
      <c r="P2313" s="7">
        <f>SQRT(O2313^2+N2313^2)</f>
      </c>
      <c r="Q2313" s="7">
        <f>N2313/$P2313</f>
      </c>
      <c r="R2313" s="7">
        <f>O2313/$P2313</f>
      </c>
      <c r="S2313" s="7">
        <f>Q2313^2+R2313^2</f>
      </c>
      <c r="T2313" s="7">
        <f>-R2313</f>
      </c>
      <c r="U2313" s="7">
        <f>Q2313</f>
      </c>
      <c r="V2313" s="7">
        <f>($C$14+($C$15-$C$14)/($D$15-$D$14)*(I2313-$D$14))/2</f>
      </c>
      <c r="W2313" s="7">
        <f>($B$22*I2313^4+$C$22*I2313^3+$D$22*I2313^2+$E$22*I2313+$F$22)/2</f>
      </c>
      <c r="X2313" s="7">
        <f>($W2313)*(T2313)</f>
      </c>
      <c r="Y2313" s="7">
        <f>($W2313)*(U2313)</f>
      </c>
      <c r="Z2313" s="7">
        <f>SQRT(X2313^2+Y2313^2)</f>
      </c>
      <c r="AA2313" s="7">
        <f>$K2313+$X2313</f>
      </c>
      <c r="AB2313" s="7">
        <f>$L2313+$Y2313</f>
      </c>
      <c r="AC2313" s="7">
        <f>$K2313-$X2313</f>
      </c>
      <c r="AD2313" s="7">
        <f>$L2313-$Y2313</f>
      </c>
      <c r="AE2313" s="7">
        <f>AA2313/39.3701</f>
      </c>
      <c r="AF2313" s="7">
        <f>AB2313/39.3701</f>
      </c>
      <c r="AG2313" s="7">
        <f>AC2313/39.3701</f>
      </c>
      <c r="AH2313" s="7">
        <f>AD2313/39.3701</f>
      </c>
      <c r="AI2313" s="1"/>
      <c r="AJ2313" s="1"/>
      <c r="AK2313" s="1"/>
      <c r="AL2313" s="1"/>
      <c r="AM2313" s="2"/>
      <c r="AN2313" s="1"/>
      <c r="AO2313" s="1"/>
      <c r="AP2313" s="1"/>
      <c r="AQ2313" s="1"/>
      <c r="AR2313" s="1"/>
      <c r="AS2313" s="1"/>
      <c r="AT2313" s="1"/>
      <c r="AU2313" s="1"/>
      <c r="AV2313" s="1"/>
      <c r="AW2313" s="1"/>
      <c r="AX2313" s="1"/>
      <c r="AY2313" s="1"/>
      <c r="AZ2313" s="1"/>
      <c r="BA2313" s="1"/>
      <c r="BB2313" s="1"/>
      <c r="BC2313" s="1"/>
      <c r="BD2313" s="1"/>
      <c r="BE2313" s="1"/>
    </row>
    <row x14ac:dyDescent="0.25" r="2314" customHeight="1" ht="18.75">
      <c r="A2314" s="1"/>
      <c r="B2314" s="2"/>
      <c r="C2314" s="2"/>
      <c r="D2314" s="2"/>
      <c r="E2314" s="2"/>
      <c r="F2314" s="2"/>
      <c r="G2314" s="1"/>
      <c r="H2314" s="1"/>
      <c r="I2314" s="7">
        <v>2.311</v>
      </c>
      <c r="J2314" s="7">
        <f>IF((I2314-ROUNDDOWN(I2314,0))=0, 0, (I2314-ROUNDDOWN(I2314,0)))</f>
      </c>
      <c r="K2314" s="7">
        <f>INDIRECT("C$"&amp;2+MIN(2,ROUNDDOWN(I2314,0))*3)*(-$J2314^3+3*$J2314^2-3*$J2314+1)+INDIRECT("C$"&amp;3+MIN(2,ROUNDDOWN(I2314,0))*3)*(3*$J2314^3-6*$J2314^2+3*$J2314)+INDIRECT("C$"&amp;4+MIN(2,ROUNDDOWN(I2314,0))*3)*(-3*$J2314^3+3*$J2314^2)+INDIRECT("C$"&amp;5+MIN(2,ROUNDDOWN(I2314,0))*3)*$J2314^3</f>
      </c>
      <c r="L2314" s="7">
        <f>INDIRECT("D$"&amp;2+MIN(2,ROUNDDOWN(I2314,0))*3)*(-$J2314^3+3*$J2314^2-3*$J2314+1)+INDIRECT("D$"&amp;3+MIN(2,ROUNDDOWN(I2314,0))*3)*(3*$J2314^3-6*$J2314^2+3*$J2314)+INDIRECT("D$"&amp;4+MIN(2,ROUNDDOWN(I2314,0))*3)*(-3*$J2314^3+3*$J2314^2)+INDIRECT("D$"&amp;5+MIN(2,ROUNDDOWN(I2314,0))*3)*$J2314^3</f>
      </c>
      <c r="M2314" s="7">
        <f>SQRT(K2314^2+L2314^2)</f>
      </c>
      <c r="N2314" s="7">
        <f>(K2315-K2313)</f>
      </c>
      <c r="O2314" s="7">
        <f>+(L2315-L2313)</f>
      </c>
      <c r="P2314" s="7">
        <f>SQRT(O2314^2+N2314^2)</f>
      </c>
      <c r="Q2314" s="7">
        <f>N2314/$P2314</f>
      </c>
      <c r="R2314" s="7">
        <f>O2314/$P2314</f>
      </c>
      <c r="S2314" s="8">
        <f>Q2314^2+R2314^2</f>
      </c>
      <c r="T2314" s="7">
        <f>-R2314</f>
      </c>
      <c r="U2314" s="7">
        <f>Q2314</f>
      </c>
      <c r="V2314" s="7">
        <f>($C$14+($C$15-$C$14)/($D$15-$D$14)*(I2314-$D$14))/2</f>
      </c>
      <c r="W2314" s="7">
        <f>($B$22*I2314^4+$C$22*I2314^3+$D$22*I2314^2+$E$22*I2314+$F$22)/2</f>
      </c>
      <c r="X2314" s="7">
        <f>($W2314)*(T2314)</f>
      </c>
      <c r="Y2314" s="7">
        <f>($W2314)*(U2314)</f>
      </c>
      <c r="Z2314" s="7">
        <f>SQRT(X2314^2+Y2314^2)</f>
      </c>
      <c r="AA2314" s="7">
        <f>$K2314+$X2314</f>
      </c>
      <c r="AB2314" s="7">
        <f>$L2314+$Y2314</f>
      </c>
      <c r="AC2314" s="7">
        <f>$K2314-$X2314</f>
      </c>
      <c r="AD2314" s="7">
        <f>$L2314-$Y2314</f>
      </c>
      <c r="AE2314" s="7">
        <f>AA2314/39.3701</f>
      </c>
      <c r="AF2314" s="7">
        <f>AB2314/39.3701</f>
      </c>
      <c r="AG2314" s="7">
        <f>AC2314/39.3701</f>
      </c>
      <c r="AH2314" s="7">
        <f>AD2314/39.3701</f>
      </c>
      <c r="AI2314" s="1"/>
      <c r="AJ2314" s="1"/>
      <c r="AK2314" s="1"/>
      <c r="AL2314" s="1"/>
      <c r="AM2314" s="2"/>
      <c r="AN2314" s="1"/>
      <c r="AO2314" s="1"/>
      <c r="AP2314" s="1"/>
      <c r="AQ2314" s="1"/>
      <c r="AR2314" s="1"/>
      <c r="AS2314" s="1"/>
      <c r="AT2314" s="1"/>
      <c r="AU2314" s="1"/>
      <c r="AV2314" s="1"/>
      <c r="AW2314" s="1"/>
      <c r="AX2314" s="1"/>
      <c r="AY2314" s="1"/>
      <c r="AZ2314" s="1"/>
      <c r="BA2314" s="1"/>
      <c r="BB2314" s="1"/>
      <c r="BC2314" s="1"/>
      <c r="BD2314" s="1"/>
      <c r="BE2314" s="1"/>
    </row>
    <row x14ac:dyDescent="0.25" r="2315" customHeight="1" ht="18.75">
      <c r="A2315" s="1"/>
      <c r="B2315" s="2"/>
      <c r="C2315" s="2"/>
      <c r="D2315" s="2"/>
      <c r="E2315" s="2"/>
      <c r="F2315" s="2"/>
      <c r="G2315" s="1"/>
      <c r="H2315" s="1"/>
      <c r="I2315" s="7">
        <v>2.312</v>
      </c>
      <c r="J2315" s="7">
        <f>IF((I2315-ROUNDDOWN(I2315,0))=0, 0, (I2315-ROUNDDOWN(I2315,0)))</f>
      </c>
      <c r="K2315" s="7">
        <f>INDIRECT("C$"&amp;2+MIN(2,ROUNDDOWN(I2315,0))*3)*(-$J2315^3+3*$J2315^2-3*$J2315+1)+INDIRECT("C$"&amp;3+MIN(2,ROUNDDOWN(I2315,0))*3)*(3*$J2315^3-6*$J2315^2+3*$J2315)+INDIRECT("C$"&amp;4+MIN(2,ROUNDDOWN(I2315,0))*3)*(-3*$J2315^3+3*$J2315^2)+INDIRECT("C$"&amp;5+MIN(2,ROUNDDOWN(I2315,0))*3)*$J2315^3</f>
      </c>
      <c r="L2315" s="7">
        <f>INDIRECT("D$"&amp;2+MIN(2,ROUNDDOWN(I2315,0))*3)*(-$J2315^3+3*$J2315^2-3*$J2315+1)+INDIRECT("D$"&amp;3+MIN(2,ROUNDDOWN(I2315,0))*3)*(3*$J2315^3-6*$J2315^2+3*$J2315)+INDIRECT("D$"&amp;4+MIN(2,ROUNDDOWN(I2315,0))*3)*(-3*$J2315^3+3*$J2315^2)+INDIRECT("D$"&amp;5+MIN(2,ROUNDDOWN(I2315,0))*3)*$J2315^3</f>
      </c>
      <c r="M2315" s="7">
        <f>SQRT(K2315^2+L2315^2)</f>
      </c>
      <c r="N2315" s="7">
        <f>(K2316-K2314)</f>
      </c>
      <c r="O2315" s="7">
        <f>+(L2316-L2314)</f>
      </c>
      <c r="P2315" s="7">
        <f>SQRT(O2315^2+N2315^2)</f>
      </c>
      <c r="Q2315" s="7">
        <f>N2315/$P2315</f>
      </c>
      <c r="R2315" s="7">
        <f>O2315/$P2315</f>
      </c>
      <c r="S2315" s="7">
        <f>Q2315^2+R2315^2</f>
      </c>
      <c r="T2315" s="7">
        <f>-R2315</f>
      </c>
      <c r="U2315" s="7">
        <f>Q2315</f>
      </c>
      <c r="V2315" s="7">
        <f>($C$14+($C$15-$C$14)/($D$15-$D$14)*(I2315-$D$14))/2</f>
      </c>
      <c r="W2315" s="7">
        <f>($B$22*I2315^4+$C$22*I2315^3+$D$22*I2315^2+$E$22*I2315+$F$22)/2</f>
      </c>
      <c r="X2315" s="7">
        <f>($W2315)*(T2315)</f>
      </c>
      <c r="Y2315" s="7">
        <f>($W2315)*(U2315)</f>
      </c>
      <c r="Z2315" s="7">
        <f>SQRT(X2315^2+Y2315^2)</f>
      </c>
      <c r="AA2315" s="7">
        <f>$K2315+$X2315</f>
      </c>
      <c r="AB2315" s="7">
        <f>$L2315+$Y2315</f>
      </c>
      <c r="AC2315" s="7">
        <f>$K2315-$X2315</f>
      </c>
      <c r="AD2315" s="7">
        <f>$L2315-$Y2315</f>
      </c>
      <c r="AE2315" s="7">
        <f>AA2315/39.3701</f>
      </c>
      <c r="AF2315" s="7">
        <f>AB2315/39.3701</f>
      </c>
      <c r="AG2315" s="7">
        <f>AC2315/39.3701</f>
      </c>
      <c r="AH2315" s="7">
        <f>AD2315/39.3701</f>
      </c>
      <c r="AI2315" s="1"/>
      <c r="AJ2315" s="1"/>
      <c r="AK2315" s="1"/>
      <c r="AL2315" s="1"/>
      <c r="AM2315" s="2"/>
      <c r="AN2315" s="1"/>
      <c r="AO2315" s="1"/>
      <c r="AP2315" s="1"/>
      <c r="AQ2315" s="1"/>
      <c r="AR2315" s="1"/>
      <c r="AS2315" s="1"/>
      <c r="AT2315" s="1"/>
      <c r="AU2315" s="1"/>
      <c r="AV2315" s="1"/>
      <c r="AW2315" s="1"/>
      <c r="AX2315" s="1"/>
      <c r="AY2315" s="1"/>
      <c r="AZ2315" s="1"/>
      <c r="BA2315" s="1"/>
      <c r="BB2315" s="1"/>
      <c r="BC2315" s="1"/>
      <c r="BD2315" s="1"/>
      <c r="BE2315" s="1"/>
    </row>
    <row x14ac:dyDescent="0.25" r="2316" customHeight="1" ht="18.75">
      <c r="A2316" s="1"/>
      <c r="B2316" s="2"/>
      <c r="C2316" s="2"/>
      <c r="D2316" s="2"/>
      <c r="E2316" s="2"/>
      <c r="F2316" s="2"/>
      <c r="G2316" s="1"/>
      <c r="H2316" s="1"/>
      <c r="I2316" s="7">
        <v>2.313</v>
      </c>
      <c r="J2316" s="7">
        <f>IF((I2316-ROUNDDOWN(I2316,0))=0, 0, (I2316-ROUNDDOWN(I2316,0)))</f>
      </c>
      <c r="K2316" s="7">
        <f>INDIRECT("C$"&amp;2+MIN(2,ROUNDDOWN(I2316,0))*3)*(-$J2316^3+3*$J2316^2-3*$J2316+1)+INDIRECT("C$"&amp;3+MIN(2,ROUNDDOWN(I2316,0))*3)*(3*$J2316^3-6*$J2316^2+3*$J2316)+INDIRECT("C$"&amp;4+MIN(2,ROUNDDOWN(I2316,0))*3)*(-3*$J2316^3+3*$J2316^2)+INDIRECT("C$"&amp;5+MIN(2,ROUNDDOWN(I2316,0))*3)*$J2316^3</f>
      </c>
      <c r="L2316" s="7">
        <f>INDIRECT("D$"&amp;2+MIN(2,ROUNDDOWN(I2316,0))*3)*(-$J2316^3+3*$J2316^2-3*$J2316+1)+INDIRECT("D$"&amp;3+MIN(2,ROUNDDOWN(I2316,0))*3)*(3*$J2316^3-6*$J2316^2+3*$J2316)+INDIRECT("D$"&amp;4+MIN(2,ROUNDDOWN(I2316,0))*3)*(-3*$J2316^3+3*$J2316^2)+INDIRECT("D$"&amp;5+MIN(2,ROUNDDOWN(I2316,0))*3)*$J2316^3</f>
      </c>
      <c r="M2316" s="7">
        <f>SQRT(K2316^2+L2316^2)</f>
      </c>
      <c r="N2316" s="7">
        <f>(K2317-K2315)</f>
      </c>
      <c r="O2316" s="7">
        <f>+(L2317-L2315)</f>
      </c>
      <c r="P2316" s="7">
        <f>SQRT(O2316^2+N2316^2)</f>
      </c>
      <c r="Q2316" s="7">
        <f>N2316/$P2316</f>
      </c>
      <c r="R2316" s="7">
        <f>O2316/$P2316</f>
      </c>
      <c r="S2316" s="8">
        <f>Q2316^2+R2316^2</f>
      </c>
      <c r="T2316" s="7">
        <f>-R2316</f>
      </c>
      <c r="U2316" s="7">
        <f>Q2316</f>
      </c>
      <c r="V2316" s="7">
        <f>($C$14+($C$15-$C$14)/($D$15-$D$14)*(I2316-$D$14))/2</f>
      </c>
      <c r="W2316" s="7">
        <f>($B$22*I2316^4+$C$22*I2316^3+$D$22*I2316^2+$E$22*I2316+$F$22)/2</f>
      </c>
      <c r="X2316" s="7">
        <f>($W2316)*(T2316)</f>
      </c>
      <c r="Y2316" s="7">
        <f>($W2316)*(U2316)</f>
      </c>
      <c r="Z2316" s="7">
        <f>SQRT(X2316^2+Y2316^2)</f>
      </c>
      <c r="AA2316" s="7">
        <f>$K2316+$X2316</f>
      </c>
      <c r="AB2316" s="7">
        <f>$L2316+$Y2316</f>
      </c>
      <c r="AC2316" s="7">
        <f>$K2316-$X2316</f>
      </c>
      <c r="AD2316" s="7">
        <f>$L2316-$Y2316</f>
      </c>
      <c r="AE2316" s="7">
        <f>AA2316/39.3701</f>
      </c>
      <c r="AF2316" s="7">
        <f>AB2316/39.3701</f>
      </c>
      <c r="AG2316" s="7">
        <f>AC2316/39.3701</f>
      </c>
      <c r="AH2316" s="7">
        <f>AD2316/39.3701</f>
      </c>
      <c r="AI2316" s="1"/>
      <c r="AJ2316" s="1"/>
      <c r="AK2316" s="1"/>
      <c r="AL2316" s="1"/>
      <c r="AM2316" s="2"/>
      <c r="AN2316" s="1"/>
      <c r="AO2316" s="1"/>
      <c r="AP2316" s="1"/>
      <c r="AQ2316" s="1"/>
      <c r="AR2316" s="1"/>
      <c r="AS2316" s="1"/>
      <c r="AT2316" s="1"/>
      <c r="AU2316" s="1"/>
      <c r="AV2316" s="1"/>
      <c r="AW2316" s="1"/>
      <c r="AX2316" s="1"/>
      <c r="AY2316" s="1"/>
      <c r="AZ2316" s="1"/>
      <c r="BA2316" s="1"/>
      <c r="BB2316" s="1"/>
      <c r="BC2316" s="1"/>
      <c r="BD2316" s="1"/>
      <c r="BE2316" s="1"/>
    </row>
    <row x14ac:dyDescent="0.25" r="2317" customHeight="1" ht="18.75">
      <c r="A2317" s="1"/>
      <c r="B2317" s="2"/>
      <c r="C2317" s="2"/>
      <c r="D2317" s="2"/>
      <c r="E2317" s="2"/>
      <c r="F2317" s="2"/>
      <c r="G2317" s="1"/>
      <c r="H2317" s="1"/>
      <c r="I2317" s="7">
        <v>2.314</v>
      </c>
      <c r="J2317" s="7">
        <f>IF((I2317-ROUNDDOWN(I2317,0))=0, 0, (I2317-ROUNDDOWN(I2317,0)))</f>
      </c>
      <c r="K2317" s="7">
        <f>INDIRECT("C$"&amp;2+MIN(2,ROUNDDOWN(I2317,0))*3)*(-$J2317^3+3*$J2317^2-3*$J2317+1)+INDIRECT("C$"&amp;3+MIN(2,ROUNDDOWN(I2317,0))*3)*(3*$J2317^3-6*$J2317^2+3*$J2317)+INDIRECT("C$"&amp;4+MIN(2,ROUNDDOWN(I2317,0))*3)*(-3*$J2317^3+3*$J2317^2)+INDIRECT("C$"&amp;5+MIN(2,ROUNDDOWN(I2317,0))*3)*$J2317^3</f>
      </c>
      <c r="L2317" s="7">
        <f>INDIRECT("D$"&amp;2+MIN(2,ROUNDDOWN(I2317,0))*3)*(-$J2317^3+3*$J2317^2-3*$J2317+1)+INDIRECT("D$"&amp;3+MIN(2,ROUNDDOWN(I2317,0))*3)*(3*$J2317^3-6*$J2317^2+3*$J2317)+INDIRECT("D$"&amp;4+MIN(2,ROUNDDOWN(I2317,0))*3)*(-3*$J2317^3+3*$J2317^2)+INDIRECT("D$"&amp;5+MIN(2,ROUNDDOWN(I2317,0))*3)*$J2317^3</f>
      </c>
      <c r="M2317" s="7">
        <f>SQRT(K2317^2+L2317^2)</f>
      </c>
      <c r="N2317" s="7">
        <f>(K2318-K2316)</f>
      </c>
      <c r="O2317" s="7">
        <f>+(L2318-L2316)</f>
      </c>
      <c r="P2317" s="7">
        <f>SQRT(O2317^2+N2317^2)</f>
      </c>
      <c r="Q2317" s="7">
        <f>N2317/$P2317</f>
      </c>
      <c r="R2317" s="7">
        <f>O2317/$P2317</f>
      </c>
      <c r="S2317" s="8">
        <f>Q2317^2+R2317^2</f>
      </c>
      <c r="T2317" s="7">
        <f>-R2317</f>
      </c>
      <c r="U2317" s="7">
        <f>Q2317</f>
      </c>
      <c r="V2317" s="7">
        <f>($C$14+($C$15-$C$14)/($D$15-$D$14)*(I2317-$D$14))/2</f>
      </c>
      <c r="W2317" s="7">
        <f>($B$22*I2317^4+$C$22*I2317^3+$D$22*I2317^2+$E$22*I2317+$F$22)/2</f>
      </c>
      <c r="X2317" s="7">
        <f>($W2317)*(T2317)</f>
      </c>
      <c r="Y2317" s="7">
        <f>($W2317)*(U2317)</f>
      </c>
      <c r="Z2317" s="7">
        <f>SQRT(X2317^2+Y2317^2)</f>
      </c>
      <c r="AA2317" s="7">
        <f>$K2317+$X2317</f>
      </c>
      <c r="AB2317" s="7">
        <f>$L2317+$Y2317</f>
      </c>
      <c r="AC2317" s="7">
        <f>$K2317-$X2317</f>
      </c>
      <c r="AD2317" s="7">
        <f>$L2317-$Y2317</f>
      </c>
      <c r="AE2317" s="7">
        <f>AA2317/39.3701</f>
      </c>
      <c r="AF2317" s="7">
        <f>AB2317/39.3701</f>
      </c>
      <c r="AG2317" s="7">
        <f>AC2317/39.3701</f>
      </c>
      <c r="AH2317" s="7">
        <f>AD2317/39.3701</f>
      </c>
      <c r="AI2317" s="1"/>
      <c r="AJ2317" s="1"/>
      <c r="AK2317" s="1"/>
      <c r="AL2317" s="1"/>
      <c r="AM2317" s="2"/>
      <c r="AN2317" s="1"/>
      <c r="AO2317" s="1"/>
      <c r="AP2317" s="1"/>
      <c r="AQ2317" s="1"/>
      <c r="AR2317" s="1"/>
      <c r="AS2317" s="1"/>
      <c r="AT2317" s="1"/>
      <c r="AU2317" s="1"/>
      <c r="AV2317" s="1"/>
      <c r="AW2317" s="1"/>
      <c r="AX2317" s="1"/>
      <c r="AY2317" s="1"/>
      <c r="AZ2317" s="1"/>
      <c r="BA2317" s="1"/>
      <c r="BB2317" s="1"/>
      <c r="BC2317" s="1"/>
      <c r="BD2317" s="1"/>
      <c r="BE2317" s="1"/>
    </row>
    <row x14ac:dyDescent="0.25" r="2318" customHeight="1" ht="18.75">
      <c r="A2318" s="1"/>
      <c r="B2318" s="2"/>
      <c r="C2318" s="2"/>
      <c r="D2318" s="2"/>
      <c r="E2318" s="2"/>
      <c r="F2318" s="2"/>
      <c r="G2318" s="1"/>
      <c r="H2318" s="1"/>
      <c r="I2318" s="7">
        <v>2.315</v>
      </c>
      <c r="J2318" s="7">
        <f>IF((I2318-ROUNDDOWN(I2318,0))=0, 0, (I2318-ROUNDDOWN(I2318,0)))</f>
      </c>
      <c r="K2318" s="7">
        <f>INDIRECT("C$"&amp;2+MIN(2,ROUNDDOWN(I2318,0))*3)*(-$J2318^3+3*$J2318^2-3*$J2318+1)+INDIRECT("C$"&amp;3+MIN(2,ROUNDDOWN(I2318,0))*3)*(3*$J2318^3-6*$J2318^2+3*$J2318)+INDIRECT("C$"&amp;4+MIN(2,ROUNDDOWN(I2318,0))*3)*(-3*$J2318^3+3*$J2318^2)+INDIRECT("C$"&amp;5+MIN(2,ROUNDDOWN(I2318,0))*3)*$J2318^3</f>
      </c>
      <c r="L2318" s="7">
        <f>INDIRECT("D$"&amp;2+MIN(2,ROUNDDOWN(I2318,0))*3)*(-$J2318^3+3*$J2318^2-3*$J2318+1)+INDIRECT("D$"&amp;3+MIN(2,ROUNDDOWN(I2318,0))*3)*(3*$J2318^3-6*$J2318^2+3*$J2318)+INDIRECT("D$"&amp;4+MIN(2,ROUNDDOWN(I2318,0))*3)*(-3*$J2318^3+3*$J2318^2)+INDIRECT("D$"&amp;5+MIN(2,ROUNDDOWN(I2318,0))*3)*$J2318^3</f>
      </c>
      <c r="M2318" s="7">
        <f>SQRT(K2318^2+L2318^2)</f>
      </c>
      <c r="N2318" s="7">
        <f>(K2319-K2317)</f>
      </c>
      <c r="O2318" s="7">
        <f>+(L2319-L2317)</f>
      </c>
      <c r="P2318" s="7">
        <f>SQRT(O2318^2+N2318^2)</f>
      </c>
      <c r="Q2318" s="7">
        <f>N2318/$P2318</f>
      </c>
      <c r="R2318" s="7">
        <f>O2318/$P2318</f>
      </c>
      <c r="S2318" s="8">
        <f>Q2318^2+R2318^2</f>
      </c>
      <c r="T2318" s="7">
        <f>-R2318</f>
      </c>
      <c r="U2318" s="7">
        <f>Q2318</f>
      </c>
      <c r="V2318" s="7">
        <f>($C$14+($C$15-$C$14)/($D$15-$D$14)*(I2318-$D$14))/2</f>
      </c>
      <c r="W2318" s="7">
        <f>($B$22*I2318^4+$C$22*I2318^3+$D$22*I2318^2+$E$22*I2318+$F$22)/2</f>
      </c>
      <c r="X2318" s="7">
        <f>($W2318)*(T2318)</f>
      </c>
      <c r="Y2318" s="7">
        <f>($W2318)*(U2318)</f>
      </c>
      <c r="Z2318" s="7">
        <f>SQRT(X2318^2+Y2318^2)</f>
      </c>
      <c r="AA2318" s="7">
        <f>$K2318+$X2318</f>
      </c>
      <c r="AB2318" s="7">
        <f>$L2318+$Y2318</f>
      </c>
      <c r="AC2318" s="7">
        <f>$K2318-$X2318</f>
      </c>
      <c r="AD2318" s="7">
        <f>$L2318-$Y2318</f>
      </c>
      <c r="AE2318" s="7">
        <f>AA2318/39.3701</f>
      </c>
      <c r="AF2318" s="7">
        <f>AB2318/39.3701</f>
      </c>
      <c r="AG2318" s="7">
        <f>AC2318/39.3701</f>
      </c>
      <c r="AH2318" s="7">
        <f>AD2318/39.3701</f>
      </c>
      <c r="AI2318" s="1"/>
      <c r="AJ2318" s="1"/>
      <c r="AK2318" s="1"/>
      <c r="AL2318" s="1"/>
      <c r="AM2318" s="2"/>
      <c r="AN2318" s="1"/>
      <c r="AO2318" s="1"/>
      <c r="AP2318" s="1"/>
      <c r="AQ2318" s="1"/>
      <c r="AR2318" s="1"/>
      <c r="AS2318" s="1"/>
      <c r="AT2318" s="1"/>
      <c r="AU2318" s="1"/>
      <c r="AV2318" s="1"/>
      <c r="AW2318" s="1"/>
      <c r="AX2318" s="1"/>
      <c r="AY2318" s="1"/>
      <c r="AZ2318" s="1"/>
      <c r="BA2318" s="1"/>
      <c r="BB2318" s="1"/>
      <c r="BC2318" s="1"/>
      <c r="BD2318" s="1"/>
      <c r="BE2318" s="1"/>
    </row>
    <row x14ac:dyDescent="0.25" r="2319" customHeight="1" ht="18.75">
      <c r="A2319" s="1"/>
      <c r="B2319" s="2"/>
      <c r="C2319" s="2"/>
      <c r="D2319" s="2"/>
      <c r="E2319" s="2"/>
      <c r="F2319" s="2"/>
      <c r="G2319" s="1"/>
      <c r="H2319" s="1"/>
      <c r="I2319" s="7">
        <v>2.316</v>
      </c>
      <c r="J2319" s="7">
        <f>IF((I2319-ROUNDDOWN(I2319,0))=0, 0, (I2319-ROUNDDOWN(I2319,0)))</f>
      </c>
      <c r="K2319" s="7">
        <f>INDIRECT("C$"&amp;2+MIN(2,ROUNDDOWN(I2319,0))*3)*(-$J2319^3+3*$J2319^2-3*$J2319+1)+INDIRECT("C$"&amp;3+MIN(2,ROUNDDOWN(I2319,0))*3)*(3*$J2319^3-6*$J2319^2+3*$J2319)+INDIRECT("C$"&amp;4+MIN(2,ROUNDDOWN(I2319,0))*3)*(-3*$J2319^3+3*$J2319^2)+INDIRECT("C$"&amp;5+MIN(2,ROUNDDOWN(I2319,0))*3)*$J2319^3</f>
      </c>
      <c r="L2319" s="7">
        <f>INDIRECT("D$"&amp;2+MIN(2,ROUNDDOWN(I2319,0))*3)*(-$J2319^3+3*$J2319^2-3*$J2319+1)+INDIRECT("D$"&amp;3+MIN(2,ROUNDDOWN(I2319,0))*3)*(3*$J2319^3-6*$J2319^2+3*$J2319)+INDIRECT("D$"&amp;4+MIN(2,ROUNDDOWN(I2319,0))*3)*(-3*$J2319^3+3*$J2319^2)+INDIRECT("D$"&amp;5+MIN(2,ROUNDDOWN(I2319,0))*3)*$J2319^3</f>
      </c>
      <c r="M2319" s="7">
        <f>SQRT(K2319^2+L2319^2)</f>
      </c>
      <c r="N2319" s="7">
        <f>(K2320-K2318)</f>
      </c>
      <c r="O2319" s="7">
        <f>+(L2320-L2318)</f>
      </c>
      <c r="P2319" s="7">
        <f>SQRT(O2319^2+N2319^2)</f>
      </c>
      <c r="Q2319" s="7">
        <f>N2319/$P2319</f>
      </c>
      <c r="R2319" s="7">
        <f>O2319/$P2319</f>
      </c>
      <c r="S2319" s="7">
        <f>Q2319^2+R2319^2</f>
      </c>
      <c r="T2319" s="7">
        <f>-R2319</f>
      </c>
      <c r="U2319" s="7">
        <f>Q2319</f>
      </c>
      <c r="V2319" s="7">
        <f>($C$14+($C$15-$C$14)/($D$15-$D$14)*(I2319-$D$14))/2</f>
      </c>
      <c r="W2319" s="7">
        <f>($B$22*I2319^4+$C$22*I2319^3+$D$22*I2319^2+$E$22*I2319+$F$22)/2</f>
      </c>
      <c r="X2319" s="7">
        <f>($W2319)*(T2319)</f>
      </c>
      <c r="Y2319" s="7">
        <f>($W2319)*(U2319)</f>
      </c>
      <c r="Z2319" s="7">
        <f>SQRT(X2319^2+Y2319^2)</f>
      </c>
      <c r="AA2319" s="7">
        <f>$K2319+$X2319</f>
      </c>
      <c r="AB2319" s="7">
        <f>$L2319+$Y2319</f>
      </c>
      <c r="AC2319" s="7">
        <f>$K2319-$X2319</f>
      </c>
      <c r="AD2319" s="7">
        <f>$L2319-$Y2319</f>
      </c>
      <c r="AE2319" s="7">
        <f>AA2319/39.3701</f>
      </c>
      <c r="AF2319" s="7">
        <f>AB2319/39.3701</f>
      </c>
      <c r="AG2319" s="7">
        <f>AC2319/39.3701</f>
      </c>
      <c r="AH2319" s="7">
        <f>AD2319/39.3701</f>
      </c>
      <c r="AI2319" s="1"/>
      <c r="AJ2319" s="1"/>
      <c r="AK2319" s="1"/>
      <c r="AL2319" s="1"/>
      <c r="AM2319" s="2"/>
      <c r="AN2319" s="1"/>
      <c r="AO2319" s="1"/>
      <c r="AP2319" s="1"/>
      <c r="AQ2319" s="1"/>
      <c r="AR2319" s="1"/>
      <c r="AS2319" s="1"/>
      <c r="AT2319" s="1"/>
      <c r="AU2319" s="1"/>
      <c r="AV2319" s="1"/>
      <c r="AW2319" s="1"/>
      <c r="AX2319" s="1"/>
      <c r="AY2319" s="1"/>
      <c r="AZ2319" s="1"/>
      <c r="BA2319" s="1"/>
      <c r="BB2319" s="1"/>
      <c r="BC2319" s="1"/>
      <c r="BD2319" s="1"/>
      <c r="BE2319" s="1"/>
    </row>
    <row x14ac:dyDescent="0.25" r="2320" customHeight="1" ht="18.75">
      <c r="A2320" s="1"/>
      <c r="B2320" s="2"/>
      <c r="C2320" s="2"/>
      <c r="D2320" s="2"/>
      <c r="E2320" s="2"/>
      <c r="F2320" s="2"/>
      <c r="G2320" s="1"/>
      <c r="H2320" s="1"/>
      <c r="I2320" s="7">
        <v>2.317</v>
      </c>
      <c r="J2320" s="7">
        <f>IF((I2320-ROUNDDOWN(I2320,0))=0, 0, (I2320-ROUNDDOWN(I2320,0)))</f>
      </c>
      <c r="K2320" s="7">
        <f>INDIRECT("C$"&amp;2+MIN(2,ROUNDDOWN(I2320,0))*3)*(-$J2320^3+3*$J2320^2-3*$J2320+1)+INDIRECT("C$"&amp;3+MIN(2,ROUNDDOWN(I2320,0))*3)*(3*$J2320^3-6*$J2320^2+3*$J2320)+INDIRECT("C$"&amp;4+MIN(2,ROUNDDOWN(I2320,0))*3)*(-3*$J2320^3+3*$J2320^2)+INDIRECT("C$"&amp;5+MIN(2,ROUNDDOWN(I2320,0))*3)*$J2320^3</f>
      </c>
      <c r="L2320" s="7">
        <f>INDIRECT("D$"&amp;2+MIN(2,ROUNDDOWN(I2320,0))*3)*(-$J2320^3+3*$J2320^2-3*$J2320+1)+INDIRECT("D$"&amp;3+MIN(2,ROUNDDOWN(I2320,0))*3)*(3*$J2320^3-6*$J2320^2+3*$J2320)+INDIRECT("D$"&amp;4+MIN(2,ROUNDDOWN(I2320,0))*3)*(-3*$J2320^3+3*$J2320^2)+INDIRECT("D$"&amp;5+MIN(2,ROUNDDOWN(I2320,0))*3)*$J2320^3</f>
      </c>
      <c r="M2320" s="7">
        <f>SQRT(K2320^2+L2320^2)</f>
      </c>
      <c r="N2320" s="7">
        <f>(K2321-K2319)</f>
      </c>
      <c r="O2320" s="7">
        <f>+(L2321-L2319)</f>
      </c>
      <c r="P2320" s="7">
        <f>SQRT(O2320^2+N2320^2)</f>
      </c>
      <c r="Q2320" s="7">
        <f>N2320/$P2320</f>
      </c>
      <c r="R2320" s="7">
        <f>O2320/$P2320</f>
      </c>
      <c r="S2320" s="7">
        <f>Q2320^2+R2320^2</f>
      </c>
      <c r="T2320" s="7">
        <f>-R2320</f>
      </c>
      <c r="U2320" s="7">
        <f>Q2320</f>
      </c>
      <c r="V2320" s="7">
        <f>($C$14+($C$15-$C$14)/($D$15-$D$14)*(I2320-$D$14))/2</f>
      </c>
      <c r="W2320" s="7">
        <f>($B$22*I2320^4+$C$22*I2320^3+$D$22*I2320^2+$E$22*I2320+$F$22)/2</f>
      </c>
      <c r="X2320" s="7">
        <f>($W2320)*(T2320)</f>
      </c>
      <c r="Y2320" s="7">
        <f>($W2320)*(U2320)</f>
      </c>
      <c r="Z2320" s="7">
        <f>SQRT(X2320^2+Y2320^2)</f>
      </c>
      <c r="AA2320" s="7">
        <f>$K2320+$X2320</f>
      </c>
      <c r="AB2320" s="7">
        <f>$L2320+$Y2320</f>
      </c>
      <c r="AC2320" s="7">
        <f>$K2320-$X2320</f>
      </c>
      <c r="AD2320" s="7">
        <f>$L2320-$Y2320</f>
      </c>
      <c r="AE2320" s="7">
        <f>AA2320/39.3701</f>
      </c>
      <c r="AF2320" s="7">
        <f>AB2320/39.3701</f>
      </c>
      <c r="AG2320" s="7">
        <f>AC2320/39.3701</f>
      </c>
      <c r="AH2320" s="7">
        <f>AD2320/39.3701</f>
      </c>
      <c r="AI2320" s="1"/>
      <c r="AJ2320" s="1"/>
      <c r="AK2320" s="1"/>
      <c r="AL2320" s="1"/>
      <c r="AM2320" s="2"/>
      <c r="AN2320" s="1"/>
      <c r="AO2320" s="1"/>
      <c r="AP2320" s="1"/>
      <c r="AQ2320" s="1"/>
      <c r="AR2320" s="1"/>
      <c r="AS2320" s="1"/>
      <c r="AT2320" s="1"/>
      <c r="AU2320" s="1"/>
      <c r="AV2320" s="1"/>
      <c r="AW2320" s="1"/>
      <c r="AX2320" s="1"/>
      <c r="AY2320" s="1"/>
      <c r="AZ2320" s="1"/>
      <c r="BA2320" s="1"/>
      <c r="BB2320" s="1"/>
      <c r="BC2320" s="1"/>
      <c r="BD2320" s="1"/>
      <c r="BE2320" s="1"/>
    </row>
    <row x14ac:dyDescent="0.25" r="2321" customHeight="1" ht="18.75">
      <c r="A2321" s="1"/>
      <c r="B2321" s="2"/>
      <c r="C2321" s="2"/>
      <c r="D2321" s="2"/>
      <c r="E2321" s="2"/>
      <c r="F2321" s="2"/>
      <c r="G2321" s="1"/>
      <c r="H2321" s="1"/>
      <c r="I2321" s="7">
        <v>2.318</v>
      </c>
      <c r="J2321" s="7">
        <f>IF((I2321-ROUNDDOWN(I2321,0))=0, 0, (I2321-ROUNDDOWN(I2321,0)))</f>
      </c>
      <c r="K2321" s="7">
        <f>INDIRECT("C$"&amp;2+MIN(2,ROUNDDOWN(I2321,0))*3)*(-$J2321^3+3*$J2321^2-3*$J2321+1)+INDIRECT("C$"&amp;3+MIN(2,ROUNDDOWN(I2321,0))*3)*(3*$J2321^3-6*$J2321^2+3*$J2321)+INDIRECT("C$"&amp;4+MIN(2,ROUNDDOWN(I2321,0))*3)*(-3*$J2321^3+3*$J2321^2)+INDIRECT("C$"&amp;5+MIN(2,ROUNDDOWN(I2321,0))*3)*$J2321^3</f>
      </c>
      <c r="L2321" s="7">
        <f>INDIRECT("D$"&amp;2+MIN(2,ROUNDDOWN(I2321,0))*3)*(-$J2321^3+3*$J2321^2-3*$J2321+1)+INDIRECT("D$"&amp;3+MIN(2,ROUNDDOWN(I2321,0))*3)*(3*$J2321^3-6*$J2321^2+3*$J2321)+INDIRECT("D$"&amp;4+MIN(2,ROUNDDOWN(I2321,0))*3)*(-3*$J2321^3+3*$J2321^2)+INDIRECT("D$"&amp;5+MIN(2,ROUNDDOWN(I2321,0))*3)*$J2321^3</f>
      </c>
      <c r="M2321" s="7">
        <f>SQRT(K2321^2+L2321^2)</f>
      </c>
      <c r="N2321" s="7">
        <f>(K2322-K2320)</f>
      </c>
      <c r="O2321" s="7">
        <f>+(L2322-L2320)</f>
      </c>
      <c r="P2321" s="7">
        <f>SQRT(O2321^2+N2321^2)</f>
      </c>
      <c r="Q2321" s="7">
        <f>N2321/$P2321</f>
      </c>
      <c r="R2321" s="7">
        <f>O2321/$P2321</f>
      </c>
      <c r="S2321" s="8">
        <f>Q2321^2+R2321^2</f>
      </c>
      <c r="T2321" s="7">
        <f>-R2321</f>
      </c>
      <c r="U2321" s="7">
        <f>Q2321</f>
      </c>
      <c r="V2321" s="7">
        <f>($C$14+($C$15-$C$14)/($D$15-$D$14)*(I2321-$D$14))/2</f>
      </c>
      <c r="W2321" s="7">
        <f>($B$22*I2321^4+$C$22*I2321^3+$D$22*I2321^2+$E$22*I2321+$F$22)/2</f>
      </c>
      <c r="X2321" s="7">
        <f>($W2321)*(T2321)</f>
      </c>
      <c r="Y2321" s="7">
        <f>($W2321)*(U2321)</f>
      </c>
      <c r="Z2321" s="7">
        <f>SQRT(X2321^2+Y2321^2)</f>
      </c>
      <c r="AA2321" s="7">
        <f>$K2321+$X2321</f>
      </c>
      <c r="AB2321" s="7">
        <f>$L2321+$Y2321</f>
      </c>
      <c r="AC2321" s="7">
        <f>$K2321-$X2321</f>
      </c>
      <c r="AD2321" s="7">
        <f>$L2321-$Y2321</f>
      </c>
      <c r="AE2321" s="7">
        <f>AA2321/39.3701</f>
      </c>
      <c r="AF2321" s="7">
        <f>AB2321/39.3701</f>
      </c>
      <c r="AG2321" s="7">
        <f>AC2321/39.3701</f>
      </c>
      <c r="AH2321" s="7">
        <f>AD2321/39.3701</f>
      </c>
      <c r="AI2321" s="1"/>
      <c r="AJ2321" s="1"/>
      <c r="AK2321" s="1"/>
      <c r="AL2321" s="1"/>
      <c r="AM2321" s="2"/>
      <c r="AN2321" s="1"/>
      <c r="AO2321" s="1"/>
      <c r="AP2321" s="1"/>
      <c r="AQ2321" s="1"/>
      <c r="AR2321" s="1"/>
      <c r="AS2321" s="1"/>
      <c r="AT2321" s="1"/>
      <c r="AU2321" s="1"/>
      <c r="AV2321" s="1"/>
      <c r="AW2321" s="1"/>
      <c r="AX2321" s="1"/>
      <c r="AY2321" s="1"/>
      <c r="AZ2321" s="1"/>
      <c r="BA2321" s="1"/>
      <c r="BB2321" s="1"/>
      <c r="BC2321" s="1"/>
      <c r="BD2321" s="1"/>
      <c r="BE2321" s="1"/>
    </row>
    <row x14ac:dyDescent="0.25" r="2322" customHeight="1" ht="18.75">
      <c r="A2322" s="1"/>
      <c r="B2322" s="2"/>
      <c r="C2322" s="2"/>
      <c r="D2322" s="2"/>
      <c r="E2322" s="2"/>
      <c r="F2322" s="2"/>
      <c r="G2322" s="1"/>
      <c r="H2322" s="1"/>
      <c r="I2322" s="7">
        <v>2.319</v>
      </c>
      <c r="J2322" s="7">
        <f>IF((I2322-ROUNDDOWN(I2322,0))=0, 0, (I2322-ROUNDDOWN(I2322,0)))</f>
      </c>
      <c r="K2322" s="7">
        <f>INDIRECT("C$"&amp;2+MIN(2,ROUNDDOWN(I2322,0))*3)*(-$J2322^3+3*$J2322^2-3*$J2322+1)+INDIRECT("C$"&amp;3+MIN(2,ROUNDDOWN(I2322,0))*3)*(3*$J2322^3-6*$J2322^2+3*$J2322)+INDIRECT("C$"&amp;4+MIN(2,ROUNDDOWN(I2322,0))*3)*(-3*$J2322^3+3*$J2322^2)+INDIRECT("C$"&amp;5+MIN(2,ROUNDDOWN(I2322,0))*3)*$J2322^3</f>
      </c>
      <c r="L2322" s="7">
        <f>INDIRECT("D$"&amp;2+MIN(2,ROUNDDOWN(I2322,0))*3)*(-$J2322^3+3*$J2322^2-3*$J2322+1)+INDIRECT("D$"&amp;3+MIN(2,ROUNDDOWN(I2322,0))*3)*(3*$J2322^3-6*$J2322^2+3*$J2322)+INDIRECT("D$"&amp;4+MIN(2,ROUNDDOWN(I2322,0))*3)*(-3*$J2322^3+3*$J2322^2)+INDIRECT("D$"&amp;5+MIN(2,ROUNDDOWN(I2322,0))*3)*$J2322^3</f>
      </c>
      <c r="M2322" s="7">
        <f>SQRT(K2322^2+L2322^2)</f>
      </c>
      <c r="N2322" s="7">
        <f>(K2323-K2321)</f>
      </c>
      <c r="O2322" s="7">
        <f>+(L2323-L2321)</f>
      </c>
      <c r="P2322" s="7">
        <f>SQRT(O2322^2+N2322^2)</f>
      </c>
      <c r="Q2322" s="7">
        <f>N2322/$P2322</f>
      </c>
      <c r="R2322" s="7">
        <f>O2322/$P2322</f>
      </c>
      <c r="S2322" s="7">
        <f>Q2322^2+R2322^2</f>
      </c>
      <c r="T2322" s="7">
        <f>-R2322</f>
      </c>
      <c r="U2322" s="7">
        <f>Q2322</f>
      </c>
      <c r="V2322" s="7">
        <f>($C$14+($C$15-$C$14)/($D$15-$D$14)*(I2322-$D$14))/2</f>
      </c>
      <c r="W2322" s="7">
        <f>($B$22*I2322^4+$C$22*I2322^3+$D$22*I2322^2+$E$22*I2322+$F$22)/2</f>
      </c>
      <c r="X2322" s="7">
        <f>($W2322)*(T2322)</f>
      </c>
      <c r="Y2322" s="7">
        <f>($W2322)*(U2322)</f>
      </c>
      <c r="Z2322" s="7">
        <f>SQRT(X2322^2+Y2322^2)</f>
      </c>
      <c r="AA2322" s="7">
        <f>$K2322+$X2322</f>
      </c>
      <c r="AB2322" s="7">
        <f>$L2322+$Y2322</f>
      </c>
      <c r="AC2322" s="7">
        <f>$K2322-$X2322</f>
      </c>
      <c r="AD2322" s="7">
        <f>$L2322-$Y2322</f>
      </c>
      <c r="AE2322" s="7">
        <f>AA2322/39.3701</f>
      </c>
      <c r="AF2322" s="7">
        <f>AB2322/39.3701</f>
      </c>
      <c r="AG2322" s="7">
        <f>AC2322/39.3701</f>
      </c>
      <c r="AH2322" s="7">
        <f>AD2322/39.3701</f>
      </c>
      <c r="AI2322" s="1"/>
      <c r="AJ2322" s="1"/>
      <c r="AK2322" s="1"/>
      <c r="AL2322" s="1"/>
      <c r="AM2322" s="2"/>
      <c r="AN2322" s="1"/>
      <c r="AO2322" s="1"/>
      <c r="AP2322" s="1"/>
      <c r="AQ2322" s="1"/>
      <c r="AR2322" s="1"/>
      <c r="AS2322" s="1"/>
      <c r="AT2322" s="1"/>
      <c r="AU2322" s="1"/>
      <c r="AV2322" s="1"/>
      <c r="AW2322" s="1"/>
      <c r="AX2322" s="1"/>
      <c r="AY2322" s="1"/>
      <c r="AZ2322" s="1"/>
      <c r="BA2322" s="1"/>
      <c r="BB2322" s="1"/>
      <c r="BC2322" s="1"/>
      <c r="BD2322" s="1"/>
      <c r="BE2322" s="1"/>
    </row>
    <row x14ac:dyDescent="0.25" r="2323" customHeight="1" ht="18.75">
      <c r="A2323" s="1"/>
      <c r="B2323" s="2"/>
      <c r="C2323" s="2"/>
      <c r="D2323" s="2"/>
      <c r="E2323" s="2"/>
      <c r="F2323" s="2"/>
      <c r="G2323" s="1"/>
      <c r="H2323" s="1"/>
      <c r="I2323" s="7">
        <v>2.32</v>
      </c>
      <c r="J2323" s="7">
        <f>IF((I2323-ROUNDDOWN(I2323,0))=0, 0, (I2323-ROUNDDOWN(I2323,0)))</f>
      </c>
      <c r="K2323" s="7">
        <f>INDIRECT("C$"&amp;2+MIN(2,ROUNDDOWN(I2323,0))*3)*(-$J2323^3+3*$J2323^2-3*$J2323+1)+INDIRECT("C$"&amp;3+MIN(2,ROUNDDOWN(I2323,0))*3)*(3*$J2323^3-6*$J2323^2+3*$J2323)+INDIRECT("C$"&amp;4+MIN(2,ROUNDDOWN(I2323,0))*3)*(-3*$J2323^3+3*$J2323^2)+INDIRECT("C$"&amp;5+MIN(2,ROUNDDOWN(I2323,0))*3)*$J2323^3</f>
      </c>
      <c r="L2323" s="7">
        <f>INDIRECT("D$"&amp;2+MIN(2,ROUNDDOWN(I2323,0))*3)*(-$J2323^3+3*$J2323^2-3*$J2323+1)+INDIRECT("D$"&amp;3+MIN(2,ROUNDDOWN(I2323,0))*3)*(3*$J2323^3-6*$J2323^2+3*$J2323)+INDIRECT("D$"&amp;4+MIN(2,ROUNDDOWN(I2323,0))*3)*(-3*$J2323^3+3*$J2323^2)+INDIRECT("D$"&amp;5+MIN(2,ROUNDDOWN(I2323,0))*3)*$J2323^3</f>
      </c>
      <c r="M2323" s="7">
        <f>SQRT(K2323^2+L2323^2)</f>
      </c>
      <c r="N2323" s="7">
        <f>(K2324-K2322)</f>
      </c>
      <c r="O2323" s="7">
        <f>+(L2324-L2322)</f>
      </c>
      <c r="P2323" s="7">
        <f>SQRT(O2323^2+N2323^2)</f>
      </c>
      <c r="Q2323" s="7">
        <f>N2323/$P2323</f>
      </c>
      <c r="R2323" s="7">
        <f>O2323/$P2323</f>
      </c>
      <c r="S2323" s="8">
        <f>Q2323^2+R2323^2</f>
      </c>
      <c r="T2323" s="7">
        <f>-R2323</f>
      </c>
      <c r="U2323" s="7">
        <f>Q2323</f>
      </c>
      <c r="V2323" s="7">
        <f>($C$14+($C$15-$C$14)/($D$15-$D$14)*(I2323-$D$14))/2</f>
      </c>
      <c r="W2323" s="7">
        <f>($B$22*I2323^4+$C$22*I2323^3+$D$22*I2323^2+$E$22*I2323+$F$22)/2</f>
      </c>
      <c r="X2323" s="7">
        <f>($W2323)*(T2323)</f>
      </c>
      <c r="Y2323" s="7">
        <f>($W2323)*(U2323)</f>
      </c>
      <c r="Z2323" s="7">
        <f>SQRT(X2323^2+Y2323^2)</f>
      </c>
      <c r="AA2323" s="7">
        <f>$K2323+$X2323</f>
      </c>
      <c r="AB2323" s="7">
        <f>$L2323+$Y2323</f>
      </c>
      <c r="AC2323" s="7">
        <f>$K2323-$X2323</f>
      </c>
      <c r="AD2323" s="7">
        <f>$L2323-$Y2323</f>
      </c>
      <c r="AE2323" s="7">
        <f>AA2323/39.3701</f>
      </c>
      <c r="AF2323" s="7">
        <f>AB2323/39.3701</f>
      </c>
      <c r="AG2323" s="7">
        <f>AC2323/39.3701</f>
      </c>
      <c r="AH2323" s="7">
        <f>AD2323/39.3701</f>
      </c>
      <c r="AI2323" s="1"/>
      <c r="AJ2323" s="1"/>
      <c r="AK2323" s="1"/>
      <c r="AL2323" s="1"/>
      <c r="AM2323" s="2"/>
      <c r="AN2323" s="1"/>
      <c r="AO2323" s="1"/>
      <c r="AP2323" s="1"/>
      <c r="AQ2323" s="1"/>
      <c r="AR2323" s="1"/>
      <c r="AS2323" s="1"/>
      <c r="AT2323" s="1"/>
      <c r="AU2323" s="1"/>
      <c r="AV2323" s="1"/>
      <c r="AW2323" s="1"/>
      <c r="AX2323" s="1"/>
      <c r="AY2323" s="1"/>
      <c r="AZ2323" s="1"/>
      <c r="BA2323" s="1"/>
      <c r="BB2323" s="1"/>
      <c r="BC2323" s="1"/>
      <c r="BD2323" s="1"/>
      <c r="BE2323" s="1"/>
    </row>
    <row x14ac:dyDescent="0.25" r="2324" customHeight="1" ht="18.75">
      <c r="A2324" s="1"/>
      <c r="B2324" s="2"/>
      <c r="C2324" s="2"/>
      <c r="D2324" s="2"/>
      <c r="E2324" s="2"/>
      <c r="F2324" s="2"/>
      <c r="G2324" s="1"/>
      <c r="H2324" s="1"/>
      <c r="I2324" s="7">
        <v>2.321</v>
      </c>
      <c r="J2324" s="7">
        <f>IF((I2324-ROUNDDOWN(I2324,0))=0, 0, (I2324-ROUNDDOWN(I2324,0)))</f>
      </c>
      <c r="K2324" s="7">
        <f>INDIRECT("C$"&amp;2+MIN(2,ROUNDDOWN(I2324,0))*3)*(-$J2324^3+3*$J2324^2-3*$J2324+1)+INDIRECT("C$"&amp;3+MIN(2,ROUNDDOWN(I2324,0))*3)*(3*$J2324^3-6*$J2324^2+3*$J2324)+INDIRECT("C$"&amp;4+MIN(2,ROUNDDOWN(I2324,0))*3)*(-3*$J2324^3+3*$J2324^2)+INDIRECT("C$"&amp;5+MIN(2,ROUNDDOWN(I2324,0))*3)*$J2324^3</f>
      </c>
      <c r="L2324" s="7">
        <f>INDIRECT("D$"&amp;2+MIN(2,ROUNDDOWN(I2324,0))*3)*(-$J2324^3+3*$J2324^2-3*$J2324+1)+INDIRECT("D$"&amp;3+MIN(2,ROUNDDOWN(I2324,0))*3)*(3*$J2324^3-6*$J2324^2+3*$J2324)+INDIRECT("D$"&amp;4+MIN(2,ROUNDDOWN(I2324,0))*3)*(-3*$J2324^3+3*$J2324^2)+INDIRECT("D$"&amp;5+MIN(2,ROUNDDOWN(I2324,0))*3)*$J2324^3</f>
      </c>
      <c r="M2324" s="7">
        <f>SQRT(K2324^2+L2324^2)</f>
      </c>
      <c r="N2324" s="7">
        <f>(K2325-K2323)</f>
      </c>
      <c r="O2324" s="7">
        <f>+(L2325-L2323)</f>
      </c>
      <c r="P2324" s="7">
        <f>SQRT(O2324^2+N2324^2)</f>
      </c>
      <c r="Q2324" s="7">
        <f>N2324/$P2324</f>
      </c>
      <c r="R2324" s="7">
        <f>O2324/$P2324</f>
      </c>
      <c r="S2324" s="7">
        <f>Q2324^2+R2324^2</f>
      </c>
      <c r="T2324" s="7">
        <f>-R2324</f>
      </c>
      <c r="U2324" s="7">
        <f>Q2324</f>
      </c>
      <c r="V2324" s="7">
        <f>($C$14+($C$15-$C$14)/($D$15-$D$14)*(I2324-$D$14))/2</f>
      </c>
      <c r="W2324" s="7">
        <f>($B$22*I2324^4+$C$22*I2324^3+$D$22*I2324^2+$E$22*I2324+$F$22)/2</f>
      </c>
      <c r="X2324" s="7">
        <f>($W2324)*(T2324)</f>
      </c>
      <c r="Y2324" s="7">
        <f>($W2324)*(U2324)</f>
      </c>
      <c r="Z2324" s="7">
        <f>SQRT(X2324^2+Y2324^2)</f>
      </c>
      <c r="AA2324" s="7">
        <f>$K2324+$X2324</f>
      </c>
      <c r="AB2324" s="7">
        <f>$L2324+$Y2324</f>
      </c>
      <c r="AC2324" s="7">
        <f>$K2324-$X2324</f>
      </c>
      <c r="AD2324" s="7">
        <f>$L2324-$Y2324</f>
      </c>
      <c r="AE2324" s="7">
        <f>AA2324/39.3701</f>
      </c>
      <c r="AF2324" s="7">
        <f>AB2324/39.3701</f>
      </c>
      <c r="AG2324" s="7">
        <f>AC2324/39.3701</f>
      </c>
      <c r="AH2324" s="7">
        <f>AD2324/39.3701</f>
      </c>
      <c r="AI2324" s="1"/>
      <c r="AJ2324" s="1"/>
      <c r="AK2324" s="1"/>
      <c r="AL2324" s="1"/>
      <c r="AM2324" s="2"/>
      <c r="AN2324" s="1"/>
      <c r="AO2324" s="1"/>
      <c r="AP2324" s="1"/>
      <c r="AQ2324" s="1"/>
      <c r="AR2324" s="1"/>
      <c r="AS2324" s="1"/>
      <c r="AT2324" s="1"/>
      <c r="AU2324" s="1"/>
      <c r="AV2324" s="1"/>
      <c r="AW2324" s="1"/>
      <c r="AX2324" s="1"/>
      <c r="AY2324" s="1"/>
      <c r="AZ2324" s="1"/>
      <c r="BA2324" s="1"/>
      <c r="BB2324" s="1"/>
      <c r="BC2324" s="1"/>
      <c r="BD2324" s="1"/>
      <c r="BE2324" s="1"/>
    </row>
    <row x14ac:dyDescent="0.25" r="2325" customHeight="1" ht="18.75">
      <c r="A2325" s="1"/>
      <c r="B2325" s="2"/>
      <c r="C2325" s="2"/>
      <c r="D2325" s="2"/>
      <c r="E2325" s="2"/>
      <c r="F2325" s="2"/>
      <c r="G2325" s="1"/>
      <c r="H2325" s="1"/>
      <c r="I2325" s="7">
        <v>2.322</v>
      </c>
      <c r="J2325" s="7">
        <f>IF((I2325-ROUNDDOWN(I2325,0))=0, 0, (I2325-ROUNDDOWN(I2325,0)))</f>
      </c>
      <c r="K2325" s="7">
        <f>INDIRECT("C$"&amp;2+MIN(2,ROUNDDOWN(I2325,0))*3)*(-$J2325^3+3*$J2325^2-3*$J2325+1)+INDIRECT("C$"&amp;3+MIN(2,ROUNDDOWN(I2325,0))*3)*(3*$J2325^3-6*$J2325^2+3*$J2325)+INDIRECT("C$"&amp;4+MIN(2,ROUNDDOWN(I2325,0))*3)*(-3*$J2325^3+3*$J2325^2)+INDIRECT("C$"&amp;5+MIN(2,ROUNDDOWN(I2325,0))*3)*$J2325^3</f>
      </c>
      <c r="L2325" s="7">
        <f>INDIRECT("D$"&amp;2+MIN(2,ROUNDDOWN(I2325,0))*3)*(-$J2325^3+3*$J2325^2-3*$J2325+1)+INDIRECT("D$"&amp;3+MIN(2,ROUNDDOWN(I2325,0))*3)*(3*$J2325^3-6*$J2325^2+3*$J2325)+INDIRECT("D$"&amp;4+MIN(2,ROUNDDOWN(I2325,0))*3)*(-3*$J2325^3+3*$J2325^2)+INDIRECT("D$"&amp;5+MIN(2,ROUNDDOWN(I2325,0))*3)*$J2325^3</f>
      </c>
      <c r="M2325" s="7">
        <f>SQRT(K2325^2+L2325^2)</f>
      </c>
      <c r="N2325" s="7">
        <f>(K2326-K2324)</f>
      </c>
      <c r="O2325" s="7">
        <f>+(L2326-L2324)</f>
      </c>
      <c r="P2325" s="7">
        <f>SQRT(O2325^2+N2325^2)</f>
      </c>
      <c r="Q2325" s="7">
        <f>N2325/$P2325</f>
      </c>
      <c r="R2325" s="7">
        <f>O2325/$P2325</f>
      </c>
      <c r="S2325" s="8">
        <f>Q2325^2+R2325^2</f>
      </c>
      <c r="T2325" s="7">
        <f>-R2325</f>
      </c>
      <c r="U2325" s="7">
        <f>Q2325</f>
      </c>
      <c r="V2325" s="7">
        <f>($C$14+($C$15-$C$14)/($D$15-$D$14)*(I2325-$D$14))/2</f>
      </c>
      <c r="W2325" s="7">
        <f>($B$22*I2325^4+$C$22*I2325^3+$D$22*I2325^2+$E$22*I2325+$F$22)/2</f>
      </c>
      <c r="X2325" s="7">
        <f>($W2325)*(T2325)</f>
      </c>
      <c r="Y2325" s="7">
        <f>($W2325)*(U2325)</f>
      </c>
      <c r="Z2325" s="7">
        <f>SQRT(X2325^2+Y2325^2)</f>
      </c>
      <c r="AA2325" s="7">
        <f>$K2325+$X2325</f>
      </c>
      <c r="AB2325" s="7">
        <f>$L2325+$Y2325</f>
      </c>
      <c r="AC2325" s="7">
        <f>$K2325-$X2325</f>
      </c>
      <c r="AD2325" s="7">
        <f>$L2325-$Y2325</f>
      </c>
      <c r="AE2325" s="7">
        <f>AA2325/39.3701</f>
      </c>
      <c r="AF2325" s="7">
        <f>AB2325/39.3701</f>
      </c>
      <c r="AG2325" s="7">
        <f>AC2325/39.3701</f>
      </c>
      <c r="AH2325" s="7">
        <f>AD2325/39.3701</f>
      </c>
      <c r="AI2325" s="1"/>
      <c r="AJ2325" s="1"/>
      <c r="AK2325" s="1"/>
      <c r="AL2325" s="1"/>
      <c r="AM2325" s="2"/>
      <c r="AN2325" s="1"/>
      <c r="AO2325" s="1"/>
      <c r="AP2325" s="1"/>
      <c r="AQ2325" s="1"/>
      <c r="AR2325" s="1"/>
      <c r="AS2325" s="1"/>
      <c r="AT2325" s="1"/>
      <c r="AU2325" s="1"/>
      <c r="AV2325" s="1"/>
      <c r="AW2325" s="1"/>
      <c r="AX2325" s="1"/>
      <c r="AY2325" s="1"/>
      <c r="AZ2325" s="1"/>
      <c r="BA2325" s="1"/>
      <c r="BB2325" s="1"/>
      <c r="BC2325" s="1"/>
      <c r="BD2325" s="1"/>
      <c r="BE2325" s="1"/>
    </row>
    <row x14ac:dyDescent="0.25" r="2326" customHeight="1" ht="18.75">
      <c r="A2326" s="1"/>
      <c r="B2326" s="2"/>
      <c r="C2326" s="2"/>
      <c r="D2326" s="2"/>
      <c r="E2326" s="2"/>
      <c r="F2326" s="2"/>
      <c r="G2326" s="1"/>
      <c r="H2326" s="1"/>
      <c r="I2326" s="7">
        <v>2.323</v>
      </c>
      <c r="J2326" s="7">
        <f>IF((I2326-ROUNDDOWN(I2326,0))=0, 0, (I2326-ROUNDDOWN(I2326,0)))</f>
      </c>
      <c r="K2326" s="7">
        <f>INDIRECT("C$"&amp;2+MIN(2,ROUNDDOWN(I2326,0))*3)*(-$J2326^3+3*$J2326^2-3*$J2326+1)+INDIRECT("C$"&amp;3+MIN(2,ROUNDDOWN(I2326,0))*3)*(3*$J2326^3-6*$J2326^2+3*$J2326)+INDIRECT("C$"&amp;4+MIN(2,ROUNDDOWN(I2326,0))*3)*(-3*$J2326^3+3*$J2326^2)+INDIRECT("C$"&amp;5+MIN(2,ROUNDDOWN(I2326,0))*3)*$J2326^3</f>
      </c>
      <c r="L2326" s="7">
        <f>INDIRECT("D$"&amp;2+MIN(2,ROUNDDOWN(I2326,0))*3)*(-$J2326^3+3*$J2326^2-3*$J2326+1)+INDIRECT("D$"&amp;3+MIN(2,ROUNDDOWN(I2326,0))*3)*(3*$J2326^3-6*$J2326^2+3*$J2326)+INDIRECT("D$"&amp;4+MIN(2,ROUNDDOWN(I2326,0))*3)*(-3*$J2326^3+3*$J2326^2)+INDIRECT("D$"&amp;5+MIN(2,ROUNDDOWN(I2326,0))*3)*$J2326^3</f>
      </c>
      <c r="M2326" s="7">
        <f>SQRT(K2326^2+L2326^2)</f>
      </c>
      <c r="N2326" s="7">
        <f>(K2327-K2325)</f>
      </c>
      <c r="O2326" s="7">
        <f>+(L2327-L2325)</f>
      </c>
      <c r="P2326" s="7">
        <f>SQRT(O2326^2+N2326^2)</f>
      </c>
      <c r="Q2326" s="7">
        <f>N2326/$P2326</f>
      </c>
      <c r="R2326" s="7">
        <f>O2326/$P2326</f>
      </c>
      <c r="S2326" s="8">
        <f>Q2326^2+R2326^2</f>
      </c>
      <c r="T2326" s="7">
        <f>-R2326</f>
      </c>
      <c r="U2326" s="7">
        <f>Q2326</f>
      </c>
      <c r="V2326" s="7">
        <f>($C$14+($C$15-$C$14)/($D$15-$D$14)*(I2326-$D$14))/2</f>
      </c>
      <c r="W2326" s="7">
        <f>($B$22*I2326^4+$C$22*I2326^3+$D$22*I2326^2+$E$22*I2326+$F$22)/2</f>
      </c>
      <c r="X2326" s="7">
        <f>($W2326)*(T2326)</f>
      </c>
      <c r="Y2326" s="7">
        <f>($W2326)*(U2326)</f>
      </c>
      <c r="Z2326" s="7">
        <f>SQRT(X2326^2+Y2326^2)</f>
      </c>
      <c r="AA2326" s="7">
        <f>$K2326+$X2326</f>
      </c>
      <c r="AB2326" s="7">
        <f>$L2326+$Y2326</f>
      </c>
      <c r="AC2326" s="7">
        <f>$K2326-$X2326</f>
      </c>
      <c r="AD2326" s="7">
        <f>$L2326-$Y2326</f>
      </c>
      <c r="AE2326" s="7">
        <f>AA2326/39.3701</f>
      </c>
      <c r="AF2326" s="7">
        <f>AB2326/39.3701</f>
      </c>
      <c r="AG2326" s="7">
        <f>AC2326/39.3701</f>
      </c>
      <c r="AH2326" s="7">
        <f>AD2326/39.3701</f>
      </c>
      <c r="AI2326" s="1"/>
      <c r="AJ2326" s="1"/>
      <c r="AK2326" s="1"/>
      <c r="AL2326" s="1"/>
      <c r="AM2326" s="2"/>
      <c r="AN2326" s="1"/>
      <c r="AO2326" s="1"/>
      <c r="AP2326" s="1"/>
      <c r="AQ2326" s="1"/>
      <c r="AR2326" s="1"/>
      <c r="AS2326" s="1"/>
      <c r="AT2326" s="1"/>
      <c r="AU2326" s="1"/>
      <c r="AV2326" s="1"/>
      <c r="AW2326" s="1"/>
      <c r="AX2326" s="1"/>
      <c r="AY2326" s="1"/>
      <c r="AZ2326" s="1"/>
      <c r="BA2326" s="1"/>
      <c r="BB2326" s="1"/>
      <c r="BC2326" s="1"/>
      <c r="BD2326" s="1"/>
      <c r="BE2326" s="1"/>
    </row>
    <row x14ac:dyDescent="0.25" r="2327" customHeight="1" ht="18.75">
      <c r="A2327" s="1"/>
      <c r="B2327" s="2"/>
      <c r="C2327" s="2"/>
      <c r="D2327" s="2"/>
      <c r="E2327" s="2"/>
      <c r="F2327" s="2"/>
      <c r="G2327" s="1"/>
      <c r="H2327" s="1"/>
      <c r="I2327" s="7">
        <v>2.324</v>
      </c>
      <c r="J2327" s="7">
        <f>IF((I2327-ROUNDDOWN(I2327,0))=0, 0, (I2327-ROUNDDOWN(I2327,0)))</f>
      </c>
      <c r="K2327" s="7">
        <f>INDIRECT("C$"&amp;2+MIN(2,ROUNDDOWN(I2327,0))*3)*(-$J2327^3+3*$J2327^2-3*$J2327+1)+INDIRECT("C$"&amp;3+MIN(2,ROUNDDOWN(I2327,0))*3)*(3*$J2327^3-6*$J2327^2+3*$J2327)+INDIRECT("C$"&amp;4+MIN(2,ROUNDDOWN(I2327,0))*3)*(-3*$J2327^3+3*$J2327^2)+INDIRECT("C$"&amp;5+MIN(2,ROUNDDOWN(I2327,0))*3)*$J2327^3</f>
      </c>
      <c r="L2327" s="7">
        <f>INDIRECT("D$"&amp;2+MIN(2,ROUNDDOWN(I2327,0))*3)*(-$J2327^3+3*$J2327^2-3*$J2327+1)+INDIRECT("D$"&amp;3+MIN(2,ROUNDDOWN(I2327,0))*3)*(3*$J2327^3-6*$J2327^2+3*$J2327)+INDIRECT("D$"&amp;4+MIN(2,ROUNDDOWN(I2327,0))*3)*(-3*$J2327^3+3*$J2327^2)+INDIRECT("D$"&amp;5+MIN(2,ROUNDDOWN(I2327,0))*3)*$J2327^3</f>
      </c>
      <c r="M2327" s="7">
        <f>SQRT(K2327^2+L2327^2)</f>
      </c>
      <c r="N2327" s="7">
        <f>(K2328-K2326)</f>
      </c>
      <c r="O2327" s="7">
        <f>+(L2328-L2326)</f>
      </c>
      <c r="P2327" s="7">
        <f>SQRT(O2327^2+N2327^2)</f>
      </c>
      <c r="Q2327" s="7">
        <f>N2327/$P2327</f>
      </c>
      <c r="R2327" s="7">
        <f>O2327/$P2327</f>
      </c>
      <c r="S2327" s="7">
        <f>Q2327^2+R2327^2</f>
      </c>
      <c r="T2327" s="7">
        <f>-R2327</f>
      </c>
      <c r="U2327" s="7">
        <f>Q2327</f>
      </c>
      <c r="V2327" s="7">
        <f>($C$14+($C$15-$C$14)/($D$15-$D$14)*(I2327-$D$14))/2</f>
      </c>
      <c r="W2327" s="7">
        <f>($B$22*I2327^4+$C$22*I2327^3+$D$22*I2327^2+$E$22*I2327+$F$22)/2</f>
      </c>
      <c r="X2327" s="7">
        <f>($W2327)*(T2327)</f>
      </c>
      <c r="Y2327" s="7">
        <f>($W2327)*(U2327)</f>
      </c>
      <c r="Z2327" s="7">
        <f>SQRT(X2327^2+Y2327^2)</f>
      </c>
      <c r="AA2327" s="7">
        <f>$K2327+$X2327</f>
      </c>
      <c r="AB2327" s="7">
        <f>$L2327+$Y2327</f>
      </c>
      <c r="AC2327" s="7">
        <f>$K2327-$X2327</f>
      </c>
      <c r="AD2327" s="7">
        <f>$L2327-$Y2327</f>
      </c>
      <c r="AE2327" s="7">
        <f>AA2327/39.3701</f>
      </c>
      <c r="AF2327" s="7">
        <f>AB2327/39.3701</f>
      </c>
      <c r="AG2327" s="7">
        <f>AC2327/39.3701</f>
      </c>
      <c r="AH2327" s="7">
        <f>AD2327/39.3701</f>
      </c>
      <c r="AI2327" s="1"/>
      <c r="AJ2327" s="1"/>
      <c r="AK2327" s="1"/>
      <c r="AL2327" s="1"/>
      <c r="AM2327" s="2"/>
      <c r="AN2327" s="1"/>
      <c r="AO2327" s="1"/>
      <c r="AP2327" s="1"/>
      <c r="AQ2327" s="1"/>
      <c r="AR2327" s="1"/>
      <c r="AS2327" s="1"/>
      <c r="AT2327" s="1"/>
      <c r="AU2327" s="1"/>
      <c r="AV2327" s="1"/>
      <c r="AW2327" s="1"/>
      <c r="AX2327" s="1"/>
      <c r="AY2327" s="1"/>
      <c r="AZ2327" s="1"/>
      <c r="BA2327" s="1"/>
      <c r="BB2327" s="1"/>
      <c r="BC2327" s="1"/>
      <c r="BD2327" s="1"/>
      <c r="BE2327" s="1"/>
    </row>
    <row x14ac:dyDescent="0.25" r="2328" customHeight="1" ht="18.75">
      <c r="A2328" s="1"/>
      <c r="B2328" s="2"/>
      <c r="C2328" s="2"/>
      <c r="D2328" s="2"/>
      <c r="E2328" s="2"/>
      <c r="F2328" s="2"/>
      <c r="G2328" s="1"/>
      <c r="H2328" s="1"/>
      <c r="I2328" s="7">
        <v>2.325</v>
      </c>
      <c r="J2328" s="7">
        <f>IF((I2328-ROUNDDOWN(I2328,0))=0, 0, (I2328-ROUNDDOWN(I2328,0)))</f>
      </c>
      <c r="K2328" s="7">
        <f>INDIRECT("C$"&amp;2+MIN(2,ROUNDDOWN(I2328,0))*3)*(-$J2328^3+3*$J2328^2-3*$J2328+1)+INDIRECT("C$"&amp;3+MIN(2,ROUNDDOWN(I2328,0))*3)*(3*$J2328^3-6*$J2328^2+3*$J2328)+INDIRECT("C$"&amp;4+MIN(2,ROUNDDOWN(I2328,0))*3)*(-3*$J2328^3+3*$J2328^2)+INDIRECT("C$"&amp;5+MIN(2,ROUNDDOWN(I2328,0))*3)*$J2328^3</f>
      </c>
      <c r="L2328" s="7">
        <f>INDIRECT("D$"&amp;2+MIN(2,ROUNDDOWN(I2328,0))*3)*(-$J2328^3+3*$J2328^2-3*$J2328+1)+INDIRECT("D$"&amp;3+MIN(2,ROUNDDOWN(I2328,0))*3)*(3*$J2328^3-6*$J2328^2+3*$J2328)+INDIRECT("D$"&amp;4+MIN(2,ROUNDDOWN(I2328,0))*3)*(-3*$J2328^3+3*$J2328^2)+INDIRECT("D$"&amp;5+MIN(2,ROUNDDOWN(I2328,0))*3)*$J2328^3</f>
      </c>
      <c r="M2328" s="7">
        <f>SQRT(K2328^2+L2328^2)</f>
      </c>
      <c r="N2328" s="7">
        <f>(K2329-K2327)</f>
      </c>
      <c r="O2328" s="7">
        <f>+(L2329-L2327)</f>
      </c>
      <c r="P2328" s="7">
        <f>SQRT(O2328^2+N2328^2)</f>
      </c>
      <c r="Q2328" s="7">
        <f>N2328/$P2328</f>
      </c>
      <c r="R2328" s="7">
        <f>O2328/$P2328</f>
      </c>
      <c r="S2328" s="7">
        <f>Q2328^2+R2328^2</f>
      </c>
      <c r="T2328" s="7">
        <f>-R2328</f>
      </c>
      <c r="U2328" s="7">
        <f>Q2328</f>
      </c>
      <c r="V2328" s="7">
        <f>($C$14+($C$15-$C$14)/($D$15-$D$14)*(I2328-$D$14))/2</f>
      </c>
      <c r="W2328" s="7">
        <f>($B$22*I2328^4+$C$22*I2328^3+$D$22*I2328^2+$E$22*I2328+$F$22)/2</f>
      </c>
      <c r="X2328" s="7">
        <f>($W2328)*(T2328)</f>
      </c>
      <c r="Y2328" s="7">
        <f>($W2328)*(U2328)</f>
      </c>
      <c r="Z2328" s="7">
        <f>SQRT(X2328^2+Y2328^2)</f>
      </c>
      <c r="AA2328" s="7">
        <f>$K2328+$X2328</f>
      </c>
      <c r="AB2328" s="7">
        <f>$L2328+$Y2328</f>
      </c>
      <c r="AC2328" s="7">
        <f>$K2328-$X2328</f>
      </c>
      <c r="AD2328" s="7">
        <f>$L2328-$Y2328</f>
      </c>
      <c r="AE2328" s="7">
        <f>AA2328/39.3701</f>
      </c>
      <c r="AF2328" s="7">
        <f>AB2328/39.3701</f>
      </c>
      <c r="AG2328" s="7">
        <f>AC2328/39.3701</f>
      </c>
      <c r="AH2328" s="7">
        <f>AD2328/39.3701</f>
      </c>
      <c r="AI2328" s="1"/>
      <c r="AJ2328" s="1"/>
      <c r="AK2328" s="1"/>
      <c r="AL2328" s="1"/>
      <c r="AM2328" s="2"/>
      <c r="AN2328" s="1"/>
      <c r="AO2328" s="1"/>
      <c r="AP2328" s="1"/>
      <c r="AQ2328" s="1"/>
      <c r="AR2328" s="1"/>
      <c r="AS2328" s="1"/>
      <c r="AT2328" s="1"/>
      <c r="AU2328" s="1"/>
      <c r="AV2328" s="1"/>
      <c r="AW2328" s="1"/>
      <c r="AX2328" s="1"/>
      <c r="AY2328" s="1"/>
      <c r="AZ2328" s="1"/>
      <c r="BA2328" s="1"/>
      <c r="BB2328" s="1"/>
      <c r="BC2328" s="1"/>
      <c r="BD2328" s="1"/>
      <c r="BE2328" s="1"/>
    </row>
    <row x14ac:dyDescent="0.25" r="2329" customHeight="1" ht="18.75">
      <c r="A2329" s="1"/>
      <c r="B2329" s="2"/>
      <c r="C2329" s="2"/>
      <c r="D2329" s="2"/>
      <c r="E2329" s="2"/>
      <c r="F2329" s="2"/>
      <c r="G2329" s="1"/>
      <c r="H2329" s="1"/>
      <c r="I2329" s="7">
        <v>2.326</v>
      </c>
      <c r="J2329" s="7">
        <f>IF((I2329-ROUNDDOWN(I2329,0))=0, 0, (I2329-ROUNDDOWN(I2329,0)))</f>
      </c>
      <c r="K2329" s="7">
        <f>INDIRECT("C$"&amp;2+MIN(2,ROUNDDOWN(I2329,0))*3)*(-$J2329^3+3*$J2329^2-3*$J2329+1)+INDIRECT("C$"&amp;3+MIN(2,ROUNDDOWN(I2329,0))*3)*(3*$J2329^3-6*$J2329^2+3*$J2329)+INDIRECT("C$"&amp;4+MIN(2,ROUNDDOWN(I2329,0))*3)*(-3*$J2329^3+3*$J2329^2)+INDIRECT("C$"&amp;5+MIN(2,ROUNDDOWN(I2329,0))*3)*$J2329^3</f>
      </c>
      <c r="L2329" s="7">
        <f>INDIRECT("D$"&amp;2+MIN(2,ROUNDDOWN(I2329,0))*3)*(-$J2329^3+3*$J2329^2-3*$J2329+1)+INDIRECT("D$"&amp;3+MIN(2,ROUNDDOWN(I2329,0))*3)*(3*$J2329^3-6*$J2329^2+3*$J2329)+INDIRECT("D$"&amp;4+MIN(2,ROUNDDOWN(I2329,0))*3)*(-3*$J2329^3+3*$J2329^2)+INDIRECT("D$"&amp;5+MIN(2,ROUNDDOWN(I2329,0))*3)*$J2329^3</f>
      </c>
      <c r="M2329" s="7">
        <f>SQRT(K2329^2+L2329^2)</f>
      </c>
      <c r="N2329" s="7">
        <f>(K2330-K2328)</f>
      </c>
      <c r="O2329" s="7">
        <f>+(L2330-L2328)</f>
      </c>
      <c r="P2329" s="7">
        <f>SQRT(O2329^2+N2329^2)</f>
      </c>
      <c r="Q2329" s="7">
        <f>N2329/$P2329</f>
      </c>
      <c r="R2329" s="7">
        <f>O2329/$P2329</f>
      </c>
      <c r="S2329" s="8">
        <f>Q2329^2+R2329^2</f>
      </c>
      <c r="T2329" s="7">
        <f>-R2329</f>
      </c>
      <c r="U2329" s="7">
        <f>Q2329</f>
      </c>
      <c r="V2329" s="7">
        <f>($C$14+($C$15-$C$14)/($D$15-$D$14)*(I2329-$D$14))/2</f>
      </c>
      <c r="W2329" s="7">
        <f>($B$22*I2329^4+$C$22*I2329^3+$D$22*I2329^2+$E$22*I2329+$F$22)/2</f>
      </c>
      <c r="X2329" s="7">
        <f>($W2329)*(T2329)</f>
      </c>
      <c r="Y2329" s="7">
        <f>($W2329)*(U2329)</f>
      </c>
      <c r="Z2329" s="7">
        <f>SQRT(X2329^2+Y2329^2)</f>
      </c>
      <c r="AA2329" s="7">
        <f>$K2329+$X2329</f>
      </c>
      <c r="AB2329" s="7">
        <f>$L2329+$Y2329</f>
      </c>
      <c r="AC2329" s="7">
        <f>$K2329-$X2329</f>
      </c>
      <c r="AD2329" s="7">
        <f>$L2329-$Y2329</f>
      </c>
      <c r="AE2329" s="7">
        <f>AA2329/39.3701</f>
      </c>
      <c r="AF2329" s="7">
        <f>AB2329/39.3701</f>
      </c>
      <c r="AG2329" s="7">
        <f>AC2329/39.3701</f>
      </c>
      <c r="AH2329" s="7">
        <f>AD2329/39.3701</f>
      </c>
      <c r="AI2329" s="1"/>
      <c r="AJ2329" s="1"/>
      <c r="AK2329" s="1"/>
      <c r="AL2329" s="1"/>
      <c r="AM2329" s="2"/>
      <c r="AN2329" s="1"/>
      <c r="AO2329" s="1"/>
      <c r="AP2329" s="1"/>
      <c r="AQ2329" s="1"/>
      <c r="AR2329" s="1"/>
      <c r="AS2329" s="1"/>
      <c r="AT2329" s="1"/>
      <c r="AU2329" s="1"/>
      <c r="AV2329" s="1"/>
      <c r="AW2329" s="1"/>
      <c r="AX2329" s="1"/>
      <c r="AY2329" s="1"/>
      <c r="AZ2329" s="1"/>
      <c r="BA2329" s="1"/>
      <c r="BB2329" s="1"/>
      <c r="BC2329" s="1"/>
      <c r="BD2329" s="1"/>
      <c r="BE2329" s="1"/>
    </row>
    <row x14ac:dyDescent="0.25" r="2330" customHeight="1" ht="18.75">
      <c r="A2330" s="1"/>
      <c r="B2330" s="2"/>
      <c r="C2330" s="2"/>
      <c r="D2330" s="2"/>
      <c r="E2330" s="2"/>
      <c r="F2330" s="2"/>
      <c r="G2330" s="1"/>
      <c r="H2330" s="1"/>
      <c r="I2330" s="7">
        <v>2.327</v>
      </c>
      <c r="J2330" s="7">
        <f>IF((I2330-ROUNDDOWN(I2330,0))=0, 0, (I2330-ROUNDDOWN(I2330,0)))</f>
      </c>
      <c r="K2330" s="7">
        <f>INDIRECT("C$"&amp;2+MIN(2,ROUNDDOWN(I2330,0))*3)*(-$J2330^3+3*$J2330^2-3*$J2330+1)+INDIRECT("C$"&amp;3+MIN(2,ROUNDDOWN(I2330,0))*3)*(3*$J2330^3-6*$J2330^2+3*$J2330)+INDIRECT("C$"&amp;4+MIN(2,ROUNDDOWN(I2330,0))*3)*(-3*$J2330^3+3*$J2330^2)+INDIRECT("C$"&amp;5+MIN(2,ROUNDDOWN(I2330,0))*3)*$J2330^3</f>
      </c>
      <c r="L2330" s="7">
        <f>INDIRECT("D$"&amp;2+MIN(2,ROUNDDOWN(I2330,0))*3)*(-$J2330^3+3*$J2330^2-3*$J2330+1)+INDIRECT("D$"&amp;3+MIN(2,ROUNDDOWN(I2330,0))*3)*(3*$J2330^3-6*$J2330^2+3*$J2330)+INDIRECT("D$"&amp;4+MIN(2,ROUNDDOWN(I2330,0))*3)*(-3*$J2330^3+3*$J2330^2)+INDIRECT("D$"&amp;5+MIN(2,ROUNDDOWN(I2330,0))*3)*$J2330^3</f>
      </c>
      <c r="M2330" s="7">
        <f>SQRT(K2330^2+L2330^2)</f>
      </c>
      <c r="N2330" s="7">
        <f>(K2331-K2329)</f>
      </c>
      <c r="O2330" s="7">
        <f>+(L2331-L2329)</f>
      </c>
      <c r="P2330" s="7">
        <f>SQRT(O2330^2+N2330^2)</f>
      </c>
      <c r="Q2330" s="7">
        <f>N2330/$P2330</f>
      </c>
      <c r="R2330" s="7">
        <f>O2330/$P2330</f>
      </c>
      <c r="S2330" s="8">
        <f>Q2330^2+R2330^2</f>
      </c>
      <c r="T2330" s="7">
        <f>-R2330</f>
      </c>
      <c r="U2330" s="7">
        <f>Q2330</f>
      </c>
      <c r="V2330" s="7">
        <f>($C$14+($C$15-$C$14)/($D$15-$D$14)*(I2330-$D$14))/2</f>
      </c>
      <c r="W2330" s="7">
        <f>($B$22*I2330^4+$C$22*I2330^3+$D$22*I2330^2+$E$22*I2330+$F$22)/2</f>
      </c>
      <c r="X2330" s="7">
        <f>($W2330)*(T2330)</f>
      </c>
      <c r="Y2330" s="7">
        <f>($W2330)*(U2330)</f>
      </c>
      <c r="Z2330" s="7">
        <f>SQRT(X2330^2+Y2330^2)</f>
      </c>
      <c r="AA2330" s="7">
        <f>$K2330+$X2330</f>
      </c>
      <c r="AB2330" s="7">
        <f>$L2330+$Y2330</f>
      </c>
      <c r="AC2330" s="7">
        <f>$K2330-$X2330</f>
      </c>
      <c r="AD2330" s="7">
        <f>$L2330-$Y2330</f>
      </c>
      <c r="AE2330" s="7">
        <f>AA2330/39.3701</f>
      </c>
      <c r="AF2330" s="7">
        <f>AB2330/39.3701</f>
      </c>
      <c r="AG2330" s="7">
        <f>AC2330/39.3701</f>
      </c>
      <c r="AH2330" s="7">
        <f>AD2330/39.3701</f>
      </c>
      <c r="AI2330" s="1"/>
      <c r="AJ2330" s="1"/>
      <c r="AK2330" s="1"/>
      <c r="AL2330" s="1"/>
      <c r="AM2330" s="2"/>
      <c r="AN2330" s="1"/>
      <c r="AO2330" s="1"/>
      <c r="AP2330" s="1"/>
      <c r="AQ2330" s="1"/>
      <c r="AR2330" s="1"/>
      <c r="AS2330" s="1"/>
      <c r="AT2330" s="1"/>
      <c r="AU2330" s="1"/>
      <c r="AV2330" s="1"/>
      <c r="AW2330" s="1"/>
      <c r="AX2330" s="1"/>
      <c r="AY2330" s="1"/>
      <c r="AZ2330" s="1"/>
      <c r="BA2330" s="1"/>
      <c r="BB2330" s="1"/>
      <c r="BC2330" s="1"/>
      <c r="BD2330" s="1"/>
      <c r="BE2330" s="1"/>
    </row>
    <row x14ac:dyDescent="0.25" r="2331" customHeight="1" ht="18.75">
      <c r="A2331" s="1"/>
      <c r="B2331" s="2"/>
      <c r="C2331" s="2"/>
      <c r="D2331" s="2"/>
      <c r="E2331" s="2"/>
      <c r="F2331" s="2"/>
      <c r="G2331" s="1"/>
      <c r="H2331" s="1"/>
      <c r="I2331" s="7">
        <v>2.328</v>
      </c>
      <c r="J2331" s="7">
        <f>IF((I2331-ROUNDDOWN(I2331,0))=0, 0, (I2331-ROUNDDOWN(I2331,0)))</f>
      </c>
      <c r="K2331" s="7">
        <f>INDIRECT("C$"&amp;2+MIN(2,ROUNDDOWN(I2331,0))*3)*(-$J2331^3+3*$J2331^2-3*$J2331+1)+INDIRECT("C$"&amp;3+MIN(2,ROUNDDOWN(I2331,0))*3)*(3*$J2331^3-6*$J2331^2+3*$J2331)+INDIRECT("C$"&amp;4+MIN(2,ROUNDDOWN(I2331,0))*3)*(-3*$J2331^3+3*$J2331^2)+INDIRECT("C$"&amp;5+MIN(2,ROUNDDOWN(I2331,0))*3)*$J2331^3</f>
      </c>
      <c r="L2331" s="7">
        <f>INDIRECT("D$"&amp;2+MIN(2,ROUNDDOWN(I2331,0))*3)*(-$J2331^3+3*$J2331^2-3*$J2331+1)+INDIRECT("D$"&amp;3+MIN(2,ROUNDDOWN(I2331,0))*3)*(3*$J2331^3-6*$J2331^2+3*$J2331)+INDIRECT("D$"&amp;4+MIN(2,ROUNDDOWN(I2331,0))*3)*(-3*$J2331^3+3*$J2331^2)+INDIRECT("D$"&amp;5+MIN(2,ROUNDDOWN(I2331,0))*3)*$J2331^3</f>
      </c>
      <c r="M2331" s="7">
        <f>SQRT(K2331^2+L2331^2)</f>
      </c>
      <c r="N2331" s="7">
        <f>(K2332-K2330)</f>
      </c>
      <c r="O2331" s="7">
        <f>+(L2332-L2330)</f>
      </c>
      <c r="P2331" s="7">
        <f>SQRT(O2331^2+N2331^2)</f>
      </c>
      <c r="Q2331" s="7">
        <f>N2331/$P2331</f>
      </c>
      <c r="R2331" s="7">
        <f>O2331/$P2331</f>
      </c>
      <c r="S2331" s="7">
        <f>Q2331^2+R2331^2</f>
      </c>
      <c r="T2331" s="7">
        <f>-R2331</f>
      </c>
      <c r="U2331" s="7">
        <f>Q2331</f>
      </c>
      <c r="V2331" s="7">
        <f>($C$14+($C$15-$C$14)/($D$15-$D$14)*(I2331-$D$14))/2</f>
      </c>
      <c r="W2331" s="7">
        <f>($B$22*I2331^4+$C$22*I2331^3+$D$22*I2331^2+$E$22*I2331+$F$22)/2</f>
      </c>
      <c r="X2331" s="7">
        <f>($W2331)*(T2331)</f>
      </c>
      <c r="Y2331" s="7">
        <f>($W2331)*(U2331)</f>
      </c>
      <c r="Z2331" s="7">
        <f>SQRT(X2331^2+Y2331^2)</f>
      </c>
      <c r="AA2331" s="7">
        <f>$K2331+$X2331</f>
      </c>
      <c r="AB2331" s="7">
        <f>$L2331+$Y2331</f>
      </c>
      <c r="AC2331" s="7">
        <f>$K2331-$X2331</f>
      </c>
      <c r="AD2331" s="7">
        <f>$L2331-$Y2331</f>
      </c>
      <c r="AE2331" s="7">
        <f>AA2331/39.3701</f>
      </c>
      <c r="AF2331" s="7">
        <f>AB2331/39.3701</f>
      </c>
      <c r="AG2331" s="7">
        <f>AC2331/39.3701</f>
      </c>
      <c r="AH2331" s="7">
        <f>AD2331/39.3701</f>
      </c>
      <c r="AI2331" s="1"/>
      <c r="AJ2331" s="1"/>
      <c r="AK2331" s="1"/>
      <c r="AL2331" s="1"/>
      <c r="AM2331" s="2"/>
      <c r="AN2331" s="1"/>
      <c r="AO2331" s="1"/>
      <c r="AP2331" s="1"/>
      <c r="AQ2331" s="1"/>
      <c r="AR2331" s="1"/>
      <c r="AS2331" s="1"/>
      <c r="AT2331" s="1"/>
      <c r="AU2331" s="1"/>
      <c r="AV2331" s="1"/>
      <c r="AW2331" s="1"/>
      <c r="AX2331" s="1"/>
      <c r="AY2331" s="1"/>
      <c r="AZ2331" s="1"/>
      <c r="BA2331" s="1"/>
      <c r="BB2331" s="1"/>
      <c r="BC2331" s="1"/>
      <c r="BD2331" s="1"/>
      <c r="BE2331" s="1"/>
    </row>
    <row x14ac:dyDescent="0.25" r="2332" customHeight="1" ht="18.75">
      <c r="A2332" s="1"/>
      <c r="B2332" s="2"/>
      <c r="C2332" s="2"/>
      <c r="D2332" s="2"/>
      <c r="E2332" s="2"/>
      <c r="F2332" s="2"/>
      <c r="G2332" s="1"/>
      <c r="H2332" s="1"/>
      <c r="I2332" s="7">
        <v>2.329</v>
      </c>
      <c r="J2332" s="7">
        <f>IF((I2332-ROUNDDOWN(I2332,0))=0, 0, (I2332-ROUNDDOWN(I2332,0)))</f>
      </c>
      <c r="K2332" s="7">
        <f>INDIRECT("C$"&amp;2+MIN(2,ROUNDDOWN(I2332,0))*3)*(-$J2332^3+3*$J2332^2-3*$J2332+1)+INDIRECT("C$"&amp;3+MIN(2,ROUNDDOWN(I2332,0))*3)*(3*$J2332^3-6*$J2332^2+3*$J2332)+INDIRECT("C$"&amp;4+MIN(2,ROUNDDOWN(I2332,0))*3)*(-3*$J2332^3+3*$J2332^2)+INDIRECT("C$"&amp;5+MIN(2,ROUNDDOWN(I2332,0))*3)*$J2332^3</f>
      </c>
      <c r="L2332" s="7">
        <f>INDIRECT("D$"&amp;2+MIN(2,ROUNDDOWN(I2332,0))*3)*(-$J2332^3+3*$J2332^2-3*$J2332+1)+INDIRECT("D$"&amp;3+MIN(2,ROUNDDOWN(I2332,0))*3)*(3*$J2332^3-6*$J2332^2+3*$J2332)+INDIRECT("D$"&amp;4+MIN(2,ROUNDDOWN(I2332,0))*3)*(-3*$J2332^3+3*$J2332^2)+INDIRECT("D$"&amp;5+MIN(2,ROUNDDOWN(I2332,0))*3)*$J2332^3</f>
      </c>
      <c r="M2332" s="7">
        <f>SQRT(K2332^2+L2332^2)</f>
      </c>
      <c r="N2332" s="7">
        <f>(K2333-K2331)</f>
      </c>
      <c r="O2332" s="7">
        <f>+(L2333-L2331)</f>
      </c>
      <c r="P2332" s="7">
        <f>SQRT(O2332^2+N2332^2)</f>
      </c>
      <c r="Q2332" s="7">
        <f>N2332/$P2332</f>
      </c>
      <c r="R2332" s="7">
        <f>O2332/$P2332</f>
      </c>
      <c r="S2332" s="7">
        <f>Q2332^2+R2332^2</f>
      </c>
      <c r="T2332" s="7">
        <f>-R2332</f>
      </c>
      <c r="U2332" s="7">
        <f>Q2332</f>
      </c>
      <c r="V2332" s="7">
        <f>($C$14+($C$15-$C$14)/($D$15-$D$14)*(I2332-$D$14))/2</f>
      </c>
      <c r="W2332" s="7">
        <f>($B$22*I2332^4+$C$22*I2332^3+$D$22*I2332^2+$E$22*I2332+$F$22)/2</f>
      </c>
      <c r="X2332" s="7">
        <f>($W2332)*(T2332)</f>
      </c>
      <c r="Y2332" s="7">
        <f>($W2332)*(U2332)</f>
      </c>
      <c r="Z2332" s="7">
        <f>SQRT(X2332^2+Y2332^2)</f>
      </c>
      <c r="AA2332" s="7">
        <f>$K2332+$X2332</f>
      </c>
      <c r="AB2332" s="7">
        <f>$L2332+$Y2332</f>
      </c>
      <c r="AC2332" s="7">
        <f>$K2332-$X2332</f>
      </c>
      <c r="AD2332" s="7">
        <f>$L2332-$Y2332</f>
      </c>
      <c r="AE2332" s="7">
        <f>AA2332/39.3701</f>
      </c>
      <c r="AF2332" s="7">
        <f>AB2332/39.3701</f>
      </c>
      <c r="AG2332" s="7">
        <f>AC2332/39.3701</f>
      </c>
      <c r="AH2332" s="7">
        <f>AD2332/39.3701</f>
      </c>
      <c r="AI2332" s="1"/>
      <c r="AJ2332" s="1"/>
      <c r="AK2332" s="1"/>
      <c r="AL2332" s="1"/>
      <c r="AM2332" s="2"/>
      <c r="AN2332" s="1"/>
      <c r="AO2332" s="1"/>
      <c r="AP2332" s="1"/>
      <c r="AQ2332" s="1"/>
      <c r="AR2332" s="1"/>
      <c r="AS2332" s="1"/>
      <c r="AT2332" s="1"/>
      <c r="AU2332" s="1"/>
      <c r="AV2332" s="1"/>
      <c r="AW2332" s="1"/>
      <c r="AX2332" s="1"/>
      <c r="AY2332" s="1"/>
      <c r="AZ2332" s="1"/>
      <c r="BA2332" s="1"/>
      <c r="BB2332" s="1"/>
      <c r="BC2332" s="1"/>
      <c r="BD2332" s="1"/>
      <c r="BE2332" s="1"/>
    </row>
    <row x14ac:dyDescent="0.25" r="2333" customHeight="1" ht="18.75">
      <c r="A2333" s="1"/>
      <c r="B2333" s="2"/>
      <c r="C2333" s="2"/>
      <c r="D2333" s="2"/>
      <c r="E2333" s="2"/>
      <c r="F2333" s="2"/>
      <c r="G2333" s="1"/>
      <c r="H2333" s="1"/>
      <c r="I2333" s="7">
        <v>2.33</v>
      </c>
      <c r="J2333" s="7">
        <f>IF((I2333-ROUNDDOWN(I2333,0))=0, 0, (I2333-ROUNDDOWN(I2333,0)))</f>
      </c>
      <c r="K2333" s="7">
        <f>INDIRECT("C$"&amp;2+MIN(2,ROUNDDOWN(I2333,0))*3)*(-$J2333^3+3*$J2333^2-3*$J2333+1)+INDIRECT("C$"&amp;3+MIN(2,ROUNDDOWN(I2333,0))*3)*(3*$J2333^3-6*$J2333^2+3*$J2333)+INDIRECT("C$"&amp;4+MIN(2,ROUNDDOWN(I2333,0))*3)*(-3*$J2333^3+3*$J2333^2)+INDIRECT("C$"&amp;5+MIN(2,ROUNDDOWN(I2333,0))*3)*$J2333^3</f>
      </c>
      <c r="L2333" s="7">
        <f>INDIRECT("D$"&amp;2+MIN(2,ROUNDDOWN(I2333,0))*3)*(-$J2333^3+3*$J2333^2-3*$J2333+1)+INDIRECT("D$"&amp;3+MIN(2,ROUNDDOWN(I2333,0))*3)*(3*$J2333^3-6*$J2333^2+3*$J2333)+INDIRECT("D$"&amp;4+MIN(2,ROUNDDOWN(I2333,0))*3)*(-3*$J2333^3+3*$J2333^2)+INDIRECT("D$"&amp;5+MIN(2,ROUNDDOWN(I2333,0))*3)*$J2333^3</f>
      </c>
      <c r="M2333" s="7">
        <f>SQRT(K2333^2+L2333^2)</f>
      </c>
      <c r="N2333" s="7">
        <f>(K2334-K2332)</f>
      </c>
      <c r="O2333" s="7">
        <f>+(L2334-L2332)</f>
      </c>
      <c r="P2333" s="7">
        <f>SQRT(O2333^2+N2333^2)</f>
      </c>
      <c r="Q2333" s="7">
        <f>N2333/$P2333</f>
      </c>
      <c r="R2333" s="7">
        <f>O2333/$P2333</f>
      </c>
      <c r="S2333" s="8">
        <f>Q2333^2+R2333^2</f>
      </c>
      <c r="T2333" s="7">
        <f>-R2333</f>
      </c>
      <c r="U2333" s="7">
        <f>Q2333</f>
      </c>
      <c r="V2333" s="7">
        <f>($C$14+($C$15-$C$14)/($D$15-$D$14)*(I2333-$D$14))/2</f>
      </c>
      <c r="W2333" s="7">
        <f>($B$22*I2333^4+$C$22*I2333^3+$D$22*I2333^2+$E$22*I2333+$F$22)/2</f>
      </c>
      <c r="X2333" s="7">
        <f>($W2333)*(T2333)</f>
      </c>
      <c r="Y2333" s="7">
        <f>($W2333)*(U2333)</f>
      </c>
      <c r="Z2333" s="7">
        <f>SQRT(X2333^2+Y2333^2)</f>
      </c>
      <c r="AA2333" s="7">
        <f>$K2333+$X2333</f>
      </c>
      <c r="AB2333" s="7">
        <f>$L2333+$Y2333</f>
      </c>
      <c r="AC2333" s="7">
        <f>$K2333-$X2333</f>
      </c>
      <c r="AD2333" s="7">
        <f>$L2333-$Y2333</f>
      </c>
      <c r="AE2333" s="7">
        <f>AA2333/39.3701</f>
      </c>
      <c r="AF2333" s="7">
        <f>AB2333/39.3701</f>
      </c>
      <c r="AG2333" s="7">
        <f>AC2333/39.3701</f>
      </c>
      <c r="AH2333" s="7">
        <f>AD2333/39.3701</f>
      </c>
      <c r="AI2333" s="1"/>
      <c r="AJ2333" s="1"/>
      <c r="AK2333" s="1"/>
      <c r="AL2333" s="1"/>
      <c r="AM2333" s="2"/>
      <c r="AN2333" s="1"/>
      <c r="AO2333" s="1"/>
      <c r="AP2333" s="1"/>
      <c r="AQ2333" s="1"/>
      <c r="AR2333" s="1"/>
      <c r="AS2333" s="1"/>
      <c r="AT2333" s="1"/>
      <c r="AU2333" s="1"/>
      <c r="AV2333" s="1"/>
      <c r="AW2333" s="1"/>
      <c r="AX2333" s="1"/>
      <c r="AY2333" s="1"/>
      <c r="AZ2333" s="1"/>
      <c r="BA2333" s="1"/>
      <c r="BB2333" s="1"/>
      <c r="BC2333" s="1"/>
      <c r="BD2333" s="1"/>
      <c r="BE2333" s="1"/>
    </row>
    <row x14ac:dyDescent="0.25" r="2334" customHeight="1" ht="18.75">
      <c r="A2334" s="1"/>
      <c r="B2334" s="2"/>
      <c r="C2334" s="2"/>
      <c r="D2334" s="2"/>
      <c r="E2334" s="2"/>
      <c r="F2334" s="2"/>
      <c r="G2334" s="1"/>
      <c r="H2334" s="1"/>
      <c r="I2334" s="7">
        <v>2.331</v>
      </c>
      <c r="J2334" s="7">
        <f>IF((I2334-ROUNDDOWN(I2334,0))=0, 0, (I2334-ROUNDDOWN(I2334,0)))</f>
      </c>
      <c r="K2334" s="7">
        <f>INDIRECT("C$"&amp;2+MIN(2,ROUNDDOWN(I2334,0))*3)*(-$J2334^3+3*$J2334^2-3*$J2334+1)+INDIRECT("C$"&amp;3+MIN(2,ROUNDDOWN(I2334,0))*3)*(3*$J2334^3-6*$J2334^2+3*$J2334)+INDIRECT("C$"&amp;4+MIN(2,ROUNDDOWN(I2334,0))*3)*(-3*$J2334^3+3*$J2334^2)+INDIRECT("C$"&amp;5+MIN(2,ROUNDDOWN(I2334,0))*3)*$J2334^3</f>
      </c>
      <c r="L2334" s="7">
        <f>INDIRECT("D$"&amp;2+MIN(2,ROUNDDOWN(I2334,0))*3)*(-$J2334^3+3*$J2334^2-3*$J2334+1)+INDIRECT("D$"&amp;3+MIN(2,ROUNDDOWN(I2334,0))*3)*(3*$J2334^3-6*$J2334^2+3*$J2334)+INDIRECT("D$"&amp;4+MIN(2,ROUNDDOWN(I2334,0))*3)*(-3*$J2334^3+3*$J2334^2)+INDIRECT("D$"&amp;5+MIN(2,ROUNDDOWN(I2334,0))*3)*$J2334^3</f>
      </c>
      <c r="M2334" s="7">
        <f>SQRT(K2334^2+L2334^2)</f>
      </c>
      <c r="N2334" s="7">
        <f>(K2335-K2333)</f>
      </c>
      <c r="O2334" s="7">
        <f>+(L2335-L2333)</f>
      </c>
      <c r="P2334" s="7">
        <f>SQRT(O2334^2+N2334^2)</f>
      </c>
      <c r="Q2334" s="7">
        <f>N2334/$P2334</f>
      </c>
      <c r="R2334" s="7">
        <f>O2334/$P2334</f>
      </c>
      <c r="S2334" s="8">
        <f>Q2334^2+R2334^2</f>
      </c>
      <c r="T2334" s="7">
        <f>-R2334</f>
      </c>
      <c r="U2334" s="7">
        <f>Q2334</f>
      </c>
      <c r="V2334" s="7">
        <f>($C$14+($C$15-$C$14)/($D$15-$D$14)*(I2334-$D$14))/2</f>
      </c>
      <c r="W2334" s="7">
        <f>($B$22*I2334^4+$C$22*I2334^3+$D$22*I2334^2+$E$22*I2334+$F$22)/2</f>
      </c>
      <c r="X2334" s="7">
        <f>($W2334)*(T2334)</f>
      </c>
      <c r="Y2334" s="7">
        <f>($W2334)*(U2334)</f>
      </c>
      <c r="Z2334" s="7">
        <f>SQRT(X2334^2+Y2334^2)</f>
      </c>
      <c r="AA2334" s="7">
        <f>$K2334+$X2334</f>
      </c>
      <c r="AB2334" s="7">
        <f>$L2334+$Y2334</f>
      </c>
      <c r="AC2334" s="7">
        <f>$K2334-$X2334</f>
      </c>
      <c r="AD2334" s="7">
        <f>$L2334-$Y2334</f>
      </c>
      <c r="AE2334" s="7">
        <f>AA2334/39.3701</f>
      </c>
      <c r="AF2334" s="7">
        <f>AB2334/39.3701</f>
      </c>
      <c r="AG2334" s="7">
        <f>AC2334/39.3701</f>
      </c>
      <c r="AH2334" s="7">
        <f>AD2334/39.3701</f>
      </c>
      <c r="AI2334" s="1"/>
      <c r="AJ2334" s="1"/>
      <c r="AK2334" s="1"/>
      <c r="AL2334" s="1"/>
      <c r="AM2334" s="2"/>
      <c r="AN2334" s="1"/>
      <c r="AO2334" s="1"/>
      <c r="AP2334" s="1"/>
      <c r="AQ2334" s="1"/>
      <c r="AR2334" s="1"/>
      <c r="AS2334" s="1"/>
      <c r="AT2334" s="1"/>
      <c r="AU2334" s="1"/>
      <c r="AV2334" s="1"/>
      <c r="AW2334" s="1"/>
      <c r="AX2334" s="1"/>
      <c r="AY2334" s="1"/>
      <c r="AZ2334" s="1"/>
      <c r="BA2334" s="1"/>
      <c r="BB2334" s="1"/>
      <c r="BC2334" s="1"/>
      <c r="BD2334" s="1"/>
      <c r="BE2334" s="1"/>
    </row>
    <row x14ac:dyDescent="0.25" r="2335" customHeight="1" ht="18.75">
      <c r="A2335" s="1"/>
      <c r="B2335" s="2"/>
      <c r="C2335" s="2"/>
      <c r="D2335" s="2"/>
      <c r="E2335" s="2"/>
      <c r="F2335" s="2"/>
      <c r="G2335" s="1"/>
      <c r="H2335" s="1"/>
      <c r="I2335" s="7">
        <v>2.332</v>
      </c>
      <c r="J2335" s="7">
        <f>IF((I2335-ROUNDDOWN(I2335,0))=0, 0, (I2335-ROUNDDOWN(I2335,0)))</f>
      </c>
      <c r="K2335" s="7">
        <f>INDIRECT("C$"&amp;2+MIN(2,ROUNDDOWN(I2335,0))*3)*(-$J2335^3+3*$J2335^2-3*$J2335+1)+INDIRECT("C$"&amp;3+MIN(2,ROUNDDOWN(I2335,0))*3)*(3*$J2335^3-6*$J2335^2+3*$J2335)+INDIRECT("C$"&amp;4+MIN(2,ROUNDDOWN(I2335,0))*3)*(-3*$J2335^3+3*$J2335^2)+INDIRECT("C$"&amp;5+MIN(2,ROUNDDOWN(I2335,0))*3)*$J2335^3</f>
      </c>
      <c r="L2335" s="7">
        <f>INDIRECT("D$"&amp;2+MIN(2,ROUNDDOWN(I2335,0))*3)*(-$J2335^3+3*$J2335^2-3*$J2335+1)+INDIRECT("D$"&amp;3+MIN(2,ROUNDDOWN(I2335,0))*3)*(3*$J2335^3-6*$J2335^2+3*$J2335)+INDIRECT("D$"&amp;4+MIN(2,ROUNDDOWN(I2335,0))*3)*(-3*$J2335^3+3*$J2335^2)+INDIRECT("D$"&amp;5+MIN(2,ROUNDDOWN(I2335,0))*3)*$J2335^3</f>
      </c>
      <c r="M2335" s="7">
        <f>SQRT(K2335^2+L2335^2)</f>
      </c>
      <c r="N2335" s="7">
        <f>(K2336-K2334)</f>
      </c>
      <c r="O2335" s="7">
        <f>+(L2336-L2334)</f>
      </c>
      <c r="P2335" s="7">
        <f>SQRT(O2335^2+N2335^2)</f>
      </c>
      <c r="Q2335" s="7">
        <f>N2335/$P2335</f>
      </c>
      <c r="R2335" s="7">
        <f>O2335/$P2335</f>
      </c>
      <c r="S2335" s="7">
        <f>Q2335^2+R2335^2</f>
      </c>
      <c r="T2335" s="7">
        <f>-R2335</f>
      </c>
      <c r="U2335" s="7">
        <f>Q2335</f>
      </c>
      <c r="V2335" s="7">
        <f>($C$14+($C$15-$C$14)/($D$15-$D$14)*(I2335-$D$14))/2</f>
      </c>
      <c r="W2335" s="7">
        <f>($B$22*I2335^4+$C$22*I2335^3+$D$22*I2335^2+$E$22*I2335+$F$22)/2</f>
      </c>
      <c r="X2335" s="7">
        <f>($W2335)*(T2335)</f>
      </c>
      <c r="Y2335" s="7">
        <f>($W2335)*(U2335)</f>
      </c>
      <c r="Z2335" s="7">
        <f>SQRT(X2335^2+Y2335^2)</f>
      </c>
      <c r="AA2335" s="7">
        <f>$K2335+$X2335</f>
      </c>
      <c r="AB2335" s="7">
        <f>$L2335+$Y2335</f>
      </c>
      <c r="AC2335" s="7">
        <f>$K2335-$X2335</f>
      </c>
      <c r="AD2335" s="7">
        <f>$L2335-$Y2335</f>
      </c>
      <c r="AE2335" s="7">
        <f>AA2335/39.3701</f>
      </c>
      <c r="AF2335" s="7">
        <f>AB2335/39.3701</f>
      </c>
      <c r="AG2335" s="7">
        <f>AC2335/39.3701</f>
      </c>
      <c r="AH2335" s="7">
        <f>AD2335/39.3701</f>
      </c>
      <c r="AI2335" s="1"/>
      <c r="AJ2335" s="1"/>
      <c r="AK2335" s="1"/>
      <c r="AL2335" s="1"/>
      <c r="AM2335" s="2"/>
      <c r="AN2335" s="1"/>
      <c r="AO2335" s="1"/>
      <c r="AP2335" s="1"/>
      <c r="AQ2335" s="1"/>
      <c r="AR2335" s="1"/>
      <c r="AS2335" s="1"/>
      <c r="AT2335" s="1"/>
      <c r="AU2335" s="1"/>
      <c r="AV2335" s="1"/>
      <c r="AW2335" s="1"/>
      <c r="AX2335" s="1"/>
      <c r="AY2335" s="1"/>
      <c r="AZ2335" s="1"/>
      <c r="BA2335" s="1"/>
      <c r="BB2335" s="1"/>
      <c r="BC2335" s="1"/>
      <c r="BD2335" s="1"/>
      <c r="BE2335" s="1"/>
    </row>
    <row x14ac:dyDescent="0.25" r="2336" customHeight="1" ht="18.75">
      <c r="A2336" s="1"/>
      <c r="B2336" s="2"/>
      <c r="C2336" s="2"/>
      <c r="D2336" s="2"/>
      <c r="E2336" s="2"/>
      <c r="F2336" s="2"/>
      <c r="G2336" s="1"/>
      <c r="H2336" s="1"/>
      <c r="I2336" s="7">
        <v>2.333</v>
      </c>
      <c r="J2336" s="7">
        <f>IF((I2336-ROUNDDOWN(I2336,0))=0, 0, (I2336-ROUNDDOWN(I2336,0)))</f>
      </c>
      <c r="K2336" s="7">
        <f>INDIRECT("C$"&amp;2+MIN(2,ROUNDDOWN(I2336,0))*3)*(-$J2336^3+3*$J2336^2-3*$J2336+1)+INDIRECT("C$"&amp;3+MIN(2,ROUNDDOWN(I2336,0))*3)*(3*$J2336^3-6*$J2336^2+3*$J2336)+INDIRECT("C$"&amp;4+MIN(2,ROUNDDOWN(I2336,0))*3)*(-3*$J2336^3+3*$J2336^2)+INDIRECT("C$"&amp;5+MIN(2,ROUNDDOWN(I2336,0))*3)*$J2336^3</f>
      </c>
      <c r="L2336" s="7">
        <f>INDIRECT("D$"&amp;2+MIN(2,ROUNDDOWN(I2336,0))*3)*(-$J2336^3+3*$J2336^2-3*$J2336+1)+INDIRECT("D$"&amp;3+MIN(2,ROUNDDOWN(I2336,0))*3)*(3*$J2336^3-6*$J2336^2+3*$J2336)+INDIRECT("D$"&amp;4+MIN(2,ROUNDDOWN(I2336,0))*3)*(-3*$J2336^3+3*$J2336^2)+INDIRECT("D$"&amp;5+MIN(2,ROUNDDOWN(I2336,0))*3)*$J2336^3</f>
      </c>
      <c r="M2336" s="7">
        <f>SQRT(K2336^2+L2336^2)</f>
      </c>
      <c r="N2336" s="7">
        <f>(K2337-K2335)</f>
      </c>
      <c r="O2336" s="7">
        <f>+(L2337-L2335)</f>
      </c>
      <c r="P2336" s="7">
        <f>SQRT(O2336^2+N2336^2)</f>
      </c>
      <c r="Q2336" s="7">
        <f>N2336/$P2336</f>
      </c>
      <c r="R2336" s="7">
        <f>O2336/$P2336</f>
      </c>
      <c r="S2336" s="8">
        <f>Q2336^2+R2336^2</f>
      </c>
      <c r="T2336" s="7">
        <f>-R2336</f>
      </c>
      <c r="U2336" s="7">
        <f>Q2336</f>
      </c>
      <c r="V2336" s="7">
        <f>($C$14+($C$15-$C$14)/($D$15-$D$14)*(I2336-$D$14))/2</f>
      </c>
      <c r="W2336" s="7">
        <f>($B$22*I2336^4+$C$22*I2336^3+$D$22*I2336^2+$E$22*I2336+$F$22)/2</f>
      </c>
      <c r="X2336" s="7">
        <f>($W2336)*(T2336)</f>
      </c>
      <c r="Y2336" s="7">
        <f>($W2336)*(U2336)</f>
      </c>
      <c r="Z2336" s="7">
        <f>SQRT(X2336^2+Y2336^2)</f>
      </c>
      <c r="AA2336" s="7">
        <f>$K2336+$X2336</f>
      </c>
      <c r="AB2336" s="7">
        <f>$L2336+$Y2336</f>
      </c>
      <c r="AC2336" s="7">
        <f>$K2336-$X2336</f>
      </c>
      <c r="AD2336" s="7">
        <f>$L2336-$Y2336</f>
      </c>
      <c r="AE2336" s="7">
        <f>AA2336/39.3701</f>
      </c>
      <c r="AF2336" s="7">
        <f>AB2336/39.3701</f>
      </c>
      <c r="AG2336" s="7">
        <f>AC2336/39.3701</f>
      </c>
      <c r="AH2336" s="7">
        <f>AD2336/39.3701</f>
      </c>
      <c r="AI2336" s="1"/>
      <c r="AJ2336" s="1"/>
      <c r="AK2336" s="1"/>
      <c r="AL2336" s="1"/>
      <c r="AM2336" s="2"/>
      <c r="AN2336" s="1"/>
      <c r="AO2336" s="1"/>
      <c r="AP2336" s="1"/>
      <c r="AQ2336" s="1"/>
      <c r="AR2336" s="1"/>
      <c r="AS2336" s="1"/>
      <c r="AT2336" s="1"/>
      <c r="AU2336" s="1"/>
      <c r="AV2336" s="1"/>
      <c r="AW2336" s="1"/>
      <c r="AX2336" s="1"/>
      <c r="AY2336" s="1"/>
      <c r="AZ2336" s="1"/>
      <c r="BA2336" s="1"/>
      <c r="BB2336" s="1"/>
      <c r="BC2336" s="1"/>
      <c r="BD2336" s="1"/>
      <c r="BE2336" s="1"/>
    </row>
    <row x14ac:dyDescent="0.25" r="2337" customHeight="1" ht="18.75">
      <c r="A2337" s="1"/>
      <c r="B2337" s="2"/>
      <c r="C2337" s="2"/>
      <c r="D2337" s="2"/>
      <c r="E2337" s="2"/>
      <c r="F2337" s="2"/>
      <c r="G2337" s="1"/>
      <c r="H2337" s="1"/>
      <c r="I2337" s="7">
        <v>2.334</v>
      </c>
      <c r="J2337" s="7">
        <f>IF((I2337-ROUNDDOWN(I2337,0))=0, 0, (I2337-ROUNDDOWN(I2337,0)))</f>
      </c>
      <c r="K2337" s="7">
        <f>INDIRECT("C$"&amp;2+MIN(2,ROUNDDOWN(I2337,0))*3)*(-$J2337^3+3*$J2337^2-3*$J2337+1)+INDIRECT("C$"&amp;3+MIN(2,ROUNDDOWN(I2337,0))*3)*(3*$J2337^3-6*$J2337^2+3*$J2337)+INDIRECT("C$"&amp;4+MIN(2,ROUNDDOWN(I2337,0))*3)*(-3*$J2337^3+3*$J2337^2)+INDIRECT("C$"&amp;5+MIN(2,ROUNDDOWN(I2337,0))*3)*$J2337^3</f>
      </c>
      <c r="L2337" s="7">
        <f>INDIRECT("D$"&amp;2+MIN(2,ROUNDDOWN(I2337,0))*3)*(-$J2337^3+3*$J2337^2-3*$J2337+1)+INDIRECT("D$"&amp;3+MIN(2,ROUNDDOWN(I2337,0))*3)*(3*$J2337^3-6*$J2337^2+3*$J2337)+INDIRECT("D$"&amp;4+MIN(2,ROUNDDOWN(I2337,0))*3)*(-3*$J2337^3+3*$J2337^2)+INDIRECT("D$"&amp;5+MIN(2,ROUNDDOWN(I2337,0))*3)*$J2337^3</f>
      </c>
      <c r="M2337" s="7">
        <f>SQRT(K2337^2+L2337^2)</f>
      </c>
      <c r="N2337" s="7">
        <f>(K2338-K2336)</f>
      </c>
      <c r="O2337" s="7">
        <f>+(L2338-L2336)</f>
      </c>
      <c r="P2337" s="7">
        <f>SQRT(O2337^2+N2337^2)</f>
      </c>
      <c r="Q2337" s="7">
        <f>N2337/$P2337</f>
      </c>
      <c r="R2337" s="7">
        <f>O2337/$P2337</f>
      </c>
      <c r="S2337" s="8">
        <f>Q2337^2+R2337^2</f>
      </c>
      <c r="T2337" s="7">
        <f>-R2337</f>
      </c>
      <c r="U2337" s="7">
        <f>Q2337</f>
      </c>
      <c r="V2337" s="7">
        <f>($C$14+($C$15-$C$14)/($D$15-$D$14)*(I2337-$D$14))/2</f>
      </c>
      <c r="W2337" s="7">
        <f>($B$22*I2337^4+$C$22*I2337^3+$D$22*I2337^2+$E$22*I2337+$F$22)/2</f>
      </c>
      <c r="X2337" s="7">
        <f>($W2337)*(T2337)</f>
      </c>
      <c r="Y2337" s="7">
        <f>($W2337)*(U2337)</f>
      </c>
      <c r="Z2337" s="7">
        <f>SQRT(X2337^2+Y2337^2)</f>
      </c>
      <c r="AA2337" s="7">
        <f>$K2337+$X2337</f>
      </c>
      <c r="AB2337" s="7">
        <f>$L2337+$Y2337</f>
      </c>
      <c r="AC2337" s="7">
        <f>$K2337-$X2337</f>
      </c>
      <c r="AD2337" s="7">
        <f>$L2337-$Y2337</f>
      </c>
      <c r="AE2337" s="7">
        <f>AA2337/39.3701</f>
      </c>
      <c r="AF2337" s="7">
        <f>AB2337/39.3701</f>
      </c>
      <c r="AG2337" s="7">
        <f>AC2337/39.3701</f>
      </c>
      <c r="AH2337" s="7">
        <f>AD2337/39.3701</f>
      </c>
      <c r="AI2337" s="1"/>
      <c r="AJ2337" s="1"/>
      <c r="AK2337" s="1"/>
      <c r="AL2337" s="1"/>
      <c r="AM2337" s="2"/>
      <c r="AN2337" s="1"/>
      <c r="AO2337" s="1"/>
      <c r="AP2337" s="1"/>
      <c r="AQ2337" s="1"/>
      <c r="AR2337" s="1"/>
      <c r="AS2337" s="1"/>
      <c r="AT2337" s="1"/>
      <c r="AU2337" s="1"/>
      <c r="AV2337" s="1"/>
      <c r="AW2337" s="1"/>
      <c r="AX2337" s="1"/>
      <c r="AY2337" s="1"/>
      <c r="AZ2337" s="1"/>
      <c r="BA2337" s="1"/>
      <c r="BB2337" s="1"/>
      <c r="BC2337" s="1"/>
      <c r="BD2337" s="1"/>
      <c r="BE2337" s="1"/>
    </row>
    <row x14ac:dyDescent="0.25" r="2338" customHeight="1" ht="18.75">
      <c r="A2338" s="1"/>
      <c r="B2338" s="2"/>
      <c r="C2338" s="2"/>
      <c r="D2338" s="2"/>
      <c r="E2338" s="2"/>
      <c r="F2338" s="2"/>
      <c r="G2338" s="1"/>
      <c r="H2338" s="1"/>
      <c r="I2338" s="7">
        <v>2.335</v>
      </c>
      <c r="J2338" s="7">
        <f>IF((I2338-ROUNDDOWN(I2338,0))=0, 0, (I2338-ROUNDDOWN(I2338,0)))</f>
      </c>
      <c r="K2338" s="7">
        <f>INDIRECT("C$"&amp;2+MIN(2,ROUNDDOWN(I2338,0))*3)*(-$J2338^3+3*$J2338^2-3*$J2338+1)+INDIRECT("C$"&amp;3+MIN(2,ROUNDDOWN(I2338,0))*3)*(3*$J2338^3-6*$J2338^2+3*$J2338)+INDIRECT("C$"&amp;4+MIN(2,ROUNDDOWN(I2338,0))*3)*(-3*$J2338^3+3*$J2338^2)+INDIRECT("C$"&amp;5+MIN(2,ROUNDDOWN(I2338,0))*3)*$J2338^3</f>
      </c>
      <c r="L2338" s="7">
        <f>INDIRECT("D$"&amp;2+MIN(2,ROUNDDOWN(I2338,0))*3)*(-$J2338^3+3*$J2338^2-3*$J2338+1)+INDIRECT("D$"&amp;3+MIN(2,ROUNDDOWN(I2338,0))*3)*(3*$J2338^3-6*$J2338^2+3*$J2338)+INDIRECT("D$"&amp;4+MIN(2,ROUNDDOWN(I2338,0))*3)*(-3*$J2338^3+3*$J2338^2)+INDIRECT("D$"&amp;5+MIN(2,ROUNDDOWN(I2338,0))*3)*$J2338^3</f>
      </c>
      <c r="M2338" s="7">
        <f>SQRT(K2338^2+L2338^2)</f>
      </c>
      <c r="N2338" s="7">
        <f>(K2339-K2337)</f>
      </c>
      <c r="O2338" s="7">
        <f>+(L2339-L2337)</f>
      </c>
      <c r="P2338" s="7">
        <f>SQRT(O2338^2+N2338^2)</f>
      </c>
      <c r="Q2338" s="7">
        <f>N2338/$P2338</f>
      </c>
      <c r="R2338" s="7">
        <f>O2338/$P2338</f>
      </c>
      <c r="S2338" s="8">
        <f>Q2338^2+R2338^2</f>
      </c>
      <c r="T2338" s="7">
        <f>-R2338</f>
      </c>
      <c r="U2338" s="7">
        <f>Q2338</f>
      </c>
      <c r="V2338" s="7">
        <f>($C$14+($C$15-$C$14)/($D$15-$D$14)*(I2338-$D$14))/2</f>
      </c>
      <c r="W2338" s="7">
        <f>($B$22*I2338^4+$C$22*I2338^3+$D$22*I2338^2+$E$22*I2338+$F$22)/2</f>
      </c>
      <c r="X2338" s="7">
        <f>($W2338)*(T2338)</f>
      </c>
      <c r="Y2338" s="7">
        <f>($W2338)*(U2338)</f>
      </c>
      <c r="Z2338" s="7">
        <f>SQRT(X2338^2+Y2338^2)</f>
      </c>
      <c r="AA2338" s="7">
        <f>$K2338+$X2338</f>
      </c>
      <c r="AB2338" s="7">
        <f>$L2338+$Y2338</f>
      </c>
      <c r="AC2338" s="7">
        <f>$K2338-$X2338</f>
      </c>
      <c r="AD2338" s="7">
        <f>$L2338-$Y2338</f>
      </c>
      <c r="AE2338" s="7">
        <f>AA2338/39.3701</f>
      </c>
      <c r="AF2338" s="7">
        <f>AB2338/39.3701</f>
      </c>
      <c r="AG2338" s="7">
        <f>AC2338/39.3701</f>
      </c>
      <c r="AH2338" s="7">
        <f>AD2338/39.3701</f>
      </c>
      <c r="AI2338" s="1"/>
      <c r="AJ2338" s="1"/>
      <c r="AK2338" s="1"/>
      <c r="AL2338" s="1"/>
      <c r="AM2338" s="2"/>
      <c r="AN2338" s="1"/>
      <c r="AO2338" s="1"/>
      <c r="AP2338" s="1"/>
      <c r="AQ2338" s="1"/>
      <c r="AR2338" s="1"/>
      <c r="AS2338" s="1"/>
      <c r="AT2338" s="1"/>
      <c r="AU2338" s="1"/>
      <c r="AV2338" s="1"/>
      <c r="AW2338" s="1"/>
      <c r="AX2338" s="1"/>
      <c r="AY2338" s="1"/>
      <c r="AZ2338" s="1"/>
      <c r="BA2338" s="1"/>
      <c r="BB2338" s="1"/>
      <c r="BC2338" s="1"/>
      <c r="BD2338" s="1"/>
      <c r="BE2338" s="1"/>
    </row>
    <row x14ac:dyDescent="0.25" r="2339" customHeight="1" ht="18.75">
      <c r="A2339" s="1"/>
      <c r="B2339" s="2"/>
      <c r="C2339" s="2"/>
      <c r="D2339" s="2"/>
      <c r="E2339" s="2"/>
      <c r="F2339" s="2"/>
      <c r="G2339" s="1"/>
      <c r="H2339" s="1"/>
      <c r="I2339" s="7">
        <v>2.336</v>
      </c>
      <c r="J2339" s="7">
        <f>IF((I2339-ROUNDDOWN(I2339,0))=0, 0, (I2339-ROUNDDOWN(I2339,0)))</f>
      </c>
      <c r="K2339" s="7">
        <f>INDIRECT("C$"&amp;2+MIN(2,ROUNDDOWN(I2339,0))*3)*(-$J2339^3+3*$J2339^2-3*$J2339+1)+INDIRECT("C$"&amp;3+MIN(2,ROUNDDOWN(I2339,0))*3)*(3*$J2339^3-6*$J2339^2+3*$J2339)+INDIRECT("C$"&amp;4+MIN(2,ROUNDDOWN(I2339,0))*3)*(-3*$J2339^3+3*$J2339^2)+INDIRECT("C$"&amp;5+MIN(2,ROUNDDOWN(I2339,0))*3)*$J2339^3</f>
      </c>
      <c r="L2339" s="7">
        <f>INDIRECT("D$"&amp;2+MIN(2,ROUNDDOWN(I2339,0))*3)*(-$J2339^3+3*$J2339^2-3*$J2339+1)+INDIRECT("D$"&amp;3+MIN(2,ROUNDDOWN(I2339,0))*3)*(3*$J2339^3-6*$J2339^2+3*$J2339)+INDIRECT("D$"&amp;4+MIN(2,ROUNDDOWN(I2339,0))*3)*(-3*$J2339^3+3*$J2339^2)+INDIRECT("D$"&amp;5+MIN(2,ROUNDDOWN(I2339,0))*3)*$J2339^3</f>
      </c>
      <c r="M2339" s="7">
        <f>SQRT(K2339^2+L2339^2)</f>
      </c>
      <c r="N2339" s="7">
        <f>(K2340-K2338)</f>
      </c>
      <c r="O2339" s="7">
        <f>+(L2340-L2338)</f>
      </c>
      <c r="P2339" s="7">
        <f>SQRT(O2339^2+N2339^2)</f>
      </c>
      <c r="Q2339" s="7">
        <f>N2339/$P2339</f>
      </c>
      <c r="R2339" s="7">
        <f>O2339/$P2339</f>
      </c>
      <c r="S2339" s="8">
        <f>Q2339^2+R2339^2</f>
      </c>
      <c r="T2339" s="7">
        <f>-R2339</f>
      </c>
      <c r="U2339" s="7">
        <f>Q2339</f>
      </c>
      <c r="V2339" s="7">
        <f>($C$14+($C$15-$C$14)/($D$15-$D$14)*(I2339-$D$14))/2</f>
      </c>
      <c r="W2339" s="7">
        <f>($B$22*I2339^4+$C$22*I2339^3+$D$22*I2339^2+$E$22*I2339+$F$22)/2</f>
      </c>
      <c r="X2339" s="7">
        <f>($W2339)*(T2339)</f>
      </c>
      <c r="Y2339" s="7">
        <f>($W2339)*(U2339)</f>
      </c>
      <c r="Z2339" s="7">
        <f>SQRT(X2339^2+Y2339^2)</f>
      </c>
      <c r="AA2339" s="7">
        <f>$K2339+$X2339</f>
      </c>
      <c r="AB2339" s="7">
        <f>$L2339+$Y2339</f>
      </c>
      <c r="AC2339" s="7">
        <f>$K2339-$X2339</f>
      </c>
      <c r="AD2339" s="7">
        <f>$L2339-$Y2339</f>
      </c>
      <c r="AE2339" s="7">
        <f>AA2339/39.3701</f>
      </c>
      <c r="AF2339" s="7">
        <f>AB2339/39.3701</f>
      </c>
      <c r="AG2339" s="7">
        <f>AC2339/39.3701</f>
      </c>
      <c r="AH2339" s="7">
        <f>AD2339/39.3701</f>
      </c>
      <c r="AI2339" s="1"/>
      <c r="AJ2339" s="1"/>
      <c r="AK2339" s="1"/>
      <c r="AL2339" s="1"/>
      <c r="AM2339" s="2"/>
      <c r="AN2339" s="1"/>
      <c r="AO2339" s="1"/>
      <c r="AP2339" s="1"/>
      <c r="AQ2339" s="1"/>
      <c r="AR2339" s="1"/>
      <c r="AS2339" s="1"/>
      <c r="AT2339" s="1"/>
      <c r="AU2339" s="1"/>
      <c r="AV2339" s="1"/>
      <c r="AW2339" s="1"/>
      <c r="AX2339" s="1"/>
      <c r="AY2339" s="1"/>
      <c r="AZ2339" s="1"/>
      <c r="BA2339" s="1"/>
      <c r="BB2339" s="1"/>
      <c r="BC2339" s="1"/>
      <c r="BD2339" s="1"/>
      <c r="BE2339" s="1"/>
    </row>
    <row x14ac:dyDescent="0.25" r="2340" customHeight="1" ht="18.75">
      <c r="A2340" s="1"/>
      <c r="B2340" s="2"/>
      <c r="C2340" s="2"/>
      <c r="D2340" s="2"/>
      <c r="E2340" s="2"/>
      <c r="F2340" s="2"/>
      <c r="G2340" s="1"/>
      <c r="H2340" s="1"/>
      <c r="I2340" s="7">
        <v>2.337</v>
      </c>
      <c r="J2340" s="7">
        <f>IF((I2340-ROUNDDOWN(I2340,0))=0, 0, (I2340-ROUNDDOWN(I2340,0)))</f>
      </c>
      <c r="K2340" s="7">
        <f>INDIRECT("C$"&amp;2+MIN(2,ROUNDDOWN(I2340,0))*3)*(-$J2340^3+3*$J2340^2-3*$J2340+1)+INDIRECT("C$"&amp;3+MIN(2,ROUNDDOWN(I2340,0))*3)*(3*$J2340^3-6*$J2340^2+3*$J2340)+INDIRECT("C$"&amp;4+MIN(2,ROUNDDOWN(I2340,0))*3)*(-3*$J2340^3+3*$J2340^2)+INDIRECT("C$"&amp;5+MIN(2,ROUNDDOWN(I2340,0))*3)*$J2340^3</f>
      </c>
      <c r="L2340" s="7">
        <f>INDIRECT("D$"&amp;2+MIN(2,ROUNDDOWN(I2340,0))*3)*(-$J2340^3+3*$J2340^2-3*$J2340+1)+INDIRECT("D$"&amp;3+MIN(2,ROUNDDOWN(I2340,0))*3)*(3*$J2340^3-6*$J2340^2+3*$J2340)+INDIRECT("D$"&amp;4+MIN(2,ROUNDDOWN(I2340,0))*3)*(-3*$J2340^3+3*$J2340^2)+INDIRECT("D$"&amp;5+MIN(2,ROUNDDOWN(I2340,0))*3)*$J2340^3</f>
      </c>
      <c r="M2340" s="7">
        <f>SQRT(K2340^2+L2340^2)</f>
      </c>
      <c r="N2340" s="7">
        <f>(K2341-K2339)</f>
      </c>
      <c r="O2340" s="7">
        <f>+(L2341-L2339)</f>
      </c>
      <c r="P2340" s="7">
        <f>SQRT(O2340^2+N2340^2)</f>
      </c>
      <c r="Q2340" s="7">
        <f>N2340/$P2340</f>
      </c>
      <c r="R2340" s="7">
        <f>O2340/$P2340</f>
      </c>
      <c r="S2340" s="7">
        <f>Q2340^2+R2340^2</f>
      </c>
      <c r="T2340" s="7">
        <f>-R2340</f>
      </c>
      <c r="U2340" s="7">
        <f>Q2340</f>
      </c>
      <c r="V2340" s="7">
        <f>($C$14+($C$15-$C$14)/($D$15-$D$14)*(I2340-$D$14))/2</f>
      </c>
      <c r="W2340" s="7">
        <f>($B$22*I2340^4+$C$22*I2340^3+$D$22*I2340^2+$E$22*I2340+$F$22)/2</f>
      </c>
      <c r="X2340" s="7">
        <f>($W2340)*(T2340)</f>
      </c>
      <c r="Y2340" s="7">
        <f>($W2340)*(U2340)</f>
      </c>
      <c r="Z2340" s="7">
        <f>SQRT(X2340^2+Y2340^2)</f>
      </c>
      <c r="AA2340" s="7">
        <f>$K2340+$X2340</f>
      </c>
      <c r="AB2340" s="7">
        <f>$L2340+$Y2340</f>
      </c>
      <c r="AC2340" s="7">
        <f>$K2340-$X2340</f>
      </c>
      <c r="AD2340" s="7">
        <f>$L2340-$Y2340</f>
      </c>
      <c r="AE2340" s="7">
        <f>AA2340/39.3701</f>
      </c>
      <c r="AF2340" s="7">
        <f>AB2340/39.3701</f>
      </c>
      <c r="AG2340" s="7">
        <f>AC2340/39.3701</f>
      </c>
      <c r="AH2340" s="7">
        <f>AD2340/39.3701</f>
      </c>
      <c r="AI2340" s="1"/>
      <c r="AJ2340" s="1"/>
      <c r="AK2340" s="1"/>
      <c r="AL2340" s="1"/>
      <c r="AM2340" s="2"/>
      <c r="AN2340" s="1"/>
      <c r="AO2340" s="1"/>
      <c r="AP2340" s="1"/>
      <c r="AQ2340" s="1"/>
      <c r="AR2340" s="1"/>
      <c r="AS2340" s="1"/>
      <c r="AT2340" s="1"/>
      <c r="AU2340" s="1"/>
      <c r="AV2340" s="1"/>
      <c r="AW2340" s="1"/>
      <c r="AX2340" s="1"/>
      <c r="AY2340" s="1"/>
      <c r="AZ2340" s="1"/>
      <c r="BA2340" s="1"/>
      <c r="BB2340" s="1"/>
      <c r="BC2340" s="1"/>
      <c r="BD2340" s="1"/>
      <c r="BE2340" s="1"/>
    </row>
    <row x14ac:dyDescent="0.25" r="2341" customHeight="1" ht="18.75">
      <c r="A2341" s="1"/>
      <c r="B2341" s="2"/>
      <c r="C2341" s="2"/>
      <c r="D2341" s="2"/>
      <c r="E2341" s="2"/>
      <c r="F2341" s="2"/>
      <c r="G2341" s="1"/>
      <c r="H2341" s="1"/>
      <c r="I2341" s="7">
        <v>2.338</v>
      </c>
      <c r="J2341" s="7">
        <f>IF((I2341-ROUNDDOWN(I2341,0))=0, 0, (I2341-ROUNDDOWN(I2341,0)))</f>
      </c>
      <c r="K2341" s="7">
        <f>INDIRECT("C$"&amp;2+MIN(2,ROUNDDOWN(I2341,0))*3)*(-$J2341^3+3*$J2341^2-3*$J2341+1)+INDIRECT("C$"&amp;3+MIN(2,ROUNDDOWN(I2341,0))*3)*(3*$J2341^3-6*$J2341^2+3*$J2341)+INDIRECT("C$"&amp;4+MIN(2,ROUNDDOWN(I2341,0))*3)*(-3*$J2341^3+3*$J2341^2)+INDIRECT("C$"&amp;5+MIN(2,ROUNDDOWN(I2341,0))*3)*$J2341^3</f>
      </c>
      <c r="L2341" s="7">
        <f>INDIRECT("D$"&amp;2+MIN(2,ROUNDDOWN(I2341,0))*3)*(-$J2341^3+3*$J2341^2-3*$J2341+1)+INDIRECT("D$"&amp;3+MIN(2,ROUNDDOWN(I2341,0))*3)*(3*$J2341^3-6*$J2341^2+3*$J2341)+INDIRECT("D$"&amp;4+MIN(2,ROUNDDOWN(I2341,0))*3)*(-3*$J2341^3+3*$J2341^2)+INDIRECT("D$"&amp;5+MIN(2,ROUNDDOWN(I2341,0))*3)*$J2341^3</f>
      </c>
      <c r="M2341" s="7">
        <f>SQRT(K2341^2+L2341^2)</f>
      </c>
      <c r="N2341" s="7">
        <f>(K2342-K2340)</f>
      </c>
      <c r="O2341" s="7">
        <f>+(L2342-L2340)</f>
      </c>
      <c r="P2341" s="7">
        <f>SQRT(O2341^2+N2341^2)</f>
      </c>
      <c r="Q2341" s="7">
        <f>N2341/$P2341</f>
      </c>
      <c r="R2341" s="7">
        <f>O2341/$P2341</f>
      </c>
      <c r="S2341" s="8">
        <f>Q2341^2+R2341^2</f>
      </c>
      <c r="T2341" s="7">
        <f>-R2341</f>
      </c>
      <c r="U2341" s="7">
        <f>Q2341</f>
      </c>
      <c r="V2341" s="7">
        <f>($C$14+($C$15-$C$14)/($D$15-$D$14)*(I2341-$D$14))/2</f>
      </c>
      <c r="W2341" s="7">
        <f>($B$22*I2341^4+$C$22*I2341^3+$D$22*I2341^2+$E$22*I2341+$F$22)/2</f>
      </c>
      <c r="X2341" s="7">
        <f>($W2341)*(T2341)</f>
      </c>
      <c r="Y2341" s="7">
        <f>($W2341)*(U2341)</f>
      </c>
      <c r="Z2341" s="7">
        <f>SQRT(X2341^2+Y2341^2)</f>
      </c>
      <c r="AA2341" s="7">
        <f>$K2341+$X2341</f>
      </c>
      <c r="AB2341" s="7">
        <f>$L2341+$Y2341</f>
      </c>
      <c r="AC2341" s="7">
        <f>$K2341-$X2341</f>
      </c>
      <c r="AD2341" s="7">
        <f>$L2341-$Y2341</f>
      </c>
      <c r="AE2341" s="7">
        <f>AA2341/39.3701</f>
      </c>
      <c r="AF2341" s="7">
        <f>AB2341/39.3701</f>
      </c>
      <c r="AG2341" s="7">
        <f>AC2341/39.3701</f>
      </c>
      <c r="AH2341" s="7">
        <f>AD2341/39.3701</f>
      </c>
      <c r="AI2341" s="1"/>
      <c r="AJ2341" s="1"/>
      <c r="AK2341" s="1"/>
      <c r="AL2341" s="1"/>
      <c r="AM2341" s="2"/>
      <c r="AN2341" s="1"/>
      <c r="AO2341" s="1"/>
      <c r="AP2341" s="1"/>
      <c r="AQ2341" s="1"/>
      <c r="AR2341" s="1"/>
      <c r="AS2341" s="1"/>
      <c r="AT2341" s="1"/>
      <c r="AU2341" s="1"/>
      <c r="AV2341" s="1"/>
      <c r="AW2341" s="1"/>
      <c r="AX2341" s="1"/>
      <c r="AY2341" s="1"/>
      <c r="AZ2341" s="1"/>
      <c r="BA2341" s="1"/>
      <c r="BB2341" s="1"/>
      <c r="BC2341" s="1"/>
      <c r="BD2341" s="1"/>
      <c r="BE2341" s="1"/>
    </row>
    <row x14ac:dyDescent="0.25" r="2342" customHeight="1" ht="18.75">
      <c r="A2342" s="1"/>
      <c r="B2342" s="2"/>
      <c r="C2342" s="2"/>
      <c r="D2342" s="2"/>
      <c r="E2342" s="2"/>
      <c r="F2342" s="2"/>
      <c r="G2342" s="1"/>
      <c r="H2342" s="1"/>
      <c r="I2342" s="7">
        <v>2.339</v>
      </c>
      <c r="J2342" s="7">
        <f>IF((I2342-ROUNDDOWN(I2342,0))=0, 0, (I2342-ROUNDDOWN(I2342,0)))</f>
      </c>
      <c r="K2342" s="7">
        <f>INDIRECT("C$"&amp;2+MIN(2,ROUNDDOWN(I2342,0))*3)*(-$J2342^3+3*$J2342^2-3*$J2342+1)+INDIRECT("C$"&amp;3+MIN(2,ROUNDDOWN(I2342,0))*3)*(3*$J2342^3-6*$J2342^2+3*$J2342)+INDIRECT("C$"&amp;4+MIN(2,ROUNDDOWN(I2342,0))*3)*(-3*$J2342^3+3*$J2342^2)+INDIRECT("C$"&amp;5+MIN(2,ROUNDDOWN(I2342,0))*3)*$J2342^3</f>
      </c>
      <c r="L2342" s="7">
        <f>INDIRECT("D$"&amp;2+MIN(2,ROUNDDOWN(I2342,0))*3)*(-$J2342^3+3*$J2342^2-3*$J2342+1)+INDIRECT("D$"&amp;3+MIN(2,ROUNDDOWN(I2342,0))*3)*(3*$J2342^3-6*$J2342^2+3*$J2342)+INDIRECT("D$"&amp;4+MIN(2,ROUNDDOWN(I2342,0))*3)*(-3*$J2342^3+3*$J2342^2)+INDIRECT("D$"&amp;5+MIN(2,ROUNDDOWN(I2342,0))*3)*$J2342^3</f>
      </c>
      <c r="M2342" s="7">
        <f>SQRT(K2342^2+L2342^2)</f>
      </c>
      <c r="N2342" s="7">
        <f>(K2343-K2341)</f>
      </c>
      <c r="O2342" s="7">
        <f>+(L2343-L2341)</f>
      </c>
      <c r="P2342" s="7">
        <f>SQRT(O2342^2+N2342^2)</f>
      </c>
      <c r="Q2342" s="7">
        <f>N2342/$P2342</f>
      </c>
      <c r="R2342" s="7">
        <f>O2342/$P2342</f>
      </c>
      <c r="S2342" s="8">
        <f>Q2342^2+R2342^2</f>
      </c>
      <c r="T2342" s="7">
        <f>-R2342</f>
      </c>
      <c r="U2342" s="7">
        <f>Q2342</f>
      </c>
      <c r="V2342" s="7">
        <f>($C$14+($C$15-$C$14)/($D$15-$D$14)*(I2342-$D$14))/2</f>
      </c>
      <c r="W2342" s="7">
        <f>($B$22*I2342^4+$C$22*I2342^3+$D$22*I2342^2+$E$22*I2342+$F$22)/2</f>
      </c>
      <c r="X2342" s="7">
        <f>($W2342)*(T2342)</f>
      </c>
      <c r="Y2342" s="7">
        <f>($W2342)*(U2342)</f>
      </c>
      <c r="Z2342" s="7">
        <f>SQRT(X2342^2+Y2342^2)</f>
      </c>
      <c r="AA2342" s="7">
        <f>$K2342+$X2342</f>
      </c>
      <c r="AB2342" s="7">
        <f>$L2342+$Y2342</f>
      </c>
      <c r="AC2342" s="7">
        <f>$K2342-$X2342</f>
      </c>
      <c r="AD2342" s="7">
        <f>$L2342-$Y2342</f>
      </c>
      <c r="AE2342" s="7">
        <f>AA2342/39.3701</f>
      </c>
      <c r="AF2342" s="7">
        <f>AB2342/39.3701</f>
      </c>
      <c r="AG2342" s="7">
        <f>AC2342/39.3701</f>
      </c>
      <c r="AH2342" s="7">
        <f>AD2342/39.3701</f>
      </c>
      <c r="AI2342" s="1"/>
      <c r="AJ2342" s="1"/>
      <c r="AK2342" s="1"/>
      <c r="AL2342" s="1"/>
      <c r="AM2342" s="2"/>
      <c r="AN2342" s="1"/>
      <c r="AO2342" s="1"/>
      <c r="AP2342" s="1"/>
      <c r="AQ2342" s="1"/>
      <c r="AR2342" s="1"/>
      <c r="AS2342" s="1"/>
      <c r="AT2342" s="1"/>
      <c r="AU2342" s="1"/>
      <c r="AV2342" s="1"/>
      <c r="AW2342" s="1"/>
      <c r="AX2342" s="1"/>
      <c r="AY2342" s="1"/>
      <c r="AZ2342" s="1"/>
      <c r="BA2342" s="1"/>
      <c r="BB2342" s="1"/>
      <c r="BC2342" s="1"/>
      <c r="BD2342" s="1"/>
      <c r="BE2342" s="1"/>
    </row>
    <row x14ac:dyDescent="0.25" r="2343" customHeight="1" ht="18.75">
      <c r="A2343" s="1"/>
      <c r="B2343" s="2"/>
      <c r="C2343" s="2"/>
      <c r="D2343" s="2"/>
      <c r="E2343" s="2"/>
      <c r="F2343" s="2"/>
      <c r="G2343" s="1"/>
      <c r="H2343" s="1"/>
      <c r="I2343" s="7">
        <v>2.34</v>
      </c>
      <c r="J2343" s="7">
        <f>IF((I2343-ROUNDDOWN(I2343,0))=0, 0, (I2343-ROUNDDOWN(I2343,0)))</f>
      </c>
      <c r="K2343" s="7">
        <f>INDIRECT("C$"&amp;2+MIN(2,ROUNDDOWN(I2343,0))*3)*(-$J2343^3+3*$J2343^2-3*$J2343+1)+INDIRECT("C$"&amp;3+MIN(2,ROUNDDOWN(I2343,0))*3)*(3*$J2343^3-6*$J2343^2+3*$J2343)+INDIRECT("C$"&amp;4+MIN(2,ROUNDDOWN(I2343,0))*3)*(-3*$J2343^3+3*$J2343^2)+INDIRECT("C$"&amp;5+MIN(2,ROUNDDOWN(I2343,0))*3)*$J2343^3</f>
      </c>
      <c r="L2343" s="7">
        <f>INDIRECT("D$"&amp;2+MIN(2,ROUNDDOWN(I2343,0))*3)*(-$J2343^3+3*$J2343^2-3*$J2343+1)+INDIRECT("D$"&amp;3+MIN(2,ROUNDDOWN(I2343,0))*3)*(3*$J2343^3-6*$J2343^2+3*$J2343)+INDIRECT("D$"&amp;4+MIN(2,ROUNDDOWN(I2343,0))*3)*(-3*$J2343^3+3*$J2343^2)+INDIRECT("D$"&amp;5+MIN(2,ROUNDDOWN(I2343,0))*3)*$J2343^3</f>
      </c>
      <c r="M2343" s="7">
        <f>SQRT(K2343^2+L2343^2)</f>
      </c>
      <c r="N2343" s="7">
        <f>(K2344-K2342)</f>
      </c>
      <c r="O2343" s="7">
        <f>+(L2344-L2342)</f>
      </c>
      <c r="P2343" s="7">
        <f>SQRT(O2343^2+N2343^2)</f>
      </c>
      <c r="Q2343" s="7">
        <f>N2343/$P2343</f>
      </c>
      <c r="R2343" s="7">
        <f>O2343/$P2343</f>
      </c>
      <c r="S2343" s="7">
        <f>Q2343^2+R2343^2</f>
      </c>
      <c r="T2343" s="7">
        <f>-R2343</f>
      </c>
      <c r="U2343" s="7">
        <f>Q2343</f>
      </c>
      <c r="V2343" s="7">
        <f>($C$14+($C$15-$C$14)/($D$15-$D$14)*(I2343-$D$14))/2</f>
      </c>
      <c r="W2343" s="7">
        <f>($B$22*I2343^4+$C$22*I2343^3+$D$22*I2343^2+$E$22*I2343+$F$22)/2</f>
      </c>
      <c r="X2343" s="7">
        <f>($W2343)*(T2343)</f>
      </c>
      <c r="Y2343" s="7">
        <f>($W2343)*(U2343)</f>
      </c>
      <c r="Z2343" s="7">
        <f>SQRT(X2343^2+Y2343^2)</f>
      </c>
      <c r="AA2343" s="7">
        <f>$K2343+$X2343</f>
      </c>
      <c r="AB2343" s="7">
        <f>$L2343+$Y2343</f>
      </c>
      <c r="AC2343" s="7">
        <f>$K2343-$X2343</f>
      </c>
      <c r="AD2343" s="7">
        <f>$L2343-$Y2343</f>
      </c>
      <c r="AE2343" s="7">
        <f>AA2343/39.3701</f>
      </c>
      <c r="AF2343" s="7">
        <f>AB2343/39.3701</f>
      </c>
      <c r="AG2343" s="7">
        <f>AC2343/39.3701</f>
      </c>
      <c r="AH2343" s="7">
        <f>AD2343/39.3701</f>
      </c>
      <c r="AI2343" s="1"/>
      <c r="AJ2343" s="1"/>
      <c r="AK2343" s="1"/>
      <c r="AL2343" s="1"/>
      <c r="AM2343" s="2"/>
      <c r="AN2343" s="1"/>
      <c r="AO2343" s="1"/>
      <c r="AP2343" s="1"/>
      <c r="AQ2343" s="1"/>
      <c r="AR2343" s="1"/>
      <c r="AS2343" s="1"/>
      <c r="AT2343" s="1"/>
      <c r="AU2343" s="1"/>
      <c r="AV2343" s="1"/>
      <c r="AW2343" s="1"/>
      <c r="AX2343" s="1"/>
      <c r="AY2343" s="1"/>
      <c r="AZ2343" s="1"/>
      <c r="BA2343" s="1"/>
      <c r="BB2343" s="1"/>
      <c r="BC2343" s="1"/>
      <c r="BD2343" s="1"/>
      <c r="BE2343" s="1"/>
    </row>
    <row x14ac:dyDescent="0.25" r="2344" customHeight="1" ht="18.75">
      <c r="A2344" s="1"/>
      <c r="B2344" s="2"/>
      <c r="C2344" s="2"/>
      <c r="D2344" s="2"/>
      <c r="E2344" s="2"/>
      <c r="F2344" s="2"/>
      <c r="G2344" s="1"/>
      <c r="H2344" s="1"/>
      <c r="I2344" s="7">
        <v>2.341</v>
      </c>
      <c r="J2344" s="7">
        <f>IF((I2344-ROUNDDOWN(I2344,0))=0, 0, (I2344-ROUNDDOWN(I2344,0)))</f>
      </c>
      <c r="K2344" s="7">
        <f>INDIRECT("C$"&amp;2+MIN(2,ROUNDDOWN(I2344,0))*3)*(-$J2344^3+3*$J2344^2-3*$J2344+1)+INDIRECT("C$"&amp;3+MIN(2,ROUNDDOWN(I2344,0))*3)*(3*$J2344^3-6*$J2344^2+3*$J2344)+INDIRECT("C$"&amp;4+MIN(2,ROUNDDOWN(I2344,0))*3)*(-3*$J2344^3+3*$J2344^2)+INDIRECT("C$"&amp;5+MIN(2,ROUNDDOWN(I2344,0))*3)*$J2344^3</f>
      </c>
      <c r="L2344" s="7">
        <f>INDIRECT("D$"&amp;2+MIN(2,ROUNDDOWN(I2344,0))*3)*(-$J2344^3+3*$J2344^2-3*$J2344+1)+INDIRECT("D$"&amp;3+MIN(2,ROUNDDOWN(I2344,0))*3)*(3*$J2344^3-6*$J2344^2+3*$J2344)+INDIRECT("D$"&amp;4+MIN(2,ROUNDDOWN(I2344,0))*3)*(-3*$J2344^3+3*$J2344^2)+INDIRECT("D$"&amp;5+MIN(2,ROUNDDOWN(I2344,0))*3)*$J2344^3</f>
      </c>
      <c r="M2344" s="7">
        <f>SQRT(K2344^2+L2344^2)</f>
      </c>
      <c r="N2344" s="7">
        <f>(K2345-K2343)</f>
      </c>
      <c r="O2344" s="7">
        <f>+(L2345-L2343)</f>
      </c>
      <c r="P2344" s="7">
        <f>SQRT(O2344^2+N2344^2)</f>
      </c>
      <c r="Q2344" s="7">
        <f>N2344/$P2344</f>
      </c>
      <c r="R2344" s="7">
        <f>O2344/$P2344</f>
      </c>
      <c r="S2344" s="8">
        <f>Q2344^2+R2344^2</f>
      </c>
      <c r="T2344" s="7">
        <f>-R2344</f>
      </c>
      <c r="U2344" s="7">
        <f>Q2344</f>
      </c>
      <c r="V2344" s="7">
        <f>($C$14+($C$15-$C$14)/($D$15-$D$14)*(I2344-$D$14))/2</f>
      </c>
      <c r="W2344" s="7">
        <f>($B$22*I2344^4+$C$22*I2344^3+$D$22*I2344^2+$E$22*I2344+$F$22)/2</f>
      </c>
      <c r="X2344" s="7">
        <f>($W2344)*(T2344)</f>
      </c>
      <c r="Y2344" s="7">
        <f>($W2344)*(U2344)</f>
      </c>
      <c r="Z2344" s="7">
        <f>SQRT(X2344^2+Y2344^2)</f>
      </c>
      <c r="AA2344" s="7">
        <f>$K2344+$X2344</f>
      </c>
      <c r="AB2344" s="7">
        <f>$L2344+$Y2344</f>
      </c>
      <c r="AC2344" s="7">
        <f>$K2344-$X2344</f>
      </c>
      <c r="AD2344" s="7">
        <f>$L2344-$Y2344</f>
      </c>
      <c r="AE2344" s="7">
        <f>AA2344/39.3701</f>
      </c>
      <c r="AF2344" s="7">
        <f>AB2344/39.3701</f>
      </c>
      <c r="AG2344" s="7">
        <f>AC2344/39.3701</f>
      </c>
      <c r="AH2344" s="7">
        <f>AD2344/39.3701</f>
      </c>
      <c r="AI2344" s="1"/>
      <c r="AJ2344" s="1"/>
      <c r="AK2344" s="1"/>
      <c r="AL2344" s="1"/>
      <c r="AM2344" s="2"/>
      <c r="AN2344" s="1"/>
      <c r="AO2344" s="1"/>
      <c r="AP2344" s="1"/>
      <c r="AQ2344" s="1"/>
      <c r="AR2344" s="1"/>
      <c r="AS2344" s="1"/>
      <c r="AT2344" s="1"/>
      <c r="AU2344" s="1"/>
      <c r="AV2344" s="1"/>
      <c r="AW2344" s="1"/>
      <c r="AX2344" s="1"/>
      <c r="AY2344" s="1"/>
      <c r="AZ2344" s="1"/>
      <c r="BA2344" s="1"/>
      <c r="BB2344" s="1"/>
      <c r="BC2344" s="1"/>
      <c r="BD2344" s="1"/>
      <c r="BE2344" s="1"/>
    </row>
    <row x14ac:dyDescent="0.25" r="2345" customHeight="1" ht="18.75">
      <c r="A2345" s="1"/>
      <c r="B2345" s="2"/>
      <c r="C2345" s="2"/>
      <c r="D2345" s="2"/>
      <c r="E2345" s="2"/>
      <c r="F2345" s="2"/>
      <c r="G2345" s="1"/>
      <c r="H2345" s="1"/>
      <c r="I2345" s="7">
        <v>2.342</v>
      </c>
      <c r="J2345" s="7">
        <f>IF((I2345-ROUNDDOWN(I2345,0))=0, 0, (I2345-ROUNDDOWN(I2345,0)))</f>
      </c>
      <c r="K2345" s="7">
        <f>INDIRECT("C$"&amp;2+MIN(2,ROUNDDOWN(I2345,0))*3)*(-$J2345^3+3*$J2345^2-3*$J2345+1)+INDIRECT("C$"&amp;3+MIN(2,ROUNDDOWN(I2345,0))*3)*(3*$J2345^3-6*$J2345^2+3*$J2345)+INDIRECT("C$"&amp;4+MIN(2,ROUNDDOWN(I2345,0))*3)*(-3*$J2345^3+3*$J2345^2)+INDIRECT("C$"&amp;5+MIN(2,ROUNDDOWN(I2345,0))*3)*$J2345^3</f>
      </c>
      <c r="L2345" s="7">
        <f>INDIRECT("D$"&amp;2+MIN(2,ROUNDDOWN(I2345,0))*3)*(-$J2345^3+3*$J2345^2-3*$J2345+1)+INDIRECT("D$"&amp;3+MIN(2,ROUNDDOWN(I2345,0))*3)*(3*$J2345^3-6*$J2345^2+3*$J2345)+INDIRECT("D$"&amp;4+MIN(2,ROUNDDOWN(I2345,0))*3)*(-3*$J2345^3+3*$J2345^2)+INDIRECT("D$"&amp;5+MIN(2,ROUNDDOWN(I2345,0))*3)*$J2345^3</f>
      </c>
      <c r="M2345" s="7">
        <f>SQRT(K2345^2+L2345^2)</f>
      </c>
      <c r="N2345" s="7">
        <f>(K2346-K2344)</f>
      </c>
      <c r="O2345" s="7">
        <f>+(L2346-L2344)</f>
      </c>
      <c r="P2345" s="7">
        <f>SQRT(O2345^2+N2345^2)</f>
      </c>
      <c r="Q2345" s="7">
        <f>N2345/$P2345</f>
      </c>
      <c r="R2345" s="7">
        <f>O2345/$P2345</f>
      </c>
      <c r="S2345" s="8">
        <f>Q2345^2+R2345^2</f>
      </c>
      <c r="T2345" s="7">
        <f>-R2345</f>
      </c>
      <c r="U2345" s="7">
        <f>Q2345</f>
      </c>
      <c r="V2345" s="7">
        <f>($C$14+($C$15-$C$14)/($D$15-$D$14)*(I2345-$D$14))/2</f>
      </c>
      <c r="W2345" s="7">
        <f>($B$22*I2345^4+$C$22*I2345^3+$D$22*I2345^2+$E$22*I2345+$F$22)/2</f>
      </c>
      <c r="X2345" s="7">
        <f>($W2345)*(T2345)</f>
      </c>
      <c r="Y2345" s="7">
        <f>($W2345)*(U2345)</f>
      </c>
      <c r="Z2345" s="7">
        <f>SQRT(X2345^2+Y2345^2)</f>
      </c>
      <c r="AA2345" s="7">
        <f>$K2345+$X2345</f>
      </c>
      <c r="AB2345" s="7">
        <f>$L2345+$Y2345</f>
      </c>
      <c r="AC2345" s="7">
        <f>$K2345-$X2345</f>
      </c>
      <c r="AD2345" s="7">
        <f>$L2345-$Y2345</f>
      </c>
      <c r="AE2345" s="7">
        <f>AA2345/39.3701</f>
      </c>
      <c r="AF2345" s="7">
        <f>AB2345/39.3701</f>
      </c>
      <c r="AG2345" s="7">
        <f>AC2345/39.3701</f>
      </c>
      <c r="AH2345" s="7">
        <f>AD2345/39.3701</f>
      </c>
      <c r="AI2345" s="1"/>
      <c r="AJ2345" s="1"/>
      <c r="AK2345" s="1"/>
      <c r="AL2345" s="1"/>
      <c r="AM2345" s="2"/>
      <c r="AN2345" s="1"/>
      <c r="AO2345" s="1"/>
      <c r="AP2345" s="1"/>
      <c r="AQ2345" s="1"/>
      <c r="AR2345" s="1"/>
      <c r="AS2345" s="1"/>
      <c r="AT2345" s="1"/>
      <c r="AU2345" s="1"/>
      <c r="AV2345" s="1"/>
      <c r="AW2345" s="1"/>
      <c r="AX2345" s="1"/>
      <c r="AY2345" s="1"/>
      <c r="AZ2345" s="1"/>
      <c r="BA2345" s="1"/>
      <c r="BB2345" s="1"/>
      <c r="BC2345" s="1"/>
      <c r="BD2345" s="1"/>
      <c r="BE2345" s="1"/>
    </row>
    <row x14ac:dyDescent="0.25" r="2346" customHeight="1" ht="18.75">
      <c r="A2346" s="1"/>
      <c r="B2346" s="2"/>
      <c r="C2346" s="2"/>
      <c r="D2346" s="2"/>
      <c r="E2346" s="2"/>
      <c r="F2346" s="2"/>
      <c r="G2346" s="1"/>
      <c r="H2346" s="1"/>
      <c r="I2346" s="7">
        <v>2.343</v>
      </c>
      <c r="J2346" s="7">
        <f>IF((I2346-ROUNDDOWN(I2346,0))=0, 0, (I2346-ROUNDDOWN(I2346,0)))</f>
      </c>
      <c r="K2346" s="7">
        <f>INDIRECT("C$"&amp;2+MIN(2,ROUNDDOWN(I2346,0))*3)*(-$J2346^3+3*$J2346^2-3*$J2346+1)+INDIRECT("C$"&amp;3+MIN(2,ROUNDDOWN(I2346,0))*3)*(3*$J2346^3-6*$J2346^2+3*$J2346)+INDIRECT("C$"&amp;4+MIN(2,ROUNDDOWN(I2346,0))*3)*(-3*$J2346^3+3*$J2346^2)+INDIRECT("C$"&amp;5+MIN(2,ROUNDDOWN(I2346,0))*3)*$J2346^3</f>
      </c>
      <c r="L2346" s="7">
        <f>INDIRECT("D$"&amp;2+MIN(2,ROUNDDOWN(I2346,0))*3)*(-$J2346^3+3*$J2346^2-3*$J2346+1)+INDIRECT("D$"&amp;3+MIN(2,ROUNDDOWN(I2346,0))*3)*(3*$J2346^3-6*$J2346^2+3*$J2346)+INDIRECT("D$"&amp;4+MIN(2,ROUNDDOWN(I2346,0))*3)*(-3*$J2346^3+3*$J2346^2)+INDIRECT("D$"&amp;5+MIN(2,ROUNDDOWN(I2346,0))*3)*$J2346^3</f>
      </c>
      <c r="M2346" s="7">
        <f>SQRT(K2346^2+L2346^2)</f>
      </c>
      <c r="N2346" s="7">
        <f>(K2347-K2345)</f>
      </c>
      <c r="O2346" s="7">
        <f>+(L2347-L2345)</f>
      </c>
      <c r="P2346" s="7">
        <f>SQRT(O2346^2+N2346^2)</f>
      </c>
      <c r="Q2346" s="7">
        <f>N2346/$P2346</f>
      </c>
      <c r="R2346" s="7">
        <f>O2346/$P2346</f>
      </c>
      <c r="S2346" s="8">
        <f>Q2346^2+R2346^2</f>
      </c>
      <c r="T2346" s="7">
        <f>-R2346</f>
      </c>
      <c r="U2346" s="7">
        <f>Q2346</f>
      </c>
      <c r="V2346" s="7">
        <f>($C$14+($C$15-$C$14)/($D$15-$D$14)*(I2346-$D$14))/2</f>
      </c>
      <c r="W2346" s="7">
        <f>($B$22*I2346^4+$C$22*I2346^3+$D$22*I2346^2+$E$22*I2346+$F$22)/2</f>
      </c>
      <c r="X2346" s="7">
        <f>($W2346)*(T2346)</f>
      </c>
      <c r="Y2346" s="7">
        <f>($W2346)*(U2346)</f>
      </c>
      <c r="Z2346" s="7">
        <f>SQRT(X2346^2+Y2346^2)</f>
      </c>
      <c r="AA2346" s="7">
        <f>$K2346+$X2346</f>
      </c>
      <c r="AB2346" s="7">
        <f>$L2346+$Y2346</f>
      </c>
      <c r="AC2346" s="7">
        <f>$K2346-$X2346</f>
      </c>
      <c r="AD2346" s="7">
        <f>$L2346-$Y2346</f>
      </c>
      <c r="AE2346" s="7">
        <f>AA2346/39.3701</f>
      </c>
      <c r="AF2346" s="7">
        <f>AB2346/39.3701</f>
      </c>
      <c r="AG2346" s="7">
        <f>AC2346/39.3701</f>
      </c>
      <c r="AH2346" s="7">
        <f>AD2346/39.3701</f>
      </c>
      <c r="AI2346" s="1"/>
      <c r="AJ2346" s="1"/>
      <c r="AK2346" s="1"/>
      <c r="AL2346" s="1"/>
      <c r="AM2346" s="2"/>
      <c r="AN2346" s="1"/>
      <c r="AO2346" s="1"/>
      <c r="AP2346" s="1"/>
      <c r="AQ2346" s="1"/>
      <c r="AR2346" s="1"/>
      <c r="AS2346" s="1"/>
      <c r="AT2346" s="1"/>
      <c r="AU2346" s="1"/>
      <c r="AV2346" s="1"/>
      <c r="AW2346" s="1"/>
      <c r="AX2346" s="1"/>
      <c r="AY2346" s="1"/>
      <c r="AZ2346" s="1"/>
      <c r="BA2346" s="1"/>
      <c r="BB2346" s="1"/>
      <c r="BC2346" s="1"/>
      <c r="BD2346" s="1"/>
      <c r="BE2346" s="1"/>
    </row>
    <row x14ac:dyDescent="0.25" r="2347" customHeight="1" ht="18.75">
      <c r="A2347" s="1"/>
      <c r="B2347" s="2"/>
      <c r="C2347" s="2"/>
      <c r="D2347" s="2"/>
      <c r="E2347" s="2"/>
      <c r="F2347" s="2"/>
      <c r="G2347" s="1"/>
      <c r="H2347" s="1"/>
      <c r="I2347" s="7">
        <v>2.344</v>
      </c>
      <c r="J2347" s="7">
        <f>IF((I2347-ROUNDDOWN(I2347,0))=0, 0, (I2347-ROUNDDOWN(I2347,0)))</f>
      </c>
      <c r="K2347" s="7">
        <f>INDIRECT("C$"&amp;2+MIN(2,ROUNDDOWN(I2347,0))*3)*(-$J2347^3+3*$J2347^2-3*$J2347+1)+INDIRECT("C$"&amp;3+MIN(2,ROUNDDOWN(I2347,0))*3)*(3*$J2347^3-6*$J2347^2+3*$J2347)+INDIRECT("C$"&amp;4+MIN(2,ROUNDDOWN(I2347,0))*3)*(-3*$J2347^3+3*$J2347^2)+INDIRECT("C$"&amp;5+MIN(2,ROUNDDOWN(I2347,0))*3)*$J2347^3</f>
      </c>
      <c r="L2347" s="7">
        <f>INDIRECT("D$"&amp;2+MIN(2,ROUNDDOWN(I2347,0))*3)*(-$J2347^3+3*$J2347^2-3*$J2347+1)+INDIRECT("D$"&amp;3+MIN(2,ROUNDDOWN(I2347,0))*3)*(3*$J2347^3-6*$J2347^2+3*$J2347)+INDIRECT("D$"&amp;4+MIN(2,ROUNDDOWN(I2347,0))*3)*(-3*$J2347^3+3*$J2347^2)+INDIRECT("D$"&amp;5+MIN(2,ROUNDDOWN(I2347,0))*3)*$J2347^3</f>
      </c>
      <c r="M2347" s="7">
        <f>SQRT(K2347^2+L2347^2)</f>
      </c>
      <c r="N2347" s="7">
        <f>(K2348-K2346)</f>
      </c>
      <c r="O2347" s="7">
        <f>+(L2348-L2346)</f>
      </c>
      <c r="P2347" s="7">
        <f>SQRT(O2347^2+N2347^2)</f>
      </c>
      <c r="Q2347" s="7">
        <f>N2347/$P2347</f>
      </c>
      <c r="R2347" s="7">
        <f>O2347/$P2347</f>
      </c>
      <c r="S2347" s="8">
        <f>Q2347^2+R2347^2</f>
      </c>
      <c r="T2347" s="7">
        <f>-R2347</f>
      </c>
      <c r="U2347" s="7">
        <f>Q2347</f>
      </c>
      <c r="V2347" s="7">
        <f>($C$14+($C$15-$C$14)/($D$15-$D$14)*(I2347-$D$14))/2</f>
      </c>
      <c r="W2347" s="7">
        <f>($B$22*I2347^4+$C$22*I2347^3+$D$22*I2347^2+$E$22*I2347+$F$22)/2</f>
      </c>
      <c r="X2347" s="7">
        <f>($W2347)*(T2347)</f>
      </c>
      <c r="Y2347" s="7">
        <f>($W2347)*(U2347)</f>
      </c>
      <c r="Z2347" s="7">
        <f>SQRT(X2347^2+Y2347^2)</f>
      </c>
      <c r="AA2347" s="7">
        <f>$K2347+$X2347</f>
      </c>
      <c r="AB2347" s="7">
        <f>$L2347+$Y2347</f>
      </c>
      <c r="AC2347" s="7">
        <f>$K2347-$X2347</f>
      </c>
      <c r="AD2347" s="7">
        <f>$L2347-$Y2347</f>
      </c>
      <c r="AE2347" s="7">
        <f>AA2347/39.3701</f>
      </c>
      <c r="AF2347" s="7">
        <f>AB2347/39.3701</f>
      </c>
      <c r="AG2347" s="7">
        <f>AC2347/39.3701</f>
      </c>
      <c r="AH2347" s="7">
        <f>AD2347/39.3701</f>
      </c>
      <c r="AI2347" s="1"/>
      <c r="AJ2347" s="1"/>
      <c r="AK2347" s="1"/>
      <c r="AL2347" s="1"/>
      <c r="AM2347" s="2"/>
      <c r="AN2347" s="1"/>
      <c r="AO2347" s="1"/>
      <c r="AP2347" s="1"/>
      <c r="AQ2347" s="1"/>
      <c r="AR2347" s="1"/>
      <c r="AS2347" s="1"/>
      <c r="AT2347" s="1"/>
      <c r="AU2347" s="1"/>
      <c r="AV2347" s="1"/>
      <c r="AW2347" s="1"/>
      <c r="AX2347" s="1"/>
      <c r="AY2347" s="1"/>
      <c r="AZ2347" s="1"/>
      <c r="BA2347" s="1"/>
      <c r="BB2347" s="1"/>
      <c r="BC2347" s="1"/>
      <c r="BD2347" s="1"/>
      <c r="BE2347" s="1"/>
    </row>
    <row x14ac:dyDescent="0.25" r="2348" customHeight="1" ht="18.75">
      <c r="A2348" s="1"/>
      <c r="B2348" s="2"/>
      <c r="C2348" s="2"/>
      <c r="D2348" s="2"/>
      <c r="E2348" s="2"/>
      <c r="F2348" s="2"/>
      <c r="G2348" s="1"/>
      <c r="H2348" s="1"/>
      <c r="I2348" s="7">
        <v>2.345</v>
      </c>
      <c r="J2348" s="7">
        <f>IF((I2348-ROUNDDOWN(I2348,0))=0, 0, (I2348-ROUNDDOWN(I2348,0)))</f>
      </c>
      <c r="K2348" s="7">
        <f>INDIRECT("C$"&amp;2+MIN(2,ROUNDDOWN(I2348,0))*3)*(-$J2348^3+3*$J2348^2-3*$J2348+1)+INDIRECT("C$"&amp;3+MIN(2,ROUNDDOWN(I2348,0))*3)*(3*$J2348^3-6*$J2348^2+3*$J2348)+INDIRECT("C$"&amp;4+MIN(2,ROUNDDOWN(I2348,0))*3)*(-3*$J2348^3+3*$J2348^2)+INDIRECT("C$"&amp;5+MIN(2,ROUNDDOWN(I2348,0))*3)*$J2348^3</f>
      </c>
      <c r="L2348" s="7">
        <f>INDIRECT("D$"&amp;2+MIN(2,ROUNDDOWN(I2348,0))*3)*(-$J2348^3+3*$J2348^2-3*$J2348+1)+INDIRECT("D$"&amp;3+MIN(2,ROUNDDOWN(I2348,0))*3)*(3*$J2348^3-6*$J2348^2+3*$J2348)+INDIRECT("D$"&amp;4+MIN(2,ROUNDDOWN(I2348,0))*3)*(-3*$J2348^3+3*$J2348^2)+INDIRECT("D$"&amp;5+MIN(2,ROUNDDOWN(I2348,0))*3)*$J2348^3</f>
      </c>
      <c r="M2348" s="7">
        <f>SQRT(K2348^2+L2348^2)</f>
      </c>
      <c r="N2348" s="7">
        <f>(K2349-K2347)</f>
      </c>
      <c r="O2348" s="7">
        <f>+(L2349-L2347)</f>
      </c>
      <c r="P2348" s="7">
        <f>SQRT(O2348^2+N2348^2)</f>
      </c>
      <c r="Q2348" s="7">
        <f>N2348/$P2348</f>
      </c>
      <c r="R2348" s="7">
        <f>O2348/$P2348</f>
      </c>
      <c r="S2348" s="7">
        <f>Q2348^2+R2348^2</f>
      </c>
      <c r="T2348" s="7">
        <f>-R2348</f>
      </c>
      <c r="U2348" s="7">
        <f>Q2348</f>
      </c>
      <c r="V2348" s="7">
        <f>($C$14+($C$15-$C$14)/($D$15-$D$14)*(I2348-$D$14))/2</f>
      </c>
      <c r="W2348" s="7">
        <f>($B$22*I2348^4+$C$22*I2348^3+$D$22*I2348^2+$E$22*I2348+$F$22)/2</f>
      </c>
      <c r="X2348" s="7">
        <f>($W2348)*(T2348)</f>
      </c>
      <c r="Y2348" s="7">
        <f>($W2348)*(U2348)</f>
      </c>
      <c r="Z2348" s="7">
        <f>SQRT(X2348^2+Y2348^2)</f>
      </c>
      <c r="AA2348" s="7">
        <f>$K2348+$X2348</f>
      </c>
      <c r="AB2348" s="7">
        <f>$L2348+$Y2348</f>
      </c>
      <c r="AC2348" s="7">
        <f>$K2348-$X2348</f>
      </c>
      <c r="AD2348" s="7">
        <f>$L2348-$Y2348</f>
      </c>
      <c r="AE2348" s="7">
        <f>AA2348/39.3701</f>
      </c>
      <c r="AF2348" s="7">
        <f>AB2348/39.3701</f>
      </c>
      <c r="AG2348" s="7">
        <f>AC2348/39.3701</f>
      </c>
      <c r="AH2348" s="7">
        <f>AD2348/39.3701</f>
      </c>
      <c r="AI2348" s="1"/>
      <c r="AJ2348" s="1"/>
      <c r="AK2348" s="1"/>
      <c r="AL2348" s="1"/>
      <c r="AM2348" s="2"/>
      <c r="AN2348" s="1"/>
      <c r="AO2348" s="1"/>
      <c r="AP2348" s="1"/>
      <c r="AQ2348" s="1"/>
      <c r="AR2348" s="1"/>
      <c r="AS2348" s="1"/>
      <c r="AT2348" s="1"/>
      <c r="AU2348" s="1"/>
      <c r="AV2348" s="1"/>
      <c r="AW2348" s="1"/>
      <c r="AX2348" s="1"/>
      <c r="AY2348" s="1"/>
      <c r="AZ2348" s="1"/>
      <c r="BA2348" s="1"/>
      <c r="BB2348" s="1"/>
      <c r="BC2348" s="1"/>
      <c r="BD2348" s="1"/>
      <c r="BE2348" s="1"/>
    </row>
    <row x14ac:dyDescent="0.25" r="2349" customHeight="1" ht="18.75">
      <c r="A2349" s="1"/>
      <c r="B2349" s="2"/>
      <c r="C2349" s="2"/>
      <c r="D2349" s="2"/>
      <c r="E2349" s="2"/>
      <c r="F2349" s="2"/>
      <c r="G2349" s="1"/>
      <c r="H2349" s="1"/>
      <c r="I2349" s="7">
        <v>2.346</v>
      </c>
      <c r="J2349" s="7">
        <f>IF((I2349-ROUNDDOWN(I2349,0))=0, 0, (I2349-ROUNDDOWN(I2349,0)))</f>
      </c>
      <c r="K2349" s="7">
        <f>INDIRECT("C$"&amp;2+MIN(2,ROUNDDOWN(I2349,0))*3)*(-$J2349^3+3*$J2349^2-3*$J2349+1)+INDIRECT("C$"&amp;3+MIN(2,ROUNDDOWN(I2349,0))*3)*(3*$J2349^3-6*$J2349^2+3*$J2349)+INDIRECT("C$"&amp;4+MIN(2,ROUNDDOWN(I2349,0))*3)*(-3*$J2349^3+3*$J2349^2)+INDIRECT("C$"&amp;5+MIN(2,ROUNDDOWN(I2349,0))*3)*$J2349^3</f>
      </c>
      <c r="L2349" s="7">
        <f>INDIRECT("D$"&amp;2+MIN(2,ROUNDDOWN(I2349,0))*3)*(-$J2349^3+3*$J2349^2-3*$J2349+1)+INDIRECT("D$"&amp;3+MIN(2,ROUNDDOWN(I2349,0))*3)*(3*$J2349^3-6*$J2349^2+3*$J2349)+INDIRECT("D$"&amp;4+MIN(2,ROUNDDOWN(I2349,0))*3)*(-3*$J2349^3+3*$J2349^2)+INDIRECT("D$"&amp;5+MIN(2,ROUNDDOWN(I2349,0))*3)*$J2349^3</f>
      </c>
      <c r="M2349" s="7">
        <f>SQRT(K2349^2+L2349^2)</f>
      </c>
      <c r="N2349" s="7">
        <f>(K2350-K2348)</f>
      </c>
      <c r="O2349" s="7">
        <f>+(L2350-L2348)</f>
      </c>
      <c r="P2349" s="7">
        <f>SQRT(O2349^2+N2349^2)</f>
      </c>
      <c r="Q2349" s="7">
        <f>N2349/$P2349</f>
      </c>
      <c r="R2349" s="7">
        <f>O2349/$P2349</f>
      </c>
      <c r="S2349" s="7">
        <f>Q2349^2+R2349^2</f>
      </c>
      <c r="T2349" s="7">
        <f>-R2349</f>
      </c>
      <c r="U2349" s="7">
        <f>Q2349</f>
      </c>
      <c r="V2349" s="7">
        <f>($C$14+($C$15-$C$14)/($D$15-$D$14)*(I2349-$D$14))/2</f>
      </c>
      <c r="W2349" s="7">
        <f>($B$22*I2349^4+$C$22*I2349^3+$D$22*I2349^2+$E$22*I2349+$F$22)/2</f>
      </c>
      <c r="X2349" s="7">
        <f>($W2349)*(T2349)</f>
      </c>
      <c r="Y2349" s="7">
        <f>($W2349)*(U2349)</f>
      </c>
      <c r="Z2349" s="7">
        <f>SQRT(X2349^2+Y2349^2)</f>
      </c>
      <c r="AA2349" s="7">
        <f>$K2349+$X2349</f>
      </c>
      <c r="AB2349" s="7">
        <f>$L2349+$Y2349</f>
      </c>
      <c r="AC2349" s="7">
        <f>$K2349-$X2349</f>
      </c>
      <c r="AD2349" s="7">
        <f>$L2349-$Y2349</f>
      </c>
      <c r="AE2349" s="7">
        <f>AA2349/39.3701</f>
      </c>
      <c r="AF2349" s="7">
        <f>AB2349/39.3701</f>
      </c>
      <c r="AG2349" s="7">
        <f>AC2349/39.3701</f>
      </c>
      <c r="AH2349" s="7">
        <f>AD2349/39.3701</f>
      </c>
      <c r="AI2349" s="1"/>
      <c r="AJ2349" s="1"/>
      <c r="AK2349" s="1"/>
      <c r="AL2349" s="1"/>
      <c r="AM2349" s="2"/>
      <c r="AN2349" s="1"/>
      <c r="AO2349" s="1"/>
      <c r="AP2349" s="1"/>
      <c r="AQ2349" s="1"/>
      <c r="AR2349" s="1"/>
      <c r="AS2349" s="1"/>
      <c r="AT2349" s="1"/>
      <c r="AU2349" s="1"/>
      <c r="AV2349" s="1"/>
      <c r="AW2349" s="1"/>
      <c r="AX2349" s="1"/>
      <c r="AY2349" s="1"/>
      <c r="AZ2349" s="1"/>
      <c r="BA2349" s="1"/>
      <c r="BB2349" s="1"/>
      <c r="BC2349" s="1"/>
      <c r="BD2349" s="1"/>
      <c r="BE2349" s="1"/>
    </row>
    <row x14ac:dyDescent="0.25" r="2350" customHeight="1" ht="18.75">
      <c r="A2350" s="1"/>
      <c r="B2350" s="2"/>
      <c r="C2350" s="2"/>
      <c r="D2350" s="2"/>
      <c r="E2350" s="2"/>
      <c r="F2350" s="2"/>
      <c r="G2350" s="1"/>
      <c r="H2350" s="1"/>
      <c r="I2350" s="7">
        <v>2.347</v>
      </c>
      <c r="J2350" s="7">
        <f>IF((I2350-ROUNDDOWN(I2350,0))=0, 0, (I2350-ROUNDDOWN(I2350,0)))</f>
      </c>
      <c r="K2350" s="7">
        <f>INDIRECT("C$"&amp;2+MIN(2,ROUNDDOWN(I2350,0))*3)*(-$J2350^3+3*$J2350^2-3*$J2350+1)+INDIRECT("C$"&amp;3+MIN(2,ROUNDDOWN(I2350,0))*3)*(3*$J2350^3-6*$J2350^2+3*$J2350)+INDIRECT("C$"&amp;4+MIN(2,ROUNDDOWN(I2350,0))*3)*(-3*$J2350^3+3*$J2350^2)+INDIRECT("C$"&amp;5+MIN(2,ROUNDDOWN(I2350,0))*3)*$J2350^3</f>
      </c>
      <c r="L2350" s="7">
        <f>INDIRECT("D$"&amp;2+MIN(2,ROUNDDOWN(I2350,0))*3)*(-$J2350^3+3*$J2350^2-3*$J2350+1)+INDIRECT("D$"&amp;3+MIN(2,ROUNDDOWN(I2350,0))*3)*(3*$J2350^3-6*$J2350^2+3*$J2350)+INDIRECT("D$"&amp;4+MIN(2,ROUNDDOWN(I2350,0))*3)*(-3*$J2350^3+3*$J2350^2)+INDIRECT("D$"&amp;5+MIN(2,ROUNDDOWN(I2350,0))*3)*$J2350^3</f>
      </c>
      <c r="M2350" s="7">
        <f>SQRT(K2350^2+L2350^2)</f>
      </c>
      <c r="N2350" s="7">
        <f>(K2351-K2349)</f>
      </c>
      <c r="O2350" s="7">
        <f>+(L2351-L2349)</f>
      </c>
      <c r="P2350" s="7">
        <f>SQRT(O2350^2+N2350^2)</f>
      </c>
      <c r="Q2350" s="7">
        <f>N2350/$P2350</f>
      </c>
      <c r="R2350" s="7">
        <f>O2350/$P2350</f>
      </c>
      <c r="S2350" s="8">
        <f>Q2350^2+R2350^2</f>
      </c>
      <c r="T2350" s="7">
        <f>-R2350</f>
      </c>
      <c r="U2350" s="7">
        <f>Q2350</f>
      </c>
      <c r="V2350" s="7">
        <f>($C$14+($C$15-$C$14)/($D$15-$D$14)*(I2350-$D$14))/2</f>
      </c>
      <c r="W2350" s="7">
        <f>($B$22*I2350^4+$C$22*I2350^3+$D$22*I2350^2+$E$22*I2350+$F$22)/2</f>
      </c>
      <c r="X2350" s="7">
        <f>($W2350)*(T2350)</f>
      </c>
      <c r="Y2350" s="7">
        <f>($W2350)*(U2350)</f>
      </c>
      <c r="Z2350" s="7">
        <f>SQRT(X2350^2+Y2350^2)</f>
      </c>
      <c r="AA2350" s="7">
        <f>$K2350+$X2350</f>
      </c>
      <c r="AB2350" s="7">
        <f>$L2350+$Y2350</f>
      </c>
      <c r="AC2350" s="7">
        <f>$K2350-$X2350</f>
      </c>
      <c r="AD2350" s="7">
        <f>$L2350-$Y2350</f>
      </c>
      <c r="AE2350" s="7">
        <f>AA2350/39.3701</f>
      </c>
      <c r="AF2350" s="7">
        <f>AB2350/39.3701</f>
      </c>
      <c r="AG2350" s="7">
        <f>AC2350/39.3701</f>
      </c>
      <c r="AH2350" s="7">
        <f>AD2350/39.3701</f>
      </c>
      <c r="AI2350" s="1"/>
      <c r="AJ2350" s="1"/>
      <c r="AK2350" s="1"/>
      <c r="AL2350" s="1"/>
      <c r="AM2350" s="2"/>
      <c r="AN2350" s="1"/>
      <c r="AO2350" s="1"/>
      <c r="AP2350" s="1"/>
      <c r="AQ2350" s="1"/>
      <c r="AR2350" s="1"/>
      <c r="AS2350" s="1"/>
      <c r="AT2350" s="1"/>
      <c r="AU2350" s="1"/>
      <c r="AV2350" s="1"/>
      <c r="AW2350" s="1"/>
      <c r="AX2350" s="1"/>
      <c r="AY2350" s="1"/>
      <c r="AZ2350" s="1"/>
      <c r="BA2350" s="1"/>
      <c r="BB2350" s="1"/>
      <c r="BC2350" s="1"/>
      <c r="BD2350" s="1"/>
      <c r="BE2350" s="1"/>
    </row>
    <row x14ac:dyDescent="0.25" r="2351" customHeight="1" ht="18.75">
      <c r="A2351" s="1"/>
      <c r="B2351" s="2"/>
      <c r="C2351" s="2"/>
      <c r="D2351" s="2"/>
      <c r="E2351" s="2"/>
      <c r="F2351" s="2"/>
      <c r="G2351" s="1"/>
      <c r="H2351" s="1"/>
      <c r="I2351" s="7">
        <v>2.348</v>
      </c>
      <c r="J2351" s="7">
        <f>IF((I2351-ROUNDDOWN(I2351,0))=0, 0, (I2351-ROUNDDOWN(I2351,0)))</f>
      </c>
      <c r="K2351" s="7">
        <f>INDIRECT("C$"&amp;2+MIN(2,ROUNDDOWN(I2351,0))*3)*(-$J2351^3+3*$J2351^2-3*$J2351+1)+INDIRECT("C$"&amp;3+MIN(2,ROUNDDOWN(I2351,0))*3)*(3*$J2351^3-6*$J2351^2+3*$J2351)+INDIRECT("C$"&amp;4+MIN(2,ROUNDDOWN(I2351,0))*3)*(-3*$J2351^3+3*$J2351^2)+INDIRECT("C$"&amp;5+MIN(2,ROUNDDOWN(I2351,0))*3)*$J2351^3</f>
      </c>
      <c r="L2351" s="7">
        <f>INDIRECT("D$"&amp;2+MIN(2,ROUNDDOWN(I2351,0))*3)*(-$J2351^3+3*$J2351^2-3*$J2351+1)+INDIRECT("D$"&amp;3+MIN(2,ROUNDDOWN(I2351,0))*3)*(3*$J2351^3-6*$J2351^2+3*$J2351)+INDIRECT("D$"&amp;4+MIN(2,ROUNDDOWN(I2351,0))*3)*(-3*$J2351^3+3*$J2351^2)+INDIRECT("D$"&amp;5+MIN(2,ROUNDDOWN(I2351,0))*3)*$J2351^3</f>
      </c>
      <c r="M2351" s="7">
        <f>SQRT(K2351^2+L2351^2)</f>
      </c>
      <c r="N2351" s="7">
        <f>(K2352-K2350)</f>
      </c>
      <c r="O2351" s="7">
        <f>+(L2352-L2350)</f>
      </c>
      <c r="P2351" s="7">
        <f>SQRT(O2351^2+N2351^2)</f>
      </c>
      <c r="Q2351" s="7">
        <f>N2351/$P2351</f>
      </c>
      <c r="R2351" s="7">
        <f>O2351/$P2351</f>
      </c>
      <c r="S2351" s="8">
        <f>Q2351^2+R2351^2</f>
      </c>
      <c r="T2351" s="7">
        <f>-R2351</f>
      </c>
      <c r="U2351" s="7">
        <f>Q2351</f>
      </c>
      <c r="V2351" s="7">
        <f>($C$14+($C$15-$C$14)/($D$15-$D$14)*(I2351-$D$14))/2</f>
      </c>
      <c r="W2351" s="7">
        <f>($B$22*I2351^4+$C$22*I2351^3+$D$22*I2351^2+$E$22*I2351+$F$22)/2</f>
      </c>
      <c r="X2351" s="7">
        <f>($W2351)*(T2351)</f>
      </c>
      <c r="Y2351" s="7">
        <f>($W2351)*(U2351)</f>
      </c>
      <c r="Z2351" s="7">
        <f>SQRT(X2351^2+Y2351^2)</f>
      </c>
      <c r="AA2351" s="7">
        <f>$K2351+$X2351</f>
      </c>
      <c r="AB2351" s="7">
        <f>$L2351+$Y2351</f>
      </c>
      <c r="AC2351" s="7">
        <f>$K2351-$X2351</f>
      </c>
      <c r="AD2351" s="7">
        <f>$L2351-$Y2351</f>
      </c>
      <c r="AE2351" s="7">
        <f>AA2351/39.3701</f>
      </c>
      <c r="AF2351" s="7">
        <f>AB2351/39.3701</f>
      </c>
      <c r="AG2351" s="7">
        <f>AC2351/39.3701</f>
      </c>
      <c r="AH2351" s="7">
        <f>AD2351/39.3701</f>
      </c>
      <c r="AI2351" s="1"/>
      <c r="AJ2351" s="1"/>
      <c r="AK2351" s="1"/>
      <c r="AL2351" s="1"/>
      <c r="AM2351" s="2"/>
      <c r="AN2351" s="1"/>
      <c r="AO2351" s="1"/>
      <c r="AP2351" s="1"/>
      <c r="AQ2351" s="1"/>
      <c r="AR2351" s="1"/>
      <c r="AS2351" s="1"/>
      <c r="AT2351" s="1"/>
      <c r="AU2351" s="1"/>
      <c r="AV2351" s="1"/>
      <c r="AW2351" s="1"/>
      <c r="AX2351" s="1"/>
      <c r="AY2351" s="1"/>
      <c r="AZ2351" s="1"/>
      <c r="BA2351" s="1"/>
      <c r="BB2351" s="1"/>
      <c r="BC2351" s="1"/>
      <c r="BD2351" s="1"/>
      <c r="BE2351" s="1"/>
    </row>
    <row x14ac:dyDescent="0.25" r="2352" customHeight="1" ht="18.75">
      <c r="A2352" s="1"/>
      <c r="B2352" s="2"/>
      <c r="C2352" s="2"/>
      <c r="D2352" s="2"/>
      <c r="E2352" s="2"/>
      <c r="F2352" s="2"/>
      <c r="G2352" s="1"/>
      <c r="H2352" s="1"/>
      <c r="I2352" s="7">
        <v>2.349</v>
      </c>
      <c r="J2352" s="7">
        <f>IF((I2352-ROUNDDOWN(I2352,0))=0, 0, (I2352-ROUNDDOWN(I2352,0)))</f>
      </c>
      <c r="K2352" s="7">
        <f>INDIRECT("C$"&amp;2+MIN(2,ROUNDDOWN(I2352,0))*3)*(-$J2352^3+3*$J2352^2-3*$J2352+1)+INDIRECT("C$"&amp;3+MIN(2,ROUNDDOWN(I2352,0))*3)*(3*$J2352^3-6*$J2352^2+3*$J2352)+INDIRECT("C$"&amp;4+MIN(2,ROUNDDOWN(I2352,0))*3)*(-3*$J2352^3+3*$J2352^2)+INDIRECT("C$"&amp;5+MIN(2,ROUNDDOWN(I2352,0))*3)*$J2352^3</f>
      </c>
      <c r="L2352" s="7">
        <f>INDIRECT("D$"&amp;2+MIN(2,ROUNDDOWN(I2352,0))*3)*(-$J2352^3+3*$J2352^2-3*$J2352+1)+INDIRECT("D$"&amp;3+MIN(2,ROUNDDOWN(I2352,0))*3)*(3*$J2352^3-6*$J2352^2+3*$J2352)+INDIRECT("D$"&amp;4+MIN(2,ROUNDDOWN(I2352,0))*3)*(-3*$J2352^3+3*$J2352^2)+INDIRECT("D$"&amp;5+MIN(2,ROUNDDOWN(I2352,0))*3)*$J2352^3</f>
      </c>
      <c r="M2352" s="7">
        <f>SQRT(K2352^2+L2352^2)</f>
      </c>
      <c r="N2352" s="7">
        <f>(K2353-K2351)</f>
      </c>
      <c r="O2352" s="7">
        <f>+(L2353-L2351)</f>
      </c>
      <c r="P2352" s="7">
        <f>SQRT(O2352^2+N2352^2)</f>
      </c>
      <c r="Q2352" s="7">
        <f>N2352/$P2352</f>
      </c>
      <c r="R2352" s="7">
        <f>O2352/$P2352</f>
      </c>
      <c r="S2352" s="8">
        <f>Q2352^2+R2352^2</f>
      </c>
      <c r="T2352" s="7">
        <f>-R2352</f>
      </c>
      <c r="U2352" s="7">
        <f>Q2352</f>
      </c>
      <c r="V2352" s="7">
        <f>($C$14+($C$15-$C$14)/($D$15-$D$14)*(I2352-$D$14))/2</f>
      </c>
      <c r="W2352" s="7">
        <f>($B$22*I2352^4+$C$22*I2352^3+$D$22*I2352^2+$E$22*I2352+$F$22)/2</f>
      </c>
      <c r="X2352" s="7">
        <f>($W2352)*(T2352)</f>
      </c>
      <c r="Y2352" s="7">
        <f>($W2352)*(U2352)</f>
      </c>
      <c r="Z2352" s="7">
        <f>SQRT(X2352^2+Y2352^2)</f>
      </c>
      <c r="AA2352" s="7">
        <f>$K2352+$X2352</f>
      </c>
      <c r="AB2352" s="7">
        <f>$L2352+$Y2352</f>
      </c>
      <c r="AC2352" s="7">
        <f>$K2352-$X2352</f>
      </c>
      <c r="AD2352" s="7">
        <f>$L2352-$Y2352</f>
      </c>
      <c r="AE2352" s="7">
        <f>AA2352/39.3701</f>
      </c>
      <c r="AF2352" s="7">
        <f>AB2352/39.3701</f>
      </c>
      <c r="AG2352" s="7">
        <f>AC2352/39.3701</f>
      </c>
      <c r="AH2352" s="7">
        <f>AD2352/39.3701</f>
      </c>
      <c r="AI2352" s="1"/>
      <c r="AJ2352" s="1"/>
      <c r="AK2352" s="1"/>
      <c r="AL2352" s="1"/>
      <c r="AM2352" s="2"/>
      <c r="AN2352" s="1"/>
      <c r="AO2352" s="1"/>
      <c r="AP2352" s="1"/>
      <c r="AQ2352" s="1"/>
      <c r="AR2352" s="1"/>
      <c r="AS2352" s="1"/>
      <c r="AT2352" s="1"/>
      <c r="AU2352" s="1"/>
      <c r="AV2352" s="1"/>
      <c r="AW2352" s="1"/>
      <c r="AX2352" s="1"/>
      <c r="AY2352" s="1"/>
      <c r="AZ2352" s="1"/>
      <c r="BA2352" s="1"/>
      <c r="BB2352" s="1"/>
      <c r="BC2352" s="1"/>
      <c r="BD2352" s="1"/>
      <c r="BE2352" s="1"/>
    </row>
    <row x14ac:dyDescent="0.25" r="2353" customHeight="1" ht="18.75">
      <c r="A2353" s="1"/>
      <c r="B2353" s="2"/>
      <c r="C2353" s="2"/>
      <c r="D2353" s="2"/>
      <c r="E2353" s="2"/>
      <c r="F2353" s="2"/>
      <c r="G2353" s="1"/>
      <c r="H2353" s="1"/>
      <c r="I2353" s="7">
        <v>2.35</v>
      </c>
      <c r="J2353" s="7">
        <f>IF((I2353-ROUNDDOWN(I2353,0))=0, 0, (I2353-ROUNDDOWN(I2353,0)))</f>
      </c>
      <c r="K2353" s="7">
        <f>INDIRECT("C$"&amp;2+MIN(2,ROUNDDOWN(I2353,0))*3)*(-$J2353^3+3*$J2353^2-3*$J2353+1)+INDIRECT("C$"&amp;3+MIN(2,ROUNDDOWN(I2353,0))*3)*(3*$J2353^3-6*$J2353^2+3*$J2353)+INDIRECT("C$"&amp;4+MIN(2,ROUNDDOWN(I2353,0))*3)*(-3*$J2353^3+3*$J2353^2)+INDIRECT("C$"&amp;5+MIN(2,ROUNDDOWN(I2353,0))*3)*$J2353^3</f>
      </c>
      <c r="L2353" s="7">
        <f>INDIRECT("D$"&amp;2+MIN(2,ROUNDDOWN(I2353,0))*3)*(-$J2353^3+3*$J2353^2-3*$J2353+1)+INDIRECT("D$"&amp;3+MIN(2,ROUNDDOWN(I2353,0))*3)*(3*$J2353^3-6*$J2353^2+3*$J2353)+INDIRECT("D$"&amp;4+MIN(2,ROUNDDOWN(I2353,0))*3)*(-3*$J2353^3+3*$J2353^2)+INDIRECT("D$"&amp;5+MIN(2,ROUNDDOWN(I2353,0))*3)*$J2353^3</f>
      </c>
      <c r="M2353" s="7">
        <f>SQRT(K2353^2+L2353^2)</f>
      </c>
      <c r="N2353" s="7">
        <f>(K2354-K2352)</f>
      </c>
      <c r="O2353" s="7">
        <f>+(L2354-L2352)</f>
      </c>
      <c r="P2353" s="7">
        <f>SQRT(O2353^2+N2353^2)</f>
      </c>
      <c r="Q2353" s="7">
        <f>N2353/$P2353</f>
      </c>
      <c r="R2353" s="7">
        <f>O2353/$P2353</f>
      </c>
      <c r="S2353" s="8">
        <f>Q2353^2+R2353^2</f>
      </c>
      <c r="T2353" s="7">
        <f>-R2353</f>
      </c>
      <c r="U2353" s="7">
        <f>Q2353</f>
      </c>
      <c r="V2353" s="7">
        <f>($C$14+($C$15-$C$14)/($D$15-$D$14)*(I2353-$D$14))/2</f>
      </c>
      <c r="W2353" s="7">
        <f>($B$22*I2353^4+$C$22*I2353^3+$D$22*I2353^2+$E$22*I2353+$F$22)/2</f>
      </c>
      <c r="X2353" s="7">
        <f>($W2353)*(T2353)</f>
      </c>
      <c r="Y2353" s="7">
        <f>($W2353)*(U2353)</f>
      </c>
      <c r="Z2353" s="7">
        <f>SQRT(X2353^2+Y2353^2)</f>
      </c>
      <c r="AA2353" s="7">
        <f>$K2353+$X2353</f>
      </c>
      <c r="AB2353" s="7">
        <f>$L2353+$Y2353</f>
      </c>
      <c r="AC2353" s="7">
        <f>$K2353-$X2353</f>
      </c>
      <c r="AD2353" s="7">
        <f>$L2353-$Y2353</f>
      </c>
      <c r="AE2353" s="7">
        <f>AA2353/39.3701</f>
      </c>
      <c r="AF2353" s="7">
        <f>AB2353/39.3701</f>
      </c>
      <c r="AG2353" s="7">
        <f>AC2353/39.3701</f>
      </c>
      <c r="AH2353" s="7">
        <f>AD2353/39.3701</f>
      </c>
      <c r="AI2353" s="1"/>
      <c r="AJ2353" s="1"/>
      <c r="AK2353" s="1"/>
      <c r="AL2353" s="1"/>
      <c r="AM2353" s="2"/>
      <c r="AN2353" s="1"/>
      <c r="AO2353" s="1"/>
      <c r="AP2353" s="1"/>
      <c r="AQ2353" s="1"/>
      <c r="AR2353" s="1"/>
      <c r="AS2353" s="1"/>
      <c r="AT2353" s="1"/>
      <c r="AU2353" s="1"/>
      <c r="AV2353" s="1"/>
      <c r="AW2353" s="1"/>
      <c r="AX2353" s="1"/>
      <c r="AY2353" s="1"/>
      <c r="AZ2353" s="1"/>
      <c r="BA2353" s="1"/>
      <c r="BB2353" s="1"/>
      <c r="BC2353" s="1"/>
      <c r="BD2353" s="1"/>
      <c r="BE2353" s="1"/>
    </row>
    <row x14ac:dyDescent="0.25" r="2354" customHeight="1" ht="18.75">
      <c r="A2354" s="1"/>
      <c r="B2354" s="2"/>
      <c r="C2354" s="2"/>
      <c r="D2354" s="2"/>
      <c r="E2354" s="2"/>
      <c r="F2354" s="2"/>
      <c r="G2354" s="1"/>
      <c r="H2354" s="1"/>
      <c r="I2354" s="7">
        <v>2.351</v>
      </c>
      <c r="J2354" s="7">
        <f>IF((I2354-ROUNDDOWN(I2354,0))=0, 0, (I2354-ROUNDDOWN(I2354,0)))</f>
      </c>
      <c r="K2354" s="7">
        <f>INDIRECT("C$"&amp;2+MIN(2,ROUNDDOWN(I2354,0))*3)*(-$J2354^3+3*$J2354^2-3*$J2354+1)+INDIRECT("C$"&amp;3+MIN(2,ROUNDDOWN(I2354,0))*3)*(3*$J2354^3-6*$J2354^2+3*$J2354)+INDIRECT("C$"&amp;4+MIN(2,ROUNDDOWN(I2354,0))*3)*(-3*$J2354^3+3*$J2354^2)+INDIRECT("C$"&amp;5+MIN(2,ROUNDDOWN(I2354,0))*3)*$J2354^3</f>
      </c>
      <c r="L2354" s="7">
        <f>INDIRECT("D$"&amp;2+MIN(2,ROUNDDOWN(I2354,0))*3)*(-$J2354^3+3*$J2354^2-3*$J2354+1)+INDIRECT("D$"&amp;3+MIN(2,ROUNDDOWN(I2354,0))*3)*(3*$J2354^3-6*$J2354^2+3*$J2354)+INDIRECT("D$"&amp;4+MIN(2,ROUNDDOWN(I2354,0))*3)*(-3*$J2354^3+3*$J2354^2)+INDIRECT("D$"&amp;5+MIN(2,ROUNDDOWN(I2354,0))*3)*$J2354^3</f>
      </c>
      <c r="M2354" s="7">
        <f>SQRT(K2354^2+L2354^2)</f>
      </c>
      <c r="N2354" s="7">
        <f>(K2355-K2353)</f>
      </c>
      <c r="O2354" s="7">
        <f>+(L2355-L2353)</f>
      </c>
      <c r="P2354" s="7">
        <f>SQRT(O2354^2+N2354^2)</f>
      </c>
      <c r="Q2354" s="7">
        <f>N2354/$P2354</f>
      </c>
      <c r="R2354" s="7">
        <f>O2354/$P2354</f>
      </c>
      <c r="S2354" s="7">
        <f>Q2354^2+R2354^2</f>
      </c>
      <c r="T2354" s="7">
        <f>-R2354</f>
      </c>
      <c r="U2354" s="7">
        <f>Q2354</f>
      </c>
      <c r="V2354" s="7">
        <f>($C$14+($C$15-$C$14)/($D$15-$D$14)*(I2354-$D$14))/2</f>
      </c>
      <c r="W2354" s="7">
        <f>($B$22*I2354^4+$C$22*I2354^3+$D$22*I2354^2+$E$22*I2354+$F$22)/2</f>
      </c>
      <c r="X2354" s="7">
        <f>($W2354)*(T2354)</f>
      </c>
      <c r="Y2354" s="7">
        <f>($W2354)*(U2354)</f>
      </c>
      <c r="Z2354" s="7">
        <f>SQRT(X2354^2+Y2354^2)</f>
      </c>
      <c r="AA2354" s="7">
        <f>$K2354+$X2354</f>
      </c>
      <c r="AB2354" s="7">
        <f>$L2354+$Y2354</f>
      </c>
      <c r="AC2354" s="7">
        <f>$K2354-$X2354</f>
      </c>
      <c r="AD2354" s="7">
        <f>$L2354-$Y2354</f>
      </c>
      <c r="AE2354" s="7">
        <f>AA2354/39.3701</f>
      </c>
      <c r="AF2354" s="7">
        <f>AB2354/39.3701</f>
      </c>
      <c r="AG2354" s="7">
        <f>AC2354/39.3701</f>
      </c>
      <c r="AH2354" s="7">
        <f>AD2354/39.3701</f>
      </c>
      <c r="AI2354" s="1"/>
      <c r="AJ2354" s="1"/>
      <c r="AK2354" s="1"/>
      <c r="AL2354" s="1"/>
      <c r="AM2354" s="2"/>
      <c r="AN2354" s="1"/>
      <c r="AO2354" s="1"/>
      <c r="AP2354" s="1"/>
      <c r="AQ2354" s="1"/>
      <c r="AR2354" s="1"/>
      <c r="AS2354" s="1"/>
      <c r="AT2354" s="1"/>
      <c r="AU2354" s="1"/>
      <c r="AV2354" s="1"/>
      <c r="AW2354" s="1"/>
      <c r="AX2354" s="1"/>
      <c r="AY2354" s="1"/>
      <c r="AZ2354" s="1"/>
      <c r="BA2354" s="1"/>
      <c r="BB2354" s="1"/>
      <c r="BC2354" s="1"/>
      <c r="BD2354" s="1"/>
      <c r="BE2354" s="1"/>
    </row>
    <row x14ac:dyDescent="0.25" r="2355" customHeight="1" ht="18.75">
      <c r="A2355" s="1"/>
      <c r="B2355" s="2"/>
      <c r="C2355" s="2"/>
      <c r="D2355" s="2"/>
      <c r="E2355" s="2"/>
      <c r="F2355" s="2"/>
      <c r="G2355" s="1"/>
      <c r="H2355" s="1"/>
      <c r="I2355" s="7">
        <v>2.352</v>
      </c>
      <c r="J2355" s="7">
        <f>IF((I2355-ROUNDDOWN(I2355,0))=0, 0, (I2355-ROUNDDOWN(I2355,0)))</f>
      </c>
      <c r="K2355" s="7">
        <f>INDIRECT("C$"&amp;2+MIN(2,ROUNDDOWN(I2355,0))*3)*(-$J2355^3+3*$J2355^2-3*$J2355+1)+INDIRECT("C$"&amp;3+MIN(2,ROUNDDOWN(I2355,0))*3)*(3*$J2355^3-6*$J2355^2+3*$J2355)+INDIRECT("C$"&amp;4+MIN(2,ROUNDDOWN(I2355,0))*3)*(-3*$J2355^3+3*$J2355^2)+INDIRECT("C$"&amp;5+MIN(2,ROUNDDOWN(I2355,0))*3)*$J2355^3</f>
      </c>
      <c r="L2355" s="7">
        <f>INDIRECT("D$"&amp;2+MIN(2,ROUNDDOWN(I2355,0))*3)*(-$J2355^3+3*$J2355^2-3*$J2355+1)+INDIRECT("D$"&amp;3+MIN(2,ROUNDDOWN(I2355,0))*3)*(3*$J2355^3-6*$J2355^2+3*$J2355)+INDIRECT("D$"&amp;4+MIN(2,ROUNDDOWN(I2355,0))*3)*(-3*$J2355^3+3*$J2355^2)+INDIRECT("D$"&amp;5+MIN(2,ROUNDDOWN(I2355,0))*3)*$J2355^3</f>
      </c>
      <c r="M2355" s="7">
        <f>SQRT(K2355^2+L2355^2)</f>
      </c>
      <c r="N2355" s="7">
        <f>(K2356-K2354)</f>
      </c>
      <c r="O2355" s="7">
        <f>+(L2356-L2354)</f>
      </c>
      <c r="P2355" s="7">
        <f>SQRT(O2355^2+N2355^2)</f>
      </c>
      <c r="Q2355" s="7">
        <f>N2355/$P2355</f>
      </c>
      <c r="R2355" s="7">
        <f>O2355/$P2355</f>
      </c>
      <c r="S2355" s="7">
        <f>Q2355^2+R2355^2</f>
      </c>
      <c r="T2355" s="7">
        <f>-R2355</f>
      </c>
      <c r="U2355" s="7">
        <f>Q2355</f>
      </c>
      <c r="V2355" s="7">
        <f>($C$14+($C$15-$C$14)/($D$15-$D$14)*(I2355-$D$14))/2</f>
      </c>
      <c r="W2355" s="7">
        <f>($B$22*I2355^4+$C$22*I2355^3+$D$22*I2355^2+$E$22*I2355+$F$22)/2</f>
      </c>
      <c r="X2355" s="7">
        <f>($W2355)*(T2355)</f>
      </c>
      <c r="Y2355" s="7">
        <f>($W2355)*(U2355)</f>
      </c>
      <c r="Z2355" s="7">
        <f>SQRT(X2355^2+Y2355^2)</f>
      </c>
      <c r="AA2355" s="7">
        <f>$K2355+$X2355</f>
      </c>
      <c r="AB2355" s="7">
        <f>$L2355+$Y2355</f>
      </c>
      <c r="AC2355" s="7">
        <f>$K2355-$X2355</f>
      </c>
      <c r="AD2355" s="7">
        <f>$L2355-$Y2355</f>
      </c>
      <c r="AE2355" s="7">
        <f>AA2355/39.3701</f>
      </c>
      <c r="AF2355" s="7">
        <f>AB2355/39.3701</f>
      </c>
      <c r="AG2355" s="7">
        <f>AC2355/39.3701</f>
      </c>
      <c r="AH2355" s="7">
        <f>AD2355/39.3701</f>
      </c>
      <c r="AI2355" s="1"/>
      <c r="AJ2355" s="1"/>
      <c r="AK2355" s="1"/>
      <c r="AL2355" s="1"/>
      <c r="AM2355" s="2"/>
      <c r="AN2355" s="1"/>
      <c r="AO2355" s="1"/>
      <c r="AP2355" s="1"/>
      <c r="AQ2355" s="1"/>
      <c r="AR2355" s="1"/>
      <c r="AS2355" s="1"/>
      <c r="AT2355" s="1"/>
      <c r="AU2355" s="1"/>
      <c r="AV2355" s="1"/>
      <c r="AW2355" s="1"/>
      <c r="AX2355" s="1"/>
      <c r="AY2355" s="1"/>
      <c r="AZ2355" s="1"/>
      <c r="BA2355" s="1"/>
      <c r="BB2355" s="1"/>
      <c r="BC2355" s="1"/>
      <c r="BD2355" s="1"/>
      <c r="BE2355" s="1"/>
    </row>
    <row x14ac:dyDescent="0.25" r="2356" customHeight="1" ht="18.75">
      <c r="A2356" s="1"/>
      <c r="B2356" s="2"/>
      <c r="C2356" s="2"/>
      <c r="D2356" s="2"/>
      <c r="E2356" s="2"/>
      <c r="F2356" s="2"/>
      <c r="G2356" s="1"/>
      <c r="H2356" s="1"/>
      <c r="I2356" s="7">
        <v>2.353</v>
      </c>
      <c r="J2356" s="7">
        <f>IF((I2356-ROUNDDOWN(I2356,0))=0, 0, (I2356-ROUNDDOWN(I2356,0)))</f>
      </c>
      <c r="K2356" s="7">
        <f>INDIRECT("C$"&amp;2+MIN(2,ROUNDDOWN(I2356,0))*3)*(-$J2356^3+3*$J2356^2-3*$J2356+1)+INDIRECT("C$"&amp;3+MIN(2,ROUNDDOWN(I2356,0))*3)*(3*$J2356^3-6*$J2356^2+3*$J2356)+INDIRECT("C$"&amp;4+MIN(2,ROUNDDOWN(I2356,0))*3)*(-3*$J2356^3+3*$J2356^2)+INDIRECT("C$"&amp;5+MIN(2,ROUNDDOWN(I2356,0))*3)*$J2356^3</f>
      </c>
      <c r="L2356" s="7">
        <f>INDIRECT("D$"&amp;2+MIN(2,ROUNDDOWN(I2356,0))*3)*(-$J2356^3+3*$J2356^2-3*$J2356+1)+INDIRECT("D$"&amp;3+MIN(2,ROUNDDOWN(I2356,0))*3)*(3*$J2356^3-6*$J2356^2+3*$J2356)+INDIRECT("D$"&amp;4+MIN(2,ROUNDDOWN(I2356,0))*3)*(-3*$J2356^3+3*$J2356^2)+INDIRECT("D$"&amp;5+MIN(2,ROUNDDOWN(I2356,0))*3)*$J2356^3</f>
      </c>
      <c r="M2356" s="7">
        <f>SQRT(K2356^2+L2356^2)</f>
      </c>
      <c r="N2356" s="7">
        <f>(K2357-K2355)</f>
      </c>
      <c r="O2356" s="7">
        <f>+(L2357-L2355)</f>
      </c>
      <c r="P2356" s="7">
        <f>SQRT(O2356^2+N2356^2)</f>
      </c>
      <c r="Q2356" s="7">
        <f>N2356/$P2356</f>
      </c>
      <c r="R2356" s="7">
        <f>O2356/$P2356</f>
      </c>
      <c r="S2356" s="7">
        <f>Q2356^2+R2356^2</f>
      </c>
      <c r="T2356" s="7">
        <f>-R2356</f>
      </c>
      <c r="U2356" s="7">
        <f>Q2356</f>
      </c>
      <c r="V2356" s="7">
        <f>($C$14+($C$15-$C$14)/($D$15-$D$14)*(I2356-$D$14))/2</f>
      </c>
      <c r="W2356" s="7">
        <f>($B$22*I2356^4+$C$22*I2356^3+$D$22*I2356^2+$E$22*I2356+$F$22)/2</f>
      </c>
      <c r="X2356" s="7">
        <f>($W2356)*(T2356)</f>
      </c>
      <c r="Y2356" s="7">
        <f>($W2356)*(U2356)</f>
      </c>
      <c r="Z2356" s="7">
        <f>SQRT(X2356^2+Y2356^2)</f>
      </c>
      <c r="AA2356" s="7">
        <f>$K2356+$X2356</f>
      </c>
      <c r="AB2356" s="7">
        <f>$L2356+$Y2356</f>
      </c>
      <c r="AC2356" s="7">
        <f>$K2356-$X2356</f>
      </c>
      <c r="AD2356" s="7">
        <f>$L2356-$Y2356</f>
      </c>
      <c r="AE2356" s="7">
        <f>AA2356/39.3701</f>
      </c>
      <c r="AF2356" s="7">
        <f>AB2356/39.3701</f>
      </c>
      <c r="AG2356" s="7">
        <f>AC2356/39.3701</f>
      </c>
      <c r="AH2356" s="7">
        <f>AD2356/39.3701</f>
      </c>
      <c r="AI2356" s="1"/>
      <c r="AJ2356" s="1"/>
      <c r="AK2356" s="1"/>
      <c r="AL2356" s="1"/>
      <c r="AM2356" s="2"/>
      <c r="AN2356" s="1"/>
      <c r="AO2356" s="1"/>
      <c r="AP2356" s="1"/>
      <c r="AQ2356" s="1"/>
      <c r="AR2356" s="1"/>
      <c r="AS2356" s="1"/>
      <c r="AT2356" s="1"/>
      <c r="AU2356" s="1"/>
      <c r="AV2356" s="1"/>
      <c r="AW2356" s="1"/>
      <c r="AX2356" s="1"/>
      <c r="AY2356" s="1"/>
      <c r="AZ2356" s="1"/>
      <c r="BA2356" s="1"/>
      <c r="BB2356" s="1"/>
      <c r="BC2356" s="1"/>
      <c r="BD2356" s="1"/>
      <c r="BE2356" s="1"/>
    </row>
    <row x14ac:dyDescent="0.25" r="2357" customHeight="1" ht="18.75">
      <c r="A2357" s="1"/>
      <c r="B2357" s="2"/>
      <c r="C2357" s="2"/>
      <c r="D2357" s="2"/>
      <c r="E2357" s="2"/>
      <c r="F2357" s="2"/>
      <c r="G2357" s="1"/>
      <c r="H2357" s="1"/>
      <c r="I2357" s="7">
        <v>2.354</v>
      </c>
      <c r="J2357" s="7">
        <f>IF((I2357-ROUNDDOWN(I2357,0))=0, 0, (I2357-ROUNDDOWN(I2357,0)))</f>
      </c>
      <c r="K2357" s="7">
        <f>INDIRECT("C$"&amp;2+MIN(2,ROUNDDOWN(I2357,0))*3)*(-$J2357^3+3*$J2357^2-3*$J2357+1)+INDIRECT("C$"&amp;3+MIN(2,ROUNDDOWN(I2357,0))*3)*(3*$J2357^3-6*$J2357^2+3*$J2357)+INDIRECT("C$"&amp;4+MIN(2,ROUNDDOWN(I2357,0))*3)*(-3*$J2357^3+3*$J2357^2)+INDIRECT("C$"&amp;5+MIN(2,ROUNDDOWN(I2357,0))*3)*$J2357^3</f>
      </c>
      <c r="L2357" s="7">
        <f>INDIRECT("D$"&amp;2+MIN(2,ROUNDDOWN(I2357,0))*3)*(-$J2357^3+3*$J2357^2-3*$J2357+1)+INDIRECT("D$"&amp;3+MIN(2,ROUNDDOWN(I2357,0))*3)*(3*$J2357^3-6*$J2357^2+3*$J2357)+INDIRECT("D$"&amp;4+MIN(2,ROUNDDOWN(I2357,0))*3)*(-3*$J2357^3+3*$J2357^2)+INDIRECT("D$"&amp;5+MIN(2,ROUNDDOWN(I2357,0))*3)*$J2357^3</f>
      </c>
      <c r="M2357" s="7">
        <f>SQRT(K2357^2+L2357^2)</f>
      </c>
      <c r="N2357" s="7">
        <f>(K2358-K2356)</f>
      </c>
      <c r="O2357" s="7">
        <f>+(L2358-L2356)</f>
      </c>
      <c r="P2357" s="7">
        <f>SQRT(O2357^2+N2357^2)</f>
      </c>
      <c r="Q2357" s="7">
        <f>N2357/$P2357</f>
      </c>
      <c r="R2357" s="7">
        <f>O2357/$P2357</f>
      </c>
      <c r="S2357" s="8">
        <f>Q2357^2+R2357^2</f>
      </c>
      <c r="T2357" s="7">
        <f>-R2357</f>
      </c>
      <c r="U2357" s="7">
        <f>Q2357</f>
      </c>
      <c r="V2357" s="7">
        <f>($C$14+($C$15-$C$14)/($D$15-$D$14)*(I2357-$D$14))/2</f>
      </c>
      <c r="W2357" s="7">
        <f>($B$22*I2357^4+$C$22*I2357^3+$D$22*I2357^2+$E$22*I2357+$F$22)/2</f>
      </c>
      <c r="X2357" s="7">
        <f>($W2357)*(T2357)</f>
      </c>
      <c r="Y2357" s="7">
        <f>($W2357)*(U2357)</f>
      </c>
      <c r="Z2357" s="7">
        <f>SQRT(X2357^2+Y2357^2)</f>
      </c>
      <c r="AA2357" s="7">
        <f>$K2357+$X2357</f>
      </c>
      <c r="AB2357" s="7">
        <f>$L2357+$Y2357</f>
      </c>
      <c r="AC2357" s="7">
        <f>$K2357-$X2357</f>
      </c>
      <c r="AD2357" s="7">
        <f>$L2357-$Y2357</f>
      </c>
      <c r="AE2357" s="7">
        <f>AA2357/39.3701</f>
      </c>
      <c r="AF2357" s="7">
        <f>AB2357/39.3701</f>
      </c>
      <c r="AG2357" s="7">
        <f>AC2357/39.3701</f>
      </c>
      <c r="AH2357" s="7">
        <f>AD2357/39.3701</f>
      </c>
      <c r="AI2357" s="1"/>
      <c r="AJ2357" s="1"/>
      <c r="AK2357" s="1"/>
      <c r="AL2357" s="1"/>
      <c r="AM2357" s="2"/>
      <c r="AN2357" s="1"/>
      <c r="AO2357" s="1"/>
      <c r="AP2357" s="1"/>
      <c r="AQ2357" s="1"/>
      <c r="AR2357" s="1"/>
      <c r="AS2357" s="1"/>
      <c r="AT2357" s="1"/>
      <c r="AU2357" s="1"/>
      <c r="AV2357" s="1"/>
      <c r="AW2357" s="1"/>
      <c r="AX2357" s="1"/>
      <c r="AY2357" s="1"/>
      <c r="AZ2357" s="1"/>
      <c r="BA2357" s="1"/>
      <c r="BB2357" s="1"/>
      <c r="BC2357" s="1"/>
      <c r="BD2357" s="1"/>
      <c r="BE2357" s="1"/>
    </row>
    <row x14ac:dyDescent="0.25" r="2358" customHeight="1" ht="18.75">
      <c r="A2358" s="1"/>
      <c r="B2358" s="2"/>
      <c r="C2358" s="2"/>
      <c r="D2358" s="2"/>
      <c r="E2358" s="2"/>
      <c r="F2358" s="2"/>
      <c r="G2358" s="1"/>
      <c r="H2358" s="1"/>
      <c r="I2358" s="7">
        <v>2.355</v>
      </c>
      <c r="J2358" s="7">
        <f>IF((I2358-ROUNDDOWN(I2358,0))=0, 0, (I2358-ROUNDDOWN(I2358,0)))</f>
      </c>
      <c r="K2358" s="7">
        <f>INDIRECT("C$"&amp;2+MIN(2,ROUNDDOWN(I2358,0))*3)*(-$J2358^3+3*$J2358^2-3*$J2358+1)+INDIRECT("C$"&amp;3+MIN(2,ROUNDDOWN(I2358,0))*3)*(3*$J2358^3-6*$J2358^2+3*$J2358)+INDIRECT("C$"&amp;4+MIN(2,ROUNDDOWN(I2358,0))*3)*(-3*$J2358^3+3*$J2358^2)+INDIRECT("C$"&amp;5+MIN(2,ROUNDDOWN(I2358,0))*3)*$J2358^3</f>
      </c>
      <c r="L2358" s="7">
        <f>INDIRECT("D$"&amp;2+MIN(2,ROUNDDOWN(I2358,0))*3)*(-$J2358^3+3*$J2358^2-3*$J2358+1)+INDIRECT("D$"&amp;3+MIN(2,ROUNDDOWN(I2358,0))*3)*(3*$J2358^3-6*$J2358^2+3*$J2358)+INDIRECT("D$"&amp;4+MIN(2,ROUNDDOWN(I2358,0))*3)*(-3*$J2358^3+3*$J2358^2)+INDIRECT("D$"&amp;5+MIN(2,ROUNDDOWN(I2358,0))*3)*$J2358^3</f>
      </c>
      <c r="M2358" s="7">
        <f>SQRT(K2358^2+L2358^2)</f>
      </c>
      <c r="N2358" s="7">
        <f>(K2359-K2357)</f>
      </c>
      <c r="O2358" s="7">
        <f>+(L2359-L2357)</f>
      </c>
      <c r="P2358" s="7">
        <f>SQRT(O2358^2+N2358^2)</f>
      </c>
      <c r="Q2358" s="7">
        <f>N2358/$P2358</f>
      </c>
      <c r="R2358" s="7">
        <f>O2358/$P2358</f>
      </c>
      <c r="S2358" s="7">
        <f>Q2358^2+R2358^2</f>
      </c>
      <c r="T2358" s="7">
        <f>-R2358</f>
      </c>
      <c r="U2358" s="7">
        <f>Q2358</f>
      </c>
      <c r="V2358" s="7">
        <f>($C$14+($C$15-$C$14)/($D$15-$D$14)*(I2358-$D$14))/2</f>
      </c>
      <c r="W2358" s="7">
        <f>($B$22*I2358^4+$C$22*I2358^3+$D$22*I2358^2+$E$22*I2358+$F$22)/2</f>
      </c>
      <c r="X2358" s="7">
        <f>($W2358)*(T2358)</f>
      </c>
      <c r="Y2358" s="7">
        <f>($W2358)*(U2358)</f>
      </c>
      <c r="Z2358" s="7">
        <f>SQRT(X2358^2+Y2358^2)</f>
      </c>
      <c r="AA2358" s="7">
        <f>$K2358+$X2358</f>
      </c>
      <c r="AB2358" s="7">
        <f>$L2358+$Y2358</f>
      </c>
      <c r="AC2358" s="7">
        <f>$K2358-$X2358</f>
      </c>
      <c r="AD2358" s="7">
        <f>$L2358-$Y2358</f>
      </c>
      <c r="AE2358" s="7">
        <f>AA2358/39.3701</f>
      </c>
      <c r="AF2358" s="7">
        <f>AB2358/39.3701</f>
      </c>
      <c r="AG2358" s="7">
        <f>AC2358/39.3701</f>
      </c>
      <c r="AH2358" s="7">
        <f>AD2358/39.3701</f>
      </c>
      <c r="AI2358" s="1"/>
      <c r="AJ2358" s="1"/>
      <c r="AK2358" s="1"/>
      <c r="AL2358" s="1"/>
      <c r="AM2358" s="2"/>
      <c r="AN2358" s="1"/>
      <c r="AO2358" s="1"/>
      <c r="AP2358" s="1"/>
      <c r="AQ2358" s="1"/>
      <c r="AR2358" s="1"/>
      <c r="AS2358" s="1"/>
      <c r="AT2358" s="1"/>
      <c r="AU2358" s="1"/>
      <c r="AV2358" s="1"/>
      <c r="AW2358" s="1"/>
      <c r="AX2358" s="1"/>
      <c r="AY2358" s="1"/>
      <c r="AZ2358" s="1"/>
      <c r="BA2358" s="1"/>
      <c r="BB2358" s="1"/>
      <c r="BC2358" s="1"/>
      <c r="BD2358" s="1"/>
      <c r="BE2358" s="1"/>
    </row>
    <row x14ac:dyDescent="0.25" r="2359" customHeight="1" ht="18.75">
      <c r="A2359" s="1"/>
      <c r="B2359" s="2"/>
      <c r="C2359" s="2"/>
      <c r="D2359" s="2"/>
      <c r="E2359" s="2"/>
      <c r="F2359" s="2"/>
      <c r="G2359" s="1"/>
      <c r="H2359" s="1"/>
      <c r="I2359" s="7">
        <v>2.356</v>
      </c>
      <c r="J2359" s="7">
        <f>IF((I2359-ROUNDDOWN(I2359,0))=0, 0, (I2359-ROUNDDOWN(I2359,0)))</f>
      </c>
      <c r="K2359" s="7">
        <f>INDIRECT("C$"&amp;2+MIN(2,ROUNDDOWN(I2359,0))*3)*(-$J2359^3+3*$J2359^2-3*$J2359+1)+INDIRECT("C$"&amp;3+MIN(2,ROUNDDOWN(I2359,0))*3)*(3*$J2359^3-6*$J2359^2+3*$J2359)+INDIRECT("C$"&amp;4+MIN(2,ROUNDDOWN(I2359,0))*3)*(-3*$J2359^3+3*$J2359^2)+INDIRECT("C$"&amp;5+MIN(2,ROUNDDOWN(I2359,0))*3)*$J2359^3</f>
      </c>
      <c r="L2359" s="7">
        <f>INDIRECT("D$"&amp;2+MIN(2,ROUNDDOWN(I2359,0))*3)*(-$J2359^3+3*$J2359^2-3*$J2359+1)+INDIRECT("D$"&amp;3+MIN(2,ROUNDDOWN(I2359,0))*3)*(3*$J2359^3-6*$J2359^2+3*$J2359)+INDIRECT("D$"&amp;4+MIN(2,ROUNDDOWN(I2359,0))*3)*(-3*$J2359^3+3*$J2359^2)+INDIRECT("D$"&amp;5+MIN(2,ROUNDDOWN(I2359,0))*3)*$J2359^3</f>
      </c>
      <c r="M2359" s="7">
        <f>SQRT(K2359^2+L2359^2)</f>
      </c>
      <c r="N2359" s="7">
        <f>(K2360-K2358)</f>
      </c>
      <c r="O2359" s="7">
        <f>+(L2360-L2358)</f>
      </c>
      <c r="P2359" s="7">
        <f>SQRT(O2359^2+N2359^2)</f>
      </c>
      <c r="Q2359" s="7">
        <f>N2359/$P2359</f>
      </c>
      <c r="R2359" s="7">
        <f>O2359/$P2359</f>
      </c>
      <c r="S2359" s="7">
        <f>Q2359^2+R2359^2</f>
      </c>
      <c r="T2359" s="7">
        <f>-R2359</f>
      </c>
      <c r="U2359" s="7">
        <f>Q2359</f>
      </c>
      <c r="V2359" s="7">
        <f>($C$14+($C$15-$C$14)/($D$15-$D$14)*(I2359-$D$14))/2</f>
      </c>
      <c r="W2359" s="7">
        <f>($B$22*I2359^4+$C$22*I2359^3+$D$22*I2359^2+$E$22*I2359+$F$22)/2</f>
      </c>
      <c r="X2359" s="7">
        <f>($W2359)*(T2359)</f>
      </c>
      <c r="Y2359" s="7">
        <f>($W2359)*(U2359)</f>
      </c>
      <c r="Z2359" s="7">
        <f>SQRT(X2359^2+Y2359^2)</f>
      </c>
      <c r="AA2359" s="7">
        <f>$K2359+$X2359</f>
      </c>
      <c r="AB2359" s="7">
        <f>$L2359+$Y2359</f>
      </c>
      <c r="AC2359" s="7">
        <f>$K2359-$X2359</f>
      </c>
      <c r="AD2359" s="7">
        <f>$L2359-$Y2359</f>
      </c>
      <c r="AE2359" s="7">
        <f>AA2359/39.3701</f>
      </c>
      <c r="AF2359" s="7">
        <f>AB2359/39.3701</f>
      </c>
      <c r="AG2359" s="7">
        <f>AC2359/39.3701</f>
      </c>
      <c r="AH2359" s="7">
        <f>AD2359/39.3701</f>
      </c>
      <c r="AI2359" s="1"/>
      <c r="AJ2359" s="1"/>
      <c r="AK2359" s="1"/>
      <c r="AL2359" s="1"/>
      <c r="AM2359" s="2"/>
      <c r="AN2359" s="1"/>
      <c r="AO2359" s="1"/>
      <c r="AP2359" s="1"/>
      <c r="AQ2359" s="1"/>
      <c r="AR2359" s="1"/>
      <c r="AS2359" s="1"/>
      <c r="AT2359" s="1"/>
      <c r="AU2359" s="1"/>
      <c r="AV2359" s="1"/>
      <c r="AW2359" s="1"/>
      <c r="AX2359" s="1"/>
      <c r="AY2359" s="1"/>
      <c r="AZ2359" s="1"/>
      <c r="BA2359" s="1"/>
      <c r="BB2359" s="1"/>
      <c r="BC2359" s="1"/>
      <c r="BD2359" s="1"/>
      <c r="BE2359" s="1"/>
    </row>
    <row x14ac:dyDescent="0.25" r="2360" customHeight="1" ht="18.75">
      <c r="A2360" s="1"/>
      <c r="B2360" s="2"/>
      <c r="C2360" s="2"/>
      <c r="D2360" s="2"/>
      <c r="E2360" s="2"/>
      <c r="F2360" s="2"/>
      <c r="G2360" s="1"/>
      <c r="H2360" s="1"/>
      <c r="I2360" s="7">
        <v>2.357</v>
      </c>
      <c r="J2360" s="7">
        <f>IF((I2360-ROUNDDOWN(I2360,0))=0, 0, (I2360-ROUNDDOWN(I2360,0)))</f>
      </c>
      <c r="K2360" s="7">
        <f>INDIRECT("C$"&amp;2+MIN(2,ROUNDDOWN(I2360,0))*3)*(-$J2360^3+3*$J2360^2-3*$J2360+1)+INDIRECT("C$"&amp;3+MIN(2,ROUNDDOWN(I2360,0))*3)*(3*$J2360^3-6*$J2360^2+3*$J2360)+INDIRECT("C$"&amp;4+MIN(2,ROUNDDOWN(I2360,0))*3)*(-3*$J2360^3+3*$J2360^2)+INDIRECT("C$"&amp;5+MIN(2,ROUNDDOWN(I2360,0))*3)*$J2360^3</f>
      </c>
      <c r="L2360" s="7">
        <f>INDIRECT("D$"&amp;2+MIN(2,ROUNDDOWN(I2360,0))*3)*(-$J2360^3+3*$J2360^2-3*$J2360+1)+INDIRECT("D$"&amp;3+MIN(2,ROUNDDOWN(I2360,0))*3)*(3*$J2360^3-6*$J2360^2+3*$J2360)+INDIRECT("D$"&amp;4+MIN(2,ROUNDDOWN(I2360,0))*3)*(-3*$J2360^3+3*$J2360^2)+INDIRECT("D$"&amp;5+MIN(2,ROUNDDOWN(I2360,0))*3)*$J2360^3</f>
      </c>
      <c r="M2360" s="7">
        <f>SQRT(K2360^2+L2360^2)</f>
      </c>
      <c r="N2360" s="7">
        <f>(K2361-K2359)</f>
      </c>
      <c r="O2360" s="7">
        <f>+(L2361-L2359)</f>
      </c>
      <c r="P2360" s="7">
        <f>SQRT(O2360^2+N2360^2)</f>
      </c>
      <c r="Q2360" s="7">
        <f>N2360/$P2360</f>
      </c>
      <c r="R2360" s="7">
        <f>O2360/$P2360</f>
      </c>
      <c r="S2360" s="8">
        <f>Q2360^2+R2360^2</f>
      </c>
      <c r="T2360" s="7">
        <f>-R2360</f>
      </c>
      <c r="U2360" s="7">
        <f>Q2360</f>
      </c>
      <c r="V2360" s="7">
        <f>($C$14+($C$15-$C$14)/($D$15-$D$14)*(I2360-$D$14))/2</f>
      </c>
      <c r="W2360" s="7">
        <f>($B$22*I2360^4+$C$22*I2360^3+$D$22*I2360^2+$E$22*I2360+$F$22)/2</f>
      </c>
      <c r="X2360" s="7">
        <f>($W2360)*(T2360)</f>
      </c>
      <c r="Y2360" s="7">
        <f>($W2360)*(U2360)</f>
      </c>
      <c r="Z2360" s="7">
        <f>SQRT(X2360^2+Y2360^2)</f>
      </c>
      <c r="AA2360" s="7">
        <f>$K2360+$X2360</f>
      </c>
      <c r="AB2360" s="7">
        <f>$L2360+$Y2360</f>
      </c>
      <c r="AC2360" s="7">
        <f>$K2360-$X2360</f>
      </c>
      <c r="AD2360" s="7">
        <f>$L2360-$Y2360</f>
      </c>
      <c r="AE2360" s="7">
        <f>AA2360/39.3701</f>
      </c>
      <c r="AF2360" s="7">
        <f>AB2360/39.3701</f>
      </c>
      <c r="AG2360" s="7">
        <f>AC2360/39.3701</f>
      </c>
      <c r="AH2360" s="7">
        <f>AD2360/39.3701</f>
      </c>
      <c r="AI2360" s="1"/>
      <c r="AJ2360" s="1"/>
      <c r="AK2360" s="1"/>
      <c r="AL2360" s="1"/>
      <c r="AM2360" s="2"/>
      <c r="AN2360" s="1"/>
      <c r="AO2360" s="1"/>
      <c r="AP2360" s="1"/>
      <c r="AQ2360" s="1"/>
      <c r="AR2360" s="1"/>
      <c r="AS2360" s="1"/>
      <c r="AT2360" s="1"/>
      <c r="AU2360" s="1"/>
      <c r="AV2360" s="1"/>
      <c r="AW2360" s="1"/>
      <c r="AX2360" s="1"/>
      <c r="AY2360" s="1"/>
      <c r="AZ2360" s="1"/>
      <c r="BA2360" s="1"/>
      <c r="BB2360" s="1"/>
      <c r="BC2360" s="1"/>
      <c r="BD2360" s="1"/>
      <c r="BE2360" s="1"/>
    </row>
    <row x14ac:dyDescent="0.25" r="2361" customHeight="1" ht="18.75">
      <c r="A2361" s="1"/>
      <c r="B2361" s="2"/>
      <c r="C2361" s="2"/>
      <c r="D2361" s="2"/>
      <c r="E2361" s="2"/>
      <c r="F2361" s="2"/>
      <c r="G2361" s="1"/>
      <c r="H2361" s="1"/>
      <c r="I2361" s="7">
        <v>2.358</v>
      </c>
      <c r="J2361" s="7">
        <f>IF((I2361-ROUNDDOWN(I2361,0))=0, 0, (I2361-ROUNDDOWN(I2361,0)))</f>
      </c>
      <c r="K2361" s="7">
        <f>INDIRECT("C$"&amp;2+MIN(2,ROUNDDOWN(I2361,0))*3)*(-$J2361^3+3*$J2361^2-3*$J2361+1)+INDIRECT("C$"&amp;3+MIN(2,ROUNDDOWN(I2361,0))*3)*(3*$J2361^3-6*$J2361^2+3*$J2361)+INDIRECT("C$"&amp;4+MIN(2,ROUNDDOWN(I2361,0))*3)*(-3*$J2361^3+3*$J2361^2)+INDIRECT("C$"&amp;5+MIN(2,ROUNDDOWN(I2361,0))*3)*$J2361^3</f>
      </c>
      <c r="L2361" s="7">
        <f>INDIRECT("D$"&amp;2+MIN(2,ROUNDDOWN(I2361,0))*3)*(-$J2361^3+3*$J2361^2-3*$J2361+1)+INDIRECT("D$"&amp;3+MIN(2,ROUNDDOWN(I2361,0))*3)*(3*$J2361^3-6*$J2361^2+3*$J2361)+INDIRECT("D$"&amp;4+MIN(2,ROUNDDOWN(I2361,0))*3)*(-3*$J2361^3+3*$J2361^2)+INDIRECT("D$"&amp;5+MIN(2,ROUNDDOWN(I2361,0))*3)*$J2361^3</f>
      </c>
      <c r="M2361" s="7">
        <f>SQRT(K2361^2+L2361^2)</f>
      </c>
      <c r="N2361" s="7">
        <f>(K2362-K2360)</f>
      </c>
      <c r="O2361" s="7">
        <f>+(L2362-L2360)</f>
      </c>
      <c r="P2361" s="7">
        <f>SQRT(O2361^2+N2361^2)</f>
      </c>
      <c r="Q2361" s="7">
        <f>N2361/$P2361</f>
      </c>
      <c r="R2361" s="7">
        <f>O2361/$P2361</f>
      </c>
      <c r="S2361" s="8">
        <f>Q2361^2+R2361^2</f>
      </c>
      <c r="T2361" s="7">
        <f>-R2361</f>
      </c>
      <c r="U2361" s="7">
        <f>Q2361</f>
      </c>
      <c r="V2361" s="7">
        <f>($C$14+($C$15-$C$14)/($D$15-$D$14)*(I2361-$D$14))/2</f>
      </c>
      <c r="W2361" s="7">
        <f>($B$22*I2361^4+$C$22*I2361^3+$D$22*I2361^2+$E$22*I2361+$F$22)/2</f>
      </c>
      <c r="X2361" s="7">
        <f>($W2361)*(T2361)</f>
      </c>
      <c r="Y2361" s="7">
        <f>($W2361)*(U2361)</f>
      </c>
      <c r="Z2361" s="7">
        <f>SQRT(X2361^2+Y2361^2)</f>
      </c>
      <c r="AA2361" s="7">
        <f>$K2361+$X2361</f>
      </c>
      <c r="AB2361" s="7">
        <f>$L2361+$Y2361</f>
      </c>
      <c r="AC2361" s="7">
        <f>$K2361-$X2361</f>
      </c>
      <c r="AD2361" s="7">
        <f>$L2361-$Y2361</f>
      </c>
      <c r="AE2361" s="7">
        <f>AA2361/39.3701</f>
      </c>
      <c r="AF2361" s="7">
        <f>AB2361/39.3701</f>
      </c>
      <c r="AG2361" s="7">
        <f>AC2361/39.3701</f>
      </c>
      <c r="AH2361" s="7">
        <f>AD2361/39.3701</f>
      </c>
      <c r="AI2361" s="1"/>
      <c r="AJ2361" s="1"/>
      <c r="AK2361" s="1"/>
      <c r="AL2361" s="1"/>
      <c r="AM2361" s="2"/>
      <c r="AN2361" s="1"/>
      <c r="AO2361" s="1"/>
      <c r="AP2361" s="1"/>
      <c r="AQ2361" s="1"/>
      <c r="AR2361" s="1"/>
      <c r="AS2361" s="1"/>
      <c r="AT2361" s="1"/>
      <c r="AU2361" s="1"/>
      <c r="AV2361" s="1"/>
      <c r="AW2361" s="1"/>
      <c r="AX2361" s="1"/>
      <c r="AY2361" s="1"/>
      <c r="AZ2361" s="1"/>
      <c r="BA2361" s="1"/>
      <c r="BB2361" s="1"/>
      <c r="BC2361" s="1"/>
      <c r="BD2361" s="1"/>
      <c r="BE2361" s="1"/>
    </row>
    <row x14ac:dyDescent="0.25" r="2362" customHeight="1" ht="18.75">
      <c r="A2362" s="1"/>
      <c r="B2362" s="2"/>
      <c r="C2362" s="2"/>
      <c r="D2362" s="2"/>
      <c r="E2362" s="2"/>
      <c r="F2362" s="2"/>
      <c r="G2362" s="1"/>
      <c r="H2362" s="1"/>
      <c r="I2362" s="7">
        <v>2.359</v>
      </c>
      <c r="J2362" s="7">
        <f>IF((I2362-ROUNDDOWN(I2362,0))=0, 0, (I2362-ROUNDDOWN(I2362,0)))</f>
      </c>
      <c r="K2362" s="7">
        <f>INDIRECT("C$"&amp;2+MIN(2,ROUNDDOWN(I2362,0))*3)*(-$J2362^3+3*$J2362^2-3*$J2362+1)+INDIRECT("C$"&amp;3+MIN(2,ROUNDDOWN(I2362,0))*3)*(3*$J2362^3-6*$J2362^2+3*$J2362)+INDIRECT("C$"&amp;4+MIN(2,ROUNDDOWN(I2362,0))*3)*(-3*$J2362^3+3*$J2362^2)+INDIRECT("C$"&amp;5+MIN(2,ROUNDDOWN(I2362,0))*3)*$J2362^3</f>
      </c>
      <c r="L2362" s="7">
        <f>INDIRECT("D$"&amp;2+MIN(2,ROUNDDOWN(I2362,0))*3)*(-$J2362^3+3*$J2362^2-3*$J2362+1)+INDIRECT("D$"&amp;3+MIN(2,ROUNDDOWN(I2362,0))*3)*(3*$J2362^3-6*$J2362^2+3*$J2362)+INDIRECT("D$"&amp;4+MIN(2,ROUNDDOWN(I2362,0))*3)*(-3*$J2362^3+3*$J2362^2)+INDIRECT("D$"&amp;5+MIN(2,ROUNDDOWN(I2362,0))*3)*$J2362^3</f>
      </c>
      <c r="M2362" s="7">
        <f>SQRT(K2362^2+L2362^2)</f>
      </c>
      <c r="N2362" s="7">
        <f>(K2363-K2361)</f>
      </c>
      <c r="O2362" s="7">
        <f>+(L2363-L2361)</f>
      </c>
      <c r="P2362" s="7">
        <f>SQRT(O2362^2+N2362^2)</f>
      </c>
      <c r="Q2362" s="7">
        <f>N2362/$P2362</f>
      </c>
      <c r="R2362" s="7">
        <f>O2362/$P2362</f>
      </c>
      <c r="S2362" s="7">
        <f>Q2362^2+R2362^2</f>
      </c>
      <c r="T2362" s="7">
        <f>-R2362</f>
      </c>
      <c r="U2362" s="7">
        <f>Q2362</f>
      </c>
      <c r="V2362" s="7">
        <f>($C$14+($C$15-$C$14)/($D$15-$D$14)*(I2362-$D$14))/2</f>
      </c>
      <c r="W2362" s="7">
        <f>($B$22*I2362^4+$C$22*I2362^3+$D$22*I2362^2+$E$22*I2362+$F$22)/2</f>
      </c>
      <c r="X2362" s="7">
        <f>($W2362)*(T2362)</f>
      </c>
      <c r="Y2362" s="7">
        <f>($W2362)*(U2362)</f>
      </c>
      <c r="Z2362" s="7">
        <f>SQRT(X2362^2+Y2362^2)</f>
      </c>
      <c r="AA2362" s="7">
        <f>$K2362+$X2362</f>
      </c>
      <c r="AB2362" s="7">
        <f>$L2362+$Y2362</f>
      </c>
      <c r="AC2362" s="7">
        <f>$K2362-$X2362</f>
      </c>
      <c r="AD2362" s="7">
        <f>$L2362-$Y2362</f>
      </c>
      <c r="AE2362" s="7">
        <f>AA2362/39.3701</f>
      </c>
      <c r="AF2362" s="7">
        <f>AB2362/39.3701</f>
      </c>
      <c r="AG2362" s="7">
        <f>AC2362/39.3701</f>
      </c>
      <c r="AH2362" s="7">
        <f>AD2362/39.3701</f>
      </c>
      <c r="AI2362" s="1"/>
      <c r="AJ2362" s="1"/>
      <c r="AK2362" s="1"/>
      <c r="AL2362" s="1"/>
      <c r="AM2362" s="2"/>
      <c r="AN2362" s="1"/>
      <c r="AO2362" s="1"/>
      <c r="AP2362" s="1"/>
      <c r="AQ2362" s="1"/>
      <c r="AR2362" s="1"/>
      <c r="AS2362" s="1"/>
      <c r="AT2362" s="1"/>
      <c r="AU2362" s="1"/>
      <c r="AV2362" s="1"/>
      <c r="AW2362" s="1"/>
      <c r="AX2362" s="1"/>
      <c r="AY2362" s="1"/>
      <c r="AZ2362" s="1"/>
      <c r="BA2362" s="1"/>
      <c r="BB2362" s="1"/>
      <c r="BC2362" s="1"/>
      <c r="BD2362" s="1"/>
      <c r="BE2362" s="1"/>
    </row>
    <row x14ac:dyDescent="0.25" r="2363" customHeight="1" ht="18.75">
      <c r="A2363" s="1"/>
      <c r="B2363" s="2"/>
      <c r="C2363" s="2"/>
      <c r="D2363" s="2"/>
      <c r="E2363" s="2"/>
      <c r="F2363" s="2"/>
      <c r="G2363" s="1"/>
      <c r="H2363" s="1"/>
      <c r="I2363" s="7">
        <v>2.36</v>
      </c>
      <c r="J2363" s="7">
        <f>IF((I2363-ROUNDDOWN(I2363,0))=0, 0, (I2363-ROUNDDOWN(I2363,0)))</f>
      </c>
      <c r="K2363" s="7">
        <f>INDIRECT("C$"&amp;2+MIN(2,ROUNDDOWN(I2363,0))*3)*(-$J2363^3+3*$J2363^2-3*$J2363+1)+INDIRECT("C$"&amp;3+MIN(2,ROUNDDOWN(I2363,0))*3)*(3*$J2363^3-6*$J2363^2+3*$J2363)+INDIRECT("C$"&amp;4+MIN(2,ROUNDDOWN(I2363,0))*3)*(-3*$J2363^3+3*$J2363^2)+INDIRECT("C$"&amp;5+MIN(2,ROUNDDOWN(I2363,0))*3)*$J2363^3</f>
      </c>
      <c r="L2363" s="7">
        <f>INDIRECT("D$"&amp;2+MIN(2,ROUNDDOWN(I2363,0))*3)*(-$J2363^3+3*$J2363^2-3*$J2363+1)+INDIRECT("D$"&amp;3+MIN(2,ROUNDDOWN(I2363,0))*3)*(3*$J2363^3-6*$J2363^2+3*$J2363)+INDIRECT("D$"&amp;4+MIN(2,ROUNDDOWN(I2363,0))*3)*(-3*$J2363^3+3*$J2363^2)+INDIRECT("D$"&amp;5+MIN(2,ROUNDDOWN(I2363,0))*3)*$J2363^3</f>
      </c>
      <c r="M2363" s="7">
        <f>SQRT(K2363^2+L2363^2)</f>
      </c>
      <c r="N2363" s="7">
        <f>(K2364-K2362)</f>
      </c>
      <c r="O2363" s="7">
        <f>+(L2364-L2362)</f>
      </c>
      <c r="P2363" s="7">
        <f>SQRT(O2363^2+N2363^2)</f>
      </c>
      <c r="Q2363" s="7">
        <f>N2363/$P2363</f>
      </c>
      <c r="R2363" s="7">
        <f>O2363/$P2363</f>
      </c>
      <c r="S2363" s="7">
        <f>Q2363^2+R2363^2</f>
      </c>
      <c r="T2363" s="7">
        <f>-R2363</f>
      </c>
      <c r="U2363" s="7">
        <f>Q2363</f>
      </c>
      <c r="V2363" s="7">
        <f>($C$14+($C$15-$C$14)/($D$15-$D$14)*(I2363-$D$14))/2</f>
      </c>
      <c r="W2363" s="7">
        <f>($B$22*I2363^4+$C$22*I2363^3+$D$22*I2363^2+$E$22*I2363+$F$22)/2</f>
      </c>
      <c r="X2363" s="7">
        <f>($W2363)*(T2363)</f>
      </c>
      <c r="Y2363" s="7">
        <f>($W2363)*(U2363)</f>
      </c>
      <c r="Z2363" s="7">
        <f>SQRT(X2363^2+Y2363^2)</f>
      </c>
      <c r="AA2363" s="7">
        <f>$K2363+$X2363</f>
      </c>
      <c r="AB2363" s="7">
        <f>$L2363+$Y2363</f>
      </c>
      <c r="AC2363" s="7">
        <f>$K2363-$X2363</f>
      </c>
      <c r="AD2363" s="7">
        <f>$L2363-$Y2363</f>
      </c>
      <c r="AE2363" s="7">
        <f>AA2363/39.3701</f>
      </c>
      <c r="AF2363" s="7">
        <f>AB2363/39.3701</f>
      </c>
      <c r="AG2363" s="7">
        <f>AC2363/39.3701</f>
      </c>
      <c r="AH2363" s="7">
        <f>AD2363/39.3701</f>
      </c>
      <c r="AI2363" s="1"/>
      <c r="AJ2363" s="1"/>
      <c r="AK2363" s="1"/>
      <c r="AL2363" s="1"/>
      <c r="AM2363" s="2"/>
      <c r="AN2363" s="1"/>
      <c r="AO2363" s="1"/>
      <c r="AP2363" s="1"/>
      <c r="AQ2363" s="1"/>
      <c r="AR2363" s="1"/>
      <c r="AS2363" s="1"/>
      <c r="AT2363" s="1"/>
      <c r="AU2363" s="1"/>
      <c r="AV2363" s="1"/>
      <c r="AW2363" s="1"/>
      <c r="AX2363" s="1"/>
      <c r="AY2363" s="1"/>
      <c r="AZ2363" s="1"/>
      <c r="BA2363" s="1"/>
      <c r="BB2363" s="1"/>
      <c r="BC2363" s="1"/>
      <c r="BD2363" s="1"/>
      <c r="BE2363" s="1"/>
    </row>
    <row x14ac:dyDescent="0.25" r="2364" customHeight="1" ht="18.75">
      <c r="A2364" s="1"/>
      <c r="B2364" s="2"/>
      <c r="C2364" s="2"/>
      <c r="D2364" s="2"/>
      <c r="E2364" s="2"/>
      <c r="F2364" s="2"/>
      <c r="G2364" s="1"/>
      <c r="H2364" s="1"/>
      <c r="I2364" s="7">
        <v>2.361</v>
      </c>
      <c r="J2364" s="7">
        <f>IF((I2364-ROUNDDOWN(I2364,0))=0, 0, (I2364-ROUNDDOWN(I2364,0)))</f>
      </c>
      <c r="K2364" s="7">
        <f>INDIRECT("C$"&amp;2+MIN(2,ROUNDDOWN(I2364,0))*3)*(-$J2364^3+3*$J2364^2-3*$J2364+1)+INDIRECT("C$"&amp;3+MIN(2,ROUNDDOWN(I2364,0))*3)*(3*$J2364^3-6*$J2364^2+3*$J2364)+INDIRECT("C$"&amp;4+MIN(2,ROUNDDOWN(I2364,0))*3)*(-3*$J2364^3+3*$J2364^2)+INDIRECT("C$"&amp;5+MIN(2,ROUNDDOWN(I2364,0))*3)*$J2364^3</f>
      </c>
      <c r="L2364" s="7">
        <f>INDIRECT("D$"&amp;2+MIN(2,ROUNDDOWN(I2364,0))*3)*(-$J2364^3+3*$J2364^2-3*$J2364+1)+INDIRECT("D$"&amp;3+MIN(2,ROUNDDOWN(I2364,0))*3)*(3*$J2364^3-6*$J2364^2+3*$J2364)+INDIRECT("D$"&amp;4+MIN(2,ROUNDDOWN(I2364,0))*3)*(-3*$J2364^3+3*$J2364^2)+INDIRECT("D$"&amp;5+MIN(2,ROUNDDOWN(I2364,0))*3)*$J2364^3</f>
      </c>
      <c r="M2364" s="7">
        <f>SQRT(K2364^2+L2364^2)</f>
      </c>
      <c r="N2364" s="7">
        <f>(K2365-K2363)</f>
      </c>
      <c r="O2364" s="7">
        <f>+(L2365-L2363)</f>
      </c>
      <c r="P2364" s="7">
        <f>SQRT(O2364^2+N2364^2)</f>
      </c>
      <c r="Q2364" s="7">
        <f>N2364/$P2364</f>
      </c>
      <c r="R2364" s="7">
        <f>O2364/$P2364</f>
      </c>
      <c r="S2364" s="7">
        <f>Q2364^2+R2364^2</f>
      </c>
      <c r="T2364" s="7">
        <f>-R2364</f>
      </c>
      <c r="U2364" s="7">
        <f>Q2364</f>
      </c>
      <c r="V2364" s="7">
        <f>($C$14+($C$15-$C$14)/($D$15-$D$14)*(I2364-$D$14))/2</f>
      </c>
      <c r="W2364" s="7">
        <f>($B$22*I2364^4+$C$22*I2364^3+$D$22*I2364^2+$E$22*I2364+$F$22)/2</f>
      </c>
      <c r="X2364" s="7">
        <f>($W2364)*(T2364)</f>
      </c>
      <c r="Y2364" s="7">
        <f>($W2364)*(U2364)</f>
      </c>
      <c r="Z2364" s="7">
        <f>SQRT(X2364^2+Y2364^2)</f>
      </c>
      <c r="AA2364" s="7">
        <f>$K2364+$X2364</f>
      </c>
      <c r="AB2364" s="7">
        <f>$L2364+$Y2364</f>
      </c>
      <c r="AC2364" s="7">
        <f>$K2364-$X2364</f>
      </c>
      <c r="AD2364" s="7">
        <f>$L2364-$Y2364</f>
      </c>
      <c r="AE2364" s="7">
        <f>AA2364/39.3701</f>
      </c>
      <c r="AF2364" s="7">
        <f>AB2364/39.3701</f>
      </c>
      <c r="AG2364" s="7">
        <f>AC2364/39.3701</f>
      </c>
      <c r="AH2364" s="7">
        <f>AD2364/39.3701</f>
      </c>
      <c r="AI2364" s="1"/>
      <c r="AJ2364" s="1"/>
      <c r="AK2364" s="1"/>
      <c r="AL2364" s="1"/>
      <c r="AM2364" s="2"/>
      <c r="AN2364" s="1"/>
      <c r="AO2364" s="1"/>
      <c r="AP2364" s="1"/>
      <c r="AQ2364" s="1"/>
      <c r="AR2364" s="1"/>
      <c r="AS2364" s="1"/>
      <c r="AT2364" s="1"/>
      <c r="AU2364" s="1"/>
      <c r="AV2364" s="1"/>
      <c r="AW2364" s="1"/>
      <c r="AX2364" s="1"/>
      <c r="AY2364" s="1"/>
      <c r="AZ2364" s="1"/>
      <c r="BA2364" s="1"/>
      <c r="BB2364" s="1"/>
      <c r="BC2364" s="1"/>
      <c r="BD2364" s="1"/>
      <c r="BE2364" s="1"/>
    </row>
    <row x14ac:dyDescent="0.25" r="2365" customHeight="1" ht="18.75">
      <c r="A2365" s="1"/>
      <c r="B2365" s="2"/>
      <c r="C2365" s="2"/>
      <c r="D2365" s="2"/>
      <c r="E2365" s="2"/>
      <c r="F2365" s="2"/>
      <c r="G2365" s="1"/>
      <c r="H2365" s="1"/>
      <c r="I2365" s="7">
        <v>2.362</v>
      </c>
      <c r="J2365" s="7">
        <f>IF((I2365-ROUNDDOWN(I2365,0))=0, 0, (I2365-ROUNDDOWN(I2365,0)))</f>
      </c>
      <c r="K2365" s="7">
        <f>INDIRECT("C$"&amp;2+MIN(2,ROUNDDOWN(I2365,0))*3)*(-$J2365^3+3*$J2365^2-3*$J2365+1)+INDIRECT("C$"&amp;3+MIN(2,ROUNDDOWN(I2365,0))*3)*(3*$J2365^3-6*$J2365^2+3*$J2365)+INDIRECT("C$"&amp;4+MIN(2,ROUNDDOWN(I2365,0))*3)*(-3*$J2365^3+3*$J2365^2)+INDIRECT("C$"&amp;5+MIN(2,ROUNDDOWN(I2365,0))*3)*$J2365^3</f>
      </c>
      <c r="L2365" s="7">
        <f>INDIRECT("D$"&amp;2+MIN(2,ROUNDDOWN(I2365,0))*3)*(-$J2365^3+3*$J2365^2-3*$J2365+1)+INDIRECT("D$"&amp;3+MIN(2,ROUNDDOWN(I2365,0))*3)*(3*$J2365^3-6*$J2365^2+3*$J2365)+INDIRECT("D$"&amp;4+MIN(2,ROUNDDOWN(I2365,0))*3)*(-3*$J2365^3+3*$J2365^2)+INDIRECT("D$"&amp;5+MIN(2,ROUNDDOWN(I2365,0))*3)*$J2365^3</f>
      </c>
      <c r="M2365" s="7">
        <f>SQRT(K2365^2+L2365^2)</f>
      </c>
      <c r="N2365" s="7">
        <f>(K2366-K2364)</f>
      </c>
      <c r="O2365" s="7">
        <f>+(L2366-L2364)</f>
      </c>
      <c r="P2365" s="7">
        <f>SQRT(O2365^2+N2365^2)</f>
      </c>
      <c r="Q2365" s="7">
        <f>N2365/$P2365</f>
      </c>
      <c r="R2365" s="7">
        <f>O2365/$P2365</f>
      </c>
      <c r="S2365" s="8">
        <f>Q2365^2+R2365^2</f>
      </c>
      <c r="T2365" s="7">
        <f>-R2365</f>
      </c>
      <c r="U2365" s="7">
        <f>Q2365</f>
      </c>
      <c r="V2365" s="7">
        <f>($C$14+($C$15-$C$14)/($D$15-$D$14)*(I2365-$D$14))/2</f>
      </c>
      <c r="W2365" s="7">
        <f>($B$22*I2365^4+$C$22*I2365^3+$D$22*I2365^2+$E$22*I2365+$F$22)/2</f>
      </c>
      <c r="X2365" s="7">
        <f>($W2365)*(T2365)</f>
      </c>
      <c r="Y2365" s="7">
        <f>($W2365)*(U2365)</f>
      </c>
      <c r="Z2365" s="7">
        <f>SQRT(X2365^2+Y2365^2)</f>
      </c>
      <c r="AA2365" s="7">
        <f>$K2365+$X2365</f>
      </c>
      <c r="AB2365" s="7">
        <f>$L2365+$Y2365</f>
      </c>
      <c r="AC2365" s="7">
        <f>$K2365-$X2365</f>
      </c>
      <c r="AD2365" s="7">
        <f>$L2365-$Y2365</f>
      </c>
      <c r="AE2365" s="7">
        <f>AA2365/39.3701</f>
      </c>
      <c r="AF2365" s="7">
        <f>AB2365/39.3701</f>
      </c>
      <c r="AG2365" s="7">
        <f>AC2365/39.3701</f>
      </c>
      <c r="AH2365" s="7">
        <f>AD2365/39.3701</f>
      </c>
      <c r="AI2365" s="1"/>
      <c r="AJ2365" s="1"/>
      <c r="AK2365" s="1"/>
      <c r="AL2365" s="1"/>
      <c r="AM2365" s="2"/>
      <c r="AN2365" s="1"/>
      <c r="AO2365" s="1"/>
      <c r="AP2365" s="1"/>
      <c r="AQ2365" s="1"/>
      <c r="AR2365" s="1"/>
      <c r="AS2365" s="1"/>
      <c r="AT2365" s="1"/>
      <c r="AU2365" s="1"/>
      <c r="AV2365" s="1"/>
      <c r="AW2365" s="1"/>
      <c r="AX2365" s="1"/>
      <c r="AY2365" s="1"/>
      <c r="AZ2365" s="1"/>
      <c r="BA2365" s="1"/>
      <c r="BB2365" s="1"/>
      <c r="BC2365" s="1"/>
      <c r="BD2365" s="1"/>
      <c r="BE2365" s="1"/>
    </row>
    <row x14ac:dyDescent="0.25" r="2366" customHeight="1" ht="18.75">
      <c r="A2366" s="1"/>
      <c r="B2366" s="2"/>
      <c r="C2366" s="2"/>
      <c r="D2366" s="2"/>
      <c r="E2366" s="2"/>
      <c r="F2366" s="2"/>
      <c r="G2366" s="1"/>
      <c r="H2366" s="1"/>
      <c r="I2366" s="7">
        <v>2.363</v>
      </c>
      <c r="J2366" s="7">
        <f>IF((I2366-ROUNDDOWN(I2366,0))=0, 0, (I2366-ROUNDDOWN(I2366,0)))</f>
      </c>
      <c r="K2366" s="7">
        <f>INDIRECT("C$"&amp;2+MIN(2,ROUNDDOWN(I2366,0))*3)*(-$J2366^3+3*$J2366^2-3*$J2366+1)+INDIRECT("C$"&amp;3+MIN(2,ROUNDDOWN(I2366,0))*3)*(3*$J2366^3-6*$J2366^2+3*$J2366)+INDIRECT("C$"&amp;4+MIN(2,ROUNDDOWN(I2366,0))*3)*(-3*$J2366^3+3*$J2366^2)+INDIRECT("C$"&amp;5+MIN(2,ROUNDDOWN(I2366,0))*3)*$J2366^3</f>
      </c>
      <c r="L2366" s="7">
        <f>INDIRECT("D$"&amp;2+MIN(2,ROUNDDOWN(I2366,0))*3)*(-$J2366^3+3*$J2366^2-3*$J2366+1)+INDIRECT("D$"&amp;3+MIN(2,ROUNDDOWN(I2366,0))*3)*(3*$J2366^3-6*$J2366^2+3*$J2366)+INDIRECT("D$"&amp;4+MIN(2,ROUNDDOWN(I2366,0))*3)*(-3*$J2366^3+3*$J2366^2)+INDIRECT("D$"&amp;5+MIN(2,ROUNDDOWN(I2366,0))*3)*$J2366^3</f>
      </c>
      <c r="M2366" s="7">
        <f>SQRT(K2366^2+L2366^2)</f>
      </c>
      <c r="N2366" s="7">
        <f>(K2367-K2365)</f>
      </c>
      <c r="O2366" s="7">
        <f>+(L2367-L2365)</f>
      </c>
      <c r="P2366" s="7">
        <f>SQRT(O2366^2+N2366^2)</f>
      </c>
      <c r="Q2366" s="7">
        <f>N2366/$P2366</f>
      </c>
      <c r="R2366" s="7">
        <f>O2366/$P2366</f>
      </c>
      <c r="S2366" s="8">
        <f>Q2366^2+R2366^2</f>
      </c>
      <c r="T2366" s="7">
        <f>-R2366</f>
      </c>
      <c r="U2366" s="7">
        <f>Q2366</f>
      </c>
      <c r="V2366" s="7">
        <f>($C$14+($C$15-$C$14)/($D$15-$D$14)*(I2366-$D$14))/2</f>
      </c>
      <c r="W2366" s="7">
        <f>($B$22*I2366^4+$C$22*I2366^3+$D$22*I2366^2+$E$22*I2366+$F$22)/2</f>
      </c>
      <c r="X2366" s="7">
        <f>($W2366)*(T2366)</f>
      </c>
      <c r="Y2366" s="7">
        <f>($W2366)*(U2366)</f>
      </c>
      <c r="Z2366" s="7">
        <f>SQRT(X2366^2+Y2366^2)</f>
      </c>
      <c r="AA2366" s="7">
        <f>$K2366+$X2366</f>
      </c>
      <c r="AB2366" s="7">
        <f>$L2366+$Y2366</f>
      </c>
      <c r="AC2366" s="7">
        <f>$K2366-$X2366</f>
      </c>
      <c r="AD2366" s="7">
        <f>$L2366-$Y2366</f>
      </c>
      <c r="AE2366" s="7">
        <f>AA2366/39.3701</f>
      </c>
      <c r="AF2366" s="7">
        <f>AB2366/39.3701</f>
      </c>
      <c r="AG2366" s="7">
        <f>AC2366/39.3701</f>
      </c>
      <c r="AH2366" s="7">
        <f>AD2366/39.3701</f>
      </c>
      <c r="AI2366" s="1"/>
      <c r="AJ2366" s="1"/>
      <c r="AK2366" s="1"/>
      <c r="AL2366" s="1"/>
      <c r="AM2366" s="2"/>
      <c r="AN2366" s="1"/>
      <c r="AO2366" s="1"/>
      <c r="AP2366" s="1"/>
      <c r="AQ2366" s="1"/>
      <c r="AR2366" s="1"/>
      <c r="AS2366" s="1"/>
      <c r="AT2366" s="1"/>
      <c r="AU2366" s="1"/>
      <c r="AV2366" s="1"/>
      <c r="AW2366" s="1"/>
      <c r="AX2366" s="1"/>
      <c r="AY2366" s="1"/>
      <c r="AZ2366" s="1"/>
      <c r="BA2366" s="1"/>
      <c r="BB2366" s="1"/>
      <c r="BC2366" s="1"/>
      <c r="BD2366" s="1"/>
      <c r="BE2366" s="1"/>
    </row>
    <row x14ac:dyDescent="0.25" r="2367" customHeight="1" ht="18.75">
      <c r="A2367" s="1"/>
      <c r="B2367" s="2"/>
      <c r="C2367" s="2"/>
      <c r="D2367" s="2"/>
      <c r="E2367" s="2"/>
      <c r="F2367" s="2"/>
      <c r="G2367" s="1"/>
      <c r="H2367" s="1"/>
      <c r="I2367" s="7">
        <v>2.364</v>
      </c>
      <c r="J2367" s="7">
        <f>IF((I2367-ROUNDDOWN(I2367,0))=0, 0, (I2367-ROUNDDOWN(I2367,0)))</f>
      </c>
      <c r="K2367" s="7">
        <f>INDIRECT("C$"&amp;2+MIN(2,ROUNDDOWN(I2367,0))*3)*(-$J2367^3+3*$J2367^2-3*$J2367+1)+INDIRECT("C$"&amp;3+MIN(2,ROUNDDOWN(I2367,0))*3)*(3*$J2367^3-6*$J2367^2+3*$J2367)+INDIRECT("C$"&amp;4+MIN(2,ROUNDDOWN(I2367,0))*3)*(-3*$J2367^3+3*$J2367^2)+INDIRECT("C$"&amp;5+MIN(2,ROUNDDOWN(I2367,0))*3)*$J2367^3</f>
      </c>
      <c r="L2367" s="7">
        <f>INDIRECT("D$"&amp;2+MIN(2,ROUNDDOWN(I2367,0))*3)*(-$J2367^3+3*$J2367^2-3*$J2367+1)+INDIRECT("D$"&amp;3+MIN(2,ROUNDDOWN(I2367,0))*3)*(3*$J2367^3-6*$J2367^2+3*$J2367)+INDIRECT("D$"&amp;4+MIN(2,ROUNDDOWN(I2367,0))*3)*(-3*$J2367^3+3*$J2367^2)+INDIRECT("D$"&amp;5+MIN(2,ROUNDDOWN(I2367,0))*3)*$J2367^3</f>
      </c>
      <c r="M2367" s="7">
        <f>SQRT(K2367^2+L2367^2)</f>
      </c>
      <c r="N2367" s="7">
        <f>(K2368-K2366)</f>
      </c>
      <c r="O2367" s="7">
        <f>+(L2368-L2366)</f>
      </c>
      <c r="P2367" s="7">
        <f>SQRT(O2367^2+N2367^2)</f>
      </c>
      <c r="Q2367" s="7">
        <f>N2367/$P2367</f>
      </c>
      <c r="R2367" s="7">
        <f>O2367/$P2367</f>
      </c>
      <c r="S2367" s="7">
        <f>Q2367^2+R2367^2</f>
      </c>
      <c r="T2367" s="7">
        <f>-R2367</f>
      </c>
      <c r="U2367" s="7">
        <f>Q2367</f>
      </c>
      <c r="V2367" s="7">
        <f>($C$14+($C$15-$C$14)/($D$15-$D$14)*(I2367-$D$14))/2</f>
      </c>
      <c r="W2367" s="7">
        <f>($B$22*I2367^4+$C$22*I2367^3+$D$22*I2367^2+$E$22*I2367+$F$22)/2</f>
      </c>
      <c r="X2367" s="7">
        <f>($W2367)*(T2367)</f>
      </c>
      <c r="Y2367" s="7">
        <f>($W2367)*(U2367)</f>
      </c>
      <c r="Z2367" s="7">
        <f>SQRT(X2367^2+Y2367^2)</f>
      </c>
      <c r="AA2367" s="7">
        <f>$K2367+$X2367</f>
      </c>
      <c r="AB2367" s="7">
        <f>$L2367+$Y2367</f>
      </c>
      <c r="AC2367" s="7">
        <f>$K2367-$X2367</f>
      </c>
      <c r="AD2367" s="7">
        <f>$L2367-$Y2367</f>
      </c>
      <c r="AE2367" s="7">
        <f>AA2367/39.3701</f>
      </c>
      <c r="AF2367" s="7">
        <f>AB2367/39.3701</f>
      </c>
      <c r="AG2367" s="7">
        <f>AC2367/39.3701</f>
      </c>
      <c r="AH2367" s="7">
        <f>AD2367/39.3701</f>
      </c>
      <c r="AI2367" s="1"/>
      <c r="AJ2367" s="1"/>
      <c r="AK2367" s="1"/>
      <c r="AL2367" s="1"/>
      <c r="AM2367" s="2"/>
      <c r="AN2367" s="1"/>
      <c r="AO2367" s="1"/>
      <c r="AP2367" s="1"/>
      <c r="AQ2367" s="1"/>
      <c r="AR2367" s="1"/>
      <c r="AS2367" s="1"/>
      <c r="AT2367" s="1"/>
      <c r="AU2367" s="1"/>
      <c r="AV2367" s="1"/>
      <c r="AW2367" s="1"/>
      <c r="AX2367" s="1"/>
      <c r="AY2367" s="1"/>
      <c r="AZ2367" s="1"/>
      <c r="BA2367" s="1"/>
      <c r="BB2367" s="1"/>
      <c r="BC2367" s="1"/>
      <c r="BD2367" s="1"/>
      <c r="BE2367" s="1"/>
    </row>
    <row x14ac:dyDescent="0.25" r="2368" customHeight="1" ht="18.75">
      <c r="A2368" s="1"/>
      <c r="B2368" s="2"/>
      <c r="C2368" s="2"/>
      <c r="D2368" s="2"/>
      <c r="E2368" s="2"/>
      <c r="F2368" s="2"/>
      <c r="G2368" s="1"/>
      <c r="H2368" s="1"/>
      <c r="I2368" s="7">
        <v>2.365</v>
      </c>
      <c r="J2368" s="7">
        <f>IF((I2368-ROUNDDOWN(I2368,0))=0, 0, (I2368-ROUNDDOWN(I2368,0)))</f>
      </c>
      <c r="K2368" s="7">
        <f>INDIRECT("C$"&amp;2+MIN(2,ROUNDDOWN(I2368,0))*3)*(-$J2368^3+3*$J2368^2-3*$J2368+1)+INDIRECT("C$"&amp;3+MIN(2,ROUNDDOWN(I2368,0))*3)*(3*$J2368^3-6*$J2368^2+3*$J2368)+INDIRECT("C$"&amp;4+MIN(2,ROUNDDOWN(I2368,0))*3)*(-3*$J2368^3+3*$J2368^2)+INDIRECT("C$"&amp;5+MIN(2,ROUNDDOWN(I2368,0))*3)*$J2368^3</f>
      </c>
      <c r="L2368" s="7">
        <f>INDIRECT("D$"&amp;2+MIN(2,ROUNDDOWN(I2368,0))*3)*(-$J2368^3+3*$J2368^2-3*$J2368+1)+INDIRECT("D$"&amp;3+MIN(2,ROUNDDOWN(I2368,0))*3)*(3*$J2368^3-6*$J2368^2+3*$J2368)+INDIRECT("D$"&amp;4+MIN(2,ROUNDDOWN(I2368,0))*3)*(-3*$J2368^3+3*$J2368^2)+INDIRECT("D$"&amp;5+MIN(2,ROUNDDOWN(I2368,0))*3)*$J2368^3</f>
      </c>
      <c r="M2368" s="7">
        <f>SQRT(K2368^2+L2368^2)</f>
      </c>
      <c r="N2368" s="7">
        <f>(K2369-K2367)</f>
      </c>
      <c r="O2368" s="7">
        <f>+(L2369-L2367)</f>
      </c>
      <c r="P2368" s="7">
        <f>SQRT(O2368^2+N2368^2)</f>
      </c>
      <c r="Q2368" s="7">
        <f>N2368/$P2368</f>
      </c>
      <c r="R2368" s="7">
        <f>O2368/$P2368</f>
      </c>
      <c r="S2368" s="7">
        <f>Q2368^2+R2368^2</f>
      </c>
      <c r="T2368" s="7">
        <f>-R2368</f>
      </c>
      <c r="U2368" s="7">
        <f>Q2368</f>
      </c>
      <c r="V2368" s="7">
        <f>($C$14+($C$15-$C$14)/($D$15-$D$14)*(I2368-$D$14))/2</f>
      </c>
      <c r="W2368" s="7">
        <f>($B$22*I2368^4+$C$22*I2368^3+$D$22*I2368^2+$E$22*I2368+$F$22)/2</f>
      </c>
      <c r="X2368" s="7">
        <f>($W2368)*(T2368)</f>
      </c>
      <c r="Y2368" s="7">
        <f>($W2368)*(U2368)</f>
      </c>
      <c r="Z2368" s="7">
        <f>SQRT(X2368^2+Y2368^2)</f>
      </c>
      <c r="AA2368" s="7">
        <f>$K2368+$X2368</f>
      </c>
      <c r="AB2368" s="7">
        <f>$L2368+$Y2368</f>
      </c>
      <c r="AC2368" s="7">
        <f>$K2368-$X2368</f>
      </c>
      <c r="AD2368" s="7">
        <f>$L2368-$Y2368</f>
      </c>
      <c r="AE2368" s="7">
        <f>AA2368/39.3701</f>
      </c>
      <c r="AF2368" s="7">
        <f>AB2368/39.3701</f>
      </c>
      <c r="AG2368" s="7">
        <f>AC2368/39.3701</f>
      </c>
      <c r="AH2368" s="7">
        <f>AD2368/39.3701</f>
      </c>
      <c r="AI2368" s="1"/>
      <c r="AJ2368" s="1"/>
      <c r="AK2368" s="1"/>
      <c r="AL2368" s="1"/>
      <c r="AM2368" s="2"/>
      <c r="AN2368" s="1"/>
      <c r="AO2368" s="1"/>
      <c r="AP2368" s="1"/>
      <c r="AQ2368" s="1"/>
      <c r="AR2368" s="1"/>
      <c r="AS2368" s="1"/>
      <c r="AT2368" s="1"/>
      <c r="AU2368" s="1"/>
      <c r="AV2368" s="1"/>
      <c r="AW2368" s="1"/>
      <c r="AX2368" s="1"/>
      <c r="AY2368" s="1"/>
      <c r="AZ2368" s="1"/>
      <c r="BA2368" s="1"/>
      <c r="BB2368" s="1"/>
      <c r="BC2368" s="1"/>
      <c r="BD2368" s="1"/>
      <c r="BE2368" s="1"/>
    </row>
    <row x14ac:dyDescent="0.25" r="2369" customHeight="1" ht="18.75">
      <c r="A2369" s="1"/>
      <c r="B2369" s="2"/>
      <c r="C2369" s="2"/>
      <c r="D2369" s="2"/>
      <c r="E2369" s="2"/>
      <c r="F2369" s="2"/>
      <c r="G2369" s="1"/>
      <c r="H2369" s="1"/>
      <c r="I2369" s="7">
        <v>2.366</v>
      </c>
      <c r="J2369" s="7">
        <f>IF((I2369-ROUNDDOWN(I2369,0))=0, 0, (I2369-ROUNDDOWN(I2369,0)))</f>
      </c>
      <c r="K2369" s="7">
        <f>INDIRECT("C$"&amp;2+MIN(2,ROUNDDOWN(I2369,0))*3)*(-$J2369^3+3*$J2369^2-3*$J2369+1)+INDIRECT("C$"&amp;3+MIN(2,ROUNDDOWN(I2369,0))*3)*(3*$J2369^3-6*$J2369^2+3*$J2369)+INDIRECT("C$"&amp;4+MIN(2,ROUNDDOWN(I2369,0))*3)*(-3*$J2369^3+3*$J2369^2)+INDIRECT("C$"&amp;5+MIN(2,ROUNDDOWN(I2369,0))*3)*$J2369^3</f>
      </c>
      <c r="L2369" s="7">
        <f>INDIRECT("D$"&amp;2+MIN(2,ROUNDDOWN(I2369,0))*3)*(-$J2369^3+3*$J2369^2-3*$J2369+1)+INDIRECT("D$"&amp;3+MIN(2,ROUNDDOWN(I2369,0))*3)*(3*$J2369^3-6*$J2369^2+3*$J2369)+INDIRECT("D$"&amp;4+MIN(2,ROUNDDOWN(I2369,0))*3)*(-3*$J2369^3+3*$J2369^2)+INDIRECT("D$"&amp;5+MIN(2,ROUNDDOWN(I2369,0))*3)*$J2369^3</f>
      </c>
      <c r="M2369" s="7">
        <f>SQRT(K2369^2+L2369^2)</f>
      </c>
      <c r="N2369" s="7">
        <f>(K2370-K2368)</f>
      </c>
      <c r="O2369" s="7">
        <f>+(L2370-L2368)</f>
      </c>
      <c r="P2369" s="7">
        <f>SQRT(O2369^2+N2369^2)</f>
      </c>
      <c r="Q2369" s="7">
        <f>N2369/$P2369</f>
      </c>
      <c r="R2369" s="7">
        <f>O2369/$P2369</f>
      </c>
      <c r="S2369" s="8">
        <f>Q2369^2+R2369^2</f>
      </c>
      <c r="T2369" s="7">
        <f>-R2369</f>
      </c>
      <c r="U2369" s="7">
        <f>Q2369</f>
      </c>
      <c r="V2369" s="7">
        <f>($C$14+($C$15-$C$14)/($D$15-$D$14)*(I2369-$D$14))/2</f>
      </c>
      <c r="W2369" s="7">
        <f>($B$22*I2369^4+$C$22*I2369^3+$D$22*I2369^2+$E$22*I2369+$F$22)/2</f>
      </c>
      <c r="X2369" s="7">
        <f>($W2369)*(T2369)</f>
      </c>
      <c r="Y2369" s="7">
        <f>($W2369)*(U2369)</f>
      </c>
      <c r="Z2369" s="7">
        <f>SQRT(X2369^2+Y2369^2)</f>
      </c>
      <c r="AA2369" s="7">
        <f>$K2369+$X2369</f>
      </c>
      <c r="AB2369" s="7">
        <f>$L2369+$Y2369</f>
      </c>
      <c r="AC2369" s="7">
        <f>$K2369-$X2369</f>
      </c>
      <c r="AD2369" s="7">
        <f>$L2369-$Y2369</f>
      </c>
      <c r="AE2369" s="7">
        <f>AA2369/39.3701</f>
      </c>
      <c r="AF2369" s="7">
        <f>AB2369/39.3701</f>
      </c>
      <c r="AG2369" s="7">
        <f>AC2369/39.3701</f>
      </c>
      <c r="AH2369" s="7">
        <f>AD2369/39.3701</f>
      </c>
      <c r="AI2369" s="1"/>
      <c r="AJ2369" s="1"/>
      <c r="AK2369" s="1"/>
      <c r="AL2369" s="1"/>
      <c r="AM2369" s="2"/>
      <c r="AN2369" s="1"/>
      <c r="AO2369" s="1"/>
      <c r="AP2369" s="1"/>
      <c r="AQ2369" s="1"/>
      <c r="AR2369" s="1"/>
      <c r="AS2369" s="1"/>
      <c r="AT2369" s="1"/>
      <c r="AU2369" s="1"/>
      <c r="AV2369" s="1"/>
      <c r="AW2369" s="1"/>
      <c r="AX2369" s="1"/>
      <c r="AY2369" s="1"/>
      <c r="AZ2369" s="1"/>
      <c r="BA2369" s="1"/>
      <c r="BB2369" s="1"/>
      <c r="BC2369" s="1"/>
      <c r="BD2369" s="1"/>
      <c r="BE2369" s="1"/>
    </row>
    <row x14ac:dyDescent="0.25" r="2370" customHeight="1" ht="18.75">
      <c r="A2370" s="1"/>
      <c r="B2370" s="2"/>
      <c r="C2370" s="2"/>
      <c r="D2370" s="2"/>
      <c r="E2370" s="2"/>
      <c r="F2370" s="2"/>
      <c r="G2370" s="1"/>
      <c r="H2370" s="1"/>
      <c r="I2370" s="7">
        <v>2.367</v>
      </c>
      <c r="J2370" s="7">
        <f>IF((I2370-ROUNDDOWN(I2370,0))=0, 0, (I2370-ROUNDDOWN(I2370,0)))</f>
      </c>
      <c r="K2370" s="7">
        <f>INDIRECT("C$"&amp;2+MIN(2,ROUNDDOWN(I2370,0))*3)*(-$J2370^3+3*$J2370^2-3*$J2370+1)+INDIRECT("C$"&amp;3+MIN(2,ROUNDDOWN(I2370,0))*3)*(3*$J2370^3-6*$J2370^2+3*$J2370)+INDIRECT("C$"&amp;4+MIN(2,ROUNDDOWN(I2370,0))*3)*(-3*$J2370^3+3*$J2370^2)+INDIRECT("C$"&amp;5+MIN(2,ROUNDDOWN(I2370,0))*3)*$J2370^3</f>
      </c>
      <c r="L2370" s="7">
        <f>INDIRECT("D$"&amp;2+MIN(2,ROUNDDOWN(I2370,0))*3)*(-$J2370^3+3*$J2370^2-3*$J2370+1)+INDIRECT("D$"&amp;3+MIN(2,ROUNDDOWN(I2370,0))*3)*(3*$J2370^3-6*$J2370^2+3*$J2370)+INDIRECT("D$"&amp;4+MIN(2,ROUNDDOWN(I2370,0))*3)*(-3*$J2370^3+3*$J2370^2)+INDIRECT("D$"&amp;5+MIN(2,ROUNDDOWN(I2370,0))*3)*$J2370^3</f>
      </c>
      <c r="M2370" s="7">
        <f>SQRT(K2370^2+L2370^2)</f>
      </c>
      <c r="N2370" s="7">
        <f>(K2371-K2369)</f>
      </c>
      <c r="O2370" s="7">
        <f>+(L2371-L2369)</f>
      </c>
      <c r="P2370" s="7">
        <f>SQRT(O2370^2+N2370^2)</f>
      </c>
      <c r="Q2370" s="7">
        <f>N2370/$P2370</f>
      </c>
      <c r="R2370" s="7">
        <f>O2370/$P2370</f>
      </c>
      <c r="S2370" s="7">
        <f>Q2370^2+R2370^2</f>
      </c>
      <c r="T2370" s="7">
        <f>-R2370</f>
      </c>
      <c r="U2370" s="7">
        <f>Q2370</f>
      </c>
      <c r="V2370" s="7">
        <f>($C$14+($C$15-$C$14)/($D$15-$D$14)*(I2370-$D$14))/2</f>
      </c>
      <c r="W2370" s="7">
        <f>($B$22*I2370^4+$C$22*I2370^3+$D$22*I2370^2+$E$22*I2370+$F$22)/2</f>
      </c>
      <c r="X2370" s="7">
        <f>($W2370)*(T2370)</f>
      </c>
      <c r="Y2370" s="7">
        <f>($W2370)*(U2370)</f>
      </c>
      <c r="Z2370" s="7">
        <f>SQRT(X2370^2+Y2370^2)</f>
      </c>
      <c r="AA2370" s="7">
        <f>$K2370+$X2370</f>
      </c>
      <c r="AB2370" s="7">
        <f>$L2370+$Y2370</f>
      </c>
      <c r="AC2370" s="7">
        <f>$K2370-$X2370</f>
      </c>
      <c r="AD2370" s="7">
        <f>$L2370-$Y2370</f>
      </c>
      <c r="AE2370" s="7">
        <f>AA2370/39.3701</f>
      </c>
      <c r="AF2370" s="7">
        <f>AB2370/39.3701</f>
      </c>
      <c r="AG2370" s="7">
        <f>AC2370/39.3701</f>
      </c>
      <c r="AH2370" s="7">
        <f>AD2370/39.3701</f>
      </c>
      <c r="AI2370" s="1"/>
      <c r="AJ2370" s="1"/>
      <c r="AK2370" s="1"/>
      <c r="AL2370" s="1"/>
      <c r="AM2370" s="2"/>
      <c r="AN2370" s="1"/>
      <c r="AO2370" s="1"/>
      <c r="AP2370" s="1"/>
      <c r="AQ2370" s="1"/>
      <c r="AR2370" s="1"/>
      <c r="AS2370" s="1"/>
      <c r="AT2370" s="1"/>
      <c r="AU2370" s="1"/>
      <c r="AV2370" s="1"/>
      <c r="AW2370" s="1"/>
      <c r="AX2370" s="1"/>
      <c r="AY2370" s="1"/>
      <c r="AZ2370" s="1"/>
      <c r="BA2370" s="1"/>
      <c r="BB2370" s="1"/>
      <c r="BC2370" s="1"/>
      <c r="BD2370" s="1"/>
      <c r="BE2370" s="1"/>
    </row>
    <row x14ac:dyDescent="0.25" r="2371" customHeight="1" ht="18.75">
      <c r="A2371" s="1"/>
      <c r="B2371" s="2"/>
      <c r="C2371" s="2"/>
      <c r="D2371" s="2"/>
      <c r="E2371" s="2"/>
      <c r="F2371" s="2"/>
      <c r="G2371" s="1"/>
      <c r="H2371" s="1"/>
      <c r="I2371" s="7">
        <v>2.368</v>
      </c>
      <c r="J2371" s="7">
        <f>IF((I2371-ROUNDDOWN(I2371,0))=0, 0, (I2371-ROUNDDOWN(I2371,0)))</f>
      </c>
      <c r="K2371" s="7">
        <f>INDIRECT("C$"&amp;2+MIN(2,ROUNDDOWN(I2371,0))*3)*(-$J2371^3+3*$J2371^2-3*$J2371+1)+INDIRECT("C$"&amp;3+MIN(2,ROUNDDOWN(I2371,0))*3)*(3*$J2371^3-6*$J2371^2+3*$J2371)+INDIRECT("C$"&amp;4+MIN(2,ROUNDDOWN(I2371,0))*3)*(-3*$J2371^3+3*$J2371^2)+INDIRECT("C$"&amp;5+MIN(2,ROUNDDOWN(I2371,0))*3)*$J2371^3</f>
      </c>
      <c r="L2371" s="7">
        <f>INDIRECT("D$"&amp;2+MIN(2,ROUNDDOWN(I2371,0))*3)*(-$J2371^3+3*$J2371^2-3*$J2371+1)+INDIRECT("D$"&amp;3+MIN(2,ROUNDDOWN(I2371,0))*3)*(3*$J2371^3-6*$J2371^2+3*$J2371)+INDIRECT("D$"&amp;4+MIN(2,ROUNDDOWN(I2371,0))*3)*(-3*$J2371^3+3*$J2371^2)+INDIRECT("D$"&amp;5+MIN(2,ROUNDDOWN(I2371,0))*3)*$J2371^3</f>
      </c>
      <c r="M2371" s="7">
        <f>SQRT(K2371^2+L2371^2)</f>
      </c>
      <c r="N2371" s="7">
        <f>(K2372-K2370)</f>
      </c>
      <c r="O2371" s="7">
        <f>+(L2372-L2370)</f>
      </c>
      <c r="P2371" s="7">
        <f>SQRT(O2371^2+N2371^2)</f>
      </c>
      <c r="Q2371" s="7">
        <f>N2371/$P2371</f>
      </c>
      <c r="R2371" s="7">
        <f>O2371/$P2371</f>
      </c>
      <c r="S2371" s="7">
        <f>Q2371^2+R2371^2</f>
      </c>
      <c r="T2371" s="7">
        <f>-R2371</f>
      </c>
      <c r="U2371" s="7">
        <f>Q2371</f>
      </c>
      <c r="V2371" s="7">
        <f>($C$14+($C$15-$C$14)/($D$15-$D$14)*(I2371-$D$14))/2</f>
      </c>
      <c r="W2371" s="7">
        <f>($B$22*I2371^4+$C$22*I2371^3+$D$22*I2371^2+$E$22*I2371+$F$22)/2</f>
      </c>
      <c r="X2371" s="7">
        <f>($W2371)*(T2371)</f>
      </c>
      <c r="Y2371" s="7">
        <f>($W2371)*(U2371)</f>
      </c>
      <c r="Z2371" s="7">
        <f>SQRT(X2371^2+Y2371^2)</f>
      </c>
      <c r="AA2371" s="7">
        <f>$K2371+$X2371</f>
      </c>
      <c r="AB2371" s="7">
        <f>$L2371+$Y2371</f>
      </c>
      <c r="AC2371" s="7">
        <f>$K2371-$X2371</f>
      </c>
      <c r="AD2371" s="7">
        <f>$L2371-$Y2371</f>
      </c>
      <c r="AE2371" s="7">
        <f>AA2371/39.3701</f>
      </c>
      <c r="AF2371" s="7">
        <f>AB2371/39.3701</f>
      </c>
      <c r="AG2371" s="7">
        <f>AC2371/39.3701</f>
      </c>
      <c r="AH2371" s="7">
        <f>AD2371/39.3701</f>
      </c>
      <c r="AI2371" s="1"/>
      <c r="AJ2371" s="1"/>
      <c r="AK2371" s="1"/>
      <c r="AL2371" s="1"/>
      <c r="AM2371" s="2"/>
      <c r="AN2371" s="1"/>
      <c r="AO2371" s="1"/>
      <c r="AP2371" s="1"/>
      <c r="AQ2371" s="1"/>
      <c r="AR2371" s="1"/>
      <c r="AS2371" s="1"/>
      <c r="AT2371" s="1"/>
      <c r="AU2371" s="1"/>
      <c r="AV2371" s="1"/>
      <c r="AW2371" s="1"/>
      <c r="AX2371" s="1"/>
      <c r="AY2371" s="1"/>
      <c r="AZ2371" s="1"/>
      <c r="BA2371" s="1"/>
      <c r="BB2371" s="1"/>
      <c r="BC2371" s="1"/>
      <c r="BD2371" s="1"/>
      <c r="BE2371" s="1"/>
    </row>
    <row x14ac:dyDescent="0.25" r="2372" customHeight="1" ht="18.75">
      <c r="A2372" s="1"/>
      <c r="B2372" s="2"/>
      <c r="C2372" s="2"/>
      <c r="D2372" s="2"/>
      <c r="E2372" s="2"/>
      <c r="F2372" s="2"/>
      <c r="G2372" s="1"/>
      <c r="H2372" s="1"/>
      <c r="I2372" s="7">
        <v>2.369</v>
      </c>
      <c r="J2372" s="7">
        <f>IF((I2372-ROUNDDOWN(I2372,0))=0, 0, (I2372-ROUNDDOWN(I2372,0)))</f>
      </c>
      <c r="K2372" s="7">
        <f>INDIRECT("C$"&amp;2+MIN(2,ROUNDDOWN(I2372,0))*3)*(-$J2372^3+3*$J2372^2-3*$J2372+1)+INDIRECT("C$"&amp;3+MIN(2,ROUNDDOWN(I2372,0))*3)*(3*$J2372^3-6*$J2372^2+3*$J2372)+INDIRECT("C$"&amp;4+MIN(2,ROUNDDOWN(I2372,0))*3)*(-3*$J2372^3+3*$J2372^2)+INDIRECT("C$"&amp;5+MIN(2,ROUNDDOWN(I2372,0))*3)*$J2372^3</f>
      </c>
      <c r="L2372" s="7">
        <f>INDIRECT("D$"&amp;2+MIN(2,ROUNDDOWN(I2372,0))*3)*(-$J2372^3+3*$J2372^2-3*$J2372+1)+INDIRECT("D$"&amp;3+MIN(2,ROUNDDOWN(I2372,0))*3)*(3*$J2372^3-6*$J2372^2+3*$J2372)+INDIRECT("D$"&amp;4+MIN(2,ROUNDDOWN(I2372,0))*3)*(-3*$J2372^3+3*$J2372^2)+INDIRECT("D$"&amp;5+MIN(2,ROUNDDOWN(I2372,0))*3)*$J2372^3</f>
      </c>
      <c r="M2372" s="7">
        <f>SQRT(K2372^2+L2372^2)</f>
      </c>
      <c r="N2372" s="7">
        <f>(K2373-K2371)</f>
      </c>
      <c r="O2372" s="7">
        <f>+(L2373-L2371)</f>
      </c>
      <c r="P2372" s="7">
        <f>SQRT(O2372^2+N2372^2)</f>
      </c>
      <c r="Q2372" s="7">
        <f>N2372/$P2372</f>
      </c>
      <c r="R2372" s="7">
        <f>O2372/$P2372</f>
      </c>
      <c r="S2372" s="8">
        <f>Q2372^2+R2372^2</f>
      </c>
      <c r="T2372" s="7">
        <f>-R2372</f>
      </c>
      <c r="U2372" s="7">
        <f>Q2372</f>
      </c>
      <c r="V2372" s="7">
        <f>($C$14+($C$15-$C$14)/($D$15-$D$14)*(I2372-$D$14))/2</f>
      </c>
      <c r="W2372" s="7">
        <f>($B$22*I2372^4+$C$22*I2372^3+$D$22*I2372^2+$E$22*I2372+$F$22)/2</f>
      </c>
      <c r="X2372" s="7">
        <f>($W2372)*(T2372)</f>
      </c>
      <c r="Y2372" s="7">
        <f>($W2372)*(U2372)</f>
      </c>
      <c r="Z2372" s="7">
        <f>SQRT(X2372^2+Y2372^2)</f>
      </c>
      <c r="AA2372" s="7">
        <f>$K2372+$X2372</f>
      </c>
      <c r="AB2372" s="7">
        <f>$L2372+$Y2372</f>
      </c>
      <c r="AC2372" s="7">
        <f>$K2372-$X2372</f>
      </c>
      <c r="AD2372" s="7">
        <f>$L2372-$Y2372</f>
      </c>
      <c r="AE2372" s="7">
        <f>AA2372/39.3701</f>
      </c>
      <c r="AF2372" s="7">
        <f>AB2372/39.3701</f>
      </c>
      <c r="AG2372" s="7">
        <f>AC2372/39.3701</f>
      </c>
      <c r="AH2372" s="7">
        <f>AD2372/39.3701</f>
      </c>
      <c r="AI2372" s="1"/>
      <c r="AJ2372" s="1"/>
      <c r="AK2372" s="1"/>
      <c r="AL2372" s="1"/>
      <c r="AM2372" s="2"/>
      <c r="AN2372" s="1"/>
      <c r="AO2372" s="1"/>
      <c r="AP2372" s="1"/>
      <c r="AQ2372" s="1"/>
      <c r="AR2372" s="1"/>
      <c r="AS2372" s="1"/>
      <c r="AT2372" s="1"/>
      <c r="AU2372" s="1"/>
      <c r="AV2372" s="1"/>
      <c r="AW2372" s="1"/>
      <c r="AX2372" s="1"/>
      <c r="AY2372" s="1"/>
      <c r="AZ2372" s="1"/>
      <c r="BA2372" s="1"/>
      <c r="BB2372" s="1"/>
      <c r="BC2372" s="1"/>
      <c r="BD2372" s="1"/>
      <c r="BE2372" s="1"/>
    </row>
    <row x14ac:dyDescent="0.25" r="2373" customHeight="1" ht="18.75">
      <c r="A2373" s="1"/>
      <c r="B2373" s="2"/>
      <c r="C2373" s="2"/>
      <c r="D2373" s="2"/>
      <c r="E2373" s="2"/>
      <c r="F2373" s="2"/>
      <c r="G2373" s="1"/>
      <c r="H2373" s="1"/>
      <c r="I2373" s="7">
        <v>2.37</v>
      </c>
      <c r="J2373" s="7">
        <f>IF((I2373-ROUNDDOWN(I2373,0))=0, 0, (I2373-ROUNDDOWN(I2373,0)))</f>
      </c>
      <c r="K2373" s="7">
        <f>INDIRECT("C$"&amp;2+MIN(2,ROUNDDOWN(I2373,0))*3)*(-$J2373^3+3*$J2373^2-3*$J2373+1)+INDIRECT("C$"&amp;3+MIN(2,ROUNDDOWN(I2373,0))*3)*(3*$J2373^3-6*$J2373^2+3*$J2373)+INDIRECT("C$"&amp;4+MIN(2,ROUNDDOWN(I2373,0))*3)*(-3*$J2373^3+3*$J2373^2)+INDIRECT("C$"&amp;5+MIN(2,ROUNDDOWN(I2373,0))*3)*$J2373^3</f>
      </c>
      <c r="L2373" s="7">
        <f>INDIRECT("D$"&amp;2+MIN(2,ROUNDDOWN(I2373,0))*3)*(-$J2373^3+3*$J2373^2-3*$J2373+1)+INDIRECT("D$"&amp;3+MIN(2,ROUNDDOWN(I2373,0))*3)*(3*$J2373^3-6*$J2373^2+3*$J2373)+INDIRECT("D$"&amp;4+MIN(2,ROUNDDOWN(I2373,0))*3)*(-3*$J2373^3+3*$J2373^2)+INDIRECT("D$"&amp;5+MIN(2,ROUNDDOWN(I2373,0))*3)*$J2373^3</f>
      </c>
      <c r="M2373" s="7">
        <f>SQRT(K2373^2+L2373^2)</f>
      </c>
      <c r="N2373" s="7">
        <f>(K2374-K2372)</f>
      </c>
      <c r="O2373" s="7">
        <f>+(L2374-L2372)</f>
      </c>
      <c r="P2373" s="7">
        <f>SQRT(O2373^2+N2373^2)</f>
      </c>
      <c r="Q2373" s="7">
        <f>N2373/$P2373</f>
      </c>
      <c r="R2373" s="7">
        <f>O2373/$P2373</f>
      </c>
      <c r="S2373" s="7">
        <f>Q2373^2+R2373^2</f>
      </c>
      <c r="T2373" s="7">
        <f>-R2373</f>
      </c>
      <c r="U2373" s="7">
        <f>Q2373</f>
      </c>
      <c r="V2373" s="7">
        <f>($C$14+($C$15-$C$14)/($D$15-$D$14)*(I2373-$D$14))/2</f>
      </c>
      <c r="W2373" s="7">
        <f>($B$22*I2373^4+$C$22*I2373^3+$D$22*I2373^2+$E$22*I2373+$F$22)/2</f>
      </c>
      <c r="X2373" s="7">
        <f>($W2373)*(T2373)</f>
      </c>
      <c r="Y2373" s="7">
        <f>($W2373)*(U2373)</f>
      </c>
      <c r="Z2373" s="7">
        <f>SQRT(X2373^2+Y2373^2)</f>
      </c>
      <c r="AA2373" s="7">
        <f>$K2373+$X2373</f>
      </c>
      <c r="AB2373" s="7">
        <f>$L2373+$Y2373</f>
      </c>
      <c r="AC2373" s="7">
        <f>$K2373-$X2373</f>
      </c>
      <c r="AD2373" s="7">
        <f>$L2373-$Y2373</f>
      </c>
      <c r="AE2373" s="7">
        <f>AA2373/39.3701</f>
      </c>
      <c r="AF2373" s="7">
        <f>AB2373/39.3701</f>
      </c>
      <c r="AG2373" s="7">
        <f>AC2373/39.3701</f>
      </c>
      <c r="AH2373" s="7">
        <f>AD2373/39.3701</f>
      </c>
      <c r="AI2373" s="1"/>
      <c r="AJ2373" s="1"/>
      <c r="AK2373" s="1"/>
      <c r="AL2373" s="1"/>
      <c r="AM2373" s="2"/>
      <c r="AN2373" s="1"/>
      <c r="AO2373" s="1"/>
      <c r="AP2373" s="1"/>
      <c r="AQ2373" s="1"/>
      <c r="AR2373" s="1"/>
      <c r="AS2373" s="1"/>
      <c r="AT2373" s="1"/>
      <c r="AU2373" s="1"/>
      <c r="AV2373" s="1"/>
      <c r="AW2373" s="1"/>
      <c r="AX2373" s="1"/>
      <c r="AY2373" s="1"/>
      <c r="AZ2373" s="1"/>
      <c r="BA2373" s="1"/>
      <c r="BB2373" s="1"/>
      <c r="BC2373" s="1"/>
      <c r="BD2373" s="1"/>
      <c r="BE2373" s="1"/>
    </row>
    <row x14ac:dyDescent="0.25" r="2374" customHeight="1" ht="18.75">
      <c r="A2374" s="1"/>
      <c r="B2374" s="2"/>
      <c r="C2374" s="2"/>
      <c r="D2374" s="2"/>
      <c r="E2374" s="2"/>
      <c r="F2374" s="2"/>
      <c r="G2374" s="1"/>
      <c r="H2374" s="1"/>
      <c r="I2374" s="7">
        <v>2.371</v>
      </c>
      <c r="J2374" s="7">
        <f>IF((I2374-ROUNDDOWN(I2374,0))=0, 0, (I2374-ROUNDDOWN(I2374,0)))</f>
      </c>
      <c r="K2374" s="7">
        <f>INDIRECT("C$"&amp;2+MIN(2,ROUNDDOWN(I2374,0))*3)*(-$J2374^3+3*$J2374^2-3*$J2374+1)+INDIRECT("C$"&amp;3+MIN(2,ROUNDDOWN(I2374,0))*3)*(3*$J2374^3-6*$J2374^2+3*$J2374)+INDIRECT("C$"&amp;4+MIN(2,ROUNDDOWN(I2374,0))*3)*(-3*$J2374^3+3*$J2374^2)+INDIRECT("C$"&amp;5+MIN(2,ROUNDDOWN(I2374,0))*3)*$J2374^3</f>
      </c>
      <c r="L2374" s="7">
        <f>INDIRECT("D$"&amp;2+MIN(2,ROUNDDOWN(I2374,0))*3)*(-$J2374^3+3*$J2374^2-3*$J2374+1)+INDIRECT("D$"&amp;3+MIN(2,ROUNDDOWN(I2374,0))*3)*(3*$J2374^3-6*$J2374^2+3*$J2374)+INDIRECT("D$"&amp;4+MIN(2,ROUNDDOWN(I2374,0))*3)*(-3*$J2374^3+3*$J2374^2)+INDIRECT("D$"&amp;5+MIN(2,ROUNDDOWN(I2374,0))*3)*$J2374^3</f>
      </c>
      <c r="M2374" s="7">
        <f>SQRT(K2374^2+L2374^2)</f>
      </c>
      <c r="N2374" s="7">
        <f>(K2375-K2373)</f>
      </c>
      <c r="O2374" s="7">
        <f>+(L2375-L2373)</f>
      </c>
      <c r="P2374" s="7">
        <f>SQRT(O2374^2+N2374^2)</f>
      </c>
      <c r="Q2374" s="7">
        <f>N2374/$P2374</f>
      </c>
      <c r="R2374" s="7">
        <f>O2374/$P2374</f>
      </c>
      <c r="S2374" s="7">
        <f>Q2374^2+R2374^2</f>
      </c>
      <c r="T2374" s="7">
        <f>-R2374</f>
      </c>
      <c r="U2374" s="7">
        <f>Q2374</f>
      </c>
      <c r="V2374" s="7">
        <f>($C$14+($C$15-$C$14)/($D$15-$D$14)*(I2374-$D$14))/2</f>
      </c>
      <c r="W2374" s="7">
        <f>($B$22*I2374^4+$C$22*I2374^3+$D$22*I2374^2+$E$22*I2374+$F$22)/2</f>
      </c>
      <c r="X2374" s="7">
        <f>($W2374)*(T2374)</f>
      </c>
      <c r="Y2374" s="7">
        <f>($W2374)*(U2374)</f>
      </c>
      <c r="Z2374" s="7">
        <f>SQRT(X2374^2+Y2374^2)</f>
      </c>
      <c r="AA2374" s="7">
        <f>$K2374+$X2374</f>
      </c>
      <c r="AB2374" s="7">
        <f>$L2374+$Y2374</f>
      </c>
      <c r="AC2374" s="7">
        <f>$K2374-$X2374</f>
      </c>
      <c r="AD2374" s="7">
        <f>$L2374-$Y2374</f>
      </c>
      <c r="AE2374" s="7">
        <f>AA2374/39.3701</f>
      </c>
      <c r="AF2374" s="7">
        <f>AB2374/39.3701</f>
      </c>
      <c r="AG2374" s="7">
        <f>AC2374/39.3701</f>
      </c>
      <c r="AH2374" s="7">
        <f>AD2374/39.3701</f>
      </c>
      <c r="AI2374" s="1"/>
      <c r="AJ2374" s="1"/>
      <c r="AK2374" s="1"/>
      <c r="AL2374" s="1"/>
      <c r="AM2374" s="2"/>
      <c r="AN2374" s="1"/>
      <c r="AO2374" s="1"/>
      <c r="AP2374" s="1"/>
      <c r="AQ2374" s="1"/>
      <c r="AR2374" s="1"/>
      <c r="AS2374" s="1"/>
      <c r="AT2374" s="1"/>
      <c r="AU2374" s="1"/>
      <c r="AV2374" s="1"/>
      <c r="AW2374" s="1"/>
      <c r="AX2374" s="1"/>
      <c r="AY2374" s="1"/>
      <c r="AZ2374" s="1"/>
      <c r="BA2374" s="1"/>
      <c r="BB2374" s="1"/>
      <c r="BC2374" s="1"/>
      <c r="BD2374" s="1"/>
      <c r="BE2374" s="1"/>
    </row>
    <row x14ac:dyDescent="0.25" r="2375" customHeight="1" ht="18.75">
      <c r="A2375" s="1"/>
      <c r="B2375" s="2"/>
      <c r="C2375" s="2"/>
      <c r="D2375" s="2"/>
      <c r="E2375" s="2"/>
      <c r="F2375" s="2"/>
      <c r="G2375" s="1"/>
      <c r="H2375" s="1"/>
      <c r="I2375" s="7">
        <v>2.372</v>
      </c>
      <c r="J2375" s="7">
        <f>IF((I2375-ROUNDDOWN(I2375,0))=0, 0, (I2375-ROUNDDOWN(I2375,0)))</f>
      </c>
      <c r="K2375" s="7">
        <f>INDIRECT("C$"&amp;2+MIN(2,ROUNDDOWN(I2375,0))*3)*(-$J2375^3+3*$J2375^2-3*$J2375+1)+INDIRECT("C$"&amp;3+MIN(2,ROUNDDOWN(I2375,0))*3)*(3*$J2375^3-6*$J2375^2+3*$J2375)+INDIRECT("C$"&amp;4+MIN(2,ROUNDDOWN(I2375,0))*3)*(-3*$J2375^3+3*$J2375^2)+INDIRECT("C$"&amp;5+MIN(2,ROUNDDOWN(I2375,0))*3)*$J2375^3</f>
      </c>
      <c r="L2375" s="7">
        <f>INDIRECT("D$"&amp;2+MIN(2,ROUNDDOWN(I2375,0))*3)*(-$J2375^3+3*$J2375^2-3*$J2375+1)+INDIRECT("D$"&amp;3+MIN(2,ROUNDDOWN(I2375,0))*3)*(3*$J2375^3-6*$J2375^2+3*$J2375)+INDIRECT("D$"&amp;4+MIN(2,ROUNDDOWN(I2375,0))*3)*(-3*$J2375^3+3*$J2375^2)+INDIRECT("D$"&amp;5+MIN(2,ROUNDDOWN(I2375,0))*3)*$J2375^3</f>
      </c>
      <c r="M2375" s="7">
        <f>SQRT(K2375^2+L2375^2)</f>
      </c>
      <c r="N2375" s="7">
        <f>(K2376-K2374)</f>
      </c>
      <c r="O2375" s="7">
        <f>+(L2376-L2374)</f>
      </c>
      <c r="P2375" s="7">
        <f>SQRT(O2375^2+N2375^2)</f>
      </c>
      <c r="Q2375" s="7">
        <f>N2375/$P2375</f>
      </c>
      <c r="R2375" s="7">
        <f>O2375/$P2375</f>
      </c>
      <c r="S2375" s="8">
        <f>Q2375^2+R2375^2</f>
      </c>
      <c r="T2375" s="7">
        <f>-R2375</f>
      </c>
      <c r="U2375" s="7">
        <f>Q2375</f>
      </c>
      <c r="V2375" s="7">
        <f>($C$14+($C$15-$C$14)/($D$15-$D$14)*(I2375-$D$14))/2</f>
      </c>
      <c r="W2375" s="7">
        <f>($B$22*I2375^4+$C$22*I2375^3+$D$22*I2375^2+$E$22*I2375+$F$22)/2</f>
      </c>
      <c r="X2375" s="7">
        <f>($W2375)*(T2375)</f>
      </c>
      <c r="Y2375" s="7">
        <f>($W2375)*(U2375)</f>
      </c>
      <c r="Z2375" s="7">
        <f>SQRT(X2375^2+Y2375^2)</f>
      </c>
      <c r="AA2375" s="7">
        <f>$K2375+$X2375</f>
      </c>
      <c r="AB2375" s="7">
        <f>$L2375+$Y2375</f>
      </c>
      <c r="AC2375" s="7">
        <f>$K2375-$X2375</f>
      </c>
      <c r="AD2375" s="7">
        <f>$L2375-$Y2375</f>
      </c>
      <c r="AE2375" s="7">
        <f>AA2375/39.3701</f>
      </c>
      <c r="AF2375" s="7">
        <f>AB2375/39.3701</f>
      </c>
      <c r="AG2375" s="7">
        <f>AC2375/39.3701</f>
      </c>
      <c r="AH2375" s="7">
        <f>AD2375/39.3701</f>
      </c>
      <c r="AI2375" s="1"/>
      <c r="AJ2375" s="1"/>
      <c r="AK2375" s="1"/>
      <c r="AL2375" s="1"/>
      <c r="AM2375" s="2"/>
      <c r="AN2375" s="1"/>
      <c r="AO2375" s="1"/>
      <c r="AP2375" s="1"/>
      <c r="AQ2375" s="1"/>
      <c r="AR2375" s="1"/>
      <c r="AS2375" s="1"/>
      <c r="AT2375" s="1"/>
      <c r="AU2375" s="1"/>
      <c r="AV2375" s="1"/>
      <c r="AW2375" s="1"/>
      <c r="AX2375" s="1"/>
      <c r="AY2375" s="1"/>
      <c r="AZ2375" s="1"/>
      <c r="BA2375" s="1"/>
      <c r="BB2375" s="1"/>
      <c r="BC2375" s="1"/>
      <c r="BD2375" s="1"/>
      <c r="BE2375" s="1"/>
    </row>
    <row x14ac:dyDescent="0.25" r="2376" customHeight="1" ht="18.75">
      <c r="A2376" s="1"/>
      <c r="B2376" s="2"/>
      <c r="C2376" s="2"/>
      <c r="D2376" s="2"/>
      <c r="E2376" s="2"/>
      <c r="F2376" s="2"/>
      <c r="G2376" s="1"/>
      <c r="H2376" s="1"/>
      <c r="I2376" s="7">
        <v>2.373</v>
      </c>
      <c r="J2376" s="7">
        <f>IF((I2376-ROUNDDOWN(I2376,0))=0, 0, (I2376-ROUNDDOWN(I2376,0)))</f>
      </c>
      <c r="K2376" s="7">
        <f>INDIRECT("C$"&amp;2+MIN(2,ROUNDDOWN(I2376,0))*3)*(-$J2376^3+3*$J2376^2-3*$J2376+1)+INDIRECT("C$"&amp;3+MIN(2,ROUNDDOWN(I2376,0))*3)*(3*$J2376^3-6*$J2376^2+3*$J2376)+INDIRECT("C$"&amp;4+MIN(2,ROUNDDOWN(I2376,0))*3)*(-3*$J2376^3+3*$J2376^2)+INDIRECT("C$"&amp;5+MIN(2,ROUNDDOWN(I2376,0))*3)*$J2376^3</f>
      </c>
      <c r="L2376" s="7">
        <f>INDIRECT("D$"&amp;2+MIN(2,ROUNDDOWN(I2376,0))*3)*(-$J2376^3+3*$J2376^2-3*$J2376+1)+INDIRECT("D$"&amp;3+MIN(2,ROUNDDOWN(I2376,0))*3)*(3*$J2376^3-6*$J2376^2+3*$J2376)+INDIRECT("D$"&amp;4+MIN(2,ROUNDDOWN(I2376,0))*3)*(-3*$J2376^3+3*$J2376^2)+INDIRECT("D$"&amp;5+MIN(2,ROUNDDOWN(I2376,0))*3)*$J2376^3</f>
      </c>
      <c r="M2376" s="7">
        <f>SQRT(K2376^2+L2376^2)</f>
      </c>
      <c r="N2376" s="7">
        <f>(K2377-K2375)</f>
      </c>
      <c r="O2376" s="7">
        <f>+(L2377-L2375)</f>
      </c>
      <c r="P2376" s="7">
        <f>SQRT(O2376^2+N2376^2)</f>
      </c>
      <c r="Q2376" s="7">
        <f>N2376/$P2376</f>
      </c>
      <c r="R2376" s="7">
        <f>O2376/$P2376</f>
      </c>
      <c r="S2376" s="8">
        <f>Q2376^2+R2376^2</f>
      </c>
      <c r="T2376" s="7">
        <f>-R2376</f>
      </c>
      <c r="U2376" s="7">
        <f>Q2376</f>
      </c>
      <c r="V2376" s="7">
        <f>($C$14+($C$15-$C$14)/($D$15-$D$14)*(I2376-$D$14))/2</f>
      </c>
      <c r="W2376" s="7">
        <f>($B$22*I2376^4+$C$22*I2376^3+$D$22*I2376^2+$E$22*I2376+$F$22)/2</f>
      </c>
      <c r="X2376" s="7">
        <f>($W2376)*(T2376)</f>
      </c>
      <c r="Y2376" s="7">
        <f>($W2376)*(U2376)</f>
      </c>
      <c r="Z2376" s="7">
        <f>SQRT(X2376^2+Y2376^2)</f>
      </c>
      <c r="AA2376" s="7">
        <f>$K2376+$X2376</f>
      </c>
      <c r="AB2376" s="7">
        <f>$L2376+$Y2376</f>
      </c>
      <c r="AC2376" s="7">
        <f>$K2376-$X2376</f>
      </c>
      <c r="AD2376" s="7">
        <f>$L2376-$Y2376</f>
      </c>
      <c r="AE2376" s="7">
        <f>AA2376/39.3701</f>
      </c>
      <c r="AF2376" s="7">
        <f>AB2376/39.3701</f>
      </c>
      <c r="AG2376" s="7">
        <f>AC2376/39.3701</f>
      </c>
      <c r="AH2376" s="7">
        <f>AD2376/39.3701</f>
      </c>
      <c r="AI2376" s="1"/>
      <c r="AJ2376" s="1"/>
      <c r="AK2376" s="1"/>
      <c r="AL2376" s="1"/>
      <c r="AM2376" s="2"/>
      <c r="AN2376" s="1"/>
      <c r="AO2376" s="1"/>
      <c r="AP2376" s="1"/>
      <c r="AQ2376" s="1"/>
      <c r="AR2376" s="1"/>
      <c r="AS2376" s="1"/>
      <c r="AT2376" s="1"/>
      <c r="AU2376" s="1"/>
      <c r="AV2376" s="1"/>
      <c r="AW2376" s="1"/>
      <c r="AX2376" s="1"/>
      <c r="AY2376" s="1"/>
      <c r="AZ2376" s="1"/>
      <c r="BA2376" s="1"/>
      <c r="BB2376" s="1"/>
      <c r="BC2376" s="1"/>
      <c r="BD2376" s="1"/>
      <c r="BE2376" s="1"/>
    </row>
    <row x14ac:dyDescent="0.25" r="2377" customHeight="1" ht="18.75">
      <c r="A2377" s="1"/>
      <c r="B2377" s="2"/>
      <c r="C2377" s="2"/>
      <c r="D2377" s="2"/>
      <c r="E2377" s="2"/>
      <c r="F2377" s="2"/>
      <c r="G2377" s="1"/>
      <c r="H2377" s="1"/>
      <c r="I2377" s="7">
        <v>2.374</v>
      </c>
      <c r="J2377" s="7">
        <f>IF((I2377-ROUNDDOWN(I2377,0))=0, 0, (I2377-ROUNDDOWN(I2377,0)))</f>
      </c>
      <c r="K2377" s="7">
        <f>INDIRECT("C$"&amp;2+MIN(2,ROUNDDOWN(I2377,0))*3)*(-$J2377^3+3*$J2377^2-3*$J2377+1)+INDIRECT("C$"&amp;3+MIN(2,ROUNDDOWN(I2377,0))*3)*(3*$J2377^3-6*$J2377^2+3*$J2377)+INDIRECT("C$"&amp;4+MIN(2,ROUNDDOWN(I2377,0))*3)*(-3*$J2377^3+3*$J2377^2)+INDIRECT("C$"&amp;5+MIN(2,ROUNDDOWN(I2377,0))*3)*$J2377^3</f>
      </c>
      <c r="L2377" s="7">
        <f>INDIRECT("D$"&amp;2+MIN(2,ROUNDDOWN(I2377,0))*3)*(-$J2377^3+3*$J2377^2-3*$J2377+1)+INDIRECT("D$"&amp;3+MIN(2,ROUNDDOWN(I2377,0))*3)*(3*$J2377^3-6*$J2377^2+3*$J2377)+INDIRECT("D$"&amp;4+MIN(2,ROUNDDOWN(I2377,0))*3)*(-3*$J2377^3+3*$J2377^2)+INDIRECT("D$"&amp;5+MIN(2,ROUNDDOWN(I2377,0))*3)*$J2377^3</f>
      </c>
      <c r="M2377" s="7">
        <f>SQRT(K2377^2+L2377^2)</f>
      </c>
      <c r="N2377" s="7">
        <f>(K2378-K2376)</f>
      </c>
      <c r="O2377" s="7">
        <f>+(L2378-L2376)</f>
      </c>
      <c r="P2377" s="7">
        <f>SQRT(O2377^2+N2377^2)</f>
      </c>
      <c r="Q2377" s="7">
        <f>N2377/$P2377</f>
      </c>
      <c r="R2377" s="7">
        <f>O2377/$P2377</f>
      </c>
      <c r="S2377" s="7">
        <f>Q2377^2+R2377^2</f>
      </c>
      <c r="T2377" s="7">
        <f>-R2377</f>
      </c>
      <c r="U2377" s="7">
        <f>Q2377</f>
      </c>
      <c r="V2377" s="7">
        <f>($C$14+($C$15-$C$14)/($D$15-$D$14)*(I2377-$D$14))/2</f>
      </c>
      <c r="W2377" s="7">
        <f>($B$22*I2377^4+$C$22*I2377^3+$D$22*I2377^2+$E$22*I2377+$F$22)/2</f>
      </c>
      <c r="X2377" s="7">
        <f>($W2377)*(T2377)</f>
      </c>
      <c r="Y2377" s="7">
        <f>($W2377)*(U2377)</f>
      </c>
      <c r="Z2377" s="7">
        <f>SQRT(X2377^2+Y2377^2)</f>
      </c>
      <c r="AA2377" s="7">
        <f>$K2377+$X2377</f>
      </c>
      <c r="AB2377" s="7">
        <f>$L2377+$Y2377</f>
      </c>
      <c r="AC2377" s="7">
        <f>$K2377-$X2377</f>
      </c>
      <c r="AD2377" s="7">
        <f>$L2377-$Y2377</f>
      </c>
      <c r="AE2377" s="7">
        <f>AA2377/39.3701</f>
      </c>
      <c r="AF2377" s="7">
        <f>AB2377/39.3701</f>
      </c>
      <c r="AG2377" s="7">
        <f>AC2377/39.3701</f>
      </c>
      <c r="AH2377" s="7">
        <f>AD2377/39.3701</f>
      </c>
      <c r="AI2377" s="1"/>
      <c r="AJ2377" s="1"/>
      <c r="AK2377" s="1"/>
      <c r="AL2377" s="1"/>
      <c r="AM2377" s="2"/>
      <c r="AN2377" s="1"/>
      <c r="AO2377" s="1"/>
      <c r="AP2377" s="1"/>
      <c r="AQ2377" s="1"/>
      <c r="AR2377" s="1"/>
      <c r="AS2377" s="1"/>
      <c r="AT2377" s="1"/>
      <c r="AU2377" s="1"/>
      <c r="AV2377" s="1"/>
      <c r="AW2377" s="1"/>
      <c r="AX2377" s="1"/>
      <c r="AY2377" s="1"/>
      <c r="AZ2377" s="1"/>
      <c r="BA2377" s="1"/>
      <c r="BB2377" s="1"/>
      <c r="BC2377" s="1"/>
      <c r="BD2377" s="1"/>
      <c r="BE2377" s="1"/>
    </row>
    <row x14ac:dyDescent="0.25" r="2378" customHeight="1" ht="18.75">
      <c r="A2378" s="1"/>
      <c r="B2378" s="2"/>
      <c r="C2378" s="2"/>
      <c r="D2378" s="2"/>
      <c r="E2378" s="2"/>
      <c r="F2378" s="2"/>
      <c r="G2378" s="1"/>
      <c r="H2378" s="1"/>
      <c r="I2378" s="7">
        <v>2.375</v>
      </c>
      <c r="J2378" s="7">
        <f>IF((I2378-ROUNDDOWN(I2378,0))=0, 0, (I2378-ROUNDDOWN(I2378,0)))</f>
      </c>
      <c r="K2378" s="7">
        <f>INDIRECT("C$"&amp;2+MIN(2,ROUNDDOWN(I2378,0))*3)*(-$J2378^3+3*$J2378^2-3*$J2378+1)+INDIRECT("C$"&amp;3+MIN(2,ROUNDDOWN(I2378,0))*3)*(3*$J2378^3-6*$J2378^2+3*$J2378)+INDIRECT("C$"&amp;4+MIN(2,ROUNDDOWN(I2378,0))*3)*(-3*$J2378^3+3*$J2378^2)+INDIRECT("C$"&amp;5+MIN(2,ROUNDDOWN(I2378,0))*3)*$J2378^3</f>
      </c>
      <c r="L2378" s="7">
        <f>INDIRECT("D$"&amp;2+MIN(2,ROUNDDOWN(I2378,0))*3)*(-$J2378^3+3*$J2378^2-3*$J2378+1)+INDIRECT("D$"&amp;3+MIN(2,ROUNDDOWN(I2378,0))*3)*(3*$J2378^3-6*$J2378^2+3*$J2378)+INDIRECT("D$"&amp;4+MIN(2,ROUNDDOWN(I2378,0))*3)*(-3*$J2378^3+3*$J2378^2)+INDIRECT("D$"&amp;5+MIN(2,ROUNDDOWN(I2378,0))*3)*$J2378^3</f>
      </c>
      <c r="M2378" s="7">
        <f>SQRT(K2378^2+L2378^2)</f>
      </c>
      <c r="N2378" s="7">
        <f>(K2379-K2377)</f>
      </c>
      <c r="O2378" s="7">
        <f>+(L2379-L2377)</f>
      </c>
      <c r="P2378" s="7">
        <f>SQRT(O2378^2+N2378^2)</f>
      </c>
      <c r="Q2378" s="7">
        <f>N2378/$P2378</f>
      </c>
      <c r="R2378" s="7">
        <f>O2378/$P2378</f>
      </c>
      <c r="S2378" s="7">
        <f>Q2378^2+R2378^2</f>
      </c>
      <c r="T2378" s="7">
        <f>-R2378</f>
      </c>
      <c r="U2378" s="7">
        <f>Q2378</f>
      </c>
      <c r="V2378" s="7">
        <f>($C$14+($C$15-$C$14)/($D$15-$D$14)*(I2378-$D$14))/2</f>
      </c>
      <c r="W2378" s="7">
        <f>($B$22*I2378^4+$C$22*I2378^3+$D$22*I2378^2+$E$22*I2378+$F$22)/2</f>
      </c>
      <c r="X2378" s="7">
        <f>($W2378)*(T2378)</f>
      </c>
      <c r="Y2378" s="7">
        <f>($W2378)*(U2378)</f>
      </c>
      <c r="Z2378" s="7">
        <f>SQRT(X2378^2+Y2378^2)</f>
      </c>
      <c r="AA2378" s="7">
        <f>$K2378+$X2378</f>
      </c>
      <c r="AB2378" s="7">
        <f>$L2378+$Y2378</f>
      </c>
      <c r="AC2378" s="7">
        <f>$K2378-$X2378</f>
      </c>
      <c r="AD2378" s="7">
        <f>$L2378-$Y2378</f>
      </c>
      <c r="AE2378" s="7">
        <f>AA2378/39.3701</f>
      </c>
      <c r="AF2378" s="7">
        <f>AB2378/39.3701</f>
      </c>
      <c r="AG2378" s="7">
        <f>AC2378/39.3701</f>
      </c>
      <c r="AH2378" s="7">
        <f>AD2378/39.3701</f>
      </c>
      <c r="AI2378" s="1"/>
      <c r="AJ2378" s="1"/>
      <c r="AK2378" s="1"/>
      <c r="AL2378" s="1"/>
      <c r="AM2378" s="2"/>
      <c r="AN2378" s="1"/>
      <c r="AO2378" s="1"/>
      <c r="AP2378" s="1"/>
      <c r="AQ2378" s="1"/>
      <c r="AR2378" s="1"/>
      <c r="AS2378" s="1"/>
      <c r="AT2378" s="1"/>
      <c r="AU2378" s="1"/>
      <c r="AV2378" s="1"/>
      <c r="AW2378" s="1"/>
      <c r="AX2378" s="1"/>
      <c r="AY2378" s="1"/>
      <c r="AZ2378" s="1"/>
      <c r="BA2378" s="1"/>
      <c r="BB2378" s="1"/>
      <c r="BC2378" s="1"/>
      <c r="BD2378" s="1"/>
      <c r="BE2378" s="1"/>
    </row>
    <row x14ac:dyDescent="0.25" r="2379" customHeight="1" ht="18.75">
      <c r="A2379" s="1"/>
      <c r="B2379" s="2"/>
      <c r="C2379" s="2"/>
      <c r="D2379" s="2"/>
      <c r="E2379" s="2"/>
      <c r="F2379" s="2"/>
      <c r="G2379" s="1"/>
      <c r="H2379" s="1"/>
      <c r="I2379" s="7">
        <v>2.376</v>
      </c>
      <c r="J2379" s="7">
        <f>IF((I2379-ROUNDDOWN(I2379,0))=0, 0, (I2379-ROUNDDOWN(I2379,0)))</f>
      </c>
      <c r="K2379" s="7">
        <f>INDIRECT("C$"&amp;2+MIN(2,ROUNDDOWN(I2379,0))*3)*(-$J2379^3+3*$J2379^2-3*$J2379+1)+INDIRECT("C$"&amp;3+MIN(2,ROUNDDOWN(I2379,0))*3)*(3*$J2379^3-6*$J2379^2+3*$J2379)+INDIRECT("C$"&amp;4+MIN(2,ROUNDDOWN(I2379,0))*3)*(-3*$J2379^3+3*$J2379^2)+INDIRECT("C$"&amp;5+MIN(2,ROUNDDOWN(I2379,0))*3)*$J2379^3</f>
      </c>
      <c r="L2379" s="7">
        <f>INDIRECT("D$"&amp;2+MIN(2,ROUNDDOWN(I2379,0))*3)*(-$J2379^3+3*$J2379^2-3*$J2379+1)+INDIRECT("D$"&amp;3+MIN(2,ROUNDDOWN(I2379,0))*3)*(3*$J2379^3-6*$J2379^2+3*$J2379)+INDIRECT("D$"&amp;4+MIN(2,ROUNDDOWN(I2379,0))*3)*(-3*$J2379^3+3*$J2379^2)+INDIRECT("D$"&amp;5+MIN(2,ROUNDDOWN(I2379,0))*3)*$J2379^3</f>
      </c>
      <c r="M2379" s="7">
        <f>SQRT(K2379^2+L2379^2)</f>
      </c>
      <c r="N2379" s="7">
        <f>(K2380-K2378)</f>
      </c>
      <c r="O2379" s="7">
        <f>+(L2380-L2378)</f>
      </c>
      <c r="P2379" s="7">
        <f>SQRT(O2379^2+N2379^2)</f>
      </c>
      <c r="Q2379" s="7">
        <f>N2379/$P2379</f>
      </c>
      <c r="R2379" s="7">
        <f>O2379/$P2379</f>
      </c>
      <c r="S2379" s="7">
        <f>Q2379^2+R2379^2</f>
      </c>
      <c r="T2379" s="7">
        <f>-R2379</f>
      </c>
      <c r="U2379" s="7">
        <f>Q2379</f>
      </c>
      <c r="V2379" s="7">
        <f>($C$14+($C$15-$C$14)/($D$15-$D$14)*(I2379-$D$14))/2</f>
      </c>
      <c r="W2379" s="7">
        <f>($B$22*I2379^4+$C$22*I2379^3+$D$22*I2379^2+$E$22*I2379+$F$22)/2</f>
      </c>
      <c r="X2379" s="7">
        <f>($W2379)*(T2379)</f>
      </c>
      <c r="Y2379" s="7">
        <f>($W2379)*(U2379)</f>
      </c>
      <c r="Z2379" s="7">
        <f>SQRT(X2379^2+Y2379^2)</f>
      </c>
      <c r="AA2379" s="7">
        <f>$K2379+$X2379</f>
      </c>
      <c r="AB2379" s="7">
        <f>$L2379+$Y2379</f>
      </c>
      <c r="AC2379" s="7">
        <f>$K2379-$X2379</f>
      </c>
      <c r="AD2379" s="7">
        <f>$L2379-$Y2379</f>
      </c>
      <c r="AE2379" s="7">
        <f>AA2379/39.3701</f>
      </c>
      <c r="AF2379" s="7">
        <f>AB2379/39.3701</f>
      </c>
      <c r="AG2379" s="7">
        <f>AC2379/39.3701</f>
      </c>
      <c r="AH2379" s="7">
        <f>AD2379/39.3701</f>
      </c>
      <c r="AI2379" s="1"/>
      <c r="AJ2379" s="1"/>
      <c r="AK2379" s="1"/>
      <c r="AL2379" s="1"/>
      <c r="AM2379" s="2"/>
      <c r="AN2379" s="1"/>
      <c r="AO2379" s="1"/>
      <c r="AP2379" s="1"/>
      <c r="AQ2379" s="1"/>
      <c r="AR2379" s="1"/>
      <c r="AS2379" s="1"/>
      <c r="AT2379" s="1"/>
      <c r="AU2379" s="1"/>
      <c r="AV2379" s="1"/>
      <c r="AW2379" s="1"/>
      <c r="AX2379" s="1"/>
      <c r="AY2379" s="1"/>
      <c r="AZ2379" s="1"/>
      <c r="BA2379" s="1"/>
      <c r="BB2379" s="1"/>
      <c r="BC2379" s="1"/>
      <c r="BD2379" s="1"/>
      <c r="BE2379" s="1"/>
    </row>
    <row x14ac:dyDescent="0.25" r="2380" customHeight="1" ht="18.75">
      <c r="A2380" s="1"/>
      <c r="B2380" s="2"/>
      <c r="C2380" s="2"/>
      <c r="D2380" s="2"/>
      <c r="E2380" s="2"/>
      <c r="F2380" s="2"/>
      <c r="G2380" s="1"/>
      <c r="H2380" s="1"/>
      <c r="I2380" s="7">
        <v>2.377</v>
      </c>
      <c r="J2380" s="7">
        <f>IF((I2380-ROUNDDOWN(I2380,0))=0, 0, (I2380-ROUNDDOWN(I2380,0)))</f>
      </c>
      <c r="K2380" s="7">
        <f>INDIRECT("C$"&amp;2+MIN(2,ROUNDDOWN(I2380,0))*3)*(-$J2380^3+3*$J2380^2-3*$J2380+1)+INDIRECT("C$"&amp;3+MIN(2,ROUNDDOWN(I2380,0))*3)*(3*$J2380^3-6*$J2380^2+3*$J2380)+INDIRECT("C$"&amp;4+MIN(2,ROUNDDOWN(I2380,0))*3)*(-3*$J2380^3+3*$J2380^2)+INDIRECT("C$"&amp;5+MIN(2,ROUNDDOWN(I2380,0))*3)*$J2380^3</f>
      </c>
      <c r="L2380" s="7">
        <f>INDIRECT("D$"&amp;2+MIN(2,ROUNDDOWN(I2380,0))*3)*(-$J2380^3+3*$J2380^2-3*$J2380+1)+INDIRECT("D$"&amp;3+MIN(2,ROUNDDOWN(I2380,0))*3)*(3*$J2380^3-6*$J2380^2+3*$J2380)+INDIRECT("D$"&amp;4+MIN(2,ROUNDDOWN(I2380,0))*3)*(-3*$J2380^3+3*$J2380^2)+INDIRECT("D$"&amp;5+MIN(2,ROUNDDOWN(I2380,0))*3)*$J2380^3</f>
      </c>
      <c r="M2380" s="7">
        <f>SQRT(K2380^2+L2380^2)</f>
      </c>
      <c r="N2380" s="7">
        <f>(K2381-K2379)</f>
      </c>
      <c r="O2380" s="7">
        <f>+(L2381-L2379)</f>
      </c>
      <c r="P2380" s="7">
        <f>SQRT(O2380^2+N2380^2)</f>
      </c>
      <c r="Q2380" s="7">
        <f>N2380/$P2380</f>
      </c>
      <c r="R2380" s="7">
        <f>O2380/$P2380</f>
      </c>
      <c r="S2380" s="8">
        <f>Q2380^2+R2380^2</f>
      </c>
      <c r="T2380" s="7">
        <f>-R2380</f>
      </c>
      <c r="U2380" s="7">
        <f>Q2380</f>
      </c>
      <c r="V2380" s="7">
        <f>($C$14+($C$15-$C$14)/($D$15-$D$14)*(I2380-$D$14))/2</f>
      </c>
      <c r="W2380" s="7">
        <f>($B$22*I2380^4+$C$22*I2380^3+$D$22*I2380^2+$E$22*I2380+$F$22)/2</f>
      </c>
      <c r="X2380" s="7">
        <f>($W2380)*(T2380)</f>
      </c>
      <c r="Y2380" s="7">
        <f>($W2380)*(U2380)</f>
      </c>
      <c r="Z2380" s="7">
        <f>SQRT(X2380^2+Y2380^2)</f>
      </c>
      <c r="AA2380" s="7">
        <f>$K2380+$X2380</f>
      </c>
      <c r="AB2380" s="7">
        <f>$L2380+$Y2380</f>
      </c>
      <c r="AC2380" s="7">
        <f>$K2380-$X2380</f>
      </c>
      <c r="AD2380" s="7">
        <f>$L2380-$Y2380</f>
      </c>
      <c r="AE2380" s="7">
        <f>AA2380/39.3701</f>
      </c>
      <c r="AF2380" s="7">
        <f>AB2380/39.3701</f>
      </c>
      <c r="AG2380" s="7">
        <f>AC2380/39.3701</f>
      </c>
      <c r="AH2380" s="7">
        <f>AD2380/39.3701</f>
      </c>
      <c r="AI2380" s="1"/>
      <c r="AJ2380" s="1"/>
      <c r="AK2380" s="1"/>
      <c r="AL2380" s="1"/>
      <c r="AM2380" s="2"/>
      <c r="AN2380" s="1"/>
      <c r="AO2380" s="1"/>
      <c r="AP2380" s="1"/>
      <c r="AQ2380" s="1"/>
      <c r="AR2380" s="1"/>
      <c r="AS2380" s="1"/>
      <c r="AT2380" s="1"/>
      <c r="AU2380" s="1"/>
      <c r="AV2380" s="1"/>
      <c r="AW2380" s="1"/>
      <c r="AX2380" s="1"/>
      <c r="AY2380" s="1"/>
      <c r="AZ2380" s="1"/>
      <c r="BA2380" s="1"/>
      <c r="BB2380" s="1"/>
      <c r="BC2380" s="1"/>
      <c r="BD2380" s="1"/>
      <c r="BE2380" s="1"/>
    </row>
    <row x14ac:dyDescent="0.25" r="2381" customHeight="1" ht="18.75">
      <c r="A2381" s="1"/>
      <c r="B2381" s="2"/>
      <c r="C2381" s="2"/>
      <c r="D2381" s="2"/>
      <c r="E2381" s="2"/>
      <c r="F2381" s="2"/>
      <c r="G2381" s="1"/>
      <c r="H2381" s="1"/>
      <c r="I2381" s="7">
        <v>2.378</v>
      </c>
      <c r="J2381" s="7">
        <f>IF((I2381-ROUNDDOWN(I2381,0))=0, 0, (I2381-ROUNDDOWN(I2381,0)))</f>
      </c>
      <c r="K2381" s="7">
        <f>INDIRECT("C$"&amp;2+MIN(2,ROUNDDOWN(I2381,0))*3)*(-$J2381^3+3*$J2381^2-3*$J2381+1)+INDIRECT("C$"&amp;3+MIN(2,ROUNDDOWN(I2381,0))*3)*(3*$J2381^3-6*$J2381^2+3*$J2381)+INDIRECT("C$"&amp;4+MIN(2,ROUNDDOWN(I2381,0))*3)*(-3*$J2381^3+3*$J2381^2)+INDIRECT("C$"&amp;5+MIN(2,ROUNDDOWN(I2381,0))*3)*$J2381^3</f>
      </c>
      <c r="L2381" s="7">
        <f>INDIRECT("D$"&amp;2+MIN(2,ROUNDDOWN(I2381,0))*3)*(-$J2381^3+3*$J2381^2-3*$J2381+1)+INDIRECT("D$"&amp;3+MIN(2,ROUNDDOWN(I2381,0))*3)*(3*$J2381^3-6*$J2381^2+3*$J2381)+INDIRECT("D$"&amp;4+MIN(2,ROUNDDOWN(I2381,0))*3)*(-3*$J2381^3+3*$J2381^2)+INDIRECT("D$"&amp;5+MIN(2,ROUNDDOWN(I2381,0))*3)*$J2381^3</f>
      </c>
      <c r="M2381" s="7">
        <f>SQRT(K2381^2+L2381^2)</f>
      </c>
      <c r="N2381" s="7">
        <f>(K2382-K2380)</f>
      </c>
      <c r="O2381" s="7">
        <f>+(L2382-L2380)</f>
      </c>
      <c r="P2381" s="7">
        <f>SQRT(O2381^2+N2381^2)</f>
      </c>
      <c r="Q2381" s="7">
        <f>N2381/$P2381</f>
      </c>
      <c r="R2381" s="7">
        <f>O2381/$P2381</f>
      </c>
      <c r="S2381" s="8">
        <f>Q2381^2+R2381^2</f>
      </c>
      <c r="T2381" s="7">
        <f>-R2381</f>
      </c>
      <c r="U2381" s="7">
        <f>Q2381</f>
      </c>
      <c r="V2381" s="7">
        <f>($C$14+($C$15-$C$14)/($D$15-$D$14)*(I2381-$D$14))/2</f>
      </c>
      <c r="W2381" s="7">
        <f>($B$22*I2381^4+$C$22*I2381^3+$D$22*I2381^2+$E$22*I2381+$F$22)/2</f>
      </c>
      <c r="X2381" s="7">
        <f>($W2381)*(T2381)</f>
      </c>
      <c r="Y2381" s="7">
        <f>($W2381)*(U2381)</f>
      </c>
      <c r="Z2381" s="7">
        <f>SQRT(X2381^2+Y2381^2)</f>
      </c>
      <c r="AA2381" s="7">
        <f>$K2381+$X2381</f>
      </c>
      <c r="AB2381" s="7">
        <f>$L2381+$Y2381</f>
      </c>
      <c r="AC2381" s="7">
        <f>$K2381-$X2381</f>
      </c>
      <c r="AD2381" s="7">
        <f>$L2381-$Y2381</f>
      </c>
      <c r="AE2381" s="7">
        <f>AA2381/39.3701</f>
      </c>
      <c r="AF2381" s="7">
        <f>AB2381/39.3701</f>
      </c>
      <c r="AG2381" s="7">
        <f>AC2381/39.3701</f>
      </c>
      <c r="AH2381" s="7">
        <f>AD2381/39.3701</f>
      </c>
      <c r="AI2381" s="1"/>
      <c r="AJ2381" s="1"/>
      <c r="AK2381" s="1"/>
      <c r="AL2381" s="1"/>
      <c r="AM2381" s="2"/>
      <c r="AN2381" s="1"/>
      <c r="AO2381" s="1"/>
      <c r="AP2381" s="1"/>
      <c r="AQ2381" s="1"/>
      <c r="AR2381" s="1"/>
      <c r="AS2381" s="1"/>
      <c r="AT2381" s="1"/>
      <c r="AU2381" s="1"/>
      <c r="AV2381" s="1"/>
      <c r="AW2381" s="1"/>
      <c r="AX2381" s="1"/>
      <c r="AY2381" s="1"/>
      <c r="AZ2381" s="1"/>
      <c r="BA2381" s="1"/>
      <c r="BB2381" s="1"/>
      <c r="BC2381" s="1"/>
      <c r="BD2381" s="1"/>
      <c r="BE2381" s="1"/>
    </row>
    <row x14ac:dyDescent="0.25" r="2382" customHeight="1" ht="18.75">
      <c r="A2382" s="1"/>
      <c r="B2382" s="2"/>
      <c r="C2382" s="2"/>
      <c r="D2382" s="2"/>
      <c r="E2382" s="2"/>
      <c r="F2382" s="2"/>
      <c r="G2382" s="1"/>
      <c r="H2382" s="1"/>
      <c r="I2382" s="7">
        <v>2.379</v>
      </c>
      <c r="J2382" s="7">
        <f>IF((I2382-ROUNDDOWN(I2382,0))=0, 0, (I2382-ROUNDDOWN(I2382,0)))</f>
      </c>
      <c r="K2382" s="7">
        <f>INDIRECT("C$"&amp;2+MIN(2,ROUNDDOWN(I2382,0))*3)*(-$J2382^3+3*$J2382^2-3*$J2382+1)+INDIRECT("C$"&amp;3+MIN(2,ROUNDDOWN(I2382,0))*3)*(3*$J2382^3-6*$J2382^2+3*$J2382)+INDIRECT("C$"&amp;4+MIN(2,ROUNDDOWN(I2382,0))*3)*(-3*$J2382^3+3*$J2382^2)+INDIRECT("C$"&amp;5+MIN(2,ROUNDDOWN(I2382,0))*3)*$J2382^3</f>
      </c>
      <c r="L2382" s="7">
        <f>INDIRECT("D$"&amp;2+MIN(2,ROUNDDOWN(I2382,0))*3)*(-$J2382^3+3*$J2382^2-3*$J2382+1)+INDIRECT("D$"&amp;3+MIN(2,ROUNDDOWN(I2382,0))*3)*(3*$J2382^3-6*$J2382^2+3*$J2382)+INDIRECT("D$"&amp;4+MIN(2,ROUNDDOWN(I2382,0))*3)*(-3*$J2382^3+3*$J2382^2)+INDIRECT("D$"&amp;5+MIN(2,ROUNDDOWN(I2382,0))*3)*$J2382^3</f>
      </c>
      <c r="M2382" s="7">
        <f>SQRT(K2382^2+L2382^2)</f>
      </c>
      <c r="N2382" s="7">
        <f>(K2383-K2381)</f>
      </c>
      <c r="O2382" s="7">
        <f>+(L2383-L2381)</f>
      </c>
      <c r="P2382" s="7">
        <f>SQRT(O2382^2+N2382^2)</f>
      </c>
      <c r="Q2382" s="7">
        <f>N2382/$P2382</f>
      </c>
      <c r="R2382" s="7">
        <f>O2382/$P2382</f>
      </c>
      <c r="S2382" s="8">
        <f>Q2382^2+R2382^2</f>
      </c>
      <c r="T2382" s="7">
        <f>-R2382</f>
      </c>
      <c r="U2382" s="7">
        <f>Q2382</f>
      </c>
      <c r="V2382" s="7">
        <f>($C$14+($C$15-$C$14)/($D$15-$D$14)*(I2382-$D$14))/2</f>
      </c>
      <c r="W2382" s="7">
        <f>($B$22*I2382^4+$C$22*I2382^3+$D$22*I2382^2+$E$22*I2382+$F$22)/2</f>
      </c>
      <c r="X2382" s="7">
        <f>($W2382)*(T2382)</f>
      </c>
      <c r="Y2382" s="7">
        <f>($W2382)*(U2382)</f>
      </c>
      <c r="Z2382" s="7">
        <f>SQRT(X2382^2+Y2382^2)</f>
      </c>
      <c r="AA2382" s="7">
        <f>$K2382+$X2382</f>
      </c>
      <c r="AB2382" s="7">
        <f>$L2382+$Y2382</f>
      </c>
      <c r="AC2382" s="7">
        <f>$K2382-$X2382</f>
      </c>
      <c r="AD2382" s="7">
        <f>$L2382-$Y2382</f>
      </c>
      <c r="AE2382" s="7">
        <f>AA2382/39.3701</f>
      </c>
      <c r="AF2382" s="7">
        <f>AB2382/39.3701</f>
      </c>
      <c r="AG2382" s="7">
        <f>AC2382/39.3701</f>
      </c>
      <c r="AH2382" s="7">
        <f>AD2382/39.3701</f>
      </c>
      <c r="AI2382" s="1"/>
      <c r="AJ2382" s="1"/>
      <c r="AK2382" s="1"/>
      <c r="AL2382" s="1"/>
      <c r="AM2382" s="2"/>
      <c r="AN2382" s="1"/>
      <c r="AO2382" s="1"/>
      <c r="AP2382" s="1"/>
      <c r="AQ2382" s="1"/>
      <c r="AR2382" s="1"/>
      <c r="AS2382" s="1"/>
      <c r="AT2382" s="1"/>
      <c r="AU2382" s="1"/>
      <c r="AV2382" s="1"/>
      <c r="AW2382" s="1"/>
      <c r="AX2382" s="1"/>
      <c r="AY2382" s="1"/>
      <c r="AZ2382" s="1"/>
      <c r="BA2382" s="1"/>
      <c r="BB2382" s="1"/>
      <c r="BC2382" s="1"/>
      <c r="BD2382" s="1"/>
      <c r="BE2382" s="1"/>
    </row>
    <row x14ac:dyDescent="0.25" r="2383" customHeight="1" ht="18.75">
      <c r="A2383" s="1"/>
      <c r="B2383" s="2"/>
      <c r="C2383" s="2"/>
      <c r="D2383" s="2"/>
      <c r="E2383" s="2"/>
      <c r="F2383" s="2"/>
      <c r="G2383" s="1"/>
      <c r="H2383" s="1"/>
      <c r="I2383" s="7">
        <v>2.38</v>
      </c>
      <c r="J2383" s="7">
        <f>IF((I2383-ROUNDDOWN(I2383,0))=0, 0, (I2383-ROUNDDOWN(I2383,0)))</f>
      </c>
      <c r="K2383" s="7">
        <f>INDIRECT("C$"&amp;2+MIN(2,ROUNDDOWN(I2383,0))*3)*(-$J2383^3+3*$J2383^2-3*$J2383+1)+INDIRECT("C$"&amp;3+MIN(2,ROUNDDOWN(I2383,0))*3)*(3*$J2383^3-6*$J2383^2+3*$J2383)+INDIRECT("C$"&amp;4+MIN(2,ROUNDDOWN(I2383,0))*3)*(-3*$J2383^3+3*$J2383^2)+INDIRECT("C$"&amp;5+MIN(2,ROUNDDOWN(I2383,0))*3)*$J2383^3</f>
      </c>
      <c r="L2383" s="7">
        <f>INDIRECT("D$"&amp;2+MIN(2,ROUNDDOWN(I2383,0))*3)*(-$J2383^3+3*$J2383^2-3*$J2383+1)+INDIRECT("D$"&amp;3+MIN(2,ROUNDDOWN(I2383,0))*3)*(3*$J2383^3-6*$J2383^2+3*$J2383)+INDIRECT("D$"&amp;4+MIN(2,ROUNDDOWN(I2383,0))*3)*(-3*$J2383^3+3*$J2383^2)+INDIRECT("D$"&amp;5+MIN(2,ROUNDDOWN(I2383,0))*3)*$J2383^3</f>
      </c>
      <c r="M2383" s="7">
        <f>SQRT(K2383^2+L2383^2)</f>
      </c>
      <c r="N2383" s="7">
        <f>(K2384-K2382)</f>
      </c>
      <c r="O2383" s="7">
        <f>+(L2384-L2382)</f>
      </c>
      <c r="P2383" s="7">
        <f>SQRT(O2383^2+N2383^2)</f>
      </c>
      <c r="Q2383" s="7">
        <f>N2383/$P2383</f>
      </c>
      <c r="R2383" s="7">
        <f>O2383/$P2383</f>
      </c>
      <c r="S2383" s="7">
        <f>Q2383^2+R2383^2</f>
      </c>
      <c r="T2383" s="7">
        <f>-R2383</f>
      </c>
      <c r="U2383" s="7">
        <f>Q2383</f>
      </c>
      <c r="V2383" s="7">
        <f>($C$14+($C$15-$C$14)/($D$15-$D$14)*(I2383-$D$14))/2</f>
      </c>
      <c r="W2383" s="7">
        <f>($B$22*I2383^4+$C$22*I2383^3+$D$22*I2383^2+$E$22*I2383+$F$22)/2</f>
      </c>
      <c r="X2383" s="7">
        <f>($W2383)*(T2383)</f>
      </c>
      <c r="Y2383" s="7">
        <f>($W2383)*(U2383)</f>
      </c>
      <c r="Z2383" s="7">
        <f>SQRT(X2383^2+Y2383^2)</f>
      </c>
      <c r="AA2383" s="7">
        <f>$K2383+$X2383</f>
      </c>
      <c r="AB2383" s="7">
        <f>$L2383+$Y2383</f>
      </c>
      <c r="AC2383" s="7">
        <f>$K2383-$X2383</f>
      </c>
      <c r="AD2383" s="7">
        <f>$L2383-$Y2383</f>
      </c>
      <c r="AE2383" s="7">
        <f>AA2383/39.3701</f>
      </c>
      <c r="AF2383" s="7">
        <f>AB2383/39.3701</f>
      </c>
      <c r="AG2383" s="7">
        <f>AC2383/39.3701</f>
      </c>
      <c r="AH2383" s="7">
        <f>AD2383/39.3701</f>
      </c>
      <c r="AI2383" s="1"/>
      <c r="AJ2383" s="1"/>
      <c r="AK2383" s="1"/>
      <c r="AL2383" s="1"/>
      <c r="AM2383" s="2"/>
      <c r="AN2383" s="1"/>
      <c r="AO2383" s="1"/>
      <c r="AP2383" s="1"/>
      <c r="AQ2383" s="1"/>
      <c r="AR2383" s="1"/>
      <c r="AS2383" s="1"/>
      <c r="AT2383" s="1"/>
      <c r="AU2383" s="1"/>
      <c r="AV2383" s="1"/>
      <c r="AW2383" s="1"/>
      <c r="AX2383" s="1"/>
      <c r="AY2383" s="1"/>
      <c r="AZ2383" s="1"/>
      <c r="BA2383" s="1"/>
      <c r="BB2383" s="1"/>
      <c r="BC2383" s="1"/>
      <c r="BD2383" s="1"/>
      <c r="BE2383" s="1"/>
    </row>
    <row x14ac:dyDescent="0.25" r="2384" customHeight="1" ht="18.75">
      <c r="A2384" s="1"/>
      <c r="B2384" s="2"/>
      <c r="C2384" s="2"/>
      <c r="D2384" s="2"/>
      <c r="E2384" s="2"/>
      <c r="F2384" s="2"/>
      <c r="G2384" s="1"/>
      <c r="H2384" s="1"/>
      <c r="I2384" s="7">
        <v>2.381</v>
      </c>
      <c r="J2384" s="7">
        <f>IF((I2384-ROUNDDOWN(I2384,0))=0, 0, (I2384-ROUNDDOWN(I2384,0)))</f>
      </c>
      <c r="K2384" s="7">
        <f>INDIRECT("C$"&amp;2+MIN(2,ROUNDDOWN(I2384,0))*3)*(-$J2384^3+3*$J2384^2-3*$J2384+1)+INDIRECT("C$"&amp;3+MIN(2,ROUNDDOWN(I2384,0))*3)*(3*$J2384^3-6*$J2384^2+3*$J2384)+INDIRECT("C$"&amp;4+MIN(2,ROUNDDOWN(I2384,0))*3)*(-3*$J2384^3+3*$J2384^2)+INDIRECT("C$"&amp;5+MIN(2,ROUNDDOWN(I2384,0))*3)*$J2384^3</f>
      </c>
      <c r="L2384" s="7">
        <f>INDIRECT("D$"&amp;2+MIN(2,ROUNDDOWN(I2384,0))*3)*(-$J2384^3+3*$J2384^2-3*$J2384+1)+INDIRECT("D$"&amp;3+MIN(2,ROUNDDOWN(I2384,0))*3)*(3*$J2384^3-6*$J2384^2+3*$J2384)+INDIRECT("D$"&amp;4+MIN(2,ROUNDDOWN(I2384,0))*3)*(-3*$J2384^3+3*$J2384^2)+INDIRECT("D$"&amp;5+MIN(2,ROUNDDOWN(I2384,0))*3)*$J2384^3</f>
      </c>
      <c r="M2384" s="7">
        <f>SQRT(K2384^2+L2384^2)</f>
      </c>
      <c r="N2384" s="7">
        <f>(K2385-K2383)</f>
      </c>
      <c r="O2384" s="7">
        <f>+(L2385-L2383)</f>
      </c>
      <c r="P2384" s="7">
        <f>SQRT(O2384^2+N2384^2)</f>
      </c>
      <c r="Q2384" s="7">
        <f>N2384/$P2384</f>
      </c>
      <c r="R2384" s="7">
        <f>O2384/$P2384</f>
      </c>
      <c r="S2384" s="7">
        <f>Q2384^2+R2384^2</f>
      </c>
      <c r="T2384" s="7">
        <f>-R2384</f>
      </c>
      <c r="U2384" s="7">
        <f>Q2384</f>
      </c>
      <c r="V2384" s="7">
        <f>($C$14+($C$15-$C$14)/($D$15-$D$14)*(I2384-$D$14))/2</f>
      </c>
      <c r="W2384" s="7">
        <f>($B$22*I2384^4+$C$22*I2384^3+$D$22*I2384^2+$E$22*I2384+$F$22)/2</f>
      </c>
      <c r="X2384" s="7">
        <f>($W2384)*(T2384)</f>
      </c>
      <c r="Y2384" s="7">
        <f>($W2384)*(U2384)</f>
      </c>
      <c r="Z2384" s="7">
        <f>SQRT(X2384^2+Y2384^2)</f>
      </c>
      <c r="AA2384" s="7">
        <f>$K2384+$X2384</f>
      </c>
      <c r="AB2384" s="7">
        <f>$L2384+$Y2384</f>
      </c>
      <c r="AC2384" s="7">
        <f>$K2384-$X2384</f>
      </c>
      <c r="AD2384" s="7">
        <f>$L2384-$Y2384</f>
      </c>
      <c r="AE2384" s="7">
        <f>AA2384/39.3701</f>
      </c>
      <c r="AF2384" s="7">
        <f>AB2384/39.3701</f>
      </c>
      <c r="AG2384" s="7">
        <f>AC2384/39.3701</f>
      </c>
      <c r="AH2384" s="7">
        <f>AD2384/39.3701</f>
      </c>
      <c r="AI2384" s="1"/>
      <c r="AJ2384" s="1"/>
      <c r="AK2384" s="1"/>
      <c r="AL2384" s="1"/>
      <c r="AM2384" s="2"/>
      <c r="AN2384" s="1"/>
      <c r="AO2384" s="1"/>
      <c r="AP2384" s="1"/>
      <c r="AQ2384" s="1"/>
      <c r="AR2384" s="1"/>
      <c r="AS2384" s="1"/>
      <c r="AT2384" s="1"/>
      <c r="AU2384" s="1"/>
      <c r="AV2384" s="1"/>
      <c r="AW2384" s="1"/>
      <c r="AX2384" s="1"/>
      <c r="AY2384" s="1"/>
      <c r="AZ2384" s="1"/>
      <c r="BA2384" s="1"/>
      <c r="BB2384" s="1"/>
      <c r="BC2384" s="1"/>
      <c r="BD2384" s="1"/>
      <c r="BE2384" s="1"/>
    </row>
    <row x14ac:dyDescent="0.25" r="2385" customHeight="1" ht="18.75">
      <c r="A2385" s="1"/>
      <c r="B2385" s="2"/>
      <c r="C2385" s="2"/>
      <c r="D2385" s="2"/>
      <c r="E2385" s="2"/>
      <c r="F2385" s="2"/>
      <c r="G2385" s="1"/>
      <c r="H2385" s="1"/>
      <c r="I2385" s="7">
        <v>2.382</v>
      </c>
      <c r="J2385" s="7">
        <f>IF((I2385-ROUNDDOWN(I2385,0))=0, 0, (I2385-ROUNDDOWN(I2385,0)))</f>
      </c>
      <c r="K2385" s="7">
        <f>INDIRECT("C$"&amp;2+MIN(2,ROUNDDOWN(I2385,0))*3)*(-$J2385^3+3*$J2385^2-3*$J2385+1)+INDIRECT("C$"&amp;3+MIN(2,ROUNDDOWN(I2385,0))*3)*(3*$J2385^3-6*$J2385^2+3*$J2385)+INDIRECT("C$"&amp;4+MIN(2,ROUNDDOWN(I2385,0))*3)*(-3*$J2385^3+3*$J2385^2)+INDIRECT("C$"&amp;5+MIN(2,ROUNDDOWN(I2385,0))*3)*$J2385^3</f>
      </c>
      <c r="L2385" s="7">
        <f>INDIRECT("D$"&amp;2+MIN(2,ROUNDDOWN(I2385,0))*3)*(-$J2385^3+3*$J2385^2-3*$J2385+1)+INDIRECT("D$"&amp;3+MIN(2,ROUNDDOWN(I2385,0))*3)*(3*$J2385^3-6*$J2385^2+3*$J2385)+INDIRECT("D$"&amp;4+MIN(2,ROUNDDOWN(I2385,0))*3)*(-3*$J2385^3+3*$J2385^2)+INDIRECT("D$"&amp;5+MIN(2,ROUNDDOWN(I2385,0))*3)*$J2385^3</f>
      </c>
      <c r="M2385" s="7">
        <f>SQRT(K2385^2+L2385^2)</f>
      </c>
      <c r="N2385" s="7">
        <f>(K2386-K2384)</f>
      </c>
      <c r="O2385" s="7">
        <f>+(L2386-L2384)</f>
      </c>
      <c r="P2385" s="7">
        <f>SQRT(O2385^2+N2385^2)</f>
      </c>
      <c r="Q2385" s="7">
        <f>N2385/$P2385</f>
      </c>
      <c r="R2385" s="7">
        <f>O2385/$P2385</f>
      </c>
      <c r="S2385" s="8">
        <f>Q2385^2+R2385^2</f>
      </c>
      <c r="T2385" s="7">
        <f>-R2385</f>
      </c>
      <c r="U2385" s="7">
        <f>Q2385</f>
      </c>
      <c r="V2385" s="7">
        <f>($C$14+($C$15-$C$14)/($D$15-$D$14)*(I2385-$D$14))/2</f>
      </c>
      <c r="W2385" s="7">
        <f>($B$22*I2385^4+$C$22*I2385^3+$D$22*I2385^2+$E$22*I2385+$F$22)/2</f>
      </c>
      <c r="X2385" s="7">
        <f>($W2385)*(T2385)</f>
      </c>
      <c r="Y2385" s="7">
        <f>($W2385)*(U2385)</f>
      </c>
      <c r="Z2385" s="7">
        <f>SQRT(X2385^2+Y2385^2)</f>
      </c>
      <c r="AA2385" s="7">
        <f>$K2385+$X2385</f>
      </c>
      <c r="AB2385" s="7">
        <f>$L2385+$Y2385</f>
      </c>
      <c r="AC2385" s="7">
        <f>$K2385-$X2385</f>
      </c>
      <c r="AD2385" s="7">
        <f>$L2385-$Y2385</f>
      </c>
      <c r="AE2385" s="7">
        <f>AA2385/39.3701</f>
      </c>
      <c r="AF2385" s="7">
        <f>AB2385/39.3701</f>
      </c>
      <c r="AG2385" s="7">
        <f>AC2385/39.3701</f>
      </c>
      <c r="AH2385" s="7">
        <f>AD2385/39.3701</f>
      </c>
      <c r="AI2385" s="1"/>
      <c r="AJ2385" s="1"/>
      <c r="AK2385" s="1"/>
      <c r="AL2385" s="1"/>
      <c r="AM2385" s="2"/>
      <c r="AN2385" s="1"/>
      <c r="AO2385" s="1"/>
      <c r="AP2385" s="1"/>
      <c r="AQ2385" s="1"/>
      <c r="AR2385" s="1"/>
      <c r="AS2385" s="1"/>
      <c r="AT2385" s="1"/>
      <c r="AU2385" s="1"/>
      <c r="AV2385" s="1"/>
      <c r="AW2385" s="1"/>
      <c r="AX2385" s="1"/>
      <c r="AY2385" s="1"/>
      <c r="AZ2385" s="1"/>
      <c r="BA2385" s="1"/>
      <c r="BB2385" s="1"/>
      <c r="BC2385" s="1"/>
      <c r="BD2385" s="1"/>
      <c r="BE2385" s="1"/>
    </row>
    <row x14ac:dyDescent="0.25" r="2386" customHeight="1" ht="18.75">
      <c r="A2386" s="1"/>
      <c r="B2386" s="2"/>
      <c r="C2386" s="2"/>
      <c r="D2386" s="2"/>
      <c r="E2386" s="2"/>
      <c r="F2386" s="2"/>
      <c r="G2386" s="1"/>
      <c r="H2386" s="1"/>
      <c r="I2386" s="7">
        <v>2.383</v>
      </c>
      <c r="J2386" s="7">
        <f>IF((I2386-ROUNDDOWN(I2386,0))=0, 0, (I2386-ROUNDDOWN(I2386,0)))</f>
      </c>
      <c r="K2386" s="7">
        <f>INDIRECT("C$"&amp;2+MIN(2,ROUNDDOWN(I2386,0))*3)*(-$J2386^3+3*$J2386^2-3*$J2386+1)+INDIRECT("C$"&amp;3+MIN(2,ROUNDDOWN(I2386,0))*3)*(3*$J2386^3-6*$J2386^2+3*$J2386)+INDIRECT("C$"&amp;4+MIN(2,ROUNDDOWN(I2386,0))*3)*(-3*$J2386^3+3*$J2386^2)+INDIRECT("C$"&amp;5+MIN(2,ROUNDDOWN(I2386,0))*3)*$J2386^3</f>
      </c>
      <c r="L2386" s="7">
        <f>INDIRECT("D$"&amp;2+MIN(2,ROUNDDOWN(I2386,0))*3)*(-$J2386^3+3*$J2386^2-3*$J2386+1)+INDIRECT("D$"&amp;3+MIN(2,ROUNDDOWN(I2386,0))*3)*(3*$J2386^3-6*$J2386^2+3*$J2386)+INDIRECT("D$"&amp;4+MIN(2,ROUNDDOWN(I2386,0))*3)*(-3*$J2386^3+3*$J2386^2)+INDIRECT("D$"&amp;5+MIN(2,ROUNDDOWN(I2386,0))*3)*$J2386^3</f>
      </c>
      <c r="M2386" s="7">
        <f>SQRT(K2386^2+L2386^2)</f>
      </c>
      <c r="N2386" s="7">
        <f>(K2387-K2385)</f>
      </c>
      <c r="O2386" s="7">
        <f>+(L2387-L2385)</f>
      </c>
      <c r="P2386" s="7">
        <f>SQRT(O2386^2+N2386^2)</f>
      </c>
      <c r="Q2386" s="7">
        <f>N2386/$P2386</f>
      </c>
      <c r="R2386" s="7">
        <f>O2386/$P2386</f>
      </c>
      <c r="S2386" s="7">
        <f>Q2386^2+R2386^2</f>
      </c>
      <c r="T2386" s="7">
        <f>-R2386</f>
      </c>
      <c r="U2386" s="7">
        <f>Q2386</f>
      </c>
      <c r="V2386" s="7">
        <f>($C$14+($C$15-$C$14)/($D$15-$D$14)*(I2386-$D$14))/2</f>
      </c>
      <c r="W2386" s="7">
        <f>($B$22*I2386^4+$C$22*I2386^3+$D$22*I2386^2+$E$22*I2386+$F$22)/2</f>
      </c>
      <c r="X2386" s="7">
        <f>($W2386)*(T2386)</f>
      </c>
      <c r="Y2386" s="7">
        <f>($W2386)*(U2386)</f>
      </c>
      <c r="Z2386" s="7">
        <f>SQRT(X2386^2+Y2386^2)</f>
      </c>
      <c r="AA2386" s="7">
        <f>$K2386+$X2386</f>
      </c>
      <c r="AB2386" s="7">
        <f>$L2386+$Y2386</f>
      </c>
      <c r="AC2386" s="7">
        <f>$K2386-$X2386</f>
      </c>
      <c r="AD2386" s="7">
        <f>$L2386-$Y2386</f>
      </c>
      <c r="AE2386" s="7">
        <f>AA2386/39.3701</f>
      </c>
      <c r="AF2386" s="7">
        <f>AB2386/39.3701</f>
      </c>
      <c r="AG2386" s="7">
        <f>AC2386/39.3701</f>
      </c>
      <c r="AH2386" s="7">
        <f>AD2386/39.3701</f>
      </c>
      <c r="AI2386" s="1"/>
      <c r="AJ2386" s="1"/>
      <c r="AK2386" s="1"/>
      <c r="AL2386" s="1"/>
      <c r="AM2386" s="2"/>
      <c r="AN2386" s="1"/>
      <c r="AO2386" s="1"/>
      <c r="AP2386" s="1"/>
      <c r="AQ2386" s="1"/>
      <c r="AR2386" s="1"/>
      <c r="AS2386" s="1"/>
      <c r="AT2386" s="1"/>
      <c r="AU2386" s="1"/>
      <c r="AV2386" s="1"/>
      <c r="AW2386" s="1"/>
      <c r="AX2386" s="1"/>
      <c r="AY2386" s="1"/>
      <c r="AZ2386" s="1"/>
      <c r="BA2386" s="1"/>
      <c r="BB2386" s="1"/>
      <c r="BC2386" s="1"/>
      <c r="BD2386" s="1"/>
      <c r="BE2386" s="1"/>
    </row>
    <row x14ac:dyDescent="0.25" r="2387" customHeight="1" ht="18.75">
      <c r="A2387" s="1"/>
      <c r="B2387" s="2"/>
      <c r="C2387" s="2"/>
      <c r="D2387" s="2"/>
      <c r="E2387" s="2"/>
      <c r="F2387" s="2"/>
      <c r="G2387" s="1"/>
      <c r="H2387" s="1"/>
      <c r="I2387" s="7">
        <v>2.384</v>
      </c>
      <c r="J2387" s="7">
        <f>IF((I2387-ROUNDDOWN(I2387,0))=0, 0, (I2387-ROUNDDOWN(I2387,0)))</f>
      </c>
      <c r="K2387" s="7">
        <f>INDIRECT("C$"&amp;2+MIN(2,ROUNDDOWN(I2387,0))*3)*(-$J2387^3+3*$J2387^2-3*$J2387+1)+INDIRECT("C$"&amp;3+MIN(2,ROUNDDOWN(I2387,0))*3)*(3*$J2387^3-6*$J2387^2+3*$J2387)+INDIRECT("C$"&amp;4+MIN(2,ROUNDDOWN(I2387,0))*3)*(-3*$J2387^3+3*$J2387^2)+INDIRECT("C$"&amp;5+MIN(2,ROUNDDOWN(I2387,0))*3)*$J2387^3</f>
      </c>
      <c r="L2387" s="7">
        <f>INDIRECT("D$"&amp;2+MIN(2,ROUNDDOWN(I2387,0))*3)*(-$J2387^3+3*$J2387^2-3*$J2387+1)+INDIRECT("D$"&amp;3+MIN(2,ROUNDDOWN(I2387,0))*3)*(3*$J2387^3-6*$J2387^2+3*$J2387)+INDIRECT("D$"&amp;4+MIN(2,ROUNDDOWN(I2387,0))*3)*(-3*$J2387^3+3*$J2387^2)+INDIRECT("D$"&amp;5+MIN(2,ROUNDDOWN(I2387,0))*3)*$J2387^3</f>
      </c>
      <c r="M2387" s="7">
        <f>SQRT(K2387^2+L2387^2)</f>
      </c>
      <c r="N2387" s="7">
        <f>(K2388-K2386)</f>
      </c>
      <c r="O2387" s="7">
        <f>+(L2388-L2386)</f>
      </c>
      <c r="P2387" s="7">
        <f>SQRT(O2387^2+N2387^2)</f>
      </c>
      <c r="Q2387" s="7">
        <f>N2387/$P2387</f>
      </c>
      <c r="R2387" s="7">
        <f>O2387/$P2387</f>
      </c>
      <c r="S2387" s="7">
        <f>Q2387^2+R2387^2</f>
      </c>
      <c r="T2387" s="7">
        <f>-R2387</f>
      </c>
      <c r="U2387" s="7">
        <f>Q2387</f>
      </c>
      <c r="V2387" s="7">
        <f>($C$14+($C$15-$C$14)/($D$15-$D$14)*(I2387-$D$14))/2</f>
      </c>
      <c r="W2387" s="7">
        <f>($B$22*I2387^4+$C$22*I2387^3+$D$22*I2387^2+$E$22*I2387+$F$22)/2</f>
      </c>
      <c r="X2387" s="7">
        <f>($W2387)*(T2387)</f>
      </c>
      <c r="Y2387" s="7">
        <f>($W2387)*(U2387)</f>
      </c>
      <c r="Z2387" s="7">
        <f>SQRT(X2387^2+Y2387^2)</f>
      </c>
      <c r="AA2387" s="7">
        <f>$K2387+$X2387</f>
      </c>
      <c r="AB2387" s="7">
        <f>$L2387+$Y2387</f>
      </c>
      <c r="AC2387" s="7">
        <f>$K2387-$X2387</f>
      </c>
      <c r="AD2387" s="7">
        <f>$L2387-$Y2387</f>
      </c>
      <c r="AE2387" s="7">
        <f>AA2387/39.3701</f>
      </c>
      <c r="AF2387" s="7">
        <f>AB2387/39.3701</f>
      </c>
      <c r="AG2387" s="7">
        <f>AC2387/39.3701</f>
      </c>
      <c r="AH2387" s="7">
        <f>AD2387/39.3701</f>
      </c>
      <c r="AI2387" s="1"/>
      <c r="AJ2387" s="1"/>
      <c r="AK2387" s="1"/>
      <c r="AL2387" s="1"/>
      <c r="AM2387" s="2"/>
      <c r="AN2387" s="1"/>
      <c r="AO2387" s="1"/>
      <c r="AP2387" s="1"/>
      <c r="AQ2387" s="1"/>
      <c r="AR2387" s="1"/>
      <c r="AS2387" s="1"/>
      <c r="AT2387" s="1"/>
      <c r="AU2387" s="1"/>
      <c r="AV2387" s="1"/>
      <c r="AW2387" s="1"/>
      <c r="AX2387" s="1"/>
      <c r="AY2387" s="1"/>
      <c r="AZ2387" s="1"/>
      <c r="BA2387" s="1"/>
      <c r="BB2387" s="1"/>
      <c r="BC2387" s="1"/>
      <c r="BD2387" s="1"/>
      <c r="BE2387" s="1"/>
    </row>
    <row x14ac:dyDescent="0.25" r="2388" customHeight="1" ht="18.75">
      <c r="A2388" s="1"/>
      <c r="B2388" s="2"/>
      <c r="C2388" s="2"/>
      <c r="D2388" s="2"/>
      <c r="E2388" s="2"/>
      <c r="F2388" s="2"/>
      <c r="G2388" s="1"/>
      <c r="H2388" s="1"/>
      <c r="I2388" s="7">
        <v>2.385</v>
      </c>
      <c r="J2388" s="7">
        <f>IF((I2388-ROUNDDOWN(I2388,0))=0, 0, (I2388-ROUNDDOWN(I2388,0)))</f>
      </c>
      <c r="K2388" s="7">
        <f>INDIRECT("C$"&amp;2+MIN(2,ROUNDDOWN(I2388,0))*3)*(-$J2388^3+3*$J2388^2-3*$J2388+1)+INDIRECT("C$"&amp;3+MIN(2,ROUNDDOWN(I2388,0))*3)*(3*$J2388^3-6*$J2388^2+3*$J2388)+INDIRECT("C$"&amp;4+MIN(2,ROUNDDOWN(I2388,0))*3)*(-3*$J2388^3+3*$J2388^2)+INDIRECT("C$"&amp;5+MIN(2,ROUNDDOWN(I2388,0))*3)*$J2388^3</f>
      </c>
      <c r="L2388" s="7">
        <f>INDIRECT("D$"&amp;2+MIN(2,ROUNDDOWN(I2388,0))*3)*(-$J2388^3+3*$J2388^2-3*$J2388+1)+INDIRECT("D$"&amp;3+MIN(2,ROUNDDOWN(I2388,0))*3)*(3*$J2388^3-6*$J2388^2+3*$J2388)+INDIRECT("D$"&amp;4+MIN(2,ROUNDDOWN(I2388,0))*3)*(-3*$J2388^3+3*$J2388^2)+INDIRECT("D$"&amp;5+MIN(2,ROUNDDOWN(I2388,0))*3)*$J2388^3</f>
      </c>
      <c r="M2388" s="7">
        <f>SQRT(K2388^2+L2388^2)</f>
      </c>
      <c r="N2388" s="7">
        <f>(K2389-K2387)</f>
      </c>
      <c r="O2388" s="7">
        <f>+(L2389-L2387)</f>
      </c>
      <c r="P2388" s="7">
        <f>SQRT(O2388^2+N2388^2)</f>
      </c>
      <c r="Q2388" s="7">
        <f>N2388/$P2388</f>
      </c>
      <c r="R2388" s="7">
        <f>O2388/$P2388</f>
      </c>
      <c r="S2388" s="7">
        <f>Q2388^2+R2388^2</f>
      </c>
      <c r="T2388" s="7">
        <f>-R2388</f>
      </c>
      <c r="U2388" s="7">
        <f>Q2388</f>
      </c>
      <c r="V2388" s="7">
        <f>($C$14+($C$15-$C$14)/($D$15-$D$14)*(I2388-$D$14))/2</f>
      </c>
      <c r="W2388" s="7">
        <f>($B$22*I2388^4+$C$22*I2388^3+$D$22*I2388^2+$E$22*I2388+$F$22)/2</f>
      </c>
      <c r="X2388" s="7">
        <f>($W2388)*(T2388)</f>
      </c>
      <c r="Y2388" s="7">
        <f>($W2388)*(U2388)</f>
      </c>
      <c r="Z2388" s="7">
        <f>SQRT(X2388^2+Y2388^2)</f>
      </c>
      <c r="AA2388" s="7">
        <f>$K2388+$X2388</f>
      </c>
      <c r="AB2388" s="7">
        <f>$L2388+$Y2388</f>
      </c>
      <c r="AC2388" s="7">
        <f>$K2388-$X2388</f>
      </c>
      <c r="AD2388" s="7">
        <f>$L2388-$Y2388</f>
      </c>
      <c r="AE2388" s="7">
        <f>AA2388/39.3701</f>
      </c>
      <c r="AF2388" s="7">
        <f>AB2388/39.3701</f>
      </c>
      <c r="AG2388" s="7">
        <f>AC2388/39.3701</f>
      </c>
      <c r="AH2388" s="7">
        <f>AD2388/39.3701</f>
      </c>
      <c r="AI2388" s="1"/>
      <c r="AJ2388" s="1"/>
      <c r="AK2388" s="1"/>
      <c r="AL2388" s="1"/>
      <c r="AM2388" s="2"/>
      <c r="AN2388" s="1"/>
      <c r="AO2388" s="1"/>
      <c r="AP2388" s="1"/>
      <c r="AQ2388" s="1"/>
      <c r="AR2388" s="1"/>
      <c r="AS2388" s="1"/>
      <c r="AT2388" s="1"/>
      <c r="AU2388" s="1"/>
      <c r="AV2388" s="1"/>
      <c r="AW2388" s="1"/>
      <c r="AX2388" s="1"/>
      <c r="AY2388" s="1"/>
      <c r="AZ2388" s="1"/>
      <c r="BA2388" s="1"/>
      <c r="BB2388" s="1"/>
      <c r="BC2388" s="1"/>
      <c r="BD2388" s="1"/>
      <c r="BE2388" s="1"/>
    </row>
    <row x14ac:dyDescent="0.25" r="2389" customHeight="1" ht="18.75">
      <c r="A2389" s="1"/>
      <c r="B2389" s="2"/>
      <c r="C2389" s="2"/>
      <c r="D2389" s="2"/>
      <c r="E2389" s="2"/>
      <c r="F2389" s="2"/>
      <c r="G2389" s="1"/>
      <c r="H2389" s="1"/>
      <c r="I2389" s="7">
        <v>2.386</v>
      </c>
      <c r="J2389" s="7">
        <f>IF((I2389-ROUNDDOWN(I2389,0))=0, 0, (I2389-ROUNDDOWN(I2389,0)))</f>
      </c>
      <c r="K2389" s="7">
        <f>INDIRECT("C$"&amp;2+MIN(2,ROUNDDOWN(I2389,0))*3)*(-$J2389^3+3*$J2389^2-3*$J2389+1)+INDIRECT("C$"&amp;3+MIN(2,ROUNDDOWN(I2389,0))*3)*(3*$J2389^3-6*$J2389^2+3*$J2389)+INDIRECT("C$"&amp;4+MIN(2,ROUNDDOWN(I2389,0))*3)*(-3*$J2389^3+3*$J2389^2)+INDIRECT("C$"&amp;5+MIN(2,ROUNDDOWN(I2389,0))*3)*$J2389^3</f>
      </c>
      <c r="L2389" s="7">
        <f>INDIRECT("D$"&amp;2+MIN(2,ROUNDDOWN(I2389,0))*3)*(-$J2389^3+3*$J2389^2-3*$J2389+1)+INDIRECT("D$"&amp;3+MIN(2,ROUNDDOWN(I2389,0))*3)*(3*$J2389^3-6*$J2389^2+3*$J2389)+INDIRECT("D$"&amp;4+MIN(2,ROUNDDOWN(I2389,0))*3)*(-3*$J2389^3+3*$J2389^2)+INDIRECT("D$"&amp;5+MIN(2,ROUNDDOWN(I2389,0))*3)*$J2389^3</f>
      </c>
      <c r="M2389" s="7">
        <f>SQRT(K2389^2+L2389^2)</f>
      </c>
      <c r="N2389" s="7">
        <f>(K2390-K2388)</f>
      </c>
      <c r="O2389" s="7">
        <f>+(L2390-L2388)</f>
      </c>
      <c r="P2389" s="7">
        <f>SQRT(O2389^2+N2389^2)</f>
      </c>
      <c r="Q2389" s="7">
        <f>N2389/$P2389</f>
      </c>
      <c r="R2389" s="7">
        <f>O2389/$P2389</f>
      </c>
      <c r="S2389" s="7">
        <f>Q2389^2+R2389^2</f>
      </c>
      <c r="T2389" s="7">
        <f>-R2389</f>
      </c>
      <c r="U2389" s="7">
        <f>Q2389</f>
      </c>
      <c r="V2389" s="7">
        <f>($C$14+($C$15-$C$14)/($D$15-$D$14)*(I2389-$D$14))/2</f>
      </c>
      <c r="W2389" s="7">
        <f>($B$22*I2389^4+$C$22*I2389^3+$D$22*I2389^2+$E$22*I2389+$F$22)/2</f>
      </c>
      <c r="X2389" s="7">
        <f>($W2389)*(T2389)</f>
      </c>
      <c r="Y2389" s="7">
        <f>($W2389)*(U2389)</f>
      </c>
      <c r="Z2389" s="7">
        <f>SQRT(X2389^2+Y2389^2)</f>
      </c>
      <c r="AA2389" s="7">
        <f>$K2389+$X2389</f>
      </c>
      <c r="AB2389" s="7">
        <f>$L2389+$Y2389</f>
      </c>
      <c r="AC2389" s="7">
        <f>$K2389-$X2389</f>
      </c>
      <c r="AD2389" s="7">
        <f>$L2389-$Y2389</f>
      </c>
      <c r="AE2389" s="7">
        <f>AA2389/39.3701</f>
      </c>
      <c r="AF2389" s="7">
        <f>AB2389/39.3701</f>
      </c>
      <c r="AG2389" s="7">
        <f>AC2389/39.3701</f>
      </c>
      <c r="AH2389" s="7">
        <f>AD2389/39.3701</f>
      </c>
      <c r="AI2389" s="1"/>
      <c r="AJ2389" s="1"/>
      <c r="AK2389" s="1"/>
      <c r="AL2389" s="1"/>
      <c r="AM2389" s="2"/>
      <c r="AN2389" s="1"/>
      <c r="AO2389" s="1"/>
      <c r="AP2389" s="1"/>
      <c r="AQ2389" s="1"/>
      <c r="AR2389" s="1"/>
      <c r="AS2389" s="1"/>
      <c r="AT2389" s="1"/>
      <c r="AU2389" s="1"/>
      <c r="AV2389" s="1"/>
      <c r="AW2389" s="1"/>
      <c r="AX2389" s="1"/>
      <c r="AY2389" s="1"/>
      <c r="AZ2389" s="1"/>
      <c r="BA2389" s="1"/>
      <c r="BB2389" s="1"/>
      <c r="BC2389" s="1"/>
      <c r="BD2389" s="1"/>
      <c r="BE2389" s="1"/>
    </row>
    <row x14ac:dyDescent="0.25" r="2390" customHeight="1" ht="18.75">
      <c r="A2390" s="1"/>
      <c r="B2390" s="2"/>
      <c r="C2390" s="2"/>
      <c r="D2390" s="2"/>
      <c r="E2390" s="2"/>
      <c r="F2390" s="2"/>
      <c r="G2390" s="1"/>
      <c r="H2390" s="1"/>
      <c r="I2390" s="7">
        <v>2.387</v>
      </c>
      <c r="J2390" s="7">
        <f>IF((I2390-ROUNDDOWN(I2390,0))=0, 0, (I2390-ROUNDDOWN(I2390,0)))</f>
      </c>
      <c r="K2390" s="7">
        <f>INDIRECT("C$"&amp;2+MIN(2,ROUNDDOWN(I2390,0))*3)*(-$J2390^3+3*$J2390^2-3*$J2390+1)+INDIRECT("C$"&amp;3+MIN(2,ROUNDDOWN(I2390,0))*3)*(3*$J2390^3-6*$J2390^2+3*$J2390)+INDIRECT("C$"&amp;4+MIN(2,ROUNDDOWN(I2390,0))*3)*(-3*$J2390^3+3*$J2390^2)+INDIRECT("C$"&amp;5+MIN(2,ROUNDDOWN(I2390,0))*3)*$J2390^3</f>
      </c>
      <c r="L2390" s="7">
        <f>INDIRECT("D$"&amp;2+MIN(2,ROUNDDOWN(I2390,0))*3)*(-$J2390^3+3*$J2390^2-3*$J2390+1)+INDIRECT("D$"&amp;3+MIN(2,ROUNDDOWN(I2390,0))*3)*(3*$J2390^3-6*$J2390^2+3*$J2390)+INDIRECT("D$"&amp;4+MIN(2,ROUNDDOWN(I2390,0))*3)*(-3*$J2390^3+3*$J2390^2)+INDIRECT("D$"&amp;5+MIN(2,ROUNDDOWN(I2390,0))*3)*$J2390^3</f>
      </c>
      <c r="M2390" s="7">
        <f>SQRT(K2390^2+L2390^2)</f>
      </c>
      <c r="N2390" s="7">
        <f>(K2391-K2389)</f>
      </c>
      <c r="O2390" s="7">
        <f>+(L2391-L2389)</f>
      </c>
      <c r="P2390" s="7">
        <f>SQRT(O2390^2+N2390^2)</f>
      </c>
      <c r="Q2390" s="7">
        <f>N2390/$P2390</f>
      </c>
      <c r="R2390" s="7">
        <f>O2390/$P2390</f>
      </c>
      <c r="S2390" s="7">
        <f>Q2390^2+R2390^2</f>
      </c>
      <c r="T2390" s="7">
        <f>-R2390</f>
      </c>
      <c r="U2390" s="7">
        <f>Q2390</f>
      </c>
      <c r="V2390" s="7">
        <f>($C$14+($C$15-$C$14)/($D$15-$D$14)*(I2390-$D$14))/2</f>
      </c>
      <c r="W2390" s="7">
        <f>($B$22*I2390^4+$C$22*I2390^3+$D$22*I2390^2+$E$22*I2390+$F$22)/2</f>
      </c>
      <c r="X2390" s="7">
        <f>($W2390)*(T2390)</f>
      </c>
      <c r="Y2390" s="7">
        <f>($W2390)*(U2390)</f>
      </c>
      <c r="Z2390" s="7">
        <f>SQRT(X2390^2+Y2390^2)</f>
      </c>
      <c r="AA2390" s="7">
        <f>$K2390+$X2390</f>
      </c>
      <c r="AB2390" s="7">
        <f>$L2390+$Y2390</f>
      </c>
      <c r="AC2390" s="7">
        <f>$K2390-$X2390</f>
      </c>
      <c r="AD2390" s="7">
        <f>$L2390-$Y2390</f>
      </c>
      <c r="AE2390" s="7">
        <f>AA2390/39.3701</f>
      </c>
      <c r="AF2390" s="7">
        <f>AB2390/39.3701</f>
      </c>
      <c r="AG2390" s="7">
        <f>AC2390/39.3701</f>
      </c>
      <c r="AH2390" s="7">
        <f>AD2390/39.3701</f>
      </c>
      <c r="AI2390" s="1"/>
      <c r="AJ2390" s="1"/>
      <c r="AK2390" s="1"/>
      <c r="AL2390" s="1"/>
      <c r="AM2390" s="2"/>
      <c r="AN2390" s="1"/>
      <c r="AO2390" s="1"/>
      <c r="AP2390" s="1"/>
      <c r="AQ2390" s="1"/>
      <c r="AR2390" s="1"/>
      <c r="AS2390" s="1"/>
      <c r="AT2390" s="1"/>
      <c r="AU2390" s="1"/>
      <c r="AV2390" s="1"/>
      <c r="AW2390" s="1"/>
      <c r="AX2390" s="1"/>
      <c r="AY2390" s="1"/>
      <c r="AZ2390" s="1"/>
      <c r="BA2390" s="1"/>
      <c r="BB2390" s="1"/>
      <c r="BC2390" s="1"/>
      <c r="BD2390" s="1"/>
      <c r="BE2390" s="1"/>
    </row>
    <row x14ac:dyDescent="0.25" r="2391" customHeight="1" ht="18.75">
      <c r="A2391" s="1"/>
      <c r="B2391" s="2"/>
      <c r="C2391" s="2"/>
      <c r="D2391" s="2"/>
      <c r="E2391" s="2"/>
      <c r="F2391" s="2"/>
      <c r="G2391" s="1"/>
      <c r="H2391" s="1"/>
      <c r="I2391" s="7">
        <v>2.388</v>
      </c>
      <c r="J2391" s="7">
        <f>IF((I2391-ROUNDDOWN(I2391,0))=0, 0, (I2391-ROUNDDOWN(I2391,0)))</f>
      </c>
      <c r="K2391" s="7">
        <f>INDIRECT("C$"&amp;2+MIN(2,ROUNDDOWN(I2391,0))*3)*(-$J2391^3+3*$J2391^2-3*$J2391+1)+INDIRECT("C$"&amp;3+MIN(2,ROUNDDOWN(I2391,0))*3)*(3*$J2391^3-6*$J2391^2+3*$J2391)+INDIRECT("C$"&amp;4+MIN(2,ROUNDDOWN(I2391,0))*3)*(-3*$J2391^3+3*$J2391^2)+INDIRECT("C$"&amp;5+MIN(2,ROUNDDOWN(I2391,0))*3)*$J2391^3</f>
      </c>
      <c r="L2391" s="7">
        <f>INDIRECT("D$"&amp;2+MIN(2,ROUNDDOWN(I2391,0))*3)*(-$J2391^3+3*$J2391^2-3*$J2391+1)+INDIRECT("D$"&amp;3+MIN(2,ROUNDDOWN(I2391,0))*3)*(3*$J2391^3-6*$J2391^2+3*$J2391)+INDIRECT("D$"&amp;4+MIN(2,ROUNDDOWN(I2391,0))*3)*(-3*$J2391^3+3*$J2391^2)+INDIRECT("D$"&amp;5+MIN(2,ROUNDDOWN(I2391,0))*3)*$J2391^3</f>
      </c>
      <c r="M2391" s="7">
        <f>SQRT(K2391^2+L2391^2)</f>
      </c>
      <c r="N2391" s="7">
        <f>(K2392-K2390)</f>
      </c>
      <c r="O2391" s="7">
        <f>+(L2392-L2390)</f>
      </c>
      <c r="P2391" s="7">
        <f>SQRT(O2391^2+N2391^2)</f>
      </c>
      <c r="Q2391" s="7">
        <f>N2391/$P2391</f>
      </c>
      <c r="R2391" s="7">
        <f>O2391/$P2391</f>
      </c>
      <c r="S2391" s="7">
        <f>Q2391^2+R2391^2</f>
      </c>
      <c r="T2391" s="7">
        <f>-R2391</f>
      </c>
      <c r="U2391" s="7">
        <f>Q2391</f>
      </c>
      <c r="V2391" s="7">
        <f>($C$14+($C$15-$C$14)/($D$15-$D$14)*(I2391-$D$14))/2</f>
      </c>
      <c r="W2391" s="7">
        <f>($B$22*I2391^4+$C$22*I2391^3+$D$22*I2391^2+$E$22*I2391+$F$22)/2</f>
      </c>
      <c r="X2391" s="7">
        <f>($W2391)*(T2391)</f>
      </c>
      <c r="Y2391" s="7">
        <f>($W2391)*(U2391)</f>
      </c>
      <c r="Z2391" s="7">
        <f>SQRT(X2391^2+Y2391^2)</f>
      </c>
      <c r="AA2391" s="7">
        <f>$K2391+$X2391</f>
      </c>
      <c r="AB2391" s="7">
        <f>$L2391+$Y2391</f>
      </c>
      <c r="AC2391" s="7">
        <f>$K2391-$X2391</f>
      </c>
      <c r="AD2391" s="7">
        <f>$L2391-$Y2391</f>
      </c>
      <c r="AE2391" s="7">
        <f>AA2391/39.3701</f>
      </c>
      <c r="AF2391" s="7">
        <f>AB2391/39.3701</f>
      </c>
      <c r="AG2391" s="7">
        <f>AC2391/39.3701</f>
      </c>
      <c r="AH2391" s="7">
        <f>AD2391/39.3701</f>
      </c>
      <c r="AI2391" s="1"/>
      <c r="AJ2391" s="1"/>
      <c r="AK2391" s="1"/>
      <c r="AL2391" s="1"/>
      <c r="AM2391" s="2"/>
      <c r="AN2391" s="1"/>
      <c r="AO2391" s="1"/>
      <c r="AP2391" s="1"/>
      <c r="AQ2391" s="1"/>
      <c r="AR2391" s="1"/>
      <c r="AS2391" s="1"/>
      <c r="AT2391" s="1"/>
      <c r="AU2391" s="1"/>
      <c r="AV2391" s="1"/>
      <c r="AW2391" s="1"/>
      <c r="AX2391" s="1"/>
      <c r="AY2391" s="1"/>
      <c r="AZ2391" s="1"/>
      <c r="BA2391" s="1"/>
      <c r="BB2391" s="1"/>
      <c r="BC2391" s="1"/>
      <c r="BD2391" s="1"/>
      <c r="BE2391" s="1"/>
    </row>
    <row x14ac:dyDescent="0.25" r="2392" customHeight="1" ht="18.75">
      <c r="A2392" s="1"/>
      <c r="B2392" s="2"/>
      <c r="C2392" s="2"/>
      <c r="D2392" s="2"/>
      <c r="E2392" s="2"/>
      <c r="F2392" s="2"/>
      <c r="G2392" s="1"/>
      <c r="H2392" s="1"/>
      <c r="I2392" s="7">
        <v>2.389</v>
      </c>
      <c r="J2392" s="7">
        <f>IF((I2392-ROUNDDOWN(I2392,0))=0, 0, (I2392-ROUNDDOWN(I2392,0)))</f>
      </c>
      <c r="K2392" s="7">
        <f>INDIRECT("C$"&amp;2+MIN(2,ROUNDDOWN(I2392,0))*3)*(-$J2392^3+3*$J2392^2-3*$J2392+1)+INDIRECT("C$"&amp;3+MIN(2,ROUNDDOWN(I2392,0))*3)*(3*$J2392^3-6*$J2392^2+3*$J2392)+INDIRECT("C$"&amp;4+MIN(2,ROUNDDOWN(I2392,0))*3)*(-3*$J2392^3+3*$J2392^2)+INDIRECT("C$"&amp;5+MIN(2,ROUNDDOWN(I2392,0))*3)*$J2392^3</f>
      </c>
      <c r="L2392" s="7">
        <f>INDIRECT("D$"&amp;2+MIN(2,ROUNDDOWN(I2392,0))*3)*(-$J2392^3+3*$J2392^2-3*$J2392+1)+INDIRECT("D$"&amp;3+MIN(2,ROUNDDOWN(I2392,0))*3)*(3*$J2392^3-6*$J2392^2+3*$J2392)+INDIRECT("D$"&amp;4+MIN(2,ROUNDDOWN(I2392,0))*3)*(-3*$J2392^3+3*$J2392^2)+INDIRECT("D$"&amp;5+MIN(2,ROUNDDOWN(I2392,0))*3)*$J2392^3</f>
      </c>
      <c r="M2392" s="7">
        <f>SQRT(K2392^2+L2392^2)</f>
      </c>
      <c r="N2392" s="7">
        <f>(K2393-K2391)</f>
      </c>
      <c r="O2392" s="7">
        <f>+(L2393-L2391)</f>
      </c>
      <c r="P2392" s="7">
        <f>SQRT(O2392^2+N2392^2)</f>
      </c>
      <c r="Q2392" s="7">
        <f>N2392/$P2392</f>
      </c>
      <c r="R2392" s="7">
        <f>O2392/$P2392</f>
      </c>
      <c r="S2392" s="8">
        <f>Q2392^2+R2392^2</f>
      </c>
      <c r="T2392" s="7">
        <f>-R2392</f>
      </c>
      <c r="U2392" s="7">
        <f>Q2392</f>
      </c>
      <c r="V2392" s="7">
        <f>($C$14+($C$15-$C$14)/($D$15-$D$14)*(I2392-$D$14))/2</f>
      </c>
      <c r="W2392" s="7">
        <f>($B$22*I2392^4+$C$22*I2392^3+$D$22*I2392^2+$E$22*I2392+$F$22)/2</f>
      </c>
      <c r="X2392" s="7">
        <f>($W2392)*(T2392)</f>
      </c>
      <c r="Y2392" s="7">
        <f>($W2392)*(U2392)</f>
      </c>
      <c r="Z2392" s="7">
        <f>SQRT(X2392^2+Y2392^2)</f>
      </c>
      <c r="AA2392" s="7">
        <f>$K2392+$X2392</f>
      </c>
      <c r="AB2392" s="7">
        <f>$L2392+$Y2392</f>
      </c>
      <c r="AC2392" s="7">
        <f>$K2392-$X2392</f>
      </c>
      <c r="AD2392" s="7">
        <f>$L2392-$Y2392</f>
      </c>
      <c r="AE2392" s="7">
        <f>AA2392/39.3701</f>
      </c>
      <c r="AF2392" s="7">
        <f>AB2392/39.3701</f>
      </c>
      <c r="AG2392" s="7">
        <f>AC2392/39.3701</f>
      </c>
      <c r="AH2392" s="7">
        <f>AD2392/39.3701</f>
      </c>
      <c r="AI2392" s="1"/>
      <c r="AJ2392" s="1"/>
      <c r="AK2392" s="1"/>
      <c r="AL2392" s="1"/>
      <c r="AM2392" s="2"/>
      <c r="AN2392" s="1"/>
      <c r="AO2392" s="1"/>
      <c r="AP2392" s="1"/>
      <c r="AQ2392" s="1"/>
      <c r="AR2392" s="1"/>
      <c r="AS2392" s="1"/>
      <c r="AT2392" s="1"/>
      <c r="AU2392" s="1"/>
      <c r="AV2392" s="1"/>
      <c r="AW2392" s="1"/>
      <c r="AX2392" s="1"/>
      <c r="AY2392" s="1"/>
      <c r="AZ2392" s="1"/>
      <c r="BA2392" s="1"/>
      <c r="BB2392" s="1"/>
      <c r="BC2392" s="1"/>
      <c r="BD2392" s="1"/>
      <c r="BE2392" s="1"/>
    </row>
    <row x14ac:dyDescent="0.25" r="2393" customHeight="1" ht="18.75">
      <c r="A2393" s="1"/>
      <c r="B2393" s="2"/>
      <c r="C2393" s="2"/>
      <c r="D2393" s="2"/>
      <c r="E2393" s="2"/>
      <c r="F2393" s="2"/>
      <c r="G2393" s="1"/>
      <c r="H2393" s="1"/>
      <c r="I2393" s="7">
        <v>2.39</v>
      </c>
      <c r="J2393" s="7">
        <f>IF((I2393-ROUNDDOWN(I2393,0))=0, 0, (I2393-ROUNDDOWN(I2393,0)))</f>
      </c>
      <c r="K2393" s="7">
        <f>INDIRECT("C$"&amp;2+MIN(2,ROUNDDOWN(I2393,0))*3)*(-$J2393^3+3*$J2393^2-3*$J2393+1)+INDIRECT("C$"&amp;3+MIN(2,ROUNDDOWN(I2393,0))*3)*(3*$J2393^3-6*$J2393^2+3*$J2393)+INDIRECT("C$"&amp;4+MIN(2,ROUNDDOWN(I2393,0))*3)*(-3*$J2393^3+3*$J2393^2)+INDIRECT("C$"&amp;5+MIN(2,ROUNDDOWN(I2393,0))*3)*$J2393^3</f>
      </c>
      <c r="L2393" s="7">
        <f>INDIRECT("D$"&amp;2+MIN(2,ROUNDDOWN(I2393,0))*3)*(-$J2393^3+3*$J2393^2-3*$J2393+1)+INDIRECT("D$"&amp;3+MIN(2,ROUNDDOWN(I2393,0))*3)*(3*$J2393^3-6*$J2393^2+3*$J2393)+INDIRECT("D$"&amp;4+MIN(2,ROUNDDOWN(I2393,0))*3)*(-3*$J2393^3+3*$J2393^2)+INDIRECT("D$"&amp;5+MIN(2,ROUNDDOWN(I2393,0))*3)*$J2393^3</f>
      </c>
      <c r="M2393" s="7">
        <f>SQRT(K2393^2+L2393^2)</f>
      </c>
      <c r="N2393" s="7">
        <f>(K2394-K2392)</f>
      </c>
      <c r="O2393" s="7">
        <f>+(L2394-L2392)</f>
      </c>
      <c r="P2393" s="7">
        <f>SQRT(O2393^2+N2393^2)</f>
      </c>
      <c r="Q2393" s="7">
        <f>N2393/$P2393</f>
      </c>
      <c r="R2393" s="7">
        <f>O2393/$P2393</f>
      </c>
      <c r="S2393" s="7">
        <f>Q2393^2+R2393^2</f>
      </c>
      <c r="T2393" s="7">
        <f>-R2393</f>
      </c>
      <c r="U2393" s="7">
        <f>Q2393</f>
      </c>
      <c r="V2393" s="7">
        <f>($C$14+($C$15-$C$14)/($D$15-$D$14)*(I2393-$D$14))/2</f>
      </c>
      <c r="W2393" s="7">
        <f>($B$22*I2393^4+$C$22*I2393^3+$D$22*I2393^2+$E$22*I2393+$F$22)/2</f>
      </c>
      <c r="X2393" s="7">
        <f>($W2393)*(T2393)</f>
      </c>
      <c r="Y2393" s="7">
        <f>($W2393)*(U2393)</f>
      </c>
      <c r="Z2393" s="7">
        <f>SQRT(X2393^2+Y2393^2)</f>
      </c>
      <c r="AA2393" s="7">
        <f>$K2393+$X2393</f>
      </c>
      <c r="AB2393" s="7">
        <f>$L2393+$Y2393</f>
      </c>
      <c r="AC2393" s="7">
        <f>$K2393-$X2393</f>
      </c>
      <c r="AD2393" s="7">
        <f>$L2393-$Y2393</f>
      </c>
      <c r="AE2393" s="7">
        <f>AA2393/39.3701</f>
      </c>
      <c r="AF2393" s="7">
        <f>AB2393/39.3701</f>
      </c>
      <c r="AG2393" s="7">
        <f>AC2393/39.3701</f>
      </c>
      <c r="AH2393" s="7">
        <f>AD2393/39.3701</f>
      </c>
      <c r="AI2393" s="1"/>
      <c r="AJ2393" s="1"/>
      <c r="AK2393" s="1"/>
      <c r="AL2393" s="1"/>
      <c r="AM2393" s="2"/>
      <c r="AN2393" s="1"/>
      <c r="AO2393" s="1"/>
      <c r="AP2393" s="1"/>
      <c r="AQ2393" s="1"/>
      <c r="AR2393" s="1"/>
      <c r="AS2393" s="1"/>
      <c r="AT2393" s="1"/>
      <c r="AU2393" s="1"/>
      <c r="AV2393" s="1"/>
      <c r="AW2393" s="1"/>
      <c r="AX2393" s="1"/>
      <c r="AY2393" s="1"/>
      <c r="AZ2393" s="1"/>
      <c r="BA2393" s="1"/>
      <c r="BB2393" s="1"/>
      <c r="BC2393" s="1"/>
      <c r="BD2393" s="1"/>
      <c r="BE2393" s="1"/>
    </row>
    <row x14ac:dyDescent="0.25" r="2394" customHeight="1" ht="18.75">
      <c r="A2394" s="1"/>
      <c r="B2394" s="2"/>
      <c r="C2394" s="2"/>
      <c r="D2394" s="2"/>
      <c r="E2394" s="2"/>
      <c r="F2394" s="2"/>
      <c r="G2394" s="1"/>
      <c r="H2394" s="1"/>
      <c r="I2394" s="7">
        <v>2.391</v>
      </c>
      <c r="J2394" s="7">
        <f>IF((I2394-ROUNDDOWN(I2394,0))=0, 0, (I2394-ROUNDDOWN(I2394,0)))</f>
      </c>
      <c r="K2394" s="7">
        <f>INDIRECT("C$"&amp;2+MIN(2,ROUNDDOWN(I2394,0))*3)*(-$J2394^3+3*$J2394^2-3*$J2394+1)+INDIRECT("C$"&amp;3+MIN(2,ROUNDDOWN(I2394,0))*3)*(3*$J2394^3-6*$J2394^2+3*$J2394)+INDIRECT("C$"&amp;4+MIN(2,ROUNDDOWN(I2394,0))*3)*(-3*$J2394^3+3*$J2394^2)+INDIRECT("C$"&amp;5+MIN(2,ROUNDDOWN(I2394,0))*3)*$J2394^3</f>
      </c>
      <c r="L2394" s="7">
        <f>INDIRECT("D$"&amp;2+MIN(2,ROUNDDOWN(I2394,0))*3)*(-$J2394^3+3*$J2394^2-3*$J2394+1)+INDIRECT("D$"&amp;3+MIN(2,ROUNDDOWN(I2394,0))*3)*(3*$J2394^3-6*$J2394^2+3*$J2394)+INDIRECT("D$"&amp;4+MIN(2,ROUNDDOWN(I2394,0))*3)*(-3*$J2394^3+3*$J2394^2)+INDIRECT("D$"&amp;5+MIN(2,ROUNDDOWN(I2394,0))*3)*$J2394^3</f>
      </c>
      <c r="M2394" s="7">
        <f>SQRT(K2394^2+L2394^2)</f>
      </c>
      <c r="N2394" s="7">
        <f>(K2395-K2393)</f>
      </c>
      <c r="O2394" s="7">
        <f>+(L2395-L2393)</f>
      </c>
      <c r="P2394" s="7">
        <f>SQRT(O2394^2+N2394^2)</f>
      </c>
      <c r="Q2394" s="7">
        <f>N2394/$P2394</f>
      </c>
      <c r="R2394" s="7">
        <f>O2394/$P2394</f>
      </c>
      <c r="S2394" s="7">
        <f>Q2394^2+R2394^2</f>
      </c>
      <c r="T2394" s="7">
        <f>-R2394</f>
      </c>
      <c r="U2394" s="7">
        <f>Q2394</f>
      </c>
      <c r="V2394" s="7">
        <f>($C$14+($C$15-$C$14)/($D$15-$D$14)*(I2394-$D$14))/2</f>
      </c>
      <c r="W2394" s="7">
        <f>($B$22*I2394^4+$C$22*I2394^3+$D$22*I2394^2+$E$22*I2394+$F$22)/2</f>
      </c>
      <c r="X2394" s="7">
        <f>($W2394)*(T2394)</f>
      </c>
      <c r="Y2394" s="7">
        <f>($W2394)*(U2394)</f>
      </c>
      <c r="Z2394" s="7">
        <f>SQRT(X2394^2+Y2394^2)</f>
      </c>
      <c r="AA2394" s="7">
        <f>$K2394+$X2394</f>
      </c>
      <c r="AB2394" s="7">
        <f>$L2394+$Y2394</f>
      </c>
      <c r="AC2394" s="7">
        <f>$K2394-$X2394</f>
      </c>
      <c r="AD2394" s="7">
        <f>$L2394-$Y2394</f>
      </c>
      <c r="AE2394" s="7">
        <f>AA2394/39.3701</f>
      </c>
      <c r="AF2394" s="7">
        <f>AB2394/39.3701</f>
      </c>
      <c r="AG2394" s="7">
        <f>AC2394/39.3701</f>
      </c>
      <c r="AH2394" s="7">
        <f>AD2394/39.3701</f>
      </c>
      <c r="AI2394" s="1"/>
      <c r="AJ2394" s="1"/>
      <c r="AK2394" s="1"/>
      <c r="AL2394" s="1"/>
      <c r="AM2394" s="2"/>
      <c r="AN2394" s="1"/>
      <c r="AO2394" s="1"/>
      <c r="AP2394" s="1"/>
      <c r="AQ2394" s="1"/>
      <c r="AR2394" s="1"/>
      <c r="AS2394" s="1"/>
      <c r="AT2394" s="1"/>
      <c r="AU2394" s="1"/>
      <c r="AV2394" s="1"/>
      <c r="AW2394" s="1"/>
      <c r="AX2394" s="1"/>
      <c r="AY2394" s="1"/>
      <c r="AZ2394" s="1"/>
      <c r="BA2394" s="1"/>
      <c r="BB2394" s="1"/>
      <c r="BC2394" s="1"/>
      <c r="BD2394" s="1"/>
      <c r="BE2394" s="1"/>
    </row>
    <row x14ac:dyDescent="0.25" r="2395" customHeight="1" ht="18.75">
      <c r="A2395" s="1"/>
      <c r="B2395" s="2"/>
      <c r="C2395" s="2"/>
      <c r="D2395" s="2"/>
      <c r="E2395" s="2"/>
      <c r="F2395" s="2"/>
      <c r="G2395" s="1"/>
      <c r="H2395" s="1"/>
      <c r="I2395" s="7">
        <v>2.392</v>
      </c>
      <c r="J2395" s="7">
        <f>IF((I2395-ROUNDDOWN(I2395,0))=0, 0, (I2395-ROUNDDOWN(I2395,0)))</f>
      </c>
      <c r="K2395" s="7">
        <f>INDIRECT("C$"&amp;2+MIN(2,ROUNDDOWN(I2395,0))*3)*(-$J2395^3+3*$J2395^2-3*$J2395+1)+INDIRECT("C$"&amp;3+MIN(2,ROUNDDOWN(I2395,0))*3)*(3*$J2395^3-6*$J2395^2+3*$J2395)+INDIRECT("C$"&amp;4+MIN(2,ROUNDDOWN(I2395,0))*3)*(-3*$J2395^3+3*$J2395^2)+INDIRECT("C$"&amp;5+MIN(2,ROUNDDOWN(I2395,0))*3)*$J2395^3</f>
      </c>
      <c r="L2395" s="7">
        <f>INDIRECT("D$"&amp;2+MIN(2,ROUNDDOWN(I2395,0))*3)*(-$J2395^3+3*$J2395^2-3*$J2395+1)+INDIRECT("D$"&amp;3+MIN(2,ROUNDDOWN(I2395,0))*3)*(3*$J2395^3-6*$J2395^2+3*$J2395)+INDIRECT("D$"&amp;4+MIN(2,ROUNDDOWN(I2395,0))*3)*(-3*$J2395^3+3*$J2395^2)+INDIRECT("D$"&amp;5+MIN(2,ROUNDDOWN(I2395,0))*3)*$J2395^3</f>
      </c>
      <c r="M2395" s="7">
        <f>SQRT(K2395^2+L2395^2)</f>
      </c>
      <c r="N2395" s="7">
        <f>(K2396-K2394)</f>
      </c>
      <c r="O2395" s="7">
        <f>+(L2396-L2394)</f>
      </c>
      <c r="P2395" s="7">
        <f>SQRT(O2395^2+N2395^2)</f>
      </c>
      <c r="Q2395" s="7">
        <f>N2395/$P2395</f>
      </c>
      <c r="R2395" s="7">
        <f>O2395/$P2395</f>
      </c>
      <c r="S2395" s="7">
        <f>Q2395^2+R2395^2</f>
      </c>
      <c r="T2395" s="7">
        <f>-R2395</f>
      </c>
      <c r="U2395" s="7">
        <f>Q2395</f>
      </c>
      <c r="V2395" s="7">
        <f>($C$14+($C$15-$C$14)/($D$15-$D$14)*(I2395-$D$14))/2</f>
      </c>
      <c r="W2395" s="7">
        <f>($B$22*I2395^4+$C$22*I2395^3+$D$22*I2395^2+$E$22*I2395+$F$22)/2</f>
      </c>
      <c r="X2395" s="7">
        <f>($W2395)*(T2395)</f>
      </c>
      <c r="Y2395" s="7">
        <f>($W2395)*(U2395)</f>
      </c>
      <c r="Z2395" s="7">
        <f>SQRT(X2395^2+Y2395^2)</f>
      </c>
      <c r="AA2395" s="7">
        <f>$K2395+$X2395</f>
      </c>
      <c r="AB2395" s="7">
        <f>$L2395+$Y2395</f>
      </c>
      <c r="AC2395" s="7">
        <f>$K2395-$X2395</f>
      </c>
      <c r="AD2395" s="7">
        <f>$L2395-$Y2395</f>
      </c>
      <c r="AE2395" s="7">
        <f>AA2395/39.3701</f>
      </c>
      <c r="AF2395" s="7">
        <f>AB2395/39.3701</f>
      </c>
      <c r="AG2395" s="7">
        <f>AC2395/39.3701</f>
      </c>
      <c r="AH2395" s="7">
        <f>AD2395/39.3701</f>
      </c>
      <c r="AI2395" s="1"/>
      <c r="AJ2395" s="1"/>
      <c r="AK2395" s="1"/>
      <c r="AL2395" s="1"/>
      <c r="AM2395" s="2"/>
      <c r="AN2395" s="1"/>
      <c r="AO2395" s="1"/>
      <c r="AP2395" s="1"/>
      <c r="AQ2395" s="1"/>
      <c r="AR2395" s="1"/>
      <c r="AS2395" s="1"/>
      <c r="AT2395" s="1"/>
      <c r="AU2395" s="1"/>
      <c r="AV2395" s="1"/>
      <c r="AW2395" s="1"/>
      <c r="AX2395" s="1"/>
      <c r="AY2395" s="1"/>
      <c r="AZ2395" s="1"/>
      <c r="BA2395" s="1"/>
      <c r="BB2395" s="1"/>
      <c r="BC2395" s="1"/>
      <c r="BD2395" s="1"/>
      <c r="BE2395" s="1"/>
    </row>
    <row x14ac:dyDescent="0.25" r="2396" customHeight="1" ht="18.75">
      <c r="A2396" s="1"/>
      <c r="B2396" s="2"/>
      <c r="C2396" s="2"/>
      <c r="D2396" s="2"/>
      <c r="E2396" s="2"/>
      <c r="F2396" s="2"/>
      <c r="G2396" s="1"/>
      <c r="H2396" s="1"/>
      <c r="I2396" s="7">
        <v>2.393</v>
      </c>
      <c r="J2396" s="7">
        <f>IF((I2396-ROUNDDOWN(I2396,0))=0, 0, (I2396-ROUNDDOWN(I2396,0)))</f>
      </c>
      <c r="K2396" s="7">
        <f>INDIRECT("C$"&amp;2+MIN(2,ROUNDDOWN(I2396,0))*3)*(-$J2396^3+3*$J2396^2-3*$J2396+1)+INDIRECT("C$"&amp;3+MIN(2,ROUNDDOWN(I2396,0))*3)*(3*$J2396^3-6*$J2396^2+3*$J2396)+INDIRECT("C$"&amp;4+MIN(2,ROUNDDOWN(I2396,0))*3)*(-3*$J2396^3+3*$J2396^2)+INDIRECT("C$"&amp;5+MIN(2,ROUNDDOWN(I2396,0))*3)*$J2396^3</f>
      </c>
      <c r="L2396" s="7">
        <f>INDIRECT("D$"&amp;2+MIN(2,ROUNDDOWN(I2396,0))*3)*(-$J2396^3+3*$J2396^2-3*$J2396+1)+INDIRECT("D$"&amp;3+MIN(2,ROUNDDOWN(I2396,0))*3)*(3*$J2396^3-6*$J2396^2+3*$J2396)+INDIRECT("D$"&amp;4+MIN(2,ROUNDDOWN(I2396,0))*3)*(-3*$J2396^3+3*$J2396^2)+INDIRECT("D$"&amp;5+MIN(2,ROUNDDOWN(I2396,0))*3)*$J2396^3</f>
      </c>
      <c r="M2396" s="7">
        <f>SQRT(K2396^2+L2396^2)</f>
      </c>
      <c r="N2396" s="7">
        <f>(K2397-K2395)</f>
      </c>
      <c r="O2396" s="7">
        <f>+(L2397-L2395)</f>
      </c>
      <c r="P2396" s="7">
        <f>SQRT(O2396^2+N2396^2)</f>
      </c>
      <c r="Q2396" s="7">
        <f>N2396/$P2396</f>
      </c>
      <c r="R2396" s="7">
        <f>O2396/$P2396</f>
      </c>
      <c r="S2396" s="8">
        <f>Q2396^2+R2396^2</f>
      </c>
      <c r="T2396" s="7">
        <f>-R2396</f>
      </c>
      <c r="U2396" s="7">
        <f>Q2396</f>
      </c>
      <c r="V2396" s="7">
        <f>($C$14+($C$15-$C$14)/($D$15-$D$14)*(I2396-$D$14))/2</f>
      </c>
      <c r="W2396" s="7">
        <f>($B$22*I2396^4+$C$22*I2396^3+$D$22*I2396^2+$E$22*I2396+$F$22)/2</f>
      </c>
      <c r="X2396" s="7">
        <f>($W2396)*(T2396)</f>
      </c>
      <c r="Y2396" s="7">
        <f>($W2396)*(U2396)</f>
      </c>
      <c r="Z2396" s="7">
        <f>SQRT(X2396^2+Y2396^2)</f>
      </c>
      <c r="AA2396" s="7">
        <f>$K2396+$X2396</f>
      </c>
      <c r="AB2396" s="7">
        <f>$L2396+$Y2396</f>
      </c>
      <c r="AC2396" s="7">
        <f>$K2396-$X2396</f>
      </c>
      <c r="AD2396" s="7">
        <f>$L2396-$Y2396</f>
      </c>
      <c r="AE2396" s="7">
        <f>AA2396/39.3701</f>
      </c>
      <c r="AF2396" s="7">
        <f>AB2396/39.3701</f>
      </c>
      <c r="AG2396" s="7">
        <f>AC2396/39.3701</f>
      </c>
      <c r="AH2396" s="7">
        <f>AD2396/39.3701</f>
      </c>
      <c r="AI2396" s="1"/>
      <c r="AJ2396" s="1"/>
      <c r="AK2396" s="1"/>
      <c r="AL2396" s="1"/>
      <c r="AM2396" s="2"/>
      <c r="AN2396" s="1"/>
      <c r="AO2396" s="1"/>
      <c r="AP2396" s="1"/>
      <c r="AQ2396" s="1"/>
      <c r="AR2396" s="1"/>
      <c r="AS2396" s="1"/>
      <c r="AT2396" s="1"/>
      <c r="AU2396" s="1"/>
      <c r="AV2396" s="1"/>
      <c r="AW2396" s="1"/>
      <c r="AX2396" s="1"/>
      <c r="AY2396" s="1"/>
      <c r="AZ2396" s="1"/>
      <c r="BA2396" s="1"/>
      <c r="BB2396" s="1"/>
      <c r="BC2396" s="1"/>
      <c r="BD2396" s="1"/>
      <c r="BE2396" s="1"/>
    </row>
    <row x14ac:dyDescent="0.25" r="2397" customHeight="1" ht="18.75">
      <c r="A2397" s="1"/>
      <c r="B2397" s="2"/>
      <c r="C2397" s="2"/>
      <c r="D2397" s="2"/>
      <c r="E2397" s="2"/>
      <c r="F2397" s="2"/>
      <c r="G2397" s="1"/>
      <c r="H2397" s="1"/>
      <c r="I2397" s="7">
        <v>2.394</v>
      </c>
      <c r="J2397" s="7">
        <f>IF((I2397-ROUNDDOWN(I2397,0))=0, 0, (I2397-ROUNDDOWN(I2397,0)))</f>
      </c>
      <c r="K2397" s="7">
        <f>INDIRECT("C$"&amp;2+MIN(2,ROUNDDOWN(I2397,0))*3)*(-$J2397^3+3*$J2397^2-3*$J2397+1)+INDIRECT("C$"&amp;3+MIN(2,ROUNDDOWN(I2397,0))*3)*(3*$J2397^3-6*$J2397^2+3*$J2397)+INDIRECT("C$"&amp;4+MIN(2,ROUNDDOWN(I2397,0))*3)*(-3*$J2397^3+3*$J2397^2)+INDIRECT("C$"&amp;5+MIN(2,ROUNDDOWN(I2397,0))*3)*$J2397^3</f>
      </c>
      <c r="L2397" s="7">
        <f>INDIRECT("D$"&amp;2+MIN(2,ROUNDDOWN(I2397,0))*3)*(-$J2397^3+3*$J2397^2-3*$J2397+1)+INDIRECT("D$"&amp;3+MIN(2,ROUNDDOWN(I2397,0))*3)*(3*$J2397^3-6*$J2397^2+3*$J2397)+INDIRECT("D$"&amp;4+MIN(2,ROUNDDOWN(I2397,0))*3)*(-3*$J2397^3+3*$J2397^2)+INDIRECT("D$"&amp;5+MIN(2,ROUNDDOWN(I2397,0))*3)*$J2397^3</f>
      </c>
      <c r="M2397" s="7">
        <f>SQRT(K2397^2+L2397^2)</f>
      </c>
      <c r="N2397" s="7">
        <f>(K2398-K2396)</f>
      </c>
      <c r="O2397" s="7">
        <f>+(L2398-L2396)</f>
      </c>
      <c r="P2397" s="7">
        <f>SQRT(O2397^2+N2397^2)</f>
      </c>
      <c r="Q2397" s="7">
        <f>N2397/$P2397</f>
      </c>
      <c r="R2397" s="7">
        <f>O2397/$P2397</f>
      </c>
      <c r="S2397" s="8">
        <f>Q2397^2+R2397^2</f>
      </c>
      <c r="T2397" s="7">
        <f>-R2397</f>
      </c>
      <c r="U2397" s="7">
        <f>Q2397</f>
      </c>
      <c r="V2397" s="7">
        <f>($C$14+($C$15-$C$14)/($D$15-$D$14)*(I2397-$D$14))/2</f>
      </c>
      <c r="W2397" s="7">
        <f>($B$22*I2397^4+$C$22*I2397^3+$D$22*I2397^2+$E$22*I2397+$F$22)/2</f>
      </c>
      <c r="X2397" s="7">
        <f>($W2397)*(T2397)</f>
      </c>
      <c r="Y2397" s="7">
        <f>($W2397)*(U2397)</f>
      </c>
      <c r="Z2397" s="7">
        <f>SQRT(X2397^2+Y2397^2)</f>
      </c>
      <c r="AA2397" s="7">
        <f>$K2397+$X2397</f>
      </c>
      <c r="AB2397" s="7">
        <f>$L2397+$Y2397</f>
      </c>
      <c r="AC2397" s="7">
        <f>$K2397-$X2397</f>
      </c>
      <c r="AD2397" s="7">
        <f>$L2397-$Y2397</f>
      </c>
      <c r="AE2397" s="7">
        <f>AA2397/39.3701</f>
      </c>
      <c r="AF2397" s="7">
        <f>AB2397/39.3701</f>
      </c>
      <c r="AG2397" s="7">
        <f>AC2397/39.3701</f>
      </c>
      <c r="AH2397" s="7">
        <f>AD2397/39.3701</f>
      </c>
      <c r="AI2397" s="1"/>
      <c r="AJ2397" s="1"/>
      <c r="AK2397" s="1"/>
      <c r="AL2397" s="1"/>
      <c r="AM2397" s="2"/>
      <c r="AN2397" s="1"/>
      <c r="AO2397" s="1"/>
      <c r="AP2397" s="1"/>
      <c r="AQ2397" s="1"/>
      <c r="AR2397" s="1"/>
      <c r="AS2397" s="1"/>
      <c r="AT2397" s="1"/>
      <c r="AU2397" s="1"/>
      <c r="AV2397" s="1"/>
      <c r="AW2397" s="1"/>
      <c r="AX2397" s="1"/>
      <c r="AY2397" s="1"/>
      <c r="AZ2397" s="1"/>
      <c r="BA2397" s="1"/>
      <c r="BB2397" s="1"/>
      <c r="BC2397" s="1"/>
      <c r="BD2397" s="1"/>
      <c r="BE2397" s="1"/>
    </row>
    <row x14ac:dyDescent="0.25" r="2398" customHeight="1" ht="18.75">
      <c r="A2398" s="1"/>
      <c r="B2398" s="2"/>
      <c r="C2398" s="2"/>
      <c r="D2398" s="2"/>
      <c r="E2398" s="2"/>
      <c r="F2398" s="2"/>
      <c r="G2398" s="1"/>
      <c r="H2398" s="1"/>
      <c r="I2398" s="7">
        <v>2.395</v>
      </c>
      <c r="J2398" s="7">
        <f>IF((I2398-ROUNDDOWN(I2398,0))=0, 0, (I2398-ROUNDDOWN(I2398,0)))</f>
      </c>
      <c r="K2398" s="7">
        <f>INDIRECT("C$"&amp;2+MIN(2,ROUNDDOWN(I2398,0))*3)*(-$J2398^3+3*$J2398^2-3*$J2398+1)+INDIRECT("C$"&amp;3+MIN(2,ROUNDDOWN(I2398,0))*3)*(3*$J2398^3-6*$J2398^2+3*$J2398)+INDIRECT("C$"&amp;4+MIN(2,ROUNDDOWN(I2398,0))*3)*(-3*$J2398^3+3*$J2398^2)+INDIRECT("C$"&amp;5+MIN(2,ROUNDDOWN(I2398,0))*3)*$J2398^3</f>
      </c>
      <c r="L2398" s="7">
        <f>INDIRECT("D$"&amp;2+MIN(2,ROUNDDOWN(I2398,0))*3)*(-$J2398^3+3*$J2398^2-3*$J2398+1)+INDIRECT("D$"&amp;3+MIN(2,ROUNDDOWN(I2398,0))*3)*(3*$J2398^3-6*$J2398^2+3*$J2398)+INDIRECT("D$"&amp;4+MIN(2,ROUNDDOWN(I2398,0))*3)*(-3*$J2398^3+3*$J2398^2)+INDIRECT("D$"&amp;5+MIN(2,ROUNDDOWN(I2398,0))*3)*$J2398^3</f>
      </c>
      <c r="M2398" s="7">
        <f>SQRT(K2398^2+L2398^2)</f>
      </c>
      <c r="N2398" s="7">
        <f>(K2399-K2397)</f>
      </c>
      <c r="O2398" s="7">
        <f>+(L2399-L2397)</f>
      </c>
      <c r="P2398" s="7">
        <f>SQRT(O2398^2+N2398^2)</f>
      </c>
      <c r="Q2398" s="7">
        <f>N2398/$P2398</f>
      </c>
      <c r="R2398" s="7">
        <f>O2398/$P2398</f>
      </c>
      <c r="S2398" s="8">
        <f>Q2398^2+R2398^2</f>
      </c>
      <c r="T2398" s="7">
        <f>-R2398</f>
      </c>
      <c r="U2398" s="7">
        <f>Q2398</f>
      </c>
      <c r="V2398" s="7">
        <f>($C$14+($C$15-$C$14)/($D$15-$D$14)*(I2398-$D$14))/2</f>
      </c>
      <c r="W2398" s="7">
        <f>($B$22*I2398^4+$C$22*I2398^3+$D$22*I2398^2+$E$22*I2398+$F$22)/2</f>
      </c>
      <c r="X2398" s="7">
        <f>($W2398)*(T2398)</f>
      </c>
      <c r="Y2398" s="7">
        <f>($W2398)*(U2398)</f>
      </c>
      <c r="Z2398" s="7">
        <f>SQRT(X2398^2+Y2398^2)</f>
      </c>
      <c r="AA2398" s="7">
        <f>$K2398+$X2398</f>
      </c>
      <c r="AB2398" s="7">
        <f>$L2398+$Y2398</f>
      </c>
      <c r="AC2398" s="7">
        <f>$K2398-$X2398</f>
      </c>
      <c r="AD2398" s="7">
        <f>$L2398-$Y2398</f>
      </c>
      <c r="AE2398" s="7">
        <f>AA2398/39.3701</f>
      </c>
      <c r="AF2398" s="7">
        <f>AB2398/39.3701</f>
      </c>
      <c r="AG2398" s="7">
        <f>AC2398/39.3701</f>
      </c>
      <c r="AH2398" s="7">
        <f>AD2398/39.3701</f>
      </c>
      <c r="AI2398" s="1"/>
      <c r="AJ2398" s="1"/>
      <c r="AK2398" s="1"/>
      <c r="AL2398" s="1"/>
      <c r="AM2398" s="2"/>
      <c r="AN2398" s="1"/>
      <c r="AO2398" s="1"/>
      <c r="AP2398" s="1"/>
      <c r="AQ2398" s="1"/>
      <c r="AR2398" s="1"/>
      <c r="AS2398" s="1"/>
      <c r="AT2398" s="1"/>
      <c r="AU2398" s="1"/>
      <c r="AV2398" s="1"/>
      <c r="AW2398" s="1"/>
      <c r="AX2398" s="1"/>
      <c r="AY2398" s="1"/>
      <c r="AZ2398" s="1"/>
      <c r="BA2398" s="1"/>
      <c r="BB2398" s="1"/>
      <c r="BC2398" s="1"/>
      <c r="BD2398" s="1"/>
      <c r="BE2398" s="1"/>
    </row>
    <row x14ac:dyDescent="0.25" r="2399" customHeight="1" ht="18.75">
      <c r="A2399" s="1"/>
      <c r="B2399" s="2"/>
      <c r="C2399" s="2"/>
      <c r="D2399" s="2"/>
      <c r="E2399" s="2"/>
      <c r="F2399" s="2"/>
      <c r="G2399" s="1"/>
      <c r="H2399" s="1"/>
      <c r="I2399" s="7">
        <v>2.396</v>
      </c>
      <c r="J2399" s="7">
        <f>IF((I2399-ROUNDDOWN(I2399,0))=0, 0, (I2399-ROUNDDOWN(I2399,0)))</f>
      </c>
      <c r="K2399" s="7">
        <f>INDIRECT("C$"&amp;2+MIN(2,ROUNDDOWN(I2399,0))*3)*(-$J2399^3+3*$J2399^2-3*$J2399+1)+INDIRECT("C$"&amp;3+MIN(2,ROUNDDOWN(I2399,0))*3)*(3*$J2399^3-6*$J2399^2+3*$J2399)+INDIRECT("C$"&amp;4+MIN(2,ROUNDDOWN(I2399,0))*3)*(-3*$J2399^3+3*$J2399^2)+INDIRECT("C$"&amp;5+MIN(2,ROUNDDOWN(I2399,0))*3)*$J2399^3</f>
      </c>
      <c r="L2399" s="7">
        <f>INDIRECT("D$"&amp;2+MIN(2,ROUNDDOWN(I2399,0))*3)*(-$J2399^3+3*$J2399^2-3*$J2399+1)+INDIRECT("D$"&amp;3+MIN(2,ROUNDDOWN(I2399,0))*3)*(3*$J2399^3-6*$J2399^2+3*$J2399)+INDIRECT("D$"&amp;4+MIN(2,ROUNDDOWN(I2399,0))*3)*(-3*$J2399^3+3*$J2399^2)+INDIRECT("D$"&amp;5+MIN(2,ROUNDDOWN(I2399,0))*3)*$J2399^3</f>
      </c>
      <c r="M2399" s="7">
        <f>SQRT(K2399^2+L2399^2)</f>
      </c>
      <c r="N2399" s="7">
        <f>(K2400-K2398)</f>
      </c>
      <c r="O2399" s="7">
        <f>+(L2400-L2398)</f>
      </c>
      <c r="P2399" s="7">
        <f>SQRT(O2399^2+N2399^2)</f>
      </c>
      <c r="Q2399" s="7">
        <f>N2399/$P2399</f>
      </c>
      <c r="R2399" s="7">
        <f>O2399/$P2399</f>
      </c>
      <c r="S2399" s="8">
        <f>Q2399^2+R2399^2</f>
      </c>
      <c r="T2399" s="7">
        <f>-R2399</f>
      </c>
      <c r="U2399" s="7">
        <f>Q2399</f>
      </c>
      <c r="V2399" s="7">
        <f>($C$14+($C$15-$C$14)/($D$15-$D$14)*(I2399-$D$14))/2</f>
      </c>
      <c r="W2399" s="7">
        <f>($B$22*I2399^4+$C$22*I2399^3+$D$22*I2399^2+$E$22*I2399+$F$22)/2</f>
      </c>
      <c r="X2399" s="7">
        <f>($W2399)*(T2399)</f>
      </c>
      <c r="Y2399" s="7">
        <f>($W2399)*(U2399)</f>
      </c>
      <c r="Z2399" s="7">
        <f>SQRT(X2399^2+Y2399^2)</f>
      </c>
      <c r="AA2399" s="7">
        <f>$K2399+$X2399</f>
      </c>
      <c r="AB2399" s="7">
        <f>$L2399+$Y2399</f>
      </c>
      <c r="AC2399" s="7">
        <f>$K2399-$X2399</f>
      </c>
      <c r="AD2399" s="7">
        <f>$L2399-$Y2399</f>
      </c>
      <c r="AE2399" s="7">
        <f>AA2399/39.3701</f>
      </c>
      <c r="AF2399" s="7">
        <f>AB2399/39.3701</f>
      </c>
      <c r="AG2399" s="7">
        <f>AC2399/39.3701</f>
      </c>
      <c r="AH2399" s="7">
        <f>AD2399/39.3701</f>
      </c>
      <c r="AI2399" s="1"/>
      <c r="AJ2399" s="1"/>
      <c r="AK2399" s="1"/>
      <c r="AL2399" s="1"/>
      <c r="AM2399" s="2"/>
      <c r="AN2399" s="1"/>
      <c r="AO2399" s="1"/>
      <c r="AP2399" s="1"/>
      <c r="AQ2399" s="1"/>
      <c r="AR2399" s="1"/>
      <c r="AS2399" s="1"/>
      <c r="AT2399" s="1"/>
      <c r="AU2399" s="1"/>
      <c r="AV2399" s="1"/>
      <c r="AW2399" s="1"/>
      <c r="AX2399" s="1"/>
      <c r="AY2399" s="1"/>
      <c r="AZ2399" s="1"/>
      <c r="BA2399" s="1"/>
      <c r="BB2399" s="1"/>
      <c r="BC2399" s="1"/>
      <c r="BD2399" s="1"/>
      <c r="BE2399" s="1"/>
    </row>
    <row x14ac:dyDescent="0.25" r="2400" customHeight="1" ht="18.75">
      <c r="A2400" s="1"/>
      <c r="B2400" s="2"/>
      <c r="C2400" s="2"/>
      <c r="D2400" s="2"/>
      <c r="E2400" s="2"/>
      <c r="F2400" s="2"/>
      <c r="G2400" s="1"/>
      <c r="H2400" s="1"/>
      <c r="I2400" s="7">
        <v>2.397</v>
      </c>
      <c r="J2400" s="7">
        <f>IF((I2400-ROUNDDOWN(I2400,0))=0, 0, (I2400-ROUNDDOWN(I2400,0)))</f>
      </c>
      <c r="K2400" s="7">
        <f>INDIRECT("C$"&amp;2+MIN(2,ROUNDDOWN(I2400,0))*3)*(-$J2400^3+3*$J2400^2-3*$J2400+1)+INDIRECT("C$"&amp;3+MIN(2,ROUNDDOWN(I2400,0))*3)*(3*$J2400^3-6*$J2400^2+3*$J2400)+INDIRECT("C$"&amp;4+MIN(2,ROUNDDOWN(I2400,0))*3)*(-3*$J2400^3+3*$J2400^2)+INDIRECT("C$"&amp;5+MIN(2,ROUNDDOWN(I2400,0))*3)*$J2400^3</f>
      </c>
      <c r="L2400" s="7">
        <f>INDIRECT("D$"&amp;2+MIN(2,ROUNDDOWN(I2400,0))*3)*(-$J2400^3+3*$J2400^2-3*$J2400+1)+INDIRECT("D$"&amp;3+MIN(2,ROUNDDOWN(I2400,0))*3)*(3*$J2400^3-6*$J2400^2+3*$J2400)+INDIRECT("D$"&amp;4+MIN(2,ROUNDDOWN(I2400,0))*3)*(-3*$J2400^3+3*$J2400^2)+INDIRECT("D$"&amp;5+MIN(2,ROUNDDOWN(I2400,0))*3)*$J2400^3</f>
      </c>
      <c r="M2400" s="7">
        <f>SQRT(K2400^2+L2400^2)</f>
      </c>
      <c r="N2400" s="7">
        <f>(K2401-K2399)</f>
      </c>
      <c r="O2400" s="7">
        <f>+(L2401-L2399)</f>
      </c>
      <c r="P2400" s="7">
        <f>SQRT(O2400^2+N2400^2)</f>
      </c>
      <c r="Q2400" s="7">
        <f>N2400/$P2400</f>
      </c>
      <c r="R2400" s="7">
        <f>O2400/$P2400</f>
      </c>
      <c r="S2400" s="8">
        <f>Q2400^2+R2400^2</f>
      </c>
      <c r="T2400" s="7">
        <f>-R2400</f>
      </c>
      <c r="U2400" s="7">
        <f>Q2400</f>
      </c>
      <c r="V2400" s="7">
        <f>($C$14+($C$15-$C$14)/($D$15-$D$14)*(I2400-$D$14))/2</f>
      </c>
      <c r="W2400" s="7">
        <f>($B$22*I2400^4+$C$22*I2400^3+$D$22*I2400^2+$E$22*I2400+$F$22)/2</f>
      </c>
      <c r="X2400" s="7">
        <f>($W2400)*(T2400)</f>
      </c>
      <c r="Y2400" s="7">
        <f>($W2400)*(U2400)</f>
      </c>
      <c r="Z2400" s="7">
        <f>SQRT(X2400^2+Y2400^2)</f>
      </c>
      <c r="AA2400" s="7">
        <f>$K2400+$X2400</f>
      </c>
      <c r="AB2400" s="7">
        <f>$L2400+$Y2400</f>
      </c>
      <c r="AC2400" s="7">
        <f>$K2400-$X2400</f>
      </c>
      <c r="AD2400" s="7">
        <f>$L2400-$Y2400</f>
      </c>
      <c r="AE2400" s="7">
        <f>AA2400/39.3701</f>
      </c>
      <c r="AF2400" s="7">
        <f>AB2400/39.3701</f>
      </c>
      <c r="AG2400" s="7">
        <f>AC2400/39.3701</f>
      </c>
      <c r="AH2400" s="7">
        <f>AD2400/39.3701</f>
      </c>
      <c r="AI2400" s="1"/>
      <c r="AJ2400" s="1"/>
      <c r="AK2400" s="1"/>
      <c r="AL2400" s="1"/>
      <c r="AM2400" s="2"/>
      <c r="AN2400" s="1"/>
      <c r="AO2400" s="1"/>
      <c r="AP2400" s="1"/>
      <c r="AQ2400" s="1"/>
      <c r="AR2400" s="1"/>
      <c r="AS2400" s="1"/>
      <c r="AT2400" s="1"/>
      <c r="AU2400" s="1"/>
      <c r="AV2400" s="1"/>
      <c r="AW2400" s="1"/>
      <c r="AX2400" s="1"/>
      <c r="AY2400" s="1"/>
      <c r="AZ2400" s="1"/>
      <c r="BA2400" s="1"/>
      <c r="BB2400" s="1"/>
      <c r="BC2400" s="1"/>
      <c r="BD2400" s="1"/>
      <c r="BE2400" s="1"/>
    </row>
    <row x14ac:dyDescent="0.25" r="2401" customHeight="1" ht="18.75">
      <c r="A2401" s="1"/>
      <c r="B2401" s="2"/>
      <c r="C2401" s="2"/>
      <c r="D2401" s="2"/>
      <c r="E2401" s="2"/>
      <c r="F2401" s="2"/>
      <c r="G2401" s="1"/>
      <c r="H2401" s="1"/>
      <c r="I2401" s="7">
        <v>2.398</v>
      </c>
      <c r="J2401" s="7">
        <f>IF((I2401-ROUNDDOWN(I2401,0))=0, 0, (I2401-ROUNDDOWN(I2401,0)))</f>
      </c>
      <c r="K2401" s="7">
        <f>INDIRECT("C$"&amp;2+MIN(2,ROUNDDOWN(I2401,0))*3)*(-$J2401^3+3*$J2401^2-3*$J2401+1)+INDIRECT("C$"&amp;3+MIN(2,ROUNDDOWN(I2401,0))*3)*(3*$J2401^3-6*$J2401^2+3*$J2401)+INDIRECT("C$"&amp;4+MIN(2,ROUNDDOWN(I2401,0))*3)*(-3*$J2401^3+3*$J2401^2)+INDIRECT("C$"&amp;5+MIN(2,ROUNDDOWN(I2401,0))*3)*$J2401^3</f>
      </c>
      <c r="L2401" s="7">
        <f>INDIRECT("D$"&amp;2+MIN(2,ROUNDDOWN(I2401,0))*3)*(-$J2401^3+3*$J2401^2-3*$J2401+1)+INDIRECT("D$"&amp;3+MIN(2,ROUNDDOWN(I2401,0))*3)*(3*$J2401^3-6*$J2401^2+3*$J2401)+INDIRECT("D$"&amp;4+MIN(2,ROUNDDOWN(I2401,0))*3)*(-3*$J2401^3+3*$J2401^2)+INDIRECT("D$"&amp;5+MIN(2,ROUNDDOWN(I2401,0))*3)*$J2401^3</f>
      </c>
      <c r="M2401" s="7">
        <f>SQRT(K2401^2+L2401^2)</f>
      </c>
      <c r="N2401" s="7">
        <f>(K2402-K2400)</f>
      </c>
      <c r="O2401" s="7">
        <f>+(L2402-L2400)</f>
      </c>
      <c r="P2401" s="7">
        <f>SQRT(O2401^2+N2401^2)</f>
      </c>
      <c r="Q2401" s="7">
        <f>N2401/$P2401</f>
      </c>
      <c r="R2401" s="7">
        <f>O2401/$P2401</f>
      </c>
      <c r="S2401" s="7">
        <f>Q2401^2+R2401^2</f>
      </c>
      <c r="T2401" s="7">
        <f>-R2401</f>
      </c>
      <c r="U2401" s="7">
        <f>Q2401</f>
      </c>
      <c r="V2401" s="7">
        <f>($C$14+($C$15-$C$14)/($D$15-$D$14)*(I2401-$D$14))/2</f>
      </c>
      <c r="W2401" s="7">
        <f>($B$22*I2401^4+$C$22*I2401^3+$D$22*I2401^2+$E$22*I2401+$F$22)/2</f>
      </c>
      <c r="X2401" s="7">
        <f>($W2401)*(T2401)</f>
      </c>
      <c r="Y2401" s="7">
        <f>($W2401)*(U2401)</f>
      </c>
      <c r="Z2401" s="7">
        <f>SQRT(X2401^2+Y2401^2)</f>
      </c>
      <c r="AA2401" s="7">
        <f>$K2401+$X2401</f>
      </c>
      <c r="AB2401" s="7">
        <f>$L2401+$Y2401</f>
      </c>
      <c r="AC2401" s="7">
        <f>$K2401-$X2401</f>
      </c>
      <c r="AD2401" s="7">
        <f>$L2401-$Y2401</f>
      </c>
      <c r="AE2401" s="7">
        <f>AA2401/39.3701</f>
      </c>
      <c r="AF2401" s="7">
        <f>AB2401/39.3701</f>
      </c>
      <c r="AG2401" s="7">
        <f>AC2401/39.3701</f>
      </c>
      <c r="AH2401" s="7">
        <f>AD2401/39.3701</f>
      </c>
      <c r="AI2401" s="1"/>
      <c r="AJ2401" s="1"/>
      <c r="AK2401" s="1"/>
      <c r="AL2401" s="1"/>
      <c r="AM2401" s="2"/>
      <c r="AN2401" s="1"/>
      <c r="AO2401" s="1"/>
      <c r="AP2401" s="1"/>
      <c r="AQ2401" s="1"/>
      <c r="AR2401" s="1"/>
      <c r="AS2401" s="1"/>
      <c r="AT2401" s="1"/>
      <c r="AU2401" s="1"/>
      <c r="AV2401" s="1"/>
      <c r="AW2401" s="1"/>
      <c r="AX2401" s="1"/>
      <c r="AY2401" s="1"/>
      <c r="AZ2401" s="1"/>
      <c r="BA2401" s="1"/>
      <c r="BB2401" s="1"/>
      <c r="BC2401" s="1"/>
      <c r="BD2401" s="1"/>
      <c r="BE2401" s="1"/>
    </row>
    <row x14ac:dyDescent="0.25" r="2402" customHeight="1" ht="18.75">
      <c r="A2402" s="1"/>
      <c r="B2402" s="2"/>
      <c r="C2402" s="2"/>
      <c r="D2402" s="2"/>
      <c r="E2402" s="2"/>
      <c r="F2402" s="2"/>
      <c r="G2402" s="1"/>
      <c r="H2402" s="1"/>
      <c r="I2402" s="7">
        <v>2.399</v>
      </c>
      <c r="J2402" s="7">
        <f>IF((I2402-ROUNDDOWN(I2402,0))=0, 0, (I2402-ROUNDDOWN(I2402,0)))</f>
      </c>
      <c r="K2402" s="7">
        <f>INDIRECT("C$"&amp;2+MIN(2,ROUNDDOWN(I2402,0))*3)*(-$J2402^3+3*$J2402^2-3*$J2402+1)+INDIRECT("C$"&amp;3+MIN(2,ROUNDDOWN(I2402,0))*3)*(3*$J2402^3-6*$J2402^2+3*$J2402)+INDIRECT("C$"&amp;4+MIN(2,ROUNDDOWN(I2402,0))*3)*(-3*$J2402^3+3*$J2402^2)+INDIRECT("C$"&amp;5+MIN(2,ROUNDDOWN(I2402,0))*3)*$J2402^3</f>
      </c>
      <c r="L2402" s="7">
        <f>INDIRECT("D$"&amp;2+MIN(2,ROUNDDOWN(I2402,0))*3)*(-$J2402^3+3*$J2402^2-3*$J2402+1)+INDIRECT("D$"&amp;3+MIN(2,ROUNDDOWN(I2402,0))*3)*(3*$J2402^3-6*$J2402^2+3*$J2402)+INDIRECT("D$"&amp;4+MIN(2,ROUNDDOWN(I2402,0))*3)*(-3*$J2402^3+3*$J2402^2)+INDIRECT("D$"&amp;5+MIN(2,ROUNDDOWN(I2402,0))*3)*$J2402^3</f>
      </c>
      <c r="M2402" s="7">
        <f>SQRT(K2402^2+L2402^2)</f>
      </c>
      <c r="N2402" s="7">
        <f>(K2403-K2401)</f>
      </c>
      <c r="O2402" s="7">
        <f>+(L2403-L2401)</f>
      </c>
      <c r="P2402" s="7">
        <f>SQRT(O2402^2+N2402^2)</f>
      </c>
      <c r="Q2402" s="7">
        <f>N2402/$P2402</f>
      </c>
      <c r="R2402" s="7">
        <f>O2402/$P2402</f>
      </c>
      <c r="S2402" s="8">
        <f>Q2402^2+R2402^2</f>
      </c>
      <c r="T2402" s="7">
        <f>-R2402</f>
      </c>
      <c r="U2402" s="7">
        <f>Q2402</f>
      </c>
      <c r="V2402" s="7">
        <f>($C$14+($C$15-$C$14)/($D$15-$D$14)*(I2402-$D$14))/2</f>
      </c>
      <c r="W2402" s="7">
        <f>($B$22*I2402^4+$C$22*I2402^3+$D$22*I2402^2+$E$22*I2402+$F$22)/2</f>
      </c>
      <c r="X2402" s="7">
        <f>($W2402)*(T2402)</f>
      </c>
      <c r="Y2402" s="7">
        <f>($W2402)*(U2402)</f>
      </c>
      <c r="Z2402" s="7">
        <f>SQRT(X2402^2+Y2402^2)</f>
      </c>
      <c r="AA2402" s="7">
        <f>$K2402+$X2402</f>
      </c>
      <c r="AB2402" s="7">
        <f>$L2402+$Y2402</f>
      </c>
      <c r="AC2402" s="7">
        <f>$K2402-$X2402</f>
      </c>
      <c r="AD2402" s="7">
        <f>$L2402-$Y2402</f>
      </c>
      <c r="AE2402" s="7">
        <f>AA2402/39.3701</f>
      </c>
      <c r="AF2402" s="7">
        <f>AB2402/39.3701</f>
      </c>
      <c r="AG2402" s="7">
        <f>AC2402/39.3701</f>
      </c>
      <c r="AH2402" s="7">
        <f>AD2402/39.3701</f>
      </c>
      <c r="AI2402" s="1"/>
      <c r="AJ2402" s="1"/>
      <c r="AK2402" s="1"/>
      <c r="AL2402" s="1"/>
      <c r="AM2402" s="2"/>
      <c r="AN2402" s="1"/>
      <c r="AO2402" s="1"/>
      <c r="AP2402" s="1"/>
      <c r="AQ2402" s="1"/>
      <c r="AR2402" s="1"/>
      <c r="AS2402" s="1"/>
      <c r="AT2402" s="1"/>
      <c r="AU2402" s="1"/>
      <c r="AV2402" s="1"/>
      <c r="AW2402" s="1"/>
      <c r="AX2402" s="1"/>
      <c r="AY2402" s="1"/>
      <c r="AZ2402" s="1"/>
      <c r="BA2402" s="1"/>
      <c r="BB2402" s="1"/>
      <c r="BC2402" s="1"/>
      <c r="BD2402" s="1"/>
      <c r="BE2402" s="1"/>
    </row>
    <row x14ac:dyDescent="0.25" r="2403" customHeight="1" ht="18.75">
      <c r="A2403" s="1"/>
      <c r="B2403" s="2"/>
      <c r="C2403" s="2"/>
      <c r="D2403" s="2"/>
      <c r="E2403" s="2"/>
      <c r="F2403" s="2"/>
      <c r="G2403" s="1"/>
      <c r="H2403" s="1"/>
      <c r="I2403" s="7">
        <v>2.4</v>
      </c>
      <c r="J2403" s="7">
        <f>IF((I2403-ROUNDDOWN(I2403,0))=0, 0, (I2403-ROUNDDOWN(I2403,0)))</f>
      </c>
      <c r="K2403" s="7">
        <f>INDIRECT("C$"&amp;2+MIN(2,ROUNDDOWN(I2403,0))*3)*(-$J2403^3+3*$J2403^2-3*$J2403+1)+INDIRECT("C$"&amp;3+MIN(2,ROUNDDOWN(I2403,0))*3)*(3*$J2403^3-6*$J2403^2+3*$J2403)+INDIRECT("C$"&amp;4+MIN(2,ROUNDDOWN(I2403,0))*3)*(-3*$J2403^3+3*$J2403^2)+INDIRECT("C$"&amp;5+MIN(2,ROUNDDOWN(I2403,0))*3)*$J2403^3</f>
      </c>
      <c r="L2403" s="7">
        <f>INDIRECT("D$"&amp;2+MIN(2,ROUNDDOWN(I2403,0))*3)*(-$J2403^3+3*$J2403^2-3*$J2403+1)+INDIRECT("D$"&amp;3+MIN(2,ROUNDDOWN(I2403,0))*3)*(3*$J2403^3-6*$J2403^2+3*$J2403)+INDIRECT("D$"&amp;4+MIN(2,ROUNDDOWN(I2403,0))*3)*(-3*$J2403^3+3*$J2403^2)+INDIRECT("D$"&amp;5+MIN(2,ROUNDDOWN(I2403,0))*3)*$J2403^3</f>
      </c>
      <c r="M2403" s="7">
        <f>SQRT(K2403^2+L2403^2)</f>
      </c>
      <c r="N2403" s="7">
        <f>(K2404-K2402)</f>
      </c>
      <c r="O2403" s="7">
        <f>+(L2404-L2402)</f>
      </c>
      <c r="P2403" s="7">
        <f>SQRT(O2403^2+N2403^2)</f>
      </c>
      <c r="Q2403" s="7">
        <f>N2403/$P2403</f>
      </c>
      <c r="R2403" s="7">
        <f>O2403/$P2403</f>
      </c>
      <c r="S2403" s="8">
        <f>Q2403^2+R2403^2</f>
      </c>
      <c r="T2403" s="7">
        <f>-R2403</f>
      </c>
      <c r="U2403" s="7">
        <f>Q2403</f>
      </c>
      <c r="V2403" s="7">
        <f>($C$14+($C$15-$C$14)/($D$15-$D$14)*(I2403-$D$14))/2</f>
      </c>
      <c r="W2403" s="7">
        <f>($B$22*I2403^4+$C$22*I2403^3+$D$22*I2403^2+$E$22*I2403+$F$22)/2</f>
      </c>
      <c r="X2403" s="7">
        <f>($W2403)*(T2403)</f>
      </c>
      <c r="Y2403" s="7">
        <f>($W2403)*(U2403)</f>
      </c>
      <c r="Z2403" s="7">
        <f>SQRT(X2403^2+Y2403^2)</f>
      </c>
      <c r="AA2403" s="7">
        <f>$K2403+$X2403</f>
      </c>
      <c r="AB2403" s="7">
        <f>$L2403+$Y2403</f>
      </c>
      <c r="AC2403" s="7">
        <f>$K2403-$X2403</f>
      </c>
      <c r="AD2403" s="7">
        <f>$L2403-$Y2403</f>
      </c>
      <c r="AE2403" s="7">
        <f>AA2403/39.3701</f>
      </c>
      <c r="AF2403" s="7">
        <f>AB2403/39.3701</f>
      </c>
      <c r="AG2403" s="7">
        <f>AC2403/39.3701</f>
      </c>
      <c r="AH2403" s="7">
        <f>AD2403/39.3701</f>
      </c>
      <c r="AI2403" s="1"/>
      <c r="AJ2403" s="1"/>
      <c r="AK2403" s="1"/>
      <c r="AL2403" s="1"/>
      <c r="AM2403" s="2"/>
      <c r="AN2403" s="1"/>
      <c r="AO2403" s="1"/>
      <c r="AP2403" s="1"/>
      <c r="AQ2403" s="1"/>
      <c r="AR2403" s="1"/>
      <c r="AS2403" s="1"/>
      <c r="AT2403" s="1"/>
      <c r="AU2403" s="1"/>
      <c r="AV2403" s="1"/>
      <c r="AW2403" s="1"/>
      <c r="AX2403" s="1"/>
      <c r="AY2403" s="1"/>
      <c r="AZ2403" s="1"/>
      <c r="BA2403" s="1"/>
      <c r="BB2403" s="1"/>
      <c r="BC2403" s="1"/>
      <c r="BD2403" s="1"/>
      <c r="BE2403" s="1"/>
    </row>
    <row x14ac:dyDescent="0.25" r="2404" customHeight="1" ht="18.75">
      <c r="A2404" s="1"/>
      <c r="B2404" s="2"/>
      <c r="C2404" s="2"/>
      <c r="D2404" s="2"/>
      <c r="E2404" s="2"/>
      <c r="F2404" s="2"/>
      <c r="G2404" s="1"/>
      <c r="H2404" s="1"/>
      <c r="I2404" s="7">
        <v>2.401</v>
      </c>
      <c r="J2404" s="7">
        <f>IF((I2404-ROUNDDOWN(I2404,0))=0, 0, (I2404-ROUNDDOWN(I2404,0)))</f>
      </c>
      <c r="K2404" s="7">
        <f>INDIRECT("C$"&amp;2+MIN(2,ROUNDDOWN(I2404,0))*3)*(-$J2404^3+3*$J2404^2-3*$J2404+1)+INDIRECT("C$"&amp;3+MIN(2,ROUNDDOWN(I2404,0))*3)*(3*$J2404^3-6*$J2404^2+3*$J2404)+INDIRECT("C$"&amp;4+MIN(2,ROUNDDOWN(I2404,0))*3)*(-3*$J2404^3+3*$J2404^2)+INDIRECT("C$"&amp;5+MIN(2,ROUNDDOWN(I2404,0))*3)*$J2404^3</f>
      </c>
      <c r="L2404" s="7">
        <f>INDIRECT("D$"&amp;2+MIN(2,ROUNDDOWN(I2404,0))*3)*(-$J2404^3+3*$J2404^2-3*$J2404+1)+INDIRECT("D$"&amp;3+MIN(2,ROUNDDOWN(I2404,0))*3)*(3*$J2404^3-6*$J2404^2+3*$J2404)+INDIRECT("D$"&amp;4+MIN(2,ROUNDDOWN(I2404,0))*3)*(-3*$J2404^3+3*$J2404^2)+INDIRECT("D$"&amp;5+MIN(2,ROUNDDOWN(I2404,0))*3)*$J2404^3</f>
      </c>
      <c r="M2404" s="7">
        <f>SQRT(K2404^2+L2404^2)</f>
      </c>
      <c r="N2404" s="7">
        <f>(K2405-K2403)</f>
      </c>
      <c r="O2404" s="7">
        <f>+(L2405-L2403)</f>
      </c>
      <c r="P2404" s="7">
        <f>SQRT(O2404^2+N2404^2)</f>
      </c>
      <c r="Q2404" s="7">
        <f>N2404/$P2404</f>
      </c>
      <c r="R2404" s="7">
        <f>O2404/$P2404</f>
      </c>
      <c r="S2404" s="7">
        <f>Q2404^2+R2404^2</f>
      </c>
      <c r="T2404" s="7">
        <f>-R2404</f>
      </c>
      <c r="U2404" s="7">
        <f>Q2404</f>
      </c>
      <c r="V2404" s="7">
        <f>($C$14+($C$15-$C$14)/($D$15-$D$14)*(I2404-$D$14))/2</f>
      </c>
      <c r="W2404" s="7">
        <f>($B$22*I2404^4+$C$22*I2404^3+$D$22*I2404^2+$E$22*I2404+$F$22)/2</f>
      </c>
      <c r="X2404" s="7">
        <f>($W2404)*(T2404)</f>
      </c>
      <c r="Y2404" s="7">
        <f>($W2404)*(U2404)</f>
      </c>
      <c r="Z2404" s="7">
        <f>SQRT(X2404^2+Y2404^2)</f>
      </c>
      <c r="AA2404" s="7">
        <f>$K2404+$X2404</f>
      </c>
      <c r="AB2404" s="7">
        <f>$L2404+$Y2404</f>
      </c>
      <c r="AC2404" s="7">
        <f>$K2404-$X2404</f>
      </c>
      <c r="AD2404" s="7">
        <f>$L2404-$Y2404</f>
      </c>
      <c r="AE2404" s="7">
        <f>AA2404/39.3701</f>
      </c>
      <c r="AF2404" s="7">
        <f>AB2404/39.3701</f>
      </c>
      <c r="AG2404" s="7">
        <f>AC2404/39.3701</f>
      </c>
      <c r="AH2404" s="7">
        <f>AD2404/39.3701</f>
      </c>
      <c r="AI2404" s="1"/>
      <c r="AJ2404" s="1"/>
      <c r="AK2404" s="1"/>
      <c r="AL2404" s="1"/>
      <c r="AM2404" s="2"/>
      <c r="AN2404" s="1"/>
      <c r="AO2404" s="1"/>
      <c r="AP2404" s="1"/>
      <c r="AQ2404" s="1"/>
      <c r="AR2404" s="1"/>
      <c r="AS2404" s="1"/>
      <c r="AT2404" s="1"/>
      <c r="AU2404" s="1"/>
      <c r="AV2404" s="1"/>
      <c r="AW2404" s="1"/>
      <c r="AX2404" s="1"/>
      <c r="AY2404" s="1"/>
      <c r="AZ2404" s="1"/>
      <c r="BA2404" s="1"/>
      <c r="BB2404" s="1"/>
      <c r="BC2404" s="1"/>
      <c r="BD2404" s="1"/>
      <c r="BE2404" s="1"/>
    </row>
    <row x14ac:dyDescent="0.25" r="2405" customHeight="1" ht="18.75">
      <c r="A2405" s="1"/>
      <c r="B2405" s="2"/>
      <c r="C2405" s="2"/>
      <c r="D2405" s="2"/>
      <c r="E2405" s="2"/>
      <c r="F2405" s="2"/>
      <c r="G2405" s="1"/>
      <c r="H2405" s="1"/>
      <c r="I2405" s="7">
        <v>2.402</v>
      </c>
      <c r="J2405" s="7">
        <f>IF((I2405-ROUNDDOWN(I2405,0))=0, 0, (I2405-ROUNDDOWN(I2405,0)))</f>
      </c>
      <c r="K2405" s="7">
        <f>INDIRECT("C$"&amp;2+MIN(2,ROUNDDOWN(I2405,0))*3)*(-$J2405^3+3*$J2405^2-3*$J2405+1)+INDIRECT("C$"&amp;3+MIN(2,ROUNDDOWN(I2405,0))*3)*(3*$J2405^3-6*$J2405^2+3*$J2405)+INDIRECT("C$"&amp;4+MIN(2,ROUNDDOWN(I2405,0))*3)*(-3*$J2405^3+3*$J2405^2)+INDIRECT("C$"&amp;5+MIN(2,ROUNDDOWN(I2405,0))*3)*$J2405^3</f>
      </c>
      <c r="L2405" s="7">
        <f>INDIRECT("D$"&amp;2+MIN(2,ROUNDDOWN(I2405,0))*3)*(-$J2405^3+3*$J2405^2-3*$J2405+1)+INDIRECT("D$"&amp;3+MIN(2,ROUNDDOWN(I2405,0))*3)*(3*$J2405^3-6*$J2405^2+3*$J2405)+INDIRECT("D$"&amp;4+MIN(2,ROUNDDOWN(I2405,0))*3)*(-3*$J2405^3+3*$J2405^2)+INDIRECT("D$"&amp;5+MIN(2,ROUNDDOWN(I2405,0))*3)*$J2405^3</f>
      </c>
      <c r="M2405" s="7">
        <f>SQRT(K2405^2+L2405^2)</f>
      </c>
      <c r="N2405" s="7">
        <f>(K2406-K2404)</f>
      </c>
      <c r="O2405" s="7">
        <f>+(L2406-L2404)</f>
      </c>
      <c r="P2405" s="7">
        <f>SQRT(O2405^2+N2405^2)</f>
      </c>
      <c r="Q2405" s="7">
        <f>N2405/$P2405</f>
      </c>
      <c r="R2405" s="7">
        <f>O2405/$P2405</f>
      </c>
      <c r="S2405" s="7">
        <f>Q2405^2+R2405^2</f>
      </c>
      <c r="T2405" s="7">
        <f>-R2405</f>
      </c>
      <c r="U2405" s="7">
        <f>Q2405</f>
      </c>
      <c r="V2405" s="7">
        <f>($C$14+($C$15-$C$14)/($D$15-$D$14)*(I2405-$D$14))/2</f>
      </c>
      <c r="W2405" s="7">
        <f>($B$22*I2405^4+$C$22*I2405^3+$D$22*I2405^2+$E$22*I2405+$F$22)/2</f>
      </c>
      <c r="X2405" s="7">
        <f>($W2405)*(T2405)</f>
      </c>
      <c r="Y2405" s="7">
        <f>($W2405)*(U2405)</f>
      </c>
      <c r="Z2405" s="7">
        <f>SQRT(X2405^2+Y2405^2)</f>
      </c>
      <c r="AA2405" s="7">
        <f>$K2405+$X2405</f>
      </c>
      <c r="AB2405" s="7">
        <f>$L2405+$Y2405</f>
      </c>
      <c r="AC2405" s="7">
        <f>$K2405-$X2405</f>
      </c>
      <c r="AD2405" s="7">
        <f>$L2405-$Y2405</f>
      </c>
      <c r="AE2405" s="7">
        <f>AA2405/39.3701</f>
      </c>
      <c r="AF2405" s="7">
        <f>AB2405/39.3701</f>
      </c>
      <c r="AG2405" s="7">
        <f>AC2405/39.3701</f>
      </c>
      <c r="AH2405" s="7">
        <f>AD2405/39.3701</f>
      </c>
      <c r="AI2405" s="1"/>
      <c r="AJ2405" s="1"/>
      <c r="AK2405" s="1"/>
      <c r="AL2405" s="1"/>
      <c r="AM2405" s="2"/>
      <c r="AN2405" s="1"/>
      <c r="AO2405" s="1"/>
      <c r="AP2405" s="1"/>
      <c r="AQ2405" s="1"/>
      <c r="AR2405" s="1"/>
      <c r="AS2405" s="1"/>
      <c r="AT2405" s="1"/>
      <c r="AU2405" s="1"/>
      <c r="AV2405" s="1"/>
      <c r="AW2405" s="1"/>
      <c r="AX2405" s="1"/>
      <c r="AY2405" s="1"/>
      <c r="AZ2405" s="1"/>
      <c r="BA2405" s="1"/>
      <c r="BB2405" s="1"/>
      <c r="BC2405" s="1"/>
      <c r="BD2405" s="1"/>
      <c r="BE2405" s="1"/>
    </row>
    <row x14ac:dyDescent="0.25" r="2406" customHeight="1" ht="18.75">
      <c r="A2406" s="1"/>
      <c r="B2406" s="2"/>
      <c r="C2406" s="2"/>
      <c r="D2406" s="2"/>
      <c r="E2406" s="2"/>
      <c r="F2406" s="2"/>
      <c r="G2406" s="1"/>
      <c r="H2406" s="1"/>
      <c r="I2406" s="7">
        <v>2.403</v>
      </c>
      <c r="J2406" s="7">
        <f>IF((I2406-ROUNDDOWN(I2406,0))=0, 0, (I2406-ROUNDDOWN(I2406,0)))</f>
      </c>
      <c r="K2406" s="7">
        <f>INDIRECT("C$"&amp;2+MIN(2,ROUNDDOWN(I2406,0))*3)*(-$J2406^3+3*$J2406^2-3*$J2406+1)+INDIRECT("C$"&amp;3+MIN(2,ROUNDDOWN(I2406,0))*3)*(3*$J2406^3-6*$J2406^2+3*$J2406)+INDIRECT("C$"&amp;4+MIN(2,ROUNDDOWN(I2406,0))*3)*(-3*$J2406^3+3*$J2406^2)+INDIRECT("C$"&amp;5+MIN(2,ROUNDDOWN(I2406,0))*3)*$J2406^3</f>
      </c>
      <c r="L2406" s="7">
        <f>INDIRECT("D$"&amp;2+MIN(2,ROUNDDOWN(I2406,0))*3)*(-$J2406^3+3*$J2406^2-3*$J2406+1)+INDIRECT("D$"&amp;3+MIN(2,ROUNDDOWN(I2406,0))*3)*(3*$J2406^3-6*$J2406^2+3*$J2406)+INDIRECT("D$"&amp;4+MIN(2,ROUNDDOWN(I2406,0))*3)*(-3*$J2406^3+3*$J2406^2)+INDIRECT("D$"&amp;5+MIN(2,ROUNDDOWN(I2406,0))*3)*$J2406^3</f>
      </c>
      <c r="M2406" s="7">
        <f>SQRT(K2406^2+L2406^2)</f>
      </c>
      <c r="N2406" s="7">
        <f>(K2407-K2405)</f>
      </c>
      <c r="O2406" s="7">
        <f>+(L2407-L2405)</f>
      </c>
      <c r="P2406" s="7">
        <f>SQRT(O2406^2+N2406^2)</f>
      </c>
      <c r="Q2406" s="7">
        <f>N2406/$P2406</f>
      </c>
      <c r="R2406" s="7">
        <f>O2406/$P2406</f>
      </c>
      <c r="S2406" s="7">
        <f>Q2406^2+R2406^2</f>
      </c>
      <c r="T2406" s="7">
        <f>-R2406</f>
      </c>
      <c r="U2406" s="7">
        <f>Q2406</f>
      </c>
      <c r="V2406" s="7">
        <f>($C$14+($C$15-$C$14)/($D$15-$D$14)*(I2406-$D$14))/2</f>
      </c>
      <c r="W2406" s="7">
        <f>($B$22*I2406^4+$C$22*I2406^3+$D$22*I2406^2+$E$22*I2406+$F$22)/2</f>
      </c>
      <c r="X2406" s="7">
        <f>($W2406)*(T2406)</f>
      </c>
      <c r="Y2406" s="7">
        <f>($W2406)*(U2406)</f>
      </c>
      <c r="Z2406" s="7">
        <f>SQRT(X2406^2+Y2406^2)</f>
      </c>
      <c r="AA2406" s="7">
        <f>$K2406+$X2406</f>
      </c>
      <c r="AB2406" s="7">
        <f>$L2406+$Y2406</f>
      </c>
      <c r="AC2406" s="7">
        <f>$K2406-$X2406</f>
      </c>
      <c r="AD2406" s="7">
        <f>$L2406-$Y2406</f>
      </c>
      <c r="AE2406" s="7">
        <f>AA2406/39.3701</f>
      </c>
      <c r="AF2406" s="7">
        <f>AB2406/39.3701</f>
      </c>
      <c r="AG2406" s="7">
        <f>AC2406/39.3701</f>
      </c>
      <c r="AH2406" s="7">
        <f>AD2406/39.3701</f>
      </c>
      <c r="AI2406" s="1"/>
      <c r="AJ2406" s="1"/>
      <c r="AK2406" s="1"/>
      <c r="AL2406" s="1"/>
      <c r="AM2406" s="2"/>
      <c r="AN2406" s="1"/>
      <c r="AO2406" s="1"/>
      <c r="AP2406" s="1"/>
      <c r="AQ2406" s="1"/>
      <c r="AR2406" s="1"/>
      <c r="AS2406" s="1"/>
      <c r="AT2406" s="1"/>
      <c r="AU2406" s="1"/>
      <c r="AV2406" s="1"/>
      <c r="AW2406" s="1"/>
      <c r="AX2406" s="1"/>
      <c r="AY2406" s="1"/>
      <c r="AZ2406" s="1"/>
      <c r="BA2406" s="1"/>
      <c r="BB2406" s="1"/>
      <c r="BC2406" s="1"/>
      <c r="BD2406" s="1"/>
      <c r="BE2406" s="1"/>
    </row>
    <row x14ac:dyDescent="0.25" r="2407" customHeight="1" ht="18.75">
      <c r="A2407" s="1"/>
      <c r="B2407" s="2"/>
      <c r="C2407" s="2"/>
      <c r="D2407" s="2"/>
      <c r="E2407" s="2"/>
      <c r="F2407" s="2"/>
      <c r="G2407" s="1"/>
      <c r="H2407" s="1"/>
      <c r="I2407" s="7">
        <v>2.404</v>
      </c>
      <c r="J2407" s="7">
        <f>IF((I2407-ROUNDDOWN(I2407,0))=0, 0, (I2407-ROUNDDOWN(I2407,0)))</f>
      </c>
      <c r="K2407" s="7">
        <f>INDIRECT("C$"&amp;2+MIN(2,ROUNDDOWN(I2407,0))*3)*(-$J2407^3+3*$J2407^2-3*$J2407+1)+INDIRECT("C$"&amp;3+MIN(2,ROUNDDOWN(I2407,0))*3)*(3*$J2407^3-6*$J2407^2+3*$J2407)+INDIRECT("C$"&amp;4+MIN(2,ROUNDDOWN(I2407,0))*3)*(-3*$J2407^3+3*$J2407^2)+INDIRECT("C$"&amp;5+MIN(2,ROUNDDOWN(I2407,0))*3)*$J2407^3</f>
      </c>
      <c r="L2407" s="7">
        <f>INDIRECT("D$"&amp;2+MIN(2,ROUNDDOWN(I2407,0))*3)*(-$J2407^3+3*$J2407^2-3*$J2407+1)+INDIRECT("D$"&amp;3+MIN(2,ROUNDDOWN(I2407,0))*3)*(3*$J2407^3-6*$J2407^2+3*$J2407)+INDIRECT("D$"&amp;4+MIN(2,ROUNDDOWN(I2407,0))*3)*(-3*$J2407^3+3*$J2407^2)+INDIRECT("D$"&amp;5+MIN(2,ROUNDDOWN(I2407,0))*3)*$J2407^3</f>
      </c>
      <c r="M2407" s="7">
        <f>SQRT(K2407^2+L2407^2)</f>
      </c>
      <c r="N2407" s="7">
        <f>(K2408-K2406)</f>
      </c>
      <c r="O2407" s="7">
        <f>+(L2408-L2406)</f>
      </c>
      <c r="P2407" s="7">
        <f>SQRT(O2407^2+N2407^2)</f>
      </c>
      <c r="Q2407" s="7">
        <f>N2407/$P2407</f>
      </c>
      <c r="R2407" s="7">
        <f>O2407/$P2407</f>
      </c>
      <c r="S2407" s="7">
        <f>Q2407^2+R2407^2</f>
      </c>
      <c r="T2407" s="7">
        <f>-R2407</f>
      </c>
      <c r="U2407" s="7">
        <f>Q2407</f>
      </c>
      <c r="V2407" s="7">
        <f>($C$14+($C$15-$C$14)/($D$15-$D$14)*(I2407-$D$14))/2</f>
      </c>
      <c r="W2407" s="7">
        <f>($B$22*I2407^4+$C$22*I2407^3+$D$22*I2407^2+$E$22*I2407+$F$22)/2</f>
      </c>
      <c r="X2407" s="7">
        <f>($W2407)*(T2407)</f>
      </c>
      <c r="Y2407" s="7">
        <f>($W2407)*(U2407)</f>
      </c>
      <c r="Z2407" s="7">
        <f>SQRT(X2407^2+Y2407^2)</f>
      </c>
      <c r="AA2407" s="7">
        <f>$K2407+$X2407</f>
      </c>
      <c r="AB2407" s="7">
        <f>$L2407+$Y2407</f>
      </c>
      <c r="AC2407" s="7">
        <f>$K2407-$X2407</f>
      </c>
      <c r="AD2407" s="7">
        <f>$L2407-$Y2407</f>
      </c>
      <c r="AE2407" s="7">
        <f>AA2407/39.3701</f>
      </c>
      <c r="AF2407" s="7">
        <f>AB2407/39.3701</f>
      </c>
      <c r="AG2407" s="7">
        <f>AC2407/39.3701</f>
      </c>
      <c r="AH2407" s="7">
        <f>AD2407/39.3701</f>
      </c>
      <c r="AI2407" s="1"/>
      <c r="AJ2407" s="1"/>
      <c r="AK2407" s="1"/>
      <c r="AL2407" s="1"/>
      <c r="AM2407" s="2"/>
      <c r="AN2407" s="1"/>
      <c r="AO2407" s="1"/>
      <c r="AP2407" s="1"/>
      <c r="AQ2407" s="1"/>
      <c r="AR2407" s="1"/>
      <c r="AS2407" s="1"/>
      <c r="AT2407" s="1"/>
      <c r="AU2407" s="1"/>
      <c r="AV2407" s="1"/>
      <c r="AW2407" s="1"/>
      <c r="AX2407" s="1"/>
      <c r="AY2407" s="1"/>
      <c r="AZ2407" s="1"/>
      <c r="BA2407" s="1"/>
      <c r="BB2407" s="1"/>
      <c r="BC2407" s="1"/>
      <c r="BD2407" s="1"/>
      <c r="BE2407" s="1"/>
    </row>
    <row x14ac:dyDescent="0.25" r="2408" customHeight="1" ht="18.75">
      <c r="A2408" s="1"/>
      <c r="B2408" s="2"/>
      <c r="C2408" s="2"/>
      <c r="D2408" s="2"/>
      <c r="E2408" s="2"/>
      <c r="F2408" s="2"/>
      <c r="G2408" s="1"/>
      <c r="H2408" s="1"/>
      <c r="I2408" s="7">
        <v>2.405</v>
      </c>
      <c r="J2408" s="7">
        <f>IF((I2408-ROUNDDOWN(I2408,0))=0, 0, (I2408-ROUNDDOWN(I2408,0)))</f>
      </c>
      <c r="K2408" s="7">
        <f>INDIRECT("C$"&amp;2+MIN(2,ROUNDDOWN(I2408,0))*3)*(-$J2408^3+3*$J2408^2-3*$J2408+1)+INDIRECT("C$"&amp;3+MIN(2,ROUNDDOWN(I2408,0))*3)*(3*$J2408^3-6*$J2408^2+3*$J2408)+INDIRECT("C$"&amp;4+MIN(2,ROUNDDOWN(I2408,0))*3)*(-3*$J2408^3+3*$J2408^2)+INDIRECT("C$"&amp;5+MIN(2,ROUNDDOWN(I2408,0))*3)*$J2408^3</f>
      </c>
      <c r="L2408" s="7">
        <f>INDIRECT("D$"&amp;2+MIN(2,ROUNDDOWN(I2408,0))*3)*(-$J2408^3+3*$J2408^2-3*$J2408+1)+INDIRECT("D$"&amp;3+MIN(2,ROUNDDOWN(I2408,0))*3)*(3*$J2408^3-6*$J2408^2+3*$J2408)+INDIRECT("D$"&amp;4+MIN(2,ROUNDDOWN(I2408,0))*3)*(-3*$J2408^3+3*$J2408^2)+INDIRECT("D$"&amp;5+MIN(2,ROUNDDOWN(I2408,0))*3)*$J2408^3</f>
      </c>
      <c r="M2408" s="7">
        <f>SQRT(K2408^2+L2408^2)</f>
      </c>
      <c r="N2408" s="7">
        <f>(K2409-K2407)</f>
      </c>
      <c r="O2408" s="7">
        <f>+(L2409-L2407)</f>
      </c>
      <c r="P2408" s="7">
        <f>SQRT(O2408^2+N2408^2)</f>
      </c>
      <c r="Q2408" s="7">
        <f>N2408/$P2408</f>
      </c>
      <c r="R2408" s="7">
        <f>O2408/$P2408</f>
      </c>
      <c r="S2408" s="8">
        <f>Q2408^2+R2408^2</f>
      </c>
      <c r="T2408" s="7">
        <f>-R2408</f>
      </c>
      <c r="U2408" s="7">
        <f>Q2408</f>
      </c>
      <c r="V2408" s="7">
        <f>($C$14+($C$15-$C$14)/($D$15-$D$14)*(I2408-$D$14))/2</f>
      </c>
      <c r="W2408" s="7">
        <f>($B$22*I2408^4+$C$22*I2408^3+$D$22*I2408^2+$E$22*I2408+$F$22)/2</f>
      </c>
      <c r="X2408" s="7">
        <f>($W2408)*(T2408)</f>
      </c>
      <c r="Y2408" s="7">
        <f>($W2408)*(U2408)</f>
      </c>
      <c r="Z2408" s="7">
        <f>SQRT(X2408^2+Y2408^2)</f>
      </c>
      <c r="AA2408" s="7">
        <f>$K2408+$X2408</f>
      </c>
      <c r="AB2408" s="7">
        <f>$L2408+$Y2408</f>
      </c>
      <c r="AC2408" s="7">
        <f>$K2408-$X2408</f>
      </c>
      <c r="AD2408" s="7">
        <f>$L2408-$Y2408</f>
      </c>
      <c r="AE2408" s="7">
        <f>AA2408/39.3701</f>
      </c>
      <c r="AF2408" s="7">
        <f>AB2408/39.3701</f>
      </c>
      <c r="AG2408" s="7">
        <f>AC2408/39.3701</f>
      </c>
      <c r="AH2408" s="7">
        <f>AD2408/39.3701</f>
      </c>
      <c r="AI2408" s="1"/>
      <c r="AJ2408" s="1"/>
      <c r="AK2408" s="1"/>
      <c r="AL2408" s="1"/>
      <c r="AM2408" s="2"/>
      <c r="AN2408" s="1"/>
      <c r="AO2408" s="1"/>
      <c r="AP2408" s="1"/>
      <c r="AQ2408" s="1"/>
      <c r="AR2408" s="1"/>
      <c r="AS2408" s="1"/>
      <c r="AT2408" s="1"/>
      <c r="AU2408" s="1"/>
      <c r="AV2408" s="1"/>
      <c r="AW2408" s="1"/>
      <c r="AX2408" s="1"/>
      <c r="AY2408" s="1"/>
      <c r="AZ2408" s="1"/>
      <c r="BA2408" s="1"/>
      <c r="BB2408" s="1"/>
      <c r="BC2408" s="1"/>
      <c r="BD2408" s="1"/>
      <c r="BE2408" s="1"/>
    </row>
    <row x14ac:dyDescent="0.25" r="2409" customHeight="1" ht="18.75">
      <c r="A2409" s="1"/>
      <c r="B2409" s="2"/>
      <c r="C2409" s="2"/>
      <c r="D2409" s="2"/>
      <c r="E2409" s="2"/>
      <c r="F2409" s="2"/>
      <c r="G2409" s="1"/>
      <c r="H2409" s="1"/>
      <c r="I2409" s="7">
        <v>2.406</v>
      </c>
      <c r="J2409" s="7">
        <f>IF((I2409-ROUNDDOWN(I2409,0))=0, 0, (I2409-ROUNDDOWN(I2409,0)))</f>
      </c>
      <c r="K2409" s="7">
        <f>INDIRECT("C$"&amp;2+MIN(2,ROUNDDOWN(I2409,0))*3)*(-$J2409^3+3*$J2409^2-3*$J2409+1)+INDIRECT("C$"&amp;3+MIN(2,ROUNDDOWN(I2409,0))*3)*(3*$J2409^3-6*$J2409^2+3*$J2409)+INDIRECT("C$"&amp;4+MIN(2,ROUNDDOWN(I2409,0))*3)*(-3*$J2409^3+3*$J2409^2)+INDIRECT("C$"&amp;5+MIN(2,ROUNDDOWN(I2409,0))*3)*$J2409^3</f>
      </c>
      <c r="L2409" s="7">
        <f>INDIRECT("D$"&amp;2+MIN(2,ROUNDDOWN(I2409,0))*3)*(-$J2409^3+3*$J2409^2-3*$J2409+1)+INDIRECT("D$"&amp;3+MIN(2,ROUNDDOWN(I2409,0))*3)*(3*$J2409^3-6*$J2409^2+3*$J2409)+INDIRECT("D$"&amp;4+MIN(2,ROUNDDOWN(I2409,0))*3)*(-3*$J2409^3+3*$J2409^2)+INDIRECT("D$"&amp;5+MIN(2,ROUNDDOWN(I2409,0))*3)*$J2409^3</f>
      </c>
      <c r="M2409" s="7">
        <f>SQRT(K2409^2+L2409^2)</f>
      </c>
      <c r="N2409" s="7">
        <f>(K2410-K2408)</f>
      </c>
      <c r="O2409" s="7">
        <f>+(L2410-L2408)</f>
      </c>
      <c r="P2409" s="7">
        <f>SQRT(O2409^2+N2409^2)</f>
      </c>
      <c r="Q2409" s="7">
        <f>N2409/$P2409</f>
      </c>
      <c r="R2409" s="7">
        <f>O2409/$P2409</f>
      </c>
      <c r="S2409" s="8">
        <f>Q2409^2+R2409^2</f>
      </c>
      <c r="T2409" s="7">
        <f>-R2409</f>
      </c>
      <c r="U2409" s="7">
        <f>Q2409</f>
      </c>
      <c r="V2409" s="7">
        <f>($C$14+($C$15-$C$14)/($D$15-$D$14)*(I2409-$D$14))/2</f>
      </c>
      <c r="W2409" s="7">
        <f>($B$22*I2409^4+$C$22*I2409^3+$D$22*I2409^2+$E$22*I2409+$F$22)/2</f>
      </c>
      <c r="X2409" s="7">
        <f>($W2409)*(T2409)</f>
      </c>
      <c r="Y2409" s="7">
        <f>($W2409)*(U2409)</f>
      </c>
      <c r="Z2409" s="7">
        <f>SQRT(X2409^2+Y2409^2)</f>
      </c>
      <c r="AA2409" s="7">
        <f>$K2409+$X2409</f>
      </c>
      <c r="AB2409" s="7">
        <f>$L2409+$Y2409</f>
      </c>
      <c r="AC2409" s="7">
        <f>$K2409-$X2409</f>
      </c>
      <c r="AD2409" s="7">
        <f>$L2409-$Y2409</f>
      </c>
      <c r="AE2409" s="7">
        <f>AA2409/39.3701</f>
      </c>
      <c r="AF2409" s="7">
        <f>AB2409/39.3701</f>
      </c>
      <c r="AG2409" s="7">
        <f>AC2409/39.3701</f>
      </c>
      <c r="AH2409" s="7">
        <f>AD2409/39.3701</f>
      </c>
      <c r="AI2409" s="1"/>
      <c r="AJ2409" s="1"/>
      <c r="AK2409" s="1"/>
      <c r="AL2409" s="1"/>
      <c r="AM2409" s="2"/>
      <c r="AN2409" s="1"/>
      <c r="AO2409" s="1"/>
      <c r="AP2409" s="1"/>
      <c r="AQ2409" s="1"/>
      <c r="AR2409" s="1"/>
      <c r="AS2409" s="1"/>
      <c r="AT2409" s="1"/>
      <c r="AU2409" s="1"/>
      <c r="AV2409" s="1"/>
      <c r="AW2409" s="1"/>
      <c r="AX2409" s="1"/>
      <c r="AY2409" s="1"/>
      <c r="AZ2409" s="1"/>
      <c r="BA2409" s="1"/>
      <c r="BB2409" s="1"/>
      <c r="BC2409" s="1"/>
      <c r="BD2409" s="1"/>
      <c r="BE2409" s="1"/>
    </row>
    <row x14ac:dyDescent="0.25" r="2410" customHeight="1" ht="18.75">
      <c r="A2410" s="1"/>
      <c r="B2410" s="2"/>
      <c r="C2410" s="2"/>
      <c r="D2410" s="2"/>
      <c r="E2410" s="2"/>
      <c r="F2410" s="2"/>
      <c r="G2410" s="1"/>
      <c r="H2410" s="1"/>
      <c r="I2410" s="7">
        <v>2.407</v>
      </c>
      <c r="J2410" s="7">
        <f>IF((I2410-ROUNDDOWN(I2410,0))=0, 0, (I2410-ROUNDDOWN(I2410,0)))</f>
      </c>
      <c r="K2410" s="7">
        <f>INDIRECT("C$"&amp;2+MIN(2,ROUNDDOWN(I2410,0))*3)*(-$J2410^3+3*$J2410^2-3*$J2410+1)+INDIRECT("C$"&amp;3+MIN(2,ROUNDDOWN(I2410,0))*3)*(3*$J2410^3-6*$J2410^2+3*$J2410)+INDIRECT("C$"&amp;4+MIN(2,ROUNDDOWN(I2410,0))*3)*(-3*$J2410^3+3*$J2410^2)+INDIRECT("C$"&amp;5+MIN(2,ROUNDDOWN(I2410,0))*3)*$J2410^3</f>
      </c>
      <c r="L2410" s="7">
        <f>INDIRECT("D$"&amp;2+MIN(2,ROUNDDOWN(I2410,0))*3)*(-$J2410^3+3*$J2410^2-3*$J2410+1)+INDIRECT("D$"&amp;3+MIN(2,ROUNDDOWN(I2410,0))*3)*(3*$J2410^3-6*$J2410^2+3*$J2410)+INDIRECT("D$"&amp;4+MIN(2,ROUNDDOWN(I2410,0))*3)*(-3*$J2410^3+3*$J2410^2)+INDIRECT("D$"&amp;5+MIN(2,ROUNDDOWN(I2410,0))*3)*$J2410^3</f>
      </c>
      <c r="M2410" s="7">
        <f>SQRT(K2410^2+L2410^2)</f>
      </c>
      <c r="N2410" s="7">
        <f>(K2411-K2409)</f>
      </c>
      <c r="O2410" s="7">
        <f>+(L2411-L2409)</f>
      </c>
      <c r="P2410" s="7">
        <f>SQRT(O2410^2+N2410^2)</f>
      </c>
      <c r="Q2410" s="7">
        <f>N2410/$P2410</f>
      </c>
      <c r="R2410" s="7">
        <f>O2410/$P2410</f>
      </c>
      <c r="S2410" s="8">
        <f>Q2410^2+R2410^2</f>
      </c>
      <c r="T2410" s="7">
        <f>-R2410</f>
      </c>
      <c r="U2410" s="7">
        <f>Q2410</f>
      </c>
      <c r="V2410" s="7">
        <f>($C$14+($C$15-$C$14)/($D$15-$D$14)*(I2410-$D$14))/2</f>
      </c>
      <c r="W2410" s="7">
        <f>($B$22*I2410^4+$C$22*I2410^3+$D$22*I2410^2+$E$22*I2410+$F$22)/2</f>
      </c>
      <c r="X2410" s="7">
        <f>($W2410)*(T2410)</f>
      </c>
      <c r="Y2410" s="7">
        <f>($W2410)*(U2410)</f>
      </c>
      <c r="Z2410" s="7">
        <f>SQRT(X2410^2+Y2410^2)</f>
      </c>
      <c r="AA2410" s="7">
        <f>$K2410+$X2410</f>
      </c>
      <c r="AB2410" s="7">
        <f>$L2410+$Y2410</f>
      </c>
      <c r="AC2410" s="7">
        <f>$K2410-$X2410</f>
      </c>
      <c r="AD2410" s="7">
        <f>$L2410-$Y2410</f>
      </c>
      <c r="AE2410" s="7">
        <f>AA2410/39.3701</f>
      </c>
      <c r="AF2410" s="7">
        <f>AB2410/39.3701</f>
      </c>
      <c r="AG2410" s="7">
        <f>AC2410/39.3701</f>
      </c>
      <c r="AH2410" s="7">
        <f>AD2410/39.3701</f>
      </c>
      <c r="AI2410" s="1"/>
      <c r="AJ2410" s="1"/>
      <c r="AK2410" s="1"/>
      <c r="AL2410" s="1"/>
      <c r="AM2410" s="2"/>
      <c r="AN2410" s="1"/>
      <c r="AO2410" s="1"/>
      <c r="AP2410" s="1"/>
      <c r="AQ2410" s="1"/>
      <c r="AR2410" s="1"/>
      <c r="AS2410" s="1"/>
      <c r="AT2410" s="1"/>
      <c r="AU2410" s="1"/>
      <c r="AV2410" s="1"/>
      <c r="AW2410" s="1"/>
      <c r="AX2410" s="1"/>
      <c r="AY2410" s="1"/>
      <c r="AZ2410" s="1"/>
      <c r="BA2410" s="1"/>
      <c r="BB2410" s="1"/>
      <c r="BC2410" s="1"/>
      <c r="BD2410" s="1"/>
      <c r="BE2410" s="1"/>
    </row>
    <row x14ac:dyDescent="0.25" r="2411" customHeight="1" ht="18.75">
      <c r="A2411" s="1"/>
      <c r="B2411" s="2"/>
      <c r="C2411" s="2"/>
      <c r="D2411" s="2"/>
      <c r="E2411" s="2"/>
      <c r="F2411" s="2"/>
      <c r="G2411" s="1"/>
      <c r="H2411" s="1"/>
      <c r="I2411" s="7">
        <v>2.408</v>
      </c>
      <c r="J2411" s="7">
        <f>IF((I2411-ROUNDDOWN(I2411,0))=0, 0, (I2411-ROUNDDOWN(I2411,0)))</f>
      </c>
      <c r="K2411" s="7">
        <f>INDIRECT("C$"&amp;2+MIN(2,ROUNDDOWN(I2411,0))*3)*(-$J2411^3+3*$J2411^2-3*$J2411+1)+INDIRECT("C$"&amp;3+MIN(2,ROUNDDOWN(I2411,0))*3)*(3*$J2411^3-6*$J2411^2+3*$J2411)+INDIRECT("C$"&amp;4+MIN(2,ROUNDDOWN(I2411,0))*3)*(-3*$J2411^3+3*$J2411^2)+INDIRECT("C$"&amp;5+MIN(2,ROUNDDOWN(I2411,0))*3)*$J2411^3</f>
      </c>
      <c r="L2411" s="7">
        <f>INDIRECT("D$"&amp;2+MIN(2,ROUNDDOWN(I2411,0))*3)*(-$J2411^3+3*$J2411^2-3*$J2411+1)+INDIRECT("D$"&amp;3+MIN(2,ROUNDDOWN(I2411,0))*3)*(3*$J2411^3-6*$J2411^2+3*$J2411)+INDIRECT("D$"&amp;4+MIN(2,ROUNDDOWN(I2411,0))*3)*(-3*$J2411^3+3*$J2411^2)+INDIRECT("D$"&amp;5+MIN(2,ROUNDDOWN(I2411,0))*3)*$J2411^3</f>
      </c>
      <c r="M2411" s="7">
        <f>SQRT(K2411^2+L2411^2)</f>
      </c>
      <c r="N2411" s="7">
        <f>(K2412-K2410)</f>
      </c>
      <c r="O2411" s="7">
        <f>+(L2412-L2410)</f>
      </c>
      <c r="P2411" s="7">
        <f>SQRT(O2411^2+N2411^2)</f>
      </c>
      <c r="Q2411" s="7">
        <f>N2411/$P2411</f>
      </c>
      <c r="R2411" s="7">
        <f>O2411/$P2411</f>
      </c>
      <c r="S2411" s="7">
        <f>Q2411^2+R2411^2</f>
      </c>
      <c r="T2411" s="7">
        <f>-R2411</f>
      </c>
      <c r="U2411" s="7">
        <f>Q2411</f>
      </c>
      <c r="V2411" s="7">
        <f>($C$14+($C$15-$C$14)/($D$15-$D$14)*(I2411-$D$14))/2</f>
      </c>
      <c r="W2411" s="7">
        <f>($B$22*I2411^4+$C$22*I2411^3+$D$22*I2411^2+$E$22*I2411+$F$22)/2</f>
      </c>
      <c r="X2411" s="7">
        <f>($W2411)*(T2411)</f>
      </c>
      <c r="Y2411" s="7">
        <f>($W2411)*(U2411)</f>
      </c>
      <c r="Z2411" s="7">
        <f>SQRT(X2411^2+Y2411^2)</f>
      </c>
      <c r="AA2411" s="7">
        <f>$K2411+$X2411</f>
      </c>
      <c r="AB2411" s="7">
        <f>$L2411+$Y2411</f>
      </c>
      <c r="AC2411" s="7">
        <f>$K2411-$X2411</f>
      </c>
      <c r="AD2411" s="7">
        <f>$L2411-$Y2411</f>
      </c>
      <c r="AE2411" s="7">
        <f>AA2411/39.3701</f>
      </c>
      <c r="AF2411" s="7">
        <f>AB2411/39.3701</f>
      </c>
      <c r="AG2411" s="7">
        <f>AC2411/39.3701</f>
      </c>
      <c r="AH2411" s="7">
        <f>AD2411/39.3701</f>
      </c>
      <c r="AI2411" s="1"/>
      <c r="AJ2411" s="1"/>
      <c r="AK2411" s="1"/>
      <c r="AL2411" s="1"/>
      <c r="AM2411" s="2"/>
      <c r="AN2411" s="1"/>
      <c r="AO2411" s="1"/>
      <c r="AP2411" s="1"/>
      <c r="AQ2411" s="1"/>
      <c r="AR2411" s="1"/>
      <c r="AS2411" s="1"/>
      <c r="AT2411" s="1"/>
      <c r="AU2411" s="1"/>
      <c r="AV2411" s="1"/>
      <c r="AW2411" s="1"/>
      <c r="AX2411" s="1"/>
      <c r="AY2411" s="1"/>
      <c r="AZ2411" s="1"/>
      <c r="BA2411" s="1"/>
      <c r="BB2411" s="1"/>
      <c r="BC2411" s="1"/>
      <c r="BD2411" s="1"/>
      <c r="BE2411" s="1"/>
    </row>
    <row x14ac:dyDescent="0.25" r="2412" customHeight="1" ht="18.75">
      <c r="A2412" s="1"/>
      <c r="B2412" s="2"/>
      <c r="C2412" s="2"/>
      <c r="D2412" s="2"/>
      <c r="E2412" s="2"/>
      <c r="F2412" s="2"/>
      <c r="G2412" s="1"/>
      <c r="H2412" s="1"/>
      <c r="I2412" s="7">
        <v>2.409</v>
      </c>
      <c r="J2412" s="7">
        <f>IF((I2412-ROUNDDOWN(I2412,0))=0, 0, (I2412-ROUNDDOWN(I2412,0)))</f>
      </c>
      <c r="K2412" s="7">
        <f>INDIRECT("C$"&amp;2+MIN(2,ROUNDDOWN(I2412,0))*3)*(-$J2412^3+3*$J2412^2-3*$J2412+1)+INDIRECT("C$"&amp;3+MIN(2,ROUNDDOWN(I2412,0))*3)*(3*$J2412^3-6*$J2412^2+3*$J2412)+INDIRECT("C$"&amp;4+MIN(2,ROUNDDOWN(I2412,0))*3)*(-3*$J2412^3+3*$J2412^2)+INDIRECT("C$"&amp;5+MIN(2,ROUNDDOWN(I2412,0))*3)*$J2412^3</f>
      </c>
      <c r="L2412" s="7">
        <f>INDIRECT("D$"&amp;2+MIN(2,ROUNDDOWN(I2412,0))*3)*(-$J2412^3+3*$J2412^2-3*$J2412+1)+INDIRECT("D$"&amp;3+MIN(2,ROUNDDOWN(I2412,0))*3)*(3*$J2412^3-6*$J2412^2+3*$J2412)+INDIRECT("D$"&amp;4+MIN(2,ROUNDDOWN(I2412,0))*3)*(-3*$J2412^3+3*$J2412^2)+INDIRECT("D$"&amp;5+MIN(2,ROUNDDOWN(I2412,0))*3)*$J2412^3</f>
      </c>
      <c r="M2412" s="7">
        <f>SQRT(K2412^2+L2412^2)</f>
      </c>
      <c r="N2412" s="7">
        <f>(K2413-K2411)</f>
      </c>
      <c r="O2412" s="7">
        <f>+(L2413-L2411)</f>
      </c>
      <c r="P2412" s="7">
        <f>SQRT(O2412^2+N2412^2)</f>
      </c>
      <c r="Q2412" s="7">
        <f>N2412/$P2412</f>
      </c>
      <c r="R2412" s="7">
        <f>O2412/$P2412</f>
      </c>
      <c r="S2412" s="7">
        <f>Q2412^2+R2412^2</f>
      </c>
      <c r="T2412" s="7">
        <f>-R2412</f>
      </c>
      <c r="U2412" s="7">
        <f>Q2412</f>
      </c>
      <c r="V2412" s="7">
        <f>($C$14+($C$15-$C$14)/($D$15-$D$14)*(I2412-$D$14))/2</f>
      </c>
      <c r="W2412" s="7">
        <f>($B$22*I2412^4+$C$22*I2412^3+$D$22*I2412^2+$E$22*I2412+$F$22)/2</f>
      </c>
      <c r="X2412" s="7">
        <f>($W2412)*(T2412)</f>
      </c>
      <c r="Y2412" s="7">
        <f>($W2412)*(U2412)</f>
      </c>
      <c r="Z2412" s="7">
        <f>SQRT(X2412^2+Y2412^2)</f>
      </c>
      <c r="AA2412" s="7">
        <f>$K2412+$X2412</f>
      </c>
      <c r="AB2412" s="7">
        <f>$L2412+$Y2412</f>
      </c>
      <c r="AC2412" s="7">
        <f>$K2412-$X2412</f>
      </c>
      <c r="AD2412" s="7">
        <f>$L2412-$Y2412</f>
      </c>
      <c r="AE2412" s="7">
        <f>AA2412/39.3701</f>
      </c>
      <c r="AF2412" s="7">
        <f>AB2412/39.3701</f>
      </c>
      <c r="AG2412" s="7">
        <f>AC2412/39.3701</f>
      </c>
      <c r="AH2412" s="7">
        <f>AD2412/39.3701</f>
      </c>
      <c r="AI2412" s="1"/>
      <c r="AJ2412" s="1"/>
      <c r="AK2412" s="1"/>
      <c r="AL2412" s="1"/>
      <c r="AM2412" s="2"/>
      <c r="AN2412" s="1"/>
      <c r="AO2412" s="1"/>
      <c r="AP2412" s="1"/>
      <c r="AQ2412" s="1"/>
      <c r="AR2412" s="1"/>
      <c r="AS2412" s="1"/>
      <c r="AT2412" s="1"/>
      <c r="AU2412" s="1"/>
      <c r="AV2412" s="1"/>
      <c r="AW2412" s="1"/>
      <c r="AX2412" s="1"/>
      <c r="AY2412" s="1"/>
      <c r="AZ2412" s="1"/>
      <c r="BA2412" s="1"/>
      <c r="BB2412" s="1"/>
      <c r="BC2412" s="1"/>
      <c r="BD2412" s="1"/>
      <c r="BE2412" s="1"/>
    </row>
    <row x14ac:dyDescent="0.25" r="2413" customHeight="1" ht="18.75">
      <c r="A2413" s="1"/>
      <c r="B2413" s="2"/>
      <c r="C2413" s="2"/>
      <c r="D2413" s="2"/>
      <c r="E2413" s="2"/>
      <c r="F2413" s="2"/>
      <c r="G2413" s="1"/>
      <c r="H2413" s="1"/>
      <c r="I2413" s="7">
        <v>2.41</v>
      </c>
      <c r="J2413" s="7">
        <f>IF((I2413-ROUNDDOWN(I2413,0))=0, 0, (I2413-ROUNDDOWN(I2413,0)))</f>
      </c>
      <c r="K2413" s="7">
        <f>INDIRECT("C$"&amp;2+MIN(2,ROUNDDOWN(I2413,0))*3)*(-$J2413^3+3*$J2413^2-3*$J2413+1)+INDIRECT("C$"&amp;3+MIN(2,ROUNDDOWN(I2413,0))*3)*(3*$J2413^3-6*$J2413^2+3*$J2413)+INDIRECT("C$"&amp;4+MIN(2,ROUNDDOWN(I2413,0))*3)*(-3*$J2413^3+3*$J2413^2)+INDIRECT("C$"&amp;5+MIN(2,ROUNDDOWN(I2413,0))*3)*$J2413^3</f>
      </c>
      <c r="L2413" s="7">
        <f>INDIRECT("D$"&amp;2+MIN(2,ROUNDDOWN(I2413,0))*3)*(-$J2413^3+3*$J2413^2-3*$J2413+1)+INDIRECT("D$"&amp;3+MIN(2,ROUNDDOWN(I2413,0))*3)*(3*$J2413^3-6*$J2413^2+3*$J2413)+INDIRECT("D$"&amp;4+MIN(2,ROUNDDOWN(I2413,0))*3)*(-3*$J2413^3+3*$J2413^2)+INDIRECT("D$"&amp;5+MIN(2,ROUNDDOWN(I2413,0))*3)*$J2413^3</f>
      </c>
      <c r="M2413" s="7">
        <f>SQRT(K2413^2+L2413^2)</f>
      </c>
      <c r="N2413" s="7">
        <f>(K2414-K2412)</f>
      </c>
      <c r="O2413" s="7">
        <f>+(L2414-L2412)</f>
      </c>
      <c r="P2413" s="7">
        <f>SQRT(O2413^2+N2413^2)</f>
      </c>
      <c r="Q2413" s="7">
        <f>N2413/$P2413</f>
      </c>
      <c r="R2413" s="7">
        <f>O2413/$P2413</f>
      </c>
      <c r="S2413" s="7">
        <f>Q2413^2+R2413^2</f>
      </c>
      <c r="T2413" s="7">
        <f>-R2413</f>
      </c>
      <c r="U2413" s="7">
        <f>Q2413</f>
      </c>
      <c r="V2413" s="7">
        <f>($C$14+($C$15-$C$14)/($D$15-$D$14)*(I2413-$D$14))/2</f>
      </c>
      <c r="W2413" s="7">
        <f>($B$22*I2413^4+$C$22*I2413^3+$D$22*I2413^2+$E$22*I2413+$F$22)/2</f>
      </c>
      <c r="X2413" s="7">
        <f>($W2413)*(T2413)</f>
      </c>
      <c r="Y2413" s="7">
        <f>($W2413)*(U2413)</f>
      </c>
      <c r="Z2413" s="7">
        <f>SQRT(X2413^2+Y2413^2)</f>
      </c>
      <c r="AA2413" s="7">
        <f>$K2413+$X2413</f>
      </c>
      <c r="AB2413" s="7">
        <f>$L2413+$Y2413</f>
      </c>
      <c r="AC2413" s="7">
        <f>$K2413-$X2413</f>
      </c>
      <c r="AD2413" s="7">
        <f>$L2413-$Y2413</f>
      </c>
      <c r="AE2413" s="7">
        <f>AA2413/39.3701</f>
      </c>
      <c r="AF2413" s="7">
        <f>AB2413/39.3701</f>
      </c>
      <c r="AG2413" s="7">
        <f>AC2413/39.3701</f>
      </c>
      <c r="AH2413" s="7">
        <f>AD2413/39.3701</f>
      </c>
      <c r="AI2413" s="1"/>
      <c r="AJ2413" s="1"/>
      <c r="AK2413" s="1"/>
      <c r="AL2413" s="1"/>
      <c r="AM2413" s="2"/>
      <c r="AN2413" s="1"/>
      <c r="AO2413" s="1"/>
      <c r="AP2413" s="1"/>
      <c r="AQ2413" s="1"/>
      <c r="AR2413" s="1"/>
      <c r="AS2413" s="1"/>
      <c r="AT2413" s="1"/>
      <c r="AU2413" s="1"/>
      <c r="AV2413" s="1"/>
      <c r="AW2413" s="1"/>
      <c r="AX2413" s="1"/>
      <c r="AY2413" s="1"/>
      <c r="AZ2413" s="1"/>
      <c r="BA2413" s="1"/>
      <c r="BB2413" s="1"/>
      <c r="BC2413" s="1"/>
      <c r="BD2413" s="1"/>
      <c r="BE2413" s="1"/>
    </row>
    <row x14ac:dyDescent="0.25" r="2414" customHeight="1" ht="18.75">
      <c r="A2414" s="1"/>
      <c r="B2414" s="2"/>
      <c r="C2414" s="2"/>
      <c r="D2414" s="2"/>
      <c r="E2414" s="2"/>
      <c r="F2414" s="2"/>
      <c r="G2414" s="1"/>
      <c r="H2414" s="1"/>
      <c r="I2414" s="7">
        <v>2.411</v>
      </c>
      <c r="J2414" s="7">
        <f>IF((I2414-ROUNDDOWN(I2414,0))=0, 0, (I2414-ROUNDDOWN(I2414,0)))</f>
      </c>
      <c r="K2414" s="7">
        <f>INDIRECT("C$"&amp;2+MIN(2,ROUNDDOWN(I2414,0))*3)*(-$J2414^3+3*$J2414^2-3*$J2414+1)+INDIRECT("C$"&amp;3+MIN(2,ROUNDDOWN(I2414,0))*3)*(3*$J2414^3-6*$J2414^2+3*$J2414)+INDIRECT("C$"&amp;4+MIN(2,ROUNDDOWN(I2414,0))*3)*(-3*$J2414^3+3*$J2414^2)+INDIRECT("C$"&amp;5+MIN(2,ROUNDDOWN(I2414,0))*3)*$J2414^3</f>
      </c>
      <c r="L2414" s="7">
        <f>INDIRECT("D$"&amp;2+MIN(2,ROUNDDOWN(I2414,0))*3)*(-$J2414^3+3*$J2414^2-3*$J2414+1)+INDIRECT("D$"&amp;3+MIN(2,ROUNDDOWN(I2414,0))*3)*(3*$J2414^3-6*$J2414^2+3*$J2414)+INDIRECT("D$"&amp;4+MIN(2,ROUNDDOWN(I2414,0))*3)*(-3*$J2414^3+3*$J2414^2)+INDIRECT("D$"&amp;5+MIN(2,ROUNDDOWN(I2414,0))*3)*$J2414^3</f>
      </c>
      <c r="M2414" s="7">
        <f>SQRT(K2414^2+L2414^2)</f>
      </c>
      <c r="N2414" s="7">
        <f>(K2415-K2413)</f>
      </c>
      <c r="O2414" s="7">
        <f>+(L2415-L2413)</f>
      </c>
      <c r="P2414" s="7">
        <f>SQRT(O2414^2+N2414^2)</f>
      </c>
      <c r="Q2414" s="7">
        <f>N2414/$P2414</f>
      </c>
      <c r="R2414" s="7">
        <f>O2414/$P2414</f>
      </c>
      <c r="S2414" s="8">
        <f>Q2414^2+R2414^2</f>
      </c>
      <c r="T2414" s="7">
        <f>-R2414</f>
      </c>
      <c r="U2414" s="7">
        <f>Q2414</f>
      </c>
      <c r="V2414" s="7">
        <f>($C$14+($C$15-$C$14)/($D$15-$D$14)*(I2414-$D$14))/2</f>
      </c>
      <c r="W2414" s="7">
        <f>($B$22*I2414^4+$C$22*I2414^3+$D$22*I2414^2+$E$22*I2414+$F$22)/2</f>
      </c>
      <c r="X2414" s="7">
        <f>($W2414)*(T2414)</f>
      </c>
      <c r="Y2414" s="7">
        <f>($W2414)*(U2414)</f>
      </c>
      <c r="Z2414" s="7">
        <f>SQRT(X2414^2+Y2414^2)</f>
      </c>
      <c r="AA2414" s="7">
        <f>$K2414+$X2414</f>
      </c>
      <c r="AB2414" s="7">
        <f>$L2414+$Y2414</f>
      </c>
      <c r="AC2414" s="7">
        <f>$K2414-$X2414</f>
      </c>
      <c r="AD2414" s="7">
        <f>$L2414-$Y2414</f>
      </c>
      <c r="AE2414" s="7">
        <f>AA2414/39.3701</f>
      </c>
      <c r="AF2414" s="7">
        <f>AB2414/39.3701</f>
      </c>
      <c r="AG2414" s="7">
        <f>AC2414/39.3701</f>
      </c>
      <c r="AH2414" s="7">
        <f>AD2414/39.3701</f>
      </c>
      <c r="AI2414" s="1"/>
      <c r="AJ2414" s="1"/>
      <c r="AK2414" s="1"/>
      <c r="AL2414" s="1"/>
      <c r="AM2414" s="2"/>
      <c r="AN2414" s="1"/>
      <c r="AO2414" s="1"/>
      <c r="AP2414" s="1"/>
      <c r="AQ2414" s="1"/>
      <c r="AR2414" s="1"/>
      <c r="AS2414" s="1"/>
      <c r="AT2414" s="1"/>
      <c r="AU2414" s="1"/>
      <c r="AV2414" s="1"/>
      <c r="AW2414" s="1"/>
      <c r="AX2414" s="1"/>
      <c r="AY2414" s="1"/>
      <c r="AZ2414" s="1"/>
      <c r="BA2414" s="1"/>
      <c r="BB2414" s="1"/>
      <c r="BC2414" s="1"/>
      <c r="BD2414" s="1"/>
      <c r="BE2414" s="1"/>
    </row>
    <row x14ac:dyDescent="0.25" r="2415" customHeight="1" ht="18.75">
      <c r="A2415" s="1"/>
      <c r="B2415" s="2"/>
      <c r="C2415" s="2"/>
      <c r="D2415" s="2"/>
      <c r="E2415" s="2"/>
      <c r="F2415" s="2"/>
      <c r="G2415" s="1"/>
      <c r="H2415" s="1"/>
      <c r="I2415" s="7">
        <v>2.412</v>
      </c>
      <c r="J2415" s="7">
        <f>IF((I2415-ROUNDDOWN(I2415,0))=0, 0, (I2415-ROUNDDOWN(I2415,0)))</f>
      </c>
      <c r="K2415" s="7">
        <f>INDIRECT("C$"&amp;2+MIN(2,ROUNDDOWN(I2415,0))*3)*(-$J2415^3+3*$J2415^2-3*$J2415+1)+INDIRECT("C$"&amp;3+MIN(2,ROUNDDOWN(I2415,0))*3)*(3*$J2415^3-6*$J2415^2+3*$J2415)+INDIRECT("C$"&amp;4+MIN(2,ROUNDDOWN(I2415,0))*3)*(-3*$J2415^3+3*$J2415^2)+INDIRECT("C$"&amp;5+MIN(2,ROUNDDOWN(I2415,0))*3)*$J2415^3</f>
      </c>
      <c r="L2415" s="7">
        <f>INDIRECT("D$"&amp;2+MIN(2,ROUNDDOWN(I2415,0))*3)*(-$J2415^3+3*$J2415^2-3*$J2415+1)+INDIRECT("D$"&amp;3+MIN(2,ROUNDDOWN(I2415,0))*3)*(3*$J2415^3-6*$J2415^2+3*$J2415)+INDIRECT("D$"&amp;4+MIN(2,ROUNDDOWN(I2415,0))*3)*(-3*$J2415^3+3*$J2415^2)+INDIRECT("D$"&amp;5+MIN(2,ROUNDDOWN(I2415,0))*3)*$J2415^3</f>
      </c>
      <c r="M2415" s="7">
        <f>SQRT(K2415^2+L2415^2)</f>
      </c>
      <c r="N2415" s="7">
        <f>(K2416-K2414)</f>
      </c>
      <c r="O2415" s="7">
        <f>+(L2416-L2414)</f>
      </c>
      <c r="P2415" s="7">
        <f>SQRT(O2415^2+N2415^2)</f>
      </c>
      <c r="Q2415" s="7">
        <f>N2415/$P2415</f>
      </c>
      <c r="R2415" s="7">
        <f>O2415/$P2415</f>
      </c>
      <c r="S2415" s="7">
        <f>Q2415^2+R2415^2</f>
      </c>
      <c r="T2415" s="7">
        <f>-R2415</f>
      </c>
      <c r="U2415" s="7">
        <f>Q2415</f>
      </c>
      <c r="V2415" s="7">
        <f>($C$14+($C$15-$C$14)/($D$15-$D$14)*(I2415-$D$14))/2</f>
      </c>
      <c r="W2415" s="7">
        <f>($B$22*I2415^4+$C$22*I2415^3+$D$22*I2415^2+$E$22*I2415+$F$22)/2</f>
      </c>
      <c r="X2415" s="7">
        <f>($W2415)*(T2415)</f>
      </c>
      <c r="Y2415" s="7">
        <f>($W2415)*(U2415)</f>
      </c>
      <c r="Z2415" s="7">
        <f>SQRT(X2415^2+Y2415^2)</f>
      </c>
      <c r="AA2415" s="7">
        <f>$K2415+$X2415</f>
      </c>
      <c r="AB2415" s="7">
        <f>$L2415+$Y2415</f>
      </c>
      <c r="AC2415" s="7">
        <f>$K2415-$X2415</f>
      </c>
      <c r="AD2415" s="7">
        <f>$L2415-$Y2415</f>
      </c>
      <c r="AE2415" s="7">
        <f>AA2415/39.3701</f>
      </c>
      <c r="AF2415" s="7">
        <f>AB2415/39.3701</f>
      </c>
      <c r="AG2415" s="7">
        <f>AC2415/39.3701</f>
      </c>
      <c r="AH2415" s="7">
        <f>AD2415/39.3701</f>
      </c>
      <c r="AI2415" s="1"/>
      <c r="AJ2415" s="1"/>
      <c r="AK2415" s="1"/>
      <c r="AL2415" s="1"/>
      <c r="AM2415" s="2"/>
      <c r="AN2415" s="1"/>
      <c r="AO2415" s="1"/>
      <c r="AP2415" s="1"/>
      <c r="AQ2415" s="1"/>
      <c r="AR2415" s="1"/>
      <c r="AS2415" s="1"/>
      <c r="AT2415" s="1"/>
      <c r="AU2415" s="1"/>
      <c r="AV2415" s="1"/>
      <c r="AW2415" s="1"/>
      <c r="AX2415" s="1"/>
      <c r="AY2415" s="1"/>
      <c r="AZ2415" s="1"/>
      <c r="BA2415" s="1"/>
      <c r="BB2415" s="1"/>
      <c r="BC2415" s="1"/>
      <c r="BD2415" s="1"/>
      <c r="BE2415" s="1"/>
    </row>
    <row x14ac:dyDescent="0.25" r="2416" customHeight="1" ht="18.75">
      <c r="A2416" s="1"/>
      <c r="B2416" s="2"/>
      <c r="C2416" s="2"/>
      <c r="D2416" s="2"/>
      <c r="E2416" s="2"/>
      <c r="F2416" s="2"/>
      <c r="G2416" s="1"/>
      <c r="H2416" s="1"/>
      <c r="I2416" s="7">
        <v>2.413</v>
      </c>
      <c r="J2416" s="7">
        <f>IF((I2416-ROUNDDOWN(I2416,0))=0, 0, (I2416-ROUNDDOWN(I2416,0)))</f>
      </c>
      <c r="K2416" s="7">
        <f>INDIRECT("C$"&amp;2+MIN(2,ROUNDDOWN(I2416,0))*3)*(-$J2416^3+3*$J2416^2-3*$J2416+1)+INDIRECT("C$"&amp;3+MIN(2,ROUNDDOWN(I2416,0))*3)*(3*$J2416^3-6*$J2416^2+3*$J2416)+INDIRECT("C$"&amp;4+MIN(2,ROUNDDOWN(I2416,0))*3)*(-3*$J2416^3+3*$J2416^2)+INDIRECT("C$"&amp;5+MIN(2,ROUNDDOWN(I2416,0))*3)*$J2416^3</f>
      </c>
      <c r="L2416" s="7">
        <f>INDIRECT("D$"&amp;2+MIN(2,ROUNDDOWN(I2416,0))*3)*(-$J2416^3+3*$J2416^2-3*$J2416+1)+INDIRECT("D$"&amp;3+MIN(2,ROUNDDOWN(I2416,0))*3)*(3*$J2416^3-6*$J2416^2+3*$J2416)+INDIRECT("D$"&amp;4+MIN(2,ROUNDDOWN(I2416,0))*3)*(-3*$J2416^3+3*$J2416^2)+INDIRECT("D$"&amp;5+MIN(2,ROUNDDOWN(I2416,0))*3)*$J2416^3</f>
      </c>
      <c r="M2416" s="7">
        <f>SQRT(K2416^2+L2416^2)</f>
      </c>
      <c r="N2416" s="7">
        <f>(K2417-K2415)</f>
      </c>
      <c r="O2416" s="7">
        <f>+(L2417-L2415)</f>
      </c>
      <c r="P2416" s="7">
        <f>SQRT(O2416^2+N2416^2)</f>
      </c>
      <c r="Q2416" s="7">
        <f>N2416/$P2416</f>
      </c>
      <c r="R2416" s="7">
        <f>O2416/$P2416</f>
      </c>
      <c r="S2416" s="8">
        <f>Q2416^2+R2416^2</f>
      </c>
      <c r="T2416" s="7">
        <f>-R2416</f>
      </c>
      <c r="U2416" s="7">
        <f>Q2416</f>
      </c>
      <c r="V2416" s="7">
        <f>($C$14+($C$15-$C$14)/($D$15-$D$14)*(I2416-$D$14))/2</f>
      </c>
      <c r="W2416" s="7">
        <f>($B$22*I2416^4+$C$22*I2416^3+$D$22*I2416^2+$E$22*I2416+$F$22)/2</f>
      </c>
      <c r="X2416" s="7">
        <f>($W2416)*(T2416)</f>
      </c>
      <c r="Y2416" s="7">
        <f>($W2416)*(U2416)</f>
      </c>
      <c r="Z2416" s="7">
        <f>SQRT(X2416^2+Y2416^2)</f>
      </c>
      <c r="AA2416" s="7">
        <f>$K2416+$X2416</f>
      </c>
      <c r="AB2416" s="7">
        <f>$L2416+$Y2416</f>
      </c>
      <c r="AC2416" s="7">
        <f>$K2416-$X2416</f>
      </c>
      <c r="AD2416" s="7">
        <f>$L2416-$Y2416</f>
      </c>
      <c r="AE2416" s="7">
        <f>AA2416/39.3701</f>
      </c>
      <c r="AF2416" s="7">
        <f>AB2416/39.3701</f>
      </c>
      <c r="AG2416" s="7">
        <f>AC2416/39.3701</f>
      </c>
      <c r="AH2416" s="7">
        <f>AD2416/39.3701</f>
      </c>
      <c r="AI2416" s="1"/>
      <c r="AJ2416" s="1"/>
      <c r="AK2416" s="1"/>
      <c r="AL2416" s="1"/>
      <c r="AM2416" s="2"/>
      <c r="AN2416" s="1"/>
      <c r="AO2416" s="1"/>
      <c r="AP2416" s="1"/>
      <c r="AQ2416" s="1"/>
      <c r="AR2416" s="1"/>
      <c r="AS2416" s="1"/>
      <c r="AT2416" s="1"/>
      <c r="AU2416" s="1"/>
      <c r="AV2416" s="1"/>
      <c r="AW2416" s="1"/>
      <c r="AX2416" s="1"/>
      <c r="AY2416" s="1"/>
      <c r="AZ2416" s="1"/>
      <c r="BA2416" s="1"/>
      <c r="BB2416" s="1"/>
      <c r="BC2416" s="1"/>
      <c r="BD2416" s="1"/>
      <c r="BE2416" s="1"/>
    </row>
    <row x14ac:dyDescent="0.25" r="2417" customHeight="1" ht="18.75">
      <c r="A2417" s="1"/>
      <c r="B2417" s="2"/>
      <c r="C2417" s="2"/>
      <c r="D2417" s="2"/>
      <c r="E2417" s="2"/>
      <c r="F2417" s="2"/>
      <c r="G2417" s="1"/>
      <c r="H2417" s="1"/>
      <c r="I2417" s="7">
        <v>2.414</v>
      </c>
      <c r="J2417" s="7">
        <f>IF((I2417-ROUNDDOWN(I2417,0))=0, 0, (I2417-ROUNDDOWN(I2417,0)))</f>
      </c>
      <c r="K2417" s="7">
        <f>INDIRECT("C$"&amp;2+MIN(2,ROUNDDOWN(I2417,0))*3)*(-$J2417^3+3*$J2417^2-3*$J2417+1)+INDIRECT("C$"&amp;3+MIN(2,ROUNDDOWN(I2417,0))*3)*(3*$J2417^3-6*$J2417^2+3*$J2417)+INDIRECT("C$"&amp;4+MIN(2,ROUNDDOWN(I2417,0))*3)*(-3*$J2417^3+3*$J2417^2)+INDIRECT("C$"&amp;5+MIN(2,ROUNDDOWN(I2417,0))*3)*$J2417^3</f>
      </c>
      <c r="L2417" s="7">
        <f>INDIRECT("D$"&amp;2+MIN(2,ROUNDDOWN(I2417,0))*3)*(-$J2417^3+3*$J2417^2-3*$J2417+1)+INDIRECT("D$"&amp;3+MIN(2,ROUNDDOWN(I2417,0))*3)*(3*$J2417^3-6*$J2417^2+3*$J2417)+INDIRECT("D$"&amp;4+MIN(2,ROUNDDOWN(I2417,0))*3)*(-3*$J2417^3+3*$J2417^2)+INDIRECT("D$"&amp;5+MIN(2,ROUNDDOWN(I2417,0))*3)*$J2417^3</f>
      </c>
      <c r="M2417" s="7">
        <f>SQRT(K2417^2+L2417^2)</f>
      </c>
      <c r="N2417" s="7">
        <f>(K2418-K2416)</f>
      </c>
      <c r="O2417" s="7">
        <f>+(L2418-L2416)</f>
      </c>
      <c r="P2417" s="7">
        <f>SQRT(O2417^2+N2417^2)</f>
      </c>
      <c r="Q2417" s="7">
        <f>N2417/$P2417</f>
      </c>
      <c r="R2417" s="7">
        <f>O2417/$P2417</f>
      </c>
      <c r="S2417" s="8">
        <f>Q2417^2+R2417^2</f>
      </c>
      <c r="T2417" s="7">
        <f>-R2417</f>
      </c>
      <c r="U2417" s="7">
        <f>Q2417</f>
      </c>
      <c r="V2417" s="7">
        <f>($C$14+($C$15-$C$14)/($D$15-$D$14)*(I2417-$D$14))/2</f>
      </c>
      <c r="W2417" s="7">
        <f>($B$22*I2417^4+$C$22*I2417^3+$D$22*I2417^2+$E$22*I2417+$F$22)/2</f>
      </c>
      <c r="X2417" s="7">
        <f>($W2417)*(T2417)</f>
      </c>
      <c r="Y2417" s="7">
        <f>($W2417)*(U2417)</f>
      </c>
      <c r="Z2417" s="7">
        <f>SQRT(X2417^2+Y2417^2)</f>
      </c>
      <c r="AA2417" s="7">
        <f>$K2417+$X2417</f>
      </c>
      <c r="AB2417" s="7">
        <f>$L2417+$Y2417</f>
      </c>
      <c r="AC2417" s="7">
        <f>$K2417-$X2417</f>
      </c>
      <c r="AD2417" s="7">
        <f>$L2417-$Y2417</f>
      </c>
      <c r="AE2417" s="7">
        <f>AA2417/39.3701</f>
      </c>
      <c r="AF2417" s="7">
        <f>AB2417/39.3701</f>
      </c>
      <c r="AG2417" s="7">
        <f>AC2417/39.3701</f>
      </c>
      <c r="AH2417" s="7">
        <f>AD2417/39.3701</f>
      </c>
      <c r="AI2417" s="1"/>
      <c r="AJ2417" s="1"/>
      <c r="AK2417" s="1"/>
      <c r="AL2417" s="1"/>
      <c r="AM2417" s="2"/>
      <c r="AN2417" s="1"/>
      <c r="AO2417" s="1"/>
      <c r="AP2417" s="1"/>
      <c r="AQ2417" s="1"/>
      <c r="AR2417" s="1"/>
      <c r="AS2417" s="1"/>
      <c r="AT2417" s="1"/>
      <c r="AU2417" s="1"/>
      <c r="AV2417" s="1"/>
      <c r="AW2417" s="1"/>
      <c r="AX2417" s="1"/>
      <c r="AY2417" s="1"/>
      <c r="AZ2417" s="1"/>
      <c r="BA2417" s="1"/>
      <c r="BB2417" s="1"/>
      <c r="BC2417" s="1"/>
      <c r="BD2417" s="1"/>
      <c r="BE2417" s="1"/>
    </row>
    <row x14ac:dyDescent="0.25" r="2418" customHeight="1" ht="18.75">
      <c r="A2418" s="1"/>
      <c r="B2418" s="2"/>
      <c r="C2418" s="2"/>
      <c r="D2418" s="2"/>
      <c r="E2418" s="2"/>
      <c r="F2418" s="2"/>
      <c r="G2418" s="1"/>
      <c r="H2418" s="1"/>
      <c r="I2418" s="7">
        <v>2.415</v>
      </c>
      <c r="J2418" s="7">
        <f>IF((I2418-ROUNDDOWN(I2418,0))=0, 0, (I2418-ROUNDDOWN(I2418,0)))</f>
      </c>
      <c r="K2418" s="7">
        <f>INDIRECT("C$"&amp;2+MIN(2,ROUNDDOWN(I2418,0))*3)*(-$J2418^3+3*$J2418^2-3*$J2418+1)+INDIRECT("C$"&amp;3+MIN(2,ROUNDDOWN(I2418,0))*3)*(3*$J2418^3-6*$J2418^2+3*$J2418)+INDIRECT("C$"&amp;4+MIN(2,ROUNDDOWN(I2418,0))*3)*(-3*$J2418^3+3*$J2418^2)+INDIRECT("C$"&amp;5+MIN(2,ROUNDDOWN(I2418,0))*3)*$J2418^3</f>
      </c>
      <c r="L2418" s="7">
        <f>INDIRECT("D$"&amp;2+MIN(2,ROUNDDOWN(I2418,0))*3)*(-$J2418^3+3*$J2418^2-3*$J2418+1)+INDIRECT("D$"&amp;3+MIN(2,ROUNDDOWN(I2418,0))*3)*(3*$J2418^3-6*$J2418^2+3*$J2418)+INDIRECT("D$"&amp;4+MIN(2,ROUNDDOWN(I2418,0))*3)*(-3*$J2418^3+3*$J2418^2)+INDIRECT("D$"&amp;5+MIN(2,ROUNDDOWN(I2418,0))*3)*$J2418^3</f>
      </c>
      <c r="M2418" s="7">
        <f>SQRT(K2418^2+L2418^2)</f>
      </c>
      <c r="N2418" s="7">
        <f>(K2419-K2417)</f>
      </c>
      <c r="O2418" s="7">
        <f>+(L2419-L2417)</f>
      </c>
      <c r="P2418" s="7">
        <f>SQRT(O2418^2+N2418^2)</f>
      </c>
      <c r="Q2418" s="7">
        <f>N2418/$P2418</f>
      </c>
      <c r="R2418" s="7">
        <f>O2418/$P2418</f>
      </c>
      <c r="S2418" s="8">
        <f>Q2418^2+R2418^2</f>
      </c>
      <c r="T2418" s="7">
        <f>-R2418</f>
      </c>
      <c r="U2418" s="7">
        <f>Q2418</f>
      </c>
      <c r="V2418" s="7">
        <f>($C$14+($C$15-$C$14)/($D$15-$D$14)*(I2418-$D$14))/2</f>
      </c>
      <c r="W2418" s="7">
        <f>($B$22*I2418^4+$C$22*I2418^3+$D$22*I2418^2+$E$22*I2418+$F$22)/2</f>
      </c>
      <c r="X2418" s="7">
        <f>($W2418)*(T2418)</f>
      </c>
      <c r="Y2418" s="7">
        <f>($W2418)*(U2418)</f>
      </c>
      <c r="Z2418" s="7">
        <f>SQRT(X2418^2+Y2418^2)</f>
      </c>
      <c r="AA2418" s="7">
        <f>$K2418+$X2418</f>
      </c>
      <c r="AB2418" s="7">
        <f>$L2418+$Y2418</f>
      </c>
      <c r="AC2418" s="7">
        <f>$K2418-$X2418</f>
      </c>
      <c r="AD2418" s="7">
        <f>$L2418-$Y2418</f>
      </c>
      <c r="AE2418" s="7">
        <f>AA2418/39.3701</f>
      </c>
      <c r="AF2418" s="7">
        <f>AB2418/39.3701</f>
      </c>
      <c r="AG2418" s="7">
        <f>AC2418/39.3701</f>
      </c>
      <c r="AH2418" s="7">
        <f>AD2418/39.3701</f>
      </c>
      <c r="AI2418" s="1"/>
      <c r="AJ2418" s="1"/>
      <c r="AK2418" s="1"/>
      <c r="AL2418" s="1"/>
      <c r="AM2418" s="2"/>
      <c r="AN2418" s="1"/>
      <c r="AO2418" s="1"/>
      <c r="AP2418" s="1"/>
      <c r="AQ2418" s="1"/>
      <c r="AR2418" s="1"/>
      <c r="AS2418" s="1"/>
      <c r="AT2418" s="1"/>
      <c r="AU2418" s="1"/>
      <c r="AV2418" s="1"/>
      <c r="AW2418" s="1"/>
      <c r="AX2418" s="1"/>
      <c r="AY2418" s="1"/>
      <c r="AZ2418" s="1"/>
      <c r="BA2418" s="1"/>
      <c r="BB2418" s="1"/>
      <c r="BC2418" s="1"/>
      <c r="BD2418" s="1"/>
      <c r="BE2418" s="1"/>
    </row>
    <row x14ac:dyDescent="0.25" r="2419" customHeight="1" ht="18.75">
      <c r="A2419" s="1"/>
      <c r="B2419" s="2"/>
      <c r="C2419" s="2"/>
      <c r="D2419" s="2"/>
      <c r="E2419" s="2"/>
      <c r="F2419" s="2"/>
      <c r="G2419" s="1"/>
      <c r="H2419" s="1"/>
      <c r="I2419" s="7">
        <v>2.416</v>
      </c>
      <c r="J2419" s="7">
        <f>IF((I2419-ROUNDDOWN(I2419,0))=0, 0, (I2419-ROUNDDOWN(I2419,0)))</f>
      </c>
      <c r="K2419" s="7">
        <f>INDIRECT("C$"&amp;2+MIN(2,ROUNDDOWN(I2419,0))*3)*(-$J2419^3+3*$J2419^2-3*$J2419+1)+INDIRECT("C$"&amp;3+MIN(2,ROUNDDOWN(I2419,0))*3)*(3*$J2419^3-6*$J2419^2+3*$J2419)+INDIRECT("C$"&amp;4+MIN(2,ROUNDDOWN(I2419,0))*3)*(-3*$J2419^3+3*$J2419^2)+INDIRECT("C$"&amp;5+MIN(2,ROUNDDOWN(I2419,0))*3)*$J2419^3</f>
      </c>
      <c r="L2419" s="7">
        <f>INDIRECT("D$"&amp;2+MIN(2,ROUNDDOWN(I2419,0))*3)*(-$J2419^3+3*$J2419^2-3*$J2419+1)+INDIRECT("D$"&amp;3+MIN(2,ROUNDDOWN(I2419,0))*3)*(3*$J2419^3-6*$J2419^2+3*$J2419)+INDIRECT("D$"&amp;4+MIN(2,ROUNDDOWN(I2419,0))*3)*(-3*$J2419^3+3*$J2419^2)+INDIRECT("D$"&amp;5+MIN(2,ROUNDDOWN(I2419,0))*3)*$J2419^3</f>
      </c>
      <c r="M2419" s="7">
        <f>SQRT(K2419^2+L2419^2)</f>
      </c>
      <c r="N2419" s="7">
        <f>(K2420-K2418)</f>
      </c>
      <c r="O2419" s="7">
        <f>+(L2420-L2418)</f>
      </c>
      <c r="P2419" s="7">
        <f>SQRT(O2419^2+N2419^2)</f>
      </c>
      <c r="Q2419" s="7">
        <f>N2419/$P2419</f>
      </c>
      <c r="R2419" s="7">
        <f>O2419/$P2419</f>
      </c>
      <c r="S2419" s="7">
        <f>Q2419^2+R2419^2</f>
      </c>
      <c r="T2419" s="7">
        <f>-R2419</f>
      </c>
      <c r="U2419" s="7">
        <f>Q2419</f>
      </c>
      <c r="V2419" s="7">
        <f>($C$14+($C$15-$C$14)/($D$15-$D$14)*(I2419-$D$14))/2</f>
      </c>
      <c r="W2419" s="7">
        <f>($B$22*I2419^4+$C$22*I2419^3+$D$22*I2419^2+$E$22*I2419+$F$22)/2</f>
      </c>
      <c r="X2419" s="7">
        <f>($W2419)*(T2419)</f>
      </c>
      <c r="Y2419" s="7">
        <f>($W2419)*(U2419)</f>
      </c>
      <c r="Z2419" s="7">
        <f>SQRT(X2419^2+Y2419^2)</f>
      </c>
      <c r="AA2419" s="7">
        <f>$K2419+$X2419</f>
      </c>
      <c r="AB2419" s="7">
        <f>$L2419+$Y2419</f>
      </c>
      <c r="AC2419" s="7">
        <f>$K2419-$X2419</f>
      </c>
      <c r="AD2419" s="7">
        <f>$L2419-$Y2419</f>
      </c>
      <c r="AE2419" s="7">
        <f>AA2419/39.3701</f>
      </c>
      <c r="AF2419" s="7">
        <f>AB2419/39.3701</f>
      </c>
      <c r="AG2419" s="7">
        <f>AC2419/39.3701</f>
      </c>
      <c r="AH2419" s="7">
        <f>AD2419/39.3701</f>
      </c>
      <c r="AI2419" s="1"/>
      <c r="AJ2419" s="1"/>
      <c r="AK2419" s="1"/>
      <c r="AL2419" s="1"/>
      <c r="AM2419" s="2"/>
      <c r="AN2419" s="1"/>
      <c r="AO2419" s="1"/>
      <c r="AP2419" s="1"/>
      <c r="AQ2419" s="1"/>
      <c r="AR2419" s="1"/>
      <c r="AS2419" s="1"/>
      <c r="AT2419" s="1"/>
      <c r="AU2419" s="1"/>
      <c r="AV2419" s="1"/>
      <c r="AW2419" s="1"/>
      <c r="AX2419" s="1"/>
      <c r="AY2419" s="1"/>
      <c r="AZ2419" s="1"/>
      <c r="BA2419" s="1"/>
      <c r="BB2419" s="1"/>
      <c r="BC2419" s="1"/>
      <c r="BD2419" s="1"/>
      <c r="BE2419" s="1"/>
    </row>
    <row x14ac:dyDescent="0.25" r="2420" customHeight="1" ht="18.75">
      <c r="A2420" s="1"/>
      <c r="B2420" s="2"/>
      <c r="C2420" s="2"/>
      <c r="D2420" s="2"/>
      <c r="E2420" s="2"/>
      <c r="F2420" s="2"/>
      <c r="G2420" s="1"/>
      <c r="H2420" s="1"/>
      <c r="I2420" s="7">
        <v>2.417</v>
      </c>
      <c r="J2420" s="7">
        <f>IF((I2420-ROUNDDOWN(I2420,0))=0, 0, (I2420-ROUNDDOWN(I2420,0)))</f>
      </c>
      <c r="K2420" s="7">
        <f>INDIRECT("C$"&amp;2+MIN(2,ROUNDDOWN(I2420,0))*3)*(-$J2420^3+3*$J2420^2-3*$J2420+1)+INDIRECT("C$"&amp;3+MIN(2,ROUNDDOWN(I2420,0))*3)*(3*$J2420^3-6*$J2420^2+3*$J2420)+INDIRECT("C$"&amp;4+MIN(2,ROUNDDOWN(I2420,0))*3)*(-3*$J2420^3+3*$J2420^2)+INDIRECT("C$"&amp;5+MIN(2,ROUNDDOWN(I2420,0))*3)*$J2420^3</f>
      </c>
      <c r="L2420" s="7">
        <f>INDIRECT("D$"&amp;2+MIN(2,ROUNDDOWN(I2420,0))*3)*(-$J2420^3+3*$J2420^2-3*$J2420+1)+INDIRECT("D$"&amp;3+MIN(2,ROUNDDOWN(I2420,0))*3)*(3*$J2420^3-6*$J2420^2+3*$J2420)+INDIRECT("D$"&amp;4+MIN(2,ROUNDDOWN(I2420,0))*3)*(-3*$J2420^3+3*$J2420^2)+INDIRECT("D$"&amp;5+MIN(2,ROUNDDOWN(I2420,0))*3)*$J2420^3</f>
      </c>
      <c r="M2420" s="7">
        <f>SQRT(K2420^2+L2420^2)</f>
      </c>
      <c r="N2420" s="7">
        <f>(K2421-K2419)</f>
      </c>
      <c r="O2420" s="7">
        <f>+(L2421-L2419)</f>
      </c>
      <c r="P2420" s="7">
        <f>SQRT(O2420^2+N2420^2)</f>
      </c>
      <c r="Q2420" s="7">
        <f>N2420/$P2420</f>
      </c>
      <c r="R2420" s="7">
        <f>O2420/$P2420</f>
      </c>
      <c r="S2420" s="7">
        <f>Q2420^2+R2420^2</f>
      </c>
      <c r="T2420" s="7">
        <f>-R2420</f>
      </c>
      <c r="U2420" s="7">
        <f>Q2420</f>
      </c>
      <c r="V2420" s="7">
        <f>($C$14+($C$15-$C$14)/($D$15-$D$14)*(I2420-$D$14))/2</f>
      </c>
      <c r="W2420" s="7">
        <f>($B$22*I2420^4+$C$22*I2420^3+$D$22*I2420^2+$E$22*I2420+$F$22)/2</f>
      </c>
      <c r="X2420" s="7">
        <f>($W2420)*(T2420)</f>
      </c>
      <c r="Y2420" s="7">
        <f>($W2420)*(U2420)</f>
      </c>
      <c r="Z2420" s="7">
        <f>SQRT(X2420^2+Y2420^2)</f>
      </c>
      <c r="AA2420" s="7">
        <f>$K2420+$X2420</f>
      </c>
      <c r="AB2420" s="7">
        <f>$L2420+$Y2420</f>
      </c>
      <c r="AC2420" s="7">
        <f>$K2420-$X2420</f>
      </c>
      <c r="AD2420" s="7">
        <f>$L2420-$Y2420</f>
      </c>
      <c r="AE2420" s="7">
        <f>AA2420/39.3701</f>
      </c>
      <c r="AF2420" s="7">
        <f>AB2420/39.3701</f>
      </c>
      <c r="AG2420" s="7">
        <f>AC2420/39.3701</f>
      </c>
      <c r="AH2420" s="7">
        <f>AD2420/39.3701</f>
      </c>
      <c r="AI2420" s="1"/>
      <c r="AJ2420" s="1"/>
      <c r="AK2420" s="1"/>
      <c r="AL2420" s="1"/>
      <c r="AM2420" s="2"/>
      <c r="AN2420" s="1"/>
      <c r="AO2420" s="1"/>
      <c r="AP2420" s="1"/>
      <c r="AQ2420" s="1"/>
      <c r="AR2420" s="1"/>
      <c r="AS2420" s="1"/>
      <c r="AT2420" s="1"/>
      <c r="AU2420" s="1"/>
      <c r="AV2420" s="1"/>
      <c r="AW2420" s="1"/>
      <c r="AX2420" s="1"/>
      <c r="AY2420" s="1"/>
      <c r="AZ2420" s="1"/>
      <c r="BA2420" s="1"/>
      <c r="BB2420" s="1"/>
      <c r="BC2420" s="1"/>
      <c r="BD2420" s="1"/>
      <c r="BE2420" s="1"/>
    </row>
    <row x14ac:dyDescent="0.25" r="2421" customHeight="1" ht="18.75">
      <c r="A2421" s="1"/>
      <c r="B2421" s="2"/>
      <c r="C2421" s="2"/>
      <c r="D2421" s="2"/>
      <c r="E2421" s="2"/>
      <c r="F2421" s="2"/>
      <c r="G2421" s="1"/>
      <c r="H2421" s="1"/>
      <c r="I2421" s="7">
        <v>2.418</v>
      </c>
      <c r="J2421" s="7">
        <f>IF((I2421-ROUNDDOWN(I2421,0))=0, 0, (I2421-ROUNDDOWN(I2421,0)))</f>
      </c>
      <c r="K2421" s="7">
        <f>INDIRECT("C$"&amp;2+MIN(2,ROUNDDOWN(I2421,0))*3)*(-$J2421^3+3*$J2421^2-3*$J2421+1)+INDIRECT("C$"&amp;3+MIN(2,ROUNDDOWN(I2421,0))*3)*(3*$J2421^3-6*$J2421^2+3*$J2421)+INDIRECT("C$"&amp;4+MIN(2,ROUNDDOWN(I2421,0))*3)*(-3*$J2421^3+3*$J2421^2)+INDIRECT("C$"&amp;5+MIN(2,ROUNDDOWN(I2421,0))*3)*$J2421^3</f>
      </c>
      <c r="L2421" s="7">
        <f>INDIRECT("D$"&amp;2+MIN(2,ROUNDDOWN(I2421,0))*3)*(-$J2421^3+3*$J2421^2-3*$J2421+1)+INDIRECT("D$"&amp;3+MIN(2,ROUNDDOWN(I2421,0))*3)*(3*$J2421^3-6*$J2421^2+3*$J2421)+INDIRECT("D$"&amp;4+MIN(2,ROUNDDOWN(I2421,0))*3)*(-3*$J2421^3+3*$J2421^2)+INDIRECT("D$"&amp;5+MIN(2,ROUNDDOWN(I2421,0))*3)*$J2421^3</f>
      </c>
      <c r="M2421" s="7">
        <f>SQRT(K2421^2+L2421^2)</f>
      </c>
      <c r="N2421" s="7">
        <f>(K2422-K2420)</f>
      </c>
      <c r="O2421" s="7">
        <f>+(L2422-L2420)</f>
      </c>
      <c r="P2421" s="7">
        <f>SQRT(O2421^2+N2421^2)</f>
      </c>
      <c r="Q2421" s="7">
        <f>N2421/$P2421</f>
      </c>
      <c r="R2421" s="7">
        <f>O2421/$P2421</f>
      </c>
      <c r="S2421" s="8">
        <f>Q2421^2+R2421^2</f>
      </c>
      <c r="T2421" s="7">
        <f>-R2421</f>
      </c>
      <c r="U2421" s="7">
        <f>Q2421</f>
      </c>
      <c r="V2421" s="7">
        <f>($C$14+($C$15-$C$14)/($D$15-$D$14)*(I2421-$D$14))/2</f>
      </c>
      <c r="W2421" s="7">
        <f>($B$22*I2421^4+$C$22*I2421^3+$D$22*I2421^2+$E$22*I2421+$F$22)/2</f>
      </c>
      <c r="X2421" s="7">
        <f>($W2421)*(T2421)</f>
      </c>
      <c r="Y2421" s="7">
        <f>($W2421)*(U2421)</f>
      </c>
      <c r="Z2421" s="7">
        <f>SQRT(X2421^2+Y2421^2)</f>
      </c>
      <c r="AA2421" s="7">
        <f>$K2421+$X2421</f>
      </c>
      <c r="AB2421" s="7">
        <f>$L2421+$Y2421</f>
      </c>
      <c r="AC2421" s="7">
        <f>$K2421-$X2421</f>
      </c>
      <c r="AD2421" s="7">
        <f>$L2421-$Y2421</f>
      </c>
      <c r="AE2421" s="7">
        <f>AA2421/39.3701</f>
      </c>
      <c r="AF2421" s="7">
        <f>AB2421/39.3701</f>
      </c>
      <c r="AG2421" s="7">
        <f>AC2421/39.3701</f>
      </c>
      <c r="AH2421" s="7">
        <f>AD2421/39.3701</f>
      </c>
      <c r="AI2421" s="1"/>
      <c r="AJ2421" s="1"/>
      <c r="AK2421" s="1"/>
      <c r="AL2421" s="1"/>
      <c r="AM2421" s="2"/>
      <c r="AN2421" s="1"/>
      <c r="AO2421" s="1"/>
      <c r="AP2421" s="1"/>
      <c r="AQ2421" s="1"/>
      <c r="AR2421" s="1"/>
      <c r="AS2421" s="1"/>
      <c r="AT2421" s="1"/>
      <c r="AU2421" s="1"/>
      <c r="AV2421" s="1"/>
      <c r="AW2421" s="1"/>
      <c r="AX2421" s="1"/>
      <c r="AY2421" s="1"/>
      <c r="AZ2421" s="1"/>
      <c r="BA2421" s="1"/>
      <c r="BB2421" s="1"/>
      <c r="BC2421" s="1"/>
      <c r="BD2421" s="1"/>
      <c r="BE2421" s="1"/>
    </row>
    <row x14ac:dyDescent="0.25" r="2422" customHeight="1" ht="18.75">
      <c r="A2422" s="1"/>
      <c r="B2422" s="2"/>
      <c r="C2422" s="2"/>
      <c r="D2422" s="2"/>
      <c r="E2422" s="2"/>
      <c r="F2422" s="2"/>
      <c r="G2422" s="1"/>
      <c r="H2422" s="1"/>
      <c r="I2422" s="7">
        <v>2.419</v>
      </c>
      <c r="J2422" s="7">
        <f>IF((I2422-ROUNDDOWN(I2422,0))=0, 0, (I2422-ROUNDDOWN(I2422,0)))</f>
      </c>
      <c r="K2422" s="7">
        <f>INDIRECT("C$"&amp;2+MIN(2,ROUNDDOWN(I2422,0))*3)*(-$J2422^3+3*$J2422^2-3*$J2422+1)+INDIRECT("C$"&amp;3+MIN(2,ROUNDDOWN(I2422,0))*3)*(3*$J2422^3-6*$J2422^2+3*$J2422)+INDIRECT("C$"&amp;4+MIN(2,ROUNDDOWN(I2422,0))*3)*(-3*$J2422^3+3*$J2422^2)+INDIRECT("C$"&amp;5+MIN(2,ROUNDDOWN(I2422,0))*3)*$J2422^3</f>
      </c>
      <c r="L2422" s="7">
        <f>INDIRECT("D$"&amp;2+MIN(2,ROUNDDOWN(I2422,0))*3)*(-$J2422^3+3*$J2422^2-3*$J2422+1)+INDIRECT("D$"&amp;3+MIN(2,ROUNDDOWN(I2422,0))*3)*(3*$J2422^3-6*$J2422^2+3*$J2422)+INDIRECT("D$"&amp;4+MIN(2,ROUNDDOWN(I2422,0))*3)*(-3*$J2422^3+3*$J2422^2)+INDIRECT("D$"&amp;5+MIN(2,ROUNDDOWN(I2422,0))*3)*$J2422^3</f>
      </c>
      <c r="M2422" s="7">
        <f>SQRT(K2422^2+L2422^2)</f>
      </c>
      <c r="N2422" s="7">
        <f>(K2423-K2421)</f>
      </c>
      <c r="O2422" s="7">
        <f>+(L2423-L2421)</f>
      </c>
      <c r="P2422" s="7">
        <f>SQRT(O2422^2+N2422^2)</f>
      </c>
      <c r="Q2422" s="7">
        <f>N2422/$P2422</f>
      </c>
      <c r="R2422" s="7">
        <f>O2422/$P2422</f>
      </c>
      <c r="S2422" s="8">
        <f>Q2422^2+R2422^2</f>
      </c>
      <c r="T2422" s="7">
        <f>-R2422</f>
      </c>
      <c r="U2422" s="7">
        <f>Q2422</f>
      </c>
      <c r="V2422" s="7">
        <f>($C$14+($C$15-$C$14)/($D$15-$D$14)*(I2422-$D$14))/2</f>
      </c>
      <c r="W2422" s="7">
        <f>($B$22*I2422^4+$C$22*I2422^3+$D$22*I2422^2+$E$22*I2422+$F$22)/2</f>
      </c>
      <c r="X2422" s="7">
        <f>($W2422)*(T2422)</f>
      </c>
      <c r="Y2422" s="7">
        <f>($W2422)*(U2422)</f>
      </c>
      <c r="Z2422" s="7">
        <f>SQRT(X2422^2+Y2422^2)</f>
      </c>
      <c r="AA2422" s="7">
        <f>$K2422+$X2422</f>
      </c>
      <c r="AB2422" s="7">
        <f>$L2422+$Y2422</f>
      </c>
      <c r="AC2422" s="7">
        <f>$K2422-$X2422</f>
      </c>
      <c r="AD2422" s="7">
        <f>$L2422-$Y2422</f>
      </c>
      <c r="AE2422" s="7">
        <f>AA2422/39.3701</f>
      </c>
      <c r="AF2422" s="7">
        <f>AB2422/39.3701</f>
      </c>
      <c r="AG2422" s="7">
        <f>AC2422/39.3701</f>
      </c>
      <c r="AH2422" s="7">
        <f>AD2422/39.3701</f>
      </c>
      <c r="AI2422" s="1"/>
      <c r="AJ2422" s="1"/>
      <c r="AK2422" s="1"/>
      <c r="AL2422" s="1"/>
      <c r="AM2422" s="2"/>
      <c r="AN2422" s="1"/>
      <c r="AO2422" s="1"/>
      <c r="AP2422" s="1"/>
      <c r="AQ2422" s="1"/>
      <c r="AR2422" s="1"/>
      <c r="AS2422" s="1"/>
      <c r="AT2422" s="1"/>
      <c r="AU2422" s="1"/>
      <c r="AV2422" s="1"/>
      <c r="AW2422" s="1"/>
      <c r="AX2422" s="1"/>
      <c r="AY2422" s="1"/>
      <c r="AZ2422" s="1"/>
      <c r="BA2422" s="1"/>
      <c r="BB2422" s="1"/>
      <c r="BC2422" s="1"/>
      <c r="BD2422" s="1"/>
      <c r="BE2422" s="1"/>
    </row>
    <row x14ac:dyDescent="0.25" r="2423" customHeight="1" ht="18.75">
      <c r="A2423" s="1"/>
      <c r="B2423" s="2"/>
      <c r="C2423" s="2"/>
      <c r="D2423" s="2"/>
      <c r="E2423" s="2"/>
      <c r="F2423" s="2"/>
      <c r="G2423" s="1"/>
      <c r="H2423" s="1"/>
      <c r="I2423" s="7">
        <v>2.42</v>
      </c>
      <c r="J2423" s="7">
        <f>IF((I2423-ROUNDDOWN(I2423,0))=0, 0, (I2423-ROUNDDOWN(I2423,0)))</f>
      </c>
      <c r="K2423" s="7">
        <f>INDIRECT("C$"&amp;2+MIN(2,ROUNDDOWN(I2423,0))*3)*(-$J2423^3+3*$J2423^2-3*$J2423+1)+INDIRECT("C$"&amp;3+MIN(2,ROUNDDOWN(I2423,0))*3)*(3*$J2423^3-6*$J2423^2+3*$J2423)+INDIRECT("C$"&amp;4+MIN(2,ROUNDDOWN(I2423,0))*3)*(-3*$J2423^3+3*$J2423^2)+INDIRECT("C$"&amp;5+MIN(2,ROUNDDOWN(I2423,0))*3)*$J2423^3</f>
      </c>
      <c r="L2423" s="7">
        <f>INDIRECT("D$"&amp;2+MIN(2,ROUNDDOWN(I2423,0))*3)*(-$J2423^3+3*$J2423^2-3*$J2423+1)+INDIRECT("D$"&amp;3+MIN(2,ROUNDDOWN(I2423,0))*3)*(3*$J2423^3-6*$J2423^2+3*$J2423)+INDIRECT("D$"&amp;4+MIN(2,ROUNDDOWN(I2423,0))*3)*(-3*$J2423^3+3*$J2423^2)+INDIRECT("D$"&amp;5+MIN(2,ROUNDDOWN(I2423,0))*3)*$J2423^3</f>
      </c>
      <c r="M2423" s="7">
        <f>SQRT(K2423^2+L2423^2)</f>
      </c>
      <c r="N2423" s="7">
        <f>(K2424-K2422)</f>
      </c>
      <c r="O2423" s="7">
        <f>+(L2424-L2422)</f>
      </c>
      <c r="P2423" s="7">
        <f>SQRT(O2423^2+N2423^2)</f>
      </c>
      <c r="Q2423" s="7">
        <f>N2423/$P2423</f>
      </c>
      <c r="R2423" s="7">
        <f>O2423/$P2423</f>
      </c>
      <c r="S2423" s="8">
        <f>Q2423^2+R2423^2</f>
      </c>
      <c r="T2423" s="7">
        <f>-R2423</f>
      </c>
      <c r="U2423" s="7">
        <f>Q2423</f>
      </c>
      <c r="V2423" s="7">
        <f>($C$14+($C$15-$C$14)/($D$15-$D$14)*(I2423-$D$14))/2</f>
      </c>
      <c r="W2423" s="7">
        <f>($B$22*I2423^4+$C$22*I2423^3+$D$22*I2423^2+$E$22*I2423+$F$22)/2</f>
      </c>
      <c r="X2423" s="7">
        <f>($W2423)*(T2423)</f>
      </c>
      <c r="Y2423" s="7">
        <f>($W2423)*(U2423)</f>
      </c>
      <c r="Z2423" s="7">
        <f>SQRT(X2423^2+Y2423^2)</f>
      </c>
      <c r="AA2423" s="7">
        <f>$K2423+$X2423</f>
      </c>
      <c r="AB2423" s="7">
        <f>$L2423+$Y2423</f>
      </c>
      <c r="AC2423" s="7">
        <f>$K2423-$X2423</f>
      </c>
      <c r="AD2423" s="7">
        <f>$L2423-$Y2423</f>
      </c>
      <c r="AE2423" s="7">
        <f>AA2423/39.3701</f>
      </c>
      <c r="AF2423" s="7">
        <f>AB2423/39.3701</f>
      </c>
      <c r="AG2423" s="7">
        <f>AC2423/39.3701</f>
      </c>
      <c r="AH2423" s="7">
        <f>AD2423/39.3701</f>
      </c>
      <c r="AI2423" s="1"/>
      <c r="AJ2423" s="1"/>
      <c r="AK2423" s="1"/>
      <c r="AL2423" s="1"/>
      <c r="AM2423" s="2"/>
      <c r="AN2423" s="1"/>
      <c r="AO2423" s="1"/>
      <c r="AP2423" s="1"/>
      <c r="AQ2423" s="1"/>
      <c r="AR2423" s="1"/>
      <c r="AS2423" s="1"/>
      <c r="AT2423" s="1"/>
      <c r="AU2423" s="1"/>
      <c r="AV2423" s="1"/>
      <c r="AW2423" s="1"/>
      <c r="AX2423" s="1"/>
      <c r="AY2423" s="1"/>
      <c r="AZ2423" s="1"/>
      <c r="BA2423" s="1"/>
      <c r="BB2423" s="1"/>
      <c r="BC2423" s="1"/>
      <c r="BD2423" s="1"/>
      <c r="BE2423" s="1"/>
    </row>
    <row x14ac:dyDescent="0.25" r="2424" customHeight="1" ht="18.75">
      <c r="A2424" s="1"/>
      <c r="B2424" s="2"/>
      <c r="C2424" s="2"/>
      <c r="D2424" s="2"/>
      <c r="E2424" s="2"/>
      <c r="F2424" s="2"/>
      <c r="G2424" s="1"/>
      <c r="H2424" s="1"/>
      <c r="I2424" s="7">
        <v>2.421</v>
      </c>
      <c r="J2424" s="7">
        <f>IF((I2424-ROUNDDOWN(I2424,0))=0, 0, (I2424-ROUNDDOWN(I2424,0)))</f>
      </c>
      <c r="K2424" s="7">
        <f>INDIRECT("C$"&amp;2+MIN(2,ROUNDDOWN(I2424,0))*3)*(-$J2424^3+3*$J2424^2-3*$J2424+1)+INDIRECT("C$"&amp;3+MIN(2,ROUNDDOWN(I2424,0))*3)*(3*$J2424^3-6*$J2424^2+3*$J2424)+INDIRECT("C$"&amp;4+MIN(2,ROUNDDOWN(I2424,0))*3)*(-3*$J2424^3+3*$J2424^2)+INDIRECT("C$"&amp;5+MIN(2,ROUNDDOWN(I2424,0))*3)*$J2424^3</f>
      </c>
      <c r="L2424" s="7">
        <f>INDIRECT("D$"&amp;2+MIN(2,ROUNDDOWN(I2424,0))*3)*(-$J2424^3+3*$J2424^2-3*$J2424+1)+INDIRECT("D$"&amp;3+MIN(2,ROUNDDOWN(I2424,0))*3)*(3*$J2424^3-6*$J2424^2+3*$J2424)+INDIRECT("D$"&amp;4+MIN(2,ROUNDDOWN(I2424,0))*3)*(-3*$J2424^3+3*$J2424^2)+INDIRECT("D$"&amp;5+MIN(2,ROUNDDOWN(I2424,0))*3)*$J2424^3</f>
      </c>
      <c r="M2424" s="7">
        <f>SQRT(K2424^2+L2424^2)</f>
      </c>
      <c r="N2424" s="7">
        <f>(K2425-K2423)</f>
      </c>
      <c r="O2424" s="7">
        <f>+(L2425-L2423)</f>
      </c>
      <c r="P2424" s="7">
        <f>SQRT(O2424^2+N2424^2)</f>
      </c>
      <c r="Q2424" s="7">
        <f>N2424/$P2424</f>
      </c>
      <c r="R2424" s="7">
        <f>O2424/$P2424</f>
      </c>
      <c r="S2424" s="8">
        <f>Q2424^2+R2424^2</f>
      </c>
      <c r="T2424" s="7">
        <f>-R2424</f>
      </c>
      <c r="U2424" s="7">
        <f>Q2424</f>
      </c>
      <c r="V2424" s="7">
        <f>($C$14+($C$15-$C$14)/($D$15-$D$14)*(I2424-$D$14))/2</f>
      </c>
      <c r="W2424" s="7">
        <f>($B$22*I2424^4+$C$22*I2424^3+$D$22*I2424^2+$E$22*I2424+$F$22)/2</f>
      </c>
      <c r="X2424" s="7">
        <f>($W2424)*(T2424)</f>
      </c>
      <c r="Y2424" s="7">
        <f>($W2424)*(U2424)</f>
      </c>
      <c r="Z2424" s="7">
        <f>SQRT(X2424^2+Y2424^2)</f>
      </c>
      <c r="AA2424" s="7">
        <f>$K2424+$X2424</f>
      </c>
      <c r="AB2424" s="7">
        <f>$L2424+$Y2424</f>
      </c>
      <c r="AC2424" s="7">
        <f>$K2424-$X2424</f>
      </c>
      <c r="AD2424" s="7">
        <f>$L2424-$Y2424</f>
      </c>
      <c r="AE2424" s="7">
        <f>AA2424/39.3701</f>
      </c>
      <c r="AF2424" s="7">
        <f>AB2424/39.3701</f>
      </c>
      <c r="AG2424" s="7">
        <f>AC2424/39.3701</f>
      </c>
      <c r="AH2424" s="7">
        <f>AD2424/39.3701</f>
      </c>
      <c r="AI2424" s="1"/>
      <c r="AJ2424" s="1"/>
      <c r="AK2424" s="1"/>
      <c r="AL2424" s="1"/>
      <c r="AM2424" s="2"/>
      <c r="AN2424" s="1"/>
      <c r="AO2424" s="1"/>
      <c r="AP2424" s="1"/>
      <c r="AQ2424" s="1"/>
      <c r="AR2424" s="1"/>
      <c r="AS2424" s="1"/>
      <c r="AT2424" s="1"/>
      <c r="AU2424" s="1"/>
      <c r="AV2424" s="1"/>
      <c r="AW2424" s="1"/>
      <c r="AX2424" s="1"/>
      <c r="AY2424" s="1"/>
      <c r="AZ2424" s="1"/>
      <c r="BA2424" s="1"/>
      <c r="BB2424" s="1"/>
      <c r="BC2424" s="1"/>
      <c r="BD2424" s="1"/>
      <c r="BE2424" s="1"/>
    </row>
    <row x14ac:dyDescent="0.25" r="2425" customHeight="1" ht="18.75">
      <c r="A2425" s="1"/>
      <c r="B2425" s="2"/>
      <c r="C2425" s="2"/>
      <c r="D2425" s="2"/>
      <c r="E2425" s="2"/>
      <c r="F2425" s="2"/>
      <c r="G2425" s="1"/>
      <c r="H2425" s="1"/>
      <c r="I2425" s="7">
        <v>2.422</v>
      </c>
      <c r="J2425" s="7">
        <f>IF((I2425-ROUNDDOWN(I2425,0))=0, 0, (I2425-ROUNDDOWN(I2425,0)))</f>
      </c>
      <c r="K2425" s="7">
        <f>INDIRECT("C$"&amp;2+MIN(2,ROUNDDOWN(I2425,0))*3)*(-$J2425^3+3*$J2425^2-3*$J2425+1)+INDIRECT("C$"&amp;3+MIN(2,ROUNDDOWN(I2425,0))*3)*(3*$J2425^3-6*$J2425^2+3*$J2425)+INDIRECT("C$"&amp;4+MIN(2,ROUNDDOWN(I2425,0))*3)*(-3*$J2425^3+3*$J2425^2)+INDIRECT("C$"&amp;5+MIN(2,ROUNDDOWN(I2425,0))*3)*$J2425^3</f>
      </c>
      <c r="L2425" s="7">
        <f>INDIRECT("D$"&amp;2+MIN(2,ROUNDDOWN(I2425,0))*3)*(-$J2425^3+3*$J2425^2-3*$J2425+1)+INDIRECT("D$"&amp;3+MIN(2,ROUNDDOWN(I2425,0))*3)*(3*$J2425^3-6*$J2425^2+3*$J2425)+INDIRECT("D$"&amp;4+MIN(2,ROUNDDOWN(I2425,0))*3)*(-3*$J2425^3+3*$J2425^2)+INDIRECT("D$"&amp;5+MIN(2,ROUNDDOWN(I2425,0))*3)*$J2425^3</f>
      </c>
      <c r="M2425" s="7">
        <f>SQRT(K2425^2+L2425^2)</f>
      </c>
      <c r="N2425" s="7">
        <f>(K2426-K2424)</f>
      </c>
      <c r="O2425" s="7">
        <f>+(L2426-L2424)</f>
      </c>
      <c r="P2425" s="7">
        <f>SQRT(O2425^2+N2425^2)</f>
      </c>
      <c r="Q2425" s="7">
        <f>N2425/$P2425</f>
      </c>
      <c r="R2425" s="7">
        <f>O2425/$P2425</f>
      </c>
      <c r="S2425" s="8">
        <f>Q2425^2+R2425^2</f>
      </c>
      <c r="T2425" s="7">
        <f>-R2425</f>
      </c>
      <c r="U2425" s="7">
        <f>Q2425</f>
      </c>
      <c r="V2425" s="7">
        <f>($C$14+($C$15-$C$14)/($D$15-$D$14)*(I2425-$D$14))/2</f>
      </c>
      <c r="W2425" s="7">
        <f>($B$22*I2425^4+$C$22*I2425^3+$D$22*I2425^2+$E$22*I2425+$F$22)/2</f>
      </c>
      <c r="X2425" s="7">
        <f>($W2425)*(T2425)</f>
      </c>
      <c r="Y2425" s="7">
        <f>($W2425)*(U2425)</f>
      </c>
      <c r="Z2425" s="7">
        <f>SQRT(X2425^2+Y2425^2)</f>
      </c>
      <c r="AA2425" s="7">
        <f>$K2425+$X2425</f>
      </c>
      <c r="AB2425" s="7">
        <f>$L2425+$Y2425</f>
      </c>
      <c r="AC2425" s="7">
        <f>$K2425-$X2425</f>
      </c>
      <c r="AD2425" s="7">
        <f>$L2425-$Y2425</f>
      </c>
      <c r="AE2425" s="7">
        <f>AA2425/39.3701</f>
      </c>
      <c r="AF2425" s="7">
        <f>AB2425/39.3701</f>
      </c>
      <c r="AG2425" s="7">
        <f>AC2425/39.3701</f>
      </c>
      <c r="AH2425" s="7">
        <f>AD2425/39.3701</f>
      </c>
      <c r="AI2425" s="1"/>
      <c r="AJ2425" s="1"/>
      <c r="AK2425" s="1"/>
      <c r="AL2425" s="1"/>
      <c r="AM2425" s="2"/>
      <c r="AN2425" s="1"/>
      <c r="AO2425" s="1"/>
      <c r="AP2425" s="1"/>
      <c r="AQ2425" s="1"/>
      <c r="AR2425" s="1"/>
      <c r="AS2425" s="1"/>
      <c r="AT2425" s="1"/>
      <c r="AU2425" s="1"/>
      <c r="AV2425" s="1"/>
      <c r="AW2425" s="1"/>
      <c r="AX2425" s="1"/>
      <c r="AY2425" s="1"/>
      <c r="AZ2425" s="1"/>
      <c r="BA2425" s="1"/>
      <c r="BB2425" s="1"/>
      <c r="BC2425" s="1"/>
      <c r="BD2425" s="1"/>
      <c r="BE2425" s="1"/>
    </row>
    <row x14ac:dyDescent="0.25" r="2426" customHeight="1" ht="18.75">
      <c r="A2426" s="1"/>
      <c r="B2426" s="2"/>
      <c r="C2426" s="2"/>
      <c r="D2426" s="2"/>
      <c r="E2426" s="2"/>
      <c r="F2426" s="2"/>
      <c r="G2426" s="1"/>
      <c r="H2426" s="1"/>
      <c r="I2426" s="7">
        <v>2.423</v>
      </c>
      <c r="J2426" s="7">
        <f>IF((I2426-ROUNDDOWN(I2426,0))=0, 0, (I2426-ROUNDDOWN(I2426,0)))</f>
      </c>
      <c r="K2426" s="7">
        <f>INDIRECT("C$"&amp;2+MIN(2,ROUNDDOWN(I2426,0))*3)*(-$J2426^3+3*$J2426^2-3*$J2426+1)+INDIRECT("C$"&amp;3+MIN(2,ROUNDDOWN(I2426,0))*3)*(3*$J2426^3-6*$J2426^2+3*$J2426)+INDIRECT("C$"&amp;4+MIN(2,ROUNDDOWN(I2426,0))*3)*(-3*$J2426^3+3*$J2426^2)+INDIRECT("C$"&amp;5+MIN(2,ROUNDDOWN(I2426,0))*3)*$J2426^3</f>
      </c>
      <c r="L2426" s="7">
        <f>INDIRECT("D$"&amp;2+MIN(2,ROUNDDOWN(I2426,0))*3)*(-$J2426^3+3*$J2426^2-3*$J2426+1)+INDIRECT("D$"&amp;3+MIN(2,ROUNDDOWN(I2426,0))*3)*(3*$J2426^3-6*$J2426^2+3*$J2426)+INDIRECT("D$"&amp;4+MIN(2,ROUNDDOWN(I2426,0))*3)*(-3*$J2426^3+3*$J2426^2)+INDIRECT("D$"&amp;5+MIN(2,ROUNDDOWN(I2426,0))*3)*$J2426^3</f>
      </c>
      <c r="M2426" s="7">
        <f>SQRT(K2426^2+L2426^2)</f>
      </c>
      <c r="N2426" s="7">
        <f>(K2427-K2425)</f>
      </c>
      <c r="O2426" s="7">
        <f>+(L2427-L2425)</f>
      </c>
      <c r="P2426" s="7">
        <f>SQRT(O2426^2+N2426^2)</f>
      </c>
      <c r="Q2426" s="7">
        <f>N2426/$P2426</f>
      </c>
      <c r="R2426" s="7">
        <f>O2426/$P2426</f>
      </c>
      <c r="S2426" s="8">
        <f>Q2426^2+R2426^2</f>
      </c>
      <c r="T2426" s="7">
        <f>-R2426</f>
      </c>
      <c r="U2426" s="7">
        <f>Q2426</f>
      </c>
      <c r="V2426" s="7">
        <f>($C$14+($C$15-$C$14)/($D$15-$D$14)*(I2426-$D$14))/2</f>
      </c>
      <c r="W2426" s="7">
        <f>($B$22*I2426^4+$C$22*I2426^3+$D$22*I2426^2+$E$22*I2426+$F$22)/2</f>
      </c>
      <c r="X2426" s="7">
        <f>($W2426)*(T2426)</f>
      </c>
      <c r="Y2426" s="7">
        <f>($W2426)*(U2426)</f>
      </c>
      <c r="Z2426" s="7">
        <f>SQRT(X2426^2+Y2426^2)</f>
      </c>
      <c r="AA2426" s="7">
        <f>$K2426+$X2426</f>
      </c>
      <c r="AB2426" s="7">
        <f>$L2426+$Y2426</f>
      </c>
      <c r="AC2426" s="7">
        <f>$K2426-$X2426</f>
      </c>
      <c r="AD2426" s="7">
        <f>$L2426-$Y2426</f>
      </c>
      <c r="AE2426" s="7">
        <f>AA2426/39.3701</f>
      </c>
      <c r="AF2426" s="7">
        <f>AB2426/39.3701</f>
      </c>
      <c r="AG2426" s="7">
        <f>AC2426/39.3701</f>
      </c>
      <c r="AH2426" s="7">
        <f>AD2426/39.3701</f>
      </c>
      <c r="AI2426" s="1"/>
      <c r="AJ2426" s="1"/>
      <c r="AK2426" s="1"/>
      <c r="AL2426" s="1"/>
      <c r="AM2426" s="2"/>
      <c r="AN2426" s="1"/>
      <c r="AO2426" s="1"/>
      <c r="AP2426" s="1"/>
      <c r="AQ2426" s="1"/>
      <c r="AR2426" s="1"/>
      <c r="AS2426" s="1"/>
      <c r="AT2426" s="1"/>
      <c r="AU2426" s="1"/>
      <c r="AV2426" s="1"/>
      <c r="AW2426" s="1"/>
      <c r="AX2426" s="1"/>
      <c r="AY2426" s="1"/>
      <c r="AZ2426" s="1"/>
      <c r="BA2426" s="1"/>
      <c r="BB2426" s="1"/>
      <c r="BC2426" s="1"/>
      <c r="BD2426" s="1"/>
      <c r="BE2426" s="1"/>
    </row>
    <row x14ac:dyDescent="0.25" r="2427" customHeight="1" ht="18.75">
      <c r="A2427" s="1"/>
      <c r="B2427" s="2"/>
      <c r="C2427" s="2"/>
      <c r="D2427" s="2"/>
      <c r="E2427" s="2"/>
      <c r="F2427" s="2"/>
      <c r="G2427" s="1"/>
      <c r="H2427" s="1"/>
      <c r="I2427" s="7">
        <v>2.424</v>
      </c>
      <c r="J2427" s="7">
        <f>IF((I2427-ROUNDDOWN(I2427,0))=0, 0, (I2427-ROUNDDOWN(I2427,0)))</f>
      </c>
      <c r="K2427" s="7">
        <f>INDIRECT("C$"&amp;2+MIN(2,ROUNDDOWN(I2427,0))*3)*(-$J2427^3+3*$J2427^2-3*$J2427+1)+INDIRECT("C$"&amp;3+MIN(2,ROUNDDOWN(I2427,0))*3)*(3*$J2427^3-6*$J2427^2+3*$J2427)+INDIRECT("C$"&amp;4+MIN(2,ROUNDDOWN(I2427,0))*3)*(-3*$J2427^3+3*$J2427^2)+INDIRECT("C$"&amp;5+MIN(2,ROUNDDOWN(I2427,0))*3)*$J2427^3</f>
      </c>
      <c r="L2427" s="7">
        <f>INDIRECT("D$"&amp;2+MIN(2,ROUNDDOWN(I2427,0))*3)*(-$J2427^3+3*$J2427^2-3*$J2427+1)+INDIRECT("D$"&amp;3+MIN(2,ROUNDDOWN(I2427,0))*3)*(3*$J2427^3-6*$J2427^2+3*$J2427)+INDIRECT("D$"&amp;4+MIN(2,ROUNDDOWN(I2427,0))*3)*(-3*$J2427^3+3*$J2427^2)+INDIRECT("D$"&amp;5+MIN(2,ROUNDDOWN(I2427,0))*3)*$J2427^3</f>
      </c>
      <c r="M2427" s="7">
        <f>SQRT(K2427^2+L2427^2)</f>
      </c>
      <c r="N2427" s="7">
        <f>(K2428-K2426)</f>
      </c>
      <c r="O2427" s="7">
        <f>+(L2428-L2426)</f>
      </c>
      <c r="P2427" s="7">
        <f>SQRT(O2427^2+N2427^2)</f>
      </c>
      <c r="Q2427" s="7">
        <f>N2427/$P2427</f>
      </c>
      <c r="R2427" s="7">
        <f>O2427/$P2427</f>
      </c>
      <c r="S2427" s="8">
        <f>Q2427^2+R2427^2</f>
      </c>
      <c r="T2427" s="7">
        <f>-R2427</f>
      </c>
      <c r="U2427" s="7">
        <f>Q2427</f>
      </c>
      <c r="V2427" s="7">
        <f>($C$14+($C$15-$C$14)/($D$15-$D$14)*(I2427-$D$14))/2</f>
      </c>
      <c r="W2427" s="7">
        <f>($B$22*I2427^4+$C$22*I2427^3+$D$22*I2427^2+$E$22*I2427+$F$22)/2</f>
      </c>
      <c r="X2427" s="7">
        <f>($W2427)*(T2427)</f>
      </c>
      <c r="Y2427" s="7">
        <f>($W2427)*(U2427)</f>
      </c>
      <c r="Z2427" s="7">
        <f>SQRT(X2427^2+Y2427^2)</f>
      </c>
      <c r="AA2427" s="7">
        <f>$K2427+$X2427</f>
      </c>
      <c r="AB2427" s="7">
        <f>$L2427+$Y2427</f>
      </c>
      <c r="AC2427" s="7">
        <f>$K2427-$X2427</f>
      </c>
      <c r="AD2427" s="7">
        <f>$L2427-$Y2427</f>
      </c>
      <c r="AE2427" s="7">
        <f>AA2427/39.3701</f>
      </c>
      <c r="AF2427" s="7">
        <f>AB2427/39.3701</f>
      </c>
      <c r="AG2427" s="7">
        <f>AC2427/39.3701</f>
      </c>
      <c r="AH2427" s="7">
        <f>AD2427/39.3701</f>
      </c>
      <c r="AI2427" s="1"/>
      <c r="AJ2427" s="1"/>
      <c r="AK2427" s="1"/>
      <c r="AL2427" s="1"/>
      <c r="AM2427" s="2"/>
      <c r="AN2427" s="1"/>
      <c r="AO2427" s="1"/>
      <c r="AP2427" s="1"/>
      <c r="AQ2427" s="1"/>
      <c r="AR2427" s="1"/>
      <c r="AS2427" s="1"/>
      <c r="AT2427" s="1"/>
      <c r="AU2427" s="1"/>
      <c r="AV2427" s="1"/>
      <c r="AW2427" s="1"/>
      <c r="AX2427" s="1"/>
      <c r="AY2427" s="1"/>
      <c r="AZ2427" s="1"/>
      <c r="BA2427" s="1"/>
      <c r="BB2427" s="1"/>
      <c r="BC2427" s="1"/>
      <c r="BD2427" s="1"/>
      <c r="BE2427" s="1"/>
    </row>
    <row x14ac:dyDescent="0.25" r="2428" customHeight="1" ht="18.75">
      <c r="A2428" s="1"/>
      <c r="B2428" s="2"/>
      <c r="C2428" s="2"/>
      <c r="D2428" s="2"/>
      <c r="E2428" s="2"/>
      <c r="F2428" s="2"/>
      <c r="G2428" s="1"/>
      <c r="H2428" s="1"/>
      <c r="I2428" s="7">
        <v>2.425</v>
      </c>
      <c r="J2428" s="7">
        <f>IF((I2428-ROUNDDOWN(I2428,0))=0, 0, (I2428-ROUNDDOWN(I2428,0)))</f>
      </c>
      <c r="K2428" s="7">
        <f>INDIRECT("C$"&amp;2+MIN(2,ROUNDDOWN(I2428,0))*3)*(-$J2428^3+3*$J2428^2-3*$J2428+1)+INDIRECT("C$"&amp;3+MIN(2,ROUNDDOWN(I2428,0))*3)*(3*$J2428^3-6*$J2428^2+3*$J2428)+INDIRECT("C$"&amp;4+MIN(2,ROUNDDOWN(I2428,0))*3)*(-3*$J2428^3+3*$J2428^2)+INDIRECT("C$"&amp;5+MIN(2,ROUNDDOWN(I2428,0))*3)*$J2428^3</f>
      </c>
      <c r="L2428" s="7">
        <f>INDIRECT("D$"&amp;2+MIN(2,ROUNDDOWN(I2428,0))*3)*(-$J2428^3+3*$J2428^2-3*$J2428+1)+INDIRECT("D$"&amp;3+MIN(2,ROUNDDOWN(I2428,0))*3)*(3*$J2428^3-6*$J2428^2+3*$J2428)+INDIRECT("D$"&amp;4+MIN(2,ROUNDDOWN(I2428,0))*3)*(-3*$J2428^3+3*$J2428^2)+INDIRECT("D$"&amp;5+MIN(2,ROUNDDOWN(I2428,0))*3)*$J2428^3</f>
      </c>
      <c r="M2428" s="7">
        <f>SQRT(K2428^2+L2428^2)</f>
      </c>
      <c r="N2428" s="7">
        <f>(K2429-K2427)</f>
      </c>
      <c r="O2428" s="7">
        <f>+(L2429-L2427)</f>
      </c>
      <c r="P2428" s="7">
        <f>SQRT(O2428^2+N2428^2)</f>
      </c>
      <c r="Q2428" s="7">
        <f>N2428/$P2428</f>
      </c>
      <c r="R2428" s="7">
        <f>O2428/$P2428</f>
      </c>
      <c r="S2428" s="7">
        <f>Q2428^2+R2428^2</f>
      </c>
      <c r="T2428" s="7">
        <f>-R2428</f>
      </c>
      <c r="U2428" s="7">
        <f>Q2428</f>
      </c>
      <c r="V2428" s="7">
        <f>($C$14+($C$15-$C$14)/($D$15-$D$14)*(I2428-$D$14))/2</f>
      </c>
      <c r="W2428" s="7">
        <f>($B$22*I2428^4+$C$22*I2428^3+$D$22*I2428^2+$E$22*I2428+$F$22)/2</f>
      </c>
      <c r="X2428" s="7">
        <f>($W2428)*(T2428)</f>
      </c>
      <c r="Y2428" s="7">
        <f>($W2428)*(U2428)</f>
      </c>
      <c r="Z2428" s="7">
        <f>SQRT(X2428^2+Y2428^2)</f>
      </c>
      <c r="AA2428" s="7">
        <f>$K2428+$X2428</f>
      </c>
      <c r="AB2428" s="7">
        <f>$L2428+$Y2428</f>
      </c>
      <c r="AC2428" s="7">
        <f>$K2428-$X2428</f>
      </c>
      <c r="AD2428" s="7">
        <f>$L2428-$Y2428</f>
      </c>
      <c r="AE2428" s="7">
        <f>AA2428/39.3701</f>
      </c>
      <c r="AF2428" s="7">
        <f>AB2428/39.3701</f>
      </c>
      <c r="AG2428" s="7">
        <f>AC2428/39.3701</f>
      </c>
      <c r="AH2428" s="7">
        <f>AD2428/39.3701</f>
      </c>
      <c r="AI2428" s="1"/>
      <c r="AJ2428" s="1"/>
      <c r="AK2428" s="1"/>
      <c r="AL2428" s="1"/>
      <c r="AM2428" s="2"/>
      <c r="AN2428" s="1"/>
      <c r="AO2428" s="1"/>
      <c r="AP2428" s="1"/>
      <c r="AQ2428" s="1"/>
      <c r="AR2428" s="1"/>
      <c r="AS2428" s="1"/>
      <c r="AT2428" s="1"/>
      <c r="AU2428" s="1"/>
      <c r="AV2428" s="1"/>
      <c r="AW2428" s="1"/>
      <c r="AX2428" s="1"/>
      <c r="AY2428" s="1"/>
      <c r="AZ2428" s="1"/>
      <c r="BA2428" s="1"/>
      <c r="BB2428" s="1"/>
      <c r="BC2428" s="1"/>
      <c r="BD2428" s="1"/>
      <c r="BE2428" s="1"/>
    </row>
    <row x14ac:dyDescent="0.25" r="2429" customHeight="1" ht="18.75">
      <c r="A2429" s="1"/>
      <c r="B2429" s="2"/>
      <c r="C2429" s="2"/>
      <c r="D2429" s="2"/>
      <c r="E2429" s="2"/>
      <c r="F2429" s="2"/>
      <c r="G2429" s="1"/>
      <c r="H2429" s="1"/>
      <c r="I2429" s="7">
        <v>2.426</v>
      </c>
      <c r="J2429" s="7">
        <f>IF((I2429-ROUNDDOWN(I2429,0))=0, 0, (I2429-ROUNDDOWN(I2429,0)))</f>
      </c>
      <c r="K2429" s="7">
        <f>INDIRECT("C$"&amp;2+MIN(2,ROUNDDOWN(I2429,0))*3)*(-$J2429^3+3*$J2429^2-3*$J2429+1)+INDIRECT("C$"&amp;3+MIN(2,ROUNDDOWN(I2429,0))*3)*(3*$J2429^3-6*$J2429^2+3*$J2429)+INDIRECT("C$"&amp;4+MIN(2,ROUNDDOWN(I2429,0))*3)*(-3*$J2429^3+3*$J2429^2)+INDIRECT("C$"&amp;5+MIN(2,ROUNDDOWN(I2429,0))*3)*$J2429^3</f>
      </c>
      <c r="L2429" s="7">
        <f>INDIRECT("D$"&amp;2+MIN(2,ROUNDDOWN(I2429,0))*3)*(-$J2429^3+3*$J2429^2-3*$J2429+1)+INDIRECT("D$"&amp;3+MIN(2,ROUNDDOWN(I2429,0))*3)*(3*$J2429^3-6*$J2429^2+3*$J2429)+INDIRECT("D$"&amp;4+MIN(2,ROUNDDOWN(I2429,0))*3)*(-3*$J2429^3+3*$J2429^2)+INDIRECT("D$"&amp;5+MIN(2,ROUNDDOWN(I2429,0))*3)*$J2429^3</f>
      </c>
      <c r="M2429" s="7">
        <f>SQRT(K2429^2+L2429^2)</f>
      </c>
      <c r="N2429" s="7">
        <f>(K2430-K2428)</f>
      </c>
      <c r="O2429" s="7">
        <f>+(L2430-L2428)</f>
      </c>
      <c r="P2429" s="7">
        <f>SQRT(O2429^2+N2429^2)</f>
      </c>
      <c r="Q2429" s="7">
        <f>N2429/$P2429</f>
      </c>
      <c r="R2429" s="7">
        <f>O2429/$P2429</f>
      </c>
      <c r="S2429" s="7">
        <f>Q2429^2+R2429^2</f>
      </c>
      <c r="T2429" s="7">
        <f>-R2429</f>
      </c>
      <c r="U2429" s="7">
        <f>Q2429</f>
      </c>
      <c r="V2429" s="7">
        <f>($C$14+($C$15-$C$14)/($D$15-$D$14)*(I2429-$D$14))/2</f>
      </c>
      <c r="W2429" s="7">
        <f>($B$22*I2429^4+$C$22*I2429^3+$D$22*I2429^2+$E$22*I2429+$F$22)/2</f>
      </c>
      <c r="X2429" s="7">
        <f>($W2429)*(T2429)</f>
      </c>
      <c r="Y2429" s="7">
        <f>($W2429)*(U2429)</f>
      </c>
      <c r="Z2429" s="7">
        <f>SQRT(X2429^2+Y2429^2)</f>
      </c>
      <c r="AA2429" s="7">
        <f>$K2429+$X2429</f>
      </c>
      <c r="AB2429" s="7">
        <f>$L2429+$Y2429</f>
      </c>
      <c r="AC2429" s="7">
        <f>$K2429-$X2429</f>
      </c>
      <c r="AD2429" s="7">
        <f>$L2429-$Y2429</f>
      </c>
      <c r="AE2429" s="7">
        <f>AA2429/39.3701</f>
      </c>
      <c r="AF2429" s="7">
        <f>AB2429/39.3701</f>
      </c>
      <c r="AG2429" s="7">
        <f>AC2429/39.3701</f>
      </c>
      <c r="AH2429" s="7">
        <f>AD2429/39.3701</f>
      </c>
      <c r="AI2429" s="1"/>
      <c r="AJ2429" s="1"/>
      <c r="AK2429" s="1"/>
      <c r="AL2429" s="1"/>
      <c r="AM2429" s="2"/>
      <c r="AN2429" s="1"/>
      <c r="AO2429" s="1"/>
      <c r="AP2429" s="1"/>
      <c r="AQ2429" s="1"/>
      <c r="AR2429" s="1"/>
      <c r="AS2429" s="1"/>
      <c r="AT2429" s="1"/>
      <c r="AU2429" s="1"/>
      <c r="AV2429" s="1"/>
      <c r="AW2429" s="1"/>
      <c r="AX2429" s="1"/>
      <c r="AY2429" s="1"/>
      <c r="AZ2429" s="1"/>
      <c r="BA2429" s="1"/>
      <c r="BB2429" s="1"/>
      <c r="BC2429" s="1"/>
      <c r="BD2429" s="1"/>
      <c r="BE2429" s="1"/>
    </row>
    <row x14ac:dyDescent="0.25" r="2430" customHeight="1" ht="18.75">
      <c r="A2430" s="1"/>
      <c r="B2430" s="2"/>
      <c r="C2430" s="2"/>
      <c r="D2430" s="2"/>
      <c r="E2430" s="2"/>
      <c r="F2430" s="2"/>
      <c r="G2430" s="1"/>
      <c r="H2430" s="1"/>
      <c r="I2430" s="7">
        <v>2.427</v>
      </c>
      <c r="J2430" s="7">
        <f>IF((I2430-ROUNDDOWN(I2430,0))=0, 0, (I2430-ROUNDDOWN(I2430,0)))</f>
      </c>
      <c r="K2430" s="7">
        <f>INDIRECT("C$"&amp;2+MIN(2,ROUNDDOWN(I2430,0))*3)*(-$J2430^3+3*$J2430^2-3*$J2430+1)+INDIRECT("C$"&amp;3+MIN(2,ROUNDDOWN(I2430,0))*3)*(3*$J2430^3-6*$J2430^2+3*$J2430)+INDIRECT("C$"&amp;4+MIN(2,ROUNDDOWN(I2430,0))*3)*(-3*$J2430^3+3*$J2430^2)+INDIRECT("C$"&amp;5+MIN(2,ROUNDDOWN(I2430,0))*3)*$J2430^3</f>
      </c>
      <c r="L2430" s="7">
        <f>INDIRECT("D$"&amp;2+MIN(2,ROUNDDOWN(I2430,0))*3)*(-$J2430^3+3*$J2430^2-3*$J2430+1)+INDIRECT("D$"&amp;3+MIN(2,ROUNDDOWN(I2430,0))*3)*(3*$J2430^3-6*$J2430^2+3*$J2430)+INDIRECT("D$"&amp;4+MIN(2,ROUNDDOWN(I2430,0))*3)*(-3*$J2430^3+3*$J2430^2)+INDIRECT("D$"&amp;5+MIN(2,ROUNDDOWN(I2430,0))*3)*$J2430^3</f>
      </c>
      <c r="M2430" s="7">
        <f>SQRT(K2430^2+L2430^2)</f>
      </c>
      <c r="N2430" s="7">
        <f>(K2431-K2429)</f>
      </c>
      <c r="O2430" s="7">
        <f>+(L2431-L2429)</f>
      </c>
      <c r="P2430" s="7">
        <f>SQRT(O2430^2+N2430^2)</f>
      </c>
      <c r="Q2430" s="7">
        <f>N2430/$P2430</f>
      </c>
      <c r="R2430" s="7">
        <f>O2430/$P2430</f>
      </c>
      <c r="S2430" s="8">
        <f>Q2430^2+R2430^2</f>
      </c>
      <c r="T2430" s="7">
        <f>-R2430</f>
      </c>
      <c r="U2430" s="7">
        <f>Q2430</f>
      </c>
      <c r="V2430" s="7">
        <f>($C$14+($C$15-$C$14)/($D$15-$D$14)*(I2430-$D$14))/2</f>
      </c>
      <c r="W2430" s="7">
        <f>($B$22*I2430^4+$C$22*I2430^3+$D$22*I2430^2+$E$22*I2430+$F$22)/2</f>
      </c>
      <c r="X2430" s="7">
        <f>($W2430)*(T2430)</f>
      </c>
      <c r="Y2430" s="7">
        <f>($W2430)*(U2430)</f>
      </c>
      <c r="Z2430" s="7">
        <f>SQRT(X2430^2+Y2430^2)</f>
      </c>
      <c r="AA2430" s="7">
        <f>$K2430+$X2430</f>
      </c>
      <c r="AB2430" s="7">
        <f>$L2430+$Y2430</f>
      </c>
      <c r="AC2430" s="7">
        <f>$K2430-$X2430</f>
      </c>
      <c r="AD2430" s="7">
        <f>$L2430-$Y2430</f>
      </c>
      <c r="AE2430" s="7">
        <f>AA2430/39.3701</f>
      </c>
      <c r="AF2430" s="7">
        <f>AB2430/39.3701</f>
      </c>
      <c r="AG2430" s="7">
        <f>AC2430/39.3701</f>
      </c>
      <c r="AH2430" s="7">
        <f>AD2430/39.3701</f>
      </c>
      <c r="AI2430" s="1"/>
      <c r="AJ2430" s="1"/>
      <c r="AK2430" s="1"/>
      <c r="AL2430" s="1"/>
      <c r="AM2430" s="2"/>
      <c r="AN2430" s="1"/>
      <c r="AO2430" s="1"/>
      <c r="AP2430" s="1"/>
      <c r="AQ2430" s="1"/>
      <c r="AR2430" s="1"/>
      <c r="AS2430" s="1"/>
      <c r="AT2430" s="1"/>
      <c r="AU2430" s="1"/>
      <c r="AV2430" s="1"/>
      <c r="AW2430" s="1"/>
      <c r="AX2430" s="1"/>
      <c r="AY2430" s="1"/>
      <c r="AZ2430" s="1"/>
      <c r="BA2430" s="1"/>
      <c r="BB2430" s="1"/>
      <c r="BC2430" s="1"/>
      <c r="BD2430" s="1"/>
      <c r="BE2430" s="1"/>
    </row>
    <row x14ac:dyDescent="0.25" r="2431" customHeight="1" ht="18.75">
      <c r="A2431" s="1"/>
      <c r="B2431" s="2"/>
      <c r="C2431" s="2"/>
      <c r="D2431" s="2"/>
      <c r="E2431" s="2"/>
      <c r="F2431" s="2"/>
      <c r="G2431" s="1"/>
      <c r="H2431" s="1"/>
      <c r="I2431" s="7">
        <v>2.428</v>
      </c>
      <c r="J2431" s="7">
        <f>IF((I2431-ROUNDDOWN(I2431,0))=0, 0, (I2431-ROUNDDOWN(I2431,0)))</f>
      </c>
      <c r="K2431" s="7">
        <f>INDIRECT("C$"&amp;2+MIN(2,ROUNDDOWN(I2431,0))*3)*(-$J2431^3+3*$J2431^2-3*$J2431+1)+INDIRECT("C$"&amp;3+MIN(2,ROUNDDOWN(I2431,0))*3)*(3*$J2431^3-6*$J2431^2+3*$J2431)+INDIRECT("C$"&amp;4+MIN(2,ROUNDDOWN(I2431,0))*3)*(-3*$J2431^3+3*$J2431^2)+INDIRECT("C$"&amp;5+MIN(2,ROUNDDOWN(I2431,0))*3)*$J2431^3</f>
      </c>
      <c r="L2431" s="7">
        <f>INDIRECT("D$"&amp;2+MIN(2,ROUNDDOWN(I2431,0))*3)*(-$J2431^3+3*$J2431^2-3*$J2431+1)+INDIRECT("D$"&amp;3+MIN(2,ROUNDDOWN(I2431,0))*3)*(3*$J2431^3-6*$J2431^2+3*$J2431)+INDIRECT("D$"&amp;4+MIN(2,ROUNDDOWN(I2431,0))*3)*(-3*$J2431^3+3*$J2431^2)+INDIRECT("D$"&amp;5+MIN(2,ROUNDDOWN(I2431,0))*3)*$J2431^3</f>
      </c>
      <c r="M2431" s="7">
        <f>SQRT(K2431^2+L2431^2)</f>
      </c>
      <c r="N2431" s="7">
        <f>(K2432-K2430)</f>
      </c>
      <c r="O2431" s="7">
        <f>+(L2432-L2430)</f>
      </c>
      <c r="P2431" s="7">
        <f>SQRT(O2431^2+N2431^2)</f>
      </c>
      <c r="Q2431" s="7">
        <f>N2431/$P2431</f>
      </c>
      <c r="R2431" s="7">
        <f>O2431/$P2431</f>
      </c>
      <c r="S2431" s="7">
        <f>Q2431^2+R2431^2</f>
      </c>
      <c r="T2431" s="7">
        <f>-R2431</f>
      </c>
      <c r="U2431" s="7">
        <f>Q2431</f>
      </c>
      <c r="V2431" s="7">
        <f>($C$14+($C$15-$C$14)/($D$15-$D$14)*(I2431-$D$14))/2</f>
      </c>
      <c r="W2431" s="7">
        <f>($B$22*I2431^4+$C$22*I2431^3+$D$22*I2431^2+$E$22*I2431+$F$22)/2</f>
      </c>
      <c r="X2431" s="7">
        <f>($W2431)*(T2431)</f>
      </c>
      <c r="Y2431" s="7">
        <f>($W2431)*(U2431)</f>
      </c>
      <c r="Z2431" s="7">
        <f>SQRT(X2431^2+Y2431^2)</f>
      </c>
      <c r="AA2431" s="7">
        <f>$K2431+$X2431</f>
      </c>
      <c r="AB2431" s="7">
        <f>$L2431+$Y2431</f>
      </c>
      <c r="AC2431" s="7">
        <f>$K2431-$X2431</f>
      </c>
      <c r="AD2431" s="7">
        <f>$L2431-$Y2431</f>
      </c>
      <c r="AE2431" s="7">
        <f>AA2431/39.3701</f>
      </c>
      <c r="AF2431" s="7">
        <f>AB2431/39.3701</f>
      </c>
      <c r="AG2431" s="7">
        <f>AC2431/39.3701</f>
      </c>
      <c r="AH2431" s="7">
        <f>AD2431/39.3701</f>
      </c>
      <c r="AI2431" s="1"/>
      <c r="AJ2431" s="1"/>
      <c r="AK2431" s="1"/>
      <c r="AL2431" s="1"/>
      <c r="AM2431" s="2"/>
      <c r="AN2431" s="1"/>
      <c r="AO2431" s="1"/>
      <c r="AP2431" s="1"/>
      <c r="AQ2431" s="1"/>
      <c r="AR2431" s="1"/>
      <c r="AS2431" s="1"/>
      <c r="AT2431" s="1"/>
      <c r="AU2431" s="1"/>
      <c r="AV2431" s="1"/>
      <c r="AW2431" s="1"/>
      <c r="AX2431" s="1"/>
      <c r="AY2431" s="1"/>
      <c r="AZ2431" s="1"/>
      <c r="BA2431" s="1"/>
      <c r="BB2431" s="1"/>
      <c r="BC2431" s="1"/>
      <c r="BD2431" s="1"/>
      <c r="BE2431" s="1"/>
    </row>
    <row x14ac:dyDescent="0.25" r="2432" customHeight="1" ht="18.75">
      <c r="A2432" s="1"/>
      <c r="B2432" s="2"/>
      <c r="C2432" s="2"/>
      <c r="D2432" s="2"/>
      <c r="E2432" s="2"/>
      <c r="F2432" s="2"/>
      <c r="G2432" s="1"/>
      <c r="H2432" s="1"/>
      <c r="I2432" s="7">
        <v>2.429</v>
      </c>
      <c r="J2432" s="7">
        <f>IF((I2432-ROUNDDOWN(I2432,0))=0, 0, (I2432-ROUNDDOWN(I2432,0)))</f>
      </c>
      <c r="K2432" s="7">
        <f>INDIRECT("C$"&amp;2+MIN(2,ROUNDDOWN(I2432,0))*3)*(-$J2432^3+3*$J2432^2-3*$J2432+1)+INDIRECT("C$"&amp;3+MIN(2,ROUNDDOWN(I2432,0))*3)*(3*$J2432^3-6*$J2432^2+3*$J2432)+INDIRECT("C$"&amp;4+MIN(2,ROUNDDOWN(I2432,0))*3)*(-3*$J2432^3+3*$J2432^2)+INDIRECT("C$"&amp;5+MIN(2,ROUNDDOWN(I2432,0))*3)*$J2432^3</f>
      </c>
      <c r="L2432" s="7">
        <f>INDIRECT("D$"&amp;2+MIN(2,ROUNDDOWN(I2432,0))*3)*(-$J2432^3+3*$J2432^2-3*$J2432+1)+INDIRECT("D$"&amp;3+MIN(2,ROUNDDOWN(I2432,0))*3)*(3*$J2432^3-6*$J2432^2+3*$J2432)+INDIRECT("D$"&amp;4+MIN(2,ROUNDDOWN(I2432,0))*3)*(-3*$J2432^3+3*$J2432^2)+INDIRECT("D$"&amp;5+MIN(2,ROUNDDOWN(I2432,0))*3)*$J2432^3</f>
      </c>
      <c r="M2432" s="7">
        <f>SQRT(K2432^2+L2432^2)</f>
      </c>
      <c r="N2432" s="7">
        <f>(K2433-K2431)</f>
      </c>
      <c r="O2432" s="7">
        <f>+(L2433-L2431)</f>
      </c>
      <c r="P2432" s="7">
        <f>SQRT(O2432^2+N2432^2)</f>
      </c>
      <c r="Q2432" s="7">
        <f>N2432/$P2432</f>
      </c>
      <c r="R2432" s="7">
        <f>O2432/$P2432</f>
      </c>
      <c r="S2432" s="7">
        <f>Q2432^2+R2432^2</f>
      </c>
      <c r="T2432" s="7">
        <f>-R2432</f>
      </c>
      <c r="U2432" s="7">
        <f>Q2432</f>
      </c>
      <c r="V2432" s="7">
        <f>($C$14+($C$15-$C$14)/($D$15-$D$14)*(I2432-$D$14))/2</f>
      </c>
      <c r="W2432" s="7">
        <f>($B$22*I2432^4+$C$22*I2432^3+$D$22*I2432^2+$E$22*I2432+$F$22)/2</f>
      </c>
      <c r="X2432" s="7">
        <f>($W2432)*(T2432)</f>
      </c>
      <c r="Y2432" s="7">
        <f>($W2432)*(U2432)</f>
      </c>
      <c r="Z2432" s="7">
        <f>SQRT(X2432^2+Y2432^2)</f>
      </c>
      <c r="AA2432" s="7">
        <f>$K2432+$X2432</f>
      </c>
      <c r="AB2432" s="7">
        <f>$L2432+$Y2432</f>
      </c>
      <c r="AC2432" s="7">
        <f>$K2432-$X2432</f>
      </c>
      <c r="AD2432" s="7">
        <f>$L2432-$Y2432</f>
      </c>
      <c r="AE2432" s="7">
        <f>AA2432/39.3701</f>
      </c>
      <c r="AF2432" s="7">
        <f>AB2432/39.3701</f>
      </c>
      <c r="AG2432" s="7">
        <f>AC2432/39.3701</f>
      </c>
      <c r="AH2432" s="7">
        <f>AD2432/39.3701</f>
      </c>
      <c r="AI2432" s="1"/>
      <c r="AJ2432" s="1"/>
      <c r="AK2432" s="1"/>
      <c r="AL2432" s="1"/>
      <c r="AM2432" s="2"/>
      <c r="AN2432" s="1"/>
      <c r="AO2432" s="1"/>
      <c r="AP2432" s="1"/>
      <c r="AQ2432" s="1"/>
      <c r="AR2432" s="1"/>
      <c r="AS2432" s="1"/>
      <c r="AT2432" s="1"/>
      <c r="AU2432" s="1"/>
      <c r="AV2432" s="1"/>
      <c r="AW2432" s="1"/>
      <c r="AX2432" s="1"/>
      <c r="AY2432" s="1"/>
      <c r="AZ2432" s="1"/>
      <c r="BA2432" s="1"/>
      <c r="BB2432" s="1"/>
      <c r="BC2432" s="1"/>
      <c r="BD2432" s="1"/>
      <c r="BE2432" s="1"/>
    </row>
    <row x14ac:dyDescent="0.25" r="2433" customHeight="1" ht="18.75">
      <c r="A2433" s="1"/>
      <c r="B2433" s="2"/>
      <c r="C2433" s="2"/>
      <c r="D2433" s="2"/>
      <c r="E2433" s="2"/>
      <c r="F2433" s="2"/>
      <c r="G2433" s="1"/>
      <c r="H2433" s="1"/>
      <c r="I2433" s="7">
        <v>2.43</v>
      </c>
      <c r="J2433" s="7">
        <f>IF((I2433-ROUNDDOWN(I2433,0))=0, 0, (I2433-ROUNDDOWN(I2433,0)))</f>
      </c>
      <c r="K2433" s="7">
        <f>INDIRECT("C$"&amp;2+MIN(2,ROUNDDOWN(I2433,0))*3)*(-$J2433^3+3*$J2433^2-3*$J2433+1)+INDIRECT("C$"&amp;3+MIN(2,ROUNDDOWN(I2433,0))*3)*(3*$J2433^3-6*$J2433^2+3*$J2433)+INDIRECT("C$"&amp;4+MIN(2,ROUNDDOWN(I2433,0))*3)*(-3*$J2433^3+3*$J2433^2)+INDIRECT("C$"&amp;5+MIN(2,ROUNDDOWN(I2433,0))*3)*$J2433^3</f>
      </c>
      <c r="L2433" s="7">
        <f>INDIRECT("D$"&amp;2+MIN(2,ROUNDDOWN(I2433,0))*3)*(-$J2433^3+3*$J2433^2-3*$J2433+1)+INDIRECT("D$"&amp;3+MIN(2,ROUNDDOWN(I2433,0))*3)*(3*$J2433^3-6*$J2433^2+3*$J2433)+INDIRECT("D$"&amp;4+MIN(2,ROUNDDOWN(I2433,0))*3)*(-3*$J2433^3+3*$J2433^2)+INDIRECT("D$"&amp;5+MIN(2,ROUNDDOWN(I2433,0))*3)*$J2433^3</f>
      </c>
      <c r="M2433" s="7">
        <f>SQRT(K2433^2+L2433^2)</f>
      </c>
      <c r="N2433" s="7">
        <f>(K2434-K2432)</f>
      </c>
      <c r="O2433" s="7">
        <f>+(L2434-L2432)</f>
      </c>
      <c r="P2433" s="7">
        <f>SQRT(O2433^2+N2433^2)</f>
      </c>
      <c r="Q2433" s="7">
        <f>N2433/$P2433</f>
      </c>
      <c r="R2433" s="7">
        <f>O2433/$P2433</f>
      </c>
      <c r="S2433" s="7">
        <f>Q2433^2+R2433^2</f>
      </c>
      <c r="T2433" s="7">
        <f>-R2433</f>
      </c>
      <c r="U2433" s="7">
        <f>Q2433</f>
      </c>
      <c r="V2433" s="7">
        <f>($C$14+($C$15-$C$14)/($D$15-$D$14)*(I2433-$D$14))/2</f>
      </c>
      <c r="W2433" s="7">
        <f>($B$22*I2433^4+$C$22*I2433^3+$D$22*I2433^2+$E$22*I2433+$F$22)/2</f>
      </c>
      <c r="X2433" s="7">
        <f>($W2433)*(T2433)</f>
      </c>
      <c r="Y2433" s="7">
        <f>($W2433)*(U2433)</f>
      </c>
      <c r="Z2433" s="7">
        <f>SQRT(X2433^2+Y2433^2)</f>
      </c>
      <c r="AA2433" s="7">
        <f>$K2433+$X2433</f>
      </c>
      <c r="AB2433" s="7">
        <f>$L2433+$Y2433</f>
      </c>
      <c r="AC2433" s="7">
        <f>$K2433-$X2433</f>
      </c>
      <c r="AD2433" s="7">
        <f>$L2433-$Y2433</f>
      </c>
      <c r="AE2433" s="7">
        <f>AA2433/39.3701</f>
      </c>
      <c r="AF2433" s="7">
        <f>AB2433/39.3701</f>
      </c>
      <c r="AG2433" s="7">
        <f>AC2433/39.3701</f>
      </c>
      <c r="AH2433" s="7">
        <f>AD2433/39.3701</f>
      </c>
      <c r="AI2433" s="1"/>
      <c r="AJ2433" s="1"/>
      <c r="AK2433" s="1"/>
      <c r="AL2433" s="1"/>
      <c r="AM2433" s="2"/>
      <c r="AN2433" s="1"/>
      <c r="AO2433" s="1"/>
      <c r="AP2433" s="1"/>
      <c r="AQ2433" s="1"/>
      <c r="AR2433" s="1"/>
      <c r="AS2433" s="1"/>
      <c r="AT2433" s="1"/>
      <c r="AU2433" s="1"/>
      <c r="AV2433" s="1"/>
      <c r="AW2433" s="1"/>
      <c r="AX2433" s="1"/>
      <c r="AY2433" s="1"/>
      <c r="AZ2433" s="1"/>
      <c r="BA2433" s="1"/>
      <c r="BB2433" s="1"/>
      <c r="BC2433" s="1"/>
      <c r="BD2433" s="1"/>
      <c r="BE2433" s="1"/>
    </row>
    <row x14ac:dyDescent="0.25" r="2434" customHeight="1" ht="18.75">
      <c r="A2434" s="1"/>
      <c r="B2434" s="2"/>
      <c r="C2434" s="2"/>
      <c r="D2434" s="2"/>
      <c r="E2434" s="2"/>
      <c r="F2434" s="2"/>
      <c r="G2434" s="1"/>
      <c r="H2434" s="1"/>
      <c r="I2434" s="7">
        <v>2.431</v>
      </c>
      <c r="J2434" s="7">
        <f>IF((I2434-ROUNDDOWN(I2434,0))=0, 0, (I2434-ROUNDDOWN(I2434,0)))</f>
      </c>
      <c r="K2434" s="7">
        <f>INDIRECT("C$"&amp;2+MIN(2,ROUNDDOWN(I2434,0))*3)*(-$J2434^3+3*$J2434^2-3*$J2434+1)+INDIRECT("C$"&amp;3+MIN(2,ROUNDDOWN(I2434,0))*3)*(3*$J2434^3-6*$J2434^2+3*$J2434)+INDIRECT("C$"&amp;4+MIN(2,ROUNDDOWN(I2434,0))*3)*(-3*$J2434^3+3*$J2434^2)+INDIRECT("C$"&amp;5+MIN(2,ROUNDDOWN(I2434,0))*3)*$J2434^3</f>
      </c>
      <c r="L2434" s="7">
        <f>INDIRECT("D$"&amp;2+MIN(2,ROUNDDOWN(I2434,0))*3)*(-$J2434^3+3*$J2434^2-3*$J2434+1)+INDIRECT("D$"&amp;3+MIN(2,ROUNDDOWN(I2434,0))*3)*(3*$J2434^3-6*$J2434^2+3*$J2434)+INDIRECT("D$"&amp;4+MIN(2,ROUNDDOWN(I2434,0))*3)*(-3*$J2434^3+3*$J2434^2)+INDIRECT("D$"&amp;5+MIN(2,ROUNDDOWN(I2434,0))*3)*$J2434^3</f>
      </c>
      <c r="M2434" s="7">
        <f>SQRT(K2434^2+L2434^2)</f>
      </c>
      <c r="N2434" s="7">
        <f>(K2435-K2433)</f>
      </c>
      <c r="O2434" s="7">
        <f>+(L2435-L2433)</f>
      </c>
      <c r="P2434" s="7">
        <f>SQRT(O2434^2+N2434^2)</f>
      </c>
      <c r="Q2434" s="7">
        <f>N2434/$P2434</f>
      </c>
      <c r="R2434" s="7">
        <f>O2434/$P2434</f>
      </c>
      <c r="S2434" s="8">
        <f>Q2434^2+R2434^2</f>
      </c>
      <c r="T2434" s="7">
        <f>-R2434</f>
      </c>
      <c r="U2434" s="7">
        <f>Q2434</f>
      </c>
      <c r="V2434" s="7">
        <f>($C$14+($C$15-$C$14)/($D$15-$D$14)*(I2434-$D$14))/2</f>
      </c>
      <c r="W2434" s="7">
        <f>($B$22*I2434^4+$C$22*I2434^3+$D$22*I2434^2+$E$22*I2434+$F$22)/2</f>
      </c>
      <c r="X2434" s="7">
        <f>($W2434)*(T2434)</f>
      </c>
      <c r="Y2434" s="7">
        <f>($W2434)*(U2434)</f>
      </c>
      <c r="Z2434" s="7">
        <f>SQRT(X2434^2+Y2434^2)</f>
      </c>
      <c r="AA2434" s="7">
        <f>$K2434+$X2434</f>
      </c>
      <c r="AB2434" s="7">
        <f>$L2434+$Y2434</f>
      </c>
      <c r="AC2434" s="7">
        <f>$K2434-$X2434</f>
      </c>
      <c r="AD2434" s="7">
        <f>$L2434-$Y2434</f>
      </c>
      <c r="AE2434" s="7">
        <f>AA2434/39.3701</f>
      </c>
      <c r="AF2434" s="7">
        <f>AB2434/39.3701</f>
      </c>
      <c r="AG2434" s="7">
        <f>AC2434/39.3701</f>
      </c>
      <c r="AH2434" s="7">
        <f>AD2434/39.3701</f>
      </c>
      <c r="AI2434" s="1"/>
      <c r="AJ2434" s="1"/>
      <c r="AK2434" s="1"/>
      <c r="AL2434" s="1"/>
      <c r="AM2434" s="2"/>
      <c r="AN2434" s="1"/>
      <c r="AO2434" s="1"/>
      <c r="AP2434" s="1"/>
      <c r="AQ2434" s="1"/>
      <c r="AR2434" s="1"/>
      <c r="AS2434" s="1"/>
      <c r="AT2434" s="1"/>
      <c r="AU2434" s="1"/>
      <c r="AV2434" s="1"/>
      <c r="AW2434" s="1"/>
      <c r="AX2434" s="1"/>
      <c r="AY2434" s="1"/>
      <c r="AZ2434" s="1"/>
      <c r="BA2434" s="1"/>
      <c r="BB2434" s="1"/>
      <c r="BC2434" s="1"/>
      <c r="BD2434" s="1"/>
      <c r="BE2434" s="1"/>
    </row>
    <row x14ac:dyDescent="0.25" r="2435" customHeight="1" ht="18.75">
      <c r="A2435" s="1"/>
      <c r="B2435" s="2"/>
      <c r="C2435" s="2"/>
      <c r="D2435" s="2"/>
      <c r="E2435" s="2"/>
      <c r="F2435" s="2"/>
      <c r="G2435" s="1"/>
      <c r="H2435" s="1"/>
      <c r="I2435" s="7">
        <v>2.432</v>
      </c>
      <c r="J2435" s="7">
        <f>IF((I2435-ROUNDDOWN(I2435,0))=0, 0, (I2435-ROUNDDOWN(I2435,0)))</f>
      </c>
      <c r="K2435" s="7">
        <f>INDIRECT("C$"&amp;2+MIN(2,ROUNDDOWN(I2435,0))*3)*(-$J2435^3+3*$J2435^2-3*$J2435+1)+INDIRECT("C$"&amp;3+MIN(2,ROUNDDOWN(I2435,0))*3)*(3*$J2435^3-6*$J2435^2+3*$J2435)+INDIRECT("C$"&amp;4+MIN(2,ROUNDDOWN(I2435,0))*3)*(-3*$J2435^3+3*$J2435^2)+INDIRECT("C$"&amp;5+MIN(2,ROUNDDOWN(I2435,0))*3)*$J2435^3</f>
      </c>
      <c r="L2435" s="7">
        <f>INDIRECT("D$"&amp;2+MIN(2,ROUNDDOWN(I2435,0))*3)*(-$J2435^3+3*$J2435^2-3*$J2435+1)+INDIRECT("D$"&amp;3+MIN(2,ROUNDDOWN(I2435,0))*3)*(3*$J2435^3-6*$J2435^2+3*$J2435)+INDIRECT("D$"&amp;4+MIN(2,ROUNDDOWN(I2435,0))*3)*(-3*$J2435^3+3*$J2435^2)+INDIRECT("D$"&amp;5+MIN(2,ROUNDDOWN(I2435,0))*3)*$J2435^3</f>
      </c>
      <c r="M2435" s="7">
        <f>SQRT(K2435^2+L2435^2)</f>
      </c>
      <c r="N2435" s="7">
        <f>(K2436-K2434)</f>
      </c>
      <c r="O2435" s="7">
        <f>+(L2436-L2434)</f>
      </c>
      <c r="P2435" s="7">
        <f>SQRT(O2435^2+N2435^2)</f>
      </c>
      <c r="Q2435" s="7">
        <f>N2435/$P2435</f>
      </c>
      <c r="R2435" s="7">
        <f>O2435/$P2435</f>
      </c>
      <c r="S2435" s="8">
        <f>Q2435^2+R2435^2</f>
      </c>
      <c r="T2435" s="7">
        <f>-R2435</f>
      </c>
      <c r="U2435" s="7">
        <f>Q2435</f>
      </c>
      <c r="V2435" s="7">
        <f>($C$14+($C$15-$C$14)/($D$15-$D$14)*(I2435-$D$14))/2</f>
      </c>
      <c r="W2435" s="7">
        <f>($B$22*I2435^4+$C$22*I2435^3+$D$22*I2435^2+$E$22*I2435+$F$22)/2</f>
      </c>
      <c r="X2435" s="7">
        <f>($W2435)*(T2435)</f>
      </c>
      <c r="Y2435" s="7">
        <f>($W2435)*(U2435)</f>
      </c>
      <c r="Z2435" s="7">
        <f>SQRT(X2435^2+Y2435^2)</f>
      </c>
      <c r="AA2435" s="7">
        <f>$K2435+$X2435</f>
      </c>
      <c r="AB2435" s="7">
        <f>$L2435+$Y2435</f>
      </c>
      <c r="AC2435" s="7">
        <f>$K2435-$X2435</f>
      </c>
      <c r="AD2435" s="7">
        <f>$L2435-$Y2435</f>
      </c>
      <c r="AE2435" s="7">
        <f>AA2435/39.3701</f>
      </c>
      <c r="AF2435" s="7">
        <f>AB2435/39.3701</f>
      </c>
      <c r="AG2435" s="7">
        <f>AC2435/39.3701</f>
      </c>
      <c r="AH2435" s="7">
        <f>AD2435/39.3701</f>
      </c>
      <c r="AI2435" s="1"/>
      <c r="AJ2435" s="1"/>
      <c r="AK2435" s="1"/>
      <c r="AL2435" s="1"/>
      <c r="AM2435" s="2"/>
      <c r="AN2435" s="1"/>
      <c r="AO2435" s="1"/>
      <c r="AP2435" s="1"/>
      <c r="AQ2435" s="1"/>
      <c r="AR2435" s="1"/>
      <c r="AS2435" s="1"/>
      <c r="AT2435" s="1"/>
      <c r="AU2435" s="1"/>
      <c r="AV2435" s="1"/>
      <c r="AW2435" s="1"/>
      <c r="AX2435" s="1"/>
      <c r="AY2435" s="1"/>
      <c r="AZ2435" s="1"/>
      <c r="BA2435" s="1"/>
      <c r="BB2435" s="1"/>
      <c r="BC2435" s="1"/>
      <c r="BD2435" s="1"/>
      <c r="BE2435" s="1"/>
    </row>
    <row x14ac:dyDescent="0.25" r="2436" customHeight="1" ht="18.75">
      <c r="A2436" s="1"/>
      <c r="B2436" s="2"/>
      <c r="C2436" s="2"/>
      <c r="D2436" s="2"/>
      <c r="E2436" s="2"/>
      <c r="F2436" s="2"/>
      <c r="G2436" s="1"/>
      <c r="H2436" s="1"/>
      <c r="I2436" s="7">
        <v>2.433</v>
      </c>
      <c r="J2436" s="7">
        <f>IF((I2436-ROUNDDOWN(I2436,0))=0, 0, (I2436-ROUNDDOWN(I2436,0)))</f>
      </c>
      <c r="K2436" s="7">
        <f>INDIRECT("C$"&amp;2+MIN(2,ROUNDDOWN(I2436,0))*3)*(-$J2436^3+3*$J2436^2-3*$J2436+1)+INDIRECT("C$"&amp;3+MIN(2,ROUNDDOWN(I2436,0))*3)*(3*$J2436^3-6*$J2436^2+3*$J2436)+INDIRECT("C$"&amp;4+MIN(2,ROUNDDOWN(I2436,0))*3)*(-3*$J2436^3+3*$J2436^2)+INDIRECT("C$"&amp;5+MIN(2,ROUNDDOWN(I2436,0))*3)*$J2436^3</f>
      </c>
      <c r="L2436" s="7">
        <f>INDIRECT("D$"&amp;2+MIN(2,ROUNDDOWN(I2436,0))*3)*(-$J2436^3+3*$J2436^2-3*$J2436+1)+INDIRECT("D$"&amp;3+MIN(2,ROUNDDOWN(I2436,0))*3)*(3*$J2436^3-6*$J2436^2+3*$J2436)+INDIRECT("D$"&amp;4+MIN(2,ROUNDDOWN(I2436,0))*3)*(-3*$J2436^3+3*$J2436^2)+INDIRECT("D$"&amp;5+MIN(2,ROUNDDOWN(I2436,0))*3)*$J2436^3</f>
      </c>
      <c r="M2436" s="7">
        <f>SQRT(K2436^2+L2436^2)</f>
      </c>
      <c r="N2436" s="7">
        <f>(K2437-K2435)</f>
      </c>
      <c r="O2436" s="7">
        <f>+(L2437-L2435)</f>
      </c>
      <c r="P2436" s="7">
        <f>SQRT(O2436^2+N2436^2)</f>
      </c>
      <c r="Q2436" s="7">
        <f>N2436/$P2436</f>
      </c>
      <c r="R2436" s="7">
        <f>O2436/$P2436</f>
      </c>
      <c r="S2436" s="8">
        <f>Q2436^2+R2436^2</f>
      </c>
      <c r="T2436" s="7">
        <f>-R2436</f>
      </c>
      <c r="U2436" s="7">
        <f>Q2436</f>
      </c>
      <c r="V2436" s="7">
        <f>($C$14+($C$15-$C$14)/($D$15-$D$14)*(I2436-$D$14))/2</f>
      </c>
      <c r="W2436" s="7">
        <f>($B$22*I2436^4+$C$22*I2436^3+$D$22*I2436^2+$E$22*I2436+$F$22)/2</f>
      </c>
      <c r="X2436" s="7">
        <f>($W2436)*(T2436)</f>
      </c>
      <c r="Y2436" s="7">
        <f>($W2436)*(U2436)</f>
      </c>
      <c r="Z2436" s="7">
        <f>SQRT(X2436^2+Y2436^2)</f>
      </c>
      <c r="AA2436" s="7">
        <f>$K2436+$X2436</f>
      </c>
      <c r="AB2436" s="7">
        <f>$L2436+$Y2436</f>
      </c>
      <c r="AC2436" s="7">
        <f>$K2436-$X2436</f>
      </c>
      <c r="AD2436" s="7">
        <f>$L2436-$Y2436</f>
      </c>
      <c r="AE2436" s="7">
        <f>AA2436/39.3701</f>
      </c>
      <c r="AF2436" s="7">
        <f>AB2436/39.3701</f>
      </c>
      <c r="AG2436" s="7">
        <f>AC2436/39.3701</f>
      </c>
      <c r="AH2436" s="7">
        <f>AD2436/39.3701</f>
      </c>
      <c r="AI2436" s="1"/>
      <c r="AJ2436" s="1"/>
      <c r="AK2436" s="1"/>
      <c r="AL2436" s="1"/>
      <c r="AM2436" s="2"/>
      <c r="AN2436" s="1"/>
      <c r="AO2436" s="1"/>
      <c r="AP2436" s="1"/>
      <c r="AQ2436" s="1"/>
      <c r="AR2436" s="1"/>
      <c r="AS2436" s="1"/>
      <c r="AT2436" s="1"/>
      <c r="AU2436" s="1"/>
      <c r="AV2436" s="1"/>
      <c r="AW2436" s="1"/>
      <c r="AX2436" s="1"/>
      <c r="AY2436" s="1"/>
      <c r="AZ2436" s="1"/>
      <c r="BA2436" s="1"/>
      <c r="BB2436" s="1"/>
      <c r="BC2436" s="1"/>
      <c r="BD2436" s="1"/>
      <c r="BE2436" s="1"/>
    </row>
    <row x14ac:dyDescent="0.25" r="2437" customHeight="1" ht="18.75">
      <c r="A2437" s="1"/>
      <c r="B2437" s="2"/>
      <c r="C2437" s="2"/>
      <c r="D2437" s="2"/>
      <c r="E2437" s="2"/>
      <c r="F2437" s="2"/>
      <c r="G2437" s="1"/>
      <c r="H2437" s="1"/>
      <c r="I2437" s="7">
        <v>2.434</v>
      </c>
      <c r="J2437" s="7">
        <f>IF((I2437-ROUNDDOWN(I2437,0))=0, 0, (I2437-ROUNDDOWN(I2437,0)))</f>
      </c>
      <c r="K2437" s="7">
        <f>INDIRECT("C$"&amp;2+MIN(2,ROUNDDOWN(I2437,0))*3)*(-$J2437^3+3*$J2437^2-3*$J2437+1)+INDIRECT("C$"&amp;3+MIN(2,ROUNDDOWN(I2437,0))*3)*(3*$J2437^3-6*$J2437^2+3*$J2437)+INDIRECT("C$"&amp;4+MIN(2,ROUNDDOWN(I2437,0))*3)*(-3*$J2437^3+3*$J2437^2)+INDIRECT("C$"&amp;5+MIN(2,ROUNDDOWN(I2437,0))*3)*$J2437^3</f>
      </c>
      <c r="L2437" s="7">
        <f>INDIRECT("D$"&amp;2+MIN(2,ROUNDDOWN(I2437,0))*3)*(-$J2437^3+3*$J2437^2-3*$J2437+1)+INDIRECT("D$"&amp;3+MIN(2,ROUNDDOWN(I2437,0))*3)*(3*$J2437^3-6*$J2437^2+3*$J2437)+INDIRECT("D$"&amp;4+MIN(2,ROUNDDOWN(I2437,0))*3)*(-3*$J2437^3+3*$J2437^2)+INDIRECT("D$"&amp;5+MIN(2,ROUNDDOWN(I2437,0))*3)*$J2437^3</f>
      </c>
      <c r="M2437" s="7">
        <f>SQRT(K2437^2+L2437^2)</f>
      </c>
      <c r="N2437" s="7">
        <f>(K2438-K2436)</f>
      </c>
      <c r="O2437" s="7">
        <f>+(L2438-L2436)</f>
      </c>
      <c r="P2437" s="7">
        <f>SQRT(O2437^2+N2437^2)</f>
      </c>
      <c r="Q2437" s="7">
        <f>N2437/$P2437</f>
      </c>
      <c r="R2437" s="7">
        <f>O2437/$P2437</f>
      </c>
      <c r="S2437" s="8">
        <f>Q2437^2+R2437^2</f>
      </c>
      <c r="T2437" s="7">
        <f>-R2437</f>
      </c>
      <c r="U2437" s="7">
        <f>Q2437</f>
      </c>
      <c r="V2437" s="7">
        <f>($C$14+($C$15-$C$14)/($D$15-$D$14)*(I2437-$D$14))/2</f>
      </c>
      <c r="W2437" s="7">
        <f>($B$22*I2437^4+$C$22*I2437^3+$D$22*I2437^2+$E$22*I2437+$F$22)/2</f>
      </c>
      <c r="X2437" s="7">
        <f>($W2437)*(T2437)</f>
      </c>
      <c r="Y2437" s="7">
        <f>($W2437)*(U2437)</f>
      </c>
      <c r="Z2437" s="7">
        <f>SQRT(X2437^2+Y2437^2)</f>
      </c>
      <c r="AA2437" s="7">
        <f>$K2437+$X2437</f>
      </c>
      <c r="AB2437" s="7">
        <f>$L2437+$Y2437</f>
      </c>
      <c r="AC2437" s="7">
        <f>$K2437-$X2437</f>
      </c>
      <c r="AD2437" s="7">
        <f>$L2437-$Y2437</f>
      </c>
      <c r="AE2437" s="7">
        <f>AA2437/39.3701</f>
      </c>
      <c r="AF2437" s="7">
        <f>AB2437/39.3701</f>
      </c>
      <c r="AG2437" s="7">
        <f>AC2437/39.3701</f>
      </c>
      <c r="AH2437" s="7">
        <f>AD2437/39.3701</f>
      </c>
      <c r="AI2437" s="1"/>
      <c r="AJ2437" s="1"/>
      <c r="AK2437" s="1"/>
      <c r="AL2437" s="1"/>
      <c r="AM2437" s="2"/>
      <c r="AN2437" s="1"/>
      <c r="AO2437" s="1"/>
      <c r="AP2437" s="1"/>
      <c r="AQ2437" s="1"/>
      <c r="AR2437" s="1"/>
      <c r="AS2437" s="1"/>
      <c r="AT2437" s="1"/>
      <c r="AU2437" s="1"/>
      <c r="AV2437" s="1"/>
      <c r="AW2437" s="1"/>
      <c r="AX2437" s="1"/>
      <c r="AY2437" s="1"/>
      <c r="AZ2437" s="1"/>
      <c r="BA2437" s="1"/>
      <c r="BB2437" s="1"/>
      <c r="BC2437" s="1"/>
      <c r="BD2437" s="1"/>
      <c r="BE2437" s="1"/>
    </row>
    <row x14ac:dyDescent="0.25" r="2438" customHeight="1" ht="18.75">
      <c r="A2438" s="1"/>
      <c r="B2438" s="2"/>
      <c r="C2438" s="2"/>
      <c r="D2438" s="2"/>
      <c r="E2438" s="2"/>
      <c r="F2438" s="2"/>
      <c r="G2438" s="1"/>
      <c r="H2438" s="1"/>
      <c r="I2438" s="7">
        <v>2.435</v>
      </c>
      <c r="J2438" s="7">
        <f>IF((I2438-ROUNDDOWN(I2438,0))=0, 0, (I2438-ROUNDDOWN(I2438,0)))</f>
      </c>
      <c r="K2438" s="7">
        <f>INDIRECT("C$"&amp;2+MIN(2,ROUNDDOWN(I2438,0))*3)*(-$J2438^3+3*$J2438^2-3*$J2438+1)+INDIRECT("C$"&amp;3+MIN(2,ROUNDDOWN(I2438,0))*3)*(3*$J2438^3-6*$J2438^2+3*$J2438)+INDIRECT("C$"&amp;4+MIN(2,ROUNDDOWN(I2438,0))*3)*(-3*$J2438^3+3*$J2438^2)+INDIRECT("C$"&amp;5+MIN(2,ROUNDDOWN(I2438,0))*3)*$J2438^3</f>
      </c>
      <c r="L2438" s="7">
        <f>INDIRECT("D$"&amp;2+MIN(2,ROUNDDOWN(I2438,0))*3)*(-$J2438^3+3*$J2438^2-3*$J2438+1)+INDIRECT("D$"&amp;3+MIN(2,ROUNDDOWN(I2438,0))*3)*(3*$J2438^3-6*$J2438^2+3*$J2438)+INDIRECT("D$"&amp;4+MIN(2,ROUNDDOWN(I2438,0))*3)*(-3*$J2438^3+3*$J2438^2)+INDIRECT("D$"&amp;5+MIN(2,ROUNDDOWN(I2438,0))*3)*$J2438^3</f>
      </c>
      <c r="M2438" s="7">
        <f>SQRT(K2438^2+L2438^2)</f>
      </c>
      <c r="N2438" s="7">
        <f>(K2439-K2437)</f>
      </c>
      <c r="O2438" s="7">
        <f>+(L2439-L2437)</f>
      </c>
      <c r="P2438" s="7">
        <f>SQRT(O2438^2+N2438^2)</f>
      </c>
      <c r="Q2438" s="7">
        <f>N2438/$P2438</f>
      </c>
      <c r="R2438" s="7">
        <f>O2438/$P2438</f>
      </c>
      <c r="S2438" s="8">
        <f>Q2438^2+R2438^2</f>
      </c>
      <c r="T2438" s="7">
        <f>-R2438</f>
      </c>
      <c r="U2438" s="7">
        <f>Q2438</f>
      </c>
      <c r="V2438" s="7">
        <f>($C$14+($C$15-$C$14)/($D$15-$D$14)*(I2438-$D$14))/2</f>
      </c>
      <c r="W2438" s="7">
        <f>($B$22*I2438^4+$C$22*I2438^3+$D$22*I2438^2+$E$22*I2438+$F$22)/2</f>
      </c>
      <c r="X2438" s="7">
        <f>($W2438)*(T2438)</f>
      </c>
      <c r="Y2438" s="7">
        <f>($W2438)*(U2438)</f>
      </c>
      <c r="Z2438" s="7">
        <f>SQRT(X2438^2+Y2438^2)</f>
      </c>
      <c r="AA2438" s="7">
        <f>$K2438+$X2438</f>
      </c>
      <c r="AB2438" s="7">
        <f>$L2438+$Y2438</f>
      </c>
      <c r="AC2438" s="7">
        <f>$K2438-$X2438</f>
      </c>
      <c r="AD2438" s="7">
        <f>$L2438-$Y2438</f>
      </c>
      <c r="AE2438" s="7">
        <f>AA2438/39.3701</f>
      </c>
      <c r="AF2438" s="7">
        <f>AB2438/39.3701</f>
      </c>
      <c r="AG2438" s="7">
        <f>AC2438/39.3701</f>
      </c>
      <c r="AH2438" s="7">
        <f>AD2438/39.3701</f>
      </c>
      <c r="AI2438" s="1"/>
      <c r="AJ2438" s="1"/>
      <c r="AK2438" s="1"/>
      <c r="AL2438" s="1"/>
      <c r="AM2438" s="2"/>
      <c r="AN2438" s="1"/>
      <c r="AO2438" s="1"/>
      <c r="AP2438" s="1"/>
      <c r="AQ2438" s="1"/>
      <c r="AR2438" s="1"/>
      <c r="AS2438" s="1"/>
      <c r="AT2438" s="1"/>
      <c r="AU2438" s="1"/>
      <c r="AV2438" s="1"/>
      <c r="AW2438" s="1"/>
      <c r="AX2438" s="1"/>
      <c r="AY2438" s="1"/>
      <c r="AZ2438" s="1"/>
      <c r="BA2438" s="1"/>
      <c r="BB2438" s="1"/>
      <c r="BC2438" s="1"/>
      <c r="BD2438" s="1"/>
      <c r="BE2438" s="1"/>
    </row>
    <row x14ac:dyDescent="0.25" r="2439" customHeight="1" ht="18.75">
      <c r="A2439" s="1"/>
      <c r="B2439" s="2"/>
      <c r="C2439" s="2"/>
      <c r="D2439" s="2"/>
      <c r="E2439" s="2"/>
      <c r="F2439" s="2"/>
      <c r="G2439" s="1"/>
      <c r="H2439" s="1"/>
      <c r="I2439" s="7">
        <v>2.436</v>
      </c>
      <c r="J2439" s="7">
        <f>IF((I2439-ROUNDDOWN(I2439,0))=0, 0, (I2439-ROUNDDOWN(I2439,0)))</f>
      </c>
      <c r="K2439" s="7">
        <f>INDIRECT("C$"&amp;2+MIN(2,ROUNDDOWN(I2439,0))*3)*(-$J2439^3+3*$J2439^2-3*$J2439+1)+INDIRECT("C$"&amp;3+MIN(2,ROUNDDOWN(I2439,0))*3)*(3*$J2439^3-6*$J2439^2+3*$J2439)+INDIRECT("C$"&amp;4+MIN(2,ROUNDDOWN(I2439,0))*3)*(-3*$J2439^3+3*$J2439^2)+INDIRECT("C$"&amp;5+MIN(2,ROUNDDOWN(I2439,0))*3)*$J2439^3</f>
      </c>
      <c r="L2439" s="7">
        <f>INDIRECT("D$"&amp;2+MIN(2,ROUNDDOWN(I2439,0))*3)*(-$J2439^3+3*$J2439^2-3*$J2439+1)+INDIRECT("D$"&amp;3+MIN(2,ROUNDDOWN(I2439,0))*3)*(3*$J2439^3-6*$J2439^2+3*$J2439)+INDIRECT("D$"&amp;4+MIN(2,ROUNDDOWN(I2439,0))*3)*(-3*$J2439^3+3*$J2439^2)+INDIRECT("D$"&amp;5+MIN(2,ROUNDDOWN(I2439,0))*3)*$J2439^3</f>
      </c>
      <c r="M2439" s="7">
        <f>SQRT(K2439^2+L2439^2)</f>
      </c>
      <c r="N2439" s="7">
        <f>(K2440-K2438)</f>
      </c>
      <c r="O2439" s="7">
        <f>+(L2440-L2438)</f>
      </c>
      <c r="P2439" s="7">
        <f>SQRT(O2439^2+N2439^2)</f>
      </c>
      <c r="Q2439" s="7">
        <f>N2439/$P2439</f>
      </c>
      <c r="R2439" s="7">
        <f>O2439/$P2439</f>
      </c>
      <c r="S2439" s="8">
        <f>Q2439^2+R2439^2</f>
      </c>
      <c r="T2439" s="7">
        <f>-R2439</f>
      </c>
      <c r="U2439" s="7">
        <f>Q2439</f>
      </c>
      <c r="V2439" s="7">
        <f>($C$14+($C$15-$C$14)/($D$15-$D$14)*(I2439-$D$14))/2</f>
      </c>
      <c r="W2439" s="7">
        <f>($B$22*I2439^4+$C$22*I2439^3+$D$22*I2439^2+$E$22*I2439+$F$22)/2</f>
      </c>
      <c r="X2439" s="7">
        <f>($W2439)*(T2439)</f>
      </c>
      <c r="Y2439" s="7">
        <f>($W2439)*(U2439)</f>
      </c>
      <c r="Z2439" s="7">
        <f>SQRT(X2439^2+Y2439^2)</f>
      </c>
      <c r="AA2439" s="7">
        <f>$K2439+$X2439</f>
      </c>
      <c r="AB2439" s="7">
        <f>$L2439+$Y2439</f>
      </c>
      <c r="AC2439" s="7">
        <f>$K2439-$X2439</f>
      </c>
      <c r="AD2439" s="7">
        <f>$L2439-$Y2439</f>
      </c>
      <c r="AE2439" s="7">
        <f>AA2439/39.3701</f>
      </c>
      <c r="AF2439" s="7">
        <f>AB2439/39.3701</f>
      </c>
      <c r="AG2439" s="7">
        <f>AC2439/39.3701</f>
      </c>
      <c r="AH2439" s="7">
        <f>AD2439/39.3701</f>
      </c>
      <c r="AI2439" s="1"/>
      <c r="AJ2439" s="1"/>
      <c r="AK2439" s="1"/>
      <c r="AL2439" s="1"/>
      <c r="AM2439" s="2"/>
      <c r="AN2439" s="1"/>
      <c r="AO2439" s="1"/>
      <c r="AP2439" s="1"/>
      <c r="AQ2439" s="1"/>
      <c r="AR2439" s="1"/>
      <c r="AS2439" s="1"/>
      <c r="AT2439" s="1"/>
      <c r="AU2439" s="1"/>
      <c r="AV2439" s="1"/>
      <c r="AW2439" s="1"/>
      <c r="AX2439" s="1"/>
      <c r="AY2439" s="1"/>
      <c r="AZ2439" s="1"/>
      <c r="BA2439" s="1"/>
      <c r="BB2439" s="1"/>
      <c r="BC2439" s="1"/>
      <c r="BD2439" s="1"/>
      <c r="BE2439" s="1"/>
    </row>
    <row x14ac:dyDescent="0.25" r="2440" customHeight="1" ht="18.75">
      <c r="A2440" s="1"/>
      <c r="B2440" s="2"/>
      <c r="C2440" s="2"/>
      <c r="D2440" s="2"/>
      <c r="E2440" s="2"/>
      <c r="F2440" s="2"/>
      <c r="G2440" s="1"/>
      <c r="H2440" s="1"/>
      <c r="I2440" s="7">
        <v>2.437</v>
      </c>
      <c r="J2440" s="7">
        <f>IF((I2440-ROUNDDOWN(I2440,0))=0, 0, (I2440-ROUNDDOWN(I2440,0)))</f>
      </c>
      <c r="K2440" s="7">
        <f>INDIRECT("C$"&amp;2+MIN(2,ROUNDDOWN(I2440,0))*3)*(-$J2440^3+3*$J2440^2-3*$J2440+1)+INDIRECT("C$"&amp;3+MIN(2,ROUNDDOWN(I2440,0))*3)*(3*$J2440^3-6*$J2440^2+3*$J2440)+INDIRECT("C$"&amp;4+MIN(2,ROUNDDOWN(I2440,0))*3)*(-3*$J2440^3+3*$J2440^2)+INDIRECT("C$"&amp;5+MIN(2,ROUNDDOWN(I2440,0))*3)*$J2440^3</f>
      </c>
      <c r="L2440" s="7">
        <f>INDIRECT("D$"&amp;2+MIN(2,ROUNDDOWN(I2440,0))*3)*(-$J2440^3+3*$J2440^2-3*$J2440+1)+INDIRECT("D$"&amp;3+MIN(2,ROUNDDOWN(I2440,0))*3)*(3*$J2440^3-6*$J2440^2+3*$J2440)+INDIRECT("D$"&amp;4+MIN(2,ROUNDDOWN(I2440,0))*3)*(-3*$J2440^3+3*$J2440^2)+INDIRECT("D$"&amp;5+MIN(2,ROUNDDOWN(I2440,0))*3)*$J2440^3</f>
      </c>
      <c r="M2440" s="7">
        <f>SQRT(K2440^2+L2440^2)</f>
      </c>
      <c r="N2440" s="7">
        <f>(K2441-K2439)</f>
      </c>
      <c r="O2440" s="7">
        <f>+(L2441-L2439)</f>
      </c>
      <c r="P2440" s="7">
        <f>SQRT(O2440^2+N2440^2)</f>
      </c>
      <c r="Q2440" s="7">
        <f>N2440/$P2440</f>
      </c>
      <c r="R2440" s="7">
        <f>O2440/$P2440</f>
      </c>
      <c r="S2440" s="8">
        <f>Q2440^2+R2440^2</f>
      </c>
      <c r="T2440" s="7">
        <f>-R2440</f>
      </c>
      <c r="U2440" s="7">
        <f>Q2440</f>
      </c>
      <c r="V2440" s="7">
        <f>($C$14+($C$15-$C$14)/($D$15-$D$14)*(I2440-$D$14))/2</f>
      </c>
      <c r="W2440" s="7">
        <f>($B$22*I2440^4+$C$22*I2440^3+$D$22*I2440^2+$E$22*I2440+$F$22)/2</f>
      </c>
      <c r="X2440" s="7">
        <f>($W2440)*(T2440)</f>
      </c>
      <c r="Y2440" s="7">
        <f>($W2440)*(U2440)</f>
      </c>
      <c r="Z2440" s="7">
        <f>SQRT(X2440^2+Y2440^2)</f>
      </c>
      <c r="AA2440" s="7">
        <f>$K2440+$X2440</f>
      </c>
      <c r="AB2440" s="7">
        <f>$L2440+$Y2440</f>
      </c>
      <c r="AC2440" s="7">
        <f>$K2440-$X2440</f>
      </c>
      <c r="AD2440" s="7">
        <f>$L2440-$Y2440</f>
      </c>
      <c r="AE2440" s="7">
        <f>AA2440/39.3701</f>
      </c>
      <c r="AF2440" s="7">
        <f>AB2440/39.3701</f>
      </c>
      <c r="AG2440" s="7">
        <f>AC2440/39.3701</f>
      </c>
      <c r="AH2440" s="7">
        <f>AD2440/39.3701</f>
      </c>
      <c r="AI2440" s="1"/>
      <c r="AJ2440" s="1"/>
      <c r="AK2440" s="1"/>
      <c r="AL2440" s="1"/>
      <c r="AM2440" s="2"/>
      <c r="AN2440" s="1"/>
      <c r="AO2440" s="1"/>
      <c r="AP2440" s="1"/>
      <c r="AQ2440" s="1"/>
      <c r="AR2440" s="1"/>
      <c r="AS2440" s="1"/>
      <c r="AT2440" s="1"/>
      <c r="AU2440" s="1"/>
      <c r="AV2440" s="1"/>
      <c r="AW2440" s="1"/>
      <c r="AX2440" s="1"/>
      <c r="AY2440" s="1"/>
      <c r="AZ2440" s="1"/>
      <c r="BA2440" s="1"/>
      <c r="BB2440" s="1"/>
      <c r="BC2440" s="1"/>
      <c r="BD2440" s="1"/>
      <c r="BE2440" s="1"/>
    </row>
    <row x14ac:dyDescent="0.25" r="2441" customHeight="1" ht="18.75">
      <c r="A2441" s="1"/>
      <c r="B2441" s="2"/>
      <c r="C2441" s="2"/>
      <c r="D2441" s="2"/>
      <c r="E2441" s="2"/>
      <c r="F2441" s="2"/>
      <c r="G2441" s="1"/>
      <c r="H2441" s="1"/>
      <c r="I2441" s="7">
        <v>2.438</v>
      </c>
      <c r="J2441" s="7">
        <f>IF((I2441-ROUNDDOWN(I2441,0))=0, 0, (I2441-ROUNDDOWN(I2441,0)))</f>
      </c>
      <c r="K2441" s="7">
        <f>INDIRECT("C$"&amp;2+MIN(2,ROUNDDOWN(I2441,0))*3)*(-$J2441^3+3*$J2441^2-3*$J2441+1)+INDIRECT("C$"&amp;3+MIN(2,ROUNDDOWN(I2441,0))*3)*(3*$J2441^3-6*$J2441^2+3*$J2441)+INDIRECT("C$"&amp;4+MIN(2,ROUNDDOWN(I2441,0))*3)*(-3*$J2441^3+3*$J2441^2)+INDIRECT("C$"&amp;5+MIN(2,ROUNDDOWN(I2441,0))*3)*$J2441^3</f>
      </c>
      <c r="L2441" s="7">
        <f>INDIRECT("D$"&amp;2+MIN(2,ROUNDDOWN(I2441,0))*3)*(-$J2441^3+3*$J2441^2-3*$J2441+1)+INDIRECT("D$"&amp;3+MIN(2,ROUNDDOWN(I2441,0))*3)*(3*$J2441^3-6*$J2441^2+3*$J2441)+INDIRECT("D$"&amp;4+MIN(2,ROUNDDOWN(I2441,0))*3)*(-3*$J2441^3+3*$J2441^2)+INDIRECT("D$"&amp;5+MIN(2,ROUNDDOWN(I2441,0))*3)*$J2441^3</f>
      </c>
      <c r="M2441" s="7">
        <f>SQRT(K2441^2+L2441^2)</f>
      </c>
      <c r="N2441" s="7">
        <f>(K2442-K2440)</f>
      </c>
      <c r="O2441" s="7">
        <f>+(L2442-L2440)</f>
      </c>
      <c r="P2441" s="7">
        <f>SQRT(O2441^2+N2441^2)</f>
      </c>
      <c r="Q2441" s="7">
        <f>N2441/$P2441</f>
      </c>
      <c r="R2441" s="7">
        <f>O2441/$P2441</f>
      </c>
      <c r="S2441" s="8">
        <f>Q2441^2+R2441^2</f>
      </c>
      <c r="T2441" s="7">
        <f>-R2441</f>
      </c>
      <c r="U2441" s="7">
        <f>Q2441</f>
      </c>
      <c r="V2441" s="7">
        <f>($C$14+($C$15-$C$14)/($D$15-$D$14)*(I2441-$D$14))/2</f>
      </c>
      <c r="W2441" s="7">
        <f>($B$22*I2441^4+$C$22*I2441^3+$D$22*I2441^2+$E$22*I2441+$F$22)/2</f>
      </c>
      <c r="X2441" s="7">
        <f>($W2441)*(T2441)</f>
      </c>
      <c r="Y2441" s="7">
        <f>($W2441)*(U2441)</f>
      </c>
      <c r="Z2441" s="7">
        <f>SQRT(X2441^2+Y2441^2)</f>
      </c>
      <c r="AA2441" s="7">
        <f>$K2441+$X2441</f>
      </c>
      <c r="AB2441" s="7">
        <f>$L2441+$Y2441</f>
      </c>
      <c r="AC2441" s="7">
        <f>$K2441-$X2441</f>
      </c>
      <c r="AD2441" s="7">
        <f>$L2441-$Y2441</f>
      </c>
      <c r="AE2441" s="7">
        <f>AA2441/39.3701</f>
      </c>
      <c r="AF2441" s="7">
        <f>AB2441/39.3701</f>
      </c>
      <c r="AG2441" s="7">
        <f>AC2441/39.3701</f>
      </c>
      <c r="AH2441" s="7">
        <f>AD2441/39.3701</f>
      </c>
      <c r="AI2441" s="1"/>
      <c r="AJ2441" s="1"/>
      <c r="AK2441" s="1"/>
      <c r="AL2441" s="1"/>
      <c r="AM2441" s="2"/>
      <c r="AN2441" s="1"/>
      <c r="AO2441" s="1"/>
      <c r="AP2441" s="1"/>
      <c r="AQ2441" s="1"/>
      <c r="AR2441" s="1"/>
      <c r="AS2441" s="1"/>
      <c r="AT2441" s="1"/>
      <c r="AU2441" s="1"/>
      <c r="AV2441" s="1"/>
      <c r="AW2441" s="1"/>
      <c r="AX2441" s="1"/>
      <c r="AY2441" s="1"/>
      <c r="AZ2441" s="1"/>
      <c r="BA2441" s="1"/>
      <c r="BB2441" s="1"/>
      <c r="BC2441" s="1"/>
      <c r="BD2441" s="1"/>
      <c r="BE2441" s="1"/>
    </row>
    <row x14ac:dyDescent="0.25" r="2442" customHeight="1" ht="18.75">
      <c r="A2442" s="1"/>
      <c r="B2442" s="2"/>
      <c r="C2442" s="2"/>
      <c r="D2442" s="2"/>
      <c r="E2442" s="2"/>
      <c r="F2442" s="2"/>
      <c r="G2442" s="1"/>
      <c r="H2442" s="1"/>
      <c r="I2442" s="7">
        <v>2.439</v>
      </c>
      <c r="J2442" s="7">
        <f>IF((I2442-ROUNDDOWN(I2442,0))=0, 0, (I2442-ROUNDDOWN(I2442,0)))</f>
      </c>
      <c r="K2442" s="7">
        <f>INDIRECT("C$"&amp;2+MIN(2,ROUNDDOWN(I2442,0))*3)*(-$J2442^3+3*$J2442^2-3*$J2442+1)+INDIRECT("C$"&amp;3+MIN(2,ROUNDDOWN(I2442,0))*3)*(3*$J2442^3-6*$J2442^2+3*$J2442)+INDIRECT("C$"&amp;4+MIN(2,ROUNDDOWN(I2442,0))*3)*(-3*$J2442^3+3*$J2442^2)+INDIRECT("C$"&amp;5+MIN(2,ROUNDDOWN(I2442,0))*3)*$J2442^3</f>
      </c>
      <c r="L2442" s="7">
        <f>INDIRECT("D$"&amp;2+MIN(2,ROUNDDOWN(I2442,0))*3)*(-$J2442^3+3*$J2442^2-3*$J2442+1)+INDIRECT("D$"&amp;3+MIN(2,ROUNDDOWN(I2442,0))*3)*(3*$J2442^3-6*$J2442^2+3*$J2442)+INDIRECT("D$"&amp;4+MIN(2,ROUNDDOWN(I2442,0))*3)*(-3*$J2442^3+3*$J2442^2)+INDIRECT("D$"&amp;5+MIN(2,ROUNDDOWN(I2442,0))*3)*$J2442^3</f>
      </c>
      <c r="M2442" s="7">
        <f>SQRT(K2442^2+L2442^2)</f>
      </c>
      <c r="N2442" s="7">
        <f>(K2443-K2441)</f>
      </c>
      <c r="O2442" s="7">
        <f>+(L2443-L2441)</f>
      </c>
      <c r="P2442" s="7">
        <f>SQRT(O2442^2+N2442^2)</f>
      </c>
      <c r="Q2442" s="7">
        <f>N2442/$P2442</f>
      </c>
      <c r="R2442" s="7">
        <f>O2442/$P2442</f>
      </c>
      <c r="S2442" s="8">
        <f>Q2442^2+R2442^2</f>
      </c>
      <c r="T2442" s="7">
        <f>-R2442</f>
      </c>
      <c r="U2442" s="7">
        <f>Q2442</f>
      </c>
      <c r="V2442" s="7">
        <f>($C$14+($C$15-$C$14)/($D$15-$D$14)*(I2442-$D$14))/2</f>
      </c>
      <c r="W2442" s="7">
        <f>($B$22*I2442^4+$C$22*I2442^3+$D$22*I2442^2+$E$22*I2442+$F$22)/2</f>
      </c>
      <c r="X2442" s="7">
        <f>($W2442)*(T2442)</f>
      </c>
      <c r="Y2442" s="7">
        <f>($W2442)*(U2442)</f>
      </c>
      <c r="Z2442" s="7">
        <f>SQRT(X2442^2+Y2442^2)</f>
      </c>
      <c r="AA2442" s="7">
        <f>$K2442+$X2442</f>
      </c>
      <c r="AB2442" s="7">
        <f>$L2442+$Y2442</f>
      </c>
      <c r="AC2442" s="7">
        <f>$K2442-$X2442</f>
      </c>
      <c r="AD2442" s="7">
        <f>$L2442-$Y2442</f>
      </c>
      <c r="AE2442" s="7">
        <f>AA2442/39.3701</f>
      </c>
      <c r="AF2442" s="7">
        <f>AB2442/39.3701</f>
      </c>
      <c r="AG2442" s="7">
        <f>AC2442/39.3701</f>
      </c>
      <c r="AH2442" s="7">
        <f>AD2442/39.3701</f>
      </c>
      <c r="AI2442" s="1"/>
      <c r="AJ2442" s="1"/>
      <c r="AK2442" s="1"/>
      <c r="AL2442" s="1"/>
      <c r="AM2442" s="2"/>
      <c r="AN2442" s="1"/>
      <c r="AO2442" s="1"/>
      <c r="AP2442" s="1"/>
      <c r="AQ2442" s="1"/>
      <c r="AR2442" s="1"/>
      <c r="AS2442" s="1"/>
      <c r="AT2442" s="1"/>
      <c r="AU2442" s="1"/>
      <c r="AV2442" s="1"/>
      <c r="AW2442" s="1"/>
      <c r="AX2442" s="1"/>
      <c r="AY2442" s="1"/>
      <c r="AZ2442" s="1"/>
      <c r="BA2442" s="1"/>
      <c r="BB2442" s="1"/>
      <c r="BC2442" s="1"/>
      <c r="BD2442" s="1"/>
      <c r="BE2442" s="1"/>
    </row>
    <row x14ac:dyDescent="0.25" r="2443" customHeight="1" ht="18.75">
      <c r="A2443" s="1"/>
      <c r="B2443" s="2"/>
      <c r="C2443" s="2"/>
      <c r="D2443" s="2"/>
      <c r="E2443" s="2"/>
      <c r="F2443" s="2"/>
      <c r="G2443" s="1"/>
      <c r="H2443" s="1"/>
      <c r="I2443" s="7">
        <v>2.44</v>
      </c>
      <c r="J2443" s="7">
        <f>IF((I2443-ROUNDDOWN(I2443,0))=0, 0, (I2443-ROUNDDOWN(I2443,0)))</f>
      </c>
      <c r="K2443" s="7">
        <f>INDIRECT("C$"&amp;2+MIN(2,ROUNDDOWN(I2443,0))*3)*(-$J2443^3+3*$J2443^2-3*$J2443+1)+INDIRECT("C$"&amp;3+MIN(2,ROUNDDOWN(I2443,0))*3)*(3*$J2443^3-6*$J2443^2+3*$J2443)+INDIRECT("C$"&amp;4+MIN(2,ROUNDDOWN(I2443,0))*3)*(-3*$J2443^3+3*$J2443^2)+INDIRECT("C$"&amp;5+MIN(2,ROUNDDOWN(I2443,0))*3)*$J2443^3</f>
      </c>
      <c r="L2443" s="7">
        <f>INDIRECT("D$"&amp;2+MIN(2,ROUNDDOWN(I2443,0))*3)*(-$J2443^3+3*$J2443^2-3*$J2443+1)+INDIRECT("D$"&amp;3+MIN(2,ROUNDDOWN(I2443,0))*3)*(3*$J2443^3-6*$J2443^2+3*$J2443)+INDIRECT("D$"&amp;4+MIN(2,ROUNDDOWN(I2443,0))*3)*(-3*$J2443^3+3*$J2443^2)+INDIRECT("D$"&amp;5+MIN(2,ROUNDDOWN(I2443,0))*3)*$J2443^3</f>
      </c>
      <c r="M2443" s="7">
        <f>SQRT(K2443^2+L2443^2)</f>
      </c>
      <c r="N2443" s="7">
        <f>(K2444-K2442)</f>
      </c>
      <c r="O2443" s="7">
        <f>+(L2444-L2442)</f>
      </c>
      <c r="P2443" s="7">
        <f>SQRT(O2443^2+N2443^2)</f>
      </c>
      <c r="Q2443" s="7">
        <f>N2443/$P2443</f>
      </c>
      <c r="R2443" s="7">
        <f>O2443/$P2443</f>
      </c>
      <c r="S2443" s="7">
        <f>Q2443^2+R2443^2</f>
      </c>
      <c r="T2443" s="7">
        <f>-R2443</f>
      </c>
      <c r="U2443" s="7">
        <f>Q2443</f>
      </c>
      <c r="V2443" s="7">
        <f>($C$14+($C$15-$C$14)/($D$15-$D$14)*(I2443-$D$14))/2</f>
      </c>
      <c r="W2443" s="7">
        <f>($B$22*I2443^4+$C$22*I2443^3+$D$22*I2443^2+$E$22*I2443+$F$22)/2</f>
      </c>
      <c r="X2443" s="7">
        <f>($W2443)*(T2443)</f>
      </c>
      <c r="Y2443" s="7">
        <f>($W2443)*(U2443)</f>
      </c>
      <c r="Z2443" s="7">
        <f>SQRT(X2443^2+Y2443^2)</f>
      </c>
      <c r="AA2443" s="7">
        <f>$K2443+$X2443</f>
      </c>
      <c r="AB2443" s="7">
        <f>$L2443+$Y2443</f>
      </c>
      <c r="AC2443" s="7">
        <f>$K2443-$X2443</f>
      </c>
      <c r="AD2443" s="7">
        <f>$L2443-$Y2443</f>
      </c>
      <c r="AE2443" s="7">
        <f>AA2443/39.3701</f>
      </c>
      <c r="AF2443" s="7">
        <f>AB2443/39.3701</f>
      </c>
      <c r="AG2443" s="7">
        <f>AC2443/39.3701</f>
      </c>
      <c r="AH2443" s="7">
        <f>AD2443/39.3701</f>
      </c>
      <c r="AI2443" s="1"/>
      <c r="AJ2443" s="1"/>
      <c r="AK2443" s="1"/>
      <c r="AL2443" s="1"/>
      <c r="AM2443" s="2"/>
      <c r="AN2443" s="1"/>
      <c r="AO2443" s="1"/>
      <c r="AP2443" s="1"/>
      <c r="AQ2443" s="1"/>
      <c r="AR2443" s="1"/>
      <c r="AS2443" s="1"/>
      <c r="AT2443" s="1"/>
      <c r="AU2443" s="1"/>
      <c r="AV2443" s="1"/>
      <c r="AW2443" s="1"/>
      <c r="AX2443" s="1"/>
      <c r="AY2443" s="1"/>
      <c r="AZ2443" s="1"/>
      <c r="BA2443" s="1"/>
      <c r="BB2443" s="1"/>
      <c r="BC2443" s="1"/>
      <c r="BD2443" s="1"/>
      <c r="BE2443" s="1"/>
    </row>
    <row x14ac:dyDescent="0.25" r="2444" customHeight="1" ht="18.75">
      <c r="A2444" s="1"/>
      <c r="B2444" s="2"/>
      <c r="C2444" s="2"/>
      <c r="D2444" s="2"/>
      <c r="E2444" s="2"/>
      <c r="F2444" s="2"/>
      <c r="G2444" s="1"/>
      <c r="H2444" s="1"/>
      <c r="I2444" s="7">
        <v>2.441</v>
      </c>
      <c r="J2444" s="7">
        <f>IF((I2444-ROUNDDOWN(I2444,0))=0, 0, (I2444-ROUNDDOWN(I2444,0)))</f>
      </c>
      <c r="K2444" s="7">
        <f>INDIRECT("C$"&amp;2+MIN(2,ROUNDDOWN(I2444,0))*3)*(-$J2444^3+3*$J2444^2-3*$J2444+1)+INDIRECT("C$"&amp;3+MIN(2,ROUNDDOWN(I2444,0))*3)*(3*$J2444^3-6*$J2444^2+3*$J2444)+INDIRECT("C$"&amp;4+MIN(2,ROUNDDOWN(I2444,0))*3)*(-3*$J2444^3+3*$J2444^2)+INDIRECT("C$"&amp;5+MIN(2,ROUNDDOWN(I2444,0))*3)*$J2444^3</f>
      </c>
      <c r="L2444" s="7">
        <f>INDIRECT("D$"&amp;2+MIN(2,ROUNDDOWN(I2444,0))*3)*(-$J2444^3+3*$J2444^2-3*$J2444+1)+INDIRECT("D$"&amp;3+MIN(2,ROUNDDOWN(I2444,0))*3)*(3*$J2444^3-6*$J2444^2+3*$J2444)+INDIRECT("D$"&amp;4+MIN(2,ROUNDDOWN(I2444,0))*3)*(-3*$J2444^3+3*$J2444^2)+INDIRECT("D$"&amp;5+MIN(2,ROUNDDOWN(I2444,0))*3)*$J2444^3</f>
      </c>
      <c r="M2444" s="7">
        <f>SQRT(K2444^2+L2444^2)</f>
      </c>
      <c r="N2444" s="7">
        <f>(K2445-K2443)</f>
      </c>
      <c r="O2444" s="7">
        <f>+(L2445-L2443)</f>
      </c>
      <c r="P2444" s="7">
        <f>SQRT(O2444^2+N2444^2)</f>
      </c>
      <c r="Q2444" s="7">
        <f>N2444/$P2444</f>
      </c>
      <c r="R2444" s="7">
        <f>O2444/$P2444</f>
      </c>
      <c r="S2444" s="7">
        <f>Q2444^2+R2444^2</f>
      </c>
      <c r="T2444" s="7">
        <f>-R2444</f>
      </c>
      <c r="U2444" s="7">
        <f>Q2444</f>
      </c>
      <c r="V2444" s="7">
        <f>($C$14+($C$15-$C$14)/($D$15-$D$14)*(I2444-$D$14))/2</f>
      </c>
      <c r="W2444" s="7">
        <f>($B$22*I2444^4+$C$22*I2444^3+$D$22*I2444^2+$E$22*I2444+$F$22)/2</f>
      </c>
      <c r="X2444" s="7">
        <f>($W2444)*(T2444)</f>
      </c>
      <c r="Y2444" s="7">
        <f>($W2444)*(U2444)</f>
      </c>
      <c r="Z2444" s="7">
        <f>SQRT(X2444^2+Y2444^2)</f>
      </c>
      <c r="AA2444" s="7">
        <f>$K2444+$X2444</f>
      </c>
      <c r="AB2444" s="7">
        <f>$L2444+$Y2444</f>
      </c>
      <c r="AC2444" s="7">
        <f>$K2444-$X2444</f>
      </c>
      <c r="AD2444" s="7">
        <f>$L2444-$Y2444</f>
      </c>
      <c r="AE2444" s="7">
        <f>AA2444/39.3701</f>
      </c>
      <c r="AF2444" s="7">
        <f>AB2444/39.3701</f>
      </c>
      <c r="AG2444" s="7">
        <f>AC2444/39.3701</f>
      </c>
      <c r="AH2444" s="7">
        <f>AD2444/39.3701</f>
      </c>
      <c r="AI2444" s="1"/>
      <c r="AJ2444" s="1"/>
      <c r="AK2444" s="1"/>
      <c r="AL2444" s="1"/>
      <c r="AM2444" s="2"/>
      <c r="AN2444" s="1"/>
      <c r="AO2444" s="1"/>
      <c r="AP2444" s="1"/>
      <c r="AQ2444" s="1"/>
      <c r="AR2444" s="1"/>
      <c r="AS2444" s="1"/>
      <c r="AT2444" s="1"/>
      <c r="AU2444" s="1"/>
      <c r="AV2444" s="1"/>
      <c r="AW2444" s="1"/>
      <c r="AX2444" s="1"/>
      <c r="AY2444" s="1"/>
      <c r="AZ2444" s="1"/>
      <c r="BA2444" s="1"/>
      <c r="BB2444" s="1"/>
      <c r="BC2444" s="1"/>
      <c r="BD2444" s="1"/>
      <c r="BE2444" s="1"/>
    </row>
    <row x14ac:dyDescent="0.25" r="2445" customHeight="1" ht="18.75">
      <c r="A2445" s="1"/>
      <c r="B2445" s="2"/>
      <c r="C2445" s="2"/>
      <c r="D2445" s="2"/>
      <c r="E2445" s="2"/>
      <c r="F2445" s="2"/>
      <c r="G2445" s="1"/>
      <c r="H2445" s="1"/>
      <c r="I2445" s="7">
        <v>2.442</v>
      </c>
      <c r="J2445" s="7">
        <f>IF((I2445-ROUNDDOWN(I2445,0))=0, 0, (I2445-ROUNDDOWN(I2445,0)))</f>
      </c>
      <c r="K2445" s="7">
        <f>INDIRECT("C$"&amp;2+MIN(2,ROUNDDOWN(I2445,0))*3)*(-$J2445^3+3*$J2445^2-3*$J2445+1)+INDIRECT("C$"&amp;3+MIN(2,ROUNDDOWN(I2445,0))*3)*(3*$J2445^3-6*$J2445^2+3*$J2445)+INDIRECT("C$"&amp;4+MIN(2,ROUNDDOWN(I2445,0))*3)*(-3*$J2445^3+3*$J2445^2)+INDIRECT("C$"&amp;5+MIN(2,ROUNDDOWN(I2445,0))*3)*$J2445^3</f>
      </c>
      <c r="L2445" s="7">
        <f>INDIRECT("D$"&amp;2+MIN(2,ROUNDDOWN(I2445,0))*3)*(-$J2445^3+3*$J2445^2-3*$J2445+1)+INDIRECT("D$"&amp;3+MIN(2,ROUNDDOWN(I2445,0))*3)*(3*$J2445^3-6*$J2445^2+3*$J2445)+INDIRECT("D$"&amp;4+MIN(2,ROUNDDOWN(I2445,0))*3)*(-3*$J2445^3+3*$J2445^2)+INDIRECT("D$"&amp;5+MIN(2,ROUNDDOWN(I2445,0))*3)*$J2445^3</f>
      </c>
      <c r="M2445" s="7">
        <f>SQRT(K2445^2+L2445^2)</f>
      </c>
      <c r="N2445" s="7">
        <f>(K2446-K2444)</f>
      </c>
      <c r="O2445" s="7">
        <f>+(L2446-L2444)</f>
      </c>
      <c r="P2445" s="7">
        <f>SQRT(O2445^2+N2445^2)</f>
      </c>
      <c r="Q2445" s="7">
        <f>N2445/$P2445</f>
      </c>
      <c r="R2445" s="7">
        <f>O2445/$P2445</f>
      </c>
      <c r="S2445" s="8">
        <f>Q2445^2+R2445^2</f>
      </c>
      <c r="T2445" s="7">
        <f>-R2445</f>
      </c>
      <c r="U2445" s="7">
        <f>Q2445</f>
      </c>
      <c r="V2445" s="7">
        <f>($C$14+($C$15-$C$14)/($D$15-$D$14)*(I2445-$D$14))/2</f>
      </c>
      <c r="W2445" s="7">
        <f>($B$22*I2445^4+$C$22*I2445^3+$D$22*I2445^2+$E$22*I2445+$F$22)/2</f>
      </c>
      <c r="X2445" s="7">
        <f>($W2445)*(T2445)</f>
      </c>
      <c r="Y2445" s="7">
        <f>($W2445)*(U2445)</f>
      </c>
      <c r="Z2445" s="7">
        <f>SQRT(X2445^2+Y2445^2)</f>
      </c>
      <c r="AA2445" s="7">
        <f>$K2445+$X2445</f>
      </c>
      <c r="AB2445" s="7">
        <f>$L2445+$Y2445</f>
      </c>
      <c r="AC2445" s="7">
        <f>$K2445-$X2445</f>
      </c>
      <c r="AD2445" s="7">
        <f>$L2445-$Y2445</f>
      </c>
      <c r="AE2445" s="7">
        <f>AA2445/39.3701</f>
      </c>
      <c r="AF2445" s="7">
        <f>AB2445/39.3701</f>
      </c>
      <c r="AG2445" s="7">
        <f>AC2445/39.3701</f>
      </c>
      <c r="AH2445" s="7">
        <f>AD2445/39.3701</f>
      </c>
      <c r="AI2445" s="1"/>
      <c r="AJ2445" s="1"/>
      <c r="AK2445" s="1"/>
      <c r="AL2445" s="1"/>
      <c r="AM2445" s="2"/>
      <c r="AN2445" s="1"/>
      <c r="AO2445" s="1"/>
      <c r="AP2445" s="1"/>
      <c r="AQ2445" s="1"/>
      <c r="AR2445" s="1"/>
      <c r="AS2445" s="1"/>
      <c r="AT2445" s="1"/>
      <c r="AU2445" s="1"/>
      <c r="AV2445" s="1"/>
      <c r="AW2445" s="1"/>
      <c r="AX2445" s="1"/>
      <c r="AY2445" s="1"/>
      <c r="AZ2445" s="1"/>
      <c r="BA2445" s="1"/>
      <c r="BB2445" s="1"/>
      <c r="BC2445" s="1"/>
      <c r="BD2445" s="1"/>
      <c r="BE2445" s="1"/>
    </row>
    <row x14ac:dyDescent="0.25" r="2446" customHeight="1" ht="18.75">
      <c r="A2446" s="1"/>
      <c r="B2446" s="2"/>
      <c r="C2446" s="2"/>
      <c r="D2446" s="2"/>
      <c r="E2446" s="2"/>
      <c r="F2446" s="2"/>
      <c r="G2446" s="1"/>
      <c r="H2446" s="1"/>
      <c r="I2446" s="7">
        <v>2.443</v>
      </c>
      <c r="J2446" s="7">
        <f>IF((I2446-ROUNDDOWN(I2446,0))=0, 0, (I2446-ROUNDDOWN(I2446,0)))</f>
      </c>
      <c r="K2446" s="7">
        <f>INDIRECT("C$"&amp;2+MIN(2,ROUNDDOWN(I2446,0))*3)*(-$J2446^3+3*$J2446^2-3*$J2446+1)+INDIRECT("C$"&amp;3+MIN(2,ROUNDDOWN(I2446,0))*3)*(3*$J2446^3-6*$J2446^2+3*$J2446)+INDIRECT("C$"&amp;4+MIN(2,ROUNDDOWN(I2446,0))*3)*(-3*$J2446^3+3*$J2446^2)+INDIRECT("C$"&amp;5+MIN(2,ROUNDDOWN(I2446,0))*3)*$J2446^3</f>
      </c>
      <c r="L2446" s="7">
        <f>INDIRECT("D$"&amp;2+MIN(2,ROUNDDOWN(I2446,0))*3)*(-$J2446^3+3*$J2446^2-3*$J2446+1)+INDIRECT("D$"&amp;3+MIN(2,ROUNDDOWN(I2446,0))*3)*(3*$J2446^3-6*$J2446^2+3*$J2446)+INDIRECT("D$"&amp;4+MIN(2,ROUNDDOWN(I2446,0))*3)*(-3*$J2446^3+3*$J2446^2)+INDIRECT("D$"&amp;5+MIN(2,ROUNDDOWN(I2446,0))*3)*$J2446^3</f>
      </c>
      <c r="M2446" s="7">
        <f>SQRT(K2446^2+L2446^2)</f>
      </c>
      <c r="N2446" s="7">
        <f>(K2447-K2445)</f>
      </c>
      <c r="O2446" s="7">
        <f>+(L2447-L2445)</f>
      </c>
      <c r="P2446" s="7">
        <f>SQRT(O2446^2+N2446^2)</f>
      </c>
      <c r="Q2446" s="7">
        <f>N2446/$P2446</f>
      </c>
      <c r="R2446" s="7">
        <f>O2446/$P2446</f>
      </c>
      <c r="S2446" s="8">
        <f>Q2446^2+R2446^2</f>
      </c>
      <c r="T2446" s="7">
        <f>-R2446</f>
      </c>
      <c r="U2446" s="7">
        <f>Q2446</f>
      </c>
      <c r="V2446" s="7">
        <f>($C$14+($C$15-$C$14)/($D$15-$D$14)*(I2446-$D$14))/2</f>
      </c>
      <c r="W2446" s="7">
        <f>($B$22*I2446^4+$C$22*I2446^3+$D$22*I2446^2+$E$22*I2446+$F$22)/2</f>
      </c>
      <c r="X2446" s="7">
        <f>($W2446)*(T2446)</f>
      </c>
      <c r="Y2446" s="7">
        <f>($W2446)*(U2446)</f>
      </c>
      <c r="Z2446" s="7">
        <f>SQRT(X2446^2+Y2446^2)</f>
      </c>
      <c r="AA2446" s="7">
        <f>$K2446+$X2446</f>
      </c>
      <c r="AB2446" s="7">
        <f>$L2446+$Y2446</f>
      </c>
      <c r="AC2446" s="7">
        <f>$K2446-$X2446</f>
      </c>
      <c r="AD2446" s="7">
        <f>$L2446-$Y2446</f>
      </c>
      <c r="AE2446" s="7">
        <f>AA2446/39.3701</f>
      </c>
      <c r="AF2446" s="7">
        <f>AB2446/39.3701</f>
      </c>
      <c r="AG2446" s="7">
        <f>AC2446/39.3701</f>
      </c>
      <c r="AH2446" s="7">
        <f>AD2446/39.3701</f>
      </c>
      <c r="AI2446" s="1"/>
      <c r="AJ2446" s="1"/>
      <c r="AK2446" s="1"/>
      <c r="AL2446" s="1"/>
      <c r="AM2446" s="2"/>
      <c r="AN2446" s="1"/>
      <c r="AO2446" s="1"/>
      <c r="AP2446" s="1"/>
      <c r="AQ2446" s="1"/>
      <c r="AR2446" s="1"/>
      <c r="AS2446" s="1"/>
      <c r="AT2446" s="1"/>
      <c r="AU2446" s="1"/>
      <c r="AV2446" s="1"/>
      <c r="AW2446" s="1"/>
      <c r="AX2446" s="1"/>
      <c r="AY2446" s="1"/>
      <c r="AZ2446" s="1"/>
      <c r="BA2446" s="1"/>
      <c r="BB2446" s="1"/>
      <c r="BC2446" s="1"/>
      <c r="BD2446" s="1"/>
      <c r="BE2446" s="1"/>
    </row>
    <row x14ac:dyDescent="0.25" r="2447" customHeight="1" ht="18.75">
      <c r="A2447" s="1"/>
      <c r="B2447" s="2"/>
      <c r="C2447" s="2"/>
      <c r="D2447" s="2"/>
      <c r="E2447" s="2"/>
      <c r="F2447" s="2"/>
      <c r="G2447" s="1"/>
      <c r="H2447" s="1"/>
      <c r="I2447" s="7">
        <v>2.444</v>
      </c>
      <c r="J2447" s="7">
        <f>IF((I2447-ROUNDDOWN(I2447,0))=0, 0, (I2447-ROUNDDOWN(I2447,0)))</f>
      </c>
      <c r="K2447" s="7">
        <f>INDIRECT("C$"&amp;2+MIN(2,ROUNDDOWN(I2447,0))*3)*(-$J2447^3+3*$J2447^2-3*$J2447+1)+INDIRECT("C$"&amp;3+MIN(2,ROUNDDOWN(I2447,0))*3)*(3*$J2447^3-6*$J2447^2+3*$J2447)+INDIRECT("C$"&amp;4+MIN(2,ROUNDDOWN(I2447,0))*3)*(-3*$J2447^3+3*$J2447^2)+INDIRECT("C$"&amp;5+MIN(2,ROUNDDOWN(I2447,0))*3)*$J2447^3</f>
      </c>
      <c r="L2447" s="7">
        <f>INDIRECT("D$"&amp;2+MIN(2,ROUNDDOWN(I2447,0))*3)*(-$J2447^3+3*$J2447^2-3*$J2447+1)+INDIRECT("D$"&amp;3+MIN(2,ROUNDDOWN(I2447,0))*3)*(3*$J2447^3-6*$J2447^2+3*$J2447)+INDIRECT("D$"&amp;4+MIN(2,ROUNDDOWN(I2447,0))*3)*(-3*$J2447^3+3*$J2447^2)+INDIRECT("D$"&amp;5+MIN(2,ROUNDDOWN(I2447,0))*3)*$J2447^3</f>
      </c>
      <c r="M2447" s="7">
        <f>SQRT(K2447^2+L2447^2)</f>
      </c>
      <c r="N2447" s="7">
        <f>(K2448-K2446)</f>
      </c>
      <c r="O2447" s="7">
        <f>+(L2448-L2446)</f>
      </c>
      <c r="P2447" s="7">
        <f>SQRT(O2447^2+N2447^2)</f>
      </c>
      <c r="Q2447" s="7">
        <f>N2447/$P2447</f>
      </c>
      <c r="R2447" s="7">
        <f>O2447/$P2447</f>
      </c>
      <c r="S2447" s="7">
        <f>Q2447^2+R2447^2</f>
      </c>
      <c r="T2447" s="7">
        <f>-R2447</f>
      </c>
      <c r="U2447" s="7">
        <f>Q2447</f>
      </c>
      <c r="V2447" s="7">
        <f>($C$14+($C$15-$C$14)/($D$15-$D$14)*(I2447-$D$14))/2</f>
      </c>
      <c r="W2447" s="7">
        <f>($B$22*I2447^4+$C$22*I2447^3+$D$22*I2447^2+$E$22*I2447+$F$22)/2</f>
      </c>
      <c r="X2447" s="7">
        <f>($W2447)*(T2447)</f>
      </c>
      <c r="Y2447" s="7">
        <f>($W2447)*(U2447)</f>
      </c>
      <c r="Z2447" s="7">
        <f>SQRT(X2447^2+Y2447^2)</f>
      </c>
      <c r="AA2447" s="7">
        <f>$K2447+$X2447</f>
      </c>
      <c r="AB2447" s="7">
        <f>$L2447+$Y2447</f>
      </c>
      <c r="AC2447" s="7">
        <f>$K2447-$X2447</f>
      </c>
      <c r="AD2447" s="7">
        <f>$L2447-$Y2447</f>
      </c>
      <c r="AE2447" s="7">
        <f>AA2447/39.3701</f>
      </c>
      <c r="AF2447" s="7">
        <f>AB2447/39.3701</f>
      </c>
      <c r="AG2447" s="7">
        <f>AC2447/39.3701</f>
      </c>
      <c r="AH2447" s="7">
        <f>AD2447/39.3701</f>
      </c>
      <c r="AI2447" s="1"/>
      <c r="AJ2447" s="1"/>
      <c r="AK2447" s="1"/>
      <c r="AL2447" s="1"/>
      <c r="AM2447" s="2"/>
      <c r="AN2447" s="1"/>
      <c r="AO2447" s="1"/>
      <c r="AP2447" s="1"/>
      <c r="AQ2447" s="1"/>
      <c r="AR2447" s="1"/>
      <c r="AS2447" s="1"/>
      <c r="AT2447" s="1"/>
      <c r="AU2447" s="1"/>
      <c r="AV2447" s="1"/>
      <c r="AW2447" s="1"/>
      <c r="AX2447" s="1"/>
      <c r="AY2447" s="1"/>
      <c r="AZ2447" s="1"/>
      <c r="BA2447" s="1"/>
      <c r="BB2447" s="1"/>
      <c r="BC2447" s="1"/>
      <c r="BD2447" s="1"/>
      <c r="BE2447" s="1"/>
    </row>
    <row x14ac:dyDescent="0.25" r="2448" customHeight="1" ht="18.75">
      <c r="A2448" s="1"/>
      <c r="B2448" s="2"/>
      <c r="C2448" s="2"/>
      <c r="D2448" s="2"/>
      <c r="E2448" s="2"/>
      <c r="F2448" s="2"/>
      <c r="G2448" s="1"/>
      <c r="H2448" s="1"/>
      <c r="I2448" s="7">
        <v>2.445</v>
      </c>
      <c r="J2448" s="7">
        <f>IF((I2448-ROUNDDOWN(I2448,0))=0, 0, (I2448-ROUNDDOWN(I2448,0)))</f>
      </c>
      <c r="K2448" s="7">
        <f>INDIRECT("C$"&amp;2+MIN(2,ROUNDDOWN(I2448,0))*3)*(-$J2448^3+3*$J2448^2-3*$J2448+1)+INDIRECT("C$"&amp;3+MIN(2,ROUNDDOWN(I2448,0))*3)*(3*$J2448^3-6*$J2448^2+3*$J2448)+INDIRECT("C$"&amp;4+MIN(2,ROUNDDOWN(I2448,0))*3)*(-3*$J2448^3+3*$J2448^2)+INDIRECT("C$"&amp;5+MIN(2,ROUNDDOWN(I2448,0))*3)*$J2448^3</f>
      </c>
      <c r="L2448" s="7">
        <f>INDIRECT("D$"&amp;2+MIN(2,ROUNDDOWN(I2448,0))*3)*(-$J2448^3+3*$J2448^2-3*$J2448+1)+INDIRECT("D$"&amp;3+MIN(2,ROUNDDOWN(I2448,0))*3)*(3*$J2448^3-6*$J2448^2+3*$J2448)+INDIRECT("D$"&amp;4+MIN(2,ROUNDDOWN(I2448,0))*3)*(-3*$J2448^3+3*$J2448^2)+INDIRECT("D$"&amp;5+MIN(2,ROUNDDOWN(I2448,0))*3)*$J2448^3</f>
      </c>
      <c r="M2448" s="7">
        <f>SQRT(K2448^2+L2448^2)</f>
      </c>
      <c r="N2448" s="7">
        <f>(K2449-K2447)</f>
      </c>
      <c r="O2448" s="7">
        <f>+(L2449-L2447)</f>
      </c>
      <c r="P2448" s="7">
        <f>SQRT(O2448^2+N2448^2)</f>
      </c>
      <c r="Q2448" s="7">
        <f>N2448/$P2448</f>
      </c>
      <c r="R2448" s="7">
        <f>O2448/$P2448</f>
      </c>
      <c r="S2448" s="7">
        <f>Q2448^2+R2448^2</f>
      </c>
      <c r="T2448" s="7">
        <f>-R2448</f>
      </c>
      <c r="U2448" s="7">
        <f>Q2448</f>
      </c>
      <c r="V2448" s="7">
        <f>($C$14+($C$15-$C$14)/($D$15-$D$14)*(I2448-$D$14))/2</f>
      </c>
      <c r="W2448" s="7">
        <f>($B$22*I2448^4+$C$22*I2448^3+$D$22*I2448^2+$E$22*I2448+$F$22)/2</f>
      </c>
      <c r="X2448" s="7">
        <f>($W2448)*(T2448)</f>
      </c>
      <c r="Y2448" s="7">
        <f>($W2448)*(U2448)</f>
      </c>
      <c r="Z2448" s="7">
        <f>SQRT(X2448^2+Y2448^2)</f>
      </c>
      <c r="AA2448" s="7">
        <f>$K2448+$X2448</f>
      </c>
      <c r="AB2448" s="7">
        <f>$L2448+$Y2448</f>
      </c>
      <c r="AC2448" s="7">
        <f>$K2448-$X2448</f>
      </c>
      <c r="AD2448" s="7">
        <f>$L2448-$Y2448</f>
      </c>
      <c r="AE2448" s="7">
        <f>AA2448/39.3701</f>
      </c>
      <c r="AF2448" s="7">
        <f>AB2448/39.3701</f>
      </c>
      <c r="AG2448" s="7">
        <f>AC2448/39.3701</f>
      </c>
      <c r="AH2448" s="7">
        <f>AD2448/39.3701</f>
      </c>
      <c r="AI2448" s="1"/>
      <c r="AJ2448" s="1"/>
      <c r="AK2448" s="1"/>
      <c r="AL2448" s="1"/>
      <c r="AM2448" s="2"/>
      <c r="AN2448" s="1"/>
      <c r="AO2448" s="1"/>
      <c r="AP2448" s="1"/>
      <c r="AQ2448" s="1"/>
      <c r="AR2448" s="1"/>
      <c r="AS2448" s="1"/>
      <c r="AT2448" s="1"/>
      <c r="AU2448" s="1"/>
      <c r="AV2448" s="1"/>
      <c r="AW2448" s="1"/>
      <c r="AX2448" s="1"/>
      <c r="AY2448" s="1"/>
      <c r="AZ2448" s="1"/>
      <c r="BA2448" s="1"/>
      <c r="BB2448" s="1"/>
      <c r="BC2448" s="1"/>
      <c r="BD2448" s="1"/>
      <c r="BE2448" s="1"/>
    </row>
    <row x14ac:dyDescent="0.25" r="2449" customHeight="1" ht="18.75">
      <c r="A2449" s="1"/>
      <c r="B2449" s="2"/>
      <c r="C2449" s="2"/>
      <c r="D2449" s="2"/>
      <c r="E2449" s="2"/>
      <c r="F2449" s="2"/>
      <c r="G2449" s="1"/>
      <c r="H2449" s="1"/>
      <c r="I2449" s="7">
        <v>2.446</v>
      </c>
      <c r="J2449" s="7">
        <f>IF((I2449-ROUNDDOWN(I2449,0))=0, 0, (I2449-ROUNDDOWN(I2449,0)))</f>
      </c>
      <c r="K2449" s="7">
        <f>INDIRECT("C$"&amp;2+MIN(2,ROUNDDOWN(I2449,0))*3)*(-$J2449^3+3*$J2449^2-3*$J2449+1)+INDIRECT("C$"&amp;3+MIN(2,ROUNDDOWN(I2449,0))*3)*(3*$J2449^3-6*$J2449^2+3*$J2449)+INDIRECT("C$"&amp;4+MIN(2,ROUNDDOWN(I2449,0))*3)*(-3*$J2449^3+3*$J2449^2)+INDIRECT("C$"&amp;5+MIN(2,ROUNDDOWN(I2449,0))*3)*$J2449^3</f>
      </c>
      <c r="L2449" s="7">
        <f>INDIRECT("D$"&amp;2+MIN(2,ROUNDDOWN(I2449,0))*3)*(-$J2449^3+3*$J2449^2-3*$J2449+1)+INDIRECT("D$"&amp;3+MIN(2,ROUNDDOWN(I2449,0))*3)*(3*$J2449^3-6*$J2449^2+3*$J2449)+INDIRECT("D$"&amp;4+MIN(2,ROUNDDOWN(I2449,0))*3)*(-3*$J2449^3+3*$J2449^2)+INDIRECT("D$"&amp;5+MIN(2,ROUNDDOWN(I2449,0))*3)*$J2449^3</f>
      </c>
      <c r="M2449" s="7">
        <f>SQRT(K2449^2+L2449^2)</f>
      </c>
      <c r="N2449" s="7">
        <f>(K2450-K2448)</f>
      </c>
      <c r="O2449" s="7">
        <f>+(L2450-L2448)</f>
      </c>
      <c r="P2449" s="7">
        <f>SQRT(O2449^2+N2449^2)</f>
      </c>
      <c r="Q2449" s="7">
        <f>N2449/$P2449</f>
      </c>
      <c r="R2449" s="7">
        <f>O2449/$P2449</f>
      </c>
      <c r="S2449" s="7">
        <f>Q2449^2+R2449^2</f>
      </c>
      <c r="T2449" s="7">
        <f>-R2449</f>
      </c>
      <c r="U2449" s="7">
        <f>Q2449</f>
      </c>
      <c r="V2449" s="7">
        <f>($C$14+($C$15-$C$14)/($D$15-$D$14)*(I2449-$D$14))/2</f>
      </c>
      <c r="W2449" s="7">
        <f>($B$22*I2449^4+$C$22*I2449^3+$D$22*I2449^2+$E$22*I2449+$F$22)/2</f>
      </c>
      <c r="X2449" s="7">
        <f>($W2449)*(T2449)</f>
      </c>
      <c r="Y2449" s="7">
        <f>($W2449)*(U2449)</f>
      </c>
      <c r="Z2449" s="7">
        <f>SQRT(X2449^2+Y2449^2)</f>
      </c>
      <c r="AA2449" s="7">
        <f>$K2449+$X2449</f>
      </c>
      <c r="AB2449" s="7">
        <f>$L2449+$Y2449</f>
      </c>
      <c r="AC2449" s="7">
        <f>$K2449-$X2449</f>
      </c>
      <c r="AD2449" s="7">
        <f>$L2449-$Y2449</f>
      </c>
      <c r="AE2449" s="7">
        <f>AA2449/39.3701</f>
      </c>
      <c r="AF2449" s="7">
        <f>AB2449/39.3701</f>
      </c>
      <c r="AG2449" s="7">
        <f>AC2449/39.3701</f>
      </c>
      <c r="AH2449" s="7">
        <f>AD2449/39.3701</f>
      </c>
      <c r="AI2449" s="1"/>
      <c r="AJ2449" s="1"/>
      <c r="AK2449" s="1"/>
      <c r="AL2449" s="1"/>
      <c r="AM2449" s="2"/>
      <c r="AN2449" s="1"/>
      <c r="AO2449" s="1"/>
      <c r="AP2449" s="1"/>
      <c r="AQ2449" s="1"/>
      <c r="AR2449" s="1"/>
      <c r="AS2449" s="1"/>
      <c r="AT2449" s="1"/>
      <c r="AU2449" s="1"/>
      <c r="AV2449" s="1"/>
      <c r="AW2449" s="1"/>
      <c r="AX2449" s="1"/>
      <c r="AY2449" s="1"/>
      <c r="AZ2449" s="1"/>
      <c r="BA2449" s="1"/>
      <c r="BB2449" s="1"/>
      <c r="BC2449" s="1"/>
      <c r="BD2449" s="1"/>
      <c r="BE2449" s="1"/>
    </row>
    <row x14ac:dyDescent="0.25" r="2450" customHeight="1" ht="18.75">
      <c r="A2450" s="1"/>
      <c r="B2450" s="2"/>
      <c r="C2450" s="2"/>
      <c r="D2450" s="2"/>
      <c r="E2450" s="2"/>
      <c r="F2450" s="2"/>
      <c r="G2450" s="1"/>
      <c r="H2450" s="1"/>
      <c r="I2450" s="7">
        <v>2.447</v>
      </c>
      <c r="J2450" s="7">
        <f>IF((I2450-ROUNDDOWN(I2450,0))=0, 0, (I2450-ROUNDDOWN(I2450,0)))</f>
      </c>
      <c r="K2450" s="7">
        <f>INDIRECT("C$"&amp;2+MIN(2,ROUNDDOWN(I2450,0))*3)*(-$J2450^3+3*$J2450^2-3*$J2450+1)+INDIRECT("C$"&amp;3+MIN(2,ROUNDDOWN(I2450,0))*3)*(3*$J2450^3-6*$J2450^2+3*$J2450)+INDIRECT("C$"&amp;4+MIN(2,ROUNDDOWN(I2450,0))*3)*(-3*$J2450^3+3*$J2450^2)+INDIRECT("C$"&amp;5+MIN(2,ROUNDDOWN(I2450,0))*3)*$J2450^3</f>
      </c>
      <c r="L2450" s="7">
        <f>INDIRECT("D$"&amp;2+MIN(2,ROUNDDOWN(I2450,0))*3)*(-$J2450^3+3*$J2450^2-3*$J2450+1)+INDIRECT("D$"&amp;3+MIN(2,ROUNDDOWN(I2450,0))*3)*(3*$J2450^3-6*$J2450^2+3*$J2450)+INDIRECT("D$"&amp;4+MIN(2,ROUNDDOWN(I2450,0))*3)*(-3*$J2450^3+3*$J2450^2)+INDIRECT("D$"&amp;5+MIN(2,ROUNDDOWN(I2450,0))*3)*$J2450^3</f>
      </c>
      <c r="M2450" s="7">
        <f>SQRT(K2450^2+L2450^2)</f>
      </c>
      <c r="N2450" s="7">
        <f>(K2451-K2449)</f>
      </c>
      <c r="O2450" s="7">
        <f>+(L2451-L2449)</f>
      </c>
      <c r="P2450" s="7">
        <f>SQRT(O2450^2+N2450^2)</f>
      </c>
      <c r="Q2450" s="7">
        <f>N2450/$P2450</f>
      </c>
      <c r="R2450" s="7">
        <f>O2450/$P2450</f>
      </c>
      <c r="S2450" s="8">
        <f>Q2450^2+R2450^2</f>
      </c>
      <c r="T2450" s="7">
        <f>-R2450</f>
      </c>
      <c r="U2450" s="7">
        <f>Q2450</f>
      </c>
      <c r="V2450" s="7">
        <f>($C$14+($C$15-$C$14)/($D$15-$D$14)*(I2450-$D$14))/2</f>
      </c>
      <c r="W2450" s="7">
        <f>($B$22*I2450^4+$C$22*I2450^3+$D$22*I2450^2+$E$22*I2450+$F$22)/2</f>
      </c>
      <c r="X2450" s="7">
        <f>($W2450)*(T2450)</f>
      </c>
      <c r="Y2450" s="7">
        <f>($W2450)*(U2450)</f>
      </c>
      <c r="Z2450" s="7">
        <f>SQRT(X2450^2+Y2450^2)</f>
      </c>
      <c r="AA2450" s="7">
        <f>$K2450+$X2450</f>
      </c>
      <c r="AB2450" s="7">
        <f>$L2450+$Y2450</f>
      </c>
      <c r="AC2450" s="7">
        <f>$K2450-$X2450</f>
      </c>
      <c r="AD2450" s="7">
        <f>$L2450-$Y2450</f>
      </c>
      <c r="AE2450" s="7">
        <f>AA2450/39.3701</f>
      </c>
      <c r="AF2450" s="7">
        <f>AB2450/39.3701</f>
      </c>
      <c r="AG2450" s="7">
        <f>AC2450/39.3701</f>
      </c>
      <c r="AH2450" s="7">
        <f>AD2450/39.3701</f>
      </c>
      <c r="AI2450" s="1"/>
      <c r="AJ2450" s="1"/>
      <c r="AK2450" s="1"/>
      <c r="AL2450" s="1"/>
      <c r="AM2450" s="2"/>
      <c r="AN2450" s="1"/>
      <c r="AO2450" s="1"/>
      <c r="AP2450" s="1"/>
      <c r="AQ2450" s="1"/>
      <c r="AR2450" s="1"/>
      <c r="AS2450" s="1"/>
      <c r="AT2450" s="1"/>
      <c r="AU2450" s="1"/>
      <c r="AV2450" s="1"/>
      <c r="AW2450" s="1"/>
      <c r="AX2450" s="1"/>
      <c r="AY2450" s="1"/>
      <c r="AZ2450" s="1"/>
      <c r="BA2450" s="1"/>
      <c r="BB2450" s="1"/>
      <c r="BC2450" s="1"/>
      <c r="BD2450" s="1"/>
      <c r="BE2450" s="1"/>
    </row>
    <row x14ac:dyDescent="0.25" r="2451" customHeight="1" ht="18.75">
      <c r="A2451" s="1"/>
      <c r="B2451" s="2"/>
      <c r="C2451" s="2"/>
      <c r="D2451" s="2"/>
      <c r="E2451" s="2"/>
      <c r="F2451" s="2"/>
      <c r="G2451" s="1"/>
      <c r="H2451" s="1"/>
      <c r="I2451" s="7">
        <v>2.448</v>
      </c>
      <c r="J2451" s="7">
        <f>IF((I2451-ROUNDDOWN(I2451,0))=0, 0, (I2451-ROUNDDOWN(I2451,0)))</f>
      </c>
      <c r="K2451" s="7">
        <f>INDIRECT("C$"&amp;2+MIN(2,ROUNDDOWN(I2451,0))*3)*(-$J2451^3+3*$J2451^2-3*$J2451+1)+INDIRECT("C$"&amp;3+MIN(2,ROUNDDOWN(I2451,0))*3)*(3*$J2451^3-6*$J2451^2+3*$J2451)+INDIRECT("C$"&amp;4+MIN(2,ROUNDDOWN(I2451,0))*3)*(-3*$J2451^3+3*$J2451^2)+INDIRECT("C$"&amp;5+MIN(2,ROUNDDOWN(I2451,0))*3)*$J2451^3</f>
      </c>
      <c r="L2451" s="7">
        <f>INDIRECT("D$"&amp;2+MIN(2,ROUNDDOWN(I2451,0))*3)*(-$J2451^3+3*$J2451^2-3*$J2451+1)+INDIRECT("D$"&amp;3+MIN(2,ROUNDDOWN(I2451,0))*3)*(3*$J2451^3-6*$J2451^2+3*$J2451)+INDIRECT("D$"&amp;4+MIN(2,ROUNDDOWN(I2451,0))*3)*(-3*$J2451^3+3*$J2451^2)+INDIRECT("D$"&amp;5+MIN(2,ROUNDDOWN(I2451,0))*3)*$J2451^3</f>
      </c>
      <c r="M2451" s="7">
        <f>SQRT(K2451^2+L2451^2)</f>
      </c>
      <c r="N2451" s="7">
        <f>(K2452-K2450)</f>
      </c>
      <c r="O2451" s="7">
        <f>+(L2452-L2450)</f>
      </c>
      <c r="P2451" s="7">
        <f>SQRT(O2451^2+N2451^2)</f>
      </c>
      <c r="Q2451" s="7">
        <f>N2451/$P2451</f>
      </c>
      <c r="R2451" s="7">
        <f>O2451/$P2451</f>
      </c>
      <c r="S2451" s="7">
        <f>Q2451^2+R2451^2</f>
      </c>
      <c r="T2451" s="7">
        <f>-R2451</f>
      </c>
      <c r="U2451" s="7">
        <f>Q2451</f>
      </c>
      <c r="V2451" s="7">
        <f>($C$14+($C$15-$C$14)/($D$15-$D$14)*(I2451-$D$14))/2</f>
      </c>
      <c r="W2451" s="7">
        <f>($B$22*I2451^4+$C$22*I2451^3+$D$22*I2451^2+$E$22*I2451+$F$22)/2</f>
      </c>
      <c r="X2451" s="7">
        <f>($W2451)*(T2451)</f>
      </c>
      <c r="Y2451" s="7">
        <f>($W2451)*(U2451)</f>
      </c>
      <c r="Z2451" s="7">
        <f>SQRT(X2451^2+Y2451^2)</f>
      </c>
      <c r="AA2451" s="7">
        <f>$K2451+$X2451</f>
      </c>
      <c r="AB2451" s="7">
        <f>$L2451+$Y2451</f>
      </c>
      <c r="AC2451" s="7">
        <f>$K2451-$X2451</f>
      </c>
      <c r="AD2451" s="7">
        <f>$L2451-$Y2451</f>
      </c>
      <c r="AE2451" s="7">
        <f>AA2451/39.3701</f>
      </c>
      <c r="AF2451" s="7">
        <f>AB2451/39.3701</f>
      </c>
      <c r="AG2451" s="7">
        <f>AC2451/39.3701</f>
      </c>
      <c r="AH2451" s="7">
        <f>AD2451/39.3701</f>
      </c>
      <c r="AI2451" s="1"/>
      <c r="AJ2451" s="1"/>
      <c r="AK2451" s="1"/>
      <c r="AL2451" s="1"/>
      <c r="AM2451" s="2"/>
      <c r="AN2451" s="1"/>
      <c r="AO2451" s="1"/>
      <c r="AP2451" s="1"/>
      <c r="AQ2451" s="1"/>
      <c r="AR2451" s="1"/>
      <c r="AS2451" s="1"/>
      <c r="AT2451" s="1"/>
      <c r="AU2451" s="1"/>
      <c r="AV2451" s="1"/>
      <c r="AW2451" s="1"/>
      <c r="AX2451" s="1"/>
      <c r="AY2451" s="1"/>
      <c r="AZ2451" s="1"/>
      <c r="BA2451" s="1"/>
      <c r="BB2451" s="1"/>
      <c r="BC2451" s="1"/>
      <c r="BD2451" s="1"/>
      <c r="BE2451" s="1"/>
    </row>
    <row x14ac:dyDescent="0.25" r="2452" customHeight="1" ht="18.75">
      <c r="A2452" s="1"/>
      <c r="B2452" s="2"/>
      <c r="C2452" s="2"/>
      <c r="D2452" s="2"/>
      <c r="E2452" s="2"/>
      <c r="F2452" s="2"/>
      <c r="G2452" s="1"/>
      <c r="H2452" s="1"/>
      <c r="I2452" s="7">
        <v>2.449</v>
      </c>
      <c r="J2452" s="7">
        <f>IF((I2452-ROUNDDOWN(I2452,0))=0, 0, (I2452-ROUNDDOWN(I2452,0)))</f>
      </c>
      <c r="K2452" s="7">
        <f>INDIRECT("C$"&amp;2+MIN(2,ROUNDDOWN(I2452,0))*3)*(-$J2452^3+3*$J2452^2-3*$J2452+1)+INDIRECT("C$"&amp;3+MIN(2,ROUNDDOWN(I2452,0))*3)*(3*$J2452^3-6*$J2452^2+3*$J2452)+INDIRECT("C$"&amp;4+MIN(2,ROUNDDOWN(I2452,0))*3)*(-3*$J2452^3+3*$J2452^2)+INDIRECT("C$"&amp;5+MIN(2,ROUNDDOWN(I2452,0))*3)*$J2452^3</f>
      </c>
      <c r="L2452" s="7">
        <f>INDIRECT("D$"&amp;2+MIN(2,ROUNDDOWN(I2452,0))*3)*(-$J2452^3+3*$J2452^2-3*$J2452+1)+INDIRECT("D$"&amp;3+MIN(2,ROUNDDOWN(I2452,0))*3)*(3*$J2452^3-6*$J2452^2+3*$J2452)+INDIRECT("D$"&amp;4+MIN(2,ROUNDDOWN(I2452,0))*3)*(-3*$J2452^3+3*$J2452^2)+INDIRECT("D$"&amp;5+MIN(2,ROUNDDOWN(I2452,0))*3)*$J2452^3</f>
      </c>
      <c r="M2452" s="7">
        <f>SQRT(K2452^2+L2452^2)</f>
      </c>
      <c r="N2452" s="7">
        <f>(K2453-K2451)</f>
      </c>
      <c r="O2452" s="7">
        <f>+(L2453-L2451)</f>
      </c>
      <c r="P2452" s="7">
        <f>SQRT(O2452^2+N2452^2)</f>
      </c>
      <c r="Q2452" s="7">
        <f>N2452/$P2452</f>
      </c>
      <c r="R2452" s="7">
        <f>O2452/$P2452</f>
      </c>
      <c r="S2452" s="7">
        <f>Q2452^2+R2452^2</f>
      </c>
      <c r="T2452" s="7">
        <f>-R2452</f>
      </c>
      <c r="U2452" s="7">
        <f>Q2452</f>
      </c>
      <c r="V2452" s="7">
        <f>($C$14+($C$15-$C$14)/($D$15-$D$14)*(I2452-$D$14))/2</f>
      </c>
      <c r="W2452" s="7">
        <f>($B$22*I2452^4+$C$22*I2452^3+$D$22*I2452^2+$E$22*I2452+$F$22)/2</f>
      </c>
      <c r="X2452" s="7">
        <f>($W2452)*(T2452)</f>
      </c>
      <c r="Y2452" s="7">
        <f>($W2452)*(U2452)</f>
      </c>
      <c r="Z2452" s="7">
        <f>SQRT(X2452^2+Y2452^2)</f>
      </c>
      <c r="AA2452" s="7">
        <f>$K2452+$X2452</f>
      </c>
      <c r="AB2452" s="7">
        <f>$L2452+$Y2452</f>
      </c>
      <c r="AC2452" s="7">
        <f>$K2452-$X2452</f>
      </c>
      <c r="AD2452" s="7">
        <f>$L2452-$Y2452</f>
      </c>
      <c r="AE2452" s="7">
        <f>AA2452/39.3701</f>
      </c>
      <c r="AF2452" s="7">
        <f>AB2452/39.3701</f>
      </c>
      <c r="AG2452" s="7">
        <f>AC2452/39.3701</f>
      </c>
      <c r="AH2452" s="7">
        <f>AD2452/39.3701</f>
      </c>
      <c r="AI2452" s="1"/>
      <c r="AJ2452" s="1"/>
      <c r="AK2452" s="1"/>
      <c r="AL2452" s="1"/>
      <c r="AM2452" s="2"/>
      <c r="AN2452" s="1"/>
      <c r="AO2452" s="1"/>
      <c r="AP2452" s="1"/>
      <c r="AQ2452" s="1"/>
      <c r="AR2452" s="1"/>
      <c r="AS2452" s="1"/>
      <c r="AT2452" s="1"/>
      <c r="AU2452" s="1"/>
      <c r="AV2452" s="1"/>
      <c r="AW2452" s="1"/>
      <c r="AX2452" s="1"/>
      <c r="AY2452" s="1"/>
      <c r="AZ2452" s="1"/>
      <c r="BA2452" s="1"/>
      <c r="BB2452" s="1"/>
      <c r="BC2452" s="1"/>
      <c r="BD2452" s="1"/>
      <c r="BE2452" s="1"/>
    </row>
    <row x14ac:dyDescent="0.25" r="2453" customHeight="1" ht="18.75">
      <c r="A2453" s="1"/>
      <c r="B2453" s="2"/>
      <c r="C2453" s="2"/>
      <c r="D2453" s="2"/>
      <c r="E2453" s="2"/>
      <c r="F2453" s="2"/>
      <c r="G2453" s="1"/>
      <c r="H2453" s="1"/>
      <c r="I2453" s="7">
        <v>2.45</v>
      </c>
      <c r="J2453" s="7">
        <f>IF((I2453-ROUNDDOWN(I2453,0))=0, 0, (I2453-ROUNDDOWN(I2453,0)))</f>
      </c>
      <c r="K2453" s="7">
        <f>INDIRECT("C$"&amp;2+MIN(2,ROUNDDOWN(I2453,0))*3)*(-$J2453^3+3*$J2453^2-3*$J2453+1)+INDIRECT("C$"&amp;3+MIN(2,ROUNDDOWN(I2453,0))*3)*(3*$J2453^3-6*$J2453^2+3*$J2453)+INDIRECT("C$"&amp;4+MIN(2,ROUNDDOWN(I2453,0))*3)*(-3*$J2453^3+3*$J2453^2)+INDIRECT("C$"&amp;5+MIN(2,ROUNDDOWN(I2453,0))*3)*$J2453^3</f>
      </c>
      <c r="L2453" s="7">
        <f>INDIRECT("D$"&amp;2+MIN(2,ROUNDDOWN(I2453,0))*3)*(-$J2453^3+3*$J2453^2-3*$J2453+1)+INDIRECT("D$"&amp;3+MIN(2,ROUNDDOWN(I2453,0))*3)*(3*$J2453^3-6*$J2453^2+3*$J2453)+INDIRECT("D$"&amp;4+MIN(2,ROUNDDOWN(I2453,0))*3)*(-3*$J2453^3+3*$J2453^2)+INDIRECT("D$"&amp;5+MIN(2,ROUNDDOWN(I2453,0))*3)*$J2453^3</f>
      </c>
      <c r="M2453" s="7">
        <f>SQRT(K2453^2+L2453^2)</f>
      </c>
      <c r="N2453" s="7">
        <f>(K2454-K2452)</f>
      </c>
      <c r="O2453" s="7">
        <f>+(L2454-L2452)</f>
      </c>
      <c r="P2453" s="7">
        <f>SQRT(O2453^2+N2453^2)</f>
      </c>
      <c r="Q2453" s="7">
        <f>N2453/$P2453</f>
      </c>
      <c r="R2453" s="7">
        <f>O2453/$P2453</f>
      </c>
      <c r="S2453" s="8">
        <f>Q2453^2+R2453^2</f>
      </c>
      <c r="T2453" s="7">
        <f>-R2453</f>
      </c>
      <c r="U2453" s="7">
        <f>Q2453</f>
      </c>
      <c r="V2453" s="7">
        <f>($C$14+($C$15-$C$14)/($D$15-$D$14)*(I2453-$D$14))/2</f>
      </c>
      <c r="W2453" s="7">
        <f>($B$22*I2453^4+$C$22*I2453^3+$D$22*I2453^2+$E$22*I2453+$F$22)/2</f>
      </c>
      <c r="X2453" s="7">
        <f>($W2453)*(T2453)</f>
      </c>
      <c r="Y2453" s="7">
        <f>($W2453)*(U2453)</f>
      </c>
      <c r="Z2453" s="7">
        <f>SQRT(X2453^2+Y2453^2)</f>
      </c>
      <c r="AA2453" s="7">
        <f>$K2453+$X2453</f>
      </c>
      <c r="AB2453" s="7">
        <f>$L2453+$Y2453</f>
      </c>
      <c r="AC2453" s="7">
        <f>$K2453-$X2453</f>
      </c>
      <c r="AD2453" s="7">
        <f>$L2453-$Y2453</f>
      </c>
      <c r="AE2453" s="7">
        <f>AA2453/39.3701</f>
      </c>
      <c r="AF2453" s="7">
        <f>AB2453/39.3701</f>
      </c>
      <c r="AG2453" s="7">
        <f>AC2453/39.3701</f>
      </c>
      <c r="AH2453" s="7">
        <f>AD2453/39.3701</f>
      </c>
      <c r="AI2453" s="1"/>
      <c r="AJ2453" s="1"/>
      <c r="AK2453" s="1"/>
      <c r="AL2453" s="1"/>
      <c r="AM2453" s="2"/>
      <c r="AN2453" s="1"/>
      <c r="AO2453" s="1"/>
      <c r="AP2453" s="1"/>
      <c r="AQ2453" s="1"/>
      <c r="AR2453" s="1"/>
      <c r="AS2453" s="1"/>
      <c r="AT2453" s="1"/>
      <c r="AU2453" s="1"/>
      <c r="AV2453" s="1"/>
      <c r="AW2453" s="1"/>
      <c r="AX2453" s="1"/>
      <c r="AY2453" s="1"/>
      <c r="AZ2453" s="1"/>
      <c r="BA2453" s="1"/>
      <c r="BB2453" s="1"/>
      <c r="BC2453" s="1"/>
      <c r="BD2453" s="1"/>
      <c r="BE2453" s="1"/>
    </row>
    <row x14ac:dyDescent="0.25" r="2454" customHeight="1" ht="18.75">
      <c r="A2454" s="1"/>
      <c r="B2454" s="2"/>
      <c r="C2454" s="2"/>
      <c r="D2454" s="2"/>
      <c r="E2454" s="2"/>
      <c r="F2454" s="2"/>
      <c r="G2454" s="1"/>
      <c r="H2454" s="1"/>
      <c r="I2454" s="7">
        <v>2.451</v>
      </c>
      <c r="J2454" s="7">
        <f>IF((I2454-ROUNDDOWN(I2454,0))=0, 0, (I2454-ROUNDDOWN(I2454,0)))</f>
      </c>
      <c r="K2454" s="7">
        <f>INDIRECT("C$"&amp;2+MIN(2,ROUNDDOWN(I2454,0))*3)*(-$J2454^3+3*$J2454^2-3*$J2454+1)+INDIRECT("C$"&amp;3+MIN(2,ROUNDDOWN(I2454,0))*3)*(3*$J2454^3-6*$J2454^2+3*$J2454)+INDIRECT("C$"&amp;4+MIN(2,ROUNDDOWN(I2454,0))*3)*(-3*$J2454^3+3*$J2454^2)+INDIRECT("C$"&amp;5+MIN(2,ROUNDDOWN(I2454,0))*3)*$J2454^3</f>
      </c>
      <c r="L2454" s="7">
        <f>INDIRECT("D$"&amp;2+MIN(2,ROUNDDOWN(I2454,0))*3)*(-$J2454^3+3*$J2454^2-3*$J2454+1)+INDIRECT("D$"&amp;3+MIN(2,ROUNDDOWN(I2454,0))*3)*(3*$J2454^3-6*$J2454^2+3*$J2454)+INDIRECT("D$"&amp;4+MIN(2,ROUNDDOWN(I2454,0))*3)*(-3*$J2454^3+3*$J2454^2)+INDIRECT("D$"&amp;5+MIN(2,ROUNDDOWN(I2454,0))*3)*$J2454^3</f>
      </c>
      <c r="M2454" s="7">
        <f>SQRT(K2454^2+L2454^2)</f>
      </c>
      <c r="N2454" s="7">
        <f>(K2455-K2453)</f>
      </c>
      <c r="O2454" s="7">
        <f>+(L2455-L2453)</f>
      </c>
      <c r="P2454" s="7">
        <f>SQRT(O2454^2+N2454^2)</f>
      </c>
      <c r="Q2454" s="7">
        <f>N2454/$P2454</f>
      </c>
      <c r="R2454" s="7">
        <f>O2454/$P2454</f>
      </c>
      <c r="S2454" s="7">
        <f>Q2454^2+R2454^2</f>
      </c>
      <c r="T2454" s="7">
        <f>-R2454</f>
      </c>
      <c r="U2454" s="7">
        <f>Q2454</f>
      </c>
      <c r="V2454" s="7">
        <f>($C$14+($C$15-$C$14)/($D$15-$D$14)*(I2454-$D$14))/2</f>
      </c>
      <c r="W2454" s="7">
        <f>($B$22*I2454^4+$C$22*I2454^3+$D$22*I2454^2+$E$22*I2454+$F$22)/2</f>
      </c>
      <c r="X2454" s="7">
        <f>($W2454)*(T2454)</f>
      </c>
      <c r="Y2454" s="7">
        <f>($W2454)*(U2454)</f>
      </c>
      <c r="Z2454" s="7">
        <f>SQRT(X2454^2+Y2454^2)</f>
      </c>
      <c r="AA2454" s="7">
        <f>$K2454+$X2454</f>
      </c>
      <c r="AB2454" s="7">
        <f>$L2454+$Y2454</f>
      </c>
      <c r="AC2454" s="7">
        <f>$K2454-$X2454</f>
      </c>
      <c r="AD2454" s="7">
        <f>$L2454-$Y2454</f>
      </c>
      <c r="AE2454" s="7">
        <f>AA2454/39.3701</f>
      </c>
      <c r="AF2454" s="7">
        <f>AB2454/39.3701</f>
      </c>
      <c r="AG2454" s="7">
        <f>AC2454/39.3701</f>
      </c>
      <c r="AH2454" s="7">
        <f>AD2454/39.3701</f>
      </c>
      <c r="AI2454" s="1"/>
      <c r="AJ2454" s="1"/>
      <c r="AK2454" s="1"/>
      <c r="AL2454" s="1"/>
      <c r="AM2454" s="2"/>
      <c r="AN2454" s="1"/>
      <c r="AO2454" s="1"/>
      <c r="AP2454" s="1"/>
      <c r="AQ2454" s="1"/>
      <c r="AR2454" s="1"/>
      <c r="AS2454" s="1"/>
      <c r="AT2454" s="1"/>
      <c r="AU2454" s="1"/>
      <c r="AV2454" s="1"/>
      <c r="AW2454" s="1"/>
      <c r="AX2454" s="1"/>
      <c r="AY2454" s="1"/>
      <c r="AZ2454" s="1"/>
      <c r="BA2454" s="1"/>
      <c r="BB2454" s="1"/>
      <c r="BC2454" s="1"/>
      <c r="BD2454" s="1"/>
      <c r="BE2454" s="1"/>
    </row>
    <row x14ac:dyDescent="0.25" r="2455" customHeight="1" ht="18.75">
      <c r="A2455" s="1"/>
      <c r="B2455" s="2"/>
      <c r="C2455" s="2"/>
      <c r="D2455" s="2"/>
      <c r="E2455" s="2"/>
      <c r="F2455" s="2"/>
      <c r="G2455" s="1"/>
      <c r="H2455" s="1"/>
      <c r="I2455" s="7">
        <v>2.452</v>
      </c>
      <c r="J2455" s="7">
        <f>IF((I2455-ROUNDDOWN(I2455,0))=0, 0, (I2455-ROUNDDOWN(I2455,0)))</f>
      </c>
      <c r="K2455" s="7">
        <f>INDIRECT("C$"&amp;2+MIN(2,ROUNDDOWN(I2455,0))*3)*(-$J2455^3+3*$J2455^2-3*$J2455+1)+INDIRECT("C$"&amp;3+MIN(2,ROUNDDOWN(I2455,0))*3)*(3*$J2455^3-6*$J2455^2+3*$J2455)+INDIRECT("C$"&amp;4+MIN(2,ROUNDDOWN(I2455,0))*3)*(-3*$J2455^3+3*$J2455^2)+INDIRECT("C$"&amp;5+MIN(2,ROUNDDOWN(I2455,0))*3)*$J2455^3</f>
      </c>
      <c r="L2455" s="7">
        <f>INDIRECT("D$"&amp;2+MIN(2,ROUNDDOWN(I2455,0))*3)*(-$J2455^3+3*$J2455^2-3*$J2455+1)+INDIRECT("D$"&amp;3+MIN(2,ROUNDDOWN(I2455,0))*3)*(3*$J2455^3-6*$J2455^2+3*$J2455)+INDIRECT("D$"&amp;4+MIN(2,ROUNDDOWN(I2455,0))*3)*(-3*$J2455^3+3*$J2455^2)+INDIRECT("D$"&amp;5+MIN(2,ROUNDDOWN(I2455,0))*3)*$J2455^3</f>
      </c>
      <c r="M2455" s="7">
        <f>SQRT(K2455^2+L2455^2)</f>
      </c>
      <c r="N2455" s="7">
        <f>(K2456-K2454)</f>
      </c>
      <c r="O2455" s="7">
        <f>+(L2456-L2454)</f>
      </c>
      <c r="P2455" s="7">
        <f>SQRT(O2455^2+N2455^2)</f>
      </c>
      <c r="Q2455" s="7">
        <f>N2455/$P2455</f>
      </c>
      <c r="R2455" s="7">
        <f>O2455/$P2455</f>
      </c>
      <c r="S2455" s="8">
        <f>Q2455^2+R2455^2</f>
      </c>
      <c r="T2455" s="7">
        <f>-R2455</f>
      </c>
      <c r="U2455" s="7">
        <f>Q2455</f>
      </c>
      <c r="V2455" s="7">
        <f>($C$14+($C$15-$C$14)/($D$15-$D$14)*(I2455-$D$14))/2</f>
      </c>
      <c r="W2455" s="7">
        <f>($B$22*I2455^4+$C$22*I2455^3+$D$22*I2455^2+$E$22*I2455+$F$22)/2</f>
      </c>
      <c r="X2455" s="7">
        <f>($W2455)*(T2455)</f>
      </c>
      <c r="Y2455" s="7">
        <f>($W2455)*(U2455)</f>
      </c>
      <c r="Z2455" s="7">
        <f>SQRT(X2455^2+Y2455^2)</f>
      </c>
      <c r="AA2455" s="7">
        <f>$K2455+$X2455</f>
      </c>
      <c r="AB2455" s="7">
        <f>$L2455+$Y2455</f>
      </c>
      <c r="AC2455" s="7">
        <f>$K2455-$X2455</f>
      </c>
      <c r="AD2455" s="7">
        <f>$L2455-$Y2455</f>
      </c>
      <c r="AE2455" s="7">
        <f>AA2455/39.3701</f>
      </c>
      <c r="AF2455" s="7">
        <f>AB2455/39.3701</f>
      </c>
      <c r="AG2455" s="7">
        <f>AC2455/39.3701</f>
      </c>
      <c r="AH2455" s="7">
        <f>AD2455/39.3701</f>
      </c>
      <c r="AI2455" s="1"/>
      <c r="AJ2455" s="1"/>
      <c r="AK2455" s="1"/>
      <c r="AL2455" s="1"/>
      <c r="AM2455" s="2"/>
      <c r="AN2455" s="1"/>
      <c r="AO2455" s="1"/>
      <c r="AP2455" s="1"/>
      <c r="AQ2455" s="1"/>
      <c r="AR2455" s="1"/>
      <c r="AS2455" s="1"/>
      <c r="AT2455" s="1"/>
      <c r="AU2455" s="1"/>
      <c r="AV2455" s="1"/>
      <c r="AW2455" s="1"/>
      <c r="AX2455" s="1"/>
      <c r="AY2455" s="1"/>
      <c r="AZ2455" s="1"/>
      <c r="BA2455" s="1"/>
      <c r="BB2455" s="1"/>
      <c r="BC2455" s="1"/>
      <c r="BD2455" s="1"/>
      <c r="BE2455" s="1"/>
    </row>
    <row x14ac:dyDescent="0.25" r="2456" customHeight="1" ht="18.75">
      <c r="A2456" s="1"/>
      <c r="B2456" s="2"/>
      <c r="C2456" s="2"/>
      <c r="D2456" s="2"/>
      <c r="E2456" s="2"/>
      <c r="F2456" s="2"/>
      <c r="G2456" s="1"/>
      <c r="H2456" s="1"/>
      <c r="I2456" s="7">
        <v>2.453</v>
      </c>
      <c r="J2456" s="7">
        <f>IF((I2456-ROUNDDOWN(I2456,0))=0, 0, (I2456-ROUNDDOWN(I2456,0)))</f>
      </c>
      <c r="K2456" s="7">
        <f>INDIRECT("C$"&amp;2+MIN(2,ROUNDDOWN(I2456,0))*3)*(-$J2456^3+3*$J2456^2-3*$J2456+1)+INDIRECT("C$"&amp;3+MIN(2,ROUNDDOWN(I2456,0))*3)*(3*$J2456^3-6*$J2456^2+3*$J2456)+INDIRECT("C$"&amp;4+MIN(2,ROUNDDOWN(I2456,0))*3)*(-3*$J2456^3+3*$J2456^2)+INDIRECT("C$"&amp;5+MIN(2,ROUNDDOWN(I2456,0))*3)*$J2456^3</f>
      </c>
      <c r="L2456" s="7">
        <f>INDIRECT("D$"&amp;2+MIN(2,ROUNDDOWN(I2456,0))*3)*(-$J2456^3+3*$J2456^2-3*$J2456+1)+INDIRECT("D$"&amp;3+MIN(2,ROUNDDOWN(I2456,0))*3)*(3*$J2456^3-6*$J2456^2+3*$J2456)+INDIRECT("D$"&amp;4+MIN(2,ROUNDDOWN(I2456,0))*3)*(-3*$J2456^3+3*$J2456^2)+INDIRECT("D$"&amp;5+MIN(2,ROUNDDOWN(I2456,0))*3)*$J2456^3</f>
      </c>
      <c r="M2456" s="7">
        <f>SQRT(K2456^2+L2456^2)</f>
      </c>
      <c r="N2456" s="7">
        <f>(K2457-K2455)</f>
      </c>
      <c r="O2456" s="7">
        <f>+(L2457-L2455)</f>
      </c>
      <c r="P2456" s="7">
        <f>SQRT(O2456^2+N2456^2)</f>
      </c>
      <c r="Q2456" s="7">
        <f>N2456/$P2456</f>
      </c>
      <c r="R2456" s="7">
        <f>O2456/$P2456</f>
      </c>
      <c r="S2456" s="8">
        <f>Q2456^2+R2456^2</f>
      </c>
      <c r="T2456" s="7">
        <f>-R2456</f>
      </c>
      <c r="U2456" s="7">
        <f>Q2456</f>
      </c>
      <c r="V2456" s="7">
        <f>($C$14+($C$15-$C$14)/($D$15-$D$14)*(I2456-$D$14))/2</f>
      </c>
      <c r="W2456" s="7">
        <f>($B$22*I2456^4+$C$22*I2456^3+$D$22*I2456^2+$E$22*I2456+$F$22)/2</f>
      </c>
      <c r="X2456" s="7">
        <f>($W2456)*(T2456)</f>
      </c>
      <c r="Y2456" s="7">
        <f>($W2456)*(U2456)</f>
      </c>
      <c r="Z2456" s="7">
        <f>SQRT(X2456^2+Y2456^2)</f>
      </c>
      <c r="AA2456" s="7">
        <f>$K2456+$X2456</f>
      </c>
      <c r="AB2456" s="7">
        <f>$L2456+$Y2456</f>
      </c>
      <c r="AC2456" s="7">
        <f>$K2456-$X2456</f>
      </c>
      <c r="AD2456" s="7">
        <f>$L2456-$Y2456</f>
      </c>
      <c r="AE2456" s="7">
        <f>AA2456/39.3701</f>
      </c>
      <c r="AF2456" s="7">
        <f>AB2456/39.3701</f>
      </c>
      <c r="AG2456" s="7">
        <f>AC2456/39.3701</f>
      </c>
      <c r="AH2456" s="7">
        <f>AD2456/39.3701</f>
      </c>
      <c r="AI2456" s="1"/>
      <c r="AJ2456" s="1"/>
      <c r="AK2456" s="1"/>
      <c r="AL2456" s="1"/>
      <c r="AM2456" s="2"/>
      <c r="AN2456" s="1"/>
      <c r="AO2456" s="1"/>
      <c r="AP2456" s="1"/>
      <c r="AQ2456" s="1"/>
      <c r="AR2456" s="1"/>
      <c r="AS2456" s="1"/>
      <c r="AT2456" s="1"/>
      <c r="AU2456" s="1"/>
      <c r="AV2456" s="1"/>
      <c r="AW2456" s="1"/>
      <c r="AX2456" s="1"/>
      <c r="AY2456" s="1"/>
      <c r="AZ2456" s="1"/>
      <c r="BA2456" s="1"/>
      <c r="BB2456" s="1"/>
      <c r="BC2456" s="1"/>
      <c r="BD2456" s="1"/>
      <c r="BE2456" s="1"/>
    </row>
    <row x14ac:dyDescent="0.25" r="2457" customHeight="1" ht="18.75">
      <c r="A2457" s="1"/>
      <c r="B2457" s="2"/>
      <c r="C2457" s="2"/>
      <c r="D2457" s="2"/>
      <c r="E2457" s="2"/>
      <c r="F2457" s="2"/>
      <c r="G2457" s="1"/>
      <c r="H2457" s="1"/>
      <c r="I2457" s="7">
        <v>2.454</v>
      </c>
      <c r="J2457" s="7">
        <f>IF((I2457-ROUNDDOWN(I2457,0))=0, 0, (I2457-ROUNDDOWN(I2457,0)))</f>
      </c>
      <c r="K2457" s="7">
        <f>INDIRECT("C$"&amp;2+MIN(2,ROUNDDOWN(I2457,0))*3)*(-$J2457^3+3*$J2457^2-3*$J2457+1)+INDIRECT("C$"&amp;3+MIN(2,ROUNDDOWN(I2457,0))*3)*(3*$J2457^3-6*$J2457^2+3*$J2457)+INDIRECT("C$"&amp;4+MIN(2,ROUNDDOWN(I2457,0))*3)*(-3*$J2457^3+3*$J2457^2)+INDIRECT("C$"&amp;5+MIN(2,ROUNDDOWN(I2457,0))*3)*$J2457^3</f>
      </c>
      <c r="L2457" s="7">
        <f>INDIRECT("D$"&amp;2+MIN(2,ROUNDDOWN(I2457,0))*3)*(-$J2457^3+3*$J2457^2-3*$J2457+1)+INDIRECT("D$"&amp;3+MIN(2,ROUNDDOWN(I2457,0))*3)*(3*$J2457^3-6*$J2457^2+3*$J2457)+INDIRECT("D$"&amp;4+MIN(2,ROUNDDOWN(I2457,0))*3)*(-3*$J2457^3+3*$J2457^2)+INDIRECT("D$"&amp;5+MIN(2,ROUNDDOWN(I2457,0))*3)*$J2457^3</f>
      </c>
      <c r="M2457" s="7">
        <f>SQRT(K2457^2+L2457^2)</f>
      </c>
      <c r="N2457" s="7">
        <f>(K2458-K2456)</f>
      </c>
      <c r="O2457" s="7">
        <f>+(L2458-L2456)</f>
      </c>
      <c r="P2457" s="7">
        <f>SQRT(O2457^2+N2457^2)</f>
      </c>
      <c r="Q2457" s="7">
        <f>N2457/$P2457</f>
      </c>
      <c r="R2457" s="7">
        <f>O2457/$P2457</f>
      </c>
      <c r="S2457" s="8">
        <f>Q2457^2+R2457^2</f>
      </c>
      <c r="T2457" s="7">
        <f>-R2457</f>
      </c>
      <c r="U2457" s="7">
        <f>Q2457</f>
      </c>
      <c r="V2457" s="7">
        <f>($C$14+($C$15-$C$14)/($D$15-$D$14)*(I2457-$D$14))/2</f>
      </c>
      <c r="W2457" s="7">
        <f>($B$22*I2457^4+$C$22*I2457^3+$D$22*I2457^2+$E$22*I2457+$F$22)/2</f>
      </c>
      <c r="X2457" s="7">
        <f>($W2457)*(T2457)</f>
      </c>
      <c r="Y2457" s="7">
        <f>($W2457)*(U2457)</f>
      </c>
      <c r="Z2457" s="7">
        <f>SQRT(X2457^2+Y2457^2)</f>
      </c>
      <c r="AA2457" s="7">
        <f>$K2457+$X2457</f>
      </c>
      <c r="AB2457" s="7">
        <f>$L2457+$Y2457</f>
      </c>
      <c r="AC2457" s="7">
        <f>$K2457-$X2457</f>
      </c>
      <c r="AD2457" s="7">
        <f>$L2457-$Y2457</f>
      </c>
      <c r="AE2457" s="7">
        <f>AA2457/39.3701</f>
      </c>
      <c r="AF2457" s="7">
        <f>AB2457/39.3701</f>
      </c>
      <c r="AG2457" s="7">
        <f>AC2457/39.3701</f>
      </c>
      <c r="AH2457" s="7">
        <f>AD2457/39.3701</f>
      </c>
      <c r="AI2457" s="1"/>
      <c r="AJ2457" s="1"/>
      <c r="AK2457" s="1"/>
      <c r="AL2457" s="1"/>
      <c r="AM2457" s="2"/>
      <c r="AN2457" s="1"/>
      <c r="AO2457" s="1"/>
      <c r="AP2457" s="1"/>
      <c r="AQ2457" s="1"/>
      <c r="AR2457" s="1"/>
      <c r="AS2457" s="1"/>
      <c r="AT2457" s="1"/>
      <c r="AU2457" s="1"/>
      <c r="AV2457" s="1"/>
      <c r="AW2457" s="1"/>
      <c r="AX2457" s="1"/>
      <c r="AY2457" s="1"/>
      <c r="AZ2457" s="1"/>
      <c r="BA2457" s="1"/>
      <c r="BB2457" s="1"/>
      <c r="BC2457" s="1"/>
      <c r="BD2457" s="1"/>
      <c r="BE2457" s="1"/>
    </row>
    <row x14ac:dyDescent="0.25" r="2458" customHeight="1" ht="18.75">
      <c r="A2458" s="1"/>
      <c r="B2458" s="2"/>
      <c r="C2458" s="2"/>
      <c r="D2458" s="2"/>
      <c r="E2458" s="2"/>
      <c r="F2458" s="2"/>
      <c r="G2458" s="1"/>
      <c r="H2458" s="1"/>
      <c r="I2458" s="7">
        <v>2.455</v>
      </c>
      <c r="J2458" s="7">
        <f>IF((I2458-ROUNDDOWN(I2458,0))=0, 0, (I2458-ROUNDDOWN(I2458,0)))</f>
      </c>
      <c r="K2458" s="7">
        <f>INDIRECT("C$"&amp;2+MIN(2,ROUNDDOWN(I2458,0))*3)*(-$J2458^3+3*$J2458^2-3*$J2458+1)+INDIRECT("C$"&amp;3+MIN(2,ROUNDDOWN(I2458,0))*3)*(3*$J2458^3-6*$J2458^2+3*$J2458)+INDIRECT("C$"&amp;4+MIN(2,ROUNDDOWN(I2458,0))*3)*(-3*$J2458^3+3*$J2458^2)+INDIRECT("C$"&amp;5+MIN(2,ROUNDDOWN(I2458,0))*3)*$J2458^3</f>
      </c>
      <c r="L2458" s="7">
        <f>INDIRECT("D$"&amp;2+MIN(2,ROUNDDOWN(I2458,0))*3)*(-$J2458^3+3*$J2458^2-3*$J2458+1)+INDIRECT("D$"&amp;3+MIN(2,ROUNDDOWN(I2458,0))*3)*(3*$J2458^3-6*$J2458^2+3*$J2458)+INDIRECT("D$"&amp;4+MIN(2,ROUNDDOWN(I2458,0))*3)*(-3*$J2458^3+3*$J2458^2)+INDIRECT("D$"&amp;5+MIN(2,ROUNDDOWN(I2458,0))*3)*$J2458^3</f>
      </c>
      <c r="M2458" s="7">
        <f>SQRT(K2458^2+L2458^2)</f>
      </c>
      <c r="N2458" s="7">
        <f>(K2459-K2457)</f>
      </c>
      <c r="O2458" s="7">
        <f>+(L2459-L2457)</f>
      </c>
      <c r="P2458" s="7">
        <f>SQRT(O2458^2+N2458^2)</f>
      </c>
      <c r="Q2458" s="7">
        <f>N2458/$P2458</f>
      </c>
      <c r="R2458" s="7">
        <f>O2458/$P2458</f>
      </c>
      <c r="S2458" s="7">
        <f>Q2458^2+R2458^2</f>
      </c>
      <c r="T2458" s="7">
        <f>-R2458</f>
      </c>
      <c r="U2458" s="7">
        <f>Q2458</f>
      </c>
      <c r="V2458" s="7">
        <f>($C$14+($C$15-$C$14)/($D$15-$D$14)*(I2458-$D$14))/2</f>
      </c>
      <c r="W2458" s="7">
        <f>($B$22*I2458^4+$C$22*I2458^3+$D$22*I2458^2+$E$22*I2458+$F$22)/2</f>
      </c>
      <c r="X2458" s="7">
        <f>($W2458)*(T2458)</f>
      </c>
      <c r="Y2458" s="7">
        <f>($W2458)*(U2458)</f>
      </c>
      <c r="Z2458" s="7">
        <f>SQRT(X2458^2+Y2458^2)</f>
      </c>
      <c r="AA2458" s="7">
        <f>$K2458+$X2458</f>
      </c>
      <c r="AB2458" s="7">
        <f>$L2458+$Y2458</f>
      </c>
      <c r="AC2458" s="7">
        <f>$K2458-$X2458</f>
      </c>
      <c r="AD2458" s="7">
        <f>$L2458-$Y2458</f>
      </c>
      <c r="AE2458" s="7">
        <f>AA2458/39.3701</f>
      </c>
      <c r="AF2458" s="7">
        <f>AB2458/39.3701</f>
      </c>
      <c r="AG2458" s="7">
        <f>AC2458/39.3701</f>
      </c>
      <c r="AH2458" s="7">
        <f>AD2458/39.3701</f>
      </c>
      <c r="AI2458" s="1"/>
      <c r="AJ2458" s="1"/>
      <c r="AK2458" s="1"/>
      <c r="AL2458" s="1"/>
      <c r="AM2458" s="2"/>
      <c r="AN2458" s="1"/>
      <c r="AO2458" s="1"/>
      <c r="AP2458" s="1"/>
      <c r="AQ2458" s="1"/>
      <c r="AR2458" s="1"/>
      <c r="AS2458" s="1"/>
      <c r="AT2458" s="1"/>
      <c r="AU2458" s="1"/>
      <c r="AV2458" s="1"/>
      <c r="AW2458" s="1"/>
      <c r="AX2458" s="1"/>
      <c r="AY2458" s="1"/>
      <c r="AZ2458" s="1"/>
      <c r="BA2458" s="1"/>
      <c r="BB2458" s="1"/>
      <c r="BC2458" s="1"/>
      <c r="BD2458" s="1"/>
      <c r="BE2458" s="1"/>
    </row>
    <row x14ac:dyDescent="0.25" r="2459" customHeight="1" ht="18.75">
      <c r="A2459" s="1"/>
      <c r="B2459" s="2"/>
      <c r="C2459" s="2"/>
      <c r="D2459" s="2"/>
      <c r="E2459" s="2"/>
      <c r="F2459" s="2"/>
      <c r="G2459" s="1"/>
      <c r="H2459" s="1"/>
      <c r="I2459" s="7">
        <v>2.456</v>
      </c>
      <c r="J2459" s="7">
        <f>IF((I2459-ROUNDDOWN(I2459,0))=0, 0, (I2459-ROUNDDOWN(I2459,0)))</f>
      </c>
      <c r="K2459" s="7">
        <f>INDIRECT("C$"&amp;2+MIN(2,ROUNDDOWN(I2459,0))*3)*(-$J2459^3+3*$J2459^2-3*$J2459+1)+INDIRECT("C$"&amp;3+MIN(2,ROUNDDOWN(I2459,0))*3)*(3*$J2459^3-6*$J2459^2+3*$J2459)+INDIRECT("C$"&amp;4+MIN(2,ROUNDDOWN(I2459,0))*3)*(-3*$J2459^3+3*$J2459^2)+INDIRECT("C$"&amp;5+MIN(2,ROUNDDOWN(I2459,0))*3)*$J2459^3</f>
      </c>
      <c r="L2459" s="7">
        <f>INDIRECT("D$"&amp;2+MIN(2,ROUNDDOWN(I2459,0))*3)*(-$J2459^3+3*$J2459^2-3*$J2459+1)+INDIRECT("D$"&amp;3+MIN(2,ROUNDDOWN(I2459,0))*3)*(3*$J2459^3-6*$J2459^2+3*$J2459)+INDIRECT("D$"&amp;4+MIN(2,ROUNDDOWN(I2459,0))*3)*(-3*$J2459^3+3*$J2459^2)+INDIRECT("D$"&amp;5+MIN(2,ROUNDDOWN(I2459,0))*3)*$J2459^3</f>
      </c>
      <c r="M2459" s="7">
        <f>SQRT(K2459^2+L2459^2)</f>
      </c>
      <c r="N2459" s="7">
        <f>(K2460-K2458)</f>
      </c>
      <c r="O2459" s="7">
        <f>+(L2460-L2458)</f>
      </c>
      <c r="P2459" s="7">
        <f>SQRT(O2459^2+N2459^2)</f>
      </c>
      <c r="Q2459" s="7">
        <f>N2459/$P2459</f>
      </c>
      <c r="R2459" s="7">
        <f>O2459/$P2459</f>
      </c>
      <c r="S2459" s="7">
        <f>Q2459^2+R2459^2</f>
      </c>
      <c r="T2459" s="7">
        <f>-R2459</f>
      </c>
      <c r="U2459" s="7">
        <f>Q2459</f>
      </c>
      <c r="V2459" s="7">
        <f>($C$14+($C$15-$C$14)/($D$15-$D$14)*(I2459-$D$14))/2</f>
      </c>
      <c r="W2459" s="7">
        <f>($B$22*I2459^4+$C$22*I2459^3+$D$22*I2459^2+$E$22*I2459+$F$22)/2</f>
      </c>
      <c r="X2459" s="7">
        <f>($W2459)*(T2459)</f>
      </c>
      <c r="Y2459" s="7">
        <f>($W2459)*(U2459)</f>
      </c>
      <c r="Z2459" s="7">
        <f>SQRT(X2459^2+Y2459^2)</f>
      </c>
      <c r="AA2459" s="7">
        <f>$K2459+$X2459</f>
      </c>
      <c r="AB2459" s="7">
        <f>$L2459+$Y2459</f>
      </c>
      <c r="AC2459" s="7">
        <f>$K2459-$X2459</f>
      </c>
      <c r="AD2459" s="7">
        <f>$L2459-$Y2459</f>
      </c>
      <c r="AE2459" s="7">
        <f>AA2459/39.3701</f>
      </c>
      <c r="AF2459" s="7">
        <f>AB2459/39.3701</f>
      </c>
      <c r="AG2459" s="7">
        <f>AC2459/39.3701</f>
      </c>
      <c r="AH2459" s="7">
        <f>AD2459/39.3701</f>
      </c>
      <c r="AI2459" s="1"/>
      <c r="AJ2459" s="1"/>
      <c r="AK2459" s="1"/>
      <c r="AL2459" s="1"/>
      <c r="AM2459" s="2"/>
      <c r="AN2459" s="1"/>
      <c r="AO2459" s="1"/>
      <c r="AP2459" s="1"/>
      <c r="AQ2459" s="1"/>
      <c r="AR2459" s="1"/>
      <c r="AS2459" s="1"/>
      <c r="AT2459" s="1"/>
      <c r="AU2459" s="1"/>
      <c r="AV2459" s="1"/>
      <c r="AW2459" s="1"/>
      <c r="AX2459" s="1"/>
      <c r="AY2459" s="1"/>
      <c r="AZ2459" s="1"/>
      <c r="BA2459" s="1"/>
      <c r="BB2459" s="1"/>
      <c r="BC2459" s="1"/>
      <c r="BD2459" s="1"/>
      <c r="BE2459" s="1"/>
    </row>
    <row x14ac:dyDescent="0.25" r="2460" customHeight="1" ht="18.75">
      <c r="A2460" s="1"/>
      <c r="B2460" s="2"/>
      <c r="C2460" s="2"/>
      <c r="D2460" s="2"/>
      <c r="E2460" s="2"/>
      <c r="F2460" s="2"/>
      <c r="G2460" s="1"/>
      <c r="H2460" s="1"/>
      <c r="I2460" s="7">
        <v>2.457</v>
      </c>
      <c r="J2460" s="7">
        <f>IF((I2460-ROUNDDOWN(I2460,0))=0, 0, (I2460-ROUNDDOWN(I2460,0)))</f>
      </c>
      <c r="K2460" s="7">
        <f>INDIRECT("C$"&amp;2+MIN(2,ROUNDDOWN(I2460,0))*3)*(-$J2460^3+3*$J2460^2-3*$J2460+1)+INDIRECT("C$"&amp;3+MIN(2,ROUNDDOWN(I2460,0))*3)*(3*$J2460^3-6*$J2460^2+3*$J2460)+INDIRECT("C$"&amp;4+MIN(2,ROUNDDOWN(I2460,0))*3)*(-3*$J2460^3+3*$J2460^2)+INDIRECT("C$"&amp;5+MIN(2,ROUNDDOWN(I2460,0))*3)*$J2460^3</f>
      </c>
      <c r="L2460" s="7">
        <f>INDIRECT("D$"&amp;2+MIN(2,ROUNDDOWN(I2460,0))*3)*(-$J2460^3+3*$J2460^2-3*$J2460+1)+INDIRECT("D$"&amp;3+MIN(2,ROUNDDOWN(I2460,0))*3)*(3*$J2460^3-6*$J2460^2+3*$J2460)+INDIRECT("D$"&amp;4+MIN(2,ROUNDDOWN(I2460,0))*3)*(-3*$J2460^3+3*$J2460^2)+INDIRECT("D$"&amp;5+MIN(2,ROUNDDOWN(I2460,0))*3)*$J2460^3</f>
      </c>
      <c r="M2460" s="7">
        <f>SQRT(K2460^2+L2460^2)</f>
      </c>
      <c r="N2460" s="7">
        <f>(K2461-K2459)</f>
      </c>
      <c r="O2460" s="7">
        <f>+(L2461-L2459)</f>
      </c>
      <c r="P2460" s="7">
        <f>SQRT(O2460^2+N2460^2)</f>
      </c>
      <c r="Q2460" s="7">
        <f>N2460/$P2460</f>
      </c>
      <c r="R2460" s="7">
        <f>O2460/$P2460</f>
      </c>
      <c r="S2460" s="7">
        <f>Q2460^2+R2460^2</f>
      </c>
      <c r="T2460" s="7">
        <f>-R2460</f>
      </c>
      <c r="U2460" s="7">
        <f>Q2460</f>
      </c>
      <c r="V2460" s="7">
        <f>($C$14+($C$15-$C$14)/($D$15-$D$14)*(I2460-$D$14))/2</f>
      </c>
      <c r="W2460" s="7">
        <f>($B$22*I2460^4+$C$22*I2460^3+$D$22*I2460^2+$E$22*I2460+$F$22)/2</f>
      </c>
      <c r="X2460" s="7">
        <f>($W2460)*(T2460)</f>
      </c>
      <c r="Y2460" s="7">
        <f>($W2460)*(U2460)</f>
      </c>
      <c r="Z2460" s="7">
        <f>SQRT(X2460^2+Y2460^2)</f>
      </c>
      <c r="AA2460" s="7">
        <f>$K2460+$X2460</f>
      </c>
      <c r="AB2460" s="7">
        <f>$L2460+$Y2460</f>
      </c>
      <c r="AC2460" s="7">
        <f>$K2460-$X2460</f>
      </c>
      <c r="AD2460" s="7">
        <f>$L2460-$Y2460</f>
      </c>
      <c r="AE2460" s="7">
        <f>AA2460/39.3701</f>
      </c>
      <c r="AF2460" s="7">
        <f>AB2460/39.3701</f>
      </c>
      <c r="AG2460" s="7">
        <f>AC2460/39.3701</f>
      </c>
      <c r="AH2460" s="7">
        <f>AD2460/39.3701</f>
      </c>
      <c r="AI2460" s="1"/>
      <c r="AJ2460" s="1"/>
      <c r="AK2460" s="1"/>
      <c r="AL2460" s="1"/>
      <c r="AM2460" s="2"/>
      <c r="AN2460" s="1"/>
      <c r="AO2460" s="1"/>
      <c r="AP2460" s="1"/>
      <c r="AQ2460" s="1"/>
      <c r="AR2460" s="1"/>
      <c r="AS2460" s="1"/>
      <c r="AT2460" s="1"/>
      <c r="AU2460" s="1"/>
      <c r="AV2460" s="1"/>
      <c r="AW2460" s="1"/>
      <c r="AX2460" s="1"/>
      <c r="AY2460" s="1"/>
      <c r="AZ2460" s="1"/>
      <c r="BA2460" s="1"/>
      <c r="BB2460" s="1"/>
      <c r="BC2460" s="1"/>
      <c r="BD2460" s="1"/>
      <c r="BE2460" s="1"/>
    </row>
    <row x14ac:dyDescent="0.25" r="2461" customHeight="1" ht="18.75">
      <c r="A2461" s="1"/>
      <c r="B2461" s="2"/>
      <c r="C2461" s="2"/>
      <c r="D2461" s="2"/>
      <c r="E2461" s="2"/>
      <c r="F2461" s="2"/>
      <c r="G2461" s="1"/>
      <c r="H2461" s="1"/>
      <c r="I2461" s="7">
        <v>2.458</v>
      </c>
      <c r="J2461" s="7">
        <f>IF((I2461-ROUNDDOWN(I2461,0))=0, 0, (I2461-ROUNDDOWN(I2461,0)))</f>
      </c>
      <c r="K2461" s="7">
        <f>INDIRECT("C$"&amp;2+MIN(2,ROUNDDOWN(I2461,0))*3)*(-$J2461^3+3*$J2461^2-3*$J2461+1)+INDIRECT("C$"&amp;3+MIN(2,ROUNDDOWN(I2461,0))*3)*(3*$J2461^3-6*$J2461^2+3*$J2461)+INDIRECT("C$"&amp;4+MIN(2,ROUNDDOWN(I2461,0))*3)*(-3*$J2461^3+3*$J2461^2)+INDIRECT("C$"&amp;5+MIN(2,ROUNDDOWN(I2461,0))*3)*$J2461^3</f>
      </c>
      <c r="L2461" s="7">
        <f>INDIRECT("D$"&amp;2+MIN(2,ROUNDDOWN(I2461,0))*3)*(-$J2461^3+3*$J2461^2-3*$J2461+1)+INDIRECT("D$"&amp;3+MIN(2,ROUNDDOWN(I2461,0))*3)*(3*$J2461^3-6*$J2461^2+3*$J2461)+INDIRECT("D$"&amp;4+MIN(2,ROUNDDOWN(I2461,0))*3)*(-3*$J2461^3+3*$J2461^2)+INDIRECT("D$"&amp;5+MIN(2,ROUNDDOWN(I2461,0))*3)*$J2461^3</f>
      </c>
      <c r="M2461" s="7">
        <f>SQRT(K2461^2+L2461^2)</f>
      </c>
      <c r="N2461" s="7">
        <f>(K2462-K2460)</f>
      </c>
      <c r="O2461" s="7">
        <f>+(L2462-L2460)</f>
      </c>
      <c r="P2461" s="7">
        <f>SQRT(O2461^2+N2461^2)</f>
      </c>
      <c r="Q2461" s="7">
        <f>N2461/$P2461</f>
      </c>
      <c r="R2461" s="7">
        <f>O2461/$P2461</f>
      </c>
      <c r="S2461" s="8">
        <f>Q2461^2+R2461^2</f>
      </c>
      <c r="T2461" s="7">
        <f>-R2461</f>
      </c>
      <c r="U2461" s="7">
        <f>Q2461</f>
      </c>
      <c r="V2461" s="7">
        <f>($C$14+($C$15-$C$14)/($D$15-$D$14)*(I2461-$D$14))/2</f>
      </c>
      <c r="W2461" s="7">
        <f>($B$22*I2461^4+$C$22*I2461^3+$D$22*I2461^2+$E$22*I2461+$F$22)/2</f>
      </c>
      <c r="X2461" s="7">
        <f>($W2461)*(T2461)</f>
      </c>
      <c r="Y2461" s="7">
        <f>($W2461)*(U2461)</f>
      </c>
      <c r="Z2461" s="7">
        <f>SQRT(X2461^2+Y2461^2)</f>
      </c>
      <c r="AA2461" s="7">
        <f>$K2461+$X2461</f>
      </c>
      <c r="AB2461" s="7">
        <f>$L2461+$Y2461</f>
      </c>
      <c r="AC2461" s="7">
        <f>$K2461-$X2461</f>
      </c>
      <c r="AD2461" s="7">
        <f>$L2461-$Y2461</f>
      </c>
      <c r="AE2461" s="7">
        <f>AA2461/39.3701</f>
      </c>
      <c r="AF2461" s="7">
        <f>AB2461/39.3701</f>
      </c>
      <c r="AG2461" s="7">
        <f>AC2461/39.3701</f>
      </c>
      <c r="AH2461" s="7">
        <f>AD2461/39.3701</f>
      </c>
      <c r="AI2461" s="1"/>
      <c r="AJ2461" s="1"/>
      <c r="AK2461" s="1"/>
      <c r="AL2461" s="1"/>
      <c r="AM2461" s="2"/>
      <c r="AN2461" s="1"/>
      <c r="AO2461" s="1"/>
      <c r="AP2461" s="1"/>
      <c r="AQ2461" s="1"/>
      <c r="AR2461" s="1"/>
      <c r="AS2461" s="1"/>
      <c r="AT2461" s="1"/>
      <c r="AU2461" s="1"/>
      <c r="AV2461" s="1"/>
      <c r="AW2461" s="1"/>
      <c r="AX2461" s="1"/>
      <c r="AY2461" s="1"/>
      <c r="AZ2461" s="1"/>
      <c r="BA2461" s="1"/>
      <c r="BB2461" s="1"/>
      <c r="BC2461" s="1"/>
      <c r="BD2461" s="1"/>
      <c r="BE2461" s="1"/>
    </row>
    <row x14ac:dyDescent="0.25" r="2462" customHeight="1" ht="18.75">
      <c r="A2462" s="1"/>
      <c r="B2462" s="2"/>
      <c r="C2462" s="2"/>
      <c r="D2462" s="2"/>
      <c r="E2462" s="2"/>
      <c r="F2462" s="2"/>
      <c r="G2462" s="1"/>
      <c r="H2462" s="1"/>
      <c r="I2462" s="7">
        <v>2.459</v>
      </c>
      <c r="J2462" s="7">
        <f>IF((I2462-ROUNDDOWN(I2462,0))=0, 0, (I2462-ROUNDDOWN(I2462,0)))</f>
      </c>
      <c r="K2462" s="7">
        <f>INDIRECT("C$"&amp;2+MIN(2,ROUNDDOWN(I2462,0))*3)*(-$J2462^3+3*$J2462^2-3*$J2462+1)+INDIRECT("C$"&amp;3+MIN(2,ROUNDDOWN(I2462,0))*3)*(3*$J2462^3-6*$J2462^2+3*$J2462)+INDIRECT("C$"&amp;4+MIN(2,ROUNDDOWN(I2462,0))*3)*(-3*$J2462^3+3*$J2462^2)+INDIRECT("C$"&amp;5+MIN(2,ROUNDDOWN(I2462,0))*3)*$J2462^3</f>
      </c>
      <c r="L2462" s="7">
        <f>INDIRECT("D$"&amp;2+MIN(2,ROUNDDOWN(I2462,0))*3)*(-$J2462^3+3*$J2462^2-3*$J2462+1)+INDIRECT("D$"&amp;3+MIN(2,ROUNDDOWN(I2462,0))*3)*(3*$J2462^3-6*$J2462^2+3*$J2462)+INDIRECT("D$"&amp;4+MIN(2,ROUNDDOWN(I2462,0))*3)*(-3*$J2462^3+3*$J2462^2)+INDIRECT("D$"&amp;5+MIN(2,ROUNDDOWN(I2462,0))*3)*$J2462^3</f>
      </c>
      <c r="M2462" s="7">
        <f>SQRT(K2462^2+L2462^2)</f>
      </c>
      <c r="N2462" s="7">
        <f>(K2463-K2461)</f>
      </c>
      <c r="O2462" s="7">
        <f>+(L2463-L2461)</f>
      </c>
      <c r="P2462" s="7">
        <f>SQRT(O2462^2+N2462^2)</f>
      </c>
      <c r="Q2462" s="7">
        <f>N2462/$P2462</f>
      </c>
      <c r="R2462" s="7">
        <f>O2462/$P2462</f>
      </c>
      <c r="S2462" s="7">
        <f>Q2462^2+R2462^2</f>
      </c>
      <c r="T2462" s="7">
        <f>-R2462</f>
      </c>
      <c r="U2462" s="7">
        <f>Q2462</f>
      </c>
      <c r="V2462" s="7">
        <f>($C$14+($C$15-$C$14)/($D$15-$D$14)*(I2462-$D$14))/2</f>
      </c>
      <c r="W2462" s="7">
        <f>($B$22*I2462^4+$C$22*I2462^3+$D$22*I2462^2+$E$22*I2462+$F$22)/2</f>
      </c>
      <c r="X2462" s="7">
        <f>($W2462)*(T2462)</f>
      </c>
      <c r="Y2462" s="7">
        <f>($W2462)*(U2462)</f>
      </c>
      <c r="Z2462" s="7">
        <f>SQRT(X2462^2+Y2462^2)</f>
      </c>
      <c r="AA2462" s="7">
        <f>$K2462+$X2462</f>
      </c>
      <c r="AB2462" s="7">
        <f>$L2462+$Y2462</f>
      </c>
      <c r="AC2462" s="7">
        <f>$K2462-$X2462</f>
      </c>
      <c r="AD2462" s="7">
        <f>$L2462-$Y2462</f>
      </c>
      <c r="AE2462" s="7">
        <f>AA2462/39.3701</f>
      </c>
      <c r="AF2462" s="7">
        <f>AB2462/39.3701</f>
      </c>
      <c r="AG2462" s="7">
        <f>AC2462/39.3701</f>
      </c>
      <c r="AH2462" s="7">
        <f>AD2462/39.3701</f>
      </c>
      <c r="AI2462" s="1"/>
      <c r="AJ2462" s="1"/>
      <c r="AK2462" s="1"/>
      <c r="AL2462" s="1"/>
      <c r="AM2462" s="2"/>
      <c r="AN2462" s="1"/>
      <c r="AO2462" s="1"/>
      <c r="AP2462" s="1"/>
      <c r="AQ2462" s="1"/>
      <c r="AR2462" s="1"/>
      <c r="AS2462" s="1"/>
      <c r="AT2462" s="1"/>
      <c r="AU2462" s="1"/>
      <c r="AV2462" s="1"/>
      <c r="AW2462" s="1"/>
      <c r="AX2462" s="1"/>
      <c r="AY2462" s="1"/>
      <c r="AZ2462" s="1"/>
      <c r="BA2462" s="1"/>
      <c r="BB2462" s="1"/>
      <c r="BC2462" s="1"/>
      <c r="BD2462" s="1"/>
      <c r="BE2462" s="1"/>
    </row>
    <row x14ac:dyDescent="0.25" r="2463" customHeight="1" ht="18.75">
      <c r="A2463" s="1"/>
      <c r="B2463" s="2"/>
      <c r="C2463" s="2"/>
      <c r="D2463" s="2"/>
      <c r="E2463" s="2"/>
      <c r="F2463" s="2"/>
      <c r="G2463" s="1"/>
      <c r="H2463" s="1"/>
      <c r="I2463" s="7">
        <v>2.46</v>
      </c>
      <c r="J2463" s="7">
        <f>IF((I2463-ROUNDDOWN(I2463,0))=0, 0, (I2463-ROUNDDOWN(I2463,0)))</f>
      </c>
      <c r="K2463" s="7">
        <f>INDIRECT("C$"&amp;2+MIN(2,ROUNDDOWN(I2463,0))*3)*(-$J2463^3+3*$J2463^2-3*$J2463+1)+INDIRECT("C$"&amp;3+MIN(2,ROUNDDOWN(I2463,0))*3)*(3*$J2463^3-6*$J2463^2+3*$J2463)+INDIRECT("C$"&amp;4+MIN(2,ROUNDDOWN(I2463,0))*3)*(-3*$J2463^3+3*$J2463^2)+INDIRECT("C$"&amp;5+MIN(2,ROUNDDOWN(I2463,0))*3)*$J2463^3</f>
      </c>
      <c r="L2463" s="7">
        <f>INDIRECT("D$"&amp;2+MIN(2,ROUNDDOWN(I2463,0))*3)*(-$J2463^3+3*$J2463^2-3*$J2463+1)+INDIRECT("D$"&amp;3+MIN(2,ROUNDDOWN(I2463,0))*3)*(3*$J2463^3-6*$J2463^2+3*$J2463)+INDIRECT("D$"&amp;4+MIN(2,ROUNDDOWN(I2463,0))*3)*(-3*$J2463^3+3*$J2463^2)+INDIRECT("D$"&amp;5+MIN(2,ROUNDDOWN(I2463,0))*3)*$J2463^3</f>
      </c>
      <c r="M2463" s="7">
        <f>SQRT(K2463^2+L2463^2)</f>
      </c>
      <c r="N2463" s="7">
        <f>(K2464-K2462)</f>
      </c>
      <c r="O2463" s="7">
        <f>+(L2464-L2462)</f>
      </c>
      <c r="P2463" s="7">
        <f>SQRT(O2463^2+N2463^2)</f>
      </c>
      <c r="Q2463" s="7">
        <f>N2463/$P2463</f>
      </c>
      <c r="R2463" s="7">
        <f>O2463/$P2463</f>
      </c>
      <c r="S2463" s="7">
        <f>Q2463^2+R2463^2</f>
      </c>
      <c r="T2463" s="7">
        <f>-R2463</f>
      </c>
      <c r="U2463" s="7">
        <f>Q2463</f>
      </c>
      <c r="V2463" s="7">
        <f>($C$14+($C$15-$C$14)/($D$15-$D$14)*(I2463-$D$14))/2</f>
      </c>
      <c r="W2463" s="7">
        <f>($B$22*I2463^4+$C$22*I2463^3+$D$22*I2463^2+$E$22*I2463+$F$22)/2</f>
      </c>
      <c r="X2463" s="7">
        <f>($W2463)*(T2463)</f>
      </c>
      <c r="Y2463" s="7">
        <f>($W2463)*(U2463)</f>
      </c>
      <c r="Z2463" s="7">
        <f>SQRT(X2463^2+Y2463^2)</f>
      </c>
      <c r="AA2463" s="7">
        <f>$K2463+$X2463</f>
      </c>
      <c r="AB2463" s="7">
        <f>$L2463+$Y2463</f>
      </c>
      <c r="AC2463" s="7">
        <f>$K2463-$X2463</f>
      </c>
      <c r="AD2463" s="7">
        <f>$L2463-$Y2463</f>
      </c>
      <c r="AE2463" s="7">
        <f>AA2463/39.3701</f>
      </c>
      <c r="AF2463" s="7">
        <f>AB2463/39.3701</f>
      </c>
      <c r="AG2463" s="7">
        <f>AC2463/39.3701</f>
      </c>
      <c r="AH2463" s="7">
        <f>AD2463/39.3701</f>
      </c>
      <c r="AI2463" s="1"/>
      <c r="AJ2463" s="1"/>
      <c r="AK2463" s="1"/>
      <c r="AL2463" s="1"/>
      <c r="AM2463" s="2"/>
      <c r="AN2463" s="1"/>
      <c r="AO2463" s="1"/>
      <c r="AP2463" s="1"/>
      <c r="AQ2463" s="1"/>
      <c r="AR2463" s="1"/>
      <c r="AS2463" s="1"/>
      <c r="AT2463" s="1"/>
      <c r="AU2463" s="1"/>
      <c r="AV2463" s="1"/>
      <c r="AW2463" s="1"/>
      <c r="AX2463" s="1"/>
      <c r="AY2463" s="1"/>
      <c r="AZ2463" s="1"/>
      <c r="BA2463" s="1"/>
      <c r="BB2463" s="1"/>
      <c r="BC2463" s="1"/>
      <c r="BD2463" s="1"/>
      <c r="BE2463" s="1"/>
    </row>
    <row x14ac:dyDescent="0.25" r="2464" customHeight="1" ht="18.75">
      <c r="A2464" s="1"/>
      <c r="B2464" s="2"/>
      <c r="C2464" s="2"/>
      <c r="D2464" s="2"/>
      <c r="E2464" s="2"/>
      <c r="F2464" s="2"/>
      <c r="G2464" s="1"/>
      <c r="H2464" s="1"/>
      <c r="I2464" s="7">
        <v>2.461</v>
      </c>
      <c r="J2464" s="7">
        <f>IF((I2464-ROUNDDOWN(I2464,0))=0, 0, (I2464-ROUNDDOWN(I2464,0)))</f>
      </c>
      <c r="K2464" s="7">
        <f>INDIRECT("C$"&amp;2+MIN(2,ROUNDDOWN(I2464,0))*3)*(-$J2464^3+3*$J2464^2-3*$J2464+1)+INDIRECT("C$"&amp;3+MIN(2,ROUNDDOWN(I2464,0))*3)*(3*$J2464^3-6*$J2464^2+3*$J2464)+INDIRECT("C$"&amp;4+MIN(2,ROUNDDOWN(I2464,0))*3)*(-3*$J2464^3+3*$J2464^2)+INDIRECT("C$"&amp;5+MIN(2,ROUNDDOWN(I2464,0))*3)*$J2464^3</f>
      </c>
      <c r="L2464" s="7">
        <f>INDIRECT("D$"&amp;2+MIN(2,ROUNDDOWN(I2464,0))*3)*(-$J2464^3+3*$J2464^2-3*$J2464+1)+INDIRECT("D$"&amp;3+MIN(2,ROUNDDOWN(I2464,0))*3)*(3*$J2464^3-6*$J2464^2+3*$J2464)+INDIRECT("D$"&amp;4+MIN(2,ROUNDDOWN(I2464,0))*3)*(-3*$J2464^3+3*$J2464^2)+INDIRECT("D$"&amp;5+MIN(2,ROUNDDOWN(I2464,0))*3)*$J2464^3</f>
      </c>
      <c r="M2464" s="7">
        <f>SQRT(K2464^2+L2464^2)</f>
      </c>
      <c r="N2464" s="7">
        <f>(K2465-K2463)</f>
      </c>
      <c r="O2464" s="7">
        <f>+(L2465-L2463)</f>
      </c>
      <c r="P2464" s="7">
        <f>SQRT(O2464^2+N2464^2)</f>
      </c>
      <c r="Q2464" s="7">
        <f>N2464/$P2464</f>
      </c>
      <c r="R2464" s="7">
        <f>O2464/$P2464</f>
      </c>
      <c r="S2464" s="8">
        <f>Q2464^2+R2464^2</f>
      </c>
      <c r="T2464" s="7">
        <f>-R2464</f>
      </c>
      <c r="U2464" s="7">
        <f>Q2464</f>
      </c>
      <c r="V2464" s="7">
        <f>($C$14+($C$15-$C$14)/($D$15-$D$14)*(I2464-$D$14))/2</f>
      </c>
      <c r="W2464" s="7">
        <f>($B$22*I2464^4+$C$22*I2464^3+$D$22*I2464^2+$E$22*I2464+$F$22)/2</f>
      </c>
      <c r="X2464" s="7">
        <f>($W2464)*(T2464)</f>
      </c>
      <c r="Y2464" s="7">
        <f>($W2464)*(U2464)</f>
      </c>
      <c r="Z2464" s="7">
        <f>SQRT(X2464^2+Y2464^2)</f>
      </c>
      <c r="AA2464" s="7">
        <f>$K2464+$X2464</f>
      </c>
      <c r="AB2464" s="7">
        <f>$L2464+$Y2464</f>
      </c>
      <c r="AC2464" s="7">
        <f>$K2464-$X2464</f>
      </c>
      <c r="AD2464" s="7">
        <f>$L2464-$Y2464</f>
      </c>
      <c r="AE2464" s="7">
        <f>AA2464/39.3701</f>
      </c>
      <c r="AF2464" s="7">
        <f>AB2464/39.3701</f>
      </c>
      <c r="AG2464" s="7">
        <f>AC2464/39.3701</f>
      </c>
      <c r="AH2464" s="7">
        <f>AD2464/39.3701</f>
      </c>
      <c r="AI2464" s="1"/>
      <c r="AJ2464" s="1"/>
      <c r="AK2464" s="1"/>
      <c r="AL2464" s="1"/>
      <c r="AM2464" s="2"/>
      <c r="AN2464" s="1"/>
      <c r="AO2464" s="1"/>
      <c r="AP2464" s="1"/>
      <c r="AQ2464" s="1"/>
      <c r="AR2464" s="1"/>
      <c r="AS2464" s="1"/>
      <c r="AT2464" s="1"/>
      <c r="AU2464" s="1"/>
      <c r="AV2464" s="1"/>
      <c r="AW2464" s="1"/>
      <c r="AX2464" s="1"/>
      <c r="AY2464" s="1"/>
      <c r="AZ2464" s="1"/>
      <c r="BA2464" s="1"/>
      <c r="BB2464" s="1"/>
      <c r="BC2464" s="1"/>
      <c r="BD2464" s="1"/>
      <c r="BE2464" s="1"/>
    </row>
    <row x14ac:dyDescent="0.25" r="2465" customHeight="1" ht="18.75">
      <c r="A2465" s="1"/>
      <c r="B2465" s="2"/>
      <c r="C2465" s="2"/>
      <c r="D2465" s="2"/>
      <c r="E2465" s="2"/>
      <c r="F2465" s="2"/>
      <c r="G2465" s="1"/>
      <c r="H2465" s="1"/>
      <c r="I2465" s="7">
        <v>2.462</v>
      </c>
      <c r="J2465" s="7">
        <f>IF((I2465-ROUNDDOWN(I2465,0))=0, 0, (I2465-ROUNDDOWN(I2465,0)))</f>
      </c>
      <c r="K2465" s="7">
        <f>INDIRECT("C$"&amp;2+MIN(2,ROUNDDOWN(I2465,0))*3)*(-$J2465^3+3*$J2465^2-3*$J2465+1)+INDIRECT("C$"&amp;3+MIN(2,ROUNDDOWN(I2465,0))*3)*(3*$J2465^3-6*$J2465^2+3*$J2465)+INDIRECT("C$"&amp;4+MIN(2,ROUNDDOWN(I2465,0))*3)*(-3*$J2465^3+3*$J2465^2)+INDIRECT("C$"&amp;5+MIN(2,ROUNDDOWN(I2465,0))*3)*$J2465^3</f>
      </c>
      <c r="L2465" s="7">
        <f>INDIRECT("D$"&amp;2+MIN(2,ROUNDDOWN(I2465,0))*3)*(-$J2465^3+3*$J2465^2-3*$J2465+1)+INDIRECT("D$"&amp;3+MIN(2,ROUNDDOWN(I2465,0))*3)*(3*$J2465^3-6*$J2465^2+3*$J2465)+INDIRECT("D$"&amp;4+MIN(2,ROUNDDOWN(I2465,0))*3)*(-3*$J2465^3+3*$J2465^2)+INDIRECT("D$"&amp;5+MIN(2,ROUNDDOWN(I2465,0))*3)*$J2465^3</f>
      </c>
      <c r="M2465" s="7">
        <f>SQRT(K2465^2+L2465^2)</f>
      </c>
      <c r="N2465" s="7">
        <f>(K2466-K2464)</f>
      </c>
      <c r="O2465" s="7">
        <f>+(L2466-L2464)</f>
      </c>
      <c r="P2465" s="7">
        <f>SQRT(O2465^2+N2465^2)</f>
      </c>
      <c r="Q2465" s="7">
        <f>N2465/$P2465</f>
      </c>
      <c r="R2465" s="7">
        <f>O2465/$P2465</f>
      </c>
      <c r="S2465" s="8">
        <f>Q2465^2+R2465^2</f>
      </c>
      <c r="T2465" s="7">
        <f>-R2465</f>
      </c>
      <c r="U2465" s="7">
        <f>Q2465</f>
      </c>
      <c r="V2465" s="7">
        <f>($C$14+($C$15-$C$14)/($D$15-$D$14)*(I2465-$D$14))/2</f>
      </c>
      <c r="W2465" s="7">
        <f>($B$22*I2465^4+$C$22*I2465^3+$D$22*I2465^2+$E$22*I2465+$F$22)/2</f>
      </c>
      <c r="X2465" s="7">
        <f>($W2465)*(T2465)</f>
      </c>
      <c r="Y2465" s="7">
        <f>($W2465)*(U2465)</f>
      </c>
      <c r="Z2465" s="7">
        <f>SQRT(X2465^2+Y2465^2)</f>
      </c>
      <c r="AA2465" s="7">
        <f>$K2465+$X2465</f>
      </c>
      <c r="AB2465" s="7">
        <f>$L2465+$Y2465</f>
      </c>
      <c r="AC2465" s="7">
        <f>$K2465-$X2465</f>
      </c>
      <c r="AD2465" s="7">
        <f>$L2465-$Y2465</f>
      </c>
      <c r="AE2465" s="7">
        <f>AA2465/39.3701</f>
      </c>
      <c r="AF2465" s="7">
        <f>AB2465/39.3701</f>
      </c>
      <c r="AG2465" s="7">
        <f>AC2465/39.3701</f>
      </c>
      <c r="AH2465" s="7">
        <f>AD2465/39.3701</f>
      </c>
      <c r="AI2465" s="1"/>
      <c r="AJ2465" s="1"/>
      <c r="AK2465" s="1"/>
      <c r="AL2465" s="1"/>
      <c r="AM2465" s="2"/>
      <c r="AN2465" s="1"/>
      <c r="AO2465" s="1"/>
      <c r="AP2465" s="1"/>
      <c r="AQ2465" s="1"/>
      <c r="AR2465" s="1"/>
      <c r="AS2465" s="1"/>
      <c r="AT2465" s="1"/>
      <c r="AU2465" s="1"/>
      <c r="AV2465" s="1"/>
      <c r="AW2465" s="1"/>
      <c r="AX2465" s="1"/>
      <c r="AY2465" s="1"/>
      <c r="AZ2465" s="1"/>
      <c r="BA2465" s="1"/>
      <c r="BB2465" s="1"/>
      <c r="BC2465" s="1"/>
      <c r="BD2465" s="1"/>
      <c r="BE2465" s="1"/>
    </row>
    <row x14ac:dyDescent="0.25" r="2466" customHeight="1" ht="18.75">
      <c r="A2466" s="1"/>
      <c r="B2466" s="2"/>
      <c r="C2466" s="2"/>
      <c r="D2466" s="2"/>
      <c r="E2466" s="2"/>
      <c r="F2466" s="2"/>
      <c r="G2466" s="1"/>
      <c r="H2466" s="1"/>
      <c r="I2466" s="7">
        <v>2.463</v>
      </c>
      <c r="J2466" s="7">
        <f>IF((I2466-ROUNDDOWN(I2466,0))=0, 0, (I2466-ROUNDDOWN(I2466,0)))</f>
      </c>
      <c r="K2466" s="7">
        <f>INDIRECT("C$"&amp;2+MIN(2,ROUNDDOWN(I2466,0))*3)*(-$J2466^3+3*$J2466^2-3*$J2466+1)+INDIRECT("C$"&amp;3+MIN(2,ROUNDDOWN(I2466,0))*3)*(3*$J2466^3-6*$J2466^2+3*$J2466)+INDIRECT("C$"&amp;4+MIN(2,ROUNDDOWN(I2466,0))*3)*(-3*$J2466^3+3*$J2466^2)+INDIRECT("C$"&amp;5+MIN(2,ROUNDDOWN(I2466,0))*3)*$J2466^3</f>
      </c>
      <c r="L2466" s="7">
        <f>INDIRECT("D$"&amp;2+MIN(2,ROUNDDOWN(I2466,0))*3)*(-$J2466^3+3*$J2466^2-3*$J2466+1)+INDIRECT("D$"&amp;3+MIN(2,ROUNDDOWN(I2466,0))*3)*(3*$J2466^3-6*$J2466^2+3*$J2466)+INDIRECT("D$"&amp;4+MIN(2,ROUNDDOWN(I2466,0))*3)*(-3*$J2466^3+3*$J2466^2)+INDIRECT("D$"&amp;5+MIN(2,ROUNDDOWN(I2466,0))*3)*$J2466^3</f>
      </c>
      <c r="M2466" s="7">
        <f>SQRT(K2466^2+L2466^2)</f>
      </c>
      <c r="N2466" s="7">
        <f>(K2467-K2465)</f>
      </c>
      <c r="O2466" s="7">
        <f>+(L2467-L2465)</f>
      </c>
      <c r="P2466" s="7">
        <f>SQRT(O2466^2+N2466^2)</f>
      </c>
      <c r="Q2466" s="7">
        <f>N2466/$P2466</f>
      </c>
      <c r="R2466" s="7">
        <f>O2466/$P2466</f>
      </c>
      <c r="S2466" s="7">
        <f>Q2466^2+R2466^2</f>
      </c>
      <c r="T2466" s="7">
        <f>-R2466</f>
      </c>
      <c r="U2466" s="7">
        <f>Q2466</f>
      </c>
      <c r="V2466" s="7">
        <f>($C$14+($C$15-$C$14)/($D$15-$D$14)*(I2466-$D$14))/2</f>
      </c>
      <c r="W2466" s="7">
        <f>($B$22*I2466^4+$C$22*I2466^3+$D$22*I2466^2+$E$22*I2466+$F$22)/2</f>
      </c>
      <c r="X2466" s="7">
        <f>($W2466)*(T2466)</f>
      </c>
      <c r="Y2466" s="7">
        <f>($W2466)*(U2466)</f>
      </c>
      <c r="Z2466" s="7">
        <f>SQRT(X2466^2+Y2466^2)</f>
      </c>
      <c r="AA2466" s="7">
        <f>$K2466+$X2466</f>
      </c>
      <c r="AB2466" s="7">
        <f>$L2466+$Y2466</f>
      </c>
      <c r="AC2466" s="7">
        <f>$K2466-$X2466</f>
      </c>
      <c r="AD2466" s="7">
        <f>$L2466-$Y2466</f>
      </c>
      <c r="AE2466" s="7">
        <f>AA2466/39.3701</f>
      </c>
      <c r="AF2466" s="7">
        <f>AB2466/39.3701</f>
      </c>
      <c r="AG2466" s="7">
        <f>AC2466/39.3701</f>
      </c>
      <c r="AH2466" s="7">
        <f>AD2466/39.3701</f>
      </c>
      <c r="AI2466" s="1"/>
      <c r="AJ2466" s="1"/>
      <c r="AK2466" s="1"/>
      <c r="AL2466" s="1"/>
      <c r="AM2466" s="2"/>
      <c r="AN2466" s="1"/>
      <c r="AO2466" s="1"/>
      <c r="AP2466" s="1"/>
      <c r="AQ2466" s="1"/>
      <c r="AR2466" s="1"/>
      <c r="AS2466" s="1"/>
      <c r="AT2466" s="1"/>
      <c r="AU2466" s="1"/>
      <c r="AV2466" s="1"/>
      <c r="AW2466" s="1"/>
      <c r="AX2466" s="1"/>
      <c r="AY2466" s="1"/>
      <c r="AZ2466" s="1"/>
      <c r="BA2466" s="1"/>
      <c r="BB2466" s="1"/>
      <c r="BC2466" s="1"/>
      <c r="BD2466" s="1"/>
      <c r="BE2466" s="1"/>
    </row>
    <row x14ac:dyDescent="0.25" r="2467" customHeight="1" ht="18.75">
      <c r="A2467" s="1"/>
      <c r="B2467" s="2"/>
      <c r="C2467" s="2"/>
      <c r="D2467" s="2"/>
      <c r="E2467" s="2"/>
      <c r="F2467" s="2"/>
      <c r="G2467" s="1"/>
      <c r="H2467" s="1"/>
      <c r="I2467" s="7">
        <v>2.464</v>
      </c>
      <c r="J2467" s="7">
        <f>IF((I2467-ROUNDDOWN(I2467,0))=0, 0, (I2467-ROUNDDOWN(I2467,0)))</f>
      </c>
      <c r="K2467" s="7">
        <f>INDIRECT("C$"&amp;2+MIN(2,ROUNDDOWN(I2467,0))*3)*(-$J2467^3+3*$J2467^2-3*$J2467+1)+INDIRECT("C$"&amp;3+MIN(2,ROUNDDOWN(I2467,0))*3)*(3*$J2467^3-6*$J2467^2+3*$J2467)+INDIRECT("C$"&amp;4+MIN(2,ROUNDDOWN(I2467,0))*3)*(-3*$J2467^3+3*$J2467^2)+INDIRECT("C$"&amp;5+MIN(2,ROUNDDOWN(I2467,0))*3)*$J2467^3</f>
      </c>
      <c r="L2467" s="7">
        <f>INDIRECT("D$"&amp;2+MIN(2,ROUNDDOWN(I2467,0))*3)*(-$J2467^3+3*$J2467^2-3*$J2467+1)+INDIRECT("D$"&amp;3+MIN(2,ROUNDDOWN(I2467,0))*3)*(3*$J2467^3-6*$J2467^2+3*$J2467)+INDIRECT("D$"&amp;4+MIN(2,ROUNDDOWN(I2467,0))*3)*(-3*$J2467^3+3*$J2467^2)+INDIRECT("D$"&amp;5+MIN(2,ROUNDDOWN(I2467,0))*3)*$J2467^3</f>
      </c>
      <c r="M2467" s="7">
        <f>SQRT(K2467^2+L2467^2)</f>
      </c>
      <c r="N2467" s="7">
        <f>(K2468-K2466)</f>
      </c>
      <c r="O2467" s="7">
        <f>+(L2468-L2466)</f>
      </c>
      <c r="P2467" s="7">
        <f>SQRT(O2467^2+N2467^2)</f>
      </c>
      <c r="Q2467" s="7">
        <f>N2467/$P2467</f>
      </c>
      <c r="R2467" s="7">
        <f>O2467/$P2467</f>
      </c>
      <c r="S2467" s="8">
        <f>Q2467^2+R2467^2</f>
      </c>
      <c r="T2467" s="7">
        <f>-R2467</f>
      </c>
      <c r="U2467" s="7">
        <f>Q2467</f>
      </c>
      <c r="V2467" s="7">
        <f>($C$14+($C$15-$C$14)/($D$15-$D$14)*(I2467-$D$14))/2</f>
      </c>
      <c r="W2467" s="7">
        <f>($B$22*I2467^4+$C$22*I2467^3+$D$22*I2467^2+$E$22*I2467+$F$22)/2</f>
      </c>
      <c r="X2467" s="7">
        <f>($W2467)*(T2467)</f>
      </c>
      <c r="Y2467" s="7">
        <f>($W2467)*(U2467)</f>
      </c>
      <c r="Z2467" s="7">
        <f>SQRT(X2467^2+Y2467^2)</f>
      </c>
      <c r="AA2467" s="7">
        <f>$K2467+$X2467</f>
      </c>
      <c r="AB2467" s="7">
        <f>$L2467+$Y2467</f>
      </c>
      <c r="AC2467" s="7">
        <f>$K2467-$X2467</f>
      </c>
      <c r="AD2467" s="7">
        <f>$L2467-$Y2467</f>
      </c>
      <c r="AE2467" s="7">
        <f>AA2467/39.3701</f>
      </c>
      <c r="AF2467" s="7">
        <f>AB2467/39.3701</f>
      </c>
      <c r="AG2467" s="7">
        <f>AC2467/39.3701</f>
      </c>
      <c r="AH2467" s="7">
        <f>AD2467/39.3701</f>
      </c>
      <c r="AI2467" s="1"/>
      <c r="AJ2467" s="1"/>
      <c r="AK2467" s="1"/>
      <c r="AL2467" s="1"/>
      <c r="AM2467" s="2"/>
      <c r="AN2467" s="1"/>
      <c r="AO2467" s="1"/>
      <c r="AP2467" s="1"/>
      <c r="AQ2467" s="1"/>
      <c r="AR2467" s="1"/>
      <c r="AS2467" s="1"/>
      <c r="AT2467" s="1"/>
      <c r="AU2467" s="1"/>
      <c r="AV2467" s="1"/>
      <c r="AW2467" s="1"/>
      <c r="AX2467" s="1"/>
      <c r="AY2467" s="1"/>
      <c r="AZ2467" s="1"/>
      <c r="BA2467" s="1"/>
      <c r="BB2467" s="1"/>
      <c r="BC2467" s="1"/>
      <c r="BD2467" s="1"/>
      <c r="BE2467" s="1"/>
    </row>
    <row x14ac:dyDescent="0.25" r="2468" customHeight="1" ht="18.75">
      <c r="A2468" s="1"/>
      <c r="B2468" s="2"/>
      <c r="C2468" s="2"/>
      <c r="D2468" s="2"/>
      <c r="E2468" s="2"/>
      <c r="F2468" s="2"/>
      <c r="G2468" s="1"/>
      <c r="H2468" s="1"/>
      <c r="I2468" s="7">
        <v>2.465</v>
      </c>
      <c r="J2468" s="7">
        <f>IF((I2468-ROUNDDOWN(I2468,0))=0, 0, (I2468-ROUNDDOWN(I2468,0)))</f>
      </c>
      <c r="K2468" s="7">
        <f>INDIRECT("C$"&amp;2+MIN(2,ROUNDDOWN(I2468,0))*3)*(-$J2468^3+3*$J2468^2-3*$J2468+1)+INDIRECT("C$"&amp;3+MIN(2,ROUNDDOWN(I2468,0))*3)*(3*$J2468^3-6*$J2468^2+3*$J2468)+INDIRECT("C$"&amp;4+MIN(2,ROUNDDOWN(I2468,0))*3)*(-3*$J2468^3+3*$J2468^2)+INDIRECT("C$"&amp;5+MIN(2,ROUNDDOWN(I2468,0))*3)*$J2468^3</f>
      </c>
      <c r="L2468" s="7">
        <f>INDIRECT("D$"&amp;2+MIN(2,ROUNDDOWN(I2468,0))*3)*(-$J2468^3+3*$J2468^2-3*$J2468+1)+INDIRECT("D$"&amp;3+MIN(2,ROUNDDOWN(I2468,0))*3)*(3*$J2468^3-6*$J2468^2+3*$J2468)+INDIRECT("D$"&amp;4+MIN(2,ROUNDDOWN(I2468,0))*3)*(-3*$J2468^3+3*$J2468^2)+INDIRECT("D$"&amp;5+MIN(2,ROUNDDOWN(I2468,0))*3)*$J2468^3</f>
      </c>
      <c r="M2468" s="7">
        <f>SQRT(K2468^2+L2468^2)</f>
      </c>
      <c r="N2468" s="7">
        <f>(K2469-K2467)</f>
      </c>
      <c r="O2468" s="7">
        <f>+(L2469-L2467)</f>
      </c>
      <c r="P2468" s="7">
        <f>SQRT(O2468^2+N2468^2)</f>
      </c>
      <c r="Q2468" s="7">
        <f>N2468/$P2468</f>
      </c>
      <c r="R2468" s="7">
        <f>O2468/$P2468</f>
      </c>
      <c r="S2468" s="7">
        <f>Q2468^2+R2468^2</f>
      </c>
      <c r="T2468" s="7">
        <f>-R2468</f>
      </c>
      <c r="U2468" s="7">
        <f>Q2468</f>
      </c>
      <c r="V2468" s="7">
        <f>($C$14+($C$15-$C$14)/($D$15-$D$14)*(I2468-$D$14))/2</f>
      </c>
      <c r="W2468" s="7">
        <f>($B$22*I2468^4+$C$22*I2468^3+$D$22*I2468^2+$E$22*I2468+$F$22)/2</f>
      </c>
      <c r="X2468" s="7">
        <f>($W2468)*(T2468)</f>
      </c>
      <c r="Y2468" s="7">
        <f>($W2468)*(U2468)</f>
      </c>
      <c r="Z2468" s="7">
        <f>SQRT(X2468^2+Y2468^2)</f>
      </c>
      <c r="AA2468" s="7">
        <f>$K2468+$X2468</f>
      </c>
      <c r="AB2468" s="7">
        <f>$L2468+$Y2468</f>
      </c>
      <c r="AC2468" s="7">
        <f>$K2468-$X2468</f>
      </c>
      <c r="AD2468" s="7">
        <f>$L2468-$Y2468</f>
      </c>
      <c r="AE2468" s="7">
        <f>AA2468/39.3701</f>
      </c>
      <c r="AF2468" s="7">
        <f>AB2468/39.3701</f>
      </c>
      <c r="AG2468" s="7">
        <f>AC2468/39.3701</f>
      </c>
      <c r="AH2468" s="7">
        <f>AD2468/39.3701</f>
      </c>
      <c r="AI2468" s="1"/>
      <c r="AJ2468" s="1"/>
      <c r="AK2468" s="1"/>
      <c r="AL2468" s="1"/>
      <c r="AM2468" s="2"/>
      <c r="AN2468" s="1"/>
      <c r="AO2468" s="1"/>
      <c r="AP2468" s="1"/>
      <c r="AQ2468" s="1"/>
      <c r="AR2468" s="1"/>
      <c r="AS2468" s="1"/>
      <c r="AT2468" s="1"/>
      <c r="AU2468" s="1"/>
      <c r="AV2468" s="1"/>
      <c r="AW2468" s="1"/>
      <c r="AX2468" s="1"/>
      <c r="AY2468" s="1"/>
      <c r="AZ2468" s="1"/>
      <c r="BA2468" s="1"/>
      <c r="BB2468" s="1"/>
      <c r="BC2468" s="1"/>
      <c r="BD2468" s="1"/>
      <c r="BE2468" s="1"/>
    </row>
    <row x14ac:dyDescent="0.25" r="2469" customHeight="1" ht="18.75">
      <c r="A2469" s="1"/>
      <c r="B2469" s="2"/>
      <c r="C2469" s="2"/>
      <c r="D2469" s="2"/>
      <c r="E2469" s="2"/>
      <c r="F2469" s="2"/>
      <c r="G2469" s="1"/>
      <c r="H2469" s="1"/>
      <c r="I2469" s="7">
        <v>2.466</v>
      </c>
      <c r="J2469" s="7">
        <f>IF((I2469-ROUNDDOWN(I2469,0))=0, 0, (I2469-ROUNDDOWN(I2469,0)))</f>
      </c>
      <c r="K2469" s="7">
        <f>INDIRECT("C$"&amp;2+MIN(2,ROUNDDOWN(I2469,0))*3)*(-$J2469^3+3*$J2469^2-3*$J2469+1)+INDIRECT("C$"&amp;3+MIN(2,ROUNDDOWN(I2469,0))*3)*(3*$J2469^3-6*$J2469^2+3*$J2469)+INDIRECT("C$"&amp;4+MIN(2,ROUNDDOWN(I2469,0))*3)*(-3*$J2469^3+3*$J2469^2)+INDIRECT("C$"&amp;5+MIN(2,ROUNDDOWN(I2469,0))*3)*$J2469^3</f>
      </c>
      <c r="L2469" s="7">
        <f>INDIRECT("D$"&amp;2+MIN(2,ROUNDDOWN(I2469,0))*3)*(-$J2469^3+3*$J2469^2-3*$J2469+1)+INDIRECT("D$"&amp;3+MIN(2,ROUNDDOWN(I2469,0))*3)*(3*$J2469^3-6*$J2469^2+3*$J2469)+INDIRECT("D$"&amp;4+MIN(2,ROUNDDOWN(I2469,0))*3)*(-3*$J2469^3+3*$J2469^2)+INDIRECT("D$"&amp;5+MIN(2,ROUNDDOWN(I2469,0))*3)*$J2469^3</f>
      </c>
      <c r="M2469" s="7">
        <f>SQRT(K2469^2+L2469^2)</f>
      </c>
      <c r="N2469" s="7">
        <f>(K2470-K2468)</f>
      </c>
      <c r="O2469" s="7">
        <f>+(L2470-L2468)</f>
      </c>
      <c r="P2469" s="7">
        <f>SQRT(O2469^2+N2469^2)</f>
      </c>
      <c r="Q2469" s="7">
        <f>N2469/$P2469</f>
      </c>
      <c r="R2469" s="7">
        <f>O2469/$P2469</f>
      </c>
      <c r="S2469" s="7">
        <f>Q2469^2+R2469^2</f>
      </c>
      <c r="T2469" s="7">
        <f>-R2469</f>
      </c>
      <c r="U2469" s="7">
        <f>Q2469</f>
      </c>
      <c r="V2469" s="7">
        <f>($C$14+($C$15-$C$14)/($D$15-$D$14)*(I2469-$D$14))/2</f>
      </c>
      <c r="W2469" s="7">
        <f>($B$22*I2469^4+$C$22*I2469^3+$D$22*I2469^2+$E$22*I2469+$F$22)/2</f>
      </c>
      <c r="X2469" s="7">
        <f>($W2469)*(T2469)</f>
      </c>
      <c r="Y2469" s="7">
        <f>($W2469)*(U2469)</f>
      </c>
      <c r="Z2469" s="7">
        <f>SQRT(X2469^2+Y2469^2)</f>
      </c>
      <c r="AA2469" s="7">
        <f>$K2469+$X2469</f>
      </c>
      <c r="AB2469" s="7">
        <f>$L2469+$Y2469</f>
      </c>
      <c r="AC2469" s="7">
        <f>$K2469-$X2469</f>
      </c>
      <c r="AD2469" s="7">
        <f>$L2469-$Y2469</f>
      </c>
      <c r="AE2469" s="7">
        <f>AA2469/39.3701</f>
      </c>
      <c r="AF2469" s="7">
        <f>AB2469/39.3701</f>
      </c>
      <c r="AG2469" s="7">
        <f>AC2469/39.3701</f>
      </c>
      <c r="AH2469" s="7">
        <f>AD2469/39.3701</f>
      </c>
      <c r="AI2469" s="1"/>
      <c r="AJ2469" s="1"/>
      <c r="AK2469" s="1"/>
      <c r="AL2469" s="1"/>
      <c r="AM2469" s="2"/>
      <c r="AN2469" s="1"/>
      <c r="AO2469" s="1"/>
      <c r="AP2469" s="1"/>
      <c r="AQ2469" s="1"/>
      <c r="AR2469" s="1"/>
      <c r="AS2469" s="1"/>
      <c r="AT2469" s="1"/>
      <c r="AU2469" s="1"/>
      <c r="AV2469" s="1"/>
      <c r="AW2469" s="1"/>
      <c r="AX2469" s="1"/>
      <c r="AY2469" s="1"/>
      <c r="AZ2469" s="1"/>
      <c r="BA2469" s="1"/>
      <c r="BB2469" s="1"/>
      <c r="BC2469" s="1"/>
      <c r="BD2469" s="1"/>
      <c r="BE2469" s="1"/>
    </row>
    <row x14ac:dyDescent="0.25" r="2470" customHeight="1" ht="18.75">
      <c r="A2470" s="1"/>
      <c r="B2470" s="2"/>
      <c r="C2470" s="2"/>
      <c r="D2470" s="2"/>
      <c r="E2470" s="2"/>
      <c r="F2470" s="2"/>
      <c r="G2470" s="1"/>
      <c r="H2470" s="1"/>
      <c r="I2470" s="7">
        <v>2.467</v>
      </c>
      <c r="J2470" s="7">
        <f>IF((I2470-ROUNDDOWN(I2470,0))=0, 0, (I2470-ROUNDDOWN(I2470,0)))</f>
      </c>
      <c r="K2470" s="7">
        <f>INDIRECT("C$"&amp;2+MIN(2,ROUNDDOWN(I2470,0))*3)*(-$J2470^3+3*$J2470^2-3*$J2470+1)+INDIRECT("C$"&amp;3+MIN(2,ROUNDDOWN(I2470,0))*3)*(3*$J2470^3-6*$J2470^2+3*$J2470)+INDIRECT("C$"&amp;4+MIN(2,ROUNDDOWN(I2470,0))*3)*(-3*$J2470^3+3*$J2470^2)+INDIRECT("C$"&amp;5+MIN(2,ROUNDDOWN(I2470,0))*3)*$J2470^3</f>
      </c>
      <c r="L2470" s="7">
        <f>INDIRECT("D$"&amp;2+MIN(2,ROUNDDOWN(I2470,0))*3)*(-$J2470^3+3*$J2470^2-3*$J2470+1)+INDIRECT("D$"&amp;3+MIN(2,ROUNDDOWN(I2470,0))*3)*(3*$J2470^3-6*$J2470^2+3*$J2470)+INDIRECT("D$"&amp;4+MIN(2,ROUNDDOWN(I2470,0))*3)*(-3*$J2470^3+3*$J2470^2)+INDIRECT("D$"&amp;5+MIN(2,ROUNDDOWN(I2470,0))*3)*$J2470^3</f>
      </c>
      <c r="M2470" s="7">
        <f>SQRT(K2470^2+L2470^2)</f>
      </c>
      <c r="N2470" s="7">
        <f>(K2471-K2469)</f>
      </c>
      <c r="O2470" s="7">
        <f>+(L2471-L2469)</f>
      </c>
      <c r="P2470" s="7">
        <f>SQRT(O2470^2+N2470^2)</f>
      </c>
      <c r="Q2470" s="7">
        <f>N2470/$P2470</f>
      </c>
      <c r="R2470" s="7">
        <f>O2470/$P2470</f>
      </c>
      <c r="S2470" s="8">
        <f>Q2470^2+R2470^2</f>
      </c>
      <c r="T2470" s="7">
        <f>-R2470</f>
      </c>
      <c r="U2470" s="7">
        <f>Q2470</f>
      </c>
      <c r="V2470" s="7">
        <f>($C$14+($C$15-$C$14)/($D$15-$D$14)*(I2470-$D$14))/2</f>
      </c>
      <c r="W2470" s="7">
        <f>($B$22*I2470^4+$C$22*I2470^3+$D$22*I2470^2+$E$22*I2470+$F$22)/2</f>
      </c>
      <c r="X2470" s="7">
        <f>($W2470)*(T2470)</f>
      </c>
      <c r="Y2470" s="7">
        <f>($W2470)*(U2470)</f>
      </c>
      <c r="Z2470" s="7">
        <f>SQRT(X2470^2+Y2470^2)</f>
      </c>
      <c r="AA2470" s="7">
        <f>$K2470+$X2470</f>
      </c>
      <c r="AB2470" s="7">
        <f>$L2470+$Y2470</f>
      </c>
      <c r="AC2470" s="7">
        <f>$K2470-$X2470</f>
      </c>
      <c r="AD2470" s="7">
        <f>$L2470-$Y2470</f>
      </c>
      <c r="AE2470" s="7">
        <f>AA2470/39.3701</f>
      </c>
      <c r="AF2470" s="7">
        <f>AB2470/39.3701</f>
      </c>
      <c r="AG2470" s="7">
        <f>AC2470/39.3701</f>
      </c>
      <c r="AH2470" s="7">
        <f>AD2470/39.3701</f>
      </c>
      <c r="AI2470" s="1"/>
      <c r="AJ2470" s="1"/>
      <c r="AK2470" s="1"/>
      <c r="AL2470" s="1"/>
      <c r="AM2470" s="2"/>
      <c r="AN2470" s="1"/>
      <c r="AO2470" s="1"/>
      <c r="AP2470" s="1"/>
      <c r="AQ2470" s="1"/>
      <c r="AR2470" s="1"/>
      <c r="AS2470" s="1"/>
      <c r="AT2470" s="1"/>
      <c r="AU2470" s="1"/>
      <c r="AV2470" s="1"/>
      <c r="AW2470" s="1"/>
      <c r="AX2470" s="1"/>
      <c r="AY2470" s="1"/>
      <c r="AZ2470" s="1"/>
      <c r="BA2470" s="1"/>
      <c r="BB2470" s="1"/>
      <c r="BC2470" s="1"/>
      <c r="BD2470" s="1"/>
      <c r="BE2470" s="1"/>
    </row>
    <row x14ac:dyDescent="0.25" r="2471" customHeight="1" ht="18.75">
      <c r="A2471" s="1"/>
      <c r="B2471" s="2"/>
      <c r="C2471" s="2"/>
      <c r="D2471" s="2"/>
      <c r="E2471" s="2"/>
      <c r="F2471" s="2"/>
      <c r="G2471" s="1"/>
      <c r="H2471" s="1"/>
      <c r="I2471" s="7">
        <v>2.468</v>
      </c>
      <c r="J2471" s="7">
        <f>IF((I2471-ROUNDDOWN(I2471,0))=0, 0, (I2471-ROUNDDOWN(I2471,0)))</f>
      </c>
      <c r="K2471" s="7">
        <f>INDIRECT("C$"&amp;2+MIN(2,ROUNDDOWN(I2471,0))*3)*(-$J2471^3+3*$J2471^2-3*$J2471+1)+INDIRECT("C$"&amp;3+MIN(2,ROUNDDOWN(I2471,0))*3)*(3*$J2471^3-6*$J2471^2+3*$J2471)+INDIRECT("C$"&amp;4+MIN(2,ROUNDDOWN(I2471,0))*3)*(-3*$J2471^3+3*$J2471^2)+INDIRECT("C$"&amp;5+MIN(2,ROUNDDOWN(I2471,0))*3)*$J2471^3</f>
      </c>
      <c r="L2471" s="7">
        <f>INDIRECT("D$"&amp;2+MIN(2,ROUNDDOWN(I2471,0))*3)*(-$J2471^3+3*$J2471^2-3*$J2471+1)+INDIRECT("D$"&amp;3+MIN(2,ROUNDDOWN(I2471,0))*3)*(3*$J2471^3-6*$J2471^2+3*$J2471)+INDIRECT("D$"&amp;4+MIN(2,ROUNDDOWN(I2471,0))*3)*(-3*$J2471^3+3*$J2471^2)+INDIRECT("D$"&amp;5+MIN(2,ROUNDDOWN(I2471,0))*3)*$J2471^3</f>
      </c>
      <c r="M2471" s="7">
        <f>SQRT(K2471^2+L2471^2)</f>
      </c>
      <c r="N2471" s="7">
        <f>(K2472-K2470)</f>
      </c>
      <c r="O2471" s="7">
        <f>+(L2472-L2470)</f>
      </c>
      <c r="P2471" s="7">
        <f>SQRT(O2471^2+N2471^2)</f>
      </c>
      <c r="Q2471" s="7">
        <f>N2471/$P2471</f>
      </c>
      <c r="R2471" s="7">
        <f>O2471/$P2471</f>
      </c>
      <c r="S2471" s="8">
        <f>Q2471^2+R2471^2</f>
      </c>
      <c r="T2471" s="7">
        <f>-R2471</f>
      </c>
      <c r="U2471" s="7">
        <f>Q2471</f>
      </c>
      <c r="V2471" s="7">
        <f>($C$14+($C$15-$C$14)/($D$15-$D$14)*(I2471-$D$14))/2</f>
      </c>
      <c r="W2471" s="7">
        <f>($B$22*I2471^4+$C$22*I2471^3+$D$22*I2471^2+$E$22*I2471+$F$22)/2</f>
      </c>
      <c r="X2471" s="7">
        <f>($W2471)*(T2471)</f>
      </c>
      <c r="Y2471" s="7">
        <f>($W2471)*(U2471)</f>
      </c>
      <c r="Z2471" s="7">
        <f>SQRT(X2471^2+Y2471^2)</f>
      </c>
      <c r="AA2471" s="7">
        <f>$K2471+$X2471</f>
      </c>
      <c r="AB2471" s="7">
        <f>$L2471+$Y2471</f>
      </c>
      <c r="AC2471" s="7">
        <f>$K2471-$X2471</f>
      </c>
      <c r="AD2471" s="7">
        <f>$L2471-$Y2471</f>
      </c>
      <c r="AE2471" s="7">
        <f>AA2471/39.3701</f>
      </c>
      <c r="AF2471" s="7">
        <f>AB2471/39.3701</f>
      </c>
      <c r="AG2471" s="7">
        <f>AC2471/39.3701</f>
      </c>
      <c r="AH2471" s="7">
        <f>AD2471/39.3701</f>
      </c>
      <c r="AI2471" s="1"/>
      <c r="AJ2471" s="1"/>
      <c r="AK2471" s="1"/>
      <c r="AL2471" s="1"/>
      <c r="AM2471" s="2"/>
      <c r="AN2471" s="1"/>
      <c r="AO2471" s="1"/>
      <c r="AP2471" s="1"/>
      <c r="AQ2471" s="1"/>
      <c r="AR2471" s="1"/>
      <c r="AS2471" s="1"/>
      <c r="AT2471" s="1"/>
      <c r="AU2471" s="1"/>
      <c r="AV2471" s="1"/>
      <c r="AW2471" s="1"/>
      <c r="AX2471" s="1"/>
      <c r="AY2471" s="1"/>
      <c r="AZ2471" s="1"/>
      <c r="BA2471" s="1"/>
      <c r="BB2471" s="1"/>
      <c r="BC2471" s="1"/>
      <c r="BD2471" s="1"/>
      <c r="BE2471" s="1"/>
    </row>
    <row x14ac:dyDescent="0.25" r="2472" customHeight="1" ht="18.75">
      <c r="A2472" s="1"/>
      <c r="B2472" s="2"/>
      <c r="C2472" s="2"/>
      <c r="D2472" s="2"/>
      <c r="E2472" s="2"/>
      <c r="F2472" s="2"/>
      <c r="G2472" s="1"/>
      <c r="H2472" s="1"/>
      <c r="I2472" s="7">
        <v>2.469</v>
      </c>
      <c r="J2472" s="7">
        <f>IF((I2472-ROUNDDOWN(I2472,0))=0, 0, (I2472-ROUNDDOWN(I2472,0)))</f>
      </c>
      <c r="K2472" s="7">
        <f>INDIRECT("C$"&amp;2+MIN(2,ROUNDDOWN(I2472,0))*3)*(-$J2472^3+3*$J2472^2-3*$J2472+1)+INDIRECT("C$"&amp;3+MIN(2,ROUNDDOWN(I2472,0))*3)*(3*$J2472^3-6*$J2472^2+3*$J2472)+INDIRECT("C$"&amp;4+MIN(2,ROUNDDOWN(I2472,0))*3)*(-3*$J2472^3+3*$J2472^2)+INDIRECT("C$"&amp;5+MIN(2,ROUNDDOWN(I2472,0))*3)*$J2472^3</f>
      </c>
      <c r="L2472" s="7">
        <f>INDIRECT("D$"&amp;2+MIN(2,ROUNDDOWN(I2472,0))*3)*(-$J2472^3+3*$J2472^2-3*$J2472+1)+INDIRECT("D$"&amp;3+MIN(2,ROUNDDOWN(I2472,0))*3)*(3*$J2472^3-6*$J2472^2+3*$J2472)+INDIRECT("D$"&amp;4+MIN(2,ROUNDDOWN(I2472,0))*3)*(-3*$J2472^3+3*$J2472^2)+INDIRECT("D$"&amp;5+MIN(2,ROUNDDOWN(I2472,0))*3)*$J2472^3</f>
      </c>
      <c r="M2472" s="7">
        <f>SQRT(K2472^2+L2472^2)</f>
      </c>
      <c r="N2472" s="7">
        <f>(K2473-K2471)</f>
      </c>
      <c r="O2472" s="7">
        <f>+(L2473-L2471)</f>
      </c>
      <c r="P2472" s="7">
        <f>SQRT(O2472^2+N2472^2)</f>
      </c>
      <c r="Q2472" s="7">
        <f>N2472/$P2472</f>
      </c>
      <c r="R2472" s="7">
        <f>O2472/$P2472</f>
      </c>
      <c r="S2472" s="7">
        <f>Q2472^2+R2472^2</f>
      </c>
      <c r="T2472" s="7">
        <f>-R2472</f>
      </c>
      <c r="U2472" s="7">
        <f>Q2472</f>
      </c>
      <c r="V2472" s="7">
        <f>($C$14+($C$15-$C$14)/($D$15-$D$14)*(I2472-$D$14))/2</f>
      </c>
      <c r="W2472" s="7">
        <f>($B$22*I2472^4+$C$22*I2472^3+$D$22*I2472^2+$E$22*I2472+$F$22)/2</f>
      </c>
      <c r="X2472" s="7">
        <f>($W2472)*(T2472)</f>
      </c>
      <c r="Y2472" s="7">
        <f>($W2472)*(U2472)</f>
      </c>
      <c r="Z2472" s="7">
        <f>SQRT(X2472^2+Y2472^2)</f>
      </c>
      <c r="AA2472" s="7">
        <f>$K2472+$X2472</f>
      </c>
      <c r="AB2472" s="7">
        <f>$L2472+$Y2472</f>
      </c>
      <c r="AC2472" s="7">
        <f>$K2472-$X2472</f>
      </c>
      <c r="AD2472" s="7">
        <f>$L2472-$Y2472</f>
      </c>
      <c r="AE2472" s="7">
        <f>AA2472/39.3701</f>
      </c>
      <c r="AF2472" s="7">
        <f>AB2472/39.3701</f>
      </c>
      <c r="AG2472" s="7">
        <f>AC2472/39.3701</f>
      </c>
      <c r="AH2472" s="7">
        <f>AD2472/39.3701</f>
      </c>
      <c r="AI2472" s="1"/>
      <c r="AJ2472" s="1"/>
      <c r="AK2472" s="1"/>
      <c r="AL2472" s="1"/>
      <c r="AM2472" s="2"/>
      <c r="AN2472" s="1"/>
      <c r="AO2472" s="1"/>
      <c r="AP2472" s="1"/>
      <c r="AQ2472" s="1"/>
      <c r="AR2472" s="1"/>
      <c r="AS2472" s="1"/>
      <c r="AT2472" s="1"/>
      <c r="AU2472" s="1"/>
      <c r="AV2472" s="1"/>
      <c r="AW2472" s="1"/>
      <c r="AX2472" s="1"/>
      <c r="AY2472" s="1"/>
      <c r="AZ2472" s="1"/>
      <c r="BA2472" s="1"/>
      <c r="BB2472" s="1"/>
      <c r="BC2472" s="1"/>
      <c r="BD2472" s="1"/>
      <c r="BE2472" s="1"/>
    </row>
    <row x14ac:dyDescent="0.25" r="2473" customHeight="1" ht="18.75">
      <c r="A2473" s="1"/>
      <c r="B2473" s="2"/>
      <c r="C2473" s="2"/>
      <c r="D2473" s="2"/>
      <c r="E2473" s="2"/>
      <c r="F2473" s="2"/>
      <c r="G2473" s="1"/>
      <c r="H2473" s="1"/>
      <c r="I2473" s="7">
        <v>2.47</v>
      </c>
      <c r="J2473" s="7">
        <f>IF((I2473-ROUNDDOWN(I2473,0))=0, 0, (I2473-ROUNDDOWN(I2473,0)))</f>
      </c>
      <c r="K2473" s="7">
        <f>INDIRECT("C$"&amp;2+MIN(2,ROUNDDOWN(I2473,0))*3)*(-$J2473^3+3*$J2473^2-3*$J2473+1)+INDIRECT("C$"&amp;3+MIN(2,ROUNDDOWN(I2473,0))*3)*(3*$J2473^3-6*$J2473^2+3*$J2473)+INDIRECT("C$"&amp;4+MIN(2,ROUNDDOWN(I2473,0))*3)*(-3*$J2473^3+3*$J2473^2)+INDIRECT("C$"&amp;5+MIN(2,ROUNDDOWN(I2473,0))*3)*$J2473^3</f>
      </c>
      <c r="L2473" s="7">
        <f>INDIRECT("D$"&amp;2+MIN(2,ROUNDDOWN(I2473,0))*3)*(-$J2473^3+3*$J2473^2-3*$J2473+1)+INDIRECT("D$"&amp;3+MIN(2,ROUNDDOWN(I2473,0))*3)*(3*$J2473^3-6*$J2473^2+3*$J2473)+INDIRECT("D$"&amp;4+MIN(2,ROUNDDOWN(I2473,0))*3)*(-3*$J2473^3+3*$J2473^2)+INDIRECT("D$"&amp;5+MIN(2,ROUNDDOWN(I2473,0))*3)*$J2473^3</f>
      </c>
      <c r="M2473" s="7">
        <f>SQRT(K2473^2+L2473^2)</f>
      </c>
      <c r="N2473" s="7">
        <f>(K2474-K2472)</f>
      </c>
      <c r="O2473" s="7">
        <f>+(L2474-L2472)</f>
      </c>
      <c r="P2473" s="7">
        <f>SQRT(O2473^2+N2473^2)</f>
      </c>
      <c r="Q2473" s="7">
        <f>N2473/$P2473</f>
      </c>
      <c r="R2473" s="7">
        <f>O2473/$P2473</f>
      </c>
      <c r="S2473" s="8">
        <f>Q2473^2+R2473^2</f>
      </c>
      <c r="T2473" s="7">
        <f>-R2473</f>
      </c>
      <c r="U2473" s="7">
        <f>Q2473</f>
      </c>
      <c r="V2473" s="7">
        <f>($C$14+($C$15-$C$14)/($D$15-$D$14)*(I2473-$D$14))/2</f>
      </c>
      <c r="W2473" s="7">
        <f>($B$22*I2473^4+$C$22*I2473^3+$D$22*I2473^2+$E$22*I2473+$F$22)/2</f>
      </c>
      <c r="X2473" s="7">
        <f>($W2473)*(T2473)</f>
      </c>
      <c r="Y2473" s="7">
        <f>($W2473)*(U2473)</f>
      </c>
      <c r="Z2473" s="7">
        <f>SQRT(X2473^2+Y2473^2)</f>
      </c>
      <c r="AA2473" s="7">
        <f>$K2473+$X2473</f>
      </c>
      <c r="AB2473" s="7">
        <f>$L2473+$Y2473</f>
      </c>
      <c r="AC2473" s="7">
        <f>$K2473-$X2473</f>
      </c>
      <c r="AD2473" s="7">
        <f>$L2473-$Y2473</f>
      </c>
      <c r="AE2473" s="7">
        <f>AA2473/39.3701</f>
      </c>
      <c r="AF2473" s="7">
        <f>AB2473/39.3701</f>
      </c>
      <c r="AG2473" s="7">
        <f>AC2473/39.3701</f>
      </c>
      <c r="AH2473" s="7">
        <f>AD2473/39.3701</f>
      </c>
      <c r="AI2473" s="1"/>
      <c r="AJ2473" s="1"/>
      <c r="AK2473" s="1"/>
      <c r="AL2473" s="1"/>
      <c r="AM2473" s="2"/>
      <c r="AN2473" s="1"/>
      <c r="AO2473" s="1"/>
      <c r="AP2473" s="1"/>
      <c r="AQ2473" s="1"/>
      <c r="AR2473" s="1"/>
      <c r="AS2473" s="1"/>
      <c r="AT2473" s="1"/>
      <c r="AU2473" s="1"/>
      <c r="AV2473" s="1"/>
      <c r="AW2473" s="1"/>
      <c r="AX2473" s="1"/>
      <c r="AY2473" s="1"/>
      <c r="AZ2473" s="1"/>
      <c r="BA2473" s="1"/>
      <c r="BB2473" s="1"/>
      <c r="BC2473" s="1"/>
      <c r="BD2473" s="1"/>
      <c r="BE2473" s="1"/>
    </row>
    <row x14ac:dyDescent="0.25" r="2474" customHeight="1" ht="18.75">
      <c r="A2474" s="1"/>
      <c r="B2474" s="2"/>
      <c r="C2474" s="2"/>
      <c r="D2474" s="2"/>
      <c r="E2474" s="2"/>
      <c r="F2474" s="2"/>
      <c r="G2474" s="1"/>
      <c r="H2474" s="1"/>
      <c r="I2474" s="7">
        <v>2.471</v>
      </c>
      <c r="J2474" s="7">
        <f>IF((I2474-ROUNDDOWN(I2474,0))=0, 0, (I2474-ROUNDDOWN(I2474,0)))</f>
      </c>
      <c r="K2474" s="7">
        <f>INDIRECT("C$"&amp;2+MIN(2,ROUNDDOWN(I2474,0))*3)*(-$J2474^3+3*$J2474^2-3*$J2474+1)+INDIRECT("C$"&amp;3+MIN(2,ROUNDDOWN(I2474,0))*3)*(3*$J2474^3-6*$J2474^2+3*$J2474)+INDIRECT("C$"&amp;4+MIN(2,ROUNDDOWN(I2474,0))*3)*(-3*$J2474^3+3*$J2474^2)+INDIRECT("C$"&amp;5+MIN(2,ROUNDDOWN(I2474,0))*3)*$J2474^3</f>
      </c>
      <c r="L2474" s="7">
        <f>INDIRECT("D$"&amp;2+MIN(2,ROUNDDOWN(I2474,0))*3)*(-$J2474^3+3*$J2474^2-3*$J2474+1)+INDIRECT("D$"&amp;3+MIN(2,ROUNDDOWN(I2474,0))*3)*(3*$J2474^3-6*$J2474^2+3*$J2474)+INDIRECT("D$"&amp;4+MIN(2,ROUNDDOWN(I2474,0))*3)*(-3*$J2474^3+3*$J2474^2)+INDIRECT("D$"&amp;5+MIN(2,ROUNDDOWN(I2474,0))*3)*$J2474^3</f>
      </c>
      <c r="M2474" s="7">
        <f>SQRT(K2474^2+L2474^2)</f>
      </c>
      <c r="N2474" s="7">
        <f>(K2475-K2473)</f>
      </c>
      <c r="O2474" s="7">
        <f>+(L2475-L2473)</f>
      </c>
      <c r="P2474" s="7">
        <f>SQRT(O2474^2+N2474^2)</f>
      </c>
      <c r="Q2474" s="7">
        <f>N2474/$P2474</f>
      </c>
      <c r="R2474" s="7">
        <f>O2474/$P2474</f>
      </c>
      <c r="S2474" s="7">
        <f>Q2474^2+R2474^2</f>
      </c>
      <c r="T2474" s="7">
        <f>-R2474</f>
      </c>
      <c r="U2474" s="7">
        <f>Q2474</f>
      </c>
      <c r="V2474" s="7">
        <f>($C$14+($C$15-$C$14)/($D$15-$D$14)*(I2474-$D$14))/2</f>
      </c>
      <c r="W2474" s="7">
        <f>($B$22*I2474^4+$C$22*I2474^3+$D$22*I2474^2+$E$22*I2474+$F$22)/2</f>
      </c>
      <c r="X2474" s="7">
        <f>($W2474)*(T2474)</f>
      </c>
      <c r="Y2474" s="7">
        <f>($W2474)*(U2474)</f>
      </c>
      <c r="Z2474" s="7">
        <f>SQRT(X2474^2+Y2474^2)</f>
      </c>
      <c r="AA2474" s="7">
        <f>$K2474+$X2474</f>
      </c>
      <c r="AB2474" s="7">
        <f>$L2474+$Y2474</f>
      </c>
      <c r="AC2474" s="7">
        <f>$K2474-$X2474</f>
      </c>
      <c r="AD2474" s="7">
        <f>$L2474-$Y2474</f>
      </c>
      <c r="AE2474" s="7">
        <f>AA2474/39.3701</f>
      </c>
      <c r="AF2474" s="7">
        <f>AB2474/39.3701</f>
      </c>
      <c r="AG2474" s="7">
        <f>AC2474/39.3701</f>
      </c>
      <c r="AH2474" s="7">
        <f>AD2474/39.3701</f>
      </c>
      <c r="AI2474" s="1"/>
      <c r="AJ2474" s="1"/>
      <c r="AK2474" s="1"/>
      <c r="AL2474" s="1"/>
      <c r="AM2474" s="2"/>
      <c r="AN2474" s="1"/>
      <c r="AO2474" s="1"/>
      <c r="AP2474" s="1"/>
      <c r="AQ2474" s="1"/>
      <c r="AR2474" s="1"/>
      <c r="AS2474" s="1"/>
      <c r="AT2474" s="1"/>
      <c r="AU2474" s="1"/>
      <c r="AV2474" s="1"/>
      <c r="AW2474" s="1"/>
      <c r="AX2474" s="1"/>
      <c r="AY2474" s="1"/>
      <c r="AZ2474" s="1"/>
      <c r="BA2474" s="1"/>
      <c r="BB2474" s="1"/>
      <c r="BC2474" s="1"/>
      <c r="BD2474" s="1"/>
      <c r="BE2474" s="1"/>
    </row>
    <row x14ac:dyDescent="0.25" r="2475" customHeight="1" ht="18.75">
      <c r="A2475" s="1"/>
      <c r="B2475" s="2"/>
      <c r="C2475" s="2"/>
      <c r="D2475" s="2"/>
      <c r="E2475" s="2"/>
      <c r="F2475" s="2"/>
      <c r="G2475" s="1"/>
      <c r="H2475" s="1"/>
      <c r="I2475" s="7">
        <v>2.472</v>
      </c>
      <c r="J2475" s="7">
        <f>IF((I2475-ROUNDDOWN(I2475,0))=0, 0, (I2475-ROUNDDOWN(I2475,0)))</f>
      </c>
      <c r="K2475" s="7">
        <f>INDIRECT("C$"&amp;2+MIN(2,ROUNDDOWN(I2475,0))*3)*(-$J2475^3+3*$J2475^2-3*$J2475+1)+INDIRECT("C$"&amp;3+MIN(2,ROUNDDOWN(I2475,0))*3)*(3*$J2475^3-6*$J2475^2+3*$J2475)+INDIRECT("C$"&amp;4+MIN(2,ROUNDDOWN(I2475,0))*3)*(-3*$J2475^3+3*$J2475^2)+INDIRECT("C$"&amp;5+MIN(2,ROUNDDOWN(I2475,0))*3)*$J2475^3</f>
      </c>
      <c r="L2475" s="7">
        <f>INDIRECT("D$"&amp;2+MIN(2,ROUNDDOWN(I2475,0))*3)*(-$J2475^3+3*$J2475^2-3*$J2475+1)+INDIRECT("D$"&amp;3+MIN(2,ROUNDDOWN(I2475,0))*3)*(3*$J2475^3-6*$J2475^2+3*$J2475)+INDIRECT("D$"&amp;4+MIN(2,ROUNDDOWN(I2475,0))*3)*(-3*$J2475^3+3*$J2475^2)+INDIRECT("D$"&amp;5+MIN(2,ROUNDDOWN(I2475,0))*3)*$J2475^3</f>
      </c>
      <c r="M2475" s="7">
        <f>SQRT(K2475^2+L2475^2)</f>
      </c>
      <c r="N2475" s="7">
        <f>(K2476-K2474)</f>
      </c>
      <c r="O2475" s="7">
        <f>+(L2476-L2474)</f>
      </c>
      <c r="P2475" s="7">
        <f>SQRT(O2475^2+N2475^2)</f>
      </c>
      <c r="Q2475" s="7">
        <f>N2475/$P2475</f>
      </c>
      <c r="R2475" s="7">
        <f>O2475/$P2475</f>
      </c>
      <c r="S2475" s="8">
        <f>Q2475^2+R2475^2</f>
      </c>
      <c r="T2475" s="7">
        <f>-R2475</f>
      </c>
      <c r="U2475" s="7">
        <f>Q2475</f>
      </c>
      <c r="V2475" s="7">
        <f>($C$14+($C$15-$C$14)/($D$15-$D$14)*(I2475-$D$14))/2</f>
      </c>
      <c r="W2475" s="7">
        <f>($B$22*I2475^4+$C$22*I2475^3+$D$22*I2475^2+$E$22*I2475+$F$22)/2</f>
      </c>
      <c r="X2475" s="7">
        <f>($W2475)*(T2475)</f>
      </c>
      <c r="Y2475" s="7">
        <f>($W2475)*(U2475)</f>
      </c>
      <c r="Z2475" s="7">
        <f>SQRT(X2475^2+Y2475^2)</f>
      </c>
      <c r="AA2475" s="7">
        <f>$K2475+$X2475</f>
      </c>
      <c r="AB2475" s="7">
        <f>$L2475+$Y2475</f>
      </c>
      <c r="AC2475" s="7">
        <f>$K2475-$X2475</f>
      </c>
      <c r="AD2475" s="7">
        <f>$L2475-$Y2475</f>
      </c>
      <c r="AE2475" s="7">
        <f>AA2475/39.3701</f>
      </c>
      <c r="AF2475" s="7">
        <f>AB2475/39.3701</f>
      </c>
      <c r="AG2475" s="7">
        <f>AC2475/39.3701</f>
      </c>
      <c r="AH2475" s="7">
        <f>AD2475/39.3701</f>
      </c>
      <c r="AI2475" s="1"/>
      <c r="AJ2475" s="1"/>
      <c r="AK2475" s="1"/>
      <c r="AL2475" s="1"/>
      <c r="AM2475" s="2"/>
      <c r="AN2475" s="1"/>
      <c r="AO2475" s="1"/>
      <c r="AP2475" s="1"/>
      <c r="AQ2475" s="1"/>
      <c r="AR2475" s="1"/>
      <c r="AS2475" s="1"/>
      <c r="AT2475" s="1"/>
      <c r="AU2475" s="1"/>
      <c r="AV2475" s="1"/>
      <c r="AW2475" s="1"/>
      <c r="AX2475" s="1"/>
      <c r="AY2475" s="1"/>
      <c r="AZ2475" s="1"/>
      <c r="BA2475" s="1"/>
      <c r="BB2475" s="1"/>
      <c r="BC2475" s="1"/>
      <c r="BD2475" s="1"/>
      <c r="BE2475" s="1"/>
    </row>
    <row x14ac:dyDescent="0.25" r="2476" customHeight="1" ht="18.75">
      <c r="A2476" s="1"/>
      <c r="B2476" s="2"/>
      <c r="C2476" s="2"/>
      <c r="D2476" s="2"/>
      <c r="E2476" s="2"/>
      <c r="F2476" s="2"/>
      <c r="G2476" s="1"/>
      <c r="H2476" s="1"/>
      <c r="I2476" s="7">
        <v>2.473</v>
      </c>
      <c r="J2476" s="7">
        <f>IF((I2476-ROUNDDOWN(I2476,0))=0, 0, (I2476-ROUNDDOWN(I2476,0)))</f>
      </c>
      <c r="K2476" s="7">
        <f>INDIRECT("C$"&amp;2+MIN(2,ROUNDDOWN(I2476,0))*3)*(-$J2476^3+3*$J2476^2-3*$J2476+1)+INDIRECT("C$"&amp;3+MIN(2,ROUNDDOWN(I2476,0))*3)*(3*$J2476^3-6*$J2476^2+3*$J2476)+INDIRECT("C$"&amp;4+MIN(2,ROUNDDOWN(I2476,0))*3)*(-3*$J2476^3+3*$J2476^2)+INDIRECT("C$"&amp;5+MIN(2,ROUNDDOWN(I2476,0))*3)*$J2476^3</f>
      </c>
      <c r="L2476" s="7">
        <f>INDIRECT("D$"&amp;2+MIN(2,ROUNDDOWN(I2476,0))*3)*(-$J2476^3+3*$J2476^2-3*$J2476+1)+INDIRECT("D$"&amp;3+MIN(2,ROUNDDOWN(I2476,0))*3)*(3*$J2476^3-6*$J2476^2+3*$J2476)+INDIRECT("D$"&amp;4+MIN(2,ROUNDDOWN(I2476,0))*3)*(-3*$J2476^3+3*$J2476^2)+INDIRECT("D$"&amp;5+MIN(2,ROUNDDOWN(I2476,0))*3)*$J2476^3</f>
      </c>
      <c r="M2476" s="7">
        <f>SQRT(K2476^2+L2476^2)</f>
      </c>
      <c r="N2476" s="7">
        <f>(K2477-K2475)</f>
      </c>
      <c r="O2476" s="7">
        <f>+(L2477-L2475)</f>
      </c>
      <c r="P2476" s="7">
        <f>SQRT(O2476^2+N2476^2)</f>
      </c>
      <c r="Q2476" s="7">
        <f>N2476/$P2476</f>
      </c>
      <c r="R2476" s="7">
        <f>O2476/$P2476</f>
      </c>
      <c r="S2476" s="7">
        <f>Q2476^2+R2476^2</f>
      </c>
      <c r="T2476" s="7">
        <f>-R2476</f>
      </c>
      <c r="U2476" s="7">
        <f>Q2476</f>
      </c>
      <c r="V2476" s="7">
        <f>($C$14+($C$15-$C$14)/($D$15-$D$14)*(I2476-$D$14))/2</f>
      </c>
      <c r="W2476" s="7">
        <f>($B$22*I2476^4+$C$22*I2476^3+$D$22*I2476^2+$E$22*I2476+$F$22)/2</f>
      </c>
      <c r="X2476" s="7">
        <f>($W2476)*(T2476)</f>
      </c>
      <c r="Y2476" s="7">
        <f>($W2476)*(U2476)</f>
      </c>
      <c r="Z2476" s="7">
        <f>SQRT(X2476^2+Y2476^2)</f>
      </c>
      <c r="AA2476" s="7">
        <f>$K2476+$X2476</f>
      </c>
      <c r="AB2476" s="7">
        <f>$L2476+$Y2476</f>
      </c>
      <c r="AC2476" s="7">
        <f>$K2476-$X2476</f>
      </c>
      <c r="AD2476" s="7">
        <f>$L2476-$Y2476</f>
      </c>
      <c r="AE2476" s="7">
        <f>AA2476/39.3701</f>
      </c>
      <c r="AF2476" s="7">
        <f>AB2476/39.3701</f>
      </c>
      <c r="AG2476" s="7">
        <f>AC2476/39.3701</f>
      </c>
      <c r="AH2476" s="7">
        <f>AD2476/39.3701</f>
      </c>
      <c r="AI2476" s="1"/>
      <c r="AJ2476" s="1"/>
      <c r="AK2476" s="1"/>
      <c r="AL2476" s="1"/>
      <c r="AM2476" s="2"/>
      <c r="AN2476" s="1"/>
      <c r="AO2476" s="1"/>
      <c r="AP2476" s="1"/>
      <c r="AQ2476" s="1"/>
      <c r="AR2476" s="1"/>
      <c r="AS2476" s="1"/>
      <c r="AT2476" s="1"/>
      <c r="AU2476" s="1"/>
      <c r="AV2476" s="1"/>
      <c r="AW2476" s="1"/>
      <c r="AX2476" s="1"/>
      <c r="AY2476" s="1"/>
      <c r="AZ2476" s="1"/>
      <c r="BA2476" s="1"/>
      <c r="BB2476" s="1"/>
      <c r="BC2476" s="1"/>
      <c r="BD2476" s="1"/>
      <c r="BE2476" s="1"/>
    </row>
    <row x14ac:dyDescent="0.25" r="2477" customHeight="1" ht="18.75">
      <c r="A2477" s="1"/>
      <c r="B2477" s="2"/>
      <c r="C2477" s="2"/>
      <c r="D2477" s="2"/>
      <c r="E2477" s="2"/>
      <c r="F2477" s="2"/>
      <c r="G2477" s="1"/>
      <c r="H2477" s="1"/>
      <c r="I2477" s="7">
        <v>2.474</v>
      </c>
      <c r="J2477" s="7">
        <f>IF((I2477-ROUNDDOWN(I2477,0))=0, 0, (I2477-ROUNDDOWN(I2477,0)))</f>
      </c>
      <c r="K2477" s="7">
        <f>INDIRECT("C$"&amp;2+MIN(2,ROUNDDOWN(I2477,0))*3)*(-$J2477^3+3*$J2477^2-3*$J2477+1)+INDIRECT("C$"&amp;3+MIN(2,ROUNDDOWN(I2477,0))*3)*(3*$J2477^3-6*$J2477^2+3*$J2477)+INDIRECT("C$"&amp;4+MIN(2,ROUNDDOWN(I2477,0))*3)*(-3*$J2477^3+3*$J2477^2)+INDIRECT("C$"&amp;5+MIN(2,ROUNDDOWN(I2477,0))*3)*$J2477^3</f>
      </c>
      <c r="L2477" s="7">
        <f>INDIRECT("D$"&amp;2+MIN(2,ROUNDDOWN(I2477,0))*3)*(-$J2477^3+3*$J2477^2-3*$J2477+1)+INDIRECT("D$"&amp;3+MIN(2,ROUNDDOWN(I2477,0))*3)*(3*$J2477^3-6*$J2477^2+3*$J2477)+INDIRECT("D$"&amp;4+MIN(2,ROUNDDOWN(I2477,0))*3)*(-3*$J2477^3+3*$J2477^2)+INDIRECT("D$"&amp;5+MIN(2,ROUNDDOWN(I2477,0))*3)*$J2477^3</f>
      </c>
      <c r="M2477" s="7">
        <f>SQRT(K2477^2+L2477^2)</f>
      </c>
      <c r="N2477" s="7">
        <f>(K2478-K2476)</f>
      </c>
      <c r="O2477" s="7">
        <f>+(L2478-L2476)</f>
      </c>
      <c r="P2477" s="7">
        <f>SQRT(O2477^2+N2477^2)</f>
      </c>
      <c r="Q2477" s="7">
        <f>N2477/$P2477</f>
      </c>
      <c r="R2477" s="7">
        <f>O2477/$P2477</f>
      </c>
      <c r="S2477" s="7">
        <f>Q2477^2+R2477^2</f>
      </c>
      <c r="T2477" s="7">
        <f>-R2477</f>
      </c>
      <c r="U2477" s="7">
        <f>Q2477</f>
      </c>
      <c r="V2477" s="7">
        <f>($C$14+($C$15-$C$14)/($D$15-$D$14)*(I2477-$D$14))/2</f>
      </c>
      <c r="W2477" s="7">
        <f>($B$22*I2477^4+$C$22*I2477^3+$D$22*I2477^2+$E$22*I2477+$F$22)/2</f>
      </c>
      <c r="X2477" s="7">
        <f>($W2477)*(T2477)</f>
      </c>
      <c r="Y2477" s="7">
        <f>($W2477)*(U2477)</f>
      </c>
      <c r="Z2477" s="7">
        <f>SQRT(X2477^2+Y2477^2)</f>
      </c>
      <c r="AA2477" s="7">
        <f>$K2477+$X2477</f>
      </c>
      <c r="AB2477" s="7">
        <f>$L2477+$Y2477</f>
      </c>
      <c r="AC2477" s="7">
        <f>$K2477-$X2477</f>
      </c>
      <c r="AD2477" s="7">
        <f>$L2477-$Y2477</f>
      </c>
      <c r="AE2477" s="7">
        <f>AA2477/39.3701</f>
      </c>
      <c r="AF2477" s="7">
        <f>AB2477/39.3701</f>
      </c>
      <c r="AG2477" s="7">
        <f>AC2477/39.3701</f>
      </c>
      <c r="AH2477" s="7">
        <f>AD2477/39.3701</f>
      </c>
      <c r="AI2477" s="1"/>
      <c r="AJ2477" s="1"/>
      <c r="AK2477" s="1"/>
      <c r="AL2477" s="1"/>
      <c r="AM2477" s="2"/>
      <c r="AN2477" s="1"/>
      <c r="AO2477" s="1"/>
      <c r="AP2477" s="1"/>
      <c r="AQ2477" s="1"/>
      <c r="AR2477" s="1"/>
      <c r="AS2477" s="1"/>
      <c r="AT2477" s="1"/>
      <c r="AU2477" s="1"/>
      <c r="AV2477" s="1"/>
      <c r="AW2477" s="1"/>
      <c r="AX2477" s="1"/>
      <c r="AY2477" s="1"/>
      <c r="AZ2477" s="1"/>
      <c r="BA2477" s="1"/>
      <c r="BB2477" s="1"/>
      <c r="BC2477" s="1"/>
      <c r="BD2477" s="1"/>
      <c r="BE2477" s="1"/>
    </row>
    <row x14ac:dyDescent="0.25" r="2478" customHeight="1" ht="18.75">
      <c r="A2478" s="1"/>
      <c r="B2478" s="2"/>
      <c r="C2478" s="2"/>
      <c r="D2478" s="2"/>
      <c r="E2478" s="2"/>
      <c r="F2478" s="2"/>
      <c r="G2478" s="1"/>
      <c r="H2478" s="1"/>
      <c r="I2478" s="7">
        <v>2.475</v>
      </c>
      <c r="J2478" s="7">
        <f>IF((I2478-ROUNDDOWN(I2478,0))=0, 0, (I2478-ROUNDDOWN(I2478,0)))</f>
      </c>
      <c r="K2478" s="7">
        <f>INDIRECT("C$"&amp;2+MIN(2,ROUNDDOWN(I2478,0))*3)*(-$J2478^3+3*$J2478^2-3*$J2478+1)+INDIRECT("C$"&amp;3+MIN(2,ROUNDDOWN(I2478,0))*3)*(3*$J2478^3-6*$J2478^2+3*$J2478)+INDIRECT("C$"&amp;4+MIN(2,ROUNDDOWN(I2478,0))*3)*(-3*$J2478^3+3*$J2478^2)+INDIRECT("C$"&amp;5+MIN(2,ROUNDDOWN(I2478,0))*3)*$J2478^3</f>
      </c>
      <c r="L2478" s="7">
        <f>INDIRECT("D$"&amp;2+MIN(2,ROUNDDOWN(I2478,0))*3)*(-$J2478^3+3*$J2478^2-3*$J2478+1)+INDIRECT("D$"&amp;3+MIN(2,ROUNDDOWN(I2478,0))*3)*(3*$J2478^3-6*$J2478^2+3*$J2478)+INDIRECT("D$"&amp;4+MIN(2,ROUNDDOWN(I2478,0))*3)*(-3*$J2478^3+3*$J2478^2)+INDIRECT("D$"&amp;5+MIN(2,ROUNDDOWN(I2478,0))*3)*$J2478^3</f>
      </c>
      <c r="M2478" s="7">
        <f>SQRT(K2478^2+L2478^2)</f>
      </c>
      <c r="N2478" s="7">
        <f>(K2479-K2477)</f>
      </c>
      <c r="O2478" s="7">
        <f>+(L2479-L2477)</f>
      </c>
      <c r="P2478" s="7">
        <f>SQRT(O2478^2+N2478^2)</f>
      </c>
      <c r="Q2478" s="7">
        <f>N2478/$P2478</f>
      </c>
      <c r="R2478" s="7">
        <f>O2478/$P2478</f>
      </c>
      <c r="S2478" s="8">
        <f>Q2478^2+R2478^2</f>
      </c>
      <c r="T2478" s="7">
        <f>-R2478</f>
      </c>
      <c r="U2478" s="7">
        <f>Q2478</f>
      </c>
      <c r="V2478" s="7">
        <f>($C$14+($C$15-$C$14)/($D$15-$D$14)*(I2478-$D$14))/2</f>
      </c>
      <c r="W2478" s="7">
        <f>($B$22*I2478^4+$C$22*I2478^3+$D$22*I2478^2+$E$22*I2478+$F$22)/2</f>
      </c>
      <c r="X2478" s="7">
        <f>($W2478)*(T2478)</f>
      </c>
      <c r="Y2478" s="7">
        <f>($W2478)*(U2478)</f>
      </c>
      <c r="Z2478" s="7">
        <f>SQRT(X2478^2+Y2478^2)</f>
      </c>
      <c r="AA2478" s="7">
        <f>$K2478+$X2478</f>
      </c>
      <c r="AB2478" s="7">
        <f>$L2478+$Y2478</f>
      </c>
      <c r="AC2478" s="7">
        <f>$K2478-$X2478</f>
      </c>
      <c r="AD2478" s="7">
        <f>$L2478-$Y2478</f>
      </c>
      <c r="AE2478" s="7">
        <f>AA2478/39.3701</f>
      </c>
      <c r="AF2478" s="7">
        <f>AB2478/39.3701</f>
      </c>
      <c r="AG2478" s="7">
        <f>AC2478/39.3701</f>
      </c>
      <c r="AH2478" s="7">
        <f>AD2478/39.3701</f>
      </c>
      <c r="AI2478" s="1"/>
      <c r="AJ2478" s="1"/>
      <c r="AK2478" s="1"/>
      <c r="AL2478" s="1"/>
      <c r="AM2478" s="2"/>
      <c r="AN2478" s="1"/>
      <c r="AO2478" s="1"/>
      <c r="AP2478" s="1"/>
      <c r="AQ2478" s="1"/>
      <c r="AR2478" s="1"/>
      <c r="AS2478" s="1"/>
      <c r="AT2478" s="1"/>
      <c r="AU2478" s="1"/>
      <c r="AV2478" s="1"/>
      <c r="AW2478" s="1"/>
      <c r="AX2478" s="1"/>
      <c r="AY2478" s="1"/>
      <c r="AZ2478" s="1"/>
      <c r="BA2478" s="1"/>
      <c r="BB2478" s="1"/>
      <c r="BC2478" s="1"/>
      <c r="BD2478" s="1"/>
      <c r="BE2478" s="1"/>
    </row>
    <row x14ac:dyDescent="0.25" r="2479" customHeight="1" ht="18.75">
      <c r="A2479" s="1"/>
      <c r="B2479" s="2"/>
      <c r="C2479" s="2"/>
      <c r="D2479" s="2"/>
      <c r="E2479" s="2"/>
      <c r="F2479" s="2"/>
      <c r="G2479" s="1"/>
      <c r="H2479" s="1"/>
      <c r="I2479" s="7">
        <v>2.476</v>
      </c>
      <c r="J2479" s="7">
        <f>IF((I2479-ROUNDDOWN(I2479,0))=0, 0, (I2479-ROUNDDOWN(I2479,0)))</f>
      </c>
      <c r="K2479" s="7">
        <f>INDIRECT("C$"&amp;2+MIN(2,ROUNDDOWN(I2479,0))*3)*(-$J2479^3+3*$J2479^2-3*$J2479+1)+INDIRECT("C$"&amp;3+MIN(2,ROUNDDOWN(I2479,0))*3)*(3*$J2479^3-6*$J2479^2+3*$J2479)+INDIRECT("C$"&amp;4+MIN(2,ROUNDDOWN(I2479,0))*3)*(-3*$J2479^3+3*$J2479^2)+INDIRECT("C$"&amp;5+MIN(2,ROUNDDOWN(I2479,0))*3)*$J2479^3</f>
      </c>
      <c r="L2479" s="7">
        <f>INDIRECT("D$"&amp;2+MIN(2,ROUNDDOWN(I2479,0))*3)*(-$J2479^3+3*$J2479^2-3*$J2479+1)+INDIRECT("D$"&amp;3+MIN(2,ROUNDDOWN(I2479,0))*3)*(3*$J2479^3-6*$J2479^2+3*$J2479)+INDIRECT("D$"&amp;4+MIN(2,ROUNDDOWN(I2479,0))*3)*(-3*$J2479^3+3*$J2479^2)+INDIRECT("D$"&amp;5+MIN(2,ROUNDDOWN(I2479,0))*3)*$J2479^3</f>
      </c>
      <c r="M2479" s="7">
        <f>SQRT(K2479^2+L2479^2)</f>
      </c>
      <c r="N2479" s="7">
        <f>(K2480-K2478)</f>
      </c>
      <c r="O2479" s="7">
        <f>+(L2480-L2478)</f>
      </c>
      <c r="P2479" s="7">
        <f>SQRT(O2479^2+N2479^2)</f>
      </c>
      <c r="Q2479" s="7">
        <f>N2479/$P2479</f>
      </c>
      <c r="R2479" s="7">
        <f>O2479/$P2479</f>
      </c>
      <c r="S2479" s="8">
        <f>Q2479^2+R2479^2</f>
      </c>
      <c r="T2479" s="7">
        <f>-R2479</f>
      </c>
      <c r="U2479" s="7">
        <f>Q2479</f>
      </c>
      <c r="V2479" s="7">
        <f>($C$14+($C$15-$C$14)/($D$15-$D$14)*(I2479-$D$14))/2</f>
      </c>
      <c r="W2479" s="7">
        <f>($B$22*I2479^4+$C$22*I2479^3+$D$22*I2479^2+$E$22*I2479+$F$22)/2</f>
      </c>
      <c r="X2479" s="7">
        <f>($W2479)*(T2479)</f>
      </c>
      <c r="Y2479" s="7">
        <f>($W2479)*(U2479)</f>
      </c>
      <c r="Z2479" s="7">
        <f>SQRT(X2479^2+Y2479^2)</f>
      </c>
      <c r="AA2479" s="7">
        <f>$K2479+$X2479</f>
      </c>
      <c r="AB2479" s="7">
        <f>$L2479+$Y2479</f>
      </c>
      <c r="AC2479" s="7">
        <f>$K2479-$X2479</f>
      </c>
      <c r="AD2479" s="7">
        <f>$L2479-$Y2479</f>
      </c>
      <c r="AE2479" s="7">
        <f>AA2479/39.3701</f>
      </c>
      <c r="AF2479" s="7">
        <f>AB2479/39.3701</f>
      </c>
      <c r="AG2479" s="7">
        <f>AC2479/39.3701</f>
      </c>
      <c r="AH2479" s="7">
        <f>AD2479/39.3701</f>
      </c>
      <c r="AI2479" s="1"/>
      <c r="AJ2479" s="1"/>
      <c r="AK2479" s="1"/>
      <c r="AL2479" s="1"/>
      <c r="AM2479" s="2"/>
      <c r="AN2479" s="1"/>
      <c r="AO2479" s="1"/>
      <c r="AP2479" s="1"/>
      <c r="AQ2479" s="1"/>
      <c r="AR2479" s="1"/>
      <c r="AS2479" s="1"/>
      <c r="AT2479" s="1"/>
      <c r="AU2479" s="1"/>
      <c r="AV2479" s="1"/>
      <c r="AW2479" s="1"/>
      <c r="AX2479" s="1"/>
      <c r="AY2479" s="1"/>
      <c r="AZ2479" s="1"/>
      <c r="BA2479" s="1"/>
      <c r="BB2479" s="1"/>
      <c r="BC2479" s="1"/>
      <c r="BD2479" s="1"/>
      <c r="BE2479" s="1"/>
    </row>
    <row x14ac:dyDescent="0.25" r="2480" customHeight="1" ht="18.75">
      <c r="A2480" s="1"/>
      <c r="B2480" s="2"/>
      <c r="C2480" s="2"/>
      <c r="D2480" s="2"/>
      <c r="E2480" s="2"/>
      <c r="F2480" s="2"/>
      <c r="G2480" s="1"/>
      <c r="H2480" s="1"/>
      <c r="I2480" s="7">
        <v>2.477</v>
      </c>
      <c r="J2480" s="7">
        <f>IF((I2480-ROUNDDOWN(I2480,0))=0, 0, (I2480-ROUNDDOWN(I2480,0)))</f>
      </c>
      <c r="K2480" s="7">
        <f>INDIRECT("C$"&amp;2+MIN(2,ROUNDDOWN(I2480,0))*3)*(-$J2480^3+3*$J2480^2-3*$J2480+1)+INDIRECT("C$"&amp;3+MIN(2,ROUNDDOWN(I2480,0))*3)*(3*$J2480^3-6*$J2480^2+3*$J2480)+INDIRECT("C$"&amp;4+MIN(2,ROUNDDOWN(I2480,0))*3)*(-3*$J2480^3+3*$J2480^2)+INDIRECT("C$"&amp;5+MIN(2,ROUNDDOWN(I2480,0))*3)*$J2480^3</f>
      </c>
      <c r="L2480" s="7">
        <f>INDIRECT("D$"&amp;2+MIN(2,ROUNDDOWN(I2480,0))*3)*(-$J2480^3+3*$J2480^2-3*$J2480+1)+INDIRECT("D$"&amp;3+MIN(2,ROUNDDOWN(I2480,0))*3)*(3*$J2480^3-6*$J2480^2+3*$J2480)+INDIRECT("D$"&amp;4+MIN(2,ROUNDDOWN(I2480,0))*3)*(-3*$J2480^3+3*$J2480^2)+INDIRECT("D$"&amp;5+MIN(2,ROUNDDOWN(I2480,0))*3)*$J2480^3</f>
      </c>
      <c r="M2480" s="7">
        <f>SQRT(K2480^2+L2480^2)</f>
      </c>
      <c r="N2480" s="7">
        <f>(K2481-K2479)</f>
      </c>
      <c r="O2480" s="7">
        <f>+(L2481-L2479)</f>
      </c>
      <c r="P2480" s="7">
        <f>SQRT(O2480^2+N2480^2)</f>
      </c>
      <c r="Q2480" s="7">
        <f>N2480/$P2480</f>
      </c>
      <c r="R2480" s="7">
        <f>O2480/$P2480</f>
      </c>
      <c r="S2480" s="8">
        <f>Q2480^2+R2480^2</f>
      </c>
      <c r="T2480" s="7">
        <f>-R2480</f>
      </c>
      <c r="U2480" s="7">
        <f>Q2480</f>
      </c>
      <c r="V2480" s="7">
        <f>($C$14+($C$15-$C$14)/($D$15-$D$14)*(I2480-$D$14))/2</f>
      </c>
      <c r="W2480" s="7">
        <f>($B$22*I2480^4+$C$22*I2480^3+$D$22*I2480^2+$E$22*I2480+$F$22)/2</f>
      </c>
      <c r="X2480" s="7">
        <f>($W2480)*(T2480)</f>
      </c>
      <c r="Y2480" s="7">
        <f>($W2480)*(U2480)</f>
      </c>
      <c r="Z2480" s="7">
        <f>SQRT(X2480^2+Y2480^2)</f>
      </c>
      <c r="AA2480" s="7">
        <f>$K2480+$X2480</f>
      </c>
      <c r="AB2480" s="7">
        <f>$L2480+$Y2480</f>
      </c>
      <c r="AC2480" s="7">
        <f>$K2480-$X2480</f>
      </c>
      <c r="AD2480" s="7">
        <f>$L2480-$Y2480</f>
      </c>
      <c r="AE2480" s="7">
        <f>AA2480/39.3701</f>
      </c>
      <c r="AF2480" s="7">
        <f>AB2480/39.3701</f>
      </c>
      <c r="AG2480" s="7">
        <f>AC2480/39.3701</f>
      </c>
      <c r="AH2480" s="7">
        <f>AD2480/39.3701</f>
      </c>
      <c r="AI2480" s="1"/>
      <c r="AJ2480" s="1"/>
      <c r="AK2480" s="1"/>
      <c r="AL2480" s="1"/>
      <c r="AM2480" s="2"/>
      <c r="AN2480" s="1"/>
      <c r="AO2480" s="1"/>
      <c r="AP2480" s="1"/>
      <c r="AQ2480" s="1"/>
      <c r="AR2480" s="1"/>
      <c r="AS2480" s="1"/>
      <c r="AT2480" s="1"/>
      <c r="AU2480" s="1"/>
      <c r="AV2480" s="1"/>
      <c r="AW2480" s="1"/>
      <c r="AX2480" s="1"/>
      <c r="AY2480" s="1"/>
      <c r="AZ2480" s="1"/>
      <c r="BA2480" s="1"/>
      <c r="BB2480" s="1"/>
      <c r="BC2480" s="1"/>
      <c r="BD2480" s="1"/>
      <c r="BE2480" s="1"/>
    </row>
    <row x14ac:dyDescent="0.25" r="2481" customHeight="1" ht="18.75">
      <c r="A2481" s="1"/>
      <c r="B2481" s="2"/>
      <c r="C2481" s="2"/>
      <c r="D2481" s="2"/>
      <c r="E2481" s="2"/>
      <c r="F2481" s="2"/>
      <c r="G2481" s="1"/>
      <c r="H2481" s="1"/>
      <c r="I2481" s="7">
        <v>2.478</v>
      </c>
      <c r="J2481" s="7">
        <f>IF((I2481-ROUNDDOWN(I2481,0))=0, 0, (I2481-ROUNDDOWN(I2481,0)))</f>
      </c>
      <c r="K2481" s="7">
        <f>INDIRECT("C$"&amp;2+MIN(2,ROUNDDOWN(I2481,0))*3)*(-$J2481^3+3*$J2481^2-3*$J2481+1)+INDIRECT("C$"&amp;3+MIN(2,ROUNDDOWN(I2481,0))*3)*(3*$J2481^3-6*$J2481^2+3*$J2481)+INDIRECT("C$"&amp;4+MIN(2,ROUNDDOWN(I2481,0))*3)*(-3*$J2481^3+3*$J2481^2)+INDIRECT("C$"&amp;5+MIN(2,ROUNDDOWN(I2481,0))*3)*$J2481^3</f>
      </c>
      <c r="L2481" s="7">
        <f>INDIRECT("D$"&amp;2+MIN(2,ROUNDDOWN(I2481,0))*3)*(-$J2481^3+3*$J2481^2-3*$J2481+1)+INDIRECT("D$"&amp;3+MIN(2,ROUNDDOWN(I2481,0))*3)*(3*$J2481^3-6*$J2481^2+3*$J2481)+INDIRECT("D$"&amp;4+MIN(2,ROUNDDOWN(I2481,0))*3)*(-3*$J2481^3+3*$J2481^2)+INDIRECT("D$"&amp;5+MIN(2,ROUNDDOWN(I2481,0))*3)*$J2481^3</f>
      </c>
      <c r="M2481" s="7">
        <f>SQRT(K2481^2+L2481^2)</f>
      </c>
      <c r="N2481" s="7">
        <f>(K2482-K2480)</f>
      </c>
      <c r="O2481" s="7">
        <f>+(L2482-L2480)</f>
      </c>
      <c r="P2481" s="7">
        <f>SQRT(O2481^2+N2481^2)</f>
      </c>
      <c r="Q2481" s="7">
        <f>N2481/$P2481</f>
      </c>
      <c r="R2481" s="7">
        <f>O2481/$P2481</f>
      </c>
      <c r="S2481" s="8">
        <f>Q2481^2+R2481^2</f>
      </c>
      <c r="T2481" s="7">
        <f>-R2481</f>
      </c>
      <c r="U2481" s="7">
        <f>Q2481</f>
      </c>
      <c r="V2481" s="7">
        <f>($C$14+($C$15-$C$14)/($D$15-$D$14)*(I2481-$D$14))/2</f>
      </c>
      <c r="W2481" s="7">
        <f>($B$22*I2481^4+$C$22*I2481^3+$D$22*I2481^2+$E$22*I2481+$F$22)/2</f>
      </c>
      <c r="X2481" s="7">
        <f>($W2481)*(T2481)</f>
      </c>
      <c r="Y2481" s="7">
        <f>($W2481)*(U2481)</f>
      </c>
      <c r="Z2481" s="7">
        <f>SQRT(X2481^2+Y2481^2)</f>
      </c>
      <c r="AA2481" s="7">
        <f>$K2481+$X2481</f>
      </c>
      <c r="AB2481" s="7">
        <f>$L2481+$Y2481</f>
      </c>
      <c r="AC2481" s="7">
        <f>$K2481-$X2481</f>
      </c>
      <c r="AD2481" s="7">
        <f>$L2481-$Y2481</f>
      </c>
      <c r="AE2481" s="7">
        <f>AA2481/39.3701</f>
      </c>
      <c r="AF2481" s="7">
        <f>AB2481/39.3701</f>
      </c>
      <c r="AG2481" s="7">
        <f>AC2481/39.3701</f>
      </c>
      <c r="AH2481" s="7">
        <f>AD2481/39.3701</f>
      </c>
      <c r="AI2481" s="1"/>
      <c r="AJ2481" s="1"/>
      <c r="AK2481" s="1"/>
      <c r="AL2481" s="1"/>
      <c r="AM2481" s="2"/>
      <c r="AN2481" s="1"/>
      <c r="AO2481" s="1"/>
      <c r="AP2481" s="1"/>
      <c r="AQ2481" s="1"/>
      <c r="AR2481" s="1"/>
      <c r="AS2481" s="1"/>
      <c r="AT2481" s="1"/>
      <c r="AU2481" s="1"/>
      <c r="AV2481" s="1"/>
      <c r="AW2481" s="1"/>
      <c r="AX2481" s="1"/>
      <c r="AY2481" s="1"/>
      <c r="AZ2481" s="1"/>
      <c r="BA2481" s="1"/>
      <c r="BB2481" s="1"/>
      <c r="BC2481" s="1"/>
      <c r="BD2481" s="1"/>
      <c r="BE2481" s="1"/>
    </row>
    <row x14ac:dyDescent="0.25" r="2482" customHeight="1" ht="18.75">
      <c r="A2482" s="1"/>
      <c r="B2482" s="2"/>
      <c r="C2482" s="2"/>
      <c r="D2482" s="2"/>
      <c r="E2482" s="2"/>
      <c r="F2482" s="2"/>
      <c r="G2482" s="1"/>
      <c r="H2482" s="1"/>
      <c r="I2482" s="7">
        <v>2.479</v>
      </c>
      <c r="J2482" s="7">
        <f>IF((I2482-ROUNDDOWN(I2482,0))=0, 0, (I2482-ROUNDDOWN(I2482,0)))</f>
      </c>
      <c r="K2482" s="7">
        <f>INDIRECT("C$"&amp;2+MIN(2,ROUNDDOWN(I2482,0))*3)*(-$J2482^3+3*$J2482^2-3*$J2482+1)+INDIRECT("C$"&amp;3+MIN(2,ROUNDDOWN(I2482,0))*3)*(3*$J2482^3-6*$J2482^2+3*$J2482)+INDIRECT("C$"&amp;4+MIN(2,ROUNDDOWN(I2482,0))*3)*(-3*$J2482^3+3*$J2482^2)+INDIRECT("C$"&amp;5+MIN(2,ROUNDDOWN(I2482,0))*3)*$J2482^3</f>
      </c>
      <c r="L2482" s="7">
        <f>INDIRECT("D$"&amp;2+MIN(2,ROUNDDOWN(I2482,0))*3)*(-$J2482^3+3*$J2482^2-3*$J2482+1)+INDIRECT("D$"&amp;3+MIN(2,ROUNDDOWN(I2482,0))*3)*(3*$J2482^3-6*$J2482^2+3*$J2482)+INDIRECT("D$"&amp;4+MIN(2,ROUNDDOWN(I2482,0))*3)*(-3*$J2482^3+3*$J2482^2)+INDIRECT("D$"&amp;5+MIN(2,ROUNDDOWN(I2482,0))*3)*$J2482^3</f>
      </c>
      <c r="M2482" s="7">
        <f>SQRT(K2482^2+L2482^2)</f>
      </c>
      <c r="N2482" s="7">
        <f>(K2483-K2481)</f>
      </c>
      <c r="O2482" s="7">
        <f>+(L2483-L2481)</f>
      </c>
      <c r="P2482" s="7">
        <f>SQRT(O2482^2+N2482^2)</f>
      </c>
      <c r="Q2482" s="7">
        <f>N2482/$P2482</f>
      </c>
      <c r="R2482" s="7">
        <f>O2482/$P2482</f>
      </c>
      <c r="S2482" s="8">
        <f>Q2482^2+R2482^2</f>
      </c>
      <c r="T2482" s="7">
        <f>-R2482</f>
      </c>
      <c r="U2482" s="7">
        <f>Q2482</f>
      </c>
      <c r="V2482" s="7">
        <f>($C$14+($C$15-$C$14)/($D$15-$D$14)*(I2482-$D$14))/2</f>
      </c>
      <c r="W2482" s="7">
        <f>($B$22*I2482^4+$C$22*I2482^3+$D$22*I2482^2+$E$22*I2482+$F$22)/2</f>
      </c>
      <c r="X2482" s="7">
        <f>($W2482)*(T2482)</f>
      </c>
      <c r="Y2482" s="7">
        <f>($W2482)*(U2482)</f>
      </c>
      <c r="Z2482" s="7">
        <f>SQRT(X2482^2+Y2482^2)</f>
      </c>
      <c r="AA2482" s="7">
        <f>$K2482+$X2482</f>
      </c>
      <c r="AB2482" s="7">
        <f>$L2482+$Y2482</f>
      </c>
      <c r="AC2482" s="7">
        <f>$K2482-$X2482</f>
      </c>
      <c r="AD2482" s="7">
        <f>$L2482-$Y2482</f>
      </c>
      <c r="AE2482" s="7">
        <f>AA2482/39.3701</f>
      </c>
      <c r="AF2482" s="7">
        <f>AB2482/39.3701</f>
      </c>
      <c r="AG2482" s="7">
        <f>AC2482/39.3701</f>
      </c>
      <c r="AH2482" s="7">
        <f>AD2482/39.3701</f>
      </c>
      <c r="AI2482" s="1"/>
      <c r="AJ2482" s="1"/>
      <c r="AK2482" s="1"/>
      <c r="AL2482" s="1"/>
      <c r="AM2482" s="2"/>
      <c r="AN2482" s="1"/>
      <c r="AO2482" s="1"/>
      <c r="AP2482" s="1"/>
      <c r="AQ2482" s="1"/>
      <c r="AR2482" s="1"/>
      <c r="AS2482" s="1"/>
      <c r="AT2482" s="1"/>
      <c r="AU2482" s="1"/>
      <c r="AV2482" s="1"/>
      <c r="AW2482" s="1"/>
      <c r="AX2482" s="1"/>
      <c r="AY2482" s="1"/>
      <c r="AZ2482" s="1"/>
      <c r="BA2482" s="1"/>
      <c r="BB2482" s="1"/>
      <c r="BC2482" s="1"/>
      <c r="BD2482" s="1"/>
      <c r="BE2482" s="1"/>
    </row>
    <row x14ac:dyDescent="0.25" r="2483" customHeight="1" ht="18.75">
      <c r="A2483" s="1"/>
      <c r="B2483" s="2"/>
      <c r="C2483" s="2"/>
      <c r="D2483" s="2"/>
      <c r="E2483" s="2"/>
      <c r="F2483" s="2"/>
      <c r="G2483" s="1"/>
      <c r="H2483" s="1"/>
      <c r="I2483" s="7">
        <v>2.48</v>
      </c>
      <c r="J2483" s="7">
        <f>IF((I2483-ROUNDDOWN(I2483,0))=0, 0, (I2483-ROUNDDOWN(I2483,0)))</f>
      </c>
      <c r="K2483" s="7">
        <f>INDIRECT("C$"&amp;2+MIN(2,ROUNDDOWN(I2483,0))*3)*(-$J2483^3+3*$J2483^2-3*$J2483+1)+INDIRECT("C$"&amp;3+MIN(2,ROUNDDOWN(I2483,0))*3)*(3*$J2483^3-6*$J2483^2+3*$J2483)+INDIRECT("C$"&amp;4+MIN(2,ROUNDDOWN(I2483,0))*3)*(-3*$J2483^3+3*$J2483^2)+INDIRECT("C$"&amp;5+MIN(2,ROUNDDOWN(I2483,0))*3)*$J2483^3</f>
      </c>
      <c r="L2483" s="7">
        <f>INDIRECT("D$"&amp;2+MIN(2,ROUNDDOWN(I2483,0))*3)*(-$J2483^3+3*$J2483^2-3*$J2483+1)+INDIRECT("D$"&amp;3+MIN(2,ROUNDDOWN(I2483,0))*3)*(3*$J2483^3-6*$J2483^2+3*$J2483)+INDIRECT("D$"&amp;4+MIN(2,ROUNDDOWN(I2483,0))*3)*(-3*$J2483^3+3*$J2483^2)+INDIRECT("D$"&amp;5+MIN(2,ROUNDDOWN(I2483,0))*3)*$J2483^3</f>
      </c>
      <c r="M2483" s="7">
        <f>SQRT(K2483^2+L2483^2)</f>
      </c>
      <c r="N2483" s="7">
        <f>(K2484-K2482)</f>
      </c>
      <c r="O2483" s="7">
        <f>+(L2484-L2482)</f>
      </c>
      <c r="P2483" s="7">
        <f>SQRT(O2483^2+N2483^2)</f>
      </c>
      <c r="Q2483" s="7">
        <f>N2483/$P2483</f>
      </c>
      <c r="R2483" s="7">
        <f>O2483/$P2483</f>
      </c>
      <c r="S2483" s="8">
        <f>Q2483^2+R2483^2</f>
      </c>
      <c r="T2483" s="7">
        <f>-R2483</f>
      </c>
      <c r="U2483" s="7">
        <f>Q2483</f>
      </c>
      <c r="V2483" s="7">
        <f>($C$14+($C$15-$C$14)/($D$15-$D$14)*(I2483-$D$14))/2</f>
      </c>
      <c r="W2483" s="7">
        <f>($B$22*I2483^4+$C$22*I2483^3+$D$22*I2483^2+$E$22*I2483+$F$22)/2</f>
      </c>
      <c r="X2483" s="7">
        <f>($W2483)*(T2483)</f>
      </c>
      <c r="Y2483" s="7">
        <f>($W2483)*(U2483)</f>
      </c>
      <c r="Z2483" s="7">
        <f>SQRT(X2483^2+Y2483^2)</f>
      </c>
      <c r="AA2483" s="7">
        <f>$K2483+$X2483</f>
      </c>
      <c r="AB2483" s="7">
        <f>$L2483+$Y2483</f>
      </c>
      <c r="AC2483" s="7">
        <f>$K2483-$X2483</f>
      </c>
      <c r="AD2483" s="7">
        <f>$L2483-$Y2483</f>
      </c>
      <c r="AE2483" s="7">
        <f>AA2483/39.3701</f>
      </c>
      <c r="AF2483" s="7">
        <f>AB2483/39.3701</f>
      </c>
      <c r="AG2483" s="7">
        <f>AC2483/39.3701</f>
      </c>
      <c r="AH2483" s="7">
        <f>AD2483/39.3701</f>
      </c>
      <c r="AI2483" s="1"/>
      <c r="AJ2483" s="1"/>
      <c r="AK2483" s="1"/>
      <c r="AL2483" s="1"/>
      <c r="AM2483" s="2"/>
      <c r="AN2483" s="1"/>
      <c r="AO2483" s="1"/>
      <c r="AP2483" s="1"/>
      <c r="AQ2483" s="1"/>
      <c r="AR2483" s="1"/>
      <c r="AS2483" s="1"/>
      <c r="AT2483" s="1"/>
      <c r="AU2483" s="1"/>
      <c r="AV2483" s="1"/>
      <c r="AW2483" s="1"/>
      <c r="AX2483" s="1"/>
      <c r="AY2483" s="1"/>
      <c r="AZ2483" s="1"/>
      <c r="BA2483" s="1"/>
      <c r="BB2483" s="1"/>
      <c r="BC2483" s="1"/>
      <c r="BD2483" s="1"/>
      <c r="BE2483" s="1"/>
    </row>
    <row x14ac:dyDescent="0.25" r="2484" customHeight="1" ht="18.75">
      <c r="A2484" s="1"/>
      <c r="B2484" s="2"/>
      <c r="C2484" s="2"/>
      <c r="D2484" s="2"/>
      <c r="E2484" s="2"/>
      <c r="F2484" s="2"/>
      <c r="G2484" s="1"/>
      <c r="H2484" s="1"/>
      <c r="I2484" s="7">
        <v>2.481</v>
      </c>
      <c r="J2484" s="7">
        <f>IF((I2484-ROUNDDOWN(I2484,0))=0, 0, (I2484-ROUNDDOWN(I2484,0)))</f>
      </c>
      <c r="K2484" s="7">
        <f>INDIRECT("C$"&amp;2+MIN(2,ROUNDDOWN(I2484,0))*3)*(-$J2484^3+3*$J2484^2-3*$J2484+1)+INDIRECT("C$"&amp;3+MIN(2,ROUNDDOWN(I2484,0))*3)*(3*$J2484^3-6*$J2484^2+3*$J2484)+INDIRECT("C$"&amp;4+MIN(2,ROUNDDOWN(I2484,0))*3)*(-3*$J2484^3+3*$J2484^2)+INDIRECT("C$"&amp;5+MIN(2,ROUNDDOWN(I2484,0))*3)*$J2484^3</f>
      </c>
      <c r="L2484" s="7">
        <f>INDIRECT("D$"&amp;2+MIN(2,ROUNDDOWN(I2484,0))*3)*(-$J2484^3+3*$J2484^2-3*$J2484+1)+INDIRECT("D$"&amp;3+MIN(2,ROUNDDOWN(I2484,0))*3)*(3*$J2484^3-6*$J2484^2+3*$J2484)+INDIRECT("D$"&amp;4+MIN(2,ROUNDDOWN(I2484,0))*3)*(-3*$J2484^3+3*$J2484^2)+INDIRECT("D$"&amp;5+MIN(2,ROUNDDOWN(I2484,0))*3)*$J2484^3</f>
      </c>
      <c r="M2484" s="7">
        <f>SQRT(K2484^2+L2484^2)</f>
      </c>
      <c r="N2484" s="7">
        <f>(K2485-K2483)</f>
      </c>
      <c r="O2484" s="7">
        <f>+(L2485-L2483)</f>
      </c>
      <c r="P2484" s="7">
        <f>SQRT(O2484^2+N2484^2)</f>
      </c>
      <c r="Q2484" s="7">
        <f>N2484/$P2484</f>
      </c>
      <c r="R2484" s="7">
        <f>O2484/$P2484</f>
      </c>
      <c r="S2484" s="7">
        <f>Q2484^2+R2484^2</f>
      </c>
      <c r="T2484" s="7">
        <f>-R2484</f>
      </c>
      <c r="U2484" s="7">
        <f>Q2484</f>
      </c>
      <c r="V2484" s="7">
        <f>($C$14+($C$15-$C$14)/($D$15-$D$14)*(I2484-$D$14))/2</f>
      </c>
      <c r="W2484" s="7">
        <f>($B$22*I2484^4+$C$22*I2484^3+$D$22*I2484^2+$E$22*I2484+$F$22)/2</f>
      </c>
      <c r="X2484" s="7">
        <f>($W2484)*(T2484)</f>
      </c>
      <c r="Y2484" s="7">
        <f>($W2484)*(U2484)</f>
      </c>
      <c r="Z2484" s="7">
        <f>SQRT(X2484^2+Y2484^2)</f>
      </c>
      <c r="AA2484" s="7">
        <f>$K2484+$X2484</f>
      </c>
      <c r="AB2484" s="7">
        <f>$L2484+$Y2484</f>
      </c>
      <c r="AC2484" s="7">
        <f>$K2484-$X2484</f>
      </c>
      <c r="AD2484" s="7">
        <f>$L2484-$Y2484</f>
      </c>
      <c r="AE2484" s="7">
        <f>AA2484/39.3701</f>
      </c>
      <c r="AF2484" s="7">
        <f>AB2484/39.3701</f>
      </c>
      <c r="AG2484" s="7">
        <f>AC2484/39.3701</f>
      </c>
      <c r="AH2484" s="7">
        <f>AD2484/39.3701</f>
      </c>
      <c r="AI2484" s="1"/>
      <c r="AJ2484" s="1"/>
      <c r="AK2484" s="1"/>
      <c r="AL2484" s="1"/>
      <c r="AM2484" s="2"/>
      <c r="AN2484" s="1"/>
      <c r="AO2484" s="1"/>
      <c r="AP2484" s="1"/>
      <c r="AQ2484" s="1"/>
      <c r="AR2484" s="1"/>
      <c r="AS2484" s="1"/>
      <c r="AT2484" s="1"/>
      <c r="AU2484" s="1"/>
      <c r="AV2484" s="1"/>
      <c r="AW2484" s="1"/>
      <c r="AX2484" s="1"/>
      <c r="AY2484" s="1"/>
      <c r="AZ2484" s="1"/>
      <c r="BA2484" s="1"/>
      <c r="BB2484" s="1"/>
      <c r="BC2484" s="1"/>
      <c r="BD2484" s="1"/>
      <c r="BE2484" s="1"/>
    </row>
    <row x14ac:dyDescent="0.25" r="2485" customHeight="1" ht="18.75">
      <c r="A2485" s="1"/>
      <c r="B2485" s="2"/>
      <c r="C2485" s="2"/>
      <c r="D2485" s="2"/>
      <c r="E2485" s="2"/>
      <c r="F2485" s="2"/>
      <c r="G2485" s="1"/>
      <c r="H2485" s="1"/>
      <c r="I2485" s="7">
        <v>2.482</v>
      </c>
      <c r="J2485" s="7">
        <f>IF((I2485-ROUNDDOWN(I2485,0))=0, 0, (I2485-ROUNDDOWN(I2485,0)))</f>
      </c>
      <c r="K2485" s="7">
        <f>INDIRECT("C$"&amp;2+MIN(2,ROUNDDOWN(I2485,0))*3)*(-$J2485^3+3*$J2485^2-3*$J2485+1)+INDIRECT("C$"&amp;3+MIN(2,ROUNDDOWN(I2485,0))*3)*(3*$J2485^3-6*$J2485^2+3*$J2485)+INDIRECT("C$"&amp;4+MIN(2,ROUNDDOWN(I2485,0))*3)*(-3*$J2485^3+3*$J2485^2)+INDIRECT("C$"&amp;5+MIN(2,ROUNDDOWN(I2485,0))*3)*$J2485^3</f>
      </c>
      <c r="L2485" s="7">
        <f>INDIRECT("D$"&amp;2+MIN(2,ROUNDDOWN(I2485,0))*3)*(-$J2485^3+3*$J2485^2-3*$J2485+1)+INDIRECT("D$"&amp;3+MIN(2,ROUNDDOWN(I2485,0))*3)*(3*$J2485^3-6*$J2485^2+3*$J2485)+INDIRECT("D$"&amp;4+MIN(2,ROUNDDOWN(I2485,0))*3)*(-3*$J2485^3+3*$J2485^2)+INDIRECT("D$"&amp;5+MIN(2,ROUNDDOWN(I2485,0))*3)*$J2485^3</f>
      </c>
      <c r="M2485" s="7">
        <f>SQRT(K2485^2+L2485^2)</f>
      </c>
      <c r="N2485" s="7">
        <f>(K2486-K2484)</f>
      </c>
      <c r="O2485" s="7">
        <f>+(L2486-L2484)</f>
      </c>
      <c r="P2485" s="7">
        <f>SQRT(O2485^2+N2485^2)</f>
      </c>
      <c r="Q2485" s="7">
        <f>N2485/$P2485</f>
      </c>
      <c r="R2485" s="7">
        <f>O2485/$P2485</f>
      </c>
      <c r="S2485" s="7">
        <f>Q2485^2+R2485^2</f>
      </c>
      <c r="T2485" s="7">
        <f>-R2485</f>
      </c>
      <c r="U2485" s="7">
        <f>Q2485</f>
      </c>
      <c r="V2485" s="7">
        <f>($C$14+($C$15-$C$14)/($D$15-$D$14)*(I2485-$D$14))/2</f>
      </c>
      <c r="W2485" s="7">
        <f>($B$22*I2485^4+$C$22*I2485^3+$D$22*I2485^2+$E$22*I2485+$F$22)/2</f>
      </c>
      <c r="X2485" s="7">
        <f>($W2485)*(T2485)</f>
      </c>
      <c r="Y2485" s="7">
        <f>($W2485)*(U2485)</f>
      </c>
      <c r="Z2485" s="7">
        <f>SQRT(X2485^2+Y2485^2)</f>
      </c>
      <c r="AA2485" s="7">
        <f>$K2485+$X2485</f>
      </c>
      <c r="AB2485" s="7">
        <f>$L2485+$Y2485</f>
      </c>
      <c r="AC2485" s="7">
        <f>$K2485-$X2485</f>
      </c>
      <c r="AD2485" s="7">
        <f>$L2485-$Y2485</f>
      </c>
      <c r="AE2485" s="7">
        <f>AA2485/39.3701</f>
      </c>
      <c r="AF2485" s="7">
        <f>AB2485/39.3701</f>
      </c>
      <c r="AG2485" s="7">
        <f>AC2485/39.3701</f>
      </c>
      <c r="AH2485" s="7">
        <f>AD2485/39.3701</f>
      </c>
      <c r="AI2485" s="1"/>
      <c r="AJ2485" s="1"/>
      <c r="AK2485" s="1"/>
      <c r="AL2485" s="1"/>
      <c r="AM2485" s="2"/>
      <c r="AN2485" s="1"/>
      <c r="AO2485" s="1"/>
      <c r="AP2485" s="1"/>
      <c r="AQ2485" s="1"/>
      <c r="AR2485" s="1"/>
      <c r="AS2485" s="1"/>
      <c r="AT2485" s="1"/>
      <c r="AU2485" s="1"/>
      <c r="AV2485" s="1"/>
      <c r="AW2485" s="1"/>
      <c r="AX2485" s="1"/>
      <c r="AY2485" s="1"/>
      <c r="AZ2485" s="1"/>
      <c r="BA2485" s="1"/>
      <c r="BB2485" s="1"/>
      <c r="BC2485" s="1"/>
      <c r="BD2485" s="1"/>
      <c r="BE2485" s="1"/>
    </row>
    <row x14ac:dyDescent="0.25" r="2486" customHeight="1" ht="18.75">
      <c r="A2486" s="1"/>
      <c r="B2486" s="2"/>
      <c r="C2486" s="2"/>
      <c r="D2486" s="2"/>
      <c r="E2486" s="2"/>
      <c r="F2486" s="2"/>
      <c r="G2486" s="1"/>
      <c r="H2486" s="1"/>
      <c r="I2486" s="7">
        <v>2.483</v>
      </c>
      <c r="J2486" s="7">
        <f>IF((I2486-ROUNDDOWN(I2486,0))=0, 0, (I2486-ROUNDDOWN(I2486,0)))</f>
      </c>
      <c r="K2486" s="7">
        <f>INDIRECT("C$"&amp;2+MIN(2,ROUNDDOWN(I2486,0))*3)*(-$J2486^3+3*$J2486^2-3*$J2486+1)+INDIRECT("C$"&amp;3+MIN(2,ROUNDDOWN(I2486,0))*3)*(3*$J2486^3-6*$J2486^2+3*$J2486)+INDIRECT("C$"&amp;4+MIN(2,ROUNDDOWN(I2486,0))*3)*(-3*$J2486^3+3*$J2486^2)+INDIRECT("C$"&amp;5+MIN(2,ROUNDDOWN(I2486,0))*3)*$J2486^3</f>
      </c>
      <c r="L2486" s="7">
        <f>INDIRECT("D$"&amp;2+MIN(2,ROUNDDOWN(I2486,0))*3)*(-$J2486^3+3*$J2486^2-3*$J2486+1)+INDIRECT("D$"&amp;3+MIN(2,ROUNDDOWN(I2486,0))*3)*(3*$J2486^3-6*$J2486^2+3*$J2486)+INDIRECT("D$"&amp;4+MIN(2,ROUNDDOWN(I2486,0))*3)*(-3*$J2486^3+3*$J2486^2)+INDIRECT("D$"&amp;5+MIN(2,ROUNDDOWN(I2486,0))*3)*$J2486^3</f>
      </c>
      <c r="M2486" s="7">
        <f>SQRT(K2486^2+L2486^2)</f>
      </c>
      <c r="N2486" s="7">
        <f>(K2487-K2485)</f>
      </c>
      <c r="O2486" s="7">
        <f>+(L2487-L2485)</f>
      </c>
      <c r="P2486" s="7">
        <f>SQRT(O2486^2+N2486^2)</f>
      </c>
      <c r="Q2486" s="7">
        <f>N2486/$P2486</f>
      </c>
      <c r="R2486" s="7">
        <f>O2486/$P2486</f>
      </c>
      <c r="S2486" s="7">
        <f>Q2486^2+R2486^2</f>
      </c>
      <c r="T2486" s="7">
        <f>-R2486</f>
      </c>
      <c r="U2486" s="7">
        <f>Q2486</f>
      </c>
      <c r="V2486" s="7">
        <f>($C$14+($C$15-$C$14)/($D$15-$D$14)*(I2486-$D$14))/2</f>
      </c>
      <c r="W2486" s="7">
        <f>($B$22*I2486^4+$C$22*I2486^3+$D$22*I2486^2+$E$22*I2486+$F$22)/2</f>
      </c>
      <c r="X2486" s="7">
        <f>($W2486)*(T2486)</f>
      </c>
      <c r="Y2486" s="7">
        <f>($W2486)*(U2486)</f>
      </c>
      <c r="Z2486" s="7">
        <f>SQRT(X2486^2+Y2486^2)</f>
      </c>
      <c r="AA2486" s="7">
        <f>$K2486+$X2486</f>
      </c>
      <c r="AB2486" s="7">
        <f>$L2486+$Y2486</f>
      </c>
      <c r="AC2486" s="7">
        <f>$K2486-$X2486</f>
      </c>
      <c r="AD2486" s="7">
        <f>$L2486-$Y2486</f>
      </c>
      <c r="AE2486" s="7">
        <f>AA2486/39.3701</f>
      </c>
      <c r="AF2486" s="7">
        <f>AB2486/39.3701</f>
      </c>
      <c r="AG2486" s="7">
        <f>AC2486/39.3701</f>
      </c>
      <c r="AH2486" s="7">
        <f>AD2486/39.3701</f>
      </c>
      <c r="AI2486" s="1"/>
      <c r="AJ2486" s="1"/>
      <c r="AK2486" s="1"/>
      <c r="AL2486" s="1"/>
      <c r="AM2486" s="2"/>
      <c r="AN2486" s="1"/>
      <c r="AO2486" s="1"/>
      <c r="AP2486" s="1"/>
      <c r="AQ2486" s="1"/>
      <c r="AR2486" s="1"/>
      <c r="AS2486" s="1"/>
      <c r="AT2486" s="1"/>
      <c r="AU2486" s="1"/>
      <c r="AV2486" s="1"/>
      <c r="AW2486" s="1"/>
      <c r="AX2486" s="1"/>
      <c r="AY2486" s="1"/>
      <c r="AZ2486" s="1"/>
      <c r="BA2486" s="1"/>
      <c r="BB2486" s="1"/>
      <c r="BC2486" s="1"/>
      <c r="BD2486" s="1"/>
      <c r="BE2486" s="1"/>
    </row>
    <row x14ac:dyDescent="0.25" r="2487" customHeight="1" ht="18.75">
      <c r="A2487" s="1"/>
      <c r="B2487" s="2"/>
      <c r="C2487" s="2"/>
      <c r="D2487" s="2"/>
      <c r="E2487" s="2"/>
      <c r="F2487" s="2"/>
      <c r="G2487" s="1"/>
      <c r="H2487" s="1"/>
      <c r="I2487" s="7">
        <v>2.484</v>
      </c>
      <c r="J2487" s="7">
        <f>IF((I2487-ROUNDDOWN(I2487,0))=0, 0, (I2487-ROUNDDOWN(I2487,0)))</f>
      </c>
      <c r="K2487" s="7">
        <f>INDIRECT("C$"&amp;2+MIN(2,ROUNDDOWN(I2487,0))*3)*(-$J2487^3+3*$J2487^2-3*$J2487+1)+INDIRECT("C$"&amp;3+MIN(2,ROUNDDOWN(I2487,0))*3)*(3*$J2487^3-6*$J2487^2+3*$J2487)+INDIRECT("C$"&amp;4+MIN(2,ROUNDDOWN(I2487,0))*3)*(-3*$J2487^3+3*$J2487^2)+INDIRECT("C$"&amp;5+MIN(2,ROUNDDOWN(I2487,0))*3)*$J2487^3</f>
      </c>
      <c r="L2487" s="7">
        <f>INDIRECT("D$"&amp;2+MIN(2,ROUNDDOWN(I2487,0))*3)*(-$J2487^3+3*$J2487^2-3*$J2487+1)+INDIRECT("D$"&amp;3+MIN(2,ROUNDDOWN(I2487,0))*3)*(3*$J2487^3-6*$J2487^2+3*$J2487)+INDIRECT("D$"&amp;4+MIN(2,ROUNDDOWN(I2487,0))*3)*(-3*$J2487^3+3*$J2487^2)+INDIRECT("D$"&amp;5+MIN(2,ROUNDDOWN(I2487,0))*3)*$J2487^3</f>
      </c>
      <c r="M2487" s="7">
        <f>SQRT(K2487^2+L2487^2)</f>
      </c>
      <c r="N2487" s="7">
        <f>(K2488-K2486)</f>
      </c>
      <c r="O2487" s="7">
        <f>+(L2488-L2486)</f>
      </c>
      <c r="P2487" s="7">
        <f>SQRT(O2487^2+N2487^2)</f>
      </c>
      <c r="Q2487" s="7">
        <f>N2487/$P2487</f>
      </c>
      <c r="R2487" s="7">
        <f>O2487/$P2487</f>
      </c>
      <c r="S2487" s="8">
        <f>Q2487^2+R2487^2</f>
      </c>
      <c r="T2487" s="7">
        <f>-R2487</f>
      </c>
      <c r="U2487" s="7">
        <f>Q2487</f>
      </c>
      <c r="V2487" s="7">
        <f>($C$14+($C$15-$C$14)/($D$15-$D$14)*(I2487-$D$14))/2</f>
      </c>
      <c r="W2487" s="7">
        <f>($B$22*I2487^4+$C$22*I2487^3+$D$22*I2487^2+$E$22*I2487+$F$22)/2</f>
      </c>
      <c r="X2487" s="7">
        <f>($W2487)*(T2487)</f>
      </c>
      <c r="Y2487" s="7">
        <f>($W2487)*(U2487)</f>
      </c>
      <c r="Z2487" s="7">
        <f>SQRT(X2487^2+Y2487^2)</f>
      </c>
      <c r="AA2487" s="7">
        <f>$K2487+$X2487</f>
      </c>
      <c r="AB2487" s="7">
        <f>$L2487+$Y2487</f>
      </c>
      <c r="AC2487" s="7">
        <f>$K2487-$X2487</f>
      </c>
      <c r="AD2487" s="7">
        <f>$L2487-$Y2487</f>
      </c>
      <c r="AE2487" s="7">
        <f>AA2487/39.3701</f>
      </c>
      <c r="AF2487" s="7">
        <f>AB2487/39.3701</f>
      </c>
      <c r="AG2487" s="7">
        <f>AC2487/39.3701</f>
      </c>
      <c r="AH2487" s="7">
        <f>AD2487/39.3701</f>
      </c>
      <c r="AI2487" s="1"/>
      <c r="AJ2487" s="1"/>
      <c r="AK2487" s="1"/>
      <c r="AL2487" s="1"/>
      <c r="AM2487" s="2"/>
      <c r="AN2487" s="1"/>
      <c r="AO2487" s="1"/>
      <c r="AP2487" s="1"/>
      <c r="AQ2487" s="1"/>
      <c r="AR2487" s="1"/>
      <c r="AS2487" s="1"/>
      <c r="AT2487" s="1"/>
      <c r="AU2487" s="1"/>
      <c r="AV2487" s="1"/>
      <c r="AW2487" s="1"/>
      <c r="AX2487" s="1"/>
      <c r="AY2487" s="1"/>
      <c r="AZ2487" s="1"/>
      <c r="BA2487" s="1"/>
      <c r="BB2487" s="1"/>
      <c r="BC2487" s="1"/>
      <c r="BD2487" s="1"/>
      <c r="BE2487" s="1"/>
    </row>
    <row x14ac:dyDescent="0.25" r="2488" customHeight="1" ht="18.75">
      <c r="A2488" s="1"/>
      <c r="B2488" s="2"/>
      <c r="C2488" s="2"/>
      <c r="D2488" s="2"/>
      <c r="E2488" s="2"/>
      <c r="F2488" s="2"/>
      <c r="G2488" s="1"/>
      <c r="H2488" s="1"/>
      <c r="I2488" s="7">
        <v>2.485</v>
      </c>
      <c r="J2488" s="7">
        <f>IF((I2488-ROUNDDOWN(I2488,0))=0, 0, (I2488-ROUNDDOWN(I2488,0)))</f>
      </c>
      <c r="K2488" s="7">
        <f>INDIRECT("C$"&amp;2+MIN(2,ROUNDDOWN(I2488,0))*3)*(-$J2488^3+3*$J2488^2-3*$J2488+1)+INDIRECT("C$"&amp;3+MIN(2,ROUNDDOWN(I2488,0))*3)*(3*$J2488^3-6*$J2488^2+3*$J2488)+INDIRECT("C$"&amp;4+MIN(2,ROUNDDOWN(I2488,0))*3)*(-3*$J2488^3+3*$J2488^2)+INDIRECT("C$"&amp;5+MIN(2,ROUNDDOWN(I2488,0))*3)*$J2488^3</f>
      </c>
      <c r="L2488" s="7">
        <f>INDIRECT("D$"&amp;2+MIN(2,ROUNDDOWN(I2488,0))*3)*(-$J2488^3+3*$J2488^2-3*$J2488+1)+INDIRECT("D$"&amp;3+MIN(2,ROUNDDOWN(I2488,0))*3)*(3*$J2488^3-6*$J2488^2+3*$J2488)+INDIRECT("D$"&amp;4+MIN(2,ROUNDDOWN(I2488,0))*3)*(-3*$J2488^3+3*$J2488^2)+INDIRECT("D$"&amp;5+MIN(2,ROUNDDOWN(I2488,0))*3)*$J2488^3</f>
      </c>
      <c r="M2488" s="7">
        <f>SQRT(K2488^2+L2488^2)</f>
      </c>
      <c r="N2488" s="7">
        <f>(K2489-K2487)</f>
      </c>
      <c r="O2488" s="7">
        <f>+(L2489-L2487)</f>
      </c>
      <c r="P2488" s="7">
        <f>SQRT(O2488^2+N2488^2)</f>
      </c>
      <c r="Q2488" s="7">
        <f>N2488/$P2488</f>
      </c>
      <c r="R2488" s="7">
        <f>O2488/$P2488</f>
      </c>
      <c r="S2488" s="7">
        <f>Q2488^2+R2488^2</f>
      </c>
      <c r="T2488" s="7">
        <f>-R2488</f>
      </c>
      <c r="U2488" s="7">
        <f>Q2488</f>
      </c>
      <c r="V2488" s="7">
        <f>($C$14+($C$15-$C$14)/($D$15-$D$14)*(I2488-$D$14))/2</f>
      </c>
      <c r="W2488" s="7">
        <f>($B$22*I2488^4+$C$22*I2488^3+$D$22*I2488^2+$E$22*I2488+$F$22)/2</f>
      </c>
      <c r="X2488" s="7">
        <f>($W2488)*(T2488)</f>
      </c>
      <c r="Y2488" s="7">
        <f>($W2488)*(U2488)</f>
      </c>
      <c r="Z2488" s="7">
        <f>SQRT(X2488^2+Y2488^2)</f>
      </c>
      <c r="AA2488" s="7">
        <f>$K2488+$X2488</f>
      </c>
      <c r="AB2488" s="7">
        <f>$L2488+$Y2488</f>
      </c>
      <c r="AC2488" s="7">
        <f>$K2488-$X2488</f>
      </c>
      <c r="AD2488" s="7">
        <f>$L2488-$Y2488</f>
      </c>
      <c r="AE2488" s="7">
        <f>AA2488/39.3701</f>
      </c>
      <c r="AF2488" s="7">
        <f>AB2488/39.3701</f>
      </c>
      <c r="AG2488" s="7">
        <f>AC2488/39.3701</f>
      </c>
      <c r="AH2488" s="7">
        <f>AD2488/39.3701</f>
      </c>
      <c r="AI2488" s="1"/>
      <c r="AJ2488" s="1"/>
      <c r="AK2488" s="1"/>
      <c r="AL2488" s="1"/>
      <c r="AM2488" s="2"/>
      <c r="AN2488" s="1"/>
      <c r="AO2488" s="1"/>
      <c r="AP2488" s="1"/>
      <c r="AQ2488" s="1"/>
      <c r="AR2488" s="1"/>
      <c r="AS2488" s="1"/>
      <c r="AT2488" s="1"/>
      <c r="AU2488" s="1"/>
      <c r="AV2488" s="1"/>
      <c r="AW2488" s="1"/>
      <c r="AX2488" s="1"/>
      <c r="AY2488" s="1"/>
      <c r="AZ2488" s="1"/>
      <c r="BA2488" s="1"/>
      <c r="BB2488" s="1"/>
      <c r="BC2488" s="1"/>
      <c r="BD2488" s="1"/>
      <c r="BE2488" s="1"/>
    </row>
    <row x14ac:dyDescent="0.25" r="2489" customHeight="1" ht="18.75">
      <c r="A2489" s="1"/>
      <c r="B2489" s="2"/>
      <c r="C2489" s="2"/>
      <c r="D2489" s="2"/>
      <c r="E2489" s="2"/>
      <c r="F2489" s="2"/>
      <c r="G2489" s="1"/>
      <c r="H2489" s="1"/>
      <c r="I2489" s="7">
        <v>2.486</v>
      </c>
      <c r="J2489" s="7">
        <f>IF((I2489-ROUNDDOWN(I2489,0))=0, 0, (I2489-ROUNDDOWN(I2489,0)))</f>
      </c>
      <c r="K2489" s="7">
        <f>INDIRECT("C$"&amp;2+MIN(2,ROUNDDOWN(I2489,0))*3)*(-$J2489^3+3*$J2489^2-3*$J2489+1)+INDIRECT("C$"&amp;3+MIN(2,ROUNDDOWN(I2489,0))*3)*(3*$J2489^3-6*$J2489^2+3*$J2489)+INDIRECT("C$"&amp;4+MIN(2,ROUNDDOWN(I2489,0))*3)*(-3*$J2489^3+3*$J2489^2)+INDIRECT("C$"&amp;5+MIN(2,ROUNDDOWN(I2489,0))*3)*$J2489^3</f>
      </c>
      <c r="L2489" s="7">
        <f>INDIRECT("D$"&amp;2+MIN(2,ROUNDDOWN(I2489,0))*3)*(-$J2489^3+3*$J2489^2-3*$J2489+1)+INDIRECT("D$"&amp;3+MIN(2,ROUNDDOWN(I2489,0))*3)*(3*$J2489^3-6*$J2489^2+3*$J2489)+INDIRECT("D$"&amp;4+MIN(2,ROUNDDOWN(I2489,0))*3)*(-3*$J2489^3+3*$J2489^2)+INDIRECT("D$"&amp;5+MIN(2,ROUNDDOWN(I2489,0))*3)*$J2489^3</f>
      </c>
      <c r="M2489" s="7">
        <f>SQRT(K2489^2+L2489^2)</f>
      </c>
      <c r="N2489" s="7">
        <f>(K2490-K2488)</f>
      </c>
      <c r="O2489" s="7">
        <f>+(L2490-L2488)</f>
      </c>
      <c r="P2489" s="7">
        <f>SQRT(O2489^2+N2489^2)</f>
      </c>
      <c r="Q2489" s="7">
        <f>N2489/$P2489</f>
      </c>
      <c r="R2489" s="7">
        <f>O2489/$P2489</f>
      </c>
      <c r="S2489" s="8">
        <f>Q2489^2+R2489^2</f>
      </c>
      <c r="T2489" s="7">
        <f>-R2489</f>
      </c>
      <c r="U2489" s="7">
        <f>Q2489</f>
      </c>
      <c r="V2489" s="7">
        <f>($C$14+($C$15-$C$14)/($D$15-$D$14)*(I2489-$D$14))/2</f>
      </c>
      <c r="W2489" s="7">
        <f>($B$22*I2489^4+$C$22*I2489^3+$D$22*I2489^2+$E$22*I2489+$F$22)/2</f>
      </c>
      <c r="X2489" s="7">
        <f>($W2489)*(T2489)</f>
      </c>
      <c r="Y2489" s="7">
        <f>($W2489)*(U2489)</f>
      </c>
      <c r="Z2489" s="7">
        <f>SQRT(X2489^2+Y2489^2)</f>
      </c>
      <c r="AA2489" s="7">
        <f>$K2489+$X2489</f>
      </c>
      <c r="AB2489" s="7">
        <f>$L2489+$Y2489</f>
      </c>
      <c r="AC2489" s="7">
        <f>$K2489-$X2489</f>
      </c>
      <c r="AD2489" s="7">
        <f>$L2489-$Y2489</f>
      </c>
      <c r="AE2489" s="7">
        <f>AA2489/39.3701</f>
      </c>
      <c r="AF2489" s="7">
        <f>AB2489/39.3701</f>
      </c>
      <c r="AG2489" s="7">
        <f>AC2489/39.3701</f>
      </c>
      <c r="AH2489" s="7">
        <f>AD2489/39.3701</f>
      </c>
      <c r="AI2489" s="1"/>
      <c r="AJ2489" s="1"/>
      <c r="AK2489" s="1"/>
      <c r="AL2489" s="1"/>
      <c r="AM2489" s="2"/>
      <c r="AN2489" s="1"/>
      <c r="AO2489" s="1"/>
      <c r="AP2489" s="1"/>
      <c r="AQ2489" s="1"/>
      <c r="AR2489" s="1"/>
      <c r="AS2489" s="1"/>
      <c r="AT2489" s="1"/>
      <c r="AU2489" s="1"/>
      <c r="AV2489" s="1"/>
      <c r="AW2489" s="1"/>
      <c r="AX2489" s="1"/>
      <c r="AY2489" s="1"/>
      <c r="AZ2489" s="1"/>
      <c r="BA2489" s="1"/>
      <c r="BB2489" s="1"/>
      <c r="BC2489" s="1"/>
      <c r="BD2489" s="1"/>
      <c r="BE2489" s="1"/>
    </row>
    <row x14ac:dyDescent="0.25" r="2490" customHeight="1" ht="18.75">
      <c r="A2490" s="1"/>
      <c r="B2490" s="2"/>
      <c r="C2490" s="2"/>
      <c r="D2490" s="2"/>
      <c r="E2490" s="2"/>
      <c r="F2490" s="2"/>
      <c r="G2490" s="1"/>
      <c r="H2490" s="1"/>
      <c r="I2490" s="7">
        <v>2.487</v>
      </c>
      <c r="J2490" s="7">
        <f>IF((I2490-ROUNDDOWN(I2490,0))=0, 0, (I2490-ROUNDDOWN(I2490,0)))</f>
      </c>
      <c r="K2490" s="7">
        <f>INDIRECT("C$"&amp;2+MIN(2,ROUNDDOWN(I2490,0))*3)*(-$J2490^3+3*$J2490^2-3*$J2490+1)+INDIRECT("C$"&amp;3+MIN(2,ROUNDDOWN(I2490,0))*3)*(3*$J2490^3-6*$J2490^2+3*$J2490)+INDIRECT("C$"&amp;4+MIN(2,ROUNDDOWN(I2490,0))*3)*(-3*$J2490^3+3*$J2490^2)+INDIRECT("C$"&amp;5+MIN(2,ROUNDDOWN(I2490,0))*3)*$J2490^3</f>
      </c>
      <c r="L2490" s="7">
        <f>INDIRECT("D$"&amp;2+MIN(2,ROUNDDOWN(I2490,0))*3)*(-$J2490^3+3*$J2490^2-3*$J2490+1)+INDIRECT("D$"&amp;3+MIN(2,ROUNDDOWN(I2490,0))*3)*(3*$J2490^3-6*$J2490^2+3*$J2490)+INDIRECT("D$"&amp;4+MIN(2,ROUNDDOWN(I2490,0))*3)*(-3*$J2490^3+3*$J2490^2)+INDIRECT("D$"&amp;5+MIN(2,ROUNDDOWN(I2490,0))*3)*$J2490^3</f>
      </c>
      <c r="M2490" s="7">
        <f>SQRT(K2490^2+L2490^2)</f>
      </c>
      <c r="N2490" s="7">
        <f>(K2491-K2489)</f>
      </c>
      <c r="O2490" s="7">
        <f>+(L2491-L2489)</f>
      </c>
      <c r="P2490" s="7">
        <f>SQRT(O2490^2+N2490^2)</f>
      </c>
      <c r="Q2490" s="7">
        <f>N2490/$P2490</f>
      </c>
      <c r="R2490" s="7">
        <f>O2490/$P2490</f>
      </c>
      <c r="S2490" s="7">
        <f>Q2490^2+R2490^2</f>
      </c>
      <c r="T2490" s="7">
        <f>-R2490</f>
      </c>
      <c r="U2490" s="7">
        <f>Q2490</f>
      </c>
      <c r="V2490" s="7">
        <f>($C$14+($C$15-$C$14)/($D$15-$D$14)*(I2490-$D$14))/2</f>
      </c>
      <c r="W2490" s="7">
        <f>($B$22*I2490^4+$C$22*I2490^3+$D$22*I2490^2+$E$22*I2490+$F$22)/2</f>
      </c>
      <c r="X2490" s="7">
        <f>($W2490)*(T2490)</f>
      </c>
      <c r="Y2490" s="7">
        <f>($W2490)*(U2490)</f>
      </c>
      <c r="Z2490" s="7">
        <f>SQRT(X2490^2+Y2490^2)</f>
      </c>
      <c r="AA2490" s="7">
        <f>$K2490+$X2490</f>
      </c>
      <c r="AB2490" s="7">
        <f>$L2490+$Y2490</f>
      </c>
      <c r="AC2490" s="7">
        <f>$K2490-$X2490</f>
      </c>
      <c r="AD2490" s="7">
        <f>$L2490-$Y2490</f>
      </c>
      <c r="AE2490" s="7">
        <f>AA2490/39.3701</f>
      </c>
      <c r="AF2490" s="7">
        <f>AB2490/39.3701</f>
      </c>
      <c r="AG2490" s="7">
        <f>AC2490/39.3701</f>
      </c>
      <c r="AH2490" s="7">
        <f>AD2490/39.3701</f>
      </c>
      <c r="AI2490" s="1"/>
      <c r="AJ2490" s="1"/>
      <c r="AK2490" s="1"/>
      <c r="AL2490" s="1"/>
      <c r="AM2490" s="2"/>
      <c r="AN2490" s="1"/>
      <c r="AO2490" s="1"/>
      <c r="AP2490" s="1"/>
      <c r="AQ2490" s="1"/>
      <c r="AR2490" s="1"/>
      <c r="AS2490" s="1"/>
      <c r="AT2490" s="1"/>
      <c r="AU2490" s="1"/>
      <c r="AV2490" s="1"/>
      <c r="AW2490" s="1"/>
      <c r="AX2490" s="1"/>
      <c r="AY2490" s="1"/>
      <c r="AZ2490" s="1"/>
      <c r="BA2490" s="1"/>
      <c r="BB2490" s="1"/>
      <c r="BC2490" s="1"/>
      <c r="BD2490" s="1"/>
      <c r="BE2490" s="1"/>
    </row>
    <row x14ac:dyDescent="0.25" r="2491" customHeight="1" ht="18.75">
      <c r="A2491" s="1"/>
      <c r="B2491" s="2"/>
      <c r="C2491" s="2"/>
      <c r="D2491" s="2"/>
      <c r="E2491" s="2"/>
      <c r="F2491" s="2"/>
      <c r="G2491" s="1"/>
      <c r="H2491" s="1"/>
      <c r="I2491" s="7">
        <v>2.488</v>
      </c>
      <c r="J2491" s="7">
        <f>IF((I2491-ROUNDDOWN(I2491,0))=0, 0, (I2491-ROUNDDOWN(I2491,0)))</f>
      </c>
      <c r="K2491" s="7">
        <f>INDIRECT("C$"&amp;2+MIN(2,ROUNDDOWN(I2491,0))*3)*(-$J2491^3+3*$J2491^2-3*$J2491+1)+INDIRECT("C$"&amp;3+MIN(2,ROUNDDOWN(I2491,0))*3)*(3*$J2491^3-6*$J2491^2+3*$J2491)+INDIRECT("C$"&amp;4+MIN(2,ROUNDDOWN(I2491,0))*3)*(-3*$J2491^3+3*$J2491^2)+INDIRECT("C$"&amp;5+MIN(2,ROUNDDOWN(I2491,0))*3)*$J2491^3</f>
      </c>
      <c r="L2491" s="7">
        <f>INDIRECT("D$"&amp;2+MIN(2,ROUNDDOWN(I2491,0))*3)*(-$J2491^3+3*$J2491^2-3*$J2491+1)+INDIRECT("D$"&amp;3+MIN(2,ROUNDDOWN(I2491,0))*3)*(3*$J2491^3-6*$J2491^2+3*$J2491)+INDIRECT("D$"&amp;4+MIN(2,ROUNDDOWN(I2491,0))*3)*(-3*$J2491^3+3*$J2491^2)+INDIRECT("D$"&amp;5+MIN(2,ROUNDDOWN(I2491,0))*3)*$J2491^3</f>
      </c>
      <c r="M2491" s="7">
        <f>SQRT(K2491^2+L2491^2)</f>
      </c>
      <c r="N2491" s="7">
        <f>(K2492-K2490)</f>
      </c>
      <c r="O2491" s="7">
        <f>+(L2492-L2490)</f>
      </c>
      <c r="P2491" s="7">
        <f>SQRT(O2491^2+N2491^2)</f>
      </c>
      <c r="Q2491" s="7">
        <f>N2491/$P2491</f>
      </c>
      <c r="R2491" s="7">
        <f>O2491/$P2491</f>
      </c>
      <c r="S2491" s="8">
        <f>Q2491^2+R2491^2</f>
      </c>
      <c r="T2491" s="7">
        <f>-R2491</f>
      </c>
      <c r="U2491" s="7">
        <f>Q2491</f>
      </c>
      <c r="V2491" s="7">
        <f>($C$14+($C$15-$C$14)/($D$15-$D$14)*(I2491-$D$14))/2</f>
      </c>
      <c r="W2491" s="7">
        <f>($B$22*I2491^4+$C$22*I2491^3+$D$22*I2491^2+$E$22*I2491+$F$22)/2</f>
      </c>
      <c r="X2491" s="7">
        <f>($W2491)*(T2491)</f>
      </c>
      <c r="Y2491" s="7">
        <f>($W2491)*(U2491)</f>
      </c>
      <c r="Z2491" s="7">
        <f>SQRT(X2491^2+Y2491^2)</f>
      </c>
      <c r="AA2491" s="7">
        <f>$K2491+$X2491</f>
      </c>
      <c r="AB2491" s="7">
        <f>$L2491+$Y2491</f>
      </c>
      <c r="AC2491" s="7">
        <f>$K2491-$X2491</f>
      </c>
      <c r="AD2491" s="7">
        <f>$L2491-$Y2491</f>
      </c>
      <c r="AE2491" s="7">
        <f>AA2491/39.3701</f>
      </c>
      <c r="AF2491" s="7">
        <f>AB2491/39.3701</f>
      </c>
      <c r="AG2491" s="7">
        <f>AC2491/39.3701</f>
      </c>
      <c r="AH2491" s="7">
        <f>AD2491/39.3701</f>
      </c>
      <c r="AI2491" s="1"/>
      <c r="AJ2491" s="1"/>
      <c r="AK2491" s="1"/>
      <c r="AL2491" s="1"/>
      <c r="AM2491" s="2"/>
      <c r="AN2491" s="1"/>
      <c r="AO2491" s="1"/>
      <c r="AP2491" s="1"/>
      <c r="AQ2491" s="1"/>
      <c r="AR2491" s="1"/>
      <c r="AS2491" s="1"/>
      <c r="AT2491" s="1"/>
      <c r="AU2491" s="1"/>
      <c r="AV2491" s="1"/>
      <c r="AW2491" s="1"/>
      <c r="AX2491" s="1"/>
      <c r="AY2491" s="1"/>
      <c r="AZ2491" s="1"/>
      <c r="BA2491" s="1"/>
      <c r="BB2491" s="1"/>
      <c r="BC2491" s="1"/>
      <c r="BD2491" s="1"/>
      <c r="BE2491" s="1"/>
    </row>
    <row x14ac:dyDescent="0.25" r="2492" customHeight="1" ht="18.75">
      <c r="A2492" s="1"/>
      <c r="B2492" s="2"/>
      <c r="C2492" s="2"/>
      <c r="D2492" s="2"/>
      <c r="E2492" s="2"/>
      <c r="F2492" s="2"/>
      <c r="G2492" s="1"/>
      <c r="H2492" s="1"/>
      <c r="I2492" s="7">
        <v>2.489</v>
      </c>
      <c r="J2492" s="7">
        <f>IF((I2492-ROUNDDOWN(I2492,0))=0, 0, (I2492-ROUNDDOWN(I2492,0)))</f>
      </c>
      <c r="K2492" s="7">
        <f>INDIRECT("C$"&amp;2+MIN(2,ROUNDDOWN(I2492,0))*3)*(-$J2492^3+3*$J2492^2-3*$J2492+1)+INDIRECT("C$"&amp;3+MIN(2,ROUNDDOWN(I2492,0))*3)*(3*$J2492^3-6*$J2492^2+3*$J2492)+INDIRECT("C$"&amp;4+MIN(2,ROUNDDOWN(I2492,0))*3)*(-3*$J2492^3+3*$J2492^2)+INDIRECT("C$"&amp;5+MIN(2,ROUNDDOWN(I2492,0))*3)*$J2492^3</f>
      </c>
      <c r="L2492" s="7">
        <f>INDIRECT("D$"&amp;2+MIN(2,ROUNDDOWN(I2492,0))*3)*(-$J2492^3+3*$J2492^2-3*$J2492+1)+INDIRECT("D$"&amp;3+MIN(2,ROUNDDOWN(I2492,0))*3)*(3*$J2492^3-6*$J2492^2+3*$J2492)+INDIRECT("D$"&amp;4+MIN(2,ROUNDDOWN(I2492,0))*3)*(-3*$J2492^3+3*$J2492^2)+INDIRECT("D$"&amp;5+MIN(2,ROUNDDOWN(I2492,0))*3)*$J2492^3</f>
      </c>
      <c r="M2492" s="7">
        <f>SQRT(K2492^2+L2492^2)</f>
      </c>
      <c r="N2492" s="7">
        <f>(K2493-K2491)</f>
      </c>
      <c r="O2492" s="7">
        <f>+(L2493-L2491)</f>
      </c>
      <c r="P2492" s="7">
        <f>SQRT(O2492^2+N2492^2)</f>
      </c>
      <c r="Q2492" s="7">
        <f>N2492/$P2492</f>
      </c>
      <c r="R2492" s="7">
        <f>O2492/$P2492</f>
      </c>
      <c r="S2492" s="7">
        <f>Q2492^2+R2492^2</f>
      </c>
      <c r="T2492" s="7">
        <f>-R2492</f>
      </c>
      <c r="U2492" s="7">
        <f>Q2492</f>
      </c>
      <c r="V2492" s="7">
        <f>($C$14+($C$15-$C$14)/($D$15-$D$14)*(I2492-$D$14))/2</f>
      </c>
      <c r="W2492" s="7">
        <f>($B$22*I2492^4+$C$22*I2492^3+$D$22*I2492^2+$E$22*I2492+$F$22)/2</f>
      </c>
      <c r="X2492" s="7">
        <f>($W2492)*(T2492)</f>
      </c>
      <c r="Y2492" s="7">
        <f>($W2492)*(U2492)</f>
      </c>
      <c r="Z2492" s="7">
        <f>SQRT(X2492^2+Y2492^2)</f>
      </c>
      <c r="AA2492" s="7">
        <f>$K2492+$X2492</f>
      </c>
      <c r="AB2492" s="7">
        <f>$L2492+$Y2492</f>
      </c>
      <c r="AC2492" s="7">
        <f>$K2492-$X2492</f>
      </c>
      <c r="AD2492" s="7">
        <f>$L2492-$Y2492</f>
      </c>
      <c r="AE2492" s="7">
        <f>AA2492/39.3701</f>
      </c>
      <c r="AF2492" s="7">
        <f>AB2492/39.3701</f>
      </c>
      <c r="AG2492" s="7">
        <f>AC2492/39.3701</f>
      </c>
      <c r="AH2492" s="7">
        <f>AD2492/39.3701</f>
      </c>
      <c r="AI2492" s="1"/>
      <c r="AJ2492" s="1"/>
      <c r="AK2492" s="1"/>
      <c r="AL2492" s="1"/>
      <c r="AM2492" s="2"/>
      <c r="AN2492" s="1"/>
      <c r="AO2492" s="1"/>
      <c r="AP2492" s="1"/>
      <c r="AQ2492" s="1"/>
      <c r="AR2492" s="1"/>
      <c r="AS2492" s="1"/>
      <c r="AT2492" s="1"/>
      <c r="AU2492" s="1"/>
      <c r="AV2492" s="1"/>
      <c r="AW2492" s="1"/>
      <c r="AX2492" s="1"/>
      <c r="AY2492" s="1"/>
      <c r="AZ2492" s="1"/>
      <c r="BA2492" s="1"/>
      <c r="BB2492" s="1"/>
      <c r="BC2492" s="1"/>
      <c r="BD2492" s="1"/>
      <c r="BE2492" s="1"/>
    </row>
    <row x14ac:dyDescent="0.25" r="2493" customHeight="1" ht="18.75">
      <c r="A2493" s="1"/>
      <c r="B2493" s="2"/>
      <c r="C2493" s="2"/>
      <c r="D2493" s="2"/>
      <c r="E2493" s="2"/>
      <c r="F2493" s="2"/>
      <c r="G2493" s="1"/>
      <c r="H2493" s="1"/>
      <c r="I2493" s="7">
        <v>2.49</v>
      </c>
      <c r="J2493" s="7">
        <f>IF((I2493-ROUNDDOWN(I2493,0))=0, 0, (I2493-ROUNDDOWN(I2493,0)))</f>
      </c>
      <c r="K2493" s="7">
        <f>INDIRECT("C$"&amp;2+MIN(2,ROUNDDOWN(I2493,0))*3)*(-$J2493^3+3*$J2493^2-3*$J2493+1)+INDIRECT("C$"&amp;3+MIN(2,ROUNDDOWN(I2493,0))*3)*(3*$J2493^3-6*$J2493^2+3*$J2493)+INDIRECT("C$"&amp;4+MIN(2,ROUNDDOWN(I2493,0))*3)*(-3*$J2493^3+3*$J2493^2)+INDIRECT("C$"&amp;5+MIN(2,ROUNDDOWN(I2493,0))*3)*$J2493^3</f>
      </c>
      <c r="L2493" s="7">
        <f>INDIRECT("D$"&amp;2+MIN(2,ROUNDDOWN(I2493,0))*3)*(-$J2493^3+3*$J2493^2-3*$J2493+1)+INDIRECT("D$"&amp;3+MIN(2,ROUNDDOWN(I2493,0))*3)*(3*$J2493^3-6*$J2493^2+3*$J2493)+INDIRECT("D$"&amp;4+MIN(2,ROUNDDOWN(I2493,0))*3)*(-3*$J2493^3+3*$J2493^2)+INDIRECT("D$"&amp;5+MIN(2,ROUNDDOWN(I2493,0))*3)*$J2493^3</f>
      </c>
      <c r="M2493" s="7">
        <f>SQRT(K2493^2+L2493^2)</f>
      </c>
      <c r="N2493" s="7">
        <f>(K2494-K2492)</f>
      </c>
      <c r="O2493" s="7">
        <f>+(L2494-L2492)</f>
      </c>
      <c r="P2493" s="7">
        <f>SQRT(O2493^2+N2493^2)</f>
      </c>
      <c r="Q2493" s="7">
        <f>N2493/$P2493</f>
      </c>
      <c r="R2493" s="7">
        <f>O2493/$P2493</f>
      </c>
      <c r="S2493" s="8">
        <f>Q2493^2+R2493^2</f>
      </c>
      <c r="T2493" s="7">
        <f>-R2493</f>
      </c>
      <c r="U2493" s="7">
        <f>Q2493</f>
      </c>
      <c r="V2493" s="7">
        <f>($C$14+($C$15-$C$14)/($D$15-$D$14)*(I2493-$D$14))/2</f>
      </c>
      <c r="W2493" s="7">
        <f>($B$22*I2493^4+$C$22*I2493^3+$D$22*I2493^2+$E$22*I2493+$F$22)/2</f>
      </c>
      <c r="X2493" s="7">
        <f>($W2493)*(T2493)</f>
      </c>
      <c r="Y2493" s="7">
        <f>($W2493)*(U2493)</f>
      </c>
      <c r="Z2493" s="7">
        <f>SQRT(X2493^2+Y2493^2)</f>
      </c>
      <c r="AA2493" s="7">
        <f>$K2493+$X2493</f>
      </c>
      <c r="AB2493" s="7">
        <f>$L2493+$Y2493</f>
      </c>
      <c r="AC2493" s="7">
        <f>$K2493-$X2493</f>
      </c>
      <c r="AD2493" s="7">
        <f>$L2493-$Y2493</f>
      </c>
      <c r="AE2493" s="7">
        <f>AA2493/39.3701</f>
      </c>
      <c r="AF2493" s="7">
        <f>AB2493/39.3701</f>
      </c>
      <c r="AG2493" s="7">
        <f>AC2493/39.3701</f>
      </c>
      <c r="AH2493" s="7">
        <f>AD2493/39.3701</f>
      </c>
      <c r="AI2493" s="1"/>
      <c r="AJ2493" s="1"/>
      <c r="AK2493" s="1"/>
      <c r="AL2493" s="1"/>
      <c r="AM2493" s="2"/>
      <c r="AN2493" s="1"/>
      <c r="AO2493" s="1"/>
      <c r="AP2493" s="1"/>
      <c r="AQ2493" s="1"/>
      <c r="AR2493" s="1"/>
      <c r="AS2493" s="1"/>
      <c r="AT2493" s="1"/>
      <c r="AU2493" s="1"/>
      <c r="AV2493" s="1"/>
      <c r="AW2493" s="1"/>
      <c r="AX2493" s="1"/>
      <c r="AY2493" s="1"/>
      <c r="AZ2493" s="1"/>
      <c r="BA2493" s="1"/>
      <c r="BB2493" s="1"/>
      <c r="BC2493" s="1"/>
      <c r="BD2493" s="1"/>
      <c r="BE2493" s="1"/>
    </row>
    <row x14ac:dyDescent="0.25" r="2494" customHeight="1" ht="18.75">
      <c r="A2494" s="1"/>
      <c r="B2494" s="2"/>
      <c r="C2494" s="2"/>
      <c r="D2494" s="2"/>
      <c r="E2494" s="2"/>
      <c r="F2494" s="2"/>
      <c r="G2494" s="1"/>
      <c r="H2494" s="1"/>
      <c r="I2494" s="7">
        <v>2.491</v>
      </c>
      <c r="J2494" s="7">
        <f>IF((I2494-ROUNDDOWN(I2494,0))=0, 0, (I2494-ROUNDDOWN(I2494,0)))</f>
      </c>
      <c r="K2494" s="7">
        <f>INDIRECT("C$"&amp;2+MIN(2,ROUNDDOWN(I2494,0))*3)*(-$J2494^3+3*$J2494^2-3*$J2494+1)+INDIRECT("C$"&amp;3+MIN(2,ROUNDDOWN(I2494,0))*3)*(3*$J2494^3-6*$J2494^2+3*$J2494)+INDIRECT("C$"&amp;4+MIN(2,ROUNDDOWN(I2494,0))*3)*(-3*$J2494^3+3*$J2494^2)+INDIRECT("C$"&amp;5+MIN(2,ROUNDDOWN(I2494,0))*3)*$J2494^3</f>
      </c>
      <c r="L2494" s="7">
        <f>INDIRECT("D$"&amp;2+MIN(2,ROUNDDOWN(I2494,0))*3)*(-$J2494^3+3*$J2494^2-3*$J2494+1)+INDIRECT("D$"&amp;3+MIN(2,ROUNDDOWN(I2494,0))*3)*(3*$J2494^3-6*$J2494^2+3*$J2494)+INDIRECT("D$"&amp;4+MIN(2,ROUNDDOWN(I2494,0))*3)*(-3*$J2494^3+3*$J2494^2)+INDIRECT("D$"&amp;5+MIN(2,ROUNDDOWN(I2494,0))*3)*$J2494^3</f>
      </c>
      <c r="M2494" s="7">
        <f>SQRT(K2494^2+L2494^2)</f>
      </c>
      <c r="N2494" s="7">
        <f>(K2495-K2493)</f>
      </c>
      <c r="O2494" s="7">
        <f>+(L2495-L2493)</f>
      </c>
      <c r="P2494" s="7">
        <f>SQRT(O2494^2+N2494^2)</f>
      </c>
      <c r="Q2494" s="7">
        <f>N2494/$P2494</f>
      </c>
      <c r="R2494" s="7">
        <f>O2494/$P2494</f>
      </c>
      <c r="S2494" s="8">
        <f>Q2494^2+R2494^2</f>
      </c>
      <c r="T2494" s="7">
        <f>-R2494</f>
      </c>
      <c r="U2494" s="7">
        <f>Q2494</f>
      </c>
      <c r="V2494" s="7">
        <f>($C$14+($C$15-$C$14)/($D$15-$D$14)*(I2494-$D$14))/2</f>
      </c>
      <c r="W2494" s="7">
        <f>($B$22*I2494^4+$C$22*I2494^3+$D$22*I2494^2+$E$22*I2494+$F$22)/2</f>
      </c>
      <c r="X2494" s="7">
        <f>($W2494)*(T2494)</f>
      </c>
      <c r="Y2494" s="7">
        <f>($W2494)*(U2494)</f>
      </c>
      <c r="Z2494" s="7">
        <f>SQRT(X2494^2+Y2494^2)</f>
      </c>
      <c r="AA2494" s="7">
        <f>$K2494+$X2494</f>
      </c>
      <c r="AB2494" s="7">
        <f>$L2494+$Y2494</f>
      </c>
      <c r="AC2494" s="7">
        <f>$K2494-$X2494</f>
      </c>
      <c r="AD2494" s="7">
        <f>$L2494-$Y2494</f>
      </c>
      <c r="AE2494" s="7">
        <f>AA2494/39.3701</f>
      </c>
      <c r="AF2494" s="7">
        <f>AB2494/39.3701</f>
      </c>
      <c r="AG2494" s="7">
        <f>AC2494/39.3701</f>
      </c>
      <c r="AH2494" s="7">
        <f>AD2494/39.3701</f>
      </c>
      <c r="AI2494" s="1"/>
      <c r="AJ2494" s="1"/>
      <c r="AK2494" s="1"/>
      <c r="AL2494" s="1"/>
      <c r="AM2494" s="2"/>
      <c r="AN2494" s="1"/>
      <c r="AO2494" s="1"/>
      <c r="AP2494" s="1"/>
      <c r="AQ2494" s="1"/>
      <c r="AR2494" s="1"/>
      <c r="AS2494" s="1"/>
      <c r="AT2494" s="1"/>
      <c r="AU2494" s="1"/>
      <c r="AV2494" s="1"/>
      <c r="AW2494" s="1"/>
      <c r="AX2494" s="1"/>
      <c r="AY2494" s="1"/>
      <c r="AZ2494" s="1"/>
      <c r="BA2494" s="1"/>
      <c r="BB2494" s="1"/>
      <c r="BC2494" s="1"/>
      <c r="BD2494" s="1"/>
      <c r="BE2494" s="1"/>
    </row>
    <row x14ac:dyDescent="0.25" r="2495" customHeight="1" ht="18.75">
      <c r="A2495" s="1"/>
      <c r="B2495" s="2"/>
      <c r="C2495" s="2"/>
      <c r="D2495" s="2"/>
      <c r="E2495" s="2"/>
      <c r="F2495" s="2"/>
      <c r="G2495" s="1"/>
      <c r="H2495" s="1"/>
      <c r="I2495" s="7">
        <v>2.492</v>
      </c>
      <c r="J2495" s="7">
        <f>IF((I2495-ROUNDDOWN(I2495,0))=0, 0, (I2495-ROUNDDOWN(I2495,0)))</f>
      </c>
      <c r="K2495" s="7">
        <f>INDIRECT("C$"&amp;2+MIN(2,ROUNDDOWN(I2495,0))*3)*(-$J2495^3+3*$J2495^2-3*$J2495+1)+INDIRECT("C$"&amp;3+MIN(2,ROUNDDOWN(I2495,0))*3)*(3*$J2495^3-6*$J2495^2+3*$J2495)+INDIRECT("C$"&amp;4+MIN(2,ROUNDDOWN(I2495,0))*3)*(-3*$J2495^3+3*$J2495^2)+INDIRECT("C$"&amp;5+MIN(2,ROUNDDOWN(I2495,0))*3)*$J2495^3</f>
      </c>
      <c r="L2495" s="7">
        <f>INDIRECT("D$"&amp;2+MIN(2,ROUNDDOWN(I2495,0))*3)*(-$J2495^3+3*$J2495^2-3*$J2495+1)+INDIRECT("D$"&amp;3+MIN(2,ROUNDDOWN(I2495,0))*3)*(3*$J2495^3-6*$J2495^2+3*$J2495)+INDIRECT("D$"&amp;4+MIN(2,ROUNDDOWN(I2495,0))*3)*(-3*$J2495^3+3*$J2495^2)+INDIRECT("D$"&amp;5+MIN(2,ROUNDDOWN(I2495,0))*3)*$J2495^3</f>
      </c>
      <c r="M2495" s="7">
        <f>SQRT(K2495^2+L2495^2)</f>
      </c>
      <c r="N2495" s="7">
        <f>(K2496-K2494)</f>
      </c>
      <c r="O2495" s="7">
        <f>+(L2496-L2494)</f>
      </c>
      <c r="P2495" s="7">
        <f>SQRT(O2495^2+N2495^2)</f>
      </c>
      <c r="Q2495" s="7">
        <f>N2495/$P2495</f>
      </c>
      <c r="R2495" s="7">
        <f>O2495/$P2495</f>
      </c>
      <c r="S2495" s="8">
        <f>Q2495^2+R2495^2</f>
      </c>
      <c r="T2495" s="7">
        <f>-R2495</f>
      </c>
      <c r="U2495" s="7">
        <f>Q2495</f>
      </c>
      <c r="V2495" s="7">
        <f>($C$14+($C$15-$C$14)/($D$15-$D$14)*(I2495-$D$14))/2</f>
      </c>
      <c r="W2495" s="7">
        <f>($B$22*I2495^4+$C$22*I2495^3+$D$22*I2495^2+$E$22*I2495+$F$22)/2</f>
      </c>
      <c r="X2495" s="7">
        <f>($W2495)*(T2495)</f>
      </c>
      <c r="Y2495" s="7">
        <f>($W2495)*(U2495)</f>
      </c>
      <c r="Z2495" s="7">
        <f>SQRT(X2495^2+Y2495^2)</f>
      </c>
      <c r="AA2495" s="7">
        <f>$K2495+$X2495</f>
      </c>
      <c r="AB2495" s="7">
        <f>$L2495+$Y2495</f>
      </c>
      <c r="AC2495" s="7">
        <f>$K2495-$X2495</f>
      </c>
      <c r="AD2495" s="7">
        <f>$L2495-$Y2495</f>
      </c>
      <c r="AE2495" s="7">
        <f>AA2495/39.3701</f>
      </c>
      <c r="AF2495" s="7">
        <f>AB2495/39.3701</f>
      </c>
      <c r="AG2495" s="7">
        <f>AC2495/39.3701</f>
      </c>
      <c r="AH2495" s="7">
        <f>AD2495/39.3701</f>
      </c>
      <c r="AI2495" s="1"/>
      <c r="AJ2495" s="1"/>
      <c r="AK2495" s="1"/>
      <c r="AL2495" s="1"/>
      <c r="AM2495" s="2"/>
      <c r="AN2495" s="1"/>
      <c r="AO2495" s="1"/>
      <c r="AP2495" s="1"/>
      <c r="AQ2495" s="1"/>
      <c r="AR2495" s="1"/>
      <c r="AS2495" s="1"/>
      <c r="AT2495" s="1"/>
      <c r="AU2495" s="1"/>
      <c r="AV2495" s="1"/>
      <c r="AW2495" s="1"/>
      <c r="AX2495" s="1"/>
      <c r="AY2495" s="1"/>
      <c r="AZ2495" s="1"/>
      <c r="BA2495" s="1"/>
      <c r="BB2495" s="1"/>
      <c r="BC2495" s="1"/>
      <c r="BD2495" s="1"/>
      <c r="BE2495" s="1"/>
    </row>
    <row x14ac:dyDescent="0.25" r="2496" customHeight="1" ht="18.75">
      <c r="A2496" s="1"/>
      <c r="B2496" s="2"/>
      <c r="C2496" s="2"/>
      <c r="D2496" s="2"/>
      <c r="E2496" s="2"/>
      <c r="F2496" s="2"/>
      <c r="G2496" s="1"/>
      <c r="H2496" s="1"/>
      <c r="I2496" s="7">
        <v>2.493</v>
      </c>
      <c r="J2496" s="7">
        <f>IF((I2496-ROUNDDOWN(I2496,0))=0, 0, (I2496-ROUNDDOWN(I2496,0)))</f>
      </c>
      <c r="K2496" s="7">
        <f>INDIRECT("C$"&amp;2+MIN(2,ROUNDDOWN(I2496,0))*3)*(-$J2496^3+3*$J2496^2-3*$J2496+1)+INDIRECT("C$"&amp;3+MIN(2,ROUNDDOWN(I2496,0))*3)*(3*$J2496^3-6*$J2496^2+3*$J2496)+INDIRECT("C$"&amp;4+MIN(2,ROUNDDOWN(I2496,0))*3)*(-3*$J2496^3+3*$J2496^2)+INDIRECT("C$"&amp;5+MIN(2,ROUNDDOWN(I2496,0))*3)*$J2496^3</f>
      </c>
      <c r="L2496" s="7">
        <f>INDIRECT("D$"&amp;2+MIN(2,ROUNDDOWN(I2496,0))*3)*(-$J2496^3+3*$J2496^2-3*$J2496+1)+INDIRECT("D$"&amp;3+MIN(2,ROUNDDOWN(I2496,0))*3)*(3*$J2496^3-6*$J2496^2+3*$J2496)+INDIRECT("D$"&amp;4+MIN(2,ROUNDDOWN(I2496,0))*3)*(-3*$J2496^3+3*$J2496^2)+INDIRECT("D$"&amp;5+MIN(2,ROUNDDOWN(I2496,0))*3)*$J2496^3</f>
      </c>
      <c r="M2496" s="7">
        <f>SQRT(K2496^2+L2496^2)</f>
      </c>
      <c r="N2496" s="7">
        <f>(K2497-K2495)</f>
      </c>
      <c r="O2496" s="7">
        <f>+(L2497-L2495)</f>
      </c>
      <c r="P2496" s="7">
        <f>SQRT(O2496^2+N2496^2)</f>
      </c>
      <c r="Q2496" s="7">
        <f>N2496/$P2496</f>
      </c>
      <c r="R2496" s="7">
        <f>O2496/$P2496</f>
      </c>
      <c r="S2496" s="8">
        <f>Q2496^2+R2496^2</f>
      </c>
      <c r="T2496" s="7">
        <f>-R2496</f>
      </c>
      <c r="U2496" s="7">
        <f>Q2496</f>
      </c>
      <c r="V2496" s="7">
        <f>($C$14+($C$15-$C$14)/($D$15-$D$14)*(I2496-$D$14))/2</f>
      </c>
      <c r="W2496" s="7">
        <f>($B$22*I2496^4+$C$22*I2496^3+$D$22*I2496^2+$E$22*I2496+$F$22)/2</f>
      </c>
      <c r="X2496" s="7">
        <f>($W2496)*(T2496)</f>
      </c>
      <c r="Y2496" s="7">
        <f>($W2496)*(U2496)</f>
      </c>
      <c r="Z2496" s="7">
        <f>SQRT(X2496^2+Y2496^2)</f>
      </c>
      <c r="AA2496" s="7">
        <f>$K2496+$X2496</f>
      </c>
      <c r="AB2496" s="7">
        <f>$L2496+$Y2496</f>
      </c>
      <c r="AC2496" s="7">
        <f>$K2496-$X2496</f>
      </c>
      <c r="AD2496" s="7">
        <f>$L2496-$Y2496</f>
      </c>
      <c r="AE2496" s="7">
        <f>AA2496/39.3701</f>
      </c>
      <c r="AF2496" s="7">
        <f>AB2496/39.3701</f>
      </c>
      <c r="AG2496" s="7">
        <f>AC2496/39.3701</f>
      </c>
      <c r="AH2496" s="7">
        <f>AD2496/39.3701</f>
      </c>
      <c r="AI2496" s="1"/>
      <c r="AJ2496" s="1"/>
      <c r="AK2496" s="1"/>
      <c r="AL2496" s="1"/>
      <c r="AM2496" s="2"/>
      <c r="AN2496" s="1"/>
      <c r="AO2496" s="1"/>
      <c r="AP2496" s="1"/>
      <c r="AQ2496" s="1"/>
      <c r="AR2496" s="1"/>
      <c r="AS2496" s="1"/>
      <c r="AT2496" s="1"/>
      <c r="AU2496" s="1"/>
      <c r="AV2496" s="1"/>
      <c r="AW2496" s="1"/>
      <c r="AX2496" s="1"/>
      <c r="AY2496" s="1"/>
      <c r="AZ2496" s="1"/>
      <c r="BA2496" s="1"/>
      <c r="BB2496" s="1"/>
      <c r="BC2496" s="1"/>
      <c r="BD2496" s="1"/>
      <c r="BE2496" s="1"/>
    </row>
    <row x14ac:dyDescent="0.25" r="2497" customHeight="1" ht="18.75">
      <c r="A2497" s="1"/>
      <c r="B2497" s="2"/>
      <c r="C2497" s="2"/>
      <c r="D2497" s="2"/>
      <c r="E2497" s="2"/>
      <c r="F2497" s="2"/>
      <c r="G2497" s="1"/>
      <c r="H2497" s="1"/>
      <c r="I2497" s="7">
        <v>2.494</v>
      </c>
      <c r="J2497" s="7">
        <f>IF((I2497-ROUNDDOWN(I2497,0))=0, 0, (I2497-ROUNDDOWN(I2497,0)))</f>
      </c>
      <c r="K2497" s="7">
        <f>INDIRECT("C$"&amp;2+MIN(2,ROUNDDOWN(I2497,0))*3)*(-$J2497^3+3*$J2497^2-3*$J2497+1)+INDIRECT("C$"&amp;3+MIN(2,ROUNDDOWN(I2497,0))*3)*(3*$J2497^3-6*$J2497^2+3*$J2497)+INDIRECT("C$"&amp;4+MIN(2,ROUNDDOWN(I2497,0))*3)*(-3*$J2497^3+3*$J2497^2)+INDIRECT("C$"&amp;5+MIN(2,ROUNDDOWN(I2497,0))*3)*$J2497^3</f>
      </c>
      <c r="L2497" s="7">
        <f>INDIRECT("D$"&amp;2+MIN(2,ROUNDDOWN(I2497,0))*3)*(-$J2497^3+3*$J2497^2-3*$J2497+1)+INDIRECT("D$"&amp;3+MIN(2,ROUNDDOWN(I2497,0))*3)*(3*$J2497^3-6*$J2497^2+3*$J2497)+INDIRECT("D$"&amp;4+MIN(2,ROUNDDOWN(I2497,0))*3)*(-3*$J2497^3+3*$J2497^2)+INDIRECT("D$"&amp;5+MIN(2,ROUNDDOWN(I2497,0))*3)*$J2497^3</f>
      </c>
      <c r="M2497" s="7">
        <f>SQRT(K2497^2+L2497^2)</f>
      </c>
      <c r="N2497" s="7">
        <f>(K2498-K2496)</f>
      </c>
      <c r="O2497" s="7">
        <f>+(L2498-L2496)</f>
      </c>
      <c r="P2497" s="7">
        <f>SQRT(O2497^2+N2497^2)</f>
      </c>
      <c r="Q2497" s="7">
        <f>N2497/$P2497</f>
      </c>
      <c r="R2497" s="7">
        <f>O2497/$P2497</f>
      </c>
      <c r="S2497" s="8">
        <f>Q2497^2+R2497^2</f>
      </c>
      <c r="T2497" s="7">
        <f>-R2497</f>
      </c>
      <c r="U2497" s="7">
        <f>Q2497</f>
      </c>
      <c r="V2497" s="7">
        <f>($C$14+($C$15-$C$14)/($D$15-$D$14)*(I2497-$D$14))/2</f>
      </c>
      <c r="W2497" s="7">
        <f>($B$22*I2497^4+$C$22*I2497^3+$D$22*I2497^2+$E$22*I2497+$F$22)/2</f>
      </c>
      <c r="X2497" s="7">
        <f>($W2497)*(T2497)</f>
      </c>
      <c r="Y2497" s="7">
        <f>($W2497)*(U2497)</f>
      </c>
      <c r="Z2497" s="7">
        <f>SQRT(X2497^2+Y2497^2)</f>
      </c>
      <c r="AA2497" s="7">
        <f>$K2497+$X2497</f>
      </c>
      <c r="AB2497" s="7">
        <f>$L2497+$Y2497</f>
      </c>
      <c r="AC2497" s="7">
        <f>$K2497-$X2497</f>
      </c>
      <c r="AD2497" s="7">
        <f>$L2497-$Y2497</f>
      </c>
      <c r="AE2497" s="7">
        <f>AA2497/39.3701</f>
      </c>
      <c r="AF2497" s="7">
        <f>AB2497/39.3701</f>
      </c>
      <c r="AG2497" s="7">
        <f>AC2497/39.3701</f>
      </c>
      <c r="AH2497" s="7">
        <f>AD2497/39.3701</f>
      </c>
      <c r="AI2497" s="1"/>
      <c r="AJ2497" s="1"/>
      <c r="AK2497" s="1"/>
      <c r="AL2497" s="1"/>
      <c r="AM2497" s="2"/>
      <c r="AN2497" s="1"/>
      <c r="AO2497" s="1"/>
      <c r="AP2497" s="1"/>
      <c r="AQ2497" s="1"/>
      <c r="AR2497" s="1"/>
      <c r="AS2497" s="1"/>
      <c r="AT2497" s="1"/>
      <c r="AU2497" s="1"/>
      <c r="AV2497" s="1"/>
      <c r="AW2497" s="1"/>
      <c r="AX2497" s="1"/>
      <c r="AY2497" s="1"/>
      <c r="AZ2497" s="1"/>
      <c r="BA2497" s="1"/>
      <c r="BB2497" s="1"/>
      <c r="BC2497" s="1"/>
      <c r="BD2497" s="1"/>
      <c r="BE2497" s="1"/>
    </row>
    <row x14ac:dyDescent="0.25" r="2498" customHeight="1" ht="18.75">
      <c r="A2498" s="1"/>
      <c r="B2498" s="2"/>
      <c r="C2498" s="2"/>
      <c r="D2498" s="2"/>
      <c r="E2498" s="2"/>
      <c r="F2498" s="2"/>
      <c r="G2498" s="1"/>
      <c r="H2498" s="1"/>
      <c r="I2498" s="7">
        <v>2.495</v>
      </c>
      <c r="J2498" s="7">
        <f>IF((I2498-ROUNDDOWN(I2498,0))=0, 0, (I2498-ROUNDDOWN(I2498,0)))</f>
      </c>
      <c r="K2498" s="7">
        <f>INDIRECT("C$"&amp;2+MIN(2,ROUNDDOWN(I2498,0))*3)*(-$J2498^3+3*$J2498^2-3*$J2498+1)+INDIRECT("C$"&amp;3+MIN(2,ROUNDDOWN(I2498,0))*3)*(3*$J2498^3-6*$J2498^2+3*$J2498)+INDIRECT("C$"&amp;4+MIN(2,ROUNDDOWN(I2498,0))*3)*(-3*$J2498^3+3*$J2498^2)+INDIRECT("C$"&amp;5+MIN(2,ROUNDDOWN(I2498,0))*3)*$J2498^3</f>
      </c>
      <c r="L2498" s="7">
        <f>INDIRECT("D$"&amp;2+MIN(2,ROUNDDOWN(I2498,0))*3)*(-$J2498^3+3*$J2498^2-3*$J2498+1)+INDIRECT("D$"&amp;3+MIN(2,ROUNDDOWN(I2498,0))*3)*(3*$J2498^3-6*$J2498^2+3*$J2498)+INDIRECT("D$"&amp;4+MIN(2,ROUNDDOWN(I2498,0))*3)*(-3*$J2498^3+3*$J2498^2)+INDIRECT("D$"&amp;5+MIN(2,ROUNDDOWN(I2498,0))*3)*$J2498^3</f>
      </c>
      <c r="M2498" s="7">
        <f>SQRT(K2498^2+L2498^2)</f>
      </c>
      <c r="N2498" s="7">
        <f>(K2499-K2497)</f>
      </c>
      <c r="O2498" s="7">
        <f>+(L2499-L2497)</f>
      </c>
      <c r="P2498" s="7">
        <f>SQRT(O2498^2+N2498^2)</f>
      </c>
      <c r="Q2498" s="7">
        <f>N2498/$P2498</f>
      </c>
      <c r="R2498" s="7">
        <f>O2498/$P2498</f>
      </c>
      <c r="S2498" s="8">
        <f>Q2498^2+R2498^2</f>
      </c>
      <c r="T2498" s="7">
        <f>-R2498</f>
      </c>
      <c r="U2498" s="7">
        <f>Q2498</f>
      </c>
      <c r="V2498" s="7">
        <f>($C$14+($C$15-$C$14)/($D$15-$D$14)*(I2498-$D$14))/2</f>
      </c>
      <c r="W2498" s="7">
        <f>($B$22*I2498^4+$C$22*I2498^3+$D$22*I2498^2+$E$22*I2498+$F$22)/2</f>
      </c>
      <c r="X2498" s="7">
        <f>($W2498)*(T2498)</f>
      </c>
      <c r="Y2498" s="7">
        <f>($W2498)*(U2498)</f>
      </c>
      <c r="Z2498" s="7">
        <f>SQRT(X2498^2+Y2498^2)</f>
      </c>
      <c r="AA2498" s="7">
        <f>$K2498+$X2498</f>
      </c>
      <c r="AB2498" s="7">
        <f>$L2498+$Y2498</f>
      </c>
      <c r="AC2498" s="7">
        <f>$K2498-$X2498</f>
      </c>
      <c r="AD2498" s="7">
        <f>$L2498-$Y2498</f>
      </c>
      <c r="AE2498" s="7">
        <f>AA2498/39.3701</f>
      </c>
      <c r="AF2498" s="7">
        <f>AB2498/39.3701</f>
      </c>
      <c r="AG2498" s="7">
        <f>AC2498/39.3701</f>
      </c>
      <c r="AH2498" s="7">
        <f>AD2498/39.3701</f>
      </c>
      <c r="AI2498" s="1"/>
      <c r="AJ2498" s="1"/>
      <c r="AK2498" s="1"/>
      <c r="AL2498" s="1"/>
      <c r="AM2498" s="2"/>
      <c r="AN2498" s="1"/>
      <c r="AO2498" s="1"/>
      <c r="AP2498" s="1"/>
      <c r="AQ2498" s="1"/>
      <c r="AR2498" s="1"/>
      <c r="AS2498" s="1"/>
      <c r="AT2498" s="1"/>
      <c r="AU2498" s="1"/>
      <c r="AV2498" s="1"/>
      <c r="AW2498" s="1"/>
      <c r="AX2498" s="1"/>
      <c r="AY2498" s="1"/>
      <c r="AZ2498" s="1"/>
      <c r="BA2498" s="1"/>
      <c r="BB2498" s="1"/>
      <c r="BC2498" s="1"/>
      <c r="BD2498" s="1"/>
      <c r="BE2498" s="1"/>
    </row>
    <row x14ac:dyDescent="0.25" r="2499" customHeight="1" ht="18.75">
      <c r="A2499" s="1"/>
      <c r="B2499" s="2"/>
      <c r="C2499" s="2"/>
      <c r="D2499" s="2"/>
      <c r="E2499" s="2"/>
      <c r="F2499" s="2"/>
      <c r="G2499" s="1"/>
      <c r="H2499" s="1"/>
      <c r="I2499" s="7">
        <v>2.496</v>
      </c>
      <c r="J2499" s="7">
        <f>IF((I2499-ROUNDDOWN(I2499,0))=0, 0, (I2499-ROUNDDOWN(I2499,0)))</f>
      </c>
      <c r="K2499" s="7">
        <f>INDIRECT("C$"&amp;2+MIN(2,ROUNDDOWN(I2499,0))*3)*(-$J2499^3+3*$J2499^2-3*$J2499+1)+INDIRECT("C$"&amp;3+MIN(2,ROUNDDOWN(I2499,0))*3)*(3*$J2499^3-6*$J2499^2+3*$J2499)+INDIRECT("C$"&amp;4+MIN(2,ROUNDDOWN(I2499,0))*3)*(-3*$J2499^3+3*$J2499^2)+INDIRECT("C$"&amp;5+MIN(2,ROUNDDOWN(I2499,0))*3)*$J2499^3</f>
      </c>
      <c r="L2499" s="7">
        <f>INDIRECT("D$"&amp;2+MIN(2,ROUNDDOWN(I2499,0))*3)*(-$J2499^3+3*$J2499^2-3*$J2499+1)+INDIRECT("D$"&amp;3+MIN(2,ROUNDDOWN(I2499,0))*3)*(3*$J2499^3-6*$J2499^2+3*$J2499)+INDIRECT("D$"&amp;4+MIN(2,ROUNDDOWN(I2499,0))*3)*(-3*$J2499^3+3*$J2499^2)+INDIRECT("D$"&amp;5+MIN(2,ROUNDDOWN(I2499,0))*3)*$J2499^3</f>
      </c>
      <c r="M2499" s="7">
        <f>SQRT(K2499^2+L2499^2)</f>
      </c>
      <c r="N2499" s="7">
        <f>(K2500-K2498)</f>
      </c>
      <c r="O2499" s="7">
        <f>+(L2500-L2498)</f>
      </c>
      <c r="P2499" s="7">
        <f>SQRT(O2499^2+N2499^2)</f>
      </c>
      <c r="Q2499" s="7">
        <f>N2499/$P2499</f>
      </c>
      <c r="R2499" s="7">
        <f>O2499/$P2499</f>
      </c>
      <c r="S2499" s="8">
        <f>Q2499^2+R2499^2</f>
      </c>
      <c r="T2499" s="7">
        <f>-R2499</f>
      </c>
      <c r="U2499" s="7">
        <f>Q2499</f>
      </c>
      <c r="V2499" s="7">
        <f>($C$14+($C$15-$C$14)/($D$15-$D$14)*(I2499-$D$14))/2</f>
      </c>
      <c r="W2499" s="7">
        <f>($B$22*I2499^4+$C$22*I2499^3+$D$22*I2499^2+$E$22*I2499+$F$22)/2</f>
      </c>
      <c r="X2499" s="7">
        <f>($W2499)*(T2499)</f>
      </c>
      <c r="Y2499" s="7">
        <f>($W2499)*(U2499)</f>
      </c>
      <c r="Z2499" s="7">
        <f>SQRT(X2499^2+Y2499^2)</f>
      </c>
      <c r="AA2499" s="7">
        <f>$K2499+$X2499</f>
      </c>
      <c r="AB2499" s="7">
        <f>$L2499+$Y2499</f>
      </c>
      <c r="AC2499" s="7">
        <f>$K2499-$X2499</f>
      </c>
      <c r="AD2499" s="7">
        <f>$L2499-$Y2499</f>
      </c>
      <c r="AE2499" s="7">
        <f>AA2499/39.3701</f>
      </c>
      <c r="AF2499" s="7">
        <f>AB2499/39.3701</f>
      </c>
      <c r="AG2499" s="7">
        <f>AC2499/39.3701</f>
      </c>
      <c r="AH2499" s="7">
        <f>AD2499/39.3701</f>
      </c>
      <c r="AI2499" s="1"/>
      <c r="AJ2499" s="1"/>
      <c r="AK2499" s="1"/>
      <c r="AL2499" s="1"/>
      <c r="AM2499" s="2"/>
      <c r="AN2499" s="1"/>
      <c r="AO2499" s="1"/>
      <c r="AP2499" s="1"/>
      <c r="AQ2499" s="1"/>
      <c r="AR2499" s="1"/>
      <c r="AS2499" s="1"/>
      <c r="AT2499" s="1"/>
      <c r="AU2499" s="1"/>
      <c r="AV2499" s="1"/>
      <c r="AW2499" s="1"/>
      <c r="AX2499" s="1"/>
      <c r="AY2499" s="1"/>
      <c r="AZ2499" s="1"/>
      <c r="BA2499" s="1"/>
      <c r="BB2499" s="1"/>
      <c r="BC2499" s="1"/>
      <c r="BD2499" s="1"/>
      <c r="BE2499" s="1"/>
    </row>
    <row x14ac:dyDescent="0.25" r="2500" customHeight="1" ht="18.75">
      <c r="A2500" s="1"/>
      <c r="B2500" s="2"/>
      <c r="C2500" s="2"/>
      <c r="D2500" s="2"/>
      <c r="E2500" s="2"/>
      <c r="F2500" s="2"/>
      <c r="G2500" s="1"/>
      <c r="H2500" s="1"/>
      <c r="I2500" s="7">
        <v>2.497</v>
      </c>
      <c r="J2500" s="7">
        <f>IF((I2500-ROUNDDOWN(I2500,0))=0, 0, (I2500-ROUNDDOWN(I2500,0)))</f>
      </c>
      <c r="K2500" s="7">
        <f>INDIRECT("C$"&amp;2+MIN(2,ROUNDDOWN(I2500,0))*3)*(-$J2500^3+3*$J2500^2-3*$J2500+1)+INDIRECT("C$"&amp;3+MIN(2,ROUNDDOWN(I2500,0))*3)*(3*$J2500^3-6*$J2500^2+3*$J2500)+INDIRECT("C$"&amp;4+MIN(2,ROUNDDOWN(I2500,0))*3)*(-3*$J2500^3+3*$J2500^2)+INDIRECT("C$"&amp;5+MIN(2,ROUNDDOWN(I2500,0))*3)*$J2500^3</f>
      </c>
      <c r="L2500" s="7">
        <f>INDIRECT("D$"&amp;2+MIN(2,ROUNDDOWN(I2500,0))*3)*(-$J2500^3+3*$J2500^2-3*$J2500+1)+INDIRECT("D$"&amp;3+MIN(2,ROUNDDOWN(I2500,0))*3)*(3*$J2500^3-6*$J2500^2+3*$J2500)+INDIRECT("D$"&amp;4+MIN(2,ROUNDDOWN(I2500,0))*3)*(-3*$J2500^3+3*$J2500^2)+INDIRECT("D$"&amp;5+MIN(2,ROUNDDOWN(I2500,0))*3)*$J2500^3</f>
      </c>
      <c r="M2500" s="7">
        <f>SQRT(K2500^2+L2500^2)</f>
      </c>
      <c r="N2500" s="7">
        <f>(K2501-K2499)</f>
      </c>
      <c r="O2500" s="7">
        <f>+(L2501-L2499)</f>
      </c>
      <c r="P2500" s="7">
        <f>SQRT(O2500^2+N2500^2)</f>
      </c>
      <c r="Q2500" s="7">
        <f>N2500/$P2500</f>
      </c>
      <c r="R2500" s="7">
        <f>O2500/$P2500</f>
      </c>
      <c r="S2500" s="7">
        <f>Q2500^2+R2500^2</f>
      </c>
      <c r="T2500" s="7">
        <f>-R2500</f>
      </c>
      <c r="U2500" s="7">
        <f>Q2500</f>
      </c>
      <c r="V2500" s="7">
        <f>($C$14+($C$15-$C$14)/($D$15-$D$14)*(I2500-$D$14))/2</f>
      </c>
      <c r="W2500" s="7">
        <f>($B$22*I2500^4+$C$22*I2500^3+$D$22*I2500^2+$E$22*I2500+$F$22)/2</f>
      </c>
      <c r="X2500" s="7">
        <f>($W2500)*(T2500)</f>
      </c>
      <c r="Y2500" s="7">
        <f>($W2500)*(U2500)</f>
      </c>
      <c r="Z2500" s="7">
        <f>SQRT(X2500^2+Y2500^2)</f>
      </c>
      <c r="AA2500" s="7">
        <f>$K2500+$X2500</f>
      </c>
      <c r="AB2500" s="7">
        <f>$L2500+$Y2500</f>
      </c>
      <c r="AC2500" s="7">
        <f>$K2500-$X2500</f>
      </c>
      <c r="AD2500" s="7">
        <f>$L2500-$Y2500</f>
      </c>
      <c r="AE2500" s="7">
        <f>AA2500/39.3701</f>
      </c>
      <c r="AF2500" s="7">
        <f>AB2500/39.3701</f>
      </c>
      <c r="AG2500" s="7">
        <f>AC2500/39.3701</f>
      </c>
      <c r="AH2500" s="7">
        <f>AD2500/39.3701</f>
      </c>
      <c r="AI2500" s="1"/>
      <c r="AJ2500" s="1"/>
      <c r="AK2500" s="1"/>
      <c r="AL2500" s="1"/>
      <c r="AM2500" s="2"/>
      <c r="AN2500" s="1"/>
      <c r="AO2500" s="1"/>
      <c r="AP2500" s="1"/>
      <c r="AQ2500" s="1"/>
      <c r="AR2500" s="1"/>
      <c r="AS2500" s="1"/>
      <c r="AT2500" s="1"/>
      <c r="AU2500" s="1"/>
      <c r="AV2500" s="1"/>
      <c r="AW2500" s="1"/>
      <c r="AX2500" s="1"/>
      <c r="AY2500" s="1"/>
      <c r="AZ2500" s="1"/>
      <c r="BA2500" s="1"/>
      <c r="BB2500" s="1"/>
      <c r="BC2500" s="1"/>
      <c r="BD2500" s="1"/>
      <c r="BE2500" s="1"/>
    </row>
    <row x14ac:dyDescent="0.25" r="2501" customHeight="1" ht="18.75">
      <c r="A2501" s="1"/>
      <c r="B2501" s="2"/>
      <c r="C2501" s="2"/>
      <c r="D2501" s="2"/>
      <c r="E2501" s="2"/>
      <c r="F2501" s="2"/>
      <c r="G2501" s="1"/>
      <c r="H2501" s="1"/>
      <c r="I2501" s="7">
        <v>2.498</v>
      </c>
      <c r="J2501" s="7">
        <f>IF((I2501-ROUNDDOWN(I2501,0))=0, 0, (I2501-ROUNDDOWN(I2501,0)))</f>
      </c>
      <c r="K2501" s="7">
        <f>INDIRECT("C$"&amp;2+MIN(2,ROUNDDOWN(I2501,0))*3)*(-$J2501^3+3*$J2501^2-3*$J2501+1)+INDIRECT("C$"&amp;3+MIN(2,ROUNDDOWN(I2501,0))*3)*(3*$J2501^3-6*$J2501^2+3*$J2501)+INDIRECT("C$"&amp;4+MIN(2,ROUNDDOWN(I2501,0))*3)*(-3*$J2501^3+3*$J2501^2)+INDIRECT("C$"&amp;5+MIN(2,ROUNDDOWN(I2501,0))*3)*$J2501^3</f>
      </c>
      <c r="L2501" s="7">
        <f>INDIRECT("D$"&amp;2+MIN(2,ROUNDDOWN(I2501,0))*3)*(-$J2501^3+3*$J2501^2-3*$J2501+1)+INDIRECT("D$"&amp;3+MIN(2,ROUNDDOWN(I2501,0))*3)*(3*$J2501^3-6*$J2501^2+3*$J2501)+INDIRECT("D$"&amp;4+MIN(2,ROUNDDOWN(I2501,0))*3)*(-3*$J2501^3+3*$J2501^2)+INDIRECT("D$"&amp;5+MIN(2,ROUNDDOWN(I2501,0))*3)*$J2501^3</f>
      </c>
      <c r="M2501" s="7">
        <f>SQRT(K2501^2+L2501^2)</f>
      </c>
      <c r="N2501" s="7">
        <f>(K2502-K2500)</f>
      </c>
      <c r="O2501" s="7">
        <f>+(L2502-L2500)</f>
      </c>
      <c r="P2501" s="7">
        <f>SQRT(O2501^2+N2501^2)</f>
      </c>
      <c r="Q2501" s="7">
        <f>N2501/$P2501</f>
      </c>
      <c r="R2501" s="7">
        <f>O2501/$P2501</f>
      </c>
      <c r="S2501" s="7">
        <f>Q2501^2+R2501^2</f>
      </c>
      <c r="T2501" s="7">
        <f>-R2501</f>
      </c>
      <c r="U2501" s="7">
        <f>Q2501</f>
      </c>
      <c r="V2501" s="7">
        <f>($C$14+($C$15-$C$14)/($D$15-$D$14)*(I2501-$D$14))/2</f>
      </c>
      <c r="W2501" s="7">
        <f>($B$22*I2501^4+$C$22*I2501^3+$D$22*I2501^2+$E$22*I2501+$F$22)/2</f>
      </c>
      <c r="X2501" s="7">
        <f>($W2501)*(T2501)</f>
      </c>
      <c r="Y2501" s="7">
        <f>($W2501)*(U2501)</f>
      </c>
      <c r="Z2501" s="7">
        <f>SQRT(X2501^2+Y2501^2)</f>
      </c>
      <c r="AA2501" s="7">
        <f>$K2501+$X2501</f>
      </c>
      <c r="AB2501" s="7">
        <f>$L2501+$Y2501</f>
      </c>
      <c r="AC2501" s="7">
        <f>$K2501-$X2501</f>
      </c>
      <c r="AD2501" s="7">
        <f>$L2501-$Y2501</f>
      </c>
      <c r="AE2501" s="7">
        <f>AA2501/39.3701</f>
      </c>
      <c r="AF2501" s="7">
        <f>AB2501/39.3701</f>
      </c>
      <c r="AG2501" s="7">
        <f>AC2501/39.3701</f>
      </c>
      <c r="AH2501" s="7">
        <f>AD2501/39.3701</f>
      </c>
      <c r="AI2501" s="1"/>
      <c r="AJ2501" s="1"/>
      <c r="AK2501" s="1"/>
      <c r="AL2501" s="1"/>
      <c r="AM2501" s="2"/>
      <c r="AN2501" s="1"/>
      <c r="AO2501" s="1"/>
      <c r="AP2501" s="1"/>
      <c r="AQ2501" s="1"/>
      <c r="AR2501" s="1"/>
      <c r="AS2501" s="1"/>
      <c r="AT2501" s="1"/>
      <c r="AU2501" s="1"/>
      <c r="AV2501" s="1"/>
      <c r="AW2501" s="1"/>
      <c r="AX2501" s="1"/>
      <c r="AY2501" s="1"/>
      <c r="AZ2501" s="1"/>
      <c r="BA2501" s="1"/>
      <c r="BB2501" s="1"/>
      <c r="BC2501" s="1"/>
      <c r="BD2501" s="1"/>
      <c r="BE2501" s="1"/>
    </row>
    <row x14ac:dyDescent="0.25" r="2502" customHeight="1" ht="18.75">
      <c r="A2502" s="1"/>
      <c r="B2502" s="2"/>
      <c r="C2502" s="2"/>
      <c r="D2502" s="2"/>
      <c r="E2502" s="2"/>
      <c r="F2502" s="2"/>
      <c r="G2502" s="1"/>
      <c r="H2502" s="1"/>
      <c r="I2502" s="7">
        <v>2.499</v>
      </c>
      <c r="J2502" s="7">
        <f>IF((I2502-ROUNDDOWN(I2502,0))=0, 0, (I2502-ROUNDDOWN(I2502,0)))</f>
      </c>
      <c r="K2502" s="7">
        <f>INDIRECT("C$"&amp;2+MIN(2,ROUNDDOWN(I2502,0))*3)*(-$J2502^3+3*$J2502^2-3*$J2502+1)+INDIRECT("C$"&amp;3+MIN(2,ROUNDDOWN(I2502,0))*3)*(3*$J2502^3-6*$J2502^2+3*$J2502)+INDIRECT("C$"&amp;4+MIN(2,ROUNDDOWN(I2502,0))*3)*(-3*$J2502^3+3*$J2502^2)+INDIRECT("C$"&amp;5+MIN(2,ROUNDDOWN(I2502,0))*3)*$J2502^3</f>
      </c>
      <c r="L2502" s="7">
        <f>INDIRECT("D$"&amp;2+MIN(2,ROUNDDOWN(I2502,0))*3)*(-$J2502^3+3*$J2502^2-3*$J2502+1)+INDIRECT("D$"&amp;3+MIN(2,ROUNDDOWN(I2502,0))*3)*(3*$J2502^3-6*$J2502^2+3*$J2502)+INDIRECT("D$"&amp;4+MIN(2,ROUNDDOWN(I2502,0))*3)*(-3*$J2502^3+3*$J2502^2)+INDIRECT("D$"&amp;5+MIN(2,ROUNDDOWN(I2502,0))*3)*$J2502^3</f>
      </c>
      <c r="M2502" s="7">
        <f>SQRT(K2502^2+L2502^2)</f>
      </c>
      <c r="N2502" s="7">
        <f>(K2503-K2501)</f>
      </c>
      <c r="O2502" s="7">
        <f>+(L2503-L2501)</f>
      </c>
      <c r="P2502" s="7">
        <f>SQRT(O2502^2+N2502^2)</f>
      </c>
      <c r="Q2502" s="7">
        <f>N2502/$P2502</f>
      </c>
      <c r="R2502" s="7">
        <f>O2502/$P2502</f>
      </c>
      <c r="S2502" s="8">
        <f>Q2502^2+R2502^2</f>
      </c>
      <c r="T2502" s="7">
        <f>-R2502</f>
      </c>
      <c r="U2502" s="7">
        <f>Q2502</f>
      </c>
      <c r="V2502" s="7">
        <f>($C$14+($C$15-$C$14)/($D$15-$D$14)*(I2502-$D$14))/2</f>
      </c>
      <c r="W2502" s="7">
        <f>($B$22*I2502^4+$C$22*I2502^3+$D$22*I2502^2+$E$22*I2502+$F$22)/2</f>
      </c>
      <c r="X2502" s="7">
        <f>($W2502)*(T2502)</f>
      </c>
      <c r="Y2502" s="7">
        <f>($W2502)*(U2502)</f>
      </c>
      <c r="Z2502" s="7">
        <f>SQRT(X2502^2+Y2502^2)</f>
      </c>
      <c r="AA2502" s="7">
        <f>$K2502+$X2502</f>
      </c>
      <c r="AB2502" s="7">
        <f>$L2502+$Y2502</f>
      </c>
      <c r="AC2502" s="7">
        <f>$K2502-$X2502</f>
      </c>
      <c r="AD2502" s="7">
        <f>$L2502-$Y2502</f>
      </c>
      <c r="AE2502" s="7">
        <f>AA2502/39.3701</f>
      </c>
      <c r="AF2502" s="7">
        <f>AB2502/39.3701</f>
      </c>
      <c r="AG2502" s="7">
        <f>AC2502/39.3701</f>
      </c>
      <c r="AH2502" s="7">
        <f>AD2502/39.3701</f>
      </c>
      <c r="AI2502" s="1"/>
      <c r="AJ2502" s="1"/>
      <c r="AK2502" s="1"/>
      <c r="AL2502" s="1"/>
      <c r="AM2502" s="2"/>
      <c r="AN2502" s="1"/>
      <c r="AO2502" s="1"/>
      <c r="AP2502" s="1"/>
      <c r="AQ2502" s="1"/>
      <c r="AR2502" s="1"/>
      <c r="AS2502" s="1"/>
      <c r="AT2502" s="1"/>
      <c r="AU2502" s="1"/>
      <c r="AV2502" s="1"/>
      <c r="AW2502" s="1"/>
      <c r="AX2502" s="1"/>
      <c r="AY2502" s="1"/>
      <c r="AZ2502" s="1"/>
      <c r="BA2502" s="1"/>
      <c r="BB2502" s="1"/>
      <c r="BC2502" s="1"/>
      <c r="BD2502" s="1"/>
      <c r="BE2502" s="1"/>
    </row>
    <row x14ac:dyDescent="0.25" r="2503" customHeight="1" ht="18.75">
      <c r="A2503" s="1"/>
      <c r="B2503" s="2"/>
      <c r="C2503" s="2"/>
      <c r="D2503" s="2"/>
      <c r="E2503" s="2"/>
      <c r="F2503" s="2"/>
      <c r="G2503" s="1"/>
      <c r="H2503" s="1"/>
      <c r="I2503" s="7">
        <v>2.5</v>
      </c>
      <c r="J2503" s="7">
        <f>IF((I2503-ROUNDDOWN(I2503,0))=0, 0, (I2503-ROUNDDOWN(I2503,0)))</f>
      </c>
      <c r="K2503" s="7">
        <f>INDIRECT("C$"&amp;2+MIN(2,ROUNDDOWN(I2503,0))*3)*(-$J2503^3+3*$J2503^2-3*$J2503+1)+INDIRECT("C$"&amp;3+MIN(2,ROUNDDOWN(I2503,0))*3)*(3*$J2503^3-6*$J2503^2+3*$J2503)+INDIRECT("C$"&amp;4+MIN(2,ROUNDDOWN(I2503,0))*3)*(-3*$J2503^3+3*$J2503^2)+INDIRECT("C$"&amp;5+MIN(2,ROUNDDOWN(I2503,0))*3)*$J2503^3</f>
      </c>
      <c r="L2503" s="7">
        <f>INDIRECT("D$"&amp;2+MIN(2,ROUNDDOWN(I2503,0))*3)*(-$J2503^3+3*$J2503^2-3*$J2503+1)+INDIRECT("D$"&amp;3+MIN(2,ROUNDDOWN(I2503,0))*3)*(3*$J2503^3-6*$J2503^2+3*$J2503)+INDIRECT("D$"&amp;4+MIN(2,ROUNDDOWN(I2503,0))*3)*(-3*$J2503^3+3*$J2503^2)+INDIRECT("D$"&amp;5+MIN(2,ROUNDDOWN(I2503,0))*3)*$J2503^3</f>
      </c>
      <c r="M2503" s="7">
        <f>SQRT(K2503^2+L2503^2)</f>
      </c>
      <c r="N2503" s="7">
        <f>(K2504-K2502)</f>
      </c>
      <c r="O2503" s="7">
        <f>+(L2504-L2502)</f>
      </c>
      <c r="P2503" s="7">
        <f>SQRT(O2503^2+N2503^2)</f>
      </c>
      <c r="Q2503" s="7">
        <f>N2503/$P2503</f>
      </c>
      <c r="R2503" s="7">
        <f>O2503/$P2503</f>
      </c>
      <c r="S2503" s="7">
        <f>Q2503^2+R2503^2</f>
      </c>
      <c r="T2503" s="7">
        <f>-R2503</f>
      </c>
      <c r="U2503" s="7">
        <f>Q2503</f>
      </c>
      <c r="V2503" s="7">
        <f>($C$14+($C$15-$C$14)/($D$15-$D$14)*(I2503-$D$14))/2</f>
      </c>
      <c r="W2503" s="7">
        <f>($B$22*I2503^4+$C$22*I2503^3+$D$22*I2503^2+$E$22*I2503+$F$22)/2</f>
      </c>
      <c r="X2503" s="7">
        <f>($W2503)*(T2503)</f>
      </c>
      <c r="Y2503" s="7">
        <f>($W2503)*(U2503)</f>
      </c>
      <c r="Z2503" s="7">
        <f>SQRT(X2503^2+Y2503^2)</f>
      </c>
      <c r="AA2503" s="7">
        <f>$K2503+$X2503</f>
      </c>
      <c r="AB2503" s="7">
        <f>$L2503+$Y2503</f>
      </c>
      <c r="AC2503" s="7">
        <f>$K2503-$X2503</f>
      </c>
      <c r="AD2503" s="7">
        <f>$L2503-$Y2503</f>
      </c>
      <c r="AE2503" s="7">
        <f>AA2503/39.3701</f>
      </c>
      <c r="AF2503" s="7">
        <f>AB2503/39.3701</f>
      </c>
      <c r="AG2503" s="7">
        <f>AC2503/39.3701</f>
      </c>
      <c r="AH2503" s="7">
        <f>AD2503/39.3701</f>
      </c>
      <c r="AI2503" s="1"/>
      <c r="AJ2503" s="1"/>
      <c r="AK2503" s="1"/>
      <c r="AL2503" s="1"/>
      <c r="AM2503" s="2"/>
      <c r="AN2503" s="1"/>
      <c r="AO2503" s="1"/>
      <c r="AP2503" s="1"/>
      <c r="AQ2503" s="1"/>
      <c r="AR2503" s="1"/>
      <c r="AS2503" s="1"/>
      <c r="AT2503" s="1"/>
      <c r="AU2503" s="1"/>
      <c r="AV2503" s="1"/>
      <c r="AW2503" s="1"/>
      <c r="AX2503" s="1"/>
      <c r="AY2503" s="1"/>
      <c r="AZ2503" s="1"/>
      <c r="BA2503" s="1"/>
      <c r="BB2503" s="1"/>
      <c r="BC2503" s="1"/>
      <c r="BD2503" s="1"/>
      <c r="BE2503" s="1"/>
    </row>
    <row x14ac:dyDescent="0.25" r="2504" customHeight="1" ht="18.75">
      <c r="A2504" s="1"/>
      <c r="B2504" s="2"/>
      <c r="C2504" s="2"/>
      <c r="D2504" s="2"/>
      <c r="E2504" s="2"/>
      <c r="F2504" s="2"/>
      <c r="G2504" s="1"/>
      <c r="H2504" s="1"/>
      <c r="I2504" s="7">
        <v>2.501</v>
      </c>
      <c r="J2504" s="7">
        <f>IF((I2504-ROUNDDOWN(I2504,0))=0, 0, (I2504-ROUNDDOWN(I2504,0)))</f>
      </c>
      <c r="K2504" s="7">
        <f>INDIRECT("C$"&amp;2+MIN(2,ROUNDDOWN(I2504,0))*3)*(-$J2504^3+3*$J2504^2-3*$J2504+1)+INDIRECT("C$"&amp;3+MIN(2,ROUNDDOWN(I2504,0))*3)*(3*$J2504^3-6*$J2504^2+3*$J2504)+INDIRECT("C$"&amp;4+MIN(2,ROUNDDOWN(I2504,0))*3)*(-3*$J2504^3+3*$J2504^2)+INDIRECT("C$"&amp;5+MIN(2,ROUNDDOWN(I2504,0))*3)*$J2504^3</f>
      </c>
      <c r="L2504" s="7">
        <f>INDIRECT("D$"&amp;2+MIN(2,ROUNDDOWN(I2504,0))*3)*(-$J2504^3+3*$J2504^2-3*$J2504+1)+INDIRECT("D$"&amp;3+MIN(2,ROUNDDOWN(I2504,0))*3)*(3*$J2504^3-6*$J2504^2+3*$J2504)+INDIRECT("D$"&amp;4+MIN(2,ROUNDDOWN(I2504,0))*3)*(-3*$J2504^3+3*$J2504^2)+INDIRECT("D$"&amp;5+MIN(2,ROUNDDOWN(I2504,0))*3)*$J2504^3</f>
      </c>
      <c r="M2504" s="7">
        <f>SQRT(K2504^2+L2504^2)</f>
      </c>
      <c r="N2504" s="7">
        <f>(K2505-K2503)</f>
      </c>
      <c r="O2504" s="7">
        <f>+(L2505-L2503)</f>
      </c>
      <c r="P2504" s="7">
        <f>SQRT(O2504^2+N2504^2)</f>
      </c>
      <c r="Q2504" s="7">
        <f>N2504/$P2504</f>
      </c>
      <c r="R2504" s="7">
        <f>O2504/$P2504</f>
      </c>
      <c r="S2504" s="8">
        <f>Q2504^2+R2504^2</f>
      </c>
      <c r="T2504" s="7">
        <f>-R2504</f>
      </c>
      <c r="U2504" s="7">
        <f>Q2504</f>
      </c>
      <c r="V2504" s="7">
        <f>($C$14+($C$15-$C$14)/($D$15-$D$14)*(I2504-$D$14))/2</f>
      </c>
      <c r="W2504" s="7">
        <f>($B$22*I2504^4+$C$22*I2504^3+$D$22*I2504^2+$E$22*I2504+$F$22)/2</f>
      </c>
      <c r="X2504" s="7">
        <f>($W2504)*(T2504)</f>
      </c>
      <c r="Y2504" s="7">
        <f>($W2504)*(U2504)</f>
      </c>
      <c r="Z2504" s="7">
        <f>SQRT(X2504^2+Y2504^2)</f>
      </c>
      <c r="AA2504" s="7">
        <f>$K2504+$X2504</f>
      </c>
      <c r="AB2504" s="7">
        <f>$L2504+$Y2504</f>
      </c>
      <c r="AC2504" s="7">
        <f>$K2504-$X2504</f>
      </c>
      <c r="AD2504" s="7">
        <f>$L2504-$Y2504</f>
      </c>
      <c r="AE2504" s="7">
        <f>AA2504/39.3701</f>
      </c>
      <c r="AF2504" s="7">
        <f>AB2504/39.3701</f>
      </c>
      <c r="AG2504" s="7">
        <f>AC2504/39.3701</f>
      </c>
      <c r="AH2504" s="7">
        <f>AD2504/39.3701</f>
      </c>
      <c r="AI2504" s="1"/>
      <c r="AJ2504" s="1"/>
      <c r="AK2504" s="1"/>
      <c r="AL2504" s="1"/>
      <c r="AM2504" s="2"/>
      <c r="AN2504" s="1"/>
      <c r="AO2504" s="1"/>
      <c r="AP2504" s="1"/>
      <c r="AQ2504" s="1"/>
      <c r="AR2504" s="1"/>
      <c r="AS2504" s="1"/>
      <c r="AT2504" s="1"/>
      <c r="AU2504" s="1"/>
      <c r="AV2504" s="1"/>
      <c r="AW2504" s="1"/>
      <c r="AX2504" s="1"/>
      <c r="AY2504" s="1"/>
      <c r="AZ2504" s="1"/>
      <c r="BA2504" s="1"/>
      <c r="BB2504" s="1"/>
      <c r="BC2504" s="1"/>
      <c r="BD2504" s="1"/>
      <c r="BE2504" s="1"/>
    </row>
    <row x14ac:dyDescent="0.25" r="2505" customHeight="1" ht="18.75">
      <c r="A2505" s="1"/>
      <c r="B2505" s="2"/>
      <c r="C2505" s="2"/>
      <c r="D2505" s="2"/>
      <c r="E2505" s="2"/>
      <c r="F2505" s="2"/>
      <c r="G2505" s="1"/>
      <c r="H2505" s="1"/>
      <c r="I2505" s="7">
        <v>2.502</v>
      </c>
      <c r="J2505" s="7">
        <f>IF((I2505-ROUNDDOWN(I2505,0))=0, 0, (I2505-ROUNDDOWN(I2505,0)))</f>
      </c>
      <c r="K2505" s="7">
        <f>INDIRECT("C$"&amp;2+MIN(2,ROUNDDOWN(I2505,0))*3)*(-$J2505^3+3*$J2505^2-3*$J2505+1)+INDIRECT("C$"&amp;3+MIN(2,ROUNDDOWN(I2505,0))*3)*(3*$J2505^3-6*$J2505^2+3*$J2505)+INDIRECT("C$"&amp;4+MIN(2,ROUNDDOWN(I2505,0))*3)*(-3*$J2505^3+3*$J2505^2)+INDIRECT("C$"&amp;5+MIN(2,ROUNDDOWN(I2505,0))*3)*$J2505^3</f>
      </c>
      <c r="L2505" s="7">
        <f>INDIRECT("D$"&amp;2+MIN(2,ROUNDDOWN(I2505,0))*3)*(-$J2505^3+3*$J2505^2-3*$J2505+1)+INDIRECT("D$"&amp;3+MIN(2,ROUNDDOWN(I2505,0))*3)*(3*$J2505^3-6*$J2505^2+3*$J2505)+INDIRECT("D$"&amp;4+MIN(2,ROUNDDOWN(I2505,0))*3)*(-3*$J2505^3+3*$J2505^2)+INDIRECT("D$"&amp;5+MIN(2,ROUNDDOWN(I2505,0))*3)*$J2505^3</f>
      </c>
      <c r="M2505" s="7">
        <f>SQRT(K2505^2+L2505^2)</f>
      </c>
      <c r="N2505" s="7">
        <f>(K2506-K2504)</f>
      </c>
      <c r="O2505" s="7">
        <f>+(L2506-L2504)</f>
      </c>
      <c r="P2505" s="7">
        <f>SQRT(O2505^2+N2505^2)</f>
      </c>
      <c r="Q2505" s="7">
        <f>N2505/$P2505</f>
      </c>
      <c r="R2505" s="7">
        <f>O2505/$P2505</f>
      </c>
      <c r="S2505" s="7">
        <f>Q2505^2+R2505^2</f>
      </c>
      <c r="T2505" s="7">
        <f>-R2505</f>
      </c>
      <c r="U2505" s="7">
        <f>Q2505</f>
      </c>
      <c r="V2505" s="7">
        <f>($C$14+($C$15-$C$14)/($D$15-$D$14)*(I2505-$D$14))/2</f>
      </c>
      <c r="W2505" s="7">
        <f>($B$22*I2505^4+$C$22*I2505^3+$D$22*I2505^2+$E$22*I2505+$F$22)/2</f>
      </c>
      <c r="X2505" s="7">
        <f>($W2505)*(T2505)</f>
      </c>
      <c r="Y2505" s="7">
        <f>($W2505)*(U2505)</f>
      </c>
      <c r="Z2505" s="7">
        <f>SQRT(X2505^2+Y2505^2)</f>
      </c>
      <c r="AA2505" s="7">
        <f>$K2505+$X2505</f>
      </c>
      <c r="AB2505" s="7">
        <f>$L2505+$Y2505</f>
      </c>
      <c r="AC2505" s="7">
        <f>$K2505-$X2505</f>
      </c>
      <c r="AD2505" s="7">
        <f>$L2505-$Y2505</f>
      </c>
      <c r="AE2505" s="7">
        <f>AA2505/39.3701</f>
      </c>
      <c r="AF2505" s="7">
        <f>AB2505/39.3701</f>
      </c>
      <c r="AG2505" s="7">
        <f>AC2505/39.3701</f>
      </c>
      <c r="AH2505" s="7">
        <f>AD2505/39.3701</f>
      </c>
      <c r="AI2505" s="1"/>
      <c r="AJ2505" s="1"/>
      <c r="AK2505" s="1"/>
      <c r="AL2505" s="1"/>
      <c r="AM2505" s="2"/>
      <c r="AN2505" s="1"/>
      <c r="AO2505" s="1"/>
      <c r="AP2505" s="1"/>
      <c r="AQ2505" s="1"/>
      <c r="AR2505" s="1"/>
      <c r="AS2505" s="1"/>
      <c r="AT2505" s="1"/>
      <c r="AU2505" s="1"/>
      <c r="AV2505" s="1"/>
      <c r="AW2505" s="1"/>
      <c r="AX2505" s="1"/>
      <c r="AY2505" s="1"/>
      <c r="AZ2505" s="1"/>
      <c r="BA2505" s="1"/>
      <c r="BB2505" s="1"/>
      <c r="BC2505" s="1"/>
      <c r="BD2505" s="1"/>
      <c r="BE2505" s="1"/>
    </row>
    <row x14ac:dyDescent="0.25" r="2506" customHeight="1" ht="18.75">
      <c r="A2506" s="1"/>
      <c r="B2506" s="2"/>
      <c r="C2506" s="2"/>
      <c r="D2506" s="2"/>
      <c r="E2506" s="2"/>
      <c r="F2506" s="2"/>
      <c r="G2506" s="1"/>
      <c r="H2506" s="1"/>
      <c r="I2506" s="7">
        <v>2.503</v>
      </c>
      <c r="J2506" s="7">
        <f>IF((I2506-ROUNDDOWN(I2506,0))=0, 0, (I2506-ROUNDDOWN(I2506,0)))</f>
      </c>
      <c r="K2506" s="7">
        <f>INDIRECT("C$"&amp;2+MIN(2,ROUNDDOWN(I2506,0))*3)*(-$J2506^3+3*$J2506^2-3*$J2506+1)+INDIRECT("C$"&amp;3+MIN(2,ROUNDDOWN(I2506,0))*3)*(3*$J2506^3-6*$J2506^2+3*$J2506)+INDIRECT("C$"&amp;4+MIN(2,ROUNDDOWN(I2506,0))*3)*(-3*$J2506^3+3*$J2506^2)+INDIRECT("C$"&amp;5+MIN(2,ROUNDDOWN(I2506,0))*3)*$J2506^3</f>
      </c>
      <c r="L2506" s="7">
        <f>INDIRECT("D$"&amp;2+MIN(2,ROUNDDOWN(I2506,0))*3)*(-$J2506^3+3*$J2506^2-3*$J2506+1)+INDIRECT("D$"&amp;3+MIN(2,ROUNDDOWN(I2506,0))*3)*(3*$J2506^3-6*$J2506^2+3*$J2506)+INDIRECT("D$"&amp;4+MIN(2,ROUNDDOWN(I2506,0))*3)*(-3*$J2506^3+3*$J2506^2)+INDIRECT("D$"&amp;5+MIN(2,ROUNDDOWN(I2506,0))*3)*$J2506^3</f>
      </c>
      <c r="M2506" s="7">
        <f>SQRT(K2506^2+L2506^2)</f>
      </c>
      <c r="N2506" s="7">
        <f>(K2507-K2505)</f>
      </c>
      <c r="O2506" s="7">
        <f>+(L2507-L2505)</f>
      </c>
      <c r="P2506" s="7">
        <f>SQRT(O2506^2+N2506^2)</f>
      </c>
      <c r="Q2506" s="7">
        <f>N2506/$P2506</f>
      </c>
      <c r="R2506" s="7">
        <f>O2506/$P2506</f>
      </c>
      <c r="S2506" s="7">
        <f>Q2506^2+R2506^2</f>
      </c>
      <c r="T2506" s="7">
        <f>-R2506</f>
      </c>
      <c r="U2506" s="7">
        <f>Q2506</f>
      </c>
      <c r="V2506" s="7">
        <f>($C$14+($C$15-$C$14)/($D$15-$D$14)*(I2506-$D$14))/2</f>
      </c>
      <c r="W2506" s="7">
        <f>($B$22*I2506^4+$C$22*I2506^3+$D$22*I2506^2+$E$22*I2506+$F$22)/2</f>
      </c>
      <c r="X2506" s="7">
        <f>($W2506)*(T2506)</f>
      </c>
      <c r="Y2506" s="7">
        <f>($W2506)*(U2506)</f>
      </c>
      <c r="Z2506" s="7">
        <f>SQRT(X2506^2+Y2506^2)</f>
      </c>
      <c r="AA2506" s="7">
        <f>$K2506+$X2506</f>
      </c>
      <c r="AB2506" s="7">
        <f>$L2506+$Y2506</f>
      </c>
      <c r="AC2506" s="7">
        <f>$K2506-$X2506</f>
      </c>
      <c r="AD2506" s="7">
        <f>$L2506-$Y2506</f>
      </c>
      <c r="AE2506" s="7">
        <f>AA2506/39.3701</f>
      </c>
      <c r="AF2506" s="7">
        <f>AB2506/39.3701</f>
      </c>
      <c r="AG2506" s="7">
        <f>AC2506/39.3701</f>
      </c>
      <c r="AH2506" s="7">
        <f>AD2506/39.3701</f>
      </c>
      <c r="AI2506" s="1"/>
      <c r="AJ2506" s="1"/>
      <c r="AK2506" s="1"/>
      <c r="AL2506" s="1"/>
      <c r="AM2506" s="2"/>
      <c r="AN2506" s="1"/>
      <c r="AO2506" s="1"/>
      <c r="AP2506" s="1"/>
      <c r="AQ2506" s="1"/>
      <c r="AR2506" s="1"/>
      <c r="AS2506" s="1"/>
      <c r="AT2506" s="1"/>
      <c r="AU2506" s="1"/>
      <c r="AV2506" s="1"/>
      <c r="AW2506" s="1"/>
      <c r="AX2506" s="1"/>
      <c r="AY2506" s="1"/>
      <c r="AZ2506" s="1"/>
      <c r="BA2506" s="1"/>
      <c r="BB2506" s="1"/>
      <c r="BC2506" s="1"/>
      <c r="BD2506" s="1"/>
      <c r="BE2506" s="1"/>
    </row>
    <row x14ac:dyDescent="0.25" r="2507" customHeight="1" ht="18.75">
      <c r="A2507" s="1"/>
      <c r="B2507" s="2"/>
      <c r="C2507" s="2"/>
      <c r="D2507" s="2"/>
      <c r="E2507" s="2"/>
      <c r="F2507" s="2"/>
      <c r="G2507" s="1"/>
      <c r="H2507" s="1"/>
      <c r="I2507" s="7">
        <v>2.504</v>
      </c>
      <c r="J2507" s="7">
        <f>IF((I2507-ROUNDDOWN(I2507,0))=0, 0, (I2507-ROUNDDOWN(I2507,0)))</f>
      </c>
      <c r="K2507" s="7">
        <f>INDIRECT("C$"&amp;2+MIN(2,ROUNDDOWN(I2507,0))*3)*(-$J2507^3+3*$J2507^2-3*$J2507+1)+INDIRECT("C$"&amp;3+MIN(2,ROUNDDOWN(I2507,0))*3)*(3*$J2507^3-6*$J2507^2+3*$J2507)+INDIRECT("C$"&amp;4+MIN(2,ROUNDDOWN(I2507,0))*3)*(-3*$J2507^3+3*$J2507^2)+INDIRECT("C$"&amp;5+MIN(2,ROUNDDOWN(I2507,0))*3)*$J2507^3</f>
      </c>
      <c r="L2507" s="7">
        <f>INDIRECT("D$"&amp;2+MIN(2,ROUNDDOWN(I2507,0))*3)*(-$J2507^3+3*$J2507^2-3*$J2507+1)+INDIRECT("D$"&amp;3+MIN(2,ROUNDDOWN(I2507,0))*3)*(3*$J2507^3-6*$J2507^2+3*$J2507)+INDIRECT("D$"&amp;4+MIN(2,ROUNDDOWN(I2507,0))*3)*(-3*$J2507^3+3*$J2507^2)+INDIRECT("D$"&amp;5+MIN(2,ROUNDDOWN(I2507,0))*3)*$J2507^3</f>
      </c>
      <c r="M2507" s="7">
        <f>SQRT(K2507^2+L2507^2)</f>
      </c>
      <c r="N2507" s="7">
        <f>(K2508-K2506)</f>
      </c>
      <c r="O2507" s="7">
        <f>+(L2508-L2506)</f>
      </c>
      <c r="P2507" s="7">
        <f>SQRT(O2507^2+N2507^2)</f>
      </c>
      <c r="Q2507" s="7">
        <f>N2507/$P2507</f>
      </c>
      <c r="R2507" s="7">
        <f>O2507/$P2507</f>
      </c>
      <c r="S2507" s="7">
        <f>Q2507^2+R2507^2</f>
      </c>
      <c r="T2507" s="7">
        <f>-R2507</f>
      </c>
      <c r="U2507" s="7">
        <f>Q2507</f>
      </c>
      <c r="V2507" s="7">
        <f>($C$14+($C$15-$C$14)/($D$15-$D$14)*(I2507-$D$14))/2</f>
      </c>
      <c r="W2507" s="7">
        <f>($B$22*I2507^4+$C$22*I2507^3+$D$22*I2507^2+$E$22*I2507+$F$22)/2</f>
      </c>
      <c r="X2507" s="7">
        <f>($W2507)*(T2507)</f>
      </c>
      <c r="Y2507" s="7">
        <f>($W2507)*(U2507)</f>
      </c>
      <c r="Z2507" s="7">
        <f>SQRT(X2507^2+Y2507^2)</f>
      </c>
      <c r="AA2507" s="7">
        <f>$K2507+$X2507</f>
      </c>
      <c r="AB2507" s="7">
        <f>$L2507+$Y2507</f>
      </c>
      <c r="AC2507" s="7">
        <f>$K2507-$X2507</f>
      </c>
      <c r="AD2507" s="7">
        <f>$L2507-$Y2507</f>
      </c>
      <c r="AE2507" s="7">
        <f>AA2507/39.3701</f>
      </c>
      <c r="AF2507" s="7">
        <f>AB2507/39.3701</f>
      </c>
      <c r="AG2507" s="7">
        <f>AC2507/39.3701</f>
      </c>
      <c r="AH2507" s="7">
        <f>AD2507/39.3701</f>
      </c>
      <c r="AI2507" s="1"/>
      <c r="AJ2507" s="1"/>
      <c r="AK2507" s="1"/>
      <c r="AL2507" s="1"/>
      <c r="AM2507" s="2"/>
      <c r="AN2507" s="1"/>
      <c r="AO2507" s="1"/>
      <c r="AP2507" s="1"/>
      <c r="AQ2507" s="1"/>
      <c r="AR2507" s="1"/>
      <c r="AS2507" s="1"/>
      <c r="AT2507" s="1"/>
      <c r="AU2507" s="1"/>
      <c r="AV2507" s="1"/>
      <c r="AW2507" s="1"/>
      <c r="AX2507" s="1"/>
      <c r="AY2507" s="1"/>
      <c r="AZ2507" s="1"/>
      <c r="BA2507" s="1"/>
      <c r="BB2507" s="1"/>
      <c r="BC2507" s="1"/>
      <c r="BD2507" s="1"/>
      <c r="BE2507" s="1"/>
    </row>
    <row x14ac:dyDescent="0.25" r="2508" customHeight="1" ht="18.75">
      <c r="A2508" s="1"/>
      <c r="B2508" s="2"/>
      <c r="C2508" s="2"/>
      <c r="D2508" s="2"/>
      <c r="E2508" s="2"/>
      <c r="F2508" s="2"/>
      <c r="G2508" s="1"/>
      <c r="H2508" s="1"/>
      <c r="I2508" s="7">
        <v>2.505</v>
      </c>
      <c r="J2508" s="7">
        <f>IF((I2508-ROUNDDOWN(I2508,0))=0, 0, (I2508-ROUNDDOWN(I2508,0)))</f>
      </c>
      <c r="K2508" s="7">
        <f>INDIRECT("C$"&amp;2+MIN(2,ROUNDDOWN(I2508,0))*3)*(-$J2508^3+3*$J2508^2-3*$J2508+1)+INDIRECT("C$"&amp;3+MIN(2,ROUNDDOWN(I2508,0))*3)*(3*$J2508^3-6*$J2508^2+3*$J2508)+INDIRECT("C$"&amp;4+MIN(2,ROUNDDOWN(I2508,0))*3)*(-3*$J2508^3+3*$J2508^2)+INDIRECT("C$"&amp;5+MIN(2,ROUNDDOWN(I2508,0))*3)*$J2508^3</f>
      </c>
      <c r="L2508" s="7">
        <f>INDIRECT("D$"&amp;2+MIN(2,ROUNDDOWN(I2508,0))*3)*(-$J2508^3+3*$J2508^2-3*$J2508+1)+INDIRECT("D$"&amp;3+MIN(2,ROUNDDOWN(I2508,0))*3)*(3*$J2508^3-6*$J2508^2+3*$J2508)+INDIRECT("D$"&amp;4+MIN(2,ROUNDDOWN(I2508,0))*3)*(-3*$J2508^3+3*$J2508^2)+INDIRECT("D$"&amp;5+MIN(2,ROUNDDOWN(I2508,0))*3)*$J2508^3</f>
      </c>
      <c r="M2508" s="7">
        <f>SQRT(K2508^2+L2508^2)</f>
      </c>
      <c r="N2508" s="7">
        <f>(K2509-K2507)</f>
      </c>
      <c r="O2508" s="7">
        <f>+(L2509-L2507)</f>
      </c>
      <c r="P2508" s="7">
        <f>SQRT(O2508^2+N2508^2)</f>
      </c>
      <c r="Q2508" s="7">
        <f>N2508/$P2508</f>
      </c>
      <c r="R2508" s="7">
        <f>O2508/$P2508</f>
      </c>
      <c r="S2508" s="7">
        <f>Q2508^2+R2508^2</f>
      </c>
      <c r="T2508" s="7">
        <f>-R2508</f>
      </c>
      <c r="U2508" s="7">
        <f>Q2508</f>
      </c>
      <c r="V2508" s="7">
        <f>($C$14+($C$15-$C$14)/($D$15-$D$14)*(I2508-$D$14))/2</f>
      </c>
      <c r="W2508" s="7">
        <f>($B$22*I2508^4+$C$22*I2508^3+$D$22*I2508^2+$E$22*I2508+$F$22)/2</f>
      </c>
      <c r="X2508" s="7">
        <f>($W2508)*(T2508)</f>
      </c>
      <c r="Y2508" s="7">
        <f>($W2508)*(U2508)</f>
      </c>
      <c r="Z2508" s="7">
        <f>SQRT(X2508^2+Y2508^2)</f>
      </c>
      <c r="AA2508" s="7">
        <f>$K2508+$X2508</f>
      </c>
      <c r="AB2508" s="7">
        <f>$L2508+$Y2508</f>
      </c>
      <c r="AC2508" s="7">
        <f>$K2508-$X2508</f>
      </c>
      <c r="AD2508" s="7">
        <f>$L2508-$Y2508</f>
      </c>
      <c r="AE2508" s="7">
        <f>AA2508/39.3701</f>
      </c>
      <c r="AF2508" s="7">
        <f>AB2508/39.3701</f>
      </c>
      <c r="AG2508" s="7">
        <f>AC2508/39.3701</f>
      </c>
      <c r="AH2508" s="7">
        <f>AD2508/39.3701</f>
      </c>
      <c r="AI2508" s="1"/>
      <c r="AJ2508" s="1"/>
      <c r="AK2508" s="1"/>
      <c r="AL2508" s="1"/>
      <c r="AM2508" s="2"/>
      <c r="AN2508" s="1"/>
      <c r="AO2508" s="1"/>
      <c r="AP2508" s="1"/>
      <c r="AQ2508" s="1"/>
      <c r="AR2508" s="1"/>
      <c r="AS2508" s="1"/>
      <c r="AT2508" s="1"/>
      <c r="AU2508" s="1"/>
      <c r="AV2508" s="1"/>
      <c r="AW2508" s="1"/>
      <c r="AX2508" s="1"/>
      <c r="AY2508" s="1"/>
      <c r="AZ2508" s="1"/>
      <c r="BA2508" s="1"/>
      <c r="BB2508" s="1"/>
      <c r="BC2508" s="1"/>
      <c r="BD2508" s="1"/>
      <c r="BE2508" s="1"/>
    </row>
    <row x14ac:dyDescent="0.25" r="2509" customHeight="1" ht="18.75">
      <c r="A2509" s="1"/>
      <c r="B2509" s="2"/>
      <c r="C2509" s="2"/>
      <c r="D2509" s="2"/>
      <c r="E2509" s="2"/>
      <c r="F2509" s="2"/>
      <c r="G2509" s="1"/>
      <c r="H2509" s="1"/>
      <c r="I2509" s="7">
        <v>2.506</v>
      </c>
      <c r="J2509" s="7">
        <f>IF((I2509-ROUNDDOWN(I2509,0))=0, 0, (I2509-ROUNDDOWN(I2509,0)))</f>
      </c>
      <c r="K2509" s="7">
        <f>INDIRECT("C$"&amp;2+MIN(2,ROUNDDOWN(I2509,0))*3)*(-$J2509^3+3*$J2509^2-3*$J2509+1)+INDIRECT("C$"&amp;3+MIN(2,ROUNDDOWN(I2509,0))*3)*(3*$J2509^3-6*$J2509^2+3*$J2509)+INDIRECT("C$"&amp;4+MIN(2,ROUNDDOWN(I2509,0))*3)*(-3*$J2509^3+3*$J2509^2)+INDIRECT("C$"&amp;5+MIN(2,ROUNDDOWN(I2509,0))*3)*$J2509^3</f>
      </c>
      <c r="L2509" s="7">
        <f>INDIRECT("D$"&amp;2+MIN(2,ROUNDDOWN(I2509,0))*3)*(-$J2509^3+3*$J2509^2-3*$J2509+1)+INDIRECT("D$"&amp;3+MIN(2,ROUNDDOWN(I2509,0))*3)*(3*$J2509^3-6*$J2509^2+3*$J2509)+INDIRECT("D$"&amp;4+MIN(2,ROUNDDOWN(I2509,0))*3)*(-3*$J2509^3+3*$J2509^2)+INDIRECT("D$"&amp;5+MIN(2,ROUNDDOWN(I2509,0))*3)*$J2509^3</f>
      </c>
      <c r="M2509" s="7">
        <f>SQRT(K2509^2+L2509^2)</f>
      </c>
      <c r="N2509" s="7">
        <f>(K2510-K2508)</f>
      </c>
      <c r="O2509" s="7">
        <f>+(L2510-L2508)</f>
      </c>
      <c r="P2509" s="7">
        <f>SQRT(O2509^2+N2509^2)</f>
      </c>
      <c r="Q2509" s="7">
        <f>N2509/$P2509</f>
      </c>
      <c r="R2509" s="7">
        <f>O2509/$P2509</f>
      </c>
      <c r="S2509" s="8">
        <f>Q2509^2+R2509^2</f>
      </c>
      <c r="T2509" s="7">
        <f>-R2509</f>
      </c>
      <c r="U2509" s="7">
        <f>Q2509</f>
      </c>
      <c r="V2509" s="7">
        <f>($C$14+($C$15-$C$14)/($D$15-$D$14)*(I2509-$D$14))/2</f>
      </c>
      <c r="W2509" s="7">
        <f>($B$22*I2509^4+$C$22*I2509^3+$D$22*I2509^2+$E$22*I2509+$F$22)/2</f>
      </c>
      <c r="X2509" s="7">
        <f>($W2509)*(T2509)</f>
      </c>
      <c r="Y2509" s="7">
        <f>($W2509)*(U2509)</f>
      </c>
      <c r="Z2509" s="7">
        <f>SQRT(X2509^2+Y2509^2)</f>
      </c>
      <c r="AA2509" s="7">
        <f>$K2509+$X2509</f>
      </c>
      <c r="AB2509" s="7">
        <f>$L2509+$Y2509</f>
      </c>
      <c r="AC2509" s="7">
        <f>$K2509-$X2509</f>
      </c>
      <c r="AD2509" s="7">
        <f>$L2509-$Y2509</f>
      </c>
      <c r="AE2509" s="7">
        <f>AA2509/39.3701</f>
      </c>
      <c r="AF2509" s="7">
        <f>AB2509/39.3701</f>
      </c>
      <c r="AG2509" s="7">
        <f>AC2509/39.3701</f>
      </c>
      <c r="AH2509" s="7">
        <f>AD2509/39.3701</f>
      </c>
      <c r="AI2509" s="1"/>
      <c r="AJ2509" s="1"/>
      <c r="AK2509" s="1"/>
      <c r="AL2509" s="1"/>
      <c r="AM2509" s="2"/>
      <c r="AN2509" s="1"/>
      <c r="AO2509" s="1"/>
      <c r="AP2509" s="1"/>
      <c r="AQ2509" s="1"/>
      <c r="AR2509" s="1"/>
      <c r="AS2509" s="1"/>
      <c r="AT2509" s="1"/>
      <c r="AU2509" s="1"/>
      <c r="AV2509" s="1"/>
      <c r="AW2509" s="1"/>
      <c r="AX2509" s="1"/>
      <c r="AY2509" s="1"/>
      <c r="AZ2509" s="1"/>
      <c r="BA2509" s="1"/>
      <c r="BB2509" s="1"/>
      <c r="BC2509" s="1"/>
      <c r="BD2509" s="1"/>
      <c r="BE2509" s="1"/>
    </row>
    <row x14ac:dyDescent="0.25" r="2510" customHeight="1" ht="18.75">
      <c r="A2510" s="1"/>
      <c r="B2510" s="2"/>
      <c r="C2510" s="2"/>
      <c r="D2510" s="2"/>
      <c r="E2510" s="2"/>
      <c r="F2510" s="2"/>
      <c r="G2510" s="1"/>
      <c r="H2510" s="1"/>
      <c r="I2510" s="7">
        <v>2.507</v>
      </c>
      <c r="J2510" s="7">
        <f>IF((I2510-ROUNDDOWN(I2510,0))=0, 0, (I2510-ROUNDDOWN(I2510,0)))</f>
      </c>
      <c r="K2510" s="7">
        <f>INDIRECT("C$"&amp;2+MIN(2,ROUNDDOWN(I2510,0))*3)*(-$J2510^3+3*$J2510^2-3*$J2510+1)+INDIRECT("C$"&amp;3+MIN(2,ROUNDDOWN(I2510,0))*3)*(3*$J2510^3-6*$J2510^2+3*$J2510)+INDIRECT("C$"&amp;4+MIN(2,ROUNDDOWN(I2510,0))*3)*(-3*$J2510^3+3*$J2510^2)+INDIRECT("C$"&amp;5+MIN(2,ROUNDDOWN(I2510,0))*3)*$J2510^3</f>
      </c>
      <c r="L2510" s="7">
        <f>INDIRECT("D$"&amp;2+MIN(2,ROUNDDOWN(I2510,0))*3)*(-$J2510^3+3*$J2510^2-3*$J2510+1)+INDIRECT("D$"&amp;3+MIN(2,ROUNDDOWN(I2510,0))*3)*(3*$J2510^3-6*$J2510^2+3*$J2510)+INDIRECT("D$"&amp;4+MIN(2,ROUNDDOWN(I2510,0))*3)*(-3*$J2510^3+3*$J2510^2)+INDIRECT("D$"&amp;5+MIN(2,ROUNDDOWN(I2510,0))*3)*$J2510^3</f>
      </c>
      <c r="M2510" s="7">
        <f>SQRT(K2510^2+L2510^2)</f>
      </c>
      <c r="N2510" s="7">
        <f>(K2511-K2509)</f>
      </c>
      <c r="O2510" s="7">
        <f>+(L2511-L2509)</f>
      </c>
      <c r="P2510" s="7">
        <f>SQRT(O2510^2+N2510^2)</f>
      </c>
      <c r="Q2510" s="7">
        <f>N2510/$P2510</f>
      </c>
      <c r="R2510" s="7">
        <f>O2510/$P2510</f>
      </c>
      <c r="S2510" s="7">
        <f>Q2510^2+R2510^2</f>
      </c>
      <c r="T2510" s="7">
        <f>-R2510</f>
      </c>
      <c r="U2510" s="7">
        <f>Q2510</f>
      </c>
      <c r="V2510" s="7">
        <f>($C$14+($C$15-$C$14)/($D$15-$D$14)*(I2510-$D$14))/2</f>
      </c>
      <c r="W2510" s="7">
        <f>($B$22*I2510^4+$C$22*I2510^3+$D$22*I2510^2+$E$22*I2510+$F$22)/2</f>
      </c>
      <c r="X2510" s="7">
        <f>($W2510)*(T2510)</f>
      </c>
      <c r="Y2510" s="7">
        <f>($W2510)*(U2510)</f>
      </c>
      <c r="Z2510" s="7">
        <f>SQRT(X2510^2+Y2510^2)</f>
      </c>
      <c r="AA2510" s="7">
        <f>$K2510+$X2510</f>
      </c>
      <c r="AB2510" s="7">
        <f>$L2510+$Y2510</f>
      </c>
      <c r="AC2510" s="7">
        <f>$K2510-$X2510</f>
      </c>
      <c r="AD2510" s="7">
        <f>$L2510-$Y2510</f>
      </c>
      <c r="AE2510" s="7">
        <f>AA2510/39.3701</f>
      </c>
      <c r="AF2510" s="7">
        <f>AB2510/39.3701</f>
      </c>
      <c r="AG2510" s="7">
        <f>AC2510/39.3701</f>
      </c>
      <c r="AH2510" s="7">
        <f>AD2510/39.3701</f>
      </c>
      <c r="AI2510" s="1"/>
      <c r="AJ2510" s="1"/>
      <c r="AK2510" s="1"/>
      <c r="AL2510" s="1"/>
      <c r="AM2510" s="2"/>
      <c r="AN2510" s="1"/>
      <c r="AO2510" s="1"/>
      <c r="AP2510" s="1"/>
      <c r="AQ2510" s="1"/>
      <c r="AR2510" s="1"/>
      <c r="AS2510" s="1"/>
      <c r="AT2510" s="1"/>
      <c r="AU2510" s="1"/>
      <c r="AV2510" s="1"/>
      <c r="AW2510" s="1"/>
      <c r="AX2510" s="1"/>
      <c r="AY2510" s="1"/>
      <c r="AZ2510" s="1"/>
      <c r="BA2510" s="1"/>
      <c r="BB2510" s="1"/>
      <c r="BC2510" s="1"/>
      <c r="BD2510" s="1"/>
      <c r="BE2510" s="1"/>
    </row>
    <row x14ac:dyDescent="0.25" r="2511" customHeight="1" ht="18.75">
      <c r="A2511" s="1"/>
      <c r="B2511" s="2"/>
      <c r="C2511" s="2"/>
      <c r="D2511" s="2"/>
      <c r="E2511" s="2"/>
      <c r="F2511" s="2"/>
      <c r="G2511" s="1"/>
      <c r="H2511" s="1"/>
      <c r="I2511" s="7">
        <v>2.508</v>
      </c>
      <c r="J2511" s="7">
        <f>IF((I2511-ROUNDDOWN(I2511,0))=0, 0, (I2511-ROUNDDOWN(I2511,0)))</f>
      </c>
      <c r="K2511" s="7">
        <f>INDIRECT("C$"&amp;2+MIN(2,ROUNDDOWN(I2511,0))*3)*(-$J2511^3+3*$J2511^2-3*$J2511+1)+INDIRECT("C$"&amp;3+MIN(2,ROUNDDOWN(I2511,0))*3)*(3*$J2511^3-6*$J2511^2+3*$J2511)+INDIRECT("C$"&amp;4+MIN(2,ROUNDDOWN(I2511,0))*3)*(-3*$J2511^3+3*$J2511^2)+INDIRECT("C$"&amp;5+MIN(2,ROUNDDOWN(I2511,0))*3)*$J2511^3</f>
      </c>
      <c r="L2511" s="7">
        <f>INDIRECT("D$"&amp;2+MIN(2,ROUNDDOWN(I2511,0))*3)*(-$J2511^3+3*$J2511^2-3*$J2511+1)+INDIRECT("D$"&amp;3+MIN(2,ROUNDDOWN(I2511,0))*3)*(3*$J2511^3-6*$J2511^2+3*$J2511)+INDIRECT("D$"&amp;4+MIN(2,ROUNDDOWN(I2511,0))*3)*(-3*$J2511^3+3*$J2511^2)+INDIRECT("D$"&amp;5+MIN(2,ROUNDDOWN(I2511,0))*3)*$J2511^3</f>
      </c>
      <c r="M2511" s="7">
        <f>SQRT(K2511^2+L2511^2)</f>
      </c>
      <c r="N2511" s="7">
        <f>(K2512-K2510)</f>
      </c>
      <c r="O2511" s="7">
        <f>+(L2512-L2510)</f>
      </c>
      <c r="P2511" s="7">
        <f>SQRT(O2511^2+N2511^2)</f>
      </c>
      <c r="Q2511" s="7">
        <f>N2511/$P2511</f>
      </c>
      <c r="R2511" s="7">
        <f>O2511/$P2511</f>
      </c>
      <c r="S2511" s="7">
        <f>Q2511^2+R2511^2</f>
      </c>
      <c r="T2511" s="7">
        <f>-R2511</f>
      </c>
      <c r="U2511" s="7">
        <f>Q2511</f>
      </c>
      <c r="V2511" s="7">
        <f>($C$14+($C$15-$C$14)/($D$15-$D$14)*(I2511-$D$14))/2</f>
      </c>
      <c r="W2511" s="7">
        <f>($B$22*I2511^4+$C$22*I2511^3+$D$22*I2511^2+$E$22*I2511+$F$22)/2</f>
      </c>
      <c r="X2511" s="7">
        <f>($W2511)*(T2511)</f>
      </c>
      <c r="Y2511" s="7">
        <f>($W2511)*(U2511)</f>
      </c>
      <c r="Z2511" s="7">
        <f>SQRT(X2511^2+Y2511^2)</f>
      </c>
      <c r="AA2511" s="7">
        <f>$K2511+$X2511</f>
      </c>
      <c r="AB2511" s="7">
        <f>$L2511+$Y2511</f>
      </c>
      <c r="AC2511" s="7">
        <f>$K2511-$X2511</f>
      </c>
      <c r="AD2511" s="7">
        <f>$L2511-$Y2511</f>
      </c>
      <c r="AE2511" s="7">
        <f>AA2511/39.3701</f>
      </c>
      <c r="AF2511" s="7">
        <f>AB2511/39.3701</f>
      </c>
      <c r="AG2511" s="7">
        <f>AC2511/39.3701</f>
      </c>
      <c r="AH2511" s="7">
        <f>AD2511/39.3701</f>
      </c>
      <c r="AI2511" s="1"/>
      <c r="AJ2511" s="1"/>
      <c r="AK2511" s="1"/>
      <c r="AL2511" s="1"/>
      <c r="AM2511" s="2"/>
      <c r="AN2511" s="1"/>
      <c r="AO2511" s="1"/>
      <c r="AP2511" s="1"/>
      <c r="AQ2511" s="1"/>
      <c r="AR2511" s="1"/>
      <c r="AS2511" s="1"/>
      <c r="AT2511" s="1"/>
      <c r="AU2511" s="1"/>
      <c r="AV2511" s="1"/>
      <c r="AW2511" s="1"/>
      <c r="AX2511" s="1"/>
      <c r="AY2511" s="1"/>
      <c r="AZ2511" s="1"/>
      <c r="BA2511" s="1"/>
      <c r="BB2511" s="1"/>
      <c r="BC2511" s="1"/>
      <c r="BD2511" s="1"/>
      <c r="BE2511" s="1"/>
    </row>
    <row x14ac:dyDescent="0.25" r="2512" customHeight="1" ht="18.75">
      <c r="A2512" s="1"/>
      <c r="B2512" s="2"/>
      <c r="C2512" s="2"/>
      <c r="D2512" s="2"/>
      <c r="E2512" s="2"/>
      <c r="F2512" s="2"/>
      <c r="G2512" s="1"/>
      <c r="H2512" s="1"/>
      <c r="I2512" s="7">
        <v>2.509</v>
      </c>
      <c r="J2512" s="7">
        <f>IF((I2512-ROUNDDOWN(I2512,0))=0, 0, (I2512-ROUNDDOWN(I2512,0)))</f>
      </c>
      <c r="K2512" s="7">
        <f>INDIRECT("C$"&amp;2+MIN(2,ROUNDDOWN(I2512,0))*3)*(-$J2512^3+3*$J2512^2-3*$J2512+1)+INDIRECT("C$"&amp;3+MIN(2,ROUNDDOWN(I2512,0))*3)*(3*$J2512^3-6*$J2512^2+3*$J2512)+INDIRECT("C$"&amp;4+MIN(2,ROUNDDOWN(I2512,0))*3)*(-3*$J2512^3+3*$J2512^2)+INDIRECT("C$"&amp;5+MIN(2,ROUNDDOWN(I2512,0))*3)*$J2512^3</f>
      </c>
      <c r="L2512" s="7">
        <f>INDIRECT("D$"&amp;2+MIN(2,ROUNDDOWN(I2512,0))*3)*(-$J2512^3+3*$J2512^2-3*$J2512+1)+INDIRECT("D$"&amp;3+MIN(2,ROUNDDOWN(I2512,0))*3)*(3*$J2512^3-6*$J2512^2+3*$J2512)+INDIRECT("D$"&amp;4+MIN(2,ROUNDDOWN(I2512,0))*3)*(-3*$J2512^3+3*$J2512^2)+INDIRECT("D$"&amp;5+MIN(2,ROUNDDOWN(I2512,0))*3)*$J2512^3</f>
      </c>
      <c r="M2512" s="7">
        <f>SQRT(K2512^2+L2512^2)</f>
      </c>
      <c r="N2512" s="7">
        <f>(K2513-K2511)</f>
      </c>
      <c r="O2512" s="7">
        <f>+(L2513-L2511)</f>
      </c>
      <c r="P2512" s="7">
        <f>SQRT(O2512^2+N2512^2)</f>
      </c>
      <c r="Q2512" s="7">
        <f>N2512/$P2512</f>
      </c>
      <c r="R2512" s="7">
        <f>O2512/$P2512</f>
      </c>
      <c r="S2512" s="8">
        <f>Q2512^2+R2512^2</f>
      </c>
      <c r="T2512" s="7">
        <f>-R2512</f>
      </c>
      <c r="U2512" s="7">
        <f>Q2512</f>
      </c>
      <c r="V2512" s="7">
        <f>($C$14+($C$15-$C$14)/($D$15-$D$14)*(I2512-$D$14))/2</f>
      </c>
      <c r="W2512" s="7">
        <f>($B$22*I2512^4+$C$22*I2512^3+$D$22*I2512^2+$E$22*I2512+$F$22)/2</f>
      </c>
      <c r="X2512" s="7">
        <f>($W2512)*(T2512)</f>
      </c>
      <c r="Y2512" s="7">
        <f>($W2512)*(U2512)</f>
      </c>
      <c r="Z2512" s="7">
        <f>SQRT(X2512^2+Y2512^2)</f>
      </c>
      <c r="AA2512" s="7">
        <f>$K2512+$X2512</f>
      </c>
      <c r="AB2512" s="7">
        <f>$L2512+$Y2512</f>
      </c>
      <c r="AC2512" s="7">
        <f>$K2512-$X2512</f>
      </c>
      <c r="AD2512" s="7">
        <f>$L2512-$Y2512</f>
      </c>
      <c r="AE2512" s="7">
        <f>AA2512/39.3701</f>
      </c>
      <c r="AF2512" s="7">
        <f>AB2512/39.3701</f>
      </c>
      <c r="AG2512" s="7">
        <f>AC2512/39.3701</f>
      </c>
      <c r="AH2512" s="7">
        <f>AD2512/39.3701</f>
      </c>
      <c r="AI2512" s="1"/>
      <c r="AJ2512" s="1"/>
      <c r="AK2512" s="1"/>
      <c r="AL2512" s="1"/>
      <c r="AM2512" s="2"/>
      <c r="AN2512" s="1"/>
      <c r="AO2512" s="1"/>
      <c r="AP2512" s="1"/>
      <c r="AQ2512" s="1"/>
      <c r="AR2512" s="1"/>
      <c r="AS2512" s="1"/>
      <c r="AT2512" s="1"/>
      <c r="AU2512" s="1"/>
      <c r="AV2512" s="1"/>
      <c r="AW2512" s="1"/>
      <c r="AX2512" s="1"/>
      <c r="AY2512" s="1"/>
      <c r="AZ2512" s="1"/>
      <c r="BA2512" s="1"/>
      <c r="BB2512" s="1"/>
      <c r="BC2512" s="1"/>
      <c r="BD2512" s="1"/>
      <c r="BE2512" s="1"/>
    </row>
    <row x14ac:dyDescent="0.25" r="2513" customHeight="1" ht="18.75">
      <c r="A2513" s="1"/>
      <c r="B2513" s="2"/>
      <c r="C2513" s="2"/>
      <c r="D2513" s="2"/>
      <c r="E2513" s="2"/>
      <c r="F2513" s="2"/>
      <c r="G2513" s="1"/>
      <c r="H2513" s="1"/>
      <c r="I2513" s="7">
        <v>2.51</v>
      </c>
      <c r="J2513" s="7">
        <f>IF((I2513-ROUNDDOWN(I2513,0))=0, 0, (I2513-ROUNDDOWN(I2513,0)))</f>
      </c>
      <c r="K2513" s="7">
        <f>INDIRECT("C$"&amp;2+MIN(2,ROUNDDOWN(I2513,0))*3)*(-$J2513^3+3*$J2513^2-3*$J2513+1)+INDIRECT("C$"&amp;3+MIN(2,ROUNDDOWN(I2513,0))*3)*(3*$J2513^3-6*$J2513^2+3*$J2513)+INDIRECT("C$"&amp;4+MIN(2,ROUNDDOWN(I2513,0))*3)*(-3*$J2513^3+3*$J2513^2)+INDIRECT("C$"&amp;5+MIN(2,ROUNDDOWN(I2513,0))*3)*$J2513^3</f>
      </c>
      <c r="L2513" s="7">
        <f>INDIRECT("D$"&amp;2+MIN(2,ROUNDDOWN(I2513,0))*3)*(-$J2513^3+3*$J2513^2-3*$J2513+1)+INDIRECT("D$"&amp;3+MIN(2,ROUNDDOWN(I2513,0))*3)*(3*$J2513^3-6*$J2513^2+3*$J2513)+INDIRECT("D$"&amp;4+MIN(2,ROUNDDOWN(I2513,0))*3)*(-3*$J2513^3+3*$J2513^2)+INDIRECT("D$"&amp;5+MIN(2,ROUNDDOWN(I2513,0))*3)*$J2513^3</f>
      </c>
      <c r="M2513" s="7">
        <f>SQRT(K2513^2+L2513^2)</f>
      </c>
      <c r="N2513" s="7">
        <f>(K2514-K2512)</f>
      </c>
      <c r="O2513" s="7">
        <f>+(L2514-L2512)</f>
      </c>
      <c r="P2513" s="7">
        <f>SQRT(O2513^2+N2513^2)</f>
      </c>
      <c r="Q2513" s="7">
        <f>N2513/$P2513</f>
      </c>
      <c r="R2513" s="7">
        <f>O2513/$P2513</f>
      </c>
      <c r="S2513" s="8">
        <f>Q2513^2+R2513^2</f>
      </c>
      <c r="T2513" s="7">
        <f>-R2513</f>
      </c>
      <c r="U2513" s="7">
        <f>Q2513</f>
      </c>
      <c r="V2513" s="7">
        <f>($C$14+($C$15-$C$14)/($D$15-$D$14)*(I2513-$D$14))/2</f>
      </c>
      <c r="W2513" s="7">
        <f>($B$22*I2513^4+$C$22*I2513^3+$D$22*I2513^2+$E$22*I2513+$F$22)/2</f>
      </c>
      <c r="X2513" s="7">
        <f>($W2513)*(T2513)</f>
      </c>
      <c r="Y2513" s="7">
        <f>($W2513)*(U2513)</f>
      </c>
      <c r="Z2513" s="7">
        <f>SQRT(X2513^2+Y2513^2)</f>
      </c>
      <c r="AA2513" s="7">
        <f>$K2513+$X2513</f>
      </c>
      <c r="AB2513" s="7">
        <f>$L2513+$Y2513</f>
      </c>
      <c r="AC2513" s="7">
        <f>$K2513-$X2513</f>
      </c>
      <c r="AD2513" s="7">
        <f>$L2513-$Y2513</f>
      </c>
      <c r="AE2513" s="7">
        <f>AA2513/39.3701</f>
      </c>
      <c r="AF2513" s="7">
        <f>AB2513/39.3701</f>
      </c>
      <c r="AG2513" s="7">
        <f>AC2513/39.3701</f>
      </c>
      <c r="AH2513" s="7">
        <f>AD2513/39.3701</f>
      </c>
      <c r="AI2513" s="1"/>
      <c r="AJ2513" s="1"/>
      <c r="AK2513" s="1"/>
      <c r="AL2513" s="1"/>
      <c r="AM2513" s="2"/>
      <c r="AN2513" s="1"/>
      <c r="AO2513" s="1"/>
      <c r="AP2513" s="1"/>
      <c r="AQ2513" s="1"/>
      <c r="AR2513" s="1"/>
      <c r="AS2513" s="1"/>
      <c r="AT2513" s="1"/>
      <c r="AU2513" s="1"/>
      <c r="AV2513" s="1"/>
      <c r="AW2513" s="1"/>
      <c r="AX2513" s="1"/>
      <c r="AY2513" s="1"/>
      <c r="AZ2513" s="1"/>
      <c r="BA2513" s="1"/>
      <c r="BB2513" s="1"/>
      <c r="BC2513" s="1"/>
      <c r="BD2513" s="1"/>
      <c r="BE2513" s="1"/>
    </row>
    <row x14ac:dyDescent="0.25" r="2514" customHeight="1" ht="18.75">
      <c r="A2514" s="1"/>
      <c r="B2514" s="2"/>
      <c r="C2514" s="2"/>
      <c r="D2514" s="2"/>
      <c r="E2514" s="2"/>
      <c r="F2514" s="2"/>
      <c r="G2514" s="1"/>
      <c r="H2514" s="1"/>
      <c r="I2514" s="7">
        <v>2.511</v>
      </c>
      <c r="J2514" s="7">
        <f>IF((I2514-ROUNDDOWN(I2514,0))=0, 0, (I2514-ROUNDDOWN(I2514,0)))</f>
      </c>
      <c r="K2514" s="7">
        <f>INDIRECT("C$"&amp;2+MIN(2,ROUNDDOWN(I2514,0))*3)*(-$J2514^3+3*$J2514^2-3*$J2514+1)+INDIRECT("C$"&amp;3+MIN(2,ROUNDDOWN(I2514,0))*3)*(3*$J2514^3-6*$J2514^2+3*$J2514)+INDIRECT("C$"&amp;4+MIN(2,ROUNDDOWN(I2514,0))*3)*(-3*$J2514^3+3*$J2514^2)+INDIRECT("C$"&amp;5+MIN(2,ROUNDDOWN(I2514,0))*3)*$J2514^3</f>
      </c>
      <c r="L2514" s="7">
        <f>INDIRECT("D$"&amp;2+MIN(2,ROUNDDOWN(I2514,0))*3)*(-$J2514^3+3*$J2514^2-3*$J2514+1)+INDIRECT("D$"&amp;3+MIN(2,ROUNDDOWN(I2514,0))*3)*(3*$J2514^3-6*$J2514^2+3*$J2514)+INDIRECT("D$"&amp;4+MIN(2,ROUNDDOWN(I2514,0))*3)*(-3*$J2514^3+3*$J2514^2)+INDIRECT("D$"&amp;5+MIN(2,ROUNDDOWN(I2514,0))*3)*$J2514^3</f>
      </c>
      <c r="M2514" s="7">
        <f>SQRT(K2514^2+L2514^2)</f>
      </c>
      <c r="N2514" s="7">
        <f>(K2515-K2513)</f>
      </c>
      <c r="O2514" s="7">
        <f>+(L2515-L2513)</f>
      </c>
      <c r="P2514" s="7">
        <f>SQRT(O2514^2+N2514^2)</f>
      </c>
      <c r="Q2514" s="7">
        <f>N2514/$P2514</f>
      </c>
      <c r="R2514" s="7">
        <f>O2514/$P2514</f>
      </c>
      <c r="S2514" s="8">
        <f>Q2514^2+R2514^2</f>
      </c>
      <c r="T2514" s="7">
        <f>-R2514</f>
      </c>
      <c r="U2514" s="7">
        <f>Q2514</f>
      </c>
      <c r="V2514" s="7">
        <f>($C$14+($C$15-$C$14)/($D$15-$D$14)*(I2514-$D$14))/2</f>
      </c>
      <c r="W2514" s="7">
        <f>($B$22*I2514^4+$C$22*I2514^3+$D$22*I2514^2+$E$22*I2514+$F$22)/2</f>
      </c>
      <c r="X2514" s="7">
        <f>($W2514)*(T2514)</f>
      </c>
      <c r="Y2514" s="7">
        <f>($W2514)*(U2514)</f>
      </c>
      <c r="Z2514" s="7">
        <f>SQRT(X2514^2+Y2514^2)</f>
      </c>
      <c r="AA2514" s="7">
        <f>$K2514+$X2514</f>
      </c>
      <c r="AB2514" s="7">
        <f>$L2514+$Y2514</f>
      </c>
      <c r="AC2514" s="7">
        <f>$K2514-$X2514</f>
      </c>
      <c r="AD2514" s="7">
        <f>$L2514-$Y2514</f>
      </c>
      <c r="AE2514" s="7">
        <f>AA2514/39.3701</f>
      </c>
      <c r="AF2514" s="7">
        <f>AB2514/39.3701</f>
      </c>
      <c r="AG2514" s="7">
        <f>AC2514/39.3701</f>
      </c>
      <c r="AH2514" s="7">
        <f>AD2514/39.3701</f>
      </c>
      <c r="AI2514" s="1"/>
      <c r="AJ2514" s="1"/>
      <c r="AK2514" s="1"/>
      <c r="AL2514" s="1"/>
      <c r="AM2514" s="2"/>
      <c r="AN2514" s="1"/>
      <c r="AO2514" s="1"/>
      <c r="AP2514" s="1"/>
      <c r="AQ2514" s="1"/>
      <c r="AR2514" s="1"/>
      <c r="AS2514" s="1"/>
      <c r="AT2514" s="1"/>
      <c r="AU2514" s="1"/>
      <c r="AV2514" s="1"/>
      <c r="AW2514" s="1"/>
      <c r="AX2514" s="1"/>
      <c r="AY2514" s="1"/>
      <c r="AZ2514" s="1"/>
      <c r="BA2514" s="1"/>
      <c r="BB2514" s="1"/>
      <c r="BC2514" s="1"/>
      <c r="BD2514" s="1"/>
      <c r="BE2514" s="1"/>
    </row>
    <row x14ac:dyDescent="0.25" r="2515" customHeight="1" ht="18.75">
      <c r="A2515" s="1"/>
      <c r="B2515" s="2"/>
      <c r="C2515" s="2"/>
      <c r="D2515" s="2"/>
      <c r="E2515" s="2"/>
      <c r="F2515" s="2"/>
      <c r="G2515" s="1"/>
      <c r="H2515" s="1"/>
      <c r="I2515" s="7">
        <v>2.512</v>
      </c>
      <c r="J2515" s="7">
        <f>IF((I2515-ROUNDDOWN(I2515,0))=0, 0, (I2515-ROUNDDOWN(I2515,0)))</f>
      </c>
      <c r="K2515" s="7">
        <f>INDIRECT("C$"&amp;2+MIN(2,ROUNDDOWN(I2515,0))*3)*(-$J2515^3+3*$J2515^2-3*$J2515+1)+INDIRECT("C$"&amp;3+MIN(2,ROUNDDOWN(I2515,0))*3)*(3*$J2515^3-6*$J2515^2+3*$J2515)+INDIRECT("C$"&amp;4+MIN(2,ROUNDDOWN(I2515,0))*3)*(-3*$J2515^3+3*$J2515^2)+INDIRECT("C$"&amp;5+MIN(2,ROUNDDOWN(I2515,0))*3)*$J2515^3</f>
      </c>
      <c r="L2515" s="7">
        <f>INDIRECT("D$"&amp;2+MIN(2,ROUNDDOWN(I2515,0))*3)*(-$J2515^3+3*$J2515^2-3*$J2515+1)+INDIRECT("D$"&amp;3+MIN(2,ROUNDDOWN(I2515,0))*3)*(3*$J2515^3-6*$J2515^2+3*$J2515)+INDIRECT("D$"&amp;4+MIN(2,ROUNDDOWN(I2515,0))*3)*(-3*$J2515^3+3*$J2515^2)+INDIRECT("D$"&amp;5+MIN(2,ROUNDDOWN(I2515,0))*3)*$J2515^3</f>
      </c>
      <c r="M2515" s="7">
        <f>SQRT(K2515^2+L2515^2)</f>
      </c>
      <c r="N2515" s="7">
        <f>(K2516-K2514)</f>
      </c>
      <c r="O2515" s="7">
        <f>+(L2516-L2514)</f>
      </c>
      <c r="P2515" s="7">
        <f>SQRT(O2515^2+N2515^2)</f>
      </c>
      <c r="Q2515" s="7">
        <f>N2515/$P2515</f>
      </c>
      <c r="R2515" s="7">
        <f>O2515/$P2515</f>
      </c>
      <c r="S2515" s="7">
        <f>Q2515^2+R2515^2</f>
      </c>
      <c r="T2515" s="7">
        <f>-R2515</f>
      </c>
      <c r="U2515" s="7">
        <f>Q2515</f>
      </c>
      <c r="V2515" s="7">
        <f>($C$14+($C$15-$C$14)/($D$15-$D$14)*(I2515-$D$14))/2</f>
      </c>
      <c r="W2515" s="7">
        <f>($B$22*I2515^4+$C$22*I2515^3+$D$22*I2515^2+$E$22*I2515+$F$22)/2</f>
      </c>
      <c r="X2515" s="7">
        <f>($W2515)*(T2515)</f>
      </c>
      <c r="Y2515" s="7">
        <f>($W2515)*(U2515)</f>
      </c>
      <c r="Z2515" s="7">
        <f>SQRT(X2515^2+Y2515^2)</f>
      </c>
      <c r="AA2515" s="7">
        <f>$K2515+$X2515</f>
      </c>
      <c r="AB2515" s="7">
        <f>$L2515+$Y2515</f>
      </c>
      <c r="AC2515" s="7">
        <f>$K2515-$X2515</f>
      </c>
      <c r="AD2515" s="7">
        <f>$L2515-$Y2515</f>
      </c>
      <c r="AE2515" s="7">
        <f>AA2515/39.3701</f>
      </c>
      <c r="AF2515" s="7">
        <f>AB2515/39.3701</f>
      </c>
      <c r="AG2515" s="7">
        <f>AC2515/39.3701</f>
      </c>
      <c r="AH2515" s="7">
        <f>AD2515/39.3701</f>
      </c>
      <c r="AI2515" s="1"/>
      <c r="AJ2515" s="1"/>
      <c r="AK2515" s="1"/>
      <c r="AL2515" s="1"/>
      <c r="AM2515" s="2"/>
      <c r="AN2515" s="1"/>
      <c r="AO2515" s="1"/>
      <c r="AP2515" s="1"/>
      <c r="AQ2515" s="1"/>
      <c r="AR2515" s="1"/>
      <c r="AS2515" s="1"/>
      <c r="AT2515" s="1"/>
      <c r="AU2515" s="1"/>
      <c r="AV2515" s="1"/>
      <c r="AW2515" s="1"/>
      <c r="AX2515" s="1"/>
      <c r="AY2515" s="1"/>
      <c r="AZ2515" s="1"/>
      <c r="BA2515" s="1"/>
      <c r="BB2515" s="1"/>
      <c r="BC2515" s="1"/>
      <c r="BD2515" s="1"/>
      <c r="BE2515" s="1"/>
    </row>
    <row x14ac:dyDescent="0.25" r="2516" customHeight="1" ht="18.75">
      <c r="A2516" s="1"/>
      <c r="B2516" s="2"/>
      <c r="C2516" s="2"/>
      <c r="D2516" s="2"/>
      <c r="E2516" s="2"/>
      <c r="F2516" s="2"/>
      <c r="G2516" s="1"/>
      <c r="H2516" s="1"/>
      <c r="I2516" s="7">
        <v>2.513</v>
      </c>
      <c r="J2516" s="7">
        <f>IF((I2516-ROUNDDOWN(I2516,0))=0, 0, (I2516-ROUNDDOWN(I2516,0)))</f>
      </c>
      <c r="K2516" s="7">
        <f>INDIRECT("C$"&amp;2+MIN(2,ROUNDDOWN(I2516,0))*3)*(-$J2516^3+3*$J2516^2-3*$J2516+1)+INDIRECT("C$"&amp;3+MIN(2,ROUNDDOWN(I2516,0))*3)*(3*$J2516^3-6*$J2516^2+3*$J2516)+INDIRECT("C$"&amp;4+MIN(2,ROUNDDOWN(I2516,0))*3)*(-3*$J2516^3+3*$J2516^2)+INDIRECT("C$"&amp;5+MIN(2,ROUNDDOWN(I2516,0))*3)*$J2516^3</f>
      </c>
      <c r="L2516" s="7">
        <f>INDIRECT("D$"&amp;2+MIN(2,ROUNDDOWN(I2516,0))*3)*(-$J2516^3+3*$J2516^2-3*$J2516+1)+INDIRECT("D$"&amp;3+MIN(2,ROUNDDOWN(I2516,0))*3)*(3*$J2516^3-6*$J2516^2+3*$J2516)+INDIRECT("D$"&amp;4+MIN(2,ROUNDDOWN(I2516,0))*3)*(-3*$J2516^3+3*$J2516^2)+INDIRECT("D$"&amp;5+MIN(2,ROUNDDOWN(I2516,0))*3)*$J2516^3</f>
      </c>
      <c r="M2516" s="7">
        <f>SQRT(K2516^2+L2516^2)</f>
      </c>
      <c r="N2516" s="7">
        <f>(K2517-K2515)</f>
      </c>
      <c r="O2516" s="7">
        <f>+(L2517-L2515)</f>
      </c>
      <c r="P2516" s="7">
        <f>SQRT(O2516^2+N2516^2)</f>
      </c>
      <c r="Q2516" s="7">
        <f>N2516/$P2516</f>
      </c>
      <c r="R2516" s="7">
        <f>O2516/$P2516</f>
      </c>
      <c r="S2516" s="7">
        <f>Q2516^2+R2516^2</f>
      </c>
      <c r="T2516" s="7">
        <f>-R2516</f>
      </c>
      <c r="U2516" s="7">
        <f>Q2516</f>
      </c>
      <c r="V2516" s="7">
        <f>($C$14+($C$15-$C$14)/($D$15-$D$14)*(I2516-$D$14))/2</f>
      </c>
      <c r="W2516" s="7">
        <f>($B$22*I2516^4+$C$22*I2516^3+$D$22*I2516^2+$E$22*I2516+$F$22)/2</f>
      </c>
      <c r="X2516" s="7">
        <f>($W2516)*(T2516)</f>
      </c>
      <c r="Y2516" s="7">
        <f>($W2516)*(U2516)</f>
      </c>
      <c r="Z2516" s="7">
        <f>SQRT(X2516^2+Y2516^2)</f>
      </c>
      <c r="AA2516" s="7">
        <f>$K2516+$X2516</f>
      </c>
      <c r="AB2516" s="7">
        <f>$L2516+$Y2516</f>
      </c>
      <c r="AC2516" s="7">
        <f>$K2516-$X2516</f>
      </c>
      <c r="AD2516" s="7">
        <f>$L2516-$Y2516</f>
      </c>
      <c r="AE2516" s="7">
        <f>AA2516/39.3701</f>
      </c>
      <c r="AF2516" s="7">
        <f>AB2516/39.3701</f>
      </c>
      <c r="AG2516" s="7">
        <f>AC2516/39.3701</f>
      </c>
      <c r="AH2516" s="7">
        <f>AD2516/39.3701</f>
      </c>
      <c r="AI2516" s="1"/>
      <c r="AJ2516" s="1"/>
      <c r="AK2516" s="1"/>
      <c r="AL2516" s="1"/>
      <c r="AM2516" s="2"/>
      <c r="AN2516" s="1"/>
      <c r="AO2516" s="1"/>
      <c r="AP2516" s="1"/>
      <c r="AQ2516" s="1"/>
      <c r="AR2516" s="1"/>
      <c r="AS2516" s="1"/>
      <c r="AT2516" s="1"/>
      <c r="AU2516" s="1"/>
      <c r="AV2516" s="1"/>
      <c r="AW2516" s="1"/>
      <c r="AX2516" s="1"/>
      <c r="AY2516" s="1"/>
      <c r="AZ2516" s="1"/>
      <c r="BA2516" s="1"/>
      <c r="BB2516" s="1"/>
      <c r="BC2516" s="1"/>
      <c r="BD2516" s="1"/>
      <c r="BE2516" s="1"/>
    </row>
    <row x14ac:dyDescent="0.25" r="2517" customHeight="1" ht="18.75">
      <c r="A2517" s="1"/>
      <c r="B2517" s="2"/>
      <c r="C2517" s="2"/>
      <c r="D2517" s="2"/>
      <c r="E2517" s="2"/>
      <c r="F2517" s="2"/>
      <c r="G2517" s="1"/>
      <c r="H2517" s="1"/>
      <c r="I2517" s="7">
        <v>2.514</v>
      </c>
      <c r="J2517" s="7">
        <f>IF((I2517-ROUNDDOWN(I2517,0))=0, 0, (I2517-ROUNDDOWN(I2517,0)))</f>
      </c>
      <c r="K2517" s="7">
        <f>INDIRECT("C$"&amp;2+MIN(2,ROUNDDOWN(I2517,0))*3)*(-$J2517^3+3*$J2517^2-3*$J2517+1)+INDIRECT("C$"&amp;3+MIN(2,ROUNDDOWN(I2517,0))*3)*(3*$J2517^3-6*$J2517^2+3*$J2517)+INDIRECT("C$"&amp;4+MIN(2,ROUNDDOWN(I2517,0))*3)*(-3*$J2517^3+3*$J2517^2)+INDIRECT("C$"&amp;5+MIN(2,ROUNDDOWN(I2517,0))*3)*$J2517^3</f>
      </c>
      <c r="L2517" s="7">
        <f>INDIRECT("D$"&amp;2+MIN(2,ROUNDDOWN(I2517,0))*3)*(-$J2517^3+3*$J2517^2-3*$J2517+1)+INDIRECT("D$"&amp;3+MIN(2,ROUNDDOWN(I2517,0))*3)*(3*$J2517^3-6*$J2517^2+3*$J2517)+INDIRECT("D$"&amp;4+MIN(2,ROUNDDOWN(I2517,0))*3)*(-3*$J2517^3+3*$J2517^2)+INDIRECT("D$"&amp;5+MIN(2,ROUNDDOWN(I2517,0))*3)*$J2517^3</f>
      </c>
      <c r="M2517" s="7">
        <f>SQRT(K2517^2+L2517^2)</f>
      </c>
      <c r="N2517" s="7">
        <f>(K2518-K2516)</f>
      </c>
      <c r="O2517" s="7">
        <f>+(L2518-L2516)</f>
      </c>
      <c r="P2517" s="7">
        <f>SQRT(O2517^2+N2517^2)</f>
      </c>
      <c r="Q2517" s="7">
        <f>N2517/$P2517</f>
      </c>
      <c r="R2517" s="7">
        <f>O2517/$P2517</f>
      </c>
      <c r="S2517" s="7">
        <f>Q2517^2+R2517^2</f>
      </c>
      <c r="T2517" s="7">
        <f>-R2517</f>
      </c>
      <c r="U2517" s="7">
        <f>Q2517</f>
      </c>
      <c r="V2517" s="7">
        <f>($C$14+($C$15-$C$14)/($D$15-$D$14)*(I2517-$D$14))/2</f>
      </c>
      <c r="W2517" s="7">
        <f>($B$22*I2517^4+$C$22*I2517^3+$D$22*I2517^2+$E$22*I2517+$F$22)/2</f>
      </c>
      <c r="X2517" s="7">
        <f>($W2517)*(T2517)</f>
      </c>
      <c r="Y2517" s="7">
        <f>($W2517)*(U2517)</f>
      </c>
      <c r="Z2517" s="7">
        <f>SQRT(X2517^2+Y2517^2)</f>
      </c>
      <c r="AA2517" s="7">
        <f>$K2517+$X2517</f>
      </c>
      <c r="AB2517" s="7">
        <f>$L2517+$Y2517</f>
      </c>
      <c r="AC2517" s="7">
        <f>$K2517-$X2517</f>
      </c>
      <c r="AD2517" s="7">
        <f>$L2517-$Y2517</f>
      </c>
      <c r="AE2517" s="7">
        <f>AA2517/39.3701</f>
      </c>
      <c r="AF2517" s="7">
        <f>AB2517/39.3701</f>
      </c>
      <c r="AG2517" s="7">
        <f>AC2517/39.3701</f>
      </c>
      <c r="AH2517" s="7">
        <f>AD2517/39.3701</f>
      </c>
      <c r="AI2517" s="1"/>
      <c r="AJ2517" s="1"/>
      <c r="AK2517" s="1"/>
      <c r="AL2517" s="1"/>
      <c r="AM2517" s="2"/>
      <c r="AN2517" s="1"/>
      <c r="AO2517" s="1"/>
      <c r="AP2517" s="1"/>
      <c r="AQ2517" s="1"/>
      <c r="AR2517" s="1"/>
      <c r="AS2517" s="1"/>
      <c r="AT2517" s="1"/>
      <c r="AU2517" s="1"/>
      <c r="AV2517" s="1"/>
      <c r="AW2517" s="1"/>
      <c r="AX2517" s="1"/>
      <c r="AY2517" s="1"/>
      <c r="AZ2517" s="1"/>
      <c r="BA2517" s="1"/>
      <c r="BB2517" s="1"/>
      <c r="BC2517" s="1"/>
      <c r="BD2517" s="1"/>
      <c r="BE2517" s="1"/>
    </row>
    <row x14ac:dyDescent="0.25" r="2518" customHeight="1" ht="18.75">
      <c r="A2518" s="1"/>
      <c r="B2518" s="2"/>
      <c r="C2518" s="2"/>
      <c r="D2518" s="2"/>
      <c r="E2518" s="2"/>
      <c r="F2518" s="2"/>
      <c r="G2518" s="1"/>
      <c r="H2518" s="1"/>
      <c r="I2518" s="7">
        <v>2.515</v>
      </c>
      <c r="J2518" s="7">
        <f>IF((I2518-ROUNDDOWN(I2518,0))=0, 0, (I2518-ROUNDDOWN(I2518,0)))</f>
      </c>
      <c r="K2518" s="7">
        <f>INDIRECT("C$"&amp;2+MIN(2,ROUNDDOWN(I2518,0))*3)*(-$J2518^3+3*$J2518^2-3*$J2518+1)+INDIRECT("C$"&amp;3+MIN(2,ROUNDDOWN(I2518,0))*3)*(3*$J2518^3-6*$J2518^2+3*$J2518)+INDIRECT("C$"&amp;4+MIN(2,ROUNDDOWN(I2518,0))*3)*(-3*$J2518^3+3*$J2518^2)+INDIRECT("C$"&amp;5+MIN(2,ROUNDDOWN(I2518,0))*3)*$J2518^3</f>
      </c>
      <c r="L2518" s="7">
        <f>INDIRECT("D$"&amp;2+MIN(2,ROUNDDOWN(I2518,0))*3)*(-$J2518^3+3*$J2518^2-3*$J2518+1)+INDIRECT("D$"&amp;3+MIN(2,ROUNDDOWN(I2518,0))*3)*(3*$J2518^3-6*$J2518^2+3*$J2518)+INDIRECT("D$"&amp;4+MIN(2,ROUNDDOWN(I2518,0))*3)*(-3*$J2518^3+3*$J2518^2)+INDIRECT("D$"&amp;5+MIN(2,ROUNDDOWN(I2518,0))*3)*$J2518^3</f>
      </c>
      <c r="M2518" s="7">
        <f>SQRT(K2518^2+L2518^2)</f>
      </c>
      <c r="N2518" s="7">
        <f>(K2519-K2517)</f>
      </c>
      <c r="O2518" s="7">
        <f>+(L2519-L2517)</f>
      </c>
      <c r="P2518" s="7">
        <f>SQRT(O2518^2+N2518^2)</f>
      </c>
      <c r="Q2518" s="7">
        <f>N2518/$P2518</f>
      </c>
      <c r="R2518" s="7">
        <f>O2518/$P2518</f>
      </c>
      <c r="S2518" s="7">
        <f>Q2518^2+R2518^2</f>
      </c>
      <c r="T2518" s="7">
        <f>-R2518</f>
      </c>
      <c r="U2518" s="7">
        <f>Q2518</f>
      </c>
      <c r="V2518" s="7">
        <f>($C$14+($C$15-$C$14)/($D$15-$D$14)*(I2518-$D$14))/2</f>
      </c>
      <c r="W2518" s="7">
        <f>($B$22*I2518^4+$C$22*I2518^3+$D$22*I2518^2+$E$22*I2518+$F$22)/2</f>
      </c>
      <c r="X2518" s="7">
        <f>($W2518)*(T2518)</f>
      </c>
      <c r="Y2518" s="7">
        <f>($W2518)*(U2518)</f>
      </c>
      <c r="Z2518" s="7">
        <f>SQRT(X2518^2+Y2518^2)</f>
      </c>
      <c r="AA2518" s="7">
        <f>$K2518+$X2518</f>
      </c>
      <c r="AB2518" s="7">
        <f>$L2518+$Y2518</f>
      </c>
      <c r="AC2518" s="7">
        <f>$K2518-$X2518</f>
      </c>
      <c r="AD2518" s="7">
        <f>$L2518-$Y2518</f>
      </c>
      <c r="AE2518" s="7">
        <f>AA2518/39.3701</f>
      </c>
      <c r="AF2518" s="7">
        <f>AB2518/39.3701</f>
      </c>
      <c r="AG2518" s="7">
        <f>AC2518/39.3701</f>
      </c>
      <c r="AH2518" s="7">
        <f>AD2518/39.3701</f>
      </c>
      <c r="AI2518" s="1"/>
      <c r="AJ2518" s="1"/>
      <c r="AK2518" s="1"/>
      <c r="AL2518" s="1"/>
      <c r="AM2518" s="2"/>
      <c r="AN2518" s="1"/>
      <c r="AO2518" s="1"/>
      <c r="AP2518" s="1"/>
      <c r="AQ2518" s="1"/>
      <c r="AR2518" s="1"/>
      <c r="AS2518" s="1"/>
      <c r="AT2518" s="1"/>
      <c r="AU2518" s="1"/>
      <c r="AV2518" s="1"/>
      <c r="AW2518" s="1"/>
      <c r="AX2518" s="1"/>
      <c r="AY2518" s="1"/>
      <c r="AZ2518" s="1"/>
      <c r="BA2518" s="1"/>
      <c r="BB2518" s="1"/>
      <c r="BC2518" s="1"/>
      <c r="BD2518" s="1"/>
      <c r="BE2518" s="1"/>
    </row>
    <row x14ac:dyDescent="0.25" r="2519" customHeight="1" ht="18.75">
      <c r="A2519" s="1"/>
      <c r="B2519" s="2"/>
      <c r="C2519" s="2"/>
      <c r="D2519" s="2"/>
      <c r="E2519" s="2"/>
      <c r="F2519" s="2"/>
      <c r="G2519" s="1"/>
      <c r="H2519" s="1"/>
      <c r="I2519" s="7">
        <v>2.516</v>
      </c>
      <c r="J2519" s="7">
        <f>IF((I2519-ROUNDDOWN(I2519,0))=0, 0, (I2519-ROUNDDOWN(I2519,0)))</f>
      </c>
      <c r="K2519" s="7">
        <f>INDIRECT("C$"&amp;2+MIN(2,ROUNDDOWN(I2519,0))*3)*(-$J2519^3+3*$J2519^2-3*$J2519+1)+INDIRECT("C$"&amp;3+MIN(2,ROUNDDOWN(I2519,0))*3)*(3*$J2519^3-6*$J2519^2+3*$J2519)+INDIRECT("C$"&amp;4+MIN(2,ROUNDDOWN(I2519,0))*3)*(-3*$J2519^3+3*$J2519^2)+INDIRECT("C$"&amp;5+MIN(2,ROUNDDOWN(I2519,0))*3)*$J2519^3</f>
      </c>
      <c r="L2519" s="7">
        <f>INDIRECT("D$"&amp;2+MIN(2,ROUNDDOWN(I2519,0))*3)*(-$J2519^3+3*$J2519^2-3*$J2519+1)+INDIRECT("D$"&amp;3+MIN(2,ROUNDDOWN(I2519,0))*3)*(3*$J2519^3-6*$J2519^2+3*$J2519)+INDIRECT("D$"&amp;4+MIN(2,ROUNDDOWN(I2519,0))*3)*(-3*$J2519^3+3*$J2519^2)+INDIRECT("D$"&amp;5+MIN(2,ROUNDDOWN(I2519,0))*3)*$J2519^3</f>
      </c>
      <c r="M2519" s="7">
        <f>SQRT(K2519^2+L2519^2)</f>
      </c>
      <c r="N2519" s="7">
        <f>(K2520-K2518)</f>
      </c>
      <c r="O2519" s="7">
        <f>+(L2520-L2518)</f>
      </c>
      <c r="P2519" s="7">
        <f>SQRT(O2519^2+N2519^2)</f>
      </c>
      <c r="Q2519" s="7">
        <f>N2519/$P2519</f>
      </c>
      <c r="R2519" s="7">
        <f>O2519/$P2519</f>
      </c>
      <c r="S2519" s="7">
        <f>Q2519^2+R2519^2</f>
      </c>
      <c r="T2519" s="7">
        <f>-R2519</f>
      </c>
      <c r="U2519" s="7">
        <f>Q2519</f>
      </c>
      <c r="V2519" s="7">
        <f>($C$14+($C$15-$C$14)/($D$15-$D$14)*(I2519-$D$14))/2</f>
      </c>
      <c r="W2519" s="7">
        <f>($B$22*I2519^4+$C$22*I2519^3+$D$22*I2519^2+$E$22*I2519+$F$22)/2</f>
      </c>
      <c r="X2519" s="7">
        <f>($W2519)*(T2519)</f>
      </c>
      <c r="Y2519" s="7">
        <f>($W2519)*(U2519)</f>
      </c>
      <c r="Z2519" s="7">
        <f>SQRT(X2519^2+Y2519^2)</f>
      </c>
      <c r="AA2519" s="7">
        <f>$K2519+$X2519</f>
      </c>
      <c r="AB2519" s="7">
        <f>$L2519+$Y2519</f>
      </c>
      <c r="AC2519" s="7">
        <f>$K2519-$X2519</f>
      </c>
      <c r="AD2519" s="7">
        <f>$L2519-$Y2519</f>
      </c>
      <c r="AE2519" s="7">
        <f>AA2519/39.3701</f>
      </c>
      <c r="AF2519" s="7">
        <f>AB2519/39.3701</f>
      </c>
      <c r="AG2519" s="7">
        <f>AC2519/39.3701</f>
      </c>
      <c r="AH2519" s="7">
        <f>AD2519/39.3701</f>
      </c>
      <c r="AI2519" s="1"/>
      <c r="AJ2519" s="1"/>
      <c r="AK2519" s="1"/>
      <c r="AL2519" s="1"/>
      <c r="AM2519" s="2"/>
      <c r="AN2519" s="1"/>
      <c r="AO2519" s="1"/>
      <c r="AP2519" s="1"/>
      <c r="AQ2519" s="1"/>
      <c r="AR2519" s="1"/>
      <c r="AS2519" s="1"/>
      <c r="AT2519" s="1"/>
      <c r="AU2519" s="1"/>
      <c r="AV2519" s="1"/>
      <c r="AW2519" s="1"/>
      <c r="AX2519" s="1"/>
      <c r="AY2519" s="1"/>
      <c r="AZ2519" s="1"/>
      <c r="BA2519" s="1"/>
      <c r="BB2519" s="1"/>
      <c r="BC2519" s="1"/>
      <c r="BD2519" s="1"/>
      <c r="BE2519" s="1"/>
    </row>
    <row x14ac:dyDescent="0.25" r="2520" customHeight="1" ht="18.75">
      <c r="A2520" s="1"/>
      <c r="B2520" s="2"/>
      <c r="C2520" s="2"/>
      <c r="D2520" s="2"/>
      <c r="E2520" s="2"/>
      <c r="F2520" s="2"/>
      <c r="G2520" s="1"/>
      <c r="H2520" s="1"/>
      <c r="I2520" s="7">
        <v>2.517</v>
      </c>
      <c r="J2520" s="7">
        <f>IF((I2520-ROUNDDOWN(I2520,0))=0, 0, (I2520-ROUNDDOWN(I2520,0)))</f>
      </c>
      <c r="K2520" s="7">
        <f>INDIRECT("C$"&amp;2+MIN(2,ROUNDDOWN(I2520,0))*3)*(-$J2520^3+3*$J2520^2-3*$J2520+1)+INDIRECT("C$"&amp;3+MIN(2,ROUNDDOWN(I2520,0))*3)*(3*$J2520^3-6*$J2520^2+3*$J2520)+INDIRECT("C$"&amp;4+MIN(2,ROUNDDOWN(I2520,0))*3)*(-3*$J2520^3+3*$J2520^2)+INDIRECT("C$"&amp;5+MIN(2,ROUNDDOWN(I2520,0))*3)*$J2520^3</f>
      </c>
      <c r="L2520" s="7">
        <f>INDIRECT("D$"&amp;2+MIN(2,ROUNDDOWN(I2520,0))*3)*(-$J2520^3+3*$J2520^2-3*$J2520+1)+INDIRECT("D$"&amp;3+MIN(2,ROUNDDOWN(I2520,0))*3)*(3*$J2520^3-6*$J2520^2+3*$J2520)+INDIRECT("D$"&amp;4+MIN(2,ROUNDDOWN(I2520,0))*3)*(-3*$J2520^3+3*$J2520^2)+INDIRECT("D$"&amp;5+MIN(2,ROUNDDOWN(I2520,0))*3)*$J2520^3</f>
      </c>
      <c r="M2520" s="7">
        <f>SQRT(K2520^2+L2520^2)</f>
      </c>
      <c r="N2520" s="7">
        <f>(K2521-K2519)</f>
      </c>
      <c r="O2520" s="7">
        <f>+(L2521-L2519)</f>
      </c>
      <c r="P2520" s="7">
        <f>SQRT(O2520^2+N2520^2)</f>
      </c>
      <c r="Q2520" s="7">
        <f>N2520/$P2520</f>
      </c>
      <c r="R2520" s="7">
        <f>O2520/$P2520</f>
      </c>
      <c r="S2520" s="8">
        <f>Q2520^2+R2520^2</f>
      </c>
      <c r="T2520" s="7">
        <f>-R2520</f>
      </c>
      <c r="U2520" s="7">
        <f>Q2520</f>
      </c>
      <c r="V2520" s="7">
        <f>($C$14+($C$15-$C$14)/($D$15-$D$14)*(I2520-$D$14))/2</f>
      </c>
      <c r="W2520" s="7">
        <f>($B$22*I2520^4+$C$22*I2520^3+$D$22*I2520^2+$E$22*I2520+$F$22)/2</f>
      </c>
      <c r="X2520" s="7">
        <f>($W2520)*(T2520)</f>
      </c>
      <c r="Y2520" s="7">
        <f>($W2520)*(U2520)</f>
      </c>
      <c r="Z2520" s="7">
        <f>SQRT(X2520^2+Y2520^2)</f>
      </c>
      <c r="AA2520" s="7">
        <f>$K2520+$X2520</f>
      </c>
      <c r="AB2520" s="7">
        <f>$L2520+$Y2520</f>
      </c>
      <c r="AC2520" s="7">
        <f>$K2520-$X2520</f>
      </c>
      <c r="AD2520" s="7">
        <f>$L2520-$Y2520</f>
      </c>
      <c r="AE2520" s="7">
        <f>AA2520/39.3701</f>
      </c>
      <c r="AF2520" s="7">
        <f>AB2520/39.3701</f>
      </c>
      <c r="AG2520" s="7">
        <f>AC2520/39.3701</f>
      </c>
      <c r="AH2520" s="7">
        <f>AD2520/39.3701</f>
      </c>
      <c r="AI2520" s="1"/>
      <c r="AJ2520" s="1"/>
      <c r="AK2520" s="1"/>
      <c r="AL2520" s="1"/>
      <c r="AM2520" s="2"/>
      <c r="AN2520" s="1"/>
      <c r="AO2520" s="1"/>
      <c r="AP2520" s="1"/>
      <c r="AQ2520" s="1"/>
      <c r="AR2520" s="1"/>
      <c r="AS2520" s="1"/>
      <c r="AT2520" s="1"/>
      <c r="AU2520" s="1"/>
      <c r="AV2520" s="1"/>
      <c r="AW2520" s="1"/>
      <c r="AX2520" s="1"/>
      <c r="AY2520" s="1"/>
      <c r="AZ2520" s="1"/>
      <c r="BA2520" s="1"/>
      <c r="BB2520" s="1"/>
      <c r="BC2520" s="1"/>
      <c r="BD2520" s="1"/>
      <c r="BE2520" s="1"/>
    </row>
    <row x14ac:dyDescent="0.25" r="2521" customHeight="1" ht="18.75">
      <c r="A2521" s="1"/>
      <c r="B2521" s="2"/>
      <c r="C2521" s="2"/>
      <c r="D2521" s="2"/>
      <c r="E2521" s="2"/>
      <c r="F2521" s="2"/>
      <c r="G2521" s="1"/>
      <c r="H2521" s="1"/>
      <c r="I2521" s="7">
        <v>2.518</v>
      </c>
      <c r="J2521" s="7">
        <f>IF((I2521-ROUNDDOWN(I2521,0))=0, 0, (I2521-ROUNDDOWN(I2521,0)))</f>
      </c>
      <c r="K2521" s="7">
        <f>INDIRECT("C$"&amp;2+MIN(2,ROUNDDOWN(I2521,0))*3)*(-$J2521^3+3*$J2521^2-3*$J2521+1)+INDIRECT("C$"&amp;3+MIN(2,ROUNDDOWN(I2521,0))*3)*(3*$J2521^3-6*$J2521^2+3*$J2521)+INDIRECT("C$"&amp;4+MIN(2,ROUNDDOWN(I2521,0))*3)*(-3*$J2521^3+3*$J2521^2)+INDIRECT("C$"&amp;5+MIN(2,ROUNDDOWN(I2521,0))*3)*$J2521^3</f>
      </c>
      <c r="L2521" s="7">
        <f>INDIRECT("D$"&amp;2+MIN(2,ROUNDDOWN(I2521,0))*3)*(-$J2521^3+3*$J2521^2-3*$J2521+1)+INDIRECT("D$"&amp;3+MIN(2,ROUNDDOWN(I2521,0))*3)*(3*$J2521^3-6*$J2521^2+3*$J2521)+INDIRECT("D$"&amp;4+MIN(2,ROUNDDOWN(I2521,0))*3)*(-3*$J2521^3+3*$J2521^2)+INDIRECT("D$"&amp;5+MIN(2,ROUNDDOWN(I2521,0))*3)*$J2521^3</f>
      </c>
      <c r="M2521" s="7">
        <f>SQRT(K2521^2+L2521^2)</f>
      </c>
      <c r="N2521" s="7">
        <f>(K2522-K2520)</f>
      </c>
      <c r="O2521" s="7">
        <f>+(L2522-L2520)</f>
      </c>
      <c r="P2521" s="7">
        <f>SQRT(O2521^2+N2521^2)</f>
      </c>
      <c r="Q2521" s="7">
        <f>N2521/$P2521</f>
      </c>
      <c r="R2521" s="7">
        <f>O2521/$P2521</f>
      </c>
      <c r="S2521" s="8">
        <f>Q2521^2+R2521^2</f>
      </c>
      <c r="T2521" s="7">
        <f>-R2521</f>
      </c>
      <c r="U2521" s="7">
        <f>Q2521</f>
      </c>
      <c r="V2521" s="7">
        <f>($C$14+($C$15-$C$14)/($D$15-$D$14)*(I2521-$D$14))/2</f>
      </c>
      <c r="W2521" s="7">
        <f>($B$22*I2521^4+$C$22*I2521^3+$D$22*I2521^2+$E$22*I2521+$F$22)/2</f>
      </c>
      <c r="X2521" s="7">
        <f>($W2521)*(T2521)</f>
      </c>
      <c r="Y2521" s="7">
        <f>($W2521)*(U2521)</f>
      </c>
      <c r="Z2521" s="7">
        <f>SQRT(X2521^2+Y2521^2)</f>
      </c>
      <c r="AA2521" s="7">
        <f>$K2521+$X2521</f>
      </c>
      <c r="AB2521" s="7">
        <f>$L2521+$Y2521</f>
      </c>
      <c r="AC2521" s="7">
        <f>$K2521-$X2521</f>
      </c>
      <c r="AD2521" s="7">
        <f>$L2521-$Y2521</f>
      </c>
      <c r="AE2521" s="7">
        <f>AA2521/39.3701</f>
      </c>
      <c r="AF2521" s="7">
        <f>AB2521/39.3701</f>
      </c>
      <c r="AG2521" s="7">
        <f>AC2521/39.3701</f>
      </c>
      <c r="AH2521" s="7">
        <f>AD2521/39.3701</f>
      </c>
      <c r="AI2521" s="1"/>
      <c r="AJ2521" s="1"/>
      <c r="AK2521" s="1"/>
      <c r="AL2521" s="1"/>
      <c r="AM2521" s="2"/>
      <c r="AN2521" s="1"/>
      <c r="AO2521" s="1"/>
      <c r="AP2521" s="1"/>
      <c r="AQ2521" s="1"/>
      <c r="AR2521" s="1"/>
      <c r="AS2521" s="1"/>
      <c r="AT2521" s="1"/>
      <c r="AU2521" s="1"/>
      <c r="AV2521" s="1"/>
      <c r="AW2521" s="1"/>
      <c r="AX2521" s="1"/>
      <c r="AY2521" s="1"/>
      <c r="AZ2521" s="1"/>
      <c r="BA2521" s="1"/>
      <c r="BB2521" s="1"/>
      <c r="BC2521" s="1"/>
      <c r="BD2521" s="1"/>
      <c r="BE2521" s="1"/>
    </row>
    <row x14ac:dyDescent="0.25" r="2522" customHeight="1" ht="18.75">
      <c r="A2522" s="1"/>
      <c r="B2522" s="2"/>
      <c r="C2522" s="2"/>
      <c r="D2522" s="2"/>
      <c r="E2522" s="2"/>
      <c r="F2522" s="2"/>
      <c r="G2522" s="1"/>
      <c r="H2522" s="1"/>
      <c r="I2522" s="7">
        <v>2.519</v>
      </c>
      <c r="J2522" s="7">
        <f>IF((I2522-ROUNDDOWN(I2522,0))=0, 0, (I2522-ROUNDDOWN(I2522,0)))</f>
      </c>
      <c r="K2522" s="7">
        <f>INDIRECT("C$"&amp;2+MIN(2,ROUNDDOWN(I2522,0))*3)*(-$J2522^3+3*$J2522^2-3*$J2522+1)+INDIRECT("C$"&amp;3+MIN(2,ROUNDDOWN(I2522,0))*3)*(3*$J2522^3-6*$J2522^2+3*$J2522)+INDIRECT("C$"&amp;4+MIN(2,ROUNDDOWN(I2522,0))*3)*(-3*$J2522^3+3*$J2522^2)+INDIRECT("C$"&amp;5+MIN(2,ROUNDDOWN(I2522,0))*3)*$J2522^3</f>
      </c>
      <c r="L2522" s="7">
        <f>INDIRECT("D$"&amp;2+MIN(2,ROUNDDOWN(I2522,0))*3)*(-$J2522^3+3*$J2522^2-3*$J2522+1)+INDIRECT("D$"&amp;3+MIN(2,ROUNDDOWN(I2522,0))*3)*(3*$J2522^3-6*$J2522^2+3*$J2522)+INDIRECT("D$"&amp;4+MIN(2,ROUNDDOWN(I2522,0))*3)*(-3*$J2522^3+3*$J2522^2)+INDIRECT("D$"&amp;5+MIN(2,ROUNDDOWN(I2522,0))*3)*$J2522^3</f>
      </c>
      <c r="M2522" s="7">
        <f>SQRT(K2522^2+L2522^2)</f>
      </c>
      <c r="N2522" s="7">
        <f>(K2523-K2521)</f>
      </c>
      <c r="O2522" s="7">
        <f>+(L2523-L2521)</f>
      </c>
      <c r="P2522" s="7">
        <f>SQRT(O2522^2+N2522^2)</f>
      </c>
      <c r="Q2522" s="7">
        <f>N2522/$P2522</f>
      </c>
      <c r="R2522" s="7">
        <f>O2522/$P2522</f>
      </c>
      <c r="S2522" s="8">
        <f>Q2522^2+R2522^2</f>
      </c>
      <c r="T2522" s="7">
        <f>-R2522</f>
      </c>
      <c r="U2522" s="7">
        <f>Q2522</f>
      </c>
      <c r="V2522" s="7">
        <f>($C$14+($C$15-$C$14)/($D$15-$D$14)*(I2522-$D$14))/2</f>
      </c>
      <c r="W2522" s="7">
        <f>($B$22*I2522^4+$C$22*I2522^3+$D$22*I2522^2+$E$22*I2522+$F$22)/2</f>
      </c>
      <c r="X2522" s="7">
        <f>($W2522)*(T2522)</f>
      </c>
      <c r="Y2522" s="7">
        <f>($W2522)*(U2522)</f>
      </c>
      <c r="Z2522" s="7">
        <f>SQRT(X2522^2+Y2522^2)</f>
      </c>
      <c r="AA2522" s="7">
        <f>$K2522+$X2522</f>
      </c>
      <c r="AB2522" s="7">
        <f>$L2522+$Y2522</f>
      </c>
      <c r="AC2522" s="7">
        <f>$K2522-$X2522</f>
      </c>
      <c r="AD2522" s="7">
        <f>$L2522-$Y2522</f>
      </c>
      <c r="AE2522" s="7">
        <f>AA2522/39.3701</f>
      </c>
      <c r="AF2522" s="7">
        <f>AB2522/39.3701</f>
      </c>
      <c r="AG2522" s="7">
        <f>AC2522/39.3701</f>
      </c>
      <c r="AH2522" s="7">
        <f>AD2522/39.3701</f>
      </c>
      <c r="AI2522" s="1"/>
      <c r="AJ2522" s="1"/>
      <c r="AK2522" s="1"/>
      <c r="AL2522" s="1"/>
      <c r="AM2522" s="2"/>
      <c r="AN2522" s="1"/>
      <c r="AO2522" s="1"/>
      <c r="AP2522" s="1"/>
      <c r="AQ2522" s="1"/>
      <c r="AR2522" s="1"/>
      <c r="AS2522" s="1"/>
      <c r="AT2522" s="1"/>
      <c r="AU2522" s="1"/>
      <c r="AV2522" s="1"/>
      <c r="AW2522" s="1"/>
      <c r="AX2522" s="1"/>
      <c r="AY2522" s="1"/>
      <c r="AZ2522" s="1"/>
      <c r="BA2522" s="1"/>
      <c r="BB2522" s="1"/>
      <c r="BC2522" s="1"/>
      <c r="BD2522" s="1"/>
      <c r="BE2522" s="1"/>
    </row>
    <row x14ac:dyDescent="0.25" r="2523" customHeight="1" ht="18.75">
      <c r="A2523" s="1"/>
      <c r="B2523" s="2"/>
      <c r="C2523" s="2"/>
      <c r="D2523" s="2"/>
      <c r="E2523" s="2"/>
      <c r="F2523" s="2"/>
      <c r="G2523" s="1"/>
      <c r="H2523" s="1"/>
      <c r="I2523" s="7">
        <v>2.52</v>
      </c>
      <c r="J2523" s="7">
        <f>IF((I2523-ROUNDDOWN(I2523,0))=0, 0, (I2523-ROUNDDOWN(I2523,0)))</f>
      </c>
      <c r="K2523" s="7">
        <f>INDIRECT("C$"&amp;2+MIN(2,ROUNDDOWN(I2523,0))*3)*(-$J2523^3+3*$J2523^2-3*$J2523+1)+INDIRECT("C$"&amp;3+MIN(2,ROUNDDOWN(I2523,0))*3)*(3*$J2523^3-6*$J2523^2+3*$J2523)+INDIRECT("C$"&amp;4+MIN(2,ROUNDDOWN(I2523,0))*3)*(-3*$J2523^3+3*$J2523^2)+INDIRECT("C$"&amp;5+MIN(2,ROUNDDOWN(I2523,0))*3)*$J2523^3</f>
      </c>
      <c r="L2523" s="7">
        <f>INDIRECT("D$"&amp;2+MIN(2,ROUNDDOWN(I2523,0))*3)*(-$J2523^3+3*$J2523^2-3*$J2523+1)+INDIRECT("D$"&amp;3+MIN(2,ROUNDDOWN(I2523,0))*3)*(3*$J2523^3-6*$J2523^2+3*$J2523)+INDIRECT("D$"&amp;4+MIN(2,ROUNDDOWN(I2523,0))*3)*(-3*$J2523^3+3*$J2523^2)+INDIRECT("D$"&amp;5+MIN(2,ROUNDDOWN(I2523,0))*3)*$J2523^3</f>
      </c>
      <c r="M2523" s="7">
        <f>SQRT(K2523^2+L2523^2)</f>
      </c>
      <c r="N2523" s="7">
        <f>(K2524-K2522)</f>
      </c>
      <c r="O2523" s="7">
        <f>+(L2524-L2522)</f>
      </c>
      <c r="P2523" s="7">
        <f>SQRT(O2523^2+N2523^2)</f>
      </c>
      <c r="Q2523" s="7">
        <f>N2523/$P2523</f>
      </c>
      <c r="R2523" s="7">
        <f>O2523/$P2523</f>
      </c>
      <c r="S2523" s="7">
        <f>Q2523^2+R2523^2</f>
      </c>
      <c r="T2523" s="7">
        <f>-R2523</f>
      </c>
      <c r="U2523" s="7">
        <f>Q2523</f>
      </c>
      <c r="V2523" s="7">
        <f>($C$14+($C$15-$C$14)/($D$15-$D$14)*(I2523-$D$14))/2</f>
      </c>
      <c r="W2523" s="7">
        <f>($B$22*I2523^4+$C$22*I2523^3+$D$22*I2523^2+$E$22*I2523+$F$22)/2</f>
      </c>
      <c r="X2523" s="7">
        <f>($W2523)*(T2523)</f>
      </c>
      <c r="Y2523" s="7">
        <f>($W2523)*(U2523)</f>
      </c>
      <c r="Z2523" s="7">
        <f>SQRT(X2523^2+Y2523^2)</f>
      </c>
      <c r="AA2523" s="7">
        <f>$K2523+$X2523</f>
      </c>
      <c r="AB2523" s="7">
        <f>$L2523+$Y2523</f>
      </c>
      <c r="AC2523" s="7">
        <f>$K2523-$X2523</f>
      </c>
      <c r="AD2523" s="7">
        <f>$L2523-$Y2523</f>
      </c>
      <c r="AE2523" s="7">
        <f>AA2523/39.3701</f>
      </c>
      <c r="AF2523" s="7">
        <f>AB2523/39.3701</f>
      </c>
      <c r="AG2523" s="7">
        <f>AC2523/39.3701</f>
      </c>
      <c r="AH2523" s="7">
        <f>AD2523/39.3701</f>
      </c>
      <c r="AI2523" s="1"/>
      <c r="AJ2523" s="1"/>
      <c r="AK2523" s="1"/>
      <c r="AL2523" s="1"/>
      <c r="AM2523" s="2"/>
      <c r="AN2523" s="1"/>
      <c r="AO2523" s="1"/>
      <c r="AP2523" s="1"/>
      <c r="AQ2523" s="1"/>
      <c r="AR2523" s="1"/>
      <c r="AS2523" s="1"/>
      <c r="AT2523" s="1"/>
      <c r="AU2523" s="1"/>
      <c r="AV2523" s="1"/>
      <c r="AW2523" s="1"/>
      <c r="AX2523" s="1"/>
      <c r="AY2523" s="1"/>
      <c r="AZ2523" s="1"/>
      <c r="BA2523" s="1"/>
      <c r="BB2523" s="1"/>
      <c r="BC2523" s="1"/>
      <c r="BD2523" s="1"/>
      <c r="BE2523" s="1"/>
    </row>
    <row x14ac:dyDescent="0.25" r="2524" customHeight="1" ht="18.75">
      <c r="A2524" s="1"/>
      <c r="B2524" s="2"/>
      <c r="C2524" s="2"/>
      <c r="D2524" s="2"/>
      <c r="E2524" s="2"/>
      <c r="F2524" s="2"/>
      <c r="G2524" s="1"/>
      <c r="H2524" s="1"/>
      <c r="I2524" s="7">
        <v>2.521</v>
      </c>
      <c r="J2524" s="7">
        <f>IF((I2524-ROUNDDOWN(I2524,0))=0, 0, (I2524-ROUNDDOWN(I2524,0)))</f>
      </c>
      <c r="K2524" s="7">
        <f>INDIRECT("C$"&amp;2+MIN(2,ROUNDDOWN(I2524,0))*3)*(-$J2524^3+3*$J2524^2-3*$J2524+1)+INDIRECT("C$"&amp;3+MIN(2,ROUNDDOWN(I2524,0))*3)*(3*$J2524^3-6*$J2524^2+3*$J2524)+INDIRECT("C$"&amp;4+MIN(2,ROUNDDOWN(I2524,0))*3)*(-3*$J2524^3+3*$J2524^2)+INDIRECT("C$"&amp;5+MIN(2,ROUNDDOWN(I2524,0))*3)*$J2524^3</f>
      </c>
      <c r="L2524" s="7">
        <f>INDIRECT("D$"&amp;2+MIN(2,ROUNDDOWN(I2524,0))*3)*(-$J2524^3+3*$J2524^2-3*$J2524+1)+INDIRECT("D$"&amp;3+MIN(2,ROUNDDOWN(I2524,0))*3)*(3*$J2524^3-6*$J2524^2+3*$J2524)+INDIRECT("D$"&amp;4+MIN(2,ROUNDDOWN(I2524,0))*3)*(-3*$J2524^3+3*$J2524^2)+INDIRECT("D$"&amp;5+MIN(2,ROUNDDOWN(I2524,0))*3)*$J2524^3</f>
      </c>
      <c r="M2524" s="7">
        <f>SQRT(K2524^2+L2524^2)</f>
      </c>
      <c r="N2524" s="7">
        <f>(K2525-K2523)</f>
      </c>
      <c r="O2524" s="7">
        <f>+(L2525-L2523)</f>
      </c>
      <c r="P2524" s="7">
        <f>SQRT(O2524^2+N2524^2)</f>
      </c>
      <c r="Q2524" s="7">
        <f>N2524/$P2524</f>
      </c>
      <c r="R2524" s="7">
        <f>O2524/$P2524</f>
      </c>
      <c r="S2524" s="8">
        <f>Q2524^2+R2524^2</f>
      </c>
      <c r="T2524" s="7">
        <f>-R2524</f>
      </c>
      <c r="U2524" s="7">
        <f>Q2524</f>
      </c>
      <c r="V2524" s="7">
        <f>($C$14+($C$15-$C$14)/($D$15-$D$14)*(I2524-$D$14))/2</f>
      </c>
      <c r="W2524" s="7">
        <f>($B$22*I2524^4+$C$22*I2524^3+$D$22*I2524^2+$E$22*I2524+$F$22)/2</f>
      </c>
      <c r="X2524" s="7">
        <f>($W2524)*(T2524)</f>
      </c>
      <c r="Y2524" s="7">
        <f>($W2524)*(U2524)</f>
      </c>
      <c r="Z2524" s="7">
        <f>SQRT(X2524^2+Y2524^2)</f>
      </c>
      <c r="AA2524" s="7">
        <f>$K2524+$X2524</f>
      </c>
      <c r="AB2524" s="7">
        <f>$L2524+$Y2524</f>
      </c>
      <c r="AC2524" s="7">
        <f>$K2524-$X2524</f>
      </c>
      <c r="AD2524" s="7">
        <f>$L2524-$Y2524</f>
      </c>
      <c r="AE2524" s="7">
        <f>AA2524/39.3701</f>
      </c>
      <c r="AF2524" s="7">
        <f>AB2524/39.3701</f>
      </c>
      <c r="AG2524" s="7">
        <f>AC2524/39.3701</f>
      </c>
      <c r="AH2524" s="7">
        <f>AD2524/39.3701</f>
      </c>
      <c r="AI2524" s="1"/>
      <c r="AJ2524" s="1"/>
      <c r="AK2524" s="1"/>
      <c r="AL2524" s="1"/>
      <c r="AM2524" s="2"/>
      <c r="AN2524" s="1"/>
      <c r="AO2524" s="1"/>
      <c r="AP2524" s="1"/>
      <c r="AQ2524" s="1"/>
      <c r="AR2524" s="1"/>
      <c r="AS2524" s="1"/>
      <c r="AT2524" s="1"/>
      <c r="AU2524" s="1"/>
      <c r="AV2524" s="1"/>
      <c r="AW2524" s="1"/>
      <c r="AX2524" s="1"/>
      <c r="AY2524" s="1"/>
      <c r="AZ2524" s="1"/>
      <c r="BA2524" s="1"/>
      <c r="BB2524" s="1"/>
      <c r="BC2524" s="1"/>
      <c r="BD2524" s="1"/>
      <c r="BE2524" s="1"/>
    </row>
    <row x14ac:dyDescent="0.25" r="2525" customHeight="1" ht="18.75">
      <c r="A2525" s="1"/>
      <c r="B2525" s="2"/>
      <c r="C2525" s="2"/>
      <c r="D2525" s="2"/>
      <c r="E2525" s="2"/>
      <c r="F2525" s="2"/>
      <c r="G2525" s="1"/>
      <c r="H2525" s="1"/>
      <c r="I2525" s="7">
        <v>2.522</v>
      </c>
      <c r="J2525" s="7">
        <f>IF((I2525-ROUNDDOWN(I2525,0))=0, 0, (I2525-ROUNDDOWN(I2525,0)))</f>
      </c>
      <c r="K2525" s="7">
        <f>INDIRECT("C$"&amp;2+MIN(2,ROUNDDOWN(I2525,0))*3)*(-$J2525^3+3*$J2525^2-3*$J2525+1)+INDIRECT("C$"&amp;3+MIN(2,ROUNDDOWN(I2525,0))*3)*(3*$J2525^3-6*$J2525^2+3*$J2525)+INDIRECT("C$"&amp;4+MIN(2,ROUNDDOWN(I2525,0))*3)*(-3*$J2525^3+3*$J2525^2)+INDIRECT("C$"&amp;5+MIN(2,ROUNDDOWN(I2525,0))*3)*$J2525^3</f>
      </c>
      <c r="L2525" s="7">
        <f>INDIRECT("D$"&amp;2+MIN(2,ROUNDDOWN(I2525,0))*3)*(-$J2525^3+3*$J2525^2-3*$J2525+1)+INDIRECT("D$"&amp;3+MIN(2,ROUNDDOWN(I2525,0))*3)*(3*$J2525^3-6*$J2525^2+3*$J2525)+INDIRECT("D$"&amp;4+MIN(2,ROUNDDOWN(I2525,0))*3)*(-3*$J2525^3+3*$J2525^2)+INDIRECT("D$"&amp;5+MIN(2,ROUNDDOWN(I2525,0))*3)*$J2525^3</f>
      </c>
      <c r="M2525" s="7">
        <f>SQRT(K2525^2+L2525^2)</f>
      </c>
      <c r="N2525" s="7">
        <f>(K2526-K2524)</f>
      </c>
      <c r="O2525" s="7">
        <f>+(L2526-L2524)</f>
      </c>
      <c r="P2525" s="7">
        <f>SQRT(O2525^2+N2525^2)</f>
      </c>
      <c r="Q2525" s="7">
        <f>N2525/$P2525</f>
      </c>
      <c r="R2525" s="7">
        <f>O2525/$P2525</f>
      </c>
      <c r="S2525" s="8">
        <f>Q2525^2+R2525^2</f>
      </c>
      <c r="T2525" s="7">
        <f>-R2525</f>
      </c>
      <c r="U2525" s="7">
        <f>Q2525</f>
      </c>
      <c r="V2525" s="7">
        <f>($C$14+($C$15-$C$14)/($D$15-$D$14)*(I2525-$D$14))/2</f>
      </c>
      <c r="W2525" s="7">
        <f>($B$22*I2525^4+$C$22*I2525^3+$D$22*I2525^2+$E$22*I2525+$F$22)/2</f>
      </c>
      <c r="X2525" s="7">
        <f>($W2525)*(T2525)</f>
      </c>
      <c r="Y2525" s="7">
        <f>($W2525)*(U2525)</f>
      </c>
      <c r="Z2525" s="7">
        <f>SQRT(X2525^2+Y2525^2)</f>
      </c>
      <c r="AA2525" s="7">
        <f>$K2525+$X2525</f>
      </c>
      <c r="AB2525" s="7">
        <f>$L2525+$Y2525</f>
      </c>
      <c r="AC2525" s="7">
        <f>$K2525-$X2525</f>
      </c>
      <c r="AD2525" s="7">
        <f>$L2525-$Y2525</f>
      </c>
      <c r="AE2525" s="7">
        <f>AA2525/39.3701</f>
      </c>
      <c r="AF2525" s="7">
        <f>AB2525/39.3701</f>
      </c>
      <c r="AG2525" s="7">
        <f>AC2525/39.3701</f>
      </c>
      <c r="AH2525" s="7">
        <f>AD2525/39.3701</f>
      </c>
      <c r="AI2525" s="1"/>
      <c r="AJ2525" s="1"/>
      <c r="AK2525" s="1"/>
      <c r="AL2525" s="1"/>
      <c r="AM2525" s="2"/>
      <c r="AN2525" s="1"/>
      <c r="AO2525" s="1"/>
      <c r="AP2525" s="1"/>
      <c r="AQ2525" s="1"/>
      <c r="AR2525" s="1"/>
      <c r="AS2525" s="1"/>
      <c r="AT2525" s="1"/>
      <c r="AU2525" s="1"/>
      <c r="AV2525" s="1"/>
      <c r="AW2525" s="1"/>
      <c r="AX2525" s="1"/>
      <c r="AY2525" s="1"/>
      <c r="AZ2525" s="1"/>
      <c r="BA2525" s="1"/>
      <c r="BB2525" s="1"/>
      <c r="BC2525" s="1"/>
      <c r="BD2525" s="1"/>
      <c r="BE2525" s="1"/>
    </row>
    <row x14ac:dyDescent="0.25" r="2526" customHeight="1" ht="18.75">
      <c r="A2526" s="1"/>
      <c r="B2526" s="2"/>
      <c r="C2526" s="2"/>
      <c r="D2526" s="2"/>
      <c r="E2526" s="2"/>
      <c r="F2526" s="2"/>
      <c r="G2526" s="1"/>
      <c r="H2526" s="1"/>
      <c r="I2526" s="7">
        <v>2.523</v>
      </c>
      <c r="J2526" s="7">
        <f>IF((I2526-ROUNDDOWN(I2526,0))=0, 0, (I2526-ROUNDDOWN(I2526,0)))</f>
      </c>
      <c r="K2526" s="7">
        <f>INDIRECT("C$"&amp;2+MIN(2,ROUNDDOWN(I2526,0))*3)*(-$J2526^3+3*$J2526^2-3*$J2526+1)+INDIRECT("C$"&amp;3+MIN(2,ROUNDDOWN(I2526,0))*3)*(3*$J2526^3-6*$J2526^2+3*$J2526)+INDIRECT("C$"&amp;4+MIN(2,ROUNDDOWN(I2526,0))*3)*(-3*$J2526^3+3*$J2526^2)+INDIRECT("C$"&amp;5+MIN(2,ROUNDDOWN(I2526,0))*3)*$J2526^3</f>
      </c>
      <c r="L2526" s="7">
        <f>INDIRECT("D$"&amp;2+MIN(2,ROUNDDOWN(I2526,0))*3)*(-$J2526^3+3*$J2526^2-3*$J2526+1)+INDIRECT("D$"&amp;3+MIN(2,ROUNDDOWN(I2526,0))*3)*(3*$J2526^3-6*$J2526^2+3*$J2526)+INDIRECT("D$"&amp;4+MIN(2,ROUNDDOWN(I2526,0))*3)*(-3*$J2526^3+3*$J2526^2)+INDIRECT("D$"&amp;5+MIN(2,ROUNDDOWN(I2526,0))*3)*$J2526^3</f>
      </c>
      <c r="M2526" s="7">
        <f>SQRT(K2526^2+L2526^2)</f>
      </c>
      <c r="N2526" s="7">
        <f>(K2527-K2525)</f>
      </c>
      <c r="O2526" s="7">
        <f>+(L2527-L2525)</f>
      </c>
      <c r="P2526" s="7">
        <f>SQRT(O2526^2+N2526^2)</f>
      </c>
      <c r="Q2526" s="7">
        <f>N2526/$P2526</f>
      </c>
      <c r="R2526" s="7">
        <f>O2526/$P2526</f>
      </c>
      <c r="S2526" s="8">
        <f>Q2526^2+R2526^2</f>
      </c>
      <c r="T2526" s="7">
        <f>-R2526</f>
      </c>
      <c r="U2526" s="7">
        <f>Q2526</f>
      </c>
      <c r="V2526" s="7">
        <f>($C$14+($C$15-$C$14)/($D$15-$D$14)*(I2526-$D$14))/2</f>
      </c>
      <c r="W2526" s="7">
        <f>($B$22*I2526^4+$C$22*I2526^3+$D$22*I2526^2+$E$22*I2526+$F$22)/2</f>
      </c>
      <c r="X2526" s="7">
        <f>($W2526)*(T2526)</f>
      </c>
      <c r="Y2526" s="7">
        <f>($W2526)*(U2526)</f>
      </c>
      <c r="Z2526" s="7">
        <f>SQRT(X2526^2+Y2526^2)</f>
      </c>
      <c r="AA2526" s="7">
        <f>$K2526+$X2526</f>
      </c>
      <c r="AB2526" s="7">
        <f>$L2526+$Y2526</f>
      </c>
      <c r="AC2526" s="7">
        <f>$K2526-$X2526</f>
      </c>
      <c r="AD2526" s="7">
        <f>$L2526-$Y2526</f>
      </c>
      <c r="AE2526" s="7">
        <f>AA2526/39.3701</f>
      </c>
      <c r="AF2526" s="7">
        <f>AB2526/39.3701</f>
      </c>
      <c r="AG2526" s="7">
        <f>AC2526/39.3701</f>
      </c>
      <c r="AH2526" s="7">
        <f>AD2526/39.3701</f>
      </c>
      <c r="AI2526" s="1"/>
      <c r="AJ2526" s="1"/>
      <c r="AK2526" s="1"/>
      <c r="AL2526" s="1"/>
      <c r="AM2526" s="2"/>
      <c r="AN2526" s="1"/>
      <c r="AO2526" s="1"/>
      <c r="AP2526" s="1"/>
      <c r="AQ2526" s="1"/>
      <c r="AR2526" s="1"/>
      <c r="AS2526" s="1"/>
      <c r="AT2526" s="1"/>
      <c r="AU2526" s="1"/>
      <c r="AV2526" s="1"/>
      <c r="AW2526" s="1"/>
      <c r="AX2526" s="1"/>
      <c r="AY2526" s="1"/>
      <c r="AZ2526" s="1"/>
      <c r="BA2526" s="1"/>
      <c r="BB2526" s="1"/>
      <c r="BC2526" s="1"/>
      <c r="BD2526" s="1"/>
      <c r="BE2526" s="1"/>
    </row>
    <row x14ac:dyDescent="0.25" r="2527" customHeight="1" ht="18.75">
      <c r="A2527" s="1"/>
      <c r="B2527" s="2"/>
      <c r="C2527" s="2"/>
      <c r="D2527" s="2"/>
      <c r="E2527" s="2"/>
      <c r="F2527" s="2"/>
      <c r="G2527" s="1"/>
      <c r="H2527" s="1"/>
      <c r="I2527" s="7">
        <v>2.524</v>
      </c>
      <c r="J2527" s="7">
        <f>IF((I2527-ROUNDDOWN(I2527,0))=0, 0, (I2527-ROUNDDOWN(I2527,0)))</f>
      </c>
      <c r="K2527" s="7">
        <f>INDIRECT("C$"&amp;2+MIN(2,ROUNDDOWN(I2527,0))*3)*(-$J2527^3+3*$J2527^2-3*$J2527+1)+INDIRECT("C$"&amp;3+MIN(2,ROUNDDOWN(I2527,0))*3)*(3*$J2527^3-6*$J2527^2+3*$J2527)+INDIRECT("C$"&amp;4+MIN(2,ROUNDDOWN(I2527,0))*3)*(-3*$J2527^3+3*$J2527^2)+INDIRECT("C$"&amp;5+MIN(2,ROUNDDOWN(I2527,0))*3)*$J2527^3</f>
      </c>
      <c r="L2527" s="7">
        <f>INDIRECT("D$"&amp;2+MIN(2,ROUNDDOWN(I2527,0))*3)*(-$J2527^3+3*$J2527^2-3*$J2527+1)+INDIRECT("D$"&amp;3+MIN(2,ROUNDDOWN(I2527,0))*3)*(3*$J2527^3-6*$J2527^2+3*$J2527)+INDIRECT("D$"&amp;4+MIN(2,ROUNDDOWN(I2527,0))*3)*(-3*$J2527^3+3*$J2527^2)+INDIRECT("D$"&amp;5+MIN(2,ROUNDDOWN(I2527,0))*3)*$J2527^3</f>
      </c>
      <c r="M2527" s="7">
        <f>SQRT(K2527^2+L2527^2)</f>
      </c>
      <c r="N2527" s="7">
        <f>(K2528-K2526)</f>
      </c>
      <c r="O2527" s="7">
        <f>+(L2528-L2526)</f>
      </c>
      <c r="P2527" s="7">
        <f>SQRT(O2527^2+N2527^2)</f>
      </c>
      <c r="Q2527" s="7">
        <f>N2527/$P2527</f>
      </c>
      <c r="R2527" s="7">
        <f>O2527/$P2527</f>
      </c>
      <c r="S2527" s="7">
        <f>Q2527^2+R2527^2</f>
      </c>
      <c r="T2527" s="7">
        <f>-R2527</f>
      </c>
      <c r="U2527" s="7">
        <f>Q2527</f>
      </c>
      <c r="V2527" s="7">
        <f>($C$14+($C$15-$C$14)/($D$15-$D$14)*(I2527-$D$14))/2</f>
      </c>
      <c r="W2527" s="7">
        <f>($B$22*I2527^4+$C$22*I2527^3+$D$22*I2527^2+$E$22*I2527+$F$22)/2</f>
      </c>
      <c r="X2527" s="7">
        <f>($W2527)*(T2527)</f>
      </c>
      <c r="Y2527" s="7">
        <f>($W2527)*(U2527)</f>
      </c>
      <c r="Z2527" s="7">
        <f>SQRT(X2527^2+Y2527^2)</f>
      </c>
      <c r="AA2527" s="7">
        <f>$K2527+$X2527</f>
      </c>
      <c r="AB2527" s="7">
        <f>$L2527+$Y2527</f>
      </c>
      <c r="AC2527" s="7">
        <f>$K2527-$X2527</f>
      </c>
      <c r="AD2527" s="7">
        <f>$L2527-$Y2527</f>
      </c>
      <c r="AE2527" s="7">
        <f>AA2527/39.3701</f>
      </c>
      <c r="AF2527" s="7">
        <f>AB2527/39.3701</f>
      </c>
      <c r="AG2527" s="7">
        <f>AC2527/39.3701</f>
      </c>
      <c r="AH2527" s="7">
        <f>AD2527/39.3701</f>
      </c>
      <c r="AI2527" s="1"/>
      <c r="AJ2527" s="1"/>
      <c r="AK2527" s="1"/>
      <c r="AL2527" s="1"/>
      <c r="AM2527" s="2"/>
      <c r="AN2527" s="1"/>
      <c r="AO2527" s="1"/>
      <c r="AP2527" s="1"/>
      <c r="AQ2527" s="1"/>
      <c r="AR2527" s="1"/>
      <c r="AS2527" s="1"/>
      <c r="AT2527" s="1"/>
      <c r="AU2527" s="1"/>
      <c r="AV2527" s="1"/>
      <c r="AW2527" s="1"/>
      <c r="AX2527" s="1"/>
      <c r="AY2527" s="1"/>
      <c r="AZ2527" s="1"/>
      <c r="BA2527" s="1"/>
      <c r="BB2527" s="1"/>
      <c r="BC2527" s="1"/>
      <c r="BD2527" s="1"/>
      <c r="BE2527" s="1"/>
    </row>
    <row x14ac:dyDescent="0.25" r="2528" customHeight="1" ht="18.75">
      <c r="A2528" s="1"/>
      <c r="B2528" s="2"/>
      <c r="C2528" s="2"/>
      <c r="D2528" s="2"/>
      <c r="E2528" s="2"/>
      <c r="F2528" s="2"/>
      <c r="G2528" s="1"/>
      <c r="H2528" s="1"/>
      <c r="I2528" s="7">
        <v>2.525</v>
      </c>
      <c r="J2528" s="7">
        <f>IF((I2528-ROUNDDOWN(I2528,0))=0, 0, (I2528-ROUNDDOWN(I2528,0)))</f>
      </c>
      <c r="K2528" s="7">
        <f>INDIRECT("C$"&amp;2+MIN(2,ROUNDDOWN(I2528,0))*3)*(-$J2528^3+3*$J2528^2-3*$J2528+1)+INDIRECT("C$"&amp;3+MIN(2,ROUNDDOWN(I2528,0))*3)*(3*$J2528^3-6*$J2528^2+3*$J2528)+INDIRECT("C$"&amp;4+MIN(2,ROUNDDOWN(I2528,0))*3)*(-3*$J2528^3+3*$J2528^2)+INDIRECT("C$"&amp;5+MIN(2,ROUNDDOWN(I2528,0))*3)*$J2528^3</f>
      </c>
      <c r="L2528" s="7">
        <f>INDIRECT("D$"&amp;2+MIN(2,ROUNDDOWN(I2528,0))*3)*(-$J2528^3+3*$J2528^2-3*$J2528+1)+INDIRECT("D$"&amp;3+MIN(2,ROUNDDOWN(I2528,0))*3)*(3*$J2528^3-6*$J2528^2+3*$J2528)+INDIRECT("D$"&amp;4+MIN(2,ROUNDDOWN(I2528,0))*3)*(-3*$J2528^3+3*$J2528^2)+INDIRECT("D$"&amp;5+MIN(2,ROUNDDOWN(I2528,0))*3)*$J2528^3</f>
      </c>
      <c r="M2528" s="7">
        <f>SQRT(K2528^2+L2528^2)</f>
      </c>
      <c r="N2528" s="7">
        <f>(K2529-K2527)</f>
      </c>
      <c r="O2528" s="7">
        <f>+(L2529-L2527)</f>
      </c>
      <c r="P2528" s="7">
        <f>SQRT(O2528^2+N2528^2)</f>
      </c>
      <c r="Q2528" s="7">
        <f>N2528/$P2528</f>
      </c>
      <c r="R2528" s="7">
        <f>O2528/$P2528</f>
      </c>
      <c r="S2528" s="7">
        <f>Q2528^2+R2528^2</f>
      </c>
      <c r="T2528" s="7">
        <f>-R2528</f>
      </c>
      <c r="U2528" s="7">
        <f>Q2528</f>
      </c>
      <c r="V2528" s="7">
        <f>($C$14+($C$15-$C$14)/($D$15-$D$14)*(I2528-$D$14))/2</f>
      </c>
      <c r="W2528" s="7">
        <f>($B$22*I2528^4+$C$22*I2528^3+$D$22*I2528^2+$E$22*I2528+$F$22)/2</f>
      </c>
      <c r="X2528" s="7">
        <f>($W2528)*(T2528)</f>
      </c>
      <c r="Y2528" s="7">
        <f>($W2528)*(U2528)</f>
      </c>
      <c r="Z2528" s="7">
        <f>SQRT(X2528^2+Y2528^2)</f>
      </c>
      <c r="AA2528" s="7">
        <f>$K2528+$X2528</f>
      </c>
      <c r="AB2528" s="7">
        <f>$L2528+$Y2528</f>
      </c>
      <c r="AC2528" s="7">
        <f>$K2528-$X2528</f>
      </c>
      <c r="AD2528" s="7">
        <f>$L2528-$Y2528</f>
      </c>
      <c r="AE2528" s="7">
        <f>AA2528/39.3701</f>
      </c>
      <c r="AF2528" s="7">
        <f>AB2528/39.3701</f>
      </c>
      <c r="AG2528" s="7">
        <f>AC2528/39.3701</f>
      </c>
      <c r="AH2528" s="7">
        <f>AD2528/39.3701</f>
      </c>
      <c r="AI2528" s="1"/>
      <c r="AJ2528" s="1"/>
      <c r="AK2528" s="1"/>
      <c r="AL2528" s="1"/>
      <c r="AM2528" s="2"/>
      <c r="AN2528" s="1"/>
      <c r="AO2528" s="1"/>
      <c r="AP2528" s="1"/>
      <c r="AQ2528" s="1"/>
      <c r="AR2528" s="1"/>
      <c r="AS2528" s="1"/>
      <c r="AT2528" s="1"/>
      <c r="AU2528" s="1"/>
      <c r="AV2528" s="1"/>
      <c r="AW2528" s="1"/>
      <c r="AX2528" s="1"/>
      <c r="AY2528" s="1"/>
      <c r="AZ2528" s="1"/>
      <c r="BA2528" s="1"/>
      <c r="BB2528" s="1"/>
      <c r="BC2528" s="1"/>
      <c r="BD2528" s="1"/>
      <c r="BE2528" s="1"/>
    </row>
    <row x14ac:dyDescent="0.25" r="2529" customHeight="1" ht="18.75">
      <c r="A2529" s="1"/>
      <c r="B2529" s="2"/>
      <c r="C2529" s="2"/>
      <c r="D2529" s="2"/>
      <c r="E2529" s="2"/>
      <c r="F2529" s="2"/>
      <c r="G2529" s="1"/>
      <c r="H2529" s="1"/>
      <c r="I2529" s="7">
        <v>2.526</v>
      </c>
      <c r="J2529" s="7">
        <f>IF((I2529-ROUNDDOWN(I2529,0))=0, 0, (I2529-ROUNDDOWN(I2529,0)))</f>
      </c>
      <c r="K2529" s="7">
        <f>INDIRECT("C$"&amp;2+MIN(2,ROUNDDOWN(I2529,0))*3)*(-$J2529^3+3*$J2529^2-3*$J2529+1)+INDIRECT("C$"&amp;3+MIN(2,ROUNDDOWN(I2529,0))*3)*(3*$J2529^3-6*$J2529^2+3*$J2529)+INDIRECT("C$"&amp;4+MIN(2,ROUNDDOWN(I2529,0))*3)*(-3*$J2529^3+3*$J2529^2)+INDIRECT("C$"&amp;5+MIN(2,ROUNDDOWN(I2529,0))*3)*$J2529^3</f>
      </c>
      <c r="L2529" s="7">
        <f>INDIRECT("D$"&amp;2+MIN(2,ROUNDDOWN(I2529,0))*3)*(-$J2529^3+3*$J2529^2-3*$J2529+1)+INDIRECT("D$"&amp;3+MIN(2,ROUNDDOWN(I2529,0))*3)*(3*$J2529^3-6*$J2529^2+3*$J2529)+INDIRECT("D$"&amp;4+MIN(2,ROUNDDOWN(I2529,0))*3)*(-3*$J2529^3+3*$J2529^2)+INDIRECT("D$"&amp;5+MIN(2,ROUNDDOWN(I2529,0))*3)*$J2529^3</f>
      </c>
      <c r="M2529" s="7">
        <f>SQRT(K2529^2+L2529^2)</f>
      </c>
      <c r="N2529" s="7">
        <f>(K2530-K2528)</f>
      </c>
      <c r="O2529" s="7">
        <f>+(L2530-L2528)</f>
      </c>
      <c r="P2529" s="7">
        <f>SQRT(O2529^2+N2529^2)</f>
      </c>
      <c r="Q2529" s="7">
        <f>N2529/$P2529</f>
      </c>
      <c r="R2529" s="7">
        <f>O2529/$P2529</f>
      </c>
      <c r="S2529" s="8">
        <f>Q2529^2+R2529^2</f>
      </c>
      <c r="T2529" s="7">
        <f>-R2529</f>
      </c>
      <c r="U2529" s="7">
        <f>Q2529</f>
      </c>
      <c r="V2529" s="7">
        <f>($C$14+($C$15-$C$14)/($D$15-$D$14)*(I2529-$D$14))/2</f>
      </c>
      <c r="W2529" s="7">
        <f>($B$22*I2529^4+$C$22*I2529^3+$D$22*I2529^2+$E$22*I2529+$F$22)/2</f>
      </c>
      <c r="X2529" s="7">
        <f>($W2529)*(T2529)</f>
      </c>
      <c r="Y2529" s="7">
        <f>($W2529)*(U2529)</f>
      </c>
      <c r="Z2529" s="7">
        <f>SQRT(X2529^2+Y2529^2)</f>
      </c>
      <c r="AA2529" s="7">
        <f>$K2529+$X2529</f>
      </c>
      <c r="AB2529" s="7">
        <f>$L2529+$Y2529</f>
      </c>
      <c r="AC2529" s="7">
        <f>$K2529-$X2529</f>
      </c>
      <c r="AD2529" s="7">
        <f>$L2529-$Y2529</f>
      </c>
      <c r="AE2529" s="7">
        <f>AA2529/39.3701</f>
      </c>
      <c r="AF2529" s="7">
        <f>AB2529/39.3701</f>
      </c>
      <c r="AG2529" s="7">
        <f>AC2529/39.3701</f>
      </c>
      <c r="AH2529" s="7">
        <f>AD2529/39.3701</f>
      </c>
      <c r="AI2529" s="1"/>
      <c r="AJ2529" s="1"/>
      <c r="AK2529" s="1"/>
      <c r="AL2529" s="1"/>
      <c r="AM2529" s="2"/>
      <c r="AN2529" s="1"/>
      <c r="AO2529" s="1"/>
      <c r="AP2529" s="1"/>
      <c r="AQ2529" s="1"/>
      <c r="AR2529" s="1"/>
      <c r="AS2529" s="1"/>
      <c r="AT2529" s="1"/>
      <c r="AU2529" s="1"/>
      <c r="AV2529" s="1"/>
      <c r="AW2529" s="1"/>
      <c r="AX2529" s="1"/>
      <c r="AY2529" s="1"/>
      <c r="AZ2529" s="1"/>
      <c r="BA2529" s="1"/>
      <c r="BB2529" s="1"/>
      <c r="BC2529" s="1"/>
      <c r="BD2529" s="1"/>
      <c r="BE2529" s="1"/>
    </row>
    <row x14ac:dyDescent="0.25" r="2530" customHeight="1" ht="18.75">
      <c r="A2530" s="1"/>
      <c r="B2530" s="2"/>
      <c r="C2530" s="2"/>
      <c r="D2530" s="2"/>
      <c r="E2530" s="2"/>
      <c r="F2530" s="2"/>
      <c r="G2530" s="1"/>
      <c r="H2530" s="1"/>
      <c r="I2530" s="7">
        <v>2.527</v>
      </c>
      <c r="J2530" s="7">
        <f>IF((I2530-ROUNDDOWN(I2530,0))=0, 0, (I2530-ROUNDDOWN(I2530,0)))</f>
      </c>
      <c r="K2530" s="7">
        <f>INDIRECT("C$"&amp;2+MIN(2,ROUNDDOWN(I2530,0))*3)*(-$J2530^3+3*$J2530^2-3*$J2530+1)+INDIRECT("C$"&amp;3+MIN(2,ROUNDDOWN(I2530,0))*3)*(3*$J2530^3-6*$J2530^2+3*$J2530)+INDIRECT("C$"&amp;4+MIN(2,ROUNDDOWN(I2530,0))*3)*(-3*$J2530^3+3*$J2530^2)+INDIRECT("C$"&amp;5+MIN(2,ROUNDDOWN(I2530,0))*3)*$J2530^3</f>
      </c>
      <c r="L2530" s="7">
        <f>INDIRECT("D$"&amp;2+MIN(2,ROUNDDOWN(I2530,0))*3)*(-$J2530^3+3*$J2530^2-3*$J2530+1)+INDIRECT("D$"&amp;3+MIN(2,ROUNDDOWN(I2530,0))*3)*(3*$J2530^3-6*$J2530^2+3*$J2530)+INDIRECT("D$"&amp;4+MIN(2,ROUNDDOWN(I2530,0))*3)*(-3*$J2530^3+3*$J2530^2)+INDIRECT("D$"&amp;5+MIN(2,ROUNDDOWN(I2530,0))*3)*$J2530^3</f>
      </c>
      <c r="M2530" s="7">
        <f>SQRT(K2530^2+L2530^2)</f>
      </c>
      <c r="N2530" s="7">
        <f>(K2531-K2529)</f>
      </c>
      <c r="O2530" s="7">
        <f>+(L2531-L2529)</f>
      </c>
      <c r="P2530" s="7">
        <f>SQRT(O2530^2+N2530^2)</f>
      </c>
      <c r="Q2530" s="7">
        <f>N2530/$P2530</f>
      </c>
      <c r="R2530" s="7">
        <f>O2530/$P2530</f>
      </c>
      <c r="S2530" s="8">
        <f>Q2530^2+R2530^2</f>
      </c>
      <c r="T2530" s="7">
        <f>-R2530</f>
      </c>
      <c r="U2530" s="7">
        <f>Q2530</f>
      </c>
      <c r="V2530" s="7">
        <f>($C$14+($C$15-$C$14)/($D$15-$D$14)*(I2530-$D$14))/2</f>
      </c>
      <c r="W2530" s="7">
        <f>($B$22*I2530^4+$C$22*I2530^3+$D$22*I2530^2+$E$22*I2530+$F$22)/2</f>
      </c>
      <c r="X2530" s="7">
        <f>($W2530)*(T2530)</f>
      </c>
      <c r="Y2530" s="7">
        <f>($W2530)*(U2530)</f>
      </c>
      <c r="Z2530" s="7">
        <f>SQRT(X2530^2+Y2530^2)</f>
      </c>
      <c r="AA2530" s="7">
        <f>$K2530+$X2530</f>
      </c>
      <c r="AB2530" s="7">
        <f>$L2530+$Y2530</f>
      </c>
      <c r="AC2530" s="7">
        <f>$K2530-$X2530</f>
      </c>
      <c r="AD2530" s="7">
        <f>$L2530-$Y2530</f>
      </c>
      <c r="AE2530" s="7">
        <f>AA2530/39.3701</f>
      </c>
      <c r="AF2530" s="7">
        <f>AB2530/39.3701</f>
      </c>
      <c r="AG2530" s="7">
        <f>AC2530/39.3701</f>
      </c>
      <c r="AH2530" s="7">
        <f>AD2530/39.3701</f>
      </c>
      <c r="AI2530" s="1"/>
      <c r="AJ2530" s="1"/>
      <c r="AK2530" s="1"/>
      <c r="AL2530" s="1"/>
      <c r="AM2530" s="2"/>
      <c r="AN2530" s="1"/>
      <c r="AO2530" s="1"/>
      <c r="AP2530" s="1"/>
      <c r="AQ2530" s="1"/>
      <c r="AR2530" s="1"/>
      <c r="AS2530" s="1"/>
      <c r="AT2530" s="1"/>
      <c r="AU2530" s="1"/>
      <c r="AV2530" s="1"/>
      <c r="AW2530" s="1"/>
      <c r="AX2530" s="1"/>
      <c r="AY2530" s="1"/>
      <c r="AZ2530" s="1"/>
      <c r="BA2530" s="1"/>
      <c r="BB2530" s="1"/>
      <c r="BC2530" s="1"/>
      <c r="BD2530" s="1"/>
      <c r="BE2530" s="1"/>
    </row>
    <row x14ac:dyDescent="0.25" r="2531" customHeight="1" ht="18.75">
      <c r="A2531" s="1"/>
      <c r="B2531" s="2"/>
      <c r="C2531" s="2"/>
      <c r="D2531" s="2"/>
      <c r="E2531" s="2"/>
      <c r="F2531" s="2"/>
      <c r="G2531" s="1"/>
      <c r="H2531" s="1"/>
      <c r="I2531" s="7">
        <v>2.528</v>
      </c>
      <c r="J2531" s="7">
        <f>IF((I2531-ROUNDDOWN(I2531,0))=0, 0, (I2531-ROUNDDOWN(I2531,0)))</f>
      </c>
      <c r="K2531" s="7">
        <f>INDIRECT("C$"&amp;2+MIN(2,ROUNDDOWN(I2531,0))*3)*(-$J2531^3+3*$J2531^2-3*$J2531+1)+INDIRECT("C$"&amp;3+MIN(2,ROUNDDOWN(I2531,0))*3)*(3*$J2531^3-6*$J2531^2+3*$J2531)+INDIRECT("C$"&amp;4+MIN(2,ROUNDDOWN(I2531,0))*3)*(-3*$J2531^3+3*$J2531^2)+INDIRECT("C$"&amp;5+MIN(2,ROUNDDOWN(I2531,0))*3)*$J2531^3</f>
      </c>
      <c r="L2531" s="7">
        <f>INDIRECT("D$"&amp;2+MIN(2,ROUNDDOWN(I2531,0))*3)*(-$J2531^3+3*$J2531^2-3*$J2531+1)+INDIRECT("D$"&amp;3+MIN(2,ROUNDDOWN(I2531,0))*3)*(3*$J2531^3-6*$J2531^2+3*$J2531)+INDIRECT("D$"&amp;4+MIN(2,ROUNDDOWN(I2531,0))*3)*(-3*$J2531^3+3*$J2531^2)+INDIRECT("D$"&amp;5+MIN(2,ROUNDDOWN(I2531,0))*3)*$J2531^3</f>
      </c>
      <c r="M2531" s="7">
        <f>SQRT(K2531^2+L2531^2)</f>
      </c>
      <c r="N2531" s="7">
        <f>(K2532-K2530)</f>
      </c>
      <c r="O2531" s="7">
        <f>+(L2532-L2530)</f>
      </c>
      <c r="P2531" s="7">
        <f>SQRT(O2531^2+N2531^2)</f>
      </c>
      <c r="Q2531" s="7">
        <f>N2531/$P2531</f>
      </c>
      <c r="R2531" s="7">
        <f>O2531/$P2531</f>
      </c>
      <c r="S2531" s="7">
        <f>Q2531^2+R2531^2</f>
      </c>
      <c r="T2531" s="7">
        <f>-R2531</f>
      </c>
      <c r="U2531" s="7">
        <f>Q2531</f>
      </c>
      <c r="V2531" s="7">
        <f>($C$14+($C$15-$C$14)/($D$15-$D$14)*(I2531-$D$14))/2</f>
      </c>
      <c r="W2531" s="7">
        <f>($B$22*I2531^4+$C$22*I2531^3+$D$22*I2531^2+$E$22*I2531+$F$22)/2</f>
      </c>
      <c r="X2531" s="7">
        <f>($W2531)*(T2531)</f>
      </c>
      <c r="Y2531" s="7">
        <f>($W2531)*(U2531)</f>
      </c>
      <c r="Z2531" s="7">
        <f>SQRT(X2531^2+Y2531^2)</f>
      </c>
      <c r="AA2531" s="7">
        <f>$K2531+$X2531</f>
      </c>
      <c r="AB2531" s="7">
        <f>$L2531+$Y2531</f>
      </c>
      <c r="AC2531" s="7">
        <f>$K2531-$X2531</f>
      </c>
      <c r="AD2531" s="7">
        <f>$L2531-$Y2531</f>
      </c>
      <c r="AE2531" s="7">
        <f>AA2531/39.3701</f>
      </c>
      <c r="AF2531" s="7">
        <f>AB2531/39.3701</f>
      </c>
      <c r="AG2531" s="7">
        <f>AC2531/39.3701</f>
      </c>
      <c r="AH2531" s="7">
        <f>AD2531/39.3701</f>
      </c>
      <c r="AI2531" s="1"/>
      <c r="AJ2531" s="1"/>
      <c r="AK2531" s="1"/>
      <c r="AL2531" s="1"/>
      <c r="AM2531" s="2"/>
      <c r="AN2531" s="1"/>
      <c r="AO2531" s="1"/>
      <c r="AP2531" s="1"/>
      <c r="AQ2531" s="1"/>
      <c r="AR2531" s="1"/>
      <c r="AS2531" s="1"/>
      <c r="AT2531" s="1"/>
      <c r="AU2531" s="1"/>
      <c r="AV2531" s="1"/>
      <c r="AW2531" s="1"/>
      <c r="AX2531" s="1"/>
      <c r="AY2531" s="1"/>
      <c r="AZ2531" s="1"/>
      <c r="BA2531" s="1"/>
      <c r="BB2531" s="1"/>
      <c r="BC2531" s="1"/>
      <c r="BD2531" s="1"/>
      <c r="BE2531" s="1"/>
    </row>
    <row x14ac:dyDescent="0.25" r="2532" customHeight="1" ht="18.75">
      <c r="A2532" s="1"/>
      <c r="B2532" s="2"/>
      <c r="C2532" s="2"/>
      <c r="D2532" s="2"/>
      <c r="E2532" s="2"/>
      <c r="F2532" s="2"/>
      <c r="G2532" s="1"/>
      <c r="H2532" s="1"/>
      <c r="I2532" s="7">
        <v>2.529</v>
      </c>
      <c r="J2532" s="7">
        <f>IF((I2532-ROUNDDOWN(I2532,0))=0, 0, (I2532-ROUNDDOWN(I2532,0)))</f>
      </c>
      <c r="K2532" s="7">
        <f>INDIRECT("C$"&amp;2+MIN(2,ROUNDDOWN(I2532,0))*3)*(-$J2532^3+3*$J2532^2-3*$J2532+1)+INDIRECT("C$"&amp;3+MIN(2,ROUNDDOWN(I2532,0))*3)*(3*$J2532^3-6*$J2532^2+3*$J2532)+INDIRECT("C$"&amp;4+MIN(2,ROUNDDOWN(I2532,0))*3)*(-3*$J2532^3+3*$J2532^2)+INDIRECT("C$"&amp;5+MIN(2,ROUNDDOWN(I2532,0))*3)*$J2532^3</f>
      </c>
      <c r="L2532" s="7">
        <f>INDIRECT("D$"&amp;2+MIN(2,ROUNDDOWN(I2532,0))*3)*(-$J2532^3+3*$J2532^2-3*$J2532+1)+INDIRECT("D$"&amp;3+MIN(2,ROUNDDOWN(I2532,0))*3)*(3*$J2532^3-6*$J2532^2+3*$J2532)+INDIRECT("D$"&amp;4+MIN(2,ROUNDDOWN(I2532,0))*3)*(-3*$J2532^3+3*$J2532^2)+INDIRECT("D$"&amp;5+MIN(2,ROUNDDOWN(I2532,0))*3)*$J2532^3</f>
      </c>
      <c r="M2532" s="7">
        <f>SQRT(K2532^2+L2532^2)</f>
      </c>
      <c r="N2532" s="7">
        <f>(K2533-K2531)</f>
      </c>
      <c r="O2532" s="7">
        <f>+(L2533-L2531)</f>
      </c>
      <c r="P2532" s="7">
        <f>SQRT(O2532^2+N2532^2)</f>
      </c>
      <c r="Q2532" s="7">
        <f>N2532/$P2532</f>
      </c>
      <c r="R2532" s="7">
        <f>O2532/$P2532</f>
      </c>
      <c r="S2532" s="8">
        <f>Q2532^2+R2532^2</f>
      </c>
      <c r="T2532" s="7">
        <f>-R2532</f>
      </c>
      <c r="U2532" s="7">
        <f>Q2532</f>
      </c>
      <c r="V2532" s="7">
        <f>($C$14+($C$15-$C$14)/($D$15-$D$14)*(I2532-$D$14))/2</f>
      </c>
      <c r="W2532" s="7">
        <f>($B$22*I2532^4+$C$22*I2532^3+$D$22*I2532^2+$E$22*I2532+$F$22)/2</f>
      </c>
      <c r="X2532" s="7">
        <f>($W2532)*(T2532)</f>
      </c>
      <c r="Y2532" s="7">
        <f>($W2532)*(U2532)</f>
      </c>
      <c r="Z2532" s="7">
        <f>SQRT(X2532^2+Y2532^2)</f>
      </c>
      <c r="AA2532" s="7">
        <f>$K2532+$X2532</f>
      </c>
      <c r="AB2532" s="7">
        <f>$L2532+$Y2532</f>
      </c>
      <c r="AC2532" s="7">
        <f>$K2532-$X2532</f>
      </c>
      <c r="AD2532" s="7">
        <f>$L2532-$Y2532</f>
      </c>
      <c r="AE2532" s="7">
        <f>AA2532/39.3701</f>
      </c>
      <c r="AF2532" s="7">
        <f>AB2532/39.3701</f>
      </c>
      <c r="AG2532" s="7">
        <f>AC2532/39.3701</f>
      </c>
      <c r="AH2532" s="7">
        <f>AD2532/39.3701</f>
      </c>
      <c r="AI2532" s="1"/>
      <c r="AJ2532" s="1"/>
      <c r="AK2532" s="1"/>
      <c r="AL2532" s="1"/>
      <c r="AM2532" s="2"/>
      <c r="AN2532" s="1"/>
      <c r="AO2532" s="1"/>
      <c r="AP2532" s="1"/>
      <c r="AQ2532" s="1"/>
      <c r="AR2532" s="1"/>
      <c r="AS2532" s="1"/>
      <c r="AT2532" s="1"/>
      <c r="AU2532" s="1"/>
      <c r="AV2532" s="1"/>
      <c r="AW2532" s="1"/>
      <c r="AX2532" s="1"/>
      <c r="AY2532" s="1"/>
      <c r="AZ2532" s="1"/>
      <c r="BA2532" s="1"/>
      <c r="BB2532" s="1"/>
      <c r="BC2532" s="1"/>
      <c r="BD2532" s="1"/>
      <c r="BE2532" s="1"/>
    </row>
    <row x14ac:dyDescent="0.25" r="2533" customHeight="1" ht="18.75">
      <c r="A2533" s="1"/>
      <c r="B2533" s="2"/>
      <c r="C2533" s="2"/>
      <c r="D2533" s="2"/>
      <c r="E2533" s="2"/>
      <c r="F2533" s="2"/>
      <c r="G2533" s="1"/>
      <c r="H2533" s="1"/>
      <c r="I2533" s="7">
        <v>2.53</v>
      </c>
      <c r="J2533" s="7">
        <f>IF((I2533-ROUNDDOWN(I2533,0))=0, 0, (I2533-ROUNDDOWN(I2533,0)))</f>
      </c>
      <c r="K2533" s="7">
        <f>INDIRECT("C$"&amp;2+MIN(2,ROUNDDOWN(I2533,0))*3)*(-$J2533^3+3*$J2533^2-3*$J2533+1)+INDIRECT("C$"&amp;3+MIN(2,ROUNDDOWN(I2533,0))*3)*(3*$J2533^3-6*$J2533^2+3*$J2533)+INDIRECT("C$"&amp;4+MIN(2,ROUNDDOWN(I2533,0))*3)*(-3*$J2533^3+3*$J2533^2)+INDIRECT("C$"&amp;5+MIN(2,ROUNDDOWN(I2533,0))*3)*$J2533^3</f>
      </c>
      <c r="L2533" s="7">
        <f>INDIRECT("D$"&amp;2+MIN(2,ROUNDDOWN(I2533,0))*3)*(-$J2533^3+3*$J2533^2-3*$J2533+1)+INDIRECT("D$"&amp;3+MIN(2,ROUNDDOWN(I2533,0))*3)*(3*$J2533^3-6*$J2533^2+3*$J2533)+INDIRECT("D$"&amp;4+MIN(2,ROUNDDOWN(I2533,0))*3)*(-3*$J2533^3+3*$J2533^2)+INDIRECT("D$"&amp;5+MIN(2,ROUNDDOWN(I2533,0))*3)*$J2533^3</f>
      </c>
      <c r="M2533" s="7">
        <f>SQRT(K2533^2+L2533^2)</f>
      </c>
      <c r="N2533" s="7">
        <f>(K2534-K2532)</f>
      </c>
      <c r="O2533" s="7">
        <f>+(L2534-L2532)</f>
      </c>
      <c r="P2533" s="7">
        <f>SQRT(O2533^2+N2533^2)</f>
      </c>
      <c r="Q2533" s="7">
        <f>N2533/$P2533</f>
      </c>
      <c r="R2533" s="7">
        <f>O2533/$P2533</f>
      </c>
      <c r="S2533" s="8">
        <f>Q2533^2+R2533^2</f>
      </c>
      <c r="T2533" s="7">
        <f>-R2533</f>
      </c>
      <c r="U2533" s="7">
        <f>Q2533</f>
      </c>
      <c r="V2533" s="7">
        <f>($C$14+($C$15-$C$14)/($D$15-$D$14)*(I2533-$D$14))/2</f>
      </c>
      <c r="W2533" s="7">
        <f>($B$22*I2533^4+$C$22*I2533^3+$D$22*I2533^2+$E$22*I2533+$F$22)/2</f>
      </c>
      <c r="X2533" s="7">
        <f>($W2533)*(T2533)</f>
      </c>
      <c r="Y2533" s="7">
        <f>($W2533)*(U2533)</f>
      </c>
      <c r="Z2533" s="7">
        <f>SQRT(X2533^2+Y2533^2)</f>
      </c>
      <c r="AA2533" s="7">
        <f>$K2533+$X2533</f>
      </c>
      <c r="AB2533" s="7">
        <f>$L2533+$Y2533</f>
      </c>
      <c r="AC2533" s="7">
        <f>$K2533-$X2533</f>
      </c>
      <c r="AD2533" s="7">
        <f>$L2533-$Y2533</f>
      </c>
      <c r="AE2533" s="7">
        <f>AA2533/39.3701</f>
      </c>
      <c r="AF2533" s="7">
        <f>AB2533/39.3701</f>
      </c>
      <c r="AG2533" s="7">
        <f>AC2533/39.3701</f>
      </c>
      <c r="AH2533" s="7">
        <f>AD2533/39.3701</f>
      </c>
      <c r="AI2533" s="1"/>
      <c r="AJ2533" s="1"/>
      <c r="AK2533" s="1"/>
      <c r="AL2533" s="1"/>
      <c r="AM2533" s="2"/>
      <c r="AN2533" s="1"/>
      <c r="AO2533" s="1"/>
      <c r="AP2533" s="1"/>
      <c r="AQ2533" s="1"/>
      <c r="AR2533" s="1"/>
      <c r="AS2533" s="1"/>
      <c r="AT2533" s="1"/>
      <c r="AU2533" s="1"/>
      <c r="AV2533" s="1"/>
      <c r="AW2533" s="1"/>
      <c r="AX2533" s="1"/>
      <c r="AY2533" s="1"/>
      <c r="AZ2533" s="1"/>
      <c r="BA2533" s="1"/>
      <c r="BB2533" s="1"/>
      <c r="BC2533" s="1"/>
      <c r="BD2533" s="1"/>
      <c r="BE2533" s="1"/>
    </row>
    <row x14ac:dyDescent="0.25" r="2534" customHeight="1" ht="18.75">
      <c r="A2534" s="1"/>
      <c r="B2534" s="2"/>
      <c r="C2534" s="2"/>
      <c r="D2534" s="2"/>
      <c r="E2534" s="2"/>
      <c r="F2534" s="2"/>
      <c r="G2534" s="1"/>
      <c r="H2534" s="1"/>
      <c r="I2534" s="7">
        <v>2.531</v>
      </c>
      <c r="J2534" s="7">
        <f>IF((I2534-ROUNDDOWN(I2534,0))=0, 0, (I2534-ROUNDDOWN(I2534,0)))</f>
      </c>
      <c r="K2534" s="7">
        <f>INDIRECT("C$"&amp;2+MIN(2,ROUNDDOWN(I2534,0))*3)*(-$J2534^3+3*$J2534^2-3*$J2534+1)+INDIRECT("C$"&amp;3+MIN(2,ROUNDDOWN(I2534,0))*3)*(3*$J2534^3-6*$J2534^2+3*$J2534)+INDIRECT("C$"&amp;4+MIN(2,ROUNDDOWN(I2534,0))*3)*(-3*$J2534^3+3*$J2534^2)+INDIRECT("C$"&amp;5+MIN(2,ROUNDDOWN(I2534,0))*3)*$J2534^3</f>
      </c>
      <c r="L2534" s="7">
        <f>INDIRECT("D$"&amp;2+MIN(2,ROUNDDOWN(I2534,0))*3)*(-$J2534^3+3*$J2534^2-3*$J2534+1)+INDIRECT("D$"&amp;3+MIN(2,ROUNDDOWN(I2534,0))*3)*(3*$J2534^3-6*$J2534^2+3*$J2534)+INDIRECT("D$"&amp;4+MIN(2,ROUNDDOWN(I2534,0))*3)*(-3*$J2534^3+3*$J2534^2)+INDIRECT("D$"&amp;5+MIN(2,ROUNDDOWN(I2534,0))*3)*$J2534^3</f>
      </c>
      <c r="M2534" s="7">
        <f>SQRT(K2534^2+L2534^2)</f>
      </c>
      <c r="N2534" s="7">
        <f>(K2535-K2533)</f>
      </c>
      <c r="O2534" s="7">
        <f>+(L2535-L2533)</f>
      </c>
      <c r="P2534" s="7">
        <f>SQRT(O2534^2+N2534^2)</f>
      </c>
      <c r="Q2534" s="7">
        <f>N2534/$P2534</f>
      </c>
      <c r="R2534" s="7">
        <f>O2534/$P2534</f>
      </c>
      <c r="S2534" s="8">
        <f>Q2534^2+R2534^2</f>
      </c>
      <c r="T2534" s="7">
        <f>-R2534</f>
      </c>
      <c r="U2534" s="7">
        <f>Q2534</f>
      </c>
      <c r="V2534" s="7">
        <f>($C$14+($C$15-$C$14)/($D$15-$D$14)*(I2534-$D$14))/2</f>
      </c>
      <c r="W2534" s="7">
        <f>($B$22*I2534^4+$C$22*I2534^3+$D$22*I2534^2+$E$22*I2534+$F$22)/2</f>
      </c>
      <c r="X2534" s="7">
        <f>($W2534)*(T2534)</f>
      </c>
      <c r="Y2534" s="7">
        <f>($W2534)*(U2534)</f>
      </c>
      <c r="Z2534" s="7">
        <f>SQRT(X2534^2+Y2534^2)</f>
      </c>
      <c r="AA2534" s="7">
        <f>$K2534+$X2534</f>
      </c>
      <c r="AB2534" s="7">
        <f>$L2534+$Y2534</f>
      </c>
      <c r="AC2534" s="7">
        <f>$K2534-$X2534</f>
      </c>
      <c r="AD2534" s="7">
        <f>$L2534-$Y2534</f>
      </c>
      <c r="AE2534" s="7">
        <f>AA2534/39.3701</f>
      </c>
      <c r="AF2534" s="7">
        <f>AB2534/39.3701</f>
      </c>
      <c r="AG2534" s="7">
        <f>AC2534/39.3701</f>
      </c>
      <c r="AH2534" s="7">
        <f>AD2534/39.3701</f>
      </c>
      <c r="AI2534" s="1"/>
      <c r="AJ2534" s="1"/>
      <c r="AK2534" s="1"/>
      <c r="AL2534" s="1"/>
      <c r="AM2534" s="2"/>
      <c r="AN2534" s="1"/>
      <c r="AO2534" s="1"/>
      <c r="AP2534" s="1"/>
      <c r="AQ2534" s="1"/>
      <c r="AR2534" s="1"/>
      <c r="AS2534" s="1"/>
      <c r="AT2534" s="1"/>
      <c r="AU2534" s="1"/>
      <c r="AV2534" s="1"/>
      <c r="AW2534" s="1"/>
      <c r="AX2534" s="1"/>
      <c r="AY2534" s="1"/>
      <c r="AZ2534" s="1"/>
      <c r="BA2534" s="1"/>
      <c r="BB2534" s="1"/>
      <c r="BC2534" s="1"/>
      <c r="BD2534" s="1"/>
      <c r="BE2534" s="1"/>
    </row>
    <row x14ac:dyDescent="0.25" r="2535" customHeight="1" ht="18.75">
      <c r="A2535" s="1"/>
      <c r="B2535" s="2"/>
      <c r="C2535" s="2"/>
      <c r="D2535" s="2"/>
      <c r="E2535" s="2"/>
      <c r="F2535" s="2"/>
      <c r="G2535" s="1"/>
      <c r="H2535" s="1"/>
      <c r="I2535" s="7">
        <v>2.532</v>
      </c>
      <c r="J2535" s="7">
        <f>IF((I2535-ROUNDDOWN(I2535,0))=0, 0, (I2535-ROUNDDOWN(I2535,0)))</f>
      </c>
      <c r="K2535" s="7">
        <f>INDIRECT("C$"&amp;2+MIN(2,ROUNDDOWN(I2535,0))*3)*(-$J2535^3+3*$J2535^2-3*$J2535+1)+INDIRECT("C$"&amp;3+MIN(2,ROUNDDOWN(I2535,0))*3)*(3*$J2535^3-6*$J2535^2+3*$J2535)+INDIRECT("C$"&amp;4+MIN(2,ROUNDDOWN(I2535,0))*3)*(-3*$J2535^3+3*$J2535^2)+INDIRECT("C$"&amp;5+MIN(2,ROUNDDOWN(I2535,0))*3)*$J2535^3</f>
      </c>
      <c r="L2535" s="7">
        <f>INDIRECT("D$"&amp;2+MIN(2,ROUNDDOWN(I2535,0))*3)*(-$J2535^3+3*$J2535^2-3*$J2535+1)+INDIRECT("D$"&amp;3+MIN(2,ROUNDDOWN(I2535,0))*3)*(3*$J2535^3-6*$J2535^2+3*$J2535)+INDIRECT("D$"&amp;4+MIN(2,ROUNDDOWN(I2535,0))*3)*(-3*$J2535^3+3*$J2535^2)+INDIRECT("D$"&amp;5+MIN(2,ROUNDDOWN(I2535,0))*3)*$J2535^3</f>
      </c>
      <c r="M2535" s="7">
        <f>SQRT(K2535^2+L2535^2)</f>
      </c>
      <c r="N2535" s="7">
        <f>(K2536-K2534)</f>
      </c>
      <c r="O2535" s="7">
        <f>+(L2536-L2534)</f>
      </c>
      <c r="P2535" s="7">
        <f>SQRT(O2535^2+N2535^2)</f>
      </c>
      <c r="Q2535" s="7">
        <f>N2535/$P2535</f>
      </c>
      <c r="R2535" s="7">
        <f>O2535/$P2535</f>
      </c>
      <c r="S2535" s="8">
        <f>Q2535^2+R2535^2</f>
      </c>
      <c r="T2535" s="7">
        <f>-R2535</f>
      </c>
      <c r="U2535" s="7">
        <f>Q2535</f>
      </c>
      <c r="V2535" s="7">
        <f>($C$14+($C$15-$C$14)/($D$15-$D$14)*(I2535-$D$14))/2</f>
      </c>
      <c r="W2535" s="7">
        <f>($B$22*I2535^4+$C$22*I2535^3+$D$22*I2535^2+$E$22*I2535+$F$22)/2</f>
      </c>
      <c r="X2535" s="7">
        <f>($W2535)*(T2535)</f>
      </c>
      <c r="Y2535" s="7">
        <f>($W2535)*(U2535)</f>
      </c>
      <c r="Z2535" s="7">
        <f>SQRT(X2535^2+Y2535^2)</f>
      </c>
      <c r="AA2535" s="7">
        <f>$K2535+$X2535</f>
      </c>
      <c r="AB2535" s="7">
        <f>$L2535+$Y2535</f>
      </c>
      <c r="AC2535" s="7">
        <f>$K2535-$X2535</f>
      </c>
      <c r="AD2535" s="7">
        <f>$L2535-$Y2535</f>
      </c>
      <c r="AE2535" s="7">
        <f>AA2535/39.3701</f>
      </c>
      <c r="AF2535" s="7">
        <f>AB2535/39.3701</f>
      </c>
      <c r="AG2535" s="7">
        <f>AC2535/39.3701</f>
      </c>
      <c r="AH2535" s="7">
        <f>AD2535/39.3701</f>
      </c>
      <c r="AI2535" s="1"/>
      <c r="AJ2535" s="1"/>
      <c r="AK2535" s="1"/>
      <c r="AL2535" s="1"/>
      <c r="AM2535" s="2"/>
      <c r="AN2535" s="1"/>
      <c r="AO2535" s="1"/>
      <c r="AP2535" s="1"/>
      <c r="AQ2535" s="1"/>
      <c r="AR2535" s="1"/>
      <c r="AS2535" s="1"/>
      <c r="AT2535" s="1"/>
      <c r="AU2535" s="1"/>
      <c r="AV2535" s="1"/>
      <c r="AW2535" s="1"/>
      <c r="AX2535" s="1"/>
      <c r="AY2535" s="1"/>
      <c r="AZ2535" s="1"/>
      <c r="BA2535" s="1"/>
      <c r="BB2535" s="1"/>
      <c r="BC2535" s="1"/>
      <c r="BD2535" s="1"/>
      <c r="BE2535" s="1"/>
    </row>
    <row x14ac:dyDescent="0.25" r="2536" customHeight="1" ht="18.75">
      <c r="A2536" s="1"/>
      <c r="B2536" s="2"/>
      <c r="C2536" s="2"/>
      <c r="D2536" s="2"/>
      <c r="E2536" s="2"/>
      <c r="F2536" s="2"/>
      <c r="G2536" s="1"/>
      <c r="H2536" s="1"/>
      <c r="I2536" s="7">
        <v>2.533</v>
      </c>
      <c r="J2536" s="7">
        <f>IF((I2536-ROUNDDOWN(I2536,0))=0, 0, (I2536-ROUNDDOWN(I2536,0)))</f>
      </c>
      <c r="K2536" s="7">
        <f>INDIRECT("C$"&amp;2+MIN(2,ROUNDDOWN(I2536,0))*3)*(-$J2536^3+3*$J2536^2-3*$J2536+1)+INDIRECT("C$"&amp;3+MIN(2,ROUNDDOWN(I2536,0))*3)*(3*$J2536^3-6*$J2536^2+3*$J2536)+INDIRECT("C$"&amp;4+MIN(2,ROUNDDOWN(I2536,0))*3)*(-3*$J2536^3+3*$J2536^2)+INDIRECT("C$"&amp;5+MIN(2,ROUNDDOWN(I2536,0))*3)*$J2536^3</f>
      </c>
      <c r="L2536" s="7">
        <f>INDIRECT("D$"&amp;2+MIN(2,ROUNDDOWN(I2536,0))*3)*(-$J2536^3+3*$J2536^2-3*$J2536+1)+INDIRECT("D$"&amp;3+MIN(2,ROUNDDOWN(I2536,0))*3)*(3*$J2536^3-6*$J2536^2+3*$J2536)+INDIRECT("D$"&amp;4+MIN(2,ROUNDDOWN(I2536,0))*3)*(-3*$J2536^3+3*$J2536^2)+INDIRECT("D$"&amp;5+MIN(2,ROUNDDOWN(I2536,0))*3)*$J2536^3</f>
      </c>
      <c r="M2536" s="7">
        <f>SQRT(K2536^2+L2536^2)</f>
      </c>
      <c r="N2536" s="7">
        <f>(K2537-K2535)</f>
      </c>
      <c r="O2536" s="7">
        <f>+(L2537-L2535)</f>
      </c>
      <c r="P2536" s="7">
        <f>SQRT(O2536^2+N2536^2)</f>
      </c>
      <c r="Q2536" s="7">
        <f>N2536/$P2536</f>
      </c>
      <c r="R2536" s="7">
        <f>O2536/$P2536</f>
      </c>
      <c r="S2536" s="8">
        <f>Q2536^2+R2536^2</f>
      </c>
      <c r="T2536" s="7">
        <f>-R2536</f>
      </c>
      <c r="U2536" s="7">
        <f>Q2536</f>
      </c>
      <c r="V2536" s="7">
        <f>($C$14+($C$15-$C$14)/($D$15-$D$14)*(I2536-$D$14))/2</f>
      </c>
      <c r="W2536" s="7">
        <f>($B$22*I2536^4+$C$22*I2536^3+$D$22*I2536^2+$E$22*I2536+$F$22)/2</f>
      </c>
      <c r="X2536" s="7">
        <f>($W2536)*(T2536)</f>
      </c>
      <c r="Y2536" s="7">
        <f>($W2536)*(U2536)</f>
      </c>
      <c r="Z2536" s="7">
        <f>SQRT(X2536^2+Y2536^2)</f>
      </c>
      <c r="AA2536" s="7">
        <f>$K2536+$X2536</f>
      </c>
      <c r="AB2536" s="7">
        <f>$L2536+$Y2536</f>
      </c>
      <c r="AC2536" s="7">
        <f>$K2536-$X2536</f>
      </c>
      <c r="AD2536" s="7">
        <f>$L2536-$Y2536</f>
      </c>
      <c r="AE2536" s="7">
        <f>AA2536/39.3701</f>
      </c>
      <c r="AF2536" s="7">
        <f>AB2536/39.3701</f>
      </c>
      <c r="AG2536" s="7">
        <f>AC2536/39.3701</f>
      </c>
      <c r="AH2536" s="7">
        <f>AD2536/39.3701</f>
      </c>
      <c r="AI2536" s="1"/>
      <c r="AJ2536" s="1"/>
      <c r="AK2536" s="1"/>
      <c r="AL2536" s="1"/>
      <c r="AM2536" s="2"/>
      <c r="AN2536" s="1"/>
      <c r="AO2536" s="1"/>
      <c r="AP2536" s="1"/>
      <c r="AQ2536" s="1"/>
      <c r="AR2536" s="1"/>
      <c r="AS2536" s="1"/>
      <c r="AT2536" s="1"/>
      <c r="AU2536" s="1"/>
      <c r="AV2536" s="1"/>
      <c r="AW2536" s="1"/>
      <c r="AX2536" s="1"/>
      <c r="AY2536" s="1"/>
      <c r="AZ2536" s="1"/>
      <c r="BA2536" s="1"/>
      <c r="BB2536" s="1"/>
      <c r="BC2536" s="1"/>
      <c r="BD2536" s="1"/>
      <c r="BE2536" s="1"/>
    </row>
    <row x14ac:dyDescent="0.25" r="2537" customHeight="1" ht="18.75">
      <c r="A2537" s="1"/>
      <c r="B2537" s="2"/>
      <c r="C2537" s="2"/>
      <c r="D2537" s="2"/>
      <c r="E2537" s="2"/>
      <c r="F2537" s="2"/>
      <c r="G2537" s="1"/>
      <c r="H2537" s="1"/>
      <c r="I2537" s="7">
        <v>2.534</v>
      </c>
      <c r="J2537" s="7">
        <f>IF((I2537-ROUNDDOWN(I2537,0))=0, 0, (I2537-ROUNDDOWN(I2537,0)))</f>
      </c>
      <c r="K2537" s="7">
        <f>INDIRECT("C$"&amp;2+MIN(2,ROUNDDOWN(I2537,0))*3)*(-$J2537^3+3*$J2537^2-3*$J2537+1)+INDIRECT("C$"&amp;3+MIN(2,ROUNDDOWN(I2537,0))*3)*(3*$J2537^3-6*$J2537^2+3*$J2537)+INDIRECT("C$"&amp;4+MIN(2,ROUNDDOWN(I2537,0))*3)*(-3*$J2537^3+3*$J2537^2)+INDIRECT("C$"&amp;5+MIN(2,ROUNDDOWN(I2537,0))*3)*$J2537^3</f>
      </c>
      <c r="L2537" s="7">
        <f>INDIRECT("D$"&amp;2+MIN(2,ROUNDDOWN(I2537,0))*3)*(-$J2537^3+3*$J2537^2-3*$J2537+1)+INDIRECT("D$"&amp;3+MIN(2,ROUNDDOWN(I2537,0))*3)*(3*$J2537^3-6*$J2537^2+3*$J2537)+INDIRECT("D$"&amp;4+MIN(2,ROUNDDOWN(I2537,0))*3)*(-3*$J2537^3+3*$J2537^2)+INDIRECT("D$"&amp;5+MIN(2,ROUNDDOWN(I2537,0))*3)*$J2537^3</f>
      </c>
      <c r="M2537" s="7">
        <f>SQRT(K2537^2+L2537^2)</f>
      </c>
      <c r="N2537" s="7">
        <f>(K2538-K2536)</f>
      </c>
      <c r="O2537" s="7">
        <f>+(L2538-L2536)</f>
      </c>
      <c r="P2537" s="7">
        <f>SQRT(O2537^2+N2537^2)</f>
      </c>
      <c r="Q2537" s="7">
        <f>N2537/$P2537</f>
      </c>
      <c r="R2537" s="7">
        <f>O2537/$P2537</f>
      </c>
      <c r="S2537" s="8">
        <f>Q2537^2+R2537^2</f>
      </c>
      <c r="T2537" s="7">
        <f>-R2537</f>
      </c>
      <c r="U2537" s="7">
        <f>Q2537</f>
      </c>
      <c r="V2537" s="7">
        <f>($C$14+($C$15-$C$14)/($D$15-$D$14)*(I2537-$D$14))/2</f>
      </c>
      <c r="W2537" s="7">
        <f>($B$22*I2537^4+$C$22*I2537^3+$D$22*I2537^2+$E$22*I2537+$F$22)/2</f>
      </c>
      <c r="X2537" s="7">
        <f>($W2537)*(T2537)</f>
      </c>
      <c r="Y2537" s="7">
        <f>($W2537)*(U2537)</f>
      </c>
      <c r="Z2537" s="7">
        <f>SQRT(X2537^2+Y2537^2)</f>
      </c>
      <c r="AA2537" s="7">
        <f>$K2537+$X2537</f>
      </c>
      <c r="AB2537" s="7">
        <f>$L2537+$Y2537</f>
      </c>
      <c r="AC2537" s="7">
        <f>$K2537-$X2537</f>
      </c>
      <c r="AD2537" s="7">
        <f>$L2537-$Y2537</f>
      </c>
      <c r="AE2537" s="7">
        <f>AA2537/39.3701</f>
      </c>
      <c r="AF2537" s="7">
        <f>AB2537/39.3701</f>
      </c>
      <c r="AG2537" s="7">
        <f>AC2537/39.3701</f>
      </c>
      <c r="AH2537" s="7">
        <f>AD2537/39.3701</f>
      </c>
      <c r="AI2537" s="1"/>
      <c r="AJ2537" s="1"/>
      <c r="AK2537" s="1"/>
      <c r="AL2537" s="1"/>
      <c r="AM2537" s="2"/>
      <c r="AN2537" s="1"/>
      <c r="AO2537" s="1"/>
      <c r="AP2537" s="1"/>
      <c r="AQ2537" s="1"/>
      <c r="AR2537" s="1"/>
      <c r="AS2537" s="1"/>
      <c r="AT2537" s="1"/>
      <c r="AU2537" s="1"/>
      <c r="AV2537" s="1"/>
      <c r="AW2537" s="1"/>
      <c r="AX2537" s="1"/>
      <c r="AY2537" s="1"/>
      <c r="AZ2537" s="1"/>
      <c r="BA2537" s="1"/>
      <c r="BB2537" s="1"/>
      <c r="BC2537" s="1"/>
      <c r="BD2537" s="1"/>
      <c r="BE2537" s="1"/>
    </row>
    <row x14ac:dyDescent="0.25" r="2538" customHeight="1" ht="18.75">
      <c r="A2538" s="1"/>
      <c r="B2538" s="2"/>
      <c r="C2538" s="2"/>
      <c r="D2538" s="2"/>
      <c r="E2538" s="2"/>
      <c r="F2538" s="2"/>
      <c r="G2538" s="1"/>
      <c r="H2538" s="1"/>
      <c r="I2538" s="7">
        <v>2.535</v>
      </c>
      <c r="J2538" s="7">
        <f>IF((I2538-ROUNDDOWN(I2538,0))=0, 0, (I2538-ROUNDDOWN(I2538,0)))</f>
      </c>
      <c r="K2538" s="7">
        <f>INDIRECT("C$"&amp;2+MIN(2,ROUNDDOWN(I2538,0))*3)*(-$J2538^3+3*$J2538^2-3*$J2538+1)+INDIRECT("C$"&amp;3+MIN(2,ROUNDDOWN(I2538,0))*3)*(3*$J2538^3-6*$J2538^2+3*$J2538)+INDIRECT("C$"&amp;4+MIN(2,ROUNDDOWN(I2538,0))*3)*(-3*$J2538^3+3*$J2538^2)+INDIRECT("C$"&amp;5+MIN(2,ROUNDDOWN(I2538,0))*3)*$J2538^3</f>
      </c>
      <c r="L2538" s="7">
        <f>INDIRECT("D$"&amp;2+MIN(2,ROUNDDOWN(I2538,0))*3)*(-$J2538^3+3*$J2538^2-3*$J2538+1)+INDIRECT("D$"&amp;3+MIN(2,ROUNDDOWN(I2538,0))*3)*(3*$J2538^3-6*$J2538^2+3*$J2538)+INDIRECT("D$"&amp;4+MIN(2,ROUNDDOWN(I2538,0))*3)*(-3*$J2538^3+3*$J2538^2)+INDIRECT("D$"&amp;5+MIN(2,ROUNDDOWN(I2538,0))*3)*$J2538^3</f>
      </c>
      <c r="M2538" s="7">
        <f>SQRT(K2538^2+L2538^2)</f>
      </c>
      <c r="N2538" s="7">
        <f>(K2539-K2537)</f>
      </c>
      <c r="O2538" s="7">
        <f>+(L2539-L2537)</f>
      </c>
      <c r="P2538" s="7">
        <f>SQRT(O2538^2+N2538^2)</f>
      </c>
      <c r="Q2538" s="7">
        <f>N2538/$P2538</f>
      </c>
      <c r="R2538" s="7">
        <f>O2538/$P2538</f>
      </c>
      <c r="S2538" s="7">
        <f>Q2538^2+R2538^2</f>
      </c>
      <c r="T2538" s="7">
        <f>-R2538</f>
      </c>
      <c r="U2538" s="7">
        <f>Q2538</f>
      </c>
      <c r="V2538" s="7">
        <f>($C$14+($C$15-$C$14)/($D$15-$D$14)*(I2538-$D$14))/2</f>
      </c>
      <c r="W2538" s="7">
        <f>($B$22*I2538^4+$C$22*I2538^3+$D$22*I2538^2+$E$22*I2538+$F$22)/2</f>
      </c>
      <c r="X2538" s="7">
        <f>($W2538)*(T2538)</f>
      </c>
      <c r="Y2538" s="7">
        <f>($W2538)*(U2538)</f>
      </c>
      <c r="Z2538" s="7">
        <f>SQRT(X2538^2+Y2538^2)</f>
      </c>
      <c r="AA2538" s="7">
        <f>$K2538+$X2538</f>
      </c>
      <c r="AB2538" s="7">
        <f>$L2538+$Y2538</f>
      </c>
      <c r="AC2538" s="7">
        <f>$K2538-$X2538</f>
      </c>
      <c r="AD2538" s="7">
        <f>$L2538-$Y2538</f>
      </c>
      <c r="AE2538" s="7">
        <f>AA2538/39.3701</f>
      </c>
      <c r="AF2538" s="7">
        <f>AB2538/39.3701</f>
      </c>
      <c r="AG2538" s="7">
        <f>AC2538/39.3701</f>
      </c>
      <c r="AH2538" s="7">
        <f>AD2538/39.3701</f>
      </c>
      <c r="AI2538" s="1"/>
      <c r="AJ2538" s="1"/>
      <c r="AK2538" s="1"/>
      <c r="AL2538" s="1"/>
      <c r="AM2538" s="2"/>
      <c r="AN2538" s="1"/>
      <c r="AO2538" s="1"/>
      <c r="AP2538" s="1"/>
      <c r="AQ2538" s="1"/>
      <c r="AR2538" s="1"/>
      <c r="AS2538" s="1"/>
      <c r="AT2538" s="1"/>
      <c r="AU2538" s="1"/>
      <c r="AV2538" s="1"/>
      <c r="AW2538" s="1"/>
      <c r="AX2538" s="1"/>
      <c r="AY2538" s="1"/>
      <c r="AZ2538" s="1"/>
      <c r="BA2538" s="1"/>
      <c r="BB2538" s="1"/>
      <c r="BC2538" s="1"/>
      <c r="BD2538" s="1"/>
      <c r="BE2538" s="1"/>
    </row>
    <row x14ac:dyDescent="0.25" r="2539" customHeight="1" ht="18.75">
      <c r="A2539" s="1"/>
      <c r="B2539" s="2"/>
      <c r="C2539" s="2"/>
      <c r="D2539" s="2"/>
      <c r="E2539" s="2"/>
      <c r="F2539" s="2"/>
      <c r="G2539" s="1"/>
      <c r="H2539" s="1"/>
      <c r="I2539" s="7">
        <v>2.536</v>
      </c>
      <c r="J2539" s="7">
        <f>IF((I2539-ROUNDDOWN(I2539,0))=0, 0, (I2539-ROUNDDOWN(I2539,0)))</f>
      </c>
      <c r="K2539" s="7">
        <f>INDIRECT("C$"&amp;2+MIN(2,ROUNDDOWN(I2539,0))*3)*(-$J2539^3+3*$J2539^2-3*$J2539+1)+INDIRECT("C$"&amp;3+MIN(2,ROUNDDOWN(I2539,0))*3)*(3*$J2539^3-6*$J2539^2+3*$J2539)+INDIRECT("C$"&amp;4+MIN(2,ROUNDDOWN(I2539,0))*3)*(-3*$J2539^3+3*$J2539^2)+INDIRECT("C$"&amp;5+MIN(2,ROUNDDOWN(I2539,0))*3)*$J2539^3</f>
      </c>
      <c r="L2539" s="7">
        <f>INDIRECT("D$"&amp;2+MIN(2,ROUNDDOWN(I2539,0))*3)*(-$J2539^3+3*$J2539^2-3*$J2539+1)+INDIRECT("D$"&amp;3+MIN(2,ROUNDDOWN(I2539,0))*3)*(3*$J2539^3-6*$J2539^2+3*$J2539)+INDIRECT("D$"&amp;4+MIN(2,ROUNDDOWN(I2539,0))*3)*(-3*$J2539^3+3*$J2539^2)+INDIRECT("D$"&amp;5+MIN(2,ROUNDDOWN(I2539,0))*3)*$J2539^3</f>
      </c>
      <c r="M2539" s="7">
        <f>SQRT(K2539^2+L2539^2)</f>
      </c>
      <c r="N2539" s="7">
        <f>(K2540-K2538)</f>
      </c>
      <c r="O2539" s="7">
        <f>+(L2540-L2538)</f>
      </c>
      <c r="P2539" s="7">
        <f>SQRT(O2539^2+N2539^2)</f>
      </c>
      <c r="Q2539" s="7">
        <f>N2539/$P2539</f>
      </c>
      <c r="R2539" s="7">
        <f>O2539/$P2539</f>
      </c>
      <c r="S2539" s="8">
        <f>Q2539^2+R2539^2</f>
      </c>
      <c r="T2539" s="7">
        <f>-R2539</f>
      </c>
      <c r="U2539" s="7">
        <f>Q2539</f>
      </c>
      <c r="V2539" s="7">
        <f>($C$14+($C$15-$C$14)/($D$15-$D$14)*(I2539-$D$14))/2</f>
      </c>
      <c r="W2539" s="7">
        <f>($B$22*I2539^4+$C$22*I2539^3+$D$22*I2539^2+$E$22*I2539+$F$22)/2</f>
      </c>
      <c r="X2539" s="7">
        <f>($W2539)*(T2539)</f>
      </c>
      <c r="Y2539" s="7">
        <f>($W2539)*(U2539)</f>
      </c>
      <c r="Z2539" s="7">
        <f>SQRT(X2539^2+Y2539^2)</f>
      </c>
      <c r="AA2539" s="7">
        <f>$K2539+$X2539</f>
      </c>
      <c r="AB2539" s="7">
        <f>$L2539+$Y2539</f>
      </c>
      <c r="AC2539" s="7">
        <f>$K2539-$X2539</f>
      </c>
      <c r="AD2539" s="7">
        <f>$L2539-$Y2539</f>
      </c>
      <c r="AE2539" s="7">
        <f>AA2539/39.3701</f>
      </c>
      <c r="AF2539" s="7">
        <f>AB2539/39.3701</f>
      </c>
      <c r="AG2539" s="7">
        <f>AC2539/39.3701</f>
      </c>
      <c r="AH2539" s="7">
        <f>AD2539/39.3701</f>
      </c>
      <c r="AI2539" s="1"/>
      <c r="AJ2539" s="1"/>
      <c r="AK2539" s="1"/>
      <c r="AL2539" s="1"/>
      <c r="AM2539" s="2"/>
      <c r="AN2539" s="1"/>
      <c r="AO2539" s="1"/>
      <c r="AP2539" s="1"/>
      <c r="AQ2539" s="1"/>
      <c r="AR2539" s="1"/>
      <c r="AS2539" s="1"/>
      <c r="AT2539" s="1"/>
      <c r="AU2539" s="1"/>
      <c r="AV2539" s="1"/>
      <c r="AW2539" s="1"/>
      <c r="AX2539" s="1"/>
      <c r="AY2539" s="1"/>
      <c r="AZ2539" s="1"/>
      <c r="BA2539" s="1"/>
      <c r="BB2539" s="1"/>
      <c r="BC2539" s="1"/>
      <c r="BD2539" s="1"/>
      <c r="BE2539" s="1"/>
    </row>
    <row x14ac:dyDescent="0.25" r="2540" customHeight="1" ht="18.75">
      <c r="A2540" s="1"/>
      <c r="B2540" s="2"/>
      <c r="C2540" s="2"/>
      <c r="D2540" s="2"/>
      <c r="E2540" s="2"/>
      <c r="F2540" s="2"/>
      <c r="G2540" s="1"/>
      <c r="H2540" s="1"/>
      <c r="I2540" s="7">
        <v>2.537</v>
      </c>
      <c r="J2540" s="7">
        <f>IF((I2540-ROUNDDOWN(I2540,0))=0, 0, (I2540-ROUNDDOWN(I2540,0)))</f>
      </c>
      <c r="K2540" s="7">
        <f>INDIRECT("C$"&amp;2+MIN(2,ROUNDDOWN(I2540,0))*3)*(-$J2540^3+3*$J2540^2-3*$J2540+1)+INDIRECT("C$"&amp;3+MIN(2,ROUNDDOWN(I2540,0))*3)*(3*$J2540^3-6*$J2540^2+3*$J2540)+INDIRECT("C$"&amp;4+MIN(2,ROUNDDOWN(I2540,0))*3)*(-3*$J2540^3+3*$J2540^2)+INDIRECT("C$"&amp;5+MIN(2,ROUNDDOWN(I2540,0))*3)*$J2540^3</f>
      </c>
      <c r="L2540" s="7">
        <f>INDIRECT("D$"&amp;2+MIN(2,ROUNDDOWN(I2540,0))*3)*(-$J2540^3+3*$J2540^2-3*$J2540+1)+INDIRECT("D$"&amp;3+MIN(2,ROUNDDOWN(I2540,0))*3)*(3*$J2540^3-6*$J2540^2+3*$J2540)+INDIRECT("D$"&amp;4+MIN(2,ROUNDDOWN(I2540,0))*3)*(-3*$J2540^3+3*$J2540^2)+INDIRECT("D$"&amp;5+MIN(2,ROUNDDOWN(I2540,0))*3)*$J2540^3</f>
      </c>
      <c r="M2540" s="7">
        <f>SQRT(K2540^2+L2540^2)</f>
      </c>
      <c r="N2540" s="7">
        <f>(K2541-K2539)</f>
      </c>
      <c r="O2540" s="7">
        <f>+(L2541-L2539)</f>
      </c>
      <c r="P2540" s="7">
        <f>SQRT(O2540^2+N2540^2)</f>
      </c>
      <c r="Q2540" s="7">
        <f>N2540/$P2540</f>
      </c>
      <c r="R2540" s="7">
        <f>O2540/$P2540</f>
      </c>
      <c r="S2540" s="7">
        <f>Q2540^2+R2540^2</f>
      </c>
      <c r="T2540" s="7">
        <f>-R2540</f>
      </c>
      <c r="U2540" s="7">
        <f>Q2540</f>
      </c>
      <c r="V2540" s="7">
        <f>($C$14+($C$15-$C$14)/($D$15-$D$14)*(I2540-$D$14))/2</f>
      </c>
      <c r="W2540" s="7">
        <f>($B$22*I2540^4+$C$22*I2540^3+$D$22*I2540^2+$E$22*I2540+$F$22)/2</f>
      </c>
      <c r="X2540" s="7">
        <f>($W2540)*(T2540)</f>
      </c>
      <c r="Y2540" s="7">
        <f>($W2540)*(U2540)</f>
      </c>
      <c r="Z2540" s="7">
        <f>SQRT(X2540^2+Y2540^2)</f>
      </c>
      <c r="AA2540" s="7">
        <f>$K2540+$X2540</f>
      </c>
      <c r="AB2540" s="7">
        <f>$L2540+$Y2540</f>
      </c>
      <c r="AC2540" s="7">
        <f>$K2540-$X2540</f>
      </c>
      <c r="AD2540" s="7">
        <f>$L2540-$Y2540</f>
      </c>
      <c r="AE2540" s="7">
        <f>AA2540/39.3701</f>
      </c>
      <c r="AF2540" s="7">
        <f>AB2540/39.3701</f>
      </c>
      <c r="AG2540" s="7">
        <f>AC2540/39.3701</f>
      </c>
      <c r="AH2540" s="7">
        <f>AD2540/39.3701</f>
      </c>
      <c r="AI2540" s="1"/>
      <c r="AJ2540" s="1"/>
      <c r="AK2540" s="1"/>
      <c r="AL2540" s="1"/>
      <c r="AM2540" s="2"/>
      <c r="AN2540" s="1"/>
      <c r="AO2540" s="1"/>
      <c r="AP2540" s="1"/>
      <c r="AQ2540" s="1"/>
      <c r="AR2540" s="1"/>
      <c r="AS2540" s="1"/>
      <c r="AT2540" s="1"/>
      <c r="AU2540" s="1"/>
      <c r="AV2540" s="1"/>
      <c r="AW2540" s="1"/>
      <c r="AX2540" s="1"/>
      <c r="AY2540" s="1"/>
      <c r="AZ2540" s="1"/>
      <c r="BA2540" s="1"/>
      <c r="BB2540" s="1"/>
      <c r="BC2540" s="1"/>
      <c r="BD2540" s="1"/>
      <c r="BE2540" s="1"/>
    </row>
    <row x14ac:dyDescent="0.25" r="2541" customHeight="1" ht="18.75">
      <c r="A2541" s="1"/>
      <c r="B2541" s="2"/>
      <c r="C2541" s="2"/>
      <c r="D2541" s="2"/>
      <c r="E2541" s="2"/>
      <c r="F2541" s="2"/>
      <c r="G2541" s="1"/>
      <c r="H2541" s="1"/>
      <c r="I2541" s="7">
        <v>2.538</v>
      </c>
      <c r="J2541" s="7">
        <f>IF((I2541-ROUNDDOWN(I2541,0))=0, 0, (I2541-ROUNDDOWN(I2541,0)))</f>
      </c>
      <c r="K2541" s="7">
        <f>INDIRECT("C$"&amp;2+MIN(2,ROUNDDOWN(I2541,0))*3)*(-$J2541^3+3*$J2541^2-3*$J2541+1)+INDIRECT("C$"&amp;3+MIN(2,ROUNDDOWN(I2541,0))*3)*(3*$J2541^3-6*$J2541^2+3*$J2541)+INDIRECT("C$"&amp;4+MIN(2,ROUNDDOWN(I2541,0))*3)*(-3*$J2541^3+3*$J2541^2)+INDIRECT("C$"&amp;5+MIN(2,ROUNDDOWN(I2541,0))*3)*$J2541^3</f>
      </c>
      <c r="L2541" s="7">
        <f>INDIRECT("D$"&amp;2+MIN(2,ROUNDDOWN(I2541,0))*3)*(-$J2541^3+3*$J2541^2-3*$J2541+1)+INDIRECT("D$"&amp;3+MIN(2,ROUNDDOWN(I2541,0))*3)*(3*$J2541^3-6*$J2541^2+3*$J2541)+INDIRECT("D$"&amp;4+MIN(2,ROUNDDOWN(I2541,0))*3)*(-3*$J2541^3+3*$J2541^2)+INDIRECT("D$"&amp;5+MIN(2,ROUNDDOWN(I2541,0))*3)*$J2541^3</f>
      </c>
      <c r="M2541" s="7">
        <f>SQRT(K2541^2+L2541^2)</f>
      </c>
      <c r="N2541" s="7">
        <f>(K2542-K2540)</f>
      </c>
      <c r="O2541" s="7">
        <f>+(L2542-L2540)</f>
      </c>
      <c r="P2541" s="7">
        <f>SQRT(O2541^2+N2541^2)</f>
      </c>
      <c r="Q2541" s="7">
        <f>N2541/$P2541</f>
      </c>
      <c r="R2541" s="7">
        <f>O2541/$P2541</f>
      </c>
      <c r="S2541" s="7">
        <f>Q2541^2+R2541^2</f>
      </c>
      <c r="T2541" s="7">
        <f>-R2541</f>
      </c>
      <c r="U2541" s="7">
        <f>Q2541</f>
      </c>
      <c r="V2541" s="7">
        <f>($C$14+($C$15-$C$14)/($D$15-$D$14)*(I2541-$D$14))/2</f>
      </c>
      <c r="W2541" s="7">
        <f>($B$22*I2541^4+$C$22*I2541^3+$D$22*I2541^2+$E$22*I2541+$F$22)/2</f>
      </c>
      <c r="X2541" s="7">
        <f>($W2541)*(T2541)</f>
      </c>
      <c r="Y2541" s="7">
        <f>($W2541)*(U2541)</f>
      </c>
      <c r="Z2541" s="7">
        <f>SQRT(X2541^2+Y2541^2)</f>
      </c>
      <c r="AA2541" s="7">
        <f>$K2541+$X2541</f>
      </c>
      <c r="AB2541" s="7">
        <f>$L2541+$Y2541</f>
      </c>
      <c r="AC2541" s="7">
        <f>$K2541-$X2541</f>
      </c>
      <c r="AD2541" s="7">
        <f>$L2541-$Y2541</f>
      </c>
      <c r="AE2541" s="7">
        <f>AA2541/39.3701</f>
      </c>
      <c r="AF2541" s="7">
        <f>AB2541/39.3701</f>
      </c>
      <c r="AG2541" s="7">
        <f>AC2541/39.3701</f>
      </c>
      <c r="AH2541" s="7">
        <f>AD2541/39.3701</f>
      </c>
      <c r="AI2541" s="1"/>
      <c r="AJ2541" s="1"/>
      <c r="AK2541" s="1"/>
      <c r="AL2541" s="1"/>
      <c r="AM2541" s="2"/>
      <c r="AN2541" s="1"/>
      <c r="AO2541" s="1"/>
      <c r="AP2541" s="1"/>
      <c r="AQ2541" s="1"/>
      <c r="AR2541" s="1"/>
      <c r="AS2541" s="1"/>
      <c r="AT2541" s="1"/>
      <c r="AU2541" s="1"/>
      <c r="AV2541" s="1"/>
      <c r="AW2541" s="1"/>
      <c r="AX2541" s="1"/>
      <c r="AY2541" s="1"/>
      <c r="AZ2541" s="1"/>
      <c r="BA2541" s="1"/>
      <c r="BB2541" s="1"/>
      <c r="BC2541" s="1"/>
      <c r="BD2541" s="1"/>
      <c r="BE2541" s="1"/>
    </row>
    <row x14ac:dyDescent="0.25" r="2542" customHeight="1" ht="18.75">
      <c r="A2542" s="1"/>
      <c r="B2542" s="2"/>
      <c r="C2542" s="2"/>
      <c r="D2542" s="2"/>
      <c r="E2542" s="2"/>
      <c r="F2542" s="2"/>
      <c r="G2542" s="1"/>
      <c r="H2542" s="1"/>
      <c r="I2542" s="7">
        <v>2.539</v>
      </c>
      <c r="J2542" s="7">
        <f>IF((I2542-ROUNDDOWN(I2542,0))=0, 0, (I2542-ROUNDDOWN(I2542,0)))</f>
      </c>
      <c r="K2542" s="7">
        <f>INDIRECT("C$"&amp;2+MIN(2,ROUNDDOWN(I2542,0))*3)*(-$J2542^3+3*$J2542^2-3*$J2542+1)+INDIRECT("C$"&amp;3+MIN(2,ROUNDDOWN(I2542,0))*3)*(3*$J2542^3-6*$J2542^2+3*$J2542)+INDIRECT("C$"&amp;4+MIN(2,ROUNDDOWN(I2542,0))*3)*(-3*$J2542^3+3*$J2542^2)+INDIRECT("C$"&amp;5+MIN(2,ROUNDDOWN(I2542,0))*3)*$J2542^3</f>
      </c>
      <c r="L2542" s="7">
        <f>INDIRECT("D$"&amp;2+MIN(2,ROUNDDOWN(I2542,0))*3)*(-$J2542^3+3*$J2542^2-3*$J2542+1)+INDIRECT("D$"&amp;3+MIN(2,ROUNDDOWN(I2542,0))*3)*(3*$J2542^3-6*$J2542^2+3*$J2542)+INDIRECT("D$"&amp;4+MIN(2,ROUNDDOWN(I2542,0))*3)*(-3*$J2542^3+3*$J2542^2)+INDIRECT("D$"&amp;5+MIN(2,ROUNDDOWN(I2542,0))*3)*$J2542^3</f>
      </c>
      <c r="M2542" s="7">
        <f>SQRT(K2542^2+L2542^2)</f>
      </c>
      <c r="N2542" s="7">
        <f>(K2543-K2541)</f>
      </c>
      <c r="O2542" s="7">
        <f>+(L2543-L2541)</f>
      </c>
      <c r="P2542" s="7">
        <f>SQRT(O2542^2+N2542^2)</f>
      </c>
      <c r="Q2542" s="7">
        <f>N2542/$P2542</f>
      </c>
      <c r="R2542" s="7">
        <f>O2542/$P2542</f>
      </c>
      <c r="S2542" s="7">
        <f>Q2542^2+R2542^2</f>
      </c>
      <c r="T2542" s="7">
        <f>-R2542</f>
      </c>
      <c r="U2542" s="7">
        <f>Q2542</f>
      </c>
      <c r="V2542" s="7">
        <f>($C$14+($C$15-$C$14)/($D$15-$D$14)*(I2542-$D$14))/2</f>
      </c>
      <c r="W2542" s="7">
        <f>($B$22*I2542^4+$C$22*I2542^3+$D$22*I2542^2+$E$22*I2542+$F$22)/2</f>
      </c>
      <c r="X2542" s="7">
        <f>($W2542)*(T2542)</f>
      </c>
      <c r="Y2542" s="7">
        <f>($W2542)*(U2542)</f>
      </c>
      <c r="Z2542" s="7">
        <f>SQRT(X2542^2+Y2542^2)</f>
      </c>
      <c r="AA2542" s="7">
        <f>$K2542+$X2542</f>
      </c>
      <c r="AB2542" s="7">
        <f>$L2542+$Y2542</f>
      </c>
      <c r="AC2542" s="7">
        <f>$K2542-$X2542</f>
      </c>
      <c r="AD2542" s="7">
        <f>$L2542-$Y2542</f>
      </c>
      <c r="AE2542" s="7">
        <f>AA2542/39.3701</f>
      </c>
      <c r="AF2542" s="7">
        <f>AB2542/39.3701</f>
      </c>
      <c r="AG2542" s="7">
        <f>AC2542/39.3701</f>
      </c>
      <c r="AH2542" s="7">
        <f>AD2542/39.3701</f>
      </c>
      <c r="AI2542" s="1"/>
      <c r="AJ2542" s="1"/>
      <c r="AK2542" s="1"/>
      <c r="AL2542" s="1"/>
      <c r="AM2542" s="2"/>
      <c r="AN2542" s="1"/>
      <c r="AO2542" s="1"/>
      <c r="AP2542" s="1"/>
      <c r="AQ2542" s="1"/>
      <c r="AR2542" s="1"/>
      <c r="AS2542" s="1"/>
      <c r="AT2542" s="1"/>
      <c r="AU2542" s="1"/>
      <c r="AV2542" s="1"/>
      <c r="AW2542" s="1"/>
      <c r="AX2542" s="1"/>
      <c r="AY2542" s="1"/>
      <c r="AZ2542" s="1"/>
      <c r="BA2542" s="1"/>
      <c r="BB2542" s="1"/>
      <c r="BC2542" s="1"/>
      <c r="BD2542" s="1"/>
      <c r="BE2542" s="1"/>
    </row>
    <row x14ac:dyDescent="0.25" r="2543" customHeight="1" ht="18.75">
      <c r="A2543" s="1"/>
      <c r="B2543" s="2"/>
      <c r="C2543" s="2"/>
      <c r="D2543" s="2"/>
      <c r="E2543" s="2"/>
      <c r="F2543" s="2"/>
      <c r="G2543" s="1"/>
      <c r="H2543" s="1"/>
      <c r="I2543" s="7">
        <v>2.54</v>
      </c>
      <c r="J2543" s="7">
        <f>IF((I2543-ROUNDDOWN(I2543,0))=0, 0, (I2543-ROUNDDOWN(I2543,0)))</f>
      </c>
      <c r="K2543" s="7">
        <f>INDIRECT("C$"&amp;2+MIN(2,ROUNDDOWN(I2543,0))*3)*(-$J2543^3+3*$J2543^2-3*$J2543+1)+INDIRECT("C$"&amp;3+MIN(2,ROUNDDOWN(I2543,0))*3)*(3*$J2543^3-6*$J2543^2+3*$J2543)+INDIRECT("C$"&amp;4+MIN(2,ROUNDDOWN(I2543,0))*3)*(-3*$J2543^3+3*$J2543^2)+INDIRECT("C$"&amp;5+MIN(2,ROUNDDOWN(I2543,0))*3)*$J2543^3</f>
      </c>
      <c r="L2543" s="7">
        <f>INDIRECT("D$"&amp;2+MIN(2,ROUNDDOWN(I2543,0))*3)*(-$J2543^3+3*$J2543^2-3*$J2543+1)+INDIRECT("D$"&amp;3+MIN(2,ROUNDDOWN(I2543,0))*3)*(3*$J2543^3-6*$J2543^2+3*$J2543)+INDIRECT("D$"&amp;4+MIN(2,ROUNDDOWN(I2543,0))*3)*(-3*$J2543^3+3*$J2543^2)+INDIRECT("D$"&amp;5+MIN(2,ROUNDDOWN(I2543,0))*3)*$J2543^3</f>
      </c>
      <c r="M2543" s="7">
        <f>SQRT(K2543^2+L2543^2)</f>
      </c>
      <c r="N2543" s="7">
        <f>(K2544-K2542)</f>
      </c>
      <c r="O2543" s="7">
        <f>+(L2544-L2542)</f>
      </c>
      <c r="P2543" s="7">
        <f>SQRT(O2543^2+N2543^2)</f>
      </c>
      <c r="Q2543" s="7">
        <f>N2543/$P2543</f>
      </c>
      <c r="R2543" s="7">
        <f>O2543/$P2543</f>
      </c>
      <c r="S2543" s="7">
        <f>Q2543^2+R2543^2</f>
      </c>
      <c r="T2543" s="7">
        <f>-R2543</f>
      </c>
      <c r="U2543" s="7">
        <f>Q2543</f>
      </c>
      <c r="V2543" s="7">
        <f>($C$14+($C$15-$C$14)/($D$15-$D$14)*(I2543-$D$14))/2</f>
      </c>
      <c r="W2543" s="7">
        <f>($B$22*I2543^4+$C$22*I2543^3+$D$22*I2543^2+$E$22*I2543+$F$22)/2</f>
      </c>
      <c r="X2543" s="7">
        <f>($W2543)*(T2543)</f>
      </c>
      <c r="Y2543" s="7">
        <f>($W2543)*(U2543)</f>
      </c>
      <c r="Z2543" s="7">
        <f>SQRT(X2543^2+Y2543^2)</f>
      </c>
      <c r="AA2543" s="7">
        <f>$K2543+$X2543</f>
      </c>
      <c r="AB2543" s="7">
        <f>$L2543+$Y2543</f>
      </c>
      <c r="AC2543" s="7">
        <f>$K2543-$X2543</f>
      </c>
      <c r="AD2543" s="7">
        <f>$L2543-$Y2543</f>
      </c>
      <c r="AE2543" s="7">
        <f>AA2543/39.3701</f>
      </c>
      <c r="AF2543" s="7">
        <f>AB2543/39.3701</f>
      </c>
      <c r="AG2543" s="7">
        <f>AC2543/39.3701</f>
      </c>
      <c r="AH2543" s="7">
        <f>AD2543/39.3701</f>
      </c>
      <c r="AI2543" s="1"/>
      <c r="AJ2543" s="1"/>
      <c r="AK2543" s="1"/>
      <c r="AL2543" s="1"/>
      <c r="AM2543" s="2"/>
      <c r="AN2543" s="1"/>
      <c r="AO2543" s="1"/>
      <c r="AP2543" s="1"/>
      <c r="AQ2543" s="1"/>
      <c r="AR2543" s="1"/>
      <c r="AS2543" s="1"/>
      <c r="AT2543" s="1"/>
      <c r="AU2543" s="1"/>
      <c r="AV2543" s="1"/>
      <c r="AW2543" s="1"/>
      <c r="AX2543" s="1"/>
      <c r="AY2543" s="1"/>
      <c r="AZ2543" s="1"/>
      <c r="BA2543" s="1"/>
      <c r="BB2543" s="1"/>
      <c r="BC2543" s="1"/>
      <c r="BD2543" s="1"/>
      <c r="BE2543" s="1"/>
    </row>
    <row x14ac:dyDescent="0.25" r="2544" customHeight="1" ht="18.75">
      <c r="A2544" s="1"/>
      <c r="B2544" s="2"/>
      <c r="C2544" s="2"/>
      <c r="D2544" s="2"/>
      <c r="E2544" s="2"/>
      <c r="F2544" s="2"/>
      <c r="G2544" s="1"/>
      <c r="H2544" s="1"/>
      <c r="I2544" s="7">
        <v>2.541</v>
      </c>
      <c r="J2544" s="7">
        <f>IF((I2544-ROUNDDOWN(I2544,0))=0, 0, (I2544-ROUNDDOWN(I2544,0)))</f>
      </c>
      <c r="K2544" s="7">
        <f>INDIRECT("C$"&amp;2+MIN(2,ROUNDDOWN(I2544,0))*3)*(-$J2544^3+3*$J2544^2-3*$J2544+1)+INDIRECT("C$"&amp;3+MIN(2,ROUNDDOWN(I2544,0))*3)*(3*$J2544^3-6*$J2544^2+3*$J2544)+INDIRECT("C$"&amp;4+MIN(2,ROUNDDOWN(I2544,0))*3)*(-3*$J2544^3+3*$J2544^2)+INDIRECT("C$"&amp;5+MIN(2,ROUNDDOWN(I2544,0))*3)*$J2544^3</f>
      </c>
      <c r="L2544" s="7">
        <f>INDIRECT("D$"&amp;2+MIN(2,ROUNDDOWN(I2544,0))*3)*(-$J2544^3+3*$J2544^2-3*$J2544+1)+INDIRECT("D$"&amp;3+MIN(2,ROUNDDOWN(I2544,0))*3)*(3*$J2544^3-6*$J2544^2+3*$J2544)+INDIRECT("D$"&amp;4+MIN(2,ROUNDDOWN(I2544,0))*3)*(-3*$J2544^3+3*$J2544^2)+INDIRECT("D$"&amp;5+MIN(2,ROUNDDOWN(I2544,0))*3)*$J2544^3</f>
      </c>
      <c r="M2544" s="7">
        <f>SQRT(K2544^2+L2544^2)</f>
      </c>
      <c r="N2544" s="7">
        <f>(K2545-K2543)</f>
      </c>
      <c r="O2544" s="7">
        <f>+(L2545-L2543)</f>
      </c>
      <c r="P2544" s="7">
        <f>SQRT(O2544^2+N2544^2)</f>
      </c>
      <c r="Q2544" s="7">
        <f>N2544/$P2544</f>
      </c>
      <c r="R2544" s="7">
        <f>O2544/$P2544</f>
      </c>
      <c r="S2544" s="8">
        <f>Q2544^2+R2544^2</f>
      </c>
      <c r="T2544" s="7">
        <f>-R2544</f>
      </c>
      <c r="U2544" s="7">
        <f>Q2544</f>
      </c>
      <c r="V2544" s="7">
        <f>($C$14+($C$15-$C$14)/($D$15-$D$14)*(I2544-$D$14))/2</f>
      </c>
      <c r="W2544" s="7">
        <f>($B$22*I2544^4+$C$22*I2544^3+$D$22*I2544^2+$E$22*I2544+$F$22)/2</f>
      </c>
      <c r="X2544" s="7">
        <f>($W2544)*(T2544)</f>
      </c>
      <c r="Y2544" s="7">
        <f>($W2544)*(U2544)</f>
      </c>
      <c r="Z2544" s="7">
        <f>SQRT(X2544^2+Y2544^2)</f>
      </c>
      <c r="AA2544" s="7">
        <f>$K2544+$X2544</f>
      </c>
      <c r="AB2544" s="7">
        <f>$L2544+$Y2544</f>
      </c>
      <c r="AC2544" s="7">
        <f>$K2544-$X2544</f>
      </c>
      <c r="AD2544" s="7">
        <f>$L2544-$Y2544</f>
      </c>
      <c r="AE2544" s="7">
        <f>AA2544/39.3701</f>
      </c>
      <c r="AF2544" s="7">
        <f>AB2544/39.3701</f>
      </c>
      <c r="AG2544" s="7">
        <f>AC2544/39.3701</f>
      </c>
      <c r="AH2544" s="7">
        <f>AD2544/39.3701</f>
      </c>
      <c r="AI2544" s="1"/>
      <c r="AJ2544" s="1"/>
      <c r="AK2544" s="1"/>
      <c r="AL2544" s="1"/>
      <c r="AM2544" s="2"/>
      <c r="AN2544" s="1"/>
      <c r="AO2544" s="1"/>
      <c r="AP2544" s="1"/>
      <c r="AQ2544" s="1"/>
      <c r="AR2544" s="1"/>
      <c r="AS2544" s="1"/>
      <c r="AT2544" s="1"/>
      <c r="AU2544" s="1"/>
      <c r="AV2544" s="1"/>
      <c r="AW2544" s="1"/>
      <c r="AX2544" s="1"/>
      <c r="AY2544" s="1"/>
      <c r="AZ2544" s="1"/>
      <c r="BA2544" s="1"/>
      <c r="BB2544" s="1"/>
      <c r="BC2544" s="1"/>
      <c r="BD2544" s="1"/>
      <c r="BE2544" s="1"/>
    </row>
    <row x14ac:dyDescent="0.25" r="2545" customHeight="1" ht="18.75">
      <c r="A2545" s="1"/>
      <c r="B2545" s="2"/>
      <c r="C2545" s="2"/>
      <c r="D2545" s="2"/>
      <c r="E2545" s="2"/>
      <c r="F2545" s="2"/>
      <c r="G2545" s="1"/>
      <c r="H2545" s="1"/>
      <c r="I2545" s="7">
        <v>2.542</v>
      </c>
      <c r="J2545" s="7">
        <f>IF((I2545-ROUNDDOWN(I2545,0))=0, 0, (I2545-ROUNDDOWN(I2545,0)))</f>
      </c>
      <c r="K2545" s="7">
        <f>INDIRECT("C$"&amp;2+MIN(2,ROUNDDOWN(I2545,0))*3)*(-$J2545^3+3*$J2545^2-3*$J2545+1)+INDIRECT("C$"&amp;3+MIN(2,ROUNDDOWN(I2545,0))*3)*(3*$J2545^3-6*$J2545^2+3*$J2545)+INDIRECT("C$"&amp;4+MIN(2,ROUNDDOWN(I2545,0))*3)*(-3*$J2545^3+3*$J2545^2)+INDIRECT("C$"&amp;5+MIN(2,ROUNDDOWN(I2545,0))*3)*$J2545^3</f>
      </c>
      <c r="L2545" s="7">
        <f>INDIRECT("D$"&amp;2+MIN(2,ROUNDDOWN(I2545,0))*3)*(-$J2545^3+3*$J2545^2-3*$J2545+1)+INDIRECT("D$"&amp;3+MIN(2,ROUNDDOWN(I2545,0))*3)*(3*$J2545^3-6*$J2545^2+3*$J2545)+INDIRECT("D$"&amp;4+MIN(2,ROUNDDOWN(I2545,0))*3)*(-3*$J2545^3+3*$J2545^2)+INDIRECT("D$"&amp;5+MIN(2,ROUNDDOWN(I2545,0))*3)*$J2545^3</f>
      </c>
      <c r="M2545" s="7">
        <f>SQRT(K2545^2+L2545^2)</f>
      </c>
      <c r="N2545" s="7">
        <f>(K2546-K2544)</f>
      </c>
      <c r="O2545" s="7">
        <f>+(L2546-L2544)</f>
      </c>
      <c r="P2545" s="7">
        <f>SQRT(O2545^2+N2545^2)</f>
      </c>
      <c r="Q2545" s="7">
        <f>N2545/$P2545</f>
      </c>
      <c r="R2545" s="7">
        <f>O2545/$P2545</f>
      </c>
      <c r="S2545" s="7">
        <f>Q2545^2+R2545^2</f>
      </c>
      <c r="T2545" s="7">
        <f>-R2545</f>
      </c>
      <c r="U2545" s="7">
        <f>Q2545</f>
      </c>
      <c r="V2545" s="7">
        <f>($C$14+($C$15-$C$14)/($D$15-$D$14)*(I2545-$D$14))/2</f>
      </c>
      <c r="W2545" s="7">
        <f>($B$22*I2545^4+$C$22*I2545^3+$D$22*I2545^2+$E$22*I2545+$F$22)/2</f>
      </c>
      <c r="X2545" s="7">
        <f>($W2545)*(T2545)</f>
      </c>
      <c r="Y2545" s="7">
        <f>($W2545)*(U2545)</f>
      </c>
      <c r="Z2545" s="7">
        <f>SQRT(X2545^2+Y2545^2)</f>
      </c>
      <c r="AA2545" s="7">
        <f>$K2545+$X2545</f>
      </c>
      <c r="AB2545" s="7">
        <f>$L2545+$Y2545</f>
      </c>
      <c r="AC2545" s="7">
        <f>$K2545-$X2545</f>
      </c>
      <c r="AD2545" s="7">
        <f>$L2545-$Y2545</f>
      </c>
      <c r="AE2545" s="7">
        <f>AA2545/39.3701</f>
      </c>
      <c r="AF2545" s="7">
        <f>AB2545/39.3701</f>
      </c>
      <c r="AG2545" s="7">
        <f>AC2545/39.3701</f>
      </c>
      <c r="AH2545" s="7">
        <f>AD2545/39.3701</f>
      </c>
      <c r="AI2545" s="1"/>
      <c r="AJ2545" s="1"/>
      <c r="AK2545" s="1"/>
      <c r="AL2545" s="1"/>
      <c r="AM2545" s="2"/>
      <c r="AN2545" s="1"/>
      <c r="AO2545" s="1"/>
      <c r="AP2545" s="1"/>
      <c r="AQ2545" s="1"/>
      <c r="AR2545" s="1"/>
      <c r="AS2545" s="1"/>
      <c r="AT2545" s="1"/>
      <c r="AU2545" s="1"/>
      <c r="AV2545" s="1"/>
      <c r="AW2545" s="1"/>
      <c r="AX2545" s="1"/>
      <c r="AY2545" s="1"/>
      <c r="AZ2545" s="1"/>
      <c r="BA2545" s="1"/>
      <c r="BB2545" s="1"/>
      <c r="BC2545" s="1"/>
      <c r="BD2545" s="1"/>
      <c r="BE2545" s="1"/>
    </row>
    <row x14ac:dyDescent="0.25" r="2546" customHeight="1" ht="18.75">
      <c r="A2546" s="1"/>
      <c r="B2546" s="2"/>
      <c r="C2546" s="2"/>
      <c r="D2546" s="2"/>
      <c r="E2546" s="2"/>
      <c r="F2546" s="2"/>
      <c r="G2546" s="1"/>
      <c r="H2546" s="1"/>
      <c r="I2546" s="7">
        <v>2.543</v>
      </c>
      <c r="J2546" s="7">
        <f>IF((I2546-ROUNDDOWN(I2546,0))=0, 0, (I2546-ROUNDDOWN(I2546,0)))</f>
      </c>
      <c r="K2546" s="7">
        <f>INDIRECT("C$"&amp;2+MIN(2,ROUNDDOWN(I2546,0))*3)*(-$J2546^3+3*$J2546^2-3*$J2546+1)+INDIRECT("C$"&amp;3+MIN(2,ROUNDDOWN(I2546,0))*3)*(3*$J2546^3-6*$J2546^2+3*$J2546)+INDIRECT("C$"&amp;4+MIN(2,ROUNDDOWN(I2546,0))*3)*(-3*$J2546^3+3*$J2546^2)+INDIRECT("C$"&amp;5+MIN(2,ROUNDDOWN(I2546,0))*3)*$J2546^3</f>
      </c>
      <c r="L2546" s="7">
        <f>INDIRECT("D$"&amp;2+MIN(2,ROUNDDOWN(I2546,0))*3)*(-$J2546^3+3*$J2546^2-3*$J2546+1)+INDIRECT("D$"&amp;3+MIN(2,ROUNDDOWN(I2546,0))*3)*(3*$J2546^3-6*$J2546^2+3*$J2546)+INDIRECT("D$"&amp;4+MIN(2,ROUNDDOWN(I2546,0))*3)*(-3*$J2546^3+3*$J2546^2)+INDIRECT("D$"&amp;5+MIN(2,ROUNDDOWN(I2546,0))*3)*$J2546^3</f>
      </c>
      <c r="M2546" s="7">
        <f>SQRT(K2546^2+L2546^2)</f>
      </c>
      <c r="N2546" s="7">
        <f>(K2547-K2545)</f>
      </c>
      <c r="O2546" s="7">
        <f>+(L2547-L2545)</f>
      </c>
      <c r="P2546" s="7">
        <f>SQRT(O2546^2+N2546^2)</f>
      </c>
      <c r="Q2546" s="7">
        <f>N2546/$P2546</f>
      </c>
      <c r="R2546" s="7">
        <f>O2546/$P2546</f>
      </c>
      <c r="S2546" s="7">
        <f>Q2546^2+R2546^2</f>
      </c>
      <c r="T2546" s="7">
        <f>-R2546</f>
      </c>
      <c r="U2546" s="7">
        <f>Q2546</f>
      </c>
      <c r="V2546" s="7">
        <f>($C$14+($C$15-$C$14)/($D$15-$D$14)*(I2546-$D$14))/2</f>
      </c>
      <c r="W2546" s="7">
        <f>($B$22*I2546^4+$C$22*I2546^3+$D$22*I2546^2+$E$22*I2546+$F$22)/2</f>
      </c>
      <c r="X2546" s="7">
        <f>($W2546)*(T2546)</f>
      </c>
      <c r="Y2546" s="7">
        <f>($W2546)*(U2546)</f>
      </c>
      <c r="Z2546" s="7">
        <f>SQRT(X2546^2+Y2546^2)</f>
      </c>
      <c r="AA2546" s="7">
        <f>$K2546+$X2546</f>
      </c>
      <c r="AB2546" s="7">
        <f>$L2546+$Y2546</f>
      </c>
      <c r="AC2546" s="7">
        <f>$K2546-$X2546</f>
      </c>
      <c r="AD2546" s="7">
        <f>$L2546-$Y2546</f>
      </c>
      <c r="AE2546" s="7">
        <f>AA2546/39.3701</f>
      </c>
      <c r="AF2546" s="7">
        <f>AB2546/39.3701</f>
      </c>
      <c r="AG2546" s="7">
        <f>AC2546/39.3701</f>
      </c>
      <c r="AH2546" s="7">
        <f>AD2546/39.3701</f>
      </c>
      <c r="AI2546" s="1"/>
      <c r="AJ2546" s="1"/>
      <c r="AK2546" s="1"/>
      <c r="AL2546" s="1"/>
      <c r="AM2546" s="2"/>
      <c r="AN2546" s="1"/>
      <c r="AO2546" s="1"/>
      <c r="AP2546" s="1"/>
      <c r="AQ2546" s="1"/>
      <c r="AR2546" s="1"/>
      <c r="AS2546" s="1"/>
      <c r="AT2546" s="1"/>
      <c r="AU2546" s="1"/>
      <c r="AV2546" s="1"/>
      <c r="AW2546" s="1"/>
      <c r="AX2546" s="1"/>
      <c r="AY2546" s="1"/>
      <c r="AZ2546" s="1"/>
      <c r="BA2546" s="1"/>
      <c r="BB2546" s="1"/>
      <c r="BC2546" s="1"/>
      <c r="BD2546" s="1"/>
      <c r="BE2546" s="1"/>
    </row>
    <row x14ac:dyDescent="0.25" r="2547" customHeight="1" ht="18.75">
      <c r="A2547" s="1"/>
      <c r="B2547" s="2"/>
      <c r="C2547" s="2"/>
      <c r="D2547" s="2"/>
      <c r="E2547" s="2"/>
      <c r="F2547" s="2"/>
      <c r="G2547" s="1"/>
      <c r="H2547" s="1"/>
      <c r="I2547" s="7">
        <v>2.544</v>
      </c>
      <c r="J2547" s="7">
        <f>IF((I2547-ROUNDDOWN(I2547,0))=0, 0, (I2547-ROUNDDOWN(I2547,0)))</f>
      </c>
      <c r="K2547" s="7">
        <f>INDIRECT("C$"&amp;2+MIN(2,ROUNDDOWN(I2547,0))*3)*(-$J2547^3+3*$J2547^2-3*$J2547+1)+INDIRECT("C$"&amp;3+MIN(2,ROUNDDOWN(I2547,0))*3)*(3*$J2547^3-6*$J2547^2+3*$J2547)+INDIRECT("C$"&amp;4+MIN(2,ROUNDDOWN(I2547,0))*3)*(-3*$J2547^3+3*$J2547^2)+INDIRECT("C$"&amp;5+MIN(2,ROUNDDOWN(I2547,0))*3)*$J2547^3</f>
      </c>
      <c r="L2547" s="7">
        <f>INDIRECT("D$"&amp;2+MIN(2,ROUNDDOWN(I2547,0))*3)*(-$J2547^3+3*$J2547^2-3*$J2547+1)+INDIRECT("D$"&amp;3+MIN(2,ROUNDDOWN(I2547,0))*3)*(3*$J2547^3-6*$J2547^2+3*$J2547)+INDIRECT("D$"&amp;4+MIN(2,ROUNDDOWN(I2547,0))*3)*(-3*$J2547^3+3*$J2547^2)+INDIRECT("D$"&amp;5+MIN(2,ROUNDDOWN(I2547,0))*3)*$J2547^3</f>
      </c>
      <c r="M2547" s="7">
        <f>SQRT(K2547^2+L2547^2)</f>
      </c>
      <c r="N2547" s="7">
        <f>(K2548-K2546)</f>
      </c>
      <c r="O2547" s="7">
        <f>+(L2548-L2546)</f>
      </c>
      <c r="P2547" s="7">
        <f>SQRT(O2547^2+N2547^2)</f>
      </c>
      <c r="Q2547" s="7">
        <f>N2547/$P2547</f>
      </c>
      <c r="R2547" s="7">
        <f>O2547/$P2547</f>
      </c>
      <c r="S2547" s="8">
        <f>Q2547^2+R2547^2</f>
      </c>
      <c r="T2547" s="7">
        <f>-R2547</f>
      </c>
      <c r="U2547" s="7">
        <f>Q2547</f>
      </c>
      <c r="V2547" s="7">
        <f>($C$14+($C$15-$C$14)/($D$15-$D$14)*(I2547-$D$14))/2</f>
      </c>
      <c r="W2547" s="7">
        <f>($B$22*I2547^4+$C$22*I2547^3+$D$22*I2547^2+$E$22*I2547+$F$22)/2</f>
      </c>
      <c r="X2547" s="7">
        <f>($W2547)*(T2547)</f>
      </c>
      <c r="Y2547" s="7">
        <f>($W2547)*(U2547)</f>
      </c>
      <c r="Z2547" s="7">
        <f>SQRT(X2547^2+Y2547^2)</f>
      </c>
      <c r="AA2547" s="7">
        <f>$K2547+$X2547</f>
      </c>
      <c r="AB2547" s="7">
        <f>$L2547+$Y2547</f>
      </c>
      <c r="AC2547" s="7">
        <f>$K2547-$X2547</f>
      </c>
      <c r="AD2547" s="7">
        <f>$L2547-$Y2547</f>
      </c>
      <c r="AE2547" s="7">
        <f>AA2547/39.3701</f>
      </c>
      <c r="AF2547" s="7">
        <f>AB2547/39.3701</f>
      </c>
      <c r="AG2547" s="7">
        <f>AC2547/39.3701</f>
      </c>
      <c r="AH2547" s="7">
        <f>AD2547/39.3701</f>
      </c>
      <c r="AI2547" s="1"/>
      <c r="AJ2547" s="1"/>
      <c r="AK2547" s="1"/>
      <c r="AL2547" s="1"/>
      <c r="AM2547" s="2"/>
      <c r="AN2547" s="1"/>
      <c r="AO2547" s="1"/>
      <c r="AP2547" s="1"/>
      <c r="AQ2547" s="1"/>
      <c r="AR2547" s="1"/>
      <c r="AS2547" s="1"/>
      <c r="AT2547" s="1"/>
      <c r="AU2547" s="1"/>
      <c r="AV2547" s="1"/>
      <c r="AW2547" s="1"/>
      <c r="AX2547" s="1"/>
      <c r="AY2547" s="1"/>
      <c r="AZ2547" s="1"/>
      <c r="BA2547" s="1"/>
      <c r="BB2547" s="1"/>
      <c r="BC2547" s="1"/>
      <c r="BD2547" s="1"/>
      <c r="BE2547" s="1"/>
    </row>
    <row x14ac:dyDescent="0.25" r="2548" customHeight="1" ht="18.75">
      <c r="A2548" s="1"/>
      <c r="B2548" s="2"/>
      <c r="C2548" s="2"/>
      <c r="D2548" s="2"/>
      <c r="E2548" s="2"/>
      <c r="F2548" s="2"/>
      <c r="G2548" s="1"/>
      <c r="H2548" s="1"/>
      <c r="I2548" s="7">
        <v>2.545</v>
      </c>
      <c r="J2548" s="7">
        <f>IF((I2548-ROUNDDOWN(I2548,0))=0, 0, (I2548-ROUNDDOWN(I2548,0)))</f>
      </c>
      <c r="K2548" s="7">
        <f>INDIRECT("C$"&amp;2+MIN(2,ROUNDDOWN(I2548,0))*3)*(-$J2548^3+3*$J2548^2-3*$J2548+1)+INDIRECT("C$"&amp;3+MIN(2,ROUNDDOWN(I2548,0))*3)*(3*$J2548^3-6*$J2548^2+3*$J2548)+INDIRECT("C$"&amp;4+MIN(2,ROUNDDOWN(I2548,0))*3)*(-3*$J2548^3+3*$J2548^2)+INDIRECT("C$"&amp;5+MIN(2,ROUNDDOWN(I2548,0))*3)*$J2548^3</f>
      </c>
      <c r="L2548" s="7">
        <f>INDIRECT("D$"&amp;2+MIN(2,ROUNDDOWN(I2548,0))*3)*(-$J2548^3+3*$J2548^2-3*$J2548+1)+INDIRECT("D$"&amp;3+MIN(2,ROUNDDOWN(I2548,0))*3)*(3*$J2548^3-6*$J2548^2+3*$J2548)+INDIRECT("D$"&amp;4+MIN(2,ROUNDDOWN(I2548,0))*3)*(-3*$J2548^3+3*$J2548^2)+INDIRECT("D$"&amp;5+MIN(2,ROUNDDOWN(I2548,0))*3)*$J2548^3</f>
      </c>
      <c r="M2548" s="7">
        <f>SQRT(K2548^2+L2548^2)</f>
      </c>
      <c r="N2548" s="7">
        <f>(K2549-K2547)</f>
      </c>
      <c r="O2548" s="7">
        <f>+(L2549-L2547)</f>
      </c>
      <c r="P2548" s="7">
        <f>SQRT(O2548^2+N2548^2)</f>
      </c>
      <c r="Q2548" s="7">
        <f>N2548/$P2548</f>
      </c>
      <c r="R2548" s="7">
        <f>O2548/$P2548</f>
      </c>
      <c r="S2548" s="8">
        <f>Q2548^2+R2548^2</f>
      </c>
      <c r="T2548" s="7">
        <f>-R2548</f>
      </c>
      <c r="U2548" s="7">
        <f>Q2548</f>
      </c>
      <c r="V2548" s="7">
        <f>($C$14+($C$15-$C$14)/($D$15-$D$14)*(I2548-$D$14))/2</f>
      </c>
      <c r="W2548" s="7">
        <f>($B$22*I2548^4+$C$22*I2548^3+$D$22*I2548^2+$E$22*I2548+$F$22)/2</f>
      </c>
      <c r="X2548" s="7">
        <f>($W2548)*(T2548)</f>
      </c>
      <c r="Y2548" s="7">
        <f>($W2548)*(U2548)</f>
      </c>
      <c r="Z2548" s="7">
        <f>SQRT(X2548^2+Y2548^2)</f>
      </c>
      <c r="AA2548" s="7">
        <f>$K2548+$X2548</f>
      </c>
      <c r="AB2548" s="7">
        <f>$L2548+$Y2548</f>
      </c>
      <c r="AC2548" s="7">
        <f>$K2548-$X2548</f>
      </c>
      <c r="AD2548" s="7">
        <f>$L2548-$Y2548</f>
      </c>
      <c r="AE2548" s="7">
        <f>AA2548/39.3701</f>
      </c>
      <c r="AF2548" s="7">
        <f>AB2548/39.3701</f>
      </c>
      <c r="AG2548" s="7">
        <f>AC2548/39.3701</f>
      </c>
      <c r="AH2548" s="7">
        <f>AD2548/39.3701</f>
      </c>
      <c r="AI2548" s="1"/>
      <c r="AJ2548" s="1"/>
      <c r="AK2548" s="1"/>
      <c r="AL2548" s="1"/>
      <c r="AM2548" s="2"/>
      <c r="AN2548" s="1"/>
      <c r="AO2548" s="1"/>
      <c r="AP2548" s="1"/>
      <c r="AQ2548" s="1"/>
      <c r="AR2548" s="1"/>
      <c r="AS2548" s="1"/>
      <c r="AT2548" s="1"/>
      <c r="AU2548" s="1"/>
      <c r="AV2548" s="1"/>
      <c r="AW2548" s="1"/>
      <c r="AX2548" s="1"/>
      <c r="AY2548" s="1"/>
      <c r="AZ2548" s="1"/>
      <c r="BA2548" s="1"/>
      <c r="BB2548" s="1"/>
      <c r="BC2548" s="1"/>
      <c r="BD2548" s="1"/>
      <c r="BE2548" s="1"/>
    </row>
    <row x14ac:dyDescent="0.25" r="2549" customHeight="1" ht="18.75">
      <c r="A2549" s="1"/>
      <c r="B2549" s="2"/>
      <c r="C2549" s="2"/>
      <c r="D2549" s="2"/>
      <c r="E2549" s="2"/>
      <c r="F2549" s="2"/>
      <c r="G2549" s="1"/>
      <c r="H2549" s="1"/>
      <c r="I2549" s="7">
        <v>2.546</v>
      </c>
      <c r="J2549" s="7">
        <f>IF((I2549-ROUNDDOWN(I2549,0))=0, 0, (I2549-ROUNDDOWN(I2549,0)))</f>
      </c>
      <c r="K2549" s="7">
        <f>INDIRECT("C$"&amp;2+MIN(2,ROUNDDOWN(I2549,0))*3)*(-$J2549^3+3*$J2549^2-3*$J2549+1)+INDIRECT("C$"&amp;3+MIN(2,ROUNDDOWN(I2549,0))*3)*(3*$J2549^3-6*$J2549^2+3*$J2549)+INDIRECT("C$"&amp;4+MIN(2,ROUNDDOWN(I2549,0))*3)*(-3*$J2549^3+3*$J2549^2)+INDIRECT("C$"&amp;5+MIN(2,ROUNDDOWN(I2549,0))*3)*$J2549^3</f>
      </c>
      <c r="L2549" s="7">
        <f>INDIRECT("D$"&amp;2+MIN(2,ROUNDDOWN(I2549,0))*3)*(-$J2549^3+3*$J2549^2-3*$J2549+1)+INDIRECT("D$"&amp;3+MIN(2,ROUNDDOWN(I2549,0))*3)*(3*$J2549^3-6*$J2549^2+3*$J2549)+INDIRECT("D$"&amp;4+MIN(2,ROUNDDOWN(I2549,0))*3)*(-3*$J2549^3+3*$J2549^2)+INDIRECT("D$"&amp;5+MIN(2,ROUNDDOWN(I2549,0))*3)*$J2549^3</f>
      </c>
      <c r="M2549" s="7">
        <f>SQRT(K2549^2+L2549^2)</f>
      </c>
      <c r="N2549" s="7">
        <f>(K2550-K2548)</f>
      </c>
      <c r="O2549" s="7">
        <f>+(L2550-L2548)</f>
      </c>
      <c r="P2549" s="7">
        <f>SQRT(O2549^2+N2549^2)</f>
      </c>
      <c r="Q2549" s="7">
        <f>N2549/$P2549</f>
      </c>
      <c r="R2549" s="7">
        <f>O2549/$P2549</f>
      </c>
      <c r="S2549" s="8">
        <f>Q2549^2+R2549^2</f>
      </c>
      <c r="T2549" s="7">
        <f>-R2549</f>
      </c>
      <c r="U2549" s="7">
        <f>Q2549</f>
      </c>
      <c r="V2549" s="7">
        <f>($C$14+($C$15-$C$14)/($D$15-$D$14)*(I2549-$D$14))/2</f>
      </c>
      <c r="W2549" s="7">
        <f>($B$22*I2549^4+$C$22*I2549^3+$D$22*I2549^2+$E$22*I2549+$F$22)/2</f>
      </c>
      <c r="X2549" s="7">
        <f>($W2549)*(T2549)</f>
      </c>
      <c r="Y2549" s="7">
        <f>($W2549)*(U2549)</f>
      </c>
      <c r="Z2549" s="7">
        <f>SQRT(X2549^2+Y2549^2)</f>
      </c>
      <c r="AA2549" s="7">
        <f>$K2549+$X2549</f>
      </c>
      <c r="AB2549" s="7">
        <f>$L2549+$Y2549</f>
      </c>
      <c r="AC2549" s="7">
        <f>$K2549-$X2549</f>
      </c>
      <c r="AD2549" s="7">
        <f>$L2549-$Y2549</f>
      </c>
      <c r="AE2549" s="7">
        <f>AA2549/39.3701</f>
      </c>
      <c r="AF2549" s="7">
        <f>AB2549/39.3701</f>
      </c>
      <c r="AG2549" s="7">
        <f>AC2549/39.3701</f>
      </c>
      <c r="AH2549" s="7">
        <f>AD2549/39.3701</f>
      </c>
      <c r="AI2549" s="1"/>
      <c r="AJ2549" s="1"/>
      <c r="AK2549" s="1"/>
      <c r="AL2549" s="1"/>
      <c r="AM2549" s="2"/>
      <c r="AN2549" s="1"/>
      <c r="AO2549" s="1"/>
      <c r="AP2549" s="1"/>
      <c r="AQ2549" s="1"/>
      <c r="AR2549" s="1"/>
      <c r="AS2549" s="1"/>
      <c r="AT2549" s="1"/>
      <c r="AU2549" s="1"/>
      <c r="AV2549" s="1"/>
      <c r="AW2549" s="1"/>
      <c r="AX2549" s="1"/>
      <c r="AY2549" s="1"/>
      <c r="AZ2549" s="1"/>
      <c r="BA2549" s="1"/>
      <c r="BB2549" s="1"/>
      <c r="BC2549" s="1"/>
      <c r="BD2549" s="1"/>
      <c r="BE2549" s="1"/>
    </row>
    <row x14ac:dyDescent="0.25" r="2550" customHeight="1" ht="18.75">
      <c r="A2550" s="1"/>
      <c r="B2550" s="2"/>
      <c r="C2550" s="2"/>
      <c r="D2550" s="2"/>
      <c r="E2550" s="2"/>
      <c r="F2550" s="2"/>
      <c r="G2550" s="1"/>
      <c r="H2550" s="1"/>
      <c r="I2550" s="7">
        <v>2.547</v>
      </c>
      <c r="J2550" s="7">
        <f>IF((I2550-ROUNDDOWN(I2550,0))=0, 0, (I2550-ROUNDDOWN(I2550,0)))</f>
      </c>
      <c r="K2550" s="7">
        <f>INDIRECT("C$"&amp;2+MIN(2,ROUNDDOWN(I2550,0))*3)*(-$J2550^3+3*$J2550^2-3*$J2550+1)+INDIRECT("C$"&amp;3+MIN(2,ROUNDDOWN(I2550,0))*3)*(3*$J2550^3-6*$J2550^2+3*$J2550)+INDIRECT("C$"&amp;4+MIN(2,ROUNDDOWN(I2550,0))*3)*(-3*$J2550^3+3*$J2550^2)+INDIRECT("C$"&amp;5+MIN(2,ROUNDDOWN(I2550,0))*3)*$J2550^3</f>
      </c>
      <c r="L2550" s="7">
        <f>INDIRECT("D$"&amp;2+MIN(2,ROUNDDOWN(I2550,0))*3)*(-$J2550^3+3*$J2550^2-3*$J2550+1)+INDIRECT("D$"&amp;3+MIN(2,ROUNDDOWN(I2550,0))*3)*(3*$J2550^3-6*$J2550^2+3*$J2550)+INDIRECT("D$"&amp;4+MIN(2,ROUNDDOWN(I2550,0))*3)*(-3*$J2550^3+3*$J2550^2)+INDIRECT("D$"&amp;5+MIN(2,ROUNDDOWN(I2550,0))*3)*$J2550^3</f>
      </c>
      <c r="M2550" s="7">
        <f>SQRT(K2550^2+L2550^2)</f>
      </c>
      <c r="N2550" s="7">
        <f>(K2551-K2549)</f>
      </c>
      <c r="O2550" s="7">
        <f>+(L2551-L2549)</f>
      </c>
      <c r="P2550" s="7">
        <f>SQRT(O2550^2+N2550^2)</f>
      </c>
      <c r="Q2550" s="7">
        <f>N2550/$P2550</f>
      </c>
      <c r="R2550" s="7">
        <f>O2550/$P2550</f>
      </c>
      <c r="S2550" s="7">
        <f>Q2550^2+R2550^2</f>
      </c>
      <c r="T2550" s="7">
        <f>-R2550</f>
      </c>
      <c r="U2550" s="7">
        <f>Q2550</f>
      </c>
      <c r="V2550" s="7">
        <f>($C$14+($C$15-$C$14)/($D$15-$D$14)*(I2550-$D$14))/2</f>
      </c>
      <c r="W2550" s="7">
        <f>($B$22*I2550^4+$C$22*I2550^3+$D$22*I2550^2+$E$22*I2550+$F$22)/2</f>
      </c>
      <c r="X2550" s="7">
        <f>($W2550)*(T2550)</f>
      </c>
      <c r="Y2550" s="7">
        <f>($W2550)*(U2550)</f>
      </c>
      <c r="Z2550" s="7">
        <f>SQRT(X2550^2+Y2550^2)</f>
      </c>
      <c r="AA2550" s="7">
        <f>$K2550+$X2550</f>
      </c>
      <c r="AB2550" s="7">
        <f>$L2550+$Y2550</f>
      </c>
      <c r="AC2550" s="7">
        <f>$K2550-$X2550</f>
      </c>
      <c r="AD2550" s="7">
        <f>$L2550-$Y2550</f>
      </c>
      <c r="AE2550" s="7">
        <f>AA2550/39.3701</f>
      </c>
      <c r="AF2550" s="7">
        <f>AB2550/39.3701</f>
      </c>
      <c r="AG2550" s="7">
        <f>AC2550/39.3701</f>
      </c>
      <c r="AH2550" s="7">
        <f>AD2550/39.3701</f>
      </c>
      <c r="AI2550" s="1"/>
      <c r="AJ2550" s="1"/>
      <c r="AK2550" s="1"/>
      <c r="AL2550" s="1"/>
      <c r="AM2550" s="2"/>
      <c r="AN2550" s="1"/>
      <c r="AO2550" s="1"/>
      <c r="AP2550" s="1"/>
      <c r="AQ2550" s="1"/>
      <c r="AR2550" s="1"/>
      <c r="AS2550" s="1"/>
      <c r="AT2550" s="1"/>
      <c r="AU2550" s="1"/>
      <c r="AV2550" s="1"/>
      <c r="AW2550" s="1"/>
      <c r="AX2550" s="1"/>
      <c r="AY2550" s="1"/>
      <c r="AZ2550" s="1"/>
      <c r="BA2550" s="1"/>
      <c r="BB2550" s="1"/>
      <c r="BC2550" s="1"/>
      <c r="BD2550" s="1"/>
      <c r="BE2550" s="1"/>
    </row>
    <row x14ac:dyDescent="0.25" r="2551" customHeight="1" ht="18.75">
      <c r="A2551" s="1"/>
      <c r="B2551" s="2"/>
      <c r="C2551" s="2"/>
      <c r="D2551" s="2"/>
      <c r="E2551" s="2"/>
      <c r="F2551" s="2"/>
      <c r="G2551" s="1"/>
      <c r="H2551" s="1"/>
      <c r="I2551" s="7">
        <v>2.548</v>
      </c>
      <c r="J2551" s="7">
        <f>IF((I2551-ROUNDDOWN(I2551,0))=0, 0, (I2551-ROUNDDOWN(I2551,0)))</f>
      </c>
      <c r="K2551" s="7">
        <f>INDIRECT("C$"&amp;2+MIN(2,ROUNDDOWN(I2551,0))*3)*(-$J2551^3+3*$J2551^2-3*$J2551+1)+INDIRECT("C$"&amp;3+MIN(2,ROUNDDOWN(I2551,0))*3)*(3*$J2551^3-6*$J2551^2+3*$J2551)+INDIRECT("C$"&amp;4+MIN(2,ROUNDDOWN(I2551,0))*3)*(-3*$J2551^3+3*$J2551^2)+INDIRECT("C$"&amp;5+MIN(2,ROUNDDOWN(I2551,0))*3)*$J2551^3</f>
      </c>
      <c r="L2551" s="7">
        <f>INDIRECT("D$"&amp;2+MIN(2,ROUNDDOWN(I2551,0))*3)*(-$J2551^3+3*$J2551^2-3*$J2551+1)+INDIRECT("D$"&amp;3+MIN(2,ROUNDDOWN(I2551,0))*3)*(3*$J2551^3-6*$J2551^2+3*$J2551)+INDIRECT("D$"&amp;4+MIN(2,ROUNDDOWN(I2551,0))*3)*(-3*$J2551^3+3*$J2551^2)+INDIRECT("D$"&amp;5+MIN(2,ROUNDDOWN(I2551,0))*3)*$J2551^3</f>
      </c>
      <c r="M2551" s="7">
        <f>SQRT(K2551^2+L2551^2)</f>
      </c>
      <c r="N2551" s="7">
        <f>(K2552-K2550)</f>
      </c>
      <c r="O2551" s="7">
        <f>+(L2552-L2550)</f>
      </c>
      <c r="P2551" s="7">
        <f>SQRT(O2551^2+N2551^2)</f>
      </c>
      <c r="Q2551" s="7">
        <f>N2551/$P2551</f>
      </c>
      <c r="R2551" s="7">
        <f>O2551/$P2551</f>
      </c>
      <c r="S2551" s="7">
        <f>Q2551^2+R2551^2</f>
      </c>
      <c r="T2551" s="7">
        <f>-R2551</f>
      </c>
      <c r="U2551" s="7">
        <f>Q2551</f>
      </c>
      <c r="V2551" s="7">
        <f>($C$14+($C$15-$C$14)/($D$15-$D$14)*(I2551-$D$14))/2</f>
      </c>
      <c r="W2551" s="7">
        <f>($B$22*I2551^4+$C$22*I2551^3+$D$22*I2551^2+$E$22*I2551+$F$22)/2</f>
      </c>
      <c r="X2551" s="7">
        <f>($W2551)*(T2551)</f>
      </c>
      <c r="Y2551" s="7">
        <f>($W2551)*(U2551)</f>
      </c>
      <c r="Z2551" s="7">
        <f>SQRT(X2551^2+Y2551^2)</f>
      </c>
      <c r="AA2551" s="7">
        <f>$K2551+$X2551</f>
      </c>
      <c r="AB2551" s="7">
        <f>$L2551+$Y2551</f>
      </c>
      <c r="AC2551" s="7">
        <f>$K2551-$X2551</f>
      </c>
      <c r="AD2551" s="7">
        <f>$L2551-$Y2551</f>
      </c>
      <c r="AE2551" s="7">
        <f>AA2551/39.3701</f>
      </c>
      <c r="AF2551" s="7">
        <f>AB2551/39.3701</f>
      </c>
      <c r="AG2551" s="7">
        <f>AC2551/39.3701</f>
      </c>
      <c r="AH2551" s="7">
        <f>AD2551/39.3701</f>
      </c>
      <c r="AI2551" s="1"/>
      <c r="AJ2551" s="1"/>
      <c r="AK2551" s="1"/>
      <c r="AL2551" s="1"/>
      <c r="AM2551" s="2"/>
      <c r="AN2551" s="1"/>
      <c r="AO2551" s="1"/>
      <c r="AP2551" s="1"/>
      <c r="AQ2551" s="1"/>
      <c r="AR2551" s="1"/>
      <c r="AS2551" s="1"/>
      <c r="AT2551" s="1"/>
      <c r="AU2551" s="1"/>
      <c r="AV2551" s="1"/>
      <c r="AW2551" s="1"/>
      <c r="AX2551" s="1"/>
      <c r="AY2551" s="1"/>
      <c r="AZ2551" s="1"/>
      <c r="BA2551" s="1"/>
      <c r="BB2551" s="1"/>
      <c r="BC2551" s="1"/>
      <c r="BD2551" s="1"/>
      <c r="BE2551" s="1"/>
    </row>
    <row x14ac:dyDescent="0.25" r="2552" customHeight="1" ht="18.75">
      <c r="A2552" s="1"/>
      <c r="B2552" s="2"/>
      <c r="C2552" s="2"/>
      <c r="D2552" s="2"/>
      <c r="E2552" s="2"/>
      <c r="F2552" s="2"/>
      <c r="G2552" s="1"/>
      <c r="H2552" s="1"/>
      <c r="I2552" s="7">
        <v>2.549</v>
      </c>
      <c r="J2552" s="7">
        <f>IF((I2552-ROUNDDOWN(I2552,0))=0, 0, (I2552-ROUNDDOWN(I2552,0)))</f>
      </c>
      <c r="K2552" s="7">
        <f>INDIRECT("C$"&amp;2+MIN(2,ROUNDDOWN(I2552,0))*3)*(-$J2552^3+3*$J2552^2-3*$J2552+1)+INDIRECT("C$"&amp;3+MIN(2,ROUNDDOWN(I2552,0))*3)*(3*$J2552^3-6*$J2552^2+3*$J2552)+INDIRECT("C$"&amp;4+MIN(2,ROUNDDOWN(I2552,0))*3)*(-3*$J2552^3+3*$J2552^2)+INDIRECT("C$"&amp;5+MIN(2,ROUNDDOWN(I2552,0))*3)*$J2552^3</f>
      </c>
      <c r="L2552" s="7">
        <f>INDIRECT("D$"&amp;2+MIN(2,ROUNDDOWN(I2552,0))*3)*(-$J2552^3+3*$J2552^2-3*$J2552+1)+INDIRECT("D$"&amp;3+MIN(2,ROUNDDOWN(I2552,0))*3)*(3*$J2552^3-6*$J2552^2+3*$J2552)+INDIRECT("D$"&amp;4+MIN(2,ROUNDDOWN(I2552,0))*3)*(-3*$J2552^3+3*$J2552^2)+INDIRECT("D$"&amp;5+MIN(2,ROUNDDOWN(I2552,0))*3)*$J2552^3</f>
      </c>
      <c r="M2552" s="7">
        <f>SQRT(K2552^2+L2552^2)</f>
      </c>
      <c r="N2552" s="7">
        <f>(K2553-K2551)</f>
      </c>
      <c r="O2552" s="7">
        <f>+(L2553-L2551)</f>
      </c>
      <c r="P2552" s="7">
        <f>SQRT(O2552^2+N2552^2)</f>
      </c>
      <c r="Q2552" s="7">
        <f>N2552/$P2552</f>
      </c>
      <c r="R2552" s="7">
        <f>O2552/$P2552</f>
      </c>
      <c r="S2552" s="8">
        <f>Q2552^2+R2552^2</f>
      </c>
      <c r="T2552" s="7">
        <f>-R2552</f>
      </c>
      <c r="U2552" s="7">
        <f>Q2552</f>
      </c>
      <c r="V2552" s="7">
        <f>($C$14+($C$15-$C$14)/($D$15-$D$14)*(I2552-$D$14))/2</f>
      </c>
      <c r="W2552" s="7">
        <f>($B$22*I2552^4+$C$22*I2552^3+$D$22*I2552^2+$E$22*I2552+$F$22)/2</f>
      </c>
      <c r="X2552" s="7">
        <f>($W2552)*(T2552)</f>
      </c>
      <c r="Y2552" s="7">
        <f>($W2552)*(U2552)</f>
      </c>
      <c r="Z2552" s="7">
        <f>SQRT(X2552^2+Y2552^2)</f>
      </c>
      <c r="AA2552" s="7">
        <f>$K2552+$X2552</f>
      </c>
      <c r="AB2552" s="7">
        <f>$L2552+$Y2552</f>
      </c>
      <c r="AC2552" s="7">
        <f>$K2552-$X2552</f>
      </c>
      <c r="AD2552" s="7">
        <f>$L2552-$Y2552</f>
      </c>
      <c r="AE2552" s="7">
        <f>AA2552/39.3701</f>
      </c>
      <c r="AF2552" s="7">
        <f>AB2552/39.3701</f>
      </c>
      <c r="AG2552" s="7">
        <f>AC2552/39.3701</f>
      </c>
      <c r="AH2552" s="7">
        <f>AD2552/39.3701</f>
      </c>
      <c r="AI2552" s="1"/>
      <c r="AJ2552" s="1"/>
      <c r="AK2552" s="1"/>
      <c r="AL2552" s="1"/>
      <c r="AM2552" s="2"/>
      <c r="AN2552" s="1"/>
      <c r="AO2552" s="1"/>
      <c r="AP2552" s="1"/>
      <c r="AQ2552" s="1"/>
      <c r="AR2552" s="1"/>
      <c r="AS2552" s="1"/>
      <c r="AT2552" s="1"/>
      <c r="AU2552" s="1"/>
      <c r="AV2552" s="1"/>
      <c r="AW2552" s="1"/>
      <c r="AX2552" s="1"/>
      <c r="AY2552" s="1"/>
      <c r="AZ2552" s="1"/>
      <c r="BA2552" s="1"/>
      <c r="BB2552" s="1"/>
      <c r="BC2552" s="1"/>
      <c r="BD2552" s="1"/>
      <c r="BE2552" s="1"/>
    </row>
    <row x14ac:dyDescent="0.25" r="2553" customHeight="1" ht="18.75">
      <c r="A2553" s="1"/>
      <c r="B2553" s="2"/>
      <c r="C2553" s="2"/>
      <c r="D2553" s="2"/>
      <c r="E2553" s="2"/>
      <c r="F2553" s="2"/>
      <c r="G2553" s="1"/>
      <c r="H2553" s="1"/>
      <c r="I2553" s="7">
        <v>2.55</v>
      </c>
      <c r="J2553" s="7">
        <f>IF((I2553-ROUNDDOWN(I2553,0))=0, 0, (I2553-ROUNDDOWN(I2553,0)))</f>
      </c>
      <c r="K2553" s="7">
        <f>INDIRECT("C$"&amp;2+MIN(2,ROUNDDOWN(I2553,0))*3)*(-$J2553^3+3*$J2553^2-3*$J2553+1)+INDIRECT("C$"&amp;3+MIN(2,ROUNDDOWN(I2553,0))*3)*(3*$J2553^3-6*$J2553^2+3*$J2553)+INDIRECT("C$"&amp;4+MIN(2,ROUNDDOWN(I2553,0))*3)*(-3*$J2553^3+3*$J2553^2)+INDIRECT("C$"&amp;5+MIN(2,ROUNDDOWN(I2553,0))*3)*$J2553^3</f>
      </c>
      <c r="L2553" s="7">
        <f>INDIRECT("D$"&amp;2+MIN(2,ROUNDDOWN(I2553,0))*3)*(-$J2553^3+3*$J2553^2-3*$J2553+1)+INDIRECT("D$"&amp;3+MIN(2,ROUNDDOWN(I2553,0))*3)*(3*$J2553^3-6*$J2553^2+3*$J2553)+INDIRECT("D$"&amp;4+MIN(2,ROUNDDOWN(I2553,0))*3)*(-3*$J2553^3+3*$J2553^2)+INDIRECT("D$"&amp;5+MIN(2,ROUNDDOWN(I2553,0))*3)*$J2553^3</f>
      </c>
      <c r="M2553" s="7">
        <f>SQRT(K2553^2+L2553^2)</f>
      </c>
      <c r="N2553" s="7">
        <f>(K2554-K2552)</f>
      </c>
      <c r="O2553" s="7">
        <f>+(L2554-L2552)</f>
      </c>
      <c r="P2553" s="7">
        <f>SQRT(O2553^2+N2553^2)</f>
      </c>
      <c r="Q2553" s="7">
        <f>N2553/$P2553</f>
      </c>
      <c r="R2553" s="7">
        <f>O2553/$P2553</f>
      </c>
      <c r="S2553" s="8">
        <f>Q2553^2+R2553^2</f>
      </c>
      <c r="T2553" s="7">
        <f>-R2553</f>
      </c>
      <c r="U2553" s="7">
        <f>Q2553</f>
      </c>
      <c r="V2553" s="7">
        <f>($C$14+($C$15-$C$14)/($D$15-$D$14)*(I2553-$D$14))/2</f>
      </c>
      <c r="W2553" s="7">
        <f>($B$22*I2553^4+$C$22*I2553^3+$D$22*I2553^2+$E$22*I2553+$F$22)/2</f>
      </c>
      <c r="X2553" s="7">
        <f>($W2553)*(T2553)</f>
      </c>
      <c r="Y2553" s="7">
        <f>($W2553)*(U2553)</f>
      </c>
      <c r="Z2553" s="7">
        <f>SQRT(X2553^2+Y2553^2)</f>
      </c>
      <c r="AA2553" s="7">
        <f>$K2553+$X2553</f>
      </c>
      <c r="AB2553" s="7">
        <f>$L2553+$Y2553</f>
      </c>
      <c r="AC2553" s="7">
        <f>$K2553-$X2553</f>
      </c>
      <c r="AD2553" s="7">
        <f>$L2553-$Y2553</f>
      </c>
      <c r="AE2553" s="7">
        <f>AA2553/39.3701</f>
      </c>
      <c r="AF2553" s="7">
        <f>AB2553/39.3701</f>
      </c>
      <c r="AG2553" s="7">
        <f>AC2553/39.3701</f>
      </c>
      <c r="AH2553" s="7">
        <f>AD2553/39.3701</f>
      </c>
      <c r="AI2553" s="1"/>
      <c r="AJ2553" s="1"/>
      <c r="AK2553" s="1"/>
      <c r="AL2553" s="1"/>
      <c r="AM2553" s="2"/>
      <c r="AN2553" s="1"/>
      <c r="AO2553" s="1"/>
      <c r="AP2553" s="1"/>
      <c r="AQ2553" s="1"/>
      <c r="AR2553" s="1"/>
      <c r="AS2553" s="1"/>
      <c r="AT2553" s="1"/>
      <c r="AU2553" s="1"/>
      <c r="AV2553" s="1"/>
      <c r="AW2553" s="1"/>
      <c r="AX2553" s="1"/>
      <c r="AY2553" s="1"/>
      <c r="AZ2553" s="1"/>
      <c r="BA2553" s="1"/>
      <c r="BB2553" s="1"/>
      <c r="BC2553" s="1"/>
      <c r="BD2553" s="1"/>
      <c r="BE2553" s="1"/>
    </row>
    <row x14ac:dyDescent="0.25" r="2554" customHeight="1" ht="18.75">
      <c r="A2554" s="1"/>
      <c r="B2554" s="2"/>
      <c r="C2554" s="2"/>
      <c r="D2554" s="2"/>
      <c r="E2554" s="2"/>
      <c r="F2554" s="2"/>
      <c r="G2554" s="1"/>
      <c r="H2554" s="1"/>
      <c r="I2554" s="7">
        <v>2.551</v>
      </c>
      <c r="J2554" s="7">
        <f>IF((I2554-ROUNDDOWN(I2554,0))=0, 0, (I2554-ROUNDDOWN(I2554,0)))</f>
      </c>
      <c r="K2554" s="7">
        <f>INDIRECT("C$"&amp;2+MIN(2,ROUNDDOWN(I2554,0))*3)*(-$J2554^3+3*$J2554^2-3*$J2554+1)+INDIRECT("C$"&amp;3+MIN(2,ROUNDDOWN(I2554,0))*3)*(3*$J2554^3-6*$J2554^2+3*$J2554)+INDIRECT("C$"&amp;4+MIN(2,ROUNDDOWN(I2554,0))*3)*(-3*$J2554^3+3*$J2554^2)+INDIRECT("C$"&amp;5+MIN(2,ROUNDDOWN(I2554,0))*3)*$J2554^3</f>
      </c>
      <c r="L2554" s="7">
        <f>INDIRECT("D$"&amp;2+MIN(2,ROUNDDOWN(I2554,0))*3)*(-$J2554^3+3*$J2554^2-3*$J2554+1)+INDIRECT("D$"&amp;3+MIN(2,ROUNDDOWN(I2554,0))*3)*(3*$J2554^3-6*$J2554^2+3*$J2554)+INDIRECT("D$"&amp;4+MIN(2,ROUNDDOWN(I2554,0))*3)*(-3*$J2554^3+3*$J2554^2)+INDIRECT("D$"&amp;5+MIN(2,ROUNDDOWN(I2554,0))*3)*$J2554^3</f>
      </c>
      <c r="M2554" s="7">
        <f>SQRT(K2554^2+L2554^2)</f>
      </c>
      <c r="N2554" s="7">
        <f>(K2555-K2553)</f>
      </c>
      <c r="O2554" s="7">
        <f>+(L2555-L2553)</f>
      </c>
      <c r="P2554" s="7">
        <f>SQRT(O2554^2+N2554^2)</f>
      </c>
      <c r="Q2554" s="7">
        <f>N2554/$P2554</f>
      </c>
      <c r="R2554" s="7">
        <f>O2554/$P2554</f>
      </c>
      <c r="S2554" s="8">
        <f>Q2554^2+R2554^2</f>
      </c>
      <c r="T2554" s="7">
        <f>-R2554</f>
      </c>
      <c r="U2554" s="7">
        <f>Q2554</f>
      </c>
      <c r="V2554" s="7">
        <f>($C$14+($C$15-$C$14)/($D$15-$D$14)*(I2554-$D$14))/2</f>
      </c>
      <c r="W2554" s="7">
        <f>($B$22*I2554^4+$C$22*I2554^3+$D$22*I2554^2+$E$22*I2554+$F$22)/2</f>
      </c>
      <c r="X2554" s="7">
        <f>($W2554)*(T2554)</f>
      </c>
      <c r="Y2554" s="7">
        <f>($W2554)*(U2554)</f>
      </c>
      <c r="Z2554" s="7">
        <f>SQRT(X2554^2+Y2554^2)</f>
      </c>
      <c r="AA2554" s="7">
        <f>$K2554+$X2554</f>
      </c>
      <c r="AB2554" s="7">
        <f>$L2554+$Y2554</f>
      </c>
      <c r="AC2554" s="7">
        <f>$K2554-$X2554</f>
      </c>
      <c r="AD2554" s="7">
        <f>$L2554-$Y2554</f>
      </c>
      <c r="AE2554" s="7">
        <f>AA2554/39.3701</f>
      </c>
      <c r="AF2554" s="7">
        <f>AB2554/39.3701</f>
      </c>
      <c r="AG2554" s="7">
        <f>AC2554/39.3701</f>
      </c>
      <c r="AH2554" s="7">
        <f>AD2554/39.3701</f>
      </c>
      <c r="AI2554" s="1"/>
      <c r="AJ2554" s="1"/>
      <c r="AK2554" s="1"/>
      <c r="AL2554" s="1"/>
      <c r="AM2554" s="2"/>
      <c r="AN2554" s="1"/>
      <c r="AO2554" s="1"/>
      <c r="AP2554" s="1"/>
      <c r="AQ2554" s="1"/>
      <c r="AR2554" s="1"/>
      <c r="AS2554" s="1"/>
      <c r="AT2554" s="1"/>
      <c r="AU2554" s="1"/>
      <c r="AV2554" s="1"/>
      <c r="AW2554" s="1"/>
      <c r="AX2554" s="1"/>
      <c r="AY2554" s="1"/>
      <c r="AZ2554" s="1"/>
      <c r="BA2554" s="1"/>
      <c r="BB2554" s="1"/>
      <c r="BC2554" s="1"/>
      <c r="BD2554" s="1"/>
      <c r="BE2554" s="1"/>
    </row>
    <row x14ac:dyDescent="0.25" r="2555" customHeight="1" ht="18.75">
      <c r="A2555" s="1"/>
      <c r="B2555" s="2"/>
      <c r="C2555" s="2"/>
      <c r="D2555" s="2"/>
      <c r="E2555" s="2"/>
      <c r="F2555" s="2"/>
      <c r="G2555" s="1"/>
      <c r="H2555" s="1"/>
      <c r="I2555" s="7">
        <v>2.552</v>
      </c>
      <c r="J2555" s="7">
        <f>IF((I2555-ROUNDDOWN(I2555,0))=0, 0, (I2555-ROUNDDOWN(I2555,0)))</f>
      </c>
      <c r="K2555" s="7">
        <f>INDIRECT("C$"&amp;2+MIN(2,ROUNDDOWN(I2555,0))*3)*(-$J2555^3+3*$J2555^2-3*$J2555+1)+INDIRECT("C$"&amp;3+MIN(2,ROUNDDOWN(I2555,0))*3)*(3*$J2555^3-6*$J2555^2+3*$J2555)+INDIRECT("C$"&amp;4+MIN(2,ROUNDDOWN(I2555,0))*3)*(-3*$J2555^3+3*$J2555^2)+INDIRECT("C$"&amp;5+MIN(2,ROUNDDOWN(I2555,0))*3)*$J2555^3</f>
      </c>
      <c r="L2555" s="7">
        <f>INDIRECT("D$"&amp;2+MIN(2,ROUNDDOWN(I2555,0))*3)*(-$J2555^3+3*$J2555^2-3*$J2555+1)+INDIRECT("D$"&amp;3+MIN(2,ROUNDDOWN(I2555,0))*3)*(3*$J2555^3-6*$J2555^2+3*$J2555)+INDIRECT("D$"&amp;4+MIN(2,ROUNDDOWN(I2555,0))*3)*(-3*$J2555^3+3*$J2555^2)+INDIRECT("D$"&amp;5+MIN(2,ROUNDDOWN(I2555,0))*3)*$J2555^3</f>
      </c>
      <c r="M2555" s="7">
        <f>SQRT(K2555^2+L2555^2)</f>
      </c>
      <c r="N2555" s="7">
        <f>(K2556-K2554)</f>
      </c>
      <c r="O2555" s="7">
        <f>+(L2556-L2554)</f>
      </c>
      <c r="P2555" s="7">
        <f>SQRT(O2555^2+N2555^2)</f>
      </c>
      <c r="Q2555" s="7">
        <f>N2555/$P2555</f>
      </c>
      <c r="R2555" s="7">
        <f>O2555/$P2555</f>
      </c>
      <c r="S2555" s="7">
        <f>Q2555^2+R2555^2</f>
      </c>
      <c r="T2555" s="7">
        <f>-R2555</f>
      </c>
      <c r="U2555" s="7">
        <f>Q2555</f>
      </c>
      <c r="V2555" s="7">
        <f>($C$14+($C$15-$C$14)/($D$15-$D$14)*(I2555-$D$14))/2</f>
      </c>
      <c r="W2555" s="7">
        <f>($B$22*I2555^4+$C$22*I2555^3+$D$22*I2555^2+$E$22*I2555+$F$22)/2</f>
      </c>
      <c r="X2555" s="7">
        <f>($W2555)*(T2555)</f>
      </c>
      <c r="Y2555" s="7">
        <f>($W2555)*(U2555)</f>
      </c>
      <c r="Z2555" s="7">
        <f>SQRT(X2555^2+Y2555^2)</f>
      </c>
      <c r="AA2555" s="7">
        <f>$K2555+$X2555</f>
      </c>
      <c r="AB2555" s="7">
        <f>$L2555+$Y2555</f>
      </c>
      <c r="AC2555" s="7">
        <f>$K2555-$X2555</f>
      </c>
      <c r="AD2555" s="7">
        <f>$L2555-$Y2555</f>
      </c>
      <c r="AE2555" s="7">
        <f>AA2555/39.3701</f>
      </c>
      <c r="AF2555" s="7">
        <f>AB2555/39.3701</f>
      </c>
      <c r="AG2555" s="7">
        <f>AC2555/39.3701</f>
      </c>
      <c r="AH2555" s="7">
        <f>AD2555/39.3701</f>
      </c>
      <c r="AI2555" s="1"/>
      <c r="AJ2555" s="1"/>
      <c r="AK2555" s="1"/>
      <c r="AL2555" s="1"/>
      <c r="AM2555" s="2"/>
      <c r="AN2555" s="1"/>
      <c r="AO2555" s="1"/>
      <c r="AP2555" s="1"/>
      <c r="AQ2555" s="1"/>
      <c r="AR2555" s="1"/>
      <c r="AS2555" s="1"/>
      <c r="AT2555" s="1"/>
      <c r="AU2555" s="1"/>
      <c r="AV2555" s="1"/>
      <c r="AW2555" s="1"/>
      <c r="AX2555" s="1"/>
      <c r="AY2555" s="1"/>
      <c r="AZ2555" s="1"/>
      <c r="BA2555" s="1"/>
      <c r="BB2555" s="1"/>
      <c r="BC2555" s="1"/>
      <c r="BD2555" s="1"/>
      <c r="BE2555" s="1"/>
    </row>
    <row x14ac:dyDescent="0.25" r="2556" customHeight="1" ht="18.75">
      <c r="A2556" s="1"/>
      <c r="B2556" s="2"/>
      <c r="C2556" s="2"/>
      <c r="D2556" s="2"/>
      <c r="E2556" s="2"/>
      <c r="F2556" s="2"/>
      <c r="G2556" s="1"/>
      <c r="H2556" s="1"/>
      <c r="I2556" s="7">
        <v>2.553</v>
      </c>
      <c r="J2556" s="7">
        <f>IF((I2556-ROUNDDOWN(I2556,0))=0, 0, (I2556-ROUNDDOWN(I2556,0)))</f>
      </c>
      <c r="K2556" s="7">
        <f>INDIRECT("C$"&amp;2+MIN(2,ROUNDDOWN(I2556,0))*3)*(-$J2556^3+3*$J2556^2-3*$J2556+1)+INDIRECT("C$"&amp;3+MIN(2,ROUNDDOWN(I2556,0))*3)*(3*$J2556^3-6*$J2556^2+3*$J2556)+INDIRECT("C$"&amp;4+MIN(2,ROUNDDOWN(I2556,0))*3)*(-3*$J2556^3+3*$J2556^2)+INDIRECT("C$"&amp;5+MIN(2,ROUNDDOWN(I2556,0))*3)*$J2556^3</f>
      </c>
      <c r="L2556" s="7">
        <f>INDIRECT("D$"&amp;2+MIN(2,ROUNDDOWN(I2556,0))*3)*(-$J2556^3+3*$J2556^2-3*$J2556+1)+INDIRECT("D$"&amp;3+MIN(2,ROUNDDOWN(I2556,0))*3)*(3*$J2556^3-6*$J2556^2+3*$J2556)+INDIRECT("D$"&amp;4+MIN(2,ROUNDDOWN(I2556,0))*3)*(-3*$J2556^3+3*$J2556^2)+INDIRECT("D$"&amp;5+MIN(2,ROUNDDOWN(I2556,0))*3)*$J2556^3</f>
      </c>
      <c r="M2556" s="7">
        <f>SQRT(K2556^2+L2556^2)</f>
      </c>
      <c r="N2556" s="7">
        <f>(K2557-K2555)</f>
      </c>
      <c r="O2556" s="7">
        <f>+(L2557-L2555)</f>
      </c>
      <c r="P2556" s="7">
        <f>SQRT(O2556^2+N2556^2)</f>
      </c>
      <c r="Q2556" s="7">
        <f>N2556/$P2556</f>
      </c>
      <c r="R2556" s="7">
        <f>O2556/$P2556</f>
      </c>
      <c r="S2556" s="7">
        <f>Q2556^2+R2556^2</f>
      </c>
      <c r="T2556" s="7">
        <f>-R2556</f>
      </c>
      <c r="U2556" s="7">
        <f>Q2556</f>
      </c>
      <c r="V2556" s="7">
        <f>($C$14+($C$15-$C$14)/($D$15-$D$14)*(I2556-$D$14))/2</f>
      </c>
      <c r="W2556" s="7">
        <f>($B$22*I2556^4+$C$22*I2556^3+$D$22*I2556^2+$E$22*I2556+$F$22)/2</f>
      </c>
      <c r="X2556" s="7">
        <f>($W2556)*(T2556)</f>
      </c>
      <c r="Y2556" s="7">
        <f>($W2556)*(U2556)</f>
      </c>
      <c r="Z2556" s="7">
        <f>SQRT(X2556^2+Y2556^2)</f>
      </c>
      <c r="AA2556" s="7">
        <f>$K2556+$X2556</f>
      </c>
      <c r="AB2556" s="7">
        <f>$L2556+$Y2556</f>
      </c>
      <c r="AC2556" s="7">
        <f>$K2556-$X2556</f>
      </c>
      <c r="AD2556" s="7">
        <f>$L2556-$Y2556</f>
      </c>
      <c r="AE2556" s="7">
        <f>AA2556/39.3701</f>
      </c>
      <c r="AF2556" s="7">
        <f>AB2556/39.3701</f>
      </c>
      <c r="AG2556" s="7">
        <f>AC2556/39.3701</f>
      </c>
      <c r="AH2556" s="7">
        <f>AD2556/39.3701</f>
      </c>
      <c r="AI2556" s="1"/>
      <c r="AJ2556" s="1"/>
      <c r="AK2556" s="1"/>
      <c r="AL2556" s="1"/>
      <c r="AM2556" s="2"/>
      <c r="AN2556" s="1"/>
      <c r="AO2556" s="1"/>
      <c r="AP2556" s="1"/>
      <c r="AQ2556" s="1"/>
      <c r="AR2556" s="1"/>
      <c r="AS2556" s="1"/>
      <c r="AT2556" s="1"/>
      <c r="AU2556" s="1"/>
      <c r="AV2556" s="1"/>
      <c r="AW2556" s="1"/>
      <c r="AX2556" s="1"/>
      <c r="AY2556" s="1"/>
      <c r="AZ2556" s="1"/>
      <c r="BA2556" s="1"/>
      <c r="BB2556" s="1"/>
      <c r="BC2556" s="1"/>
      <c r="BD2556" s="1"/>
      <c r="BE2556" s="1"/>
    </row>
    <row x14ac:dyDescent="0.25" r="2557" customHeight="1" ht="18.75">
      <c r="A2557" s="1"/>
      <c r="B2557" s="2"/>
      <c r="C2557" s="2"/>
      <c r="D2557" s="2"/>
      <c r="E2557" s="2"/>
      <c r="F2557" s="2"/>
      <c r="G2557" s="1"/>
      <c r="H2557" s="1"/>
      <c r="I2557" s="7">
        <v>2.554</v>
      </c>
      <c r="J2557" s="7">
        <f>IF((I2557-ROUNDDOWN(I2557,0))=0, 0, (I2557-ROUNDDOWN(I2557,0)))</f>
      </c>
      <c r="K2557" s="7">
        <f>INDIRECT("C$"&amp;2+MIN(2,ROUNDDOWN(I2557,0))*3)*(-$J2557^3+3*$J2557^2-3*$J2557+1)+INDIRECT("C$"&amp;3+MIN(2,ROUNDDOWN(I2557,0))*3)*(3*$J2557^3-6*$J2557^2+3*$J2557)+INDIRECT("C$"&amp;4+MIN(2,ROUNDDOWN(I2557,0))*3)*(-3*$J2557^3+3*$J2557^2)+INDIRECT("C$"&amp;5+MIN(2,ROUNDDOWN(I2557,0))*3)*$J2557^3</f>
      </c>
      <c r="L2557" s="7">
        <f>INDIRECT("D$"&amp;2+MIN(2,ROUNDDOWN(I2557,0))*3)*(-$J2557^3+3*$J2557^2-3*$J2557+1)+INDIRECT("D$"&amp;3+MIN(2,ROUNDDOWN(I2557,0))*3)*(3*$J2557^3-6*$J2557^2+3*$J2557)+INDIRECT("D$"&amp;4+MIN(2,ROUNDDOWN(I2557,0))*3)*(-3*$J2557^3+3*$J2557^2)+INDIRECT("D$"&amp;5+MIN(2,ROUNDDOWN(I2557,0))*3)*$J2557^3</f>
      </c>
      <c r="M2557" s="7">
        <f>SQRT(K2557^2+L2557^2)</f>
      </c>
      <c r="N2557" s="7">
        <f>(K2558-K2556)</f>
      </c>
      <c r="O2557" s="7">
        <f>+(L2558-L2556)</f>
      </c>
      <c r="P2557" s="7">
        <f>SQRT(O2557^2+N2557^2)</f>
      </c>
      <c r="Q2557" s="7">
        <f>N2557/$P2557</f>
      </c>
      <c r="R2557" s="7">
        <f>O2557/$P2557</f>
      </c>
      <c r="S2557" s="8">
        <f>Q2557^2+R2557^2</f>
      </c>
      <c r="T2557" s="7">
        <f>-R2557</f>
      </c>
      <c r="U2557" s="7">
        <f>Q2557</f>
      </c>
      <c r="V2557" s="7">
        <f>($C$14+($C$15-$C$14)/($D$15-$D$14)*(I2557-$D$14))/2</f>
      </c>
      <c r="W2557" s="7">
        <f>($B$22*I2557^4+$C$22*I2557^3+$D$22*I2557^2+$E$22*I2557+$F$22)/2</f>
      </c>
      <c r="X2557" s="7">
        <f>($W2557)*(T2557)</f>
      </c>
      <c r="Y2557" s="7">
        <f>($W2557)*(U2557)</f>
      </c>
      <c r="Z2557" s="7">
        <f>SQRT(X2557^2+Y2557^2)</f>
      </c>
      <c r="AA2557" s="7">
        <f>$K2557+$X2557</f>
      </c>
      <c r="AB2557" s="7">
        <f>$L2557+$Y2557</f>
      </c>
      <c r="AC2557" s="7">
        <f>$K2557-$X2557</f>
      </c>
      <c r="AD2557" s="7">
        <f>$L2557-$Y2557</f>
      </c>
      <c r="AE2557" s="7">
        <f>AA2557/39.3701</f>
      </c>
      <c r="AF2557" s="7">
        <f>AB2557/39.3701</f>
      </c>
      <c r="AG2557" s="7">
        <f>AC2557/39.3701</f>
      </c>
      <c r="AH2557" s="7">
        <f>AD2557/39.3701</f>
      </c>
      <c r="AI2557" s="1"/>
      <c r="AJ2557" s="1"/>
      <c r="AK2557" s="1"/>
      <c r="AL2557" s="1"/>
      <c r="AM2557" s="2"/>
      <c r="AN2557" s="1"/>
      <c r="AO2557" s="1"/>
      <c r="AP2557" s="1"/>
      <c r="AQ2557" s="1"/>
      <c r="AR2557" s="1"/>
      <c r="AS2557" s="1"/>
      <c r="AT2557" s="1"/>
      <c r="AU2557" s="1"/>
      <c r="AV2557" s="1"/>
      <c r="AW2557" s="1"/>
      <c r="AX2557" s="1"/>
      <c r="AY2557" s="1"/>
      <c r="AZ2557" s="1"/>
      <c r="BA2557" s="1"/>
      <c r="BB2557" s="1"/>
      <c r="BC2557" s="1"/>
      <c r="BD2557" s="1"/>
      <c r="BE2557" s="1"/>
    </row>
    <row x14ac:dyDescent="0.25" r="2558" customHeight="1" ht="18.75">
      <c r="A2558" s="1"/>
      <c r="B2558" s="2"/>
      <c r="C2558" s="2"/>
      <c r="D2558" s="2"/>
      <c r="E2558" s="2"/>
      <c r="F2558" s="2"/>
      <c r="G2558" s="1"/>
      <c r="H2558" s="1"/>
      <c r="I2558" s="7">
        <v>2.555</v>
      </c>
      <c r="J2558" s="7">
        <f>IF((I2558-ROUNDDOWN(I2558,0))=0, 0, (I2558-ROUNDDOWN(I2558,0)))</f>
      </c>
      <c r="K2558" s="7">
        <f>INDIRECT("C$"&amp;2+MIN(2,ROUNDDOWN(I2558,0))*3)*(-$J2558^3+3*$J2558^2-3*$J2558+1)+INDIRECT("C$"&amp;3+MIN(2,ROUNDDOWN(I2558,0))*3)*(3*$J2558^3-6*$J2558^2+3*$J2558)+INDIRECT("C$"&amp;4+MIN(2,ROUNDDOWN(I2558,0))*3)*(-3*$J2558^3+3*$J2558^2)+INDIRECT("C$"&amp;5+MIN(2,ROUNDDOWN(I2558,0))*3)*$J2558^3</f>
      </c>
      <c r="L2558" s="7">
        <f>INDIRECT("D$"&amp;2+MIN(2,ROUNDDOWN(I2558,0))*3)*(-$J2558^3+3*$J2558^2-3*$J2558+1)+INDIRECT("D$"&amp;3+MIN(2,ROUNDDOWN(I2558,0))*3)*(3*$J2558^3-6*$J2558^2+3*$J2558)+INDIRECT("D$"&amp;4+MIN(2,ROUNDDOWN(I2558,0))*3)*(-3*$J2558^3+3*$J2558^2)+INDIRECT("D$"&amp;5+MIN(2,ROUNDDOWN(I2558,0))*3)*$J2558^3</f>
      </c>
      <c r="M2558" s="7">
        <f>SQRT(K2558^2+L2558^2)</f>
      </c>
      <c r="N2558" s="7">
        <f>(K2559-K2557)</f>
      </c>
      <c r="O2558" s="7">
        <f>+(L2559-L2557)</f>
      </c>
      <c r="P2558" s="7">
        <f>SQRT(O2558^2+N2558^2)</f>
      </c>
      <c r="Q2558" s="7">
        <f>N2558/$P2558</f>
      </c>
      <c r="R2558" s="7">
        <f>O2558/$P2558</f>
      </c>
      <c r="S2558" s="8">
        <f>Q2558^2+R2558^2</f>
      </c>
      <c r="T2558" s="7">
        <f>-R2558</f>
      </c>
      <c r="U2558" s="7">
        <f>Q2558</f>
      </c>
      <c r="V2558" s="7">
        <f>($C$14+($C$15-$C$14)/($D$15-$D$14)*(I2558-$D$14))/2</f>
      </c>
      <c r="W2558" s="7">
        <f>($B$22*I2558^4+$C$22*I2558^3+$D$22*I2558^2+$E$22*I2558+$F$22)/2</f>
      </c>
      <c r="X2558" s="7">
        <f>($W2558)*(T2558)</f>
      </c>
      <c r="Y2558" s="7">
        <f>($W2558)*(U2558)</f>
      </c>
      <c r="Z2558" s="7">
        <f>SQRT(X2558^2+Y2558^2)</f>
      </c>
      <c r="AA2558" s="7">
        <f>$K2558+$X2558</f>
      </c>
      <c r="AB2558" s="7">
        <f>$L2558+$Y2558</f>
      </c>
      <c r="AC2558" s="7">
        <f>$K2558-$X2558</f>
      </c>
      <c r="AD2558" s="7">
        <f>$L2558-$Y2558</f>
      </c>
      <c r="AE2558" s="7">
        <f>AA2558/39.3701</f>
      </c>
      <c r="AF2558" s="7">
        <f>AB2558/39.3701</f>
      </c>
      <c r="AG2558" s="7">
        <f>AC2558/39.3701</f>
      </c>
      <c r="AH2558" s="7">
        <f>AD2558/39.3701</f>
      </c>
      <c r="AI2558" s="1"/>
      <c r="AJ2558" s="1"/>
      <c r="AK2558" s="1"/>
      <c r="AL2558" s="1"/>
      <c r="AM2558" s="2"/>
      <c r="AN2558" s="1"/>
      <c r="AO2558" s="1"/>
      <c r="AP2558" s="1"/>
      <c r="AQ2558" s="1"/>
      <c r="AR2558" s="1"/>
      <c r="AS2558" s="1"/>
      <c r="AT2558" s="1"/>
      <c r="AU2558" s="1"/>
      <c r="AV2558" s="1"/>
      <c r="AW2558" s="1"/>
      <c r="AX2558" s="1"/>
      <c r="AY2558" s="1"/>
      <c r="AZ2558" s="1"/>
      <c r="BA2558" s="1"/>
      <c r="BB2558" s="1"/>
      <c r="BC2558" s="1"/>
      <c r="BD2558" s="1"/>
      <c r="BE2558" s="1"/>
    </row>
    <row x14ac:dyDescent="0.25" r="2559" customHeight="1" ht="18.75">
      <c r="A2559" s="1"/>
      <c r="B2559" s="2"/>
      <c r="C2559" s="2"/>
      <c r="D2559" s="2"/>
      <c r="E2559" s="2"/>
      <c r="F2559" s="2"/>
      <c r="G2559" s="1"/>
      <c r="H2559" s="1"/>
      <c r="I2559" s="7">
        <v>2.556</v>
      </c>
      <c r="J2559" s="7">
        <f>IF((I2559-ROUNDDOWN(I2559,0))=0, 0, (I2559-ROUNDDOWN(I2559,0)))</f>
      </c>
      <c r="K2559" s="7">
        <f>INDIRECT("C$"&amp;2+MIN(2,ROUNDDOWN(I2559,0))*3)*(-$J2559^3+3*$J2559^2-3*$J2559+1)+INDIRECT("C$"&amp;3+MIN(2,ROUNDDOWN(I2559,0))*3)*(3*$J2559^3-6*$J2559^2+3*$J2559)+INDIRECT("C$"&amp;4+MIN(2,ROUNDDOWN(I2559,0))*3)*(-3*$J2559^3+3*$J2559^2)+INDIRECT("C$"&amp;5+MIN(2,ROUNDDOWN(I2559,0))*3)*$J2559^3</f>
      </c>
      <c r="L2559" s="7">
        <f>INDIRECT("D$"&amp;2+MIN(2,ROUNDDOWN(I2559,0))*3)*(-$J2559^3+3*$J2559^2-3*$J2559+1)+INDIRECT("D$"&amp;3+MIN(2,ROUNDDOWN(I2559,0))*3)*(3*$J2559^3-6*$J2559^2+3*$J2559)+INDIRECT("D$"&amp;4+MIN(2,ROUNDDOWN(I2559,0))*3)*(-3*$J2559^3+3*$J2559^2)+INDIRECT("D$"&amp;5+MIN(2,ROUNDDOWN(I2559,0))*3)*$J2559^3</f>
      </c>
      <c r="M2559" s="7">
        <f>SQRT(K2559^2+L2559^2)</f>
      </c>
      <c r="N2559" s="7">
        <f>(K2560-K2558)</f>
      </c>
      <c r="O2559" s="7">
        <f>+(L2560-L2558)</f>
      </c>
      <c r="P2559" s="7">
        <f>SQRT(O2559^2+N2559^2)</f>
      </c>
      <c r="Q2559" s="7">
        <f>N2559/$P2559</f>
      </c>
      <c r="R2559" s="7">
        <f>O2559/$P2559</f>
      </c>
      <c r="S2559" s="8">
        <f>Q2559^2+R2559^2</f>
      </c>
      <c r="T2559" s="7">
        <f>-R2559</f>
      </c>
      <c r="U2559" s="7">
        <f>Q2559</f>
      </c>
      <c r="V2559" s="7">
        <f>($C$14+($C$15-$C$14)/($D$15-$D$14)*(I2559-$D$14))/2</f>
      </c>
      <c r="W2559" s="7">
        <f>($B$22*I2559^4+$C$22*I2559^3+$D$22*I2559^2+$E$22*I2559+$F$22)/2</f>
      </c>
      <c r="X2559" s="7">
        <f>($W2559)*(T2559)</f>
      </c>
      <c r="Y2559" s="7">
        <f>($W2559)*(U2559)</f>
      </c>
      <c r="Z2559" s="7">
        <f>SQRT(X2559^2+Y2559^2)</f>
      </c>
      <c r="AA2559" s="7">
        <f>$K2559+$X2559</f>
      </c>
      <c r="AB2559" s="7">
        <f>$L2559+$Y2559</f>
      </c>
      <c r="AC2559" s="7">
        <f>$K2559-$X2559</f>
      </c>
      <c r="AD2559" s="7">
        <f>$L2559-$Y2559</f>
      </c>
      <c r="AE2559" s="7">
        <f>AA2559/39.3701</f>
      </c>
      <c r="AF2559" s="7">
        <f>AB2559/39.3701</f>
      </c>
      <c r="AG2559" s="7">
        <f>AC2559/39.3701</f>
      </c>
      <c r="AH2559" s="7">
        <f>AD2559/39.3701</f>
      </c>
      <c r="AI2559" s="1"/>
      <c r="AJ2559" s="1"/>
      <c r="AK2559" s="1"/>
      <c r="AL2559" s="1"/>
      <c r="AM2559" s="2"/>
      <c r="AN2559" s="1"/>
      <c r="AO2559" s="1"/>
      <c r="AP2559" s="1"/>
      <c r="AQ2559" s="1"/>
      <c r="AR2559" s="1"/>
      <c r="AS2559" s="1"/>
      <c r="AT2559" s="1"/>
      <c r="AU2559" s="1"/>
      <c r="AV2559" s="1"/>
      <c r="AW2559" s="1"/>
      <c r="AX2559" s="1"/>
      <c r="AY2559" s="1"/>
      <c r="AZ2559" s="1"/>
      <c r="BA2559" s="1"/>
      <c r="BB2559" s="1"/>
      <c r="BC2559" s="1"/>
      <c r="BD2559" s="1"/>
      <c r="BE2559" s="1"/>
    </row>
    <row x14ac:dyDescent="0.25" r="2560" customHeight="1" ht="18.75">
      <c r="A2560" s="1"/>
      <c r="B2560" s="2"/>
      <c r="C2560" s="2"/>
      <c r="D2560" s="2"/>
      <c r="E2560" s="2"/>
      <c r="F2560" s="2"/>
      <c r="G2560" s="1"/>
      <c r="H2560" s="1"/>
      <c r="I2560" s="7">
        <v>2.557</v>
      </c>
      <c r="J2560" s="7">
        <f>IF((I2560-ROUNDDOWN(I2560,0))=0, 0, (I2560-ROUNDDOWN(I2560,0)))</f>
      </c>
      <c r="K2560" s="7">
        <f>INDIRECT("C$"&amp;2+MIN(2,ROUNDDOWN(I2560,0))*3)*(-$J2560^3+3*$J2560^2-3*$J2560+1)+INDIRECT("C$"&amp;3+MIN(2,ROUNDDOWN(I2560,0))*3)*(3*$J2560^3-6*$J2560^2+3*$J2560)+INDIRECT("C$"&amp;4+MIN(2,ROUNDDOWN(I2560,0))*3)*(-3*$J2560^3+3*$J2560^2)+INDIRECT("C$"&amp;5+MIN(2,ROUNDDOWN(I2560,0))*3)*$J2560^3</f>
      </c>
      <c r="L2560" s="7">
        <f>INDIRECT("D$"&amp;2+MIN(2,ROUNDDOWN(I2560,0))*3)*(-$J2560^3+3*$J2560^2-3*$J2560+1)+INDIRECT("D$"&amp;3+MIN(2,ROUNDDOWN(I2560,0))*3)*(3*$J2560^3-6*$J2560^2+3*$J2560)+INDIRECT("D$"&amp;4+MIN(2,ROUNDDOWN(I2560,0))*3)*(-3*$J2560^3+3*$J2560^2)+INDIRECT("D$"&amp;5+MIN(2,ROUNDDOWN(I2560,0))*3)*$J2560^3</f>
      </c>
      <c r="M2560" s="7">
        <f>SQRT(K2560^2+L2560^2)</f>
      </c>
      <c r="N2560" s="7">
        <f>(K2561-K2559)</f>
      </c>
      <c r="O2560" s="7">
        <f>+(L2561-L2559)</f>
      </c>
      <c r="P2560" s="7">
        <f>SQRT(O2560^2+N2560^2)</f>
      </c>
      <c r="Q2560" s="7">
        <f>N2560/$P2560</f>
      </c>
      <c r="R2560" s="7">
        <f>O2560/$P2560</f>
      </c>
      <c r="S2560" s="7">
        <f>Q2560^2+R2560^2</f>
      </c>
      <c r="T2560" s="7">
        <f>-R2560</f>
      </c>
      <c r="U2560" s="7">
        <f>Q2560</f>
      </c>
      <c r="V2560" s="7">
        <f>($C$14+($C$15-$C$14)/($D$15-$D$14)*(I2560-$D$14))/2</f>
      </c>
      <c r="W2560" s="7">
        <f>($B$22*I2560^4+$C$22*I2560^3+$D$22*I2560^2+$E$22*I2560+$F$22)/2</f>
      </c>
      <c r="X2560" s="7">
        <f>($W2560)*(T2560)</f>
      </c>
      <c r="Y2560" s="7">
        <f>($W2560)*(U2560)</f>
      </c>
      <c r="Z2560" s="7">
        <f>SQRT(X2560^2+Y2560^2)</f>
      </c>
      <c r="AA2560" s="7">
        <f>$K2560+$X2560</f>
      </c>
      <c r="AB2560" s="7">
        <f>$L2560+$Y2560</f>
      </c>
      <c r="AC2560" s="7">
        <f>$K2560-$X2560</f>
      </c>
      <c r="AD2560" s="7">
        <f>$L2560-$Y2560</f>
      </c>
      <c r="AE2560" s="7">
        <f>AA2560/39.3701</f>
      </c>
      <c r="AF2560" s="7">
        <f>AB2560/39.3701</f>
      </c>
      <c r="AG2560" s="7">
        <f>AC2560/39.3701</f>
      </c>
      <c r="AH2560" s="7">
        <f>AD2560/39.3701</f>
      </c>
      <c r="AI2560" s="1"/>
      <c r="AJ2560" s="1"/>
      <c r="AK2560" s="1"/>
      <c r="AL2560" s="1"/>
      <c r="AM2560" s="2"/>
      <c r="AN2560" s="1"/>
      <c r="AO2560" s="1"/>
      <c r="AP2560" s="1"/>
      <c r="AQ2560" s="1"/>
      <c r="AR2560" s="1"/>
      <c r="AS2560" s="1"/>
      <c r="AT2560" s="1"/>
      <c r="AU2560" s="1"/>
      <c r="AV2560" s="1"/>
      <c r="AW2560" s="1"/>
      <c r="AX2560" s="1"/>
      <c r="AY2560" s="1"/>
      <c r="AZ2560" s="1"/>
      <c r="BA2560" s="1"/>
      <c r="BB2560" s="1"/>
      <c r="BC2560" s="1"/>
      <c r="BD2560" s="1"/>
      <c r="BE2560" s="1"/>
    </row>
    <row x14ac:dyDescent="0.25" r="2561" customHeight="1" ht="18.75">
      <c r="A2561" s="1"/>
      <c r="B2561" s="2"/>
      <c r="C2561" s="2"/>
      <c r="D2561" s="2"/>
      <c r="E2561" s="2"/>
      <c r="F2561" s="2"/>
      <c r="G2561" s="1"/>
      <c r="H2561" s="1"/>
      <c r="I2561" s="7">
        <v>2.558</v>
      </c>
      <c r="J2561" s="7">
        <f>IF((I2561-ROUNDDOWN(I2561,0))=0, 0, (I2561-ROUNDDOWN(I2561,0)))</f>
      </c>
      <c r="K2561" s="7">
        <f>INDIRECT("C$"&amp;2+MIN(2,ROUNDDOWN(I2561,0))*3)*(-$J2561^3+3*$J2561^2-3*$J2561+1)+INDIRECT("C$"&amp;3+MIN(2,ROUNDDOWN(I2561,0))*3)*(3*$J2561^3-6*$J2561^2+3*$J2561)+INDIRECT("C$"&amp;4+MIN(2,ROUNDDOWN(I2561,0))*3)*(-3*$J2561^3+3*$J2561^2)+INDIRECT("C$"&amp;5+MIN(2,ROUNDDOWN(I2561,0))*3)*$J2561^3</f>
      </c>
      <c r="L2561" s="7">
        <f>INDIRECT("D$"&amp;2+MIN(2,ROUNDDOWN(I2561,0))*3)*(-$J2561^3+3*$J2561^2-3*$J2561+1)+INDIRECT("D$"&amp;3+MIN(2,ROUNDDOWN(I2561,0))*3)*(3*$J2561^3-6*$J2561^2+3*$J2561)+INDIRECT("D$"&amp;4+MIN(2,ROUNDDOWN(I2561,0))*3)*(-3*$J2561^3+3*$J2561^2)+INDIRECT("D$"&amp;5+MIN(2,ROUNDDOWN(I2561,0))*3)*$J2561^3</f>
      </c>
      <c r="M2561" s="7">
        <f>SQRT(K2561^2+L2561^2)</f>
      </c>
      <c r="N2561" s="7">
        <f>(K2562-K2560)</f>
      </c>
      <c r="O2561" s="7">
        <f>+(L2562-L2560)</f>
      </c>
      <c r="P2561" s="7">
        <f>SQRT(O2561^2+N2561^2)</f>
      </c>
      <c r="Q2561" s="7">
        <f>N2561/$P2561</f>
      </c>
      <c r="R2561" s="7">
        <f>O2561/$P2561</f>
      </c>
      <c r="S2561" s="8">
        <f>Q2561^2+R2561^2</f>
      </c>
      <c r="T2561" s="7">
        <f>-R2561</f>
      </c>
      <c r="U2561" s="7">
        <f>Q2561</f>
      </c>
      <c r="V2561" s="7">
        <f>($C$14+($C$15-$C$14)/($D$15-$D$14)*(I2561-$D$14))/2</f>
      </c>
      <c r="W2561" s="7">
        <f>($B$22*I2561^4+$C$22*I2561^3+$D$22*I2561^2+$E$22*I2561+$F$22)/2</f>
      </c>
      <c r="X2561" s="7">
        <f>($W2561)*(T2561)</f>
      </c>
      <c r="Y2561" s="7">
        <f>($W2561)*(U2561)</f>
      </c>
      <c r="Z2561" s="7">
        <f>SQRT(X2561^2+Y2561^2)</f>
      </c>
      <c r="AA2561" s="7">
        <f>$K2561+$X2561</f>
      </c>
      <c r="AB2561" s="7">
        <f>$L2561+$Y2561</f>
      </c>
      <c r="AC2561" s="7">
        <f>$K2561-$X2561</f>
      </c>
      <c r="AD2561" s="7">
        <f>$L2561-$Y2561</f>
      </c>
      <c r="AE2561" s="7">
        <f>AA2561/39.3701</f>
      </c>
      <c r="AF2561" s="7">
        <f>AB2561/39.3701</f>
      </c>
      <c r="AG2561" s="7">
        <f>AC2561/39.3701</f>
      </c>
      <c r="AH2561" s="7">
        <f>AD2561/39.3701</f>
      </c>
      <c r="AI2561" s="1"/>
      <c r="AJ2561" s="1"/>
      <c r="AK2561" s="1"/>
      <c r="AL2561" s="1"/>
      <c r="AM2561" s="2"/>
      <c r="AN2561" s="1"/>
      <c r="AO2561" s="1"/>
      <c r="AP2561" s="1"/>
      <c r="AQ2561" s="1"/>
      <c r="AR2561" s="1"/>
      <c r="AS2561" s="1"/>
      <c r="AT2561" s="1"/>
      <c r="AU2561" s="1"/>
      <c r="AV2561" s="1"/>
      <c r="AW2561" s="1"/>
      <c r="AX2561" s="1"/>
      <c r="AY2561" s="1"/>
      <c r="AZ2561" s="1"/>
      <c r="BA2561" s="1"/>
      <c r="BB2561" s="1"/>
      <c r="BC2561" s="1"/>
      <c r="BD2561" s="1"/>
      <c r="BE2561" s="1"/>
    </row>
    <row x14ac:dyDescent="0.25" r="2562" customHeight="1" ht="18.75">
      <c r="A2562" s="1"/>
      <c r="B2562" s="2"/>
      <c r="C2562" s="2"/>
      <c r="D2562" s="2"/>
      <c r="E2562" s="2"/>
      <c r="F2562" s="2"/>
      <c r="G2562" s="1"/>
      <c r="H2562" s="1"/>
      <c r="I2562" s="7">
        <v>2.559</v>
      </c>
      <c r="J2562" s="7">
        <f>IF((I2562-ROUNDDOWN(I2562,0))=0, 0, (I2562-ROUNDDOWN(I2562,0)))</f>
      </c>
      <c r="K2562" s="7">
        <f>INDIRECT("C$"&amp;2+MIN(2,ROUNDDOWN(I2562,0))*3)*(-$J2562^3+3*$J2562^2-3*$J2562+1)+INDIRECT("C$"&amp;3+MIN(2,ROUNDDOWN(I2562,0))*3)*(3*$J2562^3-6*$J2562^2+3*$J2562)+INDIRECT("C$"&amp;4+MIN(2,ROUNDDOWN(I2562,0))*3)*(-3*$J2562^3+3*$J2562^2)+INDIRECT("C$"&amp;5+MIN(2,ROUNDDOWN(I2562,0))*3)*$J2562^3</f>
      </c>
      <c r="L2562" s="7">
        <f>INDIRECT("D$"&amp;2+MIN(2,ROUNDDOWN(I2562,0))*3)*(-$J2562^3+3*$J2562^2-3*$J2562+1)+INDIRECT("D$"&amp;3+MIN(2,ROUNDDOWN(I2562,0))*3)*(3*$J2562^3-6*$J2562^2+3*$J2562)+INDIRECT("D$"&amp;4+MIN(2,ROUNDDOWN(I2562,0))*3)*(-3*$J2562^3+3*$J2562^2)+INDIRECT("D$"&amp;5+MIN(2,ROUNDDOWN(I2562,0))*3)*$J2562^3</f>
      </c>
      <c r="M2562" s="7">
        <f>SQRT(K2562^2+L2562^2)</f>
      </c>
      <c r="N2562" s="7">
        <f>(K2563-K2561)</f>
      </c>
      <c r="O2562" s="7">
        <f>+(L2563-L2561)</f>
      </c>
      <c r="P2562" s="7">
        <f>SQRT(O2562^2+N2562^2)</f>
      </c>
      <c r="Q2562" s="7">
        <f>N2562/$P2562</f>
      </c>
      <c r="R2562" s="7">
        <f>O2562/$P2562</f>
      </c>
      <c r="S2562" s="7">
        <f>Q2562^2+R2562^2</f>
      </c>
      <c r="T2562" s="7">
        <f>-R2562</f>
      </c>
      <c r="U2562" s="7">
        <f>Q2562</f>
      </c>
      <c r="V2562" s="7">
        <f>($C$14+($C$15-$C$14)/($D$15-$D$14)*(I2562-$D$14))/2</f>
      </c>
      <c r="W2562" s="7">
        <f>($B$22*I2562^4+$C$22*I2562^3+$D$22*I2562^2+$E$22*I2562+$F$22)/2</f>
      </c>
      <c r="X2562" s="7">
        <f>($W2562)*(T2562)</f>
      </c>
      <c r="Y2562" s="7">
        <f>($W2562)*(U2562)</f>
      </c>
      <c r="Z2562" s="7">
        <f>SQRT(X2562^2+Y2562^2)</f>
      </c>
      <c r="AA2562" s="7">
        <f>$K2562+$X2562</f>
      </c>
      <c r="AB2562" s="7">
        <f>$L2562+$Y2562</f>
      </c>
      <c r="AC2562" s="7">
        <f>$K2562-$X2562</f>
      </c>
      <c r="AD2562" s="7">
        <f>$L2562-$Y2562</f>
      </c>
      <c r="AE2562" s="7">
        <f>AA2562/39.3701</f>
      </c>
      <c r="AF2562" s="7">
        <f>AB2562/39.3701</f>
      </c>
      <c r="AG2562" s="7">
        <f>AC2562/39.3701</f>
      </c>
      <c r="AH2562" s="7">
        <f>AD2562/39.3701</f>
      </c>
      <c r="AI2562" s="1"/>
      <c r="AJ2562" s="1"/>
      <c r="AK2562" s="1"/>
      <c r="AL2562" s="1"/>
      <c r="AM2562" s="2"/>
      <c r="AN2562" s="1"/>
      <c r="AO2562" s="1"/>
      <c r="AP2562" s="1"/>
      <c r="AQ2562" s="1"/>
      <c r="AR2562" s="1"/>
      <c r="AS2562" s="1"/>
      <c r="AT2562" s="1"/>
      <c r="AU2562" s="1"/>
      <c r="AV2562" s="1"/>
      <c r="AW2562" s="1"/>
      <c r="AX2562" s="1"/>
      <c r="AY2562" s="1"/>
      <c r="AZ2562" s="1"/>
      <c r="BA2562" s="1"/>
      <c r="BB2562" s="1"/>
      <c r="BC2562" s="1"/>
      <c r="BD2562" s="1"/>
      <c r="BE2562" s="1"/>
    </row>
    <row x14ac:dyDescent="0.25" r="2563" customHeight="1" ht="18.75">
      <c r="A2563" s="1"/>
      <c r="B2563" s="2"/>
      <c r="C2563" s="2"/>
      <c r="D2563" s="2"/>
      <c r="E2563" s="2"/>
      <c r="F2563" s="2"/>
      <c r="G2563" s="1"/>
      <c r="H2563" s="1"/>
      <c r="I2563" s="7">
        <v>2.56</v>
      </c>
      <c r="J2563" s="7">
        <f>IF((I2563-ROUNDDOWN(I2563,0))=0, 0, (I2563-ROUNDDOWN(I2563,0)))</f>
      </c>
      <c r="K2563" s="7">
        <f>INDIRECT("C$"&amp;2+MIN(2,ROUNDDOWN(I2563,0))*3)*(-$J2563^3+3*$J2563^2-3*$J2563+1)+INDIRECT("C$"&amp;3+MIN(2,ROUNDDOWN(I2563,0))*3)*(3*$J2563^3-6*$J2563^2+3*$J2563)+INDIRECT("C$"&amp;4+MIN(2,ROUNDDOWN(I2563,0))*3)*(-3*$J2563^3+3*$J2563^2)+INDIRECT("C$"&amp;5+MIN(2,ROUNDDOWN(I2563,0))*3)*$J2563^3</f>
      </c>
      <c r="L2563" s="7">
        <f>INDIRECT("D$"&amp;2+MIN(2,ROUNDDOWN(I2563,0))*3)*(-$J2563^3+3*$J2563^2-3*$J2563+1)+INDIRECT("D$"&amp;3+MIN(2,ROUNDDOWN(I2563,0))*3)*(3*$J2563^3-6*$J2563^2+3*$J2563)+INDIRECT("D$"&amp;4+MIN(2,ROUNDDOWN(I2563,0))*3)*(-3*$J2563^3+3*$J2563^2)+INDIRECT("D$"&amp;5+MIN(2,ROUNDDOWN(I2563,0))*3)*$J2563^3</f>
      </c>
      <c r="M2563" s="7">
        <f>SQRT(K2563^2+L2563^2)</f>
      </c>
      <c r="N2563" s="7">
        <f>(K2564-K2562)</f>
      </c>
      <c r="O2563" s="7">
        <f>+(L2564-L2562)</f>
      </c>
      <c r="P2563" s="7">
        <f>SQRT(O2563^2+N2563^2)</f>
      </c>
      <c r="Q2563" s="7">
        <f>N2563/$P2563</f>
      </c>
      <c r="R2563" s="7">
        <f>O2563/$P2563</f>
      </c>
      <c r="S2563" s="8">
        <f>Q2563^2+R2563^2</f>
      </c>
      <c r="T2563" s="7">
        <f>-R2563</f>
      </c>
      <c r="U2563" s="7">
        <f>Q2563</f>
      </c>
      <c r="V2563" s="7">
        <f>($C$14+($C$15-$C$14)/($D$15-$D$14)*(I2563-$D$14))/2</f>
      </c>
      <c r="W2563" s="7">
        <f>($B$22*I2563^4+$C$22*I2563^3+$D$22*I2563^2+$E$22*I2563+$F$22)/2</f>
      </c>
      <c r="X2563" s="7">
        <f>($W2563)*(T2563)</f>
      </c>
      <c r="Y2563" s="7">
        <f>($W2563)*(U2563)</f>
      </c>
      <c r="Z2563" s="7">
        <f>SQRT(X2563^2+Y2563^2)</f>
      </c>
      <c r="AA2563" s="7">
        <f>$K2563+$X2563</f>
      </c>
      <c r="AB2563" s="7">
        <f>$L2563+$Y2563</f>
      </c>
      <c r="AC2563" s="7">
        <f>$K2563-$X2563</f>
      </c>
      <c r="AD2563" s="7">
        <f>$L2563-$Y2563</f>
      </c>
      <c r="AE2563" s="7">
        <f>AA2563/39.3701</f>
      </c>
      <c r="AF2563" s="7">
        <f>AB2563/39.3701</f>
      </c>
      <c r="AG2563" s="7">
        <f>AC2563/39.3701</f>
      </c>
      <c r="AH2563" s="7">
        <f>AD2563/39.3701</f>
      </c>
      <c r="AI2563" s="1"/>
      <c r="AJ2563" s="1"/>
      <c r="AK2563" s="1"/>
      <c r="AL2563" s="1"/>
      <c r="AM2563" s="2"/>
      <c r="AN2563" s="1"/>
      <c r="AO2563" s="1"/>
      <c r="AP2563" s="1"/>
      <c r="AQ2563" s="1"/>
      <c r="AR2563" s="1"/>
      <c r="AS2563" s="1"/>
      <c r="AT2563" s="1"/>
      <c r="AU2563" s="1"/>
      <c r="AV2563" s="1"/>
      <c r="AW2563" s="1"/>
      <c r="AX2563" s="1"/>
      <c r="AY2563" s="1"/>
      <c r="AZ2563" s="1"/>
      <c r="BA2563" s="1"/>
      <c r="BB2563" s="1"/>
      <c r="BC2563" s="1"/>
      <c r="BD2563" s="1"/>
      <c r="BE2563" s="1"/>
    </row>
    <row x14ac:dyDescent="0.25" r="2564" customHeight="1" ht="18.75">
      <c r="A2564" s="1"/>
      <c r="B2564" s="2"/>
      <c r="C2564" s="2"/>
      <c r="D2564" s="2"/>
      <c r="E2564" s="2"/>
      <c r="F2564" s="2"/>
      <c r="G2564" s="1"/>
      <c r="H2564" s="1"/>
      <c r="I2564" s="7">
        <v>2.561</v>
      </c>
      <c r="J2564" s="7">
        <f>IF((I2564-ROUNDDOWN(I2564,0))=0, 0, (I2564-ROUNDDOWN(I2564,0)))</f>
      </c>
      <c r="K2564" s="7">
        <f>INDIRECT("C$"&amp;2+MIN(2,ROUNDDOWN(I2564,0))*3)*(-$J2564^3+3*$J2564^2-3*$J2564+1)+INDIRECT("C$"&amp;3+MIN(2,ROUNDDOWN(I2564,0))*3)*(3*$J2564^3-6*$J2564^2+3*$J2564)+INDIRECT("C$"&amp;4+MIN(2,ROUNDDOWN(I2564,0))*3)*(-3*$J2564^3+3*$J2564^2)+INDIRECT("C$"&amp;5+MIN(2,ROUNDDOWN(I2564,0))*3)*$J2564^3</f>
      </c>
      <c r="L2564" s="7">
        <f>INDIRECT("D$"&amp;2+MIN(2,ROUNDDOWN(I2564,0))*3)*(-$J2564^3+3*$J2564^2-3*$J2564+1)+INDIRECT("D$"&amp;3+MIN(2,ROUNDDOWN(I2564,0))*3)*(3*$J2564^3-6*$J2564^2+3*$J2564)+INDIRECT("D$"&amp;4+MIN(2,ROUNDDOWN(I2564,0))*3)*(-3*$J2564^3+3*$J2564^2)+INDIRECT("D$"&amp;5+MIN(2,ROUNDDOWN(I2564,0))*3)*$J2564^3</f>
      </c>
      <c r="M2564" s="7">
        <f>SQRT(K2564^2+L2564^2)</f>
      </c>
      <c r="N2564" s="7">
        <f>(K2565-K2563)</f>
      </c>
      <c r="O2564" s="7">
        <f>+(L2565-L2563)</f>
      </c>
      <c r="P2564" s="7">
        <f>SQRT(O2564^2+N2564^2)</f>
      </c>
      <c r="Q2564" s="7">
        <f>N2564/$P2564</f>
      </c>
      <c r="R2564" s="7">
        <f>O2564/$P2564</f>
      </c>
      <c r="S2564" s="7">
        <f>Q2564^2+R2564^2</f>
      </c>
      <c r="T2564" s="7">
        <f>-R2564</f>
      </c>
      <c r="U2564" s="7">
        <f>Q2564</f>
      </c>
      <c r="V2564" s="7">
        <f>($C$14+($C$15-$C$14)/($D$15-$D$14)*(I2564-$D$14))/2</f>
      </c>
      <c r="W2564" s="7">
        <f>($B$22*I2564^4+$C$22*I2564^3+$D$22*I2564^2+$E$22*I2564+$F$22)/2</f>
      </c>
      <c r="X2564" s="7">
        <f>($W2564)*(T2564)</f>
      </c>
      <c r="Y2564" s="7">
        <f>($W2564)*(U2564)</f>
      </c>
      <c r="Z2564" s="7">
        <f>SQRT(X2564^2+Y2564^2)</f>
      </c>
      <c r="AA2564" s="7">
        <f>$K2564+$X2564</f>
      </c>
      <c r="AB2564" s="7">
        <f>$L2564+$Y2564</f>
      </c>
      <c r="AC2564" s="7">
        <f>$K2564-$X2564</f>
      </c>
      <c r="AD2564" s="7">
        <f>$L2564-$Y2564</f>
      </c>
      <c r="AE2564" s="7">
        <f>AA2564/39.3701</f>
      </c>
      <c r="AF2564" s="7">
        <f>AB2564/39.3701</f>
      </c>
      <c r="AG2564" s="7">
        <f>AC2564/39.3701</f>
      </c>
      <c r="AH2564" s="7">
        <f>AD2564/39.3701</f>
      </c>
      <c r="AI2564" s="1"/>
      <c r="AJ2564" s="1"/>
      <c r="AK2564" s="1"/>
      <c r="AL2564" s="1"/>
      <c r="AM2564" s="2"/>
      <c r="AN2564" s="1"/>
      <c r="AO2564" s="1"/>
      <c r="AP2564" s="1"/>
      <c r="AQ2564" s="1"/>
      <c r="AR2564" s="1"/>
      <c r="AS2564" s="1"/>
      <c r="AT2564" s="1"/>
      <c r="AU2564" s="1"/>
      <c r="AV2564" s="1"/>
      <c r="AW2564" s="1"/>
      <c r="AX2564" s="1"/>
      <c r="AY2564" s="1"/>
      <c r="AZ2564" s="1"/>
      <c r="BA2564" s="1"/>
      <c r="BB2564" s="1"/>
      <c r="BC2564" s="1"/>
      <c r="BD2564" s="1"/>
      <c r="BE2564" s="1"/>
    </row>
    <row x14ac:dyDescent="0.25" r="2565" customHeight="1" ht="18.75">
      <c r="A2565" s="1"/>
      <c r="B2565" s="2"/>
      <c r="C2565" s="2"/>
      <c r="D2565" s="2"/>
      <c r="E2565" s="2"/>
      <c r="F2565" s="2"/>
      <c r="G2565" s="1"/>
      <c r="H2565" s="1"/>
      <c r="I2565" s="7">
        <v>2.562</v>
      </c>
      <c r="J2565" s="7">
        <f>IF((I2565-ROUNDDOWN(I2565,0))=0, 0, (I2565-ROUNDDOWN(I2565,0)))</f>
      </c>
      <c r="K2565" s="7">
        <f>INDIRECT("C$"&amp;2+MIN(2,ROUNDDOWN(I2565,0))*3)*(-$J2565^3+3*$J2565^2-3*$J2565+1)+INDIRECT("C$"&amp;3+MIN(2,ROUNDDOWN(I2565,0))*3)*(3*$J2565^3-6*$J2565^2+3*$J2565)+INDIRECT("C$"&amp;4+MIN(2,ROUNDDOWN(I2565,0))*3)*(-3*$J2565^3+3*$J2565^2)+INDIRECT("C$"&amp;5+MIN(2,ROUNDDOWN(I2565,0))*3)*$J2565^3</f>
      </c>
      <c r="L2565" s="7">
        <f>INDIRECT("D$"&amp;2+MIN(2,ROUNDDOWN(I2565,0))*3)*(-$J2565^3+3*$J2565^2-3*$J2565+1)+INDIRECT("D$"&amp;3+MIN(2,ROUNDDOWN(I2565,0))*3)*(3*$J2565^3-6*$J2565^2+3*$J2565)+INDIRECT("D$"&amp;4+MIN(2,ROUNDDOWN(I2565,0))*3)*(-3*$J2565^3+3*$J2565^2)+INDIRECT("D$"&amp;5+MIN(2,ROUNDDOWN(I2565,0))*3)*$J2565^3</f>
      </c>
      <c r="M2565" s="7">
        <f>SQRT(K2565^2+L2565^2)</f>
      </c>
      <c r="N2565" s="7">
        <f>(K2566-K2564)</f>
      </c>
      <c r="O2565" s="7">
        <f>+(L2566-L2564)</f>
      </c>
      <c r="P2565" s="7">
        <f>SQRT(O2565^2+N2565^2)</f>
      </c>
      <c r="Q2565" s="7">
        <f>N2565/$P2565</f>
      </c>
      <c r="R2565" s="7">
        <f>O2565/$P2565</f>
      </c>
      <c r="S2565" s="7">
        <f>Q2565^2+R2565^2</f>
      </c>
      <c r="T2565" s="7">
        <f>-R2565</f>
      </c>
      <c r="U2565" s="7">
        <f>Q2565</f>
      </c>
      <c r="V2565" s="7">
        <f>($C$14+($C$15-$C$14)/($D$15-$D$14)*(I2565-$D$14))/2</f>
      </c>
      <c r="W2565" s="7">
        <f>($B$22*I2565^4+$C$22*I2565^3+$D$22*I2565^2+$E$22*I2565+$F$22)/2</f>
      </c>
      <c r="X2565" s="7">
        <f>($W2565)*(T2565)</f>
      </c>
      <c r="Y2565" s="7">
        <f>($W2565)*(U2565)</f>
      </c>
      <c r="Z2565" s="7">
        <f>SQRT(X2565^2+Y2565^2)</f>
      </c>
      <c r="AA2565" s="7">
        <f>$K2565+$X2565</f>
      </c>
      <c r="AB2565" s="7">
        <f>$L2565+$Y2565</f>
      </c>
      <c r="AC2565" s="7">
        <f>$K2565-$X2565</f>
      </c>
      <c r="AD2565" s="7">
        <f>$L2565-$Y2565</f>
      </c>
      <c r="AE2565" s="7">
        <f>AA2565/39.3701</f>
      </c>
      <c r="AF2565" s="7">
        <f>AB2565/39.3701</f>
      </c>
      <c r="AG2565" s="7">
        <f>AC2565/39.3701</f>
      </c>
      <c r="AH2565" s="7">
        <f>AD2565/39.3701</f>
      </c>
      <c r="AI2565" s="1"/>
      <c r="AJ2565" s="1"/>
      <c r="AK2565" s="1"/>
      <c r="AL2565" s="1"/>
      <c r="AM2565" s="2"/>
      <c r="AN2565" s="1"/>
      <c r="AO2565" s="1"/>
      <c r="AP2565" s="1"/>
      <c r="AQ2565" s="1"/>
      <c r="AR2565" s="1"/>
      <c r="AS2565" s="1"/>
      <c r="AT2565" s="1"/>
      <c r="AU2565" s="1"/>
      <c r="AV2565" s="1"/>
      <c r="AW2565" s="1"/>
      <c r="AX2565" s="1"/>
      <c r="AY2565" s="1"/>
      <c r="AZ2565" s="1"/>
      <c r="BA2565" s="1"/>
      <c r="BB2565" s="1"/>
      <c r="BC2565" s="1"/>
      <c r="BD2565" s="1"/>
      <c r="BE2565" s="1"/>
    </row>
    <row x14ac:dyDescent="0.25" r="2566" customHeight="1" ht="18.75">
      <c r="A2566" s="1"/>
      <c r="B2566" s="2"/>
      <c r="C2566" s="2"/>
      <c r="D2566" s="2"/>
      <c r="E2566" s="2"/>
      <c r="F2566" s="2"/>
      <c r="G2566" s="1"/>
      <c r="H2566" s="1"/>
      <c r="I2566" s="7">
        <v>2.563</v>
      </c>
      <c r="J2566" s="7">
        <f>IF((I2566-ROUNDDOWN(I2566,0))=0, 0, (I2566-ROUNDDOWN(I2566,0)))</f>
      </c>
      <c r="K2566" s="7">
        <f>INDIRECT("C$"&amp;2+MIN(2,ROUNDDOWN(I2566,0))*3)*(-$J2566^3+3*$J2566^2-3*$J2566+1)+INDIRECT("C$"&amp;3+MIN(2,ROUNDDOWN(I2566,0))*3)*(3*$J2566^3-6*$J2566^2+3*$J2566)+INDIRECT("C$"&amp;4+MIN(2,ROUNDDOWN(I2566,0))*3)*(-3*$J2566^3+3*$J2566^2)+INDIRECT("C$"&amp;5+MIN(2,ROUNDDOWN(I2566,0))*3)*$J2566^3</f>
      </c>
      <c r="L2566" s="7">
        <f>INDIRECT("D$"&amp;2+MIN(2,ROUNDDOWN(I2566,0))*3)*(-$J2566^3+3*$J2566^2-3*$J2566+1)+INDIRECT("D$"&amp;3+MIN(2,ROUNDDOWN(I2566,0))*3)*(3*$J2566^3-6*$J2566^2+3*$J2566)+INDIRECT("D$"&amp;4+MIN(2,ROUNDDOWN(I2566,0))*3)*(-3*$J2566^3+3*$J2566^2)+INDIRECT("D$"&amp;5+MIN(2,ROUNDDOWN(I2566,0))*3)*$J2566^3</f>
      </c>
      <c r="M2566" s="7">
        <f>SQRT(K2566^2+L2566^2)</f>
      </c>
      <c r="N2566" s="7">
        <f>(K2567-K2565)</f>
      </c>
      <c r="O2566" s="7">
        <f>+(L2567-L2565)</f>
      </c>
      <c r="P2566" s="7">
        <f>SQRT(O2566^2+N2566^2)</f>
      </c>
      <c r="Q2566" s="7">
        <f>N2566/$P2566</f>
      </c>
      <c r="R2566" s="7">
        <f>O2566/$P2566</f>
      </c>
      <c r="S2566" s="7">
        <f>Q2566^2+R2566^2</f>
      </c>
      <c r="T2566" s="7">
        <f>-R2566</f>
      </c>
      <c r="U2566" s="7">
        <f>Q2566</f>
      </c>
      <c r="V2566" s="7">
        <f>($C$14+($C$15-$C$14)/($D$15-$D$14)*(I2566-$D$14))/2</f>
      </c>
      <c r="W2566" s="7">
        <f>($B$22*I2566^4+$C$22*I2566^3+$D$22*I2566^2+$E$22*I2566+$F$22)/2</f>
      </c>
      <c r="X2566" s="7">
        <f>($W2566)*(T2566)</f>
      </c>
      <c r="Y2566" s="7">
        <f>($W2566)*(U2566)</f>
      </c>
      <c r="Z2566" s="7">
        <f>SQRT(X2566^2+Y2566^2)</f>
      </c>
      <c r="AA2566" s="7">
        <f>$K2566+$X2566</f>
      </c>
      <c r="AB2566" s="7">
        <f>$L2566+$Y2566</f>
      </c>
      <c r="AC2566" s="7">
        <f>$K2566-$X2566</f>
      </c>
      <c r="AD2566" s="7">
        <f>$L2566-$Y2566</f>
      </c>
      <c r="AE2566" s="7">
        <f>AA2566/39.3701</f>
      </c>
      <c r="AF2566" s="7">
        <f>AB2566/39.3701</f>
      </c>
      <c r="AG2566" s="7">
        <f>AC2566/39.3701</f>
      </c>
      <c r="AH2566" s="7">
        <f>AD2566/39.3701</f>
      </c>
      <c r="AI2566" s="1"/>
      <c r="AJ2566" s="1"/>
      <c r="AK2566" s="1"/>
      <c r="AL2566" s="1"/>
      <c r="AM2566" s="2"/>
      <c r="AN2566" s="1"/>
      <c r="AO2566" s="1"/>
      <c r="AP2566" s="1"/>
      <c r="AQ2566" s="1"/>
      <c r="AR2566" s="1"/>
      <c r="AS2566" s="1"/>
      <c r="AT2566" s="1"/>
      <c r="AU2566" s="1"/>
      <c r="AV2566" s="1"/>
      <c r="AW2566" s="1"/>
      <c r="AX2566" s="1"/>
      <c r="AY2566" s="1"/>
      <c r="AZ2566" s="1"/>
      <c r="BA2566" s="1"/>
      <c r="BB2566" s="1"/>
      <c r="BC2566" s="1"/>
      <c r="BD2566" s="1"/>
      <c r="BE2566" s="1"/>
    </row>
    <row x14ac:dyDescent="0.25" r="2567" customHeight="1" ht="18.75">
      <c r="A2567" s="1"/>
      <c r="B2567" s="2"/>
      <c r="C2567" s="2"/>
      <c r="D2567" s="2"/>
      <c r="E2567" s="2"/>
      <c r="F2567" s="2"/>
      <c r="G2567" s="1"/>
      <c r="H2567" s="1"/>
      <c r="I2567" s="7">
        <v>2.564</v>
      </c>
      <c r="J2567" s="7">
        <f>IF((I2567-ROUNDDOWN(I2567,0))=0, 0, (I2567-ROUNDDOWN(I2567,0)))</f>
      </c>
      <c r="K2567" s="7">
        <f>INDIRECT("C$"&amp;2+MIN(2,ROUNDDOWN(I2567,0))*3)*(-$J2567^3+3*$J2567^2-3*$J2567+1)+INDIRECT("C$"&amp;3+MIN(2,ROUNDDOWN(I2567,0))*3)*(3*$J2567^3-6*$J2567^2+3*$J2567)+INDIRECT("C$"&amp;4+MIN(2,ROUNDDOWN(I2567,0))*3)*(-3*$J2567^3+3*$J2567^2)+INDIRECT("C$"&amp;5+MIN(2,ROUNDDOWN(I2567,0))*3)*$J2567^3</f>
      </c>
      <c r="L2567" s="7">
        <f>INDIRECT("D$"&amp;2+MIN(2,ROUNDDOWN(I2567,0))*3)*(-$J2567^3+3*$J2567^2-3*$J2567+1)+INDIRECT("D$"&amp;3+MIN(2,ROUNDDOWN(I2567,0))*3)*(3*$J2567^3-6*$J2567^2+3*$J2567)+INDIRECT("D$"&amp;4+MIN(2,ROUNDDOWN(I2567,0))*3)*(-3*$J2567^3+3*$J2567^2)+INDIRECT("D$"&amp;5+MIN(2,ROUNDDOWN(I2567,0))*3)*$J2567^3</f>
      </c>
      <c r="M2567" s="7">
        <f>SQRT(K2567^2+L2567^2)</f>
      </c>
      <c r="N2567" s="7">
        <f>(K2568-K2566)</f>
      </c>
      <c r="O2567" s="7">
        <f>+(L2568-L2566)</f>
      </c>
      <c r="P2567" s="7">
        <f>SQRT(O2567^2+N2567^2)</f>
      </c>
      <c r="Q2567" s="7">
        <f>N2567/$P2567</f>
      </c>
      <c r="R2567" s="7">
        <f>O2567/$P2567</f>
      </c>
      <c r="S2567" s="7">
        <f>Q2567^2+R2567^2</f>
      </c>
      <c r="T2567" s="7">
        <f>-R2567</f>
      </c>
      <c r="U2567" s="7">
        <f>Q2567</f>
      </c>
      <c r="V2567" s="7">
        <f>($C$14+($C$15-$C$14)/($D$15-$D$14)*(I2567-$D$14))/2</f>
      </c>
      <c r="W2567" s="7">
        <f>($B$22*I2567^4+$C$22*I2567^3+$D$22*I2567^2+$E$22*I2567+$F$22)/2</f>
      </c>
      <c r="X2567" s="7">
        <f>($W2567)*(T2567)</f>
      </c>
      <c r="Y2567" s="7">
        <f>($W2567)*(U2567)</f>
      </c>
      <c r="Z2567" s="7">
        <f>SQRT(X2567^2+Y2567^2)</f>
      </c>
      <c r="AA2567" s="7">
        <f>$K2567+$X2567</f>
      </c>
      <c r="AB2567" s="7">
        <f>$L2567+$Y2567</f>
      </c>
      <c r="AC2567" s="7">
        <f>$K2567-$X2567</f>
      </c>
      <c r="AD2567" s="7">
        <f>$L2567-$Y2567</f>
      </c>
      <c r="AE2567" s="7">
        <f>AA2567/39.3701</f>
      </c>
      <c r="AF2567" s="7">
        <f>AB2567/39.3701</f>
      </c>
      <c r="AG2567" s="7">
        <f>AC2567/39.3701</f>
      </c>
      <c r="AH2567" s="7">
        <f>AD2567/39.3701</f>
      </c>
      <c r="AI2567" s="1"/>
      <c r="AJ2567" s="1"/>
      <c r="AK2567" s="1"/>
      <c r="AL2567" s="1"/>
      <c r="AM2567" s="2"/>
      <c r="AN2567" s="1"/>
      <c r="AO2567" s="1"/>
      <c r="AP2567" s="1"/>
      <c r="AQ2567" s="1"/>
      <c r="AR2567" s="1"/>
      <c r="AS2567" s="1"/>
      <c r="AT2567" s="1"/>
      <c r="AU2567" s="1"/>
      <c r="AV2567" s="1"/>
      <c r="AW2567" s="1"/>
      <c r="AX2567" s="1"/>
      <c r="AY2567" s="1"/>
      <c r="AZ2567" s="1"/>
      <c r="BA2567" s="1"/>
      <c r="BB2567" s="1"/>
      <c r="BC2567" s="1"/>
      <c r="BD2567" s="1"/>
      <c r="BE2567" s="1"/>
    </row>
    <row x14ac:dyDescent="0.25" r="2568" customHeight="1" ht="18.75">
      <c r="A2568" s="1"/>
      <c r="B2568" s="2"/>
      <c r="C2568" s="2"/>
      <c r="D2568" s="2"/>
      <c r="E2568" s="2"/>
      <c r="F2568" s="2"/>
      <c r="G2568" s="1"/>
      <c r="H2568" s="1"/>
      <c r="I2568" s="7">
        <v>2.565</v>
      </c>
      <c r="J2568" s="7">
        <f>IF((I2568-ROUNDDOWN(I2568,0))=0, 0, (I2568-ROUNDDOWN(I2568,0)))</f>
      </c>
      <c r="K2568" s="7">
        <f>INDIRECT("C$"&amp;2+MIN(2,ROUNDDOWN(I2568,0))*3)*(-$J2568^3+3*$J2568^2-3*$J2568+1)+INDIRECT("C$"&amp;3+MIN(2,ROUNDDOWN(I2568,0))*3)*(3*$J2568^3-6*$J2568^2+3*$J2568)+INDIRECT("C$"&amp;4+MIN(2,ROUNDDOWN(I2568,0))*3)*(-3*$J2568^3+3*$J2568^2)+INDIRECT("C$"&amp;5+MIN(2,ROUNDDOWN(I2568,0))*3)*$J2568^3</f>
      </c>
      <c r="L2568" s="7">
        <f>INDIRECT("D$"&amp;2+MIN(2,ROUNDDOWN(I2568,0))*3)*(-$J2568^3+3*$J2568^2-3*$J2568+1)+INDIRECT("D$"&amp;3+MIN(2,ROUNDDOWN(I2568,0))*3)*(3*$J2568^3-6*$J2568^2+3*$J2568)+INDIRECT("D$"&amp;4+MIN(2,ROUNDDOWN(I2568,0))*3)*(-3*$J2568^3+3*$J2568^2)+INDIRECT("D$"&amp;5+MIN(2,ROUNDDOWN(I2568,0))*3)*$J2568^3</f>
      </c>
      <c r="M2568" s="7">
        <f>SQRT(K2568^2+L2568^2)</f>
      </c>
      <c r="N2568" s="7">
        <f>(K2569-K2567)</f>
      </c>
      <c r="O2568" s="7">
        <f>+(L2569-L2567)</f>
      </c>
      <c r="P2568" s="7">
        <f>SQRT(O2568^2+N2568^2)</f>
      </c>
      <c r="Q2568" s="7">
        <f>N2568/$P2568</f>
      </c>
      <c r="R2568" s="7">
        <f>O2568/$P2568</f>
      </c>
      <c r="S2568" s="8">
        <f>Q2568^2+R2568^2</f>
      </c>
      <c r="T2568" s="7">
        <f>-R2568</f>
      </c>
      <c r="U2568" s="7">
        <f>Q2568</f>
      </c>
      <c r="V2568" s="7">
        <f>($C$14+($C$15-$C$14)/($D$15-$D$14)*(I2568-$D$14))/2</f>
      </c>
      <c r="W2568" s="7">
        <f>($B$22*I2568^4+$C$22*I2568^3+$D$22*I2568^2+$E$22*I2568+$F$22)/2</f>
      </c>
      <c r="X2568" s="7">
        <f>($W2568)*(T2568)</f>
      </c>
      <c r="Y2568" s="7">
        <f>($W2568)*(U2568)</f>
      </c>
      <c r="Z2568" s="7">
        <f>SQRT(X2568^2+Y2568^2)</f>
      </c>
      <c r="AA2568" s="7">
        <f>$K2568+$X2568</f>
      </c>
      <c r="AB2568" s="7">
        <f>$L2568+$Y2568</f>
      </c>
      <c r="AC2568" s="7">
        <f>$K2568-$X2568</f>
      </c>
      <c r="AD2568" s="7">
        <f>$L2568-$Y2568</f>
      </c>
      <c r="AE2568" s="7">
        <f>AA2568/39.3701</f>
      </c>
      <c r="AF2568" s="7">
        <f>AB2568/39.3701</f>
      </c>
      <c r="AG2568" s="7">
        <f>AC2568/39.3701</f>
      </c>
      <c r="AH2568" s="7">
        <f>AD2568/39.3701</f>
      </c>
      <c r="AI2568" s="1"/>
      <c r="AJ2568" s="1"/>
      <c r="AK2568" s="1"/>
      <c r="AL2568" s="1"/>
      <c r="AM2568" s="2"/>
      <c r="AN2568" s="1"/>
      <c r="AO2568" s="1"/>
      <c r="AP2568" s="1"/>
      <c r="AQ2568" s="1"/>
      <c r="AR2568" s="1"/>
      <c r="AS2568" s="1"/>
      <c r="AT2568" s="1"/>
      <c r="AU2568" s="1"/>
      <c r="AV2568" s="1"/>
      <c r="AW2568" s="1"/>
      <c r="AX2568" s="1"/>
      <c r="AY2568" s="1"/>
      <c r="AZ2568" s="1"/>
      <c r="BA2568" s="1"/>
      <c r="BB2568" s="1"/>
      <c r="BC2568" s="1"/>
      <c r="BD2568" s="1"/>
      <c r="BE2568" s="1"/>
    </row>
    <row x14ac:dyDescent="0.25" r="2569" customHeight="1" ht="18.75">
      <c r="A2569" s="1"/>
      <c r="B2569" s="2"/>
      <c r="C2569" s="2"/>
      <c r="D2569" s="2"/>
      <c r="E2569" s="2"/>
      <c r="F2569" s="2"/>
      <c r="G2569" s="1"/>
      <c r="H2569" s="1"/>
      <c r="I2569" s="7">
        <v>2.566</v>
      </c>
      <c r="J2569" s="7">
        <f>IF((I2569-ROUNDDOWN(I2569,0))=0, 0, (I2569-ROUNDDOWN(I2569,0)))</f>
      </c>
      <c r="K2569" s="7">
        <f>INDIRECT("C$"&amp;2+MIN(2,ROUNDDOWN(I2569,0))*3)*(-$J2569^3+3*$J2569^2-3*$J2569+1)+INDIRECT("C$"&amp;3+MIN(2,ROUNDDOWN(I2569,0))*3)*(3*$J2569^3-6*$J2569^2+3*$J2569)+INDIRECT("C$"&amp;4+MIN(2,ROUNDDOWN(I2569,0))*3)*(-3*$J2569^3+3*$J2569^2)+INDIRECT("C$"&amp;5+MIN(2,ROUNDDOWN(I2569,0))*3)*$J2569^3</f>
      </c>
      <c r="L2569" s="7">
        <f>INDIRECT("D$"&amp;2+MIN(2,ROUNDDOWN(I2569,0))*3)*(-$J2569^3+3*$J2569^2-3*$J2569+1)+INDIRECT("D$"&amp;3+MIN(2,ROUNDDOWN(I2569,0))*3)*(3*$J2569^3-6*$J2569^2+3*$J2569)+INDIRECT("D$"&amp;4+MIN(2,ROUNDDOWN(I2569,0))*3)*(-3*$J2569^3+3*$J2569^2)+INDIRECT("D$"&amp;5+MIN(2,ROUNDDOWN(I2569,0))*3)*$J2569^3</f>
      </c>
      <c r="M2569" s="7">
        <f>SQRT(K2569^2+L2569^2)</f>
      </c>
      <c r="N2569" s="7">
        <f>(K2570-K2568)</f>
      </c>
      <c r="O2569" s="7">
        <f>+(L2570-L2568)</f>
      </c>
      <c r="P2569" s="7">
        <f>SQRT(O2569^2+N2569^2)</f>
      </c>
      <c r="Q2569" s="7">
        <f>N2569/$P2569</f>
      </c>
      <c r="R2569" s="7">
        <f>O2569/$P2569</f>
      </c>
      <c r="S2569" s="8">
        <f>Q2569^2+R2569^2</f>
      </c>
      <c r="T2569" s="7">
        <f>-R2569</f>
      </c>
      <c r="U2569" s="7">
        <f>Q2569</f>
      </c>
      <c r="V2569" s="7">
        <f>($C$14+($C$15-$C$14)/($D$15-$D$14)*(I2569-$D$14))/2</f>
      </c>
      <c r="W2569" s="7">
        <f>($B$22*I2569^4+$C$22*I2569^3+$D$22*I2569^2+$E$22*I2569+$F$22)/2</f>
      </c>
      <c r="X2569" s="7">
        <f>($W2569)*(T2569)</f>
      </c>
      <c r="Y2569" s="7">
        <f>($W2569)*(U2569)</f>
      </c>
      <c r="Z2569" s="7">
        <f>SQRT(X2569^2+Y2569^2)</f>
      </c>
      <c r="AA2569" s="7">
        <f>$K2569+$X2569</f>
      </c>
      <c r="AB2569" s="7">
        <f>$L2569+$Y2569</f>
      </c>
      <c r="AC2569" s="7">
        <f>$K2569-$X2569</f>
      </c>
      <c r="AD2569" s="7">
        <f>$L2569-$Y2569</f>
      </c>
      <c r="AE2569" s="7">
        <f>AA2569/39.3701</f>
      </c>
      <c r="AF2569" s="7">
        <f>AB2569/39.3701</f>
      </c>
      <c r="AG2569" s="7">
        <f>AC2569/39.3701</f>
      </c>
      <c r="AH2569" s="7">
        <f>AD2569/39.3701</f>
      </c>
      <c r="AI2569" s="1"/>
      <c r="AJ2569" s="1"/>
      <c r="AK2569" s="1"/>
      <c r="AL2569" s="1"/>
      <c r="AM2569" s="2"/>
      <c r="AN2569" s="1"/>
      <c r="AO2569" s="1"/>
      <c r="AP2569" s="1"/>
      <c r="AQ2569" s="1"/>
      <c r="AR2569" s="1"/>
      <c r="AS2569" s="1"/>
      <c r="AT2569" s="1"/>
      <c r="AU2569" s="1"/>
      <c r="AV2569" s="1"/>
      <c r="AW2569" s="1"/>
      <c r="AX2569" s="1"/>
      <c r="AY2569" s="1"/>
      <c r="AZ2569" s="1"/>
      <c r="BA2569" s="1"/>
      <c r="BB2569" s="1"/>
      <c r="BC2569" s="1"/>
      <c r="BD2569" s="1"/>
      <c r="BE2569" s="1"/>
    </row>
    <row x14ac:dyDescent="0.25" r="2570" customHeight="1" ht="18.75">
      <c r="A2570" s="1"/>
      <c r="B2570" s="2"/>
      <c r="C2570" s="2"/>
      <c r="D2570" s="2"/>
      <c r="E2570" s="2"/>
      <c r="F2570" s="2"/>
      <c r="G2570" s="1"/>
      <c r="H2570" s="1"/>
      <c r="I2570" s="7">
        <v>2.567</v>
      </c>
      <c r="J2570" s="7">
        <f>IF((I2570-ROUNDDOWN(I2570,0))=0, 0, (I2570-ROUNDDOWN(I2570,0)))</f>
      </c>
      <c r="K2570" s="7">
        <f>INDIRECT("C$"&amp;2+MIN(2,ROUNDDOWN(I2570,0))*3)*(-$J2570^3+3*$J2570^2-3*$J2570+1)+INDIRECT("C$"&amp;3+MIN(2,ROUNDDOWN(I2570,0))*3)*(3*$J2570^3-6*$J2570^2+3*$J2570)+INDIRECT("C$"&amp;4+MIN(2,ROUNDDOWN(I2570,0))*3)*(-3*$J2570^3+3*$J2570^2)+INDIRECT("C$"&amp;5+MIN(2,ROUNDDOWN(I2570,0))*3)*$J2570^3</f>
      </c>
      <c r="L2570" s="7">
        <f>INDIRECT("D$"&amp;2+MIN(2,ROUNDDOWN(I2570,0))*3)*(-$J2570^3+3*$J2570^2-3*$J2570+1)+INDIRECT("D$"&amp;3+MIN(2,ROUNDDOWN(I2570,0))*3)*(3*$J2570^3-6*$J2570^2+3*$J2570)+INDIRECT("D$"&amp;4+MIN(2,ROUNDDOWN(I2570,0))*3)*(-3*$J2570^3+3*$J2570^2)+INDIRECT("D$"&amp;5+MIN(2,ROUNDDOWN(I2570,0))*3)*$J2570^3</f>
      </c>
      <c r="M2570" s="7">
        <f>SQRT(K2570^2+L2570^2)</f>
      </c>
      <c r="N2570" s="7">
        <f>(K2571-K2569)</f>
      </c>
      <c r="O2570" s="7">
        <f>+(L2571-L2569)</f>
      </c>
      <c r="P2570" s="7">
        <f>SQRT(O2570^2+N2570^2)</f>
      </c>
      <c r="Q2570" s="7">
        <f>N2570/$P2570</f>
      </c>
      <c r="R2570" s="7">
        <f>O2570/$P2570</f>
      </c>
      <c r="S2570" s="7">
        <f>Q2570^2+R2570^2</f>
      </c>
      <c r="T2570" s="7">
        <f>-R2570</f>
      </c>
      <c r="U2570" s="7">
        <f>Q2570</f>
      </c>
      <c r="V2570" s="7">
        <f>($C$14+($C$15-$C$14)/($D$15-$D$14)*(I2570-$D$14))/2</f>
      </c>
      <c r="W2570" s="7">
        <f>($B$22*I2570^4+$C$22*I2570^3+$D$22*I2570^2+$E$22*I2570+$F$22)/2</f>
      </c>
      <c r="X2570" s="7">
        <f>($W2570)*(T2570)</f>
      </c>
      <c r="Y2570" s="7">
        <f>($W2570)*(U2570)</f>
      </c>
      <c r="Z2570" s="7">
        <f>SQRT(X2570^2+Y2570^2)</f>
      </c>
      <c r="AA2570" s="7">
        <f>$K2570+$X2570</f>
      </c>
      <c r="AB2570" s="7">
        <f>$L2570+$Y2570</f>
      </c>
      <c r="AC2570" s="7">
        <f>$K2570-$X2570</f>
      </c>
      <c r="AD2570" s="7">
        <f>$L2570-$Y2570</f>
      </c>
      <c r="AE2570" s="7">
        <f>AA2570/39.3701</f>
      </c>
      <c r="AF2570" s="7">
        <f>AB2570/39.3701</f>
      </c>
      <c r="AG2570" s="7">
        <f>AC2570/39.3701</f>
      </c>
      <c r="AH2570" s="7">
        <f>AD2570/39.3701</f>
      </c>
      <c r="AI2570" s="1"/>
      <c r="AJ2570" s="1"/>
      <c r="AK2570" s="1"/>
      <c r="AL2570" s="1"/>
      <c r="AM2570" s="2"/>
      <c r="AN2570" s="1"/>
      <c r="AO2570" s="1"/>
      <c r="AP2570" s="1"/>
      <c r="AQ2570" s="1"/>
      <c r="AR2570" s="1"/>
      <c r="AS2570" s="1"/>
      <c r="AT2570" s="1"/>
      <c r="AU2570" s="1"/>
      <c r="AV2570" s="1"/>
      <c r="AW2570" s="1"/>
      <c r="AX2570" s="1"/>
      <c r="AY2570" s="1"/>
      <c r="AZ2570" s="1"/>
      <c r="BA2570" s="1"/>
      <c r="BB2570" s="1"/>
      <c r="BC2570" s="1"/>
      <c r="BD2570" s="1"/>
      <c r="BE2570" s="1"/>
    </row>
    <row x14ac:dyDescent="0.25" r="2571" customHeight="1" ht="18.75">
      <c r="A2571" s="1"/>
      <c r="B2571" s="2"/>
      <c r="C2571" s="2"/>
      <c r="D2571" s="2"/>
      <c r="E2571" s="2"/>
      <c r="F2571" s="2"/>
      <c r="G2571" s="1"/>
      <c r="H2571" s="1"/>
      <c r="I2571" s="7">
        <v>2.568</v>
      </c>
      <c r="J2571" s="7">
        <f>IF((I2571-ROUNDDOWN(I2571,0))=0, 0, (I2571-ROUNDDOWN(I2571,0)))</f>
      </c>
      <c r="K2571" s="7">
        <f>INDIRECT("C$"&amp;2+MIN(2,ROUNDDOWN(I2571,0))*3)*(-$J2571^3+3*$J2571^2-3*$J2571+1)+INDIRECT("C$"&amp;3+MIN(2,ROUNDDOWN(I2571,0))*3)*(3*$J2571^3-6*$J2571^2+3*$J2571)+INDIRECT("C$"&amp;4+MIN(2,ROUNDDOWN(I2571,0))*3)*(-3*$J2571^3+3*$J2571^2)+INDIRECT("C$"&amp;5+MIN(2,ROUNDDOWN(I2571,0))*3)*$J2571^3</f>
      </c>
      <c r="L2571" s="7">
        <f>INDIRECT("D$"&amp;2+MIN(2,ROUNDDOWN(I2571,0))*3)*(-$J2571^3+3*$J2571^2-3*$J2571+1)+INDIRECT("D$"&amp;3+MIN(2,ROUNDDOWN(I2571,0))*3)*(3*$J2571^3-6*$J2571^2+3*$J2571)+INDIRECT("D$"&amp;4+MIN(2,ROUNDDOWN(I2571,0))*3)*(-3*$J2571^3+3*$J2571^2)+INDIRECT("D$"&amp;5+MIN(2,ROUNDDOWN(I2571,0))*3)*$J2571^3</f>
      </c>
      <c r="M2571" s="7">
        <f>SQRT(K2571^2+L2571^2)</f>
      </c>
      <c r="N2571" s="7">
        <f>(K2572-K2570)</f>
      </c>
      <c r="O2571" s="7">
        <f>+(L2572-L2570)</f>
      </c>
      <c r="P2571" s="7">
        <f>SQRT(O2571^2+N2571^2)</f>
      </c>
      <c r="Q2571" s="7">
        <f>N2571/$P2571</f>
      </c>
      <c r="R2571" s="7">
        <f>O2571/$P2571</f>
      </c>
      <c r="S2571" s="8">
        <f>Q2571^2+R2571^2</f>
      </c>
      <c r="T2571" s="7">
        <f>-R2571</f>
      </c>
      <c r="U2571" s="7">
        <f>Q2571</f>
      </c>
      <c r="V2571" s="7">
        <f>($C$14+($C$15-$C$14)/($D$15-$D$14)*(I2571-$D$14))/2</f>
      </c>
      <c r="W2571" s="7">
        <f>($B$22*I2571^4+$C$22*I2571^3+$D$22*I2571^2+$E$22*I2571+$F$22)/2</f>
      </c>
      <c r="X2571" s="7">
        <f>($W2571)*(T2571)</f>
      </c>
      <c r="Y2571" s="7">
        <f>($W2571)*(U2571)</f>
      </c>
      <c r="Z2571" s="7">
        <f>SQRT(X2571^2+Y2571^2)</f>
      </c>
      <c r="AA2571" s="7">
        <f>$K2571+$X2571</f>
      </c>
      <c r="AB2571" s="7">
        <f>$L2571+$Y2571</f>
      </c>
      <c r="AC2571" s="7">
        <f>$K2571-$X2571</f>
      </c>
      <c r="AD2571" s="7">
        <f>$L2571-$Y2571</f>
      </c>
      <c r="AE2571" s="7">
        <f>AA2571/39.3701</f>
      </c>
      <c r="AF2571" s="7">
        <f>AB2571/39.3701</f>
      </c>
      <c r="AG2571" s="7">
        <f>AC2571/39.3701</f>
      </c>
      <c r="AH2571" s="7">
        <f>AD2571/39.3701</f>
      </c>
      <c r="AI2571" s="1"/>
      <c r="AJ2571" s="1"/>
      <c r="AK2571" s="1"/>
      <c r="AL2571" s="1"/>
      <c r="AM2571" s="2"/>
      <c r="AN2571" s="1"/>
      <c r="AO2571" s="1"/>
      <c r="AP2571" s="1"/>
      <c r="AQ2571" s="1"/>
      <c r="AR2571" s="1"/>
      <c r="AS2571" s="1"/>
      <c r="AT2571" s="1"/>
      <c r="AU2571" s="1"/>
      <c r="AV2571" s="1"/>
      <c r="AW2571" s="1"/>
      <c r="AX2571" s="1"/>
      <c r="AY2571" s="1"/>
      <c r="AZ2571" s="1"/>
      <c r="BA2571" s="1"/>
      <c r="BB2571" s="1"/>
      <c r="BC2571" s="1"/>
      <c r="BD2571" s="1"/>
      <c r="BE2571" s="1"/>
    </row>
    <row x14ac:dyDescent="0.25" r="2572" customHeight="1" ht="18.75">
      <c r="A2572" s="1"/>
      <c r="B2572" s="2"/>
      <c r="C2572" s="2"/>
      <c r="D2572" s="2"/>
      <c r="E2572" s="2"/>
      <c r="F2572" s="2"/>
      <c r="G2572" s="1"/>
      <c r="H2572" s="1"/>
      <c r="I2572" s="7">
        <v>2.569</v>
      </c>
      <c r="J2572" s="7">
        <f>IF((I2572-ROUNDDOWN(I2572,0))=0, 0, (I2572-ROUNDDOWN(I2572,0)))</f>
      </c>
      <c r="K2572" s="7">
        <f>INDIRECT("C$"&amp;2+MIN(2,ROUNDDOWN(I2572,0))*3)*(-$J2572^3+3*$J2572^2-3*$J2572+1)+INDIRECT("C$"&amp;3+MIN(2,ROUNDDOWN(I2572,0))*3)*(3*$J2572^3-6*$J2572^2+3*$J2572)+INDIRECT("C$"&amp;4+MIN(2,ROUNDDOWN(I2572,0))*3)*(-3*$J2572^3+3*$J2572^2)+INDIRECT("C$"&amp;5+MIN(2,ROUNDDOWN(I2572,0))*3)*$J2572^3</f>
      </c>
      <c r="L2572" s="7">
        <f>INDIRECT("D$"&amp;2+MIN(2,ROUNDDOWN(I2572,0))*3)*(-$J2572^3+3*$J2572^2-3*$J2572+1)+INDIRECT("D$"&amp;3+MIN(2,ROUNDDOWN(I2572,0))*3)*(3*$J2572^3-6*$J2572^2+3*$J2572)+INDIRECT("D$"&amp;4+MIN(2,ROUNDDOWN(I2572,0))*3)*(-3*$J2572^3+3*$J2572^2)+INDIRECT("D$"&amp;5+MIN(2,ROUNDDOWN(I2572,0))*3)*$J2572^3</f>
      </c>
      <c r="M2572" s="7">
        <f>SQRT(K2572^2+L2572^2)</f>
      </c>
      <c r="N2572" s="7">
        <f>(K2573-K2571)</f>
      </c>
      <c r="O2572" s="7">
        <f>+(L2573-L2571)</f>
      </c>
      <c r="P2572" s="7">
        <f>SQRT(O2572^2+N2572^2)</f>
      </c>
      <c r="Q2572" s="7">
        <f>N2572/$P2572</f>
      </c>
      <c r="R2572" s="7">
        <f>O2572/$P2572</f>
      </c>
      <c r="S2572" s="8">
        <f>Q2572^2+R2572^2</f>
      </c>
      <c r="T2572" s="7">
        <f>-R2572</f>
      </c>
      <c r="U2572" s="7">
        <f>Q2572</f>
      </c>
      <c r="V2572" s="7">
        <f>($C$14+($C$15-$C$14)/($D$15-$D$14)*(I2572-$D$14))/2</f>
      </c>
      <c r="W2572" s="7">
        <f>($B$22*I2572^4+$C$22*I2572^3+$D$22*I2572^2+$E$22*I2572+$F$22)/2</f>
      </c>
      <c r="X2572" s="7">
        <f>($W2572)*(T2572)</f>
      </c>
      <c r="Y2572" s="7">
        <f>($W2572)*(U2572)</f>
      </c>
      <c r="Z2572" s="7">
        <f>SQRT(X2572^2+Y2572^2)</f>
      </c>
      <c r="AA2572" s="7">
        <f>$K2572+$X2572</f>
      </c>
      <c r="AB2572" s="7">
        <f>$L2572+$Y2572</f>
      </c>
      <c r="AC2572" s="7">
        <f>$K2572-$X2572</f>
      </c>
      <c r="AD2572" s="7">
        <f>$L2572-$Y2572</f>
      </c>
      <c r="AE2572" s="7">
        <f>AA2572/39.3701</f>
      </c>
      <c r="AF2572" s="7">
        <f>AB2572/39.3701</f>
      </c>
      <c r="AG2572" s="7">
        <f>AC2572/39.3701</f>
      </c>
      <c r="AH2572" s="7">
        <f>AD2572/39.3701</f>
      </c>
      <c r="AI2572" s="1"/>
      <c r="AJ2572" s="1"/>
      <c r="AK2572" s="1"/>
      <c r="AL2572" s="1"/>
      <c r="AM2572" s="2"/>
      <c r="AN2572" s="1"/>
      <c r="AO2572" s="1"/>
      <c r="AP2572" s="1"/>
      <c r="AQ2572" s="1"/>
      <c r="AR2572" s="1"/>
      <c r="AS2572" s="1"/>
      <c r="AT2572" s="1"/>
      <c r="AU2572" s="1"/>
      <c r="AV2572" s="1"/>
      <c r="AW2572" s="1"/>
      <c r="AX2572" s="1"/>
      <c r="AY2572" s="1"/>
      <c r="AZ2572" s="1"/>
      <c r="BA2572" s="1"/>
      <c r="BB2572" s="1"/>
      <c r="BC2572" s="1"/>
      <c r="BD2572" s="1"/>
      <c r="BE2572" s="1"/>
    </row>
    <row x14ac:dyDescent="0.25" r="2573" customHeight="1" ht="18.75">
      <c r="A2573" s="1"/>
      <c r="B2573" s="2"/>
      <c r="C2573" s="2"/>
      <c r="D2573" s="2"/>
      <c r="E2573" s="2"/>
      <c r="F2573" s="2"/>
      <c r="G2573" s="1"/>
      <c r="H2573" s="1"/>
      <c r="I2573" s="7">
        <v>2.57</v>
      </c>
      <c r="J2573" s="7">
        <f>IF((I2573-ROUNDDOWN(I2573,0))=0, 0, (I2573-ROUNDDOWN(I2573,0)))</f>
      </c>
      <c r="K2573" s="7">
        <f>INDIRECT("C$"&amp;2+MIN(2,ROUNDDOWN(I2573,0))*3)*(-$J2573^3+3*$J2573^2-3*$J2573+1)+INDIRECT("C$"&amp;3+MIN(2,ROUNDDOWN(I2573,0))*3)*(3*$J2573^3-6*$J2573^2+3*$J2573)+INDIRECT("C$"&amp;4+MIN(2,ROUNDDOWN(I2573,0))*3)*(-3*$J2573^3+3*$J2573^2)+INDIRECT("C$"&amp;5+MIN(2,ROUNDDOWN(I2573,0))*3)*$J2573^3</f>
      </c>
      <c r="L2573" s="7">
        <f>INDIRECT("D$"&amp;2+MIN(2,ROUNDDOWN(I2573,0))*3)*(-$J2573^3+3*$J2573^2-3*$J2573+1)+INDIRECT("D$"&amp;3+MIN(2,ROUNDDOWN(I2573,0))*3)*(3*$J2573^3-6*$J2573^2+3*$J2573)+INDIRECT("D$"&amp;4+MIN(2,ROUNDDOWN(I2573,0))*3)*(-3*$J2573^3+3*$J2573^2)+INDIRECT("D$"&amp;5+MIN(2,ROUNDDOWN(I2573,0))*3)*$J2573^3</f>
      </c>
      <c r="M2573" s="7">
        <f>SQRT(K2573^2+L2573^2)</f>
      </c>
      <c r="N2573" s="7">
        <f>(K2574-K2572)</f>
      </c>
      <c r="O2573" s="7">
        <f>+(L2574-L2572)</f>
      </c>
      <c r="P2573" s="7">
        <f>SQRT(O2573^2+N2573^2)</f>
      </c>
      <c r="Q2573" s="7">
        <f>N2573/$P2573</f>
      </c>
      <c r="R2573" s="7">
        <f>O2573/$P2573</f>
      </c>
      <c r="S2573" s="8">
        <f>Q2573^2+R2573^2</f>
      </c>
      <c r="T2573" s="7">
        <f>-R2573</f>
      </c>
      <c r="U2573" s="7">
        <f>Q2573</f>
      </c>
      <c r="V2573" s="7">
        <f>($C$14+($C$15-$C$14)/($D$15-$D$14)*(I2573-$D$14))/2</f>
      </c>
      <c r="W2573" s="7">
        <f>($B$22*I2573^4+$C$22*I2573^3+$D$22*I2573^2+$E$22*I2573+$F$22)/2</f>
      </c>
      <c r="X2573" s="7">
        <f>($W2573)*(T2573)</f>
      </c>
      <c r="Y2573" s="7">
        <f>($W2573)*(U2573)</f>
      </c>
      <c r="Z2573" s="7">
        <f>SQRT(X2573^2+Y2573^2)</f>
      </c>
      <c r="AA2573" s="7">
        <f>$K2573+$X2573</f>
      </c>
      <c r="AB2573" s="7">
        <f>$L2573+$Y2573</f>
      </c>
      <c r="AC2573" s="7">
        <f>$K2573-$X2573</f>
      </c>
      <c r="AD2573" s="7">
        <f>$L2573-$Y2573</f>
      </c>
      <c r="AE2573" s="7">
        <f>AA2573/39.3701</f>
      </c>
      <c r="AF2573" s="7">
        <f>AB2573/39.3701</f>
      </c>
      <c r="AG2573" s="7">
        <f>AC2573/39.3701</f>
      </c>
      <c r="AH2573" s="7">
        <f>AD2573/39.3701</f>
      </c>
      <c r="AI2573" s="1"/>
      <c r="AJ2573" s="1"/>
      <c r="AK2573" s="1"/>
      <c r="AL2573" s="1"/>
      <c r="AM2573" s="2"/>
      <c r="AN2573" s="1"/>
      <c r="AO2573" s="1"/>
      <c r="AP2573" s="1"/>
      <c r="AQ2573" s="1"/>
      <c r="AR2573" s="1"/>
      <c r="AS2573" s="1"/>
      <c r="AT2573" s="1"/>
      <c r="AU2573" s="1"/>
      <c r="AV2573" s="1"/>
      <c r="AW2573" s="1"/>
      <c r="AX2573" s="1"/>
      <c r="AY2573" s="1"/>
      <c r="AZ2573" s="1"/>
      <c r="BA2573" s="1"/>
      <c r="BB2573" s="1"/>
      <c r="BC2573" s="1"/>
      <c r="BD2573" s="1"/>
      <c r="BE2573" s="1"/>
    </row>
    <row x14ac:dyDescent="0.25" r="2574" customHeight="1" ht="18.75">
      <c r="A2574" s="1"/>
      <c r="B2574" s="2"/>
      <c r="C2574" s="2"/>
      <c r="D2574" s="2"/>
      <c r="E2574" s="2"/>
      <c r="F2574" s="2"/>
      <c r="G2574" s="1"/>
      <c r="H2574" s="1"/>
      <c r="I2574" s="7">
        <v>2.571</v>
      </c>
      <c r="J2574" s="7">
        <f>IF((I2574-ROUNDDOWN(I2574,0))=0, 0, (I2574-ROUNDDOWN(I2574,0)))</f>
      </c>
      <c r="K2574" s="7">
        <f>INDIRECT("C$"&amp;2+MIN(2,ROUNDDOWN(I2574,0))*3)*(-$J2574^3+3*$J2574^2-3*$J2574+1)+INDIRECT("C$"&amp;3+MIN(2,ROUNDDOWN(I2574,0))*3)*(3*$J2574^3-6*$J2574^2+3*$J2574)+INDIRECT("C$"&amp;4+MIN(2,ROUNDDOWN(I2574,0))*3)*(-3*$J2574^3+3*$J2574^2)+INDIRECT("C$"&amp;5+MIN(2,ROUNDDOWN(I2574,0))*3)*$J2574^3</f>
      </c>
      <c r="L2574" s="7">
        <f>INDIRECT("D$"&amp;2+MIN(2,ROUNDDOWN(I2574,0))*3)*(-$J2574^3+3*$J2574^2-3*$J2574+1)+INDIRECT("D$"&amp;3+MIN(2,ROUNDDOWN(I2574,0))*3)*(3*$J2574^3-6*$J2574^2+3*$J2574)+INDIRECT("D$"&amp;4+MIN(2,ROUNDDOWN(I2574,0))*3)*(-3*$J2574^3+3*$J2574^2)+INDIRECT("D$"&amp;5+MIN(2,ROUNDDOWN(I2574,0))*3)*$J2574^3</f>
      </c>
      <c r="M2574" s="7">
        <f>SQRT(K2574^2+L2574^2)</f>
      </c>
      <c r="N2574" s="7">
        <f>(K2575-K2573)</f>
      </c>
      <c r="O2574" s="7">
        <f>+(L2575-L2573)</f>
      </c>
      <c r="P2574" s="7">
        <f>SQRT(O2574^2+N2574^2)</f>
      </c>
      <c r="Q2574" s="7">
        <f>N2574/$P2574</f>
      </c>
      <c r="R2574" s="7">
        <f>O2574/$P2574</f>
      </c>
      <c r="S2574" s="8">
        <f>Q2574^2+R2574^2</f>
      </c>
      <c r="T2574" s="7">
        <f>-R2574</f>
      </c>
      <c r="U2574" s="7">
        <f>Q2574</f>
      </c>
      <c r="V2574" s="7">
        <f>($C$14+($C$15-$C$14)/($D$15-$D$14)*(I2574-$D$14))/2</f>
      </c>
      <c r="W2574" s="7">
        <f>($B$22*I2574^4+$C$22*I2574^3+$D$22*I2574^2+$E$22*I2574+$F$22)/2</f>
      </c>
      <c r="X2574" s="7">
        <f>($W2574)*(T2574)</f>
      </c>
      <c r="Y2574" s="7">
        <f>($W2574)*(U2574)</f>
      </c>
      <c r="Z2574" s="7">
        <f>SQRT(X2574^2+Y2574^2)</f>
      </c>
      <c r="AA2574" s="7">
        <f>$K2574+$X2574</f>
      </c>
      <c r="AB2574" s="7">
        <f>$L2574+$Y2574</f>
      </c>
      <c r="AC2574" s="7">
        <f>$K2574-$X2574</f>
      </c>
      <c r="AD2574" s="7">
        <f>$L2574-$Y2574</f>
      </c>
      <c r="AE2574" s="7">
        <f>AA2574/39.3701</f>
      </c>
      <c r="AF2574" s="7">
        <f>AB2574/39.3701</f>
      </c>
      <c r="AG2574" s="7">
        <f>AC2574/39.3701</f>
      </c>
      <c r="AH2574" s="7">
        <f>AD2574/39.3701</f>
      </c>
      <c r="AI2574" s="1"/>
      <c r="AJ2574" s="1"/>
      <c r="AK2574" s="1"/>
      <c r="AL2574" s="1"/>
      <c r="AM2574" s="2"/>
      <c r="AN2574" s="1"/>
      <c r="AO2574" s="1"/>
      <c r="AP2574" s="1"/>
      <c r="AQ2574" s="1"/>
      <c r="AR2574" s="1"/>
      <c r="AS2574" s="1"/>
      <c r="AT2574" s="1"/>
      <c r="AU2574" s="1"/>
      <c r="AV2574" s="1"/>
      <c r="AW2574" s="1"/>
      <c r="AX2574" s="1"/>
      <c r="AY2574" s="1"/>
      <c r="AZ2574" s="1"/>
      <c r="BA2574" s="1"/>
      <c r="BB2574" s="1"/>
      <c r="BC2574" s="1"/>
      <c r="BD2574" s="1"/>
      <c r="BE2574" s="1"/>
    </row>
    <row x14ac:dyDescent="0.25" r="2575" customHeight="1" ht="18.75">
      <c r="A2575" s="1"/>
      <c r="B2575" s="2"/>
      <c r="C2575" s="2"/>
      <c r="D2575" s="2"/>
      <c r="E2575" s="2"/>
      <c r="F2575" s="2"/>
      <c r="G2575" s="1"/>
      <c r="H2575" s="1"/>
      <c r="I2575" s="7">
        <v>2.572</v>
      </c>
      <c r="J2575" s="7">
        <f>IF((I2575-ROUNDDOWN(I2575,0))=0, 0, (I2575-ROUNDDOWN(I2575,0)))</f>
      </c>
      <c r="K2575" s="7">
        <f>INDIRECT("C$"&amp;2+MIN(2,ROUNDDOWN(I2575,0))*3)*(-$J2575^3+3*$J2575^2-3*$J2575+1)+INDIRECT("C$"&amp;3+MIN(2,ROUNDDOWN(I2575,0))*3)*(3*$J2575^3-6*$J2575^2+3*$J2575)+INDIRECT("C$"&amp;4+MIN(2,ROUNDDOWN(I2575,0))*3)*(-3*$J2575^3+3*$J2575^2)+INDIRECT("C$"&amp;5+MIN(2,ROUNDDOWN(I2575,0))*3)*$J2575^3</f>
      </c>
      <c r="L2575" s="7">
        <f>INDIRECT("D$"&amp;2+MIN(2,ROUNDDOWN(I2575,0))*3)*(-$J2575^3+3*$J2575^2-3*$J2575+1)+INDIRECT("D$"&amp;3+MIN(2,ROUNDDOWN(I2575,0))*3)*(3*$J2575^3-6*$J2575^2+3*$J2575)+INDIRECT("D$"&amp;4+MIN(2,ROUNDDOWN(I2575,0))*3)*(-3*$J2575^3+3*$J2575^2)+INDIRECT("D$"&amp;5+MIN(2,ROUNDDOWN(I2575,0))*3)*$J2575^3</f>
      </c>
      <c r="M2575" s="7">
        <f>SQRT(K2575^2+L2575^2)</f>
      </c>
      <c r="N2575" s="7">
        <f>(K2576-K2574)</f>
      </c>
      <c r="O2575" s="7">
        <f>+(L2576-L2574)</f>
      </c>
      <c r="P2575" s="7">
        <f>SQRT(O2575^2+N2575^2)</f>
      </c>
      <c r="Q2575" s="7">
        <f>N2575/$P2575</f>
      </c>
      <c r="R2575" s="7">
        <f>O2575/$P2575</f>
      </c>
      <c r="S2575" s="7">
        <f>Q2575^2+R2575^2</f>
      </c>
      <c r="T2575" s="7">
        <f>-R2575</f>
      </c>
      <c r="U2575" s="7">
        <f>Q2575</f>
      </c>
      <c r="V2575" s="7">
        <f>($C$14+($C$15-$C$14)/($D$15-$D$14)*(I2575-$D$14))/2</f>
      </c>
      <c r="W2575" s="7">
        <f>($B$22*I2575^4+$C$22*I2575^3+$D$22*I2575^2+$E$22*I2575+$F$22)/2</f>
      </c>
      <c r="X2575" s="7">
        <f>($W2575)*(T2575)</f>
      </c>
      <c r="Y2575" s="7">
        <f>($W2575)*(U2575)</f>
      </c>
      <c r="Z2575" s="7">
        <f>SQRT(X2575^2+Y2575^2)</f>
      </c>
      <c r="AA2575" s="7">
        <f>$K2575+$X2575</f>
      </c>
      <c r="AB2575" s="7">
        <f>$L2575+$Y2575</f>
      </c>
      <c r="AC2575" s="7">
        <f>$K2575-$X2575</f>
      </c>
      <c r="AD2575" s="7">
        <f>$L2575-$Y2575</f>
      </c>
      <c r="AE2575" s="7">
        <f>AA2575/39.3701</f>
      </c>
      <c r="AF2575" s="7">
        <f>AB2575/39.3701</f>
      </c>
      <c r="AG2575" s="7">
        <f>AC2575/39.3701</f>
      </c>
      <c r="AH2575" s="7">
        <f>AD2575/39.3701</f>
      </c>
      <c r="AI2575" s="1"/>
      <c r="AJ2575" s="1"/>
      <c r="AK2575" s="1"/>
      <c r="AL2575" s="1"/>
      <c r="AM2575" s="2"/>
      <c r="AN2575" s="1"/>
      <c r="AO2575" s="1"/>
      <c r="AP2575" s="1"/>
      <c r="AQ2575" s="1"/>
      <c r="AR2575" s="1"/>
      <c r="AS2575" s="1"/>
      <c r="AT2575" s="1"/>
      <c r="AU2575" s="1"/>
      <c r="AV2575" s="1"/>
      <c r="AW2575" s="1"/>
      <c r="AX2575" s="1"/>
      <c r="AY2575" s="1"/>
      <c r="AZ2575" s="1"/>
      <c r="BA2575" s="1"/>
      <c r="BB2575" s="1"/>
      <c r="BC2575" s="1"/>
      <c r="BD2575" s="1"/>
      <c r="BE2575" s="1"/>
    </row>
    <row x14ac:dyDescent="0.25" r="2576" customHeight="1" ht="18.75">
      <c r="A2576" s="1"/>
      <c r="B2576" s="2"/>
      <c r="C2576" s="2"/>
      <c r="D2576" s="2"/>
      <c r="E2576" s="2"/>
      <c r="F2576" s="2"/>
      <c r="G2576" s="1"/>
      <c r="H2576" s="1"/>
      <c r="I2576" s="7">
        <v>2.573</v>
      </c>
      <c r="J2576" s="7">
        <f>IF((I2576-ROUNDDOWN(I2576,0))=0, 0, (I2576-ROUNDDOWN(I2576,0)))</f>
      </c>
      <c r="K2576" s="7">
        <f>INDIRECT("C$"&amp;2+MIN(2,ROUNDDOWN(I2576,0))*3)*(-$J2576^3+3*$J2576^2-3*$J2576+1)+INDIRECT("C$"&amp;3+MIN(2,ROUNDDOWN(I2576,0))*3)*(3*$J2576^3-6*$J2576^2+3*$J2576)+INDIRECT("C$"&amp;4+MIN(2,ROUNDDOWN(I2576,0))*3)*(-3*$J2576^3+3*$J2576^2)+INDIRECT("C$"&amp;5+MIN(2,ROUNDDOWN(I2576,0))*3)*$J2576^3</f>
      </c>
      <c r="L2576" s="7">
        <f>INDIRECT("D$"&amp;2+MIN(2,ROUNDDOWN(I2576,0))*3)*(-$J2576^3+3*$J2576^2-3*$J2576+1)+INDIRECT("D$"&amp;3+MIN(2,ROUNDDOWN(I2576,0))*3)*(3*$J2576^3-6*$J2576^2+3*$J2576)+INDIRECT("D$"&amp;4+MIN(2,ROUNDDOWN(I2576,0))*3)*(-3*$J2576^3+3*$J2576^2)+INDIRECT("D$"&amp;5+MIN(2,ROUNDDOWN(I2576,0))*3)*$J2576^3</f>
      </c>
      <c r="M2576" s="7">
        <f>SQRT(K2576^2+L2576^2)</f>
      </c>
      <c r="N2576" s="7">
        <f>(K2577-K2575)</f>
      </c>
      <c r="O2576" s="7">
        <f>+(L2577-L2575)</f>
      </c>
      <c r="P2576" s="7">
        <f>SQRT(O2576^2+N2576^2)</f>
      </c>
      <c r="Q2576" s="7">
        <f>N2576/$P2576</f>
      </c>
      <c r="R2576" s="7">
        <f>O2576/$P2576</f>
      </c>
      <c r="S2576" s="7">
        <f>Q2576^2+R2576^2</f>
      </c>
      <c r="T2576" s="7">
        <f>-R2576</f>
      </c>
      <c r="U2576" s="7">
        <f>Q2576</f>
      </c>
      <c r="V2576" s="7">
        <f>($C$14+($C$15-$C$14)/($D$15-$D$14)*(I2576-$D$14))/2</f>
      </c>
      <c r="W2576" s="7">
        <f>($B$22*I2576^4+$C$22*I2576^3+$D$22*I2576^2+$E$22*I2576+$F$22)/2</f>
      </c>
      <c r="X2576" s="7">
        <f>($W2576)*(T2576)</f>
      </c>
      <c r="Y2576" s="7">
        <f>($W2576)*(U2576)</f>
      </c>
      <c r="Z2576" s="7">
        <f>SQRT(X2576^2+Y2576^2)</f>
      </c>
      <c r="AA2576" s="7">
        <f>$K2576+$X2576</f>
      </c>
      <c r="AB2576" s="7">
        <f>$L2576+$Y2576</f>
      </c>
      <c r="AC2576" s="7">
        <f>$K2576-$X2576</f>
      </c>
      <c r="AD2576" s="7">
        <f>$L2576-$Y2576</f>
      </c>
      <c r="AE2576" s="7">
        <f>AA2576/39.3701</f>
      </c>
      <c r="AF2576" s="7">
        <f>AB2576/39.3701</f>
      </c>
      <c r="AG2576" s="7">
        <f>AC2576/39.3701</f>
      </c>
      <c r="AH2576" s="7">
        <f>AD2576/39.3701</f>
      </c>
      <c r="AI2576" s="1"/>
      <c r="AJ2576" s="1"/>
      <c r="AK2576" s="1"/>
      <c r="AL2576" s="1"/>
      <c r="AM2576" s="2"/>
      <c r="AN2576" s="1"/>
      <c r="AO2576" s="1"/>
      <c r="AP2576" s="1"/>
      <c r="AQ2576" s="1"/>
      <c r="AR2576" s="1"/>
      <c r="AS2576" s="1"/>
      <c r="AT2576" s="1"/>
      <c r="AU2576" s="1"/>
      <c r="AV2576" s="1"/>
      <c r="AW2576" s="1"/>
      <c r="AX2576" s="1"/>
      <c r="AY2576" s="1"/>
      <c r="AZ2576" s="1"/>
      <c r="BA2576" s="1"/>
      <c r="BB2576" s="1"/>
      <c r="BC2576" s="1"/>
      <c r="BD2576" s="1"/>
      <c r="BE2576" s="1"/>
    </row>
    <row x14ac:dyDescent="0.25" r="2577" customHeight="1" ht="18.75">
      <c r="A2577" s="1"/>
      <c r="B2577" s="2"/>
      <c r="C2577" s="2"/>
      <c r="D2577" s="2"/>
      <c r="E2577" s="2"/>
      <c r="F2577" s="2"/>
      <c r="G2577" s="1"/>
      <c r="H2577" s="1"/>
      <c r="I2577" s="7">
        <v>2.574</v>
      </c>
      <c r="J2577" s="7">
        <f>IF((I2577-ROUNDDOWN(I2577,0))=0, 0, (I2577-ROUNDDOWN(I2577,0)))</f>
      </c>
      <c r="K2577" s="7">
        <f>INDIRECT("C$"&amp;2+MIN(2,ROUNDDOWN(I2577,0))*3)*(-$J2577^3+3*$J2577^2-3*$J2577+1)+INDIRECT("C$"&amp;3+MIN(2,ROUNDDOWN(I2577,0))*3)*(3*$J2577^3-6*$J2577^2+3*$J2577)+INDIRECT("C$"&amp;4+MIN(2,ROUNDDOWN(I2577,0))*3)*(-3*$J2577^3+3*$J2577^2)+INDIRECT("C$"&amp;5+MIN(2,ROUNDDOWN(I2577,0))*3)*$J2577^3</f>
      </c>
      <c r="L2577" s="7">
        <f>INDIRECT("D$"&amp;2+MIN(2,ROUNDDOWN(I2577,0))*3)*(-$J2577^3+3*$J2577^2-3*$J2577+1)+INDIRECT("D$"&amp;3+MIN(2,ROUNDDOWN(I2577,0))*3)*(3*$J2577^3-6*$J2577^2+3*$J2577)+INDIRECT("D$"&amp;4+MIN(2,ROUNDDOWN(I2577,0))*3)*(-3*$J2577^3+3*$J2577^2)+INDIRECT("D$"&amp;5+MIN(2,ROUNDDOWN(I2577,0))*3)*$J2577^3</f>
      </c>
      <c r="M2577" s="7">
        <f>SQRT(K2577^2+L2577^2)</f>
      </c>
      <c r="N2577" s="7">
        <f>(K2578-K2576)</f>
      </c>
      <c r="O2577" s="7">
        <f>+(L2578-L2576)</f>
      </c>
      <c r="P2577" s="7">
        <f>SQRT(O2577^2+N2577^2)</f>
      </c>
      <c r="Q2577" s="7">
        <f>N2577/$P2577</f>
      </c>
      <c r="R2577" s="7">
        <f>O2577/$P2577</f>
      </c>
      <c r="S2577" s="7">
        <f>Q2577^2+R2577^2</f>
      </c>
      <c r="T2577" s="7">
        <f>-R2577</f>
      </c>
      <c r="U2577" s="7">
        <f>Q2577</f>
      </c>
      <c r="V2577" s="7">
        <f>($C$14+($C$15-$C$14)/($D$15-$D$14)*(I2577-$D$14))/2</f>
      </c>
      <c r="W2577" s="7">
        <f>($B$22*I2577^4+$C$22*I2577^3+$D$22*I2577^2+$E$22*I2577+$F$22)/2</f>
      </c>
      <c r="X2577" s="7">
        <f>($W2577)*(T2577)</f>
      </c>
      <c r="Y2577" s="7">
        <f>($W2577)*(U2577)</f>
      </c>
      <c r="Z2577" s="7">
        <f>SQRT(X2577^2+Y2577^2)</f>
      </c>
      <c r="AA2577" s="7">
        <f>$K2577+$X2577</f>
      </c>
      <c r="AB2577" s="7">
        <f>$L2577+$Y2577</f>
      </c>
      <c r="AC2577" s="7">
        <f>$K2577-$X2577</f>
      </c>
      <c r="AD2577" s="7">
        <f>$L2577-$Y2577</f>
      </c>
      <c r="AE2577" s="7">
        <f>AA2577/39.3701</f>
      </c>
      <c r="AF2577" s="7">
        <f>AB2577/39.3701</f>
      </c>
      <c r="AG2577" s="7">
        <f>AC2577/39.3701</f>
      </c>
      <c r="AH2577" s="7">
        <f>AD2577/39.3701</f>
      </c>
      <c r="AI2577" s="1"/>
      <c r="AJ2577" s="1"/>
      <c r="AK2577" s="1"/>
      <c r="AL2577" s="1"/>
      <c r="AM2577" s="2"/>
      <c r="AN2577" s="1"/>
      <c r="AO2577" s="1"/>
      <c r="AP2577" s="1"/>
      <c r="AQ2577" s="1"/>
      <c r="AR2577" s="1"/>
      <c r="AS2577" s="1"/>
      <c r="AT2577" s="1"/>
      <c r="AU2577" s="1"/>
      <c r="AV2577" s="1"/>
      <c r="AW2577" s="1"/>
      <c r="AX2577" s="1"/>
      <c r="AY2577" s="1"/>
      <c r="AZ2577" s="1"/>
      <c r="BA2577" s="1"/>
      <c r="BB2577" s="1"/>
      <c r="BC2577" s="1"/>
      <c r="BD2577" s="1"/>
      <c r="BE2577" s="1"/>
    </row>
    <row x14ac:dyDescent="0.25" r="2578" customHeight="1" ht="18.75">
      <c r="A2578" s="1"/>
      <c r="B2578" s="2"/>
      <c r="C2578" s="2"/>
      <c r="D2578" s="2"/>
      <c r="E2578" s="2"/>
      <c r="F2578" s="2"/>
      <c r="G2578" s="1"/>
      <c r="H2578" s="1"/>
      <c r="I2578" s="7">
        <v>2.575</v>
      </c>
      <c r="J2578" s="7">
        <f>IF((I2578-ROUNDDOWN(I2578,0))=0, 0, (I2578-ROUNDDOWN(I2578,0)))</f>
      </c>
      <c r="K2578" s="7">
        <f>INDIRECT("C$"&amp;2+MIN(2,ROUNDDOWN(I2578,0))*3)*(-$J2578^3+3*$J2578^2-3*$J2578+1)+INDIRECT("C$"&amp;3+MIN(2,ROUNDDOWN(I2578,0))*3)*(3*$J2578^3-6*$J2578^2+3*$J2578)+INDIRECT("C$"&amp;4+MIN(2,ROUNDDOWN(I2578,0))*3)*(-3*$J2578^3+3*$J2578^2)+INDIRECT("C$"&amp;5+MIN(2,ROUNDDOWN(I2578,0))*3)*$J2578^3</f>
      </c>
      <c r="L2578" s="7">
        <f>INDIRECT("D$"&amp;2+MIN(2,ROUNDDOWN(I2578,0))*3)*(-$J2578^3+3*$J2578^2-3*$J2578+1)+INDIRECT("D$"&amp;3+MIN(2,ROUNDDOWN(I2578,0))*3)*(3*$J2578^3-6*$J2578^2+3*$J2578)+INDIRECT("D$"&amp;4+MIN(2,ROUNDDOWN(I2578,0))*3)*(-3*$J2578^3+3*$J2578^2)+INDIRECT("D$"&amp;5+MIN(2,ROUNDDOWN(I2578,0))*3)*$J2578^3</f>
      </c>
      <c r="M2578" s="7">
        <f>SQRT(K2578^2+L2578^2)</f>
      </c>
      <c r="N2578" s="7">
        <f>(K2579-K2577)</f>
      </c>
      <c r="O2578" s="7">
        <f>+(L2579-L2577)</f>
      </c>
      <c r="P2578" s="7">
        <f>SQRT(O2578^2+N2578^2)</f>
      </c>
      <c r="Q2578" s="7">
        <f>N2578/$P2578</f>
      </c>
      <c r="R2578" s="7">
        <f>O2578/$P2578</f>
      </c>
      <c r="S2578" s="8">
        <f>Q2578^2+R2578^2</f>
      </c>
      <c r="T2578" s="7">
        <f>-R2578</f>
      </c>
      <c r="U2578" s="7">
        <f>Q2578</f>
      </c>
      <c r="V2578" s="7">
        <f>($C$14+($C$15-$C$14)/($D$15-$D$14)*(I2578-$D$14))/2</f>
      </c>
      <c r="W2578" s="7">
        <f>($B$22*I2578^4+$C$22*I2578^3+$D$22*I2578^2+$E$22*I2578+$F$22)/2</f>
      </c>
      <c r="X2578" s="7">
        <f>($W2578)*(T2578)</f>
      </c>
      <c r="Y2578" s="7">
        <f>($W2578)*(U2578)</f>
      </c>
      <c r="Z2578" s="7">
        <f>SQRT(X2578^2+Y2578^2)</f>
      </c>
      <c r="AA2578" s="7">
        <f>$K2578+$X2578</f>
      </c>
      <c r="AB2578" s="7">
        <f>$L2578+$Y2578</f>
      </c>
      <c r="AC2578" s="7">
        <f>$K2578-$X2578</f>
      </c>
      <c r="AD2578" s="7">
        <f>$L2578-$Y2578</f>
      </c>
      <c r="AE2578" s="7">
        <f>AA2578/39.3701</f>
      </c>
      <c r="AF2578" s="7">
        <f>AB2578/39.3701</f>
      </c>
      <c r="AG2578" s="7">
        <f>AC2578/39.3701</f>
      </c>
      <c r="AH2578" s="7">
        <f>AD2578/39.3701</f>
      </c>
      <c r="AI2578" s="1"/>
      <c r="AJ2578" s="1"/>
      <c r="AK2578" s="1"/>
      <c r="AL2578" s="1"/>
      <c r="AM2578" s="2"/>
      <c r="AN2578" s="1"/>
      <c r="AO2578" s="1"/>
      <c r="AP2578" s="1"/>
      <c r="AQ2578" s="1"/>
      <c r="AR2578" s="1"/>
      <c r="AS2578" s="1"/>
      <c r="AT2578" s="1"/>
      <c r="AU2578" s="1"/>
      <c r="AV2578" s="1"/>
      <c r="AW2578" s="1"/>
      <c r="AX2578" s="1"/>
      <c r="AY2578" s="1"/>
      <c r="AZ2578" s="1"/>
      <c r="BA2578" s="1"/>
      <c r="BB2578" s="1"/>
      <c r="BC2578" s="1"/>
      <c r="BD2578" s="1"/>
      <c r="BE2578" s="1"/>
    </row>
    <row x14ac:dyDescent="0.25" r="2579" customHeight="1" ht="18.75">
      <c r="A2579" s="1"/>
      <c r="B2579" s="2"/>
      <c r="C2579" s="2"/>
      <c r="D2579" s="2"/>
      <c r="E2579" s="2"/>
      <c r="F2579" s="2"/>
      <c r="G2579" s="1"/>
      <c r="H2579" s="1"/>
      <c r="I2579" s="7">
        <v>2.576</v>
      </c>
      <c r="J2579" s="7">
        <f>IF((I2579-ROUNDDOWN(I2579,0))=0, 0, (I2579-ROUNDDOWN(I2579,0)))</f>
      </c>
      <c r="K2579" s="7">
        <f>INDIRECT("C$"&amp;2+MIN(2,ROUNDDOWN(I2579,0))*3)*(-$J2579^3+3*$J2579^2-3*$J2579+1)+INDIRECT("C$"&amp;3+MIN(2,ROUNDDOWN(I2579,0))*3)*(3*$J2579^3-6*$J2579^2+3*$J2579)+INDIRECT("C$"&amp;4+MIN(2,ROUNDDOWN(I2579,0))*3)*(-3*$J2579^3+3*$J2579^2)+INDIRECT("C$"&amp;5+MIN(2,ROUNDDOWN(I2579,0))*3)*$J2579^3</f>
      </c>
      <c r="L2579" s="7">
        <f>INDIRECT("D$"&amp;2+MIN(2,ROUNDDOWN(I2579,0))*3)*(-$J2579^3+3*$J2579^2-3*$J2579+1)+INDIRECT("D$"&amp;3+MIN(2,ROUNDDOWN(I2579,0))*3)*(3*$J2579^3-6*$J2579^2+3*$J2579)+INDIRECT("D$"&amp;4+MIN(2,ROUNDDOWN(I2579,0))*3)*(-3*$J2579^3+3*$J2579^2)+INDIRECT("D$"&amp;5+MIN(2,ROUNDDOWN(I2579,0))*3)*$J2579^3</f>
      </c>
      <c r="M2579" s="7">
        <f>SQRT(K2579^2+L2579^2)</f>
      </c>
      <c r="N2579" s="7">
        <f>(K2580-K2578)</f>
      </c>
      <c r="O2579" s="7">
        <f>+(L2580-L2578)</f>
      </c>
      <c r="P2579" s="7">
        <f>SQRT(O2579^2+N2579^2)</f>
      </c>
      <c r="Q2579" s="7">
        <f>N2579/$P2579</f>
      </c>
      <c r="R2579" s="7">
        <f>O2579/$P2579</f>
      </c>
      <c r="S2579" s="7">
        <f>Q2579^2+R2579^2</f>
      </c>
      <c r="T2579" s="7">
        <f>-R2579</f>
      </c>
      <c r="U2579" s="7">
        <f>Q2579</f>
      </c>
      <c r="V2579" s="7">
        <f>($C$14+($C$15-$C$14)/($D$15-$D$14)*(I2579-$D$14))/2</f>
      </c>
      <c r="W2579" s="7">
        <f>($B$22*I2579^4+$C$22*I2579^3+$D$22*I2579^2+$E$22*I2579+$F$22)/2</f>
      </c>
      <c r="X2579" s="7">
        <f>($W2579)*(T2579)</f>
      </c>
      <c r="Y2579" s="7">
        <f>($W2579)*(U2579)</f>
      </c>
      <c r="Z2579" s="7">
        <f>SQRT(X2579^2+Y2579^2)</f>
      </c>
      <c r="AA2579" s="7">
        <f>$K2579+$X2579</f>
      </c>
      <c r="AB2579" s="7">
        <f>$L2579+$Y2579</f>
      </c>
      <c r="AC2579" s="7">
        <f>$K2579-$X2579</f>
      </c>
      <c r="AD2579" s="7">
        <f>$L2579-$Y2579</f>
      </c>
      <c r="AE2579" s="7">
        <f>AA2579/39.3701</f>
      </c>
      <c r="AF2579" s="7">
        <f>AB2579/39.3701</f>
      </c>
      <c r="AG2579" s="7">
        <f>AC2579/39.3701</f>
      </c>
      <c r="AH2579" s="7">
        <f>AD2579/39.3701</f>
      </c>
      <c r="AI2579" s="1"/>
      <c r="AJ2579" s="1"/>
      <c r="AK2579" s="1"/>
      <c r="AL2579" s="1"/>
      <c r="AM2579" s="2"/>
      <c r="AN2579" s="1"/>
      <c r="AO2579" s="1"/>
      <c r="AP2579" s="1"/>
      <c r="AQ2579" s="1"/>
      <c r="AR2579" s="1"/>
      <c r="AS2579" s="1"/>
      <c r="AT2579" s="1"/>
      <c r="AU2579" s="1"/>
      <c r="AV2579" s="1"/>
      <c r="AW2579" s="1"/>
      <c r="AX2579" s="1"/>
      <c r="AY2579" s="1"/>
      <c r="AZ2579" s="1"/>
      <c r="BA2579" s="1"/>
      <c r="BB2579" s="1"/>
      <c r="BC2579" s="1"/>
      <c r="BD2579" s="1"/>
      <c r="BE2579" s="1"/>
    </row>
    <row x14ac:dyDescent="0.25" r="2580" customHeight="1" ht="18.75">
      <c r="A2580" s="1"/>
      <c r="B2580" s="2"/>
      <c r="C2580" s="2"/>
      <c r="D2580" s="2"/>
      <c r="E2580" s="2"/>
      <c r="F2580" s="2"/>
      <c r="G2580" s="1"/>
      <c r="H2580" s="1"/>
      <c r="I2580" s="7">
        <v>2.577</v>
      </c>
      <c r="J2580" s="7">
        <f>IF((I2580-ROUNDDOWN(I2580,0))=0, 0, (I2580-ROUNDDOWN(I2580,0)))</f>
      </c>
      <c r="K2580" s="7">
        <f>INDIRECT("C$"&amp;2+MIN(2,ROUNDDOWN(I2580,0))*3)*(-$J2580^3+3*$J2580^2-3*$J2580+1)+INDIRECT("C$"&amp;3+MIN(2,ROUNDDOWN(I2580,0))*3)*(3*$J2580^3-6*$J2580^2+3*$J2580)+INDIRECT("C$"&amp;4+MIN(2,ROUNDDOWN(I2580,0))*3)*(-3*$J2580^3+3*$J2580^2)+INDIRECT("C$"&amp;5+MIN(2,ROUNDDOWN(I2580,0))*3)*$J2580^3</f>
      </c>
      <c r="L2580" s="7">
        <f>INDIRECT("D$"&amp;2+MIN(2,ROUNDDOWN(I2580,0))*3)*(-$J2580^3+3*$J2580^2-3*$J2580+1)+INDIRECT("D$"&amp;3+MIN(2,ROUNDDOWN(I2580,0))*3)*(3*$J2580^3-6*$J2580^2+3*$J2580)+INDIRECT("D$"&amp;4+MIN(2,ROUNDDOWN(I2580,0))*3)*(-3*$J2580^3+3*$J2580^2)+INDIRECT("D$"&amp;5+MIN(2,ROUNDDOWN(I2580,0))*3)*$J2580^3</f>
      </c>
      <c r="M2580" s="7">
        <f>SQRT(K2580^2+L2580^2)</f>
      </c>
      <c r="N2580" s="7">
        <f>(K2581-K2579)</f>
      </c>
      <c r="O2580" s="7">
        <f>+(L2581-L2579)</f>
      </c>
      <c r="P2580" s="7">
        <f>SQRT(O2580^2+N2580^2)</f>
      </c>
      <c r="Q2580" s="7">
        <f>N2580/$P2580</f>
      </c>
      <c r="R2580" s="7">
        <f>O2580/$P2580</f>
      </c>
      <c r="S2580" s="7">
        <f>Q2580^2+R2580^2</f>
      </c>
      <c r="T2580" s="7">
        <f>-R2580</f>
      </c>
      <c r="U2580" s="7">
        <f>Q2580</f>
      </c>
      <c r="V2580" s="7">
        <f>($C$14+($C$15-$C$14)/($D$15-$D$14)*(I2580-$D$14))/2</f>
      </c>
      <c r="W2580" s="7">
        <f>($B$22*I2580^4+$C$22*I2580^3+$D$22*I2580^2+$E$22*I2580+$F$22)/2</f>
      </c>
      <c r="X2580" s="7">
        <f>($W2580)*(T2580)</f>
      </c>
      <c r="Y2580" s="7">
        <f>($W2580)*(U2580)</f>
      </c>
      <c r="Z2580" s="7">
        <f>SQRT(X2580^2+Y2580^2)</f>
      </c>
      <c r="AA2580" s="7">
        <f>$K2580+$X2580</f>
      </c>
      <c r="AB2580" s="7">
        <f>$L2580+$Y2580</f>
      </c>
      <c r="AC2580" s="7">
        <f>$K2580-$X2580</f>
      </c>
      <c r="AD2580" s="7">
        <f>$L2580-$Y2580</f>
      </c>
      <c r="AE2580" s="7">
        <f>AA2580/39.3701</f>
      </c>
      <c r="AF2580" s="7">
        <f>AB2580/39.3701</f>
      </c>
      <c r="AG2580" s="7">
        <f>AC2580/39.3701</f>
      </c>
      <c r="AH2580" s="7">
        <f>AD2580/39.3701</f>
      </c>
      <c r="AI2580" s="1"/>
      <c r="AJ2580" s="1"/>
      <c r="AK2580" s="1"/>
      <c r="AL2580" s="1"/>
      <c r="AM2580" s="2"/>
      <c r="AN2580" s="1"/>
      <c r="AO2580" s="1"/>
      <c r="AP2580" s="1"/>
      <c r="AQ2580" s="1"/>
      <c r="AR2580" s="1"/>
      <c r="AS2580" s="1"/>
      <c r="AT2580" s="1"/>
      <c r="AU2580" s="1"/>
      <c r="AV2580" s="1"/>
      <c r="AW2580" s="1"/>
      <c r="AX2580" s="1"/>
      <c r="AY2580" s="1"/>
      <c r="AZ2580" s="1"/>
      <c r="BA2580" s="1"/>
      <c r="BB2580" s="1"/>
      <c r="BC2580" s="1"/>
      <c r="BD2580" s="1"/>
      <c r="BE2580" s="1"/>
    </row>
    <row x14ac:dyDescent="0.25" r="2581" customHeight="1" ht="18.75">
      <c r="A2581" s="1"/>
      <c r="B2581" s="2"/>
      <c r="C2581" s="2"/>
      <c r="D2581" s="2"/>
      <c r="E2581" s="2"/>
      <c r="F2581" s="2"/>
      <c r="G2581" s="1"/>
      <c r="H2581" s="1"/>
      <c r="I2581" s="7">
        <v>2.578</v>
      </c>
      <c r="J2581" s="7">
        <f>IF((I2581-ROUNDDOWN(I2581,0))=0, 0, (I2581-ROUNDDOWN(I2581,0)))</f>
      </c>
      <c r="K2581" s="7">
        <f>INDIRECT("C$"&amp;2+MIN(2,ROUNDDOWN(I2581,0))*3)*(-$J2581^3+3*$J2581^2-3*$J2581+1)+INDIRECT("C$"&amp;3+MIN(2,ROUNDDOWN(I2581,0))*3)*(3*$J2581^3-6*$J2581^2+3*$J2581)+INDIRECT("C$"&amp;4+MIN(2,ROUNDDOWN(I2581,0))*3)*(-3*$J2581^3+3*$J2581^2)+INDIRECT("C$"&amp;5+MIN(2,ROUNDDOWN(I2581,0))*3)*$J2581^3</f>
      </c>
      <c r="L2581" s="7">
        <f>INDIRECT("D$"&amp;2+MIN(2,ROUNDDOWN(I2581,0))*3)*(-$J2581^3+3*$J2581^2-3*$J2581+1)+INDIRECT("D$"&amp;3+MIN(2,ROUNDDOWN(I2581,0))*3)*(3*$J2581^3-6*$J2581^2+3*$J2581)+INDIRECT("D$"&amp;4+MIN(2,ROUNDDOWN(I2581,0))*3)*(-3*$J2581^3+3*$J2581^2)+INDIRECT("D$"&amp;5+MIN(2,ROUNDDOWN(I2581,0))*3)*$J2581^3</f>
      </c>
      <c r="M2581" s="7">
        <f>SQRT(K2581^2+L2581^2)</f>
      </c>
      <c r="N2581" s="7">
        <f>(K2582-K2580)</f>
      </c>
      <c r="O2581" s="7">
        <f>+(L2582-L2580)</f>
      </c>
      <c r="P2581" s="7">
        <f>SQRT(O2581^2+N2581^2)</f>
      </c>
      <c r="Q2581" s="7">
        <f>N2581/$P2581</f>
      </c>
      <c r="R2581" s="7">
        <f>O2581/$P2581</f>
      </c>
      <c r="S2581" s="7">
        <f>Q2581^2+R2581^2</f>
      </c>
      <c r="T2581" s="7">
        <f>-R2581</f>
      </c>
      <c r="U2581" s="7">
        <f>Q2581</f>
      </c>
      <c r="V2581" s="7">
        <f>($C$14+($C$15-$C$14)/($D$15-$D$14)*(I2581-$D$14))/2</f>
      </c>
      <c r="W2581" s="7">
        <f>($B$22*I2581^4+$C$22*I2581^3+$D$22*I2581^2+$E$22*I2581+$F$22)/2</f>
      </c>
      <c r="X2581" s="7">
        <f>($W2581)*(T2581)</f>
      </c>
      <c r="Y2581" s="7">
        <f>($W2581)*(U2581)</f>
      </c>
      <c r="Z2581" s="7">
        <f>SQRT(X2581^2+Y2581^2)</f>
      </c>
      <c r="AA2581" s="7">
        <f>$K2581+$X2581</f>
      </c>
      <c r="AB2581" s="7">
        <f>$L2581+$Y2581</f>
      </c>
      <c r="AC2581" s="7">
        <f>$K2581-$X2581</f>
      </c>
      <c r="AD2581" s="7">
        <f>$L2581-$Y2581</f>
      </c>
      <c r="AE2581" s="7">
        <f>AA2581/39.3701</f>
      </c>
      <c r="AF2581" s="7">
        <f>AB2581/39.3701</f>
      </c>
      <c r="AG2581" s="7">
        <f>AC2581/39.3701</f>
      </c>
      <c r="AH2581" s="7">
        <f>AD2581/39.3701</f>
      </c>
      <c r="AI2581" s="1"/>
      <c r="AJ2581" s="1"/>
      <c r="AK2581" s="1"/>
      <c r="AL2581" s="1"/>
      <c r="AM2581" s="2"/>
      <c r="AN2581" s="1"/>
      <c r="AO2581" s="1"/>
      <c r="AP2581" s="1"/>
      <c r="AQ2581" s="1"/>
      <c r="AR2581" s="1"/>
      <c r="AS2581" s="1"/>
      <c r="AT2581" s="1"/>
      <c r="AU2581" s="1"/>
      <c r="AV2581" s="1"/>
      <c r="AW2581" s="1"/>
      <c r="AX2581" s="1"/>
      <c r="AY2581" s="1"/>
      <c r="AZ2581" s="1"/>
      <c r="BA2581" s="1"/>
      <c r="BB2581" s="1"/>
      <c r="BC2581" s="1"/>
      <c r="BD2581" s="1"/>
      <c r="BE2581" s="1"/>
    </row>
    <row x14ac:dyDescent="0.25" r="2582" customHeight="1" ht="18.75">
      <c r="A2582" s="1"/>
      <c r="B2582" s="2"/>
      <c r="C2582" s="2"/>
      <c r="D2582" s="2"/>
      <c r="E2582" s="2"/>
      <c r="F2582" s="2"/>
      <c r="G2582" s="1"/>
      <c r="H2582" s="1"/>
      <c r="I2582" s="7">
        <v>2.579</v>
      </c>
      <c r="J2582" s="7">
        <f>IF((I2582-ROUNDDOWN(I2582,0))=0, 0, (I2582-ROUNDDOWN(I2582,0)))</f>
      </c>
      <c r="K2582" s="7">
        <f>INDIRECT("C$"&amp;2+MIN(2,ROUNDDOWN(I2582,0))*3)*(-$J2582^3+3*$J2582^2-3*$J2582+1)+INDIRECT("C$"&amp;3+MIN(2,ROUNDDOWN(I2582,0))*3)*(3*$J2582^3-6*$J2582^2+3*$J2582)+INDIRECT("C$"&amp;4+MIN(2,ROUNDDOWN(I2582,0))*3)*(-3*$J2582^3+3*$J2582^2)+INDIRECT("C$"&amp;5+MIN(2,ROUNDDOWN(I2582,0))*3)*$J2582^3</f>
      </c>
      <c r="L2582" s="7">
        <f>INDIRECT("D$"&amp;2+MIN(2,ROUNDDOWN(I2582,0))*3)*(-$J2582^3+3*$J2582^2-3*$J2582+1)+INDIRECT("D$"&amp;3+MIN(2,ROUNDDOWN(I2582,0))*3)*(3*$J2582^3-6*$J2582^2+3*$J2582)+INDIRECT("D$"&amp;4+MIN(2,ROUNDDOWN(I2582,0))*3)*(-3*$J2582^3+3*$J2582^2)+INDIRECT("D$"&amp;5+MIN(2,ROUNDDOWN(I2582,0))*3)*$J2582^3</f>
      </c>
      <c r="M2582" s="7">
        <f>SQRT(K2582^2+L2582^2)</f>
      </c>
      <c r="N2582" s="7">
        <f>(K2583-K2581)</f>
      </c>
      <c r="O2582" s="7">
        <f>+(L2583-L2581)</f>
      </c>
      <c r="P2582" s="7">
        <f>SQRT(O2582^2+N2582^2)</f>
      </c>
      <c r="Q2582" s="7">
        <f>N2582/$P2582</f>
      </c>
      <c r="R2582" s="7">
        <f>O2582/$P2582</f>
      </c>
      <c r="S2582" s="8">
        <f>Q2582^2+R2582^2</f>
      </c>
      <c r="T2582" s="7">
        <f>-R2582</f>
      </c>
      <c r="U2582" s="7">
        <f>Q2582</f>
      </c>
      <c r="V2582" s="7">
        <f>($C$14+($C$15-$C$14)/($D$15-$D$14)*(I2582-$D$14))/2</f>
      </c>
      <c r="W2582" s="7">
        <f>($B$22*I2582^4+$C$22*I2582^3+$D$22*I2582^2+$E$22*I2582+$F$22)/2</f>
      </c>
      <c r="X2582" s="7">
        <f>($W2582)*(T2582)</f>
      </c>
      <c r="Y2582" s="7">
        <f>($W2582)*(U2582)</f>
      </c>
      <c r="Z2582" s="7">
        <f>SQRT(X2582^2+Y2582^2)</f>
      </c>
      <c r="AA2582" s="7">
        <f>$K2582+$X2582</f>
      </c>
      <c r="AB2582" s="7">
        <f>$L2582+$Y2582</f>
      </c>
      <c r="AC2582" s="7">
        <f>$K2582-$X2582</f>
      </c>
      <c r="AD2582" s="7">
        <f>$L2582-$Y2582</f>
      </c>
      <c r="AE2582" s="7">
        <f>AA2582/39.3701</f>
      </c>
      <c r="AF2582" s="7">
        <f>AB2582/39.3701</f>
      </c>
      <c r="AG2582" s="7">
        <f>AC2582/39.3701</f>
      </c>
      <c r="AH2582" s="7">
        <f>AD2582/39.3701</f>
      </c>
      <c r="AI2582" s="1"/>
      <c r="AJ2582" s="1"/>
      <c r="AK2582" s="1"/>
      <c r="AL2582" s="1"/>
      <c r="AM2582" s="2"/>
      <c r="AN2582" s="1"/>
      <c r="AO2582" s="1"/>
      <c r="AP2582" s="1"/>
      <c r="AQ2582" s="1"/>
      <c r="AR2582" s="1"/>
      <c r="AS2582" s="1"/>
      <c r="AT2582" s="1"/>
      <c r="AU2582" s="1"/>
      <c r="AV2582" s="1"/>
      <c r="AW2582" s="1"/>
      <c r="AX2582" s="1"/>
      <c r="AY2582" s="1"/>
      <c r="AZ2582" s="1"/>
      <c r="BA2582" s="1"/>
      <c r="BB2582" s="1"/>
      <c r="BC2582" s="1"/>
      <c r="BD2582" s="1"/>
      <c r="BE2582" s="1"/>
    </row>
    <row x14ac:dyDescent="0.25" r="2583" customHeight="1" ht="18.75">
      <c r="A2583" s="1"/>
      <c r="B2583" s="2"/>
      <c r="C2583" s="2"/>
      <c r="D2583" s="2"/>
      <c r="E2583" s="2"/>
      <c r="F2583" s="2"/>
      <c r="G2583" s="1"/>
      <c r="H2583" s="1"/>
      <c r="I2583" s="7">
        <v>2.58</v>
      </c>
      <c r="J2583" s="7">
        <f>IF((I2583-ROUNDDOWN(I2583,0))=0, 0, (I2583-ROUNDDOWN(I2583,0)))</f>
      </c>
      <c r="K2583" s="7">
        <f>INDIRECT("C$"&amp;2+MIN(2,ROUNDDOWN(I2583,0))*3)*(-$J2583^3+3*$J2583^2-3*$J2583+1)+INDIRECT("C$"&amp;3+MIN(2,ROUNDDOWN(I2583,0))*3)*(3*$J2583^3-6*$J2583^2+3*$J2583)+INDIRECT("C$"&amp;4+MIN(2,ROUNDDOWN(I2583,0))*3)*(-3*$J2583^3+3*$J2583^2)+INDIRECT("C$"&amp;5+MIN(2,ROUNDDOWN(I2583,0))*3)*$J2583^3</f>
      </c>
      <c r="L2583" s="7">
        <f>INDIRECT("D$"&amp;2+MIN(2,ROUNDDOWN(I2583,0))*3)*(-$J2583^3+3*$J2583^2-3*$J2583+1)+INDIRECT("D$"&amp;3+MIN(2,ROUNDDOWN(I2583,0))*3)*(3*$J2583^3-6*$J2583^2+3*$J2583)+INDIRECT("D$"&amp;4+MIN(2,ROUNDDOWN(I2583,0))*3)*(-3*$J2583^3+3*$J2583^2)+INDIRECT("D$"&amp;5+MIN(2,ROUNDDOWN(I2583,0))*3)*$J2583^3</f>
      </c>
      <c r="M2583" s="7">
        <f>SQRT(K2583^2+L2583^2)</f>
      </c>
      <c r="N2583" s="7">
        <f>(K2584-K2582)</f>
      </c>
      <c r="O2583" s="7">
        <f>+(L2584-L2582)</f>
      </c>
      <c r="P2583" s="7">
        <f>SQRT(O2583^2+N2583^2)</f>
      </c>
      <c r="Q2583" s="7">
        <f>N2583/$P2583</f>
      </c>
      <c r="R2583" s="7">
        <f>O2583/$P2583</f>
      </c>
      <c r="S2583" s="7">
        <f>Q2583^2+R2583^2</f>
      </c>
      <c r="T2583" s="7">
        <f>-R2583</f>
      </c>
      <c r="U2583" s="7">
        <f>Q2583</f>
      </c>
      <c r="V2583" s="7">
        <f>($C$14+($C$15-$C$14)/($D$15-$D$14)*(I2583-$D$14))/2</f>
      </c>
      <c r="W2583" s="7">
        <f>($B$22*I2583^4+$C$22*I2583^3+$D$22*I2583^2+$E$22*I2583+$F$22)/2</f>
      </c>
      <c r="X2583" s="7">
        <f>($W2583)*(T2583)</f>
      </c>
      <c r="Y2583" s="7">
        <f>($W2583)*(U2583)</f>
      </c>
      <c r="Z2583" s="7">
        <f>SQRT(X2583^2+Y2583^2)</f>
      </c>
      <c r="AA2583" s="7">
        <f>$K2583+$X2583</f>
      </c>
      <c r="AB2583" s="7">
        <f>$L2583+$Y2583</f>
      </c>
      <c r="AC2583" s="7">
        <f>$K2583-$X2583</f>
      </c>
      <c r="AD2583" s="7">
        <f>$L2583-$Y2583</f>
      </c>
      <c r="AE2583" s="7">
        <f>AA2583/39.3701</f>
      </c>
      <c r="AF2583" s="7">
        <f>AB2583/39.3701</f>
      </c>
      <c r="AG2583" s="7">
        <f>AC2583/39.3701</f>
      </c>
      <c r="AH2583" s="7">
        <f>AD2583/39.3701</f>
      </c>
      <c r="AI2583" s="1"/>
      <c r="AJ2583" s="1"/>
      <c r="AK2583" s="1"/>
      <c r="AL2583" s="1"/>
      <c r="AM2583" s="2"/>
      <c r="AN2583" s="1"/>
      <c r="AO2583" s="1"/>
      <c r="AP2583" s="1"/>
      <c r="AQ2583" s="1"/>
      <c r="AR2583" s="1"/>
      <c r="AS2583" s="1"/>
      <c r="AT2583" s="1"/>
      <c r="AU2583" s="1"/>
      <c r="AV2583" s="1"/>
      <c r="AW2583" s="1"/>
      <c r="AX2583" s="1"/>
      <c r="AY2583" s="1"/>
      <c r="AZ2583" s="1"/>
      <c r="BA2583" s="1"/>
      <c r="BB2583" s="1"/>
      <c r="BC2583" s="1"/>
      <c r="BD2583" s="1"/>
      <c r="BE2583" s="1"/>
    </row>
    <row x14ac:dyDescent="0.25" r="2584" customHeight="1" ht="18.75">
      <c r="A2584" s="1"/>
      <c r="B2584" s="2"/>
      <c r="C2584" s="2"/>
      <c r="D2584" s="2"/>
      <c r="E2584" s="2"/>
      <c r="F2584" s="2"/>
      <c r="G2584" s="1"/>
      <c r="H2584" s="1"/>
      <c r="I2584" s="7">
        <v>2.581</v>
      </c>
      <c r="J2584" s="7">
        <f>IF((I2584-ROUNDDOWN(I2584,0))=0, 0, (I2584-ROUNDDOWN(I2584,0)))</f>
      </c>
      <c r="K2584" s="7">
        <f>INDIRECT("C$"&amp;2+MIN(2,ROUNDDOWN(I2584,0))*3)*(-$J2584^3+3*$J2584^2-3*$J2584+1)+INDIRECT("C$"&amp;3+MIN(2,ROUNDDOWN(I2584,0))*3)*(3*$J2584^3-6*$J2584^2+3*$J2584)+INDIRECT("C$"&amp;4+MIN(2,ROUNDDOWN(I2584,0))*3)*(-3*$J2584^3+3*$J2584^2)+INDIRECT("C$"&amp;5+MIN(2,ROUNDDOWN(I2584,0))*3)*$J2584^3</f>
      </c>
      <c r="L2584" s="7">
        <f>INDIRECT("D$"&amp;2+MIN(2,ROUNDDOWN(I2584,0))*3)*(-$J2584^3+3*$J2584^2-3*$J2584+1)+INDIRECT("D$"&amp;3+MIN(2,ROUNDDOWN(I2584,0))*3)*(3*$J2584^3-6*$J2584^2+3*$J2584)+INDIRECT("D$"&amp;4+MIN(2,ROUNDDOWN(I2584,0))*3)*(-3*$J2584^3+3*$J2584^2)+INDIRECT("D$"&amp;5+MIN(2,ROUNDDOWN(I2584,0))*3)*$J2584^3</f>
      </c>
      <c r="M2584" s="7">
        <f>SQRT(K2584^2+L2584^2)</f>
      </c>
      <c r="N2584" s="7">
        <f>(K2585-K2583)</f>
      </c>
      <c r="O2584" s="7">
        <f>+(L2585-L2583)</f>
      </c>
      <c r="P2584" s="7">
        <f>SQRT(O2584^2+N2584^2)</f>
      </c>
      <c r="Q2584" s="7">
        <f>N2584/$P2584</f>
      </c>
      <c r="R2584" s="7">
        <f>O2584/$P2584</f>
      </c>
      <c r="S2584" s="8">
        <f>Q2584^2+R2584^2</f>
      </c>
      <c r="T2584" s="7">
        <f>-R2584</f>
      </c>
      <c r="U2584" s="7">
        <f>Q2584</f>
      </c>
      <c r="V2584" s="7">
        <f>($C$14+($C$15-$C$14)/($D$15-$D$14)*(I2584-$D$14))/2</f>
      </c>
      <c r="W2584" s="7">
        <f>($B$22*I2584^4+$C$22*I2584^3+$D$22*I2584^2+$E$22*I2584+$F$22)/2</f>
      </c>
      <c r="X2584" s="7">
        <f>($W2584)*(T2584)</f>
      </c>
      <c r="Y2584" s="7">
        <f>($W2584)*(U2584)</f>
      </c>
      <c r="Z2584" s="7">
        <f>SQRT(X2584^2+Y2584^2)</f>
      </c>
      <c r="AA2584" s="7">
        <f>$K2584+$X2584</f>
      </c>
      <c r="AB2584" s="7">
        <f>$L2584+$Y2584</f>
      </c>
      <c r="AC2584" s="7">
        <f>$K2584-$X2584</f>
      </c>
      <c r="AD2584" s="7">
        <f>$L2584-$Y2584</f>
      </c>
      <c r="AE2584" s="7">
        <f>AA2584/39.3701</f>
      </c>
      <c r="AF2584" s="7">
        <f>AB2584/39.3701</f>
      </c>
      <c r="AG2584" s="7">
        <f>AC2584/39.3701</f>
      </c>
      <c r="AH2584" s="7">
        <f>AD2584/39.3701</f>
      </c>
      <c r="AI2584" s="1"/>
      <c r="AJ2584" s="1"/>
      <c r="AK2584" s="1"/>
      <c r="AL2584" s="1"/>
      <c r="AM2584" s="2"/>
      <c r="AN2584" s="1"/>
      <c r="AO2584" s="1"/>
      <c r="AP2584" s="1"/>
      <c r="AQ2584" s="1"/>
      <c r="AR2584" s="1"/>
      <c r="AS2584" s="1"/>
      <c r="AT2584" s="1"/>
      <c r="AU2584" s="1"/>
      <c r="AV2584" s="1"/>
      <c r="AW2584" s="1"/>
      <c r="AX2584" s="1"/>
      <c r="AY2584" s="1"/>
      <c r="AZ2584" s="1"/>
      <c r="BA2584" s="1"/>
      <c r="BB2584" s="1"/>
      <c r="BC2584" s="1"/>
      <c r="BD2584" s="1"/>
      <c r="BE2584" s="1"/>
    </row>
    <row x14ac:dyDescent="0.25" r="2585" customHeight="1" ht="18.75">
      <c r="A2585" s="1"/>
      <c r="B2585" s="2"/>
      <c r="C2585" s="2"/>
      <c r="D2585" s="2"/>
      <c r="E2585" s="2"/>
      <c r="F2585" s="2"/>
      <c r="G2585" s="1"/>
      <c r="H2585" s="1"/>
      <c r="I2585" s="7">
        <v>2.582</v>
      </c>
      <c r="J2585" s="7">
        <f>IF((I2585-ROUNDDOWN(I2585,0))=0, 0, (I2585-ROUNDDOWN(I2585,0)))</f>
      </c>
      <c r="K2585" s="7">
        <f>INDIRECT("C$"&amp;2+MIN(2,ROUNDDOWN(I2585,0))*3)*(-$J2585^3+3*$J2585^2-3*$J2585+1)+INDIRECT("C$"&amp;3+MIN(2,ROUNDDOWN(I2585,0))*3)*(3*$J2585^3-6*$J2585^2+3*$J2585)+INDIRECT("C$"&amp;4+MIN(2,ROUNDDOWN(I2585,0))*3)*(-3*$J2585^3+3*$J2585^2)+INDIRECT("C$"&amp;5+MIN(2,ROUNDDOWN(I2585,0))*3)*$J2585^3</f>
      </c>
      <c r="L2585" s="7">
        <f>INDIRECT("D$"&amp;2+MIN(2,ROUNDDOWN(I2585,0))*3)*(-$J2585^3+3*$J2585^2-3*$J2585+1)+INDIRECT("D$"&amp;3+MIN(2,ROUNDDOWN(I2585,0))*3)*(3*$J2585^3-6*$J2585^2+3*$J2585)+INDIRECT("D$"&amp;4+MIN(2,ROUNDDOWN(I2585,0))*3)*(-3*$J2585^3+3*$J2585^2)+INDIRECT("D$"&amp;5+MIN(2,ROUNDDOWN(I2585,0))*3)*$J2585^3</f>
      </c>
      <c r="M2585" s="7">
        <f>SQRT(K2585^2+L2585^2)</f>
      </c>
      <c r="N2585" s="7">
        <f>(K2586-K2584)</f>
      </c>
      <c r="O2585" s="7">
        <f>+(L2586-L2584)</f>
      </c>
      <c r="P2585" s="7">
        <f>SQRT(O2585^2+N2585^2)</f>
      </c>
      <c r="Q2585" s="7">
        <f>N2585/$P2585</f>
      </c>
      <c r="R2585" s="7">
        <f>O2585/$P2585</f>
      </c>
      <c r="S2585" s="8">
        <f>Q2585^2+R2585^2</f>
      </c>
      <c r="T2585" s="7">
        <f>-R2585</f>
      </c>
      <c r="U2585" s="7">
        <f>Q2585</f>
      </c>
      <c r="V2585" s="7">
        <f>($C$14+($C$15-$C$14)/($D$15-$D$14)*(I2585-$D$14))/2</f>
      </c>
      <c r="W2585" s="7">
        <f>($B$22*I2585^4+$C$22*I2585^3+$D$22*I2585^2+$E$22*I2585+$F$22)/2</f>
      </c>
      <c r="X2585" s="7">
        <f>($W2585)*(T2585)</f>
      </c>
      <c r="Y2585" s="7">
        <f>($W2585)*(U2585)</f>
      </c>
      <c r="Z2585" s="7">
        <f>SQRT(X2585^2+Y2585^2)</f>
      </c>
      <c r="AA2585" s="7">
        <f>$K2585+$X2585</f>
      </c>
      <c r="AB2585" s="7">
        <f>$L2585+$Y2585</f>
      </c>
      <c r="AC2585" s="7">
        <f>$K2585-$X2585</f>
      </c>
      <c r="AD2585" s="7">
        <f>$L2585-$Y2585</f>
      </c>
      <c r="AE2585" s="7">
        <f>AA2585/39.3701</f>
      </c>
      <c r="AF2585" s="7">
        <f>AB2585/39.3701</f>
      </c>
      <c r="AG2585" s="7">
        <f>AC2585/39.3701</f>
      </c>
      <c r="AH2585" s="7">
        <f>AD2585/39.3701</f>
      </c>
      <c r="AI2585" s="1"/>
      <c r="AJ2585" s="1"/>
      <c r="AK2585" s="1"/>
      <c r="AL2585" s="1"/>
      <c r="AM2585" s="2"/>
      <c r="AN2585" s="1"/>
      <c r="AO2585" s="1"/>
      <c r="AP2585" s="1"/>
      <c r="AQ2585" s="1"/>
      <c r="AR2585" s="1"/>
      <c r="AS2585" s="1"/>
      <c r="AT2585" s="1"/>
      <c r="AU2585" s="1"/>
      <c r="AV2585" s="1"/>
      <c r="AW2585" s="1"/>
      <c r="AX2585" s="1"/>
      <c r="AY2585" s="1"/>
      <c r="AZ2585" s="1"/>
      <c r="BA2585" s="1"/>
      <c r="BB2585" s="1"/>
      <c r="BC2585" s="1"/>
      <c r="BD2585" s="1"/>
      <c r="BE2585" s="1"/>
    </row>
    <row x14ac:dyDescent="0.25" r="2586" customHeight="1" ht="18.75">
      <c r="A2586" s="1"/>
      <c r="B2586" s="2"/>
      <c r="C2586" s="2"/>
      <c r="D2586" s="2"/>
      <c r="E2586" s="2"/>
      <c r="F2586" s="2"/>
      <c r="G2586" s="1"/>
      <c r="H2586" s="1"/>
      <c r="I2586" s="7">
        <v>2.583</v>
      </c>
      <c r="J2586" s="7">
        <f>IF((I2586-ROUNDDOWN(I2586,0))=0, 0, (I2586-ROUNDDOWN(I2586,0)))</f>
      </c>
      <c r="K2586" s="7">
        <f>INDIRECT("C$"&amp;2+MIN(2,ROUNDDOWN(I2586,0))*3)*(-$J2586^3+3*$J2586^2-3*$J2586+1)+INDIRECT("C$"&amp;3+MIN(2,ROUNDDOWN(I2586,0))*3)*(3*$J2586^3-6*$J2586^2+3*$J2586)+INDIRECT("C$"&amp;4+MIN(2,ROUNDDOWN(I2586,0))*3)*(-3*$J2586^3+3*$J2586^2)+INDIRECT("C$"&amp;5+MIN(2,ROUNDDOWN(I2586,0))*3)*$J2586^3</f>
      </c>
      <c r="L2586" s="7">
        <f>INDIRECT("D$"&amp;2+MIN(2,ROUNDDOWN(I2586,0))*3)*(-$J2586^3+3*$J2586^2-3*$J2586+1)+INDIRECT("D$"&amp;3+MIN(2,ROUNDDOWN(I2586,0))*3)*(3*$J2586^3-6*$J2586^2+3*$J2586)+INDIRECT("D$"&amp;4+MIN(2,ROUNDDOWN(I2586,0))*3)*(-3*$J2586^3+3*$J2586^2)+INDIRECT("D$"&amp;5+MIN(2,ROUNDDOWN(I2586,0))*3)*$J2586^3</f>
      </c>
      <c r="M2586" s="7">
        <f>SQRT(K2586^2+L2586^2)</f>
      </c>
      <c r="N2586" s="7">
        <f>(K2587-K2585)</f>
      </c>
      <c r="O2586" s="7">
        <f>+(L2587-L2585)</f>
      </c>
      <c r="P2586" s="7">
        <f>SQRT(O2586^2+N2586^2)</f>
      </c>
      <c r="Q2586" s="7">
        <f>N2586/$P2586</f>
      </c>
      <c r="R2586" s="7">
        <f>O2586/$P2586</f>
      </c>
      <c r="S2586" s="7">
        <f>Q2586^2+R2586^2</f>
      </c>
      <c r="T2586" s="7">
        <f>-R2586</f>
      </c>
      <c r="U2586" s="7">
        <f>Q2586</f>
      </c>
      <c r="V2586" s="7">
        <f>($C$14+($C$15-$C$14)/($D$15-$D$14)*(I2586-$D$14))/2</f>
      </c>
      <c r="W2586" s="7">
        <f>($B$22*I2586^4+$C$22*I2586^3+$D$22*I2586^2+$E$22*I2586+$F$22)/2</f>
      </c>
      <c r="X2586" s="7">
        <f>($W2586)*(T2586)</f>
      </c>
      <c r="Y2586" s="7">
        <f>($W2586)*(U2586)</f>
      </c>
      <c r="Z2586" s="7">
        <f>SQRT(X2586^2+Y2586^2)</f>
      </c>
      <c r="AA2586" s="7">
        <f>$K2586+$X2586</f>
      </c>
      <c r="AB2586" s="7">
        <f>$L2586+$Y2586</f>
      </c>
      <c r="AC2586" s="7">
        <f>$K2586-$X2586</f>
      </c>
      <c r="AD2586" s="7">
        <f>$L2586-$Y2586</f>
      </c>
      <c r="AE2586" s="7">
        <f>AA2586/39.3701</f>
      </c>
      <c r="AF2586" s="7">
        <f>AB2586/39.3701</f>
      </c>
      <c r="AG2586" s="7">
        <f>AC2586/39.3701</f>
      </c>
      <c r="AH2586" s="7">
        <f>AD2586/39.3701</f>
      </c>
      <c r="AI2586" s="1"/>
      <c r="AJ2586" s="1"/>
      <c r="AK2586" s="1"/>
      <c r="AL2586" s="1"/>
      <c r="AM2586" s="2"/>
      <c r="AN2586" s="1"/>
      <c r="AO2586" s="1"/>
      <c r="AP2586" s="1"/>
      <c r="AQ2586" s="1"/>
      <c r="AR2586" s="1"/>
      <c r="AS2586" s="1"/>
      <c r="AT2586" s="1"/>
      <c r="AU2586" s="1"/>
      <c r="AV2586" s="1"/>
      <c r="AW2586" s="1"/>
      <c r="AX2586" s="1"/>
      <c r="AY2586" s="1"/>
      <c r="AZ2586" s="1"/>
      <c r="BA2586" s="1"/>
      <c r="BB2586" s="1"/>
      <c r="BC2586" s="1"/>
      <c r="BD2586" s="1"/>
      <c r="BE2586" s="1"/>
    </row>
    <row x14ac:dyDescent="0.25" r="2587" customHeight="1" ht="18.75">
      <c r="A2587" s="1"/>
      <c r="B2587" s="2"/>
      <c r="C2587" s="2"/>
      <c r="D2587" s="2"/>
      <c r="E2587" s="2"/>
      <c r="F2587" s="2"/>
      <c r="G2587" s="1"/>
      <c r="H2587" s="1"/>
      <c r="I2587" s="7">
        <v>2.584</v>
      </c>
      <c r="J2587" s="7">
        <f>IF((I2587-ROUNDDOWN(I2587,0))=0, 0, (I2587-ROUNDDOWN(I2587,0)))</f>
      </c>
      <c r="K2587" s="7">
        <f>INDIRECT("C$"&amp;2+MIN(2,ROUNDDOWN(I2587,0))*3)*(-$J2587^3+3*$J2587^2-3*$J2587+1)+INDIRECT("C$"&amp;3+MIN(2,ROUNDDOWN(I2587,0))*3)*(3*$J2587^3-6*$J2587^2+3*$J2587)+INDIRECT("C$"&amp;4+MIN(2,ROUNDDOWN(I2587,0))*3)*(-3*$J2587^3+3*$J2587^2)+INDIRECT("C$"&amp;5+MIN(2,ROUNDDOWN(I2587,0))*3)*$J2587^3</f>
      </c>
      <c r="L2587" s="7">
        <f>INDIRECT("D$"&amp;2+MIN(2,ROUNDDOWN(I2587,0))*3)*(-$J2587^3+3*$J2587^2-3*$J2587+1)+INDIRECT("D$"&amp;3+MIN(2,ROUNDDOWN(I2587,0))*3)*(3*$J2587^3-6*$J2587^2+3*$J2587)+INDIRECT("D$"&amp;4+MIN(2,ROUNDDOWN(I2587,0))*3)*(-3*$J2587^3+3*$J2587^2)+INDIRECT("D$"&amp;5+MIN(2,ROUNDDOWN(I2587,0))*3)*$J2587^3</f>
      </c>
      <c r="M2587" s="7">
        <f>SQRT(K2587^2+L2587^2)</f>
      </c>
      <c r="N2587" s="7">
        <f>(K2588-K2586)</f>
      </c>
      <c r="O2587" s="7">
        <f>+(L2588-L2586)</f>
      </c>
      <c r="P2587" s="7">
        <f>SQRT(O2587^2+N2587^2)</f>
      </c>
      <c r="Q2587" s="7">
        <f>N2587/$P2587</f>
      </c>
      <c r="R2587" s="7">
        <f>O2587/$P2587</f>
      </c>
      <c r="S2587" s="8">
        <f>Q2587^2+R2587^2</f>
      </c>
      <c r="T2587" s="7">
        <f>-R2587</f>
      </c>
      <c r="U2587" s="7">
        <f>Q2587</f>
      </c>
      <c r="V2587" s="7">
        <f>($C$14+($C$15-$C$14)/($D$15-$D$14)*(I2587-$D$14))/2</f>
      </c>
      <c r="W2587" s="7">
        <f>($B$22*I2587^4+$C$22*I2587^3+$D$22*I2587^2+$E$22*I2587+$F$22)/2</f>
      </c>
      <c r="X2587" s="7">
        <f>($W2587)*(T2587)</f>
      </c>
      <c r="Y2587" s="7">
        <f>($W2587)*(U2587)</f>
      </c>
      <c r="Z2587" s="7">
        <f>SQRT(X2587^2+Y2587^2)</f>
      </c>
      <c r="AA2587" s="7">
        <f>$K2587+$X2587</f>
      </c>
      <c r="AB2587" s="7">
        <f>$L2587+$Y2587</f>
      </c>
      <c r="AC2587" s="7">
        <f>$K2587-$X2587</f>
      </c>
      <c r="AD2587" s="7">
        <f>$L2587-$Y2587</f>
      </c>
      <c r="AE2587" s="7">
        <f>AA2587/39.3701</f>
      </c>
      <c r="AF2587" s="7">
        <f>AB2587/39.3701</f>
      </c>
      <c r="AG2587" s="7">
        <f>AC2587/39.3701</f>
      </c>
      <c r="AH2587" s="7">
        <f>AD2587/39.3701</f>
      </c>
      <c r="AI2587" s="1"/>
      <c r="AJ2587" s="1"/>
      <c r="AK2587" s="1"/>
      <c r="AL2587" s="1"/>
      <c r="AM2587" s="2"/>
      <c r="AN2587" s="1"/>
      <c r="AO2587" s="1"/>
      <c r="AP2587" s="1"/>
      <c r="AQ2587" s="1"/>
      <c r="AR2587" s="1"/>
      <c r="AS2587" s="1"/>
      <c r="AT2587" s="1"/>
      <c r="AU2587" s="1"/>
      <c r="AV2587" s="1"/>
      <c r="AW2587" s="1"/>
      <c r="AX2587" s="1"/>
      <c r="AY2587" s="1"/>
      <c r="AZ2587" s="1"/>
      <c r="BA2587" s="1"/>
      <c r="BB2587" s="1"/>
      <c r="BC2587" s="1"/>
      <c r="BD2587" s="1"/>
      <c r="BE2587" s="1"/>
    </row>
    <row x14ac:dyDescent="0.25" r="2588" customHeight="1" ht="18.75">
      <c r="A2588" s="1"/>
      <c r="B2588" s="2"/>
      <c r="C2588" s="2"/>
      <c r="D2588" s="2"/>
      <c r="E2588" s="2"/>
      <c r="F2588" s="2"/>
      <c r="G2588" s="1"/>
      <c r="H2588" s="1"/>
      <c r="I2588" s="7">
        <v>2.585</v>
      </c>
      <c r="J2588" s="7">
        <f>IF((I2588-ROUNDDOWN(I2588,0))=0, 0, (I2588-ROUNDDOWN(I2588,0)))</f>
      </c>
      <c r="K2588" s="7">
        <f>INDIRECT("C$"&amp;2+MIN(2,ROUNDDOWN(I2588,0))*3)*(-$J2588^3+3*$J2588^2-3*$J2588+1)+INDIRECT("C$"&amp;3+MIN(2,ROUNDDOWN(I2588,0))*3)*(3*$J2588^3-6*$J2588^2+3*$J2588)+INDIRECT("C$"&amp;4+MIN(2,ROUNDDOWN(I2588,0))*3)*(-3*$J2588^3+3*$J2588^2)+INDIRECT("C$"&amp;5+MIN(2,ROUNDDOWN(I2588,0))*3)*$J2588^3</f>
      </c>
      <c r="L2588" s="7">
        <f>INDIRECT("D$"&amp;2+MIN(2,ROUNDDOWN(I2588,0))*3)*(-$J2588^3+3*$J2588^2-3*$J2588+1)+INDIRECT("D$"&amp;3+MIN(2,ROUNDDOWN(I2588,0))*3)*(3*$J2588^3-6*$J2588^2+3*$J2588)+INDIRECT("D$"&amp;4+MIN(2,ROUNDDOWN(I2588,0))*3)*(-3*$J2588^3+3*$J2588^2)+INDIRECT("D$"&amp;5+MIN(2,ROUNDDOWN(I2588,0))*3)*$J2588^3</f>
      </c>
      <c r="M2588" s="7">
        <f>SQRT(K2588^2+L2588^2)</f>
      </c>
      <c r="N2588" s="7">
        <f>(K2589-K2587)</f>
      </c>
      <c r="O2588" s="7">
        <f>+(L2589-L2587)</f>
      </c>
      <c r="P2588" s="7">
        <f>SQRT(O2588^2+N2588^2)</f>
      </c>
      <c r="Q2588" s="7">
        <f>N2588/$P2588</f>
      </c>
      <c r="R2588" s="7">
        <f>O2588/$P2588</f>
      </c>
      <c r="S2588" s="8">
        <f>Q2588^2+R2588^2</f>
      </c>
      <c r="T2588" s="7">
        <f>-R2588</f>
      </c>
      <c r="U2588" s="7">
        <f>Q2588</f>
      </c>
      <c r="V2588" s="7">
        <f>($C$14+($C$15-$C$14)/($D$15-$D$14)*(I2588-$D$14))/2</f>
      </c>
      <c r="W2588" s="7">
        <f>($B$22*I2588^4+$C$22*I2588^3+$D$22*I2588^2+$E$22*I2588+$F$22)/2</f>
      </c>
      <c r="X2588" s="7">
        <f>($W2588)*(T2588)</f>
      </c>
      <c r="Y2588" s="7">
        <f>($W2588)*(U2588)</f>
      </c>
      <c r="Z2588" s="7">
        <f>SQRT(X2588^2+Y2588^2)</f>
      </c>
      <c r="AA2588" s="7">
        <f>$K2588+$X2588</f>
      </c>
      <c r="AB2588" s="7">
        <f>$L2588+$Y2588</f>
      </c>
      <c r="AC2588" s="7">
        <f>$K2588-$X2588</f>
      </c>
      <c r="AD2588" s="7">
        <f>$L2588-$Y2588</f>
      </c>
      <c r="AE2588" s="7">
        <f>AA2588/39.3701</f>
      </c>
      <c r="AF2588" s="7">
        <f>AB2588/39.3701</f>
      </c>
      <c r="AG2588" s="7">
        <f>AC2588/39.3701</f>
      </c>
      <c r="AH2588" s="7">
        <f>AD2588/39.3701</f>
      </c>
      <c r="AI2588" s="1"/>
      <c r="AJ2588" s="1"/>
      <c r="AK2588" s="1"/>
      <c r="AL2588" s="1"/>
      <c r="AM2588" s="2"/>
      <c r="AN2588" s="1"/>
      <c r="AO2588" s="1"/>
      <c r="AP2588" s="1"/>
      <c r="AQ2588" s="1"/>
      <c r="AR2588" s="1"/>
      <c r="AS2588" s="1"/>
      <c r="AT2588" s="1"/>
      <c r="AU2588" s="1"/>
      <c r="AV2588" s="1"/>
      <c r="AW2588" s="1"/>
      <c r="AX2588" s="1"/>
      <c r="AY2588" s="1"/>
      <c r="AZ2588" s="1"/>
      <c r="BA2588" s="1"/>
      <c r="BB2588" s="1"/>
      <c r="BC2588" s="1"/>
      <c r="BD2588" s="1"/>
      <c r="BE2588" s="1"/>
    </row>
    <row x14ac:dyDescent="0.25" r="2589" customHeight="1" ht="18.75">
      <c r="A2589" s="1"/>
      <c r="B2589" s="2"/>
      <c r="C2589" s="2"/>
      <c r="D2589" s="2"/>
      <c r="E2589" s="2"/>
      <c r="F2589" s="2"/>
      <c r="G2589" s="1"/>
      <c r="H2589" s="1"/>
      <c r="I2589" s="7">
        <v>2.586</v>
      </c>
      <c r="J2589" s="7">
        <f>IF((I2589-ROUNDDOWN(I2589,0))=0, 0, (I2589-ROUNDDOWN(I2589,0)))</f>
      </c>
      <c r="K2589" s="7">
        <f>INDIRECT("C$"&amp;2+MIN(2,ROUNDDOWN(I2589,0))*3)*(-$J2589^3+3*$J2589^2-3*$J2589+1)+INDIRECT("C$"&amp;3+MIN(2,ROUNDDOWN(I2589,0))*3)*(3*$J2589^3-6*$J2589^2+3*$J2589)+INDIRECT("C$"&amp;4+MIN(2,ROUNDDOWN(I2589,0))*3)*(-3*$J2589^3+3*$J2589^2)+INDIRECT("C$"&amp;5+MIN(2,ROUNDDOWN(I2589,0))*3)*$J2589^3</f>
      </c>
      <c r="L2589" s="7">
        <f>INDIRECT("D$"&amp;2+MIN(2,ROUNDDOWN(I2589,0))*3)*(-$J2589^3+3*$J2589^2-3*$J2589+1)+INDIRECT("D$"&amp;3+MIN(2,ROUNDDOWN(I2589,0))*3)*(3*$J2589^3-6*$J2589^2+3*$J2589)+INDIRECT("D$"&amp;4+MIN(2,ROUNDDOWN(I2589,0))*3)*(-3*$J2589^3+3*$J2589^2)+INDIRECT("D$"&amp;5+MIN(2,ROUNDDOWN(I2589,0))*3)*$J2589^3</f>
      </c>
      <c r="M2589" s="7">
        <f>SQRT(K2589^2+L2589^2)</f>
      </c>
      <c r="N2589" s="7">
        <f>(K2590-K2588)</f>
      </c>
      <c r="O2589" s="7">
        <f>+(L2590-L2588)</f>
      </c>
      <c r="P2589" s="7">
        <f>SQRT(O2589^2+N2589^2)</f>
      </c>
      <c r="Q2589" s="7">
        <f>N2589/$P2589</f>
      </c>
      <c r="R2589" s="7">
        <f>O2589/$P2589</f>
      </c>
      <c r="S2589" s="8">
        <f>Q2589^2+R2589^2</f>
      </c>
      <c r="T2589" s="7">
        <f>-R2589</f>
      </c>
      <c r="U2589" s="7">
        <f>Q2589</f>
      </c>
      <c r="V2589" s="7">
        <f>($C$14+($C$15-$C$14)/($D$15-$D$14)*(I2589-$D$14))/2</f>
      </c>
      <c r="W2589" s="7">
        <f>($B$22*I2589^4+$C$22*I2589^3+$D$22*I2589^2+$E$22*I2589+$F$22)/2</f>
      </c>
      <c r="X2589" s="7">
        <f>($W2589)*(T2589)</f>
      </c>
      <c r="Y2589" s="7">
        <f>($W2589)*(U2589)</f>
      </c>
      <c r="Z2589" s="7">
        <f>SQRT(X2589^2+Y2589^2)</f>
      </c>
      <c r="AA2589" s="7">
        <f>$K2589+$X2589</f>
      </c>
      <c r="AB2589" s="7">
        <f>$L2589+$Y2589</f>
      </c>
      <c r="AC2589" s="7">
        <f>$K2589-$X2589</f>
      </c>
      <c r="AD2589" s="7">
        <f>$L2589-$Y2589</f>
      </c>
      <c r="AE2589" s="7">
        <f>AA2589/39.3701</f>
      </c>
      <c r="AF2589" s="7">
        <f>AB2589/39.3701</f>
      </c>
      <c r="AG2589" s="7">
        <f>AC2589/39.3701</f>
      </c>
      <c r="AH2589" s="7">
        <f>AD2589/39.3701</f>
      </c>
      <c r="AI2589" s="1"/>
      <c r="AJ2589" s="1"/>
      <c r="AK2589" s="1"/>
      <c r="AL2589" s="1"/>
      <c r="AM2589" s="2"/>
      <c r="AN2589" s="1"/>
      <c r="AO2589" s="1"/>
      <c r="AP2589" s="1"/>
      <c r="AQ2589" s="1"/>
      <c r="AR2589" s="1"/>
      <c r="AS2589" s="1"/>
      <c r="AT2589" s="1"/>
      <c r="AU2589" s="1"/>
      <c r="AV2589" s="1"/>
      <c r="AW2589" s="1"/>
      <c r="AX2589" s="1"/>
      <c r="AY2589" s="1"/>
      <c r="AZ2589" s="1"/>
      <c r="BA2589" s="1"/>
      <c r="BB2589" s="1"/>
      <c r="BC2589" s="1"/>
      <c r="BD2589" s="1"/>
      <c r="BE2589" s="1"/>
    </row>
    <row x14ac:dyDescent="0.25" r="2590" customHeight="1" ht="18.75">
      <c r="A2590" s="1"/>
      <c r="B2590" s="2"/>
      <c r="C2590" s="2"/>
      <c r="D2590" s="2"/>
      <c r="E2590" s="2"/>
      <c r="F2590" s="2"/>
      <c r="G2590" s="1"/>
      <c r="H2590" s="1"/>
      <c r="I2590" s="7">
        <v>2.587</v>
      </c>
      <c r="J2590" s="7">
        <f>IF((I2590-ROUNDDOWN(I2590,0))=0, 0, (I2590-ROUNDDOWN(I2590,0)))</f>
      </c>
      <c r="K2590" s="7">
        <f>INDIRECT("C$"&amp;2+MIN(2,ROUNDDOWN(I2590,0))*3)*(-$J2590^3+3*$J2590^2-3*$J2590+1)+INDIRECT("C$"&amp;3+MIN(2,ROUNDDOWN(I2590,0))*3)*(3*$J2590^3-6*$J2590^2+3*$J2590)+INDIRECT("C$"&amp;4+MIN(2,ROUNDDOWN(I2590,0))*3)*(-3*$J2590^3+3*$J2590^2)+INDIRECT("C$"&amp;5+MIN(2,ROUNDDOWN(I2590,0))*3)*$J2590^3</f>
      </c>
      <c r="L2590" s="7">
        <f>INDIRECT("D$"&amp;2+MIN(2,ROUNDDOWN(I2590,0))*3)*(-$J2590^3+3*$J2590^2-3*$J2590+1)+INDIRECT("D$"&amp;3+MIN(2,ROUNDDOWN(I2590,0))*3)*(3*$J2590^3-6*$J2590^2+3*$J2590)+INDIRECT("D$"&amp;4+MIN(2,ROUNDDOWN(I2590,0))*3)*(-3*$J2590^3+3*$J2590^2)+INDIRECT("D$"&amp;5+MIN(2,ROUNDDOWN(I2590,0))*3)*$J2590^3</f>
      </c>
      <c r="M2590" s="7">
        <f>SQRT(K2590^2+L2590^2)</f>
      </c>
      <c r="N2590" s="7">
        <f>(K2591-K2589)</f>
      </c>
      <c r="O2590" s="7">
        <f>+(L2591-L2589)</f>
      </c>
      <c r="P2590" s="7">
        <f>SQRT(O2590^2+N2590^2)</f>
      </c>
      <c r="Q2590" s="7">
        <f>N2590/$P2590</f>
      </c>
      <c r="R2590" s="7">
        <f>O2590/$P2590</f>
      </c>
      <c r="S2590" s="7">
        <f>Q2590^2+R2590^2</f>
      </c>
      <c r="T2590" s="7">
        <f>-R2590</f>
      </c>
      <c r="U2590" s="7">
        <f>Q2590</f>
      </c>
      <c r="V2590" s="7">
        <f>($C$14+($C$15-$C$14)/($D$15-$D$14)*(I2590-$D$14))/2</f>
      </c>
      <c r="W2590" s="7">
        <f>($B$22*I2590^4+$C$22*I2590^3+$D$22*I2590^2+$E$22*I2590+$F$22)/2</f>
      </c>
      <c r="X2590" s="7">
        <f>($W2590)*(T2590)</f>
      </c>
      <c r="Y2590" s="7">
        <f>($W2590)*(U2590)</f>
      </c>
      <c r="Z2590" s="7">
        <f>SQRT(X2590^2+Y2590^2)</f>
      </c>
      <c r="AA2590" s="7">
        <f>$K2590+$X2590</f>
      </c>
      <c r="AB2590" s="7">
        <f>$L2590+$Y2590</f>
      </c>
      <c r="AC2590" s="7">
        <f>$K2590-$X2590</f>
      </c>
      <c r="AD2590" s="7">
        <f>$L2590-$Y2590</f>
      </c>
      <c r="AE2590" s="7">
        <f>AA2590/39.3701</f>
      </c>
      <c r="AF2590" s="7">
        <f>AB2590/39.3701</f>
      </c>
      <c r="AG2590" s="7">
        <f>AC2590/39.3701</f>
      </c>
      <c r="AH2590" s="7">
        <f>AD2590/39.3701</f>
      </c>
      <c r="AI2590" s="1"/>
      <c r="AJ2590" s="1"/>
      <c r="AK2590" s="1"/>
      <c r="AL2590" s="1"/>
      <c r="AM2590" s="2"/>
      <c r="AN2590" s="1"/>
      <c r="AO2590" s="1"/>
      <c r="AP2590" s="1"/>
      <c r="AQ2590" s="1"/>
      <c r="AR2590" s="1"/>
      <c r="AS2590" s="1"/>
      <c r="AT2590" s="1"/>
      <c r="AU2590" s="1"/>
      <c r="AV2590" s="1"/>
      <c r="AW2590" s="1"/>
      <c r="AX2590" s="1"/>
      <c r="AY2590" s="1"/>
      <c r="AZ2590" s="1"/>
      <c r="BA2590" s="1"/>
      <c r="BB2590" s="1"/>
      <c r="BC2590" s="1"/>
      <c r="BD2590" s="1"/>
      <c r="BE2590" s="1"/>
    </row>
    <row x14ac:dyDescent="0.25" r="2591" customHeight="1" ht="18.75">
      <c r="A2591" s="1"/>
      <c r="B2591" s="2"/>
      <c r="C2591" s="2"/>
      <c r="D2591" s="2"/>
      <c r="E2591" s="2"/>
      <c r="F2591" s="2"/>
      <c r="G2591" s="1"/>
      <c r="H2591" s="1"/>
      <c r="I2591" s="7">
        <v>2.588</v>
      </c>
      <c r="J2591" s="7">
        <f>IF((I2591-ROUNDDOWN(I2591,0))=0, 0, (I2591-ROUNDDOWN(I2591,0)))</f>
      </c>
      <c r="K2591" s="7">
        <f>INDIRECT("C$"&amp;2+MIN(2,ROUNDDOWN(I2591,0))*3)*(-$J2591^3+3*$J2591^2-3*$J2591+1)+INDIRECT("C$"&amp;3+MIN(2,ROUNDDOWN(I2591,0))*3)*(3*$J2591^3-6*$J2591^2+3*$J2591)+INDIRECT("C$"&amp;4+MIN(2,ROUNDDOWN(I2591,0))*3)*(-3*$J2591^3+3*$J2591^2)+INDIRECT("C$"&amp;5+MIN(2,ROUNDDOWN(I2591,0))*3)*$J2591^3</f>
      </c>
      <c r="L2591" s="7">
        <f>INDIRECT("D$"&amp;2+MIN(2,ROUNDDOWN(I2591,0))*3)*(-$J2591^3+3*$J2591^2-3*$J2591+1)+INDIRECT("D$"&amp;3+MIN(2,ROUNDDOWN(I2591,0))*3)*(3*$J2591^3-6*$J2591^2+3*$J2591)+INDIRECT("D$"&amp;4+MIN(2,ROUNDDOWN(I2591,0))*3)*(-3*$J2591^3+3*$J2591^2)+INDIRECT("D$"&amp;5+MIN(2,ROUNDDOWN(I2591,0))*3)*$J2591^3</f>
      </c>
      <c r="M2591" s="7">
        <f>SQRT(K2591^2+L2591^2)</f>
      </c>
      <c r="N2591" s="7">
        <f>(K2592-K2590)</f>
      </c>
      <c r="O2591" s="7">
        <f>+(L2592-L2590)</f>
      </c>
      <c r="P2591" s="7">
        <f>SQRT(O2591^2+N2591^2)</f>
      </c>
      <c r="Q2591" s="7">
        <f>N2591/$P2591</f>
      </c>
      <c r="R2591" s="7">
        <f>O2591/$P2591</f>
      </c>
      <c r="S2591" s="7">
        <f>Q2591^2+R2591^2</f>
      </c>
      <c r="T2591" s="7">
        <f>-R2591</f>
      </c>
      <c r="U2591" s="7">
        <f>Q2591</f>
      </c>
      <c r="V2591" s="7">
        <f>($C$14+($C$15-$C$14)/($D$15-$D$14)*(I2591-$D$14))/2</f>
      </c>
      <c r="W2591" s="7">
        <f>($B$22*I2591^4+$C$22*I2591^3+$D$22*I2591^2+$E$22*I2591+$F$22)/2</f>
      </c>
      <c r="X2591" s="7">
        <f>($W2591)*(T2591)</f>
      </c>
      <c r="Y2591" s="7">
        <f>($W2591)*(U2591)</f>
      </c>
      <c r="Z2591" s="7">
        <f>SQRT(X2591^2+Y2591^2)</f>
      </c>
      <c r="AA2591" s="7">
        <f>$K2591+$X2591</f>
      </c>
      <c r="AB2591" s="7">
        <f>$L2591+$Y2591</f>
      </c>
      <c r="AC2591" s="7">
        <f>$K2591-$X2591</f>
      </c>
      <c r="AD2591" s="7">
        <f>$L2591-$Y2591</f>
      </c>
      <c r="AE2591" s="7">
        <f>AA2591/39.3701</f>
      </c>
      <c r="AF2591" s="7">
        <f>AB2591/39.3701</f>
      </c>
      <c r="AG2591" s="7">
        <f>AC2591/39.3701</f>
      </c>
      <c r="AH2591" s="7">
        <f>AD2591/39.3701</f>
      </c>
      <c r="AI2591" s="1"/>
      <c r="AJ2591" s="1"/>
      <c r="AK2591" s="1"/>
      <c r="AL2591" s="1"/>
      <c r="AM2591" s="2"/>
      <c r="AN2591" s="1"/>
      <c r="AO2591" s="1"/>
      <c r="AP2591" s="1"/>
      <c r="AQ2591" s="1"/>
      <c r="AR2591" s="1"/>
      <c r="AS2591" s="1"/>
      <c r="AT2591" s="1"/>
      <c r="AU2591" s="1"/>
      <c r="AV2591" s="1"/>
      <c r="AW2591" s="1"/>
      <c r="AX2591" s="1"/>
      <c r="AY2591" s="1"/>
      <c r="AZ2591" s="1"/>
      <c r="BA2591" s="1"/>
      <c r="BB2591" s="1"/>
      <c r="BC2591" s="1"/>
      <c r="BD2591" s="1"/>
      <c r="BE2591" s="1"/>
    </row>
    <row x14ac:dyDescent="0.25" r="2592" customHeight="1" ht="18.75">
      <c r="A2592" s="1"/>
      <c r="B2592" s="2"/>
      <c r="C2592" s="2"/>
      <c r="D2592" s="2"/>
      <c r="E2592" s="2"/>
      <c r="F2592" s="2"/>
      <c r="G2592" s="1"/>
      <c r="H2592" s="1"/>
      <c r="I2592" s="7">
        <v>2.589</v>
      </c>
      <c r="J2592" s="7">
        <f>IF((I2592-ROUNDDOWN(I2592,0))=0, 0, (I2592-ROUNDDOWN(I2592,0)))</f>
      </c>
      <c r="K2592" s="7">
        <f>INDIRECT("C$"&amp;2+MIN(2,ROUNDDOWN(I2592,0))*3)*(-$J2592^3+3*$J2592^2-3*$J2592+1)+INDIRECT("C$"&amp;3+MIN(2,ROUNDDOWN(I2592,0))*3)*(3*$J2592^3-6*$J2592^2+3*$J2592)+INDIRECT("C$"&amp;4+MIN(2,ROUNDDOWN(I2592,0))*3)*(-3*$J2592^3+3*$J2592^2)+INDIRECT("C$"&amp;5+MIN(2,ROUNDDOWN(I2592,0))*3)*$J2592^3</f>
      </c>
      <c r="L2592" s="7">
        <f>INDIRECT("D$"&amp;2+MIN(2,ROUNDDOWN(I2592,0))*3)*(-$J2592^3+3*$J2592^2-3*$J2592+1)+INDIRECT("D$"&amp;3+MIN(2,ROUNDDOWN(I2592,0))*3)*(3*$J2592^3-6*$J2592^2+3*$J2592)+INDIRECT("D$"&amp;4+MIN(2,ROUNDDOWN(I2592,0))*3)*(-3*$J2592^3+3*$J2592^2)+INDIRECT("D$"&amp;5+MIN(2,ROUNDDOWN(I2592,0))*3)*$J2592^3</f>
      </c>
      <c r="M2592" s="7">
        <f>SQRT(K2592^2+L2592^2)</f>
      </c>
      <c r="N2592" s="7">
        <f>(K2593-K2591)</f>
      </c>
      <c r="O2592" s="7">
        <f>+(L2593-L2591)</f>
      </c>
      <c r="P2592" s="7">
        <f>SQRT(O2592^2+N2592^2)</f>
      </c>
      <c r="Q2592" s="7">
        <f>N2592/$P2592</f>
      </c>
      <c r="R2592" s="7">
        <f>O2592/$P2592</f>
      </c>
      <c r="S2592" s="8">
        <f>Q2592^2+R2592^2</f>
      </c>
      <c r="T2592" s="7">
        <f>-R2592</f>
      </c>
      <c r="U2592" s="7">
        <f>Q2592</f>
      </c>
      <c r="V2592" s="7">
        <f>($C$14+($C$15-$C$14)/($D$15-$D$14)*(I2592-$D$14))/2</f>
      </c>
      <c r="W2592" s="7">
        <f>($B$22*I2592^4+$C$22*I2592^3+$D$22*I2592^2+$E$22*I2592+$F$22)/2</f>
      </c>
      <c r="X2592" s="7">
        <f>($W2592)*(T2592)</f>
      </c>
      <c r="Y2592" s="7">
        <f>($W2592)*(U2592)</f>
      </c>
      <c r="Z2592" s="7">
        <f>SQRT(X2592^2+Y2592^2)</f>
      </c>
      <c r="AA2592" s="7">
        <f>$K2592+$X2592</f>
      </c>
      <c r="AB2592" s="7">
        <f>$L2592+$Y2592</f>
      </c>
      <c r="AC2592" s="7">
        <f>$K2592-$X2592</f>
      </c>
      <c r="AD2592" s="7">
        <f>$L2592-$Y2592</f>
      </c>
      <c r="AE2592" s="7">
        <f>AA2592/39.3701</f>
      </c>
      <c r="AF2592" s="7">
        <f>AB2592/39.3701</f>
      </c>
      <c r="AG2592" s="7">
        <f>AC2592/39.3701</f>
      </c>
      <c r="AH2592" s="7">
        <f>AD2592/39.3701</f>
      </c>
      <c r="AI2592" s="1"/>
      <c r="AJ2592" s="1"/>
      <c r="AK2592" s="1"/>
      <c r="AL2592" s="1"/>
      <c r="AM2592" s="2"/>
      <c r="AN2592" s="1"/>
      <c r="AO2592" s="1"/>
      <c r="AP2592" s="1"/>
      <c r="AQ2592" s="1"/>
      <c r="AR2592" s="1"/>
      <c r="AS2592" s="1"/>
      <c r="AT2592" s="1"/>
      <c r="AU2592" s="1"/>
      <c r="AV2592" s="1"/>
      <c r="AW2592" s="1"/>
      <c r="AX2592" s="1"/>
      <c r="AY2592" s="1"/>
      <c r="AZ2592" s="1"/>
      <c r="BA2592" s="1"/>
      <c r="BB2592" s="1"/>
      <c r="BC2592" s="1"/>
      <c r="BD2592" s="1"/>
      <c r="BE2592" s="1"/>
    </row>
    <row x14ac:dyDescent="0.25" r="2593" customHeight="1" ht="18.75">
      <c r="A2593" s="1"/>
      <c r="B2593" s="2"/>
      <c r="C2593" s="2"/>
      <c r="D2593" s="2"/>
      <c r="E2593" s="2"/>
      <c r="F2593" s="2"/>
      <c r="G2593" s="1"/>
      <c r="H2593" s="1"/>
      <c r="I2593" s="7">
        <v>2.59</v>
      </c>
      <c r="J2593" s="7">
        <f>IF((I2593-ROUNDDOWN(I2593,0))=0, 0, (I2593-ROUNDDOWN(I2593,0)))</f>
      </c>
      <c r="K2593" s="7">
        <f>INDIRECT("C$"&amp;2+MIN(2,ROUNDDOWN(I2593,0))*3)*(-$J2593^3+3*$J2593^2-3*$J2593+1)+INDIRECT("C$"&amp;3+MIN(2,ROUNDDOWN(I2593,0))*3)*(3*$J2593^3-6*$J2593^2+3*$J2593)+INDIRECT("C$"&amp;4+MIN(2,ROUNDDOWN(I2593,0))*3)*(-3*$J2593^3+3*$J2593^2)+INDIRECT("C$"&amp;5+MIN(2,ROUNDDOWN(I2593,0))*3)*$J2593^3</f>
      </c>
      <c r="L2593" s="7">
        <f>INDIRECT("D$"&amp;2+MIN(2,ROUNDDOWN(I2593,0))*3)*(-$J2593^3+3*$J2593^2-3*$J2593+1)+INDIRECT("D$"&amp;3+MIN(2,ROUNDDOWN(I2593,0))*3)*(3*$J2593^3-6*$J2593^2+3*$J2593)+INDIRECT("D$"&amp;4+MIN(2,ROUNDDOWN(I2593,0))*3)*(-3*$J2593^3+3*$J2593^2)+INDIRECT("D$"&amp;5+MIN(2,ROUNDDOWN(I2593,0))*3)*$J2593^3</f>
      </c>
      <c r="M2593" s="7">
        <f>SQRT(K2593^2+L2593^2)</f>
      </c>
      <c r="N2593" s="7">
        <f>(K2594-K2592)</f>
      </c>
      <c r="O2593" s="7">
        <f>+(L2594-L2592)</f>
      </c>
      <c r="P2593" s="7">
        <f>SQRT(O2593^2+N2593^2)</f>
      </c>
      <c r="Q2593" s="7">
        <f>N2593/$P2593</f>
      </c>
      <c r="R2593" s="7">
        <f>O2593/$P2593</f>
      </c>
      <c r="S2593" s="8">
        <f>Q2593^2+R2593^2</f>
      </c>
      <c r="T2593" s="7">
        <f>-R2593</f>
      </c>
      <c r="U2593" s="7">
        <f>Q2593</f>
      </c>
      <c r="V2593" s="7">
        <f>($C$14+($C$15-$C$14)/($D$15-$D$14)*(I2593-$D$14))/2</f>
      </c>
      <c r="W2593" s="7">
        <f>($B$22*I2593^4+$C$22*I2593^3+$D$22*I2593^2+$E$22*I2593+$F$22)/2</f>
      </c>
      <c r="X2593" s="7">
        <f>($W2593)*(T2593)</f>
      </c>
      <c r="Y2593" s="7">
        <f>($W2593)*(U2593)</f>
      </c>
      <c r="Z2593" s="7">
        <f>SQRT(X2593^2+Y2593^2)</f>
      </c>
      <c r="AA2593" s="7">
        <f>$K2593+$X2593</f>
      </c>
      <c r="AB2593" s="7">
        <f>$L2593+$Y2593</f>
      </c>
      <c r="AC2593" s="7">
        <f>$K2593-$X2593</f>
      </c>
      <c r="AD2593" s="7">
        <f>$L2593-$Y2593</f>
      </c>
      <c r="AE2593" s="7">
        <f>AA2593/39.3701</f>
      </c>
      <c r="AF2593" s="7">
        <f>AB2593/39.3701</f>
      </c>
      <c r="AG2593" s="7">
        <f>AC2593/39.3701</f>
      </c>
      <c r="AH2593" s="7">
        <f>AD2593/39.3701</f>
      </c>
      <c r="AI2593" s="1"/>
      <c r="AJ2593" s="1"/>
      <c r="AK2593" s="1"/>
      <c r="AL2593" s="1"/>
      <c r="AM2593" s="2"/>
      <c r="AN2593" s="1"/>
      <c r="AO2593" s="1"/>
      <c r="AP2593" s="1"/>
      <c r="AQ2593" s="1"/>
      <c r="AR2593" s="1"/>
      <c r="AS2593" s="1"/>
      <c r="AT2593" s="1"/>
      <c r="AU2593" s="1"/>
      <c r="AV2593" s="1"/>
      <c r="AW2593" s="1"/>
      <c r="AX2593" s="1"/>
      <c r="AY2593" s="1"/>
      <c r="AZ2593" s="1"/>
      <c r="BA2593" s="1"/>
      <c r="BB2593" s="1"/>
      <c r="BC2593" s="1"/>
      <c r="BD2593" s="1"/>
      <c r="BE2593" s="1"/>
    </row>
    <row x14ac:dyDescent="0.25" r="2594" customHeight="1" ht="18.75">
      <c r="A2594" s="1"/>
      <c r="B2594" s="2"/>
      <c r="C2594" s="2"/>
      <c r="D2594" s="2"/>
      <c r="E2594" s="2"/>
      <c r="F2594" s="2"/>
      <c r="G2594" s="1"/>
      <c r="H2594" s="1"/>
      <c r="I2594" s="7">
        <v>2.591</v>
      </c>
      <c r="J2594" s="7">
        <f>IF((I2594-ROUNDDOWN(I2594,0))=0, 0, (I2594-ROUNDDOWN(I2594,0)))</f>
      </c>
      <c r="K2594" s="7">
        <f>INDIRECT("C$"&amp;2+MIN(2,ROUNDDOWN(I2594,0))*3)*(-$J2594^3+3*$J2594^2-3*$J2594+1)+INDIRECT("C$"&amp;3+MIN(2,ROUNDDOWN(I2594,0))*3)*(3*$J2594^3-6*$J2594^2+3*$J2594)+INDIRECT("C$"&amp;4+MIN(2,ROUNDDOWN(I2594,0))*3)*(-3*$J2594^3+3*$J2594^2)+INDIRECT("C$"&amp;5+MIN(2,ROUNDDOWN(I2594,0))*3)*$J2594^3</f>
      </c>
      <c r="L2594" s="7">
        <f>INDIRECT("D$"&amp;2+MIN(2,ROUNDDOWN(I2594,0))*3)*(-$J2594^3+3*$J2594^2-3*$J2594+1)+INDIRECT("D$"&amp;3+MIN(2,ROUNDDOWN(I2594,0))*3)*(3*$J2594^3-6*$J2594^2+3*$J2594)+INDIRECT("D$"&amp;4+MIN(2,ROUNDDOWN(I2594,0))*3)*(-3*$J2594^3+3*$J2594^2)+INDIRECT("D$"&amp;5+MIN(2,ROUNDDOWN(I2594,0))*3)*$J2594^3</f>
      </c>
      <c r="M2594" s="7">
        <f>SQRT(K2594^2+L2594^2)</f>
      </c>
      <c r="N2594" s="7">
        <f>(K2595-K2593)</f>
      </c>
      <c r="O2594" s="7">
        <f>+(L2595-L2593)</f>
      </c>
      <c r="P2594" s="7">
        <f>SQRT(O2594^2+N2594^2)</f>
      </c>
      <c r="Q2594" s="7">
        <f>N2594/$P2594</f>
      </c>
      <c r="R2594" s="7">
        <f>O2594/$P2594</f>
      </c>
      <c r="S2594" s="8">
        <f>Q2594^2+R2594^2</f>
      </c>
      <c r="T2594" s="7">
        <f>-R2594</f>
      </c>
      <c r="U2594" s="7">
        <f>Q2594</f>
      </c>
      <c r="V2594" s="7">
        <f>($C$14+($C$15-$C$14)/($D$15-$D$14)*(I2594-$D$14))/2</f>
      </c>
      <c r="W2594" s="7">
        <f>($B$22*I2594^4+$C$22*I2594^3+$D$22*I2594^2+$E$22*I2594+$F$22)/2</f>
      </c>
      <c r="X2594" s="7">
        <f>($W2594)*(T2594)</f>
      </c>
      <c r="Y2594" s="7">
        <f>($W2594)*(U2594)</f>
      </c>
      <c r="Z2594" s="7">
        <f>SQRT(X2594^2+Y2594^2)</f>
      </c>
      <c r="AA2594" s="7">
        <f>$K2594+$X2594</f>
      </c>
      <c r="AB2594" s="7">
        <f>$L2594+$Y2594</f>
      </c>
      <c r="AC2594" s="7">
        <f>$K2594-$X2594</f>
      </c>
      <c r="AD2594" s="7">
        <f>$L2594-$Y2594</f>
      </c>
      <c r="AE2594" s="7">
        <f>AA2594/39.3701</f>
      </c>
      <c r="AF2594" s="7">
        <f>AB2594/39.3701</f>
      </c>
      <c r="AG2594" s="7">
        <f>AC2594/39.3701</f>
      </c>
      <c r="AH2594" s="7">
        <f>AD2594/39.3701</f>
      </c>
      <c r="AI2594" s="1"/>
      <c r="AJ2594" s="1"/>
      <c r="AK2594" s="1"/>
      <c r="AL2594" s="1"/>
      <c r="AM2594" s="2"/>
      <c r="AN2594" s="1"/>
      <c r="AO2594" s="1"/>
      <c r="AP2594" s="1"/>
      <c r="AQ2594" s="1"/>
      <c r="AR2594" s="1"/>
      <c r="AS2594" s="1"/>
      <c r="AT2594" s="1"/>
      <c r="AU2594" s="1"/>
      <c r="AV2594" s="1"/>
      <c r="AW2594" s="1"/>
      <c r="AX2594" s="1"/>
      <c r="AY2594" s="1"/>
      <c r="AZ2594" s="1"/>
      <c r="BA2594" s="1"/>
      <c r="BB2594" s="1"/>
      <c r="BC2594" s="1"/>
      <c r="BD2594" s="1"/>
      <c r="BE2594" s="1"/>
    </row>
    <row x14ac:dyDescent="0.25" r="2595" customHeight="1" ht="18.75">
      <c r="A2595" s="1"/>
      <c r="B2595" s="2"/>
      <c r="C2595" s="2"/>
      <c r="D2595" s="2"/>
      <c r="E2595" s="2"/>
      <c r="F2595" s="2"/>
      <c r="G2595" s="1"/>
      <c r="H2595" s="1"/>
      <c r="I2595" s="7">
        <v>2.592</v>
      </c>
      <c r="J2595" s="7">
        <f>IF((I2595-ROUNDDOWN(I2595,0))=0, 0, (I2595-ROUNDDOWN(I2595,0)))</f>
      </c>
      <c r="K2595" s="7">
        <f>INDIRECT("C$"&amp;2+MIN(2,ROUNDDOWN(I2595,0))*3)*(-$J2595^3+3*$J2595^2-3*$J2595+1)+INDIRECT("C$"&amp;3+MIN(2,ROUNDDOWN(I2595,0))*3)*(3*$J2595^3-6*$J2595^2+3*$J2595)+INDIRECT("C$"&amp;4+MIN(2,ROUNDDOWN(I2595,0))*3)*(-3*$J2595^3+3*$J2595^2)+INDIRECT("C$"&amp;5+MIN(2,ROUNDDOWN(I2595,0))*3)*$J2595^3</f>
      </c>
      <c r="L2595" s="7">
        <f>INDIRECT("D$"&amp;2+MIN(2,ROUNDDOWN(I2595,0))*3)*(-$J2595^3+3*$J2595^2-3*$J2595+1)+INDIRECT("D$"&amp;3+MIN(2,ROUNDDOWN(I2595,0))*3)*(3*$J2595^3-6*$J2595^2+3*$J2595)+INDIRECT("D$"&amp;4+MIN(2,ROUNDDOWN(I2595,0))*3)*(-3*$J2595^3+3*$J2595^2)+INDIRECT("D$"&amp;5+MIN(2,ROUNDDOWN(I2595,0))*3)*$J2595^3</f>
      </c>
      <c r="M2595" s="7">
        <f>SQRT(K2595^2+L2595^2)</f>
      </c>
      <c r="N2595" s="7">
        <f>(K2596-K2594)</f>
      </c>
      <c r="O2595" s="7">
        <f>+(L2596-L2594)</f>
      </c>
      <c r="P2595" s="7">
        <f>SQRT(O2595^2+N2595^2)</f>
      </c>
      <c r="Q2595" s="7">
        <f>N2595/$P2595</f>
      </c>
      <c r="R2595" s="7">
        <f>O2595/$P2595</f>
      </c>
      <c r="S2595" s="8">
        <f>Q2595^2+R2595^2</f>
      </c>
      <c r="T2595" s="7">
        <f>-R2595</f>
      </c>
      <c r="U2595" s="7">
        <f>Q2595</f>
      </c>
      <c r="V2595" s="7">
        <f>($C$14+($C$15-$C$14)/($D$15-$D$14)*(I2595-$D$14))/2</f>
      </c>
      <c r="W2595" s="7">
        <f>($B$22*I2595^4+$C$22*I2595^3+$D$22*I2595^2+$E$22*I2595+$F$22)/2</f>
      </c>
      <c r="X2595" s="7">
        <f>($W2595)*(T2595)</f>
      </c>
      <c r="Y2595" s="7">
        <f>($W2595)*(U2595)</f>
      </c>
      <c r="Z2595" s="7">
        <f>SQRT(X2595^2+Y2595^2)</f>
      </c>
      <c r="AA2595" s="7">
        <f>$K2595+$X2595</f>
      </c>
      <c r="AB2595" s="7">
        <f>$L2595+$Y2595</f>
      </c>
      <c r="AC2595" s="7">
        <f>$K2595-$X2595</f>
      </c>
      <c r="AD2595" s="7">
        <f>$L2595-$Y2595</f>
      </c>
      <c r="AE2595" s="7">
        <f>AA2595/39.3701</f>
      </c>
      <c r="AF2595" s="7">
        <f>AB2595/39.3701</f>
      </c>
      <c r="AG2595" s="7">
        <f>AC2595/39.3701</f>
      </c>
      <c r="AH2595" s="7">
        <f>AD2595/39.3701</f>
      </c>
      <c r="AI2595" s="1"/>
      <c r="AJ2595" s="1"/>
      <c r="AK2595" s="1"/>
      <c r="AL2595" s="1"/>
      <c r="AM2595" s="2"/>
      <c r="AN2595" s="1"/>
      <c r="AO2595" s="1"/>
      <c r="AP2595" s="1"/>
      <c r="AQ2595" s="1"/>
      <c r="AR2595" s="1"/>
      <c r="AS2595" s="1"/>
      <c r="AT2595" s="1"/>
      <c r="AU2595" s="1"/>
      <c r="AV2595" s="1"/>
      <c r="AW2595" s="1"/>
      <c r="AX2595" s="1"/>
      <c r="AY2595" s="1"/>
      <c r="AZ2595" s="1"/>
      <c r="BA2595" s="1"/>
      <c r="BB2595" s="1"/>
      <c r="BC2595" s="1"/>
      <c r="BD2595" s="1"/>
      <c r="BE2595" s="1"/>
    </row>
    <row x14ac:dyDescent="0.25" r="2596" customHeight="1" ht="18.75">
      <c r="A2596" s="1"/>
      <c r="B2596" s="2"/>
      <c r="C2596" s="2"/>
      <c r="D2596" s="2"/>
      <c r="E2596" s="2"/>
      <c r="F2596" s="2"/>
      <c r="G2596" s="1"/>
      <c r="H2596" s="1"/>
      <c r="I2596" s="7">
        <v>2.593</v>
      </c>
      <c r="J2596" s="7">
        <f>IF((I2596-ROUNDDOWN(I2596,0))=0, 0, (I2596-ROUNDDOWN(I2596,0)))</f>
      </c>
      <c r="K2596" s="7">
        <f>INDIRECT("C$"&amp;2+MIN(2,ROUNDDOWN(I2596,0))*3)*(-$J2596^3+3*$J2596^2-3*$J2596+1)+INDIRECT("C$"&amp;3+MIN(2,ROUNDDOWN(I2596,0))*3)*(3*$J2596^3-6*$J2596^2+3*$J2596)+INDIRECT("C$"&amp;4+MIN(2,ROUNDDOWN(I2596,0))*3)*(-3*$J2596^3+3*$J2596^2)+INDIRECT("C$"&amp;5+MIN(2,ROUNDDOWN(I2596,0))*3)*$J2596^3</f>
      </c>
      <c r="L2596" s="7">
        <f>INDIRECT("D$"&amp;2+MIN(2,ROUNDDOWN(I2596,0))*3)*(-$J2596^3+3*$J2596^2-3*$J2596+1)+INDIRECT("D$"&amp;3+MIN(2,ROUNDDOWN(I2596,0))*3)*(3*$J2596^3-6*$J2596^2+3*$J2596)+INDIRECT("D$"&amp;4+MIN(2,ROUNDDOWN(I2596,0))*3)*(-3*$J2596^3+3*$J2596^2)+INDIRECT("D$"&amp;5+MIN(2,ROUNDDOWN(I2596,0))*3)*$J2596^3</f>
      </c>
      <c r="M2596" s="7">
        <f>SQRT(K2596^2+L2596^2)</f>
      </c>
      <c r="N2596" s="7">
        <f>(K2597-K2595)</f>
      </c>
      <c r="O2596" s="7">
        <f>+(L2597-L2595)</f>
      </c>
      <c r="P2596" s="7">
        <f>SQRT(O2596^2+N2596^2)</f>
      </c>
      <c r="Q2596" s="7">
        <f>N2596/$P2596</f>
      </c>
      <c r="R2596" s="7">
        <f>O2596/$P2596</f>
      </c>
      <c r="S2596" s="8">
        <f>Q2596^2+R2596^2</f>
      </c>
      <c r="T2596" s="7">
        <f>-R2596</f>
      </c>
      <c r="U2596" s="7">
        <f>Q2596</f>
      </c>
      <c r="V2596" s="7">
        <f>($C$14+($C$15-$C$14)/($D$15-$D$14)*(I2596-$D$14))/2</f>
      </c>
      <c r="W2596" s="7">
        <f>($B$22*I2596^4+$C$22*I2596^3+$D$22*I2596^2+$E$22*I2596+$F$22)/2</f>
      </c>
      <c r="X2596" s="7">
        <f>($W2596)*(T2596)</f>
      </c>
      <c r="Y2596" s="7">
        <f>($W2596)*(U2596)</f>
      </c>
      <c r="Z2596" s="7">
        <f>SQRT(X2596^2+Y2596^2)</f>
      </c>
      <c r="AA2596" s="7">
        <f>$K2596+$X2596</f>
      </c>
      <c r="AB2596" s="7">
        <f>$L2596+$Y2596</f>
      </c>
      <c r="AC2596" s="7">
        <f>$K2596-$X2596</f>
      </c>
      <c r="AD2596" s="7">
        <f>$L2596-$Y2596</f>
      </c>
      <c r="AE2596" s="7">
        <f>AA2596/39.3701</f>
      </c>
      <c r="AF2596" s="7">
        <f>AB2596/39.3701</f>
      </c>
      <c r="AG2596" s="7">
        <f>AC2596/39.3701</f>
      </c>
      <c r="AH2596" s="7">
        <f>AD2596/39.3701</f>
      </c>
      <c r="AI2596" s="1"/>
      <c r="AJ2596" s="1"/>
      <c r="AK2596" s="1"/>
      <c r="AL2596" s="1"/>
      <c r="AM2596" s="2"/>
      <c r="AN2596" s="1"/>
      <c r="AO2596" s="1"/>
      <c r="AP2596" s="1"/>
      <c r="AQ2596" s="1"/>
      <c r="AR2596" s="1"/>
      <c r="AS2596" s="1"/>
      <c r="AT2596" s="1"/>
      <c r="AU2596" s="1"/>
      <c r="AV2596" s="1"/>
      <c r="AW2596" s="1"/>
      <c r="AX2596" s="1"/>
      <c r="AY2596" s="1"/>
      <c r="AZ2596" s="1"/>
      <c r="BA2596" s="1"/>
      <c r="BB2596" s="1"/>
      <c r="BC2596" s="1"/>
      <c r="BD2596" s="1"/>
      <c r="BE2596" s="1"/>
    </row>
    <row x14ac:dyDescent="0.25" r="2597" customHeight="1" ht="18.75">
      <c r="A2597" s="1"/>
      <c r="B2597" s="2"/>
      <c r="C2597" s="2"/>
      <c r="D2597" s="2"/>
      <c r="E2597" s="2"/>
      <c r="F2597" s="2"/>
      <c r="G2597" s="1"/>
      <c r="H2597" s="1"/>
      <c r="I2597" s="7">
        <v>2.594</v>
      </c>
      <c r="J2597" s="7">
        <f>IF((I2597-ROUNDDOWN(I2597,0))=0, 0, (I2597-ROUNDDOWN(I2597,0)))</f>
      </c>
      <c r="K2597" s="7">
        <f>INDIRECT("C$"&amp;2+MIN(2,ROUNDDOWN(I2597,0))*3)*(-$J2597^3+3*$J2597^2-3*$J2597+1)+INDIRECT("C$"&amp;3+MIN(2,ROUNDDOWN(I2597,0))*3)*(3*$J2597^3-6*$J2597^2+3*$J2597)+INDIRECT("C$"&amp;4+MIN(2,ROUNDDOWN(I2597,0))*3)*(-3*$J2597^3+3*$J2597^2)+INDIRECT("C$"&amp;5+MIN(2,ROUNDDOWN(I2597,0))*3)*$J2597^3</f>
      </c>
      <c r="L2597" s="7">
        <f>INDIRECT("D$"&amp;2+MIN(2,ROUNDDOWN(I2597,0))*3)*(-$J2597^3+3*$J2597^2-3*$J2597+1)+INDIRECT("D$"&amp;3+MIN(2,ROUNDDOWN(I2597,0))*3)*(3*$J2597^3-6*$J2597^2+3*$J2597)+INDIRECT("D$"&amp;4+MIN(2,ROUNDDOWN(I2597,0))*3)*(-3*$J2597^3+3*$J2597^2)+INDIRECT("D$"&amp;5+MIN(2,ROUNDDOWN(I2597,0))*3)*$J2597^3</f>
      </c>
      <c r="M2597" s="7">
        <f>SQRT(K2597^2+L2597^2)</f>
      </c>
      <c r="N2597" s="7">
        <f>(K2598-K2596)</f>
      </c>
      <c r="O2597" s="7">
        <f>+(L2598-L2596)</f>
      </c>
      <c r="P2597" s="7">
        <f>SQRT(O2597^2+N2597^2)</f>
      </c>
      <c r="Q2597" s="7">
        <f>N2597/$P2597</f>
      </c>
      <c r="R2597" s="7">
        <f>O2597/$P2597</f>
      </c>
      <c r="S2597" s="8">
        <f>Q2597^2+R2597^2</f>
      </c>
      <c r="T2597" s="7">
        <f>-R2597</f>
      </c>
      <c r="U2597" s="7">
        <f>Q2597</f>
      </c>
      <c r="V2597" s="7">
        <f>($C$14+($C$15-$C$14)/($D$15-$D$14)*(I2597-$D$14))/2</f>
      </c>
      <c r="W2597" s="7">
        <f>($B$22*I2597^4+$C$22*I2597^3+$D$22*I2597^2+$E$22*I2597+$F$22)/2</f>
      </c>
      <c r="X2597" s="7">
        <f>($W2597)*(T2597)</f>
      </c>
      <c r="Y2597" s="7">
        <f>($W2597)*(U2597)</f>
      </c>
      <c r="Z2597" s="7">
        <f>SQRT(X2597^2+Y2597^2)</f>
      </c>
      <c r="AA2597" s="7">
        <f>$K2597+$X2597</f>
      </c>
      <c r="AB2597" s="7">
        <f>$L2597+$Y2597</f>
      </c>
      <c r="AC2597" s="7">
        <f>$K2597-$X2597</f>
      </c>
      <c r="AD2597" s="7">
        <f>$L2597-$Y2597</f>
      </c>
      <c r="AE2597" s="7">
        <f>AA2597/39.3701</f>
      </c>
      <c r="AF2597" s="7">
        <f>AB2597/39.3701</f>
      </c>
      <c r="AG2597" s="7">
        <f>AC2597/39.3701</f>
      </c>
      <c r="AH2597" s="7">
        <f>AD2597/39.3701</f>
      </c>
      <c r="AI2597" s="1"/>
      <c r="AJ2597" s="1"/>
      <c r="AK2597" s="1"/>
      <c r="AL2597" s="1"/>
      <c r="AM2597" s="2"/>
      <c r="AN2597" s="1"/>
      <c r="AO2597" s="1"/>
      <c r="AP2597" s="1"/>
      <c r="AQ2597" s="1"/>
      <c r="AR2597" s="1"/>
      <c r="AS2597" s="1"/>
      <c r="AT2597" s="1"/>
      <c r="AU2597" s="1"/>
      <c r="AV2597" s="1"/>
      <c r="AW2597" s="1"/>
      <c r="AX2597" s="1"/>
      <c r="AY2597" s="1"/>
      <c r="AZ2597" s="1"/>
      <c r="BA2597" s="1"/>
      <c r="BB2597" s="1"/>
      <c r="BC2597" s="1"/>
      <c r="BD2597" s="1"/>
      <c r="BE2597" s="1"/>
    </row>
    <row x14ac:dyDescent="0.25" r="2598" customHeight="1" ht="18.75">
      <c r="A2598" s="1"/>
      <c r="B2598" s="2"/>
      <c r="C2598" s="2"/>
      <c r="D2598" s="2"/>
      <c r="E2598" s="2"/>
      <c r="F2598" s="2"/>
      <c r="G2598" s="1"/>
      <c r="H2598" s="1"/>
      <c r="I2598" s="7">
        <v>2.595</v>
      </c>
      <c r="J2598" s="7">
        <f>IF((I2598-ROUNDDOWN(I2598,0))=0, 0, (I2598-ROUNDDOWN(I2598,0)))</f>
      </c>
      <c r="K2598" s="7">
        <f>INDIRECT("C$"&amp;2+MIN(2,ROUNDDOWN(I2598,0))*3)*(-$J2598^3+3*$J2598^2-3*$J2598+1)+INDIRECT("C$"&amp;3+MIN(2,ROUNDDOWN(I2598,0))*3)*(3*$J2598^3-6*$J2598^2+3*$J2598)+INDIRECT("C$"&amp;4+MIN(2,ROUNDDOWN(I2598,0))*3)*(-3*$J2598^3+3*$J2598^2)+INDIRECT("C$"&amp;5+MIN(2,ROUNDDOWN(I2598,0))*3)*$J2598^3</f>
      </c>
      <c r="L2598" s="7">
        <f>INDIRECT("D$"&amp;2+MIN(2,ROUNDDOWN(I2598,0))*3)*(-$J2598^3+3*$J2598^2-3*$J2598+1)+INDIRECT("D$"&amp;3+MIN(2,ROUNDDOWN(I2598,0))*3)*(3*$J2598^3-6*$J2598^2+3*$J2598)+INDIRECT("D$"&amp;4+MIN(2,ROUNDDOWN(I2598,0))*3)*(-3*$J2598^3+3*$J2598^2)+INDIRECT("D$"&amp;5+MIN(2,ROUNDDOWN(I2598,0))*3)*$J2598^3</f>
      </c>
      <c r="M2598" s="7">
        <f>SQRT(K2598^2+L2598^2)</f>
      </c>
      <c r="N2598" s="7">
        <f>(K2599-K2597)</f>
      </c>
      <c r="O2598" s="7">
        <f>+(L2599-L2597)</f>
      </c>
      <c r="P2598" s="7">
        <f>SQRT(O2598^2+N2598^2)</f>
      </c>
      <c r="Q2598" s="7">
        <f>N2598/$P2598</f>
      </c>
      <c r="R2598" s="7">
        <f>O2598/$P2598</f>
      </c>
      <c r="S2598" s="7">
        <f>Q2598^2+R2598^2</f>
      </c>
      <c r="T2598" s="7">
        <f>-R2598</f>
      </c>
      <c r="U2598" s="7">
        <f>Q2598</f>
      </c>
      <c r="V2598" s="7">
        <f>($C$14+($C$15-$C$14)/($D$15-$D$14)*(I2598-$D$14))/2</f>
      </c>
      <c r="W2598" s="7">
        <f>($B$22*I2598^4+$C$22*I2598^3+$D$22*I2598^2+$E$22*I2598+$F$22)/2</f>
      </c>
      <c r="X2598" s="7">
        <f>($W2598)*(T2598)</f>
      </c>
      <c r="Y2598" s="7">
        <f>($W2598)*(U2598)</f>
      </c>
      <c r="Z2598" s="7">
        <f>SQRT(X2598^2+Y2598^2)</f>
      </c>
      <c r="AA2598" s="7">
        <f>$K2598+$X2598</f>
      </c>
      <c r="AB2598" s="7">
        <f>$L2598+$Y2598</f>
      </c>
      <c r="AC2598" s="7">
        <f>$K2598-$X2598</f>
      </c>
      <c r="AD2598" s="7">
        <f>$L2598-$Y2598</f>
      </c>
      <c r="AE2598" s="7">
        <f>AA2598/39.3701</f>
      </c>
      <c r="AF2598" s="7">
        <f>AB2598/39.3701</f>
      </c>
      <c r="AG2598" s="7">
        <f>AC2598/39.3701</f>
      </c>
      <c r="AH2598" s="7">
        <f>AD2598/39.3701</f>
      </c>
      <c r="AI2598" s="1"/>
      <c r="AJ2598" s="1"/>
      <c r="AK2598" s="1"/>
      <c r="AL2598" s="1"/>
      <c r="AM2598" s="2"/>
      <c r="AN2598" s="1"/>
      <c r="AO2598" s="1"/>
      <c r="AP2598" s="1"/>
      <c r="AQ2598" s="1"/>
      <c r="AR2598" s="1"/>
      <c r="AS2598" s="1"/>
      <c r="AT2598" s="1"/>
      <c r="AU2598" s="1"/>
      <c r="AV2598" s="1"/>
      <c r="AW2598" s="1"/>
      <c r="AX2598" s="1"/>
      <c r="AY2598" s="1"/>
      <c r="AZ2598" s="1"/>
      <c r="BA2598" s="1"/>
      <c r="BB2598" s="1"/>
      <c r="BC2598" s="1"/>
      <c r="BD2598" s="1"/>
      <c r="BE2598" s="1"/>
    </row>
    <row x14ac:dyDescent="0.25" r="2599" customHeight="1" ht="18.75">
      <c r="A2599" s="1"/>
      <c r="B2599" s="2"/>
      <c r="C2599" s="2"/>
      <c r="D2599" s="2"/>
      <c r="E2599" s="2"/>
      <c r="F2599" s="2"/>
      <c r="G2599" s="1"/>
      <c r="H2599" s="1"/>
      <c r="I2599" s="7">
        <v>2.596</v>
      </c>
      <c r="J2599" s="7">
        <f>IF((I2599-ROUNDDOWN(I2599,0))=0, 0, (I2599-ROUNDDOWN(I2599,0)))</f>
      </c>
      <c r="K2599" s="7">
        <f>INDIRECT("C$"&amp;2+MIN(2,ROUNDDOWN(I2599,0))*3)*(-$J2599^3+3*$J2599^2-3*$J2599+1)+INDIRECT("C$"&amp;3+MIN(2,ROUNDDOWN(I2599,0))*3)*(3*$J2599^3-6*$J2599^2+3*$J2599)+INDIRECT("C$"&amp;4+MIN(2,ROUNDDOWN(I2599,0))*3)*(-3*$J2599^3+3*$J2599^2)+INDIRECT("C$"&amp;5+MIN(2,ROUNDDOWN(I2599,0))*3)*$J2599^3</f>
      </c>
      <c r="L2599" s="7">
        <f>INDIRECT("D$"&amp;2+MIN(2,ROUNDDOWN(I2599,0))*3)*(-$J2599^3+3*$J2599^2-3*$J2599+1)+INDIRECT("D$"&amp;3+MIN(2,ROUNDDOWN(I2599,0))*3)*(3*$J2599^3-6*$J2599^2+3*$J2599)+INDIRECT("D$"&amp;4+MIN(2,ROUNDDOWN(I2599,0))*3)*(-3*$J2599^3+3*$J2599^2)+INDIRECT("D$"&amp;5+MIN(2,ROUNDDOWN(I2599,0))*3)*$J2599^3</f>
      </c>
      <c r="M2599" s="7">
        <f>SQRT(K2599^2+L2599^2)</f>
      </c>
      <c r="N2599" s="7">
        <f>(K2600-K2598)</f>
      </c>
      <c r="O2599" s="7">
        <f>+(L2600-L2598)</f>
      </c>
      <c r="P2599" s="7">
        <f>SQRT(O2599^2+N2599^2)</f>
      </c>
      <c r="Q2599" s="7">
        <f>N2599/$P2599</f>
      </c>
      <c r="R2599" s="7">
        <f>O2599/$P2599</f>
      </c>
      <c r="S2599" s="7">
        <f>Q2599^2+R2599^2</f>
      </c>
      <c r="T2599" s="7">
        <f>-R2599</f>
      </c>
      <c r="U2599" s="7">
        <f>Q2599</f>
      </c>
      <c r="V2599" s="7">
        <f>($C$14+($C$15-$C$14)/($D$15-$D$14)*(I2599-$D$14))/2</f>
      </c>
      <c r="W2599" s="7">
        <f>($B$22*I2599^4+$C$22*I2599^3+$D$22*I2599^2+$E$22*I2599+$F$22)/2</f>
      </c>
      <c r="X2599" s="7">
        <f>($W2599)*(T2599)</f>
      </c>
      <c r="Y2599" s="7">
        <f>($W2599)*(U2599)</f>
      </c>
      <c r="Z2599" s="7">
        <f>SQRT(X2599^2+Y2599^2)</f>
      </c>
      <c r="AA2599" s="7">
        <f>$K2599+$X2599</f>
      </c>
      <c r="AB2599" s="7">
        <f>$L2599+$Y2599</f>
      </c>
      <c r="AC2599" s="7">
        <f>$K2599-$X2599</f>
      </c>
      <c r="AD2599" s="7">
        <f>$L2599-$Y2599</f>
      </c>
      <c r="AE2599" s="7">
        <f>AA2599/39.3701</f>
      </c>
      <c r="AF2599" s="7">
        <f>AB2599/39.3701</f>
      </c>
      <c r="AG2599" s="7">
        <f>AC2599/39.3701</f>
      </c>
      <c r="AH2599" s="7">
        <f>AD2599/39.3701</f>
      </c>
      <c r="AI2599" s="1"/>
      <c r="AJ2599" s="1"/>
      <c r="AK2599" s="1"/>
      <c r="AL2599" s="1"/>
      <c r="AM2599" s="2"/>
      <c r="AN2599" s="1"/>
      <c r="AO2599" s="1"/>
      <c r="AP2599" s="1"/>
      <c r="AQ2599" s="1"/>
      <c r="AR2599" s="1"/>
      <c r="AS2599" s="1"/>
      <c r="AT2599" s="1"/>
      <c r="AU2599" s="1"/>
      <c r="AV2599" s="1"/>
      <c r="AW2599" s="1"/>
      <c r="AX2599" s="1"/>
      <c r="AY2599" s="1"/>
      <c r="AZ2599" s="1"/>
      <c r="BA2599" s="1"/>
      <c r="BB2599" s="1"/>
      <c r="BC2599" s="1"/>
      <c r="BD2599" s="1"/>
      <c r="BE2599" s="1"/>
    </row>
    <row x14ac:dyDescent="0.25" r="2600" customHeight="1" ht="18.75">
      <c r="A2600" s="1"/>
      <c r="B2600" s="2"/>
      <c r="C2600" s="2"/>
      <c r="D2600" s="2"/>
      <c r="E2600" s="2"/>
      <c r="F2600" s="2"/>
      <c r="G2600" s="1"/>
      <c r="H2600" s="1"/>
      <c r="I2600" s="7">
        <v>2.597</v>
      </c>
      <c r="J2600" s="7">
        <f>IF((I2600-ROUNDDOWN(I2600,0))=0, 0, (I2600-ROUNDDOWN(I2600,0)))</f>
      </c>
      <c r="K2600" s="7">
        <f>INDIRECT("C$"&amp;2+MIN(2,ROUNDDOWN(I2600,0))*3)*(-$J2600^3+3*$J2600^2-3*$J2600+1)+INDIRECT("C$"&amp;3+MIN(2,ROUNDDOWN(I2600,0))*3)*(3*$J2600^3-6*$J2600^2+3*$J2600)+INDIRECT("C$"&amp;4+MIN(2,ROUNDDOWN(I2600,0))*3)*(-3*$J2600^3+3*$J2600^2)+INDIRECT("C$"&amp;5+MIN(2,ROUNDDOWN(I2600,0))*3)*$J2600^3</f>
      </c>
      <c r="L2600" s="7">
        <f>INDIRECT("D$"&amp;2+MIN(2,ROUNDDOWN(I2600,0))*3)*(-$J2600^3+3*$J2600^2-3*$J2600+1)+INDIRECT("D$"&amp;3+MIN(2,ROUNDDOWN(I2600,0))*3)*(3*$J2600^3-6*$J2600^2+3*$J2600)+INDIRECT("D$"&amp;4+MIN(2,ROUNDDOWN(I2600,0))*3)*(-3*$J2600^3+3*$J2600^2)+INDIRECT("D$"&amp;5+MIN(2,ROUNDDOWN(I2600,0))*3)*$J2600^3</f>
      </c>
      <c r="M2600" s="7">
        <f>SQRT(K2600^2+L2600^2)</f>
      </c>
      <c r="N2600" s="7">
        <f>(K2601-K2599)</f>
      </c>
      <c r="O2600" s="7">
        <f>+(L2601-L2599)</f>
      </c>
      <c r="P2600" s="7">
        <f>SQRT(O2600^2+N2600^2)</f>
      </c>
      <c r="Q2600" s="7">
        <f>N2600/$P2600</f>
      </c>
      <c r="R2600" s="7">
        <f>O2600/$P2600</f>
      </c>
      <c r="S2600" s="7">
        <f>Q2600^2+R2600^2</f>
      </c>
      <c r="T2600" s="7">
        <f>-R2600</f>
      </c>
      <c r="U2600" s="7">
        <f>Q2600</f>
      </c>
      <c r="V2600" s="7">
        <f>($C$14+($C$15-$C$14)/($D$15-$D$14)*(I2600-$D$14))/2</f>
      </c>
      <c r="W2600" s="7">
        <f>($B$22*I2600^4+$C$22*I2600^3+$D$22*I2600^2+$E$22*I2600+$F$22)/2</f>
      </c>
      <c r="X2600" s="7">
        <f>($W2600)*(T2600)</f>
      </c>
      <c r="Y2600" s="7">
        <f>($W2600)*(U2600)</f>
      </c>
      <c r="Z2600" s="7">
        <f>SQRT(X2600^2+Y2600^2)</f>
      </c>
      <c r="AA2600" s="7">
        <f>$K2600+$X2600</f>
      </c>
      <c r="AB2600" s="7">
        <f>$L2600+$Y2600</f>
      </c>
      <c r="AC2600" s="7">
        <f>$K2600-$X2600</f>
      </c>
      <c r="AD2600" s="7">
        <f>$L2600-$Y2600</f>
      </c>
      <c r="AE2600" s="7">
        <f>AA2600/39.3701</f>
      </c>
      <c r="AF2600" s="7">
        <f>AB2600/39.3701</f>
      </c>
      <c r="AG2600" s="7">
        <f>AC2600/39.3701</f>
      </c>
      <c r="AH2600" s="7">
        <f>AD2600/39.3701</f>
      </c>
      <c r="AI2600" s="1"/>
      <c r="AJ2600" s="1"/>
      <c r="AK2600" s="1"/>
      <c r="AL2600" s="1"/>
      <c r="AM2600" s="2"/>
      <c r="AN2600" s="1"/>
      <c r="AO2600" s="1"/>
      <c r="AP2600" s="1"/>
      <c r="AQ2600" s="1"/>
      <c r="AR2600" s="1"/>
      <c r="AS2600" s="1"/>
      <c r="AT2600" s="1"/>
      <c r="AU2600" s="1"/>
      <c r="AV2600" s="1"/>
      <c r="AW2600" s="1"/>
      <c r="AX2600" s="1"/>
      <c r="AY2600" s="1"/>
      <c r="AZ2600" s="1"/>
      <c r="BA2600" s="1"/>
      <c r="BB2600" s="1"/>
      <c r="BC2600" s="1"/>
      <c r="BD2600" s="1"/>
      <c r="BE2600" s="1"/>
    </row>
    <row x14ac:dyDescent="0.25" r="2601" customHeight="1" ht="18.75">
      <c r="A2601" s="1"/>
      <c r="B2601" s="2"/>
      <c r="C2601" s="2"/>
      <c r="D2601" s="2"/>
      <c r="E2601" s="2"/>
      <c r="F2601" s="2"/>
      <c r="G2601" s="1"/>
      <c r="H2601" s="1"/>
      <c r="I2601" s="7">
        <v>2.598</v>
      </c>
      <c r="J2601" s="7">
        <f>IF((I2601-ROUNDDOWN(I2601,0))=0, 0, (I2601-ROUNDDOWN(I2601,0)))</f>
      </c>
      <c r="K2601" s="7">
        <f>INDIRECT("C$"&amp;2+MIN(2,ROUNDDOWN(I2601,0))*3)*(-$J2601^3+3*$J2601^2-3*$J2601+1)+INDIRECT("C$"&amp;3+MIN(2,ROUNDDOWN(I2601,0))*3)*(3*$J2601^3-6*$J2601^2+3*$J2601)+INDIRECT("C$"&amp;4+MIN(2,ROUNDDOWN(I2601,0))*3)*(-3*$J2601^3+3*$J2601^2)+INDIRECT("C$"&amp;5+MIN(2,ROUNDDOWN(I2601,0))*3)*$J2601^3</f>
      </c>
      <c r="L2601" s="7">
        <f>INDIRECT("D$"&amp;2+MIN(2,ROUNDDOWN(I2601,0))*3)*(-$J2601^3+3*$J2601^2-3*$J2601+1)+INDIRECT("D$"&amp;3+MIN(2,ROUNDDOWN(I2601,0))*3)*(3*$J2601^3-6*$J2601^2+3*$J2601)+INDIRECT("D$"&amp;4+MIN(2,ROUNDDOWN(I2601,0))*3)*(-3*$J2601^3+3*$J2601^2)+INDIRECT("D$"&amp;5+MIN(2,ROUNDDOWN(I2601,0))*3)*$J2601^3</f>
      </c>
      <c r="M2601" s="7">
        <f>SQRT(K2601^2+L2601^2)</f>
      </c>
      <c r="N2601" s="7">
        <f>(K2602-K2600)</f>
      </c>
      <c r="O2601" s="7">
        <f>+(L2602-L2600)</f>
      </c>
      <c r="P2601" s="7">
        <f>SQRT(O2601^2+N2601^2)</f>
      </c>
      <c r="Q2601" s="7">
        <f>N2601/$P2601</f>
      </c>
      <c r="R2601" s="7">
        <f>O2601/$P2601</f>
      </c>
      <c r="S2601" s="8">
        <f>Q2601^2+R2601^2</f>
      </c>
      <c r="T2601" s="7">
        <f>-R2601</f>
      </c>
      <c r="U2601" s="7">
        <f>Q2601</f>
      </c>
      <c r="V2601" s="7">
        <f>($C$14+($C$15-$C$14)/($D$15-$D$14)*(I2601-$D$14))/2</f>
      </c>
      <c r="W2601" s="7">
        <f>($B$22*I2601^4+$C$22*I2601^3+$D$22*I2601^2+$E$22*I2601+$F$22)/2</f>
      </c>
      <c r="X2601" s="7">
        <f>($W2601)*(T2601)</f>
      </c>
      <c r="Y2601" s="7">
        <f>($W2601)*(U2601)</f>
      </c>
      <c r="Z2601" s="7">
        <f>SQRT(X2601^2+Y2601^2)</f>
      </c>
      <c r="AA2601" s="7">
        <f>$K2601+$X2601</f>
      </c>
      <c r="AB2601" s="7">
        <f>$L2601+$Y2601</f>
      </c>
      <c r="AC2601" s="7">
        <f>$K2601-$X2601</f>
      </c>
      <c r="AD2601" s="7">
        <f>$L2601-$Y2601</f>
      </c>
      <c r="AE2601" s="7">
        <f>AA2601/39.3701</f>
      </c>
      <c r="AF2601" s="7">
        <f>AB2601/39.3701</f>
      </c>
      <c r="AG2601" s="7">
        <f>AC2601/39.3701</f>
      </c>
      <c r="AH2601" s="7">
        <f>AD2601/39.3701</f>
      </c>
      <c r="AI2601" s="1"/>
      <c r="AJ2601" s="1"/>
      <c r="AK2601" s="1"/>
      <c r="AL2601" s="1"/>
      <c r="AM2601" s="2"/>
      <c r="AN2601" s="1"/>
      <c r="AO2601" s="1"/>
      <c r="AP2601" s="1"/>
      <c r="AQ2601" s="1"/>
      <c r="AR2601" s="1"/>
      <c r="AS2601" s="1"/>
      <c r="AT2601" s="1"/>
      <c r="AU2601" s="1"/>
      <c r="AV2601" s="1"/>
      <c r="AW2601" s="1"/>
      <c r="AX2601" s="1"/>
      <c r="AY2601" s="1"/>
      <c r="AZ2601" s="1"/>
      <c r="BA2601" s="1"/>
      <c r="BB2601" s="1"/>
      <c r="BC2601" s="1"/>
      <c r="BD2601" s="1"/>
      <c r="BE2601" s="1"/>
    </row>
    <row x14ac:dyDescent="0.25" r="2602" customHeight="1" ht="18.75">
      <c r="A2602" s="1"/>
      <c r="B2602" s="2"/>
      <c r="C2602" s="2"/>
      <c r="D2602" s="2"/>
      <c r="E2602" s="2"/>
      <c r="F2602" s="2"/>
      <c r="G2602" s="1"/>
      <c r="H2602" s="1"/>
      <c r="I2602" s="7">
        <v>2.599</v>
      </c>
      <c r="J2602" s="7">
        <f>IF((I2602-ROUNDDOWN(I2602,0))=0, 0, (I2602-ROUNDDOWN(I2602,0)))</f>
      </c>
      <c r="K2602" s="7">
        <f>INDIRECT("C$"&amp;2+MIN(2,ROUNDDOWN(I2602,0))*3)*(-$J2602^3+3*$J2602^2-3*$J2602+1)+INDIRECT("C$"&amp;3+MIN(2,ROUNDDOWN(I2602,0))*3)*(3*$J2602^3-6*$J2602^2+3*$J2602)+INDIRECT("C$"&amp;4+MIN(2,ROUNDDOWN(I2602,0))*3)*(-3*$J2602^3+3*$J2602^2)+INDIRECT("C$"&amp;5+MIN(2,ROUNDDOWN(I2602,0))*3)*$J2602^3</f>
      </c>
      <c r="L2602" s="7">
        <f>INDIRECT("D$"&amp;2+MIN(2,ROUNDDOWN(I2602,0))*3)*(-$J2602^3+3*$J2602^2-3*$J2602+1)+INDIRECT("D$"&amp;3+MIN(2,ROUNDDOWN(I2602,0))*3)*(3*$J2602^3-6*$J2602^2+3*$J2602)+INDIRECT("D$"&amp;4+MIN(2,ROUNDDOWN(I2602,0))*3)*(-3*$J2602^3+3*$J2602^2)+INDIRECT("D$"&amp;5+MIN(2,ROUNDDOWN(I2602,0))*3)*$J2602^3</f>
      </c>
      <c r="M2602" s="7">
        <f>SQRT(K2602^2+L2602^2)</f>
      </c>
      <c r="N2602" s="7">
        <f>(K2603-K2601)</f>
      </c>
      <c r="O2602" s="7">
        <f>+(L2603-L2601)</f>
      </c>
      <c r="P2602" s="7">
        <f>SQRT(O2602^2+N2602^2)</f>
      </c>
      <c r="Q2602" s="7">
        <f>N2602/$P2602</f>
      </c>
      <c r="R2602" s="7">
        <f>O2602/$P2602</f>
      </c>
      <c r="S2602" s="8">
        <f>Q2602^2+R2602^2</f>
      </c>
      <c r="T2602" s="7">
        <f>-R2602</f>
      </c>
      <c r="U2602" s="7">
        <f>Q2602</f>
      </c>
      <c r="V2602" s="7">
        <f>($C$14+($C$15-$C$14)/($D$15-$D$14)*(I2602-$D$14))/2</f>
      </c>
      <c r="W2602" s="7">
        <f>($B$22*I2602^4+$C$22*I2602^3+$D$22*I2602^2+$E$22*I2602+$F$22)/2</f>
      </c>
      <c r="X2602" s="7">
        <f>($W2602)*(T2602)</f>
      </c>
      <c r="Y2602" s="7">
        <f>($W2602)*(U2602)</f>
      </c>
      <c r="Z2602" s="7">
        <f>SQRT(X2602^2+Y2602^2)</f>
      </c>
      <c r="AA2602" s="7">
        <f>$K2602+$X2602</f>
      </c>
      <c r="AB2602" s="7">
        <f>$L2602+$Y2602</f>
      </c>
      <c r="AC2602" s="7">
        <f>$K2602-$X2602</f>
      </c>
      <c r="AD2602" s="7">
        <f>$L2602-$Y2602</f>
      </c>
      <c r="AE2602" s="7">
        <f>AA2602/39.3701</f>
      </c>
      <c r="AF2602" s="7">
        <f>AB2602/39.3701</f>
      </c>
      <c r="AG2602" s="7">
        <f>AC2602/39.3701</f>
      </c>
      <c r="AH2602" s="7">
        <f>AD2602/39.3701</f>
      </c>
      <c r="AI2602" s="1"/>
      <c r="AJ2602" s="1"/>
      <c r="AK2602" s="1"/>
      <c r="AL2602" s="1"/>
      <c r="AM2602" s="2"/>
      <c r="AN2602" s="1"/>
      <c r="AO2602" s="1"/>
      <c r="AP2602" s="1"/>
      <c r="AQ2602" s="1"/>
      <c r="AR2602" s="1"/>
      <c r="AS2602" s="1"/>
      <c r="AT2602" s="1"/>
      <c r="AU2602" s="1"/>
      <c r="AV2602" s="1"/>
      <c r="AW2602" s="1"/>
      <c r="AX2602" s="1"/>
      <c r="AY2602" s="1"/>
      <c r="AZ2602" s="1"/>
      <c r="BA2602" s="1"/>
      <c r="BB2602" s="1"/>
      <c r="BC2602" s="1"/>
      <c r="BD2602" s="1"/>
      <c r="BE2602" s="1"/>
    </row>
    <row x14ac:dyDescent="0.25" r="2603" customHeight="1" ht="18.75">
      <c r="A2603" s="1"/>
      <c r="B2603" s="2"/>
      <c r="C2603" s="2"/>
      <c r="D2603" s="2"/>
      <c r="E2603" s="2"/>
      <c r="F2603" s="2"/>
      <c r="G2603" s="1"/>
      <c r="H2603" s="1"/>
      <c r="I2603" s="7">
        <v>2.6</v>
      </c>
      <c r="J2603" s="7">
        <f>IF((I2603-ROUNDDOWN(I2603,0))=0, 0, (I2603-ROUNDDOWN(I2603,0)))</f>
      </c>
      <c r="K2603" s="7">
        <f>INDIRECT("C$"&amp;2+MIN(2,ROUNDDOWN(I2603,0))*3)*(-$J2603^3+3*$J2603^2-3*$J2603+1)+INDIRECT("C$"&amp;3+MIN(2,ROUNDDOWN(I2603,0))*3)*(3*$J2603^3-6*$J2603^2+3*$J2603)+INDIRECT("C$"&amp;4+MIN(2,ROUNDDOWN(I2603,0))*3)*(-3*$J2603^3+3*$J2603^2)+INDIRECT("C$"&amp;5+MIN(2,ROUNDDOWN(I2603,0))*3)*$J2603^3</f>
      </c>
      <c r="L2603" s="7">
        <f>INDIRECT("D$"&amp;2+MIN(2,ROUNDDOWN(I2603,0))*3)*(-$J2603^3+3*$J2603^2-3*$J2603+1)+INDIRECT("D$"&amp;3+MIN(2,ROUNDDOWN(I2603,0))*3)*(3*$J2603^3-6*$J2603^2+3*$J2603)+INDIRECT("D$"&amp;4+MIN(2,ROUNDDOWN(I2603,0))*3)*(-3*$J2603^3+3*$J2603^2)+INDIRECT("D$"&amp;5+MIN(2,ROUNDDOWN(I2603,0))*3)*$J2603^3</f>
      </c>
      <c r="M2603" s="7">
        <f>SQRT(K2603^2+L2603^2)</f>
      </c>
      <c r="N2603" s="7">
        <f>(K2604-K2602)</f>
      </c>
      <c r="O2603" s="7">
        <f>+(L2604-L2602)</f>
      </c>
      <c r="P2603" s="7">
        <f>SQRT(O2603^2+N2603^2)</f>
      </c>
      <c r="Q2603" s="7">
        <f>N2603/$P2603</f>
      </c>
      <c r="R2603" s="7">
        <f>O2603/$P2603</f>
      </c>
      <c r="S2603" s="8">
        <f>Q2603^2+R2603^2</f>
      </c>
      <c r="T2603" s="7">
        <f>-R2603</f>
      </c>
      <c r="U2603" s="7">
        <f>Q2603</f>
      </c>
      <c r="V2603" s="7">
        <f>($C$14+($C$15-$C$14)/($D$15-$D$14)*(I2603-$D$14))/2</f>
      </c>
      <c r="W2603" s="7">
        <f>($B$22*I2603^4+$C$22*I2603^3+$D$22*I2603^2+$E$22*I2603+$F$22)/2</f>
      </c>
      <c r="X2603" s="7">
        <f>($W2603)*(T2603)</f>
      </c>
      <c r="Y2603" s="7">
        <f>($W2603)*(U2603)</f>
      </c>
      <c r="Z2603" s="7">
        <f>SQRT(X2603^2+Y2603^2)</f>
      </c>
      <c r="AA2603" s="7">
        <f>$K2603+$X2603</f>
      </c>
      <c r="AB2603" s="7">
        <f>$L2603+$Y2603</f>
      </c>
      <c r="AC2603" s="7">
        <f>$K2603-$X2603</f>
      </c>
      <c r="AD2603" s="7">
        <f>$L2603-$Y2603</f>
      </c>
      <c r="AE2603" s="7">
        <f>AA2603/39.3701</f>
      </c>
      <c r="AF2603" s="7">
        <f>AB2603/39.3701</f>
      </c>
      <c r="AG2603" s="7">
        <f>AC2603/39.3701</f>
      </c>
      <c r="AH2603" s="7">
        <f>AD2603/39.3701</f>
      </c>
      <c r="AI2603" s="1"/>
      <c r="AJ2603" s="1"/>
      <c r="AK2603" s="1"/>
      <c r="AL2603" s="1"/>
      <c r="AM2603" s="2"/>
      <c r="AN2603" s="1"/>
      <c r="AO2603" s="1"/>
      <c r="AP2603" s="1"/>
      <c r="AQ2603" s="1"/>
      <c r="AR2603" s="1"/>
      <c r="AS2603" s="1"/>
      <c r="AT2603" s="1"/>
      <c r="AU2603" s="1"/>
      <c r="AV2603" s="1"/>
      <c r="AW2603" s="1"/>
      <c r="AX2603" s="1"/>
      <c r="AY2603" s="1"/>
      <c r="AZ2603" s="1"/>
      <c r="BA2603" s="1"/>
      <c r="BB2603" s="1"/>
      <c r="BC2603" s="1"/>
      <c r="BD2603" s="1"/>
      <c r="BE2603" s="1"/>
    </row>
    <row x14ac:dyDescent="0.25" r="2604" customHeight="1" ht="18.75">
      <c r="A2604" s="1"/>
      <c r="B2604" s="2"/>
      <c r="C2604" s="2"/>
      <c r="D2604" s="2"/>
      <c r="E2604" s="2"/>
      <c r="F2604" s="2"/>
      <c r="G2604" s="1"/>
      <c r="H2604" s="1"/>
      <c r="I2604" s="7">
        <v>2.601</v>
      </c>
      <c r="J2604" s="7">
        <f>IF((I2604-ROUNDDOWN(I2604,0))=0, 0, (I2604-ROUNDDOWN(I2604,0)))</f>
      </c>
      <c r="K2604" s="7">
        <f>INDIRECT("C$"&amp;2+MIN(2,ROUNDDOWN(I2604,0))*3)*(-$J2604^3+3*$J2604^2-3*$J2604+1)+INDIRECT("C$"&amp;3+MIN(2,ROUNDDOWN(I2604,0))*3)*(3*$J2604^3-6*$J2604^2+3*$J2604)+INDIRECT("C$"&amp;4+MIN(2,ROUNDDOWN(I2604,0))*3)*(-3*$J2604^3+3*$J2604^2)+INDIRECT("C$"&amp;5+MIN(2,ROUNDDOWN(I2604,0))*3)*$J2604^3</f>
      </c>
      <c r="L2604" s="7">
        <f>INDIRECT("D$"&amp;2+MIN(2,ROUNDDOWN(I2604,0))*3)*(-$J2604^3+3*$J2604^2-3*$J2604+1)+INDIRECT("D$"&amp;3+MIN(2,ROUNDDOWN(I2604,0))*3)*(3*$J2604^3-6*$J2604^2+3*$J2604)+INDIRECT("D$"&amp;4+MIN(2,ROUNDDOWN(I2604,0))*3)*(-3*$J2604^3+3*$J2604^2)+INDIRECT("D$"&amp;5+MIN(2,ROUNDDOWN(I2604,0))*3)*$J2604^3</f>
      </c>
      <c r="M2604" s="7">
        <f>SQRT(K2604^2+L2604^2)</f>
      </c>
      <c r="N2604" s="7">
        <f>(K2605-K2603)</f>
      </c>
      <c r="O2604" s="7">
        <f>+(L2605-L2603)</f>
      </c>
      <c r="P2604" s="7">
        <f>SQRT(O2604^2+N2604^2)</f>
      </c>
      <c r="Q2604" s="7">
        <f>N2604/$P2604</f>
      </c>
      <c r="R2604" s="7">
        <f>O2604/$P2604</f>
      </c>
      <c r="S2604" s="8">
        <f>Q2604^2+R2604^2</f>
      </c>
      <c r="T2604" s="7">
        <f>-R2604</f>
      </c>
      <c r="U2604" s="7">
        <f>Q2604</f>
      </c>
      <c r="V2604" s="7">
        <f>($C$14+($C$15-$C$14)/($D$15-$D$14)*(I2604-$D$14))/2</f>
      </c>
      <c r="W2604" s="7">
        <f>($B$22*I2604^4+$C$22*I2604^3+$D$22*I2604^2+$E$22*I2604+$F$22)/2</f>
      </c>
      <c r="X2604" s="7">
        <f>($W2604)*(T2604)</f>
      </c>
      <c r="Y2604" s="7">
        <f>($W2604)*(U2604)</f>
      </c>
      <c r="Z2604" s="7">
        <f>SQRT(X2604^2+Y2604^2)</f>
      </c>
      <c r="AA2604" s="7">
        <f>$K2604+$X2604</f>
      </c>
      <c r="AB2604" s="7">
        <f>$L2604+$Y2604</f>
      </c>
      <c r="AC2604" s="7">
        <f>$K2604-$X2604</f>
      </c>
      <c r="AD2604" s="7">
        <f>$L2604-$Y2604</f>
      </c>
      <c r="AE2604" s="7">
        <f>AA2604/39.3701</f>
      </c>
      <c r="AF2604" s="7">
        <f>AB2604/39.3701</f>
      </c>
      <c r="AG2604" s="7">
        <f>AC2604/39.3701</f>
      </c>
      <c r="AH2604" s="7">
        <f>AD2604/39.3701</f>
      </c>
      <c r="AI2604" s="1"/>
      <c r="AJ2604" s="1"/>
      <c r="AK2604" s="1"/>
      <c r="AL2604" s="1"/>
      <c r="AM2604" s="2"/>
      <c r="AN2604" s="1"/>
      <c r="AO2604" s="1"/>
      <c r="AP2604" s="1"/>
      <c r="AQ2604" s="1"/>
      <c r="AR2604" s="1"/>
      <c r="AS2604" s="1"/>
      <c r="AT2604" s="1"/>
      <c r="AU2604" s="1"/>
      <c r="AV2604" s="1"/>
      <c r="AW2604" s="1"/>
      <c r="AX2604" s="1"/>
      <c r="AY2604" s="1"/>
      <c r="AZ2604" s="1"/>
      <c r="BA2604" s="1"/>
      <c r="BB2604" s="1"/>
      <c r="BC2604" s="1"/>
      <c r="BD2604" s="1"/>
      <c r="BE2604" s="1"/>
    </row>
    <row x14ac:dyDescent="0.25" r="2605" customHeight="1" ht="18.75">
      <c r="A2605" s="1"/>
      <c r="B2605" s="2"/>
      <c r="C2605" s="2"/>
      <c r="D2605" s="2"/>
      <c r="E2605" s="2"/>
      <c r="F2605" s="2"/>
      <c r="G2605" s="1"/>
      <c r="H2605" s="1"/>
      <c r="I2605" s="7">
        <v>2.602</v>
      </c>
      <c r="J2605" s="7">
        <f>IF((I2605-ROUNDDOWN(I2605,0))=0, 0, (I2605-ROUNDDOWN(I2605,0)))</f>
      </c>
      <c r="K2605" s="7">
        <f>INDIRECT("C$"&amp;2+MIN(2,ROUNDDOWN(I2605,0))*3)*(-$J2605^3+3*$J2605^2-3*$J2605+1)+INDIRECT("C$"&amp;3+MIN(2,ROUNDDOWN(I2605,0))*3)*(3*$J2605^3-6*$J2605^2+3*$J2605)+INDIRECT("C$"&amp;4+MIN(2,ROUNDDOWN(I2605,0))*3)*(-3*$J2605^3+3*$J2605^2)+INDIRECT("C$"&amp;5+MIN(2,ROUNDDOWN(I2605,0))*3)*$J2605^3</f>
      </c>
      <c r="L2605" s="7">
        <f>INDIRECT("D$"&amp;2+MIN(2,ROUNDDOWN(I2605,0))*3)*(-$J2605^3+3*$J2605^2-3*$J2605+1)+INDIRECT("D$"&amp;3+MIN(2,ROUNDDOWN(I2605,0))*3)*(3*$J2605^3-6*$J2605^2+3*$J2605)+INDIRECT("D$"&amp;4+MIN(2,ROUNDDOWN(I2605,0))*3)*(-3*$J2605^3+3*$J2605^2)+INDIRECT("D$"&amp;5+MIN(2,ROUNDDOWN(I2605,0))*3)*$J2605^3</f>
      </c>
      <c r="M2605" s="7">
        <f>SQRT(K2605^2+L2605^2)</f>
      </c>
      <c r="N2605" s="7">
        <f>(K2606-K2604)</f>
      </c>
      <c r="O2605" s="7">
        <f>+(L2606-L2604)</f>
      </c>
      <c r="P2605" s="7">
        <f>SQRT(O2605^2+N2605^2)</f>
      </c>
      <c r="Q2605" s="7">
        <f>N2605/$P2605</f>
      </c>
      <c r="R2605" s="7">
        <f>O2605/$P2605</f>
      </c>
      <c r="S2605" s="7">
        <f>Q2605^2+R2605^2</f>
      </c>
      <c r="T2605" s="7">
        <f>-R2605</f>
      </c>
      <c r="U2605" s="7">
        <f>Q2605</f>
      </c>
      <c r="V2605" s="7">
        <f>($C$14+($C$15-$C$14)/($D$15-$D$14)*(I2605-$D$14))/2</f>
      </c>
      <c r="W2605" s="7">
        <f>($B$22*I2605^4+$C$22*I2605^3+$D$22*I2605^2+$E$22*I2605+$F$22)/2</f>
      </c>
      <c r="X2605" s="7">
        <f>($W2605)*(T2605)</f>
      </c>
      <c r="Y2605" s="7">
        <f>($W2605)*(U2605)</f>
      </c>
      <c r="Z2605" s="7">
        <f>SQRT(X2605^2+Y2605^2)</f>
      </c>
      <c r="AA2605" s="7">
        <f>$K2605+$X2605</f>
      </c>
      <c r="AB2605" s="7">
        <f>$L2605+$Y2605</f>
      </c>
      <c r="AC2605" s="7">
        <f>$K2605-$X2605</f>
      </c>
      <c r="AD2605" s="7">
        <f>$L2605-$Y2605</f>
      </c>
      <c r="AE2605" s="7">
        <f>AA2605/39.3701</f>
      </c>
      <c r="AF2605" s="7">
        <f>AB2605/39.3701</f>
      </c>
      <c r="AG2605" s="7">
        <f>AC2605/39.3701</f>
      </c>
      <c r="AH2605" s="7">
        <f>AD2605/39.3701</f>
      </c>
      <c r="AI2605" s="1"/>
      <c r="AJ2605" s="1"/>
      <c r="AK2605" s="1"/>
      <c r="AL2605" s="1"/>
      <c r="AM2605" s="2"/>
      <c r="AN2605" s="1"/>
      <c r="AO2605" s="1"/>
      <c r="AP2605" s="1"/>
      <c r="AQ2605" s="1"/>
      <c r="AR2605" s="1"/>
      <c r="AS2605" s="1"/>
      <c r="AT2605" s="1"/>
      <c r="AU2605" s="1"/>
      <c r="AV2605" s="1"/>
      <c r="AW2605" s="1"/>
      <c r="AX2605" s="1"/>
      <c r="AY2605" s="1"/>
      <c r="AZ2605" s="1"/>
      <c r="BA2605" s="1"/>
      <c r="BB2605" s="1"/>
      <c r="BC2605" s="1"/>
      <c r="BD2605" s="1"/>
      <c r="BE2605" s="1"/>
    </row>
    <row x14ac:dyDescent="0.25" r="2606" customHeight="1" ht="18.75">
      <c r="A2606" s="1"/>
      <c r="B2606" s="2"/>
      <c r="C2606" s="2"/>
      <c r="D2606" s="2"/>
      <c r="E2606" s="2"/>
      <c r="F2606" s="2"/>
      <c r="G2606" s="1"/>
      <c r="H2606" s="1"/>
      <c r="I2606" s="7">
        <v>2.603</v>
      </c>
      <c r="J2606" s="7">
        <f>IF((I2606-ROUNDDOWN(I2606,0))=0, 0, (I2606-ROUNDDOWN(I2606,0)))</f>
      </c>
      <c r="K2606" s="7">
        <f>INDIRECT("C$"&amp;2+MIN(2,ROUNDDOWN(I2606,0))*3)*(-$J2606^3+3*$J2606^2-3*$J2606+1)+INDIRECT("C$"&amp;3+MIN(2,ROUNDDOWN(I2606,0))*3)*(3*$J2606^3-6*$J2606^2+3*$J2606)+INDIRECT("C$"&amp;4+MIN(2,ROUNDDOWN(I2606,0))*3)*(-3*$J2606^3+3*$J2606^2)+INDIRECT("C$"&amp;5+MIN(2,ROUNDDOWN(I2606,0))*3)*$J2606^3</f>
      </c>
      <c r="L2606" s="7">
        <f>INDIRECT("D$"&amp;2+MIN(2,ROUNDDOWN(I2606,0))*3)*(-$J2606^3+3*$J2606^2-3*$J2606+1)+INDIRECT("D$"&amp;3+MIN(2,ROUNDDOWN(I2606,0))*3)*(3*$J2606^3-6*$J2606^2+3*$J2606)+INDIRECT("D$"&amp;4+MIN(2,ROUNDDOWN(I2606,0))*3)*(-3*$J2606^3+3*$J2606^2)+INDIRECT("D$"&amp;5+MIN(2,ROUNDDOWN(I2606,0))*3)*$J2606^3</f>
      </c>
      <c r="M2606" s="7">
        <f>SQRT(K2606^2+L2606^2)</f>
      </c>
      <c r="N2606" s="7">
        <f>(K2607-K2605)</f>
      </c>
      <c r="O2606" s="7">
        <f>+(L2607-L2605)</f>
      </c>
      <c r="P2606" s="7">
        <f>SQRT(O2606^2+N2606^2)</f>
      </c>
      <c r="Q2606" s="7">
        <f>N2606/$P2606</f>
      </c>
      <c r="R2606" s="7">
        <f>O2606/$P2606</f>
      </c>
      <c r="S2606" s="8">
        <f>Q2606^2+R2606^2</f>
      </c>
      <c r="T2606" s="7">
        <f>-R2606</f>
      </c>
      <c r="U2606" s="7">
        <f>Q2606</f>
      </c>
      <c r="V2606" s="7">
        <f>($C$14+($C$15-$C$14)/($D$15-$D$14)*(I2606-$D$14))/2</f>
      </c>
      <c r="W2606" s="7">
        <f>($B$22*I2606^4+$C$22*I2606^3+$D$22*I2606^2+$E$22*I2606+$F$22)/2</f>
      </c>
      <c r="X2606" s="7">
        <f>($W2606)*(T2606)</f>
      </c>
      <c r="Y2606" s="7">
        <f>($W2606)*(U2606)</f>
      </c>
      <c r="Z2606" s="7">
        <f>SQRT(X2606^2+Y2606^2)</f>
      </c>
      <c r="AA2606" s="7">
        <f>$K2606+$X2606</f>
      </c>
      <c r="AB2606" s="7">
        <f>$L2606+$Y2606</f>
      </c>
      <c r="AC2606" s="7">
        <f>$K2606-$X2606</f>
      </c>
      <c r="AD2606" s="7">
        <f>$L2606-$Y2606</f>
      </c>
      <c r="AE2606" s="7">
        <f>AA2606/39.3701</f>
      </c>
      <c r="AF2606" s="7">
        <f>AB2606/39.3701</f>
      </c>
      <c r="AG2606" s="7">
        <f>AC2606/39.3701</f>
      </c>
      <c r="AH2606" s="7">
        <f>AD2606/39.3701</f>
      </c>
      <c r="AI2606" s="1"/>
      <c r="AJ2606" s="1"/>
      <c r="AK2606" s="1"/>
      <c r="AL2606" s="1"/>
      <c r="AM2606" s="2"/>
      <c r="AN2606" s="1"/>
      <c r="AO2606" s="1"/>
      <c r="AP2606" s="1"/>
      <c r="AQ2606" s="1"/>
      <c r="AR2606" s="1"/>
      <c r="AS2606" s="1"/>
      <c r="AT2606" s="1"/>
      <c r="AU2606" s="1"/>
      <c r="AV2606" s="1"/>
      <c r="AW2606" s="1"/>
      <c r="AX2606" s="1"/>
      <c r="AY2606" s="1"/>
      <c r="AZ2606" s="1"/>
      <c r="BA2606" s="1"/>
      <c r="BB2606" s="1"/>
      <c r="BC2606" s="1"/>
      <c r="BD2606" s="1"/>
      <c r="BE2606" s="1"/>
    </row>
    <row x14ac:dyDescent="0.25" r="2607" customHeight="1" ht="18.75">
      <c r="A2607" s="1"/>
      <c r="B2607" s="2"/>
      <c r="C2607" s="2"/>
      <c r="D2607" s="2"/>
      <c r="E2607" s="2"/>
      <c r="F2607" s="2"/>
      <c r="G2607" s="1"/>
      <c r="H2607" s="1"/>
      <c r="I2607" s="7">
        <v>2.604</v>
      </c>
      <c r="J2607" s="7">
        <f>IF((I2607-ROUNDDOWN(I2607,0))=0, 0, (I2607-ROUNDDOWN(I2607,0)))</f>
      </c>
      <c r="K2607" s="7">
        <f>INDIRECT("C$"&amp;2+MIN(2,ROUNDDOWN(I2607,0))*3)*(-$J2607^3+3*$J2607^2-3*$J2607+1)+INDIRECT("C$"&amp;3+MIN(2,ROUNDDOWN(I2607,0))*3)*(3*$J2607^3-6*$J2607^2+3*$J2607)+INDIRECT("C$"&amp;4+MIN(2,ROUNDDOWN(I2607,0))*3)*(-3*$J2607^3+3*$J2607^2)+INDIRECT("C$"&amp;5+MIN(2,ROUNDDOWN(I2607,0))*3)*$J2607^3</f>
      </c>
      <c r="L2607" s="7">
        <f>INDIRECT("D$"&amp;2+MIN(2,ROUNDDOWN(I2607,0))*3)*(-$J2607^3+3*$J2607^2-3*$J2607+1)+INDIRECT("D$"&amp;3+MIN(2,ROUNDDOWN(I2607,0))*3)*(3*$J2607^3-6*$J2607^2+3*$J2607)+INDIRECT("D$"&amp;4+MIN(2,ROUNDDOWN(I2607,0))*3)*(-3*$J2607^3+3*$J2607^2)+INDIRECT("D$"&amp;5+MIN(2,ROUNDDOWN(I2607,0))*3)*$J2607^3</f>
      </c>
      <c r="M2607" s="7">
        <f>SQRT(K2607^2+L2607^2)</f>
      </c>
      <c r="N2607" s="7">
        <f>(K2608-K2606)</f>
      </c>
      <c r="O2607" s="7">
        <f>+(L2608-L2606)</f>
      </c>
      <c r="P2607" s="7">
        <f>SQRT(O2607^2+N2607^2)</f>
      </c>
      <c r="Q2607" s="7">
        <f>N2607/$P2607</f>
      </c>
      <c r="R2607" s="7">
        <f>O2607/$P2607</f>
      </c>
      <c r="S2607" s="8">
        <f>Q2607^2+R2607^2</f>
      </c>
      <c r="T2607" s="7">
        <f>-R2607</f>
      </c>
      <c r="U2607" s="7">
        <f>Q2607</f>
      </c>
      <c r="V2607" s="7">
        <f>($C$14+($C$15-$C$14)/($D$15-$D$14)*(I2607-$D$14))/2</f>
      </c>
      <c r="W2607" s="7">
        <f>($B$22*I2607^4+$C$22*I2607^3+$D$22*I2607^2+$E$22*I2607+$F$22)/2</f>
      </c>
      <c r="X2607" s="7">
        <f>($W2607)*(T2607)</f>
      </c>
      <c r="Y2607" s="7">
        <f>($W2607)*(U2607)</f>
      </c>
      <c r="Z2607" s="7">
        <f>SQRT(X2607^2+Y2607^2)</f>
      </c>
      <c r="AA2607" s="7">
        <f>$K2607+$X2607</f>
      </c>
      <c r="AB2607" s="7">
        <f>$L2607+$Y2607</f>
      </c>
      <c r="AC2607" s="7">
        <f>$K2607-$X2607</f>
      </c>
      <c r="AD2607" s="7">
        <f>$L2607-$Y2607</f>
      </c>
      <c r="AE2607" s="7">
        <f>AA2607/39.3701</f>
      </c>
      <c r="AF2607" s="7">
        <f>AB2607/39.3701</f>
      </c>
      <c r="AG2607" s="7">
        <f>AC2607/39.3701</f>
      </c>
      <c r="AH2607" s="7">
        <f>AD2607/39.3701</f>
      </c>
      <c r="AI2607" s="1"/>
      <c r="AJ2607" s="1"/>
      <c r="AK2607" s="1"/>
      <c r="AL2607" s="1"/>
      <c r="AM2607" s="2"/>
      <c r="AN2607" s="1"/>
      <c r="AO2607" s="1"/>
      <c r="AP2607" s="1"/>
      <c r="AQ2607" s="1"/>
      <c r="AR2607" s="1"/>
      <c r="AS2607" s="1"/>
      <c r="AT2607" s="1"/>
      <c r="AU2607" s="1"/>
      <c r="AV2607" s="1"/>
      <c r="AW2607" s="1"/>
      <c r="AX2607" s="1"/>
      <c r="AY2607" s="1"/>
      <c r="AZ2607" s="1"/>
      <c r="BA2607" s="1"/>
      <c r="BB2607" s="1"/>
      <c r="BC2607" s="1"/>
      <c r="BD2607" s="1"/>
      <c r="BE2607" s="1"/>
    </row>
    <row x14ac:dyDescent="0.25" r="2608" customHeight="1" ht="18.75">
      <c r="A2608" s="1"/>
      <c r="B2608" s="2"/>
      <c r="C2608" s="2"/>
      <c r="D2608" s="2"/>
      <c r="E2608" s="2"/>
      <c r="F2608" s="2"/>
      <c r="G2608" s="1"/>
      <c r="H2608" s="1"/>
      <c r="I2608" s="7">
        <v>2.605</v>
      </c>
      <c r="J2608" s="7">
        <f>IF((I2608-ROUNDDOWN(I2608,0))=0, 0, (I2608-ROUNDDOWN(I2608,0)))</f>
      </c>
      <c r="K2608" s="7">
        <f>INDIRECT("C$"&amp;2+MIN(2,ROUNDDOWN(I2608,0))*3)*(-$J2608^3+3*$J2608^2-3*$J2608+1)+INDIRECT("C$"&amp;3+MIN(2,ROUNDDOWN(I2608,0))*3)*(3*$J2608^3-6*$J2608^2+3*$J2608)+INDIRECT("C$"&amp;4+MIN(2,ROUNDDOWN(I2608,0))*3)*(-3*$J2608^3+3*$J2608^2)+INDIRECT("C$"&amp;5+MIN(2,ROUNDDOWN(I2608,0))*3)*$J2608^3</f>
      </c>
      <c r="L2608" s="7">
        <f>INDIRECT("D$"&amp;2+MIN(2,ROUNDDOWN(I2608,0))*3)*(-$J2608^3+3*$J2608^2-3*$J2608+1)+INDIRECT("D$"&amp;3+MIN(2,ROUNDDOWN(I2608,0))*3)*(3*$J2608^3-6*$J2608^2+3*$J2608)+INDIRECT("D$"&amp;4+MIN(2,ROUNDDOWN(I2608,0))*3)*(-3*$J2608^3+3*$J2608^2)+INDIRECT("D$"&amp;5+MIN(2,ROUNDDOWN(I2608,0))*3)*$J2608^3</f>
      </c>
      <c r="M2608" s="7">
        <f>SQRT(K2608^2+L2608^2)</f>
      </c>
      <c r="N2608" s="7">
        <f>(K2609-K2607)</f>
      </c>
      <c r="O2608" s="7">
        <f>+(L2609-L2607)</f>
      </c>
      <c r="P2608" s="7">
        <f>SQRT(O2608^2+N2608^2)</f>
      </c>
      <c r="Q2608" s="7">
        <f>N2608/$P2608</f>
      </c>
      <c r="R2608" s="7">
        <f>O2608/$P2608</f>
      </c>
      <c r="S2608" s="8">
        <f>Q2608^2+R2608^2</f>
      </c>
      <c r="T2608" s="7">
        <f>-R2608</f>
      </c>
      <c r="U2608" s="7">
        <f>Q2608</f>
      </c>
      <c r="V2608" s="7">
        <f>($C$14+($C$15-$C$14)/($D$15-$D$14)*(I2608-$D$14))/2</f>
      </c>
      <c r="W2608" s="7">
        <f>($B$22*I2608^4+$C$22*I2608^3+$D$22*I2608^2+$E$22*I2608+$F$22)/2</f>
      </c>
      <c r="X2608" s="7">
        <f>($W2608)*(T2608)</f>
      </c>
      <c r="Y2608" s="7">
        <f>($W2608)*(U2608)</f>
      </c>
      <c r="Z2608" s="7">
        <f>SQRT(X2608^2+Y2608^2)</f>
      </c>
      <c r="AA2608" s="7">
        <f>$K2608+$X2608</f>
      </c>
      <c r="AB2608" s="7">
        <f>$L2608+$Y2608</f>
      </c>
      <c r="AC2608" s="7">
        <f>$K2608-$X2608</f>
      </c>
      <c r="AD2608" s="7">
        <f>$L2608-$Y2608</f>
      </c>
      <c r="AE2608" s="7">
        <f>AA2608/39.3701</f>
      </c>
      <c r="AF2608" s="7">
        <f>AB2608/39.3701</f>
      </c>
      <c r="AG2608" s="7">
        <f>AC2608/39.3701</f>
      </c>
      <c r="AH2608" s="7">
        <f>AD2608/39.3701</f>
      </c>
      <c r="AI2608" s="1"/>
      <c r="AJ2608" s="1"/>
      <c r="AK2608" s="1"/>
      <c r="AL2608" s="1"/>
      <c r="AM2608" s="2"/>
      <c r="AN2608" s="1"/>
      <c r="AO2608" s="1"/>
      <c r="AP2608" s="1"/>
      <c r="AQ2608" s="1"/>
      <c r="AR2608" s="1"/>
      <c r="AS2608" s="1"/>
      <c r="AT2608" s="1"/>
      <c r="AU2608" s="1"/>
      <c r="AV2608" s="1"/>
      <c r="AW2608" s="1"/>
      <c r="AX2608" s="1"/>
      <c r="AY2608" s="1"/>
      <c r="AZ2608" s="1"/>
      <c r="BA2608" s="1"/>
      <c r="BB2608" s="1"/>
      <c r="BC2608" s="1"/>
      <c r="BD2608" s="1"/>
      <c r="BE2608" s="1"/>
    </row>
    <row x14ac:dyDescent="0.25" r="2609" customHeight="1" ht="18.75">
      <c r="A2609" s="1"/>
      <c r="B2609" s="2"/>
      <c r="C2609" s="2"/>
      <c r="D2609" s="2"/>
      <c r="E2609" s="2"/>
      <c r="F2609" s="2"/>
      <c r="G2609" s="1"/>
      <c r="H2609" s="1"/>
      <c r="I2609" s="7">
        <v>2.606</v>
      </c>
      <c r="J2609" s="7">
        <f>IF((I2609-ROUNDDOWN(I2609,0))=0, 0, (I2609-ROUNDDOWN(I2609,0)))</f>
      </c>
      <c r="K2609" s="7">
        <f>INDIRECT("C$"&amp;2+MIN(2,ROUNDDOWN(I2609,0))*3)*(-$J2609^3+3*$J2609^2-3*$J2609+1)+INDIRECT("C$"&amp;3+MIN(2,ROUNDDOWN(I2609,0))*3)*(3*$J2609^3-6*$J2609^2+3*$J2609)+INDIRECT("C$"&amp;4+MIN(2,ROUNDDOWN(I2609,0))*3)*(-3*$J2609^3+3*$J2609^2)+INDIRECT("C$"&amp;5+MIN(2,ROUNDDOWN(I2609,0))*3)*$J2609^3</f>
      </c>
      <c r="L2609" s="7">
        <f>INDIRECT("D$"&amp;2+MIN(2,ROUNDDOWN(I2609,0))*3)*(-$J2609^3+3*$J2609^2-3*$J2609+1)+INDIRECT("D$"&amp;3+MIN(2,ROUNDDOWN(I2609,0))*3)*(3*$J2609^3-6*$J2609^2+3*$J2609)+INDIRECT("D$"&amp;4+MIN(2,ROUNDDOWN(I2609,0))*3)*(-3*$J2609^3+3*$J2609^2)+INDIRECT("D$"&amp;5+MIN(2,ROUNDDOWN(I2609,0))*3)*$J2609^3</f>
      </c>
      <c r="M2609" s="7">
        <f>SQRT(K2609^2+L2609^2)</f>
      </c>
      <c r="N2609" s="7">
        <f>(K2610-K2608)</f>
      </c>
      <c r="O2609" s="7">
        <f>+(L2610-L2608)</f>
      </c>
      <c r="P2609" s="7">
        <f>SQRT(O2609^2+N2609^2)</f>
      </c>
      <c r="Q2609" s="7">
        <f>N2609/$P2609</f>
      </c>
      <c r="R2609" s="7">
        <f>O2609/$P2609</f>
      </c>
      <c r="S2609" s="8">
        <f>Q2609^2+R2609^2</f>
      </c>
      <c r="T2609" s="7">
        <f>-R2609</f>
      </c>
      <c r="U2609" s="7">
        <f>Q2609</f>
      </c>
      <c r="V2609" s="7">
        <f>($C$14+($C$15-$C$14)/($D$15-$D$14)*(I2609-$D$14))/2</f>
      </c>
      <c r="W2609" s="7">
        <f>($B$22*I2609^4+$C$22*I2609^3+$D$22*I2609^2+$E$22*I2609+$F$22)/2</f>
      </c>
      <c r="X2609" s="7">
        <f>($W2609)*(T2609)</f>
      </c>
      <c r="Y2609" s="7">
        <f>($W2609)*(U2609)</f>
      </c>
      <c r="Z2609" s="7">
        <f>SQRT(X2609^2+Y2609^2)</f>
      </c>
      <c r="AA2609" s="7">
        <f>$K2609+$X2609</f>
      </c>
      <c r="AB2609" s="7">
        <f>$L2609+$Y2609</f>
      </c>
      <c r="AC2609" s="7">
        <f>$K2609-$X2609</f>
      </c>
      <c r="AD2609" s="7">
        <f>$L2609-$Y2609</f>
      </c>
      <c r="AE2609" s="7">
        <f>AA2609/39.3701</f>
      </c>
      <c r="AF2609" s="7">
        <f>AB2609/39.3701</f>
      </c>
      <c r="AG2609" s="7">
        <f>AC2609/39.3701</f>
      </c>
      <c r="AH2609" s="7">
        <f>AD2609/39.3701</f>
      </c>
      <c r="AI2609" s="1"/>
      <c r="AJ2609" s="1"/>
      <c r="AK2609" s="1"/>
      <c r="AL2609" s="1"/>
      <c r="AM2609" s="2"/>
      <c r="AN2609" s="1"/>
      <c r="AO2609" s="1"/>
      <c r="AP2609" s="1"/>
      <c r="AQ2609" s="1"/>
      <c r="AR2609" s="1"/>
      <c r="AS2609" s="1"/>
      <c r="AT2609" s="1"/>
      <c r="AU2609" s="1"/>
      <c r="AV2609" s="1"/>
      <c r="AW2609" s="1"/>
      <c r="AX2609" s="1"/>
      <c r="AY2609" s="1"/>
      <c r="AZ2609" s="1"/>
      <c r="BA2609" s="1"/>
      <c r="BB2609" s="1"/>
      <c r="BC2609" s="1"/>
      <c r="BD2609" s="1"/>
      <c r="BE2609" s="1"/>
    </row>
    <row x14ac:dyDescent="0.25" r="2610" customHeight="1" ht="18.75">
      <c r="A2610" s="1"/>
      <c r="B2610" s="2"/>
      <c r="C2610" s="2"/>
      <c r="D2610" s="2"/>
      <c r="E2610" s="2"/>
      <c r="F2610" s="2"/>
      <c r="G2610" s="1"/>
      <c r="H2610" s="1"/>
      <c r="I2610" s="7">
        <v>2.607</v>
      </c>
      <c r="J2610" s="7">
        <f>IF((I2610-ROUNDDOWN(I2610,0))=0, 0, (I2610-ROUNDDOWN(I2610,0)))</f>
      </c>
      <c r="K2610" s="7">
        <f>INDIRECT("C$"&amp;2+MIN(2,ROUNDDOWN(I2610,0))*3)*(-$J2610^3+3*$J2610^2-3*$J2610+1)+INDIRECT("C$"&amp;3+MIN(2,ROUNDDOWN(I2610,0))*3)*(3*$J2610^3-6*$J2610^2+3*$J2610)+INDIRECT("C$"&amp;4+MIN(2,ROUNDDOWN(I2610,0))*3)*(-3*$J2610^3+3*$J2610^2)+INDIRECT("C$"&amp;5+MIN(2,ROUNDDOWN(I2610,0))*3)*$J2610^3</f>
      </c>
      <c r="L2610" s="7">
        <f>INDIRECT("D$"&amp;2+MIN(2,ROUNDDOWN(I2610,0))*3)*(-$J2610^3+3*$J2610^2-3*$J2610+1)+INDIRECT("D$"&amp;3+MIN(2,ROUNDDOWN(I2610,0))*3)*(3*$J2610^3-6*$J2610^2+3*$J2610)+INDIRECT("D$"&amp;4+MIN(2,ROUNDDOWN(I2610,0))*3)*(-3*$J2610^3+3*$J2610^2)+INDIRECT("D$"&amp;5+MIN(2,ROUNDDOWN(I2610,0))*3)*$J2610^3</f>
      </c>
      <c r="M2610" s="7">
        <f>SQRT(K2610^2+L2610^2)</f>
      </c>
      <c r="N2610" s="7">
        <f>(K2611-K2609)</f>
      </c>
      <c r="O2610" s="7">
        <f>+(L2611-L2609)</f>
      </c>
      <c r="P2610" s="7">
        <f>SQRT(O2610^2+N2610^2)</f>
      </c>
      <c r="Q2610" s="7">
        <f>N2610/$P2610</f>
      </c>
      <c r="R2610" s="7">
        <f>O2610/$P2610</f>
      </c>
      <c r="S2610" s="7">
        <f>Q2610^2+R2610^2</f>
      </c>
      <c r="T2610" s="7">
        <f>-R2610</f>
      </c>
      <c r="U2610" s="7">
        <f>Q2610</f>
      </c>
      <c r="V2610" s="7">
        <f>($C$14+($C$15-$C$14)/($D$15-$D$14)*(I2610-$D$14))/2</f>
      </c>
      <c r="W2610" s="7">
        <f>($B$22*I2610^4+$C$22*I2610^3+$D$22*I2610^2+$E$22*I2610+$F$22)/2</f>
      </c>
      <c r="X2610" s="7">
        <f>($W2610)*(T2610)</f>
      </c>
      <c r="Y2610" s="7">
        <f>($W2610)*(U2610)</f>
      </c>
      <c r="Z2610" s="7">
        <f>SQRT(X2610^2+Y2610^2)</f>
      </c>
      <c r="AA2610" s="7">
        <f>$K2610+$X2610</f>
      </c>
      <c r="AB2610" s="7">
        <f>$L2610+$Y2610</f>
      </c>
      <c r="AC2610" s="7">
        <f>$K2610-$X2610</f>
      </c>
      <c r="AD2610" s="7">
        <f>$L2610-$Y2610</f>
      </c>
      <c r="AE2610" s="7">
        <f>AA2610/39.3701</f>
      </c>
      <c r="AF2610" s="7">
        <f>AB2610/39.3701</f>
      </c>
      <c r="AG2610" s="7">
        <f>AC2610/39.3701</f>
      </c>
      <c r="AH2610" s="7">
        <f>AD2610/39.3701</f>
      </c>
      <c r="AI2610" s="1"/>
      <c r="AJ2610" s="1"/>
      <c r="AK2610" s="1"/>
      <c r="AL2610" s="1"/>
      <c r="AM2610" s="2"/>
      <c r="AN2610" s="1"/>
      <c r="AO2610" s="1"/>
      <c r="AP2610" s="1"/>
      <c r="AQ2610" s="1"/>
      <c r="AR2610" s="1"/>
      <c r="AS2610" s="1"/>
      <c r="AT2610" s="1"/>
      <c r="AU2610" s="1"/>
      <c r="AV2610" s="1"/>
      <c r="AW2610" s="1"/>
      <c r="AX2610" s="1"/>
      <c r="AY2610" s="1"/>
      <c r="AZ2610" s="1"/>
      <c r="BA2610" s="1"/>
      <c r="BB2610" s="1"/>
      <c r="BC2610" s="1"/>
      <c r="BD2610" s="1"/>
      <c r="BE2610" s="1"/>
    </row>
    <row x14ac:dyDescent="0.25" r="2611" customHeight="1" ht="18.75">
      <c r="A2611" s="1"/>
      <c r="B2611" s="2"/>
      <c r="C2611" s="2"/>
      <c r="D2611" s="2"/>
      <c r="E2611" s="2"/>
      <c r="F2611" s="2"/>
      <c r="G2611" s="1"/>
      <c r="H2611" s="1"/>
      <c r="I2611" s="7">
        <v>2.608</v>
      </c>
      <c r="J2611" s="7">
        <f>IF((I2611-ROUNDDOWN(I2611,0))=0, 0, (I2611-ROUNDDOWN(I2611,0)))</f>
      </c>
      <c r="K2611" s="7">
        <f>INDIRECT("C$"&amp;2+MIN(2,ROUNDDOWN(I2611,0))*3)*(-$J2611^3+3*$J2611^2-3*$J2611+1)+INDIRECT("C$"&amp;3+MIN(2,ROUNDDOWN(I2611,0))*3)*(3*$J2611^3-6*$J2611^2+3*$J2611)+INDIRECT("C$"&amp;4+MIN(2,ROUNDDOWN(I2611,0))*3)*(-3*$J2611^3+3*$J2611^2)+INDIRECT("C$"&amp;5+MIN(2,ROUNDDOWN(I2611,0))*3)*$J2611^3</f>
      </c>
      <c r="L2611" s="7">
        <f>INDIRECT("D$"&amp;2+MIN(2,ROUNDDOWN(I2611,0))*3)*(-$J2611^3+3*$J2611^2-3*$J2611+1)+INDIRECT("D$"&amp;3+MIN(2,ROUNDDOWN(I2611,0))*3)*(3*$J2611^3-6*$J2611^2+3*$J2611)+INDIRECT("D$"&amp;4+MIN(2,ROUNDDOWN(I2611,0))*3)*(-3*$J2611^3+3*$J2611^2)+INDIRECT("D$"&amp;5+MIN(2,ROUNDDOWN(I2611,0))*3)*$J2611^3</f>
      </c>
      <c r="M2611" s="7">
        <f>SQRT(K2611^2+L2611^2)</f>
      </c>
      <c r="N2611" s="7">
        <f>(K2612-K2610)</f>
      </c>
      <c r="O2611" s="7">
        <f>+(L2612-L2610)</f>
      </c>
      <c r="P2611" s="7">
        <f>SQRT(O2611^2+N2611^2)</f>
      </c>
      <c r="Q2611" s="7">
        <f>N2611/$P2611</f>
      </c>
      <c r="R2611" s="7">
        <f>O2611/$P2611</f>
      </c>
      <c r="S2611" s="7">
        <f>Q2611^2+R2611^2</f>
      </c>
      <c r="T2611" s="7">
        <f>-R2611</f>
      </c>
      <c r="U2611" s="7">
        <f>Q2611</f>
      </c>
      <c r="V2611" s="7">
        <f>($C$14+($C$15-$C$14)/($D$15-$D$14)*(I2611-$D$14))/2</f>
      </c>
      <c r="W2611" s="7">
        <f>($B$22*I2611^4+$C$22*I2611^3+$D$22*I2611^2+$E$22*I2611+$F$22)/2</f>
      </c>
      <c r="X2611" s="7">
        <f>($W2611)*(T2611)</f>
      </c>
      <c r="Y2611" s="7">
        <f>($W2611)*(U2611)</f>
      </c>
      <c r="Z2611" s="7">
        <f>SQRT(X2611^2+Y2611^2)</f>
      </c>
      <c r="AA2611" s="7">
        <f>$K2611+$X2611</f>
      </c>
      <c r="AB2611" s="7">
        <f>$L2611+$Y2611</f>
      </c>
      <c r="AC2611" s="7">
        <f>$K2611-$X2611</f>
      </c>
      <c r="AD2611" s="7">
        <f>$L2611-$Y2611</f>
      </c>
      <c r="AE2611" s="7">
        <f>AA2611/39.3701</f>
      </c>
      <c r="AF2611" s="7">
        <f>AB2611/39.3701</f>
      </c>
      <c r="AG2611" s="7">
        <f>AC2611/39.3701</f>
      </c>
      <c r="AH2611" s="7">
        <f>AD2611/39.3701</f>
      </c>
      <c r="AI2611" s="1"/>
      <c r="AJ2611" s="1"/>
      <c r="AK2611" s="1"/>
      <c r="AL2611" s="1"/>
      <c r="AM2611" s="2"/>
      <c r="AN2611" s="1"/>
      <c r="AO2611" s="1"/>
      <c r="AP2611" s="1"/>
      <c r="AQ2611" s="1"/>
      <c r="AR2611" s="1"/>
      <c r="AS2611" s="1"/>
      <c r="AT2611" s="1"/>
      <c r="AU2611" s="1"/>
      <c r="AV2611" s="1"/>
      <c r="AW2611" s="1"/>
      <c r="AX2611" s="1"/>
      <c r="AY2611" s="1"/>
      <c r="AZ2611" s="1"/>
      <c r="BA2611" s="1"/>
      <c r="BB2611" s="1"/>
      <c r="BC2611" s="1"/>
      <c r="BD2611" s="1"/>
      <c r="BE2611" s="1"/>
    </row>
    <row x14ac:dyDescent="0.25" r="2612" customHeight="1" ht="18.75">
      <c r="A2612" s="1"/>
      <c r="B2612" s="2"/>
      <c r="C2612" s="2"/>
      <c r="D2612" s="2"/>
      <c r="E2612" s="2"/>
      <c r="F2612" s="2"/>
      <c r="G2612" s="1"/>
      <c r="H2612" s="1"/>
      <c r="I2612" s="7">
        <v>2.609</v>
      </c>
      <c r="J2612" s="7">
        <f>IF((I2612-ROUNDDOWN(I2612,0))=0, 0, (I2612-ROUNDDOWN(I2612,0)))</f>
      </c>
      <c r="K2612" s="7">
        <f>INDIRECT("C$"&amp;2+MIN(2,ROUNDDOWN(I2612,0))*3)*(-$J2612^3+3*$J2612^2-3*$J2612+1)+INDIRECT("C$"&amp;3+MIN(2,ROUNDDOWN(I2612,0))*3)*(3*$J2612^3-6*$J2612^2+3*$J2612)+INDIRECT("C$"&amp;4+MIN(2,ROUNDDOWN(I2612,0))*3)*(-3*$J2612^3+3*$J2612^2)+INDIRECT("C$"&amp;5+MIN(2,ROUNDDOWN(I2612,0))*3)*$J2612^3</f>
      </c>
      <c r="L2612" s="7">
        <f>INDIRECT("D$"&amp;2+MIN(2,ROUNDDOWN(I2612,0))*3)*(-$J2612^3+3*$J2612^2-3*$J2612+1)+INDIRECT("D$"&amp;3+MIN(2,ROUNDDOWN(I2612,0))*3)*(3*$J2612^3-6*$J2612^2+3*$J2612)+INDIRECT("D$"&amp;4+MIN(2,ROUNDDOWN(I2612,0))*3)*(-3*$J2612^3+3*$J2612^2)+INDIRECT("D$"&amp;5+MIN(2,ROUNDDOWN(I2612,0))*3)*$J2612^3</f>
      </c>
      <c r="M2612" s="7">
        <f>SQRT(K2612^2+L2612^2)</f>
      </c>
      <c r="N2612" s="7">
        <f>(K2613-K2611)</f>
      </c>
      <c r="O2612" s="7">
        <f>+(L2613-L2611)</f>
      </c>
      <c r="P2612" s="7">
        <f>SQRT(O2612^2+N2612^2)</f>
      </c>
      <c r="Q2612" s="7">
        <f>N2612/$P2612</f>
      </c>
      <c r="R2612" s="7">
        <f>O2612/$P2612</f>
      </c>
      <c r="S2612" s="8">
        <f>Q2612^2+R2612^2</f>
      </c>
      <c r="T2612" s="7">
        <f>-R2612</f>
      </c>
      <c r="U2612" s="7">
        <f>Q2612</f>
      </c>
      <c r="V2612" s="7">
        <f>($C$14+($C$15-$C$14)/($D$15-$D$14)*(I2612-$D$14))/2</f>
      </c>
      <c r="W2612" s="7">
        <f>($B$22*I2612^4+$C$22*I2612^3+$D$22*I2612^2+$E$22*I2612+$F$22)/2</f>
      </c>
      <c r="X2612" s="7">
        <f>($W2612)*(T2612)</f>
      </c>
      <c r="Y2612" s="7">
        <f>($W2612)*(U2612)</f>
      </c>
      <c r="Z2612" s="7">
        <f>SQRT(X2612^2+Y2612^2)</f>
      </c>
      <c r="AA2612" s="7">
        <f>$K2612+$X2612</f>
      </c>
      <c r="AB2612" s="7">
        <f>$L2612+$Y2612</f>
      </c>
      <c r="AC2612" s="7">
        <f>$K2612-$X2612</f>
      </c>
      <c r="AD2612" s="7">
        <f>$L2612-$Y2612</f>
      </c>
      <c r="AE2612" s="7">
        <f>AA2612/39.3701</f>
      </c>
      <c r="AF2612" s="7">
        <f>AB2612/39.3701</f>
      </c>
      <c r="AG2612" s="7">
        <f>AC2612/39.3701</f>
      </c>
      <c r="AH2612" s="7">
        <f>AD2612/39.3701</f>
      </c>
      <c r="AI2612" s="1"/>
      <c r="AJ2612" s="1"/>
      <c r="AK2612" s="1"/>
      <c r="AL2612" s="1"/>
      <c r="AM2612" s="2"/>
      <c r="AN2612" s="1"/>
      <c r="AO2612" s="1"/>
      <c r="AP2612" s="1"/>
      <c r="AQ2612" s="1"/>
      <c r="AR2612" s="1"/>
      <c r="AS2612" s="1"/>
      <c r="AT2612" s="1"/>
      <c r="AU2612" s="1"/>
      <c r="AV2612" s="1"/>
      <c r="AW2612" s="1"/>
      <c r="AX2612" s="1"/>
      <c r="AY2612" s="1"/>
      <c r="AZ2612" s="1"/>
      <c r="BA2612" s="1"/>
      <c r="BB2612" s="1"/>
      <c r="BC2612" s="1"/>
      <c r="BD2612" s="1"/>
      <c r="BE2612" s="1"/>
    </row>
    <row x14ac:dyDescent="0.25" r="2613" customHeight="1" ht="18.75">
      <c r="A2613" s="1"/>
      <c r="B2613" s="2"/>
      <c r="C2613" s="2"/>
      <c r="D2613" s="2"/>
      <c r="E2613" s="2"/>
      <c r="F2613" s="2"/>
      <c r="G2613" s="1"/>
      <c r="H2613" s="1"/>
      <c r="I2613" s="7">
        <v>2.61</v>
      </c>
      <c r="J2613" s="7">
        <f>IF((I2613-ROUNDDOWN(I2613,0))=0, 0, (I2613-ROUNDDOWN(I2613,0)))</f>
      </c>
      <c r="K2613" s="7">
        <f>INDIRECT("C$"&amp;2+MIN(2,ROUNDDOWN(I2613,0))*3)*(-$J2613^3+3*$J2613^2-3*$J2613+1)+INDIRECT("C$"&amp;3+MIN(2,ROUNDDOWN(I2613,0))*3)*(3*$J2613^3-6*$J2613^2+3*$J2613)+INDIRECT("C$"&amp;4+MIN(2,ROUNDDOWN(I2613,0))*3)*(-3*$J2613^3+3*$J2613^2)+INDIRECT("C$"&amp;5+MIN(2,ROUNDDOWN(I2613,0))*3)*$J2613^3</f>
      </c>
      <c r="L2613" s="7">
        <f>INDIRECT("D$"&amp;2+MIN(2,ROUNDDOWN(I2613,0))*3)*(-$J2613^3+3*$J2613^2-3*$J2613+1)+INDIRECT("D$"&amp;3+MIN(2,ROUNDDOWN(I2613,0))*3)*(3*$J2613^3-6*$J2613^2+3*$J2613)+INDIRECT("D$"&amp;4+MIN(2,ROUNDDOWN(I2613,0))*3)*(-3*$J2613^3+3*$J2613^2)+INDIRECT("D$"&amp;5+MIN(2,ROUNDDOWN(I2613,0))*3)*$J2613^3</f>
      </c>
      <c r="M2613" s="7">
        <f>SQRT(K2613^2+L2613^2)</f>
      </c>
      <c r="N2613" s="7">
        <f>(K2614-K2612)</f>
      </c>
      <c r="O2613" s="7">
        <f>+(L2614-L2612)</f>
      </c>
      <c r="P2613" s="7">
        <f>SQRT(O2613^2+N2613^2)</f>
      </c>
      <c r="Q2613" s="7">
        <f>N2613/$P2613</f>
      </c>
      <c r="R2613" s="7">
        <f>O2613/$P2613</f>
      </c>
      <c r="S2613" s="8">
        <f>Q2613^2+R2613^2</f>
      </c>
      <c r="T2613" s="7">
        <f>-R2613</f>
      </c>
      <c r="U2613" s="7">
        <f>Q2613</f>
      </c>
      <c r="V2613" s="7">
        <f>($C$14+($C$15-$C$14)/($D$15-$D$14)*(I2613-$D$14))/2</f>
      </c>
      <c r="W2613" s="7">
        <f>($B$22*I2613^4+$C$22*I2613^3+$D$22*I2613^2+$E$22*I2613+$F$22)/2</f>
      </c>
      <c r="X2613" s="7">
        <f>($W2613)*(T2613)</f>
      </c>
      <c r="Y2613" s="7">
        <f>($W2613)*(U2613)</f>
      </c>
      <c r="Z2613" s="7">
        <f>SQRT(X2613^2+Y2613^2)</f>
      </c>
      <c r="AA2613" s="7">
        <f>$K2613+$X2613</f>
      </c>
      <c r="AB2613" s="7">
        <f>$L2613+$Y2613</f>
      </c>
      <c r="AC2613" s="7">
        <f>$K2613-$X2613</f>
      </c>
      <c r="AD2613" s="7">
        <f>$L2613-$Y2613</f>
      </c>
      <c r="AE2613" s="7">
        <f>AA2613/39.3701</f>
      </c>
      <c r="AF2613" s="7">
        <f>AB2613/39.3701</f>
      </c>
      <c r="AG2613" s="7">
        <f>AC2613/39.3701</f>
      </c>
      <c r="AH2613" s="7">
        <f>AD2613/39.3701</f>
      </c>
      <c r="AI2613" s="1"/>
      <c r="AJ2613" s="1"/>
      <c r="AK2613" s="1"/>
      <c r="AL2613" s="1"/>
      <c r="AM2613" s="2"/>
      <c r="AN2613" s="1"/>
      <c r="AO2613" s="1"/>
      <c r="AP2613" s="1"/>
      <c r="AQ2613" s="1"/>
      <c r="AR2613" s="1"/>
      <c r="AS2613" s="1"/>
      <c r="AT2613" s="1"/>
      <c r="AU2613" s="1"/>
      <c r="AV2613" s="1"/>
      <c r="AW2613" s="1"/>
      <c r="AX2613" s="1"/>
      <c r="AY2613" s="1"/>
      <c r="AZ2613" s="1"/>
      <c r="BA2613" s="1"/>
      <c r="BB2613" s="1"/>
      <c r="BC2613" s="1"/>
      <c r="BD2613" s="1"/>
      <c r="BE2613" s="1"/>
    </row>
    <row x14ac:dyDescent="0.25" r="2614" customHeight="1" ht="18.75">
      <c r="A2614" s="1"/>
      <c r="B2614" s="2"/>
      <c r="C2614" s="2"/>
      <c r="D2614" s="2"/>
      <c r="E2614" s="2"/>
      <c r="F2614" s="2"/>
      <c r="G2614" s="1"/>
      <c r="H2614" s="1"/>
      <c r="I2614" s="7">
        <v>2.611</v>
      </c>
      <c r="J2614" s="7">
        <f>IF((I2614-ROUNDDOWN(I2614,0))=0, 0, (I2614-ROUNDDOWN(I2614,0)))</f>
      </c>
      <c r="K2614" s="7">
        <f>INDIRECT("C$"&amp;2+MIN(2,ROUNDDOWN(I2614,0))*3)*(-$J2614^3+3*$J2614^2-3*$J2614+1)+INDIRECT("C$"&amp;3+MIN(2,ROUNDDOWN(I2614,0))*3)*(3*$J2614^3-6*$J2614^2+3*$J2614)+INDIRECT("C$"&amp;4+MIN(2,ROUNDDOWN(I2614,0))*3)*(-3*$J2614^3+3*$J2614^2)+INDIRECT("C$"&amp;5+MIN(2,ROUNDDOWN(I2614,0))*3)*$J2614^3</f>
      </c>
      <c r="L2614" s="7">
        <f>INDIRECT("D$"&amp;2+MIN(2,ROUNDDOWN(I2614,0))*3)*(-$J2614^3+3*$J2614^2-3*$J2614+1)+INDIRECT("D$"&amp;3+MIN(2,ROUNDDOWN(I2614,0))*3)*(3*$J2614^3-6*$J2614^2+3*$J2614)+INDIRECT("D$"&amp;4+MIN(2,ROUNDDOWN(I2614,0))*3)*(-3*$J2614^3+3*$J2614^2)+INDIRECT("D$"&amp;5+MIN(2,ROUNDDOWN(I2614,0))*3)*$J2614^3</f>
      </c>
      <c r="M2614" s="7">
        <f>SQRT(K2614^2+L2614^2)</f>
      </c>
      <c r="N2614" s="7">
        <f>(K2615-K2613)</f>
      </c>
      <c r="O2614" s="7">
        <f>+(L2615-L2613)</f>
      </c>
      <c r="P2614" s="7">
        <f>SQRT(O2614^2+N2614^2)</f>
      </c>
      <c r="Q2614" s="7">
        <f>N2614/$P2614</f>
      </c>
      <c r="R2614" s="7">
        <f>O2614/$P2614</f>
      </c>
      <c r="S2614" s="8">
        <f>Q2614^2+R2614^2</f>
      </c>
      <c r="T2614" s="7">
        <f>-R2614</f>
      </c>
      <c r="U2614" s="7">
        <f>Q2614</f>
      </c>
      <c r="V2614" s="7">
        <f>($C$14+($C$15-$C$14)/($D$15-$D$14)*(I2614-$D$14))/2</f>
      </c>
      <c r="W2614" s="7">
        <f>($B$22*I2614^4+$C$22*I2614^3+$D$22*I2614^2+$E$22*I2614+$F$22)/2</f>
      </c>
      <c r="X2614" s="7">
        <f>($W2614)*(T2614)</f>
      </c>
      <c r="Y2614" s="7">
        <f>($W2614)*(U2614)</f>
      </c>
      <c r="Z2614" s="7">
        <f>SQRT(X2614^2+Y2614^2)</f>
      </c>
      <c r="AA2614" s="7">
        <f>$K2614+$X2614</f>
      </c>
      <c r="AB2614" s="7">
        <f>$L2614+$Y2614</f>
      </c>
      <c r="AC2614" s="7">
        <f>$K2614-$X2614</f>
      </c>
      <c r="AD2614" s="7">
        <f>$L2614-$Y2614</f>
      </c>
      <c r="AE2614" s="7">
        <f>AA2614/39.3701</f>
      </c>
      <c r="AF2614" s="7">
        <f>AB2614/39.3701</f>
      </c>
      <c r="AG2614" s="7">
        <f>AC2614/39.3701</f>
      </c>
      <c r="AH2614" s="7">
        <f>AD2614/39.3701</f>
      </c>
      <c r="AI2614" s="1"/>
      <c r="AJ2614" s="1"/>
      <c r="AK2614" s="1"/>
      <c r="AL2614" s="1"/>
      <c r="AM2614" s="2"/>
      <c r="AN2614" s="1"/>
      <c r="AO2614" s="1"/>
      <c r="AP2614" s="1"/>
      <c r="AQ2614" s="1"/>
      <c r="AR2614" s="1"/>
      <c r="AS2614" s="1"/>
      <c r="AT2614" s="1"/>
      <c r="AU2614" s="1"/>
      <c r="AV2614" s="1"/>
      <c r="AW2614" s="1"/>
      <c r="AX2614" s="1"/>
      <c r="AY2614" s="1"/>
      <c r="AZ2614" s="1"/>
      <c r="BA2614" s="1"/>
      <c r="BB2614" s="1"/>
      <c r="BC2614" s="1"/>
      <c r="BD2614" s="1"/>
      <c r="BE2614" s="1"/>
    </row>
    <row x14ac:dyDescent="0.25" r="2615" customHeight="1" ht="18.75">
      <c r="A2615" s="1"/>
      <c r="B2615" s="2"/>
      <c r="C2615" s="2"/>
      <c r="D2615" s="2"/>
      <c r="E2615" s="2"/>
      <c r="F2615" s="2"/>
      <c r="G2615" s="1"/>
      <c r="H2615" s="1"/>
      <c r="I2615" s="7">
        <v>2.612</v>
      </c>
      <c r="J2615" s="7">
        <f>IF((I2615-ROUNDDOWN(I2615,0))=0, 0, (I2615-ROUNDDOWN(I2615,0)))</f>
      </c>
      <c r="K2615" s="7">
        <f>INDIRECT("C$"&amp;2+MIN(2,ROUNDDOWN(I2615,0))*3)*(-$J2615^3+3*$J2615^2-3*$J2615+1)+INDIRECT("C$"&amp;3+MIN(2,ROUNDDOWN(I2615,0))*3)*(3*$J2615^3-6*$J2615^2+3*$J2615)+INDIRECT("C$"&amp;4+MIN(2,ROUNDDOWN(I2615,0))*3)*(-3*$J2615^3+3*$J2615^2)+INDIRECT("C$"&amp;5+MIN(2,ROUNDDOWN(I2615,0))*3)*$J2615^3</f>
      </c>
      <c r="L2615" s="7">
        <f>INDIRECT("D$"&amp;2+MIN(2,ROUNDDOWN(I2615,0))*3)*(-$J2615^3+3*$J2615^2-3*$J2615+1)+INDIRECT("D$"&amp;3+MIN(2,ROUNDDOWN(I2615,0))*3)*(3*$J2615^3-6*$J2615^2+3*$J2615)+INDIRECT("D$"&amp;4+MIN(2,ROUNDDOWN(I2615,0))*3)*(-3*$J2615^3+3*$J2615^2)+INDIRECT("D$"&amp;5+MIN(2,ROUNDDOWN(I2615,0))*3)*$J2615^3</f>
      </c>
      <c r="M2615" s="7">
        <f>SQRT(K2615^2+L2615^2)</f>
      </c>
      <c r="N2615" s="7">
        <f>(K2616-K2614)</f>
      </c>
      <c r="O2615" s="7">
        <f>+(L2616-L2614)</f>
      </c>
      <c r="P2615" s="7">
        <f>SQRT(O2615^2+N2615^2)</f>
      </c>
      <c r="Q2615" s="7">
        <f>N2615/$P2615</f>
      </c>
      <c r="R2615" s="7">
        <f>O2615/$P2615</f>
      </c>
      <c r="S2615" s="8">
        <f>Q2615^2+R2615^2</f>
      </c>
      <c r="T2615" s="7">
        <f>-R2615</f>
      </c>
      <c r="U2615" s="7">
        <f>Q2615</f>
      </c>
      <c r="V2615" s="7">
        <f>($C$14+($C$15-$C$14)/($D$15-$D$14)*(I2615-$D$14))/2</f>
      </c>
      <c r="W2615" s="7">
        <f>($B$22*I2615^4+$C$22*I2615^3+$D$22*I2615^2+$E$22*I2615+$F$22)/2</f>
      </c>
      <c r="X2615" s="7">
        <f>($W2615)*(T2615)</f>
      </c>
      <c r="Y2615" s="7">
        <f>($W2615)*(U2615)</f>
      </c>
      <c r="Z2615" s="7">
        <f>SQRT(X2615^2+Y2615^2)</f>
      </c>
      <c r="AA2615" s="7">
        <f>$K2615+$X2615</f>
      </c>
      <c r="AB2615" s="7">
        <f>$L2615+$Y2615</f>
      </c>
      <c r="AC2615" s="7">
        <f>$K2615-$X2615</f>
      </c>
      <c r="AD2615" s="7">
        <f>$L2615-$Y2615</f>
      </c>
      <c r="AE2615" s="7">
        <f>AA2615/39.3701</f>
      </c>
      <c r="AF2615" s="7">
        <f>AB2615/39.3701</f>
      </c>
      <c r="AG2615" s="7">
        <f>AC2615/39.3701</f>
      </c>
      <c r="AH2615" s="7">
        <f>AD2615/39.3701</f>
      </c>
      <c r="AI2615" s="1"/>
      <c r="AJ2615" s="1"/>
      <c r="AK2615" s="1"/>
      <c r="AL2615" s="1"/>
      <c r="AM2615" s="2"/>
      <c r="AN2615" s="1"/>
      <c r="AO2615" s="1"/>
      <c r="AP2615" s="1"/>
      <c r="AQ2615" s="1"/>
      <c r="AR2615" s="1"/>
      <c r="AS2615" s="1"/>
      <c r="AT2615" s="1"/>
      <c r="AU2615" s="1"/>
      <c r="AV2615" s="1"/>
      <c r="AW2615" s="1"/>
      <c r="AX2615" s="1"/>
      <c r="AY2615" s="1"/>
      <c r="AZ2615" s="1"/>
      <c r="BA2615" s="1"/>
      <c r="BB2615" s="1"/>
      <c r="BC2615" s="1"/>
      <c r="BD2615" s="1"/>
      <c r="BE2615" s="1"/>
    </row>
    <row x14ac:dyDescent="0.25" r="2616" customHeight="1" ht="18.75">
      <c r="A2616" s="1"/>
      <c r="B2616" s="2"/>
      <c r="C2616" s="2"/>
      <c r="D2616" s="2"/>
      <c r="E2616" s="2"/>
      <c r="F2616" s="2"/>
      <c r="G2616" s="1"/>
      <c r="H2616" s="1"/>
      <c r="I2616" s="7">
        <v>2.613</v>
      </c>
      <c r="J2616" s="7">
        <f>IF((I2616-ROUNDDOWN(I2616,0))=0, 0, (I2616-ROUNDDOWN(I2616,0)))</f>
      </c>
      <c r="K2616" s="7">
        <f>INDIRECT("C$"&amp;2+MIN(2,ROUNDDOWN(I2616,0))*3)*(-$J2616^3+3*$J2616^2-3*$J2616+1)+INDIRECT("C$"&amp;3+MIN(2,ROUNDDOWN(I2616,0))*3)*(3*$J2616^3-6*$J2616^2+3*$J2616)+INDIRECT("C$"&amp;4+MIN(2,ROUNDDOWN(I2616,0))*3)*(-3*$J2616^3+3*$J2616^2)+INDIRECT("C$"&amp;5+MIN(2,ROUNDDOWN(I2616,0))*3)*$J2616^3</f>
      </c>
      <c r="L2616" s="7">
        <f>INDIRECT("D$"&amp;2+MIN(2,ROUNDDOWN(I2616,0))*3)*(-$J2616^3+3*$J2616^2-3*$J2616+1)+INDIRECT("D$"&amp;3+MIN(2,ROUNDDOWN(I2616,0))*3)*(3*$J2616^3-6*$J2616^2+3*$J2616)+INDIRECT("D$"&amp;4+MIN(2,ROUNDDOWN(I2616,0))*3)*(-3*$J2616^3+3*$J2616^2)+INDIRECT("D$"&amp;5+MIN(2,ROUNDDOWN(I2616,0))*3)*$J2616^3</f>
      </c>
      <c r="M2616" s="7">
        <f>SQRT(K2616^2+L2616^2)</f>
      </c>
      <c r="N2616" s="7">
        <f>(K2617-K2615)</f>
      </c>
      <c r="O2616" s="7">
        <f>+(L2617-L2615)</f>
      </c>
      <c r="P2616" s="7">
        <f>SQRT(O2616^2+N2616^2)</f>
      </c>
      <c r="Q2616" s="7">
        <f>N2616/$P2616</f>
      </c>
      <c r="R2616" s="7">
        <f>O2616/$P2616</f>
      </c>
      <c r="S2616" s="8">
        <f>Q2616^2+R2616^2</f>
      </c>
      <c r="T2616" s="7">
        <f>-R2616</f>
      </c>
      <c r="U2616" s="7">
        <f>Q2616</f>
      </c>
      <c r="V2616" s="7">
        <f>($C$14+($C$15-$C$14)/($D$15-$D$14)*(I2616-$D$14))/2</f>
      </c>
      <c r="W2616" s="7">
        <f>($B$22*I2616^4+$C$22*I2616^3+$D$22*I2616^2+$E$22*I2616+$F$22)/2</f>
      </c>
      <c r="X2616" s="7">
        <f>($W2616)*(T2616)</f>
      </c>
      <c r="Y2616" s="7">
        <f>($W2616)*(U2616)</f>
      </c>
      <c r="Z2616" s="7">
        <f>SQRT(X2616^2+Y2616^2)</f>
      </c>
      <c r="AA2616" s="7">
        <f>$K2616+$X2616</f>
      </c>
      <c r="AB2616" s="7">
        <f>$L2616+$Y2616</f>
      </c>
      <c r="AC2616" s="7">
        <f>$K2616-$X2616</f>
      </c>
      <c r="AD2616" s="7">
        <f>$L2616-$Y2616</f>
      </c>
      <c r="AE2616" s="7">
        <f>AA2616/39.3701</f>
      </c>
      <c r="AF2616" s="7">
        <f>AB2616/39.3701</f>
      </c>
      <c r="AG2616" s="7">
        <f>AC2616/39.3701</f>
      </c>
      <c r="AH2616" s="7">
        <f>AD2616/39.3701</f>
      </c>
      <c r="AI2616" s="1"/>
      <c r="AJ2616" s="1"/>
      <c r="AK2616" s="1"/>
      <c r="AL2616" s="1"/>
      <c r="AM2616" s="2"/>
      <c r="AN2616" s="1"/>
      <c r="AO2616" s="1"/>
      <c r="AP2616" s="1"/>
      <c r="AQ2616" s="1"/>
      <c r="AR2616" s="1"/>
      <c r="AS2616" s="1"/>
      <c r="AT2616" s="1"/>
      <c r="AU2616" s="1"/>
      <c r="AV2616" s="1"/>
      <c r="AW2616" s="1"/>
      <c r="AX2616" s="1"/>
      <c r="AY2616" s="1"/>
      <c r="AZ2616" s="1"/>
      <c r="BA2616" s="1"/>
      <c r="BB2616" s="1"/>
      <c r="BC2616" s="1"/>
      <c r="BD2616" s="1"/>
      <c r="BE2616" s="1"/>
    </row>
    <row x14ac:dyDescent="0.25" r="2617" customHeight="1" ht="18.75">
      <c r="A2617" s="1"/>
      <c r="B2617" s="2"/>
      <c r="C2617" s="2"/>
      <c r="D2617" s="2"/>
      <c r="E2617" s="2"/>
      <c r="F2617" s="2"/>
      <c r="G2617" s="1"/>
      <c r="H2617" s="1"/>
      <c r="I2617" s="7">
        <v>2.614</v>
      </c>
      <c r="J2617" s="7">
        <f>IF((I2617-ROUNDDOWN(I2617,0))=0, 0, (I2617-ROUNDDOWN(I2617,0)))</f>
      </c>
      <c r="K2617" s="7">
        <f>INDIRECT("C$"&amp;2+MIN(2,ROUNDDOWN(I2617,0))*3)*(-$J2617^3+3*$J2617^2-3*$J2617+1)+INDIRECT("C$"&amp;3+MIN(2,ROUNDDOWN(I2617,0))*3)*(3*$J2617^3-6*$J2617^2+3*$J2617)+INDIRECT("C$"&amp;4+MIN(2,ROUNDDOWN(I2617,0))*3)*(-3*$J2617^3+3*$J2617^2)+INDIRECT("C$"&amp;5+MIN(2,ROUNDDOWN(I2617,0))*3)*$J2617^3</f>
      </c>
      <c r="L2617" s="7">
        <f>INDIRECT("D$"&amp;2+MIN(2,ROUNDDOWN(I2617,0))*3)*(-$J2617^3+3*$J2617^2-3*$J2617+1)+INDIRECT("D$"&amp;3+MIN(2,ROUNDDOWN(I2617,0))*3)*(3*$J2617^3-6*$J2617^2+3*$J2617)+INDIRECT("D$"&amp;4+MIN(2,ROUNDDOWN(I2617,0))*3)*(-3*$J2617^3+3*$J2617^2)+INDIRECT("D$"&amp;5+MIN(2,ROUNDDOWN(I2617,0))*3)*$J2617^3</f>
      </c>
      <c r="M2617" s="7">
        <f>SQRT(K2617^2+L2617^2)</f>
      </c>
      <c r="N2617" s="7">
        <f>(K2618-K2616)</f>
      </c>
      <c r="O2617" s="7">
        <f>+(L2618-L2616)</f>
      </c>
      <c r="P2617" s="7">
        <f>SQRT(O2617^2+N2617^2)</f>
      </c>
      <c r="Q2617" s="7">
        <f>N2617/$P2617</f>
      </c>
      <c r="R2617" s="7">
        <f>O2617/$P2617</f>
      </c>
      <c r="S2617" s="8">
        <f>Q2617^2+R2617^2</f>
      </c>
      <c r="T2617" s="7">
        <f>-R2617</f>
      </c>
      <c r="U2617" s="7">
        <f>Q2617</f>
      </c>
      <c r="V2617" s="7">
        <f>($C$14+($C$15-$C$14)/($D$15-$D$14)*(I2617-$D$14))/2</f>
      </c>
      <c r="W2617" s="7">
        <f>($B$22*I2617^4+$C$22*I2617^3+$D$22*I2617^2+$E$22*I2617+$F$22)/2</f>
      </c>
      <c r="X2617" s="7">
        <f>($W2617)*(T2617)</f>
      </c>
      <c r="Y2617" s="7">
        <f>($W2617)*(U2617)</f>
      </c>
      <c r="Z2617" s="7">
        <f>SQRT(X2617^2+Y2617^2)</f>
      </c>
      <c r="AA2617" s="7">
        <f>$K2617+$X2617</f>
      </c>
      <c r="AB2617" s="7">
        <f>$L2617+$Y2617</f>
      </c>
      <c r="AC2617" s="7">
        <f>$K2617-$X2617</f>
      </c>
      <c r="AD2617" s="7">
        <f>$L2617-$Y2617</f>
      </c>
      <c r="AE2617" s="7">
        <f>AA2617/39.3701</f>
      </c>
      <c r="AF2617" s="7">
        <f>AB2617/39.3701</f>
      </c>
      <c r="AG2617" s="7">
        <f>AC2617/39.3701</f>
      </c>
      <c r="AH2617" s="7">
        <f>AD2617/39.3701</f>
      </c>
      <c r="AI2617" s="1"/>
      <c r="AJ2617" s="1"/>
      <c r="AK2617" s="1"/>
      <c r="AL2617" s="1"/>
      <c r="AM2617" s="2"/>
      <c r="AN2617" s="1"/>
      <c r="AO2617" s="1"/>
      <c r="AP2617" s="1"/>
      <c r="AQ2617" s="1"/>
      <c r="AR2617" s="1"/>
      <c r="AS2617" s="1"/>
      <c r="AT2617" s="1"/>
      <c r="AU2617" s="1"/>
      <c r="AV2617" s="1"/>
      <c r="AW2617" s="1"/>
      <c r="AX2617" s="1"/>
      <c r="AY2617" s="1"/>
      <c r="AZ2617" s="1"/>
      <c r="BA2617" s="1"/>
      <c r="BB2617" s="1"/>
      <c r="BC2617" s="1"/>
      <c r="BD2617" s="1"/>
      <c r="BE2617" s="1"/>
    </row>
    <row x14ac:dyDescent="0.25" r="2618" customHeight="1" ht="18.75">
      <c r="A2618" s="1"/>
      <c r="B2618" s="2"/>
      <c r="C2618" s="2"/>
      <c r="D2618" s="2"/>
      <c r="E2618" s="2"/>
      <c r="F2618" s="2"/>
      <c r="G2618" s="1"/>
      <c r="H2618" s="1"/>
      <c r="I2618" s="7">
        <v>2.615</v>
      </c>
      <c r="J2618" s="7">
        <f>IF((I2618-ROUNDDOWN(I2618,0))=0, 0, (I2618-ROUNDDOWN(I2618,0)))</f>
      </c>
      <c r="K2618" s="7">
        <f>INDIRECT("C$"&amp;2+MIN(2,ROUNDDOWN(I2618,0))*3)*(-$J2618^3+3*$J2618^2-3*$J2618+1)+INDIRECT("C$"&amp;3+MIN(2,ROUNDDOWN(I2618,0))*3)*(3*$J2618^3-6*$J2618^2+3*$J2618)+INDIRECT("C$"&amp;4+MIN(2,ROUNDDOWN(I2618,0))*3)*(-3*$J2618^3+3*$J2618^2)+INDIRECT("C$"&amp;5+MIN(2,ROUNDDOWN(I2618,0))*3)*$J2618^3</f>
      </c>
      <c r="L2618" s="7">
        <f>INDIRECT("D$"&amp;2+MIN(2,ROUNDDOWN(I2618,0))*3)*(-$J2618^3+3*$J2618^2-3*$J2618+1)+INDIRECT("D$"&amp;3+MIN(2,ROUNDDOWN(I2618,0))*3)*(3*$J2618^3-6*$J2618^2+3*$J2618)+INDIRECT("D$"&amp;4+MIN(2,ROUNDDOWN(I2618,0))*3)*(-3*$J2618^3+3*$J2618^2)+INDIRECT("D$"&amp;5+MIN(2,ROUNDDOWN(I2618,0))*3)*$J2618^3</f>
      </c>
      <c r="M2618" s="7">
        <f>SQRT(K2618^2+L2618^2)</f>
      </c>
      <c r="N2618" s="7">
        <f>(K2619-K2617)</f>
      </c>
      <c r="O2618" s="7">
        <f>+(L2619-L2617)</f>
      </c>
      <c r="P2618" s="7">
        <f>SQRT(O2618^2+N2618^2)</f>
      </c>
      <c r="Q2618" s="7">
        <f>N2618/$P2618</f>
      </c>
      <c r="R2618" s="7">
        <f>O2618/$P2618</f>
      </c>
      <c r="S2618" s="8">
        <f>Q2618^2+R2618^2</f>
      </c>
      <c r="T2618" s="7">
        <f>-R2618</f>
      </c>
      <c r="U2618" s="7">
        <f>Q2618</f>
      </c>
      <c r="V2618" s="7">
        <f>($C$14+($C$15-$C$14)/($D$15-$D$14)*(I2618-$D$14))/2</f>
      </c>
      <c r="W2618" s="7">
        <f>($B$22*I2618^4+$C$22*I2618^3+$D$22*I2618^2+$E$22*I2618+$F$22)/2</f>
      </c>
      <c r="X2618" s="7">
        <f>($W2618)*(T2618)</f>
      </c>
      <c r="Y2618" s="7">
        <f>($W2618)*(U2618)</f>
      </c>
      <c r="Z2618" s="7">
        <f>SQRT(X2618^2+Y2618^2)</f>
      </c>
      <c r="AA2618" s="7">
        <f>$K2618+$X2618</f>
      </c>
      <c r="AB2618" s="7">
        <f>$L2618+$Y2618</f>
      </c>
      <c r="AC2618" s="7">
        <f>$K2618-$X2618</f>
      </c>
      <c r="AD2618" s="7">
        <f>$L2618-$Y2618</f>
      </c>
      <c r="AE2618" s="7">
        <f>AA2618/39.3701</f>
      </c>
      <c r="AF2618" s="7">
        <f>AB2618/39.3701</f>
      </c>
      <c r="AG2618" s="7">
        <f>AC2618/39.3701</f>
      </c>
      <c r="AH2618" s="7">
        <f>AD2618/39.3701</f>
      </c>
      <c r="AI2618" s="1"/>
      <c r="AJ2618" s="1"/>
      <c r="AK2618" s="1"/>
      <c r="AL2618" s="1"/>
      <c r="AM2618" s="2"/>
      <c r="AN2618" s="1"/>
      <c r="AO2618" s="1"/>
      <c r="AP2618" s="1"/>
      <c r="AQ2618" s="1"/>
      <c r="AR2618" s="1"/>
      <c r="AS2618" s="1"/>
      <c r="AT2618" s="1"/>
      <c r="AU2618" s="1"/>
      <c r="AV2618" s="1"/>
      <c r="AW2618" s="1"/>
      <c r="AX2618" s="1"/>
      <c r="AY2618" s="1"/>
      <c r="AZ2618" s="1"/>
      <c r="BA2618" s="1"/>
      <c r="BB2618" s="1"/>
      <c r="BC2618" s="1"/>
      <c r="BD2618" s="1"/>
      <c r="BE2618" s="1"/>
    </row>
    <row x14ac:dyDescent="0.25" r="2619" customHeight="1" ht="18.75">
      <c r="A2619" s="1"/>
      <c r="B2619" s="2"/>
      <c r="C2619" s="2"/>
      <c r="D2619" s="2"/>
      <c r="E2619" s="2"/>
      <c r="F2619" s="2"/>
      <c r="G2619" s="1"/>
      <c r="H2619" s="1"/>
      <c r="I2619" s="7">
        <v>2.616</v>
      </c>
      <c r="J2619" s="7">
        <f>IF((I2619-ROUNDDOWN(I2619,0))=0, 0, (I2619-ROUNDDOWN(I2619,0)))</f>
      </c>
      <c r="K2619" s="7">
        <f>INDIRECT("C$"&amp;2+MIN(2,ROUNDDOWN(I2619,0))*3)*(-$J2619^3+3*$J2619^2-3*$J2619+1)+INDIRECT("C$"&amp;3+MIN(2,ROUNDDOWN(I2619,0))*3)*(3*$J2619^3-6*$J2619^2+3*$J2619)+INDIRECT("C$"&amp;4+MIN(2,ROUNDDOWN(I2619,0))*3)*(-3*$J2619^3+3*$J2619^2)+INDIRECT("C$"&amp;5+MIN(2,ROUNDDOWN(I2619,0))*3)*$J2619^3</f>
      </c>
      <c r="L2619" s="7">
        <f>INDIRECT("D$"&amp;2+MIN(2,ROUNDDOWN(I2619,0))*3)*(-$J2619^3+3*$J2619^2-3*$J2619+1)+INDIRECT("D$"&amp;3+MIN(2,ROUNDDOWN(I2619,0))*3)*(3*$J2619^3-6*$J2619^2+3*$J2619)+INDIRECT("D$"&amp;4+MIN(2,ROUNDDOWN(I2619,0))*3)*(-3*$J2619^3+3*$J2619^2)+INDIRECT("D$"&amp;5+MIN(2,ROUNDDOWN(I2619,0))*3)*$J2619^3</f>
      </c>
      <c r="M2619" s="7">
        <f>SQRT(K2619^2+L2619^2)</f>
      </c>
      <c r="N2619" s="7">
        <f>(K2620-K2618)</f>
      </c>
      <c r="O2619" s="7">
        <f>+(L2620-L2618)</f>
      </c>
      <c r="P2619" s="7">
        <f>SQRT(O2619^2+N2619^2)</f>
      </c>
      <c r="Q2619" s="7">
        <f>N2619/$P2619</f>
      </c>
      <c r="R2619" s="7">
        <f>O2619/$P2619</f>
      </c>
      <c r="S2619" s="7">
        <f>Q2619^2+R2619^2</f>
      </c>
      <c r="T2619" s="7">
        <f>-R2619</f>
      </c>
      <c r="U2619" s="7">
        <f>Q2619</f>
      </c>
      <c r="V2619" s="7">
        <f>($C$14+($C$15-$C$14)/($D$15-$D$14)*(I2619-$D$14))/2</f>
      </c>
      <c r="W2619" s="7">
        <f>($B$22*I2619^4+$C$22*I2619^3+$D$22*I2619^2+$E$22*I2619+$F$22)/2</f>
      </c>
      <c r="X2619" s="7">
        <f>($W2619)*(T2619)</f>
      </c>
      <c r="Y2619" s="7">
        <f>($W2619)*(U2619)</f>
      </c>
      <c r="Z2619" s="7">
        <f>SQRT(X2619^2+Y2619^2)</f>
      </c>
      <c r="AA2619" s="7">
        <f>$K2619+$X2619</f>
      </c>
      <c r="AB2619" s="7">
        <f>$L2619+$Y2619</f>
      </c>
      <c r="AC2619" s="7">
        <f>$K2619-$X2619</f>
      </c>
      <c r="AD2619" s="7">
        <f>$L2619-$Y2619</f>
      </c>
      <c r="AE2619" s="7">
        <f>AA2619/39.3701</f>
      </c>
      <c r="AF2619" s="7">
        <f>AB2619/39.3701</f>
      </c>
      <c r="AG2619" s="7">
        <f>AC2619/39.3701</f>
      </c>
      <c r="AH2619" s="7">
        <f>AD2619/39.3701</f>
      </c>
      <c r="AI2619" s="1"/>
      <c r="AJ2619" s="1"/>
      <c r="AK2619" s="1"/>
      <c r="AL2619" s="1"/>
      <c r="AM2619" s="2"/>
      <c r="AN2619" s="1"/>
      <c r="AO2619" s="1"/>
      <c r="AP2619" s="1"/>
      <c r="AQ2619" s="1"/>
      <c r="AR2619" s="1"/>
      <c r="AS2619" s="1"/>
      <c r="AT2619" s="1"/>
      <c r="AU2619" s="1"/>
      <c r="AV2619" s="1"/>
      <c r="AW2619" s="1"/>
      <c r="AX2619" s="1"/>
      <c r="AY2619" s="1"/>
      <c r="AZ2619" s="1"/>
      <c r="BA2619" s="1"/>
      <c r="BB2619" s="1"/>
      <c r="BC2619" s="1"/>
      <c r="BD2619" s="1"/>
      <c r="BE2619" s="1"/>
    </row>
    <row x14ac:dyDescent="0.25" r="2620" customHeight="1" ht="18.75">
      <c r="A2620" s="1"/>
      <c r="B2620" s="2"/>
      <c r="C2620" s="2"/>
      <c r="D2620" s="2"/>
      <c r="E2620" s="2"/>
      <c r="F2620" s="2"/>
      <c r="G2620" s="1"/>
      <c r="H2620" s="1"/>
      <c r="I2620" s="7">
        <v>2.617</v>
      </c>
      <c r="J2620" s="7">
        <f>IF((I2620-ROUNDDOWN(I2620,0))=0, 0, (I2620-ROUNDDOWN(I2620,0)))</f>
      </c>
      <c r="K2620" s="7">
        <f>INDIRECT("C$"&amp;2+MIN(2,ROUNDDOWN(I2620,0))*3)*(-$J2620^3+3*$J2620^2-3*$J2620+1)+INDIRECT("C$"&amp;3+MIN(2,ROUNDDOWN(I2620,0))*3)*(3*$J2620^3-6*$J2620^2+3*$J2620)+INDIRECT("C$"&amp;4+MIN(2,ROUNDDOWN(I2620,0))*3)*(-3*$J2620^3+3*$J2620^2)+INDIRECT("C$"&amp;5+MIN(2,ROUNDDOWN(I2620,0))*3)*$J2620^3</f>
      </c>
      <c r="L2620" s="7">
        <f>INDIRECT("D$"&amp;2+MIN(2,ROUNDDOWN(I2620,0))*3)*(-$J2620^3+3*$J2620^2-3*$J2620+1)+INDIRECT("D$"&amp;3+MIN(2,ROUNDDOWN(I2620,0))*3)*(3*$J2620^3-6*$J2620^2+3*$J2620)+INDIRECT("D$"&amp;4+MIN(2,ROUNDDOWN(I2620,0))*3)*(-3*$J2620^3+3*$J2620^2)+INDIRECT("D$"&amp;5+MIN(2,ROUNDDOWN(I2620,0))*3)*$J2620^3</f>
      </c>
      <c r="M2620" s="7">
        <f>SQRT(K2620^2+L2620^2)</f>
      </c>
      <c r="N2620" s="7">
        <f>(K2621-K2619)</f>
      </c>
      <c r="O2620" s="7">
        <f>+(L2621-L2619)</f>
      </c>
      <c r="P2620" s="7">
        <f>SQRT(O2620^2+N2620^2)</f>
      </c>
      <c r="Q2620" s="7">
        <f>N2620/$P2620</f>
      </c>
      <c r="R2620" s="7">
        <f>O2620/$P2620</f>
      </c>
      <c r="S2620" s="7">
        <f>Q2620^2+R2620^2</f>
      </c>
      <c r="T2620" s="7">
        <f>-R2620</f>
      </c>
      <c r="U2620" s="7">
        <f>Q2620</f>
      </c>
      <c r="V2620" s="7">
        <f>($C$14+($C$15-$C$14)/($D$15-$D$14)*(I2620-$D$14))/2</f>
      </c>
      <c r="W2620" s="7">
        <f>($B$22*I2620^4+$C$22*I2620^3+$D$22*I2620^2+$E$22*I2620+$F$22)/2</f>
      </c>
      <c r="X2620" s="7">
        <f>($W2620)*(T2620)</f>
      </c>
      <c r="Y2620" s="7">
        <f>($W2620)*(U2620)</f>
      </c>
      <c r="Z2620" s="7">
        <f>SQRT(X2620^2+Y2620^2)</f>
      </c>
      <c r="AA2620" s="7">
        <f>$K2620+$X2620</f>
      </c>
      <c r="AB2620" s="7">
        <f>$L2620+$Y2620</f>
      </c>
      <c r="AC2620" s="7">
        <f>$K2620-$X2620</f>
      </c>
      <c r="AD2620" s="7">
        <f>$L2620-$Y2620</f>
      </c>
      <c r="AE2620" s="7">
        <f>AA2620/39.3701</f>
      </c>
      <c r="AF2620" s="7">
        <f>AB2620/39.3701</f>
      </c>
      <c r="AG2620" s="7">
        <f>AC2620/39.3701</f>
      </c>
      <c r="AH2620" s="7">
        <f>AD2620/39.3701</f>
      </c>
      <c r="AI2620" s="1"/>
      <c r="AJ2620" s="1"/>
      <c r="AK2620" s="1"/>
      <c r="AL2620" s="1"/>
      <c r="AM2620" s="2"/>
      <c r="AN2620" s="1"/>
      <c r="AO2620" s="1"/>
      <c r="AP2620" s="1"/>
      <c r="AQ2620" s="1"/>
      <c r="AR2620" s="1"/>
      <c r="AS2620" s="1"/>
      <c r="AT2620" s="1"/>
      <c r="AU2620" s="1"/>
      <c r="AV2620" s="1"/>
      <c r="AW2620" s="1"/>
      <c r="AX2620" s="1"/>
      <c r="AY2620" s="1"/>
      <c r="AZ2620" s="1"/>
      <c r="BA2620" s="1"/>
      <c r="BB2620" s="1"/>
      <c r="BC2620" s="1"/>
      <c r="BD2620" s="1"/>
      <c r="BE2620" s="1"/>
    </row>
    <row x14ac:dyDescent="0.25" r="2621" customHeight="1" ht="18.75">
      <c r="A2621" s="1"/>
      <c r="B2621" s="2"/>
      <c r="C2621" s="2"/>
      <c r="D2621" s="2"/>
      <c r="E2621" s="2"/>
      <c r="F2621" s="2"/>
      <c r="G2621" s="1"/>
      <c r="H2621" s="1"/>
      <c r="I2621" s="7">
        <v>2.618</v>
      </c>
      <c r="J2621" s="7">
        <f>IF((I2621-ROUNDDOWN(I2621,0))=0, 0, (I2621-ROUNDDOWN(I2621,0)))</f>
      </c>
      <c r="K2621" s="7">
        <f>INDIRECT("C$"&amp;2+MIN(2,ROUNDDOWN(I2621,0))*3)*(-$J2621^3+3*$J2621^2-3*$J2621+1)+INDIRECT("C$"&amp;3+MIN(2,ROUNDDOWN(I2621,0))*3)*(3*$J2621^3-6*$J2621^2+3*$J2621)+INDIRECT("C$"&amp;4+MIN(2,ROUNDDOWN(I2621,0))*3)*(-3*$J2621^3+3*$J2621^2)+INDIRECT("C$"&amp;5+MIN(2,ROUNDDOWN(I2621,0))*3)*$J2621^3</f>
      </c>
      <c r="L2621" s="7">
        <f>INDIRECT("D$"&amp;2+MIN(2,ROUNDDOWN(I2621,0))*3)*(-$J2621^3+3*$J2621^2-3*$J2621+1)+INDIRECT("D$"&amp;3+MIN(2,ROUNDDOWN(I2621,0))*3)*(3*$J2621^3-6*$J2621^2+3*$J2621)+INDIRECT("D$"&amp;4+MIN(2,ROUNDDOWN(I2621,0))*3)*(-3*$J2621^3+3*$J2621^2)+INDIRECT("D$"&amp;5+MIN(2,ROUNDDOWN(I2621,0))*3)*$J2621^3</f>
      </c>
      <c r="M2621" s="7">
        <f>SQRT(K2621^2+L2621^2)</f>
      </c>
      <c r="N2621" s="7">
        <f>(K2622-K2620)</f>
      </c>
      <c r="O2621" s="7">
        <f>+(L2622-L2620)</f>
      </c>
      <c r="P2621" s="7">
        <f>SQRT(O2621^2+N2621^2)</f>
      </c>
      <c r="Q2621" s="7">
        <f>N2621/$P2621</f>
      </c>
      <c r="R2621" s="7">
        <f>O2621/$P2621</f>
      </c>
      <c r="S2621" s="8">
        <f>Q2621^2+R2621^2</f>
      </c>
      <c r="T2621" s="7">
        <f>-R2621</f>
      </c>
      <c r="U2621" s="7">
        <f>Q2621</f>
      </c>
      <c r="V2621" s="7">
        <f>($C$14+($C$15-$C$14)/($D$15-$D$14)*(I2621-$D$14))/2</f>
      </c>
      <c r="W2621" s="7">
        <f>($B$22*I2621^4+$C$22*I2621^3+$D$22*I2621^2+$E$22*I2621+$F$22)/2</f>
      </c>
      <c r="X2621" s="7">
        <f>($W2621)*(T2621)</f>
      </c>
      <c r="Y2621" s="7">
        <f>($W2621)*(U2621)</f>
      </c>
      <c r="Z2621" s="7">
        <f>SQRT(X2621^2+Y2621^2)</f>
      </c>
      <c r="AA2621" s="7">
        <f>$K2621+$X2621</f>
      </c>
      <c r="AB2621" s="7">
        <f>$L2621+$Y2621</f>
      </c>
      <c r="AC2621" s="7">
        <f>$K2621-$X2621</f>
      </c>
      <c r="AD2621" s="7">
        <f>$L2621-$Y2621</f>
      </c>
      <c r="AE2621" s="7">
        <f>AA2621/39.3701</f>
      </c>
      <c r="AF2621" s="7">
        <f>AB2621/39.3701</f>
      </c>
      <c r="AG2621" s="7">
        <f>AC2621/39.3701</f>
      </c>
      <c r="AH2621" s="7">
        <f>AD2621/39.3701</f>
      </c>
      <c r="AI2621" s="1"/>
      <c r="AJ2621" s="1"/>
      <c r="AK2621" s="1"/>
      <c r="AL2621" s="1"/>
      <c r="AM2621" s="2"/>
      <c r="AN2621" s="1"/>
      <c r="AO2621" s="1"/>
      <c r="AP2621" s="1"/>
      <c r="AQ2621" s="1"/>
      <c r="AR2621" s="1"/>
      <c r="AS2621" s="1"/>
      <c r="AT2621" s="1"/>
      <c r="AU2621" s="1"/>
      <c r="AV2621" s="1"/>
      <c r="AW2621" s="1"/>
      <c r="AX2621" s="1"/>
      <c r="AY2621" s="1"/>
      <c r="AZ2621" s="1"/>
      <c r="BA2621" s="1"/>
      <c r="BB2621" s="1"/>
      <c r="BC2621" s="1"/>
      <c r="BD2621" s="1"/>
      <c r="BE2621" s="1"/>
    </row>
    <row x14ac:dyDescent="0.25" r="2622" customHeight="1" ht="18.75">
      <c r="A2622" s="1"/>
      <c r="B2622" s="2"/>
      <c r="C2622" s="2"/>
      <c r="D2622" s="2"/>
      <c r="E2622" s="2"/>
      <c r="F2622" s="2"/>
      <c r="G2622" s="1"/>
      <c r="H2622" s="1"/>
      <c r="I2622" s="7">
        <v>2.619</v>
      </c>
      <c r="J2622" s="7">
        <f>IF((I2622-ROUNDDOWN(I2622,0))=0, 0, (I2622-ROUNDDOWN(I2622,0)))</f>
      </c>
      <c r="K2622" s="7">
        <f>INDIRECT("C$"&amp;2+MIN(2,ROUNDDOWN(I2622,0))*3)*(-$J2622^3+3*$J2622^2-3*$J2622+1)+INDIRECT("C$"&amp;3+MIN(2,ROUNDDOWN(I2622,0))*3)*(3*$J2622^3-6*$J2622^2+3*$J2622)+INDIRECT("C$"&amp;4+MIN(2,ROUNDDOWN(I2622,0))*3)*(-3*$J2622^3+3*$J2622^2)+INDIRECT("C$"&amp;5+MIN(2,ROUNDDOWN(I2622,0))*3)*$J2622^3</f>
      </c>
      <c r="L2622" s="7">
        <f>INDIRECT("D$"&amp;2+MIN(2,ROUNDDOWN(I2622,0))*3)*(-$J2622^3+3*$J2622^2-3*$J2622+1)+INDIRECT("D$"&amp;3+MIN(2,ROUNDDOWN(I2622,0))*3)*(3*$J2622^3-6*$J2622^2+3*$J2622)+INDIRECT("D$"&amp;4+MIN(2,ROUNDDOWN(I2622,0))*3)*(-3*$J2622^3+3*$J2622^2)+INDIRECT("D$"&amp;5+MIN(2,ROUNDDOWN(I2622,0))*3)*$J2622^3</f>
      </c>
      <c r="M2622" s="7">
        <f>SQRT(K2622^2+L2622^2)</f>
      </c>
      <c r="N2622" s="7">
        <f>(K2623-K2621)</f>
      </c>
      <c r="O2622" s="7">
        <f>+(L2623-L2621)</f>
      </c>
      <c r="P2622" s="7">
        <f>SQRT(O2622^2+N2622^2)</f>
      </c>
      <c r="Q2622" s="7">
        <f>N2622/$P2622</f>
      </c>
      <c r="R2622" s="7">
        <f>O2622/$P2622</f>
      </c>
      <c r="S2622" s="8">
        <f>Q2622^2+R2622^2</f>
      </c>
      <c r="T2622" s="7">
        <f>-R2622</f>
      </c>
      <c r="U2622" s="7">
        <f>Q2622</f>
      </c>
      <c r="V2622" s="7">
        <f>($C$14+($C$15-$C$14)/($D$15-$D$14)*(I2622-$D$14))/2</f>
      </c>
      <c r="W2622" s="7">
        <f>($B$22*I2622^4+$C$22*I2622^3+$D$22*I2622^2+$E$22*I2622+$F$22)/2</f>
      </c>
      <c r="X2622" s="7">
        <f>($W2622)*(T2622)</f>
      </c>
      <c r="Y2622" s="7">
        <f>($W2622)*(U2622)</f>
      </c>
      <c r="Z2622" s="7">
        <f>SQRT(X2622^2+Y2622^2)</f>
      </c>
      <c r="AA2622" s="7">
        <f>$K2622+$X2622</f>
      </c>
      <c r="AB2622" s="7">
        <f>$L2622+$Y2622</f>
      </c>
      <c r="AC2622" s="7">
        <f>$K2622-$X2622</f>
      </c>
      <c r="AD2622" s="7">
        <f>$L2622-$Y2622</f>
      </c>
      <c r="AE2622" s="7">
        <f>AA2622/39.3701</f>
      </c>
      <c r="AF2622" s="7">
        <f>AB2622/39.3701</f>
      </c>
      <c r="AG2622" s="7">
        <f>AC2622/39.3701</f>
      </c>
      <c r="AH2622" s="7">
        <f>AD2622/39.3701</f>
      </c>
      <c r="AI2622" s="1"/>
      <c r="AJ2622" s="1"/>
      <c r="AK2622" s="1"/>
      <c r="AL2622" s="1"/>
      <c r="AM2622" s="2"/>
      <c r="AN2622" s="1"/>
      <c r="AO2622" s="1"/>
      <c r="AP2622" s="1"/>
      <c r="AQ2622" s="1"/>
      <c r="AR2622" s="1"/>
      <c r="AS2622" s="1"/>
      <c r="AT2622" s="1"/>
      <c r="AU2622" s="1"/>
      <c r="AV2622" s="1"/>
      <c r="AW2622" s="1"/>
      <c r="AX2622" s="1"/>
      <c r="AY2622" s="1"/>
      <c r="AZ2622" s="1"/>
      <c r="BA2622" s="1"/>
      <c r="BB2622" s="1"/>
      <c r="BC2622" s="1"/>
      <c r="BD2622" s="1"/>
      <c r="BE2622" s="1"/>
    </row>
    <row x14ac:dyDescent="0.25" r="2623" customHeight="1" ht="18.75">
      <c r="A2623" s="1"/>
      <c r="B2623" s="2"/>
      <c r="C2623" s="2"/>
      <c r="D2623" s="2"/>
      <c r="E2623" s="2"/>
      <c r="F2623" s="2"/>
      <c r="G2623" s="1"/>
      <c r="H2623" s="1"/>
      <c r="I2623" s="7">
        <v>2.62</v>
      </c>
      <c r="J2623" s="7">
        <f>IF((I2623-ROUNDDOWN(I2623,0))=0, 0, (I2623-ROUNDDOWN(I2623,0)))</f>
      </c>
      <c r="K2623" s="7">
        <f>INDIRECT("C$"&amp;2+MIN(2,ROUNDDOWN(I2623,0))*3)*(-$J2623^3+3*$J2623^2-3*$J2623+1)+INDIRECT("C$"&amp;3+MIN(2,ROUNDDOWN(I2623,0))*3)*(3*$J2623^3-6*$J2623^2+3*$J2623)+INDIRECT("C$"&amp;4+MIN(2,ROUNDDOWN(I2623,0))*3)*(-3*$J2623^3+3*$J2623^2)+INDIRECT("C$"&amp;5+MIN(2,ROUNDDOWN(I2623,0))*3)*$J2623^3</f>
      </c>
      <c r="L2623" s="7">
        <f>INDIRECT("D$"&amp;2+MIN(2,ROUNDDOWN(I2623,0))*3)*(-$J2623^3+3*$J2623^2-3*$J2623+1)+INDIRECT("D$"&amp;3+MIN(2,ROUNDDOWN(I2623,0))*3)*(3*$J2623^3-6*$J2623^2+3*$J2623)+INDIRECT("D$"&amp;4+MIN(2,ROUNDDOWN(I2623,0))*3)*(-3*$J2623^3+3*$J2623^2)+INDIRECT("D$"&amp;5+MIN(2,ROUNDDOWN(I2623,0))*3)*$J2623^3</f>
      </c>
      <c r="M2623" s="7">
        <f>SQRT(K2623^2+L2623^2)</f>
      </c>
      <c r="N2623" s="7">
        <f>(K2624-K2622)</f>
      </c>
      <c r="O2623" s="7">
        <f>+(L2624-L2622)</f>
      </c>
      <c r="P2623" s="7">
        <f>SQRT(O2623^2+N2623^2)</f>
      </c>
      <c r="Q2623" s="7">
        <f>N2623/$P2623</f>
      </c>
      <c r="R2623" s="7">
        <f>O2623/$P2623</f>
      </c>
      <c r="S2623" s="8">
        <f>Q2623^2+R2623^2</f>
      </c>
      <c r="T2623" s="7">
        <f>-R2623</f>
      </c>
      <c r="U2623" s="7">
        <f>Q2623</f>
      </c>
      <c r="V2623" s="7">
        <f>($C$14+($C$15-$C$14)/($D$15-$D$14)*(I2623-$D$14))/2</f>
      </c>
      <c r="W2623" s="7">
        <f>($B$22*I2623^4+$C$22*I2623^3+$D$22*I2623^2+$E$22*I2623+$F$22)/2</f>
      </c>
      <c r="X2623" s="7">
        <f>($W2623)*(T2623)</f>
      </c>
      <c r="Y2623" s="7">
        <f>($W2623)*(U2623)</f>
      </c>
      <c r="Z2623" s="7">
        <f>SQRT(X2623^2+Y2623^2)</f>
      </c>
      <c r="AA2623" s="7">
        <f>$K2623+$X2623</f>
      </c>
      <c r="AB2623" s="7">
        <f>$L2623+$Y2623</f>
      </c>
      <c r="AC2623" s="7">
        <f>$K2623-$X2623</f>
      </c>
      <c r="AD2623" s="7">
        <f>$L2623-$Y2623</f>
      </c>
      <c r="AE2623" s="7">
        <f>AA2623/39.3701</f>
      </c>
      <c r="AF2623" s="7">
        <f>AB2623/39.3701</f>
      </c>
      <c r="AG2623" s="7">
        <f>AC2623/39.3701</f>
      </c>
      <c r="AH2623" s="7">
        <f>AD2623/39.3701</f>
      </c>
      <c r="AI2623" s="1"/>
      <c r="AJ2623" s="1"/>
      <c r="AK2623" s="1"/>
      <c r="AL2623" s="1"/>
      <c r="AM2623" s="2"/>
      <c r="AN2623" s="1"/>
      <c r="AO2623" s="1"/>
      <c r="AP2623" s="1"/>
      <c r="AQ2623" s="1"/>
      <c r="AR2623" s="1"/>
      <c r="AS2623" s="1"/>
      <c r="AT2623" s="1"/>
      <c r="AU2623" s="1"/>
      <c r="AV2623" s="1"/>
      <c r="AW2623" s="1"/>
      <c r="AX2623" s="1"/>
      <c r="AY2623" s="1"/>
      <c r="AZ2623" s="1"/>
      <c r="BA2623" s="1"/>
      <c r="BB2623" s="1"/>
      <c r="BC2623" s="1"/>
      <c r="BD2623" s="1"/>
      <c r="BE2623" s="1"/>
    </row>
    <row x14ac:dyDescent="0.25" r="2624" customHeight="1" ht="18.75">
      <c r="A2624" s="1"/>
      <c r="B2624" s="2"/>
      <c r="C2624" s="2"/>
      <c r="D2624" s="2"/>
      <c r="E2624" s="2"/>
      <c r="F2624" s="2"/>
      <c r="G2624" s="1"/>
      <c r="H2624" s="1"/>
      <c r="I2624" s="7">
        <v>2.621</v>
      </c>
      <c r="J2624" s="7">
        <f>IF((I2624-ROUNDDOWN(I2624,0))=0, 0, (I2624-ROUNDDOWN(I2624,0)))</f>
      </c>
      <c r="K2624" s="7">
        <f>INDIRECT("C$"&amp;2+MIN(2,ROUNDDOWN(I2624,0))*3)*(-$J2624^3+3*$J2624^2-3*$J2624+1)+INDIRECT("C$"&amp;3+MIN(2,ROUNDDOWN(I2624,0))*3)*(3*$J2624^3-6*$J2624^2+3*$J2624)+INDIRECT("C$"&amp;4+MIN(2,ROUNDDOWN(I2624,0))*3)*(-3*$J2624^3+3*$J2624^2)+INDIRECT("C$"&amp;5+MIN(2,ROUNDDOWN(I2624,0))*3)*$J2624^3</f>
      </c>
      <c r="L2624" s="7">
        <f>INDIRECT("D$"&amp;2+MIN(2,ROUNDDOWN(I2624,0))*3)*(-$J2624^3+3*$J2624^2-3*$J2624+1)+INDIRECT("D$"&amp;3+MIN(2,ROUNDDOWN(I2624,0))*3)*(3*$J2624^3-6*$J2624^2+3*$J2624)+INDIRECT("D$"&amp;4+MIN(2,ROUNDDOWN(I2624,0))*3)*(-3*$J2624^3+3*$J2624^2)+INDIRECT("D$"&amp;5+MIN(2,ROUNDDOWN(I2624,0))*3)*$J2624^3</f>
      </c>
      <c r="M2624" s="7">
        <f>SQRT(K2624^2+L2624^2)</f>
      </c>
      <c r="N2624" s="7">
        <f>(K2625-K2623)</f>
      </c>
      <c r="O2624" s="7">
        <f>+(L2625-L2623)</f>
      </c>
      <c r="P2624" s="7">
        <f>SQRT(O2624^2+N2624^2)</f>
      </c>
      <c r="Q2624" s="7">
        <f>N2624/$P2624</f>
      </c>
      <c r="R2624" s="7">
        <f>O2624/$P2624</f>
      </c>
      <c r="S2624" s="8">
        <f>Q2624^2+R2624^2</f>
      </c>
      <c r="T2624" s="7">
        <f>-R2624</f>
      </c>
      <c r="U2624" s="7">
        <f>Q2624</f>
      </c>
      <c r="V2624" s="7">
        <f>($C$14+($C$15-$C$14)/($D$15-$D$14)*(I2624-$D$14))/2</f>
      </c>
      <c r="W2624" s="7">
        <f>($B$22*I2624^4+$C$22*I2624^3+$D$22*I2624^2+$E$22*I2624+$F$22)/2</f>
      </c>
      <c r="X2624" s="7">
        <f>($W2624)*(T2624)</f>
      </c>
      <c r="Y2624" s="7">
        <f>($W2624)*(U2624)</f>
      </c>
      <c r="Z2624" s="7">
        <f>SQRT(X2624^2+Y2624^2)</f>
      </c>
      <c r="AA2624" s="7">
        <f>$K2624+$X2624</f>
      </c>
      <c r="AB2624" s="7">
        <f>$L2624+$Y2624</f>
      </c>
      <c r="AC2624" s="7">
        <f>$K2624-$X2624</f>
      </c>
      <c r="AD2624" s="7">
        <f>$L2624-$Y2624</f>
      </c>
      <c r="AE2624" s="7">
        <f>AA2624/39.3701</f>
      </c>
      <c r="AF2624" s="7">
        <f>AB2624/39.3701</f>
      </c>
      <c r="AG2624" s="7">
        <f>AC2624/39.3701</f>
      </c>
      <c r="AH2624" s="7">
        <f>AD2624/39.3701</f>
      </c>
      <c r="AI2624" s="1"/>
      <c r="AJ2624" s="1"/>
      <c r="AK2624" s="1"/>
      <c r="AL2624" s="1"/>
      <c r="AM2624" s="2"/>
      <c r="AN2624" s="1"/>
      <c r="AO2624" s="1"/>
      <c r="AP2624" s="1"/>
      <c r="AQ2624" s="1"/>
      <c r="AR2624" s="1"/>
      <c r="AS2624" s="1"/>
      <c r="AT2624" s="1"/>
      <c r="AU2624" s="1"/>
      <c r="AV2624" s="1"/>
      <c r="AW2624" s="1"/>
      <c r="AX2624" s="1"/>
      <c r="AY2624" s="1"/>
      <c r="AZ2624" s="1"/>
      <c r="BA2624" s="1"/>
      <c r="BB2624" s="1"/>
      <c r="BC2624" s="1"/>
      <c r="BD2624" s="1"/>
      <c r="BE2624" s="1"/>
    </row>
    <row x14ac:dyDescent="0.25" r="2625" customHeight="1" ht="18.75">
      <c r="A2625" s="1"/>
      <c r="B2625" s="2"/>
      <c r="C2625" s="2"/>
      <c r="D2625" s="2"/>
      <c r="E2625" s="2"/>
      <c r="F2625" s="2"/>
      <c r="G2625" s="1"/>
      <c r="H2625" s="1"/>
      <c r="I2625" s="7">
        <v>2.622</v>
      </c>
      <c r="J2625" s="7">
        <f>IF((I2625-ROUNDDOWN(I2625,0))=0, 0, (I2625-ROUNDDOWN(I2625,0)))</f>
      </c>
      <c r="K2625" s="7">
        <f>INDIRECT("C$"&amp;2+MIN(2,ROUNDDOWN(I2625,0))*3)*(-$J2625^3+3*$J2625^2-3*$J2625+1)+INDIRECT("C$"&amp;3+MIN(2,ROUNDDOWN(I2625,0))*3)*(3*$J2625^3-6*$J2625^2+3*$J2625)+INDIRECT("C$"&amp;4+MIN(2,ROUNDDOWN(I2625,0))*3)*(-3*$J2625^3+3*$J2625^2)+INDIRECT("C$"&amp;5+MIN(2,ROUNDDOWN(I2625,0))*3)*$J2625^3</f>
      </c>
      <c r="L2625" s="7">
        <f>INDIRECT("D$"&amp;2+MIN(2,ROUNDDOWN(I2625,0))*3)*(-$J2625^3+3*$J2625^2-3*$J2625+1)+INDIRECT("D$"&amp;3+MIN(2,ROUNDDOWN(I2625,0))*3)*(3*$J2625^3-6*$J2625^2+3*$J2625)+INDIRECT("D$"&amp;4+MIN(2,ROUNDDOWN(I2625,0))*3)*(-3*$J2625^3+3*$J2625^2)+INDIRECT("D$"&amp;5+MIN(2,ROUNDDOWN(I2625,0))*3)*$J2625^3</f>
      </c>
      <c r="M2625" s="7">
        <f>SQRT(K2625^2+L2625^2)</f>
      </c>
      <c r="N2625" s="7">
        <f>(K2626-K2624)</f>
      </c>
      <c r="O2625" s="7">
        <f>+(L2626-L2624)</f>
      </c>
      <c r="P2625" s="7">
        <f>SQRT(O2625^2+N2625^2)</f>
      </c>
      <c r="Q2625" s="7">
        <f>N2625/$P2625</f>
      </c>
      <c r="R2625" s="7">
        <f>O2625/$P2625</f>
      </c>
      <c r="S2625" s="8">
        <f>Q2625^2+R2625^2</f>
      </c>
      <c r="T2625" s="7">
        <f>-R2625</f>
      </c>
      <c r="U2625" s="7">
        <f>Q2625</f>
      </c>
      <c r="V2625" s="7">
        <f>($C$14+($C$15-$C$14)/($D$15-$D$14)*(I2625-$D$14))/2</f>
      </c>
      <c r="W2625" s="7">
        <f>($B$22*I2625^4+$C$22*I2625^3+$D$22*I2625^2+$E$22*I2625+$F$22)/2</f>
      </c>
      <c r="X2625" s="7">
        <f>($W2625)*(T2625)</f>
      </c>
      <c r="Y2625" s="7">
        <f>($W2625)*(U2625)</f>
      </c>
      <c r="Z2625" s="7">
        <f>SQRT(X2625^2+Y2625^2)</f>
      </c>
      <c r="AA2625" s="7">
        <f>$K2625+$X2625</f>
      </c>
      <c r="AB2625" s="7">
        <f>$L2625+$Y2625</f>
      </c>
      <c r="AC2625" s="7">
        <f>$K2625-$X2625</f>
      </c>
      <c r="AD2625" s="7">
        <f>$L2625-$Y2625</f>
      </c>
      <c r="AE2625" s="7">
        <f>AA2625/39.3701</f>
      </c>
      <c r="AF2625" s="7">
        <f>AB2625/39.3701</f>
      </c>
      <c r="AG2625" s="7">
        <f>AC2625/39.3701</f>
      </c>
      <c r="AH2625" s="7">
        <f>AD2625/39.3701</f>
      </c>
      <c r="AI2625" s="1"/>
      <c r="AJ2625" s="1"/>
      <c r="AK2625" s="1"/>
      <c r="AL2625" s="1"/>
      <c r="AM2625" s="2"/>
      <c r="AN2625" s="1"/>
      <c r="AO2625" s="1"/>
      <c r="AP2625" s="1"/>
      <c r="AQ2625" s="1"/>
      <c r="AR2625" s="1"/>
      <c r="AS2625" s="1"/>
      <c r="AT2625" s="1"/>
      <c r="AU2625" s="1"/>
      <c r="AV2625" s="1"/>
      <c r="AW2625" s="1"/>
      <c r="AX2625" s="1"/>
      <c r="AY2625" s="1"/>
      <c r="AZ2625" s="1"/>
      <c r="BA2625" s="1"/>
      <c r="BB2625" s="1"/>
      <c r="BC2625" s="1"/>
      <c r="BD2625" s="1"/>
      <c r="BE2625" s="1"/>
    </row>
    <row x14ac:dyDescent="0.25" r="2626" customHeight="1" ht="18.75">
      <c r="A2626" s="1"/>
      <c r="B2626" s="2"/>
      <c r="C2626" s="2"/>
      <c r="D2626" s="2"/>
      <c r="E2626" s="2"/>
      <c r="F2626" s="2"/>
      <c r="G2626" s="1"/>
      <c r="H2626" s="1"/>
      <c r="I2626" s="7">
        <v>2.623</v>
      </c>
      <c r="J2626" s="7">
        <f>IF((I2626-ROUNDDOWN(I2626,0))=0, 0, (I2626-ROUNDDOWN(I2626,0)))</f>
      </c>
      <c r="K2626" s="7">
        <f>INDIRECT("C$"&amp;2+MIN(2,ROUNDDOWN(I2626,0))*3)*(-$J2626^3+3*$J2626^2-3*$J2626+1)+INDIRECT("C$"&amp;3+MIN(2,ROUNDDOWN(I2626,0))*3)*(3*$J2626^3-6*$J2626^2+3*$J2626)+INDIRECT("C$"&amp;4+MIN(2,ROUNDDOWN(I2626,0))*3)*(-3*$J2626^3+3*$J2626^2)+INDIRECT("C$"&amp;5+MIN(2,ROUNDDOWN(I2626,0))*3)*$J2626^3</f>
      </c>
      <c r="L2626" s="7">
        <f>INDIRECT("D$"&amp;2+MIN(2,ROUNDDOWN(I2626,0))*3)*(-$J2626^3+3*$J2626^2-3*$J2626+1)+INDIRECT("D$"&amp;3+MIN(2,ROUNDDOWN(I2626,0))*3)*(3*$J2626^3-6*$J2626^2+3*$J2626)+INDIRECT("D$"&amp;4+MIN(2,ROUNDDOWN(I2626,0))*3)*(-3*$J2626^3+3*$J2626^2)+INDIRECT("D$"&amp;5+MIN(2,ROUNDDOWN(I2626,0))*3)*$J2626^3</f>
      </c>
      <c r="M2626" s="7">
        <f>SQRT(K2626^2+L2626^2)</f>
      </c>
      <c r="N2626" s="7">
        <f>(K2627-K2625)</f>
      </c>
      <c r="O2626" s="7">
        <f>+(L2627-L2625)</f>
      </c>
      <c r="P2626" s="7">
        <f>SQRT(O2626^2+N2626^2)</f>
      </c>
      <c r="Q2626" s="7">
        <f>N2626/$P2626</f>
      </c>
      <c r="R2626" s="7">
        <f>O2626/$P2626</f>
      </c>
      <c r="S2626" s="8">
        <f>Q2626^2+R2626^2</f>
      </c>
      <c r="T2626" s="7">
        <f>-R2626</f>
      </c>
      <c r="U2626" s="7">
        <f>Q2626</f>
      </c>
      <c r="V2626" s="7">
        <f>($C$14+($C$15-$C$14)/($D$15-$D$14)*(I2626-$D$14))/2</f>
      </c>
      <c r="W2626" s="7">
        <f>($B$22*I2626^4+$C$22*I2626^3+$D$22*I2626^2+$E$22*I2626+$F$22)/2</f>
      </c>
      <c r="X2626" s="7">
        <f>($W2626)*(T2626)</f>
      </c>
      <c r="Y2626" s="7">
        <f>($W2626)*(U2626)</f>
      </c>
      <c r="Z2626" s="7">
        <f>SQRT(X2626^2+Y2626^2)</f>
      </c>
      <c r="AA2626" s="7">
        <f>$K2626+$X2626</f>
      </c>
      <c r="AB2626" s="7">
        <f>$L2626+$Y2626</f>
      </c>
      <c r="AC2626" s="7">
        <f>$K2626-$X2626</f>
      </c>
      <c r="AD2626" s="7">
        <f>$L2626-$Y2626</f>
      </c>
      <c r="AE2626" s="7">
        <f>AA2626/39.3701</f>
      </c>
      <c r="AF2626" s="7">
        <f>AB2626/39.3701</f>
      </c>
      <c r="AG2626" s="7">
        <f>AC2626/39.3701</f>
      </c>
      <c r="AH2626" s="7">
        <f>AD2626/39.3701</f>
      </c>
      <c r="AI2626" s="1"/>
      <c r="AJ2626" s="1"/>
      <c r="AK2626" s="1"/>
      <c r="AL2626" s="1"/>
      <c r="AM2626" s="2"/>
      <c r="AN2626" s="1"/>
      <c r="AO2626" s="1"/>
      <c r="AP2626" s="1"/>
      <c r="AQ2626" s="1"/>
      <c r="AR2626" s="1"/>
      <c r="AS2626" s="1"/>
      <c r="AT2626" s="1"/>
      <c r="AU2626" s="1"/>
      <c r="AV2626" s="1"/>
      <c r="AW2626" s="1"/>
      <c r="AX2626" s="1"/>
      <c r="AY2626" s="1"/>
      <c r="AZ2626" s="1"/>
      <c r="BA2626" s="1"/>
      <c r="BB2626" s="1"/>
      <c r="BC2626" s="1"/>
      <c r="BD2626" s="1"/>
      <c r="BE2626" s="1"/>
    </row>
    <row x14ac:dyDescent="0.25" r="2627" customHeight="1" ht="18.75">
      <c r="A2627" s="1"/>
      <c r="B2627" s="2"/>
      <c r="C2627" s="2"/>
      <c r="D2627" s="2"/>
      <c r="E2627" s="2"/>
      <c r="F2627" s="2"/>
      <c r="G2627" s="1"/>
      <c r="H2627" s="1"/>
      <c r="I2627" s="7">
        <v>2.624</v>
      </c>
      <c r="J2627" s="7">
        <f>IF((I2627-ROUNDDOWN(I2627,0))=0, 0, (I2627-ROUNDDOWN(I2627,0)))</f>
      </c>
      <c r="K2627" s="7">
        <f>INDIRECT("C$"&amp;2+MIN(2,ROUNDDOWN(I2627,0))*3)*(-$J2627^3+3*$J2627^2-3*$J2627+1)+INDIRECT("C$"&amp;3+MIN(2,ROUNDDOWN(I2627,0))*3)*(3*$J2627^3-6*$J2627^2+3*$J2627)+INDIRECT("C$"&amp;4+MIN(2,ROUNDDOWN(I2627,0))*3)*(-3*$J2627^3+3*$J2627^2)+INDIRECT("C$"&amp;5+MIN(2,ROUNDDOWN(I2627,0))*3)*$J2627^3</f>
      </c>
      <c r="L2627" s="7">
        <f>INDIRECT("D$"&amp;2+MIN(2,ROUNDDOWN(I2627,0))*3)*(-$J2627^3+3*$J2627^2-3*$J2627+1)+INDIRECT("D$"&amp;3+MIN(2,ROUNDDOWN(I2627,0))*3)*(3*$J2627^3-6*$J2627^2+3*$J2627)+INDIRECT("D$"&amp;4+MIN(2,ROUNDDOWN(I2627,0))*3)*(-3*$J2627^3+3*$J2627^2)+INDIRECT("D$"&amp;5+MIN(2,ROUNDDOWN(I2627,0))*3)*$J2627^3</f>
      </c>
      <c r="M2627" s="7">
        <f>SQRT(K2627^2+L2627^2)</f>
      </c>
      <c r="N2627" s="7">
        <f>(K2628-K2626)</f>
      </c>
      <c r="O2627" s="7">
        <f>+(L2628-L2626)</f>
      </c>
      <c r="P2627" s="7">
        <f>SQRT(O2627^2+N2627^2)</f>
      </c>
      <c r="Q2627" s="7">
        <f>N2627/$P2627</f>
      </c>
      <c r="R2627" s="7">
        <f>O2627/$P2627</f>
      </c>
      <c r="S2627" s="7">
        <f>Q2627^2+R2627^2</f>
      </c>
      <c r="T2627" s="7">
        <f>-R2627</f>
      </c>
      <c r="U2627" s="7">
        <f>Q2627</f>
      </c>
      <c r="V2627" s="7">
        <f>($C$14+($C$15-$C$14)/($D$15-$D$14)*(I2627-$D$14))/2</f>
      </c>
      <c r="W2627" s="7">
        <f>($B$22*I2627^4+$C$22*I2627^3+$D$22*I2627^2+$E$22*I2627+$F$22)/2</f>
      </c>
      <c r="X2627" s="7">
        <f>($W2627)*(T2627)</f>
      </c>
      <c r="Y2627" s="7">
        <f>($W2627)*(U2627)</f>
      </c>
      <c r="Z2627" s="7">
        <f>SQRT(X2627^2+Y2627^2)</f>
      </c>
      <c r="AA2627" s="7">
        <f>$K2627+$X2627</f>
      </c>
      <c r="AB2627" s="7">
        <f>$L2627+$Y2627</f>
      </c>
      <c r="AC2627" s="7">
        <f>$K2627-$X2627</f>
      </c>
      <c r="AD2627" s="7">
        <f>$L2627-$Y2627</f>
      </c>
      <c r="AE2627" s="7">
        <f>AA2627/39.3701</f>
      </c>
      <c r="AF2627" s="7">
        <f>AB2627/39.3701</f>
      </c>
      <c r="AG2627" s="7">
        <f>AC2627/39.3701</f>
      </c>
      <c r="AH2627" s="7">
        <f>AD2627/39.3701</f>
      </c>
      <c r="AI2627" s="1"/>
      <c r="AJ2627" s="1"/>
      <c r="AK2627" s="1"/>
      <c r="AL2627" s="1"/>
      <c r="AM2627" s="2"/>
      <c r="AN2627" s="1"/>
      <c r="AO2627" s="1"/>
      <c r="AP2627" s="1"/>
      <c r="AQ2627" s="1"/>
      <c r="AR2627" s="1"/>
      <c r="AS2627" s="1"/>
      <c r="AT2627" s="1"/>
      <c r="AU2627" s="1"/>
      <c r="AV2627" s="1"/>
      <c r="AW2627" s="1"/>
      <c r="AX2627" s="1"/>
      <c r="AY2627" s="1"/>
      <c r="AZ2627" s="1"/>
      <c r="BA2627" s="1"/>
      <c r="BB2627" s="1"/>
      <c r="BC2627" s="1"/>
      <c r="BD2627" s="1"/>
      <c r="BE2627" s="1"/>
    </row>
    <row x14ac:dyDescent="0.25" r="2628" customHeight="1" ht="18.75">
      <c r="A2628" s="1"/>
      <c r="B2628" s="2"/>
      <c r="C2628" s="2"/>
      <c r="D2628" s="2"/>
      <c r="E2628" s="2"/>
      <c r="F2628" s="2"/>
      <c r="G2628" s="1"/>
      <c r="H2628" s="1"/>
      <c r="I2628" s="7">
        <v>2.625</v>
      </c>
      <c r="J2628" s="7">
        <f>IF((I2628-ROUNDDOWN(I2628,0))=0, 0, (I2628-ROUNDDOWN(I2628,0)))</f>
      </c>
      <c r="K2628" s="7">
        <f>INDIRECT("C$"&amp;2+MIN(2,ROUNDDOWN(I2628,0))*3)*(-$J2628^3+3*$J2628^2-3*$J2628+1)+INDIRECT("C$"&amp;3+MIN(2,ROUNDDOWN(I2628,0))*3)*(3*$J2628^3-6*$J2628^2+3*$J2628)+INDIRECT("C$"&amp;4+MIN(2,ROUNDDOWN(I2628,0))*3)*(-3*$J2628^3+3*$J2628^2)+INDIRECT("C$"&amp;5+MIN(2,ROUNDDOWN(I2628,0))*3)*$J2628^3</f>
      </c>
      <c r="L2628" s="7">
        <f>INDIRECT("D$"&amp;2+MIN(2,ROUNDDOWN(I2628,0))*3)*(-$J2628^3+3*$J2628^2-3*$J2628+1)+INDIRECT("D$"&amp;3+MIN(2,ROUNDDOWN(I2628,0))*3)*(3*$J2628^3-6*$J2628^2+3*$J2628)+INDIRECT("D$"&amp;4+MIN(2,ROUNDDOWN(I2628,0))*3)*(-3*$J2628^3+3*$J2628^2)+INDIRECT("D$"&amp;5+MIN(2,ROUNDDOWN(I2628,0))*3)*$J2628^3</f>
      </c>
      <c r="M2628" s="7">
        <f>SQRT(K2628^2+L2628^2)</f>
      </c>
      <c r="N2628" s="7">
        <f>(K2629-K2627)</f>
      </c>
      <c r="O2628" s="7">
        <f>+(L2629-L2627)</f>
      </c>
      <c r="P2628" s="7">
        <f>SQRT(O2628^2+N2628^2)</f>
      </c>
      <c r="Q2628" s="7">
        <f>N2628/$P2628</f>
      </c>
      <c r="R2628" s="7">
        <f>O2628/$P2628</f>
      </c>
      <c r="S2628" s="7">
        <f>Q2628^2+R2628^2</f>
      </c>
      <c r="T2628" s="7">
        <f>-R2628</f>
      </c>
      <c r="U2628" s="7">
        <f>Q2628</f>
      </c>
      <c r="V2628" s="7">
        <f>($C$14+($C$15-$C$14)/($D$15-$D$14)*(I2628-$D$14))/2</f>
      </c>
      <c r="W2628" s="7">
        <f>($B$22*I2628^4+$C$22*I2628^3+$D$22*I2628^2+$E$22*I2628+$F$22)/2</f>
      </c>
      <c r="X2628" s="7">
        <f>($W2628)*(T2628)</f>
      </c>
      <c r="Y2628" s="7">
        <f>($W2628)*(U2628)</f>
      </c>
      <c r="Z2628" s="7">
        <f>SQRT(X2628^2+Y2628^2)</f>
      </c>
      <c r="AA2628" s="7">
        <f>$K2628+$X2628</f>
      </c>
      <c r="AB2628" s="7">
        <f>$L2628+$Y2628</f>
      </c>
      <c r="AC2628" s="7">
        <f>$K2628-$X2628</f>
      </c>
      <c r="AD2628" s="7">
        <f>$L2628-$Y2628</f>
      </c>
      <c r="AE2628" s="7">
        <f>AA2628/39.3701</f>
      </c>
      <c r="AF2628" s="7">
        <f>AB2628/39.3701</f>
      </c>
      <c r="AG2628" s="7">
        <f>AC2628/39.3701</f>
      </c>
      <c r="AH2628" s="7">
        <f>AD2628/39.3701</f>
      </c>
      <c r="AI2628" s="1"/>
      <c r="AJ2628" s="1"/>
      <c r="AK2628" s="1"/>
      <c r="AL2628" s="1"/>
      <c r="AM2628" s="2"/>
      <c r="AN2628" s="1"/>
      <c r="AO2628" s="1"/>
      <c r="AP2628" s="1"/>
      <c r="AQ2628" s="1"/>
      <c r="AR2628" s="1"/>
      <c r="AS2628" s="1"/>
      <c r="AT2628" s="1"/>
      <c r="AU2628" s="1"/>
      <c r="AV2628" s="1"/>
      <c r="AW2628" s="1"/>
      <c r="AX2628" s="1"/>
      <c r="AY2628" s="1"/>
      <c r="AZ2628" s="1"/>
      <c r="BA2628" s="1"/>
      <c r="BB2628" s="1"/>
      <c r="BC2628" s="1"/>
      <c r="BD2628" s="1"/>
      <c r="BE2628" s="1"/>
    </row>
    <row x14ac:dyDescent="0.25" r="2629" customHeight="1" ht="18.75">
      <c r="A2629" s="1"/>
      <c r="B2629" s="2"/>
      <c r="C2629" s="2"/>
      <c r="D2629" s="2"/>
      <c r="E2629" s="2"/>
      <c r="F2629" s="2"/>
      <c r="G2629" s="1"/>
      <c r="H2629" s="1"/>
      <c r="I2629" s="7">
        <v>2.626</v>
      </c>
      <c r="J2629" s="7">
        <f>IF((I2629-ROUNDDOWN(I2629,0))=0, 0, (I2629-ROUNDDOWN(I2629,0)))</f>
      </c>
      <c r="K2629" s="7">
        <f>INDIRECT("C$"&amp;2+MIN(2,ROUNDDOWN(I2629,0))*3)*(-$J2629^3+3*$J2629^2-3*$J2629+1)+INDIRECT("C$"&amp;3+MIN(2,ROUNDDOWN(I2629,0))*3)*(3*$J2629^3-6*$J2629^2+3*$J2629)+INDIRECT("C$"&amp;4+MIN(2,ROUNDDOWN(I2629,0))*3)*(-3*$J2629^3+3*$J2629^2)+INDIRECT("C$"&amp;5+MIN(2,ROUNDDOWN(I2629,0))*3)*$J2629^3</f>
      </c>
      <c r="L2629" s="7">
        <f>INDIRECT("D$"&amp;2+MIN(2,ROUNDDOWN(I2629,0))*3)*(-$J2629^3+3*$J2629^2-3*$J2629+1)+INDIRECT("D$"&amp;3+MIN(2,ROUNDDOWN(I2629,0))*3)*(3*$J2629^3-6*$J2629^2+3*$J2629)+INDIRECT("D$"&amp;4+MIN(2,ROUNDDOWN(I2629,0))*3)*(-3*$J2629^3+3*$J2629^2)+INDIRECT("D$"&amp;5+MIN(2,ROUNDDOWN(I2629,0))*3)*$J2629^3</f>
      </c>
      <c r="M2629" s="7">
        <f>SQRT(K2629^2+L2629^2)</f>
      </c>
      <c r="N2629" s="7">
        <f>(K2630-K2628)</f>
      </c>
      <c r="O2629" s="7">
        <f>+(L2630-L2628)</f>
      </c>
      <c r="P2629" s="7">
        <f>SQRT(O2629^2+N2629^2)</f>
      </c>
      <c r="Q2629" s="7">
        <f>N2629/$P2629</f>
      </c>
      <c r="R2629" s="7">
        <f>O2629/$P2629</f>
      </c>
      <c r="S2629" s="8">
        <f>Q2629^2+R2629^2</f>
      </c>
      <c r="T2629" s="7">
        <f>-R2629</f>
      </c>
      <c r="U2629" s="7">
        <f>Q2629</f>
      </c>
      <c r="V2629" s="7">
        <f>($C$14+($C$15-$C$14)/($D$15-$D$14)*(I2629-$D$14))/2</f>
      </c>
      <c r="W2629" s="7">
        <f>($B$22*I2629^4+$C$22*I2629^3+$D$22*I2629^2+$E$22*I2629+$F$22)/2</f>
      </c>
      <c r="X2629" s="7">
        <f>($W2629)*(T2629)</f>
      </c>
      <c r="Y2629" s="7">
        <f>($W2629)*(U2629)</f>
      </c>
      <c r="Z2629" s="7">
        <f>SQRT(X2629^2+Y2629^2)</f>
      </c>
      <c r="AA2629" s="7">
        <f>$K2629+$X2629</f>
      </c>
      <c r="AB2629" s="7">
        <f>$L2629+$Y2629</f>
      </c>
      <c r="AC2629" s="7">
        <f>$K2629-$X2629</f>
      </c>
      <c r="AD2629" s="7">
        <f>$L2629-$Y2629</f>
      </c>
      <c r="AE2629" s="7">
        <f>AA2629/39.3701</f>
      </c>
      <c r="AF2629" s="7">
        <f>AB2629/39.3701</f>
      </c>
      <c r="AG2629" s="7">
        <f>AC2629/39.3701</f>
      </c>
      <c r="AH2629" s="7">
        <f>AD2629/39.3701</f>
      </c>
      <c r="AI2629" s="1"/>
      <c r="AJ2629" s="1"/>
      <c r="AK2629" s="1"/>
      <c r="AL2629" s="1"/>
      <c r="AM2629" s="2"/>
      <c r="AN2629" s="1"/>
      <c r="AO2629" s="1"/>
      <c r="AP2629" s="1"/>
      <c r="AQ2629" s="1"/>
      <c r="AR2629" s="1"/>
      <c r="AS2629" s="1"/>
      <c r="AT2629" s="1"/>
      <c r="AU2629" s="1"/>
      <c r="AV2629" s="1"/>
      <c r="AW2629" s="1"/>
      <c r="AX2629" s="1"/>
      <c r="AY2629" s="1"/>
      <c r="AZ2629" s="1"/>
      <c r="BA2629" s="1"/>
      <c r="BB2629" s="1"/>
      <c r="BC2629" s="1"/>
      <c r="BD2629" s="1"/>
      <c r="BE2629" s="1"/>
    </row>
    <row x14ac:dyDescent="0.25" r="2630" customHeight="1" ht="18.75">
      <c r="A2630" s="1"/>
      <c r="B2630" s="2"/>
      <c r="C2630" s="2"/>
      <c r="D2630" s="2"/>
      <c r="E2630" s="2"/>
      <c r="F2630" s="2"/>
      <c r="G2630" s="1"/>
      <c r="H2630" s="1"/>
      <c r="I2630" s="7">
        <v>2.627</v>
      </c>
      <c r="J2630" s="7">
        <f>IF((I2630-ROUNDDOWN(I2630,0))=0, 0, (I2630-ROUNDDOWN(I2630,0)))</f>
      </c>
      <c r="K2630" s="7">
        <f>INDIRECT("C$"&amp;2+MIN(2,ROUNDDOWN(I2630,0))*3)*(-$J2630^3+3*$J2630^2-3*$J2630+1)+INDIRECT("C$"&amp;3+MIN(2,ROUNDDOWN(I2630,0))*3)*(3*$J2630^3-6*$J2630^2+3*$J2630)+INDIRECT("C$"&amp;4+MIN(2,ROUNDDOWN(I2630,0))*3)*(-3*$J2630^3+3*$J2630^2)+INDIRECT("C$"&amp;5+MIN(2,ROUNDDOWN(I2630,0))*3)*$J2630^3</f>
      </c>
      <c r="L2630" s="7">
        <f>INDIRECT("D$"&amp;2+MIN(2,ROUNDDOWN(I2630,0))*3)*(-$J2630^3+3*$J2630^2-3*$J2630+1)+INDIRECT("D$"&amp;3+MIN(2,ROUNDDOWN(I2630,0))*3)*(3*$J2630^3-6*$J2630^2+3*$J2630)+INDIRECT("D$"&amp;4+MIN(2,ROUNDDOWN(I2630,0))*3)*(-3*$J2630^3+3*$J2630^2)+INDIRECT("D$"&amp;5+MIN(2,ROUNDDOWN(I2630,0))*3)*$J2630^3</f>
      </c>
      <c r="M2630" s="7">
        <f>SQRT(K2630^2+L2630^2)</f>
      </c>
      <c r="N2630" s="7">
        <f>(K2631-K2629)</f>
      </c>
      <c r="O2630" s="7">
        <f>+(L2631-L2629)</f>
      </c>
      <c r="P2630" s="7">
        <f>SQRT(O2630^2+N2630^2)</f>
      </c>
      <c r="Q2630" s="7">
        <f>N2630/$P2630</f>
      </c>
      <c r="R2630" s="7">
        <f>O2630/$P2630</f>
      </c>
      <c r="S2630" s="7">
        <f>Q2630^2+R2630^2</f>
      </c>
      <c r="T2630" s="7">
        <f>-R2630</f>
      </c>
      <c r="U2630" s="7">
        <f>Q2630</f>
      </c>
      <c r="V2630" s="7">
        <f>($C$14+($C$15-$C$14)/($D$15-$D$14)*(I2630-$D$14))/2</f>
      </c>
      <c r="W2630" s="7">
        <f>($B$22*I2630^4+$C$22*I2630^3+$D$22*I2630^2+$E$22*I2630+$F$22)/2</f>
      </c>
      <c r="X2630" s="7">
        <f>($W2630)*(T2630)</f>
      </c>
      <c r="Y2630" s="7">
        <f>($W2630)*(U2630)</f>
      </c>
      <c r="Z2630" s="7">
        <f>SQRT(X2630^2+Y2630^2)</f>
      </c>
      <c r="AA2630" s="7">
        <f>$K2630+$X2630</f>
      </c>
      <c r="AB2630" s="7">
        <f>$L2630+$Y2630</f>
      </c>
      <c r="AC2630" s="7">
        <f>$K2630-$X2630</f>
      </c>
      <c r="AD2630" s="7">
        <f>$L2630-$Y2630</f>
      </c>
      <c r="AE2630" s="7">
        <f>AA2630/39.3701</f>
      </c>
      <c r="AF2630" s="7">
        <f>AB2630/39.3701</f>
      </c>
      <c r="AG2630" s="7">
        <f>AC2630/39.3701</f>
      </c>
      <c r="AH2630" s="7">
        <f>AD2630/39.3701</f>
      </c>
      <c r="AI2630" s="1"/>
      <c r="AJ2630" s="1"/>
      <c r="AK2630" s="1"/>
      <c r="AL2630" s="1"/>
      <c r="AM2630" s="2"/>
      <c r="AN2630" s="1"/>
      <c r="AO2630" s="1"/>
      <c r="AP2630" s="1"/>
      <c r="AQ2630" s="1"/>
      <c r="AR2630" s="1"/>
      <c r="AS2630" s="1"/>
      <c r="AT2630" s="1"/>
      <c r="AU2630" s="1"/>
      <c r="AV2630" s="1"/>
      <c r="AW2630" s="1"/>
      <c r="AX2630" s="1"/>
      <c r="AY2630" s="1"/>
      <c r="AZ2630" s="1"/>
      <c r="BA2630" s="1"/>
      <c r="BB2630" s="1"/>
      <c r="BC2630" s="1"/>
      <c r="BD2630" s="1"/>
      <c r="BE2630" s="1"/>
    </row>
    <row x14ac:dyDescent="0.25" r="2631" customHeight="1" ht="18.75">
      <c r="A2631" s="1"/>
      <c r="B2631" s="2"/>
      <c r="C2631" s="2"/>
      <c r="D2631" s="2"/>
      <c r="E2631" s="2"/>
      <c r="F2631" s="2"/>
      <c r="G2631" s="1"/>
      <c r="H2631" s="1"/>
      <c r="I2631" s="7">
        <v>2.628</v>
      </c>
      <c r="J2631" s="7">
        <f>IF((I2631-ROUNDDOWN(I2631,0))=0, 0, (I2631-ROUNDDOWN(I2631,0)))</f>
      </c>
      <c r="K2631" s="7">
        <f>INDIRECT("C$"&amp;2+MIN(2,ROUNDDOWN(I2631,0))*3)*(-$J2631^3+3*$J2631^2-3*$J2631+1)+INDIRECT("C$"&amp;3+MIN(2,ROUNDDOWN(I2631,0))*3)*(3*$J2631^3-6*$J2631^2+3*$J2631)+INDIRECT("C$"&amp;4+MIN(2,ROUNDDOWN(I2631,0))*3)*(-3*$J2631^3+3*$J2631^2)+INDIRECT("C$"&amp;5+MIN(2,ROUNDDOWN(I2631,0))*3)*$J2631^3</f>
      </c>
      <c r="L2631" s="7">
        <f>INDIRECT("D$"&amp;2+MIN(2,ROUNDDOWN(I2631,0))*3)*(-$J2631^3+3*$J2631^2-3*$J2631+1)+INDIRECT("D$"&amp;3+MIN(2,ROUNDDOWN(I2631,0))*3)*(3*$J2631^3-6*$J2631^2+3*$J2631)+INDIRECT("D$"&amp;4+MIN(2,ROUNDDOWN(I2631,0))*3)*(-3*$J2631^3+3*$J2631^2)+INDIRECT("D$"&amp;5+MIN(2,ROUNDDOWN(I2631,0))*3)*$J2631^3</f>
      </c>
      <c r="M2631" s="7">
        <f>SQRT(K2631^2+L2631^2)</f>
      </c>
      <c r="N2631" s="7">
        <f>(K2632-K2630)</f>
      </c>
      <c r="O2631" s="7">
        <f>+(L2632-L2630)</f>
      </c>
      <c r="P2631" s="7">
        <f>SQRT(O2631^2+N2631^2)</f>
      </c>
      <c r="Q2631" s="7">
        <f>N2631/$P2631</f>
      </c>
      <c r="R2631" s="7">
        <f>O2631/$P2631</f>
      </c>
      <c r="S2631" s="7">
        <f>Q2631^2+R2631^2</f>
      </c>
      <c r="T2631" s="7">
        <f>-R2631</f>
      </c>
      <c r="U2631" s="7">
        <f>Q2631</f>
      </c>
      <c r="V2631" s="7">
        <f>($C$14+($C$15-$C$14)/($D$15-$D$14)*(I2631-$D$14))/2</f>
      </c>
      <c r="W2631" s="7">
        <f>($B$22*I2631^4+$C$22*I2631^3+$D$22*I2631^2+$E$22*I2631+$F$22)/2</f>
      </c>
      <c r="X2631" s="7">
        <f>($W2631)*(T2631)</f>
      </c>
      <c r="Y2631" s="7">
        <f>($W2631)*(U2631)</f>
      </c>
      <c r="Z2631" s="7">
        <f>SQRT(X2631^2+Y2631^2)</f>
      </c>
      <c r="AA2631" s="7">
        <f>$K2631+$X2631</f>
      </c>
      <c r="AB2631" s="7">
        <f>$L2631+$Y2631</f>
      </c>
      <c r="AC2631" s="7">
        <f>$K2631-$X2631</f>
      </c>
      <c r="AD2631" s="7">
        <f>$L2631-$Y2631</f>
      </c>
      <c r="AE2631" s="7">
        <f>AA2631/39.3701</f>
      </c>
      <c r="AF2631" s="7">
        <f>AB2631/39.3701</f>
      </c>
      <c r="AG2631" s="7">
        <f>AC2631/39.3701</f>
      </c>
      <c r="AH2631" s="7">
        <f>AD2631/39.3701</f>
      </c>
      <c r="AI2631" s="1"/>
      <c r="AJ2631" s="1"/>
      <c r="AK2631" s="1"/>
      <c r="AL2631" s="1"/>
      <c r="AM2631" s="2"/>
      <c r="AN2631" s="1"/>
      <c r="AO2631" s="1"/>
      <c r="AP2631" s="1"/>
      <c r="AQ2631" s="1"/>
      <c r="AR2631" s="1"/>
      <c r="AS2631" s="1"/>
      <c r="AT2631" s="1"/>
      <c r="AU2631" s="1"/>
      <c r="AV2631" s="1"/>
      <c r="AW2631" s="1"/>
      <c r="AX2631" s="1"/>
      <c r="AY2631" s="1"/>
      <c r="AZ2631" s="1"/>
      <c r="BA2631" s="1"/>
      <c r="BB2631" s="1"/>
      <c r="BC2631" s="1"/>
      <c r="BD2631" s="1"/>
      <c r="BE2631" s="1"/>
    </row>
    <row x14ac:dyDescent="0.25" r="2632" customHeight="1" ht="18.75">
      <c r="A2632" s="1"/>
      <c r="B2632" s="2"/>
      <c r="C2632" s="2"/>
      <c r="D2632" s="2"/>
      <c r="E2632" s="2"/>
      <c r="F2632" s="2"/>
      <c r="G2632" s="1"/>
      <c r="H2632" s="1"/>
      <c r="I2632" s="7">
        <v>2.629</v>
      </c>
      <c r="J2632" s="7">
        <f>IF((I2632-ROUNDDOWN(I2632,0))=0, 0, (I2632-ROUNDDOWN(I2632,0)))</f>
      </c>
      <c r="K2632" s="7">
        <f>INDIRECT("C$"&amp;2+MIN(2,ROUNDDOWN(I2632,0))*3)*(-$J2632^3+3*$J2632^2-3*$J2632+1)+INDIRECT("C$"&amp;3+MIN(2,ROUNDDOWN(I2632,0))*3)*(3*$J2632^3-6*$J2632^2+3*$J2632)+INDIRECT("C$"&amp;4+MIN(2,ROUNDDOWN(I2632,0))*3)*(-3*$J2632^3+3*$J2632^2)+INDIRECT("C$"&amp;5+MIN(2,ROUNDDOWN(I2632,0))*3)*$J2632^3</f>
      </c>
      <c r="L2632" s="7">
        <f>INDIRECT("D$"&amp;2+MIN(2,ROUNDDOWN(I2632,0))*3)*(-$J2632^3+3*$J2632^2-3*$J2632+1)+INDIRECT("D$"&amp;3+MIN(2,ROUNDDOWN(I2632,0))*3)*(3*$J2632^3-6*$J2632^2+3*$J2632)+INDIRECT("D$"&amp;4+MIN(2,ROUNDDOWN(I2632,0))*3)*(-3*$J2632^3+3*$J2632^2)+INDIRECT("D$"&amp;5+MIN(2,ROUNDDOWN(I2632,0))*3)*$J2632^3</f>
      </c>
      <c r="M2632" s="7">
        <f>SQRT(K2632^2+L2632^2)</f>
      </c>
      <c r="N2632" s="7">
        <f>(K2633-K2631)</f>
      </c>
      <c r="O2632" s="7">
        <f>+(L2633-L2631)</f>
      </c>
      <c r="P2632" s="7">
        <f>SQRT(O2632^2+N2632^2)</f>
      </c>
      <c r="Q2632" s="7">
        <f>N2632/$P2632</f>
      </c>
      <c r="R2632" s="7">
        <f>O2632/$P2632</f>
      </c>
      <c r="S2632" s="7">
        <f>Q2632^2+R2632^2</f>
      </c>
      <c r="T2632" s="7">
        <f>-R2632</f>
      </c>
      <c r="U2632" s="7">
        <f>Q2632</f>
      </c>
      <c r="V2632" s="7">
        <f>($C$14+($C$15-$C$14)/($D$15-$D$14)*(I2632-$D$14))/2</f>
      </c>
      <c r="W2632" s="7">
        <f>($B$22*I2632^4+$C$22*I2632^3+$D$22*I2632^2+$E$22*I2632+$F$22)/2</f>
      </c>
      <c r="X2632" s="7">
        <f>($W2632)*(T2632)</f>
      </c>
      <c r="Y2632" s="7">
        <f>($W2632)*(U2632)</f>
      </c>
      <c r="Z2632" s="7">
        <f>SQRT(X2632^2+Y2632^2)</f>
      </c>
      <c r="AA2632" s="7">
        <f>$K2632+$X2632</f>
      </c>
      <c r="AB2632" s="7">
        <f>$L2632+$Y2632</f>
      </c>
      <c r="AC2632" s="7">
        <f>$K2632-$X2632</f>
      </c>
      <c r="AD2632" s="7">
        <f>$L2632-$Y2632</f>
      </c>
      <c r="AE2632" s="7">
        <f>AA2632/39.3701</f>
      </c>
      <c r="AF2632" s="7">
        <f>AB2632/39.3701</f>
      </c>
      <c r="AG2632" s="7">
        <f>AC2632/39.3701</f>
      </c>
      <c r="AH2632" s="7">
        <f>AD2632/39.3701</f>
      </c>
      <c r="AI2632" s="1"/>
      <c r="AJ2632" s="1"/>
      <c r="AK2632" s="1"/>
      <c r="AL2632" s="1"/>
      <c r="AM2632" s="2"/>
      <c r="AN2632" s="1"/>
      <c r="AO2632" s="1"/>
      <c r="AP2632" s="1"/>
      <c r="AQ2632" s="1"/>
      <c r="AR2632" s="1"/>
      <c r="AS2632" s="1"/>
      <c r="AT2632" s="1"/>
      <c r="AU2632" s="1"/>
      <c r="AV2632" s="1"/>
      <c r="AW2632" s="1"/>
      <c r="AX2632" s="1"/>
      <c r="AY2632" s="1"/>
      <c r="AZ2632" s="1"/>
      <c r="BA2632" s="1"/>
      <c r="BB2632" s="1"/>
      <c r="BC2632" s="1"/>
      <c r="BD2632" s="1"/>
      <c r="BE2632" s="1"/>
    </row>
    <row x14ac:dyDescent="0.25" r="2633" customHeight="1" ht="18.75">
      <c r="A2633" s="1"/>
      <c r="B2633" s="2"/>
      <c r="C2633" s="2"/>
      <c r="D2633" s="2"/>
      <c r="E2633" s="2"/>
      <c r="F2633" s="2"/>
      <c r="G2633" s="1"/>
      <c r="H2633" s="1"/>
      <c r="I2633" s="7">
        <v>2.63</v>
      </c>
      <c r="J2633" s="7">
        <f>IF((I2633-ROUNDDOWN(I2633,0))=0, 0, (I2633-ROUNDDOWN(I2633,0)))</f>
      </c>
      <c r="K2633" s="7">
        <f>INDIRECT("C$"&amp;2+MIN(2,ROUNDDOWN(I2633,0))*3)*(-$J2633^3+3*$J2633^2-3*$J2633+1)+INDIRECT("C$"&amp;3+MIN(2,ROUNDDOWN(I2633,0))*3)*(3*$J2633^3-6*$J2633^2+3*$J2633)+INDIRECT("C$"&amp;4+MIN(2,ROUNDDOWN(I2633,0))*3)*(-3*$J2633^3+3*$J2633^2)+INDIRECT("C$"&amp;5+MIN(2,ROUNDDOWN(I2633,0))*3)*$J2633^3</f>
      </c>
      <c r="L2633" s="7">
        <f>INDIRECT("D$"&amp;2+MIN(2,ROUNDDOWN(I2633,0))*3)*(-$J2633^3+3*$J2633^2-3*$J2633+1)+INDIRECT("D$"&amp;3+MIN(2,ROUNDDOWN(I2633,0))*3)*(3*$J2633^3-6*$J2633^2+3*$J2633)+INDIRECT("D$"&amp;4+MIN(2,ROUNDDOWN(I2633,0))*3)*(-3*$J2633^3+3*$J2633^2)+INDIRECT("D$"&amp;5+MIN(2,ROUNDDOWN(I2633,0))*3)*$J2633^3</f>
      </c>
      <c r="M2633" s="7">
        <f>SQRT(K2633^2+L2633^2)</f>
      </c>
      <c r="N2633" s="7">
        <f>(K2634-K2632)</f>
      </c>
      <c r="O2633" s="7">
        <f>+(L2634-L2632)</f>
      </c>
      <c r="P2633" s="7">
        <f>SQRT(O2633^2+N2633^2)</f>
      </c>
      <c r="Q2633" s="7">
        <f>N2633/$P2633</f>
      </c>
      <c r="R2633" s="7">
        <f>O2633/$P2633</f>
      </c>
      <c r="S2633" s="8">
        <f>Q2633^2+R2633^2</f>
      </c>
      <c r="T2633" s="7">
        <f>-R2633</f>
      </c>
      <c r="U2633" s="7">
        <f>Q2633</f>
      </c>
      <c r="V2633" s="7">
        <f>($C$14+($C$15-$C$14)/($D$15-$D$14)*(I2633-$D$14))/2</f>
      </c>
      <c r="W2633" s="7">
        <f>($B$22*I2633^4+$C$22*I2633^3+$D$22*I2633^2+$E$22*I2633+$F$22)/2</f>
      </c>
      <c r="X2633" s="7">
        <f>($W2633)*(T2633)</f>
      </c>
      <c r="Y2633" s="7">
        <f>($W2633)*(U2633)</f>
      </c>
      <c r="Z2633" s="7">
        <f>SQRT(X2633^2+Y2633^2)</f>
      </c>
      <c r="AA2633" s="7">
        <f>$K2633+$X2633</f>
      </c>
      <c r="AB2633" s="7">
        <f>$L2633+$Y2633</f>
      </c>
      <c r="AC2633" s="7">
        <f>$K2633-$X2633</f>
      </c>
      <c r="AD2633" s="7">
        <f>$L2633-$Y2633</f>
      </c>
      <c r="AE2633" s="7">
        <f>AA2633/39.3701</f>
      </c>
      <c r="AF2633" s="7">
        <f>AB2633/39.3701</f>
      </c>
      <c r="AG2633" s="7">
        <f>AC2633/39.3701</f>
      </c>
      <c r="AH2633" s="7">
        <f>AD2633/39.3701</f>
      </c>
      <c r="AI2633" s="1"/>
      <c r="AJ2633" s="1"/>
      <c r="AK2633" s="1"/>
      <c r="AL2633" s="1"/>
      <c r="AM2633" s="2"/>
      <c r="AN2633" s="1"/>
      <c r="AO2633" s="1"/>
      <c r="AP2633" s="1"/>
      <c r="AQ2633" s="1"/>
      <c r="AR2633" s="1"/>
      <c r="AS2633" s="1"/>
      <c r="AT2633" s="1"/>
      <c r="AU2633" s="1"/>
      <c r="AV2633" s="1"/>
      <c r="AW2633" s="1"/>
      <c r="AX2633" s="1"/>
      <c r="AY2633" s="1"/>
      <c r="AZ2633" s="1"/>
      <c r="BA2633" s="1"/>
      <c r="BB2633" s="1"/>
      <c r="BC2633" s="1"/>
      <c r="BD2633" s="1"/>
      <c r="BE2633" s="1"/>
    </row>
    <row x14ac:dyDescent="0.25" r="2634" customHeight="1" ht="18.75">
      <c r="A2634" s="1"/>
      <c r="B2634" s="2"/>
      <c r="C2634" s="2"/>
      <c r="D2634" s="2"/>
      <c r="E2634" s="2"/>
      <c r="F2634" s="2"/>
      <c r="G2634" s="1"/>
      <c r="H2634" s="1"/>
      <c r="I2634" s="7">
        <v>2.631</v>
      </c>
      <c r="J2634" s="7">
        <f>IF((I2634-ROUNDDOWN(I2634,0))=0, 0, (I2634-ROUNDDOWN(I2634,0)))</f>
      </c>
      <c r="K2634" s="7">
        <f>INDIRECT("C$"&amp;2+MIN(2,ROUNDDOWN(I2634,0))*3)*(-$J2634^3+3*$J2634^2-3*$J2634+1)+INDIRECT("C$"&amp;3+MIN(2,ROUNDDOWN(I2634,0))*3)*(3*$J2634^3-6*$J2634^2+3*$J2634)+INDIRECT("C$"&amp;4+MIN(2,ROUNDDOWN(I2634,0))*3)*(-3*$J2634^3+3*$J2634^2)+INDIRECT("C$"&amp;5+MIN(2,ROUNDDOWN(I2634,0))*3)*$J2634^3</f>
      </c>
      <c r="L2634" s="7">
        <f>INDIRECT("D$"&amp;2+MIN(2,ROUNDDOWN(I2634,0))*3)*(-$J2634^3+3*$J2634^2-3*$J2634+1)+INDIRECT("D$"&amp;3+MIN(2,ROUNDDOWN(I2634,0))*3)*(3*$J2634^3-6*$J2634^2+3*$J2634)+INDIRECT("D$"&amp;4+MIN(2,ROUNDDOWN(I2634,0))*3)*(-3*$J2634^3+3*$J2634^2)+INDIRECT("D$"&amp;5+MIN(2,ROUNDDOWN(I2634,0))*3)*$J2634^3</f>
      </c>
      <c r="M2634" s="7">
        <f>SQRT(K2634^2+L2634^2)</f>
      </c>
      <c r="N2634" s="7">
        <f>(K2635-K2633)</f>
      </c>
      <c r="O2634" s="7">
        <f>+(L2635-L2633)</f>
      </c>
      <c r="P2634" s="7">
        <f>SQRT(O2634^2+N2634^2)</f>
      </c>
      <c r="Q2634" s="7">
        <f>N2634/$P2634</f>
      </c>
      <c r="R2634" s="7">
        <f>O2634/$P2634</f>
      </c>
      <c r="S2634" s="8">
        <f>Q2634^2+R2634^2</f>
      </c>
      <c r="T2634" s="7">
        <f>-R2634</f>
      </c>
      <c r="U2634" s="7">
        <f>Q2634</f>
      </c>
      <c r="V2634" s="7">
        <f>($C$14+($C$15-$C$14)/($D$15-$D$14)*(I2634-$D$14))/2</f>
      </c>
      <c r="W2634" s="7">
        <f>($B$22*I2634^4+$C$22*I2634^3+$D$22*I2634^2+$E$22*I2634+$F$22)/2</f>
      </c>
      <c r="X2634" s="7">
        <f>($W2634)*(T2634)</f>
      </c>
      <c r="Y2634" s="7">
        <f>($W2634)*(U2634)</f>
      </c>
      <c r="Z2634" s="7">
        <f>SQRT(X2634^2+Y2634^2)</f>
      </c>
      <c r="AA2634" s="7">
        <f>$K2634+$X2634</f>
      </c>
      <c r="AB2634" s="7">
        <f>$L2634+$Y2634</f>
      </c>
      <c r="AC2634" s="7">
        <f>$K2634-$X2634</f>
      </c>
      <c r="AD2634" s="7">
        <f>$L2634-$Y2634</f>
      </c>
      <c r="AE2634" s="7">
        <f>AA2634/39.3701</f>
      </c>
      <c r="AF2634" s="7">
        <f>AB2634/39.3701</f>
      </c>
      <c r="AG2634" s="7">
        <f>AC2634/39.3701</f>
      </c>
      <c r="AH2634" s="7">
        <f>AD2634/39.3701</f>
      </c>
      <c r="AI2634" s="1"/>
      <c r="AJ2634" s="1"/>
      <c r="AK2634" s="1"/>
      <c r="AL2634" s="1"/>
      <c r="AM2634" s="2"/>
      <c r="AN2634" s="1"/>
      <c r="AO2634" s="1"/>
      <c r="AP2634" s="1"/>
      <c r="AQ2634" s="1"/>
      <c r="AR2634" s="1"/>
      <c r="AS2634" s="1"/>
      <c r="AT2634" s="1"/>
      <c r="AU2634" s="1"/>
      <c r="AV2634" s="1"/>
      <c r="AW2634" s="1"/>
      <c r="AX2634" s="1"/>
      <c r="AY2634" s="1"/>
      <c r="AZ2634" s="1"/>
      <c r="BA2634" s="1"/>
      <c r="BB2634" s="1"/>
      <c r="BC2634" s="1"/>
      <c r="BD2634" s="1"/>
      <c r="BE2634" s="1"/>
    </row>
    <row x14ac:dyDescent="0.25" r="2635" customHeight="1" ht="18.75">
      <c r="A2635" s="1"/>
      <c r="B2635" s="2"/>
      <c r="C2635" s="2"/>
      <c r="D2635" s="2"/>
      <c r="E2635" s="2"/>
      <c r="F2635" s="2"/>
      <c r="G2635" s="1"/>
      <c r="H2635" s="1"/>
      <c r="I2635" s="7">
        <v>2.632</v>
      </c>
      <c r="J2635" s="7">
        <f>IF((I2635-ROUNDDOWN(I2635,0))=0, 0, (I2635-ROUNDDOWN(I2635,0)))</f>
      </c>
      <c r="K2635" s="7">
        <f>INDIRECT("C$"&amp;2+MIN(2,ROUNDDOWN(I2635,0))*3)*(-$J2635^3+3*$J2635^2-3*$J2635+1)+INDIRECT("C$"&amp;3+MIN(2,ROUNDDOWN(I2635,0))*3)*(3*$J2635^3-6*$J2635^2+3*$J2635)+INDIRECT("C$"&amp;4+MIN(2,ROUNDDOWN(I2635,0))*3)*(-3*$J2635^3+3*$J2635^2)+INDIRECT("C$"&amp;5+MIN(2,ROUNDDOWN(I2635,0))*3)*$J2635^3</f>
      </c>
      <c r="L2635" s="7">
        <f>INDIRECT("D$"&amp;2+MIN(2,ROUNDDOWN(I2635,0))*3)*(-$J2635^3+3*$J2635^2-3*$J2635+1)+INDIRECT("D$"&amp;3+MIN(2,ROUNDDOWN(I2635,0))*3)*(3*$J2635^3-6*$J2635^2+3*$J2635)+INDIRECT("D$"&amp;4+MIN(2,ROUNDDOWN(I2635,0))*3)*(-3*$J2635^3+3*$J2635^2)+INDIRECT("D$"&amp;5+MIN(2,ROUNDDOWN(I2635,0))*3)*$J2635^3</f>
      </c>
      <c r="M2635" s="7">
        <f>SQRT(K2635^2+L2635^2)</f>
      </c>
      <c r="N2635" s="7">
        <f>(K2636-K2634)</f>
      </c>
      <c r="O2635" s="7">
        <f>+(L2636-L2634)</f>
      </c>
      <c r="P2635" s="7">
        <f>SQRT(O2635^2+N2635^2)</f>
      </c>
      <c r="Q2635" s="7">
        <f>N2635/$P2635</f>
      </c>
      <c r="R2635" s="7">
        <f>O2635/$P2635</f>
      </c>
      <c r="S2635" s="8">
        <f>Q2635^2+R2635^2</f>
      </c>
      <c r="T2635" s="7">
        <f>-R2635</f>
      </c>
      <c r="U2635" s="7">
        <f>Q2635</f>
      </c>
      <c r="V2635" s="7">
        <f>($C$14+($C$15-$C$14)/($D$15-$D$14)*(I2635-$D$14))/2</f>
      </c>
      <c r="W2635" s="7">
        <f>($B$22*I2635^4+$C$22*I2635^3+$D$22*I2635^2+$E$22*I2635+$F$22)/2</f>
      </c>
      <c r="X2635" s="7">
        <f>($W2635)*(T2635)</f>
      </c>
      <c r="Y2635" s="7">
        <f>($W2635)*(U2635)</f>
      </c>
      <c r="Z2635" s="7">
        <f>SQRT(X2635^2+Y2635^2)</f>
      </c>
      <c r="AA2635" s="7">
        <f>$K2635+$X2635</f>
      </c>
      <c r="AB2635" s="7">
        <f>$L2635+$Y2635</f>
      </c>
      <c r="AC2635" s="7">
        <f>$K2635-$X2635</f>
      </c>
      <c r="AD2635" s="7">
        <f>$L2635-$Y2635</f>
      </c>
      <c r="AE2635" s="7">
        <f>AA2635/39.3701</f>
      </c>
      <c r="AF2635" s="7">
        <f>AB2635/39.3701</f>
      </c>
      <c r="AG2635" s="7">
        <f>AC2635/39.3701</f>
      </c>
      <c r="AH2635" s="7">
        <f>AD2635/39.3701</f>
      </c>
      <c r="AI2635" s="1"/>
      <c r="AJ2635" s="1"/>
      <c r="AK2635" s="1"/>
      <c r="AL2635" s="1"/>
      <c r="AM2635" s="2"/>
      <c r="AN2635" s="1"/>
      <c r="AO2635" s="1"/>
      <c r="AP2635" s="1"/>
      <c r="AQ2635" s="1"/>
      <c r="AR2635" s="1"/>
      <c r="AS2635" s="1"/>
      <c r="AT2635" s="1"/>
      <c r="AU2635" s="1"/>
      <c r="AV2635" s="1"/>
      <c r="AW2635" s="1"/>
      <c r="AX2635" s="1"/>
      <c r="AY2635" s="1"/>
      <c r="AZ2635" s="1"/>
      <c r="BA2635" s="1"/>
      <c r="BB2635" s="1"/>
      <c r="BC2635" s="1"/>
      <c r="BD2635" s="1"/>
      <c r="BE2635" s="1"/>
    </row>
    <row x14ac:dyDescent="0.25" r="2636" customHeight="1" ht="18.75">
      <c r="A2636" s="1"/>
      <c r="B2636" s="2"/>
      <c r="C2636" s="2"/>
      <c r="D2636" s="2"/>
      <c r="E2636" s="2"/>
      <c r="F2636" s="2"/>
      <c r="G2636" s="1"/>
      <c r="H2636" s="1"/>
      <c r="I2636" s="7">
        <v>2.633</v>
      </c>
      <c r="J2636" s="7">
        <f>IF((I2636-ROUNDDOWN(I2636,0))=0, 0, (I2636-ROUNDDOWN(I2636,0)))</f>
      </c>
      <c r="K2636" s="7">
        <f>INDIRECT("C$"&amp;2+MIN(2,ROUNDDOWN(I2636,0))*3)*(-$J2636^3+3*$J2636^2-3*$J2636+1)+INDIRECT("C$"&amp;3+MIN(2,ROUNDDOWN(I2636,0))*3)*(3*$J2636^3-6*$J2636^2+3*$J2636)+INDIRECT("C$"&amp;4+MIN(2,ROUNDDOWN(I2636,0))*3)*(-3*$J2636^3+3*$J2636^2)+INDIRECT("C$"&amp;5+MIN(2,ROUNDDOWN(I2636,0))*3)*$J2636^3</f>
      </c>
      <c r="L2636" s="7">
        <f>INDIRECT("D$"&amp;2+MIN(2,ROUNDDOWN(I2636,0))*3)*(-$J2636^3+3*$J2636^2-3*$J2636+1)+INDIRECT("D$"&amp;3+MIN(2,ROUNDDOWN(I2636,0))*3)*(3*$J2636^3-6*$J2636^2+3*$J2636)+INDIRECT("D$"&amp;4+MIN(2,ROUNDDOWN(I2636,0))*3)*(-3*$J2636^3+3*$J2636^2)+INDIRECT("D$"&amp;5+MIN(2,ROUNDDOWN(I2636,0))*3)*$J2636^3</f>
      </c>
      <c r="M2636" s="7">
        <f>SQRT(K2636^2+L2636^2)</f>
      </c>
      <c r="N2636" s="7">
        <f>(K2637-K2635)</f>
      </c>
      <c r="O2636" s="7">
        <f>+(L2637-L2635)</f>
      </c>
      <c r="P2636" s="7">
        <f>SQRT(O2636^2+N2636^2)</f>
      </c>
      <c r="Q2636" s="7">
        <f>N2636/$P2636</f>
      </c>
      <c r="R2636" s="7">
        <f>O2636/$P2636</f>
      </c>
      <c r="S2636" s="8">
        <f>Q2636^2+R2636^2</f>
      </c>
      <c r="T2636" s="7">
        <f>-R2636</f>
      </c>
      <c r="U2636" s="7">
        <f>Q2636</f>
      </c>
      <c r="V2636" s="7">
        <f>($C$14+($C$15-$C$14)/($D$15-$D$14)*(I2636-$D$14))/2</f>
      </c>
      <c r="W2636" s="7">
        <f>($B$22*I2636^4+$C$22*I2636^3+$D$22*I2636^2+$E$22*I2636+$F$22)/2</f>
      </c>
      <c r="X2636" s="7">
        <f>($W2636)*(T2636)</f>
      </c>
      <c r="Y2636" s="7">
        <f>($W2636)*(U2636)</f>
      </c>
      <c r="Z2636" s="7">
        <f>SQRT(X2636^2+Y2636^2)</f>
      </c>
      <c r="AA2636" s="7">
        <f>$K2636+$X2636</f>
      </c>
      <c r="AB2636" s="7">
        <f>$L2636+$Y2636</f>
      </c>
      <c r="AC2636" s="7">
        <f>$K2636-$X2636</f>
      </c>
      <c r="AD2636" s="7">
        <f>$L2636-$Y2636</f>
      </c>
      <c r="AE2636" s="7">
        <f>AA2636/39.3701</f>
      </c>
      <c r="AF2636" s="7">
        <f>AB2636/39.3701</f>
      </c>
      <c r="AG2636" s="7">
        <f>AC2636/39.3701</f>
      </c>
      <c r="AH2636" s="7">
        <f>AD2636/39.3701</f>
      </c>
      <c r="AI2636" s="1"/>
      <c r="AJ2636" s="1"/>
      <c r="AK2636" s="1"/>
      <c r="AL2636" s="1"/>
      <c r="AM2636" s="2"/>
      <c r="AN2636" s="1"/>
      <c r="AO2636" s="1"/>
      <c r="AP2636" s="1"/>
      <c r="AQ2636" s="1"/>
      <c r="AR2636" s="1"/>
      <c r="AS2636" s="1"/>
      <c r="AT2636" s="1"/>
      <c r="AU2636" s="1"/>
      <c r="AV2636" s="1"/>
      <c r="AW2636" s="1"/>
      <c r="AX2636" s="1"/>
      <c r="AY2636" s="1"/>
      <c r="AZ2636" s="1"/>
      <c r="BA2636" s="1"/>
      <c r="BB2636" s="1"/>
      <c r="BC2636" s="1"/>
      <c r="BD2636" s="1"/>
      <c r="BE2636" s="1"/>
    </row>
    <row x14ac:dyDescent="0.25" r="2637" customHeight="1" ht="18.75">
      <c r="A2637" s="1"/>
      <c r="B2637" s="2"/>
      <c r="C2637" s="2"/>
      <c r="D2637" s="2"/>
      <c r="E2637" s="2"/>
      <c r="F2637" s="2"/>
      <c r="G2637" s="1"/>
      <c r="H2637" s="1"/>
      <c r="I2637" s="7">
        <v>2.634</v>
      </c>
      <c r="J2637" s="7">
        <f>IF((I2637-ROUNDDOWN(I2637,0))=0, 0, (I2637-ROUNDDOWN(I2637,0)))</f>
      </c>
      <c r="K2637" s="7">
        <f>INDIRECT("C$"&amp;2+MIN(2,ROUNDDOWN(I2637,0))*3)*(-$J2637^3+3*$J2637^2-3*$J2637+1)+INDIRECT("C$"&amp;3+MIN(2,ROUNDDOWN(I2637,0))*3)*(3*$J2637^3-6*$J2637^2+3*$J2637)+INDIRECT("C$"&amp;4+MIN(2,ROUNDDOWN(I2637,0))*3)*(-3*$J2637^3+3*$J2637^2)+INDIRECT("C$"&amp;5+MIN(2,ROUNDDOWN(I2637,0))*3)*$J2637^3</f>
      </c>
      <c r="L2637" s="7">
        <f>INDIRECT("D$"&amp;2+MIN(2,ROUNDDOWN(I2637,0))*3)*(-$J2637^3+3*$J2637^2-3*$J2637+1)+INDIRECT("D$"&amp;3+MIN(2,ROUNDDOWN(I2637,0))*3)*(3*$J2637^3-6*$J2637^2+3*$J2637)+INDIRECT("D$"&amp;4+MIN(2,ROUNDDOWN(I2637,0))*3)*(-3*$J2637^3+3*$J2637^2)+INDIRECT("D$"&amp;5+MIN(2,ROUNDDOWN(I2637,0))*3)*$J2637^3</f>
      </c>
      <c r="M2637" s="7">
        <f>SQRT(K2637^2+L2637^2)</f>
      </c>
      <c r="N2637" s="7">
        <f>(K2638-K2636)</f>
      </c>
      <c r="O2637" s="7">
        <f>+(L2638-L2636)</f>
      </c>
      <c r="P2637" s="7">
        <f>SQRT(O2637^2+N2637^2)</f>
      </c>
      <c r="Q2637" s="7">
        <f>N2637/$P2637</f>
      </c>
      <c r="R2637" s="7">
        <f>O2637/$P2637</f>
      </c>
      <c r="S2637" s="7">
        <f>Q2637^2+R2637^2</f>
      </c>
      <c r="T2637" s="7">
        <f>-R2637</f>
      </c>
      <c r="U2637" s="7">
        <f>Q2637</f>
      </c>
      <c r="V2637" s="7">
        <f>($C$14+($C$15-$C$14)/($D$15-$D$14)*(I2637-$D$14))/2</f>
      </c>
      <c r="W2637" s="7">
        <f>($B$22*I2637^4+$C$22*I2637^3+$D$22*I2637^2+$E$22*I2637+$F$22)/2</f>
      </c>
      <c r="X2637" s="7">
        <f>($W2637)*(T2637)</f>
      </c>
      <c r="Y2637" s="7">
        <f>($W2637)*(U2637)</f>
      </c>
      <c r="Z2637" s="7">
        <f>SQRT(X2637^2+Y2637^2)</f>
      </c>
      <c r="AA2637" s="7">
        <f>$K2637+$X2637</f>
      </c>
      <c r="AB2637" s="7">
        <f>$L2637+$Y2637</f>
      </c>
      <c r="AC2637" s="7">
        <f>$K2637-$X2637</f>
      </c>
      <c r="AD2637" s="7">
        <f>$L2637-$Y2637</f>
      </c>
      <c r="AE2637" s="7">
        <f>AA2637/39.3701</f>
      </c>
      <c r="AF2637" s="7">
        <f>AB2637/39.3701</f>
      </c>
      <c r="AG2637" s="7">
        <f>AC2637/39.3701</f>
      </c>
      <c r="AH2637" s="7">
        <f>AD2637/39.3701</f>
      </c>
      <c r="AI2637" s="1"/>
      <c r="AJ2637" s="1"/>
      <c r="AK2637" s="1"/>
      <c r="AL2637" s="1"/>
      <c r="AM2637" s="2"/>
      <c r="AN2637" s="1"/>
      <c r="AO2637" s="1"/>
      <c r="AP2637" s="1"/>
      <c r="AQ2637" s="1"/>
      <c r="AR2637" s="1"/>
      <c r="AS2637" s="1"/>
      <c r="AT2637" s="1"/>
      <c r="AU2637" s="1"/>
      <c r="AV2637" s="1"/>
      <c r="AW2637" s="1"/>
      <c r="AX2637" s="1"/>
      <c r="AY2637" s="1"/>
      <c r="AZ2637" s="1"/>
      <c r="BA2637" s="1"/>
      <c r="BB2637" s="1"/>
      <c r="BC2637" s="1"/>
      <c r="BD2637" s="1"/>
      <c r="BE2637" s="1"/>
    </row>
    <row x14ac:dyDescent="0.25" r="2638" customHeight="1" ht="18.75">
      <c r="A2638" s="1"/>
      <c r="B2638" s="2"/>
      <c r="C2638" s="2"/>
      <c r="D2638" s="2"/>
      <c r="E2638" s="2"/>
      <c r="F2638" s="2"/>
      <c r="G2638" s="1"/>
      <c r="H2638" s="1"/>
      <c r="I2638" s="7">
        <v>2.635</v>
      </c>
      <c r="J2638" s="7">
        <f>IF((I2638-ROUNDDOWN(I2638,0))=0, 0, (I2638-ROUNDDOWN(I2638,0)))</f>
      </c>
      <c r="K2638" s="7">
        <f>INDIRECT("C$"&amp;2+MIN(2,ROUNDDOWN(I2638,0))*3)*(-$J2638^3+3*$J2638^2-3*$J2638+1)+INDIRECT("C$"&amp;3+MIN(2,ROUNDDOWN(I2638,0))*3)*(3*$J2638^3-6*$J2638^2+3*$J2638)+INDIRECT("C$"&amp;4+MIN(2,ROUNDDOWN(I2638,0))*3)*(-3*$J2638^3+3*$J2638^2)+INDIRECT("C$"&amp;5+MIN(2,ROUNDDOWN(I2638,0))*3)*$J2638^3</f>
      </c>
      <c r="L2638" s="7">
        <f>INDIRECT("D$"&amp;2+MIN(2,ROUNDDOWN(I2638,0))*3)*(-$J2638^3+3*$J2638^2-3*$J2638+1)+INDIRECT("D$"&amp;3+MIN(2,ROUNDDOWN(I2638,0))*3)*(3*$J2638^3-6*$J2638^2+3*$J2638)+INDIRECT("D$"&amp;4+MIN(2,ROUNDDOWN(I2638,0))*3)*(-3*$J2638^3+3*$J2638^2)+INDIRECT("D$"&amp;5+MIN(2,ROUNDDOWN(I2638,0))*3)*$J2638^3</f>
      </c>
      <c r="M2638" s="7">
        <f>SQRT(K2638^2+L2638^2)</f>
      </c>
      <c r="N2638" s="7">
        <f>(K2639-K2637)</f>
      </c>
      <c r="O2638" s="7">
        <f>+(L2639-L2637)</f>
      </c>
      <c r="P2638" s="7">
        <f>SQRT(O2638^2+N2638^2)</f>
      </c>
      <c r="Q2638" s="7">
        <f>N2638/$P2638</f>
      </c>
      <c r="R2638" s="7">
        <f>O2638/$P2638</f>
      </c>
      <c r="S2638" s="7">
        <f>Q2638^2+R2638^2</f>
      </c>
      <c r="T2638" s="7">
        <f>-R2638</f>
      </c>
      <c r="U2638" s="7">
        <f>Q2638</f>
      </c>
      <c r="V2638" s="7">
        <f>($C$14+($C$15-$C$14)/($D$15-$D$14)*(I2638-$D$14))/2</f>
      </c>
      <c r="W2638" s="7">
        <f>($B$22*I2638^4+$C$22*I2638^3+$D$22*I2638^2+$E$22*I2638+$F$22)/2</f>
      </c>
      <c r="X2638" s="7">
        <f>($W2638)*(T2638)</f>
      </c>
      <c r="Y2638" s="7">
        <f>($W2638)*(U2638)</f>
      </c>
      <c r="Z2638" s="7">
        <f>SQRT(X2638^2+Y2638^2)</f>
      </c>
      <c r="AA2638" s="7">
        <f>$K2638+$X2638</f>
      </c>
      <c r="AB2638" s="7">
        <f>$L2638+$Y2638</f>
      </c>
      <c r="AC2638" s="7">
        <f>$K2638-$X2638</f>
      </c>
      <c r="AD2638" s="7">
        <f>$L2638-$Y2638</f>
      </c>
      <c r="AE2638" s="7">
        <f>AA2638/39.3701</f>
      </c>
      <c r="AF2638" s="7">
        <f>AB2638/39.3701</f>
      </c>
      <c r="AG2638" s="7">
        <f>AC2638/39.3701</f>
      </c>
      <c r="AH2638" s="7">
        <f>AD2638/39.3701</f>
      </c>
      <c r="AI2638" s="1"/>
      <c r="AJ2638" s="1"/>
      <c r="AK2638" s="1"/>
      <c r="AL2638" s="1"/>
      <c r="AM2638" s="2"/>
      <c r="AN2638" s="1"/>
      <c r="AO2638" s="1"/>
      <c r="AP2638" s="1"/>
      <c r="AQ2638" s="1"/>
      <c r="AR2638" s="1"/>
      <c r="AS2638" s="1"/>
      <c r="AT2638" s="1"/>
      <c r="AU2638" s="1"/>
      <c r="AV2638" s="1"/>
      <c r="AW2638" s="1"/>
      <c r="AX2638" s="1"/>
      <c r="AY2638" s="1"/>
      <c r="AZ2638" s="1"/>
      <c r="BA2638" s="1"/>
      <c r="BB2638" s="1"/>
      <c r="BC2638" s="1"/>
      <c r="BD2638" s="1"/>
      <c r="BE2638" s="1"/>
    </row>
    <row x14ac:dyDescent="0.25" r="2639" customHeight="1" ht="18.75">
      <c r="A2639" s="1"/>
      <c r="B2639" s="2"/>
      <c r="C2639" s="2"/>
      <c r="D2639" s="2"/>
      <c r="E2639" s="2"/>
      <c r="F2639" s="2"/>
      <c r="G2639" s="1"/>
      <c r="H2639" s="1"/>
      <c r="I2639" s="7">
        <v>2.636</v>
      </c>
      <c r="J2639" s="7">
        <f>IF((I2639-ROUNDDOWN(I2639,0))=0, 0, (I2639-ROUNDDOWN(I2639,0)))</f>
      </c>
      <c r="K2639" s="7">
        <f>INDIRECT("C$"&amp;2+MIN(2,ROUNDDOWN(I2639,0))*3)*(-$J2639^3+3*$J2639^2-3*$J2639+1)+INDIRECT("C$"&amp;3+MIN(2,ROUNDDOWN(I2639,0))*3)*(3*$J2639^3-6*$J2639^2+3*$J2639)+INDIRECT("C$"&amp;4+MIN(2,ROUNDDOWN(I2639,0))*3)*(-3*$J2639^3+3*$J2639^2)+INDIRECT("C$"&amp;5+MIN(2,ROUNDDOWN(I2639,0))*3)*$J2639^3</f>
      </c>
      <c r="L2639" s="7">
        <f>INDIRECT("D$"&amp;2+MIN(2,ROUNDDOWN(I2639,0))*3)*(-$J2639^3+3*$J2639^2-3*$J2639+1)+INDIRECT("D$"&amp;3+MIN(2,ROUNDDOWN(I2639,0))*3)*(3*$J2639^3-6*$J2639^2+3*$J2639)+INDIRECT("D$"&amp;4+MIN(2,ROUNDDOWN(I2639,0))*3)*(-3*$J2639^3+3*$J2639^2)+INDIRECT("D$"&amp;5+MIN(2,ROUNDDOWN(I2639,0))*3)*$J2639^3</f>
      </c>
      <c r="M2639" s="7">
        <f>SQRT(K2639^2+L2639^2)</f>
      </c>
      <c r="N2639" s="7">
        <f>(K2640-K2638)</f>
      </c>
      <c r="O2639" s="7">
        <f>+(L2640-L2638)</f>
      </c>
      <c r="P2639" s="7">
        <f>SQRT(O2639^2+N2639^2)</f>
      </c>
      <c r="Q2639" s="7">
        <f>N2639/$P2639</f>
      </c>
      <c r="R2639" s="7">
        <f>O2639/$P2639</f>
      </c>
      <c r="S2639" s="7">
        <f>Q2639^2+R2639^2</f>
      </c>
      <c r="T2639" s="7">
        <f>-R2639</f>
      </c>
      <c r="U2639" s="7">
        <f>Q2639</f>
      </c>
      <c r="V2639" s="7">
        <f>($C$14+($C$15-$C$14)/($D$15-$D$14)*(I2639-$D$14))/2</f>
      </c>
      <c r="W2639" s="7">
        <f>($B$22*I2639^4+$C$22*I2639^3+$D$22*I2639^2+$E$22*I2639+$F$22)/2</f>
      </c>
      <c r="X2639" s="7">
        <f>($W2639)*(T2639)</f>
      </c>
      <c r="Y2639" s="7">
        <f>($W2639)*(U2639)</f>
      </c>
      <c r="Z2639" s="7">
        <f>SQRT(X2639^2+Y2639^2)</f>
      </c>
      <c r="AA2639" s="7">
        <f>$K2639+$X2639</f>
      </c>
      <c r="AB2639" s="7">
        <f>$L2639+$Y2639</f>
      </c>
      <c r="AC2639" s="7">
        <f>$K2639-$X2639</f>
      </c>
      <c r="AD2639" s="7">
        <f>$L2639-$Y2639</f>
      </c>
      <c r="AE2639" s="7">
        <f>AA2639/39.3701</f>
      </c>
      <c r="AF2639" s="7">
        <f>AB2639/39.3701</f>
      </c>
      <c r="AG2639" s="7">
        <f>AC2639/39.3701</f>
      </c>
      <c r="AH2639" s="7">
        <f>AD2639/39.3701</f>
      </c>
      <c r="AI2639" s="1"/>
      <c r="AJ2639" s="1"/>
      <c r="AK2639" s="1"/>
      <c r="AL2639" s="1"/>
      <c r="AM2639" s="2"/>
      <c r="AN2639" s="1"/>
      <c r="AO2639" s="1"/>
      <c r="AP2639" s="1"/>
      <c r="AQ2639" s="1"/>
      <c r="AR2639" s="1"/>
      <c r="AS2639" s="1"/>
      <c r="AT2639" s="1"/>
      <c r="AU2639" s="1"/>
      <c r="AV2639" s="1"/>
      <c r="AW2639" s="1"/>
      <c r="AX2639" s="1"/>
      <c r="AY2639" s="1"/>
      <c r="AZ2639" s="1"/>
      <c r="BA2639" s="1"/>
      <c r="BB2639" s="1"/>
      <c r="BC2639" s="1"/>
      <c r="BD2639" s="1"/>
      <c r="BE2639" s="1"/>
    </row>
    <row x14ac:dyDescent="0.25" r="2640" customHeight="1" ht="18.75">
      <c r="A2640" s="1"/>
      <c r="B2640" s="2"/>
      <c r="C2640" s="2"/>
      <c r="D2640" s="2"/>
      <c r="E2640" s="2"/>
      <c r="F2640" s="2"/>
      <c r="G2640" s="1"/>
      <c r="H2640" s="1"/>
      <c r="I2640" s="7">
        <v>2.637</v>
      </c>
      <c r="J2640" s="7">
        <f>IF((I2640-ROUNDDOWN(I2640,0))=0, 0, (I2640-ROUNDDOWN(I2640,0)))</f>
      </c>
      <c r="K2640" s="7">
        <f>INDIRECT("C$"&amp;2+MIN(2,ROUNDDOWN(I2640,0))*3)*(-$J2640^3+3*$J2640^2-3*$J2640+1)+INDIRECT("C$"&amp;3+MIN(2,ROUNDDOWN(I2640,0))*3)*(3*$J2640^3-6*$J2640^2+3*$J2640)+INDIRECT("C$"&amp;4+MIN(2,ROUNDDOWN(I2640,0))*3)*(-3*$J2640^3+3*$J2640^2)+INDIRECT("C$"&amp;5+MIN(2,ROUNDDOWN(I2640,0))*3)*$J2640^3</f>
      </c>
      <c r="L2640" s="7">
        <f>INDIRECT("D$"&amp;2+MIN(2,ROUNDDOWN(I2640,0))*3)*(-$J2640^3+3*$J2640^2-3*$J2640+1)+INDIRECT("D$"&amp;3+MIN(2,ROUNDDOWN(I2640,0))*3)*(3*$J2640^3-6*$J2640^2+3*$J2640)+INDIRECT("D$"&amp;4+MIN(2,ROUNDDOWN(I2640,0))*3)*(-3*$J2640^3+3*$J2640^2)+INDIRECT("D$"&amp;5+MIN(2,ROUNDDOWN(I2640,0))*3)*$J2640^3</f>
      </c>
      <c r="M2640" s="7">
        <f>SQRT(K2640^2+L2640^2)</f>
      </c>
      <c r="N2640" s="7">
        <f>(K2641-K2639)</f>
      </c>
      <c r="O2640" s="7">
        <f>+(L2641-L2639)</f>
      </c>
      <c r="P2640" s="7">
        <f>SQRT(O2640^2+N2640^2)</f>
      </c>
      <c r="Q2640" s="7">
        <f>N2640/$P2640</f>
      </c>
      <c r="R2640" s="7">
        <f>O2640/$P2640</f>
      </c>
      <c r="S2640" s="7">
        <f>Q2640^2+R2640^2</f>
      </c>
      <c r="T2640" s="7">
        <f>-R2640</f>
      </c>
      <c r="U2640" s="7">
        <f>Q2640</f>
      </c>
      <c r="V2640" s="7">
        <f>($C$14+($C$15-$C$14)/($D$15-$D$14)*(I2640-$D$14))/2</f>
      </c>
      <c r="W2640" s="7">
        <f>($B$22*I2640^4+$C$22*I2640^3+$D$22*I2640^2+$E$22*I2640+$F$22)/2</f>
      </c>
      <c r="X2640" s="7">
        <f>($W2640)*(T2640)</f>
      </c>
      <c r="Y2640" s="7">
        <f>($W2640)*(U2640)</f>
      </c>
      <c r="Z2640" s="7">
        <f>SQRT(X2640^2+Y2640^2)</f>
      </c>
      <c r="AA2640" s="7">
        <f>$K2640+$X2640</f>
      </c>
      <c r="AB2640" s="7">
        <f>$L2640+$Y2640</f>
      </c>
      <c r="AC2640" s="7">
        <f>$K2640-$X2640</f>
      </c>
      <c r="AD2640" s="7">
        <f>$L2640-$Y2640</f>
      </c>
      <c r="AE2640" s="7">
        <f>AA2640/39.3701</f>
      </c>
      <c r="AF2640" s="7">
        <f>AB2640/39.3701</f>
      </c>
      <c r="AG2640" s="7">
        <f>AC2640/39.3701</f>
      </c>
      <c r="AH2640" s="7">
        <f>AD2640/39.3701</f>
      </c>
      <c r="AI2640" s="1"/>
      <c r="AJ2640" s="1"/>
      <c r="AK2640" s="1"/>
      <c r="AL2640" s="1"/>
      <c r="AM2640" s="2"/>
      <c r="AN2640" s="1"/>
      <c r="AO2640" s="1"/>
      <c r="AP2640" s="1"/>
      <c r="AQ2640" s="1"/>
      <c r="AR2640" s="1"/>
      <c r="AS2640" s="1"/>
      <c r="AT2640" s="1"/>
      <c r="AU2640" s="1"/>
      <c r="AV2640" s="1"/>
      <c r="AW2640" s="1"/>
      <c r="AX2640" s="1"/>
      <c r="AY2640" s="1"/>
      <c r="AZ2640" s="1"/>
      <c r="BA2640" s="1"/>
      <c r="BB2640" s="1"/>
      <c r="BC2640" s="1"/>
      <c r="BD2640" s="1"/>
      <c r="BE2640" s="1"/>
    </row>
    <row x14ac:dyDescent="0.25" r="2641" customHeight="1" ht="18.75">
      <c r="A2641" s="1"/>
      <c r="B2641" s="2"/>
      <c r="C2641" s="2"/>
      <c r="D2641" s="2"/>
      <c r="E2641" s="2"/>
      <c r="F2641" s="2"/>
      <c r="G2641" s="1"/>
      <c r="H2641" s="1"/>
      <c r="I2641" s="7">
        <v>2.638</v>
      </c>
      <c r="J2641" s="7">
        <f>IF((I2641-ROUNDDOWN(I2641,0))=0, 0, (I2641-ROUNDDOWN(I2641,0)))</f>
      </c>
      <c r="K2641" s="7">
        <f>INDIRECT("C$"&amp;2+MIN(2,ROUNDDOWN(I2641,0))*3)*(-$J2641^3+3*$J2641^2-3*$J2641+1)+INDIRECT("C$"&amp;3+MIN(2,ROUNDDOWN(I2641,0))*3)*(3*$J2641^3-6*$J2641^2+3*$J2641)+INDIRECT("C$"&amp;4+MIN(2,ROUNDDOWN(I2641,0))*3)*(-3*$J2641^3+3*$J2641^2)+INDIRECT("C$"&amp;5+MIN(2,ROUNDDOWN(I2641,0))*3)*$J2641^3</f>
      </c>
      <c r="L2641" s="7">
        <f>INDIRECT("D$"&amp;2+MIN(2,ROUNDDOWN(I2641,0))*3)*(-$J2641^3+3*$J2641^2-3*$J2641+1)+INDIRECT("D$"&amp;3+MIN(2,ROUNDDOWN(I2641,0))*3)*(3*$J2641^3-6*$J2641^2+3*$J2641)+INDIRECT("D$"&amp;4+MIN(2,ROUNDDOWN(I2641,0))*3)*(-3*$J2641^3+3*$J2641^2)+INDIRECT("D$"&amp;5+MIN(2,ROUNDDOWN(I2641,0))*3)*$J2641^3</f>
      </c>
      <c r="M2641" s="7">
        <f>SQRT(K2641^2+L2641^2)</f>
      </c>
      <c r="N2641" s="7">
        <f>(K2642-K2640)</f>
      </c>
      <c r="O2641" s="7">
        <f>+(L2642-L2640)</f>
      </c>
      <c r="P2641" s="7">
        <f>SQRT(O2641^2+N2641^2)</f>
      </c>
      <c r="Q2641" s="7">
        <f>N2641/$P2641</f>
      </c>
      <c r="R2641" s="7">
        <f>O2641/$P2641</f>
      </c>
      <c r="S2641" s="8">
        <f>Q2641^2+R2641^2</f>
      </c>
      <c r="T2641" s="7">
        <f>-R2641</f>
      </c>
      <c r="U2641" s="7">
        <f>Q2641</f>
      </c>
      <c r="V2641" s="7">
        <f>($C$14+($C$15-$C$14)/($D$15-$D$14)*(I2641-$D$14))/2</f>
      </c>
      <c r="W2641" s="7">
        <f>($B$22*I2641^4+$C$22*I2641^3+$D$22*I2641^2+$E$22*I2641+$F$22)/2</f>
      </c>
      <c r="X2641" s="7">
        <f>($W2641)*(T2641)</f>
      </c>
      <c r="Y2641" s="7">
        <f>($W2641)*(U2641)</f>
      </c>
      <c r="Z2641" s="7">
        <f>SQRT(X2641^2+Y2641^2)</f>
      </c>
      <c r="AA2641" s="7">
        <f>$K2641+$X2641</f>
      </c>
      <c r="AB2641" s="7">
        <f>$L2641+$Y2641</f>
      </c>
      <c r="AC2641" s="7">
        <f>$K2641-$X2641</f>
      </c>
      <c r="AD2641" s="7">
        <f>$L2641-$Y2641</f>
      </c>
      <c r="AE2641" s="7">
        <f>AA2641/39.3701</f>
      </c>
      <c r="AF2641" s="7">
        <f>AB2641/39.3701</f>
      </c>
      <c r="AG2641" s="7">
        <f>AC2641/39.3701</f>
      </c>
      <c r="AH2641" s="7">
        <f>AD2641/39.3701</f>
      </c>
      <c r="AI2641" s="1"/>
      <c r="AJ2641" s="1"/>
      <c r="AK2641" s="1"/>
      <c r="AL2641" s="1"/>
      <c r="AM2641" s="2"/>
      <c r="AN2641" s="1"/>
      <c r="AO2641" s="1"/>
      <c r="AP2641" s="1"/>
      <c r="AQ2641" s="1"/>
      <c r="AR2641" s="1"/>
      <c r="AS2641" s="1"/>
      <c r="AT2641" s="1"/>
      <c r="AU2641" s="1"/>
      <c r="AV2641" s="1"/>
      <c r="AW2641" s="1"/>
      <c r="AX2641" s="1"/>
      <c r="AY2641" s="1"/>
      <c r="AZ2641" s="1"/>
      <c r="BA2641" s="1"/>
      <c r="BB2641" s="1"/>
      <c r="BC2641" s="1"/>
      <c r="BD2641" s="1"/>
      <c r="BE2641" s="1"/>
    </row>
    <row x14ac:dyDescent="0.25" r="2642" customHeight="1" ht="18.75">
      <c r="A2642" s="1"/>
      <c r="B2642" s="2"/>
      <c r="C2642" s="2"/>
      <c r="D2642" s="2"/>
      <c r="E2642" s="2"/>
      <c r="F2642" s="2"/>
      <c r="G2642" s="1"/>
      <c r="H2642" s="1"/>
      <c r="I2642" s="7">
        <v>2.639</v>
      </c>
      <c r="J2642" s="7">
        <f>IF((I2642-ROUNDDOWN(I2642,0))=0, 0, (I2642-ROUNDDOWN(I2642,0)))</f>
      </c>
      <c r="K2642" s="7">
        <f>INDIRECT("C$"&amp;2+MIN(2,ROUNDDOWN(I2642,0))*3)*(-$J2642^3+3*$J2642^2-3*$J2642+1)+INDIRECT("C$"&amp;3+MIN(2,ROUNDDOWN(I2642,0))*3)*(3*$J2642^3-6*$J2642^2+3*$J2642)+INDIRECT("C$"&amp;4+MIN(2,ROUNDDOWN(I2642,0))*3)*(-3*$J2642^3+3*$J2642^2)+INDIRECT("C$"&amp;5+MIN(2,ROUNDDOWN(I2642,0))*3)*$J2642^3</f>
      </c>
      <c r="L2642" s="7">
        <f>INDIRECT("D$"&amp;2+MIN(2,ROUNDDOWN(I2642,0))*3)*(-$J2642^3+3*$J2642^2-3*$J2642+1)+INDIRECT("D$"&amp;3+MIN(2,ROUNDDOWN(I2642,0))*3)*(3*$J2642^3-6*$J2642^2+3*$J2642)+INDIRECT("D$"&amp;4+MIN(2,ROUNDDOWN(I2642,0))*3)*(-3*$J2642^3+3*$J2642^2)+INDIRECT("D$"&amp;5+MIN(2,ROUNDDOWN(I2642,0))*3)*$J2642^3</f>
      </c>
      <c r="M2642" s="7">
        <f>SQRT(K2642^2+L2642^2)</f>
      </c>
      <c r="N2642" s="7">
        <f>(K2643-K2641)</f>
      </c>
      <c r="O2642" s="7">
        <f>+(L2643-L2641)</f>
      </c>
      <c r="P2642" s="7">
        <f>SQRT(O2642^2+N2642^2)</f>
      </c>
      <c r="Q2642" s="7">
        <f>N2642/$P2642</f>
      </c>
      <c r="R2642" s="7">
        <f>O2642/$P2642</f>
      </c>
      <c r="S2642" s="7">
        <f>Q2642^2+R2642^2</f>
      </c>
      <c r="T2642" s="7">
        <f>-R2642</f>
      </c>
      <c r="U2642" s="7">
        <f>Q2642</f>
      </c>
      <c r="V2642" s="7">
        <f>($C$14+($C$15-$C$14)/($D$15-$D$14)*(I2642-$D$14))/2</f>
      </c>
      <c r="W2642" s="7">
        <f>($B$22*I2642^4+$C$22*I2642^3+$D$22*I2642^2+$E$22*I2642+$F$22)/2</f>
      </c>
      <c r="X2642" s="7">
        <f>($W2642)*(T2642)</f>
      </c>
      <c r="Y2642" s="7">
        <f>($W2642)*(U2642)</f>
      </c>
      <c r="Z2642" s="7">
        <f>SQRT(X2642^2+Y2642^2)</f>
      </c>
      <c r="AA2642" s="7">
        <f>$K2642+$X2642</f>
      </c>
      <c r="AB2642" s="7">
        <f>$L2642+$Y2642</f>
      </c>
      <c r="AC2642" s="7">
        <f>$K2642-$X2642</f>
      </c>
      <c r="AD2642" s="7">
        <f>$L2642-$Y2642</f>
      </c>
      <c r="AE2642" s="7">
        <f>AA2642/39.3701</f>
      </c>
      <c r="AF2642" s="7">
        <f>AB2642/39.3701</f>
      </c>
      <c r="AG2642" s="7">
        <f>AC2642/39.3701</f>
      </c>
      <c r="AH2642" s="7">
        <f>AD2642/39.3701</f>
      </c>
      <c r="AI2642" s="1"/>
      <c r="AJ2642" s="1"/>
      <c r="AK2642" s="1"/>
      <c r="AL2642" s="1"/>
      <c r="AM2642" s="2"/>
      <c r="AN2642" s="1"/>
      <c r="AO2642" s="1"/>
      <c r="AP2642" s="1"/>
      <c r="AQ2642" s="1"/>
      <c r="AR2642" s="1"/>
      <c r="AS2642" s="1"/>
      <c r="AT2642" s="1"/>
      <c r="AU2642" s="1"/>
      <c r="AV2642" s="1"/>
      <c r="AW2642" s="1"/>
      <c r="AX2642" s="1"/>
      <c r="AY2642" s="1"/>
      <c r="AZ2642" s="1"/>
      <c r="BA2642" s="1"/>
      <c r="BB2642" s="1"/>
      <c r="BC2642" s="1"/>
      <c r="BD2642" s="1"/>
      <c r="BE2642" s="1"/>
    </row>
    <row x14ac:dyDescent="0.25" r="2643" customHeight="1" ht="18.75">
      <c r="A2643" s="1"/>
      <c r="B2643" s="2"/>
      <c r="C2643" s="2"/>
      <c r="D2643" s="2"/>
      <c r="E2643" s="2"/>
      <c r="F2643" s="2"/>
      <c r="G2643" s="1"/>
      <c r="H2643" s="1"/>
      <c r="I2643" s="7">
        <v>2.64</v>
      </c>
      <c r="J2643" s="7">
        <f>IF((I2643-ROUNDDOWN(I2643,0))=0, 0, (I2643-ROUNDDOWN(I2643,0)))</f>
      </c>
      <c r="K2643" s="7">
        <f>INDIRECT("C$"&amp;2+MIN(2,ROUNDDOWN(I2643,0))*3)*(-$J2643^3+3*$J2643^2-3*$J2643+1)+INDIRECT("C$"&amp;3+MIN(2,ROUNDDOWN(I2643,0))*3)*(3*$J2643^3-6*$J2643^2+3*$J2643)+INDIRECT("C$"&amp;4+MIN(2,ROUNDDOWN(I2643,0))*3)*(-3*$J2643^3+3*$J2643^2)+INDIRECT("C$"&amp;5+MIN(2,ROUNDDOWN(I2643,0))*3)*$J2643^3</f>
      </c>
      <c r="L2643" s="7">
        <f>INDIRECT("D$"&amp;2+MIN(2,ROUNDDOWN(I2643,0))*3)*(-$J2643^3+3*$J2643^2-3*$J2643+1)+INDIRECT("D$"&amp;3+MIN(2,ROUNDDOWN(I2643,0))*3)*(3*$J2643^3-6*$J2643^2+3*$J2643)+INDIRECT("D$"&amp;4+MIN(2,ROUNDDOWN(I2643,0))*3)*(-3*$J2643^3+3*$J2643^2)+INDIRECT("D$"&amp;5+MIN(2,ROUNDDOWN(I2643,0))*3)*$J2643^3</f>
      </c>
      <c r="M2643" s="7">
        <f>SQRT(K2643^2+L2643^2)</f>
      </c>
      <c r="N2643" s="7">
        <f>(K2644-K2642)</f>
      </c>
      <c r="O2643" s="7">
        <f>+(L2644-L2642)</f>
      </c>
      <c r="P2643" s="7">
        <f>SQRT(O2643^2+N2643^2)</f>
      </c>
      <c r="Q2643" s="7">
        <f>N2643/$P2643</f>
      </c>
      <c r="R2643" s="7">
        <f>O2643/$P2643</f>
      </c>
      <c r="S2643" s="7">
        <f>Q2643^2+R2643^2</f>
      </c>
      <c r="T2643" s="7">
        <f>-R2643</f>
      </c>
      <c r="U2643" s="7">
        <f>Q2643</f>
      </c>
      <c r="V2643" s="7">
        <f>($C$14+($C$15-$C$14)/($D$15-$D$14)*(I2643-$D$14))/2</f>
      </c>
      <c r="W2643" s="7">
        <f>($B$22*I2643^4+$C$22*I2643^3+$D$22*I2643^2+$E$22*I2643+$F$22)/2</f>
      </c>
      <c r="X2643" s="7">
        <f>($W2643)*(T2643)</f>
      </c>
      <c r="Y2643" s="7">
        <f>($W2643)*(U2643)</f>
      </c>
      <c r="Z2643" s="7">
        <f>SQRT(X2643^2+Y2643^2)</f>
      </c>
      <c r="AA2643" s="7">
        <f>$K2643+$X2643</f>
      </c>
      <c r="AB2643" s="7">
        <f>$L2643+$Y2643</f>
      </c>
      <c r="AC2643" s="7">
        <f>$K2643-$X2643</f>
      </c>
      <c r="AD2643" s="7">
        <f>$L2643-$Y2643</f>
      </c>
      <c r="AE2643" s="7">
        <f>AA2643/39.3701</f>
      </c>
      <c r="AF2643" s="7">
        <f>AB2643/39.3701</f>
      </c>
      <c r="AG2643" s="7">
        <f>AC2643/39.3701</f>
      </c>
      <c r="AH2643" s="7">
        <f>AD2643/39.3701</f>
      </c>
      <c r="AI2643" s="1"/>
      <c r="AJ2643" s="1"/>
      <c r="AK2643" s="1"/>
      <c r="AL2643" s="1"/>
      <c r="AM2643" s="2"/>
      <c r="AN2643" s="1"/>
      <c r="AO2643" s="1"/>
      <c r="AP2643" s="1"/>
      <c r="AQ2643" s="1"/>
      <c r="AR2643" s="1"/>
      <c r="AS2643" s="1"/>
      <c r="AT2643" s="1"/>
      <c r="AU2643" s="1"/>
      <c r="AV2643" s="1"/>
      <c r="AW2643" s="1"/>
      <c r="AX2643" s="1"/>
      <c r="AY2643" s="1"/>
      <c r="AZ2643" s="1"/>
      <c r="BA2643" s="1"/>
      <c r="BB2643" s="1"/>
      <c r="BC2643" s="1"/>
      <c r="BD2643" s="1"/>
      <c r="BE2643" s="1"/>
    </row>
    <row x14ac:dyDescent="0.25" r="2644" customHeight="1" ht="18.75">
      <c r="A2644" s="1"/>
      <c r="B2644" s="2"/>
      <c r="C2644" s="2"/>
      <c r="D2644" s="2"/>
      <c r="E2644" s="2"/>
      <c r="F2644" s="2"/>
      <c r="G2644" s="1"/>
      <c r="H2644" s="1"/>
      <c r="I2644" s="7">
        <v>2.641</v>
      </c>
      <c r="J2644" s="7">
        <f>IF((I2644-ROUNDDOWN(I2644,0))=0, 0, (I2644-ROUNDDOWN(I2644,0)))</f>
      </c>
      <c r="K2644" s="7">
        <f>INDIRECT("C$"&amp;2+MIN(2,ROUNDDOWN(I2644,0))*3)*(-$J2644^3+3*$J2644^2-3*$J2644+1)+INDIRECT("C$"&amp;3+MIN(2,ROUNDDOWN(I2644,0))*3)*(3*$J2644^3-6*$J2644^2+3*$J2644)+INDIRECT("C$"&amp;4+MIN(2,ROUNDDOWN(I2644,0))*3)*(-3*$J2644^3+3*$J2644^2)+INDIRECT("C$"&amp;5+MIN(2,ROUNDDOWN(I2644,0))*3)*$J2644^3</f>
      </c>
      <c r="L2644" s="7">
        <f>INDIRECT("D$"&amp;2+MIN(2,ROUNDDOWN(I2644,0))*3)*(-$J2644^3+3*$J2644^2-3*$J2644+1)+INDIRECT("D$"&amp;3+MIN(2,ROUNDDOWN(I2644,0))*3)*(3*$J2644^3-6*$J2644^2+3*$J2644)+INDIRECT("D$"&amp;4+MIN(2,ROUNDDOWN(I2644,0))*3)*(-3*$J2644^3+3*$J2644^2)+INDIRECT("D$"&amp;5+MIN(2,ROUNDDOWN(I2644,0))*3)*$J2644^3</f>
      </c>
      <c r="M2644" s="7">
        <f>SQRT(K2644^2+L2644^2)</f>
      </c>
      <c r="N2644" s="7">
        <f>(K2645-K2643)</f>
      </c>
      <c r="O2644" s="7">
        <f>+(L2645-L2643)</f>
      </c>
      <c r="P2644" s="7">
        <f>SQRT(O2644^2+N2644^2)</f>
      </c>
      <c r="Q2644" s="7">
        <f>N2644/$P2644</f>
      </c>
      <c r="R2644" s="7">
        <f>O2644/$P2644</f>
      </c>
      <c r="S2644" s="8">
        <f>Q2644^2+R2644^2</f>
      </c>
      <c r="T2644" s="7">
        <f>-R2644</f>
      </c>
      <c r="U2644" s="7">
        <f>Q2644</f>
      </c>
      <c r="V2644" s="7">
        <f>($C$14+($C$15-$C$14)/($D$15-$D$14)*(I2644-$D$14))/2</f>
      </c>
      <c r="W2644" s="7">
        <f>($B$22*I2644^4+$C$22*I2644^3+$D$22*I2644^2+$E$22*I2644+$F$22)/2</f>
      </c>
      <c r="X2644" s="7">
        <f>($W2644)*(T2644)</f>
      </c>
      <c r="Y2644" s="7">
        <f>($W2644)*(U2644)</f>
      </c>
      <c r="Z2644" s="7">
        <f>SQRT(X2644^2+Y2644^2)</f>
      </c>
      <c r="AA2644" s="7">
        <f>$K2644+$X2644</f>
      </c>
      <c r="AB2644" s="7">
        <f>$L2644+$Y2644</f>
      </c>
      <c r="AC2644" s="7">
        <f>$K2644-$X2644</f>
      </c>
      <c r="AD2644" s="7">
        <f>$L2644-$Y2644</f>
      </c>
      <c r="AE2644" s="7">
        <f>AA2644/39.3701</f>
      </c>
      <c r="AF2644" s="7">
        <f>AB2644/39.3701</f>
      </c>
      <c r="AG2644" s="7">
        <f>AC2644/39.3701</f>
      </c>
      <c r="AH2644" s="7">
        <f>AD2644/39.3701</f>
      </c>
      <c r="AI2644" s="1"/>
      <c r="AJ2644" s="1"/>
      <c r="AK2644" s="1"/>
      <c r="AL2644" s="1"/>
      <c r="AM2644" s="2"/>
      <c r="AN2644" s="1"/>
      <c r="AO2644" s="1"/>
      <c r="AP2644" s="1"/>
      <c r="AQ2644" s="1"/>
      <c r="AR2644" s="1"/>
      <c r="AS2644" s="1"/>
      <c r="AT2644" s="1"/>
      <c r="AU2644" s="1"/>
      <c r="AV2644" s="1"/>
      <c r="AW2644" s="1"/>
      <c r="AX2644" s="1"/>
      <c r="AY2644" s="1"/>
      <c r="AZ2644" s="1"/>
      <c r="BA2644" s="1"/>
      <c r="BB2644" s="1"/>
      <c r="BC2644" s="1"/>
      <c r="BD2644" s="1"/>
      <c r="BE2644" s="1"/>
    </row>
    <row x14ac:dyDescent="0.25" r="2645" customHeight="1" ht="18.75">
      <c r="A2645" s="1"/>
      <c r="B2645" s="2"/>
      <c r="C2645" s="2"/>
      <c r="D2645" s="2"/>
      <c r="E2645" s="2"/>
      <c r="F2645" s="2"/>
      <c r="G2645" s="1"/>
      <c r="H2645" s="1"/>
      <c r="I2645" s="7">
        <v>2.642</v>
      </c>
      <c r="J2645" s="7">
        <f>IF((I2645-ROUNDDOWN(I2645,0))=0, 0, (I2645-ROUNDDOWN(I2645,0)))</f>
      </c>
      <c r="K2645" s="7">
        <f>INDIRECT("C$"&amp;2+MIN(2,ROUNDDOWN(I2645,0))*3)*(-$J2645^3+3*$J2645^2-3*$J2645+1)+INDIRECT("C$"&amp;3+MIN(2,ROUNDDOWN(I2645,0))*3)*(3*$J2645^3-6*$J2645^2+3*$J2645)+INDIRECT("C$"&amp;4+MIN(2,ROUNDDOWN(I2645,0))*3)*(-3*$J2645^3+3*$J2645^2)+INDIRECT("C$"&amp;5+MIN(2,ROUNDDOWN(I2645,0))*3)*$J2645^3</f>
      </c>
      <c r="L2645" s="7">
        <f>INDIRECT("D$"&amp;2+MIN(2,ROUNDDOWN(I2645,0))*3)*(-$J2645^3+3*$J2645^2-3*$J2645+1)+INDIRECT("D$"&amp;3+MIN(2,ROUNDDOWN(I2645,0))*3)*(3*$J2645^3-6*$J2645^2+3*$J2645)+INDIRECT("D$"&amp;4+MIN(2,ROUNDDOWN(I2645,0))*3)*(-3*$J2645^3+3*$J2645^2)+INDIRECT("D$"&amp;5+MIN(2,ROUNDDOWN(I2645,0))*3)*$J2645^3</f>
      </c>
      <c r="M2645" s="7">
        <f>SQRT(K2645^2+L2645^2)</f>
      </c>
      <c r="N2645" s="7">
        <f>(K2646-K2644)</f>
      </c>
      <c r="O2645" s="7">
        <f>+(L2646-L2644)</f>
      </c>
      <c r="P2645" s="7">
        <f>SQRT(O2645^2+N2645^2)</f>
      </c>
      <c r="Q2645" s="7">
        <f>N2645/$P2645</f>
      </c>
      <c r="R2645" s="7">
        <f>O2645/$P2645</f>
      </c>
      <c r="S2645" s="8">
        <f>Q2645^2+R2645^2</f>
      </c>
      <c r="T2645" s="7">
        <f>-R2645</f>
      </c>
      <c r="U2645" s="7">
        <f>Q2645</f>
      </c>
      <c r="V2645" s="7">
        <f>($C$14+($C$15-$C$14)/($D$15-$D$14)*(I2645-$D$14))/2</f>
      </c>
      <c r="W2645" s="7">
        <f>($B$22*I2645^4+$C$22*I2645^3+$D$22*I2645^2+$E$22*I2645+$F$22)/2</f>
      </c>
      <c r="X2645" s="7">
        <f>($W2645)*(T2645)</f>
      </c>
      <c r="Y2645" s="7">
        <f>($W2645)*(U2645)</f>
      </c>
      <c r="Z2645" s="7">
        <f>SQRT(X2645^2+Y2645^2)</f>
      </c>
      <c r="AA2645" s="7">
        <f>$K2645+$X2645</f>
      </c>
      <c r="AB2645" s="7">
        <f>$L2645+$Y2645</f>
      </c>
      <c r="AC2645" s="7">
        <f>$K2645-$X2645</f>
      </c>
      <c r="AD2645" s="7">
        <f>$L2645-$Y2645</f>
      </c>
      <c r="AE2645" s="7">
        <f>AA2645/39.3701</f>
      </c>
      <c r="AF2645" s="7">
        <f>AB2645/39.3701</f>
      </c>
      <c r="AG2645" s="7">
        <f>AC2645/39.3701</f>
      </c>
      <c r="AH2645" s="7">
        <f>AD2645/39.3701</f>
      </c>
      <c r="AI2645" s="1"/>
      <c r="AJ2645" s="1"/>
      <c r="AK2645" s="1"/>
      <c r="AL2645" s="1"/>
      <c r="AM2645" s="2"/>
      <c r="AN2645" s="1"/>
      <c r="AO2645" s="1"/>
      <c r="AP2645" s="1"/>
      <c r="AQ2645" s="1"/>
      <c r="AR2645" s="1"/>
      <c r="AS2645" s="1"/>
      <c r="AT2645" s="1"/>
      <c r="AU2645" s="1"/>
      <c r="AV2645" s="1"/>
      <c r="AW2645" s="1"/>
      <c r="AX2645" s="1"/>
      <c r="AY2645" s="1"/>
      <c r="AZ2645" s="1"/>
      <c r="BA2645" s="1"/>
      <c r="BB2645" s="1"/>
      <c r="BC2645" s="1"/>
      <c r="BD2645" s="1"/>
      <c r="BE2645" s="1"/>
    </row>
    <row x14ac:dyDescent="0.25" r="2646" customHeight="1" ht="18.75">
      <c r="A2646" s="1"/>
      <c r="B2646" s="2"/>
      <c r="C2646" s="2"/>
      <c r="D2646" s="2"/>
      <c r="E2646" s="2"/>
      <c r="F2646" s="2"/>
      <c r="G2646" s="1"/>
      <c r="H2646" s="1"/>
      <c r="I2646" s="7">
        <v>2.643</v>
      </c>
      <c r="J2646" s="7">
        <f>IF((I2646-ROUNDDOWN(I2646,0))=0, 0, (I2646-ROUNDDOWN(I2646,0)))</f>
      </c>
      <c r="K2646" s="7">
        <f>INDIRECT("C$"&amp;2+MIN(2,ROUNDDOWN(I2646,0))*3)*(-$J2646^3+3*$J2646^2-3*$J2646+1)+INDIRECT("C$"&amp;3+MIN(2,ROUNDDOWN(I2646,0))*3)*(3*$J2646^3-6*$J2646^2+3*$J2646)+INDIRECT("C$"&amp;4+MIN(2,ROUNDDOWN(I2646,0))*3)*(-3*$J2646^3+3*$J2646^2)+INDIRECT("C$"&amp;5+MIN(2,ROUNDDOWN(I2646,0))*3)*$J2646^3</f>
      </c>
      <c r="L2646" s="7">
        <f>INDIRECT("D$"&amp;2+MIN(2,ROUNDDOWN(I2646,0))*3)*(-$J2646^3+3*$J2646^2-3*$J2646+1)+INDIRECT("D$"&amp;3+MIN(2,ROUNDDOWN(I2646,0))*3)*(3*$J2646^3-6*$J2646^2+3*$J2646)+INDIRECT("D$"&amp;4+MIN(2,ROUNDDOWN(I2646,0))*3)*(-3*$J2646^3+3*$J2646^2)+INDIRECT("D$"&amp;5+MIN(2,ROUNDDOWN(I2646,0))*3)*$J2646^3</f>
      </c>
      <c r="M2646" s="7">
        <f>SQRT(K2646^2+L2646^2)</f>
      </c>
      <c r="N2646" s="7">
        <f>(K2647-K2645)</f>
      </c>
      <c r="O2646" s="7">
        <f>+(L2647-L2645)</f>
      </c>
      <c r="P2646" s="7">
        <f>SQRT(O2646^2+N2646^2)</f>
      </c>
      <c r="Q2646" s="7">
        <f>N2646/$P2646</f>
      </c>
      <c r="R2646" s="7">
        <f>O2646/$P2646</f>
      </c>
      <c r="S2646" s="8">
        <f>Q2646^2+R2646^2</f>
      </c>
      <c r="T2646" s="7">
        <f>-R2646</f>
      </c>
      <c r="U2646" s="7">
        <f>Q2646</f>
      </c>
      <c r="V2646" s="7">
        <f>($C$14+($C$15-$C$14)/($D$15-$D$14)*(I2646-$D$14))/2</f>
      </c>
      <c r="W2646" s="7">
        <f>($B$22*I2646^4+$C$22*I2646^3+$D$22*I2646^2+$E$22*I2646+$F$22)/2</f>
      </c>
      <c r="X2646" s="7">
        <f>($W2646)*(T2646)</f>
      </c>
      <c r="Y2646" s="7">
        <f>($W2646)*(U2646)</f>
      </c>
      <c r="Z2646" s="7">
        <f>SQRT(X2646^2+Y2646^2)</f>
      </c>
      <c r="AA2646" s="7">
        <f>$K2646+$X2646</f>
      </c>
      <c r="AB2646" s="7">
        <f>$L2646+$Y2646</f>
      </c>
      <c r="AC2646" s="7">
        <f>$K2646-$X2646</f>
      </c>
      <c r="AD2646" s="7">
        <f>$L2646-$Y2646</f>
      </c>
      <c r="AE2646" s="7">
        <f>AA2646/39.3701</f>
      </c>
      <c r="AF2646" s="7">
        <f>AB2646/39.3701</f>
      </c>
      <c r="AG2646" s="7">
        <f>AC2646/39.3701</f>
      </c>
      <c r="AH2646" s="7">
        <f>AD2646/39.3701</f>
      </c>
      <c r="AI2646" s="1"/>
      <c r="AJ2646" s="1"/>
      <c r="AK2646" s="1"/>
      <c r="AL2646" s="1"/>
      <c r="AM2646" s="2"/>
      <c r="AN2646" s="1"/>
      <c r="AO2646" s="1"/>
      <c r="AP2646" s="1"/>
      <c r="AQ2646" s="1"/>
      <c r="AR2646" s="1"/>
      <c r="AS2646" s="1"/>
      <c r="AT2646" s="1"/>
      <c r="AU2646" s="1"/>
      <c r="AV2646" s="1"/>
      <c r="AW2646" s="1"/>
      <c r="AX2646" s="1"/>
      <c r="AY2646" s="1"/>
      <c r="AZ2646" s="1"/>
      <c r="BA2646" s="1"/>
      <c r="BB2646" s="1"/>
      <c r="BC2646" s="1"/>
      <c r="BD2646" s="1"/>
      <c r="BE2646" s="1"/>
    </row>
    <row x14ac:dyDescent="0.25" r="2647" customHeight="1" ht="18.75">
      <c r="A2647" s="1"/>
      <c r="B2647" s="2"/>
      <c r="C2647" s="2"/>
      <c r="D2647" s="2"/>
      <c r="E2647" s="2"/>
      <c r="F2647" s="2"/>
      <c r="G2647" s="1"/>
      <c r="H2647" s="1"/>
      <c r="I2647" s="7">
        <v>2.644</v>
      </c>
      <c r="J2647" s="7">
        <f>IF((I2647-ROUNDDOWN(I2647,0))=0, 0, (I2647-ROUNDDOWN(I2647,0)))</f>
      </c>
      <c r="K2647" s="7">
        <f>INDIRECT("C$"&amp;2+MIN(2,ROUNDDOWN(I2647,0))*3)*(-$J2647^3+3*$J2647^2-3*$J2647+1)+INDIRECT("C$"&amp;3+MIN(2,ROUNDDOWN(I2647,0))*3)*(3*$J2647^3-6*$J2647^2+3*$J2647)+INDIRECT("C$"&amp;4+MIN(2,ROUNDDOWN(I2647,0))*3)*(-3*$J2647^3+3*$J2647^2)+INDIRECT("C$"&amp;5+MIN(2,ROUNDDOWN(I2647,0))*3)*$J2647^3</f>
      </c>
      <c r="L2647" s="7">
        <f>INDIRECT("D$"&amp;2+MIN(2,ROUNDDOWN(I2647,0))*3)*(-$J2647^3+3*$J2647^2-3*$J2647+1)+INDIRECT("D$"&amp;3+MIN(2,ROUNDDOWN(I2647,0))*3)*(3*$J2647^3-6*$J2647^2+3*$J2647)+INDIRECT("D$"&amp;4+MIN(2,ROUNDDOWN(I2647,0))*3)*(-3*$J2647^3+3*$J2647^2)+INDIRECT("D$"&amp;5+MIN(2,ROUNDDOWN(I2647,0))*3)*$J2647^3</f>
      </c>
      <c r="M2647" s="7">
        <f>SQRT(K2647^2+L2647^2)</f>
      </c>
      <c r="N2647" s="7">
        <f>(K2648-K2646)</f>
      </c>
      <c r="O2647" s="7">
        <f>+(L2648-L2646)</f>
      </c>
      <c r="P2647" s="7">
        <f>SQRT(O2647^2+N2647^2)</f>
      </c>
      <c r="Q2647" s="7">
        <f>N2647/$P2647</f>
      </c>
      <c r="R2647" s="7">
        <f>O2647/$P2647</f>
      </c>
      <c r="S2647" s="7">
        <f>Q2647^2+R2647^2</f>
      </c>
      <c r="T2647" s="7">
        <f>-R2647</f>
      </c>
      <c r="U2647" s="7">
        <f>Q2647</f>
      </c>
      <c r="V2647" s="7">
        <f>($C$14+($C$15-$C$14)/($D$15-$D$14)*(I2647-$D$14))/2</f>
      </c>
      <c r="W2647" s="7">
        <f>($B$22*I2647^4+$C$22*I2647^3+$D$22*I2647^2+$E$22*I2647+$F$22)/2</f>
      </c>
      <c r="X2647" s="7">
        <f>($W2647)*(T2647)</f>
      </c>
      <c r="Y2647" s="7">
        <f>($W2647)*(U2647)</f>
      </c>
      <c r="Z2647" s="7">
        <f>SQRT(X2647^2+Y2647^2)</f>
      </c>
      <c r="AA2647" s="7">
        <f>$K2647+$X2647</f>
      </c>
      <c r="AB2647" s="7">
        <f>$L2647+$Y2647</f>
      </c>
      <c r="AC2647" s="7">
        <f>$K2647-$X2647</f>
      </c>
      <c r="AD2647" s="7">
        <f>$L2647-$Y2647</f>
      </c>
      <c r="AE2647" s="7">
        <f>AA2647/39.3701</f>
      </c>
      <c r="AF2647" s="7">
        <f>AB2647/39.3701</f>
      </c>
      <c r="AG2647" s="7">
        <f>AC2647/39.3701</f>
      </c>
      <c r="AH2647" s="7">
        <f>AD2647/39.3701</f>
      </c>
      <c r="AI2647" s="1"/>
      <c r="AJ2647" s="1"/>
      <c r="AK2647" s="1"/>
      <c r="AL2647" s="1"/>
      <c r="AM2647" s="2"/>
      <c r="AN2647" s="1"/>
      <c r="AO2647" s="1"/>
      <c r="AP2647" s="1"/>
      <c r="AQ2647" s="1"/>
      <c r="AR2647" s="1"/>
      <c r="AS2647" s="1"/>
      <c r="AT2647" s="1"/>
      <c r="AU2647" s="1"/>
      <c r="AV2647" s="1"/>
      <c r="AW2647" s="1"/>
      <c r="AX2647" s="1"/>
      <c r="AY2647" s="1"/>
      <c r="AZ2647" s="1"/>
      <c r="BA2647" s="1"/>
      <c r="BB2647" s="1"/>
      <c r="BC2647" s="1"/>
      <c r="BD2647" s="1"/>
      <c r="BE2647" s="1"/>
    </row>
    <row x14ac:dyDescent="0.25" r="2648" customHeight="1" ht="18.75">
      <c r="A2648" s="1"/>
      <c r="B2648" s="2"/>
      <c r="C2648" s="2"/>
      <c r="D2648" s="2"/>
      <c r="E2648" s="2"/>
      <c r="F2648" s="2"/>
      <c r="G2648" s="1"/>
      <c r="H2648" s="1"/>
      <c r="I2648" s="7">
        <v>2.645</v>
      </c>
      <c r="J2648" s="7">
        <f>IF((I2648-ROUNDDOWN(I2648,0))=0, 0, (I2648-ROUNDDOWN(I2648,0)))</f>
      </c>
      <c r="K2648" s="7">
        <f>INDIRECT("C$"&amp;2+MIN(2,ROUNDDOWN(I2648,0))*3)*(-$J2648^3+3*$J2648^2-3*$J2648+1)+INDIRECT("C$"&amp;3+MIN(2,ROUNDDOWN(I2648,0))*3)*(3*$J2648^3-6*$J2648^2+3*$J2648)+INDIRECT("C$"&amp;4+MIN(2,ROUNDDOWN(I2648,0))*3)*(-3*$J2648^3+3*$J2648^2)+INDIRECT("C$"&amp;5+MIN(2,ROUNDDOWN(I2648,0))*3)*$J2648^3</f>
      </c>
      <c r="L2648" s="7">
        <f>INDIRECT("D$"&amp;2+MIN(2,ROUNDDOWN(I2648,0))*3)*(-$J2648^3+3*$J2648^2-3*$J2648+1)+INDIRECT("D$"&amp;3+MIN(2,ROUNDDOWN(I2648,0))*3)*(3*$J2648^3-6*$J2648^2+3*$J2648)+INDIRECT("D$"&amp;4+MIN(2,ROUNDDOWN(I2648,0))*3)*(-3*$J2648^3+3*$J2648^2)+INDIRECT("D$"&amp;5+MIN(2,ROUNDDOWN(I2648,0))*3)*$J2648^3</f>
      </c>
      <c r="M2648" s="7">
        <f>SQRT(K2648^2+L2648^2)</f>
      </c>
      <c r="N2648" s="7">
        <f>(K2649-K2647)</f>
      </c>
      <c r="O2648" s="7">
        <f>+(L2649-L2647)</f>
      </c>
      <c r="P2648" s="7">
        <f>SQRT(O2648^2+N2648^2)</f>
      </c>
      <c r="Q2648" s="7">
        <f>N2648/$P2648</f>
      </c>
      <c r="R2648" s="7">
        <f>O2648/$P2648</f>
      </c>
      <c r="S2648" s="8">
        <f>Q2648^2+R2648^2</f>
      </c>
      <c r="T2648" s="7">
        <f>-R2648</f>
      </c>
      <c r="U2648" s="7">
        <f>Q2648</f>
      </c>
      <c r="V2648" s="7">
        <f>($C$14+($C$15-$C$14)/($D$15-$D$14)*(I2648-$D$14))/2</f>
      </c>
      <c r="W2648" s="7">
        <f>($B$22*I2648^4+$C$22*I2648^3+$D$22*I2648^2+$E$22*I2648+$F$22)/2</f>
      </c>
      <c r="X2648" s="7">
        <f>($W2648)*(T2648)</f>
      </c>
      <c r="Y2648" s="7">
        <f>($W2648)*(U2648)</f>
      </c>
      <c r="Z2648" s="7">
        <f>SQRT(X2648^2+Y2648^2)</f>
      </c>
      <c r="AA2648" s="7">
        <f>$K2648+$X2648</f>
      </c>
      <c r="AB2648" s="7">
        <f>$L2648+$Y2648</f>
      </c>
      <c r="AC2648" s="7">
        <f>$K2648-$X2648</f>
      </c>
      <c r="AD2648" s="7">
        <f>$L2648-$Y2648</f>
      </c>
      <c r="AE2648" s="7">
        <f>AA2648/39.3701</f>
      </c>
      <c r="AF2648" s="7">
        <f>AB2648/39.3701</f>
      </c>
      <c r="AG2648" s="7">
        <f>AC2648/39.3701</f>
      </c>
      <c r="AH2648" s="7">
        <f>AD2648/39.3701</f>
      </c>
      <c r="AI2648" s="1"/>
      <c r="AJ2648" s="1"/>
      <c r="AK2648" s="1"/>
      <c r="AL2648" s="1"/>
      <c r="AM2648" s="2"/>
      <c r="AN2648" s="1"/>
      <c r="AO2648" s="1"/>
      <c r="AP2648" s="1"/>
      <c r="AQ2648" s="1"/>
      <c r="AR2648" s="1"/>
      <c r="AS2648" s="1"/>
      <c r="AT2648" s="1"/>
      <c r="AU2648" s="1"/>
      <c r="AV2648" s="1"/>
      <c r="AW2648" s="1"/>
      <c r="AX2648" s="1"/>
      <c r="AY2648" s="1"/>
      <c r="AZ2648" s="1"/>
      <c r="BA2648" s="1"/>
      <c r="BB2648" s="1"/>
      <c r="BC2648" s="1"/>
      <c r="BD2648" s="1"/>
      <c r="BE2648" s="1"/>
    </row>
    <row x14ac:dyDescent="0.25" r="2649" customHeight="1" ht="18.75">
      <c r="A2649" s="1"/>
      <c r="B2649" s="2"/>
      <c r="C2649" s="2"/>
      <c r="D2649" s="2"/>
      <c r="E2649" s="2"/>
      <c r="F2649" s="2"/>
      <c r="G2649" s="1"/>
      <c r="H2649" s="1"/>
      <c r="I2649" s="7">
        <v>2.646</v>
      </c>
      <c r="J2649" s="7">
        <f>IF((I2649-ROUNDDOWN(I2649,0))=0, 0, (I2649-ROUNDDOWN(I2649,0)))</f>
      </c>
      <c r="K2649" s="7">
        <f>INDIRECT("C$"&amp;2+MIN(2,ROUNDDOWN(I2649,0))*3)*(-$J2649^3+3*$J2649^2-3*$J2649+1)+INDIRECT("C$"&amp;3+MIN(2,ROUNDDOWN(I2649,0))*3)*(3*$J2649^3-6*$J2649^2+3*$J2649)+INDIRECT("C$"&amp;4+MIN(2,ROUNDDOWN(I2649,0))*3)*(-3*$J2649^3+3*$J2649^2)+INDIRECT("C$"&amp;5+MIN(2,ROUNDDOWN(I2649,0))*3)*$J2649^3</f>
      </c>
      <c r="L2649" s="7">
        <f>INDIRECT("D$"&amp;2+MIN(2,ROUNDDOWN(I2649,0))*3)*(-$J2649^3+3*$J2649^2-3*$J2649+1)+INDIRECT("D$"&amp;3+MIN(2,ROUNDDOWN(I2649,0))*3)*(3*$J2649^3-6*$J2649^2+3*$J2649)+INDIRECT("D$"&amp;4+MIN(2,ROUNDDOWN(I2649,0))*3)*(-3*$J2649^3+3*$J2649^2)+INDIRECT("D$"&amp;5+MIN(2,ROUNDDOWN(I2649,0))*3)*$J2649^3</f>
      </c>
      <c r="M2649" s="7">
        <f>SQRT(K2649^2+L2649^2)</f>
      </c>
      <c r="N2649" s="7">
        <f>(K2650-K2648)</f>
      </c>
      <c r="O2649" s="7">
        <f>+(L2650-L2648)</f>
      </c>
      <c r="P2649" s="7">
        <f>SQRT(O2649^2+N2649^2)</f>
      </c>
      <c r="Q2649" s="7">
        <f>N2649/$P2649</f>
      </c>
      <c r="R2649" s="7">
        <f>O2649/$P2649</f>
      </c>
      <c r="S2649" s="7">
        <f>Q2649^2+R2649^2</f>
      </c>
      <c r="T2649" s="7">
        <f>-R2649</f>
      </c>
      <c r="U2649" s="7">
        <f>Q2649</f>
      </c>
      <c r="V2649" s="7">
        <f>($C$14+($C$15-$C$14)/($D$15-$D$14)*(I2649-$D$14))/2</f>
      </c>
      <c r="W2649" s="7">
        <f>($B$22*I2649^4+$C$22*I2649^3+$D$22*I2649^2+$E$22*I2649+$F$22)/2</f>
      </c>
      <c r="X2649" s="7">
        <f>($W2649)*(T2649)</f>
      </c>
      <c r="Y2649" s="7">
        <f>($W2649)*(U2649)</f>
      </c>
      <c r="Z2649" s="7">
        <f>SQRT(X2649^2+Y2649^2)</f>
      </c>
      <c r="AA2649" s="7">
        <f>$K2649+$X2649</f>
      </c>
      <c r="AB2649" s="7">
        <f>$L2649+$Y2649</f>
      </c>
      <c r="AC2649" s="7">
        <f>$K2649-$X2649</f>
      </c>
      <c r="AD2649" s="7">
        <f>$L2649-$Y2649</f>
      </c>
      <c r="AE2649" s="7">
        <f>AA2649/39.3701</f>
      </c>
      <c r="AF2649" s="7">
        <f>AB2649/39.3701</f>
      </c>
      <c r="AG2649" s="7">
        <f>AC2649/39.3701</f>
      </c>
      <c r="AH2649" s="7">
        <f>AD2649/39.3701</f>
      </c>
      <c r="AI2649" s="1"/>
      <c r="AJ2649" s="1"/>
      <c r="AK2649" s="1"/>
      <c r="AL2649" s="1"/>
      <c r="AM2649" s="2"/>
      <c r="AN2649" s="1"/>
      <c r="AO2649" s="1"/>
      <c r="AP2649" s="1"/>
      <c r="AQ2649" s="1"/>
      <c r="AR2649" s="1"/>
      <c r="AS2649" s="1"/>
      <c r="AT2649" s="1"/>
      <c r="AU2649" s="1"/>
      <c r="AV2649" s="1"/>
      <c r="AW2649" s="1"/>
      <c r="AX2649" s="1"/>
      <c r="AY2649" s="1"/>
      <c r="AZ2649" s="1"/>
      <c r="BA2649" s="1"/>
      <c r="BB2649" s="1"/>
      <c r="BC2649" s="1"/>
      <c r="BD2649" s="1"/>
      <c r="BE2649" s="1"/>
    </row>
    <row x14ac:dyDescent="0.25" r="2650" customHeight="1" ht="18.75">
      <c r="A2650" s="1"/>
      <c r="B2650" s="2"/>
      <c r="C2650" s="2"/>
      <c r="D2650" s="2"/>
      <c r="E2650" s="2"/>
      <c r="F2650" s="2"/>
      <c r="G2650" s="1"/>
      <c r="H2650" s="1"/>
      <c r="I2650" s="7">
        <v>2.647</v>
      </c>
      <c r="J2650" s="7">
        <f>IF((I2650-ROUNDDOWN(I2650,0))=0, 0, (I2650-ROUNDDOWN(I2650,0)))</f>
      </c>
      <c r="K2650" s="7">
        <f>INDIRECT("C$"&amp;2+MIN(2,ROUNDDOWN(I2650,0))*3)*(-$J2650^3+3*$J2650^2-3*$J2650+1)+INDIRECT("C$"&amp;3+MIN(2,ROUNDDOWN(I2650,0))*3)*(3*$J2650^3-6*$J2650^2+3*$J2650)+INDIRECT("C$"&amp;4+MIN(2,ROUNDDOWN(I2650,0))*3)*(-3*$J2650^3+3*$J2650^2)+INDIRECT("C$"&amp;5+MIN(2,ROUNDDOWN(I2650,0))*3)*$J2650^3</f>
      </c>
      <c r="L2650" s="7">
        <f>INDIRECT("D$"&amp;2+MIN(2,ROUNDDOWN(I2650,0))*3)*(-$J2650^3+3*$J2650^2-3*$J2650+1)+INDIRECT("D$"&amp;3+MIN(2,ROUNDDOWN(I2650,0))*3)*(3*$J2650^3-6*$J2650^2+3*$J2650)+INDIRECT("D$"&amp;4+MIN(2,ROUNDDOWN(I2650,0))*3)*(-3*$J2650^3+3*$J2650^2)+INDIRECT("D$"&amp;5+MIN(2,ROUNDDOWN(I2650,0))*3)*$J2650^3</f>
      </c>
      <c r="M2650" s="7">
        <f>SQRT(K2650^2+L2650^2)</f>
      </c>
      <c r="N2650" s="7">
        <f>(K2651-K2649)</f>
      </c>
      <c r="O2650" s="7">
        <f>+(L2651-L2649)</f>
      </c>
      <c r="P2650" s="7">
        <f>SQRT(O2650^2+N2650^2)</f>
      </c>
      <c r="Q2650" s="7">
        <f>N2650/$P2650</f>
      </c>
      <c r="R2650" s="7">
        <f>O2650/$P2650</f>
      </c>
      <c r="S2650" s="8">
        <f>Q2650^2+R2650^2</f>
      </c>
      <c r="T2650" s="7">
        <f>-R2650</f>
      </c>
      <c r="U2650" s="7">
        <f>Q2650</f>
      </c>
      <c r="V2650" s="7">
        <f>($C$14+($C$15-$C$14)/($D$15-$D$14)*(I2650-$D$14))/2</f>
      </c>
      <c r="W2650" s="7">
        <f>($B$22*I2650^4+$C$22*I2650^3+$D$22*I2650^2+$E$22*I2650+$F$22)/2</f>
      </c>
      <c r="X2650" s="7">
        <f>($W2650)*(T2650)</f>
      </c>
      <c r="Y2650" s="7">
        <f>($W2650)*(U2650)</f>
      </c>
      <c r="Z2650" s="7">
        <f>SQRT(X2650^2+Y2650^2)</f>
      </c>
      <c r="AA2650" s="7">
        <f>$K2650+$X2650</f>
      </c>
      <c r="AB2650" s="7">
        <f>$L2650+$Y2650</f>
      </c>
      <c r="AC2650" s="7">
        <f>$K2650-$X2650</f>
      </c>
      <c r="AD2650" s="7">
        <f>$L2650-$Y2650</f>
      </c>
      <c r="AE2650" s="7">
        <f>AA2650/39.3701</f>
      </c>
      <c r="AF2650" s="7">
        <f>AB2650/39.3701</f>
      </c>
      <c r="AG2650" s="7">
        <f>AC2650/39.3701</f>
      </c>
      <c r="AH2650" s="7">
        <f>AD2650/39.3701</f>
      </c>
      <c r="AI2650" s="1"/>
      <c r="AJ2650" s="1"/>
      <c r="AK2650" s="1"/>
      <c r="AL2650" s="1"/>
      <c r="AM2650" s="2"/>
      <c r="AN2650" s="1"/>
      <c r="AO2650" s="1"/>
      <c r="AP2650" s="1"/>
      <c r="AQ2650" s="1"/>
      <c r="AR2650" s="1"/>
      <c r="AS2650" s="1"/>
      <c r="AT2650" s="1"/>
      <c r="AU2650" s="1"/>
      <c r="AV2650" s="1"/>
      <c r="AW2650" s="1"/>
      <c r="AX2650" s="1"/>
      <c r="AY2650" s="1"/>
      <c r="AZ2650" s="1"/>
      <c r="BA2650" s="1"/>
      <c r="BB2650" s="1"/>
      <c r="BC2650" s="1"/>
      <c r="BD2650" s="1"/>
      <c r="BE2650" s="1"/>
    </row>
    <row x14ac:dyDescent="0.25" r="2651" customHeight="1" ht="18.75">
      <c r="A2651" s="1"/>
      <c r="B2651" s="2"/>
      <c r="C2651" s="2"/>
      <c r="D2651" s="2"/>
      <c r="E2651" s="2"/>
      <c r="F2651" s="2"/>
      <c r="G2651" s="1"/>
      <c r="H2651" s="1"/>
      <c r="I2651" s="7">
        <v>2.648</v>
      </c>
      <c r="J2651" s="7">
        <f>IF((I2651-ROUNDDOWN(I2651,0))=0, 0, (I2651-ROUNDDOWN(I2651,0)))</f>
      </c>
      <c r="K2651" s="7">
        <f>INDIRECT("C$"&amp;2+MIN(2,ROUNDDOWN(I2651,0))*3)*(-$J2651^3+3*$J2651^2-3*$J2651+1)+INDIRECT("C$"&amp;3+MIN(2,ROUNDDOWN(I2651,0))*3)*(3*$J2651^3-6*$J2651^2+3*$J2651)+INDIRECT("C$"&amp;4+MIN(2,ROUNDDOWN(I2651,0))*3)*(-3*$J2651^3+3*$J2651^2)+INDIRECT("C$"&amp;5+MIN(2,ROUNDDOWN(I2651,0))*3)*$J2651^3</f>
      </c>
      <c r="L2651" s="7">
        <f>INDIRECT("D$"&amp;2+MIN(2,ROUNDDOWN(I2651,0))*3)*(-$J2651^3+3*$J2651^2-3*$J2651+1)+INDIRECT("D$"&amp;3+MIN(2,ROUNDDOWN(I2651,0))*3)*(3*$J2651^3-6*$J2651^2+3*$J2651)+INDIRECT("D$"&amp;4+MIN(2,ROUNDDOWN(I2651,0))*3)*(-3*$J2651^3+3*$J2651^2)+INDIRECT("D$"&amp;5+MIN(2,ROUNDDOWN(I2651,0))*3)*$J2651^3</f>
      </c>
      <c r="M2651" s="7">
        <f>SQRT(K2651^2+L2651^2)</f>
      </c>
      <c r="N2651" s="7">
        <f>(K2652-K2650)</f>
      </c>
      <c r="O2651" s="7">
        <f>+(L2652-L2650)</f>
      </c>
      <c r="P2651" s="7">
        <f>SQRT(O2651^2+N2651^2)</f>
      </c>
      <c r="Q2651" s="7">
        <f>N2651/$P2651</f>
      </c>
      <c r="R2651" s="7">
        <f>O2651/$P2651</f>
      </c>
      <c r="S2651" s="7">
        <f>Q2651^2+R2651^2</f>
      </c>
      <c r="T2651" s="7">
        <f>-R2651</f>
      </c>
      <c r="U2651" s="7">
        <f>Q2651</f>
      </c>
      <c r="V2651" s="7">
        <f>($C$14+($C$15-$C$14)/($D$15-$D$14)*(I2651-$D$14))/2</f>
      </c>
      <c r="W2651" s="7">
        <f>($B$22*I2651^4+$C$22*I2651^3+$D$22*I2651^2+$E$22*I2651+$F$22)/2</f>
      </c>
      <c r="X2651" s="7">
        <f>($W2651)*(T2651)</f>
      </c>
      <c r="Y2651" s="7">
        <f>($W2651)*(U2651)</f>
      </c>
      <c r="Z2651" s="7">
        <f>SQRT(X2651^2+Y2651^2)</f>
      </c>
      <c r="AA2651" s="7">
        <f>$K2651+$X2651</f>
      </c>
      <c r="AB2651" s="7">
        <f>$L2651+$Y2651</f>
      </c>
      <c r="AC2651" s="7">
        <f>$K2651-$X2651</f>
      </c>
      <c r="AD2651" s="7">
        <f>$L2651-$Y2651</f>
      </c>
      <c r="AE2651" s="7">
        <f>AA2651/39.3701</f>
      </c>
      <c r="AF2651" s="7">
        <f>AB2651/39.3701</f>
      </c>
      <c r="AG2651" s="7">
        <f>AC2651/39.3701</f>
      </c>
      <c r="AH2651" s="7">
        <f>AD2651/39.3701</f>
      </c>
      <c r="AI2651" s="1"/>
      <c r="AJ2651" s="1"/>
      <c r="AK2651" s="1"/>
      <c r="AL2651" s="1"/>
      <c r="AM2651" s="2"/>
      <c r="AN2651" s="1"/>
      <c r="AO2651" s="1"/>
      <c r="AP2651" s="1"/>
      <c r="AQ2651" s="1"/>
      <c r="AR2651" s="1"/>
      <c r="AS2651" s="1"/>
      <c r="AT2651" s="1"/>
      <c r="AU2651" s="1"/>
      <c r="AV2651" s="1"/>
      <c r="AW2651" s="1"/>
      <c r="AX2651" s="1"/>
      <c r="AY2651" s="1"/>
      <c r="AZ2651" s="1"/>
      <c r="BA2651" s="1"/>
      <c r="BB2651" s="1"/>
      <c r="BC2651" s="1"/>
      <c r="BD2651" s="1"/>
      <c r="BE2651" s="1"/>
    </row>
    <row x14ac:dyDescent="0.25" r="2652" customHeight="1" ht="18.75">
      <c r="A2652" s="1"/>
      <c r="B2652" s="2"/>
      <c r="C2652" s="2"/>
      <c r="D2652" s="2"/>
      <c r="E2652" s="2"/>
      <c r="F2652" s="2"/>
      <c r="G2652" s="1"/>
      <c r="H2652" s="1"/>
      <c r="I2652" s="7">
        <v>2.649</v>
      </c>
      <c r="J2652" s="7">
        <f>IF((I2652-ROUNDDOWN(I2652,0))=0, 0, (I2652-ROUNDDOWN(I2652,0)))</f>
      </c>
      <c r="K2652" s="7">
        <f>INDIRECT("C$"&amp;2+MIN(2,ROUNDDOWN(I2652,0))*3)*(-$J2652^3+3*$J2652^2-3*$J2652+1)+INDIRECT("C$"&amp;3+MIN(2,ROUNDDOWN(I2652,0))*3)*(3*$J2652^3-6*$J2652^2+3*$J2652)+INDIRECT("C$"&amp;4+MIN(2,ROUNDDOWN(I2652,0))*3)*(-3*$J2652^3+3*$J2652^2)+INDIRECT("C$"&amp;5+MIN(2,ROUNDDOWN(I2652,0))*3)*$J2652^3</f>
      </c>
      <c r="L2652" s="7">
        <f>INDIRECT("D$"&amp;2+MIN(2,ROUNDDOWN(I2652,0))*3)*(-$J2652^3+3*$J2652^2-3*$J2652+1)+INDIRECT("D$"&amp;3+MIN(2,ROUNDDOWN(I2652,0))*3)*(3*$J2652^3-6*$J2652^2+3*$J2652)+INDIRECT("D$"&amp;4+MIN(2,ROUNDDOWN(I2652,0))*3)*(-3*$J2652^3+3*$J2652^2)+INDIRECT("D$"&amp;5+MIN(2,ROUNDDOWN(I2652,0))*3)*$J2652^3</f>
      </c>
      <c r="M2652" s="7">
        <f>SQRT(K2652^2+L2652^2)</f>
      </c>
      <c r="N2652" s="7">
        <f>(K2653-K2651)</f>
      </c>
      <c r="O2652" s="7">
        <f>+(L2653-L2651)</f>
      </c>
      <c r="P2652" s="7">
        <f>SQRT(O2652^2+N2652^2)</f>
      </c>
      <c r="Q2652" s="7">
        <f>N2652/$P2652</f>
      </c>
      <c r="R2652" s="7">
        <f>O2652/$P2652</f>
      </c>
      <c r="S2652" s="8">
        <f>Q2652^2+R2652^2</f>
      </c>
      <c r="T2652" s="7">
        <f>-R2652</f>
      </c>
      <c r="U2652" s="7">
        <f>Q2652</f>
      </c>
      <c r="V2652" s="7">
        <f>($C$14+($C$15-$C$14)/($D$15-$D$14)*(I2652-$D$14))/2</f>
      </c>
      <c r="W2652" s="7">
        <f>($B$22*I2652^4+$C$22*I2652^3+$D$22*I2652^2+$E$22*I2652+$F$22)/2</f>
      </c>
      <c r="X2652" s="7">
        <f>($W2652)*(T2652)</f>
      </c>
      <c r="Y2652" s="7">
        <f>($W2652)*(U2652)</f>
      </c>
      <c r="Z2652" s="7">
        <f>SQRT(X2652^2+Y2652^2)</f>
      </c>
      <c r="AA2652" s="7">
        <f>$K2652+$X2652</f>
      </c>
      <c r="AB2652" s="7">
        <f>$L2652+$Y2652</f>
      </c>
      <c r="AC2652" s="7">
        <f>$K2652-$X2652</f>
      </c>
      <c r="AD2652" s="7">
        <f>$L2652-$Y2652</f>
      </c>
      <c r="AE2652" s="7">
        <f>AA2652/39.3701</f>
      </c>
      <c r="AF2652" s="7">
        <f>AB2652/39.3701</f>
      </c>
      <c r="AG2652" s="7">
        <f>AC2652/39.3701</f>
      </c>
      <c r="AH2652" s="7">
        <f>AD2652/39.3701</f>
      </c>
      <c r="AI2652" s="1"/>
      <c r="AJ2652" s="1"/>
      <c r="AK2652" s="1"/>
      <c r="AL2652" s="1"/>
      <c r="AM2652" s="2"/>
      <c r="AN2652" s="1"/>
      <c r="AO2652" s="1"/>
      <c r="AP2652" s="1"/>
      <c r="AQ2652" s="1"/>
      <c r="AR2652" s="1"/>
      <c r="AS2652" s="1"/>
      <c r="AT2652" s="1"/>
      <c r="AU2652" s="1"/>
      <c r="AV2652" s="1"/>
      <c r="AW2652" s="1"/>
      <c r="AX2652" s="1"/>
      <c r="AY2652" s="1"/>
      <c r="AZ2652" s="1"/>
      <c r="BA2652" s="1"/>
      <c r="BB2652" s="1"/>
      <c r="BC2652" s="1"/>
      <c r="BD2652" s="1"/>
      <c r="BE2652" s="1"/>
    </row>
    <row x14ac:dyDescent="0.25" r="2653" customHeight="1" ht="18.75">
      <c r="A2653" s="1"/>
      <c r="B2653" s="2"/>
      <c r="C2653" s="2"/>
      <c r="D2653" s="2"/>
      <c r="E2653" s="2"/>
      <c r="F2653" s="2"/>
      <c r="G2653" s="1"/>
      <c r="H2653" s="1"/>
      <c r="I2653" s="7">
        <v>2.65</v>
      </c>
      <c r="J2653" s="7">
        <f>IF((I2653-ROUNDDOWN(I2653,0))=0, 0, (I2653-ROUNDDOWN(I2653,0)))</f>
      </c>
      <c r="K2653" s="7">
        <f>INDIRECT("C$"&amp;2+MIN(2,ROUNDDOWN(I2653,0))*3)*(-$J2653^3+3*$J2653^2-3*$J2653+1)+INDIRECT("C$"&amp;3+MIN(2,ROUNDDOWN(I2653,0))*3)*(3*$J2653^3-6*$J2653^2+3*$J2653)+INDIRECT("C$"&amp;4+MIN(2,ROUNDDOWN(I2653,0))*3)*(-3*$J2653^3+3*$J2653^2)+INDIRECT("C$"&amp;5+MIN(2,ROUNDDOWN(I2653,0))*3)*$J2653^3</f>
      </c>
      <c r="L2653" s="7">
        <f>INDIRECT("D$"&amp;2+MIN(2,ROUNDDOWN(I2653,0))*3)*(-$J2653^3+3*$J2653^2-3*$J2653+1)+INDIRECT("D$"&amp;3+MIN(2,ROUNDDOWN(I2653,0))*3)*(3*$J2653^3-6*$J2653^2+3*$J2653)+INDIRECT("D$"&amp;4+MIN(2,ROUNDDOWN(I2653,0))*3)*(-3*$J2653^3+3*$J2653^2)+INDIRECT("D$"&amp;5+MIN(2,ROUNDDOWN(I2653,0))*3)*$J2653^3</f>
      </c>
      <c r="M2653" s="7">
        <f>SQRT(K2653^2+L2653^2)</f>
      </c>
      <c r="N2653" s="7">
        <f>(K2654-K2652)</f>
      </c>
      <c r="O2653" s="7">
        <f>+(L2654-L2652)</f>
      </c>
      <c r="P2653" s="7">
        <f>SQRT(O2653^2+N2653^2)</f>
      </c>
      <c r="Q2653" s="7">
        <f>N2653/$P2653</f>
      </c>
      <c r="R2653" s="7">
        <f>O2653/$P2653</f>
      </c>
      <c r="S2653" s="7">
        <f>Q2653^2+R2653^2</f>
      </c>
      <c r="T2653" s="7">
        <f>-R2653</f>
      </c>
      <c r="U2653" s="7">
        <f>Q2653</f>
      </c>
      <c r="V2653" s="7">
        <f>($C$14+($C$15-$C$14)/($D$15-$D$14)*(I2653-$D$14))/2</f>
      </c>
      <c r="W2653" s="7">
        <f>($B$22*I2653^4+$C$22*I2653^3+$D$22*I2653^2+$E$22*I2653+$F$22)/2</f>
      </c>
      <c r="X2653" s="7">
        <f>($W2653)*(T2653)</f>
      </c>
      <c r="Y2653" s="7">
        <f>($W2653)*(U2653)</f>
      </c>
      <c r="Z2653" s="7">
        <f>SQRT(X2653^2+Y2653^2)</f>
      </c>
      <c r="AA2653" s="7">
        <f>$K2653+$X2653</f>
      </c>
      <c r="AB2653" s="7">
        <f>$L2653+$Y2653</f>
      </c>
      <c r="AC2653" s="7">
        <f>$K2653-$X2653</f>
      </c>
      <c r="AD2653" s="7">
        <f>$L2653-$Y2653</f>
      </c>
      <c r="AE2653" s="7">
        <f>AA2653/39.3701</f>
      </c>
      <c r="AF2653" s="7">
        <f>AB2653/39.3701</f>
      </c>
      <c r="AG2653" s="7">
        <f>AC2653/39.3701</f>
      </c>
      <c r="AH2653" s="7">
        <f>AD2653/39.3701</f>
      </c>
      <c r="AI2653" s="1"/>
      <c r="AJ2653" s="1"/>
      <c r="AK2653" s="1"/>
      <c r="AL2653" s="1"/>
      <c r="AM2653" s="2"/>
      <c r="AN2653" s="1"/>
      <c r="AO2653" s="1"/>
      <c r="AP2653" s="1"/>
      <c r="AQ2653" s="1"/>
      <c r="AR2653" s="1"/>
      <c r="AS2653" s="1"/>
      <c r="AT2653" s="1"/>
      <c r="AU2653" s="1"/>
      <c r="AV2653" s="1"/>
      <c r="AW2653" s="1"/>
      <c r="AX2653" s="1"/>
      <c r="AY2653" s="1"/>
      <c r="AZ2653" s="1"/>
      <c r="BA2653" s="1"/>
      <c r="BB2653" s="1"/>
      <c r="BC2653" s="1"/>
      <c r="BD2653" s="1"/>
      <c r="BE2653" s="1"/>
    </row>
    <row x14ac:dyDescent="0.25" r="2654" customHeight="1" ht="18.75">
      <c r="A2654" s="1"/>
      <c r="B2654" s="2"/>
      <c r="C2654" s="2"/>
      <c r="D2654" s="2"/>
      <c r="E2654" s="2"/>
      <c r="F2654" s="2"/>
      <c r="G2654" s="1"/>
      <c r="H2654" s="1"/>
      <c r="I2654" s="7">
        <v>2.651</v>
      </c>
      <c r="J2654" s="7">
        <f>IF((I2654-ROUNDDOWN(I2654,0))=0, 0, (I2654-ROUNDDOWN(I2654,0)))</f>
      </c>
      <c r="K2654" s="7">
        <f>INDIRECT("C$"&amp;2+MIN(2,ROUNDDOWN(I2654,0))*3)*(-$J2654^3+3*$J2654^2-3*$J2654+1)+INDIRECT("C$"&amp;3+MIN(2,ROUNDDOWN(I2654,0))*3)*(3*$J2654^3-6*$J2654^2+3*$J2654)+INDIRECT("C$"&amp;4+MIN(2,ROUNDDOWN(I2654,0))*3)*(-3*$J2654^3+3*$J2654^2)+INDIRECT("C$"&amp;5+MIN(2,ROUNDDOWN(I2654,0))*3)*$J2654^3</f>
      </c>
      <c r="L2654" s="7">
        <f>INDIRECT("D$"&amp;2+MIN(2,ROUNDDOWN(I2654,0))*3)*(-$J2654^3+3*$J2654^2-3*$J2654+1)+INDIRECT("D$"&amp;3+MIN(2,ROUNDDOWN(I2654,0))*3)*(3*$J2654^3-6*$J2654^2+3*$J2654)+INDIRECT("D$"&amp;4+MIN(2,ROUNDDOWN(I2654,0))*3)*(-3*$J2654^3+3*$J2654^2)+INDIRECT("D$"&amp;5+MIN(2,ROUNDDOWN(I2654,0))*3)*$J2654^3</f>
      </c>
      <c r="M2654" s="7">
        <f>SQRT(K2654^2+L2654^2)</f>
      </c>
      <c r="N2654" s="7">
        <f>(K2655-K2653)</f>
      </c>
      <c r="O2654" s="7">
        <f>+(L2655-L2653)</f>
      </c>
      <c r="P2654" s="7">
        <f>SQRT(O2654^2+N2654^2)</f>
      </c>
      <c r="Q2654" s="7">
        <f>N2654/$P2654</f>
      </c>
      <c r="R2654" s="7">
        <f>O2654/$P2654</f>
      </c>
      <c r="S2654" s="7">
        <f>Q2654^2+R2654^2</f>
      </c>
      <c r="T2654" s="7">
        <f>-R2654</f>
      </c>
      <c r="U2654" s="7">
        <f>Q2654</f>
      </c>
      <c r="V2654" s="7">
        <f>($C$14+($C$15-$C$14)/($D$15-$D$14)*(I2654-$D$14))/2</f>
      </c>
      <c r="W2654" s="7">
        <f>($B$22*I2654^4+$C$22*I2654^3+$D$22*I2654^2+$E$22*I2654+$F$22)/2</f>
      </c>
      <c r="X2654" s="7">
        <f>($W2654)*(T2654)</f>
      </c>
      <c r="Y2654" s="7">
        <f>($W2654)*(U2654)</f>
      </c>
      <c r="Z2654" s="7">
        <f>SQRT(X2654^2+Y2654^2)</f>
      </c>
      <c r="AA2654" s="7">
        <f>$K2654+$X2654</f>
      </c>
      <c r="AB2654" s="7">
        <f>$L2654+$Y2654</f>
      </c>
      <c r="AC2654" s="7">
        <f>$K2654-$X2654</f>
      </c>
      <c r="AD2654" s="7">
        <f>$L2654-$Y2654</f>
      </c>
      <c r="AE2654" s="7">
        <f>AA2654/39.3701</f>
      </c>
      <c r="AF2654" s="7">
        <f>AB2654/39.3701</f>
      </c>
      <c r="AG2654" s="7">
        <f>AC2654/39.3701</f>
      </c>
      <c r="AH2654" s="7">
        <f>AD2654/39.3701</f>
      </c>
      <c r="AI2654" s="1"/>
      <c r="AJ2654" s="1"/>
      <c r="AK2654" s="1"/>
      <c r="AL2654" s="1"/>
      <c r="AM2654" s="2"/>
      <c r="AN2654" s="1"/>
      <c r="AO2654" s="1"/>
      <c r="AP2654" s="1"/>
      <c r="AQ2654" s="1"/>
      <c r="AR2654" s="1"/>
      <c r="AS2654" s="1"/>
      <c r="AT2654" s="1"/>
      <c r="AU2654" s="1"/>
      <c r="AV2654" s="1"/>
      <c r="AW2654" s="1"/>
      <c r="AX2654" s="1"/>
      <c r="AY2654" s="1"/>
      <c r="AZ2654" s="1"/>
      <c r="BA2654" s="1"/>
      <c r="BB2654" s="1"/>
      <c r="BC2654" s="1"/>
      <c r="BD2654" s="1"/>
      <c r="BE2654" s="1"/>
    </row>
    <row x14ac:dyDescent="0.25" r="2655" customHeight="1" ht="18.75">
      <c r="A2655" s="1"/>
      <c r="B2655" s="2"/>
      <c r="C2655" s="2"/>
      <c r="D2655" s="2"/>
      <c r="E2655" s="2"/>
      <c r="F2655" s="2"/>
      <c r="G2655" s="1"/>
      <c r="H2655" s="1"/>
      <c r="I2655" s="7">
        <v>2.652</v>
      </c>
      <c r="J2655" s="7">
        <f>IF((I2655-ROUNDDOWN(I2655,0))=0, 0, (I2655-ROUNDDOWN(I2655,0)))</f>
      </c>
      <c r="K2655" s="7">
        <f>INDIRECT("C$"&amp;2+MIN(2,ROUNDDOWN(I2655,0))*3)*(-$J2655^3+3*$J2655^2-3*$J2655+1)+INDIRECT("C$"&amp;3+MIN(2,ROUNDDOWN(I2655,0))*3)*(3*$J2655^3-6*$J2655^2+3*$J2655)+INDIRECT("C$"&amp;4+MIN(2,ROUNDDOWN(I2655,0))*3)*(-3*$J2655^3+3*$J2655^2)+INDIRECT("C$"&amp;5+MIN(2,ROUNDDOWN(I2655,0))*3)*$J2655^3</f>
      </c>
      <c r="L2655" s="7">
        <f>INDIRECT("D$"&amp;2+MIN(2,ROUNDDOWN(I2655,0))*3)*(-$J2655^3+3*$J2655^2-3*$J2655+1)+INDIRECT("D$"&amp;3+MIN(2,ROUNDDOWN(I2655,0))*3)*(3*$J2655^3-6*$J2655^2+3*$J2655)+INDIRECT("D$"&amp;4+MIN(2,ROUNDDOWN(I2655,0))*3)*(-3*$J2655^3+3*$J2655^2)+INDIRECT("D$"&amp;5+MIN(2,ROUNDDOWN(I2655,0))*3)*$J2655^3</f>
      </c>
      <c r="M2655" s="7">
        <f>SQRT(K2655^2+L2655^2)</f>
      </c>
      <c r="N2655" s="7">
        <f>(K2656-K2654)</f>
      </c>
      <c r="O2655" s="7">
        <f>+(L2656-L2654)</f>
      </c>
      <c r="P2655" s="7">
        <f>SQRT(O2655^2+N2655^2)</f>
      </c>
      <c r="Q2655" s="7">
        <f>N2655/$P2655</f>
      </c>
      <c r="R2655" s="7">
        <f>O2655/$P2655</f>
      </c>
      <c r="S2655" s="7">
        <f>Q2655^2+R2655^2</f>
      </c>
      <c r="T2655" s="7">
        <f>-R2655</f>
      </c>
      <c r="U2655" s="7">
        <f>Q2655</f>
      </c>
      <c r="V2655" s="7">
        <f>($C$14+($C$15-$C$14)/($D$15-$D$14)*(I2655-$D$14))/2</f>
      </c>
      <c r="W2655" s="7">
        <f>($B$22*I2655^4+$C$22*I2655^3+$D$22*I2655^2+$E$22*I2655+$F$22)/2</f>
      </c>
      <c r="X2655" s="7">
        <f>($W2655)*(T2655)</f>
      </c>
      <c r="Y2655" s="7">
        <f>($W2655)*(U2655)</f>
      </c>
      <c r="Z2655" s="7">
        <f>SQRT(X2655^2+Y2655^2)</f>
      </c>
      <c r="AA2655" s="7">
        <f>$K2655+$X2655</f>
      </c>
      <c r="AB2655" s="7">
        <f>$L2655+$Y2655</f>
      </c>
      <c r="AC2655" s="7">
        <f>$K2655-$X2655</f>
      </c>
      <c r="AD2655" s="7">
        <f>$L2655-$Y2655</f>
      </c>
      <c r="AE2655" s="7">
        <f>AA2655/39.3701</f>
      </c>
      <c r="AF2655" s="7">
        <f>AB2655/39.3701</f>
      </c>
      <c r="AG2655" s="7">
        <f>AC2655/39.3701</f>
      </c>
      <c r="AH2655" s="7">
        <f>AD2655/39.3701</f>
      </c>
      <c r="AI2655" s="1"/>
      <c r="AJ2655" s="1"/>
      <c r="AK2655" s="1"/>
      <c r="AL2655" s="1"/>
      <c r="AM2655" s="2"/>
      <c r="AN2655" s="1"/>
      <c r="AO2655" s="1"/>
      <c r="AP2655" s="1"/>
      <c r="AQ2655" s="1"/>
      <c r="AR2655" s="1"/>
      <c r="AS2655" s="1"/>
      <c r="AT2655" s="1"/>
      <c r="AU2655" s="1"/>
      <c r="AV2655" s="1"/>
      <c r="AW2655" s="1"/>
      <c r="AX2655" s="1"/>
      <c r="AY2655" s="1"/>
      <c r="AZ2655" s="1"/>
      <c r="BA2655" s="1"/>
      <c r="BB2655" s="1"/>
      <c r="BC2655" s="1"/>
      <c r="BD2655" s="1"/>
      <c r="BE2655" s="1"/>
    </row>
    <row x14ac:dyDescent="0.25" r="2656" customHeight="1" ht="18.75">
      <c r="A2656" s="1"/>
      <c r="B2656" s="2"/>
      <c r="C2656" s="2"/>
      <c r="D2656" s="2"/>
      <c r="E2656" s="2"/>
      <c r="F2656" s="2"/>
      <c r="G2656" s="1"/>
      <c r="H2656" s="1"/>
      <c r="I2656" s="7">
        <v>2.653</v>
      </c>
      <c r="J2656" s="7">
        <f>IF((I2656-ROUNDDOWN(I2656,0))=0, 0, (I2656-ROUNDDOWN(I2656,0)))</f>
      </c>
      <c r="K2656" s="7">
        <f>INDIRECT("C$"&amp;2+MIN(2,ROUNDDOWN(I2656,0))*3)*(-$J2656^3+3*$J2656^2-3*$J2656+1)+INDIRECT("C$"&amp;3+MIN(2,ROUNDDOWN(I2656,0))*3)*(3*$J2656^3-6*$J2656^2+3*$J2656)+INDIRECT("C$"&amp;4+MIN(2,ROUNDDOWN(I2656,0))*3)*(-3*$J2656^3+3*$J2656^2)+INDIRECT("C$"&amp;5+MIN(2,ROUNDDOWN(I2656,0))*3)*$J2656^3</f>
      </c>
      <c r="L2656" s="7">
        <f>INDIRECT("D$"&amp;2+MIN(2,ROUNDDOWN(I2656,0))*3)*(-$J2656^3+3*$J2656^2-3*$J2656+1)+INDIRECT("D$"&amp;3+MIN(2,ROUNDDOWN(I2656,0))*3)*(3*$J2656^3-6*$J2656^2+3*$J2656)+INDIRECT("D$"&amp;4+MIN(2,ROUNDDOWN(I2656,0))*3)*(-3*$J2656^3+3*$J2656^2)+INDIRECT("D$"&amp;5+MIN(2,ROUNDDOWN(I2656,0))*3)*$J2656^3</f>
      </c>
      <c r="M2656" s="7">
        <f>SQRT(K2656^2+L2656^2)</f>
      </c>
      <c r="N2656" s="7">
        <f>(K2657-K2655)</f>
      </c>
      <c r="O2656" s="7">
        <f>+(L2657-L2655)</f>
      </c>
      <c r="P2656" s="7">
        <f>SQRT(O2656^2+N2656^2)</f>
      </c>
      <c r="Q2656" s="7">
        <f>N2656/$P2656</f>
      </c>
      <c r="R2656" s="7">
        <f>O2656/$P2656</f>
      </c>
      <c r="S2656" s="7">
        <f>Q2656^2+R2656^2</f>
      </c>
      <c r="T2656" s="7">
        <f>-R2656</f>
      </c>
      <c r="U2656" s="7">
        <f>Q2656</f>
      </c>
      <c r="V2656" s="7">
        <f>($C$14+($C$15-$C$14)/($D$15-$D$14)*(I2656-$D$14))/2</f>
      </c>
      <c r="W2656" s="7">
        <f>($B$22*I2656^4+$C$22*I2656^3+$D$22*I2656^2+$E$22*I2656+$F$22)/2</f>
      </c>
      <c r="X2656" s="7">
        <f>($W2656)*(T2656)</f>
      </c>
      <c r="Y2656" s="7">
        <f>($W2656)*(U2656)</f>
      </c>
      <c r="Z2656" s="7">
        <f>SQRT(X2656^2+Y2656^2)</f>
      </c>
      <c r="AA2656" s="7">
        <f>$K2656+$X2656</f>
      </c>
      <c r="AB2656" s="7">
        <f>$L2656+$Y2656</f>
      </c>
      <c r="AC2656" s="7">
        <f>$K2656-$X2656</f>
      </c>
      <c r="AD2656" s="7">
        <f>$L2656-$Y2656</f>
      </c>
      <c r="AE2656" s="7">
        <f>AA2656/39.3701</f>
      </c>
      <c r="AF2656" s="7">
        <f>AB2656/39.3701</f>
      </c>
      <c r="AG2656" s="7">
        <f>AC2656/39.3701</f>
      </c>
      <c r="AH2656" s="7">
        <f>AD2656/39.3701</f>
      </c>
      <c r="AI2656" s="1"/>
      <c r="AJ2656" s="1"/>
      <c r="AK2656" s="1"/>
      <c r="AL2656" s="1"/>
      <c r="AM2656" s="2"/>
      <c r="AN2656" s="1"/>
      <c r="AO2656" s="1"/>
      <c r="AP2656" s="1"/>
      <c r="AQ2656" s="1"/>
      <c r="AR2656" s="1"/>
      <c r="AS2656" s="1"/>
      <c r="AT2656" s="1"/>
      <c r="AU2656" s="1"/>
      <c r="AV2656" s="1"/>
      <c r="AW2656" s="1"/>
      <c r="AX2656" s="1"/>
      <c r="AY2656" s="1"/>
      <c r="AZ2656" s="1"/>
      <c r="BA2656" s="1"/>
      <c r="BB2656" s="1"/>
      <c r="BC2656" s="1"/>
      <c r="BD2656" s="1"/>
      <c r="BE2656" s="1"/>
    </row>
    <row x14ac:dyDescent="0.25" r="2657" customHeight="1" ht="18.75">
      <c r="A2657" s="1"/>
      <c r="B2657" s="2"/>
      <c r="C2657" s="2"/>
      <c r="D2657" s="2"/>
      <c r="E2657" s="2"/>
      <c r="F2657" s="2"/>
      <c r="G2657" s="1"/>
      <c r="H2657" s="1"/>
      <c r="I2657" s="7">
        <v>2.654</v>
      </c>
      <c r="J2657" s="7">
        <f>IF((I2657-ROUNDDOWN(I2657,0))=0, 0, (I2657-ROUNDDOWN(I2657,0)))</f>
      </c>
      <c r="K2657" s="7">
        <f>INDIRECT("C$"&amp;2+MIN(2,ROUNDDOWN(I2657,0))*3)*(-$J2657^3+3*$J2657^2-3*$J2657+1)+INDIRECT("C$"&amp;3+MIN(2,ROUNDDOWN(I2657,0))*3)*(3*$J2657^3-6*$J2657^2+3*$J2657)+INDIRECT("C$"&amp;4+MIN(2,ROUNDDOWN(I2657,0))*3)*(-3*$J2657^3+3*$J2657^2)+INDIRECT("C$"&amp;5+MIN(2,ROUNDDOWN(I2657,0))*3)*$J2657^3</f>
      </c>
      <c r="L2657" s="7">
        <f>INDIRECT("D$"&amp;2+MIN(2,ROUNDDOWN(I2657,0))*3)*(-$J2657^3+3*$J2657^2-3*$J2657+1)+INDIRECT("D$"&amp;3+MIN(2,ROUNDDOWN(I2657,0))*3)*(3*$J2657^3-6*$J2657^2+3*$J2657)+INDIRECT("D$"&amp;4+MIN(2,ROUNDDOWN(I2657,0))*3)*(-3*$J2657^3+3*$J2657^2)+INDIRECT("D$"&amp;5+MIN(2,ROUNDDOWN(I2657,0))*3)*$J2657^3</f>
      </c>
      <c r="M2657" s="7">
        <f>SQRT(K2657^2+L2657^2)</f>
      </c>
      <c r="N2657" s="7">
        <f>(K2658-K2656)</f>
      </c>
      <c r="O2657" s="7">
        <f>+(L2658-L2656)</f>
      </c>
      <c r="P2657" s="7">
        <f>SQRT(O2657^2+N2657^2)</f>
      </c>
      <c r="Q2657" s="7">
        <f>N2657/$P2657</f>
      </c>
      <c r="R2657" s="7">
        <f>O2657/$P2657</f>
      </c>
      <c r="S2657" s="7">
        <f>Q2657^2+R2657^2</f>
      </c>
      <c r="T2657" s="7">
        <f>-R2657</f>
      </c>
      <c r="U2657" s="7">
        <f>Q2657</f>
      </c>
      <c r="V2657" s="7">
        <f>($C$14+($C$15-$C$14)/($D$15-$D$14)*(I2657-$D$14))/2</f>
      </c>
      <c r="W2657" s="7">
        <f>($B$22*I2657^4+$C$22*I2657^3+$D$22*I2657^2+$E$22*I2657+$F$22)/2</f>
      </c>
      <c r="X2657" s="7">
        <f>($W2657)*(T2657)</f>
      </c>
      <c r="Y2657" s="7">
        <f>($W2657)*(U2657)</f>
      </c>
      <c r="Z2657" s="7">
        <f>SQRT(X2657^2+Y2657^2)</f>
      </c>
      <c r="AA2657" s="7">
        <f>$K2657+$X2657</f>
      </c>
      <c r="AB2657" s="7">
        <f>$L2657+$Y2657</f>
      </c>
      <c r="AC2657" s="7">
        <f>$K2657-$X2657</f>
      </c>
      <c r="AD2657" s="7">
        <f>$L2657-$Y2657</f>
      </c>
      <c r="AE2657" s="7">
        <f>AA2657/39.3701</f>
      </c>
      <c r="AF2657" s="7">
        <f>AB2657/39.3701</f>
      </c>
      <c r="AG2657" s="7">
        <f>AC2657/39.3701</f>
      </c>
      <c r="AH2657" s="7">
        <f>AD2657/39.3701</f>
      </c>
      <c r="AI2657" s="1"/>
      <c r="AJ2657" s="1"/>
      <c r="AK2657" s="1"/>
      <c r="AL2657" s="1"/>
      <c r="AM2657" s="2"/>
      <c r="AN2657" s="1"/>
      <c r="AO2657" s="1"/>
      <c r="AP2657" s="1"/>
      <c r="AQ2657" s="1"/>
      <c r="AR2657" s="1"/>
      <c r="AS2657" s="1"/>
      <c r="AT2657" s="1"/>
      <c r="AU2657" s="1"/>
      <c r="AV2657" s="1"/>
      <c r="AW2657" s="1"/>
      <c r="AX2657" s="1"/>
      <c r="AY2657" s="1"/>
      <c r="AZ2657" s="1"/>
      <c r="BA2657" s="1"/>
      <c r="BB2657" s="1"/>
      <c r="BC2657" s="1"/>
      <c r="BD2657" s="1"/>
      <c r="BE2657" s="1"/>
    </row>
    <row x14ac:dyDescent="0.25" r="2658" customHeight="1" ht="18.75">
      <c r="A2658" s="1"/>
      <c r="B2658" s="2"/>
      <c r="C2658" s="2"/>
      <c r="D2658" s="2"/>
      <c r="E2658" s="2"/>
      <c r="F2658" s="2"/>
      <c r="G2658" s="1"/>
      <c r="H2658" s="1"/>
      <c r="I2658" s="7">
        <v>2.655</v>
      </c>
      <c r="J2658" s="7">
        <f>IF((I2658-ROUNDDOWN(I2658,0))=0, 0, (I2658-ROUNDDOWN(I2658,0)))</f>
      </c>
      <c r="K2658" s="7">
        <f>INDIRECT("C$"&amp;2+MIN(2,ROUNDDOWN(I2658,0))*3)*(-$J2658^3+3*$J2658^2-3*$J2658+1)+INDIRECT("C$"&amp;3+MIN(2,ROUNDDOWN(I2658,0))*3)*(3*$J2658^3-6*$J2658^2+3*$J2658)+INDIRECT("C$"&amp;4+MIN(2,ROUNDDOWN(I2658,0))*3)*(-3*$J2658^3+3*$J2658^2)+INDIRECT("C$"&amp;5+MIN(2,ROUNDDOWN(I2658,0))*3)*$J2658^3</f>
      </c>
      <c r="L2658" s="7">
        <f>INDIRECT("D$"&amp;2+MIN(2,ROUNDDOWN(I2658,0))*3)*(-$J2658^3+3*$J2658^2-3*$J2658+1)+INDIRECT("D$"&amp;3+MIN(2,ROUNDDOWN(I2658,0))*3)*(3*$J2658^3-6*$J2658^2+3*$J2658)+INDIRECT("D$"&amp;4+MIN(2,ROUNDDOWN(I2658,0))*3)*(-3*$J2658^3+3*$J2658^2)+INDIRECT("D$"&amp;5+MIN(2,ROUNDDOWN(I2658,0))*3)*$J2658^3</f>
      </c>
      <c r="M2658" s="7">
        <f>SQRT(K2658^2+L2658^2)</f>
      </c>
      <c r="N2658" s="7">
        <f>(K2659-K2657)</f>
      </c>
      <c r="O2658" s="7">
        <f>+(L2659-L2657)</f>
      </c>
      <c r="P2658" s="7">
        <f>SQRT(O2658^2+N2658^2)</f>
      </c>
      <c r="Q2658" s="7">
        <f>N2658/$P2658</f>
      </c>
      <c r="R2658" s="7">
        <f>O2658/$P2658</f>
      </c>
      <c r="S2658" s="7">
        <f>Q2658^2+R2658^2</f>
      </c>
      <c r="T2658" s="7">
        <f>-R2658</f>
      </c>
      <c r="U2658" s="7">
        <f>Q2658</f>
      </c>
      <c r="V2658" s="7">
        <f>($C$14+($C$15-$C$14)/($D$15-$D$14)*(I2658-$D$14))/2</f>
      </c>
      <c r="W2658" s="7">
        <f>($B$22*I2658^4+$C$22*I2658^3+$D$22*I2658^2+$E$22*I2658+$F$22)/2</f>
      </c>
      <c r="X2658" s="7">
        <f>($W2658)*(T2658)</f>
      </c>
      <c r="Y2658" s="7">
        <f>($W2658)*(U2658)</f>
      </c>
      <c r="Z2658" s="7">
        <f>SQRT(X2658^2+Y2658^2)</f>
      </c>
      <c r="AA2658" s="7">
        <f>$K2658+$X2658</f>
      </c>
      <c r="AB2658" s="7">
        <f>$L2658+$Y2658</f>
      </c>
      <c r="AC2658" s="7">
        <f>$K2658-$X2658</f>
      </c>
      <c r="AD2658" s="7">
        <f>$L2658-$Y2658</f>
      </c>
      <c r="AE2658" s="7">
        <f>AA2658/39.3701</f>
      </c>
      <c r="AF2658" s="7">
        <f>AB2658/39.3701</f>
      </c>
      <c r="AG2658" s="7">
        <f>AC2658/39.3701</f>
      </c>
      <c r="AH2658" s="7">
        <f>AD2658/39.3701</f>
      </c>
      <c r="AI2658" s="1"/>
      <c r="AJ2658" s="1"/>
      <c r="AK2658" s="1"/>
      <c r="AL2658" s="1"/>
      <c r="AM2658" s="2"/>
      <c r="AN2658" s="1"/>
      <c r="AO2658" s="1"/>
      <c r="AP2658" s="1"/>
      <c r="AQ2658" s="1"/>
      <c r="AR2658" s="1"/>
      <c r="AS2658" s="1"/>
      <c r="AT2658" s="1"/>
      <c r="AU2658" s="1"/>
      <c r="AV2658" s="1"/>
      <c r="AW2658" s="1"/>
      <c r="AX2658" s="1"/>
      <c r="AY2658" s="1"/>
      <c r="AZ2658" s="1"/>
      <c r="BA2658" s="1"/>
      <c r="BB2658" s="1"/>
      <c r="BC2658" s="1"/>
      <c r="BD2658" s="1"/>
      <c r="BE2658" s="1"/>
    </row>
    <row x14ac:dyDescent="0.25" r="2659" customHeight="1" ht="18.75">
      <c r="A2659" s="1"/>
      <c r="B2659" s="2"/>
      <c r="C2659" s="2"/>
      <c r="D2659" s="2"/>
      <c r="E2659" s="2"/>
      <c r="F2659" s="2"/>
      <c r="G2659" s="1"/>
      <c r="H2659" s="1"/>
      <c r="I2659" s="7">
        <v>2.656</v>
      </c>
      <c r="J2659" s="7">
        <f>IF((I2659-ROUNDDOWN(I2659,0))=0, 0, (I2659-ROUNDDOWN(I2659,0)))</f>
      </c>
      <c r="K2659" s="7">
        <f>INDIRECT("C$"&amp;2+MIN(2,ROUNDDOWN(I2659,0))*3)*(-$J2659^3+3*$J2659^2-3*$J2659+1)+INDIRECT("C$"&amp;3+MIN(2,ROUNDDOWN(I2659,0))*3)*(3*$J2659^3-6*$J2659^2+3*$J2659)+INDIRECT("C$"&amp;4+MIN(2,ROUNDDOWN(I2659,0))*3)*(-3*$J2659^3+3*$J2659^2)+INDIRECT("C$"&amp;5+MIN(2,ROUNDDOWN(I2659,0))*3)*$J2659^3</f>
      </c>
      <c r="L2659" s="7">
        <f>INDIRECT("D$"&amp;2+MIN(2,ROUNDDOWN(I2659,0))*3)*(-$J2659^3+3*$J2659^2-3*$J2659+1)+INDIRECT("D$"&amp;3+MIN(2,ROUNDDOWN(I2659,0))*3)*(3*$J2659^3-6*$J2659^2+3*$J2659)+INDIRECT("D$"&amp;4+MIN(2,ROUNDDOWN(I2659,0))*3)*(-3*$J2659^3+3*$J2659^2)+INDIRECT("D$"&amp;5+MIN(2,ROUNDDOWN(I2659,0))*3)*$J2659^3</f>
      </c>
      <c r="M2659" s="7">
        <f>SQRT(K2659^2+L2659^2)</f>
      </c>
      <c r="N2659" s="7">
        <f>(K2660-K2658)</f>
      </c>
      <c r="O2659" s="7">
        <f>+(L2660-L2658)</f>
      </c>
      <c r="P2659" s="7">
        <f>SQRT(O2659^2+N2659^2)</f>
      </c>
      <c r="Q2659" s="7">
        <f>N2659/$P2659</f>
      </c>
      <c r="R2659" s="7">
        <f>O2659/$P2659</f>
      </c>
      <c r="S2659" s="8">
        <f>Q2659^2+R2659^2</f>
      </c>
      <c r="T2659" s="7">
        <f>-R2659</f>
      </c>
      <c r="U2659" s="7">
        <f>Q2659</f>
      </c>
      <c r="V2659" s="7">
        <f>($C$14+($C$15-$C$14)/($D$15-$D$14)*(I2659-$D$14))/2</f>
      </c>
      <c r="W2659" s="7">
        <f>($B$22*I2659^4+$C$22*I2659^3+$D$22*I2659^2+$E$22*I2659+$F$22)/2</f>
      </c>
      <c r="X2659" s="7">
        <f>($W2659)*(T2659)</f>
      </c>
      <c r="Y2659" s="7">
        <f>($W2659)*(U2659)</f>
      </c>
      <c r="Z2659" s="7">
        <f>SQRT(X2659^2+Y2659^2)</f>
      </c>
      <c r="AA2659" s="7">
        <f>$K2659+$X2659</f>
      </c>
      <c r="AB2659" s="7">
        <f>$L2659+$Y2659</f>
      </c>
      <c r="AC2659" s="7">
        <f>$K2659-$X2659</f>
      </c>
      <c r="AD2659" s="7">
        <f>$L2659-$Y2659</f>
      </c>
      <c r="AE2659" s="7">
        <f>AA2659/39.3701</f>
      </c>
      <c r="AF2659" s="7">
        <f>AB2659/39.3701</f>
      </c>
      <c r="AG2659" s="7">
        <f>AC2659/39.3701</f>
      </c>
      <c r="AH2659" s="7">
        <f>AD2659/39.3701</f>
      </c>
      <c r="AI2659" s="1"/>
      <c r="AJ2659" s="1"/>
      <c r="AK2659" s="1"/>
      <c r="AL2659" s="1"/>
      <c r="AM2659" s="2"/>
      <c r="AN2659" s="1"/>
      <c r="AO2659" s="1"/>
      <c r="AP2659" s="1"/>
      <c r="AQ2659" s="1"/>
      <c r="AR2659" s="1"/>
      <c r="AS2659" s="1"/>
      <c r="AT2659" s="1"/>
      <c r="AU2659" s="1"/>
      <c r="AV2659" s="1"/>
      <c r="AW2659" s="1"/>
      <c r="AX2659" s="1"/>
      <c r="AY2659" s="1"/>
      <c r="AZ2659" s="1"/>
      <c r="BA2659" s="1"/>
      <c r="BB2659" s="1"/>
      <c r="BC2659" s="1"/>
      <c r="BD2659" s="1"/>
      <c r="BE2659" s="1"/>
    </row>
    <row x14ac:dyDescent="0.25" r="2660" customHeight="1" ht="18.75">
      <c r="A2660" s="1"/>
      <c r="B2660" s="2"/>
      <c r="C2660" s="2"/>
      <c r="D2660" s="2"/>
      <c r="E2660" s="2"/>
      <c r="F2660" s="2"/>
      <c r="G2660" s="1"/>
      <c r="H2660" s="1"/>
      <c r="I2660" s="7">
        <v>2.657</v>
      </c>
      <c r="J2660" s="7">
        <f>IF((I2660-ROUNDDOWN(I2660,0))=0, 0, (I2660-ROUNDDOWN(I2660,0)))</f>
      </c>
      <c r="K2660" s="7">
        <f>INDIRECT("C$"&amp;2+MIN(2,ROUNDDOWN(I2660,0))*3)*(-$J2660^3+3*$J2660^2-3*$J2660+1)+INDIRECT("C$"&amp;3+MIN(2,ROUNDDOWN(I2660,0))*3)*(3*$J2660^3-6*$J2660^2+3*$J2660)+INDIRECT("C$"&amp;4+MIN(2,ROUNDDOWN(I2660,0))*3)*(-3*$J2660^3+3*$J2660^2)+INDIRECT("C$"&amp;5+MIN(2,ROUNDDOWN(I2660,0))*3)*$J2660^3</f>
      </c>
      <c r="L2660" s="7">
        <f>INDIRECT("D$"&amp;2+MIN(2,ROUNDDOWN(I2660,0))*3)*(-$J2660^3+3*$J2660^2-3*$J2660+1)+INDIRECT("D$"&amp;3+MIN(2,ROUNDDOWN(I2660,0))*3)*(3*$J2660^3-6*$J2660^2+3*$J2660)+INDIRECT("D$"&amp;4+MIN(2,ROUNDDOWN(I2660,0))*3)*(-3*$J2660^3+3*$J2660^2)+INDIRECT("D$"&amp;5+MIN(2,ROUNDDOWN(I2660,0))*3)*$J2660^3</f>
      </c>
      <c r="M2660" s="7">
        <f>SQRT(K2660^2+L2660^2)</f>
      </c>
      <c r="N2660" s="7">
        <f>(K2661-K2659)</f>
      </c>
      <c r="O2660" s="7">
        <f>+(L2661-L2659)</f>
      </c>
      <c r="P2660" s="7">
        <f>SQRT(O2660^2+N2660^2)</f>
      </c>
      <c r="Q2660" s="7">
        <f>N2660/$P2660</f>
      </c>
      <c r="R2660" s="7">
        <f>O2660/$P2660</f>
      </c>
      <c r="S2660" s="7">
        <f>Q2660^2+R2660^2</f>
      </c>
      <c r="T2660" s="7">
        <f>-R2660</f>
      </c>
      <c r="U2660" s="7">
        <f>Q2660</f>
      </c>
      <c r="V2660" s="7">
        <f>($C$14+($C$15-$C$14)/($D$15-$D$14)*(I2660-$D$14))/2</f>
      </c>
      <c r="W2660" s="7">
        <f>($B$22*I2660^4+$C$22*I2660^3+$D$22*I2660^2+$E$22*I2660+$F$22)/2</f>
      </c>
      <c r="X2660" s="7">
        <f>($W2660)*(T2660)</f>
      </c>
      <c r="Y2660" s="7">
        <f>($W2660)*(U2660)</f>
      </c>
      <c r="Z2660" s="7">
        <f>SQRT(X2660^2+Y2660^2)</f>
      </c>
      <c r="AA2660" s="7">
        <f>$K2660+$X2660</f>
      </c>
      <c r="AB2660" s="7">
        <f>$L2660+$Y2660</f>
      </c>
      <c r="AC2660" s="7">
        <f>$K2660-$X2660</f>
      </c>
      <c r="AD2660" s="7">
        <f>$L2660-$Y2660</f>
      </c>
      <c r="AE2660" s="7">
        <f>AA2660/39.3701</f>
      </c>
      <c r="AF2660" s="7">
        <f>AB2660/39.3701</f>
      </c>
      <c r="AG2660" s="7">
        <f>AC2660/39.3701</f>
      </c>
      <c r="AH2660" s="7">
        <f>AD2660/39.3701</f>
      </c>
      <c r="AI2660" s="1"/>
      <c r="AJ2660" s="1"/>
      <c r="AK2660" s="1"/>
      <c r="AL2660" s="1"/>
      <c r="AM2660" s="2"/>
      <c r="AN2660" s="1"/>
      <c r="AO2660" s="1"/>
      <c r="AP2660" s="1"/>
      <c r="AQ2660" s="1"/>
      <c r="AR2660" s="1"/>
      <c r="AS2660" s="1"/>
      <c r="AT2660" s="1"/>
      <c r="AU2660" s="1"/>
      <c r="AV2660" s="1"/>
      <c r="AW2660" s="1"/>
      <c r="AX2660" s="1"/>
      <c r="AY2660" s="1"/>
      <c r="AZ2660" s="1"/>
      <c r="BA2660" s="1"/>
      <c r="BB2660" s="1"/>
      <c r="BC2660" s="1"/>
      <c r="BD2660" s="1"/>
      <c r="BE2660" s="1"/>
    </row>
    <row x14ac:dyDescent="0.25" r="2661" customHeight="1" ht="18.75">
      <c r="A2661" s="1"/>
      <c r="B2661" s="2"/>
      <c r="C2661" s="2"/>
      <c r="D2661" s="2"/>
      <c r="E2661" s="2"/>
      <c r="F2661" s="2"/>
      <c r="G2661" s="1"/>
      <c r="H2661" s="1"/>
      <c r="I2661" s="7">
        <v>2.658</v>
      </c>
      <c r="J2661" s="7">
        <f>IF((I2661-ROUNDDOWN(I2661,0))=0, 0, (I2661-ROUNDDOWN(I2661,0)))</f>
      </c>
      <c r="K2661" s="7">
        <f>INDIRECT("C$"&amp;2+MIN(2,ROUNDDOWN(I2661,0))*3)*(-$J2661^3+3*$J2661^2-3*$J2661+1)+INDIRECT("C$"&amp;3+MIN(2,ROUNDDOWN(I2661,0))*3)*(3*$J2661^3-6*$J2661^2+3*$J2661)+INDIRECT("C$"&amp;4+MIN(2,ROUNDDOWN(I2661,0))*3)*(-3*$J2661^3+3*$J2661^2)+INDIRECT("C$"&amp;5+MIN(2,ROUNDDOWN(I2661,0))*3)*$J2661^3</f>
      </c>
      <c r="L2661" s="7">
        <f>INDIRECT("D$"&amp;2+MIN(2,ROUNDDOWN(I2661,0))*3)*(-$J2661^3+3*$J2661^2-3*$J2661+1)+INDIRECT("D$"&amp;3+MIN(2,ROUNDDOWN(I2661,0))*3)*(3*$J2661^3-6*$J2661^2+3*$J2661)+INDIRECT("D$"&amp;4+MIN(2,ROUNDDOWN(I2661,0))*3)*(-3*$J2661^3+3*$J2661^2)+INDIRECT("D$"&amp;5+MIN(2,ROUNDDOWN(I2661,0))*3)*$J2661^3</f>
      </c>
      <c r="M2661" s="7">
        <f>SQRT(K2661^2+L2661^2)</f>
      </c>
      <c r="N2661" s="7">
        <f>(K2662-K2660)</f>
      </c>
      <c r="O2661" s="7">
        <f>+(L2662-L2660)</f>
      </c>
      <c r="P2661" s="7">
        <f>SQRT(O2661^2+N2661^2)</f>
      </c>
      <c r="Q2661" s="7">
        <f>N2661/$P2661</f>
      </c>
      <c r="R2661" s="7">
        <f>O2661/$P2661</f>
      </c>
      <c r="S2661" s="8">
        <f>Q2661^2+R2661^2</f>
      </c>
      <c r="T2661" s="7">
        <f>-R2661</f>
      </c>
      <c r="U2661" s="7">
        <f>Q2661</f>
      </c>
      <c r="V2661" s="7">
        <f>($C$14+($C$15-$C$14)/($D$15-$D$14)*(I2661-$D$14))/2</f>
      </c>
      <c r="W2661" s="7">
        <f>($B$22*I2661^4+$C$22*I2661^3+$D$22*I2661^2+$E$22*I2661+$F$22)/2</f>
      </c>
      <c r="X2661" s="7">
        <f>($W2661)*(T2661)</f>
      </c>
      <c r="Y2661" s="7">
        <f>($W2661)*(U2661)</f>
      </c>
      <c r="Z2661" s="7">
        <f>SQRT(X2661^2+Y2661^2)</f>
      </c>
      <c r="AA2661" s="7">
        <f>$K2661+$X2661</f>
      </c>
      <c r="AB2661" s="7">
        <f>$L2661+$Y2661</f>
      </c>
      <c r="AC2661" s="7">
        <f>$K2661-$X2661</f>
      </c>
      <c r="AD2661" s="7">
        <f>$L2661-$Y2661</f>
      </c>
      <c r="AE2661" s="7">
        <f>AA2661/39.3701</f>
      </c>
      <c r="AF2661" s="7">
        <f>AB2661/39.3701</f>
      </c>
      <c r="AG2661" s="7">
        <f>AC2661/39.3701</f>
      </c>
      <c r="AH2661" s="7">
        <f>AD2661/39.3701</f>
      </c>
      <c r="AI2661" s="1"/>
      <c r="AJ2661" s="1"/>
      <c r="AK2661" s="1"/>
      <c r="AL2661" s="1"/>
      <c r="AM2661" s="2"/>
      <c r="AN2661" s="1"/>
      <c r="AO2661" s="1"/>
      <c r="AP2661" s="1"/>
      <c r="AQ2661" s="1"/>
      <c r="AR2661" s="1"/>
      <c r="AS2661" s="1"/>
      <c r="AT2661" s="1"/>
      <c r="AU2661" s="1"/>
      <c r="AV2661" s="1"/>
      <c r="AW2661" s="1"/>
      <c r="AX2661" s="1"/>
      <c r="AY2661" s="1"/>
      <c r="AZ2661" s="1"/>
      <c r="BA2661" s="1"/>
      <c r="BB2661" s="1"/>
      <c r="BC2661" s="1"/>
      <c r="BD2661" s="1"/>
      <c r="BE2661" s="1"/>
    </row>
    <row x14ac:dyDescent="0.25" r="2662" customHeight="1" ht="18.75">
      <c r="A2662" s="1"/>
      <c r="B2662" s="2"/>
      <c r="C2662" s="2"/>
      <c r="D2662" s="2"/>
      <c r="E2662" s="2"/>
      <c r="F2662" s="2"/>
      <c r="G2662" s="1"/>
      <c r="H2662" s="1"/>
      <c r="I2662" s="7">
        <v>2.659</v>
      </c>
      <c r="J2662" s="7">
        <f>IF((I2662-ROUNDDOWN(I2662,0))=0, 0, (I2662-ROUNDDOWN(I2662,0)))</f>
      </c>
      <c r="K2662" s="7">
        <f>INDIRECT("C$"&amp;2+MIN(2,ROUNDDOWN(I2662,0))*3)*(-$J2662^3+3*$J2662^2-3*$J2662+1)+INDIRECT("C$"&amp;3+MIN(2,ROUNDDOWN(I2662,0))*3)*(3*$J2662^3-6*$J2662^2+3*$J2662)+INDIRECT("C$"&amp;4+MIN(2,ROUNDDOWN(I2662,0))*3)*(-3*$J2662^3+3*$J2662^2)+INDIRECT("C$"&amp;5+MIN(2,ROUNDDOWN(I2662,0))*3)*$J2662^3</f>
      </c>
      <c r="L2662" s="7">
        <f>INDIRECT("D$"&amp;2+MIN(2,ROUNDDOWN(I2662,0))*3)*(-$J2662^3+3*$J2662^2-3*$J2662+1)+INDIRECT("D$"&amp;3+MIN(2,ROUNDDOWN(I2662,0))*3)*(3*$J2662^3-6*$J2662^2+3*$J2662)+INDIRECT("D$"&amp;4+MIN(2,ROUNDDOWN(I2662,0))*3)*(-3*$J2662^3+3*$J2662^2)+INDIRECT("D$"&amp;5+MIN(2,ROUNDDOWN(I2662,0))*3)*$J2662^3</f>
      </c>
      <c r="M2662" s="7">
        <f>SQRT(K2662^2+L2662^2)</f>
      </c>
      <c r="N2662" s="7">
        <f>(K2663-K2661)</f>
      </c>
      <c r="O2662" s="7">
        <f>+(L2663-L2661)</f>
      </c>
      <c r="P2662" s="7">
        <f>SQRT(O2662^2+N2662^2)</f>
      </c>
      <c r="Q2662" s="7">
        <f>N2662/$P2662</f>
      </c>
      <c r="R2662" s="7">
        <f>O2662/$P2662</f>
      </c>
      <c r="S2662" s="7">
        <f>Q2662^2+R2662^2</f>
      </c>
      <c r="T2662" s="7">
        <f>-R2662</f>
      </c>
      <c r="U2662" s="7">
        <f>Q2662</f>
      </c>
      <c r="V2662" s="7">
        <f>($C$14+($C$15-$C$14)/($D$15-$D$14)*(I2662-$D$14))/2</f>
      </c>
      <c r="W2662" s="7">
        <f>($B$22*I2662^4+$C$22*I2662^3+$D$22*I2662^2+$E$22*I2662+$F$22)/2</f>
      </c>
      <c r="X2662" s="7">
        <f>($W2662)*(T2662)</f>
      </c>
      <c r="Y2662" s="7">
        <f>($W2662)*(U2662)</f>
      </c>
      <c r="Z2662" s="7">
        <f>SQRT(X2662^2+Y2662^2)</f>
      </c>
      <c r="AA2662" s="7">
        <f>$K2662+$X2662</f>
      </c>
      <c r="AB2662" s="7">
        <f>$L2662+$Y2662</f>
      </c>
      <c r="AC2662" s="7">
        <f>$K2662-$X2662</f>
      </c>
      <c r="AD2662" s="7">
        <f>$L2662-$Y2662</f>
      </c>
      <c r="AE2662" s="7">
        <f>AA2662/39.3701</f>
      </c>
      <c r="AF2662" s="7">
        <f>AB2662/39.3701</f>
      </c>
      <c r="AG2662" s="7">
        <f>AC2662/39.3701</f>
      </c>
      <c r="AH2662" s="7">
        <f>AD2662/39.3701</f>
      </c>
      <c r="AI2662" s="1"/>
      <c r="AJ2662" s="1"/>
      <c r="AK2662" s="1"/>
      <c r="AL2662" s="1"/>
      <c r="AM2662" s="2"/>
      <c r="AN2662" s="1"/>
      <c r="AO2662" s="1"/>
      <c r="AP2662" s="1"/>
      <c r="AQ2662" s="1"/>
      <c r="AR2662" s="1"/>
      <c r="AS2662" s="1"/>
      <c r="AT2662" s="1"/>
      <c r="AU2662" s="1"/>
      <c r="AV2662" s="1"/>
      <c r="AW2662" s="1"/>
      <c r="AX2662" s="1"/>
      <c r="AY2662" s="1"/>
      <c r="AZ2662" s="1"/>
      <c r="BA2662" s="1"/>
      <c r="BB2662" s="1"/>
      <c r="BC2662" s="1"/>
      <c r="BD2662" s="1"/>
      <c r="BE2662" s="1"/>
    </row>
    <row x14ac:dyDescent="0.25" r="2663" customHeight="1" ht="18.75">
      <c r="A2663" s="1"/>
      <c r="B2663" s="2"/>
      <c r="C2663" s="2"/>
      <c r="D2663" s="2"/>
      <c r="E2663" s="2"/>
      <c r="F2663" s="2"/>
      <c r="G2663" s="1"/>
      <c r="H2663" s="1"/>
      <c r="I2663" s="7">
        <v>2.66</v>
      </c>
      <c r="J2663" s="7">
        <f>IF((I2663-ROUNDDOWN(I2663,0))=0, 0, (I2663-ROUNDDOWN(I2663,0)))</f>
      </c>
      <c r="K2663" s="7">
        <f>INDIRECT("C$"&amp;2+MIN(2,ROUNDDOWN(I2663,0))*3)*(-$J2663^3+3*$J2663^2-3*$J2663+1)+INDIRECT("C$"&amp;3+MIN(2,ROUNDDOWN(I2663,0))*3)*(3*$J2663^3-6*$J2663^2+3*$J2663)+INDIRECT("C$"&amp;4+MIN(2,ROUNDDOWN(I2663,0))*3)*(-3*$J2663^3+3*$J2663^2)+INDIRECT("C$"&amp;5+MIN(2,ROUNDDOWN(I2663,0))*3)*$J2663^3</f>
      </c>
      <c r="L2663" s="7">
        <f>INDIRECT("D$"&amp;2+MIN(2,ROUNDDOWN(I2663,0))*3)*(-$J2663^3+3*$J2663^2-3*$J2663+1)+INDIRECT("D$"&amp;3+MIN(2,ROUNDDOWN(I2663,0))*3)*(3*$J2663^3-6*$J2663^2+3*$J2663)+INDIRECT("D$"&amp;4+MIN(2,ROUNDDOWN(I2663,0))*3)*(-3*$J2663^3+3*$J2663^2)+INDIRECT("D$"&amp;5+MIN(2,ROUNDDOWN(I2663,0))*3)*$J2663^3</f>
      </c>
      <c r="M2663" s="7">
        <f>SQRT(K2663^2+L2663^2)</f>
      </c>
      <c r="N2663" s="7">
        <f>(K2664-K2662)</f>
      </c>
      <c r="O2663" s="7">
        <f>+(L2664-L2662)</f>
      </c>
      <c r="P2663" s="7">
        <f>SQRT(O2663^2+N2663^2)</f>
      </c>
      <c r="Q2663" s="7">
        <f>N2663/$P2663</f>
      </c>
      <c r="R2663" s="7">
        <f>O2663/$P2663</f>
      </c>
      <c r="S2663" s="7">
        <f>Q2663^2+R2663^2</f>
      </c>
      <c r="T2663" s="7">
        <f>-R2663</f>
      </c>
      <c r="U2663" s="7">
        <f>Q2663</f>
      </c>
      <c r="V2663" s="7">
        <f>($C$14+($C$15-$C$14)/($D$15-$D$14)*(I2663-$D$14))/2</f>
      </c>
      <c r="W2663" s="7">
        <f>($B$22*I2663^4+$C$22*I2663^3+$D$22*I2663^2+$E$22*I2663+$F$22)/2</f>
      </c>
      <c r="X2663" s="7">
        <f>($W2663)*(T2663)</f>
      </c>
      <c r="Y2663" s="7">
        <f>($W2663)*(U2663)</f>
      </c>
      <c r="Z2663" s="7">
        <f>SQRT(X2663^2+Y2663^2)</f>
      </c>
      <c r="AA2663" s="7">
        <f>$K2663+$X2663</f>
      </c>
      <c r="AB2663" s="7">
        <f>$L2663+$Y2663</f>
      </c>
      <c r="AC2663" s="7">
        <f>$K2663-$X2663</f>
      </c>
      <c r="AD2663" s="7">
        <f>$L2663-$Y2663</f>
      </c>
      <c r="AE2663" s="7">
        <f>AA2663/39.3701</f>
      </c>
      <c r="AF2663" s="7">
        <f>AB2663/39.3701</f>
      </c>
      <c r="AG2663" s="7">
        <f>AC2663/39.3701</f>
      </c>
      <c r="AH2663" s="7">
        <f>AD2663/39.3701</f>
      </c>
      <c r="AI2663" s="1"/>
      <c r="AJ2663" s="1"/>
      <c r="AK2663" s="1"/>
      <c r="AL2663" s="1"/>
      <c r="AM2663" s="2"/>
      <c r="AN2663" s="1"/>
      <c r="AO2663" s="1"/>
      <c r="AP2663" s="1"/>
      <c r="AQ2663" s="1"/>
      <c r="AR2663" s="1"/>
      <c r="AS2663" s="1"/>
      <c r="AT2663" s="1"/>
      <c r="AU2663" s="1"/>
      <c r="AV2663" s="1"/>
      <c r="AW2663" s="1"/>
      <c r="AX2663" s="1"/>
      <c r="AY2663" s="1"/>
      <c r="AZ2663" s="1"/>
      <c r="BA2663" s="1"/>
      <c r="BB2663" s="1"/>
      <c r="BC2663" s="1"/>
      <c r="BD2663" s="1"/>
      <c r="BE2663" s="1"/>
    </row>
    <row x14ac:dyDescent="0.25" r="2664" customHeight="1" ht="18.75">
      <c r="A2664" s="1"/>
      <c r="B2664" s="2"/>
      <c r="C2664" s="2"/>
      <c r="D2664" s="2"/>
      <c r="E2664" s="2"/>
      <c r="F2664" s="2"/>
      <c r="G2664" s="1"/>
      <c r="H2664" s="1"/>
      <c r="I2664" s="7">
        <v>2.661</v>
      </c>
      <c r="J2664" s="7">
        <f>IF((I2664-ROUNDDOWN(I2664,0))=0, 0, (I2664-ROUNDDOWN(I2664,0)))</f>
      </c>
      <c r="K2664" s="7">
        <f>INDIRECT("C$"&amp;2+MIN(2,ROUNDDOWN(I2664,0))*3)*(-$J2664^3+3*$J2664^2-3*$J2664+1)+INDIRECT("C$"&amp;3+MIN(2,ROUNDDOWN(I2664,0))*3)*(3*$J2664^3-6*$J2664^2+3*$J2664)+INDIRECT("C$"&amp;4+MIN(2,ROUNDDOWN(I2664,0))*3)*(-3*$J2664^3+3*$J2664^2)+INDIRECT("C$"&amp;5+MIN(2,ROUNDDOWN(I2664,0))*3)*$J2664^3</f>
      </c>
      <c r="L2664" s="7">
        <f>INDIRECT("D$"&amp;2+MIN(2,ROUNDDOWN(I2664,0))*3)*(-$J2664^3+3*$J2664^2-3*$J2664+1)+INDIRECT("D$"&amp;3+MIN(2,ROUNDDOWN(I2664,0))*3)*(3*$J2664^3-6*$J2664^2+3*$J2664)+INDIRECT("D$"&amp;4+MIN(2,ROUNDDOWN(I2664,0))*3)*(-3*$J2664^3+3*$J2664^2)+INDIRECT("D$"&amp;5+MIN(2,ROUNDDOWN(I2664,0))*3)*$J2664^3</f>
      </c>
      <c r="M2664" s="7">
        <f>SQRT(K2664^2+L2664^2)</f>
      </c>
      <c r="N2664" s="7">
        <f>(K2665-K2663)</f>
      </c>
      <c r="O2664" s="7">
        <f>+(L2665-L2663)</f>
      </c>
      <c r="P2664" s="7">
        <f>SQRT(O2664^2+N2664^2)</f>
      </c>
      <c r="Q2664" s="7">
        <f>N2664/$P2664</f>
      </c>
      <c r="R2664" s="7">
        <f>O2664/$P2664</f>
      </c>
      <c r="S2664" s="8">
        <f>Q2664^2+R2664^2</f>
      </c>
      <c r="T2664" s="7">
        <f>-R2664</f>
      </c>
      <c r="U2664" s="7">
        <f>Q2664</f>
      </c>
      <c r="V2664" s="7">
        <f>($C$14+($C$15-$C$14)/($D$15-$D$14)*(I2664-$D$14))/2</f>
      </c>
      <c r="W2664" s="7">
        <f>($B$22*I2664^4+$C$22*I2664^3+$D$22*I2664^2+$E$22*I2664+$F$22)/2</f>
      </c>
      <c r="X2664" s="7">
        <f>($W2664)*(T2664)</f>
      </c>
      <c r="Y2664" s="7">
        <f>($W2664)*(U2664)</f>
      </c>
      <c r="Z2664" s="7">
        <f>SQRT(X2664^2+Y2664^2)</f>
      </c>
      <c r="AA2664" s="7">
        <f>$K2664+$X2664</f>
      </c>
      <c r="AB2664" s="7">
        <f>$L2664+$Y2664</f>
      </c>
      <c r="AC2664" s="7">
        <f>$K2664-$X2664</f>
      </c>
      <c r="AD2664" s="7">
        <f>$L2664-$Y2664</f>
      </c>
      <c r="AE2664" s="7">
        <f>AA2664/39.3701</f>
      </c>
      <c r="AF2664" s="7">
        <f>AB2664/39.3701</f>
      </c>
      <c r="AG2664" s="7">
        <f>AC2664/39.3701</f>
      </c>
      <c r="AH2664" s="7">
        <f>AD2664/39.3701</f>
      </c>
      <c r="AI2664" s="1"/>
      <c r="AJ2664" s="1"/>
      <c r="AK2664" s="1"/>
      <c r="AL2664" s="1"/>
      <c r="AM2664" s="2"/>
      <c r="AN2664" s="1"/>
      <c r="AO2664" s="1"/>
      <c r="AP2664" s="1"/>
      <c r="AQ2664" s="1"/>
      <c r="AR2664" s="1"/>
      <c r="AS2664" s="1"/>
      <c r="AT2664" s="1"/>
      <c r="AU2664" s="1"/>
      <c r="AV2664" s="1"/>
      <c r="AW2664" s="1"/>
      <c r="AX2664" s="1"/>
      <c r="AY2664" s="1"/>
      <c r="AZ2664" s="1"/>
      <c r="BA2664" s="1"/>
      <c r="BB2664" s="1"/>
      <c r="BC2664" s="1"/>
      <c r="BD2664" s="1"/>
      <c r="BE2664" s="1"/>
    </row>
    <row x14ac:dyDescent="0.25" r="2665" customHeight="1" ht="18.75">
      <c r="A2665" s="1"/>
      <c r="B2665" s="2"/>
      <c r="C2665" s="2"/>
      <c r="D2665" s="2"/>
      <c r="E2665" s="2"/>
      <c r="F2665" s="2"/>
      <c r="G2665" s="1"/>
      <c r="H2665" s="1"/>
      <c r="I2665" s="7">
        <v>2.662</v>
      </c>
      <c r="J2665" s="7">
        <f>IF((I2665-ROUNDDOWN(I2665,0))=0, 0, (I2665-ROUNDDOWN(I2665,0)))</f>
      </c>
      <c r="K2665" s="7">
        <f>INDIRECT("C$"&amp;2+MIN(2,ROUNDDOWN(I2665,0))*3)*(-$J2665^3+3*$J2665^2-3*$J2665+1)+INDIRECT("C$"&amp;3+MIN(2,ROUNDDOWN(I2665,0))*3)*(3*$J2665^3-6*$J2665^2+3*$J2665)+INDIRECT("C$"&amp;4+MIN(2,ROUNDDOWN(I2665,0))*3)*(-3*$J2665^3+3*$J2665^2)+INDIRECT("C$"&amp;5+MIN(2,ROUNDDOWN(I2665,0))*3)*$J2665^3</f>
      </c>
      <c r="L2665" s="7">
        <f>INDIRECT("D$"&amp;2+MIN(2,ROUNDDOWN(I2665,0))*3)*(-$J2665^3+3*$J2665^2-3*$J2665+1)+INDIRECT("D$"&amp;3+MIN(2,ROUNDDOWN(I2665,0))*3)*(3*$J2665^3-6*$J2665^2+3*$J2665)+INDIRECT("D$"&amp;4+MIN(2,ROUNDDOWN(I2665,0))*3)*(-3*$J2665^3+3*$J2665^2)+INDIRECT("D$"&amp;5+MIN(2,ROUNDDOWN(I2665,0))*3)*$J2665^3</f>
      </c>
      <c r="M2665" s="7">
        <f>SQRT(K2665^2+L2665^2)</f>
      </c>
      <c r="N2665" s="7">
        <f>(K2666-K2664)</f>
      </c>
      <c r="O2665" s="7">
        <f>+(L2666-L2664)</f>
      </c>
      <c r="P2665" s="7">
        <f>SQRT(O2665^2+N2665^2)</f>
      </c>
      <c r="Q2665" s="7">
        <f>N2665/$P2665</f>
      </c>
      <c r="R2665" s="7">
        <f>O2665/$P2665</f>
      </c>
      <c r="S2665" s="8">
        <f>Q2665^2+R2665^2</f>
      </c>
      <c r="T2665" s="7">
        <f>-R2665</f>
      </c>
      <c r="U2665" s="7">
        <f>Q2665</f>
      </c>
      <c r="V2665" s="7">
        <f>($C$14+($C$15-$C$14)/($D$15-$D$14)*(I2665-$D$14))/2</f>
      </c>
      <c r="W2665" s="7">
        <f>($B$22*I2665^4+$C$22*I2665^3+$D$22*I2665^2+$E$22*I2665+$F$22)/2</f>
      </c>
      <c r="X2665" s="7">
        <f>($W2665)*(T2665)</f>
      </c>
      <c r="Y2665" s="7">
        <f>($W2665)*(U2665)</f>
      </c>
      <c r="Z2665" s="7">
        <f>SQRT(X2665^2+Y2665^2)</f>
      </c>
      <c r="AA2665" s="7">
        <f>$K2665+$X2665</f>
      </c>
      <c r="AB2665" s="7">
        <f>$L2665+$Y2665</f>
      </c>
      <c r="AC2665" s="7">
        <f>$K2665-$X2665</f>
      </c>
      <c r="AD2665" s="7">
        <f>$L2665-$Y2665</f>
      </c>
      <c r="AE2665" s="7">
        <f>AA2665/39.3701</f>
      </c>
      <c r="AF2665" s="7">
        <f>AB2665/39.3701</f>
      </c>
      <c r="AG2665" s="7">
        <f>AC2665/39.3701</f>
      </c>
      <c r="AH2665" s="7">
        <f>AD2665/39.3701</f>
      </c>
      <c r="AI2665" s="1"/>
      <c r="AJ2665" s="1"/>
      <c r="AK2665" s="1"/>
      <c r="AL2665" s="1"/>
      <c r="AM2665" s="2"/>
      <c r="AN2665" s="1"/>
      <c r="AO2665" s="1"/>
      <c r="AP2665" s="1"/>
      <c r="AQ2665" s="1"/>
      <c r="AR2665" s="1"/>
      <c r="AS2665" s="1"/>
      <c r="AT2665" s="1"/>
      <c r="AU2665" s="1"/>
      <c r="AV2665" s="1"/>
      <c r="AW2665" s="1"/>
      <c r="AX2665" s="1"/>
      <c r="AY2665" s="1"/>
      <c r="AZ2665" s="1"/>
      <c r="BA2665" s="1"/>
      <c r="BB2665" s="1"/>
      <c r="BC2665" s="1"/>
      <c r="BD2665" s="1"/>
      <c r="BE2665" s="1"/>
    </row>
    <row x14ac:dyDescent="0.25" r="2666" customHeight="1" ht="18.75">
      <c r="A2666" s="1"/>
      <c r="B2666" s="2"/>
      <c r="C2666" s="2"/>
      <c r="D2666" s="2"/>
      <c r="E2666" s="2"/>
      <c r="F2666" s="2"/>
      <c r="G2666" s="1"/>
      <c r="H2666" s="1"/>
      <c r="I2666" s="7">
        <v>2.663</v>
      </c>
      <c r="J2666" s="7">
        <f>IF((I2666-ROUNDDOWN(I2666,0))=0, 0, (I2666-ROUNDDOWN(I2666,0)))</f>
      </c>
      <c r="K2666" s="7">
        <f>INDIRECT("C$"&amp;2+MIN(2,ROUNDDOWN(I2666,0))*3)*(-$J2666^3+3*$J2666^2-3*$J2666+1)+INDIRECT("C$"&amp;3+MIN(2,ROUNDDOWN(I2666,0))*3)*(3*$J2666^3-6*$J2666^2+3*$J2666)+INDIRECT("C$"&amp;4+MIN(2,ROUNDDOWN(I2666,0))*3)*(-3*$J2666^3+3*$J2666^2)+INDIRECT("C$"&amp;5+MIN(2,ROUNDDOWN(I2666,0))*3)*$J2666^3</f>
      </c>
      <c r="L2666" s="7">
        <f>INDIRECT("D$"&amp;2+MIN(2,ROUNDDOWN(I2666,0))*3)*(-$J2666^3+3*$J2666^2-3*$J2666+1)+INDIRECT("D$"&amp;3+MIN(2,ROUNDDOWN(I2666,0))*3)*(3*$J2666^3-6*$J2666^2+3*$J2666)+INDIRECT("D$"&amp;4+MIN(2,ROUNDDOWN(I2666,0))*3)*(-3*$J2666^3+3*$J2666^2)+INDIRECT("D$"&amp;5+MIN(2,ROUNDDOWN(I2666,0))*3)*$J2666^3</f>
      </c>
      <c r="M2666" s="7">
        <f>SQRT(K2666^2+L2666^2)</f>
      </c>
      <c r="N2666" s="7">
        <f>(K2667-K2665)</f>
      </c>
      <c r="O2666" s="7">
        <f>+(L2667-L2665)</f>
      </c>
      <c r="P2666" s="7">
        <f>SQRT(O2666^2+N2666^2)</f>
      </c>
      <c r="Q2666" s="7">
        <f>N2666/$P2666</f>
      </c>
      <c r="R2666" s="7">
        <f>O2666/$P2666</f>
      </c>
      <c r="S2666" s="7">
        <f>Q2666^2+R2666^2</f>
      </c>
      <c r="T2666" s="7">
        <f>-R2666</f>
      </c>
      <c r="U2666" s="7">
        <f>Q2666</f>
      </c>
      <c r="V2666" s="7">
        <f>($C$14+($C$15-$C$14)/($D$15-$D$14)*(I2666-$D$14))/2</f>
      </c>
      <c r="W2666" s="7">
        <f>($B$22*I2666^4+$C$22*I2666^3+$D$22*I2666^2+$E$22*I2666+$F$22)/2</f>
      </c>
      <c r="X2666" s="7">
        <f>($W2666)*(T2666)</f>
      </c>
      <c r="Y2666" s="7">
        <f>($W2666)*(U2666)</f>
      </c>
      <c r="Z2666" s="7">
        <f>SQRT(X2666^2+Y2666^2)</f>
      </c>
      <c r="AA2666" s="7">
        <f>$K2666+$X2666</f>
      </c>
      <c r="AB2666" s="7">
        <f>$L2666+$Y2666</f>
      </c>
      <c r="AC2666" s="7">
        <f>$K2666-$X2666</f>
      </c>
      <c r="AD2666" s="7">
        <f>$L2666-$Y2666</f>
      </c>
      <c r="AE2666" s="7">
        <f>AA2666/39.3701</f>
      </c>
      <c r="AF2666" s="7">
        <f>AB2666/39.3701</f>
      </c>
      <c r="AG2666" s="7">
        <f>AC2666/39.3701</f>
      </c>
      <c r="AH2666" s="7">
        <f>AD2666/39.3701</f>
      </c>
      <c r="AI2666" s="1"/>
      <c r="AJ2666" s="1"/>
      <c r="AK2666" s="1"/>
      <c r="AL2666" s="1"/>
      <c r="AM2666" s="2"/>
      <c r="AN2666" s="1"/>
      <c r="AO2666" s="1"/>
      <c r="AP2666" s="1"/>
      <c r="AQ2666" s="1"/>
      <c r="AR2666" s="1"/>
      <c r="AS2666" s="1"/>
      <c r="AT2666" s="1"/>
      <c r="AU2666" s="1"/>
      <c r="AV2666" s="1"/>
      <c r="AW2666" s="1"/>
      <c r="AX2666" s="1"/>
      <c r="AY2666" s="1"/>
      <c r="AZ2666" s="1"/>
      <c r="BA2666" s="1"/>
      <c r="BB2666" s="1"/>
      <c r="BC2666" s="1"/>
      <c r="BD2666" s="1"/>
      <c r="BE2666" s="1"/>
    </row>
    <row x14ac:dyDescent="0.25" r="2667" customHeight="1" ht="18.75">
      <c r="A2667" s="1"/>
      <c r="B2667" s="2"/>
      <c r="C2667" s="2"/>
      <c r="D2667" s="2"/>
      <c r="E2667" s="2"/>
      <c r="F2667" s="2"/>
      <c r="G2667" s="1"/>
      <c r="H2667" s="1"/>
      <c r="I2667" s="7">
        <v>2.664</v>
      </c>
      <c r="J2667" s="7">
        <f>IF((I2667-ROUNDDOWN(I2667,0))=0, 0, (I2667-ROUNDDOWN(I2667,0)))</f>
      </c>
      <c r="K2667" s="7">
        <f>INDIRECT("C$"&amp;2+MIN(2,ROUNDDOWN(I2667,0))*3)*(-$J2667^3+3*$J2667^2-3*$J2667+1)+INDIRECT("C$"&amp;3+MIN(2,ROUNDDOWN(I2667,0))*3)*(3*$J2667^3-6*$J2667^2+3*$J2667)+INDIRECT("C$"&amp;4+MIN(2,ROUNDDOWN(I2667,0))*3)*(-3*$J2667^3+3*$J2667^2)+INDIRECT("C$"&amp;5+MIN(2,ROUNDDOWN(I2667,0))*3)*$J2667^3</f>
      </c>
      <c r="L2667" s="7">
        <f>INDIRECT("D$"&amp;2+MIN(2,ROUNDDOWN(I2667,0))*3)*(-$J2667^3+3*$J2667^2-3*$J2667+1)+INDIRECT("D$"&amp;3+MIN(2,ROUNDDOWN(I2667,0))*3)*(3*$J2667^3-6*$J2667^2+3*$J2667)+INDIRECT("D$"&amp;4+MIN(2,ROUNDDOWN(I2667,0))*3)*(-3*$J2667^3+3*$J2667^2)+INDIRECT("D$"&amp;5+MIN(2,ROUNDDOWN(I2667,0))*3)*$J2667^3</f>
      </c>
      <c r="M2667" s="7">
        <f>SQRT(K2667^2+L2667^2)</f>
      </c>
      <c r="N2667" s="7">
        <f>(K2668-K2666)</f>
      </c>
      <c r="O2667" s="7">
        <f>+(L2668-L2666)</f>
      </c>
      <c r="P2667" s="7">
        <f>SQRT(O2667^2+N2667^2)</f>
      </c>
      <c r="Q2667" s="7">
        <f>N2667/$P2667</f>
      </c>
      <c r="R2667" s="7">
        <f>O2667/$P2667</f>
      </c>
      <c r="S2667" s="8">
        <f>Q2667^2+R2667^2</f>
      </c>
      <c r="T2667" s="7">
        <f>-R2667</f>
      </c>
      <c r="U2667" s="7">
        <f>Q2667</f>
      </c>
      <c r="V2667" s="7">
        <f>($C$14+($C$15-$C$14)/($D$15-$D$14)*(I2667-$D$14))/2</f>
      </c>
      <c r="W2667" s="7">
        <f>($B$22*I2667^4+$C$22*I2667^3+$D$22*I2667^2+$E$22*I2667+$F$22)/2</f>
      </c>
      <c r="X2667" s="7">
        <f>($W2667)*(T2667)</f>
      </c>
      <c r="Y2667" s="7">
        <f>($W2667)*(U2667)</f>
      </c>
      <c r="Z2667" s="7">
        <f>SQRT(X2667^2+Y2667^2)</f>
      </c>
      <c r="AA2667" s="7">
        <f>$K2667+$X2667</f>
      </c>
      <c r="AB2667" s="7">
        <f>$L2667+$Y2667</f>
      </c>
      <c r="AC2667" s="7">
        <f>$K2667-$X2667</f>
      </c>
      <c r="AD2667" s="7">
        <f>$L2667-$Y2667</f>
      </c>
      <c r="AE2667" s="7">
        <f>AA2667/39.3701</f>
      </c>
      <c r="AF2667" s="7">
        <f>AB2667/39.3701</f>
      </c>
      <c r="AG2667" s="7">
        <f>AC2667/39.3701</f>
      </c>
      <c r="AH2667" s="7">
        <f>AD2667/39.3701</f>
      </c>
      <c r="AI2667" s="1"/>
      <c r="AJ2667" s="1"/>
      <c r="AK2667" s="1"/>
      <c r="AL2667" s="1"/>
      <c r="AM2667" s="2"/>
      <c r="AN2667" s="1"/>
      <c r="AO2667" s="1"/>
      <c r="AP2667" s="1"/>
      <c r="AQ2667" s="1"/>
      <c r="AR2667" s="1"/>
      <c r="AS2667" s="1"/>
      <c r="AT2667" s="1"/>
      <c r="AU2667" s="1"/>
      <c r="AV2667" s="1"/>
      <c r="AW2667" s="1"/>
      <c r="AX2667" s="1"/>
      <c r="AY2667" s="1"/>
      <c r="AZ2667" s="1"/>
      <c r="BA2667" s="1"/>
      <c r="BB2667" s="1"/>
      <c r="BC2667" s="1"/>
      <c r="BD2667" s="1"/>
      <c r="BE2667" s="1"/>
    </row>
    <row x14ac:dyDescent="0.25" r="2668" customHeight="1" ht="18.75">
      <c r="A2668" s="1"/>
      <c r="B2668" s="2"/>
      <c r="C2668" s="2"/>
      <c r="D2668" s="2"/>
      <c r="E2668" s="2"/>
      <c r="F2668" s="2"/>
      <c r="G2668" s="1"/>
      <c r="H2668" s="1"/>
      <c r="I2668" s="7">
        <v>2.665</v>
      </c>
      <c r="J2668" s="7">
        <f>IF((I2668-ROUNDDOWN(I2668,0))=0, 0, (I2668-ROUNDDOWN(I2668,0)))</f>
      </c>
      <c r="K2668" s="7">
        <f>INDIRECT("C$"&amp;2+MIN(2,ROUNDDOWN(I2668,0))*3)*(-$J2668^3+3*$J2668^2-3*$J2668+1)+INDIRECT("C$"&amp;3+MIN(2,ROUNDDOWN(I2668,0))*3)*(3*$J2668^3-6*$J2668^2+3*$J2668)+INDIRECT("C$"&amp;4+MIN(2,ROUNDDOWN(I2668,0))*3)*(-3*$J2668^3+3*$J2668^2)+INDIRECT("C$"&amp;5+MIN(2,ROUNDDOWN(I2668,0))*3)*$J2668^3</f>
      </c>
      <c r="L2668" s="7">
        <f>INDIRECT("D$"&amp;2+MIN(2,ROUNDDOWN(I2668,0))*3)*(-$J2668^3+3*$J2668^2-3*$J2668+1)+INDIRECT("D$"&amp;3+MIN(2,ROUNDDOWN(I2668,0))*3)*(3*$J2668^3-6*$J2668^2+3*$J2668)+INDIRECT("D$"&amp;4+MIN(2,ROUNDDOWN(I2668,0))*3)*(-3*$J2668^3+3*$J2668^2)+INDIRECT("D$"&amp;5+MIN(2,ROUNDDOWN(I2668,0))*3)*$J2668^3</f>
      </c>
      <c r="M2668" s="7">
        <f>SQRT(K2668^2+L2668^2)</f>
      </c>
      <c r="N2668" s="7">
        <f>(K2669-K2667)</f>
      </c>
      <c r="O2668" s="7">
        <f>+(L2669-L2667)</f>
      </c>
      <c r="P2668" s="7">
        <f>SQRT(O2668^2+N2668^2)</f>
      </c>
      <c r="Q2668" s="7">
        <f>N2668/$P2668</f>
      </c>
      <c r="R2668" s="7">
        <f>O2668/$P2668</f>
      </c>
      <c r="S2668" s="8">
        <f>Q2668^2+R2668^2</f>
      </c>
      <c r="T2668" s="7">
        <f>-R2668</f>
      </c>
      <c r="U2668" s="7">
        <f>Q2668</f>
      </c>
      <c r="V2668" s="7">
        <f>($C$14+($C$15-$C$14)/($D$15-$D$14)*(I2668-$D$14))/2</f>
      </c>
      <c r="W2668" s="7">
        <f>($B$22*I2668^4+$C$22*I2668^3+$D$22*I2668^2+$E$22*I2668+$F$22)/2</f>
      </c>
      <c r="X2668" s="7">
        <f>($W2668)*(T2668)</f>
      </c>
      <c r="Y2668" s="7">
        <f>($W2668)*(U2668)</f>
      </c>
      <c r="Z2668" s="7">
        <f>SQRT(X2668^2+Y2668^2)</f>
      </c>
      <c r="AA2668" s="7">
        <f>$K2668+$X2668</f>
      </c>
      <c r="AB2668" s="7">
        <f>$L2668+$Y2668</f>
      </c>
      <c r="AC2668" s="7">
        <f>$K2668-$X2668</f>
      </c>
      <c r="AD2668" s="7">
        <f>$L2668-$Y2668</f>
      </c>
      <c r="AE2668" s="7">
        <f>AA2668/39.3701</f>
      </c>
      <c r="AF2668" s="7">
        <f>AB2668/39.3701</f>
      </c>
      <c r="AG2668" s="7">
        <f>AC2668/39.3701</f>
      </c>
      <c r="AH2668" s="7">
        <f>AD2668/39.3701</f>
      </c>
      <c r="AI2668" s="1"/>
      <c r="AJ2668" s="1"/>
      <c r="AK2668" s="1"/>
      <c r="AL2668" s="1"/>
      <c r="AM2668" s="2"/>
      <c r="AN2668" s="1"/>
      <c r="AO2668" s="1"/>
      <c r="AP2668" s="1"/>
      <c r="AQ2668" s="1"/>
      <c r="AR2668" s="1"/>
      <c r="AS2668" s="1"/>
      <c r="AT2668" s="1"/>
      <c r="AU2668" s="1"/>
      <c r="AV2668" s="1"/>
      <c r="AW2668" s="1"/>
      <c r="AX2668" s="1"/>
      <c r="AY2668" s="1"/>
      <c r="AZ2668" s="1"/>
      <c r="BA2668" s="1"/>
      <c r="BB2668" s="1"/>
      <c r="BC2668" s="1"/>
      <c r="BD2668" s="1"/>
      <c r="BE2668" s="1"/>
    </row>
    <row x14ac:dyDescent="0.25" r="2669" customHeight="1" ht="18.75">
      <c r="A2669" s="1"/>
      <c r="B2669" s="2"/>
      <c r="C2669" s="2"/>
      <c r="D2669" s="2"/>
      <c r="E2669" s="2"/>
      <c r="F2669" s="2"/>
      <c r="G2669" s="1"/>
      <c r="H2669" s="1"/>
      <c r="I2669" s="7">
        <v>2.666</v>
      </c>
      <c r="J2669" s="7">
        <f>IF((I2669-ROUNDDOWN(I2669,0))=0, 0, (I2669-ROUNDDOWN(I2669,0)))</f>
      </c>
      <c r="K2669" s="7">
        <f>INDIRECT("C$"&amp;2+MIN(2,ROUNDDOWN(I2669,0))*3)*(-$J2669^3+3*$J2669^2-3*$J2669+1)+INDIRECT("C$"&amp;3+MIN(2,ROUNDDOWN(I2669,0))*3)*(3*$J2669^3-6*$J2669^2+3*$J2669)+INDIRECT("C$"&amp;4+MIN(2,ROUNDDOWN(I2669,0))*3)*(-3*$J2669^3+3*$J2669^2)+INDIRECT("C$"&amp;5+MIN(2,ROUNDDOWN(I2669,0))*3)*$J2669^3</f>
      </c>
      <c r="L2669" s="7">
        <f>INDIRECT("D$"&amp;2+MIN(2,ROUNDDOWN(I2669,0))*3)*(-$J2669^3+3*$J2669^2-3*$J2669+1)+INDIRECT("D$"&amp;3+MIN(2,ROUNDDOWN(I2669,0))*3)*(3*$J2669^3-6*$J2669^2+3*$J2669)+INDIRECT("D$"&amp;4+MIN(2,ROUNDDOWN(I2669,0))*3)*(-3*$J2669^3+3*$J2669^2)+INDIRECT("D$"&amp;5+MIN(2,ROUNDDOWN(I2669,0))*3)*$J2669^3</f>
      </c>
      <c r="M2669" s="7">
        <f>SQRT(K2669^2+L2669^2)</f>
      </c>
      <c r="N2669" s="7">
        <f>(K2670-K2668)</f>
      </c>
      <c r="O2669" s="7">
        <f>+(L2670-L2668)</f>
      </c>
      <c r="P2669" s="7">
        <f>SQRT(O2669^2+N2669^2)</f>
      </c>
      <c r="Q2669" s="7">
        <f>N2669/$P2669</f>
      </c>
      <c r="R2669" s="7">
        <f>O2669/$P2669</f>
      </c>
      <c r="S2669" s="8">
        <f>Q2669^2+R2669^2</f>
      </c>
      <c r="T2669" s="7">
        <f>-R2669</f>
      </c>
      <c r="U2669" s="7">
        <f>Q2669</f>
      </c>
      <c r="V2669" s="7">
        <f>($C$14+($C$15-$C$14)/($D$15-$D$14)*(I2669-$D$14))/2</f>
      </c>
      <c r="W2669" s="7">
        <f>($B$22*I2669^4+$C$22*I2669^3+$D$22*I2669^2+$E$22*I2669+$F$22)/2</f>
      </c>
      <c r="X2669" s="7">
        <f>($W2669)*(T2669)</f>
      </c>
      <c r="Y2669" s="7">
        <f>($W2669)*(U2669)</f>
      </c>
      <c r="Z2669" s="7">
        <f>SQRT(X2669^2+Y2669^2)</f>
      </c>
      <c r="AA2669" s="7">
        <f>$K2669+$X2669</f>
      </c>
      <c r="AB2669" s="7">
        <f>$L2669+$Y2669</f>
      </c>
      <c r="AC2669" s="7">
        <f>$K2669-$X2669</f>
      </c>
      <c r="AD2669" s="7">
        <f>$L2669-$Y2669</f>
      </c>
      <c r="AE2669" s="7">
        <f>AA2669/39.3701</f>
      </c>
      <c r="AF2669" s="7">
        <f>AB2669/39.3701</f>
      </c>
      <c r="AG2669" s="7">
        <f>AC2669/39.3701</f>
      </c>
      <c r="AH2669" s="7">
        <f>AD2669/39.3701</f>
      </c>
      <c r="AI2669" s="1"/>
      <c r="AJ2669" s="1"/>
      <c r="AK2669" s="1"/>
      <c r="AL2669" s="1"/>
      <c r="AM2669" s="2"/>
      <c r="AN2669" s="1"/>
      <c r="AO2669" s="1"/>
      <c r="AP2669" s="1"/>
      <c r="AQ2669" s="1"/>
      <c r="AR2669" s="1"/>
      <c r="AS2669" s="1"/>
      <c r="AT2669" s="1"/>
      <c r="AU2669" s="1"/>
      <c r="AV2669" s="1"/>
      <c r="AW2669" s="1"/>
      <c r="AX2669" s="1"/>
      <c r="AY2669" s="1"/>
      <c r="AZ2669" s="1"/>
      <c r="BA2669" s="1"/>
      <c r="BB2669" s="1"/>
      <c r="BC2669" s="1"/>
      <c r="BD2669" s="1"/>
      <c r="BE2669" s="1"/>
    </row>
    <row x14ac:dyDescent="0.25" r="2670" customHeight="1" ht="18.75">
      <c r="A2670" s="1"/>
      <c r="B2670" s="2"/>
      <c r="C2670" s="2"/>
      <c r="D2670" s="2"/>
      <c r="E2670" s="2"/>
      <c r="F2670" s="2"/>
      <c r="G2670" s="1"/>
      <c r="H2670" s="1"/>
      <c r="I2670" s="7">
        <v>2.667</v>
      </c>
      <c r="J2670" s="7">
        <f>IF((I2670-ROUNDDOWN(I2670,0))=0, 0, (I2670-ROUNDDOWN(I2670,0)))</f>
      </c>
      <c r="K2670" s="7">
        <f>INDIRECT("C$"&amp;2+MIN(2,ROUNDDOWN(I2670,0))*3)*(-$J2670^3+3*$J2670^2-3*$J2670+1)+INDIRECT("C$"&amp;3+MIN(2,ROUNDDOWN(I2670,0))*3)*(3*$J2670^3-6*$J2670^2+3*$J2670)+INDIRECT("C$"&amp;4+MIN(2,ROUNDDOWN(I2670,0))*3)*(-3*$J2670^3+3*$J2670^2)+INDIRECT("C$"&amp;5+MIN(2,ROUNDDOWN(I2670,0))*3)*$J2670^3</f>
      </c>
      <c r="L2670" s="7">
        <f>INDIRECT("D$"&amp;2+MIN(2,ROUNDDOWN(I2670,0))*3)*(-$J2670^3+3*$J2670^2-3*$J2670+1)+INDIRECT("D$"&amp;3+MIN(2,ROUNDDOWN(I2670,0))*3)*(3*$J2670^3-6*$J2670^2+3*$J2670)+INDIRECT("D$"&amp;4+MIN(2,ROUNDDOWN(I2670,0))*3)*(-3*$J2670^3+3*$J2670^2)+INDIRECT("D$"&amp;5+MIN(2,ROUNDDOWN(I2670,0))*3)*$J2670^3</f>
      </c>
      <c r="M2670" s="7">
        <f>SQRT(K2670^2+L2670^2)</f>
      </c>
      <c r="N2670" s="7">
        <f>(K2671-K2669)</f>
      </c>
      <c r="O2670" s="7">
        <f>+(L2671-L2669)</f>
      </c>
      <c r="P2670" s="7">
        <f>SQRT(O2670^2+N2670^2)</f>
      </c>
      <c r="Q2670" s="7">
        <f>N2670/$P2670</f>
      </c>
      <c r="R2670" s="7">
        <f>O2670/$P2670</f>
      </c>
      <c r="S2670" s="8">
        <f>Q2670^2+R2670^2</f>
      </c>
      <c r="T2670" s="7">
        <f>-R2670</f>
      </c>
      <c r="U2670" s="7">
        <f>Q2670</f>
      </c>
      <c r="V2670" s="7">
        <f>($C$14+($C$15-$C$14)/($D$15-$D$14)*(I2670-$D$14))/2</f>
      </c>
      <c r="W2670" s="7">
        <f>($B$22*I2670^4+$C$22*I2670^3+$D$22*I2670^2+$E$22*I2670+$F$22)/2</f>
      </c>
      <c r="X2670" s="7">
        <f>($W2670)*(T2670)</f>
      </c>
      <c r="Y2670" s="7">
        <f>($W2670)*(U2670)</f>
      </c>
      <c r="Z2670" s="7">
        <f>SQRT(X2670^2+Y2670^2)</f>
      </c>
      <c r="AA2670" s="7">
        <f>$K2670+$X2670</f>
      </c>
      <c r="AB2670" s="7">
        <f>$L2670+$Y2670</f>
      </c>
      <c r="AC2670" s="7">
        <f>$K2670-$X2670</f>
      </c>
      <c r="AD2670" s="7">
        <f>$L2670-$Y2670</f>
      </c>
      <c r="AE2670" s="7">
        <f>AA2670/39.3701</f>
      </c>
      <c r="AF2670" s="7">
        <f>AB2670/39.3701</f>
      </c>
      <c r="AG2670" s="7">
        <f>AC2670/39.3701</f>
      </c>
      <c r="AH2670" s="7">
        <f>AD2670/39.3701</f>
      </c>
      <c r="AI2670" s="1"/>
      <c r="AJ2670" s="1"/>
      <c r="AK2670" s="1"/>
      <c r="AL2670" s="1"/>
      <c r="AM2670" s="2"/>
      <c r="AN2670" s="1"/>
      <c r="AO2670" s="1"/>
      <c r="AP2670" s="1"/>
      <c r="AQ2670" s="1"/>
      <c r="AR2670" s="1"/>
      <c r="AS2670" s="1"/>
      <c r="AT2670" s="1"/>
      <c r="AU2670" s="1"/>
      <c r="AV2670" s="1"/>
      <c r="AW2670" s="1"/>
      <c r="AX2670" s="1"/>
      <c r="AY2670" s="1"/>
      <c r="AZ2670" s="1"/>
      <c r="BA2670" s="1"/>
      <c r="BB2670" s="1"/>
      <c r="BC2670" s="1"/>
      <c r="BD2670" s="1"/>
      <c r="BE2670" s="1"/>
    </row>
    <row x14ac:dyDescent="0.25" r="2671" customHeight="1" ht="18.75">
      <c r="A2671" s="1"/>
      <c r="B2671" s="2"/>
      <c r="C2671" s="2"/>
      <c r="D2671" s="2"/>
      <c r="E2671" s="2"/>
      <c r="F2671" s="2"/>
      <c r="G2671" s="1"/>
      <c r="H2671" s="1"/>
      <c r="I2671" s="7">
        <v>2.668</v>
      </c>
      <c r="J2671" s="7">
        <f>IF((I2671-ROUNDDOWN(I2671,0))=0, 0, (I2671-ROUNDDOWN(I2671,0)))</f>
      </c>
      <c r="K2671" s="7">
        <f>INDIRECT("C$"&amp;2+MIN(2,ROUNDDOWN(I2671,0))*3)*(-$J2671^3+3*$J2671^2-3*$J2671+1)+INDIRECT("C$"&amp;3+MIN(2,ROUNDDOWN(I2671,0))*3)*(3*$J2671^3-6*$J2671^2+3*$J2671)+INDIRECT("C$"&amp;4+MIN(2,ROUNDDOWN(I2671,0))*3)*(-3*$J2671^3+3*$J2671^2)+INDIRECT("C$"&amp;5+MIN(2,ROUNDDOWN(I2671,0))*3)*$J2671^3</f>
      </c>
      <c r="L2671" s="7">
        <f>INDIRECT("D$"&amp;2+MIN(2,ROUNDDOWN(I2671,0))*3)*(-$J2671^3+3*$J2671^2-3*$J2671+1)+INDIRECT("D$"&amp;3+MIN(2,ROUNDDOWN(I2671,0))*3)*(3*$J2671^3-6*$J2671^2+3*$J2671)+INDIRECT("D$"&amp;4+MIN(2,ROUNDDOWN(I2671,0))*3)*(-3*$J2671^3+3*$J2671^2)+INDIRECT("D$"&amp;5+MIN(2,ROUNDDOWN(I2671,0))*3)*$J2671^3</f>
      </c>
      <c r="M2671" s="7">
        <f>SQRT(K2671^2+L2671^2)</f>
      </c>
      <c r="N2671" s="7">
        <f>(K2672-K2670)</f>
      </c>
      <c r="O2671" s="7">
        <f>+(L2672-L2670)</f>
      </c>
      <c r="P2671" s="7">
        <f>SQRT(O2671^2+N2671^2)</f>
      </c>
      <c r="Q2671" s="7">
        <f>N2671/$P2671</f>
      </c>
      <c r="R2671" s="7">
        <f>O2671/$P2671</f>
      </c>
      <c r="S2671" s="7">
        <f>Q2671^2+R2671^2</f>
      </c>
      <c r="T2671" s="7">
        <f>-R2671</f>
      </c>
      <c r="U2671" s="7">
        <f>Q2671</f>
      </c>
      <c r="V2671" s="7">
        <f>($C$14+($C$15-$C$14)/($D$15-$D$14)*(I2671-$D$14))/2</f>
      </c>
      <c r="W2671" s="7">
        <f>($B$22*I2671^4+$C$22*I2671^3+$D$22*I2671^2+$E$22*I2671+$F$22)/2</f>
      </c>
      <c r="X2671" s="7">
        <f>($W2671)*(T2671)</f>
      </c>
      <c r="Y2671" s="7">
        <f>($W2671)*(U2671)</f>
      </c>
      <c r="Z2671" s="7">
        <f>SQRT(X2671^2+Y2671^2)</f>
      </c>
      <c r="AA2671" s="7">
        <f>$K2671+$X2671</f>
      </c>
      <c r="AB2671" s="7">
        <f>$L2671+$Y2671</f>
      </c>
      <c r="AC2671" s="7">
        <f>$K2671-$X2671</f>
      </c>
      <c r="AD2671" s="7">
        <f>$L2671-$Y2671</f>
      </c>
      <c r="AE2671" s="7">
        <f>AA2671/39.3701</f>
      </c>
      <c r="AF2671" s="7">
        <f>AB2671/39.3701</f>
      </c>
      <c r="AG2671" s="7">
        <f>AC2671/39.3701</f>
      </c>
      <c r="AH2671" s="7">
        <f>AD2671/39.3701</f>
      </c>
      <c r="AI2671" s="1"/>
      <c r="AJ2671" s="1"/>
      <c r="AK2671" s="1"/>
      <c r="AL2671" s="1"/>
      <c r="AM2671" s="2"/>
      <c r="AN2671" s="1"/>
      <c r="AO2671" s="1"/>
      <c r="AP2671" s="1"/>
      <c r="AQ2671" s="1"/>
      <c r="AR2671" s="1"/>
      <c r="AS2671" s="1"/>
      <c r="AT2671" s="1"/>
      <c r="AU2671" s="1"/>
      <c r="AV2671" s="1"/>
      <c r="AW2671" s="1"/>
      <c r="AX2671" s="1"/>
      <c r="AY2671" s="1"/>
      <c r="AZ2671" s="1"/>
      <c r="BA2671" s="1"/>
      <c r="BB2671" s="1"/>
      <c r="BC2671" s="1"/>
      <c r="BD2671" s="1"/>
      <c r="BE2671" s="1"/>
    </row>
    <row x14ac:dyDescent="0.25" r="2672" customHeight="1" ht="18.75">
      <c r="A2672" s="1"/>
      <c r="B2672" s="2"/>
      <c r="C2672" s="2"/>
      <c r="D2672" s="2"/>
      <c r="E2672" s="2"/>
      <c r="F2672" s="2"/>
      <c r="G2672" s="1"/>
      <c r="H2672" s="1"/>
      <c r="I2672" s="7">
        <v>2.669</v>
      </c>
      <c r="J2672" s="7">
        <f>IF((I2672-ROUNDDOWN(I2672,0))=0, 0, (I2672-ROUNDDOWN(I2672,0)))</f>
      </c>
      <c r="K2672" s="7">
        <f>INDIRECT("C$"&amp;2+MIN(2,ROUNDDOWN(I2672,0))*3)*(-$J2672^3+3*$J2672^2-3*$J2672+1)+INDIRECT("C$"&amp;3+MIN(2,ROUNDDOWN(I2672,0))*3)*(3*$J2672^3-6*$J2672^2+3*$J2672)+INDIRECT("C$"&amp;4+MIN(2,ROUNDDOWN(I2672,0))*3)*(-3*$J2672^3+3*$J2672^2)+INDIRECT("C$"&amp;5+MIN(2,ROUNDDOWN(I2672,0))*3)*$J2672^3</f>
      </c>
      <c r="L2672" s="7">
        <f>INDIRECT("D$"&amp;2+MIN(2,ROUNDDOWN(I2672,0))*3)*(-$J2672^3+3*$J2672^2-3*$J2672+1)+INDIRECT("D$"&amp;3+MIN(2,ROUNDDOWN(I2672,0))*3)*(3*$J2672^3-6*$J2672^2+3*$J2672)+INDIRECT("D$"&amp;4+MIN(2,ROUNDDOWN(I2672,0))*3)*(-3*$J2672^3+3*$J2672^2)+INDIRECT("D$"&amp;5+MIN(2,ROUNDDOWN(I2672,0))*3)*$J2672^3</f>
      </c>
      <c r="M2672" s="7">
        <f>SQRT(K2672^2+L2672^2)</f>
      </c>
      <c r="N2672" s="7">
        <f>(K2673-K2671)</f>
      </c>
      <c r="O2672" s="7">
        <f>+(L2673-L2671)</f>
      </c>
      <c r="P2672" s="7">
        <f>SQRT(O2672^2+N2672^2)</f>
      </c>
      <c r="Q2672" s="7">
        <f>N2672/$P2672</f>
      </c>
      <c r="R2672" s="7">
        <f>O2672/$P2672</f>
      </c>
      <c r="S2672" s="8">
        <f>Q2672^2+R2672^2</f>
      </c>
      <c r="T2672" s="7">
        <f>-R2672</f>
      </c>
      <c r="U2672" s="7">
        <f>Q2672</f>
      </c>
      <c r="V2672" s="7">
        <f>($C$14+($C$15-$C$14)/($D$15-$D$14)*(I2672-$D$14))/2</f>
      </c>
      <c r="W2672" s="7">
        <f>($B$22*I2672^4+$C$22*I2672^3+$D$22*I2672^2+$E$22*I2672+$F$22)/2</f>
      </c>
      <c r="X2672" s="7">
        <f>($W2672)*(T2672)</f>
      </c>
      <c r="Y2672" s="7">
        <f>($W2672)*(U2672)</f>
      </c>
      <c r="Z2672" s="7">
        <f>SQRT(X2672^2+Y2672^2)</f>
      </c>
      <c r="AA2672" s="7">
        <f>$K2672+$X2672</f>
      </c>
      <c r="AB2672" s="7">
        <f>$L2672+$Y2672</f>
      </c>
      <c r="AC2672" s="7">
        <f>$K2672-$X2672</f>
      </c>
      <c r="AD2672" s="7">
        <f>$L2672-$Y2672</f>
      </c>
      <c r="AE2672" s="7">
        <f>AA2672/39.3701</f>
      </c>
      <c r="AF2672" s="7">
        <f>AB2672/39.3701</f>
      </c>
      <c r="AG2672" s="7">
        <f>AC2672/39.3701</f>
      </c>
      <c r="AH2672" s="7">
        <f>AD2672/39.3701</f>
      </c>
      <c r="AI2672" s="1"/>
      <c r="AJ2672" s="1"/>
      <c r="AK2672" s="1"/>
      <c r="AL2672" s="1"/>
      <c r="AM2672" s="2"/>
      <c r="AN2672" s="1"/>
      <c r="AO2672" s="1"/>
      <c r="AP2672" s="1"/>
      <c r="AQ2672" s="1"/>
      <c r="AR2672" s="1"/>
      <c r="AS2672" s="1"/>
      <c r="AT2672" s="1"/>
      <c r="AU2672" s="1"/>
      <c r="AV2672" s="1"/>
      <c r="AW2672" s="1"/>
      <c r="AX2672" s="1"/>
      <c r="AY2672" s="1"/>
      <c r="AZ2672" s="1"/>
      <c r="BA2672" s="1"/>
      <c r="BB2672" s="1"/>
      <c r="BC2672" s="1"/>
      <c r="BD2672" s="1"/>
      <c r="BE2672" s="1"/>
    </row>
    <row x14ac:dyDescent="0.25" r="2673" customHeight="1" ht="18.75">
      <c r="A2673" s="1"/>
      <c r="B2673" s="2"/>
      <c r="C2673" s="2"/>
      <c r="D2673" s="2"/>
      <c r="E2673" s="2"/>
      <c r="F2673" s="2"/>
      <c r="G2673" s="1"/>
      <c r="H2673" s="1"/>
      <c r="I2673" s="7">
        <v>2.67</v>
      </c>
      <c r="J2673" s="7">
        <f>IF((I2673-ROUNDDOWN(I2673,0))=0, 0, (I2673-ROUNDDOWN(I2673,0)))</f>
      </c>
      <c r="K2673" s="7">
        <f>INDIRECT("C$"&amp;2+MIN(2,ROUNDDOWN(I2673,0))*3)*(-$J2673^3+3*$J2673^2-3*$J2673+1)+INDIRECT("C$"&amp;3+MIN(2,ROUNDDOWN(I2673,0))*3)*(3*$J2673^3-6*$J2673^2+3*$J2673)+INDIRECT("C$"&amp;4+MIN(2,ROUNDDOWN(I2673,0))*3)*(-3*$J2673^3+3*$J2673^2)+INDIRECT("C$"&amp;5+MIN(2,ROUNDDOWN(I2673,0))*3)*$J2673^3</f>
      </c>
      <c r="L2673" s="7">
        <f>INDIRECT("D$"&amp;2+MIN(2,ROUNDDOWN(I2673,0))*3)*(-$J2673^3+3*$J2673^2-3*$J2673+1)+INDIRECT("D$"&amp;3+MIN(2,ROUNDDOWN(I2673,0))*3)*(3*$J2673^3-6*$J2673^2+3*$J2673)+INDIRECT("D$"&amp;4+MIN(2,ROUNDDOWN(I2673,0))*3)*(-3*$J2673^3+3*$J2673^2)+INDIRECT("D$"&amp;5+MIN(2,ROUNDDOWN(I2673,0))*3)*$J2673^3</f>
      </c>
      <c r="M2673" s="7">
        <f>SQRT(K2673^2+L2673^2)</f>
      </c>
      <c r="N2673" s="7">
        <f>(K2674-K2672)</f>
      </c>
      <c r="O2673" s="7">
        <f>+(L2674-L2672)</f>
      </c>
      <c r="P2673" s="7">
        <f>SQRT(O2673^2+N2673^2)</f>
      </c>
      <c r="Q2673" s="7">
        <f>N2673/$P2673</f>
      </c>
      <c r="R2673" s="7">
        <f>O2673/$P2673</f>
      </c>
      <c r="S2673" s="8">
        <f>Q2673^2+R2673^2</f>
      </c>
      <c r="T2673" s="7">
        <f>-R2673</f>
      </c>
      <c r="U2673" s="7">
        <f>Q2673</f>
      </c>
      <c r="V2673" s="7">
        <f>($C$14+($C$15-$C$14)/($D$15-$D$14)*(I2673-$D$14))/2</f>
      </c>
      <c r="W2673" s="7">
        <f>($B$22*I2673^4+$C$22*I2673^3+$D$22*I2673^2+$E$22*I2673+$F$22)/2</f>
      </c>
      <c r="X2673" s="7">
        <f>($W2673)*(T2673)</f>
      </c>
      <c r="Y2673" s="7">
        <f>($W2673)*(U2673)</f>
      </c>
      <c r="Z2673" s="7">
        <f>SQRT(X2673^2+Y2673^2)</f>
      </c>
      <c r="AA2673" s="7">
        <f>$K2673+$X2673</f>
      </c>
      <c r="AB2673" s="7">
        <f>$L2673+$Y2673</f>
      </c>
      <c r="AC2673" s="7">
        <f>$K2673-$X2673</f>
      </c>
      <c r="AD2673" s="7">
        <f>$L2673-$Y2673</f>
      </c>
      <c r="AE2673" s="7">
        <f>AA2673/39.3701</f>
      </c>
      <c r="AF2673" s="7">
        <f>AB2673/39.3701</f>
      </c>
      <c r="AG2673" s="7">
        <f>AC2673/39.3701</f>
      </c>
      <c r="AH2673" s="7">
        <f>AD2673/39.3701</f>
      </c>
      <c r="AI2673" s="1"/>
      <c r="AJ2673" s="1"/>
      <c r="AK2673" s="1"/>
      <c r="AL2673" s="1"/>
      <c r="AM2673" s="2"/>
      <c r="AN2673" s="1"/>
      <c r="AO2673" s="1"/>
      <c r="AP2673" s="1"/>
      <c r="AQ2673" s="1"/>
      <c r="AR2673" s="1"/>
      <c r="AS2673" s="1"/>
      <c r="AT2673" s="1"/>
      <c r="AU2673" s="1"/>
      <c r="AV2673" s="1"/>
      <c r="AW2673" s="1"/>
      <c r="AX2673" s="1"/>
      <c r="AY2673" s="1"/>
      <c r="AZ2673" s="1"/>
      <c r="BA2673" s="1"/>
      <c r="BB2673" s="1"/>
      <c r="BC2673" s="1"/>
      <c r="BD2673" s="1"/>
      <c r="BE2673" s="1"/>
    </row>
    <row x14ac:dyDescent="0.25" r="2674" customHeight="1" ht="18.75">
      <c r="A2674" s="1"/>
      <c r="B2674" s="2"/>
      <c r="C2674" s="2"/>
      <c r="D2674" s="2"/>
      <c r="E2674" s="2"/>
      <c r="F2674" s="2"/>
      <c r="G2674" s="1"/>
      <c r="H2674" s="1"/>
      <c r="I2674" s="7">
        <v>2.671</v>
      </c>
      <c r="J2674" s="7">
        <f>IF((I2674-ROUNDDOWN(I2674,0))=0, 0, (I2674-ROUNDDOWN(I2674,0)))</f>
      </c>
      <c r="K2674" s="7">
        <f>INDIRECT("C$"&amp;2+MIN(2,ROUNDDOWN(I2674,0))*3)*(-$J2674^3+3*$J2674^2-3*$J2674+1)+INDIRECT("C$"&amp;3+MIN(2,ROUNDDOWN(I2674,0))*3)*(3*$J2674^3-6*$J2674^2+3*$J2674)+INDIRECT("C$"&amp;4+MIN(2,ROUNDDOWN(I2674,0))*3)*(-3*$J2674^3+3*$J2674^2)+INDIRECT("C$"&amp;5+MIN(2,ROUNDDOWN(I2674,0))*3)*$J2674^3</f>
      </c>
      <c r="L2674" s="7">
        <f>INDIRECT("D$"&amp;2+MIN(2,ROUNDDOWN(I2674,0))*3)*(-$J2674^3+3*$J2674^2-3*$J2674+1)+INDIRECT("D$"&amp;3+MIN(2,ROUNDDOWN(I2674,0))*3)*(3*$J2674^3-6*$J2674^2+3*$J2674)+INDIRECT("D$"&amp;4+MIN(2,ROUNDDOWN(I2674,0))*3)*(-3*$J2674^3+3*$J2674^2)+INDIRECT("D$"&amp;5+MIN(2,ROUNDDOWN(I2674,0))*3)*$J2674^3</f>
      </c>
      <c r="M2674" s="7">
        <f>SQRT(K2674^2+L2674^2)</f>
      </c>
      <c r="N2674" s="7">
        <f>(K2675-K2673)</f>
      </c>
      <c r="O2674" s="7">
        <f>+(L2675-L2673)</f>
      </c>
      <c r="P2674" s="7">
        <f>SQRT(O2674^2+N2674^2)</f>
      </c>
      <c r="Q2674" s="7">
        <f>N2674/$P2674</f>
      </c>
      <c r="R2674" s="7">
        <f>O2674/$P2674</f>
      </c>
      <c r="S2674" s="7">
        <f>Q2674^2+R2674^2</f>
      </c>
      <c r="T2674" s="7">
        <f>-R2674</f>
      </c>
      <c r="U2674" s="7">
        <f>Q2674</f>
      </c>
      <c r="V2674" s="7">
        <f>($C$14+($C$15-$C$14)/($D$15-$D$14)*(I2674-$D$14))/2</f>
      </c>
      <c r="W2674" s="7">
        <f>($B$22*I2674^4+$C$22*I2674^3+$D$22*I2674^2+$E$22*I2674+$F$22)/2</f>
      </c>
      <c r="X2674" s="7">
        <f>($W2674)*(T2674)</f>
      </c>
      <c r="Y2674" s="7">
        <f>($W2674)*(U2674)</f>
      </c>
      <c r="Z2674" s="7">
        <f>SQRT(X2674^2+Y2674^2)</f>
      </c>
      <c r="AA2674" s="7">
        <f>$K2674+$X2674</f>
      </c>
      <c r="AB2674" s="7">
        <f>$L2674+$Y2674</f>
      </c>
      <c r="AC2674" s="7">
        <f>$K2674-$X2674</f>
      </c>
      <c r="AD2674" s="7">
        <f>$L2674-$Y2674</f>
      </c>
      <c r="AE2674" s="7">
        <f>AA2674/39.3701</f>
      </c>
      <c r="AF2674" s="7">
        <f>AB2674/39.3701</f>
      </c>
      <c r="AG2674" s="7">
        <f>AC2674/39.3701</f>
      </c>
      <c r="AH2674" s="7">
        <f>AD2674/39.3701</f>
      </c>
      <c r="AI2674" s="1"/>
      <c r="AJ2674" s="1"/>
      <c r="AK2674" s="1"/>
      <c r="AL2674" s="1"/>
      <c r="AM2674" s="2"/>
      <c r="AN2674" s="1"/>
      <c r="AO2674" s="1"/>
      <c r="AP2674" s="1"/>
      <c r="AQ2674" s="1"/>
      <c r="AR2674" s="1"/>
      <c r="AS2674" s="1"/>
      <c r="AT2674" s="1"/>
      <c r="AU2674" s="1"/>
      <c r="AV2674" s="1"/>
      <c r="AW2674" s="1"/>
      <c r="AX2674" s="1"/>
      <c r="AY2674" s="1"/>
      <c r="AZ2674" s="1"/>
      <c r="BA2674" s="1"/>
      <c r="BB2674" s="1"/>
      <c r="BC2674" s="1"/>
      <c r="BD2674" s="1"/>
      <c r="BE2674" s="1"/>
    </row>
    <row x14ac:dyDescent="0.25" r="2675" customHeight="1" ht="18.75">
      <c r="A2675" s="1"/>
      <c r="B2675" s="2"/>
      <c r="C2675" s="2"/>
      <c r="D2675" s="2"/>
      <c r="E2675" s="2"/>
      <c r="F2675" s="2"/>
      <c r="G2675" s="1"/>
      <c r="H2675" s="1"/>
      <c r="I2675" s="7">
        <v>2.672</v>
      </c>
      <c r="J2675" s="7">
        <f>IF((I2675-ROUNDDOWN(I2675,0))=0, 0, (I2675-ROUNDDOWN(I2675,0)))</f>
      </c>
      <c r="K2675" s="7">
        <f>INDIRECT("C$"&amp;2+MIN(2,ROUNDDOWN(I2675,0))*3)*(-$J2675^3+3*$J2675^2-3*$J2675+1)+INDIRECT("C$"&amp;3+MIN(2,ROUNDDOWN(I2675,0))*3)*(3*$J2675^3-6*$J2675^2+3*$J2675)+INDIRECT("C$"&amp;4+MIN(2,ROUNDDOWN(I2675,0))*3)*(-3*$J2675^3+3*$J2675^2)+INDIRECT("C$"&amp;5+MIN(2,ROUNDDOWN(I2675,0))*3)*$J2675^3</f>
      </c>
      <c r="L2675" s="7">
        <f>INDIRECT("D$"&amp;2+MIN(2,ROUNDDOWN(I2675,0))*3)*(-$J2675^3+3*$J2675^2-3*$J2675+1)+INDIRECT("D$"&amp;3+MIN(2,ROUNDDOWN(I2675,0))*3)*(3*$J2675^3-6*$J2675^2+3*$J2675)+INDIRECT("D$"&amp;4+MIN(2,ROUNDDOWN(I2675,0))*3)*(-3*$J2675^3+3*$J2675^2)+INDIRECT("D$"&amp;5+MIN(2,ROUNDDOWN(I2675,0))*3)*$J2675^3</f>
      </c>
      <c r="M2675" s="7">
        <f>SQRT(K2675^2+L2675^2)</f>
      </c>
      <c r="N2675" s="7">
        <f>(K2676-K2674)</f>
      </c>
      <c r="O2675" s="7">
        <f>+(L2676-L2674)</f>
      </c>
      <c r="P2675" s="7">
        <f>SQRT(O2675^2+N2675^2)</f>
      </c>
      <c r="Q2675" s="7">
        <f>N2675/$P2675</f>
      </c>
      <c r="R2675" s="7">
        <f>O2675/$P2675</f>
      </c>
      <c r="S2675" s="7">
        <f>Q2675^2+R2675^2</f>
      </c>
      <c r="T2675" s="7">
        <f>-R2675</f>
      </c>
      <c r="U2675" s="7">
        <f>Q2675</f>
      </c>
      <c r="V2675" s="7">
        <f>($C$14+($C$15-$C$14)/($D$15-$D$14)*(I2675-$D$14))/2</f>
      </c>
      <c r="W2675" s="7">
        <f>($B$22*I2675^4+$C$22*I2675^3+$D$22*I2675^2+$E$22*I2675+$F$22)/2</f>
      </c>
      <c r="X2675" s="7">
        <f>($W2675)*(T2675)</f>
      </c>
      <c r="Y2675" s="7">
        <f>($W2675)*(U2675)</f>
      </c>
      <c r="Z2675" s="7">
        <f>SQRT(X2675^2+Y2675^2)</f>
      </c>
      <c r="AA2675" s="7">
        <f>$K2675+$X2675</f>
      </c>
      <c r="AB2675" s="7">
        <f>$L2675+$Y2675</f>
      </c>
      <c r="AC2675" s="7">
        <f>$K2675-$X2675</f>
      </c>
      <c r="AD2675" s="7">
        <f>$L2675-$Y2675</f>
      </c>
      <c r="AE2675" s="7">
        <f>AA2675/39.3701</f>
      </c>
      <c r="AF2675" s="7">
        <f>AB2675/39.3701</f>
      </c>
      <c r="AG2675" s="7">
        <f>AC2675/39.3701</f>
      </c>
      <c r="AH2675" s="7">
        <f>AD2675/39.3701</f>
      </c>
      <c r="AI2675" s="1"/>
      <c r="AJ2675" s="1"/>
      <c r="AK2675" s="1"/>
      <c r="AL2675" s="1"/>
      <c r="AM2675" s="2"/>
      <c r="AN2675" s="1"/>
      <c r="AO2675" s="1"/>
      <c r="AP2675" s="1"/>
      <c r="AQ2675" s="1"/>
      <c r="AR2675" s="1"/>
      <c r="AS2675" s="1"/>
      <c r="AT2675" s="1"/>
      <c r="AU2675" s="1"/>
      <c r="AV2675" s="1"/>
      <c r="AW2675" s="1"/>
      <c r="AX2675" s="1"/>
      <c r="AY2675" s="1"/>
      <c r="AZ2675" s="1"/>
      <c r="BA2675" s="1"/>
      <c r="BB2675" s="1"/>
      <c r="BC2675" s="1"/>
      <c r="BD2675" s="1"/>
      <c r="BE2675" s="1"/>
    </row>
    <row x14ac:dyDescent="0.25" r="2676" customHeight="1" ht="18.75">
      <c r="A2676" s="1"/>
      <c r="B2676" s="2"/>
      <c r="C2676" s="2"/>
      <c r="D2676" s="2"/>
      <c r="E2676" s="2"/>
      <c r="F2676" s="2"/>
      <c r="G2676" s="1"/>
      <c r="H2676" s="1"/>
      <c r="I2676" s="7">
        <v>2.673</v>
      </c>
      <c r="J2676" s="7">
        <f>IF((I2676-ROUNDDOWN(I2676,0))=0, 0, (I2676-ROUNDDOWN(I2676,0)))</f>
      </c>
      <c r="K2676" s="7">
        <f>INDIRECT("C$"&amp;2+MIN(2,ROUNDDOWN(I2676,0))*3)*(-$J2676^3+3*$J2676^2-3*$J2676+1)+INDIRECT("C$"&amp;3+MIN(2,ROUNDDOWN(I2676,0))*3)*(3*$J2676^3-6*$J2676^2+3*$J2676)+INDIRECT("C$"&amp;4+MIN(2,ROUNDDOWN(I2676,0))*3)*(-3*$J2676^3+3*$J2676^2)+INDIRECT("C$"&amp;5+MIN(2,ROUNDDOWN(I2676,0))*3)*$J2676^3</f>
      </c>
      <c r="L2676" s="7">
        <f>INDIRECT("D$"&amp;2+MIN(2,ROUNDDOWN(I2676,0))*3)*(-$J2676^3+3*$J2676^2-3*$J2676+1)+INDIRECT("D$"&amp;3+MIN(2,ROUNDDOWN(I2676,0))*3)*(3*$J2676^3-6*$J2676^2+3*$J2676)+INDIRECT("D$"&amp;4+MIN(2,ROUNDDOWN(I2676,0))*3)*(-3*$J2676^3+3*$J2676^2)+INDIRECT("D$"&amp;5+MIN(2,ROUNDDOWN(I2676,0))*3)*$J2676^3</f>
      </c>
      <c r="M2676" s="7">
        <f>SQRT(K2676^2+L2676^2)</f>
      </c>
      <c r="N2676" s="7">
        <f>(K2677-K2675)</f>
      </c>
      <c r="O2676" s="7">
        <f>+(L2677-L2675)</f>
      </c>
      <c r="P2676" s="7">
        <f>SQRT(O2676^2+N2676^2)</f>
      </c>
      <c r="Q2676" s="7">
        <f>N2676/$P2676</f>
      </c>
      <c r="R2676" s="7">
        <f>O2676/$P2676</f>
      </c>
      <c r="S2676" s="7">
        <f>Q2676^2+R2676^2</f>
      </c>
      <c r="T2676" s="7">
        <f>-R2676</f>
      </c>
      <c r="U2676" s="7">
        <f>Q2676</f>
      </c>
      <c r="V2676" s="7">
        <f>($C$14+($C$15-$C$14)/($D$15-$D$14)*(I2676-$D$14))/2</f>
      </c>
      <c r="W2676" s="7">
        <f>($B$22*I2676^4+$C$22*I2676^3+$D$22*I2676^2+$E$22*I2676+$F$22)/2</f>
      </c>
      <c r="X2676" s="7">
        <f>($W2676)*(T2676)</f>
      </c>
      <c r="Y2676" s="7">
        <f>($W2676)*(U2676)</f>
      </c>
      <c r="Z2676" s="7">
        <f>SQRT(X2676^2+Y2676^2)</f>
      </c>
      <c r="AA2676" s="7">
        <f>$K2676+$X2676</f>
      </c>
      <c r="AB2676" s="7">
        <f>$L2676+$Y2676</f>
      </c>
      <c r="AC2676" s="7">
        <f>$K2676-$X2676</f>
      </c>
      <c r="AD2676" s="7">
        <f>$L2676-$Y2676</f>
      </c>
      <c r="AE2676" s="7">
        <f>AA2676/39.3701</f>
      </c>
      <c r="AF2676" s="7">
        <f>AB2676/39.3701</f>
      </c>
      <c r="AG2676" s="7">
        <f>AC2676/39.3701</f>
      </c>
      <c r="AH2676" s="7">
        <f>AD2676/39.3701</f>
      </c>
      <c r="AI2676" s="1"/>
      <c r="AJ2676" s="1"/>
      <c r="AK2676" s="1"/>
      <c r="AL2676" s="1"/>
      <c r="AM2676" s="2"/>
      <c r="AN2676" s="1"/>
      <c r="AO2676" s="1"/>
      <c r="AP2676" s="1"/>
      <c r="AQ2676" s="1"/>
      <c r="AR2676" s="1"/>
      <c r="AS2676" s="1"/>
      <c r="AT2676" s="1"/>
      <c r="AU2676" s="1"/>
      <c r="AV2676" s="1"/>
      <c r="AW2676" s="1"/>
      <c r="AX2676" s="1"/>
      <c r="AY2676" s="1"/>
      <c r="AZ2676" s="1"/>
      <c r="BA2676" s="1"/>
      <c r="BB2676" s="1"/>
      <c r="BC2676" s="1"/>
      <c r="BD2676" s="1"/>
      <c r="BE2676" s="1"/>
    </row>
    <row x14ac:dyDescent="0.25" r="2677" customHeight="1" ht="18.75">
      <c r="A2677" s="1"/>
      <c r="B2677" s="2"/>
      <c r="C2677" s="2"/>
      <c r="D2677" s="2"/>
      <c r="E2677" s="2"/>
      <c r="F2677" s="2"/>
      <c r="G2677" s="1"/>
      <c r="H2677" s="1"/>
      <c r="I2677" s="7">
        <v>2.674</v>
      </c>
      <c r="J2677" s="7">
        <f>IF((I2677-ROUNDDOWN(I2677,0))=0, 0, (I2677-ROUNDDOWN(I2677,0)))</f>
      </c>
      <c r="K2677" s="7">
        <f>INDIRECT("C$"&amp;2+MIN(2,ROUNDDOWN(I2677,0))*3)*(-$J2677^3+3*$J2677^2-3*$J2677+1)+INDIRECT("C$"&amp;3+MIN(2,ROUNDDOWN(I2677,0))*3)*(3*$J2677^3-6*$J2677^2+3*$J2677)+INDIRECT("C$"&amp;4+MIN(2,ROUNDDOWN(I2677,0))*3)*(-3*$J2677^3+3*$J2677^2)+INDIRECT("C$"&amp;5+MIN(2,ROUNDDOWN(I2677,0))*3)*$J2677^3</f>
      </c>
      <c r="L2677" s="7">
        <f>INDIRECT("D$"&amp;2+MIN(2,ROUNDDOWN(I2677,0))*3)*(-$J2677^3+3*$J2677^2-3*$J2677+1)+INDIRECT("D$"&amp;3+MIN(2,ROUNDDOWN(I2677,0))*3)*(3*$J2677^3-6*$J2677^2+3*$J2677)+INDIRECT("D$"&amp;4+MIN(2,ROUNDDOWN(I2677,0))*3)*(-3*$J2677^3+3*$J2677^2)+INDIRECT("D$"&amp;5+MIN(2,ROUNDDOWN(I2677,0))*3)*$J2677^3</f>
      </c>
      <c r="M2677" s="7">
        <f>SQRT(K2677^2+L2677^2)</f>
      </c>
      <c r="N2677" s="7">
        <f>(K2678-K2676)</f>
      </c>
      <c r="O2677" s="7">
        <f>+(L2678-L2676)</f>
      </c>
      <c r="P2677" s="7">
        <f>SQRT(O2677^2+N2677^2)</f>
      </c>
      <c r="Q2677" s="7">
        <f>N2677/$P2677</f>
      </c>
      <c r="R2677" s="7">
        <f>O2677/$P2677</f>
      </c>
      <c r="S2677" s="8">
        <f>Q2677^2+R2677^2</f>
      </c>
      <c r="T2677" s="7">
        <f>-R2677</f>
      </c>
      <c r="U2677" s="7">
        <f>Q2677</f>
      </c>
      <c r="V2677" s="7">
        <f>($C$14+($C$15-$C$14)/($D$15-$D$14)*(I2677-$D$14))/2</f>
      </c>
      <c r="W2677" s="7">
        <f>($B$22*I2677^4+$C$22*I2677^3+$D$22*I2677^2+$E$22*I2677+$F$22)/2</f>
      </c>
      <c r="X2677" s="7">
        <f>($W2677)*(T2677)</f>
      </c>
      <c r="Y2677" s="7">
        <f>($W2677)*(U2677)</f>
      </c>
      <c r="Z2677" s="7">
        <f>SQRT(X2677^2+Y2677^2)</f>
      </c>
      <c r="AA2677" s="7">
        <f>$K2677+$X2677</f>
      </c>
      <c r="AB2677" s="7">
        <f>$L2677+$Y2677</f>
      </c>
      <c r="AC2677" s="7">
        <f>$K2677-$X2677</f>
      </c>
      <c r="AD2677" s="7">
        <f>$L2677-$Y2677</f>
      </c>
      <c r="AE2677" s="7">
        <f>AA2677/39.3701</f>
      </c>
      <c r="AF2677" s="7">
        <f>AB2677/39.3701</f>
      </c>
      <c r="AG2677" s="7">
        <f>AC2677/39.3701</f>
      </c>
      <c r="AH2677" s="7">
        <f>AD2677/39.3701</f>
      </c>
      <c r="AI2677" s="1"/>
      <c r="AJ2677" s="1"/>
      <c r="AK2677" s="1"/>
      <c r="AL2677" s="1"/>
      <c r="AM2677" s="2"/>
      <c r="AN2677" s="1"/>
      <c r="AO2677" s="1"/>
      <c r="AP2677" s="1"/>
      <c r="AQ2677" s="1"/>
      <c r="AR2677" s="1"/>
      <c r="AS2677" s="1"/>
      <c r="AT2677" s="1"/>
      <c r="AU2677" s="1"/>
      <c r="AV2677" s="1"/>
      <c r="AW2677" s="1"/>
      <c r="AX2677" s="1"/>
      <c r="AY2677" s="1"/>
      <c r="AZ2677" s="1"/>
      <c r="BA2677" s="1"/>
      <c r="BB2677" s="1"/>
      <c r="BC2677" s="1"/>
      <c r="BD2677" s="1"/>
      <c r="BE2677" s="1"/>
    </row>
    <row x14ac:dyDescent="0.25" r="2678" customHeight="1" ht="18.75">
      <c r="A2678" s="1"/>
      <c r="B2678" s="2"/>
      <c r="C2678" s="2"/>
      <c r="D2678" s="2"/>
      <c r="E2678" s="2"/>
      <c r="F2678" s="2"/>
      <c r="G2678" s="1"/>
      <c r="H2678" s="1"/>
      <c r="I2678" s="7">
        <v>2.675</v>
      </c>
      <c r="J2678" s="7">
        <f>IF((I2678-ROUNDDOWN(I2678,0))=0, 0, (I2678-ROUNDDOWN(I2678,0)))</f>
      </c>
      <c r="K2678" s="7">
        <f>INDIRECT("C$"&amp;2+MIN(2,ROUNDDOWN(I2678,0))*3)*(-$J2678^3+3*$J2678^2-3*$J2678+1)+INDIRECT("C$"&amp;3+MIN(2,ROUNDDOWN(I2678,0))*3)*(3*$J2678^3-6*$J2678^2+3*$J2678)+INDIRECT("C$"&amp;4+MIN(2,ROUNDDOWN(I2678,0))*3)*(-3*$J2678^3+3*$J2678^2)+INDIRECT("C$"&amp;5+MIN(2,ROUNDDOWN(I2678,0))*3)*$J2678^3</f>
      </c>
      <c r="L2678" s="7">
        <f>INDIRECT("D$"&amp;2+MIN(2,ROUNDDOWN(I2678,0))*3)*(-$J2678^3+3*$J2678^2-3*$J2678+1)+INDIRECT("D$"&amp;3+MIN(2,ROUNDDOWN(I2678,0))*3)*(3*$J2678^3-6*$J2678^2+3*$J2678)+INDIRECT("D$"&amp;4+MIN(2,ROUNDDOWN(I2678,0))*3)*(-3*$J2678^3+3*$J2678^2)+INDIRECT("D$"&amp;5+MIN(2,ROUNDDOWN(I2678,0))*3)*$J2678^3</f>
      </c>
      <c r="M2678" s="7">
        <f>SQRT(K2678^2+L2678^2)</f>
      </c>
      <c r="N2678" s="7">
        <f>(K2679-K2677)</f>
      </c>
      <c r="O2678" s="7">
        <f>+(L2679-L2677)</f>
      </c>
      <c r="P2678" s="7">
        <f>SQRT(O2678^2+N2678^2)</f>
      </c>
      <c r="Q2678" s="7">
        <f>N2678/$P2678</f>
      </c>
      <c r="R2678" s="7">
        <f>O2678/$P2678</f>
      </c>
      <c r="S2678" s="7">
        <f>Q2678^2+R2678^2</f>
      </c>
      <c r="T2678" s="7">
        <f>-R2678</f>
      </c>
      <c r="U2678" s="7">
        <f>Q2678</f>
      </c>
      <c r="V2678" s="7">
        <f>($C$14+($C$15-$C$14)/($D$15-$D$14)*(I2678-$D$14))/2</f>
      </c>
      <c r="W2678" s="7">
        <f>($B$22*I2678^4+$C$22*I2678^3+$D$22*I2678^2+$E$22*I2678+$F$22)/2</f>
      </c>
      <c r="X2678" s="7">
        <f>($W2678)*(T2678)</f>
      </c>
      <c r="Y2678" s="7">
        <f>($W2678)*(U2678)</f>
      </c>
      <c r="Z2678" s="7">
        <f>SQRT(X2678^2+Y2678^2)</f>
      </c>
      <c r="AA2678" s="7">
        <f>$K2678+$X2678</f>
      </c>
      <c r="AB2678" s="7">
        <f>$L2678+$Y2678</f>
      </c>
      <c r="AC2678" s="7">
        <f>$K2678-$X2678</f>
      </c>
      <c r="AD2678" s="7">
        <f>$L2678-$Y2678</f>
      </c>
      <c r="AE2678" s="7">
        <f>AA2678/39.3701</f>
      </c>
      <c r="AF2678" s="7">
        <f>AB2678/39.3701</f>
      </c>
      <c r="AG2678" s="7">
        <f>AC2678/39.3701</f>
      </c>
      <c r="AH2678" s="7">
        <f>AD2678/39.3701</f>
      </c>
      <c r="AI2678" s="1"/>
      <c r="AJ2678" s="1"/>
      <c r="AK2678" s="1"/>
      <c r="AL2678" s="1"/>
      <c r="AM2678" s="2"/>
      <c r="AN2678" s="1"/>
      <c r="AO2678" s="1"/>
      <c r="AP2678" s="1"/>
      <c r="AQ2678" s="1"/>
      <c r="AR2678" s="1"/>
      <c r="AS2678" s="1"/>
      <c r="AT2678" s="1"/>
      <c r="AU2678" s="1"/>
      <c r="AV2678" s="1"/>
      <c r="AW2678" s="1"/>
      <c r="AX2678" s="1"/>
      <c r="AY2678" s="1"/>
      <c r="AZ2678" s="1"/>
      <c r="BA2678" s="1"/>
      <c r="BB2678" s="1"/>
      <c r="BC2678" s="1"/>
      <c r="BD2678" s="1"/>
      <c r="BE2678" s="1"/>
    </row>
    <row x14ac:dyDescent="0.25" r="2679" customHeight="1" ht="18.75">
      <c r="A2679" s="1"/>
      <c r="B2679" s="2"/>
      <c r="C2679" s="2"/>
      <c r="D2679" s="2"/>
      <c r="E2679" s="2"/>
      <c r="F2679" s="2"/>
      <c r="G2679" s="1"/>
      <c r="H2679" s="1"/>
      <c r="I2679" s="7">
        <v>2.676</v>
      </c>
      <c r="J2679" s="7">
        <f>IF((I2679-ROUNDDOWN(I2679,0))=0, 0, (I2679-ROUNDDOWN(I2679,0)))</f>
      </c>
      <c r="K2679" s="7">
        <f>INDIRECT("C$"&amp;2+MIN(2,ROUNDDOWN(I2679,0))*3)*(-$J2679^3+3*$J2679^2-3*$J2679+1)+INDIRECT("C$"&amp;3+MIN(2,ROUNDDOWN(I2679,0))*3)*(3*$J2679^3-6*$J2679^2+3*$J2679)+INDIRECT("C$"&amp;4+MIN(2,ROUNDDOWN(I2679,0))*3)*(-3*$J2679^3+3*$J2679^2)+INDIRECT("C$"&amp;5+MIN(2,ROUNDDOWN(I2679,0))*3)*$J2679^3</f>
      </c>
      <c r="L2679" s="7">
        <f>INDIRECT("D$"&amp;2+MIN(2,ROUNDDOWN(I2679,0))*3)*(-$J2679^3+3*$J2679^2-3*$J2679+1)+INDIRECT("D$"&amp;3+MIN(2,ROUNDDOWN(I2679,0))*3)*(3*$J2679^3-6*$J2679^2+3*$J2679)+INDIRECT("D$"&amp;4+MIN(2,ROUNDDOWN(I2679,0))*3)*(-3*$J2679^3+3*$J2679^2)+INDIRECT("D$"&amp;5+MIN(2,ROUNDDOWN(I2679,0))*3)*$J2679^3</f>
      </c>
      <c r="M2679" s="7">
        <f>SQRT(K2679^2+L2679^2)</f>
      </c>
      <c r="N2679" s="7">
        <f>(K2680-K2678)</f>
      </c>
      <c r="O2679" s="7">
        <f>+(L2680-L2678)</f>
      </c>
      <c r="P2679" s="7">
        <f>SQRT(O2679^2+N2679^2)</f>
      </c>
      <c r="Q2679" s="7">
        <f>N2679/$P2679</f>
      </c>
      <c r="R2679" s="7">
        <f>O2679/$P2679</f>
      </c>
      <c r="S2679" s="7">
        <f>Q2679^2+R2679^2</f>
      </c>
      <c r="T2679" s="7">
        <f>-R2679</f>
      </c>
      <c r="U2679" s="7">
        <f>Q2679</f>
      </c>
      <c r="V2679" s="7">
        <f>($C$14+($C$15-$C$14)/($D$15-$D$14)*(I2679-$D$14))/2</f>
      </c>
      <c r="W2679" s="7">
        <f>($B$22*I2679^4+$C$22*I2679^3+$D$22*I2679^2+$E$22*I2679+$F$22)/2</f>
      </c>
      <c r="X2679" s="7">
        <f>($W2679)*(T2679)</f>
      </c>
      <c r="Y2679" s="7">
        <f>($W2679)*(U2679)</f>
      </c>
      <c r="Z2679" s="7">
        <f>SQRT(X2679^2+Y2679^2)</f>
      </c>
      <c r="AA2679" s="7">
        <f>$K2679+$X2679</f>
      </c>
      <c r="AB2679" s="7">
        <f>$L2679+$Y2679</f>
      </c>
      <c r="AC2679" s="7">
        <f>$K2679-$X2679</f>
      </c>
      <c r="AD2679" s="7">
        <f>$L2679-$Y2679</f>
      </c>
      <c r="AE2679" s="7">
        <f>AA2679/39.3701</f>
      </c>
      <c r="AF2679" s="7">
        <f>AB2679/39.3701</f>
      </c>
      <c r="AG2679" s="7">
        <f>AC2679/39.3701</f>
      </c>
      <c r="AH2679" s="7">
        <f>AD2679/39.3701</f>
      </c>
      <c r="AI2679" s="1"/>
      <c r="AJ2679" s="1"/>
      <c r="AK2679" s="1"/>
      <c r="AL2679" s="1"/>
      <c r="AM2679" s="2"/>
      <c r="AN2679" s="1"/>
      <c r="AO2679" s="1"/>
      <c r="AP2679" s="1"/>
      <c r="AQ2679" s="1"/>
      <c r="AR2679" s="1"/>
      <c r="AS2679" s="1"/>
      <c r="AT2679" s="1"/>
      <c r="AU2679" s="1"/>
      <c r="AV2679" s="1"/>
      <c r="AW2679" s="1"/>
      <c r="AX2679" s="1"/>
      <c r="AY2679" s="1"/>
      <c r="AZ2679" s="1"/>
      <c r="BA2679" s="1"/>
      <c r="BB2679" s="1"/>
      <c r="BC2679" s="1"/>
      <c r="BD2679" s="1"/>
      <c r="BE2679" s="1"/>
    </row>
    <row x14ac:dyDescent="0.25" r="2680" customHeight="1" ht="18.75">
      <c r="A2680" s="1"/>
      <c r="B2680" s="2"/>
      <c r="C2680" s="2"/>
      <c r="D2680" s="2"/>
      <c r="E2680" s="2"/>
      <c r="F2680" s="2"/>
      <c r="G2680" s="1"/>
      <c r="H2680" s="1"/>
      <c r="I2680" s="7">
        <v>2.677</v>
      </c>
      <c r="J2680" s="7">
        <f>IF((I2680-ROUNDDOWN(I2680,0))=0, 0, (I2680-ROUNDDOWN(I2680,0)))</f>
      </c>
      <c r="K2680" s="7">
        <f>INDIRECT("C$"&amp;2+MIN(2,ROUNDDOWN(I2680,0))*3)*(-$J2680^3+3*$J2680^2-3*$J2680+1)+INDIRECT("C$"&amp;3+MIN(2,ROUNDDOWN(I2680,0))*3)*(3*$J2680^3-6*$J2680^2+3*$J2680)+INDIRECT("C$"&amp;4+MIN(2,ROUNDDOWN(I2680,0))*3)*(-3*$J2680^3+3*$J2680^2)+INDIRECT("C$"&amp;5+MIN(2,ROUNDDOWN(I2680,0))*3)*$J2680^3</f>
      </c>
      <c r="L2680" s="7">
        <f>INDIRECT("D$"&amp;2+MIN(2,ROUNDDOWN(I2680,0))*3)*(-$J2680^3+3*$J2680^2-3*$J2680+1)+INDIRECT("D$"&amp;3+MIN(2,ROUNDDOWN(I2680,0))*3)*(3*$J2680^3-6*$J2680^2+3*$J2680)+INDIRECT("D$"&amp;4+MIN(2,ROUNDDOWN(I2680,0))*3)*(-3*$J2680^3+3*$J2680^2)+INDIRECT("D$"&amp;5+MIN(2,ROUNDDOWN(I2680,0))*3)*$J2680^3</f>
      </c>
      <c r="M2680" s="7">
        <f>SQRT(K2680^2+L2680^2)</f>
      </c>
      <c r="N2680" s="7">
        <f>(K2681-K2679)</f>
      </c>
      <c r="O2680" s="7">
        <f>+(L2681-L2679)</f>
      </c>
      <c r="P2680" s="7">
        <f>SQRT(O2680^2+N2680^2)</f>
      </c>
      <c r="Q2680" s="7">
        <f>N2680/$P2680</f>
      </c>
      <c r="R2680" s="7">
        <f>O2680/$P2680</f>
      </c>
      <c r="S2680" s="8">
        <f>Q2680^2+R2680^2</f>
      </c>
      <c r="T2680" s="7">
        <f>-R2680</f>
      </c>
      <c r="U2680" s="7">
        <f>Q2680</f>
      </c>
      <c r="V2680" s="7">
        <f>($C$14+($C$15-$C$14)/($D$15-$D$14)*(I2680-$D$14))/2</f>
      </c>
      <c r="W2680" s="7">
        <f>($B$22*I2680^4+$C$22*I2680^3+$D$22*I2680^2+$E$22*I2680+$F$22)/2</f>
      </c>
      <c r="X2680" s="7">
        <f>($W2680)*(T2680)</f>
      </c>
      <c r="Y2680" s="7">
        <f>($W2680)*(U2680)</f>
      </c>
      <c r="Z2680" s="7">
        <f>SQRT(X2680^2+Y2680^2)</f>
      </c>
      <c r="AA2680" s="7">
        <f>$K2680+$X2680</f>
      </c>
      <c r="AB2680" s="7">
        <f>$L2680+$Y2680</f>
      </c>
      <c r="AC2680" s="7">
        <f>$K2680-$X2680</f>
      </c>
      <c r="AD2680" s="7">
        <f>$L2680-$Y2680</f>
      </c>
      <c r="AE2680" s="7">
        <f>AA2680/39.3701</f>
      </c>
      <c r="AF2680" s="7">
        <f>AB2680/39.3701</f>
      </c>
      <c r="AG2680" s="7">
        <f>AC2680/39.3701</f>
      </c>
      <c r="AH2680" s="7">
        <f>AD2680/39.3701</f>
      </c>
      <c r="AI2680" s="1"/>
      <c r="AJ2680" s="1"/>
      <c r="AK2680" s="1"/>
      <c r="AL2680" s="1"/>
      <c r="AM2680" s="2"/>
      <c r="AN2680" s="1"/>
      <c r="AO2680" s="1"/>
      <c r="AP2680" s="1"/>
      <c r="AQ2680" s="1"/>
      <c r="AR2680" s="1"/>
      <c r="AS2680" s="1"/>
      <c r="AT2680" s="1"/>
      <c r="AU2680" s="1"/>
      <c r="AV2680" s="1"/>
      <c r="AW2680" s="1"/>
      <c r="AX2680" s="1"/>
      <c r="AY2680" s="1"/>
      <c r="AZ2680" s="1"/>
      <c r="BA2680" s="1"/>
      <c r="BB2680" s="1"/>
      <c r="BC2680" s="1"/>
      <c r="BD2680" s="1"/>
      <c r="BE2680" s="1"/>
    </row>
    <row x14ac:dyDescent="0.25" r="2681" customHeight="1" ht="18.75">
      <c r="A2681" s="1"/>
      <c r="B2681" s="2"/>
      <c r="C2681" s="2"/>
      <c r="D2681" s="2"/>
      <c r="E2681" s="2"/>
      <c r="F2681" s="2"/>
      <c r="G2681" s="1"/>
      <c r="H2681" s="1"/>
      <c r="I2681" s="7">
        <v>2.678</v>
      </c>
      <c r="J2681" s="7">
        <f>IF((I2681-ROUNDDOWN(I2681,0))=0, 0, (I2681-ROUNDDOWN(I2681,0)))</f>
      </c>
      <c r="K2681" s="7">
        <f>INDIRECT("C$"&amp;2+MIN(2,ROUNDDOWN(I2681,0))*3)*(-$J2681^3+3*$J2681^2-3*$J2681+1)+INDIRECT("C$"&amp;3+MIN(2,ROUNDDOWN(I2681,0))*3)*(3*$J2681^3-6*$J2681^2+3*$J2681)+INDIRECT("C$"&amp;4+MIN(2,ROUNDDOWN(I2681,0))*3)*(-3*$J2681^3+3*$J2681^2)+INDIRECT("C$"&amp;5+MIN(2,ROUNDDOWN(I2681,0))*3)*$J2681^3</f>
      </c>
      <c r="L2681" s="7">
        <f>INDIRECT("D$"&amp;2+MIN(2,ROUNDDOWN(I2681,0))*3)*(-$J2681^3+3*$J2681^2-3*$J2681+1)+INDIRECT("D$"&amp;3+MIN(2,ROUNDDOWN(I2681,0))*3)*(3*$J2681^3-6*$J2681^2+3*$J2681)+INDIRECT("D$"&amp;4+MIN(2,ROUNDDOWN(I2681,0))*3)*(-3*$J2681^3+3*$J2681^2)+INDIRECT("D$"&amp;5+MIN(2,ROUNDDOWN(I2681,0))*3)*$J2681^3</f>
      </c>
      <c r="M2681" s="7">
        <f>SQRT(K2681^2+L2681^2)</f>
      </c>
      <c r="N2681" s="7">
        <f>(K2682-K2680)</f>
      </c>
      <c r="O2681" s="7">
        <f>+(L2682-L2680)</f>
      </c>
      <c r="P2681" s="7">
        <f>SQRT(O2681^2+N2681^2)</f>
      </c>
      <c r="Q2681" s="7">
        <f>N2681/$P2681</f>
      </c>
      <c r="R2681" s="7">
        <f>O2681/$P2681</f>
      </c>
      <c r="S2681" s="8">
        <f>Q2681^2+R2681^2</f>
      </c>
      <c r="T2681" s="7">
        <f>-R2681</f>
      </c>
      <c r="U2681" s="7">
        <f>Q2681</f>
      </c>
      <c r="V2681" s="7">
        <f>($C$14+($C$15-$C$14)/($D$15-$D$14)*(I2681-$D$14))/2</f>
      </c>
      <c r="W2681" s="7">
        <f>($B$22*I2681^4+$C$22*I2681^3+$D$22*I2681^2+$E$22*I2681+$F$22)/2</f>
      </c>
      <c r="X2681" s="7">
        <f>($W2681)*(T2681)</f>
      </c>
      <c r="Y2681" s="7">
        <f>($W2681)*(U2681)</f>
      </c>
      <c r="Z2681" s="7">
        <f>SQRT(X2681^2+Y2681^2)</f>
      </c>
      <c r="AA2681" s="7">
        <f>$K2681+$X2681</f>
      </c>
      <c r="AB2681" s="7">
        <f>$L2681+$Y2681</f>
      </c>
      <c r="AC2681" s="7">
        <f>$K2681-$X2681</f>
      </c>
      <c r="AD2681" s="7">
        <f>$L2681-$Y2681</f>
      </c>
      <c r="AE2681" s="7">
        <f>AA2681/39.3701</f>
      </c>
      <c r="AF2681" s="7">
        <f>AB2681/39.3701</f>
      </c>
      <c r="AG2681" s="7">
        <f>AC2681/39.3701</f>
      </c>
      <c r="AH2681" s="7">
        <f>AD2681/39.3701</f>
      </c>
      <c r="AI2681" s="1"/>
      <c r="AJ2681" s="1"/>
      <c r="AK2681" s="1"/>
      <c r="AL2681" s="1"/>
      <c r="AM2681" s="2"/>
      <c r="AN2681" s="1"/>
      <c r="AO2681" s="1"/>
      <c r="AP2681" s="1"/>
      <c r="AQ2681" s="1"/>
      <c r="AR2681" s="1"/>
      <c r="AS2681" s="1"/>
      <c r="AT2681" s="1"/>
      <c r="AU2681" s="1"/>
      <c r="AV2681" s="1"/>
      <c r="AW2681" s="1"/>
      <c r="AX2681" s="1"/>
      <c r="AY2681" s="1"/>
      <c r="AZ2681" s="1"/>
      <c r="BA2681" s="1"/>
      <c r="BB2681" s="1"/>
      <c r="BC2681" s="1"/>
      <c r="BD2681" s="1"/>
      <c r="BE2681" s="1"/>
    </row>
    <row x14ac:dyDescent="0.25" r="2682" customHeight="1" ht="18.75">
      <c r="A2682" s="1"/>
      <c r="B2682" s="2"/>
      <c r="C2682" s="2"/>
      <c r="D2682" s="2"/>
      <c r="E2682" s="2"/>
      <c r="F2682" s="2"/>
      <c r="G2682" s="1"/>
      <c r="H2682" s="1"/>
      <c r="I2682" s="7">
        <v>2.679</v>
      </c>
      <c r="J2682" s="7">
        <f>IF((I2682-ROUNDDOWN(I2682,0))=0, 0, (I2682-ROUNDDOWN(I2682,0)))</f>
      </c>
      <c r="K2682" s="7">
        <f>INDIRECT("C$"&amp;2+MIN(2,ROUNDDOWN(I2682,0))*3)*(-$J2682^3+3*$J2682^2-3*$J2682+1)+INDIRECT("C$"&amp;3+MIN(2,ROUNDDOWN(I2682,0))*3)*(3*$J2682^3-6*$J2682^2+3*$J2682)+INDIRECT("C$"&amp;4+MIN(2,ROUNDDOWN(I2682,0))*3)*(-3*$J2682^3+3*$J2682^2)+INDIRECT("C$"&amp;5+MIN(2,ROUNDDOWN(I2682,0))*3)*$J2682^3</f>
      </c>
      <c r="L2682" s="7">
        <f>INDIRECT("D$"&amp;2+MIN(2,ROUNDDOWN(I2682,0))*3)*(-$J2682^3+3*$J2682^2-3*$J2682+1)+INDIRECT("D$"&amp;3+MIN(2,ROUNDDOWN(I2682,0))*3)*(3*$J2682^3-6*$J2682^2+3*$J2682)+INDIRECT("D$"&amp;4+MIN(2,ROUNDDOWN(I2682,0))*3)*(-3*$J2682^3+3*$J2682^2)+INDIRECT("D$"&amp;5+MIN(2,ROUNDDOWN(I2682,0))*3)*$J2682^3</f>
      </c>
      <c r="M2682" s="7">
        <f>SQRT(K2682^2+L2682^2)</f>
      </c>
      <c r="N2682" s="7">
        <f>(K2683-K2681)</f>
      </c>
      <c r="O2682" s="7">
        <f>+(L2683-L2681)</f>
      </c>
      <c r="P2682" s="7">
        <f>SQRT(O2682^2+N2682^2)</f>
      </c>
      <c r="Q2682" s="7">
        <f>N2682/$P2682</f>
      </c>
      <c r="R2682" s="7">
        <f>O2682/$P2682</f>
      </c>
      <c r="S2682" s="7">
        <f>Q2682^2+R2682^2</f>
      </c>
      <c r="T2682" s="7">
        <f>-R2682</f>
      </c>
      <c r="U2682" s="7">
        <f>Q2682</f>
      </c>
      <c r="V2682" s="7">
        <f>($C$14+($C$15-$C$14)/($D$15-$D$14)*(I2682-$D$14))/2</f>
      </c>
      <c r="W2682" s="7">
        <f>($B$22*I2682^4+$C$22*I2682^3+$D$22*I2682^2+$E$22*I2682+$F$22)/2</f>
      </c>
      <c r="X2682" s="7">
        <f>($W2682)*(T2682)</f>
      </c>
      <c r="Y2682" s="7">
        <f>($W2682)*(U2682)</f>
      </c>
      <c r="Z2682" s="7">
        <f>SQRT(X2682^2+Y2682^2)</f>
      </c>
      <c r="AA2682" s="7">
        <f>$K2682+$X2682</f>
      </c>
      <c r="AB2682" s="7">
        <f>$L2682+$Y2682</f>
      </c>
      <c r="AC2682" s="7">
        <f>$K2682-$X2682</f>
      </c>
      <c r="AD2682" s="7">
        <f>$L2682-$Y2682</f>
      </c>
      <c r="AE2682" s="7">
        <f>AA2682/39.3701</f>
      </c>
      <c r="AF2682" s="7">
        <f>AB2682/39.3701</f>
      </c>
      <c r="AG2682" s="7">
        <f>AC2682/39.3701</f>
      </c>
      <c r="AH2682" s="7">
        <f>AD2682/39.3701</f>
      </c>
      <c r="AI2682" s="1"/>
      <c r="AJ2682" s="1"/>
      <c r="AK2682" s="1"/>
      <c r="AL2682" s="1"/>
      <c r="AM2682" s="2"/>
      <c r="AN2682" s="1"/>
      <c r="AO2682" s="1"/>
      <c r="AP2682" s="1"/>
      <c r="AQ2682" s="1"/>
      <c r="AR2682" s="1"/>
      <c r="AS2682" s="1"/>
      <c r="AT2682" s="1"/>
      <c r="AU2682" s="1"/>
      <c r="AV2682" s="1"/>
      <c r="AW2682" s="1"/>
      <c r="AX2682" s="1"/>
      <c r="AY2682" s="1"/>
      <c r="AZ2682" s="1"/>
      <c r="BA2682" s="1"/>
      <c r="BB2682" s="1"/>
      <c r="BC2682" s="1"/>
      <c r="BD2682" s="1"/>
      <c r="BE2682" s="1"/>
    </row>
    <row x14ac:dyDescent="0.25" r="2683" customHeight="1" ht="18.75">
      <c r="A2683" s="1"/>
      <c r="B2683" s="2"/>
      <c r="C2683" s="2"/>
      <c r="D2683" s="2"/>
      <c r="E2683" s="2"/>
      <c r="F2683" s="2"/>
      <c r="G2683" s="1"/>
      <c r="H2683" s="1"/>
      <c r="I2683" s="7">
        <v>2.68</v>
      </c>
      <c r="J2683" s="7">
        <f>IF((I2683-ROUNDDOWN(I2683,0))=0, 0, (I2683-ROUNDDOWN(I2683,0)))</f>
      </c>
      <c r="K2683" s="7">
        <f>INDIRECT("C$"&amp;2+MIN(2,ROUNDDOWN(I2683,0))*3)*(-$J2683^3+3*$J2683^2-3*$J2683+1)+INDIRECT("C$"&amp;3+MIN(2,ROUNDDOWN(I2683,0))*3)*(3*$J2683^3-6*$J2683^2+3*$J2683)+INDIRECT("C$"&amp;4+MIN(2,ROUNDDOWN(I2683,0))*3)*(-3*$J2683^3+3*$J2683^2)+INDIRECT("C$"&amp;5+MIN(2,ROUNDDOWN(I2683,0))*3)*$J2683^3</f>
      </c>
      <c r="L2683" s="7">
        <f>INDIRECT("D$"&amp;2+MIN(2,ROUNDDOWN(I2683,0))*3)*(-$J2683^3+3*$J2683^2-3*$J2683+1)+INDIRECT("D$"&amp;3+MIN(2,ROUNDDOWN(I2683,0))*3)*(3*$J2683^3-6*$J2683^2+3*$J2683)+INDIRECT("D$"&amp;4+MIN(2,ROUNDDOWN(I2683,0))*3)*(-3*$J2683^3+3*$J2683^2)+INDIRECT("D$"&amp;5+MIN(2,ROUNDDOWN(I2683,0))*3)*$J2683^3</f>
      </c>
      <c r="M2683" s="7">
        <f>SQRT(K2683^2+L2683^2)</f>
      </c>
      <c r="N2683" s="7">
        <f>(K2684-K2682)</f>
      </c>
      <c r="O2683" s="7">
        <f>+(L2684-L2682)</f>
      </c>
      <c r="P2683" s="7">
        <f>SQRT(O2683^2+N2683^2)</f>
      </c>
      <c r="Q2683" s="7">
        <f>N2683/$P2683</f>
      </c>
      <c r="R2683" s="7">
        <f>O2683/$P2683</f>
      </c>
      <c r="S2683" s="8">
        <f>Q2683^2+R2683^2</f>
      </c>
      <c r="T2683" s="7">
        <f>-R2683</f>
      </c>
      <c r="U2683" s="7">
        <f>Q2683</f>
      </c>
      <c r="V2683" s="7">
        <f>($C$14+($C$15-$C$14)/($D$15-$D$14)*(I2683-$D$14))/2</f>
      </c>
      <c r="W2683" s="7">
        <f>($B$22*I2683^4+$C$22*I2683^3+$D$22*I2683^2+$E$22*I2683+$F$22)/2</f>
      </c>
      <c r="X2683" s="7">
        <f>($W2683)*(T2683)</f>
      </c>
      <c r="Y2683" s="7">
        <f>($W2683)*(U2683)</f>
      </c>
      <c r="Z2683" s="7">
        <f>SQRT(X2683^2+Y2683^2)</f>
      </c>
      <c r="AA2683" s="7">
        <f>$K2683+$X2683</f>
      </c>
      <c r="AB2683" s="7">
        <f>$L2683+$Y2683</f>
      </c>
      <c r="AC2683" s="7">
        <f>$K2683-$X2683</f>
      </c>
      <c r="AD2683" s="7">
        <f>$L2683-$Y2683</f>
      </c>
      <c r="AE2683" s="7">
        <f>AA2683/39.3701</f>
      </c>
      <c r="AF2683" s="7">
        <f>AB2683/39.3701</f>
      </c>
      <c r="AG2683" s="7">
        <f>AC2683/39.3701</f>
      </c>
      <c r="AH2683" s="7">
        <f>AD2683/39.3701</f>
      </c>
      <c r="AI2683" s="1"/>
      <c r="AJ2683" s="1"/>
      <c r="AK2683" s="1"/>
      <c r="AL2683" s="1"/>
      <c r="AM2683" s="2"/>
      <c r="AN2683" s="1"/>
      <c r="AO2683" s="1"/>
      <c r="AP2683" s="1"/>
      <c r="AQ2683" s="1"/>
      <c r="AR2683" s="1"/>
      <c r="AS2683" s="1"/>
      <c r="AT2683" s="1"/>
      <c r="AU2683" s="1"/>
      <c r="AV2683" s="1"/>
      <c r="AW2683" s="1"/>
      <c r="AX2683" s="1"/>
      <c r="AY2683" s="1"/>
      <c r="AZ2683" s="1"/>
      <c r="BA2683" s="1"/>
      <c r="BB2683" s="1"/>
      <c r="BC2683" s="1"/>
      <c r="BD2683" s="1"/>
      <c r="BE2683" s="1"/>
    </row>
    <row x14ac:dyDescent="0.25" r="2684" customHeight="1" ht="18.75">
      <c r="A2684" s="1"/>
      <c r="B2684" s="2"/>
      <c r="C2684" s="2"/>
      <c r="D2684" s="2"/>
      <c r="E2684" s="2"/>
      <c r="F2684" s="2"/>
      <c r="G2684" s="1"/>
      <c r="H2684" s="1"/>
      <c r="I2684" s="7">
        <v>2.681</v>
      </c>
      <c r="J2684" s="7">
        <f>IF((I2684-ROUNDDOWN(I2684,0))=0, 0, (I2684-ROUNDDOWN(I2684,0)))</f>
      </c>
      <c r="K2684" s="7">
        <f>INDIRECT("C$"&amp;2+MIN(2,ROUNDDOWN(I2684,0))*3)*(-$J2684^3+3*$J2684^2-3*$J2684+1)+INDIRECT("C$"&amp;3+MIN(2,ROUNDDOWN(I2684,0))*3)*(3*$J2684^3-6*$J2684^2+3*$J2684)+INDIRECT("C$"&amp;4+MIN(2,ROUNDDOWN(I2684,0))*3)*(-3*$J2684^3+3*$J2684^2)+INDIRECT("C$"&amp;5+MIN(2,ROUNDDOWN(I2684,0))*3)*$J2684^3</f>
      </c>
      <c r="L2684" s="7">
        <f>INDIRECT("D$"&amp;2+MIN(2,ROUNDDOWN(I2684,0))*3)*(-$J2684^3+3*$J2684^2-3*$J2684+1)+INDIRECT("D$"&amp;3+MIN(2,ROUNDDOWN(I2684,0))*3)*(3*$J2684^3-6*$J2684^2+3*$J2684)+INDIRECT("D$"&amp;4+MIN(2,ROUNDDOWN(I2684,0))*3)*(-3*$J2684^3+3*$J2684^2)+INDIRECT("D$"&amp;5+MIN(2,ROUNDDOWN(I2684,0))*3)*$J2684^3</f>
      </c>
      <c r="M2684" s="7">
        <f>SQRT(K2684^2+L2684^2)</f>
      </c>
      <c r="N2684" s="7">
        <f>(K2685-K2683)</f>
      </c>
      <c r="O2684" s="7">
        <f>+(L2685-L2683)</f>
      </c>
      <c r="P2684" s="7">
        <f>SQRT(O2684^2+N2684^2)</f>
      </c>
      <c r="Q2684" s="7">
        <f>N2684/$P2684</f>
      </c>
      <c r="R2684" s="7">
        <f>O2684/$P2684</f>
      </c>
      <c r="S2684" s="7">
        <f>Q2684^2+R2684^2</f>
      </c>
      <c r="T2684" s="7">
        <f>-R2684</f>
      </c>
      <c r="U2684" s="7">
        <f>Q2684</f>
      </c>
      <c r="V2684" s="7">
        <f>($C$14+($C$15-$C$14)/($D$15-$D$14)*(I2684-$D$14))/2</f>
      </c>
      <c r="W2684" s="7">
        <f>($B$22*I2684^4+$C$22*I2684^3+$D$22*I2684^2+$E$22*I2684+$F$22)/2</f>
      </c>
      <c r="X2684" s="7">
        <f>($W2684)*(T2684)</f>
      </c>
      <c r="Y2684" s="7">
        <f>($W2684)*(U2684)</f>
      </c>
      <c r="Z2684" s="7">
        <f>SQRT(X2684^2+Y2684^2)</f>
      </c>
      <c r="AA2684" s="7">
        <f>$K2684+$X2684</f>
      </c>
      <c r="AB2684" s="7">
        <f>$L2684+$Y2684</f>
      </c>
      <c r="AC2684" s="7">
        <f>$K2684-$X2684</f>
      </c>
      <c r="AD2684" s="7">
        <f>$L2684-$Y2684</f>
      </c>
      <c r="AE2684" s="7">
        <f>AA2684/39.3701</f>
      </c>
      <c r="AF2684" s="7">
        <f>AB2684/39.3701</f>
      </c>
      <c r="AG2684" s="7">
        <f>AC2684/39.3701</f>
      </c>
      <c r="AH2684" s="7">
        <f>AD2684/39.3701</f>
      </c>
      <c r="AI2684" s="1"/>
      <c r="AJ2684" s="1"/>
      <c r="AK2684" s="1"/>
      <c r="AL2684" s="1"/>
      <c r="AM2684" s="2"/>
      <c r="AN2684" s="1"/>
      <c r="AO2684" s="1"/>
      <c r="AP2684" s="1"/>
      <c r="AQ2684" s="1"/>
      <c r="AR2684" s="1"/>
      <c r="AS2684" s="1"/>
      <c r="AT2684" s="1"/>
      <c r="AU2684" s="1"/>
      <c r="AV2684" s="1"/>
      <c r="AW2684" s="1"/>
      <c r="AX2684" s="1"/>
      <c r="AY2684" s="1"/>
      <c r="AZ2684" s="1"/>
      <c r="BA2684" s="1"/>
      <c r="BB2684" s="1"/>
      <c r="BC2684" s="1"/>
      <c r="BD2684" s="1"/>
      <c r="BE2684" s="1"/>
    </row>
    <row x14ac:dyDescent="0.25" r="2685" customHeight="1" ht="18.75">
      <c r="A2685" s="1"/>
      <c r="B2685" s="2"/>
      <c r="C2685" s="2"/>
      <c r="D2685" s="2"/>
      <c r="E2685" s="2"/>
      <c r="F2685" s="2"/>
      <c r="G2685" s="1"/>
      <c r="H2685" s="1"/>
      <c r="I2685" s="7">
        <v>2.682</v>
      </c>
      <c r="J2685" s="7">
        <f>IF((I2685-ROUNDDOWN(I2685,0))=0, 0, (I2685-ROUNDDOWN(I2685,0)))</f>
      </c>
      <c r="K2685" s="7">
        <f>INDIRECT("C$"&amp;2+MIN(2,ROUNDDOWN(I2685,0))*3)*(-$J2685^3+3*$J2685^2-3*$J2685+1)+INDIRECT("C$"&amp;3+MIN(2,ROUNDDOWN(I2685,0))*3)*(3*$J2685^3-6*$J2685^2+3*$J2685)+INDIRECT("C$"&amp;4+MIN(2,ROUNDDOWN(I2685,0))*3)*(-3*$J2685^3+3*$J2685^2)+INDIRECT("C$"&amp;5+MIN(2,ROUNDDOWN(I2685,0))*3)*$J2685^3</f>
      </c>
      <c r="L2685" s="7">
        <f>INDIRECT("D$"&amp;2+MIN(2,ROUNDDOWN(I2685,0))*3)*(-$J2685^3+3*$J2685^2-3*$J2685+1)+INDIRECT("D$"&amp;3+MIN(2,ROUNDDOWN(I2685,0))*3)*(3*$J2685^3-6*$J2685^2+3*$J2685)+INDIRECT("D$"&amp;4+MIN(2,ROUNDDOWN(I2685,0))*3)*(-3*$J2685^3+3*$J2685^2)+INDIRECT("D$"&amp;5+MIN(2,ROUNDDOWN(I2685,0))*3)*$J2685^3</f>
      </c>
      <c r="M2685" s="7">
        <f>SQRT(K2685^2+L2685^2)</f>
      </c>
      <c r="N2685" s="7">
        <f>(K2686-K2684)</f>
      </c>
      <c r="O2685" s="7">
        <f>+(L2686-L2684)</f>
      </c>
      <c r="P2685" s="7">
        <f>SQRT(O2685^2+N2685^2)</f>
      </c>
      <c r="Q2685" s="7">
        <f>N2685/$P2685</f>
      </c>
      <c r="R2685" s="7">
        <f>O2685/$P2685</f>
      </c>
      <c r="S2685" s="7">
        <f>Q2685^2+R2685^2</f>
      </c>
      <c r="T2685" s="7">
        <f>-R2685</f>
      </c>
      <c r="U2685" s="7">
        <f>Q2685</f>
      </c>
      <c r="V2685" s="7">
        <f>($C$14+($C$15-$C$14)/($D$15-$D$14)*(I2685-$D$14))/2</f>
      </c>
      <c r="W2685" s="7">
        <f>($B$22*I2685^4+$C$22*I2685^3+$D$22*I2685^2+$E$22*I2685+$F$22)/2</f>
      </c>
      <c r="X2685" s="7">
        <f>($W2685)*(T2685)</f>
      </c>
      <c r="Y2685" s="7">
        <f>($W2685)*(U2685)</f>
      </c>
      <c r="Z2685" s="7">
        <f>SQRT(X2685^2+Y2685^2)</f>
      </c>
      <c r="AA2685" s="7">
        <f>$K2685+$X2685</f>
      </c>
      <c r="AB2685" s="7">
        <f>$L2685+$Y2685</f>
      </c>
      <c r="AC2685" s="7">
        <f>$K2685-$X2685</f>
      </c>
      <c r="AD2685" s="7">
        <f>$L2685-$Y2685</f>
      </c>
      <c r="AE2685" s="7">
        <f>AA2685/39.3701</f>
      </c>
      <c r="AF2685" s="7">
        <f>AB2685/39.3701</f>
      </c>
      <c r="AG2685" s="7">
        <f>AC2685/39.3701</f>
      </c>
      <c r="AH2685" s="7">
        <f>AD2685/39.3701</f>
      </c>
      <c r="AI2685" s="1"/>
      <c r="AJ2685" s="1"/>
      <c r="AK2685" s="1"/>
      <c r="AL2685" s="1"/>
      <c r="AM2685" s="2"/>
      <c r="AN2685" s="1"/>
      <c r="AO2685" s="1"/>
      <c r="AP2685" s="1"/>
      <c r="AQ2685" s="1"/>
      <c r="AR2685" s="1"/>
      <c r="AS2685" s="1"/>
      <c r="AT2685" s="1"/>
      <c r="AU2685" s="1"/>
      <c r="AV2685" s="1"/>
      <c r="AW2685" s="1"/>
      <c r="AX2685" s="1"/>
      <c r="AY2685" s="1"/>
      <c r="AZ2685" s="1"/>
      <c r="BA2685" s="1"/>
      <c r="BB2685" s="1"/>
      <c r="BC2685" s="1"/>
      <c r="BD2685" s="1"/>
      <c r="BE2685" s="1"/>
    </row>
    <row x14ac:dyDescent="0.25" r="2686" customHeight="1" ht="18.75">
      <c r="A2686" s="1"/>
      <c r="B2686" s="2"/>
      <c r="C2686" s="2"/>
      <c r="D2686" s="2"/>
      <c r="E2686" s="2"/>
      <c r="F2686" s="2"/>
      <c r="G2686" s="1"/>
      <c r="H2686" s="1"/>
      <c r="I2686" s="7">
        <v>2.683</v>
      </c>
      <c r="J2686" s="7">
        <f>IF((I2686-ROUNDDOWN(I2686,0))=0, 0, (I2686-ROUNDDOWN(I2686,0)))</f>
      </c>
      <c r="K2686" s="7">
        <f>INDIRECT("C$"&amp;2+MIN(2,ROUNDDOWN(I2686,0))*3)*(-$J2686^3+3*$J2686^2-3*$J2686+1)+INDIRECT("C$"&amp;3+MIN(2,ROUNDDOWN(I2686,0))*3)*(3*$J2686^3-6*$J2686^2+3*$J2686)+INDIRECT("C$"&amp;4+MIN(2,ROUNDDOWN(I2686,0))*3)*(-3*$J2686^3+3*$J2686^2)+INDIRECT("C$"&amp;5+MIN(2,ROUNDDOWN(I2686,0))*3)*$J2686^3</f>
      </c>
      <c r="L2686" s="7">
        <f>INDIRECT("D$"&amp;2+MIN(2,ROUNDDOWN(I2686,0))*3)*(-$J2686^3+3*$J2686^2-3*$J2686+1)+INDIRECT("D$"&amp;3+MIN(2,ROUNDDOWN(I2686,0))*3)*(3*$J2686^3-6*$J2686^2+3*$J2686)+INDIRECT("D$"&amp;4+MIN(2,ROUNDDOWN(I2686,0))*3)*(-3*$J2686^3+3*$J2686^2)+INDIRECT("D$"&amp;5+MIN(2,ROUNDDOWN(I2686,0))*3)*$J2686^3</f>
      </c>
      <c r="M2686" s="7">
        <f>SQRT(K2686^2+L2686^2)</f>
      </c>
      <c r="N2686" s="7">
        <f>(K2687-K2685)</f>
      </c>
      <c r="O2686" s="7">
        <f>+(L2687-L2685)</f>
      </c>
      <c r="P2686" s="7">
        <f>SQRT(O2686^2+N2686^2)</f>
      </c>
      <c r="Q2686" s="7">
        <f>N2686/$P2686</f>
      </c>
      <c r="R2686" s="7">
        <f>O2686/$P2686</f>
      </c>
      <c r="S2686" s="7">
        <f>Q2686^2+R2686^2</f>
      </c>
      <c r="T2686" s="7">
        <f>-R2686</f>
      </c>
      <c r="U2686" s="7">
        <f>Q2686</f>
      </c>
      <c r="V2686" s="7">
        <f>($C$14+($C$15-$C$14)/($D$15-$D$14)*(I2686-$D$14))/2</f>
      </c>
      <c r="W2686" s="7">
        <f>($B$22*I2686^4+$C$22*I2686^3+$D$22*I2686^2+$E$22*I2686+$F$22)/2</f>
      </c>
      <c r="X2686" s="7">
        <f>($W2686)*(T2686)</f>
      </c>
      <c r="Y2686" s="7">
        <f>($W2686)*(U2686)</f>
      </c>
      <c r="Z2686" s="7">
        <f>SQRT(X2686^2+Y2686^2)</f>
      </c>
      <c r="AA2686" s="7">
        <f>$K2686+$X2686</f>
      </c>
      <c r="AB2686" s="7">
        <f>$L2686+$Y2686</f>
      </c>
      <c r="AC2686" s="7">
        <f>$K2686-$X2686</f>
      </c>
      <c r="AD2686" s="7">
        <f>$L2686-$Y2686</f>
      </c>
      <c r="AE2686" s="7">
        <f>AA2686/39.3701</f>
      </c>
      <c r="AF2686" s="7">
        <f>AB2686/39.3701</f>
      </c>
      <c r="AG2686" s="7">
        <f>AC2686/39.3701</f>
      </c>
      <c r="AH2686" s="7">
        <f>AD2686/39.3701</f>
      </c>
      <c r="AI2686" s="1"/>
      <c r="AJ2686" s="1"/>
      <c r="AK2686" s="1"/>
      <c r="AL2686" s="1"/>
      <c r="AM2686" s="2"/>
      <c r="AN2686" s="1"/>
      <c r="AO2686" s="1"/>
      <c r="AP2686" s="1"/>
      <c r="AQ2686" s="1"/>
      <c r="AR2686" s="1"/>
      <c r="AS2686" s="1"/>
      <c r="AT2686" s="1"/>
      <c r="AU2686" s="1"/>
      <c r="AV2686" s="1"/>
      <c r="AW2686" s="1"/>
      <c r="AX2686" s="1"/>
      <c r="AY2686" s="1"/>
      <c r="AZ2686" s="1"/>
      <c r="BA2686" s="1"/>
      <c r="BB2686" s="1"/>
      <c r="BC2686" s="1"/>
      <c r="BD2686" s="1"/>
      <c r="BE2686" s="1"/>
    </row>
    <row x14ac:dyDescent="0.25" r="2687" customHeight="1" ht="18.75">
      <c r="A2687" s="1"/>
      <c r="B2687" s="2"/>
      <c r="C2687" s="2"/>
      <c r="D2687" s="2"/>
      <c r="E2687" s="2"/>
      <c r="F2687" s="2"/>
      <c r="G2687" s="1"/>
      <c r="H2687" s="1"/>
      <c r="I2687" s="7">
        <v>2.684</v>
      </c>
      <c r="J2687" s="7">
        <f>IF((I2687-ROUNDDOWN(I2687,0))=0, 0, (I2687-ROUNDDOWN(I2687,0)))</f>
      </c>
      <c r="K2687" s="7">
        <f>INDIRECT("C$"&amp;2+MIN(2,ROUNDDOWN(I2687,0))*3)*(-$J2687^3+3*$J2687^2-3*$J2687+1)+INDIRECT("C$"&amp;3+MIN(2,ROUNDDOWN(I2687,0))*3)*(3*$J2687^3-6*$J2687^2+3*$J2687)+INDIRECT("C$"&amp;4+MIN(2,ROUNDDOWN(I2687,0))*3)*(-3*$J2687^3+3*$J2687^2)+INDIRECT("C$"&amp;5+MIN(2,ROUNDDOWN(I2687,0))*3)*$J2687^3</f>
      </c>
      <c r="L2687" s="7">
        <f>INDIRECT("D$"&amp;2+MIN(2,ROUNDDOWN(I2687,0))*3)*(-$J2687^3+3*$J2687^2-3*$J2687+1)+INDIRECT("D$"&amp;3+MIN(2,ROUNDDOWN(I2687,0))*3)*(3*$J2687^3-6*$J2687^2+3*$J2687)+INDIRECT("D$"&amp;4+MIN(2,ROUNDDOWN(I2687,0))*3)*(-3*$J2687^3+3*$J2687^2)+INDIRECT("D$"&amp;5+MIN(2,ROUNDDOWN(I2687,0))*3)*$J2687^3</f>
      </c>
      <c r="M2687" s="7">
        <f>SQRT(K2687^2+L2687^2)</f>
      </c>
      <c r="N2687" s="7">
        <f>(K2688-K2686)</f>
      </c>
      <c r="O2687" s="7">
        <f>+(L2688-L2686)</f>
      </c>
      <c r="P2687" s="7">
        <f>SQRT(O2687^2+N2687^2)</f>
      </c>
      <c r="Q2687" s="7">
        <f>N2687/$P2687</f>
      </c>
      <c r="R2687" s="7">
        <f>O2687/$P2687</f>
      </c>
      <c r="S2687" s="8">
        <f>Q2687^2+R2687^2</f>
      </c>
      <c r="T2687" s="7">
        <f>-R2687</f>
      </c>
      <c r="U2687" s="7">
        <f>Q2687</f>
      </c>
      <c r="V2687" s="7">
        <f>($C$14+($C$15-$C$14)/($D$15-$D$14)*(I2687-$D$14))/2</f>
      </c>
      <c r="W2687" s="7">
        <f>($B$22*I2687^4+$C$22*I2687^3+$D$22*I2687^2+$E$22*I2687+$F$22)/2</f>
      </c>
      <c r="X2687" s="7">
        <f>($W2687)*(T2687)</f>
      </c>
      <c r="Y2687" s="7">
        <f>($W2687)*(U2687)</f>
      </c>
      <c r="Z2687" s="7">
        <f>SQRT(X2687^2+Y2687^2)</f>
      </c>
      <c r="AA2687" s="7">
        <f>$K2687+$X2687</f>
      </c>
      <c r="AB2687" s="7">
        <f>$L2687+$Y2687</f>
      </c>
      <c r="AC2687" s="7">
        <f>$K2687-$X2687</f>
      </c>
      <c r="AD2687" s="7">
        <f>$L2687-$Y2687</f>
      </c>
      <c r="AE2687" s="7">
        <f>AA2687/39.3701</f>
      </c>
      <c r="AF2687" s="7">
        <f>AB2687/39.3701</f>
      </c>
      <c r="AG2687" s="7">
        <f>AC2687/39.3701</f>
      </c>
      <c r="AH2687" s="7">
        <f>AD2687/39.3701</f>
      </c>
      <c r="AI2687" s="1"/>
      <c r="AJ2687" s="1"/>
      <c r="AK2687" s="1"/>
      <c r="AL2687" s="1"/>
      <c r="AM2687" s="2"/>
      <c r="AN2687" s="1"/>
      <c r="AO2687" s="1"/>
      <c r="AP2687" s="1"/>
      <c r="AQ2687" s="1"/>
      <c r="AR2687" s="1"/>
      <c r="AS2687" s="1"/>
      <c r="AT2687" s="1"/>
      <c r="AU2687" s="1"/>
      <c r="AV2687" s="1"/>
      <c r="AW2687" s="1"/>
      <c r="AX2687" s="1"/>
      <c r="AY2687" s="1"/>
      <c r="AZ2687" s="1"/>
      <c r="BA2687" s="1"/>
      <c r="BB2687" s="1"/>
      <c r="BC2687" s="1"/>
      <c r="BD2687" s="1"/>
      <c r="BE2687" s="1"/>
    </row>
    <row x14ac:dyDescent="0.25" r="2688" customHeight="1" ht="18.75">
      <c r="A2688" s="1"/>
      <c r="B2688" s="2"/>
      <c r="C2688" s="2"/>
      <c r="D2688" s="2"/>
      <c r="E2688" s="2"/>
      <c r="F2688" s="2"/>
      <c r="G2688" s="1"/>
      <c r="H2688" s="1"/>
      <c r="I2688" s="7">
        <v>2.685</v>
      </c>
      <c r="J2688" s="7">
        <f>IF((I2688-ROUNDDOWN(I2688,0))=0, 0, (I2688-ROUNDDOWN(I2688,0)))</f>
      </c>
      <c r="K2688" s="7">
        <f>INDIRECT("C$"&amp;2+MIN(2,ROUNDDOWN(I2688,0))*3)*(-$J2688^3+3*$J2688^2-3*$J2688+1)+INDIRECT("C$"&amp;3+MIN(2,ROUNDDOWN(I2688,0))*3)*(3*$J2688^3-6*$J2688^2+3*$J2688)+INDIRECT("C$"&amp;4+MIN(2,ROUNDDOWN(I2688,0))*3)*(-3*$J2688^3+3*$J2688^2)+INDIRECT("C$"&amp;5+MIN(2,ROUNDDOWN(I2688,0))*3)*$J2688^3</f>
      </c>
      <c r="L2688" s="7">
        <f>INDIRECT("D$"&amp;2+MIN(2,ROUNDDOWN(I2688,0))*3)*(-$J2688^3+3*$J2688^2-3*$J2688+1)+INDIRECT("D$"&amp;3+MIN(2,ROUNDDOWN(I2688,0))*3)*(3*$J2688^3-6*$J2688^2+3*$J2688)+INDIRECT("D$"&amp;4+MIN(2,ROUNDDOWN(I2688,0))*3)*(-3*$J2688^3+3*$J2688^2)+INDIRECT("D$"&amp;5+MIN(2,ROUNDDOWN(I2688,0))*3)*$J2688^3</f>
      </c>
      <c r="M2688" s="7">
        <f>SQRT(K2688^2+L2688^2)</f>
      </c>
      <c r="N2688" s="7">
        <f>(K2689-K2687)</f>
      </c>
      <c r="O2688" s="7">
        <f>+(L2689-L2687)</f>
      </c>
      <c r="P2688" s="7">
        <f>SQRT(O2688^2+N2688^2)</f>
      </c>
      <c r="Q2688" s="7">
        <f>N2688/$P2688</f>
      </c>
      <c r="R2688" s="7">
        <f>O2688/$P2688</f>
      </c>
      <c r="S2688" s="8">
        <f>Q2688^2+R2688^2</f>
      </c>
      <c r="T2688" s="7">
        <f>-R2688</f>
      </c>
      <c r="U2688" s="7">
        <f>Q2688</f>
      </c>
      <c r="V2688" s="7">
        <f>($C$14+($C$15-$C$14)/($D$15-$D$14)*(I2688-$D$14))/2</f>
      </c>
      <c r="W2688" s="7">
        <f>($B$22*I2688^4+$C$22*I2688^3+$D$22*I2688^2+$E$22*I2688+$F$22)/2</f>
      </c>
      <c r="X2688" s="7">
        <f>($W2688)*(T2688)</f>
      </c>
      <c r="Y2688" s="7">
        <f>($W2688)*(U2688)</f>
      </c>
      <c r="Z2688" s="7">
        <f>SQRT(X2688^2+Y2688^2)</f>
      </c>
      <c r="AA2688" s="7">
        <f>$K2688+$X2688</f>
      </c>
      <c r="AB2688" s="7">
        <f>$L2688+$Y2688</f>
      </c>
      <c r="AC2688" s="7">
        <f>$K2688-$X2688</f>
      </c>
      <c r="AD2688" s="7">
        <f>$L2688-$Y2688</f>
      </c>
      <c r="AE2688" s="7">
        <f>AA2688/39.3701</f>
      </c>
      <c r="AF2688" s="7">
        <f>AB2688/39.3701</f>
      </c>
      <c r="AG2688" s="7">
        <f>AC2688/39.3701</f>
      </c>
      <c r="AH2688" s="7">
        <f>AD2688/39.3701</f>
      </c>
      <c r="AI2688" s="1"/>
      <c r="AJ2688" s="1"/>
      <c r="AK2688" s="1"/>
      <c r="AL2688" s="1"/>
      <c r="AM2688" s="2"/>
      <c r="AN2688" s="1"/>
      <c r="AO2688" s="1"/>
      <c r="AP2688" s="1"/>
      <c r="AQ2688" s="1"/>
      <c r="AR2688" s="1"/>
      <c r="AS2688" s="1"/>
      <c r="AT2688" s="1"/>
      <c r="AU2688" s="1"/>
      <c r="AV2688" s="1"/>
      <c r="AW2688" s="1"/>
      <c r="AX2688" s="1"/>
      <c r="AY2688" s="1"/>
      <c r="AZ2688" s="1"/>
      <c r="BA2688" s="1"/>
      <c r="BB2688" s="1"/>
      <c r="BC2688" s="1"/>
      <c r="BD2688" s="1"/>
      <c r="BE2688" s="1"/>
    </row>
    <row x14ac:dyDescent="0.25" r="2689" customHeight="1" ht="18.75">
      <c r="A2689" s="1"/>
      <c r="B2689" s="2"/>
      <c r="C2689" s="2"/>
      <c r="D2689" s="2"/>
      <c r="E2689" s="2"/>
      <c r="F2689" s="2"/>
      <c r="G2689" s="1"/>
      <c r="H2689" s="1"/>
      <c r="I2689" s="7">
        <v>2.686</v>
      </c>
      <c r="J2689" s="7">
        <f>IF((I2689-ROUNDDOWN(I2689,0))=0, 0, (I2689-ROUNDDOWN(I2689,0)))</f>
      </c>
      <c r="K2689" s="7">
        <f>INDIRECT("C$"&amp;2+MIN(2,ROUNDDOWN(I2689,0))*3)*(-$J2689^3+3*$J2689^2-3*$J2689+1)+INDIRECT("C$"&amp;3+MIN(2,ROUNDDOWN(I2689,0))*3)*(3*$J2689^3-6*$J2689^2+3*$J2689)+INDIRECT("C$"&amp;4+MIN(2,ROUNDDOWN(I2689,0))*3)*(-3*$J2689^3+3*$J2689^2)+INDIRECT("C$"&amp;5+MIN(2,ROUNDDOWN(I2689,0))*3)*$J2689^3</f>
      </c>
      <c r="L2689" s="7">
        <f>INDIRECT("D$"&amp;2+MIN(2,ROUNDDOWN(I2689,0))*3)*(-$J2689^3+3*$J2689^2-3*$J2689+1)+INDIRECT("D$"&amp;3+MIN(2,ROUNDDOWN(I2689,0))*3)*(3*$J2689^3-6*$J2689^2+3*$J2689)+INDIRECT("D$"&amp;4+MIN(2,ROUNDDOWN(I2689,0))*3)*(-3*$J2689^3+3*$J2689^2)+INDIRECT("D$"&amp;5+MIN(2,ROUNDDOWN(I2689,0))*3)*$J2689^3</f>
      </c>
      <c r="M2689" s="7">
        <f>SQRT(K2689^2+L2689^2)</f>
      </c>
      <c r="N2689" s="7">
        <f>(K2690-K2688)</f>
      </c>
      <c r="O2689" s="7">
        <f>+(L2690-L2688)</f>
      </c>
      <c r="P2689" s="7">
        <f>SQRT(O2689^2+N2689^2)</f>
      </c>
      <c r="Q2689" s="7">
        <f>N2689/$P2689</f>
      </c>
      <c r="R2689" s="7">
        <f>O2689/$P2689</f>
      </c>
      <c r="S2689" s="7">
        <f>Q2689^2+R2689^2</f>
      </c>
      <c r="T2689" s="7">
        <f>-R2689</f>
      </c>
      <c r="U2689" s="7">
        <f>Q2689</f>
      </c>
      <c r="V2689" s="7">
        <f>($C$14+($C$15-$C$14)/($D$15-$D$14)*(I2689-$D$14))/2</f>
      </c>
      <c r="W2689" s="7">
        <f>($B$22*I2689^4+$C$22*I2689^3+$D$22*I2689^2+$E$22*I2689+$F$22)/2</f>
      </c>
      <c r="X2689" s="7">
        <f>($W2689)*(T2689)</f>
      </c>
      <c r="Y2689" s="7">
        <f>($W2689)*(U2689)</f>
      </c>
      <c r="Z2689" s="7">
        <f>SQRT(X2689^2+Y2689^2)</f>
      </c>
      <c r="AA2689" s="7">
        <f>$K2689+$X2689</f>
      </c>
      <c r="AB2689" s="7">
        <f>$L2689+$Y2689</f>
      </c>
      <c r="AC2689" s="7">
        <f>$K2689-$X2689</f>
      </c>
      <c r="AD2689" s="7">
        <f>$L2689-$Y2689</f>
      </c>
      <c r="AE2689" s="7">
        <f>AA2689/39.3701</f>
      </c>
      <c r="AF2689" s="7">
        <f>AB2689/39.3701</f>
      </c>
      <c r="AG2689" s="7">
        <f>AC2689/39.3701</f>
      </c>
      <c r="AH2689" s="7">
        <f>AD2689/39.3701</f>
      </c>
      <c r="AI2689" s="1"/>
      <c r="AJ2689" s="1"/>
      <c r="AK2689" s="1"/>
      <c r="AL2689" s="1"/>
      <c r="AM2689" s="2"/>
      <c r="AN2689" s="1"/>
      <c r="AO2689" s="1"/>
      <c r="AP2689" s="1"/>
      <c r="AQ2689" s="1"/>
      <c r="AR2689" s="1"/>
      <c r="AS2689" s="1"/>
      <c r="AT2689" s="1"/>
      <c r="AU2689" s="1"/>
      <c r="AV2689" s="1"/>
      <c r="AW2689" s="1"/>
      <c r="AX2689" s="1"/>
      <c r="AY2689" s="1"/>
      <c r="AZ2689" s="1"/>
      <c r="BA2689" s="1"/>
      <c r="BB2689" s="1"/>
      <c r="BC2689" s="1"/>
      <c r="BD2689" s="1"/>
      <c r="BE2689" s="1"/>
    </row>
    <row x14ac:dyDescent="0.25" r="2690" customHeight="1" ht="18.75">
      <c r="A2690" s="1"/>
      <c r="B2690" s="2"/>
      <c r="C2690" s="2"/>
      <c r="D2690" s="2"/>
      <c r="E2690" s="2"/>
      <c r="F2690" s="2"/>
      <c r="G2690" s="1"/>
      <c r="H2690" s="1"/>
      <c r="I2690" s="7">
        <v>2.687</v>
      </c>
      <c r="J2690" s="7">
        <f>IF((I2690-ROUNDDOWN(I2690,0))=0, 0, (I2690-ROUNDDOWN(I2690,0)))</f>
      </c>
      <c r="K2690" s="7">
        <f>INDIRECT("C$"&amp;2+MIN(2,ROUNDDOWN(I2690,0))*3)*(-$J2690^3+3*$J2690^2-3*$J2690+1)+INDIRECT("C$"&amp;3+MIN(2,ROUNDDOWN(I2690,0))*3)*(3*$J2690^3-6*$J2690^2+3*$J2690)+INDIRECT("C$"&amp;4+MIN(2,ROUNDDOWN(I2690,0))*3)*(-3*$J2690^3+3*$J2690^2)+INDIRECT("C$"&amp;5+MIN(2,ROUNDDOWN(I2690,0))*3)*$J2690^3</f>
      </c>
      <c r="L2690" s="7">
        <f>INDIRECT("D$"&amp;2+MIN(2,ROUNDDOWN(I2690,0))*3)*(-$J2690^3+3*$J2690^2-3*$J2690+1)+INDIRECT("D$"&amp;3+MIN(2,ROUNDDOWN(I2690,0))*3)*(3*$J2690^3-6*$J2690^2+3*$J2690)+INDIRECT("D$"&amp;4+MIN(2,ROUNDDOWN(I2690,0))*3)*(-3*$J2690^3+3*$J2690^2)+INDIRECT("D$"&amp;5+MIN(2,ROUNDDOWN(I2690,0))*3)*$J2690^3</f>
      </c>
      <c r="M2690" s="7">
        <f>SQRT(K2690^2+L2690^2)</f>
      </c>
      <c r="N2690" s="7">
        <f>(K2691-K2689)</f>
      </c>
      <c r="O2690" s="7">
        <f>+(L2691-L2689)</f>
      </c>
      <c r="P2690" s="7">
        <f>SQRT(O2690^2+N2690^2)</f>
      </c>
      <c r="Q2690" s="7">
        <f>N2690/$P2690</f>
      </c>
      <c r="R2690" s="7">
        <f>O2690/$P2690</f>
      </c>
      <c r="S2690" s="8">
        <f>Q2690^2+R2690^2</f>
      </c>
      <c r="T2690" s="7">
        <f>-R2690</f>
      </c>
      <c r="U2690" s="7">
        <f>Q2690</f>
      </c>
      <c r="V2690" s="7">
        <f>($C$14+($C$15-$C$14)/($D$15-$D$14)*(I2690-$D$14))/2</f>
      </c>
      <c r="W2690" s="7">
        <f>($B$22*I2690^4+$C$22*I2690^3+$D$22*I2690^2+$E$22*I2690+$F$22)/2</f>
      </c>
      <c r="X2690" s="7">
        <f>($W2690)*(T2690)</f>
      </c>
      <c r="Y2690" s="7">
        <f>($W2690)*(U2690)</f>
      </c>
      <c r="Z2690" s="7">
        <f>SQRT(X2690^2+Y2690^2)</f>
      </c>
      <c r="AA2690" s="7">
        <f>$K2690+$X2690</f>
      </c>
      <c r="AB2690" s="7">
        <f>$L2690+$Y2690</f>
      </c>
      <c r="AC2690" s="7">
        <f>$K2690-$X2690</f>
      </c>
      <c r="AD2690" s="7">
        <f>$L2690-$Y2690</f>
      </c>
      <c r="AE2690" s="7">
        <f>AA2690/39.3701</f>
      </c>
      <c r="AF2690" s="7">
        <f>AB2690/39.3701</f>
      </c>
      <c r="AG2690" s="7">
        <f>AC2690/39.3701</f>
      </c>
      <c r="AH2690" s="7">
        <f>AD2690/39.3701</f>
      </c>
      <c r="AI2690" s="1"/>
      <c r="AJ2690" s="1"/>
      <c r="AK2690" s="1"/>
      <c r="AL2690" s="1"/>
      <c r="AM2690" s="2"/>
      <c r="AN2690" s="1"/>
      <c r="AO2690" s="1"/>
      <c r="AP2690" s="1"/>
      <c r="AQ2690" s="1"/>
      <c r="AR2690" s="1"/>
      <c r="AS2690" s="1"/>
      <c r="AT2690" s="1"/>
      <c r="AU2690" s="1"/>
      <c r="AV2690" s="1"/>
      <c r="AW2690" s="1"/>
      <c r="AX2690" s="1"/>
      <c r="AY2690" s="1"/>
      <c r="AZ2690" s="1"/>
      <c r="BA2690" s="1"/>
      <c r="BB2690" s="1"/>
      <c r="BC2690" s="1"/>
      <c r="BD2690" s="1"/>
      <c r="BE2690" s="1"/>
    </row>
    <row x14ac:dyDescent="0.25" r="2691" customHeight="1" ht="18.75">
      <c r="A2691" s="1"/>
      <c r="B2691" s="2"/>
      <c r="C2691" s="2"/>
      <c r="D2691" s="2"/>
      <c r="E2691" s="2"/>
      <c r="F2691" s="2"/>
      <c r="G2691" s="1"/>
      <c r="H2691" s="1"/>
      <c r="I2691" s="7">
        <v>2.688</v>
      </c>
      <c r="J2691" s="7">
        <f>IF((I2691-ROUNDDOWN(I2691,0))=0, 0, (I2691-ROUNDDOWN(I2691,0)))</f>
      </c>
      <c r="K2691" s="7">
        <f>INDIRECT("C$"&amp;2+MIN(2,ROUNDDOWN(I2691,0))*3)*(-$J2691^3+3*$J2691^2-3*$J2691+1)+INDIRECT("C$"&amp;3+MIN(2,ROUNDDOWN(I2691,0))*3)*(3*$J2691^3-6*$J2691^2+3*$J2691)+INDIRECT("C$"&amp;4+MIN(2,ROUNDDOWN(I2691,0))*3)*(-3*$J2691^3+3*$J2691^2)+INDIRECT("C$"&amp;5+MIN(2,ROUNDDOWN(I2691,0))*3)*$J2691^3</f>
      </c>
      <c r="L2691" s="7">
        <f>INDIRECT("D$"&amp;2+MIN(2,ROUNDDOWN(I2691,0))*3)*(-$J2691^3+3*$J2691^2-3*$J2691+1)+INDIRECT("D$"&amp;3+MIN(2,ROUNDDOWN(I2691,0))*3)*(3*$J2691^3-6*$J2691^2+3*$J2691)+INDIRECT("D$"&amp;4+MIN(2,ROUNDDOWN(I2691,0))*3)*(-3*$J2691^3+3*$J2691^2)+INDIRECT("D$"&amp;5+MIN(2,ROUNDDOWN(I2691,0))*3)*$J2691^3</f>
      </c>
      <c r="M2691" s="7">
        <f>SQRT(K2691^2+L2691^2)</f>
      </c>
      <c r="N2691" s="7">
        <f>(K2692-K2690)</f>
      </c>
      <c r="O2691" s="7">
        <f>+(L2692-L2690)</f>
      </c>
      <c r="P2691" s="7">
        <f>SQRT(O2691^2+N2691^2)</f>
      </c>
      <c r="Q2691" s="7">
        <f>N2691/$P2691</f>
      </c>
      <c r="R2691" s="7">
        <f>O2691/$P2691</f>
      </c>
      <c r="S2691" s="7">
        <f>Q2691^2+R2691^2</f>
      </c>
      <c r="T2691" s="7">
        <f>-R2691</f>
      </c>
      <c r="U2691" s="7">
        <f>Q2691</f>
      </c>
      <c r="V2691" s="7">
        <f>($C$14+($C$15-$C$14)/($D$15-$D$14)*(I2691-$D$14))/2</f>
      </c>
      <c r="W2691" s="7">
        <f>($B$22*I2691^4+$C$22*I2691^3+$D$22*I2691^2+$E$22*I2691+$F$22)/2</f>
      </c>
      <c r="X2691" s="7">
        <f>($W2691)*(T2691)</f>
      </c>
      <c r="Y2691" s="7">
        <f>($W2691)*(U2691)</f>
      </c>
      <c r="Z2691" s="7">
        <f>SQRT(X2691^2+Y2691^2)</f>
      </c>
      <c r="AA2691" s="7">
        <f>$K2691+$X2691</f>
      </c>
      <c r="AB2691" s="7">
        <f>$L2691+$Y2691</f>
      </c>
      <c r="AC2691" s="7">
        <f>$K2691-$X2691</f>
      </c>
      <c r="AD2691" s="7">
        <f>$L2691-$Y2691</f>
      </c>
      <c r="AE2691" s="7">
        <f>AA2691/39.3701</f>
      </c>
      <c r="AF2691" s="7">
        <f>AB2691/39.3701</f>
      </c>
      <c r="AG2691" s="7">
        <f>AC2691/39.3701</f>
      </c>
      <c r="AH2691" s="7">
        <f>AD2691/39.3701</f>
      </c>
      <c r="AI2691" s="1"/>
      <c r="AJ2691" s="1"/>
      <c r="AK2691" s="1"/>
      <c r="AL2691" s="1"/>
      <c r="AM2691" s="2"/>
      <c r="AN2691" s="1"/>
      <c r="AO2691" s="1"/>
      <c r="AP2691" s="1"/>
      <c r="AQ2691" s="1"/>
      <c r="AR2691" s="1"/>
      <c r="AS2691" s="1"/>
      <c r="AT2691" s="1"/>
      <c r="AU2691" s="1"/>
      <c r="AV2691" s="1"/>
      <c r="AW2691" s="1"/>
      <c r="AX2691" s="1"/>
      <c r="AY2691" s="1"/>
      <c r="AZ2691" s="1"/>
      <c r="BA2691" s="1"/>
      <c r="BB2691" s="1"/>
      <c r="BC2691" s="1"/>
      <c r="BD2691" s="1"/>
      <c r="BE2691" s="1"/>
    </row>
    <row x14ac:dyDescent="0.25" r="2692" customHeight="1" ht="18.75">
      <c r="A2692" s="1"/>
      <c r="B2692" s="2"/>
      <c r="C2692" s="2"/>
      <c r="D2692" s="2"/>
      <c r="E2692" s="2"/>
      <c r="F2692" s="2"/>
      <c r="G2692" s="1"/>
      <c r="H2692" s="1"/>
      <c r="I2692" s="7">
        <v>2.689</v>
      </c>
      <c r="J2692" s="7">
        <f>IF((I2692-ROUNDDOWN(I2692,0))=0, 0, (I2692-ROUNDDOWN(I2692,0)))</f>
      </c>
      <c r="K2692" s="7">
        <f>INDIRECT("C$"&amp;2+MIN(2,ROUNDDOWN(I2692,0))*3)*(-$J2692^3+3*$J2692^2-3*$J2692+1)+INDIRECT("C$"&amp;3+MIN(2,ROUNDDOWN(I2692,0))*3)*(3*$J2692^3-6*$J2692^2+3*$J2692)+INDIRECT("C$"&amp;4+MIN(2,ROUNDDOWN(I2692,0))*3)*(-3*$J2692^3+3*$J2692^2)+INDIRECT("C$"&amp;5+MIN(2,ROUNDDOWN(I2692,0))*3)*$J2692^3</f>
      </c>
      <c r="L2692" s="7">
        <f>INDIRECT("D$"&amp;2+MIN(2,ROUNDDOWN(I2692,0))*3)*(-$J2692^3+3*$J2692^2-3*$J2692+1)+INDIRECT("D$"&amp;3+MIN(2,ROUNDDOWN(I2692,0))*3)*(3*$J2692^3-6*$J2692^2+3*$J2692)+INDIRECT("D$"&amp;4+MIN(2,ROUNDDOWN(I2692,0))*3)*(-3*$J2692^3+3*$J2692^2)+INDIRECT("D$"&amp;5+MIN(2,ROUNDDOWN(I2692,0))*3)*$J2692^3</f>
      </c>
      <c r="M2692" s="7">
        <f>SQRT(K2692^2+L2692^2)</f>
      </c>
      <c r="N2692" s="7">
        <f>(K2693-K2691)</f>
      </c>
      <c r="O2692" s="7">
        <f>+(L2693-L2691)</f>
      </c>
      <c r="P2692" s="7">
        <f>SQRT(O2692^2+N2692^2)</f>
      </c>
      <c r="Q2692" s="7">
        <f>N2692/$P2692</f>
      </c>
      <c r="R2692" s="7">
        <f>O2692/$P2692</f>
      </c>
      <c r="S2692" s="8">
        <f>Q2692^2+R2692^2</f>
      </c>
      <c r="T2692" s="7">
        <f>-R2692</f>
      </c>
      <c r="U2692" s="7">
        <f>Q2692</f>
      </c>
      <c r="V2692" s="7">
        <f>($C$14+($C$15-$C$14)/($D$15-$D$14)*(I2692-$D$14))/2</f>
      </c>
      <c r="W2692" s="7">
        <f>($B$22*I2692^4+$C$22*I2692^3+$D$22*I2692^2+$E$22*I2692+$F$22)/2</f>
      </c>
      <c r="X2692" s="7">
        <f>($W2692)*(T2692)</f>
      </c>
      <c r="Y2692" s="7">
        <f>($W2692)*(U2692)</f>
      </c>
      <c r="Z2692" s="7">
        <f>SQRT(X2692^2+Y2692^2)</f>
      </c>
      <c r="AA2692" s="7">
        <f>$K2692+$X2692</f>
      </c>
      <c r="AB2692" s="7">
        <f>$L2692+$Y2692</f>
      </c>
      <c r="AC2692" s="7">
        <f>$K2692-$X2692</f>
      </c>
      <c r="AD2692" s="7">
        <f>$L2692-$Y2692</f>
      </c>
      <c r="AE2692" s="7">
        <f>AA2692/39.3701</f>
      </c>
      <c r="AF2692" s="7">
        <f>AB2692/39.3701</f>
      </c>
      <c r="AG2692" s="7">
        <f>AC2692/39.3701</f>
      </c>
      <c r="AH2692" s="7">
        <f>AD2692/39.3701</f>
      </c>
      <c r="AI2692" s="1"/>
      <c r="AJ2692" s="1"/>
      <c r="AK2692" s="1"/>
      <c r="AL2692" s="1"/>
      <c r="AM2692" s="2"/>
      <c r="AN2692" s="1"/>
      <c r="AO2692" s="1"/>
      <c r="AP2692" s="1"/>
      <c r="AQ2692" s="1"/>
      <c r="AR2692" s="1"/>
      <c r="AS2692" s="1"/>
      <c r="AT2692" s="1"/>
      <c r="AU2692" s="1"/>
      <c r="AV2692" s="1"/>
      <c r="AW2692" s="1"/>
      <c r="AX2692" s="1"/>
      <c r="AY2692" s="1"/>
      <c r="AZ2692" s="1"/>
      <c r="BA2692" s="1"/>
      <c r="BB2692" s="1"/>
      <c r="BC2692" s="1"/>
      <c r="BD2692" s="1"/>
      <c r="BE2692" s="1"/>
    </row>
    <row x14ac:dyDescent="0.25" r="2693" customHeight="1" ht="18.75">
      <c r="A2693" s="1"/>
      <c r="B2693" s="2"/>
      <c r="C2693" s="2"/>
      <c r="D2693" s="2"/>
      <c r="E2693" s="2"/>
      <c r="F2693" s="2"/>
      <c r="G2693" s="1"/>
      <c r="H2693" s="1"/>
      <c r="I2693" s="7">
        <v>2.69</v>
      </c>
      <c r="J2693" s="7">
        <f>IF((I2693-ROUNDDOWN(I2693,0))=0, 0, (I2693-ROUNDDOWN(I2693,0)))</f>
      </c>
      <c r="K2693" s="7">
        <f>INDIRECT("C$"&amp;2+MIN(2,ROUNDDOWN(I2693,0))*3)*(-$J2693^3+3*$J2693^2-3*$J2693+1)+INDIRECT("C$"&amp;3+MIN(2,ROUNDDOWN(I2693,0))*3)*(3*$J2693^3-6*$J2693^2+3*$J2693)+INDIRECT("C$"&amp;4+MIN(2,ROUNDDOWN(I2693,0))*3)*(-3*$J2693^3+3*$J2693^2)+INDIRECT("C$"&amp;5+MIN(2,ROUNDDOWN(I2693,0))*3)*$J2693^3</f>
      </c>
      <c r="L2693" s="7">
        <f>INDIRECT("D$"&amp;2+MIN(2,ROUNDDOWN(I2693,0))*3)*(-$J2693^3+3*$J2693^2-3*$J2693+1)+INDIRECT("D$"&amp;3+MIN(2,ROUNDDOWN(I2693,0))*3)*(3*$J2693^3-6*$J2693^2+3*$J2693)+INDIRECT("D$"&amp;4+MIN(2,ROUNDDOWN(I2693,0))*3)*(-3*$J2693^3+3*$J2693^2)+INDIRECT("D$"&amp;5+MIN(2,ROUNDDOWN(I2693,0))*3)*$J2693^3</f>
      </c>
      <c r="M2693" s="7">
        <f>SQRT(K2693^2+L2693^2)</f>
      </c>
      <c r="N2693" s="7">
        <f>(K2694-K2692)</f>
      </c>
      <c r="O2693" s="7">
        <f>+(L2694-L2692)</f>
      </c>
      <c r="P2693" s="7">
        <f>SQRT(O2693^2+N2693^2)</f>
      </c>
      <c r="Q2693" s="7">
        <f>N2693/$P2693</f>
      </c>
      <c r="R2693" s="7">
        <f>O2693/$P2693</f>
      </c>
      <c r="S2693" s="8">
        <f>Q2693^2+R2693^2</f>
      </c>
      <c r="T2693" s="7">
        <f>-R2693</f>
      </c>
      <c r="U2693" s="7">
        <f>Q2693</f>
      </c>
      <c r="V2693" s="7">
        <f>($C$14+($C$15-$C$14)/($D$15-$D$14)*(I2693-$D$14))/2</f>
      </c>
      <c r="W2693" s="7">
        <f>($B$22*I2693^4+$C$22*I2693^3+$D$22*I2693^2+$E$22*I2693+$F$22)/2</f>
      </c>
      <c r="X2693" s="7">
        <f>($W2693)*(T2693)</f>
      </c>
      <c r="Y2693" s="7">
        <f>($W2693)*(U2693)</f>
      </c>
      <c r="Z2693" s="7">
        <f>SQRT(X2693^2+Y2693^2)</f>
      </c>
      <c r="AA2693" s="7">
        <f>$K2693+$X2693</f>
      </c>
      <c r="AB2693" s="7">
        <f>$L2693+$Y2693</f>
      </c>
      <c r="AC2693" s="7">
        <f>$K2693-$X2693</f>
      </c>
      <c r="AD2693" s="7">
        <f>$L2693-$Y2693</f>
      </c>
      <c r="AE2693" s="7">
        <f>AA2693/39.3701</f>
      </c>
      <c r="AF2693" s="7">
        <f>AB2693/39.3701</f>
      </c>
      <c r="AG2693" s="7">
        <f>AC2693/39.3701</f>
      </c>
      <c r="AH2693" s="7">
        <f>AD2693/39.3701</f>
      </c>
      <c r="AI2693" s="1"/>
      <c r="AJ2693" s="1"/>
      <c r="AK2693" s="1"/>
      <c r="AL2693" s="1"/>
      <c r="AM2693" s="2"/>
      <c r="AN2693" s="1"/>
      <c r="AO2693" s="1"/>
      <c r="AP2693" s="1"/>
      <c r="AQ2693" s="1"/>
      <c r="AR2693" s="1"/>
      <c r="AS2693" s="1"/>
      <c r="AT2693" s="1"/>
      <c r="AU2693" s="1"/>
      <c r="AV2693" s="1"/>
      <c r="AW2693" s="1"/>
      <c r="AX2693" s="1"/>
      <c r="AY2693" s="1"/>
      <c r="AZ2693" s="1"/>
      <c r="BA2693" s="1"/>
      <c r="BB2693" s="1"/>
      <c r="BC2693" s="1"/>
      <c r="BD2693" s="1"/>
      <c r="BE2693" s="1"/>
    </row>
    <row x14ac:dyDescent="0.25" r="2694" customHeight="1" ht="18.75">
      <c r="A2694" s="1"/>
      <c r="B2694" s="2"/>
      <c r="C2694" s="2"/>
      <c r="D2694" s="2"/>
      <c r="E2694" s="2"/>
      <c r="F2694" s="2"/>
      <c r="G2694" s="1"/>
      <c r="H2694" s="1"/>
      <c r="I2694" s="7">
        <v>2.691</v>
      </c>
      <c r="J2694" s="7">
        <f>IF((I2694-ROUNDDOWN(I2694,0))=0, 0, (I2694-ROUNDDOWN(I2694,0)))</f>
      </c>
      <c r="K2694" s="7">
        <f>INDIRECT("C$"&amp;2+MIN(2,ROUNDDOWN(I2694,0))*3)*(-$J2694^3+3*$J2694^2-3*$J2694+1)+INDIRECT("C$"&amp;3+MIN(2,ROUNDDOWN(I2694,0))*3)*(3*$J2694^3-6*$J2694^2+3*$J2694)+INDIRECT("C$"&amp;4+MIN(2,ROUNDDOWN(I2694,0))*3)*(-3*$J2694^3+3*$J2694^2)+INDIRECT("C$"&amp;5+MIN(2,ROUNDDOWN(I2694,0))*3)*$J2694^3</f>
      </c>
      <c r="L2694" s="7">
        <f>INDIRECT("D$"&amp;2+MIN(2,ROUNDDOWN(I2694,0))*3)*(-$J2694^3+3*$J2694^2-3*$J2694+1)+INDIRECT("D$"&amp;3+MIN(2,ROUNDDOWN(I2694,0))*3)*(3*$J2694^3-6*$J2694^2+3*$J2694)+INDIRECT("D$"&amp;4+MIN(2,ROUNDDOWN(I2694,0))*3)*(-3*$J2694^3+3*$J2694^2)+INDIRECT("D$"&amp;5+MIN(2,ROUNDDOWN(I2694,0))*3)*$J2694^3</f>
      </c>
      <c r="M2694" s="7">
        <f>SQRT(K2694^2+L2694^2)</f>
      </c>
      <c r="N2694" s="7">
        <f>(K2695-K2693)</f>
      </c>
      <c r="O2694" s="7">
        <f>+(L2695-L2693)</f>
      </c>
      <c r="P2694" s="7">
        <f>SQRT(O2694^2+N2694^2)</f>
      </c>
      <c r="Q2694" s="7">
        <f>N2694/$P2694</f>
      </c>
      <c r="R2694" s="7">
        <f>O2694/$P2694</f>
      </c>
      <c r="S2694" s="7">
        <f>Q2694^2+R2694^2</f>
      </c>
      <c r="T2694" s="7">
        <f>-R2694</f>
      </c>
      <c r="U2694" s="7">
        <f>Q2694</f>
      </c>
      <c r="V2694" s="7">
        <f>($C$14+($C$15-$C$14)/($D$15-$D$14)*(I2694-$D$14))/2</f>
      </c>
      <c r="W2694" s="7">
        <f>($B$22*I2694^4+$C$22*I2694^3+$D$22*I2694^2+$E$22*I2694+$F$22)/2</f>
      </c>
      <c r="X2694" s="7">
        <f>($W2694)*(T2694)</f>
      </c>
      <c r="Y2694" s="7">
        <f>($W2694)*(U2694)</f>
      </c>
      <c r="Z2694" s="7">
        <f>SQRT(X2694^2+Y2694^2)</f>
      </c>
      <c r="AA2694" s="7">
        <f>$K2694+$X2694</f>
      </c>
      <c r="AB2694" s="7">
        <f>$L2694+$Y2694</f>
      </c>
      <c r="AC2694" s="7">
        <f>$K2694-$X2694</f>
      </c>
      <c r="AD2694" s="7">
        <f>$L2694-$Y2694</f>
      </c>
      <c r="AE2694" s="7">
        <f>AA2694/39.3701</f>
      </c>
      <c r="AF2694" s="7">
        <f>AB2694/39.3701</f>
      </c>
      <c r="AG2694" s="7">
        <f>AC2694/39.3701</f>
      </c>
      <c r="AH2694" s="7">
        <f>AD2694/39.3701</f>
      </c>
      <c r="AI2694" s="1"/>
      <c r="AJ2694" s="1"/>
      <c r="AK2694" s="1"/>
      <c r="AL2694" s="1"/>
      <c r="AM2694" s="2"/>
      <c r="AN2694" s="1"/>
      <c r="AO2694" s="1"/>
      <c r="AP2694" s="1"/>
      <c r="AQ2694" s="1"/>
      <c r="AR2694" s="1"/>
      <c r="AS2694" s="1"/>
      <c r="AT2694" s="1"/>
      <c r="AU2694" s="1"/>
      <c r="AV2694" s="1"/>
      <c r="AW2694" s="1"/>
      <c r="AX2694" s="1"/>
      <c r="AY2694" s="1"/>
      <c r="AZ2694" s="1"/>
      <c r="BA2694" s="1"/>
      <c r="BB2694" s="1"/>
      <c r="BC2694" s="1"/>
      <c r="BD2694" s="1"/>
      <c r="BE2694" s="1"/>
    </row>
    <row x14ac:dyDescent="0.25" r="2695" customHeight="1" ht="18.75">
      <c r="A2695" s="1"/>
      <c r="B2695" s="2"/>
      <c r="C2695" s="2"/>
      <c r="D2695" s="2"/>
      <c r="E2695" s="2"/>
      <c r="F2695" s="2"/>
      <c r="G2695" s="1"/>
      <c r="H2695" s="1"/>
      <c r="I2695" s="7">
        <v>2.692</v>
      </c>
      <c r="J2695" s="7">
        <f>IF((I2695-ROUNDDOWN(I2695,0))=0, 0, (I2695-ROUNDDOWN(I2695,0)))</f>
      </c>
      <c r="K2695" s="7">
        <f>INDIRECT("C$"&amp;2+MIN(2,ROUNDDOWN(I2695,0))*3)*(-$J2695^3+3*$J2695^2-3*$J2695+1)+INDIRECT("C$"&amp;3+MIN(2,ROUNDDOWN(I2695,0))*3)*(3*$J2695^3-6*$J2695^2+3*$J2695)+INDIRECT("C$"&amp;4+MIN(2,ROUNDDOWN(I2695,0))*3)*(-3*$J2695^3+3*$J2695^2)+INDIRECT("C$"&amp;5+MIN(2,ROUNDDOWN(I2695,0))*3)*$J2695^3</f>
      </c>
      <c r="L2695" s="7">
        <f>INDIRECT("D$"&amp;2+MIN(2,ROUNDDOWN(I2695,0))*3)*(-$J2695^3+3*$J2695^2-3*$J2695+1)+INDIRECT("D$"&amp;3+MIN(2,ROUNDDOWN(I2695,0))*3)*(3*$J2695^3-6*$J2695^2+3*$J2695)+INDIRECT("D$"&amp;4+MIN(2,ROUNDDOWN(I2695,0))*3)*(-3*$J2695^3+3*$J2695^2)+INDIRECT("D$"&amp;5+MIN(2,ROUNDDOWN(I2695,0))*3)*$J2695^3</f>
      </c>
      <c r="M2695" s="7">
        <f>SQRT(K2695^2+L2695^2)</f>
      </c>
      <c r="N2695" s="7">
        <f>(K2696-K2694)</f>
      </c>
      <c r="O2695" s="7">
        <f>+(L2696-L2694)</f>
      </c>
      <c r="P2695" s="7">
        <f>SQRT(O2695^2+N2695^2)</f>
      </c>
      <c r="Q2695" s="7">
        <f>N2695/$P2695</f>
      </c>
      <c r="R2695" s="7">
        <f>O2695/$P2695</f>
      </c>
      <c r="S2695" s="7">
        <f>Q2695^2+R2695^2</f>
      </c>
      <c r="T2695" s="7">
        <f>-R2695</f>
      </c>
      <c r="U2695" s="7">
        <f>Q2695</f>
      </c>
      <c r="V2695" s="7">
        <f>($C$14+($C$15-$C$14)/($D$15-$D$14)*(I2695-$D$14))/2</f>
      </c>
      <c r="W2695" s="7">
        <f>($B$22*I2695^4+$C$22*I2695^3+$D$22*I2695^2+$E$22*I2695+$F$22)/2</f>
      </c>
      <c r="X2695" s="7">
        <f>($W2695)*(T2695)</f>
      </c>
      <c r="Y2695" s="7">
        <f>($W2695)*(U2695)</f>
      </c>
      <c r="Z2695" s="7">
        <f>SQRT(X2695^2+Y2695^2)</f>
      </c>
      <c r="AA2695" s="7">
        <f>$K2695+$X2695</f>
      </c>
      <c r="AB2695" s="7">
        <f>$L2695+$Y2695</f>
      </c>
      <c r="AC2695" s="7">
        <f>$K2695-$X2695</f>
      </c>
      <c r="AD2695" s="7">
        <f>$L2695-$Y2695</f>
      </c>
      <c r="AE2695" s="7">
        <f>AA2695/39.3701</f>
      </c>
      <c r="AF2695" s="7">
        <f>AB2695/39.3701</f>
      </c>
      <c r="AG2695" s="7">
        <f>AC2695/39.3701</f>
      </c>
      <c r="AH2695" s="7">
        <f>AD2695/39.3701</f>
      </c>
      <c r="AI2695" s="1"/>
      <c r="AJ2695" s="1"/>
      <c r="AK2695" s="1"/>
      <c r="AL2695" s="1"/>
      <c r="AM2695" s="2"/>
      <c r="AN2695" s="1"/>
      <c r="AO2695" s="1"/>
      <c r="AP2695" s="1"/>
      <c r="AQ2695" s="1"/>
      <c r="AR2695" s="1"/>
      <c r="AS2695" s="1"/>
      <c r="AT2695" s="1"/>
      <c r="AU2695" s="1"/>
      <c r="AV2695" s="1"/>
      <c r="AW2695" s="1"/>
      <c r="AX2695" s="1"/>
      <c r="AY2695" s="1"/>
      <c r="AZ2695" s="1"/>
      <c r="BA2695" s="1"/>
      <c r="BB2695" s="1"/>
      <c r="BC2695" s="1"/>
      <c r="BD2695" s="1"/>
      <c r="BE2695" s="1"/>
    </row>
    <row x14ac:dyDescent="0.25" r="2696" customHeight="1" ht="18.75">
      <c r="A2696" s="1"/>
      <c r="B2696" s="2"/>
      <c r="C2696" s="2"/>
      <c r="D2696" s="2"/>
      <c r="E2696" s="2"/>
      <c r="F2696" s="2"/>
      <c r="G2696" s="1"/>
      <c r="H2696" s="1"/>
      <c r="I2696" s="7">
        <v>2.693</v>
      </c>
      <c r="J2696" s="7">
        <f>IF((I2696-ROUNDDOWN(I2696,0))=0, 0, (I2696-ROUNDDOWN(I2696,0)))</f>
      </c>
      <c r="K2696" s="7">
        <f>INDIRECT("C$"&amp;2+MIN(2,ROUNDDOWN(I2696,0))*3)*(-$J2696^3+3*$J2696^2-3*$J2696+1)+INDIRECT("C$"&amp;3+MIN(2,ROUNDDOWN(I2696,0))*3)*(3*$J2696^3-6*$J2696^2+3*$J2696)+INDIRECT("C$"&amp;4+MIN(2,ROUNDDOWN(I2696,0))*3)*(-3*$J2696^3+3*$J2696^2)+INDIRECT("C$"&amp;5+MIN(2,ROUNDDOWN(I2696,0))*3)*$J2696^3</f>
      </c>
      <c r="L2696" s="7">
        <f>INDIRECT("D$"&amp;2+MIN(2,ROUNDDOWN(I2696,0))*3)*(-$J2696^3+3*$J2696^2-3*$J2696+1)+INDIRECT("D$"&amp;3+MIN(2,ROUNDDOWN(I2696,0))*3)*(3*$J2696^3-6*$J2696^2+3*$J2696)+INDIRECT("D$"&amp;4+MIN(2,ROUNDDOWN(I2696,0))*3)*(-3*$J2696^3+3*$J2696^2)+INDIRECT("D$"&amp;5+MIN(2,ROUNDDOWN(I2696,0))*3)*$J2696^3</f>
      </c>
      <c r="M2696" s="7">
        <f>SQRT(K2696^2+L2696^2)</f>
      </c>
      <c r="N2696" s="7">
        <f>(K2697-K2695)</f>
      </c>
      <c r="O2696" s="7">
        <f>+(L2697-L2695)</f>
      </c>
      <c r="P2696" s="7">
        <f>SQRT(O2696^2+N2696^2)</f>
      </c>
      <c r="Q2696" s="7">
        <f>N2696/$P2696</f>
      </c>
      <c r="R2696" s="7">
        <f>O2696/$P2696</f>
      </c>
      <c r="S2696" s="8">
        <f>Q2696^2+R2696^2</f>
      </c>
      <c r="T2696" s="7">
        <f>-R2696</f>
      </c>
      <c r="U2696" s="7">
        <f>Q2696</f>
      </c>
      <c r="V2696" s="7">
        <f>($C$14+($C$15-$C$14)/($D$15-$D$14)*(I2696-$D$14))/2</f>
      </c>
      <c r="W2696" s="7">
        <f>($B$22*I2696^4+$C$22*I2696^3+$D$22*I2696^2+$E$22*I2696+$F$22)/2</f>
      </c>
      <c r="X2696" s="7">
        <f>($W2696)*(T2696)</f>
      </c>
      <c r="Y2696" s="7">
        <f>($W2696)*(U2696)</f>
      </c>
      <c r="Z2696" s="7">
        <f>SQRT(X2696^2+Y2696^2)</f>
      </c>
      <c r="AA2696" s="7">
        <f>$K2696+$X2696</f>
      </c>
      <c r="AB2696" s="7">
        <f>$L2696+$Y2696</f>
      </c>
      <c r="AC2696" s="7">
        <f>$K2696-$X2696</f>
      </c>
      <c r="AD2696" s="7">
        <f>$L2696-$Y2696</f>
      </c>
      <c r="AE2696" s="7">
        <f>AA2696/39.3701</f>
      </c>
      <c r="AF2696" s="7">
        <f>AB2696/39.3701</f>
      </c>
      <c r="AG2696" s="7">
        <f>AC2696/39.3701</f>
      </c>
      <c r="AH2696" s="7">
        <f>AD2696/39.3701</f>
      </c>
      <c r="AI2696" s="1"/>
      <c r="AJ2696" s="1"/>
      <c r="AK2696" s="1"/>
      <c r="AL2696" s="1"/>
      <c r="AM2696" s="2"/>
      <c r="AN2696" s="1"/>
      <c r="AO2696" s="1"/>
      <c r="AP2696" s="1"/>
      <c r="AQ2696" s="1"/>
      <c r="AR2696" s="1"/>
      <c r="AS2696" s="1"/>
      <c r="AT2696" s="1"/>
      <c r="AU2696" s="1"/>
      <c r="AV2696" s="1"/>
      <c r="AW2696" s="1"/>
      <c r="AX2696" s="1"/>
      <c r="AY2696" s="1"/>
      <c r="AZ2696" s="1"/>
      <c r="BA2696" s="1"/>
      <c r="BB2696" s="1"/>
      <c r="BC2696" s="1"/>
      <c r="BD2696" s="1"/>
      <c r="BE2696" s="1"/>
    </row>
    <row x14ac:dyDescent="0.25" r="2697" customHeight="1" ht="18.75">
      <c r="A2697" s="1"/>
      <c r="B2697" s="2"/>
      <c r="C2697" s="2"/>
      <c r="D2697" s="2"/>
      <c r="E2697" s="2"/>
      <c r="F2697" s="2"/>
      <c r="G2697" s="1"/>
      <c r="H2697" s="1"/>
      <c r="I2697" s="7">
        <v>2.694</v>
      </c>
      <c r="J2697" s="7">
        <f>IF((I2697-ROUNDDOWN(I2697,0))=0, 0, (I2697-ROUNDDOWN(I2697,0)))</f>
      </c>
      <c r="K2697" s="7">
        <f>INDIRECT("C$"&amp;2+MIN(2,ROUNDDOWN(I2697,0))*3)*(-$J2697^3+3*$J2697^2-3*$J2697+1)+INDIRECT("C$"&amp;3+MIN(2,ROUNDDOWN(I2697,0))*3)*(3*$J2697^3-6*$J2697^2+3*$J2697)+INDIRECT("C$"&amp;4+MIN(2,ROUNDDOWN(I2697,0))*3)*(-3*$J2697^3+3*$J2697^2)+INDIRECT("C$"&amp;5+MIN(2,ROUNDDOWN(I2697,0))*3)*$J2697^3</f>
      </c>
      <c r="L2697" s="7">
        <f>INDIRECT("D$"&amp;2+MIN(2,ROUNDDOWN(I2697,0))*3)*(-$J2697^3+3*$J2697^2-3*$J2697+1)+INDIRECT("D$"&amp;3+MIN(2,ROUNDDOWN(I2697,0))*3)*(3*$J2697^3-6*$J2697^2+3*$J2697)+INDIRECT("D$"&amp;4+MIN(2,ROUNDDOWN(I2697,0))*3)*(-3*$J2697^3+3*$J2697^2)+INDIRECT("D$"&amp;5+MIN(2,ROUNDDOWN(I2697,0))*3)*$J2697^3</f>
      </c>
      <c r="M2697" s="7">
        <f>SQRT(K2697^2+L2697^2)</f>
      </c>
      <c r="N2697" s="7">
        <f>(K2698-K2696)</f>
      </c>
      <c r="O2697" s="7">
        <f>+(L2698-L2696)</f>
      </c>
      <c r="P2697" s="7">
        <f>SQRT(O2697^2+N2697^2)</f>
      </c>
      <c r="Q2697" s="7">
        <f>N2697/$P2697</f>
      </c>
      <c r="R2697" s="7">
        <f>O2697/$P2697</f>
      </c>
      <c r="S2697" s="8">
        <f>Q2697^2+R2697^2</f>
      </c>
      <c r="T2697" s="7">
        <f>-R2697</f>
      </c>
      <c r="U2697" s="7">
        <f>Q2697</f>
      </c>
      <c r="V2697" s="7">
        <f>($C$14+($C$15-$C$14)/($D$15-$D$14)*(I2697-$D$14))/2</f>
      </c>
      <c r="W2697" s="7">
        <f>($B$22*I2697^4+$C$22*I2697^3+$D$22*I2697^2+$E$22*I2697+$F$22)/2</f>
      </c>
      <c r="X2697" s="7">
        <f>($W2697)*(T2697)</f>
      </c>
      <c r="Y2697" s="7">
        <f>($W2697)*(U2697)</f>
      </c>
      <c r="Z2697" s="7">
        <f>SQRT(X2697^2+Y2697^2)</f>
      </c>
      <c r="AA2697" s="7">
        <f>$K2697+$X2697</f>
      </c>
      <c r="AB2697" s="7">
        <f>$L2697+$Y2697</f>
      </c>
      <c r="AC2697" s="7">
        <f>$K2697-$X2697</f>
      </c>
      <c r="AD2697" s="7">
        <f>$L2697-$Y2697</f>
      </c>
      <c r="AE2697" s="7">
        <f>AA2697/39.3701</f>
      </c>
      <c r="AF2697" s="7">
        <f>AB2697/39.3701</f>
      </c>
      <c r="AG2697" s="7">
        <f>AC2697/39.3701</f>
      </c>
      <c r="AH2697" s="7">
        <f>AD2697/39.3701</f>
      </c>
      <c r="AI2697" s="1"/>
      <c r="AJ2697" s="1"/>
      <c r="AK2697" s="1"/>
      <c r="AL2697" s="1"/>
      <c r="AM2697" s="2"/>
      <c r="AN2697" s="1"/>
      <c r="AO2697" s="1"/>
      <c r="AP2697" s="1"/>
      <c r="AQ2697" s="1"/>
      <c r="AR2697" s="1"/>
      <c r="AS2697" s="1"/>
      <c r="AT2697" s="1"/>
      <c r="AU2697" s="1"/>
      <c r="AV2697" s="1"/>
      <c r="AW2697" s="1"/>
      <c r="AX2697" s="1"/>
      <c r="AY2697" s="1"/>
      <c r="AZ2697" s="1"/>
      <c r="BA2697" s="1"/>
      <c r="BB2697" s="1"/>
      <c r="BC2697" s="1"/>
      <c r="BD2697" s="1"/>
      <c r="BE2697" s="1"/>
    </row>
    <row x14ac:dyDescent="0.25" r="2698" customHeight="1" ht="18.75">
      <c r="A2698" s="1"/>
      <c r="B2698" s="2"/>
      <c r="C2698" s="2"/>
      <c r="D2698" s="2"/>
      <c r="E2698" s="2"/>
      <c r="F2698" s="2"/>
      <c r="G2698" s="1"/>
      <c r="H2698" s="1"/>
      <c r="I2698" s="7">
        <v>2.695</v>
      </c>
      <c r="J2698" s="7">
        <f>IF((I2698-ROUNDDOWN(I2698,0))=0, 0, (I2698-ROUNDDOWN(I2698,0)))</f>
      </c>
      <c r="K2698" s="7">
        <f>INDIRECT("C$"&amp;2+MIN(2,ROUNDDOWN(I2698,0))*3)*(-$J2698^3+3*$J2698^2-3*$J2698+1)+INDIRECT("C$"&amp;3+MIN(2,ROUNDDOWN(I2698,0))*3)*(3*$J2698^3-6*$J2698^2+3*$J2698)+INDIRECT("C$"&amp;4+MIN(2,ROUNDDOWN(I2698,0))*3)*(-3*$J2698^3+3*$J2698^2)+INDIRECT("C$"&amp;5+MIN(2,ROUNDDOWN(I2698,0))*3)*$J2698^3</f>
      </c>
      <c r="L2698" s="7">
        <f>INDIRECT("D$"&amp;2+MIN(2,ROUNDDOWN(I2698,0))*3)*(-$J2698^3+3*$J2698^2-3*$J2698+1)+INDIRECT("D$"&amp;3+MIN(2,ROUNDDOWN(I2698,0))*3)*(3*$J2698^3-6*$J2698^2+3*$J2698)+INDIRECT("D$"&amp;4+MIN(2,ROUNDDOWN(I2698,0))*3)*(-3*$J2698^3+3*$J2698^2)+INDIRECT("D$"&amp;5+MIN(2,ROUNDDOWN(I2698,0))*3)*$J2698^3</f>
      </c>
      <c r="M2698" s="7">
        <f>SQRT(K2698^2+L2698^2)</f>
      </c>
      <c r="N2698" s="7">
        <f>(K2699-K2697)</f>
      </c>
      <c r="O2698" s="7">
        <f>+(L2699-L2697)</f>
      </c>
      <c r="P2698" s="7">
        <f>SQRT(O2698^2+N2698^2)</f>
      </c>
      <c r="Q2698" s="7">
        <f>N2698/$P2698</f>
      </c>
      <c r="R2698" s="7">
        <f>O2698/$P2698</f>
      </c>
      <c r="S2698" s="8">
        <f>Q2698^2+R2698^2</f>
      </c>
      <c r="T2698" s="7">
        <f>-R2698</f>
      </c>
      <c r="U2698" s="7">
        <f>Q2698</f>
      </c>
      <c r="V2698" s="7">
        <f>($C$14+($C$15-$C$14)/($D$15-$D$14)*(I2698-$D$14))/2</f>
      </c>
      <c r="W2698" s="7">
        <f>($B$22*I2698^4+$C$22*I2698^3+$D$22*I2698^2+$E$22*I2698+$F$22)/2</f>
      </c>
      <c r="X2698" s="7">
        <f>($W2698)*(T2698)</f>
      </c>
      <c r="Y2698" s="7">
        <f>($W2698)*(U2698)</f>
      </c>
      <c r="Z2698" s="7">
        <f>SQRT(X2698^2+Y2698^2)</f>
      </c>
      <c r="AA2698" s="7">
        <f>$K2698+$X2698</f>
      </c>
      <c r="AB2698" s="7">
        <f>$L2698+$Y2698</f>
      </c>
      <c r="AC2698" s="7">
        <f>$K2698-$X2698</f>
      </c>
      <c r="AD2698" s="7">
        <f>$L2698-$Y2698</f>
      </c>
      <c r="AE2698" s="7">
        <f>AA2698/39.3701</f>
      </c>
      <c r="AF2698" s="7">
        <f>AB2698/39.3701</f>
      </c>
      <c r="AG2698" s="7">
        <f>AC2698/39.3701</f>
      </c>
      <c r="AH2698" s="7">
        <f>AD2698/39.3701</f>
      </c>
      <c r="AI2698" s="1"/>
      <c r="AJ2698" s="1"/>
      <c r="AK2698" s="1"/>
      <c r="AL2698" s="1"/>
      <c r="AM2698" s="2"/>
      <c r="AN2698" s="1"/>
      <c r="AO2698" s="1"/>
      <c r="AP2698" s="1"/>
      <c r="AQ2698" s="1"/>
      <c r="AR2698" s="1"/>
      <c r="AS2698" s="1"/>
      <c r="AT2698" s="1"/>
      <c r="AU2698" s="1"/>
      <c r="AV2698" s="1"/>
      <c r="AW2698" s="1"/>
      <c r="AX2698" s="1"/>
      <c r="AY2698" s="1"/>
      <c r="AZ2698" s="1"/>
      <c r="BA2698" s="1"/>
      <c r="BB2698" s="1"/>
      <c r="BC2698" s="1"/>
      <c r="BD2698" s="1"/>
      <c r="BE2698" s="1"/>
    </row>
    <row x14ac:dyDescent="0.25" r="2699" customHeight="1" ht="18.75">
      <c r="A2699" s="1"/>
      <c r="B2699" s="2"/>
      <c r="C2699" s="2"/>
      <c r="D2699" s="2"/>
      <c r="E2699" s="2"/>
      <c r="F2699" s="2"/>
      <c r="G2699" s="1"/>
      <c r="H2699" s="1"/>
      <c r="I2699" s="7">
        <v>2.696</v>
      </c>
      <c r="J2699" s="7">
        <f>IF((I2699-ROUNDDOWN(I2699,0))=0, 0, (I2699-ROUNDDOWN(I2699,0)))</f>
      </c>
      <c r="K2699" s="7">
        <f>INDIRECT("C$"&amp;2+MIN(2,ROUNDDOWN(I2699,0))*3)*(-$J2699^3+3*$J2699^2-3*$J2699+1)+INDIRECT("C$"&amp;3+MIN(2,ROUNDDOWN(I2699,0))*3)*(3*$J2699^3-6*$J2699^2+3*$J2699)+INDIRECT("C$"&amp;4+MIN(2,ROUNDDOWN(I2699,0))*3)*(-3*$J2699^3+3*$J2699^2)+INDIRECT("C$"&amp;5+MIN(2,ROUNDDOWN(I2699,0))*3)*$J2699^3</f>
      </c>
      <c r="L2699" s="7">
        <f>INDIRECT("D$"&amp;2+MIN(2,ROUNDDOWN(I2699,0))*3)*(-$J2699^3+3*$J2699^2-3*$J2699+1)+INDIRECT("D$"&amp;3+MIN(2,ROUNDDOWN(I2699,0))*3)*(3*$J2699^3-6*$J2699^2+3*$J2699)+INDIRECT("D$"&amp;4+MIN(2,ROUNDDOWN(I2699,0))*3)*(-3*$J2699^3+3*$J2699^2)+INDIRECT("D$"&amp;5+MIN(2,ROUNDDOWN(I2699,0))*3)*$J2699^3</f>
      </c>
      <c r="M2699" s="7">
        <f>SQRT(K2699^2+L2699^2)</f>
      </c>
      <c r="N2699" s="7">
        <f>(K2700-K2698)</f>
      </c>
      <c r="O2699" s="7">
        <f>+(L2700-L2698)</f>
      </c>
      <c r="P2699" s="7">
        <f>SQRT(O2699^2+N2699^2)</f>
      </c>
      <c r="Q2699" s="7">
        <f>N2699/$P2699</f>
      </c>
      <c r="R2699" s="7">
        <f>O2699/$P2699</f>
      </c>
      <c r="S2699" s="7">
        <f>Q2699^2+R2699^2</f>
      </c>
      <c r="T2699" s="7">
        <f>-R2699</f>
      </c>
      <c r="U2699" s="7">
        <f>Q2699</f>
      </c>
      <c r="V2699" s="7">
        <f>($C$14+($C$15-$C$14)/($D$15-$D$14)*(I2699-$D$14))/2</f>
      </c>
      <c r="W2699" s="7">
        <f>($B$22*I2699^4+$C$22*I2699^3+$D$22*I2699^2+$E$22*I2699+$F$22)/2</f>
      </c>
      <c r="X2699" s="7">
        <f>($W2699)*(T2699)</f>
      </c>
      <c r="Y2699" s="7">
        <f>($W2699)*(U2699)</f>
      </c>
      <c r="Z2699" s="7">
        <f>SQRT(X2699^2+Y2699^2)</f>
      </c>
      <c r="AA2699" s="7">
        <f>$K2699+$X2699</f>
      </c>
      <c r="AB2699" s="7">
        <f>$L2699+$Y2699</f>
      </c>
      <c r="AC2699" s="7">
        <f>$K2699-$X2699</f>
      </c>
      <c r="AD2699" s="7">
        <f>$L2699-$Y2699</f>
      </c>
      <c r="AE2699" s="7">
        <f>AA2699/39.3701</f>
      </c>
      <c r="AF2699" s="7">
        <f>AB2699/39.3701</f>
      </c>
      <c r="AG2699" s="7">
        <f>AC2699/39.3701</f>
      </c>
      <c r="AH2699" s="7">
        <f>AD2699/39.3701</f>
      </c>
      <c r="AI2699" s="1"/>
      <c r="AJ2699" s="1"/>
      <c r="AK2699" s="1"/>
      <c r="AL2699" s="1"/>
      <c r="AM2699" s="2"/>
      <c r="AN2699" s="1"/>
      <c r="AO2699" s="1"/>
      <c r="AP2699" s="1"/>
      <c r="AQ2699" s="1"/>
      <c r="AR2699" s="1"/>
      <c r="AS2699" s="1"/>
      <c r="AT2699" s="1"/>
      <c r="AU2699" s="1"/>
      <c r="AV2699" s="1"/>
      <c r="AW2699" s="1"/>
      <c r="AX2699" s="1"/>
      <c r="AY2699" s="1"/>
      <c r="AZ2699" s="1"/>
      <c r="BA2699" s="1"/>
      <c r="BB2699" s="1"/>
      <c r="BC2699" s="1"/>
      <c r="BD2699" s="1"/>
      <c r="BE2699" s="1"/>
    </row>
    <row x14ac:dyDescent="0.25" r="2700" customHeight="1" ht="18.75">
      <c r="A2700" s="1"/>
      <c r="B2700" s="2"/>
      <c r="C2700" s="2"/>
      <c r="D2700" s="2"/>
      <c r="E2700" s="2"/>
      <c r="F2700" s="2"/>
      <c r="G2700" s="1"/>
      <c r="H2700" s="1"/>
      <c r="I2700" s="7">
        <v>2.697</v>
      </c>
      <c r="J2700" s="7">
        <f>IF((I2700-ROUNDDOWN(I2700,0))=0, 0, (I2700-ROUNDDOWN(I2700,0)))</f>
      </c>
      <c r="K2700" s="7">
        <f>INDIRECT("C$"&amp;2+MIN(2,ROUNDDOWN(I2700,0))*3)*(-$J2700^3+3*$J2700^2-3*$J2700+1)+INDIRECT("C$"&amp;3+MIN(2,ROUNDDOWN(I2700,0))*3)*(3*$J2700^3-6*$J2700^2+3*$J2700)+INDIRECT("C$"&amp;4+MIN(2,ROUNDDOWN(I2700,0))*3)*(-3*$J2700^3+3*$J2700^2)+INDIRECT("C$"&amp;5+MIN(2,ROUNDDOWN(I2700,0))*3)*$J2700^3</f>
      </c>
      <c r="L2700" s="7">
        <f>INDIRECT("D$"&amp;2+MIN(2,ROUNDDOWN(I2700,0))*3)*(-$J2700^3+3*$J2700^2-3*$J2700+1)+INDIRECT("D$"&amp;3+MIN(2,ROUNDDOWN(I2700,0))*3)*(3*$J2700^3-6*$J2700^2+3*$J2700)+INDIRECT("D$"&amp;4+MIN(2,ROUNDDOWN(I2700,0))*3)*(-3*$J2700^3+3*$J2700^2)+INDIRECT("D$"&amp;5+MIN(2,ROUNDDOWN(I2700,0))*3)*$J2700^3</f>
      </c>
      <c r="M2700" s="7">
        <f>SQRT(K2700^2+L2700^2)</f>
      </c>
      <c r="N2700" s="7">
        <f>(K2701-K2699)</f>
      </c>
      <c r="O2700" s="7">
        <f>+(L2701-L2699)</f>
      </c>
      <c r="P2700" s="7">
        <f>SQRT(O2700^2+N2700^2)</f>
      </c>
      <c r="Q2700" s="7">
        <f>N2700/$P2700</f>
      </c>
      <c r="R2700" s="7">
        <f>O2700/$P2700</f>
      </c>
      <c r="S2700" s="7">
        <f>Q2700^2+R2700^2</f>
      </c>
      <c r="T2700" s="7">
        <f>-R2700</f>
      </c>
      <c r="U2700" s="7">
        <f>Q2700</f>
      </c>
      <c r="V2700" s="7">
        <f>($C$14+($C$15-$C$14)/($D$15-$D$14)*(I2700-$D$14))/2</f>
      </c>
      <c r="W2700" s="7">
        <f>($B$22*I2700^4+$C$22*I2700^3+$D$22*I2700^2+$E$22*I2700+$F$22)/2</f>
      </c>
      <c r="X2700" s="7">
        <f>($W2700)*(T2700)</f>
      </c>
      <c r="Y2700" s="7">
        <f>($W2700)*(U2700)</f>
      </c>
      <c r="Z2700" s="7">
        <f>SQRT(X2700^2+Y2700^2)</f>
      </c>
      <c r="AA2700" s="7">
        <f>$K2700+$X2700</f>
      </c>
      <c r="AB2700" s="7">
        <f>$L2700+$Y2700</f>
      </c>
      <c r="AC2700" s="7">
        <f>$K2700-$X2700</f>
      </c>
      <c r="AD2700" s="7">
        <f>$L2700-$Y2700</f>
      </c>
      <c r="AE2700" s="7">
        <f>AA2700/39.3701</f>
      </c>
      <c r="AF2700" s="7">
        <f>AB2700/39.3701</f>
      </c>
      <c r="AG2700" s="7">
        <f>AC2700/39.3701</f>
      </c>
      <c r="AH2700" s="7">
        <f>AD2700/39.3701</f>
      </c>
      <c r="AI2700" s="1"/>
      <c r="AJ2700" s="1"/>
      <c r="AK2700" s="1"/>
      <c r="AL2700" s="1"/>
      <c r="AM2700" s="2"/>
      <c r="AN2700" s="1"/>
      <c r="AO2700" s="1"/>
      <c r="AP2700" s="1"/>
      <c r="AQ2700" s="1"/>
      <c r="AR2700" s="1"/>
      <c r="AS2700" s="1"/>
      <c r="AT2700" s="1"/>
      <c r="AU2700" s="1"/>
      <c r="AV2700" s="1"/>
      <c r="AW2700" s="1"/>
      <c r="AX2700" s="1"/>
      <c r="AY2700" s="1"/>
      <c r="AZ2700" s="1"/>
      <c r="BA2700" s="1"/>
      <c r="BB2700" s="1"/>
      <c r="BC2700" s="1"/>
      <c r="BD2700" s="1"/>
      <c r="BE2700" s="1"/>
    </row>
    <row x14ac:dyDescent="0.25" r="2701" customHeight="1" ht="18.75">
      <c r="A2701" s="1"/>
      <c r="B2701" s="2"/>
      <c r="C2701" s="2"/>
      <c r="D2701" s="2"/>
      <c r="E2701" s="2"/>
      <c r="F2701" s="2"/>
      <c r="G2701" s="1"/>
      <c r="H2701" s="1"/>
      <c r="I2701" s="7">
        <v>2.698</v>
      </c>
      <c r="J2701" s="7">
        <f>IF((I2701-ROUNDDOWN(I2701,0))=0, 0, (I2701-ROUNDDOWN(I2701,0)))</f>
      </c>
      <c r="K2701" s="7">
        <f>INDIRECT("C$"&amp;2+MIN(2,ROUNDDOWN(I2701,0))*3)*(-$J2701^3+3*$J2701^2-3*$J2701+1)+INDIRECT("C$"&amp;3+MIN(2,ROUNDDOWN(I2701,0))*3)*(3*$J2701^3-6*$J2701^2+3*$J2701)+INDIRECT("C$"&amp;4+MIN(2,ROUNDDOWN(I2701,0))*3)*(-3*$J2701^3+3*$J2701^2)+INDIRECT("C$"&amp;5+MIN(2,ROUNDDOWN(I2701,0))*3)*$J2701^3</f>
      </c>
      <c r="L2701" s="7">
        <f>INDIRECT("D$"&amp;2+MIN(2,ROUNDDOWN(I2701,0))*3)*(-$J2701^3+3*$J2701^2-3*$J2701+1)+INDIRECT("D$"&amp;3+MIN(2,ROUNDDOWN(I2701,0))*3)*(3*$J2701^3-6*$J2701^2+3*$J2701)+INDIRECT("D$"&amp;4+MIN(2,ROUNDDOWN(I2701,0))*3)*(-3*$J2701^3+3*$J2701^2)+INDIRECT("D$"&amp;5+MIN(2,ROUNDDOWN(I2701,0))*3)*$J2701^3</f>
      </c>
      <c r="M2701" s="7">
        <f>SQRT(K2701^2+L2701^2)</f>
      </c>
      <c r="N2701" s="7">
        <f>(K2702-K2700)</f>
      </c>
      <c r="O2701" s="7">
        <f>+(L2702-L2700)</f>
      </c>
      <c r="P2701" s="7">
        <f>SQRT(O2701^2+N2701^2)</f>
      </c>
      <c r="Q2701" s="7">
        <f>N2701/$P2701</f>
      </c>
      <c r="R2701" s="7">
        <f>O2701/$P2701</f>
      </c>
      <c r="S2701" s="8">
        <f>Q2701^2+R2701^2</f>
      </c>
      <c r="T2701" s="7">
        <f>-R2701</f>
      </c>
      <c r="U2701" s="7">
        <f>Q2701</f>
      </c>
      <c r="V2701" s="7">
        <f>($C$14+($C$15-$C$14)/($D$15-$D$14)*(I2701-$D$14))/2</f>
      </c>
      <c r="W2701" s="7">
        <f>($B$22*I2701^4+$C$22*I2701^3+$D$22*I2701^2+$E$22*I2701+$F$22)/2</f>
      </c>
      <c r="X2701" s="7">
        <f>($W2701)*(T2701)</f>
      </c>
      <c r="Y2701" s="7">
        <f>($W2701)*(U2701)</f>
      </c>
      <c r="Z2701" s="7">
        <f>SQRT(X2701^2+Y2701^2)</f>
      </c>
      <c r="AA2701" s="7">
        <f>$K2701+$X2701</f>
      </c>
      <c r="AB2701" s="7">
        <f>$L2701+$Y2701</f>
      </c>
      <c r="AC2701" s="7">
        <f>$K2701-$X2701</f>
      </c>
      <c r="AD2701" s="7">
        <f>$L2701-$Y2701</f>
      </c>
      <c r="AE2701" s="7">
        <f>AA2701/39.3701</f>
      </c>
      <c r="AF2701" s="7">
        <f>AB2701/39.3701</f>
      </c>
      <c r="AG2701" s="7">
        <f>AC2701/39.3701</f>
      </c>
      <c r="AH2701" s="7">
        <f>AD2701/39.3701</f>
      </c>
      <c r="AI2701" s="1"/>
      <c r="AJ2701" s="1"/>
      <c r="AK2701" s="1"/>
      <c r="AL2701" s="1"/>
      <c r="AM2701" s="2"/>
      <c r="AN2701" s="1"/>
      <c r="AO2701" s="1"/>
      <c r="AP2701" s="1"/>
      <c r="AQ2701" s="1"/>
      <c r="AR2701" s="1"/>
      <c r="AS2701" s="1"/>
      <c r="AT2701" s="1"/>
      <c r="AU2701" s="1"/>
      <c r="AV2701" s="1"/>
      <c r="AW2701" s="1"/>
      <c r="AX2701" s="1"/>
      <c r="AY2701" s="1"/>
      <c r="AZ2701" s="1"/>
      <c r="BA2701" s="1"/>
      <c r="BB2701" s="1"/>
      <c r="BC2701" s="1"/>
      <c r="BD2701" s="1"/>
      <c r="BE2701" s="1"/>
    </row>
    <row x14ac:dyDescent="0.25" r="2702" customHeight="1" ht="18.75">
      <c r="A2702" s="1"/>
      <c r="B2702" s="2"/>
      <c r="C2702" s="2"/>
      <c r="D2702" s="2"/>
      <c r="E2702" s="2"/>
      <c r="F2702" s="2"/>
      <c r="G2702" s="1"/>
      <c r="H2702" s="1"/>
      <c r="I2702" s="7">
        <v>2.699</v>
      </c>
      <c r="J2702" s="7">
        <f>IF((I2702-ROUNDDOWN(I2702,0))=0, 0, (I2702-ROUNDDOWN(I2702,0)))</f>
      </c>
      <c r="K2702" s="7">
        <f>INDIRECT("C$"&amp;2+MIN(2,ROUNDDOWN(I2702,0))*3)*(-$J2702^3+3*$J2702^2-3*$J2702+1)+INDIRECT("C$"&amp;3+MIN(2,ROUNDDOWN(I2702,0))*3)*(3*$J2702^3-6*$J2702^2+3*$J2702)+INDIRECT("C$"&amp;4+MIN(2,ROUNDDOWN(I2702,0))*3)*(-3*$J2702^3+3*$J2702^2)+INDIRECT("C$"&amp;5+MIN(2,ROUNDDOWN(I2702,0))*3)*$J2702^3</f>
      </c>
      <c r="L2702" s="7">
        <f>INDIRECT("D$"&amp;2+MIN(2,ROUNDDOWN(I2702,0))*3)*(-$J2702^3+3*$J2702^2-3*$J2702+1)+INDIRECT("D$"&amp;3+MIN(2,ROUNDDOWN(I2702,0))*3)*(3*$J2702^3-6*$J2702^2+3*$J2702)+INDIRECT("D$"&amp;4+MIN(2,ROUNDDOWN(I2702,0))*3)*(-3*$J2702^3+3*$J2702^2)+INDIRECT("D$"&amp;5+MIN(2,ROUNDDOWN(I2702,0))*3)*$J2702^3</f>
      </c>
      <c r="M2702" s="7">
        <f>SQRT(K2702^2+L2702^2)</f>
      </c>
      <c r="N2702" s="7">
        <f>(K2703-K2701)</f>
      </c>
      <c r="O2702" s="7">
        <f>+(L2703-L2701)</f>
      </c>
      <c r="P2702" s="7">
        <f>SQRT(O2702^2+N2702^2)</f>
      </c>
      <c r="Q2702" s="7">
        <f>N2702/$P2702</f>
      </c>
      <c r="R2702" s="7">
        <f>O2702/$P2702</f>
      </c>
      <c r="S2702" s="8">
        <f>Q2702^2+R2702^2</f>
      </c>
      <c r="T2702" s="7">
        <f>-R2702</f>
      </c>
      <c r="U2702" s="7">
        <f>Q2702</f>
      </c>
      <c r="V2702" s="7">
        <f>($C$14+($C$15-$C$14)/($D$15-$D$14)*(I2702-$D$14))/2</f>
      </c>
      <c r="W2702" s="7">
        <f>($B$22*I2702^4+$C$22*I2702^3+$D$22*I2702^2+$E$22*I2702+$F$22)/2</f>
      </c>
      <c r="X2702" s="7">
        <f>($W2702)*(T2702)</f>
      </c>
      <c r="Y2702" s="7">
        <f>($W2702)*(U2702)</f>
      </c>
      <c r="Z2702" s="7">
        <f>SQRT(X2702^2+Y2702^2)</f>
      </c>
      <c r="AA2702" s="7">
        <f>$K2702+$X2702</f>
      </c>
      <c r="AB2702" s="7">
        <f>$L2702+$Y2702</f>
      </c>
      <c r="AC2702" s="7">
        <f>$K2702-$X2702</f>
      </c>
      <c r="AD2702" s="7">
        <f>$L2702-$Y2702</f>
      </c>
      <c r="AE2702" s="7">
        <f>AA2702/39.3701</f>
      </c>
      <c r="AF2702" s="7">
        <f>AB2702/39.3701</f>
      </c>
      <c r="AG2702" s="7">
        <f>AC2702/39.3701</f>
      </c>
      <c r="AH2702" s="7">
        <f>AD2702/39.3701</f>
      </c>
      <c r="AI2702" s="1"/>
      <c r="AJ2702" s="1"/>
      <c r="AK2702" s="1"/>
      <c r="AL2702" s="1"/>
      <c r="AM2702" s="2"/>
      <c r="AN2702" s="1"/>
      <c r="AO2702" s="1"/>
      <c r="AP2702" s="1"/>
      <c r="AQ2702" s="1"/>
      <c r="AR2702" s="1"/>
      <c r="AS2702" s="1"/>
      <c r="AT2702" s="1"/>
      <c r="AU2702" s="1"/>
      <c r="AV2702" s="1"/>
      <c r="AW2702" s="1"/>
      <c r="AX2702" s="1"/>
      <c r="AY2702" s="1"/>
      <c r="AZ2702" s="1"/>
      <c r="BA2702" s="1"/>
      <c r="BB2702" s="1"/>
      <c r="BC2702" s="1"/>
      <c r="BD2702" s="1"/>
      <c r="BE2702" s="1"/>
    </row>
    <row x14ac:dyDescent="0.25" r="2703" customHeight="1" ht="18.75">
      <c r="A2703" s="1"/>
      <c r="B2703" s="2"/>
      <c r="C2703" s="2"/>
      <c r="D2703" s="2"/>
      <c r="E2703" s="2"/>
      <c r="F2703" s="2"/>
      <c r="G2703" s="1"/>
      <c r="H2703" s="1"/>
      <c r="I2703" s="7">
        <v>2.7</v>
      </c>
      <c r="J2703" s="7">
        <f>IF((I2703-ROUNDDOWN(I2703,0))=0, 0, (I2703-ROUNDDOWN(I2703,0)))</f>
      </c>
      <c r="K2703" s="7">
        <f>INDIRECT("C$"&amp;2+MIN(2,ROUNDDOWN(I2703,0))*3)*(-$J2703^3+3*$J2703^2-3*$J2703+1)+INDIRECT("C$"&amp;3+MIN(2,ROUNDDOWN(I2703,0))*3)*(3*$J2703^3-6*$J2703^2+3*$J2703)+INDIRECT("C$"&amp;4+MIN(2,ROUNDDOWN(I2703,0))*3)*(-3*$J2703^3+3*$J2703^2)+INDIRECT("C$"&amp;5+MIN(2,ROUNDDOWN(I2703,0))*3)*$J2703^3</f>
      </c>
      <c r="L2703" s="7">
        <f>INDIRECT("D$"&amp;2+MIN(2,ROUNDDOWN(I2703,0))*3)*(-$J2703^3+3*$J2703^2-3*$J2703+1)+INDIRECT("D$"&amp;3+MIN(2,ROUNDDOWN(I2703,0))*3)*(3*$J2703^3-6*$J2703^2+3*$J2703)+INDIRECT("D$"&amp;4+MIN(2,ROUNDDOWN(I2703,0))*3)*(-3*$J2703^3+3*$J2703^2)+INDIRECT("D$"&amp;5+MIN(2,ROUNDDOWN(I2703,0))*3)*$J2703^3</f>
      </c>
      <c r="M2703" s="7">
        <f>SQRT(K2703^2+L2703^2)</f>
      </c>
      <c r="N2703" s="7">
        <f>(K2704-K2702)</f>
      </c>
      <c r="O2703" s="7">
        <f>+(L2704-L2702)</f>
      </c>
      <c r="P2703" s="7">
        <f>SQRT(O2703^2+N2703^2)</f>
      </c>
      <c r="Q2703" s="7">
        <f>N2703/$P2703</f>
      </c>
      <c r="R2703" s="7">
        <f>O2703/$P2703</f>
      </c>
      <c r="S2703" s="8">
        <f>Q2703^2+R2703^2</f>
      </c>
      <c r="T2703" s="7">
        <f>-R2703</f>
      </c>
      <c r="U2703" s="7">
        <f>Q2703</f>
      </c>
      <c r="V2703" s="7">
        <f>($C$14+($C$15-$C$14)/($D$15-$D$14)*(I2703-$D$14))/2</f>
      </c>
      <c r="W2703" s="7">
        <f>($B$22*I2703^4+$C$22*I2703^3+$D$22*I2703^2+$E$22*I2703+$F$22)/2</f>
      </c>
      <c r="X2703" s="7">
        <f>($W2703)*(T2703)</f>
      </c>
      <c r="Y2703" s="7">
        <f>($W2703)*(U2703)</f>
      </c>
      <c r="Z2703" s="7">
        <f>SQRT(X2703^2+Y2703^2)</f>
      </c>
      <c r="AA2703" s="7">
        <f>$K2703+$X2703</f>
      </c>
      <c r="AB2703" s="7">
        <f>$L2703+$Y2703</f>
      </c>
      <c r="AC2703" s="7">
        <f>$K2703-$X2703</f>
      </c>
      <c r="AD2703" s="7">
        <f>$L2703-$Y2703</f>
      </c>
      <c r="AE2703" s="7">
        <f>AA2703/39.3701</f>
      </c>
      <c r="AF2703" s="7">
        <f>AB2703/39.3701</f>
      </c>
      <c r="AG2703" s="7">
        <f>AC2703/39.3701</f>
      </c>
      <c r="AH2703" s="7">
        <f>AD2703/39.3701</f>
      </c>
      <c r="AI2703" s="1"/>
      <c r="AJ2703" s="1"/>
      <c r="AK2703" s="1"/>
      <c r="AL2703" s="1"/>
      <c r="AM2703" s="2"/>
      <c r="AN2703" s="1"/>
      <c r="AO2703" s="1"/>
      <c r="AP2703" s="1"/>
      <c r="AQ2703" s="1"/>
      <c r="AR2703" s="1"/>
      <c r="AS2703" s="1"/>
      <c r="AT2703" s="1"/>
      <c r="AU2703" s="1"/>
      <c r="AV2703" s="1"/>
      <c r="AW2703" s="1"/>
      <c r="AX2703" s="1"/>
      <c r="AY2703" s="1"/>
      <c r="AZ2703" s="1"/>
      <c r="BA2703" s="1"/>
      <c r="BB2703" s="1"/>
      <c r="BC2703" s="1"/>
      <c r="BD2703" s="1"/>
      <c r="BE2703" s="1"/>
    </row>
    <row x14ac:dyDescent="0.25" r="2704" customHeight="1" ht="18.75">
      <c r="A2704" s="1"/>
      <c r="B2704" s="2"/>
      <c r="C2704" s="2"/>
      <c r="D2704" s="2"/>
      <c r="E2704" s="2"/>
      <c r="F2704" s="2"/>
      <c r="G2704" s="1"/>
      <c r="H2704" s="1"/>
      <c r="I2704" s="7">
        <v>2.701</v>
      </c>
      <c r="J2704" s="7">
        <f>IF((I2704-ROUNDDOWN(I2704,0))=0, 0, (I2704-ROUNDDOWN(I2704,0)))</f>
      </c>
      <c r="K2704" s="7">
        <f>INDIRECT("C$"&amp;2+MIN(2,ROUNDDOWN(I2704,0))*3)*(-$J2704^3+3*$J2704^2-3*$J2704+1)+INDIRECT("C$"&amp;3+MIN(2,ROUNDDOWN(I2704,0))*3)*(3*$J2704^3-6*$J2704^2+3*$J2704)+INDIRECT("C$"&amp;4+MIN(2,ROUNDDOWN(I2704,0))*3)*(-3*$J2704^3+3*$J2704^2)+INDIRECT("C$"&amp;5+MIN(2,ROUNDDOWN(I2704,0))*3)*$J2704^3</f>
      </c>
      <c r="L2704" s="7">
        <f>INDIRECT("D$"&amp;2+MIN(2,ROUNDDOWN(I2704,0))*3)*(-$J2704^3+3*$J2704^2-3*$J2704+1)+INDIRECT("D$"&amp;3+MIN(2,ROUNDDOWN(I2704,0))*3)*(3*$J2704^3-6*$J2704^2+3*$J2704)+INDIRECT("D$"&amp;4+MIN(2,ROUNDDOWN(I2704,0))*3)*(-3*$J2704^3+3*$J2704^2)+INDIRECT("D$"&amp;5+MIN(2,ROUNDDOWN(I2704,0))*3)*$J2704^3</f>
      </c>
      <c r="M2704" s="7">
        <f>SQRT(K2704^2+L2704^2)</f>
      </c>
      <c r="N2704" s="7">
        <f>(K2705-K2703)</f>
      </c>
      <c r="O2704" s="7">
        <f>+(L2705-L2703)</f>
      </c>
      <c r="P2704" s="7">
        <f>SQRT(O2704^2+N2704^2)</f>
      </c>
      <c r="Q2704" s="7">
        <f>N2704/$P2704</f>
      </c>
      <c r="R2704" s="7">
        <f>O2704/$P2704</f>
      </c>
      <c r="S2704" s="8">
        <f>Q2704^2+R2704^2</f>
      </c>
      <c r="T2704" s="7">
        <f>-R2704</f>
      </c>
      <c r="U2704" s="7">
        <f>Q2704</f>
      </c>
      <c r="V2704" s="7">
        <f>($C$14+($C$15-$C$14)/($D$15-$D$14)*(I2704-$D$14))/2</f>
      </c>
      <c r="W2704" s="7">
        <f>($B$22*I2704^4+$C$22*I2704^3+$D$22*I2704^2+$E$22*I2704+$F$22)/2</f>
      </c>
      <c r="X2704" s="7">
        <f>($W2704)*(T2704)</f>
      </c>
      <c r="Y2704" s="7">
        <f>($W2704)*(U2704)</f>
      </c>
      <c r="Z2704" s="7">
        <f>SQRT(X2704^2+Y2704^2)</f>
      </c>
      <c r="AA2704" s="7">
        <f>$K2704+$X2704</f>
      </c>
      <c r="AB2704" s="7">
        <f>$L2704+$Y2704</f>
      </c>
      <c r="AC2704" s="7">
        <f>$K2704-$X2704</f>
      </c>
      <c r="AD2704" s="7">
        <f>$L2704-$Y2704</f>
      </c>
      <c r="AE2704" s="7">
        <f>AA2704/39.3701</f>
      </c>
      <c r="AF2704" s="7">
        <f>AB2704/39.3701</f>
      </c>
      <c r="AG2704" s="7">
        <f>AC2704/39.3701</f>
      </c>
      <c r="AH2704" s="7">
        <f>AD2704/39.3701</f>
      </c>
      <c r="AI2704" s="1"/>
      <c r="AJ2704" s="1"/>
      <c r="AK2704" s="1"/>
      <c r="AL2704" s="1"/>
      <c r="AM2704" s="2"/>
      <c r="AN2704" s="1"/>
      <c r="AO2704" s="1"/>
      <c r="AP2704" s="1"/>
      <c r="AQ2704" s="1"/>
      <c r="AR2704" s="1"/>
      <c r="AS2704" s="1"/>
      <c r="AT2704" s="1"/>
      <c r="AU2704" s="1"/>
      <c r="AV2704" s="1"/>
      <c r="AW2704" s="1"/>
      <c r="AX2704" s="1"/>
      <c r="AY2704" s="1"/>
      <c r="AZ2704" s="1"/>
      <c r="BA2704" s="1"/>
      <c r="BB2704" s="1"/>
      <c r="BC2704" s="1"/>
      <c r="BD2704" s="1"/>
      <c r="BE2704" s="1"/>
    </row>
    <row x14ac:dyDescent="0.25" r="2705" customHeight="1" ht="18.75">
      <c r="A2705" s="1"/>
      <c r="B2705" s="2"/>
      <c r="C2705" s="2"/>
      <c r="D2705" s="2"/>
      <c r="E2705" s="2"/>
      <c r="F2705" s="2"/>
      <c r="G2705" s="1"/>
      <c r="H2705" s="1"/>
      <c r="I2705" s="7">
        <v>2.702</v>
      </c>
      <c r="J2705" s="7">
        <f>IF((I2705-ROUNDDOWN(I2705,0))=0, 0, (I2705-ROUNDDOWN(I2705,0)))</f>
      </c>
      <c r="K2705" s="7">
        <f>INDIRECT("C$"&amp;2+MIN(2,ROUNDDOWN(I2705,0))*3)*(-$J2705^3+3*$J2705^2-3*$J2705+1)+INDIRECT("C$"&amp;3+MIN(2,ROUNDDOWN(I2705,0))*3)*(3*$J2705^3-6*$J2705^2+3*$J2705)+INDIRECT("C$"&amp;4+MIN(2,ROUNDDOWN(I2705,0))*3)*(-3*$J2705^3+3*$J2705^2)+INDIRECT("C$"&amp;5+MIN(2,ROUNDDOWN(I2705,0))*3)*$J2705^3</f>
      </c>
      <c r="L2705" s="7">
        <f>INDIRECT("D$"&amp;2+MIN(2,ROUNDDOWN(I2705,0))*3)*(-$J2705^3+3*$J2705^2-3*$J2705+1)+INDIRECT("D$"&amp;3+MIN(2,ROUNDDOWN(I2705,0))*3)*(3*$J2705^3-6*$J2705^2+3*$J2705)+INDIRECT("D$"&amp;4+MIN(2,ROUNDDOWN(I2705,0))*3)*(-3*$J2705^3+3*$J2705^2)+INDIRECT("D$"&amp;5+MIN(2,ROUNDDOWN(I2705,0))*3)*$J2705^3</f>
      </c>
      <c r="M2705" s="7">
        <f>SQRT(K2705^2+L2705^2)</f>
      </c>
      <c r="N2705" s="7">
        <f>(K2706-K2704)</f>
      </c>
      <c r="O2705" s="7">
        <f>+(L2706-L2704)</f>
      </c>
      <c r="P2705" s="7">
        <f>SQRT(O2705^2+N2705^2)</f>
      </c>
      <c r="Q2705" s="7">
        <f>N2705/$P2705</f>
      </c>
      <c r="R2705" s="7">
        <f>O2705/$P2705</f>
      </c>
      <c r="S2705" s="7">
        <f>Q2705^2+R2705^2</f>
      </c>
      <c r="T2705" s="7">
        <f>-R2705</f>
      </c>
      <c r="U2705" s="7">
        <f>Q2705</f>
      </c>
      <c r="V2705" s="7">
        <f>($C$14+($C$15-$C$14)/($D$15-$D$14)*(I2705-$D$14))/2</f>
      </c>
      <c r="W2705" s="7">
        <f>($B$22*I2705^4+$C$22*I2705^3+$D$22*I2705^2+$E$22*I2705+$F$22)/2</f>
      </c>
      <c r="X2705" s="7">
        <f>($W2705)*(T2705)</f>
      </c>
      <c r="Y2705" s="7">
        <f>($W2705)*(U2705)</f>
      </c>
      <c r="Z2705" s="7">
        <f>SQRT(X2705^2+Y2705^2)</f>
      </c>
      <c r="AA2705" s="7">
        <f>$K2705+$X2705</f>
      </c>
      <c r="AB2705" s="7">
        <f>$L2705+$Y2705</f>
      </c>
      <c r="AC2705" s="7">
        <f>$K2705-$X2705</f>
      </c>
      <c r="AD2705" s="7">
        <f>$L2705-$Y2705</f>
      </c>
      <c r="AE2705" s="7">
        <f>AA2705/39.3701</f>
      </c>
      <c r="AF2705" s="7">
        <f>AB2705/39.3701</f>
      </c>
      <c r="AG2705" s="7">
        <f>AC2705/39.3701</f>
      </c>
      <c r="AH2705" s="7">
        <f>AD2705/39.3701</f>
      </c>
      <c r="AI2705" s="1"/>
      <c r="AJ2705" s="1"/>
      <c r="AK2705" s="1"/>
      <c r="AL2705" s="1"/>
      <c r="AM2705" s="2"/>
      <c r="AN2705" s="1"/>
      <c r="AO2705" s="1"/>
      <c r="AP2705" s="1"/>
      <c r="AQ2705" s="1"/>
      <c r="AR2705" s="1"/>
      <c r="AS2705" s="1"/>
      <c r="AT2705" s="1"/>
      <c r="AU2705" s="1"/>
      <c r="AV2705" s="1"/>
      <c r="AW2705" s="1"/>
      <c r="AX2705" s="1"/>
      <c r="AY2705" s="1"/>
      <c r="AZ2705" s="1"/>
      <c r="BA2705" s="1"/>
      <c r="BB2705" s="1"/>
      <c r="BC2705" s="1"/>
      <c r="BD2705" s="1"/>
      <c r="BE2705" s="1"/>
    </row>
    <row x14ac:dyDescent="0.25" r="2706" customHeight="1" ht="18.75">
      <c r="A2706" s="1"/>
      <c r="B2706" s="2"/>
      <c r="C2706" s="2"/>
      <c r="D2706" s="2"/>
      <c r="E2706" s="2"/>
      <c r="F2706" s="2"/>
      <c r="G2706" s="1"/>
      <c r="H2706" s="1"/>
      <c r="I2706" s="7">
        <v>2.703</v>
      </c>
      <c r="J2706" s="7">
        <f>IF((I2706-ROUNDDOWN(I2706,0))=0, 0, (I2706-ROUNDDOWN(I2706,0)))</f>
      </c>
      <c r="K2706" s="7">
        <f>INDIRECT("C$"&amp;2+MIN(2,ROUNDDOWN(I2706,0))*3)*(-$J2706^3+3*$J2706^2-3*$J2706+1)+INDIRECT("C$"&amp;3+MIN(2,ROUNDDOWN(I2706,0))*3)*(3*$J2706^3-6*$J2706^2+3*$J2706)+INDIRECT("C$"&amp;4+MIN(2,ROUNDDOWN(I2706,0))*3)*(-3*$J2706^3+3*$J2706^2)+INDIRECT("C$"&amp;5+MIN(2,ROUNDDOWN(I2706,0))*3)*$J2706^3</f>
      </c>
      <c r="L2706" s="7">
        <f>INDIRECT("D$"&amp;2+MIN(2,ROUNDDOWN(I2706,0))*3)*(-$J2706^3+3*$J2706^2-3*$J2706+1)+INDIRECT("D$"&amp;3+MIN(2,ROUNDDOWN(I2706,0))*3)*(3*$J2706^3-6*$J2706^2+3*$J2706)+INDIRECT("D$"&amp;4+MIN(2,ROUNDDOWN(I2706,0))*3)*(-3*$J2706^3+3*$J2706^2)+INDIRECT("D$"&amp;5+MIN(2,ROUNDDOWN(I2706,0))*3)*$J2706^3</f>
      </c>
      <c r="M2706" s="7">
        <f>SQRT(K2706^2+L2706^2)</f>
      </c>
      <c r="N2706" s="7">
        <f>(K2707-K2705)</f>
      </c>
      <c r="O2706" s="7">
        <f>+(L2707-L2705)</f>
      </c>
      <c r="P2706" s="7">
        <f>SQRT(O2706^2+N2706^2)</f>
      </c>
      <c r="Q2706" s="7">
        <f>N2706/$P2706</f>
      </c>
      <c r="R2706" s="7">
        <f>O2706/$P2706</f>
      </c>
      <c r="S2706" s="8">
        <f>Q2706^2+R2706^2</f>
      </c>
      <c r="T2706" s="7">
        <f>-R2706</f>
      </c>
      <c r="U2706" s="7">
        <f>Q2706</f>
      </c>
      <c r="V2706" s="7">
        <f>($C$14+($C$15-$C$14)/($D$15-$D$14)*(I2706-$D$14))/2</f>
      </c>
      <c r="W2706" s="7">
        <f>($B$22*I2706^4+$C$22*I2706^3+$D$22*I2706^2+$E$22*I2706+$F$22)/2</f>
      </c>
      <c r="X2706" s="7">
        <f>($W2706)*(T2706)</f>
      </c>
      <c r="Y2706" s="7">
        <f>($W2706)*(U2706)</f>
      </c>
      <c r="Z2706" s="7">
        <f>SQRT(X2706^2+Y2706^2)</f>
      </c>
      <c r="AA2706" s="7">
        <f>$K2706+$X2706</f>
      </c>
      <c r="AB2706" s="7">
        <f>$L2706+$Y2706</f>
      </c>
      <c r="AC2706" s="7">
        <f>$K2706-$X2706</f>
      </c>
      <c r="AD2706" s="7">
        <f>$L2706-$Y2706</f>
      </c>
      <c r="AE2706" s="7">
        <f>AA2706/39.3701</f>
      </c>
      <c r="AF2706" s="7">
        <f>AB2706/39.3701</f>
      </c>
      <c r="AG2706" s="7">
        <f>AC2706/39.3701</f>
      </c>
      <c r="AH2706" s="7">
        <f>AD2706/39.3701</f>
      </c>
      <c r="AI2706" s="1"/>
      <c r="AJ2706" s="1"/>
      <c r="AK2706" s="1"/>
      <c r="AL2706" s="1"/>
      <c r="AM2706" s="2"/>
      <c r="AN2706" s="1"/>
      <c r="AO2706" s="1"/>
      <c r="AP2706" s="1"/>
      <c r="AQ2706" s="1"/>
      <c r="AR2706" s="1"/>
      <c r="AS2706" s="1"/>
      <c r="AT2706" s="1"/>
      <c r="AU2706" s="1"/>
      <c r="AV2706" s="1"/>
      <c r="AW2706" s="1"/>
      <c r="AX2706" s="1"/>
      <c r="AY2706" s="1"/>
      <c r="AZ2706" s="1"/>
      <c r="BA2706" s="1"/>
      <c r="BB2706" s="1"/>
      <c r="BC2706" s="1"/>
      <c r="BD2706" s="1"/>
      <c r="BE2706" s="1"/>
    </row>
    <row x14ac:dyDescent="0.25" r="2707" customHeight="1" ht="18.75">
      <c r="A2707" s="1"/>
      <c r="B2707" s="2"/>
      <c r="C2707" s="2"/>
      <c r="D2707" s="2"/>
      <c r="E2707" s="2"/>
      <c r="F2707" s="2"/>
      <c r="G2707" s="1"/>
      <c r="H2707" s="1"/>
      <c r="I2707" s="7">
        <v>2.704</v>
      </c>
      <c r="J2707" s="7">
        <f>IF((I2707-ROUNDDOWN(I2707,0))=0, 0, (I2707-ROUNDDOWN(I2707,0)))</f>
      </c>
      <c r="K2707" s="7">
        <f>INDIRECT("C$"&amp;2+MIN(2,ROUNDDOWN(I2707,0))*3)*(-$J2707^3+3*$J2707^2-3*$J2707+1)+INDIRECT("C$"&amp;3+MIN(2,ROUNDDOWN(I2707,0))*3)*(3*$J2707^3-6*$J2707^2+3*$J2707)+INDIRECT("C$"&amp;4+MIN(2,ROUNDDOWN(I2707,0))*3)*(-3*$J2707^3+3*$J2707^2)+INDIRECT("C$"&amp;5+MIN(2,ROUNDDOWN(I2707,0))*3)*$J2707^3</f>
      </c>
      <c r="L2707" s="7">
        <f>INDIRECT("D$"&amp;2+MIN(2,ROUNDDOWN(I2707,0))*3)*(-$J2707^3+3*$J2707^2-3*$J2707+1)+INDIRECT("D$"&amp;3+MIN(2,ROUNDDOWN(I2707,0))*3)*(3*$J2707^3-6*$J2707^2+3*$J2707)+INDIRECT("D$"&amp;4+MIN(2,ROUNDDOWN(I2707,0))*3)*(-3*$J2707^3+3*$J2707^2)+INDIRECT("D$"&amp;5+MIN(2,ROUNDDOWN(I2707,0))*3)*$J2707^3</f>
      </c>
      <c r="M2707" s="7">
        <f>SQRT(K2707^2+L2707^2)</f>
      </c>
      <c r="N2707" s="7">
        <f>(K2708-K2706)</f>
      </c>
      <c r="O2707" s="7">
        <f>+(L2708-L2706)</f>
      </c>
      <c r="P2707" s="7">
        <f>SQRT(O2707^2+N2707^2)</f>
      </c>
      <c r="Q2707" s="7">
        <f>N2707/$P2707</f>
      </c>
      <c r="R2707" s="7">
        <f>O2707/$P2707</f>
      </c>
      <c r="S2707" s="7">
        <f>Q2707^2+R2707^2</f>
      </c>
      <c r="T2707" s="7">
        <f>-R2707</f>
      </c>
      <c r="U2707" s="7">
        <f>Q2707</f>
      </c>
      <c r="V2707" s="7">
        <f>($C$14+($C$15-$C$14)/($D$15-$D$14)*(I2707-$D$14))/2</f>
      </c>
      <c r="W2707" s="7">
        <f>($B$22*I2707^4+$C$22*I2707^3+$D$22*I2707^2+$E$22*I2707+$F$22)/2</f>
      </c>
      <c r="X2707" s="7">
        <f>($W2707)*(T2707)</f>
      </c>
      <c r="Y2707" s="7">
        <f>($W2707)*(U2707)</f>
      </c>
      <c r="Z2707" s="7">
        <f>SQRT(X2707^2+Y2707^2)</f>
      </c>
      <c r="AA2707" s="7">
        <f>$K2707+$X2707</f>
      </c>
      <c r="AB2707" s="7">
        <f>$L2707+$Y2707</f>
      </c>
      <c r="AC2707" s="7">
        <f>$K2707-$X2707</f>
      </c>
      <c r="AD2707" s="7">
        <f>$L2707-$Y2707</f>
      </c>
      <c r="AE2707" s="7">
        <f>AA2707/39.3701</f>
      </c>
      <c r="AF2707" s="7">
        <f>AB2707/39.3701</f>
      </c>
      <c r="AG2707" s="7">
        <f>AC2707/39.3701</f>
      </c>
      <c r="AH2707" s="7">
        <f>AD2707/39.3701</f>
      </c>
      <c r="AI2707" s="1"/>
      <c r="AJ2707" s="1"/>
      <c r="AK2707" s="1"/>
      <c r="AL2707" s="1"/>
      <c r="AM2707" s="2"/>
      <c r="AN2707" s="1"/>
      <c r="AO2707" s="1"/>
      <c r="AP2707" s="1"/>
      <c r="AQ2707" s="1"/>
      <c r="AR2707" s="1"/>
      <c r="AS2707" s="1"/>
      <c r="AT2707" s="1"/>
      <c r="AU2707" s="1"/>
      <c r="AV2707" s="1"/>
      <c r="AW2707" s="1"/>
      <c r="AX2707" s="1"/>
      <c r="AY2707" s="1"/>
      <c r="AZ2707" s="1"/>
      <c r="BA2707" s="1"/>
      <c r="BB2707" s="1"/>
      <c r="BC2707" s="1"/>
      <c r="BD2707" s="1"/>
      <c r="BE2707" s="1"/>
    </row>
    <row x14ac:dyDescent="0.25" r="2708" customHeight="1" ht="18.75">
      <c r="A2708" s="1"/>
      <c r="B2708" s="2"/>
      <c r="C2708" s="2"/>
      <c r="D2708" s="2"/>
      <c r="E2708" s="2"/>
      <c r="F2708" s="2"/>
      <c r="G2708" s="1"/>
      <c r="H2708" s="1"/>
      <c r="I2708" s="7">
        <v>2.705</v>
      </c>
      <c r="J2708" s="7">
        <f>IF((I2708-ROUNDDOWN(I2708,0))=0, 0, (I2708-ROUNDDOWN(I2708,0)))</f>
      </c>
      <c r="K2708" s="7">
        <f>INDIRECT("C$"&amp;2+MIN(2,ROUNDDOWN(I2708,0))*3)*(-$J2708^3+3*$J2708^2-3*$J2708+1)+INDIRECT("C$"&amp;3+MIN(2,ROUNDDOWN(I2708,0))*3)*(3*$J2708^3-6*$J2708^2+3*$J2708)+INDIRECT("C$"&amp;4+MIN(2,ROUNDDOWN(I2708,0))*3)*(-3*$J2708^3+3*$J2708^2)+INDIRECT("C$"&amp;5+MIN(2,ROUNDDOWN(I2708,0))*3)*$J2708^3</f>
      </c>
      <c r="L2708" s="7">
        <f>INDIRECT("D$"&amp;2+MIN(2,ROUNDDOWN(I2708,0))*3)*(-$J2708^3+3*$J2708^2-3*$J2708+1)+INDIRECT("D$"&amp;3+MIN(2,ROUNDDOWN(I2708,0))*3)*(3*$J2708^3-6*$J2708^2+3*$J2708)+INDIRECT("D$"&amp;4+MIN(2,ROUNDDOWN(I2708,0))*3)*(-3*$J2708^3+3*$J2708^2)+INDIRECT("D$"&amp;5+MIN(2,ROUNDDOWN(I2708,0))*3)*$J2708^3</f>
      </c>
      <c r="M2708" s="7">
        <f>SQRT(K2708^2+L2708^2)</f>
      </c>
      <c r="N2708" s="7">
        <f>(K2709-K2707)</f>
      </c>
      <c r="O2708" s="7">
        <f>+(L2709-L2707)</f>
      </c>
      <c r="P2708" s="7">
        <f>SQRT(O2708^2+N2708^2)</f>
      </c>
      <c r="Q2708" s="7">
        <f>N2708/$P2708</f>
      </c>
      <c r="R2708" s="7">
        <f>O2708/$P2708</f>
      </c>
      <c r="S2708" s="8">
        <f>Q2708^2+R2708^2</f>
      </c>
      <c r="T2708" s="7">
        <f>-R2708</f>
      </c>
      <c r="U2708" s="7">
        <f>Q2708</f>
      </c>
      <c r="V2708" s="7">
        <f>($C$14+($C$15-$C$14)/($D$15-$D$14)*(I2708-$D$14))/2</f>
      </c>
      <c r="W2708" s="7">
        <f>($B$22*I2708^4+$C$22*I2708^3+$D$22*I2708^2+$E$22*I2708+$F$22)/2</f>
      </c>
      <c r="X2708" s="7">
        <f>($W2708)*(T2708)</f>
      </c>
      <c r="Y2708" s="7">
        <f>($W2708)*(U2708)</f>
      </c>
      <c r="Z2708" s="7">
        <f>SQRT(X2708^2+Y2708^2)</f>
      </c>
      <c r="AA2708" s="7">
        <f>$K2708+$X2708</f>
      </c>
      <c r="AB2708" s="7">
        <f>$L2708+$Y2708</f>
      </c>
      <c r="AC2708" s="7">
        <f>$K2708-$X2708</f>
      </c>
      <c r="AD2708" s="7">
        <f>$L2708-$Y2708</f>
      </c>
      <c r="AE2708" s="7">
        <f>AA2708/39.3701</f>
      </c>
      <c r="AF2708" s="7">
        <f>AB2708/39.3701</f>
      </c>
      <c r="AG2708" s="7">
        <f>AC2708/39.3701</f>
      </c>
      <c r="AH2708" s="7">
        <f>AD2708/39.3701</f>
      </c>
      <c r="AI2708" s="1"/>
      <c r="AJ2708" s="1"/>
      <c r="AK2708" s="1"/>
      <c r="AL2708" s="1"/>
      <c r="AM2708" s="2"/>
      <c r="AN2708" s="1"/>
      <c r="AO2708" s="1"/>
      <c r="AP2708" s="1"/>
      <c r="AQ2708" s="1"/>
      <c r="AR2708" s="1"/>
      <c r="AS2708" s="1"/>
      <c r="AT2708" s="1"/>
      <c r="AU2708" s="1"/>
      <c r="AV2708" s="1"/>
      <c r="AW2708" s="1"/>
      <c r="AX2708" s="1"/>
      <c r="AY2708" s="1"/>
      <c r="AZ2708" s="1"/>
      <c r="BA2708" s="1"/>
      <c r="BB2708" s="1"/>
      <c r="BC2708" s="1"/>
      <c r="BD2708" s="1"/>
      <c r="BE2708" s="1"/>
    </row>
    <row x14ac:dyDescent="0.25" r="2709" customHeight="1" ht="18.75">
      <c r="A2709" s="1"/>
      <c r="B2709" s="2"/>
      <c r="C2709" s="2"/>
      <c r="D2709" s="2"/>
      <c r="E2709" s="2"/>
      <c r="F2709" s="2"/>
      <c r="G2709" s="1"/>
      <c r="H2709" s="1"/>
      <c r="I2709" s="7">
        <v>2.706</v>
      </c>
      <c r="J2709" s="7">
        <f>IF((I2709-ROUNDDOWN(I2709,0))=0, 0, (I2709-ROUNDDOWN(I2709,0)))</f>
      </c>
      <c r="K2709" s="7">
        <f>INDIRECT("C$"&amp;2+MIN(2,ROUNDDOWN(I2709,0))*3)*(-$J2709^3+3*$J2709^2-3*$J2709+1)+INDIRECT("C$"&amp;3+MIN(2,ROUNDDOWN(I2709,0))*3)*(3*$J2709^3-6*$J2709^2+3*$J2709)+INDIRECT("C$"&amp;4+MIN(2,ROUNDDOWN(I2709,0))*3)*(-3*$J2709^3+3*$J2709^2)+INDIRECT("C$"&amp;5+MIN(2,ROUNDDOWN(I2709,0))*3)*$J2709^3</f>
      </c>
      <c r="L2709" s="7">
        <f>INDIRECT("D$"&amp;2+MIN(2,ROUNDDOWN(I2709,0))*3)*(-$J2709^3+3*$J2709^2-3*$J2709+1)+INDIRECT("D$"&amp;3+MIN(2,ROUNDDOWN(I2709,0))*3)*(3*$J2709^3-6*$J2709^2+3*$J2709)+INDIRECT("D$"&amp;4+MIN(2,ROUNDDOWN(I2709,0))*3)*(-3*$J2709^3+3*$J2709^2)+INDIRECT("D$"&amp;5+MIN(2,ROUNDDOWN(I2709,0))*3)*$J2709^3</f>
      </c>
      <c r="M2709" s="7">
        <f>SQRT(K2709^2+L2709^2)</f>
      </c>
      <c r="N2709" s="7">
        <f>(K2710-K2708)</f>
      </c>
      <c r="O2709" s="7">
        <f>+(L2710-L2708)</f>
      </c>
      <c r="P2709" s="7">
        <f>SQRT(O2709^2+N2709^2)</f>
      </c>
      <c r="Q2709" s="7">
        <f>N2709/$P2709</f>
      </c>
      <c r="R2709" s="7">
        <f>O2709/$P2709</f>
      </c>
      <c r="S2709" s="8">
        <f>Q2709^2+R2709^2</f>
      </c>
      <c r="T2709" s="7">
        <f>-R2709</f>
      </c>
      <c r="U2709" s="7">
        <f>Q2709</f>
      </c>
      <c r="V2709" s="7">
        <f>($C$14+($C$15-$C$14)/($D$15-$D$14)*(I2709-$D$14))/2</f>
      </c>
      <c r="W2709" s="7">
        <f>($B$22*I2709^4+$C$22*I2709^3+$D$22*I2709^2+$E$22*I2709+$F$22)/2</f>
      </c>
      <c r="X2709" s="7">
        <f>($W2709)*(T2709)</f>
      </c>
      <c r="Y2709" s="7">
        <f>($W2709)*(U2709)</f>
      </c>
      <c r="Z2709" s="7">
        <f>SQRT(X2709^2+Y2709^2)</f>
      </c>
      <c r="AA2709" s="7">
        <f>$K2709+$X2709</f>
      </c>
      <c r="AB2709" s="7">
        <f>$L2709+$Y2709</f>
      </c>
      <c r="AC2709" s="7">
        <f>$K2709-$X2709</f>
      </c>
      <c r="AD2709" s="7">
        <f>$L2709-$Y2709</f>
      </c>
      <c r="AE2709" s="7">
        <f>AA2709/39.3701</f>
      </c>
      <c r="AF2709" s="7">
        <f>AB2709/39.3701</f>
      </c>
      <c r="AG2709" s="7">
        <f>AC2709/39.3701</f>
      </c>
      <c r="AH2709" s="7">
        <f>AD2709/39.3701</f>
      </c>
      <c r="AI2709" s="1"/>
      <c r="AJ2709" s="1"/>
      <c r="AK2709" s="1"/>
      <c r="AL2709" s="1"/>
      <c r="AM2709" s="2"/>
      <c r="AN2709" s="1"/>
      <c r="AO2709" s="1"/>
      <c r="AP2709" s="1"/>
      <c r="AQ2709" s="1"/>
      <c r="AR2709" s="1"/>
      <c r="AS2709" s="1"/>
      <c r="AT2709" s="1"/>
      <c r="AU2709" s="1"/>
      <c r="AV2709" s="1"/>
      <c r="AW2709" s="1"/>
      <c r="AX2709" s="1"/>
      <c r="AY2709" s="1"/>
      <c r="AZ2709" s="1"/>
      <c r="BA2709" s="1"/>
      <c r="BB2709" s="1"/>
      <c r="BC2709" s="1"/>
      <c r="BD2709" s="1"/>
      <c r="BE2709" s="1"/>
    </row>
    <row x14ac:dyDescent="0.25" r="2710" customHeight="1" ht="18.75">
      <c r="A2710" s="1"/>
      <c r="B2710" s="2"/>
      <c r="C2710" s="2"/>
      <c r="D2710" s="2"/>
      <c r="E2710" s="2"/>
      <c r="F2710" s="2"/>
      <c r="G2710" s="1"/>
      <c r="H2710" s="1"/>
      <c r="I2710" s="7">
        <v>2.707</v>
      </c>
      <c r="J2710" s="7">
        <f>IF((I2710-ROUNDDOWN(I2710,0))=0, 0, (I2710-ROUNDDOWN(I2710,0)))</f>
      </c>
      <c r="K2710" s="7">
        <f>INDIRECT("C$"&amp;2+MIN(2,ROUNDDOWN(I2710,0))*3)*(-$J2710^3+3*$J2710^2-3*$J2710+1)+INDIRECT("C$"&amp;3+MIN(2,ROUNDDOWN(I2710,0))*3)*(3*$J2710^3-6*$J2710^2+3*$J2710)+INDIRECT("C$"&amp;4+MIN(2,ROUNDDOWN(I2710,0))*3)*(-3*$J2710^3+3*$J2710^2)+INDIRECT("C$"&amp;5+MIN(2,ROUNDDOWN(I2710,0))*3)*$J2710^3</f>
      </c>
      <c r="L2710" s="7">
        <f>INDIRECT("D$"&amp;2+MIN(2,ROUNDDOWN(I2710,0))*3)*(-$J2710^3+3*$J2710^2-3*$J2710+1)+INDIRECT("D$"&amp;3+MIN(2,ROUNDDOWN(I2710,0))*3)*(3*$J2710^3-6*$J2710^2+3*$J2710)+INDIRECT("D$"&amp;4+MIN(2,ROUNDDOWN(I2710,0))*3)*(-3*$J2710^3+3*$J2710^2)+INDIRECT("D$"&amp;5+MIN(2,ROUNDDOWN(I2710,0))*3)*$J2710^3</f>
      </c>
      <c r="M2710" s="7">
        <f>SQRT(K2710^2+L2710^2)</f>
      </c>
      <c r="N2710" s="7">
        <f>(K2711-K2709)</f>
      </c>
      <c r="O2710" s="7">
        <f>+(L2711-L2709)</f>
      </c>
      <c r="P2710" s="7">
        <f>SQRT(O2710^2+N2710^2)</f>
      </c>
      <c r="Q2710" s="7">
        <f>N2710/$P2710</f>
      </c>
      <c r="R2710" s="7">
        <f>O2710/$P2710</f>
      </c>
      <c r="S2710" s="7">
        <f>Q2710^2+R2710^2</f>
      </c>
      <c r="T2710" s="7">
        <f>-R2710</f>
      </c>
      <c r="U2710" s="7">
        <f>Q2710</f>
      </c>
      <c r="V2710" s="7">
        <f>($C$14+($C$15-$C$14)/($D$15-$D$14)*(I2710-$D$14))/2</f>
      </c>
      <c r="W2710" s="7">
        <f>($B$22*I2710^4+$C$22*I2710^3+$D$22*I2710^2+$E$22*I2710+$F$22)/2</f>
      </c>
      <c r="X2710" s="7">
        <f>($W2710)*(T2710)</f>
      </c>
      <c r="Y2710" s="7">
        <f>($W2710)*(U2710)</f>
      </c>
      <c r="Z2710" s="7">
        <f>SQRT(X2710^2+Y2710^2)</f>
      </c>
      <c r="AA2710" s="7">
        <f>$K2710+$X2710</f>
      </c>
      <c r="AB2710" s="7">
        <f>$L2710+$Y2710</f>
      </c>
      <c r="AC2710" s="7">
        <f>$K2710-$X2710</f>
      </c>
      <c r="AD2710" s="7">
        <f>$L2710-$Y2710</f>
      </c>
      <c r="AE2710" s="7">
        <f>AA2710/39.3701</f>
      </c>
      <c r="AF2710" s="7">
        <f>AB2710/39.3701</f>
      </c>
      <c r="AG2710" s="7">
        <f>AC2710/39.3701</f>
      </c>
      <c r="AH2710" s="7">
        <f>AD2710/39.3701</f>
      </c>
      <c r="AI2710" s="1"/>
      <c r="AJ2710" s="1"/>
      <c r="AK2710" s="1"/>
      <c r="AL2710" s="1"/>
      <c r="AM2710" s="2"/>
      <c r="AN2710" s="1"/>
      <c r="AO2710" s="1"/>
      <c r="AP2710" s="1"/>
      <c r="AQ2710" s="1"/>
      <c r="AR2710" s="1"/>
      <c r="AS2710" s="1"/>
      <c r="AT2710" s="1"/>
      <c r="AU2710" s="1"/>
      <c r="AV2710" s="1"/>
      <c r="AW2710" s="1"/>
      <c r="AX2710" s="1"/>
      <c r="AY2710" s="1"/>
      <c r="AZ2710" s="1"/>
      <c r="BA2710" s="1"/>
      <c r="BB2710" s="1"/>
      <c r="BC2710" s="1"/>
      <c r="BD2710" s="1"/>
      <c r="BE2710" s="1"/>
    </row>
    <row x14ac:dyDescent="0.25" r="2711" customHeight="1" ht="18.75">
      <c r="A2711" s="1"/>
      <c r="B2711" s="2"/>
      <c r="C2711" s="2"/>
      <c r="D2711" s="2"/>
      <c r="E2711" s="2"/>
      <c r="F2711" s="2"/>
      <c r="G2711" s="1"/>
      <c r="H2711" s="1"/>
      <c r="I2711" s="7">
        <v>2.708</v>
      </c>
      <c r="J2711" s="7">
        <f>IF((I2711-ROUNDDOWN(I2711,0))=0, 0, (I2711-ROUNDDOWN(I2711,0)))</f>
      </c>
      <c r="K2711" s="7">
        <f>INDIRECT("C$"&amp;2+MIN(2,ROUNDDOWN(I2711,0))*3)*(-$J2711^3+3*$J2711^2-3*$J2711+1)+INDIRECT("C$"&amp;3+MIN(2,ROUNDDOWN(I2711,0))*3)*(3*$J2711^3-6*$J2711^2+3*$J2711)+INDIRECT("C$"&amp;4+MIN(2,ROUNDDOWN(I2711,0))*3)*(-3*$J2711^3+3*$J2711^2)+INDIRECT("C$"&amp;5+MIN(2,ROUNDDOWN(I2711,0))*3)*$J2711^3</f>
      </c>
      <c r="L2711" s="7">
        <f>INDIRECT("D$"&amp;2+MIN(2,ROUNDDOWN(I2711,0))*3)*(-$J2711^3+3*$J2711^2-3*$J2711+1)+INDIRECT("D$"&amp;3+MIN(2,ROUNDDOWN(I2711,0))*3)*(3*$J2711^3-6*$J2711^2+3*$J2711)+INDIRECT("D$"&amp;4+MIN(2,ROUNDDOWN(I2711,0))*3)*(-3*$J2711^3+3*$J2711^2)+INDIRECT("D$"&amp;5+MIN(2,ROUNDDOWN(I2711,0))*3)*$J2711^3</f>
      </c>
      <c r="M2711" s="7">
        <f>SQRT(K2711^2+L2711^2)</f>
      </c>
      <c r="N2711" s="7">
        <f>(K2712-K2710)</f>
      </c>
      <c r="O2711" s="7">
        <f>+(L2712-L2710)</f>
      </c>
      <c r="P2711" s="7">
        <f>SQRT(O2711^2+N2711^2)</f>
      </c>
      <c r="Q2711" s="7">
        <f>N2711/$P2711</f>
      </c>
      <c r="R2711" s="7">
        <f>O2711/$P2711</f>
      </c>
      <c r="S2711" s="7">
        <f>Q2711^2+R2711^2</f>
      </c>
      <c r="T2711" s="7">
        <f>-R2711</f>
      </c>
      <c r="U2711" s="7">
        <f>Q2711</f>
      </c>
      <c r="V2711" s="7">
        <f>($C$14+($C$15-$C$14)/($D$15-$D$14)*(I2711-$D$14))/2</f>
      </c>
      <c r="W2711" s="7">
        <f>($B$22*I2711^4+$C$22*I2711^3+$D$22*I2711^2+$E$22*I2711+$F$22)/2</f>
      </c>
      <c r="X2711" s="7">
        <f>($W2711)*(T2711)</f>
      </c>
      <c r="Y2711" s="7">
        <f>($W2711)*(U2711)</f>
      </c>
      <c r="Z2711" s="7">
        <f>SQRT(X2711^2+Y2711^2)</f>
      </c>
      <c r="AA2711" s="7">
        <f>$K2711+$X2711</f>
      </c>
      <c r="AB2711" s="7">
        <f>$L2711+$Y2711</f>
      </c>
      <c r="AC2711" s="7">
        <f>$K2711-$X2711</f>
      </c>
      <c r="AD2711" s="7">
        <f>$L2711-$Y2711</f>
      </c>
      <c r="AE2711" s="7">
        <f>AA2711/39.3701</f>
      </c>
      <c r="AF2711" s="7">
        <f>AB2711/39.3701</f>
      </c>
      <c r="AG2711" s="7">
        <f>AC2711/39.3701</f>
      </c>
      <c r="AH2711" s="7">
        <f>AD2711/39.3701</f>
      </c>
      <c r="AI2711" s="1"/>
      <c r="AJ2711" s="1"/>
      <c r="AK2711" s="1"/>
      <c r="AL2711" s="1"/>
      <c r="AM2711" s="2"/>
      <c r="AN2711" s="1"/>
      <c r="AO2711" s="1"/>
      <c r="AP2711" s="1"/>
      <c r="AQ2711" s="1"/>
      <c r="AR2711" s="1"/>
      <c r="AS2711" s="1"/>
      <c r="AT2711" s="1"/>
      <c r="AU2711" s="1"/>
      <c r="AV2711" s="1"/>
      <c r="AW2711" s="1"/>
      <c r="AX2711" s="1"/>
      <c r="AY2711" s="1"/>
      <c r="AZ2711" s="1"/>
      <c r="BA2711" s="1"/>
      <c r="BB2711" s="1"/>
      <c r="BC2711" s="1"/>
      <c r="BD2711" s="1"/>
      <c r="BE2711" s="1"/>
    </row>
    <row x14ac:dyDescent="0.25" r="2712" customHeight="1" ht="18.75">
      <c r="A2712" s="1"/>
      <c r="B2712" s="2"/>
      <c r="C2712" s="2"/>
      <c r="D2712" s="2"/>
      <c r="E2712" s="2"/>
      <c r="F2712" s="2"/>
      <c r="G2712" s="1"/>
      <c r="H2712" s="1"/>
      <c r="I2712" s="7">
        <v>2.709</v>
      </c>
      <c r="J2712" s="7">
        <f>IF((I2712-ROUNDDOWN(I2712,0))=0, 0, (I2712-ROUNDDOWN(I2712,0)))</f>
      </c>
      <c r="K2712" s="7">
        <f>INDIRECT("C$"&amp;2+MIN(2,ROUNDDOWN(I2712,0))*3)*(-$J2712^3+3*$J2712^2-3*$J2712+1)+INDIRECT("C$"&amp;3+MIN(2,ROUNDDOWN(I2712,0))*3)*(3*$J2712^3-6*$J2712^2+3*$J2712)+INDIRECT("C$"&amp;4+MIN(2,ROUNDDOWN(I2712,0))*3)*(-3*$J2712^3+3*$J2712^2)+INDIRECT("C$"&amp;5+MIN(2,ROUNDDOWN(I2712,0))*3)*$J2712^3</f>
      </c>
      <c r="L2712" s="7">
        <f>INDIRECT("D$"&amp;2+MIN(2,ROUNDDOWN(I2712,0))*3)*(-$J2712^3+3*$J2712^2-3*$J2712+1)+INDIRECT("D$"&amp;3+MIN(2,ROUNDDOWN(I2712,0))*3)*(3*$J2712^3-6*$J2712^2+3*$J2712)+INDIRECT("D$"&amp;4+MIN(2,ROUNDDOWN(I2712,0))*3)*(-3*$J2712^3+3*$J2712^2)+INDIRECT("D$"&amp;5+MIN(2,ROUNDDOWN(I2712,0))*3)*$J2712^3</f>
      </c>
      <c r="M2712" s="7">
        <f>SQRT(K2712^2+L2712^2)</f>
      </c>
      <c r="N2712" s="7">
        <f>(K2713-K2711)</f>
      </c>
      <c r="O2712" s="7">
        <f>+(L2713-L2711)</f>
      </c>
      <c r="P2712" s="7">
        <f>SQRT(O2712^2+N2712^2)</f>
      </c>
      <c r="Q2712" s="7">
        <f>N2712/$P2712</f>
      </c>
      <c r="R2712" s="7">
        <f>O2712/$P2712</f>
      </c>
      <c r="S2712" s="7">
        <f>Q2712^2+R2712^2</f>
      </c>
      <c r="T2712" s="7">
        <f>-R2712</f>
      </c>
      <c r="U2712" s="7">
        <f>Q2712</f>
      </c>
      <c r="V2712" s="7">
        <f>($C$14+($C$15-$C$14)/($D$15-$D$14)*(I2712-$D$14))/2</f>
      </c>
      <c r="W2712" s="7">
        <f>($B$22*I2712^4+$C$22*I2712^3+$D$22*I2712^2+$E$22*I2712+$F$22)/2</f>
      </c>
      <c r="X2712" s="7">
        <f>($W2712)*(T2712)</f>
      </c>
      <c r="Y2712" s="7">
        <f>($W2712)*(U2712)</f>
      </c>
      <c r="Z2712" s="7">
        <f>SQRT(X2712^2+Y2712^2)</f>
      </c>
      <c r="AA2712" s="7">
        <f>$K2712+$X2712</f>
      </c>
      <c r="AB2712" s="7">
        <f>$L2712+$Y2712</f>
      </c>
      <c r="AC2712" s="7">
        <f>$K2712-$X2712</f>
      </c>
      <c r="AD2712" s="7">
        <f>$L2712-$Y2712</f>
      </c>
      <c r="AE2712" s="7">
        <f>AA2712/39.3701</f>
      </c>
      <c r="AF2712" s="7">
        <f>AB2712/39.3701</f>
      </c>
      <c r="AG2712" s="7">
        <f>AC2712/39.3701</f>
      </c>
      <c r="AH2712" s="7">
        <f>AD2712/39.3701</f>
      </c>
      <c r="AI2712" s="1"/>
      <c r="AJ2712" s="1"/>
      <c r="AK2712" s="1"/>
      <c r="AL2712" s="1"/>
      <c r="AM2712" s="2"/>
      <c r="AN2712" s="1"/>
      <c r="AO2712" s="1"/>
      <c r="AP2712" s="1"/>
      <c r="AQ2712" s="1"/>
      <c r="AR2712" s="1"/>
      <c r="AS2712" s="1"/>
      <c r="AT2712" s="1"/>
      <c r="AU2712" s="1"/>
      <c r="AV2712" s="1"/>
      <c r="AW2712" s="1"/>
      <c r="AX2712" s="1"/>
      <c r="AY2712" s="1"/>
      <c r="AZ2712" s="1"/>
      <c r="BA2712" s="1"/>
      <c r="BB2712" s="1"/>
      <c r="BC2712" s="1"/>
      <c r="BD2712" s="1"/>
      <c r="BE2712" s="1"/>
    </row>
    <row x14ac:dyDescent="0.25" r="2713" customHeight="1" ht="18.75">
      <c r="A2713" s="1"/>
      <c r="B2713" s="2"/>
      <c r="C2713" s="2"/>
      <c r="D2713" s="2"/>
      <c r="E2713" s="2"/>
      <c r="F2713" s="2"/>
      <c r="G2713" s="1"/>
      <c r="H2713" s="1"/>
      <c r="I2713" s="7">
        <v>2.71</v>
      </c>
      <c r="J2713" s="7">
        <f>IF((I2713-ROUNDDOWN(I2713,0))=0, 0, (I2713-ROUNDDOWN(I2713,0)))</f>
      </c>
      <c r="K2713" s="7">
        <f>INDIRECT("C$"&amp;2+MIN(2,ROUNDDOWN(I2713,0))*3)*(-$J2713^3+3*$J2713^2-3*$J2713+1)+INDIRECT("C$"&amp;3+MIN(2,ROUNDDOWN(I2713,0))*3)*(3*$J2713^3-6*$J2713^2+3*$J2713)+INDIRECT("C$"&amp;4+MIN(2,ROUNDDOWN(I2713,0))*3)*(-3*$J2713^3+3*$J2713^2)+INDIRECT("C$"&amp;5+MIN(2,ROUNDDOWN(I2713,0))*3)*$J2713^3</f>
      </c>
      <c r="L2713" s="7">
        <f>INDIRECT("D$"&amp;2+MIN(2,ROUNDDOWN(I2713,0))*3)*(-$J2713^3+3*$J2713^2-3*$J2713+1)+INDIRECT("D$"&amp;3+MIN(2,ROUNDDOWN(I2713,0))*3)*(3*$J2713^3-6*$J2713^2+3*$J2713)+INDIRECT("D$"&amp;4+MIN(2,ROUNDDOWN(I2713,0))*3)*(-3*$J2713^3+3*$J2713^2)+INDIRECT("D$"&amp;5+MIN(2,ROUNDDOWN(I2713,0))*3)*$J2713^3</f>
      </c>
      <c r="M2713" s="7">
        <f>SQRT(K2713^2+L2713^2)</f>
      </c>
      <c r="N2713" s="7">
        <f>(K2714-K2712)</f>
      </c>
      <c r="O2713" s="7">
        <f>+(L2714-L2712)</f>
      </c>
      <c r="P2713" s="7">
        <f>SQRT(O2713^2+N2713^2)</f>
      </c>
      <c r="Q2713" s="7">
        <f>N2713/$P2713</f>
      </c>
      <c r="R2713" s="7">
        <f>O2713/$P2713</f>
      </c>
      <c r="S2713" s="7">
        <f>Q2713^2+R2713^2</f>
      </c>
      <c r="T2713" s="7">
        <f>-R2713</f>
      </c>
      <c r="U2713" s="7">
        <f>Q2713</f>
      </c>
      <c r="V2713" s="7">
        <f>($C$14+($C$15-$C$14)/($D$15-$D$14)*(I2713-$D$14))/2</f>
      </c>
      <c r="W2713" s="7">
        <f>($B$22*I2713^4+$C$22*I2713^3+$D$22*I2713^2+$E$22*I2713+$F$22)/2</f>
      </c>
      <c r="X2713" s="7">
        <f>($W2713)*(T2713)</f>
      </c>
      <c r="Y2713" s="7">
        <f>($W2713)*(U2713)</f>
      </c>
      <c r="Z2713" s="7">
        <f>SQRT(X2713^2+Y2713^2)</f>
      </c>
      <c r="AA2713" s="7">
        <f>$K2713+$X2713</f>
      </c>
      <c r="AB2713" s="7">
        <f>$L2713+$Y2713</f>
      </c>
      <c r="AC2713" s="7">
        <f>$K2713-$X2713</f>
      </c>
      <c r="AD2713" s="7">
        <f>$L2713-$Y2713</f>
      </c>
      <c r="AE2713" s="7">
        <f>AA2713/39.3701</f>
      </c>
      <c r="AF2713" s="7">
        <f>AB2713/39.3701</f>
      </c>
      <c r="AG2713" s="7">
        <f>AC2713/39.3701</f>
      </c>
      <c r="AH2713" s="7">
        <f>AD2713/39.3701</f>
      </c>
      <c r="AI2713" s="1"/>
      <c r="AJ2713" s="1"/>
      <c r="AK2713" s="1"/>
      <c r="AL2713" s="1"/>
      <c r="AM2713" s="2"/>
      <c r="AN2713" s="1"/>
      <c r="AO2713" s="1"/>
      <c r="AP2713" s="1"/>
      <c r="AQ2713" s="1"/>
      <c r="AR2713" s="1"/>
      <c r="AS2713" s="1"/>
      <c r="AT2713" s="1"/>
      <c r="AU2713" s="1"/>
      <c r="AV2713" s="1"/>
      <c r="AW2713" s="1"/>
      <c r="AX2713" s="1"/>
      <c r="AY2713" s="1"/>
      <c r="AZ2713" s="1"/>
      <c r="BA2713" s="1"/>
      <c r="BB2713" s="1"/>
      <c r="BC2713" s="1"/>
      <c r="BD2713" s="1"/>
      <c r="BE2713" s="1"/>
    </row>
    <row x14ac:dyDescent="0.25" r="2714" customHeight="1" ht="18.75">
      <c r="A2714" s="1"/>
      <c r="B2714" s="2"/>
      <c r="C2714" s="2"/>
      <c r="D2714" s="2"/>
      <c r="E2714" s="2"/>
      <c r="F2714" s="2"/>
      <c r="G2714" s="1"/>
      <c r="H2714" s="1"/>
      <c r="I2714" s="7">
        <v>2.711</v>
      </c>
      <c r="J2714" s="7">
        <f>IF((I2714-ROUNDDOWN(I2714,0))=0, 0, (I2714-ROUNDDOWN(I2714,0)))</f>
      </c>
      <c r="K2714" s="7">
        <f>INDIRECT("C$"&amp;2+MIN(2,ROUNDDOWN(I2714,0))*3)*(-$J2714^3+3*$J2714^2-3*$J2714+1)+INDIRECT("C$"&amp;3+MIN(2,ROUNDDOWN(I2714,0))*3)*(3*$J2714^3-6*$J2714^2+3*$J2714)+INDIRECT("C$"&amp;4+MIN(2,ROUNDDOWN(I2714,0))*3)*(-3*$J2714^3+3*$J2714^2)+INDIRECT("C$"&amp;5+MIN(2,ROUNDDOWN(I2714,0))*3)*$J2714^3</f>
      </c>
      <c r="L2714" s="7">
        <f>INDIRECT("D$"&amp;2+MIN(2,ROUNDDOWN(I2714,0))*3)*(-$J2714^3+3*$J2714^2-3*$J2714+1)+INDIRECT("D$"&amp;3+MIN(2,ROUNDDOWN(I2714,0))*3)*(3*$J2714^3-6*$J2714^2+3*$J2714)+INDIRECT("D$"&amp;4+MIN(2,ROUNDDOWN(I2714,0))*3)*(-3*$J2714^3+3*$J2714^2)+INDIRECT("D$"&amp;5+MIN(2,ROUNDDOWN(I2714,0))*3)*$J2714^3</f>
      </c>
      <c r="M2714" s="7">
        <f>SQRT(K2714^2+L2714^2)</f>
      </c>
      <c r="N2714" s="7">
        <f>(K2715-K2713)</f>
      </c>
      <c r="O2714" s="7">
        <f>+(L2715-L2713)</f>
      </c>
      <c r="P2714" s="7">
        <f>SQRT(O2714^2+N2714^2)</f>
      </c>
      <c r="Q2714" s="7">
        <f>N2714/$P2714</f>
      </c>
      <c r="R2714" s="7">
        <f>O2714/$P2714</f>
      </c>
      <c r="S2714" s="8">
        <f>Q2714^2+R2714^2</f>
      </c>
      <c r="T2714" s="7">
        <f>-R2714</f>
      </c>
      <c r="U2714" s="7">
        <f>Q2714</f>
      </c>
      <c r="V2714" s="7">
        <f>($C$14+($C$15-$C$14)/($D$15-$D$14)*(I2714-$D$14))/2</f>
      </c>
      <c r="W2714" s="7">
        <f>($B$22*I2714^4+$C$22*I2714^3+$D$22*I2714^2+$E$22*I2714+$F$22)/2</f>
      </c>
      <c r="X2714" s="7">
        <f>($W2714)*(T2714)</f>
      </c>
      <c r="Y2714" s="7">
        <f>($W2714)*(U2714)</f>
      </c>
      <c r="Z2714" s="7">
        <f>SQRT(X2714^2+Y2714^2)</f>
      </c>
      <c r="AA2714" s="7">
        <f>$K2714+$X2714</f>
      </c>
      <c r="AB2714" s="7">
        <f>$L2714+$Y2714</f>
      </c>
      <c r="AC2714" s="7">
        <f>$K2714-$X2714</f>
      </c>
      <c r="AD2714" s="7">
        <f>$L2714-$Y2714</f>
      </c>
      <c r="AE2714" s="7">
        <f>AA2714/39.3701</f>
      </c>
      <c r="AF2714" s="7">
        <f>AB2714/39.3701</f>
      </c>
      <c r="AG2714" s="7">
        <f>AC2714/39.3701</f>
      </c>
      <c r="AH2714" s="7">
        <f>AD2714/39.3701</f>
      </c>
      <c r="AI2714" s="1"/>
      <c r="AJ2714" s="1"/>
      <c r="AK2714" s="1"/>
      <c r="AL2714" s="1"/>
      <c r="AM2714" s="2"/>
      <c r="AN2714" s="1"/>
      <c r="AO2714" s="1"/>
      <c r="AP2714" s="1"/>
      <c r="AQ2714" s="1"/>
      <c r="AR2714" s="1"/>
      <c r="AS2714" s="1"/>
      <c r="AT2714" s="1"/>
      <c r="AU2714" s="1"/>
      <c r="AV2714" s="1"/>
      <c r="AW2714" s="1"/>
      <c r="AX2714" s="1"/>
      <c r="AY2714" s="1"/>
      <c r="AZ2714" s="1"/>
      <c r="BA2714" s="1"/>
      <c r="BB2714" s="1"/>
      <c r="BC2714" s="1"/>
      <c r="BD2714" s="1"/>
      <c r="BE2714" s="1"/>
    </row>
    <row x14ac:dyDescent="0.25" r="2715" customHeight="1" ht="18.75">
      <c r="A2715" s="1"/>
      <c r="B2715" s="2"/>
      <c r="C2715" s="2"/>
      <c r="D2715" s="2"/>
      <c r="E2715" s="2"/>
      <c r="F2715" s="2"/>
      <c r="G2715" s="1"/>
      <c r="H2715" s="1"/>
      <c r="I2715" s="7">
        <v>2.712</v>
      </c>
      <c r="J2715" s="7">
        <f>IF((I2715-ROUNDDOWN(I2715,0))=0, 0, (I2715-ROUNDDOWN(I2715,0)))</f>
      </c>
      <c r="K2715" s="7">
        <f>INDIRECT("C$"&amp;2+MIN(2,ROUNDDOWN(I2715,0))*3)*(-$J2715^3+3*$J2715^2-3*$J2715+1)+INDIRECT("C$"&amp;3+MIN(2,ROUNDDOWN(I2715,0))*3)*(3*$J2715^3-6*$J2715^2+3*$J2715)+INDIRECT("C$"&amp;4+MIN(2,ROUNDDOWN(I2715,0))*3)*(-3*$J2715^3+3*$J2715^2)+INDIRECT("C$"&amp;5+MIN(2,ROUNDDOWN(I2715,0))*3)*$J2715^3</f>
      </c>
      <c r="L2715" s="7">
        <f>INDIRECT("D$"&amp;2+MIN(2,ROUNDDOWN(I2715,0))*3)*(-$J2715^3+3*$J2715^2-3*$J2715+1)+INDIRECT("D$"&amp;3+MIN(2,ROUNDDOWN(I2715,0))*3)*(3*$J2715^3-6*$J2715^2+3*$J2715)+INDIRECT("D$"&amp;4+MIN(2,ROUNDDOWN(I2715,0))*3)*(-3*$J2715^3+3*$J2715^2)+INDIRECT("D$"&amp;5+MIN(2,ROUNDDOWN(I2715,0))*3)*$J2715^3</f>
      </c>
      <c r="M2715" s="7">
        <f>SQRT(K2715^2+L2715^2)</f>
      </c>
      <c r="N2715" s="7">
        <f>(K2716-K2714)</f>
      </c>
      <c r="O2715" s="7">
        <f>+(L2716-L2714)</f>
      </c>
      <c r="P2715" s="7">
        <f>SQRT(O2715^2+N2715^2)</f>
      </c>
      <c r="Q2715" s="7">
        <f>N2715/$P2715</f>
      </c>
      <c r="R2715" s="7">
        <f>O2715/$P2715</f>
      </c>
      <c r="S2715" s="7">
        <f>Q2715^2+R2715^2</f>
      </c>
      <c r="T2715" s="7">
        <f>-R2715</f>
      </c>
      <c r="U2715" s="7">
        <f>Q2715</f>
      </c>
      <c r="V2715" s="7">
        <f>($C$14+($C$15-$C$14)/($D$15-$D$14)*(I2715-$D$14))/2</f>
      </c>
      <c r="W2715" s="7">
        <f>($B$22*I2715^4+$C$22*I2715^3+$D$22*I2715^2+$E$22*I2715+$F$22)/2</f>
      </c>
      <c r="X2715" s="7">
        <f>($W2715)*(T2715)</f>
      </c>
      <c r="Y2715" s="7">
        <f>($W2715)*(U2715)</f>
      </c>
      <c r="Z2715" s="7">
        <f>SQRT(X2715^2+Y2715^2)</f>
      </c>
      <c r="AA2715" s="7">
        <f>$K2715+$X2715</f>
      </c>
      <c r="AB2715" s="7">
        <f>$L2715+$Y2715</f>
      </c>
      <c r="AC2715" s="7">
        <f>$K2715-$X2715</f>
      </c>
      <c r="AD2715" s="7">
        <f>$L2715-$Y2715</f>
      </c>
      <c r="AE2715" s="7">
        <f>AA2715/39.3701</f>
      </c>
      <c r="AF2715" s="7">
        <f>AB2715/39.3701</f>
      </c>
      <c r="AG2715" s="7">
        <f>AC2715/39.3701</f>
      </c>
      <c r="AH2715" s="7">
        <f>AD2715/39.3701</f>
      </c>
      <c r="AI2715" s="1"/>
      <c r="AJ2715" s="1"/>
      <c r="AK2715" s="1"/>
      <c r="AL2715" s="1"/>
      <c r="AM2715" s="2"/>
      <c r="AN2715" s="1"/>
      <c r="AO2715" s="1"/>
      <c r="AP2715" s="1"/>
      <c r="AQ2715" s="1"/>
      <c r="AR2715" s="1"/>
      <c r="AS2715" s="1"/>
      <c r="AT2715" s="1"/>
      <c r="AU2715" s="1"/>
      <c r="AV2715" s="1"/>
      <c r="AW2715" s="1"/>
      <c r="AX2715" s="1"/>
      <c r="AY2715" s="1"/>
      <c r="AZ2715" s="1"/>
      <c r="BA2715" s="1"/>
      <c r="BB2715" s="1"/>
      <c r="BC2715" s="1"/>
      <c r="BD2715" s="1"/>
      <c r="BE2715" s="1"/>
    </row>
    <row x14ac:dyDescent="0.25" r="2716" customHeight="1" ht="18.75">
      <c r="A2716" s="1"/>
      <c r="B2716" s="2"/>
      <c r="C2716" s="2"/>
      <c r="D2716" s="2"/>
      <c r="E2716" s="2"/>
      <c r="F2716" s="2"/>
      <c r="G2716" s="1"/>
      <c r="H2716" s="1"/>
      <c r="I2716" s="7">
        <v>2.713</v>
      </c>
      <c r="J2716" s="7">
        <f>IF((I2716-ROUNDDOWN(I2716,0))=0, 0, (I2716-ROUNDDOWN(I2716,0)))</f>
      </c>
      <c r="K2716" s="7">
        <f>INDIRECT("C$"&amp;2+MIN(2,ROUNDDOWN(I2716,0))*3)*(-$J2716^3+3*$J2716^2-3*$J2716+1)+INDIRECT("C$"&amp;3+MIN(2,ROUNDDOWN(I2716,0))*3)*(3*$J2716^3-6*$J2716^2+3*$J2716)+INDIRECT("C$"&amp;4+MIN(2,ROUNDDOWN(I2716,0))*3)*(-3*$J2716^3+3*$J2716^2)+INDIRECT("C$"&amp;5+MIN(2,ROUNDDOWN(I2716,0))*3)*$J2716^3</f>
      </c>
      <c r="L2716" s="7">
        <f>INDIRECT("D$"&amp;2+MIN(2,ROUNDDOWN(I2716,0))*3)*(-$J2716^3+3*$J2716^2-3*$J2716+1)+INDIRECT("D$"&amp;3+MIN(2,ROUNDDOWN(I2716,0))*3)*(3*$J2716^3-6*$J2716^2+3*$J2716)+INDIRECT("D$"&amp;4+MIN(2,ROUNDDOWN(I2716,0))*3)*(-3*$J2716^3+3*$J2716^2)+INDIRECT("D$"&amp;5+MIN(2,ROUNDDOWN(I2716,0))*3)*$J2716^3</f>
      </c>
      <c r="M2716" s="7">
        <f>SQRT(K2716^2+L2716^2)</f>
      </c>
      <c r="N2716" s="7">
        <f>(K2717-K2715)</f>
      </c>
      <c r="O2716" s="7">
        <f>+(L2717-L2715)</f>
      </c>
      <c r="P2716" s="7">
        <f>SQRT(O2716^2+N2716^2)</f>
      </c>
      <c r="Q2716" s="7">
        <f>N2716/$P2716</f>
      </c>
      <c r="R2716" s="7">
        <f>O2716/$P2716</f>
      </c>
      <c r="S2716" s="7">
        <f>Q2716^2+R2716^2</f>
      </c>
      <c r="T2716" s="7">
        <f>-R2716</f>
      </c>
      <c r="U2716" s="7">
        <f>Q2716</f>
      </c>
      <c r="V2716" s="7">
        <f>($C$14+($C$15-$C$14)/($D$15-$D$14)*(I2716-$D$14))/2</f>
      </c>
      <c r="W2716" s="7">
        <f>($B$22*I2716^4+$C$22*I2716^3+$D$22*I2716^2+$E$22*I2716+$F$22)/2</f>
      </c>
      <c r="X2716" s="7">
        <f>($W2716)*(T2716)</f>
      </c>
      <c r="Y2716" s="7">
        <f>($W2716)*(U2716)</f>
      </c>
      <c r="Z2716" s="7">
        <f>SQRT(X2716^2+Y2716^2)</f>
      </c>
      <c r="AA2716" s="7">
        <f>$K2716+$X2716</f>
      </c>
      <c r="AB2716" s="7">
        <f>$L2716+$Y2716</f>
      </c>
      <c r="AC2716" s="7">
        <f>$K2716-$X2716</f>
      </c>
      <c r="AD2716" s="7">
        <f>$L2716-$Y2716</f>
      </c>
      <c r="AE2716" s="7">
        <f>AA2716/39.3701</f>
      </c>
      <c r="AF2716" s="7">
        <f>AB2716/39.3701</f>
      </c>
      <c r="AG2716" s="7">
        <f>AC2716/39.3701</f>
      </c>
      <c r="AH2716" s="7">
        <f>AD2716/39.3701</f>
      </c>
      <c r="AI2716" s="1"/>
      <c r="AJ2716" s="1"/>
      <c r="AK2716" s="1"/>
      <c r="AL2716" s="1"/>
      <c r="AM2716" s="2"/>
      <c r="AN2716" s="1"/>
      <c r="AO2716" s="1"/>
      <c r="AP2716" s="1"/>
      <c r="AQ2716" s="1"/>
      <c r="AR2716" s="1"/>
      <c r="AS2716" s="1"/>
      <c r="AT2716" s="1"/>
      <c r="AU2716" s="1"/>
      <c r="AV2716" s="1"/>
      <c r="AW2716" s="1"/>
      <c r="AX2716" s="1"/>
      <c r="AY2716" s="1"/>
      <c r="AZ2716" s="1"/>
      <c r="BA2716" s="1"/>
      <c r="BB2716" s="1"/>
      <c r="BC2716" s="1"/>
      <c r="BD2716" s="1"/>
      <c r="BE2716" s="1"/>
    </row>
    <row x14ac:dyDescent="0.25" r="2717" customHeight="1" ht="18.75">
      <c r="A2717" s="1"/>
      <c r="B2717" s="2"/>
      <c r="C2717" s="2"/>
      <c r="D2717" s="2"/>
      <c r="E2717" s="2"/>
      <c r="F2717" s="2"/>
      <c r="G2717" s="1"/>
      <c r="H2717" s="1"/>
      <c r="I2717" s="7">
        <v>2.714</v>
      </c>
      <c r="J2717" s="7">
        <f>IF((I2717-ROUNDDOWN(I2717,0))=0, 0, (I2717-ROUNDDOWN(I2717,0)))</f>
      </c>
      <c r="K2717" s="7">
        <f>INDIRECT("C$"&amp;2+MIN(2,ROUNDDOWN(I2717,0))*3)*(-$J2717^3+3*$J2717^2-3*$J2717+1)+INDIRECT("C$"&amp;3+MIN(2,ROUNDDOWN(I2717,0))*3)*(3*$J2717^3-6*$J2717^2+3*$J2717)+INDIRECT("C$"&amp;4+MIN(2,ROUNDDOWN(I2717,0))*3)*(-3*$J2717^3+3*$J2717^2)+INDIRECT("C$"&amp;5+MIN(2,ROUNDDOWN(I2717,0))*3)*$J2717^3</f>
      </c>
      <c r="L2717" s="7">
        <f>INDIRECT("D$"&amp;2+MIN(2,ROUNDDOWN(I2717,0))*3)*(-$J2717^3+3*$J2717^2-3*$J2717+1)+INDIRECT("D$"&amp;3+MIN(2,ROUNDDOWN(I2717,0))*3)*(3*$J2717^3-6*$J2717^2+3*$J2717)+INDIRECT("D$"&amp;4+MIN(2,ROUNDDOWN(I2717,0))*3)*(-3*$J2717^3+3*$J2717^2)+INDIRECT("D$"&amp;5+MIN(2,ROUNDDOWN(I2717,0))*3)*$J2717^3</f>
      </c>
      <c r="M2717" s="7">
        <f>SQRT(K2717^2+L2717^2)</f>
      </c>
      <c r="N2717" s="7">
        <f>(K2718-K2716)</f>
      </c>
      <c r="O2717" s="7">
        <f>+(L2718-L2716)</f>
      </c>
      <c r="P2717" s="7">
        <f>SQRT(O2717^2+N2717^2)</f>
      </c>
      <c r="Q2717" s="7">
        <f>N2717/$P2717</f>
      </c>
      <c r="R2717" s="7">
        <f>O2717/$P2717</f>
      </c>
      <c r="S2717" s="7">
        <f>Q2717^2+R2717^2</f>
      </c>
      <c r="T2717" s="7">
        <f>-R2717</f>
      </c>
      <c r="U2717" s="7">
        <f>Q2717</f>
      </c>
      <c r="V2717" s="7">
        <f>($C$14+($C$15-$C$14)/($D$15-$D$14)*(I2717-$D$14))/2</f>
      </c>
      <c r="W2717" s="7">
        <f>($B$22*I2717^4+$C$22*I2717^3+$D$22*I2717^2+$E$22*I2717+$F$22)/2</f>
      </c>
      <c r="X2717" s="7">
        <f>($W2717)*(T2717)</f>
      </c>
      <c r="Y2717" s="7">
        <f>($W2717)*(U2717)</f>
      </c>
      <c r="Z2717" s="7">
        <f>SQRT(X2717^2+Y2717^2)</f>
      </c>
      <c r="AA2717" s="7">
        <f>$K2717+$X2717</f>
      </c>
      <c r="AB2717" s="7">
        <f>$L2717+$Y2717</f>
      </c>
      <c r="AC2717" s="7">
        <f>$K2717-$X2717</f>
      </c>
      <c r="AD2717" s="7">
        <f>$L2717-$Y2717</f>
      </c>
      <c r="AE2717" s="7">
        <f>AA2717/39.3701</f>
      </c>
      <c r="AF2717" s="7">
        <f>AB2717/39.3701</f>
      </c>
      <c r="AG2717" s="7">
        <f>AC2717/39.3701</f>
      </c>
      <c r="AH2717" s="7">
        <f>AD2717/39.3701</f>
      </c>
      <c r="AI2717" s="1"/>
      <c r="AJ2717" s="1"/>
      <c r="AK2717" s="1"/>
      <c r="AL2717" s="1"/>
      <c r="AM2717" s="2"/>
      <c r="AN2717" s="1"/>
      <c r="AO2717" s="1"/>
      <c r="AP2717" s="1"/>
      <c r="AQ2717" s="1"/>
      <c r="AR2717" s="1"/>
      <c r="AS2717" s="1"/>
      <c r="AT2717" s="1"/>
      <c r="AU2717" s="1"/>
      <c r="AV2717" s="1"/>
      <c r="AW2717" s="1"/>
      <c r="AX2717" s="1"/>
      <c r="AY2717" s="1"/>
      <c r="AZ2717" s="1"/>
      <c r="BA2717" s="1"/>
      <c r="BB2717" s="1"/>
      <c r="BC2717" s="1"/>
      <c r="BD2717" s="1"/>
      <c r="BE2717" s="1"/>
    </row>
    <row x14ac:dyDescent="0.25" r="2718" customHeight="1" ht="18.75">
      <c r="A2718" s="1"/>
      <c r="B2718" s="2"/>
      <c r="C2718" s="2"/>
      <c r="D2718" s="2"/>
      <c r="E2718" s="2"/>
      <c r="F2718" s="2"/>
      <c r="G2718" s="1"/>
      <c r="H2718" s="1"/>
      <c r="I2718" s="7">
        <v>2.715</v>
      </c>
      <c r="J2718" s="7">
        <f>IF((I2718-ROUNDDOWN(I2718,0))=0, 0, (I2718-ROUNDDOWN(I2718,0)))</f>
      </c>
      <c r="K2718" s="7">
        <f>INDIRECT("C$"&amp;2+MIN(2,ROUNDDOWN(I2718,0))*3)*(-$J2718^3+3*$J2718^2-3*$J2718+1)+INDIRECT("C$"&amp;3+MIN(2,ROUNDDOWN(I2718,0))*3)*(3*$J2718^3-6*$J2718^2+3*$J2718)+INDIRECT("C$"&amp;4+MIN(2,ROUNDDOWN(I2718,0))*3)*(-3*$J2718^3+3*$J2718^2)+INDIRECT("C$"&amp;5+MIN(2,ROUNDDOWN(I2718,0))*3)*$J2718^3</f>
      </c>
      <c r="L2718" s="7">
        <f>INDIRECT("D$"&amp;2+MIN(2,ROUNDDOWN(I2718,0))*3)*(-$J2718^3+3*$J2718^2-3*$J2718+1)+INDIRECT("D$"&amp;3+MIN(2,ROUNDDOWN(I2718,0))*3)*(3*$J2718^3-6*$J2718^2+3*$J2718)+INDIRECT("D$"&amp;4+MIN(2,ROUNDDOWN(I2718,0))*3)*(-3*$J2718^3+3*$J2718^2)+INDIRECT("D$"&amp;5+MIN(2,ROUNDDOWN(I2718,0))*3)*$J2718^3</f>
      </c>
      <c r="M2718" s="7">
        <f>SQRT(K2718^2+L2718^2)</f>
      </c>
      <c r="N2718" s="7">
        <f>(K2719-K2717)</f>
      </c>
      <c r="O2718" s="7">
        <f>+(L2719-L2717)</f>
      </c>
      <c r="P2718" s="7">
        <f>SQRT(O2718^2+N2718^2)</f>
      </c>
      <c r="Q2718" s="7">
        <f>N2718/$P2718</f>
      </c>
      <c r="R2718" s="7">
        <f>O2718/$P2718</f>
      </c>
      <c r="S2718" s="8">
        <f>Q2718^2+R2718^2</f>
      </c>
      <c r="T2718" s="7">
        <f>-R2718</f>
      </c>
      <c r="U2718" s="7">
        <f>Q2718</f>
      </c>
      <c r="V2718" s="7">
        <f>($C$14+($C$15-$C$14)/($D$15-$D$14)*(I2718-$D$14))/2</f>
      </c>
      <c r="W2718" s="7">
        <f>($B$22*I2718^4+$C$22*I2718^3+$D$22*I2718^2+$E$22*I2718+$F$22)/2</f>
      </c>
      <c r="X2718" s="7">
        <f>($W2718)*(T2718)</f>
      </c>
      <c r="Y2718" s="7">
        <f>($W2718)*(U2718)</f>
      </c>
      <c r="Z2718" s="7">
        <f>SQRT(X2718^2+Y2718^2)</f>
      </c>
      <c r="AA2718" s="7">
        <f>$K2718+$X2718</f>
      </c>
      <c r="AB2718" s="7">
        <f>$L2718+$Y2718</f>
      </c>
      <c r="AC2718" s="7">
        <f>$K2718-$X2718</f>
      </c>
      <c r="AD2718" s="7">
        <f>$L2718-$Y2718</f>
      </c>
      <c r="AE2718" s="7">
        <f>AA2718/39.3701</f>
      </c>
      <c r="AF2718" s="7">
        <f>AB2718/39.3701</f>
      </c>
      <c r="AG2718" s="7">
        <f>AC2718/39.3701</f>
      </c>
      <c r="AH2718" s="7">
        <f>AD2718/39.3701</f>
      </c>
      <c r="AI2718" s="1"/>
      <c r="AJ2718" s="1"/>
      <c r="AK2718" s="1"/>
      <c r="AL2718" s="1"/>
      <c r="AM2718" s="2"/>
      <c r="AN2718" s="1"/>
      <c r="AO2718" s="1"/>
      <c r="AP2718" s="1"/>
      <c r="AQ2718" s="1"/>
      <c r="AR2718" s="1"/>
      <c r="AS2718" s="1"/>
      <c r="AT2718" s="1"/>
      <c r="AU2718" s="1"/>
      <c r="AV2718" s="1"/>
      <c r="AW2718" s="1"/>
      <c r="AX2718" s="1"/>
      <c r="AY2718" s="1"/>
      <c r="AZ2718" s="1"/>
      <c r="BA2718" s="1"/>
      <c r="BB2718" s="1"/>
      <c r="BC2718" s="1"/>
      <c r="BD2718" s="1"/>
      <c r="BE2718" s="1"/>
    </row>
    <row x14ac:dyDescent="0.25" r="2719" customHeight="1" ht="18.75">
      <c r="A2719" s="1"/>
      <c r="B2719" s="2"/>
      <c r="C2719" s="2"/>
      <c r="D2719" s="2"/>
      <c r="E2719" s="2"/>
      <c r="F2719" s="2"/>
      <c r="G2719" s="1"/>
      <c r="H2719" s="1"/>
      <c r="I2719" s="7">
        <v>2.716</v>
      </c>
      <c r="J2719" s="7">
        <f>IF((I2719-ROUNDDOWN(I2719,0))=0, 0, (I2719-ROUNDDOWN(I2719,0)))</f>
      </c>
      <c r="K2719" s="7">
        <f>INDIRECT("C$"&amp;2+MIN(2,ROUNDDOWN(I2719,0))*3)*(-$J2719^3+3*$J2719^2-3*$J2719+1)+INDIRECT("C$"&amp;3+MIN(2,ROUNDDOWN(I2719,0))*3)*(3*$J2719^3-6*$J2719^2+3*$J2719)+INDIRECT("C$"&amp;4+MIN(2,ROUNDDOWN(I2719,0))*3)*(-3*$J2719^3+3*$J2719^2)+INDIRECT("C$"&amp;5+MIN(2,ROUNDDOWN(I2719,0))*3)*$J2719^3</f>
      </c>
      <c r="L2719" s="7">
        <f>INDIRECT("D$"&amp;2+MIN(2,ROUNDDOWN(I2719,0))*3)*(-$J2719^3+3*$J2719^2-3*$J2719+1)+INDIRECT("D$"&amp;3+MIN(2,ROUNDDOWN(I2719,0))*3)*(3*$J2719^3-6*$J2719^2+3*$J2719)+INDIRECT("D$"&amp;4+MIN(2,ROUNDDOWN(I2719,0))*3)*(-3*$J2719^3+3*$J2719^2)+INDIRECT("D$"&amp;5+MIN(2,ROUNDDOWN(I2719,0))*3)*$J2719^3</f>
      </c>
      <c r="M2719" s="7">
        <f>SQRT(K2719^2+L2719^2)</f>
      </c>
      <c r="N2719" s="7">
        <f>(K2720-K2718)</f>
      </c>
      <c r="O2719" s="7">
        <f>+(L2720-L2718)</f>
      </c>
      <c r="P2719" s="7">
        <f>SQRT(O2719^2+N2719^2)</f>
      </c>
      <c r="Q2719" s="7">
        <f>N2719/$P2719</f>
      </c>
      <c r="R2719" s="7">
        <f>O2719/$P2719</f>
      </c>
      <c r="S2719" s="8">
        <f>Q2719^2+R2719^2</f>
      </c>
      <c r="T2719" s="7">
        <f>-R2719</f>
      </c>
      <c r="U2719" s="7">
        <f>Q2719</f>
      </c>
      <c r="V2719" s="7">
        <f>($C$14+($C$15-$C$14)/($D$15-$D$14)*(I2719-$D$14))/2</f>
      </c>
      <c r="W2719" s="7">
        <f>($B$22*I2719^4+$C$22*I2719^3+$D$22*I2719^2+$E$22*I2719+$F$22)/2</f>
      </c>
      <c r="X2719" s="7">
        <f>($W2719)*(T2719)</f>
      </c>
      <c r="Y2719" s="7">
        <f>($W2719)*(U2719)</f>
      </c>
      <c r="Z2719" s="7">
        <f>SQRT(X2719^2+Y2719^2)</f>
      </c>
      <c r="AA2719" s="7">
        <f>$K2719+$X2719</f>
      </c>
      <c r="AB2719" s="7">
        <f>$L2719+$Y2719</f>
      </c>
      <c r="AC2719" s="7">
        <f>$K2719-$X2719</f>
      </c>
      <c r="AD2719" s="7">
        <f>$L2719-$Y2719</f>
      </c>
      <c r="AE2719" s="7">
        <f>AA2719/39.3701</f>
      </c>
      <c r="AF2719" s="7">
        <f>AB2719/39.3701</f>
      </c>
      <c r="AG2719" s="7">
        <f>AC2719/39.3701</f>
      </c>
      <c r="AH2719" s="7">
        <f>AD2719/39.3701</f>
      </c>
      <c r="AI2719" s="1"/>
      <c r="AJ2719" s="1"/>
      <c r="AK2719" s="1"/>
      <c r="AL2719" s="1"/>
      <c r="AM2719" s="2"/>
      <c r="AN2719" s="1"/>
      <c r="AO2719" s="1"/>
      <c r="AP2719" s="1"/>
      <c r="AQ2719" s="1"/>
      <c r="AR2719" s="1"/>
      <c r="AS2719" s="1"/>
      <c r="AT2719" s="1"/>
      <c r="AU2719" s="1"/>
      <c r="AV2719" s="1"/>
      <c r="AW2719" s="1"/>
      <c r="AX2719" s="1"/>
      <c r="AY2719" s="1"/>
      <c r="AZ2719" s="1"/>
      <c r="BA2719" s="1"/>
      <c r="BB2719" s="1"/>
      <c r="BC2719" s="1"/>
      <c r="BD2719" s="1"/>
      <c r="BE2719" s="1"/>
    </row>
    <row x14ac:dyDescent="0.25" r="2720" customHeight="1" ht="18.75">
      <c r="A2720" s="1"/>
      <c r="B2720" s="2"/>
      <c r="C2720" s="2"/>
      <c r="D2720" s="2"/>
      <c r="E2720" s="2"/>
      <c r="F2720" s="2"/>
      <c r="G2720" s="1"/>
      <c r="H2720" s="1"/>
      <c r="I2720" s="7">
        <v>2.717</v>
      </c>
      <c r="J2720" s="7">
        <f>IF((I2720-ROUNDDOWN(I2720,0))=0, 0, (I2720-ROUNDDOWN(I2720,0)))</f>
      </c>
      <c r="K2720" s="7">
        <f>INDIRECT("C$"&amp;2+MIN(2,ROUNDDOWN(I2720,0))*3)*(-$J2720^3+3*$J2720^2-3*$J2720+1)+INDIRECT("C$"&amp;3+MIN(2,ROUNDDOWN(I2720,0))*3)*(3*$J2720^3-6*$J2720^2+3*$J2720)+INDIRECT("C$"&amp;4+MIN(2,ROUNDDOWN(I2720,0))*3)*(-3*$J2720^3+3*$J2720^2)+INDIRECT("C$"&amp;5+MIN(2,ROUNDDOWN(I2720,0))*3)*$J2720^3</f>
      </c>
      <c r="L2720" s="7">
        <f>INDIRECT("D$"&amp;2+MIN(2,ROUNDDOWN(I2720,0))*3)*(-$J2720^3+3*$J2720^2-3*$J2720+1)+INDIRECT("D$"&amp;3+MIN(2,ROUNDDOWN(I2720,0))*3)*(3*$J2720^3-6*$J2720^2+3*$J2720)+INDIRECT("D$"&amp;4+MIN(2,ROUNDDOWN(I2720,0))*3)*(-3*$J2720^3+3*$J2720^2)+INDIRECT("D$"&amp;5+MIN(2,ROUNDDOWN(I2720,0))*3)*$J2720^3</f>
      </c>
      <c r="M2720" s="7">
        <f>SQRT(K2720^2+L2720^2)</f>
      </c>
      <c r="N2720" s="7">
        <f>(K2721-K2719)</f>
      </c>
      <c r="O2720" s="7">
        <f>+(L2721-L2719)</f>
      </c>
      <c r="P2720" s="7">
        <f>SQRT(O2720^2+N2720^2)</f>
      </c>
      <c r="Q2720" s="7">
        <f>N2720/$P2720</f>
      </c>
      <c r="R2720" s="7">
        <f>O2720/$P2720</f>
      </c>
      <c r="S2720" s="7">
        <f>Q2720^2+R2720^2</f>
      </c>
      <c r="T2720" s="7">
        <f>-R2720</f>
      </c>
      <c r="U2720" s="7">
        <f>Q2720</f>
      </c>
      <c r="V2720" s="7">
        <f>($C$14+($C$15-$C$14)/($D$15-$D$14)*(I2720-$D$14))/2</f>
      </c>
      <c r="W2720" s="7">
        <f>($B$22*I2720^4+$C$22*I2720^3+$D$22*I2720^2+$E$22*I2720+$F$22)/2</f>
      </c>
      <c r="X2720" s="7">
        <f>($W2720)*(T2720)</f>
      </c>
      <c r="Y2720" s="7">
        <f>($W2720)*(U2720)</f>
      </c>
      <c r="Z2720" s="7">
        <f>SQRT(X2720^2+Y2720^2)</f>
      </c>
      <c r="AA2720" s="7">
        <f>$K2720+$X2720</f>
      </c>
      <c r="AB2720" s="7">
        <f>$L2720+$Y2720</f>
      </c>
      <c r="AC2720" s="7">
        <f>$K2720-$X2720</f>
      </c>
      <c r="AD2720" s="7">
        <f>$L2720-$Y2720</f>
      </c>
      <c r="AE2720" s="7">
        <f>AA2720/39.3701</f>
      </c>
      <c r="AF2720" s="7">
        <f>AB2720/39.3701</f>
      </c>
      <c r="AG2720" s="7">
        <f>AC2720/39.3701</f>
      </c>
      <c r="AH2720" s="7">
        <f>AD2720/39.3701</f>
      </c>
      <c r="AI2720" s="1"/>
      <c r="AJ2720" s="1"/>
      <c r="AK2720" s="1"/>
      <c r="AL2720" s="1"/>
      <c r="AM2720" s="2"/>
      <c r="AN2720" s="1"/>
      <c r="AO2720" s="1"/>
      <c r="AP2720" s="1"/>
      <c r="AQ2720" s="1"/>
      <c r="AR2720" s="1"/>
      <c r="AS2720" s="1"/>
      <c r="AT2720" s="1"/>
      <c r="AU2720" s="1"/>
      <c r="AV2720" s="1"/>
      <c r="AW2720" s="1"/>
      <c r="AX2720" s="1"/>
      <c r="AY2720" s="1"/>
      <c r="AZ2720" s="1"/>
      <c r="BA2720" s="1"/>
      <c r="BB2720" s="1"/>
      <c r="BC2720" s="1"/>
      <c r="BD2720" s="1"/>
      <c r="BE2720" s="1"/>
    </row>
    <row x14ac:dyDescent="0.25" r="2721" customHeight="1" ht="18.75">
      <c r="A2721" s="1"/>
      <c r="B2721" s="2"/>
      <c r="C2721" s="2"/>
      <c r="D2721" s="2"/>
      <c r="E2721" s="2"/>
      <c r="F2721" s="2"/>
      <c r="G2721" s="1"/>
      <c r="H2721" s="1"/>
      <c r="I2721" s="7">
        <v>2.718</v>
      </c>
      <c r="J2721" s="7">
        <f>IF((I2721-ROUNDDOWN(I2721,0))=0, 0, (I2721-ROUNDDOWN(I2721,0)))</f>
      </c>
      <c r="K2721" s="7">
        <f>INDIRECT("C$"&amp;2+MIN(2,ROUNDDOWN(I2721,0))*3)*(-$J2721^3+3*$J2721^2-3*$J2721+1)+INDIRECT("C$"&amp;3+MIN(2,ROUNDDOWN(I2721,0))*3)*(3*$J2721^3-6*$J2721^2+3*$J2721)+INDIRECT("C$"&amp;4+MIN(2,ROUNDDOWN(I2721,0))*3)*(-3*$J2721^3+3*$J2721^2)+INDIRECT("C$"&amp;5+MIN(2,ROUNDDOWN(I2721,0))*3)*$J2721^3</f>
      </c>
      <c r="L2721" s="7">
        <f>INDIRECT("D$"&amp;2+MIN(2,ROUNDDOWN(I2721,0))*3)*(-$J2721^3+3*$J2721^2-3*$J2721+1)+INDIRECT("D$"&amp;3+MIN(2,ROUNDDOWN(I2721,0))*3)*(3*$J2721^3-6*$J2721^2+3*$J2721)+INDIRECT("D$"&amp;4+MIN(2,ROUNDDOWN(I2721,0))*3)*(-3*$J2721^3+3*$J2721^2)+INDIRECT("D$"&amp;5+MIN(2,ROUNDDOWN(I2721,0))*3)*$J2721^3</f>
      </c>
      <c r="M2721" s="7">
        <f>SQRT(K2721^2+L2721^2)</f>
      </c>
      <c r="N2721" s="7">
        <f>(K2722-K2720)</f>
      </c>
      <c r="O2721" s="7">
        <f>+(L2722-L2720)</f>
      </c>
      <c r="P2721" s="7">
        <f>SQRT(O2721^2+N2721^2)</f>
      </c>
      <c r="Q2721" s="7">
        <f>N2721/$P2721</f>
      </c>
      <c r="R2721" s="7">
        <f>O2721/$P2721</f>
      </c>
      <c r="S2721" s="8">
        <f>Q2721^2+R2721^2</f>
      </c>
      <c r="T2721" s="7">
        <f>-R2721</f>
      </c>
      <c r="U2721" s="7">
        <f>Q2721</f>
      </c>
      <c r="V2721" s="7">
        <f>($C$14+($C$15-$C$14)/($D$15-$D$14)*(I2721-$D$14))/2</f>
      </c>
      <c r="W2721" s="7">
        <f>($B$22*I2721^4+$C$22*I2721^3+$D$22*I2721^2+$E$22*I2721+$F$22)/2</f>
      </c>
      <c r="X2721" s="7">
        <f>($W2721)*(T2721)</f>
      </c>
      <c r="Y2721" s="7">
        <f>($W2721)*(U2721)</f>
      </c>
      <c r="Z2721" s="7">
        <f>SQRT(X2721^2+Y2721^2)</f>
      </c>
      <c r="AA2721" s="7">
        <f>$K2721+$X2721</f>
      </c>
      <c r="AB2721" s="7">
        <f>$L2721+$Y2721</f>
      </c>
      <c r="AC2721" s="7">
        <f>$K2721-$X2721</f>
      </c>
      <c r="AD2721" s="7">
        <f>$L2721-$Y2721</f>
      </c>
      <c r="AE2721" s="7">
        <f>AA2721/39.3701</f>
      </c>
      <c r="AF2721" s="7">
        <f>AB2721/39.3701</f>
      </c>
      <c r="AG2721" s="7">
        <f>AC2721/39.3701</f>
      </c>
      <c r="AH2721" s="7">
        <f>AD2721/39.3701</f>
      </c>
      <c r="AI2721" s="1"/>
      <c r="AJ2721" s="1"/>
      <c r="AK2721" s="1"/>
      <c r="AL2721" s="1"/>
      <c r="AM2721" s="2"/>
      <c r="AN2721" s="1"/>
      <c r="AO2721" s="1"/>
      <c r="AP2721" s="1"/>
      <c r="AQ2721" s="1"/>
      <c r="AR2721" s="1"/>
      <c r="AS2721" s="1"/>
      <c r="AT2721" s="1"/>
      <c r="AU2721" s="1"/>
      <c r="AV2721" s="1"/>
      <c r="AW2721" s="1"/>
      <c r="AX2721" s="1"/>
      <c r="AY2721" s="1"/>
      <c r="AZ2721" s="1"/>
      <c r="BA2721" s="1"/>
      <c r="BB2721" s="1"/>
      <c r="BC2721" s="1"/>
      <c r="BD2721" s="1"/>
      <c r="BE2721" s="1"/>
    </row>
    <row x14ac:dyDescent="0.25" r="2722" customHeight="1" ht="18.75">
      <c r="A2722" s="1"/>
      <c r="B2722" s="2"/>
      <c r="C2722" s="2"/>
      <c r="D2722" s="2"/>
      <c r="E2722" s="2"/>
      <c r="F2722" s="2"/>
      <c r="G2722" s="1"/>
      <c r="H2722" s="1"/>
      <c r="I2722" s="7">
        <v>2.719</v>
      </c>
      <c r="J2722" s="7">
        <f>IF((I2722-ROUNDDOWN(I2722,0))=0, 0, (I2722-ROUNDDOWN(I2722,0)))</f>
      </c>
      <c r="K2722" s="7">
        <f>INDIRECT("C$"&amp;2+MIN(2,ROUNDDOWN(I2722,0))*3)*(-$J2722^3+3*$J2722^2-3*$J2722+1)+INDIRECT("C$"&amp;3+MIN(2,ROUNDDOWN(I2722,0))*3)*(3*$J2722^3-6*$J2722^2+3*$J2722)+INDIRECT("C$"&amp;4+MIN(2,ROUNDDOWN(I2722,0))*3)*(-3*$J2722^3+3*$J2722^2)+INDIRECT("C$"&amp;5+MIN(2,ROUNDDOWN(I2722,0))*3)*$J2722^3</f>
      </c>
      <c r="L2722" s="7">
        <f>INDIRECT("D$"&amp;2+MIN(2,ROUNDDOWN(I2722,0))*3)*(-$J2722^3+3*$J2722^2-3*$J2722+1)+INDIRECT("D$"&amp;3+MIN(2,ROUNDDOWN(I2722,0))*3)*(3*$J2722^3-6*$J2722^2+3*$J2722)+INDIRECT("D$"&amp;4+MIN(2,ROUNDDOWN(I2722,0))*3)*(-3*$J2722^3+3*$J2722^2)+INDIRECT("D$"&amp;5+MIN(2,ROUNDDOWN(I2722,0))*3)*$J2722^3</f>
      </c>
      <c r="M2722" s="7">
        <f>SQRT(K2722^2+L2722^2)</f>
      </c>
      <c r="N2722" s="7">
        <f>(K2723-K2721)</f>
      </c>
      <c r="O2722" s="7">
        <f>+(L2723-L2721)</f>
      </c>
      <c r="P2722" s="7">
        <f>SQRT(O2722^2+N2722^2)</f>
      </c>
      <c r="Q2722" s="7">
        <f>N2722/$P2722</f>
      </c>
      <c r="R2722" s="7">
        <f>O2722/$P2722</f>
      </c>
      <c r="S2722" s="7">
        <f>Q2722^2+R2722^2</f>
      </c>
      <c r="T2722" s="7">
        <f>-R2722</f>
      </c>
      <c r="U2722" s="7">
        <f>Q2722</f>
      </c>
      <c r="V2722" s="7">
        <f>($C$14+($C$15-$C$14)/($D$15-$D$14)*(I2722-$D$14))/2</f>
      </c>
      <c r="W2722" s="7">
        <f>($B$22*I2722^4+$C$22*I2722^3+$D$22*I2722^2+$E$22*I2722+$F$22)/2</f>
      </c>
      <c r="X2722" s="7">
        <f>($W2722)*(T2722)</f>
      </c>
      <c r="Y2722" s="7">
        <f>($W2722)*(U2722)</f>
      </c>
      <c r="Z2722" s="7">
        <f>SQRT(X2722^2+Y2722^2)</f>
      </c>
      <c r="AA2722" s="7">
        <f>$K2722+$X2722</f>
      </c>
      <c r="AB2722" s="7">
        <f>$L2722+$Y2722</f>
      </c>
      <c r="AC2722" s="7">
        <f>$K2722-$X2722</f>
      </c>
      <c r="AD2722" s="7">
        <f>$L2722-$Y2722</f>
      </c>
      <c r="AE2722" s="7">
        <f>AA2722/39.3701</f>
      </c>
      <c r="AF2722" s="7">
        <f>AB2722/39.3701</f>
      </c>
      <c r="AG2722" s="7">
        <f>AC2722/39.3701</f>
      </c>
      <c r="AH2722" s="7">
        <f>AD2722/39.3701</f>
      </c>
      <c r="AI2722" s="1"/>
      <c r="AJ2722" s="1"/>
      <c r="AK2722" s="1"/>
      <c r="AL2722" s="1"/>
      <c r="AM2722" s="2"/>
      <c r="AN2722" s="1"/>
      <c r="AO2722" s="1"/>
      <c r="AP2722" s="1"/>
      <c r="AQ2722" s="1"/>
      <c r="AR2722" s="1"/>
      <c r="AS2722" s="1"/>
      <c r="AT2722" s="1"/>
      <c r="AU2722" s="1"/>
      <c r="AV2722" s="1"/>
      <c r="AW2722" s="1"/>
      <c r="AX2722" s="1"/>
      <c r="AY2722" s="1"/>
      <c r="AZ2722" s="1"/>
      <c r="BA2722" s="1"/>
      <c r="BB2722" s="1"/>
      <c r="BC2722" s="1"/>
      <c r="BD2722" s="1"/>
      <c r="BE2722" s="1"/>
    </row>
    <row x14ac:dyDescent="0.25" r="2723" customHeight="1" ht="18.75">
      <c r="A2723" s="1"/>
      <c r="B2723" s="2"/>
      <c r="C2723" s="2"/>
      <c r="D2723" s="2"/>
      <c r="E2723" s="2"/>
      <c r="F2723" s="2"/>
      <c r="G2723" s="1"/>
      <c r="H2723" s="1"/>
      <c r="I2723" s="7">
        <v>2.72</v>
      </c>
      <c r="J2723" s="7">
        <f>IF((I2723-ROUNDDOWN(I2723,0))=0, 0, (I2723-ROUNDDOWN(I2723,0)))</f>
      </c>
      <c r="K2723" s="7">
        <f>INDIRECT("C$"&amp;2+MIN(2,ROUNDDOWN(I2723,0))*3)*(-$J2723^3+3*$J2723^2-3*$J2723+1)+INDIRECT("C$"&amp;3+MIN(2,ROUNDDOWN(I2723,0))*3)*(3*$J2723^3-6*$J2723^2+3*$J2723)+INDIRECT("C$"&amp;4+MIN(2,ROUNDDOWN(I2723,0))*3)*(-3*$J2723^3+3*$J2723^2)+INDIRECT("C$"&amp;5+MIN(2,ROUNDDOWN(I2723,0))*3)*$J2723^3</f>
      </c>
      <c r="L2723" s="7">
        <f>INDIRECT("D$"&amp;2+MIN(2,ROUNDDOWN(I2723,0))*3)*(-$J2723^3+3*$J2723^2-3*$J2723+1)+INDIRECT("D$"&amp;3+MIN(2,ROUNDDOWN(I2723,0))*3)*(3*$J2723^3-6*$J2723^2+3*$J2723)+INDIRECT("D$"&amp;4+MIN(2,ROUNDDOWN(I2723,0))*3)*(-3*$J2723^3+3*$J2723^2)+INDIRECT("D$"&amp;5+MIN(2,ROUNDDOWN(I2723,0))*3)*$J2723^3</f>
      </c>
      <c r="M2723" s="7">
        <f>SQRT(K2723^2+L2723^2)</f>
      </c>
      <c r="N2723" s="7">
        <f>(K2724-K2722)</f>
      </c>
      <c r="O2723" s="7">
        <f>+(L2724-L2722)</f>
      </c>
      <c r="P2723" s="7">
        <f>SQRT(O2723^2+N2723^2)</f>
      </c>
      <c r="Q2723" s="7">
        <f>N2723/$P2723</f>
      </c>
      <c r="R2723" s="7">
        <f>O2723/$P2723</f>
      </c>
      <c r="S2723" s="8">
        <f>Q2723^2+R2723^2</f>
      </c>
      <c r="T2723" s="7">
        <f>-R2723</f>
      </c>
      <c r="U2723" s="7">
        <f>Q2723</f>
      </c>
      <c r="V2723" s="7">
        <f>($C$14+($C$15-$C$14)/($D$15-$D$14)*(I2723-$D$14))/2</f>
      </c>
      <c r="W2723" s="7">
        <f>($B$22*I2723^4+$C$22*I2723^3+$D$22*I2723^2+$E$22*I2723+$F$22)/2</f>
      </c>
      <c r="X2723" s="7">
        <f>($W2723)*(T2723)</f>
      </c>
      <c r="Y2723" s="7">
        <f>($W2723)*(U2723)</f>
      </c>
      <c r="Z2723" s="7">
        <f>SQRT(X2723^2+Y2723^2)</f>
      </c>
      <c r="AA2723" s="7">
        <f>$K2723+$X2723</f>
      </c>
      <c r="AB2723" s="7">
        <f>$L2723+$Y2723</f>
      </c>
      <c r="AC2723" s="7">
        <f>$K2723-$X2723</f>
      </c>
      <c r="AD2723" s="7">
        <f>$L2723-$Y2723</f>
      </c>
      <c r="AE2723" s="7">
        <f>AA2723/39.3701</f>
      </c>
      <c r="AF2723" s="7">
        <f>AB2723/39.3701</f>
      </c>
      <c r="AG2723" s="7">
        <f>AC2723/39.3701</f>
      </c>
      <c r="AH2723" s="7">
        <f>AD2723/39.3701</f>
      </c>
      <c r="AI2723" s="1"/>
      <c r="AJ2723" s="1"/>
      <c r="AK2723" s="1"/>
      <c r="AL2723" s="1"/>
      <c r="AM2723" s="2"/>
      <c r="AN2723" s="1"/>
      <c r="AO2723" s="1"/>
      <c r="AP2723" s="1"/>
      <c r="AQ2723" s="1"/>
      <c r="AR2723" s="1"/>
      <c r="AS2723" s="1"/>
      <c r="AT2723" s="1"/>
      <c r="AU2723" s="1"/>
      <c r="AV2723" s="1"/>
      <c r="AW2723" s="1"/>
      <c r="AX2723" s="1"/>
      <c r="AY2723" s="1"/>
      <c r="AZ2723" s="1"/>
      <c r="BA2723" s="1"/>
      <c r="BB2723" s="1"/>
      <c r="BC2723" s="1"/>
      <c r="BD2723" s="1"/>
      <c r="BE2723" s="1"/>
    </row>
    <row x14ac:dyDescent="0.25" r="2724" customHeight="1" ht="18.75">
      <c r="A2724" s="1"/>
      <c r="B2724" s="2"/>
      <c r="C2724" s="2"/>
      <c r="D2724" s="2"/>
      <c r="E2724" s="2"/>
      <c r="F2724" s="2"/>
      <c r="G2724" s="1"/>
      <c r="H2724" s="1"/>
      <c r="I2724" s="7">
        <v>2.721</v>
      </c>
      <c r="J2724" s="7">
        <f>IF((I2724-ROUNDDOWN(I2724,0))=0, 0, (I2724-ROUNDDOWN(I2724,0)))</f>
      </c>
      <c r="K2724" s="7">
        <f>INDIRECT("C$"&amp;2+MIN(2,ROUNDDOWN(I2724,0))*3)*(-$J2724^3+3*$J2724^2-3*$J2724+1)+INDIRECT("C$"&amp;3+MIN(2,ROUNDDOWN(I2724,0))*3)*(3*$J2724^3-6*$J2724^2+3*$J2724)+INDIRECT("C$"&amp;4+MIN(2,ROUNDDOWN(I2724,0))*3)*(-3*$J2724^3+3*$J2724^2)+INDIRECT("C$"&amp;5+MIN(2,ROUNDDOWN(I2724,0))*3)*$J2724^3</f>
      </c>
      <c r="L2724" s="7">
        <f>INDIRECT("D$"&amp;2+MIN(2,ROUNDDOWN(I2724,0))*3)*(-$J2724^3+3*$J2724^2-3*$J2724+1)+INDIRECT("D$"&amp;3+MIN(2,ROUNDDOWN(I2724,0))*3)*(3*$J2724^3-6*$J2724^2+3*$J2724)+INDIRECT("D$"&amp;4+MIN(2,ROUNDDOWN(I2724,0))*3)*(-3*$J2724^3+3*$J2724^2)+INDIRECT("D$"&amp;5+MIN(2,ROUNDDOWN(I2724,0))*3)*$J2724^3</f>
      </c>
      <c r="M2724" s="7">
        <f>SQRT(K2724^2+L2724^2)</f>
      </c>
      <c r="N2724" s="7">
        <f>(K2725-K2723)</f>
      </c>
      <c r="O2724" s="7">
        <f>+(L2725-L2723)</f>
      </c>
      <c r="P2724" s="7">
        <f>SQRT(O2724^2+N2724^2)</f>
      </c>
      <c r="Q2724" s="7">
        <f>N2724/$P2724</f>
      </c>
      <c r="R2724" s="7">
        <f>O2724/$P2724</f>
      </c>
      <c r="S2724" s="7">
        <f>Q2724^2+R2724^2</f>
      </c>
      <c r="T2724" s="7">
        <f>-R2724</f>
      </c>
      <c r="U2724" s="7">
        <f>Q2724</f>
      </c>
      <c r="V2724" s="7">
        <f>($C$14+($C$15-$C$14)/($D$15-$D$14)*(I2724-$D$14))/2</f>
      </c>
      <c r="W2724" s="7">
        <f>($B$22*I2724^4+$C$22*I2724^3+$D$22*I2724^2+$E$22*I2724+$F$22)/2</f>
      </c>
      <c r="X2724" s="7">
        <f>($W2724)*(T2724)</f>
      </c>
      <c r="Y2724" s="7">
        <f>($W2724)*(U2724)</f>
      </c>
      <c r="Z2724" s="7">
        <f>SQRT(X2724^2+Y2724^2)</f>
      </c>
      <c r="AA2724" s="7">
        <f>$K2724+$X2724</f>
      </c>
      <c r="AB2724" s="7">
        <f>$L2724+$Y2724</f>
      </c>
      <c r="AC2724" s="7">
        <f>$K2724-$X2724</f>
      </c>
      <c r="AD2724" s="7">
        <f>$L2724-$Y2724</f>
      </c>
      <c r="AE2724" s="7">
        <f>AA2724/39.3701</f>
      </c>
      <c r="AF2724" s="7">
        <f>AB2724/39.3701</f>
      </c>
      <c r="AG2724" s="7">
        <f>AC2724/39.3701</f>
      </c>
      <c r="AH2724" s="7">
        <f>AD2724/39.3701</f>
      </c>
      <c r="AI2724" s="1"/>
      <c r="AJ2724" s="1"/>
      <c r="AK2724" s="1"/>
      <c r="AL2724" s="1"/>
      <c r="AM2724" s="2"/>
      <c r="AN2724" s="1"/>
      <c r="AO2724" s="1"/>
      <c r="AP2724" s="1"/>
      <c r="AQ2724" s="1"/>
      <c r="AR2724" s="1"/>
      <c r="AS2724" s="1"/>
      <c r="AT2724" s="1"/>
      <c r="AU2724" s="1"/>
      <c r="AV2724" s="1"/>
      <c r="AW2724" s="1"/>
      <c r="AX2724" s="1"/>
      <c r="AY2724" s="1"/>
      <c r="AZ2724" s="1"/>
      <c r="BA2724" s="1"/>
      <c r="BB2724" s="1"/>
      <c r="BC2724" s="1"/>
      <c r="BD2724" s="1"/>
      <c r="BE2724" s="1"/>
    </row>
    <row x14ac:dyDescent="0.25" r="2725" customHeight="1" ht="18.75">
      <c r="A2725" s="1"/>
      <c r="B2725" s="2"/>
      <c r="C2725" s="2"/>
      <c r="D2725" s="2"/>
      <c r="E2725" s="2"/>
      <c r="F2725" s="2"/>
      <c r="G2725" s="1"/>
      <c r="H2725" s="1"/>
      <c r="I2725" s="7">
        <v>2.722</v>
      </c>
      <c r="J2725" s="7">
        <f>IF((I2725-ROUNDDOWN(I2725,0))=0, 0, (I2725-ROUNDDOWN(I2725,0)))</f>
      </c>
      <c r="K2725" s="7">
        <f>INDIRECT("C$"&amp;2+MIN(2,ROUNDDOWN(I2725,0))*3)*(-$J2725^3+3*$J2725^2-3*$J2725+1)+INDIRECT("C$"&amp;3+MIN(2,ROUNDDOWN(I2725,0))*3)*(3*$J2725^3-6*$J2725^2+3*$J2725)+INDIRECT("C$"&amp;4+MIN(2,ROUNDDOWN(I2725,0))*3)*(-3*$J2725^3+3*$J2725^2)+INDIRECT("C$"&amp;5+MIN(2,ROUNDDOWN(I2725,0))*3)*$J2725^3</f>
      </c>
      <c r="L2725" s="7">
        <f>INDIRECT("D$"&amp;2+MIN(2,ROUNDDOWN(I2725,0))*3)*(-$J2725^3+3*$J2725^2-3*$J2725+1)+INDIRECT("D$"&amp;3+MIN(2,ROUNDDOWN(I2725,0))*3)*(3*$J2725^3-6*$J2725^2+3*$J2725)+INDIRECT("D$"&amp;4+MIN(2,ROUNDDOWN(I2725,0))*3)*(-3*$J2725^3+3*$J2725^2)+INDIRECT("D$"&amp;5+MIN(2,ROUNDDOWN(I2725,0))*3)*$J2725^3</f>
      </c>
      <c r="M2725" s="7">
        <f>SQRT(K2725^2+L2725^2)</f>
      </c>
      <c r="N2725" s="7">
        <f>(K2726-K2724)</f>
      </c>
      <c r="O2725" s="7">
        <f>+(L2726-L2724)</f>
      </c>
      <c r="P2725" s="7">
        <f>SQRT(O2725^2+N2725^2)</f>
      </c>
      <c r="Q2725" s="7">
        <f>N2725/$P2725</f>
      </c>
      <c r="R2725" s="7">
        <f>O2725/$P2725</f>
      </c>
      <c r="S2725" s="8">
        <f>Q2725^2+R2725^2</f>
      </c>
      <c r="T2725" s="7">
        <f>-R2725</f>
      </c>
      <c r="U2725" s="7">
        <f>Q2725</f>
      </c>
      <c r="V2725" s="7">
        <f>($C$14+($C$15-$C$14)/($D$15-$D$14)*(I2725-$D$14))/2</f>
      </c>
      <c r="W2725" s="7">
        <f>($B$22*I2725^4+$C$22*I2725^3+$D$22*I2725^2+$E$22*I2725+$F$22)/2</f>
      </c>
      <c r="X2725" s="7">
        <f>($W2725)*(T2725)</f>
      </c>
      <c r="Y2725" s="7">
        <f>($W2725)*(U2725)</f>
      </c>
      <c r="Z2725" s="7">
        <f>SQRT(X2725^2+Y2725^2)</f>
      </c>
      <c r="AA2725" s="7">
        <f>$K2725+$X2725</f>
      </c>
      <c r="AB2725" s="7">
        <f>$L2725+$Y2725</f>
      </c>
      <c r="AC2725" s="7">
        <f>$K2725-$X2725</f>
      </c>
      <c r="AD2725" s="7">
        <f>$L2725-$Y2725</f>
      </c>
      <c r="AE2725" s="7">
        <f>AA2725/39.3701</f>
      </c>
      <c r="AF2725" s="7">
        <f>AB2725/39.3701</f>
      </c>
      <c r="AG2725" s="7">
        <f>AC2725/39.3701</f>
      </c>
      <c r="AH2725" s="7">
        <f>AD2725/39.3701</f>
      </c>
      <c r="AI2725" s="1"/>
      <c r="AJ2725" s="1"/>
      <c r="AK2725" s="1"/>
      <c r="AL2725" s="1"/>
      <c r="AM2725" s="2"/>
      <c r="AN2725" s="1"/>
      <c r="AO2725" s="1"/>
      <c r="AP2725" s="1"/>
      <c r="AQ2725" s="1"/>
      <c r="AR2725" s="1"/>
      <c r="AS2725" s="1"/>
      <c r="AT2725" s="1"/>
      <c r="AU2725" s="1"/>
      <c r="AV2725" s="1"/>
      <c r="AW2725" s="1"/>
      <c r="AX2725" s="1"/>
      <c r="AY2725" s="1"/>
      <c r="AZ2725" s="1"/>
      <c r="BA2725" s="1"/>
      <c r="BB2725" s="1"/>
      <c r="BC2725" s="1"/>
      <c r="BD2725" s="1"/>
      <c r="BE2725" s="1"/>
    </row>
    <row x14ac:dyDescent="0.25" r="2726" customHeight="1" ht="18.75">
      <c r="A2726" s="1"/>
      <c r="B2726" s="2"/>
      <c r="C2726" s="2"/>
      <c r="D2726" s="2"/>
      <c r="E2726" s="2"/>
      <c r="F2726" s="2"/>
      <c r="G2726" s="1"/>
      <c r="H2726" s="1"/>
      <c r="I2726" s="7">
        <v>2.723</v>
      </c>
      <c r="J2726" s="7">
        <f>IF((I2726-ROUNDDOWN(I2726,0))=0, 0, (I2726-ROUNDDOWN(I2726,0)))</f>
      </c>
      <c r="K2726" s="7">
        <f>INDIRECT("C$"&amp;2+MIN(2,ROUNDDOWN(I2726,0))*3)*(-$J2726^3+3*$J2726^2-3*$J2726+1)+INDIRECT("C$"&amp;3+MIN(2,ROUNDDOWN(I2726,0))*3)*(3*$J2726^3-6*$J2726^2+3*$J2726)+INDIRECT("C$"&amp;4+MIN(2,ROUNDDOWN(I2726,0))*3)*(-3*$J2726^3+3*$J2726^2)+INDIRECT("C$"&amp;5+MIN(2,ROUNDDOWN(I2726,0))*3)*$J2726^3</f>
      </c>
      <c r="L2726" s="7">
        <f>INDIRECT("D$"&amp;2+MIN(2,ROUNDDOWN(I2726,0))*3)*(-$J2726^3+3*$J2726^2-3*$J2726+1)+INDIRECT("D$"&amp;3+MIN(2,ROUNDDOWN(I2726,0))*3)*(3*$J2726^3-6*$J2726^2+3*$J2726)+INDIRECT("D$"&amp;4+MIN(2,ROUNDDOWN(I2726,0))*3)*(-3*$J2726^3+3*$J2726^2)+INDIRECT("D$"&amp;5+MIN(2,ROUNDDOWN(I2726,0))*3)*$J2726^3</f>
      </c>
      <c r="M2726" s="7">
        <f>SQRT(K2726^2+L2726^2)</f>
      </c>
      <c r="N2726" s="7">
        <f>(K2727-K2725)</f>
      </c>
      <c r="O2726" s="7">
        <f>+(L2727-L2725)</f>
      </c>
      <c r="P2726" s="7">
        <f>SQRT(O2726^2+N2726^2)</f>
      </c>
      <c r="Q2726" s="7">
        <f>N2726/$P2726</f>
      </c>
      <c r="R2726" s="7">
        <f>O2726/$P2726</f>
      </c>
      <c r="S2726" s="7">
        <f>Q2726^2+R2726^2</f>
      </c>
      <c r="T2726" s="7">
        <f>-R2726</f>
      </c>
      <c r="U2726" s="7">
        <f>Q2726</f>
      </c>
      <c r="V2726" s="7">
        <f>($C$14+($C$15-$C$14)/($D$15-$D$14)*(I2726-$D$14))/2</f>
      </c>
      <c r="W2726" s="7">
        <f>($B$22*I2726^4+$C$22*I2726^3+$D$22*I2726^2+$E$22*I2726+$F$22)/2</f>
      </c>
      <c r="X2726" s="7">
        <f>($W2726)*(T2726)</f>
      </c>
      <c r="Y2726" s="7">
        <f>($W2726)*(U2726)</f>
      </c>
      <c r="Z2726" s="7">
        <f>SQRT(X2726^2+Y2726^2)</f>
      </c>
      <c r="AA2726" s="7">
        <f>$K2726+$X2726</f>
      </c>
      <c r="AB2726" s="7">
        <f>$L2726+$Y2726</f>
      </c>
      <c r="AC2726" s="7">
        <f>$K2726-$X2726</f>
      </c>
      <c r="AD2726" s="7">
        <f>$L2726-$Y2726</f>
      </c>
      <c r="AE2726" s="7">
        <f>AA2726/39.3701</f>
      </c>
      <c r="AF2726" s="7">
        <f>AB2726/39.3701</f>
      </c>
      <c r="AG2726" s="7">
        <f>AC2726/39.3701</f>
      </c>
      <c r="AH2726" s="7">
        <f>AD2726/39.3701</f>
      </c>
      <c r="AI2726" s="1"/>
      <c r="AJ2726" s="1"/>
      <c r="AK2726" s="1"/>
      <c r="AL2726" s="1"/>
      <c r="AM2726" s="2"/>
      <c r="AN2726" s="1"/>
      <c r="AO2726" s="1"/>
      <c r="AP2726" s="1"/>
      <c r="AQ2726" s="1"/>
      <c r="AR2726" s="1"/>
      <c r="AS2726" s="1"/>
      <c r="AT2726" s="1"/>
      <c r="AU2726" s="1"/>
      <c r="AV2726" s="1"/>
      <c r="AW2726" s="1"/>
      <c r="AX2726" s="1"/>
      <c r="AY2726" s="1"/>
      <c r="AZ2726" s="1"/>
      <c r="BA2726" s="1"/>
      <c r="BB2726" s="1"/>
      <c r="BC2726" s="1"/>
      <c r="BD2726" s="1"/>
      <c r="BE2726" s="1"/>
    </row>
    <row x14ac:dyDescent="0.25" r="2727" customHeight="1" ht="18.75">
      <c r="A2727" s="1"/>
      <c r="B2727" s="2"/>
      <c r="C2727" s="2"/>
      <c r="D2727" s="2"/>
      <c r="E2727" s="2"/>
      <c r="F2727" s="2"/>
      <c r="G2727" s="1"/>
      <c r="H2727" s="1"/>
      <c r="I2727" s="7">
        <v>2.724</v>
      </c>
      <c r="J2727" s="7">
        <f>IF((I2727-ROUNDDOWN(I2727,0))=0, 0, (I2727-ROUNDDOWN(I2727,0)))</f>
      </c>
      <c r="K2727" s="7">
        <f>INDIRECT("C$"&amp;2+MIN(2,ROUNDDOWN(I2727,0))*3)*(-$J2727^3+3*$J2727^2-3*$J2727+1)+INDIRECT("C$"&amp;3+MIN(2,ROUNDDOWN(I2727,0))*3)*(3*$J2727^3-6*$J2727^2+3*$J2727)+INDIRECT("C$"&amp;4+MIN(2,ROUNDDOWN(I2727,0))*3)*(-3*$J2727^3+3*$J2727^2)+INDIRECT("C$"&amp;5+MIN(2,ROUNDDOWN(I2727,0))*3)*$J2727^3</f>
      </c>
      <c r="L2727" s="7">
        <f>INDIRECT("D$"&amp;2+MIN(2,ROUNDDOWN(I2727,0))*3)*(-$J2727^3+3*$J2727^2-3*$J2727+1)+INDIRECT("D$"&amp;3+MIN(2,ROUNDDOWN(I2727,0))*3)*(3*$J2727^3-6*$J2727^2+3*$J2727)+INDIRECT("D$"&amp;4+MIN(2,ROUNDDOWN(I2727,0))*3)*(-3*$J2727^3+3*$J2727^2)+INDIRECT("D$"&amp;5+MIN(2,ROUNDDOWN(I2727,0))*3)*$J2727^3</f>
      </c>
      <c r="M2727" s="7">
        <f>SQRT(K2727^2+L2727^2)</f>
      </c>
      <c r="N2727" s="7">
        <f>(K2728-K2726)</f>
      </c>
      <c r="O2727" s="7">
        <f>+(L2728-L2726)</f>
      </c>
      <c r="P2727" s="7">
        <f>SQRT(O2727^2+N2727^2)</f>
      </c>
      <c r="Q2727" s="7">
        <f>N2727/$P2727</f>
      </c>
      <c r="R2727" s="7">
        <f>O2727/$P2727</f>
      </c>
      <c r="S2727" s="8">
        <f>Q2727^2+R2727^2</f>
      </c>
      <c r="T2727" s="7">
        <f>-R2727</f>
      </c>
      <c r="U2727" s="7">
        <f>Q2727</f>
      </c>
      <c r="V2727" s="7">
        <f>($C$14+($C$15-$C$14)/($D$15-$D$14)*(I2727-$D$14))/2</f>
      </c>
      <c r="W2727" s="7">
        <f>($B$22*I2727^4+$C$22*I2727^3+$D$22*I2727^2+$E$22*I2727+$F$22)/2</f>
      </c>
      <c r="X2727" s="7">
        <f>($W2727)*(T2727)</f>
      </c>
      <c r="Y2727" s="7">
        <f>($W2727)*(U2727)</f>
      </c>
      <c r="Z2727" s="7">
        <f>SQRT(X2727^2+Y2727^2)</f>
      </c>
      <c r="AA2727" s="7">
        <f>$K2727+$X2727</f>
      </c>
      <c r="AB2727" s="7">
        <f>$L2727+$Y2727</f>
      </c>
      <c r="AC2727" s="7">
        <f>$K2727-$X2727</f>
      </c>
      <c r="AD2727" s="7">
        <f>$L2727-$Y2727</f>
      </c>
      <c r="AE2727" s="7">
        <f>AA2727/39.3701</f>
      </c>
      <c r="AF2727" s="7">
        <f>AB2727/39.3701</f>
      </c>
      <c r="AG2727" s="7">
        <f>AC2727/39.3701</f>
      </c>
      <c r="AH2727" s="7">
        <f>AD2727/39.3701</f>
      </c>
      <c r="AI2727" s="1"/>
      <c r="AJ2727" s="1"/>
      <c r="AK2727" s="1"/>
      <c r="AL2727" s="1"/>
      <c r="AM2727" s="2"/>
      <c r="AN2727" s="1"/>
      <c r="AO2727" s="1"/>
      <c r="AP2727" s="1"/>
      <c r="AQ2727" s="1"/>
      <c r="AR2727" s="1"/>
      <c r="AS2727" s="1"/>
      <c r="AT2727" s="1"/>
      <c r="AU2727" s="1"/>
      <c r="AV2727" s="1"/>
      <c r="AW2727" s="1"/>
      <c r="AX2727" s="1"/>
      <c r="AY2727" s="1"/>
      <c r="AZ2727" s="1"/>
      <c r="BA2727" s="1"/>
      <c r="BB2727" s="1"/>
      <c r="BC2727" s="1"/>
      <c r="BD2727" s="1"/>
      <c r="BE2727" s="1"/>
    </row>
    <row x14ac:dyDescent="0.25" r="2728" customHeight="1" ht="18.75">
      <c r="A2728" s="1"/>
      <c r="B2728" s="2"/>
      <c r="C2728" s="2"/>
      <c r="D2728" s="2"/>
      <c r="E2728" s="2"/>
      <c r="F2728" s="2"/>
      <c r="G2728" s="1"/>
      <c r="H2728" s="1"/>
      <c r="I2728" s="7">
        <v>2.725</v>
      </c>
      <c r="J2728" s="7">
        <f>IF((I2728-ROUNDDOWN(I2728,0))=0, 0, (I2728-ROUNDDOWN(I2728,0)))</f>
      </c>
      <c r="K2728" s="7">
        <f>INDIRECT("C$"&amp;2+MIN(2,ROUNDDOWN(I2728,0))*3)*(-$J2728^3+3*$J2728^2-3*$J2728+1)+INDIRECT("C$"&amp;3+MIN(2,ROUNDDOWN(I2728,0))*3)*(3*$J2728^3-6*$J2728^2+3*$J2728)+INDIRECT("C$"&amp;4+MIN(2,ROUNDDOWN(I2728,0))*3)*(-3*$J2728^3+3*$J2728^2)+INDIRECT("C$"&amp;5+MIN(2,ROUNDDOWN(I2728,0))*3)*$J2728^3</f>
      </c>
      <c r="L2728" s="7">
        <f>INDIRECT("D$"&amp;2+MIN(2,ROUNDDOWN(I2728,0))*3)*(-$J2728^3+3*$J2728^2-3*$J2728+1)+INDIRECT("D$"&amp;3+MIN(2,ROUNDDOWN(I2728,0))*3)*(3*$J2728^3-6*$J2728^2+3*$J2728)+INDIRECT("D$"&amp;4+MIN(2,ROUNDDOWN(I2728,0))*3)*(-3*$J2728^3+3*$J2728^2)+INDIRECT("D$"&amp;5+MIN(2,ROUNDDOWN(I2728,0))*3)*$J2728^3</f>
      </c>
      <c r="M2728" s="7">
        <f>SQRT(K2728^2+L2728^2)</f>
      </c>
      <c r="N2728" s="7">
        <f>(K2729-K2727)</f>
      </c>
      <c r="O2728" s="7">
        <f>+(L2729-L2727)</f>
      </c>
      <c r="P2728" s="7">
        <f>SQRT(O2728^2+N2728^2)</f>
      </c>
      <c r="Q2728" s="7">
        <f>N2728/$P2728</f>
      </c>
      <c r="R2728" s="7">
        <f>O2728/$P2728</f>
      </c>
      <c r="S2728" s="8">
        <f>Q2728^2+R2728^2</f>
      </c>
      <c r="T2728" s="7">
        <f>-R2728</f>
      </c>
      <c r="U2728" s="7">
        <f>Q2728</f>
      </c>
      <c r="V2728" s="7">
        <f>($C$14+($C$15-$C$14)/($D$15-$D$14)*(I2728-$D$14))/2</f>
      </c>
      <c r="W2728" s="7">
        <f>($B$22*I2728^4+$C$22*I2728^3+$D$22*I2728^2+$E$22*I2728+$F$22)/2</f>
      </c>
      <c r="X2728" s="7">
        <f>($W2728)*(T2728)</f>
      </c>
      <c r="Y2728" s="7">
        <f>($W2728)*(U2728)</f>
      </c>
      <c r="Z2728" s="7">
        <f>SQRT(X2728^2+Y2728^2)</f>
      </c>
      <c r="AA2728" s="7">
        <f>$K2728+$X2728</f>
      </c>
      <c r="AB2728" s="7">
        <f>$L2728+$Y2728</f>
      </c>
      <c r="AC2728" s="7">
        <f>$K2728-$X2728</f>
      </c>
      <c r="AD2728" s="7">
        <f>$L2728-$Y2728</f>
      </c>
      <c r="AE2728" s="7">
        <f>AA2728/39.3701</f>
      </c>
      <c r="AF2728" s="7">
        <f>AB2728/39.3701</f>
      </c>
      <c r="AG2728" s="7">
        <f>AC2728/39.3701</f>
      </c>
      <c r="AH2728" s="7">
        <f>AD2728/39.3701</f>
      </c>
      <c r="AI2728" s="1"/>
      <c r="AJ2728" s="1"/>
      <c r="AK2728" s="1"/>
      <c r="AL2728" s="1"/>
      <c r="AM2728" s="2"/>
      <c r="AN2728" s="1"/>
      <c r="AO2728" s="1"/>
      <c r="AP2728" s="1"/>
      <c r="AQ2728" s="1"/>
      <c r="AR2728" s="1"/>
      <c r="AS2728" s="1"/>
      <c r="AT2728" s="1"/>
      <c r="AU2728" s="1"/>
      <c r="AV2728" s="1"/>
      <c r="AW2728" s="1"/>
      <c r="AX2728" s="1"/>
      <c r="AY2728" s="1"/>
      <c r="AZ2728" s="1"/>
      <c r="BA2728" s="1"/>
      <c r="BB2728" s="1"/>
      <c r="BC2728" s="1"/>
      <c r="BD2728" s="1"/>
      <c r="BE2728" s="1"/>
    </row>
    <row x14ac:dyDescent="0.25" r="2729" customHeight="1" ht="18.75">
      <c r="A2729" s="1"/>
      <c r="B2729" s="2"/>
      <c r="C2729" s="2"/>
      <c r="D2729" s="2"/>
      <c r="E2729" s="2"/>
      <c r="F2729" s="2"/>
      <c r="G2729" s="1"/>
      <c r="H2729" s="1"/>
      <c r="I2729" s="7">
        <v>2.726</v>
      </c>
      <c r="J2729" s="7">
        <f>IF((I2729-ROUNDDOWN(I2729,0))=0, 0, (I2729-ROUNDDOWN(I2729,0)))</f>
      </c>
      <c r="K2729" s="7">
        <f>INDIRECT("C$"&amp;2+MIN(2,ROUNDDOWN(I2729,0))*3)*(-$J2729^3+3*$J2729^2-3*$J2729+1)+INDIRECT("C$"&amp;3+MIN(2,ROUNDDOWN(I2729,0))*3)*(3*$J2729^3-6*$J2729^2+3*$J2729)+INDIRECT("C$"&amp;4+MIN(2,ROUNDDOWN(I2729,0))*3)*(-3*$J2729^3+3*$J2729^2)+INDIRECT("C$"&amp;5+MIN(2,ROUNDDOWN(I2729,0))*3)*$J2729^3</f>
      </c>
      <c r="L2729" s="7">
        <f>INDIRECT("D$"&amp;2+MIN(2,ROUNDDOWN(I2729,0))*3)*(-$J2729^3+3*$J2729^2-3*$J2729+1)+INDIRECT("D$"&amp;3+MIN(2,ROUNDDOWN(I2729,0))*3)*(3*$J2729^3-6*$J2729^2+3*$J2729)+INDIRECT("D$"&amp;4+MIN(2,ROUNDDOWN(I2729,0))*3)*(-3*$J2729^3+3*$J2729^2)+INDIRECT("D$"&amp;5+MIN(2,ROUNDDOWN(I2729,0))*3)*$J2729^3</f>
      </c>
      <c r="M2729" s="7">
        <f>SQRT(K2729^2+L2729^2)</f>
      </c>
      <c r="N2729" s="7">
        <f>(K2730-K2728)</f>
      </c>
      <c r="O2729" s="7">
        <f>+(L2730-L2728)</f>
      </c>
      <c r="P2729" s="7">
        <f>SQRT(O2729^2+N2729^2)</f>
      </c>
      <c r="Q2729" s="7">
        <f>N2729/$P2729</f>
      </c>
      <c r="R2729" s="7">
        <f>O2729/$P2729</f>
      </c>
      <c r="S2729" s="8">
        <f>Q2729^2+R2729^2</f>
      </c>
      <c r="T2729" s="7">
        <f>-R2729</f>
      </c>
      <c r="U2729" s="7">
        <f>Q2729</f>
      </c>
      <c r="V2729" s="7">
        <f>($C$14+($C$15-$C$14)/($D$15-$D$14)*(I2729-$D$14))/2</f>
      </c>
      <c r="W2729" s="7">
        <f>($B$22*I2729^4+$C$22*I2729^3+$D$22*I2729^2+$E$22*I2729+$F$22)/2</f>
      </c>
      <c r="X2729" s="7">
        <f>($W2729)*(T2729)</f>
      </c>
      <c r="Y2729" s="7">
        <f>($W2729)*(U2729)</f>
      </c>
      <c r="Z2729" s="7">
        <f>SQRT(X2729^2+Y2729^2)</f>
      </c>
      <c r="AA2729" s="7">
        <f>$K2729+$X2729</f>
      </c>
      <c r="AB2729" s="7">
        <f>$L2729+$Y2729</f>
      </c>
      <c r="AC2729" s="7">
        <f>$K2729-$X2729</f>
      </c>
      <c r="AD2729" s="7">
        <f>$L2729-$Y2729</f>
      </c>
      <c r="AE2729" s="7">
        <f>AA2729/39.3701</f>
      </c>
      <c r="AF2729" s="7">
        <f>AB2729/39.3701</f>
      </c>
      <c r="AG2729" s="7">
        <f>AC2729/39.3701</f>
      </c>
      <c r="AH2729" s="7">
        <f>AD2729/39.3701</f>
      </c>
      <c r="AI2729" s="1"/>
      <c r="AJ2729" s="1"/>
      <c r="AK2729" s="1"/>
      <c r="AL2729" s="1"/>
      <c r="AM2729" s="2"/>
      <c r="AN2729" s="1"/>
      <c r="AO2729" s="1"/>
      <c r="AP2729" s="1"/>
      <c r="AQ2729" s="1"/>
      <c r="AR2729" s="1"/>
      <c r="AS2729" s="1"/>
      <c r="AT2729" s="1"/>
      <c r="AU2729" s="1"/>
      <c r="AV2729" s="1"/>
      <c r="AW2729" s="1"/>
      <c r="AX2729" s="1"/>
      <c r="AY2729" s="1"/>
      <c r="AZ2729" s="1"/>
      <c r="BA2729" s="1"/>
      <c r="BB2729" s="1"/>
      <c r="BC2729" s="1"/>
      <c r="BD2729" s="1"/>
      <c r="BE2729" s="1"/>
    </row>
    <row x14ac:dyDescent="0.25" r="2730" customHeight="1" ht="18.75">
      <c r="A2730" s="1"/>
      <c r="B2730" s="2"/>
      <c r="C2730" s="2"/>
      <c r="D2730" s="2"/>
      <c r="E2730" s="2"/>
      <c r="F2730" s="2"/>
      <c r="G2730" s="1"/>
      <c r="H2730" s="1"/>
      <c r="I2730" s="7">
        <v>2.727</v>
      </c>
      <c r="J2730" s="7">
        <f>IF((I2730-ROUNDDOWN(I2730,0))=0, 0, (I2730-ROUNDDOWN(I2730,0)))</f>
      </c>
      <c r="K2730" s="7">
        <f>INDIRECT("C$"&amp;2+MIN(2,ROUNDDOWN(I2730,0))*3)*(-$J2730^3+3*$J2730^2-3*$J2730+1)+INDIRECT("C$"&amp;3+MIN(2,ROUNDDOWN(I2730,0))*3)*(3*$J2730^3-6*$J2730^2+3*$J2730)+INDIRECT("C$"&amp;4+MIN(2,ROUNDDOWN(I2730,0))*3)*(-3*$J2730^3+3*$J2730^2)+INDIRECT("C$"&amp;5+MIN(2,ROUNDDOWN(I2730,0))*3)*$J2730^3</f>
      </c>
      <c r="L2730" s="7">
        <f>INDIRECT("D$"&amp;2+MIN(2,ROUNDDOWN(I2730,0))*3)*(-$J2730^3+3*$J2730^2-3*$J2730+1)+INDIRECT("D$"&amp;3+MIN(2,ROUNDDOWN(I2730,0))*3)*(3*$J2730^3-6*$J2730^2+3*$J2730)+INDIRECT("D$"&amp;4+MIN(2,ROUNDDOWN(I2730,0))*3)*(-3*$J2730^3+3*$J2730^2)+INDIRECT("D$"&amp;5+MIN(2,ROUNDDOWN(I2730,0))*3)*$J2730^3</f>
      </c>
      <c r="M2730" s="7">
        <f>SQRT(K2730^2+L2730^2)</f>
      </c>
      <c r="N2730" s="7">
        <f>(K2731-K2729)</f>
      </c>
      <c r="O2730" s="7">
        <f>+(L2731-L2729)</f>
      </c>
      <c r="P2730" s="7">
        <f>SQRT(O2730^2+N2730^2)</f>
      </c>
      <c r="Q2730" s="7">
        <f>N2730/$P2730</f>
      </c>
      <c r="R2730" s="7">
        <f>O2730/$P2730</f>
      </c>
      <c r="S2730" s="8">
        <f>Q2730^2+R2730^2</f>
      </c>
      <c r="T2730" s="7">
        <f>-R2730</f>
      </c>
      <c r="U2730" s="7">
        <f>Q2730</f>
      </c>
      <c r="V2730" s="7">
        <f>($C$14+($C$15-$C$14)/($D$15-$D$14)*(I2730-$D$14))/2</f>
      </c>
      <c r="W2730" s="7">
        <f>($B$22*I2730^4+$C$22*I2730^3+$D$22*I2730^2+$E$22*I2730+$F$22)/2</f>
      </c>
      <c r="X2730" s="7">
        <f>($W2730)*(T2730)</f>
      </c>
      <c r="Y2730" s="7">
        <f>($W2730)*(U2730)</f>
      </c>
      <c r="Z2730" s="7">
        <f>SQRT(X2730^2+Y2730^2)</f>
      </c>
      <c r="AA2730" s="7">
        <f>$K2730+$X2730</f>
      </c>
      <c r="AB2730" s="7">
        <f>$L2730+$Y2730</f>
      </c>
      <c r="AC2730" s="7">
        <f>$K2730-$X2730</f>
      </c>
      <c r="AD2730" s="7">
        <f>$L2730-$Y2730</f>
      </c>
      <c r="AE2730" s="7">
        <f>AA2730/39.3701</f>
      </c>
      <c r="AF2730" s="7">
        <f>AB2730/39.3701</f>
      </c>
      <c r="AG2730" s="7">
        <f>AC2730/39.3701</f>
      </c>
      <c r="AH2730" s="7">
        <f>AD2730/39.3701</f>
      </c>
      <c r="AI2730" s="1"/>
      <c r="AJ2730" s="1"/>
      <c r="AK2730" s="1"/>
      <c r="AL2730" s="1"/>
      <c r="AM2730" s="2"/>
      <c r="AN2730" s="1"/>
      <c r="AO2730" s="1"/>
      <c r="AP2730" s="1"/>
      <c r="AQ2730" s="1"/>
      <c r="AR2730" s="1"/>
      <c r="AS2730" s="1"/>
      <c r="AT2730" s="1"/>
      <c r="AU2730" s="1"/>
      <c r="AV2730" s="1"/>
      <c r="AW2730" s="1"/>
      <c r="AX2730" s="1"/>
      <c r="AY2730" s="1"/>
      <c r="AZ2730" s="1"/>
      <c r="BA2730" s="1"/>
      <c r="BB2730" s="1"/>
      <c r="BC2730" s="1"/>
      <c r="BD2730" s="1"/>
      <c r="BE2730" s="1"/>
    </row>
    <row x14ac:dyDescent="0.25" r="2731" customHeight="1" ht="18.75">
      <c r="A2731" s="1"/>
      <c r="B2731" s="2"/>
      <c r="C2731" s="2"/>
      <c r="D2731" s="2"/>
      <c r="E2731" s="2"/>
      <c r="F2731" s="2"/>
      <c r="G2731" s="1"/>
      <c r="H2731" s="1"/>
      <c r="I2731" s="7">
        <v>2.728</v>
      </c>
      <c r="J2731" s="7">
        <f>IF((I2731-ROUNDDOWN(I2731,0))=0, 0, (I2731-ROUNDDOWN(I2731,0)))</f>
      </c>
      <c r="K2731" s="7">
        <f>INDIRECT("C$"&amp;2+MIN(2,ROUNDDOWN(I2731,0))*3)*(-$J2731^3+3*$J2731^2-3*$J2731+1)+INDIRECT("C$"&amp;3+MIN(2,ROUNDDOWN(I2731,0))*3)*(3*$J2731^3-6*$J2731^2+3*$J2731)+INDIRECT("C$"&amp;4+MIN(2,ROUNDDOWN(I2731,0))*3)*(-3*$J2731^3+3*$J2731^2)+INDIRECT("C$"&amp;5+MIN(2,ROUNDDOWN(I2731,0))*3)*$J2731^3</f>
      </c>
      <c r="L2731" s="7">
        <f>INDIRECT("D$"&amp;2+MIN(2,ROUNDDOWN(I2731,0))*3)*(-$J2731^3+3*$J2731^2-3*$J2731+1)+INDIRECT("D$"&amp;3+MIN(2,ROUNDDOWN(I2731,0))*3)*(3*$J2731^3-6*$J2731^2+3*$J2731)+INDIRECT("D$"&amp;4+MIN(2,ROUNDDOWN(I2731,0))*3)*(-3*$J2731^3+3*$J2731^2)+INDIRECT("D$"&amp;5+MIN(2,ROUNDDOWN(I2731,0))*3)*$J2731^3</f>
      </c>
      <c r="M2731" s="7">
        <f>SQRT(K2731^2+L2731^2)</f>
      </c>
      <c r="N2731" s="7">
        <f>(K2732-K2730)</f>
      </c>
      <c r="O2731" s="7">
        <f>+(L2732-L2730)</f>
      </c>
      <c r="P2731" s="7">
        <f>SQRT(O2731^2+N2731^2)</f>
      </c>
      <c r="Q2731" s="7">
        <f>N2731/$P2731</f>
      </c>
      <c r="R2731" s="7">
        <f>O2731/$P2731</f>
      </c>
      <c r="S2731" s="7">
        <f>Q2731^2+R2731^2</f>
      </c>
      <c r="T2731" s="7">
        <f>-R2731</f>
      </c>
      <c r="U2731" s="7">
        <f>Q2731</f>
      </c>
      <c r="V2731" s="7">
        <f>($C$14+($C$15-$C$14)/($D$15-$D$14)*(I2731-$D$14))/2</f>
      </c>
      <c r="W2731" s="7">
        <f>($B$22*I2731^4+$C$22*I2731^3+$D$22*I2731^2+$E$22*I2731+$F$22)/2</f>
      </c>
      <c r="X2731" s="7">
        <f>($W2731)*(T2731)</f>
      </c>
      <c r="Y2731" s="7">
        <f>($W2731)*(U2731)</f>
      </c>
      <c r="Z2731" s="7">
        <f>SQRT(X2731^2+Y2731^2)</f>
      </c>
      <c r="AA2731" s="7">
        <f>$K2731+$X2731</f>
      </c>
      <c r="AB2731" s="7">
        <f>$L2731+$Y2731</f>
      </c>
      <c r="AC2731" s="7">
        <f>$K2731-$X2731</f>
      </c>
      <c r="AD2731" s="7">
        <f>$L2731-$Y2731</f>
      </c>
      <c r="AE2731" s="7">
        <f>AA2731/39.3701</f>
      </c>
      <c r="AF2731" s="7">
        <f>AB2731/39.3701</f>
      </c>
      <c r="AG2731" s="7">
        <f>AC2731/39.3701</f>
      </c>
      <c r="AH2731" s="7">
        <f>AD2731/39.3701</f>
      </c>
      <c r="AI2731" s="1"/>
      <c r="AJ2731" s="1"/>
      <c r="AK2731" s="1"/>
      <c r="AL2731" s="1"/>
      <c r="AM2731" s="2"/>
      <c r="AN2731" s="1"/>
      <c r="AO2731" s="1"/>
      <c r="AP2731" s="1"/>
      <c r="AQ2731" s="1"/>
      <c r="AR2731" s="1"/>
      <c r="AS2731" s="1"/>
      <c r="AT2731" s="1"/>
      <c r="AU2731" s="1"/>
      <c r="AV2731" s="1"/>
      <c r="AW2731" s="1"/>
      <c r="AX2731" s="1"/>
      <c r="AY2731" s="1"/>
      <c r="AZ2731" s="1"/>
      <c r="BA2731" s="1"/>
      <c r="BB2731" s="1"/>
      <c r="BC2731" s="1"/>
      <c r="BD2731" s="1"/>
      <c r="BE2731" s="1"/>
    </row>
    <row x14ac:dyDescent="0.25" r="2732" customHeight="1" ht="18.75">
      <c r="A2732" s="1"/>
      <c r="B2732" s="2"/>
      <c r="C2732" s="2"/>
      <c r="D2732" s="2"/>
      <c r="E2732" s="2"/>
      <c r="F2732" s="2"/>
      <c r="G2732" s="1"/>
      <c r="H2732" s="1"/>
      <c r="I2732" s="7">
        <v>2.729</v>
      </c>
      <c r="J2732" s="7">
        <f>IF((I2732-ROUNDDOWN(I2732,0))=0, 0, (I2732-ROUNDDOWN(I2732,0)))</f>
      </c>
      <c r="K2732" s="7">
        <f>INDIRECT("C$"&amp;2+MIN(2,ROUNDDOWN(I2732,0))*3)*(-$J2732^3+3*$J2732^2-3*$J2732+1)+INDIRECT("C$"&amp;3+MIN(2,ROUNDDOWN(I2732,0))*3)*(3*$J2732^3-6*$J2732^2+3*$J2732)+INDIRECT("C$"&amp;4+MIN(2,ROUNDDOWN(I2732,0))*3)*(-3*$J2732^3+3*$J2732^2)+INDIRECT("C$"&amp;5+MIN(2,ROUNDDOWN(I2732,0))*3)*$J2732^3</f>
      </c>
      <c r="L2732" s="7">
        <f>INDIRECT("D$"&amp;2+MIN(2,ROUNDDOWN(I2732,0))*3)*(-$J2732^3+3*$J2732^2-3*$J2732+1)+INDIRECT("D$"&amp;3+MIN(2,ROUNDDOWN(I2732,0))*3)*(3*$J2732^3-6*$J2732^2+3*$J2732)+INDIRECT("D$"&amp;4+MIN(2,ROUNDDOWN(I2732,0))*3)*(-3*$J2732^3+3*$J2732^2)+INDIRECT("D$"&amp;5+MIN(2,ROUNDDOWN(I2732,0))*3)*$J2732^3</f>
      </c>
      <c r="M2732" s="7">
        <f>SQRT(K2732^2+L2732^2)</f>
      </c>
      <c r="N2732" s="7">
        <f>(K2733-K2731)</f>
      </c>
      <c r="O2732" s="7">
        <f>+(L2733-L2731)</f>
      </c>
      <c r="P2732" s="7">
        <f>SQRT(O2732^2+N2732^2)</f>
      </c>
      <c r="Q2732" s="7">
        <f>N2732/$P2732</f>
      </c>
      <c r="R2732" s="7">
        <f>O2732/$P2732</f>
      </c>
      <c r="S2732" s="7">
        <f>Q2732^2+R2732^2</f>
      </c>
      <c r="T2732" s="7">
        <f>-R2732</f>
      </c>
      <c r="U2732" s="7">
        <f>Q2732</f>
      </c>
      <c r="V2732" s="7">
        <f>($C$14+($C$15-$C$14)/($D$15-$D$14)*(I2732-$D$14))/2</f>
      </c>
      <c r="W2732" s="7">
        <f>($B$22*I2732^4+$C$22*I2732^3+$D$22*I2732^2+$E$22*I2732+$F$22)/2</f>
      </c>
      <c r="X2732" s="7">
        <f>($W2732)*(T2732)</f>
      </c>
      <c r="Y2732" s="7">
        <f>($W2732)*(U2732)</f>
      </c>
      <c r="Z2732" s="7">
        <f>SQRT(X2732^2+Y2732^2)</f>
      </c>
      <c r="AA2732" s="7">
        <f>$K2732+$X2732</f>
      </c>
      <c r="AB2732" s="7">
        <f>$L2732+$Y2732</f>
      </c>
      <c r="AC2732" s="7">
        <f>$K2732-$X2732</f>
      </c>
      <c r="AD2732" s="7">
        <f>$L2732-$Y2732</f>
      </c>
      <c r="AE2732" s="7">
        <f>AA2732/39.3701</f>
      </c>
      <c r="AF2732" s="7">
        <f>AB2732/39.3701</f>
      </c>
      <c r="AG2732" s="7">
        <f>AC2732/39.3701</f>
      </c>
      <c r="AH2732" s="7">
        <f>AD2732/39.3701</f>
      </c>
      <c r="AI2732" s="1"/>
      <c r="AJ2732" s="1"/>
      <c r="AK2732" s="1"/>
      <c r="AL2732" s="1"/>
      <c r="AM2732" s="2"/>
      <c r="AN2732" s="1"/>
      <c r="AO2732" s="1"/>
      <c r="AP2732" s="1"/>
      <c r="AQ2732" s="1"/>
      <c r="AR2732" s="1"/>
      <c r="AS2732" s="1"/>
      <c r="AT2732" s="1"/>
      <c r="AU2732" s="1"/>
      <c r="AV2732" s="1"/>
      <c r="AW2732" s="1"/>
      <c r="AX2732" s="1"/>
      <c r="AY2732" s="1"/>
      <c r="AZ2732" s="1"/>
      <c r="BA2732" s="1"/>
      <c r="BB2732" s="1"/>
      <c r="BC2732" s="1"/>
      <c r="BD2732" s="1"/>
      <c r="BE2732" s="1"/>
    </row>
    <row x14ac:dyDescent="0.25" r="2733" customHeight="1" ht="18.75">
      <c r="A2733" s="1"/>
      <c r="B2733" s="2"/>
      <c r="C2733" s="2"/>
      <c r="D2733" s="2"/>
      <c r="E2733" s="2"/>
      <c r="F2733" s="2"/>
      <c r="G2733" s="1"/>
      <c r="H2733" s="1"/>
      <c r="I2733" s="7">
        <v>2.73</v>
      </c>
      <c r="J2733" s="7">
        <f>IF((I2733-ROUNDDOWN(I2733,0))=0, 0, (I2733-ROUNDDOWN(I2733,0)))</f>
      </c>
      <c r="K2733" s="7">
        <f>INDIRECT("C$"&amp;2+MIN(2,ROUNDDOWN(I2733,0))*3)*(-$J2733^3+3*$J2733^2-3*$J2733+1)+INDIRECT("C$"&amp;3+MIN(2,ROUNDDOWN(I2733,0))*3)*(3*$J2733^3-6*$J2733^2+3*$J2733)+INDIRECT("C$"&amp;4+MIN(2,ROUNDDOWN(I2733,0))*3)*(-3*$J2733^3+3*$J2733^2)+INDIRECT("C$"&amp;5+MIN(2,ROUNDDOWN(I2733,0))*3)*$J2733^3</f>
      </c>
      <c r="L2733" s="7">
        <f>INDIRECT("D$"&amp;2+MIN(2,ROUNDDOWN(I2733,0))*3)*(-$J2733^3+3*$J2733^2-3*$J2733+1)+INDIRECT("D$"&amp;3+MIN(2,ROUNDDOWN(I2733,0))*3)*(3*$J2733^3-6*$J2733^2+3*$J2733)+INDIRECT("D$"&amp;4+MIN(2,ROUNDDOWN(I2733,0))*3)*(-3*$J2733^3+3*$J2733^2)+INDIRECT("D$"&amp;5+MIN(2,ROUNDDOWN(I2733,0))*3)*$J2733^3</f>
      </c>
      <c r="M2733" s="7">
        <f>SQRT(K2733^2+L2733^2)</f>
      </c>
      <c r="N2733" s="7">
        <f>(K2734-K2732)</f>
      </c>
      <c r="O2733" s="7">
        <f>+(L2734-L2732)</f>
      </c>
      <c r="P2733" s="7">
        <f>SQRT(O2733^2+N2733^2)</f>
      </c>
      <c r="Q2733" s="7">
        <f>N2733/$P2733</f>
      </c>
      <c r="R2733" s="7">
        <f>O2733/$P2733</f>
      </c>
      <c r="S2733" s="7">
        <f>Q2733^2+R2733^2</f>
      </c>
      <c r="T2733" s="7">
        <f>-R2733</f>
      </c>
      <c r="U2733" s="7">
        <f>Q2733</f>
      </c>
      <c r="V2733" s="7">
        <f>($C$14+($C$15-$C$14)/($D$15-$D$14)*(I2733-$D$14))/2</f>
      </c>
      <c r="W2733" s="7">
        <f>($B$22*I2733^4+$C$22*I2733^3+$D$22*I2733^2+$E$22*I2733+$F$22)/2</f>
      </c>
      <c r="X2733" s="7">
        <f>($W2733)*(T2733)</f>
      </c>
      <c r="Y2733" s="7">
        <f>($W2733)*(U2733)</f>
      </c>
      <c r="Z2733" s="7">
        <f>SQRT(X2733^2+Y2733^2)</f>
      </c>
      <c r="AA2733" s="7">
        <f>$K2733+$X2733</f>
      </c>
      <c r="AB2733" s="7">
        <f>$L2733+$Y2733</f>
      </c>
      <c r="AC2733" s="7">
        <f>$K2733-$X2733</f>
      </c>
      <c r="AD2733" s="7">
        <f>$L2733-$Y2733</f>
      </c>
      <c r="AE2733" s="7">
        <f>AA2733/39.3701</f>
      </c>
      <c r="AF2733" s="7">
        <f>AB2733/39.3701</f>
      </c>
      <c r="AG2733" s="7">
        <f>AC2733/39.3701</f>
      </c>
      <c r="AH2733" s="7">
        <f>AD2733/39.3701</f>
      </c>
      <c r="AI2733" s="1"/>
      <c r="AJ2733" s="1"/>
      <c r="AK2733" s="1"/>
      <c r="AL2733" s="1"/>
      <c r="AM2733" s="2"/>
      <c r="AN2733" s="1"/>
      <c r="AO2733" s="1"/>
      <c r="AP2733" s="1"/>
      <c r="AQ2733" s="1"/>
      <c r="AR2733" s="1"/>
      <c r="AS2733" s="1"/>
      <c r="AT2733" s="1"/>
      <c r="AU2733" s="1"/>
      <c r="AV2733" s="1"/>
      <c r="AW2733" s="1"/>
      <c r="AX2733" s="1"/>
      <c r="AY2733" s="1"/>
      <c r="AZ2733" s="1"/>
      <c r="BA2733" s="1"/>
      <c r="BB2733" s="1"/>
      <c r="BC2733" s="1"/>
      <c r="BD2733" s="1"/>
      <c r="BE2733" s="1"/>
    </row>
    <row x14ac:dyDescent="0.25" r="2734" customHeight="1" ht="18.75">
      <c r="A2734" s="1"/>
      <c r="B2734" s="2"/>
      <c r="C2734" s="2"/>
      <c r="D2734" s="2"/>
      <c r="E2734" s="2"/>
      <c r="F2734" s="2"/>
      <c r="G2734" s="1"/>
      <c r="H2734" s="1"/>
      <c r="I2734" s="7">
        <v>2.731</v>
      </c>
      <c r="J2734" s="7">
        <f>IF((I2734-ROUNDDOWN(I2734,0))=0, 0, (I2734-ROUNDDOWN(I2734,0)))</f>
      </c>
      <c r="K2734" s="7">
        <f>INDIRECT("C$"&amp;2+MIN(2,ROUNDDOWN(I2734,0))*3)*(-$J2734^3+3*$J2734^2-3*$J2734+1)+INDIRECT("C$"&amp;3+MIN(2,ROUNDDOWN(I2734,0))*3)*(3*$J2734^3-6*$J2734^2+3*$J2734)+INDIRECT("C$"&amp;4+MIN(2,ROUNDDOWN(I2734,0))*3)*(-3*$J2734^3+3*$J2734^2)+INDIRECT("C$"&amp;5+MIN(2,ROUNDDOWN(I2734,0))*3)*$J2734^3</f>
      </c>
      <c r="L2734" s="7">
        <f>INDIRECT("D$"&amp;2+MIN(2,ROUNDDOWN(I2734,0))*3)*(-$J2734^3+3*$J2734^2-3*$J2734+1)+INDIRECT("D$"&amp;3+MIN(2,ROUNDDOWN(I2734,0))*3)*(3*$J2734^3-6*$J2734^2+3*$J2734)+INDIRECT("D$"&amp;4+MIN(2,ROUNDDOWN(I2734,0))*3)*(-3*$J2734^3+3*$J2734^2)+INDIRECT("D$"&amp;5+MIN(2,ROUNDDOWN(I2734,0))*3)*$J2734^3</f>
      </c>
      <c r="M2734" s="7">
        <f>SQRT(K2734^2+L2734^2)</f>
      </c>
      <c r="N2734" s="7">
        <f>(K2735-K2733)</f>
      </c>
      <c r="O2734" s="7">
        <f>+(L2735-L2733)</f>
      </c>
      <c r="P2734" s="7">
        <f>SQRT(O2734^2+N2734^2)</f>
      </c>
      <c r="Q2734" s="7">
        <f>N2734/$P2734</f>
      </c>
      <c r="R2734" s="7">
        <f>O2734/$P2734</f>
      </c>
      <c r="S2734" s="7">
        <f>Q2734^2+R2734^2</f>
      </c>
      <c r="T2734" s="7">
        <f>-R2734</f>
      </c>
      <c r="U2734" s="7">
        <f>Q2734</f>
      </c>
      <c r="V2734" s="7">
        <f>($C$14+($C$15-$C$14)/($D$15-$D$14)*(I2734-$D$14))/2</f>
      </c>
      <c r="W2734" s="7">
        <f>($B$22*I2734^4+$C$22*I2734^3+$D$22*I2734^2+$E$22*I2734+$F$22)/2</f>
      </c>
      <c r="X2734" s="7">
        <f>($W2734)*(T2734)</f>
      </c>
      <c r="Y2734" s="7">
        <f>($W2734)*(U2734)</f>
      </c>
      <c r="Z2734" s="7">
        <f>SQRT(X2734^2+Y2734^2)</f>
      </c>
      <c r="AA2734" s="7">
        <f>$K2734+$X2734</f>
      </c>
      <c r="AB2734" s="7">
        <f>$L2734+$Y2734</f>
      </c>
      <c r="AC2734" s="7">
        <f>$K2734-$X2734</f>
      </c>
      <c r="AD2734" s="7">
        <f>$L2734-$Y2734</f>
      </c>
      <c r="AE2734" s="7">
        <f>AA2734/39.3701</f>
      </c>
      <c r="AF2734" s="7">
        <f>AB2734/39.3701</f>
      </c>
      <c r="AG2734" s="7">
        <f>AC2734/39.3701</f>
      </c>
      <c r="AH2734" s="7">
        <f>AD2734/39.3701</f>
      </c>
      <c r="AI2734" s="1"/>
      <c r="AJ2734" s="1"/>
      <c r="AK2734" s="1"/>
      <c r="AL2734" s="1"/>
      <c r="AM2734" s="2"/>
      <c r="AN2734" s="1"/>
      <c r="AO2734" s="1"/>
      <c r="AP2734" s="1"/>
      <c r="AQ2734" s="1"/>
      <c r="AR2734" s="1"/>
      <c r="AS2734" s="1"/>
      <c r="AT2734" s="1"/>
      <c r="AU2734" s="1"/>
      <c r="AV2734" s="1"/>
      <c r="AW2734" s="1"/>
      <c r="AX2734" s="1"/>
      <c r="AY2734" s="1"/>
      <c r="AZ2734" s="1"/>
      <c r="BA2734" s="1"/>
      <c r="BB2734" s="1"/>
      <c r="BC2734" s="1"/>
      <c r="BD2734" s="1"/>
      <c r="BE2734" s="1"/>
    </row>
    <row x14ac:dyDescent="0.25" r="2735" customHeight="1" ht="18.75">
      <c r="A2735" s="1"/>
      <c r="B2735" s="2"/>
      <c r="C2735" s="2"/>
      <c r="D2735" s="2"/>
      <c r="E2735" s="2"/>
      <c r="F2735" s="2"/>
      <c r="G2735" s="1"/>
      <c r="H2735" s="1"/>
      <c r="I2735" s="7">
        <v>2.732</v>
      </c>
      <c r="J2735" s="7">
        <f>IF((I2735-ROUNDDOWN(I2735,0))=0, 0, (I2735-ROUNDDOWN(I2735,0)))</f>
      </c>
      <c r="K2735" s="7">
        <f>INDIRECT("C$"&amp;2+MIN(2,ROUNDDOWN(I2735,0))*3)*(-$J2735^3+3*$J2735^2-3*$J2735+1)+INDIRECT("C$"&amp;3+MIN(2,ROUNDDOWN(I2735,0))*3)*(3*$J2735^3-6*$J2735^2+3*$J2735)+INDIRECT("C$"&amp;4+MIN(2,ROUNDDOWN(I2735,0))*3)*(-3*$J2735^3+3*$J2735^2)+INDIRECT("C$"&amp;5+MIN(2,ROUNDDOWN(I2735,0))*3)*$J2735^3</f>
      </c>
      <c r="L2735" s="7">
        <f>INDIRECT("D$"&amp;2+MIN(2,ROUNDDOWN(I2735,0))*3)*(-$J2735^3+3*$J2735^2-3*$J2735+1)+INDIRECT("D$"&amp;3+MIN(2,ROUNDDOWN(I2735,0))*3)*(3*$J2735^3-6*$J2735^2+3*$J2735)+INDIRECT("D$"&amp;4+MIN(2,ROUNDDOWN(I2735,0))*3)*(-3*$J2735^3+3*$J2735^2)+INDIRECT("D$"&amp;5+MIN(2,ROUNDDOWN(I2735,0))*3)*$J2735^3</f>
      </c>
      <c r="M2735" s="7">
        <f>SQRT(K2735^2+L2735^2)</f>
      </c>
      <c r="N2735" s="7">
        <f>(K2736-K2734)</f>
      </c>
      <c r="O2735" s="7">
        <f>+(L2736-L2734)</f>
      </c>
      <c r="P2735" s="7">
        <f>SQRT(O2735^2+N2735^2)</f>
      </c>
      <c r="Q2735" s="7">
        <f>N2735/$P2735</f>
      </c>
      <c r="R2735" s="7">
        <f>O2735/$P2735</f>
      </c>
      <c r="S2735" s="7">
        <f>Q2735^2+R2735^2</f>
      </c>
      <c r="T2735" s="7">
        <f>-R2735</f>
      </c>
      <c r="U2735" s="7">
        <f>Q2735</f>
      </c>
      <c r="V2735" s="7">
        <f>($C$14+($C$15-$C$14)/($D$15-$D$14)*(I2735-$D$14))/2</f>
      </c>
      <c r="W2735" s="7">
        <f>($B$22*I2735^4+$C$22*I2735^3+$D$22*I2735^2+$E$22*I2735+$F$22)/2</f>
      </c>
      <c r="X2735" s="7">
        <f>($W2735)*(T2735)</f>
      </c>
      <c r="Y2735" s="7">
        <f>($W2735)*(U2735)</f>
      </c>
      <c r="Z2735" s="7">
        <f>SQRT(X2735^2+Y2735^2)</f>
      </c>
      <c r="AA2735" s="7">
        <f>$K2735+$X2735</f>
      </c>
      <c r="AB2735" s="7">
        <f>$L2735+$Y2735</f>
      </c>
      <c r="AC2735" s="7">
        <f>$K2735-$X2735</f>
      </c>
      <c r="AD2735" s="7">
        <f>$L2735-$Y2735</f>
      </c>
      <c r="AE2735" s="7">
        <f>AA2735/39.3701</f>
      </c>
      <c r="AF2735" s="7">
        <f>AB2735/39.3701</f>
      </c>
      <c r="AG2735" s="7">
        <f>AC2735/39.3701</f>
      </c>
      <c r="AH2735" s="7">
        <f>AD2735/39.3701</f>
      </c>
      <c r="AI2735" s="1"/>
      <c r="AJ2735" s="1"/>
      <c r="AK2735" s="1"/>
      <c r="AL2735" s="1"/>
      <c r="AM2735" s="2"/>
      <c r="AN2735" s="1"/>
      <c r="AO2735" s="1"/>
      <c r="AP2735" s="1"/>
      <c r="AQ2735" s="1"/>
      <c r="AR2735" s="1"/>
      <c r="AS2735" s="1"/>
      <c r="AT2735" s="1"/>
      <c r="AU2735" s="1"/>
      <c r="AV2735" s="1"/>
      <c r="AW2735" s="1"/>
      <c r="AX2735" s="1"/>
      <c r="AY2735" s="1"/>
      <c r="AZ2735" s="1"/>
      <c r="BA2735" s="1"/>
      <c r="BB2735" s="1"/>
      <c r="BC2735" s="1"/>
      <c r="BD2735" s="1"/>
      <c r="BE2735" s="1"/>
    </row>
    <row x14ac:dyDescent="0.25" r="2736" customHeight="1" ht="18.75">
      <c r="A2736" s="1"/>
      <c r="B2736" s="2"/>
      <c r="C2736" s="2"/>
      <c r="D2736" s="2"/>
      <c r="E2736" s="2"/>
      <c r="F2736" s="2"/>
      <c r="G2736" s="1"/>
      <c r="H2736" s="1"/>
      <c r="I2736" s="7">
        <v>2.733</v>
      </c>
      <c r="J2736" s="7">
        <f>IF((I2736-ROUNDDOWN(I2736,0))=0, 0, (I2736-ROUNDDOWN(I2736,0)))</f>
      </c>
      <c r="K2736" s="7">
        <f>INDIRECT("C$"&amp;2+MIN(2,ROUNDDOWN(I2736,0))*3)*(-$J2736^3+3*$J2736^2-3*$J2736+1)+INDIRECT("C$"&amp;3+MIN(2,ROUNDDOWN(I2736,0))*3)*(3*$J2736^3-6*$J2736^2+3*$J2736)+INDIRECT("C$"&amp;4+MIN(2,ROUNDDOWN(I2736,0))*3)*(-3*$J2736^3+3*$J2736^2)+INDIRECT("C$"&amp;5+MIN(2,ROUNDDOWN(I2736,0))*3)*$J2736^3</f>
      </c>
      <c r="L2736" s="7">
        <f>INDIRECT("D$"&amp;2+MIN(2,ROUNDDOWN(I2736,0))*3)*(-$J2736^3+3*$J2736^2-3*$J2736+1)+INDIRECT("D$"&amp;3+MIN(2,ROUNDDOWN(I2736,0))*3)*(3*$J2736^3-6*$J2736^2+3*$J2736)+INDIRECT("D$"&amp;4+MIN(2,ROUNDDOWN(I2736,0))*3)*(-3*$J2736^3+3*$J2736^2)+INDIRECT("D$"&amp;5+MIN(2,ROUNDDOWN(I2736,0))*3)*$J2736^3</f>
      </c>
      <c r="M2736" s="7">
        <f>SQRT(K2736^2+L2736^2)</f>
      </c>
      <c r="N2736" s="7">
        <f>(K2737-K2735)</f>
      </c>
      <c r="O2736" s="7">
        <f>+(L2737-L2735)</f>
      </c>
      <c r="P2736" s="7">
        <f>SQRT(O2736^2+N2736^2)</f>
      </c>
      <c r="Q2736" s="7">
        <f>N2736/$P2736</f>
      </c>
      <c r="R2736" s="7">
        <f>O2736/$P2736</f>
      </c>
      <c r="S2736" s="8">
        <f>Q2736^2+R2736^2</f>
      </c>
      <c r="T2736" s="7">
        <f>-R2736</f>
      </c>
      <c r="U2736" s="7">
        <f>Q2736</f>
      </c>
      <c r="V2736" s="7">
        <f>($C$14+($C$15-$C$14)/($D$15-$D$14)*(I2736-$D$14))/2</f>
      </c>
      <c r="W2736" s="7">
        <f>($B$22*I2736^4+$C$22*I2736^3+$D$22*I2736^2+$E$22*I2736+$F$22)/2</f>
      </c>
      <c r="X2736" s="7">
        <f>($W2736)*(T2736)</f>
      </c>
      <c r="Y2736" s="7">
        <f>($W2736)*(U2736)</f>
      </c>
      <c r="Z2736" s="7">
        <f>SQRT(X2736^2+Y2736^2)</f>
      </c>
      <c r="AA2736" s="7">
        <f>$K2736+$X2736</f>
      </c>
      <c r="AB2736" s="7">
        <f>$L2736+$Y2736</f>
      </c>
      <c r="AC2736" s="7">
        <f>$K2736-$X2736</f>
      </c>
      <c r="AD2736" s="7">
        <f>$L2736-$Y2736</f>
      </c>
      <c r="AE2736" s="7">
        <f>AA2736/39.3701</f>
      </c>
      <c r="AF2736" s="7">
        <f>AB2736/39.3701</f>
      </c>
      <c r="AG2736" s="7">
        <f>AC2736/39.3701</f>
      </c>
      <c r="AH2736" s="7">
        <f>AD2736/39.3701</f>
      </c>
      <c r="AI2736" s="1"/>
      <c r="AJ2736" s="1"/>
      <c r="AK2736" s="1"/>
      <c r="AL2736" s="1"/>
      <c r="AM2736" s="2"/>
      <c r="AN2736" s="1"/>
      <c r="AO2736" s="1"/>
      <c r="AP2736" s="1"/>
      <c r="AQ2736" s="1"/>
      <c r="AR2736" s="1"/>
      <c r="AS2736" s="1"/>
      <c r="AT2736" s="1"/>
      <c r="AU2736" s="1"/>
      <c r="AV2736" s="1"/>
      <c r="AW2736" s="1"/>
      <c r="AX2736" s="1"/>
      <c r="AY2736" s="1"/>
      <c r="AZ2736" s="1"/>
      <c r="BA2736" s="1"/>
      <c r="BB2736" s="1"/>
      <c r="BC2736" s="1"/>
      <c r="BD2736" s="1"/>
      <c r="BE2736" s="1"/>
    </row>
    <row x14ac:dyDescent="0.25" r="2737" customHeight="1" ht="18.75">
      <c r="A2737" s="1"/>
      <c r="B2737" s="2"/>
      <c r="C2737" s="2"/>
      <c r="D2737" s="2"/>
      <c r="E2737" s="2"/>
      <c r="F2737" s="2"/>
      <c r="G2737" s="1"/>
      <c r="H2737" s="1"/>
      <c r="I2737" s="7">
        <v>2.734</v>
      </c>
      <c r="J2737" s="7">
        <f>IF((I2737-ROUNDDOWN(I2737,0))=0, 0, (I2737-ROUNDDOWN(I2737,0)))</f>
      </c>
      <c r="K2737" s="7">
        <f>INDIRECT("C$"&amp;2+MIN(2,ROUNDDOWN(I2737,0))*3)*(-$J2737^3+3*$J2737^2-3*$J2737+1)+INDIRECT("C$"&amp;3+MIN(2,ROUNDDOWN(I2737,0))*3)*(3*$J2737^3-6*$J2737^2+3*$J2737)+INDIRECT("C$"&amp;4+MIN(2,ROUNDDOWN(I2737,0))*3)*(-3*$J2737^3+3*$J2737^2)+INDIRECT("C$"&amp;5+MIN(2,ROUNDDOWN(I2737,0))*3)*$J2737^3</f>
      </c>
      <c r="L2737" s="7">
        <f>INDIRECT("D$"&amp;2+MIN(2,ROUNDDOWN(I2737,0))*3)*(-$J2737^3+3*$J2737^2-3*$J2737+1)+INDIRECT("D$"&amp;3+MIN(2,ROUNDDOWN(I2737,0))*3)*(3*$J2737^3-6*$J2737^2+3*$J2737)+INDIRECT("D$"&amp;4+MIN(2,ROUNDDOWN(I2737,0))*3)*(-3*$J2737^3+3*$J2737^2)+INDIRECT("D$"&amp;5+MIN(2,ROUNDDOWN(I2737,0))*3)*$J2737^3</f>
      </c>
      <c r="M2737" s="7">
        <f>SQRT(K2737^2+L2737^2)</f>
      </c>
      <c r="N2737" s="7">
        <f>(K2738-K2736)</f>
      </c>
      <c r="O2737" s="7">
        <f>+(L2738-L2736)</f>
      </c>
      <c r="P2737" s="7">
        <f>SQRT(O2737^2+N2737^2)</f>
      </c>
      <c r="Q2737" s="7">
        <f>N2737/$P2737</f>
      </c>
      <c r="R2737" s="7">
        <f>O2737/$P2737</f>
      </c>
      <c r="S2737" s="7">
        <f>Q2737^2+R2737^2</f>
      </c>
      <c r="T2737" s="7">
        <f>-R2737</f>
      </c>
      <c r="U2737" s="7">
        <f>Q2737</f>
      </c>
      <c r="V2737" s="7">
        <f>($C$14+($C$15-$C$14)/($D$15-$D$14)*(I2737-$D$14))/2</f>
      </c>
      <c r="W2737" s="7">
        <f>($B$22*I2737^4+$C$22*I2737^3+$D$22*I2737^2+$E$22*I2737+$F$22)/2</f>
      </c>
      <c r="X2737" s="7">
        <f>($W2737)*(T2737)</f>
      </c>
      <c r="Y2737" s="7">
        <f>($W2737)*(U2737)</f>
      </c>
      <c r="Z2737" s="7">
        <f>SQRT(X2737^2+Y2737^2)</f>
      </c>
      <c r="AA2737" s="7">
        <f>$K2737+$X2737</f>
      </c>
      <c r="AB2737" s="7">
        <f>$L2737+$Y2737</f>
      </c>
      <c r="AC2737" s="7">
        <f>$K2737-$X2737</f>
      </c>
      <c r="AD2737" s="7">
        <f>$L2737-$Y2737</f>
      </c>
      <c r="AE2737" s="7">
        <f>AA2737/39.3701</f>
      </c>
      <c r="AF2737" s="7">
        <f>AB2737/39.3701</f>
      </c>
      <c r="AG2737" s="7">
        <f>AC2737/39.3701</f>
      </c>
      <c r="AH2737" s="7">
        <f>AD2737/39.3701</f>
      </c>
      <c r="AI2737" s="1"/>
      <c r="AJ2737" s="1"/>
      <c r="AK2737" s="1"/>
      <c r="AL2737" s="1"/>
      <c r="AM2737" s="2"/>
      <c r="AN2737" s="1"/>
      <c r="AO2737" s="1"/>
      <c r="AP2737" s="1"/>
      <c r="AQ2737" s="1"/>
      <c r="AR2737" s="1"/>
      <c r="AS2737" s="1"/>
      <c r="AT2737" s="1"/>
      <c r="AU2737" s="1"/>
      <c r="AV2737" s="1"/>
      <c r="AW2737" s="1"/>
      <c r="AX2737" s="1"/>
      <c r="AY2737" s="1"/>
      <c r="AZ2737" s="1"/>
      <c r="BA2737" s="1"/>
      <c r="BB2737" s="1"/>
      <c r="BC2737" s="1"/>
      <c r="BD2737" s="1"/>
      <c r="BE2737" s="1"/>
    </row>
    <row x14ac:dyDescent="0.25" r="2738" customHeight="1" ht="18.75">
      <c r="A2738" s="1"/>
      <c r="B2738" s="2"/>
      <c r="C2738" s="2"/>
      <c r="D2738" s="2"/>
      <c r="E2738" s="2"/>
      <c r="F2738" s="2"/>
      <c r="G2738" s="1"/>
      <c r="H2738" s="1"/>
      <c r="I2738" s="7">
        <v>2.735</v>
      </c>
      <c r="J2738" s="7">
        <f>IF((I2738-ROUNDDOWN(I2738,0))=0, 0, (I2738-ROUNDDOWN(I2738,0)))</f>
      </c>
      <c r="K2738" s="7">
        <f>INDIRECT("C$"&amp;2+MIN(2,ROUNDDOWN(I2738,0))*3)*(-$J2738^3+3*$J2738^2-3*$J2738+1)+INDIRECT("C$"&amp;3+MIN(2,ROUNDDOWN(I2738,0))*3)*(3*$J2738^3-6*$J2738^2+3*$J2738)+INDIRECT("C$"&amp;4+MIN(2,ROUNDDOWN(I2738,0))*3)*(-3*$J2738^3+3*$J2738^2)+INDIRECT("C$"&amp;5+MIN(2,ROUNDDOWN(I2738,0))*3)*$J2738^3</f>
      </c>
      <c r="L2738" s="7">
        <f>INDIRECT("D$"&amp;2+MIN(2,ROUNDDOWN(I2738,0))*3)*(-$J2738^3+3*$J2738^2-3*$J2738+1)+INDIRECT("D$"&amp;3+MIN(2,ROUNDDOWN(I2738,0))*3)*(3*$J2738^3-6*$J2738^2+3*$J2738)+INDIRECT("D$"&amp;4+MIN(2,ROUNDDOWN(I2738,0))*3)*(-3*$J2738^3+3*$J2738^2)+INDIRECT("D$"&amp;5+MIN(2,ROUNDDOWN(I2738,0))*3)*$J2738^3</f>
      </c>
      <c r="M2738" s="7">
        <f>SQRT(K2738^2+L2738^2)</f>
      </c>
      <c r="N2738" s="7">
        <f>(K2739-K2737)</f>
      </c>
      <c r="O2738" s="7">
        <f>+(L2739-L2737)</f>
      </c>
      <c r="P2738" s="7">
        <f>SQRT(O2738^2+N2738^2)</f>
      </c>
      <c r="Q2738" s="7">
        <f>N2738/$P2738</f>
      </c>
      <c r="R2738" s="7">
        <f>O2738/$P2738</f>
      </c>
      <c r="S2738" s="8">
        <f>Q2738^2+R2738^2</f>
      </c>
      <c r="T2738" s="7">
        <f>-R2738</f>
      </c>
      <c r="U2738" s="7">
        <f>Q2738</f>
      </c>
      <c r="V2738" s="7">
        <f>($C$14+($C$15-$C$14)/($D$15-$D$14)*(I2738-$D$14))/2</f>
      </c>
      <c r="W2738" s="7">
        <f>($B$22*I2738^4+$C$22*I2738^3+$D$22*I2738^2+$E$22*I2738+$F$22)/2</f>
      </c>
      <c r="X2738" s="7">
        <f>($W2738)*(T2738)</f>
      </c>
      <c r="Y2738" s="7">
        <f>($W2738)*(U2738)</f>
      </c>
      <c r="Z2738" s="7">
        <f>SQRT(X2738^2+Y2738^2)</f>
      </c>
      <c r="AA2738" s="7">
        <f>$K2738+$X2738</f>
      </c>
      <c r="AB2738" s="7">
        <f>$L2738+$Y2738</f>
      </c>
      <c r="AC2738" s="7">
        <f>$K2738-$X2738</f>
      </c>
      <c r="AD2738" s="7">
        <f>$L2738-$Y2738</f>
      </c>
      <c r="AE2738" s="7">
        <f>AA2738/39.3701</f>
      </c>
      <c r="AF2738" s="7">
        <f>AB2738/39.3701</f>
      </c>
      <c r="AG2738" s="7">
        <f>AC2738/39.3701</f>
      </c>
      <c r="AH2738" s="7">
        <f>AD2738/39.3701</f>
      </c>
      <c r="AI2738" s="1"/>
      <c r="AJ2738" s="1"/>
      <c r="AK2738" s="1"/>
      <c r="AL2738" s="1"/>
      <c r="AM2738" s="2"/>
      <c r="AN2738" s="1"/>
      <c r="AO2738" s="1"/>
      <c r="AP2738" s="1"/>
      <c r="AQ2738" s="1"/>
      <c r="AR2738" s="1"/>
      <c r="AS2738" s="1"/>
      <c r="AT2738" s="1"/>
      <c r="AU2738" s="1"/>
      <c r="AV2738" s="1"/>
      <c r="AW2738" s="1"/>
      <c r="AX2738" s="1"/>
      <c r="AY2738" s="1"/>
      <c r="AZ2738" s="1"/>
      <c r="BA2738" s="1"/>
      <c r="BB2738" s="1"/>
      <c r="BC2738" s="1"/>
      <c r="BD2738" s="1"/>
      <c r="BE2738" s="1"/>
    </row>
    <row x14ac:dyDescent="0.25" r="2739" customHeight="1" ht="18.75">
      <c r="A2739" s="1"/>
      <c r="B2739" s="2"/>
      <c r="C2739" s="2"/>
      <c r="D2739" s="2"/>
      <c r="E2739" s="2"/>
      <c r="F2739" s="2"/>
      <c r="G2739" s="1"/>
      <c r="H2739" s="1"/>
      <c r="I2739" s="7">
        <v>2.736</v>
      </c>
      <c r="J2739" s="7">
        <f>IF((I2739-ROUNDDOWN(I2739,0))=0, 0, (I2739-ROUNDDOWN(I2739,0)))</f>
      </c>
      <c r="K2739" s="7">
        <f>INDIRECT("C$"&amp;2+MIN(2,ROUNDDOWN(I2739,0))*3)*(-$J2739^3+3*$J2739^2-3*$J2739+1)+INDIRECT("C$"&amp;3+MIN(2,ROUNDDOWN(I2739,0))*3)*(3*$J2739^3-6*$J2739^2+3*$J2739)+INDIRECT("C$"&amp;4+MIN(2,ROUNDDOWN(I2739,0))*3)*(-3*$J2739^3+3*$J2739^2)+INDIRECT("C$"&amp;5+MIN(2,ROUNDDOWN(I2739,0))*3)*$J2739^3</f>
      </c>
      <c r="L2739" s="7">
        <f>INDIRECT("D$"&amp;2+MIN(2,ROUNDDOWN(I2739,0))*3)*(-$J2739^3+3*$J2739^2-3*$J2739+1)+INDIRECT("D$"&amp;3+MIN(2,ROUNDDOWN(I2739,0))*3)*(3*$J2739^3-6*$J2739^2+3*$J2739)+INDIRECT("D$"&amp;4+MIN(2,ROUNDDOWN(I2739,0))*3)*(-3*$J2739^3+3*$J2739^2)+INDIRECT("D$"&amp;5+MIN(2,ROUNDDOWN(I2739,0))*3)*$J2739^3</f>
      </c>
      <c r="M2739" s="7">
        <f>SQRT(K2739^2+L2739^2)</f>
      </c>
      <c r="N2739" s="7">
        <f>(K2740-K2738)</f>
      </c>
      <c r="O2739" s="7">
        <f>+(L2740-L2738)</f>
      </c>
      <c r="P2739" s="7">
        <f>SQRT(O2739^2+N2739^2)</f>
      </c>
      <c r="Q2739" s="7">
        <f>N2739/$P2739</f>
      </c>
      <c r="R2739" s="7">
        <f>O2739/$P2739</f>
      </c>
      <c r="S2739" s="8">
        <f>Q2739^2+R2739^2</f>
      </c>
      <c r="T2739" s="7">
        <f>-R2739</f>
      </c>
      <c r="U2739" s="7">
        <f>Q2739</f>
      </c>
      <c r="V2739" s="7">
        <f>($C$14+($C$15-$C$14)/($D$15-$D$14)*(I2739-$D$14))/2</f>
      </c>
      <c r="W2739" s="7">
        <f>($B$22*I2739^4+$C$22*I2739^3+$D$22*I2739^2+$E$22*I2739+$F$22)/2</f>
      </c>
      <c r="X2739" s="7">
        <f>($W2739)*(T2739)</f>
      </c>
      <c r="Y2739" s="7">
        <f>($W2739)*(U2739)</f>
      </c>
      <c r="Z2739" s="7">
        <f>SQRT(X2739^2+Y2739^2)</f>
      </c>
      <c r="AA2739" s="7">
        <f>$K2739+$X2739</f>
      </c>
      <c r="AB2739" s="7">
        <f>$L2739+$Y2739</f>
      </c>
      <c r="AC2739" s="7">
        <f>$K2739-$X2739</f>
      </c>
      <c r="AD2739" s="7">
        <f>$L2739-$Y2739</f>
      </c>
      <c r="AE2739" s="7">
        <f>AA2739/39.3701</f>
      </c>
      <c r="AF2739" s="7">
        <f>AB2739/39.3701</f>
      </c>
      <c r="AG2739" s="7">
        <f>AC2739/39.3701</f>
      </c>
      <c r="AH2739" s="7">
        <f>AD2739/39.3701</f>
      </c>
      <c r="AI2739" s="1"/>
      <c r="AJ2739" s="1"/>
      <c r="AK2739" s="1"/>
      <c r="AL2739" s="1"/>
      <c r="AM2739" s="2"/>
      <c r="AN2739" s="1"/>
      <c r="AO2739" s="1"/>
      <c r="AP2739" s="1"/>
      <c r="AQ2739" s="1"/>
      <c r="AR2739" s="1"/>
      <c r="AS2739" s="1"/>
      <c r="AT2739" s="1"/>
      <c r="AU2739" s="1"/>
      <c r="AV2739" s="1"/>
      <c r="AW2739" s="1"/>
      <c r="AX2739" s="1"/>
      <c r="AY2739" s="1"/>
      <c r="AZ2739" s="1"/>
      <c r="BA2739" s="1"/>
      <c r="BB2739" s="1"/>
      <c r="BC2739" s="1"/>
      <c r="BD2739" s="1"/>
      <c r="BE2739" s="1"/>
    </row>
    <row x14ac:dyDescent="0.25" r="2740" customHeight="1" ht="18.75">
      <c r="A2740" s="1"/>
      <c r="B2740" s="2"/>
      <c r="C2740" s="2"/>
      <c r="D2740" s="2"/>
      <c r="E2740" s="2"/>
      <c r="F2740" s="2"/>
      <c r="G2740" s="1"/>
      <c r="H2740" s="1"/>
      <c r="I2740" s="7">
        <v>2.737</v>
      </c>
      <c r="J2740" s="7">
        <f>IF((I2740-ROUNDDOWN(I2740,0))=0, 0, (I2740-ROUNDDOWN(I2740,0)))</f>
      </c>
      <c r="K2740" s="7">
        <f>INDIRECT("C$"&amp;2+MIN(2,ROUNDDOWN(I2740,0))*3)*(-$J2740^3+3*$J2740^2-3*$J2740+1)+INDIRECT("C$"&amp;3+MIN(2,ROUNDDOWN(I2740,0))*3)*(3*$J2740^3-6*$J2740^2+3*$J2740)+INDIRECT("C$"&amp;4+MIN(2,ROUNDDOWN(I2740,0))*3)*(-3*$J2740^3+3*$J2740^2)+INDIRECT("C$"&amp;5+MIN(2,ROUNDDOWN(I2740,0))*3)*$J2740^3</f>
      </c>
      <c r="L2740" s="7">
        <f>INDIRECT("D$"&amp;2+MIN(2,ROUNDDOWN(I2740,0))*3)*(-$J2740^3+3*$J2740^2-3*$J2740+1)+INDIRECT("D$"&amp;3+MIN(2,ROUNDDOWN(I2740,0))*3)*(3*$J2740^3-6*$J2740^2+3*$J2740)+INDIRECT("D$"&amp;4+MIN(2,ROUNDDOWN(I2740,0))*3)*(-3*$J2740^3+3*$J2740^2)+INDIRECT("D$"&amp;5+MIN(2,ROUNDDOWN(I2740,0))*3)*$J2740^3</f>
      </c>
      <c r="M2740" s="7">
        <f>SQRT(K2740^2+L2740^2)</f>
      </c>
      <c r="N2740" s="7">
        <f>(K2741-K2739)</f>
      </c>
      <c r="O2740" s="7">
        <f>+(L2741-L2739)</f>
      </c>
      <c r="P2740" s="7">
        <f>SQRT(O2740^2+N2740^2)</f>
      </c>
      <c r="Q2740" s="7">
        <f>N2740/$P2740</f>
      </c>
      <c r="R2740" s="7">
        <f>O2740/$P2740</f>
      </c>
      <c r="S2740" s="8">
        <f>Q2740^2+R2740^2</f>
      </c>
      <c r="T2740" s="7">
        <f>-R2740</f>
      </c>
      <c r="U2740" s="7">
        <f>Q2740</f>
      </c>
      <c r="V2740" s="7">
        <f>($C$14+($C$15-$C$14)/($D$15-$D$14)*(I2740-$D$14))/2</f>
      </c>
      <c r="W2740" s="7">
        <f>($B$22*I2740^4+$C$22*I2740^3+$D$22*I2740^2+$E$22*I2740+$F$22)/2</f>
      </c>
      <c r="X2740" s="7">
        <f>($W2740)*(T2740)</f>
      </c>
      <c r="Y2740" s="7">
        <f>($W2740)*(U2740)</f>
      </c>
      <c r="Z2740" s="7">
        <f>SQRT(X2740^2+Y2740^2)</f>
      </c>
      <c r="AA2740" s="7">
        <f>$K2740+$X2740</f>
      </c>
      <c r="AB2740" s="7">
        <f>$L2740+$Y2740</f>
      </c>
      <c r="AC2740" s="7">
        <f>$K2740-$X2740</f>
      </c>
      <c r="AD2740" s="7">
        <f>$L2740-$Y2740</f>
      </c>
      <c r="AE2740" s="7">
        <f>AA2740/39.3701</f>
      </c>
      <c r="AF2740" s="7">
        <f>AB2740/39.3701</f>
      </c>
      <c r="AG2740" s="7">
        <f>AC2740/39.3701</f>
      </c>
      <c r="AH2740" s="7">
        <f>AD2740/39.3701</f>
      </c>
      <c r="AI2740" s="1"/>
      <c r="AJ2740" s="1"/>
      <c r="AK2740" s="1"/>
      <c r="AL2740" s="1"/>
      <c r="AM2740" s="2"/>
      <c r="AN2740" s="1"/>
      <c r="AO2740" s="1"/>
      <c r="AP2740" s="1"/>
      <c r="AQ2740" s="1"/>
      <c r="AR2740" s="1"/>
      <c r="AS2740" s="1"/>
      <c r="AT2740" s="1"/>
      <c r="AU2740" s="1"/>
      <c r="AV2740" s="1"/>
      <c r="AW2740" s="1"/>
      <c r="AX2740" s="1"/>
      <c r="AY2740" s="1"/>
      <c r="AZ2740" s="1"/>
      <c r="BA2740" s="1"/>
      <c r="BB2740" s="1"/>
      <c r="BC2740" s="1"/>
      <c r="BD2740" s="1"/>
      <c r="BE2740" s="1"/>
    </row>
    <row x14ac:dyDescent="0.25" r="2741" customHeight="1" ht="18.75">
      <c r="A2741" s="1"/>
      <c r="B2741" s="2"/>
      <c r="C2741" s="2"/>
      <c r="D2741" s="2"/>
      <c r="E2741" s="2"/>
      <c r="F2741" s="2"/>
      <c r="G2741" s="1"/>
      <c r="H2741" s="1"/>
      <c r="I2741" s="7">
        <v>2.738</v>
      </c>
      <c r="J2741" s="7">
        <f>IF((I2741-ROUNDDOWN(I2741,0))=0, 0, (I2741-ROUNDDOWN(I2741,0)))</f>
      </c>
      <c r="K2741" s="7">
        <f>INDIRECT("C$"&amp;2+MIN(2,ROUNDDOWN(I2741,0))*3)*(-$J2741^3+3*$J2741^2-3*$J2741+1)+INDIRECT("C$"&amp;3+MIN(2,ROUNDDOWN(I2741,0))*3)*(3*$J2741^3-6*$J2741^2+3*$J2741)+INDIRECT("C$"&amp;4+MIN(2,ROUNDDOWN(I2741,0))*3)*(-3*$J2741^3+3*$J2741^2)+INDIRECT("C$"&amp;5+MIN(2,ROUNDDOWN(I2741,0))*3)*$J2741^3</f>
      </c>
      <c r="L2741" s="7">
        <f>INDIRECT("D$"&amp;2+MIN(2,ROUNDDOWN(I2741,0))*3)*(-$J2741^3+3*$J2741^2-3*$J2741+1)+INDIRECT("D$"&amp;3+MIN(2,ROUNDDOWN(I2741,0))*3)*(3*$J2741^3-6*$J2741^2+3*$J2741)+INDIRECT("D$"&amp;4+MIN(2,ROUNDDOWN(I2741,0))*3)*(-3*$J2741^3+3*$J2741^2)+INDIRECT("D$"&amp;5+MIN(2,ROUNDDOWN(I2741,0))*3)*$J2741^3</f>
      </c>
      <c r="M2741" s="7">
        <f>SQRT(K2741^2+L2741^2)</f>
      </c>
      <c r="N2741" s="7">
        <f>(K2742-K2740)</f>
      </c>
      <c r="O2741" s="7">
        <f>+(L2742-L2740)</f>
      </c>
      <c r="P2741" s="7">
        <f>SQRT(O2741^2+N2741^2)</f>
      </c>
      <c r="Q2741" s="7">
        <f>N2741/$P2741</f>
      </c>
      <c r="R2741" s="7">
        <f>O2741/$P2741</f>
      </c>
      <c r="S2741" s="8">
        <f>Q2741^2+R2741^2</f>
      </c>
      <c r="T2741" s="7">
        <f>-R2741</f>
      </c>
      <c r="U2741" s="7">
        <f>Q2741</f>
      </c>
      <c r="V2741" s="7">
        <f>($C$14+($C$15-$C$14)/($D$15-$D$14)*(I2741-$D$14))/2</f>
      </c>
      <c r="W2741" s="7">
        <f>($B$22*I2741^4+$C$22*I2741^3+$D$22*I2741^2+$E$22*I2741+$F$22)/2</f>
      </c>
      <c r="X2741" s="7">
        <f>($W2741)*(T2741)</f>
      </c>
      <c r="Y2741" s="7">
        <f>($W2741)*(U2741)</f>
      </c>
      <c r="Z2741" s="7">
        <f>SQRT(X2741^2+Y2741^2)</f>
      </c>
      <c r="AA2741" s="7">
        <f>$K2741+$X2741</f>
      </c>
      <c r="AB2741" s="7">
        <f>$L2741+$Y2741</f>
      </c>
      <c r="AC2741" s="7">
        <f>$K2741-$X2741</f>
      </c>
      <c r="AD2741" s="7">
        <f>$L2741-$Y2741</f>
      </c>
      <c r="AE2741" s="7">
        <f>AA2741/39.3701</f>
      </c>
      <c r="AF2741" s="7">
        <f>AB2741/39.3701</f>
      </c>
      <c r="AG2741" s="7">
        <f>AC2741/39.3701</f>
      </c>
      <c r="AH2741" s="7">
        <f>AD2741/39.3701</f>
      </c>
      <c r="AI2741" s="1"/>
      <c r="AJ2741" s="1"/>
      <c r="AK2741" s="1"/>
      <c r="AL2741" s="1"/>
      <c r="AM2741" s="2"/>
      <c r="AN2741" s="1"/>
      <c r="AO2741" s="1"/>
      <c r="AP2741" s="1"/>
      <c r="AQ2741" s="1"/>
      <c r="AR2741" s="1"/>
      <c r="AS2741" s="1"/>
      <c r="AT2741" s="1"/>
      <c r="AU2741" s="1"/>
      <c r="AV2741" s="1"/>
      <c r="AW2741" s="1"/>
      <c r="AX2741" s="1"/>
      <c r="AY2741" s="1"/>
      <c r="AZ2741" s="1"/>
      <c r="BA2741" s="1"/>
      <c r="BB2741" s="1"/>
      <c r="BC2741" s="1"/>
      <c r="BD2741" s="1"/>
      <c r="BE2741" s="1"/>
    </row>
    <row x14ac:dyDescent="0.25" r="2742" customHeight="1" ht="18.75">
      <c r="A2742" s="1"/>
      <c r="B2742" s="2"/>
      <c r="C2742" s="2"/>
      <c r="D2742" s="2"/>
      <c r="E2742" s="2"/>
      <c r="F2742" s="2"/>
      <c r="G2742" s="1"/>
      <c r="H2742" s="1"/>
      <c r="I2742" s="7">
        <v>2.739</v>
      </c>
      <c r="J2742" s="7">
        <f>IF((I2742-ROUNDDOWN(I2742,0))=0, 0, (I2742-ROUNDDOWN(I2742,0)))</f>
      </c>
      <c r="K2742" s="7">
        <f>INDIRECT("C$"&amp;2+MIN(2,ROUNDDOWN(I2742,0))*3)*(-$J2742^3+3*$J2742^2-3*$J2742+1)+INDIRECT("C$"&amp;3+MIN(2,ROUNDDOWN(I2742,0))*3)*(3*$J2742^3-6*$J2742^2+3*$J2742)+INDIRECT("C$"&amp;4+MIN(2,ROUNDDOWN(I2742,0))*3)*(-3*$J2742^3+3*$J2742^2)+INDIRECT("C$"&amp;5+MIN(2,ROUNDDOWN(I2742,0))*3)*$J2742^3</f>
      </c>
      <c r="L2742" s="7">
        <f>INDIRECT("D$"&amp;2+MIN(2,ROUNDDOWN(I2742,0))*3)*(-$J2742^3+3*$J2742^2-3*$J2742+1)+INDIRECT("D$"&amp;3+MIN(2,ROUNDDOWN(I2742,0))*3)*(3*$J2742^3-6*$J2742^2+3*$J2742)+INDIRECT("D$"&amp;4+MIN(2,ROUNDDOWN(I2742,0))*3)*(-3*$J2742^3+3*$J2742^2)+INDIRECT("D$"&amp;5+MIN(2,ROUNDDOWN(I2742,0))*3)*$J2742^3</f>
      </c>
      <c r="M2742" s="7">
        <f>SQRT(K2742^2+L2742^2)</f>
      </c>
      <c r="N2742" s="7">
        <f>(K2743-K2741)</f>
      </c>
      <c r="O2742" s="7">
        <f>+(L2743-L2741)</f>
      </c>
      <c r="P2742" s="7">
        <f>SQRT(O2742^2+N2742^2)</f>
      </c>
      <c r="Q2742" s="7">
        <f>N2742/$P2742</f>
      </c>
      <c r="R2742" s="7">
        <f>O2742/$P2742</f>
      </c>
      <c r="S2742" s="8">
        <f>Q2742^2+R2742^2</f>
      </c>
      <c r="T2742" s="7">
        <f>-R2742</f>
      </c>
      <c r="U2742" s="7">
        <f>Q2742</f>
      </c>
      <c r="V2742" s="7">
        <f>($C$14+($C$15-$C$14)/($D$15-$D$14)*(I2742-$D$14))/2</f>
      </c>
      <c r="W2742" s="7">
        <f>($B$22*I2742^4+$C$22*I2742^3+$D$22*I2742^2+$E$22*I2742+$F$22)/2</f>
      </c>
      <c r="X2742" s="7">
        <f>($W2742)*(T2742)</f>
      </c>
      <c r="Y2742" s="7">
        <f>($W2742)*(U2742)</f>
      </c>
      <c r="Z2742" s="7">
        <f>SQRT(X2742^2+Y2742^2)</f>
      </c>
      <c r="AA2742" s="7">
        <f>$K2742+$X2742</f>
      </c>
      <c r="AB2742" s="7">
        <f>$L2742+$Y2742</f>
      </c>
      <c r="AC2742" s="7">
        <f>$K2742-$X2742</f>
      </c>
      <c r="AD2742" s="7">
        <f>$L2742-$Y2742</f>
      </c>
      <c r="AE2742" s="7">
        <f>AA2742/39.3701</f>
      </c>
      <c r="AF2742" s="7">
        <f>AB2742/39.3701</f>
      </c>
      <c r="AG2742" s="7">
        <f>AC2742/39.3701</f>
      </c>
      <c r="AH2742" s="7">
        <f>AD2742/39.3701</f>
      </c>
      <c r="AI2742" s="1"/>
      <c r="AJ2742" s="1"/>
      <c r="AK2742" s="1"/>
      <c r="AL2742" s="1"/>
      <c r="AM2742" s="2"/>
      <c r="AN2742" s="1"/>
      <c r="AO2742" s="1"/>
      <c r="AP2742" s="1"/>
      <c r="AQ2742" s="1"/>
      <c r="AR2742" s="1"/>
      <c r="AS2742" s="1"/>
      <c r="AT2742" s="1"/>
      <c r="AU2742" s="1"/>
      <c r="AV2742" s="1"/>
      <c r="AW2742" s="1"/>
      <c r="AX2742" s="1"/>
      <c r="AY2742" s="1"/>
      <c r="AZ2742" s="1"/>
      <c r="BA2742" s="1"/>
      <c r="BB2742" s="1"/>
      <c r="BC2742" s="1"/>
      <c r="BD2742" s="1"/>
      <c r="BE2742" s="1"/>
    </row>
    <row x14ac:dyDescent="0.25" r="2743" customHeight="1" ht="18.75">
      <c r="A2743" s="1"/>
      <c r="B2743" s="2"/>
      <c r="C2743" s="2"/>
      <c r="D2743" s="2"/>
      <c r="E2743" s="2"/>
      <c r="F2743" s="2"/>
      <c r="G2743" s="1"/>
      <c r="H2743" s="1"/>
      <c r="I2743" s="7">
        <v>2.74</v>
      </c>
      <c r="J2743" s="7">
        <f>IF((I2743-ROUNDDOWN(I2743,0))=0, 0, (I2743-ROUNDDOWN(I2743,0)))</f>
      </c>
      <c r="K2743" s="7">
        <f>INDIRECT("C$"&amp;2+MIN(2,ROUNDDOWN(I2743,0))*3)*(-$J2743^3+3*$J2743^2-3*$J2743+1)+INDIRECT("C$"&amp;3+MIN(2,ROUNDDOWN(I2743,0))*3)*(3*$J2743^3-6*$J2743^2+3*$J2743)+INDIRECT("C$"&amp;4+MIN(2,ROUNDDOWN(I2743,0))*3)*(-3*$J2743^3+3*$J2743^2)+INDIRECT("C$"&amp;5+MIN(2,ROUNDDOWN(I2743,0))*3)*$J2743^3</f>
      </c>
      <c r="L2743" s="7">
        <f>INDIRECT("D$"&amp;2+MIN(2,ROUNDDOWN(I2743,0))*3)*(-$J2743^3+3*$J2743^2-3*$J2743+1)+INDIRECT("D$"&amp;3+MIN(2,ROUNDDOWN(I2743,0))*3)*(3*$J2743^3-6*$J2743^2+3*$J2743)+INDIRECT("D$"&amp;4+MIN(2,ROUNDDOWN(I2743,0))*3)*(-3*$J2743^3+3*$J2743^2)+INDIRECT("D$"&amp;5+MIN(2,ROUNDDOWN(I2743,0))*3)*$J2743^3</f>
      </c>
      <c r="M2743" s="7">
        <f>SQRT(K2743^2+L2743^2)</f>
      </c>
      <c r="N2743" s="7">
        <f>(K2744-K2742)</f>
      </c>
      <c r="O2743" s="7">
        <f>+(L2744-L2742)</f>
      </c>
      <c r="P2743" s="7">
        <f>SQRT(O2743^2+N2743^2)</f>
      </c>
      <c r="Q2743" s="7">
        <f>N2743/$P2743</f>
      </c>
      <c r="R2743" s="7">
        <f>O2743/$P2743</f>
      </c>
      <c r="S2743" s="8">
        <f>Q2743^2+R2743^2</f>
      </c>
      <c r="T2743" s="7">
        <f>-R2743</f>
      </c>
      <c r="U2743" s="7">
        <f>Q2743</f>
      </c>
      <c r="V2743" s="7">
        <f>($C$14+($C$15-$C$14)/($D$15-$D$14)*(I2743-$D$14))/2</f>
      </c>
      <c r="W2743" s="7">
        <f>($B$22*I2743^4+$C$22*I2743^3+$D$22*I2743^2+$E$22*I2743+$F$22)/2</f>
      </c>
      <c r="X2743" s="7">
        <f>($W2743)*(T2743)</f>
      </c>
      <c r="Y2743" s="7">
        <f>($W2743)*(U2743)</f>
      </c>
      <c r="Z2743" s="7">
        <f>SQRT(X2743^2+Y2743^2)</f>
      </c>
      <c r="AA2743" s="7">
        <f>$K2743+$X2743</f>
      </c>
      <c r="AB2743" s="7">
        <f>$L2743+$Y2743</f>
      </c>
      <c r="AC2743" s="7">
        <f>$K2743-$X2743</f>
      </c>
      <c r="AD2743" s="7">
        <f>$L2743-$Y2743</f>
      </c>
      <c r="AE2743" s="7">
        <f>AA2743/39.3701</f>
      </c>
      <c r="AF2743" s="7">
        <f>AB2743/39.3701</f>
      </c>
      <c r="AG2743" s="7">
        <f>AC2743/39.3701</f>
      </c>
      <c r="AH2743" s="7">
        <f>AD2743/39.3701</f>
      </c>
      <c r="AI2743" s="1"/>
      <c r="AJ2743" s="1"/>
      <c r="AK2743" s="1"/>
      <c r="AL2743" s="1"/>
      <c r="AM2743" s="2"/>
      <c r="AN2743" s="1"/>
      <c r="AO2743" s="1"/>
      <c r="AP2743" s="1"/>
      <c r="AQ2743" s="1"/>
      <c r="AR2743" s="1"/>
      <c r="AS2743" s="1"/>
      <c r="AT2743" s="1"/>
      <c r="AU2743" s="1"/>
      <c r="AV2743" s="1"/>
      <c r="AW2743" s="1"/>
      <c r="AX2743" s="1"/>
      <c r="AY2743" s="1"/>
      <c r="AZ2743" s="1"/>
      <c r="BA2743" s="1"/>
      <c r="BB2743" s="1"/>
      <c r="BC2743" s="1"/>
      <c r="BD2743" s="1"/>
      <c r="BE2743" s="1"/>
    </row>
    <row x14ac:dyDescent="0.25" r="2744" customHeight="1" ht="18.75">
      <c r="A2744" s="1"/>
      <c r="B2744" s="2"/>
      <c r="C2744" s="2"/>
      <c r="D2744" s="2"/>
      <c r="E2744" s="2"/>
      <c r="F2744" s="2"/>
      <c r="G2744" s="1"/>
      <c r="H2744" s="1"/>
      <c r="I2744" s="7">
        <v>2.741</v>
      </c>
      <c r="J2744" s="7">
        <f>IF((I2744-ROUNDDOWN(I2744,0))=0, 0, (I2744-ROUNDDOWN(I2744,0)))</f>
      </c>
      <c r="K2744" s="7">
        <f>INDIRECT("C$"&amp;2+MIN(2,ROUNDDOWN(I2744,0))*3)*(-$J2744^3+3*$J2744^2-3*$J2744+1)+INDIRECT("C$"&amp;3+MIN(2,ROUNDDOWN(I2744,0))*3)*(3*$J2744^3-6*$J2744^2+3*$J2744)+INDIRECT("C$"&amp;4+MIN(2,ROUNDDOWN(I2744,0))*3)*(-3*$J2744^3+3*$J2744^2)+INDIRECT("C$"&amp;5+MIN(2,ROUNDDOWN(I2744,0))*3)*$J2744^3</f>
      </c>
      <c r="L2744" s="7">
        <f>INDIRECT("D$"&amp;2+MIN(2,ROUNDDOWN(I2744,0))*3)*(-$J2744^3+3*$J2744^2-3*$J2744+1)+INDIRECT("D$"&amp;3+MIN(2,ROUNDDOWN(I2744,0))*3)*(3*$J2744^3-6*$J2744^2+3*$J2744)+INDIRECT("D$"&amp;4+MIN(2,ROUNDDOWN(I2744,0))*3)*(-3*$J2744^3+3*$J2744^2)+INDIRECT("D$"&amp;5+MIN(2,ROUNDDOWN(I2744,0))*3)*$J2744^3</f>
      </c>
      <c r="M2744" s="7">
        <f>SQRT(K2744^2+L2744^2)</f>
      </c>
      <c r="N2744" s="7">
        <f>(K2745-K2743)</f>
      </c>
      <c r="O2744" s="7">
        <f>+(L2745-L2743)</f>
      </c>
      <c r="P2744" s="7">
        <f>SQRT(O2744^2+N2744^2)</f>
      </c>
      <c r="Q2744" s="7">
        <f>N2744/$P2744</f>
      </c>
      <c r="R2744" s="7">
        <f>O2744/$P2744</f>
      </c>
      <c r="S2744" s="8">
        <f>Q2744^2+R2744^2</f>
      </c>
      <c r="T2744" s="7">
        <f>-R2744</f>
      </c>
      <c r="U2744" s="7">
        <f>Q2744</f>
      </c>
      <c r="V2744" s="7">
        <f>($C$14+($C$15-$C$14)/($D$15-$D$14)*(I2744-$D$14))/2</f>
      </c>
      <c r="W2744" s="7">
        <f>($B$22*I2744^4+$C$22*I2744^3+$D$22*I2744^2+$E$22*I2744+$F$22)/2</f>
      </c>
      <c r="X2744" s="7">
        <f>($W2744)*(T2744)</f>
      </c>
      <c r="Y2744" s="7">
        <f>($W2744)*(U2744)</f>
      </c>
      <c r="Z2744" s="7">
        <f>SQRT(X2744^2+Y2744^2)</f>
      </c>
      <c r="AA2744" s="7">
        <f>$K2744+$X2744</f>
      </c>
      <c r="AB2744" s="7">
        <f>$L2744+$Y2744</f>
      </c>
      <c r="AC2744" s="7">
        <f>$K2744-$X2744</f>
      </c>
      <c r="AD2744" s="7">
        <f>$L2744-$Y2744</f>
      </c>
      <c r="AE2744" s="7">
        <f>AA2744/39.3701</f>
      </c>
      <c r="AF2744" s="7">
        <f>AB2744/39.3701</f>
      </c>
      <c r="AG2744" s="7">
        <f>AC2744/39.3701</f>
      </c>
      <c r="AH2744" s="7">
        <f>AD2744/39.3701</f>
      </c>
      <c r="AI2744" s="1"/>
      <c r="AJ2744" s="1"/>
      <c r="AK2744" s="1"/>
      <c r="AL2744" s="1"/>
      <c r="AM2744" s="2"/>
      <c r="AN2744" s="1"/>
      <c r="AO2744" s="1"/>
      <c r="AP2744" s="1"/>
      <c r="AQ2744" s="1"/>
      <c r="AR2744" s="1"/>
      <c r="AS2744" s="1"/>
      <c r="AT2744" s="1"/>
      <c r="AU2744" s="1"/>
      <c r="AV2744" s="1"/>
      <c r="AW2744" s="1"/>
      <c r="AX2744" s="1"/>
      <c r="AY2744" s="1"/>
      <c r="AZ2744" s="1"/>
      <c r="BA2744" s="1"/>
      <c r="BB2744" s="1"/>
      <c r="BC2744" s="1"/>
      <c r="BD2744" s="1"/>
      <c r="BE2744" s="1"/>
    </row>
    <row x14ac:dyDescent="0.25" r="2745" customHeight="1" ht="18.75">
      <c r="A2745" s="1"/>
      <c r="B2745" s="2"/>
      <c r="C2745" s="2"/>
      <c r="D2745" s="2"/>
      <c r="E2745" s="2"/>
      <c r="F2745" s="2"/>
      <c r="G2745" s="1"/>
      <c r="H2745" s="1"/>
      <c r="I2745" s="7">
        <v>2.742</v>
      </c>
      <c r="J2745" s="7">
        <f>IF((I2745-ROUNDDOWN(I2745,0))=0, 0, (I2745-ROUNDDOWN(I2745,0)))</f>
      </c>
      <c r="K2745" s="7">
        <f>INDIRECT("C$"&amp;2+MIN(2,ROUNDDOWN(I2745,0))*3)*(-$J2745^3+3*$J2745^2-3*$J2745+1)+INDIRECT("C$"&amp;3+MIN(2,ROUNDDOWN(I2745,0))*3)*(3*$J2745^3-6*$J2745^2+3*$J2745)+INDIRECT("C$"&amp;4+MIN(2,ROUNDDOWN(I2745,0))*3)*(-3*$J2745^3+3*$J2745^2)+INDIRECT("C$"&amp;5+MIN(2,ROUNDDOWN(I2745,0))*3)*$J2745^3</f>
      </c>
      <c r="L2745" s="7">
        <f>INDIRECT("D$"&amp;2+MIN(2,ROUNDDOWN(I2745,0))*3)*(-$J2745^3+3*$J2745^2-3*$J2745+1)+INDIRECT("D$"&amp;3+MIN(2,ROUNDDOWN(I2745,0))*3)*(3*$J2745^3-6*$J2745^2+3*$J2745)+INDIRECT("D$"&amp;4+MIN(2,ROUNDDOWN(I2745,0))*3)*(-3*$J2745^3+3*$J2745^2)+INDIRECT("D$"&amp;5+MIN(2,ROUNDDOWN(I2745,0))*3)*$J2745^3</f>
      </c>
      <c r="M2745" s="7">
        <f>SQRT(K2745^2+L2745^2)</f>
      </c>
      <c r="N2745" s="7">
        <f>(K2746-K2744)</f>
      </c>
      <c r="O2745" s="7">
        <f>+(L2746-L2744)</f>
      </c>
      <c r="P2745" s="7">
        <f>SQRT(O2745^2+N2745^2)</f>
      </c>
      <c r="Q2745" s="7">
        <f>N2745/$P2745</f>
      </c>
      <c r="R2745" s="7">
        <f>O2745/$P2745</f>
      </c>
      <c r="S2745" s="7">
        <f>Q2745^2+R2745^2</f>
      </c>
      <c r="T2745" s="7">
        <f>-R2745</f>
      </c>
      <c r="U2745" s="7">
        <f>Q2745</f>
      </c>
      <c r="V2745" s="7">
        <f>($C$14+($C$15-$C$14)/($D$15-$D$14)*(I2745-$D$14))/2</f>
      </c>
      <c r="W2745" s="7">
        <f>($B$22*I2745^4+$C$22*I2745^3+$D$22*I2745^2+$E$22*I2745+$F$22)/2</f>
      </c>
      <c r="X2745" s="7">
        <f>($W2745)*(T2745)</f>
      </c>
      <c r="Y2745" s="7">
        <f>($W2745)*(U2745)</f>
      </c>
      <c r="Z2745" s="7">
        <f>SQRT(X2745^2+Y2745^2)</f>
      </c>
      <c r="AA2745" s="7">
        <f>$K2745+$X2745</f>
      </c>
      <c r="AB2745" s="7">
        <f>$L2745+$Y2745</f>
      </c>
      <c r="AC2745" s="7">
        <f>$K2745-$X2745</f>
      </c>
      <c r="AD2745" s="7">
        <f>$L2745-$Y2745</f>
      </c>
      <c r="AE2745" s="7">
        <f>AA2745/39.3701</f>
      </c>
      <c r="AF2745" s="7">
        <f>AB2745/39.3701</f>
      </c>
      <c r="AG2745" s="7">
        <f>AC2745/39.3701</f>
      </c>
      <c r="AH2745" s="7">
        <f>AD2745/39.3701</f>
      </c>
      <c r="AI2745" s="1"/>
      <c r="AJ2745" s="1"/>
      <c r="AK2745" s="1"/>
      <c r="AL2745" s="1"/>
      <c r="AM2745" s="2"/>
      <c r="AN2745" s="1"/>
      <c r="AO2745" s="1"/>
      <c r="AP2745" s="1"/>
      <c r="AQ2745" s="1"/>
      <c r="AR2745" s="1"/>
      <c r="AS2745" s="1"/>
      <c r="AT2745" s="1"/>
      <c r="AU2745" s="1"/>
      <c r="AV2745" s="1"/>
      <c r="AW2745" s="1"/>
      <c r="AX2745" s="1"/>
      <c r="AY2745" s="1"/>
      <c r="AZ2745" s="1"/>
      <c r="BA2745" s="1"/>
      <c r="BB2745" s="1"/>
      <c r="BC2745" s="1"/>
      <c r="BD2745" s="1"/>
      <c r="BE2745" s="1"/>
    </row>
    <row x14ac:dyDescent="0.25" r="2746" customHeight="1" ht="18.75">
      <c r="A2746" s="1"/>
      <c r="B2746" s="2"/>
      <c r="C2746" s="2"/>
      <c r="D2746" s="2"/>
      <c r="E2746" s="2"/>
      <c r="F2746" s="2"/>
      <c r="G2746" s="1"/>
      <c r="H2746" s="1"/>
      <c r="I2746" s="7">
        <v>2.743</v>
      </c>
      <c r="J2746" s="7">
        <f>IF((I2746-ROUNDDOWN(I2746,0))=0, 0, (I2746-ROUNDDOWN(I2746,0)))</f>
      </c>
      <c r="K2746" s="7">
        <f>INDIRECT("C$"&amp;2+MIN(2,ROUNDDOWN(I2746,0))*3)*(-$J2746^3+3*$J2746^2-3*$J2746+1)+INDIRECT("C$"&amp;3+MIN(2,ROUNDDOWN(I2746,0))*3)*(3*$J2746^3-6*$J2746^2+3*$J2746)+INDIRECT("C$"&amp;4+MIN(2,ROUNDDOWN(I2746,0))*3)*(-3*$J2746^3+3*$J2746^2)+INDIRECT("C$"&amp;5+MIN(2,ROUNDDOWN(I2746,0))*3)*$J2746^3</f>
      </c>
      <c r="L2746" s="7">
        <f>INDIRECT("D$"&amp;2+MIN(2,ROUNDDOWN(I2746,0))*3)*(-$J2746^3+3*$J2746^2-3*$J2746+1)+INDIRECT("D$"&amp;3+MIN(2,ROUNDDOWN(I2746,0))*3)*(3*$J2746^3-6*$J2746^2+3*$J2746)+INDIRECT("D$"&amp;4+MIN(2,ROUNDDOWN(I2746,0))*3)*(-3*$J2746^3+3*$J2746^2)+INDIRECT("D$"&amp;5+MIN(2,ROUNDDOWN(I2746,0))*3)*$J2746^3</f>
      </c>
      <c r="M2746" s="7">
        <f>SQRT(K2746^2+L2746^2)</f>
      </c>
      <c r="N2746" s="7">
        <f>(K2747-K2745)</f>
      </c>
      <c r="O2746" s="7">
        <f>+(L2747-L2745)</f>
      </c>
      <c r="P2746" s="7">
        <f>SQRT(O2746^2+N2746^2)</f>
      </c>
      <c r="Q2746" s="7">
        <f>N2746/$P2746</f>
      </c>
      <c r="R2746" s="7">
        <f>O2746/$P2746</f>
      </c>
      <c r="S2746" s="8">
        <f>Q2746^2+R2746^2</f>
      </c>
      <c r="T2746" s="7">
        <f>-R2746</f>
      </c>
      <c r="U2746" s="7">
        <f>Q2746</f>
      </c>
      <c r="V2746" s="7">
        <f>($C$14+($C$15-$C$14)/($D$15-$D$14)*(I2746-$D$14))/2</f>
      </c>
      <c r="W2746" s="7">
        <f>($B$22*I2746^4+$C$22*I2746^3+$D$22*I2746^2+$E$22*I2746+$F$22)/2</f>
      </c>
      <c r="X2746" s="7">
        <f>($W2746)*(T2746)</f>
      </c>
      <c r="Y2746" s="7">
        <f>($W2746)*(U2746)</f>
      </c>
      <c r="Z2746" s="7">
        <f>SQRT(X2746^2+Y2746^2)</f>
      </c>
      <c r="AA2746" s="7">
        <f>$K2746+$X2746</f>
      </c>
      <c r="AB2746" s="7">
        <f>$L2746+$Y2746</f>
      </c>
      <c r="AC2746" s="7">
        <f>$K2746-$X2746</f>
      </c>
      <c r="AD2746" s="7">
        <f>$L2746-$Y2746</f>
      </c>
      <c r="AE2746" s="7">
        <f>AA2746/39.3701</f>
      </c>
      <c r="AF2746" s="7">
        <f>AB2746/39.3701</f>
      </c>
      <c r="AG2746" s="7">
        <f>AC2746/39.3701</f>
      </c>
      <c r="AH2746" s="7">
        <f>AD2746/39.3701</f>
      </c>
      <c r="AI2746" s="1"/>
      <c r="AJ2746" s="1"/>
      <c r="AK2746" s="1"/>
      <c r="AL2746" s="1"/>
      <c r="AM2746" s="2"/>
      <c r="AN2746" s="1"/>
      <c r="AO2746" s="1"/>
      <c r="AP2746" s="1"/>
      <c r="AQ2746" s="1"/>
      <c r="AR2746" s="1"/>
      <c r="AS2746" s="1"/>
      <c r="AT2746" s="1"/>
      <c r="AU2746" s="1"/>
      <c r="AV2746" s="1"/>
      <c r="AW2746" s="1"/>
      <c r="AX2746" s="1"/>
      <c r="AY2746" s="1"/>
      <c r="AZ2746" s="1"/>
      <c r="BA2746" s="1"/>
      <c r="BB2746" s="1"/>
      <c r="BC2746" s="1"/>
      <c r="BD2746" s="1"/>
      <c r="BE2746" s="1"/>
    </row>
    <row x14ac:dyDescent="0.25" r="2747" customHeight="1" ht="18.75">
      <c r="A2747" s="1"/>
      <c r="B2747" s="2"/>
      <c r="C2747" s="2"/>
      <c r="D2747" s="2"/>
      <c r="E2747" s="2"/>
      <c r="F2747" s="2"/>
      <c r="G2747" s="1"/>
      <c r="H2747" s="1"/>
      <c r="I2747" s="7">
        <v>2.744</v>
      </c>
      <c r="J2747" s="7">
        <f>IF((I2747-ROUNDDOWN(I2747,0))=0, 0, (I2747-ROUNDDOWN(I2747,0)))</f>
      </c>
      <c r="K2747" s="7">
        <f>INDIRECT("C$"&amp;2+MIN(2,ROUNDDOWN(I2747,0))*3)*(-$J2747^3+3*$J2747^2-3*$J2747+1)+INDIRECT("C$"&amp;3+MIN(2,ROUNDDOWN(I2747,0))*3)*(3*$J2747^3-6*$J2747^2+3*$J2747)+INDIRECT("C$"&amp;4+MIN(2,ROUNDDOWN(I2747,0))*3)*(-3*$J2747^3+3*$J2747^2)+INDIRECT("C$"&amp;5+MIN(2,ROUNDDOWN(I2747,0))*3)*$J2747^3</f>
      </c>
      <c r="L2747" s="7">
        <f>INDIRECT("D$"&amp;2+MIN(2,ROUNDDOWN(I2747,0))*3)*(-$J2747^3+3*$J2747^2-3*$J2747+1)+INDIRECT("D$"&amp;3+MIN(2,ROUNDDOWN(I2747,0))*3)*(3*$J2747^3-6*$J2747^2+3*$J2747)+INDIRECT("D$"&amp;4+MIN(2,ROUNDDOWN(I2747,0))*3)*(-3*$J2747^3+3*$J2747^2)+INDIRECT("D$"&amp;5+MIN(2,ROUNDDOWN(I2747,0))*3)*$J2747^3</f>
      </c>
      <c r="M2747" s="7">
        <f>SQRT(K2747^2+L2747^2)</f>
      </c>
      <c r="N2747" s="7">
        <f>(K2748-K2746)</f>
      </c>
      <c r="O2747" s="7">
        <f>+(L2748-L2746)</f>
      </c>
      <c r="P2747" s="7">
        <f>SQRT(O2747^2+N2747^2)</f>
      </c>
      <c r="Q2747" s="7">
        <f>N2747/$P2747</f>
      </c>
      <c r="R2747" s="7">
        <f>O2747/$P2747</f>
      </c>
      <c r="S2747" s="8">
        <f>Q2747^2+R2747^2</f>
      </c>
      <c r="T2747" s="7">
        <f>-R2747</f>
      </c>
      <c r="U2747" s="7">
        <f>Q2747</f>
      </c>
      <c r="V2747" s="7">
        <f>($C$14+($C$15-$C$14)/($D$15-$D$14)*(I2747-$D$14))/2</f>
      </c>
      <c r="W2747" s="7">
        <f>($B$22*I2747^4+$C$22*I2747^3+$D$22*I2747^2+$E$22*I2747+$F$22)/2</f>
      </c>
      <c r="X2747" s="7">
        <f>($W2747)*(T2747)</f>
      </c>
      <c r="Y2747" s="7">
        <f>($W2747)*(U2747)</f>
      </c>
      <c r="Z2747" s="7">
        <f>SQRT(X2747^2+Y2747^2)</f>
      </c>
      <c r="AA2747" s="7">
        <f>$K2747+$X2747</f>
      </c>
      <c r="AB2747" s="7">
        <f>$L2747+$Y2747</f>
      </c>
      <c r="AC2747" s="7">
        <f>$K2747-$X2747</f>
      </c>
      <c r="AD2747" s="7">
        <f>$L2747-$Y2747</f>
      </c>
      <c r="AE2747" s="7">
        <f>AA2747/39.3701</f>
      </c>
      <c r="AF2747" s="7">
        <f>AB2747/39.3701</f>
      </c>
      <c r="AG2747" s="7">
        <f>AC2747/39.3701</f>
      </c>
      <c r="AH2747" s="7">
        <f>AD2747/39.3701</f>
      </c>
      <c r="AI2747" s="1"/>
      <c r="AJ2747" s="1"/>
      <c r="AK2747" s="1"/>
      <c r="AL2747" s="1"/>
      <c r="AM2747" s="2"/>
      <c r="AN2747" s="1"/>
      <c r="AO2747" s="1"/>
      <c r="AP2747" s="1"/>
      <c r="AQ2747" s="1"/>
      <c r="AR2747" s="1"/>
      <c r="AS2747" s="1"/>
      <c r="AT2747" s="1"/>
      <c r="AU2747" s="1"/>
      <c r="AV2747" s="1"/>
      <c r="AW2747" s="1"/>
      <c r="AX2747" s="1"/>
      <c r="AY2747" s="1"/>
      <c r="AZ2747" s="1"/>
      <c r="BA2747" s="1"/>
      <c r="BB2747" s="1"/>
      <c r="BC2747" s="1"/>
      <c r="BD2747" s="1"/>
      <c r="BE2747" s="1"/>
    </row>
    <row x14ac:dyDescent="0.25" r="2748" customHeight="1" ht="18.75">
      <c r="A2748" s="1"/>
      <c r="B2748" s="2"/>
      <c r="C2748" s="2"/>
      <c r="D2748" s="2"/>
      <c r="E2748" s="2"/>
      <c r="F2748" s="2"/>
      <c r="G2748" s="1"/>
      <c r="H2748" s="1"/>
      <c r="I2748" s="7">
        <v>2.745</v>
      </c>
      <c r="J2748" s="7">
        <f>IF((I2748-ROUNDDOWN(I2748,0))=0, 0, (I2748-ROUNDDOWN(I2748,0)))</f>
      </c>
      <c r="K2748" s="7">
        <f>INDIRECT("C$"&amp;2+MIN(2,ROUNDDOWN(I2748,0))*3)*(-$J2748^3+3*$J2748^2-3*$J2748+1)+INDIRECT("C$"&amp;3+MIN(2,ROUNDDOWN(I2748,0))*3)*(3*$J2748^3-6*$J2748^2+3*$J2748)+INDIRECT("C$"&amp;4+MIN(2,ROUNDDOWN(I2748,0))*3)*(-3*$J2748^3+3*$J2748^2)+INDIRECT("C$"&amp;5+MIN(2,ROUNDDOWN(I2748,0))*3)*$J2748^3</f>
      </c>
      <c r="L2748" s="7">
        <f>INDIRECT("D$"&amp;2+MIN(2,ROUNDDOWN(I2748,0))*3)*(-$J2748^3+3*$J2748^2-3*$J2748+1)+INDIRECT("D$"&amp;3+MIN(2,ROUNDDOWN(I2748,0))*3)*(3*$J2748^3-6*$J2748^2+3*$J2748)+INDIRECT("D$"&amp;4+MIN(2,ROUNDDOWN(I2748,0))*3)*(-3*$J2748^3+3*$J2748^2)+INDIRECT("D$"&amp;5+MIN(2,ROUNDDOWN(I2748,0))*3)*$J2748^3</f>
      </c>
      <c r="M2748" s="7">
        <f>SQRT(K2748^2+L2748^2)</f>
      </c>
      <c r="N2748" s="7">
        <f>(K2749-K2747)</f>
      </c>
      <c r="O2748" s="7">
        <f>+(L2749-L2747)</f>
      </c>
      <c r="P2748" s="7">
        <f>SQRT(O2748^2+N2748^2)</f>
      </c>
      <c r="Q2748" s="7">
        <f>N2748/$P2748</f>
      </c>
      <c r="R2748" s="7">
        <f>O2748/$P2748</f>
      </c>
      <c r="S2748" s="7">
        <f>Q2748^2+R2748^2</f>
      </c>
      <c r="T2748" s="7">
        <f>-R2748</f>
      </c>
      <c r="U2748" s="7">
        <f>Q2748</f>
      </c>
      <c r="V2748" s="7">
        <f>($C$14+($C$15-$C$14)/($D$15-$D$14)*(I2748-$D$14))/2</f>
      </c>
      <c r="W2748" s="7">
        <f>($B$22*I2748^4+$C$22*I2748^3+$D$22*I2748^2+$E$22*I2748+$F$22)/2</f>
      </c>
      <c r="X2748" s="7">
        <f>($W2748)*(T2748)</f>
      </c>
      <c r="Y2748" s="7">
        <f>($W2748)*(U2748)</f>
      </c>
      <c r="Z2748" s="7">
        <f>SQRT(X2748^2+Y2748^2)</f>
      </c>
      <c r="AA2748" s="7">
        <f>$K2748+$X2748</f>
      </c>
      <c r="AB2748" s="7">
        <f>$L2748+$Y2748</f>
      </c>
      <c r="AC2748" s="7">
        <f>$K2748-$X2748</f>
      </c>
      <c r="AD2748" s="7">
        <f>$L2748-$Y2748</f>
      </c>
      <c r="AE2748" s="7">
        <f>AA2748/39.3701</f>
      </c>
      <c r="AF2748" s="7">
        <f>AB2748/39.3701</f>
      </c>
      <c r="AG2748" s="7">
        <f>AC2748/39.3701</f>
      </c>
      <c r="AH2748" s="7">
        <f>AD2748/39.3701</f>
      </c>
      <c r="AI2748" s="1"/>
      <c r="AJ2748" s="1"/>
      <c r="AK2748" s="1"/>
      <c r="AL2748" s="1"/>
      <c r="AM2748" s="2"/>
      <c r="AN2748" s="1"/>
      <c r="AO2748" s="1"/>
      <c r="AP2748" s="1"/>
      <c r="AQ2748" s="1"/>
      <c r="AR2748" s="1"/>
      <c r="AS2748" s="1"/>
      <c r="AT2748" s="1"/>
      <c r="AU2748" s="1"/>
      <c r="AV2748" s="1"/>
      <c r="AW2748" s="1"/>
      <c r="AX2748" s="1"/>
      <c r="AY2748" s="1"/>
      <c r="AZ2748" s="1"/>
      <c r="BA2748" s="1"/>
      <c r="BB2748" s="1"/>
      <c r="BC2748" s="1"/>
      <c r="BD2748" s="1"/>
      <c r="BE2748" s="1"/>
    </row>
    <row x14ac:dyDescent="0.25" r="2749" customHeight="1" ht="18.75">
      <c r="A2749" s="1"/>
      <c r="B2749" s="2"/>
      <c r="C2749" s="2"/>
      <c r="D2749" s="2"/>
      <c r="E2749" s="2"/>
      <c r="F2749" s="2"/>
      <c r="G2749" s="1"/>
      <c r="H2749" s="1"/>
      <c r="I2749" s="7">
        <v>2.746</v>
      </c>
      <c r="J2749" s="7">
        <f>IF((I2749-ROUNDDOWN(I2749,0))=0, 0, (I2749-ROUNDDOWN(I2749,0)))</f>
      </c>
      <c r="K2749" s="7">
        <f>INDIRECT("C$"&amp;2+MIN(2,ROUNDDOWN(I2749,0))*3)*(-$J2749^3+3*$J2749^2-3*$J2749+1)+INDIRECT("C$"&amp;3+MIN(2,ROUNDDOWN(I2749,0))*3)*(3*$J2749^3-6*$J2749^2+3*$J2749)+INDIRECT("C$"&amp;4+MIN(2,ROUNDDOWN(I2749,0))*3)*(-3*$J2749^3+3*$J2749^2)+INDIRECT("C$"&amp;5+MIN(2,ROUNDDOWN(I2749,0))*3)*$J2749^3</f>
      </c>
      <c r="L2749" s="7">
        <f>INDIRECT("D$"&amp;2+MIN(2,ROUNDDOWN(I2749,0))*3)*(-$J2749^3+3*$J2749^2-3*$J2749+1)+INDIRECT("D$"&amp;3+MIN(2,ROUNDDOWN(I2749,0))*3)*(3*$J2749^3-6*$J2749^2+3*$J2749)+INDIRECT("D$"&amp;4+MIN(2,ROUNDDOWN(I2749,0))*3)*(-3*$J2749^3+3*$J2749^2)+INDIRECT("D$"&amp;5+MIN(2,ROUNDDOWN(I2749,0))*3)*$J2749^3</f>
      </c>
      <c r="M2749" s="7">
        <f>SQRT(K2749^2+L2749^2)</f>
      </c>
      <c r="N2749" s="7">
        <f>(K2750-K2748)</f>
      </c>
      <c r="O2749" s="7">
        <f>+(L2750-L2748)</f>
      </c>
      <c r="P2749" s="7">
        <f>SQRT(O2749^2+N2749^2)</f>
      </c>
      <c r="Q2749" s="7">
        <f>N2749/$P2749</f>
      </c>
      <c r="R2749" s="7">
        <f>O2749/$P2749</f>
      </c>
      <c r="S2749" s="7">
        <f>Q2749^2+R2749^2</f>
      </c>
      <c r="T2749" s="7">
        <f>-R2749</f>
      </c>
      <c r="U2749" s="7">
        <f>Q2749</f>
      </c>
      <c r="V2749" s="7">
        <f>($C$14+($C$15-$C$14)/($D$15-$D$14)*(I2749-$D$14))/2</f>
      </c>
      <c r="W2749" s="7">
        <f>($B$22*I2749^4+$C$22*I2749^3+$D$22*I2749^2+$E$22*I2749+$F$22)/2</f>
      </c>
      <c r="X2749" s="7">
        <f>($W2749)*(T2749)</f>
      </c>
      <c r="Y2749" s="7">
        <f>($W2749)*(U2749)</f>
      </c>
      <c r="Z2749" s="7">
        <f>SQRT(X2749^2+Y2749^2)</f>
      </c>
      <c r="AA2749" s="7">
        <f>$K2749+$X2749</f>
      </c>
      <c r="AB2749" s="7">
        <f>$L2749+$Y2749</f>
      </c>
      <c r="AC2749" s="7">
        <f>$K2749-$X2749</f>
      </c>
      <c r="AD2749" s="7">
        <f>$L2749-$Y2749</f>
      </c>
      <c r="AE2749" s="7">
        <f>AA2749/39.3701</f>
      </c>
      <c r="AF2749" s="7">
        <f>AB2749/39.3701</f>
      </c>
      <c r="AG2749" s="7">
        <f>AC2749/39.3701</f>
      </c>
      <c r="AH2749" s="7">
        <f>AD2749/39.3701</f>
      </c>
      <c r="AI2749" s="1"/>
      <c r="AJ2749" s="1"/>
      <c r="AK2749" s="1"/>
      <c r="AL2749" s="1"/>
      <c r="AM2749" s="2"/>
      <c r="AN2749" s="1"/>
      <c r="AO2749" s="1"/>
      <c r="AP2749" s="1"/>
      <c r="AQ2749" s="1"/>
      <c r="AR2749" s="1"/>
      <c r="AS2749" s="1"/>
      <c r="AT2749" s="1"/>
      <c r="AU2749" s="1"/>
      <c r="AV2749" s="1"/>
      <c r="AW2749" s="1"/>
      <c r="AX2749" s="1"/>
      <c r="AY2749" s="1"/>
      <c r="AZ2749" s="1"/>
      <c r="BA2749" s="1"/>
      <c r="BB2749" s="1"/>
      <c r="BC2749" s="1"/>
      <c r="BD2749" s="1"/>
      <c r="BE2749" s="1"/>
    </row>
    <row x14ac:dyDescent="0.25" r="2750" customHeight="1" ht="18.75">
      <c r="A2750" s="1"/>
      <c r="B2750" s="2"/>
      <c r="C2750" s="2"/>
      <c r="D2750" s="2"/>
      <c r="E2750" s="2"/>
      <c r="F2750" s="2"/>
      <c r="G2750" s="1"/>
      <c r="H2750" s="1"/>
      <c r="I2750" s="7">
        <v>2.747</v>
      </c>
      <c r="J2750" s="7">
        <f>IF((I2750-ROUNDDOWN(I2750,0))=0, 0, (I2750-ROUNDDOWN(I2750,0)))</f>
      </c>
      <c r="K2750" s="7">
        <f>INDIRECT("C$"&amp;2+MIN(2,ROUNDDOWN(I2750,0))*3)*(-$J2750^3+3*$J2750^2-3*$J2750+1)+INDIRECT("C$"&amp;3+MIN(2,ROUNDDOWN(I2750,0))*3)*(3*$J2750^3-6*$J2750^2+3*$J2750)+INDIRECT("C$"&amp;4+MIN(2,ROUNDDOWN(I2750,0))*3)*(-3*$J2750^3+3*$J2750^2)+INDIRECT("C$"&amp;5+MIN(2,ROUNDDOWN(I2750,0))*3)*$J2750^3</f>
      </c>
      <c r="L2750" s="7">
        <f>INDIRECT("D$"&amp;2+MIN(2,ROUNDDOWN(I2750,0))*3)*(-$J2750^3+3*$J2750^2-3*$J2750+1)+INDIRECT("D$"&amp;3+MIN(2,ROUNDDOWN(I2750,0))*3)*(3*$J2750^3-6*$J2750^2+3*$J2750)+INDIRECT("D$"&amp;4+MIN(2,ROUNDDOWN(I2750,0))*3)*(-3*$J2750^3+3*$J2750^2)+INDIRECT("D$"&amp;5+MIN(2,ROUNDDOWN(I2750,0))*3)*$J2750^3</f>
      </c>
      <c r="M2750" s="7">
        <f>SQRT(K2750^2+L2750^2)</f>
      </c>
      <c r="N2750" s="7">
        <f>(K2751-K2749)</f>
      </c>
      <c r="O2750" s="7">
        <f>+(L2751-L2749)</f>
      </c>
      <c r="P2750" s="7">
        <f>SQRT(O2750^2+N2750^2)</f>
      </c>
      <c r="Q2750" s="7">
        <f>N2750/$P2750</f>
      </c>
      <c r="R2750" s="7">
        <f>O2750/$P2750</f>
      </c>
      <c r="S2750" s="7">
        <f>Q2750^2+R2750^2</f>
      </c>
      <c r="T2750" s="7">
        <f>-R2750</f>
      </c>
      <c r="U2750" s="7">
        <f>Q2750</f>
      </c>
      <c r="V2750" s="7">
        <f>($C$14+($C$15-$C$14)/($D$15-$D$14)*(I2750-$D$14))/2</f>
      </c>
      <c r="W2750" s="7">
        <f>($B$22*I2750^4+$C$22*I2750^3+$D$22*I2750^2+$E$22*I2750+$F$22)/2</f>
      </c>
      <c r="X2750" s="7">
        <f>($W2750)*(T2750)</f>
      </c>
      <c r="Y2750" s="7">
        <f>($W2750)*(U2750)</f>
      </c>
      <c r="Z2750" s="7">
        <f>SQRT(X2750^2+Y2750^2)</f>
      </c>
      <c r="AA2750" s="7">
        <f>$K2750+$X2750</f>
      </c>
      <c r="AB2750" s="7">
        <f>$L2750+$Y2750</f>
      </c>
      <c r="AC2750" s="7">
        <f>$K2750-$X2750</f>
      </c>
      <c r="AD2750" s="7">
        <f>$L2750-$Y2750</f>
      </c>
      <c r="AE2750" s="7">
        <f>AA2750/39.3701</f>
      </c>
      <c r="AF2750" s="7">
        <f>AB2750/39.3701</f>
      </c>
      <c r="AG2750" s="7">
        <f>AC2750/39.3701</f>
      </c>
      <c r="AH2750" s="7">
        <f>AD2750/39.3701</f>
      </c>
      <c r="AI2750" s="1"/>
      <c r="AJ2750" s="1"/>
      <c r="AK2750" s="1"/>
      <c r="AL2750" s="1"/>
      <c r="AM2750" s="2"/>
      <c r="AN2750" s="1"/>
      <c r="AO2750" s="1"/>
      <c r="AP2750" s="1"/>
      <c r="AQ2750" s="1"/>
      <c r="AR2750" s="1"/>
      <c r="AS2750" s="1"/>
      <c r="AT2750" s="1"/>
      <c r="AU2750" s="1"/>
      <c r="AV2750" s="1"/>
      <c r="AW2750" s="1"/>
      <c r="AX2750" s="1"/>
      <c r="AY2750" s="1"/>
      <c r="AZ2750" s="1"/>
      <c r="BA2750" s="1"/>
      <c r="BB2750" s="1"/>
      <c r="BC2750" s="1"/>
      <c r="BD2750" s="1"/>
      <c r="BE2750" s="1"/>
    </row>
    <row x14ac:dyDescent="0.25" r="2751" customHeight="1" ht="18.75">
      <c r="A2751" s="1"/>
      <c r="B2751" s="2"/>
      <c r="C2751" s="2"/>
      <c r="D2751" s="2"/>
      <c r="E2751" s="2"/>
      <c r="F2751" s="2"/>
      <c r="G2751" s="1"/>
      <c r="H2751" s="1"/>
      <c r="I2751" s="7">
        <v>2.748</v>
      </c>
      <c r="J2751" s="7">
        <f>IF((I2751-ROUNDDOWN(I2751,0))=0, 0, (I2751-ROUNDDOWN(I2751,0)))</f>
      </c>
      <c r="K2751" s="7">
        <f>INDIRECT("C$"&amp;2+MIN(2,ROUNDDOWN(I2751,0))*3)*(-$J2751^3+3*$J2751^2-3*$J2751+1)+INDIRECT("C$"&amp;3+MIN(2,ROUNDDOWN(I2751,0))*3)*(3*$J2751^3-6*$J2751^2+3*$J2751)+INDIRECT("C$"&amp;4+MIN(2,ROUNDDOWN(I2751,0))*3)*(-3*$J2751^3+3*$J2751^2)+INDIRECT("C$"&amp;5+MIN(2,ROUNDDOWN(I2751,0))*3)*$J2751^3</f>
      </c>
      <c r="L2751" s="7">
        <f>INDIRECT("D$"&amp;2+MIN(2,ROUNDDOWN(I2751,0))*3)*(-$J2751^3+3*$J2751^2-3*$J2751+1)+INDIRECT("D$"&amp;3+MIN(2,ROUNDDOWN(I2751,0))*3)*(3*$J2751^3-6*$J2751^2+3*$J2751)+INDIRECT("D$"&amp;4+MIN(2,ROUNDDOWN(I2751,0))*3)*(-3*$J2751^3+3*$J2751^2)+INDIRECT("D$"&amp;5+MIN(2,ROUNDDOWN(I2751,0))*3)*$J2751^3</f>
      </c>
      <c r="M2751" s="7">
        <f>SQRT(K2751^2+L2751^2)</f>
      </c>
      <c r="N2751" s="7">
        <f>(K2752-K2750)</f>
      </c>
      <c r="O2751" s="7">
        <f>+(L2752-L2750)</f>
      </c>
      <c r="P2751" s="7">
        <f>SQRT(O2751^2+N2751^2)</f>
      </c>
      <c r="Q2751" s="7">
        <f>N2751/$P2751</f>
      </c>
      <c r="R2751" s="7">
        <f>O2751/$P2751</f>
      </c>
      <c r="S2751" s="7">
        <f>Q2751^2+R2751^2</f>
      </c>
      <c r="T2751" s="7">
        <f>-R2751</f>
      </c>
      <c r="U2751" s="7">
        <f>Q2751</f>
      </c>
      <c r="V2751" s="7">
        <f>($C$14+($C$15-$C$14)/($D$15-$D$14)*(I2751-$D$14))/2</f>
      </c>
      <c r="W2751" s="7">
        <f>($B$22*I2751^4+$C$22*I2751^3+$D$22*I2751^2+$E$22*I2751+$F$22)/2</f>
      </c>
      <c r="X2751" s="7">
        <f>($W2751)*(T2751)</f>
      </c>
      <c r="Y2751" s="7">
        <f>($W2751)*(U2751)</f>
      </c>
      <c r="Z2751" s="7">
        <f>SQRT(X2751^2+Y2751^2)</f>
      </c>
      <c r="AA2751" s="7">
        <f>$K2751+$X2751</f>
      </c>
      <c r="AB2751" s="7">
        <f>$L2751+$Y2751</f>
      </c>
      <c r="AC2751" s="7">
        <f>$K2751-$X2751</f>
      </c>
      <c r="AD2751" s="7">
        <f>$L2751-$Y2751</f>
      </c>
      <c r="AE2751" s="7">
        <f>AA2751/39.3701</f>
      </c>
      <c r="AF2751" s="7">
        <f>AB2751/39.3701</f>
      </c>
      <c r="AG2751" s="7">
        <f>AC2751/39.3701</f>
      </c>
      <c r="AH2751" s="7">
        <f>AD2751/39.3701</f>
      </c>
      <c r="AI2751" s="1"/>
      <c r="AJ2751" s="1"/>
      <c r="AK2751" s="1"/>
      <c r="AL2751" s="1"/>
      <c r="AM2751" s="2"/>
      <c r="AN2751" s="1"/>
      <c r="AO2751" s="1"/>
      <c r="AP2751" s="1"/>
      <c r="AQ2751" s="1"/>
      <c r="AR2751" s="1"/>
      <c r="AS2751" s="1"/>
      <c r="AT2751" s="1"/>
      <c r="AU2751" s="1"/>
      <c r="AV2751" s="1"/>
      <c r="AW2751" s="1"/>
      <c r="AX2751" s="1"/>
      <c r="AY2751" s="1"/>
      <c r="AZ2751" s="1"/>
      <c r="BA2751" s="1"/>
      <c r="BB2751" s="1"/>
      <c r="BC2751" s="1"/>
      <c r="BD2751" s="1"/>
      <c r="BE2751" s="1"/>
    </row>
    <row x14ac:dyDescent="0.25" r="2752" customHeight="1" ht="18.75">
      <c r="A2752" s="1"/>
      <c r="B2752" s="2"/>
      <c r="C2752" s="2"/>
      <c r="D2752" s="2"/>
      <c r="E2752" s="2"/>
      <c r="F2752" s="2"/>
      <c r="G2752" s="1"/>
      <c r="H2752" s="1"/>
      <c r="I2752" s="7">
        <v>2.749</v>
      </c>
      <c r="J2752" s="7">
        <f>IF((I2752-ROUNDDOWN(I2752,0))=0, 0, (I2752-ROUNDDOWN(I2752,0)))</f>
      </c>
      <c r="K2752" s="7">
        <f>INDIRECT("C$"&amp;2+MIN(2,ROUNDDOWN(I2752,0))*3)*(-$J2752^3+3*$J2752^2-3*$J2752+1)+INDIRECT("C$"&amp;3+MIN(2,ROUNDDOWN(I2752,0))*3)*(3*$J2752^3-6*$J2752^2+3*$J2752)+INDIRECT("C$"&amp;4+MIN(2,ROUNDDOWN(I2752,0))*3)*(-3*$J2752^3+3*$J2752^2)+INDIRECT("C$"&amp;5+MIN(2,ROUNDDOWN(I2752,0))*3)*$J2752^3</f>
      </c>
      <c r="L2752" s="7">
        <f>INDIRECT("D$"&amp;2+MIN(2,ROUNDDOWN(I2752,0))*3)*(-$J2752^3+3*$J2752^2-3*$J2752+1)+INDIRECT("D$"&amp;3+MIN(2,ROUNDDOWN(I2752,0))*3)*(3*$J2752^3-6*$J2752^2+3*$J2752)+INDIRECT("D$"&amp;4+MIN(2,ROUNDDOWN(I2752,0))*3)*(-3*$J2752^3+3*$J2752^2)+INDIRECT("D$"&amp;5+MIN(2,ROUNDDOWN(I2752,0))*3)*$J2752^3</f>
      </c>
      <c r="M2752" s="7">
        <f>SQRT(K2752^2+L2752^2)</f>
      </c>
      <c r="N2752" s="7">
        <f>(K2753-K2751)</f>
      </c>
      <c r="O2752" s="7">
        <f>+(L2753-L2751)</f>
      </c>
      <c r="P2752" s="7">
        <f>SQRT(O2752^2+N2752^2)</f>
      </c>
      <c r="Q2752" s="7">
        <f>N2752/$P2752</f>
      </c>
      <c r="R2752" s="7">
        <f>O2752/$P2752</f>
      </c>
      <c r="S2752" s="8">
        <f>Q2752^2+R2752^2</f>
      </c>
      <c r="T2752" s="7">
        <f>-R2752</f>
      </c>
      <c r="U2752" s="7">
        <f>Q2752</f>
      </c>
      <c r="V2752" s="7">
        <f>($C$14+($C$15-$C$14)/($D$15-$D$14)*(I2752-$D$14))/2</f>
      </c>
      <c r="W2752" s="7">
        <f>($B$22*I2752^4+$C$22*I2752^3+$D$22*I2752^2+$E$22*I2752+$F$22)/2</f>
      </c>
      <c r="X2752" s="7">
        <f>($W2752)*(T2752)</f>
      </c>
      <c r="Y2752" s="7">
        <f>($W2752)*(U2752)</f>
      </c>
      <c r="Z2752" s="7">
        <f>SQRT(X2752^2+Y2752^2)</f>
      </c>
      <c r="AA2752" s="7">
        <f>$K2752+$X2752</f>
      </c>
      <c r="AB2752" s="7">
        <f>$L2752+$Y2752</f>
      </c>
      <c r="AC2752" s="7">
        <f>$K2752-$X2752</f>
      </c>
      <c r="AD2752" s="7">
        <f>$L2752-$Y2752</f>
      </c>
      <c r="AE2752" s="7">
        <f>AA2752/39.3701</f>
      </c>
      <c r="AF2752" s="7">
        <f>AB2752/39.3701</f>
      </c>
      <c r="AG2752" s="7">
        <f>AC2752/39.3701</f>
      </c>
      <c r="AH2752" s="7">
        <f>AD2752/39.3701</f>
      </c>
      <c r="AI2752" s="1"/>
      <c r="AJ2752" s="1"/>
      <c r="AK2752" s="1"/>
      <c r="AL2752" s="1"/>
      <c r="AM2752" s="2"/>
      <c r="AN2752" s="1"/>
      <c r="AO2752" s="1"/>
      <c r="AP2752" s="1"/>
      <c r="AQ2752" s="1"/>
      <c r="AR2752" s="1"/>
      <c r="AS2752" s="1"/>
      <c r="AT2752" s="1"/>
      <c r="AU2752" s="1"/>
      <c r="AV2752" s="1"/>
      <c r="AW2752" s="1"/>
      <c r="AX2752" s="1"/>
      <c r="AY2752" s="1"/>
      <c r="AZ2752" s="1"/>
      <c r="BA2752" s="1"/>
      <c r="BB2752" s="1"/>
      <c r="BC2752" s="1"/>
      <c r="BD2752" s="1"/>
      <c r="BE2752" s="1"/>
    </row>
    <row x14ac:dyDescent="0.25" r="2753" customHeight="1" ht="18.75">
      <c r="A2753" s="1"/>
      <c r="B2753" s="2"/>
      <c r="C2753" s="2"/>
      <c r="D2753" s="2"/>
      <c r="E2753" s="2"/>
      <c r="F2753" s="2"/>
      <c r="G2753" s="1"/>
      <c r="H2753" s="1"/>
      <c r="I2753" s="7">
        <v>2.75</v>
      </c>
      <c r="J2753" s="7">
        <f>IF((I2753-ROUNDDOWN(I2753,0))=0, 0, (I2753-ROUNDDOWN(I2753,0)))</f>
      </c>
      <c r="K2753" s="7">
        <f>INDIRECT("C$"&amp;2+MIN(2,ROUNDDOWN(I2753,0))*3)*(-$J2753^3+3*$J2753^2-3*$J2753+1)+INDIRECT("C$"&amp;3+MIN(2,ROUNDDOWN(I2753,0))*3)*(3*$J2753^3-6*$J2753^2+3*$J2753)+INDIRECT("C$"&amp;4+MIN(2,ROUNDDOWN(I2753,0))*3)*(-3*$J2753^3+3*$J2753^2)+INDIRECT("C$"&amp;5+MIN(2,ROUNDDOWN(I2753,0))*3)*$J2753^3</f>
      </c>
      <c r="L2753" s="7">
        <f>INDIRECT("D$"&amp;2+MIN(2,ROUNDDOWN(I2753,0))*3)*(-$J2753^3+3*$J2753^2-3*$J2753+1)+INDIRECT("D$"&amp;3+MIN(2,ROUNDDOWN(I2753,0))*3)*(3*$J2753^3-6*$J2753^2+3*$J2753)+INDIRECT("D$"&amp;4+MIN(2,ROUNDDOWN(I2753,0))*3)*(-3*$J2753^3+3*$J2753^2)+INDIRECT("D$"&amp;5+MIN(2,ROUNDDOWN(I2753,0))*3)*$J2753^3</f>
      </c>
      <c r="M2753" s="7">
        <f>SQRT(K2753^2+L2753^2)</f>
      </c>
      <c r="N2753" s="7">
        <f>(K2754-K2752)</f>
      </c>
      <c r="O2753" s="7">
        <f>+(L2754-L2752)</f>
      </c>
      <c r="P2753" s="7">
        <f>SQRT(O2753^2+N2753^2)</f>
      </c>
      <c r="Q2753" s="7">
        <f>N2753/$P2753</f>
      </c>
      <c r="R2753" s="7">
        <f>O2753/$P2753</f>
      </c>
      <c r="S2753" s="7">
        <f>Q2753^2+R2753^2</f>
      </c>
      <c r="T2753" s="7">
        <f>-R2753</f>
      </c>
      <c r="U2753" s="7">
        <f>Q2753</f>
      </c>
      <c r="V2753" s="7">
        <f>($C$14+($C$15-$C$14)/($D$15-$D$14)*(I2753-$D$14))/2</f>
      </c>
      <c r="W2753" s="7">
        <f>($B$22*I2753^4+$C$22*I2753^3+$D$22*I2753^2+$E$22*I2753+$F$22)/2</f>
      </c>
      <c r="X2753" s="7">
        <f>($W2753)*(T2753)</f>
      </c>
      <c r="Y2753" s="7">
        <f>($W2753)*(U2753)</f>
      </c>
      <c r="Z2753" s="7">
        <f>SQRT(X2753^2+Y2753^2)</f>
      </c>
      <c r="AA2753" s="7">
        <f>$K2753+$X2753</f>
      </c>
      <c r="AB2753" s="7">
        <f>$L2753+$Y2753</f>
      </c>
      <c r="AC2753" s="7">
        <f>$K2753-$X2753</f>
      </c>
      <c r="AD2753" s="7">
        <f>$L2753-$Y2753</f>
      </c>
      <c r="AE2753" s="7">
        <f>AA2753/39.3701</f>
      </c>
      <c r="AF2753" s="7">
        <f>AB2753/39.3701</f>
      </c>
      <c r="AG2753" s="7">
        <f>AC2753/39.3701</f>
      </c>
      <c r="AH2753" s="7">
        <f>AD2753/39.3701</f>
      </c>
      <c r="AI2753" s="1"/>
      <c r="AJ2753" s="1"/>
      <c r="AK2753" s="1"/>
      <c r="AL2753" s="1"/>
      <c r="AM2753" s="2"/>
      <c r="AN2753" s="1"/>
      <c r="AO2753" s="1"/>
      <c r="AP2753" s="1"/>
      <c r="AQ2753" s="1"/>
      <c r="AR2753" s="1"/>
      <c r="AS2753" s="1"/>
      <c r="AT2753" s="1"/>
      <c r="AU2753" s="1"/>
      <c r="AV2753" s="1"/>
      <c r="AW2753" s="1"/>
      <c r="AX2753" s="1"/>
      <c r="AY2753" s="1"/>
      <c r="AZ2753" s="1"/>
      <c r="BA2753" s="1"/>
      <c r="BB2753" s="1"/>
      <c r="BC2753" s="1"/>
      <c r="BD2753" s="1"/>
      <c r="BE2753" s="1"/>
    </row>
    <row x14ac:dyDescent="0.25" r="2754" customHeight="1" ht="18.75">
      <c r="A2754" s="1"/>
      <c r="B2754" s="2"/>
      <c r="C2754" s="2"/>
      <c r="D2754" s="2"/>
      <c r="E2754" s="2"/>
      <c r="F2754" s="2"/>
      <c r="G2754" s="1"/>
      <c r="H2754" s="1"/>
      <c r="I2754" s="7">
        <v>2.751</v>
      </c>
      <c r="J2754" s="7">
        <f>IF((I2754-ROUNDDOWN(I2754,0))=0, 0, (I2754-ROUNDDOWN(I2754,0)))</f>
      </c>
      <c r="K2754" s="7">
        <f>INDIRECT("C$"&amp;2+MIN(2,ROUNDDOWN(I2754,0))*3)*(-$J2754^3+3*$J2754^2-3*$J2754+1)+INDIRECT("C$"&amp;3+MIN(2,ROUNDDOWN(I2754,0))*3)*(3*$J2754^3-6*$J2754^2+3*$J2754)+INDIRECT("C$"&amp;4+MIN(2,ROUNDDOWN(I2754,0))*3)*(-3*$J2754^3+3*$J2754^2)+INDIRECT("C$"&amp;5+MIN(2,ROUNDDOWN(I2754,0))*3)*$J2754^3</f>
      </c>
      <c r="L2754" s="7">
        <f>INDIRECT("D$"&amp;2+MIN(2,ROUNDDOWN(I2754,0))*3)*(-$J2754^3+3*$J2754^2-3*$J2754+1)+INDIRECT("D$"&amp;3+MIN(2,ROUNDDOWN(I2754,0))*3)*(3*$J2754^3-6*$J2754^2+3*$J2754)+INDIRECT("D$"&amp;4+MIN(2,ROUNDDOWN(I2754,0))*3)*(-3*$J2754^3+3*$J2754^2)+INDIRECT("D$"&amp;5+MIN(2,ROUNDDOWN(I2754,0))*3)*$J2754^3</f>
      </c>
      <c r="M2754" s="7">
        <f>SQRT(K2754^2+L2754^2)</f>
      </c>
      <c r="N2754" s="7">
        <f>(K2755-K2753)</f>
      </c>
      <c r="O2754" s="7">
        <f>+(L2755-L2753)</f>
      </c>
      <c r="P2754" s="7">
        <f>SQRT(O2754^2+N2754^2)</f>
      </c>
      <c r="Q2754" s="7">
        <f>N2754/$P2754</f>
      </c>
      <c r="R2754" s="7">
        <f>O2754/$P2754</f>
      </c>
      <c r="S2754" s="7">
        <f>Q2754^2+R2754^2</f>
      </c>
      <c r="T2754" s="7">
        <f>-R2754</f>
      </c>
      <c r="U2754" s="7">
        <f>Q2754</f>
      </c>
      <c r="V2754" s="7">
        <f>($C$14+($C$15-$C$14)/($D$15-$D$14)*(I2754-$D$14))/2</f>
      </c>
      <c r="W2754" s="7">
        <f>($B$22*I2754^4+$C$22*I2754^3+$D$22*I2754^2+$E$22*I2754+$F$22)/2</f>
      </c>
      <c r="X2754" s="7">
        <f>($W2754)*(T2754)</f>
      </c>
      <c r="Y2754" s="7">
        <f>($W2754)*(U2754)</f>
      </c>
      <c r="Z2754" s="7">
        <f>SQRT(X2754^2+Y2754^2)</f>
      </c>
      <c r="AA2754" s="7">
        <f>$K2754+$X2754</f>
      </c>
      <c r="AB2754" s="7">
        <f>$L2754+$Y2754</f>
      </c>
      <c r="AC2754" s="7">
        <f>$K2754-$X2754</f>
      </c>
      <c r="AD2754" s="7">
        <f>$L2754-$Y2754</f>
      </c>
      <c r="AE2754" s="7">
        <f>AA2754/39.3701</f>
      </c>
      <c r="AF2754" s="7">
        <f>AB2754/39.3701</f>
      </c>
      <c r="AG2754" s="7">
        <f>AC2754/39.3701</f>
      </c>
      <c r="AH2754" s="7">
        <f>AD2754/39.3701</f>
      </c>
      <c r="AI2754" s="1"/>
      <c r="AJ2754" s="1"/>
      <c r="AK2754" s="1"/>
      <c r="AL2754" s="1"/>
      <c r="AM2754" s="2"/>
      <c r="AN2754" s="1"/>
      <c r="AO2754" s="1"/>
      <c r="AP2754" s="1"/>
      <c r="AQ2754" s="1"/>
      <c r="AR2754" s="1"/>
      <c r="AS2754" s="1"/>
      <c r="AT2754" s="1"/>
      <c r="AU2754" s="1"/>
      <c r="AV2754" s="1"/>
      <c r="AW2754" s="1"/>
      <c r="AX2754" s="1"/>
      <c r="AY2754" s="1"/>
      <c r="AZ2754" s="1"/>
      <c r="BA2754" s="1"/>
      <c r="BB2754" s="1"/>
      <c r="BC2754" s="1"/>
      <c r="BD2754" s="1"/>
      <c r="BE2754" s="1"/>
    </row>
    <row x14ac:dyDescent="0.25" r="2755" customHeight="1" ht="18.75">
      <c r="A2755" s="1"/>
      <c r="B2755" s="2"/>
      <c r="C2755" s="2"/>
      <c r="D2755" s="2"/>
      <c r="E2755" s="2"/>
      <c r="F2755" s="2"/>
      <c r="G2755" s="1"/>
      <c r="H2755" s="1"/>
      <c r="I2755" s="7">
        <v>2.752</v>
      </c>
      <c r="J2755" s="7">
        <f>IF((I2755-ROUNDDOWN(I2755,0))=0, 0, (I2755-ROUNDDOWN(I2755,0)))</f>
      </c>
      <c r="K2755" s="7">
        <f>INDIRECT("C$"&amp;2+MIN(2,ROUNDDOWN(I2755,0))*3)*(-$J2755^3+3*$J2755^2-3*$J2755+1)+INDIRECT("C$"&amp;3+MIN(2,ROUNDDOWN(I2755,0))*3)*(3*$J2755^3-6*$J2755^2+3*$J2755)+INDIRECT("C$"&amp;4+MIN(2,ROUNDDOWN(I2755,0))*3)*(-3*$J2755^3+3*$J2755^2)+INDIRECT("C$"&amp;5+MIN(2,ROUNDDOWN(I2755,0))*3)*$J2755^3</f>
      </c>
      <c r="L2755" s="7">
        <f>INDIRECT("D$"&amp;2+MIN(2,ROUNDDOWN(I2755,0))*3)*(-$J2755^3+3*$J2755^2-3*$J2755+1)+INDIRECT("D$"&amp;3+MIN(2,ROUNDDOWN(I2755,0))*3)*(3*$J2755^3-6*$J2755^2+3*$J2755)+INDIRECT("D$"&amp;4+MIN(2,ROUNDDOWN(I2755,0))*3)*(-3*$J2755^3+3*$J2755^2)+INDIRECT("D$"&amp;5+MIN(2,ROUNDDOWN(I2755,0))*3)*$J2755^3</f>
      </c>
      <c r="M2755" s="7">
        <f>SQRT(K2755^2+L2755^2)</f>
      </c>
      <c r="N2755" s="7">
        <f>(K2756-K2754)</f>
      </c>
      <c r="O2755" s="7">
        <f>+(L2756-L2754)</f>
      </c>
      <c r="P2755" s="7">
        <f>SQRT(O2755^2+N2755^2)</f>
      </c>
      <c r="Q2755" s="7">
        <f>N2755/$P2755</f>
      </c>
      <c r="R2755" s="7">
        <f>O2755/$P2755</f>
      </c>
      <c r="S2755" s="8">
        <f>Q2755^2+R2755^2</f>
      </c>
      <c r="T2755" s="7">
        <f>-R2755</f>
      </c>
      <c r="U2755" s="7">
        <f>Q2755</f>
      </c>
      <c r="V2755" s="7">
        <f>($C$14+($C$15-$C$14)/($D$15-$D$14)*(I2755-$D$14))/2</f>
      </c>
      <c r="W2755" s="7">
        <f>($B$22*I2755^4+$C$22*I2755^3+$D$22*I2755^2+$E$22*I2755+$F$22)/2</f>
      </c>
      <c r="X2755" s="7">
        <f>($W2755)*(T2755)</f>
      </c>
      <c r="Y2755" s="7">
        <f>($W2755)*(U2755)</f>
      </c>
      <c r="Z2755" s="7">
        <f>SQRT(X2755^2+Y2755^2)</f>
      </c>
      <c r="AA2755" s="7">
        <f>$K2755+$X2755</f>
      </c>
      <c r="AB2755" s="7">
        <f>$L2755+$Y2755</f>
      </c>
      <c r="AC2755" s="7">
        <f>$K2755-$X2755</f>
      </c>
      <c r="AD2755" s="7">
        <f>$L2755-$Y2755</f>
      </c>
      <c r="AE2755" s="7">
        <f>AA2755/39.3701</f>
      </c>
      <c r="AF2755" s="7">
        <f>AB2755/39.3701</f>
      </c>
      <c r="AG2755" s="7">
        <f>AC2755/39.3701</f>
      </c>
      <c r="AH2755" s="7">
        <f>AD2755/39.3701</f>
      </c>
      <c r="AI2755" s="1"/>
      <c r="AJ2755" s="1"/>
      <c r="AK2755" s="1"/>
      <c r="AL2755" s="1"/>
      <c r="AM2755" s="2"/>
      <c r="AN2755" s="1"/>
      <c r="AO2755" s="1"/>
      <c r="AP2755" s="1"/>
      <c r="AQ2755" s="1"/>
      <c r="AR2755" s="1"/>
      <c r="AS2755" s="1"/>
      <c r="AT2755" s="1"/>
      <c r="AU2755" s="1"/>
      <c r="AV2755" s="1"/>
      <c r="AW2755" s="1"/>
      <c r="AX2755" s="1"/>
      <c r="AY2755" s="1"/>
      <c r="AZ2755" s="1"/>
      <c r="BA2755" s="1"/>
      <c r="BB2755" s="1"/>
      <c r="BC2755" s="1"/>
      <c r="BD2755" s="1"/>
      <c r="BE2755" s="1"/>
    </row>
    <row x14ac:dyDescent="0.25" r="2756" customHeight="1" ht="18.75">
      <c r="A2756" s="1"/>
      <c r="B2756" s="2"/>
      <c r="C2756" s="2"/>
      <c r="D2756" s="2"/>
      <c r="E2756" s="2"/>
      <c r="F2756" s="2"/>
      <c r="G2756" s="1"/>
      <c r="H2756" s="1"/>
      <c r="I2756" s="7">
        <v>2.753</v>
      </c>
      <c r="J2756" s="7">
        <f>IF((I2756-ROUNDDOWN(I2756,0))=0, 0, (I2756-ROUNDDOWN(I2756,0)))</f>
      </c>
      <c r="K2756" s="7">
        <f>INDIRECT("C$"&amp;2+MIN(2,ROUNDDOWN(I2756,0))*3)*(-$J2756^3+3*$J2756^2-3*$J2756+1)+INDIRECT("C$"&amp;3+MIN(2,ROUNDDOWN(I2756,0))*3)*(3*$J2756^3-6*$J2756^2+3*$J2756)+INDIRECT("C$"&amp;4+MIN(2,ROUNDDOWN(I2756,0))*3)*(-3*$J2756^3+3*$J2756^2)+INDIRECT("C$"&amp;5+MIN(2,ROUNDDOWN(I2756,0))*3)*$J2756^3</f>
      </c>
      <c r="L2756" s="7">
        <f>INDIRECT("D$"&amp;2+MIN(2,ROUNDDOWN(I2756,0))*3)*(-$J2756^3+3*$J2756^2-3*$J2756+1)+INDIRECT("D$"&amp;3+MIN(2,ROUNDDOWN(I2756,0))*3)*(3*$J2756^3-6*$J2756^2+3*$J2756)+INDIRECT("D$"&amp;4+MIN(2,ROUNDDOWN(I2756,0))*3)*(-3*$J2756^3+3*$J2756^2)+INDIRECT("D$"&amp;5+MIN(2,ROUNDDOWN(I2756,0))*3)*$J2756^3</f>
      </c>
      <c r="M2756" s="7">
        <f>SQRT(K2756^2+L2756^2)</f>
      </c>
      <c r="N2756" s="7">
        <f>(K2757-K2755)</f>
      </c>
      <c r="O2756" s="7">
        <f>+(L2757-L2755)</f>
      </c>
      <c r="P2756" s="7">
        <f>SQRT(O2756^2+N2756^2)</f>
      </c>
      <c r="Q2756" s="7">
        <f>N2756/$P2756</f>
      </c>
      <c r="R2756" s="7">
        <f>O2756/$P2756</f>
      </c>
      <c r="S2756" s="7">
        <f>Q2756^2+R2756^2</f>
      </c>
      <c r="T2756" s="7">
        <f>-R2756</f>
      </c>
      <c r="U2756" s="7">
        <f>Q2756</f>
      </c>
      <c r="V2756" s="7">
        <f>($C$14+($C$15-$C$14)/($D$15-$D$14)*(I2756-$D$14))/2</f>
      </c>
      <c r="W2756" s="7">
        <f>($B$22*I2756^4+$C$22*I2756^3+$D$22*I2756^2+$E$22*I2756+$F$22)/2</f>
      </c>
      <c r="X2756" s="7">
        <f>($W2756)*(T2756)</f>
      </c>
      <c r="Y2756" s="7">
        <f>($W2756)*(U2756)</f>
      </c>
      <c r="Z2756" s="7">
        <f>SQRT(X2756^2+Y2756^2)</f>
      </c>
      <c r="AA2756" s="7">
        <f>$K2756+$X2756</f>
      </c>
      <c r="AB2756" s="7">
        <f>$L2756+$Y2756</f>
      </c>
      <c r="AC2756" s="7">
        <f>$K2756-$X2756</f>
      </c>
      <c r="AD2756" s="7">
        <f>$L2756-$Y2756</f>
      </c>
      <c r="AE2756" s="7">
        <f>AA2756/39.3701</f>
      </c>
      <c r="AF2756" s="7">
        <f>AB2756/39.3701</f>
      </c>
      <c r="AG2756" s="7">
        <f>AC2756/39.3701</f>
      </c>
      <c r="AH2756" s="7">
        <f>AD2756/39.3701</f>
      </c>
      <c r="AI2756" s="1"/>
      <c r="AJ2756" s="1"/>
      <c r="AK2756" s="1"/>
      <c r="AL2756" s="1"/>
      <c r="AM2756" s="2"/>
      <c r="AN2756" s="1"/>
      <c r="AO2756" s="1"/>
      <c r="AP2756" s="1"/>
      <c r="AQ2756" s="1"/>
      <c r="AR2756" s="1"/>
      <c r="AS2756" s="1"/>
      <c r="AT2756" s="1"/>
      <c r="AU2756" s="1"/>
      <c r="AV2756" s="1"/>
      <c r="AW2756" s="1"/>
      <c r="AX2756" s="1"/>
      <c r="AY2756" s="1"/>
      <c r="AZ2756" s="1"/>
      <c r="BA2756" s="1"/>
      <c r="BB2756" s="1"/>
      <c r="BC2756" s="1"/>
      <c r="BD2756" s="1"/>
      <c r="BE2756" s="1"/>
    </row>
    <row x14ac:dyDescent="0.25" r="2757" customHeight="1" ht="18.75">
      <c r="A2757" s="1"/>
      <c r="B2757" s="2"/>
      <c r="C2757" s="2"/>
      <c r="D2757" s="2"/>
      <c r="E2757" s="2"/>
      <c r="F2757" s="2"/>
      <c r="G2757" s="1"/>
      <c r="H2757" s="1"/>
      <c r="I2757" s="7">
        <v>2.754</v>
      </c>
      <c r="J2757" s="7">
        <f>IF((I2757-ROUNDDOWN(I2757,0))=0, 0, (I2757-ROUNDDOWN(I2757,0)))</f>
      </c>
      <c r="K2757" s="7">
        <f>INDIRECT("C$"&amp;2+MIN(2,ROUNDDOWN(I2757,0))*3)*(-$J2757^3+3*$J2757^2-3*$J2757+1)+INDIRECT("C$"&amp;3+MIN(2,ROUNDDOWN(I2757,0))*3)*(3*$J2757^3-6*$J2757^2+3*$J2757)+INDIRECT("C$"&amp;4+MIN(2,ROUNDDOWN(I2757,0))*3)*(-3*$J2757^3+3*$J2757^2)+INDIRECT("C$"&amp;5+MIN(2,ROUNDDOWN(I2757,0))*3)*$J2757^3</f>
      </c>
      <c r="L2757" s="7">
        <f>INDIRECT("D$"&amp;2+MIN(2,ROUNDDOWN(I2757,0))*3)*(-$J2757^3+3*$J2757^2-3*$J2757+1)+INDIRECT("D$"&amp;3+MIN(2,ROUNDDOWN(I2757,0))*3)*(3*$J2757^3-6*$J2757^2+3*$J2757)+INDIRECT("D$"&amp;4+MIN(2,ROUNDDOWN(I2757,0))*3)*(-3*$J2757^3+3*$J2757^2)+INDIRECT("D$"&amp;5+MIN(2,ROUNDDOWN(I2757,0))*3)*$J2757^3</f>
      </c>
      <c r="M2757" s="7">
        <f>SQRT(K2757^2+L2757^2)</f>
      </c>
      <c r="N2757" s="7">
        <f>(K2758-K2756)</f>
      </c>
      <c r="O2757" s="7">
        <f>+(L2758-L2756)</f>
      </c>
      <c r="P2757" s="7">
        <f>SQRT(O2757^2+N2757^2)</f>
      </c>
      <c r="Q2757" s="7">
        <f>N2757/$P2757</f>
      </c>
      <c r="R2757" s="7">
        <f>O2757/$P2757</f>
      </c>
      <c r="S2757" s="7">
        <f>Q2757^2+R2757^2</f>
      </c>
      <c r="T2757" s="7">
        <f>-R2757</f>
      </c>
      <c r="U2757" s="7">
        <f>Q2757</f>
      </c>
      <c r="V2757" s="7">
        <f>($C$14+($C$15-$C$14)/($D$15-$D$14)*(I2757-$D$14))/2</f>
      </c>
      <c r="W2757" s="7">
        <f>($B$22*I2757^4+$C$22*I2757^3+$D$22*I2757^2+$E$22*I2757+$F$22)/2</f>
      </c>
      <c r="X2757" s="7">
        <f>($W2757)*(T2757)</f>
      </c>
      <c r="Y2757" s="7">
        <f>($W2757)*(U2757)</f>
      </c>
      <c r="Z2757" s="7">
        <f>SQRT(X2757^2+Y2757^2)</f>
      </c>
      <c r="AA2757" s="7">
        <f>$K2757+$X2757</f>
      </c>
      <c r="AB2757" s="7">
        <f>$L2757+$Y2757</f>
      </c>
      <c r="AC2757" s="7">
        <f>$K2757-$X2757</f>
      </c>
      <c r="AD2757" s="7">
        <f>$L2757-$Y2757</f>
      </c>
      <c r="AE2757" s="7">
        <f>AA2757/39.3701</f>
      </c>
      <c r="AF2757" s="7">
        <f>AB2757/39.3701</f>
      </c>
      <c r="AG2757" s="7">
        <f>AC2757/39.3701</f>
      </c>
      <c r="AH2757" s="7">
        <f>AD2757/39.3701</f>
      </c>
      <c r="AI2757" s="1"/>
      <c r="AJ2757" s="1"/>
      <c r="AK2757" s="1"/>
      <c r="AL2757" s="1"/>
      <c r="AM2757" s="2"/>
      <c r="AN2757" s="1"/>
      <c r="AO2757" s="1"/>
      <c r="AP2757" s="1"/>
      <c r="AQ2757" s="1"/>
      <c r="AR2757" s="1"/>
      <c r="AS2757" s="1"/>
      <c r="AT2757" s="1"/>
      <c r="AU2757" s="1"/>
      <c r="AV2757" s="1"/>
      <c r="AW2757" s="1"/>
      <c r="AX2757" s="1"/>
      <c r="AY2757" s="1"/>
      <c r="AZ2757" s="1"/>
      <c r="BA2757" s="1"/>
      <c r="BB2757" s="1"/>
      <c r="BC2757" s="1"/>
      <c r="BD2757" s="1"/>
      <c r="BE2757" s="1"/>
    </row>
    <row x14ac:dyDescent="0.25" r="2758" customHeight="1" ht="18.75">
      <c r="A2758" s="1"/>
      <c r="B2758" s="2"/>
      <c r="C2758" s="2"/>
      <c r="D2758" s="2"/>
      <c r="E2758" s="2"/>
      <c r="F2758" s="2"/>
      <c r="G2758" s="1"/>
      <c r="H2758" s="1"/>
      <c r="I2758" s="7">
        <v>2.755</v>
      </c>
      <c r="J2758" s="7">
        <f>IF((I2758-ROUNDDOWN(I2758,0))=0, 0, (I2758-ROUNDDOWN(I2758,0)))</f>
      </c>
      <c r="K2758" s="7">
        <f>INDIRECT("C$"&amp;2+MIN(2,ROUNDDOWN(I2758,0))*3)*(-$J2758^3+3*$J2758^2-3*$J2758+1)+INDIRECT("C$"&amp;3+MIN(2,ROUNDDOWN(I2758,0))*3)*(3*$J2758^3-6*$J2758^2+3*$J2758)+INDIRECT("C$"&amp;4+MIN(2,ROUNDDOWN(I2758,0))*3)*(-3*$J2758^3+3*$J2758^2)+INDIRECT("C$"&amp;5+MIN(2,ROUNDDOWN(I2758,0))*3)*$J2758^3</f>
      </c>
      <c r="L2758" s="7">
        <f>INDIRECT("D$"&amp;2+MIN(2,ROUNDDOWN(I2758,0))*3)*(-$J2758^3+3*$J2758^2-3*$J2758+1)+INDIRECT("D$"&amp;3+MIN(2,ROUNDDOWN(I2758,0))*3)*(3*$J2758^3-6*$J2758^2+3*$J2758)+INDIRECT("D$"&amp;4+MIN(2,ROUNDDOWN(I2758,0))*3)*(-3*$J2758^3+3*$J2758^2)+INDIRECT("D$"&amp;5+MIN(2,ROUNDDOWN(I2758,0))*3)*$J2758^3</f>
      </c>
      <c r="M2758" s="7">
        <f>SQRT(K2758^2+L2758^2)</f>
      </c>
      <c r="N2758" s="7">
        <f>(K2759-K2757)</f>
      </c>
      <c r="O2758" s="7">
        <f>+(L2759-L2757)</f>
      </c>
      <c r="P2758" s="7">
        <f>SQRT(O2758^2+N2758^2)</f>
      </c>
      <c r="Q2758" s="7">
        <f>N2758/$P2758</f>
      </c>
      <c r="R2758" s="7">
        <f>O2758/$P2758</f>
      </c>
      <c r="S2758" s="7">
        <f>Q2758^2+R2758^2</f>
      </c>
      <c r="T2758" s="7">
        <f>-R2758</f>
      </c>
      <c r="U2758" s="7">
        <f>Q2758</f>
      </c>
      <c r="V2758" s="7">
        <f>($C$14+($C$15-$C$14)/($D$15-$D$14)*(I2758-$D$14))/2</f>
      </c>
      <c r="W2758" s="7">
        <f>($B$22*I2758^4+$C$22*I2758^3+$D$22*I2758^2+$E$22*I2758+$F$22)/2</f>
      </c>
      <c r="X2758" s="7">
        <f>($W2758)*(T2758)</f>
      </c>
      <c r="Y2758" s="7">
        <f>($W2758)*(U2758)</f>
      </c>
      <c r="Z2758" s="7">
        <f>SQRT(X2758^2+Y2758^2)</f>
      </c>
      <c r="AA2758" s="7">
        <f>$K2758+$X2758</f>
      </c>
      <c r="AB2758" s="7">
        <f>$L2758+$Y2758</f>
      </c>
      <c r="AC2758" s="7">
        <f>$K2758-$X2758</f>
      </c>
      <c r="AD2758" s="7">
        <f>$L2758-$Y2758</f>
      </c>
      <c r="AE2758" s="7">
        <f>AA2758/39.3701</f>
      </c>
      <c r="AF2758" s="7">
        <f>AB2758/39.3701</f>
      </c>
      <c r="AG2758" s="7">
        <f>AC2758/39.3701</f>
      </c>
      <c r="AH2758" s="7">
        <f>AD2758/39.3701</f>
      </c>
      <c r="AI2758" s="1"/>
      <c r="AJ2758" s="1"/>
      <c r="AK2758" s="1"/>
      <c r="AL2758" s="1"/>
      <c r="AM2758" s="2"/>
      <c r="AN2758" s="1"/>
      <c r="AO2758" s="1"/>
      <c r="AP2758" s="1"/>
      <c r="AQ2758" s="1"/>
      <c r="AR2758" s="1"/>
      <c r="AS2758" s="1"/>
      <c r="AT2758" s="1"/>
      <c r="AU2758" s="1"/>
      <c r="AV2758" s="1"/>
      <c r="AW2758" s="1"/>
      <c r="AX2758" s="1"/>
      <c r="AY2758" s="1"/>
      <c r="AZ2758" s="1"/>
      <c r="BA2758" s="1"/>
      <c r="BB2758" s="1"/>
      <c r="BC2758" s="1"/>
      <c r="BD2758" s="1"/>
      <c r="BE2758" s="1"/>
    </row>
    <row x14ac:dyDescent="0.25" r="2759" customHeight="1" ht="18.75">
      <c r="A2759" s="1"/>
      <c r="B2759" s="2"/>
      <c r="C2759" s="2"/>
      <c r="D2759" s="2"/>
      <c r="E2759" s="2"/>
      <c r="F2759" s="2"/>
      <c r="G2759" s="1"/>
      <c r="H2759" s="1"/>
      <c r="I2759" s="7">
        <v>2.756</v>
      </c>
      <c r="J2759" s="7">
        <f>IF((I2759-ROUNDDOWN(I2759,0))=0, 0, (I2759-ROUNDDOWN(I2759,0)))</f>
      </c>
      <c r="K2759" s="7">
        <f>INDIRECT("C$"&amp;2+MIN(2,ROUNDDOWN(I2759,0))*3)*(-$J2759^3+3*$J2759^2-3*$J2759+1)+INDIRECT("C$"&amp;3+MIN(2,ROUNDDOWN(I2759,0))*3)*(3*$J2759^3-6*$J2759^2+3*$J2759)+INDIRECT("C$"&amp;4+MIN(2,ROUNDDOWN(I2759,0))*3)*(-3*$J2759^3+3*$J2759^2)+INDIRECT("C$"&amp;5+MIN(2,ROUNDDOWN(I2759,0))*3)*$J2759^3</f>
      </c>
      <c r="L2759" s="7">
        <f>INDIRECT("D$"&amp;2+MIN(2,ROUNDDOWN(I2759,0))*3)*(-$J2759^3+3*$J2759^2-3*$J2759+1)+INDIRECT("D$"&amp;3+MIN(2,ROUNDDOWN(I2759,0))*3)*(3*$J2759^3-6*$J2759^2+3*$J2759)+INDIRECT("D$"&amp;4+MIN(2,ROUNDDOWN(I2759,0))*3)*(-3*$J2759^3+3*$J2759^2)+INDIRECT("D$"&amp;5+MIN(2,ROUNDDOWN(I2759,0))*3)*$J2759^3</f>
      </c>
      <c r="M2759" s="7">
        <f>SQRT(K2759^2+L2759^2)</f>
      </c>
      <c r="N2759" s="7">
        <f>(K2760-K2758)</f>
      </c>
      <c r="O2759" s="7">
        <f>+(L2760-L2758)</f>
      </c>
      <c r="P2759" s="7">
        <f>SQRT(O2759^2+N2759^2)</f>
      </c>
      <c r="Q2759" s="7">
        <f>N2759/$P2759</f>
      </c>
      <c r="R2759" s="7">
        <f>O2759/$P2759</f>
      </c>
      <c r="S2759" s="8">
        <f>Q2759^2+R2759^2</f>
      </c>
      <c r="T2759" s="7">
        <f>-R2759</f>
      </c>
      <c r="U2759" s="7">
        <f>Q2759</f>
      </c>
      <c r="V2759" s="7">
        <f>($C$14+($C$15-$C$14)/($D$15-$D$14)*(I2759-$D$14))/2</f>
      </c>
      <c r="W2759" s="7">
        <f>($B$22*I2759^4+$C$22*I2759^3+$D$22*I2759^2+$E$22*I2759+$F$22)/2</f>
      </c>
      <c r="X2759" s="7">
        <f>($W2759)*(T2759)</f>
      </c>
      <c r="Y2759" s="7">
        <f>($W2759)*(U2759)</f>
      </c>
      <c r="Z2759" s="7">
        <f>SQRT(X2759^2+Y2759^2)</f>
      </c>
      <c r="AA2759" s="7">
        <f>$K2759+$X2759</f>
      </c>
      <c r="AB2759" s="7">
        <f>$L2759+$Y2759</f>
      </c>
      <c r="AC2759" s="7">
        <f>$K2759-$X2759</f>
      </c>
      <c r="AD2759" s="7">
        <f>$L2759-$Y2759</f>
      </c>
      <c r="AE2759" s="7">
        <f>AA2759/39.3701</f>
      </c>
      <c r="AF2759" s="7">
        <f>AB2759/39.3701</f>
      </c>
      <c r="AG2759" s="7">
        <f>AC2759/39.3701</f>
      </c>
      <c r="AH2759" s="7">
        <f>AD2759/39.3701</f>
      </c>
      <c r="AI2759" s="1"/>
      <c r="AJ2759" s="1"/>
      <c r="AK2759" s="1"/>
      <c r="AL2759" s="1"/>
      <c r="AM2759" s="2"/>
      <c r="AN2759" s="1"/>
      <c r="AO2759" s="1"/>
      <c r="AP2759" s="1"/>
      <c r="AQ2759" s="1"/>
      <c r="AR2759" s="1"/>
      <c r="AS2759" s="1"/>
      <c r="AT2759" s="1"/>
      <c r="AU2759" s="1"/>
      <c r="AV2759" s="1"/>
      <c r="AW2759" s="1"/>
      <c r="AX2759" s="1"/>
      <c r="AY2759" s="1"/>
      <c r="AZ2759" s="1"/>
      <c r="BA2759" s="1"/>
      <c r="BB2759" s="1"/>
      <c r="BC2759" s="1"/>
      <c r="BD2759" s="1"/>
      <c r="BE2759" s="1"/>
    </row>
    <row x14ac:dyDescent="0.25" r="2760" customHeight="1" ht="18.75">
      <c r="A2760" s="1"/>
      <c r="B2760" s="2"/>
      <c r="C2760" s="2"/>
      <c r="D2760" s="2"/>
      <c r="E2760" s="2"/>
      <c r="F2760" s="2"/>
      <c r="G2760" s="1"/>
      <c r="H2760" s="1"/>
      <c r="I2760" s="7">
        <v>2.757</v>
      </c>
      <c r="J2760" s="7">
        <f>IF((I2760-ROUNDDOWN(I2760,0))=0, 0, (I2760-ROUNDDOWN(I2760,0)))</f>
      </c>
      <c r="K2760" s="7">
        <f>INDIRECT("C$"&amp;2+MIN(2,ROUNDDOWN(I2760,0))*3)*(-$J2760^3+3*$J2760^2-3*$J2760+1)+INDIRECT("C$"&amp;3+MIN(2,ROUNDDOWN(I2760,0))*3)*(3*$J2760^3-6*$J2760^2+3*$J2760)+INDIRECT("C$"&amp;4+MIN(2,ROUNDDOWN(I2760,0))*3)*(-3*$J2760^3+3*$J2760^2)+INDIRECT("C$"&amp;5+MIN(2,ROUNDDOWN(I2760,0))*3)*$J2760^3</f>
      </c>
      <c r="L2760" s="7">
        <f>INDIRECT("D$"&amp;2+MIN(2,ROUNDDOWN(I2760,0))*3)*(-$J2760^3+3*$J2760^2-3*$J2760+1)+INDIRECT("D$"&amp;3+MIN(2,ROUNDDOWN(I2760,0))*3)*(3*$J2760^3-6*$J2760^2+3*$J2760)+INDIRECT("D$"&amp;4+MIN(2,ROUNDDOWN(I2760,0))*3)*(-3*$J2760^3+3*$J2760^2)+INDIRECT("D$"&amp;5+MIN(2,ROUNDDOWN(I2760,0))*3)*$J2760^3</f>
      </c>
      <c r="M2760" s="7">
        <f>SQRT(K2760^2+L2760^2)</f>
      </c>
      <c r="N2760" s="7">
        <f>(K2761-K2759)</f>
      </c>
      <c r="O2760" s="7">
        <f>+(L2761-L2759)</f>
      </c>
      <c r="P2760" s="7">
        <f>SQRT(O2760^2+N2760^2)</f>
      </c>
      <c r="Q2760" s="7">
        <f>N2760/$P2760</f>
      </c>
      <c r="R2760" s="7">
        <f>O2760/$P2760</f>
      </c>
      <c r="S2760" s="7">
        <f>Q2760^2+R2760^2</f>
      </c>
      <c r="T2760" s="7">
        <f>-R2760</f>
      </c>
      <c r="U2760" s="7">
        <f>Q2760</f>
      </c>
      <c r="V2760" s="7">
        <f>($C$14+($C$15-$C$14)/($D$15-$D$14)*(I2760-$D$14))/2</f>
      </c>
      <c r="W2760" s="7">
        <f>($B$22*I2760^4+$C$22*I2760^3+$D$22*I2760^2+$E$22*I2760+$F$22)/2</f>
      </c>
      <c r="X2760" s="7">
        <f>($W2760)*(T2760)</f>
      </c>
      <c r="Y2760" s="7">
        <f>($W2760)*(U2760)</f>
      </c>
      <c r="Z2760" s="7">
        <f>SQRT(X2760^2+Y2760^2)</f>
      </c>
      <c r="AA2760" s="7">
        <f>$K2760+$X2760</f>
      </c>
      <c r="AB2760" s="7">
        <f>$L2760+$Y2760</f>
      </c>
      <c r="AC2760" s="7">
        <f>$K2760-$X2760</f>
      </c>
      <c r="AD2760" s="7">
        <f>$L2760-$Y2760</f>
      </c>
      <c r="AE2760" s="7">
        <f>AA2760/39.3701</f>
      </c>
      <c r="AF2760" s="7">
        <f>AB2760/39.3701</f>
      </c>
      <c r="AG2760" s="7">
        <f>AC2760/39.3701</f>
      </c>
      <c r="AH2760" s="7">
        <f>AD2760/39.3701</f>
      </c>
      <c r="AI2760" s="1"/>
      <c r="AJ2760" s="1"/>
      <c r="AK2760" s="1"/>
      <c r="AL2760" s="1"/>
      <c r="AM2760" s="2"/>
      <c r="AN2760" s="1"/>
      <c r="AO2760" s="1"/>
      <c r="AP2760" s="1"/>
      <c r="AQ2760" s="1"/>
      <c r="AR2760" s="1"/>
      <c r="AS2760" s="1"/>
      <c r="AT2760" s="1"/>
      <c r="AU2760" s="1"/>
      <c r="AV2760" s="1"/>
      <c r="AW2760" s="1"/>
      <c r="AX2760" s="1"/>
      <c r="AY2760" s="1"/>
      <c r="AZ2760" s="1"/>
      <c r="BA2760" s="1"/>
      <c r="BB2760" s="1"/>
      <c r="BC2760" s="1"/>
      <c r="BD2760" s="1"/>
      <c r="BE2760" s="1"/>
    </row>
    <row x14ac:dyDescent="0.25" r="2761" customHeight="1" ht="18.75">
      <c r="A2761" s="1"/>
      <c r="B2761" s="2"/>
      <c r="C2761" s="2"/>
      <c r="D2761" s="2"/>
      <c r="E2761" s="2"/>
      <c r="F2761" s="2"/>
      <c r="G2761" s="1"/>
      <c r="H2761" s="1"/>
      <c r="I2761" s="7">
        <v>2.758</v>
      </c>
      <c r="J2761" s="7">
        <f>IF((I2761-ROUNDDOWN(I2761,0))=0, 0, (I2761-ROUNDDOWN(I2761,0)))</f>
      </c>
      <c r="K2761" s="7">
        <f>INDIRECT("C$"&amp;2+MIN(2,ROUNDDOWN(I2761,0))*3)*(-$J2761^3+3*$J2761^2-3*$J2761+1)+INDIRECT("C$"&amp;3+MIN(2,ROUNDDOWN(I2761,0))*3)*(3*$J2761^3-6*$J2761^2+3*$J2761)+INDIRECT("C$"&amp;4+MIN(2,ROUNDDOWN(I2761,0))*3)*(-3*$J2761^3+3*$J2761^2)+INDIRECT("C$"&amp;5+MIN(2,ROUNDDOWN(I2761,0))*3)*$J2761^3</f>
      </c>
      <c r="L2761" s="7">
        <f>INDIRECT("D$"&amp;2+MIN(2,ROUNDDOWN(I2761,0))*3)*(-$J2761^3+3*$J2761^2-3*$J2761+1)+INDIRECT("D$"&amp;3+MIN(2,ROUNDDOWN(I2761,0))*3)*(3*$J2761^3-6*$J2761^2+3*$J2761)+INDIRECT("D$"&amp;4+MIN(2,ROUNDDOWN(I2761,0))*3)*(-3*$J2761^3+3*$J2761^2)+INDIRECT("D$"&amp;5+MIN(2,ROUNDDOWN(I2761,0))*3)*$J2761^3</f>
      </c>
      <c r="M2761" s="7">
        <f>SQRT(K2761^2+L2761^2)</f>
      </c>
      <c r="N2761" s="7">
        <f>(K2762-K2760)</f>
      </c>
      <c r="O2761" s="7">
        <f>+(L2762-L2760)</f>
      </c>
      <c r="P2761" s="7">
        <f>SQRT(O2761^2+N2761^2)</f>
      </c>
      <c r="Q2761" s="7">
        <f>N2761/$P2761</f>
      </c>
      <c r="R2761" s="7">
        <f>O2761/$P2761</f>
      </c>
      <c r="S2761" s="7">
        <f>Q2761^2+R2761^2</f>
      </c>
      <c r="T2761" s="7">
        <f>-R2761</f>
      </c>
      <c r="U2761" s="7">
        <f>Q2761</f>
      </c>
      <c r="V2761" s="7">
        <f>($C$14+($C$15-$C$14)/($D$15-$D$14)*(I2761-$D$14))/2</f>
      </c>
      <c r="W2761" s="7">
        <f>($B$22*I2761^4+$C$22*I2761^3+$D$22*I2761^2+$E$22*I2761+$F$22)/2</f>
      </c>
      <c r="X2761" s="7">
        <f>($W2761)*(T2761)</f>
      </c>
      <c r="Y2761" s="7">
        <f>($W2761)*(U2761)</f>
      </c>
      <c r="Z2761" s="7">
        <f>SQRT(X2761^2+Y2761^2)</f>
      </c>
      <c r="AA2761" s="7">
        <f>$K2761+$X2761</f>
      </c>
      <c r="AB2761" s="7">
        <f>$L2761+$Y2761</f>
      </c>
      <c r="AC2761" s="7">
        <f>$K2761-$X2761</f>
      </c>
      <c r="AD2761" s="7">
        <f>$L2761-$Y2761</f>
      </c>
      <c r="AE2761" s="7">
        <f>AA2761/39.3701</f>
      </c>
      <c r="AF2761" s="7">
        <f>AB2761/39.3701</f>
      </c>
      <c r="AG2761" s="7">
        <f>AC2761/39.3701</f>
      </c>
      <c r="AH2761" s="7">
        <f>AD2761/39.3701</f>
      </c>
      <c r="AI2761" s="1"/>
      <c r="AJ2761" s="1"/>
      <c r="AK2761" s="1"/>
      <c r="AL2761" s="1"/>
      <c r="AM2761" s="2"/>
      <c r="AN2761" s="1"/>
      <c r="AO2761" s="1"/>
      <c r="AP2761" s="1"/>
      <c r="AQ2761" s="1"/>
      <c r="AR2761" s="1"/>
      <c r="AS2761" s="1"/>
      <c r="AT2761" s="1"/>
      <c r="AU2761" s="1"/>
      <c r="AV2761" s="1"/>
      <c r="AW2761" s="1"/>
      <c r="AX2761" s="1"/>
      <c r="AY2761" s="1"/>
      <c r="AZ2761" s="1"/>
      <c r="BA2761" s="1"/>
      <c r="BB2761" s="1"/>
      <c r="BC2761" s="1"/>
      <c r="BD2761" s="1"/>
      <c r="BE2761" s="1"/>
    </row>
    <row x14ac:dyDescent="0.25" r="2762" customHeight="1" ht="18.75">
      <c r="A2762" s="1"/>
      <c r="B2762" s="2"/>
      <c r="C2762" s="2"/>
      <c r="D2762" s="2"/>
      <c r="E2762" s="2"/>
      <c r="F2762" s="2"/>
      <c r="G2762" s="1"/>
      <c r="H2762" s="1"/>
      <c r="I2762" s="7">
        <v>2.759</v>
      </c>
      <c r="J2762" s="7">
        <f>IF((I2762-ROUNDDOWN(I2762,0))=0, 0, (I2762-ROUNDDOWN(I2762,0)))</f>
      </c>
      <c r="K2762" s="7">
        <f>INDIRECT("C$"&amp;2+MIN(2,ROUNDDOWN(I2762,0))*3)*(-$J2762^3+3*$J2762^2-3*$J2762+1)+INDIRECT("C$"&amp;3+MIN(2,ROUNDDOWN(I2762,0))*3)*(3*$J2762^3-6*$J2762^2+3*$J2762)+INDIRECT("C$"&amp;4+MIN(2,ROUNDDOWN(I2762,0))*3)*(-3*$J2762^3+3*$J2762^2)+INDIRECT("C$"&amp;5+MIN(2,ROUNDDOWN(I2762,0))*3)*$J2762^3</f>
      </c>
      <c r="L2762" s="7">
        <f>INDIRECT("D$"&amp;2+MIN(2,ROUNDDOWN(I2762,0))*3)*(-$J2762^3+3*$J2762^2-3*$J2762+1)+INDIRECT("D$"&amp;3+MIN(2,ROUNDDOWN(I2762,0))*3)*(3*$J2762^3-6*$J2762^2+3*$J2762)+INDIRECT("D$"&amp;4+MIN(2,ROUNDDOWN(I2762,0))*3)*(-3*$J2762^3+3*$J2762^2)+INDIRECT("D$"&amp;5+MIN(2,ROUNDDOWN(I2762,0))*3)*$J2762^3</f>
      </c>
      <c r="M2762" s="7">
        <f>SQRT(K2762^2+L2762^2)</f>
      </c>
      <c r="N2762" s="7">
        <f>(K2763-K2761)</f>
      </c>
      <c r="O2762" s="7">
        <f>+(L2763-L2761)</f>
      </c>
      <c r="P2762" s="7">
        <f>SQRT(O2762^2+N2762^2)</f>
      </c>
      <c r="Q2762" s="7">
        <f>N2762/$P2762</f>
      </c>
      <c r="R2762" s="7">
        <f>O2762/$P2762</f>
      </c>
      <c r="S2762" s="7">
        <f>Q2762^2+R2762^2</f>
      </c>
      <c r="T2762" s="7">
        <f>-R2762</f>
      </c>
      <c r="U2762" s="7">
        <f>Q2762</f>
      </c>
      <c r="V2762" s="7">
        <f>($C$14+($C$15-$C$14)/($D$15-$D$14)*(I2762-$D$14))/2</f>
      </c>
      <c r="W2762" s="7">
        <f>($B$22*I2762^4+$C$22*I2762^3+$D$22*I2762^2+$E$22*I2762+$F$22)/2</f>
      </c>
      <c r="X2762" s="7">
        <f>($W2762)*(T2762)</f>
      </c>
      <c r="Y2762" s="7">
        <f>($W2762)*(U2762)</f>
      </c>
      <c r="Z2762" s="7">
        <f>SQRT(X2762^2+Y2762^2)</f>
      </c>
      <c r="AA2762" s="7">
        <f>$K2762+$X2762</f>
      </c>
      <c r="AB2762" s="7">
        <f>$L2762+$Y2762</f>
      </c>
      <c r="AC2762" s="7">
        <f>$K2762-$X2762</f>
      </c>
      <c r="AD2762" s="7">
        <f>$L2762-$Y2762</f>
      </c>
      <c r="AE2762" s="7">
        <f>AA2762/39.3701</f>
      </c>
      <c r="AF2762" s="7">
        <f>AB2762/39.3701</f>
      </c>
      <c r="AG2762" s="7">
        <f>AC2762/39.3701</f>
      </c>
      <c r="AH2762" s="7">
        <f>AD2762/39.3701</f>
      </c>
      <c r="AI2762" s="1"/>
      <c r="AJ2762" s="1"/>
      <c r="AK2762" s="1"/>
      <c r="AL2762" s="1"/>
      <c r="AM2762" s="2"/>
      <c r="AN2762" s="1"/>
      <c r="AO2762" s="1"/>
      <c r="AP2762" s="1"/>
      <c r="AQ2762" s="1"/>
      <c r="AR2762" s="1"/>
      <c r="AS2762" s="1"/>
      <c r="AT2762" s="1"/>
      <c r="AU2762" s="1"/>
      <c r="AV2762" s="1"/>
      <c r="AW2762" s="1"/>
      <c r="AX2762" s="1"/>
      <c r="AY2762" s="1"/>
      <c r="AZ2762" s="1"/>
      <c r="BA2762" s="1"/>
      <c r="BB2762" s="1"/>
      <c r="BC2762" s="1"/>
      <c r="BD2762" s="1"/>
      <c r="BE2762" s="1"/>
    </row>
    <row x14ac:dyDescent="0.25" r="2763" customHeight="1" ht="18.75">
      <c r="A2763" s="1"/>
      <c r="B2763" s="2"/>
      <c r="C2763" s="2"/>
      <c r="D2763" s="2"/>
      <c r="E2763" s="2"/>
      <c r="F2763" s="2"/>
      <c r="G2763" s="1"/>
      <c r="H2763" s="1"/>
      <c r="I2763" s="7">
        <v>2.76</v>
      </c>
      <c r="J2763" s="7">
        <f>IF((I2763-ROUNDDOWN(I2763,0))=0, 0, (I2763-ROUNDDOWN(I2763,0)))</f>
      </c>
      <c r="K2763" s="7">
        <f>INDIRECT("C$"&amp;2+MIN(2,ROUNDDOWN(I2763,0))*3)*(-$J2763^3+3*$J2763^2-3*$J2763+1)+INDIRECT("C$"&amp;3+MIN(2,ROUNDDOWN(I2763,0))*3)*(3*$J2763^3-6*$J2763^2+3*$J2763)+INDIRECT("C$"&amp;4+MIN(2,ROUNDDOWN(I2763,0))*3)*(-3*$J2763^3+3*$J2763^2)+INDIRECT("C$"&amp;5+MIN(2,ROUNDDOWN(I2763,0))*3)*$J2763^3</f>
      </c>
      <c r="L2763" s="7">
        <f>INDIRECT("D$"&amp;2+MIN(2,ROUNDDOWN(I2763,0))*3)*(-$J2763^3+3*$J2763^2-3*$J2763+1)+INDIRECT("D$"&amp;3+MIN(2,ROUNDDOWN(I2763,0))*3)*(3*$J2763^3-6*$J2763^2+3*$J2763)+INDIRECT("D$"&amp;4+MIN(2,ROUNDDOWN(I2763,0))*3)*(-3*$J2763^3+3*$J2763^2)+INDIRECT("D$"&amp;5+MIN(2,ROUNDDOWN(I2763,0))*3)*$J2763^3</f>
      </c>
      <c r="M2763" s="7">
        <f>SQRT(K2763^2+L2763^2)</f>
      </c>
      <c r="N2763" s="7">
        <f>(K2764-K2762)</f>
      </c>
      <c r="O2763" s="7">
        <f>+(L2764-L2762)</f>
      </c>
      <c r="P2763" s="7">
        <f>SQRT(O2763^2+N2763^2)</f>
      </c>
      <c r="Q2763" s="7">
        <f>N2763/$P2763</f>
      </c>
      <c r="R2763" s="7">
        <f>O2763/$P2763</f>
      </c>
      <c r="S2763" s="8">
        <f>Q2763^2+R2763^2</f>
      </c>
      <c r="T2763" s="7">
        <f>-R2763</f>
      </c>
      <c r="U2763" s="7">
        <f>Q2763</f>
      </c>
      <c r="V2763" s="7">
        <f>($C$14+($C$15-$C$14)/($D$15-$D$14)*(I2763-$D$14))/2</f>
      </c>
      <c r="W2763" s="7">
        <f>($B$22*I2763^4+$C$22*I2763^3+$D$22*I2763^2+$E$22*I2763+$F$22)/2</f>
      </c>
      <c r="X2763" s="7">
        <f>($W2763)*(T2763)</f>
      </c>
      <c r="Y2763" s="7">
        <f>($W2763)*(U2763)</f>
      </c>
      <c r="Z2763" s="7">
        <f>SQRT(X2763^2+Y2763^2)</f>
      </c>
      <c r="AA2763" s="7">
        <f>$K2763+$X2763</f>
      </c>
      <c r="AB2763" s="7">
        <f>$L2763+$Y2763</f>
      </c>
      <c r="AC2763" s="7">
        <f>$K2763-$X2763</f>
      </c>
      <c r="AD2763" s="7">
        <f>$L2763-$Y2763</f>
      </c>
      <c r="AE2763" s="7">
        <f>AA2763/39.3701</f>
      </c>
      <c r="AF2763" s="7">
        <f>AB2763/39.3701</f>
      </c>
      <c r="AG2763" s="7">
        <f>AC2763/39.3701</f>
      </c>
      <c r="AH2763" s="7">
        <f>AD2763/39.3701</f>
      </c>
      <c r="AI2763" s="1"/>
      <c r="AJ2763" s="1"/>
      <c r="AK2763" s="1"/>
      <c r="AL2763" s="1"/>
      <c r="AM2763" s="2"/>
      <c r="AN2763" s="1"/>
      <c r="AO2763" s="1"/>
      <c r="AP2763" s="1"/>
      <c r="AQ2763" s="1"/>
      <c r="AR2763" s="1"/>
      <c r="AS2763" s="1"/>
      <c r="AT2763" s="1"/>
      <c r="AU2763" s="1"/>
      <c r="AV2763" s="1"/>
      <c r="AW2763" s="1"/>
      <c r="AX2763" s="1"/>
      <c r="AY2763" s="1"/>
      <c r="AZ2763" s="1"/>
      <c r="BA2763" s="1"/>
      <c r="BB2763" s="1"/>
      <c r="BC2763" s="1"/>
      <c r="BD2763" s="1"/>
      <c r="BE2763" s="1"/>
    </row>
    <row x14ac:dyDescent="0.25" r="2764" customHeight="1" ht="18.75">
      <c r="A2764" s="1"/>
      <c r="B2764" s="2"/>
      <c r="C2764" s="2"/>
      <c r="D2764" s="2"/>
      <c r="E2764" s="2"/>
      <c r="F2764" s="2"/>
      <c r="G2764" s="1"/>
      <c r="H2764" s="1"/>
      <c r="I2764" s="7">
        <v>2.761</v>
      </c>
      <c r="J2764" s="7">
        <f>IF((I2764-ROUNDDOWN(I2764,0))=0, 0, (I2764-ROUNDDOWN(I2764,0)))</f>
      </c>
      <c r="K2764" s="7">
        <f>INDIRECT("C$"&amp;2+MIN(2,ROUNDDOWN(I2764,0))*3)*(-$J2764^3+3*$J2764^2-3*$J2764+1)+INDIRECT("C$"&amp;3+MIN(2,ROUNDDOWN(I2764,0))*3)*(3*$J2764^3-6*$J2764^2+3*$J2764)+INDIRECT("C$"&amp;4+MIN(2,ROUNDDOWN(I2764,0))*3)*(-3*$J2764^3+3*$J2764^2)+INDIRECT("C$"&amp;5+MIN(2,ROUNDDOWN(I2764,0))*3)*$J2764^3</f>
      </c>
      <c r="L2764" s="7">
        <f>INDIRECT("D$"&amp;2+MIN(2,ROUNDDOWN(I2764,0))*3)*(-$J2764^3+3*$J2764^2-3*$J2764+1)+INDIRECT("D$"&amp;3+MIN(2,ROUNDDOWN(I2764,0))*3)*(3*$J2764^3-6*$J2764^2+3*$J2764)+INDIRECT("D$"&amp;4+MIN(2,ROUNDDOWN(I2764,0))*3)*(-3*$J2764^3+3*$J2764^2)+INDIRECT("D$"&amp;5+MIN(2,ROUNDDOWN(I2764,0))*3)*$J2764^3</f>
      </c>
      <c r="M2764" s="7">
        <f>SQRT(K2764^2+L2764^2)</f>
      </c>
      <c r="N2764" s="7">
        <f>(K2765-K2763)</f>
      </c>
      <c r="O2764" s="7">
        <f>+(L2765-L2763)</f>
      </c>
      <c r="P2764" s="7">
        <f>SQRT(O2764^2+N2764^2)</f>
      </c>
      <c r="Q2764" s="7">
        <f>N2764/$P2764</f>
      </c>
      <c r="R2764" s="7">
        <f>O2764/$P2764</f>
      </c>
      <c r="S2764" s="8">
        <f>Q2764^2+R2764^2</f>
      </c>
      <c r="T2764" s="7">
        <f>-R2764</f>
      </c>
      <c r="U2764" s="7">
        <f>Q2764</f>
      </c>
      <c r="V2764" s="7">
        <f>($C$14+($C$15-$C$14)/($D$15-$D$14)*(I2764-$D$14))/2</f>
      </c>
      <c r="W2764" s="7">
        <f>($B$22*I2764^4+$C$22*I2764^3+$D$22*I2764^2+$E$22*I2764+$F$22)/2</f>
      </c>
      <c r="X2764" s="7">
        <f>($W2764)*(T2764)</f>
      </c>
      <c r="Y2764" s="7">
        <f>($W2764)*(U2764)</f>
      </c>
      <c r="Z2764" s="7">
        <f>SQRT(X2764^2+Y2764^2)</f>
      </c>
      <c r="AA2764" s="7">
        <f>$K2764+$X2764</f>
      </c>
      <c r="AB2764" s="7">
        <f>$L2764+$Y2764</f>
      </c>
      <c r="AC2764" s="7">
        <f>$K2764-$X2764</f>
      </c>
      <c r="AD2764" s="7">
        <f>$L2764-$Y2764</f>
      </c>
      <c r="AE2764" s="7">
        <f>AA2764/39.3701</f>
      </c>
      <c r="AF2764" s="7">
        <f>AB2764/39.3701</f>
      </c>
      <c r="AG2764" s="7">
        <f>AC2764/39.3701</f>
      </c>
      <c r="AH2764" s="7">
        <f>AD2764/39.3701</f>
      </c>
      <c r="AI2764" s="1"/>
      <c r="AJ2764" s="1"/>
      <c r="AK2764" s="1"/>
      <c r="AL2764" s="1"/>
      <c r="AM2764" s="2"/>
      <c r="AN2764" s="1"/>
      <c r="AO2764" s="1"/>
      <c r="AP2764" s="1"/>
      <c r="AQ2764" s="1"/>
      <c r="AR2764" s="1"/>
      <c r="AS2764" s="1"/>
      <c r="AT2764" s="1"/>
      <c r="AU2764" s="1"/>
      <c r="AV2764" s="1"/>
      <c r="AW2764" s="1"/>
      <c r="AX2764" s="1"/>
      <c r="AY2764" s="1"/>
      <c r="AZ2764" s="1"/>
      <c r="BA2764" s="1"/>
      <c r="BB2764" s="1"/>
      <c r="BC2764" s="1"/>
      <c r="BD2764" s="1"/>
      <c r="BE2764" s="1"/>
    </row>
    <row x14ac:dyDescent="0.25" r="2765" customHeight="1" ht="18.75">
      <c r="A2765" s="1"/>
      <c r="B2765" s="2"/>
      <c r="C2765" s="2"/>
      <c r="D2765" s="2"/>
      <c r="E2765" s="2"/>
      <c r="F2765" s="2"/>
      <c r="G2765" s="1"/>
      <c r="H2765" s="1"/>
      <c r="I2765" s="7">
        <v>2.762</v>
      </c>
      <c r="J2765" s="7">
        <f>IF((I2765-ROUNDDOWN(I2765,0))=0, 0, (I2765-ROUNDDOWN(I2765,0)))</f>
      </c>
      <c r="K2765" s="7">
        <f>INDIRECT("C$"&amp;2+MIN(2,ROUNDDOWN(I2765,0))*3)*(-$J2765^3+3*$J2765^2-3*$J2765+1)+INDIRECT("C$"&amp;3+MIN(2,ROUNDDOWN(I2765,0))*3)*(3*$J2765^3-6*$J2765^2+3*$J2765)+INDIRECT("C$"&amp;4+MIN(2,ROUNDDOWN(I2765,0))*3)*(-3*$J2765^3+3*$J2765^2)+INDIRECT("C$"&amp;5+MIN(2,ROUNDDOWN(I2765,0))*3)*$J2765^3</f>
      </c>
      <c r="L2765" s="7">
        <f>INDIRECT("D$"&amp;2+MIN(2,ROUNDDOWN(I2765,0))*3)*(-$J2765^3+3*$J2765^2-3*$J2765+1)+INDIRECT("D$"&amp;3+MIN(2,ROUNDDOWN(I2765,0))*3)*(3*$J2765^3-6*$J2765^2+3*$J2765)+INDIRECT("D$"&amp;4+MIN(2,ROUNDDOWN(I2765,0))*3)*(-3*$J2765^3+3*$J2765^2)+INDIRECT("D$"&amp;5+MIN(2,ROUNDDOWN(I2765,0))*3)*$J2765^3</f>
      </c>
      <c r="M2765" s="7">
        <f>SQRT(K2765^2+L2765^2)</f>
      </c>
      <c r="N2765" s="7">
        <f>(K2766-K2764)</f>
      </c>
      <c r="O2765" s="7">
        <f>+(L2766-L2764)</f>
      </c>
      <c r="P2765" s="7">
        <f>SQRT(O2765^2+N2765^2)</f>
      </c>
      <c r="Q2765" s="7">
        <f>N2765/$P2765</f>
      </c>
      <c r="R2765" s="7">
        <f>O2765/$P2765</f>
      </c>
      <c r="S2765" s="8">
        <f>Q2765^2+R2765^2</f>
      </c>
      <c r="T2765" s="7">
        <f>-R2765</f>
      </c>
      <c r="U2765" s="7">
        <f>Q2765</f>
      </c>
      <c r="V2765" s="7">
        <f>($C$14+($C$15-$C$14)/($D$15-$D$14)*(I2765-$D$14))/2</f>
      </c>
      <c r="W2765" s="7">
        <f>($B$22*I2765^4+$C$22*I2765^3+$D$22*I2765^2+$E$22*I2765+$F$22)/2</f>
      </c>
      <c r="X2765" s="7">
        <f>($W2765)*(T2765)</f>
      </c>
      <c r="Y2765" s="7">
        <f>($W2765)*(U2765)</f>
      </c>
      <c r="Z2765" s="7">
        <f>SQRT(X2765^2+Y2765^2)</f>
      </c>
      <c r="AA2765" s="7">
        <f>$K2765+$X2765</f>
      </c>
      <c r="AB2765" s="7">
        <f>$L2765+$Y2765</f>
      </c>
      <c r="AC2765" s="7">
        <f>$K2765-$X2765</f>
      </c>
      <c r="AD2765" s="7">
        <f>$L2765-$Y2765</f>
      </c>
      <c r="AE2765" s="7">
        <f>AA2765/39.3701</f>
      </c>
      <c r="AF2765" s="7">
        <f>AB2765/39.3701</f>
      </c>
      <c r="AG2765" s="7">
        <f>AC2765/39.3701</f>
      </c>
      <c r="AH2765" s="7">
        <f>AD2765/39.3701</f>
      </c>
      <c r="AI2765" s="1"/>
      <c r="AJ2765" s="1"/>
      <c r="AK2765" s="1"/>
      <c r="AL2765" s="1"/>
      <c r="AM2765" s="2"/>
      <c r="AN2765" s="1"/>
      <c r="AO2765" s="1"/>
      <c r="AP2765" s="1"/>
      <c r="AQ2765" s="1"/>
      <c r="AR2765" s="1"/>
      <c r="AS2765" s="1"/>
      <c r="AT2765" s="1"/>
      <c r="AU2765" s="1"/>
      <c r="AV2765" s="1"/>
      <c r="AW2765" s="1"/>
      <c r="AX2765" s="1"/>
      <c r="AY2765" s="1"/>
      <c r="AZ2765" s="1"/>
      <c r="BA2765" s="1"/>
      <c r="BB2765" s="1"/>
      <c r="BC2765" s="1"/>
      <c r="BD2765" s="1"/>
      <c r="BE2765" s="1"/>
    </row>
    <row x14ac:dyDescent="0.25" r="2766" customHeight="1" ht="18.75">
      <c r="A2766" s="1"/>
      <c r="B2766" s="2"/>
      <c r="C2766" s="2"/>
      <c r="D2766" s="2"/>
      <c r="E2766" s="2"/>
      <c r="F2766" s="2"/>
      <c r="G2766" s="1"/>
      <c r="H2766" s="1"/>
      <c r="I2766" s="7">
        <v>2.763</v>
      </c>
      <c r="J2766" s="7">
        <f>IF((I2766-ROUNDDOWN(I2766,0))=0, 0, (I2766-ROUNDDOWN(I2766,0)))</f>
      </c>
      <c r="K2766" s="7">
        <f>INDIRECT("C$"&amp;2+MIN(2,ROUNDDOWN(I2766,0))*3)*(-$J2766^3+3*$J2766^2-3*$J2766+1)+INDIRECT("C$"&amp;3+MIN(2,ROUNDDOWN(I2766,0))*3)*(3*$J2766^3-6*$J2766^2+3*$J2766)+INDIRECT("C$"&amp;4+MIN(2,ROUNDDOWN(I2766,0))*3)*(-3*$J2766^3+3*$J2766^2)+INDIRECT("C$"&amp;5+MIN(2,ROUNDDOWN(I2766,0))*3)*$J2766^3</f>
      </c>
      <c r="L2766" s="7">
        <f>INDIRECT("D$"&amp;2+MIN(2,ROUNDDOWN(I2766,0))*3)*(-$J2766^3+3*$J2766^2-3*$J2766+1)+INDIRECT("D$"&amp;3+MIN(2,ROUNDDOWN(I2766,0))*3)*(3*$J2766^3-6*$J2766^2+3*$J2766)+INDIRECT("D$"&amp;4+MIN(2,ROUNDDOWN(I2766,0))*3)*(-3*$J2766^3+3*$J2766^2)+INDIRECT("D$"&amp;5+MIN(2,ROUNDDOWN(I2766,0))*3)*$J2766^3</f>
      </c>
      <c r="M2766" s="7">
        <f>SQRT(K2766^2+L2766^2)</f>
      </c>
      <c r="N2766" s="7">
        <f>(K2767-K2765)</f>
      </c>
      <c r="O2766" s="7">
        <f>+(L2767-L2765)</f>
      </c>
      <c r="P2766" s="7">
        <f>SQRT(O2766^2+N2766^2)</f>
      </c>
      <c r="Q2766" s="7">
        <f>N2766/$P2766</f>
      </c>
      <c r="R2766" s="7">
        <f>O2766/$P2766</f>
      </c>
      <c r="S2766" s="8">
        <f>Q2766^2+R2766^2</f>
      </c>
      <c r="T2766" s="7">
        <f>-R2766</f>
      </c>
      <c r="U2766" s="7">
        <f>Q2766</f>
      </c>
      <c r="V2766" s="7">
        <f>($C$14+($C$15-$C$14)/($D$15-$D$14)*(I2766-$D$14))/2</f>
      </c>
      <c r="W2766" s="7">
        <f>($B$22*I2766^4+$C$22*I2766^3+$D$22*I2766^2+$E$22*I2766+$F$22)/2</f>
      </c>
      <c r="X2766" s="7">
        <f>($W2766)*(T2766)</f>
      </c>
      <c r="Y2766" s="7">
        <f>($W2766)*(U2766)</f>
      </c>
      <c r="Z2766" s="7">
        <f>SQRT(X2766^2+Y2766^2)</f>
      </c>
      <c r="AA2766" s="7">
        <f>$K2766+$X2766</f>
      </c>
      <c r="AB2766" s="7">
        <f>$L2766+$Y2766</f>
      </c>
      <c r="AC2766" s="7">
        <f>$K2766-$X2766</f>
      </c>
      <c r="AD2766" s="7">
        <f>$L2766-$Y2766</f>
      </c>
      <c r="AE2766" s="7">
        <f>AA2766/39.3701</f>
      </c>
      <c r="AF2766" s="7">
        <f>AB2766/39.3701</f>
      </c>
      <c r="AG2766" s="7">
        <f>AC2766/39.3701</f>
      </c>
      <c r="AH2766" s="7">
        <f>AD2766/39.3701</f>
      </c>
      <c r="AI2766" s="1"/>
      <c r="AJ2766" s="1"/>
      <c r="AK2766" s="1"/>
      <c r="AL2766" s="1"/>
      <c r="AM2766" s="2"/>
      <c r="AN2766" s="1"/>
      <c r="AO2766" s="1"/>
      <c r="AP2766" s="1"/>
      <c r="AQ2766" s="1"/>
      <c r="AR2766" s="1"/>
      <c r="AS2766" s="1"/>
      <c r="AT2766" s="1"/>
      <c r="AU2766" s="1"/>
      <c r="AV2766" s="1"/>
      <c r="AW2766" s="1"/>
      <c r="AX2766" s="1"/>
      <c r="AY2766" s="1"/>
      <c r="AZ2766" s="1"/>
      <c r="BA2766" s="1"/>
      <c r="BB2766" s="1"/>
      <c r="BC2766" s="1"/>
      <c r="BD2766" s="1"/>
      <c r="BE2766" s="1"/>
    </row>
    <row x14ac:dyDescent="0.25" r="2767" customHeight="1" ht="18.75">
      <c r="A2767" s="1"/>
      <c r="B2767" s="2"/>
      <c r="C2767" s="2"/>
      <c r="D2767" s="2"/>
      <c r="E2767" s="2"/>
      <c r="F2767" s="2"/>
      <c r="G2767" s="1"/>
      <c r="H2767" s="1"/>
      <c r="I2767" s="7">
        <v>2.764</v>
      </c>
      <c r="J2767" s="7">
        <f>IF((I2767-ROUNDDOWN(I2767,0))=0, 0, (I2767-ROUNDDOWN(I2767,0)))</f>
      </c>
      <c r="K2767" s="7">
        <f>INDIRECT("C$"&amp;2+MIN(2,ROUNDDOWN(I2767,0))*3)*(-$J2767^3+3*$J2767^2-3*$J2767+1)+INDIRECT("C$"&amp;3+MIN(2,ROUNDDOWN(I2767,0))*3)*(3*$J2767^3-6*$J2767^2+3*$J2767)+INDIRECT("C$"&amp;4+MIN(2,ROUNDDOWN(I2767,0))*3)*(-3*$J2767^3+3*$J2767^2)+INDIRECT("C$"&amp;5+MIN(2,ROUNDDOWN(I2767,0))*3)*$J2767^3</f>
      </c>
      <c r="L2767" s="7">
        <f>INDIRECT("D$"&amp;2+MIN(2,ROUNDDOWN(I2767,0))*3)*(-$J2767^3+3*$J2767^2-3*$J2767+1)+INDIRECT("D$"&amp;3+MIN(2,ROUNDDOWN(I2767,0))*3)*(3*$J2767^3-6*$J2767^2+3*$J2767)+INDIRECT("D$"&amp;4+MIN(2,ROUNDDOWN(I2767,0))*3)*(-3*$J2767^3+3*$J2767^2)+INDIRECT("D$"&amp;5+MIN(2,ROUNDDOWN(I2767,0))*3)*$J2767^3</f>
      </c>
      <c r="M2767" s="7">
        <f>SQRT(K2767^2+L2767^2)</f>
      </c>
      <c r="N2767" s="7">
        <f>(K2768-K2766)</f>
      </c>
      <c r="O2767" s="7">
        <f>+(L2768-L2766)</f>
      </c>
      <c r="P2767" s="7">
        <f>SQRT(O2767^2+N2767^2)</f>
      </c>
      <c r="Q2767" s="7">
        <f>N2767/$P2767</f>
      </c>
      <c r="R2767" s="7">
        <f>O2767/$P2767</f>
      </c>
      <c r="S2767" s="7">
        <f>Q2767^2+R2767^2</f>
      </c>
      <c r="T2767" s="7">
        <f>-R2767</f>
      </c>
      <c r="U2767" s="7">
        <f>Q2767</f>
      </c>
      <c r="V2767" s="7">
        <f>($C$14+($C$15-$C$14)/($D$15-$D$14)*(I2767-$D$14))/2</f>
      </c>
      <c r="W2767" s="7">
        <f>($B$22*I2767^4+$C$22*I2767^3+$D$22*I2767^2+$E$22*I2767+$F$22)/2</f>
      </c>
      <c r="X2767" s="7">
        <f>($W2767)*(T2767)</f>
      </c>
      <c r="Y2767" s="7">
        <f>($W2767)*(U2767)</f>
      </c>
      <c r="Z2767" s="7">
        <f>SQRT(X2767^2+Y2767^2)</f>
      </c>
      <c r="AA2767" s="7">
        <f>$K2767+$X2767</f>
      </c>
      <c r="AB2767" s="7">
        <f>$L2767+$Y2767</f>
      </c>
      <c r="AC2767" s="7">
        <f>$K2767-$X2767</f>
      </c>
      <c r="AD2767" s="7">
        <f>$L2767-$Y2767</f>
      </c>
      <c r="AE2767" s="7">
        <f>AA2767/39.3701</f>
      </c>
      <c r="AF2767" s="7">
        <f>AB2767/39.3701</f>
      </c>
      <c r="AG2767" s="7">
        <f>AC2767/39.3701</f>
      </c>
      <c r="AH2767" s="7">
        <f>AD2767/39.3701</f>
      </c>
      <c r="AI2767" s="1"/>
      <c r="AJ2767" s="1"/>
      <c r="AK2767" s="1"/>
      <c r="AL2767" s="1"/>
      <c r="AM2767" s="2"/>
      <c r="AN2767" s="1"/>
      <c r="AO2767" s="1"/>
      <c r="AP2767" s="1"/>
      <c r="AQ2767" s="1"/>
      <c r="AR2767" s="1"/>
      <c r="AS2767" s="1"/>
      <c r="AT2767" s="1"/>
      <c r="AU2767" s="1"/>
      <c r="AV2767" s="1"/>
      <c r="AW2767" s="1"/>
      <c r="AX2767" s="1"/>
      <c r="AY2767" s="1"/>
      <c r="AZ2767" s="1"/>
      <c r="BA2767" s="1"/>
      <c r="BB2767" s="1"/>
      <c r="BC2767" s="1"/>
      <c r="BD2767" s="1"/>
      <c r="BE2767" s="1"/>
    </row>
    <row x14ac:dyDescent="0.25" r="2768" customHeight="1" ht="18.75">
      <c r="A2768" s="1"/>
      <c r="B2768" s="2"/>
      <c r="C2768" s="2"/>
      <c r="D2768" s="2"/>
      <c r="E2768" s="2"/>
      <c r="F2768" s="2"/>
      <c r="G2768" s="1"/>
      <c r="H2768" s="1"/>
      <c r="I2768" s="7">
        <v>2.765</v>
      </c>
      <c r="J2768" s="7">
        <f>IF((I2768-ROUNDDOWN(I2768,0))=0, 0, (I2768-ROUNDDOWN(I2768,0)))</f>
      </c>
      <c r="K2768" s="7">
        <f>INDIRECT("C$"&amp;2+MIN(2,ROUNDDOWN(I2768,0))*3)*(-$J2768^3+3*$J2768^2-3*$J2768+1)+INDIRECT("C$"&amp;3+MIN(2,ROUNDDOWN(I2768,0))*3)*(3*$J2768^3-6*$J2768^2+3*$J2768)+INDIRECT("C$"&amp;4+MIN(2,ROUNDDOWN(I2768,0))*3)*(-3*$J2768^3+3*$J2768^2)+INDIRECT("C$"&amp;5+MIN(2,ROUNDDOWN(I2768,0))*3)*$J2768^3</f>
      </c>
      <c r="L2768" s="7">
        <f>INDIRECT("D$"&amp;2+MIN(2,ROUNDDOWN(I2768,0))*3)*(-$J2768^3+3*$J2768^2-3*$J2768+1)+INDIRECT("D$"&amp;3+MIN(2,ROUNDDOWN(I2768,0))*3)*(3*$J2768^3-6*$J2768^2+3*$J2768)+INDIRECT("D$"&amp;4+MIN(2,ROUNDDOWN(I2768,0))*3)*(-3*$J2768^3+3*$J2768^2)+INDIRECT("D$"&amp;5+MIN(2,ROUNDDOWN(I2768,0))*3)*$J2768^3</f>
      </c>
      <c r="M2768" s="7">
        <f>SQRT(K2768^2+L2768^2)</f>
      </c>
      <c r="N2768" s="7">
        <f>(K2769-K2767)</f>
      </c>
      <c r="O2768" s="7">
        <f>+(L2769-L2767)</f>
      </c>
      <c r="P2768" s="7">
        <f>SQRT(O2768^2+N2768^2)</f>
      </c>
      <c r="Q2768" s="7">
        <f>N2768/$P2768</f>
      </c>
      <c r="R2768" s="7">
        <f>O2768/$P2768</f>
      </c>
      <c r="S2768" s="8">
        <f>Q2768^2+R2768^2</f>
      </c>
      <c r="T2768" s="7">
        <f>-R2768</f>
      </c>
      <c r="U2768" s="7">
        <f>Q2768</f>
      </c>
      <c r="V2768" s="7">
        <f>($C$14+($C$15-$C$14)/($D$15-$D$14)*(I2768-$D$14))/2</f>
      </c>
      <c r="W2768" s="7">
        <f>($B$22*I2768^4+$C$22*I2768^3+$D$22*I2768^2+$E$22*I2768+$F$22)/2</f>
      </c>
      <c r="X2768" s="7">
        <f>($W2768)*(T2768)</f>
      </c>
      <c r="Y2768" s="7">
        <f>($W2768)*(U2768)</f>
      </c>
      <c r="Z2768" s="7">
        <f>SQRT(X2768^2+Y2768^2)</f>
      </c>
      <c r="AA2768" s="7">
        <f>$K2768+$X2768</f>
      </c>
      <c r="AB2768" s="7">
        <f>$L2768+$Y2768</f>
      </c>
      <c r="AC2768" s="7">
        <f>$K2768-$X2768</f>
      </c>
      <c r="AD2768" s="7">
        <f>$L2768-$Y2768</f>
      </c>
      <c r="AE2768" s="7">
        <f>AA2768/39.3701</f>
      </c>
      <c r="AF2768" s="7">
        <f>AB2768/39.3701</f>
      </c>
      <c r="AG2768" s="7">
        <f>AC2768/39.3701</f>
      </c>
      <c r="AH2768" s="7">
        <f>AD2768/39.3701</f>
      </c>
      <c r="AI2768" s="1"/>
      <c r="AJ2768" s="1"/>
      <c r="AK2768" s="1"/>
      <c r="AL2768" s="1"/>
      <c r="AM2768" s="2"/>
      <c r="AN2768" s="1"/>
      <c r="AO2768" s="1"/>
      <c r="AP2768" s="1"/>
      <c r="AQ2768" s="1"/>
      <c r="AR2768" s="1"/>
      <c r="AS2768" s="1"/>
      <c r="AT2768" s="1"/>
      <c r="AU2768" s="1"/>
      <c r="AV2768" s="1"/>
      <c r="AW2768" s="1"/>
      <c r="AX2768" s="1"/>
      <c r="AY2768" s="1"/>
      <c r="AZ2768" s="1"/>
      <c r="BA2768" s="1"/>
      <c r="BB2768" s="1"/>
      <c r="BC2768" s="1"/>
      <c r="BD2768" s="1"/>
      <c r="BE2768" s="1"/>
    </row>
    <row x14ac:dyDescent="0.25" r="2769" customHeight="1" ht="18.75">
      <c r="A2769" s="1"/>
      <c r="B2769" s="2"/>
      <c r="C2769" s="2"/>
      <c r="D2769" s="2"/>
      <c r="E2769" s="2"/>
      <c r="F2769" s="2"/>
      <c r="G2769" s="1"/>
      <c r="H2769" s="1"/>
      <c r="I2769" s="7">
        <v>2.766</v>
      </c>
      <c r="J2769" s="7">
        <f>IF((I2769-ROUNDDOWN(I2769,0))=0, 0, (I2769-ROUNDDOWN(I2769,0)))</f>
      </c>
      <c r="K2769" s="7">
        <f>INDIRECT("C$"&amp;2+MIN(2,ROUNDDOWN(I2769,0))*3)*(-$J2769^3+3*$J2769^2-3*$J2769+1)+INDIRECT("C$"&amp;3+MIN(2,ROUNDDOWN(I2769,0))*3)*(3*$J2769^3-6*$J2769^2+3*$J2769)+INDIRECT("C$"&amp;4+MIN(2,ROUNDDOWN(I2769,0))*3)*(-3*$J2769^3+3*$J2769^2)+INDIRECT("C$"&amp;5+MIN(2,ROUNDDOWN(I2769,0))*3)*$J2769^3</f>
      </c>
      <c r="L2769" s="7">
        <f>INDIRECT("D$"&amp;2+MIN(2,ROUNDDOWN(I2769,0))*3)*(-$J2769^3+3*$J2769^2-3*$J2769+1)+INDIRECT("D$"&amp;3+MIN(2,ROUNDDOWN(I2769,0))*3)*(3*$J2769^3-6*$J2769^2+3*$J2769)+INDIRECT("D$"&amp;4+MIN(2,ROUNDDOWN(I2769,0))*3)*(-3*$J2769^3+3*$J2769^2)+INDIRECT("D$"&amp;5+MIN(2,ROUNDDOWN(I2769,0))*3)*$J2769^3</f>
      </c>
      <c r="M2769" s="7">
        <f>SQRT(K2769^2+L2769^2)</f>
      </c>
      <c r="N2769" s="7">
        <f>(K2770-K2768)</f>
      </c>
      <c r="O2769" s="7">
        <f>+(L2770-L2768)</f>
      </c>
      <c r="P2769" s="7">
        <f>SQRT(O2769^2+N2769^2)</f>
      </c>
      <c r="Q2769" s="7">
        <f>N2769/$P2769</f>
      </c>
      <c r="R2769" s="7">
        <f>O2769/$P2769</f>
      </c>
      <c r="S2769" s="7">
        <f>Q2769^2+R2769^2</f>
      </c>
      <c r="T2769" s="7">
        <f>-R2769</f>
      </c>
      <c r="U2769" s="7">
        <f>Q2769</f>
      </c>
      <c r="V2769" s="7">
        <f>($C$14+($C$15-$C$14)/($D$15-$D$14)*(I2769-$D$14))/2</f>
      </c>
      <c r="W2769" s="7">
        <f>($B$22*I2769^4+$C$22*I2769^3+$D$22*I2769^2+$E$22*I2769+$F$22)/2</f>
      </c>
      <c r="X2769" s="7">
        <f>($W2769)*(T2769)</f>
      </c>
      <c r="Y2769" s="7">
        <f>($W2769)*(U2769)</f>
      </c>
      <c r="Z2769" s="7">
        <f>SQRT(X2769^2+Y2769^2)</f>
      </c>
      <c r="AA2769" s="7">
        <f>$K2769+$X2769</f>
      </c>
      <c r="AB2769" s="7">
        <f>$L2769+$Y2769</f>
      </c>
      <c r="AC2769" s="7">
        <f>$K2769-$X2769</f>
      </c>
      <c r="AD2769" s="7">
        <f>$L2769-$Y2769</f>
      </c>
      <c r="AE2769" s="7">
        <f>AA2769/39.3701</f>
      </c>
      <c r="AF2769" s="7">
        <f>AB2769/39.3701</f>
      </c>
      <c r="AG2769" s="7">
        <f>AC2769/39.3701</f>
      </c>
      <c r="AH2769" s="7">
        <f>AD2769/39.3701</f>
      </c>
      <c r="AI2769" s="1"/>
      <c r="AJ2769" s="1"/>
      <c r="AK2769" s="1"/>
      <c r="AL2769" s="1"/>
      <c r="AM2769" s="2"/>
      <c r="AN2769" s="1"/>
      <c r="AO2769" s="1"/>
      <c r="AP2769" s="1"/>
      <c r="AQ2769" s="1"/>
      <c r="AR2769" s="1"/>
      <c r="AS2769" s="1"/>
      <c r="AT2769" s="1"/>
      <c r="AU2769" s="1"/>
      <c r="AV2769" s="1"/>
      <c r="AW2769" s="1"/>
      <c r="AX2769" s="1"/>
      <c r="AY2769" s="1"/>
      <c r="AZ2769" s="1"/>
      <c r="BA2769" s="1"/>
      <c r="BB2769" s="1"/>
      <c r="BC2769" s="1"/>
      <c r="BD2769" s="1"/>
      <c r="BE2769" s="1"/>
    </row>
    <row x14ac:dyDescent="0.25" r="2770" customHeight="1" ht="18.75">
      <c r="A2770" s="1"/>
      <c r="B2770" s="2"/>
      <c r="C2770" s="2"/>
      <c r="D2770" s="2"/>
      <c r="E2770" s="2"/>
      <c r="F2770" s="2"/>
      <c r="G2770" s="1"/>
      <c r="H2770" s="1"/>
      <c r="I2770" s="7">
        <v>2.767</v>
      </c>
      <c r="J2770" s="7">
        <f>IF((I2770-ROUNDDOWN(I2770,0))=0, 0, (I2770-ROUNDDOWN(I2770,0)))</f>
      </c>
      <c r="K2770" s="7">
        <f>INDIRECT("C$"&amp;2+MIN(2,ROUNDDOWN(I2770,0))*3)*(-$J2770^3+3*$J2770^2-3*$J2770+1)+INDIRECT("C$"&amp;3+MIN(2,ROUNDDOWN(I2770,0))*3)*(3*$J2770^3-6*$J2770^2+3*$J2770)+INDIRECT("C$"&amp;4+MIN(2,ROUNDDOWN(I2770,0))*3)*(-3*$J2770^3+3*$J2770^2)+INDIRECT("C$"&amp;5+MIN(2,ROUNDDOWN(I2770,0))*3)*$J2770^3</f>
      </c>
      <c r="L2770" s="7">
        <f>INDIRECT("D$"&amp;2+MIN(2,ROUNDDOWN(I2770,0))*3)*(-$J2770^3+3*$J2770^2-3*$J2770+1)+INDIRECT("D$"&amp;3+MIN(2,ROUNDDOWN(I2770,0))*3)*(3*$J2770^3-6*$J2770^2+3*$J2770)+INDIRECT("D$"&amp;4+MIN(2,ROUNDDOWN(I2770,0))*3)*(-3*$J2770^3+3*$J2770^2)+INDIRECT("D$"&amp;5+MIN(2,ROUNDDOWN(I2770,0))*3)*$J2770^3</f>
      </c>
      <c r="M2770" s="7">
        <f>SQRT(K2770^2+L2770^2)</f>
      </c>
      <c r="N2770" s="7">
        <f>(K2771-K2769)</f>
      </c>
      <c r="O2770" s="7">
        <f>+(L2771-L2769)</f>
      </c>
      <c r="P2770" s="7">
        <f>SQRT(O2770^2+N2770^2)</f>
      </c>
      <c r="Q2770" s="7">
        <f>N2770/$P2770</f>
      </c>
      <c r="R2770" s="7">
        <f>O2770/$P2770</f>
      </c>
      <c r="S2770" s="7">
        <f>Q2770^2+R2770^2</f>
      </c>
      <c r="T2770" s="7">
        <f>-R2770</f>
      </c>
      <c r="U2770" s="7">
        <f>Q2770</f>
      </c>
      <c r="V2770" s="7">
        <f>($C$14+($C$15-$C$14)/($D$15-$D$14)*(I2770-$D$14))/2</f>
      </c>
      <c r="W2770" s="7">
        <f>($B$22*I2770^4+$C$22*I2770^3+$D$22*I2770^2+$E$22*I2770+$F$22)/2</f>
      </c>
      <c r="X2770" s="7">
        <f>($W2770)*(T2770)</f>
      </c>
      <c r="Y2770" s="7">
        <f>($W2770)*(U2770)</f>
      </c>
      <c r="Z2770" s="7">
        <f>SQRT(X2770^2+Y2770^2)</f>
      </c>
      <c r="AA2770" s="7">
        <f>$K2770+$X2770</f>
      </c>
      <c r="AB2770" s="7">
        <f>$L2770+$Y2770</f>
      </c>
      <c r="AC2770" s="7">
        <f>$K2770-$X2770</f>
      </c>
      <c r="AD2770" s="7">
        <f>$L2770-$Y2770</f>
      </c>
      <c r="AE2770" s="7">
        <f>AA2770/39.3701</f>
      </c>
      <c r="AF2770" s="7">
        <f>AB2770/39.3701</f>
      </c>
      <c r="AG2770" s="7">
        <f>AC2770/39.3701</f>
      </c>
      <c r="AH2770" s="7">
        <f>AD2770/39.3701</f>
      </c>
      <c r="AI2770" s="1"/>
      <c r="AJ2770" s="1"/>
      <c r="AK2770" s="1"/>
      <c r="AL2770" s="1"/>
      <c r="AM2770" s="2"/>
      <c r="AN2770" s="1"/>
      <c r="AO2770" s="1"/>
      <c r="AP2770" s="1"/>
      <c r="AQ2770" s="1"/>
      <c r="AR2770" s="1"/>
      <c r="AS2770" s="1"/>
      <c r="AT2770" s="1"/>
      <c r="AU2770" s="1"/>
      <c r="AV2770" s="1"/>
      <c r="AW2770" s="1"/>
      <c r="AX2770" s="1"/>
      <c r="AY2770" s="1"/>
      <c r="AZ2770" s="1"/>
      <c r="BA2770" s="1"/>
      <c r="BB2770" s="1"/>
      <c r="BC2770" s="1"/>
      <c r="BD2770" s="1"/>
      <c r="BE2770" s="1"/>
    </row>
    <row x14ac:dyDescent="0.25" r="2771" customHeight="1" ht="18.75">
      <c r="A2771" s="1"/>
      <c r="B2771" s="2"/>
      <c r="C2771" s="2"/>
      <c r="D2771" s="2"/>
      <c r="E2771" s="2"/>
      <c r="F2771" s="2"/>
      <c r="G2771" s="1"/>
      <c r="H2771" s="1"/>
      <c r="I2771" s="7">
        <v>2.768</v>
      </c>
      <c r="J2771" s="7">
        <f>IF((I2771-ROUNDDOWN(I2771,0))=0, 0, (I2771-ROUNDDOWN(I2771,0)))</f>
      </c>
      <c r="K2771" s="7">
        <f>INDIRECT("C$"&amp;2+MIN(2,ROUNDDOWN(I2771,0))*3)*(-$J2771^3+3*$J2771^2-3*$J2771+1)+INDIRECT("C$"&amp;3+MIN(2,ROUNDDOWN(I2771,0))*3)*(3*$J2771^3-6*$J2771^2+3*$J2771)+INDIRECT("C$"&amp;4+MIN(2,ROUNDDOWN(I2771,0))*3)*(-3*$J2771^3+3*$J2771^2)+INDIRECT("C$"&amp;5+MIN(2,ROUNDDOWN(I2771,0))*3)*$J2771^3</f>
      </c>
      <c r="L2771" s="7">
        <f>INDIRECT("D$"&amp;2+MIN(2,ROUNDDOWN(I2771,0))*3)*(-$J2771^3+3*$J2771^2-3*$J2771+1)+INDIRECT("D$"&amp;3+MIN(2,ROUNDDOWN(I2771,0))*3)*(3*$J2771^3-6*$J2771^2+3*$J2771)+INDIRECT("D$"&amp;4+MIN(2,ROUNDDOWN(I2771,0))*3)*(-3*$J2771^3+3*$J2771^2)+INDIRECT("D$"&amp;5+MIN(2,ROUNDDOWN(I2771,0))*3)*$J2771^3</f>
      </c>
      <c r="M2771" s="7">
        <f>SQRT(K2771^2+L2771^2)</f>
      </c>
      <c r="N2771" s="7">
        <f>(K2772-K2770)</f>
      </c>
      <c r="O2771" s="7">
        <f>+(L2772-L2770)</f>
      </c>
      <c r="P2771" s="7">
        <f>SQRT(O2771^2+N2771^2)</f>
      </c>
      <c r="Q2771" s="7">
        <f>N2771/$P2771</f>
      </c>
      <c r="R2771" s="7">
        <f>O2771/$P2771</f>
      </c>
      <c r="S2771" s="7">
        <f>Q2771^2+R2771^2</f>
      </c>
      <c r="T2771" s="7">
        <f>-R2771</f>
      </c>
      <c r="U2771" s="7">
        <f>Q2771</f>
      </c>
      <c r="V2771" s="7">
        <f>($C$14+($C$15-$C$14)/($D$15-$D$14)*(I2771-$D$14))/2</f>
      </c>
      <c r="W2771" s="7">
        <f>($B$22*I2771^4+$C$22*I2771^3+$D$22*I2771^2+$E$22*I2771+$F$22)/2</f>
      </c>
      <c r="X2771" s="7">
        <f>($W2771)*(T2771)</f>
      </c>
      <c r="Y2771" s="7">
        <f>($W2771)*(U2771)</f>
      </c>
      <c r="Z2771" s="7">
        <f>SQRT(X2771^2+Y2771^2)</f>
      </c>
      <c r="AA2771" s="7">
        <f>$K2771+$X2771</f>
      </c>
      <c r="AB2771" s="7">
        <f>$L2771+$Y2771</f>
      </c>
      <c r="AC2771" s="7">
        <f>$K2771-$X2771</f>
      </c>
      <c r="AD2771" s="7">
        <f>$L2771-$Y2771</f>
      </c>
      <c r="AE2771" s="7">
        <f>AA2771/39.3701</f>
      </c>
      <c r="AF2771" s="7">
        <f>AB2771/39.3701</f>
      </c>
      <c r="AG2771" s="7">
        <f>AC2771/39.3701</f>
      </c>
      <c r="AH2771" s="7">
        <f>AD2771/39.3701</f>
      </c>
      <c r="AI2771" s="1"/>
      <c r="AJ2771" s="1"/>
      <c r="AK2771" s="1"/>
      <c r="AL2771" s="1"/>
      <c r="AM2771" s="2"/>
      <c r="AN2771" s="1"/>
      <c r="AO2771" s="1"/>
      <c r="AP2771" s="1"/>
      <c r="AQ2771" s="1"/>
      <c r="AR2771" s="1"/>
      <c r="AS2771" s="1"/>
      <c r="AT2771" s="1"/>
      <c r="AU2771" s="1"/>
      <c r="AV2771" s="1"/>
      <c r="AW2771" s="1"/>
      <c r="AX2771" s="1"/>
      <c r="AY2771" s="1"/>
      <c r="AZ2771" s="1"/>
      <c r="BA2771" s="1"/>
      <c r="BB2771" s="1"/>
      <c r="BC2771" s="1"/>
      <c r="BD2771" s="1"/>
      <c r="BE2771" s="1"/>
    </row>
    <row x14ac:dyDescent="0.25" r="2772" customHeight="1" ht="18.75">
      <c r="A2772" s="1"/>
      <c r="B2772" s="2"/>
      <c r="C2772" s="2"/>
      <c r="D2772" s="2"/>
      <c r="E2772" s="2"/>
      <c r="F2772" s="2"/>
      <c r="G2772" s="1"/>
      <c r="H2772" s="1"/>
      <c r="I2772" s="7">
        <v>2.769</v>
      </c>
      <c r="J2772" s="7">
        <f>IF((I2772-ROUNDDOWN(I2772,0))=0, 0, (I2772-ROUNDDOWN(I2772,0)))</f>
      </c>
      <c r="K2772" s="7">
        <f>INDIRECT("C$"&amp;2+MIN(2,ROUNDDOWN(I2772,0))*3)*(-$J2772^3+3*$J2772^2-3*$J2772+1)+INDIRECT("C$"&amp;3+MIN(2,ROUNDDOWN(I2772,0))*3)*(3*$J2772^3-6*$J2772^2+3*$J2772)+INDIRECT("C$"&amp;4+MIN(2,ROUNDDOWN(I2772,0))*3)*(-3*$J2772^3+3*$J2772^2)+INDIRECT("C$"&amp;5+MIN(2,ROUNDDOWN(I2772,0))*3)*$J2772^3</f>
      </c>
      <c r="L2772" s="7">
        <f>INDIRECT("D$"&amp;2+MIN(2,ROUNDDOWN(I2772,0))*3)*(-$J2772^3+3*$J2772^2-3*$J2772+1)+INDIRECT("D$"&amp;3+MIN(2,ROUNDDOWN(I2772,0))*3)*(3*$J2772^3-6*$J2772^2+3*$J2772)+INDIRECT("D$"&amp;4+MIN(2,ROUNDDOWN(I2772,0))*3)*(-3*$J2772^3+3*$J2772^2)+INDIRECT("D$"&amp;5+MIN(2,ROUNDDOWN(I2772,0))*3)*$J2772^3</f>
      </c>
      <c r="M2772" s="7">
        <f>SQRT(K2772^2+L2772^2)</f>
      </c>
      <c r="N2772" s="7">
        <f>(K2773-K2771)</f>
      </c>
      <c r="O2772" s="7">
        <f>+(L2773-L2771)</f>
      </c>
      <c r="P2772" s="7">
        <f>SQRT(O2772^2+N2772^2)</f>
      </c>
      <c r="Q2772" s="7">
        <f>N2772/$P2772</f>
      </c>
      <c r="R2772" s="7">
        <f>O2772/$P2772</f>
      </c>
      <c r="S2772" s="7">
        <f>Q2772^2+R2772^2</f>
      </c>
      <c r="T2772" s="7">
        <f>-R2772</f>
      </c>
      <c r="U2772" s="7">
        <f>Q2772</f>
      </c>
      <c r="V2772" s="7">
        <f>($C$14+($C$15-$C$14)/($D$15-$D$14)*(I2772-$D$14))/2</f>
      </c>
      <c r="W2772" s="7">
        <f>($B$22*I2772^4+$C$22*I2772^3+$D$22*I2772^2+$E$22*I2772+$F$22)/2</f>
      </c>
      <c r="X2772" s="7">
        <f>($W2772)*(T2772)</f>
      </c>
      <c r="Y2772" s="7">
        <f>($W2772)*(U2772)</f>
      </c>
      <c r="Z2772" s="7">
        <f>SQRT(X2772^2+Y2772^2)</f>
      </c>
      <c r="AA2772" s="7">
        <f>$K2772+$X2772</f>
      </c>
      <c r="AB2772" s="7">
        <f>$L2772+$Y2772</f>
      </c>
      <c r="AC2772" s="7">
        <f>$K2772-$X2772</f>
      </c>
      <c r="AD2772" s="7">
        <f>$L2772-$Y2772</f>
      </c>
      <c r="AE2772" s="7">
        <f>AA2772/39.3701</f>
      </c>
      <c r="AF2772" s="7">
        <f>AB2772/39.3701</f>
      </c>
      <c r="AG2772" s="7">
        <f>AC2772/39.3701</f>
      </c>
      <c r="AH2772" s="7">
        <f>AD2772/39.3701</f>
      </c>
      <c r="AI2772" s="1"/>
      <c r="AJ2772" s="1"/>
      <c r="AK2772" s="1"/>
      <c r="AL2772" s="1"/>
      <c r="AM2772" s="2"/>
      <c r="AN2772" s="1"/>
      <c r="AO2772" s="1"/>
      <c r="AP2772" s="1"/>
      <c r="AQ2772" s="1"/>
      <c r="AR2772" s="1"/>
      <c r="AS2772" s="1"/>
      <c r="AT2772" s="1"/>
      <c r="AU2772" s="1"/>
      <c r="AV2772" s="1"/>
      <c r="AW2772" s="1"/>
      <c r="AX2772" s="1"/>
      <c r="AY2772" s="1"/>
      <c r="AZ2772" s="1"/>
      <c r="BA2772" s="1"/>
      <c r="BB2772" s="1"/>
      <c r="BC2772" s="1"/>
      <c r="BD2772" s="1"/>
      <c r="BE2772" s="1"/>
    </row>
    <row x14ac:dyDescent="0.25" r="2773" customHeight="1" ht="18.75">
      <c r="A2773" s="1"/>
      <c r="B2773" s="2"/>
      <c r="C2773" s="2"/>
      <c r="D2773" s="2"/>
      <c r="E2773" s="2"/>
      <c r="F2773" s="2"/>
      <c r="G2773" s="1"/>
      <c r="H2773" s="1"/>
      <c r="I2773" s="7">
        <v>2.77</v>
      </c>
      <c r="J2773" s="7">
        <f>IF((I2773-ROUNDDOWN(I2773,0))=0, 0, (I2773-ROUNDDOWN(I2773,0)))</f>
      </c>
      <c r="K2773" s="7">
        <f>INDIRECT("C$"&amp;2+MIN(2,ROUNDDOWN(I2773,0))*3)*(-$J2773^3+3*$J2773^2-3*$J2773+1)+INDIRECT("C$"&amp;3+MIN(2,ROUNDDOWN(I2773,0))*3)*(3*$J2773^3-6*$J2773^2+3*$J2773)+INDIRECT("C$"&amp;4+MIN(2,ROUNDDOWN(I2773,0))*3)*(-3*$J2773^3+3*$J2773^2)+INDIRECT("C$"&amp;5+MIN(2,ROUNDDOWN(I2773,0))*3)*$J2773^3</f>
      </c>
      <c r="L2773" s="7">
        <f>INDIRECT("D$"&amp;2+MIN(2,ROUNDDOWN(I2773,0))*3)*(-$J2773^3+3*$J2773^2-3*$J2773+1)+INDIRECT("D$"&amp;3+MIN(2,ROUNDDOWN(I2773,0))*3)*(3*$J2773^3-6*$J2773^2+3*$J2773)+INDIRECT("D$"&amp;4+MIN(2,ROUNDDOWN(I2773,0))*3)*(-3*$J2773^3+3*$J2773^2)+INDIRECT("D$"&amp;5+MIN(2,ROUNDDOWN(I2773,0))*3)*$J2773^3</f>
      </c>
      <c r="M2773" s="7">
        <f>SQRT(K2773^2+L2773^2)</f>
      </c>
      <c r="N2773" s="7">
        <f>(K2774-K2772)</f>
      </c>
      <c r="O2773" s="7">
        <f>+(L2774-L2772)</f>
      </c>
      <c r="P2773" s="7">
        <f>SQRT(O2773^2+N2773^2)</f>
      </c>
      <c r="Q2773" s="7">
        <f>N2773/$P2773</f>
      </c>
      <c r="R2773" s="7">
        <f>O2773/$P2773</f>
      </c>
      <c r="S2773" s="7">
        <f>Q2773^2+R2773^2</f>
      </c>
      <c r="T2773" s="7">
        <f>-R2773</f>
      </c>
      <c r="U2773" s="7">
        <f>Q2773</f>
      </c>
      <c r="V2773" s="7">
        <f>($C$14+($C$15-$C$14)/($D$15-$D$14)*(I2773-$D$14))/2</f>
      </c>
      <c r="W2773" s="7">
        <f>($B$22*I2773^4+$C$22*I2773^3+$D$22*I2773^2+$E$22*I2773+$F$22)/2</f>
      </c>
      <c r="X2773" s="7">
        <f>($W2773)*(T2773)</f>
      </c>
      <c r="Y2773" s="7">
        <f>($W2773)*(U2773)</f>
      </c>
      <c r="Z2773" s="7">
        <f>SQRT(X2773^2+Y2773^2)</f>
      </c>
      <c r="AA2773" s="7">
        <f>$K2773+$X2773</f>
      </c>
      <c r="AB2773" s="7">
        <f>$L2773+$Y2773</f>
      </c>
      <c r="AC2773" s="7">
        <f>$K2773-$X2773</f>
      </c>
      <c r="AD2773" s="7">
        <f>$L2773-$Y2773</f>
      </c>
      <c r="AE2773" s="7">
        <f>AA2773/39.3701</f>
      </c>
      <c r="AF2773" s="7">
        <f>AB2773/39.3701</f>
      </c>
      <c r="AG2773" s="7">
        <f>AC2773/39.3701</f>
      </c>
      <c r="AH2773" s="7">
        <f>AD2773/39.3701</f>
      </c>
      <c r="AI2773" s="1"/>
      <c r="AJ2773" s="1"/>
      <c r="AK2773" s="1"/>
      <c r="AL2773" s="1"/>
      <c r="AM2773" s="2"/>
      <c r="AN2773" s="1"/>
      <c r="AO2773" s="1"/>
      <c r="AP2773" s="1"/>
      <c r="AQ2773" s="1"/>
      <c r="AR2773" s="1"/>
      <c r="AS2773" s="1"/>
      <c r="AT2773" s="1"/>
      <c r="AU2773" s="1"/>
      <c r="AV2773" s="1"/>
      <c r="AW2773" s="1"/>
      <c r="AX2773" s="1"/>
      <c r="AY2773" s="1"/>
      <c r="AZ2773" s="1"/>
      <c r="BA2773" s="1"/>
      <c r="BB2773" s="1"/>
      <c r="BC2773" s="1"/>
      <c r="BD2773" s="1"/>
      <c r="BE2773" s="1"/>
    </row>
    <row x14ac:dyDescent="0.25" r="2774" customHeight="1" ht="18.75">
      <c r="A2774" s="1"/>
      <c r="B2774" s="2"/>
      <c r="C2774" s="2"/>
      <c r="D2774" s="2"/>
      <c r="E2774" s="2"/>
      <c r="F2774" s="2"/>
      <c r="G2774" s="1"/>
      <c r="H2774" s="1"/>
      <c r="I2774" s="7">
        <v>2.771</v>
      </c>
      <c r="J2774" s="7">
        <f>IF((I2774-ROUNDDOWN(I2774,0))=0, 0, (I2774-ROUNDDOWN(I2774,0)))</f>
      </c>
      <c r="K2774" s="7">
        <f>INDIRECT("C$"&amp;2+MIN(2,ROUNDDOWN(I2774,0))*3)*(-$J2774^3+3*$J2774^2-3*$J2774+1)+INDIRECT("C$"&amp;3+MIN(2,ROUNDDOWN(I2774,0))*3)*(3*$J2774^3-6*$J2774^2+3*$J2774)+INDIRECT("C$"&amp;4+MIN(2,ROUNDDOWN(I2774,0))*3)*(-3*$J2774^3+3*$J2774^2)+INDIRECT("C$"&amp;5+MIN(2,ROUNDDOWN(I2774,0))*3)*$J2774^3</f>
      </c>
      <c r="L2774" s="7">
        <f>INDIRECT("D$"&amp;2+MIN(2,ROUNDDOWN(I2774,0))*3)*(-$J2774^3+3*$J2774^2-3*$J2774+1)+INDIRECT("D$"&amp;3+MIN(2,ROUNDDOWN(I2774,0))*3)*(3*$J2774^3-6*$J2774^2+3*$J2774)+INDIRECT("D$"&amp;4+MIN(2,ROUNDDOWN(I2774,0))*3)*(-3*$J2774^3+3*$J2774^2)+INDIRECT("D$"&amp;5+MIN(2,ROUNDDOWN(I2774,0))*3)*$J2774^3</f>
      </c>
      <c r="M2774" s="7">
        <f>SQRT(K2774^2+L2774^2)</f>
      </c>
      <c r="N2774" s="7">
        <f>(K2775-K2773)</f>
      </c>
      <c r="O2774" s="7">
        <f>+(L2775-L2773)</f>
      </c>
      <c r="P2774" s="7">
        <f>SQRT(O2774^2+N2774^2)</f>
      </c>
      <c r="Q2774" s="7">
        <f>N2774/$P2774</f>
      </c>
      <c r="R2774" s="7">
        <f>O2774/$P2774</f>
      </c>
      <c r="S2774" s="8">
        <f>Q2774^2+R2774^2</f>
      </c>
      <c r="T2774" s="7">
        <f>-R2774</f>
      </c>
      <c r="U2774" s="7">
        <f>Q2774</f>
      </c>
      <c r="V2774" s="7">
        <f>($C$14+($C$15-$C$14)/($D$15-$D$14)*(I2774-$D$14))/2</f>
      </c>
      <c r="W2774" s="7">
        <f>($B$22*I2774^4+$C$22*I2774^3+$D$22*I2774^2+$E$22*I2774+$F$22)/2</f>
      </c>
      <c r="X2774" s="7">
        <f>($W2774)*(T2774)</f>
      </c>
      <c r="Y2774" s="7">
        <f>($W2774)*(U2774)</f>
      </c>
      <c r="Z2774" s="7">
        <f>SQRT(X2774^2+Y2774^2)</f>
      </c>
      <c r="AA2774" s="7">
        <f>$K2774+$X2774</f>
      </c>
      <c r="AB2774" s="7">
        <f>$L2774+$Y2774</f>
      </c>
      <c r="AC2774" s="7">
        <f>$K2774-$X2774</f>
      </c>
      <c r="AD2774" s="7">
        <f>$L2774-$Y2774</f>
      </c>
      <c r="AE2774" s="7">
        <f>AA2774/39.3701</f>
      </c>
      <c r="AF2774" s="7">
        <f>AB2774/39.3701</f>
      </c>
      <c r="AG2774" s="7">
        <f>AC2774/39.3701</f>
      </c>
      <c r="AH2774" s="7">
        <f>AD2774/39.3701</f>
      </c>
      <c r="AI2774" s="1"/>
      <c r="AJ2774" s="1"/>
      <c r="AK2774" s="1"/>
      <c r="AL2774" s="1"/>
      <c r="AM2774" s="2"/>
      <c r="AN2774" s="1"/>
      <c r="AO2774" s="1"/>
      <c r="AP2774" s="1"/>
      <c r="AQ2774" s="1"/>
      <c r="AR2774" s="1"/>
      <c r="AS2774" s="1"/>
      <c r="AT2774" s="1"/>
      <c r="AU2774" s="1"/>
      <c r="AV2774" s="1"/>
      <c r="AW2774" s="1"/>
      <c r="AX2774" s="1"/>
      <c r="AY2774" s="1"/>
      <c r="AZ2774" s="1"/>
      <c r="BA2774" s="1"/>
      <c r="BB2774" s="1"/>
      <c r="BC2774" s="1"/>
      <c r="BD2774" s="1"/>
      <c r="BE2774" s="1"/>
    </row>
    <row x14ac:dyDescent="0.25" r="2775" customHeight="1" ht="18.75">
      <c r="A2775" s="1"/>
      <c r="B2775" s="2"/>
      <c r="C2775" s="2"/>
      <c r="D2775" s="2"/>
      <c r="E2775" s="2"/>
      <c r="F2775" s="2"/>
      <c r="G2775" s="1"/>
      <c r="H2775" s="1"/>
      <c r="I2775" s="7">
        <v>2.772</v>
      </c>
      <c r="J2775" s="7">
        <f>IF((I2775-ROUNDDOWN(I2775,0))=0, 0, (I2775-ROUNDDOWN(I2775,0)))</f>
      </c>
      <c r="K2775" s="7">
        <f>INDIRECT("C$"&amp;2+MIN(2,ROUNDDOWN(I2775,0))*3)*(-$J2775^3+3*$J2775^2-3*$J2775+1)+INDIRECT("C$"&amp;3+MIN(2,ROUNDDOWN(I2775,0))*3)*(3*$J2775^3-6*$J2775^2+3*$J2775)+INDIRECT("C$"&amp;4+MIN(2,ROUNDDOWN(I2775,0))*3)*(-3*$J2775^3+3*$J2775^2)+INDIRECT("C$"&amp;5+MIN(2,ROUNDDOWN(I2775,0))*3)*$J2775^3</f>
      </c>
      <c r="L2775" s="7">
        <f>INDIRECT("D$"&amp;2+MIN(2,ROUNDDOWN(I2775,0))*3)*(-$J2775^3+3*$J2775^2-3*$J2775+1)+INDIRECT("D$"&amp;3+MIN(2,ROUNDDOWN(I2775,0))*3)*(3*$J2775^3-6*$J2775^2+3*$J2775)+INDIRECT("D$"&amp;4+MIN(2,ROUNDDOWN(I2775,0))*3)*(-3*$J2775^3+3*$J2775^2)+INDIRECT("D$"&amp;5+MIN(2,ROUNDDOWN(I2775,0))*3)*$J2775^3</f>
      </c>
      <c r="M2775" s="7">
        <f>SQRT(K2775^2+L2775^2)</f>
      </c>
      <c r="N2775" s="7">
        <f>(K2776-K2774)</f>
      </c>
      <c r="O2775" s="7">
        <f>+(L2776-L2774)</f>
      </c>
      <c r="P2775" s="7">
        <f>SQRT(O2775^2+N2775^2)</f>
      </c>
      <c r="Q2775" s="7">
        <f>N2775/$P2775</f>
      </c>
      <c r="R2775" s="7">
        <f>O2775/$P2775</f>
      </c>
      <c r="S2775" s="7">
        <f>Q2775^2+R2775^2</f>
      </c>
      <c r="T2775" s="7">
        <f>-R2775</f>
      </c>
      <c r="U2775" s="7">
        <f>Q2775</f>
      </c>
      <c r="V2775" s="7">
        <f>($C$14+($C$15-$C$14)/($D$15-$D$14)*(I2775-$D$14))/2</f>
      </c>
      <c r="W2775" s="7">
        <f>($B$22*I2775^4+$C$22*I2775^3+$D$22*I2775^2+$E$22*I2775+$F$22)/2</f>
      </c>
      <c r="X2775" s="7">
        <f>($W2775)*(T2775)</f>
      </c>
      <c r="Y2775" s="7">
        <f>($W2775)*(U2775)</f>
      </c>
      <c r="Z2775" s="7">
        <f>SQRT(X2775^2+Y2775^2)</f>
      </c>
      <c r="AA2775" s="7">
        <f>$K2775+$X2775</f>
      </c>
      <c r="AB2775" s="7">
        <f>$L2775+$Y2775</f>
      </c>
      <c r="AC2775" s="7">
        <f>$K2775-$X2775</f>
      </c>
      <c r="AD2775" s="7">
        <f>$L2775-$Y2775</f>
      </c>
      <c r="AE2775" s="7">
        <f>AA2775/39.3701</f>
      </c>
      <c r="AF2775" s="7">
        <f>AB2775/39.3701</f>
      </c>
      <c r="AG2775" s="7">
        <f>AC2775/39.3701</f>
      </c>
      <c r="AH2775" s="7">
        <f>AD2775/39.3701</f>
      </c>
      <c r="AI2775" s="1"/>
      <c r="AJ2775" s="1"/>
      <c r="AK2775" s="1"/>
      <c r="AL2775" s="1"/>
      <c r="AM2775" s="2"/>
      <c r="AN2775" s="1"/>
      <c r="AO2775" s="1"/>
      <c r="AP2775" s="1"/>
      <c r="AQ2775" s="1"/>
      <c r="AR2775" s="1"/>
      <c r="AS2775" s="1"/>
      <c r="AT2775" s="1"/>
      <c r="AU2775" s="1"/>
      <c r="AV2775" s="1"/>
      <c r="AW2775" s="1"/>
      <c r="AX2775" s="1"/>
      <c r="AY2775" s="1"/>
      <c r="AZ2775" s="1"/>
      <c r="BA2775" s="1"/>
      <c r="BB2775" s="1"/>
      <c r="BC2775" s="1"/>
      <c r="BD2775" s="1"/>
      <c r="BE2775" s="1"/>
    </row>
    <row x14ac:dyDescent="0.25" r="2776" customHeight="1" ht="18.75">
      <c r="A2776" s="1"/>
      <c r="B2776" s="2"/>
      <c r="C2776" s="2"/>
      <c r="D2776" s="2"/>
      <c r="E2776" s="2"/>
      <c r="F2776" s="2"/>
      <c r="G2776" s="1"/>
      <c r="H2776" s="1"/>
      <c r="I2776" s="7">
        <v>2.773</v>
      </c>
      <c r="J2776" s="7">
        <f>IF((I2776-ROUNDDOWN(I2776,0))=0, 0, (I2776-ROUNDDOWN(I2776,0)))</f>
      </c>
      <c r="K2776" s="7">
        <f>INDIRECT("C$"&amp;2+MIN(2,ROUNDDOWN(I2776,0))*3)*(-$J2776^3+3*$J2776^2-3*$J2776+1)+INDIRECT("C$"&amp;3+MIN(2,ROUNDDOWN(I2776,0))*3)*(3*$J2776^3-6*$J2776^2+3*$J2776)+INDIRECT("C$"&amp;4+MIN(2,ROUNDDOWN(I2776,0))*3)*(-3*$J2776^3+3*$J2776^2)+INDIRECT("C$"&amp;5+MIN(2,ROUNDDOWN(I2776,0))*3)*$J2776^3</f>
      </c>
      <c r="L2776" s="7">
        <f>INDIRECT("D$"&amp;2+MIN(2,ROUNDDOWN(I2776,0))*3)*(-$J2776^3+3*$J2776^2-3*$J2776+1)+INDIRECT("D$"&amp;3+MIN(2,ROUNDDOWN(I2776,0))*3)*(3*$J2776^3-6*$J2776^2+3*$J2776)+INDIRECT("D$"&amp;4+MIN(2,ROUNDDOWN(I2776,0))*3)*(-3*$J2776^3+3*$J2776^2)+INDIRECT("D$"&amp;5+MIN(2,ROUNDDOWN(I2776,0))*3)*$J2776^3</f>
      </c>
      <c r="M2776" s="7">
        <f>SQRT(K2776^2+L2776^2)</f>
      </c>
      <c r="N2776" s="7">
        <f>(K2777-K2775)</f>
      </c>
      <c r="O2776" s="7">
        <f>+(L2777-L2775)</f>
      </c>
      <c r="P2776" s="7">
        <f>SQRT(O2776^2+N2776^2)</f>
      </c>
      <c r="Q2776" s="7">
        <f>N2776/$P2776</f>
      </c>
      <c r="R2776" s="7">
        <f>O2776/$P2776</f>
      </c>
      <c r="S2776" s="7">
        <f>Q2776^2+R2776^2</f>
      </c>
      <c r="T2776" s="7">
        <f>-R2776</f>
      </c>
      <c r="U2776" s="7">
        <f>Q2776</f>
      </c>
      <c r="V2776" s="7">
        <f>($C$14+($C$15-$C$14)/($D$15-$D$14)*(I2776-$D$14))/2</f>
      </c>
      <c r="W2776" s="7">
        <f>($B$22*I2776^4+$C$22*I2776^3+$D$22*I2776^2+$E$22*I2776+$F$22)/2</f>
      </c>
      <c r="X2776" s="7">
        <f>($W2776)*(T2776)</f>
      </c>
      <c r="Y2776" s="7">
        <f>($W2776)*(U2776)</f>
      </c>
      <c r="Z2776" s="7">
        <f>SQRT(X2776^2+Y2776^2)</f>
      </c>
      <c r="AA2776" s="7">
        <f>$K2776+$X2776</f>
      </c>
      <c r="AB2776" s="7">
        <f>$L2776+$Y2776</f>
      </c>
      <c r="AC2776" s="7">
        <f>$K2776-$X2776</f>
      </c>
      <c r="AD2776" s="7">
        <f>$L2776-$Y2776</f>
      </c>
      <c r="AE2776" s="7">
        <f>AA2776/39.3701</f>
      </c>
      <c r="AF2776" s="7">
        <f>AB2776/39.3701</f>
      </c>
      <c r="AG2776" s="7">
        <f>AC2776/39.3701</f>
      </c>
      <c r="AH2776" s="7">
        <f>AD2776/39.3701</f>
      </c>
      <c r="AI2776" s="1"/>
      <c r="AJ2776" s="1"/>
      <c r="AK2776" s="1"/>
      <c r="AL2776" s="1"/>
      <c r="AM2776" s="2"/>
      <c r="AN2776" s="1"/>
      <c r="AO2776" s="1"/>
      <c r="AP2776" s="1"/>
      <c r="AQ2776" s="1"/>
      <c r="AR2776" s="1"/>
      <c r="AS2776" s="1"/>
      <c r="AT2776" s="1"/>
      <c r="AU2776" s="1"/>
      <c r="AV2776" s="1"/>
      <c r="AW2776" s="1"/>
      <c r="AX2776" s="1"/>
      <c r="AY2776" s="1"/>
      <c r="AZ2776" s="1"/>
      <c r="BA2776" s="1"/>
      <c r="BB2776" s="1"/>
      <c r="BC2776" s="1"/>
      <c r="BD2776" s="1"/>
      <c r="BE2776" s="1"/>
    </row>
    <row x14ac:dyDescent="0.25" r="2777" customHeight="1" ht="18.75">
      <c r="A2777" s="1"/>
      <c r="B2777" s="2"/>
      <c r="C2777" s="2"/>
      <c r="D2777" s="2"/>
      <c r="E2777" s="2"/>
      <c r="F2777" s="2"/>
      <c r="G2777" s="1"/>
      <c r="H2777" s="1"/>
      <c r="I2777" s="7">
        <v>2.774</v>
      </c>
      <c r="J2777" s="7">
        <f>IF((I2777-ROUNDDOWN(I2777,0))=0, 0, (I2777-ROUNDDOWN(I2777,0)))</f>
      </c>
      <c r="K2777" s="7">
        <f>INDIRECT("C$"&amp;2+MIN(2,ROUNDDOWN(I2777,0))*3)*(-$J2777^3+3*$J2777^2-3*$J2777+1)+INDIRECT("C$"&amp;3+MIN(2,ROUNDDOWN(I2777,0))*3)*(3*$J2777^3-6*$J2777^2+3*$J2777)+INDIRECT("C$"&amp;4+MIN(2,ROUNDDOWN(I2777,0))*3)*(-3*$J2777^3+3*$J2777^2)+INDIRECT("C$"&amp;5+MIN(2,ROUNDDOWN(I2777,0))*3)*$J2777^3</f>
      </c>
      <c r="L2777" s="7">
        <f>INDIRECT("D$"&amp;2+MIN(2,ROUNDDOWN(I2777,0))*3)*(-$J2777^3+3*$J2777^2-3*$J2777+1)+INDIRECT("D$"&amp;3+MIN(2,ROUNDDOWN(I2777,0))*3)*(3*$J2777^3-6*$J2777^2+3*$J2777)+INDIRECT("D$"&amp;4+MIN(2,ROUNDDOWN(I2777,0))*3)*(-3*$J2777^3+3*$J2777^2)+INDIRECT("D$"&amp;5+MIN(2,ROUNDDOWN(I2777,0))*3)*$J2777^3</f>
      </c>
      <c r="M2777" s="7">
        <f>SQRT(K2777^2+L2777^2)</f>
      </c>
      <c r="N2777" s="7">
        <f>(K2778-K2776)</f>
      </c>
      <c r="O2777" s="7">
        <f>+(L2778-L2776)</f>
      </c>
      <c r="P2777" s="7">
        <f>SQRT(O2777^2+N2777^2)</f>
      </c>
      <c r="Q2777" s="7">
        <f>N2777/$P2777</f>
      </c>
      <c r="R2777" s="7">
        <f>O2777/$P2777</f>
      </c>
      <c r="S2777" s="7">
        <f>Q2777^2+R2777^2</f>
      </c>
      <c r="T2777" s="7">
        <f>-R2777</f>
      </c>
      <c r="U2777" s="7">
        <f>Q2777</f>
      </c>
      <c r="V2777" s="7">
        <f>($C$14+($C$15-$C$14)/($D$15-$D$14)*(I2777-$D$14))/2</f>
      </c>
      <c r="W2777" s="7">
        <f>($B$22*I2777^4+$C$22*I2777^3+$D$22*I2777^2+$E$22*I2777+$F$22)/2</f>
      </c>
      <c r="X2777" s="7">
        <f>($W2777)*(T2777)</f>
      </c>
      <c r="Y2777" s="7">
        <f>($W2777)*(U2777)</f>
      </c>
      <c r="Z2777" s="7">
        <f>SQRT(X2777^2+Y2777^2)</f>
      </c>
      <c r="AA2777" s="7">
        <f>$K2777+$X2777</f>
      </c>
      <c r="AB2777" s="7">
        <f>$L2777+$Y2777</f>
      </c>
      <c r="AC2777" s="7">
        <f>$K2777-$X2777</f>
      </c>
      <c r="AD2777" s="7">
        <f>$L2777-$Y2777</f>
      </c>
      <c r="AE2777" s="7">
        <f>AA2777/39.3701</f>
      </c>
      <c r="AF2777" s="7">
        <f>AB2777/39.3701</f>
      </c>
      <c r="AG2777" s="7">
        <f>AC2777/39.3701</f>
      </c>
      <c r="AH2777" s="7">
        <f>AD2777/39.3701</f>
      </c>
      <c r="AI2777" s="1"/>
      <c r="AJ2777" s="1"/>
      <c r="AK2777" s="1"/>
      <c r="AL2777" s="1"/>
      <c r="AM2777" s="2"/>
      <c r="AN2777" s="1"/>
      <c r="AO2777" s="1"/>
      <c r="AP2777" s="1"/>
      <c r="AQ2777" s="1"/>
      <c r="AR2777" s="1"/>
      <c r="AS2777" s="1"/>
      <c r="AT2777" s="1"/>
      <c r="AU2777" s="1"/>
      <c r="AV2777" s="1"/>
      <c r="AW2777" s="1"/>
      <c r="AX2777" s="1"/>
      <c r="AY2777" s="1"/>
      <c r="AZ2777" s="1"/>
      <c r="BA2777" s="1"/>
      <c r="BB2777" s="1"/>
      <c r="BC2777" s="1"/>
      <c r="BD2777" s="1"/>
      <c r="BE2777" s="1"/>
    </row>
    <row x14ac:dyDescent="0.25" r="2778" customHeight="1" ht="18.75">
      <c r="A2778" s="1"/>
      <c r="B2778" s="2"/>
      <c r="C2778" s="2"/>
      <c r="D2778" s="2"/>
      <c r="E2778" s="2"/>
      <c r="F2778" s="2"/>
      <c r="G2778" s="1"/>
      <c r="H2778" s="1"/>
      <c r="I2778" s="7">
        <v>2.775</v>
      </c>
      <c r="J2778" s="7">
        <f>IF((I2778-ROUNDDOWN(I2778,0))=0, 0, (I2778-ROUNDDOWN(I2778,0)))</f>
      </c>
      <c r="K2778" s="7">
        <f>INDIRECT("C$"&amp;2+MIN(2,ROUNDDOWN(I2778,0))*3)*(-$J2778^3+3*$J2778^2-3*$J2778+1)+INDIRECT("C$"&amp;3+MIN(2,ROUNDDOWN(I2778,0))*3)*(3*$J2778^3-6*$J2778^2+3*$J2778)+INDIRECT("C$"&amp;4+MIN(2,ROUNDDOWN(I2778,0))*3)*(-3*$J2778^3+3*$J2778^2)+INDIRECT("C$"&amp;5+MIN(2,ROUNDDOWN(I2778,0))*3)*$J2778^3</f>
      </c>
      <c r="L2778" s="7">
        <f>INDIRECT("D$"&amp;2+MIN(2,ROUNDDOWN(I2778,0))*3)*(-$J2778^3+3*$J2778^2-3*$J2778+1)+INDIRECT("D$"&amp;3+MIN(2,ROUNDDOWN(I2778,0))*3)*(3*$J2778^3-6*$J2778^2+3*$J2778)+INDIRECT("D$"&amp;4+MIN(2,ROUNDDOWN(I2778,0))*3)*(-3*$J2778^3+3*$J2778^2)+INDIRECT("D$"&amp;5+MIN(2,ROUNDDOWN(I2778,0))*3)*$J2778^3</f>
      </c>
      <c r="M2778" s="7">
        <f>SQRT(K2778^2+L2778^2)</f>
      </c>
      <c r="N2778" s="7">
        <f>(K2779-K2777)</f>
      </c>
      <c r="O2778" s="7">
        <f>+(L2779-L2777)</f>
      </c>
      <c r="P2778" s="7">
        <f>SQRT(O2778^2+N2778^2)</f>
      </c>
      <c r="Q2778" s="7">
        <f>N2778/$P2778</f>
      </c>
      <c r="R2778" s="7">
        <f>O2778/$P2778</f>
      </c>
      <c r="S2778" s="8">
        <f>Q2778^2+R2778^2</f>
      </c>
      <c r="T2778" s="7">
        <f>-R2778</f>
      </c>
      <c r="U2778" s="7">
        <f>Q2778</f>
      </c>
      <c r="V2778" s="7">
        <f>($C$14+($C$15-$C$14)/($D$15-$D$14)*(I2778-$D$14))/2</f>
      </c>
      <c r="W2778" s="7">
        <f>($B$22*I2778^4+$C$22*I2778^3+$D$22*I2778^2+$E$22*I2778+$F$22)/2</f>
      </c>
      <c r="X2778" s="7">
        <f>($W2778)*(T2778)</f>
      </c>
      <c r="Y2778" s="7">
        <f>($W2778)*(U2778)</f>
      </c>
      <c r="Z2778" s="7">
        <f>SQRT(X2778^2+Y2778^2)</f>
      </c>
      <c r="AA2778" s="7">
        <f>$K2778+$X2778</f>
      </c>
      <c r="AB2778" s="7">
        <f>$L2778+$Y2778</f>
      </c>
      <c r="AC2778" s="7">
        <f>$K2778-$X2778</f>
      </c>
      <c r="AD2778" s="7">
        <f>$L2778-$Y2778</f>
      </c>
      <c r="AE2778" s="7">
        <f>AA2778/39.3701</f>
      </c>
      <c r="AF2778" s="7">
        <f>AB2778/39.3701</f>
      </c>
      <c r="AG2778" s="7">
        <f>AC2778/39.3701</f>
      </c>
      <c r="AH2778" s="7">
        <f>AD2778/39.3701</f>
      </c>
      <c r="AI2778" s="1"/>
      <c r="AJ2778" s="1"/>
      <c r="AK2778" s="1"/>
      <c r="AL2778" s="1"/>
      <c r="AM2778" s="2"/>
      <c r="AN2778" s="1"/>
      <c r="AO2778" s="1"/>
      <c r="AP2778" s="1"/>
      <c r="AQ2778" s="1"/>
      <c r="AR2778" s="1"/>
      <c r="AS2778" s="1"/>
      <c r="AT2778" s="1"/>
      <c r="AU2778" s="1"/>
      <c r="AV2778" s="1"/>
      <c r="AW2778" s="1"/>
      <c r="AX2778" s="1"/>
      <c r="AY2778" s="1"/>
      <c r="AZ2778" s="1"/>
      <c r="BA2778" s="1"/>
      <c r="BB2778" s="1"/>
      <c r="BC2778" s="1"/>
      <c r="BD2778" s="1"/>
      <c r="BE2778" s="1"/>
    </row>
    <row x14ac:dyDescent="0.25" r="2779" customHeight="1" ht="18.75">
      <c r="A2779" s="1"/>
      <c r="B2779" s="2"/>
      <c r="C2779" s="2"/>
      <c r="D2779" s="2"/>
      <c r="E2779" s="2"/>
      <c r="F2779" s="2"/>
      <c r="G2779" s="1"/>
      <c r="H2779" s="1"/>
      <c r="I2779" s="7">
        <v>2.776</v>
      </c>
      <c r="J2779" s="7">
        <f>IF((I2779-ROUNDDOWN(I2779,0))=0, 0, (I2779-ROUNDDOWN(I2779,0)))</f>
      </c>
      <c r="K2779" s="7">
        <f>INDIRECT("C$"&amp;2+MIN(2,ROUNDDOWN(I2779,0))*3)*(-$J2779^3+3*$J2779^2-3*$J2779+1)+INDIRECT("C$"&amp;3+MIN(2,ROUNDDOWN(I2779,0))*3)*(3*$J2779^3-6*$J2779^2+3*$J2779)+INDIRECT("C$"&amp;4+MIN(2,ROUNDDOWN(I2779,0))*3)*(-3*$J2779^3+3*$J2779^2)+INDIRECT("C$"&amp;5+MIN(2,ROUNDDOWN(I2779,0))*3)*$J2779^3</f>
      </c>
      <c r="L2779" s="7">
        <f>INDIRECT("D$"&amp;2+MIN(2,ROUNDDOWN(I2779,0))*3)*(-$J2779^3+3*$J2779^2-3*$J2779+1)+INDIRECT("D$"&amp;3+MIN(2,ROUNDDOWN(I2779,0))*3)*(3*$J2779^3-6*$J2779^2+3*$J2779)+INDIRECT("D$"&amp;4+MIN(2,ROUNDDOWN(I2779,0))*3)*(-3*$J2779^3+3*$J2779^2)+INDIRECT("D$"&amp;5+MIN(2,ROUNDDOWN(I2779,0))*3)*$J2779^3</f>
      </c>
      <c r="M2779" s="7">
        <f>SQRT(K2779^2+L2779^2)</f>
      </c>
      <c r="N2779" s="7">
        <f>(K2780-K2778)</f>
      </c>
      <c r="O2779" s="7">
        <f>+(L2780-L2778)</f>
      </c>
      <c r="P2779" s="7">
        <f>SQRT(O2779^2+N2779^2)</f>
      </c>
      <c r="Q2779" s="7">
        <f>N2779/$P2779</f>
      </c>
      <c r="R2779" s="7">
        <f>O2779/$P2779</f>
      </c>
      <c r="S2779" s="8">
        <f>Q2779^2+R2779^2</f>
      </c>
      <c r="T2779" s="7">
        <f>-R2779</f>
      </c>
      <c r="U2779" s="7">
        <f>Q2779</f>
      </c>
      <c r="V2779" s="7">
        <f>($C$14+($C$15-$C$14)/($D$15-$D$14)*(I2779-$D$14))/2</f>
      </c>
      <c r="W2779" s="7">
        <f>($B$22*I2779^4+$C$22*I2779^3+$D$22*I2779^2+$E$22*I2779+$F$22)/2</f>
      </c>
      <c r="X2779" s="7">
        <f>($W2779)*(T2779)</f>
      </c>
      <c r="Y2779" s="7">
        <f>($W2779)*(U2779)</f>
      </c>
      <c r="Z2779" s="7">
        <f>SQRT(X2779^2+Y2779^2)</f>
      </c>
      <c r="AA2779" s="7">
        <f>$K2779+$X2779</f>
      </c>
      <c r="AB2779" s="7">
        <f>$L2779+$Y2779</f>
      </c>
      <c r="AC2779" s="7">
        <f>$K2779-$X2779</f>
      </c>
      <c r="AD2779" s="7">
        <f>$L2779-$Y2779</f>
      </c>
      <c r="AE2779" s="7">
        <f>AA2779/39.3701</f>
      </c>
      <c r="AF2779" s="7">
        <f>AB2779/39.3701</f>
      </c>
      <c r="AG2779" s="7">
        <f>AC2779/39.3701</f>
      </c>
      <c r="AH2779" s="7">
        <f>AD2779/39.3701</f>
      </c>
      <c r="AI2779" s="1"/>
      <c r="AJ2779" s="1"/>
      <c r="AK2779" s="1"/>
      <c r="AL2779" s="1"/>
      <c r="AM2779" s="2"/>
      <c r="AN2779" s="1"/>
      <c r="AO2779" s="1"/>
      <c r="AP2779" s="1"/>
      <c r="AQ2779" s="1"/>
      <c r="AR2779" s="1"/>
      <c r="AS2779" s="1"/>
      <c r="AT2779" s="1"/>
      <c r="AU2779" s="1"/>
      <c r="AV2779" s="1"/>
      <c r="AW2779" s="1"/>
      <c r="AX2779" s="1"/>
      <c r="AY2779" s="1"/>
      <c r="AZ2779" s="1"/>
      <c r="BA2779" s="1"/>
      <c r="BB2779" s="1"/>
      <c r="BC2779" s="1"/>
      <c r="BD2779" s="1"/>
      <c r="BE2779" s="1"/>
    </row>
    <row x14ac:dyDescent="0.25" r="2780" customHeight="1" ht="18.75">
      <c r="A2780" s="1"/>
      <c r="B2780" s="2"/>
      <c r="C2780" s="2"/>
      <c r="D2780" s="2"/>
      <c r="E2780" s="2"/>
      <c r="F2780" s="2"/>
      <c r="G2780" s="1"/>
      <c r="H2780" s="1"/>
      <c r="I2780" s="7">
        <v>2.777</v>
      </c>
      <c r="J2780" s="7">
        <f>IF((I2780-ROUNDDOWN(I2780,0))=0, 0, (I2780-ROUNDDOWN(I2780,0)))</f>
      </c>
      <c r="K2780" s="7">
        <f>INDIRECT("C$"&amp;2+MIN(2,ROUNDDOWN(I2780,0))*3)*(-$J2780^3+3*$J2780^2-3*$J2780+1)+INDIRECT("C$"&amp;3+MIN(2,ROUNDDOWN(I2780,0))*3)*(3*$J2780^3-6*$J2780^2+3*$J2780)+INDIRECT("C$"&amp;4+MIN(2,ROUNDDOWN(I2780,0))*3)*(-3*$J2780^3+3*$J2780^2)+INDIRECT("C$"&amp;5+MIN(2,ROUNDDOWN(I2780,0))*3)*$J2780^3</f>
      </c>
      <c r="L2780" s="7">
        <f>INDIRECT("D$"&amp;2+MIN(2,ROUNDDOWN(I2780,0))*3)*(-$J2780^3+3*$J2780^2-3*$J2780+1)+INDIRECT("D$"&amp;3+MIN(2,ROUNDDOWN(I2780,0))*3)*(3*$J2780^3-6*$J2780^2+3*$J2780)+INDIRECT("D$"&amp;4+MIN(2,ROUNDDOWN(I2780,0))*3)*(-3*$J2780^3+3*$J2780^2)+INDIRECT("D$"&amp;5+MIN(2,ROUNDDOWN(I2780,0))*3)*$J2780^3</f>
      </c>
      <c r="M2780" s="7">
        <f>SQRT(K2780^2+L2780^2)</f>
      </c>
      <c r="N2780" s="7">
        <f>(K2781-K2779)</f>
      </c>
      <c r="O2780" s="7">
        <f>+(L2781-L2779)</f>
      </c>
      <c r="P2780" s="7">
        <f>SQRT(O2780^2+N2780^2)</f>
      </c>
      <c r="Q2780" s="7">
        <f>N2780/$P2780</f>
      </c>
      <c r="R2780" s="7">
        <f>O2780/$P2780</f>
      </c>
      <c r="S2780" s="8">
        <f>Q2780^2+R2780^2</f>
      </c>
      <c r="T2780" s="7">
        <f>-R2780</f>
      </c>
      <c r="U2780" s="7">
        <f>Q2780</f>
      </c>
      <c r="V2780" s="7">
        <f>($C$14+($C$15-$C$14)/($D$15-$D$14)*(I2780-$D$14))/2</f>
      </c>
      <c r="W2780" s="7">
        <f>($B$22*I2780^4+$C$22*I2780^3+$D$22*I2780^2+$E$22*I2780+$F$22)/2</f>
      </c>
      <c r="X2780" s="7">
        <f>($W2780)*(T2780)</f>
      </c>
      <c r="Y2780" s="7">
        <f>($W2780)*(U2780)</f>
      </c>
      <c r="Z2780" s="7">
        <f>SQRT(X2780^2+Y2780^2)</f>
      </c>
      <c r="AA2780" s="7">
        <f>$K2780+$X2780</f>
      </c>
      <c r="AB2780" s="7">
        <f>$L2780+$Y2780</f>
      </c>
      <c r="AC2780" s="7">
        <f>$K2780-$X2780</f>
      </c>
      <c r="AD2780" s="7">
        <f>$L2780-$Y2780</f>
      </c>
      <c r="AE2780" s="7">
        <f>AA2780/39.3701</f>
      </c>
      <c r="AF2780" s="7">
        <f>AB2780/39.3701</f>
      </c>
      <c r="AG2780" s="7">
        <f>AC2780/39.3701</f>
      </c>
      <c r="AH2780" s="7">
        <f>AD2780/39.3701</f>
      </c>
      <c r="AI2780" s="1"/>
      <c r="AJ2780" s="1"/>
      <c r="AK2780" s="1"/>
      <c r="AL2780" s="1"/>
      <c r="AM2780" s="2"/>
      <c r="AN2780" s="1"/>
      <c r="AO2780" s="1"/>
      <c r="AP2780" s="1"/>
      <c r="AQ2780" s="1"/>
      <c r="AR2780" s="1"/>
      <c r="AS2780" s="1"/>
      <c r="AT2780" s="1"/>
      <c r="AU2780" s="1"/>
      <c r="AV2780" s="1"/>
      <c r="AW2780" s="1"/>
      <c r="AX2780" s="1"/>
      <c r="AY2780" s="1"/>
      <c r="AZ2780" s="1"/>
      <c r="BA2780" s="1"/>
      <c r="BB2780" s="1"/>
      <c r="BC2780" s="1"/>
      <c r="BD2780" s="1"/>
      <c r="BE2780" s="1"/>
    </row>
    <row x14ac:dyDescent="0.25" r="2781" customHeight="1" ht="18.75">
      <c r="A2781" s="1"/>
      <c r="B2781" s="2"/>
      <c r="C2781" s="2"/>
      <c r="D2781" s="2"/>
      <c r="E2781" s="2"/>
      <c r="F2781" s="2"/>
      <c r="G2781" s="1"/>
      <c r="H2781" s="1"/>
      <c r="I2781" s="7">
        <v>2.778</v>
      </c>
      <c r="J2781" s="7">
        <f>IF((I2781-ROUNDDOWN(I2781,0))=0, 0, (I2781-ROUNDDOWN(I2781,0)))</f>
      </c>
      <c r="K2781" s="7">
        <f>INDIRECT("C$"&amp;2+MIN(2,ROUNDDOWN(I2781,0))*3)*(-$J2781^3+3*$J2781^2-3*$J2781+1)+INDIRECT("C$"&amp;3+MIN(2,ROUNDDOWN(I2781,0))*3)*(3*$J2781^3-6*$J2781^2+3*$J2781)+INDIRECT("C$"&amp;4+MIN(2,ROUNDDOWN(I2781,0))*3)*(-3*$J2781^3+3*$J2781^2)+INDIRECT("C$"&amp;5+MIN(2,ROUNDDOWN(I2781,0))*3)*$J2781^3</f>
      </c>
      <c r="L2781" s="7">
        <f>INDIRECT("D$"&amp;2+MIN(2,ROUNDDOWN(I2781,0))*3)*(-$J2781^3+3*$J2781^2-3*$J2781+1)+INDIRECT("D$"&amp;3+MIN(2,ROUNDDOWN(I2781,0))*3)*(3*$J2781^3-6*$J2781^2+3*$J2781)+INDIRECT("D$"&amp;4+MIN(2,ROUNDDOWN(I2781,0))*3)*(-3*$J2781^3+3*$J2781^2)+INDIRECT("D$"&amp;5+MIN(2,ROUNDDOWN(I2781,0))*3)*$J2781^3</f>
      </c>
      <c r="M2781" s="7">
        <f>SQRT(K2781^2+L2781^2)</f>
      </c>
      <c r="N2781" s="7">
        <f>(K2782-K2780)</f>
      </c>
      <c r="O2781" s="7">
        <f>+(L2782-L2780)</f>
      </c>
      <c r="P2781" s="7">
        <f>SQRT(O2781^2+N2781^2)</f>
      </c>
      <c r="Q2781" s="7">
        <f>N2781/$P2781</f>
      </c>
      <c r="R2781" s="7">
        <f>O2781/$P2781</f>
      </c>
      <c r="S2781" s="8">
        <f>Q2781^2+R2781^2</f>
      </c>
      <c r="T2781" s="7">
        <f>-R2781</f>
      </c>
      <c r="U2781" s="7">
        <f>Q2781</f>
      </c>
      <c r="V2781" s="7">
        <f>($C$14+($C$15-$C$14)/($D$15-$D$14)*(I2781-$D$14))/2</f>
      </c>
      <c r="W2781" s="7">
        <f>($B$22*I2781^4+$C$22*I2781^3+$D$22*I2781^2+$E$22*I2781+$F$22)/2</f>
      </c>
      <c r="X2781" s="7">
        <f>($W2781)*(T2781)</f>
      </c>
      <c r="Y2781" s="7">
        <f>($W2781)*(U2781)</f>
      </c>
      <c r="Z2781" s="7">
        <f>SQRT(X2781^2+Y2781^2)</f>
      </c>
      <c r="AA2781" s="7">
        <f>$K2781+$X2781</f>
      </c>
      <c r="AB2781" s="7">
        <f>$L2781+$Y2781</f>
      </c>
      <c r="AC2781" s="7">
        <f>$K2781-$X2781</f>
      </c>
      <c r="AD2781" s="7">
        <f>$L2781-$Y2781</f>
      </c>
      <c r="AE2781" s="7">
        <f>AA2781/39.3701</f>
      </c>
      <c r="AF2781" s="7">
        <f>AB2781/39.3701</f>
      </c>
      <c r="AG2781" s="7">
        <f>AC2781/39.3701</f>
      </c>
      <c r="AH2781" s="7">
        <f>AD2781/39.3701</f>
      </c>
      <c r="AI2781" s="1"/>
      <c r="AJ2781" s="1"/>
      <c r="AK2781" s="1"/>
      <c r="AL2781" s="1"/>
      <c r="AM2781" s="2"/>
      <c r="AN2781" s="1"/>
      <c r="AO2781" s="1"/>
      <c r="AP2781" s="1"/>
      <c r="AQ2781" s="1"/>
      <c r="AR2781" s="1"/>
      <c r="AS2781" s="1"/>
      <c r="AT2781" s="1"/>
      <c r="AU2781" s="1"/>
      <c r="AV2781" s="1"/>
      <c r="AW2781" s="1"/>
      <c r="AX2781" s="1"/>
      <c r="AY2781" s="1"/>
      <c r="AZ2781" s="1"/>
      <c r="BA2781" s="1"/>
      <c r="BB2781" s="1"/>
      <c r="BC2781" s="1"/>
      <c r="BD2781" s="1"/>
      <c r="BE2781" s="1"/>
    </row>
    <row x14ac:dyDescent="0.25" r="2782" customHeight="1" ht="18.75">
      <c r="A2782" s="1"/>
      <c r="B2782" s="2"/>
      <c r="C2782" s="2"/>
      <c r="D2782" s="2"/>
      <c r="E2782" s="2"/>
      <c r="F2782" s="2"/>
      <c r="G2782" s="1"/>
      <c r="H2782" s="1"/>
      <c r="I2782" s="7">
        <v>2.779</v>
      </c>
      <c r="J2782" s="7">
        <f>IF((I2782-ROUNDDOWN(I2782,0))=0, 0, (I2782-ROUNDDOWN(I2782,0)))</f>
      </c>
      <c r="K2782" s="7">
        <f>INDIRECT("C$"&amp;2+MIN(2,ROUNDDOWN(I2782,0))*3)*(-$J2782^3+3*$J2782^2-3*$J2782+1)+INDIRECT("C$"&amp;3+MIN(2,ROUNDDOWN(I2782,0))*3)*(3*$J2782^3-6*$J2782^2+3*$J2782)+INDIRECT("C$"&amp;4+MIN(2,ROUNDDOWN(I2782,0))*3)*(-3*$J2782^3+3*$J2782^2)+INDIRECT("C$"&amp;5+MIN(2,ROUNDDOWN(I2782,0))*3)*$J2782^3</f>
      </c>
      <c r="L2782" s="7">
        <f>INDIRECT("D$"&amp;2+MIN(2,ROUNDDOWN(I2782,0))*3)*(-$J2782^3+3*$J2782^2-3*$J2782+1)+INDIRECT("D$"&amp;3+MIN(2,ROUNDDOWN(I2782,0))*3)*(3*$J2782^3-6*$J2782^2+3*$J2782)+INDIRECT("D$"&amp;4+MIN(2,ROUNDDOWN(I2782,0))*3)*(-3*$J2782^3+3*$J2782^2)+INDIRECT("D$"&amp;5+MIN(2,ROUNDDOWN(I2782,0))*3)*$J2782^3</f>
      </c>
      <c r="M2782" s="7">
        <f>SQRT(K2782^2+L2782^2)</f>
      </c>
      <c r="N2782" s="7">
        <f>(K2783-K2781)</f>
      </c>
      <c r="O2782" s="7">
        <f>+(L2783-L2781)</f>
      </c>
      <c r="P2782" s="7">
        <f>SQRT(O2782^2+N2782^2)</f>
      </c>
      <c r="Q2782" s="7">
        <f>N2782/$P2782</f>
      </c>
      <c r="R2782" s="7">
        <f>O2782/$P2782</f>
      </c>
      <c r="S2782" s="8">
        <f>Q2782^2+R2782^2</f>
      </c>
      <c r="T2782" s="7">
        <f>-R2782</f>
      </c>
      <c r="U2782" s="7">
        <f>Q2782</f>
      </c>
      <c r="V2782" s="7">
        <f>($C$14+($C$15-$C$14)/($D$15-$D$14)*(I2782-$D$14))/2</f>
      </c>
      <c r="W2782" s="7">
        <f>($B$22*I2782^4+$C$22*I2782^3+$D$22*I2782^2+$E$22*I2782+$F$22)/2</f>
      </c>
      <c r="X2782" s="7">
        <f>($W2782)*(T2782)</f>
      </c>
      <c r="Y2782" s="7">
        <f>($W2782)*(U2782)</f>
      </c>
      <c r="Z2782" s="7">
        <f>SQRT(X2782^2+Y2782^2)</f>
      </c>
      <c r="AA2782" s="7">
        <f>$K2782+$X2782</f>
      </c>
      <c r="AB2782" s="7">
        <f>$L2782+$Y2782</f>
      </c>
      <c r="AC2782" s="7">
        <f>$K2782-$X2782</f>
      </c>
      <c r="AD2782" s="7">
        <f>$L2782-$Y2782</f>
      </c>
      <c r="AE2782" s="7">
        <f>AA2782/39.3701</f>
      </c>
      <c r="AF2782" s="7">
        <f>AB2782/39.3701</f>
      </c>
      <c r="AG2782" s="7">
        <f>AC2782/39.3701</f>
      </c>
      <c r="AH2782" s="7">
        <f>AD2782/39.3701</f>
      </c>
      <c r="AI2782" s="1"/>
      <c r="AJ2782" s="1"/>
      <c r="AK2782" s="1"/>
      <c r="AL2782" s="1"/>
      <c r="AM2782" s="2"/>
      <c r="AN2782" s="1"/>
      <c r="AO2782" s="1"/>
      <c r="AP2782" s="1"/>
      <c r="AQ2782" s="1"/>
      <c r="AR2782" s="1"/>
      <c r="AS2782" s="1"/>
      <c r="AT2782" s="1"/>
      <c r="AU2782" s="1"/>
      <c r="AV2782" s="1"/>
      <c r="AW2782" s="1"/>
      <c r="AX2782" s="1"/>
      <c r="AY2782" s="1"/>
      <c r="AZ2782" s="1"/>
      <c r="BA2782" s="1"/>
      <c r="BB2782" s="1"/>
      <c r="BC2782" s="1"/>
      <c r="BD2782" s="1"/>
      <c r="BE2782" s="1"/>
    </row>
    <row x14ac:dyDescent="0.25" r="2783" customHeight="1" ht="18.75">
      <c r="A2783" s="1"/>
      <c r="B2783" s="2"/>
      <c r="C2783" s="2"/>
      <c r="D2783" s="2"/>
      <c r="E2783" s="2"/>
      <c r="F2783" s="2"/>
      <c r="G2783" s="1"/>
      <c r="H2783" s="1"/>
      <c r="I2783" s="7">
        <v>2.78</v>
      </c>
      <c r="J2783" s="7">
        <f>IF((I2783-ROUNDDOWN(I2783,0))=0, 0, (I2783-ROUNDDOWN(I2783,0)))</f>
      </c>
      <c r="K2783" s="7">
        <f>INDIRECT("C$"&amp;2+MIN(2,ROUNDDOWN(I2783,0))*3)*(-$J2783^3+3*$J2783^2-3*$J2783+1)+INDIRECT("C$"&amp;3+MIN(2,ROUNDDOWN(I2783,0))*3)*(3*$J2783^3-6*$J2783^2+3*$J2783)+INDIRECT("C$"&amp;4+MIN(2,ROUNDDOWN(I2783,0))*3)*(-3*$J2783^3+3*$J2783^2)+INDIRECT("C$"&amp;5+MIN(2,ROUNDDOWN(I2783,0))*3)*$J2783^3</f>
      </c>
      <c r="L2783" s="7">
        <f>INDIRECT("D$"&amp;2+MIN(2,ROUNDDOWN(I2783,0))*3)*(-$J2783^3+3*$J2783^2-3*$J2783+1)+INDIRECT("D$"&amp;3+MIN(2,ROUNDDOWN(I2783,0))*3)*(3*$J2783^3-6*$J2783^2+3*$J2783)+INDIRECT("D$"&amp;4+MIN(2,ROUNDDOWN(I2783,0))*3)*(-3*$J2783^3+3*$J2783^2)+INDIRECT("D$"&amp;5+MIN(2,ROUNDDOWN(I2783,0))*3)*$J2783^3</f>
      </c>
      <c r="M2783" s="7">
        <f>SQRT(K2783^2+L2783^2)</f>
      </c>
      <c r="N2783" s="7">
        <f>(K2784-K2782)</f>
      </c>
      <c r="O2783" s="7">
        <f>+(L2784-L2782)</f>
      </c>
      <c r="P2783" s="7">
        <f>SQRT(O2783^2+N2783^2)</f>
      </c>
      <c r="Q2783" s="7">
        <f>N2783/$P2783</f>
      </c>
      <c r="R2783" s="7">
        <f>O2783/$P2783</f>
      </c>
      <c r="S2783" s="8">
        <f>Q2783^2+R2783^2</f>
      </c>
      <c r="T2783" s="7">
        <f>-R2783</f>
      </c>
      <c r="U2783" s="7">
        <f>Q2783</f>
      </c>
      <c r="V2783" s="7">
        <f>($C$14+($C$15-$C$14)/($D$15-$D$14)*(I2783-$D$14))/2</f>
      </c>
      <c r="W2783" s="7">
        <f>($B$22*I2783^4+$C$22*I2783^3+$D$22*I2783^2+$E$22*I2783+$F$22)/2</f>
      </c>
      <c r="X2783" s="7">
        <f>($W2783)*(T2783)</f>
      </c>
      <c r="Y2783" s="7">
        <f>($W2783)*(U2783)</f>
      </c>
      <c r="Z2783" s="7">
        <f>SQRT(X2783^2+Y2783^2)</f>
      </c>
      <c r="AA2783" s="7">
        <f>$K2783+$X2783</f>
      </c>
      <c r="AB2783" s="7">
        <f>$L2783+$Y2783</f>
      </c>
      <c r="AC2783" s="7">
        <f>$K2783-$X2783</f>
      </c>
      <c r="AD2783" s="7">
        <f>$L2783-$Y2783</f>
      </c>
      <c r="AE2783" s="7">
        <f>AA2783/39.3701</f>
      </c>
      <c r="AF2783" s="7">
        <f>AB2783/39.3701</f>
      </c>
      <c r="AG2783" s="7">
        <f>AC2783/39.3701</f>
      </c>
      <c r="AH2783" s="7">
        <f>AD2783/39.3701</f>
      </c>
      <c r="AI2783" s="1"/>
      <c r="AJ2783" s="1"/>
      <c r="AK2783" s="1"/>
      <c r="AL2783" s="1"/>
      <c r="AM2783" s="2"/>
      <c r="AN2783" s="1"/>
      <c r="AO2783" s="1"/>
      <c r="AP2783" s="1"/>
      <c r="AQ2783" s="1"/>
      <c r="AR2783" s="1"/>
      <c r="AS2783" s="1"/>
      <c r="AT2783" s="1"/>
      <c r="AU2783" s="1"/>
      <c r="AV2783" s="1"/>
      <c r="AW2783" s="1"/>
      <c r="AX2783" s="1"/>
      <c r="AY2783" s="1"/>
      <c r="AZ2783" s="1"/>
      <c r="BA2783" s="1"/>
      <c r="BB2783" s="1"/>
      <c r="BC2783" s="1"/>
      <c r="BD2783" s="1"/>
      <c r="BE2783" s="1"/>
    </row>
    <row x14ac:dyDescent="0.25" r="2784" customHeight="1" ht="18.75">
      <c r="A2784" s="1"/>
      <c r="B2784" s="2"/>
      <c r="C2784" s="2"/>
      <c r="D2784" s="2"/>
      <c r="E2784" s="2"/>
      <c r="F2784" s="2"/>
      <c r="G2784" s="1"/>
      <c r="H2784" s="1"/>
      <c r="I2784" s="7">
        <v>2.781</v>
      </c>
      <c r="J2784" s="7">
        <f>IF((I2784-ROUNDDOWN(I2784,0))=0, 0, (I2784-ROUNDDOWN(I2784,0)))</f>
      </c>
      <c r="K2784" s="7">
        <f>INDIRECT("C$"&amp;2+MIN(2,ROUNDDOWN(I2784,0))*3)*(-$J2784^3+3*$J2784^2-3*$J2784+1)+INDIRECT("C$"&amp;3+MIN(2,ROUNDDOWN(I2784,0))*3)*(3*$J2784^3-6*$J2784^2+3*$J2784)+INDIRECT("C$"&amp;4+MIN(2,ROUNDDOWN(I2784,0))*3)*(-3*$J2784^3+3*$J2784^2)+INDIRECT("C$"&amp;5+MIN(2,ROUNDDOWN(I2784,0))*3)*$J2784^3</f>
      </c>
      <c r="L2784" s="7">
        <f>INDIRECT("D$"&amp;2+MIN(2,ROUNDDOWN(I2784,0))*3)*(-$J2784^3+3*$J2784^2-3*$J2784+1)+INDIRECT("D$"&amp;3+MIN(2,ROUNDDOWN(I2784,0))*3)*(3*$J2784^3-6*$J2784^2+3*$J2784)+INDIRECT("D$"&amp;4+MIN(2,ROUNDDOWN(I2784,0))*3)*(-3*$J2784^3+3*$J2784^2)+INDIRECT("D$"&amp;5+MIN(2,ROUNDDOWN(I2784,0))*3)*$J2784^3</f>
      </c>
      <c r="M2784" s="7">
        <f>SQRT(K2784^2+L2784^2)</f>
      </c>
      <c r="N2784" s="7">
        <f>(K2785-K2783)</f>
      </c>
      <c r="O2784" s="7">
        <f>+(L2785-L2783)</f>
      </c>
      <c r="P2784" s="7">
        <f>SQRT(O2784^2+N2784^2)</f>
      </c>
      <c r="Q2784" s="7">
        <f>N2784/$P2784</f>
      </c>
      <c r="R2784" s="7">
        <f>O2784/$P2784</f>
      </c>
      <c r="S2784" s="8">
        <f>Q2784^2+R2784^2</f>
      </c>
      <c r="T2784" s="7">
        <f>-R2784</f>
      </c>
      <c r="U2784" s="7">
        <f>Q2784</f>
      </c>
      <c r="V2784" s="7">
        <f>($C$14+($C$15-$C$14)/($D$15-$D$14)*(I2784-$D$14))/2</f>
      </c>
      <c r="W2784" s="7">
        <f>($B$22*I2784^4+$C$22*I2784^3+$D$22*I2784^2+$E$22*I2784+$F$22)/2</f>
      </c>
      <c r="X2784" s="7">
        <f>($W2784)*(T2784)</f>
      </c>
      <c r="Y2784" s="7">
        <f>($W2784)*(U2784)</f>
      </c>
      <c r="Z2784" s="7">
        <f>SQRT(X2784^2+Y2784^2)</f>
      </c>
      <c r="AA2784" s="7">
        <f>$K2784+$X2784</f>
      </c>
      <c r="AB2784" s="7">
        <f>$L2784+$Y2784</f>
      </c>
      <c r="AC2784" s="7">
        <f>$K2784-$X2784</f>
      </c>
      <c r="AD2784" s="7">
        <f>$L2784-$Y2784</f>
      </c>
      <c r="AE2784" s="7">
        <f>AA2784/39.3701</f>
      </c>
      <c r="AF2784" s="7">
        <f>AB2784/39.3701</f>
      </c>
      <c r="AG2784" s="7">
        <f>AC2784/39.3701</f>
      </c>
      <c r="AH2784" s="7">
        <f>AD2784/39.3701</f>
      </c>
      <c r="AI2784" s="1"/>
      <c r="AJ2784" s="1"/>
      <c r="AK2784" s="1"/>
      <c r="AL2784" s="1"/>
      <c r="AM2784" s="2"/>
      <c r="AN2784" s="1"/>
      <c r="AO2784" s="1"/>
      <c r="AP2784" s="1"/>
      <c r="AQ2784" s="1"/>
      <c r="AR2784" s="1"/>
      <c r="AS2784" s="1"/>
      <c r="AT2784" s="1"/>
      <c r="AU2784" s="1"/>
      <c r="AV2784" s="1"/>
      <c r="AW2784" s="1"/>
      <c r="AX2784" s="1"/>
      <c r="AY2784" s="1"/>
      <c r="AZ2784" s="1"/>
      <c r="BA2784" s="1"/>
      <c r="BB2784" s="1"/>
      <c r="BC2784" s="1"/>
      <c r="BD2784" s="1"/>
      <c r="BE2784" s="1"/>
    </row>
    <row x14ac:dyDescent="0.25" r="2785" customHeight="1" ht="18.75">
      <c r="A2785" s="1"/>
      <c r="B2785" s="2"/>
      <c r="C2785" s="2"/>
      <c r="D2785" s="2"/>
      <c r="E2785" s="2"/>
      <c r="F2785" s="2"/>
      <c r="G2785" s="1"/>
      <c r="H2785" s="1"/>
      <c r="I2785" s="7">
        <v>2.782</v>
      </c>
      <c r="J2785" s="7">
        <f>IF((I2785-ROUNDDOWN(I2785,0))=0, 0, (I2785-ROUNDDOWN(I2785,0)))</f>
      </c>
      <c r="K2785" s="7">
        <f>INDIRECT("C$"&amp;2+MIN(2,ROUNDDOWN(I2785,0))*3)*(-$J2785^3+3*$J2785^2-3*$J2785+1)+INDIRECT("C$"&amp;3+MIN(2,ROUNDDOWN(I2785,0))*3)*(3*$J2785^3-6*$J2785^2+3*$J2785)+INDIRECT("C$"&amp;4+MIN(2,ROUNDDOWN(I2785,0))*3)*(-3*$J2785^3+3*$J2785^2)+INDIRECT("C$"&amp;5+MIN(2,ROUNDDOWN(I2785,0))*3)*$J2785^3</f>
      </c>
      <c r="L2785" s="7">
        <f>INDIRECT("D$"&amp;2+MIN(2,ROUNDDOWN(I2785,0))*3)*(-$J2785^3+3*$J2785^2-3*$J2785+1)+INDIRECT("D$"&amp;3+MIN(2,ROUNDDOWN(I2785,0))*3)*(3*$J2785^3-6*$J2785^2+3*$J2785)+INDIRECT("D$"&amp;4+MIN(2,ROUNDDOWN(I2785,0))*3)*(-3*$J2785^3+3*$J2785^2)+INDIRECT("D$"&amp;5+MIN(2,ROUNDDOWN(I2785,0))*3)*$J2785^3</f>
      </c>
      <c r="M2785" s="7">
        <f>SQRT(K2785^2+L2785^2)</f>
      </c>
      <c r="N2785" s="7">
        <f>(K2786-K2784)</f>
      </c>
      <c r="O2785" s="7">
        <f>+(L2786-L2784)</f>
      </c>
      <c r="P2785" s="7">
        <f>SQRT(O2785^2+N2785^2)</f>
      </c>
      <c r="Q2785" s="7">
        <f>N2785/$P2785</f>
      </c>
      <c r="R2785" s="7">
        <f>O2785/$P2785</f>
      </c>
      <c r="S2785" s="8">
        <f>Q2785^2+R2785^2</f>
      </c>
      <c r="T2785" s="7">
        <f>-R2785</f>
      </c>
      <c r="U2785" s="7">
        <f>Q2785</f>
      </c>
      <c r="V2785" s="7">
        <f>($C$14+($C$15-$C$14)/($D$15-$D$14)*(I2785-$D$14))/2</f>
      </c>
      <c r="W2785" s="7">
        <f>($B$22*I2785^4+$C$22*I2785^3+$D$22*I2785^2+$E$22*I2785+$F$22)/2</f>
      </c>
      <c r="X2785" s="7">
        <f>($W2785)*(T2785)</f>
      </c>
      <c r="Y2785" s="7">
        <f>($W2785)*(U2785)</f>
      </c>
      <c r="Z2785" s="7">
        <f>SQRT(X2785^2+Y2785^2)</f>
      </c>
      <c r="AA2785" s="7">
        <f>$K2785+$X2785</f>
      </c>
      <c r="AB2785" s="7">
        <f>$L2785+$Y2785</f>
      </c>
      <c r="AC2785" s="7">
        <f>$K2785-$X2785</f>
      </c>
      <c r="AD2785" s="7">
        <f>$L2785-$Y2785</f>
      </c>
      <c r="AE2785" s="7">
        <f>AA2785/39.3701</f>
      </c>
      <c r="AF2785" s="7">
        <f>AB2785/39.3701</f>
      </c>
      <c r="AG2785" s="7">
        <f>AC2785/39.3701</f>
      </c>
      <c r="AH2785" s="7">
        <f>AD2785/39.3701</f>
      </c>
      <c r="AI2785" s="1"/>
      <c r="AJ2785" s="1"/>
      <c r="AK2785" s="1"/>
      <c r="AL2785" s="1"/>
      <c r="AM2785" s="2"/>
      <c r="AN2785" s="1"/>
      <c r="AO2785" s="1"/>
      <c r="AP2785" s="1"/>
      <c r="AQ2785" s="1"/>
      <c r="AR2785" s="1"/>
      <c r="AS2785" s="1"/>
      <c r="AT2785" s="1"/>
      <c r="AU2785" s="1"/>
      <c r="AV2785" s="1"/>
      <c r="AW2785" s="1"/>
      <c r="AX2785" s="1"/>
      <c r="AY2785" s="1"/>
      <c r="AZ2785" s="1"/>
      <c r="BA2785" s="1"/>
      <c r="BB2785" s="1"/>
      <c r="BC2785" s="1"/>
      <c r="BD2785" s="1"/>
      <c r="BE2785" s="1"/>
    </row>
    <row x14ac:dyDescent="0.25" r="2786" customHeight="1" ht="18.75">
      <c r="A2786" s="1"/>
      <c r="B2786" s="2"/>
      <c r="C2786" s="2"/>
      <c r="D2786" s="2"/>
      <c r="E2786" s="2"/>
      <c r="F2786" s="2"/>
      <c r="G2786" s="1"/>
      <c r="H2786" s="1"/>
      <c r="I2786" s="7">
        <v>2.783</v>
      </c>
      <c r="J2786" s="7">
        <f>IF((I2786-ROUNDDOWN(I2786,0))=0, 0, (I2786-ROUNDDOWN(I2786,0)))</f>
      </c>
      <c r="K2786" s="7">
        <f>INDIRECT("C$"&amp;2+MIN(2,ROUNDDOWN(I2786,0))*3)*(-$J2786^3+3*$J2786^2-3*$J2786+1)+INDIRECT("C$"&amp;3+MIN(2,ROUNDDOWN(I2786,0))*3)*(3*$J2786^3-6*$J2786^2+3*$J2786)+INDIRECT("C$"&amp;4+MIN(2,ROUNDDOWN(I2786,0))*3)*(-3*$J2786^3+3*$J2786^2)+INDIRECT("C$"&amp;5+MIN(2,ROUNDDOWN(I2786,0))*3)*$J2786^3</f>
      </c>
      <c r="L2786" s="7">
        <f>INDIRECT("D$"&amp;2+MIN(2,ROUNDDOWN(I2786,0))*3)*(-$J2786^3+3*$J2786^2-3*$J2786+1)+INDIRECT("D$"&amp;3+MIN(2,ROUNDDOWN(I2786,0))*3)*(3*$J2786^3-6*$J2786^2+3*$J2786)+INDIRECT("D$"&amp;4+MIN(2,ROUNDDOWN(I2786,0))*3)*(-3*$J2786^3+3*$J2786^2)+INDIRECT("D$"&amp;5+MIN(2,ROUNDDOWN(I2786,0))*3)*$J2786^3</f>
      </c>
      <c r="M2786" s="7">
        <f>SQRT(K2786^2+L2786^2)</f>
      </c>
      <c r="N2786" s="7">
        <f>(K2787-K2785)</f>
      </c>
      <c r="O2786" s="7">
        <f>+(L2787-L2785)</f>
      </c>
      <c r="P2786" s="7">
        <f>SQRT(O2786^2+N2786^2)</f>
      </c>
      <c r="Q2786" s="7">
        <f>N2786/$P2786</f>
      </c>
      <c r="R2786" s="7">
        <f>O2786/$P2786</f>
      </c>
      <c r="S2786" s="8">
        <f>Q2786^2+R2786^2</f>
      </c>
      <c r="T2786" s="7">
        <f>-R2786</f>
      </c>
      <c r="U2786" s="7">
        <f>Q2786</f>
      </c>
      <c r="V2786" s="7">
        <f>($C$14+($C$15-$C$14)/($D$15-$D$14)*(I2786-$D$14))/2</f>
      </c>
      <c r="W2786" s="7">
        <f>($B$22*I2786^4+$C$22*I2786^3+$D$22*I2786^2+$E$22*I2786+$F$22)/2</f>
      </c>
      <c r="X2786" s="7">
        <f>($W2786)*(T2786)</f>
      </c>
      <c r="Y2786" s="7">
        <f>($W2786)*(U2786)</f>
      </c>
      <c r="Z2786" s="7">
        <f>SQRT(X2786^2+Y2786^2)</f>
      </c>
      <c r="AA2786" s="7">
        <f>$K2786+$X2786</f>
      </c>
      <c r="AB2786" s="7">
        <f>$L2786+$Y2786</f>
      </c>
      <c r="AC2786" s="7">
        <f>$K2786-$X2786</f>
      </c>
      <c r="AD2786" s="7">
        <f>$L2786-$Y2786</f>
      </c>
      <c r="AE2786" s="7">
        <f>AA2786/39.3701</f>
      </c>
      <c r="AF2786" s="7">
        <f>AB2786/39.3701</f>
      </c>
      <c r="AG2786" s="7">
        <f>AC2786/39.3701</f>
      </c>
      <c r="AH2786" s="7">
        <f>AD2786/39.3701</f>
      </c>
      <c r="AI2786" s="1"/>
      <c r="AJ2786" s="1"/>
      <c r="AK2786" s="1"/>
      <c r="AL2786" s="1"/>
      <c r="AM2786" s="2"/>
      <c r="AN2786" s="1"/>
      <c r="AO2786" s="1"/>
      <c r="AP2786" s="1"/>
      <c r="AQ2786" s="1"/>
      <c r="AR2786" s="1"/>
      <c r="AS2786" s="1"/>
      <c r="AT2786" s="1"/>
      <c r="AU2786" s="1"/>
      <c r="AV2786" s="1"/>
      <c r="AW2786" s="1"/>
      <c r="AX2786" s="1"/>
      <c r="AY2786" s="1"/>
      <c r="AZ2786" s="1"/>
      <c r="BA2786" s="1"/>
      <c r="BB2786" s="1"/>
      <c r="BC2786" s="1"/>
      <c r="BD2786" s="1"/>
      <c r="BE2786" s="1"/>
    </row>
    <row x14ac:dyDescent="0.25" r="2787" customHeight="1" ht="18.75">
      <c r="A2787" s="1"/>
      <c r="B2787" s="2"/>
      <c r="C2787" s="2"/>
      <c r="D2787" s="2"/>
      <c r="E2787" s="2"/>
      <c r="F2787" s="2"/>
      <c r="G2787" s="1"/>
      <c r="H2787" s="1"/>
      <c r="I2787" s="7">
        <v>2.784</v>
      </c>
      <c r="J2787" s="7">
        <f>IF((I2787-ROUNDDOWN(I2787,0))=0, 0, (I2787-ROUNDDOWN(I2787,0)))</f>
      </c>
      <c r="K2787" s="7">
        <f>INDIRECT("C$"&amp;2+MIN(2,ROUNDDOWN(I2787,0))*3)*(-$J2787^3+3*$J2787^2-3*$J2787+1)+INDIRECT("C$"&amp;3+MIN(2,ROUNDDOWN(I2787,0))*3)*(3*$J2787^3-6*$J2787^2+3*$J2787)+INDIRECT("C$"&amp;4+MIN(2,ROUNDDOWN(I2787,0))*3)*(-3*$J2787^3+3*$J2787^2)+INDIRECT("C$"&amp;5+MIN(2,ROUNDDOWN(I2787,0))*3)*$J2787^3</f>
      </c>
      <c r="L2787" s="7">
        <f>INDIRECT("D$"&amp;2+MIN(2,ROUNDDOWN(I2787,0))*3)*(-$J2787^3+3*$J2787^2-3*$J2787+1)+INDIRECT("D$"&amp;3+MIN(2,ROUNDDOWN(I2787,0))*3)*(3*$J2787^3-6*$J2787^2+3*$J2787)+INDIRECT("D$"&amp;4+MIN(2,ROUNDDOWN(I2787,0))*3)*(-3*$J2787^3+3*$J2787^2)+INDIRECT("D$"&amp;5+MIN(2,ROUNDDOWN(I2787,0))*3)*$J2787^3</f>
      </c>
      <c r="M2787" s="7">
        <f>SQRT(K2787^2+L2787^2)</f>
      </c>
      <c r="N2787" s="7">
        <f>(K2788-K2786)</f>
      </c>
      <c r="O2787" s="7">
        <f>+(L2788-L2786)</f>
      </c>
      <c r="P2787" s="7">
        <f>SQRT(O2787^2+N2787^2)</f>
      </c>
      <c r="Q2787" s="7">
        <f>N2787/$P2787</f>
      </c>
      <c r="R2787" s="7">
        <f>O2787/$P2787</f>
      </c>
      <c r="S2787" s="7">
        <f>Q2787^2+R2787^2</f>
      </c>
      <c r="T2787" s="7">
        <f>-R2787</f>
      </c>
      <c r="U2787" s="7">
        <f>Q2787</f>
      </c>
      <c r="V2787" s="7">
        <f>($C$14+($C$15-$C$14)/($D$15-$D$14)*(I2787-$D$14))/2</f>
      </c>
      <c r="W2787" s="7">
        <f>($B$22*I2787^4+$C$22*I2787^3+$D$22*I2787^2+$E$22*I2787+$F$22)/2</f>
      </c>
      <c r="X2787" s="7">
        <f>($W2787)*(T2787)</f>
      </c>
      <c r="Y2787" s="7">
        <f>($W2787)*(U2787)</f>
      </c>
      <c r="Z2787" s="7">
        <f>SQRT(X2787^2+Y2787^2)</f>
      </c>
      <c r="AA2787" s="7">
        <f>$K2787+$X2787</f>
      </c>
      <c r="AB2787" s="7">
        <f>$L2787+$Y2787</f>
      </c>
      <c r="AC2787" s="7">
        <f>$K2787-$X2787</f>
      </c>
      <c r="AD2787" s="7">
        <f>$L2787-$Y2787</f>
      </c>
      <c r="AE2787" s="7">
        <f>AA2787/39.3701</f>
      </c>
      <c r="AF2787" s="7">
        <f>AB2787/39.3701</f>
      </c>
      <c r="AG2787" s="7">
        <f>AC2787/39.3701</f>
      </c>
      <c r="AH2787" s="7">
        <f>AD2787/39.3701</f>
      </c>
      <c r="AI2787" s="1"/>
      <c r="AJ2787" s="1"/>
      <c r="AK2787" s="1"/>
      <c r="AL2787" s="1"/>
      <c r="AM2787" s="2"/>
      <c r="AN2787" s="1"/>
      <c r="AO2787" s="1"/>
      <c r="AP2787" s="1"/>
      <c r="AQ2787" s="1"/>
      <c r="AR2787" s="1"/>
      <c r="AS2787" s="1"/>
      <c r="AT2787" s="1"/>
      <c r="AU2787" s="1"/>
      <c r="AV2787" s="1"/>
      <c r="AW2787" s="1"/>
      <c r="AX2787" s="1"/>
      <c r="AY2787" s="1"/>
      <c r="AZ2787" s="1"/>
      <c r="BA2787" s="1"/>
      <c r="BB2787" s="1"/>
      <c r="BC2787" s="1"/>
      <c r="BD2787" s="1"/>
      <c r="BE2787" s="1"/>
    </row>
    <row x14ac:dyDescent="0.25" r="2788" customHeight="1" ht="18.75">
      <c r="A2788" s="1"/>
      <c r="B2788" s="2"/>
      <c r="C2788" s="2"/>
      <c r="D2788" s="2"/>
      <c r="E2788" s="2"/>
      <c r="F2788" s="2"/>
      <c r="G2788" s="1"/>
      <c r="H2788" s="1"/>
      <c r="I2788" s="7">
        <v>2.785</v>
      </c>
      <c r="J2788" s="7">
        <f>IF((I2788-ROUNDDOWN(I2788,0))=0, 0, (I2788-ROUNDDOWN(I2788,0)))</f>
      </c>
      <c r="K2788" s="7">
        <f>INDIRECT("C$"&amp;2+MIN(2,ROUNDDOWN(I2788,0))*3)*(-$J2788^3+3*$J2788^2-3*$J2788+1)+INDIRECT("C$"&amp;3+MIN(2,ROUNDDOWN(I2788,0))*3)*(3*$J2788^3-6*$J2788^2+3*$J2788)+INDIRECT("C$"&amp;4+MIN(2,ROUNDDOWN(I2788,0))*3)*(-3*$J2788^3+3*$J2788^2)+INDIRECT("C$"&amp;5+MIN(2,ROUNDDOWN(I2788,0))*3)*$J2788^3</f>
      </c>
      <c r="L2788" s="7">
        <f>INDIRECT("D$"&amp;2+MIN(2,ROUNDDOWN(I2788,0))*3)*(-$J2788^3+3*$J2788^2-3*$J2788+1)+INDIRECT("D$"&amp;3+MIN(2,ROUNDDOWN(I2788,0))*3)*(3*$J2788^3-6*$J2788^2+3*$J2788)+INDIRECT("D$"&amp;4+MIN(2,ROUNDDOWN(I2788,0))*3)*(-3*$J2788^3+3*$J2788^2)+INDIRECT("D$"&amp;5+MIN(2,ROUNDDOWN(I2788,0))*3)*$J2788^3</f>
      </c>
      <c r="M2788" s="7">
        <f>SQRT(K2788^2+L2788^2)</f>
      </c>
      <c r="N2788" s="7">
        <f>(K2789-K2787)</f>
      </c>
      <c r="O2788" s="7">
        <f>+(L2789-L2787)</f>
      </c>
      <c r="P2788" s="7">
        <f>SQRT(O2788^2+N2788^2)</f>
      </c>
      <c r="Q2788" s="7">
        <f>N2788/$P2788</f>
      </c>
      <c r="R2788" s="7">
        <f>O2788/$P2788</f>
      </c>
      <c r="S2788" s="8">
        <f>Q2788^2+R2788^2</f>
      </c>
      <c r="T2788" s="7">
        <f>-R2788</f>
      </c>
      <c r="U2788" s="7">
        <f>Q2788</f>
      </c>
      <c r="V2788" s="7">
        <f>($C$14+($C$15-$C$14)/($D$15-$D$14)*(I2788-$D$14))/2</f>
      </c>
      <c r="W2788" s="7">
        <f>($B$22*I2788^4+$C$22*I2788^3+$D$22*I2788^2+$E$22*I2788+$F$22)/2</f>
      </c>
      <c r="X2788" s="7">
        <f>($W2788)*(T2788)</f>
      </c>
      <c r="Y2788" s="7">
        <f>($W2788)*(U2788)</f>
      </c>
      <c r="Z2788" s="7">
        <f>SQRT(X2788^2+Y2788^2)</f>
      </c>
      <c r="AA2788" s="7">
        <f>$K2788+$X2788</f>
      </c>
      <c r="AB2788" s="7">
        <f>$L2788+$Y2788</f>
      </c>
      <c r="AC2788" s="7">
        <f>$K2788-$X2788</f>
      </c>
      <c r="AD2788" s="7">
        <f>$L2788-$Y2788</f>
      </c>
      <c r="AE2788" s="7">
        <f>AA2788/39.3701</f>
      </c>
      <c r="AF2788" s="7">
        <f>AB2788/39.3701</f>
      </c>
      <c r="AG2788" s="7">
        <f>AC2788/39.3701</f>
      </c>
      <c r="AH2788" s="7">
        <f>AD2788/39.3701</f>
      </c>
      <c r="AI2788" s="1"/>
      <c r="AJ2788" s="1"/>
      <c r="AK2788" s="1"/>
      <c r="AL2788" s="1"/>
      <c r="AM2788" s="2"/>
      <c r="AN2788" s="1"/>
      <c r="AO2788" s="1"/>
      <c r="AP2788" s="1"/>
      <c r="AQ2788" s="1"/>
      <c r="AR2788" s="1"/>
      <c r="AS2788" s="1"/>
      <c r="AT2788" s="1"/>
      <c r="AU2788" s="1"/>
      <c r="AV2788" s="1"/>
      <c r="AW2788" s="1"/>
      <c r="AX2788" s="1"/>
      <c r="AY2788" s="1"/>
      <c r="AZ2788" s="1"/>
      <c r="BA2788" s="1"/>
      <c r="BB2788" s="1"/>
      <c r="BC2788" s="1"/>
      <c r="BD2788" s="1"/>
      <c r="BE2788" s="1"/>
    </row>
    <row x14ac:dyDescent="0.25" r="2789" customHeight="1" ht="18.75">
      <c r="A2789" s="1"/>
      <c r="B2789" s="2"/>
      <c r="C2789" s="2"/>
      <c r="D2789" s="2"/>
      <c r="E2789" s="2"/>
      <c r="F2789" s="2"/>
      <c r="G2789" s="1"/>
      <c r="H2789" s="1"/>
      <c r="I2789" s="7">
        <v>2.786</v>
      </c>
      <c r="J2789" s="7">
        <f>IF((I2789-ROUNDDOWN(I2789,0))=0, 0, (I2789-ROUNDDOWN(I2789,0)))</f>
      </c>
      <c r="K2789" s="7">
        <f>INDIRECT("C$"&amp;2+MIN(2,ROUNDDOWN(I2789,0))*3)*(-$J2789^3+3*$J2789^2-3*$J2789+1)+INDIRECT("C$"&amp;3+MIN(2,ROUNDDOWN(I2789,0))*3)*(3*$J2789^3-6*$J2789^2+3*$J2789)+INDIRECT("C$"&amp;4+MIN(2,ROUNDDOWN(I2789,0))*3)*(-3*$J2789^3+3*$J2789^2)+INDIRECT("C$"&amp;5+MIN(2,ROUNDDOWN(I2789,0))*3)*$J2789^3</f>
      </c>
      <c r="L2789" s="7">
        <f>INDIRECT("D$"&amp;2+MIN(2,ROUNDDOWN(I2789,0))*3)*(-$J2789^3+3*$J2789^2-3*$J2789+1)+INDIRECT("D$"&amp;3+MIN(2,ROUNDDOWN(I2789,0))*3)*(3*$J2789^3-6*$J2789^2+3*$J2789)+INDIRECT("D$"&amp;4+MIN(2,ROUNDDOWN(I2789,0))*3)*(-3*$J2789^3+3*$J2789^2)+INDIRECT("D$"&amp;5+MIN(2,ROUNDDOWN(I2789,0))*3)*$J2789^3</f>
      </c>
      <c r="M2789" s="7">
        <f>SQRT(K2789^2+L2789^2)</f>
      </c>
      <c r="N2789" s="7">
        <f>(K2790-K2788)</f>
      </c>
      <c r="O2789" s="7">
        <f>+(L2790-L2788)</f>
      </c>
      <c r="P2789" s="7">
        <f>SQRT(O2789^2+N2789^2)</f>
      </c>
      <c r="Q2789" s="7">
        <f>N2789/$P2789</f>
      </c>
      <c r="R2789" s="7">
        <f>O2789/$P2789</f>
      </c>
      <c r="S2789" s="8">
        <f>Q2789^2+R2789^2</f>
      </c>
      <c r="T2789" s="7">
        <f>-R2789</f>
      </c>
      <c r="U2789" s="7">
        <f>Q2789</f>
      </c>
      <c r="V2789" s="7">
        <f>($C$14+($C$15-$C$14)/($D$15-$D$14)*(I2789-$D$14))/2</f>
      </c>
      <c r="W2789" s="7">
        <f>($B$22*I2789^4+$C$22*I2789^3+$D$22*I2789^2+$E$22*I2789+$F$22)/2</f>
      </c>
      <c r="X2789" s="7">
        <f>($W2789)*(T2789)</f>
      </c>
      <c r="Y2789" s="7">
        <f>($W2789)*(U2789)</f>
      </c>
      <c r="Z2789" s="7">
        <f>SQRT(X2789^2+Y2789^2)</f>
      </c>
      <c r="AA2789" s="7">
        <f>$K2789+$X2789</f>
      </c>
      <c r="AB2789" s="7">
        <f>$L2789+$Y2789</f>
      </c>
      <c r="AC2789" s="7">
        <f>$K2789-$X2789</f>
      </c>
      <c r="AD2789" s="7">
        <f>$L2789-$Y2789</f>
      </c>
      <c r="AE2789" s="7">
        <f>AA2789/39.3701</f>
      </c>
      <c r="AF2789" s="7">
        <f>AB2789/39.3701</f>
      </c>
      <c r="AG2789" s="7">
        <f>AC2789/39.3701</f>
      </c>
      <c r="AH2789" s="7">
        <f>AD2789/39.3701</f>
      </c>
      <c r="AI2789" s="1"/>
      <c r="AJ2789" s="1"/>
      <c r="AK2789" s="1"/>
      <c r="AL2789" s="1"/>
      <c r="AM2789" s="2"/>
      <c r="AN2789" s="1"/>
      <c r="AO2789" s="1"/>
      <c r="AP2789" s="1"/>
      <c r="AQ2789" s="1"/>
      <c r="AR2789" s="1"/>
      <c r="AS2789" s="1"/>
      <c r="AT2789" s="1"/>
      <c r="AU2789" s="1"/>
      <c r="AV2789" s="1"/>
      <c r="AW2789" s="1"/>
      <c r="AX2789" s="1"/>
      <c r="AY2789" s="1"/>
      <c r="AZ2789" s="1"/>
      <c r="BA2789" s="1"/>
      <c r="BB2789" s="1"/>
      <c r="BC2789" s="1"/>
      <c r="BD2789" s="1"/>
      <c r="BE2789" s="1"/>
    </row>
    <row x14ac:dyDescent="0.25" r="2790" customHeight="1" ht="18.75">
      <c r="A2790" s="1"/>
      <c r="B2790" s="2"/>
      <c r="C2790" s="2"/>
      <c r="D2790" s="2"/>
      <c r="E2790" s="2"/>
      <c r="F2790" s="2"/>
      <c r="G2790" s="1"/>
      <c r="H2790" s="1"/>
      <c r="I2790" s="7">
        <v>2.787</v>
      </c>
      <c r="J2790" s="7">
        <f>IF((I2790-ROUNDDOWN(I2790,0))=0, 0, (I2790-ROUNDDOWN(I2790,0)))</f>
      </c>
      <c r="K2790" s="7">
        <f>INDIRECT("C$"&amp;2+MIN(2,ROUNDDOWN(I2790,0))*3)*(-$J2790^3+3*$J2790^2-3*$J2790+1)+INDIRECT("C$"&amp;3+MIN(2,ROUNDDOWN(I2790,0))*3)*(3*$J2790^3-6*$J2790^2+3*$J2790)+INDIRECT("C$"&amp;4+MIN(2,ROUNDDOWN(I2790,0))*3)*(-3*$J2790^3+3*$J2790^2)+INDIRECT("C$"&amp;5+MIN(2,ROUNDDOWN(I2790,0))*3)*$J2790^3</f>
      </c>
      <c r="L2790" s="7">
        <f>INDIRECT("D$"&amp;2+MIN(2,ROUNDDOWN(I2790,0))*3)*(-$J2790^3+3*$J2790^2-3*$J2790+1)+INDIRECT("D$"&amp;3+MIN(2,ROUNDDOWN(I2790,0))*3)*(3*$J2790^3-6*$J2790^2+3*$J2790)+INDIRECT("D$"&amp;4+MIN(2,ROUNDDOWN(I2790,0))*3)*(-3*$J2790^3+3*$J2790^2)+INDIRECT("D$"&amp;5+MIN(2,ROUNDDOWN(I2790,0))*3)*$J2790^3</f>
      </c>
      <c r="M2790" s="7">
        <f>SQRT(K2790^2+L2790^2)</f>
      </c>
      <c r="N2790" s="7">
        <f>(K2791-K2789)</f>
      </c>
      <c r="O2790" s="7">
        <f>+(L2791-L2789)</f>
      </c>
      <c r="P2790" s="7">
        <f>SQRT(O2790^2+N2790^2)</f>
      </c>
      <c r="Q2790" s="7">
        <f>N2790/$P2790</f>
      </c>
      <c r="R2790" s="7">
        <f>O2790/$P2790</f>
      </c>
      <c r="S2790" s="7">
        <f>Q2790^2+R2790^2</f>
      </c>
      <c r="T2790" s="7">
        <f>-R2790</f>
      </c>
      <c r="U2790" s="7">
        <f>Q2790</f>
      </c>
      <c r="V2790" s="7">
        <f>($C$14+($C$15-$C$14)/($D$15-$D$14)*(I2790-$D$14))/2</f>
      </c>
      <c r="W2790" s="7">
        <f>($B$22*I2790^4+$C$22*I2790^3+$D$22*I2790^2+$E$22*I2790+$F$22)/2</f>
      </c>
      <c r="X2790" s="7">
        <f>($W2790)*(T2790)</f>
      </c>
      <c r="Y2790" s="7">
        <f>($W2790)*(U2790)</f>
      </c>
      <c r="Z2790" s="7">
        <f>SQRT(X2790^2+Y2790^2)</f>
      </c>
      <c r="AA2790" s="7">
        <f>$K2790+$X2790</f>
      </c>
      <c r="AB2790" s="7">
        <f>$L2790+$Y2790</f>
      </c>
      <c r="AC2790" s="7">
        <f>$K2790-$X2790</f>
      </c>
      <c r="AD2790" s="7">
        <f>$L2790-$Y2790</f>
      </c>
      <c r="AE2790" s="7">
        <f>AA2790/39.3701</f>
      </c>
      <c r="AF2790" s="7">
        <f>AB2790/39.3701</f>
      </c>
      <c r="AG2790" s="7">
        <f>AC2790/39.3701</f>
      </c>
      <c r="AH2790" s="7">
        <f>AD2790/39.3701</f>
      </c>
      <c r="AI2790" s="1"/>
      <c r="AJ2790" s="1"/>
      <c r="AK2790" s="1"/>
      <c r="AL2790" s="1"/>
      <c r="AM2790" s="2"/>
      <c r="AN2790" s="1"/>
      <c r="AO2790" s="1"/>
      <c r="AP2790" s="1"/>
      <c r="AQ2790" s="1"/>
      <c r="AR2790" s="1"/>
      <c r="AS2790" s="1"/>
      <c r="AT2790" s="1"/>
      <c r="AU2790" s="1"/>
      <c r="AV2790" s="1"/>
      <c r="AW2790" s="1"/>
      <c r="AX2790" s="1"/>
      <c r="AY2790" s="1"/>
      <c r="AZ2790" s="1"/>
      <c r="BA2790" s="1"/>
      <c r="BB2790" s="1"/>
      <c r="BC2790" s="1"/>
      <c r="BD2790" s="1"/>
      <c r="BE2790" s="1"/>
    </row>
    <row x14ac:dyDescent="0.25" r="2791" customHeight="1" ht="18.75">
      <c r="A2791" s="1"/>
      <c r="B2791" s="2"/>
      <c r="C2791" s="2"/>
      <c r="D2791" s="2"/>
      <c r="E2791" s="2"/>
      <c r="F2791" s="2"/>
      <c r="G2791" s="1"/>
      <c r="H2791" s="1"/>
      <c r="I2791" s="7">
        <v>2.788</v>
      </c>
      <c r="J2791" s="7">
        <f>IF((I2791-ROUNDDOWN(I2791,0))=0, 0, (I2791-ROUNDDOWN(I2791,0)))</f>
      </c>
      <c r="K2791" s="7">
        <f>INDIRECT("C$"&amp;2+MIN(2,ROUNDDOWN(I2791,0))*3)*(-$J2791^3+3*$J2791^2-3*$J2791+1)+INDIRECT("C$"&amp;3+MIN(2,ROUNDDOWN(I2791,0))*3)*(3*$J2791^3-6*$J2791^2+3*$J2791)+INDIRECT("C$"&amp;4+MIN(2,ROUNDDOWN(I2791,0))*3)*(-3*$J2791^3+3*$J2791^2)+INDIRECT("C$"&amp;5+MIN(2,ROUNDDOWN(I2791,0))*3)*$J2791^3</f>
      </c>
      <c r="L2791" s="7">
        <f>INDIRECT("D$"&amp;2+MIN(2,ROUNDDOWN(I2791,0))*3)*(-$J2791^3+3*$J2791^2-3*$J2791+1)+INDIRECT("D$"&amp;3+MIN(2,ROUNDDOWN(I2791,0))*3)*(3*$J2791^3-6*$J2791^2+3*$J2791)+INDIRECT("D$"&amp;4+MIN(2,ROUNDDOWN(I2791,0))*3)*(-3*$J2791^3+3*$J2791^2)+INDIRECT("D$"&amp;5+MIN(2,ROUNDDOWN(I2791,0))*3)*$J2791^3</f>
      </c>
      <c r="M2791" s="7">
        <f>SQRT(K2791^2+L2791^2)</f>
      </c>
      <c r="N2791" s="7">
        <f>(K2792-K2790)</f>
      </c>
      <c r="O2791" s="7">
        <f>+(L2792-L2790)</f>
      </c>
      <c r="P2791" s="7">
        <f>SQRT(O2791^2+N2791^2)</f>
      </c>
      <c r="Q2791" s="7">
        <f>N2791/$P2791</f>
      </c>
      <c r="R2791" s="7">
        <f>O2791/$P2791</f>
      </c>
      <c r="S2791" s="8">
        <f>Q2791^2+R2791^2</f>
      </c>
      <c r="T2791" s="7">
        <f>-R2791</f>
      </c>
      <c r="U2791" s="7">
        <f>Q2791</f>
      </c>
      <c r="V2791" s="7">
        <f>($C$14+($C$15-$C$14)/($D$15-$D$14)*(I2791-$D$14))/2</f>
      </c>
      <c r="W2791" s="7">
        <f>($B$22*I2791^4+$C$22*I2791^3+$D$22*I2791^2+$E$22*I2791+$F$22)/2</f>
      </c>
      <c r="X2791" s="7">
        <f>($W2791)*(T2791)</f>
      </c>
      <c r="Y2791" s="7">
        <f>($W2791)*(U2791)</f>
      </c>
      <c r="Z2791" s="7">
        <f>SQRT(X2791^2+Y2791^2)</f>
      </c>
      <c r="AA2791" s="7">
        <f>$K2791+$X2791</f>
      </c>
      <c r="AB2791" s="7">
        <f>$L2791+$Y2791</f>
      </c>
      <c r="AC2791" s="7">
        <f>$K2791-$X2791</f>
      </c>
      <c r="AD2791" s="7">
        <f>$L2791-$Y2791</f>
      </c>
      <c r="AE2791" s="7">
        <f>AA2791/39.3701</f>
      </c>
      <c r="AF2791" s="7">
        <f>AB2791/39.3701</f>
      </c>
      <c r="AG2791" s="7">
        <f>AC2791/39.3701</f>
      </c>
      <c r="AH2791" s="7">
        <f>AD2791/39.3701</f>
      </c>
      <c r="AI2791" s="1"/>
      <c r="AJ2791" s="1"/>
      <c r="AK2791" s="1"/>
      <c r="AL2791" s="1"/>
      <c r="AM2791" s="2"/>
      <c r="AN2791" s="1"/>
      <c r="AO2791" s="1"/>
      <c r="AP2791" s="1"/>
      <c r="AQ2791" s="1"/>
      <c r="AR2791" s="1"/>
      <c r="AS2791" s="1"/>
      <c r="AT2791" s="1"/>
      <c r="AU2791" s="1"/>
      <c r="AV2791" s="1"/>
      <c r="AW2791" s="1"/>
      <c r="AX2791" s="1"/>
      <c r="AY2791" s="1"/>
      <c r="AZ2791" s="1"/>
      <c r="BA2791" s="1"/>
      <c r="BB2791" s="1"/>
      <c r="BC2791" s="1"/>
      <c r="BD2791" s="1"/>
      <c r="BE2791" s="1"/>
    </row>
    <row x14ac:dyDescent="0.25" r="2792" customHeight="1" ht="18.75">
      <c r="A2792" s="1"/>
      <c r="B2792" s="2"/>
      <c r="C2792" s="2"/>
      <c r="D2792" s="2"/>
      <c r="E2792" s="2"/>
      <c r="F2792" s="2"/>
      <c r="G2792" s="1"/>
      <c r="H2792" s="1"/>
      <c r="I2792" s="7">
        <v>2.789</v>
      </c>
      <c r="J2792" s="7">
        <f>IF((I2792-ROUNDDOWN(I2792,0))=0, 0, (I2792-ROUNDDOWN(I2792,0)))</f>
      </c>
      <c r="K2792" s="7">
        <f>INDIRECT("C$"&amp;2+MIN(2,ROUNDDOWN(I2792,0))*3)*(-$J2792^3+3*$J2792^2-3*$J2792+1)+INDIRECT("C$"&amp;3+MIN(2,ROUNDDOWN(I2792,0))*3)*(3*$J2792^3-6*$J2792^2+3*$J2792)+INDIRECT("C$"&amp;4+MIN(2,ROUNDDOWN(I2792,0))*3)*(-3*$J2792^3+3*$J2792^2)+INDIRECT("C$"&amp;5+MIN(2,ROUNDDOWN(I2792,0))*3)*$J2792^3</f>
      </c>
      <c r="L2792" s="7">
        <f>INDIRECT("D$"&amp;2+MIN(2,ROUNDDOWN(I2792,0))*3)*(-$J2792^3+3*$J2792^2-3*$J2792+1)+INDIRECT("D$"&amp;3+MIN(2,ROUNDDOWN(I2792,0))*3)*(3*$J2792^3-6*$J2792^2+3*$J2792)+INDIRECT("D$"&amp;4+MIN(2,ROUNDDOWN(I2792,0))*3)*(-3*$J2792^3+3*$J2792^2)+INDIRECT("D$"&amp;5+MIN(2,ROUNDDOWN(I2792,0))*3)*$J2792^3</f>
      </c>
      <c r="M2792" s="7">
        <f>SQRT(K2792^2+L2792^2)</f>
      </c>
      <c r="N2792" s="7">
        <f>(K2793-K2791)</f>
      </c>
      <c r="O2792" s="7">
        <f>+(L2793-L2791)</f>
      </c>
      <c r="P2792" s="7">
        <f>SQRT(O2792^2+N2792^2)</f>
      </c>
      <c r="Q2792" s="7">
        <f>N2792/$P2792</f>
      </c>
      <c r="R2792" s="7">
        <f>O2792/$P2792</f>
      </c>
      <c r="S2792" s="8">
        <f>Q2792^2+R2792^2</f>
      </c>
      <c r="T2792" s="7">
        <f>-R2792</f>
      </c>
      <c r="U2792" s="7">
        <f>Q2792</f>
      </c>
      <c r="V2792" s="7">
        <f>($C$14+($C$15-$C$14)/($D$15-$D$14)*(I2792-$D$14))/2</f>
      </c>
      <c r="W2792" s="7">
        <f>($B$22*I2792^4+$C$22*I2792^3+$D$22*I2792^2+$E$22*I2792+$F$22)/2</f>
      </c>
      <c r="X2792" s="7">
        <f>($W2792)*(T2792)</f>
      </c>
      <c r="Y2792" s="7">
        <f>($W2792)*(U2792)</f>
      </c>
      <c r="Z2792" s="7">
        <f>SQRT(X2792^2+Y2792^2)</f>
      </c>
      <c r="AA2792" s="7">
        <f>$K2792+$X2792</f>
      </c>
      <c r="AB2792" s="7">
        <f>$L2792+$Y2792</f>
      </c>
      <c r="AC2792" s="7">
        <f>$K2792-$X2792</f>
      </c>
      <c r="AD2792" s="7">
        <f>$L2792-$Y2792</f>
      </c>
      <c r="AE2792" s="7">
        <f>AA2792/39.3701</f>
      </c>
      <c r="AF2792" s="7">
        <f>AB2792/39.3701</f>
      </c>
      <c r="AG2792" s="7">
        <f>AC2792/39.3701</f>
      </c>
      <c r="AH2792" s="7">
        <f>AD2792/39.3701</f>
      </c>
      <c r="AI2792" s="1"/>
      <c r="AJ2792" s="1"/>
      <c r="AK2792" s="1"/>
      <c r="AL2792" s="1"/>
      <c r="AM2792" s="2"/>
      <c r="AN2792" s="1"/>
      <c r="AO2792" s="1"/>
      <c r="AP2792" s="1"/>
      <c r="AQ2792" s="1"/>
      <c r="AR2792" s="1"/>
      <c r="AS2792" s="1"/>
      <c r="AT2792" s="1"/>
      <c r="AU2792" s="1"/>
      <c r="AV2792" s="1"/>
      <c r="AW2792" s="1"/>
      <c r="AX2792" s="1"/>
      <c r="AY2792" s="1"/>
      <c r="AZ2792" s="1"/>
      <c r="BA2792" s="1"/>
      <c r="BB2792" s="1"/>
      <c r="BC2792" s="1"/>
      <c r="BD2792" s="1"/>
      <c r="BE2792" s="1"/>
    </row>
    <row x14ac:dyDescent="0.25" r="2793" customHeight="1" ht="18.75">
      <c r="A2793" s="1"/>
      <c r="B2793" s="2"/>
      <c r="C2793" s="2"/>
      <c r="D2793" s="2"/>
      <c r="E2793" s="2"/>
      <c r="F2793" s="2"/>
      <c r="G2793" s="1"/>
      <c r="H2793" s="1"/>
      <c r="I2793" s="7">
        <v>2.79</v>
      </c>
      <c r="J2793" s="7">
        <f>IF((I2793-ROUNDDOWN(I2793,0))=0, 0, (I2793-ROUNDDOWN(I2793,0)))</f>
      </c>
      <c r="K2793" s="7">
        <f>INDIRECT("C$"&amp;2+MIN(2,ROUNDDOWN(I2793,0))*3)*(-$J2793^3+3*$J2793^2-3*$J2793+1)+INDIRECT("C$"&amp;3+MIN(2,ROUNDDOWN(I2793,0))*3)*(3*$J2793^3-6*$J2793^2+3*$J2793)+INDIRECT("C$"&amp;4+MIN(2,ROUNDDOWN(I2793,0))*3)*(-3*$J2793^3+3*$J2793^2)+INDIRECT("C$"&amp;5+MIN(2,ROUNDDOWN(I2793,0))*3)*$J2793^3</f>
      </c>
      <c r="L2793" s="7">
        <f>INDIRECT("D$"&amp;2+MIN(2,ROUNDDOWN(I2793,0))*3)*(-$J2793^3+3*$J2793^2-3*$J2793+1)+INDIRECT("D$"&amp;3+MIN(2,ROUNDDOWN(I2793,0))*3)*(3*$J2793^3-6*$J2793^2+3*$J2793)+INDIRECT("D$"&amp;4+MIN(2,ROUNDDOWN(I2793,0))*3)*(-3*$J2793^3+3*$J2793^2)+INDIRECT("D$"&amp;5+MIN(2,ROUNDDOWN(I2793,0))*3)*$J2793^3</f>
      </c>
      <c r="M2793" s="7">
        <f>SQRT(K2793^2+L2793^2)</f>
      </c>
      <c r="N2793" s="7">
        <f>(K2794-K2792)</f>
      </c>
      <c r="O2793" s="7">
        <f>+(L2794-L2792)</f>
      </c>
      <c r="P2793" s="7">
        <f>SQRT(O2793^2+N2793^2)</f>
      </c>
      <c r="Q2793" s="7">
        <f>N2793/$P2793</f>
      </c>
      <c r="R2793" s="7">
        <f>O2793/$P2793</f>
      </c>
      <c r="S2793" s="8">
        <f>Q2793^2+R2793^2</f>
      </c>
      <c r="T2793" s="7">
        <f>-R2793</f>
      </c>
      <c r="U2793" s="7">
        <f>Q2793</f>
      </c>
      <c r="V2793" s="7">
        <f>($C$14+($C$15-$C$14)/($D$15-$D$14)*(I2793-$D$14))/2</f>
      </c>
      <c r="W2793" s="7">
        <f>($B$22*I2793^4+$C$22*I2793^3+$D$22*I2793^2+$E$22*I2793+$F$22)/2</f>
      </c>
      <c r="X2793" s="7">
        <f>($W2793)*(T2793)</f>
      </c>
      <c r="Y2793" s="7">
        <f>($W2793)*(U2793)</f>
      </c>
      <c r="Z2793" s="7">
        <f>SQRT(X2793^2+Y2793^2)</f>
      </c>
      <c r="AA2793" s="7">
        <f>$K2793+$X2793</f>
      </c>
      <c r="AB2793" s="7">
        <f>$L2793+$Y2793</f>
      </c>
      <c r="AC2793" s="7">
        <f>$K2793-$X2793</f>
      </c>
      <c r="AD2793" s="7">
        <f>$L2793-$Y2793</f>
      </c>
      <c r="AE2793" s="7">
        <f>AA2793/39.3701</f>
      </c>
      <c r="AF2793" s="7">
        <f>AB2793/39.3701</f>
      </c>
      <c r="AG2793" s="7">
        <f>AC2793/39.3701</f>
      </c>
      <c r="AH2793" s="7">
        <f>AD2793/39.3701</f>
      </c>
      <c r="AI2793" s="1"/>
      <c r="AJ2793" s="1"/>
      <c r="AK2793" s="1"/>
      <c r="AL2793" s="1"/>
      <c r="AM2793" s="2"/>
      <c r="AN2793" s="1"/>
      <c r="AO2793" s="1"/>
      <c r="AP2793" s="1"/>
      <c r="AQ2793" s="1"/>
      <c r="AR2793" s="1"/>
      <c r="AS2793" s="1"/>
      <c r="AT2793" s="1"/>
      <c r="AU2793" s="1"/>
      <c r="AV2793" s="1"/>
      <c r="AW2793" s="1"/>
      <c r="AX2793" s="1"/>
      <c r="AY2793" s="1"/>
      <c r="AZ2793" s="1"/>
      <c r="BA2793" s="1"/>
      <c r="BB2793" s="1"/>
      <c r="BC2793" s="1"/>
      <c r="BD2793" s="1"/>
      <c r="BE2793" s="1"/>
    </row>
    <row x14ac:dyDescent="0.25" r="2794" customHeight="1" ht="18.75">
      <c r="A2794" s="1"/>
      <c r="B2794" s="2"/>
      <c r="C2794" s="2"/>
      <c r="D2794" s="2"/>
      <c r="E2794" s="2"/>
      <c r="F2794" s="2"/>
      <c r="G2794" s="1"/>
      <c r="H2794" s="1"/>
      <c r="I2794" s="7">
        <v>2.791</v>
      </c>
      <c r="J2794" s="7">
        <f>IF((I2794-ROUNDDOWN(I2794,0))=0, 0, (I2794-ROUNDDOWN(I2794,0)))</f>
      </c>
      <c r="K2794" s="7">
        <f>INDIRECT("C$"&amp;2+MIN(2,ROUNDDOWN(I2794,0))*3)*(-$J2794^3+3*$J2794^2-3*$J2794+1)+INDIRECT("C$"&amp;3+MIN(2,ROUNDDOWN(I2794,0))*3)*(3*$J2794^3-6*$J2794^2+3*$J2794)+INDIRECT("C$"&amp;4+MIN(2,ROUNDDOWN(I2794,0))*3)*(-3*$J2794^3+3*$J2794^2)+INDIRECT("C$"&amp;5+MIN(2,ROUNDDOWN(I2794,0))*3)*$J2794^3</f>
      </c>
      <c r="L2794" s="7">
        <f>INDIRECT("D$"&amp;2+MIN(2,ROUNDDOWN(I2794,0))*3)*(-$J2794^3+3*$J2794^2-3*$J2794+1)+INDIRECT("D$"&amp;3+MIN(2,ROUNDDOWN(I2794,0))*3)*(3*$J2794^3-6*$J2794^2+3*$J2794)+INDIRECT("D$"&amp;4+MIN(2,ROUNDDOWN(I2794,0))*3)*(-3*$J2794^3+3*$J2794^2)+INDIRECT("D$"&amp;5+MIN(2,ROUNDDOWN(I2794,0))*3)*$J2794^3</f>
      </c>
      <c r="M2794" s="7">
        <f>SQRT(K2794^2+L2794^2)</f>
      </c>
      <c r="N2794" s="7">
        <f>(K2795-K2793)</f>
      </c>
      <c r="O2794" s="7">
        <f>+(L2795-L2793)</f>
      </c>
      <c r="P2794" s="7">
        <f>SQRT(O2794^2+N2794^2)</f>
      </c>
      <c r="Q2794" s="7">
        <f>N2794/$P2794</f>
      </c>
      <c r="R2794" s="7">
        <f>O2794/$P2794</f>
      </c>
      <c r="S2794" s="7">
        <f>Q2794^2+R2794^2</f>
      </c>
      <c r="T2794" s="7">
        <f>-R2794</f>
      </c>
      <c r="U2794" s="7">
        <f>Q2794</f>
      </c>
      <c r="V2794" s="7">
        <f>($C$14+($C$15-$C$14)/($D$15-$D$14)*(I2794-$D$14))/2</f>
      </c>
      <c r="W2794" s="7">
        <f>($B$22*I2794^4+$C$22*I2794^3+$D$22*I2794^2+$E$22*I2794+$F$22)/2</f>
      </c>
      <c r="X2794" s="7">
        <f>($W2794)*(T2794)</f>
      </c>
      <c r="Y2794" s="7">
        <f>($W2794)*(U2794)</f>
      </c>
      <c r="Z2794" s="7">
        <f>SQRT(X2794^2+Y2794^2)</f>
      </c>
      <c r="AA2794" s="7">
        <f>$K2794+$X2794</f>
      </c>
      <c r="AB2794" s="7">
        <f>$L2794+$Y2794</f>
      </c>
      <c r="AC2794" s="7">
        <f>$K2794-$X2794</f>
      </c>
      <c r="AD2794" s="7">
        <f>$L2794-$Y2794</f>
      </c>
      <c r="AE2794" s="7">
        <f>AA2794/39.3701</f>
      </c>
      <c r="AF2794" s="7">
        <f>AB2794/39.3701</f>
      </c>
      <c r="AG2794" s="7">
        <f>AC2794/39.3701</f>
      </c>
      <c r="AH2794" s="7">
        <f>AD2794/39.3701</f>
      </c>
      <c r="AI2794" s="1"/>
      <c r="AJ2794" s="1"/>
      <c r="AK2794" s="1"/>
      <c r="AL2794" s="1"/>
      <c r="AM2794" s="2"/>
      <c r="AN2794" s="1"/>
      <c r="AO2794" s="1"/>
      <c r="AP2794" s="1"/>
      <c r="AQ2794" s="1"/>
      <c r="AR2794" s="1"/>
      <c r="AS2794" s="1"/>
      <c r="AT2794" s="1"/>
      <c r="AU2794" s="1"/>
      <c r="AV2794" s="1"/>
      <c r="AW2794" s="1"/>
      <c r="AX2794" s="1"/>
      <c r="AY2794" s="1"/>
      <c r="AZ2794" s="1"/>
      <c r="BA2794" s="1"/>
      <c r="BB2794" s="1"/>
      <c r="BC2794" s="1"/>
      <c r="BD2794" s="1"/>
      <c r="BE2794" s="1"/>
    </row>
    <row x14ac:dyDescent="0.25" r="2795" customHeight="1" ht="18.75">
      <c r="A2795" s="1"/>
      <c r="B2795" s="2"/>
      <c r="C2795" s="2"/>
      <c r="D2795" s="2"/>
      <c r="E2795" s="2"/>
      <c r="F2795" s="2"/>
      <c r="G2795" s="1"/>
      <c r="H2795" s="1"/>
      <c r="I2795" s="7">
        <v>2.792</v>
      </c>
      <c r="J2795" s="7">
        <f>IF((I2795-ROUNDDOWN(I2795,0))=0, 0, (I2795-ROUNDDOWN(I2795,0)))</f>
      </c>
      <c r="K2795" s="7">
        <f>INDIRECT("C$"&amp;2+MIN(2,ROUNDDOWN(I2795,0))*3)*(-$J2795^3+3*$J2795^2-3*$J2795+1)+INDIRECT("C$"&amp;3+MIN(2,ROUNDDOWN(I2795,0))*3)*(3*$J2795^3-6*$J2795^2+3*$J2795)+INDIRECT("C$"&amp;4+MIN(2,ROUNDDOWN(I2795,0))*3)*(-3*$J2795^3+3*$J2795^2)+INDIRECT("C$"&amp;5+MIN(2,ROUNDDOWN(I2795,0))*3)*$J2795^3</f>
      </c>
      <c r="L2795" s="7">
        <f>INDIRECT("D$"&amp;2+MIN(2,ROUNDDOWN(I2795,0))*3)*(-$J2795^3+3*$J2795^2-3*$J2795+1)+INDIRECT("D$"&amp;3+MIN(2,ROUNDDOWN(I2795,0))*3)*(3*$J2795^3-6*$J2795^2+3*$J2795)+INDIRECT("D$"&amp;4+MIN(2,ROUNDDOWN(I2795,0))*3)*(-3*$J2795^3+3*$J2795^2)+INDIRECT("D$"&amp;5+MIN(2,ROUNDDOWN(I2795,0))*3)*$J2795^3</f>
      </c>
      <c r="M2795" s="7">
        <f>SQRT(K2795^2+L2795^2)</f>
      </c>
      <c r="N2795" s="7">
        <f>(K2796-K2794)</f>
      </c>
      <c r="O2795" s="7">
        <f>+(L2796-L2794)</f>
      </c>
      <c r="P2795" s="7">
        <f>SQRT(O2795^2+N2795^2)</f>
      </c>
      <c r="Q2795" s="7">
        <f>N2795/$P2795</f>
      </c>
      <c r="R2795" s="7">
        <f>O2795/$P2795</f>
      </c>
      <c r="S2795" s="8">
        <f>Q2795^2+R2795^2</f>
      </c>
      <c r="T2795" s="7">
        <f>-R2795</f>
      </c>
      <c r="U2795" s="7">
        <f>Q2795</f>
      </c>
      <c r="V2795" s="7">
        <f>($C$14+($C$15-$C$14)/($D$15-$D$14)*(I2795-$D$14))/2</f>
      </c>
      <c r="W2795" s="7">
        <f>($B$22*I2795^4+$C$22*I2795^3+$D$22*I2795^2+$E$22*I2795+$F$22)/2</f>
      </c>
      <c r="X2795" s="7">
        <f>($W2795)*(T2795)</f>
      </c>
      <c r="Y2795" s="7">
        <f>($W2795)*(U2795)</f>
      </c>
      <c r="Z2795" s="7">
        <f>SQRT(X2795^2+Y2795^2)</f>
      </c>
      <c r="AA2795" s="7">
        <f>$K2795+$X2795</f>
      </c>
      <c r="AB2795" s="7">
        <f>$L2795+$Y2795</f>
      </c>
      <c r="AC2795" s="7">
        <f>$K2795-$X2795</f>
      </c>
      <c r="AD2795" s="7">
        <f>$L2795-$Y2795</f>
      </c>
      <c r="AE2795" s="7">
        <f>AA2795/39.3701</f>
      </c>
      <c r="AF2795" s="7">
        <f>AB2795/39.3701</f>
      </c>
      <c r="AG2795" s="7">
        <f>AC2795/39.3701</f>
      </c>
      <c r="AH2795" s="7">
        <f>AD2795/39.3701</f>
      </c>
      <c r="AI2795" s="1"/>
      <c r="AJ2795" s="1"/>
      <c r="AK2795" s="1"/>
      <c r="AL2795" s="1"/>
      <c r="AM2795" s="2"/>
      <c r="AN2795" s="1"/>
      <c r="AO2795" s="1"/>
      <c r="AP2795" s="1"/>
      <c r="AQ2795" s="1"/>
      <c r="AR2795" s="1"/>
      <c r="AS2795" s="1"/>
      <c r="AT2795" s="1"/>
      <c r="AU2795" s="1"/>
      <c r="AV2795" s="1"/>
      <c r="AW2795" s="1"/>
      <c r="AX2795" s="1"/>
      <c r="AY2795" s="1"/>
      <c r="AZ2795" s="1"/>
      <c r="BA2795" s="1"/>
      <c r="BB2795" s="1"/>
      <c r="BC2795" s="1"/>
      <c r="BD2795" s="1"/>
      <c r="BE2795" s="1"/>
    </row>
    <row x14ac:dyDescent="0.25" r="2796" customHeight="1" ht="18.75">
      <c r="A2796" s="1"/>
      <c r="B2796" s="2"/>
      <c r="C2796" s="2"/>
      <c r="D2796" s="2"/>
      <c r="E2796" s="2"/>
      <c r="F2796" s="2"/>
      <c r="G2796" s="1"/>
      <c r="H2796" s="1"/>
      <c r="I2796" s="7">
        <v>2.793</v>
      </c>
      <c r="J2796" s="7">
        <f>IF((I2796-ROUNDDOWN(I2796,0))=0, 0, (I2796-ROUNDDOWN(I2796,0)))</f>
      </c>
      <c r="K2796" s="7">
        <f>INDIRECT("C$"&amp;2+MIN(2,ROUNDDOWN(I2796,0))*3)*(-$J2796^3+3*$J2796^2-3*$J2796+1)+INDIRECT("C$"&amp;3+MIN(2,ROUNDDOWN(I2796,0))*3)*(3*$J2796^3-6*$J2796^2+3*$J2796)+INDIRECT("C$"&amp;4+MIN(2,ROUNDDOWN(I2796,0))*3)*(-3*$J2796^3+3*$J2796^2)+INDIRECT("C$"&amp;5+MIN(2,ROUNDDOWN(I2796,0))*3)*$J2796^3</f>
      </c>
      <c r="L2796" s="7">
        <f>INDIRECT("D$"&amp;2+MIN(2,ROUNDDOWN(I2796,0))*3)*(-$J2796^3+3*$J2796^2-3*$J2796+1)+INDIRECT("D$"&amp;3+MIN(2,ROUNDDOWN(I2796,0))*3)*(3*$J2796^3-6*$J2796^2+3*$J2796)+INDIRECT("D$"&amp;4+MIN(2,ROUNDDOWN(I2796,0))*3)*(-3*$J2796^3+3*$J2796^2)+INDIRECT("D$"&amp;5+MIN(2,ROUNDDOWN(I2796,0))*3)*$J2796^3</f>
      </c>
      <c r="M2796" s="7">
        <f>SQRT(K2796^2+L2796^2)</f>
      </c>
      <c r="N2796" s="7">
        <f>(K2797-K2795)</f>
      </c>
      <c r="O2796" s="7">
        <f>+(L2797-L2795)</f>
      </c>
      <c r="P2796" s="7">
        <f>SQRT(O2796^2+N2796^2)</f>
      </c>
      <c r="Q2796" s="7">
        <f>N2796/$P2796</f>
      </c>
      <c r="R2796" s="7">
        <f>O2796/$P2796</f>
      </c>
      <c r="S2796" s="8">
        <f>Q2796^2+R2796^2</f>
      </c>
      <c r="T2796" s="7">
        <f>-R2796</f>
      </c>
      <c r="U2796" s="7">
        <f>Q2796</f>
      </c>
      <c r="V2796" s="7">
        <f>($C$14+($C$15-$C$14)/($D$15-$D$14)*(I2796-$D$14))/2</f>
      </c>
      <c r="W2796" s="7">
        <f>($B$22*I2796^4+$C$22*I2796^3+$D$22*I2796^2+$E$22*I2796+$F$22)/2</f>
      </c>
      <c r="X2796" s="7">
        <f>($W2796)*(T2796)</f>
      </c>
      <c r="Y2796" s="7">
        <f>($W2796)*(U2796)</f>
      </c>
      <c r="Z2796" s="7">
        <f>SQRT(X2796^2+Y2796^2)</f>
      </c>
      <c r="AA2796" s="7">
        <f>$K2796+$X2796</f>
      </c>
      <c r="AB2796" s="7">
        <f>$L2796+$Y2796</f>
      </c>
      <c r="AC2796" s="7">
        <f>$K2796-$X2796</f>
      </c>
      <c r="AD2796" s="7">
        <f>$L2796-$Y2796</f>
      </c>
      <c r="AE2796" s="7">
        <f>AA2796/39.3701</f>
      </c>
      <c r="AF2796" s="7">
        <f>AB2796/39.3701</f>
      </c>
      <c r="AG2796" s="7">
        <f>AC2796/39.3701</f>
      </c>
      <c r="AH2796" s="7">
        <f>AD2796/39.3701</f>
      </c>
      <c r="AI2796" s="1"/>
      <c r="AJ2796" s="1"/>
      <c r="AK2796" s="1"/>
      <c r="AL2796" s="1"/>
      <c r="AM2796" s="2"/>
      <c r="AN2796" s="1"/>
      <c r="AO2796" s="1"/>
      <c r="AP2796" s="1"/>
      <c r="AQ2796" s="1"/>
      <c r="AR2796" s="1"/>
      <c r="AS2796" s="1"/>
      <c r="AT2796" s="1"/>
      <c r="AU2796" s="1"/>
      <c r="AV2796" s="1"/>
      <c r="AW2796" s="1"/>
      <c r="AX2796" s="1"/>
      <c r="AY2796" s="1"/>
      <c r="AZ2796" s="1"/>
      <c r="BA2796" s="1"/>
      <c r="BB2796" s="1"/>
      <c r="BC2796" s="1"/>
      <c r="BD2796" s="1"/>
      <c r="BE2796" s="1"/>
    </row>
    <row x14ac:dyDescent="0.25" r="2797" customHeight="1" ht="18.75">
      <c r="A2797" s="1"/>
      <c r="B2797" s="2"/>
      <c r="C2797" s="2"/>
      <c r="D2797" s="2"/>
      <c r="E2797" s="2"/>
      <c r="F2797" s="2"/>
      <c r="G2797" s="1"/>
      <c r="H2797" s="1"/>
      <c r="I2797" s="7">
        <v>2.794</v>
      </c>
      <c r="J2797" s="7">
        <f>IF((I2797-ROUNDDOWN(I2797,0))=0, 0, (I2797-ROUNDDOWN(I2797,0)))</f>
      </c>
      <c r="K2797" s="7">
        <f>INDIRECT("C$"&amp;2+MIN(2,ROUNDDOWN(I2797,0))*3)*(-$J2797^3+3*$J2797^2-3*$J2797+1)+INDIRECT("C$"&amp;3+MIN(2,ROUNDDOWN(I2797,0))*3)*(3*$J2797^3-6*$J2797^2+3*$J2797)+INDIRECT("C$"&amp;4+MIN(2,ROUNDDOWN(I2797,0))*3)*(-3*$J2797^3+3*$J2797^2)+INDIRECT("C$"&amp;5+MIN(2,ROUNDDOWN(I2797,0))*3)*$J2797^3</f>
      </c>
      <c r="L2797" s="7">
        <f>INDIRECT("D$"&amp;2+MIN(2,ROUNDDOWN(I2797,0))*3)*(-$J2797^3+3*$J2797^2-3*$J2797+1)+INDIRECT("D$"&amp;3+MIN(2,ROUNDDOWN(I2797,0))*3)*(3*$J2797^3-6*$J2797^2+3*$J2797)+INDIRECT("D$"&amp;4+MIN(2,ROUNDDOWN(I2797,0))*3)*(-3*$J2797^3+3*$J2797^2)+INDIRECT("D$"&amp;5+MIN(2,ROUNDDOWN(I2797,0))*3)*$J2797^3</f>
      </c>
      <c r="M2797" s="7">
        <f>SQRT(K2797^2+L2797^2)</f>
      </c>
      <c r="N2797" s="7">
        <f>(K2798-K2796)</f>
      </c>
      <c r="O2797" s="7">
        <f>+(L2798-L2796)</f>
      </c>
      <c r="P2797" s="7">
        <f>SQRT(O2797^2+N2797^2)</f>
      </c>
      <c r="Q2797" s="7">
        <f>N2797/$P2797</f>
      </c>
      <c r="R2797" s="7">
        <f>O2797/$P2797</f>
      </c>
      <c r="S2797" s="7">
        <f>Q2797^2+R2797^2</f>
      </c>
      <c r="T2797" s="7">
        <f>-R2797</f>
      </c>
      <c r="U2797" s="7">
        <f>Q2797</f>
      </c>
      <c r="V2797" s="7">
        <f>($C$14+($C$15-$C$14)/($D$15-$D$14)*(I2797-$D$14))/2</f>
      </c>
      <c r="W2797" s="7">
        <f>($B$22*I2797^4+$C$22*I2797^3+$D$22*I2797^2+$E$22*I2797+$F$22)/2</f>
      </c>
      <c r="X2797" s="7">
        <f>($W2797)*(T2797)</f>
      </c>
      <c r="Y2797" s="7">
        <f>($W2797)*(U2797)</f>
      </c>
      <c r="Z2797" s="7">
        <f>SQRT(X2797^2+Y2797^2)</f>
      </c>
      <c r="AA2797" s="7">
        <f>$K2797+$X2797</f>
      </c>
      <c r="AB2797" s="7">
        <f>$L2797+$Y2797</f>
      </c>
      <c r="AC2797" s="7">
        <f>$K2797-$X2797</f>
      </c>
      <c r="AD2797" s="7">
        <f>$L2797-$Y2797</f>
      </c>
      <c r="AE2797" s="7">
        <f>AA2797/39.3701</f>
      </c>
      <c r="AF2797" s="7">
        <f>AB2797/39.3701</f>
      </c>
      <c r="AG2797" s="7">
        <f>AC2797/39.3701</f>
      </c>
      <c r="AH2797" s="7">
        <f>AD2797/39.3701</f>
      </c>
      <c r="AI2797" s="1"/>
      <c r="AJ2797" s="1"/>
      <c r="AK2797" s="1"/>
      <c r="AL2797" s="1"/>
      <c r="AM2797" s="2"/>
      <c r="AN2797" s="1"/>
      <c r="AO2797" s="1"/>
      <c r="AP2797" s="1"/>
      <c r="AQ2797" s="1"/>
      <c r="AR2797" s="1"/>
      <c r="AS2797" s="1"/>
      <c r="AT2797" s="1"/>
      <c r="AU2797" s="1"/>
      <c r="AV2797" s="1"/>
      <c r="AW2797" s="1"/>
      <c r="AX2797" s="1"/>
      <c r="AY2797" s="1"/>
      <c r="AZ2797" s="1"/>
      <c r="BA2797" s="1"/>
      <c r="BB2797" s="1"/>
      <c r="BC2797" s="1"/>
      <c r="BD2797" s="1"/>
      <c r="BE2797" s="1"/>
    </row>
    <row x14ac:dyDescent="0.25" r="2798" customHeight="1" ht="18.75">
      <c r="A2798" s="1"/>
      <c r="B2798" s="2"/>
      <c r="C2798" s="2"/>
      <c r="D2798" s="2"/>
      <c r="E2798" s="2"/>
      <c r="F2798" s="2"/>
      <c r="G2798" s="1"/>
      <c r="H2798" s="1"/>
      <c r="I2798" s="7">
        <v>2.795</v>
      </c>
      <c r="J2798" s="7">
        <f>IF((I2798-ROUNDDOWN(I2798,0))=0, 0, (I2798-ROUNDDOWN(I2798,0)))</f>
      </c>
      <c r="K2798" s="7">
        <f>INDIRECT("C$"&amp;2+MIN(2,ROUNDDOWN(I2798,0))*3)*(-$J2798^3+3*$J2798^2-3*$J2798+1)+INDIRECT("C$"&amp;3+MIN(2,ROUNDDOWN(I2798,0))*3)*(3*$J2798^3-6*$J2798^2+3*$J2798)+INDIRECT("C$"&amp;4+MIN(2,ROUNDDOWN(I2798,0))*3)*(-3*$J2798^3+3*$J2798^2)+INDIRECT("C$"&amp;5+MIN(2,ROUNDDOWN(I2798,0))*3)*$J2798^3</f>
      </c>
      <c r="L2798" s="7">
        <f>INDIRECT("D$"&amp;2+MIN(2,ROUNDDOWN(I2798,0))*3)*(-$J2798^3+3*$J2798^2-3*$J2798+1)+INDIRECT("D$"&amp;3+MIN(2,ROUNDDOWN(I2798,0))*3)*(3*$J2798^3-6*$J2798^2+3*$J2798)+INDIRECT("D$"&amp;4+MIN(2,ROUNDDOWN(I2798,0))*3)*(-3*$J2798^3+3*$J2798^2)+INDIRECT("D$"&amp;5+MIN(2,ROUNDDOWN(I2798,0))*3)*$J2798^3</f>
      </c>
      <c r="M2798" s="7">
        <f>SQRT(K2798^2+L2798^2)</f>
      </c>
      <c r="N2798" s="7">
        <f>(K2799-K2797)</f>
      </c>
      <c r="O2798" s="7">
        <f>+(L2799-L2797)</f>
      </c>
      <c r="P2798" s="7">
        <f>SQRT(O2798^2+N2798^2)</f>
      </c>
      <c r="Q2798" s="7">
        <f>N2798/$P2798</f>
      </c>
      <c r="R2798" s="7">
        <f>O2798/$P2798</f>
      </c>
      <c r="S2798" s="8">
        <f>Q2798^2+R2798^2</f>
      </c>
      <c r="T2798" s="7">
        <f>-R2798</f>
      </c>
      <c r="U2798" s="7">
        <f>Q2798</f>
      </c>
      <c r="V2798" s="7">
        <f>($C$14+($C$15-$C$14)/($D$15-$D$14)*(I2798-$D$14))/2</f>
      </c>
      <c r="W2798" s="7">
        <f>($B$22*I2798^4+$C$22*I2798^3+$D$22*I2798^2+$E$22*I2798+$F$22)/2</f>
      </c>
      <c r="X2798" s="7">
        <f>($W2798)*(T2798)</f>
      </c>
      <c r="Y2798" s="7">
        <f>($W2798)*(U2798)</f>
      </c>
      <c r="Z2798" s="7">
        <f>SQRT(X2798^2+Y2798^2)</f>
      </c>
      <c r="AA2798" s="7">
        <f>$K2798+$X2798</f>
      </c>
      <c r="AB2798" s="7">
        <f>$L2798+$Y2798</f>
      </c>
      <c r="AC2798" s="7">
        <f>$K2798-$X2798</f>
      </c>
      <c r="AD2798" s="7">
        <f>$L2798-$Y2798</f>
      </c>
      <c r="AE2798" s="7">
        <f>AA2798/39.3701</f>
      </c>
      <c r="AF2798" s="7">
        <f>AB2798/39.3701</f>
      </c>
      <c r="AG2798" s="7">
        <f>AC2798/39.3701</f>
      </c>
      <c r="AH2798" s="7">
        <f>AD2798/39.3701</f>
      </c>
      <c r="AI2798" s="1"/>
      <c r="AJ2798" s="1"/>
      <c r="AK2798" s="1"/>
      <c r="AL2798" s="1"/>
      <c r="AM2798" s="2"/>
      <c r="AN2798" s="1"/>
      <c r="AO2798" s="1"/>
      <c r="AP2798" s="1"/>
      <c r="AQ2798" s="1"/>
      <c r="AR2798" s="1"/>
      <c r="AS2798" s="1"/>
      <c r="AT2798" s="1"/>
      <c r="AU2798" s="1"/>
      <c r="AV2798" s="1"/>
      <c r="AW2798" s="1"/>
      <c r="AX2798" s="1"/>
      <c r="AY2798" s="1"/>
      <c r="AZ2798" s="1"/>
      <c r="BA2798" s="1"/>
      <c r="BB2798" s="1"/>
      <c r="BC2798" s="1"/>
      <c r="BD2798" s="1"/>
      <c r="BE2798" s="1"/>
    </row>
    <row x14ac:dyDescent="0.25" r="2799" customHeight="1" ht="18.75">
      <c r="A2799" s="1"/>
      <c r="B2799" s="2"/>
      <c r="C2799" s="2"/>
      <c r="D2799" s="2"/>
      <c r="E2799" s="2"/>
      <c r="F2799" s="2"/>
      <c r="G2799" s="1"/>
      <c r="H2799" s="1"/>
      <c r="I2799" s="7">
        <v>2.796</v>
      </c>
      <c r="J2799" s="7">
        <f>IF((I2799-ROUNDDOWN(I2799,0))=0, 0, (I2799-ROUNDDOWN(I2799,0)))</f>
      </c>
      <c r="K2799" s="7">
        <f>INDIRECT("C$"&amp;2+MIN(2,ROUNDDOWN(I2799,0))*3)*(-$J2799^3+3*$J2799^2-3*$J2799+1)+INDIRECT("C$"&amp;3+MIN(2,ROUNDDOWN(I2799,0))*3)*(3*$J2799^3-6*$J2799^2+3*$J2799)+INDIRECT("C$"&amp;4+MIN(2,ROUNDDOWN(I2799,0))*3)*(-3*$J2799^3+3*$J2799^2)+INDIRECT("C$"&amp;5+MIN(2,ROUNDDOWN(I2799,0))*3)*$J2799^3</f>
      </c>
      <c r="L2799" s="7">
        <f>INDIRECT("D$"&amp;2+MIN(2,ROUNDDOWN(I2799,0))*3)*(-$J2799^3+3*$J2799^2-3*$J2799+1)+INDIRECT("D$"&amp;3+MIN(2,ROUNDDOWN(I2799,0))*3)*(3*$J2799^3-6*$J2799^2+3*$J2799)+INDIRECT("D$"&amp;4+MIN(2,ROUNDDOWN(I2799,0))*3)*(-3*$J2799^3+3*$J2799^2)+INDIRECT("D$"&amp;5+MIN(2,ROUNDDOWN(I2799,0))*3)*$J2799^3</f>
      </c>
      <c r="M2799" s="7">
        <f>SQRT(K2799^2+L2799^2)</f>
      </c>
      <c r="N2799" s="7">
        <f>(K2800-K2798)</f>
      </c>
      <c r="O2799" s="7">
        <f>+(L2800-L2798)</f>
      </c>
      <c r="P2799" s="7">
        <f>SQRT(O2799^2+N2799^2)</f>
      </c>
      <c r="Q2799" s="7">
        <f>N2799/$P2799</f>
      </c>
      <c r="R2799" s="7">
        <f>O2799/$P2799</f>
      </c>
      <c r="S2799" s="7">
        <f>Q2799^2+R2799^2</f>
      </c>
      <c r="T2799" s="7">
        <f>-R2799</f>
      </c>
      <c r="U2799" s="7">
        <f>Q2799</f>
      </c>
      <c r="V2799" s="7">
        <f>($C$14+($C$15-$C$14)/($D$15-$D$14)*(I2799-$D$14))/2</f>
      </c>
      <c r="W2799" s="7">
        <f>($B$22*I2799^4+$C$22*I2799^3+$D$22*I2799^2+$E$22*I2799+$F$22)/2</f>
      </c>
      <c r="X2799" s="7">
        <f>($W2799)*(T2799)</f>
      </c>
      <c r="Y2799" s="7">
        <f>($W2799)*(U2799)</f>
      </c>
      <c r="Z2799" s="7">
        <f>SQRT(X2799^2+Y2799^2)</f>
      </c>
      <c r="AA2799" s="7">
        <f>$K2799+$X2799</f>
      </c>
      <c r="AB2799" s="7">
        <f>$L2799+$Y2799</f>
      </c>
      <c r="AC2799" s="7">
        <f>$K2799-$X2799</f>
      </c>
      <c r="AD2799" s="7">
        <f>$L2799-$Y2799</f>
      </c>
      <c r="AE2799" s="7">
        <f>AA2799/39.3701</f>
      </c>
      <c r="AF2799" s="7">
        <f>AB2799/39.3701</f>
      </c>
      <c r="AG2799" s="7">
        <f>AC2799/39.3701</f>
      </c>
      <c r="AH2799" s="7">
        <f>AD2799/39.3701</f>
      </c>
      <c r="AI2799" s="1"/>
      <c r="AJ2799" s="1"/>
      <c r="AK2799" s="1"/>
      <c r="AL2799" s="1"/>
      <c r="AM2799" s="2"/>
      <c r="AN2799" s="1"/>
      <c r="AO2799" s="1"/>
      <c r="AP2799" s="1"/>
      <c r="AQ2799" s="1"/>
      <c r="AR2799" s="1"/>
      <c r="AS2799" s="1"/>
      <c r="AT2799" s="1"/>
      <c r="AU2799" s="1"/>
      <c r="AV2799" s="1"/>
      <c r="AW2799" s="1"/>
      <c r="AX2799" s="1"/>
      <c r="AY2799" s="1"/>
      <c r="AZ2799" s="1"/>
      <c r="BA2799" s="1"/>
      <c r="BB2799" s="1"/>
      <c r="BC2799" s="1"/>
      <c r="BD2799" s="1"/>
      <c r="BE2799" s="1"/>
    </row>
    <row x14ac:dyDescent="0.25" r="2800" customHeight="1" ht="18.75">
      <c r="A2800" s="1"/>
      <c r="B2800" s="2"/>
      <c r="C2800" s="2"/>
      <c r="D2800" s="2"/>
      <c r="E2800" s="2"/>
      <c r="F2800" s="2"/>
      <c r="G2800" s="1"/>
      <c r="H2800" s="1"/>
      <c r="I2800" s="7">
        <v>2.797</v>
      </c>
      <c r="J2800" s="7">
        <f>IF((I2800-ROUNDDOWN(I2800,0))=0, 0, (I2800-ROUNDDOWN(I2800,0)))</f>
      </c>
      <c r="K2800" s="7">
        <f>INDIRECT("C$"&amp;2+MIN(2,ROUNDDOWN(I2800,0))*3)*(-$J2800^3+3*$J2800^2-3*$J2800+1)+INDIRECT("C$"&amp;3+MIN(2,ROUNDDOWN(I2800,0))*3)*(3*$J2800^3-6*$J2800^2+3*$J2800)+INDIRECT("C$"&amp;4+MIN(2,ROUNDDOWN(I2800,0))*3)*(-3*$J2800^3+3*$J2800^2)+INDIRECT("C$"&amp;5+MIN(2,ROUNDDOWN(I2800,0))*3)*$J2800^3</f>
      </c>
      <c r="L2800" s="7">
        <f>INDIRECT("D$"&amp;2+MIN(2,ROUNDDOWN(I2800,0))*3)*(-$J2800^3+3*$J2800^2-3*$J2800+1)+INDIRECT("D$"&amp;3+MIN(2,ROUNDDOWN(I2800,0))*3)*(3*$J2800^3-6*$J2800^2+3*$J2800)+INDIRECT("D$"&amp;4+MIN(2,ROUNDDOWN(I2800,0))*3)*(-3*$J2800^3+3*$J2800^2)+INDIRECT("D$"&amp;5+MIN(2,ROUNDDOWN(I2800,0))*3)*$J2800^3</f>
      </c>
      <c r="M2800" s="7">
        <f>SQRT(K2800^2+L2800^2)</f>
      </c>
      <c r="N2800" s="7">
        <f>(K2801-K2799)</f>
      </c>
      <c r="O2800" s="7">
        <f>+(L2801-L2799)</f>
      </c>
      <c r="P2800" s="7">
        <f>SQRT(O2800^2+N2800^2)</f>
      </c>
      <c r="Q2800" s="7">
        <f>N2800/$P2800</f>
      </c>
      <c r="R2800" s="7">
        <f>O2800/$P2800</f>
      </c>
      <c r="S2800" s="7">
        <f>Q2800^2+R2800^2</f>
      </c>
      <c r="T2800" s="7">
        <f>-R2800</f>
      </c>
      <c r="U2800" s="7">
        <f>Q2800</f>
      </c>
      <c r="V2800" s="7">
        <f>($C$14+($C$15-$C$14)/($D$15-$D$14)*(I2800-$D$14))/2</f>
      </c>
      <c r="W2800" s="7">
        <f>($B$22*I2800^4+$C$22*I2800^3+$D$22*I2800^2+$E$22*I2800+$F$22)/2</f>
      </c>
      <c r="X2800" s="7">
        <f>($W2800)*(T2800)</f>
      </c>
      <c r="Y2800" s="7">
        <f>($W2800)*(U2800)</f>
      </c>
      <c r="Z2800" s="7">
        <f>SQRT(X2800^2+Y2800^2)</f>
      </c>
      <c r="AA2800" s="7">
        <f>$K2800+$X2800</f>
      </c>
      <c r="AB2800" s="7">
        <f>$L2800+$Y2800</f>
      </c>
      <c r="AC2800" s="7">
        <f>$K2800-$X2800</f>
      </c>
      <c r="AD2800" s="7">
        <f>$L2800-$Y2800</f>
      </c>
      <c r="AE2800" s="7">
        <f>AA2800/39.3701</f>
      </c>
      <c r="AF2800" s="7">
        <f>AB2800/39.3701</f>
      </c>
      <c r="AG2800" s="7">
        <f>AC2800/39.3701</f>
      </c>
      <c r="AH2800" s="7">
        <f>AD2800/39.3701</f>
      </c>
      <c r="AI2800" s="1"/>
      <c r="AJ2800" s="1"/>
      <c r="AK2800" s="1"/>
      <c r="AL2800" s="1"/>
      <c r="AM2800" s="2"/>
      <c r="AN2800" s="1"/>
      <c r="AO2800" s="1"/>
      <c r="AP2800" s="1"/>
      <c r="AQ2800" s="1"/>
      <c r="AR2800" s="1"/>
      <c r="AS2800" s="1"/>
      <c r="AT2800" s="1"/>
      <c r="AU2800" s="1"/>
      <c r="AV2800" s="1"/>
      <c r="AW2800" s="1"/>
      <c r="AX2800" s="1"/>
      <c r="AY2800" s="1"/>
      <c r="AZ2800" s="1"/>
      <c r="BA2800" s="1"/>
      <c r="BB2800" s="1"/>
      <c r="BC2800" s="1"/>
      <c r="BD2800" s="1"/>
      <c r="BE2800" s="1"/>
    </row>
    <row x14ac:dyDescent="0.25" r="2801" customHeight="1" ht="18.75">
      <c r="A2801" s="1"/>
      <c r="B2801" s="2"/>
      <c r="C2801" s="2"/>
      <c r="D2801" s="2"/>
      <c r="E2801" s="2"/>
      <c r="F2801" s="2"/>
      <c r="G2801" s="1"/>
      <c r="H2801" s="1"/>
      <c r="I2801" s="7">
        <v>2.798</v>
      </c>
      <c r="J2801" s="7">
        <f>IF((I2801-ROUNDDOWN(I2801,0))=0, 0, (I2801-ROUNDDOWN(I2801,0)))</f>
      </c>
      <c r="K2801" s="7">
        <f>INDIRECT("C$"&amp;2+MIN(2,ROUNDDOWN(I2801,0))*3)*(-$J2801^3+3*$J2801^2-3*$J2801+1)+INDIRECT("C$"&amp;3+MIN(2,ROUNDDOWN(I2801,0))*3)*(3*$J2801^3-6*$J2801^2+3*$J2801)+INDIRECT("C$"&amp;4+MIN(2,ROUNDDOWN(I2801,0))*3)*(-3*$J2801^3+3*$J2801^2)+INDIRECT("C$"&amp;5+MIN(2,ROUNDDOWN(I2801,0))*3)*$J2801^3</f>
      </c>
      <c r="L2801" s="7">
        <f>INDIRECT("D$"&amp;2+MIN(2,ROUNDDOWN(I2801,0))*3)*(-$J2801^3+3*$J2801^2-3*$J2801+1)+INDIRECT("D$"&amp;3+MIN(2,ROUNDDOWN(I2801,0))*3)*(3*$J2801^3-6*$J2801^2+3*$J2801)+INDIRECT("D$"&amp;4+MIN(2,ROUNDDOWN(I2801,0))*3)*(-3*$J2801^3+3*$J2801^2)+INDIRECT("D$"&amp;5+MIN(2,ROUNDDOWN(I2801,0))*3)*$J2801^3</f>
      </c>
      <c r="M2801" s="7">
        <f>SQRT(K2801^2+L2801^2)</f>
      </c>
      <c r="N2801" s="7">
        <f>(K2802-K2800)</f>
      </c>
      <c r="O2801" s="7">
        <f>+(L2802-L2800)</f>
      </c>
      <c r="P2801" s="7">
        <f>SQRT(O2801^2+N2801^2)</f>
      </c>
      <c r="Q2801" s="7">
        <f>N2801/$P2801</f>
      </c>
      <c r="R2801" s="7">
        <f>O2801/$P2801</f>
      </c>
      <c r="S2801" s="8">
        <f>Q2801^2+R2801^2</f>
      </c>
      <c r="T2801" s="7">
        <f>-R2801</f>
      </c>
      <c r="U2801" s="7">
        <f>Q2801</f>
      </c>
      <c r="V2801" s="7">
        <f>($C$14+($C$15-$C$14)/($D$15-$D$14)*(I2801-$D$14))/2</f>
      </c>
      <c r="W2801" s="7">
        <f>($B$22*I2801^4+$C$22*I2801^3+$D$22*I2801^2+$E$22*I2801+$F$22)/2</f>
      </c>
      <c r="X2801" s="7">
        <f>($W2801)*(T2801)</f>
      </c>
      <c r="Y2801" s="7">
        <f>($W2801)*(U2801)</f>
      </c>
      <c r="Z2801" s="7">
        <f>SQRT(X2801^2+Y2801^2)</f>
      </c>
      <c r="AA2801" s="7">
        <f>$K2801+$X2801</f>
      </c>
      <c r="AB2801" s="7">
        <f>$L2801+$Y2801</f>
      </c>
      <c r="AC2801" s="7">
        <f>$K2801-$X2801</f>
      </c>
      <c r="AD2801" s="7">
        <f>$L2801-$Y2801</f>
      </c>
      <c r="AE2801" s="7">
        <f>AA2801/39.3701</f>
      </c>
      <c r="AF2801" s="7">
        <f>AB2801/39.3701</f>
      </c>
      <c r="AG2801" s="7">
        <f>AC2801/39.3701</f>
      </c>
      <c r="AH2801" s="7">
        <f>AD2801/39.3701</f>
      </c>
      <c r="AI2801" s="1"/>
      <c r="AJ2801" s="1"/>
      <c r="AK2801" s="1"/>
      <c r="AL2801" s="1"/>
      <c r="AM2801" s="2"/>
      <c r="AN2801" s="1"/>
      <c r="AO2801" s="1"/>
      <c r="AP2801" s="1"/>
      <c r="AQ2801" s="1"/>
      <c r="AR2801" s="1"/>
      <c r="AS2801" s="1"/>
      <c r="AT2801" s="1"/>
      <c r="AU2801" s="1"/>
      <c r="AV2801" s="1"/>
      <c r="AW2801" s="1"/>
      <c r="AX2801" s="1"/>
      <c r="AY2801" s="1"/>
      <c r="AZ2801" s="1"/>
      <c r="BA2801" s="1"/>
      <c r="BB2801" s="1"/>
      <c r="BC2801" s="1"/>
      <c r="BD2801" s="1"/>
      <c r="BE2801" s="1"/>
    </row>
    <row x14ac:dyDescent="0.25" r="2802" customHeight="1" ht="18.75">
      <c r="A2802" s="1"/>
      <c r="B2802" s="2"/>
      <c r="C2802" s="2"/>
      <c r="D2802" s="2"/>
      <c r="E2802" s="2"/>
      <c r="F2802" s="2"/>
      <c r="G2802" s="1"/>
      <c r="H2802" s="1"/>
      <c r="I2802" s="7">
        <v>2.799</v>
      </c>
      <c r="J2802" s="7">
        <f>IF((I2802-ROUNDDOWN(I2802,0))=0, 0, (I2802-ROUNDDOWN(I2802,0)))</f>
      </c>
      <c r="K2802" s="7">
        <f>INDIRECT("C$"&amp;2+MIN(2,ROUNDDOWN(I2802,0))*3)*(-$J2802^3+3*$J2802^2-3*$J2802+1)+INDIRECT("C$"&amp;3+MIN(2,ROUNDDOWN(I2802,0))*3)*(3*$J2802^3-6*$J2802^2+3*$J2802)+INDIRECT("C$"&amp;4+MIN(2,ROUNDDOWN(I2802,0))*3)*(-3*$J2802^3+3*$J2802^2)+INDIRECT("C$"&amp;5+MIN(2,ROUNDDOWN(I2802,0))*3)*$J2802^3</f>
      </c>
      <c r="L2802" s="7">
        <f>INDIRECT("D$"&amp;2+MIN(2,ROUNDDOWN(I2802,0))*3)*(-$J2802^3+3*$J2802^2-3*$J2802+1)+INDIRECT("D$"&amp;3+MIN(2,ROUNDDOWN(I2802,0))*3)*(3*$J2802^3-6*$J2802^2+3*$J2802)+INDIRECT("D$"&amp;4+MIN(2,ROUNDDOWN(I2802,0))*3)*(-3*$J2802^3+3*$J2802^2)+INDIRECT("D$"&amp;5+MIN(2,ROUNDDOWN(I2802,0))*3)*$J2802^3</f>
      </c>
      <c r="M2802" s="7">
        <f>SQRT(K2802^2+L2802^2)</f>
      </c>
      <c r="N2802" s="7">
        <f>(K2803-K2801)</f>
      </c>
      <c r="O2802" s="7">
        <f>+(L2803-L2801)</f>
      </c>
      <c r="P2802" s="7">
        <f>SQRT(O2802^2+N2802^2)</f>
      </c>
      <c r="Q2802" s="7">
        <f>N2802/$P2802</f>
      </c>
      <c r="R2802" s="7">
        <f>O2802/$P2802</f>
      </c>
      <c r="S2802" s="8">
        <f>Q2802^2+R2802^2</f>
      </c>
      <c r="T2802" s="7">
        <f>-R2802</f>
      </c>
      <c r="U2802" s="7">
        <f>Q2802</f>
      </c>
      <c r="V2802" s="7">
        <f>($C$14+($C$15-$C$14)/($D$15-$D$14)*(I2802-$D$14))/2</f>
      </c>
      <c r="W2802" s="7">
        <f>($B$22*I2802^4+$C$22*I2802^3+$D$22*I2802^2+$E$22*I2802+$F$22)/2</f>
      </c>
      <c r="X2802" s="7">
        <f>($W2802)*(T2802)</f>
      </c>
      <c r="Y2802" s="7">
        <f>($W2802)*(U2802)</f>
      </c>
      <c r="Z2802" s="7">
        <f>SQRT(X2802^2+Y2802^2)</f>
      </c>
      <c r="AA2802" s="7">
        <f>$K2802+$X2802</f>
      </c>
      <c r="AB2802" s="7">
        <f>$L2802+$Y2802</f>
      </c>
      <c r="AC2802" s="7">
        <f>$K2802-$X2802</f>
      </c>
      <c r="AD2802" s="7">
        <f>$L2802-$Y2802</f>
      </c>
      <c r="AE2802" s="7">
        <f>AA2802/39.3701</f>
      </c>
      <c r="AF2802" s="7">
        <f>AB2802/39.3701</f>
      </c>
      <c r="AG2802" s="7">
        <f>AC2802/39.3701</f>
      </c>
      <c r="AH2802" s="7">
        <f>AD2802/39.3701</f>
      </c>
      <c r="AI2802" s="1"/>
      <c r="AJ2802" s="1"/>
      <c r="AK2802" s="1"/>
      <c r="AL2802" s="1"/>
      <c r="AM2802" s="2"/>
      <c r="AN2802" s="1"/>
      <c r="AO2802" s="1"/>
      <c r="AP2802" s="1"/>
      <c r="AQ2802" s="1"/>
      <c r="AR2802" s="1"/>
      <c r="AS2802" s="1"/>
      <c r="AT2802" s="1"/>
      <c r="AU2802" s="1"/>
      <c r="AV2802" s="1"/>
      <c r="AW2802" s="1"/>
      <c r="AX2802" s="1"/>
      <c r="AY2802" s="1"/>
      <c r="AZ2802" s="1"/>
      <c r="BA2802" s="1"/>
      <c r="BB2802" s="1"/>
      <c r="BC2802" s="1"/>
      <c r="BD2802" s="1"/>
      <c r="BE2802" s="1"/>
    </row>
    <row x14ac:dyDescent="0.25" r="2803" customHeight="1" ht="18.75">
      <c r="A2803" s="1"/>
      <c r="B2803" s="2"/>
      <c r="C2803" s="2"/>
      <c r="D2803" s="2"/>
      <c r="E2803" s="2"/>
      <c r="F2803" s="2"/>
      <c r="G2803" s="1"/>
      <c r="H2803" s="1"/>
      <c r="I2803" s="7">
        <v>2.8</v>
      </c>
      <c r="J2803" s="7">
        <f>IF((I2803-ROUNDDOWN(I2803,0))=0, 0, (I2803-ROUNDDOWN(I2803,0)))</f>
      </c>
      <c r="K2803" s="7">
        <f>INDIRECT("C$"&amp;2+MIN(2,ROUNDDOWN(I2803,0))*3)*(-$J2803^3+3*$J2803^2-3*$J2803+1)+INDIRECT("C$"&amp;3+MIN(2,ROUNDDOWN(I2803,0))*3)*(3*$J2803^3-6*$J2803^2+3*$J2803)+INDIRECT("C$"&amp;4+MIN(2,ROUNDDOWN(I2803,0))*3)*(-3*$J2803^3+3*$J2803^2)+INDIRECT("C$"&amp;5+MIN(2,ROUNDDOWN(I2803,0))*3)*$J2803^3</f>
      </c>
      <c r="L2803" s="7">
        <f>INDIRECT("D$"&amp;2+MIN(2,ROUNDDOWN(I2803,0))*3)*(-$J2803^3+3*$J2803^2-3*$J2803+1)+INDIRECT("D$"&amp;3+MIN(2,ROUNDDOWN(I2803,0))*3)*(3*$J2803^3-6*$J2803^2+3*$J2803)+INDIRECT("D$"&amp;4+MIN(2,ROUNDDOWN(I2803,0))*3)*(-3*$J2803^3+3*$J2803^2)+INDIRECT("D$"&amp;5+MIN(2,ROUNDDOWN(I2803,0))*3)*$J2803^3</f>
      </c>
      <c r="M2803" s="7">
        <f>SQRT(K2803^2+L2803^2)</f>
      </c>
      <c r="N2803" s="7">
        <f>(K2804-K2802)</f>
      </c>
      <c r="O2803" s="7">
        <f>+(L2804-L2802)</f>
      </c>
      <c r="P2803" s="7">
        <f>SQRT(O2803^2+N2803^2)</f>
      </c>
      <c r="Q2803" s="7">
        <f>N2803/$P2803</f>
      </c>
      <c r="R2803" s="7">
        <f>O2803/$P2803</f>
      </c>
      <c r="S2803" s="7">
        <f>Q2803^2+R2803^2</f>
      </c>
      <c r="T2803" s="7">
        <f>-R2803</f>
      </c>
      <c r="U2803" s="7">
        <f>Q2803</f>
      </c>
      <c r="V2803" s="7">
        <f>($C$14+($C$15-$C$14)/($D$15-$D$14)*(I2803-$D$14))/2</f>
      </c>
      <c r="W2803" s="7">
        <f>($B$22*I2803^4+$C$22*I2803^3+$D$22*I2803^2+$E$22*I2803+$F$22)/2</f>
      </c>
      <c r="X2803" s="7">
        <f>($W2803)*(T2803)</f>
      </c>
      <c r="Y2803" s="7">
        <f>($W2803)*(U2803)</f>
      </c>
      <c r="Z2803" s="7">
        <f>SQRT(X2803^2+Y2803^2)</f>
      </c>
      <c r="AA2803" s="7">
        <f>$K2803+$X2803</f>
      </c>
      <c r="AB2803" s="7">
        <f>$L2803+$Y2803</f>
      </c>
      <c r="AC2803" s="7">
        <f>$K2803-$X2803</f>
      </c>
      <c r="AD2803" s="7">
        <f>$L2803-$Y2803</f>
      </c>
      <c r="AE2803" s="7">
        <f>AA2803/39.3701</f>
      </c>
      <c r="AF2803" s="7">
        <f>AB2803/39.3701</f>
      </c>
      <c r="AG2803" s="7">
        <f>AC2803/39.3701</f>
      </c>
      <c r="AH2803" s="7">
        <f>AD2803/39.3701</f>
      </c>
      <c r="AI2803" s="1"/>
      <c r="AJ2803" s="1"/>
      <c r="AK2803" s="1"/>
      <c r="AL2803" s="1"/>
      <c r="AM2803" s="2"/>
      <c r="AN2803" s="1"/>
      <c r="AO2803" s="1"/>
      <c r="AP2803" s="1"/>
      <c r="AQ2803" s="1"/>
      <c r="AR2803" s="1"/>
      <c r="AS2803" s="1"/>
      <c r="AT2803" s="1"/>
      <c r="AU2803" s="1"/>
      <c r="AV2803" s="1"/>
      <c r="AW2803" s="1"/>
      <c r="AX2803" s="1"/>
      <c r="AY2803" s="1"/>
      <c r="AZ2803" s="1"/>
      <c r="BA2803" s="1"/>
      <c r="BB2803" s="1"/>
      <c r="BC2803" s="1"/>
      <c r="BD2803" s="1"/>
      <c r="BE2803" s="1"/>
    </row>
    <row x14ac:dyDescent="0.25" r="2804" customHeight="1" ht="18.75">
      <c r="A2804" s="1"/>
      <c r="B2804" s="2"/>
      <c r="C2804" s="2"/>
      <c r="D2804" s="2"/>
      <c r="E2804" s="2"/>
      <c r="F2804" s="2"/>
      <c r="G2804" s="1"/>
      <c r="H2804" s="1"/>
      <c r="I2804" s="7">
        <v>2.801</v>
      </c>
      <c r="J2804" s="7">
        <f>IF((I2804-ROUNDDOWN(I2804,0))=0, 0, (I2804-ROUNDDOWN(I2804,0)))</f>
      </c>
      <c r="K2804" s="7">
        <f>INDIRECT("C$"&amp;2+MIN(2,ROUNDDOWN(I2804,0))*3)*(-$J2804^3+3*$J2804^2-3*$J2804+1)+INDIRECT("C$"&amp;3+MIN(2,ROUNDDOWN(I2804,0))*3)*(3*$J2804^3-6*$J2804^2+3*$J2804)+INDIRECT("C$"&amp;4+MIN(2,ROUNDDOWN(I2804,0))*3)*(-3*$J2804^3+3*$J2804^2)+INDIRECT("C$"&amp;5+MIN(2,ROUNDDOWN(I2804,0))*3)*$J2804^3</f>
      </c>
      <c r="L2804" s="7">
        <f>INDIRECT("D$"&amp;2+MIN(2,ROUNDDOWN(I2804,0))*3)*(-$J2804^3+3*$J2804^2-3*$J2804+1)+INDIRECT("D$"&amp;3+MIN(2,ROUNDDOWN(I2804,0))*3)*(3*$J2804^3-6*$J2804^2+3*$J2804)+INDIRECT("D$"&amp;4+MIN(2,ROUNDDOWN(I2804,0))*3)*(-3*$J2804^3+3*$J2804^2)+INDIRECT("D$"&amp;5+MIN(2,ROUNDDOWN(I2804,0))*3)*$J2804^3</f>
      </c>
      <c r="M2804" s="7">
        <f>SQRT(K2804^2+L2804^2)</f>
      </c>
      <c r="N2804" s="7">
        <f>(K2805-K2803)</f>
      </c>
      <c r="O2804" s="7">
        <f>+(L2805-L2803)</f>
      </c>
      <c r="P2804" s="7">
        <f>SQRT(O2804^2+N2804^2)</f>
      </c>
      <c r="Q2804" s="7">
        <f>N2804/$P2804</f>
      </c>
      <c r="R2804" s="7">
        <f>O2804/$P2804</f>
      </c>
      <c r="S2804" s="7">
        <f>Q2804^2+R2804^2</f>
      </c>
      <c r="T2804" s="7">
        <f>-R2804</f>
      </c>
      <c r="U2804" s="7">
        <f>Q2804</f>
      </c>
      <c r="V2804" s="7">
        <f>($C$14+($C$15-$C$14)/($D$15-$D$14)*(I2804-$D$14))/2</f>
      </c>
      <c r="W2804" s="7">
        <f>($B$22*I2804^4+$C$22*I2804^3+$D$22*I2804^2+$E$22*I2804+$F$22)/2</f>
      </c>
      <c r="X2804" s="7">
        <f>($W2804)*(T2804)</f>
      </c>
      <c r="Y2804" s="7">
        <f>($W2804)*(U2804)</f>
      </c>
      <c r="Z2804" s="7">
        <f>SQRT(X2804^2+Y2804^2)</f>
      </c>
      <c r="AA2804" s="7">
        <f>$K2804+$X2804</f>
      </c>
      <c r="AB2804" s="7">
        <f>$L2804+$Y2804</f>
      </c>
      <c r="AC2804" s="7">
        <f>$K2804-$X2804</f>
      </c>
      <c r="AD2804" s="7">
        <f>$L2804-$Y2804</f>
      </c>
      <c r="AE2804" s="7">
        <f>AA2804/39.3701</f>
      </c>
      <c r="AF2804" s="7">
        <f>AB2804/39.3701</f>
      </c>
      <c r="AG2804" s="7">
        <f>AC2804/39.3701</f>
      </c>
      <c r="AH2804" s="7">
        <f>AD2804/39.3701</f>
      </c>
      <c r="AI2804" s="1"/>
      <c r="AJ2804" s="1"/>
      <c r="AK2804" s="1"/>
      <c r="AL2804" s="1"/>
      <c r="AM2804" s="2"/>
      <c r="AN2804" s="1"/>
      <c r="AO2804" s="1"/>
      <c r="AP2804" s="1"/>
      <c r="AQ2804" s="1"/>
      <c r="AR2804" s="1"/>
      <c r="AS2804" s="1"/>
      <c r="AT2804" s="1"/>
      <c r="AU2804" s="1"/>
      <c r="AV2804" s="1"/>
      <c r="AW2804" s="1"/>
      <c r="AX2804" s="1"/>
      <c r="AY2804" s="1"/>
      <c r="AZ2804" s="1"/>
      <c r="BA2804" s="1"/>
      <c r="BB2804" s="1"/>
      <c r="BC2804" s="1"/>
      <c r="BD2804" s="1"/>
      <c r="BE2804" s="1"/>
    </row>
    <row x14ac:dyDescent="0.25" r="2805" customHeight="1" ht="18.75">
      <c r="A2805" s="1"/>
      <c r="B2805" s="2"/>
      <c r="C2805" s="2"/>
      <c r="D2805" s="2"/>
      <c r="E2805" s="2"/>
      <c r="F2805" s="2"/>
      <c r="G2805" s="1"/>
      <c r="H2805" s="1"/>
      <c r="I2805" s="7">
        <v>2.802</v>
      </c>
      <c r="J2805" s="7">
        <f>IF((I2805-ROUNDDOWN(I2805,0))=0, 0, (I2805-ROUNDDOWN(I2805,0)))</f>
      </c>
      <c r="K2805" s="7">
        <f>INDIRECT("C$"&amp;2+MIN(2,ROUNDDOWN(I2805,0))*3)*(-$J2805^3+3*$J2805^2-3*$J2805+1)+INDIRECT("C$"&amp;3+MIN(2,ROUNDDOWN(I2805,0))*3)*(3*$J2805^3-6*$J2805^2+3*$J2805)+INDIRECT("C$"&amp;4+MIN(2,ROUNDDOWN(I2805,0))*3)*(-3*$J2805^3+3*$J2805^2)+INDIRECT("C$"&amp;5+MIN(2,ROUNDDOWN(I2805,0))*3)*$J2805^3</f>
      </c>
      <c r="L2805" s="7">
        <f>INDIRECT("D$"&amp;2+MIN(2,ROUNDDOWN(I2805,0))*3)*(-$J2805^3+3*$J2805^2-3*$J2805+1)+INDIRECT("D$"&amp;3+MIN(2,ROUNDDOWN(I2805,0))*3)*(3*$J2805^3-6*$J2805^2+3*$J2805)+INDIRECT("D$"&amp;4+MIN(2,ROUNDDOWN(I2805,0))*3)*(-3*$J2805^3+3*$J2805^2)+INDIRECT("D$"&amp;5+MIN(2,ROUNDDOWN(I2805,0))*3)*$J2805^3</f>
      </c>
      <c r="M2805" s="7">
        <f>SQRT(K2805^2+L2805^2)</f>
      </c>
      <c r="N2805" s="7">
        <f>(K2806-K2804)</f>
      </c>
      <c r="O2805" s="7">
        <f>+(L2806-L2804)</f>
      </c>
      <c r="P2805" s="7">
        <f>SQRT(O2805^2+N2805^2)</f>
      </c>
      <c r="Q2805" s="7">
        <f>N2805/$P2805</f>
      </c>
      <c r="R2805" s="7">
        <f>O2805/$P2805</f>
      </c>
      <c r="S2805" s="8">
        <f>Q2805^2+R2805^2</f>
      </c>
      <c r="T2805" s="7">
        <f>-R2805</f>
      </c>
      <c r="U2805" s="7">
        <f>Q2805</f>
      </c>
      <c r="V2805" s="7">
        <f>($C$14+($C$15-$C$14)/($D$15-$D$14)*(I2805-$D$14))/2</f>
      </c>
      <c r="W2805" s="7">
        <f>($B$22*I2805^4+$C$22*I2805^3+$D$22*I2805^2+$E$22*I2805+$F$22)/2</f>
      </c>
      <c r="X2805" s="7">
        <f>($W2805)*(T2805)</f>
      </c>
      <c r="Y2805" s="7">
        <f>($W2805)*(U2805)</f>
      </c>
      <c r="Z2805" s="7">
        <f>SQRT(X2805^2+Y2805^2)</f>
      </c>
      <c r="AA2805" s="7">
        <f>$K2805+$X2805</f>
      </c>
      <c r="AB2805" s="7">
        <f>$L2805+$Y2805</f>
      </c>
      <c r="AC2805" s="7">
        <f>$K2805-$X2805</f>
      </c>
      <c r="AD2805" s="7">
        <f>$L2805-$Y2805</f>
      </c>
      <c r="AE2805" s="7">
        <f>AA2805/39.3701</f>
      </c>
      <c r="AF2805" s="7">
        <f>AB2805/39.3701</f>
      </c>
      <c r="AG2805" s="7">
        <f>AC2805/39.3701</f>
      </c>
      <c r="AH2805" s="7">
        <f>AD2805/39.3701</f>
      </c>
      <c r="AI2805" s="1"/>
      <c r="AJ2805" s="1"/>
      <c r="AK2805" s="1"/>
      <c r="AL2805" s="1"/>
      <c r="AM2805" s="2"/>
      <c r="AN2805" s="1"/>
      <c r="AO2805" s="1"/>
      <c r="AP2805" s="1"/>
      <c r="AQ2805" s="1"/>
      <c r="AR2805" s="1"/>
      <c r="AS2805" s="1"/>
      <c r="AT2805" s="1"/>
      <c r="AU2805" s="1"/>
      <c r="AV2805" s="1"/>
      <c r="AW2805" s="1"/>
      <c r="AX2805" s="1"/>
      <c r="AY2805" s="1"/>
      <c r="AZ2805" s="1"/>
      <c r="BA2805" s="1"/>
      <c r="BB2805" s="1"/>
      <c r="BC2805" s="1"/>
      <c r="BD2805" s="1"/>
      <c r="BE2805" s="1"/>
    </row>
    <row x14ac:dyDescent="0.25" r="2806" customHeight="1" ht="18.75">
      <c r="A2806" s="1"/>
      <c r="B2806" s="2"/>
      <c r="C2806" s="2"/>
      <c r="D2806" s="2"/>
      <c r="E2806" s="2"/>
      <c r="F2806" s="2"/>
      <c r="G2806" s="1"/>
      <c r="H2806" s="1"/>
      <c r="I2806" s="7">
        <v>2.803</v>
      </c>
      <c r="J2806" s="7">
        <f>IF((I2806-ROUNDDOWN(I2806,0))=0, 0, (I2806-ROUNDDOWN(I2806,0)))</f>
      </c>
      <c r="K2806" s="7">
        <f>INDIRECT("C$"&amp;2+MIN(2,ROUNDDOWN(I2806,0))*3)*(-$J2806^3+3*$J2806^2-3*$J2806+1)+INDIRECT("C$"&amp;3+MIN(2,ROUNDDOWN(I2806,0))*3)*(3*$J2806^3-6*$J2806^2+3*$J2806)+INDIRECT("C$"&amp;4+MIN(2,ROUNDDOWN(I2806,0))*3)*(-3*$J2806^3+3*$J2806^2)+INDIRECT("C$"&amp;5+MIN(2,ROUNDDOWN(I2806,0))*3)*$J2806^3</f>
      </c>
      <c r="L2806" s="7">
        <f>INDIRECT("D$"&amp;2+MIN(2,ROUNDDOWN(I2806,0))*3)*(-$J2806^3+3*$J2806^2-3*$J2806+1)+INDIRECT("D$"&amp;3+MIN(2,ROUNDDOWN(I2806,0))*3)*(3*$J2806^3-6*$J2806^2+3*$J2806)+INDIRECT("D$"&amp;4+MIN(2,ROUNDDOWN(I2806,0))*3)*(-3*$J2806^3+3*$J2806^2)+INDIRECT("D$"&amp;5+MIN(2,ROUNDDOWN(I2806,0))*3)*$J2806^3</f>
      </c>
      <c r="M2806" s="7">
        <f>SQRT(K2806^2+L2806^2)</f>
      </c>
      <c r="N2806" s="7">
        <f>(K2807-K2805)</f>
      </c>
      <c r="O2806" s="7">
        <f>+(L2807-L2805)</f>
      </c>
      <c r="P2806" s="7">
        <f>SQRT(O2806^2+N2806^2)</f>
      </c>
      <c r="Q2806" s="7">
        <f>N2806/$P2806</f>
      </c>
      <c r="R2806" s="7">
        <f>O2806/$P2806</f>
      </c>
      <c r="S2806" s="8">
        <f>Q2806^2+R2806^2</f>
      </c>
      <c r="T2806" s="7">
        <f>-R2806</f>
      </c>
      <c r="U2806" s="7">
        <f>Q2806</f>
      </c>
      <c r="V2806" s="7">
        <f>($C$14+($C$15-$C$14)/($D$15-$D$14)*(I2806-$D$14))/2</f>
      </c>
      <c r="W2806" s="7">
        <f>($B$22*I2806^4+$C$22*I2806^3+$D$22*I2806^2+$E$22*I2806+$F$22)/2</f>
      </c>
      <c r="X2806" s="7">
        <f>($W2806)*(T2806)</f>
      </c>
      <c r="Y2806" s="7">
        <f>($W2806)*(U2806)</f>
      </c>
      <c r="Z2806" s="7">
        <f>SQRT(X2806^2+Y2806^2)</f>
      </c>
      <c r="AA2806" s="7">
        <f>$K2806+$X2806</f>
      </c>
      <c r="AB2806" s="7">
        <f>$L2806+$Y2806</f>
      </c>
      <c r="AC2806" s="7">
        <f>$K2806-$X2806</f>
      </c>
      <c r="AD2806" s="7">
        <f>$L2806-$Y2806</f>
      </c>
      <c r="AE2806" s="7">
        <f>AA2806/39.3701</f>
      </c>
      <c r="AF2806" s="7">
        <f>AB2806/39.3701</f>
      </c>
      <c r="AG2806" s="7">
        <f>AC2806/39.3701</f>
      </c>
      <c r="AH2806" s="7">
        <f>AD2806/39.3701</f>
      </c>
      <c r="AI2806" s="1"/>
      <c r="AJ2806" s="1"/>
      <c r="AK2806" s="1"/>
      <c r="AL2806" s="1"/>
      <c r="AM2806" s="2"/>
      <c r="AN2806" s="1"/>
      <c r="AO2806" s="1"/>
      <c r="AP2806" s="1"/>
      <c r="AQ2806" s="1"/>
      <c r="AR2806" s="1"/>
      <c r="AS2806" s="1"/>
      <c r="AT2806" s="1"/>
      <c r="AU2806" s="1"/>
      <c r="AV2806" s="1"/>
      <c r="AW2806" s="1"/>
      <c r="AX2806" s="1"/>
      <c r="AY2806" s="1"/>
      <c r="AZ2806" s="1"/>
      <c r="BA2806" s="1"/>
      <c r="BB2806" s="1"/>
      <c r="BC2806" s="1"/>
      <c r="BD2806" s="1"/>
      <c r="BE2806" s="1"/>
    </row>
    <row x14ac:dyDescent="0.25" r="2807" customHeight="1" ht="18.75">
      <c r="A2807" s="1"/>
      <c r="B2807" s="2"/>
      <c r="C2807" s="2"/>
      <c r="D2807" s="2"/>
      <c r="E2807" s="2"/>
      <c r="F2807" s="2"/>
      <c r="G2807" s="1"/>
      <c r="H2807" s="1"/>
      <c r="I2807" s="7">
        <v>2.804</v>
      </c>
      <c r="J2807" s="7">
        <f>IF((I2807-ROUNDDOWN(I2807,0))=0, 0, (I2807-ROUNDDOWN(I2807,0)))</f>
      </c>
      <c r="K2807" s="7">
        <f>INDIRECT("C$"&amp;2+MIN(2,ROUNDDOWN(I2807,0))*3)*(-$J2807^3+3*$J2807^2-3*$J2807+1)+INDIRECT("C$"&amp;3+MIN(2,ROUNDDOWN(I2807,0))*3)*(3*$J2807^3-6*$J2807^2+3*$J2807)+INDIRECT("C$"&amp;4+MIN(2,ROUNDDOWN(I2807,0))*3)*(-3*$J2807^3+3*$J2807^2)+INDIRECT("C$"&amp;5+MIN(2,ROUNDDOWN(I2807,0))*3)*$J2807^3</f>
      </c>
      <c r="L2807" s="7">
        <f>INDIRECT("D$"&amp;2+MIN(2,ROUNDDOWN(I2807,0))*3)*(-$J2807^3+3*$J2807^2-3*$J2807+1)+INDIRECT("D$"&amp;3+MIN(2,ROUNDDOWN(I2807,0))*3)*(3*$J2807^3-6*$J2807^2+3*$J2807)+INDIRECT("D$"&amp;4+MIN(2,ROUNDDOWN(I2807,0))*3)*(-3*$J2807^3+3*$J2807^2)+INDIRECT("D$"&amp;5+MIN(2,ROUNDDOWN(I2807,0))*3)*$J2807^3</f>
      </c>
      <c r="M2807" s="7">
        <f>SQRT(K2807^2+L2807^2)</f>
      </c>
      <c r="N2807" s="7">
        <f>(K2808-K2806)</f>
      </c>
      <c r="O2807" s="7">
        <f>+(L2808-L2806)</f>
      </c>
      <c r="P2807" s="7">
        <f>SQRT(O2807^2+N2807^2)</f>
      </c>
      <c r="Q2807" s="7">
        <f>N2807/$P2807</f>
      </c>
      <c r="R2807" s="7">
        <f>O2807/$P2807</f>
      </c>
      <c r="S2807" s="7">
        <f>Q2807^2+R2807^2</f>
      </c>
      <c r="T2807" s="7">
        <f>-R2807</f>
      </c>
      <c r="U2807" s="7">
        <f>Q2807</f>
      </c>
      <c r="V2807" s="7">
        <f>($C$14+($C$15-$C$14)/($D$15-$D$14)*(I2807-$D$14))/2</f>
      </c>
      <c r="W2807" s="7">
        <f>($B$22*I2807^4+$C$22*I2807^3+$D$22*I2807^2+$E$22*I2807+$F$22)/2</f>
      </c>
      <c r="X2807" s="7">
        <f>($W2807)*(T2807)</f>
      </c>
      <c r="Y2807" s="7">
        <f>($W2807)*(U2807)</f>
      </c>
      <c r="Z2807" s="7">
        <f>SQRT(X2807^2+Y2807^2)</f>
      </c>
      <c r="AA2807" s="7">
        <f>$K2807+$X2807</f>
      </c>
      <c r="AB2807" s="7">
        <f>$L2807+$Y2807</f>
      </c>
      <c r="AC2807" s="7">
        <f>$K2807-$X2807</f>
      </c>
      <c r="AD2807" s="7">
        <f>$L2807-$Y2807</f>
      </c>
      <c r="AE2807" s="7">
        <f>AA2807/39.3701</f>
      </c>
      <c r="AF2807" s="7">
        <f>AB2807/39.3701</f>
      </c>
      <c r="AG2807" s="7">
        <f>AC2807/39.3701</f>
      </c>
      <c r="AH2807" s="7">
        <f>AD2807/39.3701</f>
      </c>
      <c r="AI2807" s="1"/>
      <c r="AJ2807" s="1"/>
      <c r="AK2807" s="1"/>
      <c r="AL2807" s="1"/>
      <c r="AM2807" s="2"/>
      <c r="AN2807" s="1"/>
      <c r="AO2807" s="1"/>
      <c r="AP2807" s="1"/>
      <c r="AQ2807" s="1"/>
      <c r="AR2807" s="1"/>
      <c r="AS2807" s="1"/>
      <c r="AT2807" s="1"/>
      <c r="AU2807" s="1"/>
      <c r="AV2807" s="1"/>
      <c r="AW2807" s="1"/>
      <c r="AX2807" s="1"/>
      <c r="AY2807" s="1"/>
      <c r="AZ2807" s="1"/>
      <c r="BA2807" s="1"/>
      <c r="BB2807" s="1"/>
      <c r="BC2807" s="1"/>
      <c r="BD2807" s="1"/>
      <c r="BE2807" s="1"/>
    </row>
    <row x14ac:dyDescent="0.25" r="2808" customHeight="1" ht="18.75">
      <c r="A2808" s="1"/>
      <c r="B2808" s="2"/>
      <c r="C2808" s="2"/>
      <c r="D2808" s="2"/>
      <c r="E2808" s="2"/>
      <c r="F2808" s="2"/>
      <c r="G2808" s="1"/>
      <c r="H2808" s="1"/>
      <c r="I2808" s="7">
        <v>2.805</v>
      </c>
      <c r="J2808" s="7">
        <f>IF((I2808-ROUNDDOWN(I2808,0))=0, 0, (I2808-ROUNDDOWN(I2808,0)))</f>
      </c>
      <c r="K2808" s="7">
        <f>INDIRECT("C$"&amp;2+MIN(2,ROUNDDOWN(I2808,0))*3)*(-$J2808^3+3*$J2808^2-3*$J2808+1)+INDIRECT("C$"&amp;3+MIN(2,ROUNDDOWN(I2808,0))*3)*(3*$J2808^3-6*$J2808^2+3*$J2808)+INDIRECT("C$"&amp;4+MIN(2,ROUNDDOWN(I2808,0))*3)*(-3*$J2808^3+3*$J2808^2)+INDIRECT("C$"&amp;5+MIN(2,ROUNDDOWN(I2808,0))*3)*$J2808^3</f>
      </c>
      <c r="L2808" s="7">
        <f>INDIRECT("D$"&amp;2+MIN(2,ROUNDDOWN(I2808,0))*3)*(-$J2808^3+3*$J2808^2-3*$J2808+1)+INDIRECT("D$"&amp;3+MIN(2,ROUNDDOWN(I2808,0))*3)*(3*$J2808^3-6*$J2808^2+3*$J2808)+INDIRECT("D$"&amp;4+MIN(2,ROUNDDOWN(I2808,0))*3)*(-3*$J2808^3+3*$J2808^2)+INDIRECT("D$"&amp;5+MIN(2,ROUNDDOWN(I2808,0))*3)*$J2808^3</f>
      </c>
      <c r="M2808" s="7">
        <f>SQRT(K2808^2+L2808^2)</f>
      </c>
      <c r="N2808" s="7">
        <f>(K2809-K2807)</f>
      </c>
      <c r="O2808" s="7">
        <f>+(L2809-L2807)</f>
      </c>
      <c r="P2808" s="7">
        <f>SQRT(O2808^2+N2808^2)</f>
      </c>
      <c r="Q2808" s="7">
        <f>N2808/$P2808</f>
      </c>
      <c r="R2808" s="7">
        <f>O2808/$P2808</f>
      </c>
      <c r="S2808" s="8">
        <f>Q2808^2+R2808^2</f>
      </c>
      <c r="T2808" s="7">
        <f>-R2808</f>
      </c>
      <c r="U2808" s="7">
        <f>Q2808</f>
      </c>
      <c r="V2808" s="7">
        <f>($C$14+($C$15-$C$14)/($D$15-$D$14)*(I2808-$D$14))/2</f>
      </c>
      <c r="W2808" s="7">
        <f>($B$22*I2808^4+$C$22*I2808^3+$D$22*I2808^2+$E$22*I2808+$F$22)/2</f>
      </c>
      <c r="X2808" s="7">
        <f>($W2808)*(T2808)</f>
      </c>
      <c r="Y2808" s="7">
        <f>($W2808)*(U2808)</f>
      </c>
      <c r="Z2808" s="7">
        <f>SQRT(X2808^2+Y2808^2)</f>
      </c>
      <c r="AA2808" s="7">
        <f>$K2808+$X2808</f>
      </c>
      <c r="AB2808" s="7">
        <f>$L2808+$Y2808</f>
      </c>
      <c r="AC2808" s="7">
        <f>$K2808-$X2808</f>
      </c>
      <c r="AD2808" s="7">
        <f>$L2808-$Y2808</f>
      </c>
      <c r="AE2808" s="7">
        <f>AA2808/39.3701</f>
      </c>
      <c r="AF2808" s="7">
        <f>AB2808/39.3701</f>
      </c>
      <c r="AG2808" s="7">
        <f>AC2808/39.3701</f>
      </c>
      <c r="AH2808" s="7">
        <f>AD2808/39.3701</f>
      </c>
      <c r="AI2808" s="1"/>
      <c r="AJ2808" s="1"/>
      <c r="AK2808" s="1"/>
      <c r="AL2808" s="1"/>
      <c r="AM2808" s="2"/>
      <c r="AN2808" s="1"/>
      <c r="AO2808" s="1"/>
      <c r="AP2808" s="1"/>
      <c r="AQ2808" s="1"/>
      <c r="AR2808" s="1"/>
      <c r="AS2808" s="1"/>
      <c r="AT2808" s="1"/>
      <c r="AU2808" s="1"/>
      <c r="AV2808" s="1"/>
      <c r="AW2808" s="1"/>
      <c r="AX2808" s="1"/>
      <c r="AY2808" s="1"/>
      <c r="AZ2808" s="1"/>
      <c r="BA2808" s="1"/>
      <c r="BB2808" s="1"/>
      <c r="BC2808" s="1"/>
      <c r="BD2808" s="1"/>
      <c r="BE2808" s="1"/>
    </row>
    <row x14ac:dyDescent="0.25" r="2809" customHeight="1" ht="18.75">
      <c r="A2809" s="1"/>
      <c r="B2809" s="2"/>
      <c r="C2809" s="2"/>
      <c r="D2809" s="2"/>
      <c r="E2809" s="2"/>
      <c r="F2809" s="2"/>
      <c r="G2809" s="1"/>
      <c r="H2809" s="1"/>
      <c r="I2809" s="7">
        <v>2.806</v>
      </c>
      <c r="J2809" s="7">
        <f>IF((I2809-ROUNDDOWN(I2809,0))=0, 0, (I2809-ROUNDDOWN(I2809,0)))</f>
      </c>
      <c r="K2809" s="7">
        <f>INDIRECT("C$"&amp;2+MIN(2,ROUNDDOWN(I2809,0))*3)*(-$J2809^3+3*$J2809^2-3*$J2809+1)+INDIRECT("C$"&amp;3+MIN(2,ROUNDDOWN(I2809,0))*3)*(3*$J2809^3-6*$J2809^2+3*$J2809)+INDIRECT("C$"&amp;4+MIN(2,ROUNDDOWN(I2809,0))*3)*(-3*$J2809^3+3*$J2809^2)+INDIRECT("C$"&amp;5+MIN(2,ROUNDDOWN(I2809,0))*3)*$J2809^3</f>
      </c>
      <c r="L2809" s="7">
        <f>INDIRECT("D$"&amp;2+MIN(2,ROUNDDOWN(I2809,0))*3)*(-$J2809^3+3*$J2809^2-3*$J2809+1)+INDIRECT("D$"&amp;3+MIN(2,ROUNDDOWN(I2809,0))*3)*(3*$J2809^3-6*$J2809^2+3*$J2809)+INDIRECT("D$"&amp;4+MIN(2,ROUNDDOWN(I2809,0))*3)*(-3*$J2809^3+3*$J2809^2)+INDIRECT("D$"&amp;5+MIN(2,ROUNDDOWN(I2809,0))*3)*$J2809^3</f>
      </c>
      <c r="M2809" s="7">
        <f>SQRT(K2809^2+L2809^2)</f>
      </c>
      <c r="N2809" s="7">
        <f>(K2810-K2808)</f>
      </c>
      <c r="O2809" s="7">
        <f>+(L2810-L2808)</f>
      </c>
      <c r="P2809" s="7">
        <f>SQRT(O2809^2+N2809^2)</f>
      </c>
      <c r="Q2809" s="7">
        <f>N2809/$P2809</f>
      </c>
      <c r="R2809" s="7">
        <f>O2809/$P2809</f>
      </c>
      <c r="S2809" s="7">
        <f>Q2809^2+R2809^2</f>
      </c>
      <c r="T2809" s="7">
        <f>-R2809</f>
      </c>
      <c r="U2809" s="7">
        <f>Q2809</f>
      </c>
      <c r="V2809" s="7">
        <f>($C$14+($C$15-$C$14)/($D$15-$D$14)*(I2809-$D$14))/2</f>
      </c>
      <c r="W2809" s="7">
        <f>($B$22*I2809^4+$C$22*I2809^3+$D$22*I2809^2+$E$22*I2809+$F$22)/2</f>
      </c>
      <c r="X2809" s="7">
        <f>($W2809)*(T2809)</f>
      </c>
      <c r="Y2809" s="7">
        <f>($W2809)*(U2809)</f>
      </c>
      <c r="Z2809" s="7">
        <f>SQRT(X2809^2+Y2809^2)</f>
      </c>
      <c r="AA2809" s="7">
        <f>$K2809+$X2809</f>
      </c>
      <c r="AB2809" s="7">
        <f>$L2809+$Y2809</f>
      </c>
      <c r="AC2809" s="7">
        <f>$K2809-$X2809</f>
      </c>
      <c r="AD2809" s="7">
        <f>$L2809-$Y2809</f>
      </c>
      <c r="AE2809" s="7">
        <f>AA2809/39.3701</f>
      </c>
      <c r="AF2809" s="7">
        <f>AB2809/39.3701</f>
      </c>
      <c r="AG2809" s="7">
        <f>AC2809/39.3701</f>
      </c>
      <c r="AH2809" s="7">
        <f>AD2809/39.3701</f>
      </c>
      <c r="AI2809" s="1"/>
      <c r="AJ2809" s="1"/>
      <c r="AK2809" s="1"/>
      <c r="AL2809" s="1"/>
      <c r="AM2809" s="2"/>
      <c r="AN2809" s="1"/>
      <c r="AO2809" s="1"/>
      <c r="AP2809" s="1"/>
      <c r="AQ2809" s="1"/>
      <c r="AR2809" s="1"/>
      <c r="AS2809" s="1"/>
      <c r="AT2809" s="1"/>
      <c r="AU2809" s="1"/>
      <c r="AV2809" s="1"/>
      <c r="AW2809" s="1"/>
      <c r="AX2809" s="1"/>
      <c r="AY2809" s="1"/>
      <c r="AZ2809" s="1"/>
      <c r="BA2809" s="1"/>
      <c r="BB2809" s="1"/>
      <c r="BC2809" s="1"/>
      <c r="BD2809" s="1"/>
      <c r="BE2809" s="1"/>
    </row>
    <row x14ac:dyDescent="0.25" r="2810" customHeight="1" ht="18.75">
      <c r="A2810" s="1"/>
      <c r="B2810" s="2"/>
      <c r="C2810" s="2"/>
      <c r="D2810" s="2"/>
      <c r="E2810" s="2"/>
      <c r="F2810" s="2"/>
      <c r="G2810" s="1"/>
      <c r="H2810" s="1"/>
      <c r="I2810" s="7">
        <v>2.807</v>
      </c>
      <c r="J2810" s="7">
        <f>IF((I2810-ROUNDDOWN(I2810,0))=0, 0, (I2810-ROUNDDOWN(I2810,0)))</f>
      </c>
      <c r="K2810" s="7">
        <f>INDIRECT("C$"&amp;2+MIN(2,ROUNDDOWN(I2810,0))*3)*(-$J2810^3+3*$J2810^2-3*$J2810+1)+INDIRECT("C$"&amp;3+MIN(2,ROUNDDOWN(I2810,0))*3)*(3*$J2810^3-6*$J2810^2+3*$J2810)+INDIRECT("C$"&amp;4+MIN(2,ROUNDDOWN(I2810,0))*3)*(-3*$J2810^3+3*$J2810^2)+INDIRECT("C$"&amp;5+MIN(2,ROUNDDOWN(I2810,0))*3)*$J2810^3</f>
      </c>
      <c r="L2810" s="7">
        <f>INDIRECT("D$"&amp;2+MIN(2,ROUNDDOWN(I2810,0))*3)*(-$J2810^3+3*$J2810^2-3*$J2810+1)+INDIRECT("D$"&amp;3+MIN(2,ROUNDDOWN(I2810,0))*3)*(3*$J2810^3-6*$J2810^2+3*$J2810)+INDIRECT("D$"&amp;4+MIN(2,ROUNDDOWN(I2810,0))*3)*(-3*$J2810^3+3*$J2810^2)+INDIRECT("D$"&amp;5+MIN(2,ROUNDDOWN(I2810,0))*3)*$J2810^3</f>
      </c>
      <c r="M2810" s="7">
        <f>SQRT(K2810^2+L2810^2)</f>
      </c>
      <c r="N2810" s="7">
        <f>(K2811-K2809)</f>
      </c>
      <c r="O2810" s="7">
        <f>+(L2811-L2809)</f>
      </c>
      <c r="P2810" s="7">
        <f>SQRT(O2810^2+N2810^2)</f>
      </c>
      <c r="Q2810" s="7">
        <f>N2810/$P2810</f>
      </c>
      <c r="R2810" s="7">
        <f>O2810/$P2810</f>
      </c>
      <c r="S2810" s="8">
        <f>Q2810^2+R2810^2</f>
      </c>
      <c r="T2810" s="7">
        <f>-R2810</f>
      </c>
      <c r="U2810" s="7">
        <f>Q2810</f>
      </c>
      <c r="V2810" s="7">
        <f>($C$14+($C$15-$C$14)/($D$15-$D$14)*(I2810-$D$14))/2</f>
      </c>
      <c r="W2810" s="7">
        <f>($B$22*I2810^4+$C$22*I2810^3+$D$22*I2810^2+$E$22*I2810+$F$22)/2</f>
      </c>
      <c r="X2810" s="7">
        <f>($W2810)*(T2810)</f>
      </c>
      <c r="Y2810" s="7">
        <f>($W2810)*(U2810)</f>
      </c>
      <c r="Z2810" s="7">
        <f>SQRT(X2810^2+Y2810^2)</f>
      </c>
      <c r="AA2810" s="7">
        <f>$K2810+$X2810</f>
      </c>
      <c r="AB2810" s="7">
        <f>$L2810+$Y2810</f>
      </c>
      <c r="AC2810" s="7">
        <f>$K2810-$X2810</f>
      </c>
      <c r="AD2810" s="7">
        <f>$L2810-$Y2810</f>
      </c>
      <c r="AE2810" s="7">
        <f>AA2810/39.3701</f>
      </c>
      <c r="AF2810" s="7">
        <f>AB2810/39.3701</f>
      </c>
      <c r="AG2810" s="7">
        <f>AC2810/39.3701</f>
      </c>
      <c r="AH2810" s="7">
        <f>AD2810/39.3701</f>
      </c>
      <c r="AI2810" s="1"/>
      <c r="AJ2810" s="1"/>
      <c r="AK2810" s="1"/>
      <c r="AL2810" s="1"/>
      <c r="AM2810" s="2"/>
      <c r="AN2810" s="1"/>
      <c r="AO2810" s="1"/>
      <c r="AP2810" s="1"/>
      <c r="AQ2810" s="1"/>
      <c r="AR2810" s="1"/>
      <c r="AS2810" s="1"/>
      <c r="AT2810" s="1"/>
      <c r="AU2810" s="1"/>
      <c r="AV2810" s="1"/>
      <c r="AW2810" s="1"/>
      <c r="AX2810" s="1"/>
      <c r="AY2810" s="1"/>
      <c r="AZ2810" s="1"/>
      <c r="BA2810" s="1"/>
      <c r="BB2810" s="1"/>
      <c r="BC2810" s="1"/>
      <c r="BD2810" s="1"/>
      <c r="BE2810" s="1"/>
    </row>
    <row x14ac:dyDescent="0.25" r="2811" customHeight="1" ht="18.75">
      <c r="A2811" s="1"/>
      <c r="B2811" s="2"/>
      <c r="C2811" s="2"/>
      <c r="D2811" s="2"/>
      <c r="E2811" s="2"/>
      <c r="F2811" s="2"/>
      <c r="G2811" s="1"/>
      <c r="H2811" s="1"/>
      <c r="I2811" s="7">
        <v>2.808</v>
      </c>
      <c r="J2811" s="7">
        <f>IF((I2811-ROUNDDOWN(I2811,0))=0, 0, (I2811-ROUNDDOWN(I2811,0)))</f>
      </c>
      <c r="K2811" s="7">
        <f>INDIRECT("C$"&amp;2+MIN(2,ROUNDDOWN(I2811,0))*3)*(-$J2811^3+3*$J2811^2-3*$J2811+1)+INDIRECT("C$"&amp;3+MIN(2,ROUNDDOWN(I2811,0))*3)*(3*$J2811^3-6*$J2811^2+3*$J2811)+INDIRECT("C$"&amp;4+MIN(2,ROUNDDOWN(I2811,0))*3)*(-3*$J2811^3+3*$J2811^2)+INDIRECT("C$"&amp;5+MIN(2,ROUNDDOWN(I2811,0))*3)*$J2811^3</f>
      </c>
      <c r="L2811" s="7">
        <f>INDIRECT("D$"&amp;2+MIN(2,ROUNDDOWN(I2811,0))*3)*(-$J2811^3+3*$J2811^2-3*$J2811+1)+INDIRECT("D$"&amp;3+MIN(2,ROUNDDOWN(I2811,0))*3)*(3*$J2811^3-6*$J2811^2+3*$J2811)+INDIRECT("D$"&amp;4+MIN(2,ROUNDDOWN(I2811,0))*3)*(-3*$J2811^3+3*$J2811^2)+INDIRECT("D$"&amp;5+MIN(2,ROUNDDOWN(I2811,0))*3)*$J2811^3</f>
      </c>
      <c r="M2811" s="7">
        <f>SQRT(K2811^2+L2811^2)</f>
      </c>
      <c r="N2811" s="7">
        <f>(K2812-K2810)</f>
      </c>
      <c r="O2811" s="7">
        <f>+(L2812-L2810)</f>
      </c>
      <c r="P2811" s="7">
        <f>SQRT(O2811^2+N2811^2)</f>
      </c>
      <c r="Q2811" s="7">
        <f>N2811/$P2811</f>
      </c>
      <c r="R2811" s="7">
        <f>O2811/$P2811</f>
      </c>
      <c r="S2811" s="8">
        <f>Q2811^2+R2811^2</f>
      </c>
      <c r="T2811" s="7">
        <f>-R2811</f>
      </c>
      <c r="U2811" s="7">
        <f>Q2811</f>
      </c>
      <c r="V2811" s="7">
        <f>($C$14+($C$15-$C$14)/($D$15-$D$14)*(I2811-$D$14))/2</f>
      </c>
      <c r="W2811" s="7">
        <f>($B$22*I2811^4+$C$22*I2811^3+$D$22*I2811^2+$E$22*I2811+$F$22)/2</f>
      </c>
      <c r="X2811" s="7">
        <f>($W2811)*(T2811)</f>
      </c>
      <c r="Y2811" s="7">
        <f>($W2811)*(U2811)</f>
      </c>
      <c r="Z2811" s="7">
        <f>SQRT(X2811^2+Y2811^2)</f>
      </c>
      <c r="AA2811" s="7">
        <f>$K2811+$X2811</f>
      </c>
      <c r="AB2811" s="7">
        <f>$L2811+$Y2811</f>
      </c>
      <c r="AC2811" s="7">
        <f>$K2811-$X2811</f>
      </c>
      <c r="AD2811" s="7">
        <f>$L2811-$Y2811</f>
      </c>
      <c r="AE2811" s="7">
        <f>AA2811/39.3701</f>
      </c>
      <c r="AF2811" s="7">
        <f>AB2811/39.3701</f>
      </c>
      <c r="AG2811" s="7">
        <f>AC2811/39.3701</f>
      </c>
      <c r="AH2811" s="7">
        <f>AD2811/39.3701</f>
      </c>
      <c r="AI2811" s="1"/>
      <c r="AJ2811" s="1"/>
      <c r="AK2811" s="1"/>
      <c r="AL2811" s="1"/>
      <c r="AM2811" s="2"/>
      <c r="AN2811" s="1"/>
      <c r="AO2811" s="1"/>
      <c r="AP2811" s="1"/>
      <c r="AQ2811" s="1"/>
      <c r="AR2811" s="1"/>
      <c r="AS2811" s="1"/>
      <c r="AT2811" s="1"/>
      <c r="AU2811" s="1"/>
      <c r="AV2811" s="1"/>
      <c r="AW2811" s="1"/>
      <c r="AX2811" s="1"/>
      <c r="AY2811" s="1"/>
      <c r="AZ2811" s="1"/>
      <c r="BA2811" s="1"/>
      <c r="BB2811" s="1"/>
      <c r="BC2811" s="1"/>
      <c r="BD2811" s="1"/>
      <c r="BE2811" s="1"/>
    </row>
    <row x14ac:dyDescent="0.25" r="2812" customHeight="1" ht="18.75">
      <c r="A2812" s="1"/>
      <c r="B2812" s="2"/>
      <c r="C2812" s="2"/>
      <c r="D2812" s="2"/>
      <c r="E2812" s="2"/>
      <c r="F2812" s="2"/>
      <c r="G2812" s="1"/>
      <c r="H2812" s="1"/>
      <c r="I2812" s="7">
        <v>2.809</v>
      </c>
      <c r="J2812" s="7">
        <f>IF((I2812-ROUNDDOWN(I2812,0))=0, 0, (I2812-ROUNDDOWN(I2812,0)))</f>
      </c>
      <c r="K2812" s="7">
        <f>INDIRECT("C$"&amp;2+MIN(2,ROUNDDOWN(I2812,0))*3)*(-$J2812^3+3*$J2812^2-3*$J2812+1)+INDIRECT("C$"&amp;3+MIN(2,ROUNDDOWN(I2812,0))*3)*(3*$J2812^3-6*$J2812^2+3*$J2812)+INDIRECT("C$"&amp;4+MIN(2,ROUNDDOWN(I2812,0))*3)*(-3*$J2812^3+3*$J2812^2)+INDIRECT("C$"&amp;5+MIN(2,ROUNDDOWN(I2812,0))*3)*$J2812^3</f>
      </c>
      <c r="L2812" s="7">
        <f>INDIRECT("D$"&amp;2+MIN(2,ROUNDDOWN(I2812,0))*3)*(-$J2812^3+3*$J2812^2-3*$J2812+1)+INDIRECT("D$"&amp;3+MIN(2,ROUNDDOWN(I2812,0))*3)*(3*$J2812^3-6*$J2812^2+3*$J2812)+INDIRECT("D$"&amp;4+MIN(2,ROUNDDOWN(I2812,0))*3)*(-3*$J2812^3+3*$J2812^2)+INDIRECT("D$"&amp;5+MIN(2,ROUNDDOWN(I2812,0))*3)*$J2812^3</f>
      </c>
      <c r="M2812" s="7">
        <f>SQRT(K2812^2+L2812^2)</f>
      </c>
      <c r="N2812" s="7">
        <f>(K2813-K2811)</f>
      </c>
      <c r="O2812" s="7">
        <f>+(L2813-L2811)</f>
      </c>
      <c r="P2812" s="7">
        <f>SQRT(O2812^2+N2812^2)</f>
      </c>
      <c r="Q2812" s="7">
        <f>N2812/$P2812</f>
      </c>
      <c r="R2812" s="7">
        <f>O2812/$P2812</f>
      </c>
      <c r="S2812" s="8">
        <f>Q2812^2+R2812^2</f>
      </c>
      <c r="T2812" s="7">
        <f>-R2812</f>
      </c>
      <c r="U2812" s="7">
        <f>Q2812</f>
      </c>
      <c r="V2812" s="7">
        <f>($C$14+($C$15-$C$14)/($D$15-$D$14)*(I2812-$D$14))/2</f>
      </c>
      <c r="W2812" s="7">
        <f>($B$22*I2812^4+$C$22*I2812^3+$D$22*I2812^2+$E$22*I2812+$F$22)/2</f>
      </c>
      <c r="X2812" s="7">
        <f>($W2812)*(T2812)</f>
      </c>
      <c r="Y2812" s="7">
        <f>($W2812)*(U2812)</f>
      </c>
      <c r="Z2812" s="7">
        <f>SQRT(X2812^2+Y2812^2)</f>
      </c>
      <c r="AA2812" s="7">
        <f>$K2812+$X2812</f>
      </c>
      <c r="AB2812" s="7">
        <f>$L2812+$Y2812</f>
      </c>
      <c r="AC2812" s="7">
        <f>$K2812-$X2812</f>
      </c>
      <c r="AD2812" s="7">
        <f>$L2812-$Y2812</f>
      </c>
      <c r="AE2812" s="7">
        <f>AA2812/39.3701</f>
      </c>
      <c r="AF2812" s="7">
        <f>AB2812/39.3701</f>
      </c>
      <c r="AG2812" s="7">
        <f>AC2812/39.3701</f>
      </c>
      <c r="AH2812" s="7">
        <f>AD2812/39.3701</f>
      </c>
      <c r="AI2812" s="1"/>
      <c r="AJ2812" s="1"/>
      <c r="AK2812" s="1"/>
      <c r="AL2812" s="1"/>
      <c r="AM2812" s="2"/>
      <c r="AN2812" s="1"/>
      <c r="AO2812" s="1"/>
      <c r="AP2812" s="1"/>
      <c r="AQ2812" s="1"/>
      <c r="AR2812" s="1"/>
      <c r="AS2812" s="1"/>
      <c r="AT2812" s="1"/>
      <c r="AU2812" s="1"/>
      <c r="AV2812" s="1"/>
      <c r="AW2812" s="1"/>
      <c r="AX2812" s="1"/>
      <c r="AY2812" s="1"/>
      <c r="AZ2812" s="1"/>
      <c r="BA2812" s="1"/>
      <c r="BB2812" s="1"/>
      <c r="BC2812" s="1"/>
      <c r="BD2812" s="1"/>
      <c r="BE2812" s="1"/>
    </row>
    <row x14ac:dyDescent="0.25" r="2813" customHeight="1" ht="18.75">
      <c r="A2813" s="1"/>
      <c r="B2813" s="2"/>
      <c r="C2813" s="2"/>
      <c r="D2813" s="2"/>
      <c r="E2813" s="2"/>
      <c r="F2813" s="2"/>
      <c r="G2813" s="1"/>
      <c r="H2813" s="1"/>
      <c r="I2813" s="7">
        <v>2.81</v>
      </c>
      <c r="J2813" s="7">
        <f>IF((I2813-ROUNDDOWN(I2813,0))=0, 0, (I2813-ROUNDDOWN(I2813,0)))</f>
      </c>
      <c r="K2813" s="7">
        <f>INDIRECT("C$"&amp;2+MIN(2,ROUNDDOWN(I2813,0))*3)*(-$J2813^3+3*$J2813^2-3*$J2813+1)+INDIRECT("C$"&amp;3+MIN(2,ROUNDDOWN(I2813,0))*3)*(3*$J2813^3-6*$J2813^2+3*$J2813)+INDIRECT("C$"&amp;4+MIN(2,ROUNDDOWN(I2813,0))*3)*(-3*$J2813^3+3*$J2813^2)+INDIRECT("C$"&amp;5+MIN(2,ROUNDDOWN(I2813,0))*3)*$J2813^3</f>
      </c>
      <c r="L2813" s="7">
        <f>INDIRECT("D$"&amp;2+MIN(2,ROUNDDOWN(I2813,0))*3)*(-$J2813^3+3*$J2813^2-3*$J2813+1)+INDIRECT("D$"&amp;3+MIN(2,ROUNDDOWN(I2813,0))*3)*(3*$J2813^3-6*$J2813^2+3*$J2813)+INDIRECT("D$"&amp;4+MIN(2,ROUNDDOWN(I2813,0))*3)*(-3*$J2813^3+3*$J2813^2)+INDIRECT("D$"&amp;5+MIN(2,ROUNDDOWN(I2813,0))*3)*$J2813^3</f>
      </c>
      <c r="M2813" s="7">
        <f>SQRT(K2813^2+L2813^2)</f>
      </c>
      <c r="N2813" s="7">
        <f>(K2814-K2812)</f>
      </c>
      <c r="O2813" s="7">
        <f>+(L2814-L2812)</f>
      </c>
      <c r="P2813" s="7">
        <f>SQRT(O2813^2+N2813^2)</f>
      </c>
      <c r="Q2813" s="7">
        <f>N2813/$P2813</f>
      </c>
      <c r="R2813" s="7">
        <f>O2813/$P2813</f>
      </c>
      <c r="S2813" s="7">
        <f>Q2813^2+R2813^2</f>
      </c>
      <c r="T2813" s="7">
        <f>-R2813</f>
      </c>
      <c r="U2813" s="7">
        <f>Q2813</f>
      </c>
      <c r="V2813" s="7">
        <f>($C$14+($C$15-$C$14)/($D$15-$D$14)*(I2813-$D$14))/2</f>
      </c>
      <c r="W2813" s="7">
        <f>($B$22*I2813^4+$C$22*I2813^3+$D$22*I2813^2+$E$22*I2813+$F$22)/2</f>
      </c>
      <c r="X2813" s="7">
        <f>($W2813)*(T2813)</f>
      </c>
      <c r="Y2813" s="7">
        <f>($W2813)*(U2813)</f>
      </c>
      <c r="Z2813" s="7">
        <f>SQRT(X2813^2+Y2813^2)</f>
      </c>
      <c r="AA2813" s="7">
        <f>$K2813+$X2813</f>
      </c>
      <c r="AB2813" s="7">
        <f>$L2813+$Y2813</f>
      </c>
      <c r="AC2813" s="7">
        <f>$K2813-$X2813</f>
      </c>
      <c r="AD2813" s="7">
        <f>$L2813-$Y2813</f>
      </c>
      <c r="AE2813" s="7">
        <f>AA2813/39.3701</f>
      </c>
      <c r="AF2813" s="7">
        <f>AB2813/39.3701</f>
      </c>
      <c r="AG2813" s="7">
        <f>AC2813/39.3701</f>
      </c>
      <c r="AH2813" s="7">
        <f>AD2813/39.3701</f>
      </c>
      <c r="AI2813" s="1"/>
      <c r="AJ2813" s="1"/>
      <c r="AK2813" s="1"/>
      <c r="AL2813" s="1"/>
      <c r="AM2813" s="2"/>
      <c r="AN2813" s="1"/>
      <c r="AO2813" s="1"/>
      <c r="AP2813" s="1"/>
      <c r="AQ2813" s="1"/>
      <c r="AR2813" s="1"/>
      <c r="AS2813" s="1"/>
      <c r="AT2813" s="1"/>
      <c r="AU2813" s="1"/>
      <c r="AV2813" s="1"/>
      <c r="AW2813" s="1"/>
      <c r="AX2813" s="1"/>
      <c r="AY2813" s="1"/>
      <c r="AZ2813" s="1"/>
      <c r="BA2813" s="1"/>
      <c r="BB2813" s="1"/>
      <c r="BC2813" s="1"/>
      <c r="BD2813" s="1"/>
      <c r="BE2813" s="1"/>
    </row>
    <row x14ac:dyDescent="0.25" r="2814" customHeight="1" ht="18.75">
      <c r="A2814" s="1"/>
      <c r="B2814" s="2"/>
      <c r="C2814" s="2"/>
      <c r="D2814" s="2"/>
      <c r="E2814" s="2"/>
      <c r="F2814" s="2"/>
      <c r="G2814" s="1"/>
      <c r="H2814" s="1"/>
      <c r="I2814" s="7">
        <v>2.811</v>
      </c>
      <c r="J2814" s="7">
        <f>IF((I2814-ROUNDDOWN(I2814,0))=0, 0, (I2814-ROUNDDOWN(I2814,0)))</f>
      </c>
      <c r="K2814" s="7">
        <f>INDIRECT("C$"&amp;2+MIN(2,ROUNDDOWN(I2814,0))*3)*(-$J2814^3+3*$J2814^2-3*$J2814+1)+INDIRECT("C$"&amp;3+MIN(2,ROUNDDOWN(I2814,0))*3)*(3*$J2814^3-6*$J2814^2+3*$J2814)+INDIRECT("C$"&amp;4+MIN(2,ROUNDDOWN(I2814,0))*3)*(-3*$J2814^3+3*$J2814^2)+INDIRECT("C$"&amp;5+MIN(2,ROUNDDOWN(I2814,0))*3)*$J2814^3</f>
      </c>
      <c r="L2814" s="7">
        <f>INDIRECT("D$"&amp;2+MIN(2,ROUNDDOWN(I2814,0))*3)*(-$J2814^3+3*$J2814^2-3*$J2814+1)+INDIRECT("D$"&amp;3+MIN(2,ROUNDDOWN(I2814,0))*3)*(3*$J2814^3-6*$J2814^2+3*$J2814)+INDIRECT("D$"&amp;4+MIN(2,ROUNDDOWN(I2814,0))*3)*(-3*$J2814^3+3*$J2814^2)+INDIRECT("D$"&amp;5+MIN(2,ROUNDDOWN(I2814,0))*3)*$J2814^3</f>
      </c>
      <c r="M2814" s="7">
        <f>SQRT(K2814^2+L2814^2)</f>
      </c>
      <c r="N2814" s="7">
        <f>(K2815-K2813)</f>
      </c>
      <c r="O2814" s="7">
        <f>+(L2815-L2813)</f>
      </c>
      <c r="P2814" s="7">
        <f>SQRT(O2814^2+N2814^2)</f>
      </c>
      <c r="Q2814" s="7">
        <f>N2814/$P2814</f>
      </c>
      <c r="R2814" s="7">
        <f>O2814/$P2814</f>
      </c>
      <c r="S2814" s="7">
        <f>Q2814^2+R2814^2</f>
      </c>
      <c r="T2814" s="7">
        <f>-R2814</f>
      </c>
      <c r="U2814" s="7">
        <f>Q2814</f>
      </c>
      <c r="V2814" s="7">
        <f>($C$14+($C$15-$C$14)/($D$15-$D$14)*(I2814-$D$14))/2</f>
      </c>
      <c r="W2814" s="7">
        <f>($B$22*I2814^4+$C$22*I2814^3+$D$22*I2814^2+$E$22*I2814+$F$22)/2</f>
      </c>
      <c r="X2814" s="7">
        <f>($W2814)*(T2814)</f>
      </c>
      <c r="Y2814" s="7">
        <f>($W2814)*(U2814)</f>
      </c>
      <c r="Z2814" s="7">
        <f>SQRT(X2814^2+Y2814^2)</f>
      </c>
      <c r="AA2814" s="7">
        <f>$K2814+$X2814</f>
      </c>
      <c r="AB2814" s="7">
        <f>$L2814+$Y2814</f>
      </c>
      <c r="AC2814" s="7">
        <f>$K2814-$X2814</f>
      </c>
      <c r="AD2814" s="7">
        <f>$L2814-$Y2814</f>
      </c>
      <c r="AE2814" s="7">
        <f>AA2814/39.3701</f>
      </c>
      <c r="AF2814" s="7">
        <f>AB2814/39.3701</f>
      </c>
      <c r="AG2814" s="7">
        <f>AC2814/39.3701</f>
      </c>
      <c r="AH2814" s="7">
        <f>AD2814/39.3701</f>
      </c>
      <c r="AI2814" s="1"/>
      <c r="AJ2814" s="1"/>
      <c r="AK2814" s="1"/>
      <c r="AL2814" s="1"/>
      <c r="AM2814" s="2"/>
      <c r="AN2814" s="1"/>
      <c r="AO2814" s="1"/>
      <c r="AP2814" s="1"/>
      <c r="AQ2814" s="1"/>
      <c r="AR2814" s="1"/>
      <c r="AS2814" s="1"/>
      <c r="AT2814" s="1"/>
      <c r="AU2814" s="1"/>
      <c r="AV2814" s="1"/>
      <c r="AW2814" s="1"/>
      <c r="AX2814" s="1"/>
      <c r="AY2814" s="1"/>
      <c r="AZ2814" s="1"/>
      <c r="BA2814" s="1"/>
      <c r="BB2814" s="1"/>
      <c r="BC2814" s="1"/>
      <c r="BD2814" s="1"/>
      <c r="BE2814" s="1"/>
    </row>
    <row x14ac:dyDescent="0.25" r="2815" customHeight="1" ht="18.75">
      <c r="A2815" s="1"/>
      <c r="B2815" s="2"/>
      <c r="C2815" s="2"/>
      <c r="D2815" s="2"/>
      <c r="E2815" s="2"/>
      <c r="F2815" s="2"/>
      <c r="G2815" s="1"/>
      <c r="H2815" s="1"/>
      <c r="I2815" s="7">
        <v>2.812</v>
      </c>
      <c r="J2815" s="7">
        <f>IF((I2815-ROUNDDOWN(I2815,0))=0, 0, (I2815-ROUNDDOWN(I2815,0)))</f>
      </c>
      <c r="K2815" s="7">
        <f>INDIRECT("C$"&amp;2+MIN(2,ROUNDDOWN(I2815,0))*3)*(-$J2815^3+3*$J2815^2-3*$J2815+1)+INDIRECT("C$"&amp;3+MIN(2,ROUNDDOWN(I2815,0))*3)*(3*$J2815^3-6*$J2815^2+3*$J2815)+INDIRECT("C$"&amp;4+MIN(2,ROUNDDOWN(I2815,0))*3)*(-3*$J2815^3+3*$J2815^2)+INDIRECT("C$"&amp;5+MIN(2,ROUNDDOWN(I2815,0))*3)*$J2815^3</f>
      </c>
      <c r="L2815" s="7">
        <f>INDIRECT("D$"&amp;2+MIN(2,ROUNDDOWN(I2815,0))*3)*(-$J2815^3+3*$J2815^2-3*$J2815+1)+INDIRECT("D$"&amp;3+MIN(2,ROUNDDOWN(I2815,0))*3)*(3*$J2815^3-6*$J2815^2+3*$J2815)+INDIRECT("D$"&amp;4+MIN(2,ROUNDDOWN(I2815,0))*3)*(-3*$J2815^3+3*$J2815^2)+INDIRECT("D$"&amp;5+MIN(2,ROUNDDOWN(I2815,0))*3)*$J2815^3</f>
      </c>
      <c r="M2815" s="7">
        <f>SQRT(K2815^2+L2815^2)</f>
      </c>
      <c r="N2815" s="7">
        <f>(K2816-K2814)</f>
      </c>
      <c r="O2815" s="7">
        <f>+(L2816-L2814)</f>
      </c>
      <c r="P2815" s="7">
        <f>SQRT(O2815^2+N2815^2)</f>
      </c>
      <c r="Q2815" s="7">
        <f>N2815/$P2815</f>
      </c>
      <c r="R2815" s="7">
        <f>O2815/$P2815</f>
      </c>
      <c r="S2815" s="7">
        <f>Q2815^2+R2815^2</f>
      </c>
      <c r="T2815" s="7">
        <f>-R2815</f>
      </c>
      <c r="U2815" s="7">
        <f>Q2815</f>
      </c>
      <c r="V2815" s="7">
        <f>($C$14+($C$15-$C$14)/($D$15-$D$14)*(I2815-$D$14))/2</f>
      </c>
      <c r="W2815" s="7">
        <f>($B$22*I2815^4+$C$22*I2815^3+$D$22*I2815^2+$E$22*I2815+$F$22)/2</f>
      </c>
      <c r="X2815" s="7">
        <f>($W2815)*(T2815)</f>
      </c>
      <c r="Y2815" s="7">
        <f>($W2815)*(U2815)</f>
      </c>
      <c r="Z2815" s="7">
        <f>SQRT(X2815^2+Y2815^2)</f>
      </c>
      <c r="AA2815" s="7">
        <f>$K2815+$X2815</f>
      </c>
      <c r="AB2815" s="7">
        <f>$L2815+$Y2815</f>
      </c>
      <c r="AC2815" s="7">
        <f>$K2815-$X2815</f>
      </c>
      <c r="AD2815" s="7">
        <f>$L2815-$Y2815</f>
      </c>
      <c r="AE2815" s="7">
        <f>AA2815/39.3701</f>
      </c>
      <c r="AF2815" s="7">
        <f>AB2815/39.3701</f>
      </c>
      <c r="AG2815" s="7">
        <f>AC2815/39.3701</f>
      </c>
      <c r="AH2815" s="7">
        <f>AD2815/39.3701</f>
      </c>
      <c r="AI2815" s="1"/>
      <c r="AJ2815" s="1"/>
      <c r="AK2815" s="1"/>
      <c r="AL2815" s="1"/>
      <c r="AM2815" s="2"/>
      <c r="AN2815" s="1"/>
      <c r="AO2815" s="1"/>
      <c r="AP2815" s="1"/>
      <c r="AQ2815" s="1"/>
      <c r="AR2815" s="1"/>
      <c r="AS2815" s="1"/>
      <c r="AT2815" s="1"/>
      <c r="AU2815" s="1"/>
      <c r="AV2815" s="1"/>
      <c r="AW2815" s="1"/>
      <c r="AX2815" s="1"/>
      <c r="AY2815" s="1"/>
      <c r="AZ2815" s="1"/>
      <c r="BA2815" s="1"/>
      <c r="BB2815" s="1"/>
      <c r="BC2815" s="1"/>
      <c r="BD2815" s="1"/>
      <c r="BE2815" s="1"/>
    </row>
    <row x14ac:dyDescent="0.25" r="2816" customHeight="1" ht="18.75">
      <c r="A2816" s="1"/>
      <c r="B2816" s="2"/>
      <c r="C2816" s="2"/>
      <c r="D2816" s="2"/>
      <c r="E2816" s="2"/>
      <c r="F2816" s="2"/>
      <c r="G2816" s="1"/>
      <c r="H2816" s="1"/>
      <c r="I2816" s="7">
        <v>2.813</v>
      </c>
      <c r="J2816" s="7">
        <f>IF((I2816-ROUNDDOWN(I2816,0))=0, 0, (I2816-ROUNDDOWN(I2816,0)))</f>
      </c>
      <c r="K2816" s="7">
        <f>INDIRECT("C$"&amp;2+MIN(2,ROUNDDOWN(I2816,0))*3)*(-$J2816^3+3*$J2816^2-3*$J2816+1)+INDIRECT("C$"&amp;3+MIN(2,ROUNDDOWN(I2816,0))*3)*(3*$J2816^3-6*$J2816^2+3*$J2816)+INDIRECT("C$"&amp;4+MIN(2,ROUNDDOWN(I2816,0))*3)*(-3*$J2816^3+3*$J2816^2)+INDIRECT("C$"&amp;5+MIN(2,ROUNDDOWN(I2816,0))*3)*$J2816^3</f>
      </c>
      <c r="L2816" s="7">
        <f>INDIRECT("D$"&amp;2+MIN(2,ROUNDDOWN(I2816,0))*3)*(-$J2816^3+3*$J2816^2-3*$J2816+1)+INDIRECT("D$"&amp;3+MIN(2,ROUNDDOWN(I2816,0))*3)*(3*$J2816^3-6*$J2816^2+3*$J2816)+INDIRECT("D$"&amp;4+MIN(2,ROUNDDOWN(I2816,0))*3)*(-3*$J2816^3+3*$J2816^2)+INDIRECT("D$"&amp;5+MIN(2,ROUNDDOWN(I2816,0))*3)*$J2816^3</f>
      </c>
      <c r="M2816" s="7">
        <f>SQRT(K2816^2+L2816^2)</f>
      </c>
      <c r="N2816" s="7">
        <f>(K2817-K2815)</f>
      </c>
      <c r="O2816" s="7">
        <f>+(L2817-L2815)</f>
      </c>
      <c r="P2816" s="7">
        <f>SQRT(O2816^2+N2816^2)</f>
      </c>
      <c r="Q2816" s="7">
        <f>N2816/$P2816</f>
      </c>
      <c r="R2816" s="7">
        <f>O2816/$P2816</f>
      </c>
      <c r="S2816" s="8">
        <f>Q2816^2+R2816^2</f>
      </c>
      <c r="T2816" s="7">
        <f>-R2816</f>
      </c>
      <c r="U2816" s="7">
        <f>Q2816</f>
      </c>
      <c r="V2816" s="7">
        <f>($C$14+($C$15-$C$14)/($D$15-$D$14)*(I2816-$D$14))/2</f>
      </c>
      <c r="W2816" s="7">
        <f>($B$22*I2816^4+$C$22*I2816^3+$D$22*I2816^2+$E$22*I2816+$F$22)/2</f>
      </c>
      <c r="X2816" s="7">
        <f>($W2816)*(T2816)</f>
      </c>
      <c r="Y2816" s="7">
        <f>($W2816)*(U2816)</f>
      </c>
      <c r="Z2816" s="7">
        <f>SQRT(X2816^2+Y2816^2)</f>
      </c>
      <c r="AA2816" s="7">
        <f>$K2816+$X2816</f>
      </c>
      <c r="AB2816" s="7">
        <f>$L2816+$Y2816</f>
      </c>
      <c r="AC2816" s="7">
        <f>$K2816-$X2816</f>
      </c>
      <c r="AD2816" s="7">
        <f>$L2816-$Y2816</f>
      </c>
      <c r="AE2816" s="7">
        <f>AA2816/39.3701</f>
      </c>
      <c r="AF2816" s="7">
        <f>AB2816/39.3701</f>
      </c>
      <c r="AG2816" s="7">
        <f>AC2816/39.3701</f>
      </c>
      <c r="AH2816" s="7">
        <f>AD2816/39.3701</f>
      </c>
      <c r="AI2816" s="1"/>
      <c r="AJ2816" s="1"/>
      <c r="AK2816" s="1"/>
      <c r="AL2816" s="1"/>
      <c r="AM2816" s="2"/>
      <c r="AN2816" s="1"/>
      <c r="AO2816" s="1"/>
      <c r="AP2816" s="1"/>
      <c r="AQ2816" s="1"/>
      <c r="AR2816" s="1"/>
      <c r="AS2816" s="1"/>
      <c r="AT2816" s="1"/>
      <c r="AU2816" s="1"/>
      <c r="AV2816" s="1"/>
      <c r="AW2816" s="1"/>
      <c r="AX2816" s="1"/>
      <c r="AY2816" s="1"/>
      <c r="AZ2816" s="1"/>
      <c r="BA2816" s="1"/>
      <c r="BB2816" s="1"/>
      <c r="BC2816" s="1"/>
      <c r="BD2816" s="1"/>
      <c r="BE2816" s="1"/>
    </row>
    <row x14ac:dyDescent="0.25" r="2817" customHeight="1" ht="18.75">
      <c r="A2817" s="1"/>
      <c r="B2817" s="2"/>
      <c r="C2817" s="2"/>
      <c r="D2817" s="2"/>
      <c r="E2817" s="2"/>
      <c r="F2817" s="2"/>
      <c r="G2817" s="1"/>
      <c r="H2817" s="1"/>
      <c r="I2817" s="7">
        <v>2.814</v>
      </c>
      <c r="J2817" s="7">
        <f>IF((I2817-ROUNDDOWN(I2817,0))=0, 0, (I2817-ROUNDDOWN(I2817,0)))</f>
      </c>
      <c r="K2817" s="7">
        <f>INDIRECT("C$"&amp;2+MIN(2,ROUNDDOWN(I2817,0))*3)*(-$J2817^3+3*$J2817^2-3*$J2817+1)+INDIRECT("C$"&amp;3+MIN(2,ROUNDDOWN(I2817,0))*3)*(3*$J2817^3-6*$J2817^2+3*$J2817)+INDIRECT("C$"&amp;4+MIN(2,ROUNDDOWN(I2817,0))*3)*(-3*$J2817^3+3*$J2817^2)+INDIRECT("C$"&amp;5+MIN(2,ROUNDDOWN(I2817,0))*3)*$J2817^3</f>
      </c>
      <c r="L2817" s="7">
        <f>INDIRECT("D$"&amp;2+MIN(2,ROUNDDOWN(I2817,0))*3)*(-$J2817^3+3*$J2817^2-3*$J2817+1)+INDIRECT("D$"&amp;3+MIN(2,ROUNDDOWN(I2817,0))*3)*(3*$J2817^3-6*$J2817^2+3*$J2817)+INDIRECT("D$"&amp;4+MIN(2,ROUNDDOWN(I2817,0))*3)*(-3*$J2817^3+3*$J2817^2)+INDIRECT("D$"&amp;5+MIN(2,ROUNDDOWN(I2817,0))*3)*$J2817^3</f>
      </c>
      <c r="M2817" s="7">
        <f>SQRT(K2817^2+L2817^2)</f>
      </c>
      <c r="N2817" s="7">
        <f>(K2818-K2816)</f>
      </c>
      <c r="O2817" s="7">
        <f>+(L2818-L2816)</f>
      </c>
      <c r="P2817" s="7">
        <f>SQRT(O2817^2+N2817^2)</f>
      </c>
      <c r="Q2817" s="7">
        <f>N2817/$P2817</f>
      </c>
      <c r="R2817" s="7">
        <f>O2817/$P2817</f>
      </c>
      <c r="S2817" s="8">
        <f>Q2817^2+R2817^2</f>
      </c>
      <c r="T2817" s="7">
        <f>-R2817</f>
      </c>
      <c r="U2817" s="7">
        <f>Q2817</f>
      </c>
      <c r="V2817" s="7">
        <f>($C$14+($C$15-$C$14)/($D$15-$D$14)*(I2817-$D$14))/2</f>
      </c>
      <c r="W2817" s="7">
        <f>($B$22*I2817^4+$C$22*I2817^3+$D$22*I2817^2+$E$22*I2817+$F$22)/2</f>
      </c>
      <c r="X2817" s="7">
        <f>($W2817)*(T2817)</f>
      </c>
      <c r="Y2817" s="7">
        <f>($W2817)*(U2817)</f>
      </c>
      <c r="Z2817" s="7">
        <f>SQRT(X2817^2+Y2817^2)</f>
      </c>
      <c r="AA2817" s="7">
        <f>$K2817+$X2817</f>
      </c>
      <c r="AB2817" s="7">
        <f>$L2817+$Y2817</f>
      </c>
      <c r="AC2817" s="7">
        <f>$K2817-$X2817</f>
      </c>
      <c r="AD2817" s="7">
        <f>$L2817-$Y2817</f>
      </c>
      <c r="AE2817" s="7">
        <f>AA2817/39.3701</f>
      </c>
      <c r="AF2817" s="7">
        <f>AB2817/39.3701</f>
      </c>
      <c r="AG2817" s="7">
        <f>AC2817/39.3701</f>
      </c>
      <c r="AH2817" s="7">
        <f>AD2817/39.3701</f>
      </c>
      <c r="AI2817" s="1"/>
      <c r="AJ2817" s="1"/>
      <c r="AK2817" s="1"/>
      <c r="AL2817" s="1"/>
      <c r="AM2817" s="2"/>
      <c r="AN2817" s="1"/>
      <c r="AO2817" s="1"/>
      <c r="AP2817" s="1"/>
      <c r="AQ2817" s="1"/>
      <c r="AR2817" s="1"/>
      <c r="AS2817" s="1"/>
      <c r="AT2817" s="1"/>
      <c r="AU2817" s="1"/>
      <c r="AV2817" s="1"/>
      <c r="AW2817" s="1"/>
      <c r="AX2817" s="1"/>
      <c r="AY2817" s="1"/>
      <c r="AZ2817" s="1"/>
      <c r="BA2817" s="1"/>
      <c r="BB2817" s="1"/>
      <c r="BC2817" s="1"/>
      <c r="BD2817" s="1"/>
      <c r="BE2817" s="1"/>
    </row>
    <row x14ac:dyDescent="0.25" r="2818" customHeight="1" ht="18.75">
      <c r="A2818" s="1"/>
      <c r="B2818" s="2"/>
      <c r="C2818" s="2"/>
      <c r="D2818" s="2"/>
      <c r="E2818" s="2"/>
      <c r="F2818" s="2"/>
      <c r="G2818" s="1"/>
      <c r="H2818" s="1"/>
      <c r="I2818" s="7">
        <v>2.815</v>
      </c>
      <c r="J2818" s="7">
        <f>IF((I2818-ROUNDDOWN(I2818,0))=0, 0, (I2818-ROUNDDOWN(I2818,0)))</f>
      </c>
      <c r="K2818" s="7">
        <f>INDIRECT("C$"&amp;2+MIN(2,ROUNDDOWN(I2818,0))*3)*(-$J2818^3+3*$J2818^2-3*$J2818+1)+INDIRECT("C$"&amp;3+MIN(2,ROUNDDOWN(I2818,0))*3)*(3*$J2818^3-6*$J2818^2+3*$J2818)+INDIRECT("C$"&amp;4+MIN(2,ROUNDDOWN(I2818,0))*3)*(-3*$J2818^3+3*$J2818^2)+INDIRECT("C$"&amp;5+MIN(2,ROUNDDOWN(I2818,0))*3)*$J2818^3</f>
      </c>
      <c r="L2818" s="7">
        <f>INDIRECT("D$"&amp;2+MIN(2,ROUNDDOWN(I2818,0))*3)*(-$J2818^3+3*$J2818^2-3*$J2818+1)+INDIRECT("D$"&amp;3+MIN(2,ROUNDDOWN(I2818,0))*3)*(3*$J2818^3-6*$J2818^2+3*$J2818)+INDIRECT("D$"&amp;4+MIN(2,ROUNDDOWN(I2818,0))*3)*(-3*$J2818^3+3*$J2818^2)+INDIRECT("D$"&amp;5+MIN(2,ROUNDDOWN(I2818,0))*3)*$J2818^3</f>
      </c>
      <c r="M2818" s="7">
        <f>SQRT(K2818^2+L2818^2)</f>
      </c>
      <c r="N2818" s="7">
        <f>(K2819-K2817)</f>
      </c>
      <c r="O2818" s="7">
        <f>+(L2819-L2817)</f>
      </c>
      <c r="P2818" s="7">
        <f>SQRT(O2818^2+N2818^2)</f>
      </c>
      <c r="Q2818" s="7">
        <f>N2818/$P2818</f>
      </c>
      <c r="R2818" s="7">
        <f>O2818/$P2818</f>
      </c>
      <c r="S2818" s="8">
        <f>Q2818^2+R2818^2</f>
      </c>
      <c r="T2818" s="7">
        <f>-R2818</f>
      </c>
      <c r="U2818" s="7">
        <f>Q2818</f>
      </c>
      <c r="V2818" s="7">
        <f>($C$14+($C$15-$C$14)/($D$15-$D$14)*(I2818-$D$14))/2</f>
      </c>
      <c r="W2818" s="7">
        <f>($B$22*I2818^4+$C$22*I2818^3+$D$22*I2818^2+$E$22*I2818+$F$22)/2</f>
      </c>
      <c r="X2818" s="7">
        <f>($W2818)*(T2818)</f>
      </c>
      <c r="Y2818" s="7">
        <f>($W2818)*(U2818)</f>
      </c>
      <c r="Z2818" s="7">
        <f>SQRT(X2818^2+Y2818^2)</f>
      </c>
      <c r="AA2818" s="7">
        <f>$K2818+$X2818</f>
      </c>
      <c r="AB2818" s="7">
        <f>$L2818+$Y2818</f>
      </c>
      <c r="AC2818" s="7">
        <f>$K2818-$X2818</f>
      </c>
      <c r="AD2818" s="7">
        <f>$L2818-$Y2818</f>
      </c>
      <c r="AE2818" s="7">
        <f>AA2818/39.3701</f>
      </c>
      <c r="AF2818" s="7">
        <f>AB2818/39.3701</f>
      </c>
      <c r="AG2818" s="7">
        <f>AC2818/39.3701</f>
      </c>
      <c r="AH2818" s="7">
        <f>AD2818/39.3701</f>
      </c>
      <c r="AI2818" s="1"/>
      <c r="AJ2818" s="1"/>
      <c r="AK2818" s="1"/>
      <c r="AL2818" s="1"/>
      <c r="AM2818" s="2"/>
      <c r="AN2818" s="1"/>
      <c r="AO2818" s="1"/>
      <c r="AP2818" s="1"/>
      <c r="AQ2818" s="1"/>
      <c r="AR2818" s="1"/>
      <c r="AS2818" s="1"/>
      <c r="AT2818" s="1"/>
      <c r="AU2818" s="1"/>
      <c r="AV2818" s="1"/>
      <c r="AW2818" s="1"/>
      <c r="AX2818" s="1"/>
      <c r="AY2818" s="1"/>
      <c r="AZ2818" s="1"/>
      <c r="BA2818" s="1"/>
      <c r="BB2818" s="1"/>
      <c r="BC2818" s="1"/>
      <c r="BD2818" s="1"/>
      <c r="BE2818" s="1"/>
    </row>
    <row x14ac:dyDescent="0.25" r="2819" customHeight="1" ht="18.75">
      <c r="A2819" s="1"/>
      <c r="B2819" s="2"/>
      <c r="C2819" s="2"/>
      <c r="D2819" s="2"/>
      <c r="E2819" s="2"/>
      <c r="F2819" s="2"/>
      <c r="G2819" s="1"/>
      <c r="H2819" s="1"/>
      <c r="I2819" s="7">
        <v>2.816</v>
      </c>
      <c r="J2819" s="7">
        <f>IF((I2819-ROUNDDOWN(I2819,0))=0, 0, (I2819-ROUNDDOWN(I2819,0)))</f>
      </c>
      <c r="K2819" s="7">
        <f>INDIRECT("C$"&amp;2+MIN(2,ROUNDDOWN(I2819,0))*3)*(-$J2819^3+3*$J2819^2-3*$J2819+1)+INDIRECT("C$"&amp;3+MIN(2,ROUNDDOWN(I2819,0))*3)*(3*$J2819^3-6*$J2819^2+3*$J2819)+INDIRECT("C$"&amp;4+MIN(2,ROUNDDOWN(I2819,0))*3)*(-3*$J2819^3+3*$J2819^2)+INDIRECT("C$"&amp;5+MIN(2,ROUNDDOWN(I2819,0))*3)*$J2819^3</f>
      </c>
      <c r="L2819" s="7">
        <f>INDIRECT("D$"&amp;2+MIN(2,ROUNDDOWN(I2819,0))*3)*(-$J2819^3+3*$J2819^2-3*$J2819+1)+INDIRECT("D$"&amp;3+MIN(2,ROUNDDOWN(I2819,0))*3)*(3*$J2819^3-6*$J2819^2+3*$J2819)+INDIRECT("D$"&amp;4+MIN(2,ROUNDDOWN(I2819,0))*3)*(-3*$J2819^3+3*$J2819^2)+INDIRECT("D$"&amp;5+MIN(2,ROUNDDOWN(I2819,0))*3)*$J2819^3</f>
      </c>
      <c r="M2819" s="7">
        <f>SQRT(K2819^2+L2819^2)</f>
      </c>
      <c r="N2819" s="7">
        <f>(K2820-K2818)</f>
      </c>
      <c r="O2819" s="7">
        <f>+(L2820-L2818)</f>
      </c>
      <c r="P2819" s="7">
        <f>SQRT(O2819^2+N2819^2)</f>
      </c>
      <c r="Q2819" s="7">
        <f>N2819/$P2819</f>
      </c>
      <c r="R2819" s="7">
        <f>O2819/$P2819</f>
      </c>
      <c r="S2819" s="8">
        <f>Q2819^2+R2819^2</f>
      </c>
      <c r="T2819" s="7">
        <f>-R2819</f>
      </c>
      <c r="U2819" s="7">
        <f>Q2819</f>
      </c>
      <c r="V2819" s="7">
        <f>($C$14+($C$15-$C$14)/($D$15-$D$14)*(I2819-$D$14))/2</f>
      </c>
      <c r="W2819" s="7">
        <f>($B$22*I2819^4+$C$22*I2819^3+$D$22*I2819^2+$E$22*I2819+$F$22)/2</f>
      </c>
      <c r="X2819" s="7">
        <f>($W2819)*(T2819)</f>
      </c>
      <c r="Y2819" s="7">
        <f>($W2819)*(U2819)</f>
      </c>
      <c r="Z2819" s="7">
        <f>SQRT(X2819^2+Y2819^2)</f>
      </c>
      <c r="AA2819" s="7">
        <f>$K2819+$X2819</f>
      </c>
      <c r="AB2819" s="7">
        <f>$L2819+$Y2819</f>
      </c>
      <c r="AC2819" s="7">
        <f>$K2819-$X2819</f>
      </c>
      <c r="AD2819" s="7">
        <f>$L2819-$Y2819</f>
      </c>
      <c r="AE2819" s="7">
        <f>AA2819/39.3701</f>
      </c>
      <c r="AF2819" s="7">
        <f>AB2819/39.3701</f>
      </c>
      <c r="AG2819" s="7">
        <f>AC2819/39.3701</f>
      </c>
      <c r="AH2819" s="7">
        <f>AD2819/39.3701</f>
      </c>
      <c r="AI2819" s="1"/>
      <c r="AJ2819" s="1"/>
      <c r="AK2819" s="1"/>
      <c r="AL2819" s="1"/>
      <c r="AM2819" s="2"/>
      <c r="AN2819" s="1"/>
      <c r="AO2819" s="1"/>
      <c r="AP2819" s="1"/>
      <c r="AQ2819" s="1"/>
      <c r="AR2819" s="1"/>
      <c r="AS2819" s="1"/>
      <c r="AT2819" s="1"/>
      <c r="AU2819" s="1"/>
      <c r="AV2819" s="1"/>
      <c r="AW2819" s="1"/>
      <c r="AX2819" s="1"/>
      <c r="AY2819" s="1"/>
      <c r="AZ2819" s="1"/>
      <c r="BA2819" s="1"/>
      <c r="BB2819" s="1"/>
      <c r="BC2819" s="1"/>
      <c r="BD2819" s="1"/>
      <c r="BE2819" s="1"/>
    </row>
    <row x14ac:dyDescent="0.25" r="2820" customHeight="1" ht="18.75">
      <c r="A2820" s="1"/>
      <c r="B2820" s="2"/>
      <c r="C2820" s="2"/>
      <c r="D2820" s="2"/>
      <c r="E2820" s="2"/>
      <c r="F2820" s="2"/>
      <c r="G2820" s="1"/>
      <c r="H2820" s="1"/>
      <c r="I2820" s="7">
        <v>2.817</v>
      </c>
      <c r="J2820" s="7">
        <f>IF((I2820-ROUNDDOWN(I2820,0))=0, 0, (I2820-ROUNDDOWN(I2820,0)))</f>
      </c>
      <c r="K2820" s="7">
        <f>INDIRECT("C$"&amp;2+MIN(2,ROUNDDOWN(I2820,0))*3)*(-$J2820^3+3*$J2820^2-3*$J2820+1)+INDIRECT("C$"&amp;3+MIN(2,ROUNDDOWN(I2820,0))*3)*(3*$J2820^3-6*$J2820^2+3*$J2820)+INDIRECT("C$"&amp;4+MIN(2,ROUNDDOWN(I2820,0))*3)*(-3*$J2820^3+3*$J2820^2)+INDIRECT("C$"&amp;5+MIN(2,ROUNDDOWN(I2820,0))*3)*$J2820^3</f>
      </c>
      <c r="L2820" s="7">
        <f>INDIRECT("D$"&amp;2+MIN(2,ROUNDDOWN(I2820,0))*3)*(-$J2820^3+3*$J2820^2-3*$J2820+1)+INDIRECT("D$"&amp;3+MIN(2,ROUNDDOWN(I2820,0))*3)*(3*$J2820^3-6*$J2820^2+3*$J2820)+INDIRECT("D$"&amp;4+MIN(2,ROUNDDOWN(I2820,0))*3)*(-3*$J2820^3+3*$J2820^2)+INDIRECT("D$"&amp;5+MIN(2,ROUNDDOWN(I2820,0))*3)*$J2820^3</f>
      </c>
      <c r="M2820" s="7">
        <f>SQRT(K2820^2+L2820^2)</f>
      </c>
      <c r="N2820" s="7">
        <f>(K2821-K2819)</f>
      </c>
      <c r="O2820" s="7">
        <f>+(L2821-L2819)</f>
      </c>
      <c r="P2820" s="7">
        <f>SQRT(O2820^2+N2820^2)</f>
      </c>
      <c r="Q2820" s="7">
        <f>N2820/$P2820</f>
      </c>
      <c r="R2820" s="7">
        <f>O2820/$P2820</f>
      </c>
      <c r="S2820" s="8">
        <f>Q2820^2+R2820^2</f>
      </c>
      <c r="T2820" s="7">
        <f>-R2820</f>
      </c>
      <c r="U2820" s="7">
        <f>Q2820</f>
      </c>
      <c r="V2820" s="7">
        <f>($C$14+($C$15-$C$14)/($D$15-$D$14)*(I2820-$D$14))/2</f>
      </c>
      <c r="W2820" s="7">
        <f>($B$22*I2820^4+$C$22*I2820^3+$D$22*I2820^2+$E$22*I2820+$F$22)/2</f>
      </c>
      <c r="X2820" s="7">
        <f>($W2820)*(T2820)</f>
      </c>
      <c r="Y2820" s="7">
        <f>($W2820)*(U2820)</f>
      </c>
      <c r="Z2820" s="7">
        <f>SQRT(X2820^2+Y2820^2)</f>
      </c>
      <c r="AA2820" s="7">
        <f>$K2820+$X2820</f>
      </c>
      <c r="AB2820" s="7">
        <f>$L2820+$Y2820</f>
      </c>
      <c r="AC2820" s="7">
        <f>$K2820-$X2820</f>
      </c>
      <c r="AD2820" s="7">
        <f>$L2820-$Y2820</f>
      </c>
      <c r="AE2820" s="7">
        <f>AA2820/39.3701</f>
      </c>
      <c r="AF2820" s="7">
        <f>AB2820/39.3701</f>
      </c>
      <c r="AG2820" s="7">
        <f>AC2820/39.3701</f>
      </c>
      <c r="AH2820" s="7">
        <f>AD2820/39.3701</f>
      </c>
      <c r="AI2820" s="1"/>
      <c r="AJ2820" s="1"/>
      <c r="AK2820" s="1"/>
      <c r="AL2820" s="1"/>
      <c r="AM2820" s="2"/>
      <c r="AN2820" s="1"/>
      <c r="AO2820" s="1"/>
      <c r="AP2820" s="1"/>
      <c r="AQ2820" s="1"/>
      <c r="AR2820" s="1"/>
      <c r="AS2820" s="1"/>
      <c r="AT2820" s="1"/>
      <c r="AU2820" s="1"/>
      <c r="AV2820" s="1"/>
      <c r="AW2820" s="1"/>
      <c r="AX2820" s="1"/>
      <c r="AY2820" s="1"/>
      <c r="AZ2820" s="1"/>
      <c r="BA2820" s="1"/>
      <c r="BB2820" s="1"/>
      <c r="BC2820" s="1"/>
      <c r="BD2820" s="1"/>
      <c r="BE2820" s="1"/>
    </row>
    <row x14ac:dyDescent="0.25" r="2821" customHeight="1" ht="18.75">
      <c r="A2821" s="1"/>
      <c r="B2821" s="2"/>
      <c r="C2821" s="2"/>
      <c r="D2821" s="2"/>
      <c r="E2821" s="2"/>
      <c r="F2821" s="2"/>
      <c r="G2821" s="1"/>
      <c r="H2821" s="1"/>
      <c r="I2821" s="7">
        <v>2.818</v>
      </c>
      <c r="J2821" s="7">
        <f>IF((I2821-ROUNDDOWN(I2821,0))=0, 0, (I2821-ROUNDDOWN(I2821,0)))</f>
      </c>
      <c r="K2821" s="7">
        <f>INDIRECT("C$"&amp;2+MIN(2,ROUNDDOWN(I2821,0))*3)*(-$J2821^3+3*$J2821^2-3*$J2821+1)+INDIRECT("C$"&amp;3+MIN(2,ROUNDDOWN(I2821,0))*3)*(3*$J2821^3-6*$J2821^2+3*$J2821)+INDIRECT("C$"&amp;4+MIN(2,ROUNDDOWN(I2821,0))*3)*(-3*$J2821^3+3*$J2821^2)+INDIRECT("C$"&amp;5+MIN(2,ROUNDDOWN(I2821,0))*3)*$J2821^3</f>
      </c>
      <c r="L2821" s="7">
        <f>INDIRECT("D$"&amp;2+MIN(2,ROUNDDOWN(I2821,0))*3)*(-$J2821^3+3*$J2821^2-3*$J2821+1)+INDIRECT("D$"&amp;3+MIN(2,ROUNDDOWN(I2821,0))*3)*(3*$J2821^3-6*$J2821^2+3*$J2821)+INDIRECT("D$"&amp;4+MIN(2,ROUNDDOWN(I2821,0))*3)*(-3*$J2821^3+3*$J2821^2)+INDIRECT("D$"&amp;5+MIN(2,ROUNDDOWN(I2821,0))*3)*$J2821^3</f>
      </c>
      <c r="M2821" s="7">
        <f>SQRT(K2821^2+L2821^2)</f>
      </c>
      <c r="N2821" s="7">
        <f>(K2822-K2820)</f>
      </c>
      <c r="O2821" s="7">
        <f>+(L2822-L2820)</f>
      </c>
      <c r="P2821" s="7">
        <f>SQRT(O2821^2+N2821^2)</f>
      </c>
      <c r="Q2821" s="7">
        <f>N2821/$P2821</f>
      </c>
      <c r="R2821" s="7">
        <f>O2821/$P2821</f>
      </c>
      <c r="S2821" s="8">
        <f>Q2821^2+R2821^2</f>
      </c>
      <c r="T2821" s="7">
        <f>-R2821</f>
      </c>
      <c r="U2821" s="7">
        <f>Q2821</f>
      </c>
      <c r="V2821" s="7">
        <f>($C$14+($C$15-$C$14)/($D$15-$D$14)*(I2821-$D$14))/2</f>
      </c>
      <c r="W2821" s="7">
        <f>($B$22*I2821^4+$C$22*I2821^3+$D$22*I2821^2+$E$22*I2821+$F$22)/2</f>
      </c>
      <c r="X2821" s="7">
        <f>($W2821)*(T2821)</f>
      </c>
      <c r="Y2821" s="7">
        <f>($W2821)*(U2821)</f>
      </c>
      <c r="Z2821" s="7">
        <f>SQRT(X2821^2+Y2821^2)</f>
      </c>
      <c r="AA2821" s="7">
        <f>$K2821+$X2821</f>
      </c>
      <c r="AB2821" s="7">
        <f>$L2821+$Y2821</f>
      </c>
      <c r="AC2821" s="7">
        <f>$K2821-$X2821</f>
      </c>
      <c r="AD2821" s="7">
        <f>$L2821-$Y2821</f>
      </c>
      <c r="AE2821" s="7">
        <f>AA2821/39.3701</f>
      </c>
      <c r="AF2821" s="7">
        <f>AB2821/39.3701</f>
      </c>
      <c r="AG2821" s="7">
        <f>AC2821/39.3701</f>
      </c>
      <c r="AH2821" s="7">
        <f>AD2821/39.3701</f>
      </c>
      <c r="AI2821" s="1"/>
      <c r="AJ2821" s="1"/>
      <c r="AK2821" s="1"/>
      <c r="AL2821" s="1"/>
      <c r="AM2821" s="2"/>
      <c r="AN2821" s="1"/>
      <c r="AO2821" s="1"/>
      <c r="AP2821" s="1"/>
      <c r="AQ2821" s="1"/>
      <c r="AR2821" s="1"/>
      <c r="AS2821" s="1"/>
      <c r="AT2821" s="1"/>
      <c r="AU2821" s="1"/>
      <c r="AV2821" s="1"/>
      <c r="AW2821" s="1"/>
      <c r="AX2821" s="1"/>
      <c r="AY2821" s="1"/>
      <c r="AZ2821" s="1"/>
      <c r="BA2821" s="1"/>
      <c r="BB2821" s="1"/>
      <c r="BC2821" s="1"/>
      <c r="BD2821" s="1"/>
      <c r="BE2821" s="1"/>
    </row>
    <row x14ac:dyDescent="0.25" r="2822" customHeight="1" ht="18.75">
      <c r="A2822" s="1"/>
      <c r="B2822" s="2"/>
      <c r="C2822" s="2"/>
      <c r="D2822" s="2"/>
      <c r="E2822" s="2"/>
      <c r="F2822" s="2"/>
      <c r="G2822" s="1"/>
      <c r="H2822" s="1"/>
      <c r="I2822" s="7">
        <v>2.819</v>
      </c>
      <c r="J2822" s="7">
        <f>IF((I2822-ROUNDDOWN(I2822,0))=0, 0, (I2822-ROUNDDOWN(I2822,0)))</f>
      </c>
      <c r="K2822" s="7">
        <f>INDIRECT("C$"&amp;2+MIN(2,ROUNDDOWN(I2822,0))*3)*(-$J2822^3+3*$J2822^2-3*$J2822+1)+INDIRECT("C$"&amp;3+MIN(2,ROUNDDOWN(I2822,0))*3)*(3*$J2822^3-6*$J2822^2+3*$J2822)+INDIRECT("C$"&amp;4+MIN(2,ROUNDDOWN(I2822,0))*3)*(-3*$J2822^3+3*$J2822^2)+INDIRECT("C$"&amp;5+MIN(2,ROUNDDOWN(I2822,0))*3)*$J2822^3</f>
      </c>
      <c r="L2822" s="7">
        <f>INDIRECT("D$"&amp;2+MIN(2,ROUNDDOWN(I2822,0))*3)*(-$J2822^3+3*$J2822^2-3*$J2822+1)+INDIRECT("D$"&amp;3+MIN(2,ROUNDDOWN(I2822,0))*3)*(3*$J2822^3-6*$J2822^2+3*$J2822)+INDIRECT("D$"&amp;4+MIN(2,ROUNDDOWN(I2822,0))*3)*(-3*$J2822^3+3*$J2822^2)+INDIRECT("D$"&amp;5+MIN(2,ROUNDDOWN(I2822,0))*3)*$J2822^3</f>
      </c>
      <c r="M2822" s="7">
        <f>SQRT(K2822^2+L2822^2)</f>
      </c>
      <c r="N2822" s="7">
        <f>(K2823-K2821)</f>
      </c>
      <c r="O2822" s="7">
        <f>+(L2823-L2821)</f>
      </c>
      <c r="P2822" s="7">
        <f>SQRT(O2822^2+N2822^2)</f>
      </c>
      <c r="Q2822" s="7">
        <f>N2822/$P2822</f>
      </c>
      <c r="R2822" s="7">
        <f>O2822/$P2822</f>
      </c>
      <c r="S2822" s="8">
        <f>Q2822^2+R2822^2</f>
      </c>
      <c r="T2822" s="7">
        <f>-R2822</f>
      </c>
      <c r="U2822" s="7">
        <f>Q2822</f>
      </c>
      <c r="V2822" s="7">
        <f>($C$14+($C$15-$C$14)/($D$15-$D$14)*(I2822-$D$14))/2</f>
      </c>
      <c r="W2822" s="7">
        <f>($B$22*I2822^4+$C$22*I2822^3+$D$22*I2822^2+$E$22*I2822+$F$22)/2</f>
      </c>
      <c r="X2822" s="7">
        <f>($W2822)*(T2822)</f>
      </c>
      <c r="Y2822" s="7">
        <f>($W2822)*(U2822)</f>
      </c>
      <c r="Z2822" s="7">
        <f>SQRT(X2822^2+Y2822^2)</f>
      </c>
      <c r="AA2822" s="7">
        <f>$K2822+$X2822</f>
      </c>
      <c r="AB2822" s="7">
        <f>$L2822+$Y2822</f>
      </c>
      <c r="AC2822" s="7">
        <f>$K2822-$X2822</f>
      </c>
      <c r="AD2822" s="7">
        <f>$L2822-$Y2822</f>
      </c>
      <c r="AE2822" s="7">
        <f>AA2822/39.3701</f>
      </c>
      <c r="AF2822" s="7">
        <f>AB2822/39.3701</f>
      </c>
      <c r="AG2822" s="7">
        <f>AC2822/39.3701</f>
      </c>
      <c r="AH2822" s="7">
        <f>AD2822/39.3701</f>
      </c>
      <c r="AI2822" s="1"/>
      <c r="AJ2822" s="1"/>
      <c r="AK2822" s="1"/>
      <c r="AL2822" s="1"/>
      <c r="AM2822" s="2"/>
      <c r="AN2822" s="1"/>
      <c r="AO2822" s="1"/>
      <c r="AP2822" s="1"/>
      <c r="AQ2822" s="1"/>
      <c r="AR2822" s="1"/>
      <c r="AS2822" s="1"/>
      <c r="AT2822" s="1"/>
      <c r="AU2822" s="1"/>
      <c r="AV2822" s="1"/>
      <c r="AW2822" s="1"/>
      <c r="AX2822" s="1"/>
      <c r="AY2822" s="1"/>
      <c r="AZ2822" s="1"/>
      <c r="BA2822" s="1"/>
      <c r="BB2822" s="1"/>
      <c r="BC2822" s="1"/>
      <c r="BD2822" s="1"/>
      <c r="BE2822" s="1"/>
    </row>
    <row x14ac:dyDescent="0.25" r="2823" customHeight="1" ht="18.75">
      <c r="A2823" s="1"/>
      <c r="B2823" s="2"/>
      <c r="C2823" s="2"/>
      <c r="D2823" s="2"/>
      <c r="E2823" s="2"/>
      <c r="F2823" s="2"/>
      <c r="G2823" s="1"/>
      <c r="H2823" s="1"/>
      <c r="I2823" s="7">
        <v>2.82</v>
      </c>
      <c r="J2823" s="7">
        <f>IF((I2823-ROUNDDOWN(I2823,0))=0, 0, (I2823-ROUNDDOWN(I2823,0)))</f>
      </c>
      <c r="K2823" s="7">
        <f>INDIRECT("C$"&amp;2+MIN(2,ROUNDDOWN(I2823,0))*3)*(-$J2823^3+3*$J2823^2-3*$J2823+1)+INDIRECT("C$"&amp;3+MIN(2,ROUNDDOWN(I2823,0))*3)*(3*$J2823^3-6*$J2823^2+3*$J2823)+INDIRECT("C$"&amp;4+MIN(2,ROUNDDOWN(I2823,0))*3)*(-3*$J2823^3+3*$J2823^2)+INDIRECT("C$"&amp;5+MIN(2,ROUNDDOWN(I2823,0))*3)*$J2823^3</f>
      </c>
      <c r="L2823" s="7">
        <f>INDIRECT("D$"&amp;2+MIN(2,ROUNDDOWN(I2823,0))*3)*(-$J2823^3+3*$J2823^2-3*$J2823+1)+INDIRECT("D$"&amp;3+MIN(2,ROUNDDOWN(I2823,0))*3)*(3*$J2823^3-6*$J2823^2+3*$J2823)+INDIRECT("D$"&amp;4+MIN(2,ROUNDDOWN(I2823,0))*3)*(-3*$J2823^3+3*$J2823^2)+INDIRECT("D$"&amp;5+MIN(2,ROUNDDOWN(I2823,0))*3)*$J2823^3</f>
      </c>
      <c r="M2823" s="7">
        <f>SQRT(K2823^2+L2823^2)</f>
      </c>
      <c r="N2823" s="7">
        <f>(K2824-K2822)</f>
      </c>
      <c r="O2823" s="7">
        <f>+(L2824-L2822)</f>
      </c>
      <c r="P2823" s="7">
        <f>SQRT(O2823^2+N2823^2)</f>
      </c>
      <c r="Q2823" s="7">
        <f>N2823/$P2823</f>
      </c>
      <c r="R2823" s="7">
        <f>O2823/$P2823</f>
      </c>
      <c r="S2823" s="7">
        <f>Q2823^2+R2823^2</f>
      </c>
      <c r="T2823" s="7">
        <f>-R2823</f>
      </c>
      <c r="U2823" s="7">
        <f>Q2823</f>
      </c>
      <c r="V2823" s="7">
        <f>($C$14+($C$15-$C$14)/($D$15-$D$14)*(I2823-$D$14))/2</f>
      </c>
      <c r="W2823" s="7">
        <f>($B$22*I2823^4+$C$22*I2823^3+$D$22*I2823^2+$E$22*I2823+$F$22)/2</f>
      </c>
      <c r="X2823" s="7">
        <f>($W2823)*(T2823)</f>
      </c>
      <c r="Y2823" s="7">
        <f>($W2823)*(U2823)</f>
      </c>
      <c r="Z2823" s="7">
        <f>SQRT(X2823^2+Y2823^2)</f>
      </c>
      <c r="AA2823" s="7">
        <f>$K2823+$X2823</f>
      </c>
      <c r="AB2823" s="7">
        <f>$L2823+$Y2823</f>
      </c>
      <c r="AC2823" s="7">
        <f>$K2823-$X2823</f>
      </c>
      <c r="AD2823" s="7">
        <f>$L2823-$Y2823</f>
      </c>
      <c r="AE2823" s="7">
        <f>AA2823/39.3701</f>
      </c>
      <c r="AF2823" s="7">
        <f>AB2823/39.3701</f>
      </c>
      <c r="AG2823" s="7">
        <f>AC2823/39.3701</f>
      </c>
      <c r="AH2823" s="7">
        <f>AD2823/39.3701</f>
      </c>
      <c r="AI2823" s="1"/>
      <c r="AJ2823" s="1"/>
      <c r="AK2823" s="1"/>
      <c r="AL2823" s="1"/>
      <c r="AM2823" s="2"/>
      <c r="AN2823" s="1"/>
      <c r="AO2823" s="1"/>
      <c r="AP2823" s="1"/>
      <c r="AQ2823" s="1"/>
      <c r="AR2823" s="1"/>
      <c r="AS2823" s="1"/>
      <c r="AT2823" s="1"/>
      <c r="AU2823" s="1"/>
      <c r="AV2823" s="1"/>
      <c r="AW2823" s="1"/>
      <c r="AX2823" s="1"/>
      <c r="AY2823" s="1"/>
      <c r="AZ2823" s="1"/>
      <c r="BA2823" s="1"/>
      <c r="BB2823" s="1"/>
      <c r="BC2823" s="1"/>
      <c r="BD2823" s="1"/>
      <c r="BE2823" s="1"/>
    </row>
    <row x14ac:dyDescent="0.25" r="2824" customHeight="1" ht="18.75">
      <c r="A2824" s="1"/>
      <c r="B2824" s="2"/>
      <c r="C2824" s="2"/>
      <c r="D2824" s="2"/>
      <c r="E2824" s="2"/>
      <c r="F2824" s="2"/>
      <c r="G2824" s="1"/>
      <c r="H2824" s="1"/>
      <c r="I2824" s="7">
        <v>2.821</v>
      </c>
      <c r="J2824" s="7">
        <f>IF((I2824-ROUNDDOWN(I2824,0))=0, 0, (I2824-ROUNDDOWN(I2824,0)))</f>
      </c>
      <c r="K2824" s="7">
        <f>INDIRECT("C$"&amp;2+MIN(2,ROUNDDOWN(I2824,0))*3)*(-$J2824^3+3*$J2824^2-3*$J2824+1)+INDIRECT("C$"&amp;3+MIN(2,ROUNDDOWN(I2824,0))*3)*(3*$J2824^3-6*$J2824^2+3*$J2824)+INDIRECT("C$"&amp;4+MIN(2,ROUNDDOWN(I2824,0))*3)*(-3*$J2824^3+3*$J2824^2)+INDIRECT("C$"&amp;5+MIN(2,ROUNDDOWN(I2824,0))*3)*$J2824^3</f>
      </c>
      <c r="L2824" s="7">
        <f>INDIRECT("D$"&amp;2+MIN(2,ROUNDDOWN(I2824,0))*3)*(-$J2824^3+3*$J2824^2-3*$J2824+1)+INDIRECT("D$"&amp;3+MIN(2,ROUNDDOWN(I2824,0))*3)*(3*$J2824^3-6*$J2824^2+3*$J2824)+INDIRECT("D$"&amp;4+MIN(2,ROUNDDOWN(I2824,0))*3)*(-3*$J2824^3+3*$J2824^2)+INDIRECT("D$"&amp;5+MIN(2,ROUNDDOWN(I2824,0))*3)*$J2824^3</f>
      </c>
      <c r="M2824" s="7">
        <f>SQRT(K2824^2+L2824^2)</f>
      </c>
      <c r="N2824" s="7">
        <f>(K2825-K2823)</f>
      </c>
      <c r="O2824" s="7">
        <f>+(L2825-L2823)</f>
      </c>
      <c r="P2824" s="7">
        <f>SQRT(O2824^2+N2824^2)</f>
      </c>
      <c r="Q2824" s="7">
        <f>N2824/$P2824</f>
      </c>
      <c r="R2824" s="7">
        <f>O2824/$P2824</f>
      </c>
      <c r="S2824" s="8">
        <f>Q2824^2+R2824^2</f>
      </c>
      <c r="T2824" s="7">
        <f>-R2824</f>
      </c>
      <c r="U2824" s="7">
        <f>Q2824</f>
      </c>
      <c r="V2824" s="7">
        <f>($C$14+($C$15-$C$14)/($D$15-$D$14)*(I2824-$D$14))/2</f>
      </c>
      <c r="W2824" s="7">
        <f>($B$22*I2824^4+$C$22*I2824^3+$D$22*I2824^2+$E$22*I2824+$F$22)/2</f>
      </c>
      <c r="X2824" s="7">
        <f>($W2824)*(T2824)</f>
      </c>
      <c r="Y2824" s="7">
        <f>($W2824)*(U2824)</f>
      </c>
      <c r="Z2824" s="7">
        <f>SQRT(X2824^2+Y2824^2)</f>
      </c>
      <c r="AA2824" s="7">
        <f>$K2824+$X2824</f>
      </c>
      <c r="AB2824" s="7">
        <f>$L2824+$Y2824</f>
      </c>
      <c r="AC2824" s="7">
        <f>$K2824-$X2824</f>
      </c>
      <c r="AD2824" s="7">
        <f>$L2824-$Y2824</f>
      </c>
      <c r="AE2824" s="7">
        <f>AA2824/39.3701</f>
      </c>
      <c r="AF2824" s="7">
        <f>AB2824/39.3701</f>
      </c>
      <c r="AG2824" s="7">
        <f>AC2824/39.3701</f>
      </c>
      <c r="AH2824" s="7">
        <f>AD2824/39.3701</f>
      </c>
      <c r="AI2824" s="1"/>
      <c r="AJ2824" s="1"/>
      <c r="AK2824" s="1"/>
      <c r="AL2824" s="1"/>
      <c r="AM2824" s="2"/>
      <c r="AN2824" s="1"/>
      <c r="AO2824" s="1"/>
      <c r="AP2824" s="1"/>
      <c r="AQ2824" s="1"/>
      <c r="AR2824" s="1"/>
      <c r="AS2824" s="1"/>
      <c r="AT2824" s="1"/>
      <c r="AU2824" s="1"/>
      <c r="AV2824" s="1"/>
      <c r="AW2824" s="1"/>
      <c r="AX2824" s="1"/>
      <c r="AY2824" s="1"/>
      <c r="AZ2824" s="1"/>
      <c r="BA2824" s="1"/>
      <c r="BB2824" s="1"/>
      <c r="BC2824" s="1"/>
      <c r="BD2824" s="1"/>
      <c r="BE2824" s="1"/>
    </row>
    <row x14ac:dyDescent="0.25" r="2825" customHeight="1" ht="18.75">
      <c r="A2825" s="1"/>
      <c r="B2825" s="2"/>
      <c r="C2825" s="2"/>
      <c r="D2825" s="2"/>
      <c r="E2825" s="2"/>
      <c r="F2825" s="2"/>
      <c r="G2825" s="1"/>
      <c r="H2825" s="1"/>
      <c r="I2825" s="7">
        <v>2.822</v>
      </c>
      <c r="J2825" s="7">
        <f>IF((I2825-ROUNDDOWN(I2825,0))=0, 0, (I2825-ROUNDDOWN(I2825,0)))</f>
      </c>
      <c r="K2825" s="7">
        <f>INDIRECT("C$"&amp;2+MIN(2,ROUNDDOWN(I2825,0))*3)*(-$J2825^3+3*$J2825^2-3*$J2825+1)+INDIRECT("C$"&amp;3+MIN(2,ROUNDDOWN(I2825,0))*3)*(3*$J2825^3-6*$J2825^2+3*$J2825)+INDIRECT("C$"&amp;4+MIN(2,ROUNDDOWN(I2825,0))*3)*(-3*$J2825^3+3*$J2825^2)+INDIRECT("C$"&amp;5+MIN(2,ROUNDDOWN(I2825,0))*3)*$J2825^3</f>
      </c>
      <c r="L2825" s="7">
        <f>INDIRECT("D$"&amp;2+MIN(2,ROUNDDOWN(I2825,0))*3)*(-$J2825^3+3*$J2825^2-3*$J2825+1)+INDIRECT("D$"&amp;3+MIN(2,ROUNDDOWN(I2825,0))*3)*(3*$J2825^3-6*$J2825^2+3*$J2825)+INDIRECT("D$"&amp;4+MIN(2,ROUNDDOWN(I2825,0))*3)*(-3*$J2825^3+3*$J2825^2)+INDIRECT("D$"&amp;5+MIN(2,ROUNDDOWN(I2825,0))*3)*$J2825^3</f>
      </c>
      <c r="M2825" s="7">
        <f>SQRT(K2825^2+L2825^2)</f>
      </c>
      <c r="N2825" s="7">
        <f>(K2826-K2824)</f>
      </c>
      <c r="O2825" s="7">
        <f>+(L2826-L2824)</f>
      </c>
      <c r="P2825" s="7">
        <f>SQRT(O2825^2+N2825^2)</f>
      </c>
      <c r="Q2825" s="7">
        <f>N2825/$P2825</f>
      </c>
      <c r="R2825" s="7">
        <f>O2825/$P2825</f>
      </c>
      <c r="S2825" s="7">
        <f>Q2825^2+R2825^2</f>
      </c>
      <c r="T2825" s="7">
        <f>-R2825</f>
      </c>
      <c r="U2825" s="7">
        <f>Q2825</f>
      </c>
      <c r="V2825" s="7">
        <f>($C$14+($C$15-$C$14)/($D$15-$D$14)*(I2825-$D$14))/2</f>
      </c>
      <c r="W2825" s="7">
        <f>($B$22*I2825^4+$C$22*I2825^3+$D$22*I2825^2+$E$22*I2825+$F$22)/2</f>
      </c>
      <c r="X2825" s="7">
        <f>($W2825)*(T2825)</f>
      </c>
      <c r="Y2825" s="7">
        <f>($W2825)*(U2825)</f>
      </c>
      <c r="Z2825" s="7">
        <f>SQRT(X2825^2+Y2825^2)</f>
      </c>
      <c r="AA2825" s="7">
        <f>$K2825+$X2825</f>
      </c>
      <c r="AB2825" s="7">
        <f>$L2825+$Y2825</f>
      </c>
      <c r="AC2825" s="7">
        <f>$K2825-$X2825</f>
      </c>
      <c r="AD2825" s="7">
        <f>$L2825-$Y2825</f>
      </c>
      <c r="AE2825" s="7">
        <f>AA2825/39.3701</f>
      </c>
      <c r="AF2825" s="7">
        <f>AB2825/39.3701</f>
      </c>
      <c r="AG2825" s="7">
        <f>AC2825/39.3701</f>
      </c>
      <c r="AH2825" s="7">
        <f>AD2825/39.3701</f>
      </c>
      <c r="AI2825" s="1"/>
      <c r="AJ2825" s="1"/>
      <c r="AK2825" s="1"/>
      <c r="AL2825" s="1"/>
      <c r="AM2825" s="2"/>
      <c r="AN2825" s="1"/>
      <c r="AO2825" s="1"/>
      <c r="AP2825" s="1"/>
      <c r="AQ2825" s="1"/>
      <c r="AR2825" s="1"/>
      <c r="AS2825" s="1"/>
      <c r="AT2825" s="1"/>
      <c r="AU2825" s="1"/>
      <c r="AV2825" s="1"/>
      <c r="AW2825" s="1"/>
      <c r="AX2825" s="1"/>
      <c r="AY2825" s="1"/>
      <c r="AZ2825" s="1"/>
      <c r="BA2825" s="1"/>
      <c r="BB2825" s="1"/>
      <c r="BC2825" s="1"/>
      <c r="BD2825" s="1"/>
      <c r="BE2825" s="1"/>
    </row>
    <row x14ac:dyDescent="0.25" r="2826" customHeight="1" ht="18.75">
      <c r="A2826" s="1"/>
      <c r="B2826" s="2"/>
      <c r="C2826" s="2"/>
      <c r="D2826" s="2"/>
      <c r="E2826" s="2"/>
      <c r="F2826" s="2"/>
      <c r="G2826" s="1"/>
      <c r="H2826" s="1"/>
      <c r="I2826" s="7">
        <v>2.823</v>
      </c>
      <c r="J2826" s="7">
        <f>IF((I2826-ROUNDDOWN(I2826,0))=0, 0, (I2826-ROUNDDOWN(I2826,0)))</f>
      </c>
      <c r="K2826" s="7">
        <f>INDIRECT("C$"&amp;2+MIN(2,ROUNDDOWN(I2826,0))*3)*(-$J2826^3+3*$J2826^2-3*$J2826+1)+INDIRECT("C$"&amp;3+MIN(2,ROUNDDOWN(I2826,0))*3)*(3*$J2826^3-6*$J2826^2+3*$J2826)+INDIRECT("C$"&amp;4+MIN(2,ROUNDDOWN(I2826,0))*3)*(-3*$J2826^3+3*$J2826^2)+INDIRECT("C$"&amp;5+MIN(2,ROUNDDOWN(I2826,0))*3)*$J2826^3</f>
      </c>
      <c r="L2826" s="7">
        <f>INDIRECT("D$"&amp;2+MIN(2,ROUNDDOWN(I2826,0))*3)*(-$J2826^3+3*$J2826^2-3*$J2826+1)+INDIRECT("D$"&amp;3+MIN(2,ROUNDDOWN(I2826,0))*3)*(3*$J2826^3-6*$J2826^2+3*$J2826)+INDIRECT("D$"&amp;4+MIN(2,ROUNDDOWN(I2826,0))*3)*(-3*$J2826^3+3*$J2826^2)+INDIRECT("D$"&amp;5+MIN(2,ROUNDDOWN(I2826,0))*3)*$J2826^3</f>
      </c>
      <c r="M2826" s="7">
        <f>SQRT(K2826^2+L2826^2)</f>
      </c>
      <c r="N2826" s="7">
        <f>(K2827-K2825)</f>
      </c>
      <c r="O2826" s="7">
        <f>+(L2827-L2825)</f>
      </c>
      <c r="P2826" s="7">
        <f>SQRT(O2826^2+N2826^2)</f>
      </c>
      <c r="Q2826" s="7">
        <f>N2826/$P2826</f>
      </c>
      <c r="R2826" s="7">
        <f>O2826/$P2826</f>
      </c>
      <c r="S2826" s="8">
        <f>Q2826^2+R2826^2</f>
      </c>
      <c r="T2826" s="7">
        <f>-R2826</f>
      </c>
      <c r="U2826" s="7">
        <f>Q2826</f>
      </c>
      <c r="V2826" s="7">
        <f>($C$14+($C$15-$C$14)/($D$15-$D$14)*(I2826-$D$14))/2</f>
      </c>
      <c r="W2826" s="7">
        <f>($B$22*I2826^4+$C$22*I2826^3+$D$22*I2826^2+$E$22*I2826+$F$22)/2</f>
      </c>
      <c r="X2826" s="7">
        <f>($W2826)*(T2826)</f>
      </c>
      <c r="Y2826" s="7">
        <f>($W2826)*(U2826)</f>
      </c>
      <c r="Z2826" s="7">
        <f>SQRT(X2826^2+Y2826^2)</f>
      </c>
      <c r="AA2826" s="7">
        <f>$K2826+$X2826</f>
      </c>
      <c r="AB2826" s="7">
        <f>$L2826+$Y2826</f>
      </c>
      <c r="AC2826" s="7">
        <f>$K2826-$X2826</f>
      </c>
      <c r="AD2826" s="7">
        <f>$L2826-$Y2826</f>
      </c>
      <c r="AE2826" s="7">
        <f>AA2826/39.3701</f>
      </c>
      <c r="AF2826" s="7">
        <f>AB2826/39.3701</f>
      </c>
      <c r="AG2826" s="7">
        <f>AC2826/39.3701</f>
      </c>
      <c r="AH2826" s="7">
        <f>AD2826/39.3701</f>
      </c>
      <c r="AI2826" s="1"/>
      <c r="AJ2826" s="1"/>
      <c r="AK2826" s="1"/>
      <c r="AL2826" s="1"/>
      <c r="AM2826" s="2"/>
      <c r="AN2826" s="1"/>
      <c r="AO2826" s="1"/>
      <c r="AP2826" s="1"/>
      <c r="AQ2826" s="1"/>
      <c r="AR2826" s="1"/>
      <c r="AS2826" s="1"/>
      <c r="AT2826" s="1"/>
      <c r="AU2826" s="1"/>
      <c r="AV2826" s="1"/>
      <c r="AW2826" s="1"/>
      <c r="AX2826" s="1"/>
      <c r="AY2826" s="1"/>
      <c r="AZ2826" s="1"/>
      <c r="BA2826" s="1"/>
      <c r="BB2826" s="1"/>
      <c r="BC2826" s="1"/>
      <c r="BD2826" s="1"/>
      <c r="BE2826" s="1"/>
    </row>
    <row x14ac:dyDescent="0.25" r="2827" customHeight="1" ht="18.75">
      <c r="A2827" s="1"/>
      <c r="B2827" s="2"/>
      <c r="C2827" s="2"/>
      <c r="D2827" s="2"/>
      <c r="E2827" s="2"/>
      <c r="F2827" s="2"/>
      <c r="G2827" s="1"/>
      <c r="H2827" s="1"/>
      <c r="I2827" s="7">
        <v>2.824</v>
      </c>
      <c r="J2827" s="7">
        <f>IF((I2827-ROUNDDOWN(I2827,0))=0, 0, (I2827-ROUNDDOWN(I2827,0)))</f>
      </c>
      <c r="K2827" s="7">
        <f>INDIRECT("C$"&amp;2+MIN(2,ROUNDDOWN(I2827,0))*3)*(-$J2827^3+3*$J2827^2-3*$J2827+1)+INDIRECT("C$"&amp;3+MIN(2,ROUNDDOWN(I2827,0))*3)*(3*$J2827^3-6*$J2827^2+3*$J2827)+INDIRECT("C$"&amp;4+MIN(2,ROUNDDOWN(I2827,0))*3)*(-3*$J2827^3+3*$J2827^2)+INDIRECT("C$"&amp;5+MIN(2,ROUNDDOWN(I2827,0))*3)*$J2827^3</f>
      </c>
      <c r="L2827" s="7">
        <f>INDIRECT("D$"&amp;2+MIN(2,ROUNDDOWN(I2827,0))*3)*(-$J2827^3+3*$J2827^2-3*$J2827+1)+INDIRECT("D$"&amp;3+MIN(2,ROUNDDOWN(I2827,0))*3)*(3*$J2827^3-6*$J2827^2+3*$J2827)+INDIRECT("D$"&amp;4+MIN(2,ROUNDDOWN(I2827,0))*3)*(-3*$J2827^3+3*$J2827^2)+INDIRECT("D$"&amp;5+MIN(2,ROUNDDOWN(I2827,0))*3)*$J2827^3</f>
      </c>
      <c r="M2827" s="7">
        <f>SQRT(K2827^2+L2827^2)</f>
      </c>
      <c r="N2827" s="7">
        <f>(K2828-K2826)</f>
      </c>
      <c r="O2827" s="7">
        <f>+(L2828-L2826)</f>
      </c>
      <c r="P2827" s="7">
        <f>SQRT(O2827^2+N2827^2)</f>
      </c>
      <c r="Q2827" s="7">
        <f>N2827/$P2827</f>
      </c>
      <c r="R2827" s="7">
        <f>O2827/$P2827</f>
      </c>
      <c r="S2827" s="8">
        <f>Q2827^2+R2827^2</f>
      </c>
      <c r="T2827" s="7">
        <f>-R2827</f>
      </c>
      <c r="U2827" s="7">
        <f>Q2827</f>
      </c>
      <c r="V2827" s="7">
        <f>($C$14+($C$15-$C$14)/($D$15-$D$14)*(I2827-$D$14))/2</f>
      </c>
      <c r="W2827" s="7">
        <f>($B$22*I2827^4+$C$22*I2827^3+$D$22*I2827^2+$E$22*I2827+$F$22)/2</f>
      </c>
      <c r="X2827" s="7">
        <f>($W2827)*(T2827)</f>
      </c>
      <c r="Y2827" s="7">
        <f>($W2827)*(U2827)</f>
      </c>
      <c r="Z2827" s="7">
        <f>SQRT(X2827^2+Y2827^2)</f>
      </c>
      <c r="AA2827" s="7">
        <f>$K2827+$X2827</f>
      </c>
      <c r="AB2827" s="7">
        <f>$L2827+$Y2827</f>
      </c>
      <c r="AC2827" s="7">
        <f>$K2827-$X2827</f>
      </c>
      <c r="AD2827" s="7">
        <f>$L2827-$Y2827</f>
      </c>
      <c r="AE2827" s="7">
        <f>AA2827/39.3701</f>
      </c>
      <c r="AF2827" s="7">
        <f>AB2827/39.3701</f>
      </c>
      <c r="AG2827" s="7">
        <f>AC2827/39.3701</f>
      </c>
      <c r="AH2827" s="7">
        <f>AD2827/39.3701</f>
      </c>
      <c r="AI2827" s="1"/>
      <c r="AJ2827" s="1"/>
      <c r="AK2827" s="1"/>
      <c r="AL2827" s="1"/>
      <c r="AM2827" s="2"/>
      <c r="AN2827" s="1"/>
      <c r="AO2827" s="1"/>
      <c r="AP2827" s="1"/>
      <c r="AQ2827" s="1"/>
      <c r="AR2827" s="1"/>
      <c r="AS2827" s="1"/>
      <c r="AT2827" s="1"/>
      <c r="AU2827" s="1"/>
      <c r="AV2827" s="1"/>
      <c r="AW2827" s="1"/>
      <c r="AX2827" s="1"/>
      <c r="AY2827" s="1"/>
      <c r="AZ2827" s="1"/>
      <c r="BA2827" s="1"/>
      <c r="BB2827" s="1"/>
      <c r="BC2827" s="1"/>
      <c r="BD2827" s="1"/>
      <c r="BE2827" s="1"/>
    </row>
    <row x14ac:dyDescent="0.25" r="2828" customHeight="1" ht="18.75">
      <c r="A2828" s="1"/>
      <c r="B2828" s="2"/>
      <c r="C2828" s="2"/>
      <c r="D2828" s="2"/>
      <c r="E2828" s="2"/>
      <c r="F2828" s="2"/>
      <c r="G2828" s="1"/>
      <c r="H2828" s="1"/>
      <c r="I2828" s="7">
        <v>2.825</v>
      </c>
      <c r="J2828" s="7">
        <f>IF((I2828-ROUNDDOWN(I2828,0))=0, 0, (I2828-ROUNDDOWN(I2828,0)))</f>
      </c>
      <c r="K2828" s="7">
        <f>INDIRECT("C$"&amp;2+MIN(2,ROUNDDOWN(I2828,0))*3)*(-$J2828^3+3*$J2828^2-3*$J2828+1)+INDIRECT("C$"&amp;3+MIN(2,ROUNDDOWN(I2828,0))*3)*(3*$J2828^3-6*$J2828^2+3*$J2828)+INDIRECT("C$"&amp;4+MIN(2,ROUNDDOWN(I2828,0))*3)*(-3*$J2828^3+3*$J2828^2)+INDIRECT("C$"&amp;5+MIN(2,ROUNDDOWN(I2828,0))*3)*$J2828^3</f>
      </c>
      <c r="L2828" s="7">
        <f>INDIRECT("D$"&amp;2+MIN(2,ROUNDDOWN(I2828,0))*3)*(-$J2828^3+3*$J2828^2-3*$J2828+1)+INDIRECT("D$"&amp;3+MIN(2,ROUNDDOWN(I2828,0))*3)*(3*$J2828^3-6*$J2828^2+3*$J2828)+INDIRECT("D$"&amp;4+MIN(2,ROUNDDOWN(I2828,0))*3)*(-3*$J2828^3+3*$J2828^2)+INDIRECT("D$"&amp;5+MIN(2,ROUNDDOWN(I2828,0))*3)*$J2828^3</f>
      </c>
      <c r="M2828" s="7">
        <f>SQRT(K2828^2+L2828^2)</f>
      </c>
      <c r="N2828" s="7">
        <f>(K2829-K2827)</f>
      </c>
      <c r="O2828" s="7">
        <f>+(L2829-L2827)</f>
      </c>
      <c r="P2828" s="7">
        <f>SQRT(O2828^2+N2828^2)</f>
      </c>
      <c r="Q2828" s="7">
        <f>N2828/$P2828</f>
      </c>
      <c r="R2828" s="7">
        <f>O2828/$P2828</f>
      </c>
      <c r="S2828" s="8">
        <f>Q2828^2+R2828^2</f>
      </c>
      <c r="T2828" s="7">
        <f>-R2828</f>
      </c>
      <c r="U2828" s="7">
        <f>Q2828</f>
      </c>
      <c r="V2828" s="7">
        <f>($C$14+($C$15-$C$14)/($D$15-$D$14)*(I2828-$D$14))/2</f>
      </c>
      <c r="W2828" s="7">
        <f>($B$22*I2828^4+$C$22*I2828^3+$D$22*I2828^2+$E$22*I2828+$F$22)/2</f>
      </c>
      <c r="X2828" s="7">
        <f>($W2828)*(T2828)</f>
      </c>
      <c r="Y2828" s="7">
        <f>($W2828)*(U2828)</f>
      </c>
      <c r="Z2828" s="7">
        <f>SQRT(X2828^2+Y2828^2)</f>
      </c>
      <c r="AA2828" s="7">
        <f>$K2828+$X2828</f>
      </c>
      <c r="AB2828" s="7">
        <f>$L2828+$Y2828</f>
      </c>
      <c r="AC2828" s="7">
        <f>$K2828-$X2828</f>
      </c>
      <c r="AD2828" s="7">
        <f>$L2828-$Y2828</f>
      </c>
      <c r="AE2828" s="7">
        <f>AA2828/39.3701</f>
      </c>
      <c r="AF2828" s="7">
        <f>AB2828/39.3701</f>
      </c>
      <c r="AG2828" s="7">
        <f>AC2828/39.3701</f>
      </c>
      <c r="AH2828" s="7">
        <f>AD2828/39.3701</f>
      </c>
      <c r="AI2828" s="1"/>
      <c r="AJ2828" s="1"/>
      <c r="AK2828" s="1"/>
      <c r="AL2828" s="1"/>
      <c r="AM2828" s="2"/>
      <c r="AN2828" s="1"/>
      <c r="AO2828" s="1"/>
      <c r="AP2828" s="1"/>
      <c r="AQ2828" s="1"/>
      <c r="AR2828" s="1"/>
      <c r="AS2828" s="1"/>
      <c r="AT2828" s="1"/>
      <c r="AU2828" s="1"/>
      <c r="AV2828" s="1"/>
      <c r="AW2828" s="1"/>
      <c r="AX2828" s="1"/>
      <c r="AY2828" s="1"/>
      <c r="AZ2828" s="1"/>
      <c r="BA2828" s="1"/>
      <c r="BB2828" s="1"/>
      <c r="BC2828" s="1"/>
      <c r="BD2828" s="1"/>
      <c r="BE2828" s="1"/>
    </row>
    <row x14ac:dyDescent="0.25" r="2829" customHeight="1" ht="18.75">
      <c r="A2829" s="1"/>
      <c r="B2829" s="2"/>
      <c r="C2829" s="2"/>
      <c r="D2829" s="2"/>
      <c r="E2829" s="2"/>
      <c r="F2829" s="2"/>
      <c r="G2829" s="1"/>
      <c r="H2829" s="1"/>
      <c r="I2829" s="7">
        <v>2.826</v>
      </c>
      <c r="J2829" s="7">
        <f>IF((I2829-ROUNDDOWN(I2829,0))=0, 0, (I2829-ROUNDDOWN(I2829,0)))</f>
      </c>
      <c r="K2829" s="7">
        <f>INDIRECT("C$"&amp;2+MIN(2,ROUNDDOWN(I2829,0))*3)*(-$J2829^3+3*$J2829^2-3*$J2829+1)+INDIRECT("C$"&amp;3+MIN(2,ROUNDDOWN(I2829,0))*3)*(3*$J2829^3-6*$J2829^2+3*$J2829)+INDIRECT("C$"&amp;4+MIN(2,ROUNDDOWN(I2829,0))*3)*(-3*$J2829^3+3*$J2829^2)+INDIRECT("C$"&amp;5+MIN(2,ROUNDDOWN(I2829,0))*3)*$J2829^3</f>
      </c>
      <c r="L2829" s="7">
        <f>INDIRECT("D$"&amp;2+MIN(2,ROUNDDOWN(I2829,0))*3)*(-$J2829^3+3*$J2829^2-3*$J2829+1)+INDIRECT("D$"&amp;3+MIN(2,ROUNDDOWN(I2829,0))*3)*(3*$J2829^3-6*$J2829^2+3*$J2829)+INDIRECT("D$"&amp;4+MIN(2,ROUNDDOWN(I2829,0))*3)*(-3*$J2829^3+3*$J2829^2)+INDIRECT("D$"&amp;5+MIN(2,ROUNDDOWN(I2829,0))*3)*$J2829^3</f>
      </c>
      <c r="M2829" s="7">
        <f>SQRT(K2829^2+L2829^2)</f>
      </c>
      <c r="N2829" s="7">
        <f>(K2830-K2828)</f>
      </c>
      <c r="O2829" s="7">
        <f>+(L2830-L2828)</f>
      </c>
      <c r="P2829" s="7">
        <f>SQRT(O2829^2+N2829^2)</f>
      </c>
      <c r="Q2829" s="7">
        <f>N2829/$P2829</f>
      </c>
      <c r="R2829" s="7">
        <f>O2829/$P2829</f>
      </c>
      <c r="S2829" s="7">
        <f>Q2829^2+R2829^2</f>
      </c>
      <c r="T2829" s="7">
        <f>-R2829</f>
      </c>
      <c r="U2829" s="7">
        <f>Q2829</f>
      </c>
      <c r="V2829" s="7">
        <f>($C$14+($C$15-$C$14)/($D$15-$D$14)*(I2829-$D$14))/2</f>
      </c>
      <c r="W2829" s="7">
        <f>($B$22*I2829^4+$C$22*I2829^3+$D$22*I2829^2+$E$22*I2829+$F$22)/2</f>
      </c>
      <c r="X2829" s="7">
        <f>($W2829)*(T2829)</f>
      </c>
      <c r="Y2829" s="7">
        <f>($W2829)*(U2829)</f>
      </c>
      <c r="Z2829" s="7">
        <f>SQRT(X2829^2+Y2829^2)</f>
      </c>
      <c r="AA2829" s="7">
        <f>$K2829+$X2829</f>
      </c>
      <c r="AB2829" s="7">
        <f>$L2829+$Y2829</f>
      </c>
      <c r="AC2829" s="7">
        <f>$K2829-$X2829</f>
      </c>
      <c r="AD2829" s="7">
        <f>$L2829-$Y2829</f>
      </c>
      <c r="AE2829" s="7">
        <f>AA2829/39.3701</f>
      </c>
      <c r="AF2829" s="7">
        <f>AB2829/39.3701</f>
      </c>
      <c r="AG2829" s="7">
        <f>AC2829/39.3701</f>
      </c>
      <c r="AH2829" s="7">
        <f>AD2829/39.3701</f>
      </c>
      <c r="AI2829" s="1"/>
      <c r="AJ2829" s="1"/>
      <c r="AK2829" s="1"/>
      <c r="AL2829" s="1"/>
      <c r="AM2829" s="2"/>
      <c r="AN2829" s="1"/>
      <c r="AO2829" s="1"/>
      <c r="AP2829" s="1"/>
      <c r="AQ2829" s="1"/>
      <c r="AR2829" s="1"/>
      <c r="AS2829" s="1"/>
      <c r="AT2829" s="1"/>
      <c r="AU2829" s="1"/>
      <c r="AV2829" s="1"/>
      <c r="AW2829" s="1"/>
      <c r="AX2829" s="1"/>
      <c r="AY2829" s="1"/>
      <c r="AZ2829" s="1"/>
      <c r="BA2829" s="1"/>
      <c r="BB2829" s="1"/>
      <c r="BC2829" s="1"/>
      <c r="BD2829" s="1"/>
      <c r="BE2829" s="1"/>
    </row>
    <row x14ac:dyDescent="0.25" r="2830" customHeight="1" ht="18.75">
      <c r="A2830" s="1"/>
      <c r="B2830" s="2"/>
      <c r="C2830" s="2"/>
      <c r="D2830" s="2"/>
      <c r="E2830" s="2"/>
      <c r="F2830" s="2"/>
      <c r="G2830" s="1"/>
      <c r="H2830" s="1"/>
      <c r="I2830" s="7">
        <v>2.827</v>
      </c>
      <c r="J2830" s="7">
        <f>IF((I2830-ROUNDDOWN(I2830,0))=0, 0, (I2830-ROUNDDOWN(I2830,0)))</f>
      </c>
      <c r="K2830" s="7">
        <f>INDIRECT("C$"&amp;2+MIN(2,ROUNDDOWN(I2830,0))*3)*(-$J2830^3+3*$J2830^2-3*$J2830+1)+INDIRECT("C$"&amp;3+MIN(2,ROUNDDOWN(I2830,0))*3)*(3*$J2830^3-6*$J2830^2+3*$J2830)+INDIRECT("C$"&amp;4+MIN(2,ROUNDDOWN(I2830,0))*3)*(-3*$J2830^3+3*$J2830^2)+INDIRECT("C$"&amp;5+MIN(2,ROUNDDOWN(I2830,0))*3)*$J2830^3</f>
      </c>
      <c r="L2830" s="7">
        <f>INDIRECT("D$"&amp;2+MIN(2,ROUNDDOWN(I2830,0))*3)*(-$J2830^3+3*$J2830^2-3*$J2830+1)+INDIRECT("D$"&amp;3+MIN(2,ROUNDDOWN(I2830,0))*3)*(3*$J2830^3-6*$J2830^2+3*$J2830)+INDIRECT("D$"&amp;4+MIN(2,ROUNDDOWN(I2830,0))*3)*(-3*$J2830^3+3*$J2830^2)+INDIRECT("D$"&amp;5+MIN(2,ROUNDDOWN(I2830,0))*3)*$J2830^3</f>
      </c>
      <c r="M2830" s="7">
        <f>SQRT(K2830^2+L2830^2)</f>
      </c>
      <c r="N2830" s="7">
        <f>(K2831-K2829)</f>
      </c>
      <c r="O2830" s="7">
        <f>+(L2831-L2829)</f>
      </c>
      <c r="P2830" s="7">
        <f>SQRT(O2830^2+N2830^2)</f>
      </c>
      <c r="Q2830" s="7">
        <f>N2830/$P2830</f>
      </c>
      <c r="R2830" s="7">
        <f>O2830/$P2830</f>
      </c>
      <c r="S2830" s="7">
        <f>Q2830^2+R2830^2</f>
      </c>
      <c r="T2830" s="7">
        <f>-R2830</f>
      </c>
      <c r="U2830" s="7">
        <f>Q2830</f>
      </c>
      <c r="V2830" s="7">
        <f>($C$14+($C$15-$C$14)/($D$15-$D$14)*(I2830-$D$14))/2</f>
      </c>
      <c r="W2830" s="7">
        <f>($B$22*I2830^4+$C$22*I2830^3+$D$22*I2830^2+$E$22*I2830+$F$22)/2</f>
      </c>
      <c r="X2830" s="7">
        <f>($W2830)*(T2830)</f>
      </c>
      <c r="Y2830" s="7">
        <f>($W2830)*(U2830)</f>
      </c>
      <c r="Z2830" s="7">
        <f>SQRT(X2830^2+Y2830^2)</f>
      </c>
      <c r="AA2830" s="7">
        <f>$K2830+$X2830</f>
      </c>
      <c r="AB2830" s="7">
        <f>$L2830+$Y2830</f>
      </c>
      <c r="AC2830" s="7">
        <f>$K2830-$X2830</f>
      </c>
      <c r="AD2830" s="7">
        <f>$L2830-$Y2830</f>
      </c>
      <c r="AE2830" s="7">
        <f>AA2830/39.3701</f>
      </c>
      <c r="AF2830" s="7">
        <f>AB2830/39.3701</f>
      </c>
      <c r="AG2830" s="7">
        <f>AC2830/39.3701</f>
      </c>
      <c r="AH2830" s="7">
        <f>AD2830/39.3701</f>
      </c>
      <c r="AI2830" s="1"/>
      <c r="AJ2830" s="1"/>
      <c r="AK2830" s="1"/>
      <c r="AL2830" s="1"/>
      <c r="AM2830" s="2"/>
      <c r="AN2830" s="1"/>
      <c r="AO2830" s="1"/>
      <c r="AP2830" s="1"/>
      <c r="AQ2830" s="1"/>
      <c r="AR2830" s="1"/>
      <c r="AS2830" s="1"/>
      <c r="AT2830" s="1"/>
      <c r="AU2830" s="1"/>
      <c r="AV2830" s="1"/>
      <c r="AW2830" s="1"/>
      <c r="AX2830" s="1"/>
      <c r="AY2830" s="1"/>
      <c r="AZ2830" s="1"/>
      <c r="BA2830" s="1"/>
      <c r="BB2830" s="1"/>
      <c r="BC2830" s="1"/>
      <c r="BD2830" s="1"/>
      <c r="BE2830" s="1"/>
    </row>
    <row x14ac:dyDescent="0.25" r="2831" customHeight="1" ht="18.75">
      <c r="A2831" s="1"/>
      <c r="B2831" s="2"/>
      <c r="C2831" s="2"/>
      <c r="D2831" s="2"/>
      <c r="E2831" s="2"/>
      <c r="F2831" s="2"/>
      <c r="G2831" s="1"/>
      <c r="H2831" s="1"/>
      <c r="I2831" s="7">
        <v>2.828</v>
      </c>
      <c r="J2831" s="7">
        <f>IF((I2831-ROUNDDOWN(I2831,0))=0, 0, (I2831-ROUNDDOWN(I2831,0)))</f>
      </c>
      <c r="K2831" s="7">
        <f>INDIRECT("C$"&amp;2+MIN(2,ROUNDDOWN(I2831,0))*3)*(-$J2831^3+3*$J2831^2-3*$J2831+1)+INDIRECT("C$"&amp;3+MIN(2,ROUNDDOWN(I2831,0))*3)*(3*$J2831^3-6*$J2831^2+3*$J2831)+INDIRECT("C$"&amp;4+MIN(2,ROUNDDOWN(I2831,0))*3)*(-3*$J2831^3+3*$J2831^2)+INDIRECT("C$"&amp;5+MIN(2,ROUNDDOWN(I2831,0))*3)*$J2831^3</f>
      </c>
      <c r="L2831" s="7">
        <f>INDIRECT("D$"&amp;2+MIN(2,ROUNDDOWN(I2831,0))*3)*(-$J2831^3+3*$J2831^2-3*$J2831+1)+INDIRECT("D$"&amp;3+MIN(2,ROUNDDOWN(I2831,0))*3)*(3*$J2831^3-6*$J2831^2+3*$J2831)+INDIRECT("D$"&amp;4+MIN(2,ROUNDDOWN(I2831,0))*3)*(-3*$J2831^3+3*$J2831^2)+INDIRECT("D$"&amp;5+MIN(2,ROUNDDOWN(I2831,0))*3)*$J2831^3</f>
      </c>
      <c r="M2831" s="7">
        <f>SQRT(K2831^2+L2831^2)</f>
      </c>
      <c r="N2831" s="7">
        <f>(K2832-K2830)</f>
      </c>
      <c r="O2831" s="7">
        <f>+(L2832-L2830)</f>
      </c>
      <c r="P2831" s="7">
        <f>SQRT(O2831^2+N2831^2)</f>
      </c>
      <c r="Q2831" s="7">
        <f>N2831/$P2831</f>
      </c>
      <c r="R2831" s="7">
        <f>O2831/$P2831</f>
      </c>
      <c r="S2831" s="8">
        <f>Q2831^2+R2831^2</f>
      </c>
      <c r="T2831" s="7">
        <f>-R2831</f>
      </c>
      <c r="U2831" s="7">
        <f>Q2831</f>
      </c>
      <c r="V2831" s="7">
        <f>($C$14+($C$15-$C$14)/($D$15-$D$14)*(I2831-$D$14))/2</f>
      </c>
      <c r="W2831" s="7">
        <f>($B$22*I2831^4+$C$22*I2831^3+$D$22*I2831^2+$E$22*I2831+$F$22)/2</f>
      </c>
      <c r="X2831" s="7">
        <f>($W2831)*(T2831)</f>
      </c>
      <c r="Y2831" s="7">
        <f>($W2831)*(U2831)</f>
      </c>
      <c r="Z2831" s="7">
        <f>SQRT(X2831^2+Y2831^2)</f>
      </c>
      <c r="AA2831" s="7">
        <f>$K2831+$X2831</f>
      </c>
      <c r="AB2831" s="7">
        <f>$L2831+$Y2831</f>
      </c>
      <c r="AC2831" s="7">
        <f>$K2831-$X2831</f>
      </c>
      <c r="AD2831" s="7">
        <f>$L2831-$Y2831</f>
      </c>
      <c r="AE2831" s="7">
        <f>AA2831/39.3701</f>
      </c>
      <c r="AF2831" s="7">
        <f>AB2831/39.3701</f>
      </c>
      <c r="AG2831" s="7">
        <f>AC2831/39.3701</f>
      </c>
      <c r="AH2831" s="7">
        <f>AD2831/39.3701</f>
      </c>
      <c r="AI2831" s="1"/>
      <c r="AJ2831" s="1"/>
      <c r="AK2831" s="1"/>
      <c r="AL2831" s="1"/>
      <c r="AM2831" s="2"/>
      <c r="AN2831" s="1"/>
      <c r="AO2831" s="1"/>
      <c r="AP2831" s="1"/>
      <c r="AQ2831" s="1"/>
      <c r="AR2831" s="1"/>
      <c r="AS2831" s="1"/>
      <c r="AT2831" s="1"/>
      <c r="AU2831" s="1"/>
      <c r="AV2831" s="1"/>
      <c r="AW2831" s="1"/>
      <c r="AX2831" s="1"/>
      <c r="AY2831" s="1"/>
      <c r="AZ2831" s="1"/>
      <c r="BA2831" s="1"/>
      <c r="BB2831" s="1"/>
      <c r="BC2831" s="1"/>
      <c r="BD2831" s="1"/>
      <c r="BE2831" s="1"/>
    </row>
    <row x14ac:dyDescent="0.25" r="2832" customHeight="1" ht="18.75">
      <c r="A2832" s="1"/>
      <c r="B2832" s="2"/>
      <c r="C2832" s="2"/>
      <c r="D2832" s="2"/>
      <c r="E2832" s="2"/>
      <c r="F2832" s="2"/>
      <c r="G2832" s="1"/>
      <c r="H2832" s="1"/>
      <c r="I2832" s="7">
        <v>2.829</v>
      </c>
      <c r="J2832" s="7">
        <f>IF((I2832-ROUNDDOWN(I2832,0))=0, 0, (I2832-ROUNDDOWN(I2832,0)))</f>
      </c>
      <c r="K2832" s="7">
        <f>INDIRECT("C$"&amp;2+MIN(2,ROUNDDOWN(I2832,0))*3)*(-$J2832^3+3*$J2832^2-3*$J2832+1)+INDIRECT("C$"&amp;3+MIN(2,ROUNDDOWN(I2832,0))*3)*(3*$J2832^3-6*$J2832^2+3*$J2832)+INDIRECT("C$"&amp;4+MIN(2,ROUNDDOWN(I2832,0))*3)*(-3*$J2832^3+3*$J2832^2)+INDIRECT("C$"&amp;5+MIN(2,ROUNDDOWN(I2832,0))*3)*$J2832^3</f>
      </c>
      <c r="L2832" s="7">
        <f>INDIRECT("D$"&amp;2+MIN(2,ROUNDDOWN(I2832,0))*3)*(-$J2832^3+3*$J2832^2-3*$J2832+1)+INDIRECT("D$"&amp;3+MIN(2,ROUNDDOWN(I2832,0))*3)*(3*$J2832^3-6*$J2832^2+3*$J2832)+INDIRECT("D$"&amp;4+MIN(2,ROUNDDOWN(I2832,0))*3)*(-3*$J2832^3+3*$J2832^2)+INDIRECT("D$"&amp;5+MIN(2,ROUNDDOWN(I2832,0))*3)*$J2832^3</f>
      </c>
      <c r="M2832" s="7">
        <f>SQRT(K2832^2+L2832^2)</f>
      </c>
      <c r="N2832" s="7">
        <f>(K2833-K2831)</f>
      </c>
      <c r="O2832" s="7">
        <f>+(L2833-L2831)</f>
      </c>
      <c r="P2832" s="7">
        <f>SQRT(O2832^2+N2832^2)</f>
      </c>
      <c r="Q2832" s="7">
        <f>N2832/$P2832</f>
      </c>
      <c r="R2832" s="7">
        <f>O2832/$P2832</f>
      </c>
      <c r="S2832" s="8">
        <f>Q2832^2+R2832^2</f>
      </c>
      <c r="T2832" s="7">
        <f>-R2832</f>
      </c>
      <c r="U2832" s="7">
        <f>Q2832</f>
      </c>
      <c r="V2832" s="7">
        <f>($C$14+($C$15-$C$14)/($D$15-$D$14)*(I2832-$D$14))/2</f>
      </c>
      <c r="W2832" s="7">
        <f>($B$22*I2832^4+$C$22*I2832^3+$D$22*I2832^2+$E$22*I2832+$F$22)/2</f>
      </c>
      <c r="X2832" s="7">
        <f>($W2832)*(T2832)</f>
      </c>
      <c r="Y2832" s="7">
        <f>($W2832)*(U2832)</f>
      </c>
      <c r="Z2832" s="7">
        <f>SQRT(X2832^2+Y2832^2)</f>
      </c>
      <c r="AA2832" s="7">
        <f>$K2832+$X2832</f>
      </c>
      <c r="AB2832" s="7">
        <f>$L2832+$Y2832</f>
      </c>
      <c r="AC2832" s="7">
        <f>$K2832-$X2832</f>
      </c>
      <c r="AD2832" s="7">
        <f>$L2832-$Y2832</f>
      </c>
      <c r="AE2832" s="7">
        <f>AA2832/39.3701</f>
      </c>
      <c r="AF2832" s="7">
        <f>AB2832/39.3701</f>
      </c>
      <c r="AG2832" s="7">
        <f>AC2832/39.3701</f>
      </c>
      <c r="AH2832" s="7">
        <f>AD2832/39.3701</f>
      </c>
      <c r="AI2832" s="1"/>
      <c r="AJ2832" s="1"/>
      <c r="AK2832" s="1"/>
      <c r="AL2832" s="1"/>
      <c r="AM2832" s="2"/>
      <c r="AN2832" s="1"/>
      <c r="AO2832" s="1"/>
      <c r="AP2832" s="1"/>
      <c r="AQ2832" s="1"/>
      <c r="AR2832" s="1"/>
      <c r="AS2832" s="1"/>
      <c r="AT2832" s="1"/>
      <c r="AU2832" s="1"/>
      <c r="AV2832" s="1"/>
      <c r="AW2832" s="1"/>
      <c r="AX2832" s="1"/>
      <c r="AY2832" s="1"/>
      <c r="AZ2832" s="1"/>
      <c r="BA2832" s="1"/>
      <c r="BB2832" s="1"/>
      <c r="BC2832" s="1"/>
      <c r="BD2832" s="1"/>
      <c r="BE2832" s="1"/>
    </row>
    <row x14ac:dyDescent="0.25" r="2833" customHeight="1" ht="18.75">
      <c r="A2833" s="1"/>
      <c r="B2833" s="2"/>
      <c r="C2833" s="2"/>
      <c r="D2833" s="2"/>
      <c r="E2833" s="2"/>
      <c r="F2833" s="2"/>
      <c r="G2833" s="1"/>
      <c r="H2833" s="1"/>
      <c r="I2833" s="7">
        <v>2.83</v>
      </c>
      <c r="J2833" s="7">
        <f>IF((I2833-ROUNDDOWN(I2833,0))=0, 0, (I2833-ROUNDDOWN(I2833,0)))</f>
      </c>
      <c r="K2833" s="7">
        <f>INDIRECT("C$"&amp;2+MIN(2,ROUNDDOWN(I2833,0))*3)*(-$J2833^3+3*$J2833^2-3*$J2833+1)+INDIRECT("C$"&amp;3+MIN(2,ROUNDDOWN(I2833,0))*3)*(3*$J2833^3-6*$J2833^2+3*$J2833)+INDIRECT("C$"&amp;4+MIN(2,ROUNDDOWN(I2833,0))*3)*(-3*$J2833^3+3*$J2833^2)+INDIRECT("C$"&amp;5+MIN(2,ROUNDDOWN(I2833,0))*3)*$J2833^3</f>
      </c>
      <c r="L2833" s="7">
        <f>INDIRECT("D$"&amp;2+MIN(2,ROUNDDOWN(I2833,0))*3)*(-$J2833^3+3*$J2833^2-3*$J2833+1)+INDIRECT("D$"&amp;3+MIN(2,ROUNDDOWN(I2833,0))*3)*(3*$J2833^3-6*$J2833^2+3*$J2833)+INDIRECT("D$"&amp;4+MIN(2,ROUNDDOWN(I2833,0))*3)*(-3*$J2833^3+3*$J2833^2)+INDIRECT("D$"&amp;5+MIN(2,ROUNDDOWN(I2833,0))*3)*$J2833^3</f>
      </c>
      <c r="M2833" s="7">
        <f>SQRT(K2833^2+L2833^2)</f>
      </c>
      <c r="N2833" s="7">
        <f>(K2834-K2832)</f>
      </c>
      <c r="O2833" s="7">
        <f>+(L2834-L2832)</f>
      </c>
      <c r="P2833" s="7">
        <f>SQRT(O2833^2+N2833^2)</f>
      </c>
      <c r="Q2833" s="7">
        <f>N2833/$P2833</f>
      </c>
      <c r="R2833" s="7">
        <f>O2833/$P2833</f>
      </c>
      <c r="S2833" s="7">
        <f>Q2833^2+R2833^2</f>
      </c>
      <c r="T2833" s="7">
        <f>-R2833</f>
      </c>
      <c r="U2833" s="7">
        <f>Q2833</f>
      </c>
      <c r="V2833" s="7">
        <f>($C$14+($C$15-$C$14)/($D$15-$D$14)*(I2833-$D$14))/2</f>
      </c>
      <c r="W2833" s="7">
        <f>($B$22*I2833^4+$C$22*I2833^3+$D$22*I2833^2+$E$22*I2833+$F$22)/2</f>
      </c>
      <c r="X2833" s="7">
        <f>($W2833)*(T2833)</f>
      </c>
      <c r="Y2833" s="7">
        <f>($W2833)*(U2833)</f>
      </c>
      <c r="Z2833" s="7">
        <f>SQRT(X2833^2+Y2833^2)</f>
      </c>
      <c r="AA2833" s="7">
        <f>$K2833+$X2833</f>
      </c>
      <c r="AB2833" s="7">
        <f>$L2833+$Y2833</f>
      </c>
      <c r="AC2833" s="7">
        <f>$K2833-$X2833</f>
      </c>
      <c r="AD2833" s="7">
        <f>$L2833-$Y2833</f>
      </c>
      <c r="AE2833" s="7">
        <f>AA2833/39.3701</f>
      </c>
      <c r="AF2833" s="7">
        <f>AB2833/39.3701</f>
      </c>
      <c r="AG2833" s="7">
        <f>AC2833/39.3701</f>
      </c>
      <c r="AH2833" s="7">
        <f>AD2833/39.3701</f>
      </c>
      <c r="AI2833" s="1"/>
      <c r="AJ2833" s="1"/>
      <c r="AK2833" s="1"/>
      <c r="AL2833" s="1"/>
      <c r="AM2833" s="2"/>
      <c r="AN2833" s="1"/>
      <c r="AO2833" s="1"/>
      <c r="AP2833" s="1"/>
      <c r="AQ2833" s="1"/>
      <c r="AR2833" s="1"/>
      <c r="AS2833" s="1"/>
      <c r="AT2833" s="1"/>
      <c r="AU2833" s="1"/>
      <c r="AV2833" s="1"/>
      <c r="AW2833" s="1"/>
      <c r="AX2833" s="1"/>
      <c r="AY2833" s="1"/>
      <c r="AZ2833" s="1"/>
      <c r="BA2833" s="1"/>
      <c r="BB2833" s="1"/>
      <c r="BC2833" s="1"/>
      <c r="BD2833" s="1"/>
      <c r="BE2833" s="1"/>
    </row>
    <row x14ac:dyDescent="0.25" r="2834" customHeight="1" ht="18.75">
      <c r="A2834" s="1"/>
      <c r="B2834" s="2"/>
      <c r="C2834" s="2"/>
      <c r="D2834" s="2"/>
      <c r="E2834" s="2"/>
      <c r="F2834" s="2"/>
      <c r="G2834" s="1"/>
      <c r="H2834" s="1"/>
      <c r="I2834" s="7">
        <v>2.831</v>
      </c>
      <c r="J2834" s="7">
        <f>IF((I2834-ROUNDDOWN(I2834,0))=0, 0, (I2834-ROUNDDOWN(I2834,0)))</f>
      </c>
      <c r="K2834" s="7">
        <f>INDIRECT("C$"&amp;2+MIN(2,ROUNDDOWN(I2834,0))*3)*(-$J2834^3+3*$J2834^2-3*$J2834+1)+INDIRECT("C$"&amp;3+MIN(2,ROUNDDOWN(I2834,0))*3)*(3*$J2834^3-6*$J2834^2+3*$J2834)+INDIRECT("C$"&amp;4+MIN(2,ROUNDDOWN(I2834,0))*3)*(-3*$J2834^3+3*$J2834^2)+INDIRECT("C$"&amp;5+MIN(2,ROUNDDOWN(I2834,0))*3)*$J2834^3</f>
      </c>
      <c r="L2834" s="7">
        <f>INDIRECT("D$"&amp;2+MIN(2,ROUNDDOWN(I2834,0))*3)*(-$J2834^3+3*$J2834^2-3*$J2834+1)+INDIRECT("D$"&amp;3+MIN(2,ROUNDDOWN(I2834,0))*3)*(3*$J2834^3-6*$J2834^2+3*$J2834)+INDIRECT("D$"&amp;4+MIN(2,ROUNDDOWN(I2834,0))*3)*(-3*$J2834^3+3*$J2834^2)+INDIRECT("D$"&amp;5+MIN(2,ROUNDDOWN(I2834,0))*3)*$J2834^3</f>
      </c>
      <c r="M2834" s="7">
        <f>SQRT(K2834^2+L2834^2)</f>
      </c>
      <c r="N2834" s="7">
        <f>(K2835-K2833)</f>
      </c>
      <c r="O2834" s="7">
        <f>+(L2835-L2833)</f>
      </c>
      <c r="P2834" s="7">
        <f>SQRT(O2834^2+N2834^2)</f>
      </c>
      <c r="Q2834" s="7">
        <f>N2834/$P2834</f>
      </c>
      <c r="R2834" s="7">
        <f>O2834/$P2834</f>
      </c>
      <c r="S2834" s="7">
        <f>Q2834^2+R2834^2</f>
      </c>
      <c r="T2834" s="7">
        <f>-R2834</f>
      </c>
      <c r="U2834" s="7">
        <f>Q2834</f>
      </c>
      <c r="V2834" s="7">
        <f>($C$14+($C$15-$C$14)/($D$15-$D$14)*(I2834-$D$14))/2</f>
      </c>
      <c r="W2834" s="7">
        <f>($B$22*I2834^4+$C$22*I2834^3+$D$22*I2834^2+$E$22*I2834+$F$22)/2</f>
      </c>
      <c r="X2834" s="7">
        <f>($W2834)*(T2834)</f>
      </c>
      <c r="Y2834" s="7">
        <f>($W2834)*(U2834)</f>
      </c>
      <c r="Z2834" s="7">
        <f>SQRT(X2834^2+Y2834^2)</f>
      </c>
      <c r="AA2834" s="7">
        <f>$K2834+$X2834</f>
      </c>
      <c r="AB2834" s="7">
        <f>$L2834+$Y2834</f>
      </c>
      <c r="AC2834" s="7">
        <f>$K2834-$X2834</f>
      </c>
      <c r="AD2834" s="7">
        <f>$L2834-$Y2834</f>
      </c>
      <c r="AE2834" s="7">
        <f>AA2834/39.3701</f>
      </c>
      <c r="AF2834" s="7">
        <f>AB2834/39.3701</f>
      </c>
      <c r="AG2834" s="7">
        <f>AC2834/39.3701</f>
      </c>
      <c r="AH2834" s="7">
        <f>AD2834/39.3701</f>
      </c>
      <c r="AI2834" s="1"/>
      <c r="AJ2834" s="1"/>
      <c r="AK2834" s="1"/>
      <c r="AL2834" s="1"/>
      <c r="AM2834" s="2"/>
      <c r="AN2834" s="1"/>
      <c r="AO2834" s="1"/>
      <c r="AP2834" s="1"/>
      <c r="AQ2834" s="1"/>
      <c r="AR2834" s="1"/>
      <c r="AS2834" s="1"/>
      <c r="AT2834" s="1"/>
      <c r="AU2834" s="1"/>
      <c r="AV2834" s="1"/>
      <c r="AW2834" s="1"/>
      <c r="AX2834" s="1"/>
      <c r="AY2834" s="1"/>
      <c r="AZ2834" s="1"/>
      <c r="BA2834" s="1"/>
      <c r="BB2834" s="1"/>
      <c r="BC2834" s="1"/>
      <c r="BD2834" s="1"/>
      <c r="BE2834" s="1"/>
    </row>
    <row x14ac:dyDescent="0.25" r="2835" customHeight="1" ht="18.75">
      <c r="A2835" s="1"/>
      <c r="B2835" s="2"/>
      <c r="C2835" s="2"/>
      <c r="D2835" s="2"/>
      <c r="E2835" s="2"/>
      <c r="F2835" s="2"/>
      <c r="G2835" s="1"/>
      <c r="H2835" s="1"/>
      <c r="I2835" s="7">
        <v>2.832</v>
      </c>
      <c r="J2835" s="7">
        <f>IF((I2835-ROUNDDOWN(I2835,0))=0, 0, (I2835-ROUNDDOWN(I2835,0)))</f>
      </c>
      <c r="K2835" s="7">
        <f>INDIRECT("C$"&amp;2+MIN(2,ROUNDDOWN(I2835,0))*3)*(-$J2835^3+3*$J2835^2-3*$J2835+1)+INDIRECT("C$"&amp;3+MIN(2,ROUNDDOWN(I2835,0))*3)*(3*$J2835^3-6*$J2835^2+3*$J2835)+INDIRECT("C$"&amp;4+MIN(2,ROUNDDOWN(I2835,0))*3)*(-3*$J2835^3+3*$J2835^2)+INDIRECT("C$"&amp;5+MIN(2,ROUNDDOWN(I2835,0))*3)*$J2835^3</f>
      </c>
      <c r="L2835" s="7">
        <f>INDIRECT("D$"&amp;2+MIN(2,ROUNDDOWN(I2835,0))*3)*(-$J2835^3+3*$J2835^2-3*$J2835+1)+INDIRECT("D$"&amp;3+MIN(2,ROUNDDOWN(I2835,0))*3)*(3*$J2835^3-6*$J2835^2+3*$J2835)+INDIRECT("D$"&amp;4+MIN(2,ROUNDDOWN(I2835,0))*3)*(-3*$J2835^3+3*$J2835^2)+INDIRECT("D$"&amp;5+MIN(2,ROUNDDOWN(I2835,0))*3)*$J2835^3</f>
      </c>
      <c r="M2835" s="7">
        <f>SQRT(K2835^2+L2835^2)</f>
      </c>
      <c r="N2835" s="7">
        <f>(K2836-K2834)</f>
      </c>
      <c r="O2835" s="7">
        <f>+(L2836-L2834)</f>
      </c>
      <c r="P2835" s="7">
        <f>SQRT(O2835^2+N2835^2)</f>
      </c>
      <c r="Q2835" s="7">
        <f>N2835/$P2835</f>
      </c>
      <c r="R2835" s="7">
        <f>O2835/$P2835</f>
      </c>
      <c r="S2835" s="8">
        <f>Q2835^2+R2835^2</f>
      </c>
      <c r="T2835" s="7">
        <f>-R2835</f>
      </c>
      <c r="U2835" s="7">
        <f>Q2835</f>
      </c>
      <c r="V2835" s="7">
        <f>($C$14+($C$15-$C$14)/($D$15-$D$14)*(I2835-$D$14))/2</f>
      </c>
      <c r="W2835" s="7">
        <f>($B$22*I2835^4+$C$22*I2835^3+$D$22*I2835^2+$E$22*I2835+$F$22)/2</f>
      </c>
      <c r="X2835" s="7">
        <f>($W2835)*(T2835)</f>
      </c>
      <c r="Y2835" s="7">
        <f>($W2835)*(U2835)</f>
      </c>
      <c r="Z2835" s="7">
        <f>SQRT(X2835^2+Y2835^2)</f>
      </c>
      <c r="AA2835" s="7">
        <f>$K2835+$X2835</f>
      </c>
      <c r="AB2835" s="7">
        <f>$L2835+$Y2835</f>
      </c>
      <c r="AC2835" s="7">
        <f>$K2835-$X2835</f>
      </c>
      <c r="AD2835" s="7">
        <f>$L2835-$Y2835</f>
      </c>
      <c r="AE2835" s="7">
        <f>AA2835/39.3701</f>
      </c>
      <c r="AF2835" s="7">
        <f>AB2835/39.3701</f>
      </c>
      <c r="AG2835" s="7">
        <f>AC2835/39.3701</f>
      </c>
      <c r="AH2835" s="7">
        <f>AD2835/39.3701</f>
      </c>
      <c r="AI2835" s="1"/>
      <c r="AJ2835" s="1"/>
      <c r="AK2835" s="1"/>
      <c r="AL2835" s="1"/>
      <c r="AM2835" s="2"/>
      <c r="AN2835" s="1"/>
      <c r="AO2835" s="1"/>
      <c r="AP2835" s="1"/>
      <c r="AQ2835" s="1"/>
      <c r="AR2835" s="1"/>
      <c r="AS2835" s="1"/>
      <c r="AT2835" s="1"/>
      <c r="AU2835" s="1"/>
      <c r="AV2835" s="1"/>
      <c r="AW2835" s="1"/>
      <c r="AX2835" s="1"/>
      <c r="AY2835" s="1"/>
      <c r="AZ2835" s="1"/>
      <c r="BA2835" s="1"/>
      <c r="BB2835" s="1"/>
      <c r="BC2835" s="1"/>
      <c r="BD2835" s="1"/>
      <c r="BE2835" s="1"/>
    </row>
    <row x14ac:dyDescent="0.25" r="2836" customHeight="1" ht="18.75">
      <c r="A2836" s="1"/>
      <c r="B2836" s="2"/>
      <c r="C2836" s="2"/>
      <c r="D2836" s="2"/>
      <c r="E2836" s="2"/>
      <c r="F2836" s="2"/>
      <c r="G2836" s="1"/>
      <c r="H2836" s="1"/>
      <c r="I2836" s="7">
        <v>2.833</v>
      </c>
      <c r="J2836" s="7">
        <f>IF((I2836-ROUNDDOWN(I2836,0))=0, 0, (I2836-ROUNDDOWN(I2836,0)))</f>
      </c>
      <c r="K2836" s="7">
        <f>INDIRECT("C$"&amp;2+MIN(2,ROUNDDOWN(I2836,0))*3)*(-$J2836^3+3*$J2836^2-3*$J2836+1)+INDIRECT("C$"&amp;3+MIN(2,ROUNDDOWN(I2836,0))*3)*(3*$J2836^3-6*$J2836^2+3*$J2836)+INDIRECT("C$"&amp;4+MIN(2,ROUNDDOWN(I2836,0))*3)*(-3*$J2836^3+3*$J2836^2)+INDIRECT("C$"&amp;5+MIN(2,ROUNDDOWN(I2836,0))*3)*$J2836^3</f>
      </c>
      <c r="L2836" s="7">
        <f>INDIRECT("D$"&amp;2+MIN(2,ROUNDDOWN(I2836,0))*3)*(-$J2836^3+3*$J2836^2-3*$J2836+1)+INDIRECT("D$"&amp;3+MIN(2,ROUNDDOWN(I2836,0))*3)*(3*$J2836^3-6*$J2836^2+3*$J2836)+INDIRECT("D$"&amp;4+MIN(2,ROUNDDOWN(I2836,0))*3)*(-3*$J2836^3+3*$J2836^2)+INDIRECT("D$"&amp;5+MIN(2,ROUNDDOWN(I2836,0))*3)*$J2836^3</f>
      </c>
      <c r="M2836" s="7">
        <f>SQRT(K2836^2+L2836^2)</f>
      </c>
      <c r="N2836" s="7">
        <f>(K2837-K2835)</f>
      </c>
      <c r="O2836" s="7">
        <f>+(L2837-L2835)</f>
      </c>
      <c r="P2836" s="7">
        <f>SQRT(O2836^2+N2836^2)</f>
      </c>
      <c r="Q2836" s="7">
        <f>N2836/$P2836</f>
      </c>
      <c r="R2836" s="7">
        <f>O2836/$P2836</f>
      </c>
      <c r="S2836" s="8">
        <f>Q2836^2+R2836^2</f>
      </c>
      <c r="T2836" s="7">
        <f>-R2836</f>
      </c>
      <c r="U2836" s="7">
        <f>Q2836</f>
      </c>
      <c r="V2836" s="7">
        <f>($C$14+($C$15-$C$14)/($D$15-$D$14)*(I2836-$D$14))/2</f>
      </c>
      <c r="W2836" s="7">
        <f>($B$22*I2836^4+$C$22*I2836^3+$D$22*I2836^2+$E$22*I2836+$F$22)/2</f>
      </c>
      <c r="X2836" s="7">
        <f>($W2836)*(T2836)</f>
      </c>
      <c r="Y2836" s="7">
        <f>($W2836)*(U2836)</f>
      </c>
      <c r="Z2836" s="7">
        <f>SQRT(X2836^2+Y2836^2)</f>
      </c>
      <c r="AA2836" s="7">
        <f>$K2836+$X2836</f>
      </c>
      <c r="AB2836" s="7">
        <f>$L2836+$Y2836</f>
      </c>
      <c r="AC2836" s="7">
        <f>$K2836-$X2836</f>
      </c>
      <c r="AD2836" s="7">
        <f>$L2836-$Y2836</f>
      </c>
      <c r="AE2836" s="7">
        <f>AA2836/39.3701</f>
      </c>
      <c r="AF2836" s="7">
        <f>AB2836/39.3701</f>
      </c>
      <c r="AG2836" s="7">
        <f>AC2836/39.3701</f>
      </c>
      <c r="AH2836" s="7">
        <f>AD2836/39.3701</f>
      </c>
      <c r="AI2836" s="1"/>
      <c r="AJ2836" s="1"/>
      <c r="AK2836" s="1"/>
      <c r="AL2836" s="1"/>
      <c r="AM2836" s="2"/>
      <c r="AN2836" s="1"/>
      <c r="AO2836" s="1"/>
      <c r="AP2836" s="1"/>
      <c r="AQ2836" s="1"/>
      <c r="AR2836" s="1"/>
      <c r="AS2836" s="1"/>
      <c r="AT2836" s="1"/>
      <c r="AU2836" s="1"/>
      <c r="AV2836" s="1"/>
      <c r="AW2836" s="1"/>
      <c r="AX2836" s="1"/>
      <c r="AY2836" s="1"/>
      <c r="AZ2836" s="1"/>
      <c r="BA2836" s="1"/>
      <c r="BB2836" s="1"/>
      <c r="BC2836" s="1"/>
      <c r="BD2836" s="1"/>
      <c r="BE2836" s="1"/>
    </row>
    <row x14ac:dyDescent="0.25" r="2837" customHeight="1" ht="18.75">
      <c r="A2837" s="1"/>
      <c r="B2837" s="2"/>
      <c r="C2837" s="2"/>
      <c r="D2837" s="2"/>
      <c r="E2837" s="2"/>
      <c r="F2837" s="2"/>
      <c r="G2837" s="1"/>
      <c r="H2837" s="1"/>
      <c r="I2837" s="7">
        <v>2.834</v>
      </c>
      <c r="J2837" s="7">
        <f>IF((I2837-ROUNDDOWN(I2837,0))=0, 0, (I2837-ROUNDDOWN(I2837,0)))</f>
      </c>
      <c r="K2837" s="7">
        <f>INDIRECT("C$"&amp;2+MIN(2,ROUNDDOWN(I2837,0))*3)*(-$J2837^3+3*$J2837^2-3*$J2837+1)+INDIRECT("C$"&amp;3+MIN(2,ROUNDDOWN(I2837,0))*3)*(3*$J2837^3-6*$J2837^2+3*$J2837)+INDIRECT("C$"&amp;4+MIN(2,ROUNDDOWN(I2837,0))*3)*(-3*$J2837^3+3*$J2837^2)+INDIRECT("C$"&amp;5+MIN(2,ROUNDDOWN(I2837,0))*3)*$J2837^3</f>
      </c>
      <c r="L2837" s="7">
        <f>INDIRECT("D$"&amp;2+MIN(2,ROUNDDOWN(I2837,0))*3)*(-$J2837^3+3*$J2837^2-3*$J2837+1)+INDIRECT("D$"&amp;3+MIN(2,ROUNDDOWN(I2837,0))*3)*(3*$J2837^3-6*$J2837^2+3*$J2837)+INDIRECT("D$"&amp;4+MIN(2,ROUNDDOWN(I2837,0))*3)*(-3*$J2837^3+3*$J2837^2)+INDIRECT("D$"&amp;5+MIN(2,ROUNDDOWN(I2837,0))*3)*$J2837^3</f>
      </c>
      <c r="M2837" s="7">
        <f>SQRT(K2837^2+L2837^2)</f>
      </c>
      <c r="N2837" s="7">
        <f>(K2838-K2836)</f>
      </c>
      <c r="O2837" s="7">
        <f>+(L2838-L2836)</f>
      </c>
      <c r="P2837" s="7">
        <f>SQRT(O2837^2+N2837^2)</f>
      </c>
      <c r="Q2837" s="7">
        <f>N2837/$P2837</f>
      </c>
      <c r="R2837" s="7">
        <f>O2837/$P2837</f>
      </c>
      <c r="S2837" s="8">
        <f>Q2837^2+R2837^2</f>
      </c>
      <c r="T2837" s="7">
        <f>-R2837</f>
      </c>
      <c r="U2837" s="7">
        <f>Q2837</f>
      </c>
      <c r="V2837" s="7">
        <f>($C$14+($C$15-$C$14)/($D$15-$D$14)*(I2837-$D$14))/2</f>
      </c>
      <c r="W2837" s="7">
        <f>($B$22*I2837^4+$C$22*I2837^3+$D$22*I2837^2+$E$22*I2837+$F$22)/2</f>
      </c>
      <c r="X2837" s="7">
        <f>($W2837)*(T2837)</f>
      </c>
      <c r="Y2837" s="7">
        <f>($W2837)*(U2837)</f>
      </c>
      <c r="Z2837" s="7">
        <f>SQRT(X2837^2+Y2837^2)</f>
      </c>
      <c r="AA2837" s="7">
        <f>$K2837+$X2837</f>
      </c>
      <c r="AB2837" s="7">
        <f>$L2837+$Y2837</f>
      </c>
      <c r="AC2837" s="7">
        <f>$K2837-$X2837</f>
      </c>
      <c r="AD2837" s="7">
        <f>$L2837-$Y2837</f>
      </c>
      <c r="AE2837" s="7">
        <f>AA2837/39.3701</f>
      </c>
      <c r="AF2837" s="7">
        <f>AB2837/39.3701</f>
      </c>
      <c r="AG2837" s="7">
        <f>AC2837/39.3701</f>
      </c>
      <c r="AH2837" s="7">
        <f>AD2837/39.3701</f>
      </c>
      <c r="AI2837" s="1"/>
      <c r="AJ2837" s="1"/>
      <c r="AK2837" s="1"/>
      <c r="AL2837" s="1"/>
      <c r="AM2837" s="2"/>
      <c r="AN2837" s="1"/>
      <c r="AO2837" s="1"/>
      <c r="AP2837" s="1"/>
      <c r="AQ2837" s="1"/>
      <c r="AR2837" s="1"/>
      <c r="AS2837" s="1"/>
      <c r="AT2837" s="1"/>
      <c r="AU2837" s="1"/>
      <c r="AV2837" s="1"/>
      <c r="AW2837" s="1"/>
      <c r="AX2837" s="1"/>
      <c r="AY2837" s="1"/>
      <c r="AZ2837" s="1"/>
      <c r="BA2837" s="1"/>
      <c r="BB2837" s="1"/>
      <c r="BC2837" s="1"/>
      <c r="BD2837" s="1"/>
      <c r="BE2837" s="1"/>
    </row>
    <row x14ac:dyDescent="0.25" r="2838" customHeight="1" ht="18.75">
      <c r="A2838" s="1"/>
      <c r="B2838" s="2"/>
      <c r="C2838" s="2"/>
      <c r="D2838" s="2"/>
      <c r="E2838" s="2"/>
      <c r="F2838" s="2"/>
      <c r="G2838" s="1"/>
      <c r="H2838" s="1"/>
      <c r="I2838" s="7">
        <v>2.835</v>
      </c>
      <c r="J2838" s="7">
        <f>IF((I2838-ROUNDDOWN(I2838,0))=0, 0, (I2838-ROUNDDOWN(I2838,0)))</f>
      </c>
      <c r="K2838" s="7">
        <f>INDIRECT("C$"&amp;2+MIN(2,ROUNDDOWN(I2838,0))*3)*(-$J2838^3+3*$J2838^2-3*$J2838+1)+INDIRECT("C$"&amp;3+MIN(2,ROUNDDOWN(I2838,0))*3)*(3*$J2838^3-6*$J2838^2+3*$J2838)+INDIRECT("C$"&amp;4+MIN(2,ROUNDDOWN(I2838,0))*3)*(-3*$J2838^3+3*$J2838^2)+INDIRECT("C$"&amp;5+MIN(2,ROUNDDOWN(I2838,0))*3)*$J2838^3</f>
      </c>
      <c r="L2838" s="7">
        <f>INDIRECT("D$"&amp;2+MIN(2,ROUNDDOWN(I2838,0))*3)*(-$J2838^3+3*$J2838^2-3*$J2838+1)+INDIRECT("D$"&amp;3+MIN(2,ROUNDDOWN(I2838,0))*3)*(3*$J2838^3-6*$J2838^2+3*$J2838)+INDIRECT("D$"&amp;4+MIN(2,ROUNDDOWN(I2838,0))*3)*(-3*$J2838^3+3*$J2838^2)+INDIRECT("D$"&amp;5+MIN(2,ROUNDDOWN(I2838,0))*3)*$J2838^3</f>
      </c>
      <c r="M2838" s="7">
        <f>SQRT(K2838^2+L2838^2)</f>
      </c>
      <c r="N2838" s="7">
        <f>(K2839-K2837)</f>
      </c>
      <c r="O2838" s="7">
        <f>+(L2839-L2837)</f>
      </c>
      <c r="P2838" s="7">
        <f>SQRT(O2838^2+N2838^2)</f>
      </c>
      <c r="Q2838" s="7">
        <f>N2838/$P2838</f>
      </c>
      <c r="R2838" s="7">
        <f>O2838/$P2838</f>
      </c>
      <c r="S2838" s="8">
        <f>Q2838^2+R2838^2</f>
      </c>
      <c r="T2838" s="7">
        <f>-R2838</f>
      </c>
      <c r="U2838" s="7">
        <f>Q2838</f>
      </c>
      <c r="V2838" s="7">
        <f>($C$14+($C$15-$C$14)/($D$15-$D$14)*(I2838-$D$14))/2</f>
      </c>
      <c r="W2838" s="7">
        <f>($B$22*I2838^4+$C$22*I2838^3+$D$22*I2838^2+$E$22*I2838+$F$22)/2</f>
      </c>
      <c r="X2838" s="7">
        <f>($W2838)*(T2838)</f>
      </c>
      <c r="Y2838" s="7">
        <f>($W2838)*(U2838)</f>
      </c>
      <c r="Z2838" s="7">
        <f>SQRT(X2838^2+Y2838^2)</f>
      </c>
      <c r="AA2838" s="7">
        <f>$K2838+$X2838</f>
      </c>
      <c r="AB2838" s="7">
        <f>$L2838+$Y2838</f>
      </c>
      <c r="AC2838" s="7">
        <f>$K2838-$X2838</f>
      </c>
      <c r="AD2838" s="7">
        <f>$L2838-$Y2838</f>
      </c>
      <c r="AE2838" s="7">
        <f>AA2838/39.3701</f>
      </c>
      <c r="AF2838" s="7">
        <f>AB2838/39.3701</f>
      </c>
      <c r="AG2838" s="7">
        <f>AC2838/39.3701</f>
      </c>
      <c r="AH2838" s="7">
        <f>AD2838/39.3701</f>
      </c>
      <c r="AI2838" s="1"/>
      <c r="AJ2838" s="1"/>
      <c r="AK2838" s="1"/>
      <c r="AL2838" s="1"/>
      <c r="AM2838" s="2"/>
      <c r="AN2838" s="1"/>
      <c r="AO2838" s="1"/>
      <c r="AP2838" s="1"/>
      <c r="AQ2838" s="1"/>
      <c r="AR2838" s="1"/>
      <c r="AS2838" s="1"/>
      <c r="AT2838" s="1"/>
      <c r="AU2838" s="1"/>
      <c r="AV2838" s="1"/>
      <c r="AW2838" s="1"/>
      <c r="AX2838" s="1"/>
      <c r="AY2838" s="1"/>
      <c r="AZ2838" s="1"/>
      <c r="BA2838" s="1"/>
      <c r="BB2838" s="1"/>
      <c r="BC2838" s="1"/>
      <c r="BD2838" s="1"/>
      <c r="BE2838" s="1"/>
    </row>
    <row x14ac:dyDescent="0.25" r="2839" customHeight="1" ht="18.75">
      <c r="A2839" s="1"/>
      <c r="B2839" s="2"/>
      <c r="C2839" s="2"/>
      <c r="D2839" s="2"/>
      <c r="E2839" s="2"/>
      <c r="F2839" s="2"/>
      <c r="G2839" s="1"/>
      <c r="H2839" s="1"/>
      <c r="I2839" s="7">
        <v>2.836</v>
      </c>
      <c r="J2839" s="7">
        <f>IF((I2839-ROUNDDOWN(I2839,0))=0, 0, (I2839-ROUNDDOWN(I2839,0)))</f>
      </c>
      <c r="K2839" s="7">
        <f>INDIRECT("C$"&amp;2+MIN(2,ROUNDDOWN(I2839,0))*3)*(-$J2839^3+3*$J2839^2-3*$J2839+1)+INDIRECT("C$"&amp;3+MIN(2,ROUNDDOWN(I2839,0))*3)*(3*$J2839^3-6*$J2839^2+3*$J2839)+INDIRECT("C$"&amp;4+MIN(2,ROUNDDOWN(I2839,0))*3)*(-3*$J2839^3+3*$J2839^2)+INDIRECT("C$"&amp;5+MIN(2,ROUNDDOWN(I2839,0))*3)*$J2839^3</f>
      </c>
      <c r="L2839" s="7">
        <f>INDIRECT("D$"&amp;2+MIN(2,ROUNDDOWN(I2839,0))*3)*(-$J2839^3+3*$J2839^2-3*$J2839+1)+INDIRECT("D$"&amp;3+MIN(2,ROUNDDOWN(I2839,0))*3)*(3*$J2839^3-6*$J2839^2+3*$J2839)+INDIRECT("D$"&amp;4+MIN(2,ROUNDDOWN(I2839,0))*3)*(-3*$J2839^3+3*$J2839^2)+INDIRECT("D$"&amp;5+MIN(2,ROUNDDOWN(I2839,0))*3)*$J2839^3</f>
      </c>
      <c r="M2839" s="7">
        <f>SQRT(K2839^2+L2839^2)</f>
      </c>
      <c r="N2839" s="7">
        <f>(K2840-K2838)</f>
      </c>
      <c r="O2839" s="7">
        <f>+(L2840-L2838)</f>
      </c>
      <c r="P2839" s="7">
        <f>SQRT(O2839^2+N2839^2)</f>
      </c>
      <c r="Q2839" s="7">
        <f>N2839/$P2839</f>
      </c>
      <c r="R2839" s="7">
        <f>O2839/$P2839</f>
      </c>
      <c r="S2839" s="8">
        <f>Q2839^2+R2839^2</f>
      </c>
      <c r="T2839" s="7">
        <f>-R2839</f>
      </c>
      <c r="U2839" s="7">
        <f>Q2839</f>
      </c>
      <c r="V2839" s="7">
        <f>($C$14+($C$15-$C$14)/($D$15-$D$14)*(I2839-$D$14))/2</f>
      </c>
      <c r="W2839" s="7">
        <f>($B$22*I2839^4+$C$22*I2839^3+$D$22*I2839^2+$E$22*I2839+$F$22)/2</f>
      </c>
      <c r="X2839" s="7">
        <f>($W2839)*(T2839)</f>
      </c>
      <c r="Y2839" s="7">
        <f>($W2839)*(U2839)</f>
      </c>
      <c r="Z2839" s="7">
        <f>SQRT(X2839^2+Y2839^2)</f>
      </c>
      <c r="AA2839" s="7">
        <f>$K2839+$X2839</f>
      </c>
      <c r="AB2839" s="7">
        <f>$L2839+$Y2839</f>
      </c>
      <c r="AC2839" s="7">
        <f>$K2839-$X2839</f>
      </c>
      <c r="AD2839" s="7">
        <f>$L2839-$Y2839</f>
      </c>
      <c r="AE2839" s="7">
        <f>AA2839/39.3701</f>
      </c>
      <c r="AF2839" s="7">
        <f>AB2839/39.3701</f>
      </c>
      <c r="AG2839" s="7">
        <f>AC2839/39.3701</f>
      </c>
      <c r="AH2839" s="7">
        <f>AD2839/39.3701</f>
      </c>
      <c r="AI2839" s="1"/>
      <c r="AJ2839" s="1"/>
      <c r="AK2839" s="1"/>
      <c r="AL2839" s="1"/>
      <c r="AM2839" s="2"/>
      <c r="AN2839" s="1"/>
      <c r="AO2839" s="1"/>
      <c r="AP2839" s="1"/>
      <c r="AQ2839" s="1"/>
      <c r="AR2839" s="1"/>
      <c r="AS2839" s="1"/>
      <c r="AT2839" s="1"/>
      <c r="AU2839" s="1"/>
      <c r="AV2839" s="1"/>
      <c r="AW2839" s="1"/>
      <c r="AX2839" s="1"/>
      <c r="AY2839" s="1"/>
      <c r="AZ2839" s="1"/>
      <c r="BA2839" s="1"/>
      <c r="BB2839" s="1"/>
      <c r="BC2839" s="1"/>
      <c r="BD2839" s="1"/>
      <c r="BE2839" s="1"/>
    </row>
    <row x14ac:dyDescent="0.25" r="2840" customHeight="1" ht="18.75">
      <c r="A2840" s="1"/>
      <c r="B2840" s="2"/>
      <c r="C2840" s="2"/>
      <c r="D2840" s="2"/>
      <c r="E2840" s="2"/>
      <c r="F2840" s="2"/>
      <c r="G2840" s="1"/>
      <c r="H2840" s="1"/>
      <c r="I2840" s="7">
        <v>2.837</v>
      </c>
      <c r="J2840" s="7">
        <f>IF((I2840-ROUNDDOWN(I2840,0))=0, 0, (I2840-ROUNDDOWN(I2840,0)))</f>
      </c>
      <c r="K2840" s="7">
        <f>INDIRECT("C$"&amp;2+MIN(2,ROUNDDOWN(I2840,0))*3)*(-$J2840^3+3*$J2840^2-3*$J2840+1)+INDIRECT("C$"&amp;3+MIN(2,ROUNDDOWN(I2840,0))*3)*(3*$J2840^3-6*$J2840^2+3*$J2840)+INDIRECT("C$"&amp;4+MIN(2,ROUNDDOWN(I2840,0))*3)*(-3*$J2840^3+3*$J2840^2)+INDIRECT("C$"&amp;5+MIN(2,ROUNDDOWN(I2840,0))*3)*$J2840^3</f>
      </c>
      <c r="L2840" s="7">
        <f>INDIRECT("D$"&amp;2+MIN(2,ROUNDDOWN(I2840,0))*3)*(-$J2840^3+3*$J2840^2-3*$J2840+1)+INDIRECT("D$"&amp;3+MIN(2,ROUNDDOWN(I2840,0))*3)*(3*$J2840^3-6*$J2840^2+3*$J2840)+INDIRECT("D$"&amp;4+MIN(2,ROUNDDOWN(I2840,0))*3)*(-3*$J2840^3+3*$J2840^2)+INDIRECT("D$"&amp;5+MIN(2,ROUNDDOWN(I2840,0))*3)*$J2840^3</f>
      </c>
      <c r="M2840" s="7">
        <f>SQRT(K2840^2+L2840^2)</f>
      </c>
      <c r="N2840" s="7">
        <f>(K2841-K2839)</f>
      </c>
      <c r="O2840" s="7">
        <f>+(L2841-L2839)</f>
      </c>
      <c r="P2840" s="7">
        <f>SQRT(O2840^2+N2840^2)</f>
      </c>
      <c r="Q2840" s="7">
        <f>N2840/$P2840</f>
      </c>
      <c r="R2840" s="7">
        <f>O2840/$P2840</f>
      </c>
      <c r="S2840" s="7">
        <f>Q2840^2+R2840^2</f>
      </c>
      <c r="T2840" s="7">
        <f>-R2840</f>
      </c>
      <c r="U2840" s="7">
        <f>Q2840</f>
      </c>
      <c r="V2840" s="7">
        <f>($C$14+($C$15-$C$14)/($D$15-$D$14)*(I2840-$D$14))/2</f>
      </c>
      <c r="W2840" s="7">
        <f>($B$22*I2840^4+$C$22*I2840^3+$D$22*I2840^2+$E$22*I2840+$F$22)/2</f>
      </c>
      <c r="X2840" s="7">
        <f>($W2840)*(T2840)</f>
      </c>
      <c r="Y2840" s="7">
        <f>($W2840)*(U2840)</f>
      </c>
      <c r="Z2840" s="7">
        <f>SQRT(X2840^2+Y2840^2)</f>
      </c>
      <c r="AA2840" s="7">
        <f>$K2840+$X2840</f>
      </c>
      <c r="AB2840" s="7">
        <f>$L2840+$Y2840</f>
      </c>
      <c r="AC2840" s="7">
        <f>$K2840-$X2840</f>
      </c>
      <c r="AD2840" s="7">
        <f>$L2840-$Y2840</f>
      </c>
      <c r="AE2840" s="7">
        <f>AA2840/39.3701</f>
      </c>
      <c r="AF2840" s="7">
        <f>AB2840/39.3701</f>
      </c>
      <c r="AG2840" s="7">
        <f>AC2840/39.3701</f>
      </c>
      <c r="AH2840" s="7">
        <f>AD2840/39.3701</f>
      </c>
      <c r="AI2840" s="1"/>
      <c r="AJ2840" s="1"/>
      <c r="AK2840" s="1"/>
      <c r="AL2840" s="1"/>
      <c r="AM2840" s="2"/>
      <c r="AN2840" s="1"/>
      <c r="AO2840" s="1"/>
      <c r="AP2840" s="1"/>
      <c r="AQ2840" s="1"/>
      <c r="AR2840" s="1"/>
      <c r="AS2840" s="1"/>
      <c r="AT2840" s="1"/>
      <c r="AU2840" s="1"/>
      <c r="AV2840" s="1"/>
      <c r="AW2840" s="1"/>
      <c r="AX2840" s="1"/>
      <c r="AY2840" s="1"/>
      <c r="AZ2840" s="1"/>
      <c r="BA2840" s="1"/>
      <c r="BB2840" s="1"/>
      <c r="BC2840" s="1"/>
      <c r="BD2840" s="1"/>
      <c r="BE2840" s="1"/>
    </row>
    <row x14ac:dyDescent="0.25" r="2841" customHeight="1" ht="18.75">
      <c r="A2841" s="1"/>
      <c r="B2841" s="2"/>
      <c r="C2841" s="2"/>
      <c r="D2841" s="2"/>
      <c r="E2841" s="2"/>
      <c r="F2841" s="2"/>
      <c r="G2841" s="1"/>
      <c r="H2841" s="1"/>
      <c r="I2841" s="7">
        <v>2.838</v>
      </c>
      <c r="J2841" s="7">
        <f>IF((I2841-ROUNDDOWN(I2841,0))=0, 0, (I2841-ROUNDDOWN(I2841,0)))</f>
      </c>
      <c r="K2841" s="7">
        <f>INDIRECT("C$"&amp;2+MIN(2,ROUNDDOWN(I2841,0))*3)*(-$J2841^3+3*$J2841^2-3*$J2841+1)+INDIRECT("C$"&amp;3+MIN(2,ROUNDDOWN(I2841,0))*3)*(3*$J2841^3-6*$J2841^2+3*$J2841)+INDIRECT("C$"&amp;4+MIN(2,ROUNDDOWN(I2841,0))*3)*(-3*$J2841^3+3*$J2841^2)+INDIRECT("C$"&amp;5+MIN(2,ROUNDDOWN(I2841,0))*3)*$J2841^3</f>
      </c>
      <c r="L2841" s="7">
        <f>INDIRECT("D$"&amp;2+MIN(2,ROUNDDOWN(I2841,0))*3)*(-$J2841^3+3*$J2841^2-3*$J2841+1)+INDIRECT("D$"&amp;3+MIN(2,ROUNDDOWN(I2841,0))*3)*(3*$J2841^3-6*$J2841^2+3*$J2841)+INDIRECT("D$"&amp;4+MIN(2,ROUNDDOWN(I2841,0))*3)*(-3*$J2841^3+3*$J2841^2)+INDIRECT("D$"&amp;5+MIN(2,ROUNDDOWN(I2841,0))*3)*$J2841^3</f>
      </c>
      <c r="M2841" s="7">
        <f>SQRT(K2841^2+L2841^2)</f>
      </c>
      <c r="N2841" s="7">
        <f>(K2842-K2840)</f>
      </c>
      <c r="O2841" s="7">
        <f>+(L2842-L2840)</f>
      </c>
      <c r="P2841" s="7">
        <f>SQRT(O2841^2+N2841^2)</f>
      </c>
      <c r="Q2841" s="7">
        <f>N2841/$P2841</f>
      </c>
      <c r="R2841" s="7">
        <f>O2841/$P2841</f>
      </c>
      <c r="S2841" s="8">
        <f>Q2841^2+R2841^2</f>
      </c>
      <c r="T2841" s="7">
        <f>-R2841</f>
      </c>
      <c r="U2841" s="7">
        <f>Q2841</f>
      </c>
      <c r="V2841" s="7">
        <f>($C$14+($C$15-$C$14)/($D$15-$D$14)*(I2841-$D$14))/2</f>
      </c>
      <c r="W2841" s="7">
        <f>($B$22*I2841^4+$C$22*I2841^3+$D$22*I2841^2+$E$22*I2841+$F$22)/2</f>
      </c>
      <c r="X2841" s="7">
        <f>($W2841)*(T2841)</f>
      </c>
      <c r="Y2841" s="7">
        <f>($W2841)*(U2841)</f>
      </c>
      <c r="Z2841" s="7">
        <f>SQRT(X2841^2+Y2841^2)</f>
      </c>
      <c r="AA2841" s="7">
        <f>$K2841+$X2841</f>
      </c>
      <c r="AB2841" s="7">
        <f>$L2841+$Y2841</f>
      </c>
      <c r="AC2841" s="7">
        <f>$K2841-$X2841</f>
      </c>
      <c r="AD2841" s="7">
        <f>$L2841-$Y2841</f>
      </c>
      <c r="AE2841" s="7">
        <f>AA2841/39.3701</f>
      </c>
      <c r="AF2841" s="7">
        <f>AB2841/39.3701</f>
      </c>
      <c r="AG2841" s="7">
        <f>AC2841/39.3701</f>
      </c>
      <c r="AH2841" s="7">
        <f>AD2841/39.3701</f>
      </c>
      <c r="AI2841" s="1"/>
      <c r="AJ2841" s="1"/>
      <c r="AK2841" s="1"/>
      <c r="AL2841" s="1"/>
      <c r="AM2841" s="2"/>
      <c r="AN2841" s="1"/>
      <c r="AO2841" s="1"/>
      <c r="AP2841" s="1"/>
      <c r="AQ2841" s="1"/>
      <c r="AR2841" s="1"/>
      <c r="AS2841" s="1"/>
      <c r="AT2841" s="1"/>
      <c r="AU2841" s="1"/>
      <c r="AV2841" s="1"/>
      <c r="AW2841" s="1"/>
      <c r="AX2841" s="1"/>
      <c r="AY2841" s="1"/>
      <c r="AZ2841" s="1"/>
      <c r="BA2841" s="1"/>
      <c r="BB2841" s="1"/>
      <c r="BC2841" s="1"/>
      <c r="BD2841" s="1"/>
      <c r="BE2841" s="1"/>
    </row>
    <row x14ac:dyDescent="0.25" r="2842" customHeight="1" ht="18.75">
      <c r="A2842" s="1"/>
      <c r="B2842" s="2"/>
      <c r="C2842" s="2"/>
      <c r="D2842" s="2"/>
      <c r="E2842" s="2"/>
      <c r="F2842" s="2"/>
      <c r="G2842" s="1"/>
      <c r="H2842" s="1"/>
      <c r="I2842" s="7">
        <v>2.839</v>
      </c>
      <c r="J2842" s="7">
        <f>IF((I2842-ROUNDDOWN(I2842,0))=0, 0, (I2842-ROUNDDOWN(I2842,0)))</f>
      </c>
      <c r="K2842" s="7">
        <f>INDIRECT("C$"&amp;2+MIN(2,ROUNDDOWN(I2842,0))*3)*(-$J2842^3+3*$J2842^2-3*$J2842+1)+INDIRECT("C$"&amp;3+MIN(2,ROUNDDOWN(I2842,0))*3)*(3*$J2842^3-6*$J2842^2+3*$J2842)+INDIRECT("C$"&amp;4+MIN(2,ROUNDDOWN(I2842,0))*3)*(-3*$J2842^3+3*$J2842^2)+INDIRECT("C$"&amp;5+MIN(2,ROUNDDOWN(I2842,0))*3)*$J2842^3</f>
      </c>
      <c r="L2842" s="7">
        <f>INDIRECT("D$"&amp;2+MIN(2,ROUNDDOWN(I2842,0))*3)*(-$J2842^3+3*$J2842^2-3*$J2842+1)+INDIRECT("D$"&amp;3+MIN(2,ROUNDDOWN(I2842,0))*3)*(3*$J2842^3-6*$J2842^2+3*$J2842)+INDIRECT("D$"&amp;4+MIN(2,ROUNDDOWN(I2842,0))*3)*(-3*$J2842^3+3*$J2842^2)+INDIRECT("D$"&amp;5+MIN(2,ROUNDDOWN(I2842,0))*3)*$J2842^3</f>
      </c>
      <c r="M2842" s="7">
        <f>SQRT(K2842^2+L2842^2)</f>
      </c>
      <c r="N2842" s="7">
        <f>(K2843-K2841)</f>
      </c>
      <c r="O2842" s="7">
        <f>+(L2843-L2841)</f>
      </c>
      <c r="P2842" s="7">
        <f>SQRT(O2842^2+N2842^2)</f>
      </c>
      <c r="Q2842" s="7">
        <f>N2842/$P2842</f>
      </c>
      <c r="R2842" s="7">
        <f>O2842/$P2842</f>
      </c>
      <c r="S2842" s="8">
        <f>Q2842^2+R2842^2</f>
      </c>
      <c r="T2842" s="7">
        <f>-R2842</f>
      </c>
      <c r="U2842" s="7">
        <f>Q2842</f>
      </c>
      <c r="V2842" s="7">
        <f>($C$14+($C$15-$C$14)/($D$15-$D$14)*(I2842-$D$14))/2</f>
      </c>
      <c r="W2842" s="7">
        <f>($B$22*I2842^4+$C$22*I2842^3+$D$22*I2842^2+$E$22*I2842+$F$22)/2</f>
      </c>
      <c r="X2842" s="7">
        <f>($W2842)*(T2842)</f>
      </c>
      <c r="Y2842" s="7">
        <f>($W2842)*(U2842)</f>
      </c>
      <c r="Z2842" s="7">
        <f>SQRT(X2842^2+Y2842^2)</f>
      </c>
      <c r="AA2842" s="7">
        <f>$K2842+$X2842</f>
      </c>
      <c r="AB2842" s="7">
        <f>$L2842+$Y2842</f>
      </c>
      <c r="AC2842" s="7">
        <f>$K2842-$X2842</f>
      </c>
      <c r="AD2842" s="7">
        <f>$L2842-$Y2842</f>
      </c>
      <c r="AE2842" s="7">
        <f>AA2842/39.3701</f>
      </c>
      <c r="AF2842" s="7">
        <f>AB2842/39.3701</f>
      </c>
      <c r="AG2842" s="7">
        <f>AC2842/39.3701</f>
      </c>
      <c r="AH2842" s="7">
        <f>AD2842/39.3701</f>
      </c>
      <c r="AI2842" s="1"/>
      <c r="AJ2842" s="1"/>
      <c r="AK2842" s="1"/>
      <c r="AL2842" s="1"/>
      <c r="AM2842" s="2"/>
      <c r="AN2842" s="1"/>
      <c r="AO2842" s="1"/>
      <c r="AP2842" s="1"/>
      <c r="AQ2842" s="1"/>
      <c r="AR2842" s="1"/>
      <c r="AS2842" s="1"/>
      <c r="AT2842" s="1"/>
      <c r="AU2842" s="1"/>
      <c r="AV2842" s="1"/>
      <c r="AW2842" s="1"/>
      <c r="AX2842" s="1"/>
      <c r="AY2842" s="1"/>
      <c r="AZ2842" s="1"/>
      <c r="BA2842" s="1"/>
      <c r="BB2842" s="1"/>
      <c r="BC2842" s="1"/>
      <c r="BD2842" s="1"/>
      <c r="BE2842" s="1"/>
    </row>
    <row x14ac:dyDescent="0.25" r="2843" customHeight="1" ht="18.75">
      <c r="A2843" s="1"/>
      <c r="B2843" s="2"/>
      <c r="C2843" s="2"/>
      <c r="D2843" s="2"/>
      <c r="E2843" s="2"/>
      <c r="F2843" s="2"/>
      <c r="G2843" s="1"/>
      <c r="H2843" s="1"/>
      <c r="I2843" s="7">
        <v>2.84</v>
      </c>
      <c r="J2843" s="7">
        <f>IF((I2843-ROUNDDOWN(I2843,0))=0, 0, (I2843-ROUNDDOWN(I2843,0)))</f>
      </c>
      <c r="K2843" s="7">
        <f>INDIRECT("C$"&amp;2+MIN(2,ROUNDDOWN(I2843,0))*3)*(-$J2843^3+3*$J2843^2-3*$J2843+1)+INDIRECT("C$"&amp;3+MIN(2,ROUNDDOWN(I2843,0))*3)*(3*$J2843^3-6*$J2843^2+3*$J2843)+INDIRECT("C$"&amp;4+MIN(2,ROUNDDOWN(I2843,0))*3)*(-3*$J2843^3+3*$J2843^2)+INDIRECT("C$"&amp;5+MIN(2,ROUNDDOWN(I2843,0))*3)*$J2843^3</f>
      </c>
      <c r="L2843" s="7">
        <f>INDIRECT("D$"&amp;2+MIN(2,ROUNDDOWN(I2843,0))*3)*(-$J2843^3+3*$J2843^2-3*$J2843+1)+INDIRECT("D$"&amp;3+MIN(2,ROUNDDOWN(I2843,0))*3)*(3*$J2843^3-6*$J2843^2+3*$J2843)+INDIRECT("D$"&amp;4+MIN(2,ROUNDDOWN(I2843,0))*3)*(-3*$J2843^3+3*$J2843^2)+INDIRECT("D$"&amp;5+MIN(2,ROUNDDOWN(I2843,0))*3)*$J2843^3</f>
      </c>
      <c r="M2843" s="7">
        <f>SQRT(K2843^2+L2843^2)</f>
      </c>
      <c r="N2843" s="7">
        <f>(K2844-K2842)</f>
      </c>
      <c r="O2843" s="7">
        <f>+(L2844-L2842)</f>
      </c>
      <c r="P2843" s="7">
        <f>SQRT(O2843^2+N2843^2)</f>
      </c>
      <c r="Q2843" s="7">
        <f>N2843/$P2843</f>
      </c>
      <c r="R2843" s="7">
        <f>O2843/$P2843</f>
      </c>
      <c r="S2843" s="8">
        <f>Q2843^2+R2843^2</f>
      </c>
      <c r="T2843" s="7">
        <f>-R2843</f>
      </c>
      <c r="U2843" s="7">
        <f>Q2843</f>
      </c>
      <c r="V2843" s="7">
        <f>($C$14+($C$15-$C$14)/($D$15-$D$14)*(I2843-$D$14))/2</f>
      </c>
      <c r="W2843" s="7">
        <f>($B$22*I2843^4+$C$22*I2843^3+$D$22*I2843^2+$E$22*I2843+$F$22)/2</f>
      </c>
      <c r="X2843" s="7">
        <f>($W2843)*(T2843)</f>
      </c>
      <c r="Y2843" s="7">
        <f>($W2843)*(U2843)</f>
      </c>
      <c r="Z2843" s="7">
        <f>SQRT(X2843^2+Y2843^2)</f>
      </c>
      <c r="AA2843" s="7">
        <f>$K2843+$X2843</f>
      </c>
      <c r="AB2843" s="7">
        <f>$L2843+$Y2843</f>
      </c>
      <c r="AC2843" s="7">
        <f>$K2843-$X2843</f>
      </c>
      <c r="AD2843" s="7">
        <f>$L2843-$Y2843</f>
      </c>
      <c r="AE2843" s="7">
        <f>AA2843/39.3701</f>
      </c>
      <c r="AF2843" s="7">
        <f>AB2843/39.3701</f>
      </c>
      <c r="AG2843" s="7">
        <f>AC2843/39.3701</f>
      </c>
      <c r="AH2843" s="7">
        <f>AD2843/39.3701</f>
      </c>
      <c r="AI2843" s="1"/>
      <c r="AJ2843" s="1"/>
      <c r="AK2843" s="1"/>
      <c r="AL2843" s="1"/>
      <c r="AM2843" s="2"/>
      <c r="AN2843" s="1"/>
      <c r="AO2843" s="1"/>
      <c r="AP2843" s="1"/>
      <c r="AQ2843" s="1"/>
      <c r="AR2843" s="1"/>
      <c r="AS2843" s="1"/>
      <c r="AT2843" s="1"/>
      <c r="AU2843" s="1"/>
      <c r="AV2843" s="1"/>
      <c r="AW2843" s="1"/>
      <c r="AX2843" s="1"/>
      <c r="AY2843" s="1"/>
      <c r="AZ2843" s="1"/>
      <c r="BA2843" s="1"/>
      <c r="BB2843" s="1"/>
      <c r="BC2843" s="1"/>
      <c r="BD2843" s="1"/>
      <c r="BE2843" s="1"/>
    </row>
    <row x14ac:dyDescent="0.25" r="2844" customHeight="1" ht="18.75">
      <c r="A2844" s="1"/>
      <c r="B2844" s="2"/>
      <c r="C2844" s="2"/>
      <c r="D2844" s="2"/>
      <c r="E2844" s="2"/>
      <c r="F2844" s="2"/>
      <c r="G2844" s="1"/>
      <c r="H2844" s="1"/>
      <c r="I2844" s="7">
        <v>2.841</v>
      </c>
      <c r="J2844" s="7">
        <f>IF((I2844-ROUNDDOWN(I2844,0))=0, 0, (I2844-ROUNDDOWN(I2844,0)))</f>
      </c>
      <c r="K2844" s="7">
        <f>INDIRECT("C$"&amp;2+MIN(2,ROUNDDOWN(I2844,0))*3)*(-$J2844^3+3*$J2844^2-3*$J2844+1)+INDIRECT("C$"&amp;3+MIN(2,ROUNDDOWN(I2844,0))*3)*(3*$J2844^3-6*$J2844^2+3*$J2844)+INDIRECT("C$"&amp;4+MIN(2,ROUNDDOWN(I2844,0))*3)*(-3*$J2844^3+3*$J2844^2)+INDIRECT("C$"&amp;5+MIN(2,ROUNDDOWN(I2844,0))*3)*$J2844^3</f>
      </c>
      <c r="L2844" s="7">
        <f>INDIRECT("D$"&amp;2+MIN(2,ROUNDDOWN(I2844,0))*3)*(-$J2844^3+3*$J2844^2-3*$J2844+1)+INDIRECT("D$"&amp;3+MIN(2,ROUNDDOWN(I2844,0))*3)*(3*$J2844^3-6*$J2844^2+3*$J2844)+INDIRECT("D$"&amp;4+MIN(2,ROUNDDOWN(I2844,0))*3)*(-3*$J2844^3+3*$J2844^2)+INDIRECT("D$"&amp;5+MIN(2,ROUNDDOWN(I2844,0))*3)*$J2844^3</f>
      </c>
      <c r="M2844" s="7">
        <f>SQRT(K2844^2+L2844^2)</f>
      </c>
      <c r="N2844" s="7">
        <f>(K2845-K2843)</f>
      </c>
      <c r="O2844" s="7">
        <f>+(L2845-L2843)</f>
      </c>
      <c r="P2844" s="7">
        <f>SQRT(O2844^2+N2844^2)</f>
      </c>
      <c r="Q2844" s="7">
        <f>N2844/$P2844</f>
      </c>
      <c r="R2844" s="7">
        <f>O2844/$P2844</f>
      </c>
      <c r="S2844" s="8">
        <f>Q2844^2+R2844^2</f>
      </c>
      <c r="T2844" s="7">
        <f>-R2844</f>
      </c>
      <c r="U2844" s="7">
        <f>Q2844</f>
      </c>
      <c r="V2844" s="7">
        <f>($C$14+($C$15-$C$14)/($D$15-$D$14)*(I2844-$D$14))/2</f>
      </c>
      <c r="W2844" s="7">
        <f>($B$22*I2844^4+$C$22*I2844^3+$D$22*I2844^2+$E$22*I2844+$F$22)/2</f>
      </c>
      <c r="X2844" s="7">
        <f>($W2844)*(T2844)</f>
      </c>
      <c r="Y2844" s="7">
        <f>($W2844)*(U2844)</f>
      </c>
      <c r="Z2844" s="7">
        <f>SQRT(X2844^2+Y2844^2)</f>
      </c>
      <c r="AA2844" s="7">
        <f>$K2844+$X2844</f>
      </c>
      <c r="AB2844" s="7">
        <f>$L2844+$Y2844</f>
      </c>
      <c r="AC2844" s="7">
        <f>$K2844-$X2844</f>
      </c>
      <c r="AD2844" s="7">
        <f>$L2844-$Y2844</f>
      </c>
      <c r="AE2844" s="7">
        <f>AA2844/39.3701</f>
      </c>
      <c r="AF2844" s="7">
        <f>AB2844/39.3701</f>
      </c>
      <c r="AG2844" s="7">
        <f>AC2844/39.3701</f>
      </c>
      <c r="AH2844" s="7">
        <f>AD2844/39.3701</f>
      </c>
      <c r="AI2844" s="1"/>
      <c r="AJ2844" s="1"/>
      <c r="AK2844" s="1"/>
      <c r="AL2844" s="1"/>
      <c r="AM2844" s="2"/>
      <c r="AN2844" s="1"/>
      <c r="AO2844" s="1"/>
      <c r="AP2844" s="1"/>
      <c r="AQ2844" s="1"/>
      <c r="AR2844" s="1"/>
      <c r="AS2844" s="1"/>
      <c r="AT2844" s="1"/>
      <c r="AU2844" s="1"/>
      <c r="AV2844" s="1"/>
      <c r="AW2844" s="1"/>
      <c r="AX2844" s="1"/>
      <c r="AY2844" s="1"/>
      <c r="AZ2844" s="1"/>
      <c r="BA2844" s="1"/>
      <c r="BB2844" s="1"/>
      <c r="BC2844" s="1"/>
      <c r="BD2844" s="1"/>
      <c r="BE2844" s="1"/>
    </row>
    <row x14ac:dyDescent="0.25" r="2845" customHeight="1" ht="18.75">
      <c r="A2845" s="1"/>
      <c r="B2845" s="2"/>
      <c r="C2845" s="2"/>
      <c r="D2845" s="2"/>
      <c r="E2845" s="2"/>
      <c r="F2845" s="2"/>
      <c r="G2845" s="1"/>
      <c r="H2845" s="1"/>
      <c r="I2845" s="7">
        <v>2.842</v>
      </c>
      <c r="J2845" s="7">
        <f>IF((I2845-ROUNDDOWN(I2845,0))=0, 0, (I2845-ROUNDDOWN(I2845,0)))</f>
      </c>
      <c r="K2845" s="7">
        <f>INDIRECT("C$"&amp;2+MIN(2,ROUNDDOWN(I2845,0))*3)*(-$J2845^3+3*$J2845^2-3*$J2845+1)+INDIRECT("C$"&amp;3+MIN(2,ROUNDDOWN(I2845,0))*3)*(3*$J2845^3-6*$J2845^2+3*$J2845)+INDIRECT("C$"&amp;4+MIN(2,ROUNDDOWN(I2845,0))*3)*(-3*$J2845^3+3*$J2845^2)+INDIRECT("C$"&amp;5+MIN(2,ROUNDDOWN(I2845,0))*3)*$J2845^3</f>
      </c>
      <c r="L2845" s="7">
        <f>INDIRECT("D$"&amp;2+MIN(2,ROUNDDOWN(I2845,0))*3)*(-$J2845^3+3*$J2845^2-3*$J2845+1)+INDIRECT("D$"&amp;3+MIN(2,ROUNDDOWN(I2845,0))*3)*(3*$J2845^3-6*$J2845^2+3*$J2845)+INDIRECT("D$"&amp;4+MIN(2,ROUNDDOWN(I2845,0))*3)*(-3*$J2845^3+3*$J2845^2)+INDIRECT("D$"&amp;5+MIN(2,ROUNDDOWN(I2845,0))*3)*$J2845^3</f>
      </c>
      <c r="M2845" s="7">
        <f>SQRT(K2845^2+L2845^2)</f>
      </c>
      <c r="N2845" s="7">
        <f>(K2846-K2844)</f>
      </c>
      <c r="O2845" s="7">
        <f>+(L2846-L2844)</f>
      </c>
      <c r="P2845" s="7">
        <f>SQRT(O2845^2+N2845^2)</f>
      </c>
      <c r="Q2845" s="7">
        <f>N2845/$P2845</f>
      </c>
      <c r="R2845" s="7">
        <f>O2845/$P2845</f>
      </c>
      <c r="S2845" s="8">
        <f>Q2845^2+R2845^2</f>
      </c>
      <c r="T2845" s="7">
        <f>-R2845</f>
      </c>
      <c r="U2845" s="7">
        <f>Q2845</f>
      </c>
      <c r="V2845" s="7">
        <f>($C$14+($C$15-$C$14)/($D$15-$D$14)*(I2845-$D$14))/2</f>
      </c>
      <c r="W2845" s="7">
        <f>($B$22*I2845^4+$C$22*I2845^3+$D$22*I2845^2+$E$22*I2845+$F$22)/2</f>
      </c>
      <c r="X2845" s="7">
        <f>($W2845)*(T2845)</f>
      </c>
      <c r="Y2845" s="7">
        <f>($W2845)*(U2845)</f>
      </c>
      <c r="Z2845" s="7">
        <f>SQRT(X2845^2+Y2845^2)</f>
      </c>
      <c r="AA2845" s="7">
        <f>$K2845+$X2845</f>
      </c>
      <c r="AB2845" s="7">
        <f>$L2845+$Y2845</f>
      </c>
      <c r="AC2845" s="7">
        <f>$K2845-$X2845</f>
      </c>
      <c r="AD2845" s="7">
        <f>$L2845-$Y2845</f>
      </c>
      <c r="AE2845" s="7">
        <f>AA2845/39.3701</f>
      </c>
      <c r="AF2845" s="7">
        <f>AB2845/39.3701</f>
      </c>
      <c r="AG2845" s="7">
        <f>AC2845/39.3701</f>
      </c>
      <c r="AH2845" s="7">
        <f>AD2845/39.3701</f>
      </c>
      <c r="AI2845" s="1"/>
      <c r="AJ2845" s="1"/>
      <c r="AK2845" s="1"/>
      <c r="AL2845" s="1"/>
      <c r="AM2845" s="2"/>
      <c r="AN2845" s="1"/>
      <c r="AO2845" s="1"/>
      <c r="AP2845" s="1"/>
      <c r="AQ2845" s="1"/>
      <c r="AR2845" s="1"/>
      <c r="AS2845" s="1"/>
      <c r="AT2845" s="1"/>
      <c r="AU2845" s="1"/>
      <c r="AV2845" s="1"/>
      <c r="AW2845" s="1"/>
      <c r="AX2845" s="1"/>
      <c r="AY2845" s="1"/>
      <c r="AZ2845" s="1"/>
      <c r="BA2845" s="1"/>
      <c r="BB2845" s="1"/>
      <c r="BC2845" s="1"/>
      <c r="BD2845" s="1"/>
      <c r="BE2845" s="1"/>
    </row>
    <row x14ac:dyDescent="0.25" r="2846" customHeight="1" ht="18.75">
      <c r="A2846" s="1"/>
      <c r="B2846" s="2"/>
      <c r="C2846" s="2"/>
      <c r="D2846" s="2"/>
      <c r="E2846" s="2"/>
      <c r="F2846" s="2"/>
      <c r="G2846" s="1"/>
      <c r="H2846" s="1"/>
      <c r="I2846" s="7">
        <v>2.843</v>
      </c>
      <c r="J2846" s="7">
        <f>IF((I2846-ROUNDDOWN(I2846,0))=0, 0, (I2846-ROUNDDOWN(I2846,0)))</f>
      </c>
      <c r="K2846" s="7">
        <f>INDIRECT("C$"&amp;2+MIN(2,ROUNDDOWN(I2846,0))*3)*(-$J2846^3+3*$J2846^2-3*$J2846+1)+INDIRECT("C$"&amp;3+MIN(2,ROUNDDOWN(I2846,0))*3)*(3*$J2846^3-6*$J2846^2+3*$J2846)+INDIRECT("C$"&amp;4+MIN(2,ROUNDDOWN(I2846,0))*3)*(-3*$J2846^3+3*$J2846^2)+INDIRECT("C$"&amp;5+MIN(2,ROUNDDOWN(I2846,0))*3)*$J2846^3</f>
      </c>
      <c r="L2846" s="7">
        <f>INDIRECT("D$"&amp;2+MIN(2,ROUNDDOWN(I2846,0))*3)*(-$J2846^3+3*$J2846^2-3*$J2846+1)+INDIRECT("D$"&amp;3+MIN(2,ROUNDDOWN(I2846,0))*3)*(3*$J2846^3-6*$J2846^2+3*$J2846)+INDIRECT("D$"&amp;4+MIN(2,ROUNDDOWN(I2846,0))*3)*(-3*$J2846^3+3*$J2846^2)+INDIRECT("D$"&amp;5+MIN(2,ROUNDDOWN(I2846,0))*3)*$J2846^3</f>
      </c>
      <c r="M2846" s="7">
        <f>SQRT(K2846^2+L2846^2)</f>
      </c>
      <c r="N2846" s="7">
        <f>(K2847-K2845)</f>
      </c>
      <c r="O2846" s="7">
        <f>+(L2847-L2845)</f>
      </c>
      <c r="P2846" s="7">
        <f>SQRT(O2846^2+N2846^2)</f>
      </c>
      <c r="Q2846" s="7">
        <f>N2846/$P2846</f>
      </c>
      <c r="R2846" s="7">
        <f>O2846/$P2846</f>
      </c>
      <c r="S2846" s="8">
        <f>Q2846^2+R2846^2</f>
      </c>
      <c r="T2846" s="7">
        <f>-R2846</f>
      </c>
      <c r="U2846" s="7">
        <f>Q2846</f>
      </c>
      <c r="V2846" s="7">
        <f>($C$14+($C$15-$C$14)/($D$15-$D$14)*(I2846-$D$14))/2</f>
      </c>
      <c r="W2846" s="7">
        <f>($B$22*I2846^4+$C$22*I2846^3+$D$22*I2846^2+$E$22*I2846+$F$22)/2</f>
      </c>
      <c r="X2846" s="7">
        <f>($W2846)*(T2846)</f>
      </c>
      <c r="Y2846" s="7">
        <f>($W2846)*(U2846)</f>
      </c>
      <c r="Z2846" s="7">
        <f>SQRT(X2846^2+Y2846^2)</f>
      </c>
      <c r="AA2846" s="7">
        <f>$K2846+$X2846</f>
      </c>
      <c r="AB2846" s="7">
        <f>$L2846+$Y2846</f>
      </c>
      <c r="AC2846" s="7">
        <f>$K2846-$X2846</f>
      </c>
      <c r="AD2846" s="7">
        <f>$L2846-$Y2846</f>
      </c>
      <c r="AE2846" s="7">
        <f>AA2846/39.3701</f>
      </c>
      <c r="AF2846" s="7">
        <f>AB2846/39.3701</f>
      </c>
      <c r="AG2846" s="7">
        <f>AC2846/39.3701</f>
      </c>
      <c r="AH2846" s="7">
        <f>AD2846/39.3701</f>
      </c>
      <c r="AI2846" s="1"/>
      <c r="AJ2846" s="1"/>
      <c r="AK2846" s="1"/>
      <c r="AL2846" s="1"/>
      <c r="AM2846" s="2"/>
      <c r="AN2846" s="1"/>
      <c r="AO2846" s="1"/>
      <c r="AP2846" s="1"/>
      <c r="AQ2846" s="1"/>
      <c r="AR2846" s="1"/>
      <c r="AS2846" s="1"/>
      <c r="AT2846" s="1"/>
      <c r="AU2846" s="1"/>
      <c r="AV2846" s="1"/>
      <c r="AW2846" s="1"/>
      <c r="AX2846" s="1"/>
      <c r="AY2846" s="1"/>
      <c r="AZ2846" s="1"/>
      <c r="BA2846" s="1"/>
      <c r="BB2846" s="1"/>
      <c r="BC2846" s="1"/>
      <c r="BD2846" s="1"/>
      <c r="BE2846" s="1"/>
    </row>
    <row x14ac:dyDescent="0.25" r="2847" customHeight="1" ht="18.75">
      <c r="A2847" s="1"/>
      <c r="B2847" s="2"/>
      <c r="C2847" s="2"/>
      <c r="D2847" s="2"/>
      <c r="E2847" s="2"/>
      <c r="F2847" s="2"/>
      <c r="G2847" s="1"/>
      <c r="H2847" s="1"/>
      <c r="I2847" s="7">
        <v>2.844</v>
      </c>
      <c r="J2847" s="7">
        <f>IF((I2847-ROUNDDOWN(I2847,0))=0, 0, (I2847-ROUNDDOWN(I2847,0)))</f>
      </c>
      <c r="K2847" s="7">
        <f>INDIRECT("C$"&amp;2+MIN(2,ROUNDDOWN(I2847,0))*3)*(-$J2847^3+3*$J2847^2-3*$J2847+1)+INDIRECT("C$"&amp;3+MIN(2,ROUNDDOWN(I2847,0))*3)*(3*$J2847^3-6*$J2847^2+3*$J2847)+INDIRECT("C$"&amp;4+MIN(2,ROUNDDOWN(I2847,0))*3)*(-3*$J2847^3+3*$J2847^2)+INDIRECT("C$"&amp;5+MIN(2,ROUNDDOWN(I2847,0))*3)*$J2847^3</f>
      </c>
      <c r="L2847" s="7">
        <f>INDIRECT("D$"&amp;2+MIN(2,ROUNDDOWN(I2847,0))*3)*(-$J2847^3+3*$J2847^2-3*$J2847+1)+INDIRECT("D$"&amp;3+MIN(2,ROUNDDOWN(I2847,0))*3)*(3*$J2847^3-6*$J2847^2+3*$J2847)+INDIRECT("D$"&amp;4+MIN(2,ROUNDDOWN(I2847,0))*3)*(-3*$J2847^3+3*$J2847^2)+INDIRECT("D$"&amp;5+MIN(2,ROUNDDOWN(I2847,0))*3)*$J2847^3</f>
      </c>
      <c r="M2847" s="7">
        <f>SQRT(K2847^2+L2847^2)</f>
      </c>
      <c r="N2847" s="7">
        <f>(K2848-K2846)</f>
      </c>
      <c r="O2847" s="7">
        <f>+(L2848-L2846)</f>
      </c>
      <c r="P2847" s="7">
        <f>SQRT(O2847^2+N2847^2)</f>
      </c>
      <c r="Q2847" s="7">
        <f>N2847/$P2847</f>
      </c>
      <c r="R2847" s="7">
        <f>O2847/$P2847</f>
      </c>
      <c r="S2847" s="7">
        <f>Q2847^2+R2847^2</f>
      </c>
      <c r="T2847" s="7">
        <f>-R2847</f>
      </c>
      <c r="U2847" s="7">
        <f>Q2847</f>
      </c>
      <c r="V2847" s="7">
        <f>($C$14+($C$15-$C$14)/($D$15-$D$14)*(I2847-$D$14))/2</f>
      </c>
      <c r="W2847" s="7">
        <f>($B$22*I2847^4+$C$22*I2847^3+$D$22*I2847^2+$E$22*I2847+$F$22)/2</f>
      </c>
      <c r="X2847" s="7">
        <f>($W2847)*(T2847)</f>
      </c>
      <c r="Y2847" s="7">
        <f>($W2847)*(U2847)</f>
      </c>
      <c r="Z2847" s="7">
        <f>SQRT(X2847^2+Y2847^2)</f>
      </c>
      <c r="AA2847" s="7">
        <f>$K2847+$X2847</f>
      </c>
      <c r="AB2847" s="7">
        <f>$L2847+$Y2847</f>
      </c>
      <c r="AC2847" s="7">
        <f>$K2847-$X2847</f>
      </c>
      <c r="AD2847" s="7">
        <f>$L2847-$Y2847</f>
      </c>
      <c r="AE2847" s="7">
        <f>AA2847/39.3701</f>
      </c>
      <c r="AF2847" s="7">
        <f>AB2847/39.3701</f>
      </c>
      <c r="AG2847" s="7">
        <f>AC2847/39.3701</f>
      </c>
      <c r="AH2847" s="7">
        <f>AD2847/39.3701</f>
      </c>
      <c r="AI2847" s="1"/>
      <c r="AJ2847" s="1"/>
      <c r="AK2847" s="1"/>
      <c r="AL2847" s="1"/>
      <c r="AM2847" s="2"/>
      <c r="AN2847" s="1"/>
      <c r="AO2847" s="1"/>
      <c r="AP2847" s="1"/>
      <c r="AQ2847" s="1"/>
      <c r="AR2847" s="1"/>
      <c r="AS2847" s="1"/>
      <c r="AT2847" s="1"/>
      <c r="AU2847" s="1"/>
      <c r="AV2847" s="1"/>
      <c r="AW2847" s="1"/>
      <c r="AX2847" s="1"/>
      <c r="AY2847" s="1"/>
      <c r="AZ2847" s="1"/>
      <c r="BA2847" s="1"/>
      <c r="BB2847" s="1"/>
      <c r="BC2847" s="1"/>
      <c r="BD2847" s="1"/>
      <c r="BE2847" s="1"/>
    </row>
    <row x14ac:dyDescent="0.25" r="2848" customHeight="1" ht="18.75">
      <c r="A2848" s="1"/>
      <c r="B2848" s="2"/>
      <c r="C2848" s="2"/>
      <c r="D2848" s="2"/>
      <c r="E2848" s="2"/>
      <c r="F2848" s="2"/>
      <c r="G2848" s="1"/>
      <c r="H2848" s="1"/>
      <c r="I2848" s="7">
        <v>2.845</v>
      </c>
      <c r="J2848" s="7">
        <f>IF((I2848-ROUNDDOWN(I2848,0))=0, 0, (I2848-ROUNDDOWN(I2848,0)))</f>
      </c>
      <c r="K2848" s="7">
        <f>INDIRECT("C$"&amp;2+MIN(2,ROUNDDOWN(I2848,0))*3)*(-$J2848^3+3*$J2848^2-3*$J2848+1)+INDIRECT("C$"&amp;3+MIN(2,ROUNDDOWN(I2848,0))*3)*(3*$J2848^3-6*$J2848^2+3*$J2848)+INDIRECT("C$"&amp;4+MIN(2,ROUNDDOWN(I2848,0))*3)*(-3*$J2848^3+3*$J2848^2)+INDIRECT("C$"&amp;5+MIN(2,ROUNDDOWN(I2848,0))*3)*$J2848^3</f>
      </c>
      <c r="L2848" s="7">
        <f>INDIRECT("D$"&amp;2+MIN(2,ROUNDDOWN(I2848,0))*3)*(-$J2848^3+3*$J2848^2-3*$J2848+1)+INDIRECT("D$"&amp;3+MIN(2,ROUNDDOWN(I2848,0))*3)*(3*$J2848^3-6*$J2848^2+3*$J2848)+INDIRECT("D$"&amp;4+MIN(2,ROUNDDOWN(I2848,0))*3)*(-3*$J2848^3+3*$J2848^2)+INDIRECT("D$"&amp;5+MIN(2,ROUNDDOWN(I2848,0))*3)*$J2848^3</f>
      </c>
      <c r="M2848" s="7">
        <f>SQRT(K2848^2+L2848^2)</f>
      </c>
      <c r="N2848" s="7">
        <f>(K2849-K2847)</f>
      </c>
      <c r="O2848" s="7">
        <f>+(L2849-L2847)</f>
      </c>
      <c r="P2848" s="7">
        <f>SQRT(O2848^2+N2848^2)</f>
      </c>
      <c r="Q2848" s="7">
        <f>N2848/$P2848</f>
      </c>
      <c r="R2848" s="7">
        <f>O2848/$P2848</f>
      </c>
      <c r="S2848" s="7">
        <f>Q2848^2+R2848^2</f>
      </c>
      <c r="T2848" s="7">
        <f>-R2848</f>
      </c>
      <c r="U2848" s="7">
        <f>Q2848</f>
      </c>
      <c r="V2848" s="7">
        <f>($C$14+($C$15-$C$14)/($D$15-$D$14)*(I2848-$D$14))/2</f>
      </c>
      <c r="W2848" s="7">
        <f>($B$22*I2848^4+$C$22*I2848^3+$D$22*I2848^2+$E$22*I2848+$F$22)/2</f>
      </c>
      <c r="X2848" s="7">
        <f>($W2848)*(T2848)</f>
      </c>
      <c r="Y2848" s="7">
        <f>($W2848)*(U2848)</f>
      </c>
      <c r="Z2848" s="7">
        <f>SQRT(X2848^2+Y2848^2)</f>
      </c>
      <c r="AA2848" s="7">
        <f>$K2848+$X2848</f>
      </c>
      <c r="AB2848" s="7">
        <f>$L2848+$Y2848</f>
      </c>
      <c r="AC2848" s="7">
        <f>$K2848-$X2848</f>
      </c>
      <c r="AD2848" s="7">
        <f>$L2848-$Y2848</f>
      </c>
      <c r="AE2848" s="7">
        <f>AA2848/39.3701</f>
      </c>
      <c r="AF2848" s="7">
        <f>AB2848/39.3701</f>
      </c>
      <c r="AG2848" s="7">
        <f>AC2848/39.3701</f>
      </c>
      <c r="AH2848" s="7">
        <f>AD2848/39.3701</f>
      </c>
      <c r="AI2848" s="1"/>
      <c r="AJ2848" s="1"/>
      <c r="AK2848" s="1"/>
      <c r="AL2848" s="1"/>
      <c r="AM2848" s="2"/>
      <c r="AN2848" s="1"/>
      <c r="AO2848" s="1"/>
      <c r="AP2848" s="1"/>
      <c r="AQ2848" s="1"/>
      <c r="AR2848" s="1"/>
      <c r="AS2848" s="1"/>
      <c r="AT2848" s="1"/>
      <c r="AU2848" s="1"/>
      <c r="AV2848" s="1"/>
      <c r="AW2848" s="1"/>
      <c r="AX2848" s="1"/>
      <c r="AY2848" s="1"/>
      <c r="AZ2848" s="1"/>
      <c r="BA2848" s="1"/>
      <c r="BB2848" s="1"/>
      <c r="BC2848" s="1"/>
      <c r="BD2848" s="1"/>
      <c r="BE2848" s="1"/>
    </row>
    <row x14ac:dyDescent="0.25" r="2849" customHeight="1" ht="18.75">
      <c r="A2849" s="1"/>
      <c r="B2849" s="2"/>
      <c r="C2849" s="2"/>
      <c r="D2849" s="2"/>
      <c r="E2849" s="2"/>
      <c r="F2849" s="2"/>
      <c r="G2849" s="1"/>
      <c r="H2849" s="1"/>
      <c r="I2849" s="7">
        <v>2.846</v>
      </c>
      <c r="J2849" s="7">
        <f>IF((I2849-ROUNDDOWN(I2849,0))=0, 0, (I2849-ROUNDDOWN(I2849,0)))</f>
      </c>
      <c r="K2849" s="7">
        <f>INDIRECT("C$"&amp;2+MIN(2,ROUNDDOWN(I2849,0))*3)*(-$J2849^3+3*$J2849^2-3*$J2849+1)+INDIRECT("C$"&amp;3+MIN(2,ROUNDDOWN(I2849,0))*3)*(3*$J2849^3-6*$J2849^2+3*$J2849)+INDIRECT("C$"&amp;4+MIN(2,ROUNDDOWN(I2849,0))*3)*(-3*$J2849^3+3*$J2849^2)+INDIRECT("C$"&amp;5+MIN(2,ROUNDDOWN(I2849,0))*3)*$J2849^3</f>
      </c>
      <c r="L2849" s="7">
        <f>INDIRECT("D$"&amp;2+MIN(2,ROUNDDOWN(I2849,0))*3)*(-$J2849^3+3*$J2849^2-3*$J2849+1)+INDIRECT("D$"&amp;3+MIN(2,ROUNDDOWN(I2849,0))*3)*(3*$J2849^3-6*$J2849^2+3*$J2849)+INDIRECT("D$"&amp;4+MIN(2,ROUNDDOWN(I2849,0))*3)*(-3*$J2849^3+3*$J2849^2)+INDIRECT("D$"&amp;5+MIN(2,ROUNDDOWN(I2849,0))*3)*$J2849^3</f>
      </c>
      <c r="M2849" s="7">
        <f>SQRT(K2849^2+L2849^2)</f>
      </c>
      <c r="N2849" s="7">
        <f>(K2850-K2848)</f>
      </c>
      <c r="O2849" s="7">
        <f>+(L2850-L2848)</f>
      </c>
      <c r="P2849" s="7">
        <f>SQRT(O2849^2+N2849^2)</f>
      </c>
      <c r="Q2849" s="7">
        <f>N2849/$P2849</f>
      </c>
      <c r="R2849" s="7">
        <f>O2849/$P2849</f>
      </c>
      <c r="S2849" s="8">
        <f>Q2849^2+R2849^2</f>
      </c>
      <c r="T2849" s="7">
        <f>-R2849</f>
      </c>
      <c r="U2849" s="7">
        <f>Q2849</f>
      </c>
      <c r="V2849" s="7">
        <f>($C$14+($C$15-$C$14)/($D$15-$D$14)*(I2849-$D$14))/2</f>
      </c>
      <c r="W2849" s="7">
        <f>($B$22*I2849^4+$C$22*I2849^3+$D$22*I2849^2+$E$22*I2849+$F$22)/2</f>
      </c>
      <c r="X2849" s="7">
        <f>($W2849)*(T2849)</f>
      </c>
      <c r="Y2849" s="7">
        <f>($W2849)*(U2849)</f>
      </c>
      <c r="Z2849" s="7">
        <f>SQRT(X2849^2+Y2849^2)</f>
      </c>
      <c r="AA2849" s="7">
        <f>$K2849+$X2849</f>
      </c>
      <c r="AB2849" s="7">
        <f>$L2849+$Y2849</f>
      </c>
      <c r="AC2849" s="7">
        <f>$K2849-$X2849</f>
      </c>
      <c r="AD2849" s="7">
        <f>$L2849-$Y2849</f>
      </c>
      <c r="AE2849" s="7">
        <f>AA2849/39.3701</f>
      </c>
      <c r="AF2849" s="7">
        <f>AB2849/39.3701</f>
      </c>
      <c r="AG2849" s="7">
        <f>AC2849/39.3701</f>
      </c>
      <c r="AH2849" s="7">
        <f>AD2849/39.3701</f>
      </c>
      <c r="AI2849" s="1"/>
      <c r="AJ2849" s="1"/>
      <c r="AK2849" s="1"/>
      <c r="AL2849" s="1"/>
      <c r="AM2849" s="2"/>
      <c r="AN2849" s="1"/>
      <c r="AO2849" s="1"/>
      <c r="AP2849" s="1"/>
      <c r="AQ2849" s="1"/>
      <c r="AR2849" s="1"/>
      <c r="AS2849" s="1"/>
      <c r="AT2849" s="1"/>
      <c r="AU2849" s="1"/>
      <c r="AV2849" s="1"/>
      <c r="AW2849" s="1"/>
      <c r="AX2849" s="1"/>
      <c r="AY2849" s="1"/>
      <c r="AZ2849" s="1"/>
      <c r="BA2849" s="1"/>
      <c r="BB2849" s="1"/>
      <c r="BC2849" s="1"/>
      <c r="BD2849" s="1"/>
      <c r="BE2849" s="1"/>
    </row>
    <row x14ac:dyDescent="0.25" r="2850" customHeight="1" ht="18.75">
      <c r="A2850" s="1"/>
      <c r="B2850" s="2"/>
      <c r="C2850" s="2"/>
      <c r="D2850" s="2"/>
      <c r="E2850" s="2"/>
      <c r="F2850" s="2"/>
      <c r="G2850" s="1"/>
      <c r="H2850" s="1"/>
      <c r="I2850" s="7">
        <v>2.847</v>
      </c>
      <c r="J2850" s="7">
        <f>IF((I2850-ROUNDDOWN(I2850,0))=0, 0, (I2850-ROUNDDOWN(I2850,0)))</f>
      </c>
      <c r="K2850" s="7">
        <f>INDIRECT("C$"&amp;2+MIN(2,ROUNDDOWN(I2850,0))*3)*(-$J2850^3+3*$J2850^2-3*$J2850+1)+INDIRECT("C$"&amp;3+MIN(2,ROUNDDOWN(I2850,0))*3)*(3*$J2850^3-6*$J2850^2+3*$J2850)+INDIRECT("C$"&amp;4+MIN(2,ROUNDDOWN(I2850,0))*3)*(-3*$J2850^3+3*$J2850^2)+INDIRECT("C$"&amp;5+MIN(2,ROUNDDOWN(I2850,0))*3)*$J2850^3</f>
      </c>
      <c r="L2850" s="7">
        <f>INDIRECT("D$"&amp;2+MIN(2,ROUNDDOWN(I2850,0))*3)*(-$J2850^3+3*$J2850^2-3*$J2850+1)+INDIRECT("D$"&amp;3+MIN(2,ROUNDDOWN(I2850,0))*3)*(3*$J2850^3-6*$J2850^2+3*$J2850)+INDIRECT("D$"&amp;4+MIN(2,ROUNDDOWN(I2850,0))*3)*(-3*$J2850^3+3*$J2850^2)+INDIRECT("D$"&amp;5+MIN(2,ROUNDDOWN(I2850,0))*3)*$J2850^3</f>
      </c>
      <c r="M2850" s="7">
        <f>SQRT(K2850^2+L2850^2)</f>
      </c>
      <c r="N2850" s="7">
        <f>(K2851-K2849)</f>
      </c>
      <c r="O2850" s="7">
        <f>+(L2851-L2849)</f>
      </c>
      <c r="P2850" s="7">
        <f>SQRT(O2850^2+N2850^2)</f>
      </c>
      <c r="Q2850" s="7">
        <f>N2850/$P2850</f>
      </c>
      <c r="R2850" s="7">
        <f>O2850/$P2850</f>
      </c>
      <c r="S2850" s="7">
        <f>Q2850^2+R2850^2</f>
      </c>
      <c r="T2850" s="7">
        <f>-R2850</f>
      </c>
      <c r="U2850" s="7">
        <f>Q2850</f>
      </c>
      <c r="V2850" s="7">
        <f>($C$14+($C$15-$C$14)/($D$15-$D$14)*(I2850-$D$14))/2</f>
      </c>
      <c r="W2850" s="7">
        <f>($B$22*I2850^4+$C$22*I2850^3+$D$22*I2850^2+$E$22*I2850+$F$22)/2</f>
      </c>
      <c r="X2850" s="7">
        <f>($W2850)*(T2850)</f>
      </c>
      <c r="Y2850" s="7">
        <f>($W2850)*(U2850)</f>
      </c>
      <c r="Z2850" s="7">
        <f>SQRT(X2850^2+Y2850^2)</f>
      </c>
      <c r="AA2850" s="7">
        <f>$K2850+$X2850</f>
      </c>
      <c r="AB2850" s="7">
        <f>$L2850+$Y2850</f>
      </c>
      <c r="AC2850" s="7">
        <f>$K2850-$X2850</f>
      </c>
      <c r="AD2850" s="7">
        <f>$L2850-$Y2850</f>
      </c>
      <c r="AE2850" s="7">
        <f>AA2850/39.3701</f>
      </c>
      <c r="AF2850" s="7">
        <f>AB2850/39.3701</f>
      </c>
      <c r="AG2850" s="7">
        <f>AC2850/39.3701</f>
      </c>
      <c r="AH2850" s="7">
        <f>AD2850/39.3701</f>
      </c>
      <c r="AI2850" s="1"/>
      <c r="AJ2850" s="1"/>
      <c r="AK2850" s="1"/>
      <c r="AL2850" s="1"/>
      <c r="AM2850" s="2"/>
      <c r="AN2850" s="1"/>
      <c r="AO2850" s="1"/>
      <c r="AP2850" s="1"/>
      <c r="AQ2850" s="1"/>
      <c r="AR2850" s="1"/>
      <c r="AS2850" s="1"/>
      <c r="AT2850" s="1"/>
      <c r="AU2850" s="1"/>
      <c r="AV2850" s="1"/>
      <c r="AW2850" s="1"/>
      <c r="AX2850" s="1"/>
      <c r="AY2850" s="1"/>
      <c r="AZ2850" s="1"/>
      <c r="BA2850" s="1"/>
      <c r="BB2850" s="1"/>
      <c r="BC2850" s="1"/>
      <c r="BD2850" s="1"/>
      <c r="BE2850" s="1"/>
    </row>
    <row x14ac:dyDescent="0.25" r="2851" customHeight="1" ht="18.75">
      <c r="A2851" s="1"/>
      <c r="B2851" s="2"/>
      <c r="C2851" s="2"/>
      <c r="D2851" s="2"/>
      <c r="E2851" s="2"/>
      <c r="F2851" s="2"/>
      <c r="G2851" s="1"/>
      <c r="H2851" s="1"/>
      <c r="I2851" s="7">
        <v>2.848</v>
      </c>
      <c r="J2851" s="7">
        <f>IF((I2851-ROUNDDOWN(I2851,0))=0, 0, (I2851-ROUNDDOWN(I2851,0)))</f>
      </c>
      <c r="K2851" s="7">
        <f>INDIRECT("C$"&amp;2+MIN(2,ROUNDDOWN(I2851,0))*3)*(-$J2851^3+3*$J2851^2-3*$J2851+1)+INDIRECT("C$"&amp;3+MIN(2,ROUNDDOWN(I2851,0))*3)*(3*$J2851^3-6*$J2851^2+3*$J2851)+INDIRECT("C$"&amp;4+MIN(2,ROUNDDOWN(I2851,0))*3)*(-3*$J2851^3+3*$J2851^2)+INDIRECT("C$"&amp;5+MIN(2,ROUNDDOWN(I2851,0))*3)*$J2851^3</f>
      </c>
      <c r="L2851" s="7">
        <f>INDIRECT("D$"&amp;2+MIN(2,ROUNDDOWN(I2851,0))*3)*(-$J2851^3+3*$J2851^2-3*$J2851+1)+INDIRECT("D$"&amp;3+MIN(2,ROUNDDOWN(I2851,0))*3)*(3*$J2851^3-6*$J2851^2+3*$J2851)+INDIRECT("D$"&amp;4+MIN(2,ROUNDDOWN(I2851,0))*3)*(-3*$J2851^3+3*$J2851^2)+INDIRECT("D$"&amp;5+MIN(2,ROUNDDOWN(I2851,0))*3)*$J2851^3</f>
      </c>
      <c r="M2851" s="7">
        <f>SQRT(K2851^2+L2851^2)</f>
      </c>
      <c r="N2851" s="7">
        <f>(K2852-K2850)</f>
      </c>
      <c r="O2851" s="7">
        <f>+(L2852-L2850)</f>
      </c>
      <c r="P2851" s="7">
        <f>SQRT(O2851^2+N2851^2)</f>
      </c>
      <c r="Q2851" s="7">
        <f>N2851/$P2851</f>
      </c>
      <c r="R2851" s="7">
        <f>O2851/$P2851</f>
      </c>
      <c r="S2851" s="7">
        <f>Q2851^2+R2851^2</f>
      </c>
      <c r="T2851" s="7">
        <f>-R2851</f>
      </c>
      <c r="U2851" s="7">
        <f>Q2851</f>
      </c>
      <c r="V2851" s="7">
        <f>($C$14+($C$15-$C$14)/($D$15-$D$14)*(I2851-$D$14))/2</f>
      </c>
      <c r="W2851" s="7">
        <f>($B$22*I2851^4+$C$22*I2851^3+$D$22*I2851^2+$E$22*I2851+$F$22)/2</f>
      </c>
      <c r="X2851" s="7">
        <f>($W2851)*(T2851)</f>
      </c>
      <c r="Y2851" s="7">
        <f>($W2851)*(U2851)</f>
      </c>
      <c r="Z2851" s="7">
        <f>SQRT(X2851^2+Y2851^2)</f>
      </c>
      <c r="AA2851" s="7">
        <f>$K2851+$X2851</f>
      </c>
      <c r="AB2851" s="7">
        <f>$L2851+$Y2851</f>
      </c>
      <c r="AC2851" s="7">
        <f>$K2851-$X2851</f>
      </c>
      <c r="AD2851" s="7">
        <f>$L2851-$Y2851</f>
      </c>
      <c r="AE2851" s="7">
        <f>AA2851/39.3701</f>
      </c>
      <c r="AF2851" s="7">
        <f>AB2851/39.3701</f>
      </c>
      <c r="AG2851" s="7">
        <f>AC2851/39.3701</f>
      </c>
      <c r="AH2851" s="7">
        <f>AD2851/39.3701</f>
      </c>
      <c r="AI2851" s="1"/>
      <c r="AJ2851" s="1"/>
      <c r="AK2851" s="1"/>
      <c r="AL2851" s="1"/>
      <c r="AM2851" s="2"/>
      <c r="AN2851" s="1"/>
      <c r="AO2851" s="1"/>
      <c r="AP2851" s="1"/>
      <c r="AQ2851" s="1"/>
      <c r="AR2851" s="1"/>
      <c r="AS2851" s="1"/>
      <c r="AT2851" s="1"/>
      <c r="AU2851" s="1"/>
      <c r="AV2851" s="1"/>
      <c r="AW2851" s="1"/>
      <c r="AX2851" s="1"/>
      <c r="AY2851" s="1"/>
      <c r="AZ2851" s="1"/>
      <c r="BA2851" s="1"/>
      <c r="BB2851" s="1"/>
      <c r="BC2851" s="1"/>
      <c r="BD2851" s="1"/>
      <c r="BE2851" s="1"/>
    </row>
    <row x14ac:dyDescent="0.25" r="2852" customHeight="1" ht="18.75">
      <c r="A2852" s="1"/>
      <c r="B2852" s="2"/>
      <c r="C2852" s="2"/>
      <c r="D2852" s="2"/>
      <c r="E2852" s="2"/>
      <c r="F2852" s="2"/>
      <c r="G2852" s="1"/>
      <c r="H2852" s="1"/>
      <c r="I2852" s="7">
        <v>2.849</v>
      </c>
      <c r="J2852" s="7">
        <f>IF((I2852-ROUNDDOWN(I2852,0))=0, 0, (I2852-ROUNDDOWN(I2852,0)))</f>
      </c>
      <c r="K2852" s="7">
        <f>INDIRECT("C$"&amp;2+MIN(2,ROUNDDOWN(I2852,0))*3)*(-$J2852^3+3*$J2852^2-3*$J2852+1)+INDIRECT("C$"&amp;3+MIN(2,ROUNDDOWN(I2852,0))*3)*(3*$J2852^3-6*$J2852^2+3*$J2852)+INDIRECT("C$"&amp;4+MIN(2,ROUNDDOWN(I2852,0))*3)*(-3*$J2852^3+3*$J2852^2)+INDIRECT("C$"&amp;5+MIN(2,ROUNDDOWN(I2852,0))*3)*$J2852^3</f>
      </c>
      <c r="L2852" s="7">
        <f>INDIRECT("D$"&amp;2+MIN(2,ROUNDDOWN(I2852,0))*3)*(-$J2852^3+3*$J2852^2-3*$J2852+1)+INDIRECT("D$"&amp;3+MIN(2,ROUNDDOWN(I2852,0))*3)*(3*$J2852^3-6*$J2852^2+3*$J2852)+INDIRECT("D$"&amp;4+MIN(2,ROUNDDOWN(I2852,0))*3)*(-3*$J2852^3+3*$J2852^2)+INDIRECT("D$"&amp;5+MIN(2,ROUNDDOWN(I2852,0))*3)*$J2852^3</f>
      </c>
      <c r="M2852" s="7">
        <f>SQRT(K2852^2+L2852^2)</f>
      </c>
      <c r="N2852" s="7">
        <f>(K2853-K2851)</f>
      </c>
      <c r="O2852" s="7">
        <f>+(L2853-L2851)</f>
      </c>
      <c r="P2852" s="7">
        <f>SQRT(O2852^2+N2852^2)</f>
      </c>
      <c r="Q2852" s="7">
        <f>N2852/$P2852</f>
      </c>
      <c r="R2852" s="7">
        <f>O2852/$P2852</f>
      </c>
      <c r="S2852" s="8">
        <f>Q2852^2+R2852^2</f>
      </c>
      <c r="T2852" s="7">
        <f>-R2852</f>
      </c>
      <c r="U2852" s="7">
        <f>Q2852</f>
      </c>
      <c r="V2852" s="7">
        <f>($C$14+($C$15-$C$14)/($D$15-$D$14)*(I2852-$D$14))/2</f>
      </c>
      <c r="W2852" s="7">
        <f>($B$22*I2852^4+$C$22*I2852^3+$D$22*I2852^2+$E$22*I2852+$F$22)/2</f>
      </c>
      <c r="X2852" s="7">
        <f>($W2852)*(T2852)</f>
      </c>
      <c r="Y2852" s="7">
        <f>($W2852)*(U2852)</f>
      </c>
      <c r="Z2852" s="7">
        <f>SQRT(X2852^2+Y2852^2)</f>
      </c>
      <c r="AA2852" s="7">
        <f>$K2852+$X2852</f>
      </c>
      <c r="AB2852" s="7">
        <f>$L2852+$Y2852</f>
      </c>
      <c r="AC2852" s="7">
        <f>$K2852-$X2852</f>
      </c>
      <c r="AD2852" s="7">
        <f>$L2852-$Y2852</f>
      </c>
      <c r="AE2852" s="7">
        <f>AA2852/39.3701</f>
      </c>
      <c r="AF2852" s="7">
        <f>AB2852/39.3701</f>
      </c>
      <c r="AG2852" s="7">
        <f>AC2852/39.3701</f>
      </c>
      <c r="AH2852" s="7">
        <f>AD2852/39.3701</f>
      </c>
      <c r="AI2852" s="1"/>
      <c r="AJ2852" s="1"/>
      <c r="AK2852" s="1"/>
      <c r="AL2852" s="1"/>
      <c r="AM2852" s="2"/>
      <c r="AN2852" s="1"/>
      <c r="AO2852" s="1"/>
      <c r="AP2852" s="1"/>
      <c r="AQ2852" s="1"/>
      <c r="AR2852" s="1"/>
      <c r="AS2852" s="1"/>
      <c r="AT2852" s="1"/>
      <c r="AU2852" s="1"/>
      <c r="AV2852" s="1"/>
      <c r="AW2852" s="1"/>
      <c r="AX2852" s="1"/>
      <c r="AY2852" s="1"/>
      <c r="AZ2852" s="1"/>
      <c r="BA2852" s="1"/>
      <c r="BB2852" s="1"/>
      <c r="BC2852" s="1"/>
      <c r="BD2852" s="1"/>
      <c r="BE2852" s="1"/>
    </row>
    <row x14ac:dyDescent="0.25" r="2853" customHeight="1" ht="18.75">
      <c r="A2853" s="1"/>
      <c r="B2853" s="2"/>
      <c r="C2853" s="2"/>
      <c r="D2853" s="2"/>
      <c r="E2853" s="2"/>
      <c r="F2853" s="2"/>
      <c r="G2853" s="1"/>
      <c r="H2853" s="1"/>
      <c r="I2853" s="7">
        <v>2.85</v>
      </c>
      <c r="J2853" s="7">
        <f>IF((I2853-ROUNDDOWN(I2853,0))=0, 0, (I2853-ROUNDDOWN(I2853,0)))</f>
      </c>
      <c r="K2853" s="7">
        <f>INDIRECT("C$"&amp;2+MIN(2,ROUNDDOWN(I2853,0))*3)*(-$J2853^3+3*$J2853^2-3*$J2853+1)+INDIRECT("C$"&amp;3+MIN(2,ROUNDDOWN(I2853,0))*3)*(3*$J2853^3-6*$J2853^2+3*$J2853)+INDIRECT("C$"&amp;4+MIN(2,ROUNDDOWN(I2853,0))*3)*(-3*$J2853^3+3*$J2853^2)+INDIRECT("C$"&amp;5+MIN(2,ROUNDDOWN(I2853,0))*3)*$J2853^3</f>
      </c>
      <c r="L2853" s="7">
        <f>INDIRECT("D$"&amp;2+MIN(2,ROUNDDOWN(I2853,0))*3)*(-$J2853^3+3*$J2853^2-3*$J2853+1)+INDIRECT("D$"&amp;3+MIN(2,ROUNDDOWN(I2853,0))*3)*(3*$J2853^3-6*$J2853^2+3*$J2853)+INDIRECT("D$"&amp;4+MIN(2,ROUNDDOWN(I2853,0))*3)*(-3*$J2853^3+3*$J2853^2)+INDIRECT("D$"&amp;5+MIN(2,ROUNDDOWN(I2853,0))*3)*$J2853^3</f>
      </c>
      <c r="M2853" s="7">
        <f>SQRT(K2853^2+L2853^2)</f>
      </c>
      <c r="N2853" s="7">
        <f>(K2854-K2852)</f>
      </c>
      <c r="O2853" s="7">
        <f>+(L2854-L2852)</f>
      </c>
      <c r="P2853" s="7">
        <f>SQRT(O2853^2+N2853^2)</f>
      </c>
      <c r="Q2853" s="7">
        <f>N2853/$P2853</f>
      </c>
      <c r="R2853" s="7">
        <f>O2853/$P2853</f>
      </c>
      <c r="S2853" s="7">
        <f>Q2853^2+R2853^2</f>
      </c>
      <c r="T2853" s="7">
        <f>-R2853</f>
      </c>
      <c r="U2853" s="7">
        <f>Q2853</f>
      </c>
      <c r="V2853" s="7">
        <f>($C$14+($C$15-$C$14)/($D$15-$D$14)*(I2853-$D$14))/2</f>
      </c>
      <c r="W2853" s="7">
        <f>($B$22*I2853^4+$C$22*I2853^3+$D$22*I2853^2+$E$22*I2853+$F$22)/2</f>
      </c>
      <c r="X2853" s="7">
        <f>($W2853)*(T2853)</f>
      </c>
      <c r="Y2853" s="7">
        <f>($W2853)*(U2853)</f>
      </c>
      <c r="Z2853" s="7">
        <f>SQRT(X2853^2+Y2853^2)</f>
      </c>
      <c r="AA2853" s="7">
        <f>$K2853+$X2853</f>
      </c>
      <c r="AB2853" s="7">
        <f>$L2853+$Y2853</f>
      </c>
      <c r="AC2853" s="7">
        <f>$K2853-$X2853</f>
      </c>
      <c r="AD2853" s="7">
        <f>$L2853-$Y2853</f>
      </c>
      <c r="AE2853" s="7">
        <f>AA2853/39.3701</f>
      </c>
      <c r="AF2853" s="7">
        <f>AB2853/39.3701</f>
      </c>
      <c r="AG2853" s="7">
        <f>AC2853/39.3701</f>
      </c>
      <c r="AH2853" s="7">
        <f>AD2853/39.3701</f>
      </c>
      <c r="AI2853" s="1"/>
      <c r="AJ2853" s="1"/>
      <c r="AK2853" s="1"/>
      <c r="AL2853" s="1"/>
      <c r="AM2853" s="2"/>
      <c r="AN2853" s="1"/>
      <c r="AO2853" s="1"/>
      <c r="AP2853" s="1"/>
      <c r="AQ2853" s="1"/>
      <c r="AR2853" s="1"/>
      <c r="AS2853" s="1"/>
      <c r="AT2853" s="1"/>
      <c r="AU2853" s="1"/>
      <c r="AV2853" s="1"/>
      <c r="AW2853" s="1"/>
      <c r="AX2853" s="1"/>
      <c r="AY2853" s="1"/>
      <c r="AZ2853" s="1"/>
      <c r="BA2853" s="1"/>
      <c r="BB2853" s="1"/>
      <c r="BC2853" s="1"/>
      <c r="BD2853" s="1"/>
      <c r="BE2853" s="1"/>
    </row>
    <row x14ac:dyDescent="0.25" r="2854" customHeight="1" ht="18.75">
      <c r="A2854" s="1"/>
      <c r="B2854" s="2"/>
      <c r="C2854" s="2"/>
      <c r="D2854" s="2"/>
      <c r="E2854" s="2"/>
      <c r="F2854" s="2"/>
      <c r="G2854" s="1"/>
      <c r="H2854" s="1"/>
      <c r="I2854" s="7">
        <v>2.851</v>
      </c>
      <c r="J2854" s="7">
        <f>IF((I2854-ROUNDDOWN(I2854,0))=0, 0, (I2854-ROUNDDOWN(I2854,0)))</f>
      </c>
      <c r="K2854" s="7">
        <f>INDIRECT("C$"&amp;2+MIN(2,ROUNDDOWN(I2854,0))*3)*(-$J2854^3+3*$J2854^2-3*$J2854+1)+INDIRECT("C$"&amp;3+MIN(2,ROUNDDOWN(I2854,0))*3)*(3*$J2854^3-6*$J2854^2+3*$J2854)+INDIRECT("C$"&amp;4+MIN(2,ROUNDDOWN(I2854,0))*3)*(-3*$J2854^3+3*$J2854^2)+INDIRECT("C$"&amp;5+MIN(2,ROUNDDOWN(I2854,0))*3)*$J2854^3</f>
      </c>
      <c r="L2854" s="7">
        <f>INDIRECT("D$"&amp;2+MIN(2,ROUNDDOWN(I2854,0))*3)*(-$J2854^3+3*$J2854^2-3*$J2854+1)+INDIRECT("D$"&amp;3+MIN(2,ROUNDDOWN(I2854,0))*3)*(3*$J2854^3-6*$J2854^2+3*$J2854)+INDIRECT("D$"&amp;4+MIN(2,ROUNDDOWN(I2854,0))*3)*(-3*$J2854^3+3*$J2854^2)+INDIRECT("D$"&amp;5+MIN(2,ROUNDDOWN(I2854,0))*3)*$J2854^3</f>
      </c>
      <c r="M2854" s="7">
        <f>SQRT(K2854^2+L2854^2)</f>
      </c>
      <c r="N2854" s="7">
        <f>(K2855-K2853)</f>
      </c>
      <c r="O2854" s="7">
        <f>+(L2855-L2853)</f>
      </c>
      <c r="P2854" s="7">
        <f>SQRT(O2854^2+N2854^2)</f>
      </c>
      <c r="Q2854" s="7">
        <f>N2854/$P2854</f>
      </c>
      <c r="R2854" s="7">
        <f>O2854/$P2854</f>
      </c>
      <c r="S2854" s="7">
        <f>Q2854^2+R2854^2</f>
      </c>
      <c r="T2854" s="7">
        <f>-R2854</f>
      </c>
      <c r="U2854" s="7">
        <f>Q2854</f>
      </c>
      <c r="V2854" s="7">
        <f>($C$14+($C$15-$C$14)/($D$15-$D$14)*(I2854-$D$14))/2</f>
      </c>
      <c r="W2854" s="7">
        <f>($B$22*I2854^4+$C$22*I2854^3+$D$22*I2854^2+$E$22*I2854+$F$22)/2</f>
      </c>
      <c r="X2854" s="7">
        <f>($W2854)*(T2854)</f>
      </c>
      <c r="Y2854" s="7">
        <f>($W2854)*(U2854)</f>
      </c>
      <c r="Z2854" s="7">
        <f>SQRT(X2854^2+Y2854^2)</f>
      </c>
      <c r="AA2854" s="7">
        <f>$K2854+$X2854</f>
      </c>
      <c r="AB2854" s="7">
        <f>$L2854+$Y2854</f>
      </c>
      <c r="AC2854" s="7">
        <f>$K2854-$X2854</f>
      </c>
      <c r="AD2854" s="7">
        <f>$L2854-$Y2854</f>
      </c>
      <c r="AE2854" s="7">
        <f>AA2854/39.3701</f>
      </c>
      <c r="AF2854" s="7">
        <f>AB2854/39.3701</f>
      </c>
      <c r="AG2854" s="7">
        <f>AC2854/39.3701</f>
      </c>
      <c r="AH2854" s="7">
        <f>AD2854/39.3701</f>
      </c>
      <c r="AI2854" s="1"/>
      <c r="AJ2854" s="1"/>
      <c r="AK2854" s="1"/>
      <c r="AL2854" s="1"/>
      <c r="AM2854" s="2"/>
      <c r="AN2854" s="1"/>
      <c r="AO2854" s="1"/>
      <c r="AP2854" s="1"/>
      <c r="AQ2854" s="1"/>
      <c r="AR2854" s="1"/>
      <c r="AS2854" s="1"/>
      <c r="AT2854" s="1"/>
      <c r="AU2854" s="1"/>
      <c r="AV2854" s="1"/>
      <c r="AW2854" s="1"/>
      <c r="AX2854" s="1"/>
      <c r="AY2854" s="1"/>
      <c r="AZ2854" s="1"/>
      <c r="BA2854" s="1"/>
      <c r="BB2854" s="1"/>
      <c r="BC2854" s="1"/>
      <c r="BD2854" s="1"/>
      <c r="BE2854" s="1"/>
    </row>
    <row x14ac:dyDescent="0.25" r="2855" customHeight="1" ht="18.75">
      <c r="A2855" s="1"/>
      <c r="B2855" s="2"/>
      <c r="C2855" s="2"/>
      <c r="D2855" s="2"/>
      <c r="E2855" s="2"/>
      <c r="F2855" s="2"/>
      <c r="G2855" s="1"/>
      <c r="H2855" s="1"/>
      <c r="I2855" s="7">
        <v>2.852</v>
      </c>
      <c r="J2855" s="7">
        <f>IF((I2855-ROUNDDOWN(I2855,0))=0, 0, (I2855-ROUNDDOWN(I2855,0)))</f>
      </c>
      <c r="K2855" s="7">
        <f>INDIRECT("C$"&amp;2+MIN(2,ROUNDDOWN(I2855,0))*3)*(-$J2855^3+3*$J2855^2-3*$J2855+1)+INDIRECT("C$"&amp;3+MIN(2,ROUNDDOWN(I2855,0))*3)*(3*$J2855^3-6*$J2855^2+3*$J2855)+INDIRECT("C$"&amp;4+MIN(2,ROUNDDOWN(I2855,0))*3)*(-3*$J2855^3+3*$J2855^2)+INDIRECT("C$"&amp;5+MIN(2,ROUNDDOWN(I2855,0))*3)*$J2855^3</f>
      </c>
      <c r="L2855" s="7">
        <f>INDIRECT("D$"&amp;2+MIN(2,ROUNDDOWN(I2855,0))*3)*(-$J2855^3+3*$J2855^2-3*$J2855+1)+INDIRECT("D$"&amp;3+MIN(2,ROUNDDOWN(I2855,0))*3)*(3*$J2855^3-6*$J2855^2+3*$J2855)+INDIRECT("D$"&amp;4+MIN(2,ROUNDDOWN(I2855,0))*3)*(-3*$J2855^3+3*$J2855^2)+INDIRECT("D$"&amp;5+MIN(2,ROUNDDOWN(I2855,0))*3)*$J2855^3</f>
      </c>
      <c r="M2855" s="7">
        <f>SQRT(K2855^2+L2855^2)</f>
      </c>
      <c r="N2855" s="7">
        <f>(K2856-K2854)</f>
      </c>
      <c r="O2855" s="7">
        <f>+(L2856-L2854)</f>
      </c>
      <c r="P2855" s="7">
        <f>SQRT(O2855^2+N2855^2)</f>
      </c>
      <c r="Q2855" s="7">
        <f>N2855/$P2855</f>
      </c>
      <c r="R2855" s="7">
        <f>O2855/$P2855</f>
      </c>
      <c r="S2855" s="7">
        <f>Q2855^2+R2855^2</f>
      </c>
      <c r="T2855" s="7">
        <f>-R2855</f>
      </c>
      <c r="U2855" s="7">
        <f>Q2855</f>
      </c>
      <c r="V2855" s="7">
        <f>($C$14+($C$15-$C$14)/($D$15-$D$14)*(I2855-$D$14))/2</f>
      </c>
      <c r="W2855" s="7">
        <f>($B$22*I2855^4+$C$22*I2855^3+$D$22*I2855^2+$E$22*I2855+$F$22)/2</f>
      </c>
      <c r="X2855" s="7">
        <f>($W2855)*(T2855)</f>
      </c>
      <c r="Y2855" s="7">
        <f>($W2855)*(U2855)</f>
      </c>
      <c r="Z2855" s="7">
        <f>SQRT(X2855^2+Y2855^2)</f>
      </c>
      <c r="AA2855" s="7">
        <f>$K2855+$X2855</f>
      </c>
      <c r="AB2855" s="7">
        <f>$L2855+$Y2855</f>
      </c>
      <c r="AC2855" s="7">
        <f>$K2855-$X2855</f>
      </c>
      <c r="AD2855" s="7">
        <f>$L2855-$Y2855</f>
      </c>
      <c r="AE2855" s="7">
        <f>AA2855/39.3701</f>
      </c>
      <c r="AF2855" s="7">
        <f>AB2855/39.3701</f>
      </c>
      <c r="AG2855" s="7">
        <f>AC2855/39.3701</f>
      </c>
      <c r="AH2855" s="7">
        <f>AD2855/39.3701</f>
      </c>
      <c r="AI2855" s="1"/>
      <c r="AJ2855" s="1"/>
      <c r="AK2855" s="1"/>
      <c r="AL2855" s="1"/>
      <c r="AM2855" s="2"/>
      <c r="AN2855" s="1"/>
      <c r="AO2855" s="1"/>
      <c r="AP2855" s="1"/>
      <c r="AQ2855" s="1"/>
      <c r="AR2855" s="1"/>
      <c r="AS2855" s="1"/>
      <c r="AT2855" s="1"/>
      <c r="AU2855" s="1"/>
      <c r="AV2855" s="1"/>
      <c r="AW2855" s="1"/>
      <c r="AX2855" s="1"/>
      <c r="AY2855" s="1"/>
      <c r="AZ2855" s="1"/>
      <c r="BA2855" s="1"/>
      <c r="BB2855" s="1"/>
      <c r="BC2855" s="1"/>
      <c r="BD2855" s="1"/>
      <c r="BE2855" s="1"/>
    </row>
    <row x14ac:dyDescent="0.25" r="2856" customHeight="1" ht="18.75">
      <c r="A2856" s="1"/>
      <c r="B2856" s="2"/>
      <c r="C2856" s="2"/>
      <c r="D2856" s="2"/>
      <c r="E2856" s="2"/>
      <c r="F2856" s="2"/>
      <c r="G2856" s="1"/>
      <c r="H2856" s="1"/>
      <c r="I2856" s="7">
        <v>2.853</v>
      </c>
      <c r="J2856" s="7">
        <f>IF((I2856-ROUNDDOWN(I2856,0))=0, 0, (I2856-ROUNDDOWN(I2856,0)))</f>
      </c>
      <c r="K2856" s="7">
        <f>INDIRECT("C$"&amp;2+MIN(2,ROUNDDOWN(I2856,0))*3)*(-$J2856^3+3*$J2856^2-3*$J2856+1)+INDIRECT("C$"&amp;3+MIN(2,ROUNDDOWN(I2856,0))*3)*(3*$J2856^3-6*$J2856^2+3*$J2856)+INDIRECT("C$"&amp;4+MIN(2,ROUNDDOWN(I2856,0))*3)*(-3*$J2856^3+3*$J2856^2)+INDIRECT("C$"&amp;5+MIN(2,ROUNDDOWN(I2856,0))*3)*$J2856^3</f>
      </c>
      <c r="L2856" s="7">
        <f>INDIRECT("D$"&amp;2+MIN(2,ROUNDDOWN(I2856,0))*3)*(-$J2856^3+3*$J2856^2-3*$J2856+1)+INDIRECT("D$"&amp;3+MIN(2,ROUNDDOWN(I2856,0))*3)*(3*$J2856^3-6*$J2856^2+3*$J2856)+INDIRECT("D$"&amp;4+MIN(2,ROUNDDOWN(I2856,0))*3)*(-3*$J2856^3+3*$J2856^2)+INDIRECT("D$"&amp;5+MIN(2,ROUNDDOWN(I2856,0))*3)*$J2856^3</f>
      </c>
      <c r="M2856" s="7">
        <f>SQRT(K2856^2+L2856^2)</f>
      </c>
      <c r="N2856" s="7">
        <f>(K2857-K2855)</f>
      </c>
      <c r="O2856" s="7">
        <f>+(L2857-L2855)</f>
      </c>
      <c r="P2856" s="7">
        <f>SQRT(O2856^2+N2856^2)</f>
      </c>
      <c r="Q2856" s="7">
        <f>N2856/$P2856</f>
      </c>
      <c r="R2856" s="7">
        <f>O2856/$P2856</f>
      </c>
      <c r="S2856" s="8">
        <f>Q2856^2+R2856^2</f>
      </c>
      <c r="T2856" s="7">
        <f>-R2856</f>
      </c>
      <c r="U2856" s="7">
        <f>Q2856</f>
      </c>
      <c r="V2856" s="7">
        <f>($C$14+($C$15-$C$14)/($D$15-$D$14)*(I2856-$D$14))/2</f>
      </c>
      <c r="W2856" s="7">
        <f>($B$22*I2856^4+$C$22*I2856^3+$D$22*I2856^2+$E$22*I2856+$F$22)/2</f>
      </c>
      <c r="X2856" s="7">
        <f>($W2856)*(T2856)</f>
      </c>
      <c r="Y2856" s="7">
        <f>($W2856)*(U2856)</f>
      </c>
      <c r="Z2856" s="7">
        <f>SQRT(X2856^2+Y2856^2)</f>
      </c>
      <c r="AA2856" s="7">
        <f>$K2856+$X2856</f>
      </c>
      <c r="AB2856" s="7">
        <f>$L2856+$Y2856</f>
      </c>
      <c r="AC2856" s="7">
        <f>$K2856-$X2856</f>
      </c>
      <c r="AD2856" s="7">
        <f>$L2856-$Y2856</f>
      </c>
      <c r="AE2856" s="7">
        <f>AA2856/39.3701</f>
      </c>
      <c r="AF2856" s="7">
        <f>AB2856/39.3701</f>
      </c>
      <c r="AG2856" s="7">
        <f>AC2856/39.3701</f>
      </c>
      <c r="AH2856" s="7">
        <f>AD2856/39.3701</f>
      </c>
      <c r="AI2856" s="1"/>
      <c r="AJ2856" s="1"/>
      <c r="AK2856" s="1"/>
      <c r="AL2856" s="1"/>
      <c r="AM2856" s="2"/>
      <c r="AN2856" s="1"/>
      <c r="AO2856" s="1"/>
      <c r="AP2856" s="1"/>
      <c r="AQ2856" s="1"/>
      <c r="AR2856" s="1"/>
      <c r="AS2856" s="1"/>
      <c r="AT2856" s="1"/>
      <c r="AU2856" s="1"/>
      <c r="AV2856" s="1"/>
      <c r="AW2856" s="1"/>
      <c r="AX2856" s="1"/>
      <c r="AY2856" s="1"/>
      <c r="AZ2856" s="1"/>
      <c r="BA2856" s="1"/>
      <c r="BB2856" s="1"/>
      <c r="BC2856" s="1"/>
      <c r="BD2856" s="1"/>
      <c r="BE2856" s="1"/>
    </row>
    <row x14ac:dyDescent="0.25" r="2857" customHeight="1" ht="18.75">
      <c r="A2857" s="1"/>
      <c r="B2857" s="2"/>
      <c r="C2857" s="2"/>
      <c r="D2857" s="2"/>
      <c r="E2857" s="2"/>
      <c r="F2857" s="2"/>
      <c r="G2857" s="1"/>
      <c r="H2857" s="1"/>
      <c r="I2857" s="7">
        <v>2.854</v>
      </c>
      <c r="J2857" s="7">
        <f>IF((I2857-ROUNDDOWN(I2857,0))=0, 0, (I2857-ROUNDDOWN(I2857,0)))</f>
      </c>
      <c r="K2857" s="7">
        <f>INDIRECT("C$"&amp;2+MIN(2,ROUNDDOWN(I2857,0))*3)*(-$J2857^3+3*$J2857^2-3*$J2857+1)+INDIRECT("C$"&amp;3+MIN(2,ROUNDDOWN(I2857,0))*3)*(3*$J2857^3-6*$J2857^2+3*$J2857)+INDIRECT("C$"&amp;4+MIN(2,ROUNDDOWN(I2857,0))*3)*(-3*$J2857^3+3*$J2857^2)+INDIRECT("C$"&amp;5+MIN(2,ROUNDDOWN(I2857,0))*3)*$J2857^3</f>
      </c>
      <c r="L2857" s="7">
        <f>INDIRECT("D$"&amp;2+MIN(2,ROUNDDOWN(I2857,0))*3)*(-$J2857^3+3*$J2857^2-3*$J2857+1)+INDIRECT("D$"&amp;3+MIN(2,ROUNDDOWN(I2857,0))*3)*(3*$J2857^3-6*$J2857^2+3*$J2857)+INDIRECT("D$"&amp;4+MIN(2,ROUNDDOWN(I2857,0))*3)*(-3*$J2857^3+3*$J2857^2)+INDIRECT("D$"&amp;5+MIN(2,ROUNDDOWN(I2857,0))*3)*$J2857^3</f>
      </c>
      <c r="M2857" s="7">
        <f>SQRT(K2857^2+L2857^2)</f>
      </c>
      <c r="N2857" s="7">
        <f>(K2858-K2856)</f>
      </c>
      <c r="O2857" s="7">
        <f>+(L2858-L2856)</f>
      </c>
      <c r="P2857" s="7">
        <f>SQRT(O2857^2+N2857^2)</f>
      </c>
      <c r="Q2857" s="7">
        <f>N2857/$P2857</f>
      </c>
      <c r="R2857" s="7">
        <f>O2857/$P2857</f>
      </c>
      <c r="S2857" s="8">
        <f>Q2857^2+R2857^2</f>
      </c>
      <c r="T2857" s="7">
        <f>-R2857</f>
      </c>
      <c r="U2857" s="7">
        <f>Q2857</f>
      </c>
      <c r="V2857" s="7">
        <f>($C$14+($C$15-$C$14)/($D$15-$D$14)*(I2857-$D$14))/2</f>
      </c>
      <c r="W2857" s="7">
        <f>($B$22*I2857^4+$C$22*I2857^3+$D$22*I2857^2+$E$22*I2857+$F$22)/2</f>
      </c>
      <c r="X2857" s="7">
        <f>($W2857)*(T2857)</f>
      </c>
      <c r="Y2857" s="7">
        <f>($W2857)*(U2857)</f>
      </c>
      <c r="Z2857" s="7">
        <f>SQRT(X2857^2+Y2857^2)</f>
      </c>
      <c r="AA2857" s="7">
        <f>$K2857+$X2857</f>
      </c>
      <c r="AB2857" s="7">
        <f>$L2857+$Y2857</f>
      </c>
      <c r="AC2857" s="7">
        <f>$K2857-$X2857</f>
      </c>
      <c r="AD2857" s="7">
        <f>$L2857-$Y2857</f>
      </c>
      <c r="AE2857" s="7">
        <f>AA2857/39.3701</f>
      </c>
      <c r="AF2857" s="7">
        <f>AB2857/39.3701</f>
      </c>
      <c r="AG2857" s="7">
        <f>AC2857/39.3701</f>
      </c>
      <c r="AH2857" s="7">
        <f>AD2857/39.3701</f>
      </c>
      <c r="AI2857" s="1"/>
      <c r="AJ2857" s="1"/>
      <c r="AK2857" s="1"/>
      <c r="AL2857" s="1"/>
      <c r="AM2857" s="2"/>
      <c r="AN2857" s="1"/>
      <c r="AO2857" s="1"/>
      <c r="AP2857" s="1"/>
      <c r="AQ2857" s="1"/>
      <c r="AR2857" s="1"/>
      <c r="AS2857" s="1"/>
      <c r="AT2857" s="1"/>
      <c r="AU2857" s="1"/>
      <c r="AV2857" s="1"/>
      <c r="AW2857" s="1"/>
      <c r="AX2857" s="1"/>
      <c r="AY2857" s="1"/>
      <c r="AZ2857" s="1"/>
      <c r="BA2857" s="1"/>
      <c r="BB2857" s="1"/>
      <c r="BC2857" s="1"/>
      <c r="BD2857" s="1"/>
      <c r="BE2857" s="1"/>
    </row>
    <row x14ac:dyDescent="0.25" r="2858" customHeight="1" ht="18.75">
      <c r="A2858" s="1"/>
      <c r="B2858" s="2"/>
      <c r="C2858" s="2"/>
      <c r="D2858" s="2"/>
      <c r="E2858" s="2"/>
      <c r="F2858" s="2"/>
      <c r="G2858" s="1"/>
      <c r="H2858" s="1"/>
      <c r="I2858" s="7">
        <v>2.855</v>
      </c>
      <c r="J2858" s="7">
        <f>IF((I2858-ROUNDDOWN(I2858,0))=0, 0, (I2858-ROUNDDOWN(I2858,0)))</f>
      </c>
      <c r="K2858" s="7">
        <f>INDIRECT("C$"&amp;2+MIN(2,ROUNDDOWN(I2858,0))*3)*(-$J2858^3+3*$J2858^2-3*$J2858+1)+INDIRECT("C$"&amp;3+MIN(2,ROUNDDOWN(I2858,0))*3)*(3*$J2858^3-6*$J2858^2+3*$J2858)+INDIRECT("C$"&amp;4+MIN(2,ROUNDDOWN(I2858,0))*3)*(-3*$J2858^3+3*$J2858^2)+INDIRECT("C$"&amp;5+MIN(2,ROUNDDOWN(I2858,0))*3)*$J2858^3</f>
      </c>
      <c r="L2858" s="7">
        <f>INDIRECT("D$"&amp;2+MIN(2,ROUNDDOWN(I2858,0))*3)*(-$J2858^3+3*$J2858^2-3*$J2858+1)+INDIRECT("D$"&amp;3+MIN(2,ROUNDDOWN(I2858,0))*3)*(3*$J2858^3-6*$J2858^2+3*$J2858)+INDIRECT("D$"&amp;4+MIN(2,ROUNDDOWN(I2858,0))*3)*(-3*$J2858^3+3*$J2858^2)+INDIRECT("D$"&amp;5+MIN(2,ROUNDDOWN(I2858,0))*3)*$J2858^3</f>
      </c>
      <c r="M2858" s="7">
        <f>SQRT(K2858^2+L2858^2)</f>
      </c>
      <c r="N2858" s="7">
        <f>(K2859-K2857)</f>
      </c>
      <c r="O2858" s="7">
        <f>+(L2859-L2857)</f>
      </c>
      <c r="P2858" s="7">
        <f>SQRT(O2858^2+N2858^2)</f>
      </c>
      <c r="Q2858" s="7">
        <f>N2858/$P2858</f>
      </c>
      <c r="R2858" s="7">
        <f>O2858/$P2858</f>
      </c>
      <c r="S2858" s="7">
        <f>Q2858^2+R2858^2</f>
      </c>
      <c r="T2858" s="7">
        <f>-R2858</f>
      </c>
      <c r="U2858" s="7">
        <f>Q2858</f>
      </c>
      <c r="V2858" s="7">
        <f>($C$14+($C$15-$C$14)/($D$15-$D$14)*(I2858-$D$14))/2</f>
      </c>
      <c r="W2858" s="7">
        <f>($B$22*I2858^4+$C$22*I2858^3+$D$22*I2858^2+$E$22*I2858+$F$22)/2</f>
      </c>
      <c r="X2858" s="7">
        <f>($W2858)*(T2858)</f>
      </c>
      <c r="Y2858" s="7">
        <f>($W2858)*(U2858)</f>
      </c>
      <c r="Z2858" s="7">
        <f>SQRT(X2858^2+Y2858^2)</f>
      </c>
      <c r="AA2858" s="7">
        <f>$K2858+$X2858</f>
      </c>
      <c r="AB2858" s="7">
        <f>$L2858+$Y2858</f>
      </c>
      <c r="AC2858" s="7">
        <f>$K2858-$X2858</f>
      </c>
      <c r="AD2858" s="7">
        <f>$L2858-$Y2858</f>
      </c>
      <c r="AE2858" s="7">
        <f>AA2858/39.3701</f>
      </c>
      <c r="AF2858" s="7">
        <f>AB2858/39.3701</f>
      </c>
      <c r="AG2858" s="7">
        <f>AC2858/39.3701</f>
      </c>
      <c r="AH2858" s="7">
        <f>AD2858/39.3701</f>
      </c>
      <c r="AI2858" s="1"/>
      <c r="AJ2858" s="1"/>
      <c r="AK2858" s="1"/>
      <c r="AL2858" s="1"/>
      <c r="AM2858" s="2"/>
      <c r="AN2858" s="1"/>
      <c r="AO2858" s="1"/>
      <c r="AP2858" s="1"/>
      <c r="AQ2858" s="1"/>
      <c r="AR2858" s="1"/>
      <c r="AS2858" s="1"/>
      <c r="AT2858" s="1"/>
      <c r="AU2858" s="1"/>
      <c r="AV2858" s="1"/>
      <c r="AW2858" s="1"/>
      <c r="AX2858" s="1"/>
      <c r="AY2858" s="1"/>
      <c r="AZ2858" s="1"/>
      <c r="BA2858" s="1"/>
      <c r="BB2858" s="1"/>
      <c r="BC2858" s="1"/>
      <c r="BD2858" s="1"/>
      <c r="BE2858" s="1"/>
    </row>
    <row x14ac:dyDescent="0.25" r="2859" customHeight="1" ht="18.75">
      <c r="A2859" s="1"/>
      <c r="B2859" s="2"/>
      <c r="C2859" s="2"/>
      <c r="D2859" s="2"/>
      <c r="E2859" s="2"/>
      <c r="F2859" s="2"/>
      <c r="G2859" s="1"/>
      <c r="H2859" s="1"/>
      <c r="I2859" s="7">
        <v>2.856</v>
      </c>
      <c r="J2859" s="7">
        <f>IF((I2859-ROUNDDOWN(I2859,0))=0, 0, (I2859-ROUNDDOWN(I2859,0)))</f>
      </c>
      <c r="K2859" s="7">
        <f>INDIRECT("C$"&amp;2+MIN(2,ROUNDDOWN(I2859,0))*3)*(-$J2859^3+3*$J2859^2-3*$J2859+1)+INDIRECT("C$"&amp;3+MIN(2,ROUNDDOWN(I2859,0))*3)*(3*$J2859^3-6*$J2859^2+3*$J2859)+INDIRECT("C$"&amp;4+MIN(2,ROUNDDOWN(I2859,0))*3)*(-3*$J2859^3+3*$J2859^2)+INDIRECT("C$"&amp;5+MIN(2,ROUNDDOWN(I2859,0))*3)*$J2859^3</f>
      </c>
      <c r="L2859" s="7">
        <f>INDIRECT("D$"&amp;2+MIN(2,ROUNDDOWN(I2859,0))*3)*(-$J2859^3+3*$J2859^2-3*$J2859+1)+INDIRECT("D$"&amp;3+MIN(2,ROUNDDOWN(I2859,0))*3)*(3*$J2859^3-6*$J2859^2+3*$J2859)+INDIRECT("D$"&amp;4+MIN(2,ROUNDDOWN(I2859,0))*3)*(-3*$J2859^3+3*$J2859^2)+INDIRECT("D$"&amp;5+MIN(2,ROUNDDOWN(I2859,0))*3)*$J2859^3</f>
      </c>
      <c r="M2859" s="7">
        <f>SQRT(K2859^2+L2859^2)</f>
      </c>
      <c r="N2859" s="7">
        <f>(K2860-K2858)</f>
      </c>
      <c r="O2859" s="7">
        <f>+(L2860-L2858)</f>
      </c>
      <c r="P2859" s="7">
        <f>SQRT(O2859^2+N2859^2)</f>
      </c>
      <c r="Q2859" s="7">
        <f>N2859/$P2859</f>
      </c>
      <c r="R2859" s="7">
        <f>O2859/$P2859</f>
      </c>
      <c r="S2859" s="7">
        <f>Q2859^2+R2859^2</f>
      </c>
      <c r="T2859" s="7">
        <f>-R2859</f>
      </c>
      <c r="U2859" s="7">
        <f>Q2859</f>
      </c>
      <c r="V2859" s="7">
        <f>($C$14+($C$15-$C$14)/($D$15-$D$14)*(I2859-$D$14))/2</f>
      </c>
      <c r="W2859" s="7">
        <f>($B$22*I2859^4+$C$22*I2859^3+$D$22*I2859^2+$E$22*I2859+$F$22)/2</f>
      </c>
      <c r="X2859" s="7">
        <f>($W2859)*(T2859)</f>
      </c>
      <c r="Y2859" s="7">
        <f>($W2859)*(U2859)</f>
      </c>
      <c r="Z2859" s="7">
        <f>SQRT(X2859^2+Y2859^2)</f>
      </c>
      <c r="AA2859" s="7">
        <f>$K2859+$X2859</f>
      </c>
      <c r="AB2859" s="7">
        <f>$L2859+$Y2859</f>
      </c>
      <c r="AC2859" s="7">
        <f>$K2859-$X2859</f>
      </c>
      <c r="AD2859" s="7">
        <f>$L2859-$Y2859</f>
      </c>
      <c r="AE2859" s="7">
        <f>AA2859/39.3701</f>
      </c>
      <c r="AF2859" s="7">
        <f>AB2859/39.3701</f>
      </c>
      <c r="AG2859" s="7">
        <f>AC2859/39.3701</f>
      </c>
      <c r="AH2859" s="7">
        <f>AD2859/39.3701</f>
      </c>
      <c r="AI2859" s="1"/>
      <c r="AJ2859" s="1"/>
      <c r="AK2859" s="1"/>
      <c r="AL2859" s="1"/>
      <c r="AM2859" s="2"/>
      <c r="AN2859" s="1"/>
      <c r="AO2859" s="1"/>
      <c r="AP2859" s="1"/>
      <c r="AQ2859" s="1"/>
      <c r="AR2859" s="1"/>
      <c r="AS2859" s="1"/>
      <c r="AT2859" s="1"/>
      <c r="AU2859" s="1"/>
      <c r="AV2859" s="1"/>
      <c r="AW2859" s="1"/>
      <c r="AX2859" s="1"/>
      <c r="AY2859" s="1"/>
      <c r="AZ2859" s="1"/>
      <c r="BA2859" s="1"/>
      <c r="BB2859" s="1"/>
      <c r="BC2859" s="1"/>
      <c r="BD2859" s="1"/>
      <c r="BE2859" s="1"/>
    </row>
    <row x14ac:dyDescent="0.25" r="2860" customHeight="1" ht="18.75">
      <c r="A2860" s="1"/>
      <c r="B2860" s="2"/>
      <c r="C2860" s="2"/>
      <c r="D2860" s="2"/>
      <c r="E2860" s="2"/>
      <c r="F2860" s="2"/>
      <c r="G2860" s="1"/>
      <c r="H2860" s="1"/>
      <c r="I2860" s="7">
        <v>2.857</v>
      </c>
      <c r="J2860" s="7">
        <f>IF((I2860-ROUNDDOWN(I2860,0))=0, 0, (I2860-ROUNDDOWN(I2860,0)))</f>
      </c>
      <c r="K2860" s="7">
        <f>INDIRECT("C$"&amp;2+MIN(2,ROUNDDOWN(I2860,0))*3)*(-$J2860^3+3*$J2860^2-3*$J2860+1)+INDIRECT("C$"&amp;3+MIN(2,ROUNDDOWN(I2860,0))*3)*(3*$J2860^3-6*$J2860^2+3*$J2860)+INDIRECT("C$"&amp;4+MIN(2,ROUNDDOWN(I2860,0))*3)*(-3*$J2860^3+3*$J2860^2)+INDIRECT("C$"&amp;5+MIN(2,ROUNDDOWN(I2860,0))*3)*$J2860^3</f>
      </c>
      <c r="L2860" s="7">
        <f>INDIRECT("D$"&amp;2+MIN(2,ROUNDDOWN(I2860,0))*3)*(-$J2860^3+3*$J2860^2-3*$J2860+1)+INDIRECT("D$"&amp;3+MIN(2,ROUNDDOWN(I2860,0))*3)*(3*$J2860^3-6*$J2860^2+3*$J2860)+INDIRECT("D$"&amp;4+MIN(2,ROUNDDOWN(I2860,0))*3)*(-3*$J2860^3+3*$J2860^2)+INDIRECT("D$"&amp;5+MIN(2,ROUNDDOWN(I2860,0))*3)*$J2860^3</f>
      </c>
      <c r="M2860" s="7">
        <f>SQRT(K2860^2+L2860^2)</f>
      </c>
      <c r="N2860" s="7">
        <f>(K2861-K2859)</f>
      </c>
      <c r="O2860" s="7">
        <f>+(L2861-L2859)</f>
      </c>
      <c r="P2860" s="7">
        <f>SQRT(O2860^2+N2860^2)</f>
      </c>
      <c r="Q2860" s="7">
        <f>N2860/$P2860</f>
      </c>
      <c r="R2860" s="7">
        <f>O2860/$P2860</f>
      </c>
      <c r="S2860" s="7">
        <f>Q2860^2+R2860^2</f>
      </c>
      <c r="T2860" s="7">
        <f>-R2860</f>
      </c>
      <c r="U2860" s="7">
        <f>Q2860</f>
      </c>
      <c r="V2860" s="7">
        <f>($C$14+($C$15-$C$14)/($D$15-$D$14)*(I2860-$D$14))/2</f>
      </c>
      <c r="W2860" s="7">
        <f>($B$22*I2860^4+$C$22*I2860^3+$D$22*I2860^2+$E$22*I2860+$F$22)/2</f>
      </c>
      <c r="X2860" s="7">
        <f>($W2860)*(T2860)</f>
      </c>
      <c r="Y2860" s="7">
        <f>($W2860)*(U2860)</f>
      </c>
      <c r="Z2860" s="7">
        <f>SQRT(X2860^2+Y2860^2)</f>
      </c>
      <c r="AA2860" s="7">
        <f>$K2860+$X2860</f>
      </c>
      <c r="AB2860" s="7">
        <f>$L2860+$Y2860</f>
      </c>
      <c r="AC2860" s="7">
        <f>$K2860-$X2860</f>
      </c>
      <c r="AD2860" s="7">
        <f>$L2860-$Y2860</f>
      </c>
      <c r="AE2860" s="7">
        <f>AA2860/39.3701</f>
      </c>
      <c r="AF2860" s="7">
        <f>AB2860/39.3701</f>
      </c>
      <c r="AG2860" s="7">
        <f>AC2860/39.3701</f>
      </c>
      <c r="AH2860" s="7">
        <f>AD2860/39.3701</f>
      </c>
      <c r="AI2860" s="1"/>
      <c r="AJ2860" s="1"/>
      <c r="AK2860" s="1"/>
      <c r="AL2860" s="1"/>
      <c r="AM2860" s="2"/>
      <c r="AN2860" s="1"/>
      <c r="AO2860" s="1"/>
      <c r="AP2860" s="1"/>
      <c r="AQ2860" s="1"/>
      <c r="AR2860" s="1"/>
      <c r="AS2860" s="1"/>
      <c r="AT2860" s="1"/>
      <c r="AU2860" s="1"/>
      <c r="AV2860" s="1"/>
      <c r="AW2860" s="1"/>
      <c r="AX2860" s="1"/>
      <c r="AY2860" s="1"/>
      <c r="AZ2860" s="1"/>
      <c r="BA2860" s="1"/>
      <c r="BB2860" s="1"/>
      <c r="BC2860" s="1"/>
      <c r="BD2860" s="1"/>
      <c r="BE2860" s="1"/>
    </row>
    <row x14ac:dyDescent="0.25" r="2861" customHeight="1" ht="18.75">
      <c r="A2861" s="1"/>
      <c r="B2861" s="2"/>
      <c r="C2861" s="2"/>
      <c r="D2861" s="2"/>
      <c r="E2861" s="2"/>
      <c r="F2861" s="2"/>
      <c r="G2861" s="1"/>
      <c r="H2861" s="1"/>
      <c r="I2861" s="7">
        <v>2.858</v>
      </c>
      <c r="J2861" s="7">
        <f>IF((I2861-ROUNDDOWN(I2861,0))=0, 0, (I2861-ROUNDDOWN(I2861,0)))</f>
      </c>
      <c r="K2861" s="7">
        <f>INDIRECT("C$"&amp;2+MIN(2,ROUNDDOWN(I2861,0))*3)*(-$J2861^3+3*$J2861^2-3*$J2861+1)+INDIRECT("C$"&amp;3+MIN(2,ROUNDDOWN(I2861,0))*3)*(3*$J2861^3-6*$J2861^2+3*$J2861)+INDIRECT("C$"&amp;4+MIN(2,ROUNDDOWN(I2861,0))*3)*(-3*$J2861^3+3*$J2861^2)+INDIRECT("C$"&amp;5+MIN(2,ROUNDDOWN(I2861,0))*3)*$J2861^3</f>
      </c>
      <c r="L2861" s="7">
        <f>INDIRECT("D$"&amp;2+MIN(2,ROUNDDOWN(I2861,0))*3)*(-$J2861^3+3*$J2861^2-3*$J2861+1)+INDIRECT("D$"&amp;3+MIN(2,ROUNDDOWN(I2861,0))*3)*(3*$J2861^3-6*$J2861^2+3*$J2861)+INDIRECT("D$"&amp;4+MIN(2,ROUNDDOWN(I2861,0))*3)*(-3*$J2861^3+3*$J2861^2)+INDIRECT("D$"&amp;5+MIN(2,ROUNDDOWN(I2861,0))*3)*$J2861^3</f>
      </c>
      <c r="M2861" s="7">
        <f>SQRT(K2861^2+L2861^2)</f>
      </c>
      <c r="N2861" s="7">
        <f>(K2862-K2860)</f>
      </c>
      <c r="O2861" s="7">
        <f>+(L2862-L2860)</f>
      </c>
      <c r="P2861" s="7">
        <f>SQRT(O2861^2+N2861^2)</f>
      </c>
      <c r="Q2861" s="7">
        <f>N2861/$P2861</f>
      </c>
      <c r="R2861" s="7">
        <f>O2861/$P2861</f>
      </c>
      <c r="S2861" s="8">
        <f>Q2861^2+R2861^2</f>
      </c>
      <c r="T2861" s="7">
        <f>-R2861</f>
      </c>
      <c r="U2861" s="7">
        <f>Q2861</f>
      </c>
      <c r="V2861" s="7">
        <f>($C$14+($C$15-$C$14)/($D$15-$D$14)*(I2861-$D$14))/2</f>
      </c>
      <c r="W2861" s="7">
        <f>($B$22*I2861^4+$C$22*I2861^3+$D$22*I2861^2+$E$22*I2861+$F$22)/2</f>
      </c>
      <c r="X2861" s="7">
        <f>($W2861)*(T2861)</f>
      </c>
      <c r="Y2861" s="7">
        <f>($W2861)*(U2861)</f>
      </c>
      <c r="Z2861" s="7">
        <f>SQRT(X2861^2+Y2861^2)</f>
      </c>
      <c r="AA2861" s="7">
        <f>$K2861+$X2861</f>
      </c>
      <c r="AB2861" s="7">
        <f>$L2861+$Y2861</f>
      </c>
      <c r="AC2861" s="7">
        <f>$K2861-$X2861</f>
      </c>
      <c r="AD2861" s="7">
        <f>$L2861-$Y2861</f>
      </c>
      <c r="AE2861" s="7">
        <f>AA2861/39.3701</f>
      </c>
      <c r="AF2861" s="7">
        <f>AB2861/39.3701</f>
      </c>
      <c r="AG2861" s="7">
        <f>AC2861/39.3701</f>
      </c>
      <c r="AH2861" s="7">
        <f>AD2861/39.3701</f>
      </c>
      <c r="AI2861" s="1"/>
      <c r="AJ2861" s="1"/>
      <c r="AK2861" s="1"/>
      <c r="AL2861" s="1"/>
      <c r="AM2861" s="2"/>
      <c r="AN2861" s="1"/>
      <c r="AO2861" s="1"/>
      <c r="AP2861" s="1"/>
      <c r="AQ2861" s="1"/>
      <c r="AR2861" s="1"/>
      <c r="AS2861" s="1"/>
      <c r="AT2861" s="1"/>
      <c r="AU2861" s="1"/>
      <c r="AV2861" s="1"/>
      <c r="AW2861" s="1"/>
      <c r="AX2861" s="1"/>
      <c r="AY2861" s="1"/>
      <c r="AZ2861" s="1"/>
      <c r="BA2861" s="1"/>
      <c r="BB2861" s="1"/>
      <c r="BC2861" s="1"/>
      <c r="BD2861" s="1"/>
      <c r="BE2861" s="1"/>
    </row>
    <row x14ac:dyDescent="0.25" r="2862" customHeight="1" ht="18.75">
      <c r="A2862" s="1"/>
      <c r="B2862" s="2"/>
      <c r="C2862" s="2"/>
      <c r="D2862" s="2"/>
      <c r="E2862" s="2"/>
      <c r="F2862" s="2"/>
      <c r="G2862" s="1"/>
      <c r="H2862" s="1"/>
      <c r="I2862" s="7">
        <v>2.859</v>
      </c>
      <c r="J2862" s="7">
        <f>IF((I2862-ROUNDDOWN(I2862,0))=0, 0, (I2862-ROUNDDOWN(I2862,0)))</f>
      </c>
      <c r="K2862" s="7">
        <f>INDIRECT("C$"&amp;2+MIN(2,ROUNDDOWN(I2862,0))*3)*(-$J2862^3+3*$J2862^2-3*$J2862+1)+INDIRECT("C$"&amp;3+MIN(2,ROUNDDOWN(I2862,0))*3)*(3*$J2862^3-6*$J2862^2+3*$J2862)+INDIRECT("C$"&amp;4+MIN(2,ROUNDDOWN(I2862,0))*3)*(-3*$J2862^3+3*$J2862^2)+INDIRECT("C$"&amp;5+MIN(2,ROUNDDOWN(I2862,0))*3)*$J2862^3</f>
      </c>
      <c r="L2862" s="7">
        <f>INDIRECT("D$"&amp;2+MIN(2,ROUNDDOWN(I2862,0))*3)*(-$J2862^3+3*$J2862^2-3*$J2862+1)+INDIRECT("D$"&amp;3+MIN(2,ROUNDDOWN(I2862,0))*3)*(3*$J2862^3-6*$J2862^2+3*$J2862)+INDIRECT("D$"&amp;4+MIN(2,ROUNDDOWN(I2862,0))*3)*(-3*$J2862^3+3*$J2862^2)+INDIRECT("D$"&amp;5+MIN(2,ROUNDDOWN(I2862,0))*3)*$J2862^3</f>
      </c>
      <c r="M2862" s="7">
        <f>SQRT(K2862^2+L2862^2)</f>
      </c>
      <c r="N2862" s="7">
        <f>(K2863-K2861)</f>
      </c>
      <c r="O2862" s="7">
        <f>+(L2863-L2861)</f>
      </c>
      <c r="P2862" s="7">
        <f>SQRT(O2862^2+N2862^2)</f>
      </c>
      <c r="Q2862" s="7">
        <f>N2862/$P2862</f>
      </c>
      <c r="R2862" s="7">
        <f>O2862/$P2862</f>
      </c>
      <c r="S2862" s="8">
        <f>Q2862^2+R2862^2</f>
      </c>
      <c r="T2862" s="7">
        <f>-R2862</f>
      </c>
      <c r="U2862" s="7">
        <f>Q2862</f>
      </c>
      <c r="V2862" s="7">
        <f>($C$14+($C$15-$C$14)/($D$15-$D$14)*(I2862-$D$14))/2</f>
      </c>
      <c r="W2862" s="7">
        <f>($B$22*I2862^4+$C$22*I2862^3+$D$22*I2862^2+$E$22*I2862+$F$22)/2</f>
      </c>
      <c r="X2862" s="7">
        <f>($W2862)*(T2862)</f>
      </c>
      <c r="Y2862" s="7">
        <f>($W2862)*(U2862)</f>
      </c>
      <c r="Z2862" s="7">
        <f>SQRT(X2862^2+Y2862^2)</f>
      </c>
      <c r="AA2862" s="7">
        <f>$K2862+$X2862</f>
      </c>
      <c r="AB2862" s="7">
        <f>$L2862+$Y2862</f>
      </c>
      <c r="AC2862" s="7">
        <f>$K2862-$X2862</f>
      </c>
      <c r="AD2862" s="7">
        <f>$L2862-$Y2862</f>
      </c>
      <c r="AE2862" s="7">
        <f>AA2862/39.3701</f>
      </c>
      <c r="AF2862" s="7">
        <f>AB2862/39.3701</f>
      </c>
      <c r="AG2862" s="7">
        <f>AC2862/39.3701</f>
      </c>
      <c r="AH2862" s="7">
        <f>AD2862/39.3701</f>
      </c>
      <c r="AI2862" s="1"/>
      <c r="AJ2862" s="1"/>
      <c r="AK2862" s="1"/>
      <c r="AL2862" s="1"/>
      <c r="AM2862" s="2"/>
      <c r="AN2862" s="1"/>
      <c r="AO2862" s="1"/>
      <c r="AP2862" s="1"/>
      <c r="AQ2862" s="1"/>
      <c r="AR2862" s="1"/>
      <c r="AS2862" s="1"/>
      <c r="AT2862" s="1"/>
      <c r="AU2862" s="1"/>
      <c r="AV2862" s="1"/>
      <c r="AW2862" s="1"/>
      <c r="AX2862" s="1"/>
      <c r="AY2862" s="1"/>
      <c r="AZ2862" s="1"/>
      <c r="BA2862" s="1"/>
      <c r="BB2862" s="1"/>
      <c r="BC2862" s="1"/>
      <c r="BD2862" s="1"/>
      <c r="BE2862" s="1"/>
    </row>
    <row x14ac:dyDescent="0.25" r="2863" customHeight="1" ht="18.75">
      <c r="A2863" s="1"/>
      <c r="B2863" s="2"/>
      <c r="C2863" s="2"/>
      <c r="D2863" s="2"/>
      <c r="E2863" s="2"/>
      <c r="F2863" s="2"/>
      <c r="G2863" s="1"/>
      <c r="H2863" s="1"/>
      <c r="I2863" s="7">
        <v>2.86</v>
      </c>
      <c r="J2863" s="7">
        <f>IF((I2863-ROUNDDOWN(I2863,0))=0, 0, (I2863-ROUNDDOWN(I2863,0)))</f>
      </c>
      <c r="K2863" s="7">
        <f>INDIRECT("C$"&amp;2+MIN(2,ROUNDDOWN(I2863,0))*3)*(-$J2863^3+3*$J2863^2-3*$J2863+1)+INDIRECT("C$"&amp;3+MIN(2,ROUNDDOWN(I2863,0))*3)*(3*$J2863^3-6*$J2863^2+3*$J2863)+INDIRECT("C$"&amp;4+MIN(2,ROUNDDOWN(I2863,0))*3)*(-3*$J2863^3+3*$J2863^2)+INDIRECT("C$"&amp;5+MIN(2,ROUNDDOWN(I2863,0))*3)*$J2863^3</f>
      </c>
      <c r="L2863" s="7">
        <f>INDIRECT("D$"&amp;2+MIN(2,ROUNDDOWN(I2863,0))*3)*(-$J2863^3+3*$J2863^2-3*$J2863+1)+INDIRECT("D$"&amp;3+MIN(2,ROUNDDOWN(I2863,0))*3)*(3*$J2863^3-6*$J2863^2+3*$J2863)+INDIRECT("D$"&amp;4+MIN(2,ROUNDDOWN(I2863,0))*3)*(-3*$J2863^3+3*$J2863^2)+INDIRECT("D$"&amp;5+MIN(2,ROUNDDOWN(I2863,0))*3)*$J2863^3</f>
      </c>
      <c r="M2863" s="7">
        <f>SQRT(K2863^2+L2863^2)</f>
      </c>
      <c r="N2863" s="7">
        <f>(K2864-K2862)</f>
      </c>
      <c r="O2863" s="7">
        <f>+(L2864-L2862)</f>
      </c>
      <c r="P2863" s="7">
        <f>SQRT(O2863^2+N2863^2)</f>
      </c>
      <c r="Q2863" s="7">
        <f>N2863/$P2863</f>
      </c>
      <c r="R2863" s="7">
        <f>O2863/$P2863</f>
      </c>
      <c r="S2863" s="7">
        <f>Q2863^2+R2863^2</f>
      </c>
      <c r="T2863" s="7">
        <f>-R2863</f>
      </c>
      <c r="U2863" s="7">
        <f>Q2863</f>
      </c>
      <c r="V2863" s="7">
        <f>($C$14+($C$15-$C$14)/($D$15-$D$14)*(I2863-$D$14))/2</f>
      </c>
      <c r="W2863" s="7">
        <f>($B$22*I2863^4+$C$22*I2863^3+$D$22*I2863^2+$E$22*I2863+$F$22)/2</f>
      </c>
      <c r="X2863" s="7">
        <f>($W2863)*(T2863)</f>
      </c>
      <c r="Y2863" s="7">
        <f>($W2863)*(U2863)</f>
      </c>
      <c r="Z2863" s="7">
        <f>SQRT(X2863^2+Y2863^2)</f>
      </c>
      <c r="AA2863" s="7">
        <f>$K2863+$X2863</f>
      </c>
      <c r="AB2863" s="7">
        <f>$L2863+$Y2863</f>
      </c>
      <c r="AC2863" s="7">
        <f>$K2863-$X2863</f>
      </c>
      <c r="AD2863" s="7">
        <f>$L2863-$Y2863</f>
      </c>
      <c r="AE2863" s="7">
        <f>AA2863/39.3701</f>
      </c>
      <c r="AF2863" s="7">
        <f>AB2863/39.3701</f>
      </c>
      <c r="AG2863" s="7">
        <f>AC2863/39.3701</f>
      </c>
      <c r="AH2863" s="7">
        <f>AD2863/39.3701</f>
      </c>
      <c r="AI2863" s="1"/>
      <c r="AJ2863" s="1"/>
      <c r="AK2863" s="1"/>
      <c r="AL2863" s="1"/>
      <c r="AM2863" s="2"/>
      <c r="AN2863" s="1"/>
      <c r="AO2863" s="1"/>
      <c r="AP2863" s="1"/>
      <c r="AQ2863" s="1"/>
      <c r="AR2863" s="1"/>
      <c r="AS2863" s="1"/>
      <c r="AT2863" s="1"/>
      <c r="AU2863" s="1"/>
      <c r="AV2863" s="1"/>
      <c r="AW2863" s="1"/>
      <c r="AX2863" s="1"/>
      <c r="AY2863" s="1"/>
      <c r="AZ2863" s="1"/>
      <c r="BA2863" s="1"/>
      <c r="BB2863" s="1"/>
      <c r="BC2863" s="1"/>
      <c r="BD2863" s="1"/>
      <c r="BE2863" s="1"/>
    </row>
    <row x14ac:dyDescent="0.25" r="2864" customHeight="1" ht="18.75">
      <c r="A2864" s="1"/>
      <c r="B2864" s="2"/>
      <c r="C2864" s="2"/>
      <c r="D2864" s="2"/>
      <c r="E2864" s="2"/>
      <c r="F2864" s="2"/>
      <c r="G2864" s="1"/>
      <c r="H2864" s="1"/>
      <c r="I2864" s="7">
        <v>2.861</v>
      </c>
      <c r="J2864" s="7">
        <f>IF((I2864-ROUNDDOWN(I2864,0))=0, 0, (I2864-ROUNDDOWN(I2864,0)))</f>
      </c>
      <c r="K2864" s="7">
        <f>INDIRECT("C$"&amp;2+MIN(2,ROUNDDOWN(I2864,0))*3)*(-$J2864^3+3*$J2864^2-3*$J2864+1)+INDIRECT("C$"&amp;3+MIN(2,ROUNDDOWN(I2864,0))*3)*(3*$J2864^3-6*$J2864^2+3*$J2864)+INDIRECT("C$"&amp;4+MIN(2,ROUNDDOWN(I2864,0))*3)*(-3*$J2864^3+3*$J2864^2)+INDIRECT("C$"&amp;5+MIN(2,ROUNDDOWN(I2864,0))*3)*$J2864^3</f>
      </c>
      <c r="L2864" s="7">
        <f>INDIRECT("D$"&amp;2+MIN(2,ROUNDDOWN(I2864,0))*3)*(-$J2864^3+3*$J2864^2-3*$J2864+1)+INDIRECT("D$"&amp;3+MIN(2,ROUNDDOWN(I2864,0))*3)*(3*$J2864^3-6*$J2864^2+3*$J2864)+INDIRECT("D$"&amp;4+MIN(2,ROUNDDOWN(I2864,0))*3)*(-3*$J2864^3+3*$J2864^2)+INDIRECT("D$"&amp;5+MIN(2,ROUNDDOWN(I2864,0))*3)*$J2864^3</f>
      </c>
      <c r="M2864" s="7">
        <f>SQRT(K2864^2+L2864^2)</f>
      </c>
      <c r="N2864" s="7">
        <f>(K2865-K2863)</f>
      </c>
      <c r="O2864" s="7">
        <f>+(L2865-L2863)</f>
      </c>
      <c r="P2864" s="7">
        <f>SQRT(O2864^2+N2864^2)</f>
      </c>
      <c r="Q2864" s="7">
        <f>N2864/$P2864</f>
      </c>
      <c r="R2864" s="7">
        <f>O2864/$P2864</f>
      </c>
      <c r="S2864" s="8">
        <f>Q2864^2+R2864^2</f>
      </c>
      <c r="T2864" s="7">
        <f>-R2864</f>
      </c>
      <c r="U2864" s="7">
        <f>Q2864</f>
      </c>
      <c r="V2864" s="7">
        <f>($C$14+($C$15-$C$14)/($D$15-$D$14)*(I2864-$D$14))/2</f>
      </c>
      <c r="W2864" s="7">
        <f>($B$22*I2864^4+$C$22*I2864^3+$D$22*I2864^2+$E$22*I2864+$F$22)/2</f>
      </c>
      <c r="X2864" s="7">
        <f>($W2864)*(T2864)</f>
      </c>
      <c r="Y2864" s="7">
        <f>($W2864)*(U2864)</f>
      </c>
      <c r="Z2864" s="7">
        <f>SQRT(X2864^2+Y2864^2)</f>
      </c>
      <c r="AA2864" s="7">
        <f>$K2864+$X2864</f>
      </c>
      <c r="AB2864" s="7">
        <f>$L2864+$Y2864</f>
      </c>
      <c r="AC2864" s="7">
        <f>$K2864-$X2864</f>
      </c>
      <c r="AD2864" s="7">
        <f>$L2864-$Y2864</f>
      </c>
      <c r="AE2864" s="7">
        <f>AA2864/39.3701</f>
      </c>
      <c r="AF2864" s="7">
        <f>AB2864/39.3701</f>
      </c>
      <c r="AG2864" s="7">
        <f>AC2864/39.3701</f>
      </c>
      <c r="AH2864" s="7">
        <f>AD2864/39.3701</f>
      </c>
      <c r="AI2864" s="1"/>
      <c r="AJ2864" s="1"/>
      <c r="AK2864" s="1"/>
      <c r="AL2864" s="1"/>
      <c r="AM2864" s="2"/>
      <c r="AN2864" s="1"/>
      <c r="AO2864" s="1"/>
      <c r="AP2864" s="1"/>
      <c r="AQ2864" s="1"/>
      <c r="AR2864" s="1"/>
      <c r="AS2864" s="1"/>
      <c r="AT2864" s="1"/>
      <c r="AU2864" s="1"/>
      <c r="AV2864" s="1"/>
      <c r="AW2864" s="1"/>
      <c r="AX2864" s="1"/>
      <c r="AY2864" s="1"/>
      <c r="AZ2864" s="1"/>
      <c r="BA2864" s="1"/>
      <c r="BB2864" s="1"/>
      <c r="BC2864" s="1"/>
      <c r="BD2864" s="1"/>
      <c r="BE2864" s="1"/>
    </row>
    <row x14ac:dyDescent="0.25" r="2865" customHeight="1" ht="18.75">
      <c r="A2865" s="1"/>
      <c r="B2865" s="2"/>
      <c r="C2865" s="2"/>
      <c r="D2865" s="2"/>
      <c r="E2865" s="2"/>
      <c r="F2865" s="2"/>
      <c r="G2865" s="1"/>
      <c r="H2865" s="1"/>
      <c r="I2865" s="7">
        <v>2.862</v>
      </c>
      <c r="J2865" s="7">
        <f>IF((I2865-ROUNDDOWN(I2865,0))=0, 0, (I2865-ROUNDDOWN(I2865,0)))</f>
      </c>
      <c r="K2865" s="7">
        <f>INDIRECT("C$"&amp;2+MIN(2,ROUNDDOWN(I2865,0))*3)*(-$J2865^3+3*$J2865^2-3*$J2865+1)+INDIRECT("C$"&amp;3+MIN(2,ROUNDDOWN(I2865,0))*3)*(3*$J2865^3-6*$J2865^2+3*$J2865)+INDIRECT("C$"&amp;4+MIN(2,ROUNDDOWN(I2865,0))*3)*(-3*$J2865^3+3*$J2865^2)+INDIRECT("C$"&amp;5+MIN(2,ROUNDDOWN(I2865,0))*3)*$J2865^3</f>
      </c>
      <c r="L2865" s="7">
        <f>INDIRECT("D$"&amp;2+MIN(2,ROUNDDOWN(I2865,0))*3)*(-$J2865^3+3*$J2865^2-3*$J2865+1)+INDIRECT("D$"&amp;3+MIN(2,ROUNDDOWN(I2865,0))*3)*(3*$J2865^3-6*$J2865^2+3*$J2865)+INDIRECT("D$"&amp;4+MIN(2,ROUNDDOWN(I2865,0))*3)*(-3*$J2865^3+3*$J2865^2)+INDIRECT("D$"&amp;5+MIN(2,ROUNDDOWN(I2865,0))*3)*$J2865^3</f>
      </c>
      <c r="M2865" s="7">
        <f>SQRT(K2865^2+L2865^2)</f>
      </c>
      <c r="N2865" s="7">
        <f>(K2866-K2864)</f>
      </c>
      <c r="O2865" s="7">
        <f>+(L2866-L2864)</f>
      </c>
      <c r="P2865" s="7">
        <f>SQRT(O2865^2+N2865^2)</f>
      </c>
      <c r="Q2865" s="7">
        <f>N2865/$P2865</f>
      </c>
      <c r="R2865" s="7">
        <f>O2865/$P2865</f>
      </c>
      <c r="S2865" s="7">
        <f>Q2865^2+R2865^2</f>
      </c>
      <c r="T2865" s="7">
        <f>-R2865</f>
      </c>
      <c r="U2865" s="7">
        <f>Q2865</f>
      </c>
      <c r="V2865" s="7">
        <f>($C$14+($C$15-$C$14)/($D$15-$D$14)*(I2865-$D$14))/2</f>
      </c>
      <c r="W2865" s="7">
        <f>($B$22*I2865^4+$C$22*I2865^3+$D$22*I2865^2+$E$22*I2865+$F$22)/2</f>
      </c>
      <c r="X2865" s="7">
        <f>($W2865)*(T2865)</f>
      </c>
      <c r="Y2865" s="7">
        <f>($W2865)*(U2865)</f>
      </c>
      <c r="Z2865" s="7">
        <f>SQRT(X2865^2+Y2865^2)</f>
      </c>
      <c r="AA2865" s="7">
        <f>$K2865+$X2865</f>
      </c>
      <c r="AB2865" s="7">
        <f>$L2865+$Y2865</f>
      </c>
      <c r="AC2865" s="7">
        <f>$K2865-$X2865</f>
      </c>
      <c r="AD2865" s="7">
        <f>$L2865-$Y2865</f>
      </c>
      <c r="AE2865" s="7">
        <f>AA2865/39.3701</f>
      </c>
      <c r="AF2865" s="7">
        <f>AB2865/39.3701</f>
      </c>
      <c r="AG2865" s="7">
        <f>AC2865/39.3701</f>
      </c>
      <c r="AH2865" s="7">
        <f>AD2865/39.3701</f>
      </c>
      <c r="AI2865" s="1"/>
      <c r="AJ2865" s="1"/>
      <c r="AK2865" s="1"/>
      <c r="AL2865" s="1"/>
      <c r="AM2865" s="2"/>
      <c r="AN2865" s="1"/>
      <c r="AO2865" s="1"/>
      <c r="AP2865" s="1"/>
      <c r="AQ2865" s="1"/>
      <c r="AR2865" s="1"/>
      <c r="AS2865" s="1"/>
      <c r="AT2865" s="1"/>
      <c r="AU2865" s="1"/>
      <c r="AV2865" s="1"/>
      <c r="AW2865" s="1"/>
      <c r="AX2865" s="1"/>
      <c r="AY2865" s="1"/>
      <c r="AZ2865" s="1"/>
      <c r="BA2865" s="1"/>
      <c r="BB2865" s="1"/>
      <c r="BC2865" s="1"/>
      <c r="BD2865" s="1"/>
      <c r="BE2865" s="1"/>
    </row>
    <row x14ac:dyDescent="0.25" r="2866" customHeight="1" ht="18.75">
      <c r="A2866" s="1"/>
      <c r="B2866" s="2"/>
      <c r="C2866" s="2"/>
      <c r="D2866" s="2"/>
      <c r="E2866" s="2"/>
      <c r="F2866" s="2"/>
      <c r="G2866" s="1"/>
      <c r="H2866" s="1"/>
      <c r="I2866" s="7">
        <v>2.863</v>
      </c>
      <c r="J2866" s="7">
        <f>IF((I2866-ROUNDDOWN(I2866,0))=0, 0, (I2866-ROUNDDOWN(I2866,0)))</f>
      </c>
      <c r="K2866" s="7">
        <f>INDIRECT("C$"&amp;2+MIN(2,ROUNDDOWN(I2866,0))*3)*(-$J2866^3+3*$J2866^2-3*$J2866+1)+INDIRECT("C$"&amp;3+MIN(2,ROUNDDOWN(I2866,0))*3)*(3*$J2866^3-6*$J2866^2+3*$J2866)+INDIRECT("C$"&amp;4+MIN(2,ROUNDDOWN(I2866,0))*3)*(-3*$J2866^3+3*$J2866^2)+INDIRECT("C$"&amp;5+MIN(2,ROUNDDOWN(I2866,0))*3)*$J2866^3</f>
      </c>
      <c r="L2866" s="7">
        <f>INDIRECT("D$"&amp;2+MIN(2,ROUNDDOWN(I2866,0))*3)*(-$J2866^3+3*$J2866^2-3*$J2866+1)+INDIRECT("D$"&amp;3+MIN(2,ROUNDDOWN(I2866,0))*3)*(3*$J2866^3-6*$J2866^2+3*$J2866)+INDIRECT("D$"&amp;4+MIN(2,ROUNDDOWN(I2866,0))*3)*(-3*$J2866^3+3*$J2866^2)+INDIRECT("D$"&amp;5+MIN(2,ROUNDDOWN(I2866,0))*3)*$J2866^3</f>
      </c>
      <c r="M2866" s="7">
        <f>SQRT(K2866^2+L2866^2)</f>
      </c>
      <c r="N2866" s="7">
        <f>(K2867-K2865)</f>
      </c>
      <c r="O2866" s="7">
        <f>+(L2867-L2865)</f>
      </c>
      <c r="P2866" s="7">
        <f>SQRT(O2866^2+N2866^2)</f>
      </c>
      <c r="Q2866" s="7">
        <f>N2866/$P2866</f>
      </c>
      <c r="R2866" s="7">
        <f>O2866/$P2866</f>
      </c>
      <c r="S2866" s="7">
        <f>Q2866^2+R2866^2</f>
      </c>
      <c r="T2866" s="7">
        <f>-R2866</f>
      </c>
      <c r="U2866" s="7">
        <f>Q2866</f>
      </c>
      <c r="V2866" s="7">
        <f>($C$14+($C$15-$C$14)/($D$15-$D$14)*(I2866-$D$14))/2</f>
      </c>
      <c r="W2866" s="7">
        <f>($B$22*I2866^4+$C$22*I2866^3+$D$22*I2866^2+$E$22*I2866+$F$22)/2</f>
      </c>
      <c r="X2866" s="7">
        <f>($W2866)*(T2866)</f>
      </c>
      <c r="Y2866" s="7">
        <f>($W2866)*(U2866)</f>
      </c>
      <c r="Z2866" s="7">
        <f>SQRT(X2866^2+Y2866^2)</f>
      </c>
      <c r="AA2866" s="7">
        <f>$K2866+$X2866</f>
      </c>
      <c r="AB2866" s="7">
        <f>$L2866+$Y2866</f>
      </c>
      <c r="AC2866" s="7">
        <f>$K2866-$X2866</f>
      </c>
      <c r="AD2866" s="7">
        <f>$L2866-$Y2866</f>
      </c>
      <c r="AE2866" s="7">
        <f>AA2866/39.3701</f>
      </c>
      <c r="AF2866" s="7">
        <f>AB2866/39.3701</f>
      </c>
      <c r="AG2866" s="7">
        <f>AC2866/39.3701</f>
      </c>
      <c r="AH2866" s="7">
        <f>AD2866/39.3701</f>
      </c>
      <c r="AI2866" s="1"/>
      <c r="AJ2866" s="1"/>
      <c r="AK2866" s="1"/>
      <c r="AL2866" s="1"/>
      <c r="AM2866" s="2"/>
      <c r="AN2866" s="1"/>
      <c r="AO2866" s="1"/>
      <c r="AP2866" s="1"/>
      <c r="AQ2866" s="1"/>
      <c r="AR2866" s="1"/>
      <c r="AS2866" s="1"/>
      <c r="AT2866" s="1"/>
      <c r="AU2866" s="1"/>
      <c r="AV2866" s="1"/>
      <c r="AW2866" s="1"/>
      <c r="AX2866" s="1"/>
      <c r="AY2866" s="1"/>
      <c r="AZ2866" s="1"/>
      <c r="BA2866" s="1"/>
      <c r="BB2866" s="1"/>
      <c r="BC2866" s="1"/>
      <c r="BD2866" s="1"/>
      <c r="BE2866" s="1"/>
    </row>
    <row x14ac:dyDescent="0.25" r="2867" customHeight="1" ht="18.75">
      <c r="A2867" s="1"/>
      <c r="B2867" s="2"/>
      <c r="C2867" s="2"/>
      <c r="D2867" s="2"/>
      <c r="E2867" s="2"/>
      <c r="F2867" s="2"/>
      <c r="G2867" s="1"/>
      <c r="H2867" s="1"/>
      <c r="I2867" s="7">
        <v>2.864</v>
      </c>
      <c r="J2867" s="7">
        <f>IF((I2867-ROUNDDOWN(I2867,0))=0, 0, (I2867-ROUNDDOWN(I2867,0)))</f>
      </c>
      <c r="K2867" s="7">
        <f>INDIRECT("C$"&amp;2+MIN(2,ROUNDDOWN(I2867,0))*3)*(-$J2867^3+3*$J2867^2-3*$J2867+1)+INDIRECT("C$"&amp;3+MIN(2,ROUNDDOWN(I2867,0))*3)*(3*$J2867^3-6*$J2867^2+3*$J2867)+INDIRECT("C$"&amp;4+MIN(2,ROUNDDOWN(I2867,0))*3)*(-3*$J2867^3+3*$J2867^2)+INDIRECT("C$"&amp;5+MIN(2,ROUNDDOWN(I2867,0))*3)*$J2867^3</f>
      </c>
      <c r="L2867" s="7">
        <f>INDIRECT("D$"&amp;2+MIN(2,ROUNDDOWN(I2867,0))*3)*(-$J2867^3+3*$J2867^2-3*$J2867+1)+INDIRECT("D$"&amp;3+MIN(2,ROUNDDOWN(I2867,0))*3)*(3*$J2867^3-6*$J2867^2+3*$J2867)+INDIRECT("D$"&amp;4+MIN(2,ROUNDDOWN(I2867,0))*3)*(-3*$J2867^3+3*$J2867^2)+INDIRECT("D$"&amp;5+MIN(2,ROUNDDOWN(I2867,0))*3)*$J2867^3</f>
      </c>
      <c r="M2867" s="7">
        <f>SQRT(K2867^2+L2867^2)</f>
      </c>
      <c r="N2867" s="7">
        <f>(K2868-K2866)</f>
      </c>
      <c r="O2867" s="7">
        <f>+(L2868-L2866)</f>
      </c>
      <c r="P2867" s="7">
        <f>SQRT(O2867^2+N2867^2)</f>
      </c>
      <c r="Q2867" s="7">
        <f>N2867/$P2867</f>
      </c>
      <c r="R2867" s="7">
        <f>O2867/$P2867</f>
      </c>
      <c r="S2867" s="7">
        <f>Q2867^2+R2867^2</f>
      </c>
      <c r="T2867" s="7">
        <f>-R2867</f>
      </c>
      <c r="U2867" s="7">
        <f>Q2867</f>
      </c>
      <c r="V2867" s="7">
        <f>($C$14+($C$15-$C$14)/($D$15-$D$14)*(I2867-$D$14))/2</f>
      </c>
      <c r="W2867" s="7">
        <f>($B$22*I2867^4+$C$22*I2867^3+$D$22*I2867^2+$E$22*I2867+$F$22)/2</f>
      </c>
      <c r="X2867" s="7">
        <f>($W2867)*(T2867)</f>
      </c>
      <c r="Y2867" s="7">
        <f>($W2867)*(U2867)</f>
      </c>
      <c r="Z2867" s="7">
        <f>SQRT(X2867^2+Y2867^2)</f>
      </c>
      <c r="AA2867" s="7">
        <f>$K2867+$X2867</f>
      </c>
      <c r="AB2867" s="7">
        <f>$L2867+$Y2867</f>
      </c>
      <c r="AC2867" s="7">
        <f>$K2867-$X2867</f>
      </c>
      <c r="AD2867" s="7">
        <f>$L2867-$Y2867</f>
      </c>
      <c r="AE2867" s="7">
        <f>AA2867/39.3701</f>
      </c>
      <c r="AF2867" s="7">
        <f>AB2867/39.3701</f>
      </c>
      <c r="AG2867" s="7">
        <f>AC2867/39.3701</f>
      </c>
      <c r="AH2867" s="7">
        <f>AD2867/39.3701</f>
      </c>
      <c r="AI2867" s="1"/>
      <c r="AJ2867" s="1"/>
      <c r="AK2867" s="1"/>
      <c r="AL2867" s="1"/>
      <c r="AM2867" s="2"/>
      <c r="AN2867" s="1"/>
      <c r="AO2867" s="1"/>
      <c r="AP2867" s="1"/>
      <c r="AQ2867" s="1"/>
      <c r="AR2867" s="1"/>
      <c r="AS2867" s="1"/>
      <c r="AT2867" s="1"/>
      <c r="AU2867" s="1"/>
      <c r="AV2867" s="1"/>
      <c r="AW2867" s="1"/>
      <c r="AX2867" s="1"/>
      <c r="AY2867" s="1"/>
      <c r="AZ2867" s="1"/>
      <c r="BA2867" s="1"/>
      <c r="BB2867" s="1"/>
      <c r="BC2867" s="1"/>
      <c r="BD2867" s="1"/>
      <c r="BE2867" s="1"/>
    </row>
    <row x14ac:dyDescent="0.25" r="2868" customHeight="1" ht="18.75">
      <c r="A2868" s="1"/>
      <c r="B2868" s="2"/>
      <c r="C2868" s="2"/>
      <c r="D2868" s="2"/>
      <c r="E2868" s="2"/>
      <c r="F2868" s="2"/>
      <c r="G2868" s="1"/>
      <c r="H2868" s="1"/>
      <c r="I2868" s="7">
        <v>2.865</v>
      </c>
      <c r="J2868" s="7">
        <f>IF((I2868-ROUNDDOWN(I2868,0))=0, 0, (I2868-ROUNDDOWN(I2868,0)))</f>
      </c>
      <c r="K2868" s="7">
        <f>INDIRECT("C$"&amp;2+MIN(2,ROUNDDOWN(I2868,0))*3)*(-$J2868^3+3*$J2868^2-3*$J2868+1)+INDIRECT("C$"&amp;3+MIN(2,ROUNDDOWN(I2868,0))*3)*(3*$J2868^3-6*$J2868^2+3*$J2868)+INDIRECT("C$"&amp;4+MIN(2,ROUNDDOWN(I2868,0))*3)*(-3*$J2868^3+3*$J2868^2)+INDIRECT("C$"&amp;5+MIN(2,ROUNDDOWN(I2868,0))*3)*$J2868^3</f>
      </c>
      <c r="L2868" s="7">
        <f>INDIRECT("D$"&amp;2+MIN(2,ROUNDDOWN(I2868,0))*3)*(-$J2868^3+3*$J2868^2-3*$J2868+1)+INDIRECT("D$"&amp;3+MIN(2,ROUNDDOWN(I2868,0))*3)*(3*$J2868^3-6*$J2868^2+3*$J2868)+INDIRECT("D$"&amp;4+MIN(2,ROUNDDOWN(I2868,0))*3)*(-3*$J2868^3+3*$J2868^2)+INDIRECT("D$"&amp;5+MIN(2,ROUNDDOWN(I2868,0))*3)*$J2868^3</f>
      </c>
      <c r="M2868" s="7">
        <f>SQRT(K2868^2+L2868^2)</f>
      </c>
      <c r="N2868" s="7">
        <f>(K2869-K2867)</f>
      </c>
      <c r="O2868" s="7">
        <f>+(L2869-L2867)</f>
      </c>
      <c r="P2868" s="7">
        <f>SQRT(O2868^2+N2868^2)</f>
      </c>
      <c r="Q2868" s="7">
        <f>N2868/$P2868</f>
      </c>
      <c r="R2868" s="7">
        <f>O2868/$P2868</f>
      </c>
      <c r="S2868" s="8">
        <f>Q2868^2+R2868^2</f>
      </c>
      <c r="T2868" s="7">
        <f>-R2868</f>
      </c>
      <c r="U2868" s="7">
        <f>Q2868</f>
      </c>
      <c r="V2868" s="7">
        <f>($C$14+($C$15-$C$14)/($D$15-$D$14)*(I2868-$D$14))/2</f>
      </c>
      <c r="W2868" s="7">
        <f>($B$22*I2868^4+$C$22*I2868^3+$D$22*I2868^2+$E$22*I2868+$F$22)/2</f>
      </c>
      <c r="X2868" s="7">
        <f>($W2868)*(T2868)</f>
      </c>
      <c r="Y2868" s="7">
        <f>($W2868)*(U2868)</f>
      </c>
      <c r="Z2868" s="7">
        <f>SQRT(X2868^2+Y2868^2)</f>
      </c>
      <c r="AA2868" s="7">
        <f>$K2868+$X2868</f>
      </c>
      <c r="AB2868" s="7">
        <f>$L2868+$Y2868</f>
      </c>
      <c r="AC2868" s="7">
        <f>$K2868-$X2868</f>
      </c>
      <c r="AD2868" s="7">
        <f>$L2868-$Y2868</f>
      </c>
      <c r="AE2868" s="7">
        <f>AA2868/39.3701</f>
      </c>
      <c r="AF2868" s="7">
        <f>AB2868/39.3701</f>
      </c>
      <c r="AG2868" s="7">
        <f>AC2868/39.3701</f>
      </c>
      <c r="AH2868" s="7">
        <f>AD2868/39.3701</f>
      </c>
      <c r="AI2868" s="1"/>
      <c r="AJ2868" s="1"/>
      <c r="AK2868" s="1"/>
      <c r="AL2868" s="1"/>
      <c r="AM2868" s="2"/>
      <c r="AN2868" s="1"/>
      <c r="AO2868" s="1"/>
      <c r="AP2868" s="1"/>
      <c r="AQ2868" s="1"/>
      <c r="AR2868" s="1"/>
      <c r="AS2868" s="1"/>
      <c r="AT2868" s="1"/>
      <c r="AU2868" s="1"/>
      <c r="AV2868" s="1"/>
      <c r="AW2868" s="1"/>
      <c r="AX2868" s="1"/>
      <c r="AY2868" s="1"/>
      <c r="AZ2868" s="1"/>
      <c r="BA2868" s="1"/>
      <c r="BB2868" s="1"/>
      <c r="BC2868" s="1"/>
      <c r="BD2868" s="1"/>
      <c r="BE2868" s="1"/>
    </row>
    <row x14ac:dyDescent="0.25" r="2869" customHeight="1" ht="18.75">
      <c r="A2869" s="1"/>
      <c r="B2869" s="2"/>
      <c r="C2869" s="2"/>
      <c r="D2869" s="2"/>
      <c r="E2869" s="2"/>
      <c r="F2869" s="2"/>
      <c r="G2869" s="1"/>
      <c r="H2869" s="1"/>
      <c r="I2869" s="7">
        <v>2.866</v>
      </c>
      <c r="J2869" s="7">
        <f>IF((I2869-ROUNDDOWN(I2869,0))=0, 0, (I2869-ROUNDDOWN(I2869,0)))</f>
      </c>
      <c r="K2869" s="7">
        <f>INDIRECT("C$"&amp;2+MIN(2,ROUNDDOWN(I2869,0))*3)*(-$J2869^3+3*$J2869^2-3*$J2869+1)+INDIRECT("C$"&amp;3+MIN(2,ROUNDDOWN(I2869,0))*3)*(3*$J2869^3-6*$J2869^2+3*$J2869)+INDIRECT("C$"&amp;4+MIN(2,ROUNDDOWN(I2869,0))*3)*(-3*$J2869^3+3*$J2869^2)+INDIRECT("C$"&amp;5+MIN(2,ROUNDDOWN(I2869,0))*3)*$J2869^3</f>
      </c>
      <c r="L2869" s="7">
        <f>INDIRECT("D$"&amp;2+MIN(2,ROUNDDOWN(I2869,0))*3)*(-$J2869^3+3*$J2869^2-3*$J2869+1)+INDIRECT("D$"&amp;3+MIN(2,ROUNDDOWN(I2869,0))*3)*(3*$J2869^3-6*$J2869^2+3*$J2869)+INDIRECT("D$"&amp;4+MIN(2,ROUNDDOWN(I2869,0))*3)*(-3*$J2869^3+3*$J2869^2)+INDIRECT("D$"&amp;5+MIN(2,ROUNDDOWN(I2869,0))*3)*$J2869^3</f>
      </c>
      <c r="M2869" s="7">
        <f>SQRT(K2869^2+L2869^2)</f>
      </c>
      <c r="N2869" s="7">
        <f>(K2870-K2868)</f>
      </c>
      <c r="O2869" s="7">
        <f>+(L2870-L2868)</f>
      </c>
      <c r="P2869" s="7">
        <f>SQRT(O2869^2+N2869^2)</f>
      </c>
      <c r="Q2869" s="7">
        <f>N2869/$P2869</f>
      </c>
      <c r="R2869" s="7">
        <f>O2869/$P2869</f>
      </c>
      <c r="S2869" s="7">
        <f>Q2869^2+R2869^2</f>
      </c>
      <c r="T2869" s="7">
        <f>-R2869</f>
      </c>
      <c r="U2869" s="7">
        <f>Q2869</f>
      </c>
      <c r="V2869" s="7">
        <f>($C$14+($C$15-$C$14)/($D$15-$D$14)*(I2869-$D$14))/2</f>
      </c>
      <c r="W2869" s="7">
        <f>($B$22*I2869^4+$C$22*I2869^3+$D$22*I2869^2+$E$22*I2869+$F$22)/2</f>
      </c>
      <c r="X2869" s="7">
        <f>($W2869)*(T2869)</f>
      </c>
      <c r="Y2869" s="7">
        <f>($W2869)*(U2869)</f>
      </c>
      <c r="Z2869" s="7">
        <f>SQRT(X2869^2+Y2869^2)</f>
      </c>
      <c r="AA2869" s="7">
        <f>$K2869+$X2869</f>
      </c>
      <c r="AB2869" s="7">
        <f>$L2869+$Y2869</f>
      </c>
      <c r="AC2869" s="7">
        <f>$K2869-$X2869</f>
      </c>
      <c r="AD2869" s="7">
        <f>$L2869-$Y2869</f>
      </c>
      <c r="AE2869" s="7">
        <f>AA2869/39.3701</f>
      </c>
      <c r="AF2869" s="7">
        <f>AB2869/39.3701</f>
      </c>
      <c r="AG2869" s="7">
        <f>AC2869/39.3701</f>
      </c>
      <c r="AH2869" s="7">
        <f>AD2869/39.3701</f>
      </c>
      <c r="AI2869" s="1"/>
      <c r="AJ2869" s="1"/>
      <c r="AK2869" s="1"/>
      <c r="AL2869" s="1"/>
      <c r="AM2869" s="2"/>
      <c r="AN2869" s="1"/>
      <c r="AO2869" s="1"/>
      <c r="AP2869" s="1"/>
      <c r="AQ2869" s="1"/>
      <c r="AR2869" s="1"/>
      <c r="AS2869" s="1"/>
      <c r="AT2869" s="1"/>
      <c r="AU2869" s="1"/>
      <c r="AV2869" s="1"/>
      <c r="AW2869" s="1"/>
      <c r="AX2869" s="1"/>
      <c r="AY2869" s="1"/>
      <c r="AZ2869" s="1"/>
      <c r="BA2869" s="1"/>
      <c r="BB2869" s="1"/>
      <c r="BC2869" s="1"/>
      <c r="BD2869" s="1"/>
      <c r="BE2869" s="1"/>
    </row>
    <row x14ac:dyDescent="0.25" r="2870" customHeight="1" ht="18.75">
      <c r="A2870" s="1"/>
      <c r="B2870" s="2"/>
      <c r="C2870" s="2"/>
      <c r="D2870" s="2"/>
      <c r="E2870" s="2"/>
      <c r="F2870" s="2"/>
      <c r="G2870" s="1"/>
      <c r="H2870" s="1"/>
      <c r="I2870" s="7">
        <v>2.867</v>
      </c>
      <c r="J2870" s="7">
        <f>IF((I2870-ROUNDDOWN(I2870,0))=0, 0, (I2870-ROUNDDOWN(I2870,0)))</f>
      </c>
      <c r="K2870" s="7">
        <f>INDIRECT("C$"&amp;2+MIN(2,ROUNDDOWN(I2870,0))*3)*(-$J2870^3+3*$J2870^2-3*$J2870+1)+INDIRECT("C$"&amp;3+MIN(2,ROUNDDOWN(I2870,0))*3)*(3*$J2870^3-6*$J2870^2+3*$J2870)+INDIRECT("C$"&amp;4+MIN(2,ROUNDDOWN(I2870,0))*3)*(-3*$J2870^3+3*$J2870^2)+INDIRECT("C$"&amp;5+MIN(2,ROUNDDOWN(I2870,0))*3)*$J2870^3</f>
      </c>
      <c r="L2870" s="7">
        <f>INDIRECT("D$"&amp;2+MIN(2,ROUNDDOWN(I2870,0))*3)*(-$J2870^3+3*$J2870^2-3*$J2870+1)+INDIRECT("D$"&amp;3+MIN(2,ROUNDDOWN(I2870,0))*3)*(3*$J2870^3-6*$J2870^2+3*$J2870)+INDIRECT("D$"&amp;4+MIN(2,ROUNDDOWN(I2870,0))*3)*(-3*$J2870^3+3*$J2870^2)+INDIRECT("D$"&amp;5+MIN(2,ROUNDDOWN(I2870,0))*3)*$J2870^3</f>
      </c>
      <c r="M2870" s="7">
        <f>SQRT(K2870^2+L2870^2)</f>
      </c>
      <c r="N2870" s="7">
        <f>(K2871-K2869)</f>
      </c>
      <c r="O2870" s="7">
        <f>+(L2871-L2869)</f>
      </c>
      <c r="P2870" s="7">
        <f>SQRT(O2870^2+N2870^2)</f>
      </c>
      <c r="Q2870" s="7">
        <f>N2870/$P2870</f>
      </c>
      <c r="R2870" s="7">
        <f>O2870/$P2870</f>
      </c>
      <c r="S2870" s="8">
        <f>Q2870^2+R2870^2</f>
      </c>
      <c r="T2870" s="7">
        <f>-R2870</f>
      </c>
      <c r="U2870" s="7">
        <f>Q2870</f>
      </c>
      <c r="V2870" s="7">
        <f>($C$14+($C$15-$C$14)/($D$15-$D$14)*(I2870-$D$14))/2</f>
      </c>
      <c r="W2870" s="7">
        <f>($B$22*I2870^4+$C$22*I2870^3+$D$22*I2870^2+$E$22*I2870+$F$22)/2</f>
      </c>
      <c r="X2870" s="7">
        <f>($W2870)*(T2870)</f>
      </c>
      <c r="Y2870" s="7">
        <f>($W2870)*(U2870)</f>
      </c>
      <c r="Z2870" s="7">
        <f>SQRT(X2870^2+Y2870^2)</f>
      </c>
      <c r="AA2870" s="7">
        <f>$K2870+$X2870</f>
      </c>
      <c r="AB2870" s="7">
        <f>$L2870+$Y2870</f>
      </c>
      <c r="AC2870" s="7">
        <f>$K2870-$X2870</f>
      </c>
      <c r="AD2870" s="7">
        <f>$L2870-$Y2870</f>
      </c>
      <c r="AE2870" s="7">
        <f>AA2870/39.3701</f>
      </c>
      <c r="AF2870" s="7">
        <f>AB2870/39.3701</f>
      </c>
      <c r="AG2870" s="7">
        <f>AC2870/39.3701</f>
      </c>
      <c r="AH2870" s="7">
        <f>AD2870/39.3701</f>
      </c>
      <c r="AI2870" s="1"/>
      <c r="AJ2870" s="1"/>
      <c r="AK2870" s="1"/>
      <c r="AL2870" s="1"/>
      <c r="AM2870" s="2"/>
      <c r="AN2870" s="1"/>
      <c r="AO2870" s="1"/>
      <c r="AP2870" s="1"/>
      <c r="AQ2870" s="1"/>
      <c r="AR2870" s="1"/>
      <c r="AS2870" s="1"/>
      <c r="AT2870" s="1"/>
      <c r="AU2870" s="1"/>
      <c r="AV2870" s="1"/>
      <c r="AW2870" s="1"/>
      <c r="AX2870" s="1"/>
      <c r="AY2870" s="1"/>
      <c r="AZ2870" s="1"/>
      <c r="BA2870" s="1"/>
      <c r="BB2870" s="1"/>
      <c r="BC2870" s="1"/>
      <c r="BD2870" s="1"/>
      <c r="BE2870" s="1"/>
    </row>
    <row x14ac:dyDescent="0.25" r="2871" customHeight="1" ht="18.75">
      <c r="A2871" s="1"/>
      <c r="B2871" s="2"/>
      <c r="C2871" s="2"/>
      <c r="D2871" s="2"/>
      <c r="E2871" s="2"/>
      <c r="F2871" s="2"/>
      <c r="G2871" s="1"/>
      <c r="H2871" s="1"/>
      <c r="I2871" s="7">
        <v>2.868</v>
      </c>
      <c r="J2871" s="7">
        <f>IF((I2871-ROUNDDOWN(I2871,0))=0, 0, (I2871-ROUNDDOWN(I2871,0)))</f>
      </c>
      <c r="K2871" s="7">
        <f>INDIRECT("C$"&amp;2+MIN(2,ROUNDDOWN(I2871,0))*3)*(-$J2871^3+3*$J2871^2-3*$J2871+1)+INDIRECT("C$"&amp;3+MIN(2,ROUNDDOWN(I2871,0))*3)*(3*$J2871^3-6*$J2871^2+3*$J2871)+INDIRECT("C$"&amp;4+MIN(2,ROUNDDOWN(I2871,0))*3)*(-3*$J2871^3+3*$J2871^2)+INDIRECT("C$"&amp;5+MIN(2,ROUNDDOWN(I2871,0))*3)*$J2871^3</f>
      </c>
      <c r="L2871" s="7">
        <f>INDIRECT("D$"&amp;2+MIN(2,ROUNDDOWN(I2871,0))*3)*(-$J2871^3+3*$J2871^2-3*$J2871+1)+INDIRECT("D$"&amp;3+MIN(2,ROUNDDOWN(I2871,0))*3)*(3*$J2871^3-6*$J2871^2+3*$J2871)+INDIRECT("D$"&amp;4+MIN(2,ROUNDDOWN(I2871,0))*3)*(-3*$J2871^3+3*$J2871^2)+INDIRECT("D$"&amp;5+MIN(2,ROUNDDOWN(I2871,0))*3)*$J2871^3</f>
      </c>
      <c r="M2871" s="7">
        <f>SQRT(K2871^2+L2871^2)</f>
      </c>
      <c r="N2871" s="7">
        <f>(K2872-K2870)</f>
      </c>
      <c r="O2871" s="7">
        <f>+(L2872-L2870)</f>
      </c>
      <c r="P2871" s="7">
        <f>SQRT(O2871^2+N2871^2)</f>
      </c>
      <c r="Q2871" s="7">
        <f>N2871/$P2871</f>
      </c>
      <c r="R2871" s="7">
        <f>O2871/$P2871</f>
      </c>
      <c r="S2871" s="8">
        <f>Q2871^2+R2871^2</f>
      </c>
      <c r="T2871" s="7">
        <f>-R2871</f>
      </c>
      <c r="U2871" s="7">
        <f>Q2871</f>
      </c>
      <c r="V2871" s="7">
        <f>($C$14+($C$15-$C$14)/($D$15-$D$14)*(I2871-$D$14))/2</f>
      </c>
      <c r="W2871" s="7">
        <f>($B$22*I2871^4+$C$22*I2871^3+$D$22*I2871^2+$E$22*I2871+$F$22)/2</f>
      </c>
      <c r="X2871" s="7">
        <f>($W2871)*(T2871)</f>
      </c>
      <c r="Y2871" s="7">
        <f>($W2871)*(U2871)</f>
      </c>
      <c r="Z2871" s="7">
        <f>SQRT(X2871^2+Y2871^2)</f>
      </c>
      <c r="AA2871" s="7">
        <f>$K2871+$X2871</f>
      </c>
      <c r="AB2871" s="7">
        <f>$L2871+$Y2871</f>
      </c>
      <c r="AC2871" s="7">
        <f>$K2871-$X2871</f>
      </c>
      <c r="AD2871" s="7">
        <f>$L2871-$Y2871</f>
      </c>
      <c r="AE2871" s="7">
        <f>AA2871/39.3701</f>
      </c>
      <c r="AF2871" s="7">
        <f>AB2871/39.3701</f>
      </c>
      <c r="AG2871" s="7">
        <f>AC2871/39.3701</f>
      </c>
      <c r="AH2871" s="7">
        <f>AD2871/39.3701</f>
      </c>
      <c r="AI2871" s="1"/>
      <c r="AJ2871" s="1"/>
      <c r="AK2871" s="1"/>
      <c r="AL2871" s="1"/>
      <c r="AM2871" s="2"/>
      <c r="AN2871" s="1"/>
      <c r="AO2871" s="1"/>
      <c r="AP2871" s="1"/>
      <c r="AQ2871" s="1"/>
      <c r="AR2871" s="1"/>
      <c r="AS2871" s="1"/>
      <c r="AT2871" s="1"/>
      <c r="AU2871" s="1"/>
      <c r="AV2871" s="1"/>
      <c r="AW2871" s="1"/>
      <c r="AX2871" s="1"/>
      <c r="AY2871" s="1"/>
      <c r="AZ2871" s="1"/>
      <c r="BA2871" s="1"/>
      <c r="BB2871" s="1"/>
      <c r="BC2871" s="1"/>
      <c r="BD2871" s="1"/>
      <c r="BE2871" s="1"/>
    </row>
    <row x14ac:dyDescent="0.25" r="2872" customHeight="1" ht="18.75">
      <c r="A2872" s="1"/>
      <c r="B2872" s="2"/>
      <c r="C2872" s="2"/>
      <c r="D2872" s="2"/>
      <c r="E2872" s="2"/>
      <c r="F2872" s="2"/>
      <c r="G2872" s="1"/>
      <c r="H2872" s="1"/>
      <c r="I2872" s="7">
        <v>2.869</v>
      </c>
      <c r="J2872" s="7">
        <f>IF((I2872-ROUNDDOWN(I2872,0))=0, 0, (I2872-ROUNDDOWN(I2872,0)))</f>
      </c>
      <c r="K2872" s="7">
        <f>INDIRECT("C$"&amp;2+MIN(2,ROUNDDOWN(I2872,0))*3)*(-$J2872^3+3*$J2872^2-3*$J2872+1)+INDIRECT("C$"&amp;3+MIN(2,ROUNDDOWN(I2872,0))*3)*(3*$J2872^3-6*$J2872^2+3*$J2872)+INDIRECT("C$"&amp;4+MIN(2,ROUNDDOWN(I2872,0))*3)*(-3*$J2872^3+3*$J2872^2)+INDIRECT("C$"&amp;5+MIN(2,ROUNDDOWN(I2872,0))*3)*$J2872^3</f>
      </c>
      <c r="L2872" s="7">
        <f>INDIRECT("D$"&amp;2+MIN(2,ROUNDDOWN(I2872,0))*3)*(-$J2872^3+3*$J2872^2-3*$J2872+1)+INDIRECT("D$"&amp;3+MIN(2,ROUNDDOWN(I2872,0))*3)*(3*$J2872^3-6*$J2872^2+3*$J2872)+INDIRECT("D$"&amp;4+MIN(2,ROUNDDOWN(I2872,0))*3)*(-3*$J2872^3+3*$J2872^2)+INDIRECT("D$"&amp;5+MIN(2,ROUNDDOWN(I2872,0))*3)*$J2872^3</f>
      </c>
      <c r="M2872" s="7">
        <f>SQRT(K2872^2+L2872^2)</f>
      </c>
      <c r="N2872" s="7">
        <f>(K2873-K2871)</f>
      </c>
      <c r="O2872" s="7">
        <f>+(L2873-L2871)</f>
      </c>
      <c r="P2872" s="7">
        <f>SQRT(O2872^2+N2872^2)</f>
      </c>
      <c r="Q2872" s="7">
        <f>N2872/$P2872</f>
      </c>
      <c r="R2872" s="7">
        <f>O2872/$P2872</f>
      </c>
      <c r="S2872" s="7">
        <f>Q2872^2+R2872^2</f>
      </c>
      <c r="T2872" s="7">
        <f>-R2872</f>
      </c>
      <c r="U2872" s="7">
        <f>Q2872</f>
      </c>
      <c r="V2872" s="7">
        <f>($C$14+($C$15-$C$14)/($D$15-$D$14)*(I2872-$D$14))/2</f>
      </c>
      <c r="W2872" s="7">
        <f>($B$22*I2872^4+$C$22*I2872^3+$D$22*I2872^2+$E$22*I2872+$F$22)/2</f>
      </c>
      <c r="X2872" s="7">
        <f>($W2872)*(T2872)</f>
      </c>
      <c r="Y2872" s="7">
        <f>($W2872)*(U2872)</f>
      </c>
      <c r="Z2872" s="7">
        <f>SQRT(X2872^2+Y2872^2)</f>
      </c>
      <c r="AA2872" s="7">
        <f>$K2872+$X2872</f>
      </c>
      <c r="AB2872" s="7">
        <f>$L2872+$Y2872</f>
      </c>
      <c r="AC2872" s="7">
        <f>$K2872-$X2872</f>
      </c>
      <c r="AD2872" s="7">
        <f>$L2872-$Y2872</f>
      </c>
      <c r="AE2872" s="7">
        <f>AA2872/39.3701</f>
      </c>
      <c r="AF2872" s="7">
        <f>AB2872/39.3701</f>
      </c>
      <c r="AG2872" s="7">
        <f>AC2872/39.3701</f>
      </c>
      <c r="AH2872" s="7">
        <f>AD2872/39.3701</f>
      </c>
      <c r="AI2872" s="1"/>
      <c r="AJ2872" s="1"/>
      <c r="AK2872" s="1"/>
      <c r="AL2872" s="1"/>
      <c r="AM2872" s="2"/>
      <c r="AN2872" s="1"/>
      <c r="AO2872" s="1"/>
      <c r="AP2872" s="1"/>
      <c r="AQ2872" s="1"/>
      <c r="AR2872" s="1"/>
      <c r="AS2872" s="1"/>
      <c r="AT2872" s="1"/>
      <c r="AU2872" s="1"/>
      <c r="AV2872" s="1"/>
      <c r="AW2872" s="1"/>
      <c r="AX2872" s="1"/>
      <c r="AY2872" s="1"/>
      <c r="AZ2872" s="1"/>
      <c r="BA2872" s="1"/>
      <c r="BB2872" s="1"/>
      <c r="BC2872" s="1"/>
      <c r="BD2872" s="1"/>
      <c r="BE2872" s="1"/>
    </row>
    <row x14ac:dyDescent="0.25" r="2873" customHeight="1" ht="18.75">
      <c r="A2873" s="1"/>
      <c r="B2873" s="2"/>
      <c r="C2873" s="2"/>
      <c r="D2873" s="2"/>
      <c r="E2873" s="2"/>
      <c r="F2873" s="2"/>
      <c r="G2873" s="1"/>
      <c r="H2873" s="1"/>
      <c r="I2873" s="7">
        <v>2.87</v>
      </c>
      <c r="J2873" s="7">
        <f>IF((I2873-ROUNDDOWN(I2873,0))=0, 0, (I2873-ROUNDDOWN(I2873,0)))</f>
      </c>
      <c r="K2873" s="7">
        <f>INDIRECT("C$"&amp;2+MIN(2,ROUNDDOWN(I2873,0))*3)*(-$J2873^3+3*$J2873^2-3*$J2873+1)+INDIRECT("C$"&amp;3+MIN(2,ROUNDDOWN(I2873,0))*3)*(3*$J2873^3-6*$J2873^2+3*$J2873)+INDIRECT("C$"&amp;4+MIN(2,ROUNDDOWN(I2873,0))*3)*(-3*$J2873^3+3*$J2873^2)+INDIRECT("C$"&amp;5+MIN(2,ROUNDDOWN(I2873,0))*3)*$J2873^3</f>
      </c>
      <c r="L2873" s="7">
        <f>INDIRECT("D$"&amp;2+MIN(2,ROUNDDOWN(I2873,0))*3)*(-$J2873^3+3*$J2873^2-3*$J2873+1)+INDIRECT("D$"&amp;3+MIN(2,ROUNDDOWN(I2873,0))*3)*(3*$J2873^3-6*$J2873^2+3*$J2873)+INDIRECT("D$"&amp;4+MIN(2,ROUNDDOWN(I2873,0))*3)*(-3*$J2873^3+3*$J2873^2)+INDIRECT("D$"&amp;5+MIN(2,ROUNDDOWN(I2873,0))*3)*$J2873^3</f>
      </c>
      <c r="M2873" s="7">
        <f>SQRT(K2873^2+L2873^2)</f>
      </c>
      <c r="N2873" s="7">
        <f>(K2874-K2872)</f>
      </c>
      <c r="O2873" s="7">
        <f>+(L2874-L2872)</f>
      </c>
      <c r="P2873" s="7">
        <f>SQRT(O2873^2+N2873^2)</f>
      </c>
      <c r="Q2873" s="7">
        <f>N2873/$P2873</f>
      </c>
      <c r="R2873" s="7">
        <f>O2873/$P2873</f>
      </c>
      <c r="S2873" s="7">
        <f>Q2873^2+R2873^2</f>
      </c>
      <c r="T2873" s="7">
        <f>-R2873</f>
      </c>
      <c r="U2873" s="7">
        <f>Q2873</f>
      </c>
      <c r="V2873" s="7">
        <f>($C$14+($C$15-$C$14)/($D$15-$D$14)*(I2873-$D$14))/2</f>
      </c>
      <c r="W2873" s="7">
        <f>($B$22*I2873^4+$C$22*I2873^3+$D$22*I2873^2+$E$22*I2873+$F$22)/2</f>
      </c>
      <c r="X2873" s="7">
        <f>($W2873)*(T2873)</f>
      </c>
      <c r="Y2873" s="7">
        <f>($W2873)*(U2873)</f>
      </c>
      <c r="Z2873" s="7">
        <f>SQRT(X2873^2+Y2873^2)</f>
      </c>
      <c r="AA2873" s="7">
        <f>$K2873+$X2873</f>
      </c>
      <c r="AB2873" s="7">
        <f>$L2873+$Y2873</f>
      </c>
      <c r="AC2873" s="7">
        <f>$K2873-$X2873</f>
      </c>
      <c r="AD2873" s="7">
        <f>$L2873-$Y2873</f>
      </c>
      <c r="AE2873" s="7">
        <f>AA2873/39.3701</f>
      </c>
      <c r="AF2873" s="7">
        <f>AB2873/39.3701</f>
      </c>
      <c r="AG2873" s="7">
        <f>AC2873/39.3701</f>
      </c>
      <c r="AH2873" s="7">
        <f>AD2873/39.3701</f>
      </c>
      <c r="AI2873" s="1"/>
      <c r="AJ2873" s="1"/>
      <c r="AK2873" s="1"/>
      <c r="AL2873" s="1"/>
      <c r="AM2873" s="2"/>
      <c r="AN2873" s="1"/>
      <c r="AO2873" s="1"/>
      <c r="AP2873" s="1"/>
      <c r="AQ2873" s="1"/>
      <c r="AR2873" s="1"/>
      <c r="AS2873" s="1"/>
      <c r="AT2873" s="1"/>
      <c r="AU2873" s="1"/>
      <c r="AV2873" s="1"/>
      <c r="AW2873" s="1"/>
      <c r="AX2873" s="1"/>
      <c r="AY2873" s="1"/>
      <c r="AZ2873" s="1"/>
      <c r="BA2873" s="1"/>
      <c r="BB2873" s="1"/>
      <c r="BC2873" s="1"/>
      <c r="BD2873" s="1"/>
      <c r="BE2873" s="1"/>
    </row>
    <row x14ac:dyDescent="0.25" r="2874" customHeight="1" ht="18.75">
      <c r="A2874" s="1"/>
      <c r="B2874" s="2"/>
      <c r="C2874" s="2"/>
      <c r="D2874" s="2"/>
      <c r="E2874" s="2"/>
      <c r="F2874" s="2"/>
      <c r="G2874" s="1"/>
      <c r="H2874" s="1"/>
      <c r="I2874" s="7">
        <v>2.871</v>
      </c>
      <c r="J2874" s="7">
        <f>IF((I2874-ROUNDDOWN(I2874,0))=0, 0, (I2874-ROUNDDOWN(I2874,0)))</f>
      </c>
      <c r="K2874" s="7">
        <f>INDIRECT("C$"&amp;2+MIN(2,ROUNDDOWN(I2874,0))*3)*(-$J2874^3+3*$J2874^2-3*$J2874+1)+INDIRECT("C$"&amp;3+MIN(2,ROUNDDOWN(I2874,0))*3)*(3*$J2874^3-6*$J2874^2+3*$J2874)+INDIRECT("C$"&amp;4+MIN(2,ROUNDDOWN(I2874,0))*3)*(-3*$J2874^3+3*$J2874^2)+INDIRECT("C$"&amp;5+MIN(2,ROUNDDOWN(I2874,0))*3)*$J2874^3</f>
      </c>
      <c r="L2874" s="7">
        <f>INDIRECT("D$"&amp;2+MIN(2,ROUNDDOWN(I2874,0))*3)*(-$J2874^3+3*$J2874^2-3*$J2874+1)+INDIRECT("D$"&amp;3+MIN(2,ROUNDDOWN(I2874,0))*3)*(3*$J2874^3-6*$J2874^2+3*$J2874)+INDIRECT("D$"&amp;4+MIN(2,ROUNDDOWN(I2874,0))*3)*(-3*$J2874^3+3*$J2874^2)+INDIRECT("D$"&amp;5+MIN(2,ROUNDDOWN(I2874,0))*3)*$J2874^3</f>
      </c>
      <c r="M2874" s="7">
        <f>SQRT(K2874^2+L2874^2)</f>
      </c>
      <c r="N2874" s="7">
        <f>(K2875-K2873)</f>
      </c>
      <c r="O2874" s="7">
        <f>+(L2875-L2873)</f>
      </c>
      <c r="P2874" s="7">
        <f>SQRT(O2874^2+N2874^2)</f>
      </c>
      <c r="Q2874" s="7">
        <f>N2874/$P2874</f>
      </c>
      <c r="R2874" s="7">
        <f>O2874/$P2874</f>
      </c>
      <c r="S2874" s="8">
        <f>Q2874^2+R2874^2</f>
      </c>
      <c r="T2874" s="7">
        <f>-R2874</f>
      </c>
      <c r="U2874" s="7">
        <f>Q2874</f>
      </c>
      <c r="V2874" s="7">
        <f>($C$14+($C$15-$C$14)/($D$15-$D$14)*(I2874-$D$14))/2</f>
      </c>
      <c r="W2874" s="7">
        <f>($B$22*I2874^4+$C$22*I2874^3+$D$22*I2874^2+$E$22*I2874+$F$22)/2</f>
      </c>
      <c r="X2874" s="7">
        <f>($W2874)*(T2874)</f>
      </c>
      <c r="Y2874" s="7">
        <f>($W2874)*(U2874)</f>
      </c>
      <c r="Z2874" s="7">
        <f>SQRT(X2874^2+Y2874^2)</f>
      </c>
      <c r="AA2874" s="7">
        <f>$K2874+$X2874</f>
      </c>
      <c r="AB2874" s="7">
        <f>$L2874+$Y2874</f>
      </c>
      <c r="AC2874" s="7">
        <f>$K2874-$X2874</f>
      </c>
      <c r="AD2874" s="7">
        <f>$L2874-$Y2874</f>
      </c>
      <c r="AE2874" s="7">
        <f>AA2874/39.3701</f>
      </c>
      <c r="AF2874" s="7">
        <f>AB2874/39.3701</f>
      </c>
      <c r="AG2874" s="7">
        <f>AC2874/39.3701</f>
      </c>
      <c r="AH2874" s="7">
        <f>AD2874/39.3701</f>
      </c>
      <c r="AI2874" s="1"/>
      <c r="AJ2874" s="1"/>
      <c r="AK2874" s="1"/>
      <c r="AL2874" s="1"/>
      <c r="AM2874" s="2"/>
      <c r="AN2874" s="1"/>
      <c r="AO2874" s="1"/>
      <c r="AP2874" s="1"/>
      <c r="AQ2874" s="1"/>
      <c r="AR2874" s="1"/>
      <c r="AS2874" s="1"/>
      <c r="AT2874" s="1"/>
      <c r="AU2874" s="1"/>
      <c r="AV2874" s="1"/>
      <c r="AW2874" s="1"/>
      <c r="AX2874" s="1"/>
      <c r="AY2874" s="1"/>
      <c r="AZ2874" s="1"/>
      <c r="BA2874" s="1"/>
      <c r="BB2874" s="1"/>
      <c r="BC2874" s="1"/>
      <c r="BD2874" s="1"/>
      <c r="BE2874" s="1"/>
    </row>
    <row x14ac:dyDescent="0.25" r="2875" customHeight="1" ht="18.75">
      <c r="A2875" s="1"/>
      <c r="B2875" s="2"/>
      <c r="C2875" s="2"/>
      <c r="D2875" s="2"/>
      <c r="E2875" s="2"/>
      <c r="F2875" s="2"/>
      <c r="G2875" s="1"/>
      <c r="H2875" s="1"/>
      <c r="I2875" s="7">
        <v>2.872</v>
      </c>
      <c r="J2875" s="7">
        <f>IF((I2875-ROUNDDOWN(I2875,0))=0, 0, (I2875-ROUNDDOWN(I2875,0)))</f>
      </c>
      <c r="K2875" s="7">
        <f>INDIRECT("C$"&amp;2+MIN(2,ROUNDDOWN(I2875,0))*3)*(-$J2875^3+3*$J2875^2-3*$J2875+1)+INDIRECT("C$"&amp;3+MIN(2,ROUNDDOWN(I2875,0))*3)*(3*$J2875^3-6*$J2875^2+3*$J2875)+INDIRECT("C$"&amp;4+MIN(2,ROUNDDOWN(I2875,0))*3)*(-3*$J2875^3+3*$J2875^2)+INDIRECT("C$"&amp;5+MIN(2,ROUNDDOWN(I2875,0))*3)*$J2875^3</f>
      </c>
      <c r="L2875" s="7">
        <f>INDIRECT("D$"&amp;2+MIN(2,ROUNDDOWN(I2875,0))*3)*(-$J2875^3+3*$J2875^2-3*$J2875+1)+INDIRECT("D$"&amp;3+MIN(2,ROUNDDOWN(I2875,0))*3)*(3*$J2875^3-6*$J2875^2+3*$J2875)+INDIRECT("D$"&amp;4+MIN(2,ROUNDDOWN(I2875,0))*3)*(-3*$J2875^3+3*$J2875^2)+INDIRECT("D$"&amp;5+MIN(2,ROUNDDOWN(I2875,0))*3)*$J2875^3</f>
      </c>
      <c r="M2875" s="7">
        <f>SQRT(K2875^2+L2875^2)</f>
      </c>
      <c r="N2875" s="7">
        <f>(K2876-K2874)</f>
      </c>
      <c r="O2875" s="7">
        <f>+(L2876-L2874)</f>
      </c>
      <c r="P2875" s="7">
        <f>SQRT(O2875^2+N2875^2)</f>
      </c>
      <c r="Q2875" s="7">
        <f>N2875/$P2875</f>
      </c>
      <c r="R2875" s="7">
        <f>O2875/$P2875</f>
      </c>
      <c r="S2875" s="8">
        <f>Q2875^2+R2875^2</f>
      </c>
      <c r="T2875" s="7">
        <f>-R2875</f>
      </c>
      <c r="U2875" s="7">
        <f>Q2875</f>
      </c>
      <c r="V2875" s="7">
        <f>($C$14+($C$15-$C$14)/($D$15-$D$14)*(I2875-$D$14))/2</f>
      </c>
      <c r="W2875" s="7">
        <f>($B$22*I2875^4+$C$22*I2875^3+$D$22*I2875^2+$E$22*I2875+$F$22)/2</f>
      </c>
      <c r="X2875" s="7">
        <f>($W2875)*(T2875)</f>
      </c>
      <c r="Y2875" s="7">
        <f>($W2875)*(U2875)</f>
      </c>
      <c r="Z2875" s="7">
        <f>SQRT(X2875^2+Y2875^2)</f>
      </c>
      <c r="AA2875" s="7">
        <f>$K2875+$X2875</f>
      </c>
      <c r="AB2875" s="7">
        <f>$L2875+$Y2875</f>
      </c>
      <c r="AC2875" s="7">
        <f>$K2875-$X2875</f>
      </c>
      <c r="AD2875" s="7">
        <f>$L2875-$Y2875</f>
      </c>
      <c r="AE2875" s="7">
        <f>AA2875/39.3701</f>
      </c>
      <c r="AF2875" s="7">
        <f>AB2875/39.3701</f>
      </c>
      <c r="AG2875" s="7">
        <f>AC2875/39.3701</f>
      </c>
      <c r="AH2875" s="7">
        <f>AD2875/39.3701</f>
      </c>
      <c r="AI2875" s="1"/>
      <c r="AJ2875" s="1"/>
      <c r="AK2875" s="1"/>
      <c r="AL2875" s="1"/>
      <c r="AM2875" s="2"/>
      <c r="AN2875" s="1"/>
      <c r="AO2875" s="1"/>
      <c r="AP2875" s="1"/>
      <c r="AQ2875" s="1"/>
      <c r="AR2875" s="1"/>
      <c r="AS2875" s="1"/>
      <c r="AT2875" s="1"/>
      <c r="AU2875" s="1"/>
      <c r="AV2875" s="1"/>
      <c r="AW2875" s="1"/>
      <c r="AX2875" s="1"/>
      <c r="AY2875" s="1"/>
      <c r="AZ2875" s="1"/>
      <c r="BA2875" s="1"/>
      <c r="BB2875" s="1"/>
      <c r="BC2875" s="1"/>
      <c r="BD2875" s="1"/>
      <c r="BE2875" s="1"/>
    </row>
    <row x14ac:dyDescent="0.25" r="2876" customHeight="1" ht="18.75">
      <c r="A2876" s="1"/>
      <c r="B2876" s="2"/>
      <c r="C2876" s="2"/>
      <c r="D2876" s="2"/>
      <c r="E2876" s="2"/>
      <c r="F2876" s="2"/>
      <c r="G2876" s="1"/>
      <c r="H2876" s="1"/>
      <c r="I2876" s="7">
        <v>2.873</v>
      </c>
      <c r="J2876" s="7">
        <f>IF((I2876-ROUNDDOWN(I2876,0))=0, 0, (I2876-ROUNDDOWN(I2876,0)))</f>
      </c>
      <c r="K2876" s="7">
        <f>INDIRECT("C$"&amp;2+MIN(2,ROUNDDOWN(I2876,0))*3)*(-$J2876^3+3*$J2876^2-3*$J2876+1)+INDIRECT("C$"&amp;3+MIN(2,ROUNDDOWN(I2876,0))*3)*(3*$J2876^3-6*$J2876^2+3*$J2876)+INDIRECT("C$"&amp;4+MIN(2,ROUNDDOWN(I2876,0))*3)*(-3*$J2876^3+3*$J2876^2)+INDIRECT("C$"&amp;5+MIN(2,ROUNDDOWN(I2876,0))*3)*$J2876^3</f>
      </c>
      <c r="L2876" s="7">
        <f>INDIRECT("D$"&amp;2+MIN(2,ROUNDDOWN(I2876,0))*3)*(-$J2876^3+3*$J2876^2-3*$J2876+1)+INDIRECT("D$"&amp;3+MIN(2,ROUNDDOWN(I2876,0))*3)*(3*$J2876^3-6*$J2876^2+3*$J2876)+INDIRECT("D$"&amp;4+MIN(2,ROUNDDOWN(I2876,0))*3)*(-3*$J2876^3+3*$J2876^2)+INDIRECT("D$"&amp;5+MIN(2,ROUNDDOWN(I2876,0))*3)*$J2876^3</f>
      </c>
      <c r="M2876" s="7">
        <f>SQRT(K2876^2+L2876^2)</f>
      </c>
      <c r="N2876" s="7">
        <f>(K2877-K2875)</f>
      </c>
      <c r="O2876" s="7">
        <f>+(L2877-L2875)</f>
      </c>
      <c r="P2876" s="7">
        <f>SQRT(O2876^2+N2876^2)</f>
      </c>
      <c r="Q2876" s="7">
        <f>N2876/$P2876</f>
      </c>
      <c r="R2876" s="7">
        <f>O2876/$P2876</f>
      </c>
      <c r="S2876" s="8">
        <f>Q2876^2+R2876^2</f>
      </c>
      <c r="T2876" s="7">
        <f>-R2876</f>
      </c>
      <c r="U2876" s="7">
        <f>Q2876</f>
      </c>
      <c r="V2876" s="7">
        <f>($C$14+($C$15-$C$14)/($D$15-$D$14)*(I2876-$D$14))/2</f>
      </c>
      <c r="W2876" s="7">
        <f>($B$22*I2876^4+$C$22*I2876^3+$D$22*I2876^2+$E$22*I2876+$F$22)/2</f>
      </c>
      <c r="X2876" s="7">
        <f>($W2876)*(T2876)</f>
      </c>
      <c r="Y2876" s="7">
        <f>($W2876)*(U2876)</f>
      </c>
      <c r="Z2876" s="7">
        <f>SQRT(X2876^2+Y2876^2)</f>
      </c>
      <c r="AA2876" s="7">
        <f>$K2876+$X2876</f>
      </c>
      <c r="AB2876" s="7">
        <f>$L2876+$Y2876</f>
      </c>
      <c r="AC2876" s="7">
        <f>$K2876-$X2876</f>
      </c>
      <c r="AD2876" s="7">
        <f>$L2876-$Y2876</f>
      </c>
      <c r="AE2876" s="7">
        <f>AA2876/39.3701</f>
      </c>
      <c r="AF2876" s="7">
        <f>AB2876/39.3701</f>
      </c>
      <c r="AG2876" s="7">
        <f>AC2876/39.3701</f>
      </c>
      <c r="AH2876" s="7">
        <f>AD2876/39.3701</f>
      </c>
      <c r="AI2876" s="1"/>
      <c r="AJ2876" s="1"/>
      <c r="AK2876" s="1"/>
      <c r="AL2876" s="1"/>
      <c r="AM2876" s="2"/>
      <c r="AN2876" s="1"/>
      <c r="AO2876" s="1"/>
      <c r="AP2876" s="1"/>
      <c r="AQ2876" s="1"/>
      <c r="AR2876" s="1"/>
      <c r="AS2876" s="1"/>
      <c r="AT2876" s="1"/>
      <c r="AU2876" s="1"/>
      <c r="AV2876" s="1"/>
      <c r="AW2876" s="1"/>
      <c r="AX2876" s="1"/>
      <c r="AY2876" s="1"/>
      <c r="AZ2876" s="1"/>
      <c r="BA2876" s="1"/>
      <c r="BB2876" s="1"/>
      <c r="BC2876" s="1"/>
      <c r="BD2876" s="1"/>
      <c r="BE2876" s="1"/>
    </row>
    <row x14ac:dyDescent="0.25" r="2877" customHeight="1" ht="18.75">
      <c r="A2877" s="1"/>
      <c r="B2877" s="2"/>
      <c r="C2877" s="2"/>
      <c r="D2877" s="2"/>
      <c r="E2877" s="2"/>
      <c r="F2877" s="2"/>
      <c r="G2877" s="1"/>
      <c r="H2877" s="1"/>
      <c r="I2877" s="7">
        <v>2.874</v>
      </c>
      <c r="J2877" s="7">
        <f>IF((I2877-ROUNDDOWN(I2877,0))=0, 0, (I2877-ROUNDDOWN(I2877,0)))</f>
      </c>
      <c r="K2877" s="7">
        <f>INDIRECT("C$"&amp;2+MIN(2,ROUNDDOWN(I2877,0))*3)*(-$J2877^3+3*$J2877^2-3*$J2877+1)+INDIRECT("C$"&amp;3+MIN(2,ROUNDDOWN(I2877,0))*3)*(3*$J2877^3-6*$J2877^2+3*$J2877)+INDIRECT("C$"&amp;4+MIN(2,ROUNDDOWN(I2877,0))*3)*(-3*$J2877^3+3*$J2877^2)+INDIRECT("C$"&amp;5+MIN(2,ROUNDDOWN(I2877,0))*3)*$J2877^3</f>
      </c>
      <c r="L2877" s="7">
        <f>INDIRECT("D$"&amp;2+MIN(2,ROUNDDOWN(I2877,0))*3)*(-$J2877^3+3*$J2877^2-3*$J2877+1)+INDIRECT("D$"&amp;3+MIN(2,ROUNDDOWN(I2877,0))*3)*(3*$J2877^3-6*$J2877^2+3*$J2877)+INDIRECT("D$"&amp;4+MIN(2,ROUNDDOWN(I2877,0))*3)*(-3*$J2877^3+3*$J2877^2)+INDIRECT("D$"&amp;5+MIN(2,ROUNDDOWN(I2877,0))*3)*$J2877^3</f>
      </c>
      <c r="M2877" s="7">
        <f>SQRT(K2877^2+L2877^2)</f>
      </c>
      <c r="N2877" s="7">
        <f>(K2878-K2876)</f>
      </c>
      <c r="O2877" s="7">
        <f>+(L2878-L2876)</f>
      </c>
      <c r="P2877" s="7">
        <f>SQRT(O2877^2+N2877^2)</f>
      </c>
      <c r="Q2877" s="7">
        <f>N2877/$P2877</f>
      </c>
      <c r="R2877" s="7">
        <f>O2877/$P2877</f>
      </c>
      <c r="S2877" s="7">
        <f>Q2877^2+R2877^2</f>
      </c>
      <c r="T2877" s="7">
        <f>-R2877</f>
      </c>
      <c r="U2877" s="7">
        <f>Q2877</f>
      </c>
      <c r="V2877" s="7">
        <f>($C$14+($C$15-$C$14)/($D$15-$D$14)*(I2877-$D$14))/2</f>
      </c>
      <c r="W2877" s="7">
        <f>($B$22*I2877^4+$C$22*I2877^3+$D$22*I2877^2+$E$22*I2877+$F$22)/2</f>
      </c>
      <c r="X2877" s="7">
        <f>($W2877)*(T2877)</f>
      </c>
      <c r="Y2877" s="7">
        <f>($W2877)*(U2877)</f>
      </c>
      <c r="Z2877" s="7">
        <f>SQRT(X2877^2+Y2877^2)</f>
      </c>
      <c r="AA2877" s="7">
        <f>$K2877+$X2877</f>
      </c>
      <c r="AB2877" s="7">
        <f>$L2877+$Y2877</f>
      </c>
      <c r="AC2877" s="7">
        <f>$K2877-$X2877</f>
      </c>
      <c r="AD2877" s="7">
        <f>$L2877-$Y2877</f>
      </c>
      <c r="AE2877" s="7">
        <f>AA2877/39.3701</f>
      </c>
      <c r="AF2877" s="7">
        <f>AB2877/39.3701</f>
      </c>
      <c r="AG2877" s="7">
        <f>AC2877/39.3701</f>
      </c>
      <c r="AH2877" s="7">
        <f>AD2877/39.3701</f>
      </c>
      <c r="AI2877" s="1"/>
      <c r="AJ2877" s="1"/>
      <c r="AK2877" s="1"/>
      <c r="AL2877" s="1"/>
      <c r="AM2877" s="2"/>
      <c r="AN2877" s="1"/>
      <c r="AO2877" s="1"/>
      <c r="AP2877" s="1"/>
      <c r="AQ2877" s="1"/>
      <c r="AR2877" s="1"/>
      <c r="AS2877" s="1"/>
      <c r="AT2877" s="1"/>
      <c r="AU2877" s="1"/>
      <c r="AV2877" s="1"/>
      <c r="AW2877" s="1"/>
      <c r="AX2877" s="1"/>
      <c r="AY2877" s="1"/>
      <c r="AZ2877" s="1"/>
      <c r="BA2877" s="1"/>
      <c r="BB2877" s="1"/>
      <c r="BC2877" s="1"/>
      <c r="BD2877" s="1"/>
      <c r="BE2877" s="1"/>
    </row>
    <row x14ac:dyDescent="0.25" r="2878" customHeight="1" ht="18.75">
      <c r="A2878" s="1"/>
      <c r="B2878" s="2"/>
      <c r="C2878" s="2"/>
      <c r="D2878" s="2"/>
      <c r="E2878" s="2"/>
      <c r="F2878" s="2"/>
      <c r="G2878" s="1"/>
      <c r="H2878" s="1"/>
      <c r="I2878" s="7">
        <v>2.875</v>
      </c>
      <c r="J2878" s="7">
        <f>IF((I2878-ROUNDDOWN(I2878,0))=0, 0, (I2878-ROUNDDOWN(I2878,0)))</f>
      </c>
      <c r="K2878" s="7">
        <f>INDIRECT("C$"&amp;2+MIN(2,ROUNDDOWN(I2878,0))*3)*(-$J2878^3+3*$J2878^2-3*$J2878+1)+INDIRECT("C$"&amp;3+MIN(2,ROUNDDOWN(I2878,0))*3)*(3*$J2878^3-6*$J2878^2+3*$J2878)+INDIRECT("C$"&amp;4+MIN(2,ROUNDDOWN(I2878,0))*3)*(-3*$J2878^3+3*$J2878^2)+INDIRECT("C$"&amp;5+MIN(2,ROUNDDOWN(I2878,0))*3)*$J2878^3</f>
      </c>
      <c r="L2878" s="7">
        <f>INDIRECT("D$"&amp;2+MIN(2,ROUNDDOWN(I2878,0))*3)*(-$J2878^3+3*$J2878^2-3*$J2878+1)+INDIRECT("D$"&amp;3+MIN(2,ROUNDDOWN(I2878,0))*3)*(3*$J2878^3-6*$J2878^2+3*$J2878)+INDIRECT("D$"&amp;4+MIN(2,ROUNDDOWN(I2878,0))*3)*(-3*$J2878^3+3*$J2878^2)+INDIRECT("D$"&amp;5+MIN(2,ROUNDDOWN(I2878,0))*3)*$J2878^3</f>
      </c>
      <c r="M2878" s="7">
        <f>SQRT(K2878^2+L2878^2)</f>
      </c>
      <c r="N2878" s="7">
        <f>(K2879-K2877)</f>
      </c>
      <c r="O2878" s="7">
        <f>+(L2879-L2877)</f>
      </c>
      <c r="P2878" s="7">
        <f>SQRT(O2878^2+N2878^2)</f>
      </c>
      <c r="Q2878" s="7">
        <f>N2878/$P2878</f>
      </c>
      <c r="R2878" s="7">
        <f>O2878/$P2878</f>
      </c>
      <c r="S2878" s="7">
        <f>Q2878^2+R2878^2</f>
      </c>
      <c r="T2878" s="7">
        <f>-R2878</f>
      </c>
      <c r="U2878" s="7">
        <f>Q2878</f>
      </c>
      <c r="V2878" s="7">
        <f>($C$14+($C$15-$C$14)/($D$15-$D$14)*(I2878-$D$14))/2</f>
      </c>
      <c r="W2878" s="7">
        <f>($B$22*I2878^4+$C$22*I2878^3+$D$22*I2878^2+$E$22*I2878+$F$22)/2</f>
      </c>
      <c r="X2878" s="7">
        <f>($W2878)*(T2878)</f>
      </c>
      <c r="Y2878" s="7">
        <f>($W2878)*(U2878)</f>
      </c>
      <c r="Z2878" s="7">
        <f>SQRT(X2878^2+Y2878^2)</f>
      </c>
      <c r="AA2878" s="7">
        <f>$K2878+$X2878</f>
      </c>
      <c r="AB2878" s="7">
        <f>$L2878+$Y2878</f>
      </c>
      <c r="AC2878" s="7">
        <f>$K2878-$X2878</f>
      </c>
      <c r="AD2878" s="7">
        <f>$L2878-$Y2878</f>
      </c>
      <c r="AE2878" s="7">
        <f>AA2878/39.3701</f>
      </c>
      <c r="AF2878" s="7">
        <f>AB2878/39.3701</f>
      </c>
      <c r="AG2878" s="7">
        <f>AC2878/39.3701</f>
      </c>
      <c r="AH2878" s="7">
        <f>AD2878/39.3701</f>
      </c>
      <c r="AI2878" s="1"/>
      <c r="AJ2878" s="1"/>
      <c r="AK2878" s="1"/>
      <c r="AL2878" s="1"/>
      <c r="AM2878" s="2"/>
      <c r="AN2878" s="1"/>
      <c r="AO2878" s="1"/>
      <c r="AP2878" s="1"/>
      <c r="AQ2878" s="1"/>
      <c r="AR2878" s="1"/>
      <c r="AS2878" s="1"/>
      <c r="AT2878" s="1"/>
      <c r="AU2878" s="1"/>
      <c r="AV2878" s="1"/>
      <c r="AW2878" s="1"/>
      <c r="AX2878" s="1"/>
      <c r="AY2878" s="1"/>
      <c r="AZ2878" s="1"/>
      <c r="BA2878" s="1"/>
      <c r="BB2878" s="1"/>
      <c r="BC2878" s="1"/>
      <c r="BD2878" s="1"/>
      <c r="BE2878" s="1"/>
    </row>
    <row x14ac:dyDescent="0.25" r="2879" customHeight="1" ht="18.75">
      <c r="A2879" s="1"/>
      <c r="B2879" s="2"/>
      <c r="C2879" s="2"/>
      <c r="D2879" s="2"/>
      <c r="E2879" s="2"/>
      <c r="F2879" s="2"/>
      <c r="G2879" s="1"/>
      <c r="H2879" s="1"/>
      <c r="I2879" s="7">
        <v>2.876</v>
      </c>
      <c r="J2879" s="7">
        <f>IF((I2879-ROUNDDOWN(I2879,0))=0, 0, (I2879-ROUNDDOWN(I2879,0)))</f>
      </c>
      <c r="K2879" s="7">
        <f>INDIRECT("C$"&amp;2+MIN(2,ROUNDDOWN(I2879,0))*3)*(-$J2879^3+3*$J2879^2-3*$J2879+1)+INDIRECT("C$"&amp;3+MIN(2,ROUNDDOWN(I2879,0))*3)*(3*$J2879^3-6*$J2879^2+3*$J2879)+INDIRECT("C$"&amp;4+MIN(2,ROUNDDOWN(I2879,0))*3)*(-3*$J2879^3+3*$J2879^2)+INDIRECT("C$"&amp;5+MIN(2,ROUNDDOWN(I2879,0))*3)*$J2879^3</f>
      </c>
      <c r="L2879" s="7">
        <f>INDIRECT("D$"&amp;2+MIN(2,ROUNDDOWN(I2879,0))*3)*(-$J2879^3+3*$J2879^2-3*$J2879+1)+INDIRECT("D$"&amp;3+MIN(2,ROUNDDOWN(I2879,0))*3)*(3*$J2879^3-6*$J2879^2+3*$J2879)+INDIRECT("D$"&amp;4+MIN(2,ROUNDDOWN(I2879,0))*3)*(-3*$J2879^3+3*$J2879^2)+INDIRECT("D$"&amp;5+MIN(2,ROUNDDOWN(I2879,0))*3)*$J2879^3</f>
      </c>
      <c r="M2879" s="7">
        <f>SQRT(K2879^2+L2879^2)</f>
      </c>
      <c r="N2879" s="7">
        <f>(K2880-K2878)</f>
      </c>
      <c r="O2879" s="7">
        <f>+(L2880-L2878)</f>
      </c>
      <c r="P2879" s="7">
        <f>SQRT(O2879^2+N2879^2)</f>
      </c>
      <c r="Q2879" s="7">
        <f>N2879/$P2879</f>
      </c>
      <c r="R2879" s="7">
        <f>O2879/$P2879</f>
      </c>
      <c r="S2879" s="7">
        <f>Q2879^2+R2879^2</f>
      </c>
      <c r="T2879" s="7">
        <f>-R2879</f>
      </c>
      <c r="U2879" s="7">
        <f>Q2879</f>
      </c>
      <c r="V2879" s="7">
        <f>($C$14+($C$15-$C$14)/($D$15-$D$14)*(I2879-$D$14))/2</f>
      </c>
      <c r="W2879" s="7">
        <f>($B$22*I2879^4+$C$22*I2879^3+$D$22*I2879^2+$E$22*I2879+$F$22)/2</f>
      </c>
      <c r="X2879" s="7">
        <f>($W2879)*(T2879)</f>
      </c>
      <c r="Y2879" s="7">
        <f>($W2879)*(U2879)</f>
      </c>
      <c r="Z2879" s="7">
        <f>SQRT(X2879^2+Y2879^2)</f>
      </c>
      <c r="AA2879" s="7">
        <f>$K2879+$X2879</f>
      </c>
      <c r="AB2879" s="7">
        <f>$L2879+$Y2879</f>
      </c>
      <c r="AC2879" s="7">
        <f>$K2879-$X2879</f>
      </c>
      <c r="AD2879" s="7">
        <f>$L2879-$Y2879</f>
      </c>
      <c r="AE2879" s="7">
        <f>AA2879/39.3701</f>
      </c>
      <c r="AF2879" s="7">
        <f>AB2879/39.3701</f>
      </c>
      <c r="AG2879" s="7">
        <f>AC2879/39.3701</f>
      </c>
      <c r="AH2879" s="7">
        <f>AD2879/39.3701</f>
      </c>
      <c r="AI2879" s="1"/>
      <c r="AJ2879" s="1"/>
      <c r="AK2879" s="1"/>
      <c r="AL2879" s="1"/>
      <c r="AM2879" s="2"/>
      <c r="AN2879" s="1"/>
      <c r="AO2879" s="1"/>
      <c r="AP2879" s="1"/>
      <c r="AQ2879" s="1"/>
      <c r="AR2879" s="1"/>
      <c r="AS2879" s="1"/>
      <c r="AT2879" s="1"/>
      <c r="AU2879" s="1"/>
      <c r="AV2879" s="1"/>
      <c r="AW2879" s="1"/>
      <c r="AX2879" s="1"/>
      <c r="AY2879" s="1"/>
      <c r="AZ2879" s="1"/>
      <c r="BA2879" s="1"/>
      <c r="BB2879" s="1"/>
      <c r="BC2879" s="1"/>
      <c r="BD2879" s="1"/>
      <c r="BE2879" s="1"/>
    </row>
    <row x14ac:dyDescent="0.25" r="2880" customHeight="1" ht="18.75">
      <c r="A2880" s="1"/>
      <c r="B2880" s="2"/>
      <c r="C2880" s="2"/>
      <c r="D2880" s="2"/>
      <c r="E2880" s="2"/>
      <c r="F2880" s="2"/>
      <c r="G2880" s="1"/>
      <c r="H2880" s="1"/>
      <c r="I2880" s="7">
        <v>2.877</v>
      </c>
      <c r="J2880" s="7">
        <f>IF((I2880-ROUNDDOWN(I2880,0))=0, 0, (I2880-ROUNDDOWN(I2880,0)))</f>
      </c>
      <c r="K2880" s="7">
        <f>INDIRECT("C$"&amp;2+MIN(2,ROUNDDOWN(I2880,0))*3)*(-$J2880^3+3*$J2880^2-3*$J2880+1)+INDIRECT("C$"&amp;3+MIN(2,ROUNDDOWN(I2880,0))*3)*(3*$J2880^3-6*$J2880^2+3*$J2880)+INDIRECT("C$"&amp;4+MIN(2,ROUNDDOWN(I2880,0))*3)*(-3*$J2880^3+3*$J2880^2)+INDIRECT("C$"&amp;5+MIN(2,ROUNDDOWN(I2880,0))*3)*$J2880^3</f>
      </c>
      <c r="L2880" s="7">
        <f>INDIRECT("D$"&amp;2+MIN(2,ROUNDDOWN(I2880,0))*3)*(-$J2880^3+3*$J2880^2-3*$J2880+1)+INDIRECT("D$"&amp;3+MIN(2,ROUNDDOWN(I2880,0))*3)*(3*$J2880^3-6*$J2880^2+3*$J2880)+INDIRECT("D$"&amp;4+MIN(2,ROUNDDOWN(I2880,0))*3)*(-3*$J2880^3+3*$J2880^2)+INDIRECT("D$"&amp;5+MIN(2,ROUNDDOWN(I2880,0))*3)*$J2880^3</f>
      </c>
      <c r="M2880" s="7">
        <f>SQRT(K2880^2+L2880^2)</f>
      </c>
      <c r="N2880" s="7">
        <f>(K2881-K2879)</f>
      </c>
      <c r="O2880" s="7">
        <f>+(L2881-L2879)</f>
      </c>
      <c r="P2880" s="7">
        <f>SQRT(O2880^2+N2880^2)</f>
      </c>
      <c r="Q2880" s="7">
        <f>N2880/$P2880</f>
      </c>
      <c r="R2880" s="7">
        <f>O2880/$P2880</f>
      </c>
      <c r="S2880" s="8">
        <f>Q2880^2+R2880^2</f>
      </c>
      <c r="T2880" s="7">
        <f>-R2880</f>
      </c>
      <c r="U2880" s="7">
        <f>Q2880</f>
      </c>
      <c r="V2880" s="7">
        <f>($C$14+($C$15-$C$14)/($D$15-$D$14)*(I2880-$D$14))/2</f>
      </c>
      <c r="W2880" s="7">
        <f>($B$22*I2880^4+$C$22*I2880^3+$D$22*I2880^2+$E$22*I2880+$F$22)/2</f>
      </c>
      <c r="X2880" s="7">
        <f>($W2880)*(T2880)</f>
      </c>
      <c r="Y2880" s="7">
        <f>($W2880)*(U2880)</f>
      </c>
      <c r="Z2880" s="7">
        <f>SQRT(X2880^2+Y2880^2)</f>
      </c>
      <c r="AA2880" s="7">
        <f>$K2880+$X2880</f>
      </c>
      <c r="AB2880" s="7">
        <f>$L2880+$Y2880</f>
      </c>
      <c r="AC2880" s="7">
        <f>$K2880-$X2880</f>
      </c>
      <c r="AD2880" s="7">
        <f>$L2880-$Y2880</f>
      </c>
      <c r="AE2880" s="7">
        <f>AA2880/39.3701</f>
      </c>
      <c r="AF2880" s="7">
        <f>AB2880/39.3701</f>
      </c>
      <c r="AG2880" s="7">
        <f>AC2880/39.3701</f>
      </c>
      <c r="AH2880" s="7">
        <f>AD2880/39.3701</f>
      </c>
      <c r="AI2880" s="1"/>
      <c r="AJ2880" s="1"/>
      <c r="AK2880" s="1"/>
      <c r="AL2880" s="1"/>
      <c r="AM2880" s="2"/>
      <c r="AN2880" s="1"/>
      <c r="AO2880" s="1"/>
      <c r="AP2880" s="1"/>
      <c r="AQ2880" s="1"/>
      <c r="AR2880" s="1"/>
      <c r="AS2880" s="1"/>
      <c r="AT2880" s="1"/>
      <c r="AU2880" s="1"/>
      <c r="AV2880" s="1"/>
      <c r="AW2880" s="1"/>
      <c r="AX2880" s="1"/>
      <c r="AY2880" s="1"/>
      <c r="AZ2880" s="1"/>
      <c r="BA2880" s="1"/>
      <c r="BB2880" s="1"/>
      <c r="BC2880" s="1"/>
      <c r="BD2880" s="1"/>
      <c r="BE2880" s="1"/>
    </row>
    <row x14ac:dyDescent="0.25" r="2881" customHeight="1" ht="18.75">
      <c r="A2881" s="1"/>
      <c r="B2881" s="2"/>
      <c r="C2881" s="2"/>
      <c r="D2881" s="2"/>
      <c r="E2881" s="2"/>
      <c r="F2881" s="2"/>
      <c r="G2881" s="1"/>
      <c r="H2881" s="1"/>
      <c r="I2881" s="7">
        <v>2.878</v>
      </c>
      <c r="J2881" s="7">
        <f>IF((I2881-ROUNDDOWN(I2881,0))=0, 0, (I2881-ROUNDDOWN(I2881,0)))</f>
      </c>
      <c r="K2881" s="7">
        <f>INDIRECT("C$"&amp;2+MIN(2,ROUNDDOWN(I2881,0))*3)*(-$J2881^3+3*$J2881^2-3*$J2881+1)+INDIRECT("C$"&amp;3+MIN(2,ROUNDDOWN(I2881,0))*3)*(3*$J2881^3-6*$J2881^2+3*$J2881)+INDIRECT("C$"&amp;4+MIN(2,ROUNDDOWN(I2881,0))*3)*(-3*$J2881^3+3*$J2881^2)+INDIRECT("C$"&amp;5+MIN(2,ROUNDDOWN(I2881,0))*3)*$J2881^3</f>
      </c>
      <c r="L2881" s="7">
        <f>INDIRECT("D$"&amp;2+MIN(2,ROUNDDOWN(I2881,0))*3)*(-$J2881^3+3*$J2881^2-3*$J2881+1)+INDIRECT("D$"&amp;3+MIN(2,ROUNDDOWN(I2881,0))*3)*(3*$J2881^3-6*$J2881^2+3*$J2881)+INDIRECT("D$"&amp;4+MIN(2,ROUNDDOWN(I2881,0))*3)*(-3*$J2881^3+3*$J2881^2)+INDIRECT("D$"&amp;5+MIN(2,ROUNDDOWN(I2881,0))*3)*$J2881^3</f>
      </c>
      <c r="M2881" s="7">
        <f>SQRT(K2881^2+L2881^2)</f>
      </c>
      <c r="N2881" s="7">
        <f>(K2882-K2880)</f>
      </c>
      <c r="O2881" s="7">
        <f>+(L2882-L2880)</f>
      </c>
      <c r="P2881" s="7">
        <f>SQRT(O2881^2+N2881^2)</f>
      </c>
      <c r="Q2881" s="7">
        <f>N2881/$P2881</f>
      </c>
      <c r="R2881" s="7">
        <f>O2881/$P2881</f>
      </c>
      <c r="S2881" s="8">
        <f>Q2881^2+R2881^2</f>
      </c>
      <c r="T2881" s="7">
        <f>-R2881</f>
      </c>
      <c r="U2881" s="7">
        <f>Q2881</f>
      </c>
      <c r="V2881" s="7">
        <f>($C$14+($C$15-$C$14)/($D$15-$D$14)*(I2881-$D$14))/2</f>
      </c>
      <c r="W2881" s="7">
        <f>($B$22*I2881^4+$C$22*I2881^3+$D$22*I2881^2+$E$22*I2881+$F$22)/2</f>
      </c>
      <c r="X2881" s="7">
        <f>($W2881)*(T2881)</f>
      </c>
      <c r="Y2881" s="7">
        <f>($W2881)*(U2881)</f>
      </c>
      <c r="Z2881" s="7">
        <f>SQRT(X2881^2+Y2881^2)</f>
      </c>
      <c r="AA2881" s="7">
        <f>$K2881+$X2881</f>
      </c>
      <c r="AB2881" s="7">
        <f>$L2881+$Y2881</f>
      </c>
      <c r="AC2881" s="7">
        <f>$K2881-$X2881</f>
      </c>
      <c r="AD2881" s="7">
        <f>$L2881-$Y2881</f>
      </c>
      <c r="AE2881" s="7">
        <f>AA2881/39.3701</f>
      </c>
      <c r="AF2881" s="7">
        <f>AB2881/39.3701</f>
      </c>
      <c r="AG2881" s="7">
        <f>AC2881/39.3701</f>
      </c>
      <c r="AH2881" s="7">
        <f>AD2881/39.3701</f>
      </c>
      <c r="AI2881" s="1"/>
      <c r="AJ2881" s="1"/>
      <c r="AK2881" s="1"/>
      <c r="AL2881" s="1"/>
      <c r="AM2881" s="2"/>
      <c r="AN2881" s="1"/>
      <c r="AO2881" s="1"/>
      <c r="AP2881" s="1"/>
      <c r="AQ2881" s="1"/>
      <c r="AR2881" s="1"/>
      <c r="AS2881" s="1"/>
      <c r="AT2881" s="1"/>
      <c r="AU2881" s="1"/>
      <c r="AV2881" s="1"/>
      <c r="AW2881" s="1"/>
      <c r="AX2881" s="1"/>
      <c r="AY2881" s="1"/>
      <c r="AZ2881" s="1"/>
      <c r="BA2881" s="1"/>
      <c r="BB2881" s="1"/>
      <c r="BC2881" s="1"/>
      <c r="BD2881" s="1"/>
      <c r="BE2881" s="1"/>
    </row>
    <row x14ac:dyDescent="0.25" r="2882" customHeight="1" ht="18.75">
      <c r="A2882" s="1"/>
      <c r="B2882" s="2"/>
      <c r="C2882" s="2"/>
      <c r="D2882" s="2"/>
      <c r="E2882" s="2"/>
      <c r="F2882" s="2"/>
      <c r="G2882" s="1"/>
      <c r="H2882" s="1"/>
      <c r="I2882" s="7">
        <v>2.879</v>
      </c>
      <c r="J2882" s="7">
        <f>IF((I2882-ROUNDDOWN(I2882,0))=0, 0, (I2882-ROUNDDOWN(I2882,0)))</f>
      </c>
      <c r="K2882" s="7">
        <f>INDIRECT("C$"&amp;2+MIN(2,ROUNDDOWN(I2882,0))*3)*(-$J2882^3+3*$J2882^2-3*$J2882+1)+INDIRECT("C$"&amp;3+MIN(2,ROUNDDOWN(I2882,0))*3)*(3*$J2882^3-6*$J2882^2+3*$J2882)+INDIRECT("C$"&amp;4+MIN(2,ROUNDDOWN(I2882,0))*3)*(-3*$J2882^3+3*$J2882^2)+INDIRECT("C$"&amp;5+MIN(2,ROUNDDOWN(I2882,0))*3)*$J2882^3</f>
      </c>
      <c r="L2882" s="7">
        <f>INDIRECT("D$"&amp;2+MIN(2,ROUNDDOWN(I2882,0))*3)*(-$J2882^3+3*$J2882^2-3*$J2882+1)+INDIRECT("D$"&amp;3+MIN(2,ROUNDDOWN(I2882,0))*3)*(3*$J2882^3-6*$J2882^2+3*$J2882)+INDIRECT("D$"&amp;4+MIN(2,ROUNDDOWN(I2882,0))*3)*(-3*$J2882^3+3*$J2882^2)+INDIRECT("D$"&amp;5+MIN(2,ROUNDDOWN(I2882,0))*3)*$J2882^3</f>
      </c>
      <c r="M2882" s="7">
        <f>SQRT(K2882^2+L2882^2)</f>
      </c>
      <c r="N2882" s="7">
        <f>(K2883-K2881)</f>
      </c>
      <c r="O2882" s="7">
        <f>+(L2883-L2881)</f>
      </c>
      <c r="P2882" s="7">
        <f>SQRT(O2882^2+N2882^2)</f>
      </c>
      <c r="Q2882" s="7">
        <f>N2882/$P2882</f>
      </c>
      <c r="R2882" s="7">
        <f>O2882/$P2882</f>
      </c>
      <c r="S2882" s="7">
        <f>Q2882^2+R2882^2</f>
      </c>
      <c r="T2882" s="7">
        <f>-R2882</f>
      </c>
      <c r="U2882" s="7">
        <f>Q2882</f>
      </c>
      <c r="V2882" s="7">
        <f>($C$14+($C$15-$C$14)/($D$15-$D$14)*(I2882-$D$14))/2</f>
      </c>
      <c r="W2882" s="7">
        <f>($B$22*I2882^4+$C$22*I2882^3+$D$22*I2882^2+$E$22*I2882+$F$22)/2</f>
      </c>
      <c r="X2882" s="7">
        <f>($W2882)*(T2882)</f>
      </c>
      <c r="Y2882" s="7">
        <f>($W2882)*(U2882)</f>
      </c>
      <c r="Z2882" s="7">
        <f>SQRT(X2882^2+Y2882^2)</f>
      </c>
      <c r="AA2882" s="7">
        <f>$K2882+$X2882</f>
      </c>
      <c r="AB2882" s="7">
        <f>$L2882+$Y2882</f>
      </c>
      <c r="AC2882" s="7">
        <f>$K2882-$X2882</f>
      </c>
      <c r="AD2882" s="7">
        <f>$L2882-$Y2882</f>
      </c>
      <c r="AE2882" s="7">
        <f>AA2882/39.3701</f>
      </c>
      <c r="AF2882" s="7">
        <f>AB2882/39.3701</f>
      </c>
      <c r="AG2882" s="7">
        <f>AC2882/39.3701</f>
      </c>
      <c r="AH2882" s="7">
        <f>AD2882/39.3701</f>
      </c>
      <c r="AI2882" s="1"/>
      <c r="AJ2882" s="1"/>
      <c r="AK2882" s="1"/>
      <c r="AL2882" s="1"/>
      <c r="AM2882" s="2"/>
      <c r="AN2882" s="1"/>
      <c r="AO2882" s="1"/>
      <c r="AP2882" s="1"/>
      <c r="AQ2882" s="1"/>
      <c r="AR2882" s="1"/>
      <c r="AS2882" s="1"/>
      <c r="AT2882" s="1"/>
      <c r="AU2882" s="1"/>
      <c r="AV2882" s="1"/>
      <c r="AW2882" s="1"/>
      <c r="AX2882" s="1"/>
      <c r="AY2882" s="1"/>
      <c r="AZ2882" s="1"/>
      <c r="BA2882" s="1"/>
      <c r="BB2882" s="1"/>
      <c r="BC2882" s="1"/>
      <c r="BD2882" s="1"/>
      <c r="BE2882" s="1"/>
    </row>
    <row x14ac:dyDescent="0.25" r="2883" customHeight="1" ht="18.75">
      <c r="A2883" s="1"/>
      <c r="B2883" s="2"/>
      <c r="C2883" s="2"/>
      <c r="D2883" s="2"/>
      <c r="E2883" s="2"/>
      <c r="F2883" s="2"/>
      <c r="G2883" s="1"/>
      <c r="H2883" s="1"/>
      <c r="I2883" s="7">
        <v>2.88</v>
      </c>
      <c r="J2883" s="7">
        <f>IF((I2883-ROUNDDOWN(I2883,0))=0, 0, (I2883-ROUNDDOWN(I2883,0)))</f>
      </c>
      <c r="K2883" s="7">
        <f>INDIRECT("C$"&amp;2+MIN(2,ROUNDDOWN(I2883,0))*3)*(-$J2883^3+3*$J2883^2-3*$J2883+1)+INDIRECT("C$"&amp;3+MIN(2,ROUNDDOWN(I2883,0))*3)*(3*$J2883^3-6*$J2883^2+3*$J2883)+INDIRECT("C$"&amp;4+MIN(2,ROUNDDOWN(I2883,0))*3)*(-3*$J2883^3+3*$J2883^2)+INDIRECT("C$"&amp;5+MIN(2,ROUNDDOWN(I2883,0))*3)*$J2883^3</f>
      </c>
      <c r="L2883" s="7">
        <f>INDIRECT("D$"&amp;2+MIN(2,ROUNDDOWN(I2883,0))*3)*(-$J2883^3+3*$J2883^2-3*$J2883+1)+INDIRECT("D$"&amp;3+MIN(2,ROUNDDOWN(I2883,0))*3)*(3*$J2883^3-6*$J2883^2+3*$J2883)+INDIRECT("D$"&amp;4+MIN(2,ROUNDDOWN(I2883,0))*3)*(-3*$J2883^3+3*$J2883^2)+INDIRECT("D$"&amp;5+MIN(2,ROUNDDOWN(I2883,0))*3)*$J2883^3</f>
      </c>
      <c r="M2883" s="7">
        <f>SQRT(K2883^2+L2883^2)</f>
      </c>
      <c r="N2883" s="7">
        <f>(K2884-K2882)</f>
      </c>
      <c r="O2883" s="7">
        <f>+(L2884-L2882)</f>
      </c>
      <c r="P2883" s="7">
        <f>SQRT(O2883^2+N2883^2)</f>
      </c>
      <c r="Q2883" s="7">
        <f>N2883/$P2883</f>
      </c>
      <c r="R2883" s="7">
        <f>O2883/$P2883</f>
      </c>
      <c r="S2883" s="7">
        <f>Q2883^2+R2883^2</f>
      </c>
      <c r="T2883" s="7">
        <f>-R2883</f>
      </c>
      <c r="U2883" s="7">
        <f>Q2883</f>
      </c>
      <c r="V2883" s="7">
        <f>($C$14+($C$15-$C$14)/($D$15-$D$14)*(I2883-$D$14))/2</f>
      </c>
      <c r="W2883" s="7">
        <f>($B$22*I2883^4+$C$22*I2883^3+$D$22*I2883^2+$E$22*I2883+$F$22)/2</f>
      </c>
      <c r="X2883" s="7">
        <f>($W2883)*(T2883)</f>
      </c>
      <c r="Y2883" s="7">
        <f>($W2883)*(U2883)</f>
      </c>
      <c r="Z2883" s="7">
        <f>SQRT(X2883^2+Y2883^2)</f>
      </c>
      <c r="AA2883" s="7">
        <f>$K2883+$X2883</f>
      </c>
      <c r="AB2883" s="7">
        <f>$L2883+$Y2883</f>
      </c>
      <c r="AC2883" s="7">
        <f>$K2883-$X2883</f>
      </c>
      <c r="AD2883" s="7">
        <f>$L2883-$Y2883</f>
      </c>
      <c r="AE2883" s="7">
        <f>AA2883/39.3701</f>
      </c>
      <c r="AF2883" s="7">
        <f>AB2883/39.3701</f>
      </c>
      <c r="AG2883" s="7">
        <f>AC2883/39.3701</f>
      </c>
      <c r="AH2883" s="7">
        <f>AD2883/39.3701</f>
      </c>
      <c r="AI2883" s="1"/>
      <c r="AJ2883" s="1"/>
      <c r="AK2883" s="1"/>
      <c r="AL2883" s="1"/>
      <c r="AM2883" s="2"/>
      <c r="AN2883" s="1"/>
      <c r="AO2883" s="1"/>
      <c r="AP2883" s="1"/>
      <c r="AQ2883" s="1"/>
      <c r="AR2883" s="1"/>
      <c r="AS2883" s="1"/>
      <c r="AT2883" s="1"/>
      <c r="AU2883" s="1"/>
      <c r="AV2883" s="1"/>
      <c r="AW2883" s="1"/>
      <c r="AX2883" s="1"/>
      <c r="AY2883" s="1"/>
      <c r="AZ2883" s="1"/>
      <c r="BA2883" s="1"/>
      <c r="BB2883" s="1"/>
      <c r="BC2883" s="1"/>
      <c r="BD2883" s="1"/>
      <c r="BE2883" s="1"/>
    </row>
    <row x14ac:dyDescent="0.25" r="2884" customHeight="1" ht="18.75">
      <c r="A2884" s="1"/>
      <c r="B2884" s="2"/>
      <c r="C2884" s="2"/>
      <c r="D2884" s="2"/>
      <c r="E2884" s="2"/>
      <c r="F2884" s="2"/>
      <c r="G2884" s="1"/>
      <c r="H2884" s="1"/>
      <c r="I2884" s="7">
        <v>2.881</v>
      </c>
      <c r="J2884" s="7">
        <f>IF((I2884-ROUNDDOWN(I2884,0))=0, 0, (I2884-ROUNDDOWN(I2884,0)))</f>
      </c>
      <c r="K2884" s="7">
        <f>INDIRECT("C$"&amp;2+MIN(2,ROUNDDOWN(I2884,0))*3)*(-$J2884^3+3*$J2884^2-3*$J2884+1)+INDIRECT("C$"&amp;3+MIN(2,ROUNDDOWN(I2884,0))*3)*(3*$J2884^3-6*$J2884^2+3*$J2884)+INDIRECT("C$"&amp;4+MIN(2,ROUNDDOWN(I2884,0))*3)*(-3*$J2884^3+3*$J2884^2)+INDIRECT("C$"&amp;5+MIN(2,ROUNDDOWN(I2884,0))*3)*$J2884^3</f>
      </c>
      <c r="L2884" s="7">
        <f>INDIRECT("D$"&amp;2+MIN(2,ROUNDDOWN(I2884,0))*3)*(-$J2884^3+3*$J2884^2-3*$J2884+1)+INDIRECT("D$"&amp;3+MIN(2,ROUNDDOWN(I2884,0))*3)*(3*$J2884^3-6*$J2884^2+3*$J2884)+INDIRECT("D$"&amp;4+MIN(2,ROUNDDOWN(I2884,0))*3)*(-3*$J2884^3+3*$J2884^2)+INDIRECT("D$"&amp;5+MIN(2,ROUNDDOWN(I2884,0))*3)*$J2884^3</f>
      </c>
      <c r="M2884" s="7">
        <f>SQRT(K2884^2+L2884^2)</f>
      </c>
      <c r="N2884" s="7">
        <f>(K2885-K2883)</f>
      </c>
      <c r="O2884" s="7">
        <f>+(L2885-L2883)</f>
      </c>
      <c r="P2884" s="7">
        <f>SQRT(O2884^2+N2884^2)</f>
      </c>
      <c r="Q2884" s="7">
        <f>N2884/$P2884</f>
      </c>
      <c r="R2884" s="7">
        <f>O2884/$P2884</f>
      </c>
      <c r="S2884" s="8">
        <f>Q2884^2+R2884^2</f>
      </c>
      <c r="T2884" s="7">
        <f>-R2884</f>
      </c>
      <c r="U2884" s="7">
        <f>Q2884</f>
      </c>
      <c r="V2884" s="7">
        <f>($C$14+($C$15-$C$14)/($D$15-$D$14)*(I2884-$D$14))/2</f>
      </c>
      <c r="W2884" s="7">
        <f>($B$22*I2884^4+$C$22*I2884^3+$D$22*I2884^2+$E$22*I2884+$F$22)/2</f>
      </c>
      <c r="X2884" s="7">
        <f>($W2884)*(T2884)</f>
      </c>
      <c r="Y2884" s="7">
        <f>($W2884)*(U2884)</f>
      </c>
      <c r="Z2884" s="7">
        <f>SQRT(X2884^2+Y2884^2)</f>
      </c>
      <c r="AA2884" s="7">
        <f>$K2884+$X2884</f>
      </c>
      <c r="AB2884" s="7">
        <f>$L2884+$Y2884</f>
      </c>
      <c r="AC2884" s="7">
        <f>$K2884-$X2884</f>
      </c>
      <c r="AD2884" s="7">
        <f>$L2884-$Y2884</f>
      </c>
      <c r="AE2884" s="7">
        <f>AA2884/39.3701</f>
      </c>
      <c r="AF2884" s="7">
        <f>AB2884/39.3701</f>
      </c>
      <c r="AG2884" s="7">
        <f>AC2884/39.3701</f>
      </c>
      <c r="AH2884" s="7">
        <f>AD2884/39.3701</f>
      </c>
      <c r="AI2884" s="1"/>
      <c r="AJ2884" s="1"/>
      <c r="AK2884" s="1"/>
      <c r="AL2884" s="1"/>
      <c r="AM2884" s="2"/>
      <c r="AN2884" s="1"/>
      <c r="AO2884" s="1"/>
      <c r="AP2884" s="1"/>
      <c r="AQ2884" s="1"/>
      <c r="AR2884" s="1"/>
      <c r="AS2884" s="1"/>
      <c r="AT2884" s="1"/>
      <c r="AU2884" s="1"/>
      <c r="AV2884" s="1"/>
      <c r="AW2884" s="1"/>
      <c r="AX2884" s="1"/>
      <c r="AY2884" s="1"/>
      <c r="AZ2884" s="1"/>
      <c r="BA2884" s="1"/>
      <c r="BB2884" s="1"/>
      <c r="BC2884" s="1"/>
      <c r="BD2884" s="1"/>
      <c r="BE2884" s="1"/>
    </row>
    <row x14ac:dyDescent="0.25" r="2885" customHeight="1" ht="18.75">
      <c r="A2885" s="1"/>
      <c r="B2885" s="2"/>
      <c r="C2885" s="2"/>
      <c r="D2885" s="2"/>
      <c r="E2885" s="2"/>
      <c r="F2885" s="2"/>
      <c r="G2885" s="1"/>
      <c r="H2885" s="1"/>
      <c r="I2885" s="7">
        <v>2.882</v>
      </c>
      <c r="J2885" s="7">
        <f>IF((I2885-ROUNDDOWN(I2885,0))=0, 0, (I2885-ROUNDDOWN(I2885,0)))</f>
      </c>
      <c r="K2885" s="7">
        <f>INDIRECT("C$"&amp;2+MIN(2,ROUNDDOWN(I2885,0))*3)*(-$J2885^3+3*$J2885^2-3*$J2885+1)+INDIRECT("C$"&amp;3+MIN(2,ROUNDDOWN(I2885,0))*3)*(3*$J2885^3-6*$J2885^2+3*$J2885)+INDIRECT("C$"&amp;4+MIN(2,ROUNDDOWN(I2885,0))*3)*(-3*$J2885^3+3*$J2885^2)+INDIRECT("C$"&amp;5+MIN(2,ROUNDDOWN(I2885,0))*3)*$J2885^3</f>
      </c>
      <c r="L2885" s="7">
        <f>INDIRECT("D$"&amp;2+MIN(2,ROUNDDOWN(I2885,0))*3)*(-$J2885^3+3*$J2885^2-3*$J2885+1)+INDIRECT("D$"&amp;3+MIN(2,ROUNDDOWN(I2885,0))*3)*(3*$J2885^3-6*$J2885^2+3*$J2885)+INDIRECT("D$"&amp;4+MIN(2,ROUNDDOWN(I2885,0))*3)*(-3*$J2885^3+3*$J2885^2)+INDIRECT("D$"&amp;5+MIN(2,ROUNDDOWN(I2885,0))*3)*$J2885^3</f>
      </c>
      <c r="M2885" s="7">
        <f>SQRT(K2885^2+L2885^2)</f>
      </c>
      <c r="N2885" s="7">
        <f>(K2886-K2884)</f>
      </c>
      <c r="O2885" s="7">
        <f>+(L2886-L2884)</f>
      </c>
      <c r="P2885" s="7">
        <f>SQRT(O2885^2+N2885^2)</f>
      </c>
      <c r="Q2885" s="7">
        <f>N2885/$P2885</f>
      </c>
      <c r="R2885" s="7">
        <f>O2885/$P2885</f>
      </c>
      <c r="S2885" s="7">
        <f>Q2885^2+R2885^2</f>
      </c>
      <c r="T2885" s="7">
        <f>-R2885</f>
      </c>
      <c r="U2885" s="7">
        <f>Q2885</f>
      </c>
      <c r="V2885" s="7">
        <f>($C$14+($C$15-$C$14)/($D$15-$D$14)*(I2885-$D$14))/2</f>
      </c>
      <c r="W2885" s="7">
        <f>($B$22*I2885^4+$C$22*I2885^3+$D$22*I2885^2+$E$22*I2885+$F$22)/2</f>
      </c>
      <c r="X2885" s="7">
        <f>($W2885)*(T2885)</f>
      </c>
      <c r="Y2885" s="7">
        <f>($W2885)*(U2885)</f>
      </c>
      <c r="Z2885" s="7">
        <f>SQRT(X2885^2+Y2885^2)</f>
      </c>
      <c r="AA2885" s="7">
        <f>$K2885+$X2885</f>
      </c>
      <c r="AB2885" s="7">
        <f>$L2885+$Y2885</f>
      </c>
      <c r="AC2885" s="7">
        <f>$K2885-$X2885</f>
      </c>
      <c r="AD2885" s="7">
        <f>$L2885-$Y2885</f>
      </c>
      <c r="AE2885" s="7">
        <f>AA2885/39.3701</f>
      </c>
      <c r="AF2885" s="7">
        <f>AB2885/39.3701</f>
      </c>
      <c r="AG2885" s="7">
        <f>AC2885/39.3701</f>
      </c>
      <c r="AH2885" s="7">
        <f>AD2885/39.3701</f>
      </c>
      <c r="AI2885" s="1"/>
      <c r="AJ2885" s="1"/>
      <c r="AK2885" s="1"/>
      <c r="AL2885" s="1"/>
      <c r="AM2885" s="2"/>
      <c r="AN2885" s="1"/>
      <c r="AO2885" s="1"/>
      <c r="AP2885" s="1"/>
      <c r="AQ2885" s="1"/>
      <c r="AR2885" s="1"/>
      <c r="AS2885" s="1"/>
      <c r="AT2885" s="1"/>
      <c r="AU2885" s="1"/>
      <c r="AV2885" s="1"/>
      <c r="AW2885" s="1"/>
      <c r="AX2885" s="1"/>
      <c r="AY2885" s="1"/>
      <c r="AZ2885" s="1"/>
      <c r="BA2885" s="1"/>
      <c r="BB2885" s="1"/>
      <c r="BC2885" s="1"/>
      <c r="BD2885" s="1"/>
      <c r="BE2885" s="1"/>
    </row>
    <row x14ac:dyDescent="0.25" r="2886" customHeight="1" ht="18.75">
      <c r="A2886" s="1"/>
      <c r="B2886" s="2"/>
      <c r="C2886" s="2"/>
      <c r="D2886" s="2"/>
      <c r="E2886" s="2"/>
      <c r="F2886" s="2"/>
      <c r="G2886" s="1"/>
      <c r="H2886" s="1"/>
      <c r="I2886" s="7">
        <v>2.883</v>
      </c>
      <c r="J2886" s="7">
        <f>IF((I2886-ROUNDDOWN(I2886,0))=0, 0, (I2886-ROUNDDOWN(I2886,0)))</f>
      </c>
      <c r="K2886" s="7">
        <f>INDIRECT("C$"&amp;2+MIN(2,ROUNDDOWN(I2886,0))*3)*(-$J2886^3+3*$J2886^2-3*$J2886+1)+INDIRECT("C$"&amp;3+MIN(2,ROUNDDOWN(I2886,0))*3)*(3*$J2886^3-6*$J2886^2+3*$J2886)+INDIRECT("C$"&amp;4+MIN(2,ROUNDDOWN(I2886,0))*3)*(-3*$J2886^3+3*$J2886^2)+INDIRECT("C$"&amp;5+MIN(2,ROUNDDOWN(I2886,0))*3)*$J2886^3</f>
      </c>
      <c r="L2886" s="7">
        <f>INDIRECT("D$"&amp;2+MIN(2,ROUNDDOWN(I2886,0))*3)*(-$J2886^3+3*$J2886^2-3*$J2886+1)+INDIRECT("D$"&amp;3+MIN(2,ROUNDDOWN(I2886,0))*3)*(3*$J2886^3-6*$J2886^2+3*$J2886)+INDIRECT("D$"&amp;4+MIN(2,ROUNDDOWN(I2886,0))*3)*(-3*$J2886^3+3*$J2886^2)+INDIRECT("D$"&amp;5+MIN(2,ROUNDDOWN(I2886,0))*3)*$J2886^3</f>
      </c>
      <c r="M2886" s="7">
        <f>SQRT(K2886^2+L2886^2)</f>
      </c>
      <c r="N2886" s="7">
        <f>(K2887-K2885)</f>
      </c>
      <c r="O2886" s="7">
        <f>+(L2887-L2885)</f>
      </c>
      <c r="P2886" s="7">
        <f>SQRT(O2886^2+N2886^2)</f>
      </c>
      <c r="Q2886" s="7">
        <f>N2886/$P2886</f>
      </c>
      <c r="R2886" s="7">
        <f>O2886/$P2886</f>
      </c>
      <c r="S2886" s="7">
        <f>Q2886^2+R2886^2</f>
      </c>
      <c r="T2886" s="7">
        <f>-R2886</f>
      </c>
      <c r="U2886" s="7">
        <f>Q2886</f>
      </c>
      <c r="V2886" s="7">
        <f>($C$14+($C$15-$C$14)/($D$15-$D$14)*(I2886-$D$14))/2</f>
      </c>
      <c r="W2886" s="7">
        <f>($B$22*I2886^4+$C$22*I2886^3+$D$22*I2886^2+$E$22*I2886+$F$22)/2</f>
      </c>
      <c r="X2886" s="7">
        <f>($W2886)*(T2886)</f>
      </c>
      <c r="Y2886" s="7">
        <f>($W2886)*(U2886)</f>
      </c>
      <c r="Z2886" s="7">
        <f>SQRT(X2886^2+Y2886^2)</f>
      </c>
      <c r="AA2886" s="7">
        <f>$K2886+$X2886</f>
      </c>
      <c r="AB2886" s="7">
        <f>$L2886+$Y2886</f>
      </c>
      <c r="AC2886" s="7">
        <f>$K2886-$X2886</f>
      </c>
      <c r="AD2886" s="7">
        <f>$L2886-$Y2886</f>
      </c>
      <c r="AE2886" s="7">
        <f>AA2886/39.3701</f>
      </c>
      <c r="AF2886" s="7">
        <f>AB2886/39.3701</f>
      </c>
      <c r="AG2886" s="7">
        <f>AC2886/39.3701</f>
      </c>
      <c r="AH2886" s="7">
        <f>AD2886/39.3701</f>
      </c>
      <c r="AI2886" s="1"/>
      <c r="AJ2886" s="1"/>
      <c r="AK2886" s="1"/>
      <c r="AL2886" s="1"/>
      <c r="AM2886" s="2"/>
      <c r="AN2886" s="1"/>
      <c r="AO2886" s="1"/>
      <c r="AP2886" s="1"/>
      <c r="AQ2886" s="1"/>
      <c r="AR2886" s="1"/>
      <c r="AS2886" s="1"/>
      <c r="AT2886" s="1"/>
      <c r="AU2886" s="1"/>
      <c r="AV2886" s="1"/>
      <c r="AW2886" s="1"/>
      <c r="AX2886" s="1"/>
      <c r="AY2886" s="1"/>
      <c r="AZ2886" s="1"/>
      <c r="BA2886" s="1"/>
      <c r="BB2886" s="1"/>
      <c r="BC2886" s="1"/>
      <c r="BD2886" s="1"/>
      <c r="BE2886" s="1"/>
    </row>
    <row x14ac:dyDescent="0.25" r="2887" customHeight="1" ht="18.75">
      <c r="A2887" s="1"/>
      <c r="B2887" s="2"/>
      <c r="C2887" s="2"/>
      <c r="D2887" s="2"/>
      <c r="E2887" s="2"/>
      <c r="F2887" s="2"/>
      <c r="G2887" s="1"/>
      <c r="H2887" s="1"/>
      <c r="I2887" s="7">
        <v>2.884</v>
      </c>
      <c r="J2887" s="7">
        <f>IF((I2887-ROUNDDOWN(I2887,0))=0, 0, (I2887-ROUNDDOWN(I2887,0)))</f>
      </c>
      <c r="K2887" s="7">
        <f>INDIRECT("C$"&amp;2+MIN(2,ROUNDDOWN(I2887,0))*3)*(-$J2887^3+3*$J2887^2-3*$J2887+1)+INDIRECT("C$"&amp;3+MIN(2,ROUNDDOWN(I2887,0))*3)*(3*$J2887^3-6*$J2887^2+3*$J2887)+INDIRECT("C$"&amp;4+MIN(2,ROUNDDOWN(I2887,0))*3)*(-3*$J2887^3+3*$J2887^2)+INDIRECT("C$"&amp;5+MIN(2,ROUNDDOWN(I2887,0))*3)*$J2887^3</f>
      </c>
      <c r="L2887" s="7">
        <f>INDIRECT("D$"&amp;2+MIN(2,ROUNDDOWN(I2887,0))*3)*(-$J2887^3+3*$J2887^2-3*$J2887+1)+INDIRECT("D$"&amp;3+MIN(2,ROUNDDOWN(I2887,0))*3)*(3*$J2887^3-6*$J2887^2+3*$J2887)+INDIRECT("D$"&amp;4+MIN(2,ROUNDDOWN(I2887,0))*3)*(-3*$J2887^3+3*$J2887^2)+INDIRECT("D$"&amp;5+MIN(2,ROUNDDOWN(I2887,0))*3)*$J2887^3</f>
      </c>
      <c r="M2887" s="7">
        <f>SQRT(K2887^2+L2887^2)</f>
      </c>
      <c r="N2887" s="7">
        <f>(K2888-K2886)</f>
      </c>
      <c r="O2887" s="7">
        <f>+(L2888-L2886)</f>
      </c>
      <c r="P2887" s="7">
        <f>SQRT(O2887^2+N2887^2)</f>
      </c>
      <c r="Q2887" s="7">
        <f>N2887/$P2887</f>
      </c>
      <c r="R2887" s="7">
        <f>O2887/$P2887</f>
      </c>
      <c r="S2887" s="7">
        <f>Q2887^2+R2887^2</f>
      </c>
      <c r="T2887" s="7">
        <f>-R2887</f>
      </c>
      <c r="U2887" s="7">
        <f>Q2887</f>
      </c>
      <c r="V2887" s="7">
        <f>($C$14+($C$15-$C$14)/($D$15-$D$14)*(I2887-$D$14))/2</f>
      </c>
      <c r="W2887" s="7">
        <f>($B$22*I2887^4+$C$22*I2887^3+$D$22*I2887^2+$E$22*I2887+$F$22)/2</f>
      </c>
      <c r="X2887" s="7">
        <f>($W2887)*(T2887)</f>
      </c>
      <c r="Y2887" s="7">
        <f>($W2887)*(U2887)</f>
      </c>
      <c r="Z2887" s="7">
        <f>SQRT(X2887^2+Y2887^2)</f>
      </c>
      <c r="AA2887" s="7">
        <f>$K2887+$X2887</f>
      </c>
      <c r="AB2887" s="7">
        <f>$L2887+$Y2887</f>
      </c>
      <c r="AC2887" s="7">
        <f>$K2887-$X2887</f>
      </c>
      <c r="AD2887" s="7">
        <f>$L2887-$Y2887</f>
      </c>
      <c r="AE2887" s="7">
        <f>AA2887/39.3701</f>
      </c>
      <c r="AF2887" s="7">
        <f>AB2887/39.3701</f>
      </c>
      <c r="AG2887" s="7">
        <f>AC2887/39.3701</f>
      </c>
      <c r="AH2887" s="7">
        <f>AD2887/39.3701</f>
      </c>
      <c r="AI2887" s="1"/>
      <c r="AJ2887" s="1"/>
      <c r="AK2887" s="1"/>
      <c r="AL2887" s="1"/>
      <c r="AM2887" s="2"/>
      <c r="AN2887" s="1"/>
      <c r="AO2887" s="1"/>
      <c r="AP2887" s="1"/>
      <c r="AQ2887" s="1"/>
      <c r="AR2887" s="1"/>
      <c r="AS2887" s="1"/>
      <c r="AT2887" s="1"/>
      <c r="AU2887" s="1"/>
      <c r="AV2887" s="1"/>
      <c r="AW2887" s="1"/>
      <c r="AX2887" s="1"/>
      <c r="AY2887" s="1"/>
      <c r="AZ2887" s="1"/>
      <c r="BA2887" s="1"/>
      <c r="BB2887" s="1"/>
      <c r="BC2887" s="1"/>
      <c r="BD2887" s="1"/>
      <c r="BE2887" s="1"/>
    </row>
    <row x14ac:dyDescent="0.25" r="2888" customHeight="1" ht="18.75">
      <c r="A2888" s="1"/>
      <c r="B2888" s="2"/>
      <c r="C2888" s="2"/>
      <c r="D2888" s="2"/>
      <c r="E2888" s="2"/>
      <c r="F2888" s="2"/>
      <c r="G2888" s="1"/>
      <c r="H2888" s="1"/>
      <c r="I2888" s="7">
        <v>2.885</v>
      </c>
      <c r="J2888" s="7">
        <f>IF((I2888-ROUNDDOWN(I2888,0))=0, 0, (I2888-ROUNDDOWN(I2888,0)))</f>
      </c>
      <c r="K2888" s="7">
        <f>INDIRECT("C$"&amp;2+MIN(2,ROUNDDOWN(I2888,0))*3)*(-$J2888^3+3*$J2888^2-3*$J2888+1)+INDIRECT("C$"&amp;3+MIN(2,ROUNDDOWN(I2888,0))*3)*(3*$J2888^3-6*$J2888^2+3*$J2888)+INDIRECT("C$"&amp;4+MIN(2,ROUNDDOWN(I2888,0))*3)*(-3*$J2888^3+3*$J2888^2)+INDIRECT("C$"&amp;5+MIN(2,ROUNDDOWN(I2888,0))*3)*$J2888^3</f>
      </c>
      <c r="L2888" s="7">
        <f>INDIRECT("D$"&amp;2+MIN(2,ROUNDDOWN(I2888,0))*3)*(-$J2888^3+3*$J2888^2-3*$J2888+1)+INDIRECT("D$"&amp;3+MIN(2,ROUNDDOWN(I2888,0))*3)*(3*$J2888^3-6*$J2888^2+3*$J2888)+INDIRECT("D$"&amp;4+MIN(2,ROUNDDOWN(I2888,0))*3)*(-3*$J2888^3+3*$J2888^2)+INDIRECT("D$"&amp;5+MIN(2,ROUNDDOWN(I2888,0))*3)*$J2888^3</f>
      </c>
      <c r="M2888" s="7">
        <f>SQRT(K2888^2+L2888^2)</f>
      </c>
      <c r="N2888" s="7">
        <f>(K2889-K2887)</f>
      </c>
      <c r="O2888" s="7">
        <f>+(L2889-L2887)</f>
      </c>
      <c r="P2888" s="7">
        <f>SQRT(O2888^2+N2888^2)</f>
      </c>
      <c r="Q2888" s="7">
        <f>N2888/$P2888</f>
      </c>
      <c r="R2888" s="7">
        <f>O2888/$P2888</f>
      </c>
      <c r="S2888" s="7">
        <f>Q2888^2+R2888^2</f>
      </c>
      <c r="T2888" s="7">
        <f>-R2888</f>
      </c>
      <c r="U2888" s="7">
        <f>Q2888</f>
      </c>
      <c r="V2888" s="7">
        <f>($C$14+($C$15-$C$14)/($D$15-$D$14)*(I2888-$D$14))/2</f>
      </c>
      <c r="W2888" s="7">
        <f>($B$22*I2888^4+$C$22*I2888^3+$D$22*I2888^2+$E$22*I2888+$F$22)/2</f>
      </c>
      <c r="X2888" s="7">
        <f>($W2888)*(T2888)</f>
      </c>
      <c r="Y2888" s="7">
        <f>($W2888)*(U2888)</f>
      </c>
      <c r="Z2888" s="7">
        <f>SQRT(X2888^2+Y2888^2)</f>
      </c>
      <c r="AA2888" s="7">
        <f>$K2888+$X2888</f>
      </c>
      <c r="AB2888" s="7">
        <f>$L2888+$Y2888</f>
      </c>
      <c r="AC2888" s="7">
        <f>$K2888-$X2888</f>
      </c>
      <c r="AD2888" s="7">
        <f>$L2888-$Y2888</f>
      </c>
      <c r="AE2888" s="7">
        <f>AA2888/39.3701</f>
      </c>
      <c r="AF2888" s="7">
        <f>AB2888/39.3701</f>
      </c>
      <c r="AG2888" s="7">
        <f>AC2888/39.3701</f>
      </c>
      <c r="AH2888" s="7">
        <f>AD2888/39.3701</f>
      </c>
      <c r="AI2888" s="1"/>
      <c r="AJ2888" s="1"/>
      <c r="AK2888" s="1"/>
      <c r="AL2888" s="1"/>
      <c r="AM2888" s="2"/>
      <c r="AN2888" s="1"/>
      <c r="AO2888" s="1"/>
      <c r="AP2888" s="1"/>
      <c r="AQ2888" s="1"/>
      <c r="AR2888" s="1"/>
      <c r="AS2888" s="1"/>
      <c r="AT2888" s="1"/>
      <c r="AU2888" s="1"/>
      <c r="AV2888" s="1"/>
      <c r="AW2888" s="1"/>
      <c r="AX2888" s="1"/>
      <c r="AY2888" s="1"/>
      <c r="AZ2888" s="1"/>
      <c r="BA2888" s="1"/>
      <c r="BB2888" s="1"/>
      <c r="BC2888" s="1"/>
      <c r="BD2888" s="1"/>
      <c r="BE2888" s="1"/>
    </row>
    <row x14ac:dyDescent="0.25" r="2889" customHeight="1" ht="18.75">
      <c r="A2889" s="1"/>
      <c r="B2889" s="2"/>
      <c r="C2889" s="2"/>
      <c r="D2889" s="2"/>
      <c r="E2889" s="2"/>
      <c r="F2889" s="2"/>
      <c r="G2889" s="1"/>
      <c r="H2889" s="1"/>
      <c r="I2889" s="7">
        <v>2.886</v>
      </c>
      <c r="J2889" s="7">
        <f>IF((I2889-ROUNDDOWN(I2889,0))=0, 0, (I2889-ROUNDDOWN(I2889,0)))</f>
      </c>
      <c r="K2889" s="7">
        <f>INDIRECT("C$"&amp;2+MIN(2,ROUNDDOWN(I2889,0))*3)*(-$J2889^3+3*$J2889^2-3*$J2889+1)+INDIRECT("C$"&amp;3+MIN(2,ROUNDDOWN(I2889,0))*3)*(3*$J2889^3-6*$J2889^2+3*$J2889)+INDIRECT("C$"&amp;4+MIN(2,ROUNDDOWN(I2889,0))*3)*(-3*$J2889^3+3*$J2889^2)+INDIRECT("C$"&amp;5+MIN(2,ROUNDDOWN(I2889,0))*3)*$J2889^3</f>
      </c>
      <c r="L2889" s="7">
        <f>INDIRECT("D$"&amp;2+MIN(2,ROUNDDOWN(I2889,0))*3)*(-$J2889^3+3*$J2889^2-3*$J2889+1)+INDIRECT("D$"&amp;3+MIN(2,ROUNDDOWN(I2889,0))*3)*(3*$J2889^3-6*$J2889^2+3*$J2889)+INDIRECT("D$"&amp;4+MIN(2,ROUNDDOWN(I2889,0))*3)*(-3*$J2889^3+3*$J2889^2)+INDIRECT("D$"&amp;5+MIN(2,ROUNDDOWN(I2889,0))*3)*$J2889^3</f>
      </c>
      <c r="M2889" s="7">
        <f>SQRT(K2889^2+L2889^2)</f>
      </c>
      <c r="N2889" s="7">
        <f>(K2890-K2888)</f>
      </c>
      <c r="O2889" s="7">
        <f>+(L2890-L2888)</f>
      </c>
      <c r="P2889" s="7">
        <f>SQRT(O2889^2+N2889^2)</f>
      </c>
      <c r="Q2889" s="7">
        <f>N2889/$P2889</f>
      </c>
      <c r="R2889" s="7">
        <f>O2889/$P2889</f>
      </c>
      <c r="S2889" s="7">
        <f>Q2889^2+R2889^2</f>
      </c>
      <c r="T2889" s="7">
        <f>-R2889</f>
      </c>
      <c r="U2889" s="7">
        <f>Q2889</f>
      </c>
      <c r="V2889" s="7">
        <f>($C$14+($C$15-$C$14)/($D$15-$D$14)*(I2889-$D$14))/2</f>
      </c>
      <c r="W2889" s="7">
        <f>($B$22*I2889^4+$C$22*I2889^3+$D$22*I2889^2+$E$22*I2889+$F$22)/2</f>
      </c>
      <c r="X2889" s="7">
        <f>($W2889)*(T2889)</f>
      </c>
      <c r="Y2889" s="7">
        <f>($W2889)*(U2889)</f>
      </c>
      <c r="Z2889" s="7">
        <f>SQRT(X2889^2+Y2889^2)</f>
      </c>
      <c r="AA2889" s="7">
        <f>$K2889+$X2889</f>
      </c>
      <c r="AB2889" s="7">
        <f>$L2889+$Y2889</f>
      </c>
      <c r="AC2889" s="7">
        <f>$K2889-$X2889</f>
      </c>
      <c r="AD2889" s="7">
        <f>$L2889-$Y2889</f>
      </c>
      <c r="AE2889" s="7">
        <f>AA2889/39.3701</f>
      </c>
      <c r="AF2889" s="7">
        <f>AB2889/39.3701</f>
      </c>
      <c r="AG2889" s="7">
        <f>AC2889/39.3701</f>
      </c>
      <c r="AH2889" s="7">
        <f>AD2889/39.3701</f>
      </c>
      <c r="AI2889" s="1"/>
      <c r="AJ2889" s="1"/>
      <c r="AK2889" s="1"/>
      <c r="AL2889" s="1"/>
      <c r="AM2889" s="2"/>
      <c r="AN2889" s="1"/>
      <c r="AO2889" s="1"/>
      <c r="AP2889" s="1"/>
      <c r="AQ2889" s="1"/>
      <c r="AR2889" s="1"/>
      <c r="AS2889" s="1"/>
      <c r="AT2889" s="1"/>
      <c r="AU2889" s="1"/>
      <c r="AV2889" s="1"/>
      <c r="AW2889" s="1"/>
      <c r="AX2889" s="1"/>
      <c r="AY2889" s="1"/>
      <c r="AZ2889" s="1"/>
      <c r="BA2889" s="1"/>
      <c r="BB2889" s="1"/>
      <c r="BC2889" s="1"/>
      <c r="BD2889" s="1"/>
      <c r="BE2889" s="1"/>
    </row>
    <row x14ac:dyDescent="0.25" r="2890" customHeight="1" ht="18.75">
      <c r="A2890" s="1"/>
      <c r="B2890" s="2"/>
      <c r="C2890" s="2"/>
      <c r="D2890" s="2"/>
      <c r="E2890" s="2"/>
      <c r="F2890" s="2"/>
      <c r="G2890" s="1"/>
      <c r="H2890" s="1"/>
      <c r="I2890" s="7">
        <v>2.887</v>
      </c>
      <c r="J2890" s="7">
        <f>IF((I2890-ROUNDDOWN(I2890,0))=0, 0, (I2890-ROUNDDOWN(I2890,0)))</f>
      </c>
      <c r="K2890" s="7">
        <f>INDIRECT("C$"&amp;2+MIN(2,ROUNDDOWN(I2890,0))*3)*(-$J2890^3+3*$J2890^2-3*$J2890+1)+INDIRECT("C$"&amp;3+MIN(2,ROUNDDOWN(I2890,0))*3)*(3*$J2890^3-6*$J2890^2+3*$J2890)+INDIRECT("C$"&amp;4+MIN(2,ROUNDDOWN(I2890,0))*3)*(-3*$J2890^3+3*$J2890^2)+INDIRECT("C$"&amp;5+MIN(2,ROUNDDOWN(I2890,0))*3)*$J2890^3</f>
      </c>
      <c r="L2890" s="7">
        <f>INDIRECT("D$"&amp;2+MIN(2,ROUNDDOWN(I2890,0))*3)*(-$J2890^3+3*$J2890^2-3*$J2890+1)+INDIRECT("D$"&amp;3+MIN(2,ROUNDDOWN(I2890,0))*3)*(3*$J2890^3-6*$J2890^2+3*$J2890)+INDIRECT("D$"&amp;4+MIN(2,ROUNDDOWN(I2890,0))*3)*(-3*$J2890^3+3*$J2890^2)+INDIRECT("D$"&amp;5+MIN(2,ROUNDDOWN(I2890,0))*3)*$J2890^3</f>
      </c>
      <c r="M2890" s="7">
        <f>SQRT(K2890^2+L2890^2)</f>
      </c>
      <c r="N2890" s="7">
        <f>(K2891-K2889)</f>
      </c>
      <c r="O2890" s="7">
        <f>+(L2891-L2889)</f>
      </c>
      <c r="P2890" s="7">
        <f>SQRT(O2890^2+N2890^2)</f>
      </c>
      <c r="Q2890" s="7">
        <f>N2890/$P2890</f>
      </c>
      <c r="R2890" s="7">
        <f>O2890/$P2890</f>
      </c>
      <c r="S2890" s="8">
        <f>Q2890^2+R2890^2</f>
      </c>
      <c r="T2890" s="7">
        <f>-R2890</f>
      </c>
      <c r="U2890" s="7">
        <f>Q2890</f>
      </c>
      <c r="V2890" s="7">
        <f>($C$14+($C$15-$C$14)/($D$15-$D$14)*(I2890-$D$14))/2</f>
      </c>
      <c r="W2890" s="7">
        <f>($B$22*I2890^4+$C$22*I2890^3+$D$22*I2890^2+$E$22*I2890+$F$22)/2</f>
      </c>
      <c r="X2890" s="7">
        <f>($W2890)*(T2890)</f>
      </c>
      <c r="Y2890" s="7">
        <f>($W2890)*(U2890)</f>
      </c>
      <c r="Z2890" s="7">
        <f>SQRT(X2890^2+Y2890^2)</f>
      </c>
      <c r="AA2890" s="7">
        <f>$K2890+$X2890</f>
      </c>
      <c r="AB2890" s="7">
        <f>$L2890+$Y2890</f>
      </c>
      <c r="AC2890" s="7">
        <f>$K2890-$X2890</f>
      </c>
      <c r="AD2890" s="7">
        <f>$L2890-$Y2890</f>
      </c>
      <c r="AE2890" s="7">
        <f>AA2890/39.3701</f>
      </c>
      <c r="AF2890" s="7">
        <f>AB2890/39.3701</f>
      </c>
      <c r="AG2890" s="7">
        <f>AC2890/39.3701</f>
      </c>
      <c r="AH2890" s="7">
        <f>AD2890/39.3701</f>
      </c>
      <c r="AI2890" s="1"/>
      <c r="AJ2890" s="1"/>
      <c r="AK2890" s="1"/>
      <c r="AL2890" s="1"/>
      <c r="AM2890" s="2"/>
      <c r="AN2890" s="1"/>
      <c r="AO2890" s="1"/>
      <c r="AP2890" s="1"/>
      <c r="AQ2890" s="1"/>
      <c r="AR2890" s="1"/>
      <c r="AS2890" s="1"/>
      <c r="AT2890" s="1"/>
      <c r="AU2890" s="1"/>
      <c r="AV2890" s="1"/>
      <c r="AW2890" s="1"/>
      <c r="AX2890" s="1"/>
      <c r="AY2890" s="1"/>
      <c r="AZ2890" s="1"/>
      <c r="BA2890" s="1"/>
      <c r="BB2890" s="1"/>
      <c r="BC2890" s="1"/>
      <c r="BD2890" s="1"/>
      <c r="BE2890" s="1"/>
    </row>
    <row x14ac:dyDescent="0.25" r="2891" customHeight="1" ht="18.75">
      <c r="A2891" s="1"/>
      <c r="B2891" s="2"/>
      <c r="C2891" s="2"/>
      <c r="D2891" s="2"/>
      <c r="E2891" s="2"/>
      <c r="F2891" s="2"/>
      <c r="G2891" s="1"/>
      <c r="H2891" s="1"/>
      <c r="I2891" s="7">
        <v>2.888</v>
      </c>
      <c r="J2891" s="7">
        <f>IF((I2891-ROUNDDOWN(I2891,0))=0, 0, (I2891-ROUNDDOWN(I2891,0)))</f>
      </c>
      <c r="K2891" s="7">
        <f>INDIRECT("C$"&amp;2+MIN(2,ROUNDDOWN(I2891,0))*3)*(-$J2891^3+3*$J2891^2-3*$J2891+1)+INDIRECT("C$"&amp;3+MIN(2,ROUNDDOWN(I2891,0))*3)*(3*$J2891^3-6*$J2891^2+3*$J2891)+INDIRECT("C$"&amp;4+MIN(2,ROUNDDOWN(I2891,0))*3)*(-3*$J2891^3+3*$J2891^2)+INDIRECT("C$"&amp;5+MIN(2,ROUNDDOWN(I2891,0))*3)*$J2891^3</f>
      </c>
      <c r="L2891" s="7">
        <f>INDIRECT("D$"&amp;2+MIN(2,ROUNDDOWN(I2891,0))*3)*(-$J2891^3+3*$J2891^2-3*$J2891+1)+INDIRECT("D$"&amp;3+MIN(2,ROUNDDOWN(I2891,0))*3)*(3*$J2891^3-6*$J2891^2+3*$J2891)+INDIRECT("D$"&amp;4+MIN(2,ROUNDDOWN(I2891,0))*3)*(-3*$J2891^3+3*$J2891^2)+INDIRECT("D$"&amp;5+MIN(2,ROUNDDOWN(I2891,0))*3)*$J2891^3</f>
      </c>
      <c r="M2891" s="7">
        <f>SQRT(K2891^2+L2891^2)</f>
      </c>
      <c r="N2891" s="7">
        <f>(K2892-K2890)</f>
      </c>
      <c r="O2891" s="7">
        <f>+(L2892-L2890)</f>
      </c>
      <c r="P2891" s="7">
        <f>SQRT(O2891^2+N2891^2)</f>
      </c>
      <c r="Q2891" s="7">
        <f>N2891/$P2891</f>
      </c>
      <c r="R2891" s="7">
        <f>O2891/$P2891</f>
      </c>
      <c r="S2891" s="7">
        <f>Q2891^2+R2891^2</f>
      </c>
      <c r="T2891" s="7">
        <f>-R2891</f>
      </c>
      <c r="U2891" s="7">
        <f>Q2891</f>
      </c>
      <c r="V2891" s="7">
        <f>($C$14+($C$15-$C$14)/($D$15-$D$14)*(I2891-$D$14))/2</f>
      </c>
      <c r="W2891" s="7">
        <f>($B$22*I2891^4+$C$22*I2891^3+$D$22*I2891^2+$E$22*I2891+$F$22)/2</f>
      </c>
      <c r="X2891" s="7">
        <f>($W2891)*(T2891)</f>
      </c>
      <c r="Y2891" s="7">
        <f>($W2891)*(U2891)</f>
      </c>
      <c r="Z2891" s="7">
        <f>SQRT(X2891^2+Y2891^2)</f>
      </c>
      <c r="AA2891" s="7">
        <f>$K2891+$X2891</f>
      </c>
      <c r="AB2891" s="7">
        <f>$L2891+$Y2891</f>
      </c>
      <c r="AC2891" s="7">
        <f>$K2891-$X2891</f>
      </c>
      <c r="AD2891" s="7">
        <f>$L2891-$Y2891</f>
      </c>
      <c r="AE2891" s="7">
        <f>AA2891/39.3701</f>
      </c>
      <c r="AF2891" s="7">
        <f>AB2891/39.3701</f>
      </c>
      <c r="AG2891" s="7">
        <f>AC2891/39.3701</f>
      </c>
      <c r="AH2891" s="7">
        <f>AD2891/39.3701</f>
      </c>
      <c r="AI2891" s="1"/>
      <c r="AJ2891" s="1"/>
      <c r="AK2891" s="1"/>
      <c r="AL2891" s="1"/>
      <c r="AM2891" s="2"/>
      <c r="AN2891" s="1"/>
      <c r="AO2891" s="1"/>
      <c r="AP2891" s="1"/>
      <c r="AQ2891" s="1"/>
      <c r="AR2891" s="1"/>
      <c r="AS2891" s="1"/>
      <c r="AT2891" s="1"/>
      <c r="AU2891" s="1"/>
      <c r="AV2891" s="1"/>
      <c r="AW2891" s="1"/>
      <c r="AX2891" s="1"/>
      <c r="AY2891" s="1"/>
      <c r="AZ2891" s="1"/>
      <c r="BA2891" s="1"/>
      <c r="BB2891" s="1"/>
      <c r="BC2891" s="1"/>
      <c r="BD2891" s="1"/>
      <c r="BE2891" s="1"/>
    </row>
    <row x14ac:dyDescent="0.25" r="2892" customHeight="1" ht="18.75">
      <c r="A2892" s="1"/>
      <c r="B2892" s="2"/>
      <c r="C2892" s="2"/>
      <c r="D2892" s="2"/>
      <c r="E2892" s="2"/>
      <c r="F2892" s="2"/>
      <c r="G2892" s="1"/>
      <c r="H2892" s="1"/>
      <c r="I2892" s="7">
        <v>2.889</v>
      </c>
      <c r="J2892" s="7">
        <f>IF((I2892-ROUNDDOWN(I2892,0))=0, 0, (I2892-ROUNDDOWN(I2892,0)))</f>
      </c>
      <c r="K2892" s="7">
        <f>INDIRECT("C$"&amp;2+MIN(2,ROUNDDOWN(I2892,0))*3)*(-$J2892^3+3*$J2892^2-3*$J2892+1)+INDIRECT("C$"&amp;3+MIN(2,ROUNDDOWN(I2892,0))*3)*(3*$J2892^3-6*$J2892^2+3*$J2892)+INDIRECT("C$"&amp;4+MIN(2,ROUNDDOWN(I2892,0))*3)*(-3*$J2892^3+3*$J2892^2)+INDIRECT("C$"&amp;5+MIN(2,ROUNDDOWN(I2892,0))*3)*$J2892^3</f>
      </c>
      <c r="L2892" s="7">
        <f>INDIRECT("D$"&amp;2+MIN(2,ROUNDDOWN(I2892,0))*3)*(-$J2892^3+3*$J2892^2-3*$J2892+1)+INDIRECT("D$"&amp;3+MIN(2,ROUNDDOWN(I2892,0))*3)*(3*$J2892^3-6*$J2892^2+3*$J2892)+INDIRECT("D$"&amp;4+MIN(2,ROUNDDOWN(I2892,0))*3)*(-3*$J2892^3+3*$J2892^2)+INDIRECT("D$"&amp;5+MIN(2,ROUNDDOWN(I2892,0))*3)*$J2892^3</f>
      </c>
      <c r="M2892" s="7">
        <f>SQRT(K2892^2+L2892^2)</f>
      </c>
      <c r="N2892" s="7">
        <f>(K2893-K2891)</f>
      </c>
      <c r="O2892" s="7">
        <f>+(L2893-L2891)</f>
      </c>
      <c r="P2892" s="7">
        <f>SQRT(O2892^2+N2892^2)</f>
      </c>
      <c r="Q2892" s="7">
        <f>N2892/$P2892</f>
      </c>
      <c r="R2892" s="7">
        <f>O2892/$P2892</f>
      </c>
      <c r="S2892" s="8">
        <f>Q2892^2+R2892^2</f>
      </c>
      <c r="T2892" s="7">
        <f>-R2892</f>
      </c>
      <c r="U2892" s="7">
        <f>Q2892</f>
      </c>
      <c r="V2892" s="7">
        <f>($C$14+($C$15-$C$14)/($D$15-$D$14)*(I2892-$D$14))/2</f>
      </c>
      <c r="W2892" s="7">
        <f>($B$22*I2892^4+$C$22*I2892^3+$D$22*I2892^2+$E$22*I2892+$F$22)/2</f>
      </c>
      <c r="X2892" s="7">
        <f>($W2892)*(T2892)</f>
      </c>
      <c r="Y2892" s="7">
        <f>($W2892)*(U2892)</f>
      </c>
      <c r="Z2892" s="7">
        <f>SQRT(X2892^2+Y2892^2)</f>
      </c>
      <c r="AA2892" s="7">
        <f>$K2892+$X2892</f>
      </c>
      <c r="AB2892" s="7">
        <f>$L2892+$Y2892</f>
      </c>
      <c r="AC2892" s="7">
        <f>$K2892-$X2892</f>
      </c>
      <c r="AD2892" s="7">
        <f>$L2892-$Y2892</f>
      </c>
      <c r="AE2892" s="7">
        <f>AA2892/39.3701</f>
      </c>
      <c r="AF2892" s="7">
        <f>AB2892/39.3701</f>
      </c>
      <c r="AG2892" s="7">
        <f>AC2892/39.3701</f>
      </c>
      <c r="AH2892" s="7">
        <f>AD2892/39.3701</f>
      </c>
      <c r="AI2892" s="1"/>
      <c r="AJ2892" s="1"/>
      <c r="AK2892" s="1"/>
      <c r="AL2892" s="1"/>
      <c r="AM2892" s="2"/>
      <c r="AN2892" s="1"/>
      <c r="AO2892" s="1"/>
      <c r="AP2892" s="1"/>
      <c r="AQ2892" s="1"/>
      <c r="AR2892" s="1"/>
      <c r="AS2892" s="1"/>
      <c r="AT2892" s="1"/>
      <c r="AU2892" s="1"/>
      <c r="AV2892" s="1"/>
      <c r="AW2892" s="1"/>
      <c r="AX2892" s="1"/>
      <c r="AY2892" s="1"/>
      <c r="AZ2892" s="1"/>
      <c r="BA2892" s="1"/>
      <c r="BB2892" s="1"/>
      <c r="BC2892" s="1"/>
      <c r="BD2892" s="1"/>
      <c r="BE2892" s="1"/>
    </row>
    <row x14ac:dyDescent="0.25" r="2893" customHeight="1" ht="18.75">
      <c r="A2893" s="1"/>
      <c r="B2893" s="2"/>
      <c r="C2893" s="2"/>
      <c r="D2893" s="2"/>
      <c r="E2893" s="2"/>
      <c r="F2893" s="2"/>
      <c r="G2893" s="1"/>
      <c r="H2893" s="1"/>
      <c r="I2893" s="7">
        <v>2.89</v>
      </c>
      <c r="J2893" s="7">
        <f>IF((I2893-ROUNDDOWN(I2893,0))=0, 0, (I2893-ROUNDDOWN(I2893,0)))</f>
      </c>
      <c r="K2893" s="7">
        <f>INDIRECT("C$"&amp;2+MIN(2,ROUNDDOWN(I2893,0))*3)*(-$J2893^3+3*$J2893^2-3*$J2893+1)+INDIRECT("C$"&amp;3+MIN(2,ROUNDDOWN(I2893,0))*3)*(3*$J2893^3-6*$J2893^2+3*$J2893)+INDIRECT("C$"&amp;4+MIN(2,ROUNDDOWN(I2893,0))*3)*(-3*$J2893^3+3*$J2893^2)+INDIRECT("C$"&amp;5+MIN(2,ROUNDDOWN(I2893,0))*3)*$J2893^3</f>
      </c>
      <c r="L2893" s="7">
        <f>INDIRECT("D$"&amp;2+MIN(2,ROUNDDOWN(I2893,0))*3)*(-$J2893^3+3*$J2893^2-3*$J2893+1)+INDIRECT("D$"&amp;3+MIN(2,ROUNDDOWN(I2893,0))*3)*(3*$J2893^3-6*$J2893^2+3*$J2893)+INDIRECT("D$"&amp;4+MIN(2,ROUNDDOWN(I2893,0))*3)*(-3*$J2893^3+3*$J2893^2)+INDIRECT("D$"&amp;5+MIN(2,ROUNDDOWN(I2893,0))*3)*$J2893^3</f>
      </c>
      <c r="M2893" s="7">
        <f>SQRT(K2893^2+L2893^2)</f>
      </c>
      <c r="N2893" s="7">
        <f>(K2894-K2892)</f>
      </c>
      <c r="O2893" s="7">
        <f>+(L2894-L2892)</f>
      </c>
      <c r="P2893" s="7">
        <f>SQRT(O2893^2+N2893^2)</f>
      </c>
      <c r="Q2893" s="7">
        <f>N2893/$P2893</f>
      </c>
      <c r="R2893" s="7">
        <f>O2893/$P2893</f>
      </c>
      <c r="S2893" s="8">
        <f>Q2893^2+R2893^2</f>
      </c>
      <c r="T2893" s="7">
        <f>-R2893</f>
      </c>
      <c r="U2893" s="7">
        <f>Q2893</f>
      </c>
      <c r="V2893" s="7">
        <f>($C$14+($C$15-$C$14)/($D$15-$D$14)*(I2893-$D$14))/2</f>
      </c>
      <c r="W2893" s="7">
        <f>($B$22*I2893^4+$C$22*I2893^3+$D$22*I2893^2+$E$22*I2893+$F$22)/2</f>
      </c>
      <c r="X2893" s="7">
        <f>($W2893)*(T2893)</f>
      </c>
      <c r="Y2893" s="7">
        <f>($W2893)*(U2893)</f>
      </c>
      <c r="Z2893" s="7">
        <f>SQRT(X2893^2+Y2893^2)</f>
      </c>
      <c r="AA2893" s="7">
        <f>$K2893+$X2893</f>
      </c>
      <c r="AB2893" s="7">
        <f>$L2893+$Y2893</f>
      </c>
      <c r="AC2893" s="7">
        <f>$K2893-$X2893</f>
      </c>
      <c r="AD2893" s="7">
        <f>$L2893-$Y2893</f>
      </c>
      <c r="AE2893" s="7">
        <f>AA2893/39.3701</f>
      </c>
      <c r="AF2893" s="7">
        <f>AB2893/39.3701</f>
      </c>
      <c r="AG2893" s="7">
        <f>AC2893/39.3701</f>
      </c>
      <c r="AH2893" s="7">
        <f>AD2893/39.3701</f>
      </c>
      <c r="AI2893" s="1"/>
      <c r="AJ2893" s="1"/>
      <c r="AK2893" s="1"/>
      <c r="AL2893" s="1"/>
      <c r="AM2893" s="2"/>
      <c r="AN2893" s="1"/>
      <c r="AO2893" s="1"/>
      <c r="AP2893" s="1"/>
      <c r="AQ2893" s="1"/>
      <c r="AR2893" s="1"/>
      <c r="AS2893" s="1"/>
      <c r="AT2893" s="1"/>
      <c r="AU2893" s="1"/>
      <c r="AV2893" s="1"/>
      <c r="AW2893" s="1"/>
      <c r="AX2893" s="1"/>
      <c r="AY2893" s="1"/>
      <c r="AZ2893" s="1"/>
      <c r="BA2893" s="1"/>
      <c r="BB2893" s="1"/>
      <c r="BC2893" s="1"/>
      <c r="BD2893" s="1"/>
      <c r="BE2893" s="1"/>
    </row>
    <row x14ac:dyDescent="0.25" r="2894" customHeight="1" ht="18.75">
      <c r="A2894" s="1"/>
      <c r="B2894" s="2"/>
      <c r="C2894" s="2"/>
      <c r="D2894" s="2"/>
      <c r="E2894" s="2"/>
      <c r="F2894" s="2"/>
      <c r="G2894" s="1"/>
      <c r="H2894" s="1"/>
      <c r="I2894" s="7">
        <v>2.891</v>
      </c>
      <c r="J2894" s="7">
        <f>IF((I2894-ROUNDDOWN(I2894,0))=0, 0, (I2894-ROUNDDOWN(I2894,0)))</f>
      </c>
      <c r="K2894" s="7">
        <f>INDIRECT("C$"&amp;2+MIN(2,ROUNDDOWN(I2894,0))*3)*(-$J2894^3+3*$J2894^2-3*$J2894+1)+INDIRECT("C$"&amp;3+MIN(2,ROUNDDOWN(I2894,0))*3)*(3*$J2894^3-6*$J2894^2+3*$J2894)+INDIRECT("C$"&amp;4+MIN(2,ROUNDDOWN(I2894,0))*3)*(-3*$J2894^3+3*$J2894^2)+INDIRECT("C$"&amp;5+MIN(2,ROUNDDOWN(I2894,0))*3)*$J2894^3</f>
      </c>
      <c r="L2894" s="7">
        <f>INDIRECT("D$"&amp;2+MIN(2,ROUNDDOWN(I2894,0))*3)*(-$J2894^3+3*$J2894^2-3*$J2894+1)+INDIRECT("D$"&amp;3+MIN(2,ROUNDDOWN(I2894,0))*3)*(3*$J2894^3-6*$J2894^2+3*$J2894)+INDIRECT("D$"&amp;4+MIN(2,ROUNDDOWN(I2894,0))*3)*(-3*$J2894^3+3*$J2894^2)+INDIRECT("D$"&amp;5+MIN(2,ROUNDDOWN(I2894,0))*3)*$J2894^3</f>
      </c>
      <c r="M2894" s="7">
        <f>SQRT(K2894^2+L2894^2)</f>
      </c>
      <c r="N2894" s="7">
        <f>(K2895-K2893)</f>
      </c>
      <c r="O2894" s="7">
        <f>+(L2895-L2893)</f>
      </c>
      <c r="P2894" s="7">
        <f>SQRT(O2894^2+N2894^2)</f>
      </c>
      <c r="Q2894" s="7">
        <f>N2894/$P2894</f>
      </c>
      <c r="R2894" s="7">
        <f>O2894/$P2894</f>
      </c>
      <c r="S2894" s="8">
        <f>Q2894^2+R2894^2</f>
      </c>
      <c r="T2894" s="7">
        <f>-R2894</f>
      </c>
      <c r="U2894" s="7">
        <f>Q2894</f>
      </c>
      <c r="V2894" s="7">
        <f>($C$14+($C$15-$C$14)/($D$15-$D$14)*(I2894-$D$14))/2</f>
      </c>
      <c r="W2894" s="7">
        <f>($B$22*I2894^4+$C$22*I2894^3+$D$22*I2894^2+$E$22*I2894+$F$22)/2</f>
      </c>
      <c r="X2894" s="7">
        <f>($W2894)*(T2894)</f>
      </c>
      <c r="Y2894" s="7">
        <f>($W2894)*(U2894)</f>
      </c>
      <c r="Z2894" s="7">
        <f>SQRT(X2894^2+Y2894^2)</f>
      </c>
      <c r="AA2894" s="7">
        <f>$K2894+$X2894</f>
      </c>
      <c r="AB2894" s="7">
        <f>$L2894+$Y2894</f>
      </c>
      <c r="AC2894" s="7">
        <f>$K2894-$X2894</f>
      </c>
      <c r="AD2894" s="7">
        <f>$L2894-$Y2894</f>
      </c>
      <c r="AE2894" s="7">
        <f>AA2894/39.3701</f>
      </c>
      <c r="AF2894" s="7">
        <f>AB2894/39.3701</f>
      </c>
      <c r="AG2894" s="7">
        <f>AC2894/39.3701</f>
      </c>
      <c r="AH2894" s="7">
        <f>AD2894/39.3701</f>
      </c>
      <c r="AI2894" s="1"/>
      <c r="AJ2894" s="1"/>
      <c r="AK2894" s="1"/>
      <c r="AL2894" s="1"/>
      <c r="AM2894" s="2"/>
      <c r="AN2894" s="1"/>
      <c r="AO2894" s="1"/>
      <c r="AP2894" s="1"/>
      <c r="AQ2894" s="1"/>
      <c r="AR2894" s="1"/>
      <c r="AS2894" s="1"/>
      <c r="AT2894" s="1"/>
      <c r="AU2894" s="1"/>
      <c r="AV2894" s="1"/>
      <c r="AW2894" s="1"/>
      <c r="AX2894" s="1"/>
      <c r="AY2894" s="1"/>
      <c r="AZ2894" s="1"/>
      <c r="BA2894" s="1"/>
      <c r="BB2894" s="1"/>
      <c r="BC2894" s="1"/>
      <c r="BD2894" s="1"/>
      <c r="BE2894" s="1"/>
    </row>
    <row x14ac:dyDescent="0.25" r="2895" customHeight="1" ht="18.75">
      <c r="A2895" s="1"/>
      <c r="B2895" s="2"/>
      <c r="C2895" s="2"/>
      <c r="D2895" s="2"/>
      <c r="E2895" s="2"/>
      <c r="F2895" s="2"/>
      <c r="G2895" s="1"/>
      <c r="H2895" s="1"/>
      <c r="I2895" s="7">
        <v>2.892</v>
      </c>
      <c r="J2895" s="7">
        <f>IF((I2895-ROUNDDOWN(I2895,0))=0, 0, (I2895-ROUNDDOWN(I2895,0)))</f>
      </c>
      <c r="K2895" s="7">
        <f>INDIRECT("C$"&amp;2+MIN(2,ROUNDDOWN(I2895,0))*3)*(-$J2895^3+3*$J2895^2-3*$J2895+1)+INDIRECT("C$"&amp;3+MIN(2,ROUNDDOWN(I2895,0))*3)*(3*$J2895^3-6*$J2895^2+3*$J2895)+INDIRECT("C$"&amp;4+MIN(2,ROUNDDOWN(I2895,0))*3)*(-3*$J2895^3+3*$J2895^2)+INDIRECT("C$"&amp;5+MIN(2,ROUNDDOWN(I2895,0))*3)*$J2895^3</f>
      </c>
      <c r="L2895" s="7">
        <f>INDIRECT("D$"&amp;2+MIN(2,ROUNDDOWN(I2895,0))*3)*(-$J2895^3+3*$J2895^2-3*$J2895+1)+INDIRECT("D$"&amp;3+MIN(2,ROUNDDOWN(I2895,0))*3)*(3*$J2895^3-6*$J2895^2+3*$J2895)+INDIRECT("D$"&amp;4+MIN(2,ROUNDDOWN(I2895,0))*3)*(-3*$J2895^3+3*$J2895^2)+INDIRECT("D$"&amp;5+MIN(2,ROUNDDOWN(I2895,0))*3)*$J2895^3</f>
      </c>
      <c r="M2895" s="7">
        <f>SQRT(K2895^2+L2895^2)</f>
      </c>
      <c r="N2895" s="7">
        <f>(K2896-K2894)</f>
      </c>
      <c r="O2895" s="7">
        <f>+(L2896-L2894)</f>
      </c>
      <c r="P2895" s="7">
        <f>SQRT(O2895^2+N2895^2)</f>
      </c>
      <c r="Q2895" s="7">
        <f>N2895/$P2895</f>
      </c>
      <c r="R2895" s="7">
        <f>O2895/$P2895</f>
      </c>
      <c r="S2895" s="7">
        <f>Q2895^2+R2895^2</f>
      </c>
      <c r="T2895" s="7">
        <f>-R2895</f>
      </c>
      <c r="U2895" s="7">
        <f>Q2895</f>
      </c>
      <c r="V2895" s="7">
        <f>($C$14+($C$15-$C$14)/($D$15-$D$14)*(I2895-$D$14))/2</f>
      </c>
      <c r="W2895" s="7">
        <f>($B$22*I2895^4+$C$22*I2895^3+$D$22*I2895^2+$E$22*I2895+$F$22)/2</f>
      </c>
      <c r="X2895" s="7">
        <f>($W2895)*(T2895)</f>
      </c>
      <c r="Y2895" s="7">
        <f>($W2895)*(U2895)</f>
      </c>
      <c r="Z2895" s="7">
        <f>SQRT(X2895^2+Y2895^2)</f>
      </c>
      <c r="AA2895" s="7">
        <f>$K2895+$X2895</f>
      </c>
      <c r="AB2895" s="7">
        <f>$L2895+$Y2895</f>
      </c>
      <c r="AC2895" s="7">
        <f>$K2895-$X2895</f>
      </c>
      <c r="AD2895" s="7">
        <f>$L2895-$Y2895</f>
      </c>
      <c r="AE2895" s="7">
        <f>AA2895/39.3701</f>
      </c>
      <c r="AF2895" s="7">
        <f>AB2895/39.3701</f>
      </c>
      <c r="AG2895" s="7">
        <f>AC2895/39.3701</f>
      </c>
      <c r="AH2895" s="7">
        <f>AD2895/39.3701</f>
      </c>
      <c r="AI2895" s="1"/>
      <c r="AJ2895" s="1"/>
      <c r="AK2895" s="1"/>
      <c r="AL2895" s="1"/>
      <c r="AM2895" s="2"/>
      <c r="AN2895" s="1"/>
      <c r="AO2895" s="1"/>
      <c r="AP2895" s="1"/>
      <c r="AQ2895" s="1"/>
      <c r="AR2895" s="1"/>
      <c r="AS2895" s="1"/>
      <c r="AT2895" s="1"/>
      <c r="AU2895" s="1"/>
      <c r="AV2895" s="1"/>
      <c r="AW2895" s="1"/>
      <c r="AX2895" s="1"/>
      <c r="AY2895" s="1"/>
      <c r="AZ2895" s="1"/>
      <c r="BA2895" s="1"/>
      <c r="BB2895" s="1"/>
      <c r="BC2895" s="1"/>
      <c r="BD2895" s="1"/>
      <c r="BE2895" s="1"/>
    </row>
    <row x14ac:dyDescent="0.25" r="2896" customHeight="1" ht="18.75">
      <c r="A2896" s="1"/>
      <c r="B2896" s="2"/>
      <c r="C2896" s="2"/>
      <c r="D2896" s="2"/>
      <c r="E2896" s="2"/>
      <c r="F2896" s="2"/>
      <c r="G2896" s="1"/>
      <c r="H2896" s="1"/>
      <c r="I2896" s="7">
        <v>2.893</v>
      </c>
      <c r="J2896" s="7">
        <f>IF((I2896-ROUNDDOWN(I2896,0))=0, 0, (I2896-ROUNDDOWN(I2896,0)))</f>
      </c>
      <c r="K2896" s="7">
        <f>INDIRECT("C$"&amp;2+MIN(2,ROUNDDOWN(I2896,0))*3)*(-$J2896^3+3*$J2896^2-3*$J2896+1)+INDIRECT("C$"&amp;3+MIN(2,ROUNDDOWN(I2896,0))*3)*(3*$J2896^3-6*$J2896^2+3*$J2896)+INDIRECT("C$"&amp;4+MIN(2,ROUNDDOWN(I2896,0))*3)*(-3*$J2896^3+3*$J2896^2)+INDIRECT("C$"&amp;5+MIN(2,ROUNDDOWN(I2896,0))*3)*$J2896^3</f>
      </c>
      <c r="L2896" s="7">
        <f>INDIRECT("D$"&amp;2+MIN(2,ROUNDDOWN(I2896,0))*3)*(-$J2896^3+3*$J2896^2-3*$J2896+1)+INDIRECT("D$"&amp;3+MIN(2,ROUNDDOWN(I2896,0))*3)*(3*$J2896^3-6*$J2896^2+3*$J2896)+INDIRECT("D$"&amp;4+MIN(2,ROUNDDOWN(I2896,0))*3)*(-3*$J2896^3+3*$J2896^2)+INDIRECT("D$"&amp;5+MIN(2,ROUNDDOWN(I2896,0))*3)*$J2896^3</f>
      </c>
      <c r="M2896" s="7">
        <f>SQRT(K2896^2+L2896^2)</f>
      </c>
      <c r="N2896" s="7">
        <f>(K2897-K2895)</f>
      </c>
      <c r="O2896" s="7">
        <f>+(L2897-L2895)</f>
      </c>
      <c r="P2896" s="7">
        <f>SQRT(O2896^2+N2896^2)</f>
      </c>
      <c r="Q2896" s="7">
        <f>N2896/$P2896</f>
      </c>
      <c r="R2896" s="7">
        <f>O2896/$P2896</f>
      </c>
      <c r="S2896" s="7">
        <f>Q2896^2+R2896^2</f>
      </c>
      <c r="T2896" s="7">
        <f>-R2896</f>
      </c>
      <c r="U2896" s="7">
        <f>Q2896</f>
      </c>
      <c r="V2896" s="7">
        <f>($C$14+($C$15-$C$14)/($D$15-$D$14)*(I2896-$D$14))/2</f>
      </c>
      <c r="W2896" s="7">
        <f>($B$22*I2896^4+$C$22*I2896^3+$D$22*I2896^2+$E$22*I2896+$F$22)/2</f>
      </c>
      <c r="X2896" s="7">
        <f>($W2896)*(T2896)</f>
      </c>
      <c r="Y2896" s="7">
        <f>($W2896)*(U2896)</f>
      </c>
      <c r="Z2896" s="7">
        <f>SQRT(X2896^2+Y2896^2)</f>
      </c>
      <c r="AA2896" s="7">
        <f>$K2896+$X2896</f>
      </c>
      <c r="AB2896" s="7">
        <f>$L2896+$Y2896</f>
      </c>
      <c r="AC2896" s="7">
        <f>$K2896-$X2896</f>
      </c>
      <c r="AD2896" s="7">
        <f>$L2896-$Y2896</f>
      </c>
      <c r="AE2896" s="7">
        <f>AA2896/39.3701</f>
      </c>
      <c r="AF2896" s="7">
        <f>AB2896/39.3701</f>
      </c>
      <c r="AG2896" s="7">
        <f>AC2896/39.3701</f>
      </c>
      <c r="AH2896" s="7">
        <f>AD2896/39.3701</f>
      </c>
      <c r="AI2896" s="1"/>
      <c r="AJ2896" s="1"/>
      <c r="AK2896" s="1"/>
      <c r="AL2896" s="1"/>
      <c r="AM2896" s="2"/>
      <c r="AN2896" s="1"/>
      <c r="AO2896" s="1"/>
      <c r="AP2896" s="1"/>
      <c r="AQ2896" s="1"/>
      <c r="AR2896" s="1"/>
      <c r="AS2896" s="1"/>
      <c r="AT2896" s="1"/>
      <c r="AU2896" s="1"/>
      <c r="AV2896" s="1"/>
      <c r="AW2896" s="1"/>
      <c r="AX2896" s="1"/>
      <c r="AY2896" s="1"/>
      <c r="AZ2896" s="1"/>
      <c r="BA2896" s="1"/>
      <c r="BB2896" s="1"/>
      <c r="BC2896" s="1"/>
      <c r="BD2896" s="1"/>
      <c r="BE2896" s="1"/>
    </row>
    <row x14ac:dyDescent="0.25" r="2897" customHeight="1" ht="18.75">
      <c r="A2897" s="1"/>
      <c r="B2897" s="2"/>
      <c r="C2897" s="2"/>
      <c r="D2897" s="2"/>
      <c r="E2897" s="2"/>
      <c r="F2897" s="2"/>
      <c r="G2897" s="1"/>
      <c r="H2897" s="1"/>
      <c r="I2897" s="7">
        <v>2.894</v>
      </c>
      <c r="J2897" s="7">
        <f>IF((I2897-ROUNDDOWN(I2897,0))=0, 0, (I2897-ROUNDDOWN(I2897,0)))</f>
      </c>
      <c r="K2897" s="7">
        <f>INDIRECT("C$"&amp;2+MIN(2,ROUNDDOWN(I2897,0))*3)*(-$J2897^3+3*$J2897^2-3*$J2897+1)+INDIRECT("C$"&amp;3+MIN(2,ROUNDDOWN(I2897,0))*3)*(3*$J2897^3-6*$J2897^2+3*$J2897)+INDIRECT("C$"&amp;4+MIN(2,ROUNDDOWN(I2897,0))*3)*(-3*$J2897^3+3*$J2897^2)+INDIRECT("C$"&amp;5+MIN(2,ROUNDDOWN(I2897,0))*3)*$J2897^3</f>
      </c>
      <c r="L2897" s="7">
        <f>INDIRECT("D$"&amp;2+MIN(2,ROUNDDOWN(I2897,0))*3)*(-$J2897^3+3*$J2897^2-3*$J2897+1)+INDIRECT("D$"&amp;3+MIN(2,ROUNDDOWN(I2897,0))*3)*(3*$J2897^3-6*$J2897^2+3*$J2897)+INDIRECT("D$"&amp;4+MIN(2,ROUNDDOWN(I2897,0))*3)*(-3*$J2897^3+3*$J2897^2)+INDIRECT("D$"&amp;5+MIN(2,ROUNDDOWN(I2897,0))*3)*$J2897^3</f>
      </c>
      <c r="M2897" s="7">
        <f>SQRT(K2897^2+L2897^2)</f>
      </c>
      <c r="N2897" s="7">
        <f>(K2898-K2896)</f>
      </c>
      <c r="O2897" s="7">
        <f>+(L2898-L2896)</f>
      </c>
      <c r="P2897" s="7">
        <f>SQRT(O2897^2+N2897^2)</f>
      </c>
      <c r="Q2897" s="7">
        <f>N2897/$P2897</f>
      </c>
      <c r="R2897" s="7">
        <f>O2897/$P2897</f>
      </c>
      <c r="S2897" s="8">
        <f>Q2897^2+R2897^2</f>
      </c>
      <c r="T2897" s="7">
        <f>-R2897</f>
      </c>
      <c r="U2897" s="7">
        <f>Q2897</f>
      </c>
      <c r="V2897" s="7">
        <f>($C$14+($C$15-$C$14)/($D$15-$D$14)*(I2897-$D$14))/2</f>
      </c>
      <c r="W2897" s="7">
        <f>($B$22*I2897^4+$C$22*I2897^3+$D$22*I2897^2+$E$22*I2897+$F$22)/2</f>
      </c>
      <c r="X2897" s="7">
        <f>($W2897)*(T2897)</f>
      </c>
      <c r="Y2897" s="7">
        <f>($W2897)*(U2897)</f>
      </c>
      <c r="Z2897" s="7">
        <f>SQRT(X2897^2+Y2897^2)</f>
      </c>
      <c r="AA2897" s="7">
        <f>$K2897+$X2897</f>
      </c>
      <c r="AB2897" s="7">
        <f>$L2897+$Y2897</f>
      </c>
      <c r="AC2897" s="7">
        <f>$K2897-$X2897</f>
      </c>
      <c r="AD2897" s="7">
        <f>$L2897-$Y2897</f>
      </c>
      <c r="AE2897" s="7">
        <f>AA2897/39.3701</f>
      </c>
      <c r="AF2897" s="7">
        <f>AB2897/39.3701</f>
      </c>
      <c r="AG2897" s="7">
        <f>AC2897/39.3701</f>
      </c>
      <c r="AH2897" s="7">
        <f>AD2897/39.3701</f>
      </c>
      <c r="AI2897" s="1"/>
      <c r="AJ2897" s="1"/>
      <c r="AK2897" s="1"/>
      <c r="AL2897" s="1"/>
      <c r="AM2897" s="2"/>
      <c r="AN2897" s="1"/>
      <c r="AO2897" s="1"/>
      <c r="AP2897" s="1"/>
      <c r="AQ2897" s="1"/>
      <c r="AR2897" s="1"/>
      <c r="AS2897" s="1"/>
      <c r="AT2897" s="1"/>
      <c r="AU2897" s="1"/>
      <c r="AV2897" s="1"/>
      <c r="AW2897" s="1"/>
      <c r="AX2897" s="1"/>
      <c r="AY2897" s="1"/>
      <c r="AZ2897" s="1"/>
      <c r="BA2897" s="1"/>
      <c r="BB2897" s="1"/>
      <c r="BC2897" s="1"/>
      <c r="BD2897" s="1"/>
      <c r="BE2897" s="1"/>
    </row>
    <row x14ac:dyDescent="0.25" r="2898" customHeight="1" ht="18.75">
      <c r="A2898" s="1"/>
      <c r="B2898" s="2"/>
      <c r="C2898" s="2"/>
      <c r="D2898" s="2"/>
      <c r="E2898" s="2"/>
      <c r="F2898" s="2"/>
      <c r="G2898" s="1"/>
      <c r="H2898" s="1"/>
      <c r="I2898" s="7">
        <v>2.895</v>
      </c>
      <c r="J2898" s="7">
        <f>IF((I2898-ROUNDDOWN(I2898,0))=0, 0, (I2898-ROUNDDOWN(I2898,0)))</f>
      </c>
      <c r="K2898" s="7">
        <f>INDIRECT("C$"&amp;2+MIN(2,ROUNDDOWN(I2898,0))*3)*(-$J2898^3+3*$J2898^2-3*$J2898+1)+INDIRECT("C$"&amp;3+MIN(2,ROUNDDOWN(I2898,0))*3)*(3*$J2898^3-6*$J2898^2+3*$J2898)+INDIRECT("C$"&amp;4+MIN(2,ROUNDDOWN(I2898,0))*3)*(-3*$J2898^3+3*$J2898^2)+INDIRECT("C$"&amp;5+MIN(2,ROUNDDOWN(I2898,0))*3)*$J2898^3</f>
      </c>
      <c r="L2898" s="7">
        <f>INDIRECT("D$"&amp;2+MIN(2,ROUNDDOWN(I2898,0))*3)*(-$J2898^3+3*$J2898^2-3*$J2898+1)+INDIRECT("D$"&amp;3+MIN(2,ROUNDDOWN(I2898,0))*3)*(3*$J2898^3-6*$J2898^2+3*$J2898)+INDIRECT("D$"&amp;4+MIN(2,ROUNDDOWN(I2898,0))*3)*(-3*$J2898^3+3*$J2898^2)+INDIRECT("D$"&amp;5+MIN(2,ROUNDDOWN(I2898,0))*3)*$J2898^3</f>
      </c>
      <c r="M2898" s="7">
        <f>SQRT(K2898^2+L2898^2)</f>
      </c>
      <c r="N2898" s="7">
        <f>(K2899-K2897)</f>
      </c>
      <c r="O2898" s="7">
        <f>+(L2899-L2897)</f>
      </c>
      <c r="P2898" s="7">
        <f>SQRT(O2898^2+N2898^2)</f>
      </c>
      <c r="Q2898" s="7">
        <f>N2898/$P2898</f>
      </c>
      <c r="R2898" s="7">
        <f>O2898/$P2898</f>
      </c>
      <c r="S2898" s="7">
        <f>Q2898^2+R2898^2</f>
      </c>
      <c r="T2898" s="7">
        <f>-R2898</f>
      </c>
      <c r="U2898" s="7">
        <f>Q2898</f>
      </c>
      <c r="V2898" s="7">
        <f>($C$14+($C$15-$C$14)/($D$15-$D$14)*(I2898-$D$14))/2</f>
      </c>
      <c r="W2898" s="7">
        <f>($B$22*I2898^4+$C$22*I2898^3+$D$22*I2898^2+$E$22*I2898+$F$22)/2</f>
      </c>
      <c r="X2898" s="7">
        <f>($W2898)*(T2898)</f>
      </c>
      <c r="Y2898" s="7">
        <f>($W2898)*(U2898)</f>
      </c>
      <c r="Z2898" s="7">
        <f>SQRT(X2898^2+Y2898^2)</f>
      </c>
      <c r="AA2898" s="7">
        <f>$K2898+$X2898</f>
      </c>
      <c r="AB2898" s="7">
        <f>$L2898+$Y2898</f>
      </c>
      <c r="AC2898" s="7">
        <f>$K2898-$X2898</f>
      </c>
      <c r="AD2898" s="7">
        <f>$L2898-$Y2898</f>
      </c>
      <c r="AE2898" s="7">
        <f>AA2898/39.3701</f>
      </c>
      <c r="AF2898" s="7">
        <f>AB2898/39.3701</f>
      </c>
      <c r="AG2898" s="7">
        <f>AC2898/39.3701</f>
      </c>
      <c r="AH2898" s="7">
        <f>AD2898/39.3701</f>
      </c>
      <c r="AI2898" s="1"/>
      <c r="AJ2898" s="1"/>
      <c r="AK2898" s="1"/>
      <c r="AL2898" s="1"/>
      <c r="AM2898" s="2"/>
      <c r="AN2898" s="1"/>
      <c r="AO2898" s="1"/>
      <c r="AP2898" s="1"/>
      <c r="AQ2898" s="1"/>
      <c r="AR2898" s="1"/>
      <c r="AS2898" s="1"/>
      <c r="AT2898" s="1"/>
      <c r="AU2898" s="1"/>
      <c r="AV2898" s="1"/>
      <c r="AW2898" s="1"/>
      <c r="AX2898" s="1"/>
      <c r="AY2898" s="1"/>
      <c r="AZ2898" s="1"/>
      <c r="BA2898" s="1"/>
      <c r="BB2898" s="1"/>
      <c r="BC2898" s="1"/>
      <c r="BD2898" s="1"/>
      <c r="BE2898" s="1"/>
    </row>
    <row x14ac:dyDescent="0.25" r="2899" customHeight="1" ht="18.75">
      <c r="A2899" s="1"/>
      <c r="B2899" s="2"/>
      <c r="C2899" s="2"/>
      <c r="D2899" s="2"/>
      <c r="E2899" s="2"/>
      <c r="F2899" s="2"/>
      <c r="G2899" s="1"/>
      <c r="H2899" s="1"/>
      <c r="I2899" s="7">
        <v>2.896</v>
      </c>
      <c r="J2899" s="7">
        <f>IF((I2899-ROUNDDOWN(I2899,0))=0, 0, (I2899-ROUNDDOWN(I2899,0)))</f>
      </c>
      <c r="K2899" s="7">
        <f>INDIRECT("C$"&amp;2+MIN(2,ROUNDDOWN(I2899,0))*3)*(-$J2899^3+3*$J2899^2-3*$J2899+1)+INDIRECT("C$"&amp;3+MIN(2,ROUNDDOWN(I2899,0))*3)*(3*$J2899^3-6*$J2899^2+3*$J2899)+INDIRECT("C$"&amp;4+MIN(2,ROUNDDOWN(I2899,0))*3)*(-3*$J2899^3+3*$J2899^2)+INDIRECT("C$"&amp;5+MIN(2,ROUNDDOWN(I2899,0))*3)*$J2899^3</f>
      </c>
      <c r="L2899" s="7">
        <f>INDIRECT("D$"&amp;2+MIN(2,ROUNDDOWN(I2899,0))*3)*(-$J2899^3+3*$J2899^2-3*$J2899+1)+INDIRECT("D$"&amp;3+MIN(2,ROUNDDOWN(I2899,0))*3)*(3*$J2899^3-6*$J2899^2+3*$J2899)+INDIRECT("D$"&amp;4+MIN(2,ROUNDDOWN(I2899,0))*3)*(-3*$J2899^3+3*$J2899^2)+INDIRECT("D$"&amp;5+MIN(2,ROUNDDOWN(I2899,0))*3)*$J2899^3</f>
      </c>
      <c r="M2899" s="7">
        <f>SQRT(K2899^2+L2899^2)</f>
      </c>
      <c r="N2899" s="7">
        <f>(K2900-K2898)</f>
      </c>
      <c r="O2899" s="7">
        <f>+(L2900-L2898)</f>
      </c>
      <c r="P2899" s="7">
        <f>SQRT(O2899^2+N2899^2)</f>
      </c>
      <c r="Q2899" s="7">
        <f>N2899/$P2899</f>
      </c>
      <c r="R2899" s="7">
        <f>O2899/$P2899</f>
      </c>
      <c r="S2899" s="7">
        <f>Q2899^2+R2899^2</f>
      </c>
      <c r="T2899" s="7">
        <f>-R2899</f>
      </c>
      <c r="U2899" s="7">
        <f>Q2899</f>
      </c>
      <c r="V2899" s="7">
        <f>($C$14+($C$15-$C$14)/($D$15-$D$14)*(I2899-$D$14))/2</f>
      </c>
      <c r="W2899" s="7">
        <f>($B$22*I2899^4+$C$22*I2899^3+$D$22*I2899^2+$E$22*I2899+$F$22)/2</f>
      </c>
      <c r="X2899" s="7">
        <f>($W2899)*(T2899)</f>
      </c>
      <c r="Y2899" s="7">
        <f>($W2899)*(U2899)</f>
      </c>
      <c r="Z2899" s="7">
        <f>SQRT(X2899^2+Y2899^2)</f>
      </c>
      <c r="AA2899" s="7">
        <f>$K2899+$X2899</f>
      </c>
      <c r="AB2899" s="7">
        <f>$L2899+$Y2899</f>
      </c>
      <c r="AC2899" s="7">
        <f>$K2899-$X2899</f>
      </c>
      <c r="AD2899" s="7">
        <f>$L2899-$Y2899</f>
      </c>
      <c r="AE2899" s="7">
        <f>AA2899/39.3701</f>
      </c>
      <c r="AF2899" s="7">
        <f>AB2899/39.3701</f>
      </c>
      <c r="AG2899" s="7">
        <f>AC2899/39.3701</f>
      </c>
      <c r="AH2899" s="7">
        <f>AD2899/39.3701</f>
      </c>
      <c r="AI2899" s="1"/>
      <c r="AJ2899" s="1"/>
      <c r="AK2899" s="1"/>
      <c r="AL2899" s="1"/>
      <c r="AM2899" s="2"/>
      <c r="AN2899" s="1"/>
      <c r="AO2899" s="1"/>
      <c r="AP2899" s="1"/>
      <c r="AQ2899" s="1"/>
      <c r="AR2899" s="1"/>
      <c r="AS2899" s="1"/>
      <c r="AT2899" s="1"/>
      <c r="AU2899" s="1"/>
      <c r="AV2899" s="1"/>
      <c r="AW2899" s="1"/>
      <c r="AX2899" s="1"/>
      <c r="AY2899" s="1"/>
      <c r="AZ2899" s="1"/>
      <c r="BA2899" s="1"/>
      <c r="BB2899" s="1"/>
      <c r="BC2899" s="1"/>
      <c r="BD2899" s="1"/>
      <c r="BE2899" s="1"/>
    </row>
    <row x14ac:dyDescent="0.25" r="2900" customHeight="1" ht="18.75">
      <c r="A2900" s="1"/>
      <c r="B2900" s="2"/>
      <c r="C2900" s="2"/>
      <c r="D2900" s="2"/>
      <c r="E2900" s="2"/>
      <c r="F2900" s="2"/>
      <c r="G2900" s="1"/>
      <c r="H2900" s="1"/>
      <c r="I2900" s="7">
        <v>2.897</v>
      </c>
      <c r="J2900" s="7">
        <f>IF((I2900-ROUNDDOWN(I2900,0))=0, 0, (I2900-ROUNDDOWN(I2900,0)))</f>
      </c>
      <c r="K2900" s="7">
        <f>INDIRECT("C$"&amp;2+MIN(2,ROUNDDOWN(I2900,0))*3)*(-$J2900^3+3*$J2900^2-3*$J2900+1)+INDIRECT("C$"&amp;3+MIN(2,ROUNDDOWN(I2900,0))*3)*(3*$J2900^3-6*$J2900^2+3*$J2900)+INDIRECT("C$"&amp;4+MIN(2,ROUNDDOWN(I2900,0))*3)*(-3*$J2900^3+3*$J2900^2)+INDIRECT("C$"&amp;5+MIN(2,ROUNDDOWN(I2900,0))*3)*$J2900^3</f>
      </c>
      <c r="L2900" s="7">
        <f>INDIRECT("D$"&amp;2+MIN(2,ROUNDDOWN(I2900,0))*3)*(-$J2900^3+3*$J2900^2-3*$J2900+1)+INDIRECT("D$"&amp;3+MIN(2,ROUNDDOWN(I2900,0))*3)*(3*$J2900^3-6*$J2900^2+3*$J2900)+INDIRECT("D$"&amp;4+MIN(2,ROUNDDOWN(I2900,0))*3)*(-3*$J2900^3+3*$J2900^2)+INDIRECT("D$"&amp;5+MIN(2,ROUNDDOWN(I2900,0))*3)*$J2900^3</f>
      </c>
      <c r="M2900" s="7">
        <f>SQRT(K2900^2+L2900^2)</f>
      </c>
      <c r="N2900" s="7">
        <f>(K2901-K2899)</f>
      </c>
      <c r="O2900" s="7">
        <f>+(L2901-L2899)</f>
      </c>
      <c r="P2900" s="7">
        <f>SQRT(O2900^2+N2900^2)</f>
      </c>
      <c r="Q2900" s="7">
        <f>N2900/$P2900</f>
      </c>
      <c r="R2900" s="7">
        <f>O2900/$P2900</f>
      </c>
      <c r="S2900" s="7">
        <f>Q2900^2+R2900^2</f>
      </c>
      <c r="T2900" s="7">
        <f>-R2900</f>
      </c>
      <c r="U2900" s="7">
        <f>Q2900</f>
      </c>
      <c r="V2900" s="7">
        <f>($C$14+($C$15-$C$14)/($D$15-$D$14)*(I2900-$D$14))/2</f>
      </c>
      <c r="W2900" s="7">
        <f>($B$22*I2900^4+$C$22*I2900^3+$D$22*I2900^2+$E$22*I2900+$F$22)/2</f>
      </c>
      <c r="X2900" s="7">
        <f>($W2900)*(T2900)</f>
      </c>
      <c r="Y2900" s="7">
        <f>($W2900)*(U2900)</f>
      </c>
      <c r="Z2900" s="7">
        <f>SQRT(X2900^2+Y2900^2)</f>
      </c>
      <c r="AA2900" s="7">
        <f>$K2900+$X2900</f>
      </c>
      <c r="AB2900" s="7">
        <f>$L2900+$Y2900</f>
      </c>
      <c r="AC2900" s="7">
        <f>$K2900-$X2900</f>
      </c>
      <c r="AD2900" s="7">
        <f>$L2900-$Y2900</f>
      </c>
      <c r="AE2900" s="7">
        <f>AA2900/39.3701</f>
      </c>
      <c r="AF2900" s="7">
        <f>AB2900/39.3701</f>
      </c>
      <c r="AG2900" s="7">
        <f>AC2900/39.3701</f>
      </c>
      <c r="AH2900" s="7">
        <f>AD2900/39.3701</f>
      </c>
      <c r="AI2900" s="1"/>
      <c r="AJ2900" s="1"/>
      <c r="AK2900" s="1"/>
      <c r="AL2900" s="1"/>
      <c r="AM2900" s="2"/>
      <c r="AN2900" s="1"/>
      <c r="AO2900" s="1"/>
      <c r="AP2900" s="1"/>
      <c r="AQ2900" s="1"/>
      <c r="AR2900" s="1"/>
      <c r="AS2900" s="1"/>
      <c r="AT2900" s="1"/>
      <c r="AU2900" s="1"/>
      <c r="AV2900" s="1"/>
      <c r="AW2900" s="1"/>
      <c r="AX2900" s="1"/>
      <c r="AY2900" s="1"/>
      <c r="AZ2900" s="1"/>
      <c r="BA2900" s="1"/>
      <c r="BB2900" s="1"/>
      <c r="BC2900" s="1"/>
      <c r="BD2900" s="1"/>
      <c r="BE2900" s="1"/>
    </row>
    <row x14ac:dyDescent="0.25" r="2901" customHeight="1" ht="18.75">
      <c r="A2901" s="1"/>
      <c r="B2901" s="2"/>
      <c r="C2901" s="2"/>
      <c r="D2901" s="2"/>
      <c r="E2901" s="2"/>
      <c r="F2901" s="2"/>
      <c r="G2901" s="1"/>
      <c r="H2901" s="1"/>
      <c r="I2901" s="7">
        <v>2.898</v>
      </c>
      <c r="J2901" s="7">
        <f>IF((I2901-ROUNDDOWN(I2901,0))=0, 0, (I2901-ROUNDDOWN(I2901,0)))</f>
      </c>
      <c r="K2901" s="7">
        <f>INDIRECT("C$"&amp;2+MIN(2,ROUNDDOWN(I2901,0))*3)*(-$J2901^3+3*$J2901^2-3*$J2901+1)+INDIRECT("C$"&amp;3+MIN(2,ROUNDDOWN(I2901,0))*3)*(3*$J2901^3-6*$J2901^2+3*$J2901)+INDIRECT("C$"&amp;4+MIN(2,ROUNDDOWN(I2901,0))*3)*(-3*$J2901^3+3*$J2901^2)+INDIRECT("C$"&amp;5+MIN(2,ROUNDDOWN(I2901,0))*3)*$J2901^3</f>
      </c>
      <c r="L2901" s="7">
        <f>INDIRECT("D$"&amp;2+MIN(2,ROUNDDOWN(I2901,0))*3)*(-$J2901^3+3*$J2901^2-3*$J2901+1)+INDIRECT("D$"&amp;3+MIN(2,ROUNDDOWN(I2901,0))*3)*(3*$J2901^3-6*$J2901^2+3*$J2901)+INDIRECT("D$"&amp;4+MIN(2,ROUNDDOWN(I2901,0))*3)*(-3*$J2901^3+3*$J2901^2)+INDIRECT("D$"&amp;5+MIN(2,ROUNDDOWN(I2901,0))*3)*$J2901^3</f>
      </c>
      <c r="M2901" s="7">
        <f>SQRT(K2901^2+L2901^2)</f>
      </c>
      <c r="N2901" s="7">
        <f>(K2902-K2900)</f>
      </c>
      <c r="O2901" s="7">
        <f>+(L2902-L2900)</f>
      </c>
      <c r="P2901" s="7">
        <f>SQRT(O2901^2+N2901^2)</f>
      </c>
      <c r="Q2901" s="7">
        <f>N2901/$P2901</f>
      </c>
      <c r="R2901" s="7">
        <f>O2901/$P2901</f>
      </c>
      <c r="S2901" s="8">
        <f>Q2901^2+R2901^2</f>
      </c>
      <c r="T2901" s="7">
        <f>-R2901</f>
      </c>
      <c r="U2901" s="7">
        <f>Q2901</f>
      </c>
      <c r="V2901" s="7">
        <f>($C$14+($C$15-$C$14)/($D$15-$D$14)*(I2901-$D$14))/2</f>
      </c>
      <c r="W2901" s="7">
        <f>($B$22*I2901^4+$C$22*I2901^3+$D$22*I2901^2+$E$22*I2901+$F$22)/2</f>
      </c>
      <c r="X2901" s="7">
        <f>($W2901)*(T2901)</f>
      </c>
      <c r="Y2901" s="7">
        <f>($W2901)*(U2901)</f>
      </c>
      <c r="Z2901" s="7">
        <f>SQRT(X2901^2+Y2901^2)</f>
      </c>
      <c r="AA2901" s="7">
        <f>$K2901+$X2901</f>
      </c>
      <c r="AB2901" s="7">
        <f>$L2901+$Y2901</f>
      </c>
      <c r="AC2901" s="7">
        <f>$K2901-$X2901</f>
      </c>
      <c r="AD2901" s="7">
        <f>$L2901-$Y2901</f>
      </c>
      <c r="AE2901" s="7">
        <f>AA2901/39.3701</f>
      </c>
      <c r="AF2901" s="7">
        <f>AB2901/39.3701</f>
      </c>
      <c r="AG2901" s="7">
        <f>AC2901/39.3701</f>
      </c>
      <c r="AH2901" s="7">
        <f>AD2901/39.3701</f>
      </c>
      <c r="AI2901" s="1"/>
      <c r="AJ2901" s="1"/>
      <c r="AK2901" s="1"/>
      <c r="AL2901" s="1"/>
      <c r="AM2901" s="2"/>
      <c r="AN2901" s="1"/>
      <c r="AO2901" s="1"/>
      <c r="AP2901" s="1"/>
      <c r="AQ2901" s="1"/>
      <c r="AR2901" s="1"/>
      <c r="AS2901" s="1"/>
      <c r="AT2901" s="1"/>
      <c r="AU2901" s="1"/>
      <c r="AV2901" s="1"/>
      <c r="AW2901" s="1"/>
      <c r="AX2901" s="1"/>
      <c r="AY2901" s="1"/>
      <c r="AZ2901" s="1"/>
      <c r="BA2901" s="1"/>
      <c r="BB2901" s="1"/>
      <c r="BC2901" s="1"/>
      <c r="BD2901" s="1"/>
      <c r="BE2901" s="1"/>
    </row>
    <row x14ac:dyDescent="0.25" r="2902" customHeight="1" ht="18.75">
      <c r="A2902" s="1"/>
      <c r="B2902" s="2"/>
      <c r="C2902" s="2"/>
      <c r="D2902" s="2"/>
      <c r="E2902" s="2"/>
      <c r="F2902" s="2"/>
      <c r="G2902" s="1"/>
      <c r="H2902" s="1"/>
      <c r="I2902" s="7">
        <v>2.899</v>
      </c>
      <c r="J2902" s="7">
        <f>IF((I2902-ROUNDDOWN(I2902,0))=0, 0, (I2902-ROUNDDOWN(I2902,0)))</f>
      </c>
      <c r="K2902" s="7">
        <f>INDIRECT("C$"&amp;2+MIN(2,ROUNDDOWN(I2902,0))*3)*(-$J2902^3+3*$J2902^2-3*$J2902+1)+INDIRECT("C$"&amp;3+MIN(2,ROUNDDOWN(I2902,0))*3)*(3*$J2902^3-6*$J2902^2+3*$J2902)+INDIRECT("C$"&amp;4+MIN(2,ROUNDDOWN(I2902,0))*3)*(-3*$J2902^3+3*$J2902^2)+INDIRECT("C$"&amp;5+MIN(2,ROUNDDOWN(I2902,0))*3)*$J2902^3</f>
      </c>
      <c r="L2902" s="7">
        <f>INDIRECT("D$"&amp;2+MIN(2,ROUNDDOWN(I2902,0))*3)*(-$J2902^3+3*$J2902^2-3*$J2902+1)+INDIRECT("D$"&amp;3+MIN(2,ROUNDDOWN(I2902,0))*3)*(3*$J2902^3-6*$J2902^2+3*$J2902)+INDIRECT("D$"&amp;4+MIN(2,ROUNDDOWN(I2902,0))*3)*(-3*$J2902^3+3*$J2902^2)+INDIRECT("D$"&amp;5+MIN(2,ROUNDDOWN(I2902,0))*3)*$J2902^3</f>
      </c>
      <c r="M2902" s="7">
        <f>SQRT(K2902^2+L2902^2)</f>
      </c>
      <c r="N2902" s="7">
        <f>(K2903-K2901)</f>
      </c>
      <c r="O2902" s="7">
        <f>+(L2903-L2901)</f>
      </c>
      <c r="P2902" s="7">
        <f>SQRT(O2902^2+N2902^2)</f>
      </c>
      <c r="Q2902" s="7">
        <f>N2902/$P2902</f>
      </c>
      <c r="R2902" s="7">
        <f>O2902/$P2902</f>
      </c>
      <c r="S2902" s="8">
        <f>Q2902^2+R2902^2</f>
      </c>
      <c r="T2902" s="7">
        <f>-R2902</f>
      </c>
      <c r="U2902" s="7">
        <f>Q2902</f>
      </c>
      <c r="V2902" s="7">
        <f>($C$14+($C$15-$C$14)/($D$15-$D$14)*(I2902-$D$14))/2</f>
      </c>
      <c r="W2902" s="7">
        <f>($B$22*I2902^4+$C$22*I2902^3+$D$22*I2902^2+$E$22*I2902+$F$22)/2</f>
      </c>
      <c r="X2902" s="7">
        <f>($W2902)*(T2902)</f>
      </c>
      <c r="Y2902" s="7">
        <f>($W2902)*(U2902)</f>
      </c>
      <c r="Z2902" s="7">
        <f>SQRT(X2902^2+Y2902^2)</f>
      </c>
      <c r="AA2902" s="7">
        <f>$K2902+$X2902</f>
      </c>
      <c r="AB2902" s="7">
        <f>$L2902+$Y2902</f>
      </c>
      <c r="AC2902" s="7">
        <f>$K2902-$X2902</f>
      </c>
      <c r="AD2902" s="7">
        <f>$L2902-$Y2902</f>
      </c>
      <c r="AE2902" s="7">
        <f>AA2902/39.3701</f>
      </c>
      <c r="AF2902" s="7">
        <f>AB2902/39.3701</f>
      </c>
      <c r="AG2902" s="7">
        <f>AC2902/39.3701</f>
      </c>
      <c r="AH2902" s="7">
        <f>AD2902/39.3701</f>
      </c>
      <c r="AI2902" s="1"/>
      <c r="AJ2902" s="1"/>
      <c r="AK2902" s="1"/>
      <c r="AL2902" s="1"/>
      <c r="AM2902" s="2"/>
      <c r="AN2902" s="1"/>
      <c r="AO2902" s="1"/>
      <c r="AP2902" s="1"/>
      <c r="AQ2902" s="1"/>
      <c r="AR2902" s="1"/>
      <c r="AS2902" s="1"/>
      <c r="AT2902" s="1"/>
      <c r="AU2902" s="1"/>
      <c r="AV2902" s="1"/>
      <c r="AW2902" s="1"/>
      <c r="AX2902" s="1"/>
      <c r="AY2902" s="1"/>
      <c r="AZ2902" s="1"/>
      <c r="BA2902" s="1"/>
      <c r="BB2902" s="1"/>
      <c r="BC2902" s="1"/>
      <c r="BD2902" s="1"/>
      <c r="BE2902" s="1"/>
    </row>
    <row x14ac:dyDescent="0.25" r="2903" customHeight="1" ht="18.75">
      <c r="A2903" s="1"/>
      <c r="B2903" s="2"/>
      <c r="C2903" s="2"/>
      <c r="D2903" s="2"/>
      <c r="E2903" s="2"/>
      <c r="F2903" s="2"/>
      <c r="G2903" s="1"/>
      <c r="H2903" s="1"/>
      <c r="I2903" s="7">
        <v>2.9</v>
      </c>
      <c r="J2903" s="7">
        <f>IF((I2903-ROUNDDOWN(I2903,0))=0, 0, (I2903-ROUNDDOWN(I2903,0)))</f>
      </c>
      <c r="K2903" s="7">
        <f>INDIRECT("C$"&amp;2+MIN(2,ROUNDDOWN(I2903,0))*3)*(-$J2903^3+3*$J2903^2-3*$J2903+1)+INDIRECT("C$"&amp;3+MIN(2,ROUNDDOWN(I2903,0))*3)*(3*$J2903^3-6*$J2903^2+3*$J2903)+INDIRECT("C$"&amp;4+MIN(2,ROUNDDOWN(I2903,0))*3)*(-3*$J2903^3+3*$J2903^2)+INDIRECT("C$"&amp;5+MIN(2,ROUNDDOWN(I2903,0))*3)*$J2903^3</f>
      </c>
      <c r="L2903" s="7">
        <f>INDIRECT("D$"&amp;2+MIN(2,ROUNDDOWN(I2903,0))*3)*(-$J2903^3+3*$J2903^2-3*$J2903+1)+INDIRECT("D$"&amp;3+MIN(2,ROUNDDOWN(I2903,0))*3)*(3*$J2903^3-6*$J2903^2+3*$J2903)+INDIRECT("D$"&amp;4+MIN(2,ROUNDDOWN(I2903,0))*3)*(-3*$J2903^3+3*$J2903^2)+INDIRECT("D$"&amp;5+MIN(2,ROUNDDOWN(I2903,0))*3)*$J2903^3</f>
      </c>
      <c r="M2903" s="7">
        <f>SQRT(K2903^2+L2903^2)</f>
      </c>
      <c r="N2903" s="7">
        <f>(K2904-K2902)</f>
      </c>
      <c r="O2903" s="7">
        <f>+(L2904-L2902)</f>
      </c>
      <c r="P2903" s="7">
        <f>SQRT(O2903^2+N2903^2)</f>
      </c>
      <c r="Q2903" s="7">
        <f>N2903/$P2903</f>
      </c>
      <c r="R2903" s="7">
        <f>O2903/$P2903</f>
      </c>
      <c r="S2903" s="7">
        <f>Q2903^2+R2903^2</f>
      </c>
      <c r="T2903" s="7">
        <f>-R2903</f>
      </c>
      <c r="U2903" s="7">
        <f>Q2903</f>
      </c>
      <c r="V2903" s="7">
        <f>($C$14+($C$15-$C$14)/($D$15-$D$14)*(I2903-$D$14))/2</f>
      </c>
      <c r="W2903" s="7">
        <f>($B$22*I2903^4+$C$22*I2903^3+$D$22*I2903^2+$E$22*I2903+$F$22)/2</f>
      </c>
      <c r="X2903" s="7">
        <f>($W2903)*(T2903)</f>
      </c>
      <c r="Y2903" s="7">
        <f>($W2903)*(U2903)</f>
      </c>
      <c r="Z2903" s="7">
        <f>SQRT(X2903^2+Y2903^2)</f>
      </c>
      <c r="AA2903" s="7">
        <f>$K2903+$X2903</f>
      </c>
      <c r="AB2903" s="7">
        <f>$L2903+$Y2903</f>
      </c>
      <c r="AC2903" s="7">
        <f>$K2903-$X2903</f>
      </c>
      <c r="AD2903" s="7">
        <f>$L2903-$Y2903</f>
      </c>
      <c r="AE2903" s="7">
        <f>AA2903/39.3701</f>
      </c>
      <c r="AF2903" s="7">
        <f>AB2903/39.3701</f>
      </c>
      <c r="AG2903" s="7">
        <f>AC2903/39.3701</f>
      </c>
      <c r="AH2903" s="7">
        <f>AD2903/39.3701</f>
      </c>
      <c r="AI2903" s="1"/>
      <c r="AJ2903" s="1"/>
      <c r="AK2903" s="1"/>
      <c r="AL2903" s="1"/>
      <c r="AM2903" s="2"/>
      <c r="AN2903" s="1"/>
      <c r="AO2903" s="1"/>
      <c r="AP2903" s="1"/>
      <c r="AQ2903" s="1"/>
      <c r="AR2903" s="1"/>
      <c r="AS2903" s="1"/>
      <c r="AT2903" s="1"/>
      <c r="AU2903" s="1"/>
      <c r="AV2903" s="1"/>
      <c r="AW2903" s="1"/>
      <c r="AX2903" s="1"/>
      <c r="AY2903" s="1"/>
      <c r="AZ2903" s="1"/>
      <c r="BA2903" s="1"/>
      <c r="BB2903" s="1"/>
      <c r="BC2903" s="1"/>
      <c r="BD2903" s="1"/>
      <c r="BE2903" s="1"/>
    </row>
    <row x14ac:dyDescent="0.25" r="2904" customHeight="1" ht="18.75">
      <c r="A2904" s="1"/>
      <c r="B2904" s="2"/>
      <c r="C2904" s="2"/>
      <c r="D2904" s="2"/>
      <c r="E2904" s="2"/>
      <c r="F2904" s="2"/>
      <c r="G2904" s="1"/>
      <c r="H2904" s="1"/>
      <c r="I2904" s="7">
        <v>2.901</v>
      </c>
      <c r="J2904" s="7">
        <f>IF((I2904-ROUNDDOWN(I2904,0))=0, 0, (I2904-ROUNDDOWN(I2904,0)))</f>
      </c>
      <c r="K2904" s="7">
        <f>INDIRECT("C$"&amp;2+MIN(2,ROUNDDOWN(I2904,0))*3)*(-$J2904^3+3*$J2904^2-3*$J2904+1)+INDIRECT("C$"&amp;3+MIN(2,ROUNDDOWN(I2904,0))*3)*(3*$J2904^3-6*$J2904^2+3*$J2904)+INDIRECT("C$"&amp;4+MIN(2,ROUNDDOWN(I2904,0))*3)*(-3*$J2904^3+3*$J2904^2)+INDIRECT("C$"&amp;5+MIN(2,ROUNDDOWN(I2904,0))*3)*$J2904^3</f>
      </c>
      <c r="L2904" s="7">
        <f>INDIRECT("D$"&amp;2+MIN(2,ROUNDDOWN(I2904,0))*3)*(-$J2904^3+3*$J2904^2-3*$J2904+1)+INDIRECT("D$"&amp;3+MIN(2,ROUNDDOWN(I2904,0))*3)*(3*$J2904^3-6*$J2904^2+3*$J2904)+INDIRECT("D$"&amp;4+MIN(2,ROUNDDOWN(I2904,0))*3)*(-3*$J2904^3+3*$J2904^2)+INDIRECT("D$"&amp;5+MIN(2,ROUNDDOWN(I2904,0))*3)*$J2904^3</f>
      </c>
      <c r="M2904" s="7">
        <f>SQRT(K2904^2+L2904^2)</f>
      </c>
      <c r="N2904" s="7">
        <f>(K2905-K2903)</f>
      </c>
      <c r="O2904" s="7">
        <f>+(L2905-L2903)</f>
      </c>
      <c r="P2904" s="7">
        <f>SQRT(O2904^2+N2904^2)</f>
      </c>
      <c r="Q2904" s="7">
        <f>N2904/$P2904</f>
      </c>
      <c r="R2904" s="7">
        <f>O2904/$P2904</f>
      </c>
      <c r="S2904" s="7">
        <f>Q2904^2+R2904^2</f>
      </c>
      <c r="T2904" s="7">
        <f>-R2904</f>
      </c>
      <c r="U2904" s="7">
        <f>Q2904</f>
      </c>
      <c r="V2904" s="7">
        <f>($C$14+($C$15-$C$14)/($D$15-$D$14)*(I2904-$D$14))/2</f>
      </c>
      <c r="W2904" s="7">
        <f>($B$22*I2904^4+$C$22*I2904^3+$D$22*I2904^2+$E$22*I2904+$F$22)/2</f>
      </c>
      <c r="X2904" s="7">
        <f>($W2904)*(T2904)</f>
      </c>
      <c r="Y2904" s="7">
        <f>($W2904)*(U2904)</f>
      </c>
      <c r="Z2904" s="7">
        <f>SQRT(X2904^2+Y2904^2)</f>
      </c>
      <c r="AA2904" s="7">
        <f>$K2904+$X2904</f>
      </c>
      <c r="AB2904" s="7">
        <f>$L2904+$Y2904</f>
      </c>
      <c r="AC2904" s="7">
        <f>$K2904-$X2904</f>
      </c>
      <c r="AD2904" s="7">
        <f>$L2904-$Y2904</f>
      </c>
      <c r="AE2904" s="7">
        <f>AA2904/39.3701</f>
      </c>
      <c r="AF2904" s="7">
        <f>AB2904/39.3701</f>
      </c>
      <c r="AG2904" s="7">
        <f>AC2904/39.3701</f>
      </c>
      <c r="AH2904" s="7">
        <f>AD2904/39.3701</f>
      </c>
      <c r="AI2904" s="1"/>
      <c r="AJ2904" s="1"/>
      <c r="AK2904" s="1"/>
      <c r="AL2904" s="1"/>
      <c r="AM2904" s="2"/>
      <c r="AN2904" s="1"/>
      <c r="AO2904" s="1"/>
      <c r="AP2904" s="1"/>
      <c r="AQ2904" s="1"/>
      <c r="AR2904" s="1"/>
      <c r="AS2904" s="1"/>
      <c r="AT2904" s="1"/>
      <c r="AU2904" s="1"/>
      <c r="AV2904" s="1"/>
      <c r="AW2904" s="1"/>
      <c r="AX2904" s="1"/>
      <c r="AY2904" s="1"/>
      <c r="AZ2904" s="1"/>
      <c r="BA2904" s="1"/>
      <c r="BB2904" s="1"/>
      <c r="BC2904" s="1"/>
      <c r="BD2904" s="1"/>
      <c r="BE2904" s="1"/>
    </row>
    <row x14ac:dyDescent="0.25" r="2905" customHeight="1" ht="18.75">
      <c r="A2905" s="1"/>
      <c r="B2905" s="2"/>
      <c r="C2905" s="2"/>
      <c r="D2905" s="2"/>
      <c r="E2905" s="2"/>
      <c r="F2905" s="2"/>
      <c r="G2905" s="1"/>
      <c r="H2905" s="1"/>
      <c r="I2905" s="7">
        <v>2.902</v>
      </c>
      <c r="J2905" s="7">
        <f>IF((I2905-ROUNDDOWN(I2905,0))=0, 0, (I2905-ROUNDDOWN(I2905,0)))</f>
      </c>
      <c r="K2905" s="7">
        <f>INDIRECT("C$"&amp;2+MIN(2,ROUNDDOWN(I2905,0))*3)*(-$J2905^3+3*$J2905^2-3*$J2905+1)+INDIRECT("C$"&amp;3+MIN(2,ROUNDDOWN(I2905,0))*3)*(3*$J2905^3-6*$J2905^2+3*$J2905)+INDIRECT("C$"&amp;4+MIN(2,ROUNDDOWN(I2905,0))*3)*(-3*$J2905^3+3*$J2905^2)+INDIRECT("C$"&amp;5+MIN(2,ROUNDDOWN(I2905,0))*3)*$J2905^3</f>
      </c>
      <c r="L2905" s="7">
        <f>INDIRECT("D$"&amp;2+MIN(2,ROUNDDOWN(I2905,0))*3)*(-$J2905^3+3*$J2905^2-3*$J2905+1)+INDIRECT("D$"&amp;3+MIN(2,ROUNDDOWN(I2905,0))*3)*(3*$J2905^3-6*$J2905^2+3*$J2905)+INDIRECT("D$"&amp;4+MIN(2,ROUNDDOWN(I2905,0))*3)*(-3*$J2905^3+3*$J2905^2)+INDIRECT("D$"&amp;5+MIN(2,ROUNDDOWN(I2905,0))*3)*$J2905^3</f>
      </c>
      <c r="M2905" s="7">
        <f>SQRT(K2905^2+L2905^2)</f>
      </c>
      <c r="N2905" s="7">
        <f>(K2906-K2904)</f>
      </c>
      <c r="O2905" s="7">
        <f>+(L2906-L2904)</f>
      </c>
      <c r="P2905" s="7">
        <f>SQRT(O2905^2+N2905^2)</f>
      </c>
      <c r="Q2905" s="7">
        <f>N2905/$P2905</f>
      </c>
      <c r="R2905" s="7">
        <f>O2905/$P2905</f>
      </c>
      <c r="S2905" s="8">
        <f>Q2905^2+R2905^2</f>
      </c>
      <c r="T2905" s="7">
        <f>-R2905</f>
      </c>
      <c r="U2905" s="7">
        <f>Q2905</f>
      </c>
      <c r="V2905" s="7">
        <f>($C$14+($C$15-$C$14)/($D$15-$D$14)*(I2905-$D$14))/2</f>
      </c>
      <c r="W2905" s="7">
        <f>($B$22*I2905^4+$C$22*I2905^3+$D$22*I2905^2+$E$22*I2905+$F$22)/2</f>
      </c>
      <c r="X2905" s="7">
        <f>($W2905)*(T2905)</f>
      </c>
      <c r="Y2905" s="7">
        <f>($W2905)*(U2905)</f>
      </c>
      <c r="Z2905" s="7">
        <f>SQRT(X2905^2+Y2905^2)</f>
      </c>
      <c r="AA2905" s="7">
        <f>$K2905+$X2905</f>
      </c>
      <c r="AB2905" s="7">
        <f>$L2905+$Y2905</f>
      </c>
      <c r="AC2905" s="7">
        <f>$K2905-$X2905</f>
      </c>
      <c r="AD2905" s="7">
        <f>$L2905-$Y2905</f>
      </c>
      <c r="AE2905" s="7">
        <f>AA2905/39.3701</f>
      </c>
      <c r="AF2905" s="7">
        <f>AB2905/39.3701</f>
      </c>
      <c r="AG2905" s="7">
        <f>AC2905/39.3701</f>
      </c>
      <c r="AH2905" s="7">
        <f>AD2905/39.3701</f>
      </c>
      <c r="AI2905" s="1"/>
      <c r="AJ2905" s="1"/>
      <c r="AK2905" s="1"/>
      <c r="AL2905" s="1"/>
      <c r="AM2905" s="2"/>
      <c r="AN2905" s="1"/>
      <c r="AO2905" s="1"/>
      <c r="AP2905" s="1"/>
      <c r="AQ2905" s="1"/>
      <c r="AR2905" s="1"/>
      <c r="AS2905" s="1"/>
      <c r="AT2905" s="1"/>
      <c r="AU2905" s="1"/>
      <c r="AV2905" s="1"/>
      <c r="AW2905" s="1"/>
      <c r="AX2905" s="1"/>
      <c r="AY2905" s="1"/>
      <c r="AZ2905" s="1"/>
      <c r="BA2905" s="1"/>
      <c r="BB2905" s="1"/>
      <c r="BC2905" s="1"/>
      <c r="BD2905" s="1"/>
      <c r="BE2905" s="1"/>
    </row>
    <row x14ac:dyDescent="0.25" r="2906" customHeight="1" ht="18.75">
      <c r="A2906" s="1"/>
      <c r="B2906" s="2"/>
      <c r="C2906" s="2"/>
      <c r="D2906" s="2"/>
      <c r="E2906" s="2"/>
      <c r="F2906" s="2"/>
      <c r="G2906" s="1"/>
      <c r="H2906" s="1"/>
      <c r="I2906" s="7">
        <v>2.903</v>
      </c>
      <c r="J2906" s="7">
        <f>IF((I2906-ROUNDDOWN(I2906,0))=0, 0, (I2906-ROUNDDOWN(I2906,0)))</f>
      </c>
      <c r="K2906" s="7">
        <f>INDIRECT("C$"&amp;2+MIN(2,ROUNDDOWN(I2906,0))*3)*(-$J2906^3+3*$J2906^2-3*$J2906+1)+INDIRECT("C$"&amp;3+MIN(2,ROUNDDOWN(I2906,0))*3)*(3*$J2906^3-6*$J2906^2+3*$J2906)+INDIRECT("C$"&amp;4+MIN(2,ROUNDDOWN(I2906,0))*3)*(-3*$J2906^3+3*$J2906^2)+INDIRECT("C$"&amp;5+MIN(2,ROUNDDOWN(I2906,0))*3)*$J2906^3</f>
      </c>
      <c r="L2906" s="7">
        <f>INDIRECT("D$"&amp;2+MIN(2,ROUNDDOWN(I2906,0))*3)*(-$J2906^3+3*$J2906^2-3*$J2906+1)+INDIRECT("D$"&amp;3+MIN(2,ROUNDDOWN(I2906,0))*3)*(3*$J2906^3-6*$J2906^2+3*$J2906)+INDIRECT("D$"&amp;4+MIN(2,ROUNDDOWN(I2906,0))*3)*(-3*$J2906^3+3*$J2906^2)+INDIRECT("D$"&amp;5+MIN(2,ROUNDDOWN(I2906,0))*3)*$J2906^3</f>
      </c>
      <c r="M2906" s="7">
        <f>SQRT(K2906^2+L2906^2)</f>
      </c>
      <c r="N2906" s="7">
        <f>(K2907-K2905)</f>
      </c>
      <c r="O2906" s="7">
        <f>+(L2907-L2905)</f>
      </c>
      <c r="P2906" s="7">
        <f>SQRT(O2906^2+N2906^2)</f>
      </c>
      <c r="Q2906" s="7">
        <f>N2906/$P2906</f>
      </c>
      <c r="R2906" s="7">
        <f>O2906/$P2906</f>
      </c>
      <c r="S2906" s="8">
        <f>Q2906^2+R2906^2</f>
      </c>
      <c r="T2906" s="7">
        <f>-R2906</f>
      </c>
      <c r="U2906" s="7">
        <f>Q2906</f>
      </c>
      <c r="V2906" s="7">
        <f>($C$14+($C$15-$C$14)/($D$15-$D$14)*(I2906-$D$14))/2</f>
      </c>
      <c r="W2906" s="7">
        <f>($B$22*I2906^4+$C$22*I2906^3+$D$22*I2906^2+$E$22*I2906+$F$22)/2</f>
      </c>
      <c r="X2906" s="7">
        <f>($W2906)*(T2906)</f>
      </c>
      <c r="Y2906" s="7">
        <f>($W2906)*(U2906)</f>
      </c>
      <c r="Z2906" s="7">
        <f>SQRT(X2906^2+Y2906^2)</f>
      </c>
      <c r="AA2906" s="7">
        <f>$K2906+$X2906</f>
      </c>
      <c r="AB2906" s="7">
        <f>$L2906+$Y2906</f>
      </c>
      <c r="AC2906" s="7">
        <f>$K2906-$X2906</f>
      </c>
      <c r="AD2906" s="7">
        <f>$L2906-$Y2906</f>
      </c>
      <c r="AE2906" s="7">
        <f>AA2906/39.3701</f>
      </c>
      <c r="AF2906" s="7">
        <f>AB2906/39.3701</f>
      </c>
      <c r="AG2906" s="7">
        <f>AC2906/39.3701</f>
      </c>
      <c r="AH2906" s="7">
        <f>AD2906/39.3701</f>
      </c>
      <c r="AI2906" s="1"/>
      <c r="AJ2906" s="1"/>
      <c r="AK2906" s="1"/>
      <c r="AL2906" s="1"/>
      <c r="AM2906" s="2"/>
      <c r="AN2906" s="1"/>
      <c r="AO2906" s="1"/>
      <c r="AP2906" s="1"/>
      <c r="AQ2906" s="1"/>
      <c r="AR2906" s="1"/>
      <c r="AS2906" s="1"/>
      <c r="AT2906" s="1"/>
      <c r="AU2906" s="1"/>
      <c r="AV2906" s="1"/>
      <c r="AW2906" s="1"/>
      <c r="AX2906" s="1"/>
      <c r="AY2906" s="1"/>
      <c r="AZ2906" s="1"/>
      <c r="BA2906" s="1"/>
      <c r="BB2906" s="1"/>
      <c r="BC2906" s="1"/>
      <c r="BD2906" s="1"/>
      <c r="BE2906" s="1"/>
    </row>
    <row x14ac:dyDescent="0.25" r="2907" customHeight="1" ht="18.75">
      <c r="A2907" s="1"/>
      <c r="B2907" s="2"/>
      <c r="C2907" s="2"/>
      <c r="D2907" s="2"/>
      <c r="E2907" s="2"/>
      <c r="F2907" s="2"/>
      <c r="G2907" s="1"/>
      <c r="H2907" s="1"/>
      <c r="I2907" s="7">
        <v>2.904</v>
      </c>
      <c r="J2907" s="7">
        <f>IF((I2907-ROUNDDOWN(I2907,0))=0, 0, (I2907-ROUNDDOWN(I2907,0)))</f>
      </c>
      <c r="K2907" s="7">
        <f>INDIRECT("C$"&amp;2+MIN(2,ROUNDDOWN(I2907,0))*3)*(-$J2907^3+3*$J2907^2-3*$J2907+1)+INDIRECT("C$"&amp;3+MIN(2,ROUNDDOWN(I2907,0))*3)*(3*$J2907^3-6*$J2907^2+3*$J2907)+INDIRECT("C$"&amp;4+MIN(2,ROUNDDOWN(I2907,0))*3)*(-3*$J2907^3+3*$J2907^2)+INDIRECT("C$"&amp;5+MIN(2,ROUNDDOWN(I2907,0))*3)*$J2907^3</f>
      </c>
      <c r="L2907" s="7">
        <f>INDIRECT("D$"&amp;2+MIN(2,ROUNDDOWN(I2907,0))*3)*(-$J2907^3+3*$J2907^2-3*$J2907+1)+INDIRECT("D$"&amp;3+MIN(2,ROUNDDOWN(I2907,0))*3)*(3*$J2907^3-6*$J2907^2+3*$J2907)+INDIRECT("D$"&amp;4+MIN(2,ROUNDDOWN(I2907,0))*3)*(-3*$J2907^3+3*$J2907^2)+INDIRECT("D$"&amp;5+MIN(2,ROUNDDOWN(I2907,0))*3)*$J2907^3</f>
      </c>
      <c r="M2907" s="7">
        <f>SQRT(K2907^2+L2907^2)</f>
      </c>
      <c r="N2907" s="7">
        <f>(K2908-K2906)</f>
      </c>
      <c r="O2907" s="7">
        <f>+(L2908-L2906)</f>
      </c>
      <c r="P2907" s="7">
        <f>SQRT(O2907^2+N2907^2)</f>
      </c>
      <c r="Q2907" s="7">
        <f>N2907/$P2907</f>
      </c>
      <c r="R2907" s="7">
        <f>O2907/$P2907</f>
      </c>
      <c r="S2907" s="7">
        <f>Q2907^2+R2907^2</f>
      </c>
      <c r="T2907" s="7">
        <f>-R2907</f>
      </c>
      <c r="U2907" s="7">
        <f>Q2907</f>
      </c>
      <c r="V2907" s="7">
        <f>($C$14+($C$15-$C$14)/($D$15-$D$14)*(I2907-$D$14))/2</f>
      </c>
      <c r="W2907" s="7">
        <f>($B$22*I2907^4+$C$22*I2907^3+$D$22*I2907^2+$E$22*I2907+$F$22)/2</f>
      </c>
      <c r="X2907" s="7">
        <f>($W2907)*(T2907)</f>
      </c>
      <c r="Y2907" s="7">
        <f>($W2907)*(U2907)</f>
      </c>
      <c r="Z2907" s="7">
        <f>SQRT(X2907^2+Y2907^2)</f>
      </c>
      <c r="AA2907" s="7">
        <f>$K2907+$X2907</f>
      </c>
      <c r="AB2907" s="7">
        <f>$L2907+$Y2907</f>
      </c>
      <c r="AC2907" s="7">
        <f>$K2907-$X2907</f>
      </c>
      <c r="AD2907" s="7">
        <f>$L2907-$Y2907</f>
      </c>
      <c r="AE2907" s="7">
        <f>AA2907/39.3701</f>
      </c>
      <c r="AF2907" s="7">
        <f>AB2907/39.3701</f>
      </c>
      <c r="AG2907" s="7">
        <f>AC2907/39.3701</f>
      </c>
      <c r="AH2907" s="7">
        <f>AD2907/39.3701</f>
      </c>
      <c r="AI2907" s="1"/>
      <c r="AJ2907" s="1"/>
      <c r="AK2907" s="1"/>
      <c r="AL2907" s="1"/>
      <c r="AM2907" s="2"/>
      <c r="AN2907" s="1"/>
      <c r="AO2907" s="1"/>
      <c r="AP2907" s="1"/>
      <c r="AQ2907" s="1"/>
      <c r="AR2907" s="1"/>
      <c r="AS2907" s="1"/>
      <c r="AT2907" s="1"/>
      <c r="AU2907" s="1"/>
      <c r="AV2907" s="1"/>
      <c r="AW2907" s="1"/>
      <c r="AX2907" s="1"/>
      <c r="AY2907" s="1"/>
      <c r="AZ2907" s="1"/>
      <c r="BA2907" s="1"/>
      <c r="BB2907" s="1"/>
      <c r="BC2907" s="1"/>
      <c r="BD2907" s="1"/>
      <c r="BE2907" s="1"/>
    </row>
    <row x14ac:dyDescent="0.25" r="2908" customHeight="1" ht="18.75">
      <c r="A2908" s="1"/>
      <c r="B2908" s="2"/>
      <c r="C2908" s="2"/>
      <c r="D2908" s="2"/>
      <c r="E2908" s="2"/>
      <c r="F2908" s="2"/>
      <c r="G2908" s="1"/>
      <c r="H2908" s="1"/>
      <c r="I2908" s="7">
        <v>2.905</v>
      </c>
      <c r="J2908" s="7">
        <f>IF((I2908-ROUNDDOWN(I2908,0))=0, 0, (I2908-ROUNDDOWN(I2908,0)))</f>
      </c>
      <c r="K2908" s="7">
        <f>INDIRECT("C$"&amp;2+MIN(2,ROUNDDOWN(I2908,0))*3)*(-$J2908^3+3*$J2908^2-3*$J2908+1)+INDIRECT("C$"&amp;3+MIN(2,ROUNDDOWN(I2908,0))*3)*(3*$J2908^3-6*$J2908^2+3*$J2908)+INDIRECT("C$"&amp;4+MIN(2,ROUNDDOWN(I2908,0))*3)*(-3*$J2908^3+3*$J2908^2)+INDIRECT("C$"&amp;5+MIN(2,ROUNDDOWN(I2908,0))*3)*$J2908^3</f>
      </c>
      <c r="L2908" s="7">
        <f>INDIRECT("D$"&amp;2+MIN(2,ROUNDDOWN(I2908,0))*3)*(-$J2908^3+3*$J2908^2-3*$J2908+1)+INDIRECT("D$"&amp;3+MIN(2,ROUNDDOWN(I2908,0))*3)*(3*$J2908^3-6*$J2908^2+3*$J2908)+INDIRECT("D$"&amp;4+MIN(2,ROUNDDOWN(I2908,0))*3)*(-3*$J2908^3+3*$J2908^2)+INDIRECT("D$"&amp;5+MIN(2,ROUNDDOWN(I2908,0))*3)*$J2908^3</f>
      </c>
      <c r="M2908" s="7">
        <f>SQRT(K2908^2+L2908^2)</f>
      </c>
      <c r="N2908" s="7">
        <f>(K2909-K2907)</f>
      </c>
      <c r="O2908" s="7">
        <f>+(L2909-L2907)</f>
      </c>
      <c r="P2908" s="7">
        <f>SQRT(O2908^2+N2908^2)</f>
      </c>
      <c r="Q2908" s="7">
        <f>N2908/$P2908</f>
      </c>
      <c r="R2908" s="7">
        <f>O2908/$P2908</f>
      </c>
      <c r="S2908" s="7">
        <f>Q2908^2+R2908^2</f>
      </c>
      <c r="T2908" s="7">
        <f>-R2908</f>
      </c>
      <c r="U2908" s="7">
        <f>Q2908</f>
      </c>
      <c r="V2908" s="7">
        <f>($C$14+($C$15-$C$14)/($D$15-$D$14)*(I2908-$D$14))/2</f>
      </c>
      <c r="W2908" s="7">
        <f>($B$22*I2908^4+$C$22*I2908^3+$D$22*I2908^2+$E$22*I2908+$F$22)/2</f>
      </c>
      <c r="X2908" s="7">
        <f>($W2908)*(T2908)</f>
      </c>
      <c r="Y2908" s="7">
        <f>($W2908)*(U2908)</f>
      </c>
      <c r="Z2908" s="7">
        <f>SQRT(X2908^2+Y2908^2)</f>
      </c>
      <c r="AA2908" s="7">
        <f>$K2908+$X2908</f>
      </c>
      <c r="AB2908" s="7">
        <f>$L2908+$Y2908</f>
      </c>
      <c r="AC2908" s="7">
        <f>$K2908-$X2908</f>
      </c>
      <c r="AD2908" s="7">
        <f>$L2908-$Y2908</f>
      </c>
      <c r="AE2908" s="7">
        <f>AA2908/39.3701</f>
      </c>
      <c r="AF2908" s="7">
        <f>AB2908/39.3701</f>
      </c>
      <c r="AG2908" s="7">
        <f>AC2908/39.3701</f>
      </c>
      <c r="AH2908" s="7">
        <f>AD2908/39.3701</f>
      </c>
      <c r="AI2908" s="1"/>
      <c r="AJ2908" s="1"/>
      <c r="AK2908" s="1"/>
      <c r="AL2908" s="1"/>
      <c r="AM2908" s="2"/>
      <c r="AN2908" s="1"/>
      <c r="AO2908" s="1"/>
      <c r="AP2908" s="1"/>
      <c r="AQ2908" s="1"/>
      <c r="AR2908" s="1"/>
      <c r="AS2908" s="1"/>
      <c r="AT2908" s="1"/>
      <c r="AU2908" s="1"/>
      <c r="AV2908" s="1"/>
      <c r="AW2908" s="1"/>
      <c r="AX2908" s="1"/>
      <c r="AY2908" s="1"/>
      <c r="AZ2908" s="1"/>
      <c r="BA2908" s="1"/>
      <c r="BB2908" s="1"/>
      <c r="BC2908" s="1"/>
      <c r="BD2908" s="1"/>
      <c r="BE2908" s="1"/>
    </row>
    <row x14ac:dyDescent="0.25" r="2909" customHeight="1" ht="18.75">
      <c r="A2909" s="1"/>
      <c r="B2909" s="2"/>
      <c r="C2909" s="2"/>
      <c r="D2909" s="2"/>
      <c r="E2909" s="2"/>
      <c r="F2909" s="2"/>
      <c r="G2909" s="1"/>
      <c r="H2909" s="1"/>
      <c r="I2909" s="7">
        <v>2.906</v>
      </c>
      <c r="J2909" s="7">
        <f>IF((I2909-ROUNDDOWN(I2909,0))=0, 0, (I2909-ROUNDDOWN(I2909,0)))</f>
      </c>
      <c r="K2909" s="7">
        <f>INDIRECT("C$"&amp;2+MIN(2,ROUNDDOWN(I2909,0))*3)*(-$J2909^3+3*$J2909^2-3*$J2909+1)+INDIRECT("C$"&amp;3+MIN(2,ROUNDDOWN(I2909,0))*3)*(3*$J2909^3-6*$J2909^2+3*$J2909)+INDIRECT("C$"&amp;4+MIN(2,ROUNDDOWN(I2909,0))*3)*(-3*$J2909^3+3*$J2909^2)+INDIRECT("C$"&amp;5+MIN(2,ROUNDDOWN(I2909,0))*3)*$J2909^3</f>
      </c>
      <c r="L2909" s="7">
        <f>INDIRECT("D$"&amp;2+MIN(2,ROUNDDOWN(I2909,0))*3)*(-$J2909^3+3*$J2909^2-3*$J2909+1)+INDIRECT("D$"&amp;3+MIN(2,ROUNDDOWN(I2909,0))*3)*(3*$J2909^3-6*$J2909^2+3*$J2909)+INDIRECT("D$"&amp;4+MIN(2,ROUNDDOWN(I2909,0))*3)*(-3*$J2909^3+3*$J2909^2)+INDIRECT("D$"&amp;5+MIN(2,ROUNDDOWN(I2909,0))*3)*$J2909^3</f>
      </c>
      <c r="M2909" s="7">
        <f>SQRT(K2909^2+L2909^2)</f>
      </c>
      <c r="N2909" s="7">
        <f>(K2910-K2908)</f>
      </c>
      <c r="O2909" s="7">
        <f>+(L2910-L2908)</f>
      </c>
      <c r="P2909" s="7">
        <f>SQRT(O2909^2+N2909^2)</f>
      </c>
      <c r="Q2909" s="7">
        <f>N2909/$P2909</f>
      </c>
      <c r="R2909" s="7">
        <f>O2909/$P2909</f>
      </c>
      <c r="S2909" s="8">
        <f>Q2909^2+R2909^2</f>
      </c>
      <c r="T2909" s="7">
        <f>-R2909</f>
      </c>
      <c r="U2909" s="7">
        <f>Q2909</f>
      </c>
      <c r="V2909" s="7">
        <f>($C$14+($C$15-$C$14)/($D$15-$D$14)*(I2909-$D$14))/2</f>
      </c>
      <c r="W2909" s="7">
        <f>($B$22*I2909^4+$C$22*I2909^3+$D$22*I2909^2+$E$22*I2909+$F$22)/2</f>
      </c>
      <c r="X2909" s="7">
        <f>($W2909)*(T2909)</f>
      </c>
      <c r="Y2909" s="7">
        <f>($W2909)*(U2909)</f>
      </c>
      <c r="Z2909" s="7">
        <f>SQRT(X2909^2+Y2909^2)</f>
      </c>
      <c r="AA2909" s="7">
        <f>$K2909+$X2909</f>
      </c>
      <c r="AB2909" s="7">
        <f>$L2909+$Y2909</f>
      </c>
      <c r="AC2909" s="7">
        <f>$K2909-$X2909</f>
      </c>
      <c r="AD2909" s="7">
        <f>$L2909-$Y2909</f>
      </c>
      <c r="AE2909" s="7">
        <f>AA2909/39.3701</f>
      </c>
      <c r="AF2909" s="7">
        <f>AB2909/39.3701</f>
      </c>
      <c r="AG2909" s="7">
        <f>AC2909/39.3701</f>
      </c>
      <c r="AH2909" s="7">
        <f>AD2909/39.3701</f>
      </c>
      <c r="AI2909" s="1"/>
      <c r="AJ2909" s="1"/>
      <c r="AK2909" s="1"/>
      <c r="AL2909" s="1"/>
      <c r="AM2909" s="2"/>
      <c r="AN2909" s="1"/>
      <c r="AO2909" s="1"/>
      <c r="AP2909" s="1"/>
      <c r="AQ2909" s="1"/>
      <c r="AR2909" s="1"/>
      <c r="AS2909" s="1"/>
      <c r="AT2909" s="1"/>
      <c r="AU2909" s="1"/>
      <c r="AV2909" s="1"/>
      <c r="AW2909" s="1"/>
      <c r="AX2909" s="1"/>
      <c r="AY2909" s="1"/>
      <c r="AZ2909" s="1"/>
      <c r="BA2909" s="1"/>
      <c r="BB2909" s="1"/>
      <c r="BC2909" s="1"/>
      <c r="BD2909" s="1"/>
      <c r="BE2909" s="1"/>
    </row>
    <row x14ac:dyDescent="0.25" r="2910" customHeight="1" ht="18.75">
      <c r="A2910" s="1"/>
      <c r="B2910" s="2"/>
      <c r="C2910" s="2"/>
      <c r="D2910" s="2"/>
      <c r="E2910" s="2"/>
      <c r="F2910" s="2"/>
      <c r="G2910" s="1"/>
      <c r="H2910" s="1"/>
      <c r="I2910" s="7">
        <v>2.907</v>
      </c>
      <c r="J2910" s="7">
        <f>IF((I2910-ROUNDDOWN(I2910,0))=0, 0, (I2910-ROUNDDOWN(I2910,0)))</f>
      </c>
      <c r="K2910" s="7">
        <f>INDIRECT("C$"&amp;2+MIN(2,ROUNDDOWN(I2910,0))*3)*(-$J2910^3+3*$J2910^2-3*$J2910+1)+INDIRECT("C$"&amp;3+MIN(2,ROUNDDOWN(I2910,0))*3)*(3*$J2910^3-6*$J2910^2+3*$J2910)+INDIRECT("C$"&amp;4+MIN(2,ROUNDDOWN(I2910,0))*3)*(-3*$J2910^3+3*$J2910^2)+INDIRECT("C$"&amp;5+MIN(2,ROUNDDOWN(I2910,0))*3)*$J2910^3</f>
      </c>
      <c r="L2910" s="7">
        <f>INDIRECT("D$"&amp;2+MIN(2,ROUNDDOWN(I2910,0))*3)*(-$J2910^3+3*$J2910^2-3*$J2910+1)+INDIRECT("D$"&amp;3+MIN(2,ROUNDDOWN(I2910,0))*3)*(3*$J2910^3-6*$J2910^2+3*$J2910)+INDIRECT("D$"&amp;4+MIN(2,ROUNDDOWN(I2910,0))*3)*(-3*$J2910^3+3*$J2910^2)+INDIRECT("D$"&amp;5+MIN(2,ROUNDDOWN(I2910,0))*3)*$J2910^3</f>
      </c>
      <c r="M2910" s="7">
        <f>SQRT(K2910^2+L2910^2)</f>
      </c>
      <c r="N2910" s="7">
        <f>(K2911-K2909)</f>
      </c>
      <c r="O2910" s="7">
        <f>+(L2911-L2909)</f>
      </c>
      <c r="P2910" s="7">
        <f>SQRT(O2910^2+N2910^2)</f>
      </c>
      <c r="Q2910" s="7">
        <f>N2910/$P2910</f>
      </c>
      <c r="R2910" s="7">
        <f>O2910/$P2910</f>
      </c>
      <c r="S2910" s="8">
        <f>Q2910^2+R2910^2</f>
      </c>
      <c r="T2910" s="7">
        <f>-R2910</f>
      </c>
      <c r="U2910" s="7">
        <f>Q2910</f>
      </c>
      <c r="V2910" s="7">
        <f>($C$14+($C$15-$C$14)/($D$15-$D$14)*(I2910-$D$14))/2</f>
      </c>
      <c r="W2910" s="7">
        <f>($B$22*I2910^4+$C$22*I2910^3+$D$22*I2910^2+$E$22*I2910+$F$22)/2</f>
      </c>
      <c r="X2910" s="7">
        <f>($W2910)*(T2910)</f>
      </c>
      <c r="Y2910" s="7">
        <f>($W2910)*(U2910)</f>
      </c>
      <c r="Z2910" s="7">
        <f>SQRT(X2910^2+Y2910^2)</f>
      </c>
      <c r="AA2910" s="7">
        <f>$K2910+$X2910</f>
      </c>
      <c r="AB2910" s="7">
        <f>$L2910+$Y2910</f>
      </c>
      <c r="AC2910" s="7">
        <f>$K2910-$X2910</f>
      </c>
      <c r="AD2910" s="7">
        <f>$L2910-$Y2910</f>
      </c>
      <c r="AE2910" s="7">
        <f>AA2910/39.3701</f>
      </c>
      <c r="AF2910" s="7">
        <f>AB2910/39.3701</f>
      </c>
      <c r="AG2910" s="7">
        <f>AC2910/39.3701</f>
      </c>
      <c r="AH2910" s="7">
        <f>AD2910/39.3701</f>
      </c>
      <c r="AI2910" s="1"/>
      <c r="AJ2910" s="1"/>
      <c r="AK2910" s="1"/>
      <c r="AL2910" s="1"/>
      <c r="AM2910" s="2"/>
      <c r="AN2910" s="1"/>
      <c r="AO2910" s="1"/>
      <c r="AP2910" s="1"/>
      <c r="AQ2910" s="1"/>
      <c r="AR2910" s="1"/>
      <c r="AS2910" s="1"/>
      <c r="AT2910" s="1"/>
      <c r="AU2910" s="1"/>
      <c r="AV2910" s="1"/>
      <c r="AW2910" s="1"/>
      <c r="AX2910" s="1"/>
      <c r="AY2910" s="1"/>
      <c r="AZ2910" s="1"/>
      <c r="BA2910" s="1"/>
      <c r="BB2910" s="1"/>
      <c r="BC2910" s="1"/>
      <c r="BD2910" s="1"/>
      <c r="BE2910" s="1"/>
    </row>
    <row x14ac:dyDescent="0.25" r="2911" customHeight="1" ht="18.75">
      <c r="A2911" s="1"/>
      <c r="B2911" s="2"/>
      <c r="C2911" s="2"/>
      <c r="D2911" s="2"/>
      <c r="E2911" s="2"/>
      <c r="F2911" s="2"/>
      <c r="G2911" s="1"/>
      <c r="H2911" s="1"/>
      <c r="I2911" s="7">
        <v>2.908</v>
      </c>
      <c r="J2911" s="7">
        <f>IF((I2911-ROUNDDOWN(I2911,0))=0, 0, (I2911-ROUNDDOWN(I2911,0)))</f>
      </c>
      <c r="K2911" s="7">
        <f>INDIRECT("C$"&amp;2+MIN(2,ROUNDDOWN(I2911,0))*3)*(-$J2911^3+3*$J2911^2-3*$J2911+1)+INDIRECT("C$"&amp;3+MIN(2,ROUNDDOWN(I2911,0))*3)*(3*$J2911^3-6*$J2911^2+3*$J2911)+INDIRECT("C$"&amp;4+MIN(2,ROUNDDOWN(I2911,0))*3)*(-3*$J2911^3+3*$J2911^2)+INDIRECT("C$"&amp;5+MIN(2,ROUNDDOWN(I2911,0))*3)*$J2911^3</f>
      </c>
      <c r="L2911" s="7">
        <f>INDIRECT("D$"&amp;2+MIN(2,ROUNDDOWN(I2911,0))*3)*(-$J2911^3+3*$J2911^2-3*$J2911+1)+INDIRECT("D$"&amp;3+MIN(2,ROUNDDOWN(I2911,0))*3)*(3*$J2911^3-6*$J2911^2+3*$J2911)+INDIRECT("D$"&amp;4+MIN(2,ROUNDDOWN(I2911,0))*3)*(-3*$J2911^3+3*$J2911^2)+INDIRECT("D$"&amp;5+MIN(2,ROUNDDOWN(I2911,0))*3)*$J2911^3</f>
      </c>
      <c r="M2911" s="7">
        <f>SQRT(K2911^2+L2911^2)</f>
      </c>
      <c r="N2911" s="7">
        <f>(K2912-K2910)</f>
      </c>
      <c r="O2911" s="7">
        <f>+(L2912-L2910)</f>
      </c>
      <c r="P2911" s="7">
        <f>SQRT(O2911^2+N2911^2)</f>
      </c>
      <c r="Q2911" s="7">
        <f>N2911/$P2911</f>
      </c>
      <c r="R2911" s="7">
        <f>O2911/$P2911</f>
      </c>
      <c r="S2911" s="7">
        <f>Q2911^2+R2911^2</f>
      </c>
      <c r="T2911" s="7">
        <f>-R2911</f>
      </c>
      <c r="U2911" s="7">
        <f>Q2911</f>
      </c>
      <c r="V2911" s="7">
        <f>($C$14+($C$15-$C$14)/($D$15-$D$14)*(I2911-$D$14))/2</f>
      </c>
      <c r="W2911" s="7">
        <f>($B$22*I2911^4+$C$22*I2911^3+$D$22*I2911^2+$E$22*I2911+$F$22)/2</f>
      </c>
      <c r="X2911" s="7">
        <f>($W2911)*(T2911)</f>
      </c>
      <c r="Y2911" s="7">
        <f>($W2911)*(U2911)</f>
      </c>
      <c r="Z2911" s="7">
        <f>SQRT(X2911^2+Y2911^2)</f>
      </c>
      <c r="AA2911" s="7">
        <f>$K2911+$X2911</f>
      </c>
      <c r="AB2911" s="7">
        <f>$L2911+$Y2911</f>
      </c>
      <c r="AC2911" s="7">
        <f>$K2911-$X2911</f>
      </c>
      <c r="AD2911" s="7">
        <f>$L2911-$Y2911</f>
      </c>
      <c r="AE2911" s="7">
        <f>AA2911/39.3701</f>
      </c>
      <c r="AF2911" s="7">
        <f>AB2911/39.3701</f>
      </c>
      <c r="AG2911" s="7">
        <f>AC2911/39.3701</f>
      </c>
      <c r="AH2911" s="7">
        <f>AD2911/39.3701</f>
      </c>
      <c r="AI2911" s="1"/>
      <c r="AJ2911" s="1"/>
      <c r="AK2911" s="1"/>
      <c r="AL2911" s="1"/>
      <c r="AM2911" s="2"/>
      <c r="AN2911" s="1"/>
      <c r="AO2911" s="1"/>
      <c r="AP2911" s="1"/>
      <c r="AQ2911" s="1"/>
      <c r="AR2911" s="1"/>
      <c r="AS2911" s="1"/>
      <c r="AT2911" s="1"/>
      <c r="AU2911" s="1"/>
      <c r="AV2911" s="1"/>
      <c r="AW2911" s="1"/>
      <c r="AX2911" s="1"/>
      <c r="AY2911" s="1"/>
      <c r="AZ2911" s="1"/>
      <c r="BA2911" s="1"/>
      <c r="BB2911" s="1"/>
      <c r="BC2911" s="1"/>
      <c r="BD2911" s="1"/>
      <c r="BE2911" s="1"/>
    </row>
    <row x14ac:dyDescent="0.25" r="2912" customHeight="1" ht="18.75">
      <c r="A2912" s="1"/>
      <c r="B2912" s="2"/>
      <c r="C2912" s="2"/>
      <c r="D2912" s="2"/>
      <c r="E2912" s="2"/>
      <c r="F2912" s="2"/>
      <c r="G2912" s="1"/>
      <c r="H2912" s="1"/>
      <c r="I2912" s="7">
        <v>2.909</v>
      </c>
      <c r="J2912" s="7">
        <f>IF((I2912-ROUNDDOWN(I2912,0))=0, 0, (I2912-ROUNDDOWN(I2912,0)))</f>
      </c>
      <c r="K2912" s="7">
        <f>INDIRECT("C$"&amp;2+MIN(2,ROUNDDOWN(I2912,0))*3)*(-$J2912^3+3*$J2912^2-3*$J2912+1)+INDIRECT("C$"&amp;3+MIN(2,ROUNDDOWN(I2912,0))*3)*(3*$J2912^3-6*$J2912^2+3*$J2912)+INDIRECT("C$"&amp;4+MIN(2,ROUNDDOWN(I2912,0))*3)*(-3*$J2912^3+3*$J2912^2)+INDIRECT("C$"&amp;5+MIN(2,ROUNDDOWN(I2912,0))*3)*$J2912^3</f>
      </c>
      <c r="L2912" s="7">
        <f>INDIRECT("D$"&amp;2+MIN(2,ROUNDDOWN(I2912,0))*3)*(-$J2912^3+3*$J2912^2-3*$J2912+1)+INDIRECT("D$"&amp;3+MIN(2,ROUNDDOWN(I2912,0))*3)*(3*$J2912^3-6*$J2912^2+3*$J2912)+INDIRECT("D$"&amp;4+MIN(2,ROUNDDOWN(I2912,0))*3)*(-3*$J2912^3+3*$J2912^2)+INDIRECT("D$"&amp;5+MIN(2,ROUNDDOWN(I2912,0))*3)*$J2912^3</f>
      </c>
      <c r="M2912" s="7">
        <f>SQRT(K2912^2+L2912^2)</f>
      </c>
      <c r="N2912" s="7">
        <f>(K2913-K2911)</f>
      </c>
      <c r="O2912" s="7">
        <f>+(L2913-L2911)</f>
      </c>
      <c r="P2912" s="7">
        <f>SQRT(O2912^2+N2912^2)</f>
      </c>
      <c r="Q2912" s="7">
        <f>N2912/$P2912</f>
      </c>
      <c r="R2912" s="7">
        <f>O2912/$P2912</f>
      </c>
      <c r="S2912" s="7">
        <f>Q2912^2+R2912^2</f>
      </c>
      <c r="T2912" s="7">
        <f>-R2912</f>
      </c>
      <c r="U2912" s="7">
        <f>Q2912</f>
      </c>
      <c r="V2912" s="7">
        <f>($C$14+($C$15-$C$14)/($D$15-$D$14)*(I2912-$D$14))/2</f>
      </c>
      <c r="W2912" s="7">
        <f>($B$22*I2912^4+$C$22*I2912^3+$D$22*I2912^2+$E$22*I2912+$F$22)/2</f>
      </c>
      <c r="X2912" s="7">
        <f>($W2912)*(T2912)</f>
      </c>
      <c r="Y2912" s="7">
        <f>($W2912)*(U2912)</f>
      </c>
      <c r="Z2912" s="7">
        <f>SQRT(X2912^2+Y2912^2)</f>
      </c>
      <c r="AA2912" s="7">
        <f>$K2912+$X2912</f>
      </c>
      <c r="AB2912" s="7">
        <f>$L2912+$Y2912</f>
      </c>
      <c r="AC2912" s="7">
        <f>$K2912-$X2912</f>
      </c>
      <c r="AD2912" s="7">
        <f>$L2912-$Y2912</f>
      </c>
      <c r="AE2912" s="7">
        <f>AA2912/39.3701</f>
      </c>
      <c r="AF2912" s="7">
        <f>AB2912/39.3701</f>
      </c>
      <c r="AG2912" s="7">
        <f>AC2912/39.3701</f>
      </c>
      <c r="AH2912" s="7">
        <f>AD2912/39.3701</f>
      </c>
      <c r="AI2912" s="1"/>
      <c r="AJ2912" s="1"/>
      <c r="AK2912" s="1"/>
      <c r="AL2912" s="1"/>
      <c r="AM2912" s="2"/>
      <c r="AN2912" s="1"/>
      <c r="AO2912" s="1"/>
      <c r="AP2912" s="1"/>
      <c r="AQ2912" s="1"/>
      <c r="AR2912" s="1"/>
      <c r="AS2912" s="1"/>
      <c r="AT2912" s="1"/>
      <c r="AU2912" s="1"/>
      <c r="AV2912" s="1"/>
      <c r="AW2912" s="1"/>
      <c r="AX2912" s="1"/>
      <c r="AY2912" s="1"/>
      <c r="AZ2912" s="1"/>
      <c r="BA2912" s="1"/>
      <c r="BB2912" s="1"/>
      <c r="BC2912" s="1"/>
      <c r="BD2912" s="1"/>
      <c r="BE2912" s="1"/>
    </row>
    <row x14ac:dyDescent="0.25" r="2913" customHeight="1" ht="18.75">
      <c r="A2913" s="1"/>
      <c r="B2913" s="2"/>
      <c r="C2913" s="2"/>
      <c r="D2913" s="2"/>
      <c r="E2913" s="2"/>
      <c r="F2913" s="2"/>
      <c r="G2913" s="1"/>
      <c r="H2913" s="1"/>
      <c r="I2913" s="7">
        <v>2.91</v>
      </c>
      <c r="J2913" s="7">
        <f>IF((I2913-ROUNDDOWN(I2913,0))=0, 0, (I2913-ROUNDDOWN(I2913,0)))</f>
      </c>
      <c r="K2913" s="7">
        <f>INDIRECT("C$"&amp;2+MIN(2,ROUNDDOWN(I2913,0))*3)*(-$J2913^3+3*$J2913^2-3*$J2913+1)+INDIRECT("C$"&amp;3+MIN(2,ROUNDDOWN(I2913,0))*3)*(3*$J2913^3-6*$J2913^2+3*$J2913)+INDIRECT("C$"&amp;4+MIN(2,ROUNDDOWN(I2913,0))*3)*(-3*$J2913^3+3*$J2913^2)+INDIRECT("C$"&amp;5+MIN(2,ROUNDDOWN(I2913,0))*3)*$J2913^3</f>
      </c>
      <c r="L2913" s="7">
        <f>INDIRECT("D$"&amp;2+MIN(2,ROUNDDOWN(I2913,0))*3)*(-$J2913^3+3*$J2913^2-3*$J2913+1)+INDIRECT("D$"&amp;3+MIN(2,ROUNDDOWN(I2913,0))*3)*(3*$J2913^3-6*$J2913^2+3*$J2913)+INDIRECT("D$"&amp;4+MIN(2,ROUNDDOWN(I2913,0))*3)*(-3*$J2913^3+3*$J2913^2)+INDIRECT("D$"&amp;5+MIN(2,ROUNDDOWN(I2913,0))*3)*$J2913^3</f>
      </c>
      <c r="M2913" s="7">
        <f>SQRT(K2913^2+L2913^2)</f>
      </c>
      <c r="N2913" s="7">
        <f>(K2914-K2912)</f>
      </c>
      <c r="O2913" s="7">
        <f>+(L2914-L2912)</f>
      </c>
      <c r="P2913" s="7">
        <f>SQRT(O2913^2+N2913^2)</f>
      </c>
      <c r="Q2913" s="7">
        <f>N2913/$P2913</f>
      </c>
      <c r="R2913" s="7">
        <f>O2913/$P2913</f>
      </c>
      <c r="S2913" s="7">
        <f>Q2913^2+R2913^2</f>
      </c>
      <c r="T2913" s="7">
        <f>-R2913</f>
      </c>
      <c r="U2913" s="7">
        <f>Q2913</f>
      </c>
      <c r="V2913" s="7">
        <f>($C$14+($C$15-$C$14)/($D$15-$D$14)*(I2913-$D$14))/2</f>
      </c>
      <c r="W2913" s="7">
        <f>($B$22*I2913^4+$C$22*I2913^3+$D$22*I2913^2+$E$22*I2913+$F$22)/2</f>
      </c>
      <c r="X2913" s="7">
        <f>($W2913)*(T2913)</f>
      </c>
      <c r="Y2913" s="7">
        <f>($W2913)*(U2913)</f>
      </c>
      <c r="Z2913" s="7">
        <f>SQRT(X2913^2+Y2913^2)</f>
      </c>
      <c r="AA2913" s="7">
        <f>$K2913+$X2913</f>
      </c>
      <c r="AB2913" s="7">
        <f>$L2913+$Y2913</f>
      </c>
      <c r="AC2913" s="7">
        <f>$K2913-$X2913</f>
      </c>
      <c r="AD2913" s="7">
        <f>$L2913-$Y2913</f>
      </c>
      <c r="AE2913" s="7">
        <f>AA2913/39.3701</f>
      </c>
      <c r="AF2913" s="7">
        <f>AB2913/39.3701</f>
      </c>
      <c r="AG2913" s="7">
        <f>AC2913/39.3701</f>
      </c>
      <c r="AH2913" s="7">
        <f>AD2913/39.3701</f>
      </c>
      <c r="AI2913" s="1"/>
      <c r="AJ2913" s="1"/>
      <c r="AK2913" s="1"/>
      <c r="AL2913" s="1"/>
      <c r="AM2913" s="2"/>
      <c r="AN2913" s="1"/>
      <c r="AO2913" s="1"/>
      <c r="AP2913" s="1"/>
      <c r="AQ2913" s="1"/>
      <c r="AR2913" s="1"/>
      <c r="AS2913" s="1"/>
      <c r="AT2913" s="1"/>
      <c r="AU2913" s="1"/>
      <c r="AV2913" s="1"/>
      <c r="AW2913" s="1"/>
      <c r="AX2913" s="1"/>
      <c r="AY2913" s="1"/>
      <c r="AZ2913" s="1"/>
      <c r="BA2913" s="1"/>
      <c r="BB2913" s="1"/>
      <c r="BC2913" s="1"/>
      <c r="BD2913" s="1"/>
      <c r="BE2913" s="1"/>
    </row>
    <row x14ac:dyDescent="0.25" r="2914" customHeight="1" ht="18.75">
      <c r="A2914" s="1"/>
      <c r="B2914" s="2"/>
      <c r="C2914" s="2"/>
      <c r="D2914" s="2"/>
      <c r="E2914" s="2"/>
      <c r="F2914" s="2"/>
      <c r="G2914" s="1"/>
      <c r="H2914" s="1"/>
      <c r="I2914" s="7">
        <v>2.911</v>
      </c>
      <c r="J2914" s="7">
        <f>IF((I2914-ROUNDDOWN(I2914,0))=0, 0, (I2914-ROUNDDOWN(I2914,0)))</f>
      </c>
      <c r="K2914" s="7">
        <f>INDIRECT("C$"&amp;2+MIN(2,ROUNDDOWN(I2914,0))*3)*(-$J2914^3+3*$J2914^2-3*$J2914+1)+INDIRECT("C$"&amp;3+MIN(2,ROUNDDOWN(I2914,0))*3)*(3*$J2914^3-6*$J2914^2+3*$J2914)+INDIRECT("C$"&amp;4+MIN(2,ROUNDDOWN(I2914,0))*3)*(-3*$J2914^3+3*$J2914^2)+INDIRECT("C$"&amp;5+MIN(2,ROUNDDOWN(I2914,0))*3)*$J2914^3</f>
      </c>
      <c r="L2914" s="7">
        <f>INDIRECT("D$"&amp;2+MIN(2,ROUNDDOWN(I2914,0))*3)*(-$J2914^3+3*$J2914^2-3*$J2914+1)+INDIRECT("D$"&amp;3+MIN(2,ROUNDDOWN(I2914,0))*3)*(3*$J2914^3-6*$J2914^2+3*$J2914)+INDIRECT("D$"&amp;4+MIN(2,ROUNDDOWN(I2914,0))*3)*(-3*$J2914^3+3*$J2914^2)+INDIRECT("D$"&amp;5+MIN(2,ROUNDDOWN(I2914,0))*3)*$J2914^3</f>
      </c>
      <c r="M2914" s="7">
        <f>SQRT(K2914^2+L2914^2)</f>
      </c>
      <c r="N2914" s="7">
        <f>(K2915-K2913)</f>
      </c>
      <c r="O2914" s="7">
        <f>+(L2915-L2913)</f>
      </c>
      <c r="P2914" s="7">
        <f>SQRT(O2914^2+N2914^2)</f>
      </c>
      <c r="Q2914" s="7">
        <f>N2914/$P2914</f>
      </c>
      <c r="R2914" s="7">
        <f>O2914/$P2914</f>
      </c>
      <c r="S2914" s="7">
        <f>Q2914^2+R2914^2</f>
      </c>
      <c r="T2914" s="7">
        <f>-R2914</f>
      </c>
      <c r="U2914" s="7">
        <f>Q2914</f>
      </c>
      <c r="V2914" s="7">
        <f>($C$14+($C$15-$C$14)/($D$15-$D$14)*(I2914-$D$14))/2</f>
      </c>
      <c r="W2914" s="7">
        <f>($B$22*I2914^4+$C$22*I2914^3+$D$22*I2914^2+$E$22*I2914+$F$22)/2</f>
      </c>
      <c r="X2914" s="7">
        <f>($W2914)*(T2914)</f>
      </c>
      <c r="Y2914" s="7">
        <f>($W2914)*(U2914)</f>
      </c>
      <c r="Z2914" s="7">
        <f>SQRT(X2914^2+Y2914^2)</f>
      </c>
      <c r="AA2914" s="7">
        <f>$K2914+$X2914</f>
      </c>
      <c r="AB2914" s="7">
        <f>$L2914+$Y2914</f>
      </c>
      <c r="AC2914" s="7">
        <f>$K2914-$X2914</f>
      </c>
      <c r="AD2914" s="7">
        <f>$L2914-$Y2914</f>
      </c>
      <c r="AE2914" s="7">
        <f>AA2914/39.3701</f>
      </c>
      <c r="AF2914" s="7">
        <f>AB2914/39.3701</f>
      </c>
      <c r="AG2914" s="7">
        <f>AC2914/39.3701</f>
      </c>
      <c r="AH2914" s="7">
        <f>AD2914/39.3701</f>
      </c>
      <c r="AI2914" s="1"/>
      <c r="AJ2914" s="1"/>
      <c r="AK2914" s="1"/>
      <c r="AL2914" s="1"/>
      <c r="AM2914" s="2"/>
      <c r="AN2914" s="1"/>
      <c r="AO2914" s="1"/>
      <c r="AP2914" s="1"/>
      <c r="AQ2914" s="1"/>
      <c r="AR2914" s="1"/>
      <c r="AS2914" s="1"/>
      <c r="AT2914" s="1"/>
      <c r="AU2914" s="1"/>
      <c r="AV2914" s="1"/>
      <c r="AW2914" s="1"/>
      <c r="AX2914" s="1"/>
      <c r="AY2914" s="1"/>
      <c r="AZ2914" s="1"/>
      <c r="BA2914" s="1"/>
      <c r="BB2914" s="1"/>
      <c r="BC2914" s="1"/>
      <c r="BD2914" s="1"/>
      <c r="BE2914" s="1"/>
    </row>
    <row x14ac:dyDescent="0.25" r="2915" customHeight="1" ht="18.75">
      <c r="A2915" s="1"/>
      <c r="B2915" s="2"/>
      <c r="C2915" s="2"/>
      <c r="D2915" s="2"/>
      <c r="E2915" s="2"/>
      <c r="F2915" s="2"/>
      <c r="G2915" s="1"/>
      <c r="H2915" s="1"/>
      <c r="I2915" s="7">
        <v>2.912</v>
      </c>
      <c r="J2915" s="7">
        <f>IF((I2915-ROUNDDOWN(I2915,0))=0, 0, (I2915-ROUNDDOWN(I2915,0)))</f>
      </c>
      <c r="K2915" s="7">
        <f>INDIRECT("C$"&amp;2+MIN(2,ROUNDDOWN(I2915,0))*3)*(-$J2915^3+3*$J2915^2-3*$J2915+1)+INDIRECT("C$"&amp;3+MIN(2,ROUNDDOWN(I2915,0))*3)*(3*$J2915^3-6*$J2915^2+3*$J2915)+INDIRECT("C$"&amp;4+MIN(2,ROUNDDOWN(I2915,0))*3)*(-3*$J2915^3+3*$J2915^2)+INDIRECT("C$"&amp;5+MIN(2,ROUNDDOWN(I2915,0))*3)*$J2915^3</f>
      </c>
      <c r="L2915" s="7">
        <f>INDIRECT("D$"&amp;2+MIN(2,ROUNDDOWN(I2915,0))*3)*(-$J2915^3+3*$J2915^2-3*$J2915+1)+INDIRECT("D$"&amp;3+MIN(2,ROUNDDOWN(I2915,0))*3)*(3*$J2915^3-6*$J2915^2+3*$J2915)+INDIRECT("D$"&amp;4+MIN(2,ROUNDDOWN(I2915,0))*3)*(-3*$J2915^3+3*$J2915^2)+INDIRECT("D$"&amp;5+MIN(2,ROUNDDOWN(I2915,0))*3)*$J2915^3</f>
      </c>
      <c r="M2915" s="7">
        <f>SQRT(K2915^2+L2915^2)</f>
      </c>
      <c r="N2915" s="7">
        <f>(K2916-K2914)</f>
      </c>
      <c r="O2915" s="7">
        <f>+(L2916-L2914)</f>
      </c>
      <c r="P2915" s="7">
        <f>SQRT(O2915^2+N2915^2)</f>
      </c>
      <c r="Q2915" s="7">
        <f>N2915/$P2915</f>
      </c>
      <c r="R2915" s="7">
        <f>O2915/$P2915</f>
      </c>
      <c r="S2915" s="7">
        <f>Q2915^2+R2915^2</f>
      </c>
      <c r="T2915" s="7">
        <f>-R2915</f>
      </c>
      <c r="U2915" s="7">
        <f>Q2915</f>
      </c>
      <c r="V2915" s="7">
        <f>($C$14+($C$15-$C$14)/($D$15-$D$14)*(I2915-$D$14))/2</f>
      </c>
      <c r="W2915" s="7">
        <f>($B$22*I2915^4+$C$22*I2915^3+$D$22*I2915^2+$E$22*I2915+$F$22)/2</f>
      </c>
      <c r="X2915" s="7">
        <f>($W2915)*(T2915)</f>
      </c>
      <c r="Y2915" s="7">
        <f>($W2915)*(U2915)</f>
      </c>
      <c r="Z2915" s="7">
        <f>SQRT(X2915^2+Y2915^2)</f>
      </c>
      <c r="AA2915" s="7">
        <f>$K2915+$X2915</f>
      </c>
      <c r="AB2915" s="7">
        <f>$L2915+$Y2915</f>
      </c>
      <c r="AC2915" s="7">
        <f>$K2915-$X2915</f>
      </c>
      <c r="AD2915" s="7">
        <f>$L2915-$Y2915</f>
      </c>
      <c r="AE2915" s="7">
        <f>AA2915/39.3701</f>
      </c>
      <c r="AF2915" s="7">
        <f>AB2915/39.3701</f>
      </c>
      <c r="AG2915" s="7">
        <f>AC2915/39.3701</f>
      </c>
      <c r="AH2915" s="7">
        <f>AD2915/39.3701</f>
      </c>
      <c r="AI2915" s="1"/>
      <c r="AJ2915" s="1"/>
      <c r="AK2915" s="1"/>
      <c r="AL2915" s="1"/>
      <c r="AM2915" s="2"/>
      <c r="AN2915" s="1"/>
      <c r="AO2915" s="1"/>
      <c r="AP2915" s="1"/>
      <c r="AQ2915" s="1"/>
      <c r="AR2915" s="1"/>
      <c r="AS2915" s="1"/>
      <c r="AT2915" s="1"/>
      <c r="AU2915" s="1"/>
      <c r="AV2915" s="1"/>
      <c r="AW2915" s="1"/>
      <c r="AX2915" s="1"/>
      <c r="AY2915" s="1"/>
      <c r="AZ2915" s="1"/>
      <c r="BA2915" s="1"/>
      <c r="BB2915" s="1"/>
      <c r="BC2915" s="1"/>
      <c r="BD2915" s="1"/>
      <c r="BE2915" s="1"/>
    </row>
    <row x14ac:dyDescent="0.25" r="2916" customHeight="1" ht="18.75">
      <c r="A2916" s="1"/>
      <c r="B2916" s="2"/>
      <c r="C2916" s="2"/>
      <c r="D2916" s="2"/>
      <c r="E2916" s="2"/>
      <c r="F2916" s="2"/>
      <c r="G2916" s="1"/>
      <c r="H2916" s="1"/>
      <c r="I2916" s="7">
        <v>2.913</v>
      </c>
      <c r="J2916" s="7">
        <f>IF((I2916-ROUNDDOWN(I2916,0))=0, 0, (I2916-ROUNDDOWN(I2916,0)))</f>
      </c>
      <c r="K2916" s="7">
        <f>INDIRECT("C$"&amp;2+MIN(2,ROUNDDOWN(I2916,0))*3)*(-$J2916^3+3*$J2916^2-3*$J2916+1)+INDIRECT("C$"&amp;3+MIN(2,ROUNDDOWN(I2916,0))*3)*(3*$J2916^3-6*$J2916^2+3*$J2916)+INDIRECT("C$"&amp;4+MIN(2,ROUNDDOWN(I2916,0))*3)*(-3*$J2916^3+3*$J2916^2)+INDIRECT("C$"&amp;5+MIN(2,ROUNDDOWN(I2916,0))*3)*$J2916^3</f>
      </c>
      <c r="L2916" s="7">
        <f>INDIRECT("D$"&amp;2+MIN(2,ROUNDDOWN(I2916,0))*3)*(-$J2916^3+3*$J2916^2-3*$J2916+1)+INDIRECT("D$"&amp;3+MIN(2,ROUNDDOWN(I2916,0))*3)*(3*$J2916^3-6*$J2916^2+3*$J2916)+INDIRECT("D$"&amp;4+MIN(2,ROUNDDOWN(I2916,0))*3)*(-3*$J2916^3+3*$J2916^2)+INDIRECT("D$"&amp;5+MIN(2,ROUNDDOWN(I2916,0))*3)*$J2916^3</f>
      </c>
      <c r="M2916" s="7">
        <f>SQRT(K2916^2+L2916^2)</f>
      </c>
      <c r="N2916" s="7">
        <f>(K2917-K2915)</f>
      </c>
      <c r="O2916" s="7">
        <f>+(L2917-L2915)</f>
      </c>
      <c r="P2916" s="7">
        <f>SQRT(O2916^2+N2916^2)</f>
      </c>
      <c r="Q2916" s="7">
        <f>N2916/$P2916</f>
      </c>
      <c r="R2916" s="7">
        <f>O2916/$P2916</f>
      </c>
      <c r="S2916" s="8">
        <f>Q2916^2+R2916^2</f>
      </c>
      <c r="T2916" s="7">
        <f>-R2916</f>
      </c>
      <c r="U2916" s="7">
        <f>Q2916</f>
      </c>
      <c r="V2916" s="7">
        <f>($C$14+($C$15-$C$14)/($D$15-$D$14)*(I2916-$D$14))/2</f>
      </c>
      <c r="W2916" s="7">
        <f>($B$22*I2916^4+$C$22*I2916^3+$D$22*I2916^2+$E$22*I2916+$F$22)/2</f>
      </c>
      <c r="X2916" s="7">
        <f>($W2916)*(T2916)</f>
      </c>
      <c r="Y2916" s="7">
        <f>($W2916)*(U2916)</f>
      </c>
      <c r="Z2916" s="7">
        <f>SQRT(X2916^2+Y2916^2)</f>
      </c>
      <c r="AA2916" s="7">
        <f>$K2916+$X2916</f>
      </c>
      <c r="AB2916" s="7">
        <f>$L2916+$Y2916</f>
      </c>
      <c r="AC2916" s="7">
        <f>$K2916-$X2916</f>
      </c>
      <c r="AD2916" s="7">
        <f>$L2916-$Y2916</f>
      </c>
      <c r="AE2916" s="7">
        <f>AA2916/39.3701</f>
      </c>
      <c r="AF2916" s="7">
        <f>AB2916/39.3701</f>
      </c>
      <c r="AG2916" s="7">
        <f>AC2916/39.3701</f>
      </c>
      <c r="AH2916" s="7">
        <f>AD2916/39.3701</f>
      </c>
      <c r="AI2916" s="1"/>
      <c r="AJ2916" s="1"/>
      <c r="AK2916" s="1"/>
      <c r="AL2916" s="1"/>
      <c r="AM2916" s="2"/>
      <c r="AN2916" s="1"/>
      <c r="AO2916" s="1"/>
      <c r="AP2916" s="1"/>
      <c r="AQ2916" s="1"/>
      <c r="AR2916" s="1"/>
      <c r="AS2916" s="1"/>
      <c r="AT2916" s="1"/>
      <c r="AU2916" s="1"/>
      <c r="AV2916" s="1"/>
      <c r="AW2916" s="1"/>
      <c r="AX2916" s="1"/>
      <c r="AY2916" s="1"/>
      <c r="AZ2916" s="1"/>
      <c r="BA2916" s="1"/>
      <c r="BB2916" s="1"/>
      <c r="BC2916" s="1"/>
      <c r="BD2916" s="1"/>
      <c r="BE2916" s="1"/>
    </row>
    <row x14ac:dyDescent="0.25" r="2917" customHeight="1" ht="18.75">
      <c r="A2917" s="1"/>
      <c r="B2917" s="2"/>
      <c r="C2917" s="2"/>
      <c r="D2917" s="2"/>
      <c r="E2917" s="2"/>
      <c r="F2917" s="2"/>
      <c r="G2917" s="1"/>
      <c r="H2917" s="1"/>
      <c r="I2917" s="7">
        <v>2.914</v>
      </c>
      <c r="J2917" s="7">
        <f>IF((I2917-ROUNDDOWN(I2917,0))=0, 0, (I2917-ROUNDDOWN(I2917,0)))</f>
      </c>
      <c r="K2917" s="7">
        <f>INDIRECT("C$"&amp;2+MIN(2,ROUNDDOWN(I2917,0))*3)*(-$J2917^3+3*$J2917^2-3*$J2917+1)+INDIRECT("C$"&amp;3+MIN(2,ROUNDDOWN(I2917,0))*3)*(3*$J2917^3-6*$J2917^2+3*$J2917)+INDIRECT("C$"&amp;4+MIN(2,ROUNDDOWN(I2917,0))*3)*(-3*$J2917^3+3*$J2917^2)+INDIRECT("C$"&amp;5+MIN(2,ROUNDDOWN(I2917,0))*3)*$J2917^3</f>
      </c>
      <c r="L2917" s="7">
        <f>INDIRECT("D$"&amp;2+MIN(2,ROUNDDOWN(I2917,0))*3)*(-$J2917^3+3*$J2917^2-3*$J2917+1)+INDIRECT("D$"&amp;3+MIN(2,ROUNDDOWN(I2917,0))*3)*(3*$J2917^3-6*$J2917^2+3*$J2917)+INDIRECT("D$"&amp;4+MIN(2,ROUNDDOWN(I2917,0))*3)*(-3*$J2917^3+3*$J2917^2)+INDIRECT("D$"&amp;5+MIN(2,ROUNDDOWN(I2917,0))*3)*$J2917^3</f>
      </c>
      <c r="M2917" s="7">
        <f>SQRT(K2917^2+L2917^2)</f>
      </c>
      <c r="N2917" s="7">
        <f>(K2918-K2916)</f>
      </c>
      <c r="O2917" s="7">
        <f>+(L2918-L2916)</f>
      </c>
      <c r="P2917" s="7">
        <f>SQRT(O2917^2+N2917^2)</f>
      </c>
      <c r="Q2917" s="7">
        <f>N2917/$P2917</f>
      </c>
      <c r="R2917" s="7">
        <f>O2917/$P2917</f>
      </c>
      <c r="S2917" s="8">
        <f>Q2917^2+R2917^2</f>
      </c>
      <c r="T2917" s="7">
        <f>-R2917</f>
      </c>
      <c r="U2917" s="7">
        <f>Q2917</f>
      </c>
      <c r="V2917" s="7">
        <f>($C$14+($C$15-$C$14)/($D$15-$D$14)*(I2917-$D$14))/2</f>
      </c>
      <c r="W2917" s="7">
        <f>($B$22*I2917^4+$C$22*I2917^3+$D$22*I2917^2+$E$22*I2917+$F$22)/2</f>
      </c>
      <c r="X2917" s="7">
        <f>($W2917)*(T2917)</f>
      </c>
      <c r="Y2917" s="7">
        <f>($W2917)*(U2917)</f>
      </c>
      <c r="Z2917" s="7">
        <f>SQRT(X2917^2+Y2917^2)</f>
      </c>
      <c r="AA2917" s="7">
        <f>$K2917+$X2917</f>
      </c>
      <c r="AB2917" s="7">
        <f>$L2917+$Y2917</f>
      </c>
      <c r="AC2917" s="7">
        <f>$K2917-$X2917</f>
      </c>
      <c r="AD2917" s="7">
        <f>$L2917-$Y2917</f>
      </c>
      <c r="AE2917" s="7">
        <f>AA2917/39.3701</f>
      </c>
      <c r="AF2917" s="7">
        <f>AB2917/39.3701</f>
      </c>
      <c r="AG2917" s="7">
        <f>AC2917/39.3701</f>
      </c>
      <c r="AH2917" s="7">
        <f>AD2917/39.3701</f>
      </c>
      <c r="AI2917" s="1"/>
      <c r="AJ2917" s="1"/>
      <c r="AK2917" s="1"/>
      <c r="AL2917" s="1"/>
      <c r="AM2917" s="2"/>
      <c r="AN2917" s="1"/>
      <c r="AO2917" s="1"/>
      <c r="AP2917" s="1"/>
      <c r="AQ2917" s="1"/>
      <c r="AR2917" s="1"/>
      <c r="AS2917" s="1"/>
      <c r="AT2917" s="1"/>
      <c r="AU2917" s="1"/>
      <c r="AV2917" s="1"/>
      <c r="AW2917" s="1"/>
      <c r="AX2917" s="1"/>
      <c r="AY2917" s="1"/>
      <c r="AZ2917" s="1"/>
      <c r="BA2917" s="1"/>
      <c r="BB2917" s="1"/>
      <c r="BC2917" s="1"/>
      <c r="BD2917" s="1"/>
      <c r="BE2917" s="1"/>
    </row>
    <row x14ac:dyDescent="0.25" r="2918" customHeight="1" ht="18.75">
      <c r="A2918" s="1"/>
      <c r="B2918" s="2"/>
      <c r="C2918" s="2"/>
      <c r="D2918" s="2"/>
      <c r="E2918" s="2"/>
      <c r="F2918" s="2"/>
      <c r="G2918" s="1"/>
      <c r="H2918" s="1"/>
      <c r="I2918" s="7">
        <v>2.915</v>
      </c>
      <c r="J2918" s="7">
        <f>IF((I2918-ROUNDDOWN(I2918,0))=0, 0, (I2918-ROUNDDOWN(I2918,0)))</f>
      </c>
      <c r="K2918" s="7">
        <f>INDIRECT("C$"&amp;2+MIN(2,ROUNDDOWN(I2918,0))*3)*(-$J2918^3+3*$J2918^2-3*$J2918+1)+INDIRECT("C$"&amp;3+MIN(2,ROUNDDOWN(I2918,0))*3)*(3*$J2918^3-6*$J2918^2+3*$J2918)+INDIRECT("C$"&amp;4+MIN(2,ROUNDDOWN(I2918,0))*3)*(-3*$J2918^3+3*$J2918^2)+INDIRECT("C$"&amp;5+MIN(2,ROUNDDOWN(I2918,0))*3)*$J2918^3</f>
      </c>
      <c r="L2918" s="7">
        <f>INDIRECT("D$"&amp;2+MIN(2,ROUNDDOWN(I2918,0))*3)*(-$J2918^3+3*$J2918^2-3*$J2918+1)+INDIRECT("D$"&amp;3+MIN(2,ROUNDDOWN(I2918,0))*3)*(3*$J2918^3-6*$J2918^2+3*$J2918)+INDIRECT("D$"&amp;4+MIN(2,ROUNDDOWN(I2918,0))*3)*(-3*$J2918^3+3*$J2918^2)+INDIRECT("D$"&amp;5+MIN(2,ROUNDDOWN(I2918,0))*3)*$J2918^3</f>
      </c>
      <c r="M2918" s="7">
        <f>SQRT(K2918^2+L2918^2)</f>
      </c>
      <c r="N2918" s="7">
        <f>(K2919-K2917)</f>
      </c>
      <c r="O2918" s="7">
        <f>+(L2919-L2917)</f>
      </c>
      <c r="P2918" s="7">
        <f>SQRT(O2918^2+N2918^2)</f>
      </c>
      <c r="Q2918" s="7">
        <f>N2918/$P2918</f>
      </c>
      <c r="R2918" s="7">
        <f>O2918/$P2918</f>
      </c>
      <c r="S2918" s="8">
        <f>Q2918^2+R2918^2</f>
      </c>
      <c r="T2918" s="7">
        <f>-R2918</f>
      </c>
      <c r="U2918" s="7">
        <f>Q2918</f>
      </c>
      <c r="V2918" s="7">
        <f>($C$14+($C$15-$C$14)/($D$15-$D$14)*(I2918-$D$14))/2</f>
      </c>
      <c r="W2918" s="7">
        <f>($B$22*I2918^4+$C$22*I2918^3+$D$22*I2918^2+$E$22*I2918+$F$22)/2</f>
      </c>
      <c r="X2918" s="7">
        <f>($W2918)*(T2918)</f>
      </c>
      <c r="Y2918" s="7">
        <f>($W2918)*(U2918)</f>
      </c>
      <c r="Z2918" s="7">
        <f>SQRT(X2918^2+Y2918^2)</f>
      </c>
      <c r="AA2918" s="7">
        <f>$K2918+$X2918</f>
      </c>
      <c r="AB2918" s="7">
        <f>$L2918+$Y2918</f>
      </c>
      <c r="AC2918" s="7">
        <f>$K2918-$X2918</f>
      </c>
      <c r="AD2918" s="7">
        <f>$L2918-$Y2918</f>
      </c>
      <c r="AE2918" s="7">
        <f>AA2918/39.3701</f>
      </c>
      <c r="AF2918" s="7">
        <f>AB2918/39.3701</f>
      </c>
      <c r="AG2918" s="7">
        <f>AC2918/39.3701</f>
      </c>
      <c r="AH2918" s="7">
        <f>AD2918/39.3701</f>
      </c>
      <c r="AI2918" s="1"/>
      <c r="AJ2918" s="1"/>
      <c r="AK2918" s="1"/>
      <c r="AL2918" s="1"/>
      <c r="AM2918" s="2"/>
      <c r="AN2918" s="1"/>
      <c r="AO2918" s="1"/>
      <c r="AP2918" s="1"/>
      <c r="AQ2918" s="1"/>
      <c r="AR2918" s="1"/>
      <c r="AS2918" s="1"/>
      <c r="AT2918" s="1"/>
      <c r="AU2918" s="1"/>
      <c r="AV2918" s="1"/>
      <c r="AW2918" s="1"/>
      <c r="AX2918" s="1"/>
      <c r="AY2918" s="1"/>
      <c r="AZ2918" s="1"/>
      <c r="BA2918" s="1"/>
      <c r="BB2918" s="1"/>
      <c r="BC2918" s="1"/>
      <c r="BD2918" s="1"/>
      <c r="BE2918" s="1"/>
    </row>
    <row x14ac:dyDescent="0.25" r="2919" customHeight="1" ht="18.75">
      <c r="A2919" s="1"/>
      <c r="B2919" s="2"/>
      <c r="C2919" s="2"/>
      <c r="D2919" s="2"/>
      <c r="E2919" s="2"/>
      <c r="F2919" s="2"/>
      <c r="G2919" s="1"/>
      <c r="H2919" s="1"/>
      <c r="I2919" s="7">
        <v>2.916</v>
      </c>
      <c r="J2919" s="7">
        <f>IF((I2919-ROUNDDOWN(I2919,0))=0, 0, (I2919-ROUNDDOWN(I2919,0)))</f>
      </c>
      <c r="K2919" s="7">
        <f>INDIRECT("C$"&amp;2+MIN(2,ROUNDDOWN(I2919,0))*3)*(-$J2919^3+3*$J2919^2-3*$J2919+1)+INDIRECT("C$"&amp;3+MIN(2,ROUNDDOWN(I2919,0))*3)*(3*$J2919^3-6*$J2919^2+3*$J2919)+INDIRECT("C$"&amp;4+MIN(2,ROUNDDOWN(I2919,0))*3)*(-3*$J2919^3+3*$J2919^2)+INDIRECT("C$"&amp;5+MIN(2,ROUNDDOWN(I2919,0))*3)*$J2919^3</f>
      </c>
      <c r="L2919" s="7">
        <f>INDIRECT("D$"&amp;2+MIN(2,ROUNDDOWN(I2919,0))*3)*(-$J2919^3+3*$J2919^2-3*$J2919+1)+INDIRECT("D$"&amp;3+MIN(2,ROUNDDOWN(I2919,0))*3)*(3*$J2919^3-6*$J2919^2+3*$J2919)+INDIRECT("D$"&amp;4+MIN(2,ROUNDDOWN(I2919,0))*3)*(-3*$J2919^3+3*$J2919^2)+INDIRECT("D$"&amp;5+MIN(2,ROUNDDOWN(I2919,0))*3)*$J2919^3</f>
      </c>
      <c r="M2919" s="7">
        <f>SQRT(K2919^2+L2919^2)</f>
      </c>
      <c r="N2919" s="7">
        <f>(K2920-K2918)</f>
      </c>
      <c r="O2919" s="7">
        <f>+(L2920-L2918)</f>
      </c>
      <c r="P2919" s="7">
        <f>SQRT(O2919^2+N2919^2)</f>
      </c>
      <c r="Q2919" s="7">
        <f>N2919/$P2919</f>
      </c>
      <c r="R2919" s="7">
        <f>O2919/$P2919</f>
      </c>
      <c r="S2919" s="7">
        <f>Q2919^2+R2919^2</f>
      </c>
      <c r="T2919" s="7">
        <f>-R2919</f>
      </c>
      <c r="U2919" s="7">
        <f>Q2919</f>
      </c>
      <c r="V2919" s="7">
        <f>($C$14+($C$15-$C$14)/($D$15-$D$14)*(I2919-$D$14))/2</f>
      </c>
      <c r="W2919" s="7">
        <f>($B$22*I2919^4+$C$22*I2919^3+$D$22*I2919^2+$E$22*I2919+$F$22)/2</f>
      </c>
      <c r="X2919" s="7">
        <f>($W2919)*(T2919)</f>
      </c>
      <c r="Y2919" s="7">
        <f>($W2919)*(U2919)</f>
      </c>
      <c r="Z2919" s="7">
        <f>SQRT(X2919^2+Y2919^2)</f>
      </c>
      <c r="AA2919" s="7">
        <f>$K2919+$X2919</f>
      </c>
      <c r="AB2919" s="7">
        <f>$L2919+$Y2919</f>
      </c>
      <c r="AC2919" s="7">
        <f>$K2919-$X2919</f>
      </c>
      <c r="AD2919" s="7">
        <f>$L2919-$Y2919</f>
      </c>
      <c r="AE2919" s="7">
        <f>AA2919/39.3701</f>
      </c>
      <c r="AF2919" s="7">
        <f>AB2919/39.3701</f>
      </c>
      <c r="AG2919" s="7">
        <f>AC2919/39.3701</f>
      </c>
      <c r="AH2919" s="7">
        <f>AD2919/39.3701</f>
      </c>
      <c r="AI2919" s="1"/>
      <c r="AJ2919" s="1"/>
      <c r="AK2919" s="1"/>
      <c r="AL2919" s="1"/>
      <c r="AM2919" s="2"/>
      <c r="AN2919" s="1"/>
      <c r="AO2919" s="1"/>
      <c r="AP2919" s="1"/>
      <c r="AQ2919" s="1"/>
      <c r="AR2919" s="1"/>
      <c r="AS2919" s="1"/>
      <c r="AT2919" s="1"/>
      <c r="AU2919" s="1"/>
      <c r="AV2919" s="1"/>
      <c r="AW2919" s="1"/>
      <c r="AX2919" s="1"/>
      <c r="AY2919" s="1"/>
      <c r="AZ2919" s="1"/>
      <c r="BA2919" s="1"/>
      <c r="BB2919" s="1"/>
      <c r="BC2919" s="1"/>
      <c r="BD2919" s="1"/>
      <c r="BE2919" s="1"/>
    </row>
    <row x14ac:dyDescent="0.25" r="2920" customHeight="1" ht="18.75">
      <c r="A2920" s="1"/>
      <c r="B2920" s="2"/>
      <c r="C2920" s="2"/>
      <c r="D2920" s="2"/>
      <c r="E2920" s="2"/>
      <c r="F2920" s="2"/>
      <c r="G2920" s="1"/>
      <c r="H2920" s="1"/>
      <c r="I2920" s="7">
        <v>2.917</v>
      </c>
      <c r="J2920" s="7">
        <f>IF((I2920-ROUNDDOWN(I2920,0))=0, 0, (I2920-ROUNDDOWN(I2920,0)))</f>
      </c>
      <c r="K2920" s="7">
        <f>INDIRECT("C$"&amp;2+MIN(2,ROUNDDOWN(I2920,0))*3)*(-$J2920^3+3*$J2920^2-3*$J2920+1)+INDIRECT("C$"&amp;3+MIN(2,ROUNDDOWN(I2920,0))*3)*(3*$J2920^3-6*$J2920^2+3*$J2920)+INDIRECT("C$"&amp;4+MIN(2,ROUNDDOWN(I2920,0))*3)*(-3*$J2920^3+3*$J2920^2)+INDIRECT("C$"&amp;5+MIN(2,ROUNDDOWN(I2920,0))*3)*$J2920^3</f>
      </c>
      <c r="L2920" s="7">
        <f>INDIRECT("D$"&amp;2+MIN(2,ROUNDDOWN(I2920,0))*3)*(-$J2920^3+3*$J2920^2-3*$J2920+1)+INDIRECT("D$"&amp;3+MIN(2,ROUNDDOWN(I2920,0))*3)*(3*$J2920^3-6*$J2920^2+3*$J2920)+INDIRECT("D$"&amp;4+MIN(2,ROUNDDOWN(I2920,0))*3)*(-3*$J2920^3+3*$J2920^2)+INDIRECT("D$"&amp;5+MIN(2,ROUNDDOWN(I2920,0))*3)*$J2920^3</f>
      </c>
      <c r="M2920" s="7">
        <f>SQRT(K2920^2+L2920^2)</f>
      </c>
      <c r="N2920" s="7">
        <f>(K2921-K2919)</f>
      </c>
      <c r="O2920" s="7">
        <f>+(L2921-L2919)</f>
      </c>
      <c r="P2920" s="7">
        <f>SQRT(O2920^2+N2920^2)</f>
      </c>
      <c r="Q2920" s="7">
        <f>N2920/$P2920</f>
      </c>
      <c r="R2920" s="7">
        <f>O2920/$P2920</f>
      </c>
      <c r="S2920" s="8">
        <f>Q2920^2+R2920^2</f>
      </c>
      <c r="T2920" s="7">
        <f>-R2920</f>
      </c>
      <c r="U2920" s="7">
        <f>Q2920</f>
      </c>
      <c r="V2920" s="7">
        <f>($C$14+($C$15-$C$14)/($D$15-$D$14)*(I2920-$D$14))/2</f>
      </c>
      <c r="W2920" s="7">
        <f>($B$22*I2920^4+$C$22*I2920^3+$D$22*I2920^2+$E$22*I2920+$F$22)/2</f>
      </c>
      <c r="X2920" s="7">
        <f>($W2920)*(T2920)</f>
      </c>
      <c r="Y2920" s="7">
        <f>($W2920)*(U2920)</f>
      </c>
      <c r="Z2920" s="7">
        <f>SQRT(X2920^2+Y2920^2)</f>
      </c>
      <c r="AA2920" s="7">
        <f>$K2920+$X2920</f>
      </c>
      <c r="AB2920" s="7">
        <f>$L2920+$Y2920</f>
      </c>
      <c r="AC2920" s="7">
        <f>$K2920-$X2920</f>
      </c>
      <c r="AD2920" s="7">
        <f>$L2920-$Y2920</f>
      </c>
      <c r="AE2920" s="7">
        <f>AA2920/39.3701</f>
      </c>
      <c r="AF2920" s="7">
        <f>AB2920/39.3701</f>
      </c>
      <c r="AG2920" s="7">
        <f>AC2920/39.3701</f>
      </c>
      <c r="AH2920" s="7">
        <f>AD2920/39.3701</f>
      </c>
      <c r="AI2920" s="1"/>
      <c r="AJ2920" s="1"/>
      <c r="AK2920" s="1"/>
      <c r="AL2920" s="1"/>
      <c r="AM2920" s="2"/>
      <c r="AN2920" s="1"/>
      <c r="AO2920" s="1"/>
      <c r="AP2920" s="1"/>
      <c r="AQ2920" s="1"/>
      <c r="AR2920" s="1"/>
      <c r="AS2920" s="1"/>
      <c r="AT2920" s="1"/>
      <c r="AU2920" s="1"/>
      <c r="AV2920" s="1"/>
      <c r="AW2920" s="1"/>
      <c r="AX2920" s="1"/>
      <c r="AY2920" s="1"/>
      <c r="AZ2920" s="1"/>
      <c r="BA2920" s="1"/>
      <c r="BB2920" s="1"/>
      <c r="BC2920" s="1"/>
      <c r="BD2920" s="1"/>
      <c r="BE2920" s="1"/>
    </row>
    <row x14ac:dyDescent="0.25" r="2921" customHeight="1" ht="18.75">
      <c r="A2921" s="1"/>
      <c r="B2921" s="2"/>
      <c r="C2921" s="2"/>
      <c r="D2921" s="2"/>
      <c r="E2921" s="2"/>
      <c r="F2921" s="2"/>
      <c r="G2921" s="1"/>
      <c r="H2921" s="1"/>
      <c r="I2921" s="7">
        <v>2.918</v>
      </c>
      <c r="J2921" s="7">
        <f>IF((I2921-ROUNDDOWN(I2921,0))=0, 0, (I2921-ROUNDDOWN(I2921,0)))</f>
      </c>
      <c r="K2921" s="7">
        <f>INDIRECT("C$"&amp;2+MIN(2,ROUNDDOWN(I2921,0))*3)*(-$J2921^3+3*$J2921^2-3*$J2921+1)+INDIRECT("C$"&amp;3+MIN(2,ROUNDDOWN(I2921,0))*3)*(3*$J2921^3-6*$J2921^2+3*$J2921)+INDIRECT("C$"&amp;4+MIN(2,ROUNDDOWN(I2921,0))*3)*(-3*$J2921^3+3*$J2921^2)+INDIRECT("C$"&amp;5+MIN(2,ROUNDDOWN(I2921,0))*3)*$J2921^3</f>
      </c>
      <c r="L2921" s="7">
        <f>INDIRECT("D$"&amp;2+MIN(2,ROUNDDOWN(I2921,0))*3)*(-$J2921^3+3*$J2921^2-3*$J2921+1)+INDIRECT("D$"&amp;3+MIN(2,ROUNDDOWN(I2921,0))*3)*(3*$J2921^3-6*$J2921^2+3*$J2921)+INDIRECT("D$"&amp;4+MIN(2,ROUNDDOWN(I2921,0))*3)*(-3*$J2921^3+3*$J2921^2)+INDIRECT("D$"&amp;5+MIN(2,ROUNDDOWN(I2921,0))*3)*$J2921^3</f>
      </c>
      <c r="M2921" s="7">
        <f>SQRT(K2921^2+L2921^2)</f>
      </c>
      <c r="N2921" s="7">
        <f>(K2922-K2920)</f>
      </c>
      <c r="O2921" s="7">
        <f>+(L2922-L2920)</f>
      </c>
      <c r="P2921" s="7">
        <f>SQRT(O2921^2+N2921^2)</f>
      </c>
      <c r="Q2921" s="7">
        <f>N2921/$P2921</f>
      </c>
      <c r="R2921" s="7">
        <f>O2921/$P2921</f>
      </c>
      <c r="S2921" s="7">
        <f>Q2921^2+R2921^2</f>
      </c>
      <c r="T2921" s="7">
        <f>-R2921</f>
      </c>
      <c r="U2921" s="7">
        <f>Q2921</f>
      </c>
      <c r="V2921" s="7">
        <f>($C$14+($C$15-$C$14)/($D$15-$D$14)*(I2921-$D$14))/2</f>
      </c>
      <c r="W2921" s="7">
        <f>($B$22*I2921^4+$C$22*I2921^3+$D$22*I2921^2+$E$22*I2921+$F$22)/2</f>
      </c>
      <c r="X2921" s="7">
        <f>($W2921)*(T2921)</f>
      </c>
      <c r="Y2921" s="7">
        <f>($W2921)*(U2921)</f>
      </c>
      <c r="Z2921" s="7">
        <f>SQRT(X2921^2+Y2921^2)</f>
      </c>
      <c r="AA2921" s="7">
        <f>$K2921+$X2921</f>
      </c>
      <c r="AB2921" s="7">
        <f>$L2921+$Y2921</f>
      </c>
      <c r="AC2921" s="7">
        <f>$K2921-$X2921</f>
      </c>
      <c r="AD2921" s="7">
        <f>$L2921-$Y2921</f>
      </c>
      <c r="AE2921" s="7">
        <f>AA2921/39.3701</f>
      </c>
      <c r="AF2921" s="7">
        <f>AB2921/39.3701</f>
      </c>
      <c r="AG2921" s="7">
        <f>AC2921/39.3701</f>
      </c>
      <c r="AH2921" s="7">
        <f>AD2921/39.3701</f>
      </c>
      <c r="AI2921" s="1"/>
      <c r="AJ2921" s="1"/>
      <c r="AK2921" s="1"/>
      <c r="AL2921" s="1"/>
      <c r="AM2921" s="2"/>
      <c r="AN2921" s="1"/>
      <c r="AO2921" s="1"/>
      <c r="AP2921" s="1"/>
      <c r="AQ2921" s="1"/>
      <c r="AR2921" s="1"/>
      <c r="AS2921" s="1"/>
      <c r="AT2921" s="1"/>
      <c r="AU2921" s="1"/>
      <c r="AV2921" s="1"/>
      <c r="AW2921" s="1"/>
      <c r="AX2921" s="1"/>
      <c r="AY2921" s="1"/>
      <c r="AZ2921" s="1"/>
      <c r="BA2921" s="1"/>
      <c r="BB2921" s="1"/>
      <c r="BC2921" s="1"/>
      <c r="BD2921" s="1"/>
      <c r="BE2921" s="1"/>
    </row>
    <row x14ac:dyDescent="0.25" r="2922" customHeight="1" ht="18.75">
      <c r="A2922" s="1"/>
      <c r="B2922" s="2"/>
      <c r="C2922" s="2"/>
      <c r="D2922" s="2"/>
      <c r="E2922" s="2"/>
      <c r="F2922" s="2"/>
      <c r="G2922" s="1"/>
      <c r="H2922" s="1"/>
      <c r="I2922" s="7">
        <v>2.919</v>
      </c>
      <c r="J2922" s="7">
        <f>IF((I2922-ROUNDDOWN(I2922,0))=0, 0, (I2922-ROUNDDOWN(I2922,0)))</f>
      </c>
      <c r="K2922" s="7">
        <f>INDIRECT("C$"&amp;2+MIN(2,ROUNDDOWN(I2922,0))*3)*(-$J2922^3+3*$J2922^2-3*$J2922+1)+INDIRECT("C$"&amp;3+MIN(2,ROUNDDOWN(I2922,0))*3)*(3*$J2922^3-6*$J2922^2+3*$J2922)+INDIRECT("C$"&amp;4+MIN(2,ROUNDDOWN(I2922,0))*3)*(-3*$J2922^3+3*$J2922^2)+INDIRECT("C$"&amp;5+MIN(2,ROUNDDOWN(I2922,0))*3)*$J2922^3</f>
      </c>
      <c r="L2922" s="7">
        <f>INDIRECT("D$"&amp;2+MIN(2,ROUNDDOWN(I2922,0))*3)*(-$J2922^3+3*$J2922^2-3*$J2922+1)+INDIRECT("D$"&amp;3+MIN(2,ROUNDDOWN(I2922,0))*3)*(3*$J2922^3-6*$J2922^2+3*$J2922)+INDIRECT("D$"&amp;4+MIN(2,ROUNDDOWN(I2922,0))*3)*(-3*$J2922^3+3*$J2922^2)+INDIRECT("D$"&amp;5+MIN(2,ROUNDDOWN(I2922,0))*3)*$J2922^3</f>
      </c>
      <c r="M2922" s="7">
        <f>SQRT(K2922^2+L2922^2)</f>
      </c>
      <c r="N2922" s="7">
        <f>(K2923-K2921)</f>
      </c>
      <c r="O2922" s="7">
        <f>+(L2923-L2921)</f>
      </c>
      <c r="P2922" s="7">
        <f>SQRT(O2922^2+N2922^2)</f>
      </c>
      <c r="Q2922" s="7">
        <f>N2922/$P2922</f>
      </c>
      <c r="R2922" s="7">
        <f>O2922/$P2922</f>
      </c>
      <c r="S2922" s="7">
        <f>Q2922^2+R2922^2</f>
      </c>
      <c r="T2922" s="7">
        <f>-R2922</f>
      </c>
      <c r="U2922" s="7">
        <f>Q2922</f>
      </c>
      <c r="V2922" s="7">
        <f>($C$14+($C$15-$C$14)/($D$15-$D$14)*(I2922-$D$14))/2</f>
      </c>
      <c r="W2922" s="7">
        <f>($B$22*I2922^4+$C$22*I2922^3+$D$22*I2922^2+$E$22*I2922+$F$22)/2</f>
      </c>
      <c r="X2922" s="7">
        <f>($W2922)*(T2922)</f>
      </c>
      <c r="Y2922" s="7">
        <f>($W2922)*(U2922)</f>
      </c>
      <c r="Z2922" s="7">
        <f>SQRT(X2922^2+Y2922^2)</f>
      </c>
      <c r="AA2922" s="7">
        <f>$K2922+$X2922</f>
      </c>
      <c r="AB2922" s="7">
        <f>$L2922+$Y2922</f>
      </c>
      <c r="AC2922" s="7">
        <f>$K2922-$X2922</f>
      </c>
      <c r="AD2922" s="7">
        <f>$L2922-$Y2922</f>
      </c>
      <c r="AE2922" s="7">
        <f>AA2922/39.3701</f>
      </c>
      <c r="AF2922" s="7">
        <f>AB2922/39.3701</f>
      </c>
      <c r="AG2922" s="7">
        <f>AC2922/39.3701</f>
      </c>
      <c r="AH2922" s="7">
        <f>AD2922/39.3701</f>
      </c>
      <c r="AI2922" s="1"/>
      <c r="AJ2922" s="1"/>
      <c r="AK2922" s="1"/>
      <c r="AL2922" s="1"/>
      <c r="AM2922" s="2"/>
      <c r="AN2922" s="1"/>
      <c r="AO2922" s="1"/>
      <c r="AP2922" s="1"/>
      <c r="AQ2922" s="1"/>
      <c r="AR2922" s="1"/>
      <c r="AS2922" s="1"/>
      <c r="AT2922" s="1"/>
      <c r="AU2922" s="1"/>
      <c r="AV2922" s="1"/>
      <c r="AW2922" s="1"/>
      <c r="AX2922" s="1"/>
      <c r="AY2922" s="1"/>
      <c r="AZ2922" s="1"/>
      <c r="BA2922" s="1"/>
      <c r="BB2922" s="1"/>
      <c r="BC2922" s="1"/>
      <c r="BD2922" s="1"/>
      <c r="BE2922" s="1"/>
    </row>
    <row x14ac:dyDescent="0.25" r="2923" customHeight="1" ht="18.75">
      <c r="A2923" s="1"/>
      <c r="B2923" s="2"/>
      <c r="C2923" s="2"/>
      <c r="D2923" s="2"/>
      <c r="E2923" s="2"/>
      <c r="F2923" s="2"/>
      <c r="G2923" s="1"/>
      <c r="H2923" s="1"/>
      <c r="I2923" s="7">
        <v>2.92</v>
      </c>
      <c r="J2923" s="7">
        <f>IF((I2923-ROUNDDOWN(I2923,0))=0, 0, (I2923-ROUNDDOWN(I2923,0)))</f>
      </c>
      <c r="K2923" s="7">
        <f>INDIRECT("C$"&amp;2+MIN(2,ROUNDDOWN(I2923,0))*3)*(-$J2923^3+3*$J2923^2-3*$J2923+1)+INDIRECT("C$"&amp;3+MIN(2,ROUNDDOWN(I2923,0))*3)*(3*$J2923^3-6*$J2923^2+3*$J2923)+INDIRECT("C$"&amp;4+MIN(2,ROUNDDOWN(I2923,0))*3)*(-3*$J2923^3+3*$J2923^2)+INDIRECT("C$"&amp;5+MIN(2,ROUNDDOWN(I2923,0))*3)*$J2923^3</f>
      </c>
      <c r="L2923" s="7">
        <f>INDIRECT("D$"&amp;2+MIN(2,ROUNDDOWN(I2923,0))*3)*(-$J2923^3+3*$J2923^2-3*$J2923+1)+INDIRECT("D$"&amp;3+MIN(2,ROUNDDOWN(I2923,0))*3)*(3*$J2923^3-6*$J2923^2+3*$J2923)+INDIRECT("D$"&amp;4+MIN(2,ROUNDDOWN(I2923,0))*3)*(-3*$J2923^3+3*$J2923^2)+INDIRECT("D$"&amp;5+MIN(2,ROUNDDOWN(I2923,0))*3)*$J2923^3</f>
      </c>
      <c r="M2923" s="7">
        <f>SQRT(K2923^2+L2923^2)</f>
      </c>
      <c r="N2923" s="7">
        <f>(K2924-K2922)</f>
      </c>
      <c r="O2923" s="7">
        <f>+(L2924-L2922)</f>
      </c>
      <c r="P2923" s="7">
        <f>SQRT(O2923^2+N2923^2)</f>
      </c>
      <c r="Q2923" s="7">
        <f>N2923/$P2923</f>
      </c>
      <c r="R2923" s="7">
        <f>O2923/$P2923</f>
      </c>
      <c r="S2923" s="7">
        <f>Q2923^2+R2923^2</f>
      </c>
      <c r="T2923" s="7">
        <f>-R2923</f>
      </c>
      <c r="U2923" s="7">
        <f>Q2923</f>
      </c>
      <c r="V2923" s="7">
        <f>($C$14+($C$15-$C$14)/($D$15-$D$14)*(I2923-$D$14))/2</f>
      </c>
      <c r="W2923" s="7">
        <f>($B$22*I2923^4+$C$22*I2923^3+$D$22*I2923^2+$E$22*I2923+$F$22)/2</f>
      </c>
      <c r="X2923" s="7">
        <f>($W2923)*(T2923)</f>
      </c>
      <c r="Y2923" s="7">
        <f>($W2923)*(U2923)</f>
      </c>
      <c r="Z2923" s="7">
        <f>SQRT(X2923^2+Y2923^2)</f>
      </c>
      <c r="AA2923" s="7">
        <f>$K2923+$X2923</f>
      </c>
      <c r="AB2923" s="7">
        <f>$L2923+$Y2923</f>
      </c>
      <c r="AC2923" s="7">
        <f>$K2923-$X2923</f>
      </c>
      <c r="AD2923" s="7">
        <f>$L2923-$Y2923</f>
      </c>
      <c r="AE2923" s="7">
        <f>AA2923/39.3701</f>
      </c>
      <c r="AF2923" s="7">
        <f>AB2923/39.3701</f>
      </c>
      <c r="AG2923" s="7">
        <f>AC2923/39.3701</f>
      </c>
      <c r="AH2923" s="7">
        <f>AD2923/39.3701</f>
      </c>
      <c r="AI2923" s="1"/>
      <c r="AJ2923" s="1"/>
      <c r="AK2923" s="1"/>
      <c r="AL2923" s="1"/>
      <c r="AM2923" s="2"/>
      <c r="AN2923" s="1"/>
      <c r="AO2923" s="1"/>
      <c r="AP2923" s="1"/>
      <c r="AQ2923" s="1"/>
      <c r="AR2923" s="1"/>
      <c r="AS2923" s="1"/>
      <c r="AT2923" s="1"/>
      <c r="AU2923" s="1"/>
      <c r="AV2923" s="1"/>
      <c r="AW2923" s="1"/>
      <c r="AX2923" s="1"/>
      <c r="AY2923" s="1"/>
      <c r="AZ2923" s="1"/>
      <c r="BA2923" s="1"/>
      <c r="BB2923" s="1"/>
      <c r="BC2923" s="1"/>
      <c r="BD2923" s="1"/>
      <c r="BE2923" s="1"/>
    </row>
    <row x14ac:dyDescent="0.25" r="2924" customHeight="1" ht="18.75">
      <c r="A2924" s="1"/>
      <c r="B2924" s="2"/>
      <c r="C2924" s="2"/>
      <c r="D2924" s="2"/>
      <c r="E2924" s="2"/>
      <c r="F2924" s="2"/>
      <c r="G2924" s="1"/>
      <c r="H2924" s="1"/>
      <c r="I2924" s="7">
        <v>2.921</v>
      </c>
      <c r="J2924" s="7">
        <f>IF((I2924-ROUNDDOWN(I2924,0))=0, 0, (I2924-ROUNDDOWN(I2924,0)))</f>
      </c>
      <c r="K2924" s="7">
        <f>INDIRECT("C$"&amp;2+MIN(2,ROUNDDOWN(I2924,0))*3)*(-$J2924^3+3*$J2924^2-3*$J2924+1)+INDIRECT("C$"&amp;3+MIN(2,ROUNDDOWN(I2924,0))*3)*(3*$J2924^3-6*$J2924^2+3*$J2924)+INDIRECT("C$"&amp;4+MIN(2,ROUNDDOWN(I2924,0))*3)*(-3*$J2924^3+3*$J2924^2)+INDIRECT("C$"&amp;5+MIN(2,ROUNDDOWN(I2924,0))*3)*$J2924^3</f>
      </c>
      <c r="L2924" s="7">
        <f>INDIRECT("D$"&amp;2+MIN(2,ROUNDDOWN(I2924,0))*3)*(-$J2924^3+3*$J2924^2-3*$J2924+1)+INDIRECT("D$"&amp;3+MIN(2,ROUNDDOWN(I2924,0))*3)*(3*$J2924^3-6*$J2924^2+3*$J2924)+INDIRECT("D$"&amp;4+MIN(2,ROUNDDOWN(I2924,0))*3)*(-3*$J2924^3+3*$J2924^2)+INDIRECT("D$"&amp;5+MIN(2,ROUNDDOWN(I2924,0))*3)*$J2924^3</f>
      </c>
      <c r="M2924" s="7">
        <f>SQRT(K2924^2+L2924^2)</f>
      </c>
      <c r="N2924" s="7">
        <f>(K2925-K2923)</f>
      </c>
      <c r="O2924" s="7">
        <f>+(L2925-L2923)</f>
      </c>
      <c r="P2924" s="7">
        <f>SQRT(O2924^2+N2924^2)</f>
      </c>
      <c r="Q2924" s="7">
        <f>N2924/$P2924</f>
      </c>
      <c r="R2924" s="7">
        <f>O2924/$P2924</f>
      </c>
      <c r="S2924" s="7">
        <f>Q2924^2+R2924^2</f>
      </c>
      <c r="T2924" s="7">
        <f>-R2924</f>
      </c>
      <c r="U2924" s="7">
        <f>Q2924</f>
      </c>
      <c r="V2924" s="7">
        <f>($C$14+($C$15-$C$14)/($D$15-$D$14)*(I2924-$D$14))/2</f>
      </c>
      <c r="W2924" s="7">
        <f>($B$22*I2924^4+$C$22*I2924^3+$D$22*I2924^2+$E$22*I2924+$F$22)/2</f>
      </c>
      <c r="X2924" s="7">
        <f>($W2924)*(T2924)</f>
      </c>
      <c r="Y2924" s="7">
        <f>($W2924)*(U2924)</f>
      </c>
      <c r="Z2924" s="7">
        <f>SQRT(X2924^2+Y2924^2)</f>
      </c>
      <c r="AA2924" s="7">
        <f>$K2924+$X2924</f>
      </c>
      <c r="AB2924" s="7">
        <f>$L2924+$Y2924</f>
      </c>
      <c r="AC2924" s="7">
        <f>$K2924-$X2924</f>
      </c>
      <c r="AD2924" s="7">
        <f>$L2924-$Y2924</f>
      </c>
      <c r="AE2924" s="7">
        <f>AA2924/39.3701</f>
      </c>
      <c r="AF2924" s="7">
        <f>AB2924/39.3701</f>
      </c>
      <c r="AG2924" s="7">
        <f>AC2924/39.3701</f>
      </c>
      <c r="AH2924" s="7">
        <f>AD2924/39.3701</f>
      </c>
      <c r="AI2924" s="1"/>
      <c r="AJ2924" s="1"/>
      <c r="AK2924" s="1"/>
      <c r="AL2924" s="1"/>
      <c r="AM2924" s="2"/>
      <c r="AN2924" s="1"/>
      <c r="AO2924" s="1"/>
      <c r="AP2924" s="1"/>
      <c r="AQ2924" s="1"/>
      <c r="AR2924" s="1"/>
      <c r="AS2924" s="1"/>
      <c r="AT2924" s="1"/>
      <c r="AU2924" s="1"/>
      <c r="AV2924" s="1"/>
      <c r="AW2924" s="1"/>
      <c r="AX2924" s="1"/>
      <c r="AY2924" s="1"/>
      <c r="AZ2924" s="1"/>
      <c r="BA2924" s="1"/>
      <c r="BB2924" s="1"/>
      <c r="BC2924" s="1"/>
      <c r="BD2924" s="1"/>
      <c r="BE2924" s="1"/>
    </row>
    <row x14ac:dyDescent="0.25" r="2925" customHeight="1" ht="18.75">
      <c r="A2925" s="1"/>
      <c r="B2925" s="2"/>
      <c r="C2925" s="2"/>
      <c r="D2925" s="2"/>
      <c r="E2925" s="2"/>
      <c r="F2925" s="2"/>
      <c r="G2925" s="1"/>
      <c r="H2925" s="1"/>
      <c r="I2925" s="7">
        <v>2.922</v>
      </c>
      <c r="J2925" s="7">
        <f>IF((I2925-ROUNDDOWN(I2925,0))=0, 0, (I2925-ROUNDDOWN(I2925,0)))</f>
      </c>
      <c r="K2925" s="7">
        <f>INDIRECT("C$"&amp;2+MIN(2,ROUNDDOWN(I2925,0))*3)*(-$J2925^3+3*$J2925^2-3*$J2925+1)+INDIRECT("C$"&amp;3+MIN(2,ROUNDDOWN(I2925,0))*3)*(3*$J2925^3-6*$J2925^2+3*$J2925)+INDIRECT("C$"&amp;4+MIN(2,ROUNDDOWN(I2925,0))*3)*(-3*$J2925^3+3*$J2925^2)+INDIRECT("C$"&amp;5+MIN(2,ROUNDDOWN(I2925,0))*3)*$J2925^3</f>
      </c>
      <c r="L2925" s="7">
        <f>INDIRECT("D$"&amp;2+MIN(2,ROUNDDOWN(I2925,0))*3)*(-$J2925^3+3*$J2925^2-3*$J2925+1)+INDIRECT("D$"&amp;3+MIN(2,ROUNDDOWN(I2925,0))*3)*(3*$J2925^3-6*$J2925^2+3*$J2925)+INDIRECT("D$"&amp;4+MIN(2,ROUNDDOWN(I2925,0))*3)*(-3*$J2925^3+3*$J2925^2)+INDIRECT("D$"&amp;5+MIN(2,ROUNDDOWN(I2925,0))*3)*$J2925^3</f>
      </c>
      <c r="M2925" s="7">
        <f>SQRT(K2925^2+L2925^2)</f>
      </c>
      <c r="N2925" s="7">
        <f>(K2926-K2924)</f>
      </c>
      <c r="O2925" s="7">
        <f>+(L2926-L2924)</f>
      </c>
      <c r="P2925" s="7">
        <f>SQRT(O2925^2+N2925^2)</f>
      </c>
      <c r="Q2925" s="7">
        <f>N2925/$P2925</f>
      </c>
      <c r="R2925" s="7">
        <f>O2925/$P2925</f>
      </c>
      <c r="S2925" s="7">
        <f>Q2925^2+R2925^2</f>
      </c>
      <c r="T2925" s="7">
        <f>-R2925</f>
      </c>
      <c r="U2925" s="7">
        <f>Q2925</f>
      </c>
      <c r="V2925" s="7">
        <f>($C$14+($C$15-$C$14)/($D$15-$D$14)*(I2925-$D$14))/2</f>
      </c>
      <c r="W2925" s="7">
        <f>($B$22*I2925^4+$C$22*I2925^3+$D$22*I2925^2+$E$22*I2925+$F$22)/2</f>
      </c>
      <c r="X2925" s="7">
        <f>($W2925)*(T2925)</f>
      </c>
      <c r="Y2925" s="7">
        <f>($W2925)*(U2925)</f>
      </c>
      <c r="Z2925" s="7">
        <f>SQRT(X2925^2+Y2925^2)</f>
      </c>
      <c r="AA2925" s="7">
        <f>$K2925+$X2925</f>
      </c>
      <c r="AB2925" s="7">
        <f>$L2925+$Y2925</f>
      </c>
      <c r="AC2925" s="7">
        <f>$K2925-$X2925</f>
      </c>
      <c r="AD2925" s="7">
        <f>$L2925-$Y2925</f>
      </c>
      <c r="AE2925" s="7">
        <f>AA2925/39.3701</f>
      </c>
      <c r="AF2925" s="7">
        <f>AB2925/39.3701</f>
      </c>
      <c r="AG2925" s="7">
        <f>AC2925/39.3701</f>
      </c>
      <c r="AH2925" s="7">
        <f>AD2925/39.3701</f>
      </c>
      <c r="AI2925" s="1"/>
      <c r="AJ2925" s="1"/>
      <c r="AK2925" s="1"/>
      <c r="AL2925" s="1"/>
      <c r="AM2925" s="2"/>
      <c r="AN2925" s="1"/>
      <c r="AO2925" s="1"/>
      <c r="AP2925" s="1"/>
      <c r="AQ2925" s="1"/>
      <c r="AR2925" s="1"/>
      <c r="AS2925" s="1"/>
      <c r="AT2925" s="1"/>
      <c r="AU2925" s="1"/>
      <c r="AV2925" s="1"/>
      <c r="AW2925" s="1"/>
      <c r="AX2925" s="1"/>
      <c r="AY2925" s="1"/>
      <c r="AZ2925" s="1"/>
      <c r="BA2925" s="1"/>
      <c r="BB2925" s="1"/>
      <c r="BC2925" s="1"/>
      <c r="BD2925" s="1"/>
      <c r="BE2925" s="1"/>
    </row>
    <row x14ac:dyDescent="0.25" r="2926" customHeight="1" ht="18.75">
      <c r="A2926" s="1"/>
      <c r="B2926" s="2"/>
      <c r="C2926" s="2"/>
      <c r="D2926" s="2"/>
      <c r="E2926" s="2"/>
      <c r="F2926" s="2"/>
      <c r="G2926" s="1"/>
      <c r="H2926" s="1"/>
      <c r="I2926" s="7">
        <v>2.923</v>
      </c>
      <c r="J2926" s="7">
        <f>IF((I2926-ROUNDDOWN(I2926,0))=0, 0, (I2926-ROUNDDOWN(I2926,0)))</f>
      </c>
      <c r="K2926" s="7">
        <f>INDIRECT("C$"&amp;2+MIN(2,ROUNDDOWN(I2926,0))*3)*(-$J2926^3+3*$J2926^2-3*$J2926+1)+INDIRECT("C$"&amp;3+MIN(2,ROUNDDOWN(I2926,0))*3)*(3*$J2926^3-6*$J2926^2+3*$J2926)+INDIRECT("C$"&amp;4+MIN(2,ROUNDDOWN(I2926,0))*3)*(-3*$J2926^3+3*$J2926^2)+INDIRECT("C$"&amp;5+MIN(2,ROUNDDOWN(I2926,0))*3)*$J2926^3</f>
      </c>
      <c r="L2926" s="7">
        <f>INDIRECT("D$"&amp;2+MIN(2,ROUNDDOWN(I2926,0))*3)*(-$J2926^3+3*$J2926^2-3*$J2926+1)+INDIRECT("D$"&amp;3+MIN(2,ROUNDDOWN(I2926,0))*3)*(3*$J2926^3-6*$J2926^2+3*$J2926)+INDIRECT("D$"&amp;4+MIN(2,ROUNDDOWN(I2926,0))*3)*(-3*$J2926^3+3*$J2926^2)+INDIRECT("D$"&amp;5+MIN(2,ROUNDDOWN(I2926,0))*3)*$J2926^3</f>
      </c>
      <c r="M2926" s="7">
        <f>SQRT(K2926^2+L2926^2)</f>
      </c>
      <c r="N2926" s="7">
        <f>(K2927-K2925)</f>
      </c>
      <c r="O2926" s="7">
        <f>+(L2927-L2925)</f>
      </c>
      <c r="P2926" s="7">
        <f>SQRT(O2926^2+N2926^2)</f>
      </c>
      <c r="Q2926" s="7">
        <f>N2926/$P2926</f>
      </c>
      <c r="R2926" s="7">
        <f>O2926/$P2926</f>
      </c>
      <c r="S2926" s="8">
        <f>Q2926^2+R2926^2</f>
      </c>
      <c r="T2926" s="7">
        <f>-R2926</f>
      </c>
      <c r="U2926" s="7">
        <f>Q2926</f>
      </c>
      <c r="V2926" s="7">
        <f>($C$14+($C$15-$C$14)/($D$15-$D$14)*(I2926-$D$14))/2</f>
      </c>
      <c r="W2926" s="7">
        <f>($B$22*I2926^4+$C$22*I2926^3+$D$22*I2926^2+$E$22*I2926+$F$22)/2</f>
      </c>
      <c r="X2926" s="7">
        <f>($W2926)*(T2926)</f>
      </c>
      <c r="Y2926" s="7">
        <f>($W2926)*(U2926)</f>
      </c>
      <c r="Z2926" s="7">
        <f>SQRT(X2926^2+Y2926^2)</f>
      </c>
      <c r="AA2926" s="7">
        <f>$K2926+$X2926</f>
      </c>
      <c r="AB2926" s="7">
        <f>$L2926+$Y2926</f>
      </c>
      <c r="AC2926" s="7">
        <f>$K2926-$X2926</f>
      </c>
      <c r="AD2926" s="7">
        <f>$L2926-$Y2926</f>
      </c>
      <c r="AE2926" s="7">
        <f>AA2926/39.3701</f>
      </c>
      <c r="AF2926" s="7">
        <f>AB2926/39.3701</f>
      </c>
      <c r="AG2926" s="7">
        <f>AC2926/39.3701</f>
      </c>
      <c r="AH2926" s="7">
        <f>AD2926/39.3701</f>
      </c>
      <c r="AI2926" s="1"/>
      <c r="AJ2926" s="1"/>
      <c r="AK2926" s="1"/>
      <c r="AL2926" s="1"/>
      <c r="AM2926" s="2"/>
      <c r="AN2926" s="1"/>
      <c r="AO2926" s="1"/>
      <c r="AP2926" s="1"/>
      <c r="AQ2926" s="1"/>
      <c r="AR2926" s="1"/>
      <c r="AS2926" s="1"/>
      <c r="AT2926" s="1"/>
      <c r="AU2926" s="1"/>
      <c r="AV2926" s="1"/>
      <c r="AW2926" s="1"/>
      <c r="AX2926" s="1"/>
      <c r="AY2926" s="1"/>
      <c r="AZ2926" s="1"/>
      <c r="BA2926" s="1"/>
      <c r="BB2926" s="1"/>
      <c r="BC2926" s="1"/>
      <c r="BD2926" s="1"/>
      <c r="BE2926" s="1"/>
    </row>
    <row x14ac:dyDescent="0.25" r="2927" customHeight="1" ht="18.75">
      <c r="A2927" s="1"/>
      <c r="B2927" s="2"/>
      <c r="C2927" s="2"/>
      <c r="D2927" s="2"/>
      <c r="E2927" s="2"/>
      <c r="F2927" s="2"/>
      <c r="G2927" s="1"/>
      <c r="H2927" s="1"/>
      <c r="I2927" s="7">
        <v>2.924</v>
      </c>
      <c r="J2927" s="7">
        <f>IF((I2927-ROUNDDOWN(I2927,0))=0, 0, (I2927-ROUNDDOWN(I2927,0)))</f>
      </c>
      <c r="K2927" s="7">
        <f>INDIRECT("C$"&amp;2+MIN(2,ROUNDDOWN(I2927,0))*3)*(-$J2927^3+3*$J2927^2-3*$J2927+1)+INDIRECT("C$"&amp;3+MIN(2,ROUNDDOWN(I2927,0))*3)*(3*$J2927^3-6*$J2927^2+3*$J2927)+INDIRECT("C$"&amp;4+MIN(2,ROUNDDOWN(I2927,0))*3)*(-3*$J2927^3+3*$J2927^2)+INDIRECT("C$"&amp;5+MIN(2,ROUNDDOWN(I2927,0))*3)*$J2927^3</f>
      </c>
      <c r="L2927" s="7">
        <f>INDIRECT("D$"&amp;2+MIN(2,ROUNDDOWN(I2927,0))*3)*(-$J2927^3+3*$J2927^2-3*$J2927+1)+INDIRECT("D$"&amp;3+MIN(2,ROUNDDOWN(I2927,0))*3)*(3*$J2927^3-6*$J2927^2+3*$J2927)+INDIRECT("D$"&amp;4+MIN(2,ROUNDDOWN(I2927,0))*3)*(-3*$J2927^3+3*$J2927^2)+INDIRECT("D$"&amp;5+MIN(2,ROUNDDOWN(I2927,0))*3)*$J2927^3</f>
      </c>
      <c r="M2927" s="7">
        <f>SQRT(K2927^2+L2927^2)</f>
      </c>
      <c r="N2927" s="7">
        <f>(K2928-K2926)</f>
      </c>
      <c r="O2927" s="7">
        <f>+(L2928-L2926)</f>
      </c>
      <c r="P2927" s="7">
        <f>SQRT(O2927^2+N2927^2)</f>
      </c>
      <c r="Q2927" s="7">
        <f>N2927/$P2927</f>
      </c>
      <c r="R2927" s="7">
        <f>O2927/$P2927</f>
      </c>
      <c r="S2927" s="7">
        <f>Q2927^2+R2927^2</f>
      </c>
      <c r="T2927" s="7">
        <f>-R2927</f>
      </c>
      <c r="U2927" s="7">
        <f>Q2927</f>
      </c>
      <c r="V2927" s="7">
        <f>($C$14+($C$15-$C$14)/($D$15-$D$14)*(I2927-$D$14))/2</f>
      </c>
      <c r="W2927" s="7">
        <f>($B$22*I2927^4+$C$22*I2927^3+$D$22*I2927^2+$E$22*I2927+$F$22)/2</f>
      </c>
      <c r="X2927" s="7">
        <f>($W2927)*(T2927)</f>
      </c>
      <c r="Y2927" s="7">
        <f>($W2927)*(U2927)</f>
      </c>
      <c r="Z2927" s="7">
        <f>SQRT(X2927^2+Y2927^2)</f>
      </c>
      <c r="AA2927" s="7">
        <f>$K2927+$X2927</f>
      </c>
      <c r="AB2927" s="7">
        <f>$L2927+$Y2927</f>
      </c>
      <c r="AC2927" s="7">
        <f>$K2927-$X2927</f>
      </c>
      <c r="AD2927" s="7">
        <f>$L2927-$Y2927</f>
      </c>
      <c r="AE2927" s="7">
        <f>AA2927/39.3701</f>
      </c>
      <c r="AF2927" s="7">
        <f>AB2927/39.3701</f>
      </c>
      <c r="AG2927" s="7">
        <f>AC2927/39.3701</f>
      </c>
      <c r="AH2927" s="7">
        <f>AD2927/39.3701</f>
      </c>
      <c r="AI2927" s="1"/>
      <c r="AJ2927" s="1"/>
      <c r="AK2927" s="1"/>
      <c r="AL2927" s="1"/>
      <c r="AM2927" s="2"/>
      <c r="AN2927" s="1"/>
      <c r="AO2927" s="1"/>
      <c r="AP2927" s="1"/>
      <c r="AQ2927" s="1"/>
      <c r="AR2927" s="1"/>
      <c r="AS2927" s="1"/>
      <c r="AT2927" s="1"/>
      <c r="AU2927" s="1"/>
      <c r="AV2927" s="1"/>
      <c r="AW2927" s="1"/>
      <c r="AX2927" s="1"/>
      <c r="AY2927" s="1"/>
      <c r="AZ2927" s="1"/>
      <c r="BA2927" s="1"/>
      <c r="BB2927" s="1"/>
      <c r="BC2927" s="1"/>
      <c r="BD2927" s="1"/>
      <c r="BE2927" s="1"/>
    </row>
    <row x14ac:dyDescent="0.25" r="2928" customHeight="1" ht="18.75">
      <c r="A2928" s="1"/>
      <c r="B2928" s="2"/>
      <c r="C2928" s="2"/>
      <c r="D2928" s="2"/>
      <c r="E2928" s="2"/>
      <c r="F2928" s="2"/>
      <c r="G2928" s="1"/>
      <c r="H2928" s="1"/>
      <c r="I2928" s="7">
        <v>2.925</v>
      </c>
      <c r="J2928" s="7">
        <f>IF((I2928-ROUNDDOWN(I2928,0))=0, 0, (I2928-ROUNDDOWN(I2928,0)))</f>
      </c>
      <c r="K2928" s="7">
        <f>INDIRECT("C$"&amp;2+MIN(2,ROUNDDOWN(I2928,0))*3)*(-$J2928^3+3*$J2928^2-3*$J2928+1)+INDIRECT("C$"&amp;3+MIN(2,ROUNDDOWN(I2928,0))*3)*(3*$J2928^3-6*$J2928^2+3*$J2928)+INDIRECT("C$"&amp;4+MIN(2,ROUNDDOWN(I2928,0))*3)*(-3*$J2928^3+3*$J2928^2)+INDIRECT("C$"&amp;5+MIN(2,ROUNDDOWN(I2928,0))*3)*$J2928^3</f>
      </c>
      <c r="L2928" s="7">
        <f>INDIRECT("D$"&amp;2+MIN(2,ROUNDDOWN(I2928,0))*3)*(-$J2928^3+3*$J2928^2-3*$J2928+1)+INDIRECT("D$"&amp;3+MIN(2,ROUNDDOWN(I2928,0))*3)*(3*$J2928^3-6*$J2928^2+3*$J2928)+INDIRECT("D$"&amp;4+MIN(2,ROUNDDOWN(I2928,0))*3)*(-3*$J2928^3+3*$J2928^2)+INDIRECT("D$"&amp;5+MIN(2,ROUNDDOWN(I2928,0))*3)*$J2928^3</f>
      </c>
      <c r="M2928" s="7">
        <f>SQRT(K2928^2+L2928^2)</f>
      </c>
      <c r="N2928" s="7">
        <f>(K2929-K2927)</f>
      </c>
      <c r="O2928" s="7">
        <f>+(L2929-L2927)</f>
      </c>
      <c r="P2928" s="7">
        <f>SQRT(O2928^2+N2928^2)</f>
      </c>
      <c r="Q2928" s="7">
        <f>N2928/$P2928</f>
      </c>
      <c r="R2928" s="7">
        <f>O2928/$P2928</f>
      </c>
      <c r="S2928" s="8">
        <f>Q2928^2+R2928^2</f>
      </c>
      <c r="T2928" s="7">
        <f>-R2928</f>
      </c>
      <c r="U2928" s="7">
        <f>Q2928</f>
      </c>
      <c r="V2928" s="7">
        <f>($C$14+($C$15-$C$14)/($D$15-$D$14)*(I2928-$D$14))/2</f>
      </c>
      <c r="W2928" s="7">
        <f>($B$22*I2928^4+$C$22*I2928^3+$D$22*I2928^2+$E$22*I2928+$F$22)/2</f>
      </c>
      <c r="X2928" s="7">
        <f>($W2928)*(T2928)</f>
      </c>
      <c r="Y2928" s="7">
        <f>($W2928)*(U2928)</f>
      </c>
      <c r="Z2928" s="7">
        <f>SQRT(X2928^2+Y2928^2)</f>
      </c>
      <c r="AA2928" s="7">
        <f>$K2928+$X2928</f>
      </c>
      <c r="AB2928" s="7">
        <f>$L2928+$Y2928</f>
      </c>
      <c r="AC2928" s="7">
        <f>$K2928-$X2928</f>
      </c>
      <c r="AD2928" s="7">
        <f>$L2928-$Y2928</f>
      </c>
      <c r="AE2928" s="7">
        <f>AA2928/39.3701</f>
      </c>
      <c r="AF2928" s="7">
        <f>AB2928/39.3701</f>
      </c>
      <c r="AG2928" s="7">
        <f>AC2928/39.3701</f>
      </c>
      <c r="AH2928" s="7">
        <f>AD2928/39.3701</f>
      </c>
      <c r="AI2928" s="1"/>
      <c r="AJ2928" s="1"/>
      <c r="AK2928" s="1"/>
      <c r="AL2928" s="1"/>
      <c r="AM2928" s="2"/>
      <c r="AN2928" s="1"/>
      <c r="AO2928" s="1"/>
      <c r="AP2928" s="1"/>
      <c r="AQ2928" s="1"/>
      <c r="AR2928" s="1"/>
      <c r="AS2928" s="1"/>
      <c r="AT2928" s="1"/>
      <c r="AU2928" s="1"/>
      <c r="AV2928" s="1"/>
      <c r="AW2928" s="1"/>
      <c r="AX2928" s="1"/>
      <c r="AY2928" s="1"/>
      <c r="AZ2928" s="1"/>
      <c r="BA2928" s="1"/>
      <c r="BB2928" s="1"/>
      <c r="BC2928" s="1"/>
      <c r="BD2928" s="1"/>
      <c r="BE2928" s="1"/>
    </row>
    <row x14ac:dyDescent="0.25" r="2929" customHeight="1" ht="18.75">
      <c r="A2929" s="1"/>
      <c r="B2929" s="2"/>
      <c r="C2929" s="2"/>
      <c r="D2929" s="2"/>
      <c r="E2929" s="2"/>
      <c r="F2929" s="2"/>
      <c r="G2929" s="1"/>
      <c r="H2929" s="1"/>
      <c r="I2929" s="7">
        <v>2.926</v>
      </c>
      <c r="J2929" s="7">
        <f>IF((I2929-ROUNDDOWN(I2929,0))=0, 0, (I2929-ROUNDDOWN(I2929,0)))</f>
      </c>
      <c r="K2929" s="7">
        <f>INDIRECT("C$"&amp;2+MIN(2,ROUNDDOWN(I2929,0))*3)*(-$J2929^3+3*$J2929^2-3*$J2929+1)+INDIRECT("C$"&amp;3+MIN(2,ROUNDDOWN(I2929,0))*3)*(3*$J2929^3-6*$J2929^2+3*$J2929)+INDIRECT("C$"&amp;4+MIN(2,ROUNDDOWN(I2929,0))*3)*(-3*$J2929^3+3*$J2929^2)+INDIRECT("C$"&amp;5+MIN(2,ROUNDDOWN(I2929,0))*3)*$J2929^3</f>
      </c>
      <c r="L2929" s="7">
        <f>INDIRECT("D$"&amp;2+MIN(2,ROUNDDOWN(I2929,0))*3)*(-$J2929^3+3*$J2929^2-3*$J2929+1)+INDIRECT("D$"&amp;3+MIN(2,ROUNDDOWN(I2929,0))*3)*(3*$J2929^3-6*$J2929^2+3*$J2929)+INDIRECT("D$"&amp;4+MIN(2,ROUNDDOWN(I2929,0))*3)*(-3*$J2929^3+3*$J2929^2)+INDIRECT("D$"&amp;5+MIN(2,ROUNDDOWN(I2929,0))*3)*$J2929^3</f>
      </c>
      <c r="M2929" s="7">
        <f>SQRT(K2929^2+L2929^2)</f>
      </c>
      <c r="N2929" s="7">
        <f>(K2930-K2928)</f>
      </c>
      <c r="O2929" s="7">
        <f>+(L2930-L2928)</f>
      </c>
      <c r="P2929" s="7">
        <f>SQRT(O2929^2+N2929^2)</f>
      </c>
      <c r="Q2929" s="7">
        <f>N2929/$P2929</f>
      </c>
      <c r="R2929" s="7">
        <f>O2929/$P2929</f>
      </c>
      <c r="S2929" s="8">
        <f>Q2929^2+R2929^2</f>
      </c>
      <c r="T2929" s="7">
        <f>-R2929</f>
      </c>
      <c r="U2929" s="7">
        <f>Q2929</f>
      </c>
      <c r="V2929" s="7">
        <f>($C$14+($C$15-$C$14)/($D$15-$D$14)*(I2929-$D$14))/2</f>
      </c>
      <c r="W2929" s="7">
        <f>($B$22*I2929^4+$C$22*I2929^3+$D$22*I2929^2+$E$22*I2929+$F$22)/2</f>
      </c>
      <c r="X2929" s="7">
        <f>($W2929)*(T2929)</f>
      </c>
      <c r="Y2929" s="7">
        <f>($W2929)*(U2929)</f>
      </c>
      <c r="Z2929" s="7">
        <f>SQRT(X2929^2+Y2929^2)</f>
      </c>
      <c r="AA2929" s="7">
        <f>$K2929+$X2929</f>
      </c>
      <c r="AB2929" s="7">
        <f>$L2929+$Y2929</f>
      </c>
      <c r="AC2929" s="7">
        <f>$K2929-$X2929</f>
      </c>
      <c r="AD2929" s="7">
        <f>$L2929-$Y2929</f>
      </c>
      <c r="AE2929" s="7">
        <f>AA2929/39.3701</f>
      </c>
      <c r="AF2929" s="7">
        <f>AB2929/39.3701</f>
      </c>
      <c r="AG2929" s="7">
        <f>AC2929/39.3701</f>
      </c>
      <c r="AH2929" s="7">
        <f>AD2929/39.3701</f>
      </c>
      <c r="AI2929" s="1"/>
      <c r="AJ2929" s="1"/>
      <c r="AK2929" s="1"/>
      <c r="AL2929" s="1"/>
      <c r="AM2929" s="2"/>
      <c r="AN2929" s="1"/>
      <c r="AO2929" s="1"/>
      <c r="AP2929" s="1"/>
      <c r="AQ2929" s="1"/>
      <c r="AR2929" s="1"/>
      <c r="AS2929" s="1"/>
      <c r="AT2929" s="1"/>
      <c r="AU2929" s="1"/>
      <c r="AV2929" s="1"/>
      <c r="AW2929" s="1"/>
      <c r="AX2929" s="1"/>
      <c r="AY2929" s="1"/>
      <c r="AZ2929" s="1"/>
      <c r="BA2929" s="1"/>
      <c r="BB2929" s="1"/>
      <c r="BC2929" s="1"/>
      <c r="BD2929" s="1"/>
      <c r="BE2929" s="1"/>
    </row>
    <row x14ac:dyDescent="0.25" r="2930" customHeight="1" ht="18.75">
      <c r="A2930" s="1"/>
      <c r="B2930" s="2"/>
      <c r="C2930" s="2"/>
      <c r="D2930" s="2"/>
      <c r="E2930" s="2"/>
      <c r="F2930" s="2"/>
      <c r="G2930" s="1"/>
      <c r="H2930" s="1"/>
      <c r="I2930" s="7">
        <v>2.927</v>
      </c>
      <c r="J2930" s="7">
        <f>IF((I2930-ROUNDDOWN(I2930,0))=0, 0, (I2930-ROUNDDOWN(I2930,0)))</f>
      </c>
      <c r="K2930" s="7">
        <f>INDIRECT("C$"&amp;2+MIN(2,ROUNDDOWN(I2930,0))*3)*(-$J2930^3+3*$J2930^2-3*$J2930+1)+INDIRECT("C$"&amp;3+MIN(2,ROUNDDOWN(I2930,0))*3)*(3*$J2930^3-6*$J2930^2+3*$J2930)+INDIRECT("C$"&amp;4+MIN(2,ROUNDDOWN(I2930,0))*3)*(-3*$J2930^3+3*$J2930^2)+INDIRECT("C$"&amp;5+MIN(2,ROUNDDOWN(I2930,0))*3)*$J2930^3</f>
      </c>
      <c r="L2930" s="7">
        <f>INDIRECT("D$"&amp;2+MIN(2,ROUNDDOWN(I2930,0))*3)*(-$J2930^3+3*$J2930^2-3*$J2930+1)+INDIRECT("D$"&amp;3+MIN(2,ROUNDDOWN(I2930,0))*3)*(3*$J2930^3-6*$J2930^2+3*$J2930)+INDIRECT("D$"&amp;4+MIN(2,ROUNDDOWN(I2930,0))*3)*(-3*$J2930^3+3*$J2930^2)+INDIRECT("D$"&amp;5+MIN(2,ROUNDDOWN(I2930,0))*3)*$J2930^3</f>
      </c>
      <c r="M2930" s="7">
        <f>SQRT(K2930^2+L2930^2)</f>
      </c>
      <c r="N2930" s="7">
        <f>(K2931-K2929)</f>
      </c>
      <c r="O2930" s="7">
        <f>+(L2931-L2929)</f>
      </c>
      <c r="P2930" s="7">
        <f>SQRT(O2930^2+N2930^2)</f>
      </c>
      <c r="Q2930" s="7">
        <f>N2930/$P2930</f>
      </c>
      <c r="R2930" s="7">
        <f>O2930/$P2930</f>
      </c>
      <c r="S2930" s="8">
        <f>Q2930^2+R2930^2</f>
      </c>
      <c r="T2930" s="7">
        <f>-R2930</f>
      </c>
      <c r="U2930" s="7">
        <f>Q2930</f>
      </c>
      <c r="V2930" s="7">
        <f>($C$14+($C$15-$C$14)/($D$15-$D$14)*(I2930-$D$14))/2</f>
      </c>
      <c r="W2930" s="7">
        <f>($B$22*I2930^4+$C$22*I2930^3+$D$22*I2930^2+$E$22*I2930+$F$22)/2</f>
      </c>
      <c r="X2930" s="7">
        <f>($W2930)*(T2930)</f>
      </c>
      <c r="Y2930" s="7">
        <f>($W2930)*(U2930)</f>
      </c>
      <c r="Z2930" s="7">
        <f>SQRT(X2930^2+Y2930^2)</f>
      </c>
      <c r="AA2930" s="7">
        <f>$K2930+$X2930</f>
      </c>
      <c r="AB2930" s="7">
        <f>$L2930+$Y2930</f>
      </c>
      <c r="AC2930" s="7">
        <f>$K2930-$X2930</f>
      </c>
      <c r="AD2930" s="7">
        <f>$L2930-$Y2930</f>
      </c>
      <c r="AE2930" s="7">
        <f>AA2930/39.3701</f>
      </c>
      <c r="AF2930" s="7">
        <f>AB2930/39.3701</f>
      </c>
      <c r="AG2930" s="7">
        <f>AC2930/39.3701</f>
      </c>
      <c r="AH2930" s="7">
        <f>AD2930/39.3701</f>
      </c>
      <c r="AI2930" s="1"/>
      <c r="AJ2930" s="1"/>
      <c r="AK2930" s="1"/>
      <c r="AL2930" s="1"/>
      <c r="AM2930" s="2"/>
      <c r="AN2930" s="1"/>
      <c r="AO2930" s="1"/>
      <c r="AP2930" s="1"/>
      <c r="AQ2930" s="1"/>
      <c r="AR2930" s="1"/>
      <c r="AS2930" s="1"/>
      <c r="AT2930" s="1"/>
      <c r="AU2930" s="1"/>
      <c r="AV2930" s="1"/>
      <c r="AW2930" s="1"/>
      <c r="AX2930" s="1"/>
      <c r="AY2930" s="1"/>
      <c r="AZ2930" s="1"/>
      <c r="BA2930" s="1"/>
      <c r="BB2930" s="1"/>
      <c r="BC2930" s="1"/>
      <c r="BD2930" s="1"/>
      <c r="BE2930" s="1"/>
    </row>
    <row x14ac:dyDescent="0.25" r="2931" customHeight="1" ht="18.75">
      <c r="A2931" s="1"/>
      <c r="B2931" s="2"/>
      <c r="C2931" s="2"/>
      <c r="D2931" s="2"/>
      <c r="E2931" s="2"/>
      <c r="F2931" s="2"/>
      <c r="G2931" s="1"/>
      <c r="H2931" s="1"/>
      <c r="I2931" s="7">
        <v>2.928</v>
      </c>
      <c r="J2931" s="7">
        <f>IF((I2931-ROUNDDOWN(I2931,0))=0, 0, (I2931-ROUNDDOWN(I2931,0)))</f>
      </c>
      <c r="K2931" s="7">
        <f>INDIRECT("C$"&amp;2+MIN(2,ROUNDDOWN(I2931,0))*3)*(-$J2931^3+3*$J2931^2-3*$J2931+1)+INDIRECT("C$"&amp;3+MIN(2,ROUNDDOWN(I2931,0))*3)*(3*$J2931^3-6*$J2931^2+3*$J2931)+INDIRECT("C$"&amp;4+MIN(2,ROUNDDOWN(I2931,0))*3)*(-3*$J2931^3+3*$J2931^2)+INDIRECT("C$"&amp;5+MIN(2,ROUNDDOWN(I2931,0))*3)*$J2931^3</f>
      </c>
      <c r="L2931" s="7">
        <f>INDIRECT("D$"&amp;2+MIN(2,ROUNDDOWN(I2931,0))*3)*(-$J2931^3+3*$J2931^2-3*$J2931+1)+INDIRECT("D$"&amp;3+MIN(2,ROUNDDOWN(I2931,0))*3)*(3*$J2931^3-6*$J2931^2+3*$J2931)+INDIRECT("D$"&amp;4+MIN(2,ROUNDDOWN(I2931,0))*3)*(-3*$J2931^3+3*$J2931^2)+INDIRECT("D$"&amp;5+MIN(2,ROUNDDOWN(I2931,0))*3)*$J2931^3</f>
      </c>
      <c r="M2931" s="7">
        <f>SQRT(K2931^2+L2931^2)</f>
      </c>
      <c r="N2931" s="7">
        <f>(K2932-K2930)</f>
      </c>
      <c r="O2931" s="7">
        <f>+(L2932-L2930)</f>
      </c>
      <c r="P2931" s="7">
        <f>SQRT(O2931^2+N2931^2)</f>
      </c>
      <c r="Q2931" s="7">
        <f>N2931/$P2931</f>
      </c>
      <c r="R2931" s="7">
        <f>O2931/$P2931</f>
      </c>
      <c r="S2931" s="8">
        <f>Q2931^2+R2931^2</f>
      </c>
      <c r="T2931" s="7">
        <f>-R2931</f>
      </c>
      <c r="U2931" s="7">
        <f>Q2931</f>
      </c>
      <c r="V2931" s="7">
        <f>($C$14+($C$15-$C$14)/($D$15-$D$14)*(I2931-$D$14))/2</f>
      </c>
      <c r="W2931" s="7">
        <f>($B$22*I2931^4+$C$22*I2931^3+$D$22*I2931^2+$E$22*I2931+$F$22)/2</f>
      </c>
      <c r="X2931" s="7">
        <f>($W2931)*(T2931)</f>
      </c>
      <c r="Y2931" s="7">
        <f>($W2931)*(U2931)</f>
      </c>
      <c r="Z2931" s="7">
        <f>SQRT(X2931^2+Y2931^2)</f>
      </c>
      <c r="AA2931" s="7">
        <f>$K2931+$X2931</f>
      </c>
      <c r="AB2931" s="7">
        <f>$L2931+$Y2931</f>
      </c>
      <c r="AC2931" s="7">
        <f>$K2931-$X2931</f>
      </c>
      <c r="AD2931" s="7">
        <f>$L2931-$Y2931</f>
      </c>
      <c r="AE2931" s="7">
        <f>AA2931/39.3701</f>
      </c>
      <c r="AF2931" s="7">
        <f>AB2931/39.3701</f>
      </c>
      <c r="AG2931" s="7">
        <f>AC2931/39.3701</f>
      </c>
      <c r="AH2931" s="7">
        <f>AD2931/39.3701</f>
      </c>
      <c r="AI2931" s="1"/>
      <c r="AJ2931" s="1"/>
      <c r="AK2931" s="1"/>
      <c r="AL2931" s="1"/>
      <c r="AM2931" s="2"/>
      <c r="AN2931" s="1"/>
      <c r="AO2931" s="1"/>
      <c r="AP2931" s="1"/>
      <c r="AQ2931" s="1"/>
      <c r="AR2931" s="1"/>
      <c r="AS2931" s="1"/>
      <c r="AT2931" s="1"/>
      <c r="AU2931" s="1"/>
      <c r="AV2931" s="1"/>
      <c r="AW2931" s="1"/>
      <c r="AX2931" s="1"/>
      <c r="AY2931" s="1"/>
      <c r="AZ2931" s="1"/>
      <c r="BA2931" s="1"/>
      <c r="BB2931" s="1"/>
      <c r="BC2931" s="1"/>
      <c r="BD2931" s="1"/>
      <c r="BE2931" s="1"/>
    </row>
    <row x14ac:dyDescent="0.25" r="2932" customHeight="1" ht="18.75">
      <c r="A2932" s="1"/>
      <c r="B2932" s="2"/>
      <c r="C2932" s="2"/>
      <c r="D2932" s="2"/>
      <c r="E2932" s="2"/>
      <c r="F2932" s="2"/>
      <c r="G2932" s="1"/>
      <c r="H2932" s="1"/>
      <c r="I2932" s="7">
        <v>2.929</v>
      </c>
      <c r="J2932" s="7">
        <f>IF((I2932-ROUNDDOWN(I2932,0))=0, 0, (I2932-ROUNDDOWN(I2932,0)))</f>
      </c>
      <c r="K2932" s="7">
        <f>INDIRECT("C$"&amp;2+MIN(2,ROUNDDOWN(I2932,0))*3)*(-$J2932^3+3*$J2932^2-3*$J2932+1)+INDIRECT("C$"&amp;3+MIN(2,ROUNDDOWN(I2932,0))*3)*(3*$J2932^3-6*$J2932^2+3*$J2932)+INDIRECT("C$"&amp;4+MIN(2,ROUNDDOWN(I2932,0))*3)*(-3*$J2932^3+3*$J2932^2)+INDIRECT("C$"&amp;5+MIN(2,ROUNDDOWN(I2932,0))*3)*$J2932^3</f>
      </c>
      <c r="L2932" s="7">
        <f>INDIRECT("D$"&amp;2+MIN(2,ROUNDDOWN(I2932,0))*3)*(-$J2932^3+3*$J2932^2-3*$J2932+1)+INDIRECT("D$"&amp;3+MIN(2,ROUNDDOWN(I2932,0))*3)*(3*$J2932^3-6*$J2932^2+3*$J2932)+INDIRECT("D$"&amp;4+MIN(2,ROUNDDOWN(I2932,0))*3)*(-3*$J2932^3+3*$J2932^2)+INDIRECT("D$"&amp;5+MIN(2,ROUNDDOWN(I2932,0))*3)*$J2932^3</f>
      </c>
      <c r="M2932" s="7">
        <f>SQRT(K2932^2+L2932^2)</f>
      </c>
      <c r="N2932" s="7">
        <f>(K2933-K2931)</f>
      </c>
      <c r="O2932" s="7">
        <f>+(L2933-L2931)</f>
      </c>
      <c r="P2932" s="7">
        <f>SQRT(O2932^2+N2932^2)</f>
      </c>
      <c r="Q2932" s="7">
        <f>N2932/$P2932</f>
      </c>
      <c r="R2932" s="7">
        <f>O2932/$P2932</f>
      </c>
      <c r="S2932" s="8">
        <f>Q2932^2+R2932^2</f>
      </c>
      <c r="T2932" s="7">
        <f>-R2932</f>
      </c>
      <c r="U2932" s="7">
        <f>Q2932</f>
      </c>
      <c r="V2932" s="7">
        <f>($C$14+($C$15-$C$14)/($D$15-$D$14)*(I2932-$D$14))/2</f>
      </c>
      <c r="W2932" s="7">
        <f>($B$22*I2932^4+$C$22*I2932^3+$D$22*I2932^2+$E$22*I2932+$F$22)/2</f>
      </c>
      <c r="X2932" s="7">
        <f>($W2932)*(T2932)</f>
      </c>
      <c r="Y2932" s="7">
        <f>($W2932)*(U2932)</f>
      </c>
      <c r="Z2932" s="7">
        <f>SQRT(X2932^2+Y2932^2)</f>
      </c>
      <c r="AA2932" s="7">
        <f>$K2932+$X2932</f>
      </c>
      <c r="AB2932" s="7">
        <f>$L2932+$Y2932</f>
      </c>
      <c r="AC2932" s="7">
        <f>$K2932-$X2932</f>
      </c>
      <c r="AD2932" s="7">
        <f>$L2932-$Y2932</f>
      </c>
      <c r="AE2932" s="7">
        <f>AA2932/39.3701</f>
      </c>
      <c r="AF2932" s="7">
        <f>AB2932/39.3701</f>
      </c>
      <c r="AG2932" s="7">
        <f>AC2932/39.3701</f>
      </c>
      <c r="AH2932" s="7">
        <f>AD2932/39.3701</f>
      </c>
      <c r="AI2932" s="1"/>
      <c r="AJ2932" s="1"/>
      <c r="AK2932" s="1"/>
      <c r="AL2932" s="1"/>
      <c r="AM2932" s="2"/>
      <c r="AN2932" s="1"/>
      <c r="AO2932" s="1"/>
      <c r="AP2932" s="1"/>
      <c r="AQ2932" s="1"/>
      <c r="AR2932" s="1"/>
      <c r="AS2932" s="1"/>
      <c r="AT2932" s="1"/>
      <c r="AU2932" s="1"/>
      <c r="AV2932" s="1"/>
      <c r="AW2932" s="1"/>
      <c r="AX2932" s="1"/>
      <c r="AY2932" s="1"/>
      <c r="AZ2932" s="1"/>
      <c r="BA2932" s="1"/>
      <c r="BB2932" s="1"/>
      <c r="BC2932" s="1"/>
      <c r="BD2932" s="1"/>
      <c r="BE2932" s="1"/>
    </row>
    <row x14ac:dyDescent="0.25" r="2933" customHeight="1" ht="18.75">
      <c r="A2933" s="1"/>
      <c r="B2933" s="2"/>
      <c r="C2933" s="2"/>
      <c r="D2933" s="2"/>
      <c r="E2933" s="2"/>
      <c r="F2933" s="2"/>
      <c r="G2933" s="1"/>
      <c r="H2933" s="1"/>
      <c r="I2933" s="7">
        <v>2.93</v>
      </c>
      <c r="J2933" s="7">
        <f>IF((I2933-ROUNDDOWN(I2933,0))=0, 0, (I2933-ROUNDDOWN(I2933,0)))</f>
      </c>
      <c r="K2933" s="7">
        <f>INDIRECT("C$"&amp;2+MIN(2,ROUNDDOWN(I2933,0))*3)*(-$J2933^3+3*$J2933^2-3*$J2933+1)+INDIRECT("C$"&amp;3+MIN(2,ROUNDDOWN(I2933,0))*3)*(3*$J2933^3-6*$J2933^2+3*$J2933)+INDIRECT("C$"&amp;4+MIN(2,ROUNDDOWN(I2933,0))*3)*(-3*$J2933^3+3*$J2933^2)+INDIRECT("C$"&amp;5+MIN(2,ROUNDDOWN(I2933,0))*3)*$J2933^3</f>
      </c>
      <c r="L2933" s="7">
        <f>INDIRECT("D$"&amp;2+MIN(2,ROUNDDOWN(I2933,0))*3)*(-$J2933^3+3*$J2933^2-3*$J2933+1)+INDIRECT("D$"&amp;3+MIN(2,ROUNDDOWN(I2933,0))*3)*(3*$J2933^3-6*$J2933^2+3*$J2933)+INDIRECT("D$"&amp;4+MIN(2,ROUNDDOWN(I2933,0))*3)*(-3*$J2933^3+3*$J2933^2)+INDIRECT("D$"&amp;5+MIN(2,ROUNDDOWN(I2933,0))*3)*$J2933^3</f>
      </c>
      <c r="M2933" s="7">
        <f>SQRT(K2933^2+L2933^2)</f>
      </c>
      <c r="N2933" s="7">
        <f>(K2934-K2932)</f>
      </c>
      <c r="O2933" s="7">
        <f>+(L2934-L2932)</f>
      </c>
      <c r="P2933" s="7">
        <f>SQRT(O2933^2+N2933^2)</f>
      </c>
      <c r="Q2933" s="7">
        <f>N2933/$P2933</f>
      </c>
      <c r="R2933" s="7">
        <f>O2933/$P2933</f>
      </c>
      <c r="S2933" s="7">
        <f>Q2933^2+R2933^2</f>
      </c>
      <c r="T2933" s="7">
        <f>-R2933</f>
      </c>
      <c r="U2933" s="7">
        <f>Q2933</f>
      </c>
      <c r="V2933" s="7">
        <f>($C$14+($C$15-$C$14)/($D$15-$D$14)*(I2933-$D$14))/2</f>
      </c>
      <c r="W2933" s="7">
        <f>($B$22*I2933^4+$C$22*I2933^3+$D$22*I2933^2+$E$22*I2933+$F$22)/2</f>
      </c>
      <c r="X2933" s="7">
        <f>($W2933)*(T2933)</f>
      </c>
      <c r="Y2933" s="7">
        <f>($W2933)*(U2933)</f>
      </c>
      <c r="Z2933" s="7">
        <f>SQRT(X2933^2+Y2933^2)</f>
      </c>
      <c r="AA2933" s="7">
        <f>$K2933+$X2933</f>
      </c>
      <c r="AB2933" s="7">
        <f>$L2933+$Y2933</f>
      </c>
      <c r="AC2933" s="7">
        <f>$K2933-$X2933</f>
      </c>
      <c r="AD2933" s="7">
        <f>$L2933-$Y2933</f>
      </c>
      <c r="AE2933" s="7">
        <f>AA2933/39.3701</f>
      </c>
      <c r="AF2933" s="7">
        <f>AB2933/39.3701</f>
      </c>
      <c r="AG2933" s="7">
        <f>AC2933/39.3701</f>
      </c>
      <c r="AH2933" s="7">
        <f>AD2933/39.3701</f>
      </c>
      <c r="AI2933" s="1"/>
      <c r="AJ2933" s="1"/>
      <c r="AK2933" s="1"/>
      <c r="AL2933" s="1"/>
      <c r="AM2933" s="2"/>
      <c r="AN2933" s="1"/>
      <c r="AO2933" s="1"/>
      <c r="AP2933" s="1"/>
      <c r="AQ2933" s="1"/>
      <c r="AR2933" s="1"/>
      <c r="AS2933" s="1"/>
      <c r="AT2933" s="1"/>
      <c r="AU2933" s="1"/>
      <c r="AV2933" s="1"/>
      <c r="AW2933" s="1"/>
      <c r="AX2933" s="1"/>
      <c r="AY2933" s="1"/>
      <c r="AZ2933" s="1"/>
      <c r="BA2933" s="1"/>
      <c r="BB2933" s="1"/>
      <c r="BC2933" s="1"/>
      <c r="BD2933" s="1"/>
      <c r="BE2933" s="1"/>
    </row>
    <row x14ac:dyDescent="0.25" r="2934" customHeight="1" ht="18.75">
      <c r="A2934" s="1"/>
      <c r="B2934" s="2"/>
      <c r="C2934" s="2"/>
      <c r="D2934" s="2"/>
      <c r="E2934" s="2"/>
      <c r="F2934" s="2"/>
      <c r="G2934" s="1"/>
      <c r="H2934" s="1"/>
      <c r="I2934" s="7">
        <v>2.931</v>
      </c>
      <c r="J2934" s="7">
        <f>IF((I2934-ROUNDDOWN(I2934,0))=0, 0, (I2934-ROUNDDOWN(I2934,0)))</f>
      </c>
      <c r="K2934" s="7">
        <f>INDIRECT("C$"&amp;2+MIN(2,ROUNDDOWN(I2934,0))*3)*(-$J2934^3+3*$J2934^2-3*$J2934+1)+INDIRECT("C$"&amp;3+MIN(2,ROUNDDOWN(I2934,0))*3)*(3*$J2934^3-6*$J2934^2+3*$J2934)+INDIRECT("C$"&amp;4+MIN(2,ROUNDDOWN(I2934,0))*3)*(-3*$J2934^3+3*$J2934^2)+INDIRECT("C$"&amp;5+MIN(2,ROUNDDOWN(I2934,0))*3)*$J2934^3</f>
      </c>
      <c r="L2934" s="7">
        <f>INDIRECT("D$"&amp;2+MIN(2,ROUNDDOWN(I2934,0))*3)*(-$J2934^3+3*$J2934^2-3*$J2934+1)+INDIRECT("D$"&amp;3+MIN(2,ROUNDDOWN(I2934,0))*3)*(3*$J2934^3-6*$J2934^2+3*$J2934)+INDIRECT("D$"&amp;4+MIN(2,ROUNDDOWN(I2934,0))*3)*(-3*$J2934^3+3*$J2934^2)+INDIRECT("D$"&amp;5+MIN(2,ROUNDDOWN(I2934,0))*3)*$J2934^3</f>
      </c>
      <c r="M2934" s="7">
        <f>SQRT(K2934^2+L2934^2)</f>
      </c>
      <c r="N2934" s="7">
        <f>(K2935-K2933)</f>
      </c>
      <c r="O2934" s="7">
        <f>+(L2935-L2933)</f>
      </c>
      <c r="P2934" s="7">
        <f>SQRT(O2934^2+N2934^2)</f>
      </c>
      <c r="Q2934" s="7">
        <f>N2934/$P2934</f>
      </c>
      <c r="R2934" s="7">
        <f>O2934/$P2934</f>
      </c>
      <c r="S2934" s="7">
        <f>Q2934^2+R2934^2</f>
      </c>
      <c r="T2934" s="7">
        <f>-R2934</f>
      </c>
      <c r="U2934" s="7">
        <f>Q2934</f>
      </c>
      <c r="V2934" s="7">
        <f>($C$14+($C$15-$C$14)/($D$15-$D$14)*(I2934-$D$14))/2</f>
      </c>
      <c r="W2934" s="7">
        <f>($B$22*I2934^4+$C$22*I2934^3+$D$22*I2934^2+$E$22*I2934+$F$22)/2</f>
      </c>
      <c r="X2934" s="7">
        <f>($W2934)*(T2934)</f>
      </c>
      <c r="Y2934" s="7">
        <f>($W2934)*(U2934)</f>
      </c>
      <c r="Z2934" s="7">
        <f>SQRT(X2934^2+Y2934^2)</f>
      </c>
      <c r="AA2934" s="7">
        <f>$K2934+$X2934</f>
      </c>
      <c r="AB2934" s="7">
        <f>$L2934+$Y2934</f>
      </c>
      <c r="AC2934" s="7">
        <f>$K2934-$X2934</f>
      </c>
      <c r="AD2934" s="7">
        <f>$L2934-$Y2934</f>
      </c>
      <c r="AE2934" s="7">
        <f>AA2934/39.3701</f>
      </c>
      <c r="AF2934" s="7">
        <f>AB2934/39.3701</f>
      </c>
      <c r="AG2934" s="7">
        <f>AC2934/39.3701</f>
      </c>
      <c r="AH2934" s="7">
        <f>AD2934/39.3701</f>
      </c>
      <c r="AI2934" s="1"/>
      <c r="AJ2934" s="1"/>
      <c r="AK2934" s="1"/>
      <c r="AL2934" s="1"/>
      <c r="AM2934" s="2"/>
      <c r="AN2934" s="1"/>
      <c r="AO2934" s="1"/>
      <c r="AP2934" s="1"/>
      <c r="AQ2934" s="1"/>
      <c r="AR2934" s="1"/>
      <c r="AS2934" s="1"/>
      <c r="AT2934" s="1"/>
      <c r="AU2934" s="1"/>
      <c r="AV2934" s="1"/>
      <c r="AW2934" s="1"/>
      <c r="AX2934" s="1"/>
      <c r="AY2934" s="1"/>
      <c r="AZ2934" s="1"/>
      <c r="BA2934" s="1"/>
      <c r="BB2934" s="1"/>
      <c r="BC2934" s="1"/>
      <c r="BD2934" s="1"/>
      <c r="BE2934" s="1"/>
    </row>
    <row x14ac:dyDescent="0.25" r="2935" customHeight="1" ht="18.75">
      <c r="A2935" s="1"/>
      <c r="B2935" s="2"/>
      <c r="C2935" s="2"/>
      <c r="D2935" s="2"/>
      <c r="E2935" s="2"/>
      <c r="F2935" s="2"/>
      <c r="G2935" s="1"/>
      <c r="H2935" s="1"/>
      <c r="I2935" s="7">
        <v>2.932</v>
      </c>
      <c r="J2935" s="7">
        <f>IF((I2935-ROUNDDOWN(I2935,0))=0, 0, (I2935-ROUNDDOWN(I2935,0)))</f>
      </c>
      <c r="K2935" s="7">
        <f>INDIRECT("C$"&amp;2+MIN(2,ROUNDDOWN(I2935,0))*3)*(-$J2935^3+3*$J2935^2-3*$J2935+1)+INDIRECT("C$"&amp;3+MIN(2,ROUNDDOWN(I2935,0))*3)*(3*$J2935^3-6*$J2935^2+3*$J2935)+INDIRECT("C$"&amp;4+MIN(2,ROUNDDOWN(I2935,0))*3)*(-3*$J2935^3+3*$J2935^2)+INDIRECT("C$"&amp;5+MIN(2,ROUNDDOWN(I2935,0))*3)*$J2935^3</f>
      </c>
      <c r="L2935" s="7">
        <f>INDIRECT("D$"&amp;2+MIN(2,ROUNDDOWN(I2935,0))*3)*(-$J2935^3+3*$J2935^2-3*$J2935+1)+INDIRECT("D$"&amp;3+MIN(2,ROUNDDOWN(I2935,0))*3)*(3*$J2935^3-6*$J2935^2+3*$J2935)+INDIRECT("D$"&amp;4+MIN(2,ROUNDDOWN(I2935,0))*3)*(-3*$J2935^3+3*$J2935^2)+INDIRECT("D$"&amp;5+MIN(2,ROUNDDOWN(I2935,0))*3)*$J2935^3</f>
      </c>
      <c r="M2935" s="7">
        <f>SQRT(K2935^2+L2935^2)</f>
      </c>
      <c r="N2935" s="7">
        <f>(K2936-K2934)</f>
      </c>
      <c r="O2935" s="7">
        <f>+(L2936-L2934)</f>
      </c>
      <c r="P2935" s="7">
        <f>SQRT(O2935^2+N2935^2)</f>
      </c>
      <c r="Q2935" s="7">
        <f>N2935/$P2935</f>
      </c>
      <c r="R2935" s="7">
        <f>O2935/$P2935</f>
      </c>
      <c r="S2935" s="8">
        <f>Q2935^2+R2935^2</f>
      </c>
      <c r="T2935" s="7">
        <f>-R2935</f>
      </c>
      <c r="U2935" s="7">
        <f>Q2935</f>
      </c>
      <c r="V2935" s="7">
        <f>($C$14+($C$15-$C$14)/($D$15-$D$14)*(I2935-$D$14))/2</f>
      </c>
      <c r="W2935" s="7">
        <f>($B$22*I2935^4+$C$22*I2935^3+$D$22*I2935^2+$E$22*I2935+$F$22)/2</f>
      </c>
      <c r="X2935" s="7">
        <f>($W2935)*(T2935)</f>
      </c>
      <c r="Y2935" s="7">
        <f>($W2935)*(U2935)</f>
      </c>
      <c r="Z2935" s="7">
        <f>SQRT(X2935^2+Y2935^2)</f>
      </c>
      <c r="AA2935" s="7">
        <f>$K2935+$X2935</f>
      </c>
      <c r="AB2935" s="7">
        <f>$L2935+$Y2935</f>
      </c>
      <c r="AC2935" s="7">
        <f>$K2935-$X2935</f>
      </c>
      <c r="AD2935" s="7">
        <f>$L2935-$Y2935</f>
      </c>
      <c r="AE2935" s="7">
        <f>AA2935/39.3701</f>
      </c>
      <c r="AF2935" s="7">
        <f>AB2935/39.3701</f>
      </c>
      <c r="AG2935" s="7">
        <f>AC2935/39.3701</f>
      </c>
      <c r="AH2935" s="7">
        <f>AD2935/39.3701</f>
      </c>
      <c r="AI2935" s="1"/>
      <c r="AJ2935" s="1"/>
      <c r="AK2935" s="1"/>
      <c r="AL2935" s="1"/>
      <c r="AM2935" s="2"/>
      <c r="AN2935" s="1"/>
      <c r="AO2935" s="1"/>
      <c r="AP2935" s="1"/>
      <c r="AQ2935" s="1"/>
      <c r="AR2935" s="1"/>
      <c r="AS2935" s="1"/>
      <c r="AT2935" s="1"/>
      <c r="AU2935" s="1"/>
      <c r="AV2935" s="1"/>
      <c r="AW2935" s="1"/>
      <c r="AX2935" s="1"/>
      <c r="AY2935" s="1"/>
      <c r="AZ2935" s="1"/>
      <c r="BA2935" s="1"/>
      <c r="BB2935" s="1"/>
      <c r="BC2935" s="1"/>
      <c r="BD2935" s="1"/>
      <c r="BE2935" s="1"/>
    </row>
    <row x14ac:dyDescent="0.25" r="2936" customHeight="1" ht="18.75">
      <c r="A2936" s="1"/>
      <c r="B2936" s="2"/>
      <c r="C2936" s="2"/>
      <c r="D2936" s="2"/>
      <c r="E2936" s="2"/>
      <c r="F2936" s="2"/>
      <c r="G2936" s="1"/>
      <c r="H2936" s="1"/>
      <c r="I2936" s="7">
        <v>2.933</v>
      </c>
      <c r="J2936" s="7">
        <f>IF((I2936-ROUNDDOWN(I2936,0))=0, 0, (I2936-ROUNDDOWN(I2936,0)))</f>
      </c>
      <c r="K2936" s="7">
        <f>INDIRECT("C$"&amp;2+MIN(2,ROUNDDOWN(I2936,0))*3)*(-$J2936^3+3*$J2936^2-3*$J2936+1)+INDIRECT("C$"&amp;3+MIN(2,ROUNDDOWN(I2936,0))*3)*(3*$J2936^3-6*$J2936^2+3*$J2936)+INDIRECT("C$"&amp;4+MIN(2,ROUNDDOWN(I2936,0))*3)*(-3*$J2936^3+3*$J2936^2)+INDIRECT("C$"&amp;5+MIN(2,ROUNDDOWN(I2936,0))*3)*$J2936^3</f>
      </c>
      <c r="L2936" s="7">
        <f>INDIRECT("D$"&amp;2+MIN(2,ROUNDDOWN(I2936,0))*3)*(-$J2936^3+3*$J2936^2-3*$J2936+1)+INDIRECT("D$"&amp;3+MIN(2,ROUNDDOWN(I2936,0))*3)*(3*$J2936^3-6*$J2936^2+3*$J2936)+INDIRECT("D$"&amp;4+MIN(2,ROUNDDOWN(I2936,0))*3)*(-3*$J2936^3+3*$J2936^2)+INDIRECT("D$"&amp;5+MIN(2,ROUNDDOWN(I2936,0))*3)*$J2936^3</f>
      </c>
      <c r="M2936" s="7">
        <f>SQRT(K2936^2+L2936^2)</f>
      </c>
      <c r="N2936" s="7">
        <f>(K2937-K2935)</f>
      </c>
      <c r="O2936" s="7">
        <f>+(L2937-L2935)</f>
      </c>
      <c r="P2936" s="7">
        <f>SQRT(O2936^2+N2936^2)</f>
      </c>
      <c r="Q2936" s="7">
        <f>N2936/$P2936</f>
      </c>
      <c r="R2936" s="7">
        <f>O2936/$P2936</f>
      </c>
      <c r="S2936" s="7">
        <f>Q2936^2+R2936^2</f>
      </c>
      <c r="T2936" s="7">
        <f>-R2936</f>
      </c>
      <c r="U2936" s="7">
        <f>Q2936</f>
      </c>
      <c r="V2936" s="7">
        <f>($C$14+($C$15-$C$14)/($D$15-$D$14)*(I2936-$D$14))/2</f>
      </c>
      <c r="W2936" s="7">
        <f>($B$22*I2936^4+$C$22*I2936^3+$D$22*I2936^2+$E$22*I2936+$F$22)/2</f>
      </c>
      <c r="X2936" s="7">
        <f>($W2936)*(T2936)</f>
      </c>
      <c r="Y2936" s="7">
        <f>($W2936)*(U2936)</f>
      </c>
      <c r="Z2936" s="7">
        <f>SQRT(X2936^2+Y2936^2)</f>
      </c>
      <c r="AA2936" s="7">
        <f>$K2936+$X2936</f>
      </c>
      <c r="AB2936" s="7">
        <f>$L2936+$Y2936</f>
      </c>
      <c r="AC2936" s="7">
        <f>$K2936-$X2936</f>
      </c>
      <c r="AD2936" s="7">
        <f>$L2936-$Y2936</f>
      </c>
      <c r="AE2936" s="7">
        <f>AA2936/39.3701</f>
      </c>
      <c r="AF2936" s="7">
        <f>AB2936/39.3701</f>
      </c>
      <c r="AG2936" s="7">
        <f>AC2936/39.3701</f>
      </c>
      <c r="AH2936" s="7">
        <f>AD2936/39.3701</f>
      </c>
      <c r="AI2936" s="1"/>
      <c r="AJ2936" s="1"/>
      <c r="AK2936" s="1"/>
      <c r="AL2936" s="1"/>
      <c r="AM2936" s="2"/>
      <c r="AN2936" s="1"/>
      <c r="AO2936" s="1"/>
      <c r="AP2936" s="1"/>
      <c r="AQ2936" s="1"/>
      <c r="AR2936" s="1"/>
      <c r="AS2936" s="1"/>
      <c r="AT2936" s="1"/>
      <c r="AU2936" s="1"/>
      <c r="AV2936" s="1"/>
      <c r="AW2936" s="1"/>
      <c r="AX2936" s="1"/>
      <c r="AY2936" s="1"/>
      <c r="AZ2936" s="1"/>
      <c r="BA2936" s="1"/>
      <c r="BB2936" s="1"/>
      <c r="BC2936" s="1"/>
      <c r="BD2936" s="1"/>
      <c r="BE2936" s="1"/>
    </row>
    <row x14ac:dyDescent="0.25" r="2937" customHeight="1" ht="18.75">
      <c r="A2937" s="1"/>
      <c r="B2937" s="2"/>
      <c r="C2937" s="2"/>
      <c r="D2937" s="2"/>
      <c r="E2937" s="2"/>
      <c r="F2937" s="2"/>
      <c r="G2937" s="1"/>
      <c r="H2937" s="1"/>
      <c r="I2937" s="7">
        <v>2.934</v>
      </c>
      <c r="J2937" s="7">
        <f>IF((I2937-ROUNDDOWN(I2937,0))=0, 0, (I2937-ROUNDDOWN(I2937,0)))</f>
      </c>
      <c r="K2937" s="7">
        <f>INDIRECT("C$"&amp;2+MIN(2,ROUNDDOWN(I2937,0))*3)*(-$J2937^3+3*$J2937^2-3*$J2937+1)+INDIRECT("C$"&amp;3+MIN(2,ROUNDDOWN(I2937,0))*3)*(3*$J2937^3-6*$J2937^2+3*$J2937)+INDIRECT("C$"&amp;4+MIN(2,ROUNDDOWN(I2937,0))*3)*(-3*$J2937^3+3*$J2937^2)+INDIRECT("C$"&amp;5+MIN(2,ROUNDDOWN(I2937,0))*3)*$J2937^3</f>
      </c>
      <c r="L2937" s="7">
        <f>INDIRECT("D$"&amp;2+MIN(2,ROUNDDOWN(I2937,0))*3)*(-$J2937^3+3*$J2937^2-3*$J2937+1)+INDIRECT("D$"&amp;3+MIN(2,ROUNDDOWN(I2937,0))*3)*(3*$J2937^3-6*$J2937^2+3*$J2937)+INDIRECT("D$"&amp;4+MIN(2,ROUNDDOWN(I2937,0))*3)*(-3*$J2937^3+3*$J2937^2)+INDIRECT("D$"&amp;5+MIN(2,ROUNDDOWN(I2937,0))*3)*$J2937^3</f>
      </c>
      <c r="M2937" s="7">
        <f>SQRT(K2937^2+L2937^2)</f>
      </c>
      <c r="N2937" s="7">
        <f>(K2938-K2936)</f>
      </c>
      <c r="O2937" s="7">
        <f>+(L2938-L2936)</f>
      </c>
      <c r="P2937" s="7">
        <f>SQRT(O2937^2+N2937^2)</f>
      </c>
      <c r="Q2937" s="7">
        <f>N2937/$P2937</f>
      </c>
      <c r="R2937" s="7">
        <f>O2937/$P2937</f>
      </c>
      <c r="S2937" s="7">
        <f>Q2937^2+R2937^2</f>
      </c>
      <c r="T2937" s="7">
        <f>-R2937</f>
      </c>
      <c r="U2937" s="7">
        <f>Q2937</f>
      </c>
      <c r="V2937" s="7">
        <f>($C$14+($C$15-$C$14)/($D$15-$D$14)*(I2937-$D$14))/2</f>
      </c>
      <c r="W2937" s="7">
        <f>($B$22*I2937^4+$C$22*I2937^3+$D$22*I2937^2+$E$22*I2937+$F$22)/2</f>
      </c>
      <c r="X2937" s="7">
        <f>($W2937)*(T2937)</f>
      </c>
      <c r="Y2937" s="7">
        <f>($W2937)*(U2937)</f>
      </c>
      <c r="Z2937" s="7">
        <f>SQRT(X2937^2+Y2937^2)</f>
      </c>
      <c r="AA2937" s="7">
        <f>$K2937+$X2937</f>
      </c>
      <c r="AB2937" s="7">
        <f>$L2937+$Y2937</f>
      </c>
      <c r="AC2937" s="7">
        <f>$K2937-$X2937</f>
      </c>
      <c r="AD2937" s="7">
        <f>$L2937-$Y2937</f>
      </c>
      <c r="AE2937" s="7">
        <f>AA2937/39.3701</f>
      </c>
      <c r="AF2937" s="7">
        <f>AB2937/39.3701</f>
      </c>
      <c r="AG2937" s="7">
        <f>AC2937/39.3701</f>
      </c>
      <c r="AH2937" s="7">
        <f>AD2937/39.3701</f>
      </c>
      <c r="AI2937" s="1"/>
      <c r="AJ2937" s="1"/>
      <c r="AK2937" s="1"/>
      <c r="AL2937" s="1"/>
      <c r="AM2937" s="2"/>
      <c r="AN2937" s="1"/>
      <c r="AO2937" s="1"/>
      <c r="AP2937" s="1"/>
      <c r="AQ2937" s="1"/>
      <c r="AR2937" s="1"/>
      <c r="AS2937" s="1"/>
      <c r="AT2937" s="1"/>
      <c r="AU2937" s="1"/>
      <c r="AV2937" s="1"/>
      <c r="AW2937" s="1"/>
      <c r="AX2937" s="1"/>
      <c r="AY2937" s="1"/>
      <c r="AZ2937" s="1"/>
      <c r="BA2937" s="1"/>
      <c r="BB2937" s="1"/>
      <c r="BC2937" s="1"/>
      <c r="BD2937" s="1"/>
      <c r="BE2937" s="1"/>
    </row>
    <row x14ac:dyDescent="0.25" r="2938" customHeight="1" ht="18.75">
      <c r="A2938" s="1"/>
      <c r="B2938" s="2"/>
      <c r="C2938" s="2"/>
      <c r="D2938" s="2"/>
      <c r="E2938" s="2"/>
      <c r="F2938" s="2"/>
      <c r="G2938" s="1"/>
      <c r="H2938" s="1"/>
      <c r="I2938" s="7">
        <v>2.935</v>
      </c>
      <c r="J2938" s="7">
        <f>IF((I2938-ROUNDDOWN(I2938,0))=0, 0, (I2938-ROUNDDOWN(I2938,0)))</f>
      </c>
      <c r="K2938" s="7">
        <f>INDIRECT("C$"&amp;2+MIN(2,ROUNDDOWN(I2938,0))*3)*(-$J2938^3+3*$J2938^2-3*$J2938+1)+INDIRECT("C$"&amp;3+MIN(2,ROUNDDOWN(I2938,0))*3)*(3*$J2938^3-6*$J2938^2+3*$J2938)+INDIRECT("C$"&amp;4+MIN(2,ROUNDDOWN(I2938,0))*3)*(-3*$J2938^3+3*$J2938^2)+INDIRECT("C$"&amp;5+MIN(2,ROUNDDOWN(I2938,0))*3)*$J2938^3</f>
      </c>
      <c r="L2938" s="7">
        <f>INDIRECT("D$"&amp;2+MIN(2,ROUNDDOWN(I2938,0))*3)*(-$J2938^3+3*$J2938^2-3*$J2938+1)+INDIRECT("D$"&amp;3+MIN(2,ROUNDDOWN(I2938,0))*3)*(3*$J2938^3-6*$J2938^2+3*$J2938)+INDIRECT("D$"&amp;4+MIN(2,ROUNDDOWN(I2938,0))*3)*(-3*$J2938^3+3*$J2938^2)+INDIRECT("D$"&amp;5+MIN(2,ROUNDDOWN(I2938,0))*3)*$J2938^3</f>
      </c>
      <c r="M2938" s="7">
        <f>SQRT(K2938^2+L2938^2)</f>
      </c>
      <c r="N2938" s="7">
        <f>(K2939-K2937)</f>
      </c>
      <c r="O2938" s="7">
        <f>+(L2939-L2937)</f>
      </c>
      <c r="P2938" s="7">
        <f>SQRT(O2938^2+N2938^2)</f>
      </c>
      <c r="Q2938" s="7">
        <f>N2938/$P2938</f>
      </c>
      <c r="R2938" s="7">
        <f>O2938/$P2938</f>
      </c>
      <c r="S2938" s="7">
        <f>Q2938^2+R2938^2</f>
      </c>
      <c r="T2938" s="7">
        <f>-R2938</f>
      </c>
      <c r="U2938" s="7">
        <f>Q2938</f>
      </c>
      <c r="V2938" s="7">
        <f>($C$14+($C$15-$C$14)/($D$15-$D$14)*(I2938-$D$14))/2</f>
      </c>
      <c r="W2938" s="7">
        <f>($B$22*I2938^4+$C$22*I2938^3+$D$22*I2938^2+$E$22*I2938+$F$22)/2</f>
      </c>
      <c r="X2938" s="7">
        <f>($W2938)*(T2938)</f>
      </c>
      <c r="Y2938" s="7">
        <f>($W2938)*(U2938)</f>
      </c>
      <c r="Z2938" s="7">
        <f>SQRT(X2938^2+Y2938^2)</f>
      </c>
      <c r="AA2938" s="7">
        <f>$K2938+$X2938</f>
      </c>
      <c r="AB2938" s="7">
        <f>$L2938+$Y2938</f>
      </c>
      <c r="AC2938" s="7">
        <f>$K2938-$X2938</f>
      </c>
      <c r="AD2938" s="7">
        <f>$L2938-$Y2938</f>
      </c>
      <c r="AE2938" s="7">
        <f>AA2938/39.3701</f>
      </c>
      <c r="AF2938" s="7">
        <f>AB2938/39.3701</f>
      </c>
      <c r="AG2938" s="7">
        <f>AC2938/39.3701</f>
      </c>
      <c r="AH2938" s="7">
        <f>AD2938/39.3701</f>
      </c>
      <c r="AI2938" s="1"/>
      <c r="AJ2938" s="1"/>
      <c r="AK2938" s="1"/>
      <c r="AL2938" s="1"/>
      <c r="AM2938" s="2"/>
      <c r="AN2938" s="1"/>
      <c r="AO2938" s="1"/>
      <c r="AP2938" s="1"/>
      <c r="AQ2938" s="1"/>
      <c r="AR2938" s="1"/>
      <c r="AS2938" s="1"/>
      <c r="AT2938" s="1"/>
      <c r="AU2938" s="1"/>
      <c r="AV2938" s="1"/>
      <c r="AW2938" s="1"/>
      <c r="AX2938" s="1"/>
      <c r="AY2938" s="1"/>
      <c r="AZ2938" s="1"/>
      <c r="BA2938" s="1"/>
      <c r="BB2938" s="1"/>
      <c r="BC2938" s="1"/>
      <c r="BD2938" s="1"/>
      <c r="BE2938" s="1"/>
    </row>
    <row x14ac:dyDescent="0.25" r="2939" customHeight="1" ht="18.75">
      <c r="A2939" s="1"/>
      <c r="B2939" s="2"/>
      <c r="C2939" s="2"/>
      <c r="D2939" s="2"/>
      <c r="E2939" s="2"/>
      <c r="F2939" s="2"/>
      <c r="G2939" s="1"/>
      <c r="H2939" s="1"/>
      <c r="I2939" s="7">
        <v>2.936</v>
      </c>
      <c r="J2939" s="7">
        <f>IF((I2939-ROUNDDOWN(I2939,0))=0, 0, (I2939-ROUNDDOWN(I2939,0)))</f>
      </c>
      <c r="K2939" s="7">
        <f>INDIRECT("C$"&amp;2+MIN(2,ROUNDDOWN(I2939,0))*3)*(-$J2939^3+3*$J2939^2-3*$J2939+1)+INDIRECT("C$"&amp;3+MIN(2,ROUNDDOWN(I2939,0))*3)*(3*$J2939^3-6*$J2939^2+3*$J2939)+INDIRECT("C$"&amp;4+MIN(2,ROUNDDOWN(I2939,0))*3)*(-3*$J2939^3+3*$J2939^2)+INDIRECT("C$"&amp;5+MIN(2,ROUNDDOWN(I2939,0))*3)*$J2939^3</f>
      </c>
      <c r="L2939" s="7">
        <f>INDIRECT("D$"&amp;2+MIN(2,ROUNDDOWN(I2939,0))*3)*(-$J2939^3+3*$J2939^2-3*$J2939+1)+INDIRECT("D$"&amp;3+MIN(2,ROUNDDOWN(I2939,0))*3)*(3*$J2939^3-6*$J2939^2+3*$J2939)+INDIRECT("D$"&amp;4+MIN(2,ROUNDDOWN(I2939,0))*3)*(-3*$J2939^3+3*$J2939^2)+INDIRECT("D$"&amp;5+MIN(2,ROUNDDOWN(I2939,0))*3)*$J2939^3</f>
      </c>
      <c r="M2939" s="7">
        <f>SQRT(K2939^2+L2939^2)</f>
      </c>
      <c r="N2939" s="7">
        <f>(K2940-K2938)</f>
      </c>
      <c r="O2939" s="7">
        <f>+(L2940-L2938)</f>
      </c>
      <c r="P2939" s="7">
        <f>SQRT(O2939^2+N2939^2)</f>
      </c>
      <c r="Q2939" s="7">
        <f>N2939/$P2939</f>
      </c>
      <c r="R2939" s="7">
        <f>O2939/$P2939</f>
      </c>
      <c r="S2939" s="7">
        <f>Q2939^2+R2939^2</f>
      </c>
      <c r="T2939" s="7">
        <f>-R2939</f>
      </c>
      <c r="U2939" s="7">
        <f>Q2939</f>
      </c>
      <c r="V2939" s="7">
        <f>($C$14+($C$15-$C$14)/($D$15-$D$14)*(I2939-$D$14))/2</f>
      </c>
      <c r="W2939" s="7">
        <f>($B$22*I2939^4+$C$22*I2939^3+$D$22*I2939^2+$E$22*I2939+$F$22)/2</f>
      </c>
      <c r="X2939" s="7">
        <f>($W2939)*(T2939)</f>
      </c>
      <c r="Y2939" s="7">
        <f>($W2939)*(U2939)</f>
      </c>
      <c r="Z2939" s="7">
        <f>SQRT(X2939^2+Y2939^2)</f>
      </c>
      <c r="AA2939" s="7">
        <f>$K2939+$X2939</f>
      </c>
      <c r="AB2939" s="7">
        <f>$L2939+$Y2939</f>
      </c>
      <c r="AC2939" s="7">
        <f>$K2939-$X2939</f>
      </c>
      <c r="AD2939" s="7">
        <f>$L2939-$Y2939</f>
      </c>
      <c r="AE2939" s="7">
        <f>AA2939/39.3701</f>
      </c>
      <c r="AF2939" s="7">
        <f>AB2939/39.3701</f>
      </c>
      <c r="AG2939" s="7">
        <f>AC2939/39.3701</f>
      </c>
      <c r="AH2939" s="7">
        <f>AD2939/39.3701</f>
      </c>
      <c r="AI2939" s="1"/>
      <c r="AJ2939" s="1"/>
      <c r="AK2939" s="1"/>
      <c r="AL2939" s="1"/>
      <c r="AM2939" s="2"/>
      <c r="AN2939" s="1"/>
      <c r="AO2939" s="1"/>
      <c r="AP2939" s="1"/>
      <c r="AQ2939" s="1"/>
      <c r="AR2939" s="1"/>
      <c r="AS2939" s="1"/>
      <c r="AT2939" s="1"/>
      <c r="AU2939" s="1"/>
      <c r="AV2939" s="1"/>
      <c r="AW2939" s="1"/>
      <c r="AX2939" s="1"/>
      <c r="AY2939" s="1"/>
      <c r="AZ2939" s="1"/>
      <c r="BA2939" s="1"/>
      <c r="BB2939" s="1"/>
      <c r="BC2939" s="1"/>
      <c r="BD2939" s="1"/>
      <c r="BE2939" s="1"/>
    </row>
    <row x14ac:dyDescent="0.25" r="2940" customHeight="1" ht="18.75">
      <c r="A2940" s="1"/>
      <c r="B2940" s="2"/>
      <c r="C2940" s="2"/>
      <c r="D2940" s="2"/>
      <c r="E2940" s="2"/>
      <c r="F2940" s="2"/>
      <c r="G2940" s="1"/>
      <c r="H2940" s="1"/>
      <c r="I2940" s="7">
        <v>2.937</v>
      </c>
      <c r="J2940" s="7">
        <f>IF((I2940-ROUNDDOWN(I2940,0))=0, 0, (I2940-ROUNDDOWN(I2940,0)))</f>
      </c>
      <c r="K2940" s="7">
        <f>INDIRECT("C$"&amp;2+MIN(2,ROUNDDOWN(I2940,0))*3)*(-$J2940^3+3*$J2940^2-3*$J2940+1)+INDIRECT("C$"&amp;3+MIN(2,ROUNDDOWN(I2940,0))*3)*(3*$J2940^3-6*$J2940^2+3*$J2940)+INDIRECT("C$"&amp;4+MIN(2,ROUNDDOWN(I2940,0))*3)*(-3*$J2940^3+3*$J2940^2)+INDIRECT("C$"&amp;5+MIN(2,ROUNDDOWN(I2940,0))*3)*$J2940^3</f>
      </c>
      <c r="L2940" s="7">
        <f>INDIRECT("D$"&amp;2+MIN(2,ROUNDDOWN(I2940,0))*3)*(-$J2940^3+3*$J2940^2-3*$J2940+1)+INDIRECT("D$"&amp;3+MIN(2,ROUNDDOWN(I2940,0))*3)*(3*$J2940^3-6*$J2940^2+3*$J2940)+INDIRECT("D$"&amp;4+MIN(2,ROUNDDOWN(I2940,0))*3)*(-3*$J2940^3+3*$J2940^2)+INDIRECT("D$"&amp;5+MIN(2,ROUNDDOWN(I2940,0))*3)*$J2940^3</f>
      </c>
      <c r="M2940" s="7">
        <f>SQRT(K2940^2+L2940^2)</f>
      </c>
      <c r="N2940" s="7">
        <f>(K2941-K2939)</f>
      </c>
      <c r="O2940" s="7">
        <f>+(L2941-L2939)</f>
      </c>
      <c r="P2940" s="7">
        <f>SQRT(O2940^2+N2940^2)</f>
      </c>
      <c r="Q2940" s="7">
        <f>N2940/$P2940</f>
      </c>
      <c r="R2940" s="7">
        <f>O2940/$P2940</f>
      </c>
      <c r="S2940" s="7">
        <f>Q2940^2+R2940^2</f>
      </c>
      <c r="T2940" s="7">
        <f>-R2940</f>
      </c>
      <c r="U2940" s="7">
        <f>Q2940</f>
      </c>
      <c r="V2940" s="7">
        <f>($C$14+($C$15-$C$14)/($D$15-$D$14)*(I2940-$D$14))/2</f>
      </c>
      <c r="W2940" s="7">
        <f>($B$22*I2940^4+$C$22*I2940^3+$D$22*I2940^2+$E$22*I2940+$F$22)/2</f>
      </c>
      <c r="X2940" s="7">
        <f>($W2940)*(T2940)</f>
      </c>
      <c r="Y2940" s="7">
        <f>($W2940)*(U2940)</f>
      </c>
      <c r="Z2940" s="7">
        <f>SQRT(X2940^2+Y2940^2)</f>
      </c>
      <c r="AA2940" s="7">
        <f>$K2940+$X2940</f>
      </c>
      <c r="AB2940" s="7">
        <f>$L2940+$Y2940</f>
      </c>
      <c r="AC2940" s="7">
        <f>$K2940-$X2940</f>
      </c>
      <c r="AD2940" s="7">
        <f>$L2940-$Y2940</f>
      </c>
      <c r="AE2940" s="7">
        <f>AA2940/39.3701</f>
      </c>
      <c r="AF2940" s="7">
        <f>AB2940/39.3701</f>
      </c>
      <c r="AG2940" s="7">
        <f>AC2940/39.3701</f>
      </c>
      <c r="AH2940" s="7">
        <f>AD2940/39.3701</f>
      </c>
      <c r="AI2940" s="1"/>
      <c r="AJ2940" s="1"/>
      <c r="AK2940" s="1"/>
      <c r="AL2940" s="1"/>
      <c r="AM2940" s="2"/>
      <c r="AN2940" s="1"/>
      <c r="AO2940" s="1"/>
      <c r="AP2940" s="1"/>
      <c r="AQ2940" s="1"/>
      <c r="AR2940" s="1"/>
      <c r="AS2940" s="1"/>
      <c r="AT2940" s="1"/>
      <c r="AU2940" s="1"/>
      <c r="AV2940" s="1"/>
      <c r="AW2940" s="1"/>
      <c r="AX2940" s="1"/>
      <c r="AY2940" s="1"/>
      <c r="AZ2940" s="1"/>
      <c r="BA2940" s="1"/>
      <c r="BB2940" s="1"/>
      <c r="BC2940" s="1"/>
      <c r="BD2940" s="1"/>
      <c r="BE2940" s="1"/>
    </row>
    <row x14ac:dyDescent="0.25" r="2941" customHeight="1" ht="18.75">
      <c r="A2941" s="1"/>
      <c r="B2941" s="2"/>
      <c r="C2941" s="2"/>
      <c r="D2941" s="2"/>
      <c r="E2941" s="2"/>
      <c r="F2941" s="2"/>
      <c r="G2941" s="1"/>
      <c r="H2941" s="1"/>
      <c r="I2941" s="7">
        <v>2.938</v>
      </c>
      <c r="J2941" s="7">
        <f>IF((I2941-ROUNDDOWN(I2941,0))=0, 0, (I2941-ROUNDDOWN(I2941,0)))</f>
      </c>
      <c r="K2941" s="7">
        <f>INDIRECT("C$"&amp;2+MIN(2,ROUNDDOWN(I2941,0))*3)*(-$J2941^3+3*$J2941^2-3*$J2941+1)+INDIRECT("C$"&amp;3+MIN(2,ROUNDDOWN(I2941,0))*3)*(3*$J2941^3-6*$J2941^2+3*$J2941)+INDIRECT("C$"&amp;4+MIN(2,ROUNDDOWN(I2941,0))*3)*(-3*$J2941^3+3*$J2941^2)+INDIRECT("C$"&amp;5+MIN(2,ROUNDDOWN(I2941,0))*3)*$J2941^3</f>
      </c>
      <c r="L2941" s="7">
        <f>INDIRECT("D$"&amp;2+MIN(2,ROUNDDOWN(I2941,0))*3)*(-$J2941^3+3*$J2941^2-3*$J2941+1)+INDIRECT("D$"&amp;3+MIN(2,ROUNDDOWN(I2941,0))*3)*(3*$J2941^3-6*$J2941^2+3*$J2941)+INDIRECT("D$"&amp;4+MIN(2,ROUNDDOWN(I2941,0))*3)*(-3*$J2941^3+3*$J2941^2)+INDIRECT("D$"&amp;5+MIN(2,ROUNDDOWN(I2941,0))*3)*$J2941^3</f>
      </c>
      <c r="M2941" s="7">
        <f>SQRT(K2941^2+L2941^2)</f>
      </c>
      <c r="N2941" s="7">
        <f>(K2942-K2940)</f>
      </c>
      <c r="O2941" s="7">
        <f>+(L2942-L2940)</f>
      </c>
      <c r="P2941" s="7">
        <f>SQRT(O2941^2+N2941^2)</f>
      </c>
      <c r="Q2941" s="7">
        <f>N2941/$P2941</f>
      </c>
      <c r="R2941" s="7">
        <f>O2941/$P2941</f>
      </c>
      <c r="S2941" s="7">
        <f>Q2941^2+R2941^2</f>
      </c>
      <c r="T2941" s="7">
        <f>-R2941</f>
      </c>
      <c r="U2941" s="7">
        <f>Q2941</f>
      </c>
      <c r="V2941" s="7">
        <f>($C$14+($C$15-$C$14)/($D$15-$D$14)*(I2941-$D$14))/2</f>
      </c>
      <c r="W2941" s="7">
        <f>($B$22*I2941^4+$C$22*I2941^3+$D$22*I2941^2+$E$22*I2941+$F$22)/2</f>
      </c>
      <c r="X2941" s="7">
        <f>($W2941)*(T2941)</f>
      </c>
      <c r="Y2941" s="7">
        <f>($W2941)*(U2941)</f>
      </c>
      <c r="Z2941" s="7">
        <f>SQRT(X2941^2+Y2941^2)</f>
      </c>
      <c r="AA2941" s="7">
        <f>$K2941+$X2941</f>
      </c>
      <c r="AB2941" s="7">
        <f>$L2941+$Y2941</f>
      </c>
      <c r="AC2941" s="7">
        <f>$K2941-$X2941</f>
      </c>
      <c r="AD2941" s="7">
        <f>$L2941-$Y2941</f>
      </c>
      <c r="AE2941" s="7">
        <f>AA2941/39.3701</f>
      </c>
      <c r="AF2941" s="7">
        <f>AB2941/39.3701</f>
      </c>
      <c r="AG2941" s="7">
        <f>AC2941/39.3701</f>
      </c>
      <c r="AH2941" s="7">
        <f>AD2941/39.3701</f>
      </c>
      <c r="AI2941" s="1"/>
      <c r="AJ2941" s="1"/>
      <c r="AK2941" s="1"/>
      <c r="AL2941" s="1"/>
      <c r="AM2941" s="2"/>
      <c r="AN2941" s="1"/>
      <c r="AO2941" s="1"/>
      <c r="AP2941" s="1"/>
      <c r="AQ2941" s="1"/>
      <c r="AR2941" s="1"/>
      <c r="AS2941" s="1"/>
      <c r="AT2941" s="1"/>
      <c r="AU2941" s="1"/>
      <c r="AV2941" s="1"/>
      <c r="AW2941" s="1"/>
      <c r="AX2941" s="1"/>
      <c r="AY2941" s="1"/>
      <c r="AZ2941" s="1"/>
      <c r="BA2941" s="1"/>
      <c r="BB2941" s="1"/>
      <c r="BC2941" s="1"/>
      <c r="BD2941" s="1"/>
      <c r="BE2941" s="1"/>
    </row>
    <row x14ac:dyDescent="0.25" r="2942" customHeight="1" ht="18.75">
      <c r="A2942" s="1"/>
      <c r="B2942" s="2"/>
      <c r="C2942" s="2"/>
      <c r="D2942" s="2"/>
      <c r="E2942" s="2"/>
      <c r="F2942" s="2"/>
      <c r="G2942" s="1"/>
      <c r="H2942" s="1"/>
      <c r="I2942" s="7">
        <v>2.939</v>
      </c>
      <c r="J2942" s="7">
        <f>IF((I2942-ROUNDDOWN(I2942,0))=0, 0, (I2942-ROUNDDOWN(I2942,0)))</f>
      </c>
      <c r="K2942" s="7">
        <f>INDIRECT("C$"&amp;2+MIN(2,ROUNDDOWN(I2942,0))*3)*(-$J2942^3+3*$J2942^2-3*$J2942+1)+INDIRECT("C$"&amp;3+MIN(2,ROUNDDOWN(I2942,0))*3)*(3*$J2942^3-6*$J2942^2+3*$J2942)+INDIRECT("C$"&amp;4+MIN(2,ROUNDDOWN(I2942,0))*3)*(-3*$J2942^3+3*$J2942^2)+INDIRECT("C$"&amp;5+MIN(2,ROUNDDOWN(I2942,0))*3)*$J2942^3</f>
      </c>
      <c r="L2942" s="7">
        <f>INDIRECT("D$"&amp;2+MIN(2,ROUNDDOWN(I2942,0))*3)*(-$J2942^3+3*$J2942^2-3*$J2942+1)+INDIRECT("D$"&amp;3+MIN(2,ROUNDDOWN(I2942,0))*3)*(3*$J2942^3-6*$J2942^2+3*$J2942)+INDIRECT("D$"&amp;4+MIN(2,ROUNDDOWN(I2942,0))*3)*(-3*$J2942^3+3*$J2942^2)+INDIRECT("D$"&amp;5+MIN(2,ROUNDDOWN(I2942,0))*3)*$J2942^3</f>
      </c>
      <c r="M2942" s="7">
        <f>SQRT(K2942^2+L2942^2)</f>
      </c>
      <c r="N2942" s="7">
        <f>(K2943-K2941)</f>
      </c>
      <c r="O2942" s="7">
        <f>+(L2943-L2941)</f>
      </c>
      <c r="P2942" s="7">
        <f>SQRT(O2942^2+N2942^2)</f>
      </c>
      <c r="Q2942" s="7">
        <f>N2942/$P2942</f>
      </c>
      <c r="R2942" s="7">
        <f>O2942/$P2942</f>
      </c>
      <c r="S2942" s="8">
        <f>Q2942^2+R2942^2</f>
      </c>
      <c r="T2942" s="7">
        <f>-R2942</f>
      </c>
      <c r="U2942" s="7">
        <f>Q2942</f>
      </c>
      <c r="V2942" s="7">
        <f>($C$14+($C$15-$C$14)/($D$15-$D$14)*(I2942-$D$14))/2</f>
      </c>
      <c r="W2942" s="7">
        <f>($B$22*I2942^4+$C$22*I2942^3+$D$22*I2942^2+$E$22*I2942+$F$22)/2</f>
      </c>
      <c r="X2942" s="7">
        <f>($W2942)*(T2942)</f>
      </c>
      <c r="Y2942" s="7">
        <f>($W2942)*(U2942)</f>
      </c>
      <c r="Z2942" s="7">
        <f>SQRT(X2942^2+Y2942^2)</f>
      </c>
      <c r="AA2942" s="7">
        <f>$K2942+$X2942</f>
      </c>
      <c r="AB2942" s="7">
        <f>$L2942+$Y2942</f>
      </c>
      <c r="AC2942" s="7">
        <f>$K2942-$X2942</f>
      </c>
      <c r="AD2942" s="7">
        <f>$L2942-$Y2942</f>
      </c>
      <c r="AE2942" s="7">
        <f>AA2942/39.3701</f>
      </c>
      <c r="AF2942" s="7">
        <f>AB2942/39.3701</f>
      </c>
      <c r="AG2942" s="7">
        <f>AC2942/39.3701</f>
      </c>
      <c r="AH2942" s="7">
        <f>AD2942/39.3701</f>
      </c>
      <c r="AI2942" s="1"/>
      <c r="AJ2942" s="1"/>
      <c r="AK2942" s="1"/>
      <c r="AL2942" s="1"/>
      <c r="AM2942" s="2"/>
      <c r="AN2942" s="1"/>
      <c r="AO2942" s="1"/>
      <c r="AP2942" s="1"/>
      <c r="AQ2942" s="1"/>
      <c r="AR2942" s="1"/>
      <c r="AS2942" s="1"/>
      <c r="AT2942" s="1"/>
      <c r="AU2942" s="1"/>
      <c r="AV2942" s="1"/>
      <c r="AW2942" s="1"/>
      <c r="AX2942" s="1"/>
      <c r="AY2942" s="1"/>
      <c r="AZ2942" s="1"/>
      <c r="BA2942" s="1"/>
      <c r="BB2942" s="1"/>
      <c r="BC2942" s="1"/>
      <c r="BD2942" s="1"/>
      <c r="BE2942" s="1"/>
    </row>
    <row x14ac:dyDescent="0.25" r="2943" customHeight="1" ht="18.75">
      <c r="A2943" s="1"/>
      <c r="B2943" s="2"/>
      <c r="C2943" s="2"/>
      <c r="D2943" s="2"/>
      <c r="E2943" s="2"/>
      <c r="F2943" s="2"/>
      <c r="G2943" s="1"/>
      <c r="H2943" s="1"/>
      <c r="I2943" s="7">
        <v>2.94</v>
      </c>
      <c r="J2943" s="7">
        <f>IF((I2943-ROUNDDOWN(I2943,0))=0, 0, (I2943-ROUNDDOWN(I2943,0)))</f>
      </c>
      <c r="K2943" s="7">
        <f>INDIRECT("C$"&amp;2+MIN(2,ROUNDDOWN(I2943,0))*3)*(-$J2943^3+3*$J2943^2-3*$J2943+1)+INDIRECT("C$"&amp;3+MIN(2,ROUNDDOWN(I2943,0))*3)*(3*$J2943^3-6*$J2943^2+3*$J2943)+INDIRECT("C$"&amp;4+MIN(2,ROUNDDOWN(I2943,0))*3)*(-3*$J2943^3+3*$J2943^2)+INDIRECT("C$"&amp;5+MIN(2,ROUNDDOWN(I2943,0))*3)*$J2943^3</f>
      </c>
      <c r="L2943" s="7">
        <f>INDIRECT("D$"&amp;2+MIN(2,ROUNDDOWN(I2943,0))*3)*(-$J2943^3+3*$J2943^2-3*$J2943+1)+INDIRECT("D$"&amp;3+MIN(2,ROUNDDOWN(I2943,0))*3)*(3*$J2943^3-6*$J2943^2+3*$J2943)+INDIRECT("D$"&amp;4+MIN(2,ROUNDDOWN(I2943,0))*3)*(-3*$J2943^3+3*$J2943^2)+INDIRECT("D$"&amp;5+MIN(2,ROUNDDOWN(I2943,0))*3)*$J2943^3</f>
      </c>
      <c r="M2943" s="7">
        <f>SQRT(K2943^2+L2943^2)</f>
      </c>
      <c r="N2943" s="7">
        <f>(K2944-K2942)</f>
      </c>
      <c r="O2943" s="7">
        <f>+(L2944-L2942)</f>
      </c>
      <c r="P2943" s="7">
        <f>SQRT(O2943^2+N2943^2)</f>
      </c>
      <c r="Q2943" s="7">
        <f>N2943/$P2943</f>
      </c>
      <c r="R2943" s="7">
        <f>O2943/$P2943</f>
      </c>
      <c r="S2943" s="7">
        <f>Q2943^2+R2943^2</f>
      </c>
      <c r="T2943" s="7">
        <f>-R2943</f>
      </c>
      <c r="U2943" s="7">
        <f>Q2943</f>
      </c>
      <c r="V2943" s="7">
        <f>($C$14+($C$15-$C$14)/($D$15-$D$14)*(I2943-$D$14))/2</f>
      </c>
      <c r="W2943" s="7">
        <f>($B$22*I2943^4+$C$22*I2943^3+$D$22*I2943^2+$E$22*I2943+$F$22)/2</f>
      </c>
      <c r="X2943" s="7">
        <f>($W2943)*(T2943)</f>
      </c>
      <c r="Y2943" s="7">
        <f>($W2943)*(U2943)</f>
      </c>
      <c r="Z2943" s="7">
        <f>SQRT(X2943^2+Y2943^2)</f>
      </c>
      <c r="AA2943" s="7">
        <f>$K2943+$X2943</f>
      </c>
      <c r="AB2943" s="7">
        <f>$L2943+$Y2943</f>
      </c>
      <c r="AC2943" s="7">
        <f>$K2943-$X2943</f>
      </c>
      <c r="AD2943" s="7">
        <f>$L2943-$Y2943</f>
      </c>
      <c r="AE2943" s="7">
        <f>AA2943/39.3701</f>
      </c>
      <c r="AF2943" s="7">
        <f>AB2943/39.3701</f>
      </c>
      <c r="AG2943" s="7">
        <f>AC2943/39.3701</f>
      </c>
      <c r="AH2943" s="7">
        <f>AD2943/39.3701</f>
      </c>
      <c r="AI2943" s="1"/>
      <c r="AJ2943" s="1"/>
      <c r="AK2943" s="1"/>
      <c r="AL2943" s="1"/>
      <c r="AM2943" s="2"/>
      <c r="AN2943" s="1"/>
      <c r="AO2943" s="1"/>
      <c r="AP2943" s="1"/>
      <c r="AQ2943" s="1"/>
      <c r="AR2943" s="1"/>
      <c r="AS2943" s="1"/>
      <c r="AT2943" s="1"/>
      <c r="AU2943" s="1"/>
      <c r="AV2943" s="1"/>
      <c r="AW2943" s="1"/>
      <c r="AX2943" s="1"/>
      <c r="AY2943" s="1"/>
      <c r="AZ2943" s="1"/>
      <c r="BA2943" s="1"/>
      <c r="BB2943" s="1"/>
      <c r="BC2943" s="1"/>
      <c r="BD2943" s="1"/>
      <c r="BE2943" s="1"/>
    </row>
    <row x14ac:dyDescent="0.25" r="2944" customHeight="1" ht="18.75">
      <c r="A2944" s="1"/>
      <c r="B2944" s="2"/>
      <c r="C2944" s="2"/>
      <c r="D2944" s="2"/>
      <c r="E2944" s="2"/>
      <c r="F2944" s="2"/>
      <c r="G2944" s="1"/>
      <c r="H2944" s="1"/>
      <c r="I2944" s="7">
        <v>2.941</v>
      </c>
      <c r="J2944" s="7">
        <f>IF((I2944-ROUNDDOWN(I2944,0))=0, 0, (I2944-ROUNDDOWN(I2944,0)))</f>
      </c>
      <c r="K2944" s="7">
        <f>INDIRECT("C$"&amp;2+MIN(2,ROUNDDOWN(I2944,0))*3)*(-$J2944^3+3*$J2944^2-3*$J2944+1)+INDIRECT("C$"&amp;3+MIN(2,ROUNDDOWN(I2944,0))*3)*(3*$J2944^3-6*$J2944^2+3*$J2944)+INDIRECT("C$"&amp;4+MIN(2,ROUNDDOWN(I2944,0))*3)*(-3*$J2944^3+3*$J2944^2)+INDIRECT("C$"&amp;5+MIN(2,ROUNDDOWN(I2944,0))*3)*$J2944^3</f>
      </c>
      <c r="L2944" s="7">
        <f>INDIRECT("D$"&amp;2+MIN(2,ROUNDDOWN(I2944,0))*3)*(-$J2944^3+3*$J2944^2-3*$J2944+1)+INDIRECT("D$"&amp;3+MIN(2,ROUNDDOWN(I2944,0))*3)*(3*$J2944^3-6*$J2944^2+3*$J2944)+INDIRECT("D$"&amp;4+MIN(2,ROUNDDOWN(I2944,0))*3)*(-3*$J2944^3+3*$J2944^2)+INDIRECT("D$"&amp;5+MIN(2,ROUNDDOWN(I2944,0))*3)*$J2944^3</f>
      </c>
      <c r="M2944" s="7">
        <f>SQRT(K2944^2+L2944^2)</f>
      </c>
      <c r="N2944" s="7">
        <f>(K2945-K2943)</f>
      </c>
      <c r="O2944" s="7">
        <f>+(L2945-L2943)</f>
      </c>
      <c r="P2944" s="7">
        <f>SQRT(O2944^2+N2944^2)</f>
      </c>
      <c r="Q2944" s="7">
        <f>N2944/$P2944</f>
      </c>
      <c r="R2944" s="7">
        <f>O2944/$P2944</f>
      </c>
      <c r="S2944" s="8">
        <f>Q2944^2+R2944^2</f>
      </c>
      <c r="T2944" s="7">
        <f>-R2944</f>
      </c>
      <c r="U2944" s="7">
        <f>Q2944</f>
      </c>
      <c r="V2944" s="7">
        <f>($C$14+($C$15-$C$14)/($D$15-$D$14)*(I2944-$D$14))/2</f>
      </c>
      <c r="W2944" s="7">
        <f>($B$22*I2944^4+$C$22*I2944^3+$D$22*I2944^2+$E$22*I2944+$F$22)/2</f>
      </c>
      <c r="X2944" s="7">
        <f>($W2944)*(T2944)</f>
      </c>
      <c r="Y2944" s="7">
        <f>($W2944)*(U2944)</f>
      </c>
      <c r="Z2944" s="7">
        <f>SQRT(X2944^2+Y2944^2)</f>
      </c>
      <c r="AA2944" s="7">
        <f>$K2944+$X2944</f>
      </c>
      <c r="AB2944" s="7">
        <f>$L2944+$Y2944</f>
      </c>
      <c r="AC2944" s="7">
        <f>$K2944-$X2944</f>
      </c>
      <c r="AD2944" s="7">
        <f>$L2944-$Y2944</f>
      </c>
      <c r="AE2944" s="7">
        <f>AA2944/39.3701</f>
      </c>
      <c r="AF2944" s="7">
        <f>AB2944/39.3701</f>
      </c>
      <c r="AG2944" s="7">
        <f>AC2944/39.3701</f>
      </c>
      <c r="AH2944" s="7">
        <f>AD2944/39.3701</f>
      </c>
      <c r="AI2944" s="1"/>
      <c r="AJ2944" s="1"/>
      <c r="AK2944" s="1"/>
      <c r="AL2944" s="1"/>
      <c r="AM2944" s="2"/>
      <c r="AN2944" s="1"/>
      <c r="AO2944" s="1"/>
      <c r="AP2944" s="1"/>
      <c r="AQ2944" s="1"/>
      <c r="AR2944" s="1"/>
      <c r="AS2944" s="1"/>
      <c r="AT2944" s="1"/>
      <c r="AU2944" s="1"/>
      <c r="AV2944" s="1"/>
      <c r="AW2944" s="1"/>
      <c r="AX2944" s="1"/>
      <c r="AY2944" s="1"/>
      <c r="AZ2944" s="1"/>
      <c r="BA2944" s="1"/>
      <c r="BB2944" s="1"/>
      <c r="BC2944" s="1"/>
      <c r="BD2944" s="1"/>
      <c r="BE2944" s="1"/>
    </row>
    <row x14ac:dyDescent="0.25" r="2945" customHeight="1" ht="18.75">
      <c r="A2945" s="1"/>
      <c r="B2945" s="2"/>
      <c r="C2945" s="2"/>
      <c r="D2945" s="2"/>
      <c r="E2945" s="2"/>
      <c r="F2945" s="2"/>
      <c r="G2945" s="1"/>
      <c r="H2945" s="1"/>
      <c r="I2945" s="7">
        <v>2.942</v>
      </c>
      <c r="J2945" s="7">
        <f>IF((I2945-ROUNDDOWN(I2945,0))=0, 0, (I2945-ROUNDDOWN(I2945,0)))</f>
      </c>
      <c r="K2945" s="7">
        <f>INDIRECT("C$"&amp;2+MIN(2,ROUNDDOWN(I2945,0))*3)*(-$J2945^3+3*$J2945^2-3*$J2945+1)+INDIRECT("C$"&amp;3+MIN(2,ROUNDDOWN(I2945,0))*3)*(3*$J2945^3-6*$J2945^2+3*$J2945)+INDIRECT("C$"&amp;4+MIN(2,ROUNDDOWN(I2945,0))*3)*(-3*$J2945^3+3*$J2945^2)+INDIRECT("C$"&amp;5+MIN(2,ROUNDDOWN(I2945,0))*3)*$J2945^3</f>
      </c>
      <c r="L2945" s="7">
        <f>INDIRECT("D$"&amp;2+MIN(2,ROUNDDOWN(I2945,0))*3)*(-$J2945^3+3*$J2945^2-3*$J2945+1)+INDIRECT("D$"&amp;3+MIN(2,ROUNDDOWN(I2945,0))*3)*(3*$J2945^3-6*$J2945^2+3*$J2945)+INDIRECT("D$"&amp;4+MIN(2,ROUNDDOWN(I2945,0))*3)*(-3*$J2945^3+3*$J2945^2)+INDIRECT("D$"&amp;5+MIN(2,ROUNDDOWN(I2945,0))*3)*$J2945^3</f>
      </c>
      <c r="M2945" s="7">
        <f>SQRT(K2945^2+L2945^2)</f>
      </c>
      <c r="N2945" s="7">
        <f>(K2946-K2944)</f>
      </c>
      <c r="O2945" s="7">
        <f>+(L2946-L2944)</f>
      </c>
      <c r="P2945" s="7">
        <f>SQRT(O2945^2+N2945^2)</f>
      </c>
      <c r="Q2945" s="7">
        <f>N2945/$P2945</f>
      </c>
      <c r="R2945" s="7">
        <f>O2945/$P2945</f>
      </c>
      <c r="S2945" s="7">
        <f>Q2945^2+R2945^2</f>
      </c>
      <c r="T2945" s="7">
        <f>-R2945</f>
      </c>
      <c r="U2945" s="7">
        <f>Q2945</f>
      </c>
      <c r="V2945" s="7">
        <f>($C$14+($C$15-$C$14)/($D$15-$D$14)*(I2945-$D$14))/2</f>
      </c>
      <c r="W2945" s="7">
        <f>($B$22*I2945^4+$C$22*I2945^3+$D$22*I2945^2+$E$22*I2945+$F$22)/2</f>
      </c>
      <c r="X2945" s="7">
        <f>($W2945)*(T2945)</f>
      </c>
      <c r="Y2945" s="7">
        <f>($W2945)*(U2945)</f>
      </c>
      <c r="Z2945" s="7">
        <f>SQRT(X2945^2+Y2945^2)</f>
      </c>
      <c r="AA2945" s="7">
        <f>$K2945+$X2945</f>
      </c>
      <c r="AB2945" s="7">
        <f>$L2945+$Y2945</f>
      </c>
      <c r="AC2945" s="7">
        <f>$K2945-$X2945</f>
      </c>
      <c r="AD2945" s="7">
        <f>$L2945-$Y2945</f>
      </c>
      <c r="AE2945" s="7">
        <f>AA2945/39.3701</f>
      </c>
      <c r="AF2945" s="7">
        <f>AB2945/39.3701</f>
      </c>
      <c r="AG2945" s="7">
        <f>AC2945/39.3701</f>
      </c>
      <c r="AH2945" s="7">
        <f>AD2945/39.3701</f>
      </c>
      <c r="AI2945" s="1"/>
      <c r="AJ2945" s="1"/>
      <c r="AK2945" s="1"/>
      <c r="AL2945" s="1"/>
      <c r="AM2945" s="2"/>
      <c r="AN2945" s="1"/>
      <c r="AO2945" s="1"/>
      <c r="AP2945" s="1"/>
      <c r="AQ2945" s="1"/>
      <c r="AR2945" s="1"/>
      <c r="AS2945" s="1"/>
      <c r="AT2945" s="1"/>
      <c r="AU2945" s="1"/>
      <c r="AV2945" s="1"/>
      <c r="AW2945" s="1"/>
      <c r="AX2945" s="1"/>
      <c r="AY2945" s="1"/>
      <c r="AZ2945" s="1"/>
      <c r="BA2945" s="1"/>
      <c r="BB2945" s="1"/>
      <c r="BC2945" s="1"/>
      <c r="BD2945" s="1"/>
      <c r="BE2945" s="1"/>
    </row>
    <row x14ac:dyDescent="0.25" r="2946" customHeight="1" ht="18.75">
      <c r="A2946" s="1"/>
      <c r="B2946" s="2"/>
      <c r="C2946" s="2"/>
      <c r="D2946" s="2"/>
      <c r="E2946" s="2"/>
      <c r="F2946" s="2"/>
      <c r="G2946" s="1"/>
      <c r="H2946" s="1"/>
      <c r="I2946" s="7">
        <v>2.943</v>
      </c>
      <c r="J2946" s="7">
        <f>IF((I2946-ROUNDDOWN(I2946,0))=0, 0, (I2946-ROUNDDOWN(I2946,0)))</f>
      </c>
      <c r="K2946" s="7">
        <f>INDIRECT("C$"&amp;2+MIN(2,ROUNDDOWN(I2946,0))*3)*(-$J2946^3+3*$J2946^2-3*$J2946+1)+INDIRECT("C$"&amp;3+MIN(2,ROUNDDOWN(I2946,0))*3)*(3*$J2946^3-6*$J2946^2+3*$J2946)+INDIRECT("C$"&amp;4+MIN(2,ROUNDDOWN(I2946,0))*3)*(-3*$J2946^3+3*$J2946^2)+INDIRECT("C$"&amp;5+MIN(2,ROUNDDOWN(I2946,0))*3)*$J2946^3</f>
      </c>
      <c r="L2946" s="7">
        <f>INDIRECT("D$"&amp;2+MIN(2,ROUNDDOWN(I2946,0))*3)*(-$J2946^3+3*$J2946^2-3*$J2946+1)+INDIRECT("D$"&amp;3+MIN(2,ROUNDDOWN(I2946,0))*3)*(3*$J2946^3-6*$J2946^2+3*$J2946)+INDIRECT("D$"&amp;4+MIN(2,ROUNDDOWN(I2946,0))*3)*(-3*$J2946^3+3*$J2946^2)+INDIRECT("D$"&amp;5+MIN(2,ROUNDDOWN(I2946,0))*3)*$J2946^3</f>
      </c>
      <c r="M2946" s="7">
        <f>SQRT(K2946^2+L2946^2)</f>
      </c>
      <c r="N2946" s="7">
        <f>(K2947-K2945)</f>
      </c>
      <c r="O2946" s="7">
        <f>+(L2947-L2945)</f>
      </c>
      <c r="P2946" s="7">
        <f>SQRT(O2946^2+N2946^2)</f>
      </c>
      <c r="Q2946" s="7">
        <f>N2946/$P2946</f>
      </c>
      <c r="R2946" s="7">
        <f>O2946/$P2946</f>
      </c>
      <c r="S2946" s="8">
        <f>Q2946^2+R2946^2</f>
      </c>
      <c r="T2946" s="7">
        <f>-R2946</f>
      </c>
      <c r="U2946" s="7">
        <f>Q2946</f>
      </c>
      <c r="V2946" s="7">
        <f>($C$14+($C$15-$C$14)/($D$15-$D$14)*(I2946-$D$14))/2</f>
      </c>
      <c r="W2946" s="7">
        <f>($B$22*I2946^4+$C$22*I2946^3+$D$22*I2946^2+$E$22*I2946+$F$22)/2</f>
      </c>
      <c r="X2946" s="7">
        <f>($W2946)*(T2946)</f>
      </c>
      <c r="Y2946" s="7">
        <f>($W2946)*(U2946)</f>
      </c>
      <c r="Z2946" s="7">
        <f>SQRT(X2946^2+Y2946^2)</f>
      </c>
      <c r="AA2946" s="7">
        <f>$K2946+$X2946</f>
      </c>
      <c r="AB2946" s="7">
        <f>$L2946+$Y2946</f>
      </c>
      <c r="AC2946" s="7">
        <f>$K2946-$X2946</f>
      </c>
      <c r="AD2946" s="7">
        <f>$L2946-$Y2946</f>
      </c>
      <c r="AE2946" s="7">
        <f>AA2946/39.3701</f>
      </c>
      <c r="AF2946" s="7">
        <f>AB2946/39.3701</f>
      </c>
      <c r="AG2946" s="7">
        <f>AC2946/39.3701</f>
      </c>
      <c r="AH2946" s="7">
        <f>AD2946/39.3701</f>
      </c>
      <c r="AI2946" s="1"/>
      <c r="AJ2946" s="1"/>
      <c r="AK2946" s="1"/>
      <c r="AL2946" s="1"/>
      <c r="AM2946" s="2"/>
      <c r="AN2946" s="1"/>
      <c r="AO2946" s="1"/>
      <c r="AP2946" s="1"/>
      <c r="AQ2946" s="1"/>
      <c r="AR2946" s="1"/>
      <c r="AS2946" s="1"/>
      <c r="AT2946" s="1"/>
      <c r="AU2946" s="1"/>
      <c r="AV2946" s="1"/>
      <c r="AW2946" s="1"/>
      <c r="AX2946" s="1"/>
      <c r="AY2946" s="1"/>
      <c r="AZ2946" s="1"/>
      <c r="BA2946" s="1"/>
      <c r="BB2946" s="1"/>
      <c r="BC2946" s="1"/>
      <c r="BD2946" s="1"/>
      <c r="BE2946" s="1"/>
    </row>
    <row x14ac:dyDescent="0.25" r="2947" customHeight="1" ht="18.75">
      <c r="A2947" s="1"/>
      <c r="B2947" s="2"/>
      <c r="C2947" s="2"/>
      <c r="D2947" s="2"/>
      <c r="E2947" s="2"/>
      <c r="F2947" s="2"/>
      <c r="G2947" s="1"/>
      <c r="H2947" s="1"/>
      <c r="I2947" s="7">
        <v>2.944</v>
      </c>
      <c r="J2947" s="7">
        <f>IF((I2947-ROUNDDOWN(I2947,0))=0, 0, (I2947-ROUNDDOWN(I2947,0)))</f>
      </c>
      <c r="K2947" s="7">
        <f>INDIRECT("C$"&amp;2+MIN(2,ROUNDDOWN(I2947,0))*3)*(-$J2947^3+3*$J2947^2-3*$J2947+1)+INDIRECT("C$"&amp;3+MIN(2,ROUNDDOWN(I2947,0))*3)*(3*$J2947^3-6*$J2947^2+3*$J2947)+INDIRECT("C$"&amp;4+MIN(2,ROUNDDOWN(I2947,0))*3)*(-3*$J2947^3+3*$J2947^2)+INDIRECT("C$"&amp;5+MIN(2,ROUNDDOWN(I2947,0))*3)*$J2947^3</f>
      </c>
      <c r="L2947" s="7">
        <f>INDIRECT("D$"&amp;2+MIN(2,ROUNDDOWN(I2947,0))*3)*(-$J2947^3+3*$J2947^2-3*$J2947+1)+INDIRECT("D$"&amp;3+MIN(2,ROUNDDOWN(I2947,0))*3)*(3*$J2947^3-6*$J2947^2+3*$J2947)+INDIRECT("D$"&amp;4+MIN(2,ROUNDDOWN(I2947,0))*3)*(-3*$J2947^3+3*$J2947^2)+INDIRECT("D$"&amp;5+MIN(2,ROUNDDOWN(I2947,0))*3)*$J2947^3</f>
      </c>
      <c r="M2947" s="7">
        <f>SQRT(K2947^2+L2947^2)</f>
      </c>
      <c r="N2947" s="7">
        <f>(K2948-K2946)</f>
      </c>
      <c r="O2947" s="7">
        <f>+(L2948-L2946)</f>
      </c>
      <c r="P2947" s="7">
        <f>SQRT(O2947^2+N2947^2)</f>
      </c>
      <c r="Q2947" s="7">
        <f>N2947/$P2947</f>
      </c>
      <c r="R2947" s="7">
        <f>O2947/$P2947</f>
      </c>
      <c r="S2947" s="8">
        <f>Q2947^2+R2947^2</f>
      </c>
      <c r="T2947" s="7">
        <f>-R2947</f>
      </c>
      <c r="U2947" s="7">
        <f>Q2947</f>
      </c>
      <c r="V2947" s="7">
        <f>($C$14+($C$15-$C$14)/($D$15-$D$14)*(I2947-$D$14))/2</f>
      </c>
      <c r="W2947" s="7">
        <f>($B$22*I2947^4+$C$22*I2947^3+$D$22*I2947^2+$E$22*I2947+$F$22)/2</f>
      </c>
      <c r="X2947" s="7">
        <f>($W2947)*(T2947)</f>
      </c>
      <c r="Y2947" s="7">
        <f>($W2947)*(U2947)</f>
      </c>
      <c r="Z2947" s="7">
        <f>SQRT(X2947^2+Y2947^2)</f>
      </c>
      <c r="AA2947" s="7">
        <f>$K2947+$X2947</f>
      </c>
      <c r="AB2947" s="7">
        <f>$L2947+$Y2947</f>
      </c>
      <c r="AC2947" s="7">
        <f>$K2947-$X2947</f>
      </c>
      <c r="AD2947" s="7">
        <f>$L2947-$Y2947</f>
      </c>
      <c r="AE2947" s="7">
        <f>AA2947/39.3701</f>
      </c>
      <c r="AF2947" s="7">
        <f>AB2947/39.3701</f>
      </c>
      <c r="AG2947" s="7">
        <f>AC2947/39.3701</f>
      </c>
      <c r="AH2947" s="7">
        <f>AD2947/39.3701</f>
      </c>
      <c r="AI2947" s="1"/>
      <c r="AJ2947" s="1"/>
      <c r="AK2947" s="1"/>
      <c r="AL2947" s="1"/>
      <c r="AM2947" s="2"/>
      <c r="AN2947" s="1"/>
      <c r="AO2947" s="1"/>
      <c r="AP2947" s="1"/>
      <c r="AQ2947" s="1"/>
      <c r="AR2947" s="1"/>
      <c r="AS2947" s="1"/>
      <c r="AT2947" s="1"/>
      <c r="AU2947" s="1"/>
      <c r="AV2947" s="1"/>
      <c r="AW2947" s="1"/>
      <c r="AX2947" s="1"/>
      <c r="AY2947" s="1"/>
      <c r="AZ2947" s="1"/>
      <c r="BA2947" s="1"/>
      <c r="BB2947" s="1"/>
      <c r="BC2947" s="1"/>
      <c r="BD2947" s="1"/>
      <c r="BE2947" s="1"/>
    </row>
    <row x14ac:dyDescent="0.25" r="2948" customHeight="1" ht="18.75">
      <c r="A2948" s="1"/>
      <c r="B2948" s="2"/>
      <c r="C2948" s="2"/>
      <c r="D2948" s="2"/>
      <c r="E2948" s="2"/>
      <c r="F2948" s="2"/>
      <c r="G2948" s="1"/>
      <c r="H2948" s="1"/>
      <c r="I2948" s="7">
        <v>2.945</v>
      </c>
      <c r="J2948" s="7">
        <f>IF((I2948-ROUNDDOWN(I2948,0))=0, 0, (I2948-ROUNDDOWN(I2948,0)))</f>
      </c>
      <c r="K2948" s="7">
        <f>INDIRECT("C$"&amp;2+MIN(2,ROUNDDOWN(I2948,0))*3)*(-$J2948^3+3*$J2948^2-3*$J2948+1)+INDIRECT("C$"&amp;3+MIN(2,ROUNDDOWN(I2948,0))*3)*(3*$J2948^3-6*$J2948^2+3*$J2948)+INDIRECT("C$"&amp;4+MIN(2,ROUNDDOWN(I2948,0))*3)*(-3*$J2948^3+3*$J2948^2)+INDIRECT("C$"&amp;5+MIN(2,ROUNDDOWN(I2948,0))*3)*$J2948^3</f>
      </c>
      <c r="L2948" s="7">
        <f>INDIRECT("D$"&amp;2+MIN(2,ROUNDDOWN(I2948,0))*3)*(-$J2948^3+3*$J2948^2-3*$J2948+1)+INDIRECT("D$"&amp;3+MIN(2,ROUNDDOWN(I2948,0))*3)*(3*$J2948^3-6*$J2948^2+3*$J2948)+INDIRECT("D$"&amp;4+MIN(2,ROUNDDOWN(I2948,0))*3)*(-3*$J2948^3+3*$J2948^2)+INDIRECT("D$"&amp;5+MIN(2,ROUNDDOWN(I2948,0))*3)*$J2948^3</f>
      </c>
      <c r="M2948" s="7">
        <f>SQRT(K2948^2+L2948^2)</f>
      </c>
      <c r="N2948" s="7">
        <f>(K2949-K2947)</f>
      </c>
      <c r="O2948" s="7">
        <f>+(L2949-L2947)</f>
      </c>
      <c r="P2948" s="7">
        <f>SQRT(O2948^2+N2948^2)</f>
      </c>
      <c r="Q2948" s="7">
        <f>N2948/$P2948</f>
      </c>
      <c r="R2948" s="7">
        <f>O2948/$P2948</f>
      </c>
      <c r="S2948" s="7">
        <f>Q2948^2+R2948^2</f>
      </c>
      <c r="T2948" s="7">
        <f>-R2948</f>
      </c>
      <c r="U2948" s="7">
        <f>Q2948</f>
      </c>
      <c r="V2948" s="7">
        <f>($C$14+($C$15-$C$14)/($D$15-$D$14)*(I2948-$D$14))/2</f>
      </c>
      <c r="W2948" s="7">
        <f>($B$22*I2948^4+$C$22*I2948^3+$D$22*I2948^2+$E$22*I2948+$F$22)/2</f>
      </c>
      <c r="X2948" s="7">
        <f>($W2948)*(T2948)</f>
      </c>
      <c r="Y2948" s="7">
        <f>($W2948)*(U2948)</f>
      </c>
      <c r="Z2948" s="7">
        <f>SQRT(X2948^2+Y2948^2)</f>
      </c>
      <c r="AA2948" s="7">
        <f>$K2948+$X2948</f>
      </c>
      <c r="AB2948" s="7">
        <f>$L2948+$Y2948</f>
      </c>
      <c r="AC2948" s="7">
        <f>$K2948-$X2948</f>
      </c>
      <c r="AD2948" s="7">
        <f>$L2948-$Y2948</f>
      </c>
      <c r="AE2948" s="7">
        <f>AA2948/39.3701</f>
      </c>
      <c r="AF2948" s="7">
        <f>AB2948/39.3701</f>
      </c>
      <c r="AG2948" s="7">
        <f>AC2948/39.3701</f>
      </c>
      <c r="AH2948" s="7">
        <f>AD2948/39.3701</f>
      </c>
      <c r="AI2948" s="1"/>
      <c r="AJ2948" s="1"/>
      <c r="AK2948" s="1"/>
      <c r="AL2948" s="1"/>
      <c r="AM2948" s="2"/>
      <c r="AN2948" s="1"/>
      <c r="AO2948" s="1"/>
      <c r="AP2948" s="1"/>
      <c r="AQ2948" s="1"/>
      <c r="AR2948" s="1"/>
      <c r="AS2948" s="1"/>
      <c r="AT2948" s="1"/>
      <c r="AU2948" s="1"/>
      <c r="AV2948" s="1"/>
      <c r="AW2948" s="1"/>
      <c r="AX2948" s="1"/>
      <c r="AY2948" s="1"/>
      <c r="AZ2948" s="1"/>
      <c r="BA2948" s="1"/>
      <c r="BB2948" s="1"/>
      <c r="BC2948" s="1"/>
      <c r="BD2948" s="1"/>
      <c r="BE2948" s="1"/>
    </row>
    <row x14ac:dyDescent="0.25" r="2949" customHeight="1" ht="18.75">
      <c r="A2949" s="1"/>
      <c r="B2949" s="2"/>
      <c r="C2949" s="2"/>
      <c r="D2949" s="2"/>
      <c r="E2949" s="2"/>
      <c r="F2949" s="2"/>
      <c r="G2949" s="1"/>
      <c r="H2949" s="1"/>
      <c r="I2949" s="7">
        <v>2.946</v>
      </c>
      <c r="J2949" s="7">
        <f>IF((I2949-ROUNDDOWN(I2949,0))=0, 0, (I2949-ROUNDDOWN(I2949,0)))</f>
      </c>
      <c r="K2949" s="7">
        <f>INDIRECT("C$"&amp;2+MIN(2,ROUNDDOWN(I2949,0))*3)*(-$J2949^3+3*$J2949^2-3*$J2949+1)+INDIRECT("C$"&amp;3+MIN(2,ROUNDDOWN(I2949,0))*3)*(3*$J2949^3-6*$J2949^2+3*$J2949)+INDIRECT("C$"&amp;4+MIN(2,ROUNDDOWN(I2949,0))*3)*(-3*$J2949^3+3*$J2949^2)+INDIRECT("C$"&amp;5+MIN(2,ROUNDDOWN(I2949,0))*3)*$J2949^3</f>
      </c>
      <c r="L2949" s="7">
        <f>INDIRECT("D$"&amp;2+MIN(2,ROUNDDOWN(I2949,0))*3)*(-$J2949^3+3*$J2949^2-3*$J2949+1)+INDIRECT("D$"&amp;3+MIN(2,ROUNDDOWN(I2949,0))*3)*(3*$J2949^3-6*$J2949^2+3*$J2949)+INDIRECT("D$"&amp;4+MIN(2,ROUNDDOWN(I2949,0))*3)*(-3*$J2949^3+3*$J2949^2)+INDIRECT("D$"&amp;5+MIN(2,ROUNDDOWN(I2949,0))*3)*$J2949^3</f>
      </c>
      <c r="M2949" s="7">
        <f>SQRT(K2949^2+L2949^2)</f>
      </c>
      <c r="N2949" s="7">
        <f>(K2950-K2948)</f>
      </c>
      <c r="O2949" s="7">
        <f>+(L2950-L2948)</f>
      </c>
      <c r="P2949" s="7">
        <f>SQRT(O2949^2+N2949^2)</f>
      </c>
      <c r="Q2949" s="7">
        <f>N2949/$P2949</f>
      </c>
      <c r="R2949" s="7">
        <f>O2949/$P2949</f>
      </c>
      <c r="S2949" s="8">
        <f>Q2949^2+R2949^2</f>
      </c>
      <c r="T2949" s="7">
        <f>-R2949</f>
      </c>
      <c r="U2949" s="7">
        <f>Q2949</f>
      </c>
      <c r="V2949" s="7">
        <f>($C$14+($C$15-$C$14)/($D$15-$D$14)*(I2949-$D$14))/2</f>
      </c>
      <c r="W2949" s="7">
        <f>($B$22*I2949^4+$C$22*I2949^3+$D$22*I2949^2+$E$22*I2949+$F$22)/2</f>
      </c>
      <c r="X2949" s="7">
        <f>($W2949)*(T2949)</f>
      </c>
      <c r="Y2949" s="7">
        <f>($W2949)*(U2949)</f>
      </c>
      <c r="Z2949" s="7">
        <f>SQRT(X2949^2+Y2949^2)</f>
      </c>
      <c r="AA2949" s="7">
        <f>$K2949+$X2949</f>
      </c>
      <c r="AB2949" s="7">
        <f>$L2949+$Y2949</f>
      </c>
      <c r="AC2949" s="7">
        <f>$K2949-$X2949</f>
      </c>
      <c r="AD2949" s="7">
        <f>$L2949-$Y2949</f>
      </c>
      <c r="AE2949" s="7">
        <f>AA2949/39.3701</f>
      </c>
      <c r="AF2949" s="7">
        <f>AB2949/39.3701</f>
      </c>
      <c r="AG2949" s="7">
        <f>AC2949/39.3701</f>
      </c>
      <c r="AH2949" s="7">
        <f>AD2949/39.3701</f>
      </c>
      <c r="AI2949" s="1"/>
      <c r="AJ2949" s="1"/>
      <c r="AK2949" s="1"/>
      <c r="AL2949" s="1"/>
      <c r="AM2949" s="2"/>
      <c r="AN2949" s="1"/>
      <c r="AO2949" s="1"/>
      <c r="AP2949" s="1"/>
      <c r="AQ2949" s="1"/>
      <c r="AR2949" s="1"/>
      <c r="AS2949" s="1"/>
      <c r="AT2949" s="1"/>
      <c r="AU2949" s="1"/>
      <c r="AV2949" s="1"/>
      <c r="AW2949" s="1"/>
      <c r="AX2949" s="1"/>
      <c r="AY2949" s="1"/>
      <c r="AZ2949" s="1"/>
      <c r="BA2949" s="1"/>
      <c r="BB2949" s="1"/>
      <c r="BC2949" s="1"/>
      <c r="BD2949" s="1"/>
      <c r="BE2949" s="1"/>
    </row>
    <row x14ac:dyDescent="0.25" r="2950" customHeight="1" ht="18.75">
      <c r="A2950" s="1"/>
      <c r="B2950" s="2"/>
      <c r="C2950" s="2"/>
      <c r="D2950" s="2"/>
      <c r="E2950" s="2"/>
      <c r="F2950" s="2"/>
      <c r="G2950" s="1"/>
      <c r="H2950" s="1"/>
      <c r="I2950" s="7">
        <v>2.947</v>
      </c>
      <c r="J2950" s="7">
        <f>IF((I2950-ROUNDDOWN(I2950,0))=0, 0, (I2950-ROUNDDOWN(I2950,0)))</f>
      </c>
      <c r="K2950" s="7">
        <f>INDIRECT("C$"&amp;2+MIN(2,ROUNDDOWN(I2950,0))*3)*(-$J2950^3+3*$J2950^2-3*$J2950+1)+INDIRECT("C$"&amp;3+MIN(2,ROUNDDOWN(I2950,0))*3)*(3*$J2950^3-6*$J2950^2+3*$J2950)+INDIRECT("C$"&amp;4+MIN(2,ROUNDDOWN(I2950,0))*3)*(-3*$J2950^3+3*$J2950^2)+INDIRECT("C$"&amp;5+MIN(2,ROUNDDOWN(I2950,0))*3)*$J2950^3</f>
      </c>
      <c r="L2950" s="7">
        <f>INDIRECT("D$"&amp;2+MIN(2,ROUNDDOWN(I2950,0))*3)*(-$J2950^3+3*$J2950^2-3*$J2950+1)+INDIRECT("D$"&amp;3+MIN(2,ROUNDDOWN(I2950,0))*3)*(3*$J2950^3-6*$J2950^2+3*$J2950)+INDIRECT("D$"&amp;4+MIN(2,ROUNDDOWN(I2950,0))*3)*(-3*$J2950^3+3*$J2950^2)+INDIRECT("D$"&amp;5+MIN(2,ROUNDDOWN(I2950,0))*3)*$J2950^3</f>
      </c>
      <c r="M2950" s="7">
        <f>SQRT(K2950^2+L2950^2)</f>
      </c>
      <c r="N2950" s="7">
        <f>(K2951-K2949)</f>
      </c>
      <c r="O2950" s="7">
        <f>+(L2951-L2949)</f>
      </c>
      <c r="P2950" s="7">
        <f>SQRT(O2950^2+N2950^2)</f>
      </c>
      <c r="Q2950" s="7">
        <f>N2950/$P2950</f>
      </c>
      <c r="R2950" s="7">
        <f>O2950/$P2950</f>
      </c>
      <c r="S2950" s="7">
        <f>Q2950^2+R2950^2</f>
      </c>
      <c r="T2950" s="7">
        <f>-R2950</f>
      </c>
      <c r="U2950" s="7">
        <f>Q2950</f>
      </c>
      <c r="V2950" s="7">
        <f>($C$14+($C$15-$C$14)/($D$15-$D$14)*(I2950-$D$14))/2</f>
      </c>
      <c r="W2950" s="7">
        <f>($B$22*I2950^4+$C$22*I2950^3+$D$22*I2950^2+$E$22*I2950+$F$22)/2</f>
      </c>
      <c r="X2950" s="7">
        <f>($W2950)*(T2950)</f>
      </c>
      <c r="Y2950" s="7">
        <f>($W2950)*(U2950)</f>
      </c>
      <c r="Z2950" s="7">
        <f>SQRT(X2950^2+Y2950^2)</f>
      </c>
      <c r="AA2950" s="7">
        <f>$K2950+$X2950</f>
      </c>
      <c r="AB2950" s="7">
        <f>$L2950+$Y2950</f>
      </c>
      <c r="AC2950" s="7">
        <f>$K2950-$X2950</f>
      </c>
      <c r="AD2950" s="7">
        <f>$L2950-$Y2950</f>
      </c>
      <c r="AE2950" s="7">
        <f>AA2950/39.3701</f>
      </c>
      <c r="AF2950" s="7">
        <f>AB2950/39.3701</f>
      </c>
      <c r="AG2950" s="7">
        <f>AC2950/39.3701</f>
      </c>
      <c r="AH2950" s="7">
        <f>AD2950/39.3701</f>
      </c>
      <c r="AI2950" s="1"/>
      <c r="AJ2950" s="1"/>
      <c r="AK2950" s="1"/>
      <c r="AL2950" s="1"/>
      <c r="AM2950" s="2"/>
      <c r="AN2950" s="1"/>
      <c r="AO2950" s="1"/>
      <c r="AP2950" s="1"/>
      <c r="AQ2950" s="1"/>
      <c r="AR2950" s="1"/>
      <c r="AS2950" s="1"/>
      <c r="AT2950" s="1"/>
      <c r="AU2950" s="1"/>
      <c r="AV2950" s="1"/>
      <c r="AW2950" s="1"/>
      <c r="AX2950" s="1"/>
      <c r="AY2950" s="1"/>
      <c r="AZ2950" s="1"/>
      <c r="BA2950" s="1"/>
      <c r="BB2950" s="1"/>
      <c r="BC2950" s="1"/>
      <c r="BD2950" s="1"/>
      <c r="BE2950" s="1"/>
    </row>
    <row x14ac:dyDescent="0.25" r="2951" customHeight="1" ht="18.75">
      <c r="A2951" s="1"/>
      <c r="B2951" s="2"/>
      <c r="C2951" s="2"/>
      <c r="D2951" s="2"/>
      <c r="E2951" s="2"/>
      <c r="F2951" s="2"/>
      <c r="G2951" s="1"/>
      <c r="H2951" s="1"/>
      <c r="I2951" s="7">
        <v>2.948</v>
      </c>
      <c r="J2951" s="7">
        <f>IF((I2951-ROUNDDOWN(I2951,0))=0, 0, (I2951-ROUNDDOWN(I2951,0)))</f>
      </c>
      <c r="K2951" s="7">
        <f>INDIRECT("C$"&amp;2+MIN(2,ROUNDDOWN(I2951,0))*3)*(-$J2951^3+3*$J2951^2-3*$J2951+1)+INDIRECT("C$"&amp;3+MIN(2,ROUNDDOWN(I2951,0))*3)*(3*$J2951^3-6*$J2951^2+3*$J2951)+INDIRECT("C$"&amp;4+MIN(2,ROUNDDOWN(I2951,0))*3)*(-3*$J2951^3+3*$J2951^2)+INDIRECT("C$"&amp;5+MIN(2,ROUNDDOWN(I2951,0))*3)*$J2951^3</f>
      </c>
      <c r="L2951" s="7">
        <f>INDIRECT("D$"&amp;2+MIN(2,ROUNDDOWN(I2951,0))*3)*(-$J2951^3+3*$J2951^2-3*$J2951+1)+INDIRECT("D$"&amp;3+MIN(2,ROUNDDOWN(I2951,0))*3)*(3*$J2951^3-6*$J2951^2+3*$J2951)+INDIRECT("D$"&amp;4+MIN(2,ROUNDDOWN(I2951,0))*3)*(-3*$J2951^3+3*$J2951^2)+INDIRECT("D$"&amp;5+MIN(2,ROUNDDOWN(I2951,0))*3)*$J2951^3</f>
      </c>
      <c r="M2951" s="7">
        <f>SQRT(K2951^2+L2951^2)</f>
      </c>
      <c r="N2951" s="7">
        <f>(K2952-K2950)</f>
      </c>
      <c r="O2951" s="7">
        <f>+(L2952-L2950)</f>
      </c>
      <c r="P2951" s="7">
        <f>SQRT(O2951^2+N2951^2)</f>
      </c>
      <c r="Q2951" s="7">
        <f>N2951/$P2951</f>
      </c>
      <c r="R2951" s="7">
        <f>O2951/$P2951</f>
      </c>
      <c r="S2951" s="7">
        <f>Q2951^2+R2951^2</f>
      </c>
      <c r="T2951" s="7">
        <f>-R2951</f>
      </c>
      <c r="U2951" s="7">
        <f>Q2951</f>
      </c>
      <c r="V2951" s="7">
        <f>($C$14+($C$15-$C$14)/($D$15-$D$14)*(I2951-$D$14))/2</f>
      </c>
      <c r="W2951" s="7">
        <f>($B$22*I2951^4+$C$22*I2951^3+$D$22*I2951^2+$E$22*I2951+$F$22)/2</f>
      </c>
      <c r="X2951" s="7">
        <f>($W2951)*(T2951)</f>
      </c>
      <c r="Y2951" s="7">
        <f>($W2951)*(U2951)</f>
      </c>
      <c r="Z2951" s="7">
        <f>SQRT(X2951^2+Y2951^2)</f>
      </c>
      <c r="AA2951" s="7">
        <f>$K2951+$X2951</f>
      </c>
      <c r="AB2951" s="7">
        <f>$L2951+$Y2951</f>
      </c>
      <c r="AC2951" s="7">
        <f>$K2951-$X2951</f>
      </c>
      <c r="AD2951" s="7">
        <f>$L2951-$Y2951</f>
      </c>
      <c r="AE2951" s="7">
        <f>AA2951/39.3701</f>
      </c>
      <c r="AF2951" s="7">
        <f>AB2951/39.3701</f>
      </c>
      <c r="AG2951" s="7">
        <f>AC2951/39.3701</f>
      </c>
      <c r="AH2951" s="7">
        <f>AD2951/39.3701</f>
      </c>
      <c r="AI2951" s="1"/>
      <c r="AJ2951" s="1"/>
      <c r="AK2951" s="1"/>
      <c r="AL2951" s="1"/>
      <c r="AM2951" s="2"/>
      <c r="AN2951" s="1"/>
      <c r="AO2951" s="1"/>
      <c r="AP2951" s="1"/>
      <c r="AQ2951" s="1"/>
      <c r="AR2951" s="1"/>
      <c r="AS2951" s="1"/>
      <c r="AT2951" s="1"/>
      <c r="AU2951" s="1"/>
      <c r="AV2951" s="1"/>
      <c r="AW2951" s="1"/>
      <c r="AX2951" s="1"/>
      <c r="AY2951" s="1"/>
      <c r="AZ2951" s="1"/>
      <c r="BA2951" s="1"/>
      <c r="BB2951" s="1"/>
      <c r="BC2951" s="1"/>
      <c r="BD2951" s="1"/>
      <c r="BE2951" s="1"/>
    </row>
    <row x14ac:dyDescent="0.25" r="2952" customHeight="1" ht="18.75">
      <c r="A2952" s="1"/>
      <c r="B2952" s="2"/>
      <c r="C2952" s="2"/>
      <c r="D2952" s="2"/>
      <c r="E2952" s="2"/>
      <c r="F2952" s="2"/>
      <c r="G2952" s="1"/>
      <c r="H2952" s="1"/>
      <c r="I2952" s="7">
        <v>2.949</v>
      </c>
      <c r="J2952" s="7">
        <f>IF((I2952-ROUNDDOWN(I2952,0))=0, 0, (I2952-ROUNDDOWN(I2952,0)))</f>
      </c>
      <c r="K2952" s="7">
        <f>INDIRECT("C$"&amp;2+MIN(2,ROUNDDOWN(I2952,0))*3)*(-$J2952^3+3*$J2952^2-3*$J2952+1)+INDIRECT("C$"&amp;3+MIN(2,ROUNDDOWN(I2952,0))*3)*(3*$J2952^3-6*$J2952^2+3*$J2952)+INDIRECT("C$"&amp;4+MIN(2,ROUNDDOWN(I2952,0))*3)*(-3*$J2952^3+3*$J2952^2)+INDIRECT("C$"&amp;5+MIN(2,ROUNDDOWN(I2952,0))*3)*$J2952^3</f>
      </c>
      <c r="L2952" s="7">
        <f>INDIRECT("D$"&amp;2+MIN(2,ROUNDDOWN(I2952,0))*3)*(-$J2952^3+3*$J2952^2-3*$J2952+1)+INDIRECT("D$"&amp;3+MIN(2,ROUNDDOWN(I2952,0))*3)*(3*$J2952^3-6*$J2952^2+3*$J2952)+INDIRECT("D$"&amp;4+MIN(2,ROUNDDOWN(I2952,0))*3)*(-3*$J2952^3+3*$J2952^2)+INDIRECT("D$"&amp;5+MIN(2,ROUNDDOWN(I2952,0))*3)*$J2952^3</f>
      </c>
      <c r="M2952" s="7">
        <f>SQRT(K2952^2+L2952^2)</f>
      </c>
      <c r="N2952" s="7">
        <f>(K2953-K2951)</f>
      </c>
      <c r="O2952" s="7">
        <f>+(L2953-L2951)</f>
      </c>
      <c r="P2952" s="7">
        <f>SQRT(O2952^2+N2952^2)</f>
      </c>
      <c r="Q2952" s="7">
        <f>N2952/$P2952</f>
      </c>
      <c r="R2952" s="7">
        <f>O2952/$P2952</f>
      </c>
      <c r="S2952" s="7">
        <f>Q2952^2+R2952^2</f>
      </c>
      <c r="T2952" s="7">
        <f>-R2952</f>
      </c>
      <c r="U2952" s="7">
        <f>Q2952</f>
      </c>
      <c r="V2952" s="7">
        <f>($C$14+($C$15-$C$14)/($D$15-$D$14)*(I2952-$D$14))/2</f>
      </c>
      <c r="W2952" s="7">
        <f>($B$22*I2952^4+$C$22*I2952^3+$D$22*I2952^2+$E$22*I2952+$F$22)/2</f>
      </c>
      <c r="X2952" s="7">
        <f>($W2952)*(T2952)</f>
      </c>
      <c r="Y2952" s="7">
        <f>($W2952)*(U2952)</f>
      </c>
      <c r="Z2952" s="7">
        <f>SQRT(X2952^2+Y2952^2)</f>
      </c>
      <c r="AA2952" s="7">
        <f>$K2952+$X2952</f>
      </c>
      <c r="AB2952" s="7">
        <f>$L2952+$Y2952</f>
      </c>
      <c r="AC2952" s="7">
        <f>$K2952-$X2952</f>
      </c>
      <c r="AD2952" s="7">
        <f>$L2952-$Y2952</f>
      </c>
      <c r="AE2952" s="7">
        <f>AA2952/39.3701</f>
      </c>
      <c r="AF2952" s="7">
        <f>AB2952/39.3701</f>
      </c>
      <c r="AG2952" s="7">
        <f>AC2952/39.3701</f>
      </c>
      <c r="AH2952" s="7">
        <f>AD2952/39.3701</f>
      </c>
      <c r="AI2952" s="1"/>
      <c r="AJ2952" s="1"/>
      <c r="AK2952" s="1"/>
      <c r="AL2952" s="1"/>
      <c r="AM2952" s="2"/>
      <c r="AN2952" s="1"/>
      <c r="AO2952" s="1"/>
      <c r="AP2952" s="1"/>
      <c r="AQ2952" s="1"/>
      <c r="AR2952" s="1"/>
      <c r="AS2952" s="1"/>
      <c r="AT2952" s="1"/>
      <c r="AU2952" s="1"/>
      <c r="AV2952" s="1"/>
      <c r="AW2952" s="1"/>
      <c r="AX2952" s="1"/>
      <c r="AY2952" s="1"/>
      <c r="AZ2952" s="1"/>
      <c r="BA2952" s="1"/>
      <c r="BB2952" s="1"/>
      <c r="BC2952" s="1"/>
      <c r="BD2952" s="1"/>
      <c r="BE2952" s="1"/>
    </row>
    <row x14ac:dyDescent="0.25" r="2953" customHeight="1" ht="18.75">
      <c r="A2953" s="1"/>
      <c r="B2953" s="2"/>
      <c r="C2953" s="2"/>
      <c r="D2953" s="2"/>
      <c r="E2953" s="2"/>
      <c r="F2953" s="2"/>
      <c r="G2953" s="1"/>
      <c r="H2953" s="1"/>
      <c r="I2953" s="7">
        <v>2.95</v>
      </c>
      <c r="J2953" s="7">
        <f>IF((I2953-ROUNDDOWN(I2953,0))=0, 0, (I2953-ROUNDDOWN(I2953,0)))</f>
      </c>
      <c r="K2953" s="7">
        <f>INDIRECT("C$"&amp;2+MIN(2,ROUNDDOWN(I2953,0))*3)*(-$J2953^3+3*$J2953^2-3*$J2953+1)+INDIRECT("C$"&amp;3+MIN(2,ROUNDDOWN(I2953,0))*3)*(3*$J2953^3-6*$J2953^2+3*$J2953)+INDIRECT("C$"&amp;4+MIN(2,ROUNDDOWN(I2953,0))*3)*(-3*$J2953^3+3*$J2953^2)+INDIRECT("C$"&amp;5+MIN(2,ROUNDDOWN(I2953,0))*3)*$J2953^3</f>
      </c>
      <c r="L2953" s="7">
        <f>INDIRECT("D$"&amp;2+MIN(2,ROUNDDOWN(I2953,0))*3)*(-$J2953^3+3*$J2953^2-3*$J2953+1)+INDIRECT("D$"&amp;3+MIN(2,ROUNDDOWN(I2953,0))*3)*(3*$J2953^3-6*$J2953^2+3*$J2953)+INDIRECT("D$"&amp;4+MIN(2,ROUNDDOWN(I2953,0))*3)*(-3*$J2953^3+3*$J2953^2)+INDIRECT("D$"&amp;5+MIN(2,ROUNDDOWN(I2953,0))*3)*$J2953^3</f>
      </c>
      <c r="M2953" s="7">
        <f>SQRT(K2953^2+L2953^2)</f>
      </c>
      <c r="N2953" s="7">
        <f>(K2954-K2952)</f>
      </c>
      <c r="O2953" s="7">
        <f>+(L2954-L2952)</f>
      </c>
      <c r="P2953" s="7">
        <f>SQRT(O2953^2+N2953^2)</f>
      </c>
      <c r="Q2953" s="7">
        <f>N2953/$P2953</f>
      </c>
      <c r="R2953" s="7">
        <f>O2953/$P2953</f>
      </c>
      <c r="S2953" s="7">
        <f>Q2953^2+R2953^2</f>
      </c>
      <c r="T2953" s="7">
        <f>-R2953</f>
      </c>
      <c r="U2953" s="7">
        <f>Q2953</f>
      </c>
      <c r="V2953" s="7">
        <f>($C$14+($C$15-$C$14)/($D$15-$D$14)*(I2953-$D$14))/2</f>
      </c>
      <c r="W2953" s="7">
        <f>($B$22*I2953^4+$C$22*I2953^3+$D$22*I2953^2+$E$22*I2953+$F$22)/2</f>
      </c>
      <c r="X2953" s="7">
        <f>($W2953)*(T2953)</f>
      </c>
      <c r="Y2953" s="7">
        <f>($W2953)*(U2953)</f>
      </c>
      <c r="Z2953" s="7">
        <f>SQRT(X2953^2+Y2953^2)</f>
      </c>
      <c r="AA2953" s="7">
        <f>$K2953+$X2953</f>
      </c>
      <c r="AB2953" s="7">
        <f>$L2953+$Y2953</f>
      </c>
      <c r="AC2953" s="7">
        <f>$K2953-$X2953</f>
      </c>
      <c r="AD2953" s="7">
        <f>$L2953-$Y2953</f>
      </c>
      <c r="AE2953" s="7">
        <f>AA2953/39.3701</f>
      </c>
      <c r="AF2953" s="7">
        <f>AB2953/39.3701</f>
      </c>
      <c r="AG2953" s="7">
        <f>AC2953/39.3701</f>
      </c>
      <c r="AH2953" s="7">
        <f>AD2953/39.3701</f>
      </c>
      <c r="AI2953" s="1"/>
      <c r="AJ2953" s="1"/>
      <c r="AK2953" s="1"/>
      <c r="AL2953" s="1"/>
      <c r="AM2953" s="2"/>
      <c r="AN2953" s="1"/>
      <c r="AO2953" s="1"/>
      <c r="AP2953" s="1"/>
      <c r="AQ2953" s="1"/>
      <c r="AR2953" s="1"/>
      <c r="AS2953" s="1"/>
      <c r="AT2953" s="1"/>
      <c r="AU2953" s="1"/>
      <c r="AV2953" s="1"/>
      <c r="AW2953" s="1"/>
      <c r="AX2953" s="1"/>
      <c r="AY2953" s="1"/>
      <c r="AZ2953" s="1"/>
      <c r="BA2953" s="1"/>
      <c r="BB2953" s="1"/>
      <c r="BC2953" s="1"/>
      <c r="BD2953" s="1"/>
      <c r="BE2953" s="1"/>
    </row>
    <row x14ac:dyDescent="0.25" r="2954" customHeight="1" ht="18.75">
      <c r="A2954" s="1"/>
      <c r="B2954" s="2"/>
      <c r="C2954" s="2"/>
      <c r="D2954" s="2"/>
      <c r="E2954" s="2"/>
      <c r="F2954" s="2"/>
      <c r="G2954" s="1"/>
      <c r="H2954" s="1"/>
      <c r="I2954" s="7">
        <v>2.951</v>
      </c>
      <c r="J2954" s="7">
        <f>IF((I2954-ROUNDDOWN(I2954,0))=0, 0, (I2954-ROUNDDOWN(I2954,0)))</f>
      </c>
      <c r="K2954" s="7">
        <f>INDIRECT("C$"&amp;2+MIN(2,ROUNDDOWN(I2954,0))*3)*(-$J2954^3+3*$J2954^2-3*$J2954+1)+INDIRECT("C$"&amp;3+MIN(2,ROUNDDOWN(I2954,0))*3)*(3*$J2954^3-6*$J2954^2+3*$J2954)+INDIRECT("C$"&amp;4+MIN(2,ROUNDDOWN(I2954,0))*3)*(-3*$J2954^3+3*$J2954^2)+INDIRECT("C$"&amp;5+MIN(2,ROUNDDOWN(I2954,0))*3)*$J2954^3</f>
      </c>
      <c r="L2954" s="7">
        <f>INDIRECT("D$"&amp;2+MIN(2,ROUNDDOWN(I2954,0))*3)*(-$J2954^3+3*$J2954^2-3*$J2954+1)+INDIRECT("D$"&amp;3+MIN(2,ROUNDDOWN(I2954,0))*3)*(3*$J2954^3-6*$J2954^2+3*$J2954)+INDIRECT("D$"&amp;4+MIN(2,ROUNDDOWN(I2954,0))*3)*(-3*$J2954^3+3*$J2954^2)+INDIRECT("D$"&amp;5+MIN(2,ROUNDDOWN(I2954,0))*3)*$J2954^3</f>
      </c>
      <c r="M2954" s="7">
        <f>SQRT(K2954^2+L2954^2)</f>
      </c>
      <c r="N2954" s="7">
        <f>(K2955-K2953)</f>
      </c>
      <c r="O2954" s="7">
        <f>+(L2955-L2953)</f>
      </c>
      <c r="P2954" s="7">
        <f>SQRT(O2954^2+N2954^2)</f>
      </c>
      <c r="Q2954" s="7">
        <f>N2954/$P2954</f>
      </c>
      <c r="R2954" s="7">
        <f>O2954/$P2954</f>
      </c>
      <c r="S2954" s="7">
        <f>Q2954^2+R2954^2</f>
      </c>
      <c r="T2954" s="7">
        <f>-R2954</f>
      </c>
      <c r="U2954" s="7">
        <f>Q2954</f>
      </c>
      <c r="V2954" s="7">
        <f>($C$14+($C$15-$C$14)/($D$15-$D$14)*(I2954-$D$14))/2</f>
      </c>
      <c r="W2954" s="7">
        <f>($B$22*I2954^4+$C$22*I2954^3+$D$22*I2954^2+$E$22*I2954+$F$22)/2</f>
      </c>
      <c r="X2954" s="7">
        <f>($W2954)*(T2954)</f>
      </c>
      <c r="Y2954" s="7">
        <f>($W2954)*(U2954)</f>
      </c>
      <c r="Z2954" s="7">
        <f>SQRT(X2954^2+Y2954^2)</f>
      </c>
      <c r="AA2954" s="7">
        <f>$K2954+$X2954</f>
      </c>
      <c r="AB2954" s="7">
        <f>$L2954+$Y2954</f>
      </c>
      <c r="AC2954" s="7">
        <f>$K2954-$X2954</f>
      </c>
      <c r="AD2954" s="7">
        <f>$L2954-$Y2954</f>
      </c>
      <c r="AE2954" s="7">
        <f>AA2954/39.3701</f>
      </c>
      <c r="AF2954" s="7">
        <f>AB2954/39.3701</f>
      </c>
      <c r="AG2954" s="7">
        <f>AC2954/39.3701</f>
      </c>
      <c r="AH2954" s="7">
        <f>AD2954/39.3701</f>
      </c>
      <c r="AI2954" s="1"/>
      <c r="AJ2954" s="1"/>
      <c r="AK2954" s="1"/>
      <c r="AL2954" s="1"/>
      <c r="AM2954" s="2"/>
      <c r="AN2954" s="1"/>
      <c r="AO2954" s="1"/>
      <c r="AP2954" s="1"/>
      <c r="AQ2954" s="1"/>
      <c r="AR2954" s="1"/>
      <c r="AS2954" s="1"/>
      <c r="AT2954" s="1"/>
      <c r="AU2954" s="1"/>
      <c r="AV2954" s="1"/>
      <c r="AW2954" s="1"/>
      <c r="AX2954" s="1"/>
      <c r="AY2954" s="1"/>
      <c r="AZ2954" s="1"/>
      <c r="BA2954" s="1"/>
      <c r="BB2954" s="1"/>
      <c r="BC2954" s="1"/>
      <c r="BD2954" s="1"/>
      <c r="BE2954" s="1"/>
    </row>
    <row x14ac:dyDescent="0.25" r="2955" customHeight="1" ht="18.75">
      <c r="A2955" s="1"/>
      <c r="B2955" s="2"/>
      <c r="C2955" s="2"/>
      <c r="D2955" s="2"/>
      <c r="E2955" s="2"/>
      <c r="F2955" s="2"/>
      <c r="G2955" s="1"/>
      <c r="H2955" s="1"/>
      <c r="I2955" s="7">
        <v>2.952</v>
      </c>
      <c r="J2955" s="7">
        <f>IF((I2955-ROUNDDOWN(I2955,0))=0, 0, (I2955-ROUNDDOWN(I2955,0)))</f>
      </c>
      <c r="K2955" s="7">
        <f>INDIRECT("C$"&amp;2+MIN(2,ROUNDDOWN(I2955,0))*3)*(-$J2955^3+3*$J2955^2-3*$J2955+1)+INDIRECT("C$"&amp;3+MIN(2,ROUNDDOWN(I2955,0))*3)*(3*$J2955^3-6*$J2955^2+3*$J2955)+INDIRECT("C$"&amp;4+MIN(2,ROUNDDOWN(I2955,0))*3)*(-3*$J2955^3+3*$J2955^2)+INDIRECT("C$"&amp;5+MIN(2,ROUNDDOWN(I2955,0))*3)*$J2955^3</f>
      </c>
      <c r="L2955" s="7">
        <f>INDIRECT("D$"&amp;2+MIN(2,ROUNDDOWN(I2955,0))*3)*(-$J2955^3+3*$J2955^2-3*$J2955+1)+INDIRECT("D$"&amp;3+MIN(2,ROUNDDOWN(I2955,0))*3)*(3*$J2955^3-6*$J2955^2+3*$J2955)+INDIRECT("D$"&amp;4+MIN(2,ROUNDDOWN(I2955,0))*3)*(-3*$J2955^3+3*$J2955^2)+INDIRECT("D$"&amp;5+MIN(2,ROUNDDOWN(I2955,0))*3)*$J2955^3</f>
      </c>
      <c r="M2955" s="7">
        <f>SQRT(K2955^2+L2955^2)</f>
      </c>
      <c r="N2955" s="7">
        <f>(K2956-K2954)</f>
      </c>
      <c r="O2955" s="7">
        <f>+(L2956-L2954)</f>
      </c>
      <c r="P2955" s="7">
        <f>SQRT(O2955^2+N2955^2)</f>
      </c>
      <c r="Q2955" s="7">
        <f>N2955/$P2955</f>
      </c>
      <c r="R2955" s="7">
        <f>O2955/$P2955</f>
      </c>
      <c r="S2955" s="8">
        <f>Q2955^2+R2955^2</f>
      </c>
      <c r="T2955" s="7">
        <f>-R2955</f>
      </c>
      <c r="U2955" s="7">
        <f>Q2955</f>
      </c>
      <c r="V2955" s="7">
        <f>($C$14+($C$15-$C$14)/($D$15-$D$14)*(I2955-$D$14))/2</f>
      </c>
      <c r="W2955" s="7">
        <f>($B$22*I2955^4+$C$22*I2955^3+$D$22*I2955^2+$E$22*I2955+$F$22)/2</f>
      </c>
      <c r="X2955" s="7">
        <f>($W2955)*(T2955)</f>
      </c>
      <c r="Y2955" s="7">
        <f>($W2955)*(U2955)</f>
      </c>
      <c r="Z2955" s="7">
        <f>SQRT(X2955^2+Y2955^2)</f>
      </c>
      <c r="AA2955" s="7">
        <f>$K2955+$X2955</f>
      </c>
      <c r="AB2955" s="7">
        <f>$L2955+$Y2955</f>
      </c>
      <c r="AC2955" s="7">
        <f>$K2955-$X2955</f>
      </c>
      <c r="AD2955" s="7">
        <f>$L2955-$Y2955</f>
      </c>
      <c r="AE2955" s="7">
        <f>AA2955/39.3701</f>
      </c>
      <c r="AF2955" s="7">
        <f>AB2955/39.3701</f>
      </c>
      <c r="AG2955" s="7">
        <f>AC2955/39.3701</f>
      </c>
      <c r="AH2955" s="7">
        <f>AD2955/39.3701</f>
      </c>
      <c r="AI2955" s="1"/>
      <c r="AJ2955" s="1"/>
      <c r="AK2955" s="1"/>
      <c r="AL2955" s="1"/>
      <c r="AM2955" s="2"/>
      <c r="AN2955" s="1"/>
      <c r="AO2955" s="1"/>
      <c r="AP2955" s="1"/>
      <c r="AQ2955" s="1"/>
      <c r="AR2955" s="1"/>
      <c r="AS2955" s="1"/>
      <c r="AT2955" s="1"/>
      <c r="AU2955" s="1"/>
      <c r="AV2955" s="1"/>
      <c r="AW2955" s="1"/>
      <c r="AX2955" s="1"/>
      <c r="AY2955" s="1"/>
      <c r="AZ2955" s="1"/>
      <c r="BA2955" s="1"/>
      <c r="BB2955" s="1"/>
      <c r="BC2955" s="1"/>
      <c r="BD2955" s="1"/>
      <c r="BE2955" s="1"/>
    </row>
    <row x14ac:dyDescent="0.25" r="2956" customHeight="1" ht="18.75">
      <c r="A2956" s="1"/>
      <c r="B2956" s="2"/>
      <c r="C2956" s="2"/>
      <c r="D2956" s="2"/>
      <c r="E2956" s="2"/>
      <c r="F2956" s="2"/>
      <c r="G2956" s="1"/>
      <c r="H2956" s="1"/>
      <c r="I2956" s="7">
        <v>2.953</v>
      </c>
      <c r="J2956" s="7">
        <f>IF((I2956-ROUNDDOWN(I2956,0))=0, 0, (I2956-ROUNDDOWN(I2956,0)))</f>
      </c>
      <c r="K2956" s="7">
        <f>INDIRECT("C$"&amp;2+MIN(2,ROUNDDOWN(I2956,0))*3)*(-$J2956^3+3*$J2956^2-3*$J2956+1)+INDIRECT("C$"&amp;3+MIN(2,ROUNDDOWN(I2956,0))*3)*(3*$J2956^3-6*$J2956^2+3*$J2956)+INDIRECT("C$"&amp;4+MIN(2,ROUNDDOWN(I2956,0))*3)*(-3*$J2956^3+3*$J2956^2)+INDIRECT("C$"&amp;5+MIN(2,ROUNDDOWN(I2956,0))*3)*$J2956^3</f>
      </c>
      <c r="L2956" s="7">
        <f>INDIRECT("D$"&amp;2+MIN(2,ROUNDDOWN(I2956,0))*3)*(-$J2956^3+3*$J2956^2-3*$J2956+1)+INDIRECT("D$"&amp;3+MIN(2,ROUNDDOWN(I2956,0))*3)*(3*$J2956^3-6*$J2956^2+3*$J2956)+INDIRECT("D$"&amp;4+MIN(2,ROUNDDOWN(I2956,0))*3)*(-3*$J2956^3+3*$J2956^2)+INDIRECT("D$"&amp;5+MIN(2,ROUNDDOWN(I2956,0))*3)*$J2956^3</f>
      </c>
      <c r="M2956" s="7">
        <f>SQRT(K2956^2+L2956^2)</f>
      </c>
      <c r="N2956" s="7">
        <f>(K2957-K2955)</f>
      </c>
      <c r="O2956" s="7">
        <f>+(L2957-L2955)</f>
      </c>
      <c r="P2956" s="7">
        <f>SQRT(O2956^2+N2956^2)</f>
      </c>
      <c r="Q2956" s="7">
        <f>N2956/$P2956</f>
      </c>
      <c r="R2956" s="7">
        <f>O2956/$P2956</f>
      </c>
      <c r="S2956" s="8">
        <f>Q2956^2+R2956^2</f>
      </c>
      <c r="T2956" s="7">
        <f>-R2956</f>
      </c>
      <c r="U2956" s="7">
        <f>Q2956</f>
      </c>
      <c r="V2956" s="7">
        <f>($C$14+($C$15-$C$14)/($D$15-$D$14)*(I2956-$D$14))/2</f>
      </c>
      <c r="W2956" s="7">
        <f>($B$22*I2956^4+$C$22*I2956^3+$D$22*I2956^2+$E$22*I2956+$F$22)/2</f>
      </c>
      <c r="X2956" s="7">
        <f>($W2956)*(T2956)</f>
      </c>
      <c r="Y2956" s="7">
        <f>($W2956)*(U2956)</f>
      </c>
      <c r="Z2956" s="7">
        <f>SQRT(X2956^2+Y2956^2)</f>
      </c>
      <c r="AA2956" s="7">
        <f>$K2956+$X2956</f>
      </c>
      <c r="AB2956" s="7">
        <f>$L2956+$Y2956</f>
      </c>
      <c r="AC2956" s="7">
        <f>$K2956-$X2956</f>
      </c>
      <c r="AD2956" s="7">
        <f>$L2956-$Y2956</f>
      </c>
      <c r="AE2956" s="7">
        <f>AA2956/39.3701</f>
      </c>
      <c r="AF2956" s="7">
        <f>AB2956/39.3701</f>
      </c>
      <c r="AG2956" s="7">
        <f>AC2956/39.3701</f>
      </c>
      <c r="AH2956" s="7">
        <f>AD2956/39.3701</f>
      </c>
      <c r="AI2956" s="1"/>
      <c r="AJ2956" s="1"/>
      <c r="AK2956" s="1"/>
      <c r="AL2956" s="1"/>
      <c r="AM2956" s="2"/>
      <c r="AN2956" s="1"/>
      <c r="AO2956" s="1"/>
      <c r="AP2956" s="1"/>
      <c r="AQ2956" s="1"/>
      <c r="AR2956" s="1"/>
      <c r="AS2956" s="1"/>
      <c r="AT2956" s="1"/>
      <c r="AU2956" s="1"/>
      <c r="AV2956" s="1"/>
      <c r="AW2956" s="1"/>
      <c r="AX2956" s="1"/>
      <c r="AY2956" s="1"/>
      <c r="AZ2956" s="1"/>
      <c r="BA2956" s="1"/>
      <c r="BB2956" s="1"/>
      <c r="BC2956" s="1"/>
      <c r="BD2956" s="1"/>
      <c r="BE2956" s="1"/>
    </row>
    <row x14ac:dyDescent="0.25" r="2957" customHeight="1" ht="18.75">
      <c r="A2957" s="1"/>
      <c r="B2957" s="2"/>
      <c r="C2957" s="2"/>
      <c r="D2957" s="2"/>
      <c r="E2957" s="2"/>
      <c r="F2957" s="2"/>
      <c r="G2957" s="1"/>
      <c r="H2957" s="1"/>
      <c r="I2957" s="7">
        <v>2.954</v>
      </c>
      <c r="J2957" s="7">
        <f>IF((I2957-ROUNDDOWN(I2957,0))=0, 0, (I2957-ROUNDDOWN(I2957,0)))</f>
      </c>
      <c r="K2957" s="7">
        <f>INDIRECT("C$"&amp;2+MIN(2,ROUNDDOWN(I2957,0))*3)*(-$J2957^3+3*$J2957^2-3*$J2957+1)+INDIRECT("C$"&amp;3+MIN(2,ROUNDDOWN(I2957,0))*3)*(3*$J2957^3-6*$J2957^2+3*$J2957)+INDIRECT("C$"&amp;4+MIN(2,ROUNDDOWN(I2957,0))*3)*(-3*$J2957^3+3*$J2957^2)+INDIRECT("C$"&amp;5+MIN(2,ROUNDDOWN(I2957,0))*3)*$J2957^3</f>
      </c>
      <c r="L2957" s="7">
        <f>INDIRECT("D$"&amp;2+MIN(2,ROUNDDOWN(I2957,0))*3)*(-$J2957^3+3*$J2957^2-3*$J2957+1)+INDIRECT("D$"&amp;3+MIN(2,ROUNDDOWN(I2957,0))*3)*(3*$J2957^3-6*$J2957^2+3*$J2957)+INDIRECT("D$"&amp;4+MIN(2,ROUNDDOWN(I2957,0))*3)*(-3*$J2957^3+3*$J2957^2)+INDIRECT("D$"&amp;5+MIN(2,ROUNDDOWN(I2957,0))*3)*$J2957^3</f>
      </c>
      <c r="M2957" s="7">
        <f>SQRT(K2957^2+L2957^2)</f>
      </c>
      <c r="N2957" s="7">
        <f>(K2958-K2956)</f>
      </c>
      <c r="O2957" s="7">
        <f>+(L2958-L2956)</f>
      </c>
      <c r="P2957" s="7">
        <f>SQRT(O2957^2+N2957^2)</f>
      </c>
      <c r="Q2957" s="7">
        <f>N2957/$P2957</f>
      </c>
      <c r="R2957" s="7">
        <f>O2957/$P2957</f>
      </c>
      <c r="S2957" s="7">
        <f>Q2957^2+R2957^2</f>
      </c>
      <c r="T2957" s="7">
        <f>-R2957</f>
      </c>
      <c r="U2957" s="7">
        <f>Q2957</f>
      </c>
      <c r="V2957" s="7">
        <f>($C$14+($C$15-$C$14)/($D$15-$D$14)*(I2957-$D$14))/2</f>
      </c>
      <c r="W2957" s="7">
        <f>($B$22*I2957^4+$C$22*I2957^3+$D$22*I2957^2+$E$22*I2957+$F$22)/2</f>
      </c>
      <c r="X2957" s="7">
        <f>($W2957)*(T2957)</f>
      </c>
      <c r="Y2957" s="7">
        <f>($W2957)*(U2957)</f>
      </c>
      <c r="Z2957" s="7">
        <f>SQRT(X2957^2+Y2957^2)</f>
      </c>
      <c r="AA2957" s="7">
        <f>$K2957+$X2957</f>
      </c>
      <c r="AB2957" s="7">
        <f>$L2957+$Y2957</f>
      </c>
      <c r="AC2957" s="7">
        <f>$K2957-$X2957</f>
      </c>
      <c r="AD2957" s="7">
        <f>$L2957-$Y2957</f>
      </c>
      <c r="AE2957" s="7">
        <f>AA2957/39.3701</f>
      </c>
      <c r="AF2957" s="7">
        <f>AB2957/39.3701</f>
      </c>
      <c r="AG2957" s="7">
        <f>AC2957/39.3701</f>
      </c>
      <c r="AH2957" s="7">
        <f>AD2957/39.3701</f>
      </c>
      <c r="AI2957" s="1"/>
      <c r="AJ2957" s="1"/>
      <c r="AK2957" s="1"/>
      <c r="AL2957" s="1"/>
      <c r="AM2957" s="2"/>
      <c r="AN2957" s="1"/>
      <c r="AO2957" s="1"/>
      <c r="AP2957" s="1"/>
      <c r="AQ2957" s="1"/>
      <c r="AR2957" s="1"/>
      <c r="AS2957" s="1"/>
      <c r="AT2957" s="1"/>
      <c r="AU2957" s="1"/>
      <c r="AV2957" s="1"/>
      <c r="AW2957" s="1"/>
      <c r="AX2957" s="1"/>
      <c r="AY2957" s="1"/>
      <c r="AZ2957" s="1"/>
      <c r="BA2957" s="1"/>
      <c r="BB2957" s="1"/>
      <c r="BC2957" s="1"/>
      <c r="BD2957" s="1"/>
      <c r="BE2957" s="1"/>
    </row>
    <row x14ac:dyDescent="0.25" r="2958" customHeight="1" ht="18.75">
      <c r="A2958" s="1"/>
      <c r="B2958" s="2"/>
      <c r="C2958" s="2"/>
      <c r="D2958" s="2"/>
      <c r="E2958" s="2"/>
      <c r="F2958" s="2"/>
      <c r="G2958" s="1"/>
      <c r="H2958" s="1"/>
      <c r="I2958" s="7">
        <v>2.955</v>
      </c>
      <c r="J2958" s="7">
        <f>IF((I2958-ROUNDDOWN(I2958,0))=0, 0, (I2958-ROUNDDOWN(I2958,0)))</f>
      </c>
      <c r="K2958" s="7">
        <f>INDIRECT("C$"&amp;2+MIN(2,ROUNDDOWN(I2958,0))*3)*(-$J2958^3+3*$J2958^2-3*$J2958+1)+INDIRECT("C$"&amp;3+MIN(2,ROUNDDOWN(I2958,0))*3)*(3*$J2958^3-6*$J2958^2+3*$J2958)+INDIRECT("C$"&amp;4+MIN(2,ROUNDDOWN(I2958,0))*3)*(-3*$J2958^3+3*$J2958^2)+INDIRECT("C$"&amp;5+MIN(2,ROUNDDOWN(I2958,0))*3)*$J2958^3</f>
      </c>
      <c r="L2958" s="7">
        <f>INDIRECT("D$"&amp;2+MIN(2,ROUNDDOWN(I2958,0))*3)*(-$J2958^3+3*$J2958^2-3*$J2958+1)+INDIRECT("D$"&amp;3+MIN(2,ROUNDDOWN(I2958,0))*3)*(3*$J2958^3-6*$J2958^2+3*$J2958)+INDIRECT("D$"&amp;4+MIN(2,ROUNDDOWN(I2958,0))*3)*(-3*$J2958^3+3*$J2958^2)+INDIRECT("D$"&amp;5+MIN(2,ROUNDDOWN(I2958,0))*3)*$J2958^3</f>
      </c>
      <c r="M2958" s="7">
        <f>SQRT(K2958^2+L2958^2)</f>
      </c>
      <c r="N2958" s="7">
        <f>(K2959-K2957)</f>
      </c>
      <c r="O2958" s="7">
        <f>+(L2959-L2957)</f>
      </c>
      <c r="P2958" s="7">
        <f>SQRT(O2958^2+N2958^2)</f>
      </c>
      <c r="Q2958" s="7">
        <f>N2958/$P2958</f>
      </c>
      <c r="R2958" s="7">
        <f>O2958/$P2958</f>
      </c>
      <c r="S2958" s="7">
        <f>Q2958^2+R2958^2</f>
      </c>
      <c r="T2958" s="7">
        <f>-R2958</f>
      </c>
      <c r="U2958" s="7">
        <f>Q2958</f>
      </c>
      <c r="V2958" s="7">
        <f>($C$14+($C$15-$C$14)/($D$15-$D$14)*(I2958-$D$14))/2</f>
      </c>
      <c r="W2958" s="7">
        <f>($B$22*I2958^4+$C$22*I2958^3+$D$22*I2958^2+$E$22*I2958+$F$22)/2</f>
      </c>
      <c r="X2958" s="7">
        <f>($W2958)*(T2958)</f>
      </c>
      <c r="Y2958" s="7">
        <f>($W2958)*(U2958)</f>
      </c>
      <c r="Z2958" s="7">
        <f>SQRT(X2958^2+Y2958^2)</f>
      </c>
      <c r="AA2958" s="7">
        <f>$K2958+$X2958</f>
      </c>
      <c r="AB2958" s="7">
        <f>$L2958+$Y2958</f>
      </c>
      <c r="AC2958" s="7">
        <f>$K2958-$X2958</f>
      </c>
      <c r="AD2958" s="7">
        <f>$L2958-$Y2958</f>
      </c>
      <c r="AE2958" s="7">
        <f>AA2958/39.3701</f>
      </c>
      <c r="AF2958" s="7">
        <f>AB2958/39.3701</f>
      </c>
      <c r="AG2958" s="7">
        <f>AC2958/39.3701</f>
      </c>
      <c r="AH2958" s="7">
        <f>AD2958/39.3701</f>
      </c>
      <c r="AI2958" s="1"/>
      <c r="AJ2958" s="1"/>
      <c r="AK2958" s="1"/>
      <c r="AL2958" s="1"/>
      <c r="AM2958" s="2"/>
      <c r="AN2958" s="1"/>
      <c r="AO2958" s="1"/>
      <c r="AP2958" s="1"/>
      <c r="AQ2958" s="1"/>
      <c r="AR2958" s="1"/>
      <c r="AS2958" s="1"/>
      <c r="AT2958" s="1"/>
      <c r="AU2958" s="1"/>
      <c r="AV2958" s="1"/>
      <c r="AW2958" s="1"/>
      <c r="AX2958" s="1"/>
      <c r="AY2958" s="1"/>
      <c r="AZ2958" s="1"/>
      <c r="BA2958" s="1"/>
      <c r="BB2958" s="1"/>
      <c r="BC2958" s="1"/>
      <c r="BD2958" s="1"/>
      <c r="BE2958" s="1"/>
    </row>
    <row x14ac:dyDescent="0.25" r="2959" customHeight="1" ht="18.75">
      <c r="A2959" s="1"/>
      <c r="B2959" s="2"/>
      <c r="C2959" s="2"/>
      <c r="D2959" s="2"/>
      <c r="E2959" s="2"/>
      <c r="F2959" s="2"/>
      <c r="G2959" s="1"/>
      <c r="H2959" s="1"/>
      <c r="I2959" s="7">
        <v>2.956</v>
      </c>
      <c r="J2959" s="7">
        <f>IF((I2959-ROUNDDOWN(I2959,0))=0, 0, (I2959-ROUNDDOWN(I2959,0)))</f>
      </c>
      <c r="K2959" s="7">
        <f>INDIRECT("C$"&amp;2+MIN(2,ROUNDDOWN(I2959,0))*3)*(-$J2959^3+3*$J2959^2-3*$J2959+1)+INDIRECT("C$"&amp;3+MIN(2,ROUNDDOWN(I2959,0))*3)*(3*$J2959^3-6*$J2959^2+3*$J2959)+INDIRECT("C$"&amp;4+MIN(2,ROUNDDOWN(I2959,0))*3)*(-3*$J2959^3+3*$J2959^2)+INDIRECT("C$"&amp;5+MIN(2,ROUNDDOWN(I2959,0))*3)*$J2959^3</f>
      </c>
      <c r="L2959" s="7">
        <f>INDIRECT("D$"&amp;2+MIN(2,ROUNDDOWN(I2959,0))*3)*(-$J2959^3+3*$J2959^2-3*$J2959+1)+INDIRECT("D$"&amp;3+MIN(2,ROUNDDOWN(I2959,0))*3)*(3*$J2959^3-6*$J2959^2+3*$J2959)+INDIRECT("D$"&amp;4+MIN(2,ROUNDDOWN(I2959,0))*3)*(-3*$J2959^3+3*$J2959^2)+INDIRECT("D$"&amp;5+MIN(2,ROUNDDOWN(I2959,0))*3)*$J2959^3</f>
      </c>
      <c r="M2959" s="7">
        <f>SQRT(K2959^2+L2959^2)</f>
      </c>
      <c r="N2959" s="7">
        <f>(K2960-K2958)</f>
      </c>
      <c r="O2959" s="7">
        <f>+(L2960-L2958)</f>
      </c>
      <c r="P2959" s="7">
        <f>SQRT(O2959^2+N2959^2)</f>
      </c>
      <c r="Q2959" s="7">
        <f>N2959/$P2959</f>
      </c>
      <c r="R2959" s="7">
        <f>O2959/$P2959</f>
      </c>
      <c r="S2959" s="8">
        <f>Q2959^2+R2959^2</f>
      </c>
      <c r="T2959" s="7">
        <f>-R2959</f>
      </c>
      <c r="U2959" s="7">
        <f>Q2959</f>
      </c>
      <c r="V2959" s="7">
        <f>($C$14+($C$15-$C$14)/($D$15-$D$14)*(I2959-$D$14))/2</f>
      </c>
      <c r="W2959" s="7">
        <f>($B$22*I2959^4+$C$22*I2959^3+$D$22*I2959^2+$E$22*I2959+$F$22)/2</f>
      </c>
      <c r="X2959" s="7">
        <f>($W2959)*(T2959)</f>
      </c>
      <c r="Y2959" s="7">
        <f>($W2959)*(U2959)</f>
      </c>
      <c r="Z2959" s="7">
        <f>SQRT(X2959^2+Y2959^2)</f>
      </c>
      <c r="AA2959" s="7">
        <f>$K2959+$X2959</f>
      </c>
      <c r="AB2959" s="7">
        <f>$L2959+$Y2959</f>
      </c>
      <c r="AC2959" s="7">
        <f>$K2959-$X2959</f>
      </c>
      <c r="AD2959" s="7">
        <f>$L2959-$Y2959</f>
      </c>
      <c r="AE2959" s="7">
        <f>AA2959/39.3701</f>
      </c>
      <c r="AF2959" s="7">
        <f>AB2959/39.3701</f>
      </c>
      <c r="AG2959" s="7">
        <f>AC2959/39.3701</f>
      </c>
      <c r="AH2959" s="7">
        <f>AD2959/39.3701</f>
      </c>
      <c r="AI2959" s="1"/>
      <c r="AJ2959" s="1"/>
      <c r="AK2959" s="1"/>
      <c r="AL2959" s="1"/>
      <c r="AM2959" s="2"/>
      <c r="AN2959" s="1"/>
      <c r="AO2959" s="1"/>
      <c r="AP2959" s="1"/>
      <c r="AQ2959" s="1"/>
      <c r="AR2959" s="1"/>
      <c r="AS2959" s="1"/>
      <c r="AT2959" s="1"/>
      <c r="AU2959" s="1"/>
      <c r="AV2959" s="1"/>
      <c r="AW2959" s="1"/>
      <c r="AX2959" s="1"/>
      <c r="AY2959" s="1"/>
      <c r="AZ2959" s="1"/>
      <c r="BA2959" s="1"/>
      <c r="BB2959" s="1"/>
      <c r="BC2959" s="1"/>
      <c r="BD2959" s="1"/>
      <c r="BE2959" s="1"/>
    </row>
    <row x14ac:dyDescent="0.25" r="2960" customHeight="1" ht="18.75">
      <c r="A2960" s="1"/>
      <c r="B2960" s="2"/>
      <c r="C2960" s="2"/>
      <c r="D2960" s="2"/>
      <c r="E2960" s="2"/>
      <c r="F2960" s="2"/>
      <c r="G2960" s="1"/>
      <c r="H2960" s="1"/>
      <c r="I2960" s="7">
        <v>2.957</v>
      </c>
      <c r="J2960" s="7">
        <f>IF((I2960-ROUNDDOWN(I2960,0))=0, 0, (I2960-ROUNDDOWN(I2960,0)))</f>
      </c>
      <c r="K2960" s="7">
        <f>INDIRECT("C$"&amp;2+MIN(2,ROUNDDOWN(I2960,0))*3)*(-$J2960^3+3*$J2960^2-3*$J2960+1)+INDIRECT("C$"&amp;3+MIN(2,ROUNDDOWN(I2960,0))*3)*(3*$J2960^3-6*$J2960^2+3*$J2960)+INDIRECT("C$"&amp;4+MIN(2,ROUNDDOWN(I2960,0))*3)*(-3*$J2960^3+3*$J2960^2)+INDIRECT("C$"&amp;5+MIN(2,ROUNDDOWN(I2960,0))*3)*$J2960^3</f>
      </c>
      <c r="L2960" s="7">
        <f>INDIRECT("D$"&amp;2+MIN(2,ROUNDDOWN(I2960,0))*3)*(-$J2960^3+3*$J2960^2-3*$J2960+1)+INDIRECT("D$"&amp;3+MIN(2,ROUNDDOWN(I2960,0))*3)*(3*$J2960^3-6*$J2960^2+3*$J2960)+INDIRECT("D$"&amp;4+MIN(2,ROUNDDOWN(I2960,0))*3)*(-3*$J2960^3+3*$J2960^2)+INDIRECT("D$"&amp;5+MIN(2,ROUNDDOWN(I2960,0))*3)*$J2960^3</f>
      </c>
      <c r="M2960" s="7">
        <f>SQRT(K2960^2+L2960^2)</f>
      </c>
      <c r="N2960" s="7">
        <f>(K2961-K2959)</f>
      </c>
      <c r="O2960" s="7">
        <f>+(L2961-L2959)</f>
      </c>
      <c r="P2960" s="7">
        <f>SQRT(O2960^2+N2960^2)</f>
      </c>
      <c r="Q2960" s="7">
        <f>N2960/$P2960</f>
      </c>
      <c r="R2960" s="7">
        <f>O2960/$P2960</f>
      </c>
      <c r="S2960" s="8">
        <f>Q2960^2+R2960^2</f>
      </c>
      <c r="T2960" s="7">
        <f>-R2960</f>
      </c>
      <c r="U2960" s="7">
        <f>Q2960</f>
      </c>
      <c r="V2960" s="7">
        <f>($C$14+($C$15-$C$14)/($D$15-$D$14)*(I2960-$D$14))/2</f>
      </c>
      <c r="W2960" s="7">
        <f>($B$22*I2960^4+$C$22*I2960^3+$D$22*I2960^2+$E$22*I2960+$F$22)/2</f>
      </c>
      <c r="X2960" s="7">
        <f>($W2960)*(T2960)</f>
      </c>
      <c r="Y2960" s="7">
        <f>($W2960)*(U2960)</f>
      </c>
      <c r="Z2960" s="7">
        <f>SQRT(X2960^2+Y2960^2)</f>
      </c>
      <c r="AA2960" s="7">
        <f>$K2960+$X2960</f>
      </c>
      <c r="AB2960" s="7">
        <f>$L2960+$Y2960</f>
      </c>
      <c r="AC2960" s="7">
        <f>$K2960-$X2960</f>
      </c>
      <c r="AD2960" s="7">
        <f>$L2960-$Y2960</f>
      </c>
      <c r="AE2960" s="7">
        <f>AA2960/39.3701</f>
      </c>
      <c r="AF2960" s="7">
        <f>AB2960/39.3701</f>
      </c>
      <c r="AG2960" s="7">
        <f>AC2960/39.3701</f>
      </c>
      <c r="AH2960" s="7">
        <f>AD2960/39.3701</f>
      </c>
      <c r="AI2960" s="1"/>
      <c r="AJ2960" s="1"/>
      <c r="AK2960" s="1"/>
      <c r="AL2960" s="1"/>
      <c r="AM2960" s="2"/>
      <c r="AN2960" s="1"/>
      <c r="AO2960" s="1"/>
      <c r="AP2960" s="1"/>
      <c r="AQ2960" s="1"/>
      <c r="AR2960" s="1"/>
      <c r="AS2960" s="1"/>
      <c r="AT2960" s="1"/>
      <c r="AU2960" s="1"/>
      <c r="AV2960" s="1"/>
      <c r="AW2960" s="1"/>
      <c r="AX2960" s="1"/>
      <c r="AY2960" s="1"/>
      <c r="AZ2960" s="1"/>
      <c r="BA2960" s="1"/>
      <c r="BB2960" s="1"/>
      <c r="BC2960" s="1"/>
      <c r="BD2960" s="1"/>
      <c r="BE2960" s="1"/>
    </row>
    <row x14ac:dyDescent="0.25" r="2961" customHeight="1" ht="18.75">
      <c r="A2961" s="1"/>
      <c r="B2961" s="2"/>
      <c r="C2961" s="2"/>
      <c r="D2961" s="2"/>
      <c r="E2961" s="2"/>
      <c r="F2961" s="2"/>
      <c r="G2961" s="1"/>
      <c r="H2961" s="1"/>
      <c r="I2961" s="7">
        <v>2.958</v>
      </c>
      <c r="J2961" s="7">
        <f>IF((I2961-ROUNDDOWN(I2961,0))=0, 0, (I2961-ROUNDDOWN(I2961,0)))</f>
      </c>
      <c r="K2961" s="7">
        <f>INDIRECT("C$"&amp;2+MIN(2,ROUNDDOWN(I2961,0))*3)*(-$J2961^3+3*$J2961^2-3*$J2961+1)+INDIRECT("C$"&amp;3+MIN(2,ROUNDDOWN(I2961,0))*3)*(3*$J2961^3-6*$J2961^2+3*$J2961)+INDIRECT("C$"&amp;4+MIN(2,ROUNDDOWN(I2961,0))*3)*(-3*$J2961^3+3*$J2961^2)+INDIRECT("C$"&amp;5+MIN(2,ROUNDDOWN(I2961,0))*3)*$J2961^3</f>
      </c>
      <c r="L2961" s="7">
        <f>INDIRECT("D$"&amp;2+MIN(2,ROUNDDOWN(I2961,0))*3)*(-$J2961^3+3*$J2961^2-3*$J2961+1)+INDIRECT("D$"&amp;3+MIN(2,ROUNDDOWN(I2961,0))*3)*(3*$J2961^3-6*$J2961^2+3*$J2961)+INDIRECT("D$"&amp;4+MIN(2,ROUNDDOWN(I2961,0))*3)*(-3*$J2961^3+3*$J2961^2)+INDIRECT("D$"&amp;5+MIN(2,ROUNDDOWN(I2961,0))*3)*$J2961^3</f>
      </c>
      <c r="M2961" s="7">
        <f>SQRT(K2961^2+L2961^2)</f>
      </c>
      <c r="N2961" s="7">
        <f>(K2962-K2960)</f>
      </c>
      <c r="O2961" s="7">
        <f>+(L2962-L2960)</f>
      </c>
      <c r="P2961" s="7">
        <f>SQRT(O2961^2+N2961^2)</f>
      </c>
      <c r="Q2961" s="7">
        <f>N2961/$P2961</f>
      </c>
      <c r="R2961" s="7">
        <f>O2961/$P2961</f>
      </c>
      <c r="S2961" s="8">
        <f>Q2961^2+R2961^2</f>
      </c>
      <c r="T2961" s="7">
        <f>-R2961</f>
      </c>
      <c r="U2961" s="7">
        <f>Q2961</f>
      </c>
      <c r="V2961" s="7">
        <f>($C$14+($C$15-$C$14)/($D$15-$D$14)*(I2961-$D$14))/2</f>
      </c>
      <c r="W2961" s="7">
        <f>($B$22*I2961^4+$C$22*I2961^3+$D$22*I2961^2+$E$22*I2961+$F$22)/2</f>
      </c>
      <c r="X2961" s="7">
        <f>($W2961)*(T2961)</f>
      </c>
      <c r="Y2961" s="7">
        <f>($W2961)*(U2961)</f>
      </c>
      <c r="Z2961" s="7">
        <f>SQRT(X2961^2+Y2961^2)</f>
      </c>
      <c r="AA2961" s="7">
        <f>$K2961+$X2961</f>
      </c>
      <c r="AB2961" s="7">
        <f>$L2961+$Y2961</f>
      </c>
      <c r="AC2961" s="7">
        <f>$K2961-$X2961</f>
      </c>
      <c r="AD2961" s="7">
        <f>$L2961-$Y2961</f>
      </c>
      <c r="AE2961" s="7">
        <f>AA2961/39.3701</f>
      </c>
      <c r="AF2961" s="7">
        <f>AB2961/39.3701</f>
      </c>
      <c r="AG2961" s="7">
        <f>AC2961/39.3701</f>
      </c>
      <c r="AH2961" s="7">
        <f>AD2961/39.3701</f>
      </c>
      <c r="AI2961" s="1"/>
      <c r="AJ2961" s="1"/>
      <c r="AK2961" s="1"/>
      <c r="AL2961" s="1"/>
      <c r="AM2961" s="2"/>
      <c r="AN2961" s="1"/>
      <c r="AO2961" s="1"/>
      <c r="AP2961" s="1"/>
      <c r="AQ2961" s="1"/>
      <c r="AR2961" s="1"/>
      <c r="AS2961" s="1"/>
      <c r="AT2961" s="1"/>
      <c r="AU2961" s="1"/>
      <c r="AV2961" s="1"/>
      <c r="AW2961" s="1"/>
      <c r="AX2961" s="1"/>
      <c r="AY2961" s="1"/>
      <c r="AZ2961" s="1"/>
      <c r="BA2961" s="1"/>
      <c r="BB2961" s="1"/>
      <c r="BC2961" s="1"/>
      <c r="BD2961" s="1"/>
      <c r="BE2961" s="1"/>
    </row>
    <row x14ac:dyDescent="0.25" r="2962" customHeight="1" ht="18.75">
      <c r="A2962" s="1"/>
      <c r="B2962" s="2"/>
      <c r="C2962" s="2"/>
      <c r="D2962" s="2"/>
      <c r="E2962" s="2"/>
      <c r="F2962" s="2"/>
      <c r="G2962" s="1"/>
      <c r="H2962" s="1"/>
      <c r="I2962" s="7">
        <v>2.959</v>
      </c>
      <c r="J2962" s="7">
        <f>IF((I2962-ROUNDDOWN(I2962,0))=0, 0, (I2962-ROUNDDOWN(I2962,0)))</f>
      </c>
      <c r="K2962" s="7">
        <f>INDIRECT("C$"&amp;2+MIN(2,ROUNDDOWN(I2962,0))*3)*(-$J2962^3+3*$J2962^2-3*$J2962+1)+INDIRECT("C$"&amp;3+MIN(2,ROUNDDOWN(I2962,0))*3)*(3*$J2962^3-6*$J2962^2+3*$J2962)+INDIRECT("C$"&amp;4+MIN(2,ROUNDDOWN(I2962,0))*3)*(-3*$J2962^3+3*$J2962^2)+INDIRECT("C$"&amp;5+MIN(2,ROUNDDOWN(I2962,0))*3)*$J2962^3</f>
      </c>
      <c r="L2962" s="7">
        <f>INDIRECT("D$"&amp;2+MIN(2,ROUNDDOWN(I2962,0))*3)*(-$J2962^3+3*$J2962^2-3*$J2962+1)+INDIRECT("D$"&amp;3+MIN(2,ROUNDDOWN(I2962,0))*3)*(3*$J2962^3-6*$J2962^2+3*$J2962)+INDIRECT("D$"&amp;4+MIN(2,ROUNDDOWN(I2962,0))*3)*(-3*$J2962^3+3*$J2962^2)+INDIRECT("D$"&amp;5+MIN(2,ROUNDDOWN(I2962,0))*3)*$J2962^3</f>
      </c>
      <c r="M2962" s="7">
        <f>SQRT(K2962^2+L2962^2)</f>
      </c>
      <c r="N2962" s="7">
        <f>(K2963-K2961)</f>
      </c>
      <c r="O2962" s="7">
        <f>+(L2963-L2961)</f>
      </c>
      <c r="P2962" s="7">
        <f>SQRT(O2962^2+N2962^2)</f>
      </c>
      <c r="Q2962" s="7">
        <f>N2962/$P2962</f>
      </c>
      <c r="R2962" s="7">
        <f>O2962/$P2962</f>
      </c>
      <c r="S2962" s="8">
        <f>Q2962^2+R2962^2</f>
      </c>
      <c r="T2962" s="7">
        <f>-R2962</f>
      </c>
      <c r="U2962" s="7">
        <f>Q2962</f>
      </c>
      <c r="V2962" s="7">
        <f>($C$14+($C$15-$C$14)/($D$15-$D$14)*(I2962-$D$14))/2</f>
      </c>
      <c r="W2962" s="7">
        <f>($B$22*I2962^4+$C$22*I2962^3+$D$22*I2962^2+$E$22*I2962+$F$22)/2</f>
      </c>
      <c r="X2962" s="7">
        <f>($W2962)*(T2962)</f>
      </c>
      <c r="Y2962" s="7">
        <f>($W2962)*(U2962)</f>
      </c>
      <c r="Z2962" s="7">
        <f>SQRT(X2962^2+Y2962^2)</f>
      </c>
      <c r="AA2962" s="7">
        <f>$K2962+$X2962</f>
      </c>
      <c r="AB2962" s="7">
        <f>$L2962+$Y2962</f>
      </c>
      <c r="AC2962" s="7">
        <f>$K2962-$X2962</f>
      </c>
      <c r="AD2962" s="7">
        <f>$L2962-$Y2962</f>
      </c>
      <c r="AE2962" s="7">
        <f>AA2962/39.3701</f>
      </c>
      <c r="AF2962" s="7">
        <f>AB2962/39.3701</f>
      </c>
      <c r="AG2962" s="7">
        <f>AC2962/39.3701</f>
      </c>
      <c r="AH2962" s="7">
        <f>AD2962/39.3701</f>
      </c>
      <c r="AI2962" s="1"/>
      <c r="AJ2962" s="1"/>
      <c r="AK2962" s="1"/>
      <c r="AL2962" s="1"/>
      <c r="AM2962" s="2"/>
      <c r="AN2962" s="1"/>
      <c r="AO2962" s="1"/>
      <c r="AP2962" s="1"/>
      <c r="AQ2962" s="1"/>
      <c r="AR2962" s="1"/>
      <c r="AS2962" s="1"/>
      <c r="AT2962" s="1"/>
      <c r="AU2962" s="1"/>
      <c r="AV2962" s="1"/>
      <c r="AW2962" s="1"/>
      <c r="AX2962" s="1"/>
      <c r="AY2962" s="1"/>
      <c r="AZ2962" s="1"/>
      <c r="BA2962" s="1"/>
      <c r="BB2962" s="1"/>
      <c r="BC2962" s="1"/>
      <c r="BD2962" s="1"/>
      <c r="BE2962" s="1"/>
    </row>
    <row x14ac:dyDescent="0.25" r="2963" customHeight="1" ht="18.75">
      <c r="A2963" s="1"/>
      <c r="B2963" s="2"/>
      <c r="C2963" s="2"/>
      <c r="D2963" s="2"/>
      <c r="E2963" s="2"/>
      <c r="F2963" s="2"/>
      <c r="G2963" s="1"/>
      <c r="H2963" s="1"/>
      <c r="I2963" s="7">
        <v>2.96</v>
      </c>
      <c r="J2963" s="7">
        <f>IF((I2963-ROUNDDOWN(I2963,0))=0, 0, (I2963-ROUNDDOWN(I2963,0)))</f>
      </c>
      <c r="K2963" s="7">
        <f>INDIRECT("C$"&amp;2+MIN(2,ROUNDDOWN(I2963,0))*3)*(-$J2963^3+3*$J2963^2-3*$J2963+1)+INDIRECT("C$"&amp;3+MIN(2,ROUNDDOWN(I2963,0))*3)*(3*$J2963^3-6*$J2963^2+3*$J2963)+INDIRECT("C$"&amp;4+MIN(2,ROUNDDOWN(I2963,0))*3)*(-3*$J2963^3+3*$J2963^2)+INDIRECT("C$"&amp;5+MIN(2,ROUNDDOWN(I2963,0))*3)*$J2963^3</f>
      </c>
      <c r="L2963" s="7">
        <f>INDIRECT("D$"&amp;2+MIN(2,ROUNDDOWN(I2963,0))*3)*(-$J2963^3+3*$J2963^2-3*$J2963+1)+INDIRECT("D$"&amp;3+MIN(2,ROUNDDOWN(I2963,0))*3)*(3*$J2963^3-6*$J2963^2+3*$J2963)+INDIRECT("D$"&amp;4+MIN(2,ROUNDDOWN(I2963,0))*3)*(-3*$J2963^3+3*$J2963^2)+INDIRECT("D$"&amp;5+MIN(2,ROUNDDOWN(I2963,0))*3)*$J2963^3</f>
      </c>
      <c r="M2963" s="7">
        <f>SQRT(K2963^2+L2963^2)</f>
      </c>
      <c r="N2963" s="7">
        <f>(K2964-K2962)</f>
      </c>
      <c r="O2963" s="7">
        <f>+(L2964-L2962)</f>
      </c>
      <c r="P2963" s="7">
        <f>SQRT(O2963^2+N2963^2)</f>
      </c>
      <c r="Q2963" s="7">
        <f>N2963/$P2963</f>
      </c>
      <c r="R2963" s="7">
        <f>O2963/$P2963</f>
      </c>
      <c r="S2963" s="8">
        <f>Q2963^2+R2963^2</f>
      </c>
      <c r="T2963" s="7">
        <f>-R2963</f>
      </c>
      <c r="U2963" s="7">
        <f>Q2963</f>
      </c>
      <c r="V2963" s="7">
        <f>($C$14+($C$15-$C$14)/($D$15-$D$14)*(I2963-$D$14))/2</f>
      </c>
      <c r="W2963" s="7">
        <f>($B$22*I2963^4+$C$22*I2963^3+$D$22*I2963^2+$E$22*I2963+$F$22)/2</f>
      </c>
      <c r="X2963" s="7">
        <f>($W2963)*(T2963)</f>
      </c>
      <c r="Y2963" s="7">
        <f>($W2963)*(U2963)</f>
      </c>
      <c r="Z2963" s="7">
        <f>SQRT(X2963^2+Y2963^2)</f>
      </c>
      <c r="AA2963" s="7">
        <f>$K2963+$X2963</f>
      </c>
      <c r="AB2963" s="7">
        <f>$L2963+$Y2963</f>
      </c>
      <c r="AC2963" s="7">
        <f>$K2963-$X2963</f>
      </c>
      <c r="AD2963" s="7">
        <f>$L2963-$Y2963</f>
      </c>
      <c r="AE2963" s="7">
        <f>AA2963/39.3701</f>
      </c>
      <c r="AF2963" s="7">
        <f>AB2963/39.3701</f>
      </c>
      <c r="AG2963" s="7">
        <f>AC2963/39.3701</f>
      </c>
      <c r="AH2963" s="7">
        <f>AD2963/39.3701</f>
      </c>
      <c r="AI2963" s="1"/>
      <c r="AJ2963" s="1"/>
      <c r="AK2963" s="1"/>
      <c r="AL2963" s="1"/>
      <c r="AM2963" s="2"/>
      <c r="AN2963" s="1"/>
      <c r="AO2963" s="1"/>
      <c r="AP2963" s="1"/>
      <c r="AQ2963" s="1"/>
      <c r="AR2963" s="1"/>
      <c r="AS2963" s="1"/>
      <c r="AT2963" s="1"/>
      <c r="AU2963" s="1"/>
      <c r="AV2963" s="1"/>
      <c r="AW2963" s="1"/>
      <c r="AX2963" s="1"/>
      <c r="AY2963" s="1"/>
      <c r="AZ2963" s="1"/>
      <c r="BA2963" s="1"/>
      <c r="BB2963" s="1"/>
      <c r="BC2963" s="1"/>
      <c r="BD2963" s="1"/>
      <c r="BE2963" s="1"/>
    </row>
    <row x14ac:dyDescent="0.25" r="2964" customHeight="1" ht="18.75">
      <c r="A2964" s="1"/>
      <c r="B2964" s="2"/>
      <c r="C2964" s="2"/>
      <c r="D2964" s="2"/>
      <c r="E2964" s="2"/>
      <c r="F2964" s="2"/>
      <c r="G2964" s="1"/>
      <c r="H2964" s="1"/>
      <c r="I2964" s="7">
        <v>2.961</v>
      </c>
      <c r="J2964" s="7">
        <f>IF((I2964-ROUNDDOWN(I2964,0))=0, 0, (I2964-ROUNDDOWN(I2964,0)))</f>
      </c>
      <c r="K2964" s="7">
        <f>INDIRECT("C$"&amp;2+MIN(2,ROUNDDOWN(I2964,0))*3)*(-$J2964^3+3*$J2964^2-3*$J2964+1)+INDIRECT("C$"&amp;3+MIN(2,ROUNDDOWN(I2964,0))*3)*(3*$J2964^3-6*$J2964^2+3*$J2964)+INDIRECT("C$"&amp;4+MIN(2,ROUNDDOWN(I2964,0))*3)*(-3*$J2964^3+3*$J2964^2)+INDIRECT("C$"&amp;5+MIN(2,ROUNDDOWN(I2964,0))*3)*$J2964^3</f>
      </c>
      <c r="L2964" s="7">
        <f>INDIRECT("D$"&amp;2+MIN(2,ROUNDDOWN(I2964,0))*3)*(-$J2964^3+3*$J2964^2-3*$J2964+1)+INDIRECT("D$"&amp;3+MIN(2,ROUNDDOWN(I2964,0))*3)*(3*$J2964^3-6*$J2964^2+3*$J2964)+INDIRECT("D$"&amp;4+MIN(2,ROUNDDOWN(I2964,0))*3)*(-3*$J2964^3+3*$J2964^2)+INDIRECT("D$"&amp;5+MIN(2,ROUNDDOWN(I2964,0))*3)*$J2964^3</f>
      </c>
      <c r="M2964" s="7">
        <f>SQRT(K2964^2+L2964^2)</f>
      </c>
      <c r="N2964" s="7">
        <f>(K2965-K2963)</f>
      </c>
      <c r="O2964" s="7">
        <f>+(L2965-L2963)</f>
      </c>
      <c r="P2964" s="7">
        <f>SQRT(O2964^2+N2964^2)</f>
      </c>
      <c r="Q2964" s="7">
        <f>N2964/$P2964</f>
      </c>
      <c r="R2964" s="7">
        <f>O2964/$P2964</f>
      </c>
      <c r="S2964" s="8">
        <f>Q2964^2+R2964^2</f>
      </c>
      <c r="T2964" s="7">
        <f>-R2964</f>
      </c>
      <c r="U2964" s="7">
        <f>Q2964</f>
      </c>
      <c r="V2964" s="7">
        <f>($C$14+($C$15-$C$14)/($D$15-$D$14)*(I2964-$D$14))/2</f>
      </c>
      <c r="W2964" s="7">
        <f>($B$22*I2964^4+$C$22*I2964^3+$D$22*I2964^2+$E$22*I2964+$F$22)/2</f>
      </c>
      <c r="X2964" s="7">
        <f>($W2964)*(T2964)</f>
      </c>
      <c r="Y2964" s="7">
        <f>($W2964)*(U2964)</f>
      </c>
      <c r="Z2964" s="7">
        <f>SQRT(X2964^2+Y2964^2)</f>
      </c>
      <c r="AA2964" s="7">
        <f>$K2964+$X2964</f>
      </c>
      <c r="AB2964" s="7">
        <f>$L2964+$Y2964</f>
      </c>
      <c r="AC2964" s="7">
        <f>$K2964-$X2964</f>
      </c>
      <c r="AD2964" s="7">
        <f>$L2964-$Y2964</f>
      </c>
      <c r="AE2964" s="7">
        <f>AA2964/39.3701</f>
      </c>
      <c r="AF2964" s="7">
        <f>AB2964/39.3701</f>
      </c>
      <c r="AG2964" s="7">
        <f>AC2964/39.3701</f>
      </c>
      <c r="AH2964" s="7">
        <f>AD2964/39.3701</f>
      </c>
      <c r="AI2964" s="1"/>
      <c r="AJ2964" s="1"/>
      <c r="AK2964" s="1"/>
      <c r="AL2964" s="1"/>
      <c r="AM2964" s="2"/>
      <c r="AN2964" s="1"/>
      <c r="AO2964" s="1"/>
      <c r="AP2964" s="1"/>
      <c r="AQ2964" s="1"/>
      <c r="AR2964" s="1"/>
      <c r="AS2964" s="1"/>
      <c r="AT2964" s="1"/>
      <c r="AU2964" s="1"/>
      <c r="AV2964" s="1"/>
      <c r="AW2964" s="1"/>
      <c r="AX2964" s="1"/>
      <c r="AY2964" s="1"/>
      <c r="AZ2964" s="1"/>
      <c r="BA2964" s="1"/>
      <c r="BB2964" s="1"/>
      <c r="BC2964" s="1"/>
      <c r="BD2964" s="1"/>
      <c r="BE2964" s="1"/>
    </row>
    <row x14ac:dyDescent="0.25" r="2965" customHeight="1" ht="18.75">
      <c r="A2965" s="1"/>
      <c r="B2965" s="2"/>
      <c r="C2965" s="2"/>
      <c r="D2965" s="2"/>
      <c r="E2965" s="2"/>
      <c r="F2965" s="2"/>
      <c r="G2965" s="1"/>
      <c r="H2965" s="1"/>
      <c r="I2965" s="7">
        <v>2.962</v>
      </c>
      <c r="J2965" s="7">
        <f>IF((I2965-ROUNDDOWN(I2965,0))=0, 0, (I2965-ROUNDDOWN(I2965,0)))</f>
      </c>
      <c r="K2965" s="7">
        <f>INDIRECT("C$"&amp;2+MIN(2,ROUNDDOWN(I2965,0))*3)*(-$J2965^3+3*$J2965^2-3*$J2965+1)+INDIRECT("C$"&amp;3+MIN(2,ROUNDDOWN(I2965,0))*3)*(3*$J2965^3-6*$J2965^2+3*$J2965)+INDIRECT("C$"&amp;4+MIN(2,ROUNDDOWN(I2965,0))*3)*(-3*$J2965^3+3*$J2965^2)+INDIRECT("C$"&amp;5+MIN(2,ROUNDDOWN(I2965,0))*3)*$J2965^3</f>
      </c>
      <c r="L2965" s="7">
        <f>INDIRECT("D$"&amp;2+MIN(2,ROUNDDOWN(I2965,0))*3)*(-$J2965^3+3*$J2965^2-3*$J2965+1)+INDIRECT("D$"&amp;3+MIN(2,ROUNDDOWN(I2965,0))*3)*(3*$J2965^3-6*$J2965^2+3*$J2965)+INDIRECT("D$"&amp;4+MIN(2,ROUNDDOWN(I2965,0))*3)*(-3*$J2965^3+3*$J2965^2)+INDIRECT("D$"&amp;5+MIN(2,ROUNDDOWN(I2965,0))*3)*$J2965^3</f>
      </c>
      <c r="M2965" s="7">
        <f>SQRT(K2965^2+L2965^2)</f>
      </c>
      <c r="N2965" s="7">
        <f>(K2966-K2964)</f>
      </c>
      <c r="O2965" s="7">
        <f>+(L2966-L2964)</f>
      </c>
      <c r="P2965" s="7">
        <f>SQRT(O2965^2+N2965^2)</f>
      </c>
      <c r="Q2965" s="7">
        <f>N2965/$P2965</f>
      </c>
      <c r="R2965" s="7">
        <f>O2965/$P2965</f>
      </c>
      <c r="S2965" s="8">
        <f>Q2965^2+R2965^2</f>
      </c>
      <c r="T2965" s="7">
        <f>-R2965</f>
      </c>
      <c r="U2965" s="7">
        <f>Q2965</f>
      </c>
      <c r="V2965" s="7">
        <f>($C$14+($C$15-$C$14)/($D$15-$D$14)*(I2965-$D$14))/2</f>
      </c>
      <c r="W2965" s="7">
        <f>($B$22*I2965^4+$C$22*I2965^3+$D$22*I2965^2+$E$22*I2965+$F$22)/2</f>
      </c>
      <c r="X2965" s="7">
        <f>($W2965)*(T2965)</f>
      </c>
      <c r="Y2965" s="7">
        <f>($W2965)*(U2965)</f>
      </c>
      <c r="Z2965" s="7">
        <f>SQRT(X2965^2+Y2965^2)</f>
      </c>
      <c r="AA2965" s="7">
        <f>$K2965+$X2965</f>
      </c>
      <c r="AB2965" s="7">
        <f>$L2965+$Y2965</f>
      </c>
      <c r="AC2965" s="7">
        <f>$K2965-$X2965</f>
      </c>
      <c r="AD2965" s="7">
        <f>$L2965-$Y2965</f>
      </c>
      <c r="AE2965" s="7">
        <f>AA2965/39.3701</f>
      </c>
      <c r="AF2965" s="7">
        <f>AB2965/39.3701</f>
      </c>
      <c r="AG2965" s="7">
        <f>AC2965/39.3701</f>
      </c>
      <c r="AH2965" s="7">
        <f>AD2965/39.3701</f>
      </c>
      <c r="AI2965" s="1"/>
      <c r="AJ2965" s="1"/>
      <c r="AK2965" s="1"/>
      <c r="AL2965" s="1"/>
      <c r="AM2965" s="2"/>
      <c r="AN2965" s="1"/>
      <c r="AO2965" s="1"/>
      <c r="AP2965" s="1"/>
      <c r="AQ2965" s="1"/>
      <c r="AR2965" s="1"/>
      <c r="AS2965" s="1"/>
      <c r="AT2965" s="1"/>
      <c r="AU2965" s="1"/>
      <c r="AV2965" s="1"/>
      <c r="AW2965" s="1"/>
      <c r="AX2965" s="1"/>
      <c r="AY2965" s="1"/>
      <c r="AZ2965" s="1"/>
      <c r="BA2965" s="1"/>
      <c r="BB2965" s="1"/>
      <c r="BC2965" s="1"/>
      <c r="BD2965" s="1"/>
      <c r="BE2965" s="1"/>
    </row>
    <row x14ac:dyDescent="0.25" r="2966" customHeight="1" ht="18.75">
      <c r="A2966" s="1"/>
      <c r="B2966" s="2"/>
      <c r="C2966" s="2"/>
      <c r="D2966" s="2"/>
      <c r="E2966" s="2"/>
      <c r="F2966" s="2"/>
      <c r="G2966" s="1"/>
      <c r="H2966" s="1"/>
      <c r="I2966" s="7">
        <v>2.963</v>
      </c>
      <c r="J2966" s="7">
        <f>IF((I2966-ROUNDDOWN(I2966,0))=0, 0, (I2966-ROUNDDOWN(I2966,0)))</f>
      </c>
      <c r="K2966" s="7">
        <f>INDIRECT("C$"&amp;2+MIN(2,ROUNDDOWN(I2966,0))*3)*(-$J2966^3+3*$J2966^2-3*$J2966+1)+INDIRECT("C$"&amp;3+MIN(2,ROUNDDOWN(I2966,0))*3)*(3*$J2966^3-6*$J2966^2+3*$J2966)+INDIRECT("C$"&amp;4+MIN(2,ROUNDDOWN(I2966,0))*3)*(-3*$J2966^3+3*$J2966^2)+INDIRECT("C$"&amp;5+MIN(2,ROUNDDOWN(I2966,0))*3)*$J2966^3</f>
      </c>
      <c r="L2966" s="7">
        <f>INDIRECT("D$"&amp;2+MIN(2,ROUNDDOWN(I2966,0))*3)*(-$J2966^3+3*$J2966^2-3*$J2966+1)+INDIRECT("D$"&amp;3+MIN(2,ROUNDDOWN(I2966,0))*3)*(3*$J2966^3-6*$J2966^2+3*$J2966)+INDIRECT("D$"&amp;4+MIN(2,ROUNDDOWN(I2966,0))*3)*(-3*$J2966^3+3*$J2966^2)+INDIRECT("D$"&amp;5+MIN(2,ROUNDDOWN(I2966,0))*3)*$J2966^3</f>
      </c>
      <c r="M2966" s="7">
        <f>SQRT(K2966^2+L2966^2)</f>
      </c>
      <c r="N2966" s="7">
        <f>(K2967-K2965)</f>
      </c>
      <c r="O2966" s="7">
        <f>+(L2967-L2965)</f>
      </c>
      <c r="P2966" s="7">
        <f>SQRT(O2966^2+N2966^2)</f>
      </c>
      <c r="Q2966" s="7">
        <f>N2966/$P2966</f>
      </c>
      <c r="R2966" s="7">
        <f>O2966/$P2966</f>
      </c>
      <c r="S2966" s="7">
        <f>Q2966^2+R2966^2</f>
      </c>
      <c r="T2966" s="7">
        <f>-R2966</f>
      </c>
      <c r="U2966" s="7">
        <f>Q2966</f>
      </c>
      <c r="V2966" s="7">
        <f>($C$14+($C$15-$C$14)/($D$15-$D$14)*(I2966-$D$14))/2</f>
      </c>
      <c r="W2966" s="7">
        <f>($B$22*I2966^4+$C$22*I2966^3+$D$22*I2966^2+$E$22*I2966+$F$22)/2</f>
      </c>
      <c r="X2966" s="7">
        <f>($W2966)*(T2966)</f>
      </c>
      <c r="Y2966" s="7">
        <f>($W2966)*(U2966)</f>
      </c>
      <c r="Z2966" s="7">
        <f>SQRT(X2966^2+Y2966^2)</f>
      </c>
      <c r="AA2966" s="7">
        <f>$K2966+$X2966</f>
      </c>
      <c r="AB2966" s="7">
        <f>$L2966+$Y2966</f>
      </c>
      <c r="AC2966" s="7">
        <f>$K2966-$X2966</f>
      </c>
      <c r="AD2966" s="7">
        <f>$L2966-$Y2966</f>
      </c>
      <c r="AE2966" s="7">
        <f>AA2966/39.3701</f>
      </c>
      <c r="AF2966" s="7">
        <f>AB2966/39.3701</f>
      </c>
      <c r="AG2966" s="7">
        <f>AC2966/39.3701</f>
      </c>
      <c r="AH2966" s="7">
        <f>AD2966/39.3701</f>
      </c>
      <c r="AI2966" s="1"/>
      <c r="AJ2966" s="1"/>
      <c r="AK2966" s="1"/>
      <c r="AL2966" s="1"/>
      <c r="AM2966" s="2"/>
      <c r="AN2966" s="1"/>
      <c r="AO2966" s="1"/>
      <c r="AP2966" s="1"/>
      <c r="AQ2966" s="1"/>
      <c r="AR2966" s="1"/>
      <c r="AS2966" s="1"/>
      <c r="AT2966" s="1"/>
      <c r="AU2966" s="1"/>
      <c r="AV2966" s="1"/>
      <c r="AW2966" s="1"/>
      <c r="AX2966" s="1"/>
      <c r="AY2966" s="1"/>
      <c r="AZ2966" s="1"/>
      <c r="BA2966" s="1"/>
      <c r="BB2966" s="1"/>
      <c r="BC2966" s="1"/>
      <c r="BD2966" s="1"/>
      <c r="BE2966" s="1"/>
    </row>
    <row x14ac:dyDescent="0.25" r="2967" customHeight="1" ht="18.75">
      <c r="A2967" s="1"/>
      <c r="B2967" s="2"/>
      <c r="C2967" s="2"/>
      <c r="D2967" s="2"/>
      <c r="E2967" s="2"/>
      <c r="F2967" s="2"/>
      <c r="G2967" s="1"/>
      <c r="H2967" s="1"/>
      <c r="I2967" s="7">
        <v>2.964</v>
      </c>
      <c r="J2967" s="7">
        <f>IF((I2967-ROUNDDOWN(I2967,0))=0, 0, (I2967-ROUNDDOWN(I2967,0)))</f>
      </c>
      <c r="K2967" s="7">
        <f>INDIRECT("C$"&amp;2+MIN(2,ROUNDDOWN(I2967,0))*3)*(-$J2967^3+3*$J2967^2-3*$J2967+1)+INDIRECT("C$"&amp;3+MIN(2,ROUNDDOWN(I2967,0))*3)*(3*$J2967^3-6*$J2967^2+3*$J2967)+INDIRECT("C$"&amp;4+MIN(2,ROUNDDOWN(I2967,0))*3)*(-3*$J2967^3+3*$J2967^2)+INDIRECT("C$"&amp;5+MIN(2,ROUNDDOWN(I2967,0))*3)*$J2967^3</f>
      </c>
      <c r="L2967" s="7">
        <f>INDIRECT("D$"&amp;2+MIN(2,ROUNDDOWN(I2967,0))*3)*(-$J2967^3+3*$J2967^2-3*$J2967+1)+INDIRECT("D$"&amp;3+MIN(2,ROUNDDOWN(I2967,0))*3)*(3*$J2967^3-6*$J2967^2+3*$J2967)+INDIRECT("D$"&amp;4+MIN(2,ROUNDDOWN(I2967,0))*3)*(-3*$J2967^3+3*$J2967^2)+INDIRECT("D$"&amp;5+MIN(2,ROUNDDOWN(I2967,0))*3)*$J2967^3</f>
      </c>
      <c r="M2967" s="7">
        <f>SQRT(K2967^2+L2967^2)</f>
      </c>
      <c r="N2967" s="7">
        <f>(K2968-K2966)</f>
      </c>
      <c r="O2967" s="7">
        <f>+(L2968-L2966)</f>
      </c>
      <c r="P2967" s="7">
        <f>SQRT(O2967^2+N2967^2)</f>
      </c>
      <c r="Q2967" s="7">
        <f>N2967/$P2967</f>
      </c>
      <c r="R2967" s="7">
        <f>O2967/$P2967</f>
      </c>
      <c r="S2967" s="7">
        <f>Q2967^2+R2967^2</f>
      </c>
      <c r="T2967" s="7">
        <f>-R2967</f>
      </c>
      <c r="U2967" s="7">
        <f>Q2967</f>
      </c>
      <c r="V2967" s="7">
        <f>($C$14+($C$15-$C$14)/($D$15-$D$14)*(I2967-$D$14))/2</f>
      </c>
      <c r="W2967" s="7">
        <f>($B$22*I2967^4+$C$22*I2967^3+$D$22*I2967^2+$E$22*I2967+$F$22)/2</f>
      </c>
      <c r="X2967" s="7">
        <f>($W2967)*(T2967)</f>
      </c>
      <c r="Y2967" s="7">
        <f>($W2967)*(U2967)</f>
      </c>
      <c r="Z2967" s="7">
        <f>SQRT(X2967^2+Y2967^2)</f>
      </c>
      <c r="AA2967" s="7">
        <f>$K2967+$X2967</f>
      </c>
      <c r="AB2967" s="7">
        <f>$L2967+$Y2967</f>
      </c>
      <c r="AC2967" s="7">
        <f>$K2967-$X2967</f>
      </c>
      <c r="AD2967" s="7">
        <f>$L2967-$Y2967</f>
      </c>
      <c r="AE2967" s="7">
        <f>AA2967/39.3701</f>
      </c>
      <c r="AF2967" s="7">
        <f>AB2967/39.3701</f>
      </c>
      <c r="AG2967" s="7">
        <f>AC2967/39.3701</f>
      </c>
      <c r="AH2967" s="7">
        <f>AD2967/39.3701</f>
      </c>
      <c r="AI2967" s="1"/>
      <c r="AJ2967" s="1"/>
      <c r="AK2967" s="1"/>
      <c r="AL2967" s="1"/>
      <c r="AM2967" s="2"/>
      <c r="AN2967" s="1"/>
      <c r="AO2967" s="1"/>
      <c r="AP2967" s="1"/>
      <c r="AQ2967" s="1"/>
      <c r="AR2967" s="1"/>
      <c r="AS2967" s="1"/>
      <c r="AT2967" s="1"/>
      <c r="AU2967" s="1"/>
      <c r="AV2967" s="1"/>
      <c r="AW2967" s="1"/>
      <c r="AX2967" s="1"/>
      <c r="AY2967" s="1"/>
      <c r="AZ2967" s="1"/>
      <c r="BA2967" s="1"/>
      <c r="BB2967" s="1"/>
      <c r="BC2967" s="1"/>
      <c r="BD2967" s="1"/>
      <c r="BE2967" s="1"/>
    </row>
    <row x14ac:dyDescent="0.25" r="2968" customHeight="1" ht="18.75">
      <c r="A2968" s="1"/>
      <c r="B2968" s="2"/>
      <c r="C2968" s="2"/>
      <c r="D2968" s="2"/>
      <c r="E2968" s="2"/>
      <c r="F2968" s="2"/>
      <c r="G2968" s="1"/>
      <c r="H2968" s="1"/>
      <c r="I2968" s="7">
        <v>2.965</v>
      </c>
      <c r="J2968" s="7">
        <f>IF((I2968-ROUNDDOWN(I2968,0))=0, 0, (I2968-ROUNDDOWN(I2968,0)))</f>
      </c>
      <c r="K2968" s="7">
        <f>INDIRECT("C$"&amp;2+MIN(2,ROUNDDOWN(I2968,0))*3)*(-$J2968^3+3*$J2968^2-3*$J2968+1)+INDIRECT("C$"&amp;3+MIN(2,ROUNDDOWN(I2968,0))*3)*(3*$J2968^3-6*$J2968^2+3*$J2968)+INDIRECT("C$"&amp;4+MIN(2,ROUNDDOWN(I2968,0))*3)*(-3*$J2968^3+3*$J2968^2)+INDIRECT("C$"&amp;5+MIN(2,ROUNDDOWN(I2968,0))*3)*$J2968^3</f>
      </c>
      <c r="L2968" s="7">
        <f>INDIRECT("D$"&amp;2+MIN(2,ROUNDDOWN(I2968,0))*3)*(-$J2968^3+3*$J2968^2-3*$J2968+1)+INDIRECT("D$"&amp;3+MIN(2,ROUNDDOWN(I2968,0))*3)*(3*$J2968^3-6*$J2968^2+3*$J2968)+INDIRECT("D$"&amp;4+MIN(2,ROUNDDOWN(I2968,0))*3)*(-3*$J2968^3+3*$J2968^2)+INDIRECT("D$"&amp;5+MIN(2,ROUNDDOWN(I2968,0))*3)*$J2968^3</f>
      </c>
      <c r="M2968" s="7">
        <f>SQRT(K2968^2+L2968^2)</f>
      </c>
      <c r="N2968" s="7">
        <f>(K2969-K2967)</f>
      </c>
      <c r="O2968" s="7">
        <f>+(L2969-L2967)</f>
      </c>
      <c r="P2968" s="7">
        <f>SQRT(O2968^2+N2968^2)</f>
      </c>
      <c r="Q2968" s="7">
        <f>N2968/$P2968</f>
      </c>
      <c r="R2968" s="7">
        <f>O2968/$P2968</f>
      </c>
      <c r="S2968" s="7">
        <f>Q2968^2+R2968^2</f>
      </c>
      <c r="T2968" s="7">
        <f>-R2968</f>
      </c>
      <c r="U2968" s="7">
        <f>Q2968</f>
      </c>
      <c r="V2968" s="7">
        <f>($C$14+($C$15-$C$14)/($D$15-$D$14)*(I2968-$D$14))/2</f>
      </c>
      <c r="W2968" s="7">
        <f>($B$22*I2968^4+$C$22*I2968^3+$D$22*I2968^2+$E$22*I2968+$F$22)/2</f>
      </c>
      <c r="X2968" s="7">
        <f>($W2968)*(T2968)</f>
      </c>
      <c r="Y2968" s="7">
        <f>($W2968)*(U2968)</f>
      </c>
      <c r="Z2968" s="7">
        <f>SQRT(X2968^2+Y2968^2)</f>
      </c>
      <c r="AA2968" s="7">
        <f>$K2968+$X2968</f>
      </c>
      <c r="AB2968" s="7">
        <f>$L2968+$Y2968</f>
      </c>
      <c r="AC2968" s="7">
        <f>$K2968-$X2968</f>
      </c>
      <c r="AD2968" s="7">
        <f>$L2968-$Y2968</f>
      </c>
      <c r="AE2968" s="7">
        <f>AA2968/39.3701</f>
      </c>
      <c r="AF2968" s="7">
        <f>AB2968/39.3701</f>
      </c>
      <c r="AG2968" s="7">
        <f>AC2968/39.3701</f>
      </c>
      <c r="AH2968" s="7">
        <f>AD2968/39.3701</f>
      </c>
      <c r="AI2968" s="1"/>
      <c r="AJ2968" s="1"/>
      <c r="AK2968" s="1"/>
      <c r="AL2968" s="1"/>
      <c r="AM2968" s="2"/>
      <c r="AN2968" s="1"/>
      <c r="AO2968" s="1"/>
      <c r="AP2968" s="1"/>
      <c r="AQ2968" s="1"/>
      <c r="AR2968" s="1"/>
      <c r="AS2968" s="1"/>
      <c r="AT2968" s="1"/>
      <c r="AU2968" s="1"/>
      <c r="AV2968" s="1"/>
      <c r="AW2968" s="1"/>
      <c r="AX2968" s="1"/>
      <c r="AY2968" s="1"/>
      <c r="AZ2968" s="1"/>
      <c r="BA2968" s="1"/>
      <c r="BB2968" s="1"/>
      <c r="BC2968" s="1"/>
      <c r="BD2968" s="1"/>
      <c r="BE2968" s="1"/>
    </row>
    <row x14ac:dyDescent="0.25" r="2969" customHeight="1" ht="18.75">
      <c r="A2969" s="1"/>
      <c r="B2969" s="2"/>
      <c r="C2969" s="2"/>
      <c r="D2969" s="2"/>
      <c r="E2969" s="2"/>
      <c r="F2969" s="2"/>
      <c r="G2969" s="1"/>
      <c r="H2969" s="1"/>
      <c r="I2969" s="7">
        <v>2.966</v>
      </c>
      <c r="J2969" s="7">
        <f>IF((I2969-ROUNDDOWN(I2969,0))=0, 0, (I2969-ROUNDDOWN(I2969,0)))</f>
      </c>
      <c r="K2969" s="7">
        <f>INDIRECT("C$"&amp;2+MIN(2,ROUNDDOWN(I2969,0))*3)*(-$J2969^3+3*$J2969^2-3*$J2969+1)+INDIRECT("C$"&amp;3+MIN(2,ROUNDDOWN(I2969,0))*3)*(3*$J2969^3-6*$J2969^2+3*$J2969)+INDIRECT("C$"&amp;4+MIN(2,ROUNDDOWN(I2969,0))*3)*(-3*$J2969^3+3*$J2969^2)+INDIRECT("C$"&amp;5+MIN(2,ROUNDDOWN(I2969,0))*3)*$J2969^3</f>
      </c>
      <c r="L2969" s="7">
        <f>INDIRECT("D$"&amp;2+MIN(2,ROUNDDOWN(I2969,0))*3)*(-$J2969^3+3*$J2969^2-3*$J2969+1)+INDIRECT("D$"&amp;3+MIN(2,ROUNDDOWN(I2969,0))*3)*(3*$J2969^3-6*$J2969^2+3*$J2969)+INDIRECT("D$"&amp;4+MIN(2,ROUNDDOWN(I2969,0))*3)*(-3*$J2969^3+3*$J2969^2)+INDIRECT("D$"&amp;5+MIN(2,ROUNDDOWN(I2969,0))*3)*$J2969^3</f>
      </c>
      <c r="M2969" s="7">
        <f>SQRT(K2969^2+L2969^2)</f>
      </c>
      <c r="N2969" s="7">
        <f>(K2970-K2968)</f>
      </c>
      <c r="O2969" s="7">
        <f>+(L2970-L2968)</f>
      </c>
      <c r="P2969" s="7">
        <f>SQRT(O2969^2+N2969^2)</f>
      </c>
      <c r="Q2969" s="7">
        <f>N2969/$P2969</f>
      </c>
      <c r="R2969" s="7">
        <f>O2969/$P2969</f>
      </c>
      <c r="S2969" s="8">
        <f>Q2969^2+R2969^2</f>
      </c>
      <c r="T2969" s="7">
        <f>-R2969</f>
      </c>
      <c r="U2969" s="7">
        <f>Q2969</f>
      </c>
      <c r="V2969" s="7">
        <f>($C$14+($C$15-$C$14)/($D$15-$D$14)*(I2969-$D$14))/2</f>
      </c>
      <c r="W2969" s="7">
        <f>($B$22*I2969^4+$C$22*I2969^3+$D$22*I2969^2+$E$22*I2969+$F$22)/2</f>
      </c>
      <c r="X2969" s="7">
        <f>($W2969)*(T2969)</f>
      </c>
      <c r="Y2969" s="7">
        <f>($W2969)*(U2969)</f>
      </c>
      <c r="Z2969" s="7">
        <f>SQRT(X2969^2+Y2969^2)</f>
      </c>
      <c r="AA2969" s="7">
        <f>$K2969+$X2969</f>
      </c>
      <c r="AB2969" s="7">
        <f>$L2969+$Y2969</f>
      </c>
      <c r="AC2969" s="7">
        <f>$K2969-$X2969</f>
      </c>
      <c r="AD2969" s="7">
        <f>$L2969-$Y2969</f>
      </c>
      <c r="AE2969" s="7">
        <f>AA2969/39.3701</f>
      </c>
      <c r="AF2969" s="7">
        <f>AB2969/39.3701</f>
      </c>
      <c r="AG2969" s="7">
        <f>AC2969/39.3701</f>
      </c>
      <c r="AH2969" s="7">
        <f>AD2969/39.3701</f>
      </c>
      <c r="AI2969" s="1"/>
      <c r="AJ2969" s="1"/>
      <c r="AK2969" s="1"/>
      <c r="AL2969" s="1"/>
      <c r="AM2969" s="2"/>
      <c r="AN2969" s="1"/>
      <c r="AO2969" s="1"/>
      <c r="AP2969" s="1"/>
      <c r="AQ2969" s="1"/>
      <c r="AR2969" s="1"/>
      <c r="AS2969" s="1"/>
      <c r="AT2969" s="1"/>
      <c r="AU2969" s="1"/>
      <c r="AV2969" s="1"/>
      <c r="AW2969" s="1"/>
      <c r="AX2969" s="1"/>
      <c r="AY2969" s="1"/>
      <c r="AZ2969" s="1"/>
      <c r="BA2969" s="1"/>
      <c r="BB2969" s="1"/>
      <c r="BC2969" s="1"/>
      <c r="BD2969" s="1"/>
      <c r="BE2969" s="1"/>
    </row>
    <row x14ac:dyDescent="0.25" r="2970" customHeight="1" ht="18.75">
      <c r="A2970" s="1"/>
      <c r="B2970" s="2"/>
      <c r="C2970" s="2"/>
      <c r="D2970" s="2"/>
      <c r="E2970" s="2"/>
      <c r="F2970" s="2"/>
      <c r="G2970" s="1"/>
      <c r="H2970" s="1"/>
      <c r="I2970" s="7">
        <v>2.967</v>
      </c>
      <c r="J2970" s="7">
        <f>IF((I2970-ROUNDDOWN(I2970,0))=0, 0, (I2970-ROUNDDOWN(I2970,0)))</f>
      </c>
      <c r="K2970" s="7">
        <f>INDIRECT("C$"&amp;2+MIN(2,ROUNDDOWN(I2970,0))*3)*(-$J2970^3+3*$J2970^2-3*$J2970+1)+INDIRECT("C$"&amp;3+MIN(2,ROUNDDOWN(I2970,0))*3)*(3*$J2970^3-6*$J2970^2+3*$J2970)+INDIRECT("C$"&amp;4+MIN(2,ROUNDDOWN(I2970,0))*3)*(-3*$J2970^3+3*$J2970^2)+INDIRECT("C$"&amp;5+MIN(2,ROUNDDOWN(I2970,0))*3)*$J2970^3</f>
      </c>
      <c r="L2970" s="7">
        <f>INDIRECT("D$"&amp;2+MIN(2,ROUNDDOWN(I2970,0))*3)*(-$J2970^3+3*$J2970^2-3*$J2970+1)+INDIRECT("D$"&amp;3+MIN(2,ROUNDDOWN(I2970,0))*3)*(3*$J2970^3-6*$J2970^2+3*$J2970)+INDIRECT("D$"&amp;4+MIN(2,ROUNDDOWN(I2970,0))*3)*(-3*$J2970^3+3*$J2970^2)+INDIRECT("D$"&amp;5+MIN(2,ROUNDDOWN(I2970,0))*3)*$J2970^3</f>
      </c>
      <c r="M2970" s="7">
        <f>SQRT(K2970^2+L2970^2)</f>
      </c>
      <c r="N2970" s="7">
        <f>(K2971-K2969)</f>
      </c>
      <c r="O2970" s="7">
        <f>+(L2971-L2969)</f>
      </c>
      <c r="P2970" s="7">
        <f>SQRT(O2970^2+N2970^2)</f>
      </c>
      <c r="Q2970" s="7">
        <f>N2970/$P2970</f>
      </c>
      <c r="R2970" s="7">
        <f>O2970/$P2970</f>
      </c>
      <c r="S2970" s="8">
        <f>Q2970^2+R2970^2</f>
      </c>
      <c r="T2970" s="7">
        <f>-R2970</f>
      </c>
      <c r="U2970" s="7">
        <f>Q2970</f>
      </c>
      <c r="V2970" s="7">
        <f>($C$14+($C$15-$C$14)/($D$15-$D$14)*(I2970-$D$14))/2</f>
      </c>
      <c r="W2970" s="7">
        <f>($B$22*I2970^4+$C$22*I2970^3+$D$22*I2970^2+$E$22*I2970+$F$22)/2</f>
      </c>
      <c r="X2970" s="7">
        <f>($W2970)*(T2970)</f>
      </c>
      <c r="Y2970" s="7">
        <f>($W2970)*(U2970)</f>
      </c>
      <c r="Z2970" s="7">
        <f>SQRT(X2970^2+Y2970^2)</f>
      </c>
      <c r="AA2970" s="7">
        <f>$K2970+$X2970</f>
      </c>
      <c r="AB2970" s="7">
        <f>$L2970+$Y2970</f>
      </c>
      <c r="AC2970" s="7">
        <f>$K2970-$X2970</f>
      </c>
      <c r="AD2970" s="7">
        <f>$L2970-$Y2970</f>
      </c>
      <c r="AE2970" s="7">
        <f>AA2970/39.3701</f>
      </c>
      <c r="AF2970" s="7">
        <f>AB2970/39.3701</f>
      </c>
      <c r="AG2970" s="7">
        <f>AC2970/39.3701</f>
      </c>
      <c r="AH2970" s="7">
        <f>AD2970/39.3701</f>
      </c>
      <c r="AI2970" s="1"/>
      <c r="AJ2970" s="1"/>
      <c r="AK2970" s="1"/>
      <c r="AL2970" s="1"/>
      <c r="AM2970" s="2"/>
      <c r="AN2970" s="1"/>
      <c r="AO2970" s="1"/>
      <c r="AP2970" s="1"/>
      <c r="AQ2970" s="1"/>
      <c r="AR2970" s="1"/>
      <c r="AS2970" s="1"/>
      <c r="AT2970" s="1"/>
      <c r="AU2970" s="1"/>
      <c r="AV2970" s="1"/>
      <c r="AW2970" s="1"/>
      <c r="AX2970" s="1"/>
      <c r="AY2970" s="1"/>
      <c r="AZ2970" s="1"/>
      <c r="BA2970" s="1"/>
      <c r="BB2970" s="1"/>
      <c r="BC2970" s="1"/>
      <c r="BD2970" s="1"/>
      <c r="BE2970" s="1"/>
    </row>
    <row x14ac:dyDescent="0.25" r="2971" customHeight="1" ht="18.75">
      <c r="A2971" s="1"/>
      <c r="B2971" s="2"/>
      <c r="C2971" s="2"/>
      <c r="D2971" s="2"/>
      <c r="E2971" s="2"/>
      <c r="F2971" s="2"/>
      <c r="G2971" s="1"/>
      <c r="H2971" s="1"/>
      <c r="I2971" s="7">
        <v>2.968</v>
      </c>
      <c r="J2971" s="7">
        <f>IF((I2971-ROUNDDOWN(I2971,0))=0, 0, (I2971-ROUNDDOWN(I2971,0)))</f>
      </c>
      <c r="K2971" s="7">
        <f>INDIRECT("C$"&amp;2+MIN(2,ROUNDDOWN(I2971,0))*3)*(-$J2971^3+3*$J2971^2-3*$J2971+1)+INDIRECT("C$"&amp;3+MIN(2,ROUNDDOWN(I2971,0))*3)*(3*$J2971^3-6*$J2971^2+3*$J2971)+INDIRECT("C$"&amp;4+MIN(2,ROUNDDOWN(I2971,0))*3)*(-3*$J2971^3+3*$J2971^2)+INDIRECT("C$"&amp;5+MIN(2,ROUNDDOWN(I2971,0))*3)*$J2971^3</f>
      </c>
      <c r="L2971" s="7">
        <f>INDIRECT("D$"&amp;2+MIN(2,ROUNDDOWN(I2971,0))*3)*(-$J2971^3+3*$J2971^2-3*$J2971+1)+INDIRECT("D$"&amp;3+MIN(2,ROUNDDOWN(I2971,0))*3)*(3*$J2971^3-6*$J2971^2+3*$J2971)+INDIRECT("D$"&amp;4+MIN(2,ROUNDDOWN(I2971,0))*3)*(-3*$J2971^3+3*$J2971^2)+INDIRECT("D$"&amp;5+MIN(2,ROUNDDOWN(I2971,0))*3)*$J2971^3</f>
      </c>
      <c r="M2971" s="7">
        <f>SQRT(K2971^2+L2971^2)</f>
      </c>
      <c r="N2971" s="7">
        <f>(K2972-K2970)</f>
      </c>
      <c r="O2971" s="7">
        <f>+(L2972-L2970)</f>
      </c>
      <c r="P2971" s="7">
        <f>SQRT(O2971^2+N2971^2)</f>
      </c>
      <c r="Q2971" s="7">
        <f>N2971/$P2971</f>
      </c>
      <c r="R2971" s="7">
        <f>O2971/$P2971</f>
      </c>
      <c r="S2971" s="7">
        <f>Q2971^2+R2971^2</f>
      </c>
      <c r="T2971" s="7">
        <f>-R2971</f>
      </c>
      <c r="U2971" s="7">
        <f>Q2971</f>
      </c>
      <c r="V2971" s="7">
        <f>($C$14+($C$15-$C$14)/($D$15-$D$14)*(I2971-$D$14))/2</f>
      </c>
      <c r="W2971" s="7">
        <f>($B$22*I2971^4+$C$22*I2971^3+$D$22*I2971^2+$E$22*I2971+$F$22)/2</f>
      </c>
      <c r="X2971" s="7">
        <f>($W2971)*(T2971)</f>
      </c>
      <c r="Y2971" s="7">
        <f>($W2971)*(U2971)</f>
      </c>
      <c r="Z2971" s="7">
        <f>SQRT(X2971^2+Y2971^2)</f>
      </c>
      <c r="AA2971" s="7">
        <f>$K2971+$X2971</f>
      </c>
      <c r="AB2971" s="7">
        <f>$L2971+$Y2971</f>
      </c>
      <c r="AC2971" s="7">
        <f>$K2971-$X2971</f>
      </c>
      <c r="AD2971" s="7">
        <f>$L2971-$Y2971</f>
      </c>
      <c r="AE2971" s="7">
        <f>AA2971/39.3701</f>
      </c>
      <c r="AF2971" s="7">
        <f>AB2971/39.3701</f>
      </c>
      <c r="AG2971" s="7">
        <f>AC2971/39.3701</f>
      </c>
      <c r="AH2971" s="7">
        <f>AD2971/39.3701</f>
      </c>
      <c r="AI2971" s="1"/>
      <c r="AJ2971" s="1"/>
      <c r="AK2971" s="1"/>
      <c r="AL2971" s="1"/>
      <c r="AM2971" s="2"/>
      <c r="AN2971" s="1"/>
      <c r="AO2971" s="1"/>
      <c r="AP2971" s="1"/>
      <c r="AQ2971" s="1"/>
      <c r="AR2971" s="1"/>
      <c r="AS2971" s="1"/>
      <c r="AT2971" s="1"/>
      <c r="AU2971" s="1"/>
      <c r="AV2971" s="1"/>
      <c r="AW2971" s="1"/>
      <c r="AX2971" s="1"/>
      <c r="AY2971" s="1"/>
      <c r="AZ2971" s="1"/>
      <c r="BA2971" s="1"/>
      <c r="BB2971" s="1"/>
      <c r="BC2971" s="1"/>
      <c r="BD2971" s="1"/>
      <c r="BE2971" s="1"/>
    </row>
    <row x14ac:dyDescent="0.25" r="2972" customHeight="1" ht="18.75">
      <c r="A2972" s="1"/>
      <c r="B2972" s="2"/>
      <c r="C2972" s="2"/>
      <c r="D2972" s="2"/>
      <c r="E2972" s="2"/>
      <c r="F2972" s="2"/>
      <c r="G2972" s="1"/>
      <c r="H2972" s="1"/>
      <c r="I2972" s="7">
        <v>2.969</v>
      </c>
      <c r="J2972" s="7">
        <f>IF((I2972-ROUNDDOWN(I2972,0))=0, 0, (I2972-ROUNDDOWN(I2972,0)))</f>
      </c>
      <c r="K2972" s="7">
        <f>INDIRECT("C$"&amp;2+MIN(2,ROUNDDOWN(I2972,0))*3)*(-$J2972^3+3*$J2972^2-3*$J2972+1)+INDIRECT("C$"&amp;3+MIN(2,ROUNDDOWN(I2972,0))*3)*(3*$J2972^3-6*$J2972^2+3*$J2972)+INDIRECT("C$"&amp;4+MIN(2,ROUNDDOWN(I2972,0))*3)*(-3*$J2972^3+3*$J2972^2)+INDIRECT("C$"&amp;5+MIN(2,ROUNDDOWN(I2972,0))*3)*$J2972^3</f>
      </c>
      <c r="L2972" s="7">
        <f>INDIRECT("D$"&amp;2+MIN(2,ROUNDDOWN(I2972,0))*3)*(-$J2972^3+3*$J2972^2-3*$J2972+1)+INDIRECT("D$"&amp;3+MIN(2,ROUNDDOWN(I2972,0))*3)*(3*$J2972^3-6*$J2972^2+3*$J2972)+INDIRECT("D$"&amp;4+MIN(2,ROUNDDOWN(I2972,0))*3)*(-3*$J2972^3+3*$J2972^2)+INDIRECT("D$"&amp;5+MIN(2,ROUNDDOWN(I2972,0))*3)*$J2972^3</f>
      </c>
      <c r="M2972" s="7">
        <f>SQRT(K2972^2+L2972^2)</f>
      </c>
      <c r="N2972" s="7">
        <f>(K2973-K2971)</f>
      </c>
      <c r="O2972" s="7">
        <f>+(L2973-L2971)</f>
      </c>
      <c r="P2972" s="7">
        <f>SQRT(O2972^2+N2972^2)</f>
      </c>
      <c r="Q2972" s="7">
        <f>N2972/$P2972</f>
      </c>
      <c r="R2972" s="7">
        <f>O2972/$P2972</f>
      </c>
      <c r="S2972" s="7">
        <f>Q2972^2+R2972^2</f>
      </c>
      <c r="T2972" s="7">
        <f>-R2972</f>
      </c>
      <c r="U2972" s="7">
        <f>Q2972</f>
      </c>
      <c r="V2972" s="7">
        <f>($C$14+($C$15-$C$14)/($D$15-$D$14)*(I2972-$D$14))/2</f>
      </c>
      <c r="W2972" s="7">
        <f>($B$22*I2972^4+$C$22*I2972^3+$D$22*I2972^2+$E$22*I2972+$F$22)/2</f>
      </c>
      <c r="X2972" s="7">
        <f>($W2972)*(T2972)</f>
      </c>
      <c r="Y2972" s="7">
        <f>($W2972)*(U2972)</f>
      </c>
      <c r="Z2972" s="7">
        <f>SQRT(X2972^2+Y2972^2)</f>
      </c>
      <c r="AA2972" s="7">
        <f>$K2972+$X2972</f>
      </c>
      <c r="AB2972" s="7">
        <f>$L2972+$Y2972</f>
      </c>
      <c r="AC2972" s="7">
        <f>$K2972-$X2972</f>
      </c>
      <c r="AD2972" s="7">
        <f>$L2972-$Y2972</f>
      </c>
      <c r="AE2972" s="7">
        <f>AA2972/39.3701</f>
      </c>
      <c r="AF2972" s="7">
        <f>AB2972/39.3701</f>
      </c>
      <c r="AG2972" s="7">
        <f>AC2972/39.3701</f>
      </c>
      <c r="AH2972" s="7">
        <f>AD2972/39.3701</f>
      </c>
      <c r="AI2972" s="1"/>
      <c r="AJ2972" s="1"/>
      <c r="AK2972" s="1"/>
      <c r="AL2972" s="1"/>
      <c r="AM2972" s="2"/>
      <c r="AN2972" s="1"/>
      <c r="AO2972" s="1"/>
      <c r="AP2972" s="1"/>
      <c r="AQ2972" s="1"/>
      <c r="AR2972" s="1"/>
      <c r="AS2972" s="1"/>
      <c r="AT2972" s="1"/>
      <c r="AU2972" s="1"/>
      <c r="AV2972" s="1"/>
      <c r="AW2972" s="1"/>
      <c r="AX2972" s="1"/>
      <c r="AY2972" s="1"/>
      <c r="AZ2972" s="1"/>
      <c r="BA2972" s="1"/>
      <c r="BB2972" s="1"/>
      <c r="BC2972" s="1"/>
      <c r="BD2972" s="1"/>
      <c r="BE2972" s="1"/>
    </row>
    <row x14ac:dyDescent="0.25" r="2973" customHeight="1" ht="18.75">
      <c r="A2973" s="1"/>
      <c r="B2973" s="2"/>
      <c r="C2973" s="2"/>
      <c r="D2973" s="2"/>
      <c r="E2973" s="2"/>
      <c r="F2973" s="2"/>
      <c r="G2973" s="1"/>
      <c r="H2973" s="1"/>
      <c r="I2973" s="7">
        <v>2.97</v>
      </c>
      <c r="J2973" s="7">
        <f>IF((I2973-ROUNDDOWN(I2973,0))=0, 0, (I2973-ROUNDDOWN(I2973,0)))</f>
      </c>
      <c r="K2973" s="7">
        <f>INDIRECT("C$"&amp;2+MIN(2,ROUNDDOWN(I2973,0))*3)*(-$J2973^3+3*$J2973^2-3*$J2973+1)+INDIRECT("C$"&amp;3+MIN(2,ROUNDDOWN(I2973,0))*3)*(3*$J2973^3-6*$J2973^2+3*$J2973)+INDIRECT("C$"&amp;4+MIN(2,ROUNDDOWN(I2973,0))*3)*(-3*$J2973^3+3*$J2973^2)+INDIRECT("C$"&amp;5+MIN(2,ROUNDDOWN(I2973,0))*3)*$J2973^3</f>
      </c>
      <c r="L2973" s="7">
        <f>INDIRECT("D$"&amp;2+MIN(2,ROUNDDOWN(I2973,0))*3)*(-$J2973^3+3*$J2973^2-3*$J2973+1)+INDIRECT("D$"&amp;3+MIN(2,ROUNDDOWN(I2973,0))*3)*(3*$J2973^3-6*$J2973^2+3*$J2973)+INDIRECT("D$"&amp;4+MIN(2,ROUNDDOWN(I2973,0))*3)*(-3*$J2973^3+3*$J2973^2)+INDIRECT("D$"&amp;5+MIN(2,ROUNDDOWN(I2973,0))*3)*$J2973^3</f>
      </c>
      <c r="M2973" s="7">
        <f>SQRT(K2973^2+L2973^2)</f>
      </c>
      <c r="N2973" s="7">
        <f>(K2974-K2972)</f>
      </c>
      <c r="O2973" s="7">
        <f>+(L2974-L2972)</f>
      </c>
      <c r="P2973" s="7">
        <f>SQRT(O2973^2+N2973^2)</f>
      </c>
      <c r="Q2973" s="7">
        <f>N2973/$P2973</f>
      </c>
      <c r="R2973" s="7">
        <f>O2973/$P2973</f>
      </c>
      <c r="S2973" s="8">
        <f>Q2973^2+R2973^2</f>
      </c>
      <c r="T2973" s="7">
        <f>-R2973</f>
      </c>
      <c r="U2973" s="7">
        <f>Q2973</f>
      </c>
      <c r="V2973" s="7">
        <f>($C$14+($C$15-$C$14)/($D$15-$D$14)*(I2973-$D$14))/2</f>
      </c>
      <c r="W2973" s="7">
        <f>($B$22*I2973^4+$C$22*I2973^3+$D$22*I2973^2+$E$22*I2973+$F$22)/2</f>
      </c>
      <c r="X2973" s="7">
        <f>($W2973)*(T2973)</f>
      </c>
      <c r="Y2973" s="7">
        <f>($W2973)*(U2973)</f>
      </c>
      <c r="Z2973" s="7">
        <f>SQRT(X2973^2+Y2973^2)</f>
      </c>
      <c r="AA2973" s="7">
        <f>$K2973+$X2973</f>
      </c>
      <c r="AB2973" s="7">
        <f>$L2973+$Y2973</f>
      </c>
      <c r="AC2973" s="7">
        <f>$K2973-$X2973</f>
      </c>
      <c r="AD2973" s="7">
        <f>$L2973-$Y2973</f>
      </c>
      <c r="AE2973" s="7">
        <f>AA2973/39.3701</f>
      </c>
      <c r="AF2973" s="7">
        <f>AB2973/39.3701</f>
      </c>
      <c r="AG2973" s="7">
        <f>AC2973/39.3701</f>
      </c>
      <c r="AH2973" s="7">
        <f>AD2973/39.3701</f>
      </c>
      <c r="AI2973" s="1"/>
      <c r="AJ2973" s="1"/>
      <c r="AK2973" s="1"/>
      <c r="AL2973" s="1"/>
      <c r="AM2973" s="2"/>
      <c r="AN2973" s="1"/>
      <c r="AO2973" s="1"/>
      <c r="AP2973" s="1"/>
      <c r="AQ2973" s="1"/>
      <c r="AR2973" s="1"/>
      <c r="AS2973" s="1"/>
      <c r="AT2973" s="1"/>
      <c r="AU2973" s="1"/>
      <c r="AV2973" s="1"/>
      <c r="AW2973" s="1"/>
      <c r="AX2973" s="1"/>
      <c r="AY2973" s="1"/>
      <c r="AZ2973" s="1"/>
      <c r="BA2973" s="1"/>
      <c r="BB2973" s="1"/>
      <c r="BC2973" s="1"/>
      <c r="BD2973" s="1"/>
      <c r="BE2973" s="1"/>
    </row>
    <row x14ac:dyDescent="0.25" r="2974" customHeight="1" ht="18.75">
      <c r="A2974" s="1"/>
      <c r="B2974" s="2"/>
      <c r="C2974" s="2"/>
      <c r="D2974" s="2"/>
      <c r="E2974" s="2"/>
      <c r="F2974" s="2"/>
      <c r="G2974" s="1"/>
      <c r="H2974" s="1"/>
      <c r="I2974" s="7">
        <v>2.971</v>
      </c>
      <c r="J2974" s="7">
        <f>IF((I2974-ROUNDDOWN(I2974,0))=0, 0, (I2974-ROUNDDOWN(I2974,0)))</f>
      </c>
      <c r="K2974" s="7">
        <f>INDIRECT("C$"&amp;2+MIN(2,ROUNDDOWN(I2974,0))*3)*(-$J2974^3+3*$J2974^2-3*$J2974+1)+INDIRECT("C$"&amp;3+MIN(2,ROUNDDOWN(I2974,0))*3)*(3*$J2974^3-6*$J2974^2+3*$J2974)+INDIRECT("C$"&amp;4+MIN(2,ROUNDDOWN(I2974,0))*3)*(-3*$J2974^3+3*$J2974^2)+INDIRECT("C$"&amp;5+MIN(2,ROUNDDOWN(I2974,0))*3)*$J2974^3</f>
      </c>
      <c r="L2974" s="7">
        <f>INDIRECT("D$"&amp;2+MIN(2,ROUNDDOWN(I2974,0))*3)*(-$J2974^3+3*$J2974^2-3*$J2974+1)+INDIRECT("D$"&amp;3+MIN(2,ROUNDDOWN(I2974,0))*3)*(3*$J2974^3-6*$J2974^2+3*$J2974)+INDIRECT("D$"&amp;4+MIN(2,ROUNDDOWN(I2974,0))*3)*(-3*$J2974^3+3*$J2974^2)+INDIRECT("D$"&amp;5+MIN(2,ROUNDDOWN(I2974,0))*3)*$J2974^3</f>
      </c>
      <c r="M2974" s="7">
        <f>SQRT(K2974^2+L2974^2)</f>
      </c>
      <c r="N2974" s="7">
        <f>(K2975-K2973)</f>
      </c>
      <c r="O2974" s="7">
        <f>+(L2975-L2973)</f>
      </c>
      <c r="P2974" s="7">
        <f>SQRT(O2974^2+N2974^2)</f>
      </c>
      <c r="Q2974" s="7">
        <f>N2974/$P2974</f>
      </c>
      <c r="R2974" s="7">
        <f>O2974/$P2974</f>
      </c>
      <c r="S2974" s="7">
        <f>Q2974^2+R2974^2</f>
      </c>
      <c r="T2974" s="7">
        <f>-R2974</f>
      </c>
      <c r="U2974" s="7">
        <f>Q2974</f>
      </c>
      <c r="V2974" s="7">
        <f>($C$14+($C$15-$C$14)/($D$15-$D$14)*(I2974-$D$14))/2</f>
      </c>
      <c r="W2974" s="7">
        <f>($B$22*I2974^4+$C$22*I2974^3+$D$22*I2974^2+$E$22*I2974+$F$22)/2</f>
      </c>
      <c r="X2974" s="7">
        <f>($W2974)*(T2974)</f>
      </c>
      <c r="Y2974" s="7">
        <f>($W2974)*(U2974)</f>
      </c>
      <c r="Z2974" s="7">
        <f>SQRT(X2974^2+Y2974^2)</f>
      </c>
      <c r="AA2974" s="7">
        <f>$K2974+$X2974</f>
      </c>
      <c r="AB2974" s="7">
        <f>$L2974+$Y2974</f>
      </c>
      <c r="AC2974" s="7">
        <f>$K2974-$X2974</f>
      </c>
      <c r="AD2974" s="7">
        <f>$L2974-$Y2974</f>
      </c>
      <c r="AE2974" s="7">
        <f>AA2974/39.3701</f>
      </c>
      <c r="AF2974" s="7">
        <f>AB2974/39.3701</f>
      </c>
      <c r="AG2974" s="7">
        <f>AC2974/39.3701</f>
      </c>
      <c r="AH2974" s="7">
        <f>AD2974/39.3701</f>
      </c>
      <c r="AI2974" s="1"/>
      <c r="AJ2974" s="1"/>
      <c r="AK2974" s="1"/>
      <c r="AL2974" s="1"/>
      <c r="AM2974" s="2"/>
      <c r="AN2974" s="1"/>
      <c r="AO2974" s="1"/>
      <c r="AP2974" s="1"/>
      <c r="AQ2974" s="1"/>
      <c r="AR2974" s="1"/>
      <c r="AS2974" s="1"/>
      <c r="AT2974" s="1"/>
      <c r="AU2974" s="1"/>
      <c r="AV2974" s="1"/>
      <c r="AW2974" s="1"/>
      <c r="AX2974" s="1"/>
      <c r="AY2974" s="1"/>
      <c r="AZ2974" s="1"/>
      <c r="BA2974" s="1"/>
      <c r="BB2974" s="1"/>
      <c r="BC2974" s="1"/>
      <c r="BD2974" s="1"/>
      <c r="BE2974" s="1"/>
    </row>
    <row x14ac:dyDescent="0.25" r="2975" customHeight="1" ht="18.75">
      <c r="A2975" s="1"/>
      <c r="B2975" s="2"/>
      <c r="C2975" s="2"/>
      <c r="D2975" s="2"/>
      <c r="E2975" s="2"/>
      <c r="F2975" s="2"/>
      <c r="G2975" s="1"/>
      <c r="H2975" s="1"/>
      <c r="I2975" s="7">
        <v>2.972</v>
      </c>
      <c r="J2975" s="7">
        <f>IF((I2975-ROUNDDOWN(I2975,0))=0, 0, (I2975-ROUNDDOWN(I2975,0)))</f>
      </c>
      <c r="K2975" s="7">
        <f>INDIRECT("C$"&amp;2+MIN(2,ROUNDDOWN(I2975,0))*3)*(-$J2975^3+3*$J2975^2-3*$J2975+1)+INDIRECT("C$"&amp;3+MIN(2,ROUNDDOWN(I2975,0))*3)*(3*$J2975^3-6*$J2975^2+3*$J2975)+INDIRECT("C$"&amp;4+MIN(2,ROUNDDOWN(I2975,0))*3)*(-3*$J2975^3+3*$J2975^2)+INDIRECT("C$"&amp;5+MIN(2,ROUNDDOWN(I2975,0))*3)*$J2975^3</f>
      </c>
      <c r="L2975" s="7">
        <f>INDIRECT("D$"&amp;2+MIN(2,ROUNDDOWN(I2975,0))*3)*(-$J2975^3+3*$J2975^2-3*$J2975+1)+INDIRECT("D$"&amp;3+MIN(2,ROUNDDOWN(I2975,0))*3)*(3*$J2975^3-6*$J2975^2+3*$J2975)+INDIRECT("D$"&amp;4+MIN(2,ROUNDDOWN(I2975,0))*3)*(-3*$J2975^3+3*$J2975^2)+INDIRECT("D$"&amp;5+MIN(2,ROUNDDOWN(I2975,0))*3)*$J2975^3</f>
      </c>
      <c r="M2975" s="7">
        <f>SQRT(K2975^2+L2975^2)</f>
      </c>
      <c r="N2975" s="7">
        <f>(K2976-K2974)</f>
      </c>
      <c r="O2975" s="7">
        <f>+(L2976-L2974)</f>
      </c>
      <c r="P2975" s="7">
        <f>SQRT(O2975^2+N2975^2)</f>
      </c>
      <c r="Q2975" s="7">
        <f>N2975/$P2975</f>
      </c>
      <c r="R2975" s="7">
        <f>O2975/$P2975</f>
      </c>
      <c r="S2975" s="7">
        <f>Q2975^2+R2975^2</f>
      </c>
      <c r="T2975" s="7">
        <f>-R2975</f>
      </c>
      <c r="U2975" s="7">
        <f>Q2975</f>
      </c>
      <c r="V2975" s="7">
        <f>($C$14+($C$15-$C$14)/($D$15-$D$14)*(I2975-$D$14))/2</f>
      </c>
      <c r="W2975" s="7">
        <f>($B$22*I2975^4+$C$22*I2975^3+$D$22*I2975^2+$E$22*I2975+$F$22)/2</f>
      </c>
      <c r="X2975" s="7">
        <f>($W2975)*(T2975)</f>
      </c>
      <c r="Y2975" s="7">
        <f>($W2975)*(U2975)</f>
      </c>
      <c r="Z2975" s="7">
        <f>SQRT(X2975^2+Y2975^2)</f>
      </c>
      <c r="AA2975" s="7">
        <f>$K2975+$X2975</f>
      </c>
      <c r="AB2975" s="7">
        <f>$L2975+$Y2975</f>
      </c>
      <c r="AC2975" s="7">
        <f>$K2975-$X2975</f>
      </c>
      <c r="AD2975" s="7">
        <f>$L2975-$Y2975</f>
      </c>
      <c r="AE2975" s="7">
        <f>AA2975/39.3701</f>
      </c>
      <c r="AF2975" s="7">
        <f>AB2975/39.3701</f>
      </c>
      <c r="AG2975" s="7">
        <f>AC2975/39.3701</f>
      </c>
      <c r="AH2975" s="7">
        <f>AD2975/39.3701</f>
      </c>
      <c r="AI2975" s="1"/>
      <c r="AJ2975" s="1"/>
      <c r="AK2975" s="1"/>
      <c r="AL2975" s="1"/>
      <c r="AM2975" s="2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</row>
    <row x14ac:dyDescent="0.25" r="2976" customHeight="1" ht="18.75">
      <c r="A2976" s="1"/>
      <c r="B2976" s="2"/>
      <c r="C2976" s="2"/>
      <c r="D2976" s="2"/>
      <c r="E2976" s="2"/>
      <c r="F2976" s="2"/>
      <c r="G2976" s="1"/>
      <c r="H2976" s="1"/>
      <c r="I2976" s="7">
        <v>2.973</v>
      </c>
      <c r="J2976" s="7">
        <f>IF((I2976-ROUNDDOWN(I2976,0))=0, 0, (I2976-ROUNDDOWN(I2976,0)))</f>
      </c>
      <c r="K2976" s="7">
        <f>INDIRECT("C$"&amp;2+MIN(2,ROUNDDOWN(I2976,0))*3)*(-$J2976^3+3*$J2976^2-3*$J2976+1)+INDIRECT("C$"&amp;3+MIN(2,ROUNDDOWN(I2976,0))*3)*(3*$J2976^3-6*$J2976^2+3*$J2976)+INDIRECT("C$"&amp;4+MIN(2,ROUNDDOWN(I2976,0))*3)*(-3*$J2976^3+3*$J2976^2)+INDIRECT("C$"&amp;5+MIN(2,ROUNDDOWN(I2976,0))*3)*$J2976^3</f>
      </c>
      <c r="L2976" s="7">
        <f>INDIRECT("D$"&amp;2+MIN(2,ROUNDDOWN(I2976,0))*3)*(-$J2976^3+3*$J2976^2-3*$J2976+1)+INDIRECT("D$"&amp;3+MIN(2,ROUNDDOWN(I2976,0))*3)*(3*$J2976^3-6*$J2976^2+3*$J2976)+INDIRECT("D$"&amp;4+MIN(2,ROUNDDOWN(I2976,0))*3)*(-3*$J2976^3+3*$J2976^2)+INDIRECT("D$"&amp;5+MIN(2,ROUNDDOWN(I2976,0))*3)*$J2976^3</f>
      </c>
      <c r="M2976" s="7">
        <f>SQRT(K2976^2+L2976^2)</f>
      </c>
      <c r="N2976" s="7">
        <f>(K2977-K2975)</f>
      </c>
      <c r="O2976" s="7">
        <f>+(L2977-L2975)</f>
      </c>
      <c r="P2976" s="7">
        <f>SQRT(O2976^2+N2976^2)</f>
      </c>
      <c r="Q2976" s="7">
        <f>N2976/$P2976</f>
      </c>
      <c r="R2976" s="7">
        <f>O2976/$P2976</f>
      </c>
      <c r="S2976" s="8">
        <f>Q2976^2+R2976^2</f>
      </c>
      <c r="T2976" s="7">
        <f>-R2976</f>
      </c>
      <c r="U2976" s="7">
        <f>Q2976</f>
      </c>
      <c r="V2976" s="7">
        <f>($C$14+($C$15-$C$14)/($D$15-$D$14)*(I2976-$D$14))/2</f>
      </c>
      <c r="W2976" s="7">
        <f>($B$22*I2976^4+$C$22*I2976^3+$D$22*I2976^2+$E$22*I2976+$F$22)/2</f>
      </c>
      <c r="X2976" s="7">
        <f>($W2976)*(T2976)</f>
      </c>
      <c r="Y2976" s="7">
        <f>($W2976)*(U2976)</f>
      </c>
      <c r="Z2976" s="7">
        <f>SQRT(X2976^2+Y2976^2)</f>
      </c>
      <c r="AA2976" s="7">
        <f>$K2976+$X2976</f>
      </c>
      <c r="AB2976" s="7">
        <f>$L2976+$Y2976</f>
      </c>
      <c r="AC2976" s="7">
        <f>$K2976-$X2976</f>
      </c>
      <c r="AD2976" s="7">
        <f>$L2976-$Y2976</f>
      </c>
      <c r="AE2976" s="7">
        <f>AA2976/39.3701</f>
      </c>
      <c r="AF2976" s="7">
        <f>AB2976/39.3701</f>
      </c>
      <c r="AG2976" s="7">
        <f>AC2976/39.3701</f>
      </c>
      <c r="AH2976" s="7">
        <f>AD2976/39.3701</f>
      </c>
      <c r="AI2976" s="1"/>
      <c r="AJ2976" s="1"/>
      <c r="AK2976" s="1"/>
      <c r="AL2976" s="1"/>
      <c r="AM2976" s="2"/>
      <c r="AN2976" s="1"/>
      <c r="AO2976" s="1"/>
      <c r="AP2976" s="1"/>
      <c r="AQ2976" s="1"/>
      <c r="AR2976" s="1"/>
      <c r="AS2976" s="1"/>
      <c r="AT2976" s="1"/>
      <c r="AU2976" s="1"/>
      <c r="AV2976" s="1"/>
      <c r="AW2976" s="1"/>
      <c r="AX2976" s="1"/>
      <c r="AY2976" s="1"/>
      <c r="AZ2976" s="1"/>
      <c r="BA2976" s="1"/>
      <c r="BB2976" s="1"/>
      <c r="BC2976" s="1"/>
      <c r="BD2976" s="1"/>
      <c r="BE2976" s="1"/>
    </row>
    <row x14ac:dyDescent="0.25" r="2977" customHeight="1" ht="18.75">
      <c r="A2977" s="1"/>
      <c r="B2977" s="2"/>
      <c r="C2977" s="2"/>
      <c r="D2977" s="2"/>
      <c r="E2977" s="2"/>
      <c r="F2977" s="2"/>
      <c r="G2977" s="1"/>
      <c r="H2977" s="1"/>
      <c r="I2977" s="7">
        <v>2.974</v>
      </c>
      <c r="J2977" s="7">
        <f>IF((I2977-ROUNDDOWN(I2977,0))=0, 0, (I2977-ROUNDDOWN(I2977,0)))</f>
      </c>
      <c r="K2977" s="7">
        <f>INDIRECT("C$"&amp;2+MIN(2,ROUNDDOWN(I2977,0))*3)*(-$J2977^3+3*$J2977^2-3*$J2977+1)+INDIRECT("C$"&amp;3+MIN(2,ROUNDDOWN(I2977,0))*3)*(3*$J2977^3-6*$J2977^2+3*$J2977)+INDIRECT("C$"&amp;4+MIN(2,ROUNDDOWN(I2977,0))*3)*(-3*$J2977^3+3*$J2977^2)+INDIRECT("C$"&amp;5+MIN(2,ROUNDDOWN(I2977,0))*3)*$J2977^3</f>
      </c>
      <c r="L2977" s="7">
        <f>INDIRECT("D$"&amp;2+MIN(2,ROUNDDOWN(I2977,0))*3)*(-$J2977^3+3*$J2977^2-3*$J2977+1)+INDIRECT("D$"&amp;3+MIN(2,ROUNDDOWN(I2977,0))*3)*(3*$J2977^3-6*$J2977^2+3*$J2977)+INDIRECT("D$"&amp;4+MIN(2,ROUNDDOWN(I2977,0))*3)*(-3*$J2977^3+3*$J2977^2)+INDIRECT("D$"&amp;5+MIN(2,ROUNDDOWN(I2977,0))*3)*$J2977^3</f>
      </c>
      <c r="M2977" s="7">
        <f>SQRT(K2977^2+L2977^2)</f>
      </c>
      <c r="N2977" s="7">
        <f>(K2978-K2976)</f>
      </c>
      <c r="O2977" s="7">
        <f>+(L2978-L2976)</f>
      </c>
      <c r="P2977" s="7">
        <f>SQRT(O2977^2+N2977^2)</f>
      </c>
      <c r="Q2977" s="7">
        <f>N2977/$P2977</f>
      </c>
      <c r="R2977" s="7">
        <f>O2977/$P2977</f>
      </c>
      <c r="S2977" s="7">
        <f>Q2977^2+R2977^2</f>
      </c>
      <c r="T2977" s="7">
        <f>-R2977</f>
      </c>
      <c r="U2977" s="7">
        <f>Q2977</f>
      </c>
      <c r="V2977" s="7">
        <f>($C$14+($C$15-$C$14)/($D$15-$D$14)*(I2977-$D$14))/2</f>
      </c>
      <c r="W2977" s="7">
        <f>($B$22*I2977^4+$C$22*I2977^3+$D$22*I2977^2+$E$22*I2977+$F$22)/2</f>
      </c>
      <c r="X2977" s="7">
        <f>($W2977)*(T2977)</f>
      </c>
      <c r="Y2977" s="7">
        <f>($W2977)*(U2977)</f>
      </c>
      <c r="Z2977" s="7">
        <f>SQRT(X2977^2+Y2977^2)</f>
      </c>
      <c r="AA2977" s="7">
        <f>$K2977+$X2977</f>
      </c>
      <c r="AB2977" s="7">
        <f>$L2977+$Y2977</f>
      </c>
      <c r="AC2977" s="7">
        <f>$K2977-$X2977</f>
      </c>
      <c r="AD2977" s="7">
        <f>$L2977-$Y2977</f>
      </c>
      <c r="AE2977" s="7">
        <f>AA2977/39.3701</f>
      </c>
      <c r="AF2977" s="7">
        <f>AB2977/39.3701</f>
      </c>
      <c r="AG2977" s="7">
        <f>AC2977/39.3701</f>
      </c>
      <c r="AH2977" s="7">
        <f>AD2977/39.3701</f>
      </c>
      <c r="AI2977" s="1"/>
      <c r="AJ2977" s="1"/>
      <c r="AK2977" s="1"/>
      <c r="AL2977" s="1"/>
      <c r="AM2977" s="2"/>
      <c r="AN2977" s="1"/>
      <c r="AO2977" s="1"/>
      <c r="AP2977" s="1"/>
      <c r="AQ2977" s="1"/>
      <c r="AR2977" s="1"/>
      <c r="AS2977" s="1"/>
      <c r="AT2977" s="1"/>
      <c r="AU2977" s="1"/>
      <c r="AV2977" s="1"/>
      <c r="AW2977" s="1"/>
      <c r="AX2977" s="1"/>
      <c r="AY2977" s="1"/>
      <c r="AZ2977" s="1"/>
      <c r="BA2977" s="1"/>
      <c r="BB2977" s="1"/>
      <c r="BC2977" s="1"/>
      <c r="BD2977" s="1"/>
      <c r="BE2977" s="1"/>
    </row>
    <row x14ac:dyDescent="0.25" r="2978" customHeight="1" ht="18.75">
      <c r="A2978" s="1"/>
      <c r="B2978" s="2"/>
      <c r="C2978" s="2"/>
      <c r="D2978" s="2"/>
      <c r="E2978" s="2"/>
      <c r="F2978" s="2"/>
      <c r="G2978" s="1"/>
      <c r="H2978" s="1"/>
      <c r="I2978" s="7">
        <v>2.975</v>
      </c>
      <c r="J2978" s="7">
        <f>IF((I2978-ROUNDDOWN(I2978,0))=0, 0, (I2978-ROUNDDOWN(I2978,0)))</f>
      </c>
      <c r="K2978" s="7">
        <f>INDIRECT("C$"&amp;2+MIN(2,ROUNDDOWN(I2978,0))*3)*(-$J2978^3+3*$J2978^2-3*$J2978+1)+INDIRECT("C$"&amp;3+MIN(2,ROUNDDOWN(I2978,0))*3)*(3*$J2978^3-6*$J2978^2+3*$J2978)+INDIRECT("C$"&amp;4+MIN(2,ROUNDDOWN(I2978,0))*3)*(-3*$J2978^3+3*$J2978^2)+INDIRECT("C$"&amp;5+MIN(2,ROUNDDOWN(I2978,0))*3)*$J2978^3</f>
      </c>
      <c r="L2978" s="7">
        <f>INDIRECT("D$"&amp;2+MIN(2,ROUNDDOWN(I2978,0))*3)*(-$J2978^3+3*$J2978^2-3*$J2978+1)+INDIRECT("D$"&amp;3+MIN(2,ROUNDDOWN(I2978,0))*3)*(3*$J2978^3-6*$J2978^2+3*$J2978)+INDIRECT("D$"&amp;4+MIN(2,ROUNDDOWN(I2978,0))*3)*(-3*$J2978^3+3*$J2978^2)+INDIRECT("D$"&amp;5+MIN(2,ROUNDDOWN(I2978,0))*3)*$J2978^3</f>
      </c>
      <c r="M2978" s="7">
        <f>SQRT(K2978^2+L2978^2)</f>
      </c>
      <c r="N2978" s="7">
        <f>(K2979-K2977)</f>
      </c>
      <c r="O2978" s="7">
        <f>+(L2979-L2977)</f>
      </c>
      <c r="P2978" s="7">
        <f>SQRT(O2978^2+N2978^2)</f>
      </c>
      <c r="Q2978" s="7">
        <f>N2978/$P2978</f>
      </c>
      <c r="R2978" s="7">
        <f>O2978/$P2978</f>
      </c>
      <c r="S2978" s="7">
        <f>Q2978^2+R2978^2</f>
      </c>
      <c r="T2978" s="7">
        <f>-R2978</f>
      </c>
      <c r="U2978" s="7">
        <f>Q2978</f>
      </c>
      <c r="V2978" s="7">
        <f>($C$14+($C$15-$C$14)/($D$15-$D$14)*(I2978-$D$14))/2</f>
      </c>
      <c r="W2978" s="7">
        <f>($B$22*I2978^4+$C$22*I2978^3+$D$22*I2978^2+$E$22*I2978+$F$22)/2</f>
      </c>
      <c r="X2978" s="7">
        <f>($W2978)*(T2978)</f>
      </c>
      <c r="Y2978" s="7">
        <f>($W2978)*(U2978)</f>
      </c>
      <c r="Z2978" s="7">
        <f>SQRT(X2978^2+Y2978^2)</f>
      </c>
      <c r="AA2978" s="7">
        <f>$K2978+$X2978</f>
      </c>
      <c r="AB2978" s="7">
        <f>$L2978+$Y2978</f>
      </c>
      <c r="AC2978" s="7">
        <f>$K2978-$X2978</f>
      </c>
      <c r="AD2978" s="7">
        <f>$L2978-$Y2978</f>
      </c>
      <c r="AE2978" s="7">
        <f>AA2978/39.3701</f>
      </c>
      <c r="AF2978" s="7">
        <f>AB2978/39.3701</f>
      </c>
      <c r="AG2978" s="7">
        <f>AC2978/39.3701</f>
      </c>
      <c r="AH2978" s="7">
        <f>AD2978/39.3701</f>
      </c>
      <c r="AI2978" s="1"/>
      <c r="AJ2978" s="1"/>
      <c r="AK2978" s="1"/>
      <c r="AL2978" s="1"/>
      <c r="AM2978" s="2"/>
      <c r="AN2978" s="1"/>
      <c r="AO2978" s="1"/>
      <c r="AP2978" s="1"/>
      <c r="AQ2978" s="1"/>
      <c r="AR2978" s="1"/>
      <c r="AS2978" s="1"/>
      <c r="AT2978" s="1"/>
      <c r="AU2978" s="1"/>
      <c r="AV2978" s="1"/>
      <c r="AW2978" s="1"/>
      <c r="AX2978" s="1"/>
      <c r="AY2978" s="1"/>
      <c r="AZ2978" s="1"/>
      <c r="BA2978" s="1"/>
      <c r="BB2978" s="1"/>
      <c r="BC2978" s="1"/>
      <c r="BD2978" s="1"/>
      <c r="BE2978" s="1"/>
    </row>
    <row x14ac:dyDescent="0.25" r="2979" customHeight="1" ht="18.75">
      <c r="A2979" s="1"/>
      <c r="B2979" s="2"/>
      <c r="C2979" s="2"/>
      <c r="D2979" s="2"/>
      <c r="E2979" s="2"/>
      <c r="F2979" s="2"/>
      <c r="G2979" s="1"/>
      <c r="H2979" s="1"/>
      <c r="I2979" s="7">
        <v>2.976</v>
      </c>
      <c r="J2979" s="7">
        <f>IF((I2979-ROUNDDOWN(I2979,0))=0, 0, (I2979-ROUNDDOWN(I2979,0)))</f>
      </c>
      <c r="K2979" s="7">
        <f>INDIRECT("C$"&amp;2+MIN(2,ROUNDDOWN(I2979,0))*3)*(-$J2979^3+3*$J2979^2-3*$J2979+1)+INDIRECT("C$"&amp;3+MIN(2,ROUNDDOWN(I2979,0))*3)*(3*$J2979^3-6*$J2979^2+3*$J2979)+INDIRECT("C$"&amp;4+MIN(2,ROUNDDOWN(I2979,0))*3)*(-3*$J2979^3+3*$J2979^2)+INDIRECT("C$"&amp;5+MIN(2,ROUNDDOWN(I2979,0))*3)*$J2979^3</f>
      </c>
      <c r="L2979" s="7">
        <f>INDIRECT("D$"&amp;2+MIN(2,ROUNDDOWN(I2979,0))*3)*(-$J2979^3+3*$J2979^2-3*$J2979+1)+INDIRECT("D$"&amp;3+MIN(2,ROUNDDOWN(I2979,0))*3)*(3*$J2979^3-6*$J2979^2+3*$J2979)+INDIRECT("D$"&amp;4+MIN(2,ROUNDDOWN(I2979,0))*3)*(-3*$J2979^3+3*$J2979^2)+INDIRECT("D$"&amp;5+MIN(2,ROUNDDOWN(I2979,0))*3)*$J2979^3</f>
      </c>
      <c r="M2979" s="7">
        <f>SQRT(K2979^2+L2979^2)</f>
      </c>
      <c r="N2979" s="7">
        <f>(K2980-K2978)</f>
      </c>
      <c r="O2979" s="7">
        <f>+(L2980-L2978)</f>
      </c>
      <c r="P2979" s="7">
        <f>SQRT(O2979^2+N2979^2)</f>
      </c>
      <c r="Q2979" s="7">
        <f>N2979/$P2979</f>
      </c>
      <c r="R2979" s="7">
        <f>O2979/$P2979</f>
      </c>
      <c r="S2979" s="8">
        <f>Q2979^2+R2979^2</f>
      </c>
      <c r="T2979" s="7">
        <f>-R2979</f>
      </c>
      <c r="U2979" s="7">
        <f>Q2979</f>
      </c>
      <c r="V2979" s="7">
        <f>($C$14+($C$15-$C$14)/($D$15-$D$14)*(I2979-$D$14))/2</f>
      </c>
      <c r="W2979" s="7">
        <f>($B$22*I2979^4+$C$22*I2979^3+$D$22*I2979^2+$E$22*I2979+$F$22)/2</f>
      </c>
      <c r="X2979" s="7">
        <f>($W2979)*(T2979)</f>
      </c>
      <c r="Y2979" s="7">
        <f>($W2979)*(U2979)</f>
      </c>
      <c r="Z2979" s="7">
        <f>SQRT(X2979^2+Y2979^2)</f>
      </c>
      <c r="AA2979" s="7">
        <f>$K2979+$X2979</f>
      </c>
      <c r="AB2979" s="7">
        <f>$L2979+$Y2979</f>
      </c>
      <c r="AC2979" s="7">
        <f>$K2979-$X2979</f>
      </c>
      <c r="AD2979" s="7">
        <f>$L2979-$Y2979</f>
      </c>
      <c r="AE2979" s="7">
        <f>AA2979/39.3701</f>
      </c>
      <c r="AF2979" s="7">
        <f>AB2979/39.3701</f>
      </c>
      <c r="AG2979" s="7">
        <f>AC2979/39.3701</f>
      </c>
      <c r="AH2979" s="7">
        <f>AD2979/39.3701</f>
      </c>
      <c r="AI2979" s="1"/>
      <c r="AJ2979" s="1"/>
      <c r="AK2979" s="1"/>
      <c r="AL2979" s="1"/>
      <c r="AM2979" s="2"/>
      <c r="AN2979" s="1"/>
      <c r="AO2979" s="1"/>
      <c r="AP2979" s="1"/>
      <c r="AQ2979" s="1"/>
      <c r="AR2979" s="1"/>
      <c r="AS2979" s="1"/>
      <c r="AT2979" s="1"/>
      <c r="AU2979" s="1"/>
      <c r="AV2979" s="1"/>
      <c r="AW2979" s="1"/>
      <c r="AX2979" s="1"/>
      <c r="AY2979" s="1"/>
      <c r="AZ2979" s="1"/>
      <c r="BA2979" s="1"/>
      <c r="BB2979" s="1"/>
      <c r="BC2979" s="1"/>
      <c r="BD2979" s="1"/>
      <c r="BE2979" s="1"/>
    </row>
    <row x14ac:dyDescent="0.25" r="2980" customHeight="1" ht="18.75">
      <c r="A2980" s="1"/>
      <c r="B2980" s="2"/>
      <c r="C2980" s="2"/>
      <c r="D2980" s="2"/>
      <c r="E2980" s="2"/>
      <c r="F2980" s="2"/>
      <c r="G2980" s="1"/>
      <c r="H2980" s="1"/>
      <c r="I2980" s="7">
        <v>2.977</v>
      </c>
      <c r="J2980" s="7">
        <f>IF((I2980-ROUNDDOWN(I2980,0))=0, 0, (I2980-ROUNDDOWN(I2980,0)))</f>
      </c>
      <c r="K2980" s="7">
        <f>INDIRECT("C$"&amp;2+MIN(2,ROUNDDOWN(I2980,0))*3)*(-$J2980^3+3*$J2980^2-3*$J2980+1)+INDIRECT("C$"&amp;3+MIN(2,ROUNDDOWN(I2980,0))*3)*(3*$J2980^3-6*$J2980^2+3*$J2980)+INDIRECT("C$"&amp;4+MIN(2,ROUNDDOWN(I2980,0))*3)*(-3*$J2980^3+3*$J2980^2)+INDIRECT("C$"&amp;5+MIN(2,ROUNDDOWN(I2980,0))*3)*$J2980^3</f>
      </c>
      <c r="L2980" s="7">
        <f>INDIRECT("D$"&amp;2+MIN(2,ROUNDDOWN(I2980,0))*3)*(-$J2980^3+3*$J2980^2-3*$J2980+1)+INDIRECT("D$"&amp;3+MIN(2,ROUNDDOWN(I2980,0))*3)*(3*$J2980^3-6*$J2980^2+3*$J2980)+INDIRECT("D$"&amp;4+MIN(2,ROUNDDOWN(I2980,0))*3)*(-3*$J2980^3+3*$J2980^2)+INDIRECT("D$"&amp;5+MIN(2,ROUNDDOWN(I2980,0))*3)*$J2980^3</f>
      </c>
      <c r="M2980" s="7">
        <f>SQRT(K2980^2+L2980^2)</f>
      </c>
      <c r="N2980" s="7">
        <f>(K2981-K2979)</f>
      </c>
      <c r="O2980" s="7">
        <f>+(L2981-L2979)</f>
      </c>
      <c r="P2980" s="7">
        <f>SQRT(O2980^2+N2980^2)</f>
      </c>
      <c r="Q2980" s="7">
        <f>N2980/$P2980</f>
      </c>
      <c r="R2980" s="7">
        <f>O2980/$P2980</f>
      </c>
      <c r="S2980" s="7">
        <f>Q2980^2+R2980^2</f>
      </c>
      <c r="T2980" s="7">
        <f>-R2980</f>
      </c>
      <c r="U2980" s="7">
        <f>Q2980</f>
      </c>
      <c r="V2980" s="7">
        <f>($C$14+($C$15-$C$14)/($D$15-$D$14)*(I2980-$D$14))/2</f>
      </c>
      <c r="W2980" s="7">
        <f>($B$22*I2980^4+$C$22*I2980^3+$D$22*I2980^2+$E$22*I2980+$F$22)/2</f>
      </c>
      <c r="X2980" s="7">
        <f>($W2980)*(T2980)</f>
      </c>
      <c r="Y2980" s="7">
        <f>($W2980)*(U2980)</f>
      </c>
      <c r="Z2980" s="7">
        <f>SQRT(X2980^2+Y2980^2)</f>
      </c>
      <c r="AA2980" s="7">
        <f>$K2980+$X2980</f>
      </c>
      <c r="AB2980" s="7">
        <f>$L2980+$Y2980</f>
      </c>
      <c r="AC2980" s="7">
        <f>$K2980-$X2980</f>
      </c>
      <c r="AD2980" s="7">
        <f>$L2980-$Y2980</f>
      </c>
      <c r="AE2980" s="7">
        <f>AA2980/39.3701</f>
      </c>
      <c r="AF2980" s="7">
        <f>AB2980/39.3701</f>
      </c>
      <c r="AG2980" s="7">
        <f>AC2980/39.3701</f>
      </c>
      <c r="AH2980" s="7">
        <f>AD2980/39.3701</f>
      </c>
      <c r="AI2980" s="1"/>
      <c r="AJ2980" s="1"/>
      <c r="AK2980" s="1"/>
      <c r="AL2980" s="1"/>
      <c r="AM2980" s="2"/>
      <c r="AN2980" s="1"/>
      <c r="AO2980" s="1"/>
      <c r="AP2980" s="1"/>
      <c r="AQ2980" s="1"/>
      <c r="AR2980" s="1"/>
      <c r="AS2980" s="1"/>
      <c r="AT2980" s="1"/>
      <c r="AU2980" s="1"/>
      <c r="AV2980" s="1"/>
      <c r="AW2980" s="1"/>
      <c r="AX2980" s="1"/>
      <c r="AY2980" s="1"/>
      <c r="AZ2980" s="1"/>
      <c r="BA2980" s="1"/>
      <c r="BB2980" s="1"/>
      <c r="BC2980" s="1"/>
      <c r="BD2980" s="1"/>
      <c r="BE2980" s="1"/>
    </row>
    <row x14ac:dyDescent="0.25" r="2981" customHeight="1" ht="18.75">
      <c r="A2981" s="1"/>
      <c r="B2981" s="2"/>
      <c r="C2981" s="2"/>
      <c r="D2981" s="2"/>
      <c r="E2981" s="2"/>
      <c r="F2981" s="2"/>
      <c r="G2981" s="1"/>
      <c r="H2981" s="1"/>
      <c r="I2981" s="7">
        <v>2.978</v>
      </c>
      <c r="J2981" s="7">
        <f>IF((I2981-ROUNDDOWN(I2981,0))=0, 0, (I2981-ROUNDDOWN(I2981,0)))</f>
      </c>
      <c r="K2981" s="7">
        <f>INDIRECT("C$"&amp;2+MIN(2,ROUNDDOWN(I2981,0))*3)*(-$J2981^3+3*$J2981^2-3*$J2981+1)+INDIRECT("C$"&amp;3+MIN(2,ROUNDDOWN(I2981,0))*3)*(3*$J2981^3-6*$J2981^2+3*$J2981)+INDIRECT("C$"&amp;4+MIN(2,ROUNDDOWN(I2981,0))*3)*(-3*$J2981^3+3*$J2981^2)+INDIRECT("C$"&amp;5+MIN(2,ROUNDDOWN(I2981,0))*3)*$J2981^3</f>
      </c>
      <c r="L2981" s="7">
        <f>INDIRECT("D$"&amp;2+MIN(2,ROUNDDOWN(I2981,0))*3)*(-$J2981^3+3*$J2981^2-3*$J2981+1)+INDIRECT("D$"&amp;3+MIN(2,ROUNDDOWN(I2981,0))*3)*(3*$J2981^3-6*$J2981^2+3*$J2981)+INDIRECT("D$"&amp;4+MIN(2,ROUNDDOWN(I2981,0))*3)*(-3*$J2981^3+3*$J2981^2)+INDIRECT("D$"&amp;5+MIN(2,ROUNDDOWN(I2981,0))*3)*$J2981^3</f>
      </c>
      <c r="M2981" s="7">
        <f>SQRT(K2981^2+L2981^2)</f>
      </c>
      <c r="N2981" s="7">
        <f>(K2982-K2980)</f>
      </c>
      <c r="O2981" s="7">
        <f>+(L2982-L2980)</f>
      </c>
      <c r="P2981" s="7">
        <f>SQRT(O2981^2+N2981^2)</f>
      </c>
      <c r="Q2981" s="7">
        <f>N2981/$P2981</f>
      </c>
      <c r="R2981" s="7">
        <f>O2981/$P2981</f>
      </c>
      <c r="S2981" s="8">
        <f>Q2981^2+R2981^2</f>
      </c>
      <c r="T2981" s="7">
        <f>-R2981</f>
      </c>
      <c r="U2981" s="7">
        <f>Q2981</f>
      </c>
      <c r="V2981" s="7">
        <f>($C$14+($C$15-$C$14)/($D$15-$D$14)*(I2981-$D$14))/2</f>
      </c>
      <c r="W2981" s="7">
        <f>($B$22*I2981^4+$C$22*I2981^3+$D$22*I2981^2+$E$22*I2981+$F$22)/2</f>
      </c>
      <c r="X2981" s="7">
        <f>($W2981)*(T2981)</f>
      </c>
      <c r="Y2981" s="7">
        <f>($W2981)*(U2981)</f>
      </c>
      <c r="Z2981" s="7">
        <f>SQRT(X2981^2+Y2981^2)</f>
      </c>
      <c r="AA2981" s="7">
        <f>$K2981+$X2981</f>
      </c>
      <c r="AB2981" s="7">
        <f>$L2981+$Y2981</f>
      </c>
      <c r="AC2981" s="7">
        <f>$K2981-$X2981</f>
      </c>
      <c r="AD2981" s="7">
        <f>$L2981-$Y2981</f>
      </c>
      <c r="AE2981" s="7">
        <f>AA2981/39.3701</f>
      </c>
      <c r="AF2981" s="7">
        <f>AB2981/39.3701</f>
      </c>
      <c r="AG2981" s="7">
        <f>AC2981/39.3701</f>
      </c>
      <c r="AH2981" s="7">
        <f>AD2981/39.3701</f>
      </c>
      <c r="AI2981" s="1"/>
      <c r="AJ2981" s="1"/>
      <c r="AK2981" s="1"/>
      <c r="AL2981" s="1"/>
      <c r="AM2981" s="2"/>
      <c r="AN2981" s="1"/>
      <c r="AO2981" s="1"/>
      <c r="AP2981" s="1"/>
      <c r="AQ2981" s="1"/>
      <c r="AR2981" s="1"/>
      <c r="AS2981" s="1"/>
      <c r="AT2981" s="1"/>
      <c r="AU2981" s="1"/>
      <c r="AV2981" s="1"/>
      <c r="AW2981" s="1"/>
      <c r="AX2981" s="1"/>
      <c r="AY2981" s="1"/>
      <c r="AZ2981" s="1"/>
      <c r="BA2981" s="1"/>
      <c r="BB2981" s="1"/>
      <c r="BC2981" s="1"/>
      <c r="BD2981" s="1"/>
      <c r="BE2981" s="1"/>
    </row>
    <row x14ac:dyDescent="0.25" r="2982" customHeight="1" ht="18.75">
      <c r="A2982" s="1"/>
      <c r="B2982" s="2"/>
      <c r="C2982" s="2"/>
      <c r="D2982" s="2"/>
      <c r="E2982" s="2"/>
      <c r="F2982" s="2"/>
      <c r="G2982" s="1"/>
      <c r="H2982" s="1"/>
      <c r="I2982" s="7">
        <v>2.979</v>
      </c>
      <c r="J2982" s="7">
        <f>IF((I2982-ROUNDDOWN(I2982,0))=0, 0, (I2982-ROUNDDOWN(I2982,0)))</f>
      </c>
      <c r="K2982" s="7">
        <f>INDIRECT("C$"&amp;2+MIN(2,ROUNDDOWN(I2982,0))*3)*(-$J2982^3+3*$J2982^2-3*$J2982+1)+INDIRECT("C$"&amp;3+MIN(2,ROUNDDOWN(I2982,0))*3)*(3*$J2982^3-6*$J2982^2+3*$J2982)+INDIRECT("C$"&amp;4+MIN(2,ROUNDDOWN(I2982,0))*3)*(-3*$J2982^3+3*$J2982^2)+INDIRECT("C$"&amp;5+MIN(2,ROUNDDOWN(I2982,0))*3)*$J2982^3</f>
      </c>
      <c r="L2982" s="7">
        <f>INDIRECT("D$"&amp;2+MIN(2,ROUNDDOWN(I2982,0))*3)*(-$J2982^3+3*$J2982^2-3*$J2982+1)+INDIRECT("D$"&amp;3+MIN(2,ROUNDDOWN(I2982,0))*3)*(3*$J2982^3-6*$J2982^2+3*$J2982)+INDIRECT("D$"&amp;4+MIN(2,ROUNDDOWN(I2982,0))*3)*(-3*$J2982^3+3*$J2982^2)+INDIRECT("D$"&amp;5+MIN(2,ROUNDDOWN(I2982,0))*3)*$J2982^3</f>
      </c>
      <c r="M2982" s="7">
        <f>SQRT(K2982^2+L2982^2)</f>
      </c>
      <c r="N2982" s="7">
        <f>(K2983-K2981)</f>
      </c>
      <c r="O2982" s="7">
        <f>+(L2983-L2981)</f>
      </c>
      <c r="P2982" s="7">
        <f>SQRT(O2982^2+N2982^2)</f>
      </c>
      <c r="Q2982" s="7">
        <f>N2982/$P2982</f>
      </c>
      <c r="R2982" s="7">
        <f>O2982/$P2982</f>
      </c>
      <c r="S2982" s="8">
        <f>Q2982^2+R2982^2</f>
      </c>
      <c r="T2982" s="7">
        <f>-R2982</f>
      </c>
      <c r="U2982" s="7">
        <f>Q2982</f>
      </c>
      <c r="V2982" s="7">
        <f>($C$14+($C$15-$C$14)/($D$15-$D$14)*(I2982-$D$14))/2</f>
      </c>
      <c r="W2982" s="7">
        <f>($B$22*I2982^4+$C$22*I2982^3+$D$22*I2982^2+$E$22*I2982+$F$22)/2</f>
      </c>
      <c r="X2982" s="7">
        <f>($W2982)*(T2982)</f>
      </c>
      <c r="Y2982" s="7">
        <f>($W2982)*(U2982)</f>
      </c>
      <c r="Z2982" s="7">
        <f>SQRT(X2982^2+Y2982^2)</f>
      </c>
      <c r="AA2982" s="7">
        <f>$K2982+$X2982</f>
      </c>
      <c r="AB2982" s="7">
        <f>$L2982+$Y2982</f>
      </c>
      <c r="AC2982" s="7">
        <f>$K2982-$X2982</f>
      </c>
      <c r="AD2982" s="7">
        <f>$L2982-$Y2982</f>
      </c>
      <c r="AE2982" s="7">
        <f>AA2982/39.3701</f>
      </c>
      <c r="AF2982" s="7">
        <f>AB2982/39.3701</f>
      </c>
      <c r="AG2982" s="7">
        <f>AC2982/39.3701</f>
      </c>
      <c r="AH2982" s="7">
        <f>AD2982/39.3701</f>
      </c>
      <c r="AI2982" s="1"/>
      <c r="AJ2982" s="1"/>
      <c r="AK2982" s="1"/>
      <c r="AL2982" s="1"/>
      <c r="AM2982" s="2"/>
      <c r="AN2982" s="1"/>
      <c r="AO2982" s="1"/>
      <c r="AP2982" s="1"/>
      <c r="AQ2982" s="1"/>
      <c r="AR2982" s="1"/>
      <c r="AS2982" s="1"/>
      <c r="AT2982" s="1"/>
      <c r="AU2982" s="1"/>
      <c r="AV2982" s="1"/>
      <c r="AW2982" s="1"/>
      <c r="AX2982" s="1"/>
      <c r="AY2982" s="1"/>
      <c r="AZ2982" s="1"/>
      <c r="BA2982" s="1"/>
      <c r="BB2982" s="1"/>
      <c r="BC2982" s="1"/>
      <c r="BD2982" s="1"/>
      <c r="BE2982" s="1"/>
    </row>
    <row x14ac:dyDescent="0.25" r="2983" customHeight="1" ht="18.75">
      <c r="A2983" s="1"/>
      <c r="B2983" s="2"/>
      <c r="C2983" s="2"/>
      <c r="D2983" s="2"/>
      <c r="E2983" s="2"/>
      <c r="F2983" s="2"/>
      <c r="G2983" s="1"/>
      <c r="H2983" s="1"/>
      <c r="I2983" s="7">
        <v>2.98</v>
      </c>
      <c r="J2983" s="7">
        <f>IF((I2983-ROUNDDOWN(I2983,0))=0, 0, (I2983-ROUNDDOWN(I2983,0)))</f>
      </c>
      <c r="K2983" s="7">
        <f>INDIRECT("C$"&amp;2+MIN(2,ROUNDDOWN(I2983,0))*3)*(-$J2983^3+3*$J2983^2-3*$J2983+1)+INDIRECT("C$"&amp;3+MIN(2,ROUNDDOWN(I2983,0))*3)*(3*$J2983^3-6*$J2983^2+3*$J2983)+INDIRECT("C$"&amp;4+MIN(2,ROUNDDOWN(I2983,0))*3)*(-3*$J2983^3+3*$J2983^2)+INDIRECT("C$"&amp;5+MIN(2,ROUNDDOWN(I2983,0))*3)*$J2983^3</f>
      </c>
      <c r="L2983" s="7">
        <f>INDIRECT("D$"&amp;2+MIN(2,ROUNDDOWN(I2983,0))*3)*(-$J2983^3+3*$J2983^2-3*$J2983+1)+INDIRECT("D$"&amp;3+MIN(2,ROUNDDOWN(I2983,0))*3)*(3*$J2983^3-6*$J2983^2+3*$J2983)+INDIRECT("D$"&amp;4+MIN(2,ROUNDDOWN(I2983,0))*3)*(-3*$J2983^3+3*$J2983^2)+INDIRECT("D$"&amp;5+MIN(2,ROUNDDOWN(I2983,0))*3)*$J2983^3</f>
      </c>
      <c r="M2983" s="7">
        <f>SQRT(K2983^2+L2983^2)</f>
      </c>
      <c r="N2983" s="7">
        <f>(K2984-K2982)</f>
      </c>
      <c r="O2983" s="7">
        <f>+(L2984-L2982)</f>
      </c>
      <c r="P2983" s="7">
        <f>SQRT(O2983^2+N2983^2)</f>
      </c>
      <c r="Q2983" s="7">
        <f>N2983/$P2983</f>
      </c>
      <c r="R2983" s="7">
        <f>O2983/$P2983</f>
      </c>
      <c r="S2983" s="7">
        <f>Q2983^2+R2983^2</f>
      </c>
      <c r="T2983" s="7">
        <f>-R2983</f>
      </c>
      <c r="U2983" s="7">
        <f>Q2983</f>
      </c>
      <c r="V2983" s="7">
        <f>($C$14+($C$15-$C$14)/($D$15-$D$14)*(I2983-$D$14))/2</f>
      </c>
      <c r="W2983" s="7">
        <f>($B$22*I2983^4+$C$22*I2983^3+$D$22*I2983^2+$E$22*I2983+$F$22)/2</f>
      </c>
      <c r="X2983" s="7">
        <f>($W2983)*(T2983)</f>
      </c>
      <c r="Y2983" s="7">
        <f>($W2983)*(U2983)</f>
      </c>
      <c r="Z2983" s="7">
        <f>SQRT(X2983^2+Y2983^2)</f>
      </c>
      <c r="AA2983" s="7">
        <f>$K2983+$X2983</f>
      </c>
      <c r="AB2983" s="7">
        <f>$L2983+$Y2983</f>
      </c>
      <c r="AC2983" s="7">
        <f>$K2983-$X2983</f>
      </c>
      <c r="AD2983" s="7">
        <f>$L2983-$Y2983</f>
      </c>
      <c r="AE2983" s="7">
        <f>AA2983/39.3701</f>
      </c>
      <c r="AF2983" s="7">
        <f>AB2983/39.3701</f>
      </c>
      <c r="AG2983" s="7">
        <f>AC2983/39.3701</f>
      </c>
      <c r="AH2983" s="7">
        <f>AD2983/39.3701</f>
      </c>
      <c r="AI2983" s="1"/>
      <c r="AJ2983" s="1"/>
      <c r="AK2983" s="1"/>
      <c r="AL2983" s="1"/>
      <c r="AM2983" s="2"/>
      <c r="AN2983" s="1"/>
      <c r="AO2983" s="1"/>
      <c r="AP2983" s="1"/>
      <c r="AQ2983" s="1"/>
      <c r="AR2983" s="1"/>
      <c r="AS2983" s="1"/>
      <c r="AT2983" s="1"/>
      <c r="AU2983" s="1"/>
      <c r="AV2983" s="1"/>
      <c r="AW2983" s="1"/>
      <c r="AX2983" s="1"/>
      <c r="AY2983" s="1"/>
      <c r="AZ2983" s="1"/>
      <c r="BA2983" s="1"/>
      <c r="BB2983" s="1"/>
      <c r="BC2983" s="1"/>
      <c r="BD2983" s="1"/>
      <c r="BE2983" s="1"/>
    </row>
    <row x14ac:dyDescent="0.25" r="2984" customHeight="1" ht="18.75">
      <c r="A2984" s="1"/>
      <c r="B2984" s="2"/>
      <c r="C2984" s="2"/>
      <c r="D2984" s="2"/>
      <c r="E2984" s="2"/>
      <c r="F2984" s="2"/>
      <c r="G2984" s="1"/>
      <c r="H2984" s="1"/>
      <c r="I2984" s="7">
        <v>2.981</v>
      </c>
      <c r="J2984" s="7">
        <f>IF((I2984-ROUNDDOWN(I2984,0))=0, 0, (I2984-ROUNDDOWN(I2984,0)))</f>
      </c>
      <c r="K2984" s="7">
        <f>INDIRECT("C$"&amp;2+MIN(2,ROUNDDOWN(I2984,0))*3)*(-$J2984^3+3*$J2984^2-3*$J2984+1)+INDIRECT("C$"&amp;3+MIN(2,ROUNDDOWN(I2984,0))*3)*(3*$J2984^3-6*$J2984^2+3*$J2984)+INDIRECT("C$"&amp;4+MIN(2,ROUNDDOWN(I2984,0))*3)*(-3*$J2984^3+3*$J2984^2)+INDIRECT("C$"&amp;5+MIN(2,ROUNDDOWN(I2984,0))*3)*$J2984^3</f>
      </c>
      <c r="L2984" s="7">
        <f>INDIRECT("D$"&amp;2+MIN(2,ROUNDDOWN(I2984,0))*3)*(-$J2984^3+3*$J2984^2-3*$J2984+1)+INDIRECT("D$"&amp;3+MIN(2,ROUNDDOWN(I2984,0))*3)*(3*$J2984^3-6*$J2984^2+3*$J2984)+INDIRECT("D$"&amp;4+MIN(2,ROUNDDOWN(I2984,0))*3)*(-3*$J2984^3+3*$J2984^2)+INDIRECT("D$"&amp;5+MIN(2,ROUNDDOWN(I2984,0))*3)*$J2984^3</f>
      </c>
      <c r="M2984" s="7">
        <f>SQRT(K2984^2+L2984^2)</f>
      </c>
      <c r="N2984" s="7">
        <f>(K2985-K2983)</f>
      </c>
      <c r="O2984" s="7">
        <f>+(L2985-L2983)</f>
      </c>
      <c r="P2984" s="7">
        <f>SQRT(O2984^2+N2984^2)</f>
      </c>
      <c r="Q2984" s="7">
        <f>N2984/$P2984</f>
      </c>
      <c r="R2984" s="7">
        <f>O2984/$P2984</f>
      </c>
      <c r="S2984" s="8">
        <f>Q2984^2+R2984^2</f>
      </c>
      <c r="T2984" s="7">
        <f>-R2984</f>
      </c>
      <c r="U2984" s="7">
        <f>Q2984</f>
      </c>
      <c r="V2984" s="7">
        <f>($C$14+($C$15-$C$14)/($D$15-$D$14)*(I2984-$D$14))/2</f>
      </c>
      <c r="W2984" s="7">
        <f>($B$22*I2984^4+$C$22*I2984^3+$D$22*I2984^2+$E$22*I2984+$F$22)/2</f>
      </c>
      <c r="X2984" s="7">
        <f>($W2984)*(T2984)</f>
      </c>
      <c r="Y2984" s="7">
        <f>($W2984)*(U2984)</f>
      </c>
      <c r="Z2984" s="7">
        <f>SQRT(X2984^2+Y2984^2)</f>
      </c>
      <c r="AA2984" s="7">
        <f>$K2984+$X2984</f>
      </c>
      <c r="AB2984" s="7">
        <f>$L2984+$Y2984</f>
      </c>
      <c r="AC2984" s="7">
        <f>$K2984-$X2984</f>
      </c>
      <c r="AD2984" s="7">
        <f>$L2984-$Y2984</f>
      </c>
      <c r="AE2984" s="7">
        <f>AA2984/39.3701</f>
      </c>
      <c r="AF2984" s="7">
        <f>AB2984/39.3701</f>
      </c>
      <c r="AG2984" s="7">
        <f>AC2984/39.3701</f>
      </c>
      <c r="AH2984" s="7">
        <f>AD2984/39.3701</f>
      </c>
      <c r="AI2984" s="1"/>
      <c r="AJ2984" s="1"/>
      <c r="AK2984" s="1"/>
      <c r="AL2984" s="1"/>
      <c r="AM2984" s="2"/>
      <c r="AN2984" s="1"/>
      <c r="AO2984" s="1"/>
      <c r="AP2984" s="1"/>
      <c r="AQ2984" s="1"/>
      <c r="AR2984" s="1"/>
      <c r="AS2984" s="1"/>
      <c r="AT2984" s="1"/>
      <c r="AU2984" s="1"/>
      <c r="AV2984" s="1"/>
      <c r="AW2984" s="1"/>
      <c r="AX2984" s="1"/>
      <c r="AY2984" s="1"/>
      <c r="AZ2984" s="1"/>
      <c r="BA2984" s="1"/>
      <c r="BB2984" s="1"/>
      <c r="BC2984" s="1"/>
      <c r="BD2984" s="1"/>
      <c r="BE2984" s="1"/>
    </row>
    <row x14ac:dyDescent="0.25" r="2985" customHeight="1" ht="18.75">
      <c r="A2985" s="1"/>
      <c r="B2985" s="2"/>
      <c r="C2985" s="2"/>
      <c r="D2985" s="2"/>
      <c r="E2985" s="2"/>
      <c r="F2985" s="2"/>
      <c r="G2985" s="1"/>
      <c r="H2985" s="1"/>
      <c r="I2985" s="7">
        <v>2.982</v>
      </c>
      <c r="J2985" s="7">
        <f>IF((I2985-ROUNDDOWN(I2985,0))=0, 0, (I2985-ROUNDDOWN(I2985,0)))</f>
      </c>
      <c r="K2985" s="7">
        <f>INDIRECT("C$"&amp;2+MIN(2,ROUNDDOWN(I2985,0))*3)*(-$J2985^3+3*$J2985^2-3*$J2985+1)+INDIRECT("C$"&amp;3+MIN(2,ROUNDDOWN(I2985,0))*3)*(3*$J2985^3-6*$J2985^2+3*$J2985)+INDIRECT("C$"&amp;4+MIN(2,ROUNDDOWN(I2985,0))*3)*(-3*$J2985^3+3*$J2985^2)+INDIRECT("C$"&amp;5+MIN(2,ROUNDDOWN(I2985,0))*3)*$J2985^3</f>
      </c>
      <c r="L2985" s="7">
        <f>INDIRECT("D$"&amp;2+MIN(2,ROUNDDOWN(I2985,0))*3)*(-$J2985^3+3*$J2985^2-3*$J2985+1)+INDIRECT("D$"&amp;3+MIN(2,ROUNDDOWN(I2985,0))*3)*(3*$J2985^3-6*$J2985^2+3*$J2985)+INDIRECT("D$"&amp;4+MIN(2,ROUNDDOWN(I2985,0))*3)*(-3*$J2985^3+3*$J2985^2)+INDIRECT("D$"&amp;5+MIN(2,ROUNDDOWN(I2985,0))*3)*$J2985^3</f>
      </c>
      <c r="M2985" s="7">
        <f>SQRT(K2985^2+L2985^2)</f>
      </c>
      <c r="N2985" s="7">
        <f>(K2986-K2984)</f>
      </c>
      <c r="O2985" s="7">
        <f>+(L2986-L2984)</f>
      </c>
      <c r="P2985" s="7">
        <f>SQRT(O2985^2+N2985^2)</f>
      </c>
      <c r="Q2985" s="7">
        <f>N2985/$P2985</f>
      </c>
      <c r="R2985" s="7">
        <f>O2985/$P2985</f>
      </c>
      <c r="S2985" s="8">
        <f>Q2985^2+R2985^2</f>
      </c>
      <c r="T2985" s="7">
        <f>-R2985</f>
      </c>
      <c r="U2985" s="7">
        <f>Q2985</f>
      </c>
      <c r="V2985" s="7">
        <f>($C$14+($C$15-$C$14)/($D$15-$D$14)*(I2985-$D$14))/2</f>
      </c>
      <c r="W2985" s="7">
        <f>($B$22*I2985^4+$C$22*I2985^3+$D$22*I2985^2+$E$22*I2985+$F$22)/2</f>
      </c>
      <c r="X2985" s="7">
        <f>($W2985)*(T2985)</f>
      </c>
      <c r="Y2985" s="7">
        <f>($W2985)*(U2985)</f>
      </c>
      <c r="Z2985" s="7">
        <f>SQRT(X2985^2+Y2985^2)</f>
      </c>
      <c r="AA2985" s="7">
        <f>$K2985+$X2985</f>
      </c>
      <c r="AB2985" s="7">
        <f>$L2985+$Y2985</f>
      </c>
      <c r="AC2985" s="7">
        <f>$K2985-$X2985</f>
      </c>
      <c r="AD2985" s="7">
        <f>$L2985-$Y2985</f>
      </c>
      <c r="AE2985" s="7">
        <f>AA2985/39.3701</f>
      </c>
      <c r="AF2985" s="7">
        <f>AB2985/39.3701</f>
      </c>
      <c r="AG2985" s="7">
        <f>AC2985/39.3701</f>
      </c>
      <c r="AH2985" s="7">
        <f>AD2985/39.3701</f>
      </c>
      <c r="AI2985" s="1"/>
      <c r="AJ2985" s="1"/>
      <c r="AK2985" s="1"/>
      <c r="AL2985" s="1"/>
      <c r="AM2985" s="2"/>
      <c r="AN2985" s="1"/>
      <c r="AO2985" s="1"/>
      <c r="AP2985" s="1"/>
      <c r="AQ2985" s="1"/>
      <c r="AR2985" s="1"/>
      <c r="AS2985" s="1"/>
      <c r="AT2985" s="1"/>
      <c r="AU2985" s="1"/>
      <c r="AV2985" s="1"/>
      <c r="AW2985" s="1"/>
      <c r="AX2985" s="1"/>
      <c r="AY2985" s="1"/>
      <c r="AZ2985" s="1"/>
      <c r="BA2985" s="1"/>
      <c r="BB2985" s="1"/>
      <c r="BC2985" s="1"/>
      <c r="BD2985" s="1"/>
      <c r="BE2985" s="1"/>
    </row>
    <row x14ac:dyDescent="0.25" r="2986" customHeight="1" ht="18.75">
      <c r="A2986" s="1"/>
      <c r="B2986" s="2"/>
      <c r="C2986" s="2"/>
      <c r="D2986" s="2"/>
      <c r="E2986" s="2"/>
      <c r="F2986" s="2"/>
      <c r="G2986" s="1"/>
      <c r="H2986" s="1"/>
      <c r="I2986" s="7">
        <v>2.983</v>
      </c>
      <c r="J2986" s="7">
        <f>IF((I2986-ROUNDDOWN(I2986,0))=0, 0, (I2986-ROUNDDOWN(I2986,0)))</f>
      </c>
      <c r="K2986" s="7">
        <f>INDIRECT("C$"&amp;2+MIN(2,ROUNDDOWN(I2986,0))*3)*(-$J2986^3+3*$J2986^2-3*$J2986+1)+INDIRECT("C$"&amp;3+MIN(2,ROUNDDOWN(I2986,0))*3)*(3*$J2986^3-6*$J2986^2+3*$J2986)+INDIRECT("C$"&amp;4+MIN(2,ROUNDDOWN(I2986,0))*3)*(-3*$J2986^3+3*$J2986^2)+INDIRECT("C$"&amp;5+MIN(2,ROUNDDOWN(I2986,0))*3)*$J2986^3</f>
      </c>
      <c r="L2986" s="7">
        <f>INDIRECT("D$"&amp;2+MIN(2,ROUNDDOWN(I2986,0))*3)*(-$J2986^3+3*$J2986^2-3*$J2986+1)+INDIRECT("D$"&amp;3+MIN(2,ROUNDDOWN(I2986,0))*3)*(3*$J2986^3-6*$J2986^2+3*$J2986)+INDIRECT("D$"&amp;4+MIN(2,ROUNDDOWN(I2986,0))*3)*(-3*$J2986^3+3*$J2986^2)+INDIRECT("D$"&amp;5+MIN(2,ROUNDDOWN(I2986,0))*3)*$J2986^3</f>
      </c>
      <c r="M2986" s="7">
        <f>SQRT(K2986^2+L2986^2)</f>
      </c>
      <c r="N2986" s="7">
        <f>(K2987-K2985)</f>
      </c>
      <c r="O2986" s="7">
        <f>+(L2987-L2985)</f>
      </c>
      <c r="P2986" s="7">
        <f>SQRT(O2986^2+N2986^2)</f>
      </c>
      <c r="Q2986" s="7">
        <f>N2986/$P2986</f>
      </c>
      <c r="R2986" s="7">
        <f>O2986/$P2986</f>
      </c>
      <c r="S2986" s="8">
        <f>Q2986^2+R2986^2</f>
      </c>
      <c r="T2986" s="7">
        <f>-R2986</f>
      </c>
      <c r="U2986" s="7">
        <f>Q2986</f>
      </c>
      <c r="V2986" s="7">
        <f>($C$14+($C$15-$C$14)/($D$15-$D$14)*(I2986-$D$14))/2</f>
      </c>
      <c r="W2986" s="7">
        <f>($B$22*I2986^4+$C$22*I2986^3+$D$22*I2986^2+$E$22*I2986+$F$22)/2</f>
      </c>
      <c r="X2986" s="7">
        <f>($W2986)*(T2986)</f>
      </c>
      <c r="Y2986" s="7">
        <f>($W2986)*(U2986)</f>
      </c>
      <c r="Z2986" s="7">
        <f>SQRT(X2986^2+Y2986^2)</f>
      </c>
      <c r="AA2986" s="7">
        <f>$K2986+$X2986</f>
      </c>
      <c r="AB2986" s="7">
        <f>$L2986+$Y2986</f>
      </c>
      <c r="AC2986" s="7">
        <f>$K2986-$X2986</f>
      </c>
      <c r="AD2986" s="7">
        <f>$L2986-$Y2986</f>
      </c>
      <c r="AE2986" s="7">
        <f>AA2986/39.3701</f>
      </c>
      <c r="AF2986" s="7">
        <f>AB2986/39.3701</f>
      </c>
      <c r="AG2986" s="7">
        <f>AC2986/39.3701</f>
      </c>
      <c r="AH2986" s="7">
        <f>AD2986/39.3701</f>
      </c>
      <c r="AI2986" s="1"/>
      <c r="AJ2986" s="1"/>
      <c r="AK2986" s="1"/>
      <c r="AL2986" s="1"/>
      <c r="AM2986" s="2"/>
      <c r="AN2986" s="1"/>
      <c r="AO2986" s="1"/>
      <c r="AP2986" s="1"/>
      <c r="AQ2986" s="1"/>
      <c r="AR2986" s="1"/>
      <c r="AS2986" s="1"/>
      <c r="AT2986" s="1"/>
      <c r="AU2986" s="1"/>
      <c r="AV2986" s="1"/>
      <c r="AW2986" s="1"/>
      <c r="AX2986" s="1"/>
      <c r="AY2986" s="1"/>
      <c r="AZ2986" s="1"/>
      <c r="BA2986" s="1"/>
      <c r="BB2986" s="1"/>
      <c r="BC2986" s="1"/>
      <c r="BD2986" s="1"/>
      <c r="BE2986" s="1"/>
    </row>
    <row x14ac:dyDescent="0.25" r="2987" customHeight="1" ht="18.75">
      <c r="A2987" s="1"/>
      <c r="B2987" s="2"/>
      <c r="C2987" s="2"/>
      <c r="D2987" s="2"/>
      <c r="E2987" s="2"/>
      <c r="F2987" s="2"/>
      <c r="G2987" s="1"/>
      <c r="H2987" s="1"/>
      <c r="I2987" s="7">
        <v>2.984</v>
      </c>
      <c r="J2987" s="7">
        <f>IF((I2987-ROUNDDOWN(I2987,0))=0, 0, (I2987-ROUNDDOWN(I2987,0)))</f>
      </c>
      <c r="K2987" s="7">
        <f>INDIRECT("C$"&amp;2+MIN(2,ROUNDDOWN(I2987,0))*3)*(-$J2987^3+3*$J2987^2-3*$J2987+1)+INDIRECT("C$"&amp;3+MIN(2,ROUNDDOWN(I2987,0))*3)*(3*$J2987^3-6*$J2987^2+3*$J2987)+INDIRECT("C$"&amp;4+MIN(2,ROUNDDOWN(I2987,0))*3)*(-3*$J2987^3+3*$J2987^2)+INDIRECT("C$"&amp;5+MIN(2,ROUNDDOWN(I2987,0))*3)*$J2987^3</f>
      </c>
      <c r="L2987" s="7">
        <f>INDIRECT("D$"&amp;2+MIN(2,ROUNDDOWN(I2987,0))*3)*(-$J2987^3+3*$J2987^2-3*$J2987+1)+INDIRECT("D$"&amp;3+MIN(2,ROUNDDOWN(I2987,0))*3)*(3*$J2987^3-6*$J2987^2+3*$J2987)+INDIRECT("D$"&amp;4+MIN(2,ROUNDDOWN(I2987,0))*3)*(-3*$J2987^3+3*$J2987^2)+INDIRECT("D$"&amp;5+MIN(2,ROUNDDOWN(I2987,0))*3)*$J2987^3</f>
      </c>
      <c r="M2987" s="7">
        <f>SQRT(K2987^2+L2987^2)</f>
      </c>
      <c r="N2987" s="7">
        <f>(K2988-K2986)</f>
      </c>
      <c r="O2987" s="7">
        <f>+(L2988-L2986)</f>
      </c>
      <c r="P2987" s="7">
        <f>SQRT(O2987^2+N2987^2)</f>
      </c>
      <c r="Q2987" s="7">
        <f>N2987/$P2987</f>
      </c>
      <c r="R2987" s="7">
        <f>O2987/$P2987</f>
      </c>
      <c r="S2987" s="8">
        <f>Q2987^2+R2987^2</f>
      </c>
      <c r="T2987" s="7">
        <f>-R2987</f>
      </c>
      <c r="U2987" s="7">
        <f>Q2987</f>
      </c>
      <c r="V2987" s="7">
        <f>($C$14+($C$15-$C$14)/($D$15-$D$14)*(I2987-$D$14))/2</f>
      </c>
      <c r="W2987" s="7">
        <f>($B$22*I2987^4+$C$22*I2987^3+$D$22*I2987^2+$E$22*I2987+$F$22)/2</f>
      </c>
      <c r="X2987" s="7">
        <f>($W2987)*(T2987)</f>
      </c>
      <c r="Y2987" s="7">
        <f>($W2987)*(U2987)</f>
      </c>
      <c r="Z2987" s="7">
        <f>SQRT(X2987^2+Y2987^2)</f>
      </c>
      <c r="AA2987" s="7">
        <f>$K2987+$X2987</f>
      </c>
      <c r="AB2987" s="7">
        <f>$L2987+$Y2987</f>
      </c>
      <c r="AC2987" s="7">
        <f>$K2987-$X2987</f>
      </c>
      <c r="AD2987" s="7">
        <f>$L2987-$Y2987</f>
      </c>
      <c r="AE2987" s="7">
        <f>AA2987/39.3701</f>
      </c>
      <c r="AF2987" s="7">
        <f>AB2987/39.3701</f>
      </c>
      <c r="AG2987" s="7">
        <f>AC2987/39.3701</f>
      </c>
      <c r="AH2987" s="7">
        <f>AD2987/39.3701</f>
      </c>
      <c r="AI2987" s="1"/>
      <c r="AJ2987" s="1"/>
      <c r="AK2987" s="1"/>
      <c r="AL2987" s="1"/>
      <c r="AM2987" s="2"/>
      <c r="AN2987" s="1"/>
      <c r="AO2987" s="1"/>
      <c r="AP2987" s="1"/>
      <c r="AQ2987" s="1"/>
      <c r="AR2987" s="1"/>
      <c r="AS2987" s="1"/>
      <c r="AT2987" s="1"/>
      <c r="AU2987" s="1"/>
      <c r="AV2987" s="1"/>
      <c r="AW2987" s="1"/>
      <c r="AX2987" s="1"/>
      <c r="AY2987" s="1"/>
      <c r="AZ2987" s="1"/>
      <c r="BA2987" s="1"/>
      <c r="BB2987" s="1"/>
      <c r="BC2987" s="1"/>
      <c r="BD2987" s="1"/>
      <c r="BE2987" s="1"/>
    </row>
    <row x14ac:dyDescent="0.25" r="2988" customHeight="1" ht="18.75">
      <c r="A2988" s="1"/>
      <c r="B2988" s="2"/>
      <c r="C2988" s="2"/>
      <c r="D2988" s="2"/>
      <c r="E2988" s="2"/>
      <c r="F2988" s="2"/>
      <c r="G2988" s="1"/>
      <c r="H2988" s="1"/>
      <c r="I2988" s="7">
        <v>2.985</v>
      </c>
      <c r="J2988" s="7">
        <f>IF((I2988-ROUNDDOWN(I2988,0))=0, 0, (I2988-ROUNDDOWN(I2988,0)))</f>
      </c>
      <c r="K2988" s="7">
        <f>INDIRECT("C$"&amp;2+MIN(2,ROUNDDOWN(I2988,0))*3)*(-$J2988^3+3*$J2988^2-3*$J2988+1)+INDIRECT("C$"&amp;3+MIN(2,ROUNDDOWN(I2988,0))*3)*(3*$J2988^3-6*$J2988^2+3*$J2988)+INDIRECT("C$"&amp;4+MIN(2,ROUNDDOWN(I2988,0))*3)*(-3*$J2988^3+3*$J2988^2)+INDIRECT("C$"&amp;5+MIN(2,ROUNDDOWN(I2988,0))*3)*$J2988^3</f>
      </c>
      <c r="L2988" s="7">
        <f>INDIRECT("D$"&amp;2+MIN(2,ROUNDDOWN(I2988,0))*3)*(-$J2988^3+3*$J2988^2-3*$J2988+1)+INDIRECT("D$"&amp;3+MIN(2,ROUNDDOWN(I2988,0))*3)*(3*$J2988^3-6*$J2988^2+3*$J2988)+INDIRECT("D$"&amp;4+MIN(2,ROUNDDOWN(I2988,0))*3)*(-3*$J2988^3+3*$J2988^2)+INDIRECT("D$"&amp;5+MIN(2,ROUNDDOWN(I2988,0))*3)*$J2988^3</f>
      </c>
      <c r="M2988" s="7">
        <f>SQRT(K2988^2+L2988^2)</f>
      </c>
      <c r="N2988" s="7">
        <f>(K2989-K2987)</f>
      </c>
      <c r="O2988" s="7">
        <f>+(L2989-L2987)</f>
      </c>
      <c r="P2988" s="7">
        <f>SQRT(O2988^2+N2988^2)</f>
      </c>
      <c r="Q2988" s="7">
        <f>N2988/$P2988</f>
      </c>
      <c r="R2988" s="7">
        <f>O2988/$P2988</f>
      </c>
      <c r="S2988" s="8">
        <f>Q2988^2+R2988^2</f>
      </c>
      <c r="T2988" s="7">
        <f>-R2988</f>
      </c>
      <c r="U2988" s="7">
        <f>Q2988</f>
      </c>
      <c r="V2988" s="7">
        <f>($C$14+($C$15-$C$14)/($D$15-$D$14)*(I2988-$D$14))/2</f>
      </c>
      <c r="W2988" s="7">
        <f>($B$22*I2988^4+$C$22*I2988^3+$D$22*I2988^2+$E$22*I2988+$F$22)/2</f>
      </c>
      <c r="X2988" s="7">
        <f>($W2988)*(T2988)</f>
      </c>
      <c r="Y2988" s="7">
        <f>($W2988)*(U2988)</f>
      </c>
      <c r="Z2988" s="7">
        <f>SQRT(X2988^2+Y2988^2)</f>
      </c>
      <c r="AA2988" s="7">
        <f>$K2988+$X2988</f>
      </c>
      <c r="AB2988" s="7">
        <f>$L2988+$Y2988</f>
      </c>
      <c r="AC2988" s="7">
        <f>$K2988-$X2988</f>
      </c>
      <c r="AD2988" s="7">
        <f>$L2988-$Y2988</f>
      </c>
      <c r="AE2988" s="7">
        <f>AA2988/39.3701</f>
      </c>
      <c r="AF2988" s="7">
        <f>AB2988/39.3701</f>
      </c>
      <c r="AG2988" s="7">
        <f>AC2988/39.3701</f>
      </c>
      <c r="AH2988" s="7">
        <f>AD2988/39.3701</f>
      </c>
      <c r="AI2988" s="1"/>
      <c r="AJ2988" s="1"/>
      <c r="AK2988" s="1"/>
      <c r="AL2988" s="1"/>
      <c r="AM2988" s="2"/>
      <c r="AN2988" s="1"/>
      <c r="AO2988" s="1"/>
      <c r="AP2988" s="1"/>
      <c r="AQ2988" s="1"/>
      <c r="AR2988" s="1"/>
      <c r="AS2988" s="1"/>
      <c r="AT2988" s="1"/>
      <c r="AU2988" s="1"/>
      <c r="AV2988" s="1"/>
      <c r="AW2988" s="1"/>
      <c r="AX2988" s="1"/>
      <c r="AY2988" s="1"/>
      <c r="AZ2988" s="1"/>
      <c r="BA2988" s="1"/>
      <c r="BB2988" s="1"/>
      <c r="BC2988" s="1"/>
      <c r="BD2988" s="1"/>
      <c r="BE2988" s="1"/>
    </row>
    <row x14ac:dyDescent="0.25" r="2989" customHeight="1" ht="18.75">
      <c r="A2989" s="1"/>
      <c r="B2989" s="2"/>
      <c r="C2989" s="2"/>
      <c r="D2989" s="2"/>
      <c r="E2989" s="2"/>
      <c r="F2989" s="2"/>
      <c r="G2989" s="1"/>
      <c r="H2989" s="1"/>
      <c r="I2989" s="7">
        <v>2.986</v>
      </c>
      <c r="J2989" s="7">
        <f>IF((I2989-ROUNDDOWN(I2989,0))=0, 0, (I2989-ROUNDDOWN(I2989,0)))</f>
      </c>
      <c r="K2989" s="7">
        <f>INDIRECT("C$"&amp;2+MIN(2,ROUNDDOWN(I2989,0))*3)*(-$J2989^3+3*$J2989^2-3*$J2989+1)+INDIRECT("C$"&amp;3+MIN(2,ROUNDDOWN(I2989,0))*3)*(3*$J2989^3-6*$J2989^2+3*$J2989)+INDIRECT("C$"&amp;4+MIN(2,ROUNDDOWN(I2989,0))*3)*(-3*$J2989^3+3*$J2989^2)+INDIRECT("C$"&amp;5+MIN(2,ROUNDDOWN(I2989,0))*3)*$J2989^3</f>
      </c>
      <c r="L2989" s="7">
        <f>INDIRECT("D$"&amp;2+MIN(2,ROUNDDOWN(I2989,0))*3)*(-$J2989^3+3*$J2989^2-3*$J2989+1)+INDIRECT("D$"&amp;3+MIN(2,ROUNDDOWN(I2989,0))*3)*(3*$J2989^3-6*$J2989^2+3*$J2989)+INDIRECT("D$"&amp;4+MIN(2,ROUNDDOWN(I2989,0))*3)*(-3*$J2989^3+3*$J2989^2)+INDIRECT("D$"&amp;5+MIN(2,ROUNDDOWN(I2989,0))*3)*$J2989^3</f>
      </c>
      <c r="M2989" s="7">
        <f>SQRT(K2989^2+L2989^2)</f>
      </c>
      <c r="N2989" s="7">
        <f>(K2990-K2988)</f>
      </c>
      <c r="O2989" s="7">
        <f>+(L2990-L2988)</f>
      </c>
      <c r="P2989" s="7">
        <f>SQRT(O2989^2+N2989^2)</f>
      </c>
      <c r="Q2989" s="7">
        <f>N2989/$P2989</f>
      </c>
      <c r="R2989" s="7">
        <f>O2989/$P2989</f>
      </c>
      <c r="S2989" s="8">
        <f>Q2989^2+R2989^2</f>
      </c>
      <c r="T2989" s="7">
        <f>-R2989</f>
      </c>
      <c r="U2989" s="7">
        <f>Q2989</f>
      </c>
      <c r="V2989" s="7">
        <f>($C$14+($C$15-$C$14)/($D$15-$D$14)*(I2989-$D$14))/2</f>
      </c>
      <c r="W2989" s="7">
        <f>($B$22*I2989^4+$C$22*I2989^3+$D$22*I2989^2+$E$22*I2989+$F$22)/2</f>
      </c>
      <c r="X2989" s="7">
        <f>($W2989)*(T2989)</f>
      </c>
      <c r="Y2989" s="7">
        <f>($W2989)*(U2989)</f>
      </c>
      <c r="Z2989" s="7">
        <f>SQRT(X2989^2+Y2989^2)</f>
      </c>
      <c r="AA2989" s="7">
        <f>$K2989+$X2989</f>
      </c>
      <c r="AB2989" s="7">
        <f>$L2989+$Y2989</f>
      </c>
      <c r="AC2989" s="7">
        <f>$K2989-$X2989</f>
      </c>
      <c r="AD2989" s="7">
        <f>$L2989-$Y2989</f>
      </c>
      <c r="AE2989" s="7">
        <f>AA2989/39.3701</f>
      </c>
      <c r="AF2989" s="7">
        <f>AB2989/39.3701</f>
      </c>
      <c r="AG2989" s="7">
        <f>AC2989/39.3701</f>
      </c>
      <c r="AH2989" s="7">
        <f>AD2989/39.3701</f>
      </c>
      <c r="AI2989" s="1"/>
      <c r="AJ2989" s="1"/>
      <c r="AK2989" s="1"/>
      <c r="AL2989" s="1"/>
      <c r="AM2989" s="2"/>
      <c r="AN2989" s="1"/>
      <c r="AO2989" s="1"/>
      <c r="AP2989" s="1"/>
      <c r="AQ2989" s="1"/>
      <c r="AR2989" s="1"/>
      <c r="AS2989" s="1"/>
      <c r="AT2989" s="1"/>
      <c r="AU2989" s="1"/>
      <c r="AV2989" s="1"/>
      <c r="AW2989" s="1"/>
      <c r="AX2989" s="1"/>
      <c r="AY2989" s="1"/>
      <c r="AZ2989" s="1"/>
      <c r="BA2989" s="1"/>
      <c r="BB2989" s="1"/>
      <c r="BC2989" s="1"/>
      <c r="BD2989" s="1"/>
      <c r="BE2989" s="1"/>
    </row>
    <row x14ac:dyDescent="0.25" r="2990" customHeight="1" ht="18.75">
      <c r="A2990" s="1"/>
      <c r="B2990" s="2"/>
      <c r="C2990" s="2"/>
      <c r="D2990" s="2"/>
      <c r="E2990" s="2"/>
      <c r="F2990" s="2"/>
      <c r="G2990" s="1"/>
      <c r="H2990" s="1"/>
      <c r="I2990" s="7">
        <v>2.987</v>
      </c>
      <c r="J2990" s="7">
        <f>IF((I2990-ROUNDDOWN(I2990,0))=0, 0, (I2990-ROUNDDOWN(I2990,0)))</f>
      </c>
      <c r="K2990" s="7">
        <f>INDIRECT("C$"&amp;2+MIN(2,ROUNDDOWN(I2990,0))*3)*(-$J2990^3+3*$J2990^2-3*$J2990+1)+INDIRECT("C$"&amp;3+MIN(2,ROUNDDOWN(I2990,0))*3)*(3*$J2990^3-6*$J2990^2+3*$J2990)+INDIRECT("C$"&amp;4+MIN(2,ROUNDDOWN(I2990,0))*3)*(-3*$J2990^3+3*$J2990^2)+INDIRECT("C$"&amp;5+MIN(2,ROUNDDOWN(I2990,0))*3)*$J2990^3</f>
      </c>
      <c r="L2990" s="7">
        <f>INDIRECT("D$"&amp;2+MIN(2,ROUNDDOWN(I2990,0))*3)*(-$J2990^3+3*$J2990^2-3*$J2990+1)+INDIRECT("D$"&amp;3+MIN(2,ROUNDDOWN(I2990,0))*3)*(3*$J2990^3-6*$J2990^2+3*$J2990)+INDIRECT("D$"&amp;4+MIN(2,ROUNDDOWN(I2990,0))*3)*(-3*$J2990^3+3*$J2990^2)+INDIRECT("D$"&amp;5+MIN(2,ROUNDDOWN(I2990,0))*3)*$J2990^3</f>
      </c>
      <c r="M2990" s="7">
        <f>SQRT(K2990^2+L2990^2)</f>
      </c>
      <c r="N2990" s="7">
        <f>(K2991-K2989)</f>
      </c>
      <c r="O2990" s="7">
        <f>+(L2991-L2989)</f>
      </c>
      <c r="P2990" s="7">
        <f>SQRT(O2990^2+N2990^2)</f>
      </c>
      <c r="Q2990" s="7">
        <f>N2990/$P2990</f>
      </c>
      <c r="R2990" s="7">
        <f>O2990/$P2990</f>
      </c>
      <c r="S2990" s="7">
        <f>Q2990^2+R2990^2</f>
      </c>
      <c r="T2990" s="7">
        <f>-R2990</f>
      </c>
      <c r="U2990" s="7">
        <f>Q2990</f>
      </c>
      <c r="V2990" s="7">
        <f>($C$14+($C$15-$C$14)/($D$15-$D$14)*(I2990-$D$14))/2</f>
      </c>
      <c r="W2990" s="7">
        <f>($B$22*I2990^4+$C$22*I2990^3+$D$22*I2990^2+$E$22*I2990+$F$22)/2</f>
      </c>
      <c r="X2990" s="7">
        <f>($W2990)*(T2990)</f>
      </c>
      <c r="Y2990" s="7">
        <f>($W2990)*(U2990)</f>
      </c>
      <c r="Z2990" s="7">
        <f>SQRT(X2990^2+Y2990^2)</f>
      </c>
      <c r="AA2990" s="7">
        <f>$K2990+$X2990</f>
      </c>
      <c r="AB2990" s="7">
        <f>$L2990+$Y2990</f>
      </c>
      <c r="AC2990" s="7">
        <f>$K2990-$X2990</f>
      </c>
      <c r="AD2990" s="7">
        <f>$L2990-$Y2990</f>
      </c>
      <c r="AE2990" s="7">
        <f>AA2990/39.3701</f>
      </c>
      <c r="AF2990" s="7">
        <f>AB2990/39.3701</f>
      </c>
      <c r="AG2990" s="7">
        <f>AC2990/39.3701</f>
      </c>
      <c r="AH2990" s="7">
        <f>AD2990/39.3701</f>
      </c>
      <c r="AI2990" s="1"/>
      <c r="AJ2990" s="1"/>
      <c r="AK2990" s="1"/>
      <c r="AL2990" s="1"/>
      <c r="AM2990" s="2"/>
      <c r="AN2990" s="1"/>
      <c r="AO2990" s="1"/>
      <c r="AP2990" s="1"/>
      <c r="AQ2990" s="1"/>
      <c r="AR2990" s="1"/>
      <c r="AS2990" s="1"/>
      <c r="AT2990" s="1"/>
      <c r="AU2990" s="1"/>
      <c r="AV2990" s="1"/>
      <c r="AW2990" s="1"/>
      <c r="AX2990" s="1"/>
      <c r="AY2990" s="1"/>
      <c r="AZ2990" s="1"/>
      <c r="BA2990" s="1"/>
      <c r="BB2990" s="1"/>
      <c r="BC2990" s="1"/>
      <c r="BD2990" s="1"/>
      <c r="BE2990" s="1"/>
    </row>
    <row x14ac:dyDescent="0.25" r="2991" customHeight="1" ht="18.75">
      <c r="A2991" s="1"/>
      <c r="B2991" s="2"/>
      <c r="C2991" s="2"/>
      <c r="D2991" s="2"/>
      <c r="E2991" s="2"/>
      <c r="F2991" s="2"/>
      <c r="G2991" s="1"/>
      <c r="H2991" s="1"/>
      <c r="I2991" s="7">
        <v>2.988</v>
      </c>
      <c r="J2991" s="7">
        <f>IF((I2991-ROUNDDOWN(I2991,0))=0, 0, (I2991-ROUNDDOWN(I2991,0)))</f>
      </c>
      <c r="K2991" s="7">
        <f>INDIRECT("C$"&amp;2+MIN(2,ROUNDDOWN(I2991,0))*3)*(-$J2991^3+3*$J2991^2-3*$J2991+1)+INDIRECT("C$"&amp;3+MIN(2,ROUNDDOWN(I2991,0))*3)*(3*$J2991^3-6*$J2991^2+3*$J2991)+INDIRECT("C$"&amp;4+MIN(2,ROUNDDOWN(I2991,0))*3)*(-3*$J2991^3+3*$J2991^2)+INDIRECT("C$"&amp;5+MIN(2,ROUNDDOWN(I2991,0))*3)*$J2991^3</f>
      </c>
      <c r="L2991" s="7">
        <f>INDIRECT("D$"&amp;2+MIN(2,ROUNDDOWN(I2991,0))*3)*(-$J2991^3+3*$J2991^2-3*$J2991+1)+INDIRECT("D$"&amp;3+MIN(2,ROUNDDOWN(I2991,0))*3)*(3*$J2991^3-6*$J2991^2+3*$J2991)+INDIRECT("D$"&amp;4+MIN(2,ROUNDDOWN(I2991,0))*3)*(-3*$J2991^3+3*$J2991^2)+INDIRECT("D$"&amp;5+MIN(2,ROUNDDOWN(I2991,0))*3)*$J2991^3</f>
      </c>
      <c r="M2991" s="7">
        <f>SQRT(K2991^2+L2991^2)</f>
      </c>
      <c r="N2991" s="7">
        <f>(K2992-K2990)</f>
      </c>
      <c r="O2991" s="7">
        <f>+(L2992-L2990)</f>
      </c>
      <c r="P2991" s="7">
        <f>SQRT(O2991^2+N2991^2)</f>
      </c>
      <c r="Q2991" s="7">
        <f>N2991/$P2991</f>
      </c>
      <c r="R2991" s="7">
        <f>O2991/$P2991</f>
      </c>
      <c r="S2991" s="7">
        <f>Q2991^2+R2991^2</f>
      </c>
      <c r="T2991" s="7">
        <f>-R2991</f>
      </c>
      <c r="U2991" s="7">
        <f>Q2991</f>
      </c>
      <c r="V2991" s="7">
        <f>($C$14+($C$15-$C$14)/($D$15-$D$14)*(I2991-$D$14))/2</f>
      </c>
      <c r="W2991" s="7">
        <f>($B$22*I2991^4+$C$22*I2991^3+$D$22*I2991^2+$E$22*I2991+$F$22)/2</f>
      </c>
      <c r="X2991" s="7">
        <f>($W2991)*(T2991)</f>
      </c>
      <c r="Y2991" s="7">
        <f>($W2991)*(U2991)</f>
      </c>
      <c r="Z2991" s="7">
        <f>SQRT(X2991^2+Y2991^2)</f>
      </c>
      <c r="AA2991" s="7">
        <f>$K2991+$X2991</f>
      </c>
      <c r="AB2991" s="7">
        <f>$L2991+$Y2991</f>
      </c>
      <c r="AC2991" s="7">
        <f>$K2991-$X2991</f>
      </c>
      <c r="AD2991" s="7">
        <f>$L2991-$Y2991</f>
      </c>
      <c r="AE2991" s="7">
        <f>AA2991/39.3701</f>
      </c>
      <c r="AF2991" s="7">
        <f>AB2991/39.3701</f>
      </c>
      <c r="AG2991" s="7">
        <f>AC2991/39.3701</f>
      </c>
      <c r="AH2991" s="7">
        <f>AD2991/39.3701</f>
      </c>
      <c r="AI2991" s="1"/>
      <c r="AJ2991" s="1"/>
      <c r="AK2991" s="1"/>
      <c r="AL2991" s="1"/>
      <c r="AM2991" s="2"/>
      <c r="AN2991" s="1"/>
      <c r="AO2991" s="1"/>
      <c r="AP2991" s="1"/>
      <c r="AQ2991" s="1"/>
      <c r="AR2991" s="1"/>
      <c r="AS2991" s="1"/>
      <c r="AT2991" s="1"/>
      <c r="AU2991" s="1"/>
      <c r="AV2991" s="1"/>
      <c r="AW2991" s="1"/>
      <c r="AX2991" s="1"/>
      <c r="AY2991" s="1"/>
      <c r="AZ2991" s="1"/>
      <c r="BA2991" s="1"/>
      <c r="BB2991" s="1"/>
      <c r="BC2991" s="1"/>
      <c r="BD2991" s="1"/>
      <c r="BE2991" s="1"/>
    </row>
    <row x14ac:dyDescent="0.25" r="2992" customHeight="1" ht="18.75">
      <c r="A2992" s="1"/>
      <c r="B2992" s="2"/>
      <c r="C2992" s="2"/>
      <c r="D2992" s="2"/>
      <c r="E2992" s="2"/>
      <c r="F2992" s="2"/>
      <c r="G2992" s="1"/>
      <c r="H2992" s="1"/>
      <c r="I2992" s="7">
        <v>2.989</v>
      </c>
      <c r="J2992" s="7">
        <f>IF((I2992-ROUNDDOWN(I2992,0))=0, 0, (I2992-ROUNDDOWN(I2992,0)))</f>
      </c>
      <c r="K2992" s="7">
        <f>INDIRECT("C$"&amp;2+MIN(2,ROUNDDOWN(I2992,0))*3)*(-$J2992^3+3*$J2992^2-3*$J2992+1)+INDIRECT("C$"&amp;3+MIN(2,ROUNDDOWN(I2992,0))*3)*(3*$J2992^3-6*$J2992^2+3*$J2992)+INDIRECT("C$"&amp;4+MIN(2,ROUNDDOWN(I2992,0))*3)*(-3*$J2992^3+3*$J2992^2)+INDIRECT("C$"&amp;5+MIN(2,ROUNDDOWN(I2992,0))*3)*$J2992^3</f>
      </c>
      <c r="L2992" s="7">
        <f>INDIRECT("D$"&amp;2+MIN(2,ROUNDDOWN(I2992,0))*3)*(-$J2992^3+3*$J2992^2-3*$J2992+1)+INDIRECT("D$"&amp;3+MIN(2,ROUNDDOWN(I2992,0))*3)*(3*$J2992^3-6*$J2992^2+3*$J2992)+INDIRECT("D$"&amp;4+MIN(2,ROUNDDOWN(I2992,0))*3)*(-3*$J2992^3+3*$J2992^2)+INDIRECT("D$"&amp;5+MIN(2,ROUNDDOWN(I2992,0))*3)*$J2992^3</f>
      </c>
      <c r="M2992" s="7">
        <f>SQRT(K2992^2+L2992^2)</f>
      </c>
      <c r="N2992" s="7">
        <f>(K2993-K2991)</f>
      </c>
      <c r="O2992" s="7">
        <f>+(L2993-L2991)</f>
      </c>
      <c r="P2992" s="7">
        <f>SQRT(O2992^2+N2992^2)</f>
      </c>
      <c r="Q2992" s="7">
        <f>N2992/$P2992</f>
      </c>
      <c r="R2992" s="7">
        <f>O2992/$P2992</f>
      </c>
      <c r="S2992" s="8">
        <f>Q2992^2+R2992^2</f>
      </c>
      <c r="T2992" s="7">
        <f>-R2992</f>
      </c>
      <c r="U2992" s="7">
        <f>Q2992</f>
      </c>
      <c r="V2992" s="7">
        <f>($C$14+($C$15-$C$14)/($D$15-$D$14)*(I2992-$D$14))/2</f>
      </c>
      <c r="W2992" s="7">
        <f>($B$22*I2992^4+$C$22*I2992^3+$D$22*I2992^2+$E$22*I2992+$F$22)/2</f>
      </c>
      <c r="X2992" s="7">
        <f>($W2992)*(T2992)</f>
      </c>
      <c r="Y2992" s="7">
        <f>($W2992)*(U2992)</f>
      </c>
      <c r="Z2992" s="7">
        <f>SQRT(X2992^2+Y2992^2)</f>
      </c>
      <c r="AA2992" s="7">
        <f>$K2992+$X2992</f>
      </c>
      <c r="AB2992" s="7">
        <f>$L2992+$Y2992</f>
      </c>
      <c r="AC2992" s="7">
        <f>$K2992-$X2992</f>
      </c>
      <c r="AD2992" s="7">
        <f>$L2992-$Y2992</f>
      </c>
      <c r="AE2992" s="7">
        <f>AA2992/39.3701</f>
      </c>
      <c r="AF2992" s="7">
        <f>AB2992/39.3701</f>
      </c>
      <c r="AG2992" s="7">
        <f>AC2992/39.3701</f>
      </c>
      <c r="AH2992" s="7">
        <f>AD2992/39.3701</f>
      </c>
      <c r="AI2992" s="1"/>
      <c r="AJ2992" s="1"/>
      <c r="AK2992" s="1"/>
      <c r="AL2992" s="1"/>
      <c r="AM2992" s="2"/>
      <c r="AN2992" s="1"/>
      <c r="AO2992" s="1"/>
      <c r="AP2992" s="1"/>
      <c r="AQ2992" s="1"/>
      <c r="AR2992" s="1"/>
      <c r="AS2992" s="1"/>
      <c r="AT2992" s="1"/>
      <c r="AU2992" s="1"/>
      <c r="AV2992" s="1"/>
      <c r="AW2992" s="1"/>
      <c r="AX2992" s="1"/>
      <c r="AY2992" s="1"/>
      <c r="AZ2992" s="1"/>
      <c r="BA2992" s="1"/>
      <c r="BB2992" s="1"/>
      <c r="BC2992" s="1"/>
      <c r="BD2992" s="1"/>
      <c r="BE2992" s="1"/>
    </row>
    <row x14ac:dyDescent="0.25" r="2993" customHeight="1" ht="18.75">
      <c r="A2993" s="1"/>
      <c r="B2993" s="2"/>
      <c r="C2993" s="2"/>
      <c r="D2993" s="2"/>
      <c r="E2993" s="2"/>
      <c r="F2993" s="2"/>
      <c r="G2993" s="1"/>
      <c r="H2993" s="1"/>
      <c r="I2993" s="7">
        <v>2.99</v>
      </c>
      <c r="J2993" s="7">
        <f>IF((I2993-ROUNDDOWN(I2993,0))=0, 0, (I2993-ROUNDDOWN(I2993,0)))</f>
      </c>
      <c r="K2993" s="7">
        <f>INDIRECT("C$"&amp;2+MIN(2,ROUNDDOWN(I2993,0))*3)*(-$J2993^3+3*$J2993^2-3*$J2993+1)+INDIRECT("C$"&amp;3+MIN(2,ROUNDDOWN(I2993,0))*3)*(3*$J2993^3-6*$J2993^2+3*$J2993)+INDIRECT("C$"&amp;4+MIN(2,ROUNDDOWN(I2993,0))*3)*(-3*$J2993^3+3*$J2993^2)+INDIRECT("C$"&amp;5+MIN(2,ROUNDDOWN(I2993,0))*3)*$J2993^3</f>
      </c>
      <c r="L2993" s="7">
        <f>INDIRECT("D$"&amp;2+MIN(2,ROUNDDOWN(I2993,0))*3)*(-$J2993^3+3*$J2993^2-3*$J2993+1)+INDIRECT("D$"&amp;3+MIN(2,ROUNDDOWN(I2993,0))*3)*(3*$J2993^3-6*$J2993^2+3*$J2993)+INDIRECT("D$"&amp;4+MIN(2,ROUNDDOWN(I2993,0))*3)*(-3*$J2993^3+3*$J2993^2)+INDIRECT("D$"&amp;5+MIN(2,ROUNDDOWN(I2993,0))*3)*$J2993^3</f>
      </c>
      <c r="M2993" s="7">
        <f>SQRT(K2993^2+L2993^2)</f>
      </c>
      <c r="N2993" s="7">
        <f>(K2994-K2992)</f>
      </c>
      <c r="O2993" s="7">
        <f>+(L2994-L2992)</f>
      </c>
      <c r="P2993" s="7">
        <f>SQRT(O2993^2+N2993^2)</f>
      </c>
      <c r="Q2993" s="7">
        <f>N2993/$P2993</f>
      </c>
      <c r="R2993" s="7">
        <f>O2993/$P2993</f>
      </c>
      <c r="S2993" s="8">
        <f>Q2993^2+R2993^2</f>
      </c>
      <c r="T2993" s="7">
        <f>-R2993</f>
      </c>
      <c r="U2993" s="7">
        <f>Q2993</f>
      </c>
      <c r="V2993" s="7">
        <f>($C$14+($C$15-$C$14)/($D$15-$D$14)*(I2993-$D$14))/2</f>
      </c>
      <c r="W2993" s="7">
        <f>($B$22*I2993^4+$C$22*I2993^3+$D$22*I2993^2+$E$22*I2993+$F$22)/2</f>
      </c>
      <c r="X2993" s="7">
        <f>($W2993)*(T2993)</f>
      </c>
      <c r="Y2993" s="7">
        <f>($W2993)*(U2993)</f>
      </c>
      <c r="Z2993" s="7">
        <f>SQRT(X2993^2+Y2993^2)</f>
      </c>
      <c r="AA2993" s="7">
        <f>$K2993+$X2993</f>
      </c>
      <c r="AB2993" s="7">
        <f>$L2993+$Y2993</f>
      </c>
      <c r="AC2993" s="7">
        <f>$K2993-$X2993</f>
      </c>
      <c r="AD2993" s="7">
        <f>$L2993-$Y2993</f>
      </c>
      <c r="AE2993" s="7">
        <f>AA2993/39.3701</f>
      </c>
      <c r="AF2993" s="7">
        <f>AB2993/39.3701</f>
      </c>
      <c r="AG2993" s="7">
        <f>AC2993/39.3701</f>
      </c>
      <c r="AH2993" s="7">
        <f>AD2993/39.3701</f>
      </c>
      <c r="AI2993" s="1"/>
      <c r="AJ2993" s="1"/>
      <c r="AK2993" s="1"/>
      <c r="AL2993" s="1"/>
      <c r="AM2993" s="2"/>
      <c r="AN2993" s="1"/>
      <c r="AO2993" s="1"/>
      <c r="AP2993" s="1"/>
      <c r="AQ2993" s="1"/>
      <c r="AR2993" s="1"/>
      <c r="AS2993" s="1"/>
      <c r="AT2993" s="1"/>
      <c r="AU2993" s="1"/>
      <c r="AV2993" s="1"/>
      <c r="AW2993" s="1"/>
      <c r="AX2993" s="1"/>
      <c r="AY2993" s="1"/>
      <c r="AZ2993" s="1"/>
      <c r="BA2993" s="1"/>
      <c r="BB2993" s="1"/>
      <c r="BC2993" s="1"/>
      <c r="BD2993" s="1"/>
      <c r="BE2993" s="1"/>
    </row>
    <row x14ac:dyDescent="0.25" r="2994" customHeight="1" ht="18.75">
      <c r="A2994" s="1"/>
      <c r="B2994" s="2"/>
      <c r="C2994" s="2"/>
      <c r="D2994" s="2"/>
      <c r="E2994" s="2"/>
      <c r="F2994" s="2"/>
      <c r="G2994" s="1"/>
      <c r="H2994" s="1"/>
      <c r="I2994" s="7">
        <v>2.991</v>
      </c>
      <c r="J2994" s="7">
        <f>IF((I2994-ROUNDDOWN(I2994,0))=0, 0, (I2994-ROUNDDOWN(I2994,0)))</f>
      </c>
      <c r="K2994" s="7">
        <f>INDIRECT("C$"&amp;2+MIN(2,ROUNDDOWN(I2994,0))*3)*(-$J2994^3+3*$J2994^2-3*$J2994+1)+INDIRECT("C$"&amp;3+MIN(2,ROUNDDOWN(I2994,0))*3)*(3*$J2994^3-6*$J2994^2+3*$J2994)+INDIRECT("C$"&amp;4+MIN(2,ROUNDDOWN(I2994,0))*3)*(-3*$J2994^3+3*$J2994^2)+INDIRECT("C$"&amp;5+MIN(2,ROUNDDOWN(I2994,0))*3)*$J2994^3</f>
      </c>
      <c r="L2994" s="7">
        <f>INDIRECT("D$"&amp;2+MIN(2,ROUNDDOWN(I2994,0))*3)*(-$J2994^3+3*$J2994^2-3*$J2994+1)+INDIRECT("D$"&amp;3+MIN(2,ROUNDDOWN(I2994,0))*3)*(3*$J2994^3-6*$J2994^2+3*$J2994)+INDIRECT("D$"&amp;4+MIN(2,ROUNDDOWN(I2994,0))*3)*(-3*$J2994^3+3*$J2994^2)+INDIRECT("D$"&amp;5+MIN(2,ROUNDDOWN(I2994,0))*3)*$J2994^3</f>
      </c>
      <c r="M2994" s="7">
        <f>SQRT(K2994^2+L2994^2)</f>
      </c>
      <c r="N2994" s="7">
        <f>(K2995-K2993)</f>
      </c>
      <c r="O2994" s="7">
        <f>+(L2995-L2993)</f>
      </c>
      <c r="P2994" s="7">
        <f>SQRT(O2994^2+N2994^2)</f>
      </c>
      <c r="Q2994" s="7">
        <f>N2994/$P2994</f>
      </c>
      <c r="R2994" s="7">
        <f>O2994/$P2994</f>
      </c>
      <c r="S2994" s="7">
        <f>Q2994^2+R2994^2</f>
      </c>
      <c r="T2994" s="7">
        <f>-R2994</f>
      </c>
      <c r="U2994" s="7">
        <f>Q2994</f>
      </c>
      <c r="V2994" s="7">
        <f>($C$14+($C$15-$C$14)/($D$15-$D$14)*(I2994-$D$14))/2</f>
      </c>
      <c r="W2994" s="7">
        <f>($B$22*I2994^4+$C$22*I2994^3+$D$22*I2994^2+$E$22*I2994+$F$22)/2</f>
      </c>
      <c r="X2994" s="7">
        <f>($W2994)*(T2994)</f>
      </c>
      <c r="Y2994" s="7">
        <f>($W2994)*(U2994)</f>
      </c>
      <c r="Z2994" s="7">
        <f>SQRT(X2994^2+Y2994^2)</f>
      </c>
      <c r="AA2994" s="7">
        <f>$K2994+$X2994</f>
      </c>
      <c r="AB2994" s="7">
        <f>$L2994+$Y2994</f>
      </c>
      <c r="AC2994" s="7">
        <f>$K2994-$X2994</f>
      </c>
      <c r="AD2994" s="7">
        <f>$L2994-$Y2994</f>
      </c>
      <c r="AE2994" s="7">
        <f>AA2994/39.3701</f>
      </c>
      <c r="AF2994" s="7">
        <f>AB2994/39.3701</f>
      </c>
      <c r="AG2994" s="7">
        <f>AC2994/39.3701</f>
      </c>
      <c r="AH2994" s="7">
        <f>AD2994/39.3701</f>
      </c>
      <c r="AI2994" s="1"/>
      <c r="AJ2994" s="1"/>
      <c r="AK2994" s="1"/>
      <c r="AL2994" s="1"/>
      <c r="AM2994" s="2"/>
      <c r="AN2994" s="1"/>
      <c r="AO2994" s="1"/>
      <c r="AP2994" s="1"/>
      <c r="AQ2994" s="1"/>
      <c r="AR2994" s="1"/>
      <c r="AS2994" s="1"/>
      <c r="AT2994" s="1"/>
      <c r="AU2994" s="1"/>
      <c r="AV2994" s="1"/>
      <c r="AW2994" s="1"/>
      <c r="AX2994" s="1"/>
      <c r="AY2994" s="1"/>
      <c r="AZ2994" s="1"/>
      <c r="BA2994" s="1"/>
      <c r="BB2994" s="1"/>
      <c r="BC2994" s="1"/>
      <c r="BD2994" s="1"/>
      <c r="BE2994" s="1"/>
    </row>
    <row x14ac:dyDescent="0.25" r="2995" customHeight="1" ht="18.75">
      <c r="A2995" s="1"/>
      <c r="B2995" s="2"/>
      <c r="C2995" s="2"/>
      <c r="D2995" s="2"/>
      <c r="E2995" s="2"/>
      <c r="F2995" s="2"/>
      <c r="G2995" s="1"/>
      <c r="H2995" s="1"/>
      <c r="I2995" s="7">
        <v>2.992</v>
      </c>
      <c r="J2995" s="7">
        <f>IF((I2995-ROUNDDOWN(I2995,0))=0, 0, (I2995-ROUNDDOWN(I2995,0)))</f>
      </c>
      <c r="K2995" s="7">
        <f>INDIRECT("C$"&amp;2+MIN(2,ROUNDDOWN(I2995,0))*3)*(-$J2995^3+3*$J2995^2-3*$J2995+1)+INDIRECT("C$"&amp;3+MIN(2,ROUNDDOWN(I2995,0))*3)*(3*$J2995^3-6*$J2995^2+3*$J2995)+INDIRECT("C$"&amp;4+MIN(2,ROUNDDOWN(I2995,0))*3)*(-3*$J2995^3+3*$J2995^2)+INDIRECT("C$"&amp;5+MIN(2,ROUNDDOWN(I2995,0))*3)*$J2995^3</f>
      </c>
      <c r="L2995" s="7">
        <f>INDIRECT("D$"&amp;2+MIN(2,ROUNDDOWN(I2995,0))*3)*(-$J2995^3+3*$J2995^2-3*$J2995+1)+INDIRECT("D$"&amp;3+MIN(2,ROUNDDOWN(I2995,0))*3)*(3*$J2995^3-6*$J2995^2+3*$J2995)+INDIRECT("D$"&amp;4+MIN(2,ROUNDDOWN(I2995,0))*3)*(-3*$J2995^3+3*$J2995^2)+INDIRECT("D$"&amp;5+MIN(2,ROUNDDOWN(I2995,0))*3)*$J2995^3</f>
      </c>
      <c r="M2995" s="7">
        <f>SQRT(K2995^2+L2995^2)</f>
      </c>
      <c r="N2995" s="7">
        <f>(K2996-K2994)</f>
      </c>
      <c r="O2995" s="7">
        <f>+(L2996-L2994)</f>
      </c>
      <c r="P2995" s="7">
        <f>SQRT(O2995^2+N2995^2)</f>
      </c>
      <c r="Q2995" s="7">
        <f>N2995/$P2995</f>
      </c>
      <c r="R2995" s="7">
        <f>O2995/$P2995</f>
      </c>
      <c r="S2995" s="8">
        <f>Q2995^2+R2995^2</f>
      </c>
      <c r="T2995" s="7">
        <f>-R2995</f>
      </c>
      <c r="U2995" s="7">
        <f>Q2995</f>
      </c>
      <c r="V2995" s="7">
        <f>($C$14+($C$15-$C$14)/($D$15-$D$14)*(I2995-$D$14))/2</f>
      </c>
      <c r="W2995" s="7">
        <f>($B$22*I2995^4+$C$22*I2995^3+$D$22*I2995^2+$E$22*I2995+$F$22)/2</f>
      </c>
      <c r="X2995" s="7">
        <f>($W2995)*(T2995)</f>
      </c>
      <c r="Y2995" s="7">
        <f>($W2995)*(U2995)</f>
      </c>
      <c r="Z2995" s="7">
        <f>SQRT(X2995^2+Y2995^2)</f>
      </c>
      <c r="AA2995" s="7">
        <f>$K2995+$X2995</f>
      </c>
      <c r="AB2995" s="7">
        <f>$L2995+$Y2995</f>
      </c>
      <c r="AC2995" s="7">
        <f>$K2995-$X2995</f>
      </c>
      <c r="AD2995" s="7">
        <f>$L2995-$Y2995</f>
      </c>
      <c r="AE2995" s="7">
        <f>AA2995/39.3701</f>
      </c>
      <c r="AF2995" s="7">
        <f>AB2995/39.3701</f>
      </c>
      <c r="AG2995" s="7">
        <f>AC2995/39.3701</f>
      </c>
      <c r="AH2995" s="7">
        <f>AD2995/39.3701</f>
      </c>
      <c r="AI2995" s="1"/>
      <c r="AJ2995" s="1"/>
      <c r="AK2995" s="1"/>
      <c r="AL2995" s="1"/>
      <c r="AM2995" s="2"/>
      <c r="AN2995" s="1"/>
      <c r="AO2995" s="1"/>
      <c r="AP2995" s="1"/>
      <c r="AQ2995" s="1"/>
      <c r="AR2995" s="1"/>
      <c r="AS2995" s="1"/>
      <c r="AT2995" s="1"/>
      <c r="AU2995" s="1"/>
      <c r="AV2995" s="1"/>
      <c r="AW2995" s="1"/>
      <c r="AX2995" s="1"/>
      <c r="AY2995" s="1"/>
      <c r="AZ2995" s="1"/>
      <c r="BA2995" s="1"/>
      <c r="BB2995" s="1"/>
      <c r="BC2995" s="1"/>
      <c r="BD2995" s="1"/>
      <c r="BE2995" s="1"/>
    </row>
    <row x14ac:dyDescent="0.25" r="2996" customHeight="1" ht="18.75">
      <c r="A2996" s="1"/>
      <c r="B2996" s="2"/>
      <c r="C2996" s="2"/>
      <c r="D2996" s="2"/>
      <c r="E2996" s="2"/>
      <c r="F2996" s="2"/>
      <c r="G2996" s="1"/>
      <c r="H2996" s="1"/>
      <c r="I2996" s="7">
        <v>2.993</v>
      </c>
      <c r="J2996" s="7">
        <f>IF((I2996-ROUNDDOWN(I2996,0))=0, 0, (I2996-ROUNDDOWN(I2996,0)))</f>
      </c>
      <c r="K2996" s="7">
        <f>INDIRECT("C$"&amp;2+MIN(2,ROUNDDOWN(I2996,0))*3)*(-$J2996^3+3*$J2996^2-3*$J2996+1)+INDIRECT("C$"&amp;3+MIN(2,ROUNDDOWN(I2996,0))*3)*(3*$J2996^3-6*$J2996^2+3*$J2996)+INDIRECT("C$"&amp;4+MIN(2,ROUNDDOWN(I2996,0))*3)*(-3*$J2996^3+3*$J2996^2)+INDIRECT("C$"&amp;5+MIN(2,ROUNDDOWN(I2996,0))*3)*$J2996^3</f>
      </c>
      <c r="L2996" s="7">
        <f>INDIRECT("D$"&amp;2+MIN(2,ROUNDDOWN(I2996,0))*3)*(-$J2996^3+3*$J2996^2-3*$J2996+1)+INDIRECT("D$"&amp;3+MIN(2,ROUNDDOWN(I2996,0))*3)*(3*$J2996^3-6*$J2996^2+3*$J2996)+INDIRECT("D$"&amp;4+MIN(2,ROUNDDOWN(I2996,0))*3)*(-3*$J2996^3+3*$J2996^2)+INDIRECT("D$"&amp;5+MIN(2,ROUNDDOWN(I2996,0))*3)*$J2996^3</f>
      </c>
      <c r="M2996" s="7">
        <f>SQRT(K2996^2+L2996^2)</f>
      </c>
      <c r="N2996" s="7">
        <f>(K2997-K2995)</f>
      </c>
      <c r="O2996" s="7">
        <f>+(L2997-L2995)</f>
      </c>
      <c r="P2996" s="7">
        <f>SQRT(O2996^2+N2996^2)</f>
      </c>
      <c r="Q2996" s="7">
        <f>N2996/$P2996</f>
      </c>
      <c r="R2996" s="7">
        <f>O2996/$P2996</f>
      </c>
      <c r="S2996" s="8">
        <f>Q2996^2+R2996^2</f>
      </c>
      <c r="T2996" s="7">
        <f>-R2996</f>
      </c>
      <c r="U2996" s="7">
        <f>Q2996</f>
      </c>
      <c r="V2996" s="7">
        <f>($C$14+($C$15-$C$14)/($D$15-$D$14)*(I2996-$D$14))/2</f>
      </c>
      <c r="W2996" s="7">
        <f>($B$22*I2996^4+$C$22*I2996^3+$D$22*I2996^2+$E$22*I2996+$F$22)/2</f>
      </c>
      <c r="X2996" s="7">
        <f>($W2996)*(T2996)</f>
      </c>
      <c r="Y2996" s="7">
        <f>($W2996)*(U2996)</f>
      </c>
      <c r="Z2996" s="7">
        <f>SQRT(X2996^2+Y2996^2)</f>
      </c>
      <c r="AA2996" s="7">
        <f>$K2996+$X2996</f>
      </c>
      <c r="AB2996" s="7">
        <f>$L2996+$Y2996</f>
      </c>
      <c r="AC2996" s="7">
        <f>$K2996-$X2996</f>
      </c>
      <c r="AD2996" s="7">
        <f>$L2996-$Y2996</f>
      </c>
      <c r="AE2996" s="7">
        <f>AA2996/39.3701</f>
      </c>
      <c r="AF2996" s="7">
        <f>AB2996/39.3701</f>
      </c>
      <c r="AG2996" s="7">
        <f>AC2996/39.3701</f>
      </c>
      <c r="AH2996" s="7">
        <f>AD2996/39.3701</f>
      </c>
      <c r="AI2996" s="1"/>
      <c r="AJ2996" s="1"/>
      <c r="AK2996" s="1"/>
      <c r="AL2996" s="1"/>
      <c r="AM2996" s="2"/>
      <c r="AN2996" s="1"/>
      <c r="AO2996" s="1"/>
      <c r="AP2996" s="1"/>
      <c r="AQ2996" s="1"/>
      <c r="AR2996" s="1"/>
      <c r="AS2996" s="1"/>
      <c r="AT2996" s="1"/>
      <c r="AU2996" s="1"/>
      <c r="AV2996" s="1"/>
      <c r="AW2996" s="1"/>
      <c r="AX2996" s="1"/>
      <c r="AY2996" s="1"/>
      <c r="AZ2996" s="1"/>
      <c r="BA2996" s="1"/>
      <c r="BB2996" s="1"/>
      <c r="BC2996" s="1"/>
      <c r="BD2996" s="1"/>
      <c r="BE2996" s="1"/>
    </row>
    <row x14ac:dyDescent="0.25" r="2997" customHeight="1" ht="18.75">
      <c r="A2997" s="1"/>
      <c r="B2997" s="2"/>
      <c r="C2997" s="2"/>
      <c r="D2997" s="2"/>
      <c r="E2997" s="2"/>
      <c r="F2997" s="2"/>
      <c r="G2997" s="1"/>
      <c r="H2997" s="1"/>
      <c r="I2997" s="7">
        <v>2.994</v>
      </c>
      <c r="J2997" s="7">
        <f>IF((I2997-ROUNDDOWN(I2997,0))=0, 0, (I2997-ROUNDDOWN(I2997,0)))</f>
      </c>
      <c r="K2997" s="7">
        <f>INDIRECT("C$"&amp;2+MIN(2,ROUNDDOWN(I2997,0))*3)*(-$J2997^3+3*$J2997^2-3*$J2997+1)+INDIRECT("C$"&amp;3+MIN(2,ROUNDDOWN(I2997,0))*3)*(3*$J2997^3-6*$J2997^2+3*$J2997)+INDIRECT("C$"&amp;4+MIN(2,ROUNDDOWN(I2997,0))*3)*(-3*$J2997^3+3*$J2997^2)+INDIRECT("C$"&amp;5+MIN(2,ROUNDDOWN(I2997,0))*3)*$J2997^3</f>
      </c>
      <c r="L2997" s="7">
        <f>INDIRECT("D$"&amp;2+MIN(2,ROUNDDOWN(I2997,0))*3)*(-$J2997^3+3*$J2997^2-3*$J2997+1)+INDIRECT("D$"&amp;3+MIN(2,ROUNDDOWN(I2997,0))*3)*(3*$J2997^3-6*$J2997^2+3*$J2997)+INDIRECT("D$"&amp;4+MIN(2,ROUNDDOWN(I2997,0))*3)*(-3*$J2997^3+3*$J2997^2)+INDIRECT("D$"&amp;5+MIN(2,ROUNDDOWN(I2997,0))*3)*$J2997^3</f>
      </c>
      <c r="M2997" s="7">
        <f>SQRT(K2997^2+L2997^2)</f>
      </c>
      <c r="N2997" s="7">
        <f>(K2998-K2996)</f>
      </c>
      <c r="O2997" s="7">
        <f>+(L2998-L2996)</f>
      </c>
      <c r="P2997" s="7">
        <f>SQRT(O2997^2+N2997^2)</f>
      </c>
      <c r="Q2997" s="7">
        <f>N2997/$P2997</f>
      </c>
      <c r="R2997" s="7">
        <f>O2997/$P2997</f>
      </c>
      <c r="S2997" s="7">
        <f>Q2997^2+R2997^2</f>
      </c>
      <c r="T2997" s="7">
        <f>-R2997</f>
      </c>
      <c r="U2997" s="7">
        <f>Q2997</f>
      </c>
      <c r="V2997" s="7">
        <f>($C$14+($C$15-$C$14)/($D$15-$D$14)*(I2997-$D$14))/2</f>
      </c>
      <c r="W2997" s="7">
        <f>($B$22*I2997^4+$C$22*I2997^3+$D$22*I2997^2+$E$22*I2997+$F$22)/2</f>
      </c>
      <c r="X2997" s="7">
        <f>($W2997)*(T2997)</f>
      </c>
      <c r="Y2997" s="7">
        <f>($W2997)*(U2997)</f>
      </c>
      <c r="Z2997" s="7">
        <f>SQRT(X2997^2+Y2997^2)</f>
      </c>
      <c r="AA2997" s="7">
        <f>$K2997+$X2997</f>
      </c>
      <c r="AB2997" s="7">
        <f>$L2997+$Y2997</f>
      </c>
      <c r="AC2997" s="7">
        <f>$K2997-$X2997</f>
      </c>
      <c r="AD2997" s="7">
        <f>$L2997-$Y2997</f>
      </c>
      <c r="AE2997" s="7">
        <f>AA2997/39.3701</f>
      </c>
      <c r="AF2997" s="7">
        <f>AB2997/39.3701</f>
      </c>
      <c r="AG2997" s="7">
        <f>AC2997/39.3701</f>
      </c>
      <c r="AH2997" s="7">
        <f>AD2997/39.3701</f>
      </c>
      <c r="AI2997" s="1"/>
      <c r="AJ2997" s="1"/>
      <c r="AK2997" s="1"/>
      <c r="AL2997" s="1"/>
      <c r="AM2997" s="2"/>
      <c r="AN2997" s="1"/>
      <c r="AO2997" s="1"/>
      <c r="AP2997" s="1"/>
      <c r="AQ2997" s="1"/>
      <c r="AR2997" s="1"/>
      <c r="AS2997" s="1"/>
      <c r="AT2997" s="1"/>
      <c r="AU2997" s="1"/>
      <c r="AV2997" s="1"/>
      <c r="AW2997" s="1"/>
      <c r="AX2997" s="1"/>
      <c r="AY2997" s="1"/>
      <c r="AZ2997" s="1"/>
      <c r="BA2997" s="1"/>
      <c r="BB2997" s="1"/>
      <c r="BC2997" s="1"/>
      <c r="BD2997" s="1"/>
      <c r="BE2997" s="1"/>
    </row>
    <row x14ac:dyDescent="0.25" r="2998" customHeight="1" ht="18.75">
      <c r="A2998" s="1"/>
      <c r="B2998" s="2"/>
      <c r="C2998" s="2"/>
      <c r="D2998" s="2"/>
      <c r="E2998" s="2"/>
      <c r="F2998" s="2"/>
      <c r="G2998" s="1"/>
      <c r="H2998" s="1"/>
      <c r="I2998" s="7">
        <v>2.995</v>
      </c>
      <c r="J2998" s="7">
        <f>IF((I2998-ROUNDDOWN(I2998,0))=0, 0, (I2998-ROUNDDOWN(I2998,0)))</f>
      </c>
      <c r="K2998" s="7">
        <f>INDIRECT("C$"&amp;2+MIN(2,ROUNDDOWN(I2998,0))*3)*(-$J2998^3+3*$J2998^2-3*$J2998+1)+INDIRECT("C$"&amp;3+MIN(2,ROUNDDOWN(I2998,0))*3)*(3*$J2998^3-6*$J2998^2+3*$J2998)+INDIRECT("C$"&amp;4+MIN(2,ROUNDDOWN(I2998,0))*3)*(-3*$J2998^3+3*$J2998^2)+INDIRECT("C$"&amp;5+MIN(2,ROUNDDOWN(I2998,0))*3)*$J2998^3</f>
      </c>
      <c r="L2998" s="7">
        <f>INDIRECT("D$"&amp;2+MIN(2,ROUNDDOWN(I2998,0))*3)*(-$J2998^3+3*$J2998^2-3*$J2998+1)+INDIRECT("D$"&amp;3+MIN(2,ROUNDDOWN(I2998,0))*3)*(3*$J2998^3-6*$J2998^2+3*$J2998)+INDIRECT("D$"&amp;4+MIN(2,ROUNDDOWN(I2998,0))*3)*(-3*$J2998^3+3*$J2998^2)+INDIRECT("D$"&amp;5+MIN(2,ROUNDDOWN(I2998,0))*3)*$J2998^3</f>
      </c>
      <c r="M2998" s="7">
        <f>SQRT(K2998^2+L2998^2)</f>
      </c>
      <c r="N2998" s="7">
        <f>(K2999-K2997)</f>
      </c>
      <c r="O2998" s="7">
        <f>+(L2999-L2997)</f>
      </c>
      <c r="P2998" s="7">
        <f>SQRT(O2998^2+N2998^2)</f>
      </c>
      <c r="Q2998" s="7">
        <f>N2998/$P2998</f>
      </c>
      <c r="R2998" s="7">
        <f>O2998/$P2998</f>
      </c>
      <c r="S2998" s="7">
        <f>Q2998^2+R2998^2</f>
      </c>
      <c r="T2998" s="7">
        <f>-R2998</f>
      </c>
      <c r="U2998" s="7">
        <f>Q2998</f>
      </c>
      <c r="V2998" s="7">
        <f>($C$14+($C$15-$C$14)/($D$15-$D$14)*(I2998-$D$14))/2</f>
      </c>
      <c r="W2998" s="7">
        <f>($B$22*I2998^4+$C$22*I2998^3+$D$22*I2998^2+$E$22*I2998+$F$22)/2</f>
      </c>
      <c r="X2998" s="7">
        <f>($W2998)*(T2998)</f>
      </c>
      <c r="Y2998" s="7">
        <f>($W2998)*(U2998)</f>
      </c>
      <c r="Z2998" s="7">
        <f>SQRT(X2998^2+Y2998^2)</f>
      </c>
      <c r="AA2998" s="7">
        <f>$K2998+$X2998</f>
      </c>
      <c r="AB2998" s="7">
        <f>$L2998+$Y2998</f>
      </c>
      <c r="AC2998" s="7">
        <f>$K2998-$X2998</f>
      </c>
      <c r="AD2998" s="7">
        <f>$L2998-$Y2998</f>
      </c>
      <c r="AE2998" s="7">
        <f>AA2998/39.3701</f>
      </c>
      <c r="AF2998" s="7">
        <f>AB2998/39.3701</f>
      </c>
      <c r="AG2998" s="7">
        <f>AC2998/39.3701</f>
      </c>
      <c r="AH2998" s="7">
        <f>AD2998/39.3701</f>
      </c>
      <c r="AI2998" s="1"/>
      <c r="AJ2998" s="1"/>
      <c r="AK2998" s="1"/>
      <c r="AL2998" s="1"/>
      <c r="AM2998" s="2"/>
      <c r="AN2998" s="1"/>
      <c r="AO2998" s="1"/>
      <c r="AP2998" s="1"/>
      <c r="AQ2998" s="1"/>
      <c r="AR2998" s="1"/>
      <c r="AS2998" s="1"/>
      <c r="AT2998" s="1"/>
      <c r="AU2998" s="1"/>
      <c r="AV2998" s="1"/>
      <c r="AW2998" s="1"/>
      <c r="AX2998" s="1"/>
      <c r="AY2998" s="1"/>
      <c r="AZ2998" s="1"/>
      <c r="BA2998" s="1"/>
      <c r="BB2998" s="1"/>
      <c r="BC2998" s="1"/>
      <c r="BD2998" s="1"/>
      <c r="BE2998" s="1"/>
    </row>
    <row x14ac:dyDescent="0.25" r="2999" customHeight="1" ht="18.75">
      <c r="A2999" s="1"/>
      <c r="B2999" s="2"/>
      <c r="C2999" s="2"/>
      <c r="D2999" s="2"/>
      <c r="E2999" s="2"/>
      <c r="F2999" s="2"/>
      <c r="G2999" s="1"/>
      <c r="H2999" s="1"/>
      <c r="I2999" s="7">
        <v>2.996</v>
      </c>
      <c r="J2999" s="7">
        <f>IF((I2999-ROUNDDOWN(I2999,0))=0, 0, (I2999-ROUNDDOWN(I2999,0)))</f>
      </c>
      <c r="K2999" s="7">
        <f>INDIRECT("C$"&amp;2+MIN(2,ROUNDDOWN(I2999,0))*3)*(-$J2999^3+3*$J2999^2-3*$J2999+1)+INDIRECT("C$"&amp;3+MIN(2,ROUNDDOWN(I2999,0))*3)*(3*$J2999^3-6*$J2999^2+3*$J2999)+INDIRECT("C$"&amp;4+MIN(2,ROUNDDOWN(I2999,0))*3)*(-3*$J2999^3+3*$J2999^2)+INDIRECT("C$"&amp;5+MIN(2,ROUNDDOWN(I2999,0))*3)*$J2999^3</f>
      </c>
      <c r="L2999" s="7">
        <f>INDIRECT("D$"&amp;2+MIN(2,ROUNDDOWN(I2999,0))*3)*(-$J2999^3+3*$J2999^2-3*$J2999+1)+INDIRECT("D$"&amp;3+MIN(2,ROUNDDOWN(I2999,0))*3)*(3*$J2999^3-6*$J2999^2+3*$J2999)+INDIRECT("D$"&amp;4+MIN(2,ROUNDDOWN(I2999,0))*3)*(-3*$J2999^3+3*$J2999^2)+INDIRECT("D$"&amp;5+MIN(2,ROUNDDOWN(I2999,0))*3)*$J2999^3</f>
      </c>
      <c r="M2999" s="7">
        <f>SQRT(K2999^2+L2999^2)</f>
      </c>
      <c r="N2999" s="7">
        <f>(K3000-K2998)</f>
      </c>
      <c r="O2999" s="7">
        <f>+(L3000-L2998)</f>
      </c>
      <c r="P2999" s="7">
        <f>SQRT(O2999^2+N2999^2)</f>
      </c>
      <c r="Q2999" s="7">
        <f>N2999/$P2999</f>
      </c>
      <c r="R2999" s="7">
        <f>O2999/$P2999</f>
      </c>
      <c r="S2999" s="8">
        <f>Q2999^2+R2999^2</f>
      </c>
      <c r="T2999" s="7">
        <f>-R2999</f>
      </c>
      <c r="U2999" s="7">
        <f>Q2999</f>
      </c>
      <c r="V2999" s="7">
        <f>($C$14+($C$15-$C$14)/($D$15-$D$14)*(I2999-$D$14))/2</f>
      </c>
      <c r="W2999" s="7">
        <f>($B$22*I2999^4+$C$22*I2999^3+$D$22*I2999^2+$E$22*I2999+$F$22)/2</f>
      </c>
      <c r="X2999" s="7">
        <f>($W2999)*(T2999)</f>
      </c>
      <c r="Y2999" s="7">
        <f>($W2999)*(U2999)</f>
      </c>
      <c r="Z2999" s="7">
        <f>SQRT(X2999^2+Y2999^2)</f>
      </c>
      <c r="AA2999" s="7">
        <f>$K2999+$X2999</f>
      </c>
      <c r="AB2999" s="7">
        <f>$L2999+$Y2999</f>
      </c>
      <c r="AC2999" s="7">
        <f>$K2999-$X2999</f>
      </c>
      <c r="AD2999" s="7">
        <f>$L2999-$Y2999</f>
      </c>
      <c r="AE2999" s="7">
        <f>AA2999/39.3701</f>
      </c>
      <c r="AF2999" s="7">
        <f>AB2999/39.3701</f>
      </c>
      <c r="AG2999" s="7">
        <f>AC2999/39.3701</f>
      </c>
      <c r="AH2999" s="7">
        <f>AD2999/39.3701</f>
      </c>
      <c r="AI2999" s="1"/>
      <c r="AJ2999" s="1"/>
      <c r="AK2999" s="1"/>
      <c r="AL2999" s="1"/>
      <c r="AM2999" s="2"/>
      <c r="AN2999" s="1"/>
      <c r="AO2999" s="1"/>
      <c r="AP2999" s="1"/>
      <c r="AQ2999" s="1"/>
      <c r="AR2999" s="1"/>
      <c r="AS2999" s="1"/>
      <c r="AT2999" s="1"/>
      <c r="AU2999" s="1"/>
      <c r="AV2999" s="1"/>
      <c r="AW2999" s="1"/>
      <c r="AX2999" s="1"/>
      <c r="AY2999" s="1"/>
      <c r="AZ2999" s="1"/>
      <c r="BA2999" s="1"/>
      <c r="BB2999" s="1"/>
      <c r="BC2999" s="1"/>
      <c r="BD2999" s="1"/>
      <c r="BE2999" s="1"/>
    </row>
    <row x14ac:dyDescent="0.25" r="3000" customHeight="1" ht="18.75">
      <c r="A3000" s="1"/>
      <c r="B3000" s="2"/>
      <c r="C3000" s="2"/>
      <c r="D3000" s="2"/>
      <c r="E3000" s="2"/>
      <c r="F3000" s="2"/>
      <c r="G3000" s="1"/>
      <c r="H3000" s="1"/>
      <c r="I3000" s="7">
        <v>2.997</v>
      </c>
      <c r="J3000" s="7">
        <f>IF((I3000-ROUNDDOWN(I3000,0))=0, 0, (I3000-ROUNDDOWN(I3000,0)))</f>
      </c>
      <c r="K3000" s="7">
        <f>INDIRECT("C$"&amp;2+MIN(2,ROUNDDOWN(I3000,0))*3)*(-$J3000^3+3*$J3000^2-3*$J3000+1)+INDIRECT("C$"&amp;3+MIN(2,ROUNDDOWN(I3000,0))*3)*(3*$J3000^3-6*$J3000^2+3*$J3000)+INDIRECT("C$"&amp;4+MIN(2,ROUNDDOWN(I3000,0))*3)*(-3*$J3000^3+3*$J3000^2)+INDIRECT("C$"&amp;5+MIN(2,ROUNDDOWN(I3000,0))*3)*$J3000^3</f>
      </c>
      <c r="L3000" s="7">
        <f>INDIRECT("D$"&amp;2+MIN(2,ROUNDDOWN(I3000,0))*3)*(-$J3000^3+3*$J3000^2-3*$J3000+1)+INDIRECT("D$"&amp;3+MIN(2,ROUNDDOWN(I3000,0))*3)*(3*$J3000^3-6*$J3000^2+3*$J3000)+INDIRECT("D$"&amp;4+MIN(2,ROUNDDOWN(I3000,0))*3)*(-3*$J3000^3+3*$J3000^2)+INDIRECT("D$"&amp;5+MIN(2,ROUNDDOWN(I3000,0))*3)*$J3000^3</f>
      </c>
      <c r="M3000" s="7">
        <f>SQRT(K3000^2+L3000^2)</f>
      </c>
      <c r="N3000" s="7">
        <f>(K3001-K2999)</f>
      </c>
      <c r="O3000" s="7">
        <f>+(L3001-L2999)</f>
      </c>
      <c r="P3000" s="7">
        <f>SQRT(O3000^2+N3000^2)</f>
      </c>
      <c r="Q3000" s="7">
        <f>N3000/$P3000</f>
      </c>
      <c r="R3000" s="7">
        <f>O3000/$P3000</f>
      </c>
      <c r="S3000" s="8">
        <f>Q3000^2+R3000^2</f>
      </c>
      <c r="T3000" s="7">
        <f>-R3000</f>
      </c>
      <c r="U3000" s="7">
        <f>Q3000</f>
      </c>
      <c r="V3000" s="7">
        <f>($C$14+($C$15-$C$14)/($D$15-$D$14)*(I3000-$D$14))/2</f>
      </c>
      <c r="W3000" s="7">
        <f>($B$22*I3000^4+$C$22*I3000^3+$D$22*I3000^2+$E$22*I3000+$F$22)/2</f>
      </c>
      <c r="X3000" s="7">
        <f>($W3000)*(T3000)</f>
      </c>
      <c r="Y3000" s="7">
        <f>($W3000)*(U3000)</f>
      </c>
      <c r="Z3000" s="7">
        <f>SQRT(X3000^2+Y3000^2)</f>
      </c>
      <c r="AA3000" s="7">
        <f>$K3000+$X3000</f>
      </c>
      <c r="AB3000" s="7">
        <f>$L3000+$Y3000</f>
      </c>
      <c r="AC3000" s="7">
        <f>$K3000-$X3000</f>
      </c>
      <c r="AD3000" s="7">
        <f>$L3000-$Y3000</f>
      </c>
      <c r="AE3000" s="7">
        <f>AA3000/39.3701</f>
      </c>
      <c r="AF3000" s="7">
        <f>AB3000/39.3701</f>
      </c>
      <c r="AG3000" s="7">
        <f>AC3000/39.3701</f>
      </c>
      <c r="AH3000" s="7">
        <f>AD3000/39.3701</f>
      </c>
      <c r="AI3000" s="1"/>
      <c r="AJ3000" s="1"/>
      <c r="AK3000" s="1"/>
      <c r="AL3000" s="1"/>
      <c r="AM3000" s="2"/>
      <c r="AN3000" s="1"/>
      <c r="AO3000" s="1"/>
      <c r="AP3000" s="1"/>
      <c r="AQ3000" s="1"/>
      <c r="AR3000" s="1"/>
      <c r="AS3000" s="1"/>
      <c r="AT3000" s="1"/>
      <c r="AU3000" s="1"/>
      <c r="AV3000" s="1"/>
      <c r="AW3000" s="1"/>
      <c r="AX3000" s="1"/>
      <c r="AY3000" s="1"/>
      <c r="AZ3000" s="1"/>
      <c r="BA3000" s="1"/>
      <c r="BB3000" s="1"/>
      <c r="BC3000" s="1"/>
      <c r="BD3000" s="1"/>
      <c r="BE3000" s="1"/>
    </row>
    <row x14ac:dyDescent="0.25" r="3001" customHeight="1" ht="18.75">
      <c r="A3001" s="1"/>
      <c r="B3001" s="2"/>
      <c r="C3001" s="2"/>
      <c r="D3001" s="2"/>
      <c r="E3001" s="2"/>
      <c r="F3001" s="2"/>
      <c r="G3001" s="1"/>
      <c r="H3001" s="1"/>
      <c r="I3001" s="7">
        <v>2.998</v>
      </c>
      <c r="J3001" s="7">
        <f>IF((I3001-ROUNDDOWN(I3001,0))=0, 0, (I3001-ROUNDDOWN(I3001,0)))</f>
      </c>
      <c r="K3001" s="7">
        <f>INDIRECT("C$"&amp;2+MIN(2,ROUNDDOWN(I3001,0))*3)*(-$J3001^3+3*$J3001^2-3*$J3001+1)+INDIRECT("C$"&amp;3+MIN(2,ROUNDDOWN(I3001,0))*3)*(3*$J3001^3-6*$J3001^2+3*$J3001)+INDIRECT("C$"&amp;4+MIN(2,ROUNDDOWN(I3001,0))*3)*(-3*$J3001^3+3*$J3001^2)+INDIRECT("C$"&amp;5+MIN(2,ROUNDDOWN(I3001,0))*3)*$J3001^3</f>
      </c>
      <c r="L3001" s="7">
        <f>INDIRECT("D$"&amp;2+MIN(2,ROUNDDOWN(I3001,0))*3)*(-$J3001^3+3*$J3001^2-3*$J3001+1)+INDIRECT("D$"&amp;3+MIN(2,ROUNDDOWN(I3001,0))*3)*(3*$J3001^3-6*$J3001^2+3*$J3001)+INDIRECT("D$"&amp;4+MIN(2,ROUNDDOWN(I3001,0))*3)*(-3*$J3001^3+3*$J3001^2)+INDIRECT("D$"&amp;5+MIN(2,ROUNDDOWN(I3001,0))*3)*$J3001^3</f>
      </c>
      <c r="M3001" s="7">
        <f>SQRT(K3001^2+L3001^2)</f>
      </c>
      <c r="N3001" s="7">
        <f>(K3002-K3000)</f>
      </c>
      <c r="O3001" s="7">
        <f>+(L3002-L3000)</f>
      </c>
      <c r="P3001" s="7">
        <f>SQRT(O3001^2+N3001^2)</f>
      </c>
      <c r="Q3001" s="7">
        <f>N3001/$P3001</f>
      </c>
      <c r="R3001" s="7">
        <f>O3001/$P3001</f>
      </c>
      <c r="S3001" s="7">
        <f>Q3001^2+R3001^2</f>
      </c>
      <c r="T3001" s="7">
        <f>-R3001</f>
      </c>
      <c r="U3001" s="7">
        <f>Q3001</f>
      </c>
      <c r="V3001" s="7">
        <f>($C$14+($C$15-$C$14)/($D$15-$D$14)*(I3001-$D$14))/2</f>
      </c>
      <c r="W3001" s="7">
        <f>($B$22*I3001^4+$C$22*I3001^3+$D$22*I3001^2+$E$22*I3001+$F$22)/2</f>
      </c>
      <c r="X3001" s="7">
        <f>($W3001)*(T3001)</f>
      </c>
      <c r="Y3001" s="7">
        <f>($W3001)*(U3001)</f>
      </c>
      <c r="Z3001" s="7">
        <f>SQRT(X3001^2+Y3001^2)</f>
      </c>
      <c r="AA3001" s="7">
        <f>$K3001+$X3001</f>
      </c>
      <c r="AB3001" s="7">
        <f>$L3001+$Y3001</f>
      </c>
      <c r="AC3001" s="7">
        <f>$K3001-$X3001</f>
      </c>
      <c r="AD3001" s="7">
        <f>$L3001-$Y3001</f>
      </c>
      <c r="AE3001" s="7">
        <f>AA3001/39.3701</f>
      </c>
      <c r="AF3001" s="7">
        <f>AB3001/39.3701</f>
      </c>
      <c r="AG3001" s="7">
        <f>AC3001/39.3701</f>
      </c>
      <c r="AH3001" s="7">
        <f>AD3001/39.3701</f>
      </c>
      <c r="AI3001" s="1"/>
      <c r="AJ3001" s="1"/>
      <c r="AK3001" s="1"/>
      <c r="AL3001" s="1"/>
      <c r="AM3001" s="2"/>
      <c r="AN3001" s="1"/>
      <c r="AO3001" s="1"/>
      <c r="AP3001" s="1"/>
      <c r="AQ3001" s="1"/>
      <c r="AR3001" s="1"/>
      <c r="AS3001" s="1"/>
      <c r="AT3001" s="1"/>
      <c r="AU3001" s="1"/>
      <c r="AV3001" s="1"/>
      <c r="AW3001" s="1"/>
      <c r="AX3001" s="1"/>
      <c r="AY3001" s="1"/>
      <c r="AZ3001" s="1"/>
      <c r="BA3001" s="1"/>
      <c r="BB3001" s="1"/>
      <c r="BC3001" s="1"/>
      <c r="BD3001" s="1"/>
      <c r="BE3001" s="1"/>
    </row>
    <row x14ac:dyDescent="0.25" r="3002" customHeight="1" ht="18.75">
      <c r="A3002" s="1"/>
      <c r="B3002" s="2"/>
      <c r="C3002" s="2"/>
      <c r="D3002" s="2"/>
      <c r="E3002" s="2"/>
      <c r="F3002" s="2"/>
      <c r="G3002" s="1"/>
      <c r="H3002" s="1"/>
      <c r="I3002" s="7">
        <v>2.999</v>
      </c>
      <c r="J3002" s="7">
        <f>IF((I3002-ROUNDDOWN(I3002,0))=0, 0, (I3002-ROUNDDOWN(I3002,0)))</f>
      </c>
      <c r="K3002" s="7">
        <f>INDIRECT("C$"&amp;2+MIN(2,ROUNDDOWN(I3002,0))*3)*(-$J3002^3+3*$J3002^2-3*$J3002+1)+INDIRECT("C$"&amp;3+MIN(2,ROUNDDOWN(I3002,0))*3)*(3*$J3002^3-6*$J3002^2+3*$J3002)+INDIRECT("C$"&amp;4+MIN(2,ROUNDDOWN(I3002,0))*3)*(-3*$J3002^3+3*$J3002^2)+INDIRECT("C$"&amp;5+MIN(2,ROUNDDOWN(I3002,0))*3)*$J3002^3</f>
      </c>
      <c r="L3002" s="7">
        <f>INDIRECT("D$"&amp;2+MIN(2,ROUNDDOWN(I3002,0))*3)*(-$J3002^3+3*$J3002^2-3*$J3002+1)+INDIRECT("D$"&amp;3+MIN(2,ROUNDDOWN(I3002,0))*3)*(3*$J3002^3-6*$J3002^2+3*$J3002)+INDIRECT("D$"&amp;4+MIN(2,ROUNDDOWN(I3002,0))*3)*(-3*$J3002^3+3*$J3002^2)+INDIRECT("D$"&amp;5+MIN(2,ROUNDDOWN(I3002,0))*3)*$J3002^3</f>
      </c>
      <c r="M3002" s="7">
        <f>SQRT(K3002^2+L3002^2)</f>
      </c>
      <c r="N3002" s="7">
        <f>(K3003-K3001)</f>
      </c>
      <c r="O3002" s="7">
        <f>+(L3003-L3001)</f>
      </c>
      <c r="P3002" s="7">
        <f>SQRT(O3002^2+N3002^2)</f>
      </c>
      <c r="Q3002" s="7">
        <f>N3002/$P3002</f>
      </c>
      <c r="R3002" s="7">
        <f>O3002/$P3002</f>
      </c>
      <c r="S3002" s="8">
        <f>Q3002^2+R3002^2</f>
      </c>
      <c r="T3002" s="7">
        <f>-R3002</f>
      </c>
      <c r="U3002" s="7">
        <f>Q3002</f>
      </c>
      <c r="V3002" s="7">
        <f>($C$14+($C$15-$C$14)/($D$15-$D$14)*(I3002-$D$14))/2</f>
      </c>
      <c r="W3002" s="7">
        <f>($B$22*I3002^4+$C$22*I3002^3+$D$22*I3002^2+$E$22*I3002+$F$22)/2</f>
      </c>
      <c r="X3002" s="7">
        <f>($W3002)*(T3002)</f>
      </c>
      <c r="Y3002" s="7">
        <f>($W3002)*(U3002)</f>
      </c>
      <c r="Z3002" s="7">
        <f>SQRT(X3002^2+Y3002^2)</f>
      </c>
      <c r="AA3002" s="7">
        <f>$K3002+$X3002</f>
      </c>
      <c r="AB3002" s="7">
        <f>$L3002+$Y3002</f>
      </c>
      <c r="AC3002" s="7">
        <f>$K3002-$X3002</f>
      </c>
      <c r="AD3002" s="7">
        <f>$L3002-$Y3002</f>
      </c>
      <c r="AE3002" s="7">
        <f>AA3002/39.3701</f>
      </c>
      <c r="AF3002" s="7">
        <f>AB3002/39.3701</f>
      </c>
      <c r="AG3002" s="7">
        <f>AC3002/39.3701</f>
      </c>
      <c r="AH3002" s="7">
        <f>AD3002/39.3701</f>
      </c>
      <c r="AI3002" s="1"/>
      <c r="AJ3002" s="1"/>
      <c r="AK3002" s="1"/>
      <c r="AL3002" s="1"/>
      <c r="AM3002" s="2"/>
      <c r="AN3002" s="1"/>
      <c r="AO3002" s="1"/>
      <c r="AP3002" s="1"/>
      <c r="AQ3002" s="1"/>
      <c r="AR3002" s="1"/>
      <c r="AS3002" s="1"/>
      <c r="AT3002" s="1"/>
      <c r="AU3002" s="1"/>
      <c r="AV3002" s="1"/>
      <c r="AW3002" s="1"/>
      <c r="AX3002" s="1"/>
      <c r="AY3002" s="1"/>
      <c r="AZ3002" s="1"/>
      <c r="BA3002" s="1"/>
      <c r="BB3002" s="1"/>
      <c r="BC3002" s="1"/>
      <c r="BD3002" s="1"/>
      <c r="BE3002" s="1"/>
    </row>
    <row x14ac:dyDescent="0.25" r="3003" customHeight="1" ht="18.75">
      <c r="A3003" s="1"/>
      <c r="B3003" s="2"/>
      <c r="C3003" s="2"/>
      <c r="D3003" s="2"/>
      <c r="E3003" s="2"/>
      <c r="F3003" s="2"/>
      <c r="G3003" s="1"/>
      <c r="H3003" s="1"/>
      <c r="I3003" s="8">
        <v>3</v>
      </c>
      <c r="J3003" s="8">
        <v>1</v>
      </c>
      <c r="K3003" s="7">
        <f>INDIRECT("C$"&amp;2+MIN(2,ROUNDDOWN(I3003,0))*3)*(-$J3003^3+3*$J3003^2-3*$J3003+1)+INDIRECT("C$"&amp;3+MIN(2,ROUNDDOWN(I3003,0))*3)*(3*$J3003^3-6*$J3003^2+3*$J3003)+INDIRECT("C$"&amp;4+MIN(2,ROUNDDOWN(I3003,0))*3)*(-3*$J3003^3+3*$J3003^2)+INDIRECT("C$"&amp;5+MIN(2,ROUNDDOWN(I3003,0))*3)*$J3003^3</f>
      </c>
      <c r="L3003" s="7">
        <f>INDIRECT("D$"&amp;2+MIN(2,ROUNDDOWN(I3003,0))*3)*(-$J3003^3+3*$J3003^2-3*$J3003+1)+INDIRECT("D$"&amp;3+MIN(2,ROUNDDOWN(I3003,0))*3)*(3*$J3003^3-6*$J3003^2+3*$J3003)+INDIRECT("D$"&amp;4+MIN(2,ROUNDDOWN(I3003,0))*3)*(-3*$J3003^3+3*$J3003^2)+INDIRECT("D$"&amp;5+MIN(2,ROUNDDOWN(I3003,0))*3)*$J3003^3</f>
      </c>
      <c r="M3003" s="7">
        <f>SQRT(K3003^2+L3003^2)</f>
      </c>
      <c r="N3003" s="7">
        <f>(K3003-K3002)</f>
      </c>
      <c r="O3003" s="7">
        <f>+(L3003-L3002)</f>
      </c>
      <c r="P3003" s="7">
        <f>SQRT(O3003^2+N3003^2)</f>
      </c>
      <c r="Q3003" s="7">
        <f>N3003/$P3003</f>
      </c>
      <c r="R3003" s="7">
        <f>O3003/$P3003</f>
      </c>
      <c r="S3003" s="7">
        <f>Q3003^2+R3003^2</f>
      </c>
      <c r="T3003" s="7">
        <f>-R3003</f>
      </c>
      <c r="U3003" s="7">
        <f>Q3003</f>
      </c>
      <c r="V3003" s="7">
        <f>($C$14+($C$15-$C$14)/($D$15-$D$14)*(I3003-$D$14))/2</f>
      </c>
      <c r="W3003" s="7">
        <f>($B$22*I3003^4+$C$22*I3003^3+$D$22*I3003^2+$E$22*I3003+$F$22)/2</f>
      </c>
      <c r="X3003" s="7">
        <f>($W3003)*(T3003)</f>
      </c>
      <c r="Y3003" s="7">
        <f>($W3003)*(U3003)</f>
      </c>
      <c r="Z3003" s="7">
        <f>SQRT(X3003^2+Y3003^2)</f>
      </c>
      <c r="AA3003" s="7">
        <f>$K3003+$X3003</f>
      </c>
      <c r="AB3003" s="7">
        <f>$L3003+$Y3003</f>
      </c>
      <c r="AC3003" s="7">
        <f>$K3003-$X3003</f>
      </c>
      <c r="AD3003" s="7">
        <f>$L3003-$Y3003</f>
      </c>
      <c r="AE3003" s="7">
        <f>AA3003/39.3701</f>
      </c>
      <c r="AF3003" s="7">
        <f>AB3003/39.3701</f>
      </c>
      <c r="AG3003" s="7">
        <f>AC3003/39.3701</f>
      </c>
      <c r="AH3003" s="7">
        <f>AD3003/39.3701</f>
      </c>
      <c r="AI3003" s="1"/>
      <c r="AJ3003" s="1"/>
      <c r="AK3003" s="1"/>
      <c r="AL3003" s="1"/>
      <c r="AM3003" s="2"/>
      <c r="AN3003" s="1"/>
      <c r="AO3003" s="1"/>
      <c r="AP3003" s="1"/>
      <c r="AQ3003" s="1"/>
      <c r="AR3003" s="1"/>
      <c r="AS3003" s="1"/>
      <c r="AT3003" s="1"/>
      <c r="AU3003" s="1"/>
      <c r="AV3003" s="1"/>
      <c r="AW3003" s="1"/>
      <c r="AX3003" s="1"/>
      <c r="AY3003" s="1"/>
      <c r="AZ3003" s="1"/>
      <c r="BA3003" s="1"/>
      <c r="BB3003" s="1"/>
      <c r="BC3003" s="1"/>
      <c r="BD3003" s="1"/>
      <c r="BE3003" s="1"/>
    </row>
  </sheetData>
  <mergeCells count="3">
    <mergeCell ref="X1:AD1"/>
    <mergeCell ref="AE1:AJ1"/>
    <mergeCell ref="BA1:BE1"/>
  </mergeCells>
  <pageMargins left="0.7" right="0.7" top="0.75" bottom="0.75" header="0.3" footer="0.3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wijmo.xlsx</Application>
  <DocSecurity>0</DocSecurity>
  <ScaleCrop>false</ScaleCrop>
  <HeadingPairs>
    <vt:vector baseType="variant" size="2">
      <vt:variant>
        <vt:lpstr>Worksheets</vt:lpstr>
      </vt:variant>
      <vt:variant>
        <vt:i4>1</vt:i4>
      </vt:variant>
    </vt:vector>
  </HeadingPairs>
  <TitlesOfParts>
    <vt:vector baseType="lpstr" size="1">
      <vt:lpstr>Sheet1</vt:lpstr>
    </vt:vector>
  </TitlesOfParts>
  <Manager/>
  <Company>GrapeCity, Inc.</Company>
  <LinksUpToDate>false</LinksUpToDate>
  <SharedDoc>false</SharedDoc>
  <HyperlinksChanged>false</HyperlinksChanged>
  <AppVersion>1.0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2023-11-10T17:43:24.148Z</dcterms:created>
  <dcterms:modified xsi:type="dcterms:W3CDTF">2023-11-10T17:43:24.148Z</dcterms:modified>
</cp:coreProperties>
</file>